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DF3AC978-4DE1-BE46-828E-229A6FC60361}" xr6:coauthVersionLast="46" xr6:coauthVersionMax="46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SYN-M" sheetId="9" r:id="rId4"/>
    <sheet name="SYN-W" sheetId="14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'DMT-M'!$A$1:$MT$15</definedName>
    <definedName name="_xlnm._FilterDatabase" localSheetId="8" hidden="1">'DMT-W'!$A$1:$MT$12</definedName>
    <definedName name="_xlnm._FilterDatabase" localSheetId="3" hidden="1">'SYN-M'!$A$1:$NQ$11</definedName>
    <definedName name="_xlnm._FilterDatabase" localSheetId="4" hidden="1">'SYN-W'!$A$1:$NQ$11</definedName>
    <definedName name="_xlnm._FilterDatabase" localSheetId="1" hidden="1">'TRA-M'!$A$1:$OQ$22</definedName>
    <definedName name="_xlnm._FilterDatabase" localSheetId="2" hidden="1">'TRA-W'!$A$1:$OQ$16</definedName>
    <definedName name="_xlnm._FilterDatabase" localSheetId="5" hidden="1">'TUM-M'!$A$1:$MT$7</definedName>
    <definedName name="_xlnm._FilterDatabase" localSheetId="6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B14" i="12" l="1"/>
  <c r="LA14" i="12"/>
  <c r="KZ14" i="12"/>
  <c r="KY14" i="12"/>
  <c r="LB13" i="12"/>
  <c r="LA13" i="12"/>
  <c r="KZ13" i="12"/>
  <c r="KY13" i="12"/>
  <c r="LB12" i="12"/>
  <c r="LA12" i="12"/>
  <c r="KZ12" i="12"/>
  <c r="KY12" i="12"/>
  <c r="LB11" i="12"/>
  <c r="LA11" i="12"/>
  <c r="KZ11" i="12"/>
  <c r="LC11" i="12" s="1"/>
  <c r="KY11" i="12"/>
  <c r="LB10" i="12"/>
  <c r="LA10" i="12"/>
  <c r="KZ10" i="12"/>
  <c r="KY10" i="12"/>
  <c r="LB7" i="12"/>
  <c r="LA7" i="12"/>
  <c r="KZ7" i="12"/>
  <c r="LC7" i="12" s="1"/>
  <c r="KY7" i="12"/>
  <c r="LB8" i="12"/>
  <c r="LA8" i="12"/>
  <c r="KZ8" i="12"/>
  <c r="KY8" i="12"/>
  <c r="LB6" i="12"/>
  <c r="LA6" i="12"/>
  <c r="KZ6" i="12"/>
  <c r="LC6" i="12" s="1"/>
  <c r="KY6" i="12"/>
  <c r="LB9" i="12"/>
  <c r="LA9" i="12"/>
  <c r="KZ9" i="12"/>
  <c r="KY9" i="12"/>
  <c r="LB5" i="12"/>
  <c r="LA5" i="12"/>
  <c r="KZ5" i="12"/>
  <c r="KY5" i="12"/>
  <c r="LB4" i="12"/>
  <c r="LA4" i="12"/>
  <c r="KZ4" i="12"/>
  <c r="KY4" i="12"/>
  <c r="KG14" i="12"/>
  <c r="KF14" i="12"/>
  <c r="KE14" i="12"/>
  <c r="KH14" i="12" s="1"/>
  <c r="KD14" i="12"/>
  <c r="KG13" i="12"/>
  <c r="KF13" i="12"/>
  <c r="KE13" i="12"/>
  <c r="KD13" i="12"/>
  <c r="KG12" i="12"/>
  <c r="KF12" i="12"/>
  <c r="KE12" i="12"/>
  <c r="KH12" i="12" s="1"/>
  <c r="KD12" i="12"/>
  <c r="KH11" i="12"/>
  <c r="KG11" i="12"/>
  <c r="KF11" i="12"/>
  <c r="KE11" i="12"/>
  <c r="KD11" i="12"/>
  <c r="KG10" i="12"/>
  <c r="KF10" i="12"/>
  <c r="KE10" i="12"/>
  <c r="KH10" i="12" s="1"/>
  <c r="KD10" i="12"/>
  <c r="KG7" i="12"/>
  <c r="KF7" i="12"/>
  <c r="KE7" i="12"/>
  <c r="KD7" i="12"/>
  <c r="KG8" i="12"/>
  <c r="KF8" i="12"/>
  <c r="KE8" i="12"/>
  <c r="KD8" i="12"/>
  <c r="KG6" i="12"/>
  <c r="KF6" i="12"/>
  <c r="KE6" i="12"/>
  <c r="KD6" i="12"/>
  <c r="KG9" i="12"/>
  <c r="KF9" i="12"/>
  <c r="KE9" i="12"/>
  <c r="KD9" i="12"/>
  <c r="KG5" i="12"/>
  <c r="KF5" i="12"/>
  <c r="KE5" i="12"/>
  <c r="KD5" i="12"/>
  <c r="KG4" i="12"/>
  <c r="KF4" i="12"/>
  <c r="KE4" i="12"/>
  <c r="KH4" i="12" s="1"/>
  <c r="KD4" i="12"/>
  <c r="JL14" i="12"/>
  <c r="JK14" i="12"/>
  <c r="JJ14" i="12"/>
  <c r="JI14" i="12"/>
  <c r="JL13" i="12"/>
  <c r="JK13" i="12"/>
  <c r="JJ13" i="12"/>
  <c r="JM13" i="12" s="1"/>
  <c r="JI13" i="12"/>
  <c r="JL12" i="12"/>
  <c r="JK12" i="12"/>
  <c r="JJ12" i="12"/>
  <c r="JI12" i="12"/>
  <c r="JL11" i="12"/>
  <c r="JK11" i="12"/>
  <c r="JJ11" i="12"/>
  <c r="JI11" i="12"/>
  <c r="JL10" i="12"/>
  <c r="JK10" i="12"/>
  <c r="JJ10" i="12"/>
  <c r="JI10" i="12"/>
  <c r="JL7" i="12"/>
  <c r="JK7" i="12"/>
  <c r="JJ7" i="12"/>
  <c r="JI7" i="12"/>
  <c r="JL8" i="12"/>
  <c r="JM8" i="12" s="1"/>
  <c r="JK8" i="12"/>
  <c r="JJ8" i="12"/>
  <c r="JI8" i="12"/>
  <c r="JL6" i="12"/>
  <c r="JK6" i="12"/>
  <c r="JJ6" i="12"/>
  <c r="JM6" i="12" s="1"/>
  <c r="JI6" i="12"/>
  <c r="JL9" i="12"/>
  <c r="JK9" i="12"/>
  <c r="JJ9" i="12"/>
  <c r="JI9" i="12"/>
  <c r="JL5" i="12"/>
  <c r="JK5" i="12"/>
  <c r="JJ5" i="12"/>
  <c r="JM5" i="12" s="1"/>
  <c r="JI5" i="12"/>
  <c r="JL4" i="12"/>
  <c r="JM4" i="12" s="1"/>
  <c r="JK4" i="12"/>
  <c r="JJ4" i="12"/>
  <c r="JI4" i="12"/>
  <c r="IQ14" i="12"/>
  <c r="IP14" i="12"/>
  <c r="IO14" i="12"/>
  <c r="IN14" i="12"/>
  <c r="IQ13" i="12"/>
  <c r="IP13" i="12"/>
  <c r="IO13" i="12"/>
  <c r="IN13" i="12"/>
  <c r="IQ12" i="12"/>
  <c r="IP12" i="12"/>
  <c r="IO12" i="12"/>
  <c r="IN12" i="12"/>
  <c r="IQ11" i="12"/>
  <c r="IR11" i="12" s="1"/>
  <c r="IP11" i="12"/>
  <c r="IO11" i="12"/>
  <c r="IN11" i="12"/>
  <c r="IQ10" i="12"/>
  <c r="IP10" i="12"/>
  <c r="IO10" i="12"/>
  <c r="IN10" i="12"/>
  <c r="IQ7" i="12"/>
  <c r="IP7" i="12"/>
  <c r="IO7" i="12"/>
  <c r="IN7" i="12"/>
  <c r="IQ8" i="12"/>
  <c r="IP8" i="12"/>
  <c r="IO8" i="12"/>
  <c r="IN8" i="12"/>
  <c r="IQ6" i="12"/>
  <c r="IP6" i="12"/>
  <c r="IO6" i="12"/>
  <c r="IN6" i="12"/>
  <c r="IQ9" i="12"/>
  <c r="IP9" i="12"/>
  <c r="IO9" i="12"/>
  <c r="IR9" i="12" s="1"/>
  <c r="IN9" i="12"/>
  <c r="IQ5" i="12"/>
  <c r="IP5" i="12"/>
  <c r="IO5" i="12"/>
  <c r="IN5" i="12"/>
  <c r="IQ4" i="12"/>
  <c r="IP4" i="12"/>
  <c r="IO4" i="12"/>
  <c r="IN4" i="12"/>
  <c r="HV14" i="12"/>
  <c r="HU14" i="12"/>
  <c r="HT14" i="12"/>
  <c r="HS14" i="12"/>
  <c r="HV13" i="12"/>
  <c r="HU13" i="12"/>
  <c r="HT13" i="12"/>
  <c r="HS13" i="12"/>
  <c r="HV12" i="12"/>
  <c r="HU12" i="12"/>
  <c r="HT12" i="12"/>
  <c r="HS12" i="12"/>
  <c r="HV11" i="12"/>
  <c r="HU11" i="12"/>
  <c r="HT11" i="12"/>
  <c r="HS11" i="12"/>
  <c r="HV10" i="12"/>
  <c r="HU10" i="12"/>
  <c r="HT10" i="12"/>
  <c r="HS10" i="12"/>
  <c r="HV7" i="12"/>
  <c r="HU7" i="12"/>
  <c r="HT7" i="12"/>
  <c r="HS7" i="12"/>
  <c r="HV8" i="12"/>
  <c r="HU8" i="12"/>
  <c r="HT8" i="12"/>
  <c r="HS8" i="12"/>
  <c r="HV6" i="12"/>
  <c r="HU6" i="12"/>
  <c r="HT6" i="12"/>
  <c r="HS6" i="12"/>
  <c r="HV9" i="12"/>
  <c r="HU9" i="12"/>
  <c r="HT9" i="12"/>
  <c r="HS9" i="12"/>
  <c r="HV5" i="12"/>
  <c r="HU5" i="12"/>
  <c r="HT5" i="12"/>
  <c r="HS5" i="12"/>
  <c r="HV4" i="12"/>
  <c r="HU4" i="12"/>
  <c r="HT4" i="12"/>
  <c r="HS4" i="12"/>
  <c r="HA14" i="12"/>
  <c r="GZ14" i="12"/>
  <c r="GY14" i="12"/>
  <c r="GX14" i="12"/>
  <c r="HA13" i="12"/>
  <c r="GZ13" i="12"/>
  <c r="GY13" i="12"/>
  <c r="GX13" i="12"/>
  <c r="HA12" i="12"/>
  <c r="GZ12" i="12"/>
  <c r="GY12" i="12"/>
  <c r="GX12" i="12"/>
  <c r="HA11" i="12"/>
  <c r="GZ11" i="12"/>
  <c r="GY11" i="12"/>
  <c r="GX11" i="12"/>
  <c r="HA10" i="12"/>
  <c r="GZ10" i="12"/>
  <c r="GY10" i="12"/>
  <c r="GX10" i="12"/>
  <c r="HA7" i="12"/>
  <c r="GZ7" i="12"/>
  <c r="GY7" i="12"/>
  <c r="GX7" i="12"/>
  <c r="HA8" i="12"/>
  <c r="GZ8" i="12"/>
  <c r="GY8" i="12"/>
  <c r="GX8" i="12"/>
  <c r="HA6" i="12"/>
  <c r="GZ6" i="12"/>
  <c r="GY6" i="12"/>
  <c r="GX6" i="12"/>
  <c r="HA9" i="12"/>
  <c r="GZ9" i="12"/>
  <c r="GY9" i="12"/>
  <c r="GX9" i="12"/>
  <c r="HA5" i="12"/>
  <c r="GZ5" i="12"/>
  <c r="GY5" i="12"/>
  <c r="GX5" i="12"/>
  <c r="HA4" i="12"/>
  <c r="GZ4" i="12"/>
  <c r="GY4" i="12"/>
  <c r="GX4" i="12"/>
  <c r="GF14" i="12"/>
  <c r="GE14" i="12"/>
  <c r="GD14" i="12"/>
  <c r="GC14" i="12"/>
  <c r="GF13" i="12"/>
  <c r="GE13" i="12"/>
  <c r="GD13" i="12"/>
  <c r="GC13" i="12"/>
  <c r="GF12" i="12"/>
  <c r="GE12" i="12"/>
  <c r="GD12" i="12"/>
  <c r="GC12" i="12"/>
  <c r="GF11" i="12"/>
  <c r="GE11" i="12"/>
  <c r="GD11" i="12"/>
  <c r="GC11" i="12"/>
  <c r="GF10" i="12"/>
  <c r="GE10" i="12"/>
  <c r="GD10" i="12"/>
  <c r="GC10" i="12"/>
  <c r="GF7" i="12"/>
  <c r="GE7" i="12"/>
  <c r="GD7" i="12"/>
  <c r="GC7" i="12"/>
  <c r="GF8" i="12"/>
  <c r="GE8" i="12"/>
  <c r="GD8" i="12"/>
  <c r="GC8" i="12"/>
  <c r="GF6" i="12"/>
  <c r="GE6" i="12"/>
  <c r="GD6" i="12"/>
  <c r="GC6" i="12"/>
  <c r="GF9" i="12"/>
  <c r="GE9" i="12"/>
  <c r="GD9" i="12"/>
  <c r="GC9" i="12"/>
  <c r="GF5" i="12"/>
  <c r="GE5" i="12"/>
  <c r="GD5" i="12"/>
  <c r="GC5" i="12"/>
  <c r="GF4" i="12"/>
  <c r="GE4" i="12"/>
  <c r="GD4" i="12"/>
  <c r="GC4" i="12"/>
  <c r="FK14" i="12"/>
  <c r="FJ14" i="12"/>
  <c r="FI14" i="12"/>
  <c r="FL14" i="12" s="1"/>
  <c r="FH14" i="12"/>
  <c r="FK13" i="12"/>
  <c r="FJ13" i="12"/>
  <c r="FI13" i="12"/>
  <c r="FH13" i="12"/>
  <c r="FK12" i="12"/>
  <c r="FJ12" i="12"/>
  <c r="FI12" i="12"/>
  <c r="FL12" i="12" s="1"/>
  <c r="FH12" i="12"/>
  <c r="FK11" i="12"/>
  <c r="FJ11" i="12"/>
  <c r="FI11" i="12"/>
  <c r="FH11" i="12"/>
  <c r="FK10" i="12"/>
  <c r="FJ10" i="12"/>
  <c r="FI10" i="12"/>
  <c r="FL10" i="12" s="1"/>
  <c r="FH10" i="12"/>
  <c r="FK7" i="12"/>
  <c r="FJ7" i="12"/>
  <c r="FI7" i="12"/>
  <c r="FH7" i="12"/>
  <c r="FK8" i="12"/>
  <c r="FJ8" i="12"/>
  <c r="FI8" i="12"/>
  <c r="FH8" i="12"/>
  <c r="FK6" i="12"/>
  <c r="FJ6" i="12"/>
  <c r="FI6" i="12"/>
  <c r="FH6" i="12"/>
  <c r="FK9" i="12"/>
  <c r="FJ9" i="12"/>
  <c r="FI9" i="12"/>
  <c r="FL9" i="12" s="1"/>
  <c r="FH9" i="12"/>
  <c r="FK5" i="12"/>
  <c r="FJ5" i="12"/>
  <c r="FI5" i="12"/>
  <c r="FH5" i="12"/>
  <c r="FK4" i="12"/>
  <c r="FJ4" i="12"/>
  <c r="FI4" i="12"/>
  <c r="FL4" i="12" s="1"/>
  <c r="FH4" i="12"/>
  <c r="EP14" i="12"/>
  <c r="EO14" i="12"/>
  <c r="EN14" i="12"/>
  <c r="EM14" i="12"/>
  <c r="EP13" i="12"/>
  <c r="EO13" i="12"/>
  <c r="EN13" i="12"/>
  <c r="EM13" i="12"/>
  <c r="EP12" i="12"/>
  <c r="EO12" i="12"/>
  <c r="EN12" i="12"/>
  <c r="EM12" i="12"/>
  <c r="EP11" i="12"/>
  <c r="EO11" i="12"/>
  <c r="EN11" i="12"/>
  <c r="EQ11" i="12" s="1"/>
  <c r="EM11" i="12"/>
  <c r="EP10" i="12"/>
  <c r="EO10" i="12"/>
  <c r="EN10" i="12"/>
  <c r="EM10" i="12"/>
  <c r="EP7" i="12"/>
  <c r="EO7" i="12"/>
  <c r="EN7" i="12"/>
  <c r="EQ7" i="12" s="1"/>
  <c r="EM7" i="12"/>
  <c r="EP8" i="12"/>
  <c r="EO8" i="12"/>
  <c r="EN8" i="12"/>
  <c r="EM8" i="12"/>
  <c r="EP6" i="12"/>
  <c r="EO6" i="12"/>
  <c r="EN6" i="12"/>
  <c r="EQ6" i="12" s="1"/>
  <c r="EM6" i="12"/>
  <c r="EQ9" i="12"/>
  <c r="EP9" i="12"/>
  <c r="EO9" i="12"/>
  <c r="EN9" i="12"/>
  <c r="EM9" i="12"/>
  <c r="EP5" i="12"/>
  <c r="EO5" i="12"/>
  <c r="EN5" i="12"/>
  <c r="EM5" i="12"/>
  <c r="EP4" i="12"/>
  <c r="EO4" i="12"/>
  <c r="EN4" i="12"/>
  <c r="EM4" i="12"/>
  <c r="DU14" i="12"/>
  <c r="DT14" i="12"/>
  <c r="DS14" i="12"/>
  <c r="DR14" i="12"/>
  <c r="DU13" i="12"/>
  <c r="DT13" i="12"/>
  <c r="DS13" i="12"/>
  <c r="DR13" i="12"/>
  <c r="DU12" i="12"/>
  <c r="DT12" i="12"/>
  <c r="DS12" i="12"/>
  <c r="DR12" i="12"/>
  <c r="DU11" i="12"/>
  <c r="DT11" i="12"/>
  <c r="DS11" i="12"/>
  <c r="DR11" i="12"/>
  <c r="DU10" i="12"/>
  <c r="DT10" i="12"/>
  <c r="DS10" i="12"/>
  <c r="DR10" i="12"/>
  <c r="DU7" i="12"/>
  <c r="DT7" i="12"/>
  <c r="DS7" i="12"/>
  <c r="DR7" i="12"/>
  <c r="DU8" i="12"/>
  <c r="DT8" i="12"/>
  <c r="DS8" i="12"/>
  <c r="DR8" i="12"/>
  <c r="DU6" i="12"/>
  <c r="DT6" i="12"/>
  <c r="DS6" i="12"/>
  <c r="DR6" i="12"/>
  <c r="DU9" i="12"/>
  <c r="DT9" i="12"/>
  <c r="DS9" i="12"/>
  <c r="DR9" i="12"/>
  <c r="DU5" i="12"/>
  <c r="DT5" i="12"/>
  <c r="DS5" i="12"/>
  <c r="DR5" i="12"/>
  <c r="DU4" i="12"/>
  <c r="DT4" i="12"/>
  <c r="DS4" i="12"/>
  <c r="DR4" i="12"/>
  <c r="CZ14" i="12"/>
  <c r="CY14" i="12"/>
  <c r="CX14" i="12"/>
  <c r="CW14" i="12"/>
  <c r="CZ13" i="12"/>
  <c r="CY13" i="12"/>
  <c r="CX13" i="12"/>
  <c r="CW13" i="12"/>
  <c r="CZ12" i="12"/>
  <c r="CY12" i="12"/>
  <c r="CX12" i="12"/>
  <c r="CW12" i="12"/>
  <c r="CZ11" i="12"/>
  <c r="CY11" i="12"/>
  <c r="CX11" i="12"/>
  <c r="CW11" i="12"/>
  <c r="CZ10" i="12"/>
  <c r="CY10" i="12"/>
  <c r="CX10" i="12"/>
  <c r="CW10" i="12"/>
  <c r="CZ7" i="12"/>
  <c r="CY7" i="12"/>
  <c r="CX7" i="12"/>
  <c r="CW7" i="12"/>
  <c r="CZ8" i="12"/>
  <c r="CY8" i="12"/>
  <c r="CX8" i="12"/>
  <c r="CW8" i="12"/>
  <c r="CZ6" i="12"/>
  <c r="CY6" i="12"/>
  <c r="CX6" i="12"/>
  <c r="CW6" i="12"/>
  <c r="CZ9" i="12"/>
  <c r="CY9" i="12"/>
  <c r="CX9" i="12"/>
  <c r="CW9" i="12"/>
  <c r="CZ5" i="12"/>
  <c r="CY5" i="12"/>
  <c r="CX5" i="12"/>
  <c r="CW5" i="12"/>
  <c r="CZ4" i="12"/>
  <c r="CY4" i="12"/>
  <c r="CX4" i="12"/>
  <c r="CW4" i="12"/>
  <c r="LB17" i="6"/>
  <c r="LA17" i="6"/>
  <c r="KZ17" i="6"/>
  <c r="KY17" i="6"/>
  <c r="LB16" i="6"/>
  <c r="LA16" i="6"/>
  <c r="KZ16" i="6"/>
  <c r="LC16" i="6" s="1"/>
  <c r="KY16" i="6"/>
  <c r="LB15" i="6"/>
  <c r="LA15" i="6"/>
  <c r="KZ15" i="6"/>
  <c r="LC15" i="6" s="1"/>
  <c r="KY15" i="6"/>
  <c r="LB14" i="6"/>
  <c r="LA14" i="6"/>
  <c r="KZ14" i="6"/>
  <c r="LC14" i="6" s="1"/>
  <c r="KY14" i="6"/>
  <c r="LB13" i="6"/>
  <c r="LA13" i="6"/>
  <c r="KZ13" i="6"/>
  <c r="LC13" i="6" s="1"/>
  <c r="KY13" i="6"/>
  <c r="LB12" i="6"/>
  <c r="LA12" i="6"/>
  <c r="KZ12" i="6"/>
  <c r="KY12" i="6"/>
  <c r="LB11" i="6"/>
  <c r="LA11" i="6"/>
  <c r="KZ11" i="6"/>
  <c r="LC11" i="6" s="1"/>
  <c r="KY11" i="6"/>
  <c r="LB10" i="6"/>
  <c r="LA10" i="6"/>
  <c r="KZ10" i="6"/>
  <c r="LC10" i="6" s="1"/>
  <c r="KY10" i="6"/>
  <c r="LB9" i="6"/>
  <c r="LA9" i="6"/>
  <c r="KZ9" i="6"/>
  <c r="LC9" i="6" s="1"/>
  <c r="KY9" i="6"/>
  <c r="LB8" i="6"/>
  <c r="LA8" i="6"/>
  <c r="KZ8" i="6"/>
  <c r="LC8" i="6" s="1"/>
  <c r="KY8" i="6"/>
  <c r="LB7" i="6"/>
  <c r="LA7" i="6"/>
  <c r="KZ7" i="6"/>
  <c r="LC7" i="6" s="1"/>
  <c r="KY7" i="6"/>
  <c r="LC6" i="6"/>
  <c r="LB6" i="6"/>
  <c r="LA6" i="6"/>
  <c r="KZ6" i="6"/>
  <c r="KY6" i="6"/>
  <c r="LB5" i="6"/>
  <c r="LA5" i="6"/>
  <c r="KZ5" i="6"/>
  <c r="KY5" i="6"/>
  <c r="LB4" i="6"/>
  <c r="LA4" i="6"/>
  <c r="KZ4" i="6"/>
  <c r="KY4" i="6"/>
  <c r="KG17" i="6"/>
  <c r="KF17" i="6"/>
  <c r="KE17" i="6"/>
  <c r="KD17" i="6"/>
  <c r="KG16" i="6"/>
  <c r="KF16" i="6"/>
  <c r="KE16" i="6"/>
  <c r="KD16" i="6"/>
  <c r="KG15" i="6"/>
  <c r="KF15" i="6"/>
  <c r="KE15" i="6"/>
  <c r="KH15" i="6" s="1"/>
  <c r="KD15" i="6"/>
  <c r="KG14" i="6"/>
  <c r="KF14" i="6"/>
  <c r="KE14" i="6"/>
  <c r="KD14" i="6"/>
  <c r="KG13" i="6"/>
  <c r="KF13" i="6"/>
  <c r="KE13" i="6"/>
  <c r="KD13" i="6"/>
  <c r="KG12" i="6"/>
  <c r="KF12" i="6"/>
  <c r="KE12" i="6"/>
  <c r="KD12" i="6"/>
  <c r="KG11" i="6"/>
  <c r="KF11" i="6"/>
  <c r="KE11" i="6"/>
  <c r="KD11" i="6"/>
  <c r="KG10" i="6"/>
  <c r="KF10" i="6"/>
  <c r="KE10" i="6"/>
  <c r="KH10" i="6" s="1"/>
  <c r="KD10" i="6"/>
  <c r="KG9" i="6"/>
  <c r="KF9" i="6"/>
  <c r="KE9" i="6"/>
  <c r="KD9" i="6"/>
  <c r="KG8" i="6"/>
  <c r="KF8" i="6"/>
  <c r="KE8" i="6"/>
  <c r="KD8" i="6"/>
  <c r="KG7" i="6"/>
  <c r="KF7" i="6"/>
  <c r="KE7" i="6"/>
  <c r="KD7" i="6"/>
  <c r="KG6" i="6"/>
  <c r="KF6" i="6"/>
  <c r="KE6" i="6"/>
  <c r="KH6" i="6" s="1"/>
  <c r="KD6" i="6"/>
  <c r="KG5" i="6"/>
  <c r="KF5" i="6"/>
  <c r="KE5" i="6"/>
  <c r="KD5" i="6"/>
  <c r="KG4" i="6"/>
  <c r="KF4" i="6"/>
  <c r="KE4" i="6"/>
  <c r="KH4" i="6" s="1"/>
  <c r="KD4" i="6"/>
  <c r="JL17" i="6"/>
  <c r="JK17" i="6"/>
  <c r="JJ17" i="6"/>
  <c r="JI17" i="6"/>
  <c r="JL16" i="6"/>
  <c r="JK16" i="6"/>
  <c r="JJ16" i="6"/>
  <c r="JI16" i="6"/>
  <c r="JL15" i="6"/>
  <c r="JK15" i="6"/>
  <c r="JJ15" i="6"/>
  <c r="JI15" i="6"/>
  <c r="JL14" i="6"/>
  <c r="JK14" i="6"/>
  <c r="JJ14" i="6"/>
  <c r="JM14" i="6" s="1"/>
  <c r="JI14" i="6"/>
  <c r="JL13" i="6"/>
  <c r="JK13" i="6"/>
  <c r="JJ13" i="6"/>
  <c r="JI13" i="6"/>
  <c r="JL12" i="6"/>
  <c r="JK12" i="6"/>
  <c r="JJ12" i="6"/>
  <c r="JM12" i="6" s="1"/>
  <c r="JI12" i="6"/>
  <c r="JL11" i="6"/>
  <c r="JK11" i="6"/>
  <c r="JJ11" i="6"/>
  <c r="JI11" i="6"/>
  <c r="JL10" i="6"/>
  <c r="JK10" i="6"/>
  <c r="JJ10" i="6"/>
  <c r="JM10" i="6" s="1"/>
  <c r="JI10" i="6"/>
  <c r="JL9" i="6"/>
  <c r="JK9" i="6"/>
  <c r="JJ9" i="6"/>
  <c r="JI9" i="6"/>
  <c r="JL8" i="6"/>
  <c r="JK8" i="6"/>
  <c r="JJ8" i="6"/>
  <c r="JI8" i="6"/>
  <c r="JL7" i="6"/>
  <c r="JK7" i="6"/>
  <c r="JJ7" i="6"/>
  <c r="JI7" i="6"/>
  <c r="JL6" i="6"/>
  <c r="JK6" i="6"/>
  <c r="JJ6" i="6"/>
  <c r="JM6" i="6" s="1"/>
  <c r="JI6" i="6"/>
  <c r="JL5" i="6"/>
  <c r="JK5" i="6"/>
  <c r="JJ5" i="6"/>
  <c r="JI5" i="6"/>
  <c r="JL4" i="6"/>
  <c r="JK4" i="6"/>
  <c r="JJ4" i="6"/>
  <c r="JM4" i="6" s="1"/>
  <c r="JI4" i="6"/>
  <c r="IQ17" i="6"/>
  <c r="IP17" i="6"/>
  <c r="IO17" i="6"/>
  <c r="IN17" i="6"/>
  <c r="IQ16" i="6"/>
  <c r="IP16" i="6"/>
  <c r="IO16" i="6"/>
  <c r="IN16" i="6"/>
  <c r="IQ15" i="6"/>
  <c r="IP15" i="6"/>
  <c r="IO15" i="6"/>
  <c r="IN15" i="6"/>
  <c r="IQ14" i="6"/>
  <c r="IP14" i="6"/>
  <c r="IO14" i="6"/>
  <c r="IR14" i="6" s="1"/>
  <c r="IN14" i="6"/>
  <c r="IQ13" i="6"/>
  <c r="IP13" i="6"/>
  <c r="IO13" i="6"/>
  <c r="IR13" i="6" s="1"/>
  <c r="IN13" i="6"/>
  <c r="IQ12" i="6"/>
  <c r="IP12" i="6"/>
  <c r="IO12" i="6"/>
  <c r="IR12" i="6" s="1"/>
  <c r="IN12" i="6"/>
  <c r="IQ11" i="6"/>
  <c r="IP11" i="6"/>
  <c r="IO11" i="6"/>
  <c r="IN11" i="6"/>
  <c r="IQ10" i="6"/>
  <c r="IP10" i="6"/>
  <c r="IO10" i="6"/>
  <c r="IR10" i="6" s="1"/>
  <c r="IN10" i="6"/>
  <c r="IQ9" i="6"/>
  <c r="IP9" i="6"/>
  <c r="IO9" i="6"/>
  <c r="IR9" i="6" s="1"/>
  <c r="IN9" i="6"/>
  <c r="IQ8" i="6"/>
  <c r="IP8" i="6"/>
  <c r="IO8" i="6"/>
  <c r="IN8" i="6"/>
  <c r="IQ7" i="6"/>
  <c r="IP7" i="6"/>
  <c r="IO7" i="6"/>
  <c r="IR7" i="6" s="1"/>
  <c r="IN7" i="6"/>
  <c r="IQ6" i="6"/>
  <c r="IP6" i="6"/>
  <c r="IO6" i="6"/>
  <c r="IN6" i="6"/>
  <c r="IQ5" i="6"/>
  <c r="IP5" i="6"/>
  <c r="IO5" i="6"/>
  <c r="IR5" i="6" s="1"/>
  <c r="IN5" i="6"/>
  <c r="IQ4" i="6"/>
  <c r="IP4" i="6"/>
  <c r="IO4" i="6"/>
  <c r="IN4" i="6"/>
  <c r="HV17" i="6"/>
  <c r="HU17" i="6"/>
  <c r="HT17" i="6"/>
  <c r="HW17" i="6" s="1"/>
  <c r="HS17" i="6"/>
  <c r="HV16" i="6"/>
  <c r="HU16" i="6"/>
  <c r="HT16" i="6"/>
  <c r="HS16" i="6"/>
  <c r="HV15" i="6"/>
  <c r="HU15" i="6"/>
  <c r="HT15" i="6"/>
  <c r="HW15" i="6" s="1"/>
  <c r="HS15" i="6"/>
  <c r="HV14" i="6"/>
  <c r="HU14" i="6"/>
  <c r="HT14" i="6"/>
  <c r="HW14" i="6" s="1"/>
  <c r="HS14" i="6"/>
  <c r="HV13" i="6"/>
  <c r="HU13" i="6"/>
  <c r="HT13" i="6"/>
  <c r="HS13" i="6"/>
  <c r="HV12" i="6"/>
  <c r="HU12" i="6"/>
  <c r="HT12" i="6"/>
  <c r="HS12" i="6"/>
  <c r="HV11" i="6"/>
  <c r="HU11" i="6"/>
  <c r="HT11" i="6"/>
  <c r="HS11" i="6"/>
  <c r="HV10" i="6"/>
  <c r="HU10" i="6"/>
  <c r="HT10" i="6"/>
  <c r="HS10" i="6"/>
  <c r="HV9" i="6"/>
  <c r="HU9" i="6"/>
  <c r="HT9" i="6"/>
  <c r="HS9" i="6"/>
  <c r="HV8" i="6"/>
  <c r="HU8" i="6"/>
  <c r="HT8" i="6"/>
  <c r="HS8" i="6"/>
  <c r="HV7" i="6"/>
  <c r="HU7" i="6"/>
  <c r="HT7" i="6"/>
  <c r="HS7" i="6"/>
  <c r="HV6" i="6"/>
  <c r="HU6" i="6"/>
  <c r="HT6" i="6"/>
  <c r="HW6" i="6" s="1"/>
  <c r="HS6" i="6"/>
  <c r="HV5" i="6"/>
  <c r="HU5" i="6"/>
  <c r="HT5" i="6"/>
  <c r="HS5" i="6"/>
  <c r="HV4" i="6"/>
  <c r="HU4" i="6"/>
  <c r="HT4" i="6"/>
  <c r="HW4" i="6" s="1"/>
  <c r="HS4" i="6"/>
  <c r="HA17" i="6"/>
  <c r="GZ17" i="6"/>
  <c r="GY17" i="6"/>
  <c r="HB17" i="6" s="1"/>
  <c r="GX17" i="6"/>
  <c r="HA16" i="6"/>
  <c r="GZ16" i="6"/>
  <c r="GY16" i="6"/>
  <c r="GX16" i="6"/>
  <c r="HA15" i="6"/>
  <c r="GZ15" i="6"/>
  <c r="GY15" i="6"/>
  <c r="HB15" i="6" s="1"/>
  <c r="GX15" i="6"/>
  <c r="HA14" i="6"/>
  <c r="GZ14" i="6"/>
  <c r="GY14" i="6"/>
  <c r="HB14" i="6" s="1"/>
  <c r="GX14" i="6"/>
  <c r="HA13" i="6"/>
  <c r="GZ13" i="6"/>
  <c r="GY13" i="6"/>
  <c r="GX13" i="6"/>
  <c r="HA12" i="6"/>
  <c r="GZ12" i="6"/>
  <c r="GY12" i="6"/>
  <c r="HB12" i="6" s="1"/>
  <c r="GX12" i="6"/>
  <c r="HA11" i="6"/>
  <c r="GZ11" i="6"/>
  <c r="GY11" i="6"/>
  <c r="GX11" i="6"/>
  <c r="HA10" i="6"/>
  <c r="GZ10" i="6"/>
  <c r="GY10" i="6"/>
  <c r="HB10" i="6" s="1"/>
  <c r="GX10" i="6"/>
  <c r="HA9" i="6"/>
  <c r="GZ9" i="6"/>
  <c r="GY9" i="6"/>
  <c r="GX9" i="6"/>
  <c r="HA8" i="6"/>
  <c r="GZ8" i="6"/>
  <c r="GY8" i="6"/>
  <c r="GX8" i="6"/>
  <c r="HA7" i="6"/>
  <c r="GZ7" i="6"/>
  <c r="GY7" i="6"/>
  <c r="GX7" i="6"/>
  <c r="HA6" i="6"/>
  <c r="GZ6" i="6"/>
  <c r="GY6" i="6"/>
  <c r="GX6" i="6"/>
  <c r="HA5" i="6"/>
  <c r="GZ5" i="6"/>
  <c r="GY5" i="6"/>
  <c r="HB5" i="6" s="1"/>
  <c r="GX5" i="6"/>
  <c r="HA4" i="6"/>
  <c r="GZ4" i="6"/>
  <c r="GY4" i="6"/>
  <c r="HB4" i="6" s="1"/>
  <c r="GX4" i="6"/>
  <c r="GF17" i="6"/>
  <c r="GE17" i="6"/>
  <c r="GD17" i="6"/>
  <c r="GG17" i="6" s="1"/>
  <c r="GC17" i="6"/>
  <c r="GF16" i="6"/>
  <c r="GE16" i="6"/>
  <c r="GD16" i="6"/>
  <c r="GC16" i="6"/>
  <c r="GF15" i="6"/>
  <c r="GE15" i="6"/>
  <c r="GD15" i="6"/>
  <c r="GG15" i="6" s="1"/>
  <c r="GC15" i="6"/>
  <c r="GF14" i="6"/>
  <c r="GE14" i="6"/>
  <c r="GD14" i="6"/>
  <c r="GC14" i="6"/>
  <c r="GF13" i="6"/>
  <c r="GE13" i="6"/>
  <c r="GD13" i="6"/>
  <c r="GG13" i="6" s="1"/>
  <c r="GC13" i="6"/>
  <c r="GF12" i="6"/>
  <c r="GE12" i="6"/>
  <c r="GD12" i="6"/>
  <c r="GC12" i="6"/>
  <c r="GF11" i="6"/>
  <c r="GE11" i="6"/>
  <c r="GD11" i="6"/>
  <c r="GC11" i="6"/>
  <c r="GF10" i="6"/>
  <c r="GE10" i="6"/>
  <c r="GD10" i="6"/>
  <c r="GC10" i="6"/>
  <c r="GF9" i="6"/>
  <c r="GE9" i="6"/>
  <c r="GD9" i="6"/>
  <c r="GG9" i="6" s="1"/>
  <c r="GC9" i="6"/>
  <c r="GF8" i="6"/>
  <c r="GE8" i="6"/>
  <c r="GD8" i="6"/>
  <c r="GC8" i="6"/>
  <c r="GF7" i="6"/>
  <c r="GE7" i="6"/>
  <c r="GD7" i="6"/>
  <c r="GG7" i="6" s="1"/>
  <c r="GC7" i="6"/>
  <c r="GF6" i="6"/>
  <c r="GE6" i="6"/>
  <c r="GD6" i="6"/>
  <c r="GC6" i="6"/>
  <c r="GF5" i="6"/>
  <c r="GE5" i="6"/>
  <c r="GD5" i="6"/>
  <c r="GG5" i="6" s="1"/>
  <c r="GC5" i="6"/>
  <c r="GF4" i="6"/>
  <c r="GE4" i="6"/>
  <c r="GD4" i="6"/>
  <c r="GC4" i="6"/>
  <c r="FK17" i="6"/>
  <c r="FJ17" i="6"/>
  <c r="FI17" i="6"/>
  <c r="FL17" i="6" s="1"/>
  <c r="FH17" i="6"/>
  <c r="FK16" i="6"/>
  <c r="FJ16" i="6"/>
  <c r="FI16" i="6"/>
  <c r="FH16" i="6"/>
  <c r="FK15" i="6"/>
  <c r="FJ15" i="6"/>
  <c r="FI15" i="6"/>
  <c r="FL15" i="6" s="1"/>
  <c r="FH15" i="6"/>
  <c r="FL14" i="6"/>
  <c r="FK14" i="6"/>
  <c r="FJ14" i="6"/>
  <c r="FI14" i="6"/>
  <c r="FH14" i="6"/>
  <c r="FK13" i="6"/>
  <c r="FJ13" i="6"/>
  <c r="FI13" i="6"/>
  <c r="FH13" i="6"/>
  <c r="FK12" i="6"/>
  <c r="FJ12" i="6"/>
  <c r="FI12" i="6"/>
  <c r="FH12" i="6"/>
  <c r="FK11" i="6"/>
  <c r="FL11" i="6" s="1"/>
  <c r="FJ11" i="6"/>
  <c r="FI11" i="6"/>
  <c r="FH11" i="6"/>
  <c r="FK10" i="6"/>
  <c r="FJ10" i="6"/>
  <c r="FI10" i="6"/>
  <c r="FH10" i="6"/>
  <c r="FK9" i="6"/>
  <c r="FJ9" i="6"/>
  <c r="FI9" i="6"/>
  <c r="FH9" i="6"/>
  <c r="FK8" i="6"/>
  <c r="FJ8" i="6"/>
  <c r="FI8" i="6"/>
  <c r="FH8" i="6"/>
  <c r="FK7" i="6"/>
  <c r="FJ7" i="6"/>
  <c r="FI7" i="6"/>
  <c r="FH7" i="6"/>
  <c r="FK6" i="6"/>
  <c r="FJ6" i="6"/>
  <c r="FI6" i="6"/>
  <c r="FH6" i="6"/>
  <c r="FK5" i="6"/>
  <c r="FJ5" i="6"/>
  <c r="FI5" i="6"/>
  <c r="FH5" i="6"/>
  <c r="FK4" i="6"/>
  <c r="FJ4" i="6"/>
  <c r="FI4" i="6"/>
  <c r="FH4" i="6"/>
  <c r="EP17" i="6"/>
  <c r="EO17" i="6"/>
  <c r="EN17" i="6"/>
  <c r="EM17" i="6"/>
  <c r="EP16" i="6"/>
  <c r="EO16" i="6"/>
  <c r="EN16" i="6"/>
  <c r="EM16" i="6"/>
  <c r="EP15" i="6"/>
  <c r="EO15" i="6"/>
  <c r="EN15" i="6"/>
  <c r="EM15" i="6"/>
  <c r="EP14" i="6"/>
  <c r="EO14" i="6"/>
  <c r="EN14" i="6"/>
  <c r="EM14" i="6"/>
  <c r="EP13" i="6"/>
  <c r="EO13" i="6"/>
  <c r="EN13" i="6"/>
  <c r="EM13" i="6"/>
  <c r="EP12" i="6"/>
  <c r="EO12" i="6"/>
  <c r="EN12" i="6"/>
  <c r="EM12" i="6"/>
  <c r="EP11" i="6"/>
  <c r="EQ11" i="6" s="1"/>
  <c r="EO11" i="6"/>
  <c r="EN11" i="6"/>
  <c r="EM11" i="6"/>
  <c r="EP10" i="6"/>
  <c r="EO10" i="6"/>
  <c r="EN10" i="6"/>
  <c r="EM10" i="6"/>
  <c r="EP9" i="6"/>
  <c r="EO9" i="6"/>
  <c r="EN9" i="6"/>
  <c r="EM9" i="6"/>
  <c r="EP8" i="6"/>
  <c r="EO8" i="6"/>
  <c r="EN8" i="6"/>
  <c r="EM8" i="6"/>
  <c r="EP7" i="6"/>
  <c r="EO7" i="6"/>
  <c r="EN7" i="6"/>
  <c r="EM7" i="6"/>
  <c r="EP6" i="6"/>
  <c r="EO6" i="6"/>
  <c r="EN6" i="6"/>
  <c r="EQ6" i="6" s="1"/>
  <c r="EM6" i="6"/>
  <c r="EP5" i="6"/>
  <c r="EO5" i="6"/>
  <c r="EN5" i="6"/>
  <c r="EM5" i="6"/>
  <c r="EP4" i="6"/>
  <c r="EO4" i="6"/>
  <c r="EN4" i="6"/>
  <c r="EM4" i="6"/>
  <c r="DU17" i="6"/>
  <c r="DT17" i="6"/>
  <c r="DS17" i="6"/>
  <c r="DR17" i="6"/>
  <c r="DU16" i="6"/>
  <c r="DT16" i="6"/>
  <c r="DS16" i="6"/>
  <c r="DR16" i="6"/>
  <c r="DU15" i="6"/>
  <c r="DT15" i="6"/>
  <c r="DS15" i="6"/>
  <c r="DR15" i="6"/>
  <c r="DU14" i="6"/>
  <c r="DT14" i="6"/>
  <c r="DS14" i="6"/>
  <c r="DR14" i="6"/>
  <c r="DU13" i="6"/>
  <c r="DT13" i="6"/>
  <c r="DS13" i="6"/>
  <c r="DR13" i="6"/>
  <c r="DU12" i="6"/>
  <c r="DT12" i="6"/>
  <c r="DS12" i="6"/>
  <c r="DR12" i="6"/>
  <c r="DU11" i="6"/>
  <c r="DT11" i="6"/>
  <c r="DS11" i="6"/>
  <c r="DR11" i="6"/>
  <c r="DU10" i="6"/>
  <c r="DT10" i="6"/>
  <c r="DS10" i="6"/>
  <c r="DR10" i="6"/>
  <c r="DU9" i="6"/>
  <c r="DT9" i="6"/>
  <c r="DS9" i="6"/>
  <c r="DR9" i="6"/>
  <c r="DU8" i="6"/>
  <c r="DT8" i="6"/>
  <c r="DS8" i="6"/>
  <c r="DR8" i="6"/>
  <c r="DU7" i="6"/>
  <c r="DT7" i="6"/>
  <c r="DS7" i="6"/>
  <c r="DR7" i="6"/>
  <c r="DU6" i="6"/>
  <c r="DT6" i="6"/>
  <c r="DS6" i="6"/>
  <c r="DR6" i="6"/>
  <c r="DU5" i="6"/>
  <c r="DT5" i="6"/>
  <c r="DS5" i="6"/>
  <c r="DR5" i="6"/>
  <c r="DU4" i="6"/>
  <c r="DT4" i="6"/>
  <c r="DS4" i="6"/>
  <c r="DR4" i="6"/>
  <c r="CZ17" i="6"/>
  <c r="CY17" i="6"/>
  <c r="CX17" i="6"/>
  <c r="CW17" i="6"/>
  <c r="CZ16" i="6"/>
  <c r="CY16" i="6"/>
  <c r="CX16" i="6"/>
  <c r="CW16" i="6"/>
  <c r="CZ15" i="6"/>
  <c r="CY15" i="6"/>
  <c r="CX15" i="6"/>
  <c r="CW15" i="6"/>
  <c r="CZ14" i="6"/>
  <c r="CY14" i="6"/>
  <c r="CX14" i="6"/>
  <c r="DA14" i="6" s="1"/>
  <c r="CW14" i="6"/>
  <c r="CZ13" i="6"/>
  <c r="CY13" i="6"/>
  <c r="CX13" i="6"/>
  <c r="CW13" i="6"/>
  <c r="CZ12" i="6"/>
  <c r="CY12" i="6"/>
  <c r="CX12" i="6"/>
  <c r="CW12" i="6"/>
  <c r="CZ11" i="6"/>
  <c r="DA11" i="6" s="1"/>
  <c r="CY11" i="6"/>
  <c r="CX11" i="6"/>
  <c r="CW11" i="6"/>
  <c r="CZ10" i="6"/>
  <c r="CY10" i="6"/>
  <c r="CX10" i="6"/>
  <c r="CW10" i="6"/>
  <c r="CZ9" i="6"/>
  <c r="CY9" i="6"/>
  <c r="CX9" i="6"/>
  <c r="CW9" i="6"/>
  <c r="CZ8" i="6"/>
  <c r="CY8" i="6"/>
  <c r="CX8" i="6"/>
  <c r="CW8" i="6"/>
  <c r="CZ7" i="6"/>
  <c r="CY7" i="6"/>
  <c r="CX7" i="6"/>
  <c r="CW7" i="6"/>
  <c r="CZ6" i="6"/>
  <c r="CY6" i="6"/>
  <c r="CX6" i="6"/>
  <c r="CW6" i="6"/>
  <c r="CZ5" i="6"/>
  <c r="CY5" i="6"/>
  <c r="CX5" i="6"/>
  <c r="CW5" i="6"/>
  <c r="CZ4" i="6"/>
  <c r="CY4" i="6"/>
  <c r="CX4" i="6"/>
  <c r="CW4" i="6"/>
  <c r="LB6" i="8"/>
  <c r="LA6" i="8"/>
  <c r="KZ6" i="8"/>
  <c r="LC6" i="8" s="1"/>
  <c r="KY6" i="8"/>
  <c r="LB5" i="8"/>
  <c r="LC5" i="8" s="1"/>
  <c r="LA5" i="8"/>
  <c r="KZ5" i="8"/>
  <c r="KY5" i="8"/>
  <c r="LB4" i="8"/>
  <c r="LA4" i="8"/>
  <c r="KZ4" i="8"/>
  <c r="LC4" i="8" s="1"/>
  <c r="KY4" i="8"/>
  <c r="KG6" i="8"/>
  <c r="KF6" i="8"/>
  <c r="KE6" i="8"/>
  <c r="KD6" i="8"/>
  <c r="KG5" i="8"/>
  <c r="KF5" i="8"/>
  <c r="KE5" i="8"/>
  <c r="KD5" i="8"/>
  <c r="KG4" i="8"/>
  <c r="KF4" i="8"/>
  <c r="KE4" i="8"/>
  <c r="KD4" i="8"/>
  <c r="JL6" i="8"/>
  <c r="JK6" i="8"/>
  <c r="JJ6" i="8"/>
  <c r="JM6" i="8" s="1"/>
  <c r="JI6" i="8"/>
  <c r="JL5" i="8"/>
  <c r="JK5" i="8"/>
  <c r="JJ5" i="8"/>
  <c r="JI5" i="8"/>
  <c r="JL4" i="8"/>
  <c r="JK4" i="8"/>
  <c r="JJ4" i="8"/>
  <c r="JM4" i="8" s="1"/>
  <c r="JI4" i="8"/>
  <c r="IQ6" i="8"/>
  <c r="IP6" i="8"/>
  <c r="IO6" i="8"/>
  <c r="IN6" i="8"/>
  <c r="IQ5" i="8"/>
  <c r="IP5" i="8"/>
  <c r="IO5" i="8"/>
  <c r="IN5" i="8"/>
  <c r="IQ4" i="8"/>
  <c r="IP4" i="8"/>
  <c r="IO4" i="8"/>
  <c r="IN4" i="8"/>
  <c r="HV6" i="8"/>
  <c r="HU6" i="8"/>
  <c r="HT6" i="8"/>
  <c r="HW6" i="8" s="1"/>
  <c r="HS6" i="8"/>
  <c r="HV5" i="8"/>
  <c r="HU5" i="8"/>
  <c r="HT5" i="8"/>
  <c r="HS5" i="8"/>
  <c r="HV4" i="8"/>
  <c r="HU4" i="8"/>
  <c r="HT4" i="8"/>
  <c r="HW4" i="8" s="1"/>
  <c r="HS4" i="8"/>
  <c r="HA6" i="8"/>
  <c r="GZ6" i="8"/>
  <c r="GY6" i="8"/>
  <c r="HB6" i="8" s="1"/>
  <c r="GX6" i="8"/>
  <c r="HA5" i="8"/>
  <c r="GZ5" i="8"/>
  <c r="GY5" i="8"/>
  <c r="GX5" i="8"/>
  <c r="HA4" i="8"/>
  <c r="GZ4" i="8"/>
  <c r="GY4" i="8"/>
  <c r="GX4" i="8"/>
  <c r="GF6" i="8"/>
  <c r="GE6" i="8"/>
  <c r="GD6" i="8"/>
  <c r="GC6" i="8"/>
  <c r="GF5" i="8"/>
  <c r="GE5" i="8"/>
  <c r="GD5" i="8"/>
  <c r="GC5" i="8"/>
  <c r="GF4" i="8"/>
  <c r="GE4" i="8"/>
  <c r="GD4" i="8"/>
  <c r="GC4" i="8"/>
  <c r="FK6" i="8"/>
  <c r="FJ6" i="8"/>
  <c r="FI6" i="8"/>
  <c r="FH6" i="8"/>
  <c r="FK5" i="8"/>
  <c r="FJ5" i="8"/>
  <c r="FI5" i="8"/>
  <c r="FH5" i="8"/>
  <c r="FK4" i="8"/>
  <c r="FJ4" i="8"/>
  <c r="FI4" i="8"/>
  <c r="FH4" i="8"/>
  <c r="EP6" i="8"/>
  <c r="EO6" i="8"/>
  <c r="EN6" i="8"/>
  <c r="EM6" i="8"/>
  <c r="EP5" i="8"/>
  <c r="EO5" i="8"/>
  <c r="EN5" i="8"/>
  <c r="EM5" i="8"/>
  <c r="EP4" i="8"/>
  <c r="EO4" i="8"/>
  <c r="EN4" i="8"/>
  <c r="EM4" i="8"/>
  <c r="DU6" i="8"/>
  <c r="DT6" i="8"/>
  <c r="DS6" i="8"/>
  <c r="DR6" i="8"/>
  <c r="DU5" i="8"/>
  <c r="DT5" i="8"/>
  <c r="DS5" i="8"/>
  <c r="DR5" i="8"/>
  <c r="DU4" i="8"/>
  <c r="DT4" i="8"/>
  <c r="DS4" i="8"/>
  <c r="DR4" i="8"/>
  <c r="CZ6" i="8"/>
  <c r="CY6" i="8"/>
  <c r="CX6" i="8"/>
  <c r="CW6" i="8"/>
  <c r="CZ5" i="8"/>
  <c r="CY5" i="8"/>
  <c r="CX5" i="8"/>
  <c r="CW5" i="8"/>
  <c r="CZ4" i="8"/>
  <c r="CY4" i="8"/>
  <c r="CX4" i="8"/>
  <c r="DA4" i="8" s="1"/>
  <c r="CW4" i="8"/>
  <c r="LB8" i="7"/>
  <c r="LA8" i="7"/>
  <c r="KZ8" i="7"/>
  <c r="KY8" i="7"/>
  <c r="LB7" i="7"/>
  <c r="LA7" i="7"/>
  <c r="KZ7" i="7"/>
  <c r="KY7" i="7"/>
  <c r="LB6" i="7"/>
  <c r="LA6" i="7"/>
  <c r="KZ6" i="7"/>
  <c r="KY6" i="7"/>
  <c r="LB5" i="7"/>
  <c r="LA5" i="7"/>
  <c r="KZ5" i="7"/>
  <c r="LC5" i="7" s="1"/>
  <c r="KY5" i="7"/>
  <c r="LB4" i="7"/>
  <c r="LA4" i="7"/>
  <c r="KZ4" i="7"/>
  <c r="KY4" i="7"/>
  <c r="KG8" i="7"/>
  <c r="KF8" i="7"/>
  <c r="KE8" i="7"/>
  <c r="KH8" i="7" s="1"/>
  <c r="KD8" i="7"/>
  <c r="KG7" i="7"/>
  <c r="KH7" i="7" s="1"/>
  <c r="KF7" i="7"/>
  <c r="KE7" i="7"/>
  <c r="KD7" i="7"/>
  <c r="KG6" i="7"/>
  <c r="KF6" i="7"/>
  <c r="KE6" i="7"/>
  <c r="KH6" i="7" s="1"/>
  <c r="KD6" i="7"/>
  <c r="KH5" i="7"/>
  <c r="KG5" i="7"/>
  <c r="KF5" i="7"/>
  <c r="KE5" i="7"/>
  <c r="KD5" i="7"/>
  <c r="KG4" i="7"/>
  <c r="KF4" i="7"/>
  <c r="KE4" i="7"/>
  <c r="KD4" i="7"/>
  <c r="JL8" i="7"/>
  <c r="JK8" i="7"/>
  <c r="JJ8" i="7"/>
  <c r="JI8" i="7"/>
  <c r="JL7" i="7"/>
  <c r="JM7" i="7" s="1"/>
  <c r="JK7" i="7"/>
  <c r="JJ7" i="7"/>
  <c r="JI7" i="7"/>
  <c r="JL6" i="7"/>
  <c r="JK6" i="7"/>
  <c r="JJ6" i="7"/>
  <c r="JM6" i="7" s="1"/>
  <c r="JI6" i="7"/>
  <c r="JL5" i="7"/>
  <c r="JK5" i="7"/>
  <c r="JJ5" i="7"/>
  <c r="JI5" i="7"/>
  <c r="JL4" i="7"/>
  <c r="JK4" i="7"/>
  <c r="JJ4" i="7"/>
  <c r="JI4" i="7"/>
  <c r="IQ8" i="7"/>
  <c r="IO8" i="7"/>
  <c r="IN8" i="7"/>
  <c r="IQ7" i="7"/>
  <c r="IO7" i="7"/>
  <c r="IN7" i="7"/>
  <c r="IQ6" i="7"/>
  <c r="IO6" i="7"/>
  <c r="IN6" i="7"/>
  <c r="IQ5" i="7"/>
  <c r="IO5" i="7"/>
  <c r="IN5" i="7"/>
  <c r="IQ4" i="7"/>
  <c r="IP4" i="7"/>
  <c r="IO4" i="7"/>
  <c r="IN4" i="7"/>
  <c r="HV8" i="7"/>
  <c r="HU8" i="7"/>
  <c r="HT8" i="7"/>
  <c r="HS8" i="7"/>
  <c r="HV7" i="7"/>
  <c r="HU7" i="7"/>
  <c r="HT7" i="7"/>
  <c r="HS7" i="7"/>
  <c r="HV6" i="7"/>
  <c r="HU6" i="7"/>
  <c r="HT6" i="7"/>
  <c r="HS6" i="7"/>
  <c r="HV5" i="7"/>
  <c r="HU5" i="7"/>
  <c r="HT5" i="7"/>
  <c r="HS5" i="7"/>
  <c r="HV4" i="7"/>
  <c r="HU4" i="7"/>
  <c r="HT4" i="7"/>
  <c r="HS4" i="7"/>
  <c r="HA8" i="7"/>
  <c r="GZ8" i="7"/>
  <c r="GY8" i="7"/>
  <c r="GX8" i="7"/>
  <c r="HA7" i="7"/>
  <c r="GZ7" i="7"/>
  <c r="GY7" i="7"/>
  <c r="GX7" i="7"/>
  <c r="HA6" i="7"/>
  <c r="GZ6" i="7"/>
  <c r="GY6" i="7"/>
  <c r="GX6" i="7"/>
  <c r="HA5" i="7"/>
  <c r="GZ5" i="7"/>
  <c r="GY5" i="7"/>
  <c r="GX5" i="7"/>
  <c r="HA4" i="7"/>
  <c r="GZ4" i="7"/>
  <c r="GY4" i="7"/>
  <c r="GX4" i="7"/>
  <c r="GF8" i="7"/>
  <c r="GG8" i="7" s="1"/>
  <c r="GE8" i="7"/>
  <c r="GD8" i="7"/>
  <c r="GC8" i="7"/>
  <c r="GF7" i="7"/>
  <c r="GE7" i="7"/>
  <c r="GD7" i="7"/>
  <c r="GC7" i="7"/>
  <c r="GF6" i="7"/>
  <c r="GE6" i="7"/>
  <c r="GD6" i="7"/>
  <c r="GC6" i="7"/>
  <c r="GF5" i="7"/>
  <c r="GE5" i="7"/>
  <c r="GD5" i="7"/>
  <c r="GG5" i="7" s="1"/>
  <c r="GC5" i="7"/>
  <c r="GF4" i="7"/>
  <c r="GE4" i="7"/>
  <c r="GD4" i="7"/>
  <c r="GC4" i="7"/>
  <c r="FK8" i="7"/>
  <c r="FJ8" i="7"/>
  <c r="FI8" i="7"/>
  <c r="FH8" i="7"/>
  <c r="FK7" i="7"/>
  <c r="FJ7" i="7"/>
  <c r="FI7" i="7"/>
  <c r="FH7" i="7"/>
  <c r="FK6" i="7"/>
  <c r="FJ6" i="7"/>
  <c r="FI6" i="7"/>
  <c r="FH6" i="7"/>
  <c r="FK5" i="7"/>
  <c r="FJ5" i="7"/>
  <c r="FI5" i="7"/>
  <c r="FH5" i="7"/>
  <c r="FK4" i="7"/>
  <c r="FJ4" i="7"/>
  <c r="FI4" i="7"/>
  <c r="FH4" i="7"/>
  <c r="EP8" i="7"/>
  <c r="EO8" i="7"/>
  <c r="EN8" i="7"/>
  <c r="EM8" i="7"/>
  <c r="EP7" i="7"/>
  <c r="EO7" i="7"/>
  <c r="EN7" i="7"/>
  <c r="EM7" i="7"/>
  <c r="EP6" i="7"/>
  <c r="EO6" i="7"/>
  <c r="EN6" i="7"/>
  <c r="EM6" i="7"/>
  <c r="EP5" i="7"/>
  <c r="EO5" i="7"/>
  <c r="EN5" i="7"/>
  <c r="EQ5" i="7" s="1"/>
  <c r="EM5" i="7"/>
  <c r="EP4" i="7"/>
  <c r="EO4" i="7"/>
  <c r="EN4" i="7"/>
  <c r="EM4" i="7"/>
  <c r="DU8" i="7"/>
  <c r="DT8" i="7"/>
  <c r="DS8" i="7"/>
  <c r="DV8" i="7" s="1"/>
  <c r="DR8" i="7"/>
  <c r="DU7" i="7"/>
  <c r="DT7" i="7"/>
  <c r="DS7" i="7"/>
  <c r="DR7" i="7"/>
  <c r="DU6" i="7"/>
  <c r="DT6" i="7"/>
  <c r="DS6" i="7"/>
  <c r="DV6" i="7" s="1"/>
  <c r="DR6" i="7"/>
  <c r="DU5" i="7"/>
  <c r="DT5" i="7"/>
  <c r="DS5" i="7"/>
  <c r="DR5" i="7"/>
  <c r="DU4" i="7"/>
  <c r="DT4" i="7"/>
  <c r="DS4" i="7"/>
  <c r="DR4" i="7"/>
  <c r="CZ8" i="7"/>
  <c r="CY8" i="7"/>
  <c r="CX8" i="7"/>
  <c r="CW8" i="7"/>
  <c r="CZ7" i="7"/>
  <c r="CY7" i="7"/>
  <c r="CX7" i="7"/>
  <c r="CW7" i="7"/>
  <c r="CZ6" i="7"/>
  <c r="CY6" i="7"/>
  <c r="CX6" i="7"/>
  <c r="CW6" i="7"/>
  <c r="CZ5" i="7"/>
  <c r="CY5" i="7"/>
  <c r="CX5" i="7"/>
  <c r="DA5" i="7" s="1"/>
  <c r="CW5" i="7"/>
  <c r="CZ4" i="7"/>
  <c r="CY4" i="7"/>
  <c r="CX4" i="7"/>
  <c r="CW4" i="7"/>
  <c r="LW13" i="14"/>
  <c r="LV13" i="14"/>
  <c r="LT13" i="14"/>
  <c r="LS13" i="14"/>
  <c r="LU13" i="14" s="1"/>
  <c r="LR13" i="14"/>
  <c r="LW12" i="14"/>
  <c r="LV12" i="14"/>
  <c r="LT12" i="14"/>
  <c r="LS12" i="14"/>
  <c r="LR12" i="14"/>
  <c r="LW11" i="14"/>
  <c r="LV11" i="14"/>
  <c r="LT11" i="14"/>
  <c r="LS11" i="14"/>
  <c r="LR11" i="14"/>
  <c r="LW10" i="14"/>
  <c r="LV10" i="14"/>
  <c r="LT10" i="14"/>
  <c r="LS10" i="14"/>
  <c r="LR10" i="14"/>
  <c r="LW9" i="14"/>
  <c r="LV9" i="14"/>
  <c r="LT9" i="14"/>
  <c r="LS9" i="14"/>
  <c r="LR9" i="14"/>
  <c r="LW8" i="14"/>
  <c r="LV8" i="14"/>
  <c r="LT8" i="14"/>
  <c r="LS8" i="14"/>
  <c r="LR8" i="14"/>
  <c r="LW7" i="14"/>
  <c r="LV7" i="14"/>
  <c r="LT7" i="14"/>
  <c r="LS7" i="14"/>
  <c r="LU7" i="14" s="1"/>
  <c r="LR7" i="14"/>
  <c r="LW14" i="14"/>
  <c r="LV14" i="14"/>
  <c r="LT14" i="14"/>
  <c r="LS14" i="14"/>
  <c r="LU14" i="14" s="1"/>
  <c r="LX14" i="14" s="1"/>
  <c r="LR14" i="14"/>
  <c r="LW6" i="14"/>
  <c r="LV6" i="14"/>
  <c r="LT6" i="14"/>
  <c r="LS6" i="14"/>
  <c r="LR6" i="14"/>
  <c r="LW5" i="14"/>
  <c r="LV5" i="14"/>
  <c r="LT5" i="14"/>
  <c r="LS5" i="14"/>
  <c r="LR5" i="14"/>
  <c r="LW4" i="14"/>
  <c r="LV4" i="14"/>
  <c r="LT4" i="14"/>
  <c r="LU4" i="14" s="1"/>
  <c r="LS4" i="14"/>
  <c r="LR4" i="14"/>
  <c r="LA13" i="14"/>
  <c r="KZ13" i="14"/>
  <c r="KX13" i="14"/>
  <c r="KW13" i="14"/>
  <c r="KY13" i="14" s="1"/>
  <c r="LB13" i="14" s="1"/>
  <c r="KV13" i="14"/>
  <c r="LA12" i="14"/>
  <c r="KZ12" i="14"/>
  <c r="KX12" i="14"/>
  <c r="KW12" i="14"/>
  <c r="KV12" i="14"/>
  <c r="LA11" i="14"/>
  <c r="KZ11" i="14"/>
  <c r="KX11" i="14"/>
  <c r="KW11" i="14"/>
  <c r="KV11" i="14"/>
  <c r="LA10" i="14"/>
  <c r="KZ10" i="14"/>
  <c r="KX10" i="14"/>
  <c r="KW10" i="14"/>
  <c r="KV10" i="14"/>
  <c r="LA9" i="14"/>
  <c r="KZ9" i="14"/>
  <c r="KX9" i="14"/>
  <c r="KW9" i="14"/>
  <c r="KY9" i="14" s="1"/>
  <c r="LB9" i="14" s="1"/>
  <c r="KV9" i="14"/>
  <c r="LA8" i="14"/>
  <c r="KZ8" i="14"/>
  <c r="KX8" i="14"/>
  <c r="KY8" i="14" s="1"/>
  <c r="KW8" i="14"/>
  <c r="KV8" i="14"/>
  <c r="LA7" i="14"/>
  <c r="KZ7" i="14"/>
  <c r="KX7" i="14"/>
  <c r="KW7" i="14"/>
  <c r="KY7" i="14" s="1"/>
  <c r="KV7" i="14"/>
  <c r="LA14" i="14"/>
  <c r="KZ14" i="14"/>
  <c r="KX14" i="14"/>
  <c r="KW14" i="14"/>
  <c r="KV14" i="14"/>
  <c r="LA6" i="14"/>
  <c r="KZ6" i="14"/>
  <c r="KX6" i="14"/>
  <c r="KW6" i="14"/>
  <c r="KY6" i="14" s="1"/>
  <c r="LB6" i="14" s="1"/>
  <c r="KV6" i="14"/>
  <c r="LA5" i="14"/>
  <c r="KZ5" i="14"/>
  <c r="KX5" i="14"/>
  <c r="KW5" i="14"/>
  <c r="KV5" i="14"/>
  <c r="LA4" i="14"/>
  <c r="KZ4" i="14"/>
  <c r="KX4" i="14"/>
  <c r="KW4" i="14"/>
  <c r="KV4" i="14"/>
  <c r="KE13" i="14"/>
  <c r="KD13" i="14"/>
  <c r="KB13" i="14"/>
  <c r="KA13" i="14"/>
  <c r="JZ13" i="14"/>
  <c r="KE12" i="14"/>
  <c r="KD12" i="14"/>
  <c r="KB12" i="14"/>
  <c r="KA12" i="14"/>
  <c r="JZ12" i="14"/>
  <c r="KE11" i="14"/>
  <c r="KD11" i="14"/>
  <c r="KB11" i="14"/>
  <c r="KA11" i="14"/>
  <c r="JZ11" i="14"/>
  <c r="KE10" i="14"/>
  <c r="KD10" i="14"/>
  <c r="KB10" i="14"/>
  <c r="KA10" i="14"/>
  <c r="KC10" i="14" s="1"/>
  <c r="JZ10" i="14"/>
  <c r="KE9" i="14"/>
  <c r="KD9" i="14"/>
  <c r="KB9" i="14"/>
  <c r="KA9" i="14"/>
  <c r="JZ9" i="14"/>
  <c r="KE8" i="14"/>
  <c r="KD8" i="14"/>
  <c r="KB8" i="14"/>
  <c r="KA8" i="14"/>
  <c r="JZ8" i="14"/>
  <c r="KE7" i="14"/>
  <c r="KD7" i="14"/>
  <c r="KB7" i="14"/>
  <c r="KA7" i="14"/>
  <c r="JZ7" i="14"/>
  <c r="KE14" i="14"/>
  <c r="KD14" i="14"/>
  <c r="KB14" i="14"/>
  <c r="KA14" i="14"/>
  <c r="KC14" i="14" s="1"/>
  <c r="JZ14" i="14"/>
  <c r="KE6" i="14"/>
  <c r="KD6" i="14"/>
  <c r="KB6" i="14"/>
  <c r="KA6" i="14"/>
  <c r="JZ6" i="14"/>
  <c r="KE5" i="14"/>
  <c r="KD5" i="14"/>
  <c r="KB5" i="14"/>
  <c r="KA5" i="14"/>
  <c r="KC5" i="14" s="1"/>
  <c r="KF5" i="14" s="1"/>
  <c r="JZ5" i="14"/>
  <c r="KE4" i="14"/>
  <c r="KD4" i="14"/>
  <c r="KB4" i="14"/>
  <c r="KA4" i="14"/>
  <c r="JZ4" i="14"/>
  <c r="JI13" i="14"/>
  <c r="JH13" i="14"/>
  <c r="JF13" i="14"/>
  <c r="JE13" i="14"/>
  <c r="JD13" i="14"/>
  <c r="JI12" i="14"/>
  <c r="JH12" i="14"/>
  <c r="JF12" i="14"/>
  <c r="JE12" i="14"/>
  <c r="JD12" i="14"/>
  <c r="JI11" i="14"/>
  <c r="JH11" i="14"/>
  <c r="JF11" i="14"/>
  <c r="JE11" i="14"/>
  <c r="JD11" i="14"/>
  <c r="JI10" i="14"/>
  <c r="JH10" i="14"/>
  <c r="JF10" i="14"/>
  <c r="JE10" i="14"/>
  <c r="JD10" i="14"/>
  <c r="JI9" i="14"/>
  <c r="JH9" i="14"/>
  <c r="JF9" i="14"/>
  <c r="JE9" i="14"/>
  <c r="JG9" i="14" s="1"/>
  <c r="JJ9" i="14" s="1"/>
  <c r="JD9" i="14"/>
  <c r="JI8" i="14"/>
  <c r="JH8" i="14"/>
  <c r="JF8" i="14"/>
  <c r="JE8" i="14"/>
  <c r="JD8" i="14"/>
  <c r="JI7" i="14"/>
  <c r="JH7" i="14"/>
  <c r="JF7" i="14"/>
  <c r="JE7" i="14"/>
  <c r="JG7" i="14" s="1"/>
  <c r="JJ7" i="14" s="1"/>
  <c r="JD7" i="14"/>
  <c r="JI14" i="14"/>
  <c r="JH14" i="14"/>
  <c r="JF14" i="14"/>
  <c r="JE14" i="14"/>
  <c r="JD14" i="14"/>
  <c r="JI6" i="14"/>
  <c r="JH6" i="14"/>
  <c r="JF6" i="14"/>
  <c r="JE6" i="14"/>
  <c r="JD6" i="14"/>
  <c r="JI5" i="14"/>
  <c r="JH5" i="14"/>
  <c r="JF5" i="14"/>
  <c r="JE5" i="14"/>
  <c r="JD5" i="14"/>
  <c r="JI4" i="14"/>
  <c r="JH4" i="14"/>
  <c r="JF4" i="14"/>
  <c r="JE4" i="14"/>
  <c r="JD4" i="14"/>
  <c r="IM13" i="14"/>
  <c r="IL13" i="14"/>
  <c r="IJ13" i="14"/>
  <c r="II13" i="14"/>
  <c r="IH13" i="14"/>
  <c r="IM12" i="14"/>
  <c r="IL12" i="14"/>
  <c r="IJ12" i="14"/>
  <c r="II12" i="14"/>
  <c r="IH12" i="14"/>
  <c r="IM11" i="14"/>
  <c r="IL11" i="14"/>
  <c r="IJ11" i="14"/>
  <c r="II11" i="14"/>
  <c r="IH11" i="14"/>
  <c r="IM10" i="14"/>
  <c r="IL10" i="14"/>
  <c r="IJ10" i="14"/>
  <c r="II10" i="14"/>
  <c r="IK10" i="14" s="1"/>
  <c r="IH10" i="14"/>
  <c r="IM9" i="14"/>
  <c r="IL9" i="14"/>
  <c r="IJ9" i="14"/>
  <c r="II9" i="14"/>
  <c r="IH9" i="14"/>
  <c r="IM8" i="14"/>
  <c r="IL8" i="14"/>
  <c r="IJ8" i="14"/>
  <c r="II8" i="14"/>
  <c r="IH8" i="14"/>
  <c r="IM7" i="14"/>
  <c r="IL7" i="14"/>
  <c r="IJ7" i="14"/>
  <c r="II7" i="14"/>
  <c r="IH7" i="14"/>
  <c r="IM14" i="14"/>
  <c r="IL14" i="14"/>
  <c r="IJ14" i="14"/>
  <c r="II14" i="14"/>
  <c r="IH14" i="14"/>
  <c r="IM6" i="14"/>
  <c r="IL6" i="14"/>
  <c r="IK6" i="14"/>
  <c r="IJ6" i="14"/>
  <c r="II6" i="14"/>
  <c r="IH6" i="14"/>
  <c r="IM5" i="14"/>
  <c r="IL5" i="14"/>
  <c r="IJ5" i="14"/>
  <c r="II5" i="14"/>
  <c r="IH5" i="14"/>
  <c r="IM4" i="14"/>
  <c r="IL4" i="14"/>
  <c r="IJ4" i="14"/>
  <c r="II4" i="14"/>
  <c r="IH4" i="14"/>
  <c r="HQ13" i="14"/>
  <c r="HP13" i="14"/>
  <c r="HN13" i="14"/>
  <c r="HM13" i="14"/>
  <c r="HL13" i="14"/>
  <c r="HQ12" i="14"/>
  <c r="HP12" i="14"/>
  <c r="HN12" i="14"/>
  <c r="HM12" i="14"/>
  <c r="HO12" i="14" s="1"/>
  <c r="HR12" i="14" s="1"/>
  <c r="HL12" i="14"/>
  <c r="HQ11" i="14"/>
  <c r="HP11" i="14"/>
  <c r="HN11" i="14"/>
  <c r="HM11" i="14"/>
  <c r="HL11" i="14"/>
  <c r="HQ10" i="14"/>
  <c r="HP10" i="14"/>
  <c r="HN10" i="14"/>
  <c r="HM10" i="14"/>
  <c r="HL10" i="14"/>
  <c r="HQ9" i="14"/>
  <c r="HP9" i="14"/>
  <c r="HN9" i="14"/>
  <c r="HM9" i="14"/>
  <c r="HL9" i="14"/>
  <c r="HQ8" i="14"/>
  <c r="HP8" i="14"/>
  <c r="HN8" i="14"/>
  <c r="HM8" i="14"/>
  <c r="HL8" i="14"/>
  <c r="HQ7" i="14"/>
  <c r="HP7" i="14"/>
  <c r="HN7" i="14"/>
  <c r="HM7" i="14"/>
  <c r="HL7" i="14"/>
  <c r="HQ14" i="14"/>
  <c r="HP14" i="14"/>
  <c r="HN14" i="14"/>
  <c r="HM14" i="14"/>
  <c r="HO14" i="14" s="1"/>
  <c r="HR14" i="14" s="1"/>
  <c r="HL14" i="14"/>
  <c r="HQ6" i="14"/>
  <c r="HP6" i="14"/>
  <c r="HN6" i="14"/>
  <c r="HM6" i="14"/>
  <c r="HL6" i="14"/>
  <c r="HQ5" i="14"/>
  <c r="HP5" i="14"/>
  <c r="HN5" i="14"/>
  <c r="HM5" i="14"/>
  <c r="HL5" i="14"/>
  <c r="HQ4" i="14"/>
  <c r="HP4" i="14"/>
  <c r="HN4" i="14"/>
  <c r="HM4" i="14"/>
  <c r="HL4" i="14"/>
  <c r="GU13" i="14"/>
  <c r="GT13" i="14"/>
  <c r="GR13" i="14"/>
  <c r="GQ13" i="14"/>
  <c r="GP13" i="14"/>
  <c r="GU12" i="14"/>
  <c r="GT12" i="14"/>
  <c r="GR12" i="14"/>
  <c r="GQ12" i="14"/>
  <c r="GP12" i="14"/>
  <c r="GU11" i="14"/>
  <c r="GT11" i="14"/>
  <c r="GR11" i="14"/>
  <c r="GQ11" i="14"/>
  <c r="GS11" i="14" s="1"/>
  <c r="GP11" i="14"/>
  <c r="GU10" i="14"/>
  <c r="GT10" i="14"/>
  <c r="GR10" i="14"/>
  <c r="GQ10" i="14"/>
  <c r="GP10" i="14"/>
  <c r="GU9" i="14"/>
  <c r="GT9" i="14"/>
  <c r="GR9" i="14"/>
  <c r="GQ9" i="14"/>
  <c r="GP9" i="14"/>
  <c r="GU8" i="14"/>
  <c r="GT8" i="14"/>
  <c r="GR8" i="14"/>
  <c r="GQ8" i="14"/>
  <c r="GP8" i="14"/>
  <c r="GU7" i="14"/>
  <c r="GT7" i="14"/>
  <c r="GR7" i="14"/>
  <c r="GQ7" i="14"/>
  <c r="GP7" i="14"/>
  <c r="GU14" i="14"/>
  <c r="GT14" i="14"/>
  <c r="GR14" i="14"/>
  <c r="GQ14" i="14"/>
  <c r="GP14" i="14"/>
  <c r="GU6" i="14"/>
  <c r="GT6" i="14"/>
  <c r="GR6" i="14"/>
  <c r="GQ6" i="14"/>
  <c r="GP6" i="14"/>
  <c r="GU5" i="14"/>
  <c r="GT5" i="14"/>
  <c r="GR5" i="14"/>
  <c r="GQ5" i="14"/>
  <c r="GP5" i="14"/>
  <c r="GU4" i="14"/>
  <c r="GT4" i="14"/>
  <c r="GR4" i="14"/>
  <c r="GQ4" i="14"/>
  <c r="GP4" i="14"/>
  <c r="FY13" i="14"/>
  <c r="FX13" i="14"/>
  <c r="FV13" i="14"/>
  <c r="FU13" i="14"/>
  <c r="FT13" i="14"/>
  <c r="FY12" i="14"/>
  <c r="FX12" i="14"/>
  <c r="FV12" i="14"/>
  <c r="FU12" i="14"/>
  <c r="FT12" i="14"/>
  <c r="FY11" i="14"/>
  <c r="FX11" i="14"/>
  <c r="FV11" i="14"/>
  <c r="FU11" i="14"/>
  <c r="FT11" i="14"/>
  <c r="FY10" i="14"/>
  <c r="FX10" i="14"/>
  <c r="FV10" i="14"/>
  <c r="FU10" i="14"/>
  <c r="FT10" i="14"/>
  <c r="FY9" i="14"/>
  <c r="FX9" i="14"/>
  <c r="FV9" i="14"/>
  <c r="FU9" i="14"/>
  <c r="FT9" i="14"/>
  <c r="FY8" i="14"/>
  <c r="FX8" i="14"/>
  <c r="FV8" i="14"/>
  <c r="FU8" i="14"/>
  <c r="FW8" i="14" s="1"/>
  <c r="FT8" i="14"/>
  <c r="FY7" i="14"/>
  <c r="FX7" i="14"/>
  <c r="FV7" i="14"/>
  <c r="FU7" i="14"/>
  <c r="FT7" i="14"/>
  <c r="FY14" i="14"/>
  <c r="FX14" i="14"/>
  <c r="FV14" i="14"/>
  <c r="FU14" i="14"/>
  <c r="FT14" i="14"/>
  <c r="FY6" i="14"/>
  <c r="FX6" i="14"/>
  <c r="FV6" i="14"/>
  <c r="FU6" i="14"/>
  <c r="FT6" i="14"/>
  <c r="FY5" i="14"/>
  <c r="FX5" i="14"/>
  <c r="FV5" i="14"/>
  <c r="FU5" i="14"/>
  <c r="FW5" i="14" s="1"/>
  <c r="FT5" i="14"/>
  <c r="FY4" i="14"/>
  <c r="FX4" i="14"/>
  <c r="FV4" i="14"/>
  <c r="FU4" i="14"/>
  <c r="FT4" i="14"/>
  <c r="FC13" i="14"/>
  <c r="FB13" i="14"/>
  <c r="EZ13" i="14"/>
  <c r="EY13" i="14"/>
  <c r="EX13" i="14"/>
  <c r="FC12" i="14"/>
  <c r="FB12" i="14"/>
  <c r="EZ12" i="14"/>
  <c r="EY12" i="14"/>
  <c r="EX12" i="14"/>
  <c r="FC11" i="14"/>
  <c r="FB11" i="14"/>
  <c r="EZ11" i="14"/>
  <c r="EY11" i="14"/>
  <c r="EX11" i="14"/>
  <c r="FC10" i="14"/>
  <c r="FB10" i="14"/>
  <c r="EZ10" i="14"/>
  <c r="EY10" i="14"/>
  <c r="EX10" i="14"/>
  <c r="FC9" i="14"/>
  <c r="FB9" i="14"/>
  <c r="EZ9" i="14"/>
  <c r="FA9" i="14" s="1"/>
  <c r="EY9" i="14"/>
  <c r="EX9" i="14"/>
  <c r="FC8" i="14"/>
  <c r="FB8" i="14"/>
  <c r="EZ8" i="14"/>
  <c r="EY8" i="14"/>
  <c r="EX8" i="14"/>
  <c r="FC7" i="14"/>
  <c r="FB7" i="14"/>
  <c r="EZ7" i="14"/>
  <c r="EY7" i="14"/>
  <c r="EX7" i="14"/>
  <c r="FC14" i="14"/>
  <c r="FB14" i="14"/>
  <c r="EZ14" i="14"/>
  <c r="EY14" i="14"/>
  <c r="EX14" i="14"/>
  <c r="FC6" i="14"/>
  <c r="FB6" i="14"/>
  <c r="EZ6" i="14"/>
  <c r="EY6" i="14"/>
  <c r="EX6" i="14"/>
  <c r="FC5" i="14"/>
  <c r="FB5" i="14"/>
  <c r="EZ5" i="14"/>
  <c r="EY5" i="14"/>
  <c r="FA5" i="14" s="1"/>
  <c r="EX5" i="14"/>
  <c r="FC4" i="14"/>
  <c r="FB4" i="14"/>
  <c r="EZ4" i="14"/>
  <c r="EY4" i="14"/>
  <c r="EX4" i="14"/>
  <c r="EG13" i="14"/>
  <c r="EF13" i="14"/>
  <c r="ED13" i="14"/>
  <c r="EC13" i="14"/>
  <c r="EB13" i="14"/>
  <c r="EG12" i="14"/>
  <c r="EF12" i="14"/>
  <c r="ED12" i="14"/>
  <c r="EC12" i="14"/>
  <c r="EB12" i="14"/>
  <c r="EG11" i="14"/>
  <c r="EF11" i="14"/>
  <c r="ED11" i="14"/>
  <c r="EC11" i="14"/>
  <c r="EB11" i="14"/>
  <c r="EG10" i="14"/>
  <c r="EF10" i="14"/>
  <c r="ED10" i="14"/>
  <c r="EC10" i="14"/>
  <c r="EB10" i="14"/>
  <c r="EG9" i="14"/>
  <c r="EF9" i="14"/>
  <c r="ED9" i="14"/>
  <c r="EC9" i="14"/>
  <c r="EB9" i="14"/>
  <c r="EG8" i="14"/>
  <c r="EF8" i="14"/>
  <c r="ED8" i="14"/>
  <c r="EC8" i="14"/>
  <c r="EB8" i="14"/>
  <c r="EG7" i="14"/>
  <c r="EF7" i="14"/>
  <c r="ED7" i="14"/>
  <c r="EC7" i="14"/>
  <c r="EE7" i="14" s="1"/>
  <c r="EB7" i="14"/>
  <c r="EG14" i="14"/>
  <c r="EF14" i="14"/>
  <c r="ED14" i="14"/>
  <c r="EC14" i="14"/>
  <c r="EB14" i="14"/>
  <c r="EG6" i="14"/>
  <c r="EF6" i="14"/>
  <c r="ED6" i="14"/>
  <c r="EC6" i="14"/>
  <c r="EB6" i="14"/>
  <c r="EG5" i="14"/>
  <c r="EF5" i="14"/>
  <c r="ED5" i="14"/>
  <c r="EC5" i="14"/>
  <c r="EB5" i="14"/>
  <c r="EG4" i="14"/>
  <c r="EF4" i="14"/>
  <c r="ED4" i="14"/>
  <c r="EC4" i="14"/>
  <c r="EB4" i="14"/>
  <c r="DK13" i="14"/>
  <c r="DJ13" i="14"/>
  <c r="DH13" i="14"/>
  <c r="DG13" i="14"/>
  <c r="DF13" i="14"/>
  <c r="DK12" i="14"/>
  <c r="DJ12" i="14"/>
  <c r="DH12" i="14"/>
  <c r="DG12" i="14"/>
  <c r="DI12" i="14" s="1"/>
  <c r="DF12" i="14"/>
  <c r="DK11" i="14"/>
  <c r="DJ11" i="14"/>
  <c r="DH11" i="14"/>
  <c r="DG11" i="14"/>
  <c r="DF11" i="14"/>
  <c r="DK10" i="14"/>
  <c r="DJ10" i="14"/>
  <c r="DH10" i="14"/>
  <c r="DG10" i="14"/>
  <c r="DF10" i="14"/>
  <c r="DK9" i="14"/>
  <c r="DJ9" i="14"/>
  <c r="DH9" i="14"/>
  <c r="DG9" i="14"/>
  <c r="DF9" i="14"/>
  <c r="DK8" i="14"/>
  <c r="DJ8" i="14"/>
  <c r="DH8" i="14"/>
  <c r="DG8" i="14"/>
  <c r="DF8" i="14"/>
  <c r="DK7" i="14"/>
  <c r="DJ7" i="14"/>
  <c r="DH7" i="14"/>
  <c r="DG7" i="14"/>
  <c r="DF7" i="14"/>
  <c r="DK14" i="14"/>
  <c r="DJ14" i="14"/>
  <c r="DH14" i="14"/>
  <c r="DG14" i="14"/>
  <c r="DF14" i="14"/>
  <c r="DK6" i="14"/>
  <c r="DJ6" i="14"/>
  <c r="DH6" i="14"/>
  <c r="DG6" i="14"/>
  <c r="DF6" i="14"/>
  <c r="DK5" i="14"/>
  <c r="DJ5" i="14"/>
  <c r="DH5" i="14"/>
  <c r="DG5" i="14"/>
  <c r="DF5" i="14"/>
  <c r="DK4" i="14"/>
  <c r="DJ4" i="14"/>
  <c r="DH4" i="14"/>
  <c r="DG4" i="14"/>
  <c r="DF4" i="14"/>
  <c r="LW11" i="9"/>
  <c r="LV11" i="9"/>
  <c r="LT11" i="9"/>
  <c r="LS11" i="9"/>
  <c r="LU11" i="9" s="1"/>
  <c r="LX11" i="9" s="1"/>
  <c r="LR11" i="9"/>
  <c r="LW10" i="9"/>
  <c r="LV10" i="9"/>
  <c r="LT10" i="9"/>
  <c r="LS10" i="9"/>
  <c r="LU10" i="9" s="1"/>
  <c r="LR10" i="9"/>
  <c r="LW9" i="9"/>
  <c r="LV9" i="9"/>
  <c r="LT9" i="9"/>
  <c r="LS9" i="9"/>
  <c r="LR9" i="9"/>
  <c r="LW8" i="9"/>
  <c r="LV8" i="9"/>
  <c r="LT8" i="9"/>
  <c r="LS8" i="9"/>
  <c r="LR8" i="9"/>
  <c r="LW7" i="9"/>
  <c r="LV7" i="9"/>
  <c r="LT7" i="9"/>
  <c r="LU7" i="9" s="1"/>
  <c r="LX7" i="9" s="1"/>
  <c r="LS7" i="9"/>
  <c r="LR7" i="9"/>
  <c r="LW6" i="9"/>
  <c r="LV6" i="9"/>
  <c r="LT6" i="9"/>
  <c r="LU6" i="9" s="1"/>
  <c r="LX6" i="9" s="1"/>
  <c r="LS6" i="9"/>
  <c r="LR6" i="9"/>
  <c r="LW5" i="9"/>
  <c r="LV5" i="9"/>
  <c r="LT5" i="9"/>
  <c r="LS5" i="9"/>
  <c r="LR5" i="9"/>
  <c r="LW4" i="9"/>
  <c r="LV4" i="9"/>
  <c r="LT4" i="9"/>
  <c r="LS4" i="9"/>
  <c r="LR4" i="9"/>
  <c r="LA11" i="9"/>
  <c r="KZ11" i="9"/>
  <c r="KX11" i="9"/>
  <c r="KW11" i="9"/>
  <c r="KY11" i="9" s="1"/>
  <c r="LB11" i="9" s="1"/>
  <c r="KV11" i="9"/>
  <c r="LA10" i="9"/>
  <c r="KZ10" i="9"/>
  <c r="KX10" i="9"/>
  <c r="KW10" i="9"/>
  <c r="KV10" i="9"/>
  <c r="LA9" i="9"/>
  <c r="KZ9" i="9"/>
  <c r="KX9" i="9"/>
  <c r="KW9" i="9"/>
  <c r="KY9" i="9" s="1"/>
  <c r="LB9" i="9" s="1"/>
  <c r="KV9" i="9"/>
  <c r="LA8" i="9"/>
  <c r="KZ8" i="9"/>
  <c r="KX8" i="9"/>
  <c r="KW8" i="9"/>
  <c r="KV8" i="9"/>
  <c r="LA7" i="9"/>
  <c r="KZ7" i="9"/>
  <c r="KY7" i="9"/>
  <c r="LB7" i="9" s="1"/>
  <c r="KX7" i="9"/>
  <c r="KW7" i="9"/>
  <c r="KV7" i="9"/>
  <c r="LA6" i="9"/>
  <c r="KZ6" i="9"/>
  <c r="KX6" i="9"/>
  <c r="KW6" i="9"/>
  <c r="KY6" i="9" s="1"/>
  <c r="LB6" i="9" s="1"/>
  <c r="KV6" i="9"/>
  <c r="LA5" i="9"/>
  <c r="KZ5" i="9"/>
  <c r="KX5" i="9"/>
  <c r="KW5" i="9"/>
  <c r="KV5" i="9"/>
  <c r="LA4" i="9"/>
  <c r="KZ4" i="9"/>
  <c r="KX4" i="9"/>
  <c r="KW4" i="9"/>
  <c r="KV4" i="9"/>
  <c r="KE11" i="9"/>
  <c r="KD11" i="9"/>
  <c r="KB11" i="9"/>
  <c r="KA11" i="9"/>
  <c r="JZ11" i="9"/>
  <c r="KE10" i="9"/>
  <c r="KD10" i="9"/>
  <c r="KB10" i="9"/>
  <c r="KA10" i="9"/>
  <c r="JZ10" i="9"/>
  <c r="KE9" i="9"/>
  <c r="KD9" i="9"/>
  <c r="KC9" i="9"/>
  <c r="KB9" i="9"/>
  <c r="KA9" i="9"/>
  <c r="JZ9" i="9"/>
  <c r="KE8" i="9"/>
  <c r="KD8" i="9"/>
  <c r="KB8" i="9"/>
  <c r="KA8" i="9"/>
  <c r="JZ8" i="9"/>
  <c r="KE7" i="9"/>
  <c r="KD7" i="9"/>
  <c r="KB7" i="9"/>
  <c r="KA7" i="9"/>
  <c r="JZ7" i="9"/>
  <c r="KE6" i="9"/>
  <c r="KD6" i="9"/>
  <c r="KB6" i="9"/>
  <c r="KA6" i="9"/>
  <c r="JZ6" i="9"/>
  <c r="KE5" i="9"/>
  <c r="KD5" i="9"/>
  <c r="KB5" i="9"/>
  <c r="KA5" i="9"/>
  <c r="JZ5" i="9"/>
  <c r="KE4" i="9"/>
  <c r="KD4" i="9"/>
  <c r="KB4" i="9"/>
  <c r="KA4" i="9"/>
  <c r="KC4" i="9" s="1"/>
  <c r="JZ4" i="9"/>
  <c r="JI11" i="9"/>
  <c r="JH11" i="9"/>
  <c r="JF11" i="9"/>
  <c r="JE11" i="9"/>
  <c r="JD11" i="9"/>
  <c r="JI10" i="9"/>
  <c r="JH10" i="9"/>
  <c r="JF10" i="9"/>
  <c r="JE10" i="9"/>
  <c r="JD10" i="9"/>
  <c r="JI9" i="9"/>
  <c r="JH9" i="9"/>
  <c r="JF9" i="9"/>
  <c r="JE9" i="9"/>
  <c r="JD9" i="9"/>
  <c r="JI8" i="9"/>
  <c r="JH8" i="9"/>
  <c r="JF8" i="9"/>
  <c r="JE8" i="9"/>
  <c r="JD8" i="9"/>
  <c r="JI7" i="9"/>
  <c r="JH7" i="9"/>
  <c r="JF7" i="9"/>
  <c r="JE7" i="9"/>
  <c r="JD7" i="9"/>
  <c r="JI6" i="9"/>
  <c r="JH6" i="9"/>
  <c r="JF6" i="9"/>
  <c r="JE6" i="9"/>
  <c r="JD6" i="9"/>
  <c r="JI5" i="9"/>
  <c r="JH5" i="9"/>
  <c r="JF5" i="9"/>
  <c r="JE5" i="9"/>
  <c r="JD5" i="9"/>
  <c r="JI4" i="9"/>
  <c r="JH4" i="9"/>
  <c r="JF4" i="9"/>
  <c r="JE4" i="9"/>
  <c r="JG4" i="9" s="1"/>
  <c r="JD4" i="9"/>
  <c r="IM11" i="9"/>
  <c r="IL11" i="9"/>
  <c r="IJ11" i="9"/>
  <c r="II11" i="9"/>
  <c r="IH11" i="9"/>
  <c r="IM10" i="9"/>
  <c r="IL10" i="9"/>
  <c r="IJ10" i="9"/>
  <c r="II10" i="9"/>
  <c r="IH10" i="9"/>
  <c r="IM9" i="9"/>
  <c r="IL9" i="9"/>
  <c r="IJ9" i="9"/>
  <c r="II9" i="9"/>
  <c r="IH9" i="9"/>
  <c r="IM8" i="9"/>
  <c r="IL8" i="9"/>
  <c r="IJ8" i="9"/>
  <c r="II8" i="9"/>
  <c r="IH8" i="9"/>
  <c r="IM7" i="9"/>
  <c r="IL7" i="9"/>
  <c r="IJ7" i="9"/>
  <c r="II7" i="9"/>
  <c r="IH7" i="9"/>
  <c r="IM6" i="9"/>
  <c r="IL6" i="9"/>
  <c r="IJ6" i="9"/>
  <c r="II6" i="9"/>
  <c r="IH6" i="9"/>
  <c r="IM5" i="9"/>
  <c r="IL5" i="9"/>
  <c r="IJ5" i="9"/>
  <c r="II5" i="9"/>
  <c r="IK5" i="9" s="1"/>
  <c r="IN5" i="9" s="1"/>
  <c r="IH5" i="9"/>
  <c r="IM4" i="9"/>
  <c r="IL4" i="9"/>
  <c r="IJ4" i="9"/>
  <c r="II4" i="9"/>
  <c r="IH4" i="9"/>
  <c r="HQ11" i="9"/>
  <c r="HP11" i="9"/>
  <c r="HN11" i="9"/>
  <c r="HM11" i="9"/>
  <c r="HL11" i="9"/>
  <c r="HQ10" i="9"/>
  <c r="HP10" i="9"/>
  <c r="HN10" i="9"/>
  <c r="HM10" i="9"/>
  <c r="HL10" i="9"/>
  <c r="HQ9" i="9"/>
  <c r="HP9" i="9"/>
  <c r="HN9" i="9"/>
  <c r="HM9" i="9"/>
  <c r="HL9" i="9"/>
  <c r="HQ8" i="9"/>
  <c r="HP8" i="9"/>
  <c r="HN8" i="9"/>
  <c r="HM8" i="9"/>
  <c r="HL8" i="9"/>
  <c r="HQ7" i="9"/>
  <c r="HP7" i="9"/>
  <c r="HN7" i="9"/>
  <c r="HM7" i="9"/>
  <c r="HL7" i="9"/>
  <c r="HQ6" i="9"/>
  <c r="HP6" i="9"/>
  <c r="HN6" i="9"/>
  <c r="HM6" i="9"/>
  <c r="HL6" i="9"/>
  <c r="HQ5" i="9"/>
  <c r="HP5" i="9"/>
  <c r="HN5" i="9"/>
  <c r="HM5" i="9"/>
  <c r="HO5" i="9" s="1"/>
  <c r="HR5" i="9" s="1"/>
  <c r="HL5" i="9"/>
  <c r="HQ4" i="9"/>
  <c r="HP4" i="9"/>
  <c r="HN4" i="9"/>
  <c r="HM4" i="9"/>
  <c r="HL4" i="9"/>
  <c r="GU11" i="9"/>
  <c r="GT11" i="9"/>
  <c r="GR11" i="9"/>
  <c r="GQ11" i="9"/>
  <c r="GP11" i="9"/>
  <c r="GU10" i="9"/>
  <c r="GT10" i="9"/>
  <c r="GR10" i="9"/>
  <c r="GQ10" i="9"/>
  <c r="GP10" i="9"/>
  <c r="GU9" i="9"/>
  <c r="GT9" i="9"/>
  <c r="GR9" i="9"/>
  <c r="GQ9" i="9"/>
  <c r="GP9" i="9"/>
  <c r="GU8" i="9"/>
  <c r="GT8" i="9"/>
  <c r="GR8" i="9"/>
  <c r="GQ8" i="9"/>
  <c r="GP8" i="9"/>
  <c r="GU7" i="9"/>
  <c r="GT7" i="9"/>
  <c r="GR7" i="9"/>
  <c r="GQ7" i="9"/>
  <c r="GP7" i="9"/>
  <c r="GU6" i="9"/>
  <c r="GT6" i="9"/>
  <c r="GR6" i="9"/>
  <c r="GQ6" i="9"/>
  <c r="GP6" i="9"/>
  <c r="GU5" i="9"/>
  <c r="GT5" i="9"/>
  <c r="GR5" i="9"/>
  <c r="GQ5" i="9"/>
  <c r="GP5" i="9"/>
  <c r="GU4" i="9"/>
  <c r="GT4" i="9"/>
  <c r="GR4" i="9"/>
  <c r="GQ4" i="9"/>
  <c r="GP4" i="9"/>
  <c r="FY11" i="9"/>
  <c r="FX11" i="9"/>
  <c r="FV11" i="9"/>
  <c r="FU11" i="9"/>
  <c r="FT11" i="9"/>
  <c r="FY10" i="9"/>
  <c r="FX10" i="9"/>
  <c r="FV10" i="9"/>
  <c r="FU10" i="9"/>
  <c r="FT10" i="9"/>
  <c r="FY9" i="9"/>
  <c r="FX9" i="9"/>
  <c r="FV9" i="9"/>
  <c r="FU9" i="9"/>
  <c r="FT9" i="9"/>
  <c r="FY8" i="9"/>
  <c r="FX8" i="9"/>
  <c r="FV8" i="9"/>
  <c r="FU8" i="9"/>
  <c r="FT8" i="9"/>
  <c r="FY7" i="9"/>
  <c r="FX7" i="9"/>
  <c r="FV7" i="9"/>
  <c r="FU7" i="9"/>
  <c r="FT7" i="9"/>
  <c r="FY6" i="9"/>
  <c r="FX6" i="9"/>
  <c r="FV6" i="9"/>
  <c r="FW6" i="9" s="1"/>
  <c r="FU6" i="9"/>
  <c r="FT6" i="9"/>
  <c r="FY5" i="9"/>
  <c r="FX5" i="9"/>
  <c r="FV5" i="9"/>
  <c r="FU5" i="9"/>
  <c r="FT5" i="9"/>
  <c r="FY4" i="9"/>
  <c r="FX4" i="9"/>
  <c r="FV4" i="9"/>
  <c r="FU4" i="9"/>
  <c r="FT4" i="9"/>
  <c r="FC11" i="9"/>
  <c r="FB11" i="9"/>
  <c r="EZ11" i="9"/>
  <c r="EY11" i="9"/>
  <c r="FA11" i="9" s="1"/>
  <c r="EX11" i="9"/>
  <c r="FC10" i="9"/>
  <c r="FB10" i="9"/>
  <c r="EZ10" i="9"/>
  <c r="EY10" i="9"/>
  <c r="EX10" i="9"/>
  <c r="FC9" i="9"/>
  <c r="FB9" i="9"/>
  <c r="EZ9" i="9"/>
  <c r="EY9" i="9"/>
  <c r="EX9" i="9"/>
  <c r="FC8" i="9"/>
  <c r="FB8" i="9"/>
  <c r="EZ8" i="9"/>
  <c r="EY8" i="9"/>
  <c r="EX8" i="9"/>
  <c r="FC7" i="9"/>
  <c r="FB7" i="9"/>
  <c r="EZ7" i="9"/>
  <c r="EY7" i="9"/>
  <c r="EX7" i="9"/>
  <c r="FC6" i="9"/>
  <c r="FB6" i="9"/>
  <c r="EZ6" i="9"/>
  <c r="FA6" i="9" s="1"/>
  <c r="FD6" i="9" s="1"/>
  <c r="EY6" i="9"/>
  <c r="EX6" i="9"/>
  <c r="FC5" i="9"/>
  <c r="FB5" i="9"/>
  <c r="EZ5" i="9"/>
  <c r="EY5" i="9"/>
  <c r="EX5" i="9"/>
  <c r="FC4" i="9"/>
  <c r="FB4" i="9"/>
  <c r="EZ4" i="9"/>
  <c r="EY4" i="9"/>
  <c r="EX4" i="9"/>
  <c r="EG11" i="9"/>
  <c r="EF11" i="9"/>
  <c r="ED11" i="9"/>
  <c r="EC11" i="9"/>
  <c r="EB11" i="9"/>
  <c r="EG10" i="9"/>
  <c r="EF10" i="9"/>
  <c r="ED10" i="9"/>
  <c r="EC10" i="9"/>
  <c r="EB10" i="9"/>
  <c r="EG9" i="9"/>
  <c r="EF9" i="9"/>
  <c r="ED9" i="9"/>
  <c r="EC9" i="9"/>
  <c r="EB9" i="9"/>
  <c r="EG8" i="9"/>
  <c r="EF8" i="9"/>
  <c r="ED8" i="9"/>
  <c r="EC8" i="9"/>
  <c r="EB8" i="9"/>
  <c r="EG7" i="9"/>
  <c r="EF7" i="9"/>
  <c r="ED7" i="9"/>
  <c r="EC7" i="9"/>
  <c r="EB7" i="9"/>
  <c r="EG6" i="9"/>
  <c r="EF6" i="9"/>
  <c r="ED6" i="9"/>
  <c r="EE6" i="9" s="1"/>
  <c r="EC6" i="9"/>
  <c r="EB6" i="9"/>
  <c r="EG5" i="9"/>
  <c r="EF5" i="9"/>
  <c r="ED5" i="9"/>
  <c r="EC5" i="9"/>
  <c r="EB5" i="9"/>
  <c r="EG4" i="9"/>
  <c r="EF4" i="9"/>
  <c r="ED4" i="9"/>
  <c r="EC4" i="9"/>
  <c r="EB4" i="9"/>
  <c r="DK11" i="9"/>
  <c r="DJ11" i="9"/>
  <c r="DH11" i="9"/>
  <c r="DG11" i="9"/>
  <c r="DI11" i="9" s="1"/>
  <c r="DL11" i="9" s="1"/>
  <c r="DF11" i="9"/>
  <c r="DK10" i="9"/>
  <c r="DJ10" i="9"/>
  <c r="DH10" i="9"/>
  <c r="DG10" i="9"/>
  <c r="DF10" i="9"/>
  <c r="DK9" i="9"/>
  <c r="DJ9" i="9"/>
  <c r="DH9" i="9"/>
  <c r="DG9" i="9"/>
  <c r="DF9" i="9"/>
  <c r="DK8" i="9"/>
  <c r="DJ8" i="9"/>
  <c r="DH8" i="9"/>
  <c r="DG8" i="9"/>
  <c r="DF8" i="9"/>
  <c r="DK7" i="9"/>
  <c r="DJ7" i="9"/>
  <c r="DH7" i="9"/>
  <c r="DG7" i="9"/>
  <c r="DF7" i="9"/>
  <c r="DK6" i="9"/>
  <c r="DJ6" i="9"/>
  <c r="DH6" i="9"/>
  <c r="DG6" i="9"/>
  <c r="DF6" i="9"/>
  <c r="DK5" i="9"/>
  <c r="DJ5" i="9"/>
  <c r="DH5" i="9"/>
  <c r="DG5" i="9"/>
  <c r="DF5" i="9"/>
  <c r="DK4" i="9"/>
  <c r="DJ4" i="9"/>
  <c r="DH4" i="9"/>
  <c r="DG4" i="9"/>
  <c r="DF4" i="9"/>
  <c r="MR18" i="13"/>
  <c r="MQ18" i="13"/>
  <c r="MO18" i="13"/>
  <c r="MN18" i="13"/>
  <c r="MP18" i="13" s="1"/>
  <c r="MS18" i="13" s="1"/>
  <c r="MM18" i="13"/>
  <c r="MR17" i="13"/>
  <c r="MQ17" i="13"/>
  <c r="MO17" i="13"/>
  <c r="MN17" i="13"/>
  <c r="MM17" i="13"/>
  <c r="MR16" i="13"/>
  <c r="MQ16" i="13"/>
  <c r="MO16" i="13"/>
  <c r="MN16" i="13"/>
  <c r="MM16" i="13"/>
  <c r="MR15" i="13"/>
  <c r="MQ15" i="13"/>
  <c r="MO15" i="13"/>
  <c r="MN15" i="13"/>
  <c r="MM15" i="13"/>
  <c r="MR14" i="13"/>
  <c r="MQ14" i="13"/>
  <c r="MO14" i="13"/>
  <c r="MN14" i="13"/>
  <c r="MM14" i="13"/>
  <c r="MR13" i="13"/>
  <c r="MQ13" i="13"/>
  <c r="MO13" i="13"/>
  <c r="MP13" i="13" s="1"/>
  <c r="MN13" i="13"/>
  <c r="MM13" i="13"/>
  <c r="MR12" i="13"/>
  <c r="MQ12" i="13"/>
  <c r="MO12" i="13"/>
  <c r="MN12" i="13"/>
  <c r="MP12" i="13" s="1"/>
  <c r="MM12" i="13"/>
  <c r="MR11" i="13"/>
  <c r="MQ11" i="13"/>
  <c r="MO11" i="13"/>
  <c r="MN11" i="13"/>
  <c r="MM11" i="13"/>
  <c r="MR10" i="13"/>
  <c r="MQ10" i="13"/>
  <c r="MO10" i="13"/>
  <c r="MN10" i="13"/>
  <c r="MM10" i="13"/>
  <c r="MR9" i="13"/>
  <c r="MQ9" i="13"/>
  <c r="MO9" i="13"/>
  <c r="MN9" i="13"/>
  <c r="MM9" i="13"/>
  <c r="MR8" i="13"/>
  <c r="MQ8" i="13"/>
  <c r="MO8" i="13"/>
  <c r="MN8" i="13"/>
  <c r="MP8" i="13" s="1"/>
  <c r="MS8" i="13" s="1"/>
  <c r="MM8" i="13"/>
  <c r="MR7" i="13"/>
  <c r="MQ7" i="13"/>
  <c r="MO7" i="13"/>
  <c r="MN7" i="13"/>
  <c r="MM7" i="13"/>
  <c r="MR6" i="13"/>
  <c r="MQ6" i="13"/>
  <c r="MO6" i="13"/>
  <c r="MN6" i="13"/>
  <c r="MP6" i="13" s="1"/>
  <c r="MM6" i="13"/>
  <c r="MR5" i="13"/>
  <c r="MQ5" i="13"/>
  <c r="MO5" i="13"/>
  <c r="MN5" i="13"/>
  <c r="MM5" i="13"/>
  <c r="MR4" i="13"/>
  <c r="MQ4" i="13"/>
  <c r="MO4" i="13"/>
  <c r="MN4" i="13"/>
  <c r="MP4" i="13" s="1"/>
  <c r="MS4" i="13" s="1"/>
  <c r="MM4" i="13"/>
  <c r="LV18" i="13"/>
  <c r="LU18" i="13"/>
  <c r="LS18" i="13"/>
  <c r="LR18" i="13"/>
  <c r="LQ18" i="13"/>
  <c r="LV17" i="13"/>
  <c r="LU17" i="13"/>
  <c r="LS17" i="13"/>
  <c r="LR17" i="13"/>
  <c r="LQ17" i="13"/>
  <c r="LV16" i="13"/>
  <c r="LU16" i="13"/>
  <c r="LS16" i="13"/>
  <c r="LR16" i="13"/>
  <c r="LQ16" i="13"/>
  <c r="LV15" i="13"/>
  <c r="LU15" i="13"/>
  <c r="LS15" i="13"/>
  <c r="LR15" i="13"/>
  <c r="LQ15" i="13"/>
  <c r="LV14" i="13"/>
  <c r="LU14" i="13"/>
  <c r="LS14" i="13"/>
  <c r="LR14" i="13"/>
  <c r="LQ14" i="13"/>
  <c r="LV13" i="13"/>
  <c r="LU13" i="13"/>
  <c r="LS13" i="13"/>
  <c r="LR13" i="13"/>
  <c r="LT13" i="13" s="1"/>
  <c r="LW13" i="13" s="1"/>
  <c r="LQ13" i="13"/>
  <c r="LV12" i="13"/>
  <c r="LU12" i="13"/>
  <c r="LS12" i="13"/>
  <c r="LR12" i="13"/>
  <c r="LQ12" i="13"/>
  <c r="LV11" i="13"/>
  <c r="LU11" i="13"/>
  <c r="LS11" i="13"/>
  <c r="LR11" i="13"/>
  <c r="LQ11" i="13"/>
  <c r="LV10" i="13"/>
  <c r="LU10" i="13"/>
  <c r="LS10" i="13"/>
  <c r="LR10" i="13"/>
  <c r="LQ10" i="13"/>
  <c r="LV9" i="13"/>
  <c r="LU9" i="13"/>
  <c r="LS9" i="13"/>
  <c r="LR9" i="13"/>
  <c r="LQ9" i="13"/>
  <c r="LV8" i="13"/>
  <c r="LU8" i="13"/>
  <c r="LS8" i="13"/>
  <c r="LR8" i="13"/>
  <c r="LQ8" i="13"/>
  <c r="LV7" i="13"/>
  <c r="LU7" i="13"/>
  <c r="LS7" i="13"/>
  <c r="LR7" i="13"/>
  <c r="LQ7" i="13"/>
  <c r="LV6" i="13"/>
  <c r="LU6" i="13"/>
  <c r="LS6" i="13"/>
  <c r="LR6" i="13"/>
  <c r="LQ6" i="13"/>
  <c r="LV5" i="13"/>
  <c r="LU5" i="13"/>
  <c r="LS5" i="13"/>
  <c r="LR5" i="13"/>
  <c r="LT5" i="13" s="1"/>
  <c r="LW5" i="13" s="1"/>
  <c r="LQ5" i="13"/>
  <c r="LV4" i="13"/>
  <c r="LU4" i="13"/>
  <c r="LS4" i="13"/>
  <c r="LT4" i="13" s="1"/>
  <c r="LW4" i="13" s="1"/>
  <c r="LR4" i="13"/>
  <c r="LQ4" i="13"/>
  <c r="KZ18" i="13"/>
  <c r="KY18" i="13"/>
  <c r="KW18" i="13"/>
  <c r="KV18" i="13"/>
  <c r="KU18" i="13"/>
  <c r="KZ17" i="13"/>
  <c r="KY17" i="13"/>
  <c r="KW17" i="13"/>
  <c r="KV17" i="13"/>
  <c r="KU17" i="13"/>
  <c r="KZ16" i="13"/>
  <c r="KY16" i="13"/>
  <c r="KW16" i="13"/>
  <c r="KV16" i="13"/>
  <c r="KX16" i="13" s="1"/>
  <c r="LA16" i="13" s="1"/>
  <c r="KU16" i="13"/>
  <c r="KZ15" i="13"/>
  <c r="KY15" i="13"/>
  <c r="KW15" i="13"/>
  <c r="KV15" i="13"/>
  <c r="KX15" i="13" s="1"/>
  <c r="KU15" i="13"/>
  <c r="KZ14" i="13"/>
  <c r="KY14" i="13"/>
  <c r="KW14" i="13"/>
  <c r="KV14" i="13"/>
  <c r="KU14" i="13"/>
  <c r="KZ13" i="13"/>
  <c r="KY13" i="13"/>
  <c r="KW13" i="13"/>
  <c r="KV13" i="13"/>
  <c r="KU13" i="13"/>
  <c r="KZ12" i="13"/>
  <c r="KY12" i="13"/>
  <c r="KW12" i="13"/>
  <c r="KV12" i="13"/>
  <c r="KU12" i="13"/>
  <c r="KZ11" i="13"/>
  <c r="KY11" i="13"/>
  <c r="KW11" i="13"/>
  <c r="KV11" i="13"/>
  <c r="KX11" i="13" s="1"/>
  <c r="KU11" i="13"/>
  <c r="KZ10" i="13"/>
  <c r="KY10" i="13"/>
  <c r="KW10" i="13"/>
  <c r="KV10" i="13"/>
  <c r="KU10" i="13"/>
  <c r="KZ9" i="13"/>
  <c r="KY9" i="13"/>
  <c r="KW9" i="13"/>
  <c r="KV9" i="13"/>
  <c r="KU9" i="13"/>
  <c r="KZ8" i="13"/>
  <c r="KY8" i="13"/>
  <c r="KW8" i="13"/>
  <c r="KV8" i="13"/>
  <c r="KU8" i="13"/>
  <c r="KZ7" i="13"/>
  <c r="KY7" i="13"/>
  <c r="KW7" i="13"/>
  <c r="KV7" i="13"/>
  <c r="KX7" i="13" s="1"/>
  <c r="KU7" i="13"/>
  <c r="KZ6" i="13"/>
  <c r="KY6" i="13"/>
  <c r="KW6" i="13"/>
  <c r="KV6" i="13"/>
  <c r="KU6" i="13"/>
  <c r="KZ5" i="13"/>
  <c r="KY5" i="13"/>
  <c r="KW5" i="13"/>
  <c r="KV5" i="13"/>
  <c r="KU5" i="13"/>
  <c r="KZ4" i="13"/>
  <c r="KY4" i="13"/>
  <c r="KW4" i="13"/>
  <c r="KV4" i="13"/>
  <c r="KU4" i="13"/>
  <c r="KD18" i="13"/>
  <c r="KC18" i="13"/>
  <c r="KA18" i="13"/>
  <c r="JZ18" i="13"/>
  <c r="JY18" i="13"/>
  <c r="KD17" i="13"/>
  <c r="KC17" i="13"/>
  <c r="KA17" i="13"/>
  <c r="JZ17" i="13"/>
  <c r="JY17" i="13"/>
  <c r="KD16" i="13"/>
  <c r="KC16" i="13"/>
  <c r="KA16" i="13"/>
  <c r="JZ16" i="13"/>
  <c r="JY16" i="13"/>
  <c r="KD15" i="13"/>
  <c r="KC15" i="13"/>
  <c r="KA15" i="13"/>
  <c r="JZ15" i="13"/>
  <c r="JY15" i="13"/>
  <c r="KD14" i="13"/>
  <c r="KC14" i="13"/>
  <c r="KA14" i="13"/>
  <c r="JZ14" i="13"/>
  <c r="JY14" i="13"/>
  <c r="KD13" i="13"/>
  <c r="KC13" i="13"/>
  <c r="KA13" i="13"/>
  <c r="JZ13" i="13"/>
  <c r="JY13" i="13"/>
  <c r="KD12" i="13"/>
  <c r="KC12" i="13"/>
  <c r="KA12" i="13"/>
  <c r="JZ12" i="13"/>
  <c r="JY12" i="13"/>
  <c r="KD11" i="13"/>
  <c r="KC11" i="13"/>
  <c r="KA11" i="13"/>
  <c r="JZ11" i="13"/>
  <c r="JY11" i="13"/>
  <c r="KD10" i="13"/>
  <c r="KC10" i="13"/>
  <c r="KA10" i="13"/>
  <c r="JZ10" i="13"/>
  <c r="KB10" i="13" s="1"/>
  <c r="JY10" i="13"/>
  <c r="KD9" i="13"/>
  <c r="KC9" i="13"/>
  <c r="KA9" i="13"/>
  <c r="JZ9" i="13"/>
  <c r="JY9" i="13"/>
  <c r="KD8" i="13"/>
  <c r="KC8" i="13"/>
  <c r="KA8" i="13"/>
  <c r="JZ8" i="13"/>
  <c r="KB8" i="13" s="1"/>
  <c r="KE8" i="13" s="1"/>
  <c r="JY8" i="13"/>
  <c r="KD7" i="13"/>
  <c r="KC7" i="13"/>
  <c r="KA7" i="13"/>
  <c r="JZ7" i="13"/>
  <c r="JY7" i="13"/>
  <c r="KD6" i="13"/>
  <c r="KC6" i="13"/>
  <c r="KA6" i="13"/>
  <c r="JZ6" i="13"/>
  <c r="KB6" i="13" s="1"/>
  <c r="KE6" i="13" s="1"/>
  <c r="JY6" i="13"/>
  <c r="KD5" i="13"/>
  <c r="KC5" i="13"/>
  <c r="KA5" i="13"/>
  <c r="JZ5" i="13"/>
  <c r="JY5" i="13"/>
  <c r="KD4" i="13"/>
  <c r="KC4" i="13"/>
  <c r="KA4" i="13"/>
  <c r="JZ4" i="13"/>
  <c r="KB4" i="13" s="1"/>
  <c r="JY4" i="13"/>
  <c r="JH18" i="13"/>
  <c r="JG18" i="13"/>
  <c r="JE18" i="13"/>
  <c r="JD18" i="13"/>
  <c r="JC18" i="13"/>
  <c r="JH17" i="13"/>
  <c r="JG17" i="13"/>
  <c r="JE17" i="13"/>
  <c r="JD17" i="13"/>
  <c r="JC17" i="13"/>
  <c r="JH16" i="13"/>
  <c r="JG16" i="13"/>
  <c r="JE16" i="13"/>
  <c r="JF16" i="13" s="1"/>
  <c r="JI16" i="13" s="1"/>
  <c r="JD16" i="13"/>
  <c r="JC16" i="13"/>
  <c r="JH15" i="13"/>
  <c r="JG15" i="13"/>
  <c r="JE15" i="13"/>
  <c r="JD15" i="13"/>
  <c r="JC15" i="13"/>
  <c r="JH14" i="13"/>
  <c r="JG14" i="13"/>
  <c r="JE14" i="13"/>
  <c r="JD14" i="13"/>
  <c r="JC14" i="13"/>
  <c r="JH13" i="13"/>
  <c r="JG13" i="13"/>
  <c r="JE13" i="13"/>
  <c r="JD13" i="13"/>
  <c r="JC13" i="13"/>
  <c r="JH12" i="13"/>
  <c r="JG12" i="13"/>
  <c r="JE12" i="13"/>
  <c r="JD12" i="13"/>
  <c r="JC12" i="13"/>
  <c r="JH11" i="13"/>
  <c r="JG11" i="13"/>
  <c r="JE11" i="13"/>
  <c r="JD11" i="13"/>
  <c r="JF11" i="13" s="1"/>
  <c r="JI11" i="13" s="1"/>
  <c r="JC11" i="13"/>
  <c r="JH10" i="13"/>
  <c r="JG10" i="13"/>
  <c r="JE10" i="13"/>
  <c r="JD10" i="13"/>
  <c r="JC10" i="13"/>
  <c r="JH9" i="13"/>
  <c r="JG9" i="13"/>
  <c r="JE9" i="13"/>
  <c r="JD9" i="13"/>
  <c r="JC9" i="13"/>
  <c r="JH8" i="13"/>
  <c r="JG8" i="13"/>
  <c r="JE8" i="13"/>
  <c r="JD8" i="13"/>
  <c r="JC8" i="13"/>
  <c r="JH7" i="13"/>
  <c r="JG7" i="13"/>
  <c r="JE7" i="13"/>
  <c r="JD7" i="13"/>
  <c r="JF7" i="13" s="1"/>
  <c r="JI7" i="13" s="1"/>
  <c r="JC7" i="13"/>
  <c r="JH6" i="13"/>
  <c r="JG6" i="13"/>
  <c r="JF6" i="13"/>
  <c r="JE6" i="13"/>
  <c r="JD6" i="13"/>
  <c r="JC6" i="13"/>
  <c r="JH5" i="13"/>
  <c r="JG5" i="13"/>
  <c r="JE5" i="13"/>
  <c r="JD5" i="13"/>
  <c r="JC5" i="13"/>
  <c r="JH4" i="13"/>
  <c r="JG4" i="13"/>
  <c r="JE4" i="13"/>
  <c r="JD4" i="13"/>
  <c r="JF4" i="13" s="1"/>
  <c r="JI4" i="13" s="1"/>
  <c r="JC4" i="13"/>
  <c r="IL18" i="13"/>
  <c r="IK18" i="13"/>
  <c r="II18" i="13"/>
  <c r="IH18" i="13"/>
  <c r="IG18" i="13"/>
  <c r="IL17" i="13"/>
  <c r="IK17" i="13"/>
  <c r="II17" i="13"/>
  <c r="IH17" i="13"/>
  <c r="IG17" i="13"/>
  <c r="IL16" i="13"/>
  <c r="IK16" i="13"/>
  <c r="II16" i="13"/>
  <c r="IH16" i="13"/>
  <c r="IG16" i="13"/>
  <c r="IL15" i="13"/>
  <c r="IK15" i="13"/>
  <c r="II15" i="13"/>
  <c r="IH15" i="13"/>
  <c r="IG15" i="13"/>
  <c r="IL14" i="13"/>
  <c r="IK14" i="13"/>
  <c r="II14" i="13"/>
  <c r="IH14" i="13"/>
  <c r="IG14" i="13"/>
  <c r="IL13" i="13"/>
  <c r="IK13" i="13"/>
  <c r="II13" i="13"/>
  <c r="IH13" i="13"/>
  <c r="IG13" i="13"/>
  <c r="IL12" i="13"/>
  <c r="IK12" i="13"/>
  <c r="II12" i="13"/>
  <c r="IH12" i="13"/>
  <c r="IG12" i="13"/>
  <c r="IL11" i="13"/>
  <c r="IK11" i="13"/>
  <c r="II11" i="13"/>
  <c r="IH11" i="13"/>
  <c r="IG11" i="13"/>
  <c r="IL10" i="13"/>
  <c r="IK10" i="13"/>
  <c r="II10" i="13"/>
  <c r="IH10" i="13"/>
  <c r="IG10" i="13"/>
  <c r="IL9" i="13"/>
  <c r="IK9" i="13"/>
  <c r="II9" i="13"/>
  <c r="IH9" i="13"/>
  <c r="IJ9" i="13" s="1"/>
  <c r="IM9" i="13" s="1"/>
  <c r="IG9" i="13"/>
  <c r="IL8" i="13"/>
  <c r="IK8" i="13"/>
  <c r="II8" i="13"/>
  <c r="IH8" i="13"/>
  <c r="IG8" i="13"/>
  <c r="IL7" i="13"/>
  <c r="IK7" i="13"/>
  <c r="II7" i="13"/>
  <c r="IH7" i="13"/>
  <c r="IJ7" i="13" s="1"/>
  <c r="IM7" i="13" s="1"/>
  <c r="IG7" i="13"/>
  <c r="IL6" i="13"/>
  <c r="IK6" i="13"/>
  <c r="II6" i="13"/>
  <c r="IH6" i="13"/>
  <c r="IG6" i="13"/>
  <c r="IL5" i="13"/>
  <c r="IK5" i="13"/>
  <c r="II5" i="13"/>
  <c r="IH5" i="13"/>
  <c r="IG5" i="13"/>
  <c r="IL4" i="13"/>
  <c r="IK4" i="13"/>
  <c r="II4" i="13"/>
  <c r="IH4" i="13"/>
  <c r="IG4" i="13"/>
  <c r="HP18" i="13"/>
  <c r="HO18" i="13"/>
  <c r="HM18" i="13"/>
  <c r="HL18" i="13"/>
  <c r="HN18" i="13" s="1"/>
  <c r="HK18" i="13"/>
  <c r="HP17" i="13"/>
  <c r="HO17" i="13"/>
  <c r="HM17" i="13"/>
  <c r="HL17" i="13"/>
  <c r="HK17" i="13"/>
  <c r="HP16" i="13"/>
  <c r="HO16" i="13"/>
  <c r="HM16" i="13"/>
  <c r="HL16" i="13"/>
  <c r="HN16" i="13" s="1"/>
  <c r="HK16" i="13"/>
  <c r="HP15" i="13"/>
  <c r="HO15" i="13"/>
  <c r="HM15" i="13"/>
  <c r="HL15" i="13"/>
  <c r="HK15" i="13"/>
  <c r="HP14" i="13"/>
  <c r="HO14" i="13"/>
  <c r="HM14" i="13"/>
  <c r="HL14" i="13"/>
  <c r="HN14" i="13" s="1"/>
  <c r="HQ14" i="13" s="1"/>
  <c r="HK14" i="13"/>
  <c r="HP13" i="13"/>
  <c r="HO13" i="13"/>
  <c r="HM13" i="13"/>
  <c r="HL13" i="13"/>
  <c r="HK13" i="13"/>
  <c r="HP12" i="13"/>
  <c r="HO12" i="13"/>
  <c r="HM12" i="13"/>
  <c r="HL12" i="13"/>
  <c r="HK12" i="13"/>
  <c r="HP11" i="13"/>
  <c r="HO11" i="13"/>
  <c r="HM11" i="13"/>
  <c r="HL11" i="13"/>
  <c r="HK11" i="13"/>
  <c r="HP10" i="13"/>
  <c r="HO10" i="13"/>
  <c r="HM10" i="13"/>
  <c r="HL10" i="13"/>
  <c r="HK10" i="13"/>
  <c r="HP9" i="13"/>
  <c r="HO9" i="13"/>
  <c r="HM9" i="13"/>
  <c r="HL9" i="13"/>
  <c r="HK9" i="13"/>
  <c r="HP8" i="13"/>
  <c r="HO8" i="13"/>
  <c r="HM8" i="13"/>
  <c r="HL8" i="13"/>
  <c r="HN8" i="13" s="1"/>
  <c r="HK8" i="13"/>
  <c r="HP7" i="13"/>
  <c r="HO7" i="13"/>
  <c r="HM7" i="13"/>
  <c r="HN7" i="13" s="1"/>
  <c r="HL7" i="13"/>
  <c r="HK7" i="13"/>
  <c r="HP6" i="13"/>
  <c r="HO6" i="13"/>
  <c r="HM6" i="13"/>
  <c r="HL6" i="13"/>
  <c r="HN6" i="13" s="1"/>
  <c r="HQ6" i="13" s="1"/>
  <c r="HK6" i="13"/>
  <c r="HP5" i="13"/>
  <c r="HO5" i="13"/>
  <c r="HM5" i="13"/>
  <c r="HL5" i="13"/>
  <c r="HK5" i="13"/>
  <c r="HP4" i="13"/>
  <c r="HO4" i="13"/>
  <c r="HM4" i="13"/>
  <c r="HL4" i="13"/>
  <c r="HK4" i="13"/>
  <c r="GT18" i="13"/>
  <c r="GS18" i="13"/>
  <c r="GQ18" i="13"/>
  <c r="GP18" i="13"/>
  <c r="GO18" i="13"/>
  <c r="GT17" i="13"/>
  <c r="GS17" i="13"/>
  <c r="GQ17" i="13"/>
  <c r="GP17" i="13"/>
  <c r="GO17" i="13"/>
  <c r="GT16" i="13"/>
  <c r="GS16" i="13"/>
  <c r="GQ16" i="13"/>
  <c r="GP16" i="13"/>
  <c r="GO16" i="13"/>
  <c r="GT15" i="13"/>
  <c r="GS15" i="13"/>
  <c r="GQ15" i="13"/>
  <c r="GP15" i="13"/>
  <c r="GO15" i="13"/>
  <c r="GT14" i="13"/>
  <c r="GS14" i="13"/>
  <c r="GQ14" i="13"/>
  <c r="GP14" i="13"/>
  <c r="GO14" i="13"/>
  <c r="GT13" i="13"/>
  <c r="GS13" i="13"/>
  <c r="GQ13" i="13"/>
  <c r="GP13" i="13"/>
  <c r="GO13" i="13"/>
  <c r="GT12" i="13"/>
  <c r="GS12" i="13"/>
  <c r="GQ12" i="13"/>
  <c r="GP12" i="13"/>
  <c r="GO12" i="13"/>
  <c r="GT11" i="13"/>
  <c r="GS11" i="13"/>
  <c r="GQ11" i="13"/>
  <c r="GP11" i="13"/>
  <c r="GO11" i="13"/>
  <c r="GT10" i="13"/>
  <c r="GS10" i="13"/>
  <c r="GQ10" i="13"/>
  <c r="GP10" i="13"/>
  <c r="GO10" i="13"/>
  <c r="GT9" i="13"/>
  <c r="GS9" i="13"/>
  <c r="GQ9" i="13"/>
  <c r="GP9" i="13"/>
  <c r="GO9" i="13"/>
  <c r="GT8" i="13"/>
  <c r="GS8" i="13"/>
  <c r="GQ8" i="13"/>
  <c r="GP8" i="13"/>
  <c r="GO8" i="13"/>
  <c r="GT7" i="13"/>
  <c r="GS7" i="13"/>
  <c r="GQ7" i="13"/>
  <c r="GP7" i="13"/>
  <c r="GO7" i="13"/>
  <c r="GT6" i="13"/>
  <c r="GS6" i="13"/>
  <c r="GQ6" i="13"/>
  <c r="GP6" i="13"/>
  <c r="GO6" i="13"/>
  <c r="GT5" i="13"/>
  <c r="GS5" i="13"/>
  <c r="GQ5" i="13"/>
  <c r="GP5" i="13"/>
  <c r="GO5" i="13"/>
  <c r="GT4" i="13"/>
  <c r="GS4" i="13"/>
  <c r="GQ4" i="13"/>
  <c r="GP4" i="13"/>
  <c r="GO4" i="13"/>
  <c r="FX18" i="13"/>
  <c r="FW18" i="13"/>
  <c r="FU18" i="13"/>
  <c r="FT18" i="13"/>
  <c r="FS18" i="13"/>
  <c r="FX17" i="13"/>
  <c r="FW17" i="13"/>
  <c r="FU17" i="13"/>
  <c r="FT17" i="13"/>
  <c r="FV17" i="13" s="1"/>
  <c r="FY17" i="13" s="1"/>
  <c r="FS17" i="13"/>
  <c r="FX16" i="13"/>
  <c r="FW16" i="13"/>
  <c r="FU16" i="13"/>
  <c r="FT16" i="13"/>
  <c r="FS16" i="13"/>
  <c r="FX15" i="13"/>
  <c r="FW15" i="13"/>
  <c r="FU15" i="13"/>
  <c r="FT15" i="13"/>
  <c r="FS15" i="13"/>
  <c r="FX14" i="13"/>
  <c r="FW14" i="13"/>
  <c r="FU14" i="13"/>
  <c r="FT14" i="13"/>
  <c r="FS14" i="13"/>
  <c r="FX13" i="13"/>
  <c r="FW13" i="13"/>
  <c r="FU13" i="13"/>
  <c r="FT13" i="13"/>
  <c r="FS13" i="13"/>
  <c r="FX12" i="13"/>
  <c r="FW12" i="13"/>
  <c r="FU12" i="13"/>
  <c r="FT12" i="13"/>
  <c r="FS12" i="13"/>
  <c r="FX11" i="13"/>
  <c r="FW11" i="13"/>
  <c r="FU11" i="13"/>
  <c r="FT11" i="13"/>
  <c r="FV11" i="13" s="1"/>
  <c r="FY11" i="13" s="1"/>
  <c r="FS11" i="13"/>
  <c r="FX10" i="13"/>
  <c r="FW10" i="13"/>
  <c r="FU10" i="13"/>
  <c r="FT10" i="13"/>
  <c r="FS10" i="13"/>
  <c r="FX9" i="13"/>
  <c r="FW9" i="13"/>
  <c r="FU9" i="13"/>
  <c r="FT9" i="13"/>
  <c r="FS9" i="13"/>
  <c r="FX8" i="13"/>
  <c r="FW8" i="13"/>
  <c r="FU8" i="13"/>
  <c r="FT8" i="13"/>
  <c r="FS8" i="13"/>
  <c r="FX7" i="13"/>
  <c r="FW7" i="13"/>
  <c r="FU7" i="13"/>
  <c r="FT7" i="13"/>
  <c r="FS7" i="13"/>
  <c r="FX6" i="13"/>
  <c r="FW6" i="13"/>
  <c r="FU6" i="13"/>
  <c r="FT6" i="13"/>
  <c r="FS6" i="13"/>
  <c r="FX5" i="13"/>
  <c r="FW5" i="13"/>
  <c r="FU5" i="13"/>
  <c r="FT5" i="13"/>
  <c r="FS5" i="13"/>
  <c r="FX4" i="13"/>
  <c r="FW4" i="13"/>
  <c r="FU4" i="13"/>
  <c r="FT4" i="13"/>
  <c r="FS4" i="13"/>
  <c r="FB18" i="13"/>
  <c r="FA18" i="13"/>
  <c r="EY18" i="13"/>
  <c r="EX18" i="13"/>
  <c r="EW18" i="13"/>
  <c r="FB17" i="13"/>
  <c r="FA17" i="13"/>
  <c r="EY17" i="13"/>
  <c r="EX17" i="13"/>
  <c r="EW17" i="13"/>
  <c r="FB16" i="13"/>
  <c r="FA16" i="13"/>
  <c r="EY16" i="13"/>
  <c r="EX16" i="13"/>
  <c r="EW16" i="13"/>
  <c r="FB15" i="13"/>
  <c r="FA15" i="13"/>
  <c r="EY15" i="13"/>
  <c r="EZ15" i="13" s="1"/>
  <c r="EX15" i="13"/>
  <c r="EW15" i="13"/>
  <c r="FB14" i="13"/>
  <c r="FA14" i="13"/>
  <c r="EY14" i="13"/>
  <c r="EX14" i="13"/>
  <c r="EZ14" i="13" s="1"/>
  <c r="FC14" i="13" s="1"/>
  <c r="EW14" i="13"/>
  <c r="FB13" i="13"/>
  <c r="FA13" i="13"/>
  <c r="EY13" i="13"/>
  <c r="EX13" i="13"/>
  <c r="EW13" i="13"/>
  <c r="FB12" i="13"/>
  <c r="FA12" i="13"/>
  <c r="EY12" i="13"/>
  <c r="EX12" i="13"/>
  <c r="EW12" i="13"/>
  <c r="FB11" i="13"/>
  <c r="FA11" i="13"/>
  <c r="EY11" i="13"/>
  <c r="EX11" i="13"/>
  <c r="EW11" i="13"/>
  <c r="FB10" i="13"/>
  <c r="FA10" i="13"/>
  <c r="EY10" i="13"/>
  <c r="EX10" i="13"/>
  <c r="EZ10" i="13" s="1"/>
  <c r="EW10" i="13"/>
  <c r="FB9" i="13"/>
  <c r="FA9" i="13"/>
  <c r="EY9" i="13"/>
  <c r="EX9" i="13"/>
  <c r="EW9" i="13"/>
  <c r="FB8" i="13"/>
  <c r="FA8" i="13"/>
  <c r="EY8" i="13"/>
  <c r="EX8" i="13"/>
  <c r="EW8" i="13"/>
  <c r="FB7" i="13"/>
  <c r="FA7" i="13"/>
  <c r="EY7" i="13"/>
  <c r="EX7" i="13"/>
  <c r="EW7" i="13"/>
  <c r="FB6" i="13"/>
  <c r="FA6" i="13"/>
  <c r="EY6" i="13"/>
  <c r="EX6" i="13"/>
  <c r="EZ6" i="13" s="1"/>
  <c r="FC6" i="13" s="1"/>
  <c r="EW6" i="13"/>
  <c r="FB5" i="13"/>
  <c r="FA5" i="13"/>
  <c r="EY5" i="13"/>
  <c r="EX5" i="13"/>
  <c r="EW5" i="13"/>
  <c r="FB4" i="13"/>
  <c r="FA4" i="13"/>
  <c r="EY4" i="13"/>
  <c r="EX4" i="13"/>
  <c r="EW4" i="13"/>
  <c r="EF18" i="13"/>
  <c r="EE18" i="13"/>
  <c r="EC18" i="13"/>
  <c r="EB18" i="13"/>
  <c r="EA18" i="13"/>
  <c r="EF17" i="13"/>
  <c r="EE17" i="13"/>
  <c r="EC17" i="13"/>
  <c r="EB17" i="13"/>
  <c r="ED17" i="13" s="1"/>
  <c r="EG17" i="13" s="1"/>
  <c r="EA17" i="13"/>
  <c r="EF16" i="13"/>
  <c r="EE16" i="13"/>
  <c r="EC16" i="13"/>
  <c r="EB16" i="13"/>
  <c r="EA16" i="13"/>
  <c r="EF15" i="13"/>
  <c r="EE15" i="13"/>
  <c r="EC15" i="13"/>
  <c r="EB15" i="13"/>
  <c r="EA15" i="13"/>
  <c r="EF14" i="13"/>
  <c r="EE14" i="13"/>
  <c r="EC14" i="13"/>
  <c r="EB14" i="13"/>
  <c r="EA14" i="13"/>
  <c r="EF13" i="13"/>
  <c r="EE13" i="13"/>
  <c r="EC13" i="13"/>
  <c r="EB13" i="13"/>
  <c r="EA13" i="13"/>
  <c r="EF12" i="13"/>
  <c r="EE12" i="13"/>
  <c r="EC12" i="13"/>
  <c r="EB12" i="13"/>
  <c r="EA12" i="13"/>
  <c r="EF11" i="13"/>
  <c r="EE11" i="13"/>
  <c r="EC11" i="13"/>
  <c r="EB11" i="13"/>
  <c r="EA11" i="13"/>
  <c r="EF10" i="13"/>
  <c r="EE10" i="13"/>
  <c r="EC10" i="13"/>
  <c r="EB10" i="13"/>
  <c r="EA10" i="13"/>
  <c r="EF9" i="13"/>
  <c r="EE9" i="13"/>
  <c r="EC9" i="13"/>
  <c r="EB9" i="13"/>
  <c r="EA9" i="13"/>
  <c r="EF8" i="13"/>
  <c r="EE8" i="13"/>
  <c r="EC8" i="13"/>
  <c r="EB8" i="13"/>
  <c r="EA8" i="13"/>
  <c r="EF7" i="13"/>
  <c r="EE7" i="13"/>
  <c r="EC7" i="13"/>
  <c r="EB7" i="13"/>
  <c r="EA7" i="13"/>
  <c r="EF6" i="13"/>
  <c r="EE6" i="13"/>
  <c r="EC6" i="13"/>
  <c r="EB6" i="13"/>
  <c r="EA6" i="13"/>
  <c r="EF5" i="13"/>
  <c r="EE5" i="13"/>
  <c r="EC5" i="13"/>
  <c r="EB5" i="13"/>
  <c r="EA5" i="13"/>
  <c r="EF4" i="13"/>
  <c r="EE4" i="13"/>
  <c r="EC4" i="13"/>
  <c r="EB4" i="13"/>
  <c r="EA4" i="13"/>
  <c r="MR23" i="4"/>
  <c r="MQ23" i="4"/>
  <c r="MO23" i="4"/>
  <c r="MN23" i="4"/>
  <c r="MP23" i="4" s="1"/>
  <c r="MS23" i="4" s="1"/>
  <c r="MM23" i="4"/>
  <c r="MR22" i="4"/>
  <c r="MQ22" i="4"/>
  <c r="MO22" i="4"/>
  <c r="MN22" i="4"/>
  <c r="MP22" i="4" s="1"/>
  <c r="MM22" i="4"/>
  <c r="MR21" i="4"/>
  <c r="MQ21" i="4"/>
  <c r="MO21" i="4"/>
  <c r="MN21" i="4"/>
  <c r="MM21" i="4"/>
  <c r="MR20" i="4"/>
  <c r="MQ20" i="4"/>
  <c r="MO20" i="4"/>
  <c r="MN20" i="4"/>
  <c r="MM20" i="4"/>
  <c r="MR19" i="4"/>
  <c r="MQ19" i="4"/>
  <c r="MO19" i="4"/>
  <c r="MP19" i="4" s="1"/>
  <c r="MS19" i="4" s="1"/>
  <c r="MN19" i="4"/>
  <c r="MM19" i="4"/>
  <c r="MR18" i="4"/>
  <c r="MQ18" i="4"/>
  <c r="MO18" i="4"/>
  <c r="MN18" i="4"/>
  <c r="MM18" i="4"/>
  <c r="MR17" i="4"/>
  <c r="MQ17" i="4"/>
  <c r="MO17" i="4"/>
  <c r="MN17" i="4"/>
  <c r="MM17" i="4"/>
  <c r="MR16" i="4"/>
  <c r="MQ16" i="4"/>
  <c r="MO16" i="4"/>
  <c r="MN16" i="4"/>
  <c r="MM16" i="4"/>
  <c r="MR24" i="4"/>
  <c r="MQ24" i="4"/>
  <c r="MO24" i="4"/>
  <c r="MN24" i="4"/>
  <c r="MM24" i="4"/>
  <c r="MR15" i="4"/>
  <c r="MQ15" i="4"/>
  <c r="MO15" i="4"/>
  <c r="MN15" i="4"/>
  <c r="MP15" i="4" s="1"/>
  <c r="MM15" i="4"/>
  <c r="MR14" i="4"/>
  <c r="MQ14" i="4"/>
  <c r="MO14" i="4"/>
  <c r="MN14" i="4"/>
  <c r="MP14" i="4" s="1"/>
  <c r="MS14" i="4" s="1"/>
  <c r="MM14" i="4"/>
  <c r="MR13" i="4"/>
  <c r="MQ13" i="4"/>
  <c r="MO13" i="4"/>
  <c r="MN13" i="4"/>
  <c r="MP13" i="4" s="1"/>
  <c r="MM13" i="4"/>
  <c r="MR12" i="4"/>
  <c r="MQ12" i="4"/>
  <c r="MO12" i="4"/>
  <c r="MN12" i="4"/>
  <c r="MM12" i="4"/>
  <c r="MR11" i="4"/>
  <c r="MQ11" i="4"/>
  <c r="MO11" i="4"/>
  <c r="MN11" i="4"/>
  <c r="MM11" i="4"/>
  <c r="MR10" i="4"/>
  <c r="MQ10" i="4"/>
  <c r="MO10" i="4"/>
  <c r="MN10" i="4"/>
  <c r="MM10" i="4"/>
  <c r="MR9" i="4"/>
  <c r="MQ9" i="4"/>
  <c r="MO9" i="4"/>
  <c r="MN9" i="4"/>
  <c r="MP9" i="4" s="1"/>
  <c r="MM9" i="4"/>
  <c r="MR8" i="4"/>
  <c r="MQ8" i="4"/>
  <c r="MO8" i="4"/>
  <c r="MN8" i="4"/>
  <c r="MM8" i="4"/>
  <c r="MR7" i="4"/>
  <c r="MQ7" i="4"/>
  <c r="MO7" i="4"/>
  <c r="MN7" i="4"/>
  <c r="MM7" i="4"/>
  <c r="MR6" i="4"/>
  <c r="MQ6" i="4"/>
  <c r="MO6" i="4"/>
  <c r="MN6" i="4"/>
  <c r="MM6" i="4"/>
  <c r="MR5" i="4"/>
  <c r="MQ5" i="4"/>
  <c r="MO5" i="4"/>
  <c r="MN5" i="4"/>
  <c r="MP5" i="4" s="1"/>
  <c r="MM5" i="4"/>
  <c r="MR4" i="4"/>
  <c r="MQ4" i="4"/>
  <c r="MO4" i="4"/>
  <c r="MN4" i="4"/>
  <c r="MM4" i="4"/>
  <c r="LV23" i="4"/>
  <c r="LU23" i="4"/>
  <c r="LS23" i="4"/>
  <c r="LR23" i="4"/>
  <c r="LQ23" i="4"/>
  <c r="LV22" i="4"/>
  <c r="LU22" i="4"/>
  <c r="LS22" i="4"/>
  <c r="LR22" i="4"/>
  <c r="LQ22" i="4"/>
  <c r="LV21" i="4"/>
  <c r="LU21" i="4"/>
  <c r="LS21" i="4"/>
  <c r="LR21" i="4"/>
  <c r="LQ21" i="4"/>
  <c r="LV20" i="4"/>
  <c r="LU20" i="4"/>
  <c r="LS20" i="4"/>
  <c r="LR20" i="4"/>
  <c r="LQ20" i="4"/>
  <c r="LV19" i="4"/>
  <c r="LU19" i="4"/>
  <c r="LS19" i="4"/>
  <c r="LR19" i="4"/>
  <c r="LT19" i="4" s="1"/>
  <c r="LW19" i="4" s="1"/>
  <c r="LQ19" i="4"/>
  <c r="LV18" i="4"/>
  <c r="LU18" i="4"/>
  <c r="LS18" i="4"/>
  <c r="LR18" i="4"/>
  <c r="LT18" i="4" s="1"/>
  <c r="LW18" i="4" s="1"/>
  <c r="LQ18" i="4"/>
  <c r="LV17" i="4"/>
  <c r="LU17" i="4"/>
  <c r="LS17" i="4"/>
  <c r="LR17" i="4"/>
  <c r="LQ17" i="4"/>
  <c r="LV16" i="4"/>
  <c r="LU16" i="4"/>
  <c r="LS16" i="4"/>
  <c r="LR16" i="4"/>
  <c r="LQ16" i="4"/>
  <c r="LV24" i="4"/>
  <c r="LU24" i="4"/>
  <c r="LS24" i="4"/>
  <c r="LR24" i="4"/>
  <c r="LQ24" i="4"/>
  <c r="LV15" i="4"/>
  <c r="LU15" i="4"/>
  <c r="LS15" i="4"/>
  <c r="LR15" i="4"/>
  <c r="LQ15" i="4"/>
  <c r="LV14" i="4"/>
  <c r="LU14" i="4"/>
  <c r="LS14" i="4"/>
  <c r="LR14" i="4"/>
  <c r="LQ14" i="4"/>
  <c r="LV13" i="4"/>
  <c r="LU13" i="4"/>
  <c r="LS13" i="4"/>
  <c r="LR13" i="4"/>
  <c r="LQ13" i="4"/>
  <c r="LV12" i="4"/>
  <c r="LU12" i="4"/>
  <c r="LS12" i="4"/>
  <c r="LR12" i="4"/>
  <c r="LQ12" i="4"/>
  <c r="LV11" i="4"/>
  <c r="LU11" i="4"/>
  <c r="LS11" i="4"/>
  <c r="LR11" i="4"/>
  <c r="LT11" i="4" s="1"/>
  <c r="LW11" i="4" s="1"/>
  <c r="LQ11" i="4"/>
  <c r="LV10" i="4"/>
  <c r="LU10" i="4"/>
  <c r="LS10" i="4"/>
  <c r="LR10" i="4"/>
  <c r="LQ10" i="4"/>
  <c r="LV9" i="4"/>
  <c r="LU9" i="4"/>
  <c r="LS9" i="4"/>
  <c r="LR9" i="4"/>
  <c r="LQ9" i="4"/>
  <c r="LV8" i="4"/>
  <c r="LU8" i="4"/>
  <c r="LS8" i="4"/>
  <c r="LR8" i="4"/>
  <c r="LQ8" i="4"/>
  <c r="LV7" i="4"/>
  <c r="LU7" i="4"/>
  <c r="LS7" i="4"/>
  <c r="LR7" i="4"/>
  <c r="LQ7" i="4"/>
  <c r="LV6" i="4"/>
  <c r="LU6" i="4"/>
  <c r="LS6" i="4"/>
  <c r="LR6" i="4"/>
  <c r="LQ6" i="4"/>
  <c r="LV5" i="4"/>
  <c r="LU5" i="4"/>
  <c r="LS5" i="4"/>
  <c r="LR5" i="4"/>
  <c r="LT5" i="4" s="1"/>
  <c r="LQ5" i="4"/>
  <c r="LV4" i="4"/>
  <c r="LU4" i="4"/>
  <c r="LS4" i="4"/>
  <c r="LR4" i="4"/>
  <c r="LQ4" i="4"/>
  <c r="KZ23" i="4"/>
  <c r="KY23" i="4"/>
  <c r="KW23" i="4"/>
  <c r="KV23" i="4"/>
  <c r="KX23" i="4" s="1"/>
  <c r="LA23" i="4" s="1"/>
  <c r="KU23" i="4"/>
  <c r="KZ22" i="4"/>
  <c r="KY22" i="4"/>
  <c r="KW22" i="4"/>
  <c r="KV22" i="4"/>
  <c r="KU22" i="4"/>
  <c r="KZ21" i="4"/>
  <c r="KY21" i="4"/>
  <c r="KW21" i="4"/>
  <c r="KV21" i="4"/>
  <c r="KX21" i="4" s="1"/>
  <c r="KU21" i="4"/>
  <c r="KZ20" i="4"/>
  <c r="KY20" i="4"/>
  <c r="KW20" i="4"/>
  <c r="KV20" i="4"/>
  <c r="KU20" i="4"/>
  <c r="KZ19" i="4"/>
  <c r="KY19" i="4"/>
  <c r="KW19" i="4"/>
  <c r="KV19" i="4"/>
  <c r="KU19" i="4"/>
  <c r="KZ18" i="4"/>
  <c r="KY18" i="4"/>
  <c r="KW18" i="4"/>
  <c r="KV18" i="4"/>
  <c r="KU18" i="4"/>
  <c r="KZ17" i="4"/>
  <c r="KY17" i="4"/>
  <c r="KW17" i="4"/>
  <c r="KV17" i="4"/>
  <c r="KU17" i="4"/>
  <c r="KZ16" i="4"/>
  <c r="KY16" i="4"/>
  <c r="KW16" i="4"/>
  <c r="KV16" i="4"/>
  <c r="KU16" i="4"/>
  <c r="KZ24" i="4"/>
  <c r="KY24" i="4"/>
  <c r="KW24" i="4"/>
  <c r="KV24" i="4"/>
  <c r="KU24" i="4"/>
  <c r="KZ15" i="4"/>
  <c r="KY15" i="4"/>
  <c r="KW15" i="4"/>
  <c r="KV15" i="4"/>
  <c r="KU15" i="4"/>
  <c r="KZ14" i="4"/>
  <c r="KY14" i="4"/>
  <c r="KW14" i="4"/>
  <c r="KV14" i="4"/>
  <c r="KU14" i="4"/>
  <c r="KZ13" i="4"/>
  <c r="KY13" i="4"/>
  <c r="KW13" i="4"/>
  <c r="KV13" i="4"/>
  <c r="KU13" i="4"/>
  <c r="KZ12" i="4"/>
  <c r="KY12" i="4"/>
  <c r="KW12" i="4"/>
  <c r="KV12" i="4"/>
  <c r="KU12" i="4"/>
  <c r="KZ11" i="4"/>
  <c r="KY11" i="4"/>
  <c r="KW11" i="4"/>
  <c r="KX11" i="4" s="1"/>
  <c r="LA11" i="4" s="1"/>
  <c r="KV11" i="4"/>
  <c r="KU11" i="4"/>
  <c r="KZ10" i="4"/>
  <c r="KY10" i="4"/>
  <c r="KW10" i="4"/>
  <c r="KV10" i="4"/>
  <c r="KU10" i="4"/>
  <c r="KZ9" i="4"/>
  <c r="KY9" i="4"/>
  <c r="KW9" i="4"/>
  <c r="KV9" i="4"/>
  <c r="KU9" i="4"/>
  <c r="KZ8" i="4"/>
  <c r="KY8" i="4"/>
  <c r="KW8" i="4"/>
  <c r="KV8" i="4"/>
  <c r="KU8" i="4"/>
  <c r="KZ7" i="4"/>
  <c r="KY7" i="4"/>
  <c r="KW7" i="4"/>
  <c r="KV7" i="4"/>
  <c r="KU7" i="4"/>
  <c r="KZ6" i="4"/>
  <c r="KY6" i="4"/>
  <c r="KW6" i="4"/>
  <c r="KV6" i="4"/>
  <c r="KU6" i="4"/>
  <c r="KZ5" i="4"/>
  <c r="KY5" i="4"/>
  <c r="KW5" i="4"/>
  <c r="KV5" i="4"/>
  <c r="KU5" i="4"/>
  <c r="KZ4" i="4"/>
  <c r="KY4" i="4"/>
  <c r="KW4" i="4"/>
  <c r="KV4" i="4"/>
  <c r="KU4" i="4"/>
  <c r="KD23" i="4"/>
  <c r="KC23" i="4"/>
  <c r="KA23" i="4"/>
  <c r="JZ23" i="4"/>
  <c r="JY23" i="4"/>
  <c r="KD22" i="4"/>
  <c r="KC22" i="4"/>
  <c r="KA22" i="4"/>
  <c r="JZ22" i="4"/>
  <c r="JY22" i="4"/>
  <c r="KD21" i="4"/>
  <c r="KC21" i="4"/>
  <c r="KA21" i="4"/>
  <c r="JZ21" i="4"/>
  <c r="JY21" i="4"/>
  <c r="KD20" i="4"/>
  <c r="KC20" i="4"/>
  <c r="KA20" i="4"/>
  <c r="JZ20" i="4"/>
  <c r="JY20" i="4"/>
  <c r="KD19" i="4"/>
  <c r="KC19" i="4"/>
  <c r="KA19" i="4"/>
  <c r="JZ19" i="4"/>
  <c r="JY19" i="4"/>
  <c r="KD18" i="4"/>
  <c r="KC18" i="4"/>
  <c r="KA18" i="4"/>
  <c r="JZ18" i="4"/>
  <c r="JY18" i="4"/>
  <c r="KD17" i="4"/>
  <c r="KC17" i="4"/>
  <c r="KA17" i="4"/>
  <c r="JZ17" i="4"/>
  <c r="JY17" i="4"/>
  <c r="KD16" i="4"/>
  <c r="KC16" i="4"/>
  <c r="KA16" i="4"/>
  <c r="JZ16" i="4"/>
  <c r="JY16" i="4"/>
  <c r="KD24" i="4"/>
  <c r="KC24" i="4"/>
  <c r="KA24" i="4"/>
  <c r="JZ24" i="4"/>
  <c r="JY24" i="4"/>
  <c r="KD15" i="4"/>
  <c r="KC15" i="4"/>
  <c r="KA15" i="4"/>
  <c r="JZ15" i="4"/>
  <c r="JY15" i="4"/>
  <c r="KD14" i="4"/>
  <c r="KC14" i="4"/>
  <c r="KA14" i="4"/>
  <c r="JZ14" i="4"/>
  <c r="JY14" i="4"/>
  <c r="KD13" i="4"/>
  <c r="KC13" i="4"/>
  <c r="KA13" i="4"/>
  <c r="JZ13" i="4"/>
  <c r="JY13" i="4"/>
  <c r="KD12" i="4"/>
  <c r="KC12" i="4"/>
  <c r="KA12" i="4"/>
  <c r="JZ12" i="4"/>
  <c r="JY12" i="4"/>
  <c r="KD11" i="4"/>
  <c r="KC11" i="4"/>
  <c r="KA11" i="4"/>
  <c r="JZ11" i="4"/>
  <c r="JY11" i="4"/>
  <c r="KD10" i="4"/>
  <c r="KC10" i="4"/>
  <c r="KA10" i="4"/>
  <c r="JZ10" i="4"/>
  <c r="JY10" i="4"/>
  <c r="KD9" i="4"/>
  <c r="KC9" i="4"/>
  <c r="KA9" i="4"/>
  <c r="JZ9" i="4"/>
  <c r="JY9" i="4"/>
  <c r="KD8" i="4"/>
  <c r="KC8" i="4"/>
  <c r="KA8" i="4"/>
  <c r="JZ8" i="4"/>
  <c r="JY8" i="4"/>
  <c r="KD7" i="4"/>
  <c r="KC7" i="4"/>
  <c r="KA7" i="4"/>
  <c r="JZ7" i="4"/>
  <c r="KB7" i="4" s="1"/>
  <c r="JY7" i="4"/>
  <c r="KD6" i="4"/>
  <c r="KC6" i="4"/>
  <c r="KA6" i="4"/>
  <c r="JZ6" i="4"/>
  <c r="JY6" i="4"/>
  <c r="KD5" i="4"/>
  <c r="KC5" i="4"/>
  <c r="KA5" i="4"/>
  <c r="JZ5" i="4"/>
  <c r="JY5" i="4"/>
  <c r="KD4" i="4"/>
  <c r="KC4" i="4"/>
  <c r="KA4" i="4"/>
  <c r="JZ4" i="4"/>
  <c r="KB4" i="4" s="1"/>
  <c r="JY4" i="4"/>
  <c r="JH23" i="4"/>
  <c r="JG23" i="4"/>
  <c r="JE23" i="4"/>
  <c r="JD23" i="4"/>
  <c r="JC23" i="4"/>
  <c r="JH22" i="4"/>
  <c r="JG22" i="4"/>
  <c r="JE22" i="4"/>
  <c r="JD22" i="4"/>
  <c r="JC22" i="4"/>
  <c r="JH21" i="4"/>
  <c r="JG21" i="4"/>
  <c r="JE21" i="4"/>
  <c r="JD21" i="4"/>
  <c r="JC21" i="4"/>
  <c r="JH20" i="4"/>
  <c r="JG20" i="4"/>
  <c r="JE20" i="4"/>
  <c r="JD20" i="4"/>
  <c r="JC20" i="4"/>
  <c r="JH19" i="4"/>
  <c r="JG19" i="4"/>
  <c r="JE19" i="4"/>
  <c r="JD19" i="4"/>
  <c r="JC19" i="4"/>
  <c r="JH18" i="4"/>
  <c r="JG18" i="4"/>
  <c r="JE18" i="4"/>
  <c r="JD18" i="4"/>
  <c r="JC18" i="4"/>
  <c r="JH17" i="4"/>
  <c r="JG17" i="4"/>
  <c r="JE17" i="4"/>
  <c r="JD17" i="4"/>
  <c r="JC17" i="4"/>
  <c r="JH16" i="4"/>
  <c r="JG16" i="4"/>
  <c r="JE16" i="4"/>
  <c r="JD16" i="4"/>
  <c r="JC16" i="4"/>
  <c r="JH24" i="4"/>
  <c r="JG24" i="4"/>
  <c r="JE24" i="4"/>
  <c r="JD24" i="4"/>
  <c r="JC24" i="4"/>
  <c r="JH15" i="4"/>
  <c r="JG15" i="4"/>
  <c r="JE15" i="4"/>
  <c r="JD15" i="4"/>
  <c r="JC15" i="4"/>
  <c r="JH14" i="4"/>
  <c r="JG14" i="4"/>
  <c r="JE14" i="4"/>
  <c r="JD14" i="4"/>
  <c r="JC14" i="4"/>
  <c r="JH13" i="4"/>
  <c r="JG13" i="4"/>
  <c r="JE13" i="4"/>
  <c r="JD13" i="4"/>
  <c r="JC13" i="4"/>
  <c r="JH12" i="4"/>
  <c r="JG12" i="4"/>
  <c r="JE12" i="4"/>
  <c r="JD12" i="4"/>
  <c r="JC12" i="4"/>
  <c r="JH11" i="4"/>
  <c r="JG11" i="4"/>
  <c r="JE11" i="4"/>
  <c r="JD11" i="4"/>
  <c r="JC11" i="4"/>
  <c r="JH10" i="4"/>
  <c r="JG10" i="4"/>
  <c r="JE10" i="4"/>
  <c r="JD10" i="4"/>
  <c r="JC10" i="4"/>
  <c r="JH9" i="4"/>
  <c r="JG9" i="4"/>
  <c r="JE9" i="4"/>
  <c r="JD9" i="4"/>
  <c r="JF9" i="4" s="1"/>
  <c r="JC9" i="4"/>
  <c r="JH8" i="4"/>
  <c r="JG8" i="4"/>
  <c r="JE8" i="4"/>
  <c r="JD8" i="4"/>
  <c r="JC8" i="4"/>
  <c r="JH7" i="4"/>
  <c r="JG7" i="4"/>
  <c r="JE7" i="4"/>
  <c r="JD7" i="4"/>
  <c r="JC7" i="4"/>
  <c r="JH6" i="4"/>
  <c r="JG6" i="4"/>
  <c r="JE6" i="4"/>
  <c r="JD6" i="4"/>
  <c r="JC6" i="4"/>
  <c r="JH5" i="4"/>
  <c r="JG5" i="4"/>
  <c r="JE5" i="4"/>
  <c r="JD5" i="4"/>
  <c r="JC5" i="4"/>
  <c r="JH4" i="4"/>
  <c r="JG4" i="4"/>
  <c r="JE4" i="4"/>
  <c r="JD4" i="4"/>
  <c r="JC4" i="4"/>
  <c r="IL23" i="4"/>
  <c r="IK23" i="4"/>
  <c r="II23" i="4"/>
  <c r="IH23" i="4"/>
  <c r="IG23" i="4"/>
  <c r="IL22" i="4"/>
  <c r="IK22" i="4"/>
  <c r="II22" i="4"/>
  <c r="IH22" i="4"/>
  <c r="IG22" i="4"/>
  <c r="IL21" i="4"/>
  <c r="IK21" i="4"/>
  <c r="II21" i="4"/>
  <c r="IH21" i="4"/>
  <c r="IG21" i="4"/>
  <c r="IL20" i="4"/>
  <c r="IK20" i="4"/>
  <c r="II20" i="4"/>
  <c r="IH20" i="4"/>
  <c r="IG20" i="4"/>
  <c r="IL19" i="4"/>
  <c r="IK19" i="4"/>
  <c r="II19" i="4"/>
  <c r="IH19" i="4"/>
  <c r="IG19" i="4"/>
  <c r="IL18" i="4"/>
  <c r="IK18" i="4"/>
  <c r="II18" i="4"/>
  <c r="IH18" i="4"/>
  <c r="IG18" i="4"/>
  <c r="IL17" i="4"/>
  <c r="IK17" i="4"/>
  <c r="II17" i="4"/>
  <c r="IH17" i="4"/>
  <c r="IG17" i="4"/>
  <c r="IL16" i="4"/>
  <c r="IK16" i="4"/>
  <c r="II16" i="4"/>
  <c r="IH16" i="4"/>
  <c r="IG16" i="4"/>
  <c r="IL24" i="4"/>
  <c r="IK24" i="4"/>
  <c r="II24" i="4"/>
  <c r="IH24" i="4"/>
  <c r="IG24" i="4"/>
  <c r="IL15" i="4"/>
  <c r="IK15" i="4"/>
  <c r="II15" i="4"/>
  <c r="IH15" i="4"/>
  <c r="IG15" i="4"/>
  <c r="IL14" i="4"/>
  <c r="IK14" i="4"/>
  <c r="II14" i="4"/>
  <c r="IH14" i="4"/>
  <c r="IJ14" i="4" s="1"/>
  <c r="IG14" i="4"/>
  <c r="IL13" i="4"/>
  <c r="IK13" i="4"/>
  <c r="II13" i="4"/>
  <c r="IH13" i="4"/>
  <c r="IG13" i="4"/>
  <c r="IL12" i="4"/>
  <c r="IK12" i="4"/>
  <c r="II12" i="4"/>
  <c r="IH12" i="4"/>
  <c r="IG12" i="4"/>
  <c r="IL11" i="4"/>
  <c r="IK11" i="4"/>
  <c r="II11" i="4"/>
  <c r="IH11" i="4"/>
  <c r="IG11" i="4"/>
  <c r="IL10" i="4"/>
  <c r="IK10" i="4"/>
  <c r="II10" i="4"/>
  <c r="IH10" i="4"/>
  <c r="IG10" i="4"/>
  <c r="IL9" i="4"/>
  <c r="IK9" i="4"/>
  <c r="II9" i="4"/>
  <c r="IH9" i="4"/>
  <c r="IG9" i="4"/>
  <c r="IL8" i="4"/>
  <c r="IK8" i="4"/>
  <c r="II8" i="4"/>
  <c r="IH8" i="4"/>
  <c r="IG8" i="4"/>
  <c r="IL7" i="4"/>
  <c r="IK7" i="4"/>
  <c r="II7" i="4"/>
  <c r="IH7" i="4"/>
  <c r="IG7" i="4"/>
  <c r="IL6" i="4"/>
  <c r="IK6" i="4"/>
  <c r="II6" i="4"/>
  <c r="IH6" i="4"/>
  <c r="IG6" i="4"/>
  <c r="IL5" i="4"/>
  <c r="IK5" i="4"/>
  <c r="II5" i="4"/>
  <c r="IH5" i="4"/>
  <c r="IG5" i="4"/>
  <c r="IL4" i="4"/>
  <c r="IK4" i="4"/>
  <c r="II4" i="4"/>
  <c r="IH4" i="4"/>
  <c r="IJ4" i="4" s="1"/>
  <c r="IM4" i="4" s="1"/>
  <c r="IG4" i="4"/>
  <c r="HP23" i="4"/>
  <c r="HO23" i="4"/>
  <c r="HM23" i="4"/>
  <c r="HL23" i="4"/>
  <c r="HK23" i="4"/>
  <c r="HP22" i="4"/>
  <c r="HO22" i="4"/>
  <c r="HM22" i="4"/>
  <c r="HL22" i="4"/>
  <c r="HK22" i="4"/>
  <c r="HP21" i="4"/>
  <c r="HO21" i="4"/>
  <c r="HM21" i="4"/>
  <c r="HL21" i="4"/>
  <c r="HK21" i="4"/>
  <c r="HP20" i="4"/>
  <c r="HO20" i="4"/>
  <c r="HM20" i="4"/>
  <c r="HL20" i="4"/>
  <c r="HK20" i="4"/>
  <c r="HP19" i="4"/>
  <c r="HO19" i="4"/>
  <c r="HM19" i="4"/>
  <c r="HL19" i="4"/>
  <c r="HK19" i="4"/>
  <c r="HP18" i="4"/>
  <c r="HO18" i="4"/>
  <c r="HM18" i="4"/>
  <c r="HL18" i="4"/>
  <c r="HK18" i="4"/>
  <c r="HP17" i="4"/>
  <c r="HO17" i="4"/>
  <c r="HM17" i="4"/>
  <c r="HL17" i="4"/>
  <c r="HK17" i="4"/>
  <c r="HP16" i="4"/>
  <c r="HO16" i="4"/>
  <c r="HM16" i="4"/>
  <c r="HL16" i="4"/>
  <c r="HK16" i="4"/>
  <c r="HP24" i="4"/>
  <c r="HO24" i="4"/>
  <c r="HM24" i="4"/>
  <c r="HL24" i="4"/>
  <c r="HK24" i="4"/>
  <c r="HP15" i="4"/>
  <c r="HO15" i="4"/>
  <c r="HM15" i="4"/>
  <c r="HL15" i="4"/>
  <c r="HN15" i="4" s="1"/>
  <c r="HQ15" i="4" s="1"/>
  <c r="HK15" i="4"/>
  <c r="HP14" i="4"/>
  <c r="HO14" i="4"/>
  <c r="HM14" i="4"/>
  <c r="HL14" i="4"/>
  <c r="HK14" i="4"/>
  <c r="HP13" i="4"/>
  <c r="HO13" i="4"/>
  <c r="HM13" i="4"/>
  <c r="HL13" i="4"/>
  <c r="HK13" i="4"/>
  <c r="HP12" i="4"/>
  <c r="HO12" i="4"/>
  <c r="HM12" i="4"/>
  <c r="HL12" i="4"/>
  <c r="HK12" i="4"/>
  <c r="HP11" i="4"/>
  <c r="HO11" i="4"/>
  <c r="HM11" i="4"/>
  <c r="HL11" i="4"/>
  <c r="HK11" i="4"/>
  <c r="HP10" i="4"/>
  <c r="HO10" i="4"/>
  <c r="HM10" i="4"/>
  <c r="HL10" i="4"/>
  <c r="HK10" i="4"/>
  <c r="HP9" i="4"/>
  <c r="HO9" i="4"/>
  <c r="HM9" i="4"/>
  <c r="HL9" i="4"/>
  <c r="HN9" i="4" s="1"/>
  <c r="HK9" i="4"/>
  <c r="HP8" i="4"/>
  <c r="HO8" i="4"/>
  <c r="HM8" i="4"/>
  <c r="HL8" i="4"/>
  <c r="HK8" i="4"/>
  <c r="HP7" i="4"/>
  <c r="HO7" i="4"/>
  <c r="HM7" i="4"/>
  <c r="HL7" i="4"/>
  <c r="HK7" i="4"/>
  <c r="HP6" i="4"/>
  <c r="HO6" i="4"/>
  <c r="HM6" i="4"/>
  <c r="HL6" i="4"/>
  <c r="HK6" i="4"/>
  <c r="HP5" i="4"/>
  <c r="HO5" i="4"/>
  <c r="HM5" i="4"/>
  <c r="HL5" i="4"/>
  <c r="HK5" i="4"/>
  <c r="HP4" i="4"/>
  <c r="HO4" i="4"/>
  <c r="HM4" i="4"/>
  <c r="HL4" i="4"/>
  <c r="HK4" i="4"/>
  <c r="GT23" i="4"/>
  <c r="GS23" i="4"/>
  <c r="GQ23" i="4"/>
  <c r="GP23" i="4"/>
  <c r="GO23" i="4"/>
  <c r="GT22" i="4"/>
  <c r="GS22" i="4"/>
  <c r="GQ22" i="4"/>
  <c r="GP22" i="4"/>
  <c r="GO22" i="4"/>
  <c r="GT21" i="4"/>
  <c r="GS21" i="4"/>
  <c r="GQ21" i="4"/>
  <c r="GP21" i="4"/>
  <c r="GR21" i="4" s="1"/>
  <c r="GU21" i="4" s="1"/>
  <c r="GO21" i="4"/>
  <c r="GT20" i="4"/>
  <c r="GS20" i="4"/>
  <c r="GQ20" i="4"/>
  <c r="GP20" i="4"/>
  <c r="GO20" i="4"/>
  <c r="GT19" i="4"/>
  <c r="GS19" i="4"/>
  <c r="GQ19" i="4"/>
  <c r="GP19" i="4"/>
  <c r="GO19" i="4"/>
  <c r="GT18" i="4"/>
  <c r="GS18" i="4"/>
  <c r="GQ18" i="4"/>
  <c r="GP18" i="4"/>
  <c r="GO18" i="4"/>
  <c r="GT17" i="4"/>
  <c r="GS17" i="4"/>
  <c r="GQ17" i="4"/>
  <c r="GR17" i="4" s="1"/>
  <c r="GP17" i="4"/>
  <c r="GO17" i="4"/>
  <c r="GT16" i="4"/>
  <c r="GS16" i="4"/>
  <c r="GQ16" i="4"/>
  <c r="GP16" i="4"/>
  <c r="GO16" i="4"/>
  <c r="GT24" i="4"/>
  <c r="GS24" i="4"/>
  <c r="GQ24" i="4"/>
  <c r="GP24" i="4"/>
  <c r="GO24" i="4"/>
  <c r="GT15" i="4"/>
  <c r="GS15" i="4"/>
  <c r="GQ15" i="4"/>
  <c r="GP15" i="4"/>
  <c r="GO15" i="4"/>
  <c r="GT14" i="4"/>
  <c r="GS14" i="4"/>
  <c r="GQ14" i="4"/>
  <c r="GP14" i="4"/>
  <c r="GR14" i="4" s="1"/>
  <c r="GO14" i="4"/>
  <c r="GT13" i="4"/>
  <c r="GS13" i="4"/>
  <c r="GQ13" i="4"/>
  <c r="GP13" i="4"/>
  <c r="GO13" i="4"/>
  <c r="GT12" i="4"/>
  <c r="GS12" i="4"/>
  <c r="GQ12" i="4"/>
  <c r="GP12" i="4"/>
  <c r="GR12" i="4" s="1"/>
  <c r="GU12" i="4" s="1"/>
  <c r="GO12" i="4"/>
  <c r="GT11" i="4"/>
  <c r="GS11" i="4"/>
  <c r="GQ11" i="4"/>
  <c r="GP11" i="4"/>
  <c r="GO11" i="4"/>
  <c r="GT10" i="4"/>
  <c r="GS10" i="4"/>
  <c r="GQ10" i="4"/>
  <c r="GP10" i="4"/>
  <c r="GO10" i="4"/>
  <c r="GT9" i="4"/>
  <c r="GS9" i="4"/>
  <c r="GQ9" i="4"/>
  <c r="GP9" i="4"/>
  <c r="GO9" i="4"/>
  <c r="GT8" i="4"/>
  <c r="GS8" i="4"/>
  <c r="GQ8" i="4"/>
  <c r="GP8" i="4"/>
  <c r="GR8" i="4" s="1"/>
  <c r="GO8" i="4"/>
  <c r="GT7" i="4"/>
  <c r="GS7" i="4"/>
  <c r="GQ7" i="4"/>
  <c r="GP7" i="4"/>
  <c r="GO7" i="4"/>
  <c r="GT6" i="4"/>
  <c r="GS6" i="4"/>
  <c r="GQ6" i="4"/>
  <c r="GP6" i="4"/>
  <c r="GR6" i="4" s="1"/>
  <c r="GU6" i="4" s="1"/>
  <c r="GO6" i="4"/>
  <c r="GT5" i="4"/>
  <c r="GS5" i="4"/>
  <c r="GQ5" i="4"/>
  <c r="GP5" i="4"/>
  <c r="GO5" i="4"/>
  <c r="GT4" i="4"/>
  <c r="GS4" i="4"/>
  <c r="GQ4" i="4"/>
  <c r="GP4" i="4"/>
  <c r="GR4" i="4" s="1"/>
  <c r="GU4" i="4" s="1"/>
  <c r="GO4" i="4"/>
  <c r="FX23" i="4"/>
  <c r="FW23" i="4"/>
  <c r="FU23" i="4"/>
  <c r="FT23" i="4"/>
  <c r="FS23" i="4"/>
  <c r="FX22" i="4"/>
  <c r="FW22" i="4"/>
  <c r="FU22" i="4"/>
  <c r="FT22" i="4"/>
  <c r="FS22" i="4"/>
  <c r="FX21" i="4"/>
  <c r="FW21" i="4"/>
  <c r="FU21" i="4"/>
  <c r="FT21" i="4"/>
  <c r="FS21" i="4"/>
  <c r="FX20" i="4"/>
  <c r="FW20" i="4"/>
  <c r="FU20" i="4"/>
  <c r="FT20" i="4"/>
  <c r="FS20" i="4"/>
  <c r="FX19" i="4"/>
  <c r="FW19" i="4"/>
  <c r="FV19" i="4"/>
  <c r="FU19" i="4"/>
  <c r="FT19" i="4"/>
  <c r="FS19" i="4"/>
  <c r="FX18" i="4"/>
  <c r="FW18" i="4"/>
  <c r="FU18" i="4"/>
  <c r="FT18" i="4"/>
  <c r="FS18" i="4"/>
  <c r="FX17" i="4"/>
  <c r="FW17" i="4"/>
  <c r="FU17" i="4"/>
  <c r="FT17" i="4"/>
  <c r="FV17" i="4" s="1"/>
  <c r="FS17" i="4"/>
  <c r="FX16" i="4"/>
  <c r="FW16" i="4"/>
  <c r="FU16" i="4"/>
  <c r="FT16" i="4"/>
  <c r="FS16" i="4"/>
  <c r="FX24" i="4"/>
  <c r="FW24" i="4"/>
  <c r="FU24" i="4"/>
  <c r="FT24" i="4"/>
  <c r="FS24" i="4"/>
  <c r="FX15" i="4"/>
  <c r="FW15" i="4"/>
  <c r="FU15" i="4"/>
  <c r="FT15" i="4"/>
  <c r="FS15" i="4"/>
  <c r="FX14" i="4"/>
  <c r="FW14" i="4"/>
  <c r="FU14" i="4"/>
  <c r="FT14" i="4"/>
  <c r="FS14" i="4"/>
  <c r="FX13" i="4"/>
  <c r="FW13" i="4"/>
  <c r="FU13" i="4"/>
  <c r="FT13" i="4"/>
  <c r="FS13" i="4"/>
  <c r="FX12" i="4"/>
  <c r="FW12" i="4"/>
  <c r="FU12" i="4"/>
  <c r="FT12" i="4"/>
  <c r="FS12" i="4"/>
  <c r="FX11" i="4"/>
  <c r="FW11" i="4"/>
  <c r="FU11" i="4"/>
  <c r="FV11" i="4" s="1"/>
  <c r="FY11" i="4" s="1"/>
  <c r="FT11" i="4"/>
  <c r="FS11" i="4"/>
  <c r="FX10" i="4"/>
  <c r="FW10" i="4"/>
  <c r="FU10" i="4"/>
  <c r="FT10" i="4"/>
  <c r="FS10" i="4"/>
  <c r="FX9" i="4"/>
  <c r="FW9" i="4"/>
  <c r="FU9" i="4"/>
  <c r="FT9" i="4"/>
  <c r="FS9" i="4"/>
  <c r="FX8" i="4"/>
  <c r="FW8" i="4"/>
  <c r="FU8" i="4"/>
  <c r="FT8" i="4"/>
  <c r="FV8" i="4" s="1"/>
  <c r="FY8" i="4" s="1"/>
  <c r="FS8" i="4"/>
  <c r="FX7" i="4"/>
  <c r="FW7" i="4"/>
  <c r="FU7" i="4"/>
  <c r="FT7" i="4"/>
  <c r="FS7" i="4"/>
  <c r="FX6" i="4"/>
  <c r="FW6" i="4"/>
  <c r="FU6" i="4"/>
  <c r="FT6" i="4"/>
  <c r="FS6" i="4"/>
  <c r="FX5" i="4"/>
  <c r="FW5" i="4"/>
  <c r="FU5" i="4"/>
  <c r="FT5" i="4"/>
  <c r="FS5" i="4"/>
  <c r="FX4" i="4"/>
  <c r="FW4" i="4"/>
  <c r="FU4" i="4"/>
  <c r="FT4" i="4"/>
  <c r="FV4" i="4" s="1"/>
  <c r="FY4" i="4" s="1"/>
  <c r="FS4" i="4"/>
  <c r="FB23" i="4"/>
  <c r="FA23" i="4"/>
  <c r="EY23" i="4"/>
  <c r="EX23" i="4"/>
  <c r="EW23" i="4"/>
  <c r="FB22" i="4"/>
  <c r="FA22" i="4"/>
  <c r="EY22" i="4"/>
  <c r="EX22" i="4"/>
  <c r="EW22" i="4"/>
  <c r="FB21" i="4"/>
  <c r="FA21" i="4"/>
  <c r="EY21" i="4"/>
  <c r="EX21" i="4"/>
  <c r="EZ21" i="4" s="1"/>
  <c r="EW21" i="4"/>
  <c r="FB20" i="4"/>
  <c r="FA20" i="4"/>
  <c r="EY20" i="4"/>
  <c r="EX20" i="4"/>
  <c r="EW20" i="4"/>
  <c r="FB19" i="4"/>
  <c r="FA19" i="4"/>
  <c r="EY19" i="4"/>
  <c r="EX19" i="4"/>
  <c r="EW19" i="4"/>
  <c r="FB18" i="4"/>
  <c r="FA18" i="4"/>
  <c r="EY18" i="4"/>
  <c r="EZ18" i="4" s="1"/>
  <c r="EX18" i="4"/>
  <c r="EW18" i="4"/>
  <c r="FB17" i="4"/>
  <c r="FA17" i="4"/>
  <c r="EY17" i="4"/>
  <c r="EX17" i="4"/>
  <c r="EW17" i="4"/>
  <c r="FB16" i="4"/>
  <c r="FA16" i="4"/>
  <c r="EY16" i="4"/>
  <c r="EX16" i="4"/>
  <c r="EZ16" i="4" s="1"/>
  <c r="EW16" i="4"/>
  <c r="FB24" i="4"/>
  <c r="FA24" i="4"/>
  <c r="EY24" i="4"/>
  <c r="EX24" i="4"/>
  <c r="EW24" i="4"/>
  <c r="FB15" i="4"/>
  <c r="FA15" i="4"/>
  <c r="EY15" i="4"/>
  <c r="EX15" i="4"/>
  <c r="EZ15" i="4" s="1"/>
  <c r="EW15" i="4"/>
  <c r="FB14" i="4"/>
  <c r="FA14" i="4"/>
  <c r="EY14" i="4"/>
  <c r="EX14" i="4"/>
  <c r="EW14" i="4"/>
  <c r="FB13" i="4"/>
  <c r="FA13" i="4"/>
  <c r="EY13" i="4"/>
  <c r="EX13" i="4"/>
  <c r="EW13" i="4"/>
  <c r="FB12" i="4"/>
  <c r="FA12" i="4"/>
  <c r="EY12" i="4"/>
  <c r="EX12" i="4"/>
  <c r="EW12" i="4"/>
  <c r="FB11" i="4"/>
  <c r="FA11" i="4"/>
  <c r="EY11" i="4"/>
  <c r="EX11" i="4"/>
  <c r="EW11" i="4"/>
  <c r="FB10" i="4"/>
  <c r="FA10" i="4"/>
  <c r="EY10" i="4"/>
  <c r="EX10" i="4"/>
  <c r="EW10" i="4"/>
  <c r="FB9" i="4"/>
  <c r="FA9" i="4"/>
  <c r="EY9" i="4"/>
  <c r="EX9" i="4"/>
  <c r="EZ9" i="4" s="1"/>
  <c r="EW9" i="4"/>
  <c r="FB8" i="4"/>
  <c r="FA8" i="4"/>
  <c r="EY8" i="4"/>
  <c r="EX8" i="4"/>
  <c r="EW8" i="4"/>
  <c r="FB7" i="4"/>
  <c r="FA7" i="4"/>
  <c r="EY7" i="4"/>
  <c r="EX7" i="4"/>
  <c r="EZ7" i="4" s="1"/>
  <c r="FC7" i="4" s="1"/>
  <c r="EW7" i="4"/>
  <c r="FB6" i="4"/>
  <c r="FA6" i="4"/>
  <c r="EY6" i="4"/>
  <c r="EX6" i="4"/>
  <c r="EW6" i="4"/>
  <c r="FB5" i="4"/>
  <c r="FA5" i="4"/>
  <c r="EY5" i="4"/>
  <c r="EX5" i="4"/>
  <c r="EW5" i="4"/>
  <c r="FB4" i="4"/>
  <c r="FA4" i="4"/>
  <c r="EY4" i="4"/>
  <c r="EX4" i="4"/>
  <c r="EW4" i="4"/>
  <c r="EF23" i="4"/>
  <c r="EE23" i="4"/>
  <c r="EC23" i="4"/>
  <c r="EB23" i="4"/>
  <c r="EA23" i="4"/>
  <c r="EF22" i="4"/>
  <c r="EE22" i="4"/>
  <c r="EC22" i="4"/>
  <c r="EB22" i="4"/>
  <c r="EA22" i="4"/>
  <c r="EF21" i="4"/>
  <c r="EE21" i="4"/>
  <c r="EC21" i="4"/>
  <c r="EB21" i="4"/>
  <c r="EA21" i="4"/>
  <c r="EF20" i="4"/>
  <c r="EE20" i="4"/>
  <c r="EC20" i="4"/>
  <c r="EB20" i="4"/>
  <c r="EA20" i="4"/>
  <c r="EF19" i="4"/>
  <c r="EE19" i="4"/>
  <c r="EC19" i="4"/>
  <c r="EB19" i="4"/>
  <c r="EA19" i="4"/>
  <c r="EF18" i="4"/>
  <c r="EE18" i="4"/>
  <c r="EC18" i="4"/>
  <c r="EB18" i="4"/>
  <c r="EA18" i="4"/>
  <c r="EF17" i="4"/>
  <c r="EE17" i="4"/>
  <c r="EC17" i="4"/>
  <c r="EB17" i="4"/>
  <c r="EA17" i="4"/>
  <c r="EF16" i="4"/>
  <c r="EE16" i="4"/>
  <c r="EC16" i="4"/>
  <c r="EB16" i="4"/>
  <c r="EA16" i="4"/>
  <c r="EF24" i="4"/>
  <c r="EE24" i="4"/>
  <c r="EC24" i="4"/>
  <c r="EB24" i="4"/>
  <c r="EA24" i="4"/>
  <c r="EF15" i="4"/>
  <c r="EE15" i="4"/>
  <c r="EC15" i="4"/>
  <c r="EB15" i="4"/>
  <c r="EA15" i="4"/>
  <c r="EF14" i="4"/>
  <c r="EE14" i="4"/>
  <c r="EC14" i="4"/>
  <c r="EB14" i="4"/>
  <c r="EA14" i="4"/>
  <c r="EF13" i="4"/>
  <c r="EE13" i="4"/>
  <c r="EC13" i="4"/>
  <c r="EB13" i="4"/>
  <c r="EA13" i="4"/>
  <c r="EF12" i="4"/>
  <c r="EE12" i="4"/>
  <c r="EC12" i="4"/>
  <c r="EB12" i="4"/>
  <c r="EA12" i="4"/>
  <c r="EF11" i="4"/>
  <c r="EE11" i="4"/>
  <c r="EC11" i="4"/>
  <c r="EB11" i="4"/>
  <c r="EA11" i="4"/>
  <c r="EF10" i="4"/>
  <c r="EE10" i="4"/>
  <c r="EC10" i="4"/>
  <c r="EB10" i="4"/>
  <c r="EA10" i="4"/>
  <c r="EF9" i="4"/>
  <c r="EE9" i="4"/>
  <c r="EC9" i="4"/>
  <c r="EB9" i="4"/>
  <c r="EA9" i="4"/>
  <c r="EF8" i="4"/>
  <c r="EE8" i="4"/>
  <c r="EC8" i="4"/>
  <c r="EB8" i="4"/>
  <c r="EA8" i="4"/>
  <c r="EF7" i="4"/>
  <c r="EE7" i="4"/>
  <c r="EC7" i="4"/>
  <c r="EB7" i="4"/>
  <c r="EA7" i="4"/>
  <c r="EF6" i="4"/>
  <c r="EE6" i="4"/>
  <c r="EC6" i="4"/>
  <c r="EB6" i="4"/>
  <c r="EA6" i="4"/>
  <c r="EF5" i="4"/>
  <c r="EE5" i="4"/>
  <c r="EC5" i="4"/>
  <c r="EB5" i="4"/>
  <c r="EA5" i="4"/>
  <c r="EF4" i="4"/>
  <c r="EE4" i="4"/>
  <c r="EC4" i="4"/>
  <c r="EB4" i="4"/>
  <c r="EA4" i="4"/>
  <c r="AH15" i="6"/>
  <c r="AI15" i="6"/>
  <c r="AJ15" i="6"/>
  <c r="AK15" i="6"/>
  <c r="BD15" i="6"/>
  <c r="BE15" i="6"/>
  <c r="BF15" i="6"/>
  <c r="BG15" i="6"/>
  <c r="BZ15" i="6"/>
  <c r="CA15" i="6"/>
  <c r="CB15" i="6"/>
  <c r="CC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AH12" i="6"/>
  <c r="AI12" i="6"/>
  <c r="AJ12" i="6"/>
  <c r="AK12" i="6"/>
  <c r="BD12" i="6"/>
  <c r="BE12" i="6"/>
  <c r="BF12" i="6"/>
  <c r="BG12" i="6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N12" i="12"/>
  <c r="O12" i="12" s="1"/>
  <c r="AH12" i="12"/>
  <c r="AI12" i="12"/>
  <c r="AJ12" i="12"/>
  <c r="AK12" i="12"/>
  <c r="BD12" i="12"/>
  <c r="BE12" i="12"/>
  <c r="BF12" i="12"/>
  <c r="BG12" i="12"/>
  <c r="BZ12" i="12"/>
  <c r="CA12" i="12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N11" i="12"/>
  <c r="P11" i="12" s="1"/>
  <c r="AH11" i="12"/>
  <c r="AI11" i="12"/>
  <c r="AJ11" i="12"/>
  <c r="AK11" i="12"/>
  <c r="BD11" i="12"/>
  <c r="BE11" i="12"/>
  <c r="BF11" i="12"/>
  <c r="BG11" i="12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AH6" i="7"/>
  <c r="AI6" i="7"/>
  <c r="AJ6" i="7"/>
  <c r="AK6" i="7"/>
  <c r="BD6" i="7"/>
  <c r="BE6" i="7"/>
  <c r="BF6" i="7"/>
  <c r="BG6" i="7"/>
  <c r="BZ6" i="7"/>
  <c r="CA6" i="7"/>
  <c r="CB6" i="7"/>
  <c r="CC6" i="7"/>
  <c r="LT6" i="7"/>
  <c r="LU6" i="7"/>
  <c r="LV6" i="7"/>
  <c r="LW6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AQ15" i="13"/>
  <c r="AR15" i="13"/>
  <c r="AS15" i="13"/>
  <c r="AT15" i="13"/>
  <c r="AU15" i="13"/>
  <c r="AW15" i="13"/>
  <c r="AX15" i="13"/>
  <c r="BU15" i="13"/>
  <c r="BV15" i="13"/>
  <c r="BW15" i="13"/>
  <c r="BX15" i="13"/>
  <c r="BY15" i="13"/>
  <c r="CA15" i="13"/>
  <c r="CB15" i="13"/>
  <c r="CY15" i="13"/>
  <c r="CZ15" i="13"/>
  <c r="DA15" i="13"/>
  <c r="DB15" i="13"/>
  <c r="DC15" i="13"/>
  <c r="DE15" i="13"/>
  <c r="DF15" i="13"/>
  <c r="NI15" i="13"/>
  <c r="NJ15" i="13"/>
  <c r="NK15" i="13"/>
  <c r="NM15" i="13"/>
  <c r="NN15" i="13"/>
  <c r="NP15" i="13"/>
  <c r="NQ15" i="13"/>
  <c r="NR15" i="13"/>
  <c r="NS15" i="13"/>
  <c r="NT15" i="13"/>
  <c r="NU15" i="13"/>
  <c r="NV15" i="13"/>
  <c r="NW15" i="13"/>
  <c r="OL15" i="13" s="1"/>
  <c r="NX15" i="13"/>
  <c r="NY15" i="13"/>
  <c r="NZ15" i="13"/>
  <c r="OA15" i="13"/>
  <c r="OB15" i="13"/>
  <c r="ON15" i="13" s="1"/>
  <c r="OC15" i="13"/>
  <c r="OD15" i="13"/>
  <c r="OE15" i="13"/>
  <c r="OF15" i="13"/>
  <c r="OG15" i="13"/>
  <c r="OQ15" i="13" s="1"/>
  <c r="OH15" i="13"/>
  <c r="OI15" i="13"/>
  <c r="AQ16" i="13"/>
  <c r="AR16" i="13"/>
  <c r="AS16" i="13"/>
  <c r="AT16" i="13"/>
  <c r="AU16" i="13"/>
  <c r="AW16" i="13"/>
  <c r="AX16" i="13"/>
  <c r="BU16" i="13"/>
  <c r="BV16" i="13"/>
  <c r="BW16" i="13"/>
  <c r="BX16" i="13"/>
  <c r="BY16" i="13"/>
  <c r="CA16" i="13"/>
  <c r="CB16" i="13"/>
  <c r="CY16" i="13"/>
  <c r="CZ16" i="13"/>
  <c r="DA16" i="13"/>
  <c r="DB16" i="13"/>
  <c r="DC16" i="13"/>
  <c r="DE16" i="13"/>
  <c r="DF16" i="13"/>
  <c r="NI16" i="13"/>
  <c r="NJ16" i="13"/>
  <c r="NK16" i="13"/>
  <c r="NM16" i="13"/>
  <c r="NN16" i="13"/>
  <c r="NP16" i="13"/>
  <c r="NQ16" i="13"/>
  <c r="NR16" i="13"/>
  <c r="NS16" i="13"/>
  <c r="NT16" i="13"/>
  <c r="NU16" i="13"/>
  <c r="NV16" i="13"/>
  <c r="NW16" i="13"/>
  <c r="OL16" i="13" s="1"/>
  <c r="NX16" i="13"/>
  <c r="NY16" i="13"/>
  <c r="NZ16" i="13"/>
  <c r="OA16" i="13"/>
  <c r="OB16" i="13"/>
  <c r="ON16" i="13" s="1"/>
  <c r="OC16" i="13"/>
  <c r="OD16" i="13"/>
  <c r="OE16" i="13"/>
  <c r="OF16" i="13"/>
  <c r="OG16" i="13"/>
  <c r="OQ16" i="13" s="1"/>
  <c r="OH16" i="13"/>
  <c r="OI16" i="13"/>
  <c r="AQ17" i="4"/>
  <c r="AR17" i="4"/>
  <c r="AS17" i="4"/>
  <c r="AT17" i="4"/>
  <c r="AU17" i="4"/>
  <c r="AW17" i="4"/>
  <c r="AX17" i="4"/>
  <c r="BU17" i="4"/>
  <c r="BV17" i="4"/>
  <c r="BW17" i="4"/>
  <c r="BX17" i="4"/>
  <c r="BY17" i="4"/>
  <c r="CA17" i="4"/>
  <c r="CB17" i="4"/>
  <c r="CY17" i="4"/>
  <c r="CZ17" i="4"/>
  <c r="DA17" i="4"/>
  <c r="DB17" i="4"/>
  <c r="DC17" i="4"/>
  <c r="DE17" i="4"/>
  <c r="DF17" i="4"/>
  <c r="NI17" i="4"/>
  <c r="NJ17" i="4"/>
  <c r="NK17" i="4"/>
  <c r="NM17" i="4"/>
  <c r="NN17" i="4"/>
  <c r="NP17" i="4"/>
  <c r="NQ17" i="4"/>
  <c r="NR17" i="4"/>
  <c r="NS17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AQ18" i="4"/>
  <c r="AR18" i="4"/>
  <c r="AS18" i="4"/>
  <c r="AT18" i="4"/>
  <c r="AU18" i="4"/>
  <c r="AW18" i="4"/>
  <c r="AX18" i="4"/>
  <c r="BU18" i="4"/>
  <c r="BV18" i="4"/>
  <c r="BW18" i="4"/>
  <c r="BX18" i="4"/>
  <c r="BY18" i="4"/>
  <c r="CA18" i="4"/>
  <c r="CB18" i="4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C18" i="4"/>
  <c r="OD18" i="4"/>
  <c r="OE18" i="4"/>
  <c r="OF18" i="4"/>
  <c r="OG18" i="4"/>
  <c r="OQ18" i="4" s="1"/>
  <c r="OH18" i="4"/>
  <c r="OI18" i="4"/>
  <c r="ON18" i="4"/>
  <c r="AL13" i="14"/>
  <c r="AM13" i="14"/>
  <c r="AN13" i="14"/>
  <c r="AP13" i="14"/>
  <c r="AQ13" i="14"/>
  <c r="BI13" i="14"/>
  <c r="BJ13" i="14"/>
  <c r="BK13" i="14"/>
  <c r="BM13" i="14"/>
  <c r="BN13" i="14"/>
  <c r="CF13" i="14"/>
  <c r="CG13" i="14"/>
  <c r="CH13" i="14"/>
  <c r="CI13" i="14" s="1"/>
  <c r="CJ13" i="14"/>
  <c r="CK13" i="14"/>
  <c r="MN13" i="14"/>
  <c r="MO13" i="14"/>
  <c r="MP13" i="14"/>
  <c r="MR13" i="14"/>
  <c r="MS13" i="14"/>
  <c r="MU13" i="14"/>
  <c r="MV13" i="14"/>
  <c r="MW13" i="14"/>
  <c r="MX13" i="14"/>
  <c r="MY13" i="14"/>
  <c r="MZ13" i="14"/>
  <c r="NA13" i="14"/>
  <c r="NB13" i="14"/>
  <c r="NC13" i="14"/>
  <c r="ND13" i="14"/>
  <c r="NE13" i="14"/>
  <c r="NF13" i="14"/>
  <c r="NG13" i="14"/>
  <c r="NO13" i="14" s="1"/>
  <c r="NH13" i="14"/>
  <c r="NI13" i="14"/>
  <c r="NK13" i="14"/>
  <c r="AL12" i="14"/>
  <c r="AM12" i="14"/>
  <c r="AN12" i="14"/>
  <c r="AP12" i="14"/>
  <c r="AQ12" i="14"/>
  <c r="BI12" i="14"/>
  <c r="BJ12" i="14"/>
  <c r="BK12" i="14"/>
  <c r="BM12" i="14"/>
  <c r="BN12" i="14"/>
  <c r="CF12" i="14"/>
  <c r="CG12" i="14"/>
  <c r="CH12" i="14"/>
  <c r="CJ12" i="14"/>
  <c r="CK12" i="14"/>
  <c r="MN12" i="14"/>
  <c r="MO12" i="14"/>
  <c r="MP12" i="14"/>
  <c r="MR12" i="14"/>
  <c r="MS12" i="14"/>
  <c r="MU12" i="14"/>
  <c r="MV12" i="14"/>
  <c r="MW12" i="14"/>
  <c r="MX12" i="14"/>
  <c r="MY12" i="14"/>
  <c r="MZ12" i="14"/>
  <c r="NA12" i="14"/>
  <c r="NB12" i="14"/>
  <c r="NC12" i="14"/>
  <c r="ND12" i="14"/>
  <c r="NE12" i="14"/>
  <c r="NF12" i="14"/>
  <c r="NG12" i="14"/>
  <c r="NO12" i="14" s="1"/>
  <c r="NH12" i="14"/>
  <c r="NI12" i="14"/>
  <c r="NK12" i="14"/>
  <c r="AL11" i="14"/>
  <c r="AM11" i="14"/>
  <c r="AN11" i="14"/>
  <c r="AP11" i="14"/>
  <c r="AQ11" i="14"/>
  <c r="BI11" i="14"/>
  <c r="BJ11" i="14"/>
  <c r="BK11" i="14"/>
  <c r="BM11" i="14"/>
  <c r="BN11" i="14"/>
  <c r="CF11" i="14"/>
  <c r="CG11" i="14"/>
  <c r="CH11" i="14"/>
  <c r="CJ11" i="14"/>
  <c r="CK11" i="14"/>
  <c r="MN11" i="14"/>
  <c r="MO11" i="14"/>
  <c r="MP11" i="14"/>
  <c r="MR11" i="14"/>
  <c r="MS11" i="14"/>
  <c r="MU11" i="14"/>
  <c r="MV11" i="14"/>
  <c r="MW11" i="14"/>
  <c r="MX11" i="14"/>
  <c r="MY11" i="14"/>
  <c r="MZ11" i="14"/>
  <c r="NA11" i="14"/>
  <c r="NB11" i="14"/>
  <c r="NK11" i="14" s="1"/>
  <c r="NC11" i="14"/>
  <c r="ND11" i="14"/>
  <c r="NE11" i="14"/>
  <c r="NF11" i="14"/>
  <c r="NG11" i="14"/>
  <c r="NO11" i="14" s="1"/>
  <c r="NH11" i="14"/>
  <c r="NI11" i="14"/>
  <c r="NI10" i="14"/>
  <c r="NH10" i="14"/>
  <c r="NG10" i="14"/>
  <c r="NO10" i="14" s="1"/>
  <c r="NF10" i="14"/>
  <c r="NE10" i="14"/>
  <c r="ND10" i="14"/>
  <c r="NC10" i="14"/>
  <c r="NB10" i="14"/>
  <c r="NK10" i="14" s="1"/>
  <c r="NA10" i="14"/>
  <c r="MZ10" i="14"/>
  <c r="MY10" i="14"/>
  <c r="MX10" i="14"/>
  <c r="MW10" i="14"/>
  <c r="MV10" i="14"/>
  <c r="MU10" i="14"/>
  <c r="MS10" i="14"/>
  <c r="MR10" i="14"/>
  <c r="MP10" i="14"/>
  <c r="MO10" i="14"/>
  <c r="MN10" i="14"/>
  <c r="CK10" i="14"/>
  <c r="CJ10" i="14"/>
  <c r="CH10" i="14"/>
  <c r="CG10" i="14"/>
  <c r="CF10" i="14"/>
  <c r="BN10" i="14"/>
  <c r="BM10" i="14"/>
  <c r="BK10" i="14"/>
  <c r="BJ10" i="14"/>
  <c r="BI10" i="14"/>
  <c r="AQ10" i="14"/>
  <c r="AP10" i="14"/>
  <c r="AN10" i="14"/>
  <c r="AM10" i="14"/>
  <c r="AL10" i="14"/>
  <c r="NI9" i="14"/>
  <c r="NH9" i="14"/>
  <c r="NG9" i="14"/>
  <c r="NO9" i="14" s="1"/>
  <c r="NF9" i="14"/>
  <c r="NE9" i="14"/>
  <c r="ND9" i="14"/>
  <c r="NC9" i="14"/>
  <c r="NB9" i="14"/>
  <c r="NK9" i="14" s="1"/>
  <c r="NA9" i="14"/>
  <c r="MZ9" i="14"/>
  <c r="MY9" i="14"/>
  <c r="MX9" i="14"/>
  <c r="MW9" i="14"/>
  <c r="MV9" i="14"/>
  <c r="MU9" i="14"/>
  <c r="MS9" i="14"/>
  <c r="MR9" i="14"/>
  <c r="MP9" i="14"/>
  <c r="MO9" i="14"/>
  <c r="MN9" i="14"/>
  <c r="CK9" i="14"/>
  <c r="CJ9" i="14"/>
  <c r="CH9" i="14"/>
  <c r="CG9" i="14"/>
  <c r="CF9" i="14"/>
  <c r="BN9" i="14"/>
  <c r="BM9" i="14"/>
  <c r="BK9" i="14"/>
  <c r="BJ9" i="14"/>
  <c r="BI9" i="14"/>
  <c r="AQ9" i="14"/>
  <c r="AP9" i="14"/>
  <c r="AN9" i="14"/>
  <c r="AM9" i="14"/>
  <c r="AL9" i="14"/>
  <c r="NI8" i="14"/>
  <c r="NH8" i="14"/>
  <c r="NG8" i="14"/>
  <c r="NO8" i="14" s="1"/>
  <c r="NF8" i="14"/>
  <c r="NE8" i="14"/>
  <c r="ND8" i="14"/>
  <c r="NC8" i="14"/>
  <c r="NB8" i="14"/>
  <c r="NK8" i="14" s="1"/>
  <c r="NA8" i="14"/>
  <c r="MZ8" i="14"/>
  <c r="MY8" i="14"/>
  <c r="MX8" i="14"/>
  <c r="MW8" i="14"/>
  <c r="MV8" i="14"/>
  <c r="MU8" i="14"/>
  <c r="MS8" i="14"/>
  <c r="MR8" i="14"/>
  <c r="MP8" i="14"/>
  <c r="MO8" i="14"/>
  <c r="MN8" i="14"/>
  <c r="CK8" i="14"/>
  <c r="CJ8" i="14"/>
  <c r="CH8" i="14"/>
  <c r="CG8" i="14"/>
  <c r="CF8" i="14"/>
  <c r="BN8" i="14"/>
  <c r="BM8" i="14"/>
  <c r="BK8" i="14"/>
  <c r="BJ8" i="14"/>
  <c r="BI8" i="14"/>
  <c r="AQ8" i="14"/>
  <c r="AP8" i="14"/>
  <c r="AN8" i="14"/>
  <c r="AM8" i="14"/>
  <c r="AL8" i="14"/>
  <c r="NI7" i="14"/>
  <c r="NH7" i="14"/>
  <c r="NG7" i="14"/>
  <c r="NO7" i="14" s="1"/>
  <c r="NF7" i="14"/>
  <c r="NE7" i="14"/>
  <c r="ND7" i="14"/>
  <c r="NC7" i="14"/>
  <c r="NB7" i="14"/>
  <c r="NK7" i="14" s="1"/>
  <c r="NA7" i="14"/>
  <c r="MZ7" i="14"/>
  <c r="MY7" i="14"/>
  <c r="MX7" i="14"/>
  <c r="MW7" i="14"/>
  <c r="MV7" i="14"/>
  <c r="MU7" i="14"/>
  <c r="MS7" i="14"/>
  <c r="MR7" i="14"/>
  <c r="MP7" i="14"/>
  <c r="MO7" i="14"/>
  <c r="MN7" i="14"/>
  <c r="CK7" i="14"/>
  <c r="CJ7" i="14"/>
  <c r="CH7" i="14"/>
  <c r="CG7" i="14"/>
  <c r="CF7" i="14"/>
  <c r="BN7" i="14"/>
  <c r="BM7" i="14"/>
  <c r="BK7" i="14"/>
  <c r="BJ7" i="14"/>
  <c r="BI7" i="14"/>
  <c r="AQ7" i="14"/>
  <c r="AP7" i="14"/>
  <c r="AN7" i="14"/>
  <c r="AM7" i="14"/>
  <c r="AL7" i="14"/>
  <c r="NI14" i="14"/>
  <c r="NH14" i="14"/>
  <c r="NG14" i="14"/>
  <c r="NF14" i="14"/>
  <c r="NE14" i="14"/>
  <c r="ND14" i="14"/>
  <c r="NC14" i="14"/>
  <c r="NB14" i="14"/>
  <c r="NK14" i="14" s="1"/>
  <c r="NA14" i="14"/>
  <c r="MZ14" i="14"/>
  <c r="MY14" i="14"/>
  <c r="MX14" i="14"/>
  <c r="MW14" i="14"/>
  <c r="MV14" i="14"/>
  <c r="MU14" i="14"/>
  <c r="MS14" i="14"/>
  <c r="MR14" i="14"/>
  <c r="MP14" i="14"/>
  <c r="MO14" i="14"/>
  <c r="MN14" i="14"/>
  <c r="CK14" i="14"/>
  <c r="CJ14" i="14"/>
  <c r="CH14" i="14"/>
  <c r="CG14" i="14"/>
  <c r="CF14" i="14"/>
  <c r="BN14" i="14"/>
  <c r="BM14" i="14"/>
  <c r="BK14" i="14"/>
  <c r="BJ14" i="14"/>
  <c r="BI14" i="14"/>
  <c r="AQ14" i="14"/>
  <c r="AP14" i="14"/>
  <c r="AN14" i="14"/>
  <c r="AM14" i="14"/>
  <c r="AL14" i="14"/>
  <c r="NI6" i="14"/>
  <c r="NH6" i="14"/>
  <c r="NG6" i="14"/>
  <c r="NO6" i="14" s="1"/>
  <c r="NF6" i="14"/>
  <c r="NE6" i="14"/>
  <c r="ND6" i="14"/>
  <c r="NC6" i="14"/>
  <c r="NB6" i="14"/>
  <c r="NK6" i="14" s="1"/>
  <c r="NA6" i="14"/>
  <c r="MZ6" i="14"/>
  <c r="MY6" i="14"/>
  <c r="MX6" i="14"/>
  <c r="MW6" i="14"/>
  <c r="MV6" i="14"/>
  <c r="MU6" i="14"/>
  <c r="MS6" i="14"/>
  <c r="MR6" i="14"/>
  <c r="MP6" i="14"/>
  <c r="MO6" i="14"/>
  <c r="MN6" i="14"/>
  <c r="CK6" i="14"/>
  <c r="CJ6" i="14"/>
  <c r="CH6" i="14"/>
  <c r="CG6" i="14"/>
  <c r="CF6" i="14"/>
  <c r="BN6" i="14"/>
  <c r="BM6" i="14"/>
  <c r="BK6" i="14"/>
  <c r="BJ6" i="14"/>
  <c r="BI6" i="14"/>
  <c r="AQ6" i="14"/>
  <c r="AP6" i="14"/>
  <c r="AN6" i="14"/>
  <c r="AM6" i="14"/>
  <c r="AL6" i="14"/>
  <c r="NI5" i="14"/>
  <c r="NH5" i="14"/>
  <c r="NG5" i="14"/>
  <c r="NO5" i="14" s="1"/>
  <c r="NF5" i="14"/>
  <c r="NE5" i="14"/>
  <c r="ND5" i="14"/>
  <c r="NC5" i="14"/>
  <c r="NB5" i="14"/>
  <c r="NK5" i="14" s="1"/>
  <c r="NA5" i="14"/>
  <c r="MZ5" i="14"/>
  <c r="MY5" i="14"/>
  <c r="MX5" i="14"/>
  <c r="MW5" i="14"/>
  <c r="MV5" i="14"/>
  <c r="MU5" i="14"/>
  <c r="MS5" i="14"/>
  <c r="MR5" i="14"/>
  <c r="MP5" i="14"/>
  <c r="MO5" i="14"/>
  <c r="MN5" i="14"/>
  <c r="CK5" i="14"/>
  <c r="CJ5" i="14"/>
  <c r="CH5" i="14"/>
  <c r="CG5" i="14"/>
  <c r="CF5" i="14"/>
  <c r="BN5" i="14"/>
  <c r="BM5" i="14"/>
  <c r="BK5" i="14"/>
  <c r="BJ5" i="14"/>
  <c r="BI5" i="14"/>
  <c r="AQ5" i="14"/>
  <c r="AP5" i="14"/>
  <c r="AN5" i="14"/>
  <c r="AM5" i="14"/>
  <c r="AL5" i="14"/>
  <c r="NI4" i="14"/>
  <c r="NH4" i="14"/>
  <c r="NG4" i="14"/>
  <c r="NO4" i="14" s="1"/>
  <c r="NF4" i="14"/>
  <c r="NE4" i="14"/>
  <c r="ND4" i="14"/>
  <c r="NC4" i="14"/>
  <c r="NB4" i="14"/>
  <c r="NK4" i="14" s="1"/>
  <c r="NA4" i="14"/>
  <c r="MZ4" i="14"/>
  <c r="MY4" i="14"/>
  <c r="MX4" i="14"/>
  <c r="MW4" i="14"/>
  <c r="MV4" i="14"/>
  <c r="MU4" i="14"/>
  <c r="MS4" i="14"/>
  <c r="MR4" i="14"/>
  <c r="MP4" i="14"/>
  <c r="MO4" i="14"/>
  <c r="MN4" i="14"/>
  <c r="CK4" i="14"/>
  <c r="CJ4" i="14"/>
  <c r="CH4" i="14"/>
  <c r="CG4" i="14"/>
  <c r="CF4" i="14"/>
  <c r="BN4" i="14"/>
  <c r="BM4" i="14"/>
  <c r="BK4" i="14"/>
  <c r="BJ4" i="14"/>
  <c r="BI4" i="14"/>
  <c r="AQ4" i="14"/>
  <c r="AP4" i="14"/>
  <c r="AN4" i="14"/>
  <c r="AM4" i="14"/>
  <c r="AL4" i="14"/>
  <c r="OI18" i="13"/>
  <c r="OH18" i="13"/>
  <c r="OG18" i="13"/>
  <c r="OF18" i="13"/>
  <c r="OE18" i="13"/>
  <c r="OD18" i="13"/>
  <c r="OC18" i="13"/>
  <c r="OB18" i="13"/>
  <c r="ON18" i="13" s="1"/>
  <c r="OA18" i="13"/>
  <c r="NZ18" i="13"/>
  <c r="NY18" i="13"/>
  <c r="NX18" i="13"/>
  <c r="NW18" i="13"/>
  <c r="OL18" i="13" s="1"/>
  <c r="NV18" i="13"/>
  <c r="NU18" i="13"/>
  <c r="NT18" i="13"/>
  <c r="NS18" i="13"/>
  <c r="NR18" i="13"/>
  <c r="NQ18" i="13"/>
  <c r="NP18" i="13"/>
  <c r="NN18" i="13"/>
  <c r="NM18" i="13"/>
  <c r="NK18" i="13"/>
  <c r="NJ18" i="13"/>
  <c r="NI18" i="13"/>
  <c r="DF18" i="13"/>
  <c r="DE18" i="13"/>
  <c r="DC18" i="13"/>
  <c r="DB18" i="13"/>
  <c r="DA18" i="13"/>
  <c r="CZ18" i="13"/>
  <c r="CY18" i="13"/>
  <c r="CB18" i="13"/>
  <c r="CA18" i="13"/>
  <c r="BY18" i="13"/>
  <c r="BX18" i="13"/>
  <c r="BW18" i="13"/>
  <c r="BV18" i="13"/>
  <c r="BU18" i="13"/>
  <c r="AX18" i="13"/>
  <c r="AW18" i="13"/>
  <c r="AU18" i="13"/>
  <c r="AT18" i="13"/>
  <c r="AS18" i="13"/>
  <c r="AR18" i="13"/>
  <c r="AQ18" i="13"/>
  <c r="OI17" i="13"/>
  <c r="OH17" i="13"/>
  <c r="OG17" i="13"/>
  <c r="OQ17" i="13" s="1"/>
  <c r="OF17" i="13"/>
  <c r="OE17" i="13"/>
  <c r="OD17" i="13"/>
  <c r="OC17" i="13"/>
  <c r="OB17" i="13"/>
  <c r="ON17" i="13" s="1"/>
  <c r="OA17" i="13"/>
  <c r="NZ17" i="13"/>
  <c r="NY17" i="13"/>
  <c r="NX17" i="13"/>
  <c r="NW17" i="13"/>
  <c r="OL17" i="13" s="1"/>
  <c r="NV17" i="13"/>
  <c r="NU17" i="13"/>
  <c r="NT17" i="13"/>
  <c r="NS17" i="13"/>
  <c r="NR17" i="13"/>
  <c r="NQ17" i="13"/>
  <c r="NP17" i="13"/>
  <c r="NN17" i="13"/>
  <c r="NM17" i="13"/>
  <c r="NK17" i="13"/>
  <c r="NJ17" i="13"/>
  <c r="NI17" i="13"/>
  <c r="DF17" i="13"/>
  <c r="DE17" i="13"/>
  <c r="DC17" i="13"/>
  <c r="DB17" i="13"/>
  <c r="DA17" i="13"/>
  <c r="CZ17" i="13"/>
  <c r="CY17" i="13"/>
  <c r="CB17" i="13"/>
  <c r="CA17" i="13"/>
  <c r="BY17" i="13"/>
  <c r="BX17" i="13"/>
  <c r="BW17" i="13"/>
  <c r="BV17" i="13"/>
  <c r="BU17" i="13"/>
  <c r="AX17" i="13"/>
  <c r="AW17" i="13"/>
  <c r="AU17" i="13"/>
  <c r="AT17" i="13"/>
  <c r="AS17" i="13"/>
  <c r="AR17" i="13"/>
  <c r="AQ17" i="13"/>
  <c r="OI11" i="13"/>
  <c r="OH11" i="13"/>
  <c r="OG11" i="13"/>
  <c r="OQ11" i="13" s="1"/>
  <c r="OF11" i="13"/>
  <c r="OE11" i="13"/>
  <c r="OD11" i="13"/>
  <c r="OC11" i="13"/>
  <c r="OB11" i="13"/>
  <c r="ON11" i="13" s="1"/>
  <c r="OA11" i="13"/>
  <c r="NZ11" i="13"/>
  <c r="NY11" i="13"/>
  <c r="NX11" i="13"/>
  <c r="NW11" i="13"/>
  <c r="OL11" i="13" s="1"/>
  <c r="NV11" i="13"/>
  <c r="NU11" i="13"/>
  <c r="NT11" i="13"/>
  <c r="NS11" i="13"/>
  <c r="NR11" i="13"/>
  <c r="NQ11" i="13"/>
  <c r="NP11" i="13"/>
  <c r="NN11" i="13"/>
  <c r="NM11" i="13"/>
  <c r="NK11" i="13"/>
  <c r="NJ11" i="13"/>
  <c r="NI11" i="13"/>
  <c r="DF11" i="13"/>
  <c r="DE11" i="13"/>
  <c r="DC11" i="13"/>
  <c r="DB11" i="13"/>
  <c r="DA11" i="13"/>
  <c r="CZ11" i="13"/>
  <c r="CY11" i="13"/>
  <c r="CB11" i="13"/>
  <c r="CA11" i="13"/>
  <c r="BY11" i="13"/>
  <c r="BX11" i="13"/>
  <c r="BW11" i="13"/>
  <c r="BV11" i="13"/>
  <c r="BU11" i="13"/>
  <c r="AX11" i="13"/>
  <c r="AW11" i="13"/>
  <c r="AU11" i="13"/>
  <c r="AT11" i="13"/>
  <c r="AS11" i="13"/>
  <c r="AR11" i="13"/>
  <c r="AQ11" i="13"/>
  <c r="OI14" i="13"/>
  <c r="OH14" i="13"/>
  <c r="OG14" i="13"/>
  <c r="OQ14" i="13" s="1"/>
  <c r="OF14" i="13"/>
  <c r="OE14" i="13"/>
  <c r="OD14" i="13"/>
  <c r="OC14" i="13"/>
  <c r="OB14" i="13"/>
  <c r="ON14" i="13" s="1"/>
  <c r="OA14" i="13"/>
  <c r="NZ14" i="13"/>
  <c r="NY14" i="13"/>
  <c r="NX14" i="13"/>
  <c r="NW14" i="13"/>
  <c r="OL14" i="13" s="1"/>
  <c r="NV14" i="13"/>
  <c r="NU14" i="13"/>
  <c r="NT14" i="13"/>
  <c r="NS14" i="13"/>
  <c r="NR14" i="13"/>
  <c r="NQ14" i="13"/>
  <c r="NP14" i="13"/>
  <c r="NN14" i="13"/>
  <c r="NM14" i="13"/>
  <c r="NK14" i="13"/>
  <c r="NJ14" i="13"/>
  <c r="NI14" i="13"/>
  <c r="DF14" i="13"/>
  <c r="DE14" i="13"/>
  <c r="DC14" i="13"/>
  <c r="DB14" i="13"/>
  <c r="DA14" i="13"/>
  <c r="CZ14" i="13"/>
  <c r="CY14" i="13"/>
  <c r="CB14" i="13"/>
  <c r="CA14" i="13"/>
  <c r="BY14" i="13"/>
  <c r="BX14" i="13"/>
  <c r="BW14" i="13"/>
  <c r="BV14" i="13"/>
  <c r="BU14" i="13"/>
  <c r="AX14" i="13"/>
  <c r="AW14" i="13"/>
  <c r="AU14" i="13"/>
  <c r="AT14" i="13"/>
  <c r="AS14" i="13"/>
  <c r="AR14" i="13"/>
  <c r="AQ14" i="13"/>
  <c r="OI13" i="13"/>
  <c r="OH13" i="13"/>
  <c r="OG13" i="13"/>
  <c r="OQ13" i="13" s="1"/>
  <c r="OF13" i="13"/>
  <c r="OE13" i="13"/>
  <c r="OD13" i="13"/>
  <c r="OC13" i="13"/>
  <c r="OB13" i="13"/>
  <c r="ON13" i="13" s="1"/>
  <c r="OA13" i="13"/>
  <c r="NZ13" i="13"/>
  <c r="NY13" i="13"/>
  <c r="NX13" i="13"/>
  <c r="NW13" i="13"/>
  <c r="OL13" i="13" s="1"/>
  <c r="NV13" i="13"/>
  <c r="NU13" i="13"/>
  <c r="NT13" i="13"/>
  <c r="NS13" i="13"/>
  <c r="NR13" i="13"/>
  <c r="NQ13" i="13"/>
  <c r="NP13" i="13"/>
  <c r="NN13" i="13"/>
  <c r="NM13" i="13"/>
  <c r="NK13" i="13"/>
  <c r="NJ13" i="13"/>
  <c r="NI13" i="13"/>
  <c r="DF13" i="13"/>
  <c r="DE13" i="13"/>
  <c r="DC13" i="13"/>
  <c r="DB13" i="13"/>
  <c r="DA13" i="13"/>
  <c r="CZ13" i="13"/>
  <c r="CY13" i="13"/>
  <c r="CB13" i="13"/>
  <c r="CA13" i="13"/>
  <c r="BY13" i="13"/>
  <c r="BX13" i="13"/>
  <c r="BW13" i="13"/>
  <c r="BV13" i="13"/>
  <c r="BU13" i="13"/>
  <c r="AX13" i="13"/>
  <c r="AW13" i="13"/>
  <c r="AU13" i="13"/>
  <c r="AT13" i="13"/>
  <c r="AS13" i="13"/>
  <c r="AR13" i="13"/>
  <c r="AQ13" i="13"/>
  <c r="OI12" i="13"/>
  <c r="OH12" i="13"/>
  <c r="OG12" i="13"/>
  <c r="OQ12" i="13" s="1"/>
  <c r="OF12" i="13"/>
  <c r="OE12" i="13"/>
  <c r="OD12" i="13"/>
  <c r="OC12" i="13"/>
  <c r="OB12" i="13"/>
  <c r="OA12" i="13"/>
  <c r="NZ12" i="13"/>
  <c r="NY12" i="13"/>
  <c r="NX12" i="13"/>
  <c r="NW12" i="13"/>
  <c r="OL12" i="13" s="1"/>
  <c r="NV12" i="13"/>
  <c r="NU12" i="13"/>
  <c r="NT12" i="13"/>
  <c r="NS12" i="13"/>
  <c r="NR12" i="13"/>
  <c r="NQ12" i="13"/>
  <c r="NP12" i="13"/>
  <c r="NN12" i="13"/>
  <c r="NM12" i="13"/>
  <c r="NK12" i="13"/>
  <c r="NJ12" i="13"/>
  <c r="NI12" i="13"/>
  <c r="DF12" i="13"/>
  <c r="DE12" i="13"/>
  <c r="DC12" i="13"/>
  <c r="DB12" i="13"/>
  <c r="DA12" i="13"/>
  <c r="CZ12" i="13"/>
  <c r="CY12" i="13"/>
  <c r="CB12" i="13"/>
  <c r="CA12" i="13"/>
  <c r="BY12" i="13"/>
  <c r="BX12" i="13"/>
  <c r="BW12" i="13"/>
  <c r="BV12" i="13"/>
  <c r="BU12" i="13"/>
  <c r="AX12" i="13"/>
  <c r="AW12" i="13"/>
  <c r="AU12" i="13"/>
  <c r="AT12" i="13"/>
  <c r="AS12" i="13"/>
  <c r="AR12" i="13"/>
  <c r="AQ12" i="13"/>
  <c r="OI9" i="13"/>
  <c r="OH9" i="13"/>
  <c r="OG9" i="13"/>
  <c r="OQ9" i="13" s="1"/>
  <c r="OF9" i="13"/>
  <c r="OE9" i="13"/>
  <c r="OD9" i="13"/>
  <c r="OC9" i="13"/>
  <c r="OB9" i="13"/>
  <c r="ON9" i="13" s="1"/>
  <c r="OA9" i="13"/>
  <c r="NZ9" i="13"/>
  <c r="NY9" i="13"/>
  <c r="NX9" i="13"/>
  <c r="NW9" i="13"/>
  <c r="OL9" i="13" s="1"/>
  <c r="NV9" i="13"/>
  <c r="NU9" i="13"/>
  <c r="NT9" i="13"/>
  <c r="NS9" i="13"/>
  <c r="NR9" i="13"/>
  <c r="NQ9" i="13"/>
  <c r="NP9" i="13"/>
  <c r="NN9" i="13"/>
  <c r="NM9" i="13"/>
  <c r="NK9" i="13"/>
  <c r="NJ9" i="13"/>
  <c r="NI9" i="13"/>
  <c r="DF9" i="13"/>
  <c r="DE9" i="13"/>
  <c r="DC9" i="13"/>
  <c r="DB9" i="13"/>
  <c r="DA9" i="13"/>
  <c r="CZ9" i="13"/>
  <c r="CY9" i="13"/>
  <c r="CB9" i="13"/>
  <c r="CA9" i="13"/>
  <c r="BY9" i="13"/>
  <c r="BX9" i="13"/>
  <c r="BW9" i="13"/>
  <c r="BV9" i="13"/>
  <c r="BU9" i="13"/>
  <c r="AX9" i="13"/>
  <c r="AW9" i="13"/>
  <c r="AU9" i="13"/>
  <c r="AT9" i="13"/>
  <c r="AS9" i="13"/>
  <c r="AR9" i="13"/>
  <c r="AQ9" i="13"/>
  <c r="OI10" i="13"/>
  <c r="OH10" i="13"/>
  <c r="OG10" i="13"/>
  <c r="OQ10" i="13" s="1"/>
  <c r="OF10" i="13"/>
  <c r="OE10" i="13"/>
  <c r="OD10" i="13"/>
  <c r="OC10" i="13"/>
  <c r="OB10" i="13"/>
  <c r="ON10" i="13" s="1"/>
  <c r="OA10" i="13"/>
  <c r="NZ10" i="13"/>
  <c r="NY10" i="13"/>
  <c r="NX10" i="13"/>
  <c r="NW10" i="13"/>
  <c r="OL10" i="13" s="1"/>
  <c r="NV10" i="13"/>
  <c r="NU10" i="13"/>
  <c r="NT10" i="13"/>
  <c r="NS10" i="13"/>
  <c r="NR10" i="13"/>
  <c r="NQ10" i="13"/>
  <c r="NP10" i="13"/>
  <c r="NN10" i="13"/>
  <c r="NM10" i="13"/>
  <c r="NK10" i="13"/>
  <c r="NJ10" i="13"/>
  <c r="NI10" i="13"/>
  <c r="DF10" i="13"/>
  <c r="DE10" i="13"/>
  <c r="DC10" i="13"/>
  <c r="DB10" i="13"/>
  <c r="DA10" i="13"/>
  <c r="CZ10" i="13"/>
  <c r="CY10" i="13"/>
  <c r="CB10" i="13"/>
  <c r="CA10" i="13"/>
  <c r="BY10" i="13"/>
  <c r="BX10" i="13"/>
  <c r="BW10" i="13"/>
  <c r="BV10" i="13"/>
  <c r="BU10" i="13"/>
  <c r="AX10" i="13"/>
  <c r="AW10" i="13"/>
  <c r="AU10" i="13"/>
  <c r="AT10" i="13"/>
  <c r="AS10" i="13"/>
  <c r="AR10" i="13"/>
  <c r="AQ10" i="13"/>
  <c r="OI8" i="13"/>
  <c r="OH8" i="13"/>
  <c r="OG8" i="13"/>
  <c r="OQ8" i="13" s="1"/>
  <c r="OF8" i="13"/>
  <c r="OE8" i="13"/>
  <c r="OD8" i="13"/>
  <c r="OC8" i="13"/>
  <c r="OB8" i="13"/>
  <c r="ON8" i="13" s="1"/>
  <c r="OA8" i="13"/>
  <c r="NZ8" i="13"/>
  <c r="NY8" i="13"/>
  <c r="NX8" i="13"/>
  <c r="NW8" i="13"/>
  <c r="OL8" i="13" s="1"/>
  <c r="NV8" i="13"/>
  <c r="NU8" i="13"/>
  <c r="NT8" i="13"/>
  <c r="NS8" i="13"/>
  <c r="NR8" i="13"/>
  <c r="NQ8" i="13"/>
  <c r="NP8" i="13"/>
  <c r="NN8" i="13"/>
  <c r="NM8" i="13"/>
  <c r="NK8" i="13"/>
  <c r="NJ8" i="13"/>
  <c r="NI8" i="13"/>
  <c r="DF8" i="13"/>
  <c r="DE8" i="13"/>
  <c r="DC8" i="13"/>
  <c r="DB8" i="13"/>
  <c r="DA8" i="13"/>
  <c r="CZ8" i="13"/>
  <c r="CY8" i="13"/>
  <c r="CB8" i="13"/>
  <c r="CA8" i="13"/>
  <c r="BY8" i="13"/>
  <c r="BX8" i="13"/>
  <c r="BW8" i="13"/>
  <c r="BV8" i="13"/>
  <c r="BU8" i="13"/>
  <c r="AX8" i="13"/>
  <c r="AW8" i="13"/>
  <c r="AU8" i="13"/>
  <c r="AT8" i="13"/>
  <c r="AS8" i="13"/>
  <c r="AR8" i="13"/>
  <c r="AQ8" i="13"/>
  <c r="OI6" i="13"/>
  <c r="OH6" i="13"/>
  <c r="OG6" i="13"/>
  <c r="OQ6" i="13" s="1"/>
  <c r="OF6" i="13"/>
  <c r="OE6" i="13"/>
  <c r="OD6" i="13"/>
  <c r="OC6" i="13"/>
  <c r="OB6" i="13"/>
  <c r="OA6" i="13"/>
  <c r="NZ6" i="13"/>
  <c r="NY6" i="13"/>
  <c r="NX6" i="13"/>
  <c r="NW6" i="13"/>
  <c r="OL6" i="13" s="1"/>
  <c r="NV6" i="13"/>
  <c r="NU6" i="13"/>
  <c r="NT6" i="13"/>
  <c r="NS6" i="13"/>
  <c r="NR6" i="13"/>
  <c r="NQ6" i="13"/>
  <c r="NP6" i="13"/>
  <c r="NN6" i="13"/>
  <c r="NM6" i="13"/>
  <c r="NK6" i="13"/>
  <c r="NJ6" i="13"/>
  <c r="NI6" i="13"/>
  <c r="DF6" i="13"/>
  <c r="DE6" i="13"/>
  <c r="DC6" i="13"/>
  <c r="DB6" i="13"/>
  <c r="DA6" i="13"/>
  <c r="CZ6" i="13"/>
  <c r="CY6" i="13"/>
  <c r="CB6" i="13"/>
  <c r="CA6" i="13"/>
  <c r="BY6" i="13"/>
  <c r="BX6" i="13"/>
  <c r="BW6" i="13"/>
  <c r="BV6" i="13"/>
  <c r="BU6" i="13"/>
  <c r="AX6" i="13"/>
  <c r="AW6" i="13"/>
  <c r="AU6" i="13"/>
  <c r="AT6" i="13"/>
  <c r="AS6" i="13"/>
  <c r="AR6" i="13"/>
  <c r="AQ6" i="13"/>
  <c r="OI7" i="13"/>
  <c r="OH7" i="13"/>
  <c r="OG7" i="13"/>
  <c r="OQ7" i="13" s="1"/>
  <c r="OF7" i="13"/>
  <c r="OE7" i="13"/>
  <c r="OD7" i="13"/>
  <c r="OC7" i="13"/>
  <c r="OB7" i="13"/>
  <c r="ON7" i="13" s="1"/>
  <c r="OA7" i="13"/>
  <c r="NZ7" i="13"/>
  <c r="NY7" i="13"/>
  <c r="NX7" i="13"/>
  <c r="NW7" i="13"/>
  <c r="OL7" i="13" s="1"/>
  <c r="NV7" i="13"/>
  <c r="NU7" i="13"/>
  <c r="NT7" i="13"/>
  <c r="NS7" i="13"/>
  <c r="NR7" i="13"/>
  <c r="NQ7" i="13"/>
  <c r="NP7" i="13"/>
  <c r="NN7" i="13"/>
  <c r="NM7" i="13"/>
  <c r="NK7" i="13"/>
  <c r="NJ7" i="13"/>
  <c r="NI7" i="13"/>
  <c r="DF7" i="13"/>
  <c r="DE7" i="13"/>
  <c r="DC7" i="13"/>
  <c r="DB7" i="13"/>
  <c r="DA7" i="13"/>
  <c r="CZ7" i="13"/>
  <c r="CY7" i="13"/>
  <c r="CB7" i="13"/>
  <c r="CA7" i="13"/>
  <c r="BY7" i="13"/>
  <c r="BX7" i="13"/>
  <c r="BW7" i="13"/>
  <c r="BV7" i="13"/>
  <c r="BU7" i="13"/>
  <c r="AX7" i="13"/>
  <c r="AW7" i="13"/>
  <c r="AU7" i="13"/>
  <c r="AT7" i="13"/>
  <c r="AS7" i="13"/>
  <c r="AR7" i="13"/>
  <c r="AQ7" i="13"/>
  <c r="OI5" i="13"/>
  <c r="OH5" i="13"/>
  <c r="OG5" i="13"/>
  <c r="OQ5" i="13" s="1"/>
  <c r="OF5" i="13"/>
  <c r="OE5" i="13"/>
  <c r="OD5" i="13"/>
  <c r="OC5" i="13"/>
  <c r="OB5" i="13"/>
  <c r="ON5" i="13" s="1"/>
  <c r="OA5" i="13"/>
  <c r="NZ5" i="13"/>
  <c r="NY5" i="13"/>
  <c r="NX5" i="13"/>
  <c r="NW5" i="13"/>
  <c r="OL5" i="13" s="1"/>
  <c r="NV5" i="13"/>
  <c r="NU5" i="13"/>
  <c r="NT5" i="13"/>
  <c r="NS5" i="13"/>
  <c r="NR5" i="13"/>
  <c r="NQ5" i="13"/>
  <c r="NP5" i="13"/>
  <c r="NN5" i="13"/>
  <c r="NM5" i="13"/>
  <c r="NK5" i="13"/>
  <c r="NJ5" i="13"/>
  <c r="NI5" i="13"/>
  <c r="DF5" i="13"/>
  <c r="DE5" i="13"/>
  <c r="DC5" i="13"/>
  <c r="DB5" i="13"/>
  <c r="DA5" i="13"/>
  <c r="CZ5" i="13"/>
  <c r="CY5" i="13"/>
  <c r="CB5" i="13"/>
  <c r="CA5" i="13"/>
  <c r="BY5" i="13"/>
  <c r="BX5" i="13"/>
  <c r="BW5" i="13"/>
  <c r="BV5" i="13"/>
  <c r="BU5" i="13"/>
  <c r="AX5" i="13"/>
  <c r="AW5" i="13"/>
  <c r="AU5" i="13"/>
  <c r="AT5" i="13"/>
  <c r="AS5" i="13"/>
  <c r="AR5" i="13"/>
  <c r="AQ5" i="13"/>
  <c r="OI4" i="13"/>
  <c r="OH4" i="13"/>
  <c r="OG4" i="13"/>
  <c r="OQ4" i="13" s="1"/>
  <c r="OF4" i="13"/>
  <c r="OE4" i="13"/>
  <c r="OD4" i="13"/>
  <c r="OC4" i="13"/>
  <c r="OB4" i="13"/>
  <c r="ON4" i="13" s="1"/>
  <c r="OA4" i="13"/>
  <c r="NZ4" i="13"/>
  <c r="NY4" i="13"/>
  <c r="NX4" i="13"/>
  <c r="NW4" i="13"/>
  <c r="OL4" i="13" s="1"/>
  <c r="NV4" i="13"/>
  <c r="NU4" i="13"/>
  <c r="NT4" i="13"/>
  <c r="NS4" i="13"/>
  <c r="NR4" i="13"/>
  <c r="NQ4" i="13"/>
  <c r="NP4" i="13"/>
  <c r="NN4" i="13"/>
  <c r="NM4" i="13"/>
  <c r="NK4" i="13"/>
  <c r="NJ4" i="13"/>
  <c r="NI4" i="13"/>
  <c r="DF4" i="13"/>
  <c r="DE4" i="13"/>
  <c r="DC4" i="13"/>
  <c r="DB4" i="13"/>
  <c r="DA4" i="13"/>
  <c r="CZ4" i="13"/>
  <c r="CY4" i="13"/>
  <c r="CB4" i="13"/>
  <c r="CA4" i="13"/>
  <c r="BY4" i="13"/>
  <c r="BX4" i="13"/>
  <c r="BW4" i="13"/>
  <c r="BV4" i="13"/>
  <c r="BU4" i="13"/>
  <c r="AX4" i="13"/>
  <c r="AW4" i="13"/>
  <c r="AU4" i="13"/>
  <c r="AT4" i="13"/>
  <c r="AS4" i="13"/>
  <c r="AR4" i="13"/>
  <c r="AQ4" i="13"/>
  <c r="NZ4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NT10" i="4"/>
  <c r="NU10" i="4"/>
  <c r="NV10" i="4"/>
  <c r="NW10" i="4"/>
  <c r="OL10" i="4" s="1"/>
  <c r="NX10" i="4"/>
  <c r="NY10" i="4"/>
  <c r="NZ10" i="4"/>
  <c r="OA10" i="4"/>
  <c r="OB10" i="4"/>
  <c r="ON10" i="4" s="1"/>
  <c r="OC10" i="4"/>
  <c r="OD10" i="4"/>
  <c r="OE10" i="4"/>
  <c r="OF10" i="4"/>
  <c r="OG10" i="4"/>
  <c r="OQ10" i="4" s="1"/>
  <c r="OH10" i="4"/>
  <c r="OI10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24" i="4"/>
  <c r="NU24" i="4"/>
  <c r="NV24" i="4"/>
  <c r="NW24" i="4"/>
  <c r="OL24" i="4" s="1"/>
  <c r="NX24" i="4"/>
  <c r="NY24" i="4"/>
  <c r="NZ24" i="4"/>
  <c r="OA24" i="4"/>
  <c r="OB24" i="4"/>
  <c r="ON24" i="4" s="1"/>
  <c r="OC24" i="4"/>
  <c r="OD24" i="4"/>
  <c r="OE24" i="4"/>
  <c r="OF24" i="4"/>
  <c r="OG24" i="4"/>
  <c r="OQ24" i="4" s="1"/>
  <c r="OH24" i="4"/>
  <c r="OI24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NT22" i="4"/>
  <c r="NU22" i="4"/>
  <c r="NV22" i="4"/>
  <c r="NW22" i="4"/>
  <c r="OL22" i="4" s="1"/>
  <c r="NX22" i="4"/>
  <c r="NY22" i="4"/>
  <c r="NZ22" i="4"/>
  <c r="OA22" i="4"/>
  <c r="OB22" i="4"/>
  <c r="ON22" i="4" s="1"/>
  <c r="OC22" i="4"/>
  <c r="OD22" i="4"/>
  <c r="OE22" i="4"/>
  <c r="OF22" i="4"/>
  <c r="OG22" i="4"/>
  <c r="OQ22" i="4" s="1"/>
  <c r="OH22" i="4"/>
  <c r="OI22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NT23" i="4"/>
  <c r="NU23" i="4"/>
  <c r="NV23" i="4"/>
  <c r="NW23" i="4"/>
  <c r="OL23" i="4" s="1"/>
  <c r="NX23" i="4"/>
  <c r="NY23" i="4"/>
  <c r="NZ23" i="4"/>
  <c r="OA23" i="4"/>
  <c r="OB23" i="4"/>
  <c r="ON23" i="4" s="1"/>
  <c r="OC23" i="4"/>
  <c r="OD23" i="4"/>
  <c r="OE23" i="4"/>
  <c r="OF23" i="4"/>
  <c r="OG23" i="4"/>
  <c r="OQ23" i="4" s="1"/>
  <c r="OH23" i="4"/>
  <c r="OI23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NU4" i="4"/>
  <c r="NV4" i="4"/>
  <c r="NW4" i="4"/>
  <c r="OL4" i="4" s="1"/>
  <c r="NX4" i="4"/>
  <c r="NY4" i="4"/>
  <c r="OA4" i="4"/>
  <c r="OB4" i="4"/>
  <c r="ON4" i="4" s="1"/>
  <c r="OC4" i="4"/>
  <c r="OD4" i="4"/>
  <c r="OE4" i="4"/>
  <c r="OF4" i="4"/>
  <c r="OG4" i="4"/>
  <c r="OQ4" i="4" s="1"/>
  <c r="OH4" i="4"/>
  <c r="OI4" i="4"/>
  <c r="BU5" i="4"/>
  <c r="BV5" i="4"/>
  <c r="BW5" i="4"/>
  <c r="BX5" i="4"/>
  <c r="BY5" i="4"/>
  <c r="BU7" i="4"/>
  <c r="BV7" i="4"/>
  <c r="BW7" i="4"/>
  <c r="BX7" i="4"/>
  <c r="BY7" i="4"/>
  <c r="BU6" i="4"/>
  <c r="BV6" i="4"/>
  <c r="BW6" i="4"/>
  <c r="BX6" i="4"/>
  <c r="BY6" i="4"/>
  <c r="BU9" i="4"/>
  <c r="BV9" i="4"/>
  <c r="BW9" i="4"/>
  <c r="BX9" i="4"/>
  <c r="BY9" i="4"/>
  <c r="BU12" i="4"/>
  <c r="BV12" i="4"/>
  <c r="BW12" i="4"/>
  <c r="BX12" i="4"/>
  <c r="BY12" i="4"/>
  <c r="BU10" i="4"/>
  <c r="BV10" i="4"/>
  <c r="BW10" i="4"/>
  <c r="BX10" i="4"/>
  <c r="BY10" i="4"/>
  <c r="BU11" i="4"/>
  <c r="BV11" i="4"/>
  <c r="BW11" i="4"/>
  <c r="BX11" i="4"/>
  <c r="BY11" i="4"/>
  <c r="BU15" i="4"/>
  <c r="BV15" i="4"/>
  <c r="BW15" i="4"/>
  <c r="BX15" i="4"/>
  <c r="BY15" i="4"/>
  <c r="BU8" i="4"/>
  <c r="BV8" i="4"/>
  <c r="BW8" i="4"/>
  <c r="BX8" i="4"/>
  <c r="BY8" i="4"/>
  <c r="BU24" i="4"/>
  <c r="BV24" i="4"/>
  <c r="BW24" i="4"/>
  <c r="BX24" i="4"/>
  <c r="BY24" i="4"/>
  <c r="BU14" i="4"/>
  <c r="BV14" i="4"/>
  <c r="BW14" i="4"/>
  <c r="BX14" i="4"/>
  <c r="BY14" i="4"/>
  <c r="BU13" i="4"/>
  <c r="BV13" i="4"/>
  <c r="BW13" i="4"/>
  <c r="BX13" i="4"/>
  <c r="BY13" i="4"/>
  <c r="BU19" i="4"/>
  <c r="BV19" i="4"/>
  <c r="BW19" i="4"/>
  <c r="BX19" i="4"/>
  <c r="BY19" i="4"/>
  <c r="BU20" i="4"/>
  <c r="BV20" i="4"/>
  <c r="BW20" i="4"/>
  <c r="BX20" i="4"/>
  <c r="BY20" i="4"/>
  <c r="BU22" i="4"/>
  <c r="BV22" i="4"/>
  <c r="BW22" i="4"/>
  <c r="BX22" i="4"/>
  <c r="BY22" i="4"/>
  <c r="BU21" i="4"/>
  <c r="BV21" i="4"/>
  <c r="BW21" i="4"/>
  <c r="BX21" i="4"/>
  <c r="BY21" i="4"/>
  <c r="BU23" i="4"/>
  <c r="BV23" i="4"/>
  <c r="BW23" i="4"/>
  <c r="BX23" i="4"/>
  <c r="BY23" i="4"/>
  <c r="BU16" i="4"/>
  <c r="BV16" i="4"/>
  <c r="BW16" i="4"/>
  <c r="BX16" i="4"/>
  <c r="BY16" i="4"/>
  <c r="BY4" i="4"/>
  <c r="BW4" i="4"/>
  <c r="BU4" i="4"/>
  <c r="BX4" i="4"/>
  <c r="BV4" i="4"/>
  <c r="CY5" i="4"/>
  <c r="CZ5" i="4"/>
  <c r="DA5" i="4"/>
  <c r="DB5" i="4"/>
  <c r="DC5" i="4"/>
  <c r="DE5" i="4"/>
  <c r="DF5" i="4"/>
  <c r="CY7" i="4"/>
  <c r="CZ7" i="4"/>
  <c r="DA7" i="4"/>
  <c r="DB7" i="4"/>
  <c r="DC7" i="4"/>
  <c r="DE7" i="4"/>
  <c r="DF7" i="4"/>
  <c r="CY6" i="4"/>
  <c r="CZ6" i="4"/>
  <c r="DA6" i="4"/>
  <c r="DB6" i="4"/>
  <c r="DC6" i="4"/>
  <c r="DE6" i="4"/>
  <c r="DF6" i="4"/>
  <c r="CY9" i="4"/>
  <c r="CZ9" i="4"/>
  <c r="DA9" i="4"/>
  <c r="DB9" i="4"/>
  <c r="DC9" i="4"/>
  <c r="DE9" i="4"/>
  <c r="DF9" i="4"/>
  <c r="CY12" i="4"/>
  <c r="CZ12" i="4"/>
  <c r="DA12" i="4"/>
  <c r="DB12" i="4"/>
  <c r="DC12" i="4"/>
  <c r="DE12" i="4"/>
  <c r="DF12" i="4"/>
  <c r="CY10" i="4"/>
  <c r="CZ10" i="4"/>
  <c r="DA10" i="4"/>
  <c r="DB10" i="4"/>
  <c r="DC10" i="4"/>
  <c r="DE10" i="4"/>
  <c r="DF10" i="4"/>
  <c r="CY11" i="4"/>
  <c r="CZ11" i="4"/>
  <c r="DA11" i="4"/>
  <c r="DB11" i="4"/>
  <c r="DC11" i="4"/>
  <c r="DE11" i="4"/>
  <c r="DF11" i="4"/>
  <c r="CY15" i="4"/>
  <c r="CZ15" i="4"/>
  <c r="DA15" i="4"/>
  <c r="DB15" i="4"/>
  <c r="DC15" i="4"/>
  <c r="DE15" i="4"/>
  <c r="DF15" i="4"/>
  <c r="CY8" i="4"/>
  <c r="CZ8" i="4"/>
  <c r="DA8" i="4"/>
  <c r="DB8" i="4"/>
  <c r="DC8" i="4"/>
  <c r="DE8" i="4"/>
  <c r="DF8" i="4"/>
  <c r="CY24" i="4"/>
  <c r="CZ24" i="4"/>
  <c r="DA24" i="4"/>
  <c r="DB24" i="4"/>
  <c r="DC24" i="4"/>
  <c r="DE24" i="4"/>
  <c r="DF24" i="4"/>
  <c r="CY14" i="4"/>
  <c r="CZ14" i="4"/>
  <c r="DA14" i="4"/>
  <c r="DB14" i="4"/>
  <c r="DC14" i="4"/>
  <c r="DE14" i="4"/>
  <c r="DF14" i="4"/>
  <c r="CY13" i="4"/>
  <c r="CZ13" i="4"/>
  <c r="DA13" i="4"/>
  <c r="DB13" i="4"/>
  <c r="DC13" i="4"/>
  <c r="DE13" i="4"/>
  <c r="DF13" i="4"/>
  <c r="CY19" i="4"/>
  <c r="CZ19" i="4"/>
  <c r="DA19" i="4"/>
  <c r="DB19" i="4"/>
  <c r="DC19" i="4"/>
  <c r="DE19" i="4"/>
  <c r="DF19" i="4"/>
  <c r="CY20" i="4"/>
  <c r="CZ20" i="4"/>
  <c r="DA20" i="4"/>
  <c r="DB20" i="4"/>
  <c r="DC20" i="4"/>
  <c r="DE20" i="4"/>
  <c r="DF20" i="4"/>
  <c r="CY22" i="4"/>
  <c r="CZ22" i="4"/>
  <c r="DA22" i="4"/>
  <c r="DB22" i="4"/>
  <c r="DC22" i="4"/>
  <c r="DE22" i="4"/>
  <c r="DF22" i="4"/>
  <c r="CY21" i="4"/>
  <c r="CZ21" i="4"/>
  <c r="DA21" i="4"/>
  <c r="DB21" i="4"/>
  <c r="DC21" i="4"/>
  <c r="DE21" i="4"/>
  <c r="DF21" i="4"/>
  <c r="CY23" i="4"/>
  <c r="CZ23" i="4"/>
  <c r="DA23" i="4"/>
  <c r="DB23" i="4"/>
  <c r="DC23" i="4"/>
  <c r="DE23" i="4"/>
  <c r="DF23" i="4"/>
  <c r="CY16" i="4"/>
  <c r="CZ16" i="4"/>
  <c r="DA16" i="4"/>
  <c r="DB16" i="4"/>
  <c r="DC16" i="4"/>
  <c r="DE16" i="4"/>
  <c r="DF16" i="4"/>
  <c r="DC4" i="4"/>
  <c r="DB4" i="4"/>
  <c r="CZ4" i="4"/>
  <c r="DA4" i="4"/>
  <c r="CY4" i="4"/>
  <c r="AU4" i="4"/>
  <c r="AT5" i="4"/>
  <c r="AT7" i="4"/>
  <c r="AT6" i="4"/>
  <c r="AT9" i="4"/>
  <c r="AT12" i="4"/>
  <c r="AT10" i="4"/>
  <c r="AT11" i="4"/>
  <c r="AT15" i="4"/>
  <c r="AT8" i="4"/>
  <c r="AT24" i="4"/>
  <c r="AT14" i="4"/>
  <c r="AT13" i="4"/>
  <c r="AT19" i="4"/>
  <c r="AT20" i="4"/>
  <c r="AT22" i="4"/>
  <c r="AT21" i="4"/>
  <c r="AT23" i="4"/>
  <c r="AT16" i="4"/>
  <c r="AT4" i="4"/>
  <c r="AR4" i="4"/>
  <c r="AR5" i="4"/>
  <c r="AR7" i="4"/>
  <c r="AR6" i="4"/>
  <c r="AR9" i="4"/>
  <c r="AR12" i="4"/>
  <c r="AR10" i="4"/>
  <c r="AR11" i="4"/>
  <c r="AR15" i="4"/>
  <c r="AR8" i="4"/>
  <c r="AR24" i="4"/>
  <c r="AR14" i="4"/>
  <c r="AR13" i="4"/>
  <c r="AR19" i="4"/>
  <c r="AR20" i="4"/>
  <c r="AR22" i="4"/>
  <c r="AR21" i="4"/>
  <c r="AR23" i="4"/>
  <c r="AR16" i="4"/>
  <c r="AS5" i="4"/>
  <c r="AS7" i="4"/>
  <c r="AS6" i="4"/>
  <c r="AS9" i="4"/>
  <c r="AS12" i="4"/>
  <c r="AS10" i="4"/>
  <c r="AS11" i="4"/>
  <c r="AS15" i="4"/>
  <c r="AS8" i="4"/>
  <c r="AS24" i="4"/>
  <c r="AS14" i="4"/>
  <c r="AS13" i="4"/>
  <c r="AS19" i="4"/>
  <c r="AS20" i="4"/>
  <c r="AS22" i="4"/>
  <c r="AS21" i="4"/>
  <c r="AS23" i="4"/>
  <c r="AS16" i="4"/>
  <c r="AS4" i="4"/>
  <c r="LT5" i="12"/>
  <c r="LU5" i="12"/>
  <c r="LV5" i="12"/>
  <c r="LW5" i="12"/>
  <c r="LT9" i="12"/>
  <c r="LU9" i="12"/>
  <c r="LV9" i="12"/>
  <c r="LW9" i="12"/>
  <c r="LT6" i="12"/>
  <c r="LU6" i="12"/>
  <c r="LV6" i="12"/>
  <c r="LW6" i="12"/>
  <c r="LT8" i="12"/>
  <c r="LU8" i="12"/>
  <c r="LV8" i="12"/>
  <c r="LW8" i="12"/>
  <c r="LT7" i="12"/>
  <c r="LU7" i="12"/>
  <c r="LV7" i="12"/>
  <c r="LW7" i="12"/>
  <c r="LT10" i="12"/>
  <c r="LU10" i="12"/>
  <c r="LV10" i="12"/>
  <c r="LW10" i="12"/>
  <c r="LT13" i="12"/>
  <c r="LU13" i="12"/>
  <c r="LV13" i="12"/>
  <c r="LW13" i="12"/>
  <c r="LT14" i="12"/>
  <c r="LU14" i="12"/>
  <c r="LV14" i="12"/>
  <c r="LW14" i="12"/>
  <c r="LV4" i="12"/>
  <c r="CB5" i="12"/>
  <c r="CB9" i="12"/>
  <c r="CB6" i="12"/>
  <c r="CB8" i="12"/>
  <c r="CB7" i="12"/>
  <c r="CB10" i="12"/>
  <c r="CB13" i="12"/>
  <c r="CB14" i="12"/>
  <c r="CB4" i="12"/>
  <c r="BF5" i="12"/>
  <c r="BF9" i="12"/>
  <c r="BF6" i="12"/>
  <c r="BF8" i="12"/>
  <c r="BF7" i="12"/>
  <c r="BF10" i="12"/>
  <c r="BF13" i="12"/>
  <c r="BF14" i="12"/>
  <c r="BF4" i="12"/>
  <c r="AJ5" i="12"/>
  <c r="AJ9" i="12"/>
  <c r="AJ6" i="12"/>
  <c r="AJ8" i="12"/>
  <c r="AJ7" i="12"/>
  <c r="AJ10" i="12"/>
  <c r="AJ13" i="12"/>
  <c r="AJ14" i="12"/>
  <c r="AJ4" i="12"/>
  <c r="LV6" i="6"/>
  <c r="LV7" i="6"/>
  <c r="LV8" i="6"/>
  <c r="LV9" i="6"/>
  <c r="LV5" i="6"/>
  <c r="LV10" i="6"/>
  <c r="LV13" i="6"/>
  <c r="LV14" i="6"/>
  <c r="LV11" i="6"/>
  <c r="LV16" i="6"/>
  <c r="LV17" i="6"/>
  <c r="LV4" i="6"/>
  <c r="CB6" i="6"/>
  <c r="CB7" i="6"/>
  <c r="CB8" i="6"/>
  <c r="CB9" i="6"/>
  <c r="CB5" i="6"/>
  <c r="CB10" i="6"/>
  <c r="CB13" i="6"/>
  <c r="CB14" i="6"/>
  <c r="CB11" i="6"/>
  <c r="CB16" i="6"/>
  <c r="CB17" i="6"/>
  <c r="CB4" i="6"/>
  <c r="BF6" i="6"/>
  <c r="BF7" i="6"/>
  <c r="BF8" i="6"/>
  <c r="BF9" i="6"/>
  <c r="BF5" i="6"/>
  <c r="BF10" i="6"/>
  <c r="BF13" i="6"/>
  <c r="BF14" i="6"/>
  <c r="BF11" i="6"/>
  <c r="BF16" i="6"/>
  <c r="BF17" i="6"/>
  <c r="BF4" i="6"/>
  <c r="AJ6" i="6"/>
  <c r="AJ7" i="6"/>
  <c r="AJ8" i="6"/>
  <c r="AJ9" i="6"/>
  <c r="AJ5" i="6"/>
  <c r="AJ10" i="6"/>
  <c r="AJ13" i="6"/>
  <c r="AJ14" i="6"/>
  <c r="AJ11" i="6"/>
  <c r="AJ16" i="6"/>
  <c r="AJ17" i="6"/>
  <c r="AJ4" i="6"/>
  <c r="LV5" i="8"/>
  <c r="LV6" i="8"/>
  <c r="LV4" i="8"/>
  <c r="CB4" i="8"/>
  <c r="BF5" i="8"/>
  <c r="BF6" i="8"/>
  <c r="BF4" i="8"/>
  <c r="AJ5" i="8"/>
  <c r="AJ6" i="8"/>
  <c r="AJ4" i="8"/>
  <c r="AH4" i="8"/>
  <c r="LV5" i="7"/>
  <c r="LV7" i="7"/>
  <c r="LV8" i="7"/>
  <c r="LV4" i="7"/>
  <c r="CB4" i="7"/>
  <c r="CB5" i="7"/>
  <c r="CB7" i="7"/>
  <c r="CB8" i="7"/>
  <c r="BZ4" i="7"/>
  <c r="BF5" i="7"/>
  <c r="BF7" i="7"/>
  <c r="BF8" i="7"/>
  <c r="BF4" i="7"/>
  <c r="BD4" i="7"/>
  <c r="AJ5" i="7"/>
  <c r="AJ7" i="7"/>
  <c r="AJ8" i="7"/>
  <c r="AJ4" i="7"/>
  <c r="AH4" i="7"/>
  <c r="HB6" i="12" l="1"/>
  <c r="LC4" i="12"/>
  <c r="LC9" i="12"/>
  <c r="GG5" i="12"/>
  <c r="GG7" i="12"/>
  <c r="GG11" i="12"/>
  <c r="HB10" i="12"/>
  <c r="HB12" i="12"/>
  <c r="IR4" i="12"/>
  <c r="IR8" i="12"/>
  <c r="HB7" i="12"/>
  <c r="HB11" i="12"/>
  <c r="HB13" i="12"/>
  <c r="HW9" i="12"/>
  <c r="HW12" i="12"/>
  <c r="HW14" i="12"/>
  <c r="DA8" i="12"/>
  <c r="IR6" i="12"/>
  <c r="EQ8" i="12"/>
  <c r="EQ14" i="12"/>
  <c r="FL5" i="12"/>
  <c r="LC10" i="12"/>
  <c r="LC12" i="12"/>
  <c r="LC14" i="12"/>
  <c r="DV12" i="12"/>
  <c r="DV14" i="12"/>
  <c r="DA4" i="6"/>
  <c r="DA6" i="6"/>
  <c r="KH16" i="6"/>
  <c r="LC17" i="6"/>
  <c r="DV10" i="6"/>
  <c r="DV12" i="6"/>
  <c r="DV14" i="6"/>
  <c r="HW11" i="6"/>
  <c r="JM9" i="6"/>
  <c r="JM11" i="6"/>
  <c r="KH14" i="6"/>
  <c r="DA15" i="6"/>
  <c r="DA17" i="6"/>
  <c r="DV5" i="6"/>
  <c r="DV7" i="6"/>
  <c r="DV9" i="6"/>
  <c r="DV13" i="6"/>
  <c r="DV15" i="6"/>
  <c r="DV17" i="6"/>
  <c r="EQ5" i="6"/>
  <c r="FL16" i="6"/>
  <c r="GG6" i="6"/>
  <c r="GG14" i="6"/>
  <c r="DV5" i="8"/>
  <c r="IR4" i="8"/>
  <c r="FL5" i="8"/>
  <c r="IR6" i="8"/>
  <c r="HW8" i="7"/>
  <c r="IR6" i="7"/>
  <c r="HW5" i="7"/>
  <c r="EQ6" i="7"/>
  <c r="GG4" i="7"/>
  <c r="JM5" i="7"/>
  <c r="DV5" i="7"/>
  <c r="GG6" i="7"/>
  <c r="EE4" i="14"/>
  <c r="EH4" i="14" s="1"/>
  <c r="EE11" i="14"/>
  <c r="EH11" i="14" s="1"/>
  <c r="LU10" i="14"/>
  <c r="LX10" i="14" s="1"/>
  <c r="EH7" i="14"/>
  <c r="GS9" i="14"/>
  <c r="GV9" i="14" s="1"/>
  <c r="FW9" i="14"/>
  <c r="FZ9" i="14" s="1"/>
  <c r="EE9" i="14"/>
  <c r="FW11" i="14"/>
  <c r="GS8" i="14"/>
  <c r="FW10" i="14"/>
  <c r="GS7" i="14"/>
  <c r="GV7" i="14" s="1"/>
  <c r="GS10" i="14"/>
  <c r="GV10" i="14" s="1"/>
  <c r="KC9" i="14"/>
  <c r="KY11" i="14"/>
  <c r="DI10" i="14"/>
  <c r="DL10" i="14" s="1"/>
  <c r="EE5" i="14"/>
  <c r="EH5" i="14" s="1"/>
  <c r="LU6" i="14"/>
  <c r="LX6" i="14" s="1"/>
  <c r="DI9" i="14"/>
  <c r="DL9" i="14" s="1"/>
  <c r="GS14" i="14"/>
  <c r="GV14" i="14" s="1"/>
  <c r="HO11" i="14"/>
  <c r="KY10" i="14"/>
  <c r="LU5" i="14"/>
  <c r="DI11" i="14"/>
  <c r="FA6" i="14"/>
  <c r="FD6" i="14" s="1"/>
  <c r="FW6" i="14"/>
  <c r="FZ6" i="14" s="1"/>
  <c r="GS6" i="14"/>
  <c r="LU12" i="14"/>
  <c r="LX12" i="14" s="1"/>
  <c r="DI7" i="9"/>
  <c r="DL7" i="9" s="1"/>
  <c r="EE7" i="9"/>
  <c r="EH7" i="9" s="1"/>
  <c r="FA7" i="9"/>
  <c r="FW7" i="9"/>
  <c r="FZ7" i="9" s="1"/>
  <c r="HO7" i="9"/>
  <c r="HR7" i="9" s="1"/>
  <c r="IK7" i="9"/>
  <c r="KY8" i="9"/>
  <c r="LB8" i="9" s="1"/>
  <c r="LU9" i="9"/>
  <c r="LX9" i="9" s="1"/>
  <c r="EE8" i="9"/>
  <c r="IK8" i="9"/>
  <c r="IN8" i="9" s="1"/>
  <c r="JG8" i="9"/>
  <c r="JJ8" i="9" s="1"/>
  <c r="LU5" i="9"/>
  <c r="LX5" i="9" s="1"/>
  <c r="JJ4" i="9"/>
  <c r="DI9" i="9"/>
  <c r="EE9" i="9"/>
  <c r="EH9" i="9" s="1"/>
  <c r="GS9" i="9"/>
  <c r="HO9" i="9"/>
  <c r="FZ6" i="9"/>
  <c r="MP15" i="13"/>
  <c r="MP7" i="13"/>
  <c r="MP14" i="13"/>
  <c r="MS14" i="13" s="1"/>
  <c r="FV4" i="13"/>
  <c r="IJ5" i="13"/>
  <c r="IM5" i="13" s="1"/>
  <c r="FV6" i="13"/>
  <c r="FY6" i="13" s="1"/>
  <c r="KB9" i="13"/>
  <c r="KE9" i="13" s="1"/>
  <c r="KB17" i="13"/>
  <c r="KE17" i="13" s="1"/>
  <c r="KX5" i="13"/>
  <c r="LT6" i="13"/>
  <c r="LW6" i="13" s="1"/>
  <c r="FV8" i="13"/>
  <c r="FV16" i="13"/>
  <c r="KB11" i="13"/>
  <c r="KE11" i="13" s="1"/>
  <c r="KX4" i="13"/>
  <c r="LA4" i="13" s="1"/>
  <c r="MP9" i="13"/>
  <c r="KX6" i="13"/>
  <c r="LA6" i="13" s="1"/>
  <c r="KX14" i="13"/>
  <c r="FC18" i="4"/>
  <c r="GU17" i="4"/>
  <c r="HN22" i="4"/>
  <c r="LT12" i="4"/>
  <c r="LW12" i="4" s="1"/>
  <c r="LT16" i="4"/>
  <c r="LW16" i="4" s="1"/>
  <c r="JF10" i="4"/>
  <c r="KB24" i="4"/>
  <c r="KE24" i="4" s="1"/>
  <c r="ED9" i="4"/>
  <c r="EZ4" i="4"/>
  <c r="FC4" i="4" s="1"/>
  <c r="HN21" i="4"/>
  <c r="HQ21" i="4" s="1"/>
  <c r="JF12" i="4"/>
  <c r="JF19" i="4"/>
  <c r="KB17" i="4"/>
  <c r="KE17" i="4" s="1"/>
  <c r="KX20" i="4"/>
  <c r="KE7" i="4"/>
  <c r="KB9" i="4"/>
  <c r="KB12" i="4"/>
  <c r="KB16" i="4"/>
  <c r="KX4" i="4"/>
  <c r="LA4" i="4" s="1"/>
  <c r="ED4" i="4"/>
  <c r="EG4" i="4" s="1"/>
  <c r="LT8" i="4"/>
  <c r="MP6" i="4"/>
  <c r="MS6" i="4" s="1"/>
  <c r="EZ12" i="4"/>
  <c r="FC12" i="4" s="1"/>
  <c r="EZ19" i="4"/>
  <c r="FC19" i="4" s="1"/>
  <c r="FV13" i="4"/>
  <c r="FY13" i="4" s="1"/>
  <c r="GR11" i="4"/>
  <c r="GU11" i="4" s="1"/>
  <c r="JF4" i="4"/>
  <c r="JI4" i="4" s="1"/>
  <c r="KB22" i="4"/>
  <c r="EZ6" i="4"/>
  <c r="EZ14" i="4"/>
  <c r="GR13" i="4"/>
  <c r="HN8" i="4"/>
  <c r="HN23" i="4"/>
  <c r="KX15" i="4"/>
  <c r="LA15" i="4" s="1"/>
  <c r="ED8" i="4"/>
  <c r="ED23" i="4"/>
  <c r="KE4" i="4"/>
  <c r="KE12" i="4"/>
  <c r="KX19" i="4"/>
  <c r="LA19" i="4" s="1"/>
  <c r="LT7" i="4"/>
  <c r="LW7" i="4" s="1"/>
  <c r="LT10" i="4"/>
  <c r="LW10" i="4" s="1"/>
  <c r="LT22" i="4"/>
  <c r="LW22" i="4" s="1"/>
  <c r="MP10" i="4"/>
  <c r="MS10" i="4" s="1"/>
  <c r="EZ8" i="4"/>
  <c r="GR7" i="4"/>
  <c r="HN10" i="4"/>
  <c r="HN20" i="4"/>
  <c r="HQ20" i="4" s="1"/>
  <c r="IJ5" i="4"/>
  <c r="IJ13" i="4"/>
  <c r="JF24" i="4"/>
  <c r="JI24" i="4" s="1"/>
  <c r="JF23" i="4"/>
  <c r="KB6" i="4"/>
  <c r="KX16" i="4"/>
  <c r="LA16" i="4" s="1"/>
  <c r="MP4" i="4"/>
  <c r="MS4" i="4" s="1"/>
  <c r="MP12" i="4"/>
  <c r="ED15" i="4"/>
  <c r="EG15" i="4" s="1"/>
  <c r="ED22" i="4"/>
  <c r="JF20" i="4"/>
  <c r="JI20" i="4" s="1"/>
  <c r="KB11" i="4"/>
  <c r="KE11" i="4" s="1"/>
  <c r="KB18" i="4"/>
  <c r="KE18" i="4" s="1"/>
  <c r="KX18" i="4"/>
  <c r="LA18" i="4" s="1"/>
  <c r="HN4" i="4"/>
  <c r="HQ4" i="4" s="1"/>
  <c r="GG12" i="12"/>
  <c r="JM11" i="12"/>
  <c r="DA11" i="12"/>
  <c r="DV8" i="12"/>
  <c r="HW8" i="12"/>
  <c r="LC13" i="12"/>
  <c r="EQ13" i="12"/>
  <c r="HB14" i="12"/>
  <c r="JM12" i="12"/>
  <c r="JM14" i="12"/>
  <c r="KH6" i="12"/>
  <c r="KH7" i="12"/>
  <c r="DA4" i="12"/>
  <c r="DA9" i="12"/>
  <c r="DA12" i="12"/>
  <c r="DA14" i="12"/>
  <c r="DV6" i="12"/>
  <c r="DV7" i="12"/>
  <c r="DV11" i="12"/>
  <c r="EQ4" i="12"/>
  <c r="FL11" i="12"/>
  <c r="GG9" i="12"/>
  <c r="GG8" i="12"/>
  <c r="HB9" i="12"/>
  <c r="HW11" i="12"/>
  <c r="IR12" i="12"/>
  <c r="IR14" i="12"/>
  <c r="DA5" i="12"/>
  <c r="DV5" i="12"/>
  <c r="EQ10" i="12"/>
  <c r="FL8" i="12"/>
  <c r="HW4" i="12"/>
  <c r="HW13" i="12"/>
  <c r="IR13" i="12"/>
  <c r="JM9" i="12"/>
  <c r="JM10" i="12"/>
  <c r="KH8" i="12"/>
  <c r="DA6" i="12"/>
  <c r="DA7" i="12"/>
  <c r="DV13" i="12"/>
  <c r="EQ12" i="12"/>
  <c r="GG6" i="12"/>
  <c r="GG13" i="12"/>
  <c r="HB4" i="12"/>
  <c r="HW10" i="12"/>
  <c r="IR10" i="12"/>
  <c r="LC5" i="12"/>
  <c r="DA13" i="12"/>
  <c r="DV4" i="12"/>
  <c r="DV9" i="12"/>
  <c r="DV10" i="12"/>
  <c r="FL6" i="12"/>
  <c r="FL7" i="12"/>
  <c r="GG10" i="12"/>
  <c r="HB8" i="12"/>
  <c r="JM7" i="12"/>
  <c r="KH5" i="12"/>
  <c r="CD11" i="12"/>
  <c r="DA10" i="12"/>
  <c r="EQ5" i="12"/>
  <c r="FL13" i="12"/>
  <c r="GG4" i="12"/>
  <c r="GG14" i="12"/>
  <c r="HB5" i="12"/>
  <c r="HW6" i="12"/>
  <c r="HW7" i="12"/>
  <c r="IR5" i="12"/>
  <c r="IR7" i="12"/>
  <c r="KH13" i="12"/>
  <c r="LC8" i="12"/>
  <c r="HW5" i="12"/>
  <c r="KH9" i="12"/>
  <c r="EQ13" i="6"/>
  <c r="EQ15" i="6"/>
  <c r="EQ17" i="6"/>
  <c r="FL5" i="6"/>
  <c r="HB6" i="6"/>
  <c r="HW8" i="6"/>
  <c r="HW5" i="6"/>
  <c r="HW16" i="6"/>
  <c r="IR6" i="6"/>
  <c r="KH12" i="6"/>
  <c r="DA8" i="6"/>
  <c r="EQ4" i="6"/>
  <c r="JM8" i="6"/>
  <c r="DA16" i="6"/>
  <c r="DV6" i="6"/>
  <c r="EQ8" i="6"/>
  <c r="EQ10" i="6"/>
  <c r="EQ12" i="6"/>
  <c r="EQ14" i="6"/>
  <c r="EQ16" i="6"/>
  <c r="FL4" i="6"/>
  <c r="FL6" i="6"/>
  <c r="FL10" i="6"/>
  <c r="HB11" i="6"/>
  <c r="DA5" i="6"/>
  <c r="GG10" i="6"/>
  <c r="GG12" i="6"/>
  <c r="IR15" i="6"/>
  <c r="IR17" i="6"/>
  <c r="JM5" i="6"/>
  <c r="JM15" i="6"/>
  <c r="JM17" i="6"/>
  <c r="KH5" i="6"/>
  <c r="KH7" i="6"/>
  <c r="KH9" i="6"/>
  <c r="KH13" i="6"/>
  <c r="HB8" i="6"/>
  <c r="DA10" i="6"/>
  <c r="DA12" i="6"/>
  <c r="DV11" i="6"/>
  <c r="FL12" i="6"/>
  <c r="GG11" i="6"/>
  <c r="HW10" i="6"/>
  <c r="HW12" i="6"/>
  <c r="IR11" i="6"/>
  <c r="JM7" i="6"/>
  <c r="JM16" i="6"/>
  <c r="LC4" i="6"/>
  <c r="DV4" i="6"/>
  <c r="EQ7" i="6"/>
  <c r="EQ9" i="6"/>
  <c r="GG4" i="6"/>
  <c r="HB7" i="6"/>
  <c r="HB9" i="6"/>
  <c r="HB16" i="6"/>
  <c r="IR4" i="6"/>
  <c r="JM13" i="6"/>
  <c r="KH8" i="6"/>
  <c r="FL8" i="6"/>
  <c r="LC12" i="6"/>
  <c r="DA7" i="6"/>
  <c r="DA9" i="6"/>
  <c r="DA13" i="6"/>
  <c r="DV8" i="6"/>
  <c r="FL7" i="6"/>
  <c r="FL9" i="6"/>
  <c r="FL13" i="6"/>
  <c r="GG8" i="6"/>
  <c r="HB13" i="6"/>
  <c r="HW7" i="6"/>
  <c r="HW9" i="6"/>
  <c r="HW13" i="6"/>
  <c r="IR8" i="6"/>
  <c r="KH17" i="6"/>
  <c r="LC5" i="6"/>
  <c r="DV16" i="6"/>
  <c r="GG16" i="6"/>
  <c r="IR16" i="6"/>
  <c r="KH11" i="6"/>
  <c r="KH4" i="8"/>
  <c r="EQ5" i="8"/>
  <c r="GG5" i="8"/>
  <c r="HB5" i="8"/>
  <c r="KH6" i="8"/>
  <c r="HW5" i="8"/>
  <c r="DA6" i="8"/>
  <c r="EQ4" i="8"/>
  <c r="EQ6" i="8"/>
  <c r="GG4" i="8"/>
  <c r="GG6" i="8"/>
  <c r="JM5" i="8"/>
  <c r="DA5" i="8"/>
  <c r="DV4" i="8"/>
  <c r="DV6" i="8"/>
  <c r="FL4" i="8"/>
  <c r="FL6" i="8"/>
  <c r="HB4" i="8"/>
  <c r="IR5" i="8"/>
  <c r="KH5" i="8"/>
  <c r="FL5" i="7"/>
  <c r="IR8" i="7"/>
  <c r="HB5" i="7"/>
  <c r="HB7" i="7"/>
  <c r="DA7" i="7"/>
  <c r="HW7" i="7"/>
  <c r="IR4" i="7"/>
  <c r="JM4" i="7"/>
  <c r="EQ7" i="7"/>
  <c r="FL8" i="7"/>
  <c r="JM8" i="7"/>
  <c r="DV7" i="7"/>
  <c r="EQ4" i="7"/>
  <c r="LC4" i="7"/>
  <c r="DA4" i="7"/>
  <c r="FL4" i="7"/>
  <c r="DA6" i="7"/>
  <c r="DA8" i="7"/>
  <c r="FL6" i="7"/>
  <c r="HW4" i="7"/>
  <c r="IR7" i="7"/>
  <c r="HW6" i="7"/>
  <c r="LC7" i="7"/>
  <c r="IR5" i="7"/>
  <c r="EQ8" i="7"/>
  <c r="HB4" i="7"/>
  <c r="LC6" i="7"/>
  <c r="LC8" i="7"/>
  <c r="DV4" i="7"/>
  <c r="FL7" i="7"/>
  <c r="GG7" i="7"/>
  <c r="HB6" i="7"/>
  <c r="HB8" i="7"/>
  <c r="KH4" i="7"/>
  <c r="FD5" i="14"/>
  <c r="FA10" i="14"/>
  <c r="FD10" i="14" s="1"/>
  <c r="FZ5" i="14"/>
  <c r="FW7" i="14"/>
  <c r="FZ7" i="14" s="1"/>
  <c r="JG5" i="14"/>
  <c r="JJ5" i="14" s="1"/>
  <c r="KF9" i="14"/>
  <c r="KY14" i="14"/>
  <c r="DL12" i="14"/>
  <c r="EH9" i="14"/>
  <c r="DI4" i="14"/>
  <c r="EE14" i="14"/>
  <c r="EH14" i="14" s="1"/>
  <c r="GS12" i="14"/>
  <c r="GV12" i="14" s="1"/>
  <c r="HO9" i="14"/>
  <c r="HR9" i="14" s="1"/>
  <c r="IK9" i="14"/>
  <c r="IN9" i="14" s="1"/>
  <c r="JG14" i="14"/>
  <c r="KY4" i="14"/>
  <c r="FZ8" i="14"/>
  <c r="FZ11" i="14"/>
  <c r="GV8" i="14"/>
  <c r="KC8" i="14"/>
  <c r="KF8" i="14" s="1"/>
  <c r="LB10" i="14"/>
  <c r="LX7" i="14"/>
  <c r="EE8" i="14"/>
  <c r="EH8" i="14" s="1"/>
  <c r="FA8" i="14"/>
  <c r="FD8" i="14" s="1"/>
  <c r="GV6" i="14"/>
  <c r="JG8" i="14"/>
  <c r="KF10" i="14"/>
  <c r="LB7" i="14"/>
  <c r="LX5" i="14"/>
  <c r="EE6" i="14"/>
  <c r="EH6" i="14" s="1"/>
  <c r="EE10" i="14"/>
  <c r="EH10" i="14" s="1"/>
  <c r="EE13" i="14"/>
  <c r="EH13" i="14" s="1"/>
  <c r="FA13" i="14"/>
  <c r="FD13" i="14" s="1"/>
  <c r="IK8" i="14"/>
  <c r="IN8" i="14" s="1"/>
  <c r="KC7" i="14"/>
  <c r="KF7" i="14" s="1"/>
  <c r="KY5" i="14"/>
  <c r="LB5" i="14" s="1"/>
  <c r="KY12" i="14"/>
  <c r="LU9" i="14"/>
  <c r="LX9" i="14" s="1"/>
  <c r="JG10" i="14"/>
  <c r="JJ10" i="14" s="1"/>
  <c r="LB11" i="14"/>
  <c r="LU8" i="14"/>
  <c r="LX8" i="14" s="1"/>
  <c r="DI6" i="14"/>
  <c r="DL6" i="14" s="1"/>
  <c r="DI8" i="14"/>
  <c r="DL8" i="14" s="1"/>
  <c r="FA7" i="14"/>
  <c r="FD7" i="14" s="1"/>
  <c r="FW13" i="14"/>
  <c r="FZ13" i="14" s="1"/>
  <c r="HO4" i="14"/>
  <c r="HR4" i="14" s="1"/>
  <c r="IK4" i="14"/>
  <c r="IN4" i="14" s="1"/>
  <c r="IK14" i="14"/>
  <c r="IN14" i="14" s="1"/>
  <c r="IK12" i="14"/>
  <c r="IN12" i="14" s="1"/>
  <c r="JG12" i="14"/>
  <c r="JJ12" i="14" s="1"/>
  <c r="KC12" i="14"/>
  <c r="KF12" i="14" s="1"/>
  <c r="LU11" i="14"/>
  <c r="LX11" i="14" s="1"/>
  <c r="DL4" i="14"/>
  <c r="FZ10" i="14"/>
  <c r="GV11" i="14"/>
  <c r="HR11" i="14"/>
  <c r="IN10" i="14"/>
  <c r="JJ14" i="14"/>
  <c r="KF14" i="14"/>
  <c r="LB14" i="14"/>
  <c r="LB12" i="14"/>
  <c r="DI7" i="14"/>
  <c r="DL7" i="14" s="1"/>
  <c r="EE12" i="14"/>
  <c r="EH12" i="14" s="1"/>
  <c r="FA12" i="14"/>
  <c r="FD12" i="14" s="1"/>
  <c r="GS5" i="14"/>
  <c r="GV5" i="14" s="1"/>
  <c r="HO6" i="14"/>
  <c r="HR6" i="14" s="1"/>
  <c r="HO8" i="14"/>
  <c r="HR8" i="14" s="1"/>
  <c r="JG4" i="14"/>
  <c r="JJ4" i="14" s="1"/>
  <c r="KC4" i="14"/>
  <c r="KF4" i="14" s="1"/>
  <c r="DI5" i="14"/>
  <c r="DL5" i="14" s="1"/>
  <c r="DI13" i="14"/>
  <c r="DL13" i="14" s="1"/>
  <c r="FA14" i="14"/>
  <c r="FD14" i="14" s="1"/>
  <c r="FW14" i="14"/>
  <c r="FZ14" i="14" s="1"/>
  <c r="FW12" i="14"/>
  <c r="FZ12" i="14" s="1"/>
  <c r="GS13" i="14"/>
  <c r="GV13" i="14" s="1"/>
  <c r="HO13" i="14"/>
  <c r="HR13" i="14" s="1"/>
  <c r="IK11" i="14"/>
  <c r="IN11" i="14" s="1"/>
  <c r="JG11" i="14"/>
  <c r="JJ11" i="14" s="1"/>
  <c r="KC11" i="14"/>
  <c r="KF11" i="14" s="1"/>
  <c r="LB4" i="14"/>
  <c r="LX13" i="14"/>
  <c r="DL11" i="14"/>
  <c r="FA4" i="14"/>
  <c r="FD4" i="14" s="1"/>
  <c r="FD9" i="14"/>
  <c r="FW4" i="14"/>
  <c r="FZ4" i="14" s="1"/>
  <c r="HO7" i="14"/>
  <c r="HR7" i="14" s="1"/>
  <c r="HO10" i="14"/>
  <c r="HR10" i="14" s="1"/>
  <c r="IN6" i="14"/>
  <c r="JG6" i="14"/>
  <c r="JJ6" i="14" s="1"/>
  <c r="JJ8" i="14"/>
  <c r="KC6" i="14"/>
  <c r="KF6" i="14" s="1"/>
  <c r="LB8" i="14"/>
  <c r="LX4" i="14"/>
  <c r="DI14" i="14"/>
  <c r="DL14" i="14" s="1"/>
  <c r="FA11" i="14"/>
  <c r="FD11" i="14" s="1"/>
  <c r="GS4" i="14"/>
  <c r="GV4" i="14" s="1"/>
  <c r="HO5" i="14"/>
  <c r="HR5" i="14" s="1"/>
  <c r="IK5" i="14"/>
  <c r="IN5" i="14" s="1"/>
  <c r="IK7" i="14"/>
  <c r="IN7" i="14" s="1"/>
  <c r="IK13" i="14"/>
  <c r="IN13" i="14" s="1"/>
  <c r="JG13" i="14"/>
  <c r="JJ13" i="14" s="1"/>
  <c r="KC13" i="14"/>
  <c r="KF13" i="14" s="1"/>
  <c r="EE4" i="9"/>
  <c r="FW10" i="9"/>
  <c r="FZ10" i="9" s="1"/>
  <c r="HO10" i="9"/>
  <c r="HR10" i="9" s="1"/>
  <c r="JG5" i="9"/>
  <c r="JJ5" i="9" s="1"/>
  <c r="KC8" i="9"/>
  <c r="KF8" i="9" s="1"/>
  <c r="KC11" i="9"/>
  <c r="KF11" i="9" s="1"/>
  <c r="FA9" i="9"/>
  <c r="FD9" i="9" s="1"/>
  <c r="GS4" i="9"/>
  <c r="GV4" i="9" s="1"/>
  <c r="GS7" i="9"/>
  <c r="GV7" i="9" s="1"/>
  <c r="HO4" i="9"/>
  <c r="JG7" i="9"/>
  <c r="JJ7" i="9" s="1"/>
  <c r="JG10" i="9"/>
  <c r="JJ10" i="9" s="1"/>
  <c r="LU8" i="9"/>
  <c r="EE11" i="9"/>
  <c r="EH11" i="9" s="1"/>
  <c r="FD11" i="9"/>
  <c r="FW9" i="9"/>
  <c r="FZ9" i="9" s="1"/>
  <c r="KF4" i="9"/>
  <c r="KC7" i="9"/>
  <c r="KF7" i="9" s="1"/>
  <c r="DI5" i="9"/>
  <c r="DL5" i="9" s="1"/>
  <c r="EE5" i="9"/>
  <c r="EH5" i="9" s="1"/>
  <c r="FA5" i="9"/>
  <c r="FD5" i="9" s="1"/>
  <c r="FA8" i="9"/>
  <c r="FD8" i="9" s="1"/>
  <c r="FW11" i="9"/>
  <c r="GS11" i="9"/>
  <c r="GV11" i="9" s="1"/>
  <c r="HO6" i="9"/>
  <c r="HO11" i="9"/>
  <c r="HR11" i="9" s="1"/>
  <c r="IK6" i="9"/>
  <c r="IN6" i="9" s="1"/>
  <c r="EE10" i="9"/>
  <c r="GS8" i="9"/>
  <c r="GV8" i="9" s="1"/>
  <c r="LU4" i="9"/>
  <c r="DI4" i="9"/>
  <c r="DL4" i="9" s="1"/>
  <c r="DI10" i="9"/>
  <c r="DL10" i="9" s="1"/>
  <c r="GS10" i="9"/>
  <c r="GV10" i="9" s="1"/>
  <c r="HO8" i="9"/>
  <c r="HR8" i="9" s="1"/>
  <c r="HR9" i="9"/>
  <c r="IK11" i="9"/>
  <c r="IN11" i="9" s="1"/>
  <c r="JG6" i="9"/>
  <c r="JJ6" i="9" s="1"/>
  <c r="JG9" i="9"/>
  <c r="JJ9" i="9" s="1"/>
  <c r="KC10" i="9"/>
  <c r="KF10" i="9" s="1"/>
  <c r="KY5" i="9"/>
  <c r="LB5" i="9" s="1"/>
  <c r="EH4" i="9"/>
  <c r="EH10" i="9"/>
  <c r="FZ11" i="9"/>
  <c r="GS6" i="9"/>
  <c r="GV6" i="9" s="1"/>
  <c r="HR4" i="9"/>
  <c r="JG11" i="9"/>
  <c r="JJ11" i="9" s="1"/>
  <c r="KC6" i="9"/>
  <c r="KF6" i="9" s="1"/>
  <c r="KY4" i="9"/>
  <c r="LB4" i="9" s="1"/>
  <c r="KY10" i="9"/>
  <c r="LB10" i="9" s="1"/>
  <c r="DI6" i="9"/>
  <c r="DL6" i="9" s="1"/>
  <c r="EH8" i="9"/>
  <c r="FW5" i="9"/>
  <c r="FZ5" i="9" s="1"/>
  <c r="FW8" i="9"/>
  <c r="FZ8" i="9" s="1"/>
  <c r="IK10" i="9"/>
  <c r="IN10" i="9" s="1"/>
  <c r="FA4" i="9"/>
  <c r="FD4" i="9" s="1"/>
  <c r="FA10" i="9"/>
  <c r="FD10" i="9" s="1"/>
  <c r="GS5" i="9"/>
  <c r="GV5" i="9" s="1"/>
  <c r="IK4" i="9"/>
  <c r="IN4" i="9" s="1"/>
  <c r="KC5" i="9"/>
  <c r="KF5" i="9" s="1"/>
  <c r="LX4" i="9"/>
  <c r="LX10" i="9"/>
  <c r="EH6" i="9"/>
  <c r="FD7" i="9"/>
  <c r="HR6" i="9"/>
  <c r="IN7" i="9"/>
  <c r="LX8" i="9"/>
  <c r="DI8" i="9"/>
  <c r="DL8" i="9" s="1"/>
  <c r="DL9" i="9"/>
  <c r="FW4" i="9"/>
  <c r="FZ4" i="9" s="1"/>
  <c r="GV9" i="9"/>
  <c r="IK9" i="9"/>
  <c r="IN9" i="9" s="1"/>
  <c r="KF9" i="9"/>
  <c r="ED16" i="13"/>
  <c r="EG16" i="13" s="1"/>
  <c r="EZ4" i="13"/>
  <c r="FC4" i="13" s="1"/>
  <c r="EZ9" i="13"/>
  <c r="FC9" i="13" s="1"/>
  <c r="IJ6" i="13"/>
  <c r="IM6" i="13" s="1"/>
  <c r="IJ14" i="13"/>
  <c r="IM14" i="13" s="1"/>
  <c r="JF13" i="13"/>
  <c r="JI13" i="13" s="1"/>
  <c r="JF18" i="13"/>
  <c r="JI18" i="13" s="1"/>
  <c r="KB14" i="13"/>
  <c r="KE14" i="13" s="1"/>
  <c r="KX13" i="13"/>
  <c r="LA13" i="13" s="1"/>
  <c r="LT17" i="13"/>
  <c r="LW17" i="13" s="1"/>
  <c r="MP5" i="13"/>
  <c r="MS5" i="13" s="1"/>
  <c r="ED5" i="13"/>
  <c r="EG5" i="13" s="1"/>
  <c r="EZ11" i="13"/>
  <c r="FC11" i="13" s="1"/>
  <c r="FV7" i="13"/>
  <c r="FV10" i="13"/>
  <c r="GR6" i="13"/>
  <c r="GU6" i="13" s="1"/>
  <c r="GR14" i="13"/>
  <c r="GU14" i="13" s="1"/>
  <c r="GR17" i="13"/>
  <c r="KB16" i="13"/>
  <c r="KE16" i="13" s="1"/>
  <c r="LT11" i="13"/>
  <c r="LW11" i="13" s="1"/>
  <c r="LT14" i="13"/>
  <c r="LW14" i="13" s="1"/>
  <c r="ED15" i="13"/>
  <c r="EG15" i="13" s="1"/>
  <c r="GR11" i="13"/>
  <c r="GU11" i="13" s="1"/>
  <c r="HQ7" i="13"/>
  <c r="HN12" i="13"/>
  <c r="HQ12" i="13" s="1"/>
  <c r="JF9" i="13"/>
  <c r="JI9" i="13" s="1"/>
  <c r="ED12" i="13"/>
  <c r="EG12" i="13" s="1"/>
  <c r="EZ5" i="13"/>
  <c r="FC5" i="13" s="1"/>
  <c r="EZ13" i="13"/>
  <c r="FC13" i="13" s="1"/>
  <c r="GR16" i="13"/>
  <c r="GU16" i="13" s="1"/>
  <c r="HN17" i="13"/>
  <c r="HQ17" i="13" s="1"/>
  <c r="LA14" i="13"/>
  <c r="MS12" i="13"/>
  <c r="JI6" i="13"/>
  <c r="JF14" i="13"/>
  <c r="JI14" i="13" s="1"/>
  <c r="MS6" i="13"/>
  <c r="ED6" i="13"/>
  <c r="EG6" i="13" s="1"/>
  <c r="ED14" i="13"/>
  <c r="EG14" i="13" s="1"/>
  <c r="EZ7" i="13"/>
  <c r="EZ18" i="13"/>
  <c r="FC18" i="13" s="1"/>
  <c r="FV14" i="13"/>
  <c r="FY14" i="13" s="1"/>
  <c r="GR5" i="13"/>
  <c r="GU5" i="13" s="1"/>
  <c r="GR10" i="13"/>
  <c r="GU10" i="13" s="1"/>
  <c r="HN11" i="13"/>
  <c r="HQ11" i="13" s="1"/>
  <c r="IJ4" i="13"/>
  <c r="IM4" i="13" s="1"/>
  <c r="IJ15" i="13"/>
  <c r="KX8" i="13"/>
  <c r="LA8" i="13" s="1"/>
  <c r="LT7" i="13"/>
  <c r="LW7" i="13" s="1"/>
  <c r="LT18" i="13"/>
  <c r="FY16" i="13"/>
  <c r="LA7" i="13"/>
  <c r="MS15" i="13"/>
  <c r="ED9" i="13"/>
  <c r="EG9" i="13" s="1"/>
  <c r="FC7" i="13"/>
  <c r="FV9" i="13"/>
  <c r="FY9" i="13" s="1"/>
  <c r="FV18" i="13"/>
  <c r="FY18" i="13" s="1"/>
  <c r="GR9" i="13"/>
  <c r="GU9" i="13" s="1"/>
  <c r="HN5" i="13"/>
  <c r="HQ5" i="13" s="1"/>
  <c r="IJ10" i="13"/>
  <c r="IM10" i="13" s="1"/>
  <c r="IJ13" i="13"/>
  <c r="IM13" i="13" s="1"/>
  <c r="IJ16" i="13"/>
  <c r="IM16" i="13" s="1"/>
  <c r="JF12" i="13"/>
  <c r="JI12" i="13" s="1"/>
  <c r="JF15" i="13"/>
  <c r="JI15" i="13" s="1"/>
  <c r="LA11" i="13"/>
  <c r="KX17" i="13"/>
  <c r="LA17" i="13" s="1"/>
  <c r="LT8" i="13"/>
  <c r="LW8" i="13" s="1"/>
  <c r="GU17" i="13"/>
  <c r="LA5" i="13"/>
  <c r="LA15" i="13"/>
  <c r="MS13" i="13"/>
  <c r="MP16" i="13"/>
  <c r="MS16" i="13" s="1"/>
  <c r="ED11" i="13"/>
  <c r="EG11" i="13" s="1"/>
  <c r="EZ8" i="13"/>
  <c r="FC8" i="13" s="1"/>
  <c r="EZ17" i="13"/>
  <c r="FC17" i="13" s="1"/>
  <c r="FV5" i="13"/>
  <c r="FY5" i="13" s="1"/>
  <c r="GR8" i="13"/>
  <c r="GU8" i="13" s="1"/>
  <c r="HN4" i="13"/>
  <c r="HQ4" i="13" s="1"/>
  <c r="HN10" i="13"/>
  <c r="HQ10" i="13" s="1"/>
  <c r="HN13" i="13"/>
  <c r="HQ13" i="13" s="1"/>
  <c r="IJ12" i="13"/>
  <c r="IM12" i="13" s="1"/>
  <c r="IJ18" i="13"/>
  <c r="IM18" i="13" s="1"/>
  <c r="JF17" i="13"/>
  <c r="JI17" i="13" s="1"/>
  <c r="KB5" i="13"/>
  <c r="KE5" i="13" s="1"/>
  <c r="LT10" i="13"/>
  <c r="LW10" i="13" s="1"/>
  <c r="LT16" i="13"/>
  <c r="LW16" i="13" s="1"/>
  <c r="MP10" i="13"/>
  <c r="MS10" i="13" s="1"/>
  <c r="ED8" i="13"/>
  <c r="EG8" i="13" s="1"/>
  <c r="FC15" i="13"/>
  <c r="HQ8" i="13"/>
  <c r="FC10" i="13"/>
  <c r="FY4" i="13"/>
  <c r="FY7" i="13"/>
  <c r="FY10" i="13"/>
  <c r="FV13" i="13"/>
  <c r="FY13" i="13" s="1"/>
  <c r="GR13" i="13"/>
  <c r="GU13" i="13" s="1"/>
  <c r="HQ18" i="13"/>
  <c r="KE4" i="13"/>
  <c r="KE10" i="13"/>
  <c r="KB13" i="13"/>
  <c r="KE13" i="13" s="1"/>
  <c r="KX10" i="13"/>
  <c r="LA10" i="13" s="1"/>
  <c r="LW18" i="13"/>
  <c r="MS9" i="13"/>
  <c r="ED10" i="13"/>
  <c r="EG10" i="13" s="1"/>
  <c r="ED13" i="13"/>
  <c r="EG13" i="13" s="1"/>
  <c r="EZ16" i="13"/>
  <c r="FC16" i="13" s="1"/>
  <c r="FY8" i="13"/>
  <c r="GR4" i="13"/>
  <c r="GU4" i="13" s="1"/>
  <c r="GR7" i="13"/>
  <c r="GU7" i="13" s="1"/>
  <c r="GR18" i="13"/>
  <c r="GU18" i="13" s="1"/>
  <c r="HN9" i="13"/>
  <c r="HQ9" i="13" s="1"/>
  <c r="HN15" i="13"/>
  <c r="HQ15" i="13" s="1"/>
  <c r="HQ16" i="13"/>
  <c r="IJ11" i="13"/>
  <c r="IM11" i="13" s="1"/>
  <c r="IJ17" i="13"/>
  <c r="IM17" i="13" s="1"/>
  <c r="JF5" i="13"/>
  <c r="JI5" i="13" s="1"/>
  <c r="JF8" i="13"/>
  <c r="JI8" i="13" s="1"/>
  <c r="KB7" i="13"/>
  <c r="KE7" i="13" s="1"/>
  <c r="KX12" i="13"/>
  <c r="LA12" i="13" s="1"/>
  <c r="KX18" i="13"/>
  <c r="LA18" i="13" s="1"/>
  <c r="LT9" i="13"/>
  <c r="LW9" i="13" s="1"/>
  <c r="LT12" i="13"/>
  <c r="LW12" i="13" s="1"/>
  <c r="LT15" i="13"/>
  <c r="LW15" i="13" s="1"/>
  <c r="MS7" i="13"/>
  <c r="ED4" i="13"/>
  <c r="EG4" i="13" s="1"/>
  <c r="ED7" i="13"/>
  <c r="EG7" i="13" s="1"/>
  <c r="ED18" i="13"/>
  <c r="EG18" i="13" s="1"/>
  <c r="EZ12" i="13"/>
  <c r="FC12" i="13" s="1"/>
  <c r="FV12" i="13"/>
  <c r="FY12" i="13" s="1"/>
  <c r="FV15" i="13"/>
  <c r="FY15" i="13" s="1"/>
  <c r="GR12" i="13"/>
  <c r="GU12" i="13" s="1"/>
  <c r="GR15" i="13"/>
  <c r="GU15" i="13" s="1"/>
  <c r="IJ8" i="13"/>
  <c r="IM8" i="13" s="1"/>
  <c r="IM15" i="13"/>
  <c r="JF10" i="13"/>
  <c r="JI10" i="13" s="1"/>
  <c r="KB12" i="13"/>
  <c r="KE12" i="13" s="1"/>
  <c r="KB15" i="13"/>
  <c r="KE15" i="13" s="1"/>
  <c r="KB18" i="13"/>
  <c r="KE18" i="13" s="1"/>
  <c r="KX9" i="13"/>
  <c r="LA9" i="13" s="1"/>
  <c r="MP11" i="13"/>
  <c r="MS11" i="13" s="1"/>
  <c r="MP17" i="13"/>
  <c r="MS17" i="13" s="1"/>
  <c r="ED21" i="4"/>
  <c r="EG21" i="4" s="1"/>
  <c r="EZ22" i="4"/>
  <c r="FC22" i="4" s="1"/>
  <c r="FV23" i="4"/>
  <c r="FY23" i="4" s="1"/>
  <c r="IJ9" i="4"/>
  <c r="IJ12" i="4"/>
  <c r="IM12" i="4" s="1"/>
  <c r="IJ16" i="4"/>
  <c r="IM16" i="4" s="1"/>
  <c r="IJ19" i="4"/>
  <c r="IM19" i="4" s="1"/>
  <c r="JF22" i="4"/>
  <c r="JI22" i="4" s="1"/>
  <c r="KB5" i="4"/>
  <c r="KE5" i="4" s="1"/>
  <c r="KB20" i="4"/>
  <c r="KE20" i="4" s="1"/>
  <c r="LT4" i="4"/>
  <c r="LW4" i="4" s="1"/>
  <c r="MP8" i="4"/>
  <c r="MS8" i="4" s="1"/>
  <c r="MP11" i="4"/>
  <c r="MS11" i="4" s="1"/>
  <c r="MP21" i="4"/>
  <c r="MS21" i="4" s="1"/>
  <c r="FC16" i="4"/>
  <c r="FY17" i="4"/>
  <c r="GR24" i="4"/>
  <c r="GU24" i="4" s="1"/>
  <c r="GR18" i="4"/>
  <c r="GU18" i="4" s="1"/>
  <c r="JI12" i="4"/>
  <c r="JI19" i="4"/>
  <c r="EG8" i="4"/>
  <c r="ED11" i="4"/>
  <c r="EG11" i="4" s="1"/>
  <c r="HQ8" i="4"/>
  <c r="HN11" i="4"/>
  <c r="HQ11" i="4" s="1"/>
  <c r="JI9" i="4"/>
  <c r="KE22" i="4"/>
  <c r="KX5" i="4"/>
  <c r="LA5" i="4" s="1"/>
  <c r="KX24" i="4"/>
  <c r="MP20" i="4"/>
  <c r="ED13" i="4"/>
  <c r="EG13" i="4" s="1"/>
  <c r="FV12" i="4"/>
  <c r="FY12" i="4" s="1"/>
  <c r="GR20" i="4"/>
  <c r="GU20" i="4" s="1"/>
  <c r="HN13" i="4"/>
  <c r="HQ13" i="4" s="1"/>
  <c r="IJ8" i="4"/>
  <c r="IJ18" i="4"/>
  <c r="IM18" i="4" s="1"/>
  <c r="JF14" i="4"/>
  <c r="JI14" i="4" s="1"/>
  <c r="KB19" i="4"/>
  <c r="KE19" i="4" s="1"/>
  <c r="MP17" i="4"/>
  <c r="MS17" i="4" s="1"/>
  <c r="ED10" i="4"/>
  <c r="EG10" i="4" s="1"/>
  <c r="KE9" i="4"/>
  <c r="LA20" i="4"/>
  <c r="MS12" i="4"/>
  <c r="MS22" i="4"/>
  <c r="FY19" i="4"/>
  <c r="IJ20" i="4"/>
  <c r="JF18" i="4"/>
  <c r="JI18" i="4" s="1"/>
  <c r="KX17" i="4"/>
  <c r="LA17" i="4" s="1"/>
  <c r="ED12" i="4"/>
  <c r="EG12" i="4" s="1"/>
  <c r="ED19" i="4"/>
  <c r="EG19" i="4" s="1"/>
  <c r="EZ13" i="4"/>
  <c r="FC13" i="4" s="1"/>
  <c r="EZ20" i="4"/>
  <c r="FV6" i="4"/>
  <c r="FV14" i="4"/>
  <c r="FV21" i="4"/>
  <c r="GR19" i="4"/>
  <c r="GU19" i="4" s="1"/>
  <c r="HN12" i="4"/>
  <c r="HQ12" i="4" s="1"/>
  <c r="HN19" i="4"/>
  <c r="HQ19" i="4" s="1"/>
  <c r="IJ7" i="4"/>
  <c r="IM7" i="4" s="1"/>
  <c r="IJ15" i="4"/>
  <c r="IM15" i="4" s="1"/>
  <c r="IJ22" i="4"/>
  <c r="IM22" i="4" s="1"/>
  <c r="JF5" i="4"/>
  <c r="JI5" i="4" s="1"/>
  <c r="JF13" i="4"/>
  <c r="JI13" i="4" s="1"/>
  <c r="KX9" i="4"/>
  <c r="LA9" i="4" s="1"/>
  <c r="KX12" i="4"/>
  <c r="LA12" i="4" s="1"/>
  <c r="KX22" i="4"/>
  <c r="LA22" i="4" s="1"/>
  <c r="LT13" i="4"/>
  <c r="LW13" i="4" s="1"/>
  <c r="LT23" i="4"/>
  <c r="MP16" i="4"/>
  <c r="MS16" i="4" s="1"/>
  <c r="EG23" i="4"/>
  <c r="FC9" i="4"/>
  <c r="FC15" i="4"/>
  <c r="FC20" i="4"/>
  <c r="FC21" i="4"/>
  <c r="GU8" i="4"/>
  <c r="GU14" i="4"/>
  <c r="HQ10" i="4"/>
  <c r="HQ23" i="4"/>
  <c r="IM9" i="4"/>
  <c r="LW5" i="4"/>
  <c r="MP24" i="4"/>
  <c r="MS24" i="4" s="1"/>
  <c r="MP18" i="4"/>
  <c r="MS18" i="4" s="1"/>
  <c r="ED7" i="4"/>
  <c r="EG7" i="4" s="1"/>
  <c r="ED17" i="4"/>
  <c r="EG17" i="4" s="1"/>
  <c r="ED20" i="4"/>
  <c r="EG20" i="4" s="1"/>
  <c r="FV16" i="4"/>
  <c r="FY16" i="4" s="1"/>
  <c r="FV22" i="4"/>
  <c r="FY22" i="4" s="1"/>
  <c r="GR5" i="4"/>
  <c r="GU5" i="4" s="1"/>
  <c r="HN7" i="4"/>
  <c r="HQ7" i="4" s="1"/>
  <c r="HN17" i="4"/>
  <c r="HQ17" i="4" s="1"/>
  <c r="IJ6" i="4"/>
  <c r="IM6" i="4" s="1"/>
  <c r="IM13" i="4"/>
  <c r="JF8" i="4"/>
  <c r="JI8" i="4" s="1"/>
  <c r="JF11" i="4"/>
  <c r="JI11" i="4" s="1"/>
  <c r="JF21" i="4"/>
  <c r="JI21" i="4" s="1"/>
  <c r="KB15" i="4"/>
  <c r="KE15" i="4" s="1"/>
  <c r="KX8" i="4"/>
  <c r="LA8" i="4" s="1"/>
  <c r="KX14" i="4"/>
  <c r="LA14" i="4" s="1"/>
  <c r="LT24" i="4"/>
  <c r="LW24" i="4" s="1"/>
  <c r="LT21" i="4"/>
  <c r="LW21" i="4" s="1"/>
  <c r="MP7" i="4"/>
  <c r="MS7" i="4" s="1"/>
  <c r="MS5" i="4"/>
  <c r="EG9" i="4"/>
  <c r="EG22" i="4"/>
  <c r="FC8" i="4"/>
  <c r="EZ11" i="4"/>
  <c r="FC11" i="4" s="1"/>
  <c r="FV5" i="4"/>
  <c r="FY5" i="4" s="1"/>
  <c r="FY6" i="4"/>
  <c r="GU7" i="4"/>
  <c r="GR10" i="4"/>
  <c r="GU10" i="4" s="1"/>
  <c r="GU13" i="4"/>
  <c r="HQ9" i="4"/>
  <c r="HQ22" i="4"/>
  <c r="IM8" i="4"/>
  <c r="IJ11" i="4"/>
  <c r="IM11" i="4" s="1"/>
  <c r="IM14" i="4"/>
  <c r="IM20" i="4"/>
  <c r="JI10" i="4"/>
  <c r="JI23" i="4"/>
  <c r="KE6" i="4"/>
  <c r="KE16" i="4"/>
  <c r="LA24" i="4"/>
  <c r="LA21" i="4"/>
  <c r="LW23" i="4"/>
  <c r="MS9" i="4"/>
  <c r="MS15" i="4"/>
  <c r="ED6" i="4"/>
  <c r="EG6" i="4" s="1"/>
  <c r="ED16" i="4"/>
  <c r="EG16" i="4" s="1"/>
  <c r="EZ5" i="4"/>
  <c r="FC5" i="4" s="1"/>
  <c r="FC6" i="4"/>
  <c r="FV10" i="4"/>
  <c r="FY10" i="4" s="1"/>
  <c r="FV24" i="4"/>
  <c r="FY24" i="4" s="1"/>
  <c r="FV18" i="4"/>
  <c r="FY18" i="4" s="1"/>
  <c r="GR23" i="4"/>
  <c r="GU23" i="4" s="1"/>
  <c r="HN6" i="4"/>
  <c r="HQ6" i="4" s="1"/>
  <c r="HN16" i="4"/>
  <c r="HQ16" i="4" s="1"/>
  <c r="JF7" i="4"/>
  <c r="JI7" i="4" s="1"/>
  <c r="JF17" i="4"/>
  <c r="JI17" i="4" s="1"/>
  <c r="KB14" i="4"/>
  <c r="KE14" i="4" s="1"/>
  <c r="KX7" i="4"/>
  <c r="LA7" i="4" s="1"/>
  <c r="KX10" i="4"/>
  <c r="LA10" i="4" s="1"/>
  <c r="KX13" i="4"/>
  <c r="LA13" i="4" s="1"/>
  <c r="LT9" i="4"/>
  <c r="LW9" i="4" s="1"/>
  <c r="LT15" i="4"/>
  <c r="LW15" i="4" s="1"/>
  <c r="LT17" i="4"/>
  <c r="LW17" i="4" s="1"/>
  <c r="LT20" i="4"/>
  <c r="LW20" i="4" s="1"/>
  <c r="MS13" i="4"/>
  <c r="ED14" i="4"/>
  <c r="EG14" i="4" s="1"/>
  <c r="EZ10" i="4"/>
  <c r="FC10" i="4" s="1"/>
  <c r="EZ24" i="4"/>
  <c r="FC24" i="4" s="1"/>
  <c r="FV7" i="4"/>
  <c r="FY7" i="4" s="1"/>
  <c r="FY14" i="4"/>
  <c r="GR9" i="4"/>
  <c r="GU9" i="4" s="1"/>
  <c r="GR15" i="4"/>
  <c r="GU15" i="4" s="1"/>
  <c r="HN14" i="4"/>
  <c r="HQ14" i="4" s="1"/>
  <c r="IJ10" i="4"/>
  <c r="IM10" i="4" s="1"/>
  <c r="IJ24" i="4"/>
  <c r="IM24" i="4" s="1"/>
  <c r="IJ21" i="4"/>
  <c r="IM21" i="4" s="1"/>
  <c r="JF15" i="4"/>
  <c r="JI15" i="4" s="1"/>
  <c r="KB8" i="4"/>
  <c r="KE8" i="4" s="1"/>
  <c r="KB21" i="4"/>
  <c r="KE21" i="4" s="1"/>
  <c r="LT6" i="4"/>
  <c r="LW6" i="4" s="1"/>
  <c r="FC14" i="4"/>
  <c r="MS20" i="4"/>
  <c r="ED5" i="4"/>
  <c r="EG5" i="4" s="1"/>
  <c r="ED24" i="4"/>
  <c r="EG24" i="4" s="1"/>
  <c r="ED18" i="4"/>
  <c r="EG18" i="4" s="1"/>
  <c r="EZ17" i="4"/>
  <c r="FC17" i="4" s="1"/>
  <c r="EZ23" i="4"/>
  <c r="FC23" i="4" s="1"/>
  <c r="FV9" i="4"/>
  <c r="FY9" i="4" s="1"/>
  <c r="FV15" i="4"/>
  <c r="FY15" i="4" s="1"/>
  <c r="FV20" i="4"/>
  <c r="FY20" i="4" s="1"/>
  <c r="FY21" i="4"/>
  <c r="GR16" i="4"/>
  <c r="GU16" i="4" s="1"/>
  <c r="GR22" i="4"/>
  <c r="GU22" i="4" s="1"/>
  <c r="HN5" i="4"/>
  <c r="HQ5" i="4" s="1"/>
  <c r="HN24" i="4"/>
  <c r="HQ24" i="4" s="1"/>
  <c r="HN18" i="4"/>
  <c r="HQ18" i="4" s="1"/>
  <c r="IM5" i="4"/>
  <c r="IJ17" i="4"/>
  <c r="IM17" i="4" s="1"/>
  <c r="IJ23" i="4"/>
  <c r="IM23" i="4" s="1"/>
  <c r="JF6" i="4"/>
  <c r="JI6" i="4" s="1"/>
  <c r="JF16" i="4"/>
  <c r="JI16" i="4" s="1"/>
  <c r="KB10" i="4"/>
  <c r="KE10" i="4" s="1"/>
  <c r="KB13" i="4"/>
  <c r="KE13" i="4" s="1"/>
  <c r="KB23" i="4"/>
  <c r="KE23" i="4" s="1"/>
  <c r="KX6" i="4"/>
  <c r="LA6" i="4" s="1"/>
  <c r="LW8" i="4"/>
  <c r="LT14" i="4"/>
  <c r="LW14" i="4" s="1"/>
  <c r="AL6" i="7"/>
  <c r="LX6" i="7"/>
  <c r="BZ16" i="13"/>
  <c r="CC16" i="13" s="1"/>
  <c r="AV15" i="13"/>
  <c r="AY15" i="13" s="1"/>
  <c r="BZ17" i="4"/>
  <c r="CC17" i="4" s="1"/>
  <c r="BZ18" i="4"/>
  <c r="CC18" i="4" s="1"/>
  <c r="CD6" i="7"/>
  <c r="DD17" i="4"/>
  <c r="DG17" i="4" s="1"/>
  <c r="DD16" i="13"/>
  <c r="DG16" i="13" s="1"/>
  <c r="DD15" i="13"/>
  <c r="DG15" i="13" s="1"/>
  <c r="O11" i="12"/>
  <c r="LX11" i="12"/>
  <c r="P12" i="12"/>
  <c r="CD12" i="6"/>
  <c r="LX12" i="6"/>
  <c r="BH15" i="6"/>
  <c r="MR15" i="6"/>
  <c r="BH6" i="7"/>
  <c r="AO13" i="14"/>
  <c r="AR13" i="14" s="1"/>
  <c r="BZ15" i="13"/>
  <c r="CC15" i="13" s="1"/>
  <c r="NL16" i="13"/>
  <c r="NO16" i="13" s="1"/>
  <c r="NL17" i="4"/>
  <c r="NO17" i="4" s="1"/>
  <c r="MP15" i="6"/>
  <c r="MR12" i="6"/>
  <c r="MP12" i="6"/>
  <c r="LX15" i="6"/>
  <c r="CD15" i="6"/>
  <c r="MQ15" i="6"/>
  <c r="AL15" i="6"/>
  <c r="F15" i="6"/>
  <c r="MS15" i="6"/>
  <c r="G15" i="6"/>
  <c r="MS12" i="6"/>
  <c r="BH12" i="6"/>
  <c r="MQ12" i="6"/>
  <c r="G12" i="6"/>
  <c r="AL12" i="6"/>
  <c r="F12" i="6"/>
  <c r="BH11" i="12"/>
  <c r="OR24" i="4"/>
  <c r="OO17" i="4"/>
  <c r="LX12" i="12"/>
  <c r="CD12" i="12"/>
  <c r="MQ12" i="12"/>
  <c r="MR12" i="12"/>
  <c r="MP12" i="12"/>
  <c r="F12" i="12"/>
  <c r="BH12" i="12"/>
  <c r="AL12" i="12"/>
  <c r="MS12" i="12"/>
  <c r="G12" i="12"/>
  <c r="AL11" i="12"/>
  <c r="MR11" i="12"/>
  <c r="MP11" i="12"/>
  <c r="MS11" i="12"/>
  <c r="F11" i="12"/>
  <c r="MQ11" i="12"/>
  <c r="G11" i="12"/>
  <c r="MR6" i="7"/>
  <c r="MP6" i="7"/>
  <c r="MQ6" i="7"/>
  <c r="MS6" i="7"/>
  <c r="L6" i="7"/>
  <c r="CF6" i="7" s="1"/>
  <c r="F6" i="7"/>
  <c r="J6" i="7"/>
  <c r="G6" i="7"/>
  <c r="NL15" i="13"/>
  <c r="NO15" i="13" s="1"/>
  <c r="OM15" i="13"/>
  <c r="Q15" i="13"/>
  <c r="DK15" i="13" s="1"/>
  <c r="OO15" i="13"/>
  <c r="OK15" i="13"/>
  <c r="OR18" i="13"/>
  <c r="H15" i="13"/>
  <c r="G15" i="13"/>
  <c r="OK16" i="13"/>
  <c r="OM16" i="13"/>
  <c r="Q16" i="13"/>
  <c r="DK16" i="13" s="1"/>
  <c r="OO16" i="13"/>
  <c r="G16" i="13"/>
  <c r="F16" i="13" s="1"/>
  <c r="AV16" i="13"/>
  <c r="OR17" i="13"/>
  <c r="Q17" i="4"/>
  <c r="R17" i="4" s="1"/>
  <c r="OM17" i="4"/>
  <c r="OK17" i="4"/>
  <c r="AV17" i="4"/>
  <c r="G17" i="4"/>
  <c r="J17" i="4" s="1"/>
  <c r="NL18" i="4"/>
  <c r="NO18" i="4" s="1"/>
  <c r="OM18" i="4"/>
  <c r="DD18" i="4"/>
  <c r="DG18" i="4" s="1"/>
  <c r="OO18" i="4"/>
  <c r="OK18" i="4"/>
  <c r="Q18" i="4"/>
  <c r="DK18" i="4" s="1"/>
  <c r="OR23" i="4"/>
  <c r="G18" i="4"/>
  <c r="F18" i="4" s="1"/>
  <c r="AV18" i="4"/>
  <c r="CI12" i="14"/>
  <c r="CI8" i="14"/>
  <c r="CI11" i="14"/>
  <c r="CL11" i="14" s="1"/>
  <c r="NL10" i="13"/>
  <c r="NO10" i="13" s="1"/>
  <c r="OO18" i="13"/>
  <c r="CI6" i="14"/>
  <c r="CL6" i="14" s="1"/>
  <c r="MQ11" i="14"/>
  <c r="MT11" i="14" s="1"/>
  <c r="NL6" i="13"/>
  <c r="NO6" i="13" s="1"/>
  <c r="OM10" i="13"/>
  <c r="OO11" i="13"/>
  <c r="OR11" i="13"/>
  <c r="DD10" i="13"/>
  <c r="DG10" i="13" s="1"/>
  <c r="DD7" i="13"/>
  <c r="DG7" i="13" s="1"/>
  <c r="NL5" i="13"/>
  <c r="NO5" i="13" s="1"/>
  <c r="AV10" i="13"/>
  <c r="AY10" i="13" s="1"/>
  <c r="DD8" i="13"/>
  <c r="DG8" i="13" s="1"/>
  <c r="NL12" i="13"/>
  <c r="NO12" i="13" s="1"/>
  <c r="DD5" i="13"/>
  <c r="DG5" i="13" s="1"/>
  <c r="BZ7" i="13"/>
  <c r="CC7" i="13" s="1"/>
  <c r="DD13" i="13"/>
  <c r="DG13" i="13" s="1"/>
  <c r="OO5" i="13"/>
  <c r="NL9" i="13"/>
  <c r="NO9" i="13" s="1"/>
  <c r="BZ8" i="13"/>
  <c r="CC8" i="13" s="1"/>
  <c r="OO8" i="13"/>
  <c r="OO14" i="13"/>
  <c r="DD11" i="13"/>
  <c r="DG11" i="13" s="1"/>
  <c r="BZ17" i="13"/>
  <c r="CC17" i="13" s="1"/>
  <c r="NL7" i="13"/>
  <c r="NO7" i="13" s="1"/>
  <c r="NL14" i="13"/>
  <c r="NO14" i="13" s="1"/>
  <c r="DD17" i="13"/>
  <c r="DG17" i="13" s="1"/>
  <c r="NL17" i="13"/>
  <c r="NO17" i="13" s="1"/>
  <c r="DD18" i="13"/>
  <c r="DG18" i="13" s="1"/>
  <c r="BL13" i="14"/>
  <c r="BO13" i="14" s="1"/>
  <c r="CL13" i="14"/>
  <c r="AO8" i="14"/>
  <c r="MQ12" i="14"/>
  <c r="MT12" i="14" s="1"/>
  <c r="NP13" i="14"/>
  <c r="MQ13" i="14"/>
  <c r="MT13" i="14" s="1"/>
  <c r="Q13" i="14"/>
  <c r="CP13" i="14" s="1"/>
  <c r="NM13" i="14"/>
  <c r="NL13" i="14"/>
  <c r="G13" i="14"/>
  <c r="AO6" i="14"/>
  <c r="AR6" i="14" s="1"/>
  <c r="BL12" i="14"/>
  <c r="BO12" i="14" s="1"/>
  <c r="CL12" i="14"/>
  <c r="NP12" i="14"/>
  <c r="Q10" i="14"/>
  <c r="CP10" i="14" s="1"/>
  <c r="NP7" i="14"/>
  <c r="BL8" i="14"/>
  <c r="BO8" i="14" s="1"/>
  <c r="Q9" i="14"/>
  <c r="R9" i="14" s="1"/>
  <c r="BL6" i="14"/>
  <c r="BO6" i="14" s="1"/>
  <c r="MQ8" i="14"/>
  <c r="AO5" i="14"/>
  <c r="AR5" i="14" s="1"/>
  <c r="Q12" i="14"/>
  <c r="CP12" i="14" s="1"/>
  <c r="NL12" i="14"/>
  <c r="NM12" i="14"/>
  <c r="G12" i="14"/>
  <c r="F12" i="14" s="1"/>
  <c r="AO12" i="14"/>
  <c r="AO11" i="14"/>
  <c r="AR11" i="14" s="1"/>
  <c r="CI7" i="14"/>
  <c r="CL7" i="14" s="1"/>
  <c r="NL7" i="14"/>
  <c r="MT8" i="14"/>
  <c r="CI5" i="14"/>
  <c r="CL5" i="14" s="1"/>
  <c r="MQ14" i="14"/>
  <c r="MT14" i="14" s="1"/>
  <c r="NL11" i="14"/>
  <c r="NL4" i="14"/>
  <c r="BL5" i="14"/>
  <c r="BO5" i="14" s="1"/>
  <c r="NM8" i="14"/>
  <c r="AO10" i="14"/>
  <c r="AR10" i="14" s="1"/>
  <c r="BL11" i="14"/>
  <c r="BO11" i="14" s="1"/>
  <c r="G6" i="14"/>
  <c r="F6" i="14" s="1"/>
  <c r="NP10" i="14"/>
  <c r="Q4" i="14"/>
  <c r="R4" i="14" s="1"/>
  <c r="NL6" i="14"/>
  <c r="BL9" i="14"/>
  <c r="BO9" i="14" s="1"/>
  <c r="CI10" i="14"/>
  <c r="CL10" i="14" s="1"/>
  <c r="G14" i="14"/>
  <c r="F14" i="14" s="1"/>
  <c r="BL7" i="14"/>
  <c r="BO7" i="14" s="1"/>
  <c r="NL9" i="14"/>
  <c r="NL10" i="14"/>
  <c r="MQ5" i="14"/>
  <c r="MT5" i="14" s="1"/>
  <c r="G9" i="14"/>
  <c r="F9" i="14" s="1"/>
  <c r="Q14" i="14"/>
  <c r="R14" i="14" s="1"/>
  <c r="CI14" i="14"/>
  <c r="CL14" i="14" s="1"/>
  <c r="MQ7" i="14"/>
  <c r="MT7" i="14" s="1"/>
  <c r="BL10" i="14"/>
  <c r="MQ4" i="14"/>
  <c r="MT4" i="14" s="1"/>
  <c r="Q5" i="14"/>
  <c r="CP5" i="14" s="1"/>
  <c r="Q11" i="14"/>
  <c r="CP11" i="14" s="1"/>
  <c r="NP11" i="14"/>
  <c r="NM11" i="14"/>
  <c r="G11" i="14"/>
  <c r="F11" i="14" s="1"/>
  <c r="H11" i="14"/>
  <c r="CI4" i="14"/>
  <c r="CL4" i="14" s="1"/>
  <c r="Q6" i="14"/>
  <c r="R6" i="14" s="1"/>
  <c r="NP8" i="14"/>
  <c r="AO9" i="14"/>
  <c r="AR9" i="14" s="1"/>
  <c r="MQ9" i="14"/>
  <c r="MT9" i="14" s="1"/>
  <c r="NL5" i="14"/>
  <c r="G8" i="14"/>
  <c r="F8" i="14" s="1"/>
  <c r="BL14" i="14"/>
  <c r="BO14" i="14" s="1"/>
  <c r="NM7" i="14"/>
  <c r="BL4" i="14"/>
  <c r="BO4" i="14" s="1"/>
  <c r="NP5" i="14"/>
  <c r="NM6" i="14"/>
  <c r="NN6" i="14" s="1"/>
  <c r="NM14" i="14"/>
  <c r="AO7" i="14"/>
  <c r="AR7" i="14" s="1"/>
  <c r="CI9" i="14"/>
  <c r="CL9" i="14" s="1"/>
  <c r="G10" i="14"/>
  <c r="F10" i="14" s="1"/>
  <c r="NM10" i="14"/>
  <c r="NN10" i="14" s="1"/>
  <c r="NQ10" i="14" s="1"/>
  <c r="NM4" i="14"/>
  <c r="NP6" i="14"/>
  <c r="AO14" i="14"/>
  <c r="AR14" i="14" s="1"/>
  <c r="G7" i="14"/>
  <c r="F7" i="14" s="1"/>
  <c r="CL8" i="14"/>
  <c r="NM9" i="14"/>
  <c r="G4" i="14"/>
  <c r="F4" i="14" s="1"/>
  <c r="NP4" i="14"/>
  <c r="G5" i="14"/>
  <c r="F5" i="14" s="1"/>
  <c r="Q7" i="14"/>
  <c r="CP7" i="14" s="1"/>
  <c r="Q8" i="14"/>
  <c r="R8" i="14" s="1"/>
  <c r="AO4" i="14"/>
  <c r="AR4" i="14" s="1"/>
  <c r="NM5" i="14"/>
  <c r="MQ6" i="14"/>
  <c r="MT6" i="14" s="1"/>
  <c r="NL14" i="14"/>
  <c r="NP14" i="14"/>
  <c r="NL8" i="14"/>
  <c r="NP9" i="14"/>
  <c r="MQ10" i="14"/>
  <c r="MT10" i="14" s="1"/>
  <c r="AR8" i="14"/>
  <c r="BO10" i="14"/>
  <c r="CP9" i="14"/>
  <c r="NO14" i="14"/>
  <c r="R10" i="14"/>
  <c r="OR16" i="13"/>
  <c r="OR4" i="13"/>
  <c r="Q7" i="13"/>
  <c r="DK7" i="13" s="1"/>
  <c r="OR7" i="13"/>
  <c r="OR10" i="13"/>
  <c r="Q12" i="13"/>
  <c r="DK12" i="13" s="1"/>
  <c r="OR13" i="13"/>
  <c r="OQ18" i="13"/>
  <c r="BZ10" i="13"/>
  <c r="CC10" i="13" s="1"/>
  <c r="OK5" i="13"/>
  <c r="OK9" i="13"/>
  <c r="BZ11" i="13"/>
  <c r="CC11" i="13" s="1"/>
  <c r="OK18" i="13"/>
  <c r="OM9" i="13"/>
  <c r="BZ13" i="13"/>
  <c r="CC13" i="13" s="1"/>
  <c r="OM11" i="13"/>
  <c r="BZ18" i="13"/>
  <c r="CC18" i="13" s="1"/>
  <c r="BZ9" i="13"/>
  <c r="CC9" i="13" s="1"/>
  <c r="AV7" i="13"/>
  <c r="AV12" i="13"/>
  <c r="AY12" i="13" s="1"/>
  <c r="AV4" i="13"/>
  <c r="AY4" i="13" s="1"/>
  <c r="AV18" i="13"/>
  <c r="AY18" i="13" s="1"/>
  <c r="Q14" i="13"/>
  <c r="R14" i="13" s="1"/>
  <c r="AV9" i="13"/>
  <c r="Q5" i="13"/>
  <c r="R5" i="13" s="1"/>
  <c r="Q4" i="13"/>
  <c r="DK4" i="13" s="1"/>
  <c r="AV17" i="13"/>
  <c r="Q10" i="13"/>
  <c r="R10" i="13" s="1"/>
  <c r="AV13" i="13"/>
  <c r="OM8" i="13"/>
  <c r="OR12" i="13"/>
  <c r="Q11" i="13"/>
  <c r="DK11" i="13" s="1"/>
  <c r="NL4" i="13"/>
  <c r="NO4" i="13" s="1"/>
  <c r="OK4" i="13"/>
  <c r="G7" i="13"/>
  <c r="F7" i="13" s="1"/>
  <c r="G6" i="13"/>
  <c r="F6" i="13" s="1"/>
  <c r="OK6" i="13"/>
  <c r="OO6" i="13"/>
  <c r="G8" i="13"/>
  <c r="F8" i="13" s="1"/>
  <c r="OK14" i="13"/>
  <c r="G10" i="13"/>
  <c r="F10" i="13" s="1"/>
  <c r="OR9" i="13"/>
  <c r="G9" i="13"/>
  <c r="F9" i="13" s="1"/>
  <c r="OO9" i="13"/>
  <c r="DD12" i="13"/>
  <c r="DG12" i="13" s="1"/>
  <c r="OM12" i="13"/>
  <c r="DD4" i="13"/>
  <c r="DG4" i="13" s="1"/>
  <c r="OM4" i="13"/>
  <c r="OO4" i="13"/>
  <c r="AV5" i="13"/>
  <c r="AY5" i="13" s="1"/>
  <c r="OR6" i="13"/>
  <c r="OK10" i="13"/>
  <c r="Q9" i="13"/>
  <c r="DK9" i="13" s="1"/>
  <c r="BZ12" i="13"/>
  <c r="CC12" i="13" s="1"/>
  <c r="BZ14" i="13"/>
  <c r="CC14" i="13" s="1"/>
  <c r="AV11" i="13"/>
  <c r="AY11" i="13" s="1"/>
  <c r="OR15" i="13"/>
  <c r="H4" i="13"/>
  <c r="BZ4" i="13"/>
  <c r="CC4" i="13" s="1"/>
  <c r="BZ5" i="13"/>
  <c r="CC5" i="13" s="1"/>
  <c r="OM5" i="13"/>
  <c r="OK7" i="13"/>
  <c r="Q6" i="13"/>
  <c r="R6" i="13" s="1"/>
  <c r="OR8" i="13"/>
  <c r="OO10" i="13"/>
  <c r="DD9" i="13"/>
  <c r="DG9" i="13" s="1"/>
  <c r="G13" i="13"/>
  <c r="F13" i="13" s="1"/>
  <c r="G11" i="13"/>
  <c r="F11" i="13" s="1"/>
  <c r="G17" i="13"/>
  <c r="F17" i="13" s="1"/>
  <c r="OK17" i="13"/>
  <c r="G4" i="13"/>
  <c r="F4" i="13" s="1"/>
  <c r="BZ6" i="13"/>
  <c r="CC6" i="13" s="1"/>
  <c r="NL8" i="13"/>
  <c r="NO8" i="13" s="1"/>
  <c r="OK8" i="13"/>
  <c r="G12" i="13"/>
  <c r="F12" i="13" s="1"/>
  <c r="OK12" i="13"/>
  <c r="OO12" i="13"/>
  <c r="Q13" i="13"/>
  <c r="R13" i="13" s="1"/>
  <c r="OR14" i="13"/>
  <c r="OM17" i="13"/>
  <c r="Q18" i="13"/>
  <c r="R18" i="13" s="1"/>
  <c r="G5" i="13"/>
  <c r="F5" i="13" s="1"/>
  <c r="OR5" i="13"/>
  <c r="OM7" i="13"/>
  <c r="OO7" i="13"/>
  <c r="AV6" i="13"/>
  <c r="DD6" i="13"/>
  <c r="DG6" i="13" s="1"/>
  <c r="OM6" i="13"/>
  <c r="Q8" i="13"/>
  <c r="R8" i="13" s="1"/>
  <c r="OM13" i="13"/>
  <c r="NL11" i="13"/>
  <c r="NO11" i="13" s="1"/>
  <c r="OK11" i="13"/>
  <c r="OO17" i="13"/>
  <c r="OM18" i="13"/>
  <c r="H5" i="13"/>
  <c r="DK5" i="13"/>
  <c r="R12" i="13"/>
  <c r="R4" i="13"/>
  <c r="AV8" i="13"/>
  <c r="ON6" i="13"/>
  <c r="ON12" i="13"/>
  <c r="DD14" i="13"/>
  <c r="DG14" i="13" s="1"/>
  <c r="NL18" i="13"/>
  <c r="NO18" i="13" s="1"/>
  <c r="G18" i="13"/>
  <c r="F18" i="13" s="1"/>
  <c r="NL13" i="13"/>
  <c r="NO13" i="13" s="1"/>
  <c r="OK13" i="13"/>
  <c r="AV14" i="13"/>
  <c r="G14" i="13"/>
  <c r="F14" i="13" s="1"/>
  <c r="OO13" i="13"/>
  <c r="Q17" i="13"/>
  <c r="OM14" i="13"/>
  <c r="AY17" i="13"/>
  <c r="OO16" i="4"/>
  <c r="OO23" i="4"/>
  <c r="OO21" i="4"/>
  <c r="OO22" i="4"/>
  <c r="OO20" i="4"/>
  <c r="OO19" i="4"/>
  <c r="OO13" i="4"/>
  <c r="OO14" i="4"/>
  <c r="OO9" i="4"/>
  <c r="OO6" i="4"/>
  <c r="OO7" i="4"/>
  <c r="OO5" i="4"/>
  <c r="DD8" i="4"/>
  <c r="DG8" i="4" s="1"/>
  <c r="BZ20" i="4"/>
  <c r="BZ10" i="4"/>
  <c r="BZ4" i="4"/>
  <c r="OR22" i="4"/>
  <c r="OR21" i="4"/>
  <c r="OR20" i="4"/>
  <c r="OR19" i="4"/>
  <c r="OR18" i="4"/>
  <c r="OR17" i="4"/>
  <c r="OR16" i="4"/>
  <c r="OR15" i="4"/>
  <c r="OR14" i="4"/>
  <c r="OR13" i="4"/>
  <c r="OR12" i="4"/>
  <c r="OR11" i="4"/>
  <c r="OR10" i="4"/>
  <c r="OR9" i="4"/>
  <c r="OR8" i="4"/>
  <c r="OR7" i="4"/>
  <c r="OR6" i="4"/>
  <c r="OR5" i="4"/>
  <c r="BZ23" i="4"/>
  <c r="BZ8" i="4"/>
  <c r="BZ5" i="4"/>
  <c r="DD19" i="4"/>
  <c r="DG19" i="4" s="1"/>
  <c r="OR4" i="4"/>
  <c r="OM23" i="4"/>
  <c r="OM21" i="4"/>
  <c r="OM22" i="4"/>
  <c r="OM20" i="4"/>
  <c r="OM19" i="4"/>
  <c r="OM13" i="4"/>
  <c r="OM14" i="4"/>
  <c r="OO24" i="4"/>
  <c r="OM24" i="4"/>
  <c r="OO8" i="4"/>
  <c r="OO15" i="4"/>
  <c r="OM11" i="4"/>
  <c r="OM10" i="4"/>
  <c r="OM12" i="4"/>
  <c r="OM9" i="4"/>
  <c r="OM6" i="4"/>
  <c r="OM7" i="4"/>
  <c r="OM5" i="4"/>
  <c r="DD24" i="4"/>
  <c r="DG24" i="4" s="1"/>
  <c r="OM4" i="4"/>
  <c r="DD4" i="4"/>
  <c r="DD23" i="4"/>
  <c r="DG23" i="4" s="1"/>
  <c r="OO11" i="4"/>
  <c r="OO10" i="4"/>
  <c r="OO12" i="4"/>
  <c r="OM15" i="4"/>
  <c r="OM8" i="4"/>
  <c r="OM16" i="4"/>
  <c r="OO4" i="4"/>
  <c r="DD5" i="4"/>
  <c r="DG5" i="4" s="1"/>
  <c r="DD14" i="4"/>
  <c r="DG14" i="4" s="1"/>
  <c r="DD13" i="4"/>
  <c r="DG13" i="4" s="1"/>
  <c r="DD6" i="4"/>
  <c r="DG6" i="4" s="1"/>
  <c r="BZ21" i="4"/>
  <c r="BZ13" i="4"/>
  <c r="BZ15" i="4"/>
  <c r="BZ9" i="4"/>
  <c r="DD16" i="4"/>
  <c r="DG16" i="4" s="1"/>
  <c r="BZ22" i="4"/>
  <c r="BZ19" i="4"/>
  <c r="BZ11" i="4"/>
  <c r="BZ12" i="4"/>
  <c r="DD20" i="4"/>
  <c r="DD9" i="4"/>
  <c r="DG9" i="4" s="1"/>
  <c r="BZ16" i="4"/>
  <c r="BZ24" i="4"/>
  <c r="BZ7" i="4"/>
  <c r="DD22" i="4"/>
  <c r="DG22" i="4" s="1"/>
  <c r="DD12" i="4"/>
  <c r="DG12" i="4" s="1"/>
  <c r="BZ14" i="4"/>
  <c r="BZ6" i="4"/>
  <c r="DD21" i="4"/>
  <c r="DG21" i="4" s="1"/>
  <c r="DD10" i="4"/>
  <c r="DG10" i="4" s="1"/>
  <c r="DD11" i="4"/>
  <c r="DG11" i="4" s="1"/>
  <c r="DD7" i="4"/>
  <c r="DG7" i="4" s="1"/>
  <c r="DD15" i="4"/>
  <c r="DG15" i="4" s="1"/>
  <c r="LX6" i="12"/>
  <c r="LX5" i="12"/>
  <c r="LX14" i="12"/>
  <c r="LX10" i="12"/>
  <c r="LX8" i="12"/>
  <c r="LX13" i="12"/>
  <c r="LX7" i="12"/>
  <c r="LX9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LY5" i="12"/>
  <c r="LY9" i="12"/>
  <c r="LY6" i="12"/>
  <c r="LY8" i="12"/>
  <c r="LY7" i="12"/>
  <c r="LY10" i="12"/>
  <c r="LY13" i="12"/>
  <c r="LY14" i="12"/>
  <c r="LY4" i="12"/>
  <c r="LY4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4" i="7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MV4" i="9"/>
  <c r="MW4" i="9"/>
  <c r="MX4" i="9"/>
  <c r="MY4" i="9"/>
  <c r="MZ4" i="9"/>
  <c r="NA4" i="9"/>
  <c r="NB4" i="9"/>
  <c r="NC4" i="9"/>
  <c r="ND4" i="9"/>
  <c r="NE4" i="9"/>
  <c r="NF4" i="9"/>
  <c r="NG4" i="9"/>
  <c r="NH4" i="9"/>
  <c r="NI4" i="9"/>
  <c r="MV5" i="9"/>
  <c r="MW5" i="9"/>
  <c r="MX5" i="9"/>
  <c r="MY5" i="9"/>
  <c r="MZ5" i="9"/>
  <c r="NA5" i="9"/>
  <c r="NB5" i="9"/>
  <c r="NC5" i="9"/>
  <c r="ND5" i="9"/>
  <c r="NE5" i="9"/>
  <c r="NF5" i="9"/>
  <c r="NG5" i="9"/>
  <c r="NH5" i="9"/>
  <c r="NI5" i="9"/>
  <c r="MV6" i="9"/>
  <c r="MW6" i="9"/>
  <c r="MX6" i="9"/>
  <c r="MY6" i="9"/>
  <c r="MZ6" i="9"/>
  <c r="NA6" i="9"/>
  <c r="NB6" i="9"/>
  <c r="NC6" i="9"/>
  <c r="ND6" i="9"/>
  <c r="NE6" i="9"/>
  <c r="NF6" i="9"/>
  <c r="NG6" i="9"/>
  <c r="NH6" i="9"/>
  <c r="NI6" i="9"/>
  <c r="MV7" i="9"/>
  <c r="MW7" i="9"/>
  <c r="MX7" i="9"/>
  <c r="MY7" i="9"/>
  <c r="MZ7" i="9"/>
  <c r="NA7" i="9"/>
  <c r="NB7" i="9"/>
  <c r="NC7" i="9"/>
  <c r="ND7" i="9"/>
  <c r="NE7" i="9"/>
  <c r="NF7" i="9"/>
  <c r="NG7" i="9"/>
  <c r="NH7" i="9"/>
  <c r="NI7" i="9"/>
  <c r="MV8" i="9"/>
  <c r="MW8" i="9"/>
  <c r="MX8" i="9"/>
  <c r="MY8" i="9"/>
  <c r="MZ8" i="9"/>
  <c r="NA8" i="9"/>
  <c r="NB8" i="9"/>
  <c r="NC8" i="9"/>
  <c r="ND8" i="9"/>
  <c r="NE8" i="9"/>
  <c r="NF8" i="9"/>
  <c r="NG8" i="9"/>
  <c r="NH8" i="9"/>
  <c r="NI8" i="9"/>
  <c r="MV9" i="9"/>
  <c r="MW9" i="9"/>
  <c r="MX9" i="9"/>
  <c r="MY9" i="9"/>
  <c r="MZ9" i="9"/>
  <c r="NA9" i="9"/>
  <c r="NB9" i="9"/>
  <c r="NC9" i="9"/>
  <c r="ND9" i="9"/>
  <c r="NE9" i="9"/>
  <c r="NF9" i="9"/>
  <c r="NG9" i="9"/>
  <c r="NH9" i="9"/>
  <c r="NI9" i="9"/>
  <c r="MV10" i="9"/>
  <c r="MW10" i="9"/>
  <c r="MX10" i="9"/>
  <c r="MY10" i="9"/>
  <c r="MZ10" i="9"/>
  <c r="NA10" i="9"/>
  <c r="NB10" i="9"/>
  <c r="NC10" i="9"/>
  <c r="ND10" i="9"/>
  <c r="NE10" i="9"/>
  <c r="NF10" i="9"/>
  <c r="NG10" i="9"/>
  <c r="NH10" i="9"/>
  <c r="NI10" i="9"/>
  <c r="MV11" i="9"/>
  <c r="MW11" i="9"/>
  <c r="MX11" i="9"/>
  <c r="MY11" i="9"/>
  <c r="MZ11" i="9"/>
  <c r="NA11" i="9"/>
  <c r="NB11" i="9"/>
  <c r="NC11" i="9"/>
  <c r="ND11" i="9"/>
  <c r="NE11" i="9"/>
  <c r="NF11" i="9"/>
  <c r="NG11" i="9"/>
  <c r="NH11" i="9"/>
  <c r="NI11" i="9"/>
  <c r="MU5" i="9"/>
  <c r="MU6" i="9"/>
  <c r="MU7" i="9"/>
  <c r="MU8" i="9"/>
  <c r="MU9" i="9"/>
  <c r="MU10" i="9"/>
  <c r="MU11" i="9"/>
  <c r="MU4" i="9"/>
  <c r="NP4" i="4"/>
  <c r="CC14" i="12"/>
  <c r="CA14" i="12"/>
  <c r="BZ14" i="12"/>
  <c r="CC13" i="12"/>
  <c r="CA13" i="12"/>
  <c r="BZ13" i="12"/>
  <c r="CC10" i="12"/>
  <c r="CA10" i="12"/>
  <c r="BZ10" i="12"/>
  <c r="CC7" i="12"/>
  <c r="CA7" i="12"/>
  <c r="BZ7" i="12"/>
  <c r="CC8" i="12"/>
  <c r="CA8" i="12"/>
  <c r="BZ8" i="12"/>
  <c r="CC6" i="12"/>
  <c r="CA6" i="12"/>
  <c r="BZ6" i="12"/>
  <c r="CC9" i="12"/>
  <c r="CA9" i="12"/>
  <c r="BZ9" i="12"/>
  <c r="CC5" i="12"/>
  <c r="CA5" i="12"/>
  <c r="BZ5" i="12"/>
  <c r="CC4" i="12"/>
  <c r="CA4" i="12"/>
  <c r="BZ4" i="12"/>
  <c r="CC17" i="6"/>
  <c r="CA17" i="6"/>
  <c r="BZ17" i="6"/>
  <c r="CC16" i="6"/>
  <c r="CA16" i="6"/>
  <c r="BZ16" i="6"/>
  <c r="CC11" i="6"/>
  <c r="CA11" i="6"/>
  <c r="BZ11" i="6"/>
  <c r="CC14" i="6"/>
  <c r="CA14" i="6"/>
  <c r="BZ14" i="6"/>
  <c r="CC13" i="6"/>
  <c r="CA13" i="6"/>
  <c r="BZ13" i="6"/>
  <c r="CC10" i="6"/>
  <c r="CA10" i="6"/>
  <c r="BZ10" i="6"/>
  <c r="CC5" i="6"/>
  <c r="CA5" i="6"/>
  <c r="BZ5" i="6"/>
  <c r="CC9" i="6"/>
  <c r="CA9" i="6"/>
  <c r="BZ9" i="6"/>
  <c r="CC8" i="6"/>
  <c r="CA8" i="6"/>
  <c r="BZ8" i="6"/>
  <c r="CC7" i="6"/>
  <c r="CA7" i="6"/>
  <c r="BZ7" i="6"/>
  <c r="CC6" i="6"/>
  <c r="CA6" i="6"/>
  <c r="BZ6" i="6"/>
  <c r="CC4" i="6"/>
  <c r="CA4" i="6"/>
  <c r="BZ4" i="6"/>
  <c r="CC6" i="8"/>
  <c r="CA6" i="8"/>
  <c r="BZ6" i="8"/>
  <c r="CC5" i="8"/>
  <c r="CA5" i="8"/>
  <c r="BZ5" i="8"/>
  <c r="CC4" i="8"/>
  <c r="CA4" i="8"/>
  <c r="BZ4" i="8"/>
  <c r="CC8" i="7"/>
  <c r="CA8" i="7"/>
  <c r="BZ8" i="7"/>
  <c r="CC7" i="7"/>
  <c r="CA7" i="7"/>
  <c r="BZ7" i="7"/>
  <c r="CC5" i="7"/>
  <c r="CA5" i="7"/>
  <c r="BZ5" i="7"/>
  <c r="CC4" i="7"/>
  <c r="CA4" i="7"/>
  <c r="CK11" i="9"/>
  <c r="CJ11" i="9"/>
  <c r="CH11" i="9"/>
  <c r="CG11" i="9"/>
  <c r="CF11" i="9"/>
  <c r="CK10" i="9"/>
  <c r="CJ10" i="9"/>
  <c r="CH10" i="9"/>
  <c r="CG10" i="9"/>
  <c r="CF10" i="9"/>
  <c r="CK9" i="9"/>
  <c r="CJ9" i="9"/>
  <c r="CH9" i="9"/>
  <c r="CG9" i="9"/>
  <c r="CF9" i="9"/>
  <c r="CK8" i="9"/>
  <c r="CJ8" i="9"/>
  <c r="CH8" i="9"/>
  <c r="CG8" i="9"/>
  <c r="CF8" i="9"/>
  <c r="CK7" i="9"/>
  <c r="CJ7" i="9"/>
  <c r="CH7" i="9"/>
  <c r="CG7" i="9"/>
  <c r="CF7" i="9"/>
  <c r="CK6" i="9"/>
  <c r="CJ6" i="9"/>
  <c r="CH6" i="9"/>
  <c r="CG6" i="9"/>
  <c r="CF6" i="9"/>
  <c r="CK5" i="9"/>
  <c r="CJ5" i="9"/>
  <c r="CH5" i="9"/>
  <c r="CG5" i="9"/>
  <c r="CF5" i="9"/>
  <c r="CK4" i="9"/>
  <c r="CJ4" i="9"/>
  <c r="CH4" i="9"/>
  <c r="CG4" i="9"/>
  <c r="CF4" i="9"/>
  <c r="NQ4" i="4"/>
  <c r="NR4" i="4"/>
  <c r="NS4" i="4"/>
  <c r="NT4" i="4"/>
  <c r="NQ5" i="4"/>
  <c r="NR5" i="4"/>
  <c r="NS5" i="4"/>
  <c r="NQ7" i="4"/>
  <c r="NR7" i="4"/>
  <c r="NS7" i="4"/>
  <c r="NQ6" i="4"/>
  <c r="NR6" i="4"/>
  <c r="NS6" i="4"/>
  <c r="NQ9" i="4"/>
  <c r="NR9" i="4"/>
  <c r="NS9" i="4"/>
  <c r="NQ12" i="4"/>
  <c r="NR12" i="4"/>
  <c r="NS12" i="4"/>
  <c r="NQ10" i="4"/>
  <c r="NR10" i="4"/>
  <c r="NS10" i="4"/>
  <c r="NQ11" i="4"/>
  <c r="NR11" i="4"/>
  <c r="NS11" i="4"/>
  <c r="NQ15" i="4"/>
  <c r="NR15" i="4"/>
  <c r="NS15" i="4"/>
  <c r="NQ8" i="4"/>
  <c r="NR8" i="4"/>
  <c r="NS8" i="4"/>
  <c r="NQ24" i="4"/>
  <c r="NR24" i="4"/>
  <c r="NS24" i="4"/>
  <c r="NQ14" i="4"/>
  <c r="NR14" i="4"/>
  <c r="NS14" i="4"/>
  <c r="NQ13" i="4"/>
  <c r="NR13" i="4"/>
  <c r="NS13" i="4"/>
  <c r="NQ19" i="4"/>
  <c r="NR19" i="4"/>
  <c r="NS19" i="4"/>
  <c r="NQ20" i="4"/>
  <c r="NR20" i="4"/>
  <c r="NS20" i="4"/>
  <c r="NQ22" i="4"/>
  <c r="NR22" i="4"/>
  <c r="NS22" i="4"/>
  <c r="NQ21" i="4"/>
  <c r="NR21" i="4"/>
  <c r="NS21" i="4"/>
  <c r="NQ23" i="4"/>
  <c r="NR23" i="4"/>
  <c r="NS23" i="4"/>
  <c r="NQ16" i="4"/>
  <c r="NR16" i="4"/>
  <c r="NS16" i="4"/>
  <c r="NP5" i="4"/>
  <c r="NP7" i="4"/>
  <c r="NP6" i="4"/>
  <c r="NP9" i="4"/>
  <c r="NP12" i="4"/>
  <c r="NP10" i="4"/>
  <c r="NP11" i="4"/>
  <c r="NP15" i="4"/>
  <c r="NP8" i="4"/>
  <c r="NP24" i="4"/>
  <c r="NP14" i="4"/>
  <c r="NP13" i="4"/>
  <c r="NP19" i="4"/>
  <c r="NP20" i="4"/>
  <c r="NP22" i="4"/>
  <c r="NP21" i="4"/>
  <c r="NP23" i="4"/>
  <c r="NP16" i="4"/>
  <c r="R7" i="13" l="1"/>
  <c r="DK8" i="13"/>
  <c r="J11" i="12"/>
  <c r="L11" i="12" s="1"/>
  <c r="M11" i="12" s="1"/>
  <c r="NN4" i="14"/>
  <c r="K6" i="14"/>
  <c r="OP14" i="13"/>
  <c r="K11" i="14"/>
  <c r="M11" i="14" s="1"/>
  <c r="CI7" i="9"/>
  <c r="CL7" i="9" s="1"/>
  <c r="K17" i="4"/>
  <c r="DJ17" i="4" s="1"/>
  <c r="K18" i="4"/>
  <c r="M18" i="4" s="1"/>
  <c r="K16" i="13"/>
  <c r="M16" i="13" s="1"/>
  <c r="K15" i="13"/>
  <c r="DJ15" i="13" s="1"/>
  <c r="A15" i="13" a="1"/>
  <c r="A15" i="13" s="1"/>
  <c r="H9" i="13"/>
  <c r="I9" i="13" s="1"/>
  <c r="R11" i="13"/>
  <c r="OP11" i="13"/>
  <c r="MT12" i="12"/>
  <c r="J12" i="12"/>
  <c r="L12" i="12" s="1"/>
  <c r="M12" i="12" s="1"/>
  <c r="J15" i="6"/>
  <c r="K15" i="6" s="1"/>
  <c r="J12" i="6"/>
  <c r="K12" i="6" s="1"/>
  <c r="MT15" i="6"/>
  <c r="OP18" i="13"/>
  <c r="H16" i="13"/>
  <c r="A16" i="13" s="1" a="1"/>
  <c r="A16" i="13" s="1"/>
  <c r="K8" i="13"/>
  <c r="OP17" i="4"/>
  <c r="H17" i="4"/>
  <c r="I17" i="4" s="1"/>
  <c r="H18" i="4"/>
  <c r="I18" i="4" s="1"/>
  <c r="DK17" i="4"/>
  <c r="MT12" i="6"/>
  <c r="H15" i="6"/>
  <c r="I15" i="6" s="1"/>
  <c r="A15" i="6"/>
  <c r="A12" i="6"/>
  <c r="H12" i="6"/>
  <c r="I12" i="6" s="1"/>
  <c r="MT11" i="12"/>
  <c r="K11" i="12"/>
  <c r="E11" i="12" s="1"/>
  <c r="OP16" i="13"/>
  <c r="R15" i="13"/>
  <c r="AY16" i="13"/>
  <c r="R18" i="4"/>
  <c r="AY17" i="4"/>
  <c r="H12" i="12"/>
  <c r="I12" i="12" s="1"/>
  <c r="A12" i="12"/>
  <c r="H11" i="12"/>
  <c r="I11" i="12" s="1"/>
  <c r="A11" i="12"/>
  <c r="MT6" i="7"/>
  <c r="H6" i="7"/>
  <c r="I6" i="7" s="1"/>
  <c r="CE6" i="7"/>
  <c r="N6" i="7" s="1"/>
  <c r="K6" i="7"/>
  <c r="M6" i="7"/>
  <c r="OP15" i="13"/>
  <c r="J15" i="13"/>
  <c r="F15" i="13"/>
  <c r="I15" i="13"/>
  <c r="R16" i="13"/>
  <c r="K7" i="13"/>
  <c r="O7" i="13" s="1"/>
  <c r="P7" i="13" s="1"/>
  <c r="J16" i="13"/>
  <c r="DK14" i="13"/>
  <c r="OP5" i="13"/>
  <c r="OS5" i="13" s="1"/>
  <c r="F17" i="4"/>
  <c r="AY18" i="4"/>
  <c r="OP18" i="4"/>
  <c r="J18" i="4"/>
  <c r="DJ18" i="4"/>
  <c r="L18" i="4"/>
  <c r="O18" i="4"/>
  <c r="P18" i="4" s="1"/>
  <c r="J13" i="14"/>
  <c r="F13" i="14"/>
  <c r="DK6" i="13"/>
  <c r="OP9" i="13"/>
  <c r="OK22" i="4"/>
  <c r="OP22" i="4" s="1"/>
  <c r="OK11" i="4"/>
  <c r="OP11" i="4" s="1"/>
  <c r="OK20" i="4"/>
  <c r="OP20" i="4" s="1"/>
  <c r="OK10" i="4"/>
  <c r="OP10" i="4" s="1"/>
  <c r="R12" i="14"/>
  <c r="CP6" i="14"/>
  <c r="CP14" i="14"/>
  <c r="DK18" i="13"/>
  <c r="AY7" i="13"/>
  <c r="CD10" i="6"/>
  <c r="CD7" i="7"/>
  <c r="NQ6" i="14"/>
  <c r="K13" i="14"/>
  <c r="M13" i="14" s="1"/>
  <c r="H12" i="14"/>
  <c r="I12" i="14" s="1"/>
  <c r="NN8" i="14"/>
  <c r="NQ8" i="14" s="1"/>
  <c r="NN12" i="14"/>
  <c r="NQ12" i="14" s="1"/>
  <c r="H12" i="13"/>
  <c r="I12" i="13" s="1"/>
  <c r="AY9" i="13"/>
  <c r="K9" i="13"/>
  <c r="O9" i="13" s="1"/>
  <c r="P9" i="13" s="1"/>
  <c r="OP12" i="13"/>
  <c r="K5" i="13"/>
  <c r="O5" i="13" s="1"/>
  <c r="P5" i="13" s="1"/>
  <c r="AY13" i="13"/>
  <c r="K13" i="13"/>
  <c r="M13" i="13" s="1"/>
  <c r="K18" i="13"/>
  <c r="DJ18" i="13" s="1"/>
  <c r="H14" i="13"/>
  <c r="I14" i="13" s="1"/>
  <c r="K14" i="13"/>
  <c r="K11" i="13"/>
  <c r="DJ11" i="13" s="1"/>
  <c r="K4" i="13"/>
  <c r="L4" i="13" s="1"/>
  <c r="K6" i="13"/>
  <c r="DJ6" i="13" s="1"/>
  <c r="OP8" i="13"/>
  <c r="K17" i="13"/>
  <c r="DJ17" i="13" s="1"/>
  <c r="K12" i="13"/>
  <c r="O12" i="13" s="1"/>
  <c r="P12" i="13" s="1"/>
  <c r="J9" i="13"/>
  <c r="K10" i="13"/>
  <c r="M10" i="13" s="1"/>
  <c r="OK15" i="4"/>
  <c r="OP15" i="4" s="1"/>
  <c r="OK21" i="4"/>
  <c r="OP21" i="4" s="1"/>
  <c r="MR14" i="12"/>
  <c r="MR4" i="12"/>
  <c r="J11" i="14"/>
  <c r="K8" i="14"/>
  <c r="O8" i="14" s="1"/>
  <c r="K5" i="14"/>
  <c r="M5" i="14" s="1"/>
  <c r="K10" i="14"/>
  <c r="CO10" i="14" s="1"/>
  <c r="H13" i="14"/>
  <c r="A13" i="14" s="1" a="1"/>
  <c r="A13" i="14" s="1"/>
  <c r="R13" i="14"/>
  <c r="R5" i="14"/>
  <c r="K4" i="14"/>
  <c r="CO4" i="14" s="1"/>
  <c r="H4" i="14"/>
  <c r="I4" i="14" s="1"/>
  <c r="NN9" i="14"/>
  <c r="NQ9" i="14" s="1"/>
  <c r="K7" i="14"/>
  <c r="CO7" i="14" s="1"/>
  <c r="NN7" i="14"/>
  <c r="NQ7" i="14" s="1"/>
  <c r="NN14" i="14"/>
  <c r="NQ14" i="14" s="1"/>
  <c r="NN13" i="14"/>
  <c r="NQ13" i="14" s="1"/>
  <c r="H7" i="14"/>
  <c r="A7" i="14" s="1" a="1"/>
  <c r="A7" i="14" s="1"/>
  <c r="J7" i="14"/>
  <c r="H9" i="14"/>
  <c r="R7" i="14"/>
  <c r="J9" i="14"/>
  <c r="CP4" i="14"/>
  <c r="K9" i="14"/>
  <c r="CO9" i="14" s="1"/>
  <c r="NN11" i="14"/>
  <c r="NQ11" i="14" s="1"/>
  <c r="AR12" i="14"/>
  <c r="J12" i="14"/>
  <c r="K12" i="14"/>
  <c r="J5" i="14"/>
  <c r="H6" i="14"/>
  <c r="I6" i="14" s="1"/>
  <c r="K14" i="14"/>
  <c r="L14" i="14" s="1"/>
  <c r="R11" i="14"/>
  <c r="H8" i="14"/>
  <c r="I8" i="14" s="1"/>
  <c r="H10" i="14"/>
  <c r="A10" i="14" s="1" a="1"/>
  <c r="A10" i="14" s="1"/>
  <c r="J4" i="14"/>
  <c r="J8" i="14"/>
  <c r="J6" i="14"/>
  <c r="I11" i="14"/>
  <c r="O11" i="14"/>
  <c r="H5" i="14"/>
  <c r="I5" i="14" s="1"/>
  <c r="CP8" i="14"/>
  <c r="J14" i="14"/>
  <c r="NN5" i="14"/>
  <c r="NQ5" i="14" s="1"/>
  <c r="H14" i="14"/>
  <c r="NQ4" i="14"/>
  <c r="J10" i="14"/>
  <c r="O14" i="14"/>
  <c r="CO5" i="14"/>
  <c r="L5" i="14"/>
  <c r="O5" i="14"/>
  <c r="L9" i="14"/>
  <c r="CO8" i="14"/>
  <c r="M8" i="14"/>
  <c r="L8" i="14"/>
  <c r="O10" i="14"/>
  <c r="M10" i="14"/>
  <c r="O6" i="14"/>
  <c r="CO6" i="14"/>
  <c r="M6" i="14"/>
  <c r="L6" i="14"/>
  <c r="O7" i="14"/>
  <c r="M7" i="14"/>
  <c r="L7" i="14"/>
  <c r="J10" i="13"/>
  <c r="J4" i="13"/>
  <c r="I4" i="13"/>
  <c r="I5" i="13"/>
  <c r="DK10" i="13"/>
  <c r="R9" i="13"/>
  <c r="AY6" i="13"/>
  <c r="J6" i="13"/>
  <c r="J12" i="13"/>
  <c r="OP4" i="13"/>
  <c r="OS4" i="13" s="1"/>
  <c r="H17" i="13"/>
  <c r="I17" i="13" s="1"/>
  <c r="J17" i="13"/>
  <c r="J7" i="13"/>
  <c r="OP10" i="13"/>
  <c r="H10" i="13"/>
  <c r="H6" i="13"/>
  <c r="I6" i="13" s="1"/>
  <c r="OP6" i="13"/>
  <c r="OP7" i="13"/>
  <c r="OP17" i="13"/>
  <c r="J5" i="13"/>
  <c r="H7" i="13"/>
  <c r="I7" i="13" s="1"/>
  <c r="DK13" i="13"/>
  <c r="OP13" i="13"/>
  <c r="OS13" i="13" s="1"/>
  <c r="O10" i="13"/>
  <c r="P10" i="13" s="1"/>
  <c r="H11" i="13"/>
  <c r="J8" i="13"/>
  <c r="AY8" i="13"/>
  <c r="H8" i="13"/>
  <c r="H13" i="13"/>
  <c r="DJ9" i="13"/>
  <c r="J18" i="13"/>
  <c r="J13" i="13"/>
  <c r="H18" i="13"/>
  <c r="I18" i="13" s="1"/>
  <c r="R17" i="13"/>
  <c r="DK17" i="13"/>
  <c r="AY14" i="13"/>
  <c r="J14" i="13"/>
  <c r="J11" i="13"/>
  <c r="DG20" i="4"/>
  <c r="OK12" i="4"/>
  <c r="OP12" i="4" s="1"/>
  <c r="OK14" i="4"/>
  <c r="OP14" i="4" s="1"/>
  <c r="OK6" i="4"/>
  <c r="OP6" i="4" s="1"/>
  <c r="OK19" i="4"/>
  <c r="OP19" i="4" s="1"/>
  <c r="OK13" i="4"/>
  <c r="OP13" i="4" s="1"/>
  <c r="OK4" i="4"/>
  <c r="OP4" i="4" s="1"/>
  <c r="OS4" i="4" s="1"/>
  <c r="OK16" i="4"/>
  <c r="OP16" i="4" s="1"/>
  <c r="OK24" i="4"/>
  <c r="OP24" i="4" s="1"/>
  <c r="OK7" i="4"/>
  <c r="OP7" i="4" s="1"/>
  <c r="OK9" i="4"/>
  <c r="OP9" i="4" s="1"/>
  <c r="OK23" i="4"/>
  <c r="OP23" i="4" s="1"/>
  <c r="OK8" i="4"/>
  <c r="OP8" i="4" s="1"/>
  <c r="OK5" i="4"/>
  <c r="OP5" i="4" s="1"/>
  <c r="OS5" i="4" s="1"/>
  <c r="MR6" i="8"/>
  <c r="MR5" i="8"/>
  <c r="MR4" i="8"/>
  <c r="MR8" i="7"/>
  <c r="MR7" i="7"/>
  <c r="MR5" i="7"/>
  <c r="MR4" i="7"/>
  <c r="MP4" i="7"/>
  <c r="CD9" i="6"/>
  <c r="MR17" i="6"/>
  <c r="MR16" i="6"/>
  <c r="MR11" i="6"/>
  <c r="MR14" i="6"/>
  <c r="MR13" i="6"/>
  <c r="MR10" i="6"/>
  <c r="MR5" i="6"/>
  <c r="MR9" i="6"/>
  <c r="MR8" i="6"/>
  <c r="MR7" i="6"/>
  <c r="MR6" i="6"/>
  <c r="MR4" i="6"/>
  <c r="MQ9" i="12"/>
  <c r="MQ6" i="12"/>
  <c r="MQ5" i="12"/>
  <c r="MR5" i="12"/>
  <c r="MP5" i="12"/>
  <c r="MQ14" i="12"/>
  <c r="MR9" i="12"/>
  <c r="MP9" i="12"/>
  <c r="MQ13" i="12"/>
  <c r="MR6" i="12"/>
  <c r="MP6" i="12"/>
  <c r="MQ10" i="12"/>
  <c r="MR8" i="12"/>
  <c r="MP8" i="12"/>
  <c r="MP14" i="12"/>
  <c r="MS13" i="12"/>
  <c r="MS14" i="12"/>
  <c r="MS5" i="12"/>
  <c r="MS9" i="12"/>
  <c r="MS6" i="12"/>
  <c r="MQ7" i="12"/>
  <c r="MR7" i="12"/>
  <c r="MP7" i="12"/>
  <c r="MS8" i="12"/>
  <c r="MQ8" i="12"/>
  <c r="MR10" i="12"/>
  <c r="MP10" i="12"/>
  <c r="MS7" i="12"/>
  <c r="MR13" i="12"/>
  <c r="MP13" i="12"/>
  <c r="MS10" i="12"/>
  <c r="CD5" i="12"/>
  <c r="CD6" i="12"/>
  <c r="CD7" i="12"/>
  <c r="CD13" i="12"/>
  <c r="CD6" i="6"/>
  <c r="CD14" i="6"/>
  <c r="CD7" i="6"/>
  <c r="CD16" i="6"/>
  <c r="CD8" i="6"/>
  <c r="CD11" i="6"/>
  <c r="CD17" i="6"/>
  <c r="CD4" i="6"/>
  <c r="CD6" i="8"/>
  <c r="CD4" i="8"/>
  <c r="CD5" i="8"/>
  <c r="CD5" i="7"/>
  <c r="CD10" i="12"/>
  <c r="CD14" i="12"/>
  <c r="CI11" i="9"/>
  <c r="CL11" i="9" s="1"/>
  <c r="CI9" i="9"/>
  <c r="CL9" i="9" s="1"/>
  <c r="CI6" i="9"/>
  <c r="CL6" i="9" s="1"/>
  <c r="CI5" i="9"/>
  <c r="CL5" i="9" s="1"/>
  <c r="CD4" i="12"/>
  <c r="CD9" i="12"/>
  <c r="CD8" i="12"/>
  <c r="CD5" i="6"/>
  <c r="CD13" i="6"/>
  <c r="CD4" i="7"/>
  <c r="CD8" i="7"/>
  <c r="CI8" i="9"/>
  <c r="CL8" i="9" s="1"/>
  <c r="CI4" i="9"/>
  <c r="CL4" i="9" s="1"/>
  <c r="CI10" i="9"/>
  <c r="CL10" i="9" s="1"/>
  <c r="DF4" i="4"/>
  <c r="DE4" i="4"/>
  <c r="AH5" i="6"/>
  <c r="AI5" i="6"/>
  <c r="AK5" i="6"/>
  <c r="BD5" i="6"/>
  <c r="BE5" i="6"/>
  <c r="BG5" i="6"/>
  <c r="LT5" i="6"/>
  <c r="LU5" i="6"/>
  <c r="LW5" i="6"/>
  <c r="AH5" i="8"/>
  <c r="AI5" i="8"/>
  <c r="AK5" i="8"/>
  <c r="BD5" i="8"/>
  <c r="BE5" i="8"/>
  <c r="BG5" i="8"/>
  <c r="LT5" i="8"/>
  <c r="LU5" i="8"/>
  <c r="LW5" i="8"/>
  <c r="AH6" i="8"/>
  <c r="AI6" i="8"/>
  <c r="AK6" i="8"/>
  <c r="BD6" i="8"/>
  <c r="BE6" i="8"/>
  <c r="BG6" i="8"/>
  <c r="LT6" i="8"/>
  <c r="LU6" i="8"/>
  <c r="LW6" i="8"/>
  <c r="AQ16" i="4"/>
  <c r="AU16" i="4"/>
  <c r="AW16" i="4"/>
  <c r="AX16" i="4"/>
  <c r="CA16" i="4"/>
  <c r="CB16" i="4"/>
  <c r="NI16" i="4"/>
  <c r="NJ16" i="4"/>
  <c r="NK16" i="4"/>
  <c r="NM16" i="4"/>
  <c r="NN16" i="4"/>
  <c r="L4" i="14" l="1"/>
  <c r="O9" i="14"/>
  <c r="O4" i="14"/>
  <c r="M4" i="14"/>
  <c r="L16" i="13"/>
  <c r="M17" i="4"/>
  <c r="OS6" i="4"/>
  <c r="O17" i="4"/>
  <c r="P17" i="4" s="1"/>
  <c r="L17" i="4"/>
  <c r="L11" i="14"/>
  <c r="CO11" i="14"/>
  <c r="L13" i="14"/>
  <c r="DJ16" i="13"/>
  <c r="OS6" i="13"/>
  <c r="OS23" i="4"/>
  <c r="CE15" i="6"/>
  <c r="L15" i="6"/>
  <c r="M15" i="6" s="1"/>
  <c r="DJ10" i="13"/>
  <c r="OS7" i="13"/>
  <c r="OS18" i="13"/>
  <c r="OS11" i="13"/>
  <c r="OS16" i="4"/>
  <c r="OS13" i="4"/>
  <c r="K12" i="12"/>
  <c r="E12" i="12" s="1"/>
  <c r="CE12" i="6"/>
  <c r="L12" i="6"/>
  <c r="M12" i="6" s="1"/>
  <c r="O16" i="13"/>
  <c r="O15" i="13"/>
  <c r="M15" i="13"/>
  <c r="L15" i="13"/>
  <c r="OS15" i="13"/>
  <c r="L9" i="13"/>
  <c r="M9" i="13"/>
  <c r="DH9" i="13" s="1"/>
  <c r="OS16" i="13"/>
  <c r="M11" i="13"/>
  <c r="DH11" i="13" s="1"/>
  <c r="L11" i="13"/>
  <c r="DJ7" i="13"/>
  <c r="M7" i="13"/>
  <c r="DH7" i="13" s="1"/>
  <c r="L7" i="13"/>
  <c r="M5" i="13"/>
  <c r="DH5" i="13" s="1"/>
  <c r="L6" i="13"/>
  <c r="M6" i="13"/>
  <c r="DH6" i="13" s="1"/>
  <c r="M4" i="13"/>
  <c r="DH4" i="13" s="1"/>
  <c r="DJ4" i="13"/>
  <c r="CO13" i="14"/>
  <c r="L10" i="13"/>
  <c r="OS17" i="13"/>
  <c r="I16" i="13"/>
  <c r="A18" i="4" a="1"/>
  <c r="A18" i="4" s="1"/>
  <c r="A17" i="4" a="1"/>
  <c r="A17" i="4" s="1"/>
  <c r="OS14" i="4"/>
  <c r="OS24" i="4"/>
  <c r="O13" i="13"/>
  <c r="P13" i="13" s="1"/>
  <c r="E6" i="7"/>
  <c r="O6" i="7"/>
  <c r="P6" i="7"/>
  <c r="N16" i="13"/>
  <c r="DH16" i="13"/>
  <c r="DJ13" i="13"/>
  <c r="M17" i="13"/>
  <c r="DH17" i="13" s="1"/>
  <c r="O4" i="13"/>
  <c r="L5" i="13"/>
  <c r="L13" i="13"/>
  <c r="N13" i="13" s="1"/>
  <c r="O11" i="13"/>
  <c r="P11" i="13" s="1"/>
  <c r="DI17" i="4"/>
  <c r="N17" i="4"/>
  <c r="DH17" i="4"/>
  <c r="DI18" i="4"/>
  <c r="N18" i="4"/>
  <c r="DH18" i="4"/>
  <c r="OS18" i="4"/>
  <c r="MT14" i="12"/>
  <c r="MT6" i="12"/>
  <c r="MT9" i="12"/>
  <c r="O13" i="14"/>
  <c r="CN13" i="14" s="1"/>
  <c r="M12" i="13"/>
  <c r="DH12" i="13" s="1"/>
  <c r="DJ5" i="13"/>
  <c r="O6" i="13"/>
  <c r="OS12" i="13"/>
  <c r="L10" i="14"/>
  <c r="M9" i="14"/>
  <c r="N9" i="14" s="1"/>
  <c r="OS17" i="4"/>
  <c r="OS21" i="4"/>
  <c r="MT10" i="12"/>
  <c r="G5" i="6"/>
  <c r="F5" i="6"/>
  <c r="M14" i="14"/>
  <c r="N14" i="14" s="1"/>
  <c r="CO14" i="14"/>
  <c r="OS8" i="13"/>
  <c r="OS9" i="13"/>
  <c r="OS10" i="13"/>
  <c r="O18" i="13"/>
  <c r="P18" i="13" s="1"/>
  <c r="M18" i="13"/>
  <c r="L18" i="13"/>
  <c r="DJ12" i="13"/>
  <c r="L12" i="13"/>
  <c r="L17" i="13"/>
  <c r="O17" i="13"/>
  <c r="OS14" i="13"/>
  <c r="OS7" i="4"/>
  <c r="OS8" i="4"/>
  <c r="OS9" i="4"/>
  <c r="OS10" i="4"/>
  <c r="OS11" i="4"/>
  <c r="OS15" i="4"/>
  <c r="OS12" i="4"/>
  <c r="OS19" i="4"/>
  <c r="OS22" i="4"/>
  <c r="OS20" i="4"/>
  <c r="I13" i="14"/>
  <c r="I10" i="14"/>
  <c r="I9" i="14"/>
  <c r="I7" i="14"/>
  <c r="N13" i="14"/>
  <c r="CM13" i="14"/>
  <c r="L12" i="14"/>
  <c r="M12" i="14"/>
  <c r="CO12" i="14"/>
  <c r="O12" i="14"/>
  <c r="CN11" i="14"/>
  <c r="P11" i="14"/>
  <c r="N11" i="14"/>
  <c r="CM11" i="14"/>
  <c r="I14" i="14"/>
  <c r="P4" i="14"/>
  <c r="CN4" i="14"/>
  <c r="N6" i="14"/>
  <c r="CM6" i="14"/>
  <c r="N8" i="14"/>
  <c r="CM8" i="14"/>
  <c r="P6" i="14"/>
  <c r="CN6" i="14"/>
  <c r="N10" i="14"/>
  <c r="CM10" i="14"/>
  <c r="P8" i="14"/>
  <c r="CN8" i="14"/>
  <c r="N7" i="14"/>
  <c r="CM7" i="14"/>
  <c r="CN7" i="14"/>
  <c r="P7" i="14"/>
  <c r="CM4" i="14"/>
  <c r="N4" i="14"/>
  <c r="CN14" i="14"/>
  <c r="P14" i="14"/>
  <c r="P10" i="14"/>
  <c r="CN10" i="14"/>
  <c r="N5" i="14"/>
  <c r="CM5" i="14"/>
  <c r="CN9" i="14"/>
  <c r="P9" i="14"/>
  <c r="CN5" i="14"/>
  <c r="P5" i="14"/>
  <c r="A12" i="13" a="1"/>
  <c r="A12" i="13" s="1"/>
  <c r="I10" i="13"/>
  <c r="DH13" i="13"/>
  <c r="DH10" i="13"/>
  <c r="N10" i="13"/>
  <c r="DI7" i="13"/>
  <c r="DI12" i="13"/>
  <c r="DI5" i="13"/>
  <c r="DI10" i="13"/>
  <c r="A18" i="13" a="1"/>
  <c r="A18" i="13" s="1"/>
  <c r="O14" i="13"/>
  <c r="P14" i="13" s="1"/>
  <c r="M14" i="13"/>
  <c r="L14" i="13"/>
  <c r="DJ14" i="13"/>
  <c r="I8" i="13"/>
  <c r="M8" i="13"/>
  <c r="L8" i="13"/>
  <c r="DJ8" i="13"/>
  <c r="O8" i="13"/>
  <c r="P8" i="13" s="1"/>
  <c r="I11" i="13"/>
  <c r="N4" i="13"/>
  <c r="DI9" i="13"/>
  <c r="I13" i="13"/>
  <c r="G16" i="4"/>
  <c r="F16" i="4" s="1"/>
  <c r="AV16" i="4"/>
  <c r="Q16" i="4"/>
  <c r="R16" i="4" s="1"/>
  <c r="DG4" i="4"/>
  <c r="MT5" i="12"/>
  <c r="MT13" i="12"/>
  <c r="MT8" i="12"/>
  <c r="MT7" i="12"/>
  <c r="BH5" i="6"/>
  <c r="F5" i="8"/>
  <c r="G6" i="8"/>
  <c r="J6" i="8"/>
  <c r="K6" i="8" s="1"/>
  <c r="L6" i="8"/>
  <c r="F6" i="8"/>
  <c r="L5" i="8"/>
  <c r="G5" i="8"/>
  <c r="J5" i="8"/>
  <c r="K5" i="8" s="1"/>
  <c r="LX5" i="6"/>
  <c r="LX6" i="8"/>
  <c r="MP17" i="6"/>
  <c r="AL5" i="6"/>
  <c r="BH6" i="8"/>
  <c r="BH5" i="8"/>
  <c r="MP6" i="8"/>
  <c r="MP5" i="8"/>
  <c r="MQ17" i="6"/>
  <c r="MS17" i="6"/>
  <c r="LX5" i="8"/>
  <c r="MQ6" i="8"/>
  <c r="MS6" i="8"/>
  <c r="AL5" i="8"/>
  <c r="MQ5" i="8"/>
  <c r="MS5" i="8"/>
  <c r="AL6" i="8"/>
  <c r="NL16" i="4"/>
  <c r="NO16" i="4" s="1"/>
  <c r="CC16" i="4"/>
  <c r="N15" i="13" l="1"/>
  <c r="DI4" i="13"/>
  <c r="P4" i="13"/>
  <c r="DI15" i="13"/>
  <c r="P15" i="13"/>
  <c r="DI16" i="13"/>
  <c r="S16" i="13" s="1"/>
  <c r="P16" i="13"/>
  <c r="DI17" i="13"/>
  <c r="P17" i="13"/>
  <c r="DI6" i="13"/>
  <c r="P6" i="13"/>
  <c r="CF15" i="6"/>
  <c r="N15" i="6" s="1"/>
  <c r="O15" i="6" s="1"/>
  <c r="N17" i="13"/>
  <c r="CF12" i="6"/>
  <c r="N12" i="6" s="1"/>
  <c r="O12" i="6" s="1"/>
  <c r="DH15" i="13"/>
  <c r="S15" i="13" s="1"/>
  <c r="T15" i="13" s="1"/>
  <c r="N9" i="13"/>
  <c r="N11" i="13"/>
  <c r="DI11" i="13"/>
  <c r="S11" i="13" s="1"/>
  <c r="T11" i="13" s="1"/>
  <c r="N7" i="13"/>
  <c r="N5" i="13"/>
  <c r="N6" i="13"/>
  <c r="H6" i="8"/>
  <c r="I6" i="8" s="1"/>
  <c r="P13" i="14"/>
  <c r="DI13" i="13"/>
  <c r="S13" i="13" s="1"/>
  <c r="N12" i="13"/>
  <c r="S17" i="4"/>
  <c r="S18" i="4"/>
  <c r="E18" i="4" s="1"/>
  <c r="H5" i="8"/>
  <c r="I5" i="8" s="1"/>
  <c r="CM14" i="14"/>
  <c r="S14" i="14" s="1"/>
  <c r="E14" i="14" s="1"/>
  <c r="CM9" i="14"/>
  <c r="S9" i="14" s="1"/>
  <c r="H5" i="6"/>
  <c r="I5" i="6" s="1"/>
  <c r="N18" i="13"/>
  <c r="DH18" i="13"/>
  <c r="DI18" i="13"/>
  <c r="DK16" i="4"/>
  <c r="K16" i="4"/>
  <c r="O16" i="4" s="1"/>
  <c r="P16" i="4" s="1"/>
  <c r="J16" i="4"/>
  <c r="A12" i="14" a="1"/>
  <c r="A12" i="14" s="1"/>
  <c r="A9" i="14" a="1"/>
  <c r="A9" i="14" s="1"/>
  <c r="S13" i="14"/>
  <c r="T13" i="14" s="1"/>
  <c r="CN12" i="14"/>
  <c r="P12" i="14"/>
  <c r="N12" i="14"/>
  <c r="CM12" i="14"/>
  <c r="S8" i="14"/>
  <c r="U8" i="14" s="1"/>
  <c r="S11" i="14"/>
  <c r="E11" i="14" s="1"/>
  <c r="S7" i="14"/>
  <c r="S4" i="14"/>
  <c r="E4" i="14" s="1"/>
  <c r="S5" i="14"/>
  <c r="S6" i="14"/>
  <c r="S10" i="14"/>
  <c r="S7" i="13"/>
  <c r="S6" i="13"/>
  <c r="S4" i="13"/>
  <c r="U4" i="13" s="1"/>
  <c r="S17" i="13"/>
  <c r="E17" i="13" s="1"/>
  <c r="N14" i="13"/>
  <c r="DH14" i="13"/>
  <c r="S9" i="13"/>
  <c r="DI14" i="13"/>
  <c r="S12" i="13"/>
  <c r="S5" i="13"/>
  <c r="S10" i="13"/>
  <c r="DI8" i="13"/>
  <c r="DH8" i="13"/>
  <c r="N8" i="13"/>
  <c r="H16" i="4"/>
  <c r="A16" i="4" s="1" a="1"/>
  <c r="A16" i="4" s="1"/>
  <c r="AY16" i="4"/>
  <c r="J5" i="6"/>
  <c r="K5" i="6" s="1"/>
  <c r="M5" i="8"/>
  <c r="M6" i="8"/>
  <c r="CF5" i="8"/>
  <c r="MT17" i="6"/>
  <c r="MT6" i="8"/>
  <c r="CE5" i="8"/>
  <c r="CF6" i="8"/>
  <c r="MT5" i="8"/>
  <c r="CE6" i="8"/>
  <c r="E15" i="6" l="1"/>
  <c r="P15" i="6"/>
  <c r="P12" i="6"/>
  <c r="E12" i="6"/>
  <c r="E13" i="13"/>
  <c r="E11" i="13"/>
  <c r="E7" i="13"/>
  <c r="E5" i="13"/>
  <c r="E6" i="13"/>
  <c r="E15" i="13"/>
  <c r="U15" i="13"/>
  <c r="T16" i="13"/>
  <c r="U16" i="13"/>
  <c r="E16" i="13"/>
  <c r="E12" i="13"/>
  <c r="T17" i="4"/>
  <c r="U17" i="4"/>
  <c r="E17" i="4"/>
  <c r="U18" i="4"/>
  <c r="T18" i="4"/>
  <c r="S18" i="13"/>
  <c r="U11" i="13"/>
  <c r="T8" i="14"/>
  <c r="U11" i="14"/>
  <c r="T14" i="14"/>
  <c r="E13" i="14"/>
  <c r="U13" i="14"/>
  <c r="E8" i="14"/>
  <c r="S12" i="14"/>
  <c r="T12" i="14" s="1"/>
  <c r="T11" i="14"/>
  <c r="U14" i="14"/>
  <c r="U10" i="14"/>
  <c r="T10" i="14"/>
  <c r="U6" i="14"/>
  <c r="T6" i="14"/>
  <c r="U5" i="14"/>
  <c r="T5" i="14"/>
  <c r="E10" i="14"/>
  <c r="U4" i="14"/>
  <c r="T4" i="14"/>
  <c r="E5" i="14"/>
  <c r="U7" i="14"/>
  <c r="T7" i="14"/>
  <c r="U9" i="14"/>
  <c r="T9" i="14"/>
  <c r="E6" i="14"/>
  <c r="E9" i="14"/>
  <c r="E7" i="14"/>
  <c r="T7" i="13"/>
  <c r="U7" i="13"/>
  <c r="U6" i="13"/>
  <c r="U13" i="13"/>
  <c r="T6" i="13"/>
  <c r="T4" i="13"/>
  <c r="U17" i="13"/>
  <c r="T17" i="13"/>
  <c r="E4" i="13"/>
  <c r="T13" i="13"/>
  <c r="T9" i="13"/>
  <c r="U9" i="13"/>
  <c r="S14" i="13"/>
  <c r="U10" i="13"/>
  <c r="T10" i="13"/>
  <c r="U5" i="13"/>
  <c r="T5" i="13"/>
  <c r="U12" i="13"/>
  <c r="T12" i="13"/>
  <c r="E9" i="13"/>
  <c r="S8" i="13"/>
  <c r="E10" i="13"/>
  <c r="I16" i="4"/>
  <c r="M16" i="4"/>
  <c r="L16" i="4"/>
  <c r="CE5" i="6"/>
  <c r="L5" i="6"/>
  <c r="M5" i="6" s="1"/>
  <c r="N5" i="8"/>
  <c r="E5" i="8" s="1"/>
  <c r="DJ16" i="4"/>
  <c r="N6" i="8"/>
  <c r="E6" i="8" s="1"/>
  <c r="N16" i="4" l="1"/>
  <c r="E18" i="13"/>
  <c r="U18" i="13"/>
  <c r="T18" i="13"/>
  <c r="E12" i="14"/>
  <c r="A4" i="14" s="1" a="1"/>
  <c r="A4" i="14" s="1"/>
  <c r="U12" i="14"/>
  <c r="U8" i="13"/>
  <c r="T8" i="13"/>
  <c r="U14" i="13"/>
  <c r="T14" i="13"/>
  <c r="E8" i="13"/>
  <c r="A11" i="13" s="1" a="1"/>
  <c r="A11" i="13" s="1"/>
  <c r="E14" i="13"/>
  <c r="A10" i="13" s="1" a="1"/>
  <c r="A10" i="13" s="1"/>
  <c r="DH16" i="4"/>
  <c r="DI16" i="4"/>
  <c r="CF5" i="6"/>
  <c r="N5" i="6" s="1"/>
  <c r="E5" i="6" s="1"/>
  <c r="P5" i="8"/>
  <c r="O5" i="8"/>
  <c r="O6" i="8"/>
  <c r="P6" i="8"/>
  <c r="A5" i="14" l="1" a="1"/>
  <c r="A5" i="14" s="1"/>
  <c r="A11" i="14" a="1"/>
  <c r="A11" i="14" s="1"/>
  <c r="A8" i="14" a="1"/>
  <c r="A8" i="14" s="1"/>
  <c r="A14" i="14" a="1"/>
  <c r="A14" i="14" s="1"/>
  <c r="A6" i="14" a="1"/>
  <c r="A6" i="14" s="1"/>
  <c r="A9" i="13" a="1"/>
  <c r="A9" i="13" s="1"/>
  <c r="A17" i="13" a="1"/>
  <c r="A17" i="13" s="1"/>
  <c r="A8" i="13" a="1"/>
  <c r="A8" i="13" s="1"/>
  <c r="A7" i="13" a="1"/>
  <c r="A7" i="13" s="1"/>
  <c r="A4" i="13" a="1"/>
  <c r="A4" i="13" s="1"/>
  <c r="A5" i="13" a="1"/>
  <c r="A5" i="13" s="1"/>
  <c r="A6" i="13" a="1"/>
  <c r="A6" i="13" s="1"/>
  <c r="A14" i="13" a="1"/>
  <c r="A14" i="13" s="1"/>
  <c r="A13" i="13" a="1"/>
  <c r="A13" i="13" s="1"/>
  <c r="S16" i="4"/>
  <c r="E16" i="4" s="1"/>
  <c r="P5" i="6"/>
  <c r="O5" i="6"/>
  <c r="C25" i="11" l="1"/>
  <c r="D23" i="11"/>
  <c r="C23" i="11"/>
  <c r="C24" i="11"/>
  <c r="D22" i="11"/>
  <c r="D25" i="11"/>
  <c r="D24" i="11"/>
  <c r="C22" i="11"/>
  <c r="C11" i="1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U16" i="4"/>
  <c r="T16" i="4"/>
  <c r="AH13" i="12"/>
  <c r="AI13" i="12"/>
  <c r="AK13" i="12"/>
  <c r="BD13" i="12"/>
  <c r="BE13" i="12"/>
  <c r="BG13" i="12"/>
  <c r="AH6" i="6"/>
  <c r="AI6" i="6"/>
  <c r="AK6" i="6"/>
  <c r="BD6" i="6"/>
  <c r="BE6" i="6"/>
  <c r="BG6" i="6"/>
  <c r="LT6" i="6"/>
  <c r="LU6" i="6"/>
  <c r="LW6" i="6"/>
  <c r="AH7" i="12"/>
  <c r="AI7" i="12"/>
  <c r="AK7" i="12"/>
  <c r="BD7" i="12"/>
  <c r="BE7" i="12"/>
  <c r="BG7" i="12"/>
  <c r="AQ14" i="4"/>
  <c r="AU14" i="4"/>
  <c r="AW14" i="4"/>
  <c r="AX14" i="4"/>
  <c r="CA14" i="4"/>
  <c r="CB14" i="4"/>
  <c r="NI14" i="4"/>
  <c r="NJ14" i="4"/>
  <c r="NK14" i="4"/>
  <c r="NM14" i="4"/>
  <c r="NN14" i="4"/>
  <c r="AQ8" i="4"/>
  <c r="AU8" i="4"/>
  <c r="AW8" i="4"/>
  <c r="AX8" i="4"/>
  <c r="CA8" i="4"/>
  <c r="CB8" i="4"/>
  <c r="NI8" i="4"/>
  <c r="NJ8" i="4"/>
  <c r="NK8" i="4"/>
  <c r="NM8" i="4"/>
  <c r="NN8" i="4"/>
  <c r="G6" i="6" l="1"/>
  <c r="F6" i="6"/>
  <c r="G14" i="4"/>
  <c r="F14" i="4" s="1"/>
  <c r="G13" i="12"/>
  <c r="F13" i="12"/>
  <c r="F7" i="12"/>
  <c r="G7" i="12"/>
  <c r="G8" i="4"/>
  <c r="F8" i="4" s="1"/>
  <c r="AV14" i="4"/>
  <c r="AV8" i="4"/>
  <c r="Q8" i="4"/>
  <c r="R8" i="4" s="1"/>
  <c r="Q14" i="4"/>
  <c r="R14" i="4" s="1"/>
  <c r="AL13" i="12"/>
  <c r="BH13" i="12"/>
  <c r="NL8" i="4"/>
  <c r="NO8" i="4" s="1"/>
  <c r="CC8" i="4"/>
  <c r="LX6" i="6"/>
  <c r="AL7" i="12"/>
  <c r="BH6" i="6"/>
  <c r="NL14" i="4"/>
  <c r="NO14" i="4" s="1"/>
  <c r="MS16" i="6"/>
  <c r="MQ16" i="6"/>
  <c r="AL6" i="6"/>
  <c r="MP16" i="6"/>
  <c r="BH7" i="12"/>
  <c r="CC14" i="4"/>
  <c r="H13" i="12" l="1"/>
  <c r="I13" i="12" s="1"/>
  <c r="H8" i="4"/>
  <c r="I8" i="4" s="1"/>
  <c r="H7" i="12"/>
  <c r="I7" i="12" s="1"/>
  <c r="H6" i="6"/>
  <c r="I6" i="6" s="1"/>
  <c r="K14" i="4"/>
  <c r="O14" i="4" s="1"/>
  <c r="P14" i="4" s="1"/>
  <c r="J14" i="4"/>
  <c r="K8" i="4"/>
  <c r="O8" i="4" s="1"/>
  <c r="P8" i="4" s="1"/>
  <c r="J8" i="4"/>
  <c r="H14" i="4"/>
  <c r="DK14" i="4"/>
  <c r="AY14" i="4"/>
  <c r="AY8" i="4"/>
  <c r="J6" i="6"/>
  <c r="J7" i="12"/>
  <c r="J13" i="12"/>
  <c r="CE13" i="12" s="1"/>
  <c r="MT16" i="6"/>
  <c r="DK8" i="4"/>
  <c r="M8" i="4" l="1"/>
  <c r="DJ14" i="4"/>
  <c r="I14" i="4"/>
  <c r="L8" i="4"/>
  <c r="M14" i="4"/>
  <c r="L14" i="4"/>
  <c r="K6" i="6"/>
  <c r="L6" i="6"/>
  <c r="M6" i="6" s="1"/>
  <c r="L13" i="12"/>
  <c r="M13" i="12" s="1"/>
  <c r="K13" i="12"/>
  <c r="K7" i="12"/>
  <c r="L7" i="12"/>
  <c r="M7" i="12" s="1"/>
  <c r="CE7" i="12"/>
  <c r="CE6" i="6"/>
  <c r="DJ8" i="4"/>
  <c r="N14" i="4" l="1"/>
  <c r="N8" i="4"/>
  <c r="DH14" i="4"/>
  <c r="DH8" i="4"/>
  <c r="DI8" i="4"/>
  <c r="DI14" i="4"/>
  <c r="CF7" i="12"/>
  <c r="N7" i="12" s="1"/>
  <c r="E7" i="12" s="1"/>
  <c r="CF13" i="12"/>
  <c r="N13" i="12" s="1"/>
  <c r="O13" i="12" s="1"/>
  <c r="CF6" i="6"/>
  <c r="N6" i="6" s="1"/>
  <c r="O6" i="6" s="1"/>
  <c r="S14" i="4" l="1"/>
  <c r="T14" i="4" s="1"/>
  <c r="S8" i="4"/>
  <c r="E8" i="4" s="1"/>
  <c r="P13" i="12"/>
  <c r="E13" i="12"/>
  <c r="E6" i="6"/>
  <c r="P6" i="6"/>
  <c r="P7" i="12"/>
  <c r="O7" i="12"/>
  <c r="E14" i="4" l="1"/>
  <c r="U14" i="4"/>
  <c r="U8" i="4"/>
  <c r="T8" i="4"/>
  <c r="AL5" i="9" l="1"/>
  <c r="AM5" i="9"/>
  <c r="AN5" i="9"/>
  <c r="AP5" i="9"/>
  <c r="AQ5" i="9"/>
  <c r="BI5" i="9"/>
  <c r="BJ5" i="9"/>
  <c r="BK5" i="9"/>
  <c r="BM5" i="9"/>
  <c r="BN5" i="9"/>
  <c r="MN5" i="9"/>
  <c r="MO5" i="9"/>
  <c r="MP5" i="9"/>
  <c r="MR5" i="9"/>
  <c r="MS5" i="9"/>
  <c r="H5" i="9" l="1"/>
  <c r="G5" i="9"/>
  <c r="F5" i="9" s="1"/>
  <c r="Q5" i="9"/>
  <c r="R5" i="9" s="1"/>
  <c r="AO5" i="9"/>
  <c r="MQ5" i="9"/>
  <c r="MT5" i="9" s="1"/>
  <c r="BL5" i="9"/>
  <c r="I5" i="9" l="1"/>
  <c r="J5" i="9"/>
  <c r="K5" i="9"/>
  <c r="L5" i="9" s="1"/>
  <c r="AR5" i="9"/>
  <c r="CP5" i="9"/>
  <c r="BO5" i="9"/>
  <c r="CO5" i="9"/>
  <c r="O5" i="9" l="1"/>
  <c r="P5" i="9" s="1"/>
  <c r="M5" i="9"/>
  <c r="N5" i="9" s="1"/>
  <c r="AI4" i="7"/>
  <c r="AK4" i="7"/>
  <c r="BE4" i="7"/>
  <c r="BG4" i="7"/>
  <c r="LT4" i="7"/>
  <c r="LU4" i="7"/>
  <c r="LW4" i="7"/>
  <c r="G4" i="7" l="1"/>
  <c r="F4" i="7"/>
  <c r="CN5" i="9"/>
  <c r="L4" i="7"/>
  <c r="CF4" i="7" s="1"/>
  <c r="J4" i="7"/>
  <c r="K4" i="7" s="1"/>
  <c r="CM5" i="9"/>
  <c r="LX4" i="7"/>
  <c r="BH4" i="7"/>
  <c r="AL4" i="7"/>
  <c r="H4" i="7" l="1"/>
  <c r="I4" i="7" s="1"/>
  <c r="S5" i="9"/>
  <c r="E5" i="9" s="1"/>
  <c r="CE4" i="7"/>
  <c r="N4" i="7" s="1"/>
  <c r="P4" i="7" s="1"/>
  <c r="M4" i="7"/>
  <c r="T5" i="9" l="1"/>
  <c r="U5" i="9"/>
  <c r="E4" i="7"/>
  <c r="O4" i="7"/>
  <c r="AQ24" i="4" l="1"/>
  <c r="AU24" i="4"/>
  <c r="AW24" i="4"/>
  <c r="AX24" i="4"/>
  <c r="CA24" i="4"/>
  <c r="CB24" i="4"/>
  <c r="NI24" i="4"/>
  <c r="NJ24" i="4"/>
  <c r="NK24" i="4"/>
  <c r="NM24" i="4"/>
  <c r="NN24" i="4"/>
  <c r="G24" i="4" l="1"/>
  <c r="F24" i="4" s="1"/>
  <c r="H24" i="4"/>
  <c r="AV24" i="4"/>
  <c r="Q24" i="4"/>
  <c r="R24" i="4" s="1"/>
  <c r="NL24" i="4"/>
  <c r="NO24" i="4" s="1"/>
  <c r="CC24" i="4"/>
  <c r="AK14" i="12"/>
  <c r="AI14" i="12"/>
  <c r="AH14" i="12"/>
  <c r="AK10" i="12"/>
  <c r="AI10" i="12"/>
  <c r="AH10" i="12"/>
  <c r="AK4" i="12"/>
  <c r="AI4" i="12"/>
  <c r="AH4" i="12"/>
  <c r="AK8" i="12"/>
  <c r="AI8" i="12"/>
  <c r="AH8" i="12"/>
  <c r="AK9" i="12"/>
  <c r="AI9" i="12"/>
  <c r="AH9" i="12"/>
  <c r="AK6" i="12"/>
  <c r="AI6" i="12"/>
  <c r="AH6" i="12"/>
  <c r="AK5" i="12"/>
  <c r="AI5" i="12"/>
  <c r="AH5" i="12"/>
  <c r="AK8" i="6"/>
  <c r="AI8" i="6"/>
  <c r="AH8" i="6"/>
  <c r="AK10" i="6"/>
  <c r="AI10" i="6"/>
  <c r="AH10" i="6"/>
  <c r="AK11" i="6"/>
  <c r="AI11" i="6"/>
  <c r="AH11" i="6"/>
  <c r="AK17" i="6"/>
  <c r="AI17" i="6"/>
  <c r="AH17" i="6"/>
  <c r="AK9" i="6"/>
  <c r="AI9" i="6"/>
  <c r="AH9" i="6"/>
  <c r="AK7" i="6"/>
  <c r="AI7" i="6"/>
  <c r="AH7" i="6"/>
  <c r="AK16" i="6"/>
  <c r="AI16" i="6"/>
  <c r="AH16" i="6"/>
  <c r="AK13" i="6"/>
  <c r="AI13" i="6"/>
  <c r="AH13" i="6"/>
  <c r="AK4" i="6"/>
  <c r="AI4" i="6"/>
  <c r="AH4" i="6"/>
  <c r="AK14" i="6"/>
  <c r="AI14" i="6"/>
  <c r="AH14" i="6"/>
  <c r="AK4" i="8"/>
  <c r="AI4" i="8"/>
  <c r="AK8" i="7"/>
  <c r="AI8" i="7"/>
  <c r="AH8" i="7"/>
  <c r="AK7" i="7"/>
  <c r="AI7" i="7"/>
  <c r="AH7" i="7"/>
  <c r="AK5" i="7"/>
  <c r="AI5" i="7"/>
  <c r="AH5" i="7"/>
  <c r="AQ10" i="9"/>
  <c r="AP10" i="9"/>
  <c r="AN10" i="9"/>
  <c r="AM10" i="9"/>
  <c r="AL10" i="9"/>
  <c r="AQ11" i="9"/>
  <c r="AP11" i="9"/>
  <c r="AN11" i="9"/>
  <c r="AM11" i="9"/>
  <c r="AL11" i="9"/>
  <c r="AQ8" i="9"/>
  <c r="AP8" i="9"/>
  <c r="AN8" i="9"/>
  <c r="AM8" i="9"/>
  <c r="AL8" i="9"/>
  <c r="AQ7" i="9"/>
  <c r="AP7" i="9"/>
  <c r="AN7" i="9"/>
  <c r="AM7" i="9"/>
  <c r="AL7" i="9"/>
  <c r="AQ6" i="9"/>
  <c r="AP6" i="9"/>
  <c r="AN6" i="9"/>
  <c r="AM6" i="9"/>
  <c r="AL6" i="9"/>
  <c r="AQ9" i="9"/>
  <c r="AP9" i="9"/>
  <c r="AN9" i="9"/>
  <c r="AM9" i="9"/>
  <c r="AL9" i="9"/>
  <c r="AQ4" i="9"/>
  <c r="AP4" i="9"/>
  <c r="AN4" i="9"/>
  <c r="AM4" i="9"/>
  <c r="AL4" i="9"/>
  <c r="AX13" i="4"/>
  <c r="AW13" i="4"/>
  <c r="AU13" i="4"/>
  <c r="AQ13" i="4"/>
  <c r="AX23" i="4"/>
  <c r="AW23" i="4"/>
  <c r="AU23" i="4"/>
  <c r="AQ23" i="4"/>
  <c r="AX21" i="4"/>
  <c r="AW21" i="4"/>
  <c r="AU21" i="4"/>
  <c r="AQ21" i="4"/>
  <c r="AX22" i="4"/>
  <c r="AW22" i="4"/>
  <c r="AU22" i="4"/>
  <c r="AQ22" i="4"/>
  <c r="AX10" i="4"/>
  <c r="AW10" i="4"/>
  <c r="AU10" i="4"/>
  <c r="AQ10" i="4"/>
  <c r="AX19" i="4"/>
  <c r="AW19" i="4"/>
  <c r="AU19" i="4"/>
  <c r="AQ19" i="4"/>
  <c r="AX20" i="4"/>
  <c r="AW20" i="4"/>
  <c r="AU20" i="4"/>
  <c r="AQ20" i="4"/>
  <c r="AX15" i="4"/>
  <c r="AW15" i="4"/>
  <c r="AU15" i="4"/>
  <c r="AQ15" i="4"/>
  <c r="AX12" i="4"/>
  <c r="AW12" i="4"/>
  <c r="AU12" i="4"/>
  <c r="AQ12" i="4"/>
  <c r="AX6" i="4"/>
  <c r="AW6" i="4"/>
  <c r="AU6" i="4"/>
  <c r="AQ6" i="4"/>
  <c r="AX11" i="4"/>
  <c r="AW11" i="4"/>
  <c r="AU11" i="4"/>
  <c r="AQ11" i="4"/>
  <c r="AX9" i="4"/>
  <c r="AW9" i="4"/>
  <c r="AU9" i="4"/>
  <c r="AQ9" i="4"/>
  <c r="AX7" i="4"/>
  <c r="AW7" i="4"/>
  <c r="AU7" i="4"/>
  <c r="AQ7" i="4"/>
  <c r="AX5" i="4"/>
  <c r="AW5" i="4"/>
  <c r="AU5" i="4"/>
  <c r="AQ5" i="4"/>
  <c r="AX4" i="4"/>
  <c r="AW4" i="4"/>
  <c r="AQ4" i="4"/>
  <c r="AV4" i="4" s="1"/>
  <c r="K4" i="4" l="1"/>
  <c r="O4" i="4" s="1"/>
  <c r="P4" i="4" s="1"/>
  <c r="K24" i="4"/>
  <c r="O24" i="4" s="1"/>
  <c r="P24" i="4" s="1"/>
  <c r="J24" i="4"/>
  <c r="A24" i="4" a="1"/>
  <c r="A24" i="4" s="1"/>
  <c r="I24" i="4"/>
  <c r="AV5" i="4"/>
  <c r="AV9" i="4"/>
  <c r="K9" i="4" s="1"/>
  <c r="AV6" i="4"/>
  <c r="AV15" i="4"/>
  <c r="AV19" i="4"/>
  <c r="AV22" i="4"/>
  <c r="AV23" i="4"/>
  <c r="AV7" i="4"/>
  <c r="AV11" i="4"/>
  <c r="AV12" i="4"/>
  <c r="AV20" i="4"/>
  <c r="AV10" i="4"/>
  <c r="AV21" i="4"/>
  <c r="AV13" i="4"/>
  <c r="DK24" i="4"/>
  <c r="AY24" i="4"/>
  <c r="AO9" i="9"/>
  <c r="AL5" i="7"/>
  <c r="AL7" i="7"/>
  <c r="AL4" i="6"/>
  <c r="AL16" i="6"/>
  <c r="AL13" i="6"/>
  <c r="AL7" i="6"/>
  <c r="AL17" i="6"/>
  <c r="AO4" i="9"/>
  <c r="AL6" i="12"/>
  <c r="AL9" i="12"/>
  <c r="AL4" i="12"/>
  <c r="AL14" i="12"/>
  <c r="AL4" i="8"/>
  <c r="AO10" i="9"/>
  <c r="AL8" i="12"/>
  <c r="AL10" i="12"/>
  <c r="AL5" i="12"/>
  <c r="AL14" i="6"/>
  <c r="AL9" i="6"/>
  <c r="AL11" i="6"/>
  <c r="AL8" i="6"/>
  <c r="AL10" i="6"/>
  <c r="AL8" i="7"/>
  <c r="AO8" i="9"/>
  <c r="AO7" i="9"/>
  <c r="AO6" i="9"/>
  <c r="AO11" i="9"/>
  <c r="K23" i="4" l="1"/>
  <c r="O23" i="4" s="1"/>
  <c r="P23" i="4" s="1"/>
  <c r="K22" i="4"/>
  <c r="O22" i="4" s="1"/>
  <c r="P22" i="4" s="1"/>
  <c r="K19" i="4"/>
  <c r="O19" i="4" s="1"/>
  <c r="P19" i="4" s="1"/>
  <c r="K10" i="4"/>
  <c r="O10" i="4" s="1"/>
  <c r="P10" i="4" s="1"/>
  <c r="K15" i="4"/>
  <c r="O15" i="4" s="1"/>
  <c r="P15" i="4" s="1"/>
  <c r="K20" i="4"/>
  <c r="O20" i="4" s="1"/>
  <c r="P20" i="4" s="1"/>
  <c r="K6" i="4"/>
  <c r="O6" i="4" s="1"/>
  <c r="P6" i="4" s="1"/>
  <c r="K7" i="4"/>
  <c r="O7" i="4" s="1"/>
  <c r="P7" i="4" s="1"/>
  <c r="K13" i="4"/>
  <c r="O13" i="4" s="1"/>
  <c r="P13" i="4" s="1"/>
  <c r="K21" i="4"/>
  <c r="O21" i="4" s="1"/>
  <c r="P21" i="4" s="1"/>
  <c r="K12" i="4"/>
  <c r="O12" i="4" s="1"/>
  <c r="P12" i="4" s="1"/>
  <c r="K11" i="4"/>
  <c r="O11" i="4" s="1"/>
  <c r="P11" i="4" s="1"/>
  <c r="K5" i="4"/>
  <c r="O5" i="4" s="1"/>
  <c r="P5" i="4" s="1"/>
  <c r="O9" i="4"/>
  <c r="P9" i="4" s="1"/>
  <c r="M4" i="4"/>
  <c r="AY5" i="4"/>
  <c r="AY20" i="4"/>
  <c r="L24" i="4"/>
  <c r="M24" i="4"/>
  <c r="AY13" i="4"/>
  <c r="AY23" i="4"/>
  <c r="AY15" i="4"/>
  <c r="AY6" i="4"/>
  <c r="AY10" i="4"/>
  <c r="AY12" i="4"/>
  <c r="AY9" i="4"/>
  <c r="AY4" i="4"/>
  <c r="AY19" i="4"/>
  <c r="AY21" i="4"/>
  <c r="AY7" i="4"/>
  <c r="AY22" i="4"/>
  <c r="AY11" i="4"/>
  <c r="AR10" i="9"/>
  <c r="AR11" i="9"/>
  <c r="AR7" i="9"/>
  <c r="AR4" i="9"/>
  <c r="AR9" i="9"/>
  <c r="AR6" i="9"/>
  <c r="AR8" i="9"/>
  <c r="DJ24" i="4"/>
  <c r="NO4" i="9"/>
  <c r="NO5" i="9"/>
  <c r="NO6" i="9"/>
  <c r="NO7" i="9"/>
  <c r="NO8" i="9"/>
  <c r="NO9" i="9"/>
  <c r="NO10" i="9"/>
  <c r="NO11" i="9"/>
  <c r="N24" i="4" l="1"/>
  <c r="DH24" i="4"/>
  <c r="DI24" i="4"/>
  <c r="MR10" i="9"/>
  <c r="MR11" i="9"/>
  <c r="MR8" i="9"/>
  <c r="MR7" i="9"/>
  <c r="MR6" i="9"/>
  <c r="MR9" i="9"/>
  <c r="MR4" i="9"/>
  <c r="BM10" i="9"/>
  <c r="BM11" i="9"/>
  <c r="BM8" i="9"/>
  <c r="BM7" i="9"/>
  <c r="BM6" i="9"/>
  <c r="BM9" i="9"/>
  <c r="BM4" i="9"/>
  <c r="NM13" i="4"/>
  <c r="NM23" i="4"/>
  <c r="NM21" i="4"/>
  <c r="NM22" i="4"/>
  <c r="NM10" i="4"/>
  <c r="NM19" i="4"/>
  <c r="NM20" i="4"/>
  <c r="NM15" i="4"/>
  <c r="NM11" i="4"/>
  <c r="NM12" i="4"/>
  <c r="NM6" i="4"/>
  <c r="NM9" i="4"/>
  <c r="NM7" i="4"/>
  <c r="NM5" i="4"/>
  <c r="NM4" i="4"/>
  <c r="CA13" i="4"/>
  <c r="CA23" i="4"/>
  <c r="CA21" i="4"/>
  <c r="CA22" i="4"/>
  <c r="CA10" i="4"/>
  <c r="CA19" i="4"/>
  <c r="CA20" i="4"/>
  <c r="CA15" i="4"/>
  <c r="CA11" i="4"/>
  <c r="CA12" i="4"/>
  <c r="CA6" i="4"/>
  <c r="CA9" i="4"/>
  <c r="CA7" i="4"/>
  <c r="CA5" i="4"/>
  <c r="CA4" i="4"/>
  <c r="S24" i="4" l="1"/>
  <c r="E24" i="4" s="1"/>
  <c r="BI7" i="9"/>
  <c r="BJ7" i="9"/>
  <c r="BK7" i="9"/>
  <c r="BN7" i="9"/>
  <c r="Q7" i="9" s="1"/>
  <c r="R7" i="9" s="1"/>
  <c r="MN7" i="9"/>
  <c r="MO7" i="9"/>
  <c r="MP7" i="9"/>
  <c r="MS7" i="9"/>
  <c r="BI6" i="9"/>
  <c r="BJ6" i="9"/>
  <c r="BK6" i="9"/>
  <c r="BN6" i="9"/>
  <c r="Q6" i="9" s="1"/>
  <c r="R6" i="9" s="1"/>
  <c r="MN6" i="9"/>
  <c r="MO6" i="9"/>
  <c r="MP6" i="9"/>
  <c r="MS6" i="9"/>
  <c r="G6" i="9" l="1"/>
  <c r="F6" i="9" s="1"/>
  <c r="H7" i="9"/>
  <c r="H6" i="9"/>
  <c r="G7" i="9"/>
  <c r="U24" i="4"/>
  <c r="T24" i="4"/>
  <c r="MQ7" i="9"/>
  <c r="MT7" i="9" s="1"/>
  <c r="MQ6" i="9"/>
  <c r="MT6" i="9" s="1"/>
  <c r="BL7" i="9"/>
  <c r="CP7" i="9"/>
  <c r="CP6" i="9"/>
  <c r="BL6" i="9"/>
  <c r="I6" i="9" l="1"/>
  <c r="A7" i="9" a="1"/>
  <c r="A7" i="9" s="1"/>
  <c r="F7" i="9"/>
  <c r="K7" i="9"/>
  <c r="L7" i="9" s="1"/>
  <c r="J7" i="9"/>
  <c r="K6" i="9"/>
  <c r="L6" i="9" s="1"/>
  <c r="J6" i="9"/>
  <c r="A6" i="9" a="1"/>
  <c r="A6" i="9" s="1"/>
  <c r="I7" i="9"/>
  <c r="BO7" i="9"/>
  <c r="BO6" i="9"/>
  <c r="BD14" i="12"/>
  <c r="BE14" i="12"/>
  <c r="G14" i="12" s="1"/>
  <c r="BG14" i="12"/>
  <c r="F14" i="12" l="1"/>
  <c r="O7" i="9"/>
  <c r="CN7" i="9" s="1"/>
  <c r="M7" i="9"/>
  <c r="CM7" i="9" s="1"/>
  <c r="O6" i="9"/>
  <c r="M6" i="9"/>
  <c r="N6" i="9" s="1"/>
  <c r="CO7" i="9"/>
  <c r="CO6" i="9"/>
  <c r="BH14" i="12"/>
  <c r="J14" i="12" s="1"/>
  <c r="CB13" i="4"/>
  <c r="NI13" i="4"/>
  <c r="G13" i="4" s="1"/>
  <c r="F13" i="4" s="1"/>
  <c r="NJ13" i="4"/>
  <c r="NK13" i="4"/>
  <c r="NN13" i="4"/>
  <c r="H14" i="12" l="1"/>
  <c r="I14" i="12" s="1"/>
  <c r="Q13" i="4"/>
  <c r="R13" i="4" s="1"/>
  <c r="H13" i="4"/>
  <c r="I13" i="4" s="1"/>
  <c r="K14" i="12"/>
  <c r="L14" i="12"/>
  <c r="M14" i="12" s="1"/>
  <c r="P6" i="9"/>
  <c r="P7" i="9"/>
  <c r="CM6" i="9"/>
  <c r="N7" i="9"/>
  <c r="S7" i="9"/>
  <c r="U7" i="9" s="1"/>
  <c r="CN6" i="9"/>
  <c r="NL13" i="4"/>
  <c r="N14" i="12"/>
  <c r="NO13" i="4" l="1"/>
  <c r="J13" i="4"/>
  <c r="A13" i="4" a="1"/>
  <c r="A13" i="4" s="1"/>
  <c r="S6" i="9"/>
  <c r="U6" i="9" s="1"/>
  <c r="T7" i="9"/>
  <c r="E7" i="9"/>
  <c r="DK13" i="4"/>
  <c r="E14" i="12"/>
  <c r="O14" i="12"/>
  <c r="P14" i="12"/>
  <c r="CC13" i="4"/>
  <c r="NK5" i="9"/>
  <c r="NK6" i="9"/>
  <c r="NK7" i="9"/>
  <c r="NK8" i="9"/>
  <c r="NK9" i="9"/>
  <c r="NK10" i="9"/>
  <c r="NK11" i="9"/>
  <c r="NK4" i="9"/>
  <c r="M13" i="4" l="1"/>
  <c r="L13" i="4"/>
  <c r="E6" i="9"/>
  <c r="T6" i="9"/>
  <c r="DJ13" i="4"/>
  <c r="MP11" i="6"/>
  <c r="MP7" i="6"/>
  <c r="MP6" i="6"/>
  <c r="MP4" i="8"/>
  <c r="MP7" i="7"/>
  <c r="NP7" i="9"/>
  <c r="NL5" i="9"/>
  <c r="MQ4" i="12"/>
  <c r="MS4" i="12"/>
  <c r="MS9" i="6"/>
  <c r="MP10" i="6"/>
  <c r="MP5" i="6"/>
  <c r="MP9" i="6"/>
  <c r="MQ11" i="6"/>
  <c r="MS10" i="6"/>
  <c r="MQ10" i="6"/>
  <c r="MP8" i="6"/>
  <c r="MS7" i="6"/>
  <c r="MS6" i="6"/>
  <c r="MP4" i="6"/>
  <c r="MP14" i="6"/>
  <c r="MP13" i="6"/>
  <c r="MS13" i="6"/>
  <c r="MQ13" i="6"/>
  <c r="MS8" i="6"/>
  <c r="MQ8" i="6"/>
  <c r="MQ7" i="6"/>
  <c r="MQ4" i="6"/>
  <c r="MQ6" i="6"/>
  <c r="MS4" i="6"/>
  <c r="MS11" i="6"/>
  <c r="MS14" i="6"/>
  <c r="MS5" i="6"/>
  <c r="MQ9" i="6"/>
  <c r="MQ4" i="8"/>
  <c r="MS4" i="8"/>
  <c r="MS8" i="7"/>
  <c r="MQ8" i="7"/>
  <c r="MQ7" i="7"/>
  <c r="MQ5" i="7"/>
  <c r="MQ4" i="7"/>
  <c r="MP5" i="7"/>
  <c r="MS5" i="7"/>
  <c r="MP8" i="7"/>
  <c r="MS7" i="7"/>
  <c r="MS4" i="7"/>
  <c r="NM5" i="9"/>
  <c r="NM11" i="9"/>
  <c r="NM10" i="9"/>
  <c r="NL7" i="9"/>
  <c r="NL6" i="9"/>
  <c r="NL10" i="9"/>
  <c r="NL11" i="9"/>
  <c r="NM4" i="9"/>
  <c r="NM7" i="9"/>
  <c r="NM8" i="9"/>
  <c r="NP4" i="9"/>
  <c r="NP8" i="9"/>
  <c r="NP6" i="9"/>
  <c r="NL9" i="9"/>
  <c r="NL8" i="9"/>
  <c r="NM6" i="9"/>
  <c r="NP10" i="9"/>
  <c r="NM9" i="9"/>
  <c r="NL4" i="9"/>
  <c r="NP11" i="9"/>
  <c r="NP9" i="9"/>
  <c r="NP5" i="9"/>
  <c r="MP4" i="12"/>
  <c r="MQ5" i="6"/>
  <c r="MQ14" i="6"/>
  <c r="N13" i="4" l="1"/>
  <c r="DI13" i="4"/>
  <c r="DH13" i="4"/>
  <c r="MT8" i="7"/>
  <c r="MT8" i="6"/>
  <c r="NN6" i="9"/>
  <c r="NQ6" i="9" s="1"/>
  <c r="NN5" i="9"/>
  <c r="NQ5" i="9" s="1"/>
  <c r="NN8" i="9"/>
  <c r="NQ8" i="9" s="1"/>
  <c r="MT11" i="6"/>
  <c r="MT6" i="6"/>
  <c r="MT4" i="12"/>
  <c r="MT7" i="6"/>
  <c r="MT13" i="6"/>
  <c r="MT4" i="7"/>
  <c r="MT5" i="7"/>
  <c r="MT7" i="7"/>
  <c r="MT10" i="6"/>
  <c r="MT9" i="6"/>
  <c r="MT4" i="8"/>
  <c r="NN4" i="9"/>
  <c r="NQ4" i="9" s="1"/>
  <c r="NN10" i="9"/>
  <c r="NQ10" i="9" s="1"/>
  <c r="NN9" i="9"/>
  <c r="NQ9" i="9" s="1"/>
  <c r="NN11" i="9"/>
  <c r="NQ11" i="9" s="1"/>
  <c r="MT4" i="6"/>
  <c r="MT14" i="6"/>
  <c r="MT5" i="6"/>
  <c r="NN7" i="9"/>
  <c r="NQ7" i="9" s="1"/>
  <c r="LT11" i="6"/>
  <c r="LT8" i="6"/>
  <c r="LT10" i="6"/>
  <c r="LT9" i="6"/>
  <c r="LT7" i="6"/>
  <c r="LT13" i="6"/>
  <c r="LT17" i="6"/>
  <c r="LT16" i="6"/>
  <c r="LT4" i="6"/>
  <c r="LT14" i="6"/>
  <c r="S13" i="4" l="1"/>
  <c r="E13" i="4" s="1"/>
  <c r="LT4" i="12"/>
  <c r="BD6" i="12"/>
  <c r="BD8" i="12"/>
  <c r="BD5" i="12"/>
  <c r="BD10" i="12"/>
  <c r="BD4" i="12"/>
  <c r="BD9" i="12"/>
  <c r="BD11" i="6"/>
  <c r="BD8" i="6"/>
  <c r="BD10" i="6"/>
  <c r="BD9" i="6"/>
  <c r="BD7" i="6"/>
  <c r="BD13" i="6"/>
  <c r="BD17" i="6"/>
  <c r="BD16" i="6"/>
  <c r="BD4" i="6"/>
  <c r="BD14" i="6"/>
  <c r="U13" i="4" l="1"/>
  <c r="T13" i="4"/>
  <c r="LU4" i="8"/>
  <c r="BE4" i="8"/>
  <c r="G4" i="8" s="1"/>
  <c r="LU8" i="7"/>
  <c r="LU7" i="7"/>
  <c r="LU5" i="7"/>
  <c r="BE5" i="7"/>
  <c r="BE7" i="7"/>
  <c r="BE8" i="7"/>
  <c r="BG6" i="12"/>
  <c r="BE6" i="12"/>
  <c r="G6" i="12" s="1"/>
  <c r="BG5" i="12"/>
  <c r="BE5" i="12"/>
  <c r="G5" i="12" s="1"/>
  <c r="LW4" i="12"/>
  <c r="LU4" i="12"/>
  <c r="BG4" i="12"/>
  <c r="BE4" i="12"/>
  <c r="BG10" i="12"/>
  <c r="BE10" i="12"/>
  <c r="G10" i="12" s="1"/>
  <c r="BG8" i="12"/>
  <c r="BE8" i="12"/>
  <c r="G8" i="12" s="1"/>
  <c r="BG9" i="12"/>
  <c r="BE9" i="12"/>
  <c r="G9" i="12" s="1"/>
  <c r="G4" i="12" l="1"/>
  <c r="F6" i="12"/>
  <c r="F8" i="12"/>
  <c r="F4" i="12"/>
  <c r="F10" i="12"/>
  <c r="F5" i="12"/>
  <c r="F9" i="12"/>
  <c r="G8" i="7"/>
  <c r="J8" i="7"/>
  <c r="K8" i="7" s="1"/>
  <c r="G7" i="7"/>
  <c r="J7" i="7"/>
  <c r="K7" i="7" s="1"/>
  <c r="J5" i="7"/>
  <c r="K5" i="7" s="1"/>
  <c r="G5" i="7"/>
  <c r="J4" i="8"/>
  <c r="K4" i="8" s="1"/>
  <c r="BH9" i="12"/>
  <c r="J9" i="12" s="1"/>
  <c r="LX4" i="12"/>
  <c r="BH5" i="12"/>
  <c r="J5" i="12" s="1"/>
  <c r="BH10" i="12"/>
  <c r="J10" i="12" s="1"/>
  <c r="BH8" i="12"/>
  <c r="J8" i="12" s="1"/>
  <c r="BH4" i="12"/>
  <c r="J4" i="12" s="1"/>
  <c r="BH6" i="12"/>
  <c r="J6" i="12" s="1"/>
  <c r="H4" i="12" l="1"/>
  <c r="I4" i="12" s="1"/>
  <c r="H6" i="12"/>
  <c r="I6" i="12" s="1"/>
  <c r="H8" i="12"/>
  <c r="I8" i="12" s="1"/>
  <c r="H10" i="12"/>
  <c r="I10" i="12" s="1"/>
  <c r="H5" i="12"/>
  <c r="I5" i="12" s="1"/>
  <c r="H9" i="12"/>
  <c r="I9" i="12" s="1"/>
  <c r="K9" i="12"/>
  <c r="L9" i="12"/>
  <c r="M9" i="12" s="1"/>
  <c r="K8" i="12"/>
  <c r="L8" i="12"/>
  <c r="M8" i="12" s="1"/>
  <c r="K6" i="12"/>
  <c r="L6" i="12"/>
  <c r="M6" i="12" s="1"/>
  <c r="L4" i="12"/>
  <c r="M4" i="12" s="1"/>
  <c r="K4" i="12"/>
  <c r="L10" i="12"/>
  <c r="M10" i="12" s="1"/>
  <c r="K10" i="12"/>
  <c r="K5" i="12"/>
  <c r="L5" i="12"/>
  <c r="M5" i="12" s="1"/>
  <c r="CE4" i="12"/>
  <c r="CE10" i="12"/>
  <c r="CE9" i="12"/>
  <c r="CE8" i="12"/>
  <c r="CE5" i="12" l="1"/>
  <c r="CF9" i="12"/>
  <c r="N9" i="12" s="1"/>
  <c r="E9" i="12" s="1"/>
  <c r="CF5" i="12"/>
  <c r="CE6" i="12"/>
  <c r="CF8" i="12"/>
  <c r="N8" i="12" s="1"/>
  <c r="N5" i="12" l="1"/>
  <c r="O5" i="12" s="1"/>
  <c r="CF6" i="12"/>
  <c r="N6" i="12" s="1"/>
  <c r="E6" i="12" s="1"/>
  <c r="CF4" i="12"/>
  <c r="N4" i="12" s="1"/>
  <c r="P4" i="12" s="1"/>
  <c r="CF10" i="12"/>
  <c r="N10" i="12" s="1"/>
  <c r="O10" i="12" s="1"/>
  <c r="O9" i="12"/>
  <c r="P9" i="12"/>
  <c r="E8" i="12"/>
  <c r="P8" i="12"/>
  <c r="O8" i="12"/>
  <c r="P5" i="12" l="1"/>
  <c r="E5" i="12"/>
  <c r="E10" i="12"/>
  <c r="E4" i="12"/>
  <c r="P10" i="12"/>
  <c r="O4" i="12"/>
  <c r="O6" i="12"/>
  <c r="P6" i="12"/>
  <c r="A7" i="12" l="1"/>
  <c r="A13" i="12"/>
  <c r="A14" i="12"/>
  <c r="A4" i="12"/>
  <c r="A9" i="12"/>
  <c r="A5" i="12"/>
  <c r="A8" i="12"/>
  <c r="A6" i="12"/>
  <c r="A10" i="12"/>
  <c r="BE16" i="6"/>
  <c r="BG16" i="6"/>
  <c r="BE17" i="6"/>
  <c r="BG17" i="6"/>
  <c r="BE14" i="6"/>
  <c r="BG14" i="6"/>
  <c r="BE9" i="6"/>
  <c r="BG9" i="6"/>
  <c r="BE7" i="6"/>
  <c r="BG7" i="6"/>
  <c r="BE13" i="6"/>
  <c r="BG13" i="6"/>
  <c r="BE8" i="6"/>
  <c r="BG8" i="6"/>
  <c r="BE10" i="6"/>
  <c r="BG10" i="6"/>
  <c r="BE11" i="6"/>
  <c r="BG11" i="6"/>
  <c r="BG4" i="6"/>
  <c r="BE4" i="6"/>
  <c r="LW11" i="6"/>
  <c r="LU11" i="6"/>
  <c r="LW10" i="6"/>
  <c r="LU10" i="6"/>
  <c r="LW8" i="6"/>
  <c r="LU8" i="6"/>
  <c r="LW13" i="6"/>
  <c r="LU13" i="6"/>
  <c r="LW7" i="6"/>
  <c r="LU7" i="6"/>
  <c r="LW9" i="6"/>
  <c r="LU9" i="6"/>
  <c r="LW14" i="6"/>
  <c r="LU14" i="6"/>
  <c r="LW17" i="6"/>
  <c r="LU17" i="6"/>
  <c r="LW16" i="6"/>
  <c r="LU16" i="6"/>
  <c r="LW4" i="6"/>
  <c r="LU4" i="6"/>
  <c r="C50" i="11" l="1"/>
  <c r="C57" i="11"/>
  <c r="C51" i="11"/>
  <c r="C52" i="11"/>
  <c r="C53" i="11"/>
  <c r="C54" i="11"/>
  <c r="C55" i="11"/>
  <c r="C56" i="11"/>
  <c r="G10" i="6"/>
  <c r="F10" i="6"/>
  <c r="G9" i="6"/>
  <c r="F9" i="6"/>
  <c r="G8" i="6"/>
  <c r="F8" i="6"/>
  <c r="G14" i="6"/>
  <c r="F14" i="6"/>
  <c r="G17" i="6"/>
  <c r="F17" i="6"/>
  <c r="G11" i="6"/>
  <c r="F11" i="6"/>
  <c r="G7" i="6"/>
  <c r="F7" i="6"/>
  <c r="G16" i="6"/>
  <c r="F16" i="6"/>
  <c r="G4" i="6"/>
  <c r="F4" i="6"/>
  <c r="G13" i="6"/>
  <c r="F13" i="6"/>
  <c r="D51" i="11"/>
  <c r="D56" i="11"/>
  <c r="D57" i="11"/>
  <c r="D50" i="11"/>
  <c r="D52" i="11"/>
  <c r="D53" i="11"/>
  <c r="D54" i="11"/>
  <c r="D55" i="11"/>
  <c r="BH17" i="6"/>
  <c r="J17" i="6" s="1"/>
  <c r="LX4" i="6"/>
  <c r="LX13" i="6"/>
  <c r="LX14" i="6"/>
  <c r="BH4" i="6"/>
  <c r="J4" i="6" s="1"/>
  <c r="BH10" i="6"/>
  <c r="J10" i="6" s="1"/>
  <c r="BH13" i="6"/>
  <c r="J13" i="6" s="1"/>
  <c r="BH9" i="6"/>
  <c r="J9" i="6" s="1"/>
  <c r="LX11" i="6"/>
  <c r="LX9" i="6"/>
  <c r="BH7" i="6"/>
  <c r="J7" i="6" s="1"/>
  <c r="BH8" i="6"/>
  <c r="J8" i="6" s="1"/>
  <c r="BH11" i="6"/>
  <c r="J11" i="6" s="1"/>
  <c r="BH16" i="6"/>
  <c r="J16" i="6" s="1"/>
  <c r="BH14" i="6"/>
  <c r="J14" i="6" s="1"/>
  <c r="LX16" i="6"/>
  <c r="LX8" i="6"/>
  <c r="LX7" i="6"/>
  <c r="LX17" i="6"/>
  <c r="LX10" i="6"/>
  <c r="H16" i="6" l="1"/>
  <c r="I16" i="6" s="1"/>
  <c r="H14" i="6"/>
  <c r="I14" i="6" s="1"/>
  <c r="H7" i="6"/>
  <c r="I7" i="6" s="1"/>
  <c r="H8" i="6"/>
  <c r="I8" i="6" s="1"/>
  <c r="H13" i="6"/>
  <c r="I13" i="6" s="1"/>
  <c r="H11" i="6"/>
  <c r="I11" i="6" s="1"/>
  <c r="H9" i="6"/>
  <c r="I9" i="6" s="1"/>
  <c r="H4" i="6"/>
  <c r="I4" i="6" s="1"/>
  <c r="H17" i="6"/>
  <c r="I17" i="6" s="1"/>
  <c r="H10" i="6"/>
  <c r="I10" i="6" s="1"/>
  <c r="L9" i="6"/>
  <c r="M9" i="6" s="1"/>
  <c r="K9" i="6"/>
  <c r="K16" i="6"/>
  <c r="L16" i="6"/>
  <c r="M16" i="6" s="1"/>
  <c r="K13" i="6"/>
  <c r="L13" i="6"/>
  <c r="M13" i="6" s="1"/>
  <c r="K11" i="6"/>
  <c r="L11" i="6"/>
  <c r="M11" i="6" s="1"/>
  <c r="K17" i="6"/>
  <c r="L17" i="6"/>
  <c r="M17" i="6" s="1"/>
  <c r="K14" i="6"/>
  <c r="L14" i="6"/>
  <c r="M14" i="6" s="1"/>
  <c r="K10" i="6"/>
  <c r="L10" i="6"/>
  <c r="M10" i="6" s="1"/>
  <c r="L4" i="6"/>
  <c r="M4" i="6" s="1"/>
  <c r="K4" i="6"/>
  <c r="K8" i="6"/>
  <c r="L8" i="6"/>
  <c r="M8" i="6" s="1"/>
  <c r="L7" i="6"/>
  <c r="M7" i="6" s="1"/>
  <c r="K7" i="6"/>
  <c r="BI9" i="9"/>
  <c r="BI11" i="9"/>
  <c r="BI10" i="9"/>
  <c r="BI8" i="9"/>
  <c r="BI4" i="9"/>
  <c r="MN9" i="9"/>
  <c r="MN11" i="9"/>
  <c r="MN10" i="9"/>
  <c r="MN8" i="9"/>
  <c r="MN4" i="9"/>
  <c r="NI4" i="4"/>
  <c r="G4" i="4" s="1"/>
  <c r="F4" i="4" s="1"/>
  <c r="NI5" i="4"/>
  <c r="G5" i="4" s="1"/>
  <c r="F5" i="4" s="1"/>
  <c r="NI7" i="4"/>
  <c r="G7" i="4" s="1"/>
  <c r="F7" i="4" s="1"/>
  <c r="NI12" i="4"/>
  <c r="G12" i="4" s="1"/>
  <c r="F12" i="4" s="1"/>
  <c r="NI9" i="4"/>
  <c r="G9" i="4" s="1"/>
  <c r="F9" i="4" s="1"/>
  <c r="NI11" i="4"/>
  <c r="G11" i="4" s="1"/>
  <c r="F11" i="4" s="1"/>
  <c r="NI20" i="4"/>
  <c r="G20" i="4" s="1"/>
  <c r="F20" i="4" s="1"/>
  <c r="NI15" i="4"/>
  <c r="G15" i="4" s="1"/>
  <c r="F15" i="4" s="1"/>
  <c r="NI19" i="4"/>
  <c r="G19" i="4" s="1"/>
  <c r="F19" i="4" s="1"/>
  <c r="NI6" i="4"/>
  <c r="G6" i="4" s="1"/>
  <c r="F6" i="4" s="1"/>
  <c r="NI10" i="4"/>
  <c r="G10" i="4" s="1"/>
  <c r="F10" i="4" s="1"/>
  <c r="NI22" i="4"/>
  <c r="G22" i="4" s="1"/>
  <c r="F22" i="4" s="1"/>
  <c r="NI21" i="4"/>
  <c r="G21" i="4" s="1"/>
  <c r="F21" i="4" s="1"/>
  <c r="NI23" i="4"/>
  <c r="G23" i="4" s="1"/>
  <c r="F23" i="4" s="1"/>
  <c r="G10" i="9" l="1"/>
  <c r="F10" i="9" s="1"/>
  <c r="G11" i="9"/>
  <c r="F11" i="9" s="1"/>
  <c r="G9" i="9"/>
  <c r="F9" i="9" s="1"/>
  <c r="G4" i="9"/>
  <c r="F4" i="9" s="1"/>
  <c r="G8" i="9"/>
  <c r="F8" i="9" s="1"/>
  <c r="CF16" i="6"/>
  <c r="BG4" i="8"/>
  <c r="L4" i="8" s="1"/>
  <c r="M4" i="8" s="1"/>
  <c r="BD4" i="8"/>
  <c r="BG8" i="7"/>
  <c r="L8" i="7" s="1"/>
  <c r="M8" i="7" s="1"/>
  <c r="BD8" i="7"/>
  <c r="BG7" i="7"/>
  <c r="L7" i="7" s="1"/>
  <c r="M7" i="7" s="1"/>
  <c r="BD7" i="7"/>
  <c r="BG5" i="7"/>
  <c r="L5" i="7" s="1"/>
  <c r="M5" i="7" s="1"/>
  <c r="BD5" i="7"/>
  <c r="BN4" i="9"/>
  <c r="Q4" i="9" s="1"/>
  <c r="R4" i="9" s="1"/>
  <c r="BK4" i="9"/>
  <c r="BJ4" i="9"/>
  <c r="BN8" i="9"/>
  <c r="Q8" i="9" s="1"/>
  <c r="R8" i="9" s="1"/>
  <c r="BK8" i="9"/>
  <c r="BJ8" i="9"/>
  <c r="BN10" i="9"/>
  <c r="Q10" i="9" s="1"/>
  <c r="R10" i="9" s="1"/>
  <c r="BK10" i="9"/>
  <c r="BJ10" i="9"/>
  <c r="BN11" i="9"/>
  <c r="Q11" i="9" s="1"/>
  <c r="R11" i="9" s="1"/>
  <c r="BK11" i="9"/>
  <c r="BJ11" i="9"/>
  <c r="BN9" i="9"/>
  <c r="Q9" i="9" s="1"/>
  <c r="R9" i="9" s="1"/>
  <c r="BK9" i="9"/>
  <c r="BJ9" i="9"/>
  <c r="CB10" i="4"/>
  <c r="CB19" i="4"/>
  <c r="CB21" i="4"/>
  <c r="CB22" i="4"/>
  <c r="CB23" i="4"/>
  <c r="CB6" i="4"/>
  <c r="CB15" i="4"/>
  <c r="CB20" i="4"/>
  <c r="CB9" i="4"/>
  <c r="CB12" i="4"/>
  <c r="CB11" i="4"/>
  <c r="CB7" i="4"/>
  <c r="CB5" i="4"/>
  <c r="CB4" i="4"/>
  <c r="Q15" i="4" l="1"/>
  <c r="R15" i="4" s="1"/>
  <c r="Q5" i="4"/>
  <c r="R5" i="4" s="1"/>
  <c r="Q4" i="4"/>
  <c r="R4" i="4" s="1"/>
  <c r="Q23" i="4"/>
  <c r="R23" i="4" s="1"/>
  <c r="Q7" i="4"/>
  <c r="R7" i="4" s="1"/>
  <c r="Q22" i="4"/>
  <c r="R22" i="4" s="1"/>
  <c r="Q21" i="4"/>
  <c r="R21" i="4" s="1"/>
  <c r="Q12" i="4"/>
  <c r="R12" i="4" s="1"/>
  <c r="Q9" i="4"/>
  <c r="R9" i="4" s="1"/>
  <c r="Q6" i="4"/>
  <c r="R6" i="4" s="1"/>
  <c r="Q11" i="4"/>
  <c r="R11" i="4" s="1"/>
  <c r="Q19" i="4"/>
  <c r="R19" i="4" s="1"/>
  <c r="Q10" i="4"/>
  <c r="R10" i="4" s="1"/>
  <c r="Q20" i="4"/>
  <c r="R20" i="4" s="1"/>
  <c r="BH7" i="7"/>
  <c r="CE7" i="7"/>
  <c r="BH8" i="7"/>
  <c r="BL8" i="9"/>
  <c r="BL11" i="9"/>
  <c r="BL4" i="9"/>
  <c r="BH4" i="8"/>
  <c r="BL10" i="9"/>
  <c r="BL9" i="9"/>
  <c r="K10" i="9" l="1"/>
  <c r="L10" i="9" s="1"/>
  <c r="K4" i="9"/>
  <c r="L4" i="9" s="1"/>
  <c r="K8" i="9"/>
  <c r="L8" i="9" s="1"/>
  <c r="K11" i="9"/>
  <c r="L11" i="9" s="1"/>
  <c r="K9" i="9"/>
  <c r="L9" i="9" s="1"/>
  <c r="CC4" i="4"/>
  <c r="CC9" i="4"/>
  <c r="CC5" i="4"/>
  <c r="CC21" i="4"/>
  <c r="CC11" i="4"/>
  <c r="CC15" i="4"/>
  <c r="CC12" i="4"/>
  <c r="CC7" i="4"/>
  <c r="CC10" i="4"/>
  <c r="CC22" i="4"/>
  <c r="CC20" i="4"/>
  <c r="CC23" i="4"/>
  <c r="CC6" i="4"/>
  <c r="CC19" i="4"/>
  <c r="BO8" i="9"/>
  <c r="BO9" i="9"/>
  <c r="BO10" i="9"/>
  <c r="BO4" i="9"/>
  <c r="BO11" i="9"/>
  <c r="CF14" i="6"/>
  <c r="CF9" i="6"/>
  <c r="CF13" i="6"/>
  <c r="CF8" i="6"/>
  <c r="CF10" i="6"/>
  <c r="CF17" i="6"/>
  <c r="CF7" i="6"/>
  <c r="CF11" i="6"/>
  <c r="CF4" i="6"/>
  <c r="CE5" i="7"/>
  <c r="BH5" i="7"/>
  <c r="CE8" i="7"/>
  <c r="CE4" i="8"/>
  <c r="M6" i="4" l="1"/>
  <c r="L6" i="4"/>
  <c r="L22" i="4"/>
  <c r="M22" i="4"/>
  <c r="L11" i="4"/>
  <c r="M11" i="4"/>
  <c r="L9" i="4"/>
  <c r="M9" i="4"/>
  <c r="M20" i="4"/>
  <c r="L20" i="4"/>
  <c r="L23" i="4"/>
  <c r="M23" i="4"/>
  <c r="M12" i="4"/>
  <c r="L12" i="4"/>
  <c r="M21" i="4"/>
  <c r="L21" i="4"/>
  <c r="L4" i="4"/>
  <c r="M7" i="4"/>
  <c r="L7" i="4"/>
  <c r="M10" i="4"/>
  <c r="L10" i="4"/>
  <c r="M15" i="4"/>
  <c r="L15" i="4"/>
  <c r="L19" i="4"/>
  <c r="M19" i="4"/>
  <c r="L5" i="4"/>
  <c r="M5" i="4"/>
  <c r="M4" i="9"/>
  <c r="O4" i="9"/>
  <c r="O8" i="9"/>
  <c r="M8" i="9"/>
  <c r="M10" i="9"/>
  <c r="N10" i="9" s="1"/>
  <c r="O10" i="9"/>
  <c r="P10" i="9" s="1"/>
  <c r="O9" i="9"/>
  <c r="P9" i="9" s="1"/>
  <c r="M9" i="9"/>
  <c r="N9" i="9" s="1"/>
  <c r="O11" i="9"/>
  <c r="P11" i="9" s="1"/>
  <c r="M11" i="9"/>
  <c r="N11" i="9" s="1"/>
  <c r="N9" i="4" l="1"/>
  <c r="N22" i="4"/>
  <c r="N20" i="4"/>
  <c r="N5" i="4"/>
  <c r="N23" i="4"/>
  <c r="N19" i="4"/>
  <c r="N21" i="4"/>
  <c r="N11" i="4"/>
  <c r="N7" i="4"/>
  <c r="N4" i="4"/>
  <c r="N12" i="4"/>
  <c r="N15" i="4"/>
  <c r="N10" i="4"/>
  <c r="N6" i="4"/>
  <c r="N8" i="9"/>
  <c r="P8" i="9"/>
  <c r="P4" i="9"/>
  <c r="N4" i="9"/>
  <c r="MO4" i="9"/>
  <c r="MP4" i="9"/>
  <c r="H4" i="9" s="1"/>
  <c r="MS4" i="9"/>
  <c r="I4" i="9" l="1"/>
  <c r="CP4" i="9"/>
  <c r="CN4" i="9"/>
  <c r="CM4" i="9"/>
  <c r="MQ4" i="9"/>
  <c r="J4" i="9" s="1"/>
  <c r="MT4" i="9" l="1"/>
  <c r="CO4" i="9"/>
  <c r="S4" i="9" l="1"/>
  <c r="U4" i="9" s="1"/>
  <c r="E4" i="9" l="1"/>
  <c r="T4" i="9"/>
  <c r="CE17" i="6" l="1"/>
  <c r="MO8" i="9"/>
  <c r="MP8" i="9"/>
  <c r="MS8" i="9"/>
  <c r="H8" i="9" l="1"/>
  <c r="CE13" i="6"/>
  <c r="CP8" i="9"/>
  <c r="CN8" i="9"/>
  <c r="CM8" i="9"/>
  <c r="MQ8" i="9"/>
  <c r="J8" i="9" s="1"/>
  <c r="I8" i="9" l="1"/>
  <c r="A8" i="9" a="1"/>
  <c r="A8" i="9" s="1"/>
  <c r="MT8" i="9"/>
  <c r="CO8" i="9"/>
  <c r="N17" i="6"/>
  <c r="P17" i="6" s="1"/>
  <c r="N13" i="6"/>
  <c r="P13" i="6" s="1"/>
  <c r="O13" i="6" l="1"/>
  <c r="O17" i="6"/>
  <c r="E17" i="6"/>
  <c r="E13" i="6"/>
  <c r="NJ4" i="4"/>
  <c r="NK4" i="4"/>
  <c r="NN4" i="4"/>
  <c r="DI4" i="4" l="1"/>
  <c r="H4" i="4"/>
  <c r="DH4" i="4"/>
  <c r="DK4" i="4"/>
  <c r="S8" i="9"/>
  <c r="NL4" i="4"/>
  <c r="J4" i="4" s="1"/>
  <c r="I4" i="4" l="1"/>
  <c r="NO4" i="4"/>
  <c r="T8" i="9"/>
  <c r="U8" i="9"/>
  <c r="DJ4" i="4"/>
  <c r="E8" i="9"/>
  <c r="MO10" i="9"/>
  <c r="MP10" i="9"/>
  <c r="MS10" i="9"/>
  <c r="H10" i="9" l="1"/>
  <c r="CP10" i="9"/>
  <c r="CN10" i="9"/>
  <c r="CM10" i="9"/>
  <c r="S4" i="4"/>
  <c r="U4" i="4" s="1"/>
  <c r="MQ10" i="9"/>
  <c r="J10" i="9" s="1"/>
  <c r="I10" i="9" l="1"/>
  <c r="A10" i="9" a="1"/>
  <c r="A10" i="9" s="1"/>
  <c r="MT10" i="9"/>
  <c r="CO10" i="9"/>
  <c r="T4" i="4"/>
  <c r="E4" i="4"/>
  <c r="S10" i="9" l="1"/>
  <c r="U10" i="9" s="1"/>
  <c r="T10" i="9" l="1"/>
  <c r="E10" i="9"/>
  <c r="LW5" i="7" l="1"/>
  <c r="LT5" i="7"/>
  <c r="LW7" i="7"/>
  <c r="LT7" i="7"/>
  <c r="LW4" i="8"/>
  <c r="LT4" i="8"/>
  <c r="F7" i="7" l="1"/>
  <c r="F5" i="7"/>
  <c r="F4" i="8"/>
  <c r="CF4" i="8"/>
  <c r="CF7" i="7"/>
  <c r="CF5" i="7"/>
  <c r="LX7" i="7"/>
  <c r="LX5" i="7"/>
  <c r="LX4" i="8"/>
  <c r="NN9" i="4"/>
  <c r="NK9" i="4"/>
  <c r="NJ9" i="4"/>
  <c r="NN15" i="4"/>
  <c r="NK15" i="4"/>
  <c r="NJ15" i="4"/>
  <c r="NN22" i="4"/>
  <c r="NK22" i="4"/>
  <c r="NJ22" i="4"/>
  <c r="NN23" i="4"/>
  <c r="NK23" i="4"/>
  <c r="NJ23" i="4"/>
  <c r="NN21" i="4"/>
  <c r="NK21" i="4"/>
  <c r="NJ21" i="4"/>
  <c r="H5" i="7" l="1"/>
  <c r="I5" i="7" s="1"/>
  <c r="H7" i="7"/>
  <c r="I7" i="7" s="1"/>
  <c r="H4" i="8"/>
  <c r="I4" i="8" s="1"/>
  <c r="H23" i="4"/>
  <c r="H15" i="4"/>
  <c r="A7" i="7"/>
  <c r="N7" i="7"/>
  <c r="P7" i="7" s="1"/>
  <c r="DH23" i="4"/>
  <c r="DH15" i="4"/>
  <c r="DI15" i="4"/>
  <c r="DH22" i="4"/>
  <c r="DI21" i="4"/>
  <c r="DI22" i="4"/>
  <c r="DI9" i="4"/>
  <c r="DI23" i="4"/>
  <c r="DK23" i="4"/>
  <c r="DK22" i="4"/>
  <c r="DK15" i="4"/>
  <c r="DH21" i="4"/>
  <c r="DK21" i="4"/>
  <c r="N5" i="7"/>
  <c r="P5" i="7" s="1"/>
  <c r="DH9" i="4"/>
  <c r="DK9" i="4"/>
  <c r="NL21" i="4"/>
  <c r="NL9" i="4"/>
  <c r="NL22" i="4"/>
  <c r="NL23" i="4"/>
  <c r="J23" i="4" s="1"/>
  <c r="NL15" i="4"/>
  <c r="J15" i="4" s="1"/>
  <c r="H21" i="4" l="1"/>
  <c r="J21" i="4"/>
  <c r="H22" i="4"/>
  <c r="I22" i="4" s="1"/>
  <c r="J22" i="4"/>
  <c r="H9" i="4"/>
  <c r="I9" i="4" s="1"/>
  <c r="J9" i="4"/>
  <c r="I15" i="4"/>
  <c r="A23" i="4" a="1"/>
  <c r="A23" i="4" s="1"/>
  <c r="I23" i="4"/>
  <c r="NO22" i="4"/>
  <c r="NO9" i="4"/>
  <c r="NO21" i="4"/>
  <c r="NO23" i="4"/>
  <c r="NO15" i="4"/>
  <c r="O7" i="7"/>
  <c r="E7" i="7"/>
  <c r="CE9" i="6"/>
  <c r="O5" i="7"/>
  <c r="CE8" i="6"/>
  <c r="E5" i="7"/>
  <c r="DJ9" i="4"/>
  <c r="DJ21" i="4"/>
  <c r="DJ23" i="4"/>
  <c r="DJ22" i="4"/>
  <c r="DJ15" i="4"/>
  <c r="I21" i="4" l="1"/>
  <c r="A22" i="4" a="1"/>
  <c r="A22" i="4" s="1"/>
  <c r="A21" i="4" a="1"/>
  <c r="A21" i="4" s="1"/>
  <c r="S23" i="4"/>
  <c r="U23" i="4" s="1"/>
  <c r="S22" i="4"/>
  <c r="U22" i="4" s="1"/>
  <c r="S21" i="4"/>
  <c r="U21" i="4" s="1"/>
  <c r="N9" i="6"/>
  <c r="P9" i="6" s="1"/>
  <c r="O9" i="6" l="1"/>
  <c r="T21" i="4"/>
  <c r="E21" i="4"/>
  <c r="T23" i="4"/>
  <c r="E23" i="4"/>
  <c r="T22" i="4"/>
  <c r="E22" i="4"/>
  <c r="N4" i="8"/>
  <c r="P4" i="8" s="1"/>
  <c r="S15" i="4"/>
  <c r="U15" i="4" s="1"/>
  <c r="E9" i="6"/>
  <c r="N8" i="6"/>
  <c r="P8" i="6" s="1"/>
  <c r="NJ11" i="4"/>
  <c r="NK11" i="4"/>
  <c r="NN11" i="4"/>
  <c r="NJ5" i="4"/>
  <c r="NK5" i="4"/>
  <c r="NN5" i="4"/>
  <c r="NJ12" i="4"/>
  <c r="NK12" i="4"/>
  <c r="NN12" i="4"/>
  <c r="NJ7" i="4"/>
  <c r="NK7" i="4"/>
  <c r="NN7" i="4"/>
  <c r="NJ20" i="4"/>
  <c r="NK20" i="4"/>
  <c r="NN20" i="4"/>
  <c r="NJ6" i="4"/>
  <c r="NK6" i="4"/>
  <c r="NN6" i="4"/>
  <c r="NJ19" i="4"/>
  <c r="NK19" i="4"/>
  <c r="NN19" i="4"/>
  <c r="NJ10" i="4"/>
  <c r="NK10" i="4"/>
  <c r="NN10" i="4"/>
  <c r="MS9" i="9"/>
  <c r="MO11" i="9"/>
  <c r="MP11" i="9"/>
  <c r="MS11" i="9"/>
  <c r="MP9" i="9"/>
  <c r="MO9" i="9"/>
  <c r="LW8" i="7"/>
  <c r="LT8" i="7"/>
  <c r="H11" i="9" l="1"/>
  <c r="H9" i="9"/>
  <c r="H20" i="4"/>
  <c r="I20" i="4" s="1"/>
  <c r="F8" i="7"/>
  <c r="O4" i="8"/>
  <c r="O8" i="6"/>
  <c r="DK19" i="4"/>
  <c r="DI6" i="4"/>
  <c r="DK20" i="4"/>
  <c r="DK7" i="4"/>
  <c r="DH7" i="4"/>
  <c r="DI12" i="4"/>
  <c r="CF8" i="7"/>
  <c r="CN9" i="9"/>
  <c r="CM11" i="9"/>
  <c r="CM9" i="9"/>
  <c r="CP11" i="9"/>
  <c r="CN11" i="9"/>
  <c r="CP9" i="9"/>
  <c r="DH20" i="4"/>
  <c r="DH19" i="4"/>
  <c r="DK5" i="4"/>
  <c r="DH5" i="4"/>
  <c r="DH12" i="4"/>
  <c r="DH11" i="4"/>
  <c r="DK10" i="4"/>
  <c r="DH10" i="4"/>
  <c r="DI19" i="4"/>
  <c r="DK6" i="4"/>
  <c r="DH6" i="4"/>
  <c r="DI20" i="4"/>
  <c r="DI7" i="4"/>
  <c r="DK12" i="4"/>
  <c r="DI5" i="4"/>
  <c r="DK11" i="4"/>
  <c r="DI10" i="4"/>
  <c r="DI11" i="4"/>
  <c r="S9" i="4"/>
  <c r="U9" i="4" s="1"/>
  <c r="T15" i="4"/>
  <c r="E15" i="4"/>
  <c r="E4" i="8"/>
  <c r="E8" i="6"/>
  <c r="MQ9" i="9"/>
  <c r="J9" i="9" s="1"/>
  <c r="MQ11" i="9"/>
  <c r="J11" i="9" s="1"/>
  <c r="NL11" i="4"/>
  <c r="NL10" i="4"/>
  <c r="NL7" i="4"/>
  <c r="LX8" i="7"/>
  <c r="NL20" i="4"/>
  <c r="J20" i="4" s="1"/>
  <c r="NL6" i="4"/>
  <c r="NL12" i="4"/>
  <c r="NL5" i="4"/>
  <c r="NL19" i="4"/>
  <c r="H8" i="7" l="1"/>
  <c r="I8" i="7" s="1"/>
  <c r="A9" i="9" a="1"/>
  <c r="A9" i="9" s="1"/>
  <c r="I9" i="9"/>
  <c r="I11" i="9"/>
  <c r="A11" i="9" a="1"/>
  <c r="A11" i="9" s="1"/>
  <c r="H6" i="4"/>
  <c r="I6" i="4" s="1"/>
  <c r="J6" i="4"/>
  <c r="H10" i="4"/>
  <c r="I10" i="4" s="1"/>
  <c r="J10" i="4"/>
  <c r="H7" i="4"/>
  <c r="I7" i="4" s="1"/>
  <c r="J7" i="4"/>
  <c r="H11" i="4"/>
  <c r="I11" i="4" s="1"/>
  <c r="J11" i="4"/>
  <c r="H19" i="4"/>
  <c r="I19" i="4" s="1"/>
  <c r="J19" i="4"/>
  <c r="H5" i="4"/>
  <c r="J5" i="4"/>
  <c r="H12" i="4"/>
  <c r="I12" i="4" s="1"/>
  <c r="J12" i="4"/>
  <c r="NO11" i="4"/>
  <c r="NO6" i="4"/>
  <c r="NO20" i="4"/>
  <c r="NO12" i="4"/>
  <c r="NO7" i="4"/>
  <c r="NO5" i="4"/>
  <c r="NO19" i="4"/>
  <c r="NO10" i="4"/>
  <c r="MT11" i="9"/>
  <c r="MT9" i="9"/>
  <c r="A8" i="7"/>
  <c r="CE16" i="6"/>
  <c r="CE10" i="6"/>
  <c r="CE7" i="6"/>
  <c r="CE11" i="6"/>
  <c r="CE14" i="6"/>
  <c r="CE4" i="6"/>
  <c r="N8" i="7"/>
  <c r="P8" i="7" s="1"/>
  <c r="CO11" i="9"/>
  <c r="CO9" i="9"/>
  <c r="DJ7" i="4"/>
  <c r="DJ12" i="4"/>
  <c r="DJ19" i="4"/>
  <c r="DJ11" i="4"/>
  <c r="DJ10" i="4"/>
  <c r="DJ5" i="4"/>
  <c r="DJ20" i="4"/>
  <c r="DJ6" i="4"/>
  <c r="T9" i="4"/>
  <c r="E9" i="4"/>
  <c r="I5" i="4" l="1"/>
  <c r="A12" i="4" a="1"/>
  <c r="A12" i="4" s="1"/>
  <c r="A19" i="4" a="1"/>
  <c r="A19" i="4" s="1"/>
  <c r="A11" i="4" a="1"/>
  <c r="A11" i="4" s="1"/>
  <c r="O8" i="7"/>
  <c r="E8" i="7"/>
  <c r="A6" i="7" s="1"/>
  <c r="N4" i="6"/>
  <c r="N7" i="6"/>
  <c r="P7" i="6" s="1"/>
  <c r="N14" i="6"/>
  <c r="P14" i="6" s="1"/>
  <c r="P4" i="6" l="1"/>
  <c r="E4" i="6"/>
  <c r="O14" i="6"/>
  <c r="O7" i="6"/>
  <c r="O4" i="6"/>
  <c r="E14" i="6"/>
  <c r="N10" i="6"/>
  <c r="P10" i="6" s="1"/>
  <c r="N11" i="6"/>
  <c r="P11" i="6" s="1"/>
  <c r="N16" i="6"/>
  <c r="P16" i="6" s="1"/>
  <c r="S9" i="9"/>
  <c r="U9" i="9" s="1"/>
  <c r="S7" i="4"/>
  <c r="U7" i="4" s="1"/>
  <c r="E7" i="6"/>
  <c r="S10" i="4"/>
  <c r="U10" i="4" s="1"/>
  <c r="S19" i="4"/>
  <c r="U19" i="4" s="1"/>
  <c r="S6" i="4"/>
  <c r="U6" i="4" s="1"/>
  <c r="O11" i="6" l="1"/>
  <c r="O10" i="6"/>
  <c r="O16" i="6"/>
  <c r="T7" i="4"/>
  <c r="E7" i="4"/>
  <c r="S5" i="4"/>
  <c r="U5" i="4" s="1"/>
  <c r="S11" i="4"/>
  <c r="U11" i="4" s="1"/>
  <c r="T6" i="4"/>
  <c r="E6" i="4"/>
  <c r="T10" i="4"/>
  <c r="E10" i="4"/>
  <c r="T19" i="4"/>
  <c r="E19" i="4"/>
  <c r="S20" i="4"/>
  <c r="U20" i="4" s="1"/>
  <c r="S12" i="4"/>
  <c r="U12" i="4" s="1"/>
  <c r="S11" i="9"/>
  <c r="T9" i="9"/>
  <c r="E16" i="6"/>
  <c r="A16" i="6" s="1"/>
  <c r="E11" i="6"/>
  <c r="E10" i="6"/>
  <c r="A6" i="6" s="1"/>
  <c r="E9" i="9"/>
  <c r="A5" i="6" l="1"/>
  <c r="A6" i="8"/>
  <c r="A5" i="8"/>
  <c r="A8" i="6"/>
  <c r="A10" i="6"/>
  <c r="A11" i="6"/>
  <c r="A7" i="6"/>
  <c r="A9" i="6"/>
  <c r="A4" i="6"/>
  <c r="A14" i="6"/>
  <c r="A17" i="6"/>
  <c r="A13" i="6"/>
  <c r="A4" i="7"/>
  <c r="T11" i="9"/>
  <c r="U11" i="9"/>
  <c r="T11" i="4"/>
  <c r="E11" i="4"/>
  <c r="T12" i="4"/>
  <c r="E12" i="4"/>
  <c r="T5" i="4"/>
  <c r="E5" i="4"/>
  <c r="A14" i="4" s="1" a="1"/>
  <c r="A14" i="4" s="1"/>
  <c r="T20" i="4"/>
  <c r="E20" i="4"/>
  <c r="E11" i="9"/>
  <c r="A4" i="9" s="1" a="1"/>
  <c r="A4" i="9" s="1"/>
  <c r="A5" i="9" l="1" a="1"/>
  <c r="A5" i="9" s="1"/>
  <c r="C19" i="11" s="1"/>
  <c r="A10" i="4" a="1"/>
  <c r="A10" i="4" s="1"/>
  <c r="A7" i="4" a="1"/>
  <c r="A7" i="4" s="1"/>
  <c r="A4" i="4" a="1"/>
  <c r="A4" i="4" s="1"/>
  <c r="A6" i="4" a="1"/>
  <c r="A6" i="4" s="1"/>
  <c r="C42" i="11"/>
  <c r="C43" i="11"/>
  <c r="C44" i="11"/>
  <c r="C45" i="11"/>
  <c r="C46" i="11"/>
  <c r="C47" i="11"/>
  <c r="C48" i="11"/>
  <c r="C49" i="11"/>
  <c r="A20" i="4" a="1"/>
  <c r="A20" i="4" s="1"/>
  <c r="A8" i="4" a="1"/>
  <c r="A8" i="4" s="1"/>
  <c r="A15" i="4" a="1"/>
  <c r="A15" i="4" s="1"/>
  <c r="A5" i="4" a="1"/>
  <c r="A5" i="4" s="1"/>
  <c r="A9" i="4" a="1"/>
  <c r="A9" i="4" s="1"/>
  <c r="D43" i="11"/>
  <c r="D44" i="11"/>
  <c r="D45" i="11"/>
  <c r="D49" i="11"/>
  <c r="D42" i="11"/>
  <c r="D46" i="11"/>
  <c r="D47" i="11"/>
  <c r="D48" i="11"/>
  <c r="A4" i="8"/>
  <c r="A5" i="7"/>
  <c r="C26" i="11" s="1"/>
  <c r="C18" i="11" l="1"/>
  <c r="C21" i="11"/>
  <c r="C20" i="11"/>
  <c r="C34" i="11"/>
  <c r="C35" i="11"/>
  <c r="C36" i="11"/>
  <c r="C37" i="11"/>
  <c r="C38" i="11"/>
  <c r="C39" i="11"/>
  <c r="C40" i="11"/>
  <c r="C41" i="11"/>
  <c r="C28" i="11"/>
  <c r="C30" i="11"/>
  <c r="C32" i="11"/>
  <c r="C29" i="11"/>
  <c r="C33" i="11"/>
  <c r="C31" i="11"/>
  <c r="C27" i="11"/>
  <c r="D35" i="11"/>
  <c r="D34" i="11"/>
  <c r="D37" i="11"/>
  <c r="D36" i="11"/>
  <c r="D39" i="11"/>
  <c r="D41" i="11"/>
  <c r="D40" i="11"/>
  <c r="D38" i="11"/>
  <c r="D27" i="11"/>
  <c r="D28" i="11"/>
  <c r="D29" i="11"/>
  <c r="D26" i="11"/>
  <c r="D30" i="11"/>
  <c r="D31" i="11"/>
  <c r="D32" i="11"/>
  <c r="D33" i="11"/>
  <c r="D19" i="11"/>
  <c r="D18" i="11"/>
  <c r="D21" i="11"/>
  <c r="D20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<sst xmlns="http://schemas.openxmlformats.org/spreadsheetml/2006/main" count="3950" uniqueCount="213">
  <si>
    <t>Province</t>
  </si>
  <si>
    <t>Rank</t>
  </si>
  <si>
    <t>Total Points</t>
  </si>
  <si>
    <t>ON</t>
  </si>
  <si>
    <t>SOEHN, Keegan</t>
  </si>
  <si>
    <t>AB</t>
  </si>
  <si>
    <t>BC</t>
  </si>
  <si>
    <t>GEREIN, Curtis</t>
  </si>
  <si>
    <t>CRANHAM, Jacob</t>
  </si>
  <si>
    <t>SHUH, Nathan</t>
  </si>
  <si>
    <t>QC</t>
  </si>
  <si>
    <t>ARMSTRONG, Mark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</si>
  <si>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</si>
  <si>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</si>
  <si>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</si>
  <si>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</si>
  <si>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</si>
  <si>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</si>
  <si>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</si>
  <si>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</si>
  <si>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</si>
  <si>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</si>
  <si>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</si>
  <si>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</si>
  <si>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</si>
  <si>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</si>
  <si>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</si>
  <si>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</si>
  <si>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</si>
  <si>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</si>
  <si>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</si>
  <si>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</si>
  <si>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</si>
  <si>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</si>
  <si>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</si>
  <si>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</si>
  <si>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</si>
  <si>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</si>
  <si>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</si>
  <si>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</si>
  <si>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</si>
  <si>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</si>
  <si>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</si>
  <si>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</si>
  <si>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</si>
  <si>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</si>
  <si>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</si>
  <si>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</si>
  <si>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</si>
  <si>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</si>
  <si>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SUNDQUIST, Callum</t>
  </si>
  <si>
    <t>LEFAIVRE, Justin</t>
  </si>
  <si>
    <t>SHEEHAN, Ryan</t>
  </si>
  <si>
    <t>RYANE, Casey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</si>
  <si>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</si>
  <si>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</si>
  <si>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</si>
  <si>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</si>
  <si>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</si>
  <si>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</si>
  <si>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</si>
  <si>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</si>
  <si>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</si>
  <si>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</si>
  <si>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</si>
  <si>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</si>
  <si>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</si>
  <si>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</si>
  <si>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</si>
  <si>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</si>
  <si>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</si>
  <si>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</si>
  <si>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</si>
  <si>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</si>
  <si>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</si>
  <si>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</si>
  <si>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</si>
  <si>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</si>
  <si>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</si>
  <si>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</si>
  <si>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CIRONE, Domenica</t>
  </si>
  <si>
    <t>SOEHN, Kalena</t>
  </si>
  <si>
    <t>CHAMPAGNE, Tyler</t>
  </si>
  <si>
    <t>LAGACÉ, Benjamin</t>
  </si>
  <si>
    <t>BLAKELY, Zachary</t>
  </si>
  <si>
    <t>FOREST, Alexandra</t>
  </si>
  <si>
    <t>HIPEL, Zoe</t>
  </si>
  <si>
    <t>ZEUNER, Michael</t>
  </si>
  <si>
    <t>MACLENNAN &amp; TAM</t>
  </si>
  <si>
    <t>ON/BC</t>
  </si>
  <si>
    <t>Injury</t>
  </si>
  <si>
    <t>P</t>
  </si>
  <si>
    <t>Injury Score</t>
  </si>
  <si>
    <t>Year of Birth</t>
  </si>
  <si>
    <t>2001/1999</t>
  </si>
  <si>
    <t>1998/1997</t>
  </si>
  <si>
    <t>1988/1998</t>
  </si>
  <si>
    <t>Select</t>
  </si>
  <si>
    <t>Delete oldest domestic trial</t>
  </si>
  <si>
    <t>Add a new athlete to:</t>
  </si>
  <si>
    <t>CHARTIER, Jérémy</t>
  </si>
  <si>
    <t>MOULD, Blake</t>
  </si>
  <si>
    <t>1995/1992</t>
  </si>
  <si>
    <t>1988/1997</t>
  </si>
  <si>
    <t>ON/QC</t>
  </si>
  <si>
    <t>MACLENNAN &amp; MILETTE</t>
  </si>
  <si>
    <t>DUNDAS &amp; SMITH</t>
  </si>
  <si>
    <t>QC/ON</t>
  </si>
  <si>
    <t>AB/ON</t>
  </si>
  <si>
    <t>GEREIN &amp; STIRLING</t>
  </si>
  <si>
    <t>1993/1995</t>
  </si>
  <si>
    <t>2001/1992</t>
  </si>
  <si>
    <t>QC/AB</t>
  </si>
  <si>
    <t>2002/2003</t>
  </si>
  <si>
    <t>Optional DD</t>
  </si>
  <si>
    <t>Best International Diff</t>
  </si>
  <si>
    <t>National Team DD and Score</t>
  </si>
  <si>
    <t>Excellence Score</t>
  </si>
  <si>
    <t>Best Two Pass</t>
  </si>
  <si>
    <t>Best Full Competition</t>
  </si>
  <si>
    <t>2 Pass</t>
  </si>
  <si>
    <t>4 Pass</t>
  </si>
  <si>
    <t>Excellence DD</t>
  </si>
  <si>
    <t>Potential Injury Score</t>
  </si>
  <si>
    <t>BC/ON</t>
  </si>
  <si>
    <t>SMITH &amp; TAM</t>
  </si>
  <si>
    <t>2019 Elite Canada</t>
  </si>
  <si>
    <t>FRIGON, Charles</t>
  </si>
  <si>
    <t>CHATEAUVERT, Émile</t>
  </si>
  <si>
    <t>THEODORE, Craig</t>
  </si>
  <si>
    <t>MADIGAN, Mariah</t>
  </si>
  <si>
    <t>BERTHIAUME, Sara-Jade</t>
  </si>
  <si>
    <t>DAWSON, David</t>
  </si>
  <si>
    <t>KYFIUK, MacKenzie</t>
  </si>
  <si>
    <t>ARRUDA &amp; LOVE</t>
  </si>
  <si>
    <t>2000/1998</t>
  </si>
  <si>
    <t>FRIGON &amp; LEFAIVRE</t>
  </si>
  <si>
    <t>2002/2001</t>
  </si>
  <si>
    <t>BONHAM &amp; FLYNN</t>
  </si>
  <si>
    <t>Finals DD</t>
  </si>
  <si>
    <t>Remove athlete:</t>
  </si>
  <si>
    <t>1992/1998</t>
  </si>
  <si>
    <t>2019 Nationals</t>
  </si>
  <si>
    <t>DODD &amp; MOULD</t>
  </si>
  <si>
    <t>2003/2001</t>
  </si>
  <si>
    <t>AUBIN &amp; LEGACÉ</t>
  </si>
  <si>
    <t>CARLSON &amp; CHAMPAGNE</t>
  </si>
  <si>
    <t>2002/1999</t>
  </si>
  <si>
    <t>MILETTE &amp; TAM</t>
  </si>
  <si>
    <t>1997/1998</t>
  </si>
  <si>
    <t>1993/2002</t>
  </si>
  <si>
    <t>MADIGAN &amp; NAGANO</t>
  </si>
  <si>
    <t>2003/1998</t>
  </si>
  <si>
    <t>1998/1999</t>
  </si>
  <si>
    <t>CIRONE &amp; SOEHN</t>
  </si>
  <si>
    <t>BRIAND-BRIÈRE &amp; ROUX</t>
  </si>
  <si>
    <t>FERNANDES, Antonio</t>
  </si>
  <si>
    <t>CHARTIER &amp; SOEHN</t>
  </si>
  <si>
    <t>SHUH &amp; SOEHN</t>
  </si>
  <si>
    <t>ON/AB</t>
  </si>
  <si>
    <t>1997/1992</t>
  </si>
  <si>
    <t>Delete oldest international competitions</t>
  </si>
  <si>
    <t>2019 World Championships (Nov 30)</t>
  </si>
  <si>
    <t>2019 World Championships (Nov 29)</t>
  </si>
  <si>
    <t>2019 World Championships (Nov 28)</t>
  </si>
  <si>
    <t>2019 World Championships (Dec 1)</t>
  </si>
  <si>
    <t>2019 World Championships (Prelim+Semifinal) (Nov 30)</t>
  </si>
  <si>
    <t>2019 World Championships Semifinals (Nov 30)</t>
  </si>
  <si>
    <t>World Championships All-Around Team Final (Dec 1)</t>
  </si>
  <si>
    <t>2019 WAGC (Dec 5)</t>
  </si>
  <si>
    <t>2019 World Championships Team Finals (Nov 29)</t>
  </si>
  <si>
    <t>2019 WAGC (Dec 7)</t>
  </si>
  <si>
    <t>2020 World Cup AZE (Feb 15)</t>
  </si>
  <si>
    <t>2020 World Cup AZE (Feb 16)</t>
  </si>
  <si>
    <t>1998/1992</t>
  </si>
  <si>
    <t>QC/BC</t>
  </si>
  <si>
    <t>MÉTHOT &amp; SMITH</t>
  </si>
  <si>
    <t>NS</t>
  </si>
  <si>
    <t>DWYER, Kai</t>
  </si>
  <si>
    <t>AUBIN, Rémi</t>
  </si>
  <si>
    <t>FLYNN, Gabby</t>
  </si>
  <si>
    <t>DODD, Kristina</t>
  </si>
  <si>
    <t>NB</t>
  </si>
  <si>
    <t>RICHARD, Dexter</t>
  </si>
  <si>
    <t>PILLINGER, Taylor</t>
  </si>
  <si>
    <t>HARRISON, Emily</t>
  </si>
  <si>
    <t>LUPISH, Kieran</t>
  </si>
  <si>
    <t>2021 1st Virtual Technical Trial</t>
  </si>
  <si>
    <t>Merit DD</t>
  </si>
  <si>
    <t>Voluntary 3</t>
  </si>
  <si>
    <t>Vol 3</t>
  </si>
  <si>
    <t>Vol 2 DD</t>
  </si>
  <si>
    <t>Vol 3 DD</t>
  </si>
  <si>
    <t>Best Vol 2/3</t>
  </si>
  <si>
    <t>DD Standard</t>
  </si>
  <si>
    <t>Score Standard</t>
  </si>
  <si>
    <t>*Changed manually for 2021 rules</t>
  </si>
  <si>
    <t>*Only Keegan should have excellence here, not Jérémy</t>
  </si>
  <si>
    <t>*Bonham and Flynn should have excellence score (but not DD)</t>
  </si>
  <si>
    <t>DD Met</t>
  </si>
  <si>
    <t>LOVE, Ethan</t>
  </si>
  <si>
    <t>NAGANO, Mariko</t>
  </si>
  <si>
    <t>BONHAM, Maja</t>
  </si>
  <si>
    <t>PEDERSEN, Mitchel</t>
  </si>
  <si>
    <t>PHANEUF, Zoe</t>
  </si>
  <si>
    <t>BROWN, Hannah</t>
  </si>
  <si>
    <t>2019 WAGC (Dec 6)</t>
  </si>
  <si>
    <t>ZUREK, Nolan</t>
  </si>
  <si>
    <t>KARWACKI, Jordan</t>
  </si>
  <si>
    <t>2021 Rules</t>
  </si>
  <si>
    <t>Worlds Eligible</t>
  </si>
  <si>
    <t>2021 1st Technical Trial</t>
  </si>
  <si>
    <t>SÉROUART, Guillaume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</si>
</sst>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7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51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0" fontId="2" fillId="16" borderId="0" xfId="0" applyFont="1" applyFill="1" applyAlignment="1"/>
    <xf numFmtId="164" fontId="21" fillId="15" borderId="0" xfId="0" applyNumberFormat="1" applyFont="1" applyFill="1" applyProtection="1">
      <protection locked="0"/>
    </xf>
    <xf numFmtId="164" fontId="2" fillId="16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15" borderId="0" xfId="0" applyNumberFormat="1" applyFont="1" applyFill="1" applyAlignment="1" applyProtection="1">
      <protection locked="0"/>
    </xf>
    <xf numFmtId="164" fontId="2" fillId="16" borderId="0" xfId="0" applyNumberFormat="1" applyFont="1" applyFill="1" applyAlignment="1" applyProtection="1">
      <protection locked="0"/>
    </xf>
    <xf numFmtId="164" fontId="21" fillId="17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3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26" fillId="5" borderId="0" xfId="0" applyFont="1" applyFill="1" applyAlignment="1"/>
    <xf numFmtId="164" fontId="26" fillId="5" borderId="0" xfId="0" applyNumberFormat="1" applyFont="1" applyFill="1" applyProtection="1">
      <protection locked="0"/>
    </xf>
    <xf numFmtId="0" fontId="25" fillId="19" borderId="0" xfId="0" applyFont="1" applyFill="1" applyAlignment="1"/>
    <xf numFmtId="164" fontId="25" fillId="19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4" fontId="12" fillId="0" borderId="0" xfId="0" applyNumberFormat="1" applyFont="1" applyAlignment="1">
      <alignment horizontal="right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12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5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65</v>
      </c>
      <c r="B1" t="s">
        <v>1</v>
      </c>
      <c r="C1" t="s">
        <v>67</v>
      </c>
      <c r="D1" s="126" t="s">
        <v>16</v>
      </c>
      <c r="E1" s="52"/>
      <c r="F1" s="52"/>
      <c r="J1" s="52"/>
      <c r="K1" s="52"/>
      <c r="L1" s="52"/>
    </row>
    <row r="2" spans="1:12" x14ac:dyDescent="0.2">
      <c r="A2" s="10" t="s">
        <v>66</v>
      </c>
      <c r="B2" s="10">
        <v>1</v>
      </c>
      <c r="C2" s="10" t="str">
        <f>IF(B2&gt;MAX('TRA-M'!A:A),"",INDEX('TRA-M'!B:B,MATCH(B2,'TRA-M'!A:A,0)))</f>
        <v>CHARTIER, Jérémy</v>
      </c>
      <c r="D2" s="122" t="str">
        <f>IF(B2&gt;MAX('TRA-M'!A:A),"",INDEX('TRA-M'!I:I,MATCH(B2,'TRA-M'!A:A,0)))</f>
        <v>Merit</v>
      </c>
      <c r="E2" s="26"/>
      <c r="F2" s="26"/>
    </row>
    <row r="3" spans="1:12" x14ac:dyDescent="0.2">
      <c r="A3" s="10"/>
      <c r="B3" s="10">
        <v>2</v>
      </c>
      <c r="C3" s="10" t="str">
        <f>IF(B3&gt;MAX('TRA-M'!A:A),"",INDEX('TRA-M'!B:B,MATCH(B3,'TRA-M'!A:A,0)))</f>
        <v>SOEHN, Keegan</v>
      </c>
      <c r="D3" s="122" t="str">
        <f>IF(B3&gt;MAX('TRA-M'!A:A),"",INDEX('TRA-M'!I:I,MATCH(B3,'TRA-M'!A:A,0)))</f>
        <v>Excellence</v>
      </c>
      <c r="E3" s="26"/>
      <c r="F3" s="26"/>
    </row>
    <row r="4" spans="1:12" x14ac:dyDescent="0.2">
      <c r="A4" s="10"/>
      <c r="B4" s="10">
        <v>3</v>
      </c>
      <c r="C4" s="10" t="str">
        <f>IF(B4&gt;MAX('TRA-M'!A:A),"",INDEX('TRA-M'!B:B,MATCH(B4,'TRA-M'!A:A,0)))</f>
        <v>SHUH, Nathan</v>
      </c>
      <c r="D4" s="122" t="str">
        <f>IF(B4&gt;MAX('TRA-M'!A:A),"",INDEX('TRA-M'!I:I,MATCH(B4,'TRA-M'!A:A,0)))</f>
        <v>Worlds Team</v>
      </c>
      <c r="E4" s="26"/>
      <c r="F4" s="26"/>
    </row>
    <row r="5" spans="1:12" x14ac:dyDescent="0.2">
      <c r="A5" s="10"/>
      <c r="B5" s="10">
        <v>4</v>
      </c>
      <c r="C5" s="10" t="str">
        <f>IF(B5&gt;MAX('TRA-M'!A:A),"",INDEX('TRA-M'!B:B,MATCH(B5,'TRA-M'!A:A,0)))</f>
        <v>CRANHAM, Jacob</v>
      </c>
      <c r="D5" s="122" t="str">
        <f>IF(B5&gt;MAX('TRA-M'!A:A),"",INDEX('TRA-M'!I:I,MATCH(B5,'TRA-M'!A:A,0)))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DWYER, Kai</v>
      </c>
      <c r="D6" s="122" t="str">
        <f>IF(B6&gt;MAX('TRA-M'!A:A),"",INDEX('TRA-M'!I:I,MATCH(B6,'TRA-M'!A:A,0)))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BLAKELY, Zachary</v>
      </c>
      <c r="D7" s="122" t="str">
        <f>IF(B7&gt;MAX('TRA-M'!A:A),"",INDEX('TRA-M'!I:I,MATCH(B7,'TRA-M'!A:A,0)))</f>
        <v>National Team</v>
      </c>
      <c r="G7" s="53"/>
    </row>
    <row r="8" spans="1:12" x14ac:dyDescent="0.2">
      <c r="A8" s="10"/>
      <c r="B8" s="10">
        <v>7</v>
      </c>
      <c r="C8" s="10" t="str">
        <f>IF(B8&gt;MAX('TRA-M'!A:A),"",INDEX('TRA-M'!B:B,MATCH(B8,'TRA-M'!A:A,0)))</f>
        <v>SÉROUART, Guillaume</v>
      </c>
      <c r="D8" s="122" t="str">
        <f>IF(B8&gt;MAX('TRA-M'!A:A),"",INDEX('TRA-M'!I:I,MATCH(B8,'TRA-M'!A:A,0)))</f>
        <v>National Team</v>
      </c>
      <c r="G8" s="53"/>
    </row>
    <row r="9" spans="1:12" x14ac:dyDescent="0.2">
      <c r="A9" s="10"/>
      <c r="B9" s="10">
        <v>8</v>
      </c>
      <c r="C9" s="10" t="str">
        <f>IF(B9&gt;MAX('TRA-M'!A:A),"",INDEX('TRA-M'!B:B,MATCH(B9,'TRA-M'!A:A,0)))</f>
        <v>AUBIN, Rémi</v>
      </c>
      <c r="D9" s="122" t="str">
        <f>IF(B9&gt;MAX('TRA-M'!A:A),"",INDEX('TRA-M'!I:I,MATCH(B9,'TRA-M'!A:A,0)))</f>
        <v>Worlds Team</v>
      </c>
    </row>
    <row r="10" spans="1:12" x14ac:dyDescent="0.2">
      <c r="A10" s="13" t="s">
        <v>69</v>
      </c>
      <c r="B10" s="13">
        <v>1</v>
      </c>
      <c r="C10" s="13" t="str">
        <f>IF(B2&gt;MAX('TRA-W'!A:A),"",INDEX('TRA-W'!B:B,MATCH(B2,'TRA-W'!A:A,0)))</f>
        <v>MacLENNAN, Rosannagh</v>
      </c>
      <c r="D10" s="123" t="str">
        <f>IF(B2&gt;MAX('TRA-W'!A:A),"",INDEX('TRA-W'!I:I,MATCH(B2,'TRA-W'!A:A,0)))</f>
        <v>Merit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MILETTE, Sarah</v>
      </c>
      <c r="D11" s="128" t="str">
        <f>IF(B3&gt;MAX('TRA-W'!A:A),"",INDEX('TRA-W'!I:I,MATCH(B3,'TRA-W'!A:A,0)))</f>
        <v>Merit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MÉTHOT, Sophiane</v>
      </c>
      <c r="D12" s="128" t="str">
        <f>IF(B4&gt;MAX('TRA-W'!A:A),"",INDEX('TRA-W'!I:I,MATCH(B4,'TRA-W'!A:A,0)))</f>
        <v>Merit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SMITH, Samantha</v>
      </c>
      <c r="D13" s="128" t="str">
        <f>IF(B5&gt;MAX('TRA-W'!A:A),"",INDEX('TRA-W'!I:I,MATCH(B5,'TRA-W'!A:A,0)))</f>
        <v>Merit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TAM, Rachel</v>
      </c>
      <c r="D14" s="128" t="str">
        <f>IF(B6&gt;MAX('TRA-W'!A:A),"",INDEX('TRA-W'!I:I,MATCH(B6,'TRA-W'!A:A,0)))</f>
        <v>Excellence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MADIGAN, Mariah</v>
      </c>
      <c r="D15" s="128" t="str">
        <f>IF(B7&gt;MAX('TRA-W'!A:A),"",INDEX('TRA-W'!I:I,MATCH(B7,'TRA-W'!A:A,0)))</f>
        <v>Worlds Team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CIRONE, Domenica</v>
      </c>
      <c r="D16" s="128" t="str">
        <f>IF(B8&gt;MAX('TRA-W'!A:A),"",INDEX('TRA-W'!I:I,MATCH(B8,'TRA-W'!A:A,0)))</f>
        <v>Worlds Team</v>
      </c>
      <c r="J16" s="52"/>
    </row>
    <row r="17" spans="1:10" x14ac:dyDescent="0.2">
      <c r="A17" s="13"/>
      <c r="B17" s="13">
        <v>8</v>
      </c>
      <c r="C17" s="13" t="str">
        <f>IF(B9&gt;MAX('TRA-W'!A:A),"",INDEX('TRA-W'!B:B,MATCH(B9,'TRA-W'!A:A,0)))</f>
        <v>BERTHIAUME, Sara-Jade</v>
      </c>
      <c r="D17" s="128" t="str">
        <f>IF(B9&gt;MAX('TRA-W'!A:A),"",INDEX('TRA-W'!I:I,MATCH(B9,'TRA-W'!A:A,0)))</f>
        <v>National Team</v>
      </c>
      <c r="J17" s="52"/>
    </row>
    <row r="18" spans="1:10" x14ac:dyDescent="0.2">
      <c r="A18" s="10" t="s">
        <v>70</v>
      </c>
      <c r="B18" s="10">
        <v>1</v>
      </c>
      <c r="C18" s="10" t="str">
        <f>IF(B2&gt;MAX('SYN-M'!A:A),"",INDEX('SYN-M'!B:B,MATCH(B2,'SYN-M'!A:A,0)))</f>
        <v>CHARTIER &amp; SOEHN</v>
      </c>
      <c r="D18" s="122" t="str">
        <f>IF(B2&gt;MAX('SYN-M'!A:A),"",INDEX('SYN-M'!I:I,MATCH(B2,'SYN-M'!A:A,0)))</f>
        <v>National Team</v>
      </c>
      <c r="J18" s="52"/>
    </row>
    <row r="19" spans="1:10" x14ac:dyDescent="0.2">
      <c r="A19" s="10"/>
      <c r="B19" s="10">
        <v>2</v>
      </c>
      <c r="C19" s="10" t="str">
        <f>IF(B3&gt;MAX('SYN-M'!A:A),"",INDEX('SYN-M'!B:B,MATCH(B3,'SYN-M'!A:A,0)))</f>
        <v>SHUH &amp; SOEHN</v>
      </c>
      <c r="D19" s="122" t="str">
        <f>IF(B3&gt;MAX('SYN-M'!A:A),"",INDEX('SYN-M'!I:I,MATCH(B3,'SYN-M'!A:A,0)))</f>
        <v>Worlds Team</v>
      </c>
      <c r="J19" s="52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22" t="str">
        <f>IF(B4&gt;MAX('SYN-M'!A:A),"",INDEX('SYN-M'!I:I,MATCH(B4,'SYN-M'!A:A,0)))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22" t="str">
        <f>IF(B5&gt;MAX('SYN-M'!A:A),"",INDEX('SYN-M'!I:I,MATCH(B5,'SYN-M'!A:A,0)))</f>
        <v/>
      </c>
    </row>
    <row r="22" spans="1:10" x14ac:dyDescent="0.2">
      <c r="A22" s="13" t="s">
        <v>71</v>
      </c>
      <c r="B22" s="13">
        <v>1</v>
      </c>
      <c r="C22" s="13" t="str">
        <f>IF(B2&gt;MAX('SYN-W'!A:A),"",INDEX('SYN-W'!B:B,MATCH(B2,'SYN-W'!A:A,0)))</f>
        <v>MILETTE &amp; TAM</v>
      </c>
      <c r="D22" s="123" t="str">
        <f>IF(B2&gt;MAX('SYN-W'!A:A),"",INDEX('SYN-W'!I:I,MATCH(B2,'SYN-W'!A:A,0)))</f>
        <v>National Team</v>
      </c>
    </row>
    <row r="23" spans="1:10" x14ac:dyDescent="0.2">
      <c r="A23" s="13"/>
      <c r="B23" s="13">
        <v>2</v>
      </c>
      <c r="C23" s="13" t="str">
        <f>IF(B3&gt;MAX('SYN-W'!A:A),"",INDEX('SYN-W'!B:B,MATCH(B3,'SYN-W'!A:A,0)))</f>
        <v>SMITH &amp; TAM</v>
      </c>
      <c r="D23" s="128" t="str">
        <f>IF(B3&gt;MAX('SYN-W'!A:A),"",INDEX('SYN-W'!I:I,MATCH(B3,'SYN-W'!A:A,0)))</f>
        <v>Merit</v>
      </c>
    </row>
    <row r="24" spans="1:10" x14ac:dyDescent="0.2">
      <c r="A24" s="13"/>
      <c r="B24" s="13">
        <v>3</v>
      </c>
      <c r="C24" s="13" t="str">
        <f>IF(B4&gt;MAX('SYN-W'!A:A),"",INDEX('SYN-W'!B:B,MATCH(B4,'SYN-W'!A:A,0)))</f>
        <v>BONHAM &amp; FLYNN</v>
      </c>
      <c r="D24" s="128" t="str">
        <f>IF(B4&gt;MAX('SYN-W'!A:A),"",INDEX('SYN-W'!I:I,MATCH(B4,'SYN-W'!A:A,0)))</f>
        <v>No DD</v>
      </c>
    </row>
    <row r="25" spans="1:10" x14ac:dyDescent="0.2">
      <c r="A25" s="13"/>
      <c r="B25" s="13">
        <v>4</v>
      </c>
      <c r="C25" s="13" t="str">
        <f>IF(B5&gt;MAX('SYN-W'!A:A),"",INDEX('SYN-W'!B:B,MATCH(B5,'SYN-W'!A:A,0)))</f>
        <v>MADIGAN &amp; NAGANO</v>
      </c>
      <c r="D25" s="128" t="str">
        <f>IF(B5&gt;MAX('SYN-W'!A:A),"",INDEX('SYN-W'!I:I,MATCH(B5,'SYN-W'!A:A,0)))</f>
        <v>No DD</v>
      </c>
    </row>
    <row r="26" spans="1:10" x14ac:dyDescent="0.2">
      <c r="A26" s="10" t="s">
        <v>72</v>
      </c>
      <c r="B26" s="10">
        <v>1</v>
      </c>
      <c r="C26" s="10" t="str">
        <f>IF(B2&gt;MAX('TUM-M'!A:A),"",INDEX('TUM-M'!B:B,MATCH(B2,'TUM-M'!A:A,0)))</f>
        <v>FERNANDES, Antonio</v>
      </c>
      <c r="D26" s="122" t="str">
        <f>IF(B2&gt;MAX('TUM-M'!A:A),"",INDEX('TUM-M'!H:H,MATCH(B2,'TUM-M'!A:A,0)))</f>
        <v>Worlds Team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SUNDQUIST, Callum</v>
      </c>
      <c r="D27" s="122" t="str">
        <f>IF(B3&gt;MAX('TUM-M'!A:A),"",INDEX('TUM-M'!H:H,MATCH(B3,'TUM-M'!A:A,0)))</f>
        <v>National Team</v>
      </c>
    </row>
    <row r="28" spans="1:10" x14ac:dyDescent="0.2">
      <c r="A28" s="10"/>
      <c r="B28" s="10">
        <v>3</v>
      </c>
      <c r="C28" s="10" t="str">
        <f>IF(B4&gt;MAX('TUM-M'!A:A),"",INDEX('TUM-M'!B:B,MATCH(B4,'TUM-M'!A:A,0)))</f>
        <v>PEDERSEN, Mitchel</v>
      </c>
      <c r="D28" s="122" t="str">
        <f>IF(B4&gt;MAX('TUM-M'!A:A),"",INDEX('TUM-M'!H:H,MATCH(B4,'TUM-M'!A:A,0)))</f>
        <v>No DD</v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122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122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122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122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122" t="str">
        <f>IF(B9&gt;MAX('TUM-M'!A:A),"",INDEX('TUM-M'!H:H,MATCH(B9,'TUM-M'!A:A,0)))</f>
        <v/>
      </c>
    </row>
    <row r="34" spans="1:4" x14ac:dyDescent="0.2">
      <c r="A34" s="13" t="s">
        <v>73</v>
      </c>
      <c r="B34" s="13">
        <v>1</v>
      </c>
      <c r="C34" s="13" t="str">
        <f>IF(B2&gt;MAX('TUM-W'!A:A),"",INDEX('TUM-W'!B:B,MATCH(B2,'TUM-W'!A:A,0)))</f>
        <v>HIPEL, Zoe</v>
      </c>
      <c r="D34" s="123" t="str">
        <f>IF(B2&gt;MAX('TUM-W'!A:A),"",INDEX('TUM-W'!H:H,MATCH(B2,'TUM-W'!A:A,0)))</f>
        <v>Excellence</v>
      </c>
    </row>
    <row r="35" spans="1:4" x14ac:dyDescent="0.2">
      <c r="A35" s="13"/>
      <c r="B35" s="13">
        <v>2</v>
      </c>
      <c r="C35" s="13" t="str">
        <f>IF(B3&gt;MAX('TUM-W'!A:A),"",INDEX('TUM-W'!B:B,MATCH(B3,'TUM-W'!A:A,0)))</f>
        <v>HARRISON, Emily</v>
      </c>
      <c r="D35" s="123" t="str">
        <f>IF(B3&gt;MAX('TUM-W'!A:A),"",INDEX('TUM-W'!H:H,MATCH(B3,'TUM-W'!A:A,0)))</f>
        <v>Worlds Team</v>
      </c>
    </row>
    <row r="36" spans="1:4" x14ac:dyDescent="0.2">
      <c r="A36" s="13"/>
      <c r="B36" s="13">
        <v>3</v>
      </c>
      <c r="C36" s="13" t="str">
        <f>IF(B4&gt;MAX('TUM-W'!A:A),"",INDEX('TUM-W'!B:B,MATCH(B4,'TUM-W'!A:A,0)))</f>
        <v>PILLINGER, Taylor</v>
      </c>
      <c r="D36" s="123" t="str">
        <f>IF(B4&gt;MAX('TUM-W'!A:A),"",INDEX('TUM-W'!H:H,MATCH(B4,'TUM-W'!A:A,0)))</f>
        <v>No DD</v>
      </c>
    </row>
    <row r="37" spans="1:4" hidden="1" x14ac:dyDescent="0.2">
      <c r="A37" s="13"/>
      <c r="B37" s="13">
        <v>4</v>
      </c>
      <c r="C37" s="13" t="str">
        <f>IF(B5&gt;MAX('TUM-W'!A:A),"",INDEX('TUM-W'!B:B,MATCH(B5,'TUM-W'!A:A,0)))</f>
        <v/>
      </c>
      <c r="D37" s="123" t="str">
        <f>IF(B5&gt;MAX('TUM-W'!A:A),"",INDEX('TUM-W'!H:H,MATCH(B5,'TUM-W'!A:A,0)))</f>
        <v/>
      </c>
    </row>
    <row r="38" spans="1:4" hidden="1" x14ac:dyDescent="0.2">
      <c r="A38" s="13"/>
      <c r="B38" s="13">
        <v>5</v>
      </c>
      <c r="C38" s="13" t="str">
        <f>IF(B6&gt;MAX('TUM-W'!A:A),"",INDEX('TUM-W'!B:B,MATCH(B6,'TUM-W'!A:A,0)))</f>
        <v/>
      </c>
      <c r="D38" s="123" t="str">
        <f>IF(B6&gt;MAX('TUM-W'!A:A),"",INDEX('TUM-W'!H:H,MATCH(B6,'TUM-W'!A:A,0)))</f>
        <v/>
      </c>
    </row>
    <row r="39" spans="1:4" hidden="1" x14ac:dyDescent="0.2">
      <c r="A39" s="13"/>
      <c r="B39" s="13">
        <v>6</v>
      </c>
      <c r="C39" s="13" t="str">
        <f>IF(B7&gt;MAX('TUM-W'!A:A),"",INDEX('TUM-W'!B:B,MATCH(B7,'TUM-W'!A:A,0)))</f>
        <v/>
      </c>
      <c r="D39" s="123" t="str">
        <f>IF(B7&gt;MAX('TUM-W'!A:A),"",INDEX('TUM-W'!H:H,MATCH(B7,'TUM-W'!A:A,0)))</f>
        <v/>
      </c>
    </row>
    <row r="40" spans="1:4" hidden="1" x14ac:dyDescent="0.2">
      <c r="A40" s="13"/>
      <c r="B40" s="13">
        <v>7</v>
      </c>
      <c r="C40" s="13" t="str">
        <f>IF(B8&gt;MAX('TUM-W'!A:A),"",INDEX('TUM-W'!B:B,MATCH(B8,'TUM-W'!A:A,0)))</f>
        <v/>
      </c>
      <c r="D40" s="123" t="str">
        <f>IF(B8&gt;MAX('TUM-W'!A:A),"",INDEX('TUM-W'!H:H,MATCH(B8,'TUM-W'!A:A,0)))</f>
        <v/>
      </c>
    </row>
    <row r="41" spans="1:4" hidden="1" x14ac:dyDescent="0.2">
      <c r="A41" s="13"/>
      <c r="B41" s="13">
        <v>8</v>
      </c>
      <c r="C41" s="13" t="str">
        <f>IF(B9&gt;MAX('TUM-W'!A:A),"",INDEX('TUM-W'!B:B,MATCH(B9,'TUM-W'!A:A,0)))</f>
        <v/>
      </c>
      <c r="D41" s="123" t="str">
        <f>IF(B9&gt;MAX('TUM-W'!A:A),"",INDEX('TUM-W'!H:H,MATCH(B9,'TUM-W'!A:A,0)))</f>
        <v/>
      </c>
    </row>
    <row r="42" spans="1:4" x14ac:dyDescent="0.2">
      <c r="A42" s="10" t="s">
        <v>74</v>
      </c>
      <c r="B42" s="10">
        <v>1</v>
      </c>
      <c r="C42" s="10" t="str">
        <f>IF(B2&gt;MAX('DMT-M'!A:A),"",INDEX('DMT-M'!B:B,MATCH(B2,'DMT-M'!A:A,0)))</f>
        <v>BRUNO, Mario</v>
      </c>
      <c r="D42" s="122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122" t="str">
        <f>IF(B3&gt;MAX('DMT-M'!A:A),"",INDEX('DMT-M'!H:H,MATCH(B3,'DMT-M'!A:A,0)))</f>
        <v>Excellence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FERNANDES, Antonio</v>
      </c>
      <c r="D44" s="122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ARMSTRONG, Mark</v>
      </c>
      <c r="D45" s="122" t="str">
        <f>IF(B5&gt;MAX('DMT-M'!A:A),"",INDEX('DMT-M'!H:H,MATCH(B5,'DMT-M'!A:A,0)))</f>
        <v>National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CHATEAUVERT, Émile</v>
      </c>
      <c r="D46" s="122" t="str">
        <f>IF(B6&gt;MAX('DMT-M'!A:A),"",INDEX('DMT-M'!H:H,MATCH(B6,'DMT-M'!A:A,0)))</f>
        <v>National Team</v>
      </c>
    </row>
    <row r="47" spans="1:4" x14ac:dyDescent="0.2">
      <c r="A47" s="10"/>
      <c r="B47" s="10">
        <v>6</v>
      </c>
      <c r="C47" s="10" t="str">
        <f>IF(B7&gt;MAX('DMT-M'!A:A),"",INDEX('DMT-M'!B:B,MATCH(B7,'DMT-M'!A:A,0)))</f>
        <v>BLAKELY, Zachary</v>
      </c>
      <c r="D47" s="122" t="str">
        <f>IF(B7&gt;MAX('DMT-M'!A:A),"",INDEX('DMT-M'!H:H,MATCH(B7,'DMT-M'!A:A,0)))</f>
        <v>No DD</v>
      </c>
    </row>
    <row r="48" spans="1:4" x14ac:dyDescent="0.2">
      <c r="A48" s="10"/>
      <c r="B48" s="10">
        <v>7</v>
      </c>
      <c r="C48" s="10" t="str">
        <f>IF(B8&gt;MAX('DMT-M'!A:A),"",INDEX('DMT-M'!B:B,MATCH(B8,'DMT-M'!A:A,0)))</f>
        <v>DAWSON, David</v>
      </c>
      <c r="D48" s="122" t="str">
        <f>IF(B8&gt;MAX('DMT-M'!A:A),"",INDEX('DMT-M'!H:H,MATCH(B8,'DMT-M'!A:A,0)))</f>
        <v>No DD</v>
      </c>
    </row>
    <row r="49" spans="1:5" x14ac:dyDescent="0.2">
      <c r="A49" s="10"/>
      <c r="B49" s="10">
        <v>8</v>
      </c>
      <c r="C49" s="10" t="str">
        <f>IF(B9&gt;MAX('DMT-M'!A:A),"",INDEX('DMT-M'!B:B,MATCH(B9,'DMT-M'!A:A,0)))</f>
        <v>LEFAIVRE, Justin</v>
      </c>
      <c r="D49" s="122" t="str">
        <f>IF(B9&gt;MAX('DMT-M'!A:A),"",INDEX('DMT-M'!H:H,MATCH(B9,'DMT-M'!A:A,0)))</f>
        <v>No DD</v>
      </c>
    </row>
    <row r="50" spans="1:5" x14ac:dyDescent="0.2">
      <c r="A50" s="13" t="s">
        <v>75</v>
      </c>
      <c r="B50" s="13">
        <v>1</v>
      </c>
      <c r="C50" s="13" t="str">
        <f>IF(B2&gt;MAX('DMT-W'!A:A),"",INDEX('DMT-W'!B:B,MATCH(B2,'DMT-W'!A:A,0)))</f>
        <v>MILLER-BURKO, Jordyn</v>
      </c>
      <c r="D50" s="123" t="str">
        <f>IF(B2&gt;MAX('DMT-W'!A:A),"",INDEX('DMT-W'!H:H,MATCH(B2,'DMT-W'!A:A,0)))</f>
        <v>Merit</v>
      </c>
    </row>
    <row r="51" spans="1:5" x14ac:dyDescent="0.2">
      <c r="A51" s="13"/>
      <c r="B51" s="13">
        <v>2</v>
      </c>
      <c r="C51" s="13" t="str">
        <f>IF(B3&gt;MAX('DMT-W'!A:A),"",INDEX('DMT-W'!B:B,MATCH(B3,'DMT-W'!A:A,0)))</f>
        <v>ROUX, Laurence</v>
      </c>
      <c r="D51" s="123" t="str">
        <f>IF(B3&gt;MAX('DMT-W'!A:A),"",INDEX('DMT-W'!H:H,MATCH(B3,'DMT-W'!A:A,0)))</f>
        <v>Merit</v>
      </c>
    </row>
    <row r="52" spans="1:5" x14ac:dyDescent="0.2">
      <c r="A52" s="13"/>
      <c r="B52" s="13">
        <v>3</v>
      </c>
      <c r="C52" s="13" t="str">
        <f>IF(B4&gt;MAX('DMT-W'!A:A),"",INDEX('DMT-W'!B:B,MATCH(B4,'DMT-W'!A:A,0)))</f>
        <v>GRIEVE, Danielle</v>
      </c>
      <c r="D52" s="123" t="str">
        <f>IF(B4&gt;MAX('DMT-W'!A:A),"",INDEX('DMT-W'!H:H,MATCH(B4,'DMT-W'!A:A,0)))</f>
        <v>Merit</v>
      </c>
    </row>
    <row r="53" spans="1:5" x14ac:dyDescent="0.2">
      <c r="A53" s="13"/>
      <c r="B53" s="13">
        <v>4</v>
      </c>
      <c r="C53" s="13" t="str">
        <f>IF(B5&gt;MAX('DMT-W'!A:A),"",INDEX('DMT-W'!B:B,MATCH(B5,'DMT-W'!A:A,0)))</f>
        <v>FLYNN, Gabby</v>
      </c>
      <c r="D53" s="123" t="str">
        <f>IF(B5&gt;MAX('DMT-W'!A:A),"",INDEX('DMT-W'!H:H,MATCH(B5,'DMT-W'!A:A,0)))</f>
        <v>National Team</v>
      </c>
    </row>
    <row r="54" spans="1:5" x14ac:dyDescent="0.2">
      <c r="A54" s="13"/>
      <c r="B54" s="13">
        <v>5</v>
      </c>
      <c r="C54" s="13" t="str">
        <f>IF(B6&gt;MAX('DMT-W'!A:A),"",INDEX('DMT-W'!B:B,MATCH(B6,'DMT-W'!A:A,0)))</f>
        <v>NAKONECHNI, Haley</v>
      </c>
      <c r="D54" s="123" t="str">
        <f>IF(B6&gt;MAX('DMT-W'!A:A),"",INDEX('DMT-W'!H:H,MATCH(B6,'DMT-W'!A:A,0)))</f>
        <v>National Team</v>
      </c>
    </row>
    <row r="55" spans="1:5" x14ac:dyDescent="0.2">
      <c r="A55" s="13"/>
      <c r="B55" s="13">
        <v>6</v>
      </c>
      <c r="C55" s="13" t="str">
        <f>IF(B7&gt;MAX('DMT-W'!A:A),"",INDEX('DMT-W'!B:B,MATCH(B7,'DMT-W'!A:A,0)))</f>
        <v>SOEHN, Kalena</v>
      </c>
      <c r="D55" s="123" t="str">
        <f>IF(B7&gt;MAX('DMT-W'!A:A),"",INDEX('DMT-W'!H:H,MATCH(B7,'DMT-W'!A:A,0)))</f>
        <v>No DD</v>
      </c>
    </row>
    <row r="56" spans="1:5" hidden="1" x14ac:dyDescent="0.2">
      <c r="A56" s="13"/>
      <c r="B56" s="13">
        <v>7</v>
      </c>
      <c r="C56" s="13" t="str">
        <f>IF(B8&gt;MAX('DMT-W'!A:A),"",INDEX('DMT-W'!B:B,MATCH(B8,'DMT-W'!A:A,0)))</f>
        <v/>
      </c>
      <c r="D56" s="123" t="str">
        <f>IF(B8&gt;MAX('DMT-W'!A:A),"",INDEX('DMT-W'!H:H,MATCH(B8,'DMT-W'!A:A,0)))</f>
        <v/>
      </c>
    </row>
    <row r="57" spans="1:5" hidden="1" x14ac:dyDescent="0.2">
      <c r="A57" s="13"/>
      <c r="B57" s="13">
        <v>8</v>
      </c>
      <c r="C57" s="13" t="str">
        <f>IF(B9&gt;MAX('DMT-W'!A:A),"",INDEX('DMT-W'!B:B,MATCH(B9,'DMT-W'!A:A,0)))</f>
        <v/>
      </c>
      <c r="D57" s="123" t="str">
        <f>IF(B9&gt;MAX('DMT-W'!A:A),"",INDEX('DMT-W'!H:H,MATCH(B9,'DMT-W'!A:A,0)))</f>
        <v/>
      </c>
    </row>
    <row r="58" spans="1:5" x14ac:dyDescent="0.2">
      <c r="D58" s="126"/>
    </row>
    <row r="59" spans="1:5" x14ac:dyDescent="0.2">
      <c r="B59" s="52" t="s">
        <v>61</v>
      </c>
    </row>
    <row r="60" spans="1:5" x14ac:dyDescent="0.2">
      <c r="B60" s="52" t="s">
        <v>59</v>
      </c>
    </row>
    <row r="61" spans="1:5" x14ac:dyDescent="0.2">
      <c r="B61" s="52" t="s">
        <v>60</v>
      </c>
    </row>
    <row r="62" spans="1:5" x14ac:dyDescent="0.2">
      <c r="B62" s="26" t="s">
        <v>99</v>
      </c>
      <c r="D62" s="52" t="s">
        <v>97</v>
      </c>
    </row>
    <row r="63" spans="1:5" x14ac:dyDescent="0.2">
      <c r="B63" s="26" t="s">
        <v>140</v>
      </c>
      <c r="D63" s="52" t="s">
        <v>97</v>
      </c>
      <c r="E63" t="s">
        <v>97</v>
      </c>
    </row>
    <row r="64" spans="1:5" x14ac:dyDescent="0.2">
      <c r="B64" s="52" t="s">
        <v>98</v>
      </c>
      <c r="D64" s="52"/>
    </row>
    <row r="65" spans="1:4" x14ac:dyDescent="0.2">
      <c r="B65" s="52" t="s">
        <v>161</v>
      </c>
      <c r="D65" s="52"/>
    </row>
    <row r="66" spans="1:4" x14ac:dyDescent="0.2">
      <c r="A66" t="s">
        <v>68</v>
      </c>
      <c r="B66" s="134">
        <v>44266</v>
      </c>
      <c r="C66" s="134"/>
    </row>
    <row r="67" spans="1:4" x14ac:dyDescent="0.2">
      <c r="B67" s="107" t="s">
        <v>209</v>
      </c>
    </row>
    <row r="68" spans="1:4" x14ac:dyDescent="0.2">
      <c r="B68" s="107" t="s">
        <v>211</v>
      </c>
    </row>
    <row r="69" spans="1:4" x14ac:dyDescent="0.2">
      <c r="B69" s="52"/>
    </row>
    <row r="70" spans="1:4" x14ac:dyDescent="0.2">
      <c r="B70" s="52"/>
    </row>
    <row r="71" spans="1:4" x14ac:dyDescent="0.2">
      <c r="B71" s="52"/>
    </row>
  </sheetData>
  <sheetProtection formatCells="0" formatColumns="0" formatRows="0"/>
  <mergeCells count="1">
    <mergeCell ref="B66:C66"/>
  </mergeCells>
  <conditionalFormatting sqref="D2:D57">
    <cfRule type="containsText" dxfId="214" priority="1" operator="containsText" text="No DD">
      <formula>NOT(ISERROR(SEARCH("No DD",D2)))</formula>
    </cfRule>
    <cfRule type="containsText" dxfId="213" priority="4" operator="containsText" text="Merit">
      <formula>NOT(ISERROR(SEARCH("Merit",D2)))</formula>
    </cfRule>
    <cfRule type="containsText" dxfId="212" priority="5" operator="containsText" text="Excellence">
      <formula>NOT(ISERROR(SEARCH("Excellence",D2)))</formula>
    </cfRule>
    <cfRule type="containsText" dxfId="211" priority="6" operator="containsText" text="Worlds Team">
      <formula>NOT(ISERROR(SEARCH("Worlds Team",D2)))</formula>
    </cfRule>
    <cfRule type="containsText" dxfId="21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174" width="10.83203125" hidden="1" customWidth="1"/>
    <col min="175" max="181" width="10.83203125" customWidth="1"/>
    <col min="182" max="196" width="10.83203125" hidden="1" customWidth="1"/>
    <col min="197" max="203" width="10.83203125" customWidth="1"/>
    <col min="204" max="409" width="10.83203125" hidden="1" customWidth="1"/>
  </cols>
  <sheetData>
    <row r="1" spans="1:409" x14ac:dyDescent="0.2">
      <c r="A1" s="136" t="s">
        <v>1</v>
      </c>
      <c r="B1" s="136" t="s">
        <v>41</v>
      </c>
      <c r="C1" s="136" t="s">
        <v>0</v>
      </c>
      <c r="D1" s="136" t="s">
        <v>93</v>
      </c>
      <c r="E1" s="136" t="s">
        <v>2</v>
      </c>
      <c r="F1" s="136" t="s">
        <v>199</v>
      </c>
      <c r="G1" s="136" t="s">
        <v>194</v>
      </c>
      <c r="H1" s="136" t="s">
        <v>195</v>
      </c>
      <c r="I1" s="136" t="s">
        <v>16</v>
      </c>
      <c r="J1" s="136" t="s">
        <v>210</v>
      </c>
      <c r="K1" s="141" t="s">
        <v>17</v>
      </c>
      <c r="L1" s="141" t="s">
        <v>56</v>
      </c>
      <c r="M1" s="141" t="s">
        <v>18</v>
      </c>
      <c r="N1" s="141" t="s">
        <v>56</v>
      </c>
      <c r="O1" s="141" t="s">
        <v>193</v>
      </c>
      <c r="P1" s="141" t="s">
        <v>56</v>
      </c>
      <c r="Q1" s="141" t="s">
        <v>20</v>
      </c>
      <c r="R1" s="141" t="s">
        <v>56</v>
      </c>
      <c r="S1" s="140" t="s">
        <v>21</v>
      </c>
      <c r="T1" s="141" t="s">
        <v>57</v>
      </c>
      <c r="U1" s="141" t="s">
        <v>56</v>
      </c>
      <c r="V1" s="137" t="s">
        <v>126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9" t="s">
        <v>142</v>
      </c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7" t="s">
        <v>187</v>
      </c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42" t="s">
        <v>21</v>
      </c>
      <c r="DI1" s="142"/>
      <c r="DJ1" s="142"/>
      <c r="DK1" s="142"/>
      <c r="DL1" s="137" t="s">
        <v>166</v>
      </c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9" t="s">
        <v>168</v>
      </c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7" t="s">
        <v>171</v>
      </c>
      <c r="FE1" s="137"/>
      <c r="FF1" s="137"/>
      <c r="FG1" s="137"/>
      <c r="FH1" s="137"/>
      <c r="FI1" s="137"/>
      <c r="FJ1" s="137"/>
      <c r="FK1" s="137"/>
      <c r="FL1" s="137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9" t="s">
        <v>172</v>
      </c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7"/>
      <c r="GW1" s="137"/>
      <c r="GX1" s="137"/>
      <c r="GY1" s="137"/>
      <c r="GZ1" s="137"/>
      <c r="HA1" s="137"/>
      <c r="HB1" s="137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9"/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7"/>
      <c r="IO1" s="137"/>
      <c r="IP1" s="137"/>
      <c r="IQ1" s="137"/>
      <c r="IR1" s="137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7"/>
      <c r="KG1" s="137"/>
      <c r="KH1" s="137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7"/>
      <c r="LY1" s="137"/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7" t="s">
        <v>123</v>
      </c>
      <c r="NQ1" s="137"/>
      <c r="NR1" s="137"/>
      <c r="NS1" s="137"/>
      <c r="NT1" s="137"/>
      <c r="NU1" s="137"/>
      <c r="NV1" s="137"/>
      <c r="NW1" s="137"/>
      <c r="NX1" s="137"/>
      <c r="NY1" s="137"/>
      <c r="NZ1" s="137"/>
      <c r="OA1" s="137"/>
      <c r="OB1" s="137"/>
      <c r="OC1" s="137"/>
      <c r="OD1" s="137"/>
      <c r="OE1" s="137"/>
      <c r="OF1" s="137"/>
      <c r="OG1" s="137"/>
      <c r="OH1" s="137"/>
      <c r="OI1" s="137"/>
      <c r="OJ1" s="137"/>
      <c r="OK1" s="137"/>
      <c r="OL1" s="137"/>
      <c r="OM1" s="137"/>
      <c r="ON1" s="137"/>
      <c r="OO1" s="137"/>
      <c r="OP1" s="137"/>
      <c r="OQ1" s="137"/>
    </row>
    <row r="2" spans="1:409" x14ac:dyDescent="0.2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41"/>
      <c r="L2" s="141"/>
      <c r="M2" s="141"/>
      <c r="N2" s="141"/>
      <c r="O2" s="141"/>
      <c r="P2" s="141"/>
      <c r="Q2" s="141"/>
      <c r="R2" s="141"/>
      <c r="S2" s="140"/>
      <c r="T2" s="141"/>
      <c r="U2" s="141"/>
      <c r="V2" s="135" t="s">
        <v>26</v>
      </c>
      <c r="W2" s="135"/>
      <c r="X2" s="135"/>
      <c r="Y2" s="135"/>
      <c r="Z2" s="135"/>
      <c r="AA2" s="135" t="s">
        <v>27</v>
      </c>
      <c r="AB2" s="135"/>
      <c r="AC2" s="135"/>
      <c r="AD2" s="135"/>
      <c r="AE2" s="135"/>
      <c r="AF2" s="135" t="s">
        <v>189</v>
      </c>
      <c r="AG2" s="135"/>
      <c r="AH2" s="135"/>
      <c r="AI2" s="135"/>
      <c r="AJ2" s="135"/>
      <c r="AK2" s="135" t="s">
        <v>30</v>
      </c>
      <c r="AL2" s="135"/>
      <c r="AM2" s="135"/>
      <c r="AN2" s="135"/>
      <c r="AO2" s="135"/>
      <c r="AP2" s="77"/>
      <c r="AQ2" s="9" t="s">
        <v>28</v>
      </c>
      <c r="AR2" s="9" t="s">
        <v>191</v>
      </c>
      <c r="AS2" s="9" t="s">
        <v>29</v>
      </c>
      <c r="AT2" s="9" t="s">
        <v>192</v>
      </c>
      <c r="AU2" s="9" t="s">
        <v>190</v>
      </c>
      <c r="AV2" s="9" t="s">
        <v>31</v>
      </c>
      <c r="AW2" s="9" t="s">
        <v>139</v>
      </c>
      <c r="AX2" s="9" t="s">
        <v>30</v>
      </c>
      <c r="AY2" s="9" t="s">
        <v>25</v>
      </c>
      <c r="AZ2" s="138" t="s">
        <v>26</v>
      </c>
      <c r="BA2" s="138"/>
      <c r="BB2" s="138"/>
      <c r="BC2" s="138"/>
      <c r="BD2" s="138"/>
      <c r="BE2" s="138" t="s">
        <v>27</v>
      </c>
      <c r="BF2" s="138"/>
      <c r="BG2" s="138"/>
      <c r="BH2" s="138"/>
      <c r="BI2" s="138"/>
      <c r="BJ2" s="138" t="s">
        <v>189</v>
      </c>
      <c r="BK2" s="138"/>
      <c r="BL2" s="138"/>
      <c r="BM2" s="138"/>
      <c r="BN2" s="138"/>
      <c r="BO2" s="138" t="s">
        <v>30</v>
      </c>
      <c r="BP2" s="138"/>
      <c r="BQ2" s="138"/>
      <c r="BR2" s="138"/>
      <c r="BS2" s="138"/>
      <c r="BT2" s="76"/>
      <c r="BU2" s="12" t="s">
        <v>28</v>
      </c>
      <c r="BV2" s="12" t="s">
        <v>191</v>
      </c>
      <c r="BW2" s="12" t="s">
        <v>29</v>
      </c>
      <c r="BX2" s="12" t="s">
        <v>192</v>
      </c>
      <c r="BY2" s="12" t="s">
        <v>190</v>
      </c>
      <c r="BZ2" s="12" t="s">
        <v>31</v>
      </c>
      <c r="CA2" s="12" t="s">
        <v>139</v>
      </c>
      <c r="CB2" s="12" t="s">
        <v>30</v>
      </c>
      <c r="CC2" s="12" t="s">
        <v>25</v>
      </c>
      <c r="CD2" s="135" t="s">
        <v>26</v>
      </c>
      <c r="CE2" s="135"/>
      <c r="CF2" s="135"/>
      <c r="CG2" s="135"/>
      <c r="CH2" s="135"/>
      <c r="CI2" s="135" t="s">
        <v>27</v>
      </c>
      <c r="CJ2" s="135"/>
      <c r="CK2" s="135"/>
      <c r="CL2" s="135"/>
      <c r="CM2" s="135"/>
      <c r="CN2" s="135" t="s">
        <v>189</v>
      </c>
      <c r="CO2" s="135"/>
      <c r="CP2" s="135"/>
      <c r="CQ2" s="135"/>
      <c r="CR2" s="135"/>
      <c r="CS2" s="135" t="s">
        <v>30</v>
      </c>
      <c r="CT2" s="135"/>
      <c r="CU2" s="135"/>
      <c r="CV2" s="135"/>
      <c r="CW2" s="135"/>
      <c r="CX2" s="109"/>
      <c r="CY2" s="9" t="s">
        <v>28</v>
      </c>
      <c r="CZ2" s="9" t="s">
        <v>191</v>
      </c>
      <c r="DA2" s="9" t="s">
        <v>29</v>
      </c>
      <c r="DB2" s="9" t="s">
        <v>192</v>
      </c>
      <c r="DC2" s="9" t="s">
        <v>190</v>
      </c>
      <c r="DD2" s="9" t="s">
        <v>31</v>
      </c>
      <c r="DE2" s="9" t="s">
        <v>139</v>
      </c>
      <c r="DF2" s="9" t="s">
        <v>30</v>
      </c>
      <c r="DG2" s="9" t="s">
        <v>25</v>
      </c>
      <c r="DH2" s="22" t="s">
        <v>28</v>
      </c>
      <c r="DI2" s="22" t="s">
        <v>29</v>
      </c>
      <c r="DJ2" s="22" t="s">
        <v>31</v>
      </c>
      <c r="DK2" s="22" t="s">
        <v>30</v>
      </c>
      <c r="DL2" s="135" t="s">
        <v>26</v>
      </c>
      <c r="DM2" s="135"/>
      <c r="DN2" s="135"/>
      <c r="DO2" s="135"/>
      <c r="DP2" s="135"/>
      <c r="DQ2" s="135" t="s">
        <v>27</v>
      </c>
      <c r="DR2" s="135"/>
      <c r="DS2" s="135"/>
      <c r="DT2" s="135"/>
      <c r="DU2" s="135"/>
      <c r="DV2" s="135" t="s">
        <v>30</v>
      </c>
      <c r="DW2" s="135"/>
      <c r="DX2" s="135"/>
      <c r="DY2" s="135"/>
      <c r="DZ2" s="135"/>
      <c r="EA2" s="35" t="s">
        <v>114</v>
      </c>
      <c r="EB2" s="9" t="s">
        <v>28</v>
      </c>
      <c r="EC2" s="9" t="s">
        <v>29</v>
      </c>
      <c r="ED2" s="9" t="s">
        <v>31</v>
      </c>
      <c r="EE2" s="9" t="s">
        <v>139</v>
      </c>
      <c r="EF2" s="9" t="s">
        <v>30</v>
      </c>
      <c r="EG2" s="9" t="s">
        <v>25</v>
      </c>
      <c r="EH2" s="138" t="s">
        <v>26</v>
      </c>
      <c r="EI2" s="138"/>
      <c r="EJ2" s="138"/>
      <c r="EK2" s="138"/>
      <c r="EL2" s="138"/>
      <c r="EM2" s="138" t="s">
        <v>27</v>
      </c>
      <c r="EN2" s="138"/>
      <c r="EO2" s="138"/>
      <c r="EP2" s="138"/>
      <c r="EQ2" s="138"/>
      <c r="ER2" s="138" t="s">
        <v>30</v>
      </c>
      <c r="ES2" s="138"/>
      <c r="ET2" s="138"/>
      <c r="EU2" s="138"/>
      <c r="EV2" s="138"/>
      <c r="EW2" s="36" t="s">
        <v>114</v>
      </c>
      <c r="EX2" s="12" t="s">
        <v>28</v>
      </c>
      <c r="EY2" s="12" t="s">
        <v>29</v>
      </c>
      <c r="EZ2" s="12" t="s">
        <v>31</v>
      </c>
      <c r="FA2" s="12" t="s">
        <v>139</v>
      </c>
      <c r="FB2" s="12" t="s">
        <v>30</v>
      </c>
      <c r="FC2" s="12" t="s">
        <v>25</v>
      </c>
      <c r="FD2" s="135" t="s">
        <v>26</v>
      </c>
      <c r="FE2" s="135"/>
      <c r="FF2" s="135"/>
      <c r="FG2" s="135"/>
      <c r="FH2" s="135"/>
      <c r="FI2" s="135" t="s">
        <v>27</v>
      </c>
      <c r="FJ2" s="135"/>
      <c r="FK2" s="135"/>
      <c r="FL2" s="135"/>
      <c r="FM2" s="135"/>
      <c r="FN2" s="135" t="s">
        <v>30</v>
      </c>
      <c r="FO2" s="135"/>
      <c r="FP2" s="135"/>
      <c r="FQ2" s="135"/>
      <c r="FR2" s="135"/>
      <c r="FS2" s="35" t="s">
        <v>114</v>
      </c>
      <c r="FT2" s="9" t="s">
        <v>28</v>
      </c>
      <c r="FU2" s="9" t="s">
        <v>29</v>
      </c>
      <c r="FV2" s="9" t="s">
        <v>31</v>
      </c>
      <c r="FW2" s="9" t="s">
        <v>139</v>
      </c>
      <c r="FX2" s="9" t="s">
        <v>30</v>
      </c>
      <c r="FY2" s="9" t="s">
        <v>25</v>
      </c>
      <c r="FZ2" s="138" t="s">
        <v>26</v>
      </c>
      <c r="GA2" s="138"/>
      <c r="GB2" s="138"/>
      <c r="GC2" s="138"/>
      <c r="GD2" s="138"/>
      <c r="GE2" s="138" t="s">
        <v>27</v>
      </c>
      <c r="GF2" s="138"/>
      <c r="GG2" s="138"/>
      <c r="GH2" s="138"/>
      <c r="GI2" s="138"/>
      <c r="GJ2" s="138" t="s">
        <v>30</v>
      </c>
      <c r="GK2" s="138"/>
      <c r="GL2" s="138"/>
      <c r="GM2" s="138"/>
      <c r="GN2" s="138"/>
      <c r="GO2" s="36" t="s">
        <v>114</v>
      </c>
      <c r="GP2" s="12" t="s">
        <v>28</v>
      </c>
      <c r="GQ2" s="12" t="s">
        <v>29</v>
      </c>
      <c r="GR2" s="12" t="s">
        <v>31</v>
      </c>
      <c r="GS2" s="12" t="s">
        <v>139</v>
      </c>
      <c r="GT2" s="12" t="s">
        <v>30</v>
      </c>
      <c r="GU2" s="12" t="s">
        <v>25</v>
      </c>
      <c r="GV2" s="135" t="s">
        <v>26</v>
      </c>
      <c r="GW2" s="135"/>
      <c r="GX2" s="135"/>
      <c r="GY2" s="135"/>
      <c r="GZ2" s="135"/>
      <c r="HA2" s="135" t="s">
        <v>27</v>
      </c>
      <c r="HB2" s="135"/>
      <c r="HC2" s="135"/>
      <c r="HD2" s="135"/>
      <c r="HE2" s="135"/>
      <c r="HF2" s="135" t="s">
        <v>30</v>
      </c>
      <c r="HG2" s="135"/>
      <c r="HH2" s="135"/>
      <c r="HI2" s="135"/>
      <c r="HJ2" s="135"/>
      <c r="HK2" s="35" t="s">
        <v>114</v>
      </c>
      <c r="HL2" s="9" t="s">
        <v>28</v>
      </c>
      <c r="HM2" s="9" t="s">
        <v>29</v>
      </c>
      <c r="HN2" s="9" t="s">
        <v>31</v>
      </c>
      <c r="HO2" s="9" t="s">
        <v>139</v>
      </c>
      <c r="HP2" s="9" t="s">
        <v>30</v>
      </c>
      <c r="HQ2" s="9" t="s">
        <v>25</v>
      </c>
      <c r="HR2" s="138" t="s">
        <v>26</v>
      </c>
      <c r="HS2" s="138"/>
      <c r="HT2" s="138"/>
      <c r="HU2" s="138"/>
      <c r="HV2" s="138"/>
      <c r="HW2" s="138" t="s">
        <v>27</v>
      </c>
      <c r="HX2" s="138"/>
      <c r="HY2" s="138"/>
      <c r="HZ2" s="138"/>
      <c r="IA2" s="138"/>
      <c r="IB2" s="138" t="s">
        <v>30</v>
      </c>
      <c r="IC2" s="138"/>
      <c r="ID2" s="138"/>
      <c r="IE2" s="138"/>
      <c r="IF2" s="138"/>
      <c r="IG2" s="36" t="s">
        <v>114</v>
      </c>
      <c r="IH2" s="12" t="s">
        <v>28</v>
      </c>
      <c r="II2" s="12" t="s">
        <v>29</v>
      </c>
      <c r="IJ2" s="12" t="s">
        <v>31</v>
      </c>
      <c r="IK2" s="12" t="s">
        <v>139</v>
      </c>
      <c r="IL2" s="12" t="s">
        <v>30</v>
      </c>
      <c r="IM2" s="12" t="s">
        <v>25</v>
      </c>
      <c r="IN2" s="135" t="s">
        <v>26</v>
      </c>
      <c r="IO2" s="135"/>
      <c r="IP2" s="135"/>
      <c r="IQ2" s="135"/>
      <c r="IR2" s="135"/>
      <c r="IS2" s="135" t="s">
        <v>27</v>
      </c>
      <c r="IT2" s="135"/>
      <c r="IU2" s="135"/>
      <c r="IV2" s="135"/>
      <c r="IW2" s="135"/>
      <c r="IX2" s="135" t="s">
        <v>30</v>
      </c>
      <c r="IY2" s="135"/>
      <c r="IZ2" s="135"/>
      <c r="JA2" s="135"/>
      <c r="JB2" s="135"/>
      <c r="JC2" s="35" t="s">
        <v>114</v>
      </c>
      <c r="JD2" s="9" t="s">
        <v>28</v>
      </c>
      <c r="JE2" s="9" t="s">
        <v>29</v>
      </c>
      <c r="JF2" s="9" t="s">
        <v>31</v>
      </c>
      <c r="JG2" s="9" t="s">
        <v>139</v>
      </c>
      <c r="JH2" s="9" t="s">
        <v>30</v>
      </c>
      <c r="JI2" s="9" t="s">
        <v>25</v>
      </c>
      <c r="JJ2" s="138" t="s">
        <v>26</v>
      </c>
      <c r="JK2" s="138"/>
      <c r="JL2" s="138"/>
      <c r="JM2" s="138"/>
      <c r="JN2" s="138"/>
      <c r="JO2" s="138" t="s">
        <v>27</v>
      </c>
      <c r="JP2" s="138"/>
      <c r="JQ2" s="138"/>
      <c r="JR2" s="138"/>
      <c r="JS2" s="138"/>
      <c r="JT2" s="138" t="s">
        <v>30</v>
      </c>
      <c r="JU2" s="138"/>
      <c r="JV2" s="138"/>
      <c r="JW2" s="138"/>
      <c r="JX2" s="138"/>
      <c r="JY2" s="36" t="s">
        <v>114</v>
      </c>
      <c r="JZ2" s="12" t="s">
        <v>28</v>
      </c>
      <c r="KA2" s="12" t="s">
        <v>29</v>
      </c>
      <c r="KB2" s="12" t="s">
        <v>31</v>
      </c>
      <c r="KC2" s="12" t="s">
        <v>139</v>
      </c>
      <c r="KD2" s="12" t="s">
        <v>30</v>
      </c>
      <c r="KE2" s="12" t="s">
        <v>25</v>
      </c>
      <c r="KF2" s="135" t="s">
        <v>26</v>
      </c>
      <c r="KG2" s="135"/>
      <c r="KH2" s="135"/>
      <c r="KI2" s="135"/>
      <c r="KJ2" s="135"/>
      <c r="KK2" s="135" t="s">
        <v>27</v>
      </c>
      <c r="KL2" s="135"/>
      <c r="KM2" s="135"/>
      <c r="KN2" s="135"/>
      <c r="KO2" s="135"/>
      <c r="KP2" s="135" t="s">
        <v>30</v>
      </c>
      <c r="KQ2" s="135"/>
      <c r="KR2" s="135"/>
      <c r="KS2" s="135"/>
      <c r="KT2" s="135"/>
      <c r="KU2" s="35" t="s">
        <v>114</v>
      </c>
      <c r="KV2" s="9" t="s">
        <v>28</v>
      </c>
      <c r="KW2" s="9" t="s">
        <v>29</v>
      </c>
      <c r="KX2" s="9" t="s">
        <v>31</v>
      </c>
      <c r="KY2" s="9" t="s">
        <v>139</v>
      </c>
      <c r="KZ2" s="9" t="s">
        <v>30</v>
      </c>
      <c r="LA2" s="9" t="s">
        <v>25</v>
      </c>
      <c r="LB2" s="138" t="s">
        <v>26</v>
      </c>
      <c r="LC2" s="138"/>
      <c r="LD2" s="138"/>
      <c r="LE2" s="138"/>
      <c r="LF2" s="138"/>
      <c r="LG2" s="138" t="s">
        <v>27</v>
      </c>
      <c r="LH2" s="138"/>
      <c r="LI2" s="138"/>
      <c r="LJ2" s="138"/>
      <c r="LK2" s="138"/>
      <c r="LL2" s="138" t="s">
        <v>30</v>
      </c>
      <c r="LM2" s="138"/>
      <c r="LN2" s="138"/>
      <c r="LO2" s="138"/>
      <c r="LP2" s="138"/>
      <c r="LQ2" s="36" t="s">
        <v>114</v>
      </c>
      <c r="LR2" s="12" t="s">
        <v>28</v>
      </c>
      <c r="LS2" s="12" t="s">
        <v>29</v>
      </c>
      <c r="LT2" s="12" t="s">
        <v>31</v>
      </c>
      <c r="LU2" s="12" t="s">
        <v>139</v>
      </c>
      <c r="LV2" s="12" t="s">
        <v>30</v>
      </c>
      <c r="LW2" s="12" t="s">
        <v>25</v>
      </c>
      <c r="LX2" s="135" t="s">
        <v>26</v>
      </c>
      <c r="LY2" s="135"/>
      <c r="LZ2" s="135"/>
      <c r="MA2" s="135"/>
      <c r="MB2" s="135"/>
      <c r="MC2" s="135" t="s">
        <v>27</v>
      </c>
      <c r="MD2" s="135"/>
      <c r="ME2" s="135"/>
      <c r="MF2" s="135"/>
      <c r="MG2" s="135"/>
      <c r="MH2" s="135" t="s">
        <v>30</v>
      </c>
      <c r="MI2" s="135"/>
      <c r="MJ2" s="135"/>
      <c r="MK2" s="135"/>
      <c r="ML2" s="135"/>
      <c r="MM2" s="35" t="s">
        <v>114</v>
      </c>
      <c r="MN2" s="9" t="s">
        <v>28</v>
      </c>
      <c r="MO2" s="9" t="s">
        <v>29</v>
      </c>
      <c r="MP2" s="9" t="s">
        <v>31</v>
      </c>
      <c r="MQ2" s="9" t="s">
        <v>139</v>
      </c>
      <c r="MR2" s="9" t="s">
        <v>30</v>
      </c>
      <c r="MS2" s="9" t="s">
        <v>25</v>
      </c>
      <c r="MT2" s="138" t="s">
        <v>26</v>
      </c>
      <c r="MU2" s="138"/>
      <c r="MV2" s="138"/>
      <c r="MW2" s="138"/>
      <c r="MX2" s="138"/>
      <c r="MY2" s="138" t="s">
        <v>27</v>
      </c>
      <c r="MZ2" s="138"/>
      <c r="NA2" s="138"/>
      <c r="NB2" s="138"/>
      <c r="NC2" s="138"/>
      <c r="ND2" s="138" t="s">
        <v>30</v>
      </c>
      <c r="NE2" s="138"/>
      <c r="NF2" s="138"/>
      <c r="NG2" s="138"/>
      <c r="NH2" s="138"/>
      <c r="NI2" s="36" t="s">
        <v>114</v>
      </c>
      <c r="NJ2" s="12" t="s">
        <v>28</v>
      </c>
      <c r="NK2" s="12" t="s">
        <v>29</v>
      </c>
      <c r="NL2" s="12" t="s">
        <v>31</v>
      </c>
      <c r="NM2" s="12" t="s">
        <v>139</v>
      </c>
      <c r="NN2" s="12" t="s">
        <v>30</v>
      </c>
      <c r="NO2" s="12" t="s">
        <v>25</v>
      </c>
      <c r="NP2" s="135" t="s">
        <v>26</v>
      </c>
      <c r="NQ2" s="135"/>
      <c r="NR2" s="135"/>
      <c r="NS2" s="135"/>
      <c r="NT2" s="135"/>
      <c r="NU2" s="135" t="s">
        <v>27</v>
      </c>
      <c r="NV2" s="135"/>
      <c r="NW2" s="135"/>
      <c r="NX2" s="135"/>
      <c r="NY2" s="135"/>
      <c r="NZ2" s="135" t="s">
        <v>189</v>
      </c>
      <c r="OA2" s="135"/>
      <c r="OB2" s="135"/>
      <c r="OC2" s="135"/>
      <c r="OD2" s="135"/>
      <c r="OE2" s="135" t="s">
        <v>30</v>
      </c>
      <c r="OF2" s="135"/>
      <c r="OG2" s="135"/>
      <c r="OH2" s="135"/>
      <c r="OI2" s="135"/>
      <c r="OJ2" s="102"/>
      <c r="OK2" s="9" t="s">
        <v>28</v>
      </c>
      <c r="OL2" s="9" t="s">
        <v>191</v>
      </c>
      <c r="OM2" s="9" t="s">
        <v>29</v>
      </c>
      <c r="ON2" s="9" t="s">
        <v>192</v>
      </c>
      <c r="OO2" s="9" t="s">
        <v>190</v>
      </c>
      <c r="OP2" s="9" t="s">
        <v>31</v>
      </c>
      <c r="OQ2" s="9" t="s">
        <v>139</v>
      </c>
      <c r="OR2" s="9" t="s">
        <v>30</v>
      </c>
      <c r="OS2" s="9" t="s">
        <v>25</v>
      </c>
    </row>
    <row r="3" spans="1:409" x14ac:dyDescent="0.2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41"/>
      <c r="L3" s="141"/>
      <c r="M3" s="141"/>
      <c r="N3" s="141"/>
      <c r="O3" s="141"/>
      <c r="P3" s="141"/>
      <c r="Q3" s="141"/>
      <c r="R3" s="141"/>
      <c r="S3" s="140"/>
      <c r="T3" s="141"/>
      <c r="U3" s="141"/>
      <c r="V3" s="35" t="s">
        <v>22</v>
      </c>
      <c r="W3" s="35" t="s">
        <v>23</v>
      </c>
      <c r="X3" s="35" t="s">
        <v>14</v>
      </c>
      <c r="Y3" s="35" t="s">
        <v>24</v>
      </c>
      <c r="Z3" s="46" t="s">
        <v>44</v>
      </c>
      <c r="AA3" s="112" t="s">
        <v>22</v>
      </c>
      <c r="AB3" s="112" t="s">
        <v>23</v>
      </c>
      <c r="AC3" s="112" t="s">
        <v>14</v>
      </c>
      <c r="AD3" s="112" t="s">
        <v>24</v>
      </c>
      <c r="AE3" s="112" t="s">
        <v>44</v>
      </c>
      <c r="AF3" s="35" t="s">
        <v>22</v>
      </c>
      <c r="AG3" s="35" t="s">
        <v>23</v>
      </c>
      <c r="AH3" s="35" t="s">
        <v>14</v>
      </c>
      <c r="AI3" s="35" t="s">
        <v>24</v>
      </c>
      <c r="AJ3" s="46" t="s">
        <v>44</v>
      </c>
      <c r="AK3" s="35" t="s">
        <v>22</v>
      </c>
      <c r="AL3" s="35" t="s">
        <v>23</v>
      </c>
      <c r="AM3" s="35" t="s">
        <v>14</v>
      </c>
      <c r="AN3" s="35" t="s">
        <v>24</v>
      </c>
      <c r="AO3" s="46" t="s">
        <v>44</v>
      </c>
      <c r="AP3" s="77" t="s">
        <v>90</v>
      </c>
      <c r="AQ3" s="9"/>
      <c r="AR3" s="9"/>
      <c r="AS3" s="9"/>
      <c r="AT3" s="9"/>
      <c r="AU3" s="9"/>
      <c r="AV3" s="9"/>
      <c r="AW3" s="9"/>
      <c r="AX3" s="10"/>
      <c r="AY3" s="10"/>
      <c r="AZ3" s="36" t="s">
        <v>22</v>
      </c>
      <c r="BA3" s="36" t="s">
        <v>23</v>
      </c>
      <c r="BB3" s="36" t="s">
        <v>14</v>
      </c>
      <c r="BC3" s="36" t="s">
        <v>24</v>
      </c>
      <c r="BD3" s="47" t="s">
        <v>44</v>
      </c>
      <c r="BE3" s="113" t="s">
        <v>22</v>
      </c>
      <c r="BF3" s="113" t="s">
        <v>23</v>
      </c>
      <c r="BG3" s="113" t="s">
        <v>14</v>
      </c>
      <c r="BH3" s="113" t="s">
        <v>24</v>
      </c>
      <c r="BI3" s="113" t="s">
        <v>44</v>
      </c>
      <c r="BJ3" s="36" t="s">
        <v>22</v>
      </c>
      <c r="BK3" s="36" t="s">
        <v>23</v>
      </c>
      <c r="BL3" s="36" t="s">
        <v>14</v>
      </c>
      <c r="BM3" s="36" t="s">
        <v>24</v>
      </c>
      <c r="BN3" s="47" t="s">
        <v>44</v>
      </c>
      <c r="BO3" s="36" t="s">
        <v>22</v>
      </c>
      <c r="BP3" s="36" t="s">
        <v>23</v>
      </c>
      <c r="BQ3" s="36" t="s">
        <v>14</v>
      </c>
      <c r="BR3" s="47" t="s">
        <v>24</v>
      </c>
      <c r="BS3" s="36" t="s">
        <v>44</v>
      </c>
      <c r="BT3" s="76" t="s">
        <v>90</v>
      </c>
      <c r="BU3" s="12"/>
      <c r="BV3" s="12"/>
      <c r="BW3" s="12"/>
      <c r="BX3" s="12"/>
      <c r="BY3" s="12"/>
      <c r="BZ3" s="12"/>
      <c r="CA3" s="12"/>
      <c r="CB3" s="13"/>
      <c r="CC3" s="13"/>
      <c r="CD3" s="109" t="s">
        <v>22</v>
      </c>
      <c r="CE3" s="109" t="s">
        <v>23</v>
      </c>
      <c r="CF3" s="109" t="s">
        <v>14</v>
      </c>
      <c r="CG3" s="109" t="s">
        <v>24</v>
      </c>
      <c r="CH3" s="109" t="s">
        <v>44</v>
      </c>
      <c r="CI3" s="112" t="s">
        <v>22</v>
      </c>
      <c r="CJ3" s="112" t="s">
        <v>23</v>
      </c>
      <c r="CK3" s="112" t="s">
        <v>14</v>
      </c>
      <c r="CL3" s="112" t="s">
        <v>24</v>
      </c>
      <c r="CM3" s="112" t="s">
        <v>44</v>
      </c>
      <c r="CN3" s="109" t="s">
        <v>22</v>
      </c>
      <c r="CO3" s="109" t="s">
        <v>23</v>
      </c>
      <c r="CP3" s="109" t="s">
        <v>14</v>
      </c>
      <c r="CQ3" s="109" t="s">
        <v>24</v>
      </c>
      <c r="CR3" s="109" t="s">
        <v>44</v>
      </c>
      <c r="CS3" s="109" t="s">
        <v>22</v>
      </c>
      <c r="CT3" s="109" t="s">
        <v>23</v>
      </c>
      <c r="CU3" s="109" t="s">
        <v>14</v>
      </c>
      <c r="CV3" s="109" t="s">
        <v>24</v>
      </c>
      <c r="CW3" s="109" t="s">
        <v>44</v>
      </c>
      <c r="CX3" s="109" t="s">
        <v>90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35" t="s">
        <v>22</v>
      </c>
      <c r="DM3" s="35" t="s">
        <v>23</v>
      </c>
      <c r="DN3" s="35" t="s">
        <v>14</v>
      </c>
      <c r="DO3" s="35" t="s">
        <v>24</v>
      </c>
      <c r="DP3" s="46" t="s">
        <v>44</v>
      </c>
      <c r="DQ3" s="35" t="s">
        <v>22</v>
      </c>
      <c r="DR3" s="35" t="s">
        <v>23</v>
      </c>
      <c r="DS3" s="35" t="s">
        <v>14</v>
      </c>
      <c r="DT3" s="35" t="s">
        <v>24</v>
      </c>
      <c r="DU3" s="46" t="s">
        <v>44</v>
      </c>
      <c r="DV3" s="35" t="s">
        <v>22</v>
      </c>
      <c r="DW3" s="35" t="s">
        <v>23</v>
      </c>
      <c r="DX3" s="35" t="s">
        <v>14</v>
      </c>
      <c r="DY3" s="35" t="s">
        <v>24</v>
      </c>
      <c r="DZ3" s="46" t="s">
        <v>44</v>
      </c>
      <c r="EA3" s="10"/>
      <c r="EB3" s="9"/>
      <c r="EC3" s="9"/>
      <c r="ED3" s="9"/>
      <c r="EE3" s="9"/>
      <c r="EF3" s="10"/>
      <c r="EG3" s="10"/>
      <c r="EH3" s="36" t="s">
        <v>22</v>
      </c>
      <c r="EI3" s="36" t="s">
        <v>23</v>
      </c>
      <c r="EJ3" s="36" t="s">
        <v>14</v>
      </c>
      <c r="EK3" s="36" t="s">
        <v>24</v>
      </c>
      <c r="EL3" s="47" t="s">
        <v>44</v>
      </c>
      <c r="EM3" s="36" t="s">
        <v>22</v>
      </c>
      <c r="EN3" s="36" t="s">
        <v>23</v>
      </c>
      <c r="EO3" s="36" t="s">
        <v>14</v>
      </c>
      <c r="EP3" s="36" t="s">
        <v>24</v>
      </c>
      <c r="EQ3" s="47" t="s">
        <v>44</v>
      </c>
      <c r="ER3" s="36" t="s">
        <v>22</v>
      </c>
      <c r="ES3" s="36" t="s">
        <v>23</v>
      </c>
      <c r="ET3" s="36" t="s">
        <v>14</v>
      </c>
      <c r="EU3" s="36" t="s">
        <v>24</v>
      </c>
      <c r="EV3" s="51" t="s">
        <v>44</v>
      </c>
      <c r="EW3" s="13"/>
      <c r="EX3" s="12"/>
      <c r="EY3" s="12"/>
      <c r="EZ3" s="12"/>
      <c r="FA3" s="12"/>
      <c r="FB3" s="13"/>
      <c r="FC3" s="13"/>
      <c r="FD3" s="35" t="s">
        <v>22</v>
      </c>
      <c r="FE3" s="35" t="s">
        <v>23</v>
      </c>
      <c r="FF3" s="35" t="s">
        <v>14</v>
      </c>
      <c r="FG3" s="35" t="s">
        <v>24</v>
      </c>
      <c r="FH3" s="46" t="s">
        <v>44</v>
      </c>
      <c r="FI3" s="35" t="s">
        <v>22</v>
      </c>
      <c r="FJ3" s="35" t="s">
        <v>23</v>
      </c>
      <c r="FK3" s="35" t="s">
        <v>14</v>
      </c>
      <c r="FL3" s="35" t="s">
        <v>24</v>
      </c>
      <c r="FM3" s="46" t="s">
        <v>44</v>
      </c>
      <c r="FN3" s="35" t="s">
        <v>22</v>
      </c>
      <c r="FO3" s="35" t="s">
        <v>23</v>
      </c>
      <c r="FP3" s="35" t="s">
        <v>14</v>
      </c>
      <c r="FQ3" s="35" t="s">
        <v>24</v>
      </c>
      <c r="FR3" s="46" t="s">
        <v>44</v>
      </c>
      <c r="FS3" s="10"/>
      <c r="FT3" s="9"/>
      <c r="FU3" s="9"/>
      <c r="FV3" s="9"/>
      <c r="FW3" s="9"/>
      <c r="FX3" s="10"/>
      <c r="FY3" s="10"/>
      <c r="FZ3" s="36" t="s">
        <v>22</v>
      </c>
      <c r="GA3" s="36" t="s">
        <v>23</v>
      </c>
      <c r="GB3" s="36" t="s">
        <v>14</v>
      </c>
      <c r="GC3" s="36" t="s">
        <v>24</v>
      </c>
      <c r="GD3" s="47" t="s">
        <v>44</v>
      </c>
      <c r="GE3" s="36" t="s">
        <v>22</v>
      </c>
      <c r="GF3" s="36" t="s">
        <v>23</v>
      </c>
      <c r="GG3" s="36" t="s">
        <v>14</v>
      </c>
      <c r="GH3" s="36" t="s">
        <v>24</v>
      </c>
      <c r="GI3" s="47" t="s">
        <v>44</v>
      </c>
      <c r="GJ3" s="36" t="s">
        <v>22</v>
      </c>
      <c r="GK3" s="36" t="s">
        <v>23</v>
      </c>
      <c r="GL3" s="36" t="s">
        <v>14</v>
      </c>
      <c r="GM3" s="36" t="s">
        <v>24</v>
      </c>
      <c r="GN3" s="47" t="s">
        <v>44</v>
      </c>
      <c r="GO3" s="13"/>
      <c r="GP3" s="12"/>
      <c r="GQ3" s="12"/>
      <c r="GR3" s="12"/>
      <c r="GS3" s="12"/>
      <c r="GT3" s="13"/>
      <c r="GU3" s="13"/>
      <c r="GV3" s="35" t="s">
        <v>22</v>
      </c>
      <c r="GW3" s="35" t="s">
        <v>23</v>
      </c>
      <c r="GX3" s="35" t="s">
        <v>14</v>
      </c>
      <c r="GY3" s="35" t="s">
        <v>24</v>
      </c>
      <c r="GZ3" s="46" t="s">
        <v>44</v>
      </c>
      <c r="HA3" s="35" t="s">
        <v>22</v>
      </c>
      <c r="HB3" s="35" t="s">
        <v>23</v>
      </c>
      <c r="HC3" s="35" t="s">
        <v>14</v>
      </c>
      <c r="HD3" s="35" t="s">
        <v>24</v>
      </c>
      <c r="HE3" s="46" t="s">
        <v>44</v>
      </c>
      <c r="HF3" s="35" t="s">
        <v>22</v>
      </c>
      <c r="HG3" s="35" t="s">
        <v>23</v>
      </c>
      <c r="HH3" s="35" t="s">
        <v>14</v>
      </c>
      <c r="HI3" s="35" t="s">
        <v>24</v>
      </c>
      <c r="HJ3" s="46" t="s">
        <v>44</v>
      </c>
      <c r="HK3" s="10"/>
      <c r="HL3" s="9"/>
      <c r="HM3" s="9"/>
      <c r="HN3" s="9"/>
      <c r="HO3" s="9"/>
      <c r="HP3" s="10"/>
      <c r="HQ3" s="10"/>
      <c r="HR3" s="36" t="s">
        <v>22</v>
      </c>
      <c r="HS3" s="36" t="s">
        <v>23</v>
      </c>
      <c r="HT3" s="36" t="s">
        <v>14</v>
      </c>
      <c r="HU3" s="36" t="s">
        <v>24</v>
      </c>
      <c r="HV3" s="47" t="s">
        <v>44</v>
      </c>
      <c r="HW3" s="36" t="s">
        <v>22</v>
      </c>
      <c r="HX3" s="36" t="s">
        <v>23</v>
      </c>
      <c r="HY3" s="36" t="s">
        <v>14</v>
      </c>
      <c r="HZ3" s="36" t="s">
        <v>24</v>
      </c>
      <c r="IA3" s="47" t="s">
        <v>44</v>
      </c>
      <c r="IB3" s="36" t="s">
        <v>22</v>
      </c>
      <c r="IC3" s="36" t="s">
        <v>23</v>
      </c>
      <c r="ID3" s="36" t="s">
        <v>14</v>
      </c>
      <c r="IE3" s="36" t="s">
        <v>24</v>
      </c>
      <c r="IF3" s="47" t="s">
        <v>44</v>
      </c>
      <c r="IG3" s="13"/>
      <c r="IH3" s="12"/>
      <c r="II3" s="12"/>
      <c r="IJ3" s="12"/>
      <c r="IK3" s="12"/>
      <c r="IL3" s="13"/>
      <c r="IM3" s="13"/>
      <c r="IN3" s="35" t="s">
        <v>22</v>
      </c>
      <c r="IO3" s="35" t="s">
        <v>23</v>
      </c>
      <c r="IP3" s="35" t="s">
        <v>14</v>
      </c>
      <c r="IQ3" s="35" t="s">
        <v>24</v>
      </c>
      <c r="IR3" s="46" t="s">
        <v>44</v>
      </c>
      <c r="IS3" s="35" t="s">
        <v>22</v>
      </c>
      <c r="IT3" s="35" t="s">
        <v>23</v>
      </c>
      <c r="IU3" s="35" t="s">
        <v>14</v>
      </c>
      <c r="IV3" s="35" t="s">
        <v>24</v>
      </c>
      <c r="IW3" s="46" t="s">
        <v>44</v>
      </c>
      <c r="IX3" s="35" t="s">
        <v>22</v>
      </c>
      <c r="IY3" s="35" t="s">
        <v>23</v>
      </c>
      <c r="IZ3" s="35" t="s">
        <v>14</v>
      </c>
      <c r="JA3" s="35" t="s">
        <v>24</v>
      </c>
      <c r="JB3" s="46" t="s">
        <v>44</v>
      </c>
      <c r="JC3" s="10"/>
      <c r="JD3" s="9"/>
      <c r="JE3" s="9"/>
      <c r="JF3" s="9"/>
      <c r="JG3" s="9"/>
      <c r="JH3" s="10"/>
      <c r="JI3" s="10"/>
      <c r="JJ3" s="36" t="s">
        <v>22</v>
      </c>
      <c r="JK3" s="36" t="s">
        <v>23</v>
      </c>
      <c r="JL3" s="36" t="s">
        <v>14</v>
      </c>
      <c r="JM3" s="36" t="s">
        <v>24</v>
      </c>
      <c r="JN3" s="47" t="s">
        <v>44</v>
      </c>
      <c r="JO3" s="36" t="s">
        <v>22</v>
      </c>
      <c r="JP3" s="36" t="s">
        <v>23</v>
      </c>
      <c r="JQ3" s="36" t="s">
        <v>14</v>
      </c>
      <c r="JR3" s="36" t="s">
        <v>24</v>
      </c>
      <c r="JS3" s="47" t="s">
        <v>44</v>
      </c>
      <c r="JT3" s="36" t="s">
        <v>22</v>
      </c>
      <c r="JU3" s="36" t="s">
        <v>23</v>
      </c>
      <c r="JV3" s="36" t="s">
        <v>14</v>
      </c>
      <c r="JW3" s="36" t="s">
        <v>24</v>
      </c>
      <c r="JX3" s="47" t="s">
        <v>44</v>
      </c>
      <c r="JY3" s="13"/>
      <c r="JZ3" s="12"/>
      <c r="KA3" s="12"/>
      <c r="KB3" s="12"/>
      <c r="KC3" s="12"/>
      <c r="KD3" s="13"/>
      <c r="KE3" s="13"/>
      <c r="KF3" s="35" t="s">
        <v>22</v>
      </c>
      <c r="KG3" s="35" t="s">
        <v>23</v>
      </c>
      <c r="KH3" s="35" t="s">
        <v>14</v>
      </c>
      <c r="KI3" s="35" t="s">
        <v>24</v>
      </c>
      <c r="KJ3" s="46" t="s">
        <v>44</v>
      </c>
      <c r="KK3" s="35" t="s">
        <v>22</v>
      </c>
      <c r="KL3" s="35" t="s">
        <v>23</v>
      </c>
      <c r="KM3" s="35" t="s">
        <v>14</v>
      </c>
      <c r="KN3" s="35" t="s">
        <v>24</v>
      </c>
      <c r="KO3" s="46" t="s">
        <v>44</v>
      </c>
      <c r="KP3" s="35" t="s">
        <v>22</v>
      </c>
      <c r="KQ3" s="35" t="s">
        <v>23</v>
      </c>
      <c r="KR3" s="35" t="s">
        <v>14</v>
      </c>
      <c r="KS3" s="35" t="s">
        <v>24</v>
      </c>
      <c r="KT3" s="46" t="s">
        <v>44</v>
      </c>
      <c r="KU3" s="10"/>
      <c r="KV3" s="9"/>
      <c r="KW3" s="9"/>
      <c r="KX3" s="9"/>
      <c r="KY3" s="9"/>
      <c r="KZ3" s="10"/>
      <c r="LA3" s="10"/>
      <c r="LB3" s="36" t="s">
        <v>22</v>
      </c>
      <c r="LC3" s="36" t="s">
        <v>23</v>
      </c>
      <c r="LD3" s="36" t="s">
        <v>14</v>
      </c>
      <c r="LE3" s="36" t="s">
        <v>24</v>
      </c>
      <c r="LF3" s="47" t="s">
        <v>44</v>
      </c>
      <c r="LG3" s="36" t="s">
        <v>22</v>
      </c>
      <c r="LH3" s="36" t="s">
        <v>23</v>
      </c>
      <c r="LI3" s="36" t="s">
        <v>14</v>
      </c>
      <c r="LJ3" s="36" t="s">
        <v>24</v>
      </c>
      <c r="LK3" s="47" t="s">
        <v>44</v>
      </c>
      <c r="LL3" s="36" t="s">
        <v>22</v>
      </c>
      <c r="LM3" s="36" t="s">
        <v>23</v>
      </c>
      <c r="LN3" s="36" t="s">
        <v>14</v>
      </c>
      <c r="LO3" s="36" t="s">
        <v>24</v>
      </c>
      <c r="LP3" s="47" t="s">
        <v>44</v>
      </c>
      <c r="LQ3" s="13"/>
      <c r="LR3" s="12"/>
      <c r="LS3" s="12"/>
      <c r="LT3" s="12"/>
      <c r="LU3" s="12"/>
      <c r="LV3" s="13"/>
      <c r="LW3" s="13"/>
      <c r="LX3" s="35" t="s">
        <v>22</v>
      </c>
      <c r="LY3" s="35" t="s">
        <v>23</v>
      </c>
      <c r="LZ3" s="35" t="s">
        <v>14</v>
      </c>
      <c r="MA3" s="35" t="s">
        <v>24</v>
      </c>
      <c r="MB3" s="46" t="s">
        <v>44</v>
      </c>
      <c r="MC3" s="35" t="s">
        <v>22</v>
      </c>
      <c r="MD3" s="35" t="s">
        <v>23</v>
      </c>
      <c r="ME3" s="35" t="s">
        <v>14</v>
      </c>
      <c r="MF3" s="35" t="s">
        <v>24</v>
      </c>
      <c r="MG3" s="46" t="s">
        <v>44</v>
      </c>
      <c r="MH3" s="35" t="s">
        <v>22</v>
      </c>
      <c r="MI3" s="35" t="s">
        <v>23</v>
      </c>
      <c r="MJ3" s="35" t="s">
        <v>14</v>
      </c>
      <c r="MK3" s="35" t="s">
        <v>24</v>
      </c>
      <c r="ML3" s="46" t="s">
        <v>44</v>
      </c>
      <c r="MM3" s="10"/>
      <c r="MN3" s="9"/>
      <c r="MO3" s="9"/>
      <c r="MP3" s="9"/>
      <c r="MQ3" s="9"/>
      <c r="MR3" s="10"/>
      <c r="MS3" s="10"/>
      <c r="MT3" s="36" t="s">
        <v>22</v>
      </c>
      <c r="MU3" s="36" t="s">
        <v>23</v>
      </c>
      <c r="MV3" s="36" t="s">
        <v>14</v>
      </c>
      <c r="MW3" s="36" t="s">
        <v>24</v>
      </c>
      <c r="MX3" s="47" t="s">
        <v>44</v>
      </c>
      <c r="MY3" s="36" t="s">
        <v>22</v>
      </c>
      <c r="MZ3" s="36" t="s">
        <v>23</v>
      </c>
      <c r="NA3" s="36" t="s">
        <v>14</v>
      </c>
      <c r="NB3" s="36" t="s">
        <v>24</v>
      </c>
      <c r="NC3" s="47" t="s">
        <v>44</v>
      </c>
      <c r="ND3" s="36" t="s">
        <v>22</v>
      </c>
      <c r="NE3" s="36" t="s">
        <v>23</v>
      </c>
      <c r="NF3" s="36" t="s">
        <v>14</v>
      </c>
      <c r="NG3" s="36" t="s">
        <v>24</v>
      </c>
      <c r="NH3" s="47" t="s">
        <v>44</v>
      </c>
      <c r="NI3" s="13"/>
      <c r="NJ3" s="12"/>
      <c r="NK3" s="12"/>
      <c r="NL3" s="12"/>
      <c r="NM3" s="12"/>
      <c r="NN3" s="13"/>
      <c r="NO3" s="13"/>
      <c r="NP3" s="102" t="s">
        <v>22</v>
      </c>
      <c r="NQ3" s="102" t="s">
        <v>23</v>
      </c>
      <c r="NR3" s="102" t="s">
        <v>14</v>
      </c>
      <c r="NS3" s="102" t="s">
        <v>24</v>
      </c>
      <c r="NT3" s="102" t="s">
        <v>44</v>
      </c>
      <c r="NU3" s="112" t="s">
        <v>22</v>
      </c>
      <c r="NV3" s="112" t="s">
        <v>23</v>
      </c>
      <c r="NW3" s="112" t="s">
        <v>14</v>
      </c>
      <c r="NX3" s="112" t="s">
        <v>24</v>
      </c>
      <c r="NY3" s="112" t="s">
        <v>44</v>
      </c>
      <c r="NZ3" s="102" t="s">
        <v>22</v>
      </c>
      <c r="OA3" s="102" t="s">
        <v>23</v>
      </c>
      <c r="OB3" s="102" t="s">
        <v>14</v>
      </c>
      <c r="OC3" s="102" t="s">
        <v>24</v>
      </c>
      <c r="OD3" s="102" t="s">
        <v>44</v>
      </c>
      <c r="OE3" s="102" t="s">
        <v>22</v>
      </c>
      <c r="OF3" s="102" t="s">
        <v>23</v>
      </c>
      <c r="OG3" s="102" t="s">
        <v>14</v>
      </c>
      <c r="OH3" s="102" t="s">
        <v>24</v>
      </c>
      <c r="OI3" s="102" t="s">
        <v>44</v>
      </c>
      <c r="OJ3" s="102" t="s">
        <v>90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IF(AND(G4&lt;&gt;"",H4&lt;&gt;""),SUMPRODUCT((G$4:G$25&lt;&gt;"")*(H$4:H$25&lt;&gt;"")*(E$4:E$25&gt;E4))+1,IF(H4&lt;&gt;"",SUMPRODUCT((I$4:I$25="No DD")*(E$4:E$25&gt;E4))+1+SUMPRODUCT((G$4:G$25&lt;&gt;"")*(H$4:H$25&lt;&gt;"")),""))</f>
        <v>1</v>
      </c>
      <c r="B4" s="6" t="s">
        <v>100</v>
      </c>
      <c r="C4" s="7" t="s">
        <v>10</v>
      </c>
      <c r="D4" s="7">
        <v>2001</v>
      </c>
      <c r="E4" s="15">
        <f>SUM(K4:S4)</f>
        <v>278.57499999999999</v>
      </c>
      <c r="F4" s="3" t="str">
        <f>IF(G4&lt;&gt;"","P","")</f>
        <v>P</v>
      </c>
      <c r="G4" s="125" t="str">
        <f>IF(OR(AND(AR4&gt;=AY$30,AR4&lt;&gt;"",AP4=""),AND(AT4&gt;=AY$30,AT4&lt;&gt;"",AP4=""),AND(AW4&gt;=AY$30,AW4&lt;&gt;"",AP4=""),AND(BV4&gt;=CC$30,BV4&lt;&gt;"",BT4=""),AND(BX4&gt;=CC$30,BX4&lt;&gt;"",BT4=""),AND(CA4&gt;=CC$30,CA4&lt;&gt;"",BT4=""),AND(CZ4&gt;=DG$30,CZ4&lt;&gt;"",CX4=""),AND(DB4&gt;=DG$30,DB4&lt;&gt;"",CX4=""),AND(DE4&gt;=DG$30,DE4&lt;&gt;"",CX4=""),AND(EA4&gt;=EG$30,EA4&lt;&gt;""),AND(EE4&gt;=EG$30,EE4&lt;&gt;""),AND(EW4&gt;=FC$30,EW4&lt;&gt;""),AND(FA4&gt;=FC$30,FA4&lt;&gt;""),AND(FS4&gt;=FY$30,FS4&lt;&gt;""),AND(FW4&gt;=FY$30,FW4&lt;&gt;""),AND(GO4&gt;=GU$30,GO4&lt;&gt;""),AND(GS4&gt;=GU$30,GS4&lt;&gt;""),AND(HK4&gt;=HQ$30,HK4&lt;&gt;""),AND(HO4&gt;=HQ$30,HO4&lt;&gt;""),AND(IG4&gt;=IM$30,IG4&lt;&gt;""),AND(IK4&gt;=IM$30,IK4&lt;&gt;""),AND(JC4&gt;=JI$30,JC4&lt;&gt;""),AND(JG4&gt;=JI$30,JG4&lt;&gt;""),AND(JY4&gt;=KE$30,JY4&lt;&gt;""),AND(KC4&gt;=KE$30,KC4&lt;&gt;""),AND(KU4&gt;=LA$30,KU4&lt;&gt;""),AND(KY4&gt;=LA$30,KY4&lt;&gt;""),AND(LQ4&gt;=LW$30,LQ4&lt;&gt;""),AND(LU4&gt;=LW$30,LU4&lt;&gt;""),AND(MM4&gt;=MS$30,MM4&lt;&gt;""),AND(MQ4&gt;=MS$30,MQ4&lt;&gt;""),AND(NI4&gt;=NO$30,NI4&lt;&gt;""),AND(NM4&gt;=NO$30,NM4&lt;&gt;"")),"Merit",IF(OR(AND(AR4&gt;=AY$29,AR4&lt;&gt;"",AP4=""),AND(AT4&gt;=AY$29,AT4&lt;&gt;"",AP4=""),AND(AW4&gt;=AY$29,AW4&lt;&gt;"",AP4=""),AND(BV4&gt;=CC$29,BV4&lt;&gt;"",BT4=""),AND(BX4&gt;=CC$29,BX4&lt;&gt;"",BT4=""),AND(CA4&gt;=CC$29,CA4&lt;&gt;"",BT4=""),AND(CZ4&gt;=DG$29,CZ4&lt;&gt;"",CX4=""),AND(DB4&gt;=DG$29,DB4&lt;&gt;"",CX4=""),AND(DE4&gt;=DG$29,DE4&lt;&gt;"",CX4=""),AND(EA4&gt;=EG$29,EA4&lt;&gt;""),AND(EE4&gt;=EG$29,EE4&lt;&gt;""),AND(EW4&gt;=FC$29,EW4&lt;&gt;""),AND(FA4&gt;=FC$29,FA4&lt;&gt;""),AND(FS4&gt;=FY$29,FS4&lt;&gt;""),AND(FW4&gt;=FY$29,FW4&lt;&gt;""),AND(GO4&gt;=GU$29,GO4&lt;&gt;""),AND(GS4&gt;=GU$29,GS4&lt;&gt;""),AND(HK4&gt;=HQ$29,HK4&lt;&gt;""),AND(HO4&gt;=HQ$29,HO4&lt;&gt;""),AND(IG4&gt;=IM$29,IG4&lt;&gt;""),AND(IK4&gt;=IM$29,IK4&lt;&gt;""),AND(JC4&gt;=JI$29,JC4&lt;&gt;""),AND(JG4&gt;=JI$29,JG4&lt;&gt;""),AND(JY4&gt;=KE$29,JY4&lt;&gt;""),AND(KC4&gt;=KE$29,KC4&lt;&gt;""),AND(KU4&gt;=LA$29,KU4&lt;&gt;""),AND(KY4&gt;=LA$29,KY4&lt;&gt;""),AND(LQ4&gt;=LW$29,LQ4&lt;&gt;""),AND(LU4&gt;=LW$29,LU4&lt;&gt;""),AND(MM4&gt;=MS$29,MM4&lt;&gt;""),AND(MQ4&gt;=MS$29,MQ4&lt;&gt;""),AND(NI4&gt;=NO$29,NI4&lt;&gt;""),AND(NM4&gt;=NO$29,NM4&lt;&gt;"")),"Excellence",IF(OR(AND(AR4&gt;=AY$28,AR4&lt;&gt;"",AP4=""),AND(AT4&gt;=AY$28,AT4&lt;&gt;"",AP4=""),AND(AW4&gt;=AY$28,AW4&lt;&gt;"",AP4=""),AND(BV4&gt;=CC$28,BV4&lt;&gt;"",BT4=""),AND(BX4&gt;=CC$28,BX4&lt;&gt;"",BT4=""),AND(CA4&gt;=CC$28,CA4&lt;&gt;"",BT4=""),AND(CZ4&gt;=DG$28,CZ4&lt;&gt;"",CX4=""),AND(DB4&gt;=DG$28,DB4&lt;&gt;"",CX4=""),AND(DE4&gt;=DG$28,DE4&lt;&gt;"",CX4=""),AND(EA4&gt;=EG$28,EA4&lt;&gt;""),AND(EE4&gt;=EG$28,EE4&lt;&gt;""),AND(EW4&gt;=FC$28,EW4&lt;&gt;""),AND(FA4&gt;=FC$28,FA4&lt;&gt;""),AND(FS4&gt;=FY$28,FS4&lt;&gt;""),AND(FW4&gt;=FY$28,FW4&lt;&gt;""),AND(GO4&gt;=GU$28,GO4&lt;&gt;""),AND(GS4&gt;=GU$28,GS4&lt;&gt;""),AND(HK4&gt;=HQ$28,HK4&lt;&gt;""),AND(HO4&gt;=HQ$28,HO4&lt;&gt;""),AND(IG4&gt;=IM$28,IG4&lt;&gt;""),AND(IK4&gt;=IM$28,IK4&lt;&gt;""),AND(JC4&gt;=JI$28,JC4&lt;&gt;""),AND(JG4&gt;=JI$28,JG4&lt;&gt;""),AND(JY4&gt;=KE$28,JY4&lt;&gt;""),AND(KC4&gt;=KE$28,KC4&lt;&gt;""),AND(KU4&gt;=LA$28,KU4&lt;&gt;""),AND(KY4&gt;=LA$28,KY4&lt;&gt;""),AND(LQ4&gt;=LW$28,LQ4&lt;&gt;""),AND(LU4&gt;=LW$28,LU4&lt;&gt;""),AND(MM4&gt;=MS$28,MM4&lt;&gt;""),AND(MQ4&gt;=MS$28,MQ4&lt;&gt;""),AND(NI4&gt;=NO$28,NI4&lt;&gt;""),AND(NM4&gt;=NO$28,NM4&lt;&gt;"")),"Worlds Team",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National Team",""))))</f>
        <v>Merit</v>
      </c>
      <c r="H4" s="125" t="str">
        <f>IF(OR(AND(AS4&gt;=AY$34,AS4&lt;&gt;"",AP4=""),AND(AU4&gt;=AY$34,AU4&lt;&gt;"",AP4=""),AND(AX4&gt;=AY$34,AX4&lt;&gt;"",AP4=""),AND(BW4&gt;=CC$34,BW4&lt;&gt;"",BT4=""),AND(BY4&gt;=CC$34,BY4&lt;&gt;"",BT4=""),AND(CB4&gt;=CC$34,CB4&lt;&gt;"",BT4=""),AND(DA4&gt;=DG$34,DA4&lt;&gt;"",CX4=""),AND(DC4&gt;=DG$34,DC4&lt;&gt;"",CX4=""),AND(DF4&gt;=DG$34,DF4&lt;&gt;"",CX4=""),AND(EC4&gt;=EG$34,EC4&lt;&gt;""),AND(EF4&gt;=EG$34,EF4&lt;&gt;""),AND(EY4&gt;=FC$34,EY4&lt;&gt;""),AND(FB4&gt;=FC$34,FB4&lt;&gt;""),AND(FU4&gt;=FY$34,FU4&lt;&gt;""),AND(FX4&gt;=FY$34,FX4&lt;&gt;""),AND(GQ4&gt;=GU$34,GQ4&lt;&gt;""),AND(GT4&gt;=GU$34,GT4&lt;&gt;""),AND(HM4&gt;=HQ$34,HM4&lt;&gt;""),AND(HP4&gt;=HQ$34,HP4&lt;&gt;""),AND(II4&gt;=IM$34,II4&lt;&gt;""),AND(IL4&gt;=IM$34,IL4&lt;&gt;""),AND(JE4&gt;=JI$34,JE4&lt;&gt;""),AND(JH4&gt;=JI$34,JH4&lt;&gt;""),AND(KA4&gt;=KE$34,KA4&lt;&gt;""),AND(KD4&gt;=KE$34,KD4&lt;&gt;""),AND(KW4&gt;=LA$34,KW4&lt;&gt;""),AND(KZ4&gt;=LA$34,KZ4&lt;&gt;""),AND(LS4&gt;=LW$34,LS4&lt;&gt;""),AND(LV4&gt;=LW$34,LV4&lt;&gt;""),AND(MO4&gt;=MS$34,MO4&lt;&gt;""),AND(MR4&gt;=MS$34,MR4&lt;&gt;""),AND(NK4&gt;=NO$34,NK4&lt;&gt;""),AND(NN4&gt;=NO$34,NN4&lt;&gt;"")),"Merit",IF(OR(AND(AS4&gt;=AY$33,AS4&lt;&gt;"",AP4=""),AND(AU4&gt;=AY$33,AU4&lt;&gt;"",AP4=""),AND(AX4&gt;=AY$33,AX4&lt;&gt;"",AP4=""),AND(BW4&gt;=CC$33,BW4&lt;&gt;"",BT4=""),AND(BY4&gt;=CC$33,BY4&lt;&gt;"",BT4=""),AND(CB4&gt;=CC$33,CB4&lt;&gt;"",BT4=""),AND(DA4&gt;=DG$33,DA4&lt;&gt;"",CX4=""),AND(DC4&gt;=DG$33,DC4&lt;&gt;"",CX4=""),AND(DF4&gt;=DG$33,DF4&lt;&gt;"",CX4=""),AND(EC4&gt;=EG$33,EC4&lt;&gt;""),AND(EF4&gt;=EG$33,EF4&lt;&gt;""),AND(EY4&gt;=FC$33,EY4&lt;&gt;""),AND(FB4&gt;=FC$33,FB4&lt;&gt;""),AND(FU4&gt;=FY$33,FU4&lt;&gt;""),AND(FX4&gt;=FY$33,FX4&lt;&gt;""),AND(GQ4&gt;=GU$33,GQ4&lt;&gt;""),AND(GT4&gt;=GU$33,GT4&lt;&gt;""),AND(HM4&gt;=HQ$33,HM4&lt;&gt;""),AND(HP4&gt;=HQ$33,HP4&lt;&gt;""),AND(II4&gt;=IM$33,II4&lt;&gt;""),AND(IL4&gt;=IM$33,IL4&lt;&gt;""),AND(JE4&gt;=JI$33,JE4&lt;&gt;""),AND(JH4&gt;=JI$33,JH4&lt;&gt;""),AND(KA4&gt;=KE$33,KA4&lt;&gt;""),AND(KD4&gt;=KE$33,KD4&lt;&gt;""),AND(KW4&gt;=LA$33,KW4&lt;&gt;""),AND(KZ4&gt;=LA$33,KZ4&lt;&gt;""),AND(LS4&gt;=LW$33,LS4&lt;&gt;""),AND(LV4&gt;=LW$33,LV4&lt;&gt;""),AND(MO4&gt;=MS$33,MO4&lt;&gt;""),AND(MR4&gt;=MS$33,MR4&lt;&gt;""),AND(NK4&gt;=NO$33,NK4&lt;&gt;""),AND(NN4&gt;=NO$33,NN4&lt;&gt;"")),"Excellence",IF(OR(AND(AV4&gt;=AY$32,AV4&lt;&gt;"",AP4=""),AND(BZ4&gt;=CC$32,BZ4&lt;&gt;"",BT4=""),AND(DD4&gt;=DG$32,DD4&lt;&gt;"",CX4=""),AND(ED4&gt;=EG$32,ED4&lt;&gt;""),AND(EZ4&gt;=FC$32,EZ4&lt;&gt;""),AND(FV4&gt;=FY$32,FV4&lt;&gt;""),AND(GR4&gt;=GU$32,GR4&lt;&gt;""),AND(HN4&gt;=HQ$32,HN4&lt;&gt;""),AND(IJ4&gt;=IM$32,IJ4&lt;&gt;""),AND(JF4&gt;=JI$32,JF4&lt;&gt;""),AND(KB4&gt;=KE$32,KB4&lt;&gt;""),AND(KX4&gt;=LA$32,KX4&lt;&gt;""),AND(LT4&gt;=LW$32,LT4&lt;&gt;""),AND(MP4&gt;=MS$32,MP4&lt;&gt;""),AND(NL4&gt;=NO$32,NL4&lt;&gt;"")),"Worlds Team",IF(OR(AND(AV4&gt;=AY$31,AV4&lt;&gt;"",AP4=""),AND(BZ4&gt;=CC$31,BZ4&lt;&gt;"",BT4=""),AND(DD4&gt;=DG$31,DD4&lt;&gt;"",CX4=""),AND(ED4&gt;=EG$31,ED4&lt;&gt;""),AND(EZ4&gt;=FC$31,EZ4&lt;&gt;""),AND(FV4&gt;=FY$31,FV4&lt;&gt;""),AND(GR4&gt;=GU$31,GR4&lt;&gt;""),AND(HN4&gt;=HQ$31,HN4&lt;&gt;""),AND(IJ4&gt;=IM$31,IJ4&lt;&gt;""),AND(JF4&gt;=JI$31,JF4&lt;&gt;""),AND(KB4&gt;=KE$31,KB4&lt;&gt;""),AND(KX4&gt;=LA$31,KX4&lt;&gt;""),AND(LT4&gt;=LW$31,LT4&lt;&gt;""),AND(MP4&gt;=MS$31,MP4&lt;&gt;""),AND(NL4&gt;=NO$31,NL4&lt;&gt;"")),"National Team",""))))</f>
        <v>Merit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>IF(AND(OR(AND(AV4&gt;=AY$32,AV4&lt;&gt;"",AP4=""),AND(BZ4&gt;=CC$32,BZ4&lt;&gt;"",BT4=""),AND(DD4&gt;=DG$32,DD4&lt;&gt;"",CX4=""),AND(ED4&gt;=EG$32,ED4&lt;&gt;""),AND(EZ4&gt;=FC$32,EZ4&lt;&gt;""),AND(FV4&gt;=FY$32,FV4&lt;&gt;""),AND(GR4&gt;=GU$32,GR4&lt;&gt;""),AND(HN4&gt;=HQ$32,HN4&lt;&gt;""),AND(IJ4&gt;=IM$32,IJ4&lt;&gt;""),AND(JF4&gt;=JI$32,JF4&lt;&gt;""),AND(KB4&gt;=KE$32,KB4&lt;&gt;""),AND(KX4&gt;=LA$32,KX4&lt;&gt;""),AND(LT4&gt;=LW$32,LT4&lt;&gt;""),AND(MP4&gt;=MS$32,MP4&lt;&gt;""),AND(NL4&gt;=NO$32,NL4&lt;&gt;"")),OR(G4="Worlds Team",G4="Excellence",G4="Merit")),"P","")</f>
        <v>P</v>
      </c>
      <c r="K4" s="14">
        <f>IF(MAX(AV4,BZ4,DD4)&gt;0,MAX(AV4,BZ4,DD4),0)</f>
        <v>112.51</v>
      </c>
      <c r="L4" s="14" t="str">
        <f>IF(K4=0,"",IF(K4=DD4,$CD$1,IF(K4=BZ4,$AZ$1,IF(K4=AV4,$V$1,""))))</f>
        <v>2019 Nationals</v>
      </c>
      <c r="M4" s="14">
        <f>IF($K4=$AV4,MAX(BU4,CY4),IF($K4=$BZ4,MAX(AQ4,CY4),IF($K4=$DD4,MAX(AQ4,BU4),MAX(AQ4,BU4,CY4))))</f>
        <v>52.58</v>
      </c>
      <c r="N4" s="14" t="str">
        <f>IF(M4=0,"",IF(AND(M4=CY4,$L4&lt;&gt;$CD$1),$CD$1,IF(AND(M4=BU4,$L4&lt;&gt;$AZ$1),$AZ$1,IF(AND(M4=AQ4,$L4&lt;&gt;$V$1),$V$1,""))))</f>
        <v>2021 1st Virtual Technical Trial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59.63</v>
      </c>
      <c r="P4" s="14" t="str">
        <f>IF(O4=0,"",IF(OR(O4=DC4,O4=DA4),$CD$1,IF(OR(O4=BY4,O4=BW4),$AZ$1,IF(OR(O4=AU4,O4=AS4),$V$1,""))))</f>
        <v>2019 Elite Canada</v>
      </c>
      <c r="Q4" s="14">
        <f>MAX(AX4,CB4,DF4)</f>
        <v>53.854999999999997</v>
      </c>
      <c r="R4" s="14" t="str">
        <f>IF(Q4=0,"",IF(Q4=DF4,$CD$1,IF(Q4=CB4,$AZ$1,IF(Q4=AX4,$V$1,""))))</f>
        <v>2019 Nationals</v>
      </c>
      <c r="S4" s="14" t="str">
        <f>IF(MAX(DH4,DI4,DJ4,DK4)&gt;0,MAX(DH4,DI4,DJ4,DK4),"")</f>
        <v/>
      </c>
      <c r="T4" s="25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9">
        <v>11.3</v>
      </c>
      <c r="W4" s="69">
        <v>5.65</v>
      </c>
      <c r="X4" s="69">
        <v>0</v>
      </c>
      <c r="Y4" s="69">
        <v>11.215</v>
      </c>
      <c r="Z4" s="69">
        <v>0</v>
      </c>
      <c r="AA4" s="69">
        <v>17</v>
      </c>
      <c r="AB4" s="69">
        <v>9</v>
      </c>
      <c r="AC4" s="69">
        <v>16.2</v>
      </c>
      <c r="AD4" s="69">
        <v>17.43</v>
      </c>
      <c r="AE4" s="69">
        <v>0</v>
      </c>
      <c r="AF4" s="69"/>
      <c r="AG4" s="69"/>
      <c r="AH4" s="69"/>
      <c r="AI4" s="69"/>
      <c r="AJ4" s="69"/>
      <c r="AK4" s="69">
        <v>6.4</v>
      </c>
      <c r="AL4" s="69">
        <v>3.35</v>
      </c>
      <c r="AM4" s="69">
        <v>7.1</v>
      </c>
      <c r="AN4" s="69">
        <v>7.11</v>
      </c>
      <c r="AO4" s="69">
        <v>0</v>
      </c>
      <c r="AP4" s="80"/>
      <c r="AQ4" s="11">
        <f>IF(SUM(V4:Y4)-Z4&gt;0,SUM(V4:Y4)-Z4,"")</f>
        <v>28.165000000000003</v>
      </c>
      <c r="AR4" s="11">
        <f>IF(AC4&gt;0,AC4,"")</f>
        <v>16.2</v>
      </c>
      <c r="AS4" s="11">
        <f>IF(SUM(AA4:AD4)-AE4&gt;0,SUM(AA4:AD4)-AE4,"")</f>
        <v>59.63</v>
      </c>
      <c r="AT4" s="11" t="str">
        <f>IF(AH4&gt;0,AH4,"")</f>
        <v/>
      </c>
      <c r="AU4" s="11" t="str">
        <f>IF(SUM(AF4:AI4)-AJ4&gt;0,SUM(AF4:AI4)-AJ4,"")</f>
        <v/>
      </c>
      <c r="AV4" s="11">
        <f>IF(OR(AQ4&lt;&gt;"",AS4&lt;&gt;"",AU4&lt;&gt;""),AQ4+MAX(AS4,AU4),"")</f>
        <v>87.795000000000002</v>
      </c>
      <c r="AW4" s="11">
        <f>IF(AM4&gt;0,AM4,"")</f>
        <v>7.1</v>
      </c>
      <c r="AX4" s="11">
        <f>IF(SUM(AK4:AN4)-AO4&gt;0,SUM(AK4:AN4)-AO4,"")</f>
        <v>23.96</v>
      </c>
      <c r="AY4" s="11">
        <f>IF(SUM(AV4,AX4)&gt;0,SUM(AV4,AX4),"")</f>
        <v>111.755</v>
      </c>
      <c r="AZ4" s="75">
        <v>18.8</v>
      </c>
      <c r="BA4" s="75">
        <v>9.3000000000000007</v>
      </c>
      <c r="BB4" s="75">
        <v>5.7</v>
      </c>
      <c r="BC4" s="75">
        <v>18.62</v>
      </c>
      <c r="BD4" s="75">
        <v>0</v>
      </c>
      <c r="BE4" s="75">
        <v>17.600000000000001</v>
      </c>
      <c r="BF4" s="75">
        <v>9.1999999999999993</v>
      </c>
      <c r="BG4" s="75">
        <v>16.2</v>
      </c>
      <c r="BH4" s="75">
        <v>17.09</v>
      </c>
      <c r="BI4" s="75">
        <v>0</v>
      </c>
      <c r="BJ4" s="75"/>
      <c r="BK4" s="75"/>
      <c r="BL4" s="75"/>
      <c r="BM4" s="75"/>
      <c r="BN4" s="75"/>
      <c r="BO4" s="75">
        <v>15.14</v>
      </c>
      <c r="BP4" s="75">
        <v>8.5</v>
      </c>
      <c r="BQ4" s="75">
        <v>14.8</v>
      </c>
      <c r="BR4" s="75">
        <v>15.414999999999999</v>
      </c>
      <c r="BS4" s="75">
        <v>0</v>
      </c>
      <c r="BT4" s="81"/>
      <c r="BU4" s="14">
        <f>IF(SUM(AZ4:BC4)-BD4&gt;0,SUM(AZ4:BC4)-BD4,"")</f>
        <v>52.42</v>
      </c>
      <c r="BV4" s="14">
        <f>IF(BG4&gt;0,BG4,"")</f>
        <v>16.2</v>
      </c>
      <c r="BW4" s="14">
        <f>IF(SUM(BE4:BH4)-BI4&gt;0,SUM(BE4:BH4)-BI4,"")</f>
        <v>60.09</v>
      </c>
      <c r="BX4" s="14" t="str">
        <f>IF(BL4&gt;0,BL4,"")</f>
        <v/>
      </c>
      <c r="BY4" s="14" t="str">
        <f>IF(SUM(BJ4:BM4)-BN4&gt;0,SUM(BJ4:BM4)-BN4,"")</f>
        <v/>
      </c>
      <c r="BZ4" s="14">
        <f>IF(BU4="",IF(MAX(BW4,BY4)&gt;0,MAX(BW4,BY4),""),MAX(BW4,BY4)+BU4)</f>
        <v>112.51</v>
      </c>
      <c r="CA4" s="14">
        <f>IF(BQ4&gt;0,BQ4,"")</f>
        <v>14.8</v>
      </c>
      <c r="CB4" s="14">
        <f>IF(SUM(BO4:BR4)-BS4&gt;0,SUM(BO4:BR4)-BS4,"")</f>
        <v>53.854999999999997</v>
      </c>
      <c r="CC4" s="14">
        <f>IF(SUM(BZ4,CB4)&gt;0,SUM(BZ4,CB4),"")</f>
        <v>166.36500000000001</v>
      </c>
      <c r="CD4" s="69">
        <v>18.899999999999999</v>
      </c>
      <c r="CE4" s="69">
        <v>9.5</v>
      </c>
      <c r="CF4" s="69">
        <v>5.7</v>
      </c>
      <c r="CG4" s="69">
        <v>18.48</v>
      </c>
      <c r="CH4" s="69">
        <v>0</v>
      </c>
      <c r="CI4" s="69">
        <v>13.7</v>
      </c>
      <c r="CJ4" s="69">
        <v>7.15</v>
      </c>
      <c r="CK4" s="69">
        <v>12.3</v>
      </c>
      <c r="CL4" s="69">
        <v>13.76</v>
      </c>
      <c r="CM4" s="69">
        <v>0</v>
      </c>
      <c r="CN4" s="69">
        <v>3.4</v>
      </c>
      <c r="CO4" s="69">
        <v>1.7</v>
      </c>
      <c r="CP4" s="69">
        <v>3.4</v>
      </c>
      <c r="CQ4" s="69">
        <v>3.64</v>
      </c>
      <c r="CR4" s="69">
        <v>0</v>
      </c>
      <c r="CS4" s="69">
        <v>7.2</v>
      </c>
      <c r="CT4" s="69">
        <v>3.5</v>
      </c>
      <c r="CU4" s="69">
        <v>6.7</v>
      </c>
      <c r="CV4" s="69">
        <v>7.28</v>
      </c>
      <c r="CW4" s="69">
        <v>0</v>
      </c>
      <c r="CX4" s="80"/>
      <c r="CY4" s="11">
        <f>IF(SUM(CD4:CG4)-CH4&gt;0,SUM(CD4:CG4)-CH4,"")</f>
        <v>52.58</v>
      </c>
      <c r="CZ4" s="11">
        <f>IF(CK4&gt;0,CK4,"")</f>
        <v>12.3</v>
      </c>
      <c r="DA4" s="11">
        <f>IF(SUM(CI4:CL4)-CM4&gt;0,SUM(CI4:CL4)-CM4,"")</f>
        <v>46.910000000000004</v>
      </c>
      <c r="DB4" s="11">
        <f>IF(CP4&gt;0,CP4,"")</f>
        <v>3.4</v>
      </c>
      <c r="DC4" s="11">
        <f>IF(SUM(CN4:CQ4)-CR4&gt;0,SUM(CN4:CQ4)-CR4,"")</f>
        <v>12.14</v>
      </c>
      <c r="DD4" s="11">
        <f>IF(CY4="",IF(MAX(DA4,DC4)&gt;0,MAX(DA4,DC4),""),MAX(DA4,DC4)+CY4)</f>
        <v>99.490000000000009</v>
      </c>
      <c r="DE4" s="11">
        <f>IF(CU4&gt;0,CU4,"")</f>
        <v>6.7</v>
      </c>
      <c r="DF4" s="11">
        <f>IF(SUM(CS4:CV4)-CW4&gt;0,SUM(CS4:CV4)-CW4,"")</f>
        <v>24.68</v>
      </c>
      <c r="DG4" s="11">
        <f>IF(SUM(DD4,DF4)&gt;0,SUM(DD4,DF4),"")</f>
        <v>124.17000000000002</v>
      </c>
      <c r="DH4" s="24" t="str">
        <f>IF(MAX(EB4,EX4,FT4,GP4,HL4,IH4,JD4,JZ4,KV4,LR4,MN4,NJ4)-IF(M4="",0,M4)&gt;0.001,MAX(EB4,EX4,FT4,GP4,HL4,IH4,JD4,JZ4,KV4,LR4,MN4,NJ4)-IF(M4="",0,M4),"")</f>
        <v/>
      </c>
      <c r="DI4" s="24" t="str">
        <f>IF(MAX(EC4,EY4,FU4,GQ4,HM4,II4,JE4,KA4,KW4,LS4,MO4,NK4)-IF(O4="",0,O4)&gt;0.001,MAX(EC4,EY4,FU4,GQ4,HM4,II4,JE4,KA4,KW4,LS4,MO4,NK4)-IF(O4="",0,O4),"")</f>
        <v/>
      </c>
      <c r="DJ4" s="24" t="str">
        <f>IF(MAX(ED4,EZ4,FV4,GR4,HN4,IJ4,JF4,KB4,KX4,LT4,MP4,NL4)-IF(K4="",0,K4)&gt;0.001,MAX(ED4,EZ4,FV4,GR4,HN4,IJ4,JF4,KB4,KX4,LT4,MP4,NL4)-IF(K4="",0,K4),"")</f>
        <v/>
      </c>
      <c r="DK4" s="24" t="str">
        <f>IF(MAX(EF4,FB4,FX4,GT4,HP4,IL4,JH4,KD4,KZ4,LV4,MR4,NN4)-IF(Q4="",0,Q4)&gt;0.001,MAX(EF4,FB4,FX4,GT4,HP4,IL4,JH4,KD4,KZ4,LV4,MR4,NN4)-IF(Q4="",0,Q4),"")</f>
        <v/>
      </c>
      <c r="DL4" s="37">
        <v>13.4</v>
      </c>
      <c r="DM4" s="37">
        <v>6.2</v>
      </c>
      <c r="DN4" s="37">
        <v>1.2</v>
      </c>
      <c r="DO4" s="37">
        <v>13.09</v>
      </c>
      <c r="DP4" s="37">
        <v>0</v>
      </c>
      <c r="DQ4" s="37">
        <v>16.600000000000001</v>
      </c>
      <c r="DR4" s="37">
        <v>9.1999999999999993</v>
      </c>
      <c r="DS4" s="37">
        <v>16.2</v>
      </c>
      <c r="DT4" s="37">
        <v>17.085000000000001</v>
      </c>
      <c r="DU4" s="37">
        <v>0</v>
      </c>
      <c r="DV4" s="37"/>
      <c r="DW4" s="37"/>
      <c r="DX4" s="37"/>
      <c r="DY4" s="37"/>
      <c r="DZ4" s="37"/>
      <c r="EA4" s="11">
        <f>IF(DS4&gt;0,DS4,"")</f>
        <v>16.2</v>
      </c>
      <c r="EB4" s="11">
        <f>IF(SUM(DL4:DO4)-DP4&gt;0,SUM(DL4:DO4)-DP4,"")</f>
        <v>33.89</v>
      </c>
      <c r="EC4" s="11">
        <f>IF(SUM(DQ4:DT4)-DU4&gt;0,SUM(DQ4:DT4)-DU4,"")</f>
        <v>59.085000000000001</v>
      </c>
      <c r="ED4" s="11">
        <f>IF(SUM(EB4:EC4)&gt;0,SUM(EB4:EC4),"")</f>
        <v>92.974999999999994</v>
      </c>
      <c r="EE4" s="11" t="str">
        <f>IF(DX4&gt;0,DX4,"")</f>
        <v/>
      </c>
      <c r="EF4" s="11" t="str">
        <f>IF(SUM(DV4:DY4)-DZ4&gt;0,SUM(DV4:DY4)-DZ4,"")</f>
        <v/>
      </c>
      <c r="EG4" s="11">
        <f>IF(SUM(ED4,EF4)&gt;0,SUM(ED4,EF4),"")</f>
        <v>92.974999999999994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8">
        <v>18</v>
      </c>
      <c r="GA4" s="38">
        <v>9.3000000000000007</v>
      </c>
      <c r="GB4" s="38">
        <v>5.7</v>
      </c>
      <c r="GC4" s="38">
        <v>18.385000000000002</v>
      </c>
      <c r="GD4" s="38">
        <v>0</v>
      </c>
      <c r="GE4" s="38">
        <v>14.6</v>
      </c>
      <c r="GF4" s="38">
        <v>8.1999999999999993</v>
      </c>
      <c r="GG4" s="38">
        <v>14.4</v>
      </c>
      <c r="GH4" s="38">
        <v>15.305</v>
      </c>
      <c r="GI4" s="38">
        <v>0</v>
      </c>
      <c r="GJ4" s="38"/>
      <c r="GK4" s="38"/>
      <c r="GL4" s="38"/>
      <c r="GM4" s="38"/>
      <c r="GN4" s="38"/>
      <c r="GO4" s="14">
        <f>IF(GG4&gt;0,GG4,"")</f>
        <v>14.4</v>
      </c>
      <c r="GP4" s="14">
        <f>IF(SUM(FZ4:GC4)-GD4&gt;0,SUM(FZ4:GC4)-GD4,"")</f>
        <v>51.385000000000005</v>
      </c>
      <c r="GQ4" s="14">
        <f>IF(SUM(GE4:GH4)-GI4&gt;0,SUM(GE4:GH4)-GI4,"")</f>
        <v>52.504999999999995</v>
      </c>
      <c r="GR4" s="14">
        <f>IF(SUM(GP4:GQ4)&gt;0,SUM(GP4:GQ4),"")</f>
        <v>103.89</v>
      </c>
      <c r="GS4" s="14" t="str">
        <f>IF(GL4&gt;0,GL4,"")</f>
        <v/>
      </c>
      <c r="GT4" s="14" t="str">
        <f>IF(SUM(GJ4:GM4)-GN4&gt;0,SUM(GJ4:GM4)-GN4,"")</f>
        <v/>
      </c>
      <c r="GU4" s="14">
        <f>IF(SUM(GR4,GT4)&gt;0,SUM(GR4,GT4),"")</f>
        <v>103.89</v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18.850000000000001</v>
      </c>
      <c r="NQ4" s="69">
        <f>IF($CX4="P",CE4,(CE4+BA4)/2)</f>
        <v>9.4</v>
      </c>
      <c r="NR4" s="69">
        <f>IF($CX4="P",CF4,(CF4+BB4)/2)</f>
        <v>5.7</v>
      </c>
      <c r="NS4" s="69">
        <f>IF($CX4="P",CG4,(CG4+BC4)/2)</f>
        <v>18.55</v>
      </c>
      <c r="NT4" s="69">
        <f>IF($CX4="P",CH4,(CH4+BD4)/2)</f>
        <v>0</v>
      </c>
      <c r="NU4" s="69">
        <f>IF($CX4="P",CI4,(CI4+BE4)/2)</f>
        <v>15.65</v>
      </c>
      <c r="NV4" s="69">
        <f>IF($CX4="P",CJ4,(CJ4+BF4)/2)</f>
        <v>8.1750000000000007</v>
      </c>
      <c r="NW4" s="69">
        <f>IF($CX4="P",CK4,(CK4+BG4)/2)</f>
        <v>14.25</v>
      </c>
      <c r="NX4" s="69">
        <f>IF($CX4="P",CL4,(CL4+BH4)/2)</f>
        <v>15.425000000000001</v>
      </c>
      <c r="NY4" s="69">
        <f>IF($CX4="P",CM4,(CM4+BI4)/2)</f>
        <v>0</v>
      </c>
      <c r="NZ4" s="69">
        <f>IF($CX4="P",CN4,(CN4+BJ4)/2)</f>
        <v>1.7</v>
      </c>
      <c r="OA4" s="69">
        <f>IF($CX4="P",CO4,(CO4+BK4)/2)</f>
        <v>0.85</v>
      </c>
      <c r="OB4" s="69">
        <f>IF($CX4="P",CP4,(CP4+BL4)/2)</f>
        <v>1.7</v>
      </c>
      <c r="OC4" s="69">
        <f>IF($CX4="P",CQ4,(CQ4+BM4)/2)</f>
        <v>1.82</v>
      </c>
      <c r="OD4" s="69">
        <f>IF($CX4="P",CR4,(CR4+BN4)/2)</f>
        <v>0</v>
      </c>
      <c r="OE4" s="69">
        <f>IF($CX4="P",CS4,(CS4+BO4)/2)</f>
        <v>11.17</v>
      </c>
      <c r="OF4" s="69">
        <f>IF($CX4="P",CT4,(CT4+BP4)/2)</f>
        <v>6</v>
      </c>
      <c r="OG4" s="69">
        <f>IF($CX4="P",CU4,(CU4+BQ4)/2)</f>
        <v>10.75</v>
      </c>
      <c r="OH4" s="69">
        <f>IF($CX4="P",CV4,(CV4+BR4)/2)</f>
        <v>11.3475</v>
      </c>
      <c r="OI4" s="69">
        <f>IF($CX4="P",CW4,(CW4+BS4)/2)</f>
        <v>0</v>
      </c>
      <c r="OJ4" s="80" t="s">
        <v>91</v>
      </c>
      <c r="OK4" s="11">
        <f>IF(SUM(NP4:NS4)-NT4&gt;0,SUM(NP4:NS4)-NT4,"")</f>
        <v>52.5</v>
      </c>
      <c r="OL4" s="11">
        <f>IF(NW4&gt;0,NW4,"")</f>
        <v>14.25</v>
      </c>
      <c r="OM4" s="11">
        <f>IF(SUM(NU4:NX4)-NY4&gt;0,SUM(NU4:NX4)-NY4,"")</f>
        <v>53.5</v>
      </c>
      <c r="ON4" s="11">
        <f>IF(OB4&gt;0,OB4,"")</f>
        <v>1.7</v>
      </c>
      <c r="OO4" s="11">
        <f>IF(SUM(NZ4:OC4)-OD4&gt;0,SUM(NZ4:OC4)-OD4,"")</f>
        <v>6.07</v>
      </c>
      <c r="OP4" s="11">
        <f>IF(OR(OK4&lt;&gt;"",OM4&lt;&gt;"",OO4&lt;&gt;""),OK4+MAX(OM4,OO4),"")</f>
        <v>106</v>
      </c>
      <c r="OQ4" s="11">
        <f>IF(OG4&gt;0,OG4,"")</f>
        <v>10.75</v>
      </c>
      <c r="OR4" s="11">
        <f t="shared" ref="OR4:OR22" si="0">IF(SUM(OE4:OH4)-OI4&gt;0,SUM(OE4:OH4)-OI4,"")</f>
        <v>39.267499999999998</v>
      </c>
      <c r="OS4" s="11">
        <f>IF(SUM(OP4,OR4)&gt;0,SUM(OP4,OR4),"")</f>
        <v>145.26749999999998</v>
      </c>
    </row>
    <row r="5" spans="1:409" x14ac:dyDescent="0.2">
      <c r="A5" s="5" cm="1">
        <f t="array" ref="A5">IF(AND(G5&lt;&gt;"",H5&lt;&gt;""),SUMPRODUCT((G$4:G$25&lt;&gt;"")*(H$4:H$25&lt;&gt;"")*(E$4:E$25&gt;E5))+1,IF(H5&lt;&gt;"",SUMPRODUCT((I$4:I$25="No DD")*(E$4:E$25&gt;E5))+1+SUMPRODUCT((G$4:G$25&lt;&gt;"")*(H$4:H$25&lt;&gt;"")),""))</f>
        <v>2</v>
      </c>
      <c r="B5" s="8" t="s">
        <v>4</v>
      </c>
      <c r="C5" s="4" t="s">
        <v>5</v>
      </c>
      <c r="D5" s="5">
        <v>1992</v>
      </c>
      <c r="E5" s="15">
        <f>SUM(K5:S5)</f>
        <v>274.43</v>
      </c>
      <c r="F5" s="3" t="str">
        <f>IF(G5&lt;&gt;"","P","")</f>
        <v>P</v>
      </c>
      <c r="G5" s="125" t="str">
        <f>IF(OR(AND(AR5&gt;=AY$30,AR5&lt;&gt;"",AP5=""),AND(AT5&gt;=AY$30,AT5&lt;&gt;"",AP5=""),AND(AW5&gt;=AY$30,AW5&lt;&gt;"",AP5=""),AND(BV5&gt;=CC$30,BV5&lt;&gt;"",BT5=""),AND(BX5&gt;=CC$30,BX5&lt;&gt;"",BT5=""),AND(CA5&gt;=CC$30,CA5&lt;&gt;"",BT5=""),AND(CZ5&gt;=DG$30,CZ5&lt;&gt;"",CX5=""),AND(DB5&gt;=DG$30,DB5&lt;&gt;"",CX5=""),AND(DE5&gt;=DG$30,DE5&lt;&gt;"",CX5=""),AND(EA5&gt;=EG$30,EA5&lt;&gt;""),AND(EE5&gt;=EG$30,EE5&lt;&gt;""),AND(EW5&gt;=FC$30,EW5&lt;&gt;""),AND(FA5&gt;=FC$30,FA5&lt;&gt;""),AND(FS5&gt;=FY$30,FS5&lt;&gt;""),AND(FW5&gt;=FY$30,FW5&lt;&gt;""),AND(GO5&gt;=GU$30,GO5&lt;&gt;""),AND(GS5&gt;=GU$30,GS5&lt;&gt;""),AND(HK5&gt;=HQ$30,HK5&lt;&gt;""),AND(HO5&gt;=HQ$30,HO5&lt;&gt;""),AND(IG5&gt;=IM$30,IG5&lt;&gt;""),AND(IK5&gt;=IM$30,IK5&lt;&gt;""),AND(JC5&gt;=JI$30,JC5&lt;&gt;""),AND(JG5&gt;=JI$30,JG5&lt;&gt;""),AND(JY5&gt;=KE$30,JY5&lt;&gt;""),AND(KC5&gt;=KE$30,KC5&lt;&gt;""),AND(KU5&gt;=LA$30,KU5&lt;&gt;""),AND(KY5&gt;=LA$30,KY5&lt;&gt;""),AND(LQ5&gt;=LW$30,LQ5&lt;&gt;""),AND(LU5&gt;=LW$30,LU5&lt;&gt;""),AND(MM5&gt;=MS$30,MM5&lt;&gt;""),AND(MQ5&gt;=MS$30,MQ5&lt;&gt;""),AND(NI5&gt;=NO$30,NI5&lt;&gt;""),AND(NM5&gt;=NO$30,NM5&lt;&gt;"")),"Merit",IF(OR(AND(AR5&gt;=AY$29,AR5&lt;&gt;"",AP5=""),AND(AT5&gt;=AY$29,AT5&lt;&gt;"",AP5=""),AND(AW5&gt;=AY$29,AW5&lt;&gt;"",AP5=""),AND(BV5&gt;=CC$29,BV5&lt;&gt;"",BT5=""),AND(BX5&gt;=CC$29,BX5&lt;&gt;"",BT5=""),AND(CA5&gt;=CC$29,CA5&lt;&gt;"",BT5=""),AND(CZ5&gt;=DG$29,CZ5&lt;&gt;"",CX5=""),AND(DB5&gt;=DG$29,DB5&lt;&gt;"",CX5=""),AND(DE5&gt;=DG$29,DE5&lt;&gt;"",CX5=""),AND(EA5&gt;=EG$29,EA5&lt;&gt;""),AND(EE5&gt;=EG$29,EE5&lt;&gt;""),AND(EW5&gt;=FC$29,EW5&lt;&gt;""),AND(FA5&gt;=FC$29,FA5&lt;&gt;""),AND(FS5&gt;=FY$29,FS5&lt;&gt;""),AND(FW5&gt;=FY$29,FW5&lt;&gt;""),AND(GO5&gt;=GU$29,GO5&lt;&gt;""),AND(GS5&gt;=GU$29,GS5&lt;&gt;""),AND(HK5&gt;=HQ$29,HK5&lt;&gt;""),AND(HO5&gt;=HQ$29,HO5&lt;&gt;""),AND(IG5&gt;=IM$29,IG5&lt;&gt;""),AND(IK5&gt;=IM$29,IK5&lt;&gt;""),AND(JC5&gt;=JI$29,JC5&lt;&gt;""),AND(JG5&gt;=JI$29,JG5&lt;&gt;""),AND(JY5&gt;=KE$29,JY5&lt;&gt;""),AND(KC5&gt;=KE$29,KC5&lt;&gt;""),AND(KU5&gt;=LA$29,KU5&lt;&gt;""),AND(KY5&gt;=LA$29,KY5&lt;&gt;""),AND(LQ5&gt;=LW$29,LQ5&lt;&gt;""),AND(LU5&gt;=LW$29,LU5&lt;&gt;""),AND(MM5&gt;=MS$29,MM5&lt;&gt;""),AND(MQ5&gt;=MS$29,MQ5&lt;&gt;""),AND(NI5&gt;=NO$29,NI5&lt;&gt;""),AND(NM5&gt;=NO$29,NM5&lt;&gt;"")),"Excellence",IF(OR(AND(AR5&gt;=AY$28,AR5&lt;&gt;"",AP5=""),AND(AT5&gt;=AY$28,AT5&lt;&gt;"",AP5=""),AND(AW5&gt;=AY$28,AW5&lt;&gt;"",AP5=""),AND(BV5&gt;=CC$28,BV5&lt;&gt;"",BT5=""),AND(BX5&gt;=CC$28,BX5&lt;&gt;"",BT5=""),AND(CA5&gt;=CC$28,CA5&lt;&gt;"",BT5=""),AND(CZ5&gt;=DG$28,CZ5&lt;&gt;"",CX5=""),AND(DB5&gt;=DG$28,DB5&lt;&gt;"",CX5=""),AND(DE5&gt;=DG$28,DE5&lt;&gt;"",CX5=""),AND(EA5&gt;=EG$28,EA5&lt;&gt;""),AND(EE5&gt;=EG$28,EE5&lt;&gt;""),AND(EW5&gt;=FC$28,EW5&lt;&gt;""),AND(FA5&gt;=FC$28,FA5&lt;&gt;""),AND(FS5&gt;=FY$28,FS5&lt;&gt;""),AND(FW5&gt;=FY$28,FW5&lt;&gt;""),AND(GO5&gt;=GU$28,GO5&lt;&gt;""),AND(GS5&gt;=GU$28,GS5&lt;&gt;""),AND(HK5&gt;=HQ$28,HK5&lt;&gt;""),AND(HO5&gt;=HQ$28,HO5&lt;&gt;""),AND(IG5&gt;=IM$28,IG5&lt;&gt;""),AND(IK5&gt;=IM$28,IK5&lt;&gt;""),AND(JC5&gt;=JI$28,JC5&lt;&gt;""),AND(JG5&gt;=JI$28,JG5&lt;&gt;""),AND(JY5&gt;=KE$28,JY5&lt;&gt;""),AND(KC5&gt;=KE$28,KC5&lt;&gt;""),AND(KU5&gt;=LA$28,KU5&lt;&gt;""),AND(KY5&gt;=LA$28,KY5&lt;&gt;""),AND(LQ5&gt;=LW$28,LQ5&lt;&gt;""),AND(LU5&gt;=LW$28,LU5&lt;&gt;""),AND(MM5&gt;=MS$28,MM5&lt;&gt;""),AND(MQ5&gt;=MS$28,MQ5&lt;&gt;""),AND(NI5&gt;=NO$28,NI5&lt;&gt;""),AND(NM5&gt;=NO$28,NM5&lt;&gt;"")),"Worlds Team",IF(OR(AND(AR5&gt;=AY$27,AR5&lt;&gt;"",AP5=""),AND(AT5&gt;=AY$27,AT5&lt;&gt;"",AP5=""),AND(AW5&gt;=AY$27,AW5&lt;&gt;"",AP5=""),AND(BV5&gt;=CC$27,BV5&lt;&gt;"",BT5=""),AND(BX5&gt;=CC$27,BX5&lt;&gt;"",BT5=""),AND(CA5&gt;=CC$27,CA5&lt;&gt;"",BT5=""),AND(CZ5&gt;=DG$27,CZ5&lt;&gt;"",CX5=""),AND(DB5&gt;=DG$27,DB5&lt;&gt;"",CX5=""),AND(DE5&gt;=DG$27,DE5&lt;&gt;"",CX5=""),AND(EA5&gt;=EG$27,EA5&lt;&gt;""),AND(EE5&gt;=EG$27,EE5&lt;&gt;""),AND(EW5&gt;=FC$27,EW5&lt;&gt;""),AND(FA5&gt;=FC$27,FA5&lt;&gt;""),AND(FS5&gt;=FY$27,FS5&lt;&gt;""),AND(FW5&gt;=FY$27,FW5&lt;&gt;""),AND(GO5&gt;=GU$27,GO5&lt;&gt;""),AND(GS5&gt;=GU$27,GS5&lt;&gt;""),AND(HK5&gt;=HQ$27,HK5&lt;&gt;""),AND(HO5&gt;=HQ$27,HO5&lt;&gt;""),AND(IG5&gt;=IM$27,IG5&lt;&gt;""),AND(IK5&gt;=IM$27,IK5&lt;&gt;""),AND(JC5&gt;=JI$27,JC5&lt;&gt;""),AND(JG5&gt;=JI$27,JG5&lt;&gt;""),AND(JY5&gt;=KE$27,JY5&lt;&gt;""),AND(KC5&gt;=KE$27,KC5&lt;&gt;""),AND(KU5&gt;=LA$27,KU5&lt;&gt;""),AND(KY5&gt;=LA$27,KY5&lt;&gt;""),AND(LQ5&gt;=LW$27,LQ5&lt;&gt;""),AND(LU5&gt;=LW$27,LU5&lt;&gt;""),AND(MM5&gt;=MS$27,MM5&lt;&gt;""),AND(MQ5&gt;=MS$27,MQ5&lt;&gt;""),AND(NI5&gt;=NO$27,NI5&lt;&gt;""),AND(NM5&gt;=NO$27,NM5&lt;&gt;"")),"National Team",""))))</f>
        <v>Merit</v>
      </c>
      <c r="H5" s="125" t="str">
        <f>IF(OR(AND(AS5&gt;=AY$34,AS5&lt;&gt;"",AP5=""),AND(AU5&gt;=AY$34,AU5&lt;&gt;"",AP5=""),AND(AX5&gt;=AY$34,AX5&lt;&gt;"",AP5=""),AND(BW5&gt;=CC$34,BW5&lt;&gt;"",BT5=""),AND(BY5&gt;=CC$34,BY5&lt;&gt;"",BT5=""),AND(CB5&gt;=CC$34,CB5&lt;&gt;"",BT5=""),AND(DA5&gt;=DG$34,DA5&lt;&gt;"",CX5=""),AND(DC5&gt;=DG$34,DC5&lt;&gt;"",CX5=""),AND(DF5&gt;=DG$34,DF5&lt;&gt;"",CX5=""),AND(EC5&gt;=EG$34,EC5&lt;&gt;""),AND(EF5&gt;=EG$34,EF5&lt;&gt;""),AND(EY5&gt;=FC$34,EY5&lt;&gt;""),AND(FB5&gt;=FC$34,FB5&lt;&gt;""),AND(FU5&gt;=FY$34,FU5&lt;&gt;""),AND(FX5&gt;=FY$34,FX5&lt;&gt;""),AND(GQ5&gt;=GU$34,GQ5&lt;&gt;""),AND(GT5&gt;=GU$34,GT5&lt;&gt;""),AND(HM5&gt;=HQ$34,HM5&lt;&gt;""),AND(HP5&gt;=HQ$34,HP5&lt;&gt;""),AND(II5&gt;=IM$34,II5&lt;&gt;""),AND(IL5&gt;=IM$34,IL5&lt;&gt;""),AND(JE5&gt;=JI$34,JE5&lt;&gt;""),AND(JH5&gt;=JI$34,JH5&lt;&gt;""),AND(KA5&gt;=KE$34,KA5&lt;&gt;""),AND(KD5&gt;=KE$34,KD5&lt;&gt;""),AND(KW5&gt;=LA$34,KW5&lt;&gt;""),AND(KZ5&gt;=LA$34,KZ5&lt;&gt;""),AND(LS5&gt;=LW$34,LS5&lt;&gt;""),AND(LV5&gt;=LW$34,LV5&lt;&gt;""),AND(MO5&gt;=MS$34,MO5&lt;&gt;""),AND(MR5&gt;=MS$34,MR5&lt;&gt;""),AND(NK5&gt;=NO$34,NK5&lt;&gt;""),AND(NN5&gt;=NO$34,NN5&lt;&gt;"")),"Merit",IF(OR(AND(AS5&gt;=AY$33,AS5&lt;&gt;"",AP5=""),AND(AU5&gt;=AY$33,AU5&lt;&gt;"",AP5=""),AND(AX5&gt;=AY$33,AX5&lt;&gt;"",AP5=""),AND(BW5&gt;=CC$33,BW5&lt;&gt;"",BT5=""),AND(BY5&gt;=CC$33,BY5&lt;&gt;"",BT5=""),AND(CB5&gt;=CC$33,CB5&lt;&gt;"",BT5=""),AND(DA5&gt;=DG$33,DA5&lt;&gt;"",CX5=""),AND(DC5&gt;=DG$33,DC5&lt;&gt;"",CX5=""),AND(DF5&gt;=DG$33,DF5&lt;&gt;"",CX5=""),AND(EC5&gt;=EG$33,EC5&lt;&gt;""),AND(EF5&gt;=EG$33,EF5&lt;&gt;""),AND(EY5&gt;=FC$33,EY5&lt;&gt;""),AND(FB5&gt;=FC$33,FB5&lt;&gt;""),AND(FU5&gt;=FY$33,FU5&lt;&gt;""),AND(FX5&gt;=FY$33,FX5&lt;&gt;""),AND(GQ5&gt;=GU$33,GQ5&lt;&gt;""),AND(GT5&gt;=GU$33,GT5&lt;&gt;""),AND(HM5&gt;=HQ$33,HM5&lt;&gt;""),AND(HP5&gt;=HQ$33,HP5&lt;&gt;""),AND(II5&gt;=IM$33,II5&lt;&gt;""),AND(IL5&gt;=IM$33,IL5&lt;&gt;""),AND(JE5&gt;=JI$33,JE5&lt;&gt;""),AND(JH5&gt;=JI$33,JH5&lt;&gt;""),AND(KA5&gt;=KE$33,KA5&lt;&gt;""),AND(KD5&gt;=KE$33,KD5&lt;&gt;""),AND(KW5&gt;=LA$33,KW5&lt;&gt;""),AND(KZ5&gt;=LA$33,KZ5&lt;&gt;""),AND(LS5&gt;=LW$33,LS5&lt;&gt;""),AND(LV5&gt;=LW$33,LV5&lt;&gt;""),AND(MO5&gt;=MS$33,MO5&lt;&gt;""),AND(MR5&gt;=MS$33,MR5&lt;&gt;""),AND(NK5&gt;=NO$33,NK5&lt;&gt;""),AND(NN5&gt;=NO$33,NN5&lt;&gt;"")),"Excellence",IF(OR(AND(AV5&gt;=AY$32,AV5&lt;&gt;"",AP5=""),AND(BZ5&gt;=CC$32,BZ5&lt;&gt;"",BT5=""),AND(DD5&gt;=DG$32,DD5&lt;&gt;"",CX5=""),AND(ED5&gt;=EG$32,ED5&lt;&gt;""),AND(EZ5&gt;=FC$32,EZ5&lt;&gt;""),AND(FV5&gt;=FY$32,FV5&lt;&gt;""),AND(GR5&gt;=GU$32,GR5&lt;&gt;""),AND(HN5&gt;=HQ$32,HN5&lt;&gt;""),AND(IJ5&gt;=IM$32,IJ5&lt;&gt;""),AND(JF5&gt;=JI$32,JF5&lt;&gt;""),AND(KB5&gt;=KE$32,KB5&lt;&gt;""),AND(KX5&gt;=LA$32,KX5&lt;&gt;""),AND(LT5&gt;=LW$32,LT5&lt;&gt;""),AND(MP5&gt;=MS$32,MP5&lt;&gt;""),AND(NL5&gt;=NO$32,NL5&lt;&gt;"")),"Worlds Team",IF(OR(AND(AV5&gt;=AY$31,AV5&lt;&gt;"",AP5=""),AND(BZ5&gt;=CC$31,BZ5&lt;&gt;"",BT5=""),AND(DD5&gt;=DG$31,DD5&lt;&gt;"",CX5=""),AND(ED5&gt;=EG$31,ED5&lt;&gt;""),AND(EZ5&gt;=FC$31,EZ5&lt;&gt;""),AND(FV5&gt;=FY$31,FV5&lt;&gt;""),AND(GR5&gt;=GU$31,GR5&lt;&gt;""),AND(HN5&gt;=HQ$31,HN5&lt;&gt;""),AND(IJ5&gt;=IM$31,IJ5&lt;&gt;""),AND(JF5&gt;=JI$31,JF5&lt;&gt;""),AND(KB5&gt;=KE$31,KB5&lt;&gt;""),AND(KX5&gt;=LA$31,KX5&lt;&gt;""),AND(LT5&gt;=LW$31,LT5&lt;&gt;""),AND(MP5&gt;=MS$31,MP5&lt;&gt;""),AND(NL5&gt;=NO$31,NL5&lt;&gt;"")),"National Team",""))))</f>
        <v>Excellence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Excellence</v>
      </c>
      <c r="J5" s="3" t="str">
        <f>IF(AND(OR(AND(AV5&gt;=AY$32,AV5&lt;&gt;"",AP5=""),AND(BZ5&gt;=CC$32,BZ5&lt;&gt;"",BT5=""),AND(DD5&gt;=DG$32,DD5&lt;&gt;"",CX5=""),AND(ED5&gt;=EG$32,ED5&lt;&gt;""),AND(EZ5&gt;=FC$32,EZ5&lt;&gt;""),AND(FV5&gt;=FY$32,FV5&lt;&gt;""),AND(GR5&gt;=GU$32,GR5&lt;&gt;""),AND(HN5&gt;=HQ$32,HN5&lt;&gt;""),AND(IJ5&gt;=IM$32,IJ5&lt;&gt;""),AND(JF5&gt;=JI$32,JF5&lt;&gt;""),AND(KB5&gt;=KE$32,KB5&lt;&gt;""),AND(KX5&gt;=LA$32,KX5&lt;&gt;""),AND(LT5&gt;=LW$32,LT5&lt;&gt;""),AND(MP5&gt;=MS$32,MP5&lt;&gt;""),AND(NL5&gt;=NO$32,NL5&lt;&gt;"")),OR(G5="Worlds Team",G5="Excellence",G5="Merit")),"P","")</f>
        <v>P</v>
      </c>
      <c r="K5" s="14">
        <f>IF(MAX(AV5,BZ5,DD5)&gt;0,MAX(AV5,BZ5,DD5),0)</f>
        <v>108.08500000000001</v>
      </c>
      <c r="L5" s="14" t="str">
        <f>IF(K5=0,"",IF(K5=DD5,$CD$1,IF(K5=BZ5,$AZ$1,IF(K5=AV5,$V$1,""))))</f>
        <v>2019 Nationals</v>
      </c>
      <c r="M5" s="14">
        <f>IF($K5=$AV5,MAX(BU5,CY5),IF($K5=$BZ5,MAX(AQ5,CY5),IF($K5=$DD5,MAX(AQ5,BU5),MAX(AQ5,BU5,CY5))))</f>
        <v>50.110000000000007</v>
      </c>
      <c r="N5" s="14" t="str">
        <f>IF(M5=0,"",IF(AND(M5=CY5,$L5&lt;&gt;$CD$1),$CD$1,IF(AND(M5=BU5,$L5&lt;&gt;$AZ$1),$AZ$1,IF(AND(M5=AQ5,$L5&lt;&gt;$V$1),$V$1,""))))</f>
        <v>2021 1st Virtual Technical Trial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57.575000000000003</v>
      </c>
      <c r="P5" s="14" t="str">
        <f>IF(O5=0,"",IF(OR(O5=DC5,O5=DA5),$CD$1,IF(OR(O5=BY5,O5=BW5),$AZ$1,IF(OR(O5=AU5,O5=AS5),$V$1,""))))</f>
        <v>2021 1st Virtual Technical Trial</v>
      </c>
      <c r="Q5" s="14">
        <f>MAX(AX5,CB5,DF5)</f>
        <v>57.005000000000003</v>
      </c>
      <c r="R5" s="14" t="str">
        <f>IF(Q5=0,"",IF(Q5=DF5,$CD$1,IF(Q5=CB5,$AZ$1,IF(Q5=AX5,$V$1,""))))</f>
        <v>2019 Elite Canada</v>
      </c>
      <c r="S5" s="14">
        <f>IF(MAX(DH5,DI5,DJ5,DK5)&gt;0,MAX(DH5,DI5,DJ5,DK5),"")</f>
        <v>1.6549999999999869</v>
      </c>
      <c r="T5" s="25" t="str">
        <f>IF(S5="","",IF(S5=DH5,"(Vol 1)",IF(S5=DI5,"(Vol 2)",IF(S5=DJ5,"(Prelim)",IF(S5=DK5,"(Final)")))))</f>
        <v>(Prelim)</v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>2019 World Championships (Prelim+Semifinal) (Nov 30)</v>
      </c>
      <c r="V5" s="69">
        <v>18.100000000000001</v>
      </c>
      <c r="W5" s="69">
        <v>9.25</v>
      </c>
      <c r="X5" s="69">
        <v>5.0999999999999996</v>
      </c>
      <c r="Y5" s="69">
        <v>17.434999999999999</v>
      </c>
      <c r="Z5" s="69">
        <v>0</v>
      </c>
      <c r="AA5" s="69">
        <v>15.9</v>
      </c>
      <c r="AB5" s="69">
        <v>9.3000000000000007</v>
      </c>
      <c r="AC5" s="69">
        <v>16</v>
      </c>
      <c r="AD5" s="69">
        <v>16.2</v>
      </c>
      <c r="AE5" s="69">
        <v>0</v>
      </c>
      <c r="AF5" s="69"/>
      <c r="AG5" s="69"/>
      <c r="AH5" s="69"/>
      <c r="AI5" s="69"/>
      <c r="AJ5" s="69"/>
      <c r="AK5" s="69">
        <v>16.100000000000001</v>
      </c>
      <c r="AL5" s="69">
        <v>8.85</v>
      </c>
      <c r="AM5" s="69">
        <v>15.4</v>
      </c>
      <c r="AN5" s="69">
        <v>16.655000000000001</v>
      </c>
      <c r="AO5" s="69">
        <v>0</v>
      </c>
      <c r="AP5" s="80"/>
      <c r="AQ5" s="11">
        <f>IF(SUM(V5:Y5)-Z5&gt;0,SUM(V5:Y5)-Z5,"")</f>
        <v>49.885000000000005</v>
      </c>
      <c r="AR5" s="11">
        <f>IF(AC5&gt;0,AC5,"")</f>
        <v>16</v>
      </c>
      <c r="AS5" s="11">
        <f>IF(SUM(AA5:AD5)-AE5&gt;0,SUM(AA5:AD5)-AE5,"")</f>
        <v>57.400000000000006</v>
      </c>
      <c r="AT5" s="11" t="str">
        <f>IF(AH5&gt;0,AH5,"")</f>
        <v/>
      </c>
      <c r="AU5" s="11" t="str">
        <f>IF(SUM(AF5:AI5)-AJ5&gt;0,SUM(AF5:AI5)-AJ5,"")</f>
        <v/>
      </c>
      <c r="AV5" s="11">
        <f>IF(OR(AQ5&lt;&gt;"",AS5&lt;&gt;"",AU5&lt;&gt;""),AQ5+MAX(AS5,AU5),"")</f>
        <v>107.28500000000001</v>
      </c>
      <c r="AW5" s="11">
        <f>IF(AM5&gt;0,AM5,"")</f>
        <v>15.4</v>
      </c>
      <c r="AX5" s="11">
        <f>IF(SUM(AK5:AN5)-AO5&gt;0,SUM(AK5:AN5)-AO5,"")</f>
        <v>57.005000000000003</v>
      </c>
      <c r="AY5" s="11">
        <f>IF(SUM(AV5,AX5)&gt;0,SUM(AV5,AX5),"")</f>
        <v>164.29000000000002</v>
      </c>
      <c r="AZ5" s="75">
        <v>17.8</v>
      </c>
      <c r="BA5" s="75">
        <v>9</v>
      </c>
      <c r="BB5" s="75">
        <v>6.8</v>
      </c>
      <c r="BC5" s="75">
        <v>16.734999999999999</v>
      </c>
      <c r="BD5" s="75">
        <v>0</v>
      </c>
      <c r="BE5" s="75">
        <v>15.7</v>
      </c>
      <c r="BF5" s="75">
        <v>9.6</v>
      </c>
      <c r="BG5" s="75">
        <v>16</v>
      </c>
      <c r="BH5" s="75">
        <v>16.45</v>
      </c>
      <c r="BI5" s="75">
        <v>0</v>
      </c>
      <c r="BJ5" s="75"/>
      <c r="BK5" s="75"/>
      <c r="BL5" s="75"/>
      <c r="BM5" s="75"/>
      <c r="BN5" s="75"/>
      <c r="BO5" s="75">
        <v>16.8</v>
      </c>
      <c r="BP5" s="75">
        <v>9.1999999999999993</v>
      </c>
      <c r="BQ5" s="75">
        <v>14.6</v>
      </c>
      <c r="BR5" s="75">
        <v>16.295000000000002</v>
      </c>
      <c r="BS5" s="75">
        <v>0</v>
      </c>
      <c r="BT5" s="81"/>
      <c r="BU5" s="14">
        <f>IF(SUM(AZ5:BC5)-BD5&gt;0,SUM(AZ5:BC5)-BD5,"")</f>
        <v>50.335000000000001</v>
      </c>
      <c r="BV5" s="14">
        <f>IF(BG5&gt;0,BG5,"")</f>
        <v>16</v>
      </c>
      <c r="BW5" s="14">
        <f>IF(SUM(BE5:BH5)-BI5&gt;0,SUM(BE5:BH5)-BI5,"")</f>
        <v>57.75</v>
      </c>
      <c r="BX5" s="14" t="str">
        <f>IF(BL5&gt;0,BL5,"")</f>
        <v/>
      </c>
      <c r="BY5" s="14" t="str">
        <f>IF(SUM(BJ5:BM5)-BN5&gt;0,SUM(BJ5:BM5)-BN5,"")</f>
        <v/>
      </c>
      <c r="BZ5" s="14">
        <f>IF(BU5="",IF(MAX(BW5,BY5)&gt;0,MAX(BW5,BY5),""),MAX(BW5,BY5)+BU5)</f>
        <v>108.08500000000001</v>
      </c>
      <c r="CA5" s="14">
        <f>IF(BQ5&gt;0,BQ5,"")</f>
        <v>14.6</v>
      </c>
      <c r="CB5" s="14">
        <f>IF(SUM(BO5:BR5)-BS5&gt;0,SUM(BO5:BR5)-BS5,"")</f>
        <v>56.895000000000003</v>
      </c>
      <c r="CC5" s="14">
        <f>IF(SUM(BZ5,CB5)&gt;0,SUM(BZ5,CB5),"")</f>
        <v>164.98000000000002</v>
      </c>
      <c r="CD5" s="69">
        <v>17.950000000000003</v>
      </c>
      <c r="CE5" s="69">
        <v>9.125</v>
      </c>
      <c r="CF5" s="69">
        <v>5.9499999999999993</v>
      </c>
      <c r="CG5" s="69">
        <v>17.085000000000001</v>
      </c>
      <c r="CH5" s="69">
        <v>0</v>
      </c>
      <c r="CI5" s="69">
        <v>15.8</v>
      </c>
      <c r="CJ5" s="69">
        <v>9.4499999999999993</v>
      </c>
      <c r="CK5" s="69">
        <v>16</v>
      </c>
      <c r="CL5" s="69">
        <v>16.324999999999999</v>
      </c>
      <c r="CM5" s="69">
        <v>0</v>
      </c>
      <c r="CN5" s="69"/>
      <c r="CO5" s="69"/>
      <c r="CP5" s="69"/>
      <c r="CQ5" s="69"/>
      <c r="CR5" s="69"/>
      <c r="CS5" s="69">
        <v>16.450000000000003</v>
      </c>
      <c r="CT5" s="69">
        <v>9.0249999999999986</v>
      </c>
      <c r="CU5" s="69">
        <v>15</v>
      </c>
      <c r="CV5" s="69">
        <v>16.475000000000001</v>
      </c>
      <c r="CW5" s="69">
        <v>0</v>
      </c>
      <c r="CX5" s="80" t="s">
        <v>91</v>
      </c>
      <c r="CY5" s="11">
        <f>IF(SUM(CD5:CG5)-CH5&gt;0,SUM(CD5:CG5)-CH5,"")</f>
        <v>50.110000000000007</v>
      </c>
      <c r="CZ5" s="11">
        <f>IF(CK5&gt;0,CK5,"")</f>
        <v>16</v>
      </c>
      <c r="DA5" s="11">
        <f>IF(SUM(CI5:CL5)-CM5&gt;0,SUM(CI5:CL5)-CM5,"")</f>
        <v>57.575000000000003</v>
      </c>
      <c r="DB5" s="11" t="str">
        <f>IF(CP5&gt;0,CP5,"")</f>
        <v/>
      </c>
      <c r="DC5" s="11" t="str">
        <f>IF(SUM(CN5:CQ5)-CR5&gt;0,SUM(CN5:CQ5)-CR5,"")</f>
        <v/>
      </c>
      <c r="DD5" s="11">
        <f>IF(CY5="",IF(MAX(DA5,DC5)&gt;0,MAX(DA5,DC5),""),MAX(DA5,DC5)+CY5)</f>
        <v>107.685</v>
      </c>
      <c r="DE5" s="11">
        <f>IF(CU5&gt;0,CU5,"")</f>
        <v>15</v>
      </c>
      <c r="DF5" s="11">
        <f>IF(SUM(CS5:CV5)-CW5&gt;0,SUM(CS5:CV5)-CW5,"")</f>
        <v>56.95</v>
      </c>
      <c r="DG5" s="11">
        <f>IF(SUM(DD5,DF5)&gt;0,SUM(DD5,DF5),"")</f>
        <v>164.63499999999999</v>
      </c>
      <c r="DH5" s="24">
        <f>IF(MAX(EB5,EX5,FT5,GP5,HL5,IH5,JD5,JZ5,KV5,LR5,MN5,NJ5)-IF(M5="",0,M5)&gt;0.001,MAX(EB5,EX5,FT5,GP5,HL5,IH5,JD5,JZ5,KV5,LR5,MN5,NJ5)-IF(M5="",0,M5),"")</f>
        <v>1.1099999999999923</v>
      </c>
      <c r="DI5" s="24">
        <f>IF(MAX(EC5,EY5,FU5,GQ5,HM5,II5,JE5,KA5,KW5,LS5,MO5,NK5)-IF(O5="",0,O5)&gt;0.001,MAX(EC5,EY5,FU5,GQ5,HM5,II5,JE5,KA5,KW5,LS5,MO5,NK5)-IF(O5="",0,O5),"")</f>
        <v>0.94499999999999318</v>
      </c>
      <c r="DJ5" s="24">
        <f>IF(MAX(ED5,EZ5,FV5,GR5,HN5,IJ5,JF5,KB5,KX5,LT5,MP5,NL5)-IF(K5="",0,K5)&gt;0.001,MAX(ED5,EZ5,FV5,GR5,HN5,IJ5,JF5,KB5,KX5,LT5,MP5,NL5)-IF(K5="",0,K5),"")</f>
        <v>1.6549999999999869</v>
      </c>
      <c r="DK5" s="24" t="str">
        <f>IF(MAX(EF5,FB5,FX5,GT5,HP5,IL5,JH5,KD5,KZ5,LV5,MR5,NN5)-IF(Q5="",0,Q5)&gt;0.001,MAX(EF5,FB5,FX5,GT5,HP5,IL5,JH5,KD5,KZ5,LV5,MR5,NN5)-IF(Q5="",0,Q5),"")</f>
        <v/>
      </c>
      <c r="DL5" s="37">
        <v>17.7</v>
      </c>
      <c r="DM5" s="37">
        <v>9.8000000000000007</v>
      </c>
      <c r="DN5" s="37">
        <v>6.6</v>
      </c>
      <c r="DO5" s="37">
        <v>17.12</v>
      </c>
      <c r="DP5" s="37">
        <v>0</v>
      </c>
      <c r="DQ5" s="37">
        <v>15.6</v>
      </c>
      <c r="DR5" s="37">
        <v>9.3000000000000007</v>
      </c>
      <c r="DS5" s="37">
        <v>17.100000000000001</v>
      </c>
      <c r="DT5" s="37">
        <v>16.52</v>
      </c>
      <c r="DU5" s="37">
        <v>0</v>
      </c>
      <c r="DV5" s="37">
        <v>14.9</v>
      </c>
      <c r="DW5" s="37">
        <v>8.9</v>
      </c>
      <c r="DX5" s="37">
        <v>17.100000000000001</v>
      </c>
      <c r="DY5" s="37">
        <v>15.8</v>
      </c>
      <c r="DZ5" s="37">
        <v>0</v>
      </c>
      <c r="EA5" s="11">
        <f>IF(DS5&gt;0,DS5,"")</f>
        <v>17.100000000000001</v>
      </c>
      <c r="EB5" s="11">
        <f>IF(SUM(DL5:DO5)-DP5&gt;0,SUM(DL5:DO5)-DP5,"")</f>
        <v>51.22</v>
      </c>
      <c r="EC5" s="11">
        <f>IF(SUM(DQ5:DT5)-DU5&gt;0,SUM(DQ5:DT5)-DU5,"")</f>
        <v>58.519999999999996</v>
      </c>
      <c r="ED5" s="11">
        <f>IF(SUM(EB5:EC5)&gt;0,SUM(EB5:EC5),"")</f>
        <v>109.74</v>
      </c>
      <c r="EE5" s="11">
        <f>IF(DX5&gt;0,DX5,"")</f>
        <v>17.100000000000001</v>
      </c>
      <c r="EF5" s="11">
        <f>IF(SUM(DV5:DY5)-DZ5&gt;0,SUM(DV5:DY5)-DZ5,"")</f>
        <v>56.7</v>
      </c>
      <c r="EG5" s="11">
        <f>IF(SUM(ED5,EF5)&gt;0,SUM(ED5,EF5),"")</f>
        <v>166.44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>
        <v>3</v>
      </c>
      <c r="ES5" s="38">
        <v>1.6</v>
      </c>
      <c r="ET5" s="38">
        <v>3.4</v>
      </c>
      <c r="EU5" s="38">
        <v>3.4649999999999999</v>
      </c>
      <c r="EV5" s="38">
        <v>0</v>
      </c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>
        <f>IF(ET5&gt;0,ET5,"")</f>
        <v>3.4</v>
      </c>
      <c r="FB5" s="14">
        <f>IF(SUM(ER5:EU5)-EV5&gt;0,SUM(ER5:EU5)-EV5,"")</f>
        <v>11.465</v>
      </c>
      <c r="FC5" s="14">
        <f>IF(SUM(EZ5,FB5)&gt;0,SUM(EZ5,FB5),"")</f>
        <v>11.465</v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8">
        <v>17.5</v>
      </c>
      <c r="GA5" s="38">
        <v>9.3000000000000007</v>
      </c>
      <c r="GB5" s="38">
        <v>6.6</v>
      </c>
      <c r="GC5" s="38">
        <v>16.864999999999998</v>
      </c>
      <c r="GD5" s="38">
        <v>0</v>
      </c>
      <c r="GE5" s="38">
        <v>14.6</v>
      </c>
      <c r="GF5" s="38">
        <v>9.1</v>
      </c>
      <c r="GG5" s="38">
        <v>16</v>
      </c>
      <c r="GH5" s="38">
        <v>15.85</v>
      </c>
      <c r="GI5" s="38">
        <v>0</v>
      </c>
      <c r="GJ5" s="38"/>
      <c r="GK5" s="38"/>
      <c r="GL5" s="38"/>
      <c r="GM5" s="38"/>
      <c r="GN5" s="38"/>
      <c r="GO5" s="14">
        <f>IF(GG5&gt;0,GG5,"")</f>
        <v>16</v>
      </c>
      <c r="GP5" s="14">
        <f>IF(SUM(FZ5:GC5)-GD5&gt;0,SUM(FZ5:GC5)-GD5,"")</f>
        <v>50.265000000000001</v>
      </c>
      <c r="GQ5" s="14">
        <f>IF(SUM(GE5:GH5)-GI5&gt;0,SUM(GE5:GH5)-GI5,"")</f>
        <v>55.550000000000004</v>
      </c>
      <c r="GR5" s="14">
        <f>IF(SUM(GP5:GQ5)&gt;0,SUM(GP5:GQ5),"")</f>
        <v>105.815</v>
      </c>
      <c r="GS5" s="14" t="str">
        <f>IF(GL5&gt;0,GL5,"")</f>
        <v/>
      </c>
      <c r="GT5" s="14" t="str">
        <f>IF(SUM(GJ5:GM5)-GN5&gt;0,SUM(GJ5:GM5)-GN5,"")</f>
        <v/>
      </c>
      <c r="GU5" s="14">
        <f>IF(SUM(GR5,GT5)&gt;0,SUM(GR5,GT5),"")</f>
        <v>105.815</v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108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17.950000000000003</v>
      </c>
      <c r="NQ5" s="69">
        <f>IF($CX5="P",CE5,(CE5+BA5)/2)</f>
        <v>9.125</v>
      </c>
      <c r="NR5" s="69">
        <f>IF($CX5="P",CF5,(CF5+BB5)/2)</f>
        <v>5.9499999999999993</v>
      </c>
      <c r="NS5" s="69">
        <f>IF($CX5="P",CG5,(CG5+BC5)/2)</f>
        <v>17.085000000000001</v>
      </c>
      <c r="NT5" s="69">
        <f>IF($CX5="P",CH5,(CH5+BD5)/2)</f>
        <v>0</v>
      </c>
      <c r="NU5" s="69">
        <f>IF($CX5="P",CI5,(CI5+BE5)/2)</f>
        <v>15.8</v>
      </c>
      <c r="NV5" s="69">
        <f>IF($CX5="P",CJ5,(CJ5+BF5)/2)</f>
        <v>9.4499999999999993</v>
      </c>
      <c r="NW5" s="69">
        <f>IF($CX5="P",CK5,(CK5+BG5)/2)</f>
        <v>16</v>
      </c>
      <c r="NX5" s="69">
        <f>IF($CX5="P",CL5,(CL5+BH5)/2)</f>
        <v>16.324999999999999</v>
      </c>
      <c r="NY5" s="69">
        <f>IF($CX5="P",CM5,(CM5+BI5)/2)</f>
        <v>0</v>
      </c>
      <c r="NZ5" s="69">
        <f>IF($CX5="P",CN5,(CN5+BJ5)/2)</f>
        <v>0</v>
      </c>
      <c r="OA5" s="69">
        <f>IF($CX5="P",CO5,(CO5+BK5)/2)</f>
        <v>0</v>
      </c>
      <c r="OB5" s="69">
        <f>IF($CX5="P",CP5,(CP5+BL5)/2)</f>
        <v>0</v>
      </c>
      <c r="OC5" s="69">
        <f>IF($CX5="P",CQ5,(CQ5+BM5)/2)</f>
        <v>0</v>
      </c>
      <c r="OD5" s="69">
        <f>IF($CX5="P",CR5,(CR5+BN5)/2)</f>
        <v>0</v>
      </c>
      <c r="OE5" s="69">
        <f>IF($CX5="P",CS5,(CS5+BO5)/2)</f>
        <v>16.450000000000003</v>
      </c>
      <c r="OF5" s="69">
        <f>IF($CX5="P",CT5,(CT5+BP5)/2)</f>
        <v>9.0249999999999986</v>
      </c>
      <c r="OG5" s="69">
        <f>IF($CX5="P",CU5,(CU5+BQ5)/2)</f>
        <v>15</v>
      </c>
      <c r="OH5" s="69">
        <f>IF($CX5="P",CV5,(CV5+BR5)/2)</f>
        <v>16.475000000000001</v>
      </c>
      <c r="OI5" s="69">
        <f>IF($CX5="P",CW5,(CW5+BS5)/2)</f>
        <v>0</v>
      </c>
      <c r="OJ5" s="80" t="s">
        <v>91</v>
      </c>
      <c r="OK5" s="11">
        <f>IF(SUM(NP5:NS5)-NT5&gt;0,SUM(NP5:NS5)-NT5,"")</f>
        <v>50.110000000000007</v>
      </c>
      <c r="OL5" s="11">
        <f>IF(NW5&gt;0,NW5,"")</f>
        <v>16</v>
      </c>
      <c r="OM5" s="11">
        <f>IF(SUM(NU5:NX5)-NY5&gt;0,SUM(NU5:NX5)-NY5,"")</f>
        <v>57.575000000000003</v>
      </c>
      <c r="ON5" s="11" t="str">
        <f>IF(OB5&gt;0,OB5,"")</f>
        <v/>
      </c>
      <c r="OO5" s="11" t="str">
        <f>IF(SUM(NZ5:OC5)-OD5&gt;0,SUM(NZ5:OC5)-OD5,"")</f>
        <v/>
      </c>
      <c r="OP5" s="11">
        <f>IF(OR(OK5&lt;&gt;"",OM5&lt;&gt;"",OO5&lt;&gt;""),OK5+MAX(OM5,OO5),"")</f>
        <v>107.685</v>
      </c>
      <c r="OQ5" s="11">
        <f>IF(OG5&gt;0,OG5,"")</f>
        <v>15</v>
      </c>
      <c r="OR5" s="11">
        <f t="shared" si="0"/>
        <v>56.95</v>
      </c>
      <c r="OS5" s="11">
        <f t="shared" ref="OS5:OS22" si="1">IF(SUM(OP5,OR5)&gt;0,SUM(OP5,OR5),"")</f>
        <v>164.63499999999999</v>
      </c>
    </row>
    <row r="6" spans="1:409" x14ac:dyDescent="0.2">
      <c r="A6" s="5" cm="1">
        <f t="array" ref="A6">IF(AND(G6&lt;&gt;"",H6&lt;&gt;""),SUMPRODUCT((G$4:G$25&lt;&gt;"")*(H$4:H$25&lt;&gt;"")*(E$4:E$25&gt;E6))+1,IF(H6&lt;&gt;"",SUMPRODUCT((I$4:I$25="No DD")*(E$4:E$25&gt;E6))+1+SUMPRODUCT((G$4:G$25&lt;&gt;"")*(H$4:H$25&lt;&gt;"")),""))</f>
        <v>3</v>
      </c>
      <c r="B6" s="6" t="s">
        <v>9</v>
      </c>
      <c r="C6" s="7" t="s">
        <v>3</v>
      </c>
      <c r="D6" s="27">
        <v>1997</v>
      </c>
      <c r="E6" s="15">
        <f>SUM(K6:S6)</f>
        <v>273.01</v>
      </c>
      <c r="F6" s="3" t="str">
        <f>IF(G6&lt;&gt;"","P","")</f>
        <v>P</v>
      </c>
      <c r="G6" s="125" t="str">
        <f>IF(OR(AND(AR6&gt;=AY$30,AR6&lt;&gt;"",AP6=""),AND(AT6&gt;=AY$30,AT6&lt;&gt;"",AP6=""),AND(AW6&gt;=AY$30,AW6&lt;&gt;"",AP6=""),AND(BV6&gt;=CC$30,BV6&lt;&gt;"",BT6=""),AND(BX6&gt;=CC$30,BX6&lt;&gt;"",BT6=""),AND(CA6&gt;=CC$30,CA6&lt;&gt;"",BT6=""),AND(CZ6&gt;=DG$30,CZ6&lt;&gt;"",CX6=""),AND(DB6&gt;=DG$30,DB6&lt;&gt;"",CX6=""),AND(DE6&gt;=DG$30,DE6&lt;&gt;"",CX6=""),AND(EA6&gt;=EG$30,EA6&lt;&gt;""),AND(EE6&gt;=EG$30,EE6&lt;&gt;""),AND(EW6&gt;=FC$30,EW6&lt;&gt;""),AND(FA6&gt;=FC$30,FA6&lt;&gt;""),AND(FS6&gt;=FY$30,FS6&lt;&gt;""),AND(FW6&gt;=FY$30,FW6&lt;&gt;""),AND(GO6&gt;=GU$30,GO6&lt;&gt;""),AND(GS6&gt;=GU$30,GS6&lt;&gt;""),AND(HK6&gt;=HQ$30,HK6&lt;&gt;""),AND(HO6&gt;=HQ$30,HO6&lt;&gt;""),AND(IG6&gt;=IM$30,IG6&lt;&gt;""),AND(IK6&gt;=IM$30,IK6&lt;&gt;""),AND(JC6&gt;=JI$30,JC6&lt;&gt;""),AND(JG6&gt;=JI$30,JG6&lt;&gt;""),AND(JY6&gt;=KE$30,JY6&lt;&gt;""),AND(KC6&gt;=KE$30,KC6&lt;&gt;""),AND(KU6&gt;=LA$30,KU6&lt;&gt;""),AND(KY6&gt;=LA$30,KY6&lt;&gt;""),AND(LQ6&gt;=LW$30,LQ6&lt;&gt;""),AND(LU6&gt;=LW$30,LU6&lt;&gt;""),AND(MM6&gt;=MS$30,MM6&lt;&gt;""),AND(MQ6&gt;=MS$30,MQ6&lt;&gt;""),AND(NI6&gt;=NO$30,NI6&lt;&gt;""),AND(NM6&gt;=NO$30,NM6&lt;&gt;"")),"Merit",IF(OR(AND(AR6&gt;=AY$29,AR6&lt;&gt;"",AP6=""),AND(AT6&gt;=AY$29,AT6&lt;&gt;"",AP6=""),AND(AW6&gt;=AY$29,AW6&lt;&gt;"",AP6=""),AND(BV6&gt;=CC$29,BV6&lt;&gt;"",BT6=""),AND(BX6&gt;=CC$29,BX6&lt;&gt;"",BT6=""),AND(CA6&gt;=CC$29,CA6&lt;&gt;"",BT6=""),AND(CZ6&gt;=DG$29,CZ6&lt;&gt;"",CX6=""),AND(DB6&gt;=DG$29,DB6&lt;&gt;"",CX6=""),AND(DE6&gt;=DG$29,DE6&lt;&gt;"",CX6=""),AND(EA6&gt;=EG$29,EA6&lt;&gt;""),AND(EE6&gt;=EG$29,EE6&lt;&gt;""),AND(EW6&gt;=FC$29,EW6&lt;&gt;""),AND(FA6&gt;=FC$29,FA6&lt;&gt;""),AND(FS6&gt;=FY$29,FS6&lt;&gt;""),AND(FW6&gt;=FY$29,FW6&lt;&gt;""),AND(GO6&gt;=GU$29,GO6&lt;&gt;""),AND(GS6&gt;=GU$29,GS6&lt;&gt;""),AND(HK6&gt;=HQ$29,HK6&lt;&gt;""),AND(HO6&gt;=HQ$29,HO6&lt;&gt;""),AND(IG6&gt;=IM$29,IG6&lt;&gt;""),AND(IK6&gt;=IM$29,IK6&lt;&gt;""),AND(JC6&gt;=JI$29,JC6&lt;&gt;""),AND(JG6&gt;=JI$29,JG6&lt;&gt;""),AND(JY6&gt;=KE$29,JY6&lt;&gt;""),AND(KC6&gt;=KE$29,KC6&lt;&gt;""),AND(KU6&gt;=LA$29,KU6&lt;&gt;""),AND(KY6&gt;=LA$29,KY6&lt;&gt;""),AND(LQ6&gt;=LW$29,LQ6&lt;&gt;""),AND(LU6&gt;=LW$29,LU6&lt;&gt;""),AND(MM6&gt;=MS$29,MM6&lt;&gt;""),AND(MQ6&gt;=MS$29,MQ6&lt;&gt;""),AND(NI6&gt;=NO$29,NI6&lt;&gt;""),AND(NM6&gt;=NO$29,NM6&lt;&gt;"")),"Excellence",IF(OR(AND(AR6&gt;=AY$28,AR6&lt;&gt;"",AP6=""),AND(AT6&gt;=AY$28,AT6&lt;&gt;"",AP6=""),AND(AW6&gt;=AY$28,AW6&lt;&gt;"",AP6=""),AND(BV6&gt;=CC$28,BV6&lt;&gt;"",BT6=""),AND(BX6&gt;=CC$28,BX6&lt;&gt;"",BT6=""),AND(CA6&gt;=CC$28,CA6&lt;&gt;"",BT6=""),AND(CZ6&gt;=DG$28,CZ6&lt;&gt;"",CX6=""),AND(DB6&gt;=DG$28,DB6&lt;&gt;"",CX6=""),AND(DE6&gt;=DG$28,DE6&lt;&gt;"",CX6=""),AND(EA6&gt;=EG$28,EA6&lt;&gt;""),AND(EE6&gt;=EG$28,EE6&lt;&gt;""),AND(EW6&gt;=FC$28,EW6&lt;&gt;""),AND(FA6&gt;=FC$28,FA6&lt;&gt;""),AND(FS6&gt;=FY$28,FS6&lt;&gt;""),AND(FW6&gt;=FY$28,FW6&lt;&gt;""),AND(GO6&gt;=GU$28,GO6&lt;&gt;""),AND(GS6&gt;=GU$28,GS6&lt;&gt;""),AND(HK6&gt;=HQ$28,HK6&lt;&gt;""),AND(HO6&gt;=HQ$28,HO6&lt;&gt;""),AND(IG6&gt;=IM$28,IG6&lt;&gt;""),AND(IK6&gt;=IM$28,IK6&lt;&gt;""),AND(JC6&gt;=JI$28,JC6&lt;&gt;""),AND(JG6&gt;=JI$28,JG6&lt;&gt;""),AND(JY6&gt;=KE$28,JY6&lt;&gt;""),AND(KC6&gt;=KE$28,KC6&lt;&gt;""),AND(KU6&gt;=LA$28,KU6&lt;&gt;""),AND(KY6&gt;=LA$28,KY6&lt;&gt;""),AND(LQ6&gt;=LW$28,LQ6&lt;&gt;""),AND(LU6&gt;=LW$28,LU6&lt;&gt;""),AND(MM6&gt;=MS$28,MM6&lt;&gt;""),AND(MQ6&gt;=MS$28,MQ6&lt;&gt;""),AND(NI6&gt;=NO$28,NI6&lt;&gt;""),AND(NM6&gt;=NO$28,NM6&lt;&gt;"")),"Worlds Team",IF(OR(AND(AR6&gt;=AY$27,AR6&lt;&gt;"",AP6=""),AND(AT6&gt;=AY$27,AT6&lt;&gt;"",AP6=""),AND(AW6&gt;=AY$27,AW6&lt;&gt;"",AP6=""),AND(BV6&gt;=CC$27,BV6&lt;&gt;"",BT6=""),AND(BX6&gt;=CC$27,BX6&lt;&gt;"",BT6=""),AND(CA6&gt;=CC$27,CA6&lt;&gt;"",BT6=""),AND(CZ6&gt;=DG$27,CZ6&lt;&gt;"",CX6=""),AND(DB6&gt;=DG$27,DB6&lt;&gt;"",CX6=""),AND(DE6&gt;=DG$27,DE6&lt;&gt;"",CX6=""),AND(EA6&gt;=EG$27,EA6&lt;&gt;""),AND(EE6&gt;=EG$27,EE6&lt;&gt;""),AND(EW6&gt;=FC$27,EW6&lt;&gt;""),AND(FA6&gt;=FC$27,FA6&lt;&gt;""),AND(FS6&gt;=FY$27,FS6&lt;&gt;""),AND(FW6&gt;=FY$27,FW6&lt;&gt;""),AND(GO6&gt;=GU$27,GO6&lt;&gt;""),AND(GS6&gt;=GU$27,GS6&lt;&gt;""),AND(HK6&gt;=HQ$27,HK6&lt;&gt;""),AND(HO6&gt;=HQ$27,HO6&lt;&gt;""),AND(IG6&gt;=IM$27,IG6&lt;&gt;""),AND(IK6&gt;=IM$27,IK6&lt;&gt;""),AND(JC6&gt;=JI$27,JC6&lt;&gt;""),AND(JG6&gt;=JI$27,JG6&lt;&gt;""),AND(JY6&gt;=KE$27,JY6&lt;&gt;""),AND(KC6&gt;=KE$27,KC6&lt;&gt;""),AND(KU6&gt;=LA$27,KU6&lt;&gt;""),AND(KY6&gt;=LA$27,KY6&lt;&gt;""),AND(LQ6&gt;=LW$27,LQ6&lt;&gt;""),AND(LU6&gt;=LW$27,LU6&lt;&gt;""),AND(MM6&gt;=MS$27,MM6&lt;&gt;""),AND(MQ6&gt;=MS$27,MQ6&lt;&gt;""),AND(NI6&gt;=NO$27,NI6&lt;&gt;""),AND(NM6&gt;=NO$27,NM6&lt;&gt;"")),"National Team",""))))</f>
        <v>Merit</v>
      </c>
      <c r="H6" s="125" t="str">
        <f>IF(OR(AND(AS6&gt;=AY$34,AS6&lt;&gt;"",AP6=""),AND(AU6&gt;=AY$34,AU6&lt;&gt;"",AP6=""),AND(AX6&gt;=AY$34,AX6&lt;&gt;"",AP6=""),AND(BW6&gt;=CC$34,BW6&lt;&gt;"",BT6=""),AND(BY6&gt;=CC$34,BY6&lt;&gt;"",BT6=""),AND(CB6&gt;=CC$34,CB6&lt;&gt;"",BT6=""),AND(DA6&gt;=DG$34,DA6&lt;&gt;"",CX6=""),AND(DC6&gt;=DG$34,DC6&lt;&gt;"",CX6=""),AND(DF6&gt;=DG$34,DF6&lt;&gt;"",CX6=""),AND(EC6&gt;=EG$34,EC6&lt;&gt;""),AND(EF6&gt;=EG$34,EF6&lt;&gt;""),AND(EY6&gt;=FC$34,EY6&lt;&gt;""),AND(FB6&gt;=FC$34,FB6&lt;&gt;""),AND(FU6&gt;=FY$34,FU6&lt;&gt;""),AND(FX6&gt;=FY$34,FX6&lt;&gt;""),AND(GQ6&gt;=GU$34,GQ6&lt;&gt;""),AND(GT6&gt;=GU$34,GT6&lt;&gt;""),AND(HM6&gt;=HQ$34,HM6&lt;&gt;""),AND(HP6&gt;=HQ$34,HP6&lt;&gt;""),AND(II6&gt;=IM$34,II6&lt;&gt;""),AND(IL6&gt;=IM$34,IL6&lt;&gt;""),AND(JE6&gt;=JI$34,JE6&lt;&gt;""),AND(JH6&gt;=JI$34,JH6&lt;&gt;""),AND(KA6&gt;=KE$34,KA6&lt;&gt;""),AND(KD6&gt;=KE$34,KD6&lt;&gt;""),AND(KW6&gt;=LA$34,KW6&lt;&gt;""),AND(KZ6&gt;=LA$34,KZ6&lt;&gt;""),AND(LS6&gt;=LW$34,LS6&lt;&gt;""),AND(LV6&gt;=LW$34,LV6&lt;&gt;""),AND(MO6&gt;=MS$34,MO6&lt;&gt;""),AND(MR6&gt;=MS$34,MR6&lt;&gt;""),AND(NK6&gt;=NO$34,NK6&lt;&gt;""),AND(NN6&gt;=NO$34,NN6&lt;&gt;"")),"Merit",IF(OR(AND(AS6&gt;=AY$33,AS6&lt;&gt;"",AP6=""),AND(AU6&gt;=AY$33,AU6&lt;&gt;"",AP6=""),AND(AX6&gt;=AY$33,AX6&lt;&gt;"",AP6=""),AND(BW6&gt;=CC$33,BW6&lt;&gt;"",BT6=""),AND(BY6&gt;=CC$33,BY6&lt;&gt;"",BT6=""),AND(CB6&gt;=CC$33,CB6&lt;&gt;"",BT6=""),AND(DA6&gt;=DG$33,DA6&lt;&gt;"",CX6=""),AND(DC6&gt;=DG$33,DC6&lt;&gt;"",CX6=""),AND(DF6&gt;=DG$33,DF6&lt;&gt;"",CX6=""),AND(EC6&gt;=EG$33,EC6&lt;&gt;""),AND(EF6&gt;=EG$33,EF6&lt;&gt;""),AND(EY6&gt;=FC$33,EY6&lt;&gt;""),AND(FB6&gt;=FC$33,FB6&lt;&gt;""),AND(FU6&gt;=FY$33,FU6&lt;&gt;""),AND(FX6&gt;=FY$33,FX6&lt;&gt;""),AND(GQ6&gt;=GU$33,GQ6&lt;&gt;""),AND(GT6&gt;=GU$33,GT6&lt;&gt;""),AND(HM6&gt;=HQ$33,HM6&lt;&gt;""),AND(HP6&gt;=HQ$33,HP6&lt;&gt;""),AND(II6&gt;=IM$33,II6&lt;&gt;""),AND(IL6&gt;=IM$33,IL6&lt;&gt;""),AND(JE6&gt;=JI$33,JE6&lt;&gt;""),AND(JH6&gt;=JI$33,JH6&lt;&gt;""),AND(KA6&gt;=KE$33,KA6&lt;&gt;""),AND(KD6&gt;=KE$33,KD6&lt;&gt;""),AND(KW6&gt;=LA$33,KW6&lt;&gt;""),AND(KZ6&gt;=LA$33,KZ6&lt;&gt;""),AND(LS6&gt;=LW$33,LS6&lt;&gt;""),AND(LV6&gt;=LW$33,LV6&lt;&gt;""),AND(MO6&gt;=MS$33,MO6&lt;&gt;""),AND(MR6&gt;=MS$33,MR6&lt;&gt;""),AND(NK6&gt;=NO$33,NK6&lt;&gt;""),AND(NN6&gt;=NO$33,NN6&lt;&gt;"")),"Excellence",IF(OR(AND(AV6&gt;=AY$32,AV6&lt;&gt;"",AP6=""),AND(BZ6&gt;=CC$32,BZ6&lt;&gt;"",BT6=""),AND(DD6&gt;=DG$32,DD6&lt;&gt;"",CX6=""),AND(ED6&gt;=EG$32,ED6&lt;&gt;""),AND(EZ6&gt;=FC$32,EZ6&lt;&gt;""),AND(FV6&gt;=FY$32,FV6&lt;&gt;""),AND(GR6&gt;=GU$32,GR6&lt;&gt;""),AND(HN6&gt;=HQ$32,HN6&lt;&gt;""),AND(IJ6&gt;=IM$32,IJ6&lt;&gt;""),AND(JF6&gt;=JI$32,JF6&lt;&gt;""),AND(KB6&gt;=KE$32,KB6&lt;&gt;""),AND(KX6&gt;=LA$32,KX6&lt;&gt;""),AND(LT6&gt;=LW$32,LT6&lt;&gt;""),AND(MP6&gt;=MS$32,MP6&lt;&gt;""),AND(NL6&gt;=NO$32,NL6&lt;&gt;"")),"Worlds Team",IF(OR(AND(AV6&gt;=AY$31,AV6&lt;&gt;"",AP6=""),AND(BZ6&gt;=CC$31,BZ6&lt;&gt;"",BT6=""),AND(DD6&gt;=DG$31,DD6&lt;&gt;"",CX6=""),AND(ED6&gt;=EG$31,ED6&lt;&gt;""),AND(EZ6&gt;=FC$31,EZ6&lt;&gt;""),AND(FV6&gt;=FY$31,FV6&lt;&gt;""),AND(GR6&gt;=GU$31,GR6&lt;&gt;""),AND(HN6&gt;=HQ$31,HN6&lt;&gt;""),AND(IJ6&gt;=IM$31,IJ6&lt;&gt;""),AND(JF6&gt;=JI$31,JF6&lt;&gt;""),AND(KB6&gt;=KE$31,KB6&lt;&gt;""),AND(KX6&gt;=LA$31,KX6&lt;&gt;""),AND(LT6&gt;=LW$31,LT6&lt;&gt;""),AND(MP6&gt;=MS$31,MP6&lt;&gt;""),AND(NL6&gt;=NO$31,NL6&lt;&gt;"")),"National Team",""))))</f>
        <v>Worlds Team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Worlds Team</v>
      </c>
      <c r="J6" s="3" t="str">
        <f>IF(AND(OR(AND(AV6&gt;=AY$32,AV6&lt;&gt;"",AP6=""),AND(BZ6&gt;=CC$32,BZ6&lt;&gt;"",BT6=""),AND(DD6&gt;=DG$32,DD6&lt;&gt;"",CX6=""),AND(ED6&gt;=EG$32,ED6&lt;&gt;""),AND(EZ6&gt;=FC$32,EZ6&lt;&gt;""),AND(FV6&gt;=FY$32,FV6&lt;&gt;""),AND(GR6&gt;=GU$32,GR6&lt;&gt;""),AND(HN6&gt;=HQ$32,HN6&lt;&gt;""),AND(IJ6&gt;=IM$32,IJ6&lt;&gt;""),AND(JF6&gt;=JI$32,JF6&lt;&gt;""),AND(KB6&gt;=KE$32,KB6&lt;&gt;""),AND(KX6&gt;=LA$32,KX6&lt;&gt;""),AND(LT6&gt;=LW$32,LT6&lt;&gt;""),AND(MP6&gt;=MS$32,MP6&lt;&gt;""),AND(NL6&gt;=NO$32,NL6&lt;&gt;"")),OR(G6="Worlds Team",G6="Excellence",G6="Merit")),"P","")</f>
        <v>P</v>
      </c>
      <c r="K6" s="14">
        <f>IF(MAX(AV6,BZ6,DD6)&gt;0,MAX(AV6,BZ6,DD6),0)</f>
        <v>107.99000000000001</v>
      </c>
      <c r="L6" s="14" t="str">
        <f>IF(K6=0,"",IF(K6=DD6,$CD$1,IF(K6=BZ6,$AZ$1,IF(K6=AV6,$V$1,""))))</f>
        <v>2021 1st Virtual Technical Trial</v>
      </c>
      <c r="M6" s="14">
        <f>IF($K6=$AV6,MAX(BU6,CY6),IF($K6=$BZ6,MAX(AQ6,CY6),IF($K6=$DD6,MAX(AQ6,BU6),MAX(AQ6,BU6,CY6))))</f>
        <v>50.120000000000005</v>
      </c>
      <c r="N6" s="14" t="str">
        <f>IF(M6=0,"",IF(AND(M6=CY6,$L6&lt;&gt;$CD$1),$CD$1,IF(AND(M6=BU6,$L6&lt;&gt;$AZ$1),$AZ$1,IF(AND(M6=AQ6,$L6&lt;&gt;$V$1),$V$1,""))))</f>
        <v>2019 Nationals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57.075000000000003</v>
      </c>
      <c r="P6" s="14" t="str">
        <f>IF(O6=0,"",IF(OR(O6=DC6,O6=DA6),$CD$1,IF(OR(O6=BY6,O6=BW6),$AZ$1,IF(OR(O6=AU6,O6=AS6),$V$1,""))))</f>
        <v>2021 1st Virtual Technical Trial</v>
      </c>
      <c r="Q6" s="14">
        <f>MAX(AX6,CB6,DF6)</f>
        <v>57.825000000000003</v>
      </c>
      <c r="R6" s="14" t="str">
        <f>IF(Q6=0,"",IF(Q6=DF6,$CD$1,IF(Q6=CB6,$AZ$1,IF(Q6=AX6,$V$1,""))))</f>
        <v>2021 1st Virtual Technical Trial</v>
      </c>
      <c r="S6" s="14" t="str">
        <f>IF(MAX(DH6,DI6,DJ6,DK6)&gt;0,MAX(DH6,DI6,DJ6,DK6),"")</f>
        <v/>
      </c>
      <c r="T6" s="25" t="str">
        <f>IF(S6="","",IF(S6=DH6,"(Vol 1)",IF(S6=DI6,"(Vol 2)",IF(S6=DJ6,"(Prelim)",IF(S6=DK6,"(Final)")))))</f>
        <v/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/>
      </c>
      <c r="V6" s="69">
        <v>17.600000000000001</v>
      </c>
      <c r="W6" s="69">
        <v>9.5</v>
      </c>
      <c r="X6" s="69">
        <v>5.2</v>
      </c>
      <c r="Y6" s="69">
        <v>16.954999999999998</v>
      </c>
      <c r="Z6" s="69">
        <v>0</v>
      </c>
      <c r="AA6" s="69">
        <v>14.7</v>
      </c>
      <c r="AB6" s="69">
        <v>9.4499999999999993</v>
      </c>
      <c r="AC6" s="69">
        <v>16.2</v>
      </c>
      <c r="AD6" s="69">
        <v>16.004999999999999</v>
      </c>
      <c r="AE6" s="69">
        <v>0</v>
      </c>
      <c r="AF6" s="69"/>
      <c r="AG6" s="69"/>
      <c r="AH6" s="69"/>
      <c r="AI6" s="69"/>
      <c r="AJ6" s="69"/>
      <c r="AK6" s="69">
        <v>15</v>
      </c>
      <c r="AL6" s="69">
        <v>9.1999999999999993</v>
      </c>
      <c r="AM6" s="69">
        <v>16</v>
      </c>
      <c r="AN6" s="69">
        <v>16.305</v>
      </c>
      <c r="AO6" s="69">
        <v>0</v>
      </c>
      <c r="AP6" s="80"/>
      <c r="AQ6" s="11">
        <f>IF(SUM(V6:Y6)-Z6&gt;0,SUM(V6:Y6)-Z6,"")</f>
        <v>49.255000000000003</v>
      </c>
      <c r="AR6" s="11">
        <f>IF(AC6&gt;0,AC6,"")</f>
        <v>16.2</v>
      </c>
      <c r="AS6" s="11">
        <f>IF(SUM(AA6:AD6)-AE6&gt;0,SUM(AA6:AD6)-AE6,"")</f>
        <v>56.35499999999999</v>
      </c>
      <c r="AT6" s="11" t="str">
        <f>IF(AH6&gt;0,AH6,"")</f>
        <v/>
      </c>
      <c r="AU6" s="11" t="str">
        <f>IF(SUM(AF6:AI6)-AJ6&gt;0,SUM(AF6:AI6)-AJ6,"")</f>
        <v/>
      </c>
      <c r="AV6" s="11">
        <f>IF(OR(AQ6&lt;&gt;"",AS6&lt;&gt;"",AU6&lt;&gt;""),AQ6+MAX(AS6,AU6),"")</f>
        <v>105.60999999999999</v>
      </c>
      <c r="AW6" s="11">
        <f>IF(AM6&gt;0,AM6,"")</f>
        <v>16</v>
      </c>
      <c r="AX6" s="11">
        <f>IF(SUM(AK6:AN6)-AO6&gt;0,SUM(AK6:AN6)-AO6,"")</f>
        <v>56.505000000000003</v>
      </c>
      <c r="AY6" s="11">
        <f>IF(SUM(AV6,AX6)&gt;0,SUM(AV6,AX6),"")</f>
        <v>162.11499999999998</v>
      </c>
      <c r="AZ6" s="75">
        <v>18.2</v>
      </c>
      <c r="BA6" s="75">
        <v>9.3000000000000007</v>
      </c>
      <c r="BB6" s="75">
        <v>5.7</v>
      </c>
      <c r="BC6" s="75">
        <v>16.920000000000002</v>
      </c>
      <c r="BD6" s="75">
        <v>0</v>
      </c>
      <c r="BE6" s="75">
        <v>14.7</v>
      </c>
      <c r="BF6" s="75">
        <v>9.5</v>
      </c>
      <c r="BG6" s="75">
        <v>14.9</v>
      </c>
      <c r="BH6" s="75">
        <v>15.385</v>
      </c>
      <c r="BI6" s="75">
        <v>0</v>
      </c>
      <c r="BJ6" s="75"/>
      <c r="BK6" s="75"/>
      <c r="BL6" s="75"/>
      <c r="BM6" s="75"/>
      <c r="BN6" s="75"/>
      <c r="BO6" s="75">
        <v>14.68</v>
      </c>
      <c r="BP6" s="75">
        <v>9.3000000000000007</v>
      </c>
      <c r="BQ6" s="75">
        <v>15.2</v>
      </c>
      <c r="BR6" s="75">
        <v>15.645</v>
      </c>
      <c r="BS6" s="75">
        <v>0</v>
      </c>
      <c r="BT6" s="81"/>
      <c r="BU6" s="14">
        <f>IF(SUM(AZ6:BC6)-BD6&gt;0,SUM(AZ6:BC6)-BD6,"")</f>
        <v>50.120000000000005</v>
      </c>
      <c r="BV6" s="14">
        <f>IF(BG6&gt;0,BG6,"")</f>
        <v>14.9</v>
      </c>
      <c r="BW6" s="14">
        <f>IF(SUM(BE6:BH6)-BI6&gt;0,SUM(BE6:BH6)-BI6,"")</f>
        <v>54.484999999999999</v>
      </c>
      <c r="BX6" s="14" t="str">
        <f>IF(BL6&gt;0,BL6,"")</f>
        <v/>
      </c>
      <c r="BY6" s="14" t="str">
        <f>IF(SUM(BJ6:BM6)-BN6&gt;0,SUM(BJ6:BM6)-BN6,"")</f>
        <v/>
      </c>
      <c r="BZ6" s="14">
        <f>IF(BU6="",IF(MAX(BW6,BY6)&gt;0,MAX(BW6,BY6),""),MAX(BW6,BY6)+BU6)</f>
        <v>104.605</v>
      </c>
      <c r="CA6" s="14">
        <f>IF(BQ6&gt;0,BQ6,"")</f>
        <v>15.2</v>
      </c>
      <c r="CB6" s="14">
        <f>IF(SUM(BO6:BR6)-BS6&gt;0,SUM(BO6:BR6)-BS6,"")</f>
        <v>54.825000000000003</v>
      </c>
      <c r="CC6" s="14">
        <f>IF(SUM(BZ6,CB6)&gt;0,SUM(BZ6,CB6),"")</f>
        <v>159.43</v>
      </c>
      <c r="CD6" s="69">
        <v>18</v>
      </c>
      <c r="CE6" s="69">
        <v>9.5</v>
      </c>
      <c r="CF6" s="69">
        <v>5.7</v>
      </c>
      <c r="CG6" s="69">
        <v>17.63</v>
      </c>
      <c r="CH6" s="69">
        <v>0</v>
      </c>
      <c r="CI6" s="69">
        <v>15.2</v>
      </c>
      <c r="CJ6" s="69">
        <v>9.1</v>
      </c>
      <c r="CK6" s="69">
        <v>16.2</v>
      </c>
      <c r="CL6" s="69">
        <v>16.574999999999999</v>
      </c>
      <c r="CM6" s="69">
        <v>0</v>
      </c>
      <c r="CN6" s="69">
        <v>15.5</v>
      </c>
      <c r="CO6" s="69">
        <v>8.75</v>
      </c>
      <c r="CP6" s="69">
        <v>16.2</v>
      </c>
      <c r="CQ6" s="69">
        <v>16.71</v>
      </c>
      <c r="CR6" s="69">
        <v>0</v>
      </c>
      <c r="CS6" s="69">
        <v>15.2</v>
      </c>
      <c r="CT6" s="69">
        <v>9.6</v>
      </c>
      <c r="CU6" s="69">
        <v>16.2</v>
      </c>
      <c r="CV6" s="69">
        <v>16.824999999999999</v>
      </c>
      <c r="CW6" s="69">
        <v>0</v>
      </c>
      <c r="CX6" s="80"/>
      <c r="CY6" s="11">
        <f>IF(SUM(CD6:CG6)-CH6&gt;0,SUM(CD6:CG6)-CH6,"")</f>
        <v>50.83</v>
      </c>
      <c r="CZ6" s="11">
        <f>IF(CK6&gt;0,CK6,"")</f>
        <v>16.2</v>
      </c>
      <c r="DA6" s="11">
        <f>IF(SUM(CI6:CL6)-CM6&gt;0,SUM(CI6:CL6)-CM6,"")</f>
        <v>57.075000000000003</v>
      </c>
      <c r="DB6" s="11">
        <f>IF(CP6&gt;0,CP6,"")</f>
        <v>16.2</v>
      </c>
      <c r="DC6" s="11">
        <f>IF(SUM(CN6:CQ6)-CR6&gt;0,SUM(CN6:CQ6)-CR6,"")</f>
        <v>57.160000000000004</v>
      </c>
      <c r="DD6" s="11">
        <f>IF(CY6="",IF(MAX(DA6,DC6)&gt;0,MAX(DA6,DC6),""),MAX(DA6,DC6)+CY6)</f>
        <v>107.99000000000001</v>
      </c>
      <c r="DE6" s="11">
        <f>IF(CU6&gt;0,CU6,"")</f>
        <v>16.2</v>
      </c>
      <c r="DF6" s="11">
        <f>IF(SUM(CS6:CV6)-CW6&gt;0,SUM(CS6:CV6)-CW6,"")</f>
        <v>57.825000000000003</v>
      </c>
      <c r="DG6" s="11">
        <f>IF(SUM(DD6,DF6)&gt;0,SUM(DD6,DF6),"")</f>
        <v>165.815</v>
      </c>
      <c r="DH6" s="24" t="str">
        <f>IF(MAX(EB6,EX6,FT6,GP6,HL6,IH6,JD6,JZ6,KV6,LR6,MN6,NJ6)-IF(M6="",0,M6)&gt;0.001,MAX(EB6,EX6,FT6,GP6,HL6,IH6,JD6,JZ6,KV6,LR6,MN6,NJ6)-IF(M6="",0,M6),"")</f>
        <v/>
      </c>
      <c r="DI6" s="24" t="str">
        <f>IF(MAX(EC6,EY6,FU6,GQ6,HM6,II6,JE6,KA6,KW6,LS6,MO6,NK6)-IF(O6="",0,O6)&gt;0.001,MAX(EC6,EY6,FU6,GQ6,HM6,II6,JE6,KA6,KW6,LS6,MO6,NK6)-IF(O6="",0,O6),"")</f>
        <v/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>
        <v>17.600000000000001</v>
      </c>
      <c r="DM6" s="37">
        <v>9.3000000000000007</v>
      </c>
      <c r="DN6" s="37">
        <v>5.7</v>
      </c>
      <c r="DO6" s="37">
        <v>17.245000000000001</v>
      </c>
      <c r="DP6" s="37">
        <v>0</v>
      </c>
      <c r="DQ6" s="37">
        <v>8.6</v>
      </c>
      <c r="DR6" s="37">
        <v>5.2</v>
      </c>
      <c r="DS6" s="37">
        <v>8.9</v>
      </c>
      <c r="DT6" s="37">
        <v>9.66</v>
      </c>
      <c r="DU6" s="37">
        <v>0</v>
      </c>
      <c r="DV6" s="37"/>
      <c r="DW6" s="37"/>
      <c r="DX6" s="37"/>
      <c r="DY6" s="37"/>
      <c r="DZ6" s="37"/>
      <c r="EA6" s="11">
        <f>IF(DS6&gt;0,DS6,"")</f>
        <v>8.9</v>
      </c>
      <c r="EB6" s="11">
        <f>IF(SUM(DL6:DO6)-DP6&gt;0,SUM(DL6:DO6)-DP6,"")</f>
        <v>49.844999999999999</v>
      </c>
      <c r="EC6" s="11">
        <f>IF(SUM(DQ6:DT6)-DU6&gt;0,SUM(DQ6:DT6)-DU6,"")</f>
        <v>32.36</v>
      </c>
      <c r="ED6" s="11">
        <f>IF(SUM(EB6:EC6)&gt;0,SUM(EB6:EC6),"")</f>
        <v>82.204999999999998</v>
      </c>
      <c r="EE6" s="11" t="str">
        <f>IF(DX6&gt;0,DX6,"")</f>
        <v/>
      </c>
      <c r="EF6" s="11" t="str">
        <f>IF(SUM(DV6:DY6)-DZ6&gt;0,SUM(DV6:DY6)-DZ6,"")</f>
        <v/>
      </c>
      <c r="EG6" s="11">
        <f>IF(SUM(ED6,EF6)&gt;0,SUM(ED6,EF6),"")</f>
        <v>82.204999999999998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18.100000000000001</v>
      </c>
      <c r="NQ6" s="69">
        <f>IF($CX6="P",CE6,(CE6+BA6)/2)</f>
        <v>9.4</v>
      </c>
      <c r="NR6" s="69">
        <f>IF($CX6="P",CF6,(CF6+BB6)/2)</f>
        <v>5.7</v>
      </c>
      <c r="NS6" s="69">
        <f>IF($CX6="P",CG6,(CG6+BC6)/2)</f>
        <v>17.274999999999999</v>
      </c>
      <c r="NT6" s="69">
        <f>IF($CX6="P",CH6,(CH6+BD6)/2)</f>
        <v>0</v>
      </c>
      <c r="NU6" s="69">
        <f>IF($CX6="P",CI6,(CI6+BE6)/2)</f>
        <v>14.95</v>
      </c>
      <c r="NV6" s="69">
        <f>IF($CX6="P",CJ6,(CJ6+BF6)/2)</f>
        <v>9.3000000000000007</v>
      </c>
      <c r="NW6" s="69">
        <f>IF($CX6="P",CK6,(CK6+BG6)/2)</f>
        <v>15.55</v>
      </c>
      <c r="NX6" s="69">
        <f>IF($CX6="P",CL6,(CL6+BH6)/2)</f>
        <v>15.98</v>
      </c>
      <c r="NY6" s="69">
        <f>IF($CX6="P",CM6,(CM6+BI6)/2)</f>
        <v>0</v>
      </c>
      <c r="NZ6" s="69">
        <f>IF($CX6="P",CN6,(CN6+BJ6)/2)</f>
        <v>7.75</v>
      </c>
      <c r="OA6" s="69">
        <f>IF($CX6="P",CO6,(CO6+BK6)/2)</f>
        <v>4.375</v>
      </c>
      <c r="OB6" s="69">
        <f>IF($CX6="P",CP6,(CP6+BL6)/2)</f>
        <v>8.1</v>
      </c>
      <c r="OC6" s="69">
        <f>IF($CX6="P",CQ6,(CQ6+BM6)/2)</f>
        <v>8.3550000000000004</v>
      </c>
      <c r="OD6" s="69">
        <f>IF($CX6="P",CR6,(CR6+BN6)/2)</f>
        <v>0</v>
      </c>
      <c r="OE6" s="69">
        <f>IF($CX6="P",CS6,(CS6+BO6)/2)</f>
        <v>14.94</v>
      </c>
      <c r="OF6" s="69">
        <f>IF($CX6="P",CT6,(CT6+BP6)/2)</f>
        <v>9.4499999999999993</v>
      </c>
      <c r="OG6" s="69">
        <f>IF($CX6="P",CU6,(CU6+BQ6)/2)</f>
        <v>15.7</v>
      </c>
      <c r="OH6" s="69">
        <f>IF($CX6="P",CV6,(CV6+BR6)/2)</f>
        <v>16.234999999999999</v>
      </c>
      <c r="OI6" s="69">
        <f>IF($CX6="P",CW6,(CW6+BS6)/2)</f>
        <v>0</v>
      </c>
      <c r="OJ6" s="80" t="s">
        <v>91</v>
      </c>
      <c r="OK6" s="11">
        <f>IF(SUM(NP6:NS6)-NT6&gt;0,SUM(NP6:NS6)-NT6,"")</f>
        <v>50.475000000000001</v>
      </c>
      <c r="OL6" s="11">
        <f>IF(NW6&gt;0,NW6,"")</f>
        <v>15.55</v>
      </c>
      <c r="OM6" s="11">
        <f>IF(SUM(NU6:NX6)-NY6&gt;0,SUM(NU6:NX6)-NY6,"")</f>
        <v>55.78</v>
      </c>
      <c r="ON6" s="11">
        <f>IF(OB6&gt;0,OB6,"")</f>
        <v>8.1</v>
      </c>
      <c r="OO6" s="11">
        <f>IF(SUM(NZ6:OC6)-OD6&gt;0,SUM(NZ6:OC6)-OD6,"")</f>
        <v>28.580000000000002</v>
      </c>
      <c r="OP6" s="11">
        <f>IF(OR(OK6&lt;&gt;"",OM6&lt;&gt;"",OO6&lt;&gt;""),OK6+MAX(OM6,OO6),"")</f>
        <v>106.255</v>
      </c>
      <c r="OQ6" s="11">
        <f>IF(OG6&gt;0,OG6,"")</f>
        <v>15.7</v>
      </c>
      <c r="OR6" s="11">
        <f t="shared" si="0"/>
        <v>56.325000000000003</v>
      </c>
      <c r="OS6" s="11">
        <f t="shared" si="1"/>
        <v>162.57999999999998</v>
      </c>
    </row>
    <row r="7" spans="1:409" x14ac:dyDescent="0.2">
      <c r="A7" s="5" cm="1">
        <f t="array" ref="A7">IF(AND(G7&lt;&gt;"",H7&lt;&gt;""),SUMPRODUCT((G$4:G$25&lt;&gt;"")*(H$4:H$25&lt;&gt;"")*(E$4:E$25&gt;E7))+1,IF(H7&lt;&gt;"",SUMPRODUCT((I$4:I$25="No DD")*(E$4:E$25&gt;E7))+1+SUMPRODUCT((G$4:G$25&lt;&gt;"")*(H$4:H$25&lt;&gt;"")),""))</f>
        <v>4</v>
      </c>
      <c r="B7" s="6" t="s">
        <v>8</v>
      </c>
      <c r="C7" s="7" t="s">
        <v>3</v>
      </c>
      <c r="D7" s="5">
        <v>1994</v>
      </c>
      <c r="E7" s="15">
        <f>SUM(K7:S7)</f>
        <v>270.31</v>
      </c>
      <c r="F7" s="3" t="str">
        <f>IF(G7&lt;&gt;"","P","")</f>
        <v>P</v>
      </c>
      <c r="G7" s="125" t="str">
        <f>IF(OR(AND(AR7&gt;=AY$30,AR7&lt;&gt;"",AP7=""),AND(AT7&gt;=AY$30,AT7&lt;&gt;"",AP7=""),AND(AW7&gt;=AY$30,AW7&lt;&gt;"",AP7=""),AND(BV7&gt;=CC$30,BV7&lt;&gt;"",BT7=""),AND(BX7&gt;=CC$30,BX7&lt;&gt;"",BT7=""),AND(CA7&gt;=CC$30,CA7&lt;&gt;"",BT7=""),AND(CZ7&gt;=DG$30,CZ7&lt;&gt;"",CX7=""),AND(DB7&gt;=DG$30,DB7&lt;&gt;"",CX7=""),AND(DE7&gt;=DG$30,DE7&lt;&gt;"",CX7=""),AND(EA7&gt;=EG$30,EA7&lt;&gt;""),AND(EE7&gt;=EG$30,EE7&lt;&gt;""),AND(EW7&gt;=FC$30,EW7&lt;&gt;""),AND(FA7&gt;=FC$30,FA7&lt;&gt;""),AND(FS7&gt;=FY$30,FS7&lt;&gt;""),AND(FW7&gt;=FY$30,FW7&lt;&gt;""),AND(GO7&gt;=GU$30,GO7&lt;&gt;""),AND(GS7&gt;=GU$30,GS7&lt;&gt;""),AND(HK7&gt;=HQ$30,HK7&lt;&gt;""),AND(HO7&gt;=HQ$30,HO7&lt;&gt;""),AND(IG7&gt;=IM$30,IG7&lt;&gt;""),AND(IK7&gt;=IM$30,IK7&lt;&gt;""),AND(JC7&gt;=JI$30,JC7&lt;&gt;""),AND(JG7&gt;=JI$30,JG7&lt;&gt;""),AND(JY7&gt;=KE$30,JY7&lt;&gt;""),AND(KC7&gt;=KE$30,KC7&lt;&gt;""),AND(KU7&gt;=LA$30,KU7&lt;&gt;""),AND(KY7&gt;=LA$30,KY7&lt;&gt;""),AND(LQ7&gt;=LW$30,LQ7&lt;&gt;""),AND(LU7&gt;=LW$30,LU7&lt;&gt;""),AND(MM7&gt;=MS$30,MM7&lt;&gt;""),AND(MQ7&gt;=MS$30,MQ7&lt;&gt;""),AND(NI7&gt;=NO$30,NI7&lt;&gt;""),AND(NM7&gt;=NO$30,NM7&lt;&gt;"")),"Merit",IF(OR(AND(AR7&gt;=AY$29,AR7&lt;&gt;"",AP7=""),AND(AT7&gt;=AY$29,AT7&lt;&gt;"",AP7=""),AND(AW7&gt;=AY$29,AW7&lt;&gt;"",AP7=""),AND(BV7&gt;=CC$29,BV7&lt;&gt;"",BT7=""),AND(BX7&gt;=CC$29,BX7&lt;&gt;"",BT7=""),AND(CA7&gt;=CC$29,CA7&lt;&gt;"",BT7=""),AND(CZ7&gt;=DG$29,CZ7&lt;&gt;"",CX7=""),AND(DB7&gt;=DG$29,DB7&lt;&gt;"",CX7=""),AND(DE7&gt;=DG$29,DE7&lt;&gt;"",CX7=""),AND(EA7&gt;=EG$29,EA7&lt;&gt;""),AND(EE7&gt;=EG$29,EE7&lt;&gt;""),AND(EW7&gt;=FC$29,EW7&lt;&gt;""),AND(FA7&gt;=FC$29,FA7&lt;&gt;""),AND(FS7&gt;=FY$29,FS7&lt;&gt;""),AND(FW7&gt;=FY$29,FW7&lt;&gt;""),AND(GO7&gt;=GU$29,GO7&lt;&gt;""),AND(GS7&gt;=GU$29,GS7&lt;&gt;""),AND(HK7&gt;=HQ$29,HK7&lt;&gt;""),AND(HO7&gt;=HQ$29,HO7&lt;&gt;""),AND(IG7&gt;=IM$29,IG7&lt;&gt;""),AND(IK7&gt;=IM$29,IK7&lt;&gt;""),AND(JC7&gt;=JI$29,JC7&lt;&gt;""),AND(JG7&gt;=JI$29,JG7&lt;&gt;""),AND(JY7&gt;=KE$29,JY7&lt;&gt;""),AND(KC7&gt;=KE$29,KC7&lt;&gt;""),AND(KU7&gt;=LA$29,KU7&lt;&gt;""),AND(KY7&gt;=LA$29,KY7&lt;&gt;""),AND(LQ7&gt;=LW$29,LQ7&lt;&gt;""),AND(LU7&gt;=LW$29,LU7&lt;&gt;""),AND(MM7&gt;=MS$29,MM7&lt;&gt;""),AND(MQ7&gt;=MS$29,MQ7&lt;&gt;""),AND(NI7&gt;=NO$29,NI7&lt;&gt;""),AND(NM7&gt;=NO$29,NM7&lt;&gt;"")),"Excellence",IF(OR(AND(AR7&gt;=AY$28,AR7&lt;&gt;"",AP7=""),AND(AT7&gt;=AY$28,AT7&lt;&gt;"",AP7=""),AND(AW7&gt;=AY$28,AW7&lt;&gt;"",AP7=""),AND(BV7&gt;=CC$28,BV7&lt;&gt;"",BT7=""),AND(BX7&gt;=CC$28,BX7&lt;&gt;"",BT7=""),AND(CA7&gt;=CC$28,CA7&lt;&gt;"",BT7=""),AND(CZ7&gt;=DG$28,CZ7&lt;&gt;"",CX7=""),AND(DB7&gt;=DG$28,DB7&lt;&gt;"",CX7=""),AND(DE7&gt;=DG$28,DE7&lt;&gt;"",CX7=""),AND(EA7&gt;=EG$28,EA7&lt;&gt;""),AND(EE7&gt;=EG$28,EE7&lt;&gt;""),AND(EW7&gt;=FC$28,EW7&lt;&gt;""),AND(FA7&gt;=FC$28,FA7&lt;&gt;""),AND(FS7&gt;=FY$28,FS7&lt;&gt;""),AND(FW7&gt;=FY$28,FW7&lt;&gt;""),AND(GO7&gt;=GU$28,GO7&lt;&gt;""),AND(GS7&gt;=GU$28,GS7&lt;&gt;""),AND(HK7&gt;=HQ$28,HK7&lt;&gt;""),AND(HO7&gt;=HQ$28,HO7&lt;&gt;""),AND(IG7&gt;=IM$28,IG7&lt;&gt;""),AND(IK7&gt;=IM$28,IK7&lt;&gt;""),AND(JC7&gt;=JI$28,JC7&lt;&gt;""),AND(JG7&gt;=JI$28,JG7&lt;&gt;""),AND(JY7&gt;=KE$28,JY7&lt;&gt;""),AND(KC7&gt;=KE$28,KC7&lt;&gt;""),AND(KU7&gt;=LA$28,KU7&lt;&gt;""),AND(KY7&gt;=LA$28,KY7&lt;&gt;""),AND(LQ7&gt;=LW$28,LQ7&lt;&gt;""),AND(LU7&gt;=LW$28,LU7&lt;&gt;""),AND(MM7&gt;=MS$28,MM7&lt;&gt;""),AND(MQ7&gt;=MS$28,MQ7&lt;&gt;""),AND(NI7&gt;=NO$28,NI7&lt;&gt;""),AND(NM7&gt;=NO$28,NM7&lt;&gt;"")),"Worlds Team",IF(OR(AND(AR7&gt;=AY$27,AR7&lt;&gt;"",AP7=""),AND(AT7&gt;=AY$27,AT7&lt;&gt;"",AP7=""),AND(AW7&gt;=AY$27,AW7&lt;&gt;"",AP7=""),AND(BV7&gt;=CC$27,BV7&lt;&gt;"",BT7=""),AND(BX7&gt;=CC$27,BX7&lt;&gt;"",BT7=""),AND(CA7&gt;=CC$27,CA7&lt;&gt;"",BT7=""),AND(CZ7&gt;=DG$27,CZ7&lt;&gt;"",CX7=""),AND(DB7&gt;=DG$27,DB7&lt;&gt;"",CX7=""),AND(DE7&gt;=DG$27,DE7&lt;&gt;"",CX7=""),AND(EA7&gt;=EG$27,EA7&lt;&gt;""),AND(EE7&gt;=EG$27,EE7&lt;&gt;""),AND(EW7&gt;=FC$27,EW7&lt;&gt;""),AND(FA7&gt;=FC$27,FA7&lt;&gt;""),AND(FS7&gt;=FY$27,FS7&lt;&gt;""),AND(FW7&gt;=FY$27,FW7&lt;&gt;""),AND(GO7&gt;=GU$27,GO7&lt;&gt;""),AND(GS7&gt;=GU$27,GS7&lt;&gt;""),AND(HK7&gt;=HQ$27,HK7&lt;&gt;""),AND(HO7&gt;=HQ$27,HO7&lt;&gt;""),AND(IG7&gt;=IM$27,IG7&lt;&gt;""),AND(IK7&gt;=IM$27,IK7&lt;&gt;""),AND(JC7&gt;=JI$27,JC7&lt;&gt;""),AND(JG7&gt;=JI$27,JG7&lt;&gt;""),AND(JY7&gt;=KE$27,JY7&lt;&gt;""),AND(KC7&gt;=KE$27,KC7&lt;&gt;""),AND(KU7&gt;=LA$27,KU7&lt;&gt;""),AND(KY7&gt;=LA$27,KY7&lt;&gt;""),AND(LQ7&gt;=LW$27,LQ7&lt;&gt;""),AND(LU7&gt;=LW$27,LU7&lt;&gt;""),AND(MM7&gt;=MS$27,MM7&lt;&gt;""),AND(MQ7&gt;=MS$27,MQ7&lt;&gt;""),AND(NI7&gt;=NO$27,NI7&lt;&gt;""),AND(NM7&gt;=NO$27,NM7&lt;&gt;"")),"National Team",""))))</f>
        <v>Merit</v>
      </c>
      <c r="H7" s="125" t="str">
        <f>IF(OR(AND(AS7&gt;=AY$34,AS7&lt;&gt;"",AP7=""),AND(AU7&gt;=AY$34,AU7&lt;&gt;"",AP7=""),AND(AX7&gt;=AY$34,AX7&lt;&gt;"",AP7=""),AND(BW7&gt;=CC$34,BW7&lt;&gt;"",BT7=""),AND(BY7&gt;=CC$34,BY7&lt;&gt;"",BT7=""),AND(CB7&gt;=CC$34,CB7&lt;&gt;"",BT7=""),AND(DA7&gt;=DG$34,DA7&lt;&gt;"",CX7=""),AND(DC7&gt;=DG$34,DC7&lt;&gt;"",CX7=""),AND(DF7&gt;=DG$34,DF7&lt;&gt;"",CX7=""),AND(EC7&gt;=EG$34,EC7&lt;&gt;""),AND(EF7&gt;=EG$34,EF7&lt;&gt;""),AND(EY7&gt;=FC$34,EY7&lt;&gt;""),AND(FB7&gt;=FC$34,FB7&lt;&gt;""),AND(FU7&gt;=FY$34,FU7&lt;&gt;""),AND(FX7&gt;=FY$34,FX7&lt;&gt;""),AND(GQ7&gt;=GU$34,GQ7&lt;&gt;""),AND(GT7&gt;=GU$34,GT7&lt;&gt;""),AND(HM7&gt;=HQ$34,HM7&lt;&gt;""),AND(HP7&gt;=HQ$34,HP7&lt;&gt;""),AND(II7&gt;=IM$34,II7&lt;&gt;""),AND(IL7&gt;=IM$34,IL7&lt;&gt;""),AND(JE7&gt;=JI$34,JE7&lt;&gt;""),AND(JH7&gt;=JI$34,JH7&lt;&gt;""),AND(KA7&gt;=KE$34,KA7&lt;&gt;""),AND(KD7&gt;=KE$34,KD7&lt;&gt;""),AND(KW7&gt;=LA$34,KW7&lt;&gt;""),AND(KZ7&gt;=LA$34,KZ7&lt;&gt;""),AND(LS7&gt;=LW$34,LS7&lt;&gt;""),AND(LV7&gt;=LW$34,LV7&lt;&gt;""),AND(MO7&gt;=MS$34,MO7&lt;&gt;""),AND(MR7&gt;=MS$34,MR7&lt;&gt;""),AND(NK7&gt;=NO$34,NK7&lt;&gt;""),AND(NN7&gt;=NO$34,NN7&lt;&gt;"")),"Merit",IF(OR(AND(AS7&gt;=AY$33,AS7&lt;&gt;"",AP7=""),AND(AU7&gt;=AY$33,AU7&lt;&gt;"",AP7=""),AND(AX7&gt;=AY$33,AX7&lt;&gt;"",AP7=""),AND(BW7&gt;=CC$33,BW7&lt;&gt;"",BT7=""),AND(BY7&gt;=CC$33,BY7&lt;&gt;"",BT7=""),AND(CB7&gt;=CC$33,CB7&lt;&gt;"",BT7=""),AND(DA7&gt;=DG$33,DA7&lt;&gt;"",CX7=""),AND(DC7&gt;=DG$33,DC7&lt;&gt;"",CX7=""),AND(DF7&gt;=DG$33,DF7&lt;&gt;"",CX7=""),AND(EC7&gt;=EG$33,EC7&lt;&gt;""),AND(EF7&gt;=EG$33,EF7&lt;&gt;""),AND(EY7&gt;=FC$33,EY7&lt;&gt;""),AND(FB7&gt;=FC$33,FB7&lt;&gt;""),AND(FU7&gt;=FY$33,FU7&lt;&gt;""),AND(FX7&gt;=FY$33,FX7&lt;&gt;""),AND(GQ7&gt;=GU$33,GQ7&lt;&gt;""),AND(GT7&gt;=GU$33,GT7&lt;&gt;""),AND(HM7&gt;=HQ$33,HM7&lt;&gt;""),AND(HP7&gt;=HQ$33,HP7&lt;&gt;""),AND(II7&gt;=IM$33,II7&lt;&gt;""),AND(IL7&gt;=IM$33,IL7&lt;&gt;""),AND(JE7&gt;=JI$33,JE7&lt;&gt;""),AND(JH7&gt;=JI$33,JH7&lt;&gt;""),AND(KA7&gt;=KE$33,KA7&lt;&gt;""),AND(KD7&gt;=KE$33,KD7&lt;&gt;""),AND(KW7&gt;=LA$33,KW7&lt;&gt;""),AND(KZ7&gt;=LA$33,KZ7&lt;&gt;""),AND(LS7&gt;=LW$33,LS7&lt;&gt;""),AND(LV7&gt;=LW$33,LV7&lt;&gt;""),AND(MO7&gt;=MS$33,MO7&lt;&gt;""),AND(MR7&gt;=MS$33,MR7&lt;&gt;""),AND(NK7&gt;=NO$33,NK7&lt;&gt;""),AND(NN7&gt;=NO$33,NN7&lt;&gt;"")),"Excellence",IF(OR(AND(AV7&gt;=AY$32,AV7&lt;&gt;"",AP7=""),AND(BZ7&gt;=CC$32,BZ7&lt;&gt;"",BT7=""),AND(DD7&gt;=DG$32,DD7&lt;&gt;"",CX7=""),AND(ED7&gt;=EG$32,ED7&lt;&gt;""),AND(EZ7&gt;=FC$32,EZ7&lt;&gt;""),AND(FV7&gt;=FY$32,FV7&lt;&gt;""),AND(GR7&gt;=GU$32,GR7&lt;&gt;""),AND(HN7&gt;=HQ$32,HN7&lt;&gt;""),AND(IJ7&gt;=IM$32,IJ7&lt;&gt;""),AND(JF7&gt;=JI$32,JF7&lt;&gt;""),AND(KB7&gt;=KE$32,KB7&lt;&gt;""),AND(KX7&gt;=LA$32,KX7&lt;&gt;""),AND(LT7&gt;=LW$32,LT7&lt;&gt;""),AND(MP7&gt;=MS$32,MP7&lt;&gt;""),AND(NL7&gt;=NO$32,NL7&lt;&gt;"")),"Worlds Team",IF(OR(AND(AV7&gt;=AY$31,AV7&lt;&gt;"",AP7=""),AND(BZ7&gt;=CC$31,BZ7&lt;&gt;"",BT7=""),AND(DD7&gt;=DG$31,DD7&lt;&gt;"",CX7=""),AND(ED7&gt;=EG$31,ED7&lt;&gt;""),AND(EZ7&gt;=FC$31,EZ7&lt;&gt;""),AND(FV7&gt;=FY$31,FV7&lt;&gt;""),AND(GR7&gt;=GU$31,GR7&lt;&gt;""),AND(HN7&gt;=HQ$31,HN7&lt;&gt;""),AND(IJ7&gt;=IM$31,IJ7&lt;&gt;""),AND(JF7&gt;=JI$31,JF7&lt;&gt;""),AND(KB7&gt;=KE$31,KB7&lt;&gt;""),AND(KX7&gt;=LA$31,KX7&lt;&gt;""),AND(LT7&gt;=LW$31,LT7&lt;&gt;""),AND(MP7&gt;=MS$31,MP7&lt;&gt;""),AND(NL7&gt;=NO$31,NL7&lt;&gt;"")),"National Team",""))))</f>
        <v>Worlds Team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Worlds Team</v>
      </c>
      <c r="J7" s="3" t="str">
        <f>IF(AND(OR(AND(AV7&gt;=AY$32,AV7&lt;&gt;"",AP7=""),AND(BZ7&gt;=CC$32,BZ7&lt;&gt;"",BT7=""),AND(DD7&gt;=DG$32,DD7&lt;&gt;"",CX7=""),AND(ED7&gt;=EG$32,ED7&lt;&gt;""),AND(EZ7&gt;=FC$32,EZ7&lt;&gt;""),AND(FV7&gt;=FY$32,FV7&lt;&gt;""),AND(GR7&gt;=GU$32,GR7&lt;&gt;""),AND(HN7&gt;=HQ$32,HN7&lt;&gt;""),AND(IJ7&gt;=IM$32,IJ7&lt;&gt;""),AND(JF7&gt;=JI$32,JF7&lt;&gt;""),AND(KB7&gt;=KE$32,KB7&lt;&gt;""),AND(KX7&gt;=LA$32,KX7&lt;&gt;""),AND(LT7&gt;=LW$32,LT7&lt;&gt;""),AND(MP7&gt;=MS$32,MP7&lt;&gt;""),AND(NL7&gt;=NO$32,NL7&lt;&gt;"")),OR(G7="Worlds Team",G7="Excellence",G7="Merit")),"P","")</f>
        <v>P</v>
      </c>
      <c r="K7" s="14">
        <f>IF(MAX(AV7,BZ7,DD7)&gt;0,MAX(AV7,BZ7,DD7),0)</f>
        <v>107.19499999999999</v>
      </c>
      <c r="L7" s="14" t="str">
        <f>IF(K7=0,"",IF(K7=DD7,$CD$1,IF(K7=BZ7,$AZ$1,IF(K7=AV7,$V$1,""))))</f>
        <v>2019 Nationals</v>
      </c>
      <c r="M7" s="14">
        <f>IF($K7=$AV7,MAX(BU7,CY7),IF($K7=$BZ7,MAX(AQ7,CY7),IF($K7=$DD7,MAX(AQ7,BU7),MAX(AQ7,BU7,CY7))))</f>
        <v>50.480000000000004</v>
      </c>
      <c r="N7" s="14" t="str">
        <f>IF(M7=0,"",IF(AND(M7=CY7,$L7&lt;&gt;$CD$1),$CD$1,IF(AND(M7=BU7,$L7&lt;&gt;$AZ$1),$AZ$1,IF(AND(M7=AQ7,$L7&lt;&gt;$V$1),$V$1,""))))</f>
        <v>2021 1st Virtual Technical Trial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56.22</v>
      </c>
      <c r="P7" s="14" t="str">
        <f>IF(O7=0,"",IF(OR(O7=DC7,O7=DA7),$CD$1,IF(OR(O7=BY7,O7=BW7),$AZ$1,IF(OR(O7=AU7,O7=AS7),$V$1,""))))</f>
        <v>2019 Elite Canada</v>
      </c>
      <c r="Q7" s="14">
        <f>MAX(AX7,CB7,DF7)</f>
        <v>56.415000000000006</v>
      </c>
      <c r="R7" s="14" t="str">
        <f>IF(Q7=0,"",IF(Q7=DF7,$CD$1,IF(Q7=CB7,$AZ$1,IF(Q7=AX7,$V$1,""))))</f>
        <v>2019 Elite Canada</v>
      </c>
      <c r="S7" s="14" t="str">
        <f>IF(MAX(DH7,DI7,DJ7,DK7)&gt;0,MAX(DH7,DI7,DJ7,DK7),"")</f>
        <v/>
      </c>
      <c r="T7" s="25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9">
        <v>17.899999999999999</v>
      </c>
      <c r="W7" s="69">
        <v>8.9499999999999993</v>
      </c>
      <c r="X7" s="69">
        <v>6</v>
      </c>
      <c r="Y7" s="69">
        <v>17.03</v>
      </c>
      <c r="Z7" s="69">
        <v>0</v>
      </c>
      <c r="AA7" s="69">
        <v>16.3</v>
      </c>
      <c r="AB7" s="69">
        <v>9.1</v>
      </c>
      <c r="AC7" s="69">
        <v>15</v>
      </c>
      <c r="AD7" s="69">
        <v>15.82</v>
      </c>
      <c r="AE7" s="69">
        <v>0</v>
      </c>
      <c r="AF7" s="69"/>
      <c r="AG7" s="69"/>
      <c r="AH7" s="69"/>
      <c r="AI7" s="69"/>
      <c r="AJ7" s="69"/>
      <c r="AK7" s="69">
        <v>16.3</v>
      </c>
      <c r="AL7" s="69">
        <v>9.3000000000000007</v>
      </c>
      <c r="AM7" s="69">
        <v>14.8</v>
      </c>
      <c r="AN7" s="69">
        <v>16.015000000000001</v>
      </c>
      <c r="AO7" s="69">
        <v>0</v>
      </c>
      <c r="AP7" s="80"/>
      <c r="AQ7" s="11">
        <f>IF(SUM(V7:Y7)-Z7&gt;0,SUM(V7:Y7)-Z7,"")</f>
        <v>49.879999999999995</v>
      </c>
      <c r="AR7" s="11">
        <f>IF(AC7&gt;0,AC7,"")</f>
        <v>15</v>
      </c>
      <c r="AS7" s="11">
        <f>IF(SUM(AA7:AD7)-AE7&gt;0,SUM(AA7:AD7)-AE7,"")</f>
        <v>56.22</v>
      </c>
      <c r="AT7" s="11" t="str">
        <f>IF(AH7&gt;0,AH7,"")</f>
        <v/>
      </c>
      <c r="AU7" s="11" t="str">
        <f>IF(SUM(AF7:AI7)-AJ7&gt;0,SUM(AF7:AI7)-AJ7,"")</f>
        <v/>
      </c>
      <c r="AV7" s="11">
        <f>IF(OR(AQ7&lt;&gt;"",AS7&lt;&gt;"",AU7&lt;&gt;""),AQ7+MAX(AS7,AU7),"")</f>
        <v>106.1</v>
      </c>
      <c r="AW7" s="11">
        <f>IF(AM7&gt;0,AM7,"")</f>
        <v>14.8</v>
      </c>
      <c r="AX7" s="11">
        <f>IF(SUM(AK7:AN7)-AO7&gt;0,SUM(AK7:AN7)-AO7,"")</f>
        <v>56.415000000000006</v>
      </c>
      <c r="AY7" s="11">
        <f>IF(SUM(AV7,AX7)&gt;0,SUM(AV7,AX7),"")</f>
        <v>162.51499999999999</v>
      </c>
      <c r="AZ7" s="75">
        <v>18.899999999999999</v>
      </c>
      <c r="BA7" s="75">
        <v>9.3000000000000007</v>
      </c>
      <c r="BB7" s="75">
        <v>5.4</v>
      </c>
      <c r="BC7" s="75">
        <v>17.48</v>
      </c>
      <c r="BD7" s="75">
        <v>0</v>
      </c>
      <c r="BE7" s="75">
        <v>15.1</v>
      </c>
      <c r="BF7" s="75">
        <v>9.4</v>
      </c>
      <c r="BG7" s="75">
        <v>16</v>
      </c>
      <c r="BH7" s="75">
        <v>15.615</v>
      </c>
      <c r="BI7" s="75">
        <v>0</v>
      </c>
      <c r="BJ7" s="75"/>
      <c r="BK7" s="75"/>
      <c r="BL7" s="75"/>
      <c r="BM7" s="75"/>
      <c r="BN7" s="75"/>
      <c r="BO7" s="75">
        <v>15.08</v>
      </c>
      <c r="BP7" s="75">
        <v>9.1</v>
      </c>
      <c r="BQ7" s="75">
        <v>16</v>
      </c>
      <c r="BR7" s="75">
        <v>15.91</v>
      </c>
      <c r="BS7" s="75">
        <v>0</v>
      </c>
      <c r="BT7" s="81"/>
      <c r="BU7" s="14">
        <f>IF(SUM(AZ7:BC7)-BD7&gt;0,SUM(AZ7:BC7)-BD7,"")</f>
        <v>51.08</v>
      </c>
      <c r="BV7" s="14">
        <f>IF(BG7&gt;0,BG7,"")</f>
        <v>16</v>
      </c>
      <c r="BW7" s="14">
        <f>IF(SUM(BE7:BH7)-BI7&gt;0,SUM(BE7:BH7)-BI7,"")</f>
        <v>56.115000000000002</v>
      </c>
      <c r="BX7" s="14" t="str">
        <f>IF(BL7&gt;0,BL7,"")</f>
        <v/>
      </c>
      <c r="BY7" s="14" t="str">
        <f>IF(SUM(BJ7:BM7)-BN7&gt;0,SUM(BJ7:BM7)-BN7,"")</f>
        <v/>
      </c>
      <c r="BZ7" s="14">
        <f>IF(BU7="",IF(MAX(BW7,BY7)&gt;0,MAX(BW7,BY7),""),MAX(BW7,BY7)+BU7)</f>
        <v>107.19499999999999</v>
      </c>
      <c r="CA7" s="14">
        <f>IF(BQ7&gt;0,BQ7,"")</f>
        <v>16</v>
      </c>
      <c r="CB7" s="14">
        <f>IF(SUM(BO7:BR7)-BS7&gt;0,SUM(BO7:BR7)-BS7,"")</f>
        <v>56.09</v>
      </c>
      <c r="CC7" s="14">
        <f>IF(SUM(BZ7,CB7)&gt;0,SUM(BZ7,CB7),"")</f>
        <v>163.285</v>
      </c>
      <c r="CD7" s="69">
        <v>18.399999999999999</v>
      </c>
      <c r="CE7" s="69">
        <v>9.125</v>
      </c>
      <c r="CF7" s="69">
        <v>5.7</v>
      </c>
      <c r="CG7" s="69">
        <v>17.255000000000003</v>
      </c>
      <c r="CH7" s="69">
        <v>0</v>
      </c>
      <c r="CI7" s="69">
        <v>15.7</v>
      </c>
      <c r="CJ7" s="69">
        <v>9.25</v>
      </c>
      <c r="CK7" s="69">
        <v>15.5</v>
      </c>
      <c r="CL7" s="69">
        <v>15.717500000000001</v>
      </c>
      <c r="CM7" s="69">
        <v>0</v>
      </c>
      <c r="CN7" s="69"/>
      <c r="CO7" s="69"/>
      <c r="CP7" s="69"/>
      <c r="CQ7" s="69"/>
      <c r="CR7" s="69"/>
      <c r="CS7" s="69">
        <v>15.690000000000001</v>
      </c>
      <c r="CT7" s="69">
        <v>9.1999999999999993</v>
      </c>
      <c r="CU7" s="69">
        <v>15.4</v>
      </c>
      <c r="CV7" s="69">
        <v>15.9625</v>
      </c>
      <c r="CW7" s="69">
        <v>0</v>
      </c>
      <c r="CX7" s="80" t="s">
        <v>91</v>
      </c>
      <c r="CY7" s="11">
        <f>IF(SUM(CD7:CG7)-CH7&gt;0,SUM(CD7:CG7)-CH7,"")</f>
        <v>50.480000000000004</v>
      </c>
      <c r="CZ7" s="11">
        <f>IF(CK7&gt;0,CK7,"")</f>
        <v>15.5</v>
      </c>
      <c r="DA7" s="11">
        <f>IF(SUM(CI7:CL7)-CM7&gt;0,SUM(CI7:CL7)-CM7,"")</f>
        <v>56.167500000000004</v>
      </c>
      <c r="DB7" s="11" t="str">
        <f>IF(CP7&gt;0,CP7,"")</f>
        <v/>
      </c>
      <c r="DC7" s="11" t="str">
        <f>IF(SUM(CN7:CQ7)-CR7&gt;0,SUM(CN7:CQ7)-CR7,"")</f>
        <v/>
      </c>
      <c r="DD7" s="11">
        <f>IF(CY7="",IF(MAX(DA7,DC7)&gt;0,MAX(DA7,DC7),""),MAX(DA7,DC7)+CY7)</f>
        <v>106.64750000000001</v>
      </c>
      <c r="DE7" s="11">
        <f>IF(CU7&gt;0,CU7,"")</f>
        <v>15.4</v>
      </c>
      <c r="DF7" s="11">
        <f>IF(SUM(CS7:CV7)-CW7&gt;0,SUM(CS7:CV7)-CW7,"")</f>
        <v>56.252499999999998</v>
      </c>
      <c r="DG7" s="11">
        <f>IF(SUM(DD7,DF7)&gt;0,SUM(DD7,DF7),"")</f>
        <v>162.9</v>
      </c>
      <c r="DH7" s="24" t="str">
        <f>IF(MAX(EB7,EX7,FT7,GP7,HL7,IH7,JD7,JZ7,KV7,LR7,MN7,NJ7)-IF(M7="",0,M7)&gt;0.001,MAX(EB7,EX7,FT7,GP7,HL7,IH7,JD7,JZ7,KV7,LR7,MN7,NJ7)-IF(M7="",0,M7),"")</f>
        <v/>
      </c>
      <c r="DI7" s="24" t="str">
        <f>IF(MAX(EC7,EY7,FU7,GQ7,HM7,II7,JE7,KA7,KW7,LS7,MO7,NK7)-IF(O7="",0,O7)&gt;0.001,MAX(EC7,EY7,FU7,GQ7,HM7,II7,JE7,KA7,KW7,LS7,MO7,NK7)-IF(O7="",0,O7),"")</f>
        <v/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18.399999999999999</v>
      </c>
      <c r="NQ7" s="69">
        <f>IF($CX7="P",CE7,(CE7+BA7)/2)</f>
        <v>9.125</v>
      </c>
      <c r="NR7" s="69">
        <f>IF($CX7="P",CF7,(CF7+BB7)/2)</f>
        <v>5.7</v>
      </c>
      <c r="NS7" s="69">
        <f>IF($CX7="P",CG7,(CG7+BC7)/2)</f>
        <v>17.255000000000003</v>
      </c>
      <c r="NT7" s="69">
        <f>IF($CX7="P",CH7,(CH7+BD7)/2)</f>
        <v>0</v>
      </c>
      <c r="NU7" s="69">
        <f>IF($CX7="P",CI7,(CI7+BE7)/2)</f>
        <v>15.7</v>
      </c>
      <c r="NV7" s="69">
        <f>IF($CX7="P",CJ7,(CJ7+BF7)/2)</f>
        <v>9.25</v>
      </c>
      <c r="NW7" s="69">
        <f>IF($CX7="P",CK7,(CK7+BG7)/2)</f>
        <v>15.5</v>
      </c>
      <c r="NX7" s="69">
        <f>IF($CX7="P",CL7,(CL7+BH7)/2)</f>
        <v>15.717500000000001</v>
      </c>
      <c r="NY7" s="69">
        <f>IF($CX7="P",CM7,(CM7+BI7)/2)</f>
        <v>0</v>
      </c>
      <c r="NZ7" s="69">
        <f>IF($CX7="P",CN7,(CN7+BJ7)/2)</f>
        <v>0</v>
      </c>
      <c r="OA7" s="69">
        <f>IF($CX7="P",CO7,(CO7+BK7)/2)</f>
        <v>0</v>
      </c>
      <c r="OB7" s="69">
        <f>IF($CX7="P",CP7,(CP7+BL7)/2)</f>
        <v>0</v>
      </c>
      <c r="OC7" s="69">
        <f>IF($CX7="P",CQ7,(CQ7+BM7)/2)</f>
        <v>0</v>
      </c>
      <c r="OD7" s="69">
        <f>IF($CX7="P",CR7,(CR7+BN7)/2)</f>
        <v>0</v>
      </c>
      <c r="OE7" s="69">
        <f>IF($CX7="P",CS7,(CS7+BO7)/2)</f>
        <v>15.690000000000001</v>
      </c>
      <c r="OF7" s="69">
        <f>IF($CX7="P",CT7,(CT7+BP7)/2)</f>
        <v>9.1999999999999993</v>
      </c>
      <c r="OG7" s="69">
        <f>IF($CX7="P",CU7,(CU7+BQ7)/2)</f>
        <v>15.4</v>
      </c>
      <c r="OH7" s="69">
        <f>IF($CX7="P",CV7,(CV7+BR7)/2)</f>
        <v>15.9625</v>
      </c>
      <c r="OI7" s="69">
        <f>IF($CX7="P",CW7,(CW7+BS7)/2)</f>
        <v>0</v>
      </c>
      <c r="OJ7" s="80" t="s">
        <v>91</v>
      </c>
      <c r="OK7" s="11">
        <f>IF(SUM(NP7:NS7)-NT7&gt;0,SUM(NP7:NS7)-NT7,"")</f>
        <v>50.480000000000004</v>
      </c>
      <c r="OL7" s="11">
        <f>IF(NW7&gt;0,NW7,"")</f>
        <v>15.5</v>
      </c>
      <c r="OM7" s="11">
        <f>IF(SUM(NU7:NX7)-NY7&gt;0,SUM(NU7:NX7)-NY7,"")</f>
        <v>56.167500000000004</v>
      </c>
      <c r="ON7" s="11" t="str">
        <f>IF(OB7&gt;0,OB7,"")</f>
        <v/>
      </c>
      <c r="OO7" s="11" t="str">
        <f>IF(SUM(NZ7:OC7)-OD7&gt;0,SUM(NZ7:OC7)-OD7,"")</f>
        <v/>
      </c>
      <c r="OP7" s="11">
        <f>IF(OR(OK7&lt;&gt;"",OM7&lt;&gt;"",OO7&lt;&gt;""),OK7+MAX(OM7,OO7),"")</f>
        <v>106.64750000000001</v>
      </c>
      <c r="OQ7" s="11">
        <f>IF(OG7&gt;0,OG7,"")</f>
        <v>15.4</v>
      </c>
      <c r="OR7" s="11">
        <f t="shared" si="0"/>
        <v>56.252499999999998</v>
      </c>
      <c r="OS7" s="11">
        <f t="shared" si="1"/>
        <v>162.9</v>
      </c>
    </row>
    <row r="8" spans="1:409" x14ac:dyDescent="0.2">
      <c r="A8" s="5" cm="1">
        <f t="array" ref="A8">IF(AND(G8&lt;&gt;"",H8&lt;&gt;""),SUMPRODUCT((G$4:G$25&lt;&gt;"")*(H$4:H$25&lt;&gt;"")*(E$4:E$25&gt;E8))+1,IF(H8&lt;&gt;"",SUMPRODUCT((I$4:I$25="No DD")*(E$4:E$25&gt;E8))+1+SUMPRODUCT((G$4:G$25&lt;&gt;"")*(H$4:H$25&lt;&gt;"")),""))</f>
        <v>5</v>
      </c>
      <c r="B8" s="6" t="s">
        <v>178</v>
      </c>
      <c r="C8" s="7" t="s">
        <v>177</v>
      </c>
      <c r="D8" s="27">
        <v>2001</v>
      </c>
      <c r="E8" s="15">
        <f>SUM(K8:S8)</f>
        <v>261.42500000000001</v>
      </c>
      <c r="F8" s="3" t="str">
        <f>IF(G8&lt;&gt;"","P","")</f>
        <v>P</v>
      </c>
      <c r="G8" s="125" t="str">
        <f>IF(OR(AND(AR8&gt;=AY$30,AR8&lt;&gt;"",AP8=""),AND(AT8&gt;=AY$30,AT8&lt;&gt;"",AP8=""),AND(AW8&gt;=AY$30,AW8&lt;&gt;"",AP8=""),AND(BV8&gt;=CC$30,BV8&lt;&gt;"",BT8=""),AND(BX8&gt;=CC$30,BX8&lt;&gt;"",BT8=""),AND(CA8&gt;=CC$30,CA8&lt;&gt;"",BT8=""),AND(CZ8&gt;=DG$30,CZ8&lt;&gt;"",CX8=""),AND(DB8&gt;=DG$30,DB8&lt;&gt;"",CX8=""),AND(DE8&gt;=DG$30,DE8&lt;&gt;"",CX8=""),AND(EA8&gt;=EG$30,EA8&lt;&gt;""),AND(EE8&gt;=EG$30,EE8&lt;&gt;""),AND(EW8&gt;=FC$30,EW8&lt;&gt;""),AND(FA8&gt;=FC$30,FA8&lt;&gt;""),AND(FS8&gt;=FY$30,FS8&lt;&gt;""),AND(FW8&gt;=FY$30,FW8&lt;&gt;""),AND(GO8&gt;=GU$30,GO8&lt;&gt;""),AND(GS8&gt;=GU$30,GS8&lt;&gt;""),AND(HK8&gt;=HQ$30,HK8&lt;&gt;""),AND(HO8&gt;=HQ$30,HO8&lt;&gt;""),AND(IG8&gt;=IM$30,IG8&lt;&gt;""),AND(IK8&gt;=IM$30,IK8&lt;&gt;""),AND(JC8&gt;=JI$30,JC8&lt;&gt;""),AND(JG8&gt;=JI$30,JG8&lt;&gt;""),AND(JY8&gt;=KE$30,JY8&lt;&gt;""),AND(KC8&gt;=KE$30,KC8&lt;&gt;""),AND(KU8&gt;=LA$30,KU8&lt;&gt;""),AND(KY8&gt;=LA$30,KY8&lt;&gt;""),AND(LQ8&gt;=LW$30,LQ8&lt;&gt;""),AND(LU8&gt;=LW$30,LU8&lt;&gt;""),AND(MM8&gt;=MS$30,MM8&lt;&gt;""),AND(MQ8&gt;=MS$30,MQ8&lt;&gt;""),AND(NI8&gt;=NO$30,NI8&lt;&gt;""),AND(NM8&gt;=NO$30,NM8&lt;&gt;"")),"Merit",IF(OR(AND(AR8&gt;=AY$29,AR8&lt;&gt;"",AP8=""),AND(AT8&gt;=AY$29,AT8&lt;&gt;"",AP8=""),AND(AW8&gt;=AY$29,AW8&lt;&gt;"",AP8=""),AND(BV8&gt;=CC$29,BV8&lt;&gt;"",BT8=""),AND(BX8&gt;=CC$29,BX8&lt;&gt;"",BT8=""),AND(CA8&gt;=CC$29,CA8&lt;&gt;"",BT8=""),AND(CZ8&gt;=DG$29,CZ8&lt;&gt;"",CX8=""),AND(DB8&gt;=DG$29,DB8&lt;&gt;"",CX8=""),AND(DE8&gt;=DG$29,DE8&lt;&gt;"",CX8=""),AND(EA8&gt;=EG$29,EA8&lt;&gt;""),AND(EE8&gt;=EG$29,EE8&lt;&gt;""),AND(EW8&gt;=FC$29,EW8&lt;&gt;""),AND(FA8&gt;=FC$29,FA8&lt;&gt;""),AND(FS8&gt;=FY$29,FS8&lt;&gt;""),AND(FW8&gt;=FY$29,FW8&lt;&gt;""),AND(GO8&gt;=GU$29,GO8&lt;&gt;""),AND(GS8&gt;=GU$29,GS8&lt;&gt;""),AND(HK8&gt;=HQ$29,HK8&lt;&gt;""),AND(HO8&gt;=HQ$29,HO8&lt;&gt;""),AND(IG8&gt;=IM$29,IG8&lt;&gt;""),AND(IK8&gt;=IM$29,IK8&lt;&gt;""),AND(JC8&gt;=JI$29,JC8&lt;&gt;""),AND(JG8&gt;=JI$29,JG8&lt;&gt;""),AND(JY8&gt;=KE$29,JY8&lt;&gt;""),AND(KC8&gt;=KE$29,KC8&lt;&gt;""),AND(KU8&gt;=LA$29,KU8&lt;&gt;""),AND(KY8&gt;=LA$29,KY8&lt;&gt;""),AND(LQ8&gt;=LW$29,LQ8&lt;&gt;""),AND(LU8&gt;=LW$29,LU8&lt;&gt;""),AND(MM8&gt;=MS$29,MM8&lt;&gt;""),AND(MQ8&gt;=MS$29,MQ8&lt;&gt;""),AND(NI8&gt;=NO$29,NI8&lt;&gt;""),AND(NM8&gt;=NO$29,NM8&lt;&gt;"")),"Excellence",IF(OR(AND(AR8&gt;=AY$28,AR8&lt;&gt;"",AP8=""),AND(AT8&gt;=AY$28,AT8&lt;&gt;"",AP8=""),AND(AW8&gt;=AY$28,AW8&lt;&gt;"",AP8=""),AND(BV8&gt;=CC$28,BV8&lt;&gt;"",BT8=""),AND(BX8&gt;=CC$28,BX8&lt;&gt;"",BT8=""),AND(CA8&gt;=CC$28,CA8&lt;&gt;"",BT8=""),AND(CZ8&gt;=DG$28,CZ8&lt;&gt;"",CX8=""),AND(DB8&gt;=DG$28,DB8&lt;&gt;"",CX8=""),AND(DE8&gt;=DG$28,DE8&lt;&gt;"",CX8=""),AND(EA8&gt;=EG$28,EA8&lt;&gt;""),AND(EE8&gt;=EG$28,EE8&lt;&gt;""),AND(EW8&gt;=FC$28,EW8&lt;&gt;""),AND(FA8&gt;=FC$28,FA8&lt;&gt;""),AND(FS8&gt;=FY$28,FS8&lt;&gt;""),AND(FW8&gt;=FY$28,FW8&lt;&gt;""),AND(GO8&gt;=GU$28,GO8&lt;&gt;""),AND(GS8&gt;=GU$28,GS8&lt;&gt;""),AND(HK8&gt;=HQ$28,HK8&lt;&gt;""),AND(HO8&gt;=HQ$28,HO8&lt;&gt;""),AND(IG8&gt;=IM$28,IG8&lt;&gt;""),AND(IK8&gt;=IM$28,IK8&lt;&gt;""),AND(JC8&gt;=JI$28,JC8&lt;&gt;""),AND(JG8&gt;=JI$28,JG8&lt;&gt;""),AND(JY8&gt;=KE$28,JY8&lt;&gt;""),AND(KC8&gt;=KE$28,KC8&lt;&gt;""),AND(KU8&gt;=LA$28,KU8&lt;&gt;""),AND(KY8&gt;=LA$28,KY8&lt;&gt;""),AND(LQ8&gt;=LW$28,LQ8&lt;&gt;""),AND(LU8&gt;=LW$28,LU8&lt;&gt;""),AND(MM8&gt;=MS$28,MM8&lt;&gt;""),AND(MQ8&gt;=MS$28,MQ8&lt;&gt;""),AND(NI8&gt;=NO$28,NI8&lt;&gt;""),AND(NM8&gt;=NO$28,NM8&lt;&gt;"")),"Worlds Team",IF(OR(AND(AR8&gt;=AY$27,AR8&lt;&gt;"",AP8=""),AND(AT8&gt;=AY$27,AT8&lt;&gt;"",AP8=""),AND(AW8&gt;=AY$27,AW8&lt;&gt;"",AP8=""),AND(BV8&gt;=CC$27,BV8&lt;&gt;"",BT8=""),AND(BX8&gt;=CC$27,BX8&lt;&gt;"",BT8=""),AND(CA8&gt;=CC$27,CA8&lt;&gt;"",BT8=""),AND(CZ8&gt;=DG$27,CZ8&lt;&gt;"",CX8=""),AND(DB8&gt;=DG$27,DB8&lt;&gt;"",CX8=""),AND(DE8&gt;=DG$27,DE8&lt;&gt;"",CX8=""),AND(EA8&gt;=EG$27,EA8&lt;&gt;""),AND(EE8&gt;=EG$27,EE8&lt;&gt;""),AND(EW8&gt;=FC$27,EW8&lt;&gt;""),AND(FA8&gt;=FC$27,FA8&lt;&gt;""),AND(FS8&gt;=FY$27,FS8&lt;&gt;""),AND(FW8&gt;=FY$27,FW8&lt;&gt;""),AND(GO8&gt;=GU$27,GO8&lt;&gt;""),AND(GS8&gt;=GU$27,GS8&lt;&gt;""),AND(HK8&gt;=HQ$27,HK8&lt;&gt;""),AND(HO8&gt;=HQ$27,HO8&lt;&gt;""),AND(IG8&gt;=IM$27,IG8&lt;&gt;""),AND(IK8&gt;=IM$27,IK8&lt;&gt;""),AND(JC8&gt;=JI$27,JC8&lt;&gt;""),AND(JG8&gt;=JI$27,JG8&lt;&gt;""),AND(JY8&gt;=KE$27,JY8&lt;&gt;""),AND(KC8&gt;=KE$27,KC8&lt;&gt;""),AND(KU8&gt;=LA$27,KU8&lt;&gt;""),AND(KY8&gt;=LA$27,KY8&lt;&gt;""),AND(LQ8&gt;=LW$27,LQ8&lt;&gt;""),AND(LU8&gt;=LW$27,LU8&lt;&gt;""),AND(MM8&gt;=MS$27,MM8&lt;&gt;""),AND(MQ8&gt;=MS$27,MQ8&lt;&gt;""),AND(NI8&gt;=NO$27,NI8&lt;&gt;""),AND(NM8&gt;=NO$27,NM8&lt;&gt;"")),"National Team",""))))</f>
        <v>National Team</v>
      </c>
      <c r="H8" s="125" t="str">
        <f>IF(OR(AND(AS8&gt;=AY$34,AS8&lt;&gt;"",AP8=""),AND(AU8&gt;=AY$34,AU8&lt;&gt;"",AP8=""),AND(AX8&gt;=AY$34,AX8&lt;&gt;"",AP8=""),AND(BW8&gt;=CC$34,BW8&lt;&gt;"",BT8=""),AND(BY8&gt;=CC$34,BY8&lt;&gt;"",BT8=""),AND(CB8&gt;=CC$34,CB8&lt;&gt;"",BT8=""),AND(DA8&gt;=DG$34,DA8&lt;&gt;"",CX8=""),AND(DC8&gt;=DG$34,DC8&lt;&gt;"",CX8=""),AND(DF8&gt;=DG$34,DF8&lt;&gt;"",CX8=""),AND(EC8&gt;=EG$34,EC8&lt;&gt;""),AND(EF8&gt;=EG$34,EF8&lt;&gt;""),AND(EY8&gt;=FC$34,EY8&lt;&gt;""),AND(FB8&gt;=FC$34,FB8&lt;&gt;""),AND(FU8&gt;=FY$34,FU8&lt;&gt;""),AND(FX8&gt;=FY$34,FX8&lt;&gt;""),AND(GQ8&gt;=GU$34,GQ8&lt;&gt;""),AND(GT8&gt;=GU$34,GT8&lt;&gt;""),AND(HM8&gt;=HQ$34,HM8&lt;&gt;""),AND(HP8&gt;=HQ$34,HP8&lt;&gt;""),AND(II8&gt;=IM$34,II8&lt;&gt;""),AND(IL8&gt;=IM$34,IL8&lt;&gt;""),AND(JE8&gt;=JI$34,JE8&lt;&gt;""),AND(JH8&gt;=JI$34,JH8&lt;&gt;""),AND(KA8&gt;=KE$34,KA8&lt;&gt;""),AND(KD8&gt;=KE$34,KD8&lt;&gt;""),AND(KW8&gt;=LA$34,KW8&lt;&gt;""),AND(KZ8&gt;=LA$34,KZ8&lt;&gt;""),AND(LS8&gt;=LW$34,LS8&lt;&gt;""),AND(LV8&gt;=LW$34,LV8&lt;&gt;""),AND(MO8&gt;=MS$34,MO8&lt;&gt;""),AND(MR8&gt;=MS$34,MR8&lt;&gt;""),AND(NK8&gt;=NO$34,NK8&lt;&gt;""),AND(NN8&gt;=NO$34,NN8&lt;&gt;"")),"Merit",IF(OR(AND(AS8&gt;=AY$33,AS8&lt;&gt;"",AP8=""),AND(AU8&gt;=AY$33,AU8&lt;&gt;"",AP8=""),AND(AX8&gt;=AY$33,AX8&lt;&gt;"",AP8=""),AND(BW8&gt;=CC$33,BW8&lt;&gt;"",BT8=""),AND(BY8&gt;=CC$33,BY8&lt;&gt;"",BT8=""),AND(CB8&gt;=CC$33,CB8&lt;&gt;"",BT8=""),AND(DA8&gt;=DG$33,DA8&lt;&gt;"",CX8=""),AND(DC8&gt;=DG$33,DC8&lt;&gt;"",CX8=""),AND(DF8&gt;=DG$33,DF8&lt;&gt;"",CX8=""),AND(EC8&gt;=EG$33,EC8&lt;&gt;""),AND(EF8&gt;=EG$33,EF8&lt;&gt;""),AND(EY8&gt;=FC$33,EY8&lt;&gt;""),AND(FB8&gt;=FC$33,FB8&lt;&gt;""),AND(FU8&gt;=FY$33,FU8&lt;&gt;""),AND(FX8&gt;=FY$33,FX8&lt;&gt;""),AND(GQ8&gt;=GU$33,GQ8&lt;&gt;""),AND(GT8&gt;=GU$33,GT8&lt;&gt;""),AND(HM8&gt;=HQ$33,HM8&lt;&gt;""),AND(HP8&gt;=HQ$33,HP8&lt;&gt;""),AND(II8&gt;=IM$33,II8&lt;&gt;""),AND(IL8&gt;=IM$33,IL8&lt;&gt;""),AND(JE8&gt;=JI$33,JE8&lt;&gt;""),AND(JH8&gt;=JI$33,JH8&lt;&gt;""),AND(KA8&gt;=KE$33,KA8&lt;&gt;""),AND(KD8&gt;=KE$33,KD8&lt;&gt;""),AND(KW8&gt;=LA$33,KW8&lt;&gt;""),AND(KZ8&gt;=LA$33,KZ8&lt;&gt;""),AND(LS8&gt;=LW$33,LS8&lt;&gt;""),AND(LV8&gt;=LW$33,LV8&lt;&gt;""),AND(MO8&gt;=MS$33,MO8&lt;&gt;""),AND(MR8&gt;=MS$33,MR8&lt;&gt;""),AND(NK8&gt;=NO$33,NK8&lt;&gt;""),AND(NN8&gt;=NO$33,NN8&lt;&gt;"")),"Excellence",IF(OR(AND(AV8&gt;=AY$32,AV8&lt;&gt;"",AP8=""),AND(BZ8&gt;=CC$32,BZ8&lt;&gt;"",BT8=""),AND(DD8&gt;=DG$32,DD8&lt;&gt;"",CX8=""),AND(ED8&gt;=EG$32,ED8&lt;&gt;""),AND(EZ8&gt;=FC$32,EZ8&lt;&gt;""),AND(FV8&gt;=FY$32,FV8&lt;&gt;""),AND(GR8&gt;=GU$32,GR8&lt;&gt;""),AND(HN8&gt;=HQ$32,HN8&lt;&gt;""),AND(IJ8&gt;=IM$32,IJ8&lt;&gt;""),AND(JF8&gt;=JI$32,JF8&lt;&gt;""),AND(KB8&gt;=KE$32,KB8&lt;&gt;""),AND(KX8&gt;=LA$32,KX8&lt;&gt;""),AND(LT8&gt;=LW$32,LT8&lt;&gt;""),AND(MP8&gt;=MS$32,MP8&lt;&gt;""),AND(NL8&gt;=NO$32,NL8&lt;&gt;"")),"Worlds Team",IF(OR(AND(AV8&gt;=AY$31,AV8&lt;&gt;"",AP8=""),AND(BZ8&gt;=CC$31,BZ8&lt;&gt;"",BT8=""),AND(DD8&gt;=DG$31,DD8&lt;&gt;"",CX8=""),AND(ED8&gt;=EG$31,ED8&lt;&gt;""),AND(EZ8&gt;=FC$31,EZ8&lt;&gt;""),AND(FV8&gt;=FY$31,FV8&lt;&gt;""),AND(GR8&gt;=GU$31,GR8&lt;&gt;""),AND(HN8&gt;=HQ$31,HN8&lt;&gt;""),AND(IJ8&gt;=IM$31,IJ8&lt;&gt;""),AND(JF8&gt;=JI$31,JF8&lt;&gt;""),AND(KB8&gt;=KE$31,KB8&lt;&gt;""),AND(KX8&gt;=LA$31,KX8&lt;&gt;""),AND(LT8&gt;=LW$31,LT8&lt;&gt;""),AND(MP8&gt;=MS$31,MP8&lt;&gt;""),AND(NL8&gt;=NO$31,NL8&lt;&gt;"")),"National Team",""))))</f>
        <v>National Team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National Team</v>
      </c>
      <c r="J8" s="3" t="str">
        <f>IF(AND(OR(AND(AV8&gt;=AY$32,AV8&lt;&gt;"",AP8=""),AND(BZ8&gt;=CC$32,BZ8&lt;&gt;"",BT8=""),AND(DD8&gt;=DG$32,DD8&lt;&gt;"",CX8=""),AND(ED8&gt;=EG$32,ED8&lt;&gt;""),AND(EZ8&gt;=FC$32,EZ8&lt;&gt;""),AND(FV8&gt;=FY$32,FV8&lt;&gt;""),AND(GR8&gt;=GU$32,GR8&lt;&gt;""),AND(HN8&gt;=HQ$32,HN8&lt;&gt;""),AND(IJ8&gt;=IM$32,IJ8&lt;&gt;""),AND(JF8&gt;=JI$32,JF8&lt;&gt;""),AND(KB8&gt;=KE$32,KB8&lt;&gt;""),AND(KX8&gt;=LA$32,KX8&lt;&gt;""),AND(LT8&gt;=LW$32,LT8&lt;&gt;""),AND(MP8&gt;=MS$32,MP8&lt;&gt;""),AND(NL8&gt;=NO$32,NL8&lt;&gt;"")),OR(G8="Worlds Team",G8="Excellence",G8="Merit")),"P","")</f>
        <v/>
      </c>
      <c r="K8" s="14">
        <f>IF(MAX(AV8,BZ8,DD8)&gt;0,MAX(AV8,BZ8,DD8),0)</f>
        <v>103.205</v>
      </c>
      <c r="L8" s="14" t="str">
        <f>IF(K8=0,"",IF(K8=DD8,$CD$1,IF(K8=BZ8,$AZ$1,IF(K8=AV8,$V$1,""))))</f>
        <v>2019 Nationals</v>
      </c>
      <c r="M8" s="14">
        <f>IF($K8=$AV8,MAX(BU8,CY8),IF($K8=$BZ8,MAX(AQ8,CY8),IF($K8=$DD8,MAX(AQ8,BU8),MAX(AQ8,BU8,CY8))))</f>
        <v>47.855000000000004</v>
      </c>
      <c r="N8" s="14" t="str">
        <f>IF(M8=0,"",IF(AND(M8=CY8,$L8&lt;&gt;$CD$1),$CD$1,IF(AND(M8=BU8,$L8&lt;&gt;$AZ$1),$AZ$1,IF(AND(M8=AQ8,$L8&lt;&gt;$V$1),$V$1,""))))</f>
        <v>2019 Elite Canada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54.900000000000006</v>
      </c>
      <c r="P8" s="14" t="str">
        <f>IF(O8=0,"",IF(OR(O8=DC8,O8=DA8),$CD$1,IF(OR(O8=BY8,O8=BW8),$AZ$1,IF(OR(O8=AU8,O8=AS8),$V$1,""))))</f>
        <v>2019 Elite Canada</v>
      </c>
      <c r="Q8" s="14">
        <f>MAX(AX8,CB8,DF8)</f>
        <v>55.464999999999996</v>
      </c>
      <c r="R8" s="14" t="str">
        <f>IF(Q8=0,"",IF(Q8=DF8,$CD$1,IF(Q8=CB8,$AZ$1,IF(Q8=AX8,$V$1,""))))</f>
        <v>2019 Nationals</v>
      </c>
      <c r="S8" s="14" t="str">
        <f>IF(MAX(DH8,DI8,DJ8,DK8)&gt;0,MAX(DH8,DI8,DJ8,DK8),"")</f>
        <v/>
      </c>
      <c r="T8" s="25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9">
        <v>17.100000000000001</v>
      </c>
      <c r="W8" s="69">
        <v>9.3000000000000007</v>
      </c>
      <c r="X8" s="69">
        <v>3.9</v>
      </c>
      <c r="Y8" s="69">
        <v>17.555</v>
      </c>
      <c r="Z8" s="69">
        <v>0</v>
      </c>
      <c r="AA8" s="69">
        <v>14.5</v>
      </c>
      <c r="AB8" s="69">
        <v>9.35</v>
      </c>
      <c r="AC8" s="69">
        <v>14.3</v>
      </c>
      <c r="AD8" s="69">
        <v>16.75</v>
      </c>
      <c r="AE8" s="69">
        <v>0</v>
      </c>
      <c r="AF8" s="69"/>
      <c r="AG8" s="69"/>
      <c r="AH8" s="69"/>
      <c r="AI8" s="69"/>
      <c r="AJ8" s="69"/>
      <c r="AK8" s="69">
        <v>14.2</v>
      </c>
      <c r="AL8" s="69">
        <v>8.75</v>
      </c>
      <c r="AM8" s="69">
        <v>14.3</v>
      </c>
      <c r="AN8" s="69">
        <v>16.53</v>
      </c>
      <c r="AO8" s="69">
        <v>0</v>
      </c>
      <c r="AP8" s="80"/>
      <c r="AQ8" s="11">
        <f>IF(SUM(V8:Y8)-Z8&gt;0,SUM(V8:Y8)-Z8,"")</f>
        <v>47.855000000000004</v>
      </c>
      <c r="AR8" s="11">
        <f>IF(AC8&gt;0,AC8,"")</f>
        <v>14.3</v>
      </c>
      <c r="AS8" s="11">
        <f>IF(SUM(AA8:AD8)-AE8&gt;0,SUM(AA8:AD8)-AE8,"")</f>
        <v>54.900000000000006</v>
      </c>
      <c r="AT8" s="11" t="str">
        <f>IF(AH8&gt;0,AH8,"")</f>
        <v/>
      </c>
      <c r="AU8" s="11" t="str">
        <f>IF(SUM(AF8:AI8)-AJ8&gt;0,SUM(AF8:AI8)-AJ8,"")</f>
        <v/>
      </c>
      <c r="AV8" s="11">
        <f>IF(OR(AQ8&lt;&gt;"",AS8&lt;&gt;"",AU8&lt;&gt;""),AQ8+MAX(AS8,AU8),"")</f>
        <v>102.75500000000001</v>
      </c>
      <c r="AW8" s="11">
        <f>IF(AM8&gt;0,AM8,"")</f>
        <v>14.3</v>
      </c>
      <c r="AX8" s="11">
        <f>IF(SUM(AK8:AN8)-AO8&gt;0,SUM(AK8:AN8)-AO8,"")</f>
        <v>53.78</v>
      </c>
      <c r="AY8" s="11">
        <f>IF(SUM(AV8,AX8)&gt;0,SUM(AV8,AX8),"")</f>
        <v>156.53500000000003</v>
      </c>
      <c r="AZ8" s="75">
        <v>15.6</v>
      </c>
      <c r="BA8" s="75">
        <v>9.6</v>
      </c>
      <c r="BB8" s="75">
        <v>5.4</v>
      </c>
      <c r="BC8" s="75">
        <v>17.48</v>
      </c>
      <c r="BD8" s="75">
        <v>0</v>
      </c>
      <c r="BE8" s="75">
        <v>15.1</v>
      </c>
      <c r="BF8" s="75">
        <v>8.8000000000000007</v>
      </c>
      <c r="BG8" s="75">
        <v>15</v>
      </c>
      <c r="BH8" s="75">
        <v>16.225000000000001</v>
      </c>
      <c r="BI8" s="75">
        <v>0</v>
      </c>
      <c r="BJ8" s="75"/>
      <c r="BK8" s="75"/>
      <c r="BL8" s="75"/>
      <c r="BM8" s="75"/>
      <c r="BN8" s="75"/>
      <c r="BO8" s="75">
        <v>15.14</v>
      </c>
      <c r="BP8" s="75">
        <v>9.1</v>
      </c>
      <c r="BQ8" s="75">
        <v>15.2</v>
      </c>
      <c r="BR8" s="75">
        <v>16.024999999999999</v>
      </c>
      <c r="BS8" s="75">
        <v>0</v>
      </c>
      <c r="BT8" s="81"/>
      <c r="BU8" s="14">
        <f>IF(SUM(AZ8:BC8)-BD8&gt;0,SUM(AZ8:BC8)-BD8,"")</f>
        <v>48.08</v>
      </c>
      <c r="BV8" s="14">
        <f>IF(BG8&gt;0,BG8,"")</f>
        <v>15</v>
      </c>
      <c r="BW8" s="14">
        <f>IF(SUM(BE8:BH8)-BI8&gt;0,SUM(BE8:BH8)-BI8,"")</f>
        <v>55.125</v>
      </c>
      <c r="BX8" s="14" t="str">
        <f>IF(BL8&gt;0,BL8,"")</f>
        <v/>
      </c>
      <c r="BY8" s="14" t="str">
        <f>IF(SUM(BJ8:BM8)-BN8&gt;0,SUM(BJ8:BM8)-BN8,"")</f>
        <v/>
      </c>
      <c r="BZ8" s="14">
        <f>IF(BU8="",IF(MAX(BW8,BY8)&gt;0,MAX(BW8,BY8),""),MAX(BW8,BY8)+BU8)</f>
        <v>103.205</v>
      </c>
      <c r="CA8" s="14">
        <f>IF(BQ8&gt;0,BQ8,"")</f>
        <v>15.2</v>
      </c>
      <c r="CB8" s="14">
        <f>IF(SUM(BO8:BR8)-BS8&gt;0,SUM(BO8:BR8)-BS8,"")</f>
        <v>55.464999999999996</v>
      </c>
      <c r="CC8" s="14">
        <f>IF(SUM(BZ8,CB8)&gt;0,SUM(BZ8,CB8),"")</f>
        <v>158.66999999999999</v>
      </c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80"/>
      <c r="CY8" s="11" t="str">
        <f>IF(SUM(CD8:CG8)-CH8&gt;0,SUM(CD8:CG8)-CH8,"")</f>
        <v/>
      </c>
      <c r="CZ8" s="11" t="str">
        <f>IF(CK8&gt;0,CK8,"")</f>
        <v/>
      </c>
      <c r="DA8" s="11" t="str">
        <f>IF(SUM(CI8:CL8)-CM8&gt;0,SUM(CI8:CL8)-CM8,"")</f>
        <v/>
      </c>
      <c r="DB8" s="11" t="str">
        <f>IF(CP8&gt;0,CP8,"")</f>
        <v/>
      </c>
      <c r="DC8" s="11" t="str">
        <f>IF(SUM(CN8:CQ8)-CR8&gt;0,SUM(CN8:CQ8)-CR8,"")</f>
        <v/>
      </c>
      <c r="DD8" s="11" t="str">
        <f>IF(CY8="",IF(MAX(DA8,DC8)&gt;0,MAX(DA8,DC8),""),MAX(DA8,DC8)+CY8)</f>
        <v/>
      </c>
      <c r="DE8" s="11" t="str">
        <f>IF(CU8&gt;0,CU8,"")</f>
        <v/>
      </c>
      <c r="DF8" s="11" t="str">
        <f>IF(SUM(CS8:CV8)-CW8&gt;0,SUM(CS8:CV8)-CW8,"")</f>
        <v/>
      </c>
      <c r="DG8" s="11" t="str">
        <f>IF(SUM(DD8,DF8)&gt;0,SUM(DD8,DF8),"")</f>
        <v/>
      </c>
      <c r="DH8" s="24" t="str">
        <f>IF(MAX(EB8,EX8,FT8,GP8,HL8,IH8,JD8,JZ8,KV8,LR8,MN8,NJ8)-IF(M8="",0,M8)&gt;0.001,MAX(EB8,EX8,FT8,GP8,HL8,IH8,JD8,JZ8,KV8,LR8,MN8,NJ8)-IF(M8="",0,M8),"")</f>
        <v/>
      </c>
      <c r="DI8" s="24" t="str">
        <f>IF(MAX(EC8,EY8,FU8,GQ8,HM8,II8,JE8,KA8,KW8,LS8,MO8,NK8)-IF(O8="",0,O8)&gt;0.001,MAX(EC8,EY8,FU8,GQ8,HM8,II8,JE8,KA8,KW8,LS8,MO8,NK8)-IF(O8="",0,O8),"")</f>
        <v/>
      </c>
      <c r="DJ8" s="24" t="str">
        <f>IF(MAX(ED8,EZ8,FV8,GR8,HN8,IJ8,JF8,KB8,KX8,LT8,MP8,NL8)-IF(K8="",0,K8)&gt;0.001,MAX(ED8,EZ8,FV8,GR8,HN8,IJ8,JF8,KB8,KX8,LT8,MP8,NL8)-IF(K8="",0,K8),"")</f>
        <v/>
      </c>
      <c r="DK8" s="24" t="str">
        <f>IF(MAX(EF8,FB8,FX8,GT8,HP8,IL8,JH8,KD8,KZ8,LV8,MR8,NN8)-IF(Q8="",0,Q8)&gt;0.001,MAX(EF8,FB8,FX8,GT8,HP8,IL8,JH8,KD8,KZ8,LV8,MR8,NN8)-IF(Q8="",0,Q8),"")</f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7">
        <v>14.9</v>
      </c>
      <c r="FE8" s="37">
        <v>9.3000000000000007</v>
      </c>
      <c r="FF8" s="37">
        <v>2.9</v>
      </c>
      <c r="FG8" s="37">
        <v>17.645</v>
      </c>
      <c r="FH8" s="37">
        <v>0</v>
      </c>
      <c r="FI8" s="37">
        <v>5.3</v>
      </c>
      <c r="FJ8" s="37">
        <v>3.5</v>
      </c>
      <c r="FK8" s="37">
        <v>4.7</v>
      </c>
      <c r="FL8" s="37">
        <v>6.62</v>
      </c>
      <c r="FM8" s="37">
        <v>0</v>
      </c>
      <c r="FN8" s="37"/>
      <c r="FO8" s="37"/>
      <c r="FP8" s="37"/>
      <c r="FQ8" s="37"/>
      <c r="FR8" s="37"/>
      <c r="FS8" s="11">
        <f>IF(FK8&gt;0,FK8,"")</f>
        <v>4.7</v>
      </c>
      <c r="FT8" s="11">
        <f>IF(SUM(FD8:FG8)-FH8&gt;0,SUM(FD8:FG8)-FH8,"")</f>
        <v>44.745000000000005</v>
      </c>
      <c r="FU8" s="11">
        <f>IF(SUM(FI8:FL8)-FM8&gt;0,SUM(FI8:FL8)-FM8,"")</f>
        <v>20.12</v>
      </c>
      <c r="FV8" s="11">
        <f>IF(SUM(FT8:FU8)&gt;0,SUM(FT8:FU8),"")</f>
        <v>64.865000000000009</v>
      </c>
      <c r="FW8" s="11" t="str">
        <f>IF(FP8&gt;0,FP8,"")</f>
        <v/>
      </c>
      <c r="FX8" s="11" t="str">
        <f>IF(SUM(FN8:FQ8)-FR8&gt;0,SUM(FN8:FQ8)-FR8,"")</f>
        <v/>
      </c>
      <c r="FY8" s="11">
        <f>IF(SUM(FV8,FX8)&gt;0,SUM(FV8,FX8),"")</f>
        <v>64.865000000000009</v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7.8</v>
      </c>
      <c r="NQ8" s="69">
        <f>IF($CX8="P",CE8,(CE8+BA8)/2)</f>
        <v>4.8</v>
      </c>
      <c r="NR8" s="69">
        <f>IF($CX8="P",CF8,(CF8+BB8)/2)</f>
        <v>2.7</v>
      </c>
      <c r="NS8" s="69">
        <f>IF($CX8="P",CG8,(CG8+BC8)/2)</f>
        <v>8.74</v>
      </c>
      <c r="NT8" s="69">
        <f>IF($CX8="P",CH8,(CH8+BD8)/2)</f>
        <v>0</v>
      </c>
      <c r="NU8" s="69">
        <f>IF($CX8="P",CI8,(CI8+BE8)/2)</f>
        <v>7.55</v>
      </c>
      <c r="NV8" s="69">
        <f>IF($CX8="P",CJ8,(CJ8+BF8)/2)</f>
        <v>4.4000000000000004</v>
      </c>
      <c r="NW8" s="69">
        <f>IF($CX8="P",CK8,(CK8+BG8)/2)</f>
        <v>7.5</v>
      </c>
      <c r="NX8" s="69">
        <f>IF($CX8="P",CL8,(CL8+BH8)/2)</f>
        <v>8.1125000000000007</v>
      </c>
      <c r="NY8" s="69">
        <f>IF($CX8="P",CM8,(CM8+BI8)/2)</f>
        <v>0</v>
      </c>
      <c r="NZ8" s="69">
        <f>IF($CX8="P",CN8,(CN8+BJ8)/2)</f>
        <v>0</v>
      </c>
      <c r="OA8" s="69">
        <f>IF($CX8="P",CO8,(CO8+BK8)/2)</f>
        <v>0</v>
      </c>
      <c r="OB8" s="69">
        <f>IF($CX8="P",CP8,(CP8+BL8)/2)</f>
        <v>0</v>
      </c>
      <c r="OC8" s="69">
        <f>IF($CX8="P",CQ8,(CQ8+BM8)/2)</f>
        <v>0</v>
      </c>
      <c r="OD8" s="69">
        <f>IF($CX8="P",CR8,(CR8+BN8)/2)</f>
        <v>0</v>
      </c>
      <c r="OE8" s="69">
        <f>IF($CX8="P",CS8,(CS8+BO8)/2)</f>
        <v>7.57</v>
      </c>
      <c r="OF8" s="69">
        <f>IF($CX8="P",CT8,(CT8+BP8)/2)</f>
        <v>4.55</v>
      </c>
      <c r="OG8" s="69">
        <f>IF($CX8="P",CU8,(CU8+BQ8)/2)</f>
        <v>7.6</v>
      </c>
      <c r="OH8" s="69">
        <f>IF($CX8="P",CV8,(CV8+BR8)/2)</f>
        <v>8.0124999999999993</v>
      </c>
      <c r="OI8" s="69">
        <f>IF($CX8="P",CW8,(CW8+BS8)/2)</f>
        <v>0</v>
      </c>
      <c r="OJ8" s="80" t="s">
        <v>91</v>
      </c>
      <c r="OK8" s="11">
        <f>IF(SUM(NP8:NS8)-NT8&gt;0,SUM(NP8:NS8)-NT8,"")</f>
        <v>24.04</v>
      </c>
      <c r="OL8" s="11">
        <f>IF(NW8&gt;0,NW8,"")</f>
        <v>7.5</v>
      </c>
      <c r="OM8" s="11">
        <f>IF(SUM(NU8:NX8)-NY8&gt;0,SUM(NU8:NX8)-NY8,"")</f>
        <v>27.5625</v>
      </c>
      <c r="ON8" s="11" t="str">
        <f>IF(OB8&gt;0,OB8,"")</f>
        <v/>
      </c>
      <c r="OO8" s="11" t="str">
        <f>IF(SUM(NZ8:OC8)-OD8&gt;0,SUM(NZ8:OC8)-OD8,"")</f>
        <v/>
      </c>
      <c r="OP8" s="11">
        <f>IF(OR(OK8&lt;&gt;"",OM8&lt;&gt;"",OO8&lt;&gt;""),OK8+MAX(OM8,OO8),"")</f>
        <v>51.602499999999999</v>
      </c>
      <c r="OQ8" s="11">
        <f>IF(OG8&gt;0,OG8,"")</f>
        <v>7.6</v>
      </c>
      <c r="OR8" s="11">
        <f t="shared" si="0"/>
        <v>27.732499999999998</v>
      </c>
      <c r="OS8" s="11">
        <f t="shared" si="1"/>
        <v>79.334999999999994</v>
      </c>
    </row>
    <row r="9" spans="1:409" x14ac:dyDescent="0.2">
      <c r="A9" s="5" cm="1">
        <f t="array" ref="A9">IF(AND(G9&lt;&gt;"",H9&lt;&gt;""),SUMPRODUCT((G$4:G$25&lt;&gt;"")*(H$4:H$25&lt;&gt;"")*(E$4:E$25&gt;E9))+1,IF(H9&lt;&gt;"",SUMPRODUCT((I$4:I$25="No DD")*(E$4:E$25&gt;E9))+1+SUMPRODUCT((G$4:G$25&lt;&gt;"")*(H$4:H$25&lt;&gt;"")),""))</f>
        <v>6</v>
      </c>
      <c r="B9" s="6" t="s">
        <v>84</v>
      </c>
      <c r="C9" s="7" t="s">
        <v>5</v>
      </c>
      <c r="D9" s="27">
        <v>1999</v>
      </c>
      <c r="E9" s="15">
        <f>SUM(K9:S9)</f>
        <v>259.935</v>
      </c>
      <c r="F9" s="3" t="str">
        <f>IF(G9&lt;&gt;"","P","")</f>
        <v>P</v>
      </c>
      <c r="G9" s="125" t="str">
        <f>IF(OR(AND(AR9&gt;=AY$30,AR9&lt;&gt;"",AP9=""),AND(AT9&gt;=AY$30,AT9&lt;&gt;"",AP9=""),AND(AW9&gt;=AY$30,AW9&lt;&gt;"",AP9=""),AND(BV9&gt;=CC$30,BV9&lt;&gt;"",BT9=""),AND(BX9&gt;=CC$30,BX9&lt;&gt;"",BT9=""),AND(CA9&gt;=CC$30,CA9&lt;&gt;"",BT9=""),AND(CZ9&gt;=DG$30,CZ9&lt;&gt;"",CX9=""),AND(DB9&gt;=DG$30,DB9&lt;&gt;"",CX9=""),AND(DE9&gt;=DG$30,DE9&lt;&gt;"",CX9=""),AND(EA9&gt;=EG$30,EA9&lt;&gt;""),AND(EE9&gt;=EG$30,EE9&lt;&gt;""),AND(EW9&gt;=FC$30,EW9&lt;&gt;""),AND(FA9&gt;=FC$30,FA9&lt;&gt;""),AND(FS9&gt;=FY$30,FS9&lt;&gt;""),AND(FW9&gt;=FY$30,FW9&lt;&gt;""),AND(GO9&gt;=GU$30,GO9&lt;&gt;""),AND(GS9&gt;=GU$30,GS9&lt;&gt;""),AND(HK9&gt;=HQ$30,HK9&lt;&gt;""),AND(HO9&gt;=HQ$30,HO9&lt;&gt;""),AND(IG9&gt;=IM$30,IG9&lt;&gt;""),AND(IK9&gt;=IM$30,IK9&lt;&gt;""),AND(JC9&gt;=JI$30,JC9&lt;&gt;""),AND(JG9&gt;=JI$30,JG9&lt;&gt;""),AND(JY9&gt;=KE$30,JY9&lt;&gt;""),AND(KC9&gt;=KE$30,KC9&lt;&gt;""),AND(KU9&gt;=LA$30,KU9&lt;&gt;""),AND(KY9&gt;=LA$30,KY9&lt;&gt;""),AND(LQ9&gt;=LW$30,LQ9&lt;&gt;""),AND(LU9&gt;=LW$30,LU9&lt;&gt;""),AND(MM9&gt;=MS$30,MM9&lt;&gt;""),AND(MQ9&gt;=MS$30,MQ9&lt;&gt;""),AND(NI9&gt;=NO$30,NI9&lt;&gt;""),AND(NM9&gt;=NO$30,NM9&lt;&gt;"")),"Merit",IF(OR(AND(AR9&gt;=AY$29,AR9&lt;&gt;"",AP9=""),AND(AT9&gt;=AY$29,AT9&lt;&gt;"",AP9=""),AND(AW9&gt;=AY$29,AW9&lt;&gt;"",AP9=""),AND(BV9&gt;=CC$29,BV9&lt;&gt;"",BT9=""),AND(BX9&gt;=CC$29,BX9&lt;&gt;"",BT9=""),AND(CA9&gt;=CC$29,CA9&lt;&gt;"",BT9=""),AND(CZ9&gt;=DG$29,CZ9&lt;&gt;"",CX9=""),AND(DB9&gt;=DG$29,DB9&lt;&gt;"",CX9=""),AND(DE9&gt;=DG$29,DE9&lt;&gt;"",CX9=""),AND(EA9&gt;=EG$29,EA9&lt;&gt;""),AND(EE9&gt;=EG$29,EE9&lt;&gt;""),AND(EW9&gt;=FC$29,EW9&lt;&gt;""),AND(FA9&gt;=FC$29,FA9&lt;&gt;""),AND(FS9&gt;=FY$29,FS9&lt;&gt;""),AND(FW9&gt;=FY$29,FW9&lt;&gt;""),AND(GO9&gt;=GU$29,GO9&lt;&gt;""),AND(GS9&gt;=GU$29,GS9&lt;&gt;""),AND(HK9&gt;=HQ$29,HK9&lt;&gt;""),AND(HO9&gt;=HQ$29,HO9&lt;&gt;""),AND(IG9&gt;=IM$29,IG9&lt;&gt;""),AND(IK9&gt;=IM$29,IK9&lt;&gt;""),AND(JC9&gt;=JI$29,JC9&lt;&gt;""),AND(JG9&gt;=JI$29,JG9&lt;&gt;""),AND(JY9&gt;=KE$29,JY9&lt;&gt;""),AND(KC9&gt;=KE$29,KC9&lt;&gt;""),AND(KU9&gt;=LA$29,KU9&lt;&gt;""),AND(KY9&gt;=LA$29,KY9&lt;&gt;""),AND(LQ9&gt;=LW$29,LQ9&lt;&gt;""),AND(LU9&gt;=LW$29,LU9&lt;&gt;""),AND(MM9&gt;=MS$29,MM9&lt;&gt;""),AND(MQ9&gt;=MS$29,MQ9&lt;&gt;""),AND(NI9&gt;=NO$29,NI9&lt;&gt;""),AND(NM9&gt;=NO$29,NM9&lt;&gt;"")),"Excellence",IF(OR(AND(AR9&gt;=AY$28,AR9&lt;&gt;"",AP9=""),AND(AT9&gt;=AY$28,AT9&lt;&gt;"",AP9=""),AND(AW9&gt;=AY$28,AW9&lt;&gt;"",AP9=""),AND(BV9&gt;=CC$28,BV9&lt;&gt;"",BT9=""),AND(BX9&gt;=CC$28,BX9&lt;&gt;"",BT9=""),AND(CA9&gt;=CC$28,CA9&lt;&gt;"",BT9=""),AND(CZ9&gt;=DG$28,CZ9&lt;&gt;"",CX9=""),AND(DB9&gt;=DG$28,DB9&lt;&gt;"",CX9=""),AND(DE9&gt;=DG$28,DE9&lt;&gt;"",CX9=""),AND(EA9&gt;=EG$28,EA9&lt;&gt;""),AND(EE9&gt;=EG$28,EE9&lt;&gt;""),AND(EW9&gt;=FC$28,EW9&lt;&gt;""),AND(FA9&gt;=FC$28,FA9&lt;&gt;""),AND(FS9&gt;=FY$28,FS9&lt;&gt;""),AND(FW9&gt;=FY$28,FW9&lt;&gt;""),AND(GO9&gt;=GU$28,GO9&lt;&gt;""),AND(GS9&gt;=GU$28,GS9&lt;&gt;""),AND(HK9&gt;=HQ$28,HK9&lt;&gt;""),AND(HO9&gt;=HQ$28,HO9&lt;&gt;""),AND(IG9&gt;=IM$28,IG9&lt;&gt;""),AND(IK9&gt;=IM$28,IK9&lt;&gt;""),AND(JC9&gt;=JI$28,JC9&lt;&gt;""),AND(JG9&gt;=JI$28,JG9&lt;&gt;""),AND(JY9&gt;=KE$28,JY9&lt;&gt;""),AND(KC9&gt;=KE$28,KC9&lt;&gt;""),AND(KU9&gt;=LA$28,KU9&lt;&gt;""),AND(KY9&gt;=LA$28,KY9&lt;&gt;""),AND(LQ9&gt;=LW$28,LQ9&lt;&gt;""),AND(LU9&gt;=LW$28,LU9&lt;&gt;""),AND(MM9&gt;=MS$28,MM9&lt;&gt;""),AND(MQ9&gt;=MS$28,MQ9&lt;&gt;""),AND(NI9&gt;=NO$28,NI9&lt;&gt;""),AND(NM9&gt;=NO$28,NM9&lt;&gt;"")),"Worlds Team",IF(OR(AND(AR9&gt;=AY$27,AR9&lt;&gt;"",AP9=""),AND(AT9&gt;=AY$27,AT9&lt;&gt;"",AP9=""),AND(AW9&gt;=AY$27,AW9&lt;&gt;"",AP9=""),AND(BV9&gt;=CC$27,BV9&lt;&gt;"",BT9=""),AND(BX9&gt;=CC$27,BX9&lt;&gt;"",BT9=""),AND(CA9&gt;=CC$27,CA9&lt;&gt;"",BT9=""),AND(CZ9&gt;=DG$27,CZ9&lt;&gt;"",CX9=""),AND(DB9&gt;=DG$27,DB9&lt;&gt;"",CX9=""),AND(DE9&gt;=DG$27,DE9&lt;&gt;"",CX9=""),AND(EA9&gt;=EG$27,EA9&lt;&gt;""),AND(EE9&gt;=EG$27,EE9&lt;&gt;""),AND(EW9&gt;=FC$27,EW9&lt;&gt;""),AND(FA9&gt;=FC$27,FA9&lt;&gt;""),AND(FS9&gt;=FY$27,FS9&lt;&gt;""),AND(FW9&gt;=FY$27,FW9&lt;&gt;""),AND(GO9&gt;=GU$27,GO9&lt;&gt;""),AND(GS9&gt;=GU$27,GS9&lt;&gt;""),AND(HK9&gt;=HQ$27,HK9&lt;&gt;""),AND(HO9&gt;=HQ$27,HO9&lt;&gt;""),AND(IG9&gt;=IM$27,IG9&lt;&gt;""),AND(IK9&gt;=IM$27,IK9&lt;&gt;""),AND(JC9&gt;=JI$27,JC9&lt;&gt;""),AND(JG9&gt;=JI$27,JG9&lt;&gt;""),AND(JY9&gt;=KE$27,JY9&lt;&gt;""),AND(KC9&gt;=KE$27,KC9&lt;&gt;""),AND(KU9&gt;=LA$27,KU9&lt;&gt;""),AND(KY9&gt;=LA$27,KY9&lt;&gt;""),AND(LQ9&gt;=LW$27,LQ9&lt;&gt;""),AND(LU9&gt;=LW$27,LU9&lt;&gt;""),AND(MM9&gt;=MS$27,MM9&lt;&gt;""),AND(MQ9&gt;=MS$27,MQ9&lt;&gt;""),AND(NI9&gt;=NO$27,NI9&lt;&gt;""),AND(NM9&gt;=NO$27,NM9&lt;&gt;"")),"National Team",""))))</f>
        <v>National Team</v>
      </c>
      <c r="H9" s="125" t="str">
        <f>IF(OR(AND(AS9&gt;=AY$34,AS9&lt;&gt;"",AP9=""),AND(AU9&gt;=AY$34,AU9&lt;&gt;"",AP9=""),AND(AX9&gt;=AY$34,AX9&lt;&gt;"",AP9=""),AND(BW9&gt;=CC$34,BW9&lt;&gt;"",BT9=""),AND(BY9&gt;=CC$34,BY9&lt;&gt;"",BT9=""),AND(CB9&gt;=CC$34,CB9&lt;&gt;"",BT9=""),AND(DA9&gt;=DG$34,DA9&lt;&gt;"",CX9=""),AND(DC9&gt;=DG$34,DC9&lt;&gt;"",CX9=""),AND(DF9&gt;=DG$34,DF9&lt;&gt;"",CX9=""),AND(EC9&gt;=EG$34,EC9&lt;&gt;""),AND(EF9&gt;=EG$34,EF9&lt;&gt;""),AND(EY9&gt;=FC$34,EY9&lt;&gt;""),AND(FB9&gt;=FC$34,FB9&lt;&gt;""),AND(FU9&gt;=FY$34,FU9&lt;&gt;""),AND(FX9&gt;=FY$34,FX9&lt;&gt;""),AND(GQ9&gt;=GU$34,GQ9&lt;&gt;""),AND(GT9&gt;=GU$34,GT9&lt;&gt;""),AND(HM9&gt;=HQ$34,HM9&lt;&gt;""),AND(HP9&gt;=HQ$34,HP9&lt;&gt;""),AND(II9&gt;=IM$34,II9&lt;&gt;""),AND(IL9&gt;=IM$34,IL9&lt;&gt;""),AND(JE9&gt;=JI$34,JE9&lt;&gt;""),AND(JH9&gt;=JI$34,JH9&lt;&gt;""),AND(KA9&gt;=KE$34,KA9&lt;&gt;""),AND(KD9&gt;=KE$34,KD9&lt;&gt;""),AND(KW9&gt;=LA$34,KW9&lt;&gt;""),AND(KZ9&gt;=LA$34,KZ9&lt;&gt;""),AND(LS9&gt;=LW$34,LS9&lt;&gt;""),AND(LV9&gt;=LW$34,LV9&lt;&gt;""),AND(MO9&gt;=MS$34,MO9&lt;&gt;""),AND(MR9&gt;=MS$34,MR9&lt;&gt;""),AND(NK9&gt;=NO$34,NK9&lt;&gt;""),AND(NN9&gt;=NO$34,NN9&lt;&gt;"")),"Merit",IF(OR(AND(AS9&gt;=AY$33,AS9&lt;&gt;"",AP9=""),AND(AU9&gt;=AY$33,AU9&lt;&gt;"",AP9=""),AND(AX9&gt;=AY$33,AX9&lt;&gt;"",AP9=""),AND(BW9&gt;=CC$33,BW9&lt;&gt;"",BT9=""),AND(BY9&gt;=CC$33,BY9&lt;&gt;"",BT9=""),AND(CB9&gt;=CC$33,CB9&lt;&gt;"",BT9=""),AND(DA9&gt;=DG$33,DA9&lt;&gt;"",CX9=""),AND(DC9&gt;=DG$33,DC9&lt;&gt;"",CX9=""),AND(DF9&gt;=DG$33,DF9&lt;&gt;"",CX9=""),AND(EC9&gt;=EG$33,EC9&lt;&gt;""),AND(EF9&gt;=EG$33,EF9&lt;&gt;""),AND(EY9&gt;=FC$33,EY9&lt;&gt;""),AND(FB9&gt;=FC$33,FB9&lt;&gt;""),AND(FU9&gt;=FY$33,FU9&lt;&gt;""),AND(FX9&gt;=FY$33,FX9&lt;&gt;""),AND(GQ9&gt;=GU$33,GQ9&lt;&gt;""),AND(GT9&gt;=GU$33,GT9&lt;&gt;""),AND(HM9&gt;=HQ$33,HM9&lt;&gt;""),AND(HP9&gt;=HQ$33,HP9&lt;&gt;""),AND(II9&gt;=IM$33,II9&lt;&gt;""),AND(IL9&gt;=IM$33,IL9&lt;&gt;""),AND(JE9&gt;=JI$33,JE9&lt;&gt;""),AND(JH9&gt;=JI$33,JH9&lt;&gt;""),AND(KA9&gt;=KE$33,KA9&lt;&gt;""),AND(KD9&gt;=KE$33,KD9&lt;&gt;""),AND(KW9&gt;=LA$33,KW9&lt;&gt;""),AND(KZ9&gt;=LA$33,KZ9&lt;&gt;""),AND(LS9&gt;=LW$33,LS9&lt;&gt;""),AND(LV9&gt;=LW$33,LV9&lt;&gt;""),AND(MO9&gt;=MS$33,MO9&lt;&gt;""),AND(MR9&gt;=MS$33,MR9&lt;&gt;""),AND(NK9&gt;=NO$33,NK9&lt;&gt;""),AND(NN9&gt;=NO$33,NN9&lt;&gt;"")),"Excellence",IF(OR(AND(AV9&gt;=AY$32,AV9&lt;&gt;"",AP9=""),AND(BZ9&gt;=CC$32,BZ9&lt;&gt;"",BT9=""),AND(DD9&gt;=DG$32,DD9&lt;&gt;"",CX9=""),AND(ED9&gt;=EG$32,ED9&lt;&gt;""),AND(EZ9&gt;=FC$32,EZ9&lt;&gt;""),AND(FV9&gt;=FY$32,FV9&lt;&gt;""),AND(GR9&gt;=GU$32,GR9&lt;&gt;""),AND(HN9&gt;=HQ$32,HN9&lt;&gt;""),AND(IJ9&gt;=IM$32,IJ9&lt;&gt;""),AND(JF9&gt;=JI$32,JF9&lt;&gt;""),AND(KB9&gt;=KE$32,KB9&lt;&gt;""),AND(KX9&gt;=LA$32,KX9&lt;&gt;""),AND(LT9&gt;=LW$32,LT9&lt;&gt;""),AND(MP9&gt;=MS$32,MP9&lt;&gt;""),AND(NL9&gt;=NO$32,NL9&lt;&gt;"")),"Worlds Team",IF(OR(AND(AV9&gt;=AY$31,AV9&lt;&gt;"",AP9=""),AND(BZ9&gt;=CC$31,BZ9&lt;&gt;"",BT9=""),AND(DD9&gt;=DG$31,DD9&lt;&gt;"",CX9=""),AND(ED9&gt;=EG$31,ED9&lt;&gt;""),AND(EZ9&gt;=FC$31,EZ9&lt;&gt;""),AND(FV9&gt;=FY$31,FV9&lt;&gt;""),AND(GR9&gt;=GU$31,GR9&lt;&gt;""),AND(HN9&gt;=HQ$31,HN9&lt;&gt;""),AND(IJ9&gt;=IM$31,IJ9&lt;&gt;""),AND(JF9&gt;=JI$31,JF9&lt;&gt;""),AND(KB9&gt;=KE$31,KB9&lt;&gt;""),AND(KX9&gt;=LA$31,KX9&lt;&gt;""),AND(LT9&gt;=LW$31,LT9&lt;&gt;""),AND(MP9&gt;=MS$31,MP9&lt;&gt;""),AND(NL9&gt;=NO$31,NL9&lt;&gt;"")),"National Team",""))))</f>
        <v>National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National Team</v>
      </c>
      <c r="J9" s="3" t="str">
        <f>IF(AND(OR(AND(AV9&gt;=AY$32,AV9&lt;&gt;"",AP9=""),AND(BZ9&gt;=CC$32,BZ9&lt;&gt;"",BT9=""),AND(DD9&gt;=DG$32,DD9&lt;&gt;"",CX9=""),AND(ED9&gt;=EG$32,ED9&lt;&gt;""),AND(EZ9&gt;=FC$32,EZ9&lt;&gt;""),AND(FV9&gt;=FY$32,FV9&lt;&gt;""),AND(GR9&gt;=GU$32,GR9&lt;&gt;""),AND(HN9&gt;=HQ$32,HN9&lt;&gt;""),AND(IJ9&gt;=IM$32,IJ9&lt;&gt;""),AND(JF9&gt;=JI$32,JF9&lt;&gt;""),AND(KB9&gt;=KE$32,KB9&lt;&gt;""),AND(KX9&gt;=LA$32,KX9&lt;&gt;""),AND(LT9&gt;=LW$32,LT9&lt;&gt;""),AND(MP9&gt;=MS$32,MP9&lt;&gt;""),AND(NL9&gt;=NO$32,NL9&lt;&gt;"")),OR(G9="Worlds Team",G9="Excellence",G9="Merit")),"P","")</f>
        <v/>
      </c>
      <c r="K9" s="14">
        <f>IF(MAX(AV9,BZ9,DD9)&gt;0,MAX(AV9,BZ9,DD9),0)</f>
        <v>103.31500000000001</v>
      </c>
      <c r="L9" s="14" t="str">
        <f>IF(K9=0,"",IF(K9=DD9,$CD$1,IF(K9=BZ9,$AZ$1,IF(K9=AV9,$V$1,""))))</f>
        <v>2019 Nationals</v>
      </c>
      <c r="M9" s="14">
        <f>IF($K9=$AV9,MAX(BU9,CY9),IF($K9=$BZ9,MAX(AQ9,CY9),IF($K9=$DD9,MAX(AQ9,BU9),MAX(AQ9,BU9,CY9))))</f>
        <v>48.33</v>
      </c>
      <c r="N9" s="14" t="str">
        <f>IF(M9=0,"",IF(AND(M9=CY9,$L9&lt;&gt;$CD$1),$CD$1,IF(AND(M9=BU9,$L9&lt;&gt;$AZ$1),$AZ$1,IF(AND(M9=AQ9,$L9&lt;&gt;$V$1),$V$1,""))))</f>
        <v>2019 Elite Canada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53.855000000000004</v>
      </c>
      <c r="P9" s="14" t="str">
        <f>IF(O9=0,"",IF(OR(O9=DC9,O9=DA9),$CD$1,IF(OR(O9=BY9,O9=BW9),$AZ$1,IF(OR(O9=AU9,O9=AS9),$V$1,""))))</f>
        <v>2019 Elite Canada</v>
      </c>
      <c r="Q9" s="14">
        <f>MAX(AX9,CB9,DF9)</f>
        <v>54.434999999999995</v>
      </c>
      <c r="R9" s="14" t="str">
        <f>IF(Q9=0,"",IF(Q9=DF9,$CD$1,IF(Q9=CB9,$AZ$1,IF(Q9=AX9,$V$1,""))))</f>
        <v>2019 Nationals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17</v>
      </c>
      <c r="W9" s="69">
        <v>9.5500000000000007</v>
      </c>
      <c r="X9" s="69">
        <v>5.4</v>
      </c>
      <c r="Y9" s="69">
        <v>16.38</v>
      </c>
      <c r="Z9" s="69">
        <v>0</v>
      </c>
      <c r="AA9" s="69">
        <v>14.6</v>
      </c>
      <c r="AB9" s="69">
        <v>8.9</v>
      </c>
      <c r="AC9" s="69">
        <v>14.6</v>
      </c>
      <c r="AD9" s="69">
        <v>15.755000000000001</v>
      </c>
      <c r="AE9" s="69">
        <v>0</v>
      </c>
      <c r="AF9" s="69"/>
      <c r="AG9" s="69"/>
      <c r="AH9" s="69"/>
      <c r="AI9" s="69"/>
      <c r="AJ9" s="69"/>
      <c r="AK9" s="69">
        <v>14.7</v>
      </c>
      <c r="AL9" s="69">
        <v>9.15</v>
      </c>
      <c r="AM9" s="69">
        <v>14.8</v>
      </c>
      <c r="AN9" s="69">
        <v>15.685</v>
      </c>
      <c r="AO9" s="69">
        <v>0</v>
      </c>
      <c r="AP9" s="80"/>
      <c r="AQ9" s="11">
        <f>IF(SUM(V9:Y9)-Z9&gt;0,SUM(V9:Y9)-Z9,"")</f>
        <v>48.33</v>
      </c>
      <c r="AR9" s="11">
        <f>IF(AC9&gt;0,AC9,"")</f>
        <v>14.6</v>
      </c>
      <c r="AS9" s="11">
        <f>IF(SUM(AA9:AD9)-AE9&gt;0,SUM(AA9:AD9)-AE9,"")</f>
        <v>53.855000000000004</v>
      </c>
      <c r="AT9" s="11" t="str">
        <f>IF(AH9&gt;0,AH9,"")</f>
        <v/>
      </c>
      <c r="AU9" s="11" t="str">
        <f>IF(SUM(AF9:AI9)-AJ9&gt;0,SUM(AF9:AI9)-AJ9,"")</f>
        <v/>
      </c>
      <c r="AV9" s="11">
        <f>IF(OR(AQ9&lt;&gt;"",AS9&lt;&gt;"",AU9&lt;&gt;""),AQ9+MAX(AS9,AU9),"")</f>
        <v>102.185</v>
      </c>
      <c r="AW9" s="11">
        <f>IF(AM9&gt;0,AM9,"")</f>
        <v>14.8</v>
      </c>
      <c r="AX9" s="11">
        <f>IF(SUM(AK9:AN9)-AO9&gt;0,SUM(AK9:AN9)-AO9,"")</f>
        <v>54.335000000000008</v>
      </c>
      <c r="AY9" s="11">
        <f>IF(SUM(AV9,AX9)&gt;0,SUM(AV9,AX9),"")</f>
        <v>156.52000000000001</v>
      </c>
      <c r="AZ9" s="75">
        <v>16.399999999999999</v>
      </c>
      <c r="BA9" s="75">
        <v>9.1</v>
      </c>
      <c r="BB9" s="75">
        <v>5.4</v>
      </c>
      <c r="BC9" s="75">
        <v>16.675000000000001</v>
      </c>
      <c r="BD9" s="75">
        <v>0</v>
      </c>
      <c r="BE9" s="75">
        <v>15.4</v>
      </c>
      <c r="BF9" s="75">
        <v>9.3000000000000007</v>
      </c>
      <c r="BG9" s="75">
        <v>15.2</v>
      </c>
      <c r="BH9" s="75">
        <v>15.84</v>
      </c>
      <c r="BI9" s="75">
        <v>0</v>
      </c>
      <c r="BJ9" s="75"/>
      <c r="BK9" s="75"/>
      <c r="BL9" s="75"/>
      <c r="BM9" s="75"/>
      <c r="BN9" s="75"/>
      <c r="BO9" s="75">
        <v>14.68</v>
      </c>
      <c r="BP9" s="75">
        <v>9.4</v>
      </c>
      <c r="BQ9" s="75">
        <v>14.8</v>
      </c>
      <c r="BR9" s="75">
        <v>15.555</v>
      </c>
      <c r="BS9" s="75">
        <v>0</v>
      </c>
      <c r="BT9" s="81"/>
      <c r="BU9" s="14">
        <f>IF(SUM(AZ9:BC9)-BD9&gt;0,SUM(AZ9:BC9)-BD9,"")</f>
        <v>47.575000000000003</v>
      </c>
      <c r="BV9" s="14">
        <f>IF(BG9&gt;0,BG9,"")</f>
        <v>15.2</v>
      </c>
      <c r="BW9" s="14">
        <f>IF(SUM(BE9:BH9)-BI9&gt;0,SUM(BE9:BH9)-BI9,"")</f>
        <v>55.740000000000009</v>
      </c>
      <c r="BX9" s="14" t="str">
        <f>IF(BL9&gt;0,BL9,"")</f>
        <v/>
      </c>
      <c r="BY9" s="14" t="str">
        <f>IF(SUM(BJ9:BM9)-BN9&gt;0,SUM(BJ9:BM9)-BN9,"")</f>
        <v/>
      </c>
      <c r="BZ9" s="14">
        <f>IF(BU9="",IF(MAX(BW9,BY9)&gt;0,MAX(BW9,BY9),""),MAX(BW9,BY9)+BU9)</f>
        <v>103.31500000000001</v>
      </c>
      <c r="CA9" s="14">
        <f>IF(BQ9&gt;0,BQ9,"")</f>
        <v>14.8</v>
      </c>
      <c r="CB9" s="14">
        <f>IF(SUM(BO9:BR9)-BS9&gt;0,SUM(BO9:BR9)-BS9,"")</f>
        <v>54.434999999999995</v>
      </c>
      <c r="CC9" s="14">
        <f>IF(SUM(BZ9,CB9)&gt;0,SUM(BZ9,CB9),"")</f>
        <v>157.75</v>
      </c>
      <c r="CD9" s="69">
        <v>16.899999999999999</v>
      </c>
      <c r="CE9" s="69">
        <v>9.6</v>
      </c>
      <c r="CF9" s="69">
        <v>5.2</v>
      </c>
      <c r="CG9" s="69">
        <v>16.03</v>
      </c>
      <c r="CH9" s="69">
        <v>0.2</v>
      </c>
      <c r="CI9" s="69">
        <v>4.7</v>
      </c>
      <c r="CJ9" s="69">
        <v>2.8</v>
      </c>
      <c r="CK9" s="69">
        <v>4.9000000000000004</v>
      </c>
      <c r="CL9" s="69">
        <v>4.93</v>
      </c>
      <c r="CM9" s="69">
        <v>0.2</v>
      </c>
      <c r="CN9" s="69">
        <v>13.8</v>
      </c>
      <c r="CO9" s="69">
        <v>9.15</v>
      </c>
      <c r="CP9" s="69">
        <v>14.4</v>
      </c>
      <c r="CQ9" s="69">
        <v>15.36</v>
      </c>
      <c r="CR9" s="69">
        <v>0</v>
      </c>
      <c r="CS9" s="69">
        <v>14</v>
      </c>
      <c r="CT9" s="69">
        <v>9.1999999999999993</v>
      </c>
      <c r="CU9" s="69">
        <v>14.6</v>
      </c>
      <c r="CV9" s="69">
        <v>14.92</v>
      </c>
      <c r="CW9" s="69">
        <v>0.2</v>
      </c>
      <c r="CX9" s="80"/>
      <c r="CY9" s="11">
        <f>IF(SUM(CD9:CG9)-CH9&gt;0,SUM(CD9:CG9)-CH9,"")</f>
        <v>47.53</v>
      </c>
      <c r="CZ9" s="11">
        <f>IF(CK9&gt;0,CK9,"")</f>
        <v>4.9000000000000004</v>
      </c>
      <c r="DA9" s="11">
        <f>IF(SUM(CI9:CL9)-CM9&gt;0,SUM(CI9:CL9)-CM9,"")</f>
        <v>17.13</v>
      </c>
      <c r="DB9" s="11">
        <f>IF(CP9&gt;0,CP9,"")</f>
        <v>14.4</v>
      </c>
      <c r="DC9" s="11">
        <f>IF(SUM(CN9:CQ9)-CR9&gt;0,SUM(CN9:CQ9)-CR9,"")</f>
        <v>52.71</v>
      </c>
      <c r="DD9" s="11">
        <f>IF(CY9="",IF(MAX(DA9,DC9)&gt;0,MAX(DA9,DC9),""),MAX(DA9,DC9)+CY9)</f>
        <v>100.24000000000001</v>
      </c>
      <c r="DE9" s="11">
        <f>IF(CU9&gt;0,CU9,"")</f>
        <v>14.6</v>
      </c>
      <c r="DF9" s="11">
        <f>IF(SUM(CS9:CV9)-CW9&gt;0,SUM(CS9:CV9)-CW9,"")</f>
        <v>52.519999999999996</v>
      </c>
      <c r="DG9" s="11">
        <f>IF(SUM(DD9,DF9)&gt;0,SUM(DD9,DF9),"")</f>
        <v>152.76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>
        <v>16.8</v>
      </c>
      <c r="FE9" s="37">
        <v>9.6999999999999993</v>
      </c>
      <c r="FF9" s="37">
        <v>2.9</v>
      </c>
      <c r="FG9" s="37">
        <v>16.765000000000001</v>
      </c>
      <c r="FH9" s="37">
        <v>0</v>
      </c>
      <c r="FI9" s="37">
        <v>13.7</v>
      </c>
      <c r="FJ9" s="37">
        <v>9.4</v>
      </c>
      <c r="FK9" s="37">
        <v>15</v>
      </c>
      <c r="FL9" s="37">
        <v>15.555</v>
      </c>
      <c r="FM9" s="37">
        <v>0</v>
      </c>
      <c r="FN9" s="37"/>
      <c r="FO9" s="37"/>
      <c r="FP9" s="37"/>
      <c r="FQ9" s="37"/>
      <c r="FR9" s="37"/>
      <c r="FS9" s="11">
        <f>IF(FK9&gt;0,FK9,"")</f>
        <v>15</v>
      </c>
      <c r="FT9" s="11">
        <f>IF(SUM(FD9:FG9)-FH9&gt;0,SUM(FD9:FG9)-FH9,"")</f>
        <v>46.164999999999999</v>
      </c>
      <c r="FU9" s="11">
        <f>IF(SUM(FI9:FL9)-FM9&gt;0,SUM(FI9:FL9)-FM9,"")</f>
        <v>53.655000000000001</v>
      </c>
      <c r="FV9" s="11">
        <f>IF(SUM(FT9:FU9)&gt;0,SUM(FT9:FU9),"")</f>
        <v>99.82</v>
      </c>
      <c r="FW9" s="11" t="str">
        <f>IF(FP9&gt;0,FP9,"")</f>
        <v/>
      </c>
      <c r="FX9" s="11" t="str">
        <f>IF(SUM(FN9:FQ9)-FR9&gt;0,SUM(FN9:FQ9)-FR9,"")</f>
        <v/>
      </c>
      <c r="FY9" s="11">
        <f>IF(SUM(FV9,FX9)&gt;0,SUM(FV9,FX9),"")</f>
        <v>99.82</v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16.649999999999999</v>
      </c>
      <c r="NQ9" s="69">
        <f>IF($CX9="P",CE9,(CE9+BA9)/2)</f>
        <v>9.35</v>
      </c>
      <c r="NR9" s="69">
        <f>IF($CX9="P",CF9,(CF9+BB9)/2)</f>
        <v>5.3000000000000007</v>
      </c>
      <c r="NS9" s="69">
        <f>IF($CX9="P",CG9,(CG9+BC9)/2)</f>
        <v>16.352499999999999</v>
      </c>
      <c r="NT9" s="69">
        <f>IF($CX9="P",CH9,(CH9+BD9)/2)</f>
        <v>0.1</v>
      </c>
      <c r="NU9" s="69">
        <f>IF($CX9="P",CI9,(CI9+BE9)/2)</f>
        <v>10.050000000000001</v>
      </c>
      <c r="NV9" s="69">
        <f>IF($CX9="P",CJ9,(CJ9+BF9)/2)</f>
        <v>6.0500000000000007</v>
      </c>
      <c r="NW9" s="69">
        <f>IF($CX9="P",CK9,(CK9+BG9)/2)</f>
        <v>10.050000000000001</v>
      </c>
      <c r="NX9" s="69">
        <f>IF($CX9="P",CL9,(CL9+BH9)/2)</f>
        <v>10.385</v>
      </c>
      <c r="NY9" s="69">
        <f>IF($CX9="P",CM9,(CM9+BI9)/2)</f>
        <v>0.1</v>
      </c>
      <c r="NZ9" s="69">
        <f>IF($CX9="P",CN9,(CN9+BJ9)/2)</f>
        <v>6.9</v>
      </c>
      <c r="OA9" s="69">
        <f>IF($CX9="P",CO9,(CO9+BK9)/2)</f>
        <v>4.5750000000000002</v>
      </c>
      <c r="OB9" s="69">
        <f>IF($CX9="P",CP9,(CP9+BL9)/2)</f>
        <v>7.2</v>
      </c>
      <c r="OC9" s="69">
        <f>IF($CX9="P",CQ9,(CQ9+BM9)/2)</f>
        <v>7.68</v>
      </c>
      <c r="OD9" s="69">
        <f>IF($CX9="P",CR9,(CR9+BN9)/2)</f>
        <v>0</v>
      </c>
      <c r="OE9" s="69">
        <f>IF($CX9="P",CS9,(CS9+BO9)/2)</f>
        <v>14.34</v>
      </c>
      <c r="OF9" s="69">
        <f>IF($CX9="P",CT9,(CT9+BP9)/2)</f>
        <v>9.3000000000000007</v>
      </c>
      <c r="OG9" s="69">
        <f>IF($CX9="P",CU9,(CU9+BQ9)/2)</f>
        <v>14.7</v>
      </c>
      <c r="OH9" s="69">
        <f>IF($CX9="P",CV9,(CV9+BR9)/2)</f>
        <v>15.237500000000001</v>
      </c>
      <c r="OI9" s="69">
        <f>IF($CX9="P",CW9,(CW9+BS9)/2)</f>
        <v>0.1</v>
      </c>
      <c r="OJ9" s="80" t="s">
        <v>91</v>
      </c>
      <c r="OK9" s="11">
        <f>IF(SUM(NP9:NS9)-NT9&gt;0,SUM(NP9:NS9)-NT9,"")</f>
        <v>47.552500000000002</v>
      </c>
      <c r="OL9" s="11">
        <f>IF(NW9&gt;0,NW9,"")</f>
        <v>10.050000000000001</v>
      </c>
      <c r="OM9" s="11">
        <f>IF(SUM(NU9:NX9)-NY9&gt;0,SUM(NU9:NX9)-NY9,"")</f>
        <v>36.435000000000002</v>
      </c>
      <c r="ON9" s="11">
        <f>IF(OB9&gt;0,OB9,"")</f>
        <v>7.2</v>
      </c>
      <c r="OO9" s="11">
        <f>IF(SUM(NZ9:OC9)-OD9&gt;0,SUM(NZ9:OC9)-OD9,"")</f>
        <v>26.355</v>
      </c>
      <c r="OP9" s="11">
        <f>IF(OR(OK9&lt;&gt;"",OM9&lt;&gt;"",OO9&lt;&gt;""),OK9+MAX(OM9,OO9),"")</f>
        <v>83.987500000000011</v>
      </c>
      <c r="OQ9" s="11">
        <f>IF(OG9&gt;0,OG9,"")</f>
        <v>14.7</v>
      </c>
      <c r="OR9" s="11">
        <f t="shared" si="0"/>
        <v>53.477499999999999</v>
      </c>
      <c r="OS9" s="11">
        <f t="shared" si="1"/>
        <v>137.465</v>
      </c>
    </row>
    <row r="10" spans="1:409" x14ac:dyDescent="0.2">
      <c r="A10" s="5" cm="1">
        <f t="array" ref="A10">IF(AND(G10&lt;&gt;"",H10&lt;&gt;""),SUMPRODUCT((G$4:G$25&lt;&gt;"")*(H$4:H$25&lt;&gt;"")*(E$4:E$25&gt;E10))+1,IF(H10&lt;&gt;"",SUMPRODUCT((I$4:I$25="No DD")*(E$4:E$25&gt;E10))+1+SUMPRODUCT((G$4:G$25&lt;&gt;"")*(H$4:H$25&lt;&gt;"")),""))</f>
        <v>7</v>
      </c>
      <c r="B10" s="6" t="s">
        <v>212</v>
      </c>
      <c r="C10" s="7" t="s">
        <v>10</v>
      </c>
      <c r="D10" s="5">
        <v>2000</v>
      </c>
      <c r="E10" s="15">
        <f>SUM(K10:S10)</f>
        <v>259.89999999999998</v>
      </c>
      <c r="F10" s="3" t="str">
        <f>IF(G10&lt;&gt;"","P","")</f>
        <v>P</v>
      </c>
      <c r="G10" s="125" t="str">
        <f>IF(OR(AND(AR10&gt;=AY$30,AR10&lt;&gt;"",AP10=""),AND(AT10&gt;=AY$30,AT10&lt;&gt;"",AP10=""),AND(AW10&gt;=AY$30,AW10&lt;&gt;"",AP10=""),AND(BV10&gt;=CC$30,BV10&lt;&gt;"",BT10=""),AND(BX10&gt;=CC$30,BX10&lt;&gt;"",BT10=""),AND(CA10&gt;=CC$30,CA10&lt;&gt;"",BT10=""),AND(CZ10&gt;=DG$30,CZ10&lt;&gt;"",CX10=""),AND(DB10&gt;=DG$30,DB10&lt;&gt;"",CX10=""),AND(DE10&gt;=DG$30,DE10&lt;&gt;"",CX10=""),AND(EA10&gt;=EG$30,EA10&lt;&gt;""),AND(EE10&gt;=EG$30,EE10&lt;&gt;""),AND(EW10&gt;=FC$30,EW10&lt;&gt;""),AND(FA10&gt;=FC$30,FA10&lt;&gt;""),AND(FS10&gt;=FY$30,FS10&lt;&gt;""),AND(FW10&gt;=FY$30,FW10&lt;&gt;""),AND(GO10&gt;=GU$30,GO10&lt;&gt;""),AND(GS10&gt;=GU$30,GS10&lt;&gt;""),AND(HK10&gt;=HQ$30,HK10&lt;&gt;""),AND(HO10&gt;=HQ$30,HO10&lt;&gt;""),AND(IG10&gt;=IM$30,IG10&lt;&gt;""),AND(IK10&gt;=IM$30,IK10&lt;&gt;""),AND(JC10&gt;=JI$30,JC10&lt;&gt;""),AND(JG10&gt;=JI$30,JG10&lt;&gt;""),AND(JY10&gt;=KE$30,JY10&lt;&gt;""),AND(KC10&gt;=KE$30,KC10&lt;&gt;""),AND(KU10&gt;=LA$30,KU10&lt;&gt;""),AND(KY10&gt;=LA$30,KY10&lt;&gt;""),AND(LQ10&gt;=LW$30,LQ10&lt;&gt;""),AND(LU10&gt;=LW$30,LU10&lt;&gt;""),AND(MM10&gt;=MS$30,MM10&lt;&gt;""),AND(MQ10&gt;=MS$30,MQ10&lt;&gt;""),AND(NI10&gt;=NO$30,NI10&lt;&gt;""),AND(NM10&gt;=NO$30,NM10&lt;&gt;"")),"Merit",IF(OR(AND(AR10&gt;=AY$29,AR10&lt;&gt;"",AP10=""),AND(AT10&gt;=AY$29,AT10&lt;&gt;"",AP10=""),AND(AW10&gt;=AY$29,AW10&lt;&gt;"",AP10=""),AND(BV10&gt;=CC$29,BV10&lt;&gt;"",BT10=""),AND(BX10&gt;=CC$29,BX10&lt;&gt;"",BT10=""),AND(CA10&gt;=CC$29,CA10&lt;&gt;"",BT10=""),AND(CZ10&gt;=DG$29,CZ10&lt;&gt;"",CX10=""),AND(DB10&gt;=DG$29,DB10&lt;&gt;"",CX10=""),AND(DE10&gt;=DG$29,DE10&lt;&gt;"",CX10=""),AND(EA10&gt;=EG$29,EA10&lt;&gt;""),AND(EE10&gt;=EG$29,EE10&lt;&gt;""),AND(EW10&gt;=FC$29,EW10&lt;&gt;""),AND(FA10&gt;=FC$29,FA10&lt;&gt;""),AND(FS10&gt;=FY$29,FS10&lt;&gt;""),AND(FW10&gt;=FY$29,FW10&lt;&gt;""),AND(GO10&gt;=GU$29,GO10&lt;&gt;""),AND(GS10&gt;=GU$29,GS10&lt;&gt;""),AND(HK10&gt;=HQ$29,HK10&lt;&gt;""),AND(HO10&gt;=HQ$29,HO10&lt;&gt;""),AND(IG10&gt;=IM$29,IG10&lt;&gt;""),AND(IK10&gt;=IM$29,IK10&lt;&gt;""),AND(JC10&gt;=JI$29,JC10&lt;&gt;""),AND(JG10&gt;=JI$29,JG10&lt;&gt;""),AND(JY10&gt;=KE$29,JY10&lt;&gt;""),AND(KC10&gt;=KE$29,KC10&lt;&gt;""),AND(KU10&gt;=LA$29,KU10&lt;&gt;""),AND(KY10&gt;=LA$29,KY10&lt;&gt;""),AND(LQ10&gt;=LW$29,LQ10&lt;&gt;""),AND(LU10&gt;=LW$29,LU10&lt;&gt;""),AND(MM10&gt;=MS$29,MM10&lt;&gt;""),AND(MQ10&gt;=MS$29,MQ10&lt;&gt;""),AND(NI10&gt;=NO$29,NI10&lt;&gt;""),AND(NM10&gt;=NO$29,NM10&lt;&gt;"")),"Excellence",IF(OR(AND(AR10&gt;=AY$28,AR10&lt;&gt;"",AP10=""),AND(AT10&gt;=AY$28,AT10&lt;&gt;"",AP10=""),AND(AW10&gt;=AY$28,AW10&lt;&gt;"",AP10=""),AND(BV10&gt;=CC$28,BV10&lt;&gt;"",BT10=""),AND(BX10&gt;=CC$28,BX10&lt;&gt;"",BT10=""),AND(CA10&gt;=CC$28,CA10&lt;&gt;"",BT10=""),AND(CZ10&gt;=DG$28,CZ10&lt;&gt;"",CX10=""),AND(DB10&gt;=DG$28,DB10&lt;&gt;"",CX10=""),AND(DE10&gt;=DG$28,DE10&lt;&gt;"",CX10=""),AND(EA10&gt;=EG$28,EA10&lt;&gt;""),AND(EE10&gt;=EG$28,EE10&lt;&gt;""),AND(EW10&gt;=FC$28,EW10&lt;&gt;""),AND(FA10&gt;=FC$28,FA10&lt;&gt;""),AND(FS10&gt;=FY$28,FS10&lt;&gt;""),AND(FW10&gt;=FY$28,FW10&lt;&gt;""),AND(GO10&gt;=GU$28,GO10&lt;&gt;""),AND(GS10&gt;=GU$28,GS10&lt;&gt;""),AND(HK10&gt;=HQ$28,HK10&lt;&gt;""),AND(HO10&gt;=HQ$28,HO10&lt;&gt;""),AND(IG10&gt;=IM$28,IG10&lt;&gt;""),AND(IK10&gt;=IM$28,IK10&lt;&gt;""),AND(JC10&gt;=JI$28,JC10&lt;&gt;""),AND(JG10&gt;=JI$28,JG10&lt;&gt;""),AND(JY10&gt;=KE$28,JY10&lt;&gt;""),AND(KC10&gt;=KE$28,KC10&lt;&gt;""),AND(KU10&gt;=LA$28,KU10&lt;&gt;""),AND(KY10&gt;=LA$28,KY10&lt;&gt;""),AND(LQ10&gt;=LW$28,LQ10&lt;&gt;""),AND(LU10&gt;=LW$28,LU10&lt;&gt;""),AND(MM10&gt;=MS$28,MM10&lt;&gt;""),AND(MQ10&gt;=MS$28,MQ10&lt;&gt;""),AND(NI10&gt;=NO$28,NI10&lt;&gt;""),AND(NM10&gt;=NO$28,NM10&lt;&gt;"")),"Worlds Team",IF(OR(AND(AR10&gt;=AY$27,AR10&lt;&gt;"",AP10=""),AND(AT10&gt;=AY$27,AT10&lt;&gt;"",AP10=""),AND(AW10&gt;=AY$27,AW10&lt;&gt;"",AP10=""),AND(BV10&gt;=CC$27,BV10&lt;&gt;"",BT10=""),AND(BX10&gt;=CC$27,BX10&lt;&gt;"",BT10=""),AND(CA10&gt;=CC$27,CA10&lt;&gt;"",BT10=""),AND(CZ10&gt;=DG$27,CZ10&lt;&gt;"",CX10=""),AND(DB10&gt;=DG$27,DB10&lt;&gt;"",CX10=""),AND(DE10&gt;=DG$27,DE10&lt;&gt;"",CX10=""),AND(EA10&gt;=EG$27,EA10&lt;&gt;""),AND(EE10&gt;=EG$27,EE10&lt;&gt;""),AND(EW10&gt;=FC$27,EW10&lt;&gt;""),AND(FA10&gt;=FC$27,FA10&lt;&gt;""),AND(FS10&gt;=FY$27,FS10&lt;&gt;""),AND(FW10&gt;=FY$27,FW10&lt;&gt;""),AND(GO10&gt;=GU$27,GO10&lt;&gt;""),AND(GS10&gt;=GU$27,GS10&lt;&gt;""),AND(HK10&gt;=HQ$27,HK10&lt;&gt;""),AND(HO10&gt;=HQ$27,HO10&lt;&gt;""),AND(IG10&gt;=IM$27,IG10&lt;&gt;""),AND(IK10&gt;=IM$27,IK10&lt;&gt;""),AND(JC10&gt;=JI$27,JC10&lt;&gt;""),AND(JG10&gt;=JI$27,JG10&lt;&gt;""),AND(JY10&gt;=KE$27,JY10&lt;&gt;""),AND(KC10&gt;=KE$27,KC10&lt;&gt;""),AND(KU10&gt;=LA$27,KU10&lt;&gt;""),AND(KY10&gt;=LA$27,KY10&lt;&gt;""),AND(LQ10&gt;=LW$27,LQ10&lt;&gt;""),AND(LU10&gt;=LW$27,LU10&lt;&gt;""),AND(MM10&gt;=MS$27,MM10&lt;&gt;""),AND(MQ10&gt;=MS$27,MQ10&lt;&gt;""),AND(NI10&gt;=NO$27,NI10&lt;&gt;""),AND(NM10&gt;=NO$27,NM10&lt;&gt;"")),"National Team",""))))</f>
        <v>National Team</v>
      </c>
      <c r="H10" s="125" t="str">
        <f>IF(OR(AND(AS10&gt;=AY$34,AS10&lt;&gt;"",AP10=""),AND(AU10&gt;=AY$34,AU10&lt;&gt;"",AP10=""),AND(AX10&gt;=AY$34,AX10&lt;&gt;"",AP10=""),AND(BW10&gt;=CC$34,BW10&lt;&gt;"",BT10=""),AND(BY10&gt;=CC$34,BY10&lt;&gt;"",BT10=""),AND(CB10&gt;=CC$34,CB10&lt;&gt;"",BT10=""),AND(DA10&gt;=DG$34,DA10&lt;&gt;"",CX10=""),AND(DC10&gt;=DG$34,DC10&lt;&gt;"",CX10=""),AND(DF10&gt;=DG$34,DF10&lt;&gt;"",CX10=""),AND(EC10&gt;=EG$34,EC10&lt;&gt;""),AND(EF10&gt;=EG$34,EF10&lt;&gt;""),AND(EY10&gt;=FC$34,EY10&lt;&gt;""),AND(FB10&gt;=FC$34,FB10&lt;&gt;""),AND(FU10&gt;=FY$34,FU10&lt;&gt;""),AND(FX10&gt;=FY$34,FX10&lt;&gt;""),AND(GQ10&gt;=GU$34,GQ10&lt;&gt;""),AND(GT10&gt;=GU$34,GT10&lt;&gt;""),AND(HM10&gt;=HQ$34,HM10&lt;&gt;""),AND(HP10&gt;=HQ$34,HP10&lt;&gt;""),AND(II10&gt;=IM$34,II10&lt;&gt;""),AND(IL10&gt;=IM$34,IL10&lt;&gt;""),AND(JE10&gt;=JI$34,JE10&lt;&gt;""),AND(JH10&gt;=JI$34,JH10&lt;&gt;""),AND(KA10&gt;=KE$34,KA10&lt;&gt;""),AND(KD10&gt;=KE$34,KD10&lt;&gt;""),AND(KW10&gt;=LA$34,KW10&lt;&gt;""),AND(KZ10&gt;=LA$34,KZ10&lt;&gt;""),AND(LS10&gt;=LW$34,LS10&lt;&gt;""),AND(LV10&gt;=LW$34,LV10&lt;&gt;""),AND(MO10&gt;=MS$34,MO10&lt;&gt;""),AND(MR10&gt;=MS$34,MR10&lt;&gt;""),AND(NK10&gt;=NO$34,NK10&lt;&gt;""),AND(NN10&gt;=NO$34,NN10&lt;&gt;"")),"Merit",IF(OR(AND(AS10&gt;=AY$33,AS10&lt;&gt;"",AP10=""),AND(AU10&gt;=AY$33,AU10&lt;&gt;"",AP10=""),AND(AX10&gt;=AY$33,AX10&lt;&gt;"",AP10=""),AND(BW10&gt;=CC$33,BW10&lt;&gt;"",BT10=""),AND(BY10&gt;=CC$33,BY10&lt;&gt;"",BT10=""),AND(CB10&gt;=CC$33,CB10&lt;&gt;"",BT10=""),AND(DA10&gt;=DG$33,DA10&lt;&gt;"",CX10=""),AND(DC10&gt;=DG$33,DC10&lt;&gt;"",CX10=""),AND(DF10&gt;=DG$33,DF10&lt;&gt;"",CX10=""),AND(EC10&gt;=EG$33,EC10&lt;&gt;""),AND(EF10&gt;=EG$33,EF10&lt;&gt;""),AND(EY10&gt;=FC$33,EY10&lt;&gt;""),AND(FB10&gt;=FC$33,FB10&lt;&gt;""),AND(FU10&gt;=FY$33,FU10&lt;&gt;""),AND(FX10&gt;=FY$33,FX10&lt;&gt;""),AND(GQ10&gt;=GU$33,GQ10&lt;&gt;""),AND(GT10&gt;=GU$33,GT10&lt;&gt;""),AND(HM10&gt;=HQ$33,HM10&lt;&gt;""),AND(HP10&gt;=HQ$33,HP10&lt;&gt;""),AND(II10&gt;=IM$33,II10&lt;&gt;""),AND(IL10&gt;=IM$33,IL10&lt;&gt;""),AND(JE10&gt;=JI$33,JE10&lt;&gt;""),AND(JH10&gt;=JI$33,JH10&lt;&gt;""),AND(KA10&gt;=KE$33,KA10&lt;&gt;""),AND(KD10&gt;=KE$33,KD10&lt;&gt;""),AND(KW10&gt;=LA$33,KW10&lt;&gt;""),AND(KZ10&gt;=LA$33,KZ10&lt;&gt;""),AND(LS10&gt;=LW$33,LS10&lt;&gt;""),AND(LV10&gt;=LW$33,LV10&lt;&gt;""),AND(MO10&gt;=MS$33,MO10&lt;&gt;""),AND(MR10&gt;=MS$33,MR10&lt;&gt;""),AND(NK10&gt;=NO$33,NK10&lt;&gt;""),AND(NN10&gt;=NO$33,NN10&lt;&gt;"")),"Excellence",IF(OR(AND(AV10&gt;=AY$32,AV10&lt;&gt;"",AP10=""),AND(BZ10&gt;=CC$32,BZ10&lt;&gt;"",BT10=""),AND(DD10&gt;=DG$32,DD10&lt;&gt;"",CX10=""),AND(ED10&gt;=EG$32,ED10&lt;&gt;""),AND(EZ10&gt;=FC$32,EZ10&lt;&gt;""),AND(FV10&gt;=FY$32,FV10&lt;&gt;""),AND(GR10&gt;=GU$32,GR10&lt;&gt;""),AND(HN10&gt;=HQ$32,HN10&lt;&gt;""),AND(IJ10&gt;=IM$32,IJ10&lt;&gt;""),AND(JF10&gt;=JI$32,JF10&lt;&gt;""),AND(KB10&gt;=KE$32,KB10&lt;&gt;""),AND(KX10&gt;=LA$32,KX10&lt;&gt;""),AND(LT10&gt;=LW$32,LT10&lt;&gt;""),AND(MP10&gt;=MS$32,MP10&lt;&gt;""),AND(NL10&gt;=NO$32,NL10&lt;&gt;"")),"Worlds Team",IF(OR(AND(AV10&gt;=AY$31,AV10&lt;&gt;"",AP10=""),AND(BZ10&gt;=CC$31,BZ10&lt;&gt;"",BT10=""),AND(DD10&gt;=DG$31,DD10&lt;&gt;"",CX10=""),AND(ED10&gt;=EG$31,ED10&lt;&gt;""),AND(EZ10&gt;=FC$31,EZ10&lt;&gt;""),AND(FV10&gt;=FY$31,FV10&lt;&gt;""),AND(GR10&gt;=GU$31,GR10&lt;&gt;""),AND(HN10&gt;=HQ$31,HN10&lt;&gt;""),AND(IJ10&gt;=IM$31,IJ10&lt;&gt;""),AND(JF10&gt;=JI$31,JF10&lt;&gt;""),AND(KB10&gt;=KE$31,KB10&lt;&gt;""),AND(KX10&gt;=LA$31,KX10&lt;&gt;""),AND(LT10&gt;=LW$31,LT10&lt;&gt;""),AND(MP10&gt;=MS$31,MP10&lt;&gt;""),AND(NL10&gt;=NO$31,NL10&lt;&gt;"")),"National Team",""))))</f>
        <v>Worlds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$32,AV10&lt;&gt;"",AP10=""),AND(BZ10&gt;=CC$32,BZ10&lt;&gt;"",BT10=""),AND(DD10&gt;=DG$32,DD10&lt;&gt;"",CX10=""),AND(ED10&gt;=EG$32,ED10&lt;&gt;""),AND(EZ10&gt;=FC$32,EZ10&lt;&gt;""),AND(FV10&gt;=FY$32,FV10&lt;&gt;""),AND(GR10&gt;=GU$32,GR10&lt;&gt;""),AND(HN10&gt;=HQ$32,HN10&lt;&gt;""),AND(IJ10&gt;=IM$32,IJ10&lt;&gt;""),AND(JF10&gt;=JI$32,JF10&lt;&gt;""),AND(KB10&gt;=KE$32,KB10&lt;&gt;""),AND(KX10&gt;=LA$32,KX10&lt;&gt;""),AND(LT10&gt;=LW$32,LT10&lt;&gt;""),AND(MP10&gt;=MS$32,MP10&lt;&gt;""),AND(NL10&gt;=NO$32,NL10&lt;&gt;"")),OR(G10="Worlds Team",G10="Excellence",G10="Merit")),"P","")</f>
        <v/>
      </c>
      <c r="K10" s="14">
        <f>IF(MAX(AV10,BZ10,DD10)&gt;0,MAX(AV10,BZ10,DD10),0)</f>
        <v>105.15</v>
      </c>
      <c r="L10" s="14" t="str">
        <f>IF(K10=0,"",IF(K10=DD10,$CD$1,IF(K10=BZ10,$AZ$1,IF(K10=AV10,$V$1,""))))</f>
        <v>2021 1st Virtual Technical Trial</v>
      </c>
      <c r="M10" s="14">
        <f>IF($K10=$AV10,MAX(BU10,CY10),IF($K10=$BZ10,MAX(AQ10,CY10),IF($K10=$DD10,MAX(AQ10,BU10),MAX(AQ10,BU10,CY10))))</f>
        <v>49.41</v>
      </c>
      <c r="N10" s="14" t="str">
        <f>IF(M10=0,"",IF(AND(M10=CY10,$L10&lt;&gt;$CD$1),$CD$1,IF(AND(M10=BU10,$L10&lt;&gt;$AZ$1),$AZ$1,IF(AND(M10=AQ10,$L10&lt;&gt;$V$1),$V$1,""))))</f>
        <v>2019 Nationals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50.769999999999996</v>
      </c>
      <c r="P10" s="14" t="str">
        <f>IF(O10=0,"",IF(OR(O10=DC10,O10=DA10),$CD$1,IF(OR(O10=BY10,O10=BW10),$AZ$1,IF(OR(O10=AU10,O10=AS10),$V$1,""))))</f>
        <v>2019 Nationals</v>
      </c>
      <c r="Q10" s="14">
        <f>MAX(AX10,CB10,DF10)</f>
        <v>54.570000000000007</v>
      </c>
      <c r="R10" s="14" t="str">
        <f>IF(Q10=0,"",IF(Q10=DF10,$CD$1,IF(Q10=CB10,$AZ$1,IF(Q10=AX10,$V$1,""))))</f>
        <v>2021 1st Virtual Technical Trial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>
        <v>16.600000000000001</v>
      </c>
      <c r="W10" s="69">
        <v>8.8000000000000007</v>
      </c>
      <c r="X10" s="69">
        <v>3.2</v>
      </c>
      <c r="Y10" s="69">
        <v>17.86</v>
      </c>
      <c r="Z10" s="69">
        <v>0</v>
      </c>
      <c r="AA10" s="69">
        <v>14.5</v>
      </c>
      <c r="AB10" s="69">
        <v>8.6</v>
      </c>
      <c r="AC10" s="69">
        <v>10.4</v>
      </c>
      <c r="AD10" s="69">
        <v>16.649999999999999</v>
      </c>
      <c r="AE10" s="69">
        <v>3.1</v>
      </c>
      <c r="AF10" s="69"/>
      <c r="AG10" s="69"/>
      <c r="AH10" s="69"/>
      <c r="AI10" s="69"/>
      <c r="AJ10" s="69"/>
      <c r="AK10" s="69">
        <v>9.3000000000000007</v>
      </c>
      <c r="AL10" s="69">
        <v>5.5</v>
      </c>
      <c r="AM10" s="69">
        <v>8.5</v>
      </c>
      <c r="AN10" s="69">
        <v>10.27</v>
      </c>
      <c r="AO10" s="69">
        <v>0</v>
      </c>
      <c r="AP10" s="80"/>
      <c r="AQ10" s="11">
        <f>IF(SUM(V10:Y10)-Z10&gt;0,SUM(V10:Y10)-Z10,"")</f>
        <v>46.46</v>
      </c>
      <c r="AR10" s="11">
        <f>IF(AC10&gt;0,AC10,"")</f>
        <v>10.4</v>
      </c>
      <c r="AS10" s="11">
        <f>IF(SUM(AA10:AD10)-AE10&gt;0,SUM(AA10:AD10)-AE10,"")</f>
        <v>47.05</v>
      </c>
      <c r="AT10" s="11" t="str">
        <f>IF(AH10&gt;0,AH10,"")</f>
        <v/>
      </c>
      <c r="AU10" s="11" t="str">
        <f>IF(SUM(AF10:AI10)-AJ10&gt;0,SUM(AF10:AI10)-AJ10,"")</f>
        <v/>
      </c>
      <c r="AV10" s="11">
        <f>IF(OR(AQ10&lt;&gt;"",AS10&lt;&gt;"",AU10&lt;&gt;""),AQ10+MAX(AS10,AU10),"")</f>
        <v>93.509999999999991</v>
      </c>
      <c r="AW10" s="11">
        <f>IF(AM10&gt;0,AM10,"")</f>
        <v>8.5</v>
      </c>
      <c r="AX10" s="11">
        <f>IF(SUM(AK10:AN10)-AO10&gt;0,SUM(AK10:AN10)-AO10,"")</f>
        <v>33.57</v>
      </c>
      <c r="AY10" s="11">
        <f>IF(SUM(AV10,AX10)&gt;0,SUM(AV10,AX10),"")</f>
        <v>127.07999999999998</v>
      </c>
      <c r="AZ10" s="75">
        <v>17.600000000000001</v>
      </c>
      <c r="BA10" s="75">
        <v>9.1</v>
      </c>
      <c r="BB10" s="75">
        <v>5.4</v>
      </c>
      <c r="BC10" s="75">
        <v>17.309999999999999</v>
      </c>
      <c r="BD10" s="75">
        <v>0</v>
      </c>
      <c r="BE10" s="75">
        <v>16</v>
      </c>
      <c r="BF10" s="75">
        <v>9.1</v>
      </c>
      <c r="BG10" s="75">
        <v>11.7</v>
      </c>
      <c r="BH10" s="75">
        <v>15.77</v>
      </c>
      <c r="BI10" s="75">
        <v>1.8</v>
      </c>
      <c r="BJ10" s="75"/>
      <c r="BK10" s="75"/>
      <c r="BL10" s="75"/>
      <c r="BM10" s="75"/>
      <c r="BN10" s="75"/>
      <c r="BO10" s="75">
        <v>13.58</v>
      </c>
      <c r="BP10" s="75">
        <v>9.4</v>
      </c>
      <c r="BQ10" s="75">
        <v>14.4</v>
      </c>
      <c r="BR10" s="75">
        <v>15.55</v>
      </c>
      <c r="BS10" s="75">
        <v>0</v>
      </c>
      <c r="BT10" s="81"/>
      <c r="BU10" s="14">
        <f>IF(SUM(AZ10:BC10)-BD10&gt;0,SUM(AZ10:BC10)-BD10,"")</f>
        <v>49.41</v>
      </c>
      <c r="BV10" s="14">
        <f>IF(BG10&gt;0,BG10,"")</f>
        <v>11.7</v>
      </c>
      <c r="BW10" s="14">
        <f>IF(SUM(BE10:BH10)-BI10&gt;0,SUM(BE10:BH10)-BI10,"")</f>
        <v>50.769999999999996</v>
      </c>
      <c r="BX10" s="14" t="str">
        <f>IF(BL10&gt;0,BL10,"")</f>
        <v/>
      </c>
      <c r="BY10" s="14" t="str">
        <f>IF(SUM(BJ10:BM10)-BN10&gt;0,SUM(BJ10:BM10)-BN10,"")</f>
        <v/>
      </c>
      <c r="BZ10" s="14">
        <f>IF(BU10="",IF(MAX(BW10,BY10)&gt;0,MAX(BW10,BY10),""),MAX(BW10,BY10)+BU10)</f>
        <v>100.17999999999999</v>
      </c>
      <c r="CA10" s="14">
        <f>IF(BQ10&gt;0,BQ10,"")</f>
        <v>14.4</v>
      </c>
      <c r="CB10" s="14">
        <f>IF(SUM(BO10:BR10)-BS10&gt;0,SUM(BO10:BR10)-BS10,"")</f>
        <v>52.930000000000007</v>
      </c>
      <c r="CC10" s="14">
        <f>IF(SUM(BZ10,CB10)&gt;0,SUM(BZ10,CB10),"")</f>
        <v>153.11000000000001</v>
      </c>
      <c r="CD10" s="69">
        <v>17.8</v>
      </c>
      <c r="CE10" s="69">
        <v>9.4499999999999993</v>
      </c>
      <c r="CF10" s="69">
        <v>5</v>
      </c>
      <c r="CG10" s="69">
        <v>18.04</v>
      </c>
      <c r="CH10" s="69">
        <v>0</v>
      </c>
      <c r="CI10" s="69">
        <v>8.4</v>
      </c>
      <c r="CJ10" s="69">
        <v>4.3499999999999996</v>
      </c>
      <c r="CK10" s="69">
        <v>7.3</v>
      </c>
      <c r="CL10" s="69">
        <v>8.8000000000000007</v>
      </c>
      <c r="CM10" s="69">
        <v>0</v>
      </c>
      <c r="CN10" s="69">
        <v>16.66</v>
      </c>
      <c r="CO10" s="69">
        <v>9.3000000000000007</v>
      </c>
      <c r="CP10" s="69">
        <v>12.8</v>
      </c>
      <c r="CQ10" s="69">
        <v>16.8</v>
      </c>
      <c r="CR10" s="69">
        <v>0.7</v>
      </c>
      <c r="CS10" s="69">
        <v>14.8</v>
      </c>
      <c r="CT10" s="69">
        <v>9.15</v>
      </c>
      <c r="CU10" s="69">
        <v>13.7</v>
      </c>
      <c r="CV10" s="69">
        <v>16.920000000000002</v>
      </c>
      <c r="CW10" s="69">
        <v>0</v>
      </c>
      <c r="CX10" s="80"/>
      <c r="CY10" s="11">
        <f>IF(SUM(CD10:CG10)-CH10&gt;0,SUM(CD10:CG10)-CH10,"")</f>
        <v>50.29</v>
      </c>
      <c r="CZ10" s="11">
        <f>IF(CK10&gt;0,CK10,"")</f>
        <v>7.3</v>
      </c>
      <c r="DA10" s="11">
        <f>IF(SUM(CI10:CL10)-CM10&gt;0,SUM(CI10:CL10)-CM10,"")</f>
        <v>28.85</v>
      </c>
      <c r="DB10" s="11">
        <f>IF(CP10&gt;0,CP10,"")</f>
        <v>12.8</v>
      </c>
      <c r="DC10" s="11">
        <f>IF(SUM(CN10:CQ10)-CR10&gt;0,SUM(CN10:CQ10)-CR10,"")</f>
        <v>54.86</v>
      </c>
      <c r="DD10" s="11">
        <f>IF(CY10="",IF(MAX(DA10,DC10)&gt;0,MAX(DA10,DC10),""),MAX(DA10,DC10)+CY10)</f>
        <v>105.15</v>
      </c>
      <c r="DE10" s="11">
        <f>IF(CU10&gt;0,CU10,"")</f>
        <v>13.7</v>
      </c>
      <c r="DF10" s="11">
        <f>IF(SUM(CS10:CV10)-CW10&gt;0,SUM(CS10:CV10)-CW10,"")</f>
        <v>54.570000000000007</v>
      </c>
      <c r="DG10" s="11">
        <f>IF(SUM(DD10,DF10)&gt;0,SUM(DD10,DF10),"")</f>
        <v>159.72000000000003</v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17.700000000000003</v>
      </c>
      <c r="NQ10" s="69">
        <f>IF($CX10="P",CE10,(CE10+BA10)/2)</f>
        <v>9.2749999999999986</v>
      </c>
      <c r="NR10" s="69">
        <f>IF($CX10="P",CF10,(CF10+BB10)/2)</f>
        <v>5.2</v>
      </c>
      <c r="NS10" s="69">
        <f>IF($CX10="P",CG10,(CG10+BC10)/2)</f>
        <v>17.674999999999997</v>
      </c>
      <c r="NT10" s="69">
        <f>IF($CX10="P",CH10,(CH10+BD10)/2)</f>
        <v>0</v>
      </c>
      <c r="NU10" s="69">
        <f>IF($CX10="P",CI10,(CI10+BE10)/2)</f>
        <v>12.2</v>
      </c>
      <c r="NV10" s="69">
        <f>IF($CX10="P",CJ10,(CJ10+BF10)/2)</f>
        <v>6.7249999999999996</v>
      </c>
      <c r="NW10" s="69">
        <f>IF($CX10="P",CK10,(CK10+BG10)/2)</f>
        <v>9.5</v>
      </c>
      <c r="NX10" s="69">
        <f>IF($CX10="P",CL10,(CL10+BH10)/2)</f>
        <v>12.285</v>
      </c>
      <c r="NY10" s="69">
        <f>IF($CX10="P",CM10,(CM10+BI10)/2)</f>
        <v>0.9</v>
      </c>
      <c r="NZ10" s="69">
        <f>IF($CX10="P",CN10,(CN10+BJ10)/2)</f>
        <v>8.33</v>
      </c>
      <c r="OA10" s="69">
        <f>IF($CX10="P",CO10,(CO10+BK10)/2)</f>
        <v>4.6500000000000004</v>
      </c>
      <c r="OB10" s="69">
        <f>IF($CX10="P",CP10,(CP10+BL10)/2)</f>
        <v>6.4</v>
      </c>
      <c r="OC10" s="69">
        <f>IF($CX10="P",CQ10,(CQ10+BM10)/2)</f>
        <v>8.4</v>
      </c>
      <c r="OD10" s="69">
        <f>IF($CX10="P",CR10,(CR10+BN10)/2)</f>
        <v>0.35</v>
      </c>
      <c r="OE10" s="69">
        <f>IF($CX10="P",CS10,(CS10+BO10)/2)</f>
        <v>14.190000000000001</v>
      </c>
      <c r="OF10" s="69">
        <f>IF($CX10="P",CT10,(CT10+BP10)/2)</f>
        <v>9.2750000000000004</v>
      </c>
      <c r="OG10" s="69">
        <f>IF($CX10="P",CU10,(CU10+BQ10)/2)</f>
        <v>14.05</v>
      </c>
      <c r="OH10" s="69">
        <f>IF($CX10="P",CV10,(CV10+BR10)/2)</f>
        <v>16.234999999999999</v>
      </c>
      <c r="OI10" s="69">
        <f>IF($CX10="P",CW10,(CW10+BS10)/2)</f>
        <v>0</v>
      </c>
      <c r="OJ10" s="80" t="s">
        <v>91</v>
      </c>
      <c r="OK10" s="11">
        <f>IF(SUM(NP10:NS10)-NT10&gt;0,SUM(NP10:NS10)-NT10,"")</f>
        <v>49.85</v>
      </c>
      <c r="OL10" s="11">
        <f>IF(NW10&gt;0,NW10,"")</f>
        <v>9.5</v>
      </c>
      <c r="OM10" s="11">
        <f>IF(SUM(NU10:NX10)-NY10&gt;0,SUM(NU10:NX10)-NY10,"")</f>
        <v>39.809999999999995</v>
      </c>
      <c r="ON10" s="11">
        <f>IF(OB10&gt;0,OB10,"")</f>
        <v>6.4</v>
      </c>
      <c r="OO10" s="11">
        <f>IF(SUM(NZ10:OC10)-OD10&gt;0,SUM(NZ10:OC10)-OD10,"")</f>
        <v>27.43</v>
      </c>
      <c r="OP10" s="11">
        <f>IF(OR(OK10&lt;&gt;"",OM10&lt;&gt;"",OO10&lt;&gt;""),OK10+MAX(OM10,OO10),"")</f>
        <v>89.66</v>
      </c>
      <c r="OQ10" s="11">
        <f>IF(OG10&gt;0,OG10,"")</f>
        <v>14.05</v>
      </c>
      <c r="OR10" s="11">
        <f t="shared" si="0"/>
        <v>53.75</v>
      </c>
      <c r="OS10" s="11">
        <f t="shared" si="1"/>
        <v>143.41</v>
      </c>
    </row>
    <row r="11" spans="1:409" x14ac:dyDescent="0.2">
      <c r="A11" s="5" t="str" cm="1">
        <f t="array" ref="A11">IF(AND(G11&lt;&gt;"",H11&lt;&gt;""),SUMPRODUCT((G$4:G$25&lt;&gt;"")*(H$4:H$25&lt;&gt;"")*(E$4:E$25&gt;E11))+1,IF(H11&lt;&gt;"",SUMPRODUCT((I$4:I$25="No DD")*(E$4:E$25&gt;E11))+1+SUMPRODUCT((G$4:G$25&lt;&gt;"")*(H$4:H$25&lt;&gt;"")),""))</f>
        <v/>
      </c>
      <c r="B11" s="8" t="s">
        <v>42</v>
      </c>
      <c r="C11" s="4" t="s">
        <v>6</v>
      </c>
      <c r="D11" s="7">
        <v>1995</v>
      </c>
      <c r="E11" s="15">
        <f>SUM(K11:S11)</f>
        <v>258.08</v>
      </c>
      <c r="F11" s="3" t="str">
        <f>IF(G11&lt;&gt;"","P","")</f>
        <v>P</v>
      </c>
      <c r="G11" s="125" t="str">
        <f>IF(OR(AND(AR11&gt;=AY$30,AR11&lt;&gt;"",AP11=""),AND(AT11&gt;=AY$30,AT11&lt;&gt;"",AP11=""),AND(AW11&gt;=AY$30,AW11&lt;&gt;"",AP11=""),AND(BV11&gt;=CC$30,BV11&lt;&gt;"",BT11=""),AND(BX11&gt;=CC$30,BX11&lt;&gt;"",BT11=""),AND(CA11&gt;=CC$30,CA11&lt;&gt;"",BT11=""),AND(CZ11&gt;=DG$30,CZ11&lt;&gt;"",CX11=""),AND(DB11&gt;=DG$30,DB11&lt;&gt;"",CX11=""),AND(DE11&gt;=DG$30,DE11&lt;&gt;"",CX11=""),AND(EA11&gt;=EG$30,EA11&lt;&gt;""),AND(EE11&gt;=EG$30,EE11&lt;&gt;""),AND(EW11&gt;=FC$30,EW11&lt;&gt;""),AND(FA11&gt;=FC$30,FA11&lt;&gt;""),AND(FS11&gt;=FY$30,FS11&lt;&gt;""),AND(FW11&gt;=FY$30,FW11&lt;&gt;""),AND(GO11&gt;=GU$30,GO11&lt;&gt;""),AND(GS11&gt;=GU$30,GS11&lt;&gt;""),AND(HK11&gt;=HQ$30,HK11&lt;&gt;""),AND(HO11&gt;=HQ$30,HO11&lt;&gt;""),AND(IG11&gt;=IM$30,IG11&lt;&gt;""),AND(IK11&gt;=IM$30,IK11&lt;&gt;""),AND(JC11&gt;=JI$30,JC11&lt;&gt;""),AND(JG11&gt;=JI$30,JG11&lt;&gt;""),AND(JY11&gt;=KE$30,JY11&lt;&gt;""),AND(KC11&gt;=KE$30,KC11&lt;&gt;""),AND(KU11&gt;=LA$30,KU11&lt;&gt;""),AND(KY11&gt;=LA$30,KY11&lt;&gt;""),AND(LQ11&gt;=LW$30,LQ11&lt;&gt;""),AND(LU11&gt;=LW$30,LU11&lt;&gt;""),AND(MM11&gt;=MS$30,MM11&lt;&gt;""),AND(MQ11&gt;=MS$30,MQ11&lt;&gt;""),AND(NI11&gt;=NO$30,NI11&lt;&gt;""),AND(NM11&gt;=NO$30,NM11&lt;&gt;"")),"Merit",IF(OR(AND(AR11&gt;=AY$29,AR11&lt;&gt;"",AP11=""),AND(AT11&gt;=AY$29,AT11&lt;&gt;"",AP11=""),AND(AW11&gt;=AY$29,AW11&lt;&gt;"",AP11=""),AND(BV11&gt;=CC$29,BV11&lt;&gt;"",BT11=""),AND(BX11&gt;=CC$29,BX11&lt;&gt;"",BT11=""),AND(CA11&gt;=CC$29,CA11&lt;&gt;"",BT11=""),AND(CZ11&gt;=DG$29,CZ11&lt;&gt;"",CX11=""),AND(DB11&gt;=DG$29,DB11&lt;&gt;"",CX11=""),AND(DE11&gt;=DG$29,DE11&lt;&gt;"",CX11=""),AND(EA11&gt;=EG$29,EA11&lt;&gt;""),AND(EE11&gt;=EG$29,EE11&lt;&gt;""),AND(EW11&gt;=FC$29,EW11&lt;&gt;""),AND(FA11&gt;=FC$29,FA11&lt;&gt;""),AND(FS11&gt;=FY$29,FS11&lt;&gt;""),AND(FW11&gt;=FY$29,FW11&lt;&gt;""),AND(GO11&gt;=GU$29,GO11&lt;&gt;""),AND(GS11&gt;=GU$29,GS11&lt;&gt;""),AND(HK11&gt;=HQ$29,HK11&lt;&gt;""),AND(HO11&gt;=HQ$29,HO11&lt;&gt;""),AND(IG11&gt;=IM$29,IG11&lt;&gt;""),AND(IK11&gt;=IM$29,IK11&lt;&gt;""),AND(JC11&gt;=JI$29,JC11&lt;&gt;""),AND(JG11&gt;=JI$29,JG11&lt;&gt;""),AND(JY11&gt;=KE$29,JY11&lt;&gt;""),AND(KC11&gt;=KE$29,KC11&lt;&gt;""),AND(KU11&gt;=LA$29,KU11&lt;&gt;""),AND(KY11&gt;=LA$29,KY11&lt;&gt;""),AND(LQ11&gt;=LW$29,LQ11&lt;&gt;""),AND(LU11&gt;=LW$29,LU11&lt;&gt;""),AND(MM11&gt;=MS$29,MM11&lt;&gt;""),AND(MQ11&gt;=MS$29,MQ11&lt;&gt;""),AND(NI11&gt;=NO$29,NI11&lt;&gt;""),AND(NM11&gt;=NO$29,NM11&lt;&gt;"")),"Excellence",IF(OR(AND(AR11&gt;=AY$28,AR11&lt;&gt;"",AP11=""),AND(AT11&gt;=AY$28,AT11&lt;&gt;"",AP11=""),AND(AW11&gt;=AY$28,AW11&lt;&gt;"",AP11=""),AND(BV11&gt;=CC$28,BV11&lt;&gt;"",BT11=""),AND(BX11&gt;=CC$28,BX11&lt;&gt;"",BT11=""),AND(CA11&gt;=CC$28,CA11&lt;&gt;"",BT11=""),AND(CZ11&gt;=DG$28,CZ11&lt;&gt;"",CX11=""),AND(DB11&gt;=DG$28,DB11&lt;&gt;"",CX11=""),AND(DE11&gt;=DG$28,DE11&lt;&gt;"",CX11=""),AND(EA11&gt;=EG$28,EA11&lt;&gt;""),AND(EE11&gt;=EG$28,EE11&lt;&gt;""),AND(EW11&gt;=FC$28,EW11&lt;&gt;""),AND(FA11&gt;=FC$28,FA11&lt;&gt;""),AND(FS11&gt;=FY$28,FS11&lt;&gt;""),AND(FW11&gt;=FY$28,FW11&lt;&gt;""),AND(GO11&gt;=GU$28,GO11&lt;&gt;""),AND(GS11&gt;=GU$28,GS11&lt;&gt;""),AND(HK11&gt;=HQ$28,HK11&lt;&gt;""),AND(HO11&gt;=HQ$28,HO11&lt;&gt;""),AND(IG11&gt;=IM$28,IG11&lt;&gt;""),AND(IK11&gt;=IM$28,IK11&lt;&gt;""),AND(JC11&gt;=JI$28,JC11&lt;&gt;""),AND(JG11&gt;=JI$28,JG11&lt;&gt;""),AND(JY11&gt;=KE$28,JY11&lt;&gt;""),AND(KC11&gt;=KE$28,KC11&lt;&gt;""),AND(KU11&gt;=LA$28,KU11&lt;&gt;""),AND(KY11&gt;=LA$28,KY11&lt;&gt;""),AND(LQ11&gt;=LW$28,LQ11&lt;&gt;""),AND(LU11&gt;=LW$28,LU11&lt;&gt;""),AND(MM11&gt;=MS$28,MM11&lt;&gt;""),AND(MQ11&gt;=MS$28,MQ11&lt;&gt;""),AND(NI11&gt;=NO$28,NI11&lt;&gt;""),AND(NM11&gt;=NO$28,NM11&lt;&gt;"")),"Worlds Team",IF(OR(AND(AR11&gt;=AY$27,AR11&lt;&gt;"",AP11=""),AND(AT11&gt;=AY$27,AT11&lt;&gt;"",AP11=""),AND(AW11&gt;=AY$27,AW11&lt;&gt;"",AP11=""),AND(BV11&gt;=CC$27,BV11&lt;&gt;"",BT11=""),AND(BX11&gt;=CC$27,BX11&lt;&gt;"",BT11=""),AND(CA11&gt;=CC$27,CA11&lt;&gt;"",BT11=""),AND(CZ11&gt;=DG$27,CZ11&lt;&gt;"",CX11=""),AND(DB11&gt;=DG$27,DB11&lt;&gt;"",CX11=""),AND(DE11&gt;=DG$27,DE11&lt;&gt;"",CX11=""),AND(EA11&gt;=EG$27,EA11&lt;&gt;""),AND(EE11&gt;=EG$27,EE11&lt;&gt;""),AND(EW11&gt;=FC$27,EW11&lt;&gt;""),AND(FA11&gt;=FC$27,FA11&lt;&gt;""),AND(FS11&gt;=FY$27,FS11&lt;&gt;""),AND(FW11&gt;=FY$27,FW11&lt;&gt;""),AND(GO11&gt;=GU$27,GO11&lt;&gt;""),AND(GS11&gt;=GU$27,GS11&lt;&gt;""),AND(HK11&gt;=HQ$27,HK11&lt;&gt;""),AND(HO11&gt;=HQ$27,HO11&lt;&gt;""),AND(IG11&gt;=IM$27,IG11&lt;&gt;""),AND(IK11&gt;=IM$27,IK11&lt;&gt;""),AND(JC11&gt;=JI$27,JC11&lt;&gt;""),AND(JG11&gt;=JI$27,JG11&lt;&gt;""),AND(JY11&gt;=KE$27,JY11&lt;&gt;""),AND(KC11&gt;=KE$27,KC11&lt;&gt;""),AND(KU11&gt;=LA$27,KU11&lt;&gt;""),AND(KY11&gt;=LA$27,KY11&lt;&gt;""),AND(LQ11&gt;=LW$27,LQ11&lt;&gt;""),AND(LU11&gt;=LW$27,LU11&lt;&gt;""),AND(MM11&gt;=MS$27,MM11&lt;&gt;""),AND(MQ11&gt;=MS$27,MQ11&lt;&gt;""),AND(NI11&gt;=NO$27,NI11&lt;&gt;""),AND(NM11&gt;=NO$27,NM11&lt;&gt;"")),"National Team",""))))</f>
        <v>Merit</v>
      </c>
      <c r="H11" s="125" t="str">
        <f>IF(OR(AND(AS11&gt;=AY$34,AS11&lt;&gt;"",AP11=""),AND(AU11&gt;=AY$34,AU11&lt;&gt;"",AP11=""),AND(AX11&gt;=AY$34,AX11&lt;&gt;"",AP11=""),AND(BW11&gt;=CC$34,BW11&lt;&gt;"",BT11=""),AND(BY11&gt;=CC$34,BY11&lt;&gt;"",BT11=""),AND(CB11&gt;=CC$34,CB11&lt;&gt;"",BT11=""),AND(DA11&gt;=DG$34,DA11&lt;&gt;"",CX11=""),AND(DC11&gt;=DG$34,DC11&lt;&gt;"",CX11=""),AND(DF11&gt;=DG$34,DF11&lt;&gt;"",CX11=""),AND(EC11&gt;=EG$34,EC11&lt;&gt;""),AND(EF11&gt;=EG$34,EF11&lt;&gt;""),AND(EY11&gt;=FC$34,EY11&lt;&gt;""),AND(FB11&gt;=FC$34,FB11&lt;&gt;""),AND(FU11&gt;=FY$34,FU11&lt;&gt;""),AND(FX11&gt;=FY$34,FX11&lt;&gt;""),AND(GQ11&gt;=GU$34,GQ11&lt;&gt;""),AND(GT11&gt;=GU$34,GT11&lt;&gt;""),AND(HM11&gt;=HQ$34,HM11&lt;&gt;""),AND(HP11&gt;=HQ$34,HP11&lt;&gt;""),AND(II11&gt;=IM$34,II11&lt;&gt;""),AND(IL11&gt;=IM$34,IL11&lt;&gt;""),AND(JE11&gt;=JI$34,JE11&lt;&gt;""),AND(JH11&gt;=JI$34,JH11&lt;&gt;""),AND(KA11&gt;=KE$34,KA11&lt;&gt;""),AND(KD11&gt;=KE$34,KD11&lt;&gt;""),AND(KW11&gt;=LA$34,KW11&lt;&gt;""),AND(KZ11&gt;=LA$34,KZ11&lt;&gt;""),AND(LS11&gt;=LW$34,LS11&lt;&gt;""),AND(LV11&gt;=LW$34,LV11&lt;&gt;""),AND(MO11&gt;=MS$34,MO11&lt;&gt;""),AND(MR11&gt;=MS$34,MR11&lt;&gt;""),AND(NK11&gt;=NO$34,NK11&lt;&gt;""),AND(NN11&gt;=NO$34,NN11&lt;&gt;"")),"Merit",IF(OR(AND(AS11&gt;=AY$33,AS11&lt;&gt;"",AP11=""),AND(AU11&gt;=AY$33,AU11&lt;&gt;"",AP11=""),AND(AX11&gt;=AY$33,AX11&lt;&gt;"",AP11=""),AND(BW11&gt;=CC$33,BW11&lt;&gt;"",BT11=""),AND(BY11&gt;=CC$33,BY11&lt;&gt;"",BT11=""),AND(CB11&gt;=CC$33,CB11&lt;&gt;"",BT11=""),AND(DA11&gt;=DG$33,DA11&lt;&gt;"",CX11=""),AND(DC11&gt;=DG$33,DC11&lt;&gt;"",CX11=""),AND(DF11&gt;=DG$33,DF11&lt;&gt;"",CX11=""),AND(EC11&gt;=EG$33,EC11&lt;&gt;""),AND(EF11&gt;=EG$33,EF11&lt;&gt;""),AND(EY11&gt;=FC$33,EY11&lt;&gt;""),AND(FB11&gt;=FC$33,FB11&lt;&gt;""),AND(FU11&gt;=FY$33,FU11&lt;&gt;""),AND(FX11&gt;=FY$33,FX11&lt;&gt;""),AND(GQ11&gt;=GU$33,GQ11&lt;&gt;""),AND(GT11&gt;=GU$33,GT11&lt;&gt;""),AND(HM11&gt;=HQ$33,HM11&lt;&gt;""),AND(HP11&gt;=HQ$33,HP11&lt;&gt;""),AND(II11&gt;=IM$33,II11&lt;&gt;""),AND(IL11&gt;=IM$33,IL11&lt;&gt;""),AND(JE11&gt;=JI$33,JE11&lt;&gt;""),AND(JH11&gt;=JI$33,JH11&lt;&gt;""),AND(KA11&gt;=KE$33,KA11&lt;&gt;""),AND(KD11&gt;=KE$33,KD11&lt;&gt;""),AND(KW11&gt;=LA$33,KW11&lt;&gt;""),AND(KZ11&gt;=LA$33,KZ11&lt;&gt;""),AND(LS11&gt;=LW$33,LS11&lt;&gt;""),AND(LV11&gt;=LW$33,LV11&lt;&gt;""),AND(MO11&gt;=MS$33,MO11&lt;&gt;""),AND(MR11&gt;=MS$33,MR11&lt;&gt;""),AND(NK11&gt;=NO$33,NK11&lt;&gt;""),AND(NN11&gt;=NO$33,NN11&lt;&gt;"")),"Excellence",IF(OR(AND(AV11&gt;=AY$32,AV11&lt;&gt;"",AP11=""),AND(BZ11&gt;=CC$32,BZ11&lt;&gt;"",BT11=""),AND(DD11&gt;=DG$32,DD11&lt;&gt;"",CX11=""),AND(ED11&gt;=EG$32,ED11&lt;&gt;""),AND(EZ11&gt;=FC$32,EZ11&lt;&gt;""),AND(FV11&gt;=FY$32,FV11&lt;&gt;""),AND(GR11&gt;=GU$32,GR11&lt;&gt;""),AND(HN11&gt;=HQ$32,HN11&lt;&gt;""),AND(IJ11&gt;=IM$32,IJ11&lt;&gt;""),AND(JF11&gt;=JI$32,JF11&lt;&gt;""),AND(KB11&gt;=KE$32,KB11&lt;&gt;""),AND(KX11&gt;=LA$32,KX11&lt;&gt;""),AND(LT11&gt;=LW$32,LT11&lt;&gt;""),AND(MP11&gt;=MS$32,MP11&lt;&gt;""),AND(NL11&gt;=NO$32,NL11&lt;&gt;"")),"Worlds Team",IF(OR(AND(AV11&gt;=AY$31,AV11&lt;&gt;"",AP11=""),AND(BZ11&gt;=CC$31,BZ11&lt;&gt;"",BT11=""),AND(DD11&gt;=DG$31,DD11&lt;&gt;"",CX11=""),AND(ED11&gt;=EG$31,ED11&lt;&gt;""),AND(EZ11&gt;=FC$31,EZ11&lt;&gt;""),AND(FV11&gt;=FY$31,FV11&lt;&gt;""),AND(GR11&gt;=GU$31,GR11&lt;&gt;""),AND(HN11&gt;=HQ$31,HN11&lt;&gt;""),AND(IJ11&gt;=IM$31,IJ11&lt;&gt;""),AND(JF11&gt;=JI$31,JF11&lt;&gt;""),AND(KB11&gt;=KE$31,KB11&lt;&gt;""),AND(KX11&gt;=LA$31,KX11&lt;&gt;""),AND(LT11&gt;=LW$31,LT11&lt;&gt;""),AND(MP11&gt;=MS$31,MP11&lt;&gt;""),AND(NL11&gt;=NO$31,NL11&lt;&gt;"")),"National Team",""))))</f>
        <v/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$32,AV11&lt;&gt;"",AP11=""),AND(BZ11&gt;=CC$32,BZ11&lt;&gt;"",BT11=""),AND(DD11&gt;=DG$32,DD11&lt;&gt;"",CX11=""),AND(ED11&gt;=EG$32,ED11&lt;&gt;""),AND(EZ11&gt;=FC$32,EZ11&lt;&gt;""),AND(FV11&gt;=FY$32,FV11&lt;&gt;""),AND(GR11&gt;=GU$32,GR11&lt;&gt;""),AND(HN11&gt;=HQ$32,HN11&lt;&gt;""),AND(IJ11&gt;=IM$32,IJ11&lt;&gt;""),AND(JF11&gt;=JI$32,JF11&lt;&gt;""),AND(KB11&gt;=KE$32,KB11&lt;&gt;""),AND(KX11&gt;=LA$32,KX11&lt;&gt;""),AND(LT11&gt;=LW$32,LT11&lt;&gt;""),AND(MP11&gt;=MS$32,MP11&lt;&gt;""),AND(NL11&gt;=NO$32,NL11&lt;&gt;"")),OR(G11="Worlds Team",G11="Excellence",G11="Merit")),"P","")</f>
        <v/>
      </c>
      <c r="K11" s="14">
        <f>IF(MAX(AV11,BZ11,DD11)&gt;0,MAX(AV11,BZ11,DD11),0)</f>
        <v>102.69999999999999</v>
      </c>
      <c r="L11" s="14" t="str">
        <f>IF(K11=0,"",IF(K11=DD11,$CD$1,IF(K11=BZ11,$AZ$1,IF(K11=AV11,$V$1,""))))</f>
        <v>2021 1st Virtual Technical Trial</v>
      </c>
      <c r="M11" s="14">
        <f>IF($K11=$AV11,MAX(BU11,CY11),IF($K11=$BZ11,MAX(AQ11,CY11),IF($K11=$DD11,MAX(AQ11,BU11),MAX(AQ11,BU11,CY11))))</f>
        <v>49.3</v>
      </c>
      <c r="N11" s="14" t="str">
        <f>IF(M11=0,"",IF(AND(M11=CY11,$L11&lt;&gt;$CD$1),$CD$1,IF(AND(M11=BU11,$L11&lt;&gt;$AZ$1),$AZ$1,IF(AND(M11=AQ11,$L11&lt;&gt;$V$1),$V$1,""))))</f>
        <v>2019 Nationals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51.269999999999996</v>
      </c>
      <c r="P11" s="14" t="str">
        <f>IF(O11=0,"",IF(OR(O11=DC11,O11=DA11),$CD$1,IF(OR(O11=BY11,O11=BW11),$AZ$1,IF(OR(O11=AU11,O11=AS11),$V$1,""))))</f>
        <v>2019 Nationals</v>
      </c>
      <c r="Q11" s="14">
        <f>MAX(AX11,CB11,DF11)</f>
        <v>54.81</v>
      </c>
      <c r="R11" s="14" t="str">
        <f>IF(Q11=0,"",IF(Q11=DF11,$CD$1,IF(Q11=CB11,$AZ$1,IF(Q11=AX11,$V$1,""))))</f>
        <v>2019 Nationals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17.600000000000001</v>
      </c>
      <c r="W11" s="69">
        <v>9.4</v>
      </c>
      <c r="X11" s="69">
        <v>5.6</v>
      </c>
      <c r="Y11" s="69">
        <v>16.5</v>
      </c>
      <c r="Z11" s="69">
        <v>0.2</v>
      </c>
      <c r="AA11" s="69">
        <v>8.4</v>
      </c>
      <c r="AB11" s="69">
        <v>5.25</v>
      </c>
      <c r="AC11" s="69">
        <v>9.6</v>
      </c>
      <c r="AD11" s="69">
        <v>9.6050000000000004</v>
      </c>
      <c r="AE11" s="69">
        <v>0.2</v>
      </c>
      <c r="AF11" s="69"/>
      <c r="AG11" s="69"/>
      <c r="AH11" s="69"/>
      <c r="AI11" s="69"/>
      <c r="AJ11" s="69"/>
      <c r="AK11" s="69">
        <v>15</v>
      </c>
      <c r="AL11" s="69">
        <v>8.9</v>
      </c>
      <c r="AM11" s="69">
        <v>14.6</v>
      </c>
      <c r="AN11" s="69">
        <v>15.63</v>
      </c>
      <c r="AO11" s="69">
        <v>0</v>
      </c>
      <c r="AP11" s="80"/>
      <c r="AQ11" s="11">
        <f>IF(SUM(V11:Y11)-Z11&gt;0,SUM(V11:Y11)-Z11,"")</f>
        <v>48.9</v>
      </c>
      <c r="AR11" s="11">
        <f>IF(AC11&gt;0,AC11,"")</f>
        <v>9.6</v>
      </c>
      <c r="AS11" s="11">
        <f>IF(SUM(AA11:AD11)-AE11&gt;0,SUM(AA11:AD11)-AE11,"")</f>
        <v>32.655000000000001</v>
      </c>
      <c r="AT11" s="11" t="str">
        <f>IF(AH11&gt;0,AH11,"")</f>
        <v/>
      </c>
      <c r="AU11" s="11" t="str">
        <f>IF(SUM(AF11:AI11)-AJ11&gt;0,SUM(AF11:AI11)-AJ11,"")</f>
        <v/>
      </c>
      <c r="AV11" s="11">
        <f>IF(OR(AQ11&lt;&gt;"",AS11&lt;&gt;"",AU11&lt;&gt;""),AQ11+MAX(AS11,AU11),"")</f>
        <v>81.555000000000007</v>
      </c>
      <c r="AW11" s="11">
        <f>IF(AM11&gt;0,AM11,"")</f>
        <v>14.6</v>
      </c>
      <c r="AX11" s="11">
        <f>IF(SUM(AK11:AN11)-AO11&gt;0,SUM(AK11:AN11)-AO11,"")</f>
        <v>54.13</v>
      </c>
      <c r="AY11" s="11">
        <f>IF(SUM(AV11,AX11)&gt;0,SUM(AV11,AX11),"")</f>
        <v>135.685</v>
      </c>
      <c r="AZ11" s="63">
        <v>18.3</v>
      </c>
      <c r="BA11" s="63">
        <v>9.1999999999999993</v>
      </c>
      <c r="BB11" s="63">
        <v>5</v>
      </c>
      <c r="BC11" s="63">
        <v>16.8</v>
      </c>
      <c r="BD11" s="63">
        <v>0</v>
      </c>
      <c r="BE11" s="63">
        <v>14.1</v>
      </c>
      <c r="BF11" s="63">
        <v>8.8000000000000007</v>
      </c>
      <c r="BG11" s="63">
        <v>13.4</v>
      </c>
      <c r="BH11" s="63">
        <v>15.07</v>
      </c>
      <c r="BI11" s="63">
        <v>0.1</v>
      </c>
      <c r="BJ11" s="63"/>
      <c r="BK11" s="63"/>
      <c r="BL11" s="63"/>
      <c r="BM11" s="63"/>
      <c r="BN11" s="63"/>
      <c r="BO11" s="63">
        <v>14.6</v>
      </c>
      <c r="BP11" s="63">
        <v>9.1999999999999993</v>
      </c>
      <c r="BQ11" s="63">
        <v>15.6</v>
      </c>
      <c r="BR11" s="63">
        <v>15.41</v>
      </c>
      <c r="BS11" s="63">
        <v>0</v>
      </c>
      <c r="BT11" s="81"/>
      <c r="BU11" s="14">
        <f>IF(SUM(AZ11:BC11)-BD11&gt;0,SUM(AZ11:BC11)-BD11,"")</f>
        <v>49.3</v>
      </c>
      <c r="BV11" s="14">
        <f>IF(BG11&gt;0,BG11,"")</f>
        <v>13.4</v>
      </c>
      <c r="BW11" s="14">
        <f>IF(SUM(BE11:BH11)-BI11&gt;0,SUM(BE11:BH11)-BI11,"")</f>
        <v>51.269999999999996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100.57</v>
      </c>
      <c r="CA11" s="14">
        <f>IF(BQ11&gt;0,BQ11,"")</f>
        <v>15.6</v>
      </c>
      <c r="CB11" s="14">
        <f>IF(SUM(BO11:BR11)-BS11&gt;0,SUM(BO11:BR11)-BS11,"")</f>
        <v>54.81</v>
      </c>
      <c r="CC11" s="14">
        <f>IF(SUM(BZ11,CB11)&gt;0,SUM(BZ11,CB11),"")</f>
        <v>155.38</v>
      </c>
      <c r="CD11" s="69">
        <v>16.3</v>
      </c>
      <c r="CE11" s="69">
        <v>9.1</v>
      </c>
      <c r="CF11" s="69">
        <v>5.6</v>
      </c>
      <c r="CG11" s="69">
        <v>16.46</v>
      </c>
      <c r="CH11" s="69">
        <v>0</v>
      </c>
      <c r="CI11" s="69">
        <v>14.2</v>
      </c>
      <c r="CJ11" s="69">
        <v>9.1999999999999993</v>
      </c>
      <c r="CK11" s="69">
        <v>16</v>
      </c>
      <c r="CL11" s="69">
        <v>15.84</v>
      </c>
      <c r="CM11" s="69">
        <v>0</v>
      </c>
      <c r="CN11" s="69">
        <v>2.9</v>
      </c>
      <c r="CO11" s="69">
        <v>1.75</v>
      </c>
      <c r="CP11" s="69">
        <v>3.6</v>
      </c>
      <c r="CQ11" s="69">
        <v>3.3149999999999999</v>
      </c>
      <c r="CR11" s="69">
        <v>0</v>
      </c>
      <c r="CS11" s="69">
        <v>2.8</v>
      </c>
      <c r="CT11" s="69">
        <v>1.7</v>
      </c>
      <c r="CU11" s="69">
        <v>3.6</v>
      </c>
      <c r="CV11" s="69">
        <v>3.3650000000000002</v>
      </c>
      <c r="CW11" s="69">
        <v>0.2</v>
      </c>
      <c r="CX11" s="80"/>
      <c r="CY11" s="11">
        <f>IF(SUM(CD11:CG11)-CH11&gt;0,SUM(CD11:CG11)-CH11,"")</f>
        <v>47.46</v>
      </c>
      <c r="CZ11" s="11">
        <f>IF(CK11&gt;0,CK11,"")</f>
        <v>16</v>
      </c>
      <c r="DA11" s="11">
        <f>IF(SUM(CI11:CL11)-CM11&gt;0,SUM(CI11:CL11)-CM11,"")</f>
        <v>55.239999999999995</v>
      </c>
      <c r="DB11" s="11">
        <f>IF(CP11&gt;0,CP11,"")</f>
        <v>3.6</v>
      </c>
      <c r="DC11" s="11">
        <f>IF(SUM(CN11:CQ11)-CR11&gt;0,SUM(CN11:CQ11)-CR11,"")</f>
        <v>11.565</v>
      </c>
      <c r="DD11" s="11">
        <f>IF(CY11="",IF(MAX(DA11,DC11)&gt;0,MAX(DA11,DC11),""),MAX(DA11,DC11)+CY11)</f>
        <v>102.69999999999999</v>
      </c>
      <c r="DE11" s="11">
        <f>IF(CU11&gt;0,CU11,"")</f>
        <v>3.6</v>
      </c>
      <c r="DF11" s="11">
        <f>IF(SUM(CS11:CV11)-CW11&gt;0,SUM(CS11:CV11)-CW11,"")</f>
        <v>11.265000000000001</v>
      </c>
      <c r="DG11" s="11">
        <f>IF(SUM(DD11,DF11)&gt;0,SUM(DD11,DF11),"")</f>
        <v>113.96499999999999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17.3</v>
      </c>
      <c r="NQ11" s="69">
        <f>IF($CX11="P",CE11,(CE11+BA11)/2)</f>
        <v>9.1499999999999986</v>
      </c>
      <c r="NR11" s="69">
        <f>IF($CX11="P",CF11,(CF11+BB11)/2)</f>
        <v>5.3</v>
      </c>
      <c r="NS11" s="69">
        <f>IF($CX11="P",CG11,(CG11+BC11)/2)</f>
        <v>16.630000000000003</v>
      </c>
      <c r="NT11" s="69">
        <f>IF($CX11="P",CH11,(CH11+BD11)/2)</f>
        <v>0</v>
      </c>
      <c r="NU11" s="69">
        <f>IF($CX11="P",CI11,(CI11+BE11)/2)</f>
        <v>14.149999999999999</v>
      </c>
      <c r="NV11" s="69">
        <f>IF($CX11="P",CJ11,(CJ11+BF11)/2)</f>
        <v>9</v>
      </c>
      <c r="NW11" s="69">
        <f>IF($CX11="P",CK11,(CK11+BG11)/2)</f>
        <v>14.7</v>
      </c>
      <c r="NX11" s="69">
        <f>IF($CX11="P",CL11,(CL11+BH11)/2)</f>
        <v>15.455</v>
      </c>
      <c r="NY11" s="69">
        <f>IF($CX11="P",CM11,(CM11+BI11)/2)</f>
        <v>0.05</v>
      </c>
      <c r="NZ11" s="69">
        <f>IF($CX11="P",CN11,(CN11+BJ11)/2)</f>
        <v>1.45</v>
      </c>
      <c r="OA11" s="69">
        <f>IF($CX11="P",CO11,(CO11+BK11)/2)</f>
        <v>0.875</v>
      </c>
      <c r="OB11" s="69">
        <f>IF($CX11="P",CP11,(CP11+BL11)/2)</f>
        <v>1.8</v>
      </c>
      <c r="OC11" s="69">
        <f>IF($CX11="P",CQ11,(CQ11+BM11)/2)</f>
        <v>1.6575</v>
      </c>
      <c r="OD11" s="69">
        <f>IF($CX11="P",CR11,(CR11+BN11)/2)</f>
        <v>0</v>
      </c>
      <c r="OE11" s="69">
        <f>IF($CX11="P",CS11,(CS11+BO11)/2)</f>
        <v>8.6999999999999993</v>
      </c>
      <c r="OF11" s="69">
        <f>IF($CX11="P",CT11,(CT11+BP11)/2)</f>
        <v>5.4499999999999993</v>
      </c>
      <c r="OG11" s="69">
        <f>IF($CX11="P",CU11,(CU11+BQ11)/2)</f>
        <v>9.6</v>
      </c>
      <c r="OH11" s="69">
        <f>IF($CX11="P",CV11,(CV11+BR11)/2)</f>
        <v>9.3874999999999993</v>
      </c>
      <c r="OI11" s="69">
        <f>IF($CX11="P",CW11,(CW11+BS11)/2)</f>
        <v>0.1</v>
      </c>
      <c r="OJ11" s="80" t="s">
        <v>91</v>
      </c>
      <c r="OK11" s="11">
        <f>IF(SUM(NP11:NS11)-NT11&gt;0,SUM(NP11:NS11)-NT11,"")</f>
        <v>48.38</v>
      </c>
      <c r="OL11" s="11">
        <f>IF(NW11&gt;0,NW11,"")</f>
        <v>14.7</v>
      </c>
      <c r="OM11" s="11">
        <f>IF(SUM(NU11:NX11)-NY11&gt;0,SUM(NU11:NX11)-NY11,"")</f>
        <v>53.254999999999995</v>
      </c>
      <c r="ON11" s="11">
        <f>IF(OB11&gt;0,OB11,"")</f>
        <v>1.8</v>
      </c>
      <c r="OO11" s="11">
        <f>IF(SUM(NZ11:OC11)-OD11&gt;0,SUM(NZ11:OC11)-OD11,"")</f>
        <v>5.7824999999999998</v>
      </c>
      <c r="OP11" s="11">
        <f>IF(OR(OK11&lt;&gt;"",OM11&lt;&gt;"",OO11&lt;&gt;""),OK11+MAX(OM11,OO11),"")</f>
        <v>101.63499999999999</v>
      </c>
      <c r="OQ11" s="11">
        <f>IF(OG11&gt;0,OG11,"")</f>
        <v>9.6</v>
      </c>
      <c r="OR11" s="11">
        <f t="shared" si="0"/>
        <v>33.037500000000001</v>
      </c>
      <c r="OS11" s="11">
        <f t="shared" si="1"/>
        <v>134.67249999999999</v>
      </c>
    </row>
    <row r="12" spans="1:409" x14ac:dyDescent="0.2">
      <c r="A12" s="5" t="str" cm="1">
        <f t="array" ref="A12">IF(AND(G12&lt;&gt;"",H12&lt;&gt;""),SUMPRODUCT((G$4:G$25&lt;&gt;"")*(H$4:H$25&lt;&gt;"")*(E$4:E$25&gt;E12))+1,IF(H12&lt;&gt;"",SUMPRODUCT((I$4:I$25="No DD")*(E$4:E$25&gt;E12))+1+SUMPRODUCT((G$4:G$25&lt;&gt;"")*(H$4:H$25&lt;&gt;"")),""))</f>
        <v/>
      </c>
      <c r="B12" s="8" t="s">
        <v>13</v>
      </c>
      <c r="C12" s="4" t="s">
        <v>6</v>
      </c>
      <c r="D12" s="27">
        <v>1995</v>
      </c>
      <c r="E12" s="15">
        <f>SUM(K12:S12)</f>
        <v>251.23500000000001</v>
      </c>
      <c r="F12" s="3" t="str">
        <f>IF(G12&lt;&gt;"","P","")</f>
        <v>P</v>
      </c>
      <c r="G12" s="125" t="str">
        <f>IF(OR(AND(AR12&gt;=AY$30,AR12&lt;&gt;"",AP12=""),AND(AT12&gt;=AY$30,AT12&lt;&gt;"",AP12=""),AND(AW12&gt;=AY$30,AW12&lt;&gt;"",AP12=""),AND(BV12&gt;=CC$30,BV12&lt;&gt;"",BT12=""),AND(BX12&gt;=CC$30,BX12&lt;&gt;"",BT12=""),AND(CA12&gt;=CC$30,CA12&lt;&gt;"",BT12=""),AND(CZ12&gt;=DG$30,CZ12&lt;&gt;"",CX12=""),AND(DB12&gt;=DG$30,DB12&lt;&gt;"",CX12=""),AND(DE12&gt;=DG$30,DE12&lt;&gt;"",CX12=""),AND(EA12&gt;=EG$30,EA12&lt;&gt;""),AND(EE12&gt;=EG$30,EE12&lt;&gt;""),AND(EW12&gt;=FC$30,EW12&lt;&gt;""),AND(FA12&gt;=FC$30,FA12&lt;&gt;""),AND(FS12&gt;=FY$30,FS12&lt;&gt;""),AND(FW12&gt;=FY$30,FW12&lt;&gt;""),AND(GO12&gt;=GU$30,GO12&lt;&gt;""),AND(GS12&gt;=GU$30,GS12&lt;&gt;""),AND(HK12&gt;=HQ$30,HK12&lt;&gt;""),AND(HO12&gt;=HQ$30,HO12&lt;&gt;""),AND(IG12&gt;=IM$30,IG12&lt;&gt;""),AND(IK12&gt;=IM$30,IK12&lt;&gt;""),AND(JC12&gt;=JI$30,JC12&lt;&gt;""),AND(JG12&gt;=JI$30,JG12&lt;&gt;""),AND(JY12&gt;=KE$30,JY12&lt;&gt;""),AND(KC12&gt;=KE$30,KC12&lt;&gt;""),AND(KU12&gt;=LA$30,KU12&lt;&gt;""),AND(KY12&gt;=LA$30,KY12&lt;&gt;""),AND(LQ12&gt;=LW$30,LQ12&lt;&gt;""),AND(LU12&gt;=LW$30,LU12&lt;&gt;""),AND(MM12&gt;=MS$30,MM12&lt;&gt;""),AND(MQ12&gt;=MS$30,MQ12&lt;&gt;""),AND(NI12&gt;=NO$30,NI12&lt;&gt;""),AND(NM12&gt;=NO$30,NM12&lt;&gt;"")),"Merit",IF(OR(AND(AR12&gt;=AY$29,AR12&lt;&gt;"",AP12=""),AND(AT12&gt;=AY$29,AT12&lt;&gt;"",AP12=""),AND(AW12&gt;=AY$29,AW12&lt;&gt;"",AP12=""),AND(BV12&gt;=CC$29,BV12&lt;&gt;"",BT12=""),AND(BX12&gt;=CC$29,BX12&lt;&gt;"",BT12=""),AND(CA12&gt;=CC$29,CA12&lt;&gt;"",BT12=""),AND(CZ12&gt;=DG$29,CZ12&lt;&gt;"",CX12=""),AND(DB12&gt;=DG$29,DB12&lt;&gt;"",CX12=""),AND(DE12&gt;=DG$29,DE12&lt;&gt;"",CX12=""),AND(EA12&gt;=EG$29,EA12&lt;&gt;""),AND(EE12&gt;=EG$29,EE12&lt;&gt;""),AND(EW12&gt;=FC$29,EW12&lt;&gt;""),AND(FA12&gt;=FC$29,FA12&lt;&gt;""),AND(FS12&gt;=FY$29,FS12&lt;&gt;""),AND(FW12&gt;=FY$29,FW12&lt;&gt;""),AND(GO12&gt;=GU$29,GO12&lt;&gt;""),AND(GS12&gt;=GU$29,GS12&lt;&gt;""),AND(HK12&gt;=HQ$29,HK12&lt;&gt;""),AND(HO12&gt;=HQ$29,HO12&lt;&gt;""),AND(IG12&gt;=IM$29,IG12&lt;&gt;""),AND(IK12&gt;=IM$29,IK12&lt;&gt;""),AND(JC12&gt;=JI$29,JC12&lt;&gt;""),AND(JG12&gt;=JI$29,JG12&lt;&gt;""),AND(JY12&gt;=KE$29,JY12&lt;&gt;""),AND(KC12&gt;=KE$29,KC12&lt;&gt;""),AND(KU12&gt;=LA$29,KU12&lt;&gt;""),AND(KY12&gt;=LA$29,KY12&lt;&gt;""),AND(LQ12&gt;=LW$29,LQ12&lt;&gt;""),AND(LU12&gt;=LW$29,LU12&lt;&gt;""),AND(MM12&gt;=MS$29,MM12&lt;&gt;""),AND(MQ12&gt;=MS$29,MQ12&lt;&gt;""),AND(NI12&gt;=NO$29,NI12&lt;&gt;""),AND(NM12&gt;=NO$29,NM12&lt;&gt;"")),"Excellence",IF(OR(AND(AR12&gt;=AY$28,AR12&lt;&gt;"",AP12=""),AND(AT12&gt;=AY$28,AT12&lt;&gt;"",AP12=""),AND(AW12&gt;=AY$28,AW12&lt;&gt;"",AP12=""),AND(BV12&gt;=CC$28,BV12&lt;&gt;"",BT12=""),AND(BX12&gt;=CC$28,BX12&lt;&gt;"",BT12=""),AND(CA12&gt;=CC$28,CA12&lt;&gt;"",BT12=""),AND(CZ12&gt;=DG$28,CZ12&lt;&gt;"",CX12=""),AND(DB12&gt;=DG$28,DB12&lt;&gt;"",CX12=""),AND(DE12&gt;=DG$28,DE12&lt;&gt;"",CX12=""),AND(EA12&gt;=EG$28,EA12&lt;&gt;""),AND(EE12&gt;=EG$28,EE12&lt;&gt;""),AND(EW12&gt;=FC$28,EW12&lt;&gt;""),AND(FA12&gt;=FC$28,FA12&lt;&gt;""),AND(FS12&gt;=FY$28,FS12&lt;&gt;""),AND(FW12&gt;=FY$28,FW12&lt;&gt;""),AND(GO12&gt;=GU$28,GO12&lt;&gt;""),AND(GS12&gt;=GU$28,GS12&lt;&gt;""),AND(HK12&gt;=HQ$28,HK12&lt;&gt;""),AND(HO12&gt;=HQ$28,HO12&lt;&gt;""),AND(IG12&gt;=IM$28,IG12&lt;&gt;""),AND(IK12&gt;=IM$28,IK12&lt;&gt;""),AND(JC12&gt;=JI$28,JC12&lt;&gt;""),AND(JG12&gt;=JI$28,JG12&lt;&gt;""),AND(JY12&gt;=KE$28,JY12&lt;&gt;""),AND(KC12&gt;=KE$28,KC12&lt;&gt;""),AND(KU12&gt;=LA$28,KU12&lt;&gt;""),AND(KY12&gt;=LA$28,KY12&lt;&gt;""),AND(LQ12&gt;=LW$28,LQ12&lt;&gt;""),AND(LU12&gt;=LW$28,LU12&lt;&gt;""),AND(MM12&gt;=MS$28,MM12&lt;&gt;""),AND(MQ12&gt;=MS$28,MQ12&lt;&gt;""),AND(NI12&gt;=NO$28,NI12&lt;&gt;""),AND(NM12&gt;=NO$28,NM12&lt;&gt;"")),"Worlds Team",IF(OR(AND(AR12&gt;=AY$27,AR12&lt;&gt;"",AP12=""),AND(AT12&gt;=AY$27,AT12&lt;&gt;"",AP12=""),AND(AW12&gt;=AY$27,AW12&lt;&gt;"",AP12=""),AND(BV12&gt;=CC$27,BV12&lt;&gt;"",BT12=""),AND(BX12&gt;=CC$27,BX12&lt;&gt;"",BT12=""),AND(CA12&gt;=CC$27,CA12&lt;&gt;"",BT12=""),AND(CZ12&gt;=DG$27,CZ12&lt;&gt;"",CX12=""),AND(DB12&gt;=DG$27,DB12&lt;&gt;"",CX12=""),AND(DE12&gt;=DG$27,DE12&lt;&gt;"",CX12=""),AND(EA12&gt;=EG$27,EA12&lt;&gt;""),AND(EE12&gt;=EG$27,EE12&lt;&gt;""),AND(EW12&gt;=FC$27,EW12&lt;&gt;""),AND(FA12&gt;=FC$27,FA12&lt;&gt;""),AND(FS12&gt;=FY$27,FS12&lt;&gt;""),AND(FW12&gt;=FY$27,FW12&lt;&gt;""),AND(GO12&gt;=GU$27,GO12&lt;&gt;""),AND(GS12&gt;=GU$27,GS12&lt;&gt;""),AND(HK12&gt;=HQ$27,HK12&lt;&gt;""),AND(HO12&gt;=HQ$27,HO12&lt;&gt;""),AND(IG12&gt;=IM$27,IG12&lt;&gt;""),AND(IK12&gt;=IM$27,IK12&lt;&gt;""),AND(JC12&gt;=JI$27,JC12&lt;&gt;""),AND(JG12&gt;=JI$27,JG12&lt;&gt;""),AND(JY12&gt;=KE$27,JY12&lt;&gt;""),AND(KC12&gt;=KE$27,KC12&lt;&gt;""),AND(KU12&gt;=LA$27,KU12&lt;&gt;""),AND(KY12&gt;=LA$27,KY12&lt;&gt;""),AND(LQ12&gt;=LW$27,LQ12&lt;&gt;""),AND(LU12&gt;=LW$27,LU12&lt;&gt;""),AND(MM12&gt;=MS$27,MM12&lt;&gt;""),AND(MQ12&gt;=MS$27,MQ12&lt;&gt;""),AND(NI12&gt;=NO$27,NI12&lt;&gt;""),AND(NM12&gt;=NO$27,NM12&lt;&gt;"")),"National Team",""))))</f>
        <v>Merit</v>
      </c>
      <c r="H12" s="125" t="str">
        <f>IF(OR(AND(AS12&gt;=AY$34,AS12&lt;&gt;"",AP12=""),AND(AU12&gt;=AY$34,AU12&lt;&gt;"",AP12=""),AND(AX12&gt;=AY$34,AX12&lt;&gt;"",AP12=""),AND(BW12&gt;=CC$34,BW12&lt;&gt;"",BT12=""),AND(BY12&gt;=CC$34,BY12&lt;&gt;"",BT12=""),AND(CB12&gt;=CC$34,CB12&lt;&gt;"",BT12=""),AND(DA12&gt;=DG$34,DA12&lt;&gt;"",CX12=""),AND(DC12&gt;=DG$34,DC12&lt;&gt;"",CX12=""),AND(DF12&gt;=DG$34,DF12&lt;&gt;"",CX12=""),AND(EC12&gt;=EG$34,EC12&lt;&gt;""),AND(EF12&gt;=EG$34,EF12&lt;&gt;""),AND(EY12&gt;=FC$34,EY12&lt;&gt;""),AND(FB12&gt;=FC$34,FB12&lt;&gt;""),AND(FU12&gt;=FY$34,FU12&lt;&gt;""),AND(FX12&gt;=FY$34,FX12&lt;&gt;""),AND(GQ12&gt;=GU$34,GQ12&lt;&gt;""),AND(GT12&gt;=GU$34,GT12&lt;&gt;""),AND(HM12&gt;=HQ$34,HM12&lt;&gt;""),AND(HP12&gt;=HQ$34,HP12&lt;&gt;""),AND(II12&gt;=IM$34,II12&lt;&gt;""),AND(IL12&gt;=IM$34,IL12&lt;&gt;""),AND(JE12&gt;=JI$34,JE12&lt;&gt;""),AND(JH12&gt;=JI$34,JH12&lt;&gt;""),AND(KA12&gt;=KE$34,KA12&lt;&gt;""),AND(KD12&gt;=KE$34,KD12&lt;&gt;""),AND(KW12&gt;=LA$34,KW12&lt;&gt;""),AND(KZ12&gt;=LA$34,KZ12&lt;&gt;""),AND(LS12&gt;=LW$34,LS12&lt;&gt;""),AND(LV12&gt;=LW$34,LV12&lt;&gt;""),AND(MO12&gt;=MS$34,MO12&lt;&gt;""),AND(MR12&gt;=MS$34,MR12&lt;&gt;""),AND(NK12&gt;=NO$34,NK12&lt;&gt;""),AND(NN12&gt;=NO$34,NN12&lt;&gt;"")),"Merit",IF(OR(AND(AS12&gt;=AY$33,AS12&lt;&gt;"",AP12=""),AND(AU12&gt;=AY$33,AU12&lt;&gt;"",AP12=""),AND(AX12&gt;=AY$33,AX12&lt;&gt;"",AP12=""),AND(BW12&gt;=CC$33,BW12&lt;&gt;"",BT12=""),AND(BY12&gt;=CC$33,BY12&lt;&gt;"",BT12=""),AND(CB12&gt;=CC$33,CB12&lt;&gt;"",BT12=""),AND(DA12&gt;=DG$33,DA12&lt;&gt;"",CX12=""),AND(DC12&gt;=DG$33,DC12&lt;&gt;"",CX12=""),AND(DF12&gt;=DG$33,DF12&lt;&gt;"",CX12=""),AND(EC12&gt;=EG$33,EC12&lt;&gt;""),AND(EF12&gt;=EG$33,EF12&lt;&gt;""),AND(EY12&gt;=FC$33,EY12&lt;&gt;""),AND(FB12&gt;=FC$33,FB12&lt;&gt;""),AND(FU12&gt;=FY$33,FU12&lt;&gt;""),AND(FX12&gt;=FY$33,FX12&lt;&gt;""),AND(GQ12&gt;=GU$33,GQ12&lt;&gt;""),AND(GT12&gt;=GU$33,GT12&lt;&gt;""),AND(HM12&gt;=HQ$33,HM12&lt;&gt;""),AND(HP12&gt;=HQ$33,HP12&lt;&gt;""),AND(II12&gt;=IM$33,II12&lt;&gt;""),AND(IL12&gt;=IM$33,IL12&lt;&gt;""),AND(JE12&gt;=JI$33,JE12&lt;&gt;""),AND(JH12&gt;=JI$33,JH12&lt;&gt;""),AND(KA12&gt;=KE$33,KA12&lt;&gt;""),AND(KD12&gt;=KE$33,KD12&lt;&gt;""),AND(KW12&gt;=LA$33,KW12&lt;&gt;""),AND(KZ12&gt;=LA$33,KZ12&lt;&gt;""),AND(LS12&gt;=LW$33,LS12&lt;&gt;""),AND(LV12&gt;=LW$33,LV12&lt;&gt;""),AND(MO12&gt;=MS$33,MO12&lt;&gt;""),AND(MR12&gt;=MS$33,MR12&lt;&gt;""),AND(NK12&gt;=NO$33,NK12&lt;&gt;""),AND(NN12&gt;=NO$33,NN12&lt;&gt;"")),"Excellence",IF(OR(AND(AV12&gt;=AY$32,AV12&lt;&gt;"",AP12=""),AND(BZ12&gt;=CC$32,BZ12&lt;&gt;"",BT12=""),AND(DD12&gt;=DG$32,DD12&lt;&gt;"",CX12=""),AND(ED12&gt;=EG$32,ED12&lt;&gt;""),AND(EZ12&gt;=FC$32,EZ12&lt;&gt;""),AND(FV12&gt;=FY$32,FV12&lt;&gt;""),AND(GR12&gt;=GU$32,GR12&lt;&gt;""),AND(HN12&gt;=HQ$32,HN12&lt;&gt;""),AND(IJ12&gt;=IM$32,IJ12&lt;&gt;""),AND(JF12&gt;=JI$32,JF12&lt;&gt;""),AND(KB12&gt;=KE$32,KB12&lt;&gt;""),AND(KX12&gt;=LA$32,KX12&lt;&gt;""),AND(LT12&gt;=LW$32,LT12&lt;&gt;""),AND(MP12&gt;=MS$32,MP12&lt;&gt;""),AND(NL12&gt;=NO$32,NL12&lt;&gt;"")),"Worlds Team",IF(OR(AND(AV12&gt;=AY$31,AV12&lt;&gt;"",AP12=""),AND(BZ12&gt;=CC$31,BZ12&lt;&gt;"",BT12=""),AND(DD12&gt;=DG$31,DD12&lt;&gt;"",CX12=""),AND(ED12&gt;=EG$31,ED12&lt;&gt;""),AND(EZ12&gt;=FC$31,EZ12&lt;&gt;""),AND(FV12&gt;=FY$31,FV12&lt;&gt;""),AND(GR12&gt;=GU$31,GR12&lt;&gt;""),AND(HN12&gt;=HQ$31,HN12&lt;&gt;""),AND(IJ12&gt;=IM$31,IJ12&lt;&gt;""),AND(JF12&gt;=JI$31,JF12&lt;&gt;""),AND(KB12&gt;=KE$31,KB12&lt;&gt;""),AND(KX12&gt;=LA$31,KX12&lt;&gt;""),AND(LT12&gt;=LW$31,LT12&lt;&gt;""),AND(MP12&gt;=MS$31,MP12&lt;&gt;""),AND(NL12&gt;=NO$31,NL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$32,AV12&lt;&gt;"",AP12=""),AND(BZ12&gt;=CC$32,BZ12&lt;&gt;"",BT12=""),AND(DD12&gt;=DG$32,DD12&lt;&gt;"",CX12=""),AND(ED12&gt;=EG$32,ED12&lt;&gt;""),AND(EZ12&gt;=FC$32,EZ12&lt;&gt;""),AND(FV12&gt;=FY$32,FV12&lt;&gt;""),AND(GR12&gt;=GU$32,GR12&lt;&gt;""),AND(HN12&gt;=HQ$32,HN12&lt;&gt;""),AND(IJ12&gt;=IM$32,IJ12&lt;&gt;""),AND(JF12&gt;=JI$32,JF12&lt;&gt;""),AND(KB12&gt;=KE$32,KB12&lt;&gt;""),AND(KX12&gt;=LA$32,KX12&lt;&gt;""),AND(LT12&gt;=LW$32,LT12&lt;&gt;""),AND(MP12&gt;=MS$32,MP12&lt;&gt;""),AND(NL12&gt;=NO$32,NL12&lt;&gt;"")),OR(G12="Worlds Team",G12="Excellence",G12="Merit")),"P","")</f>
        <v/>
      </c>
      <c r="K12" s="14">
        <f>IF(MAX(AV12,BZ12,DD12)&gt;0,MAX(AV12,BZ12,DD12),0)</f>
        <v>99.175000000000011</v>
      </c>
      <c r="L12" s="14" t="str">
        <f>IF(K12=0,"",IF(K12=DD12,$CD$1,IF(K12=BZ12,$AZ$1,IF(K12=AV12,$V$1,""))))</f>
        <v>2019 Nationals</v>
      </c>
      <c r="M12" s="14">
        <f>IF($K12=$AV12,MAX(BU12,CY12),IF($K12=$BZ12,MAX(AQ12,CY12),IF($K12=$DD12,MAX(AQ12,BU12),MAX(AQ12,BU12,CY12))))</f>
        <v>47.29</v>
      </c>
      <c r="N12" s="14" t="str">
        <f>IF(M12=0,"",IF(AND(M12=CY12,$L12&lt;&gt;$CD$1),$CD$1,IF(AND(M12=BU12,$L12&lt;&gt;$AZ$1),$AZ$1,IF(AND(M12=AQ12,$L12&lt;&gt;$V$1),$V$1,""))))</f>
        <v>2019 Elite Canada</v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51.205000000000005</v>
      </c>
      <c r="P12" s="14" t="str">
        <f>IF(O12=0,"",IF(OR(O12=DC12,O12=DA12),$CD$1,IF(OR(O12=BY12,O12=BW12),$AZ$1,IF(OR(O12=AU12,O12=AS12),$V$1,""))))</f>
        <v>2019 Elite Canada</v>
      </c>
      <c r="Q12" s="14">
        <f>MAX(AX12,CB12,DF12)</f>
        <v>53.565000000000005</v>
      </c>
      <c r="R12" s="14" t="str">
        <f>IF(Q12=0,"",IF(Q12=DF12,$CD$1,IF(Q12=CB12,$AZ$1,IF(Q12=AX12,$V$1,""))))</f>
        <v>2019 Elite Canada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15.7</v>
      </c>
      <c r="W12" s="69">
        <v>9.25</v>
      </c>
      <c r="X12" s="69">
        <v>6</v>
      </c>
      <c r="Y12" s="69">
        <v>16.34</v>
      </c>
      <c r="Z12" s="69">
        <v>0</v>
      </c>
      <c r="AA12" s="69">
        <v>11.8</v>
      </c>
      <c r="AB12" s="69">
        <v>8.9499999999999993</v>
      </c>
      <c r="AC12" s="69">
        <v>15.7</v>
      </c>
      <c r="AD12" s="69">
        <v>14.755000000000001</v>
      </c>
      <c r="AE12" s="69">
        <v>0</v>
      </c>
      <c r="AF12" s="69"/>
      <c r="AG12" s="69"/>
      <c r="AH12" s="69"/>
      <c r="AI12" s="69"/>
      <c r="AJ12" s="69"/>
      <c r="AK12" s="69">
        <v>13.3</v>
      </c>
      <c r="AL12" s="69">
        <v>9.25</v>
      </c>
      <c r="AM12" s="69">
        <v>15.9</v>
      </c>
      <c r="AN12" s="69">
        <v>15.115</v>
      </c>
      <c r="AO12" s="69">
        <v>0</v>
      </c>
      <c r="AP12" s="80"/>
      <c r="AQ12" s="11">
        <f>IF(SUM(V12:Y12)-Z12&gt;0,SUM(V12:Y12)-Z12,"")</f>
        <v>47.29</v>
      </c>
      <c r="AR12" s="11">
        <f>IF(AC12&gt;0,AC12,"")</f>
        <v>15.7</v>
      </c>
      <c r="AS12" s="11">
        <f>IF(SUM(AA12:AD12)-AE12&gt;0,SUM(AA12:AD12)-AE12,"")</f>
        <v>51.205000000000005</v>
      </c>
      <c r="AT12" s="11" t="str">
        <f>IF(AH12&gt;0,AH12,"")</f>
        <v/>
      </c>
      <c r="AU12" s="11" t="str">
        <f>IF(SUM(AF12:AI12)-AJ12&gt;0,SUM(AF12:AI12)-AJ12,"")</f>
        <v/>
      </c>
      <c r="AV12" s="11">
        <f>IF(OR(AQ12&lt;&gt;"",AS12&lt;&gt;"",AU12&lt;&gt;""),AQ12+MAX(AS12,AU12),"")</f>
        <v>98.495000000000005</v>
      </c>
      <c r="AW12" s="11">
        <f>IF(AM12&gt;0,AM12,"")</f>
        <v>15.9</v>
      </c>
      <c r="AX12" s="11">
        <f>IF(SUM(AK12:AN12)-AO12&gt;0,SUM(AK12:AN12)-AO12,"")</f>
        <v>53.565000000000005</v>
      </c>
      <c r="AY12" s="11">
        <f>IF(SUM(AV12,AX12)&gt;0,SUM(AV12,AX12),"")</f>
        <v>152.06</v>
      </c>
      <c r="AZ12" s="75">
        <v>17.600000000000001</v>
      </c>
      <c r="BA12" s="75">
        <v>9.5</v>
      </c>
      <c r="BB12" s="75">
        <v>5.8</v>
      </c>
      <c r="BC12" s="75">
        <v>16.164999999999999</v>
      </c>
      <c r="BD12" s="75">
        <v>0</v>
      </c>
      <c r="BE12" s="75">
        <v>12.8</v>
      </c>
      <c r="BF12" s="75">
        <v>9.3000000000000007</v>
      </c>
      <c r="BG12" s="75">
        <v>13.8</v>
      </c>
      <c r="BH12" s="75">
        <v>14.21</v>
      </c>
      <c r="BI12" s="75">
        <v>0</v>
      </c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81"/>
      <c r="BU12" s="14">
        <f>IF(SUM(AZ12:BC12)-BD12&gt;0,SUM(AZ12:BC12)-BD12,"")</f>
        <v>49.064999999999998</v>
      </c>
      <c r="BV12" s="14">
        <f>IF(BG12&gt;0,BG12,"")</f>
        <v>13.8</v>
      </c>
      <c r="BW12" s="14">
        <f>IF(SUM(BE12:BH12)-BI12&gt;0,SUM(BE12:BH12)-BI12,"")</f>
        <v>50.110000000000007</v>
      </c>
      <c r="BX12" s="14" t="str">
        <f>IF(BL12&gt;0,BL12,"")</f>
        <v/>
      </c>
      <c r="BY12" s="14" t="str">
        <f>IF(SUM(BJ12:BM12)-BN12&gt;0,SUM(BJ12:BM12)-BN12,"")</f>
        <v/>
      </c>
      <c r="BZ12" s="14">
        <f>IF(BU12="",IF(MAX(BW12,BY12)&gt;0,MAX(BW12,BY12),""),MAX(BW12,BY12)+BU12)</f>
        <v>99.175000000000011</v>
      </c>
      <c r="CA12" s="14" t="str">
        <f>IF(BQ12&gt;0,BQ12,"")</f>
        <v/>
      </c>
      <c r="CB12" s="14" t="str">
        <f>IF(SUM(BO12:BR12)-BS12&gt;0,SUM(BO12:BR12)-BS12,"")</f>
        <v/>
      </c>
      <c r="CC12" s="14">
        <f>IF(SUM(BZ12,CB12)&gt;0,SUM(BZ12,CB12),"")</f>
        <v>99.175000000000011</v>
      </c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80"/>
      <c r="CY12" s="11" t="str">
        <f>IF(SUM(CD12:CG12)-CH12&gt;0,SUM(CD12:CG12)-CH12,"")</f>
        <v/>
      </c>
      <c r="CZ12" s="11" t="str">
        <f>IF(CK12&gt;0,CK12,"")</f>
        <v/>
      </c>
      <c r="DA12" s="11" t="str">
        <f>IF(SUM(CI12:CL12)-CM12&gt;0,SUM(CI12:CL12)-CM12,"")</f>
        <v/>
      </c>
      <c r="DB12" s="11" t="str">
        <f>IF(CP12&gt;0,CP12,"")</f>
        <v/>
      </c>
      <c r="DC12" s="11" t="str">
        <f>IF(SUM(CN12:CQ12)-CR12&gt;0,SUM(CN12:CQ12)-CR12,"")</f>
        <v/>
      </c>
      <c r="DD12" s="11" t="str">
        <f>IF(CY12="",IF(MAX(DA12,DC12)&gt;0,MAX(DA12,DC12),""),MAX(DA12,DC12)+CY12)</f>
        <v/>
      </c>
      <c r="DE12" s="11" t="str">
        <f>IF(CU12&gt;0,CU12,"")</f>
        <v/>
      </c>
      <c r="DF12" s="11" t="str">
        <f>IF(SUM(CS12:CV12)-CW12&gt;0,SUM(CS12:CV12)-CW12,"")</f>
        <v/>
      </c>
      <c r="DG12" s="11" t="str">
        <f>IF(SUM(DD12,DF12)&gt;0,SUM(DD12,DF12),"")</f>
        <v/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8.8000000000000007</v>
      </c>
      <c r="NQ12" s="69">
        <f>IF($CX12="P",CE12,(CE12+BA12)/2)</f>
        <v>4.75</v>
      </c>
      <c r="NR12" s="69">
        <f>IF($CX12="P",CF12,(CF12+BB12)/2)</f>
        <v>2.9</v>
      </c>
      <c r="NS12" s="69">
        <f>IF($CX12="P",CG12,(CG12+BC12)/2)</f>
        <v>8.0824999999999996</v>
      </c>
      <c r="NT12" s="69">
        <f>IF($CX12="P",CH12,(CH12+BD12)/2)</f>
        <v>0</v>
      </c>
      <c r="NU12" s="69">
        <f>IF($CX12="P",CI12,(CI12+BE12)/2)</f>
        <v>6.4</v>
      </c>
      <c r="NV12" s="69">
        <f>IF($CX12="P",CJ12,(CJ12+BF12)/2)</f>
        <v>4.6500000000000004</v>
      </c>
      <c r="NW12" s="69">
        <f>IF($CX12="P",CK12,(CK12+BG12)/2)</f>
        <v>6.9</v>
      </c>
      <c r="NX12" s="69">
        <f>IF($CX12="P",CL12,(CL12+BH12)/2)</f>
        <v>7.1050000000000004</v>
      </c>
      <c r="NY12" s="69">
        <f>IF($CX12="P",CM12,(CM12+BI12)/2)</f>
        <v>0</v>
      </c>
      <c r="NZ12" s="69">
        <f>IF($CX12="P",CN12,(CN12+BJ12)/2)</f>
        <v>0</v>
      </c>
      <c r="OA12" s="69">
        <f>IF($CX12="P",CO12,(CO12+BK12)/2)</f>
        <v>0</v>
      </c>
      <c r="OB12" s="69">
        <f>IF($CX12="P",CP12,(CP12+BL12)/2)</f>
        <v>0</v>
      </c>
      <c r="OC12" s="69">
        <f>IF($CX12="P",CQ12,(CQ12+BM12)/2)</f>
        <v>0</v>
      </c>
      <c r="OD12" s="69">
        <f>IF($CX12="P",CR12,(CR12+BN12)/2)</f>
        <v>0</v>
      </c>
      <c r="OE12" s="69">
        <f>IF($CX12="P",CS12,(CS12+BO12)/2)</f>
        <v>0</v>
      </c>
      <c r="OF12" s="69">
        <f>IF($CX12="P",CT12,(CT12+BP12)/2)</f>
        <v>0</v>
      </c>
      <c r="OG12" s="69">
        <f>IF($CX12="P",CU12,(CU12+BQ12)/2)</f>
        <v>0</v>
      </c>
      <c r="OH12" s="69">
        <f>IF($CX12="P",CV12,(CV12+BR12)/2)</f>
        <v>0</v>
      </c>
      <c r="OI12" s="69">
        <f>IF($CX12="P",CW12,(CW12+BS12)/2)</f>
        <v>0</v>
      </c>
      <c r="OJ12" s="80" t="s">
        <v>91</v>
      </c>
      <c r="OK12" s="11">
        <f>IF(SUM(NP12:NS12)-NT12&gt;0,SUM(NP12:NS12)-NT12,"")</f>
        <v>24.532499999999999</v>
      </c>
      <c r="OL12" s="11">
        <f>IF(NW12&gt;0,NW12,"")</f>
        <v>6.9</v>
      </c>
      <c r="OM12" s="11">
        <f>IF(SUM(NU12:NX12)-NY12&gt;0,SUM(NU12:NX12)-NY12,"")</f>
        <v>25.055000000000003</v>
      </c>
      <c r="ON12" s="11" t="str">
        <f>IF(OB12&gt;0,OB12,"")</f>
        <v/>
      </c>
      <c r="OO12" s="11" t="str">
        <f>IF(SUM(NZ12:OC12)-OD12&gt;0,SUM(NZ12:OC12)-OD12,"")</f>
        <v/>
      </c>
      <c r="OP12" s="11">
        <f>IF(OR(OK12&lt;&gt;"",OM12&lt;&gt;"",OO12&lt;&gt;""),OK12+MAX(OM12,OO12),"")</f>
        <v>49.587500000000006</v>
      </c>
      <c r="OQ12" s="11" t="str">
        <f>IF(OG12&gt;0,OG12,"")</f>
        <v/>
      </c>
      <c r="OR12" s="11" t="str">
        <f t="shared" si="0"/>
        <v/>
      </c>
      <c r="OS12" s="11">
        <f t="shared" si="1"/>
        <v>49.587500000000006</v>
      </c>
    </row>
    <row r="13" spans="1:409" x14ac:dyDescent="0.2">
      <c r="A13" s="5" t="str" cm="1">
        <f t="array" ref="A13">IF(AND(G13&lt;&gt;"",H13&lt;&gt;""),SUMPRODUCT((G$4:G$25&lt;&gt;"")*(H$4:H$25&lt;&gt;"")*(E$4:E$25&gt;E13))+1,IF(H13&lt;&gt;"",SUMPRODUCT((I$4:I$25="No DD")*(E$4:E$25&gt;E13))+1+SUMPRODUCT((G$4:G$25&lt;&gt;"")*(H$4:H$25&lt;&gt;"")),""))</f>
        <v/>
      </c>
      <c r="B13" s="6" t="s">
        <v>129</v>
      </c>
      <c r="C13" s="7" t="s">
        <v>5</v>
      </c>
      <c r="D13" s="27">
        <v>1991</v>
      </c>
      <c r="E13" s="15">
        <f>SUM(K13:S13)</f>
        <v>250.66499999999999</v>
      </c>
      <c r="F13" s="3" t="str">
        <f>IF(G13&lt;&gt;"","P","")</f>
        <v>P</v>
      </c>
      <c r="G13" s="125" t="str">
        <f>IF(OR(AND(AR13&gt;=AY$30,AR13&lt;&gt;"",AP13=""),AND(AT13&gt;=AY$30,AT13&lt;&gt;"",AP13=""),AND(AW13&gt;=AY$30,AW13&lt;&gt;"",AP13=""),AND(BV13&gt;=CC$30,BV13&lt;&gt;"",BT13=""),AND(BX13&gt;=CC$30,BX13&lt;&gt;"",BT13=""),AND(CA13&gt;=CC$30,CA13&lt;&gt;"",BT13=""),AND(CZ13&gt;=DG$30,CZ13&lt;&gt;"",CX13=""),AND(DB13&gt;=DG$30,DB13&lt;&gt;"",CX13=""),AND(DE13&gt;=DG$30,DE13&lt;&gt;"",CX13=""),AND(EA13&gt;=EG$30,EA13&lt;&gt;""),AND(EE13&gt;=EG$30,EE13&lt;&gt;""),AND(EW13&gt;=FC$30,EW13&lt;&gt;""),AND(FA13&gt;=FC$30,FA13&lt;&gt;""),AND(FS13&gt;=FY$30,FS13&lt;&gt;""),AND(FW13&gt;=FY$30,FW13&lt;&gt;""),AND(GO13&gt;=GU$30,GO13&lt;&gt;""),AND(GS13&gt;=GU$30,GS13&lt;&gt;""),AND(HK13&gt;=HQ$30,HK13&lt;&gt;""),AND(HO13&gt;=HQ$30,HO13&lt;&gt;""),AND(IG13&gt;=IM$30,IG13&lt;&gt;""),AND(IK13&gt;=IM$30,IK13&lt;&gt;""),AND(JC13&gt;=JI$30,JC13&lt;&gt;""),AND(JG13&gt;=JI$30,JG13&lt;&gt;""),AND(JY13&gt;=KE$30,JY13&lt;&gt;""),AND(KC13&gt;=KE$30,KC13&lt;&gt;""),AND(KU13&gt;=LA$30,KU13&lt;&gt;""),AND(KY13&gt;=LA$30,KY13&lt;&gt;""),AND(LQ13&gt;=LW$30,LQ13&lt;&gt;""),AND(LU13&gt;=LW$30,LU13&lt;&gt;""),AND(MM13&gt;=MS$30,MM13&lt;&gt;""),AND(MQ13&gt;=MS$30,MQ13&lt;&gt;""),AND(NI13&gt;=NO$30,NI13&lt;&gt;""),AND(NM13&gt;=NO$30,NM13&lt;&gt;"")),"Merit",IF(OR(AND(AR13&gt;=AY$29,AR13&lt;&gt;"",AP13=""),AND(AT13&gt;=AY$29,AT13&lt;&gt;"",AP13=""),AND(AW13&gt;=AY$29,AW13&lt;&gt;"",AP13=""),AND(BV13&gt;=CC$29,BV13&lt;&gt;"",BT13=""),AND(BX13&gt;=CC$29,BX13&lt;&gt;"",BT13=""),AND(CA13&gt;=CC$29,CA13&lt;&gt;"",BT13=""),AND(CZ13&gt;=DG$29,CZ13&lt;&gt;"",CX13=""),AND(DB13&gt;=DG$29,DB13&lt;&gt;"",CX13=""),AND(DE13&gt;=DG$29,DE13&lt;&gt;"",CX13=""),AND(EA13&gt;=EG$29,EA13&lt;&gt;""),AND(EE13&gt;=EG$29,EE13&lt;&gt;""),AND(EW13&gt;=FC$29,EW13&lt;&gt;""),AND(FA13&gt;=FC$29,FA13&lt;&gt;""),AND(FS13&gt;=FY$29,FS13&lt;&gt;""),AND(FW13&gt;=FY$29,FW13&lt;&gt;""),AND(GO13&gt;=GU$29,GO13&lt;&gt;""),AND(GS13&gt;=GU$29,GS13&lt;&gt;""),AND(HK13&gt;=HQ$29,HK13&lt;&gt;""),AND(HO13&gt;=HQ$29,HO13&lt;&gt;""),AND(IG13&gt;=IM$29,IG13&lt;&gt;""),AND(IK13&gt;=IM$29,IK13&lt;&gt;""),AND(JC13&gt;=JI$29,JC13&lt;&gt;""),AND(JG13&gt;=JI$29,JG13&lt;&gt;""),AND(JY13&gt;=KE$29,JY13&lt;&gt;""),AND(KC13&gt;=KE$29,KC13&lt;&gt;""),AND(KU13&gt;=LA$29,KU13&lt;&gt;""),AND(KY13&gt;=LA$29,KY13&lt;&gt;""),AND(LQ13&gt;=LW$29,LQ13&lt;&gt;""),AND(LU13&gt;=LW$29,LU13&lt;&gt;""),AND(MM13&gt;=MS$29,MM13&lt;&gt;""),AND(MQ13&gt;=MS$29,MQ13&lt;&gt;""),AND(NI13&gt;=NO$29,NI13&lt;&gt;""),AND(NM13&gt;=NO$29,NM13&lt;&gt;"")),"Excellence",IF(OR(AND(AR13&gt;=AY$28,AR13&lt;&gt;"",AP13=""),AND(AT13&gt;=AY$28,AT13&lt;&gt;"",AP13=""),AND(AW13&gt;=AY$28,AW13&lt;&gt;"",AP13=""),AND(BV13&gt;=CC$28,BV13&lt;&gt;"",BT13=""),AND(BX13&gt;=CC$28,BX13&lt;&gt;"",BT13=""),AND(CA13&gt;=CC$28,CA13&lt;&gt;"",BT13=""),AND(CZ13&gt;=DG$28,CZ13&lt;&gt;"",CX13=""),AND(DB13&gt;=DG$28,DB13&lt;&gt;"",CX13=""),AND(DE13&gt;=DG$28,DE13&lt;&gt;"",CX13=""),AND(EA13&gt;=EG$28,EA13&lt;&gt;""),AND(EE13&gt;=EG$28,EE13&lt;&gt;""),AND(EW13&gt;=FC$28,EW13&lt;&gt;""),AND(FA13&gt;=FC$28,FA13&lt;&gt;""),AND(FS13&gt;=FY$28,FS13&lt;&gt;""),AND(FW13&gt;=FY$28,FW13&lt;&gt;""),AND(GO13&gt;=GU$28,GO13&lt;&gt;""),AND(GS13&gt;=GU$28,GS13&lt;&gt;""),AND(HK13&gt;=HQ$28,HK13&lt;&gt;""),AND(HO13&gt;=HQ$28,HO13&lt;&gt;""),AND(IG13&gt;=IM$28,IG13&lt;&gt;""),AND(IK13&gt;=IM$28,IK13&lt;&gt;""),AND(JC13&gt;=JI$28,JC13&lt;&gt;""),AND(JG13&gt;=JI$28,JG13&lt;&gt;""),AND(JY13&gt;=KE$28,JY13&lt;&gt;""),AND(KC13&gt;=KE$28,KC13&lt;&gt;""),AND(KU13&gt;=LA$28,KU13&lt;&gt;""),AND(KY13&gt;=LA$28,KY13&lt;&gt;""),AND(LQ13&gt;=LW$28,LQ13&lt;&gt;""),AND(LU13&gt;=LW$28,LU13&lt;&gt;""),AND(MM13&gt;=MS$28,MM13&lt;&gt;""),AND(MQ13&gt;=MS$28,MQ13&lt;&gt;""),AND(NI13&gt;=NO$28,NI13&lt;&gt;""),AND(NM13&gt;=NO$28,NM13&lt;&gt;"")),"Worlds Team",IF(OR(AND(AR13&gt;=AY$27,AR13&lt;&gt;"",AP13=""),AND(AT13&gt;=AY$27,AT13&lt;&gt;"",AP13=""),AND(AW13&gt;=AY$27,AW13&lt;&gt;"",AP13=""),AND(BV13&gt;=CC$27,BV13&lt;&gt;"",BT13=""),AND(BX13&gt;=CC$27,BX13&lt;&gt;"",BT13=""),AND(CA13&gt;=CC$27,CA13&lt;&gt;"",BT13=""),AND(CZ13&gt;=DG$27,CZ13&lt;&gt;"",CX13=""),AND(DB13&gt;=DG$27,DB13&lt;&gt;"",CX13=""),AND(DE13&gt;=DG$27,DE13&lt;&gt;"",CX13=""),AND(EA13&gt;=EG$27,EA13&lt;&gt;""),AND(EE13&gt;=EG$27,EE13&lt;&gt;""),AND(EW13&gt;=FC$27,EW13&lt;&gt;""),AND(FA13&gt;=FC$27,FA13&lt;&gt;""),AND(FS13&gt;=FY$27,FS13&lt;&gt;""),AND(FW13&gt;=FY$27,FW13&lt;&gt;""),AND(GO13&gt;=GU$27,GO13&lt;&gt;""),AND(GS13&gt;=GU$27,GS13&lt;&gt;""),AND(HK13&gt;=HQ$27,HK13&lt;&gt;""),AND(HO13&gt;=HQ$27,HO13&lt;&gt;""),AND(IG13&gt;=IM$27,IG13&lt;&gt;""),AND(IK13&gt;=IM$27,IK13&lt;&gt;""),AND(JC13&gt;=JI$27,JC13&lt;&gt;""),AND(JG13&gt;=JI$27,JG13&lt;&gt;""),AND(JY13&gt;=KE$27,JY13&lt;&gt;""),AND(KC13&gt;=KE$27,KC13&lt;&gt;""),AND(KU13&gt;=LA$27,KU13&lt;&gt;""),AND(KY13&gt;=LA$27,KY13&lt;&gt;""),AND(LQ13&gt;=LW$27,LQ13&lt;&gt;""),AND(LU13&gt;=LW$27,LU13&lt;&gt;""),AND(MM13&gt;=MS$27,MM13&lt;&gt;""),AND(MQ13&gt;=MS$27,MQ13&lt;&gt;""),AND(NI13&gt;=NO$27,NI13&lt;&gt;""),AND(NM13&gt;=NO$27,NM13&lt;&gt;"")),"National Team",""))))</f>
        <v>National Team</v>
      </c>
      <c r="H13" s="125" t="str">
        <f>IF(OR(AND(AS13&gt;=AY$34,AS13&lt;&gt;"",AP13=""),AND(AU13&gt;=AY$34,AU13&lt;&gt;"",AP13=""),AND(AX13&gt;=AY$34,AX13&lt;&gt;"",AP13=""),AND(BW13&gt;=CC$34,BW13&lt;&gt;"",BT13=""),AND(BY13&gt;=CC$34,BY13&lt;&gt;"",BT13=""),AND(CB13&gt;=CC$34,CB13&lt;&gt;"",BT13=""),AND(DA13&gt;=DG$34,DA13&lt;&gt;"",CX13=""),AND(DC13&gt;=DG$34,DC13&lt;&gt;"",CX13=""),AND(DF13&gt;=DG$34,DF13&lt;&gt;"",CX13=""),AND(EC13&gt;=EG$34,EC13&lt;&gt;""),AND(EF13&gt;=EG$34,EF13&lt;&gt;""),AND(EY13&gt;=FC$34,EY13&lt;&gt;""),AND(FB13&gt;=FC$34,FB13&lt;&gt;""),AND(FU13&gt;=FY$34,FU13&lt;&gt;""),AND(FX13&gt;=FY$34,FX13&lt;&gt;""),AND(GQ13&gt;=GU$34,GQ13&lt;&gt;""),AND(GT13&gt;=GU$34,GT13&lt;&gt;""),AND(HM13&gt;=HQ$34,HM13&lt;&gt;""),AND(HP13&gt;=HQ$34,HP13&lt;&gt;""),AND(II13&gt;=IM$34,II13&lt;&gt;""),AND(IL13&gt;=IM$34,IL13&lt;&gt;""),AND(JE13&gt;=JI$34,JE13&lt;&gt;""),AND(JH13&gt;=JI$34,JH13&lt;&gt;""),AND(KA13&gt;=KE$34,KA13&lt;&gt;""),AND(KD13&gt;=KE$34,KD13&lt;&gt;""),AND(KW13&gt;=LA$34,KW13&lt;&gt;""),AND(KZ13&gt;=LA$34,KZ13&lt;&gt;""),AND(LS13&gt;=LW$34,LS13&lt;&gt;""),AND(LV13&gt;=LW$34,LV13&lt;&gt;""),AND(MO13&gt;=MS$34,MO13&lt;&gt;""),AND(MR13&gt;=MS$34,MR13&lt;&gt;""),AND(NK13&gt;=NO$34,NK13&lt;&gt;""),AND(NN13&gt;=NO$34,NN13&lt;&gt;"")),"Merit",IF(OR(AND(AS13&gt;=AY$33,AS13&lt;&gt;"",AP13=""),AND(AU13&gt;=AY$33,AU13&lt;&gt;"",AP13=""),AND(AX13&gt;=AY$33,AX13&lt;&gt;"",AP13=""),AND(BW13&gt;=CC$33,BW13&lt;&gt;"",BT13=""),AND(BY13&gt;=CC$33,BY13&lt;&gt;"",BT13=""),AND(CB13&gt;=CC$33,CB13&lt;&gt;"",BT13=""),AND(DA13&gt;=DG$33,DA13&lt;&gt;"",CX13=""),AND(DC13&gt;=DG$33,DC13&lt;&gt;"",CX13=""),AND(DF13&gt;=DG$33,DF13&lt;&gt;"",CX13=""),AND(EC13&gt;=EG$33,EC13&lt;&gt;""),AND(EF13&gt;=EG$33,EF13&lt;&gt;""),AND(EY13&gt;=FC$33,EY13&lt;&gt;""),AND(FB13&gt;=FC$33,FB13&lt;&gt;""),AND(FU13&gt;=FY$33,FU13&lt;&gt;""),AND(FX13&gt;=FY$33,FX13&lt;&gt;""),AND(GQ13&gt;=GU$33,GQ13&lt;&gt;""),AND(GT13&gt;=GU$33,GT13&lt;&gt;""),AND(HM13&gt;=HQ$33,HM13&lt;&gt;""),AND(HP13&gt;=HQ$33,HP13&lt;&gt;""),AND(II13&gt;=IM$33,II13&lt;&gt;""),AND(IL13&gt;=IM$33,IL13&lt;&gt;""),AND(JE13&gt;=JI$33,JE13&lt;&gt;""),AND(JH13&gt;=JI$33,JH13&lt;&gt;""),AND(KA13&gt;=KE$33,KA13&lt;&gt;""),AND(KD13&gt;=KE$33,KD13&lt;&gt;""),AND(KW13&gt;=LA$33,KW13&lt;&gt;""),AND(KZ13&gt;=LA$33,KZ13&lt;&gt;""),AND(LS13&gt;=LW$33,LS13&lt;&gt;""),AND(LV13&gt;=LW$33,LV13&lt;&gt;""),AND(MO13&gt;=MS$33,MO13&lt;&gt;""),AND(MR13&gt;=MS$33,MR13&lt;&gt;""),AND(NK13&gt;=NO$33,NK13&lt;&gt;""),AND(NN13&gt;=NO$33,NN13&lt;&gt;"")),"Excellence",IF(OR(AND(AV13&gt;=AY$32,AV13&lt;&gt;"",AP13=""),AND(BZ13&gt;=CC$32,BZ13&lt;&gt;"",BT13=""),AND(DD13&gt;=DG$32,DD13&lt;&gt;"",CX13=""),AND(ED13&gt;=EG$32,ED13&lt;&gt;""),AND(EZ13&gt;=FC$32,EZ13&lt;&gt;""),AND(FV13&gt;=FY$32,FV13&lt;&gt;""),AND(GR13&gt;=GU$32,GR13&lt;&gt;""),AND(HN13&gt;=HQ$32,HN13&lt;&gt;""),AND(IJ13&gt;=IM$32,IJ13&lt;&gt;""),AND(JF13&gt;=JI$32,JF13&lt;&gt;""),AND(KB13&gt;=KE$32,KB13&lt;&gt;""),AND(KX13&gt;=LA$32,KX13&lt;&gt;""),AND(LT13&gt;=LW$32,LT13&lt;&gt;""),AND(MP13&gt;=MS$32,MP13&lt;&gt;""),AND(NL13&gt;=NO$32,NL13&lt;&gt;"")),"Worlds Team",IF(OR(AND(AV13&gt;=AY$31,AV13&lt;&gt;"",AP13=""),AND(BZ13&gt;=CC$31,BZ13&lt;&gt;"",BT13=""),AND(DD13&gt;=DG$31,DD13&lt;&gt;"",CX13=""),AND(ED13&gt;=EG$31,ED13&lt;&gt;""),AND(EZ13&gt;=FC$31,EZ13&lt;&gt;""),AND(FV13&gt;=FY$31,FV13&lt;&gt;""),AND(GR13&gt;=GU$31,GR13&lt;&gt;""),AND(HN13&gt;=HQ$31,HN13&lt;&gt;""),AND(IJ13&gt;=IM$31,IJ13&lt;&gt;""),AND(JF13&gt;=JI$31,JF13&lt;&gt;""),AND(KB13&gt;=KE$31,KB13&lt;&gt;""),AND(KX13&gt;=LA$31,KX13&lt;&gt;""),AND(LT13&gt;=LW$31,LT13&lt;&gt;""),AND(MP13&gt;=MS$31,MP13&lt;&gt;""),AND(NL13&gt;=NO$31,NL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$32,AV13&lt;&gt;"",AP13=""),AND(BZ13&gt;=CC$32,BZ13&lt;&gt;"",BT13=""),AND(DD13&gt;=DG$32,DD13&lt;&gt;"",CX13=""),AND(ED13&gt;=EG$32,ED13&lt;&gt;""),AND(EZ13&gt;=FC$32,EZ13&lt;&gt;""),AND(FV13&gt;=FY$32,FV13&lt;&gt;""),AND(GR13&gt;=GU$32,GR13&lt;&gt;""),AND(HN13&gt;=HQ$32,HN13&lt;&gt;""),AND(IJ13&gt;=IM$32,IJ13&lt;&gt;""),AND(JF13&gt;=JI$32,JF13&lt;&gt;""),AND(KB13&gt;=KE$32,KB13&lt;&gt;""),AND(KX13&gt;=LA$32,KX13&lt;&gt;""),AND(LT13&gt;=LW$32,LT13&lt;&gt;""),AND(MP13&gt;=MS$32,MP13&lt;&gt;""),AND(NL13&gt;=NO$32,NL13&lt;&gt;"")),OR(G13="Worlds Team",G13="Excellence",G13="Merit")),"P","")</f>
        <v/>
      </c>
      <c r="K13" s="14">
        <f>IF(MAX(AV13,BZ13,DD13)&gt;0,MAX(AV13,BZ13,DD13),0)</f>
        <v>101.24499999999999</v>
      </c>
      <c r="L13" s="14" t="str">
        <f>IF(K13=0,"",IF(K13=DD13,$CD$1,IF(K13=BZ13,$AZ$1,IF(K13=AV13,$V$1,""))))</f>
        <v>2021 1st Virtual Technical Trial</v>
      </c>
      <c r="M13" s="14">
        <f>IF($K13=$AV13,MAX(BU13,CY13),IF($K13=$BZ13,MAX(AQ13,CY13),IF($K13=$DD13,MAX(AQ13,BU13),MAX(AQ13,BU13,CY13))))</f>
        <v>46.104999999999997</v>
      </c>
      <c r="N13" s="14" t="str">
        <f>IF(M13=0,"",IF(AND(M13=CY13,$L13&lt;&gt;$CD$1),$CD$1,IF(AND(M13=BU13,$L13&lt;&gt;$AZ$1),$AZ$1,IF(AND(M13=AQ13,$L13&lt;&gt;$V$1),$V$1,""))))</f>
        <v>2019 Nationals</v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52.725000000000001</v>
      </c>
      <c r="P13" s="14" t="str">
        <f>IF(O13=0,"",IF(OR(O13=DC13,O13=DA13),$CD$1,IF(OR(O13=BY13,O13=BW13),$AZ$1,IF(OR(O13=AU13,O13=AS13),$V$1,""))))</f>
        <v>2019 Nationals</v>
      </c>
      <c r="Q13" s="14">
        <f>MAX(AX13,CB13,DF13)</f>
        <v>50.589999999999996</v>
      </c>
      <c r="R13" s="14" t="str">
        <f>IF(Q13=0,"",IF(Q13=DF13,$CD$1,IF(Q13=CB13,$AZ$1,IF(Q13=AX13,$V$1,""))))</f>
        <v>2021 1st Virtual Technical Trial</v>
      </c>
      <c r="S13" s="14" t="str">
        <f>IF(MAX(DH13,DI13,DJ13,DK13)&gt;0,MAX(DH13,DI13,DJ13,DK13),"")</f>
        <v/>
      </c>
      <c r="T13" s="25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9">
        <v>2.9</v>
      </c>
      <c r="W13" s="69">
        <v>1.7</v>
      </c>
      <c r="X13" s="69">
        <v>0</v>
      </c>
      <c r="Y13" s="69">
        <v>3.5249999999999999</v>
      </c>
      <c r="Z13" s="69">
        <v>0</v>
      </c>
      <c r="AA13" s="69">
        <v>8.1999999999999993</v>
      </c>
      <c r="AB13" s="69">
        <v>5.95</v>
      </c>
      <c r="AC13" s="69">
        <v>9.3000000000000007</v>
      </c>
      <c r="AD13" s="69">
        <v>11.185</v>
      </c>
      <c r="AE13" s="69">
        <v>0</v>
      </c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80"/>
      <c r="AQ13" s="11">
        <f>IF(SUM(V13:Y13)-Z13&gt;0,SUM(V13:Y13)-Z13,"")</f>
        <v>8.125</v>
      </c>
      <c r="AR13" s="11">
        <f>IF(AC13&gt;0,AC13,"")</f>
        <v>9.3000000000000007</v>
      </c>
      <c r="AS13" s="11">
        <f>IF(SUM(AA13:AD13)-AE13&gt;0,SUM(AA13:AD13)-AE13,"")</f>
        <v>34.634999999999998</v>
      </c>
      <c r="AT13" s="11" t="str">
        <f>IF(AH13&gt;0,AH13,"")</f>
        <v/>
      </c>
      <c r="AU13" s="11" t="str">
        <f>IF(SUM(AF13:AI13)-AJ13&gt;0,SUM(AF13:AI13)-AJ13,"")</f>
        <v/>
      </c>
      <c r="AV13" s="11">
        <f>IF(OR(AQ13&lt;&gt;"",AS13&lt;&gt;"",AU13&lt;&gt;""),AQ13+MAX(AS13,AU13),"")</f>
        <v>42.76</v>
      </c>
      <c r="AW13" s="11" t="str">
        <f>IF(AM13&gt;0,AM13,"")</f>
        <v/>
      </c>
      <c r="AX13" s="11" t="str">
        <f>IF(SUM(AK13:AN13)-AO13&gt;0,SUM(AK13:AN13)-AO13,"")</f>
        <v/>
      </c>
      <c r="AY13" s="11">
        <f>IF(SUM(AV13,AX13)&gt;0,SUM(AV13,AX13),"")</f>
        <v>42.76</v>
      </c>
      <c r="AZ13" s="75">
        <v>15.5</v>
      </c>
      <c r="BA13" s="75">
        <v>8.6999999999999993</v>
      </c>
      <c r="BB13" s="75">
        <v>5.2</v>
      </c>
      <c r="BC13" s="75">
        <v>16.704999999999998</v>
      </c>
      <c r="BD13" s="75">
        <v>0</v>
      </c>
      <c r="BE13" s="75">
        <v>13.8</v>
      </c>
      <c r="BF13" s="75">
        <v>8.5</v>
      </c>
      <c r="BG13" s="75">
        <v>14.4</v>
      </c>
      <c r="BH13" s="75">
        <v>16.024999999999999</v>
      </c>
      <c r="BI13" s="75">
        <v>0</v>
      </c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81"/>
      <c r="BU13" s="14">
        <f>IF(SUM(AZ13:BC13)-BD13&gt;0,SUM(AZ13:BC13)-BD13,"")</f>
        <v>46.104999999999997</v>
      </c>
      <c r="BV13" s="14">
        <f>IF(BG13&gt;0,BG13,"")</f>
        <v>14.4</v>
      </c>
      <c r="BW13" s="14">
        <f>IF(SUM(BE13:BH13)-BI13&gt;0,SUM(BE13:BH13)-BI13,"")</f>
        <v>52.725000000000001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98.83</v>
      </c>
      <c r="CA13" s="14" t="str">
        <f>IF(BQ13&gt;0,BQ13,"")</f>
        <v/>
      </c>
      <c r="CB13" s="14" t="str">
        <f>IF(SUM(BO13:BR13)-BS13&gt;0,SUM(BO13:BR13)-BS13,"")</f>
        <v/>
      </c>
      <c r="CC13" s="14">
        <f>IF(SUM(BZ13,CB13)&gt;0,SUM(BZ13,CB13),"")</f>
        <v>98.83</v>
      </c>
      <c r="CD13" s="69">
        <v>16.2</v>
      </c>
      <c r="CE13" s="69">
        <v>8.75</v>
      </c>
      <c r="CF13" s="69">
        <v>5.2</v>
      </c>
      <c r="CG13" s="69">
        <v>17.495000000000001</v>
      </c>
      <c r="CH13" s="69">
        <v>0</v>
      </c>
      <c r="CI13" s="69">
        <v>13.44</v>
      </c>
      <c r="CJ13" s="69">
        <v>9</v>
      </c>
      <c r="CK13" s="69">
        <v>14.4</v>
      </c>
      <c r="CL13" s="69">
        <v>16.760000000000002</v>
      </c>
      <c r="CM13" s="69">
        <v>0</v>
      </c>
      <c r="CN13" s="69">
        <v>3.8</v>
      </c>
      <c r="CO13" s="69">
        <v>2.65</v>
      </c>
      <c r="CP13" s="69">
        <v>3.8</v>
      </c>
      <c r="CQ13" s="69">
        <v>5.4</v>
      </c>
      <c r="CR13" s="69">
        <v>0</v>
      </c>
      <c r="CS13" s="69">
        <v>12.4</v>
      </c>
      <c r="CT13" s="69">
        <v>9.25</v>
      </c>
      <c r="CU13" s="69">
        <v>12.9</v>
      </c>
      <c r="CV13" s="69">
        <v>16.64</v>
      </c>
      <c r="CW13" s="69">
        <v>0.6</v>
      </c>
      <c r="CX13" s="80"/>
      <c r="CY13" s="11">
        <f>IF(SUM(CD13:CG13)-CH13&gt;0,SUM(CD13:CG13)-CH13,"")</f>
        <v>47.644999999999996</v>
      </c>
      <c r="CZ13" s="11">
        <f>IF(CK13&gt;0,CK13,"")</f>
        <v>14.4</v>
      </c>
      <c r="DA13" s="11">
        <f>IF(SUM(CI13:CL13)-CM13&gt;0,SUM(CI13:CL13)-CM13,"")</f>
        <v>53.599999999999994</v>
      </c>
      <c r="DB13" s="11">
        <f>IF(CP13&gt;0,CP13,"")</f>
        <v>3.8</v>
      </c>
      <c r="DC13" s="11">
        <f>IF(SUM(CN13:CQ13)-CR13&gt;0,SUM(CN13:CQ13)-CR13,"")</f>
        <v>15.65</v>
      </c>
      <c r="DD13" s="11">
        <f>IF(CY13="",IF(MAX(DA13,DC13)&gt;0,MAX(DA13,DC13),""),MAX(DA13,DC13)+CY13)</f>
        <v>101.24499999999999</v>
      </c>
      <c r="DE13" s="11">
        <f>IF(CU13&gt;0,CU13,"")</f>
        <v>12.9</v>
      </c>
      <c r="DF13" s="11">
        <f>IF(SUM(CS13:CV13)-CW13&gt;0,SUM(CS13:CV13)-CW13,"")</f>
        <v>50.589999999999996</v>
      </c>
      <c r="DG13" s="11">
        <f>IF(SUM(DD13,DF13)&gt;0,SUM(DD13,DF13),"")</f>
        <v>151.83499999999998</v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 t="str">
        <f>IF(MAX(EC13,EY13,FU13,GQ13,HM13,II13,JE13,KA13,KW13,LS13,MO13,NK13)-IF(O13="",0,O13)&gt;0.001,MAX(EC13,EY13,FU13,GQ13,HM13,II13,JE13,KA13,KW13,LS13,MO13,NK13)-IF(O13="",0,O13),"")</f>
        <v/>
      </c>
      <c r="DJ13" s="24" t="str">
        <f>IF(MAX(ED13,EZ13,FV13,GR13,HN13,IJ13,JF13,KB13,KX13,LT13,MP13,NL13)-IF(K13="",0,K13)&gt;0.001,MAX(ED13,EZ13,FV13,GR13,HN13,IJ13,JF13,KB13,KX13,LT13,MP13,NL13)-IF(K13="",0,K13),"")</f>
        <v/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15.85</v>
      </c>
      <c r="NQ13" s="69">
        <f>IF($CX13="P",CE13,(CE13+BA13)/2)</f>
        <v>8.7249999999999996</v>
      </c>
      <c r="NR13" s="69">
        <f>IF($CX13="P",CF13,(CF13+BB13)/2)</f>
        <v>5.2</v>
      </c>
      <c r="NS13" s="69">
        <f>IF($CX13="P",CG13,(CG13+BC13)/2)</f>
        <v>17.100000000000001</v>
      </c>
      <c r="NT13" s="69">
        <f>IF($CX13="P",CH13,(CH13+BD13)/2)</f>
        <v>0</v>
      </c>
      <c r="NU13" s="69">
        <f>IF($CX13="P",CI13,(CI13+BE13)/2)</f>
        <v>13.620000000000001</v>
      </c>
      <c r="NV13" s="69">
        <f>IF($CX13="P",CJ13,(CJ13+BF13)/2)</f>
        <v>8.75</v>
      </c>
      <c r="NW13" s="69">
        <f>IF($CX13="P",CK13,(CK13+BG13)/2)</f>
        <v>14.4</v>
      </c>
      <c r="NX13" s="69">
        <f>IF($CX13="P",CL13,(CL13+BH13)/2)</f>
        <v>16.392499999999998</v>
      </c>
      <c r="NY13" s="69">
        <f>IF($CX13="P",CM13,(CM13+BI13)/2)</f>
        <v>0</v>
      </c>
      <c r="NZ13" s="69">
        <f>IF($CX13="P",CN13,(CN13+BJ13)/2)</f>
        <v>1.9</v>
      </c>
      <c r="OA13" s="69">
        <f>IF($CX13="P",CO13,(CO13+BK13)/2)</f>
        <v>1.325</v>
      </c>
      <c r="OB13" s="69">
        <f>IF($CX13="P",CP13,(CP13+BL13)/2)</f>
        <v>1.9</v>
      </c>
      <c r="OC13" s="69">
        <f>IF($CX13="P",CQ13,(CQ13+BM13)/2)</f>
        <v>2.7</v>
      </c>
      <c r="OD13" s="69">
        <f>IF($CX13="P",CR13,(CR13+BN13)/2)</f>
        <v>0</v>
      </c>
      <c r="OE13" s="69">
        <f>IF($CX13="P",CS13,(CS13+BO13)/2)</f>
        <v>6.2</v>
      </c>
      <c r="OF13" s="69">
        <f>IF($CX13="P",CT13,(CT13+BP13)/2)</f>
        <v>4.625</v>
      </c>
      <c r="OG13" s="69">
        <f>IF($CX13="P",CU13,(CU13+BQ13)/2)</f>
        <v>6.45</v>
      </c>
      <c r="OH13" s="69">
        <f>IF($CX13="P",CV13,(CV13+BR13)/2)</f>
        <v>8.32</v>
      </c>
      <c r="OI13" s="69">
        <f>IF($CX13="P",CW13,(CW13+BS13)/2)</f>
        <v>0.3</v>
      </c>
      <c r="OJ13" s="80" t="s">
        <v>91</v>
      </c>
      <c r="OK13" s="11">
        <f>IF(SUM(NP13:NS13)-NT13&gt;0,SUM(NP13:NS13)-NT13,"")</f>
        <v>46.875</v>
      </c>
      <c r="OL13" s="11">
        <f>IF(NW13&gt;0,NW13,"")</f>
        <v>14.4</v>
      </c>
      <c r="OM13" s="11">
        <f>IF(SUM(NU13:NX13)-NY13&gt;0,SUM(NU13:NX13)-NY13,"")</f>
        <v>53.162500000000001</v>
      </c>
      <c r="ON13" s="11">
        <f>IF(OB13&gt;0,OB13,"")</f>
        <v>1.9</v>
      </c>
      <c r="OO13" s="11">
        <f>IF(SUM(NZ13:OC13)-OD13&gt;0,SUM(NZ13:OC13)-OD13,"")</f>
        <v>7.8250000000000002</v>
      </c>
      <c r="OP13" s="11">
        <f>IF(OR(OK13&lt;&gt;"",OM13&lt;&gt;"",OO13&lt;&gt;""),OK13+MAX(OM13,OO13),"")</f>
        <v>100.03749999999999</v>
      </c>
      <c r="OQ13" s="11">
        <f>IF(OG13&gt;0,OG13,"")</f>
        <v>6.45</v>
      </c>
      <c r="OR13" s="11">
        <f t="shared" si="0"/>
        <v>25.294999999999998</v>
      </c>
      <c r="OS13" s="11">
        <f t="shared" si="1"/>
        <v>125.3325</v>
      </c>
    </row>
    <row r="14" spans="1:409" x14ac:dyDescent="0.2">
      <c r="A14" s="5" cm="1">
        <f t="array" ref="A14">IF(AND(G14&lt;&gt;"",H14&lt;&gt;""),SUMPRODUCT((G$4:G$25&lt;&gt;"")*(H$4:H$25&lt;&gt;"")*(E$4:E$25&gt;E14))+1,IF(H14&lt;&gt;"",SUMPRODUCT((I$4:I$25="No DD")*(E$4:E$25&gt;E14))+1+SUMPRODUCT((G$4:G$25&lt;&gt;"")*(H$4:H$25&lt;&gt;"")),""))</f>
        <v>8</v>
      </c>
      <c r="B14" s="6" t="s">
        <v>179</v>
      </c>
      <c r="C14" s="7" t="s">
        <v>10</v>
      </c>
      <c r="D14" s="27">
        <v>2001</v>
      </c>
      <c r="E14" s="15">
        <f>SUM(K14:S14)</f>
        <v>234.76999999999998</v>
      </c>
      <c r="F14" s="3" t="str">
        <f>IF(G14&lt;&gt;"","P","")</f>
        <v>P</v>
      </c>
      <c r="G14" s="125" t="str">
        <f>IF(OR(AND(AR14&gt;=AY$30,AR14&lt;&gt;"",AP14=""),AND(AT14&gt;=AY$30,AT14&lt;&gt;"",AP14=""),AND(AW14&gt;=AY$30,AW14&lt;&gt;"",AP14=""),AND(BV14&gt;=CC$30,BV14&lt;&gt;"",BT14=""),AND(BX14&gt;=CC$30,BX14&lt;&gt;"",BT14=""),AND(CA14&gt;=CC$30,CA14&lt;&gt;"",BT14=""),AND(CZ14&gt;=DG$30,CZ14&lt;&gt;"",CX14=""),AND(DB14&gt;=DG$30,DB14&lt;&gt;"",CX14=""),AND(DE14&gt;=DG$30,DE14&lt;&gt;"",CX14=""),AND(EA14&gt;=EG$30,EA14&lt;&gt;""),AND(EE14&gt;=EG$30,EE14&lt;&gt;""),AND(EW14&gt;=FC$30,EW14&lt;&gt;""),AND(FA14&gt;=FC$30,FA14&lt;&gt;""),AND(FS14&gt;=FY$30,FS14&lt;&gt;""),AND(FW14&gt;=FY$30,FW14&lt;&gt;""),AND(GO14&gt;=GU$30,GO14&lt;&gt;""),AND(GS14&gt;=GU$30,GS14&lt;&gt;""),AND(HK14&gt;=HQ$30,HK14&lt;&gt;""),AND(HO14&gt;=HQ$30,HO14&lt;&gt;""),AND(IG14&gt;=IM$30,IG14&lt;&gt;""),AND(IK14&gt;=IM$30,IK14&lt;&gt;""),AND(JC14&gt;=JI$30,JC14&lt;&gt;""),AND(JG14&gt;=JI$30,JG14&lt;&gt;""),AND(JY14&gt;=KE$30,JY14&lt;&gt;""),AND(KC14&gt;=KE$30,KC14&lt;&gt;""),AND(KU14&gt;=LA$30,KU14&lt;&gt;""),AND(KY14&gt;=LA$30,KY14&lt;&gt;""),AND(LQ14&gt;=LW$30,LQ14&lt;&gt;""),AND(LU14&gt;=LW$30,LU14&lt;&gt;""),AND(MM14&gt;=MS$30,MM14&lt;&gt;""),AND(MQ14&gt;=MS$30,MQ14&lt;&gt;""),AND(NI14&gt;=NO$30,NI14&lt;&gt;""),AND(NM14&gt;=NO$30,NM14&lt;&gt;"")),"Merit",IF(OR(AND(AR14&gt;=AY$29,AR14&lt;&gt;"",AP14=""),AND(AT14&gt;=AY$29,AT14&lt;&gt;"",AP14=""),AND(AW14&gt;=AY$29,AW14&lt;&gt;"",AP14=""),AND(BV14&gt;=CC$29,BV14&lt;&gt;"",BT14=""),AND(BX14&gt;=CC$29,BX14&lt;&gt;"",BT14=""),AND(CA14&gt;=CC$29,CA14&lt;&gt;"",BT14=""),AND(CZ14&gt;=DG$29,CZ14&lt;&gt;"",CX14=""),AND(DB14&gt;=DG$29,DB14&lt;&gt;"",CX14=""),AND(DE14&gt;=DG$29,DE14&lt;&gt;"",CX14=""),AND(EA14&gt;=EG$29,EA14&lt;&gt;""),AND(EE14&gt;=EG$29,EE14&lt;&gt;""),AND(EW14&gt;=FC$29,EW14&lt;&gt;""),AND(FA14&gt;=FC$29,FA14&lt;&gt;""),AND(FS14&gt;=FY$29,FS14&lt;&gt;""),AND(FW14&gt;=FY$29,FW14&lt;&gt;""),AND(GO14&gt;=GU$29,GO14&lt;&gt;""),AND(GS14&gt;=GU$29,GS14&lt;&gt;""),AND(HK14&gt;=HQ$29,HK14&lt;&gt;""),AND(HO14&gt;=HQ$29,HO14&lt;&gt;""),AND(IG14&gt;=IM$29,IG14&lt;&gt;""),AND(IK14&gt;=IM$29,IK14&lt;&gt;""),AND(JC14&gt;=JI$29,JC14&lt;&gt;""),AND(JG14&gt;=JI$29,JG14&lt;&gt;""),AND(JY14&gt;=KE$29,JY14&lt;&gt;""),AND(KC14&gt;=KE$29,KC14&lt;&gt;""),AND(KU14&gt;=LA$29,KU14&lt;&gt;""),AND(KY14&gt;=LA$29,KY14&lt;&gt;""),AND(LQ14&gt;=LW$29,LQ14&lt;&gt;""),AND(LU14&gt;=LW$29,LU14&lt;&gt;""),AND(MM14&gt;=MS$29,MM14&lt;&gt;""),AND(MQ14&gt;=MS$29,MQ14&lt;&gt;""),AND(NI14&gt;=NO$29,NI14&lt;&gt;""),AND(NM14&gt;=NO$29,NM14&lt;&gt;"")),"Excellence",IF(OR(AND(AR14&gt;=AY$28,AR14&lt;&gt;"",AP14=""),AND(AT14&gt;=AY$28,AT14&lt;&gt;"",AP14=""),AND(AW14&gt;=AY$28,AW14&lt;&gt;"",AP14=""),AND(BV14&gt;=CC$28,BV14&lt;&gt;"",BT14=""),AND(BX14&gt;=CC$28,BX14&lt;&gt;"",BT14=""),AND(CA14&gt;=CC$28,CA14&lt;&gt;"",BT14=""),AND(CZ14&gt;=DG$28,CZ14&lt;&gt;"",CX14=""),AND(DB14&gt;=DG$28,DB14&lt;&gt;"",CX14=""),AND(DE14&gt;=DG$28,DE14&lt;&gt;"",CX14=""),AND(EA14&gt;=EG$28,EA14&lt;&gt;""),AND(EE14&gt;=EG$28,EE14&lt;&gt;""),AND(EW14&gt;=FC$28,EW14&lt;&gt;""),AND(FA14&gt;=FC$28,FA14&lt;&gt;""),AND(FS14&gt;=FY$28,FS14&lt;&gt;""),AND(FW14&gt;=FY$28,FW14&lt;&gt;""),AND(GO14&gt;=GU$28,GO14&lt;&gt;""),AND(GS14&gt;=GU$28,GS14&lt;&gt;""),AND(HK14&gt;=HQ$28,HK14&lt;&gt;""),AND(HO14&gt;=HQ$28,HO14&lt;&gt;""),AND(IG14&gt;=IM$28,IG14&lt;&gt;""),AND(IK14&gt;=IM$28,IK14&lt;&gt;""),AND(JC14&gt;=JI$28,JC14&lt;&gt;""),AND(JG14&gt;=JI$28,JG14&lt;&gt;""),AND(JY14&gt;=KE$28,JY14&lt;&gt;""),AND(KC14&gt;=KE$28,KC14&lt;&gt;""),AND(KU14&gt;=LA$28,KU14&lt;&gt;""),AND(KY14&gt;=LA$28,KY14&lt;&gt;""),AND(LQ14&gt;=LW$28,LQ14&lt;&gt;""),AND(LU14&gt;=LW$28,LU14&lt;&gt;""),AND(MM14&gt;=MS$28,MM14&lt;&gt;""),AND(MQ14&gt;=MS$28,MQ14&lt;&gt;""),AND(NI14&gt;=NO$28,NI14&lt;&gt;""),AND(NM14&gt;=NO$28,NM14&lt;&gt;"")),"Worlds Team",IF(OR(AND(AR14&gt;=AY$27,AR14&lt;&gt;"",AP14=""),AND(AT14&gt;=AY$27,AT14&lt;&gt;"",AP14=""),AND(AW14&gt;=AY$27,AW14&lt;&gt;"",AP14=""),AND(BV14&gt;=CC$27,BV14&lt;&gt;"",BT14=""),AND(BX14&gt;=CC$27,BX14&lt;&gt;"",BT14=""),AND(CA14&gt;=CC$27,CA14&lt;&gt;"",BT14=""),AND(CZ14&gt;=DG$27,CZ14&lt;&gt;"",CX14=""),AND(DB14&gt;=DG$27,DB14&lt;&gt;"",CX14=""),AND(DE14&gt;=DG$27,DE14&lt;&gt;"",CX14=""),AND(EA14&gt;=EG$27,EA14&lt;&gt;""),AND(EE14&gt;=EG$27,EE14&lt;&gt;""),AND(EW14&gt;=FC$27,EW14&lt;&gt;""),AND(FA14&gt;=FC$27,FA14&lt;&gt;""),AND(FS14&gt;=FY$27,FS14&lt;&gt;""),AND(FW14&gt;=FY$27,FW14&lt;&gt;""),AND(GO14&gt;=GU$27,GO14&lt;&gt;""),AND(GS14&gt;=GU$27,GS14&lt;&gt;""),AND(HK14&gt;=HQ$27,HK14&lt;&gt;""),AND(HO14&gt;=HQ$27,HO14&lt;&gt;""),AND(IG14&gt;=IM$27,IG14&lt;&gt;""),AND(IK14&gt;=IM$27,IK14&lt;&gt;""),AND(JC14&gt;=JI$27,JC14&lt;&gt;""),AND(JG14&gt;=JI$27,JG14&lt;&gt;""),AND(JY14&gt;=KE$27,JY14&lt;&gt;""),AND(KC14&gt;=KE$27,KC14&lt;&gt;""),AND(KU14&gt;=LA$27,KU14&lt;&gt;""),AND(KY14&gt;=LA$27,KY14&lt;&gt;""),AND(LQ14&gt;=LW$27,LQ14&lt;&gt;""),AND(LU14&gt;=LW$27,LU14&lt;&gt;""),AND(MM14&gt;=MS$27,MM14&lt;&gt;""),AND(MQ14&gt;=MS$27,MQ14&lt;&gt;""),AND(NI14&gt;=NO$27,NI14&lt;&gt;""),AND(NM14&gt;=NO$27,NM14&lt;&gt;"")),"National Team",""))))</f>
        <v>Merit</v>
      </c>
      <c r="H14" s="125" t="str">
        <f>IF(OR(AND(AS14&gt;=AY$34,AS14&lt;&gt;"",AP14=""),AND(AU14&gt;=AY$34,AU14&lt;&gt;"",AP14=""),AND(AX14&gt;=AY$34,AX14&lt;&gt;"",AP14=""),AND(BW14&gt;=CC$34,BW14&lt;&gt;"",BT14=""),AND(BY14&gt;=CC$34,BY14&lt;&gt;"",BT14=""),AND(CB14&gt;=CC$34,CB14&lt;&gt;"",BT14=""),AND(DA14&gt;=DG$34,DA14&lt;&gt;"",CX14=""),AND(DC14&gt;=DG$34,DC14&lt;&gt;"",CX14=""),AND(DF14&gt;=DG$34,DF14&lt;&gt;"",CX14=""),AND(EC14&gt;=EG$34,EC14&lt;&gt;""),AND(EF14&gt;=EG$34,EF14&lt;&gt;""),AND(EY14&gt;=FC$34,EY14&lt;&gt;""),AND(FB14&gt;=FC$34,FB14&lt;&gt;""),AND(FU14&gt;=FY$34,FU14&lt;&gt;""),AND(FX14&gt;=FY$34,FX14&lt;&gt;""),AND(GQ14&gt;=GU$34,GQ14&lt;&gt;""),AND(GT14&gt;=GU$34,GT14&lt;&gt;""),AND(HM14&gt;=HQ$34,HM14&lt;&gt;""),AND(HP14&gt;=HQ$34,HP14&lt;&gt;""),AND(II14&gt;=IM$34,II14&lt;&gt;""),AND(IL14&gt;=IM$34,IL14&lt;&gt;""),AND(JE14&gt;=JI$34,JE14&lt;&gt;""),AND(JH14&gt;=JI$34,JH14&lt;&gt;""),AND(KA14&gt;=KE$34,KA14&lt;&gt;""),AND(KD14&gt;=KE$34,KD14&lt;&gt;""),AND(KW14&gt;=LA$34,KW14&lt;&gt;""),AND(KZ14&gt;=LA$34,KZ14&lt;&gt;""),AND(LS14&gt;=LW$34,LS14&lt;&gt;""),AND(LV14&gt;=LW$34,LV14&lt;&gt;""),AND(MO14&gt;=MS$34,MO14&lt;&gt;""),AND(MR14&gt;=MS$34,MR14&lt;&gt;""),AND(NK14&gt;=NO$34,NK14&lt;&gt;""),AND(NN14&gt;=NO$34,NN14&lt;&gt;"")),"Merit",IF(OR(AND(AS14&gt;=AY$33,AS14&lt;&gt;"",AP14=""),AND(AU14&gt;=AY$33,AU14&lt;&gt;"",AP14=""),AND(AX14&gt;=AY$33,AX14&lt;&gt;"",AP14=""),AND(BW14&gt;=CC$33,BW14&lt;&gt;"",BT14=""),AND(BY14&gt;=CC$33,BY14&lt;&gt;"",BT14=""),AND(CB14&gt;=CC$33,CB14&lt;&gt;"",BT14=""),AND(DA14&gt;=DG$33,DA14&lt;&gt;"",CX14=""),AND(DC14&gt;=DG$33,DC14&lt;&gt;"",CX14=""),AND(DF14&gt;=DG$33,DF14&lt;&gt;"",CX14=""),AND(EC14&gt;=EG$33,EC14&lt;&gt;""),AND(EF14&gt;=EG$33,EF14&lt;&gt;""),AND(EY14&gt;=FC$33,EY14&lt;&gt;""),AND(FB14&gt;=FC$33,FB14&lt;&gt;""),AND(FU14&gt;=FY$33,FU14&lt;&gt;""),AND(FX14&gt;=FY$33,FX14&lt;&gt;""),AND(GQ14&gt;=GU$33,GQ14&lt;&gt;""),AND(GT14&gt;=GU$33,GT14&lt;&gt;""),AND(HM14&gt;=HQ$33,HM14&lt;&gt;""),AND(HP14&gt;=HQ$33,HP14&lt;&gt;""),AND(II14&gt;=IM$33,II14&lt;&gt;""),AND(IL14&gt;=IM$33,IL14&lt;&gt;""),AND(JE14&gt;=JI$33,JE14&lt;&gt;""),AND(JH14&gt;=JI$33,JH14&lt;&gt;""),AND(KA14&gt;=KE$33,KA14&lt;&gt;""),AND(KD14&gt;=KE$33,KD14&lt;&gt;""),AND(KW14&gt;=LA$33,KW14&lt;&gt;""),AND(KZ14&gt;=LA$33,KZ14&lt;&gt;""),AND(LS14&gt;=LW$33,LS14&lt;&gt;""),AND(LV14&gt;=LW$33,LV14&lt;&gt;""),AND(MO14&gt;=MS$33,MO14&lt;&gt;""),AND(MR14&gt;=MS$33,MR14&lt;&gt;""),AND(NK14&gt;=NO$33,NK14&lt;&gt;""),AND(NN14&gt;=NO$33,NN14&lt;&gt;"")),"Excellence",IF(OR(AND(AV14&gt;=AY$32,AV14&lt;&gt;"",AP14=""),AND(BZ14&gt;=CC$32,BZ14&lt;&gt;"",BT14=""),AND(DD14&gt;=DG$32,DD14&lt;&gt;"",CX14=""),AND(ED14&gt;=EG$32,ED14&lt;&gt;""),AND(EZ14&gt;=FC$32,EZ14&lt;&gt;""),AND(FV14&gt;=FY$32,FV14&lt;&gt;""),AND(GR14&gt;=GU$32,GR14&lt;&gt;""),AND(HN14&gt;=HQ$32,HN14&lt;&gt;""),AND(IJ14&gt;=IM$32,IJ14&lt;&gt;""),AND(JF14&gt;=JI$32,JF14&lt;&gt;""),AND(KB14&gt;=KE$32,KB14&lt;&gt;""),AND(KX14&gt;=LA$32,KX14&lt;&gt;""),AND(LT14&gt;=LW$32,LT14&lt;&gt;""),AND(MP14&gt;=MS$32,MP14&lt;&gt;""),AND(NL14&gt;=NO$32,NL14&lt;&gt;"")),"Worlds Team",IF(OR(AND(AV14&gt;=AY$31,AV14&lt;&gt;"",AP14=""),AND(BZ14&gt;=CC$31,BZ14&lt;&gt;"",BT14=""),AND(DD14&gt;=DG$31,DD14&lt;&gt;"",CX14=""),AND(ED14&gt;=EG$31,ED14&lt;&gt;""),AND(EZ14&gt;=FC$31,EZ14&lt;&gt;""),AND(FV14&gt;=FY$31,FV14&lt;&gt;""),AND(GR14&gt;=GU$31,GR14&lt;&gt;""),AND(HN14&gt;=HQ$31,HN14&lt;&gt;""),AND(IJ14&gt;=IM$31,IJ14&lt;&gt;""),AND(JF14&gt;=JI$31,JF14&lt;&gt;""),AND(KB14&gt;=KE$31,KB14&lt;&gt;""),AND(KX14&gt;=LA$31,KX14&lt;&gt;""),AND(LT14&gt;=LW$31,LT14&lt;&gt;""),AND(MP14&gt;=MS$31,MP14&lt;&gt;""),AND(NL14&gt;=NO$31,NL14&lt;&gt;"")),"National Team",""))))</f>
        <v>Worlds Team</v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>Worlds Team</v>
      </c>
      <c r="J14" s="3" t="str">
        <f>IF(AND(OR(AND(AV14&gt;=AY$32,AV14&lt;&gt;"",AP14=""),AND(BZ14&gt;=CC$32,BZ14&lt;&gt;"",BT14=""),AND(DD14&gt;=DG$32,DD14&lt;&gt;"",CX14=""),AND(ED14&gt;=EG$32,ED14&lt;&gt;""),AND(EZ14&gt;=FC$32,EZ14&lt;&gt;""),AND(FV14&gt;=FY$32,FV14&lt;&gt;""),AND(GR14&gt;=GU$32,GR14&lt;&gt;""),AND(HN14&gt;=HQ$32,HN14&lt;&gt;""),AND(IJ14&gt;=IM$32,IJ14&lt;&gt;""),AND(JF14&gt;=JI$32,JF14&lt;&gt;""),AND(KB14&gt;=KE$32,KB14&lt;&gt;""),AND(KX14&gt;=LA$32,KX14&lt;&gt;""),AND(LT14&gt;=LW$32,LT14&lt;&gt;""),AND(MP14&gt;=MS$32,MP14&lt;&gt;""),AND(NL14&gt;=NO$32,NL14&lt;&gt;"")),OR(G14="Worlds Team",G14="Excellence",G14="Merit")),"P","")</f>
        <v>P</v>
      </c>
      <c r="K14" s="14">
        <f>IF(MAX(AV14,BZ14,DD14)&gt;0,MAX(AV14,BZ14,DD14),0)</f>
        <v>107.22499999999999</v>
      </c>
      <c r="L14" s="14" t="str">
        <f>IF(K14=0,"",IF(K14=DD14,$CD$1,IF(K14=BZ14,$AZ$1,IF(K14=AV14,$V$1,""))))</f>
        <v>2021 1st Virtual Technical Trial</v>
      </c>
      <c r="M14" s="14">
        <f>IF($K14=$AV14,MAX(BU14,CY14),IF($K14=$BZ14,MAX(AQ14,CY14),IF($K14=$DD14,MAX(AQ14,BU14),MAX(AQ14,BU14,CY14))))</f>
        <v>48.730000000000004</v>
      </c>
      <c r="N14" s="14" t="str">
        <f>IF(M14=0,"",IF(AND(M14=CY14,$L14&lt;&gt;$CD$1),$CD$1,IF(AND(M14=BU14,$L14&lt;&gt;$AZ$1),$AZ$1,IF(AND(M14=AQ14,$L14&lt;&gt;$V$1),$V$1,""))))</f>
        <v>2019 Nationals</v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53.959999999999994</v>
      </c>
      <c r="P14" s="14" t="str">
        <f>IF(O14=0,"",IF(OR(O14=DC14,O14=DA14),$CD$1,IF(OR(O14=BY14,O14=BW14),$AZ$1,IF(OR(O14=AU14,O14=AS14),$V$1,""))))</f>
        <v>2021 1st Virtual Technical Trial</v>
      </c>
      <c r="Q14" s="14">
        <f>MAX(AX14,CB14,DF14)</f>
        <v>23.17</v>
      </c>
      <c r="R14" s="14" t="str">
        <f>IF(Q14=0,"",IF(Q14=DF14,$CD$1,IF(Q14=CB14,$AZ$1,IF(Q14=AX14,$V$1,""))))</f>
        <v>2019 Nationals</v>
      </c>
      <c r="S14" s="14">
        <f>IF(MAX(DH14,DI14,DJ14,DK14)&gt;0,MAX(DH14,DI14,DJ14,DK14),"")</f>
        <v>1.6850000000000094</v>
      </c>
      <c r="T14" s="25" t="str">
        <f>IF(S14="","",IF(S14=DH14,"(Vol 1)",IF(S14=DI14,"(Vol 2)",IF(S14=DJ14,"(Prelim)",IF(S14=DK14,"(Final)")))))</f>
        <v>(Vol 2)</v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>2019 WAGC (Dec 7)</v>
      </c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80"/>
      <c r="AQ14" s="11" t="str">
        <f>IF(SUM(V14:Y14)-Z14&gt;0,SUM(V14:Y14)-Z14,"")</f>
        <v/>
      </c>
      <c r="AR14" s="11" t="str">
        <f>IF(AC14&gt;0,AC14,"")</f>
        <v/>
      </c>
      <c r="AS14" s="11" t="str">
        <f>IF(SUM(AA14:AD14)-AE14&gt;0,SUM(AA14:AD14)-AE14,"")</f>
        <v/>
      </c>
      <c r="AT14" s="11" t="str">
        <f>IF(AH14&gt;0,AH14,"")</f>
        <v/>
      </c>
      <c r="AU14" s="11" t="str">
        <f>IF(SUM(AF14:AI14)-AJ14&gt;0,SUM(AF14:AI14)-AJ14,"")</f>
        <v/>
      </c>
      <c r="AV14" s="11" t="str">
        <f>IF(OR(AQ14&lt;&gt;"",AS14&lt;&gt;"",AU14&lt;&gt;""),AQ14+MAX(AS14,AU14),"")</f>
        <v/>
      </c>
      <c r="AW14" s="11" t="str">
        <f>IF(AM14&gt;0,AM14,"")</f>
        <v/>
      </c>
      <c r="AX14" s="11" t="str">
        <f>IF(SUM(AK14:AN14)-AO14&gt;0,SUM(AK14:AN14)-AO14,"")</f>
        <v/>
      </c>
      <c r="AY14" s="11" t="str">
        <f>IF(SUM(AV14,AX14)&gt;0,SUM(AV14,AX14),"")</f>
        <v/>
      </c>
      <c r="AZ14" s="75">
        <v>18.600000000000001</v>
      </c>
      <c r="BA14" s="75">
        <v>9.6</v>
      </c>
      <c r="BB14" s="75">
        <v>3.2</v>
      </c>
      <c r="BC14" s="75">
        <v>17.329999999999998</v>
      </c>
      <c r="BD14" s="75">
        <v>0</v>
      </c>
      <c r="BE14" s="75">
        <v>9.6999999999999993</v>
      </c>
      <c r="BF14" s="75">
        <v>5.3</v>
      </c>
      <c r="BG14" s="75">
        <v>9.4</v>
      </c>
      <c r="BH14" s="75">
        <v>9.83</v>
      </c>
      <c r="BI14" s="75">
        <v>0</v>
      </c>
      <c r="BJ14" s="75"/>
      <c r="BK14" s="75"/>
      <c r="BL14" s="75"/>
      <c r="BM14" s="75"/>
      <c r="BN14" s="75"/>
      <c r="BO14" s="75">
        <v>6.32</v>
      </c>
      <c r="BP14" s="75">
        <v>3.5</v>
      </c>
      <c r="BQ14" s="75">
        <v>6.7</v>
      </c>
      <c r="BR14" s="75">
        <v>6.65</v>
      </c>
      <c r="BS14" s="75">
        <v>0</v>
      </c>
      <c r="BT14" s="81"/>
      <c r="BU14" s="14">
        <f>IF(SUM(AZ14:BC14)-BD14&gt;0,SUM(AZ14:BC14)-BD14,"")</f>
        <v>48.730000000000004</v>
      </c>
      <c r="BV14" s="14">
        <f>IF(BG14&gt;0,BG14,"")</f>
        <v>9.4</v>
      </c>
      <c r="BW14" s="14">
        <f>IF(SUM(BE14:BH14)-BI14&gt;0,SUM(BE14:BH14)-BI14,"")</f>
        <v>34.229999999999997</v>
      </c>
      <c r="BX14" s="14" t="str">
        <f>IF(BL14&gt;0,BL14,"")</f>
        <v/>
      </c>
      <c r="BY14" s="14" t="str">
        <f>IF(SUM(BJ14:BM14)-BN14&gt;0,SUM(BJ14:BM14)-BN14,"")</f>
        <v/>
      </c>
      <c r="BZ14" s="14">
        <f>IF(BU14="",IF(MAX(BW14,BY14)&gt;0,MAX(BW14,BY14),""),MAX(BW14,BY14)+BU14)</f>
        <v>82.960000000000008</v>
      </c>
      <c r="CA14" s="14">
        <f>IF(BQ14&gt;0,BQ14,"")</f>
        <v>6.7</v>
      </c>
      <c r="CB14" s="14">
        <f>IF(SUM(BO14:BR14)-BS14&gt;0,SUM(BO14:BR14)-BS14,"")</f>
        <v>23.17</v>
      </c>
      <c r="CC14" s="14">
        <f>IF(SUM(BZ14,CB14)&gt;0,SUM(BZ14,CB14),"")</f>
        <v>106.13000000000001</v>
      </c>
      <c r="CD14" s="69">
        <v>18</v>
      </c>
      <c r="CE14" s="69">
        <v>9.75</v>
      </c>
      <c r="CF14" s="69">
        <v>4.8</v>
      </c>
      <c r="CG14" s="69">
        <v>17.895</v>
      </c>
      <c r="CH14" s="69">
        <v>0</v>
      </c>
      <c r="CI14" s="69">
        <v>14.8</v>
      </c>
      <c r="CJ14" s="69">
        <v>8.75</v>
      </c>
      <c r="CK14" s="69">
        <v>13.5</v>
      </c>
      <c r="CL14" s="69">
        <v>16.91</v>
      </c>
      <c r="CM14" s="69">
        <v>0</v>
      </c>
      <c r="CN14" s="69">
        <v>16.7</v>
      </c>
      <c r="CO14" s="69">
        <v>8.9</v>
      </c>
      <c r="CP14" s="69">
        <v>13.9</v>
      </c>
      <c r="CQ14" s="69">
        <v>17.28</v>
      </c>
      <c r="CR14" s="69">
        <v>0</v>
      </c>
      <c r="CS14" s="69">
        <v>1.7</v>
      </c>
      <c r="CT14" s="69">
        <v>0.9</v>
      </c>
      <c r="CU14" s="69">
        <v>1.7</v>
      </c>
      <c r="CV14" s="69">
        <v>1.8149999999999999</v>
      </c>
      <c r="CW14" s="69">
        <v>0</v>
      </c>
      <c r="CX14" s="80"/>
      <c r="CY14" s="11">
        <f>IF(SUM(CD14:CG14)-CH14&gt;0,SUM(CD14:CG14)-CH14,"")</f>
        <v>50.444999999999993</v>
      </c>
      <c r="CZ14" s="11">
        <f>IF(CK14&gt;0,CK14,"")</f>
        <v>13.5</v>
      </c>
      <c r="DA14" s="11">
        <f>IF(SUM(CI14:CL14)-CM14&gt;0,SUM(CI14:CL14)-CM14,"")</f>
        <v>53.959999999999994</v>
      </c>
      <c r="DB14" s="11">
        <f>IF(CP14&gt;0,CP14,"")</f>
        <v>13.9</v>
      </c>
      <c r="DC14" s="11">
        <f>IF(SUM(CN14:CQ14)-CR14&gt;0,SUM(CN14:CQ14)-CR14,"")</f>
        <v>56.78</v>
      </c>
      <c r="DD14" s="11">
        <f>IF(CY14="",IF(MAX(DA14,DC14)&gt;0,MAX(DA14,DC14),""),MAX(DA14,DC14)+CY14)</f>
        <v>107.22499999999999</v>
      </c>
      <c r="DE14" s="11">
        <f>IF(CU14&gt;0,CU14,"")</f>
        <v>1.7</v>
      </c>
      <c r="DF14" s="11">
        <f>IF(SUM(CS14:CV14)-CW14&gt;0,SUM(CS14:CV14)-CW14,"")</f>
        <v>6.1150000000000002</v>
      </c>
      <c r="DG14" s="11">
        <f>IF(SUM(DD14,DF14)&gt;0,SUM(DD14,DF14),"")</f>
        <v>113.33999999999999</v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>
        <f>IF(MAX(EC14,EY14,FU14,GQ14,HM14,II14,JE14,KA14,KW14,LS14,MO14,NK14)-IF(O14="",0,O14)&gt;0.001,MAX(EC14,EY14,FU14,GQ14,HM14,II14,JE14,KA14,KW14,LS14,MO14,NK14)-IF(O14="",0,O14),"")</f>
        <v>1.6850000000000094</v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>
        <v>17.3</v>
      </c>
      <c r="FE14" s="37">
        <v>9.1</v>
      </c>
      <c r="FF14" s="37">
        <v>2.5</v>
      </c>
      <c r="FG14" s="37">
        <v>17.14</v>
      </c>
      <c r="FH14" s="37">
        <v>0</v>
      </c>
      <c r="FI14" s="37">
        <v>14.3</v>
      </c>
      <c r="FJ14" s="37">
        <v>9.5</v>
      </c>
      <c r="FK14" s="37">
        <v>15.4</v>
      </c>
      <c r="FL14" s="37">
        <v>16.445</v>
      </c>
      <c r="FM14" s="37">
        <v>0</v>
      </c>
      <c r="FN14" s="37"/>
      <c r="FO14" s="37"/>
      <c r="FP14" s="37"/>
      <c r="FQ14" s="37"/>
      <c r="FR14" s="37"/>
      <c r="FS14" s="11">
        <f>IF(FK14&gt;0,FK14,"")</f>
        <v>15.4</v>
      </c>
      <c r="FT14" s="11">
        <f>IF(SUM(FD14:FG14)-FH14&gt;0,SUM(FD14:FG14)-FH14,"")</f>
        <v>46.04</v>
      </c>
      <c r="FU14" s="11">
        <f>IF(SUM(FI14:FL14)-FM14&gt;0,SUM(FI14:FL14)-FM14,"")</f>
        <v>55.645000000000003</v>
      </c>
      <c r="FV14" s="11">
        <f>IF(SUM(FT14:FU14)&gt;0,SUM(FT14:FU14),"")</f>
        <v>101.685</v>
      </c>
      <c r="FW14" s="11" t="str">
        <f>IF(FP14&gt;0,FP14,"")</f>
        <v/>
      </c>
      <c r="FX14" s="11" t="str">
        <f>IF(SUM(FN14:FQ14)-FR14&gt;0,SUM(FN14:FQ14)-FR14,"")</f>
        <v/>
      </c>
      <c r="FY14" s="11">
        <f>IF(SUM(FV14,FX14)&gt;0,SUM(FV14,FX14),"")</f>
        <v>101.685</v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18.3</v>
      </c>
      <c r="NQ14" s="69">
        <f>IF($CX14="P",CE14,(CE14+BA14)/2)</f>
        <v>9.6750000000000007</v>
      </c>
      <c r="NR14" s="69">
        <f>IF($CX14="P",CF14,(CF14+BB14)/2)</f>
        <v>4</v>
      </c>
      <c r="NS14" s="69">
        <f>IF($CX14="P",CG14,(CG14+BC14)/2)</f>
        <v>17.612499999999997</v>
      </c>
      <c r="NT14" s="69">
        <f>IF($CX14="P",CH14,(CH14+BD14)/2)</f>
        <v>0</v>
      </c>
      <c r="NU14" s="69">
        <f>IF($CX14="P",CI14,(CI14+BE14)/2)</f>
        <v>12.25</v>
      </c>
      <c r="NV14" s="69">
        <f>IF($CX14="P",CJ14,(CJ14+BF14)/2)</f>
        <v>7.0250000000000004</v>
      </c>
      <c r="NW14" s="69">
        <f>IF($CX14="P",CK14,(CK14+BG14)/2)</f>
        <v>11.45</v>
      </c>
      <c r="NX14" s="69">
        <f>IF($CX14="P",CL14,(CL14+BH14)/2)</f>
        <v>13.370000000000001</v>
      </c>
      <c r="NY14" s="69">
        <f>IF($CX14="P",CM14,(CM14+BI14)/2)</f>
        <v>0</v>
      </c>
      <c r="NZ14" s="69">
        <f>IF($CX14="P",CN14,(CN14+BJ14)/2)</f>
        <v>8.35</v>
      </c>
      <c r="OA14" s="69">
        <f>IF($CX14="P",CO14,(CO14+BK14)/2)</f>
        <v>4.45</v>
      </c>
      <c r="OB14" s="69">
        <f>IF($CX14="P",CP14,(CP14+BL14)/2)</f>
        <v>6.95</v>
      </c>
      <c r="OC14" s="69">
        <f>IF($CX14="P",CQ14,(CQ14+BM14)/2)</f>
        <v>8.64</v>
      </c>
      <c r="OD14" s="69">
        <f>IF($CX14="P",CR14,(CR14+BN14)/2)</f>
        <v>0</v>
      </c>
      <c r="OE14" s="69">
        <f>IF($CX14="P",CS14,(CS14+BO14)/2)</f>
        <v>4.01</v>
      </c>
      <c r="OF14" s="69">
        <f>IF($CX14="P",CT14,(CT14+BP14)/2)</f>
        <v>2.2000000000000002</v>
      </c>
      <c r="OG14" s="69">
        <f>IF($CX14="P",CU14,(CU14+BQ14)/2)</f>
        <v>4.2</v>
      </c>
      <c r="OH14" s="69">
        <f>IF($CX14="P",CV14,(CV14+BR14)/2)</f>
        <v>4.2324999999999999</v>
      </c>
      <c r="OI14" s="69">
        <f>IF($CX14="P",CW14,(CW14+BS14)/2)</f>
        <v>0</v>
      </c>
      <c r="OJ14" s="80" t="s">
        <v>91</v>
      </c>
      <c r="OK14" s="11">
        <f>IF(SUM(NP14:NS14)-NT14&gt;0,SUM(NP14:NS14)-NT14,"")</f>
        <v>49.587499999999999</v>
      </c>
      <c r="OL14" s="11">
        <f>IF(NW14&gt;0,NW14,"")</f>
        <v>11.45</v>
      </c>
      <c r="OM14" s="11">
        <f>IF(SUM(NU14:NX14)-NY14&gt;0,SUM(NU14:NX14)-NY14,"")</f>
        <v>44.094999999999999</v>
      </c>
      <c r="ON14" s="11">
        <f>IF(OB14&gt;0,OB14,"")</f>
        <v>6.95</v>
      </c>
      <c r="OO14" s="11">
        <f>IF(SUM(NZ14:OC14)-OD14&gt;0,SUM(NZ14:OC14)-OD14,"")</f>
        <v>28.39</v>
      </c>
      <c r="OP14" s="11">
        <f>IF(OR(OK14&lt;&gt;"",OM14&lt;&gt;"",OO14&lt;&gt;""),OK14+MAX(OM14,OO14),"")</f>
        <v>93.682500000000005</v>
      </c>
      <c r="OQ14" s="11">
        <f>IF(OG14&gt;0,OG14,"")</f>
        <v>4.2</v>
      </c>
      <c r="OR14" s="11">
        <f t="shared" si="0"/>
        <v>14.6425</v>
      </c>
      <c r="OS14" s="11">
        <f t="shared" si="1"/>
        <v>108.325</v>
      </c>
    </row>
    <row r="15" spans="1:409" x14ac:dyDescent="0.2">
      <c r="A15" s="5" cm="1">
        <f t="array" ref="A15">IF(AND(G15&lt;&gt;"",H15&lt;&gt;""),SUMPRODUCT((G$4:G$25&lt;&gt;"")*(H$4:H$25&lt;&gt;"")*(E$4:E$25&gt;E15))+1,IF(H15&lt;&gt;"",SUMPRODUCT((I$4:I$25="No DD")*(E$4:E$25&gt;E15))+1+SUMPRODUCT((G$4:G$25&lt;&gt;"")*(H$4:H$25&lt;&gt;"")),""))</f>
        <v>9</v>
      </c>
      <c r="B15" s="6" t="s">
        <v>83</v>
      </c>
      <c r="C15" s="7" t="s">
        <v>10</v>
      </c>
      <c r="D15" s="27">
        <v>1999</v>
      </c>
      <c r="E15" s="15">
        <f>SUM(K15:S15)</f>
        <v>219.94</v>
      </c>
      <c r="F15" s="3" t="str">
        <f>IF(G15&lt;&gt;"","P","")</f>
        <v>P</v>
      </c>
      <c r="G15" s="125" t="str">
        <f>IF(OR(AND(AR15&gt;=AY$30,AR15&lt;&gt;"",AP15=""),AND(AT15&gt;=AY$30,AT15&lt;&gt;"",AP15=""),AND(AW15&gt;=AY$30,AW15&lt;&gt;"",AP15=""),AND(BV15&gt;=CC$30,BV15&lt;&gt;"",BT15=""),AND(BX15&gt;=CC$30,BX15&lt;&gt;"",BT15=""),AND(CA15&gt;=CC$30,CA15&lt;&gt;"",BT15=""),AND(CZ15&gt;=DG$30,CZ15&lt;&gt;"",CX15=""),AND(DB15&gt;=DG$30,DB15&lt;&gt;"",CX15=""),AND(DE15&gt;=DG$30,DE15&lt;&gt;"",CX15=""),AND(EA15&gt;=EG$30,EA15&lt;&gt;""),AND(EE15&gt;=EG$30,EE15&lt;&gt;""),AND(EW15&gt;=FC$30,EW15&lt;&gt;""),AND(FA15&gt;=FC$30,FA15&lt;&gt;""),AND(FS15&gt;=FY$30,FS15&lt;&gt;""),AND(FW15&gt;=FY$30,FW15&lt;&gt;""),AND(GO15&gt;=GU$30,GO15&lt;&gt;""),AND(GS15&gt;=GU$30,GS15&lt;&gt;""),AND(HK15&gt;=HQ$30,HK15&lt;&gt;""),AND(HO15&gt;=HQ$30,HO15&lt;&gt;""),AND(IG15&gt;=IM$30,IG15&lt;&gt;""),AND(IK15&gt;=IM$30,IK15&lt;&gt;""),AND(JC15&gt;=JI$30,JC15&lt;&gt;""),AND(JG15&gt;=JI$30,JG15&lt;&gt;""),AND(JY15&gt;=KE$30,JY15&lt;&gt;""),AND(KC15&gt;=KE$30,KC15&lt;&gt;""),AND(KU15&gt;=LA$30,KU15&lt;&gt;""),AND(KY15&gt;=LA$30,KY15&lt;&gt;""),AND(LQ15&gt;=LW$30,LQ15&lt;&gt;""),AND(LU15&gt;=LW$30,LU15&lt;&gt;""),AND(MM15&gt;=MS$30,MM15&lt;&gt;""),AND(MQ15&gt;=MS$30,MQ15&lt;&gt;""),AND(NI15&gt;=NO$30,NI15&lt;&gt;""),AND(NM15&gt;=NO$30,NM15&lt;&gt;"")),"Merit",IF(OR(AND(AR15&gt;=AY$29,AR15&lt;&gt;"",AP15=""),AND(AT15&gt;=AY$29,AT15&lt;&gt;"",AP15=""),AND(AW15&gt;=AY$29,AW15&lt;&gt;"",AP15=""),AND(BV15&gt;=CC$29,BV15&lt;&gt;"",BT15=""),AND(BX15&gt;=CC$29,BX15&lt;&gt;"",BT15=""),AND(CA15&gt;=CC$29,CA15&lt;&gt;"",BT15=""),AND(CZ15&gt;=DG$29,CZ15&lt;&gt;"",CX15=""),AND(DB15&gt;=DG$29,DB15&lt;&gt;"",CX15=""),AND(DE15&gt;=DG$29,DE15&lt;&gt;"",CX15=""),AND(EA15&gt;=EG$29,EA15&lt;&gt;""),AND(EE15&gt;=EG$29,EE15&lt;&gt;""),AND(EW15&gt;=FC$29,EW15&lt;&gt;""),AND(FA15&gt;=FC$29,FA15&lt;&gt;""),AND(FS15&gt;=FY$29,FS15&lt;&gt;""),AND(FW15&gt;=FY$29,FW15&lt;&gt;""),AND(GO15&gt;=GU$29,GO15&lt;&gt;""),AND(GS15&gt;=GU$29,GS15&lt;&gt;""),AND(HK15&gt;=HQ$29,HK15&lt;&gt;""),AND(HO15&gt;=HQ$29,HO15&lt;&gt;""),AND(IG15&gt;=IM$29,IG15&lt;&gt;""),AND(IK15&gt;=IM$29,IK15&lt;&gt;""),AND(JC15&gt;=JI$29,JC15&lt;&gt;""),AND(JG15&gt;=JI$29,JG15&lt;&gt;""),AND(JY15&gt;=KE$29,JY15&lt;&gt;""),AND(KC15&gt;=KE$29,KC15&lt;&gt;""),AND(KU15&gt;=LA$29,KU15&lt;&gt;""),AND(KY15&gt;=LA$29,KY15&lt;&gt;""),AND(LQ15&gt;=LW$29,LQ15&lt;&gt;""),AND(LU15&gt;=LW$29,LU15&lt;&gt;""),AND(MM15&gt;=MS$29,MM15&lt;&gt;""),AND(MQ15&gt;=MS$29,MQ15&lt;&gt;""),AND(NI15&gt;=NO$29,NI15&lt;&gt;""),AND(NM15&gt;=NO$29,NM15&lt;&gt;"")),"Excellence",IF(OR(AND(AR15&gt;=AY$28,AR15&lt;&gt;"",AP15=""),AND(AT15&gt;=AY$28,AT15&lt;&gt;"",AP15=""),AND(AW15&gt;=AY$28,AW15&lt;&gt;"",AP15=""),AND(BV15&gt;=CC$28,BV15&lt;&gt;"",BT15=""),AND(BX15&gt;=CC$28,BX15&lt;&gt;"",BT15=""),AND(CA15&gt;=CC$28,CA15&lt;&gt;"",BT15=""),AND(CZ15&gt;=DG$28,CZ15&lt;&gt;"",CX15=""),AND(DB15&gt;=DG$28,DB15&lt;&gt;"",CX15=""),AND(DE15&gt;=DG$28,DE15&lt;&gt;"",CX15=""),AND(EA15&gt;=EG$28,EA15&lt;&gt;""),AND(EE15&gt;=EG$28,EE15&lt;&gt;""),AND(EW15&gt;=FC$28,EW15&lt;&gt;""),AND(FA15&gt;=FC$28,FA15&lt;&gt;""),AND(FS15&gt;=FY$28,FS15&lt;&gt;""),AND(FW15&gt;=FY$28,FW15&lt;&gt;""),AND(GO15&gt;=GU$28,GO15&lt;&gt;""),AND(GS15&gt;=GU$28,GS15&lt;&gt;""),AND(HK15&gt;=HQ$28,HK15&lt;&gt;""),AND(HO15&gt;=HQ$28,HO15&lt;&gt;""),AND(IG15&gt;=IM$28,IG15&lt;&gt;""),AND(IK15&gt;=IM$28,IK15&lt;&gt;""),AND(JC15&gt;=JI$28,JC15&lt;&gt;""),AND(JG15&gt;=JI$28,JG15&lt;&gt;""),AND(JY15&gt;=KE$28,JY15&lt;&gt;""),AND(KC15&gt;=KE$28,KC15&lt;&gt;""),AND(KU15&gt;=LA$28,KU15&lt;&gt;""),AND(KY15&gt;=LA$28,KY15&lt;&gt;""),AND(LQ15&gt;=LW$28,LQ15&lt;&gt;""),AND(LU15&gt;=LW$28,LU15&lt;&gt;""),AND(MM15&gt;=MS$28,MM15&lt;&gt;""),AND(MQ15&gt;=MS$28,MQ15&lt;&gt;""),AND(NI15&gt;=NO$28,NI15&lt;&gt;""),AND(NM15&gt;=NO$28,NM15&lt;&gt;"")),"Worlds Team",IF(OR(AND(AR15&gt;=AY$27,AR15&lt;&gt;"",AP15=""),AND(AT15&gt;=AY$27,AT15&lt;&gt;"",AP15=""),AND(AW15&gt;=AY$27,AW15&lt;&gt;"",AP15=""),AND(BV15&gt;=CC$27,BV15&lt;&gt;"",BT15=""),AND(BX15&gt;=CC$27,BX15&lt;&gt;"",BT15=""),AND(CA15&gt;=CC$27,CA15&lt;&gt;"",BT15=""),AND(CZ15&gt;=DG$27,CZ15&lt;&gt;"",CX15=""),AND(DB15&gt;=DG$27,DB15&lt;&gt;"",CX15=""),AND(DE15&gt;=DG$27,DE15&lt;&gt;"",CX15=""),AND(EA15&gt;=EG$27,EA15&lt;&gt;""),AND(EE15&gt;=EG$27,EE15&lt;&gt;""),AND(EW15&gt;=FC$27,EW15&lt;&gt;""),AND(FA15&gt;=FC$27,FA15&lt;&gt;""),AND(FS15&gt;=FY$27,FS15&lt;&gt;""),AND(FW15&gt;=FY$27,FW15&lt;&gt;""),AND(GO15&gt;=GU$27,GO15&lt;&gt;""),AND(GS15&gt;=GU$27,GS15&lt;&gt;""),AND(HK15&gt;=HQ$27,HK15&lt;&gt;""),AND(HO15&gt;=HQ$27,HO15&lt;&gt;""),AND(IG15&gt;=IM$27,IG15&lt;&gt;""),AND(IK15&gt;=IM$27,IK15&lt;&gt;""),AND(JC15&gt;=JI$27,JC15&lt;&gt;""),AND(JG15&gt;=JI$27,JG15&lt;&gt;""),AND(JY15&gt;=KE$27,JY15&lt;&gt;""),AND(KC15&gt;=KE$27,KC15&lt;&gt;""),AND(KU15&gt;=LA$27,KU15&lt;&gt;""),AND(KY15&gt;=LA$27,KY15&lt;&gt;""),AND(LQ15&gt;=LW$27,LQ15&lt;&gt;""),AND(LU15&gt;=LW$27,LU15&lt;&gt;""),AND(MM15&gt;=MS$27,MM15&lt;&gt;""),AND(MQ15&gt;=MS$27,MQ15&lt;&gt;""),AND(NI15&gt;=NO$27,NI15&lt;&gt;""),AND(NM15&gt;=NO$27,NM15&lt;&gt;"")),"National Team",""))))</f>
        <v>National Team</v>
      </c>
      <c r="H15" s="125" t="str">
        <f>IF(OR(AND(AS15&gt;=AY$34,AS15&lt;&gt;"",AP15=""),AND(AU15&gt;=AY$34,AU15&lt;&gt;"",AP15=""),AND(AX15&gt;=AY$34,AX15&lt;&gt;"",AP15=""),AND(BW15&gt;=CC$34,BW15&lt;&gt;"",BT15=""),AND(BY15&gt;=CC$34,BY15&lt;&gt;"",BT15=""),AND(CB15&gt;=CC$34,CB15&lt;&gt;"",BT15=""),AND(DA15&gt;=DG$34,DA15&lt;&gt;"",CX15=""),AND(DC15&gt;=DG$34,DC15&lt;&gt;"",CX15=""),AND(DF15&gt;=DG$34,DF15&lt;&gt;"",CX15=""),AND(EC15&gt;=EG$34,EC15&lt;&gt;""),AND(EF15&gt;=EG$34,EF15&lt;&gt;""),AND(EY15&gt;=FC$34,EY15&lt;&gt;""),AND(FB15&gt;=FC$34,FB15&lt;&gt;""),AND(FU15&gt;=FY$34,FU15&lt;&gt;""),AND(FX15&gt;=FY$34,FX15&lt;&gt;""),AND(GQ15&gt;=GU$34,GQ15&lt;&gt;""),AND(GT15&gt;=GU$34,GT15&lt;&gt;""),AND(HM15&gt;=HQ$34,HM15&lt;&gt;""),AND(HP15&gt;=HQ$34,HP15&lt;&gt;""),AND(II15&gt;=IM$34,II15&lt;&gt;""),AND(IL15&gt;=IM$34,IL15&lt;&gt;""),AND(JE15&gt;=JI$34,JE15&lt;&gt;""),AND(JH15&gt;=JI$34,JH15&lt;&gt;""),AND(KA15&gt;=KE$34,KA15&lt;&gt;""),AND(KD15&gt;=KE$34,KD15&lt;&gt;""),AND(KW15&gt;=LA$34,KW15&lt;&gt;""),AND(KZ15&gt;=LA$34,KZ15&lt;&gt;""),AND(LS15&gt;=LW$34,LS15&lt;&gt;""),AND(LV15&gt;=LW$34,LV15&lt;&gt;""),AND(MO15&gt;=MS$34,MO15&lt;&gt;""),AND(MR15&gt;=MS$34,MR15&lt;&gt;""),AND(NK15&gt;=NO$34,NK15&lt;&gt;""),AND(NN15&gt;=NO$34,NN15&lt;&gt;"")),"Merit",IF(OR(AND(AS15&gt;=AY$33,AS15&lt;&gt;"",AP15=""),AND(AU15&gt;=AY$33,AU15&lt;&gt;"",AP15=""),AND(AX15&gt;=AY$33,AX15&lt;&gt;"",AP15=""),AND(BW15&gt;=CC$33,BW15&lt;&gt;"",BT15=""),AND(BY15&gt;=CC$33,BY15&lt;&gt;"",BT15=""),AND(CB15&gt;=CC$33,CB15&lt;&gt;"",BT15=""),AND(DA15&gt;=DG$33,DA15&lt;&gt;"",CX15=""),AND(DC15&gt;=DG$33,DC15&lt;&gt;"",CX15=""),AND(DF15&gt;=DG$33,DF15&lt;&gt;"",CX15=""),AND(EC15&gt;=EG$33,EC15&lt;&gt;""),AND(EF15&gt;=EG$33,EF15&lt;&gt;""),AND(EY15&gt;=FC$33,EY15&lt;&gt;""),AND(FB15&gt;=FC$33,FB15&lt;&gt;""),AND(FU15&gt;=FY$33,FU15&lt;&gt;""),AND(FX15&gt;=FY$33,FX15&lt;&gt;""),AND(GQ15&gt;=GU$33,GQ15&lt;&gt;""),AND(GT15&gt;=GU$33,GT15&lt;&gt;""),AND(HM15&gt;=HQ$33,HM15&lt;&gt;""),AND(HP15&gt;=HQ$33,HP15&lt;&gt;""),AND(II15&gt;=IM$33,II15&lt;&gt;""),AND(IL15&gt;=IM$33,IL15&lt;&gt;""),AND(JE15&gt;=JI$33,JE15&lt;&gt;""),AND(JH15&gt;=JI$33,JH15&lt;&gt;""),AND(KA15&gt;=KE$33,KA15&lt;&gt;""),AND(KD15&gt;=KE$33,KD15&lt;&gt;""),AND(KW15&gt;=LA$33,KW15&lt;&gt;""),AND(KZ15&gt;=LA$33,KZ15&lt;&gt;""),AND(LS15&gt;=LW$33,LS15&lt;&gt;""),AND(LV15&gt;=LW$33,LV15&lt;&gt;""),AND(MO15&gt;=MS$33,MO15&lt;&gt;""),AND(MR15&gt;=MS$33,MR15&lt;&gt;""),AND(NK15&gt;=NO$33,NK15&lt;&gt;""),AND(NN15&gt;=NO$33,NN15&lt;&gt;"")),"Excellence",IF(OR(AND(AV15&gt;=AY$32,AV15&lt;&gt;"",AP15=""),AND(BZ15&gt;=CC$32,BZ15&lt;&gt;"",BT15=""),AND(DD15&gt;=DG$32,DD15&lt;&gt;"",CX15=""),AND(ED15&gt;=EG$32,ED15&lt;&gt;""),AND(EZ15&gt;=FC$32,EZ15&lt;&gt;""),AND(FV15&gt;=FY$32,FV15&lt;&gt;""),AND(GR15&gt;=GU$32,GR15&lt;&gt;""),AND(HN15&gt;=HQ$32,HN15&lt;&gt;""),AND(IJ15&gt;=IM$32,IJ15&lt;&gt;""),AND(JF15&gt;=JI$32,JF15&lt;&gt;""),AND(KB15&gt;=KE$32,KB15&lt;&gt;""),AND(KX15&gt;=LA$32,KX15&lt;&gt;""),AND(LT15&gt;=LW$32,LT15&lt;&gt;""),AND(MP15&gt;=MS$32,MP15&lt;&gt;""),AND(NL15&gt;=NO$32,NL15&lt;&gt;"")),"Worlds Team",IF(OR(AND(AV15&gt;=AY$31,AV15&lt;&gt;"",AP15=""),AND(BZ15&gt;=CC$31,BZ15&lt;&gt;"",BT15=""),AND(DD15&gt;=DG$31,DD15&lt;&gt;"",CX15=""),AND(ED15&gt;=EG$31,ED15&lt;&gt;""),AND(EZ15&gt;=FC$31,EZ15&lt;&gt;""),AND(FV15&gt;=FY$31,FV15&lt;&gt;""),AND(GR15&gt;=GU$31,GR15&lt;&gt;""),AND(HN15&gt;=HQ$31,HN15&lt;&gt;""),AND(IJ15&gt;=IM$31,IJ15&lt;&gt;""),AND(JF15&gt;=JI$31,JF15&lt;&gt;""),AND(KB15&gt;=KE$31,KB15&lt;&gt;""),AND(KX15&gt;=LA$31,KX15&lt;&gt;""),AND(LT15&gt;=LW$31,LT15&lt;&gt;""),AND(MP15&gt;=MS$31,MP15&lt;&gt;""),AND(NL15&gt;=NO$31,NL15&lt;&gt;"")),"National Team",""))))</f>
        <v>National Team</v>
      </c>
      <c r="I15" s="12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>National Team</v>
      </c>
      <c r="J15" s="3" t="str">
        <f>IF(AND(OR(AND(AV15&gt;=AY$32,AV15&lt;&gt;"",AP15=""),AND(BZ15&gt;=CC$32,BZ15&lt;&gt;"",BT15=""),AND(DD15&gt;=DG$32,DD15&lt;&gt;"",CX15=""),AND(ED15&gt;=EG$32,ED15&lt;&gt;""),AND(EZ15&gt;=FC$32,EZ15&lt;&gt;""),AND(FV15&gt;=FY$32,FV15&lt;&gt;""),AND(GR15&gt;=GU$32,GR15&lt;&gt;""),AND(HN15&gt;=HQ$32,HN15&lt;&gt;""),AND(IJ15&gt;=IM$32,IJ15&lt;&gt;""),AND(JF15&gt;=JI$32,JF15&lt;&gt;""),AND(KB15&gt;=KE$32,KB15&lt;&gt;""),AND(KX15&gt;=LA$32,KX15&lt;&gt;""),AND(LT15&gt;=LW$32,LT15&lt;&gt;""),AND(MP15&gt;=MS$32,MP15&lt;&gt;""),AND(NL15&gt;=NO$32,NL15&lt;&gt;"")),OR(G15="Worlds Team",G15="Excellence",G15="Merit")),"P","")</f>
        <v/>
      </c>
      <c r="K15" s="14">
        <f>IF(MAX(AV15,BZ15,DD15)&gt;0,MAX(AV15,BZ15,DD15),0)</f>
        <v>104.905</v>
      </c>
      <c r="L15" s="14" t="str">
        <f>IF(K15=0,"",IF(K15=DD15,$CD$1,IF(K15=BZ15,$AZ$1,IF(K15=AV15,$V$1,""))))</f>
        <v>2019 Nationals</v>
      </c>
      <c r="M15" s="14">
        <f>IF($K15=$AV15,MAX(BU15,CY15),IF($K15=$BZ15,MAX(AQ15,CY15),IF($K15=$DD15,MAX(AQ15,BU15),MAX(AQ15,BU15,CY15))))</f>
        <v>47.854999999999997</v>
      </c>
      <c r="N15" s="14" t="str">
        <f>IF(M15=0,"",IF(AND(M15=CY15,$L15&lt;&gt;$CD$1),$CD$1,IF(AND(M15=BU15,$L15&lt;&gt;$AZ$1),$AZ$1,IF(AND(M15=AQ15,$L15&lt;&gt;$V$1),$V$1,""))))</f>
        <v>2019 Elite Canada</v>
      </c>
      <c r="O15" s="14">
        <f>IF(K15-N(AQ15)=AS15,MAX(AU15,BW15,BY15,DA15,DC15),IF(K15-N(AQ15)=AU15,MAX(AS15,BW15,BY15,DA15,DC15),IF(K15-N(BU15)=BW15,MAX(AS15,AU15,BY15,DA15,DC15),IF(K15-N(BU15)=BY15,MAX(AS15,AU15,BW15,DA15,DC15),IF(K15-N(CY15)=DA15,MAX(AS15,AU15,BW15,BY15,DC15),IF(K15-N(CY15)=DC15,MAX(AS15,AU15,BW15,BY15,DA15),MAX(AS15,AU15,BW15,BY15,DA15,DC15)))))))</f>
        <v>10.75</v>
      </c>
      <c r="P15" s="14" t="str">
        <f>IF(O15=0,"",IF(OR(O15=DC15,O15=DA15),$CD$1,IF(OR(O15=BY15,O15=BW15),$AZ$1,IF(OR(O15=AU15,O15=AS15),$V$1,""))))</f>
        <v>2019 Elite Canada</v>
      </c>
      <c r="Q15" s="14">
        <f>MAX(AX15,CB15,DF15)</f>
        <v>56.43</v>
      </c>
      <c r="R15" s="14" t="str">
        <f>IF(Q15=0,"",IF(Q15=DF15,$CD$1,IF(Q15=CB15,$AZ$1,IF(Q15=AX15,$V$1,""))))</f>
        <v>2019 Nationals</v>
      </c>
      <c r="S15" s="14" t="str">
        <f>IF(MAX(DH15,DI15,DJ15,DK15)&gt;0,MAX(DH15,DI15,DJ15,DK15),"")</f>
        <v/>
      </c>
      <c r="T15" s="25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9">
        <v>16.7</v>
      </c>
      <c r="W15" s="69">
        <v>8.85</v>
      </c>
      <c r="X15" s="69">
        <v>5.2</v>
      </c>
      <c r="Y15" s="69">
        <v>17.105</v>
      </c>
      <c r="Z15" s="69">
        <v>0</v>
      </c>
      <c r="AA15" s="69">
        <v>3.2</v>
      </c>
      <c r="AB15" s="69">
        <v>1.6</v>
      </c>
      <c r="AC15" s="69">
        <v>2.6</v>
      </c>
      <c r="AD15" s="69">
        <v>3.35</v>
      </c>
      <c r="AE15" s="69">
        <v>0</v>
      </c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80"/>
      <c r="AQ15" s="11">
        <f>IF(SUM(V15:Y15)-Z15&gt;0,SUM(V15:Y15)-Z15,"")</f>
        <v>47.854999999999997</v>
      </c>
      <c r="AR15" s="11">
        <f>IF(AC15&gt;0,AC15,"")</f>
        <v>2.6</v>
      </c>
      <c r="AS15" s="11">
        <f>IF(SUM(AA15:AD15)-AE15&gt;0,SUM(AA15:AD15)-AE15,"")</f>
        <v>10.75</v>
      </c>
      <c r="AT15" s="11" t="str">
        <f>IF(AH15&gt;0,AH15,"")</f>
        <v/>
      </c>
      <c r="AU15" s="11" t="str">
        <f>IF(SUM(AF15:AI15)-AJ15&gt;0,SUM(AF15:AI15)-AJ15,"")</f>
        <v/>
      </c>
      <c r="AV15" s="11">
        <f>IF(OR(AQ15&lt;&gt;"",AS15&lt;&gt;"",AU15&lt;&gt;""),AQ15+MAX(AS15,AU15),"")</f>
        <v>58.604999999999997</v>
      </c>
      <c r="AW15" s="11" t="str">
        <f>IF(AM15&gt;0,AM15,"")</f>
        <v/>
      </c>
      <c r="AX15" s="11" t="str">
        <f>IF(SUM(AK15:AN15)-AO15&gt;0,SUM(AK15:AN15)-AO15,"")</f>
        <v/>
      </c>
      <c r="AY15" s="11">
        <f>IF(SUM(AV15,AX15)&gt;0,SUM(AV15,AX15),"")</f>
        <v>58.604999999999997</v>
      </c>
      <c r="AZ15" s="75">
        <v>17.7</v>
      </c>
      <c r="BA15" s="75">
        <v>9.5</v>
      </c>
      <c r="BB15" s="75">
        <v>4.8</v>
      </c>
      <c r="BC15" s="75">
        <v>17.375</v>
      </c>
      <c r="BD15" s="75">
        <v>0</v>
      </c>
      <c r="BE15" s="75">
        <v>16.100000000000001</v>
      </c>
      <c r="BF15" s="75">
        <v>8.9</v>
      </c>
      <c r="BG15" s="75">
        <v>14.4</v>
      </c>
      <c r="BH15" s="75">
        <v>16.13</v>
      </c>
      <c r="BI15" s="75">
        <v>0</v>
      </c>
      <c r="BJ15" s="75"/>
      <c r="BK15" s="75"/>
      <c r="BL15" s="75"/>
      <c r="BM15" s="75"/>
      <c r="BN15" s="75"/>
      <c r="BO15" s="75">
        <v>16.32</v>
      </c>
      <c r="BP15" s="75">
        <v>9.5</v>
      </c>
      <c r="BQ15" s="75">
        <v>14.4</v>
      </c>
      <c r="BR15" s="75">
        <v>16.21</v>
      </c>
      <c r="BS15" s="75">
        <v>0</v>
      </c>
      <c r="BT15" s="81"/>
      <c r="BU15" s="14">
        <f>IF(SUM(AZ15:BC15)-BD15&gt;0,SUM(AZ15:BC15)-BD15,"")</f>
        <v>49.375</v>
      </c>
      <c r="BV15" s="14">
        <f>IF(BG15&gt;0,BG15,"")</f>
        <v>14.4</v>
      </c>
      <c r="BW15" s="14">
        <f>IF(SUM(BE15:BH15)-BI15&gt;0,SUM(BE15:BH15)-BI15,"")</f>
        <v>55.53</v>
      </c>
      <c r="BX15" s="14" t="str">
        <f>IF(BL15&gt;0,BL15,"")</f>
        <v/>
      </c>
      <c r="BY15" s="14" t="str">
        <f>IF(SUM(BJ15:BM15)-BN15&gt;0,SUM(BJ15:BM15)-BN15,"")</f>
        <v/>
      </c>
      <c r="BZ15" s="14">
        <f>IF(BU15="",IF(MAX(BW15,BY15)&gt;0,MAX(BW15,BY15),""),MAX(BW15,BY15)+BU15)</f>
        <v>104.905</v>
      </c>
      <c r="CA15" s="14">
        <f>IF(BQ15&gt;0,BQ15,"")</f>
        <v>14.4</v>
      </c>
      <c r="CB15" s="14">
        <f>IF(SUM(BO15:BR15)-BS15&gt;0,SUM(BO15:BR15)-BS15,"")</f>
        <v>56.43</v>
      </c>
      <c r="CC15" s="14">
        <f>IF(SUM(BZ15,CB15)&gt;0,SUM(BZ15,CB15),"")</f>
        <v>161.33500000000001</v>
      </c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80"/>
      <c r="CY15" s="11" t="str">
        <f>IF(SUM(CD15:CG15)-CH15&gt;0,SUM(CD15:CG15)-CH15,"")</f>
        <v/>
      </c>
      <c r="CZ15" s="11" t="str">
        <f>IF(CK15&gt;0,CK15,"")</f>
        <v/>
      </c>
      <c r="DA15" s="11" t="str">
        <f>IF(SUM(CI15:CL15)-CM15&gt;0,SUM(CI15:CL15)-CM15,"")</f>
        <v/>
      </c>
      <c r="DB15" s="11" t="str">
        <f>IF(CP15&gt;0,CP15,"")</f>
        <v/>
      </c>
      <c r="DC15" s="11" t="str">
        <f>IF(SUM(CN15:CQ15)-CR15&gt;0,SUM(CN15:CQ15)-CR15,"")</f>
        <v/>
      </c>
      <c r="DD15" s="11" t="str">
        <f>IF(CY15="",IF(MAX(DA15,DC15)&gt;0,MAX(DA15,DC15),""),MAX(DA15,DC15)+CY15)</f>
        <v/>
      </c>
      <c r="DE15" s="11" t="str">
        <f>IF(CU15&gt;0,CU15,"")</f>
        <v/>
      </c>
      <c r="DF15" s="11" t="str">
        <f>IF(SUM(CS15:CV15)-CW15&gt;0,SUM(CS15:CV15)-CW15,"")</f>
        <v/>
      </c>
      <c r="DG15" s="11" t="str">
        <f>IF(SUM(DD15,DF15)&gt;0,SUM(DD15,DF15),"")</f>
        <v/>
      </c>
      <c r="DH15" s="24" t="str">
        <f>IF(MAX(EB15,EX15,FT15,GP15,HL15,IH15,JD15,JZ15,KV15,LR15,MN15,NJ15)-IF(M15="",0,M15)&gt;0.001,MAX(EB15,EX15,FT15,GP15,HL15,IH15,JD15,JZ15,KV15,LR15,MN15,NJ15)-IF(M15="",0,M15),"")</f>
        <v/>
      </c>
      <c r="DI15" s="24" t="str">
        <f>IF(MAX(EC15,EY15,FU15,GQ15,HM15,II15,JE15,KA15,KW15,LS15,MO15,NK15)-IF(O15="",0,O15)&gt;0.001,MAX(EC15,EY15,FU15,GQ15,HM15,II15,JE15,KA15,KW15,LS15,MO15,NK15)-IF(O15="",0,O15),"")</f>
        <v/>
      </c>
      <c r="DJ15" s="24" t="str">
        <f>IF(MAX(ED15,EZ15,FV15,GR15,HN15,IJ15,JF15,KB15,KX15,LT15,MP15,NL15)-IF(K15="",0,K15)&gt;0.001,MAX(ED15,EZ15,FV15,GR15,HN15,IJ15,JF15,KB15,KX15,LT15,MP15,NL15)-IF(K15="",0,K15),"")</f>
        <v/>
      </c>
      <c r="DK15" s="24" t="str">
        <f>IF(MAX(EF15,FB15,FX15,GT15,HP15,IL15,JH15,KD15,KZ15,LV15,MR15,NN15)-IF(Q15="",0,Q15)&gt;0.001,MAX(EF15,FB15,FX15,GT15,HP15,IL15,JH15,KD15,KZ15,LV15,MR15,NN15)-IF(Q15="",0,Q15),"")</f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9">
        <f>IF($CX15="P",CD15,(CD15+AZ15)/2)</f>
        <v>8.85</v>
      </c>
      <c r="NQ15" s="69">
        <f>IF($CX15="P",CE15,(CE15+BA15)/2)</f>
        <v>4.75</v>
      </c>
      <c r="NR15" s="69">
        <f>IF($CX15="P",CF15,(CF15+BB15)/2)</f>
        <v>2.4</v>
      </c>
      <c r="NS15" s="69">
        <f>IF($CX15="P",CG15,(CG15+BC15)/2)</f>
        <v>8.6875</v>
      </c>
      <c r="NT15" s="69">
        <f>IF($CX15="P",CH15,(CH15+BD15)/2)</f>
        <v>0</v>
      </c>
      <c r="NU15" s="69">
        <f>IF($CX15="P",CI15,(CI15+BE15)/2)</f>
        <v>8.0500000000000007</v>
      </c>
      <c r="NV15" s="69">
        <f>IF($CX15="P",CJ15,(CJ15+BF15)/2)</f>
        <v>4.45</v>
      </c>
      <c r="NW15" s="69">
        <f>IF($CX15="P",CK15,(CK15+BG15)/2)</f>
        <v>7.2</v>
      </c>
      <c r="NX15" s="69">
        <f>IF($CX15="P",CL15,(CL15+BH15)/2)</f>
        <v>8.0649999999999995</v>
      </c>
      <c r="NY15" s="69">
        <f>IF($CX15="P",CM15,(CM15+BI15)/2)</f>
        <v>0</v>
      </c>
      <c r="NZ15" s="69">
        <f>IF($CX15="P",CN15,(CN15+BJ15)/2)</f>
        <v>0</v>
      </c>
      <c r="OA15" s="69">
        <f>IF($CX15="P",CO15,(CO15+BK15)/2)</f>
        <v>0</v>
      </c>
      <c r="OB15" s="69">
        <f>IF($CX15="P",CP15,(CP15+BL15)/2)</f>
        <v>0</v>
      </c>
      <c r="OC15" s="69">
        <f>IF($CX15="P",CQ15,(CQ15+BM15)/2)</f>
        <v>0</v>
      </c>
      <c r="OD15" s="69">
        <f>IF($CX15="P",CR15,(CR15+BN15)/2)</f>
        <v>0</v>
      </c>
      <c r="OE15" s="69">
        <f>IF($CX15="P",CS15,(CS15+BO15)/2)</f>
        <v>8.16</v>
      </c>
      <c r="OF15" s="69">
        <f>IF($CX15="P",CT15,(CT15+BP15)/2)</f>
        <v>4.75</v>
      </c>
      <c r="OG15" s="69">
        <f>IF($CX15="P",CU15,(CU15+BQ15)/2)</f>
        <v>7.2</v>
      </c>
      <c r="OH15" s="69">
        <f>IF($CX15="P",CV15,(CV15+BR15)/2)</f>
        <v>8.1050000000000004</v>
      </c>
      <c r="OI15" s="69">
        <f>IF($CX15="P",CW15,(CW15+BS15)/2)</f>
        <v>0</v>
      </c>
      <c r="OJ15" s="80" t="s">
        <v>91</v>
      </c>
      <c r="OK15" s="11">
        <f>IF(SUM(NP15:NS15)-NT15&gt;0,SUM(NP15:NS15)-NT15,"")</f>
        <v>24.6875</v>
      </c>
      <c r="OL15" s="11">
        <f>IF(NW15&gt;0,NW15,"")</f>
        <v>7.2</v>
      </c>
      <c r="OM15" s="11">
        <f>IF(SUM(NU15:NX15)-NY15&gt;0,SUM(NU15:NX15)-NY15,"")</f>
        <v>27.765000000000001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52.452500000000001</v>
      </c>
      <c r="OQ15" s="11">
        <f>IF(OG15&gt;0,OG15,"")</f>
        <v>7.2</v>
      </c>
      <c r="OR15" s="11">
        <f t="shared" si="0"/>
        <v>28.215</v>
      </c>
      <c r="OS15" s="11">
        <f t="shared" si="1"/>
        <v>80.667500000000004</v>
      </c>
    </row>
    <row r="16" spans="1:409" x14ac:dyDescent="0.2">
      <c r="A16" s="5" t="str" cm="1">
        <f t="array" ref="A16">IF(AND(G16&lt;&gt;"",H16&lt;&gt;""),SUMPRODUCT((G$4:G$25&lt;&gt;"")*(H$4:H$25&lt;&gt;"")*(E$4:E$25&gt;E16))+1,IF(H16&lt;&gt;"",SUMPRODUCT((I$4:I$25="No DD")*(E$4:E$25&gt;E16))+1+SUMPRODUCT((G$4:G$25&lt;&gt;"")*(H$4:H$25&lt;&gt;"")),""))</f>
        <v/>
      </c>
      <c r="B16" s="6" t="s">
        <v>183</v>
      </c>
      <c r="C16" s="7" t="s">
        <v>182</v>
      </c>
      <c r="D16" s="27">
        <v>2001</v>
      </c>
      <c r="E16" s="15">
        <f>SUM(K16:S16)</f>
        <v>250.6</v>
      </c>
      <c r="F16" s="3" t="str">
        <f>IF(G16&lt;&gt;"","P","")</f>
        <v/>
      </c>
      <c r="G16" s="125" t="str">
        <f>IF(OR(AND(AR16&gt;=AY$30,AR16&lt;&gt;"",AP16=""),AND(AT16&gt;=AY$30,AT16&lt;&gt;"",AP16=""),AND(AW16&gt;=AY$30,AW16&lt;&gt;"",AP16=""),AND(BV16&gt;=CC$30,BV16&lt;&gt;"",BT16=""),AND(BX16&gt;=CC$30,BX16&lt;&gt;"",BT16=""),AND(CA16&gt;=CC$30,CA16&lt;&gt;"",BT16=""),AND(CZ16&gt;=DG$30,CZ16&lt;&gt;"",CX16=""),AND(DB16&gt;=DG$30,DB16&lt;&gt;"",CX16=""),AND(DE16&gt;=DG$30,DE16&lt;&gt;"",CX16=""),AND(EA16&gt;=EG$30,EA16&lt;&gt;""),AND(EE16&gt;=EG$30,EE16&lt;&gt;""),AND(EW16&gt;=FC$30,EW16&lt;&gt;""),AND(FA16&gt;=FC$30,FA16&lt;&gt;""),AND(FS16&gt;=FY$30,FS16&lt;&gt;""),AND(FW16&gt;=FY$30,FW16&lt;&gt;""),AND(GO16&gt;=GU$30,GO16&lt;&gt;""),AND(GS16&gt;=GU$30,GS16&lt;&gt;""),AND(HK16&gt;=HQ$30,HK16&lt;&gt;""),AND(HO16&gt;=HQ$30,HO16&lt;&gt;""),AND(IG16&gt;=IM$30,IG16&lt;&gt;""),AND(IK16&gt;=IM$30,IK16&lt;&gt;""),AND(JC16&gt;=JI$30,JC16&lt;&gt;""),AND(JG16&gt;=JI$30,JG16&lt;&gt;""),AND(JY16&gt;=KE$30,JY16&lt;&gt;""),AND(KC16&gt;=KE$30,KC16&lt;&gt;""),AND(KU16&gt;=LA$30,KU16&lt;&gt;""),AND(KY16&gt;=LA$30,KY16&lt;&gt;""),AND(LQ16&gt;=LW$30,LQ16&lt;&gt;""),AND(LU16&gt;=LW$30,LU16&lt;&gt;""),AND(MM16&gt;=MS$30,MM16&lt;&gt;""),AND(MQ16&gt;=MS$30,MQ16&lt;&gt;""),AND(NI16&gt;=NO$30,NI16&lt;&gt;""),AND(NM16&gt;=NO$30,NM16&lt;&gt;"")),"Merit",IF(OR(AND(AR16&gt;=AY$29,AR16&lt;&gt;"",AP16=""),AND(AT16&gt;=AY$29,AT16&lt;&gt;"",AP16=""),AND(AW16&gt;=AY$29,AW16&lt;&gt;"",AP16=""),AND(BV16&gt;=CC$29,BV16&lt;&gt;"",BT16=""),AND(BX16&gt;=CC$29,BX16&lt;&gt;"",BT16=""),AND(CA16&gt;=CC$29,CA16&lt;&gt;"",BT16=""),AND(CZ16&gt;=DG$29,CZ16&lt;&gt;"",CX16=""),AND(DB16&gt;=DG$29,DB16&lt;&gt;"",CX16=""),AND(DE16&gt;=DG$29,DE16&lt;&gt;"",CX16=""),AND(EA16&gt;=EG$29,EA16&lt;&gt;""),AND(EE16&gt;=EG$29,EE16&lt;&gt;""),AND(EW16&gt;=FC$29,EW16&lt;&gt;""),AND(FA16&gt;=FC$29,FA16&lt;&gt;""),AND(FS16&gt;=FY$29,FS16&lt;&gt;""),AND(FW16&gt;=FY$29,FW16&lt;&gt;""),AND(GO16&gt;=GU$29,GO16&lt;&gt;""),AND(GS16&gt;=GU$29,GS16&lt;&gt;""),AND(HK16&gt;=HQ$29,HK16&lt;&gt;""),AND(HO16&gt;=HQ$29,HO16&lt;&gt;""),AND(IG16&gt;=IM$29,IG16&lt;&gt;""),AND(IK16&gt;=IM$29,IK16&lt;&gt;""),AND(JC16&gt;=JI$29,JC16&lt;&gt;""),AND(JG16&gt;=JI$29,JG16&lt;&gt;""),AND(JY16&gt;=KE$29,JY16&lt;&gt;""),AND(KC16&gt;=KE$29,KC16&lt;&gt;""),AND(KU16&gt;=LA$29,KU16&lt;&gt;""),AND(KY16&gt;=LA$29,KY16&lt;&gt;""),AND(LQ16&gt;=LW$29,LQ16&lt;&gt;""),AND(LU16&gt;=LW$29,LU16&lt;&gt;""),AND(MM16&gt;=MS$29,MM16&lt;&gt;""),AND(MQ16&gt;=MS$29,MQ16&lt;&gt;""),AND(NI16&gt;=NO$29,NI16&lt;&gt;""),AND(NM16&gt;=NO$29,NM16&lt;&gt;"")),"Excellence",IF(OR(AND(AR16&gt;=AY$28,AR16&lt;&gt;"",AP16=""),AND(AT16&gt;=AY$28,AT16&lt;&gt;"",AP16=""),AND(AW16&gt;=AY$28,AW16&lt;&gt;"",AP16=""),AND(BV16&gt;=CC$28,BV16&lt;&gt;"",BT16=""),AND(BX16&gt;=CC$28,BX16&lt;&gt;"",BT16=""),AND(CA16&gt;=CC$28,CA16&lt;&gt;"",BT16=""),AND(CZ16&gt;=DG$28,CZ16&lt;&gt;"",CX16=""),AND(DB16&gt;=DG$28,DB16&lt;&gt;"",CX16=""),AND(DE16&gt;=DG$28,DE16&lt;&gt;"",CX16=""),AND(EA16&gt;=EG$28,EA16&lt;&gt;""),AND(EE16&gt;=EG$28,EE16&lt;&gt;""),AND(EW16&gt;=FC$28,EW16&lt;&gt;""),AND(FA16&gt;=FC$28,FA16&lt;&gt;""),AND(FS16&gt;=FY$28,FS16&lt;&gt;""),AND(FW16&gt;=FY$28,FW16&lt;&gt;""),AND(GO16&gt;=GU$28,GO16&lt;&gt;""),AND(GS16&gt;=GU$28,GS16&lt;&gt;""),AND(HK16&gt;=HQ$28,HK16&lt;&gt;""),AND(HO16&gt;=HQ$28,HO16&lt;&gt;""),AND(IG16&gt;=IM$28,IG16&lt;&gt;""),AND(IK16&gt;=IM$28,IK16&lt;&gt;""),AND(JC16&gt;=JI$28,JC16&lt;&gt;""),AND(JG16&gt;=JI$28,JG16&lt;&gt;""),AND(JY16&gt;=KE$28,JY16&lt;&gt;""),AND(KC16&gt;=KE$28,KC16&lt;&gt;""),AND(KU16&gt;=LA$28,KU16&lt;&gt;""),AND(KY16&gt;=LA$28,KY16&lt;&gt;""),AND(LQ16&gt;=LW$28,LQ16&lt;&gt;""),AND(LU16&gt;=LW$28,LU16&lt;&gt;""),AND(MM16&gt;=MS$28,MM16&lt;&gt;""),AND(MQ16&gt;=MS$28,MQ16&lt;&gt;""),AND(NI16&gt;=NO$28,NI16&lt;&gt;""),AND(NM16&gt;=NO$28,NM16&lt;&gt;"")),"Worlds Team",IF(OR(AND(AR16&gt;=AY$27,AR16&lt;&gt;"",AP16=""),AND(AT16&gt;=AY$27,AT16&lt;&gt;"",AP16=""),AND(AW16&gt;=AY$27,AW16&lt;&gt;"",AP16=""),AND(BV16&gt;=CC$27,BV16&lt;&gt;"",BT16=""),AND(BX16&gt;=CC$27,BX16&lt;&gt;"",BT16=""),AND(CA16&gt;=CC$27,CA16&lt;&gt;"",BT16=""),AND(CZ16&gt;=DG$27,CZ16&lt;&gt;"",CX16=""),AND(DB16&gt;=DG$27,DB16&lt;&gt;"",CX16=""),AND(DE16&gt;=DG$27,DE16&lt;&gt;"",CX16=""),AND(EA16&gt;=EG$27,EA16&lt;&gt;""),AND(EE16&gt;=EG$27,EE16&lt;&gt;""),AND(EW16&gt;=FC$27,EW16&lt;&gt;""),AND(FA16&gt;=FC$27,FA16&lt;&gt;""),AND(FS16&gt;=FY$27,FS16&lt;&gt;""),AND(FW16&gt;=FY$27,FW16&lt;&gt;""),AND(GO16&gt;=GU$27,GO16&lt;&gt;""),AND(GS16&gt;=GU$27,GS16&lt;&gt;""),AND(HK16&gt;=HQ$27,HK16&lt;&gt;""),AND(HO16&gt;=HQ$27,HO16&lt;&gt;""),AND(IG16&gt;=IM$27,IG16&lt;&gt;""),AND(IK16&gt;=IM$27,IK16&lt;&gt;""),AND(JC16&gt;=JI$27,JC16&lt;&gt;""),AND(JG16&gt;=JI$27,JG16&lt;&gt;""),AND(JY16&gt;=KE$27,JY16&lt;&gt;""),AND(KC16&gt;=KE$27,KC16&lt;&gt;""),AND(KU16&gt;=LA$27,KU16&lt;&gt;""),AND(KY16&gt;=LA$27,KY16&lt;&gt;""),AND(LQ16&gt;=LW$27,LQ16&lt;&gt;""),AND(LU16&gt;=LW$27,LU16&lt;&gt;""),AND(MM16&gt;=MS$27,MM16&lt;&gt;""),AND(MQ16&gt;=MS$27,MQ16&lt;&gt;""),AND(NI16&gt;=NO$27,NI16&lt;&gt;""),AND(NM16&gt;=NO$27,NM16&lt;&gt;"")),"National Team",""))))</f>
        <v/>
      </c>
      <c r="H16" s="125" t="str">
        <f>IF(OR(AND(AS16&gt;=AY$34,AS16&lt;&gt;"",AP16=""),AND(AU16&gt;=AY$34,AU16&lt;&gt;"",AP16=""),AND(AX16&gt;=AY$34,AX16&lt;&gt;"",AP16=""),AND(BW16&gt;=CC$34,BW16&lt;&gt;"",BT16=""),AND(BY16&gt;=CC$34,BY16&lt;&gt;"",BT16=""),AND(CB16&gt;=CC$34,CB16&lt;&gt;"",BT16=""),AND(DA16&gt;=DG$34,DA16&lt;&gt;"",CX16=""),AND(DC16&gt;=DG$34,DC16&lt;&gt;"",CX16=""),AND(DF16&gt;=DG$34,DF16&lt;&gt;"",CX16=""),AND(EC16&gt;=EG$34,EC16&lt;&gt;""),AND(EF16&gt;=EG$34,EF16&lt;&gt;""),AND(EY16&gt;=FC$34,EY16&lt;&gt;""),AND(FB16&gt;=FC$34,FB16&lt;&gt;""),AND(FU16&gt;=FY$34,FU16&lt;&gt;""),AND(FX16&gt;=FY$34,FX16&lt;&gt;""),AND(GQ16&gt;=GU$34,GQ16&lt;&gt;""),AND(GT16&gt;=GU$34,GT16&lt;&gt;""),AND(HM16&gt;=HQ$34,HM16&lt;&gt;""),AND(HP16&gt;=HQ$34,HP16&lt;&gt;""),AND(II16&gt;=IM$34,II16&lt;&gt;""),AND(IL16&gt;=IM$34,IL16&lt;&gt;""),AND(JE16&gt;=JI$34,JE16&lt;&gt;""),AND(JH16&gt;=JI$34,JH16&lt;&gt;""),AND(KA16&gt;=KE$34,KA16&lt;&gt;""),AND(KD16&gt;=KE$34,KD16&lt;&gt;""),AND(KW16&gt;=LA$34,KW16&lt;&gt;""),AND(KZ16&gt;=LA$34,KZ16&lt;&gt;""),AND(LS16&gt;=LW$34,LS16&lt;&gt;""),AND(LV16&gt;=LW$34,LV16&lt;&gt;""),AND(MO16&gt;=MS$34,MO16&lt;&gt;""),AND(MR16&gt;=MS$34,MR16&lt;&gt;""),AND(NK16&gt;=NO$34,NK16&lt;&gt;""),AND(NN16&gt;=NO$34,NN16&lt;&gt;"")),"Merit",IF(OR(AND(AS16&gt;=AY$33,AS16&lt;&gt;"",AP16=""),AND(AU16&gt;=AY$33,AU16&lt;&gt;"",AP16=""),AND(AX16&gt;=AY$33,AX16&lt;&gt;"",AP16=""),AND(BW16&gt;=CC$33,BW16&lt;&gt;"",BT16=""),AND(BY16&gt;=CC$33,BY16&lt;&gt;"",BT16=""),AND(CB16&gt;=CC$33,CB16&lt;&gt;"",BT16=""),AND(DA16&gt;=DG$33,DA16&lt;&gt;"",CX16=""),AND(DC16&gt;=DG$33,DC16&lt;&gt;"",CX16=""),AND(DF16&gt;=DG$33,DF16&lt;&gt;"",CX16=""),AND(EC16&gt;=EG$33,EC16&lt;&gt;""),AND(EF16&gt;=EG$33,EF16&lt;&gt;""),AND(EY16&gt;=FC$33,EY16&lt;&gt;""),AND(FB16&gt;=FC$33,FB16&lt;&gt;""),AND(FU16&gt;=FY$33,FU16&lt;&gt;""),AND(FX16&gt;=FY$33,FX16&lt;&gt;""),AND(GQ16&gt;=GU$33,GQ16&lt;&gt;""),AND(GT16&gt;=GU$33,GT16&lt;&gt;""),AND(HM16&gt;=HQ$33,HM16&lt;&gt;""),AND(HP16&gt;=HQ$33,HP16&lt;&gt;""),AND(II16&gt;=IM$33,II16&lt;&gt;""),AND(IL16&gt;=IM$33,IL16&lt;&gt;""),AND(JE16&gt;=JI$33,JE16&lt;&gt;""),AND(JH16&gt;=JI$33,JH16&lt;&gt;""),AND(KA16&gt;=KE$33,KA16&lt;&gt;""),AND(KD16&gt;=KE$33,KD16&lt;&gt;""),AND(KW16&gt;=LA$33,KW16&lt;&gt;""),AND(KZ16&gt;=LA$33,KZ16&lt;&gt;""),AND(LS16&gt;=LW$33,LS16&lt;&gt;""),AND(LV16&gt;=LW$33,LV16&lt;&gt;""),AND(MO16&gt;=MS$33,MO16&lt;&gt;""),AND(MR16&gt;=MS$33,MR16&lt;&gt;""),AND(NK16&gt;=NO$33,NK16&lt;&gt;""),AND(NN16&gt;=NO$33,NN16&lt;&gt;"")),"Excellence",IF(OR(AND(AV16&gt;=AY$32,AV16&lt;&gt;"",AP16=""),AND(BZ16&gt;=CC$32,BZ16&lt;&gt;"",BT16=""),AND(DD16&gt;=DG$32,DD16&lt;&gt;"",CX16=""),AND(ED16&gt;=EG$32,ED16&lt;&gt;""),AND(EZ16&gt;=FC$32,EZ16&lt;&gt;""),AND(FV16&gt;=FY$32,FV16&lt;&gt;""),AND(GR16&gt;=GU$32,GR16&lt;&gt;""),AND(HN16&gt;=HQ$32,HN16&lt;&gt;""),AND(IJ16&gt;=IM$32,IJ16&lt;&gt;""),AND(JF16&gt;=JI$32,JF16&lt;&gt;""),AND(KB16&gt;=KE$32,KB16&lt;&gt;""),AND(KX16&gt;=LA$32,KX16&lt;&gt;""),AND(LT16&gt;=LW$32,LT16&lt;&gt;""),AND(MP16&gt;=MS$32,MP16&lt;&gt;""),AND(NL16&gt;=NO$32,NL16&lt;&gt;"")),"Worlds Team",IF(OR(AND(AV16&gt;=AY$31,AV16&lt;&gt;"",AP16=""),AND(BZ16&gt;=CC$31,BZ16&lt;&gt;"",BT16=""),AND(DD16&gt;=DG$31,DD16&lt;&gt;"",CX16=""),AND(ED16&gt;=EG$31,ED16&lt;&gt;""),AND(EZ16&gt;=FC$31,EZ16&lt;&gt;""),AND(FV16&gt;=FY$31,FV16&lt;&gt;""),AND(GR16&gt;=GU$31,GR16&lt;&gt;""),AND(HN16&gt;=HQ$31,HN16&lt;&gt;""),AND(IJ16&gt;=IM$31,IJ16&lt;&gt;""),AND(JF16&gt;=JI$31,JF16&lt;&gt;""),AND(KB16&gt;=KE$31,KB16&lt;&gt;""),AND(KX16&gt;=LA$31,KX16&lt;&gt;""),AND(LT16&gt;=LW$31,LT16&lt;&gt;""),AND(MP16&gt;=MS$31,MP16&lt;&gt;""),AND(NL16&gt;=NO$31,NL16&lt;&gt;"")),"National Team",""))))</f>
        <v/>
      </c>
      <c r="I16" s="12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$32,AV16&lt;&gt;"",AP16=""),AND(BZ16&gt;=CC$32,BZ16&lt;&gt;"",BT16=""),AND(DD16&gt;=DG$32,DD16&lt;&gt;"",CX16=""),AND(ED16&gt;=EG$32,ED16&lt;&gt;""),AND(EZ16&gt;=FC$32,EZ16&lt;&gt;""),AND(FV16&gt;=FY$32,FV16&lt;&gt;""),AND(GR16&gt;=GU$32,GR16&lt;&gt;""),AND(HN16&gt;=HQ$32,HN16&lt;&gt;""),AND(IJ16&gt;=IM$32,IJ16&lt;&gt;""),AND(JF16&gt;=JI$32,JF16&lt;&gt;""),AND(KB16&gt;=KE$32,KB16&lt;&gt;""),AND(KX16&gt;=LA$32,KX16&lt;&gt;""),AND(LT16&gt;=LW$32,LT16&lt;&gt;""),AND(MP16&gt;=MS$32,MP16&lt;&gt;""),AND(NL16&gt;=NO$32,NL16&lt;&gt;"")),OR(G16="Worlds Team",G16="Excellence",G16="Merit")),"P","")</f>
        <v/>
      </c>
      <c r="K16" s="14">
        <f>IF(MAX(AV16,BZ16,DD16)&gt;0,MAX(AV16,BZ16,DD16),0)</f>
        <v>100.07</v>
      </c>
      <c r="L16" s="14" t="str">
        <f>IF(K16=0,"",IF(K16=DD16,$CD$1,IF(K16=BZ16,$AZ$1,IF(K16=AV16,$V$1,""))))</f>
        <v>2021 1st Virtual Technical Trial</v>
      </c>
      <c r="M16" s="14">
        <f>IF($K16=$AV16,MAX(BU16,CY16),IF($K16=$BZ16,MAX(AQ16,CY16),IF($K16=$DD16,MAX(AQ16,BU16),MAX(AQ16,BU16,CY16))))</f>
        <v>48.059999999999995</v>
      </c>
      <c r="N16" s="14" t="str">
        <f>IF(M16=0,"",IF(AND(M16=CY16,$L16&lt;&gt;$CD$1),$CD$1,IF(AND(M16=BU16,$L16&lt;&gt;$AZ$1),$AZ$1,IF(AND(M16=AQ16,$L16&lt;&gt;$V$1),$V$1,""))))</f>
        <v>2019 Nationals</v>
      </c>
      <c r="O16" s="14">
        <f>IF(K16-N(AQ16)=AS16,MAX(AU16,BW16,BY16,DA16,DC16),IF(K16-N(AQ16)=AU16,MAX(AS16,BW16,BY16,DA16,DC16),IF(K16-N(BU16)=BW16,MAX(AS16,AU16,BY16,DA16,DC16),IF(K16-N(BU16)=BY16,MAX(AS16,AU16,BW16,DA16,DC16),IF(K16-N(CY16)=DA16,MAX(AS16,AU16,BW16,BY16,DC16),IF(K16-N(CY16)=DC16,MAX(AS16,AU16,BW16,BY16,DA16),MAX(AS16,AU16,BW16,BY16,DA16,DC16)))))))</f>
        <v>49.31</v>
      </c>
      <c r="P16" s="14" t="str">
        <f>IF(O16=0,"",IF(OR(O16=DC16,O16=DA16),$CD$1,IF(OR(O16=BY16,O16=BW16),$AZ$1,IF(OR(O16=AU16,O16=AS16),$V$1,""))))</f>
        <v>2021 1st Virtual Technical Trial</v>
      </c>
      <c r="Q16" s="14">
        <f>MAX(AX16,CB16,DF16)</f>
        <v>53.16</v>
      </c>
      <c r="R16" s="14" t="str">
        <f>IF(Q16=0,"",IF(Q16=DF16,$CD$1,IF(Q16=CB16,$AZ$1,IF(Q16=AX16,$V$1,""))))</f>
        <v>2021 1st Virtual Technical Trial</v>
      </c>
      <c r="S16" s="14" t="str">
        <f>IF(MAX(DH16,DI16,DJ16,DK16)&gt;0,MAX(DH16,DI16,DJ16,DK16),"")</f>
        <v/>
      </c>
      <c r="T16" s="25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9">
        <v>14.5</v>
      </c>
      <c r="W16" s="69">
        <v>9.25</v>
      </c>
      <c r="X16" s="69">
        <v>4.3</v>
      </c>
      <c r="Y16" s="69">
        <v>15.685</v>
      </c>
      <c r="Z16" s="69">
        <v>2</v>
      </c>
      <c r="AA16" s="69">
        <v>10.4</v>
      </c>
      <c r="AB16" s="69">
        <v>6.8</v>
      </c>
      <c r="AC16" s="69">
        <v>11.2</v>
      </c>
      <c r="AD16" s="69">
        <v>12.49</v>
      </c>
      <c r="AE16" s="69">
        <v>0</v>
      </c>
      <c r="AF16" s="69"/>
      <c r="AG16" s="69"/>
      <c r="AH16" s="69"/>
      <c r="AI16" s="69"/>
      <c r="AJ16" s="69"/>
      <c r="AK16" s="69">
        <v>9.3000000000000007</v>
      </c>
      <c r="AL16" s="69">
        <v>6.65</v>
      </c>
      <c r="AM16" s="69">
        <v>10</v>
      </c>
      <c r="AN16" s="69">
        <v>11.095000000000001</v>
      </c>
      <c r="AO16" s="69">
        <v>0</v>
      </c>
      <c r="AP16" s="80"/>
      <c r="AQ16" s="11">
        <f>IF(SUM(V16:Y16)-Z16&gt;0,SUM(V16:Y16)-Z16,"")</f>
        <v>41.734999999999999</v>
      </c>
      <c r="AR16" s="11">
        <f>IF(AC16&gt;0,AC16,"")</f>
        <v>11.2</v>
      </c>
      <c r="AS16" s="11">
        <f>IF(SUM(AA16:AD16)-AE16&gt;0,SUM(AA16:AD16)-AE16,"")</f>
        <v>40.89</v>
      </c>
      <c r="AT16" s="11" t="str">
        <f>IF(AH16&gt;0,AH16,"")</f>
        <v/>
      </c>
      <c r="AU16" s="11" t="str">
        <f>IF(SUM(AF16:AI16)-AJ16&gt;0,SUM(AF16:AI16)-AJ16,"")</f>
        <v/>
      </c>
      <c r="AV16" s="11">
        <f>IF(OR(AQ16&lt;&gt;"",AS16&lt;&gt;"",AU16&lt;&gt;""),AQ16+MAX(AS16,AU16),"")</f>
        <v>82.625</v>
      </c>
      <c r="AW16" s="11">
        <f>IF(AM16&gt;0,AM16,"")</f>
        <v>10</v>
      </c>
      <c r="AX16" s="11">
        <f>IF(SUM(AK16:AN16)-AO16&gt;0,SUM(AK16:AN16)-AO16,"")</f>
        <v>37.045000000000002</v>
      </c>
      <c r="AY16" s="11">
        <f>IF(SUM(AV16,AX16)&gt;0,SUM(AV16,AX16),"")</f>
        <v>119.67</v>
      </c>
      <c r="AZ16" s="75">
        <v>17.399999999999999</v>
      </c>
      <c r="BA16" s="75">
        <v>9.6999999999999993</v>
      </c>
      <c r="BB16" s="75">
        <v>5</v>
      </c>
      <c r="BC16" s="75">
        <v>15.96</v>
      </c>
      <c r="BD16" s="75">
        <v>0</v>
      </c>
      <c r="BE16" s="75">
        <v>12.5</v>
      </c>
      <c r="BF16" s="75">
        <v>7.7</v>
      </c>
      <c r="BG16" s="75">
        <v>13</v>
      </c>
      <c r="BH16" s="75">
        <v>13.635</v>
      </c>
      <c r="BI16" s="75">
        <v>0.2</v>
      </c>
      <c r="BJ16" s="75"/>
      <c r="BK16" s="75"/>
      <c r="BL16" s="75"/>
      <c r="BM16" s="75"/>
      <c r="BN16" s="75"/>
      <c r="BO16" s="75">
        <v>12.16</v>
      </c>
      <c r="BP16" s="75">
        <v>8.6999999999999993</v>
      </c>
      <c r="BQ16" s="75">
        <v>13.7</v>
      </c>
      <c r="BR16" s="75">
        <v>14.824999999999999</v>
      </c>
      <c r="BS16" s="75">
        <v>0</v>
      </c>
      <c r="BT16" s="81"/>
      <c r="BU16" s="14">
        <f>IF(SUM(AZ16:BC16)-BD16&gt;0,SUM(AZ16:BC16)-BD16,"")</f>
        <v>48.059999999999995</v>
      </c>
      <c r="BV16" s="14">
        <f>IF(BG16&gt;0,BG16,"")</f>
        <v>13</v>
      </c>
      <c r="BW16" s="14">
        <f>IF(SUM(BE16:BH16)-BI16&gt;0,SUM(BE16:BH16)-BI16,"")</f>
        <v>46.634999999999998</v>
      </c>
      <c r="BX16" s="14" t="str">
        <f>IF(BL16&gt;0,BL16,"")</f>
        <v/>
      </c>
      <c r="BY16" s="14" t="str">
        <f>IF(SUM(BJ16:BM16)-BN16&gt;0,SUM(BJ16:BM16)-BN16,"")</f>
        <v/>
      </c>
      <c r="BZ16" s="14">
        <f>IF(BU16="",IF(MAX(BW16,BY16)&gt;0,MAX(BW16,BY16),""),MAX(BW16,BY16)+BU16)</f>
        <v>94.694999999999993</v>
      </c>
      <c r="CA16" s="14">
        <f>IF(BQ16&gt;0,BQ16,"")</f>
        <v>13.7</v>
      </c>
      <c r="CB16" s="14">
        <f>IF(SUM(BO16:BR16)-BS16&gt;0,SUM(BO16:BR16)-BS16,"")</f>
        <v>49.385000000000005</v>
      </c>
      <c r="CC16" s="14">
        <f>IF(SUM(BZ16,CB16)&gt;0,SUM(BZ16,CB16),"")</f>
        <v>144.07999999999998</v>
      </c>
      <c r="CD16" s="69">
        <v>17.5</v>
      </c>
      <c r="CE16" s="69">
        <v>9.65</v>
      </c>
      <c r="CF16" s="69">
        <v>4.4000000000000004</v>
      </c>
      <c r="CG16" s="69">
        <v>16.059999999999999</v>
      </c>
      <c r="CH16" s="69">
        <v>0</v>
      </c>
      <c r="CI16" s="69">
        <v>14.3</v>
      </c>
      <c r="CJ16" s="69">
        <v>9.1999999999999993</v>
      </c>
      <c r="CK16" s="69">
        <v>13.9</v>
      </c>
      <c r="CL16" s="69">
        <v>15.06</v>
      </c>
      <c r="CM16" s="69">
        <v>0</v>
      </c>
      <c r="CN16" s="69">
        <v>12.9</v>
      </c>
      <c r="CO16" s="69">
        <v>8.6999999999999993</v>
      </c>
      <c r="CP16" s="69">
        <v>13.3</v>
      </c>
      <c r="CQ16" s="69">
        <v>14.61</v>
      </c>
      <c r="CR16" s="69">
        <v>0.2</v>
      </c>
      <c r="CS16" s="69">
        <v>14.7</v>
      </c>
      <c r="CT16" s="69">
        <v>9.35</v>
      </c>
      <c r="CU16" s="69">
        <v>13.9</v>
      </c>
      <c r="CV16" s="69">
        <v>15.21</v>
      </c>
      <c r="CW16" s="69">
        <v>0</v>
      </c>
      <c r="CX16" s="80"/>
      <c r="CY16" s="11">
        <f>IF(SUM(CD16:CG16)-CH16&gt;0,SUM(CD16:CG16)-CH16,"")</f>
        <v>47.61</v>
      </c>
      <c r="CZ16" s="11">
        <f>IF(CK16&gt;0,CK16,"")</f>
        <v>13.9</v>
      </c>
      <c r="DA16" s="11">
        <f>IF(SUM(CI16:CL16)-CM16&gt;0,SUM(CI16:CL16)-CM16,"")</f>
        <v>52.46</v>
      </c>
      <c r="DB16" s="11">
        <f>IF(CP16&gt;0,CP16,"")</f>
        <v>13.3</v>
      </c>
      <c r="DC16" s="11">
        <f>IF(SUM(CN16:CQ16)-CR16&gt;0,SUM(CN16:CQ16)-CR16,"")</f>
        <v>49.31</v>
      </c>
      <c r="DD16" s="11">
        <f>IF(CY16="",IF(MAX(DA16,DC16)&gt;0,MAX(DA16,DC16),""),MAX(DA16,DC16)+CY16)</f>
        <v>100.07</v>
      </c>
      <c r="DE16" s="11">
        <f>IF(CU16&gt;0,CU16,"")</f>
        <v>13.9</v>
      </c>
      <c r="DF16" s="11">
        <f>IF(SUM(CS16:CV16)-CW16&gt;0,SUM(CS16:CV16)-CW16,"")</f>
        <v>53.16</v>
      </c>
      <c r="DG16" s="11">
        <f>IF(SUM(DD16,DF16)&gt;0,SUM(DD16,DF16),"")</f>
        <v>153.22999999999999</v>
      </c>
      <c r="DH16" s="24" t="str">
        <f>IF(MAX(EB16,EX16,FT16,GP16,HL16,IH16,JD16,JZ16,KV16,LR16,MN16,NJ16)-IF(M16="",0,M16)&gt;0.001,MAX(EB16,EX16,FT16,GP16,HL16,IH16,JD16,JZ16,KV16,LR16,MN16,NJ16)-IF(M16="",0,M16),"")</f>
        <v/>
      </c>
      <c r="DI16" s="24" t="str">
        <f>IF(MAX(EC16,EY16,FU16,GQ16,HM16,II16,JE16,KA16,KW16,LS16,MO16,NK16)-IF(O16="",0,O16)&gt;0.001,MAX(EC16,EY16,FU16,GQ16,HM16,II16,JE16,KA16,KW16,LS16,MO16,NK16)-IF(O16="",0,O16),"")</f>
        <v/>
      </c>
      <c r="DJ16" s="24" t="str">
        <f>IF(MAX(ED16,EZ16,FV16,GR16,HN16,IJ16,JF16,KB16,KX16,LT16,MP16,NL16)-IF(K16="",0,K16)&gt;0.001,MAX(ED16,EZ16,FV16,GR16,HN16,IJ16,JF16,KB16,KX16,LT16,MP16,NL16)-IF(K16="",0,K16),"")</f>
        <v/>
      </c>
      <c r="DK16" s="24" t="str">
        <f>IF(MAX(EF16,FB16,FX16,GT16,HP16,IL16,JH16,KD16,KZ16,LV16,MR16,NN16)-IF(Q16="",0,Q16)&gt;0.001,MAX(EF16,FB16,FX16,GT16,HP16,IL16,JH16,KD16,KZ16,LV16,MR16,NN16)-IF(Q16="",0,Q16),"")</f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9">
        <f>IF($CX16="P",CD16,(CD16+AZ16)/2)</f>
        <v>17.45</v>
      </c>
      <c r="NQ16" s="69">
        <f>IF($CX16="P",CE16,(CE16+BA16)/2)</f>
        <v>9.6750000000000007</v>
      </c>
      <c r="NR16" s="69">
        <f>IF($CX16="P",CF16,(CF16+BB16)/2)</f>
        <v>4.7</v>
      </c>
      <c r="NS16" s="69">
        <f>IF($CX16="P",CG16,(CG16+BC16)/2)</f>
        <v>16.009999999999998</v>
      </c>
      <c r="NT16" s="69">
        <f>IF($CX16="P",CH16,(CH16+BD16)/2)</f>
        <v>0</v>
      </c>
      <c r="NU16" s="69">
        <f>IF($CX16="P",CI16,(CI16+BE16)/2)</f>
        <v>13.4</v>
      </c>
      <c r="NV16" s="69">
        <f>IF($CX16="P",CJ16,(CJ16+BF16)/2)</f>
        <v>8.4499999999999993</v>
      </c>
      <c r="NW16" s="69">
        <f>IF($CX16="P",CK16,(CK16+BG16)/2)</f>
        <v>13.45</v>
      </c>
      <c r="NX16" s="69">
        <f>IF($CX16="P",CL16,(CL16+BH16)/2)</f>
        <v>14.3475</v>
      </c>
      <c r="NY16" s="69">
        <f>IF($CX16="P",CM16,(CM16+BI16)/2)</f>
        <v>0.1</v>
      </c>
      <c r="NZ16" s="69">
        <f>IF($CX16="P",CN16,(CN16+BJ16)/2)</f>
        <v>6.45</v>
      </c>
      <c r="OA16" s="69">
        <f>IF($CX16="P",CO16,(CO16+BK16)/2)</f>
        <v>4.3499999999999996</v>
      </c>
      <c r="OB16" s="69">
        <f>IF($CX16="P",CP16,(CP16+BL16)/2)</f>
        <v>6.65</v>
      </c>
      <c r="OC16" s="69">
        <f>IF($CX16="P",CQ16,(CQ16+BM16)/2)</f>
        <v>7.3049999999999997</v>
      </c>
      <c r="OD16" s="69">
        <f>IF($CX16="P",CR16,(CR16+BN16)/2)</f>
        <v>0.1</v>
      </c>
      <c r="OE16" s="69">
        <f>IF($CX16="P",CS16,(CS16+BO16)/2)</f>
        <v>13.43</v>
      </c>
      <c r="OF16" s="69">
        <f>IF($CX16="P",CT16,(CT16+BP16)/2)</f>
        <v>9.0249999999999986</v>
      </c>
      <c r="OG16" s="69">
        <f>IF($CX16="P",CU16,(CU16+BQ16)/2)</f>
        <v>13.8</v>
      </c>
      <c r="OH16" s="69">
        <f>IF($CX16="P",CV16,(CV16+BR16)/2)</f>
        <v>15.0175</v>
      </c>
      <c r="OI16" s="69">
        <f>IF($CX16="P",CW16,(CW16+BS16)/2)</f>
        <v>0</v>
      </c>
      <c r="OJ16" s="80" t="s">
        <v>91</v>
      </c>
      <c r="OK16" s="11">
        <f>IF(SUM(NP16:NS16)-NT16&gt;0,SUM(NP16:NS16)-NT16,"")</f>
        <v>47.834999999999994</v>
      </c>
      <c r="OL16" s="11">
        <f>IF(NW16&gt;0,NW16,"")</f>
        <v>13.45</v>
      </c>
      <c r="OM16" s="11">
        <f>IF(SUM(NU16:NX16)-NY16&gt;0,SUM(NU16:NX16)-NY16,"")</f>
        <v>49.547499999999992</v>
      </c>
      <c r="ON16" s="11">
        <f>IF(OB16&gt;0,OB16,"")</f>
        <v>6.65</v>
      </c>
      <c r="OO16" s="11">
        <f>IF(SUM(NZ16:OC16)-OD16&gt;0,SUM(NZ16:OC16)-OD16,"")</f>
        <v>24.655000000000001</v>
      </c>
      <c r="OP16" s="11">
        <f>IF(OR(OK16&lt;&gt;"",OM16&lt;&gt;"",OO16&lt;&gt;""),OK16+MAX(OM16,OO16),"")</f>
        <v>97.382499999999993</v>
      </c>
      <c r="OQ16" s="11">
        <f>IF(OG16&gt;0,OG16,"")</f>
        <v>13.8</v>
      </c>
      <c r="OR16" s="11">
        <f t="shared" si="0"/>
        <v>51.272499999999994</v>
      </c>
      <c r="OS16" s="11">
        <f t="shared" si="1"/>
        <v>148.65499999999997</v>
      </c>
    </row>
    <row r="17" spans="1:409" x14ac:dyDescent="0.2">
      <c r="A17" s="5" t="str" cm="1">
        <f t="array" ref="A17">IF(AND(G17&lt;&gt;"",H17&lt;&gt;""),SUMPRODUCT((G$4:G$25&lt;&gt;"")*(H$4:H$25&lt;&gt;"")*(E$4:E$25&gt;E17))+1,IF(H17&lt;&gt;"",SUMPRODUCT((I$4:I$25="No DD")*(E$4:E$25&gt;E17))+1+SUMPRODUCT((G$4:G$25&lt;&gt;"")*(H$4:H$25&lt;&gt;"")),""))</f>
        <v/>
      </c>
      <c r="B17" s="6" t="s">
        <v>200</v>
      </c>
      <c r="C17" s="7" t="s">
        <v>3</v>
      </c>
      <c r="D17" s="27">
        <v>2003</v>
      </c>
      <c r="E17" s="15">
        <f>SUM(K17:S17)</f>
        <v>250.47</v>
      </c>
      <c r="F17" s="3" t="str">
        <f>IF(G17&lt;&gt;"","P","")</f>
        <v/>
      </c>
      <c r="G17" s="125" t="str">
        <f>IF(OR(AND(AR17&gt;=AY$30,AR17&lt;&gt;"",AP17=""),AND(AT17&gt;=AY$30,AT17&lt;&gt;"",AP17=""),AND(AW17&gt;=AY$30,AW17&lt;&gt;"",AP17=""),AND(BV17&gt;=CC$30,BV17&lt;&gt;"",BT17=""),AND(BX17&gt;=CC$30,BX17&lt;&gt;"",BT17=""),AND(CA17&gt;=CC$30,CA17&lt;&gt;"",BT17=""),AND(CZ17&gt;=DG$30,CZ17&lt;&gt;"",CX17=""),AND(DB17&gt;=DG$30,DB17&lt;&gt;"",CX17=""),AND(DE17&gt;=DG$30,DE17&lt;&gt;"",CX17=""),AND(EA17&gt;=EG$30,EA17&lt;&gt;""),AND(EE17&gt;=EG$30,EE17&lt;&gt;""),AND(EW17&gt;=FC$30,EW17&lt;&gt;""),AND(FA17&gt;=FC$30,FA17&lt;&gt;""),AND(FS17&gt;=FY$30,FS17&lt;&gt;""),AND(FW17&gt;=FY$30,FW17&lt;&gt;""),AND(GO17&gt;=GU$30,GO17&lt;&gt;""),AND(GS17&gt;=GU$30,GS17&lt;&gt;""),AND(HK17&gt;=HQ$30,HK17&lt;&gt;""),AND(HO17&gt;=HQ$30,HO17&lt;&gt;""),AND(IG17&gt;=IM$30,IG17&lt;&gt;""),AND(IK17&gt;=IM$30,IK17&lt;&gt;""),AND(JC17&gt;=JI$30,JC17&lt;&gt;""),AND(JG17&gt;=JI$30,JG17&lt;&gt;""),AND(JY17&gt;=KE$30,JY17&lt;&gt;""),AND(KC17&gt;=KE$30,KC17&lt;&gt;""),AND(KU17&gt;=LA$30,KU17&lt;&gt;""),AND(KY17&gt;=LA$30,KY17&lt;&gt;""),AND(LQ17&gt;=LW$30,LQ17&lt;&gt;""),AND(LU17&gt;=LW$30,LU17&lt;&gt;""),AND(MM17&gt;=MS$30,MM17&lt;&gt;""),AND(MQ17&gt;=MS$30,MQ17&lt;&gt;""),AND(NI17&gt;=NO$30,NI17&lt;&gt;""),AND(NM17&gt;=NO$30,NM17&lt;&gt;"")),"Merit",IF(OR(AND(AR17&gt;=AY$29,AR17&lt;&gt;"",AP17=""),AND(AT17&gt;=AY$29,AT17&lt;&gt;"",AP17=""),AND(AW17&gt;=AY$29,AW17&lt;&gt;"",AP17=""),AND(BV17&gt;=CC$29,BV17&lt;&gt;"",BT17=""),AND(BX17&gt;=CC$29,BX17&lt;&gt;"",BT17=""),AND(CA17&gt;=CC$29,CA17&lt;&gt;"",BT17=""),AND(CZ17&gt;=DG$29,CZ17&lt;&gt;"",CX17=""),AND(DB17&gt;=DG$29,DB17&lt;&gt;"",CX17=""),AND(DE17&gt;=DG$29,DE17&lt;&gt;"",CX17=""),AND(EA17&gt;=EG$29,EA17&lt;&gt;""),AND(EE17&gt;=EG$29,EE17&lt;&gt;""),AND(EW17&gt;=FC$29,EW17&lt;&gt;""),AND(FA17&gt;=FC$29,FA17&lt;&gt;""),AND(FS17&gt;=FY$29,FS17&lt;&gt;""),AND(FW17&gt;=FY$29,FW17&lt;&gt;""),AND(GO17&gt;=GU$29,GO17&lt;&gt;""),AND(GS17&gt;=GU$29,GS17&lt;&gt;""),AND(HK17&gt;=HQ$29,HK17&lt;&gt;""),AND(HO17&gt;=HQ$29,HO17&lt;&gt;""),AND(IG17&gt;=IM$29,IG17&lt;&gt;""),AND(IK17&gt;=IM$29,IK17&lt;&gt;""),AND(JC17&gt;=JI$29,JC17&lt;&gt;""),AND(JG17&gt;=JI$29,JG17&lt;&gt;""),AND(JY17&gt;=KE$29,JY17&lt;&gt;""),AND(KC17&gt;=KE$29,KC17&lt;&gt;""),AND(KU17&gt;=LA$29,KU17&lt;&gt;""),AND(KY17&gt;=LA$29,KY17&lt;&gt;""),AND(LQ17&gt;=LW$29,LQ17&lt;&gt;""),AND(LU17&gt;=LW$29,LU17&lt;&gt;""),AND(MM17&gt;=MS$29,MM17&lt;&gt;""),AND(MQ17&gt;=MS$29,MQ17&lt;&gt;""),AND(NI17&gt;=NO$29,NI17&lt;&gt;""),AND(NM17&gt;=NO$29,NM17&lt;&gt;"")),"Excellence",IF(OR(AND(AR17&gt;=AY$28,AR17&lt;&gt;"",AP17=""),AND(AT17&gt;=AY$28,AT17&lt;&gt;"",AP17=""),AND(AW17&gt;=AY$28,AW17&lt;&gt;"",AP17=""),AND(BV17&gt;=CC$28,BV17&lt;&gt;"",BT17=""),AND(BX17&gt;=CC$28,BX17&lt;&gt;"",BT17=""),AND(CA17&gt;=CC$28,CA17&lt;&gt;"",BT17=""),AND(CZ17&gt;=DG$28,CZ17&lt;&gt;"",CX17=""),AND(DB17&gt;=DG$28,DB17&lt;&gt;"",CX17=""),AND(DE17&gt;=DG$28,DE17&lt;&gt;"",CX17=""),AND(EA17&gt;=EG$28,EA17&lt;&gt;""),AND(EE17&gt;=EG$28,EE17&lt;&gt;""),AND(EW17&gt;=FC$28,EW17&lt;&gt;""),AND(FA17&gt;=FC$28,FA17&lt;&gt;""),AND(FS17&gt;=FY$28,FS17&lt;&gt;""),AND(FW17&gt;=FY$28,FW17&lt;&gt;""),AND(GO17&gt;=GU$28,GO17&lt;&gt;""),AND(GS17&gt;=GU$28,GS17&lt;&gt;""),AND(HK17&gt;=HQ$28,HK17&lt;&gt;""),AND(HO17&gt;=HQ$28,HO17&lt;&gt;""),AND(IG17&gt;=IM$28,IG17&lt;&gt;""),AND(IK17&gt;=IM$28,IK17&lt;&gt;""),AND(JC17&gt;=JI$28,JC17&lt;&gt;""),AND(JG17&gt;=JI$28,JG17&lt;&gt;""),AND(JY17&gt;=KE$28,JY17&lt;&gt;""),AND(KC17&gt;=KE$28,KC17&lt;&gt;""),AND(KU17&gt;=LA$28,KU17&lt;&gt;""),AND(KY17&gt;=LA$28,KY17&lt;&gt;""),AND(LQ17&gt;=LW$28,LQ17&lt;&gt;""),AND(LU17&gt;=LW$28,LU17&lt;&gt;""),AND(MM17&gt;=MS$28,MM17&lt;&gt;""),AND(MQ17&gt;=MS$28,MQ17&lt;&gt;""),AND(NI17&gt;=NO$28,NI17&lt;&gt;""),AND(NM17&gt;=NO$28,NM17&lt;&gt;"")),"Worlds Team",IF(OR(AND(AR17&gt;=AY$27,AR17&lt;&gt;"",AP17=""),AND(AT17&gt;=AY$27,AT17&lt;&gt;"",AP17=""),AND(AW17&gt;=AY$27,AW17&lt;&gt;"",AP17=""),AND(BV17&gt;=CC$27,BV17&lt;&gt;"",BT17=""),AND(BX17&gt;=CC$27,BX17&lt;&gt;"",BT17=""),AND(CA17&gt;=CC$27,CA17&lt;&gt;"",BT17=""),AND(CZ17&gt;=DG$27,CZ17&lt;&gt;"",CX17=""),AND(DB17&gt;=DG$27,DB17&lt;&gt;"",CX17=""),AND(DE17&gt;=DG$27,DE17&lt;&gt;"",CX17=""),AND(EA17&gt;=EG$27,EA17&lt;&gt;""),AND(EE17&gt;=EG$27,EE17&lt;&gt;""),AND(EW17&gt;=FC$27,EW17&lt;&gt;""),AND(FA17&gt;=FC$27,FA17&lt;&gt;""),AND(FS17&gt;=FY$27,FS17&lt;&gt;""),AND(FW17&gt;=FY$27,FW17&lt;&gt;""),AND(GO17&gt;=GU$27,GO17&lt;&gt;""),AND(GS17&gt;=GU$27,GS17&lt;&gt;""),AND(HK17&gt;=HQ$27,HK17&lt;&gt;""),AND(HO17&gt;=HQ$27,HO17&lt;&gt;""),AND(IG17&gt;=IM$27,IG17&lt;&gt;""),AND(IK17&gt;=IM$27,IK17&lt;&gt;""),AND(JC17&gt;=JI$27,JC17&lt;&gt;""),AND(JG17&gt;=JI$27,JG17&lt;&gt;""),AND(JY17&gt;=KE$27,JY17&lt;&gt;""),AND(KC17&gt;=KE$27,KC17&lt;&gt;""),AND(KU17&gt;=LA$27,KU17&lt;&gt;""),AND(KY17&gt;=LA$27,KY17&lt;&gt;""),AND(LQ17&gt;=LW$27,LQ17&lt;&gt;""),AND(LU17&gt;=LW$27,LU17&lt;&gt;""),AND(MM17&gt;=MS$27,MM17&lt;&gt;""),AND(MQ17&gt;=MS$27,MQ17&lt;&gt;""),AND(NI17&gt;=NO$27,NI17&lt;&gt;""),AND(NM17&gt;=NO$27,NM17&lt;&gt;"")),"National Team",""))))</f>
        <v/>
      </c>
      <c r="H17" s="125" t="str">
        <f>IF(OR(AND(AS17&gt;=AY$34,AS17&lt;&gt;"",AP17=""),AND(AU17&gt;=AY$34,AU17&lt;&gt;"",AP17=""),AND(AX17&gt;=AY$34,AX17&lt;&gt;"",AP17=""),AND(BW17&gt;=CC$34,BW17&lt;&gt;"",BT17=""),AND(BY17&gt;=CC$34,BY17&lt;&gt;"",BT17=""),AND(CB17&gt;=CC$34,CB17&lt;&gt;"",BT17=""),AND(DA17&gt;=DG$34,DA17&lt;&gt;"",CX17=""),AND(DC17&gt;=DG$34,DC17&lt;&gt;"",CX17=""),AND(DF17&gt;=DG$34,DF17&lt;&gt;"",CX17=""),AND(EC17&gt;=EG$34,EC17&lt;&gt;""),AND(EF17&gt;=EG$34,EF17&lt;&gt;""),AND(EY17&gt;=FC$34,EY17&lt;&gt;""),AND(FB17&gt;=FC$34,FB17&lt;&gt;""),AND(FU17&gt;=FY$34,FU17&lt;&gt;""),AND(FX17&gt;=FY$34,FX17&lt;&gt;""),AND(GQ17&gt;=GU$34,GQ17&lt;&gt;""),AND(GT17&gt;=GU$34,GT17&lt;&gt;""),AND(HM17&gt;=HQ$34,HM17&lt;&gt;""),AND(HP17&gt;=HQ$34,HP17&lt;&gt;""),AND(II17&gt;=IM$34,II17&lt;&gt;""),AND(IL17&gt;=IM$34,IL17&lt;&gt;""),AND(JE17&gt;=JI$34,JE17&lt;&gt;""),AND(JH17&gt;=JI$34,JH17&lt;&gt;""),AND(KA17&gt;=KE$34,KA17&lt;&gt;""),AND(KD17&gt;=KE$34,KD17&lt;&gt;""),AND(KW17&gt;=LA$34,KW17&lt;&gt;""),AND(KZ17&gt;=LA$34,KZ17&lt;&gt;""),AND(LS17&gt;=LW$34,LS17&lt;&gt;""),AND(LV17&gt;=LW$34,LV17&lt;&gt;""),AND(MO17&gt;=MS$34,MO17&lt;&gt;""),AND(MR17&gt;=MS$34,MR17&lt;&gt;""),AND(NK17&gt;=NO$34,NK17&lt;&gt;""),AND(NN17&gt;=NO$34,NN17&lt;&gt;"")),"Merit",IF(OR(AND(AS17&gt;=AY$33,AS17&lt;&gt;"",AP17=""),AND(AU17&gt;=AY$33,AU17&lt;&gt;"",AP17=""),AND(AX17&gt;=AY$33,AX17&lt;&gt;"",AP17=""),AND(BW17&gt;=CC$33,BW17&lt;&gt;"",BT17=""),AND(BY17&gt;=CC$33,BY17&lt;&gt;"",BT17=""),AND(CB17&gt;=CC$33,CB17&lt;&gt;"",BT17=""),AND(DA17&gt;=DG$33,DA17&lt;&gt;"",CX17=""),AND(DC17&gt;=DG$33,DC17&lt;&gt;"",CX17=""),AND(DF17&gt;=DG$33,DF17&lt;&gt;"",CX17=""),AND(EC17&gt;=EG$33,EC17&lt;&gt;""),AND(EF17&gt;=EG$33,EF17&lt;&gt;""),AND(EY17&gt;=FC$33,EY17&lt;&gt;""),AND(FB17&gt;=FC$33,FB17&lt;&gt;""),AND(FU17&gt;=FY$33,FU17&lt;&gt;""),AND(FX17&gt;=FY$33,FX17&lt;&gt;""),AND(GQ17&gt;=GU$33,GQ17&lt;&gt;""),AND(GT17&gt;=GU$33,GT17&lt;&gt;""),AND(HM17&gt;=HQ$33,HM17&lt;&gt;""),AND(HP17&gt;=HQ$33,HP17&lt;&gt;""),AND(II17&gt;=IM$33,II17&lt;&gt;""),AND(IL17&gt;=IM$33,IL17&lt;&gt;""),AND(JE17&gt;=JI$33,JE17&lt;&gt;""),AND(JH17&gt;=JI$33,JH17&lt;&gt;""),AND(KA17&gt;=KE$33,KA17&lt;&gt;""),AND(KD17&gt;=KE$33,KD17&lt;&gt;""),AND(KW17&gt;=LA$33,KW17&lt;&gt;""),AND(KZ17&gt;=LA$33,KZ17&lt;&gt;""),AND(LS17&gt;=LW$33,LS17&lt;&gt;""),AND(LV17&gt;=LW$33,LV17&lt;&gt;""),AND(MO17&gt;=MS$33,MO17&lt;&gt;""),AND(MR17&gt;=MS$33,MR17&lt;&gt;""),AND(NK17&gt;=NO$33,NK17&lt;&gt;""),AND(NN17&gt;=NO$33,NN17&lt;&gt;"")),"Excellence",IF(OR(AND(AV17&gt;=AY$32,AV17&lt;&gt;"",AP17=""),AND(BZ17&gt;=CC$32,BZ17&lt;&gt;"",BT17=""),AND(DD17&gt;=DG$32,DD17&lt;&gt;"",CX17=""),AND(ED17&gt;=EG$32,ED17&lt;&gt;""),AND(EZ17&gt;=FC$32,EZ17&lt;&gt;""),AND(FV17&gt;=FY$32,FV17&lt;&gt;""),AND(GR17&gt;=GU$32,GR17&lt;&gt;""),AND(HN17&gt;=HQ$32,HN17&lt;&gt;""),AND(IJ17&gt;=IM$32,IJ17&lt;&gt;""),AND(JF17&gt;=JI$32,JF17&lt;&gt;""),AND(KB17&gt;=KE$32,KB17&lt;&gt;""),AND(KX17&gt;=LA$32,KX17&lt;&gt;""),AND(LT17&gt;=LW$32,LT17&lt;&gt;""),AND(MP17&gt;=MS$32,MP17&lt;&gt;""),AND(NL17&gt;=NO$32,NL17&lt;&gt;"")),"Worlds Team",IF(OR(AND(AV17&gt;=AY$31,AV17&lt;&gt;"",AP17=""),AND(BZ17&gt;=CC$31,BZ17&lt;&gt;"",BT17=""),AND(DD17&gt;=DG$31,DD17&lt;&gt;"",CX17=""),AND(ED17&gt;=EG$31,ED17&lt;&gt;""),AND(EZ17&gt;=FC$31,EZ17&lt;&gt;""),AND(FV17&gt;=FY$31,FV17&lt;&gt;""),AND(GR17&gt;=GU$31,GR17&lt;&gt;""),AND(HN17&gt;=HQ$31,HN17&lt;&gt;""),AND(IJ17&gt;=IM$31,IJ17&lt;&gt;""),AND(JF17&gt;=JI$31,JF17&lt;&gt;""),AND(KB17&gt;=KE$31,KB17&lt;&gt;""),AND(KX17&gt;=LA$31,KX17&lt;&gt;""),AND(LT17&gt;=LW$31,LT17&lt;&gt;""),AND(MP17&gt;=MS$31,MP17&lt;&gt;""),AND(NL17&gt;=NO$31,NL17&lt;&gt;"")),"National Team",""))))</f>
        <v/>
      </c>
      <c r="I17" s="12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$32,AV17&lt;&gt;"",AP17=""),AND(BZ17&gt;=CC$32,BZ17&lt;&gt;"",BT17=""),AND(DD17&gt;=DG$32,DD17&lt;&gt;"",CX17=""),AND(ED17&gt;=EG$32,ED17&lt;&gt;""),AND(EZ17&gt;=FC$32,EZ17&lt;&gt;""),AND(FV17&gt;=FY$32,FV17&lt;&gt;""),AND(GR17&gt;=GU$32,GR17&lt;&gt;""),AND(HN17&gt;=HQ$32,HN17&lt;&gt;""),AND(IJ17&gt;=IM$32,IJ17&lt;&gt;""),AND(JF17&gt;=JI$32,JF17&lt;&gt;""),AND(KB17&gt;=KE$32,KB17&lt;&gt;""),AND(KX17&gt;=LA$32,KX17&lt;&gt;""),AND(LT17&gt;=LW$32,LT17&lt;&gt;""),AND(MP17&gt;=MS$32,MP17&lt;&gt;""),AND(NL17&gt;=NO$32,NL17&lt;&gt;"")),OR(G17="Worlds Team",G17="Excellence",G17="Merit")),"P","")</f>
        <v/>
      </c>
      <c r="K17" s="14">
        <f>IF(MAX(AV17,BZ17,DD17)&gt;0,MAX(AV17,BZ17,DD17),0)</f>
        <v>100.17999999999999</v>
      </c>
      <c r="L17" s="14" t="str">
        <f>IF(K17=0,"",IF(K17=DD17,$CD$1,IF(K17=BZ17,$AZ$1,IF(K17=AV17,$V$1,""))))</f>
        <v>2021 1st Virtual Technical Trial</v>
      </c>
      <c r="M17" s="14">
        <f>IF($K17=$AV17,MAX(BU17,CY17),IF($K17=$BZ17,MAX(AQ17,CY17),IF($K17=$DD17,MAX(AQ17,BU17),MAX(AQ17,BU17,CY17))))</f>
        <v>46.495000000000005</v>
      </c>
      <c r="N17" s="14" t="str">
        <f>IF(M17=0,"",IF(AND(M17=CY17,$L17&lt;&gt;$CD$1),$CD$1,IF(AND(M17=BU17,$L17&lt;&gt;$AZ$1),$AZ$1,IF(AND(M17=AQ17,$L17&lt;&gt;$V$1),$V$1,""))))</f>
        <v>2019 Elite Canada</v>
      </c>
      <c r="O17" s="14">
        <f>IF(K17-N(AQ17)=AS17,MAX(AU17,BW17,BY17,DA17,DC17),IF(K17-N(AQ17)=AU17,MAX(AS17,BW17,BY17,DA17,DC17),IF(K17-N(BU17)=BW17,MAX(AS17,AU17,BY17,DA17,DC17),IF(K17-N(BU17)=BY17,MAX(AS17,AU17,BW17,DA17,DC17),IF(K17-N(CY17)=DA17,MAX(AS17,AU17,BW17,BY17,DC17),IF(K17-N(CY17)=DC17,MAX(AS17,AU17,BW17,BY17,DA17),MAX(AS17,AU17,BW17,BY17,DA17,DC17)))))))</f>
        <v>51.875</v>
      </c>
      <c r="P17" s="14" t="str">
        <f>IF(O17=0,"",IF(OR(O17=DC17,O17=DA17),$CD$1,IF(OR(O17=BY17,O17=BW17),$AZ$1,IF(OR(O17=AU17,O17=AS17),$V$1,""))))</f>
        <v>2019 Elite Canada</v>
      </c>
      <c r="Q17" s="14">
        <f>MAX(AX17,CB17,DF17)</f>
        <v>51.505000000000003</v>
      </c>
      <c r="R17" s="14" t="str">
        <f>IF(Q17=0,"",IF(Q17=DF17,$CD$1,IF(Q17=CB17,$AZ$1,IF(Q17=AX17,$V$1,""))))</f>
        <v>2019 Elite Canada</v>
      </c>
      <c r="S17" s="14">
        <f>IF(MAX(DH17,DI17,DJ17,DK17)&gt;0,MAX(DH17,DI17,DJ17,DK17),"")</f>
        <v>0.41499999999999204</v>
      </c>
      <c r="T17" s="25" t="str">
        <f>IF(S17="","",IF(S17=DH17,"(Vol 1)",IF(S17=DI17,"(Vol 2)",IF(S17=DJ17,"(Prelim)",IF(S17=DK17,"(Final)")))))</f>
        <v>(Vol 2)</v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>2019 WAGC (Dec 7)</v>
      </c>
      <c r="V17" s="69">
        <v>17.100000000000001</v>
      </c>
      <c r="W17" s="69">
        <v>9.35</v>
      </c>
      <c r="X17" s="69">
        <v>3.9</v>
      </c>
      <c r="Y17" s="69">
        <v>16.145</v>
      </c>
      <c r="Z17" s="69">
        <v>0</v>
      </c>
      <c r="AA17" s="69">
        <v>13.3</v>
      </c>
      <c r="AB17" s="69">
        <v>9.6</v>
      </c>
      <c r="AC17" s="69">
        <v>13.8</v>
      </c>
      <c r="AD17" s="69">
        <v>15.175000000000001</v>
      </c>
      <c r="AE17" s="69">
        <v>0</v>
      </c>
      <c r="AF17" s="69"/>
      <c r="AG17" s="69"/>
      <c r="AH17" s="69"/>
      <c r="AI17" s="69"/>
      <c r="AJ17" s="69"/>
      <c r="AK17" s="69">
        <v>13.8</v>
      </c>
      <c r="AL17" s="69">
        <v>9</v>
      </c>
      <c r="AM17" s="69">
        <v>13.8</v>
      </c>
      <c r="AN17" s="69">
        <v>14.904999999999999</v>
      </c>
      <c r="AO17" s="69">
        <v>0</v>
      </c>
      <c r="AP17" s="80"/>
      <c r="AQ17" s="11">
        <f>IF(SUM(V17:Y17)-Z17&gt;0,SUM(V17:Y17)-Z17,"")</f>
        <v>46.495000000000005</v>
      </c>
      <c r="AR17" s="11">
        <f>IF(AC17&gt;0,AC17,"")</f>
        <v>13.8</v>
      </c>
      <c r="AS17" s="11">
        <f>IF(SUM(AA17:AD17)-AE17&gt;0,SUM(AA17:AD17)-AE17,"")</f>
        <v>51.875</v>
      </c>
      <c r="AT17" s="11" t="str">
        <f>IF(AH17&gt;0,AH17,"")</f>
        <v/>
      </c>
      <c r="AU17" s="11" t="str">
        <f>IF(SUM(AF17:AI17)-AJ17&gt;0,SUM(AF17:AI17)-AJ17,"")</f>
        <v/>
      </c>
      <c r="AV17" s="11">
        <f>IF(OR(AQ17&lt;&gt;"",AS17&lt;&gt;"",AU17&lt;&gt;""),AQ17+MAX(AS17,AU17),"")</f>
        <v>98.37</v>
      </c>
      <c r="AW17" s="11">
        <f>IF(AM17&gt;0,AM17,"")</f>
        <v>13.8</v>
      </c>
      <c r="AX17" s="11">
        <f>IF(SUM(AK17:AN17)-AO17&gt;0,SUM(AK17:AN17)-AO17,"")</f>
        <v>51.505000000000003</v>
      </c>
      <c r="AY17" s="11">
        <f>IF(SUM(AV17,AX17)&gt;0,SUM(AV17,AX17),"")</f>
        <v>149.875</v>
      </c>
      <c r="AZ17" s="75">
        <v>17.7</v>
      </c>
      <c r="BA17" s="75">
        <v>8.9</v>
      </c>
      <c r="BB17" s="75">
        <v>3.9</v>
      </c>
      <c r="BC17" s="75">
        <v>15.935</v>
      </c>
      <c r="BD17" s="75">
        <v>0</v>
      </c>
      <c r="BE17" s="75">
        <v>13.7</v>
      </c>
      <c r="BF17" s="75">
        <v>8.6999999999999993</v>
      </c>
      <c r="BG17" s="75">
        <v>13.8</v>
      </c>
      <c r="BH17" s="75">
        <v>15.404999999999999</v>
      </c>
      <c r="BI17" s="75">
        <v>0</v>
      </c>
      <c r="BJ17" s="75"/>
      <c r="BK17" s="75"/>
      <c r="BL17" s="75"/>
      <c r="BM17" s="75"/>
      <c r="BN17" s="75"/>
      <c r="BO17" s="75">
        <v>5.44</v>
      </c>
      <c r="BP17" s="75">
        <v>3.5</v>
      </c>
      <c r="BQ17" s="75">
        <v>6.1</v>
      </c>
      <c r="BR17" s="75">
        <v>6.1749999999999998</v>
      </c>
      <c r="BS17" s="75">
        <v>0</v>
      </c>
      <c r="BT17" s="81"/>
      <c r="BU17" s="14">
        <f>IF(SUM(AZ17:BC17)-BD17&gt;0,SUM(AZ17:BC17)-BD17,"")</f>
        <v>46.435000000000002</v>
      </c>
      <c r="BV17" s="14">
        <f>IF(BG17&gt;0,BG17,"")</f>
        <v>13.8</v>
      </c>
      <c r="BW17" s="14">
        <f>IF(SUM(BE17:BH17)-BI17&gt;0,SUM(BE17:BH17)-BI17,"")</f>
        <v>51.605000000000004</v>
      </c>
      <c r="BX17" s="14" t="str">
        <f>IF(BL17&gt;0,BL17,"")</f>
        <v/>
      </c>
      <c r="BY17" s="14" t="str">
        <f>IF(SUM(BJ17:BM17)-BN17&gt;0,SUM(BJ17:BM17)-BN17,"")</f>
        <v/>
      </c>
      <c r="BZ17" s="14">
        <f>IF(BU17="",IF(MAX(BW17,BY17)&gt;0,MAX(BW17,BY17),""),MAX(BW17,BY17)+BU17)</f>
        <v>98.04</v>
      </c>
      <c r="CA17" s="14">
        <f>IF(BQ17&gt;0,BQ17,"")</f>
        <v>6.1</v>
      </c>
      <c r="CB17" s="14">
        <f>IF(SUM(BO17:BR17)-BS17&gt;0,SUM(BO17:BR17)-BS17,"")</f>
        <v>21.215</v>
      </c>
      <c r="CC17" s="14">
        <f>IF(SUM(BZ17,CB17)&gt;0,SUM(BZ17,CB17),"")</f>
        <v>119.25500000000001</v>
      </c>
      <c r="CD17" s="69">
        <v>17.7</v>
      </c>
      <c r="CE17" s="69">
        <v>9.6</v>
      </c>
      <c r="CF17" s="69">
        <v>3.9</v>
      </c>
      <c r="CG17" s="69">
        <v>16.34</v>
      </c>
      <c r="CH17" s="69">
        <v>0</v>
      </c>
      <c r="CI17" s="69">
        <v>14.3</v>
      </c>
      <c r="CJ17" s="69">
        <v>8.9</v>
      </c>
      <c r="CK17" s="69">
        <v>13.6</v>
      </c>
      <c r="CL17" s="69">
        <v>14.59</v>
      </c>
      <c r="CM17" s="69">
        <v>0</v>
      </c>
      <c r="CN17" s="69">
        <v>14.6</v>
      </c>
      <c r="CO17" s="69">
        <v>9.1</v>
      </c>
      <c r="CP17" s="69">
        <v>13.8</v>
      </c>
      <c r="CQ17" s="69">
        <v>15.14</v>
      </c>
      <c r="CR17" s="69">
        <v>0</v>
      </c>
      <c r="CS17" s="69">
        <v>13</v>
      </c>
      <c r="CT17" s="69">
        <v>8.9</v>
      </c>
      <c r="CU17" s="69">
        <v>13.8</v>
      </c>
      <c r="CV17" s="69">
        <v>14.96</v>
      </c>
      <c r="CW17" s="69">
        <v>0</v>
      </c>
      <c r="CX17" s="80"/>
      <c r="CY17" s="11">
        <f>IF(SUM(CD17:CG17)-CH17&gt;0,SUM(CD17:CG17)-CH17,"")</f>
        <v>47.539999999999992</v>
      </c>
      <c r="CZ17" s="11">
        <f>IF(CK17&gt;0,CK17,"")</f>
        <v>13.6</v>
      </c>
      <c r="DA17" s="11">
        <f>IF(SUM(CI17:CL17)-CM17&gt;0,SUM(CI17:CL17)-CM17,"")</f>
        <v>51.39</v>
      </c>
      <c r="DB17" s="11">
        <f>IF(CP17&gt;0,CP17,"")</f>
        <v>13.8</v>
      </c>
      <c r="DC17" s="11">
        <f>IF(SUM(CN17:CQ17)-CR17&gt;0,SUM(CN17:CQ17)-CR17,"")</f>
        <v>52.64</v>
      </c>
      <c r="DD17" s="11">
        <f>IF(CY17="",IF(MAX(DA17,DC17)&gt;0,MAX(DA17,DC17),""),MAX(DA17,DC17)+CY17)</f>
        <v>100.17999999999999</v>
      </c>
      <c r="DE17" s="11">
        <f>IF(CU17&gt;0,CU17,"")</f>
        <v>13.8</v>
      </c>
      <c r="DF17" s="11">
        <f>IF(SUM(CS17:CV17)-CW17&gt;0,SUM(CS17:CV17)-CW17,"")</f>
        <v>50.660000000000004</v>
      </c>
      <c r="DG17" s="11">
        <f>IF(SUM(DD17,DF17)&gt;0,SUM(DD17,DF17),"")</f>
        <v>150.84</v>
      </c>
      <c r="DH17" s="24" t="str">
        <f>IF(MAX(EB17,EX17,FT17,GP17,HL17,IH17,JD17,JZ17,KV17,LR17,MN17,NJ17)-IF(M17="",0,M17)&gt;0.001,MAX(EB17,EX17,FT17,GP17,HL17,IH17,JD17,JZ17,KV17,LR17,MN17,NJ17)-IF(M17="",0,M17),"")</f>
        <v/>
      </c>
      <c r="DI17" s="24">
        <f>IF(MAX(EC17,EY17,FU17,GQ17,HM17,II17,JE17,KA17,KW17,LS17,MO17,NK17)-IF(O17="",0,O17)&gt;0.001,MAX(EC17,EY17,FU17,GQ17,HM17,II17,JE17,KA17,KW17,LS17,MO17,NK17)-IF(O17="",0,O17),"")</f>
        <v>0.41499999999999204</v>
      </c>
      <c r="DJ17" s="24" t="str">
        <f>IF(MAX(ED17,EZ17,FV17,GR17,HN17,IJ17,JF17,KB17,KX17,LT17,MP17,NL17)-IF(K17="",0,K17)&gt;0.001,MAX(ED17,EZ17,FV17,GR17,HN17,IJ17,JF17,KB17,KX17,LT17,MP17,NL17)-IF(K17="",0,K17),"")</f>
        <v/>
      </c>
      <c r="DK17" s="24" t="str">
        <f>IF(MAX(EF17,FB17,FX17,GT17,HP17,IL17,JH17,KD17,KZ17,LV17,MR17,NN17)-IF(Q17="",0,Q17)&gt;0.001,MAX(EF17,FB17,FX17,GT17,HP17,IL17,JH17,KD17,KZ17,LV17,MR17,NN17)-IF(Q17="",0,Q17),"")</f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7">
        <v>16.100000000000001</v>
      </c>
      <c r="FE17" s="37">
        <v>9.5</v>
      </c>
      <c r="FF17" s="37">
        <v>0</v>
      </c>
      <c r="FG17" s="37">
        <v>15.89</v>
      </c>
      <c r="FH17" s="37">
        <v>0</v>
      </c>
      <c r="FI17" s="37">
        <v>14.2</v>
      </c>
      <c r="FJ17" s="37">
        <v>9.6</v>
      </c>
      <c r="FK17" s="37">
        <v>13.4</v>
      </c>
      <c r="FL17" s="37">
        <v>15.09</v>
      </c>
      <c r="FM17" s="37">
        <v>0</v>
      </c>
      <c r="FN17" s="37"/>
      <c r="FO17" s="37"/>
      <c r="FP17" s="37"/>
      <c r="FQ17" s="37"/>
      <c r="FR17" s="37"/>
      <c r="FS17" s="11">
        <f>IF(FK17&gt;0,FK17,"")</f>
        <v>13.4</v>
      </c>
      <c r="FT17" s="11">
        <f>IF(SUM(FD17:FG17)-FH17&gt;0,SUM(FD17:FG17)-FH17,"")</f>
        <v>41.49</v>
      </c>
      <c r="FU17" s="11">
        <f>IF(SUM(FI17:FL17)-FM17&gt;0,SUM(FI17:FL17)-FM17,"")</f>
        <v>52.289999999999992</v>
      </c>
      <c r="FV17" s="11">
        <f>IF(SUM(FT17:FU17)&gt;0,SUM(FT17:FU17),"")</f>
        <v>93.78</v>
      </c>
      <c r="FW17" s="11" t="str">
        <f>IF(FP17&gt;0,FP17,"")</f>
        <v/>
      </c>
      <c r="FX17" s="11" t="str">
        <f>IF(SUM(FN17:FQ17)-FR17&gt;0,SUM(FN17:FQ17)-FR17,"")</f>
        <v/>
      </c>
      <c r="FY17" s="11">
        <f>IF(SUM(FV17,FX17)&gt;0,SUM(FV17,FX17),"")</f>
        <v>93.78</v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9">
        <f>IF($CX17="P",CD17,(CD17+AZ17)/2)</f>
        <v>17.7</v>
      </c>
      <c r="NQ17" s="69">
        <f>IF($CX17="P",CE17,(CE17+BA17)/2)</f>
        <v>9.25</v>
      </c>
      <c r="NR17" s="69">
        <f>IF($CX17="P",CF17,(CF17+BB17)/2)</f>
        <v>3.9</v>
      </c>
      <c r="NS17" s="69">
        <f>IF($CX17="P",CG17,(CG17+BC17)/2)</f>
        <v>16.137499999999999</v>
      </c>
      <c r="NT17" s="69">
        <f>IF($CX17="P",CH17,(CH17+BD17)/2)</f>
        <v>0</v>
      </c>
      <c r="NU17" s="69">
        <f>IF($CX17="P",CI17,(CI17+BE17)/2)</f>
        <v>14</v>
      </c>
      <c r="NV17" s="69">
        <f>IF($CX17="P",CJ17,(CJ17+BF17)/2)</f>
        <v>8.8000000000000007</v>
      </c>
      <c r="NW17" s="69">
        <f>IF($CX17="P",CK17,(CK17+BG17)/2)</f>
        <v>13.7</v>
      </c>
      <c r="NX17" s="69">
        <f>IF($CX17="P",CL17,(CL17+BH17)/2)</f>
        <v>14.997499999999999</v>
      </c>
      <c r="NY17" s="69">
        <f>IF($CX17="P",CM17,(CM17+BI17)/2)</f>
        <v>0</v>
      </c>
      <c r="NZ17" s="69">
        <f>IF($CX17="P",CN17,(CN17+BJ17)/2)</f>
        <v>7.3</v>
      </c>
      <c r="OA17" s="69">
        <f>IF($CX17="P",CO17,(CO17+BK17)/2)</f>
        <v>4.55</v>
      </c>
      <c r="OB17" s="69">
        <f>IF($CX17="P",CP17,(CP17+BL17)/2)</f>
        <v>6.9</v>
      </c>
      <c r="OC17" s="69">
        <f>IF($CX17="P",CQ17,(CQ17+BM17)/2)</f>
        <v>7.57</v>
      </c>
      <c r="OD17" s="69">
        <f>IF($CX17="P",CR17,(CR17+BN17)/2)</f>
        <v>0</v>
      </c>
      <c r="OE17" s="69">
        <f>IF($CX17="P",CS17,(CS17+BO17)/2)</f>
        <v>9.2200000000000006</v>
      </c>
      <c r="OF17" s="69">
        <f>IF($CX17="P",CT17,(CT17+BP17)/2)</f>
        <v>6.2</v>
      </c>
      <c r="OG17" s="69">
        <f>IF($CX17="P",CU17,(CU17+BQ17)/2)</f>
        <v>9.9499999999999993</v>
      </c>
      <c r="OH17" s="69">
        <f>IF($CX17="P",CV17,(CV17+BR17)/2)</f>
        <v>10.567500000000001</v>
      </c>
      <c r="OI17" s="69">
        <f>IF($CX17="P",CW17,(CW17+BS17)/2)</f>
        <v>0</v>
      </c>
      <c r="OJ17" s="80" t="s">
        <v>91</v>
      </c>
      <c r="OK17" s="11">
        <f>IF(SUM(NP17:NS17)-NT17&gt;0,SUM(NP17:NS17)-NT17,"")</f>
        <v>46.987499999999997</v>
      </c>
      <c r="OL17" s="11">
        <f>IF(NW17&gt;0,NW17,"")</f>
        <v>13.7</v>
      </c>
      <c r="OM17" s="11">
        <f>IF(SUM(NU17:NX17)-NY17&gt;0,SUM(NU17:NX17)-NY17,"")</f>
        <v>51.497500000000002</v>
      </c>
      <c r="ON17" s="11">
        <f>IF(OB17&gt;0,OB17,"")</f>
        <v>6.9</v>
      </c>
      <c r="OO17" s="11">
        <f>IF(SUM(NZ17:OC17)-OD17&gt;0,SUM(NZ17:OC17)-OD17,"")</f>
        <v>26.32</v>
      </c>
      <c r="OP17" s="11">
        <f>IF(OR(OK17&lt;&gt;"",OM17&lt;&gt;"",OO17&lt;&gt;""),OK17+MAX(OM17,OO17),"")</f>
        <v>98.484999999999999</v>
      </c>
      <c r="OQ17" s="11">
        <f>IF(OG17&gt;0,OG17,"")</f>
        <v>9.9499999999999993</v>
      </c>
      <c r="OR17" s="11">
        <f t="shared" si="0"/>
        <v>35.9375</v>
      </c>
      <c r="OS17" s="11">
        <f t="shared" si="1"/>
        <v>134.42250000000001</v>
      </c>
    </row>
    <row r="18" spans="1:409" x14ac:dyDescent="0.2">
      <c r="A18" s="5" t="str" cm="1">
        <f t="array" ref="A18">IF(AND(G18&lt;&gt;"",H18&lt;&gt;""),SUMPRODUCT((G$4:G$25&lt;&gt;"")*(H$4:H$25&lt;&gt;"")*(E$4:E$25&gt;E18))+1,IF(H18&lt;&gt;"",SUMPRODUCT((I$4:I$25="No DD")*(E$4:E$25&gt;E18))+1+SUMPRODUCT((G$4:G$25&lt;&gt;"")*(H$4:H$25&lt;&gt;"")),""))</f>
        <v/>
      </c>
      <c r="B18" s="6" t="s">
        <v>186</v>
      </c>
      <c r="C18" s="7" t="s">
        <v>3</v>
      </c>
      <c r="D18" s="27">
        <v>2003</v>
      </c>
      <c r="E18" s="15">
        <f>SUM(K18:S18)</f>
        <v>250.05500000000001</v>
      </c>
      <c r="F18" s="3" t="str">
        <f>IF(G18&lt;&gt;"","P","")</f>
        <v/>
      </c>
      <c r="G18" s="125" t="str">
        <f>IF(OR(AND(AR18&gt;=AY$30,AR18&lt;&gt;"",AP18=""),AND(AT18&gt;=AY$30,AT18&lt;&gt;"",AP18=""),AND(AW18&gt;=AY$30,AW18&lt;&gt;"",AP18=""),AND(BV18&gt;=CC$30,BV18&lt;&gt;"",BT18=""),AND(BX18&gt;=CC$30,BX18&lt;&gt;"",BT18=""),AND(CA18&gt;=CC$30,CA18&lt;&gt;"",BT18=""),AND(CZ18&gt;=DG$30,CZ18&lt;&gt;"",CX18=""),AND(DB18&gt;=DG$30,DB18&lt;&gt;"",CX18=""),AND(DE18&gt;=DG$30,DE18&lt;&gt;"",CX18=""),AND(EA18&gt;=EG$30,EA18&lt;&gt;""),AND(EE18&gt;=EG$30,EE18&lt;&gt;""),AND(EW18&gt;=FC$30,EW18&lt;&gt;""),AND(FA18&gt;=FC$30,FA18&lt;&gt;""),AND(FS18&gt;=FY$30,FS18&lt;&gt;""),AND(FW18&gt;=FY$30,FW18&lt;&gt;""),AND(GO18&gt;=GU$30,GO18&lt;&gt;""),AND(GS18&gt;=GU$30,GS18&lt;&gt;""),AND(HK18&gt;=HQ$30,HK18&lt;&gt;""),AND(HO18&gt;=HQ$30,HO18&lt;&gt;""),AND(IG18&gt;=IM$30,IG18&lt;&gt;""),AND(IK18&gt;=IM$30,IK18&lt;&gt;""),AND(JC18&gt;=JI$30,JC18&lt;&gt;""),AND(JG18&gt;=JI$30,JG18&lt;&gt;""),AND(JY18&gt;=KE$30,JY18&lt;&gt;""),AND(KC18&gt;=KE$30,KC18&lt;&gt;""),AND(KU18&gt;=LA$30,KU18&lt;&gt;""),AND(KY18&gt;=LA$30,KY18&lt;&gt;""),AND(LQ18&gt;=LW$30,LQ18&lt;&gt;""),AND(LU18&gt;=LW$30,LU18&lt;&gt;""),AND(MM18&gt;=MS$30,MM18&lt;&gt;""),AND(MQ18&gt;=MS$30,MQ18&lt;&gt;""),AND(NI18&gt;=NO$30,NI18&lt;&gt;""),AND(NM18&gt;=NO$30,NM18&lt;&gt;"")),"Merit",IF(OR(AND(AR18&gt;=AY$29,AR18&lt;&gt;"",AP18=""),AND(AT18&gt;=AY$29,AT18&lt;&gt;"",AP18=""),AND(AW18&gt;=AY$29,AW18&lt;&gt;"",AP18=""),AND(BV18&gt;=CC$29,BV18&lt;&gt;"",BT18=""),AND(BX18&gt;=CC$29,BX18&lt;&gt;"",BT18=""),AND(CA18&gt;=CC$29,CA18&lt;&gt;"",BT18=""),AND(CZ18&gt;=DG$29,CZ18&lt;&gt;"",CX18=""),AND(DB18&gt;=DG$29,DB18&lt;&gt;"",CX18=""),AND(DE18&gt;=DG$29,DE18&lt;&gt;"",CX18=""),AND(EA18&gt;=EG$29,EA18&lt;&gt;""),AND(EE18&gt;=EG$29,EE18&lt;&gt;""),AND(EW18&gt;=FC$29,EW18&lt;&gt;""),AND(FA18&gt;=FC$29,FA18&lt;&gt;""),AND(FS18&gt;=FY$29,FS18&lt;&gt;""),AND(FW18&gt;=FY$29,FW18&lt;&gt;""),AND(GO18&gt;=GU$29,GO18&lt;&gt;""),AND(GS18&gt;=GU$29,GS18&lt;&gt;""),AND(HK18&gt;=HQ$29,HK18&lt;&gt;""),AND(HO18&gt;=HQ$29,HO18&lt;&gt;""),AND(IG18&gt;=IM$29,IG18&lt;&gt;""),AND(IK18&gt;=IM$29,IK18&lt;&gt;""),AND(JC18&gt;=JI$29,JC18&lt;&gt;""),AND(JG18&gt;=JI$29,JG18&lt;&gt;""),AND(JY18&gt;=KE$29,JY18&lt;&gt;""),AND(KC18&gt;=KE$29,KC18&lt;&gt;""),AND(KU18&gt;=LA$29,KU18&lt;&gt;""),AND(KY18&gt;=LA$29,KY18&lt;&gt;""),AND(LQ18&gt;=LW$29,LQ18&lt;&gt;""),AND(LU18&gt;=LW$29,LU18&lt;&gt;""),AND(MM18&gt;=MS$29,MM18&lt;&gt;""),AND(MQ18&gt;=MS$29,MQ18&lt;&gt;""),AND(NI18&gt;=NO$29,NI18&lt;&gt;""),AND(NM18&gt;=NO$29,NM18&lt;&gt;"")),"Excellence",IF(OR(AND(AR18&gt;=AY$28,AR18&lt;&gt;"",AP18=""),AND(AT18&gt;=AY$28,AT18&lt;&gt;"",AP18=""),AND(AW18&gt;=AY$28,AW18&lt;&gt;"",AP18=""),AND(BV18&gt;=CC$28,BV18&lt;&gt;"",BT18=""),AND(BX18&gt;=CC$28,BX18&lt;&gt;"",BT18=""),AND(CA18&gt;=CC$28,CA18&lt;&gt;"",BT18=""),AND(CZ18&gt;=DG$28,CZ18&lt;&gt;"",CX18=""),AND(DB18&gt;=DG$28,DB18&lt;&gt;"",CX18=""),AND(DE18&gt;=DG$28,DE18&lt;&gt;"",CX18=""),AND(EA18&gt;=EG$28,EA18&lt;&gt;""),AND(EE18&gt;=EG$28,EE18&lt;&gt;""),AND(EW18&gt;=FC$28,EW18&lt;&gt;""),AND(FA18&gt;=FC$28,FA18&lt;&gt;""),AND(FS18&gt;=FY$28,FS18&lt;&gt;""),AND(FW18&gt;=FY$28,FW18&lt;&gt;""),AND(GO18&gt;=GU$28,GO18&lt;&gt;""),AND(GS18&gt;=GU$28,GS18&lt;&gt;""),AND(HK18&gt;=HQ$28,HK18&lt;&gt;""),AND(HO18&gt;=HQ$28,HO18&lt;&gt;""),AND(IG18&gt;=IM$28,IG18&lt;&gt;""),AND(IK18&gt;=IM$28,IK18&lt;&gt;""),AND(JC18&gt;=JI$28,JC18&lt;&gt;""),AND(JG18&gt;=JI$28,JG18&lt;&gt;""),AND(JY18&gt;=KE$28,JY18&lt;&gt;""),AND(KC18&gt;=KE$28,KC18&lt;&gt;""),AND(KU18&gt;=LA$28,KU18&lt;&gt;""),AND(KY18&gt;=LA$28,KY18&lt;&gt;""),AND(LQ18&gt;=LW$28,LQ18&lt;&gt;""),AND(LU18&gt;=LW$28,LU18&lt;&gt;""),AND(MM18&gt;=MS$28,MM18&lt;&gt;""),AND(MQ18&gt;=MS$28,MQ18&lt;&gt;""),AND(NI18&gt;=NO$28,NI18&lt;&gt;""),AND(NM18&gt;=NO$28,NM18&lt;&gt;"")),"Worlds Team",IF(OR(AND(AR18&gt;=AY$27,AR18&lt;&gt;"",AP18=""),AND(AT18&gt;=AY$27,AT18&lt;&gt;"",AP18=""),AND(AW18&gt;=AY$27,AW18&lt;&gt;"",AP18=""),AND(BV18&gt;=CC$27,BV18&lt;&gt;"",BT18=""),AND(BX18&gt;=CC$27,BX18&lt;&gt;"",BT18=""),AND(CA18&gt;=CC$27,CA18&lt;&gt;"",BT18=""),AND(CZ18&gt;=DG$27,CZ18&lt;&gt;"",CX18=""),AND(DB18&gt;=DG$27,DB18&lt;&gt;"",CX18=""),AND(DE18&gt;=DG$27,DE18&lt;&gt;"",CX18=""),AND(EA18&gt;=EG$27,EA18&lt;&gt;""),AND(EE18&gt;=EG$27,EE18&lt;&gt;""),AND(EW18&gt;=FC$27,EW18&lt;&gt;""),AND(FA18&gt;=FC$27,FA18&lt;&gt;""),AND(FS18&gt;=FY$27,FS18&lt;&gt;""),AND(FW18&gt;=FY$27,FW18&lt;&gt;""),AND(GO18&gt;=GU$27,GO18&lt;&gt;""),AND(GS18&gt;=GU$27,GS18&lt;&gt;""),AND(HK18&gt;=HQ$27,HK18&lt;&gt;""),AND(HO18&gt;=HQ$27,HO18&lt;&gt;""),AND(IG18&gt;=IM$27,IG18&lt;&gt;""),AND(IK18&gt;=IM$27,IK18&lt;&gt;""),AND(JC18&gt;=JI$27,JC18&lt;&gt;""),AND(JG18&gt;=JI$27,JG18&lt;&gt;""),AND(JY18&gt;=KE$27,JY18&lt;&gt;""),AND(KC18&gt;=KE$27,KC18&lt;&gt;""),AND(KU18&gt;=LA$27,KU18&lt;&gt;""),AND(KY18&gt;=LA$27,KY18&lt;&gt;""),AND(LQ18&gt;=LW$27,LQ18&lt;&gt;""),AND(LU18&gt;=LW$27,LU18&lt;&gt;""),AND(MM18&gt;=MS$27,MM18&lt;&gt;""),AND(MQ18&gt;=MS$27,MQ18&lt;&gt;""),AND(NI18&gt;=NO$27,NI18&lt;&gt;""),AND(NM18&gt;=NO$27,NM18&lt;&gt;"")),"National Team",""))))</f>
        <v/>
      </c>
      <c r="H18" s="125" t="str">
        <f>IF(OR(AND(AS18&gt;=AY$34,AS18&lt;&gt;"",AP18=""),AND(AU18&gt;=AY$34,AU18&lt;&gt;"",AP18=""),AND(AX18&gt;=AY$34,AX18&lt;&gt;"",AP18=""),AND(BW18&gt;=CC$34,BW18&lt;&gt;"",BT18=""),AND(BY18&gt;=CC$34,BY18&lt;&gt;"",BT18=""),AND(CB18&gt;=CC$34,CB18&lt;&gt;"",BT18=""),AND(DA18&gt;=DG$34,DA18&lt;&gt;"",CX18=""),AND(DC18&gt;=DG$34,DC18&lt;&gt;"",CX18=""),AND(DF18&gt;=DG$34,DF18&lt;&gt;"",CX18=""),AND(EC18&gt;=EG$34,EC18&lt;&gt;""),AND(EF18&gt;=EG$34,EF18&lt;&gt;""),AND(EY18&gt;=FC$34,EY18&lt;&gt;""),AND(FB18&gt;=FC$34,FB18&lt;&gt;""),AND(FU18&gt;=FY$34,FU18&lt;&gt;""),AND(FX18&gt;=FY$34,FX18&lt;&gt;""),AND(GQ18&gt;=GU$34,GQ18&lt;&gt;""),AND(GT18&gt;=GU$34,GT18&lt;&gt;""),AND(HM18&gt;=HQ$34,HM18&lt;&gt;""),AND(HP18&gt;=HQ$34,HP18&lt;&gt;""),AND(II18&gt;=IM$34,II18&lt;&gt;""),AND(IL18&gt;=IM$34,IL18&lt;&gt;""),AND(JE18&gt;=JI$34,JE18&lt;&gt;""),AND(JH18&gt;=JI$34,JH18&lt;&gt;""),AND(KA18&gt;=KE$34,KA18&lt;&gt;""),AND(KD18&gt;=KE$34,KD18&lt;&gt;""),AND(KW18&gt;=LA$34,KW18&lt;&gt;""),AND(KZ18&gt;=LA$34,KZ18&lt;&gt;""),AND(LS18&gt;=LW$34,LS18&lt;&gt;""),AND(LV18&gt;=LW$34,LV18&lt;&gt;""),AND(MO18&gt;=MS$34,MO18&lt;&gt;""),AND(MR18&gt;=MS$34,MR18&lt;&gt;""),AND(NK18&gt;=NO$34,NK18&lt;&gt;""),AND(NN18&gt;=NO$34,NN18&lt;&gt;"")),"Merit",IF(OR(AND(AS18&gt;=AY$33,AS18&lt;&gt;"",AP18=""),AND(AU18&gt;=AY$33,AU18&lt;&gt;"",AP18=""),AND(AX18&gt;=AY$33,AX18&lt;&gt;"",AP18=""),AND(BW18&gt;=CC$33,BW18&lt;&gt;"",BT18=""),AND(BY18&gt;=CC$33,BY18&lt;&gt;"",BT18=""),AND(CB18&gt;=CC$33,CB18&lt;&gt;"",BT18=""),AND(DA18&gt;=DG$33,DA18&lt;&gt;"",CX18=""),AND(DC18&gt;=DG$33,DC18&lt;&gt;"",CX18=""),AND(DF18&gt;=DG$33,DF18&lt;&gt;"",CX18=""),AND(EC18&gt;=EG$33,EC18&lt;&gt;""),AND(EF18&gt;=EG$33,EF18&lt;&gt;""),AND(EY18&gt;=FC$33,EY18&lt;&gt;""),AND(FB18&gt;=FC$33,FB18&lt;&gt;""),AND(FU18&gt;=FY$33,FU18&lt;&gt;""),AND(FX18&gt;=FY$33,FX18&lt;&gt;""),AND(GQ18&gt;=GU$33,GQ18&lt;&gt;""),AND(GT18&gt;=GU$33,GT18&lt;&gt;""),AND(HM18&gt;=HQ$33,HM18&lt;&gt;""),AND(HP18&gt;=HQ$33,HP18&lt;&gt;""),AND(II18&gt;=IM$33,II18&lt;&gt;""),AND(IL18&gt;=IM$33,IL18&lt;&gt;""),AND(JE18&gt;=JI$33,JE18&lt;&gt;""),AND(JH18&gt;=JI$33,JH18&lt;&gt;""),AND(KA18&gt;=KE$33,KA18&lt;&gt;""),AND(KD18&gt;=KE$33,KD18&lt;&gt;""),AND(KW18&gt;=LA$33,KW18&lt;&gt;""),AND(KZ18&gt;=LA$33,KZ18&lt;&gt;""),AND(LS18&gt;=LW$33,LS18&lt;&gt;""),AND(LV18&gt;=LW$33,LV18&lt;&gt;""),AND(MO18&gt;=MS$33,MO18&lt;&gt;""),AND(MR18&gt;=MS$33,MR18&lt;&gt;""),AND(NK18&gt;=NO$33,NK18&lt;&gt;""),AND(NN18&gt;=NO$33,NN18&lt;&gt;"")),"Excellence",IF(OR(AND(AV18&gt;=AY$32,AV18&lt;&gt;"",AP18=""),AND(BZ18&gt;=CC$32,BZ18&lt;&gt;"",BT18=""),AND(DD18&gt;=DG$32,DD18&lt;&gt;"",CX18=""),AND(ED18&gt;=EG$32,ED18&lt;&gt;""),AND(EZ18&gt;=FC$32,EZ18&lt;&gt;""),AND(FV18&gt;=FY$32,FV18&lt;&gt;""),AND(GR18&gt;=GU$32,GR18&lt;&gt;""),AND(HN18&gt;=HQ$32,HN18&lt;&gt;""),AND(IJ18&gt;=IM$32,IJ18&lt;&gt;""),AND(JF18&gt;=JI$32,JF18&lt;&gt;""),AND(KB18&gt;=KE$32,KB18&lt;&gt;""),AND(KX18&gt;=LA$32,KX18&lt;&gt;""),AND(LT18&gt;=LW$32,LT18&lt;&gt;""),AND(MP18&gt;=MS$32,MP18&lt;&gt;""),AND(NL18&gt;=NO$32,NL18&lt;&gt;"")),"Worlds Team",IF(OR(AND(AV18&gt;=AY$31,AV18&lt;&gt;"",AP18=""),AND(BZ18&gt;=CC$31,BZ18&lt;&gt;"",BT18=""),AND(DD18&gt;=DG$31,DD18&lt;&gt;"",CX18=""),AND(ED18&gt;=EG$31,ED18&lt;&gt;""),AND(EZ18&gt;=FC$31,EZ18&lt;&gt;""),AND(FV18&gt;=FY$31,FV18&lt;&gt;""),AND(GR18&gt;=GU$31,GR18&lt;&gt;""),AND(HN18&gt;=HQ$31,HN18&lt;&gt;""),AND(IJ18&gt;=IM$31,IJ18&lt;&gt;""),AND(JF18&gt;=JI$31,JF18&lt;&gt;""),AND(KB18&gt;=KE$31,KB18&lt;&gt;""),AND(KX18&gt;=LA$31,KX18&lt;&gt;""),AND(LT18&gt;=LW$31,LT18&lt;&gt;""),AND(MP18&gt;=MS$31,MP18&lt;&gt;""),AND(NL18&gt;=NO$31,NL18&lt;&gt;"")),"National Team",""))))</f>
        <v/>
      </c>
      <c r="I18" s="12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$32,AV18&lt;&gt;"",AP18=""),AND(BZ18&gt;=CC$32,BZ18&lt;&gt;"",BT18=""),AND(DD18&gt;=DG$32,DD18&lt;&gt;"",CX18=""),AND(ED18&gt;=EG$32,ED18&lt;&gt;""),AND(EZ18&gt;=FC$32,EZ18&lt;&gt;""),AND(FV18&gt;=FY$32,FV18&lt;&gt;""),AND(GR18&gt;=GU$32,GR18&lt;&gt;""),AND(HN18&gt;=HQ$32,HN18&lt;&gt;""),AND(IJ18&gt;=IM$32,IJ18&lt;&gt;""),AND(JF18&gt;=JI$32,JF18&lt;&gt;""),AND(KB18&gt;=KE$32,KB18&lt;&gt;""),AND(KX18&gt;=LA$32,KX18&lt;&gt;""),AND(LT18&gt;=LW$32,LT18&lt;&gt;""),AND(MP18&gt;=MS$32,MP18&lt;&gt;""),AND(NL18&gt;=NO$32,NL18&lt;&gt;"")),OR(G18="Worlds Team",G18="Excellence",G18="Merit")),"P","")</f>
        <v/>
      </c>
      <c r="K18" s="14">
        <f>IF(MAX(AV18,BZ18,DD18)&gt;0,MAX(AV18,BZ18,DD18),0)</f>
        <v>99.490000000000009</v>
      </c>
      <c r="L18" s="14" t="str">
        <f>IF(K18=0,"",IF(K18=DD18,$CD$1,IF(K18=BZ18,$AZ$1,IF(K18=AV18,$V$1,""))))</f>
        <v>2021 1st Virtual Technical Trial</v>
      </c>
      <c r="M18" s="14">
        <f>IF($K18=$AV18,MAX(BU18,CY18),IF($K18=$BZ18,MAX(AQ18,CY18),IF($K18=$DD18,MAX(AQ18,BU18),MAX(AQ18,BU18,CY18))))</f>
        <v>46.39</v>
      </c>
      <c r="N18" s="14" t="str">
        <f>IF(M18=0,"",IF(AND(M18=CY18,$L18&lt;&gt;$CD$1),$CD$1,IF(AND(M18=BU18,$L18&lt;&gt;$AZ$1),$AZ$1,IF(AND(M18=AQ18,$L18&lt;&gt;$V$1),$V$1,""))))</f>
        <v>2019 Nationals</v>
      </c>
      <c r="O18" s="14">
        <f>IF(K18-N(AQ18)=AS18,MAX(AU18,BW18,BY18,DA18,DC18),IF(K18-N(AQ18)=AU18,MAX(AS18,BW18,BY18,DA18,DC18),IF(K18-N(BU18)=BW18,MAX(AS18,AU18,BY18,DA18,DC18),IF(K18-N(BU18)=BY18,MAX(AS18,AU18,BW18,DA18,DC18),IF(K18-N(CY18)=DA18,MAX(AS18,AU18,BW18,BY18,DC18),IF(K18-N(CY18)=DC18,MAX(AS18,AU18,BW18,BY18,DA18),MAX(AS18,AU18,BW18,BY18,DA18,DC18)))))))</f>
        <v>51.35</v>
      </c>
      <c r="P18" s="14" t="str">
        <f>IF(O18=0,"",IF(OR(O18=DC18,O18=DA18),$CD$1,IF(OR(O18=BY18,O18=BW18),$AZ$1,IF(OR(O18=AU18,O18=AS18),$V$1,""))))</f>
        <v>2019 Nationals</v>
      </c>
      <c r="Q18" s="14">
        <f>MAX(AX18,CB18,DF18)</f>
        <v>52.825000000000003</v>
      </c>
      <c r="R18" s="14" t="str">
        <f>IF(Q18=0,"",IF(Q18=DF18,$CD$1,IF(Q18=CB18,$AZ$1,IF(Q18=AX18,$V$1,""))))</f>
        <v>2019 Nationals</v>
      </c>
      <c r="S18" s="14" t="str">
        <f>IF(MAX(DH18,DI18,DJ18,DK18)&gt;0,MAX(DH18,DI18,DJ18,DK18),"")</f>
        <v/>
      </c>
      <c r="T18" s="25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9">
        <v>15.1</v>
      </c>
      <c r="W18" s="69">
        <v>9.1</v>
      </c>
      <c r="X18" s="69">
        <v>4.8</v>
      </c>
      <c r="Y18" s="69">
        <v>15.4</v>
      </c>
      <c r="Z18" s="69">
        <v>0</v>
      </c>
      <c r="AA18" s="69">
        <v>9.6</v>
      </c>
      <c r="AB18" s="69">
        <v>8.6999999999999993</v>
      </c>
      <c r="AC18" s="69">
        <v>12.7</v>
      </c>
      <c r="AD18" s="69">
        <v>14.57</v>
      </c>
      <c r="AE18" s="69">
        <v>0</v>
      </c>
      <c r="AF18" s="69"/>
      <c r="AG18" s="69"/>
      <c r="AH18" s="69"/>
      <c r="AI18" s="69"/>
      <c r="AJ18" s="69"/>
      <c r="AK18" s="69">
        <v>1.4</v>
      </c>
      <c r="AL18" s="69">
        <v>0.9</v>
      </c>
      <c r="AM18" s="69">
        <v>1.7</v>
      </c>
      <c r="AN18" s="69">
        <v>1.63</v>
      </c>
      <c r="AO18" s="69">
        <v>0</v>
      </c>
      <c r="AP18" s="80"/>
      <c r="AQ18" s="11">
        <f>IF(SUM(V18:Y18)-Z18&gt;0,SUM(V18:Y18)-Z18,"")</f>
        <v>44.4</v>
      </c>
      <c r="AR18" s="11">
        <f>IF(AC18&gt;0,AC18,"")</f>
        <v>12.7</v>
      </c>
      <c r="AS18" s="11">
        <f>IF(SUM(AA18:AD18)-AE18&gt;0,SUM(AA18:AD18)-AE18,"")</f>
        <v>45.569999999999993</v>
      </c>
      <c r="AT18" s="11" t="str">
        <f>IF(AH18&gt;0,AH18,"")</f>
        <v/>
      </c>
      <c r="AU18" s="11" t="str">
        <f>IF(SUM(AF18:AI18)-AJ18&gt;0,SUM(AF18:AI18)-AJ18,"")</f>
        <v/>
      </c>
      <c r="AV18" s="11">
        <f>IF(OR(AQ18&lt;&gt;"",AS18&lt;&gt;"",AU18&lt;&gt;""),AQ18+MAX(AS18,AU18),"")</f>
        <v>89.97</v>
      </c>
      <c r="AW18" s="11">
        <f>IF(AM18&gt;0,AM18,"")</f>
        <v>1.7</v>
      </c>
      <c r="AX18" s="11">
        <f>IF(SUM(AK18:AN18)-AO18&gt;0,SUM(AK18:AN18)-AO18,"")</f>
        <v>5.63</v>
      </c>
      <c r="AY18" s="11">
        <f>IF(SUM(AV18,AX18)&gt;0,SUM(AV18,AX18),"")</f>
        <v>95.6</v>
      </c>
      <c r="AZ18" s="75">
        <v>17.100000000000001</v>
      </c>
      <c r="BA18" s="75">
        <v>9.5</v>
      </c>
      <c r="BB18" s="75">
        <v>3.9</v>
      </c>
      <c r="BC18" s="75">
        <v>15.89</v>
      </c>
      <c r="BD18" s="75">
        <v>0</v>
      </c>
      <c r="BE18" s="75">
        <v>13.7</v>
      </c>
      <c r="BF18" s="75">
        <v>9.3000000000000007</v>
      </c>
      <c r="BG18" s="75">
        <v>13.5</v>
      </c>
      <c r="BH18" s="75">
        <v>14.85</v>
      </c>
      <c r="BI18" s="75">
        <v>0</v>
      </c>
      <c r="BJ18" s="75"/>
      <c r="BK18" s="75"/>
      <c r="BL18" s="75"/>
      <c r="BM18" s="75"/>
      <c r="BN18" s="75"/>
      <c r="BO18" s="75">
        <v>14.36</v>
      </c>
      <c r="BP18" s="75">
        <v>9.5</v>
      </c>
      <c r="BQ18" s="75">
        <v>13.7</v>
      </c>
      <c r="BR18" s="75">
        <v>15.265000000000001</v>
      </c>
      <c r="BS18" s="75">
        <v>0</v>
      </c>
      <c r="BT18" s="81"/>
      <c r="BU18" s="14">
        <f>IF(SUM(AZ18:BC18)-BD18&gt;0,SUM(AZ18:BC18)-BD18,"")</f>
        <v>46.39</v>
      </c>
      <c r="BV18" s="14">
        <f>IF(BG18&gt;0,BG18,"")</f>
        <v>13.5</v>
      </c>
      <c r="BW18" s="14">
        <f>IF(SUM(BE18:BH18)-BI18&gt;0,SUM(BE18:BH18)-BI18,"")</f>
        <v>51.35</v>
      </c>
      <c r="BX18" s="14" t="str">
        <f>IF(BL18&gt;0,BL18,"")</f>
        <v/>
      </c>
      <c r="BY18" s="14" t="str">
        <f>IF(SUM(BJ18:BM18)-BN18&gt;0,SUM(BJ18:BM18)-BN18,"")</f>
        <v/>
      </c>
      <c r="BZ18" s="14">
        <f>IF(BU18="",IF(MAX(BW18,BY18)&gt;0,MAX(BW18,BY18),""),MAX(BW18,BY18)+BU18)</f>
        <v>97.740000000000009</v>
      </c>
      <c r="CA18" s="14">
        <f>IF(BQ18&gt;0,BQ18,"")</f>
        <v>13.7</v>
      </c>
      <c r="CB18" s="14">
        <f>IF(SUM(BO18:BR18)-BS18&gt;0,SUM(BO18:BR18)-BS18,"")</f>
        <v>52.825000000000003</v>
      </c>
      <c r="CC18" s="14">
        <f>IF(SUM(BZ18,CB18)&gt;0,SUM(BZ18,CB18),"")</f>
        <v>150.565</v>
      </c>
      <c r="CD18" s="69">
        <v>16.600000000000001</v>
      </c>
      <c r="CE18" s="69">
        <v>9.1999999999999993</v>
      </c>
      <c r="CF18" s="69">
        <v>5.6</v>
      </c>
      <c r="CG18" s="69">
        <v>15.48</v>
      </c>
      <c r="CH18" s="69">
        <v>0</v>
      </c>
      <c r="CI18" s="69">
        <v>14.8</v>
      </c>
      <c r="CJ18" s="69">
        <v>9.15</v>
      </c>
      <c r="CK18" s="69">
        <v>13.7</v>
      </c>
      <c r="CL18" s="69">
        <v>14.96</v>
      </c>
      <c r="CM18" s="69">
        <v>0</v>
      </c>
      <c r="CN18" s="69">
        <v>0</v>
      </c>
      <c r="CO18" s="69">
        <v>0</v>
      </c>
      <c r="CP18" s="69">
        <v>0</v>
      </c>
      <c r="CQ18" s="69">
        <v>0</v>
      </c>
      <c r="CR18" s="69">
        <v>0</v>
      </c>
      <c r="CS18" s="69">
        <v>0</v>
      </c>
      <c r="CT18" s="69">
        <v>0</v>
      </c>
      <c r="CU18" s="69">
        <v>0</v>
      </c>
      <c r="CV18" s="69">
        <v>0</v>
      </c>
      <c r="CW18" s="69">
        <v>0</v>
      </c>
      <c r="CX18" s="80"/>
      <c r="CY18" s="11">
        <f>IF(SUM(CD18:CG18)-CH18&gt;0,SUM(CD18:CG18)-CH18,"")</f>
        <v>46.879999999999995</v>
      </c>
      <c r="CZ18" s="11">
        <f>IF(CK18&gt;0,CK18,"")</f>
        <v>13.7</v>
      </c>
      <c r="DA18" s="11">
        <f>IF(SUM(CI18:CL18)-CM18&gt;0,SUM(CI18:CL18)-CM18,"")</f>
        <v>52.610000000000007</v>
      </c>
      <c r="DB18" s="11" t="str">
        <f>IF(CP18&gt;0,CP18,"")</f>
        <v/>
      </c>
      <c r="DC18" s="11" t="str">
        <f>IF(SUM(CN18:CQ18)-CR18&gt;0,SUM(CN18:CQ18)-CR18,"")</f>
        <v/>
      </c>
      <c r="DD18" s="11">
        <f>IF(CY18="",IF(MAX(DA18,DC18)&gt;0,MAX(DA18,DC18),""),MAX(DA18,DC18)+CY18)</f>
        <v>99.490000000000009</v>
      </c>
      <c r="DE18" s="11" t="str">
        <f>IF(CU18&gt;0,CU18,"")</f>
        <v/>
      </c>
      <c r="DF18" s="11" t="str">
        <f>IF(SUM(CS18:CV18)-CW18&gt;0,SUM(CS18:CV18)-CW18,"")</f>
        <v/>
      </c>
      <c r="DG18" s="11">
        <f>IF(SUM(DD18,DF18)&gt;0,SUM(DD18,DF18),"")</f>
        <v>99.490000000000009</v>
      </c>
      <c r="DH18" s="24" t="str">
        <f>IF(MAX(EB18,EX18,FT18,GP18,HL18,IH18,JD18,JZ18,KV18,LR18,MN18,NJ18)-IF(M18="",0,M18)&gt;0.001,MAX(EB18,EX18,FT18,GP18,HL18,IH18,JD18,JZ18,KV18,LR18,MN18,NJ18)-IF(M18="",0,M18),"")</f>
        <v/>
      </c>
      <c r="DI18" s="24" t="str">
        <f>IF(MAX(EC18,EY18,FU18,GQ18,HM18,II18,JE18,KA18,KW18,LS18,MO18,NK18)-IF(O18="",0,O18)&gt;0.001,MAX(EC18,EY18,FU18,GQ18,HM18,II18,JE18,KA18,KW18,LS18,MO18,NK18)-IF(O18="",0,O18),"")</f>
        <v/>
      </c>
      <c r="DJ18" s="24" t="str">
        <f>IF(MAX(ED18,EZ18,FV18,GR18,HN18,IJ18,JF18,KB18,KX18,LT18,MP18,NL18)-IF(K18="",0,K18)&gt;0.001,MAX(ED18,EZ18,FV18,GR18,HN18,IJ18,JF18,KB18,KX18,LT18,MP18,NL18)-IF(K18="",0,K18),"")</f>
        <v/>
      </c>
      <c r="DK18" s="24" t="str">
        <f>IF(MAX(EF18,FB18,FX18,GT18,HP18,IL18,JH18,KD18,KZ18,LV18,MR18,NN18)-IF(Q18="",0,Q18)&gt;0.001,MAX(EF18,FB18,FX18,GT18,HP18,IL18,JH18,KD18,KZ18,LV18,MR18,NN18)-IF(Q18="",0,Q18),"")</f>
        <v/>
      </c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7">
        <v>15.2</v>
      </c>
      <c r="FE18" s="37">
        <v>8.6999999999999993</v>
      </c>
      <c r="FF18" s="37">
        <v>0</v>
      </c>
      <c r="FG18" s="37">
        <v>15.77</v>
      </c>
      <c r="FH18" s="37">
        <v>0</v>
      </c>
      <c r="FI18" s="37">
        <v>13.5</v>
      </c>
      <c r="FJ18" s="37">
        <v>8.6999999999999993</v>
      </c>
      <c r="FK18" s="37">
        <v>13.5</v>
      </c>
      <c r="FL18" s="37">
        <v>14.78</v>
      </c>
      <c r="FM18" s="37">
        <v>0</v>
      </c>
      <c r="FN18" s="37"/>
      <c r="FO18" s="37"/>
      <c r="FP18" s="37"/>
      <c r="FQ18" s="37"/>
      <c r="FR18" s="37"/>
      <c r="FS18" s="11">
        <f>IF(FK18&gt;0,FK18,"")</f>
        <v>13.5</v>
      </c>
      <c r="FT18" s="11">
        <f>IF(SUM(FD18:FG18)-FH18&gt;0,SUM(FD18:FG18)-FH18,"")</f>
        <v>39.67</v>
      </c>
      <c r="FU18" s="11">
        <f>IF(SUM(FI18:FL18)-FM18&gt;0,SUM(FI18:FL18)-FM18,"")</f>
        <v>50.480000000000004</v>
      </c>
      <c r="FV18" s="11">
        <f>IF(SUM(FT18:FU18)&gt;0,SUM(FT18:FU18),"")</f>
        <v>90.15</v>
      </c>
      <c r="FW18" s="11" t="str">
        <f>IF(FP18&gt;0,FP18,"")</f>
        <v/>
      </c>
      <c r="FX18" s="11" t="str">
        <f>IF(SUM(FN18:FQ18)-FR18&gt;0,SUM(FN18:FQ18)-FR18,"")</f>
        <v/>
      </c>
      <c r="FY18" s="11">
        <f>IF(SUM(FV18,FX18)&gt;0,SUM(FV18,FX18),"")</f>
        <v>90.15</v>
      </c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9">
        <f>IF($CX18="P",CD18,(CD18+AZ18)/2)</f>
        <v>16.850000000000001</v>
      </c>
      <c r="NQ18" s="69">
        <f>IF($CX18="P",CE18,(CE18+BA18)/2)</f>
        <v>9.35</v>
      </c>
      <c r="NR18" s="69">
        <f>IF($CX18="P",CF18,(CF18+BB18)/2)</f>
        <v>4.75</v>
      </c>
      <c r="NS18" s="69">
        <f>IF($CX18="P",CG18,(CG18+BC18)/2)</f>
        <v>15.685</v>
      </c>
      <c r="NT18" s="69">
        <f>IF($CX18="P",CH18,(CH18+BD18)/2)</f>
        <v>0</v>
      </c>
      <c r="NU18" s="69">
        <f>IF($CX18="P",CI18,(CI18+BE18)/2)</f>
        <v>14.25</v>
      </c>
      <c r="NV18" s="69">
        <f>IF($CX18="P",CJ18,(CJ18+BF18)/2)</f>
        <v>9.2250000000000014</v>
      </c>
      <c r="NW18" s="69">
        <f>IF($CX18="P",CK18,(CK18+BG18)/2)</f>
        <v>13.6</v>
      </c>
      <c r="NX18" s="69">
        <f>IF($CX18="P",CL18,(CL18+BH18)/2)</f>
        <v>14.905000000000001</v>
      </c>
      <c r="NY18" s="69">
        <f>IF($CX18="P",CM18,(CM18+BI18)/2)</f>
        <v>0</v>
      </c>
      <c r="NZ18" s="69">
        <f>IF($CX18="P",CN18,(CN18+BJ18)/2)</f>
        <v>0</v>
      </c>
      <c r="OA18" s="69">
        <f>IF($CX18="P",CO18,(CO18+BK18)/2)</f>
        <v>0</v>
      </c>
      <c r="OB18" s="69">
        <f>IF($CX18="P",CP18,(CP18+BL18)/2)</f>
        <v>0</v>
      </c>
      <c r="OC18" s="69">
        <f>IF($CX18="P",CQ18,(CQ18+BM18)/2)</f>
        <v>0</v>
      </c>
      <c r="OD18" s="69">
        <f>IF($CX18="P",CR18,(CR18+BN18)/2)</f>
        <v>0</v>
      </c>
      <c r="OE18" s="69">
        <f>IF($CX18="P",CS18,(CS18+BO18)/2)</f>
        <v>7.18</v>
      </c>
      <c r="OF18" s="69">
        <f>IF($CX18="P",CT18,(CT18+BP18)/2)</f>
        <v>4.75</v>
      </c>
      <c r="OG18" s="69">
        <f>IF($CX18="P",CU18,(CU18+BQ18)/2)</f>
        <v>6.85</v>
      </c>
      <c r="OH18" s="69">
        <f>IF($CX18="P",CV18,(CV18+BR18)/2)</f>
        <v>7.6325000000000003</v>
      </c>
      <c r="OI18" s="69">
        <f>IF($CX18="P",CW18,(CW18+BS18)/2)</f>
        <v>0</v>
      </c>
      <c r="OJ18" s="80" t="s">
        <v>91</v>
      </c>
      <c r="OK18" s="11">
        <f>IF(SUM(NP18:NS18)-NT18&gt;0,SUM(NP18:NS18)-NT18,"")</f>
        <v>46.635000000000005</v>
      </c>
      <c r="OL18" s="11">
        <f>IF(NW18&gt;0,NW18,"")</f>
        <v>13.6</v>
      </c>
      <c r="OM18" s="11">
        <f>IF(SUM(NU18:NX18)-NY18&gt;0,SUM(NU18:NX18)-NY18,"")</f>
        <v>51.980000000000004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98.615000000000009</v>
      </c>
      <c r="OQ18" s="11">
        <f>IF(OG18&gt;0,OG18,"")</f>
        <v>6.85</v>
      </c>
      <c r="OR18" s="11">
        <f t="shared" si="0"/>
        <v>26.412500000000001</v>
      </c>
      <c r="OS18" s="11">
        <f t="shared" si="1"/>
        <v>125.0275</v>
      </c>
    </row>
    <row r="19" spans="1:409" x14ac:dyDescent="0.2">
      <c r="A19" s="5" t="str" cm="1">
        <f t="array" ref="A19">IF(AND(G19&lt;&gt;"",H19&lt;&gt;""),SUMPRODUCT((G$4:G$25&lt;&gt;"")*(H$4:H$25&lt;&gt;"")*(E$4:E$25&gt;E19))+1,IF(H19&lt;&gt;"",SUMPRODUCT((I$4:I$25="No DD")*(E$4:E$25&gt;E19))+1+SUMPRODUCT((G$4:G$25&lt;&gt;"")*(H$4:H$25&lt;&gt;"")),""))</f>
        <v/>
      </c>
      <c r="B19" s="6" t="s">
        <v>127</v>
      </c>
      <c r="C19" s="7" t="s">
        <v>10</v>
      </c>
      <c r="D19" s="27">
        <v>2000</v>
      </c>
      <c r="E19" s="15">
        <f>SUM(K19:S19)</f>
        <v>249.24</v>
      </c>
      <c r="F19" s="3" t="str">
        <f>IF(G19&lt;&gt;"","P","")</f>
        <v/>
      </c>
      <c r="G19" s="125" t="str">
        <f>IF(OR(AND(AR19&gt;=AY$30,AR19&lt;&gt;"",AP19=""),AND(AT19&gt;=AY$30,AT19&lt;&gt;"",AP19=""),AND(AW19&gt;=AY$30,AW19&lt;&gt;"",AP19=""),AND(BV19&gt;=CC$30,BV19&lt;&gt;"",BT19=""),AND(BX19&gt;=CC$30,BX19&lt;&gt;"",BT19=""),AND(CA19&gt;=CC$30,CA19&lt;&gt;"",BT19=""),AND(CZ19&gt;=DG$30,CZ19&lt;&gt;"",CX19=""),AND(DB19&gt;=DG$30,DB19&lt;&gt;"",CX19=""),AND(DE19&gt;=DG$30,DE19&lt;&gt;"",CX19=""),AND(EA19&gt;=EG$30,EA19&lt;&gt;""),AND(EE19&gt;=EG$30,EE19&lt;&gt;""),AND(EW19&gt;=FC$30,EW19&lt;&gt;""),AND(FA19&gt;=FC$30,FA19&lt;&gt;""),AND(FS19&gt;=FY$30,FS19&lt;&gt;""),AND(FW19&gt;=FY$30,FW19&lt;&gt;""),AND(GO19&gt;=GU$30,GO19&lt;&gt;""),AND(GS19&gt;=GU$30,GS19&lt;&gt;""),AND(HK19&gt;=HQ$30,HK19&lt;&gt;""),AND(HO19&gt;=HQ$30,HO19&lt;&gt;""),AND(IG19&gt;=IM$30,IG19&lt;&gt;""),AND(IK19&gt;=IM$30,IK19&lt;&gt;""),AND(JC19&gt;=JI$30,JC19&lt;&gt;""),AND(JG19&gt;=JI$30,JG19&lt;&gt;""),AND(JY19&gt;=KE$30,JY19&lt;&gt;""),AND(KC19&gt;=KE$30,KC19&lt;&gt;""),AND(KU19&gt;=LA$30,KU19&lt;&gt;""),AND(KY19&gt;=LA$30,KY19&lt;&gt;""),AND(LQ19&gt;=LW$30,LQ19&lt;&gt;""),AND(LU19&gt;=LW$30,LU19&lt;&gt;""),AND(MM19&gt;=MS$30,MM19&lt;&gt;""),AND(MQ19&gt;=MS$30,MQ19&lt;&gt;""),AND(NI19&gt;=NO$30,NI19&lt;&gt;""),AND(NM19&gt;=NO$30,NM19&lt;&gt;"")),"Merit",IF(OR(AND(AR19&gt;=AY$29,AR19&lt;&gt;"",AP19=""),AND(AT19&gt;=AY$29,AT19&lt;&gt;"",AP19=""),AND(AW19&gt;=AY$29,AW19&lt;&gt;"",AP19=""),AND(BV19&gt;=CC$29,BV19&lt;&gt;"",BT19=""),AND(BX19&gt;=CC$29,BX19&lt;&gt;"",BT19=""),AND(CA19&gt;=CC$29,CA19&lt;&gt;"",BT19=""),AND(CZ19&gt;=DG$29,CZ19&lt;&gt;"",CX19=""),AND(DB19&gt;=DG$29,DB19&lt;&gt;"",CX19=""),AND(DE19&gt;=DG$29,DE19&lt;&gt;"",CX19=""),AND(EA19&gt;=EG$29,EA19&lt;&gt;""),AND(EE19&gt;=EG$29,EE19&lt;&gt;""),AND(EW19&gt;=FC$29,EW19&lt;&gt;""),AND(FA19&gt;=FC$29,FA19&lt;&gt;""),AND(FS19&gt;=FY$29,FS19&lt;&gt;""),AND(FW19&gt;=FY$29,FW19&lt;&gt;""),AND(GO19&gt;=GU$29,GO19&lt;&gt;""),AND(GS19&gt;=GU$29,GS19&lt;&gt;""),AND(HK19&gt;=HQ$29,HK19&lt;&gt;""),AND(HO19&gt;=HQ$29,HO19&lt;&gt;""),AND(IG19&gt;=IM$29,IG19&lt;&gt;""),AND(IK19&gt;=IM$29,IK19&lt;&gt;""),AND(JC19&gt;=JI$29,JC19&lt;&gt;""),AND(JG19&gt;=JI$29,JG19&lt;&gt;""),AND(JY19&gt;=KE$29,JY19&lt;&gt;""),AND(KC19&gt;=KE$29,KC19&lt;&gt;""),AND(KU19&gt;=LA$29,KU19&lt;&gt;""),AND(KY19&gt;=LA$29,KY19&lt;&gt;""),AND(LQ19&gt;=LW$29,LQ19&lt;&gt;""),AND(LU19&gt;=LW$29,LU19&lt;&gt;""),AND(MM19&gt;=MS$29,MM19&lt;&gt;""),AND(MQ19&gt;=MS$29,MQ19&lt;&gt;""),AND(NI19&gt;=NO$29,NI19&lt;&gt;""),AND(NM19&gt;=NO$29,NM19&lt;&gt;"")),"Excellence",IF(OR(AND(AR19&gt;=AY$28,AR19&lt;&gt;"",AP19=""),AND(AT19&gt;=AY$28,AT19&lt;&gt;"",AP19=""),AND(AW19&gt;=AY$28,AW19&lt;&gt;"",AP19=""),AND(BV19&gt;=CC$28,BV19&lt;&gt;"",BT19=""),AND(BX19&gt;=CC$28,BX19&lt;&gt;"",BT19=""),AND(CA19&gt;=CC$28,CA19&lt;&gt;"",BT19=""),AND(CZ19&gt;=DG$28,CZ19&lt;&gt;"",CX19=""),AND(DB19&gt;=DG$28,DB19&lt;&gt;"",CX19=""),AND(DE19&gt;=DG$28,DE19&lt;&gt;"",CX19=""),AND(EA19&gt;=EG$28,EA19&lt;&gt;""),AND(EE19&gt;=EG$28,EE19&lt;&gt;""),AND(EW19&gt;=FC$28,EW19&lt;&gt;""),AND(FA19&gt;=FC$28,FA19&lt;&gt;""),AND(FS19&gt;=FY$28,FS19&lt;&gt;""),AND(FW19&gt;=FY$28,FW19&lt;&gt;""),AND(GO19&gt;=GU$28,GO19&lt;&gt;""),AND(GS19&gt;=GU$28,GS19&lt;&gt;""),AND(HK19&gt;=HQ$28,HK19&lt;&gt;""),AND(HO19&gt;=HQ$28,HO19&lt;&gt;""),AND(IG19&gt;=IM$28,IG19&lt;&gt;""),AND(IK19&gt;=IM$28,IK19&lt;&gt;""),AND(JC19&gt;=JI$28,JC19&lt;&gt;""),AND(JG19&gt;=JI$28,JG19&lt;&gt;""),AND(JY19&gt;=KE$28,JY19&lt;&gt;""),AND(KC19&gt;=KE$28,KC19&lt;&gt;""),AND(KU19&gt;=LA$28,KU19&lt;&gt;""),AND(KY19&gt;=LA$28,KY19&lt;&gt;""),AND(LQ19&gt;=LW$28,LQ19&lt;&gt;""),AND(LU19&gt;=LW$28,LU19&lt;&gt;""),AND(MM19&gt;=MS$28,MM19&lt;&gt;""),AND(MQ19&gt;=MS$28,MQ19&lt;&gt;""),AND(NI19&gt;=NO$28,NI19&lt;&gt;""),AND(NM19&gt;=NO$28,NM19&lt;&gt;"")),"Worlds Team",IF(OR(AND(AR19&gt;=AY$27,AR19&lt;&gt;"",AP19=""),AND(AT19&gt;=AY$27,AT19&lt;&gt;"",AP19=""),AND(AW19&gt;=AY$27,AW19&lt;&gt;"",AP19=""),AND(BV19&gt;=CC$27,BV19&lt;&gt;"",BT19=""),AND(BX19&gt;=CC$27,BX19&lt;&gt;"",BT19=""),AND(CA19&gt;=CC$27,CA19&lt;&gt;"",BT19=""),AND(CZ19&gt;=DG$27,CZ19&lt;&gt;"",CX19=""),AND(DB19&gt;=DG$27,DB19&lt;&gt;"",CX19=""),AND(DE19&gt;=DG$27,DE19&lt;&gt;"",CX19=""),AND(EA19&gt;=EG$27,EA19&lt;&gt;""),AND(EE19&gt;=EG$27,EE19&lt;&gt;""),AND(EW19&gt;=FC$27,EW19&lt;&gt;""),AND(FA19&gt;=FC$27,FA19&lt;&gt;""),AND(FS19&gt;=FY$27,FS19&lt;&gt;""),AND(FW19&gt;=FY$27,FW19&lt;&gt;""),AND(GO19&gt;=GU$27,GO19&lt;&gt;""),AND(GS19&gt;=GU$27,GS19&lt;&gt;""),AND(HK19&gt;=HQ$27,HK19&lt;&gt;""),AND(HO19&gt;=HQ$27,HO19&lt;&gt;""),AND(IG19&gt;=IM$27,IG19&lt;&gt;""),AND(IK19&gt;=IM$27,IK19&lt;&gt;""),AND(JC19&gt;=JI$27,JC19&lt;&gt;""),AND(JG19&gt;=JI$27,JG19&lt;&gt;""),AND(JY19&gt;=KE$27,JY19&lt;&gt;""),AND(KC19&gt;=KE$27,KC19&lt;&gt;""),AND(KU19&gt;=LA$27,KU19&lt;&gt;""),AND(KY19&gt;=LA$27,KY19&lt;&gt;""),AND(LQ19&gt;=LW$27,LQ19&lt;&gt;""),AND(LU19&gt;=LW$27,LU19&lt;&gt;""),AND(MM19&gt;=MS$27,MM19&lt;&gt;""),AND(MQ19&gt;=MS$27,MQ19&lt;&gt;""),AND(NI19&gt;=NO$27,NI19&lt;&gt;""),AND(NM19&gt;=NO$27,NM19&lt;&gt;"")),"National Team",""))))</f>
        <v/>
      </c>
      <c r="H19" s="125" t="str">
        <f>IF(OR(AND(AS19&gt;=AY$34,AS19&lt;&gt;"",AP19=""),AND(AU19&gt;=AY$34,AU19&lt;&gt;"",AP19=""),AND(AX19&gt;=AY$34,AX19&lt;&gt;"",AP19=""),AND(BW19&gt;=CC$34,BW19&lt;&gt;"",BT19=""),AND(BY19&gt;=CC$34,BY19&lt;&gt;"",BT19=""),AND(CB19&gt;=CC$34,CB19&lt;&gt;"",BT19=""),AND(DA19&gt;=DG$34,DA19&lt;&gt;"",CX19=""),AND(DC19&gt;=DG$34,DC19&lt;&gt;"",CX19=""),AND(DF19&gt;=DG$34,DF19&lt;&gt;"",CX19=""),AND(EC19&gt;=EG$34,EC19&lt;&gt;""),AND(EF19&gt;=EG$34,EF19&lt;&gt;""),AND(EY19&gt;=FC$34,EY19&lt;&gt;""),AND(FB19&gt;=FC$34,FB19&lt;&gt;""),AND(FU19&gt;=FY$34,FU19&lt;&gt;""),AND(FX19&gt;=FY$34,FX19&lt;&gt;""),AND(GQ19&gt;=GU$34,GQ19&lt;&gt;""),AND(GT19&gt;=GU$34,GT19&lt;&gt;""),AND(HM19&gt;=HQ$34,HM19&lt;&gt;""),AND(HP19&gt;=HQ$34,HP19&lt;&gt;""),AND(II19&gt;=IM$34,II19&lt;&gt;""),AND(IL19&gt;=IM$34,IL19&lt;&gt;""),AND(JE19&gt;=JI$34,JE19&lt;&gt;""),AND(JH19&gt;=JI$34,JH19&lt;&gt;""),AND(KA19&gt;=KE$34,KA19&lt;&gt;""),AND(KD19&gt;=KE$34,KD19&lt;&gt;""),AND(KW19&gt;=LA$34,KW19&lt;&gt;""),AND(KZ19&gt;=LA$34,KZ19&lt;&gt;""),AND(LS19&gt;=LW$34,LS19&lt;&gt;""),AND(LV19&gt;=LW$34,LV19&lt;&gt;""),AND(MO19&gt;=MS$34,MO19&lt;&gt;""),AND(MR19&gt;=MS$34,MR19&lt;&gt;""),AND(NK19&gt;=NO$34,NK19&lt;&gt;""),AND(NN19&gt;=NO$34,NN19&lt;&gt;"")),"Merit",IF(OR(AND(AS19&gt;=AY$33,AS19&lt;&gt;"",AP19=""),AND(AU19&gt;=AY$33,AU19&lt;&gt;"",AP19=""),AND(AX19&gt;=AY$33,AX19&lt;&gt;"",AP19=""),AND(BW19&gt;=CC$33,BW19&lt;&gt;"",BT19=""),AND(BY19&gt;=CC$33,BY19&lt;&gt;"",BT19=""),AND(CB19&gt;=CC$33,CB19&lt;&gt;"",BT19=""),AND(DA19&gt;=DG$33,DA19&lt;&gt;"",CX19=""),AND(DC19&gt;=DG$33,DC19&lt;&gt;"",CX19=""),AND(DF19&gt;=DG$33,DF19&lt;&gt;"",CX19=""),AND(EC19&gt;=EG$33,EC19&lt;&gt;""),AND(EF19&gt;=EG$33,EF19&lt;&gt;""),AND(EY19&gt;=FC$33,EY19&lt;&gt;""),AND(FB19&gt;=FC$33,FB19&lt;&gt;""),AND(FU19&gt;=FY$33,FU19&lt;&gt;""),AND(FX19&gt;=FY$33,FX19&lt;&gt;""),AND(GQ19&gt;=GU$33,GQ19&lt;&gt;""),AND(GT19&gt;=GU$33,GT19&lt;&gt;""),AND(HM19&gt;=HQ$33,HM19&lt;&gt;""),AND(HP19&gt;=HQ$33,HP19&lt;&gt;""),AND(II19&gt;=IM$33,II19&lt;&gt;""),AND(IL19&gt;=IM$33,IL19&lt;&gt;""),AND(JE19&gt;=JI$33,JE19&lt;&gt;""),AND(JH19&gt;=JI$33,JH19&lt;&gt;""),AND(KA19&gt;=KE$33,KA19&lt;&gt;""),AND(KD19&gt;=KE$33,KD19&lt;&gt;""),AND(KW19&gt;=LA$33,KW19&lt;&gt;""),AND(KZ19&gt;=LA$33,KZ19&lt;&gt;""),AND(LS19&gt;=LW$33,LS19&lt;&gt;""),AND(LV19&gt;=LW$33,LV19&lt;&gt;""),AND(MO19&gt;=MS$33,MO19&lt;&gt;""),AND(MR19&gt;=MS$33,MR19&lt;&gt;""),AND(NK19&gt;=NO$33,NK19&lt;&gt;""),AND(NN19&gt;=NO$33,NN19&lt;&gt;"")),"Excellence",IF(OR(AND(AV19&gt;=AY$32,AV19&lt;&gt;"",AP19=""),AND(BZ19&gt;=CC$32,BZ19&lt;&gt;"",BT19=""),AND(DD19&gt;=DG$32,DD19&lt;&gt;"",CX19=""),AND(ED19&gt;=EG$32,ED19&lt;&gt;""),AND(EZ19&gt;=FC$32,EZ19&lt;&gt;""),AND(FV19&gt;=FY$32,FV19&lt;&gt;""),AND(GR19&gt;=GU$32,GR19&lt;&gt;""),AND(HN19&gt;=HQ$32,HN19&lt;&gt;""),AND(IJ19&gt;=IM$32,IJ19&lt;&gt;""),AND(JF19&gt;=JI$32,JF19&lt;&gt;""),AND(KB19&gt;=KE$32,KB19&lt;&gt;""),AND(KX19&gt;=LA$32,KX19&lt;&gt;""),AND(LT19&gt;=LW$32,LT19&lt;&gt;""),AND(MP19&gt;=MS$32,MP19&lt;&gt;""),AND(NL19&gt;=NO$32,NL19&lt;&gt;"")),"Worlds Team",IF(OR(AND(AV19&gt;=AY$31,AV19&lt;&gt;"",AP19=""),AND(BZ19&gt;=CC$31,BZ19&lt;&gt;"",BT19=""),AND(DD19&gt;=DG$31,DD19&lt;&gt;"",CX19=""),AND(ED19&gt;=EG$31,ED19&lt;&gt;""),AND(EZ19&gt;=FC$31,EZ19&lt;&gt;""),AND(FV19&gt;=FY$31,FV19&lt;&gt;""),AND(GR19&gt;=GU$31,GR19&lt;&gt;""),AND(HN19&gt;=HQ$31,HN19&lt;&gt;""),AND(IJ19&gt;=IM$31,IJ19&lt;&gt;""),AND(JF19&gt;=JI$31,JF19&lt;&gt;""),AND(KB19&gt;=KE$31,KB19&lt;&gt;""),AND(KX19&gt;=LA$31,KX19&lt;&gt;""),AND(LT19&gt;=LW$31,LT19&lt;&gt;""),AND(MP19&gt;=MS$31,MP19&lt;&gt;""),AND(NL19&gt;=NO$31,NL19&lt;&gt;"")),"National Team",""))))</f>
        <v/>
      </c>
      <c r="I19" s="12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$32,AV19&lt;&gt;"",AP19=""),AND(BZ19&gt;=CC$32,BZ19&lt;&gt;"",BT19=""),AND(DD19&gt;=DG$32,DD19&lt;&gt;"",CX19=""),AND(ED19&gt;=EG$32,ED19&lt;&gt;""),AND(EZ19&gt;=FC$32,EZ19&lt;&gt;""),AND(FV19&gt;=FY$32,FV19&lt;&gt;""),AND(GR19&gt;=GU$32,GR19&lt;&gt;""),AND(HN19&gt;=HQ$32,HN19&lt;&gt;""),AND(IJ19&gt;=IM$32,IJ19&lt;&gt;""),AND(JF19&gt;=JI$32,JF19&lt;&gt;""),AND(KB19&gt;=KE$32,KB19&lt;&gt;""),AND(KX19&gt;=LA$32,KX19&lt;&gt;""),AND(LT19&gt;=LW$32,LT19&lt;&gt;""),AND(MP19&gt;=MS$32,MP19&lt;&gt;""),AND(NL19&gt;=NO$32,NL19&lt;&gt;"")),OR(G19="Worlds Team",G19="Excellence",G19="Merit")),"P","")</f>
        <v/>
      </c>
      <c r="K19" s="14">
        <f>IF(MAX(AV19,BZ19,DD19)&gt;0,MAX(AV19,BZ19,DD19),0)</f>
        <v>100.81</v>
      </c>
      <c r="L19" s="14" t="str">
        <f>IF(K19=0,"",IF(K19=DD19,$CD$1,IF(K19=BZ19,$AZ$1,IF(K19=AV19,$V$1,""))))</f>
        <v>2021 1st Virtual Technical Trial</v>
      </c>
      <c r="M19" s="14">
        <f>IF($K19=$AV19,MAX(BU19,CY19),IF($K19=$BZ19,MAX(AQ19,CY19),IF($K19=$DD19,MAX(AQ19,BU19),MAX(AQ19,BU19,CY19))))</f>
        <v>45.794999999999995</v>
      </c>
      <c r="N19" s="14" t="str">
        <f>IF(M19=0,"",IF(AND(M19=CY19,$L19&lt;&gt;$CD$1),$CD$1,IF(AND(M19=BU19,$L19&lt;&gt;$AZ$1),$AZ$1,IF(AND(M19=AQ19,$L19&lt;&gt;$V$1),$V$1,""))))</f>
        <v>2019 Elite Canada</v>
      </c>
      <c r="O19" s="14">
        <f>IF(K19-N(AQ19)=AS19,MAX(AU19,BW19,BY19,DA19,DC19),IF(K19-N(AQ19)=AU19,MAX(AS19,BW19,BY19,DA19,DC19),IF(K19-N(BU19)=BW19,MAX(AS19,AU19,BY19,DA19,DC19),IF(K19-N(BU19)=BY19,MAX(AS19,AU19,BW19,DA19,DC19),IF(K19-N(CY19)=DA19,MAX(AS19,AU19,BW19,BY19,DC19),IF(K19-N(CY19)=DC19,MAX(AS19,AU19,BW19,BY19,DA19),MAX(AS19,AU19,BW19,BY19,DA19,DC19)))))))</f>
        <v>52.080000000000005</v>
      </c>
      <c r="P19" s="14" t="str">
        <f>IF(O19=0,"",IF(OR(O19=DC19,O19=DA19),$CD$1,IF(OR(O19=BY19,O19=BW19),$AZ$1,IF(OR(O19=AU19,O19=AS19),$V$1,""))))</f>
        <v>2021 1st Virtual Technical Trial</v>
      </c>
      <c r="Q19" s="14">
        <f>MAX(AX19,CB19,DF19)</f>
        <v>50.555000000000007</v>
      </c>
      <c r="R19" s="14" t="str">
        <f>IF(Q19=0,"",IF(Q19=DF19,$CD$1,IF(Q19=CB19,$AZ$1,IF(Q19=AX19,$V$1,""))))</f>
        <v>2021 1st Virtual Technical Trial</v>
      </c>
      <c r="S19" s="14" t="str">
        <f>IF(MAX(DH19,DI19,DJ19,DK19)&gt;0,MAX(DH19,DI19,DJ19,DK19),"")</f>
        <v/>
      </c>
      <c r="T19" s="25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9">
        <v>16.899999999999999</v>
      </c>
      <c r="W19" s="69">
        <v>9.5</v>
      </c>
      <c r="X19" s="69">
        <v>3.4</v>
      </c>
      <c r="Y19" s="69">
        <v>15.994999999999999</v>
      </c>
      <c r="Z19" s="69">
        <v>0</v>
      </c>
      <c r="AA19" s="69">
        <v>14</v>
      </c>
      <c r="AB19" s="69">
        <v>9.4499999999999993</v>
      </c>
      <c r="AC19" s="69">
        <v>12</v>
      </c>
      <c r="AD19" s="69">
        <v>14.87</v>
      </c>
      <c r="AE19" s="69">
        <v>1.5</v>
      </c>
      <c r="AF19" s="69"/>
      <c r="AG19" s="69"/>
      <c r="AH19" s="69"/>
      <c r="AI19" s="69"/>
      <c r="AJ19" s="69"/>
      <c r="AK19" s="69">
        <v>14.8</v>
      </c>
      <c r="AL19" s="69">
        <v>8.9499999999999993</v>
      </c>
      <c r="AM19" s="69">
        <v>12</v>
      </c>
      <c r="AN19" s="69">
        <v>14.955</v>
      </c>
      <c r="AO19" s="69">
        <v>1.5</v>
      </c>
      <c r="AP19" s="80"/>
      <c r="AQ19" s="11">
        <f>IF(SUM(V19:Y19)-Z19&gt;0,SUM(V19:Y19)-Z19,"")</f>
        <v>45.794999999999995</v>
      </c>
      <c r="AR19" s="11">
        <f>IF(AC19&gt;0,AC19,"")</f>
        <v>12</v>
      </c>
      <c r="AS19" s="11">
        <f>IF(SUM(AA19:AD19)-AE19&gt;0,SUM(AA19:AD19)-AE19,"")</f>
        <v>48.82</v>
      </c>
      <c r="AT19" s="11" t="str">
        <f>IF(AH19&gt;0,AH19,"")</f>
        <v/>
      </c>
      <c r="AU19" s="11" t="str">
        <f>IF(SUM(AF19:AI19)-AJ19&gt;0,SUM(AF19:AI19)-AJ19,"")</f>
        <v/>
      </c>
      <c r="AV19" s="11">
        <f>IF(OR(AQ19&lt;&gt;"",AS19&lt;&gt;"",AU19&lt;&gt;""),AQ19+MAX(AS19,AU19),"")</f>
        <v>94.614999999999995</v>
      </c>
      <c r="AW19" s="11">
        <f>IF(AM19&gt;0,AM19,"")</f>
        <v>12</v>
      </c>
      <c r="AX19" s="11">
        <f>IF(SUM(AK19:AN19)-AO19&gt;0,SUM(AK19:AN19)-AO19,"")</f>
        <v>49.204999999999998</v>
      </c>
      <c r="AY19" s="11">
        <f>IF(SUM(AV19,AX19)&gt;0,SUM(AV19,AX19),"")</f>
        <v>143.82</v>
      </c>
      <c r="AZ19" s="75">
        <v>15.335000000000001</v>
      </c>
      <c r="BA19" s="75">
        <v>17.399999999999999</v>
      </c>
      <c r="BB19" s="75">
        <v>9.3000000000000007</v>
      </c>
      <c r="BC19" s="75">
        <v>3.2</v>
      </c>
      <c r="BD19" s="75">
        <v>0</v>
      </c>
      <c r="BE19" s="75">
        <v>10.7</v>
      </c>
      <c r="BF19" s="75">
        <v>6.2</v>
      </c>
      <c r="BG19" s="75">
        <v>8.3000000000000007</v>
      </c>
      <c r="BH19" s="75">
        <v>10.215</v>
      </c>
      <c r="BI19" s="75">
        <v>0</v>
      </c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81"/>
      <c r="BU19" s="14">
        <f>IF(SUM(AZ19:BC19)-BD19&gt;0,SUM(AZ19:BC19)-BD19,"")</f>
        <v>45.234999999999999</v>
      </c>
      <c r="BV19" s="14">
        <f>IF(BG19&gt;0,BG19,"")</f>
        <v>8.3000000000000007</v>
      </c>
      <c r="BW19" s="14">
        <f>IF(SUM(BE19:BH19)-BI19&gt;0,SUM(BE19:BH19)-BI19,"")</f>
        <v>35.414999999999999</v>
      </c>
      <c r="BX19" s="14" t="str">
        <f>IF(BL19&gt;0,BL19,"")</f>
        <v/>
      </c>
      <c r="BY19" s="14" t="str">
        <f>IF(SUM(BJ19:BM19)-BN19&gt;0,SUM(BJ19:BM19)-BN19,"")</f>
        <v/>
      </c>
      <c r="BZ19" s="14">
        <f>IF(BU19="",IF(MAX(BW19,BY19)&gt;0,MAX(BW19,BY19),""),MAX(BW19,BY19)+BU19)</f>
        <v>80.650000000000006</v>
      </c>
      <c r="CA19" s="14" t="str">
        <f>IF(BQ19&gt;0,BQ19,"")</f>
        <v/>
      </c>
      <c r="CB19" s="14" t="str">
        <f>IF(SUM(BO19:BR19)-BS19&gt;0,SUM(BO19:BR19)-BS19,"")</f>
        <v/>
      </c>
      <c r="CC19" s="14">
        <f>IF(SUM(BZ19,CB19)&gt;0,SUM(BZ19,CB19),"")</f>
        <v>80.650000000000006</v>
      </c>
      <c r="CD19" s="69">
        <v>17.899999999999999</v>
      </c>
      <c r="CE19" s="69">
        <v>9.3000000000000007</v>
      </c>
      <c r="CF19" s="69">
        <v>3.4</v>
      </c>
      <c r="CG19" s="69">
        <v>15.78</v>
      </c>
      <c r="CH19" s="69">
        <v>0</v>
      </c>
      <c r="CI19" s="69">
        <v>14.4</v>
      </c>
      <c r="CJ19" s="69">
        <v>9.3000000000000007</v>
      </c>
      <c r="CK19" s="69">
        <v>13.5</v>
      </c>
      <c r="CL19" s="69">
        <v>14.88</v>
      </c>
      <c r="CM19" s="69">
        <v>0</v>
      </c>
      <c r="CN19" s="69">
        <v>16.2</v>
      </c>
      <c r="CO19" s="69">
        <v>9.5</v>
      </c>
      <c r="CP19" s="69">
        <v>13.5</v>
      </c>
      <c r="CQ19" s="69">
        <v>15.23</v>
      </c>
      <c r="CR19" s="69">
        <v>0</v>
      </c>
      <c r="CS19" s="69">
        <v>14.3</v>
      </c>
      <c r="CT19" s="69">
        <v>8.8000000000000007</v>
      </c>
      <c r="CU19" s="69">
        <v>13.3</v>
      </c>
      <c r="CV19" s="69">
        <v>14.555</v>
      </c>
      <c r="CW19" s="69">
        <v>0.4</v>
      </c>
      <c r="CX19" s="80"/>
      <c r="CY19" s="11">
        <f>IF(SUM(CD19:CG19)-CH19&gt;0,SUM(CD19:CG19)-CH19,"")</f>
        <v>46.379999999999995</v>
      </c>
      <c r="CZ19" s="11">
        <f>IF(CK19&gt;0,CK19,"")</f>
        <v>13.5</v>
      </c>
      <c r="DA19" s="11">
        <f>IF(SUM(CI19:CL19)-CM19&gt;0,SUM(CI19:CL19)-CM19,"")</f>
        <v>52.080000000000005</v>
      </c>
      <c r="DB19" s="11">
        <f>IF(CP19&gt;0,CP19,"")</f>
        <v>13.5</v>
      </c>
      <c r="DC19" s="11">
        <f>IF(SUM(CN19:CQ19)-CR19&gt;0,SUM(CN19:CQ19)-CR19,"")</f>
        <v>54.430000000000007</v>
      </c>
      <c r="DD19" s="11">
        <f>IF(CY19="",IF(MAX(DA19,DC19)&gt;0,MAX(DA19,DC19),""),MAX(DA19,DC19)+CY19)</f>
        <v>100.81</v>
      </c>
      <c r="DE19" s="11">
        <f>IF(CU19&gt;0,CU19,"")</f>
        <v>13.3</v>
      </c>
      <c r="DF19" s="11">
        <f>IF(SUM(CS19:CV19)-CW19&gt;0,SUM(CS19:CV19)-CW19,"")</f>
        <v>50.555000000000007</v>
      </c>
      <c r="DG19" s="11">
        <f>IF(SUM(DD19,DF19)&gt;0,SUM(DD19,DF19),"")</f>
        <v>151.36500000000001</v>
      </c>
      <c r="DH19" s="24" t="str">
        <f>IF(MAX(EB19,EX19,FT19,GP19,HL19,IH19,JD19,JZ19,KV19,LR19,MN19,NJ19)-IF(M19="",0,M19)&gt;0.001,MAX(EB19,EX19,FT19,GP19,HL19,IH19,JD19,JZ19,KV19,LR19,MN19,NJ19)-IF(M19="",0,M19),"")</f>
        <v/>
      </c>
      <c r="DI19" s="24" t="str">
        <f>IF(MAX(EC19,EY19,FU19,GQ19,HM19,II19,JE19,KA19,KW19,LS19,MO19,NK19)-IF(O19="",0,O19)&gt;0.001,MAX(EC19,EY19,FU19,GQ19,HM19,II19,JE19,KA19,KW19,LS19,MO19,NK19)-IF(O19="",0,O19),"")</f>
        <v/>
      </c>
      <c r="DJ19" s="24" t="str">
        <f>IF(MAX(ED19,EZ19,FV19,GR19,HN19,IJ19,JF19,KB19,KX19,LT19,MP19,NL19)-IF(K19="",0,K19)&gt;0.001,MAX(ED19,EZ19,FV19,GR19,HN19,IJ19,JF19,KB19,KX19,LT19,MP19,NL19)-IF(K19="",0,K19),"")</f>
        <v/>
      </c>
      <c r="DK19" s="24" t="str">
        <f>IF(MAX(EF19,FB19,FX19,GT19,HP19,IL19,JH19,KD19,KZ19,LV19,MR19,NN19)-IF(Q19="",0,Q19)&gt;0.001,MAX(EF19,FB19,FX19,GT19,HP19,IL19,JH19,KD19,KZ19,LV19,MR19,NN19)-IF(Q19="",0,Q19),"")</f>
        <v/>
      </c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9">
        <f>IF($CX19="P",CD19,(CD19+AZ19)/2)</f>
        <v>16.6175</v>
      </c>
      <c r="NQ19" s="69">
        <f>IF($CX19="P",CE19,(CE19+BA19)/2)</f>
        <v>13.35</v>
      </c>
      <c r="NR19" s="69">
        <f>IF($CX19="P",CF19,(CF19+BB19)/2)</f>
        <v>6.3500000000000005</v>
      </c>
      <c r="NS19" s="69">
        <f>IF($CX19="P",CG19,(CG19+BC19)/2)</f>
        <v>9.49</v>
      </c>
      <c r="NT19" s="69">
        <f>IF($CX19="P",CH19,(CH19+BD19)/2)</f>
        <v>0</v>
      </c>
      <c r="NU19" s="69">
        <f>IF($CX19="P",CI19,(CI19+BE19)/2)</f>
        <v>12.55</v>
      </c>
      <c r="NV19" s="69">
        <f>IF($CX19="P",CJ19,(CJ19+BF19)/2)</f>
        <v>7.75</v>
      </c>
      <c r="NW19" s="69">
        <f>IF($CX19="P",CK19,(CK19+BG19)/2)</f>
        <v>10.9</v>
      </c>
      <c r="NX19" s="69">
        <f>IF($CX19="P",CL19,(CL19+BH19)/2)</f>
        <v>12.547499999999999</v>
      </c>
      <c r="NY19" s="69">
        <f>IF($CX19="P",CM19,(CM19+BI19)/2)</f>
        <v>0</v>
      </c>
      <c r="NZ19" s="69">
        <f>IF($CX19="P",CN19,(CN19+BJ19)/2)</f>
        <v>8.1</v>
      </c>
      <c r="OA19" s="69">
        <f>IF($CX19="P",CO19,(CO19+BK19)/2)</f>
        <v>4.75</v>
      </c>
      <c r="OB19" s="69">
        <f>IF($CX19="P",CP19,(CP19+BL19)/2)</f>
        <v>6.75</v>
      </c>
      <c r="OC19" s="69">
        <f>IF($CX19="P",CQ19,(CQ19+BM19)/2)</f>
        <v>7.6150000000000002</v>
      </c>
      <c r="OD19" s="69">
        <f>IF($CX19="P",CR19,(CR19+BN19)/2)</f>
        <v>0</v>
      </c>
      <c r="OE19" s="69">
        <f>IF($CX19="P",CS19,(CS19+BO19)/2)</f>
        <v>7.15</v>
      </c>
      <c r="OF19" s="69">
        <f>IF($CX19="P",CT19,(CT19+BP19)/2)</f>
        <v>4.4000000000000004</v>
      </c>
      <c r="OG19" s="69">
        <f>IF($CX19="P",CU19,(CU19+BQ19)/2)</f>
        <v>6.65</v>
      </c>
      <c r="OH19" s="69">
        <f>IF($CX19="P",CV19,(CV19+BR19)/2)</f>
        <v>7.2774999999999999</v>
      </c>
      <c r="OI19" s="69">
        <f>IF($CX19="P",CW19,(CW19+BS19)/2)</f>
        <v>0.2</v>
      </c>
      <c r="OJ19" s="80" t="s">
        <v>91</v>
      </c>
      <c r="OK19" s="11">
        <f>IF(SUM(NP19:NS19)-NT19&gt;0,SUM(NP19:NS19)-NT19,"")</f>
        <v>45.807500000000005</v>
      </c>
      <c r="OL19" s="11">
        <f>IF(NW19&gt;0,NW19,"")</f>
        <v>10.9</v>
      </c>
      <c r="OM19" s="11">
        <f>IF(SUM(NU19:NX19)-NY19&gt;0,SUM(NU19:NX19)-NY19,"")</f>
        <v>43.747500000000002</v>
      </c>
      <c r="ON19" s="11">
        <f>IF(OB19&gt;0,OB19,"")</f>
        <v>6.75</v>
      </c>
      <c r="OO19" s="11">
        <f>IF(SUM(NZ19:OC19)-OD19&gt;0,SUM(NZ19:OC19)-OD19,"")</f>
        <v>27.215000000000003</v>
      </c>
      <c r="OP19" s="11">
        <f>IF(OR(OK19&lt;&gt;"",OM19&lt;&gt;"",OO19&lt;&gt;""),OK19+MAX(OM19,OO19),"")</f>
        <v>89.555000000000007</v>
      </c>
      <c r="OQ19" s="11">
        <f>IF(OG19&gt;0,OG19,"")</f>
        <v>6.65</v>
      </c>
      <c r="OR19" s="11">
        <f t="shared" si="0"/>
        <v>25.277500000000003</v>
      </c>
      <c r="OS19" s="11">
        <f t="shared" si="1"/>
        <v>114.83250000000001</v>
      </c>
    </row>
    <row r="20" spans="1:409" x14ac:dyDescent="0.2">
      <c r="A20" s="5" t="str" cm="1">
        <f t="array" ref="A20">IF(AND(G20&lt;&gt;"",H20&lt;&gt;""),SUMPRODUCT((G$4:G$25&lt;&gt;"")*(H$4:H$25&lt;&gt;"")*(E$4:E$25&gt;E20))+1,IF(H20&lt;&gt;"",SUMPRODUCT((I$4:I$25="No DD")*(E$4:E$25&gt;E20))+1+SUMPRODUCT((G$4:G$25&lt;&gt;"")*(H$4:H$25&lt;&gt;"")),""))</f>
        <v/>
      </c>
      <c r="B20" s="8" t="s">
        <v>7</v>
      </c>
      <c r="C20" s="4" t="s">
        <v>5</v>
      </c>
      <c r="D20" s="27">
        <v>1993</v>
      </c>
      <c r="E20" s="15">
        <f>SUM(K20:S20)</f>
        <v>217.84000000000003</v>
      </c>
      <c r="F20" s="3" t="str">
        <f>IF(G20&lt;&gt;"","P","")</f>
        <v/>
      </c>
      <c r="G20" s="125" t="str">
        <f>IF(OR(AND(AR20&gt;=AY$30,AR20&lt;&gt;"",AP20=""),AND(AT20&gt;=AY$30,AT20&lt;&gt;"",AP20=""),AND(AW20&gt;=AY$30,AW20&lt;&gt;"",AP20=""),AND(BV20&gt;=CC$30,BV20&lt;&gt;"",BT20=""),AND(BX20&gt;=CC$30,BX20&lt;&gt;"",BT20=""),AND(CA20&gt;=CC$30,CA20&lt;&gt;"",BT20=""),AND(CZ20&gt;=DG$30,CZ20&lt;&gt;"",CX20=""),AND(DB20&gt;=DG$30,DB20&lt;&gt;"",CX20=""),AND(DE20&gt;=DG$30,DE20&lt;&gt;"",CX20=""),AND(EA20&gt;=EG$30,EA20&lt;&gt;""),AND(EE20&gt;=EG$30,EE20&lt;&gt;""),AND(EW20&gt;=FC$30,EW20&lt;&gt;""),AND(FA20&gt;=FC$30,FA20&lt;&gt;""),AND(FS20&gt;=FY$30,FS20&lt;&gt;""),AND(FW20&gt;=FY$30,FW20&lt;&gt;""),AND(GO20&gt;=GU$30,GO20&lt;&gt;""),AND(GS20&gt;=GU$30,GS20&lt;&gt;""),AND(HK20&gt;=HQ$30,HK20&lt;&gt;""),AND(HO20&gt;=HQ$30,HO20&lt;&gt;""),AND(IG20&gt;=IM$30,IG20&lt;&gt;""),AND(IK20&gt;=IM$30,IK20&lt;&gt;""),AND(JC20&gt;=JI$30,JC20&lt;&gt;""),AND(JG20&gt;=JI$30,JG20&lt;&gt;""),AND(JY20&gt;=KE$30,JY20&lt;&gt;""),AND(KC20&gt;=KE$30,KC20&lt;&gt;""),AND(KU20&gt;=LA$30,KU20&lt;&gt;""),AND(KY20&gt;=LA$30,KY20&lt;&gt;""),AND(LQ20&gt;=LW$30,LQ20&lt;&gt;""),AND(LU20&gt;=LW$30,LU20&lt;&gt;""),AND(MM20&gt;=MS$30,MM20&lt;&gt;""),AND(MQ20&gt;=MS$30,MQ20&lt;&gt;""),AND(NI20&gt;=NO$30,NI20&lt;&gt;""),AND(NM20&gt;=NO$30,NM20&lt;&gt;"")),"Merit",IF(OR(AND(AR20&gt;=AY$29,AR20&lt;&gt;"",AP20=""),AND(AT20&gt;=AY$29,AT20&lt;&gt;"",AP20=""),AND(AW20&gt;=AY$29,AW20&lt;&gt;"",AP20=""),AND(BV20&gt;=CC$29,BV20&lt;&gt;"",BT20=""),AND(BX20&gt;=CC$29,BX20&lt;&gt;"",BT20=""),AND(CA20&gt;=CC$29,CA20&lt;&gt;"",BT20=""),AND(CZ20&gt;=DG$29,CZ20&lt;&gt;"",CX20=""),AND(DB20&gt;=DG$29,DB20&lt;&gt;"",CX20=""),AND(DE20&gt;=DG$29,DE20&lt;&gt;"",CX20=""),AND(EA20&gt;=EG$29,EA20&lt;&gt;""),AND(EE20&gt;=EG$29,EE20&lt;&gt;""),AND(EW20&gt;=FC$29,EW20&lt;&gt;""),AND(FA20&gt;=FC$29,FA20&lt;&gt;""),AND(FS20&gt;=FY$29,FS20&lt;&gt;""),AND(FW20&gt;=FY$29,FW20&lt;&gt;""),AND(GO20&gt;=GU$29,GO20&lt;&gt;""),AND(GS20&gt;=GU$29,GS20&lt;&gt;""),AND(HK20&gt;=HQ$29,HK20&lt;&gt;""),AND(HO20&gt;=HQ$29,HO20&lt;&gt;""),AND(IG20&gt;=IM$29,IG20&lt;&gt;""),AND(IK20&gt;=IM$29,IK20&lt;&gt;""),AND(JC20&gt;=JI$29,JC20&lt;&gt;""),AND(JG20&gt;=JI$29,JG20&lt;&gt;""),AND(JY20&gt;=KE$29,JY20&lt;&gt;""),AND(KC20&gt;=KE$29,KC20&lt;&gt;""),AND(KU20&gt;=LA$29,KU20&lt;&gt;""),AND(KY20&gt;=LA$29,KY20&lt;&gt;""),AND(LQ20&gt;=LW$29,LQ20&lt;&gt;""),AND(LU20&gt;=LW$29,LU20&lt;&gt;""),AND(MM20&gt;=MS$29,MM20&lt;&gt;""),AND(MQ20&gt;=MS$29,MQ20&lt;&gt;""),AND(NI20&gt;=NO$29,NI20&lt;&gt;""),AND(NM20&gt;=NO$29,NM20&lt;&gt;"")),"Excellence",IF(OR(AND(AR20&gt;=AY$28,AR20&lt;&gt;"",AP20=""),AND(AT20&gt;=AY$28,AT20&lt;&gt;"",AP20=""),AND(AW20&gt;=AY$28,AW20&lt;&gt;"",AP20=""),AND(BV20&gt;=CC$28,BV20&lt;&gt;"",BT20=""),AND(BX20&gt;=CC$28,BX20&lt;&gt;"",BT20=""),AND(CA20&gt;=CC$28,CA20&lt;&gt;"",BT20=""),AND(CZ20&gt;=DG$28,CZ20&lt;&gt;"",CX20=""),AND(DB20&gt;=DG$28,DB20&lt;&gt;"",CX20=""),AND(DE20&gt;=DG$28,DE20&lt;&gt;"",CX20=""),AND(EA20&gt;=EG$28,EA20&lt;&gt;""),AND(EE20&gt;=EG$28,EE20&lt;&gt;""),AND(EW20&gt;=FC$28,EW20&lt;&gt;""),AND(FA20&gt;=FC$28,FA20&lt;&gt;""),AND(FS20&gt;=FY$28,FS20&lt;&gt;""),AND(FW20&gt;=FY$28,FW20&lt;&gt;""),AND(GO20&gt;=GU$28,GO20&lt;&gt;""),AND(GS20&gt;=GU$28,GS20&lt;&gt;""),AND(HK20&gt;=HQ$28,HK20&lt;&gt;""),AND(HO20&gt;=HQ$28,HO20&lt;&gt;""),AND(IG20&gt;=IM$28,IG20&lt;&gt;""),AND(IK20&gt;=IM$28,IK20&lt;&gt;""),AND(JC20&gt;=JI$28,JC20&lt;&gt;""),AND(JG20&gt;=JI$28,JG20&lt;&gt;""),AND(JY20&gt;=KE$28,JY20&lt;&gt;""),AND(KC20&gt;=KE$28,KC20&lt;&gt;""),AND(KU20&gt;=LA$28,KU20&lt;&gt;""),AND(KY20&gt;=LA$28,KY20&lt;&gt;""),AND(LQ20&gt;=LW$28,LQ20&lt;&gt;""),AND(LU20&gt;=LW$28,LU20&lt;&gt;""),AND(MM20&gt;=MS$28,MM20&lt;&gt;""),AND(MQ20&gt;=MS$28,MQ20&lt;&gt;""),AND(NI20&gt;=NO$28,NI20&lt;&gt;""),AND(NM20&gt;=NO$28,NM20&lt;&gt;"")),"Worlds Team",IF(OR(AND(AR20&gt;=AY$27,AR20&lt;&gt;"",AP20=""),AND(AT20&gt;=AY$27,AT20&lt;&gt;"",AP20=""),AND(AW20&gt;=AY$27,AW20&lt;&gt;"",AP20=""),AND(BV20&gt;=CC$27,BV20&lt;&gt;"",BT20=""),AND(BX20&gt;=CC$27,BX20&lt;&gt;"",BT20=""),AND(CA20&gt;=CC$27,CA20&lt;&gt;"",BT20=""),AND(CZ20&gt;=DG$27,CZ20&lt;&gt;"",CX20=""),AND(DB20&gt;=DG$27,DB20&lt;&gt;"",CX20=""),AND(DE20&gt;=DG$27,DE20&lt;&gt;"",CX20=""),AND(EA20&gt;=EG$27,EA20&lt;&gt;""),AND(EE20&gt;=EG$27,EE20&lt;&gt;""),AND(EW20&gt;=FC$27,EW20&lt;&gt;""),AND(FA20&gt;=FC$27,FA20&lt;&gt;""),AND(FS20&gt;=FY$27,FS20&lt;&gt;""),AND(FW20&gt;=FY$27,FW20&lt;&gt;""),AND(GO20&gt;=GU$27,GO20&lt;&gt;""),AND(GS20&gt;=GU$27,GS20&lt;&gt;""),AND(HK20&gt;=HQ$27,HK20&lt;&gt;""),AND(HO20&gt;=HQ$27,HO20&lt;&gt;""),AND(IG20&gt;=IM$27,IG20&lt;&gt;""),AND(IK20&gt;=IM$27,IK20&lt;&gt;""),AND(JC20&gt;=JI$27,JC20&lt;&gt;""),AND(JG20&gt;=JI$27,JG20&lt;&gt;""),AND(JY20&gt;=KE$27,JY20&lt;&gt;""),AND(KC20&gt;=KE$27,KC20&lt;&gt;""),AND(KU20&gt;=LA$27,KU20&lt;&gt;""),AND(KY20&gt;=LA$27,KY20&lt;&gt;""),AND(LQ20&gt;=LW$27,LQ20&lt;&gt;""),AND(LU20&gt;=LW$27,LU20&lt;&gt;""),AND(MM20&gt;=MS$27,MM20&lt;&gt;""),AND(MQ20&gt;=MS$27,MQ20&lt;&gt;""),AND(NI20&gt;=NO$27,NI20&lt;&gt;""),AND(NM20&gt;=NO$27,NM20&lt;&gt;"")),"National Team",""))))</f>
        <v/>
      </c>
      <c r="H20" s="125" t="str">
        <f>IF(OR(AND(AS20&gt;=AY$34,AS20&lt;&gt;"",AP20=""),AND(AU20&gt;=AY$34,AU20&lt;&gt;"",AP20=""),AND(AX20&gt;=AY$34,AX20&lt;&gt;"",AP20=""),AND(BW20&gt;=CC$34,BW20&lt;&gt;"",BT20=""),AND(BY20&gt;=CC$34,BY20&lt;&gt;"",BT20=""),AND(CB20&gt;=CC$34,CB20&lt;&gt;"",BT20=""),AND(DA20&gt;=DG$34,DA20&lt;&gt;"",CX20=""),AND(DC20&gt;=DG$34,DC20&lt;&gt;"",CX20=""),AND(DF20&gt;=DG$34,DF20&lt;&gt;"",CX20=""),AND(EC20&gt;=EG$34,EC20&lt;&gt;""),AND(EF20&gt;=EG$34,EF20&lt;&gt;""),AND(EY20&gt;=FC$34,EY20&lt;&gt;""),AND(FB20&gt;=FC$34,FB20&lt;&gt;""),AND(FU20&gt;=FY$34,FU20&lt;&gt;""),AND(FX20&gt;=FY$34,FX20&lt;&gt;""),AND(GQ20&gt;=GU$34,GQ20&lt;&gt;""),AND(GT20&gt;=GU$34,GT20&lt;&gt;""),AND(HM20&gt;=HQ$34,HM20&lt;&gt;""),AND(HP20&gt;=HQ$34,HP20&lt;&gt;""),AND(II20&gt;=IM$34,II20&lt;&gt;""),AND(IL20&gt;=IM$34,IL20&lt;&gt;""),AND(JE20&gt;=JI$34,JE20&lt;&gt;""),AND(JH20&gt;=JI$34,JH20&lt;&gt;""),AND(KA20&gt;=KE$34,KA20&lt;&gt;""),AND(KD20&gt;=KE$34,KD20&lt;&gt;""),AND(KW20&gt;=LA$34,KW20&lt;&gt;""),AND(KZ20&gt;=LA$34,KZ20&lt;&gt;""),AND(LS20&gt;=LW$34,LS20&lt;&gt;""),AND(LV20&gt;=LW$34,LV20&lt;&gt;""),AND(MO20&gt;=MS$34,MO20&lt;&gt;""),AND(MR20&gt;=MS$34,MR20&lt;&gt;""),AND(NK20&gt;=NO$34,NK20&lt;&gt;""),AND(NN20&gt;=NO$34,NN20&lt;&gt;"")),"Merit",IF(OR(AND(AS20&gt;=AY$33,AS20&lt;&gt;"",AP20=""),AND(AU20&gt;=AY$33,AU20&lt;&gt;"",AP20=""),AND(AX20&gt;=AY$33,AX20&lt;&gt;"",AP20=""),AND(BW20&gt;=CC$33,BW20&lt;&gt;"",BT20=""),AND(BY20&gt;=CC$33,BY20&lt;&gt;"",BT20=""),AND(CB20&gt;=CC$33,CB20&lt;&gt;"",BT20=""),AND(DA20&gt;=DG$33,DA20&lt;&gt;"",CX20=""),AND(DC20&gt;=DG$33,DC20&lt;&gt;"",CX20=""),AND(DF20&gt;=DG$33,DF20&lt;&gt;"",CX20=""),AND(EC20&gt;=EG$33,EC20&lt;&gt;""),AND(EF20&gt;=EG$33,EF20&lt;&gt;""),AND(EY20&gt;=FC$33,EY20&lt;&gt;""),AND(FB20&gt;=FC$33,FB20&lt;&gt;""),AND(FU20&gt;=FY$33,FU20&lt;&gt;""),AND(FX20&gt;=FY$33,FX20&lt;&gt;""),AND(GQ20&gt;=GU$33,GQ20&lt;&gt;""),AND(GT20&gt;=GU$33,GT20&lt;&gt;""),AND(HM20&gt;=HQ$33,HM20&lt;&gt;""),AND(HP20&gt;=HQ$33,HP20&lt;&gt;""),AND(II20&gt;=IM$33,II20&lt;&gt;""),AND(IL20&gt;=IM$33,IL20&lt;&gt;""),AND(JE20&gt;=JI$33,JE20&lt;&gt;""),AND(JH20&gt;=JI$33,JH20&lt;&gt;""),AND(KA20&gt;=KE$33,KA20&lt;&gt;""),AND(KD20&gt;=KE$33,KD20&lt;&gt;""),AND(KW20&gt;=LA$33,KW20&lt;&gt;""),AND(KZ20&gt;=LA$33,KZ20&lt;&gt;""),AND(LS20&gt;=LW$33,LS20&lt;&gt;""),AND(LV20&gt;=LW$33,LV20&lt;&gt;""),AND(MO20&gt;=MS$33,MO20&lt;&gt;""),AND(MR20&gt;=MS$33,MR20&lt;&gt;""),AND(NK20&gt;=NO$33,NK20&lt;&gt;""),AND(NN20&gt;=NO$33,NN20&lt;&gt;"")),"Excellence",IF(OR(AND(AV20&gt;=AY$32,AV20&lt;&gt;"",AP20=""),AND(BZ20&gt;=CC$32,BZ20&lt;&gt;"",BT20=""),AND(DD20&gt;=DG$32,DD20&lt;&gt;"",CX20=""),AND(ED20&gt;=EG$32,ED20&lt;&gt;""),AND(EZ20&gt;=FC$32,EZ20&lt;&gt;""),AND(FV20&gt;=FY$32,FV20&lt;&gt;""),AND(GR20&gt;=GU$32,GR20&lt;&gt;""),AND(HN20&gt;=HQ$32,HN20&lt;&gt;""),AND(IJ20&gt;=IM$32,IJ20&lt;&gt;""),AND(JF20&gt;=JI$32,JF20&lt;&gt;""),AND(KB20&gt;=KE$32,KB20&lt;&gt;""),AND(KX20&gt;=LA$32,KX20&lt;&gt;""),AND(LT20&gt;=LW$32,LT20&lt;&gt;""),AND(MP20&gt;=MS$32,MP20&lt;&gt;""),AND(NL20&gt;=NO$32,NL20&lt;&gt;"")),"Worlds Team",IF(OR(AND(AV20&gt;=AY$31,AV20&lt;&gt;"",AP20=""),AND(BZ20&gt;=CC$31,BZ20&lt;&gt;"",BT20=""),AND(DD20&gt;=DG$31,DD20&lt;&gt;"",CX20=""),AND(ED20&gt;=EG$31,ED20&lt;&gt;""),AND(EZ20&gt;=FC$31,EZ20&lt;&gt;""),AND(FV20&gt;=FY$31,FV20&lt;&gt;""),AND(GR20&gt;=GU$31,GR20&lt;&gt;""),AND(HN20&gt;=HQ$31,HN20&lt;&gt;""),AND(IJ20&gt;=IM$31,IJ20&lt;&gt;""),AND(JF20&gt;=JI$31,JF20&lt;&gt;""),AND(KB20&gt;=KE$31,KB20&lt;&gt;""),AND(KX20&gt;=LA$31,KX20&lt;&gt;""),AND(LT20&gt;=LW$31,LT20&lt;&gt;""),AND(MP20&gt;=MS$31,MP20&lt;&gt;""),AND(NL20&gt;=NO$31,NL20&lt;&gt;"")),"National Team",""))))</f>
        <v/>
      </c>
      <c r="I20" s="12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$32,AV20&lt;&gt;"",AP20=""),AND(BZ20&gt;=CC$32,BZ20&lt;&gt;"",BT20=""),AND(DD20&gt;=DG$32,DD20&lt;&gt;"",CX20=""),AND(ED20&gt;=EG$32,ED20&lt;&gt;""),AND(EZ20&gt;=FC$32,EZ20&lt;&gt;""),AND(FV20&gt;=FY$32,FV20&lt;&gt;""),AND(GR20&gt;=GU$32,GR20&lt;&gt;""),AND(HN20&gt;=HQ$32,HN20&lt;&gt;""),AND(IJ20&gt;=IM$32,IJ20&lt;&gt;""),AND(JF20&gt;=JI$32,JF20&lt;&gt;""),AND(KB20&gt;=KE$32,KB20&lt;&gt;""),AND(KX20&gt;=LA$32,KX20&lt;&gt;""),AND(LT20&gt;=LW$32,LT20&lt;&gt;""),AND(MP20&gt;=MS$32,MP20&lt;&gt;""),AND(NL20&gt;=NO$32,NL20&lt;&gt;"")),OR(G20="Worlds Team",G20="Excellence",G20="Merit")),"P","")</f>
        <v/>
      </c>
      <c r="K20" s="14">
        <f>IF(MAX(AV20,BZ20,DD20)&gt;0,MAX(AV20,BZ20,DD20),0)</f>
        <v>102.05000000000001</v>
      </c>
      <c r="L20" s="14" t="str">
        <f>IF(K20=0,"",IF(K20=DD20,$CD$1,IF(K20=BZ20,$AZ$1,IF(K20=AV20,$V$1,""))))</f>
        <v>2019 Nationals</v>
      </c>
      <c r="M20" s="14">
        <f>IF($K20=$AV20,MAX(BU20,CY20),IF($K20=$BZ20,MAX(AQ20,CY20),IF($K20=$DD20,MAX(AQ20,BU20),MAX(AQ20,BU20,CY20))))</f>
        <v>47.650000000000006</v>
      </c>
      <c r="N20" s="14" t="str">
        <f>IF(M20=0,"",IF(AND(M20=CY20,$L20&lt;&gt;$CD$1),$CD$1,IF(AND(M20=BU20,$L20&lt;&gt;$AZ$1),$AZ$1,IF(AND(M20=AQ20,$L20&lt;&gt;$V$1),$V$1,""))))</f>
        <v>2019 Elite Canada</v>
      </c>
      <c r="O20" s="14">
        <f>IF(K20-N(AQ20)=AS20,MAX(AU20,BW20,BY20,DA20,DC20),IF(K20-N(AQ20)=AU20,MAX(AS20,BW20,BY20,DA20,DC20),IF(K20-N(BU20)=BW20,MAX(AS20,AU20,BY20,DA20,DC20),IF(K20-N(BU20)=BY20,MAX(AS20,AU20,BW20,DA20,DC20),IF(K20-N(CY20)=DA20,MAX(AS20,AU20,BW20,BY20,DC20),IF(K20-N(CY20)=DC20,MAX(AS20,AU20,BW20,BY20,DA20),MAX(AS20,AU20,BW20,BY20,DA20,DC20)))))))</f>
        <v>16.564999999999998</v>
      </c>
      <c r="P20" s="14" t="str">
        <f>IF(O20=0,"",IF(OR(O20=DC20,O20=DA20),$CD$1,IF(OR(O20=BY20,O20=BW20),$AZ$1,IF(OR(O20=AU20,O20=AS20),$V$1,""))))</f>
        <v>2019 Elite Canada</v>
      </c>
      <c r="Q20" s="14">
        <f>MAX(AX20,CB20,DF20)</f>
        <v>51.575000000000003</v>
      </c>
      <c r="R20" s="14" t="str">
        <f>IF(Q20=0,"",IF(Q20=DF20,$CD$1,IF(Q20=CB20,$AZ$1,IF(Q20=AX20,$V$1,""))))</f>
        <v>2019 Nationals</v>
      </c>
      <c r="S20" s="14" t="str">
        <f>IF(MAX(DH20,DI20,DJ20,DK20)&gt;0,MAX(DH20,DI20,DJ20,DK20),"")</f>
        <v/>
      </c>
      <c r="T20" s="25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9">
        <v>16.600000000000001</v>
      </c>
      <c r="W20" s="69">
        <v>9.4499999999999993</v>
      </c>
      <c r="X20" s="69">
        <v>4.8</v>
      </c>
      <c r="Y20" s="69">
        <v>16.8</v>
      </c>
      <c r="Z20" s="69">
        <v>0</v>
      </c>
      <c r="AA20" s="69">
        <v>3.9</v>
      </c>
      <c r="AB20" s="69">
        <v>2.5499999999999998</v>
      </c>
      <c r="AC20" s="69">
        <v>5.0999999999999996</v>
      </c>
      <c r="AD20" s="69">
        <v>5.0149999999999997</v>
      </c>
      <c r="AE20" s="69">
        <v>0</v>
      </c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80"/>
      <c r="AQ20" s="11">
        <f>IF(SUM(V20:Y20)-Z20&gt;0,SUM(V20:Y20)-Z20,"")</f>
        <v>47.650000000000006</v>
      </c>
      <c r="AR20" s="11">
        <f>IF(AC20&gt;0,AC20,"")</f>
        <v>5.0999999999999996</v>
      </c>
      <c r="AS20" s="11">
        <f>IF(SUM(AA20:AD20)-AE20&gt;0,SUM(AA20:AD20)-AE20,"")</f>
        <v>16.564999999999998</v>
      </c>
      <c r="AT20" s="11" t="str">
        <f>IF(AH20&gt;0,AH20,"")</f>
        <v/>
      </c>
      <c r="AU20" s="11" t="str">
        <f>IF(SUM(AF20:AI20)-AJ20&gt;0,SUM(AF20:AI20)-AJ20,"")</f>
        <v/>
      </c>
      <c r="AV20" s="11">
        <f>IF(OR(AQ20&lt;&gt;"",AS20&lt;&gt;"",AU20&lt;&gt;""),AQ20+MAX(AS20,AU20),"")</f>
        <v>64.215000000000003</v>
      </c>
      <c r="AW20" s="11" t="str">
        <f>IF(AM20&gt;0,AM20,"")</f>
        <v/>
      </c>
      <c r="AX20" s="11" t="str">
        <f>IF(SUM(AK20:AN20)-AO20&gt;0,SUM(AK20:AN20)-AO20,"")</f>
        <v/>
      </c>
      <c r="AY20" s="11">
        <f>IF(SUM(AV20,AX20)&gt;0,SUM(AV20,AX20),"")</f>
        <v>64.215000000000003</v>
      </c>
      <c r="AZ20" s="75">
        <v>18.3</v>
      </c>
      <c r="BA20" s="75">
        <v>9.3000000000000007</v>
      </c>
      <c r="BB20" s="75">
        <v>5</v>
      </c>
      <c r="BC20" s="75">
        <v>16.295000000000002</v>
      </c>
      <c r="BD20" s="75">
        <v>0</v>
      </c>
      <c r="BE20" s="75">
        <v>14.6</v>
      </c>
      <c r="BF20" s="75">
        <v>9.3000000000000007</v>
      </c>
      <c r="BG20" s="75">
        <v>13.8</v>
      </c>
      <c r="BH20" s="75">
        <v>15.455</v>
      </c>
      <c r="BI20" s="75">
        <v>0</v>
      </c>
      <c r="BJ20" s="75"/>
      <c r="BK20" s="75"/>
      <c r="BL20" s="75"/>
      <c r="BM20" s="75"/>
      <c r="BN20" s="75"/>
      <c r="BO20" s="75">
        <v>14.84</v>
      </c>
      <c r="BP20" s="75">
        <v>8.8000000000000007</v>
      </c>
      <c r="BQ20" s="75">
        <v>13.1</v>
      </c>
      <c r="BR20" s="75">
        <v>15.234999999999999</v>
      </c>
      <c r="BS20" s="75">
        <v>0.4</v>
      </c>
      <c r="BT20" s="81"/>
      <c r="BU20" s="14">
        <f>IF(SUM(AZ20:BC20)-BD20&gt;0,SUM(AZ20:BC20)-BD20,"")</f>
        <v>48.895000000000003</v>
      </c>
      <c r="BV20" s="14">
        <f>IF(BG20&gt;0,BG20,"")</f>
        <v>13.8</v>
      </c>
      <c r="BW20" s="14">
        <f>IF(SUM(BE20:BH20)-BI20&gt;0,SUM(BE20:BH20)-BI20,"")</f>
        <v>53.155000000000001</v>
      </c>
      <c r="BX20" s="14" t="str">
        <f>IF(BL20&gt;0,BL20,"")</f>
        <v/>
      </c>
      <c r="BY20" s="14" t="str">
        <f>IF(SUM(BJ20:BM20)-BN20&gt;0,SUM(BJ20:BM20)-BN20,"")</f>
        <v/>
      </c>
      <c r="BZ20" s="14">
        <f>IF(BU20="",IF(MAX(BW20,BY20)&gt;0,MAX(BW20,BY20),""),MAX(BW20,BY20)+BU20)</f>
        <v>102.05000000000001</v>
      </c>
      <c r="CA20" s="14">
        <f>IF(BQ20&gt;0,BQ20,"")</f>
        <v>13.1</v>
      </c>
      <c r="CB20" s="14">
        <f>IF(SUM(BO20:BR20)-BS20&gt;0,SUM(BO20:BR20)-BS20,"")</f>
        <v>51.575000000000003</v>
      </c>
      <c r="CC20" s="14">
        <f>IF(SUM(BZ20,CB20)&gt;0,SUM(BZ20,CB20),"")</f>
        <v>153.625</v>
      </c>
      <c r="CD20" s="69"/>
      <c r="CE20" s="69"/>
      <c r="CF20" s="69"/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U20" s="69"/>
      <c r="CV20" s="69"/>
      <c r="CW20" s="69"/>
      <c r="CX20" s="80"/>
      <c r="CY20" s="11" t="str">
        <f>IF(SUM(CD20:CG20)-CH20&gt;0,SUM(CD20:CG20)-CH20,"")</f>
        <v/>
      </c>
      <c r="CZ20" s="11" t="str">
        <f>IF(CK20&gt;0,CK20,"")</f>
        <v/>
      </c>
      <c r="DA20" s="11" t="str">
        <f>IF(SUM(CI20:CL20)-CM20&gt;0,SUM(CI20:CL20)-CM20,"")</f>
        <v/>
      </c>
      <c r="DB20" s="11" t="str">
        <f>IF(CP20&gt;0,CP20,"")</f>
        <v/>
      </c>
      <c r="DC20" s="11" t="str">
        <f>IF(SUM(CN20:CQ20)-CR20&gt;0,SUM(CN20:CQ20)-CR20,"")</f>
        <v/>
      </c>
      <c r="DD20" s="11" t="str">
        <f>IF(CY20="",IF(MAX(DA20,DC20)&gt;0,MAX(DA20,DC20),""),MAX(DA20,DC20)+CY20)</f>
        <v/>
      </c>
      <c r="DE20" s="11" t="str">
        <f>IF(CU20&gt;0,CU20,"")</f>
        <v/>
      </c>
      <c r="DF20" s="11" t="str">
        <f>IF(SUM(CS20:CV20)-CW20&gt;0,SUM(CS20:CV20)-CW20,"")</f>
        <v/>
      </c>
      <c r="DG20" s="11" t="str">
        <f>IF(SUM(DD20,DF20)&gt;0,SUM(DD20,DF20),"")</f>
        <v/>
      </c>
      <c r="DH20" s="24" t="str">
        <f>IF(MAX(EB20,EX20,FT20,GP20,HL20,IH20,JD20,JZ20,KV20,LR20,MN20,NJ20)-IF(M20="",0,M20)&gt;0.001,MAX(EB20,EX20,FT20,GP20,HL20,IH20,JD20,JZ20,KV20,LR20,MN20,NJ20)-IF(M20="",0,M20),"")</f>
        <v/>
      </c>
      <c r="DI20" s="24" t="str">
        <f>IF(MAX(EC20,EY20,FU20,GQ20,HM20,II20,JE20,KA20,KW20,LS20,MO20,NK20)-IF(O20="",0,O20)&gt;0.001,MAX(EC20,EY20,FU20,GQ20,HM20,II20,JE20,KA20,KW20,LS20,MO20,NK20)-IF(O20="",0,O20),"")</f>
        <v/>
      </c>
      <c r="DJ20" s="24" t="str">
        <f>IF(MAX(ED20,EZ20,FV20,GR20,HN20,IJ20,JF20,KB20,KX20,LT20,MP20,NL20)-IF(K20="",0,K20)&gt;0.001,MAX(ED20,EZ20,FV20,GR20,HN20,IJ20,JF20,KB20,KX20,LT20,MP20,NL20)-IF(K20="",0,K20),"")</f>
        <v/>
      </c>
      <c r="DK20" s="24" t="str">
        <f>IF(MAX(EF20,FB20,FX20,GT20,HP20,IL20,JH20,KD20,KZ20,LV20,MR20,NN20)-IF(Q20="",0,Q20)&gt;0.001,MAX(EF20,FB20,FX20,GT20,HP20,IL20,JH20,KD20,KZ20,LV20,MR20,NN20)-IF(Q20="",0,Q20),"")</f>
        <v/>
      </c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9">
        <f>IF($CX20="P",CD20,(CD20+AZ20)/2)</f>
        <v>9.15</v>
      </c>
      <c r="NQ20" s="69">
        <f>IF($CX20="P",CE20,(CE20+BA20)/2)</f>
        <v>4.6500000000000004</v>
      </c>
      <c r="NR20" s="69">
        <f>IF($CX20="P",CF20,(CF20+BB20)/2)</f>
        <v>2.5</v>
      </c>
      <c r="NS20" s="69">
        <f>IF($CX20="P",CG20,(CG20+BC20)/2)</f>
        <v>8.1475000000000009</v>
      </c>
      <c r="NT20" s="69">
        <f>IF($CX20="P",CH20,(CH20+BD20)/2)</f>
        <v>0</v>
      </c>
      <c r="NU20" s="69">
        <f>IF($CX20="P",CI20,(CI20+BE20)/2)</f>
        <v>7.3</v>
      </c>
      <c r="NV20" s="69">
        <f>IF($CX20="P",CJ20,(CJ20+BF20)/2)</f>
        <v>4.6500000000000004</v>
      </c>
      <c r="NW20" s="69">
        <f>IF($CX20="P",CK20,(CK20+BG20)/2)</f>
        <v>6.9</v>
      </c>
      <c r="NX20" s="69">
        <f>IF($CX20="P",CL20,(CL20+BH20)/2)</f>
        <v>7.7275</v>
      </c>
      <c r="NY20" s="69">
        <f>IF($CX20="P",CM20,(CM20+BI20)/2)</f>
        <v>0</v>
      </c>
      <c r="NZ20" s="69">
        <f>IF($CX20="P",CN20,(CN20+BJ20)/2)</f>
        <v>0</v>
      </c>
      <c r="OA20" s="69">
        <f>IF($CX20="P",CO20,(CO20+BK20)/2)</f>
        <v>0</v>
      </c>
      <c r="OB20" s="69">
        <f>IF($CX20="P",CP20,(CP20+BL20)/2)</f>
        <v>0</v>
      </c>
      <c r="OC20" s="69">
        <f>IF($CX20="P",CQ20,(CQ20+BM20)/2)</f>
        <v>0</v>
      </c>
      <c r="OD20" s="69">
        <f>IF($CX20="P",CR20,(CR20+BN20)/2)</f>
        <v>0</v>
      </c>
      <c r="OE20" s="69">
        <f>IF($CX20="P",CS20,(CS20+BO20)/2)</f>
        <v>7.42</v>
      </c>
      <c r="OF20" s="69">
        <f>IF($CX20="P",CT20,(CT20+BP20)/2)</f>
        <v>4.4000000000000004</v>
      </c>
      <c r="OG20" s="69">
        <f>IF($CX20="P",CU20,(CU20+BQ20)/2)</f>
        <v>6.55</v>
      </c>
      <c r="OH20" s="69">
        <f>IF($CX20="P",CV20,(CV20+BR20)/2)</f>
        <v>7.6174999999999997</v>
      </c>
      <c r="OI20" s="69">
        <f>IF($CX20="P",CW20,(CW20+BS20)/2)</f>
        <v>0.2</v>
      </c>
      <c r="OJ20" s="80" t="s">
        <v>91</v>
      </c>
      <c r="OK20" s="11">
        <f>IF(SUM(NP20:NS20)-NT20&gt;0,SUM(NP20:NS20)-NT20,"")</f>
        <v>24.447500000000002</v>
      </c>
      <c r="OL20" s="11">
        <f>IF(NW20&gt;0,NW20,"")</f>
        <v>6.9</v>
      </c>
      <c r="OM20" s="11">
        <f>IF(SUM(NU20:NX20)-NY20&gt;0,SUM(NU20:NX20)-NY20,"")</f>
        <v>26.577500000000001</v>
      </c>
      <c r="ON20" s="11" t="str">
        <f>IF(OB20&gt;0,OB20,"")</f>
        <v/>
      </c>
      <c r="OO20" s="11" t="str">
        <f>IF(SUM(NZ20:OC20)-OD20&gt;0,SUM(NZ20:OC20)-OD20,"")</f>
        <v/>
      </c>
      <c r="OP20" s="11">
        <f>IF(OR(OK20&lt;&gt;"",OM20&lt;&gt;"",OO20&lt;&gt;""),OK20+MAX(OM20,OO20),"")</f>
        <v>51.025000000000006</v>
      </c>
      <c r="OQ20" s="11">
        <f>IF(OG20&gt;0,OG20,"")</f>
        <v>6.55</v>
      </c>
      <c r="OR20" s="11">
        <f t="shared" si="0"/>
        <v>25.787500000000001</v>
      </c>
      <c r="OS20" s="11">
        <f t="shared" si="1"/>
        <v>76.8125</v>
      </c>
    </row>
    <row r="21" spans="1:409" x14ac:dyDescent="0.2">
      <c r="A21" s="5" t="str" cm="1">
        <f t="array" ref="A21">IF(AND(G21&lt;&gt;"",H21&lt;&gt;""),SUMPRODUCT((G$4:G$25&lt;&gt;"")*(H$4:H$25&lt;&gt;"")*(E$4:E$25&gt;E21))+1,IF(H21&lt;&gt;"",SUMPRODUCT((I$4:I$25="No DD")*(E$4:E$25&gt;E21))+1+SUMPRODUCT((G$4:G$25&lt;&gt;"")*(H$4:H$25&lt;&gt;"")),""))</f>
        <v/>
      </c>
      <c r="B21" s="6" t="s">
        <v>51</v>
      </c>
      <c r="C21" s="7" t="s">
        <v>10</v>
      </c>
      <c r="D21" s="27">
        <v>1998</v>
      </c>
      <c r="E21" s="15">
        <f>SUM(K21:S21)</f>
        <v>211.51499999999999</v>
      </c>
      <c r="F21" s="3" t="str">
        <f>IF(G21&lt;&gt;"","P","")</f>
        <v/>
      </c>
      <c r="G21" s="125" t="str">
        <f>IF(OR(AND(AR21&gt;=AY$30,AR21&lt;&gt;"",AP21=""),AND(AT21&gt;=AY$30,AT21&lt;&gt;"",AP21=""),AND(AW21&gt;=AY$30,AW21&lt;&gt;"",AP21=""),AND(BV21&gt;=CC$30,BV21&lt;&gt;"",BT21=""),AND(BX21&gt;=CC$30,BX21&lt;&gt;"",BT21=""),AND(CA21&gt;=CC$30,CA21&lt;&gt;"",BT21=""),AND(CZ21&gt;=DG$30,CZ21&lt;&gt;"",CX21=""),AND(DB21&gt;=DG$30,DB21&lt;&gt;"",CX21=""),AND(DE21&gt;=DG$30,DE21&lt;&gt;"",CX21=""),AND(EA21&gt;=EG$30,EA21&lt;&gt;""),AND(EE21&gt;=EG$30,EE21&lt;&gt;""),AND(EW21&gt;=FC$30,EW21&lt;&gt;""),AND(FA21&gt;=FC$30,FA21&lt;&gt;""),AND(FS21&gt;=FY$30,FS21&lt;&gt;""),AND(FW21&gt;=FY$30,FW21&lt;&gt;""),AND(GO21&gt;=GU$30,GO21&lt;&gt;""),AND(GS21&gt;=GU$30,GS21&lt;&gt;""),AND(HK21&gt;=HQ$30,HK21&lt;&gt;""),AND(HO21&gt;=HQ$30,HO21&lt;&gt;""),AND(IG21&gt;=IM$30,IG21&lt;&gt;""),AND(IK21&gt;=IM$30,IK21&lt;&gt;""),AND(JC21&gt;=JI$30,JC21&lt;&gt;""),AND(JG21&gt;=JI$30,JG21&lt;&gt;""),AND(JY21&gt;=KE$30,JY21&lt;&gt;""),AND(KC21&gt;=KE$30,KC21&lt;&gt;""),AND(KU21&gt;=LA$30,KU21&lt;&gt;""),AND(KY21&gt;=LA$30,KY21&lt;&gt;""),AND(LQ21&gt;=LW$30,LQ21&lt;&gt;""),AND(LU21&gt;=LW$30,LU21&lt;&gt;""),AND(MM21&gt;=MS$30,MM21&lt;&gt;""),AND(MQ21&gt;=MS$30,MQ21&lt;&gt;""),AND(NI21&gt;=NO$30,NI21&lt;&gt;""),AND(NM21&gt;=NO$30,NM21&lt;&gt;"")),"Merit",IF(OR(AND(AR21&gt;=AY$29,AR21&lt;&gt;"",AP21=""),AND(AT21&gt;=AY$29,AT21&lt;&gt;"",AP21=""),AND(AW21&gt;=AY$29,AW21&lt;&gt;"",AP21=""),AND(BV21&gt;=CC$29,BV21&lt;&gt;"",BT21=""),AND(BX21&gt;=CC$29,BX21&lt;&gt;"",BT21=""),AND(CA21&gt;=CC$29,CA21&lt;&gt;"",BT21=""),AND(CZ21&gt;=DG$29,CZ21&lt;&gt;"",CX21=""),AND(DB21&gt;=DG$29,DB21&lt;&gt;"",CX21=""),AND(DE21&gt;=DG$29,DE21&lt;&gt;"",CX21=""),AND(EA21&gt;=EG$29,EA21&lt;&gt;""),AND(EE21&gt;=EG$29,EE21&lt;&gt;""),AND(EW21&gt;=FC$29,EW21&lt;&gt;""),AND(FA21&gt;=FC$29,FA21&lt;&gt;""),AND(FS21&gt;=FY$29,FS21&lt;&gt;""),AND(FW21&gt;=FY$29,FW21&lt;&gt;""),AND(GO21&gt;=GU$29,GO21&lt;&gt;""),AND(GS21&gt;=GU$29,GS21&lt;&gt;""),AND(HK21&gt;=HQ$29,HK21&lt;&gt;""),AND(HO21&gt;=HQ$29,HO21&lt;&gt;""),AND(IG21&gt;=IM$29,IG21&lt;&gt;""),AND(IK21&gt;=IM$29,IK21&lt;&gt;""),AND(JC21&gt;=JI$29,JC21&lt;&gt;""),AND(JG21&gt;=JI$29,JG21&lt;&gt;""),AND(JY21&gt;=KE$29,JY21&lt;&gt;""),AND(KC21&gt;=KE$29,KC21&lt;&gt;""),AND(KU21&gt;=LA$29,KU21&lt;&gt;""),AND(KY21&gt;=LA$29,KY21&lt;&gt;""),AND(LQ21&gt;=LW$29,LQ21&lt;&gt;""),AND(LU21&gt;=LW$29,LU21&lt;&gt;""),AND(MM21&gt;=MS$29,MM21&lt;&gt;""),AND(MQ21&gt;=MS$29,MQ21&lt;&gt;""),AND(NI21&gt;=NO$29,NI21&lt;&gt;""),AND(NM21&gt;=NO$29,NM21&lt;&gt;"")),"Excellence",IF(OR(AND(AR21&gt;=AY$28,AR21&lt;&gt;"",AP21=""),AND(AT21&gt;=AY$28,AT21&lt;&gt;"",AP21=""),AND(AW21&gt;=AY$28,AW21&lt;&gt;"",AP21=""),AND(BV21&gt;=CC$28,BV21&lt;&gt;"",BT21=""),AND(BX21&gt;=CC$28,BX21&lt;&gt;"",BT21=""),AND(CA21&gt;=CC$28,CA21&lt;&gt;"",BT21=""),AND(CZ21&gt;=DG$28,CZ21&lt;&gt;"",CX21=""),AND(DB21&gt;=DG$28,DB21&lt;&gt;"",CX21=""),AND(DE21&gt;=DG$28,DE21&lt;&gt;"",CX21=""),AND(EA21&gt;=EG$28,EA21&lt;&gt;""),AND(EE21&gt;=EG$28,EE21&lt;&gt;""),AND(EW21&gt;=FC$28,EW21&lt;&gt;""),AND(FA21&gt;=FC$28,FA21&lt;&gt;""),AND(FS21&gt;=FY$28,FS21&lt;&gt;""),AND(FW21&gt;=FY$28,FW21&lt;&gt;""),AND(GO21&gt;=GU$28,GO21&lt;&gt;""),AND(GS21&gt;=GU$28,GS21&lt;&gt;""),AND(HK21&gt;=HQ$28,HK21&lt;&gt;""),AND(HO21&gt;=HQ$28,HO21&lt;&gt;""),AND(IG21&gt;=IM$28,IG21&lt;&gt;""),AND(IK21&gt;=IM$28,IK21&lt;&gt;""),AND(JC21&gt;=JI$28,JC21&lt;&gt;""),AND(JG21&gt;=JI$28,JG21&lt;&gt;""),AND(JY21&gt;=KE$28,JY21&lt;&gt;""),AND(KC21&gt;=KE$28,KC21&lt;&gt;""),AND(KU21&gt;=LA$28,KU21&lt;&gt;""),AND(KY21&gt;=LA$28,KY21&lt;&gt;""),AND(LQ21&gt;=LW$28,LQ21&lt;&gt;""),AND(LU21&gt;=LW$28,LU21&lt;&gt;""),AND(MM21&gt;=MS$28,MM21&lt;&gt;""),AND(MQ21&gt;=MS$28,MQ21&lt;&gt;""),AND(NI21&gt;=NO$28,NI21&lt;&gt;""),AND(NM21&gt;=NO$28,NM21&lt;&gt;"")),"Worlds Team",IF(OR(AND(AR21&gt;=AY$27,AR21&lt;&gt;"",AP21=""),AND(AT21&gt;=AY$27,AT21&lt;&gt;"",AP21=""),AND(AW21&gt;=AY$27,AW21&lt;&gt;"",AP21=""),AND(BV21&gt;=CC$27,BV21&lt;&gt;"",BT21=""),AND(BX21&gt;=CC$27,BX21&lt;&gt;"",BT21=""),AND(CA21&gt;=CC$27,CA21&lt;&gt;"",BT21=""),AND(CZ21&gt;=DG$27,CZ21&lt;&gt;"",CX21=""),AND(DB21&gt;=DG$27,DB21&lt;&gt;"",CX21=""),AND(DE21&gt;=DG$27,DE21&lt;&gt;"",CX21=""),AND(EA21&gt;=EG$27,EA21&lt;&gt;""),AND(EE21&gt;=EG$27,EE21&lt;&gt;""),AND(EW21&gt;=FC$27,EW21&lt;&gt;""),AND(FA21&gt;=FC$27,FA21&lt;&gt;""),AND(FS21&gt;=FY$27,FS21&lt;&gt;""),AND(FW21&gt;=FY$27,FW21&lt;&gt;""),AND(GO21&gt;=GU$27,GO21&lt;&gt;""),AND(GS21&gt;=GU$27,GS21&lt;&gt;""),AND(HK21&gt;=HQ$27,HK21&lt;&gt;""),AND(HO21&gt;=HQ$27,HO21&lt;&gt;""),AND(IG21&gt;=IM$27,IG21&lt;&gt;""),AND(IK21&gt;=IM$27,IK21&lt;&gt;""),AND(JC21&gt;=JI$27,JC21&lt;&gt;""),AND(JG21&gt;=JI$27,JG21&lt;&gt;""),AND(JY21&gt;=KE$27,JY21&lt;&gt;""),AND(KC21&gt;=KE$27,KC21&lt;&gt;""),AND(KU21&gt;=LA$27,KU21&lt;&gt;""),AND(KY21&gt;=LA$27,KY21&lt;&gt;""),AND(LQ21&gt;=LW$27,LQ21&lt;&gt;""),AND(LU21&gt;=LW$27,LU21&lt;&gt;""),AND(MM21&gt;=MS$27,MM21&lt;&gt;""),AND(MQ21&gt;=MS$27,MQ21&lt;&gt;""),AND(NI21&gt;=NO$27,NI21&lt;&gt;""),AND(NM21&gt;=NO$27,NM21&lt;&gt;"")),"National Team",""))))</f>
        <v/>
      </c>
      <c r="H21" s="125" t="str">
        <f>IF(OR(AND(AS21&gt;=AY$34,AS21&lt;&gt;"",AP21=""),AND(AU21&gt;=AY$34,AU21&lt;&gt;"",AP21=""),AND(AX21&gt;=AY$34,AX21&lt;&gt;"",AP21=""),AND(BW21&gt;=CC$34,BW21&lt;&gt;"",BT21=""),AND(BY21&gt;=CC$34,BY21&lt;&gt;"",BT21=""),AND(CB21&gt;=CC$34,CB21&lt;&gt;"",BT21=""),AND(DA21&gt;=DG$34,DA21&lt;&gt;"",CX21=""),AND(DC21&gt;=DG$34,DC21&lt;&gt;"",CX21=""),AND(DF21&gt;=DG$34,DF21&lt;&gt;"",CX21=""),AND(EC21&gt;=EG$34,EC21&lt;&gt;""),AND(EF21&gt;=EG$34,EF21&lt;&gt;""),AND(EY21&gt;=FC$34,EY21&lt;&gt;""),AND(FB21&gt;=FC$34,FB21&lt;&gt;""),AND(FU21&gt;=FY$34,FU21&lt;&gt;""),AND(FX21&gt;=FY$34,FX21&lt;&gt;""),AND(GQ21&gt;=GU$34,GQ21&lt;&gt;""),AND(GT21&gt;=GU$34,GT21&lt;&gt;""),AND(HM21&gt;=HQ$34,HM21&lt;&gt;""),AND(HP21&gt;=HQ$34,HP21&lt;&gt;""),AND(II21&gt;=IM$34,II21&lt;&gt;""),AND(IL21&gt;=IM$34,IL21&lt;&gt;""),AND(JE21&gt;=JI$34,JE21&lt;&gt;""),AND(JH21&gt;=JI$34,JH21&lt;&gt;""),AND(KA21&gt;=KE$34,KA21&lt;&gt;""),AND(KD21&gt;=KE$34,KD21&lt;&gt;""),AND(KW21&gt;=LA$34,KW21&lt;&gt;""),AND(KZ21&gt;=LA$34,KZ21&lt;&gt;""),AND(LS21&gt;=LW$34,LS21&lt;&gt;""),AND(LV21&gt;=LW$34,LV21&lt;&gt;""),AND(MO21&gt;=MS$34,MO21&lt;&gt;""),AND(MR21&gt;=MS$34,MR21&lt;&gt;""),AND(NK21&gt;=NO$34,NK21&lt;&gt;""),AND(NN21&gt;=NO$34,NN21&lt;&gt;"")),"Merit",IF(OR(AND(AS21&gt;=AY$33,AS21&lt;&gt;"",AP21=""),AND(AU21&gt;=AY$33,AU21&lt;&gt;"",AP21=""),AND(AX21&gt;=AY$33,AX21&lt;&gt;"",AP21=""),AND(BW21&gt;=CC$33,BW21&lt;&gt;"",BT21=""),AND(BY21&gt;=CC$33,BY21&lt;&gt;"",BT21=""),AND(CB21&gt;=CC$33,CB21&lt;&gt;"",BT21=""),AND(DA21&gt;=DG$33,DA21&lt;&gt;"",CX21=""),AND(DC21&gt;=DG$33,DC21&lt;&gt;"",CX21=""),AND(DF21&gt;=DG$33,DF21&lt;&gt;"",CX21=""),AND(EC21&gt;=EG$33,EC21&lt;&gt;""),AND(EF21&gt;=EG$33,EF21&lt;&gt;""),AND(EY21&gt;=FC$33,EY21&lt;&gt;""),AND(FB21&gt;=FC$33,FB21&lt;&gt;""),AND(FU21&gt;=FY$33,FU21&lt;&gt;""),AND(FX21&gt;=FY$33,FX21&lt;&gt;""),AND(GQ21&gt;=GU$33,GQ21&lt;&gt;""),AND(GT21&gt;=GU$33,GT21&lt;&gt;""),AND(HM21&gt;=HQ$33,HM21&lt;&gt;""),AND(HP21&gt;=HQ$33,HP21&lt;&gt;""),AND(II21&gt;=IM$33,II21&lt;&gt;""),AND(IL21&gt;=IM$33,IL21&lt;&gt;""),AND(JE21&gt;=JI$33,JE21&lt;&gt;""),AND(JH21&gt;=JI$33,JH21&lt;&gt;""),AND(KA21&gt;=KE$33,KA21&lt;&gt;""),AND(KD21&gt;=KE$33,KD21&lt;&gt;""),AND(KW21&gt;=LA$33,KW21&lt;&gt;""),AND(KZ21&gt;=LA$33,KZ21&lt;&gt;""),AND(LS21&gt;=LW$33,LS21&lt;&gt;""),AND(LV21&gt;=LW$33,LV21&lt;&gt;""),AND(MO21&gt;=MS$33,MO21&lt;&gt;""),AND(MR21&gt;=MS$33,MR21&lt;&gt;""),AND(NK21&gt;=NO$33,NK21&lt;&gt;""),AND(NN21&gt;=NO$33,NN21&lt;&gt;"")),"Excellence",IF(OR(AND(AV21&gt;=AY$32,AV21&lt;&gt;"",AP21=""),AND(BZ21&gt;=CC$32,BZ21&lt;&gt;"",BT21=""),AND(DD21&gt;=DG$32,DD21&lt;&gt;"",CX21=""),AND(ED21&gt;=EG$32,ED21&lt;&gt;""),AND(EZ21&gt;=FC$32,EZ21&lt;&gt;""),AND(FV21&gt;=FY$32,FV21&lt;&gt;""),AND(GR21&gt;=GU$32,GR21&lt;&gt;""),AND(HN21&gt;=HQ$32,HN21&lt;&gt;""),AND(IJ21&gt;=IM$32,IJ21&lt;&gt;""),AND(JF21&gt;=JI$32,JF21&lt;&gt;""),AND(KB21&gt;=KE$32,KB21&lt;&gt;""),AND(KX21&gt;=LA$32,KX21&lt;&gt;""),AND(LT21&gt;=LW$32,LT21&lt;&gt;""),AND(MP21&gt;=MS$32,MP21&lt;&gt;""),AND(NL21&gt;=NO$32,NL21&lt;&gt;"")),"Worlds Team",IF(OR(AND(AV21&gt;=AY$31,AV21&lt;&gt;"",AP21=""),AND(BZ21&gt;=CC$31,BZ21&lt;&gt;"",BT21=""),AND(DD21&gt;=DG$31,DD21&lt;&gt;"",CX21=""),AND(ED21&gt;=EG$31,ED21&lt;&gt;""),AND(EZ21&gt;=FC$31,EZ21&lt;&gt;""),AND(FV21&gt;=FY$31,FV21&lt;&gt;""),AND(GR21&gt;=GU$31,GR21&lt;&gt;""),AND(HN21&gt;=HQ$31,HN21&lt;&gt;""),AND(IJ21&gt;=IM$31,IJ21&lt;&gt;""),AND(JF21&gt;=JI$31,JF21&lt;&gt;""),AND(KB21&gt;=KE$31,KB21&lt;&gt;""),AND(KX21&gt;=LA$31,KX21&lt;&gt;""),AND(LT21&gt;=LW$31,LT21&lt;&gt;""),AND(MP21&gt;=MS$31,MP21&lt;&gt;""),AND(NL21&gt;=NO$31,NL21&lt;&gt;"")),"National Team",""))))</f>
        <v/>
      </c>
      <c r="I21" s="126" t="str">
        <f>IF(AND(G21="Merit",H21="Merit"),"Merit",IF(AND(OR(G21="Merit",G21="Excellence"),OR(H21="Merit",H21="Excellence")),"Excellence",IF(AND(OR(G21="Merit",G21="Excellence",G21="Worlds Team"),OR(H21="Merit",H21="Excellence",H21="Worlds Team")),"Worlds Team",IF(AND(OR(G21="Merit",G21="Excellence",G21="Worlds Team",G21="National Team"),OR(H21="Merit",H21="Excellence",H21="Worlds Team",H21="National Team")),"National Team",IF(OR(H21="Merit",H21="Excellence",H21="Worlds Team",H21="National Team"),"No DD","")))))</f>
        <v/>
      </c>
      <c r="J21" s="3" t="str">
        <f>IF(AND(OR(AND(AV21&gt;=AY$32,AV21&lt;&gt;"",AP21=""),AND(BZ21&gt;=CC$32,BZ21&lt;&gt;"",BT21=""),AND(DD21&gt;=DG$32,DD21&lt;&gt;"",CX21=""),AND(ED21&gt;=EG$32,ED21&lt;&gt;""),AND(EZ21&gt;=FC$32,EZ21&lt;&gt;""),AND(FV21&gt;=FY$32,FV21&lt;&gt;""),AND(GR21&gt;=GU$32,GR21&lt;&gt;""),AND(HN21&gt;=HQ$32,HN21&lt;&gt;""),AND(IJ21&gt;=IM$32,IJ21&lt;&gt;""),AND(JF21&gt;=JI$32,JF21&lt;&gt;""),AND(KB21&gt;=KE$32,KB21&lt;&gt;""),AND(KX21&gt;=LA$32,KX21&lt;&gt;""),AND(LT21&gt;=LW$32,LT21&lt;&gt;""),AND(MP21&gt;=MS$32,MP21&lt;&gt;""),AND(NL21&gt;=NO$32,NL21&lt;&gt;"")),OR(G21="Worlds Team",G21="Excellence",G21="Merit")),"P","")</f>
        <v/>
      </c>
      <c r="K21" s="14">
        <f>IF(MAX(AV21,BZ21,DD21)&gt;0,MAX(AV21,BZ21,DD21),0)</f>
        <v>98.35</v>
      </c>
      <c r="L21" s="14" t="str">
        <f>IF(K21=0,"",IF(K21=DD21,$CD$1,IF(K21=BZ21,$AZ$1,IF(K21=AV21,$V$1,""))))</f>
        <v>2019 Nationals</v>
      </c>
      <c r="M21" s="14">
        <f>IF($K21=$AV21,MAX(BU21,CY21),IF($K21=$BZ21,MAX(AQ21,CY21),IF($K21=$DD21,MAX(AQ21,BU21),MAX(AQ21,BU21,CY21))))</f>
        <v>43.094999999999999</v>
      </c>
      <c r="N21" s="14" t="str">
        <f>IF(M21=0,"",IF(AND(M21=CY21,$L21&lt;&gt;$CD$1),$CD$1,IF(AND(M21=BU21,$L21&lt;&gt;$AZ$1),$AZ$1,IF(AND(M21=AQ21,$L21&lt;&gt;$V$1),$V$1,""))))</f>
        <v>2021 1st Virtual Technical Trial</v>
      </c>
      <c r="O21" s="14">
        <f>IF(K21-N(AQ21)=AS21,MAX(AU21,BW21,BY21,DA21,DC21),IF(K21-N(AQ21)=AU21,MAX(AS21,BW21,BY21,DA21,DC21),IF(K21-N(BU21)=BW21,MAX(AS21,AU21,BY21,DA21,DC21),IF(K21-N(BU21)=BY21,MAX(AS21,AU21,BW21,DA21,DC21),IF(K21-N(CY21)=DA21,MAX(AS21,AU21,BW21,BY21,DC21),IF(K21-N(CY21)=DC21,MAX(AS21,AU21,BW21,BY21,DA21),MAX(AS21,AU21,BW21,BY21,DA21,DC21)))))))</f>
        <v>53.075000000000003</v>
      </c>
      <c r="P21" s="14" t="str">
        <f>IF(O21=0,"",IF(OR(O21=DC21,O21=DA21),$CD$1,IF(OR(O21=BY21,O21=BW21),$AZ$1,IF(OR(O21=AU21,O21=AS21),$V$1,""))))</f>
        <v>2021 1st Virtual Technical Trial</v>
      </c>
      <c r="Q21" s="14">
        <f>MAX(AX21,CB21,DF21)</f>
        <v>16.995000000000001</v>
      </c>
      <c r="R21" s="14" t="str">
        <f>IF(Q21=0,"",IF(Q21=DF21,$CD$1,IF(Q21=CB21,$AZ$1,IF(Q21=AX21,$V$1,""))))</f>
        <v>2021 1st Virtual Technical Trial</v>
      </c>
      <c r="S21" s="14" t="str">
        <f>IF(MAX(DH21,DI21,DJ21,DK21)&gt;0,MAX(DH21,DI21,DJ21,DK21),"")</f>
        <v/>
      </c>
      <c r="T21" s="25" t="str">
        <f>IF(S21="","",IF(S21=DH21,"(Vol 1)",IF(S21=DI21,"(Vol 2)",IF(S21=DJ21,"(Prelim)",IF(S21=DK21,"(Final)")))))</f>
        <v/>
      </c>
      <c r="U21" s="14" t="str">
        <f>IF(S21="","",IF(S21=DH21,IF(S21+IF(M21="",0,M21)=NJ21,$MT$1,IF(S21+IF(M21="",0,M21)=MN21,$LX$1,IF(S21+IF(M21="",0,M21)=LR21,$LB$1,IF(S21+IF(M21="",0,M21)=KV21,$KF$1,IF(S21+IF(M21="",0,M21)=JZ21,$JJ$1,IF(S21+IF(M21="",0,M21)=JD21,$IN$1,IF(S21+IF(M21="",0,M21)=IH21,$HR$1,IF(S21+IF(M21="",0,M21)=HL21,$GV$1,IF(S21+IF(M21="",0,M21)=GP21,$FZ$1,IF(S21+IF(M21="",0,M21)=FT21,$FD$1,IF(S21+IF(M21="",0,M21)=EX21,$EH$1,IF(S21+IF(M21="",0,M21)=EB21,$DL$1)))))))))))),IF(S21=DI21,IF(S21+IF(O21="",0,O21)=NK21,$MT$1,IF(S21+IF(O21="",0,O21)=MO21,$LX$1,IF(S21+IF(O21="",0,O21)=LS21,$LB$1,IF(S21+IF(O21="",0,O21)=KW21,$KF$1,IF(S21+IF(O21="",0,O21)=KA21,$JJ$1,IF(S21+IF(O21="",0,O21)=JE21,$IN$1,IF(S21+IF(O21="",0,O21)=II21,$HR$1,IF(S21+IF(O21="",0,O21)=HM21,$GV$1,IF(S21+IF(O21="",0,O21)=GQ21,$FZ$1,IF(S21+IF(O21="",0,O21)=FU21,$FD$1,IF(S21+IF(O21="",0,O21)=EY21,$EH$1,IF(S21+IF(O21="",0,O21)=EC21,$DL$1)))))))))))),IF(S21=DJ21,IF(S21+IF(K21="",0,K21)=NL21,$MT$1,IF(S21+IF(K21="",0,K21)=MP21,$LX$1,IF(S21+IF(K21="",0,K21)=LT21,$LB$1,IF(S21+IF(K21="",0,K21)=KX21,$KF$1,IF(S21+IF(K21="",0,K21)=KB21,$JJ$1,IF(S21+IF(K21="",0,K21)=JF21,$IN$1,IF(S21+IF(K21="",0,K21)=IJ21,$HR$1,IF(S21+IF(K21="",0,K21)=HN21,$GV$1,IF(S21+IF(K21="",0,K21)=GR21,$FZ$1,IF(S21+IF(K21="",0,K21)=FV21,$FD$1,IF(S21+IF(K21="",0,K21)=EZ21,$EH$1,IF(S21+IF(K21="",0,K21)=ED21,$DL$1)))))))))))),IF(S21=DK21,IF(S21+IF(Q21="",0,Q21)=NN21,$MT$1,IF(S21+IF(Q21="",0,Q21)=MR21,$LX$1,IF(S21+IF(Q21="",0,Q21)=LV21,$LB$1,IF(S21+IF(Q21="",0,Q21)=KZ21,$KF$1,IF(S21+IF(Q21="",0,Q21)=KD21,$JJ$1,IF(S21+IF(Q21="",0,Q21)=JH21,$IN$1,IF(S21+IF(Q21="",0,Q21)=IL21,$HR$1,IF(S21+IF(Q21="",0,Q21)=HP21,$GV$1,IF(S21+IF(Q21="",0,Q21)=GT21,$FZ$1,IF(S21+IF(Q21="",0,Q21)=FX21,$FD$1,IF(S21+IF(Q21="",0,Q21)=FB21,$EH$1,IF(S21+IF(Q21="",0,Q21)=EF21,$DL$1)))))))))))))))))</f>
        <v/>
      </c>
      <c r="V21" s="69">
        <v>14.7</v>
      </c>
      <c r="W21" s="69">
        <v>8.4</v>
      </c>
      <c r="X21" s="69">
        <v>2.6</v>
      </c>
      <c r="Y21" s="69">
        <v>15.35</v>
      </c>
      <c r="Z21" s="69">
        <v>0.2</v>
      </c>
      <c r="AA21" s="69">
        <v>6.9</v>
      </c>
      <c r="AB21" s="69">
        <v>4.2</v>
      </c>
      <c r="AC21" s="69">
        <v>7.1</v>
      </c>
      <c r="AD21" s="69">
        <v>7.71</v>
      </c>
      <c r="AE21" s="69">
        <v>0</v>
      </c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80"/>
      <c r="AQ21" s="11">
        <f>IF(SUM(V21:Y21)-Z21&gt;0,SUM(V21:Y21)-Z21,"")</f>
        <v>40.85</v>
      </c>
      <c r="AR21" s="11">
        <f>IF(AC21&gt;0,AC21,"")</f>
        <v>7.1</v>
      </c>
      <c r="AS21" s="11">
        <f>IF(SUM(AA21:AD21)-AE21&gt;0,SUM(AA21:AD21)-AE21,"")</f>
        <v>25.910000000000004</v>
      </c>
      <c r="AT21" s="11" t="str">
        <f>IF(AH21&gt;0,AH21,"")</f>
        <v/>
      </c>
      <c r="AU21" s="11" t="str">
        <f>IF(SUM(AF21:AI21)-AJ21&gt;0,SUM(AF21:AI21)-AJ21,"")</f>
        <v/>
      </c>
      <c r="AV21" s="11">
        <f>IF(OR(AQ21&lt;&gt;"",AS21&lt;&gt;"",AU21&lt;&gt;""),AQ21+MAX(AS21,AU21),"")</f>
        <v>66.760000000000005</v>
      </c>
      <c r="AW21" s="11" t="str">
        <f>IF(AM21&gt;0,AM21,"")</f>
        <v/>
      </c>
      <c r="AX21" s="11" t="str">
        <f>IF(SUM(AK21:AN21)-AO21&gt;0,SUM(AK21:AN21)-AO21,"")</f>
        <v/>
      </c>
      <c r="AY21" s="11">
        <f>IF(SUM(AV21,AX21)&gt;0,SUM(AV21,AX21),"")</f>
        <v>66.760000000000005</v>
      </c>
      <c r="AZ21" s="75">
        <v>17.5</v>
      </c>
      <c r="BA21" s="75">
        <v>9.1</v>
      </c>
      <c r="BB21" s="75">
        <v>3.9</v>
      </c>
      <c r="BC21" s="75">
        <v>16.36</v>
      </c>
      <c r="BD21" s="75">
        <v>0</v>
      </c>
      <c r="BE21" s="75">
        <v>14.7</v>
      </c>
      <c r="BF21" s="75">
        <v>9.8000000000000007</v>
      </c>
      <c r="BG21" s="75">
        <v>12.8</v>
      </c>
      <c r="BH21" s="75">
        <v>14.89</v>
      </c>
      <c r="BI21" s="75">
        <v>0.7</v>
      </c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81"/>
      <c r="BU21" s="14">
        <f>IF(SUM(AZ21:BC21)-BD21&gt;0,SUM(AZ21:BC21)-BD21,"")</f>
        <v>46.86</v>
      </c>
      <c r="BV21" s="14">
        <f>IF(BG21&gt;0,BG21,"")</f>
        <v>12.8</v>
      </c>
      <c r="BW21" s="14">
        <f>IF(SUM(BE21:BH21)-BI21&gt;0,SUM(BE21:BH21)-BI21,"")</f>
        <v>51.489999999999995</v>
      </c>
      <c r="BX21" s="14" t="str">
        <f>IF(BL21&gt;0,BL21,"")</f>
        <v/>
      </c>
      <c r="BY21" s="14" t="str">
        <f>IF(SUM(BJ21:BM21)-BN21&gt;0,SUM(BJ21:BM21)-BN21,"")</f>
        <v/>
      </c>
      <c r="BZ21" s="14">
        <f>IF(BU21="",IF(MAX(BW21,BY21)&gt;0,MAX(BW21,BY21),""),MAX(BW21,BY21)+BU21)</f>
        <v>98.35</v>
      </c>
      <c r="CA21" s="14" t="str">
        <f>IF(BQ21&gt;0,BQ21,"")</f>
        <v/>
      </c>
      <c r="CB21" s="14" t="str">
        <f>IF(SUM(BO21:BR21)-BS21&gt;0,SUM(BO21:BR21)-BS21,"")</f>
        <v/>
      </c>
      <c r="CC21" s="14">
        <f>IF(SUM(BZ21,CB21)&gt;0,SUM(BZ21,CB21),"")</f>
        <v>98.35</v>
      </c>
      <c r="CD21" s="69">
        <v>16.3</v>
      </c>
      <c r="CE21" s="69">
        <v>8.6999999999999993</v>
      </c>
      <c r="CF21" s="69">
        <v>2.5</v>
      </c>
      <c r="CG21" s="69">
        <v>15.595000000000001</v>
      </c>
      <c r="CH21" s="69">
        <v>0</v>
      </c>
      <c r="CI21" s="69">
        <v>13.1</v>
      </c>
      <c r="CJ21" s="69">
        <v>8.15</v>
      </c>
      <c r="CK21" s="69">
        <v>11.9</v>
      </c>
      <c r="CL21" s="69">
        <v>14.494999999999999</v>
      </c>
      <c r="CM21" s="69">
        <v>0</v>
      </c>
      <c r="CN21" s="69">
        <v>15</v>
      </c>
      <c r="CO21" s="69">
        <v>8.4499999999999993</v>
      </c>
      <c r="CP21" s="69">
        <v>13.5</v>
      </c>
      <c r="CQ21" s="69">
        <v>16.125</v>
      </c>
      <c r="CR21" s="69">
        <v>0</v>
      </c>
      <c r="CS21" s="69">
        <v>4.9000000000000004</v>
      </c>
      <c r="CT21" s="69">
        <v>2.5499999999999998</v>
      </c>
      <c r="CU21" s="69">
        <v>4.5999999999999996</v>
      </c>
      <c r="CV21" s="69">
        <v>4.9450000000000003</v>
      </c>
      <c r="CW21" s="69">
        <v>0</v>
      </c>
      <c r="CX21" s="80"/>
      <c r="CY21" s="11">
        <f>IF(SUM(CD21:CG21)-CH21&gt;0,SUM(CD21:CG21)-CH21,"")</f>
        <v>43.094999999999999</v>
      </c>
      <c r="CZ21" s="11">
        <f>IF(CK21&gt;0,CK21,"")</f>
        <v>11.9</v>
      </c>
      <c r="DA21" s="11">
        <f>IF(SUM(CI21:CL21)-CM21&gt;0,SUM(CI21:CL21)-CM21,"")</f>
        <v>47.644999999999996</v>
      </c>
      <c r="DB21" s="11">
        <f>IF(CP21&gt;0,CP21,"")</f>
        <v>13.5</v>
      </c>
      <c r="DC21" s="11">
        <f>IF(SUM(CN21:CQ21)-CR21&gt;0,SUM(CN21:CQ21)-CR21,"")</f>
        <v>53.075000000000003</v>
      </c>
      <c r="DD21" s="11">
        <f>IF(CY21="",IF(MAX(DA21,DC21)&gt;0,MAX(DA21,DC21),""),MAX(DA21,DC21)+CY21)</f>
        <v>96.17</v>
      </c>
      <c r="DE21" s="11">
        <f>IF(CU21&gt;0,CU21,"")</f>
        <v>4.5999999999999996</v>
      </c>
      <c r="DF21" s="11">
        <f>IF(SUM(CS21:CV21)-CW21&gt;0,SUM(CS21:CV21)-CW21,"")</f>
        <v>16.995000000000001</v>
      </c>
      <c r="DG21" s="11">
        <f>IF(SUM(DD21,DF21)&gt;0,SUM(DD21,DF21),"")</f>
        <v>113.16500000000001</v>
      </c>
      <c r="DH21" s="24" t="str">
        <f>IF(MAX(EB21,EX21,FT21,GP21,HL21,IH21,JD21,JZ21,KV21,LR21,MN21,NJ21)-IF(M21="",0,M21)&gt;0.001,MAX(EB21,EX21,FT21,GP21,HL21,IH21,JD21,JZ21,KV21,LR21,MN21,NJ21)-IF(M21="",0,M21),"")</f>
        <v/>
      </c>
      <c r="DI21" s="24" t="str">
        <f>IF(MAX(EC21,EY21,FU21,GQ21,HM21,II21,JE21,KA21,KW21,LS21,MO21,NK21)-IF(O21="",0,O21)&gt;0.001,MAX(EC21,EY21,FU21,GQ21,HM21,II21,JE21,KA21,KW21,LS21,MO21,NK21)-IF(O21="",0,O21),"")</f>
        <v/>
      </c>
      <c r="DJ21" s="24" t="str">
        <f>IF(MAX(ED21,EZ21,FV21,GR21,HN21,IJ21,JF21,KB21,KX21,LT21,MP21,NL21)-IF(K21="",0,K21)&gt;0.001,MAX(ED21,EZ21,FV21,GR21,HN21,IJ21,JF21,KB21,KX21,LT21,MP21,NL21)-IF(K21="",0,K21),"")</f>
        <v/>
      </c>
      <c r="DK21" s="24" t="str">
        <f>IF(MAX(EF21,FB21,FX21,GT21,HP21,IL21,JH21,KD21,KZ21,LV21,MR21,NN21)-IF(Q21="",0,Q21)&gt;0.001,MAX(EF21,FB21,FX21,GT21,HP21,IL21,JH21,KD21,KZ21,LV21,MR21,NN21)-IF(Q21="",0,Q21),"")</f>
        <v/>
      </c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11" t="str">
        <f>IF(DS21&gt;0,DS21,"")</f>
        <v/>
      </c>
      <c r="EB21" s="11" t="str">
        <f>IF(SUM(DL21:DO21)-DP21&gt;0,SUM(DL21:DO21)-DP21,"")</f>
        <v/>
      </c>
      <c r="EC21" s="11" t="str">
        <f>IF(SUM(DQ21:DT21)-DU21&gt;0,SUM(DQ21:DT21)-DU21,"")</f>
        <v/>
      </c>
      <c r="ED21" s="11" t="str">
        <f>IF(SUM(EB21:EC21)&gt;0,SUM(EB21:EC21),"")</f>
        <v/>
      </c>
      <c r="EE21" s="11" t="str">
        <f>IF(DX21&gt;0,DX21,"")</f>
        <v/>
      </c>
      <c r="EF21" s="11" t="str">
        <f>IF(SUM(DV21:DY21)-DZ21&gt;0,SUM(DV21:DY21)-DZ21,"")</f>
        <v/>
      </c>
      <c r="EG21" s="11" t="str">
        <f>IF(SUM(ED21,EF21)&gt;0,SUM(ED21,EF21),"")</f>
        <v/>
      </c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14" t="str">
        <f>IF(EO21&gt;0,EO21,"")</f>
        <v/>
      </c>
      <c r="EX21" s="14" t="str">
        <f>IF(SUM(EH21:EK21)-EL21&gt;0,SUM(EH21:EK21)-EL21,"")</f>
        <v/>
      </c>
      <c r="EY21" s="14" t="str">
        <f>IF(SUM(EM21:EP21)-EQ21&gt;0,SUM(EM21:EP21)-EQ21,"")</f>
        <v/>
      </c>
      <c r="EZ21" s="14" t="str">
        <f>IF(SUM(EX21:EY21)&gt;0,SUM(EX21:EY21),"")</f>
        <v/>
      </c>
      <c r="FA21" s="14" t="str">
        <f>IF(ET21&gt;0,ET21,"")</f>
        <v/>
      </c>
      <c r="FB21" s="14" t="str">
        <f>IF(SUM(ER21:EU21)-EV21&gt;0,SUM(ER21:EU21)-EV21,"")</f>
        <v/>
      </c>
      <c r="FC21" s="14" t="str">
        <f>IF(SUM(EZ21,FB21)&gt;0,SUM(EZ21,FB21),"")</f>
        <v/>
      </c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11" t="str">
        <f>IF(FK21&gt;0,FK21,"")</f>
        <v/>
      </c>
      <c r="FT21" s="11" t="str">
        <f>IF(SUM(FD21:FG21)-FH21&gt;0,SUM(FD21:FG21)-FH21,"")</f>
        <v/>
      </c>
      <c r="FU21" s="11" t="str">
        <f>IF(SUM(FI21:FL21)-FM21&gt;0,SUM(FI21:FL21)-FM21,"")</f>
        <v/>
      </c>
      <c r="FV21" s="11" t="str">
        <f>IF(SUM(FT21:FU21)&gt;0,SUM(FT21:FU21),"")</f>
        <v/>
      </c>
      <c r="FW21" s="11" t="str">
        <f>IF(FP21&gt;0,FP21,"")</f>
        <v/>
      </c>
      <c r="FX21" s="11" t="str">
        <f>IF(SUM(FN21:FQ21)-FR21&gt;0,SUM(FN21:FQ21)-FR21,"")</f>
        <v/>
      </c>
      <c r="FY21" s="11" t="str">
        <f>IF(SUM(FV21,FX21)&gt;0,SUM(FV21,FX21),"")</f>
        <v/>
      </c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14" t="str">
        <f>IF(GG21&gt;0,GG21,"")</f>
        <v/>
      </c>
      <c r="GP21" s="14" t="str">
        <f>IF(SUM(FZ21:GC21)-GD21&gt;0,SUM(FZ21:GC21)-GD21,"")</f>
        <v/>
      </c>
      <c r="GQ21" s="14" t="str">
        <f>IF(SUM(GE21:GH21)-GI21&gt;0,SUM(GE21:GH21)-GI21,"")</f>
        <v/>
      </c>
      <c r="GR21" s="14" t="str">
        <f>IF(SUM(GP21:GQ21)&gt;0,SUM(GP21:GQ21),"")</f>
        <v/>
      </c>
      <c r="GS21" s="14" t="str">
        <f>IF(GL21&gt;0,GL21,"")</f>
        <v/>
      </c>
      <c r="GT21" s="14" t="str">
        <f>IF(SUM(GJ21:GM21)-GN21&gt;0,SUM(GJ21:GM21)-GN21,"")</f>
        <v/>
      </c>
      <c r="GU21" s="14" t="str">
        <f>IF(SUM(GR21,GT21)&gt;0,SUM(GR21,GT21),"")</f>
        <v/>
      </c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11" t="str">
        <f>IF(HC21&gt;0,HC21,"")</f>
        <v/>
      </c>
      <c r="HL21" s="11" t="str">
        <f>IF(SUM(GV21:GY21)-GZ21&gt;0,SUM(GV21:GY21)-GZ21,"")</f>
        <v/>
      </c>
      <c r="HM21" s="11" t="str">
        <f>IF(SUM(HA21:HD21)-HE21&gt;0,SUM(HA21:HD21)-HE21,"")</f>
        <v/>
      </c>
      <c r="HN21" s="11" t="str">
        <f>IF(SUM(HL21:HM21)&gt;0,SUM(HL21:HM21),"")</f>
        <v/>
      </c>
      <c r="HO21" s="11" t="str">
        <f>IF(HH21&gt;0,HH21,"")</f>
        <v/>
      </c>
      <c r="HP21" s="11" t="str">
        <f>IF(SUM(HF21:HI21)-HJ21&gt;0,SUM(HF21:HI21)-HJ21,"")</f>
        <v/>
      </c>
      <c r="HQ21" s="11" t="str">
        <f>IF(SUM(HN21,HP21)&gt;0,SUM(HN21,HP21),"")</f>
        <v/>
      </c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14" t="str">
        <f>IF(HY21&gt;0,HY21,"")</f>
        <v/>
      </c>
      <c r="IH21" s="14" t="str">
        <f>IF(SUM(HR21:HU21)-HV21&gt;0,SUM(HR21:HU21)-HV21,"")</f>
        <v/>
      </c>
      <c r="II21" s="14" t="str">
        <f>IF(SUM(HW21:HZ21)-IA21&gt;0,SUM(HW21:HZ21)-IA21,"")</f>
        <v/>
      </c>
      <c r="IJ21" s="14" t="str">
        <f>IF(SUM(IH21:II21)&gt;0,SUM(IH21:II21),"")</f>
        <v/>
      </c>
      <c r="IK21" s="14" t="str">
        <f>IF(ID21&gt;0,ID21,"")</f>
        <v/>
      </c>
      <c r="IL21" s="14" t="str">
        <f>IF(SUM(IB21:IE21)-IF21&gt;0,SUM(IB21:IE21)-IF21,"")</f>
        <v/>
      </c>
      <c r="IM21" s="14" t="str">
        <f>IF(SUM(IJ21,IL21)&gt;0,SUM(IJ21,IL21),"")</f>
        <v/>
      </c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11" t="str">
        <f>IF(IU21&gt;0,IU21,"")</f>
        <v/>
      </c>
      <c r="JD21" s="11" t="str">
        <f>IF(SUM(IN21:IQ21)-IR21&gt;0,SUM(IN21:IQ21)-IR21,"")</f>
        <v/>
      </c>
      <c r="JE21" s="11" t="str">
        <f>IF(SUM(IS21:IV21)-IW21&gt;0,SUM(IS21:IV21)-IW21,"")</f>
        <v/>
      </c>
      <c r="JF21" s="11" t="str">
        <f>IF(SUM(JD21:JE21)&gt;0,SUM(JD21:JE21),"")</f>
        <v/>
      </c>
      <c r="JG21" s="11" t="str">
        <f>IF(IZ21&gt;0,IZ21,"")</f>
        <v/>
      </c>
      <c r="JH21" s="11" t="str">
        <f>IF(SUM(IX21:JA21)-JB21&gt;0,SUM(IX21:JA21)-JB21,"")</f>
        <v/>
      </c>
      <c r="JI21" s="11" t="str">
        <f>IF(SUM(JF21,JH21)&gt;0,SUM(JF21,JH21),"")</f>
        <v/>
      </c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14" t="str">
        <f>IF(JQ21&gt;0,JQ21,"")</f>
        <v/>
      </c>
      <c r="JZ21" s="14" t="str">
        <f>IF(SUM(JJ21:JM21)-JN21&gt;0,SUM(JJ21:JM21)-JN21,"")</f>
        <v/>
      </c>
      <c r="KA21" s="14" t="str">
        <f>IF(SUM(JO21:JR21)-JS21&gt;0,SUM(JO21:JR21)-JS21,"")</f>
        <v/>
      </c>
      <c r="KB21" s="14" t="str">
        <f>IF(SUM(JZ21:KA21)&gt;0,SUM(JZ21:KA21),"")</f>
        <v/>
      </c>
      <c r="KC21" s="14" t="str">
        <f>IF(JV21&gt;0,JV21,"")</f>
        <v/>
      </c>
      <c r="KD21" s="14" t="str">
        <f>IF(SUM(JT21:JW21)-JX21&gt;0,SUM(JT21:JW21)-JX21,"")</f>
        <v/>
      </c>
      <c r="KE21" s="14" t="str">
        <f>IF(SUM(KB21,KD21)&gt;0,SUM(KB21,KD21),"")</f>
        <v/>
      </c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11" t="str">
        <f>IF(KM21&gt;0,KM21,"")</f>
        <v/>
      </c>
      <c r="KV21" s="11" t="str">
        <f>IF(SUM(KF21:KI21)-KJ21&gt;0,SUM(KF21:KI21)-KJ21,"")</f>
        <v/>
      </c>
      <c r="KW21" s="11" t="str">
        <f>IF(SUM(KK21:KN21)-KO21&gt;0,SUM(KK21:KN21)-KO21,"")</f>
        <v/>
      </c>
      <c r="KX21" s="11" t="str">
        <f>IF(SUM(KV21:KW21)&gt;0,SUM(KV21:KW21),"")</f>
        <v/>
      </c>
      <c r="KY21" s="11" t="str">
        <f>IF(KR21&gt;0,KR21,"")</f>
        <v/>
      </c>
      <c r="KZ21" s="11" t="str">
        <f>IF(SUM(KP21:KS21)-KT21&gt;0,SUM(KP21:KS21)-KT21,"")</f>
        <v/>
      </c>
      <c r="LA21" s="11" t="str">
        <f>IF(SUM(KX21,KZ21)&gt;0,SUM(KX21,KZ21),"")</f>
        <v/>
      </c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14" t="str">
        <f>IF(LI21&gt;0,LI21,"")</f>
        <v/>
      </c>
      <c r="LR21" s="14" t="str">
        <f>IF(SUM(LB21:LE21)-LF21&gt;0,SUM(LB21:LE21)-LF21,"")</f>
        <v/>
      </c>
      <c r="LS21" s="14" t="str">
        <f>IF(SUM(LG21:LJ21)-LK21&gt;0,SUM(LG21:LJ21)-LK21,"")</f>
        <v/>
      </c>
      <c r="LT21" s="14" t="str">
        <f>IF(SUM(LR21:LS21)&gt;0,SUM(LR21:LS21),"")</f>
        <v/>
      </c>
      <c r="LU21" s="14" t="str">
        <f>IF(LN21&gt;0,LN21,"")</f>
        <v/>
      </c>
      <c r="LV21" s="14" t="str">
        <f>IF(SUM(LL21:LO21)-LP21&gt;0,SUM(LL21:LO21)-LP21,"")</f>
        <v/>
      </c>
      <c r="LW21" s="14" t="str">
        <f>IF(SUM(LT21,LV21)&gt;0,SUM(LT21,LV21),"")</f>
        <v/>
      </c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11" t="str">
        <f>IF(ME21&gt;0,ME21,"")</f>
        <v/>
      </c>
      <c r="MN21" s="11" t="str">
        <f>IF(SUM(LX21:MA21)-MB21&gt;0,SUM(LX21:MA21)-MB21,"")</f>
        <v/>
      </c>
      <c r="MO21" s="11" t="str">
        <f>IF(SUM(MC21:MF21)-MG21&gt;0,SUM(MC21:MF21)-MG21,"")</f>
        <v/>
      </c>
      <c r="MP21" s="11" t="str">
        <f>IF(SUM(MN21:MO21)&gt;0,SUM(MN21:MO21),"")</f>
        <v/>
      </c>
      <c r="MQ21" s="11" t="str">
        <f>IF(MJ21&gt;0,MJ21,"")</f>
        <v/>
      </c>
      <c r="MR21" s="11" t="str">
        <f>IF(SUM(MH21:MK21)-ML21&gt;0,SUM(MH21:MK21)-ML21,"")</f>
        <v/>
      </c>
      <c r="MS21" s="11" t="str">
        <f>IF(SUM(MP21,MR21)&gt;0,SUM(MP21,MR21),"")</f>
        <v/>
      </c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14" t="str">
        <f>IF(NA21&gt;0,NA21,"")</f>
        <v/>
      </c>
      <c r="NJ21" s="14" t="str">
        <f>IF(SUM(MT21:MW21)-MX21&gt;0,SUM(MT21:MW21)-MX21,"")</f>
        <v/>
      </c>
      <c r="NK21" s="14" t="str">
        <f>IF(SUM(MY21:NB21)-NC21&gt;0,SUM(MY21:NB21)-NC21,"")</f>
        <v/>
      </c>
      <c r="NL21" s="14" t="str">
        <f>IF(SUM(NJ21:NK21)&gt;0,SUM(NJ21:NK21),"")</f>
        <v/>
      </c>
      <c r="NM21" s="14" t="str">
        <f>IF(NF21&gt;0,NF21,"")</f>
        <v/>
      </c>
      <c r="NN21" s="14" t="str">
        <f>IF(SUM(ND21:NG21)-NH21&gt;0,SUM(ND21:NG21)-NH21,"")</f>
        <v/>
      </c>
      <c r="NO21" s="14" t="str">
        <f>IF(SUM(NL21,NN21)&gt;0,SUM(NL21,NN21),"")</f>
        <v/>
      </c>
      <c r="NP21" s="69">
        <f>IF($CX21="P",CD21,(CD21+AZ21)/2)</f>
        <v>16.899999999999999</v>
      </c>
      <c r="NQ21" s="69">
        <f>IF($CX21="P",CE21,(CE21+BA21)/2)</f>
        <v>8.8999999999999986</v>
      </c>
      <c r="NR21" s="69">
        <f>IF($CX21="P",CF21,(CF21+BB21)/2)</f>
        <v>3.2</v>
      </c>
      <c r="NS21" s="69">
        <f>IF($CX21="P",CG21,(CG21+BC21)/2)</f>
        <v>15.977499999999999</v>
      </c>
      <c r="NT21" s="69">
        <f>IF($CX21="P",CH21,(CH21+BD21)/2)</f>
        <v>0</v>
      </c>
      <c r="NU21" s="69">
        <f>IF($CX21="P",CI21,(CI21+BE21)/2)</f>
        <v>13.899999999999999</v>
      </c>
      <c r="NV21" s="69">
        <f>IF($CX21="P",CJ21,(CJ21+BF21)/2)</f>
        <v>8.9750000000000014</v>
      </c>
      <c r="NW21" s="69">
        <f>IF($CX21="P",CK21,(CK21+BG21)/2)</f>
        <v>12.350000000000001</v>
      </c>
      <c r="NX21" s="69">
        <f>IF($CX21="P",CL21,(CL21+BH21)/2)</f>
        <v>14.692499999999999</v>
      </c>
      <c r="NY21" s="69">
        <f>IF($CX21="P",CM21,(CM21+BI21)/2)</f>
        <v>0.35</v>
      </c>
      <c r="NZ21" s="69">
        <f>IF($CX21="P",CN21,(CN21+BJ21)/2)</f>
        <v>7.5</v>
      </c>
      <c r="OA21" s="69">
        <f>IF($CX21="P",CO21,(CO21+BK21)/2)</f>
        <v>4.2249999999999996</v>
      </c>
      <c r="OB21" s="69">
        <f>IF($CX21="P",CP21,(CP21+BL21)/2)</f>
        <v>6.75</v>
      </c>
      <c r="OC21" s="69">
        <f>IF($CX21="P",CQ21,(CQ21+BM21)/2)</f>
        <v>8.0625</v>
      </c>
      <c r="OD21" s="69">
        <f>IF($CX21="P",CR21,(CR21+BN21)/2)</f>
        <v>0</v>
      </c>
      <c r="OE21" s="69">
        <f>IF($CX21="P",CS21,(CS21+BO21)/2)</f>
        <v>2.4500000000000002</v>
      </c>
      <c r="OF21" s="69">
        <f>IF($CX21="P",CT21,(CT21+BP21)/2)</f>
        <v>1.2749999999999999</v>
      </c>
      <c r="OG21" s="69">
        <f>IF($CX21="P",CU21,(CU21+BQ21)/2)</f>
        <v>2.2999999999999998</v>
      </c>
      <c r="OH21" s="69">
        <f>IF($CX21="P",CV21,(CV21+BR21)/2)</f>
        <v>2.4725000000000001</v>
      </c>
      <c r="OI21" s="69">
        <f>IF($CX21="P",CW21,(CW21+BS21)/2)</f>
        <v>0</v>
      </c>
      <c r="OJ21" s="80" t="s">
        <v>91</v>
      </c>
      <c r="OK21" s="11">
        <f>IF(SUM(NP21:NS21)-NT21&gt;0,SUM(NP21:NS21)-NT21,"")</f>
        <v>44.977499999999992</v>
      </c>
      <c r="OL21" s="11">
        <f>IF(NW21&gt;0,NW21,"")</f>
        <v>12.350000000000001</v>
      </c>
      <c r="OM21" s="11">
        <f>IF(SUM(NU21:NX21)-NY21&gt;0,SUM(NU21:NX21)-NY21,"")</f>
        <v>49.567500000000003</v>
      </c>
      <c r="ON21" s="11">
        <f>IF(OB21&gt;0,OB21,"")</f>
        <v>6.75</v>
      </c>
      <c r="OO21" s="11">
        <f>IF(SUM(NZ21:OC21)-OD21&gt;0,SUM(NZ21:OC21)-OD21,"")</f>
        <v>26.537500000000001</v>
      </c>
      <c r="OP21" s="11">
        <f>IF(OR(OK21&lt;&gt;"",OM21&lt;&gt;"",OO21&lt;&gt;""),OK21+MAX(OM21,OO21),"")</f>
        <v>94.544999999999987</v>
      </c>
      <c r="OQ21" s="11">
        <f>IF(OG21&gt;0,OG21,"")</f>
        <v>2.2999999999999998</v>
      </c>
      <c r="OR21" s="11">
        <f t="shared" si="0"/>
        <v>8.4975000000000005</v>
      </c>
      <c r="OS21" s="11">
        <f t="shared" si="1"/>
        <v>103.04249999999999</v>
      </c>
    </row>
    <row r="22" spans="1:409" x14ac:dyDescent="0.2">
      <c r="A22" s="5" t="str" cm="1">
        <f t="array" ref="A22">IF(AND(G22&lt;&gt;"",H22&lt;&gt;""),SUMPRODUCT((G$4:G$25&lt;&gt;"")*(H$4:H$25&lt;&gt;"")*(E$4:E$25&gt;E22))+1,IF(H22&lt;&gt;"",SUMPRODUCT((I$4:I$25="No DD")*(E$4:E$25&gt;E22))+1+SUMPRODUCT((G$4:G$25&lt;&gt;"")*(H$4:H$25&lt;&gt;"")),""))</f>
        <v/>
      </c>
      <c r="B22" s="6" t="s">
        <v>82</v>
      </c>
      <c r="C22" s="7" t="s">
        <v>5</v>
      </c>
      <c r="D22" s="27">
        <v>1999</v>
      </c>
      <c r="E22" s="15">
        <f>SUM(K22:S22)</f>
        <v>198.16499999999999</v>
      </c>
      <c r="F22" s="3" t="str">
        <f>IF(G22&lt;&gt;"","P","")</f>
        <v/>
      </c>
      <c r="G22" s="125" t="str">
        <f>IF(OR(AND(AR22&gt;=AY$30,AR22&lt;&gt;"",AP22=""),AND(AT22&gt;=AY$30,AT22&lt;&gt;"",AP22=""),AND(AW22&gt;=AY$30,AW22&lt;&gt;"",AP22=""),AND(BV22&gt;=CC$30,BV22&lt;&gt;"",BT22=""),AND(BX22&gt;=CC$30,BX22&lt;&gt;"",BT22=""),AND(CA22&gt;=CC$30,CA22&lt;&gt;"",BT22=""),AND(CZ22&gt;=DG$30,CZ22&lt;&gt;"",CX22=""),AND(DB22&gt;=DG$30,DB22&lt;&gt;"",CX22=""),AND(DE22&gt;=DG$30,DE22&lt;&gt;"",CX22=""),AND(EA22&gt;=EG$30,EA22&lt;&gt;""),AND(EE22&gt;=EG$30,EE22&lt;&gt;""),AND(EW22&gt;=FC$30,EW22&lt;&gt;""),AND(FA22&gt;=FC$30,FA22&lt;&gt;""),AND(FS22&gt;=FY$30,FS22&lt;&gt;""),AND(FW22&gt;=FY$30,FW22&lt;&gt;""),AND(GO22&gt;=GU$30,GO22&lt;&gt;""),AND(GS22&gt;=GU$30,GS22&lt;&gt;""),AND(HK22&gt;=HQ$30,HK22&lt;&gt;""),AND(HO22&gt;=HQ$30,HO22&lt;&gt;""),AND(IG22&gt;=IM$30,IG22&lt;&gt;""),AND(IK22&gt;=IM$30,IK22&lt;&gt;""),AND(JC22&gt;=JI$30,JC22&lt;&gt;""),AND(JG22&gt;=JI$30,JG22&lt;&gt;""),AND(JY22&gt;=KE$30,JY22&lt;&gt;""),AND(KC22&gt;=KE$30,KC22&lt;&gt;""),AND(KU22&gt;=LA$30,KU22&lt;&gt;""),AND(KY22&gt;=LA$30,KY22&lt;&gt;""),AND(LQ22&gt;=LW$30,LQ22&lt;&gt;""),AND(LU22&gt;=LW$30,LU22&lt;&gt;""),AND(MM22&gt;=MS$30,MM22&lt;&gt;""),AND(MQ22&gt;=MS$30,MQ22&lt;&gt;""),AND(NI22&gt;=NO$30,NI22&lt;&gt;""),AND(NM22&gt;=NO$30,NM22&lt;&gt;"")),"Merit",IF(OR(AND(AR22&gt;=AY$29,AR22&lt;&gt;"",AP22=""),AND(AT22&gt;=AY$29,AT22&lt;&gt;"",AP22=""),AND(AW22&gt;=AY$29,AW22&lt;&gt;"",AP22=""),AND(BV22&gt;=CC$29,BV22&lt;&gt;"",BT22=""),AND(BX22&gt;=CC$29,BX22&lt;&gt;"",BT22=""),AND(CA22&gt;=CC$29,CA22&lt;&gt;"",BT22=""),AND(CZ22&gt;=DG$29,CZ22&lt;&gt;"",CX22=""),AND(DB22&gt;=DG$29,DB22&lt;&gt;"",CX22=""),AND(DE22&gt;=DG$29,DE22&lt;&gt;"",CX22=""),AND(EA22&gt;=EG$29,EA22&lt;&gt;""),AND(EE22&gt;=EG$29,EE22&lt;&gt;""),AND(EW22&gt;=FC$29,EW22&lt;&gt;""),AND(FA22&gt;=FC$29,FA22&lt;&gt;""),AND(FS22&gt;=FY$29,FS22&lt;&gt;""),AND(FW22&gt;=FY$29,FW22&lt;&gt;""),AND(GO22&gt;=GU$29,GO22&lt;&gt;""),AND(GS22&gt;=GU$29,GS22&lt;&gt;""),AND(HK22&gt;=HQ$29,HK22&lt;&gt;""),AND(HO22&gt;=HQ$29,HO22&lt;&gt;""),AND(IG22&gt;=IM$29,IG22&lt;&gt;""),AND(IK22&gt;=IM$29,IK22&lt;&gt;""),AND(JC22&gt;=JI$29,JC22&lt;&gt;""),AND(JG22&gt;=JI$29,JG22&lt;&gt;""),AND(JY22&gt;=KE$29,JY22&lt;&gt;""),AND(KC22&gt;=KE$29,KC22&lt;&gt;""),AND(KU22&gt;=LA$29,KU22&lt;&gt;""),AND(KY22&gt;=LA$29,KY22&lt;&gt;""),AND(LQ22&gt;=LW$29,LQ22&lt;&gt;""),AND(LU22&gt;=LW$29,LU22&lt;&gt;""),AND(MM22&gt;=MS$29,MM22&lt;&gt;""),AND(MQ22&gt;=MS$29,MQ22&lt;&gt;""),AND(NI22&gt;=NO$29,NI22&lt;&gt;""),AND(NM22&gt;=NO$29,NM22&lt;&gt;"")),"Excellence",IF(OR(AND(AR22&gt;=AY$28,AR22&lt;&gt;"",AP22=""),AND(AT22&gt;=AY$28,AT22&lt;&gt;"",AP22=""),AND(AW22&gt;=AY$28,AW22&lt;&gt;"",AP22=""),AND(BV22&gt;=CC$28,BV22&lt;&gt;"",BT22=""),AND(BX22&gt;=CC$28,BX22&lt;&gt;"",BT22=""),AND(CA22&gt;=CC$28,CA22&lt;&gt;"",BT22=""),AND(CZ22&gt;=DG$28,CZ22&lt;&gt;"",CX22=""),AND(DB22&gt;=DG$28,DB22&lt;&gt;"",CX22=""),AND(DE22&gt;=DG$28,DE22&lt;&gt;"",CX22=""),AND(EA22&gt;=EG$28,EA22&lt;&gt;""),AND(EE22&gt;=EG$28,EE22&lt;&gt;""),AND(EW22&gt;=FC$28,EW22&lt;&gt;""),AND(FA22&gt;=FC$28,FA22&lt;&gt;""),AND(FS22&gt;=FY$28,FS22&lt;&gt;""),AND(FW22&gt;=FY$28,FW22&lt;&gt;""),AND(GO22&gt;=GU$28,GO22&lt;&gt;""),AND(GS22&gt;=GU$28,GS22&lt;&gt;""),AND(HK22&gt;=HQ$28,HK22&lt;&gt;""),AND(HO22&gt;=HQ$28,HO22&lt;&gt;""),AND(IG22&gt;=IM$28,IG22&lt;&gt;""),AND(IK22&gt;=IM$28,IK22&lt;&gt;""),AND(JC22&gt;=JI$28,JC22&lt;&gt;""),AND(JG22&gt;=JI$28,JG22&lt;&gt;""),AND(JY22&gt;=KE$28,JY22&lt;&gt;""),AND(KC22&gt;=KE$28,KC22&lt;&gt;""),AND(KU22&gt;=LA$28,KU22&lt;&gt;""),AND(KY22&gt;=LA$28,KY22&lt;&gt;""),AND(LQ22&gt;=LW$28,LQ22&lt;&gt;""),AND(LU22&gt;=LW$28,LU22&lt;&gt;""),AND(MM22&gt;=MS$28,MM22&lt;&gt;""),AND(MQ22&gt;=MS$28,MQ22&lt;&gt;""),AND(NI22&gt;=NO$28,NI22&lt;&gt;""),AND(NM22&gt;=NO$28,NM22&lt;&gt;"")),"Worlds Team",IF(OR(AND(AR22&gt;=AY$27,AR22&lt;&gt;"",AP22=""),AND(AT22&gt;=AY$27,AT22&lt;&gt;"",AP22=""),AND(AW22&gt;=AY$27,AW22&lt;&gt;"",AP22=""),AND(BV22&gt;=CC$27,BV22&lt;&gt;"",BT22=""),AND(BX22&gt;=CC$27,BX22&lt;&gt;"",BT22=""),AND(CA22&gt;=CC$27,CA22&lt;&gt;"",BT22=""),AND(CZ22&gt;=DG$27,CZ22&lt;&gt;"",CX22=""),AND(DB22&gt;=DG$27,DB22&lt;&gt;"",CX22=""),AND(DE22&gt;=DG$27,DE22&lt;&gt;"",CX22=""),AND(EA22&gt;=EG$27,EA22&lt;&gt;""),AND(EE22&gt;=EG$27,EE22&lt;&gt;""),AND(EW22&gt;=FC$27,EW22&lt;&gt;""),AND(FA22&gt;=FC$27,FA22&lt;&gt;""),AND(FS22&gt;=FY$27,FS22&lt;&gt;""),AND(FW22&gt;=FY$27,FW22&lt;&gt;""),AND(GO22&gt;=GU$27,GO22&lt;&gt;""),AND(GS22&gt;=GU$27,GS22&lt;&gt;""),AND(HK22&gt;=HQ$27,HK22&lt;&gt;""),AND(HO22&gt;=HQ$27,HO22&lt;&gt;""),AND(IG22&gt;=IM$27,IG22&lt;&gt;""),AND(IK22&gt;=IM$27,IK22&lt;&gt;""),AND(JC22&gt;=JI$27,JC22&lt;&gt;""),AND(JG22&gt;=JI$27,JG22&lt;&gt;""),AND(JY22&gt;=KE$27,JY22&lt;&gt;""),AND(KC22&gt;=KE$27,KC22&lt;&gt;""),AND(KU22&gt;=LA$27,KU22&lt;&gt;""),AND(KY22&gt;=LA$27,KY22&lt;&gt;""),AND(LQ22&gt;=LW$27,LQ22&lt;&gt;""),AND(LU22&gt;=LW$27,LU22&lt;&gt;""),AND(MM22&gt;=MS$27,MM22&lt;&gt;""),AND(MQ22&gt;=MS$27,MQ22&lt;&gt;""),AND(NI22&gt;=NO$27,NI22&lt;&gt;""),AND(NM22&gt;=NO$27,NM22&lt;&gt;"")),"National Team",""))))</f>
        <v/>
      </c>
      <c r="H22" s="125" t="str">
        <f>IF(OR(AND(AS22&gt;=AY$34,AS22&lt;&gt;"",AP22=""),AND(AU22&gt;=AY$34,AU22&lt;&gt;"",AP22=""),AND(AX22&gt;=AY$34,AX22&lt;&gt;"",AP22=""),AND(BW22&gt;=CC$34,BW22&lt;&gt;"",BT22=""),AND(BY22&gt;=CC$34,BY22&lt;&gt;"",BT22=""),AND(CB22&gt;=CC$34,CB22&lt;&gt;"",BT22=""),AND(DA22&gt;=DG$34,DA22&lt;&gt;"",CX22=""),AND(DC22&gt;=DG$34,DC22&lt;&gt;"",CX22=""),AND(DF22&gt;=DG$34,DF22&lt;&gt;"",CX22=""),AND(EC22&gt;=EG$34,EC22&lt;&gt;""),AND(EF22&gt;=EG$34,EF22&lt;&gt;""),AND(EY22&gt;=FC$34,EY22&lt;&gt;""),AND(FB22&gt;=FC$34,FB22&lt;&gt;""),AND(FU22&gt;=FY$34,FU22&lt;&gt;""),AND(FX22&gt;=FY$34,FX22&lt;&gt;""),AND(GQ22&gt;=GU$34,GQ22&lt;&gt;""),AND(GT22&gt;=GU$34,GT22&lt;&gt;""),AND(HM22&gt;=HQ$34,HM22&lt;&gt;""),AND(HP22&gt;=HQ$34,HP22&lt;&gt;""),AND(II22&gt;=IM$34,II22&lt;&gt;""),AND(IL22&gt;=IM$34,IL22&lt;&gt;""),AND(JE22&gt;=JI$34,JE22&lt;&gt;""),AND(JH22&gt;=JI$34,JH22&lt;&gt;""),AND(KA22&gt;=KE$34,KA22&lt;&gt;""),AND(KD22&gt;=KE$34,KD22&lt;&gt;""),AND(KW22&gt;=LA$34,KW22&lt;&gt;""),AND(KZ22&gt;=LA$34,KZ22&lt;&gt;""),AND(LS22&gt;=LW$34,LS22&lt;&gt;""),AND(LV22&gt;=LW$34,LV22&lt;&gt;""),AND(MO22&gt;=MS$34,MO22&lt;&gt;""),AND(MR22&gt;=MS$34,MR22&lt;&gt;""),AND(NK22&gt;=NO$34,NK22&lt;&gt;""),AND(NN22&gt;=NO$34,NN22&lt;&gt;"")),"Merit",IF(OR(AND(AS22&gt;=AY$33,AS22&lt;&gt;"",AP22=""),AND(AU22&gt;=AY$33,AU22&lt;&gt;"",AP22=""),AND(AX22&gt;=AY$33,AX22&lt;&gt;"",AP22=""),AND(BW22&gt;=CC$33,BW22&lt;&gt;"",BT22=""),AND(BY22&gt;=CC$33,BY22&lt;&gt;"",BT22=""),AND(CB22&gt;=CC$33,CB22&lt;&gt;"",BT22=""),AND(DA22&gt;=DG$33,DA22&lt;&gt;"",CX22=""),AND(DC22&gt;=DG$33,DC22&lt;&gt;"",CX22=""),AND(DF22&gt;=DG$33,DF22&lt;&gt;"",CX22=""),AND(EC22&gt;=EG$33,EC22&lt;&gt;""),AND(EF22&gt;=EG$33,EF22&lt;&gt;""),AND(EY22&gt;=FC$33,EY22&lt;&gt;""),AND(FB22&gt;=FC$33,FB22&lt;&gt;""),AND(FU22&gt;=FY$33,FU22&lt;&gt;""),AND(FX22&gt;=FY$33,FX22&lt;&gt;""),AND(GQ22&gt;=GU$33,GQ22&lt;&gt;""),AND(GT22&gt;=GU$33,GT22&lt;&gt;""),AND(HM22&gt;=HQ$33,HM22&lt;&gt;""),AND(HP22&gt;=HQ$33,HP22&lt;&gt;""),AND(II22&gt;=IM$33,II22&lt;&gt;""),AND(IL22&gt;=IM$33,IL22&lt;&gt;""),AND(JE22&gt;=JI$33,JE22&lt;&gt;""),AND(JH22&gt;=JI$33,JH22&lt;&gt;""),AND(KA22&gt;=KE$33,KA22&lt;&gt;""),AND(KD22&gt;=KE$33,KD22&lt;&gt;""),AND(KW22&gt;=LA$33,KW22&lt;&gt;""),AND(KZ22&gt;=LA$33,KZ22&lt;&gt;""),AND(LS22&gt;=LW$33,LS22&lt;&gt;""),AND(LV22&gt;=LW$33,LV22&lt;&gt;""),AND(MO22&gt;=MS$33,MO22&lt;&gt;""),AND(MR22&gt;=MS$33,MR22&lt;&gt;""),AND(NK22&gt;=NO$33,NK22&lt;&gt;""),AND(NN22&gt;=NO$33,NN22&lt;&gt;"")),"Excellence",IF(OR(AND(AV22&gt;=AY$32,AV22&lt;&gt;"",AP22=""),AND(BZ22&gt;=CC$32,BZ22&lt;&gt;"",BT22=""),AND(DD22&gt;=DG$32,DD22&lt;&gt;"",CX22=""),AND(ED22&gt;=EG$32,ED22&lt;&gt;""),AND(EZ22&gt;=FC$32,EZ22&lt;&gt;""),AND(FV22&gt;=FY$32,FV22&lt;&gt;""),AND(GR22&gt;=GU$32,GR22&lt;&gt;""),AND(HN22&gt;=HQ$32,HN22&lt;&gt;""),AND(IJ22&gt;=IM$32,IJ22&lt;&gt;""),AND(JF22&gt;=JI$32,JF22&lt;&gt;""),AND(KB22&gt;=KE$32,KB22&lt;&gt;""),AND(KX22&gt;=LA$32,KX22&lt;&gt;""),AND(LT22&gt;=LW$32,LT22&lt;&gt;""),AND(MP22&gt;=MS$32,MP22&lt;&gt;""),AND(NL22&gt;=NO$32,NL22&lt;&gt;"")),"Worlds Team",IF(OR(AND(AV22&gt;=AY$31,AV22&lt;&gt;"",AP22=""),AND(BZ22&gt;=CC$31,BZ22&lt;&gt;"",BT22=""),AND(DD22&gt;=DG$31,DD22&lt;&gt;"",CX22=""),AND(ED22&gt;=EG$31,ED22&lt;&gt;""),AND(EZ22&gt;=FC$31,EZ22&lt;&gt;""),AND(FV22&gt;=FY$31,FV22&lt;&gt;""),AND(GR22&gt;=GU$31,GR22&lt;&gt;""),AND(HN22&gt;=HQ$31,HN22&lt;&gt;""),AND(IJ22&gt;=IM$31,IJ22&lt;&gt;""),AND(JF22&gt;=JI$31,JF22&lt;&gt;""),AND(KB22&gt;=KE$31,KB22&lt;&gt;""),AND(KX22&gt;=LA$31,KX22&lt;&gt;""),AND(LT22&gt;=LW$31,LT22&lt;&gt;""),AND(MP22&gt;=MS$31,MP22&lt;&gt;""),AND(NL22&gt;=NO$31,NL22&lt;&gt;"")),"National Team",""))))</f>
        <v/>
      </c>
      <c r="I22" s="126" t="str">
        <f>IF(AND(G22="Merit",H22="Merit"),"Merit",IF(AND(OR(G22="Merit",G22="Excellence"),OR(H22="Merit",H22="Excellence")),"Excellence",IF(AND(OR(G22="Merit",G22="Excellence",G22="Worlds Team"),OR(H22="Merit",H22="Excellence",H22="Worlds Team")),"Worlds Team",IF(AND(OR(G22="Merit",G22="Excellence",G22="Worlds Team",G22="National Team"),OR(H22="Merit",H22="Excellence",H22="Worlds Team",H22="National Team")),"National Team",IF(OR(H22="Merit",H22="Excellence",H22="Worlds Team",H22="National Team"),"No DD","")))))</f>
        <v/>
      </c>
      <c r="J22" s="3" t="str">
        <f>IF(AND(OR(AND(AV22&gt;=AY$32,AV22&lt;&gt;"",AP22=""),AND(BZ22&gt;=CC$32,BZ22&lt;&gt;"",BT22=""),AND(DD22&gt;=DG$32,DD22&lt;&gt;"",CX22=""),AND(ED22&gt;=EG$32,ED22&lt;&gt;""),AND(EZ22&gt;=FC$32,EZ22&lt;&gt;""),AND(FV22&gt;=FY$32,FV22&lt;&gt;""),AND(GR22&gt;=GU$32,GR22&lt;&gt;""),AND(HN22&gt;=HQ$32,HN22&lt;&gt;""),AND(IJ22&gt;=IM$32,IJ22&lt;&gt;""),AND(JF22&gt;=JI$32,JF22&lt;&gt;""),AND(KB22&gt;=KE$32,KB22&lt;&gt;""),AND(KX22&gt;=LA$32,KX22&lt;&gt;""),AND(LT22&gt;=LW$32,LT22&lt;&gt;""),AND(MP22&gt;=MS$32,MP22&lt;&gt;""),AND(NL22&gt;=NO$32,NL22&lt;&gt;"")),OR(G22="Worlds Team",G22="Excellence",G22="Merit")),"P","")</f>
        <v/>
      </c>
      <c r="K22" s="14">
        <f>IF(MAX(AV22,BZ22,DD22)&gt;0,MAX(AV22,BZ22,DD22),0)</f>
        <v>77.585000000000008</v>
      </c>
      <c r="L22" s="14" t="str">
        <f>IF(K22=0,"",IF(K22=DD22,$CD$1,IF(K22=BZ22,$AZ$1,IF(K22=AV22,$V$1,""))))</f>
        <v>2019 Nationals</v>
      </c>
      <c r="M22" s="14">
        <f>IF($K22=$AV22,MAX(BU22,CY22),IF($K22=$BZ22,MAX(AQ22,CY22),IF($K22=$DD22,MAX(AQ22,BU22),MAX(AQ22,BU22,CY22))))</f>
        <v>47.35</v>
      </c>
      <c r="N22" s="14" t="str">
        <f>IF(M22=0,"",IF(AND(M22=CY22,$L22&lt;&gt;$CD$1),$CD$1,IF(AND(M22=BU22,$L22&lt;&gt;$AZ$1),$AZ$1,IF(AND(M22=AQ22,$L22&lt;&gt;$V$1),$V$1,""))))</f>
        <v>2019 Elite Canada</v>
      </c>
      <c r="O22" s="14">
        <f>IF(K22-N(AQ22)=AS22,MAX(AU22,BW22,BY22,DA22,DC22),IF(K22-N(AQ22)=AU22,MAX(AS22,BW22,BY22,DA22,DC22),IF(K22-N(BU22)=BW22,MAX(AS22,AU22,BY22,DA22,DC22),IF(K22-N(BU22)=BY22,MAX(AS22,AU22,BW22,DA22,DC22),IF(K22-N(CY22)=DA22,MAX(AS22,AU22,BW22,BY22,DC22),IF(K22-N(CY22)=DC22,MAX(AS22,AU22,BW22,BY22,DA22),MAX(AS22,AU22,BW22,BY22,DA22,DC22)))))))</f>
        <v>21.164999999999999</v>
      </c>
      <c r="P22" s="14" t="str">
        <f>IF(O22=0,"",IF(OR(O22=DC22,O22=DA22),$CD$1,IF(OR(O22=BY22,O22=BW22),$AZ$1,IF(OR(O22=AU22,O22=AS22),$V$1,""))))</f>
        <v>2019 Elite Canada</v>
      </c>
      <c r="Q22" s="14">
        <f>MAX(AX22,CB22,DF22)</f>
        <v>52.064999999999998</v>
      </c>
      <c r="R22" s="14" t="str">
        <f>IF(Q22=0,"",IF(Q22=DF22,$CD$1,IF(Q22=CB22,$AZ$1,IF(Q22=AX22,$V$1,""))))</f>
        <v>2019 Elite Canada</v>
      </c>
      <c r="S22" s="14" t="str">
        <f>IF(MAX(DH22,DI22,DJ22,DK22)&gt;0,MAX(DH22,DI22,DJ22,DK22),"")</f>
        <v/>
      </c>
      <c r="T22" s="25" t="str">
        <f>IF(S22="","",IF(S22=DH22,"(Vol 1)",IF(S22=DI22,"(Vol 2)",IF(S22=DJ22,"(Prelim)",IF(S22=DK22,"(Final)")))))</f>
        <v/>
      </c>
      <c r="U22" s="14" t="str">
        <f>IF(S22="","",IF(S22=DH22,IF(S22+IF(M22="",0,M22)=NJ22,$MT$1,IF(S22+IF(M22="",0,M22)=MN22,$LX$1,IF(S22+IF(M22="",0,M22)=LR22,$LB$1,IF(S22+IF(M22="",0,M22)=KV22,$KF$1,IF(S22+IF(M22="",0,M22)=JZ22,$JJ$1,IF(S22+IF(M22="",0,M22)=JD22,$IN$1,IF(S22+IF(M22="",0,M22)=IH22,$HR$1,IF(S22+IF(M22="",0,M22)=HL22,$GV$1,IF(S22+IF(M22="",0,M22)=GP22,$FZ$1,IF(S22+IF(M22="",0,M22)=FT22,$FD$1,IF(S22+IF(M22="",0,M22)=EX22,$EH$1,IF(S22+IF(M22="",0,M22)=EB22,$DL$1)))))))))))),IF(S22=DI22,IF(S22+IF(O22="",0,O22)=NK22,$MT$1,IF(S22+IF(O22="",0,O22)=MO22,$LX$1,IF(S22+IF(O22="",0,O22)=LS22,$LB$1,IF(S22+IF(O22="",0,O22)=KW22,$KF$1,IF(S22+IF(O22="",0,O22)=KA22,$JJ$1,IF(S22+IF(O22="",0,O22)=JE22,$IN$1,IF(S22+IF(O22="",0,O22)=II22,$HR$1,IF(S22+IF(O22="",0,O22)=HM22,$GV$1,IF(S22+IF(O22="",0,O22)=GQ22,$FZ$1,IF(S22+IF(O22="",0,O22)=FU22,$FD$1,IF(S22+IF(O22="",0,O22)=EY22,$EH$1,IF(S22+IF(O22="",0,O22)=EC22,$DL$1)))))))))))),IF(S22=DJ22,IF(S22+IF(K22="",0,K22)=NL22,$MT$1,IF(S22+IF(K22="",0,K22)=MP22,$LX$1,IF(S22+IF(K22="",0,K22)=LT22,$LB$1,IF(S22+IF(K22="",0,K22)=KX22,$KF$1,IF(S22+IF(K22="",0,K22)=KB22,$JJ$1,IF(S22+IF(K22="",0,K22)=JF22,$IN$1,IF(S22+IF(K22="",0,K22)=IJ22,$HR$1,IF(S22+IF(K22="",0,K22)=HN22,$GV$1,IF(S22+IF(K22="",0,K22)=GR22,$FZ$1,IF(S22+IF(K22="",0,K22)=FV22,$FD$1,IF(S22+IF(K22="",0,K22)=EZ22,$EH$1,IF(S22+IF(K22="",0,K22)=ED22,$DL$1)))))))))))),IF(S22=DK22,IF(S22+IF(Q22="",0,Q22)=NN22,$MT$1,IF(S22+IF(Q22="",0,Q22)=MR22,$LX$1,IF(S22+IF(Q22="",0,Q22)=LV22,$LB$1,IF(S22+IF(Q22="",0,Q22)=KZ22,$KF$1,IF(S22+IF(Q22="",0,Q22)=KD22,$JJ$1,IF(S22+IF(Q22="",0,Q22)=JH22,$IN$1,IF(S22+IF(Q22="",0,Q22)=IL22,$HR$1,IF(S22+IF(Q22="",0,Q22)=HP22,$GV$1,IF(S22+IF(Q22="",0,Q22)=GT22,$FZ$1,IF(S22+IF(Q22="",0,Q22)=FX22,$FD$1,IF(S22+IF(Q22="",0,Q22)=FB22,$EH$1,IF(S22+IF(Q22="",0,Q22)=EF22,$DL$1)))))))))))))))))</f>
        <v/>
      </c>
      <c r="V22" s="69">
        <v>17.600000000000001</v>
      </c>
      <c r="W22" s="69">
        <v>9.4499999999999993</v>
      </c>
      <c r="X22" s="69">
        <v>4</v>
      </c>
      <c r="Y22" s="69">
        <v>16.3</v>
      </c>
      <c r="Z22" s="69">
        <v>0</v>
      </c>
      <c r="AA22" s="69">
        <v>6.3</v>
      </c>
      <c r="AB22" s="69">
        <v>3.3</v>
      </c>
      <c r="AC22" s="69">
        <v>5.2</v>
      </c>
      <c r="AD22" s="69">
        <v>6.3650000000000002</v>
      </c>
      <c r="AE22" s="69">
        <v>0</v>
      </c>
      <c r="AF22" s="69"/>
      <c r="AG22" s="69"/>
      <c r="AH22" s="69"/>
      <c r="AI22" s="69"/>
      <c r="AJ22" s="69"/>
      <c r="AK22" s="69">
        <v>15.9</v>
      </c>
      <c r="AL22" s="69">
        <v>8.75</v>
      </c>
      <c r="AM22" s="69">
        <v>12.9</v>
      </c>
      <c r="AN22" s="69">
        <v>15.115</v>
      </c>
      <c r="AO22" s="69">
        <v>0.6</v>
      </c>
      <c r="AP22" s="80"/>
      <c r="AQ22" s="11">
        <f>IF(SUM(V22:Y22)-Z22&gt;0,SUM(V22:Y22)-Z22,"")</f>
        <v>47.35</v>
      </c>
      <c r="AR22" s="11">
        <f>IF(AC22&gt;0,AC22,"")</f>
        <v>5.2</v>
      </c>
      <c r="AS22" s="11">
        <f>IF(SUM(AA22:AD22)-AE22&gt;0,SUM(AA22:AD22)-AE22,"")</f>
        <v>21.164999999999999</v>
      </c>
      <c r="AT22" s="11" t="str">
        <f>IF(AH22&gt;0,AH22,"")</f>
        <v/>
      </c>
      <c r="AU22" s="11" t="str">
        <f>IF(SUM(AF22:AI22)-AJ22&gt;0,SUM(AF22:AI22)-AJ22,"")</f>
        <v/>
      </c>
      <c r="AV22" s="11">
        <f>IF(OR(AQ22&lt;&gt;"",AS22&lt;&gt;"",AU22&lt;&gt;""),AQ22+MAX(AS22,AU22),"")</f>
        <v>68.515000000000001</v>
      </c>
      <c r="AW22" s="11">
        <f>IF(AM22&gt;0,AM22,"")</f>
        <v>12.9</v>
      </c>
      <c r="AX22" s="11">
        <f>IF(SUM(AK22:AN22)-AO22&gt;0,SUM(AK22:AN22)-AO22,"")</f>
        <v>52.064999999999998</v>
      </c>
      <c r="AY22" s="11">
        <f>IF(SUM(AV22,AX22)&gt;0,SUM(AV22,AX22),"")</f>
        <v>120.58</v>
      </c>
      <c r="AZ22" s="75">
        <v>17.100000000000001</v>
      </c>
      <c r="BA22" s="75">
        <v>9.5</v>
      </c>
      <c r="BB22" s="75">
        <v>4</v>
      </c>
      <c r="BC22" s="75">
        <v>16.27</v>
      </c>
      <c r="BD22" s="75">
        <v>0</v>
      </c>
      <c r="BE22" s="75">
        <v>9</v>
      </c>
      <c r="BF22" s="75">
        <v>5.3</v>
      </c>
      <c r="BG22" s="75">
        <v>7.2</v>
      </c>
      <c r="BH22" s="75">
        <v>9.2149999999999999</v>
      </c>
      <c r="BI22" s="75">
        <v>0</v>
      </c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81"/>
      <c r="BU22" s="14">
        <f>IF(SUM(AZ22:BC22)-BD22&gt;0,SUM(AZ22:BC22)-BD22,"")</f>
        <v>46.870000000000005</v>
      </c>
      <c r="BV22" s="14">
        <f>IF(BG22&gt;0,BG22,"")</f>
        <v>7.2</v>
      </c>
      <c r="BW22" s="14">
        <f>IF(SUM(BE22:BH22)-BI22&gt;0,SUM(BE22:BH22)-BI22,"")</f>
        <v>30.715</v>
      </c>
      <c r="BX22" s="14" t="str">
        <f>IF(BL22&gt;0,BL22,"")</f>
        <v/>
      </c>
      <c r="BY22" s="14" t="str">
        <f>IF(SUM(BJ22:BM22)-BN22&gt;0,SUM(BJ22:BM22)-BN22,"")</f>
        <v/>
      </c>
      <c r="BZ22" s="14">
        <f>IF(BU22="",IF(MAX(BW22,BY22)&gt;0,MAX(BW22,BY22),""),MAX(BW22,BY22)+BU22)</f>
        <v>77.585000000000008</v>
      </c>
      <c r="CA22" s="14" t="str">
        <f>IF(BQ22&gt;0,BQ22,"")</f>
        <v/>
      </c>
      <c r="CB22" s="14" t="str">
        <f>IF(SUM(BO22:BR22)-BS22&gt;0,SUM(BO22:BR22)-BS22,"")</f>
        <v/>
      </c>
      <c r="CC22" s="14">
        <f>IF(SUM(BZ22,CB22)&gt;0,SUM(BZ22,CB22),"")</f>
        <v>77.585000000000008</v>
      </c>
      <c r="CD22" s="69"/>
      <c r="CE22" s="69"/>
      <c r="CF22" s="69"/>
      <c r="CG22" s="69"/>
      <c r="CH22" s="69"/>
      <c r="CI22" s="69"/>
      <c r="CJ22" s="69"/>
      <c r="CK22" s="69"/>
      <c r="CL22" s="69"/>
      <c r="CM22" s="69"/>
      <c r="CN22" s="69"/>
      <c r="CO22" s="69"/>
      <c r="CP22" s="69"/>
      <c r="CQ22" s="69"/>
      <c r="CR22" s="69"/>
      <c r="CS22" s="69"/>
      <c r="CT22" s="69"/>
      <c r="CU22" s="69"/>
      <c r="CV22" s="69"/>
      <c r="CW22" s="69"/>
      <c r="CX22" s="80"/>
      <c r="CY22" s="11" t="str">
        <f>IF(SUM(CD22:CG22)-CH22&gt;0,SUM(CD22:CG22)-CH22,"")</f>
        <v/>
      </c>
      <c r="CZ22" s="11" t="str">
        <f>IF(CK22&gt;0,CK22,"")</f>
        <v/>
      </c>
      <c r="DA22" s="11" t="str">
        <f>IF(SUM(CI22:CL22)-CM22&gt;0,SUM(CI22:CL22)-CM22,"")</f>
        <v/>
      </c>
      <c r="DB22" s="11" t="str">
        <f>IF(CP22&gt;0,CP22,"")</f>
        <v/>
      </c>
      <c r="DC22" s="11" t="str">
        <f>IF(SUM(CN22:CQ22)-CR22&gt;0,SUM(CN22:CQ22)-CR22,"")</f>
        <v/>
      </c>
      <c r="DD22" s="11" t="str">
        <f>IF(CY22="",IF(MAX(DA22,DC22)&gt;0,MAX(DA22,DC22),""),MAX(DA22,DC22)+CY22)</f>
        <v/>
      </c>
      <c r="DE22" s="11" t="str">
        <f>IF(CU22&gt;0,CU22,"")</f>
        <v/>
      </c>
      <c r="DF22" s="11" t="str">
        <f>IF(SUM(CS22:CV22)-CW22&gt;0,SUM(CS22:CV22)-CW22,"")</f>
        <v/>
      </c>
      <c r="DG22" s="11" t="str">
        <f>IF(SUM(DD22,DF22)&gt;0,SUM(DD22,DF22),"")</f>
        <v/>
      </c>
      <c r="DH22" s="24" t="str">
        <f>IF(MAX(EB22,EX22,FT22,GP22,HL22,IH22,JD22,JZ22,KV22,LR22,MN22,NJ22)-IF(M22="",0,M22)&gt;0.001,MAX(EB22,EX22,FT22,GP22,HL22,IH22,JD22,JZ22,KV22,LR22,MN22,NJ22)-IF(M22="",0,M22),"")</f>
        <v/>
      </c>
      <c r="DI22" s="24" t="str">
        <f>IF(MAX(EC22,EY22,FU22,GQ22,HM22,II22,JE22,KA22,KW22,LS22,MO22,NK22)-IF(O22="",0,O22)&gt;0.001,MAX(EC22,EY22,FU22,GQ22,HM22,II22,JE22,KA22,KW22,LS22,MO22,NK22)-IF(O22="",0,O22),"")</f>
        <v/>
      </c>
      <c r="DJ22" s="24" t="str">
        <f>IF(MAX(ED22,EZ22,FV22,GR22,HN22,IJ22,JF22,KB22,KX22,LT22,MP22,NL22)-IF(K22="",0,K22)&gt;0.001,MAX(ED22,EZ22,FV22,GR22,HN22,IJ22,JF22,KB22,KX22,LT22,MP22,NL22)-IF(K22="",0,K22),"")</f>
        <v/>
      </c>
      <c r="DK22" s="24" t="str">
        <f>IF(MAX(EF22,FB22,FX22,GT22,HP22,IL22,JH22,KD22,KZ22,LV22,MR22,NN22)-IF(Q22="",0,Q22)&gt;0.001,MAX(EF22,FB22,FX22,GT22,HP22,IL22,JH22,KD22,KZ22,LV22,MR22,NN22)-IF(Q22="",0,Q22),"")</f>
        <v/>
      </c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11" t="str">
        <f>IF(DS22&gt;0,DS22,"")</f>
        <v/>
      </c>
      <c r="EB22" s="11" t="str">
        <f>IF(SUM(DL22:DO22)-DP22&gt;0,SUM(DL22:DO22)-DP22,"")</f>
        <v/>
      </c>
      <c r="EC22" s="11" t="str">
        <f>IF(SUM(DQ22:DT22)-DU22&gt;0,SUM(DQ22:DT22)-DU22,"")</f>
        <v/>
      </c>
      <c r="ED22" s="11" t="str">
        <f>IF(SUM(EB22:EC22)&gt;0,SUM(EB22:EC22),"")</f>
        <v/>
      </c>
      <c r="EE22" s="11" t="str">
        <f>IF(DX22&gt;0,DX22,"")</f>
        <v/>
      </c>
      <c r="EF22" s="11" t="str">
        <f>IF(SUM(DV22:DY22)-DZ22&gt;0,SUM(DV22:DY22)-DZ22,"")</f>
        <v/>
      </c>
      <c r="EG22" s="11" t="str">
        <f>IF(SUM(ED22,EF22)&gt;0,SUM(ED22,EF22),"")</f>
        <v/>
      </c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14" t="str">
        <f>IF(EO22&gt;0,EO22,"")</f>
        <v/>
      </c>
      <c r="EX22" s="14" t="str">
        <f>IF(SUM(EH22:EK22)-EL22&gt;0,SUM(EH22:EK22)-EL22,"")</f>
        <v/>
      </c>
      <c r="EY22" s="14" t="str">
        <f>IF(SUM(EM22:EP22)-EQ22&gt;0,SUM(EM22:EP22)-EQ22,"")</f>
        <v/>
      </c>
      <c r="EZ22" s="14" t="str">
        <f>IF(SUM(EX22:EY22)&gt;0,SUM(EX22:EY22),"")</f>
        <v/>
      </c>
      <c r="FA22" s="14" t="str">
        <f>IF(ET22&gt;0,ET22,"")</f>
        <v/>
      </c>
      <c r="FB22" s="14" t="str">
        <f>IF(SUM(ER22:EU22)-EV22&gt;0,SUM(ER22:EU22)-EV22,"")</f>
        <v/>
      </c>
      <c r="FC22" s="14" t="str">
        <f>IF(SUM(EZ22,FB22)&gt;0,SUM(EZ22,FB22),"")</f>
        <v/>
      </c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11" t="str">
        <f>IF(FK22&gt;0,FK22,"")</f>
        <v/>
      </c>
      <c r="FT22" s="11" t="str">
        <f>IF(SUM(FD22:FG22)-FH22&gt;0,SUM(FD22:FG22)-FH22,"")</f>
        <v/>
      </c>
      <c r="FU22" s="11" t="str">
        <f>IF(SUM(FI22:FL22)-FM22&gt;0,SUM(FI22:FL22)-FM22,"")</f>
        <v/>
      </c>
      <c r="FV22" s="11" t="str">
        <f>IF(SUM(FT22:FU22)&gt;0,SUM(FT22:FU22),"")</f>
        <v/>
      </c>
      <c r="FW22" s="11" t="str">
        <f>IF(FP22&gt;0,FP22,"")</f>
        <v/>
      </c>
      <c r="FX22" s="11" t="str">
        <f>IF(SUM(FN22:FQ22)-FR22&gt;0,SUM(FN22:FQ22)-FR22,"")</f>
        <v/>
      </c>
      <c r="FY22" s="11" t="str">
        <f>IF(SUM(FV22,FX22)&gt;0,SUM(FV22,FX22),"")</f>
        <v/>
      </c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14" t="str">
        <f>IF(GG22&gt;0,GG22,"")</f>
        <v/>
      </c>
      <c r="GP22" s="14" t="str">
        <f>IF(SUM(FZ22:GC22)-GD22&gt;0,SUM(FZ22:GC22)-GD22,"")</f>
        <v/>
      </c>
      <c r="GQ22" s="14" t="str">
        <f>IF(SUM(GE22:GH22)-GI22&gt;0,SUM(GE22:GH22)-GI22,"")</f>
        <v/>
      </c>
      <c r="GR22" s="14" t="str">
        <f>IF(SUM(GP22:GQ22)&gt;0,SUM(GP22:GQ22),"")</f>
        <v/>
      </c>
      <c r="GS22" s="14" t="str">
        <f>IF(GL22&gt;0,GL22,"")</f>
        <v/>
      </c>
      <c r="GT22" s="14" t="str">
        <f>IF(SUM(GJ22:GM22)-GN22&gt;0,SUM(GJ22:GM22)-GN22,"")</f>
        <v/>
      </c>
      <c r="GU22" s="14" t="str">
        <f>IF(SUM(GR22,GT22)&gt;0,SUM(GR22,GT22),"")</f>
        <v/>
      </c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11" t="str">
        <f>IF(HC22&gt;0,HC22,"")</f>
        <v/>
      </c>
      <c r="HL22" s="11" t="str">
        <f>IF(SUM(GV22:GY22)-GZ22&gt;0,SUM(GV22:GY22)-GZ22,"")</f>
        <v/>
      </c>
      <c r="HM22" s="11" t="str">
        <f>IF(SUM(HA22:HD22)-HE22&gt;0,SUM(HA22:HD22)-HE22,"")</f>
        <v/>
      </c>
      <c r="HN22" s="11" t="str">
        <f>IF(SUM(HL22:HM22)&gt;0,SUM(HL22:HM22),"")</f>
        <v/>
      </c>
      <c r="HO22" s="11" t="str">
        <f>IF(HH22&gt;0,HH22,"")</f>
        <v/>
      </c>
      <c r="HP22" s="11" t="str">
        <f>IF(SUM(HF22:HI22)-HJ22&gt;0,SUM(HF22:HI22)-HJ22,"")</f>
        <v/>
      </c>
      <c r="HQ22" s="11" t="str">
        <f>IF(SUM(HN22,HP22)&gt;0,SUM(HN22,HP22),"")</f>
        <v/>
      </c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14" t="str">
        <f>IF(HY22&gt;0,HY22,"")</f>
        <v/>
      </c>
      <c r="IH22" s="14" t="str">
        <f>IF(SUM(HR22:HU22)-HV22&gt;0,SUM(HR22:HU22)-HV22,"")</f>
        <v/>
      </c>
      <c r="II22" s="14" t="str">
        <f>IF(SUM(HW22:HZ22)-IA22&gt;0,SUM(HW22:HZ22)-IA22,"")</f>
        <v/>
      </c>
      <c r="IJ22" s="14" t="str">
        <f>IF(SUM(IH22:II22)&gt;0,SUM(IH22:II22),"")</f>
        <v/>
      </c>
      <c r="IK22" s="14" t="str">
        <f>IF(ID22&gt;0,ID22,"")</f>
        <v/>
      </c>
      <c r="IL22" s="14" t="str">
        <f>IF(SUM(IB22:IE22)-IF22&gt;0,SUM(IB22:IE22)-IF22,"")</f>
        <v/>
      </c>
      <c r="IM22" s="14" t="str">
        <f>IF(SUM(IJ22,IL22)&gt;0,SUM(IJ22,IL22),"")</f>
        <v/>
      </c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11" t="str">
        <f>IF(IU22&gt;0,IU22,"")</f>
        <v/>
      </c>
      <c r="JD22" s="11" t="str">
        <f>IF(SUM(IN22:IQ22)-IR22&gt;0,SUM(IN22:IQ22)-IR22,"")</f>
        <v/>
      </c>
      <c r="JE22" s="11" t="str">
        <f>IF(SUM(IS22:IV22)-IW22&gt;0,SUM(IS22:IV22)-IW22,"")</f>
        <v/>
      </c>
      <c r="JF22" s="11" t="str">
        <f>IF(SUM(JD22:JE22)&gt;0,SUM(JD22:JE22),"")</f>
        <v/>
      </c>
      <c r="JG22" s="11" t="str">
        <f>IF(IZ22&gt;0,IZ22,"")</f>
        <v/>
      </c>
      <c r="JH22" s="11" t="str">
        <f>IF(SUM(IX22:JA22)-JB22&gt;0,SUM(IX22:JA22)-JB22,"")</f>
        <v/>
      </c>
      <c r="JI22" s="11" t="str">
        <f>IF(SUM(JF22,JH22)&gt;0,SUM(JF22,JH22),"")</f>
        <v/>
      </c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14" t="str">
        <f>IF(JQ22&gt;0,JQ22,"")</f>
        <v/>
      </c>
      <c r="JZ22" s="14" t="str">
        <f>IF(SUM(JJ22:JM22)-JN22&gt;0,SUM(JJ22:JM22)-JN22,"")</f>
        <v/>
      </c>
      <c r="KA22" s="14" t="str">
        <f>IF(SUM(JO22:JR22)-JS22&gt;0,SUM(JO22:JR22)-JS22,"")</f>
        <v/>
      </c>
      <c r="KB22" s="14" t="str">
        <f>IF(SUM(JZ22:KA22)&gt;0,SUM(JZ22:KA22),"")</f>
        <v/>
      </c>
      <c r="KC22" s="14" t="str">
        <f>IF(JV22&gt;0,JV22,"")</f>
        <v/>
      </c>
      <c r="KD22" s="14" t="str">
        <f>IF(SUM(JT22:JW22)-JX22&gt;0,SUM(JT22:JW22)-JX22,"")</f>
        <v/>
      </c>
      <c r="KE22" s="14" t="str">
        <f>IF(SUM(KB22,KD22)&gt;0,SUM(KB22,KD22),"")</f>
        <v/>
      </c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11" t="str">
        <f>IF(KM22&gt;0,KM22,"")</f>
        <v/>
      </c>
      <c r="KV22" s="11" t="str">
        <f>IF(SUM(KF22:KI22)-KJ22&gt;0,SUM(KF22:KI22)-KJ22,"")</f>
        <v/>
      </c>
      <c r="KW22" s="11" t="str">
        <f>IF(SUM(KK22:KN22)-KO22&gt;0,SUM(KK22:KN22)-KO22,"")</f>
        <v/>
      </c>
      <c r="KX22" s="11" t="str">
        <f>IF(SUM(KV22:KW22)&gt;0,SUM(KV22:KW22),"")</f>
        <v/>
      </c>
      <c r="KY22" s="11" t="str">
        <f>IF(KR22&gt;0,KR22,"")</f>
        <v/>
      </c>
      <c r="KZ22" s="11" t="str">
        <f>IF(SUM(KP22:KS22)-KT22&gt;0,SUM(KP22:KS22)-KT22,"")</f>
        <v/>
      </c>
      <c r="LA22" s="11" t="str">
        <f>IF(SUM(KX22,KZ22)&gt;0,SUM(KX22,KZ22),"")</f>
        <v/>
      </c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14" t="str">
        <f>IF(LI22&gt;0,LI22,"")</f>
        <v/>
      </c>
      <c r="LR22" s="14" t="str">
        <f>IF(SUM(LB22:LE22)-LF22&gt;0,SUM(LB22:LE22)-LF22,"")</f>
        <v/>
      </c>
      <c r="LS22" s="14" t="str">
        <f>IF(SUM(LG22:LJ22)-LK22&gt;0,SUM(LG22:LJ22)-LK22,"")</f>
        <v/>
      </c>
      <c r="LT22" s="14" t="str">
        <f>IF(SUM(LR22:LS22)&gt;0,SUM(LR22:LS22),"")</f>
        <v/>
      </c>
      <c r="LU22" s="14" t="str">
        <f>IF(LN22&gt;0,LN22,"")</f>
        <v/>
      </c>
      <c r="LV22" s="14" t="str">
        <f>IF(SUM(LL22:LO22)-LP22&gt;0,SUM(LL22:LO22)-LP22,"")</f>
        <v/>
      </c>
      <c r="LW22" s="14" t="str">
        <f>IF(SUM(LT22,LV22)&gt;0,SUM(LT22,LV22),"")</f>
        <v/>
      </c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11" t="str">
        <f>IF(ME22&gt;0,ME22,"")</f>
        <v/>
      </c>
      <c r="MN22" s="11" t="str">
        <f>IF(SUM(LX22:MA22)-MB22&gt;0,SUM(LX22:MA22)-MB22,"")</f>
        <v/>
      </c>
      <c r="MO22" s="11" t="str">
        <f>IF(SUM(MC22:MF22)-MG22&gt;0,SUM(MC22:MF22)-MG22,"")</f>
        <v/>
      </c>
      <c r="MP22" s="11" t="str">
        <f>IF(SUM(MN22:MO22)&gt;0,SUM(MN22:MO22),"")</f>
        <v/>
      </c>
      <c r="MQ22" s="11" t="str">
        <f>IF(MJ22&gt;0,MJ22,"")</f>
        <v/>
      </c>
      <c r="MR22" s="11" t="str">
        <f>IF(SUM(MH22:MK22)-ML22&gt;0,SUM(MH22:MK22)-ML22,"")</f>
        <v/>
      </c>
      <c r="MS22" s="11" t="str">
        <f>IF(SUM(MP22,MR22)&gt;0,SUM(MP22,MR22),"")</f>
        <v/>
      </c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14" t="str">
        <f>IF(NA22&gt;0,NA22,"")</f>
        <v/>
      </c>
      <c r="NJ22" s="14" t="str">
        <f>IF(SUM(MT22:MW22)-MX22&gt;0,SUM(MT22:MW22)-MX22,"")</f>
        <v/>
      </c>
      <c r="NK22" s="14" t="str">
        <f>IF(SUM(MY22:NB22)-NC22&gt;0,SUM(MY22:NB22)-NC22,"")</f>
        <v/>
      </c>
      <c r="NL22" s="14" t="str">
        <f>IF(SUM(NJ22:NK22)&gt;0,SUM(NJ22:NK22),"")</f>
        <v/>
      </c>
      <c r="NM22" s="14" t="str">
        <f>IF(NF22&gt;0,NF22,"")</f>
        <v/>
      </c>
      <c r="NN22" s="14" t="str">
        <f>IF(SUM(ND22:NG22)-NH22&gt;0,SUM(ND22:NG22)-NH22,"")</f>
        <v/>
      </c>
      <c r="NO22" s="14" t="str">
        <f>IF(SUM(NL22,NN22)&gt;0,SUM(NL22,NN22),"")</f>
        <v/>
      </c>
      <c r="NP22" s="69">
        <f>IF($CX22="P",CD22,(CD22+AZ22)/2)</f>
        <v>8.5500000000000007</v>
      </c>
      <c r="NQ22" s="69">
        <f>IF($CX22="P",CE22,(CE22+BA22)/2)</f>
        <v>4.75</v>
      </c>
      <c r="NR22" s="69">
        <f>IF($CX22="P",CF22,(CF22+BB22)/2)</f>
        <v>2</v>
      </c>
      <c r="NS22" s="69">
        <f>IF($CX22="P",CG22,(CG22+BC22)/2)</f>
        <v>8.1349999999999998</v>
      </c>
      <c r="NT22" s="69">
        <f>IF($CX22="P",CH22,(CH22+BD22)/2)</f>
        <v>0</v>
      </c>
      <c r="NU22" s="69">
        <f>IF($CX22="P",CI22,(CI22+BE22)/2)</f>
        <v>4.5</v>
      </c>
      <c r="NV22" s="69">
        <f>IF($CX22="P",CJ22,(CJ22+BF22)/2)</f>
        <v>2.65</v>
      </c>
      <c r="NW22" s="69">
        <f>IF($CX22="P",CK22,(CK22+BG22)/2)</f>
        <v>3.6</v>
      </c>
      <c r="NX22" s="69">
        <f>IF($CX22="P",CL22,(CL22+BH22)/2)</f>
        <v>4.6074999999999999</v>
      </c>
      <c r="NY22" s="69">
        <f>IF($CX22="P",CM22,(CM22+BI22)/2)</f>
        <v>0</v>
      </c>
      <c r="NZ22" s="69">
        <f>IF($CX22="P",CN22,(CN22+BJ22)/2)</f>
        <v>0</v>
      </c>
      <c r="OA22" s="69">
        <f>IF($CX22="P",CO22,(CO22+BK22)/2)</f>
        <v>0</v>
      </c>
      <c r="OB22" s="69">
        <f>IF($CX22="P",CP22,(CP22+BL22)/2)</f>
        <v>0</v>
      </c>
      <c r="OC22" s="69">
        <f>IF($CX22="P",CQ22,(CQ22+BM22)/2)</f>
        <v>0</v>
      </c>
      <c r="OD22" s="69">
        <f>IF($CX22="P",CR22,(CR22+BN22)/2)</f>
        <v>0</v>
      </c>
      <c r="OE22" s="69">
        <f>IF($CX22="P",CS22,(CS22+BO22)/2)</f>
        <v>0</v>
      </c>
      <c r="OF22" s="69">
        <f>IF($CX22="P",CT22,(CT22+BP22)/2)</f>
        <v>0</v>
      </c>
      <c r="OG22" s="69">
        <f>IF($CX22="P",CU22,(CU22+BQ22)/2)</f>
        <v>0</v>
      </c>
      <c r="OH22" s="69">
        <f>IF($CX22="P",CV22,(CV22+BR22)/2)</f>
        <v>0</v>
      </c>
      <c r="OI22" s="69">
        <f>IF($CX22="P",CW22,(CW22+BS22)/2)</f>
        <v>0</v>
      </c>
      <c r="OJ22" s="80" t="s">
        <v>91</v>
      </c>
      <c r="OK22" s="11">
        <f>IF(SUM(NP22:NS22)-NT22&gt;0,SUM(NP22:NS22)-NT22,"")</f>
        <v>23.435000000000002</v>
      </c>
      <c r="OL22" s="11">
        <f>IF(NW22&gt;0,NW22,"")</f>
        <v>3.6</v>
      </c>
      <c r="OM22" s="11">
        <f>IF(SUM(NU22:NX22)-NY22&gt;0,SUM(NU22:NX22)-NY22,"")</f>
        <v>15.3575</v>
      </c>
      <c r="ON22" s="11" t="str">
        <f>IF(OB22&gt;0,OB22,"")</f>
        <v/>
      </c>
      <c r="OO22" s="11" t="str">
        <f>IF(SUM(NZ22:OC22)-OD22&gt;0,SUM(NZ22:OC22)-OD22,"")</f>
        <v/>
      </c>
      <c r="OP22" s="11">
        <f>IF(OR(OK22&lt;&gt;"",OM22&lt;&gt;"",OO22&lt;&gt;""),OK22+MAX(OM22,OO22),"")</f>
        <v>38.792500000000004</v>
      </c>
      <c r="OQ22" s="11" t="str">
        <f>IF(OG22&gt;0,OG22,"")</f>
        <v/>
      </c>
      <c r="OR22" s="11" t="str">
        <f t="shared" si="0"/>
        <v/>
      </c>
      <c r="OS22" s="11">
        <f t="shared" si="1"/>
        <v>38.792500000000004</v>
      </c>
    </row>
    <row r="23" spans="1:409" x14ac:dyDescent="0.2">
      <c r="A23" s="5" t="str" cm="1">
        <f t="array" ref="A23">IF(AND(G23&lt;&gt;"",H23&lt;&gt;""),SUMPRODUCT((G$4:G$25&lt;&gt;"")*(H$4:H$25&lt;&gt;"")*(E$4:E$25&gt;E23))+1,IF(H23&lt;&gt;"",SUMPRODUCT((I$4:I$25="No DD")*(E$4:E$25&gt;E23))+1+SUMPRODUCT((G$4:G$25&lt;&gt;"")*(H$4:H$25&lt;&gt;"")),""))</f>
        <v/>
      </c>
      <c r="B23" s="6" t="s">
        <v>128</v>
      </c>
      <c r="C23" s="7" t="s">
        <v>10</v>
      </c>
      <c r="D23" s="27">
        <v>2000</v>
      </c>
      <c r="E23" s="15">
        <f>SUM(K23:S23)</f>
        <v>134.73499999999999</v>
      </c>
      <c r="F23" s="3" t="str">
        <f>IF(G23&lt;&gt;"","P","")</f>
        <v/>
      </c>
      <c r="G23" s="125" t="str">
        <f>IF(OR(AND(AR23&gt;=AY$30,AR23&lt;&gt;"",AP23=""),AND(AT23&gt;=AY$30,AT23&lt;&gt;"",AP23=""),AND(AW23&gt;=AY$30,AW23&lt;&gt;"",AP23=""),AND(BV23&gt;=CC$30,BV23&lt;&gt;"",BT23=""),AND(BX23&gt;=CC$30,BX23&lt;&gt;"",BT23=""),AND(CA23&gt;=CC$30,CA23&lt;&gt;"",BT23=""),AND(CZ23&gt;=DG$30,CZ23&lt;&gt;"",CX23=""),AND(DB23&gt;=DG$30,DB23&lt;&gt;"",CX23=""),AND(DE23&gt;=DG$30,DE23&lt;&gt;"",CX23=""),AND(EA23&gt;=EG$30,EA23&lt;&gt;""),AND(EE23&gt;=EG$30,EE23&lt;&gt;""),AND(EW23&gt;=FC$30,EW23&lt;&gt;""),AND(FA23&gt;=FC$30,FA23&lt;&gt;""),AND(FS23&gt;=FY$30,FS23&lt;&gt;""),AND(FW23&gt;=FY$30,FW23&lt;&gt;""),AND(GO23&gt;=GU$30,GO23&lt;&gt;""),AND(GS23&gt;=GU$30,GS23&lt;&gt;""),AND(HK23&gt;=HQ$30,HK23&lt;&gt;""),AND(HO23&gt;=HQ$30,HO23&lt;&gt;""),AND(IG23&gt;=IM$30,IG23&lt;&gt;""),AND(IK23&gt;=IM$30,IK23&lt;&gt;""),AND(JC23&gt;=JI$30,JC23&lt;&gt;""),AND(JG23&gt;=JI$30,JG23&lt;&gt;""),AND(JY23&gt;=KE$30,JY23&lt;&gt;""),AND(KC23&gt;=KE$30,KC23&lt;&gt;""),AND(KU23&gt;=LA$30,KU23&lt;&gt;""),AND(KY23&gt;=LA$30,KY23&lt;&gt;""),AND(LQ23&gt;=LW$30,LQ23&lt;&gt;""),AND(LU23&gt;=LW$30,LU23&lt;&gt;""),AND(MM23&gt;=MS$30,MM23&lt;&gt;""),AND(MQ23&gt;=MS$30,MQ23&lt;&gt;""),AND(NI23&gt;=NO$30,NI23&lt;&gt;""),AND(NM23&gt;=NO$30,NM23&lt;&gt;"")),"Merit",IF(OR(AND(AR23&gt;=AY$29,AR23&lt;&gt;"",AP23=""),AND(AT23&gt;=AY$29,AT23&lt;&gt;"",AP23=""),AND(AW23&gt;=AY$29,AW23&lt;&gt;"",AP23=""),AND(BV23&gt;=CC$29,BV23&lt;&gt;"",BT23=""),AND(BX23&gt;=CC$29,BX23&lt;&gt;"",BT23=""),AND(CA23&gt;=CC$29,CA23&lt;&gt;"",BT23=""),AND(CZ23&gt;=DG$29,CZ23&lt;&gt;"",CX23=""),AND(DB23&gt;=DG$29,DB23&lt;&gt;"",CX23=""),AND(DE23&gt;=DG$29,DE23&lt;&gt;"",CX23=""),AND(EA23&gt;=EG$29,EA23&lt;&gt;""),AND(EE23&gt;=EG$29,EE23&lt;&gt;""),AND(EW23&gt;=FC$29,EW23&lt;&gt;""),AND(FA23&gt;=FC$29,FA23&lt;&gt;""),AND(FS23&gt;=FY$29,FS23&lt;&gt;""),AND(FW23&gt;=FY$29,FW23&lt;&gt;""),AND(GO23&gt;=GU$29,GO23&lt;&gt;""),AND(GS23&gt;=GU$29,GS23&lt;&gt;""),AND(HK23&gt;=HQ$29,HK23&lt;&gt;""),AND(HO23&gt;=HQ$29,HO23&lt;&gt;""),AND(IG23&gt;=IM$29,IG23&lt;&gt;""),AND(IK23&gt;=IM$29,IK23&lt;&gt;""),AND(JC23&gt;=JI$29,JC23&lt;&gt;""),AND(JG23&gt;=JI$29,JG23&lt;&gt;""),AND(JY23&gt;=KE$29,JY23&lt;&gt;""),AND(KC23&gt;=KE$29,KC23&lt;&gt;""),AND(KU23&gt;=LA$29,KU23&lt;&gt;""),AND(KY23&gt;=LA$29,KY23&lt;&gt;""),AND(LQ23&gt;=LW$29,LQ23&lt;&gt;""),AND(LU23&gt;=LW$29,LU23&lt;&gt;""),AND(MM23&gt;=MS$29,MM23&lt;&gt;""),AND(MQ23&gt;=MS$29,MQ23&lt;&gt;""),AND(NI23&gt;=NO$29,NI23&lt;&gt;""),AND(NM23&gt;=NO$29,NM23&lt;&gt;"")),"Excellence",IF(OR(AND(AR23&gt;=AY$28,AR23&lt;&gt;"",AP23=""),AND(AT23&gt;=AY$28,AT23&lt;&gt;"",AP23=""),AND(AW23&gt;=AY$28,AW23&lt;&gt;"",AP23=""),AND(BV23&gt;=CC$28,BV23&lt;&gt;"",BT23=""),AND(BX23&gt;=CC$28,BX23&lt;&gt;"",BT23=""),AND(CA23&gt;=CC$28,CA23&lt;&gt;"",BT23=""),AND(CZ23&gt;=DG$28,CZ23&lt;&gt;"",CX23=""),AND(DB23&gt;=DG$28,DB23&lt;&gt;"",CX23=""),AND(DE23&gt;=DG$28,DE23&lt;&gt;"",CX23=""),AND(EA23&gt;=EG$28,EA23&lt;&gt;""),AND(EE23&gt;=EG$28,EE23&lt;&gt;""),AND(EW23&gt;=FC$28,EW23&lt;&gt;""),AND(FA23&gt;=FC$28,FA23&lt;&gt;""),AND(FS23&gt;=FY$28,FS23&lt;&gt;""),AND(FW23&gt;=FY$28,FW23&lt;&gt;""),AND(GO23&gt;=GU$28,GO23&lt;&gt;""),AND(GS23&gt;=GU$28,GS23&lt;&gt;""),AND(HK23&gt;=HQ$28,HK23&lt;&gt;""),AND(HO23&gt;=HQ$28,HO23&lt;&gt;""),AND(IG23&gt;=IM$28,IG23&lt;&gt;""),AND(IK23&gt;=IM$28,IK23&lt;&gt;""),AND(JC23&gt;=JI$28,JC23&lt;&gt;""),AND(JG23&gt;=JI$28,JG23&lt;&gt;""),AND(JY23&gt;=KE$28,JY23&lt;&gt;""),AND(KC23&gt;=KE$28,KC23&lt;&gt;""),AND(KU23&gt;=LA$28,KU23&lt;&gt;""),AND(KY23&gt;=LA$28,KY23&lt;&gt;""),AND(LQ23&gt;=LW$28,LQ23&lt;&gt;""),AND(LU23&gt;=LW$28,LU23&lt;&gt;""),AND(MM23&gt;=MS$28,MM23&lt;&gt;""),AND(MQ23&gt;=MS$28,MQ23&lt;&gt;""),AND(NI23&gt;=NO$28,NI23&lt;&gt;""),AND(NM23&gt;=NO$28,NM23&lt;&gt;"")),"Worlds Team",IF(OR(AND(AR23&gt;=AY$27,AR23&lt;&gt;"",AP23=""),AND(AT23&gt;=AY$27,AT23&lt;&gt;"",AP23=""),AND(AW23&gt;=AY$27,AW23&lt;&gt;"",AP23=""),AND(BV23&gt;=CC$27,BV23&lt;&gt;"",BT23=""),AND(BX23&gt;=CC$27,BX23&lt;&gt;"",BT23=""),AND(CA23&gt;=CC$27,CA23&lt;&gt;"",BT23=""),AND(CZ23&gt;=DG$27,CZ23&lt;&gt;"",CX23=""),AND(DB23&gt;=DG$27,DB23&lt;&gt;"",CX23=""),AND(DE23&gt;=DG$27,DE23&lt;&gt;"",CX23=""),AND(EA23&gt;=EG$27,EA23&lt;&gt;""),AND(EE23&gt;=EG$27,EE23&lt;&gt;""),AND(EW23&gt;=FC$27,EW23&lt;&gt;""),AND(FA23&gt;=FC$27,FA23&lt;&gt;""),AND(FS23&gt;=FY$27,FS23&lt;&gt;""),AND(FW23&gt;=FY$27,FW23&lt;&gt;""),AND(GO23&gt;=GU$27,GO23&lt;&gt;""),AND(GS23&gt;=GU$27,GS23&lt;&gt;""),AND(HK23&gt;=HQ$27,HK23&lt;&gt;""),AND(HO23&gt;=HQ$27,HO23&lt;&gt;""),AND(IG23&gt;=IM$27,IG23&lt;&gt;""),AND(IK23&gt;=IM$27,IK23&lt;&gt;""),AND(JC23&gt;=JI$27,JC23&lt;&gt;""),AND(JG23&gt;=JI$27,JG23&lt;&gt;""),AND(JY23&gt;=KE$27,JY23&lt;&gt;""),AND(KC23&gt;=KE$27,KC23&lt;&gt;""),AND(KU23&gt;=LA$27,KU23&lt;&gt;""),AND(KY23&gt;=LA$27,KY23&lt;&gt;""),AND(LQ23&gt;=LW$27,LQ23&lt;&gt;""),AND(LU23&gt;=LW$27,LU23&lt;&gt;""),AND(MM23&gt;=MS$27,MM23&lt;&gt;""),AND(MQ23&gt;=MS$27,MQ23&lt;&gt;""),AND(NI23&gt;=NO$27,NI23&lt;&gt;""),AND(NM23&gt;=NO$27,NM23&lt;&gt;"")),"National Team",""))))</f>
        <v/>
      </c>
      <c r="H23" s="125" t="str">
        <f>IF(OR(AND(AS23&gt;=AY$34,AS23&lt;&gt;"",AP23=""),AND(AU23&gt;=AY$34,AU23&lt;&gt;"",AP23=""),AND(AX23&gt;=AY$34,AX23&lt;&gt;"",AP23=""),AND(BW23&gt;=CC$34,BW23&lt;&gt;"",BT23=""),AND(BY23&gt;=CC$34,BY23&lt;&gt;"",BT23=""),AND(CB23&gt;=CC$34,CB23&lt;&gt;"",BT23=""),AND(DA23&gt;=DG$34,DA23&lt;&gt;"",CX23=""),AND(DC23&gt;=DG$34,DC23&lt;&gt;"",CX23=""),AND(DF23&gt;=DG$34,DF23&lt;&gt;"",CX23=""),AND(EC23&gt;=EG$34,EC23&lt;&gt;""),AND(EF23&gt;=EG$34,EF23&lt;&gt;""),AND(EY23&gt;=FC$34,EY23&lt;&gt;""),AND(FB23&gt;=FC$34,FB23&lt;&gt;""),AND(FU23&gt;=FY$34,FU23&lt;&gt;""),AND(FX23&gt;=FY$34,FX23&lt;&gt;""),AND(GQ23&gt;=GU$34,GQ23&lt;&gt;""),AND(GT23&gt;=GU$34,GT23&lt;&gt;""),AND(HM23&gt;=HQ$34,HM23&lt;&gt;""),AND(HP23&gt;=HQ$34,HP23&lt;&gt;""),AND(II23&gt;=IM$34,II23&lt;&gt;""),AND(IL23&gt;=IM$34,IL23&lt;&gt;""),AND(JE23&gt;=JI$34,JE23&lt;&gt;""),AND(JH23&gt;=JI$34,JH23&lt;&gt;""),AND(KA23&gt;=KE$34,KA23&lt;&gt;""),AND(KD23&gt;=KE$34,KD23&lt;&gt;""),AND(KW23&gt;=LA$34,KW23&lt;&gt;""),AND(KZ23&gt;=LA$34,KZ23&lt;&gt;""),AND(LS23&gt;=LW$34,LS23&lt;&gt;""),AND(LV23&gt;=LW$34,LV23&lt;&gt;""),AND(MO23&gt;=MS$34,MO23&lt;&gt;""),AND(MR23&gt;=MS$34,MR23&lt;&gt;""),AND(NK23&gt;=NO$34,NK23&lt;&gt;""),AND(NN23&gt;=NO$34,NN23&lt;&gt;"")),"Merit",IF(OR(AND(AS23&gt;=AY$33,AS23&lt;&gt;"",AP23=""),AND(AU23&gt;=AY$33,AU23&lt;&gt;"",AP23=""),AND(AX23&gt;=AY$33,AX23&lt;&gt;"",AP23=""),AND(BW23&gt;=CC$33,BW23&lt;&gt;"",BT23=""),AND(BY23&gt;=CC$33,BY23&lt;&gt;"",BT23=""),AND(CB23&gt;=CC$33,CB23&lt;&gt;"",BT23=""),AND(DA23&gt;=DG$33,DA23&lt;&gt;"",CX23=""),AND(DC23&gt;=DG$33,DC23&lt;&gt;"",CX23=""),AND(DF23&gt;=DG$33,DF23&lt;&gt;"",CX23=""),AND(EC23&gt;=EG$33,EC23&lt;&gt;""),AND(EF23&gt;=EG$33,EF23&lt;&gt;""),AND(EY23&gt;=FC$33,EY23&lt;&gt;""),AND(FB23&gt;=FC$33,FB23&lt;&gt;""),AND(FU23&gt;=FY$33,FU23&lt;&gt;""),AND(FX23&gt;=FY$33,FX23&lt;&gt;""),AND(GQ23&gt;=GU$33,GQ23&lt;&gt;""),AND(GT23&gt;=GU$33,GT23&lt;&gt;""),AND(HM23&gt;=HQ$33,HM23&lt;&gt;""),AND(HP23&gt;=HQ$33,HP23&lt;&gt;""),AND(II23&gt;=IM$33,II23&lt;&gt;""),AND(IL23&gt;=IM$33,IL23&lt;&gt;""),AND(JE23&gt;=JI$33,JE23&lt;&gt;""),AND(JH23&gt;=JI$33,JH23&lt;&gt;""),AND(KA23&gt;=KE$33,KA23&lt;&gt;""),AND(KD23&gt;=KE$33,KD23&lt;&gt;""),AND(KW23&gt;=LA$33,KW23&lt;&gt;""),AND(KZ23&gt;=LA$33,KZ23&lt;&gt;""),AND(LS23&gt;=LW$33,LS23&lt;&gt;""),AND(LV23&gt;=LW$33,LV23&lt;&gt;""),AND(MO23&gt;=MS$33,MO23&lt;&gt;""),AND(MR23&gt;=MS$33,MR23&lt;&gt;""),AND(NK23&gt;=NO$33,NK23&lt;&gt;""),AND(NN23&gt;=NO$33,NN23&lt;&gt;"")),"Excellence",IF(OR(AND(AV23&gt;=AY$32,AV23&lt;&gt;"",AP23=""),AND(BZ23&gt;=CC$32,BZ23&lt;&gt;"",BT23=""),AND(DD23&gt;=DG$32,DD23&lt;&gt;"",CX23=""),AND(ED23&gt;=EG$32,ED23&lt;&gt;""),AND(EZ23&gt;=FC$32,EZ23&lt;&gt;""),AND(FV23&gt;=FY$32,FV23&lt;&gt;""),AND(GR23&gt;=GU$32,GR23&lt;&gt;""),AND(HN23&gt;=HQ$32,HN23&lt;&gt;""),AND(IJ23&gt;=IM$32,IJ23&lt;&gt;""),AND(JF23&gt;=JI$32,JF23&lt;&gt;""),AND(KB23&gt;=KE$32,KB23&lt;&gt;""),AND(KX23&gt;=LA$32,KX23&lt;&gt;""),AND(LT23&gt;=LW$32,LT23&lt;&gt;""),AND(MP23&gt;=MS$32,MP23&lt;&gt;""),AND(NL23&gt;=NO$32,NL23&lt;&gt;"")),"Worlds Team",IF(OR(AND(AV23&gt;=AY$31,AV23&lt;&gt;"",AP23=""),AND(BZ23&gt;=CC$31,BZ23&lt;&gt;"",BT23=""),AND(DD23&gt;=DG$31,DD23&lt;&gt;"",CX23=""),AND(ED23&gt;=EG$31,ED23&lt;&gt;""),AND(EZ23&gt;=FC$31,EZ23&lt;&gt;""),AND(FV23&gt;=FY$31,FV23&lt;&gt;""),AND(GR23&gt;=GU$31,GR23&lt;&gt;""),AND(HN23&gt;=HQ$31,HN23&lt;&gt;""),AND(IJ23&gt;=IM$31,IJ23&lt;&gt;""),AND(JF23&gt;=JI$31,JF23&lt;&gt;""),AND(KB23&gt;=KE$31,KB23&lt;&gt;""),AND(KX23&gt;=LA$31,KX23&lt;&gt;""),AND(LT23&gt;=LW$31,LT23&lt;&gt;""),AND(MP23&gt;=MS$31,MP23&lt;&gt;""),AND(NL23&gt;=NO$31,NL23&lt;&gt;"")),"National Team",""))))</f>
        <v/>
      </c>
      <c r="I23" s="126" t="str">
        <f>IF(AND(G23="Merit",H23="Merit"),"Merit",IF(AND(OR(G23="Merit",G23="Excellence"),OR(H23="Merit",H23="Excellence")),"Excellence",IF(AND(OR(G23="Merit",G23="Excellence",G23="Worlds Team"),OR(H23="Merit",H23="Excellence",H23="Worlds Team")),"Worlds Team",IF(AND(OR(G23="Merit",G23="Excellence",G23="Worlds Team",G23="National Team"),OR(H23="Merit",H23="Excellence",H23="Worlds Team",H23="National Team")),"National Team",IF(OR(H23="Merit",H23="Excellence",H23="Worlds Team",H23="National Team"),"No DD","")))))</f>
        <v/>
      </c>
      <c r="J23" s="3" t="str">
        <f>IF(AND(OR(AND(AV23&gt;=AY$32,AV23&lt;&gt;"",AP23=""),AND(BZ23&gt;=CC$32,BZ23&lt;&gt;"",BT23=""),AND(DD23&gt;=DG$32,DD23&lt;&gt;"",CX23=""),AND(ED23&gt;=EG$32,ED23&lt;&gt;""),AND(EZ23&gt;=FC$32,EZ23&lt;&gt;""),AND(FV23&gt;=FY$32,FV23&lt;&gt;""),AND(GR23&gt;=GU$32,GR23&lt;&gt;""),AND(HN23&gt;=HQ$32,HN23&lt;&gt;""),AND(IJ23&gt;=IM$32,IJ23&lt;&gt;""),AND(JF23&gt;=JI$32,JF23&lt;&gt;""),AND(KB23&gt;=KE$32,KB23&lt;&gt;""),AND(KX23&gt;=LA$32,KX23&lt;&gt;""),AND(LT23&gt;=LW$32,LT23&lt;&gt;""),AND(MP23&gt;=MS$32,MP23&lt;&gt;""),AND(NL23&gt;=NO$32,NL23&lt;&gt;"")),OR(G23="Worlds Team",G23="Excellence",G23="Merit")),"P","")</f>
        <v/>
      </c>
      <c r="K23" s="14">
        <f>IF(MAX(AV23,BZ23,DD23)&gt;0,MAX(AV23,BZ23,DD23),0)</f>
        <v>87.97</v>
      </c>
      <c r="L23" s="14" t="str">
        <f>IF(K23=0,"",IF(K23=DD23,$CD$1,IF(K23=BZ23,$AZ$1,IF(K23=AV23,$V$1,""))))</f>
        <v>2019 Nationals</v>
      </c>
      <c r="M23" s="14">
        <f>IF($K23=$AV23,MAX(BU23,CY23),IF($K23=$BZ23,MAX(AQ23,CY23),IF($K23=$DD23,MAX(AQ23,BU23),MAX(AQ23,BU23,CY23))))</f>
        <v>35.375</v>
      </c>
      <c r="N23" s="14" t="str">
        <f>IF(M23=0,"",IF(AND(M23=CY23,$L23&lt;&gt;$CD$1),$CD$1,IF(AND(M23=BU23,$L23&lt;&gt;$AZ$1),$AZ$1,IF(AND(M23=AQ23,$L23&lt;&gt;$V$1),$V$1,""))))</f>
        <v>2019 Elite Canada</v>
      </c>
      <c r="O23" s="14">
        <f>IF(K23-N(AQ23)=AS23,MAX(AU23,BW23,BY23,DA23,DC23),IF(K23-N(AQ23)=AU23,MAX(AS23,BW23,BY23,DA23,DC23),IF(K23-N(BU23)=BW23,MAX(AS23,AU23,BY23,DA23,DC23),IF(K23-N(BU23)=BY23,MAX(AS23,AU23,BW23,DA23,DC23),IF(K23-N(CY23)=DA23,MAX(AS23,AU23,BW23,BY23,DC23),IF(K23-N(CY23)=DC23,MAX(AS23,AU23,BW23,BY23,DA23),MAX(AS23,AU23,BW23,BY23,DA23,DC23)))))))</f>
        <v>11.389999999999999</v>
      </c>
      <c r="P23" s="14" t="str">
        <f>IF(O23=0,"",IF(OR(O23=DC23,O23=DA23),$CD$1,IF(OR(O23=BY23,O23=BW23),$AZ$1,IF(OR(O23=AU23,O23=AS23),$V$1,""))))</f>
        <v>2019 Elite Canada</v>
      </c>
      <c r="Q23" s="14">
        <f>MAX(AX23,CB23,DF23)</f>
        <v>0</v>
      </c>
      <c r="R23" s="14" t="str">
        <f>IF(Q23=0,"",IF(Q23=DF23,$CD$1,IF(Q23=CB23,$AZ$1,IF(Q23=AX23,$V$1,""))))</f>
        <v/>
      </c>
      <c r="S23" s="14" t="str">
        <f>IF(MAX(DH23,DI23,DJ23,DK23)&gt;0,MAX(DH23,DI23,DJ23,DK23),"")</f>
        <v/>
      </c>
      <c r="T23" s="25" t="str">
        <f>IF(S23="","",IF(S23=DH23,"(Vol 1)",IF(S23=DI23,"(Vol 2)",IF(S23=DJ23,"(Prelim)",IF(S23=DK23,"(Final)")))))</f>
        <v/>
      </c>
      <c r="U23" s="14" t="str">
        <f>IF(S23="","",IF(S23=DH23,IF(S23+IF(M23="",0,M23)=NJ23,$MT$1,IF(S23+IF(M23="",0,M23)=MN23,$LX$1,IF(S23+IF(M23="",0,M23)=LR23,$LB$1,IF(S23+IF(M23="",0,M23)=KV23,$KF$1,IF(S23+IF(M23="",0,M23)=JZ23,$JJ$1,IF(S23+IF(M23="",0,M23)=JD23,$IN$1,IF(S23+IF(M23="",0,M23)=IH23,$HR$1,IF(S23+IF(M23="",0,M23)=HL23,$GV$1,IF(S23+IF(M23="",0,M23)=GP23,$FZ$1,IF(S23+IF(M23="",0,M23)=FT23,$FD$1,IF(S23+IF(M23="",0,M23)=EX23,$EH$1,IF(S23+IF(M23="",0,M23)=EB23,$DL$1)))))))))))),IF(S23=DI23,IF(S23+IF(O23="",0,O23)=NK23,$MT$1,IF(S23+IF(O23="",0,O23)=MO23,$LX$1,IF(S23+IF(O23="",0,O23)=LS23,$LB$1,IF(S23+IF(O23="",0,O23)=KW23,$KF$1,IF(S23+IF(O23="",0,O23)=KA23,$JJ$1,IF(S23+IF(O23="",0,O23)=JE23,$IN$1,IF(S23+IF(O23="",0,O23)=II23,$HR$1,IF(S23+IF(O23="",0,O23)=HM23,$GV$1,IF(S23+IF(O23="",0,O23)=GQ23,$FZ$1,IF(S23+IF(O23="",0,O23)=FU23,$FD$1,IF(S23+IF(O23="",0,O23)=EY23,$EH$1,IF(S23+IF(O23="",0,O23)=EC23,$DL$1)))))))))))),IF(S23=DJ23,IF(S23+IF(K23="",0,K23)=NL23,$MT$1,IF(S23+IF(K23="",0,K23)=MP23,$LX$1,IF(S23+IF(K23="",0,K23)=LT23,$LB$1,IF(S23+IF(K23="",0,K23)=KX23,$KF$1,IF(S23+IF(K23="",0,K23)=KB23,$JJ$1,IF(S23+IF(K23="",0,K23)=JF23,$IN$1,IF(S23+IF(K23="",0,K23)=IJ23,$HR$1,IF(S23+IF(K23="",0,K23)=HN23,$GV$1,IF(S23+IF(K23="",0,K23)=GR23,$FZ$1,IF(S23+IF(K23="",0,K23)=FV23,$FD$1,IF(S23+IF(K23="",0,K23)=EZ23,$EH$1,IF(S23+IF(K23="",0,K23)=ED23,$DL$1)))))))))))),IF(S23=DK23,IF(S23+IF(Q23="",0,Q23)=NN23,$MT$1,IF(S23+IF(Q23="",0,Q23)=MR23,$LX$1,IF(S23+IF(Q23="",0,Q23)=LV23,$LB$1,IF(S23+IF(Q23="",0,Q23)=KZ23,$KF$1,IF(S23+IF(Q23="",0,Q23)=KD23,$JJ$1,IF(S23+IF(Q23="",0,Q23)=JH23,$IN$1,IF(S23+IF(Q23="",0,Q23)=IL23,$HR$1,IF(S23+IF(Q23="",0,Q23)=HP23,$GV$1,IF(S23+IF(Q23="",0,Q23)=GT23,$FZ$1,IF(S23+IF(Q23="",0,Q23)=FX23,$FD$1,IF(S23+IF(Q23="",0,Q23)=FB23,$EH$1,IF(S23+IF(Q23="",0,Q23)=EF23,$DL$1)))))))))))))))))</f>
        <v/>
      </c>
      <c r="V23" s="69">
        <v>12.9</v>
      </c>
      <c r="W23" s="69">
        <v>7.25</v>
      </c>
      <c r="X23" s="69">
        <v>3.8</v>
      </c>
      <c r="Y23" s="69">
        <v>13.425000000000001</v>
      </c>
      <c r="Z23" s="69">
        <v>2</v>
      </c>
      <c r="AA23" s="69">
        <v>2.9</v>
      </c>
      <c r="AB23" s="69">
        <v>1.65</v>
      </c>
      <c r="AC23" s="69">
        <v>3.4</v>
      </c>
      <c r="AD23" s="69">
        <v>3.44</v>
      </c>
      <c r="AE23" s="69">
        <v>0</v>
      </c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80"/>
      <c r="AQ23" s="11">
        <f>IF(SUM(V23:Y23)-Z23&gt;0,SUM(V23:Y23)-Z23,"")</f>
        <v>35.375</v>
      </c>
      <c r="AR23" s="11">
        <f>IF(AC23&gt;0,AC23,"")</f>
        <v>3.4</v>
      </c>
      <c r="AS23" s="11">
        <f>IF(SUM(AA23:AD23)-AE23&gt;0,SUM(AA23:AD23)-AE23,"")</f>
        <v>11.389999999999999</v>
      </c>
      <c r="AT23" s="11" t="str">
        <f>IF(AH23&gt;0,AH23,"")</f>
        <v/>
      </c>
      <c r="AU23" s="11" t="str">
        <f>IF(SUM(AF23:AI23)-AJ23&gt;0,SUM(AF23:AI23)-AJ23,"")</f>
        <v/>
      </c>
      <c r="AV23" s="11">
        <f>IF(OR(AQ23&lt;&gt;"",AS23&lt;&gt;"",AU23&lt;&gt;""),AQ23+MAX(AS23,AU23),"")</f>
        <v>46.765000000000001</v>
      </c>
      <c r="AW23" s="11" t="str">
        <f>IF(AM23&gt;0,AM23,"")</f>
        <v/>
      </c>
      <c r="AX23" s="11" t="str">
        <f>IF(SUM(AK23:AN23)-AO23&gt;0,SUM(AK23:AN23)-AO23,"")</f>
        <v/>
      </c>
      <c r="AY23" s="11">
        <f>IF(SUM(AV23,AX23)&gt;0,SUM(AV23,AX23),"")</f>
        <v>46.765000000000001</v>
      </c>
      <c r="AZ23" s="75">
        <v>13.4</v>
      </c>
      <c r="BA23" s="75">
        <v>7.1</v>
      </c>
      <c r="BB23" s="75">
        <v>1.6</v>
      </c>
      <c r="BC23" s="75">
        <v>13.73</v>
      </c>
      <c r="BD23" s="75">
        <v>0</v>
      </c>
      <c r="BE23" s="75">
        <v>13.9</v>
      </c>
      <c r="BF23" s="75">
        <v>8.8000000000000007</v>
      </c>
      <c r="BG23" s="75">
        <v>13.2</v>
      </c>
      <c r="BH23" s="75">
        <v>16.54</v>
      </c>
      <c r="BI23" s="75">
        <v>0.3</v>
      </c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81"/>
      <c r="BU23" s="14">
        <f>IF(SUM(AZ23:BC23)-BD23&gt;0,SUM(AZ23:BC23)-BD23,"")</f>
        <v>35.83</v>
      </c>
      <c r="BV23" s="14">
        <f>IF(BG23&gt;0,BG23,"")</f>
        <v>13.2</v>
      </c>
      <c r="BW23" s="14">
        <f>IF(SUM(BE23:BH23)-BI23&gt;0,SUM(BE23:BH23)-BI23,"")</f>
        <v>52.140000000000008</v>
      </c>
      <c r="BX23" s="14" t="str">
        <f>IF(BL23&gt;0,BL23,"")</f>
        <v/>
      </c>
      <c r="BY23" s="14" t="str">
        <f>IF(SUM(BJ23:BM23)-BN23&gt;0,SUM(BJ23:BM23)-BN23,"")</f>
        <v/>
      </c>
      <c r="BZ23" s="14">
        <f>IF(BU23="",IF(MAX(BW23,BY23)&gt;0,MAX(BW23,BY23),""),MAX(BW23,BY23)+BU23)</f>
        <v>87.97</v>
      </c>
      <c r="CA23" s="14" t="str">
        <f>IF(BQ23&gt;0,BQ23,"")</f>
        <v/>
      </c>
      <c r="CB23" s="14" t="str">
        <f>IF(SUM(BO23:BR23)-BS23&gt;0,SUM(BO23:BR23)-BS23,"")</f>
        <v/>
      </c>
      <c r="CC23" s="14">
        <f>IF(SUM(BZ23,CB23)&gt;0,SUM(BZ23,CB23),"")</f>
        <v>87.97</v>
      </c>
      <c r="CD23" s="69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CP23" s="69"/>
      <c r="CQ23" s="69"/>
      <c r="CR23" s="69"/>
      <c r="CS23" s="69"/>
      <c r="CT23" s="69"/>
      <c r="CU23" s="69"/>
      <c r="CV23" s="69"/>
      <c r="CW23" s="69"/>
      <c r="CX23" s="80"/>
      <c r="CY23" s="11" t="str">
        <f>IF(SUM(CD23:CG23)-CH23&gt;0,SUM(CD23:CG23)-CH23,"")</f>
        <v/>
      </c>
      <c r="CZ23" s="11" t="str">
        <f>IF(CK23&gt;0,CK23,"")</f>
        <v/>
      </c>
      <c r="DA23" s="11" t="str">
        <f>IF(SUM(CI23:CL23)-CM23&gt;0,SUM(CI23:CL23)-CM23,"")</f>
        <v/>
      </c>
      <c r="DB23" s="11" t="str">
        <f>IF(CP23&gt;0,CP23,"")</f>
        <v/>
      </c>
      <c r="DC23" s="11" t="str">
        <f>IF(SUM(CN23:CQ23)-CR23&gt;0,SUM(CN23:CQ23)-CR23,"")</f>
        <v/>
      </c>
      <c r="DD23" s="11" t="str">
        <f>IF(CY23="",IF(MAX(DA23,DC23)&gt;0,MAX(DA23,DC23),""),MAX(DA23,DC23)+CY23)</f>
        <v/>
      </c>
      <c r="DE23" s="11" t="str">
        <f>IF(CU23&gt;0,CU23,"")</f>
        <v/>
      </c>
      <c r="DF23" s="11" t="str">
        <f>IF(SUM(CS23:CV23)-CW23&gt;0,SUM(CS23:CV23)-CW23,"")</f>
        <v/>
      </c>
      <c r="DG23" s="11" t="str">
        <f>IF(SUM(DD23,DF23)&gt;0,SUM(DD23,DF23),"")</f>
        <v/>
      </c>
      <c r="DH23" s="24" t="str">
        <f>IF(MAX(EB23,EX23,FT23,GP23,HL23,IH23,JD23,JZ23,KV23,LR23,MN23,NJ23)-IF(M23="",0,M23)&gt;0.001,MAX(EB23,EX23,FT23,GP23,HL23,IH23,JD23,JZ23,KV23,LR23,MN23,NJ23)-IF(M23="",0,M23),"")</f>
        <v/>
      </c>
      <c r="DI23" s="24" t="str">
        <f>IF(MAX(EC23,EY23,FU23,GQ23,HM23,II23,JE23,KA23,KW23,LS23,MO23,NK23)-IF(O23="",0,O23)&gt;0.001,MAX(EC23,EY23,FU23,GQ23,HM23,II23,JE23,KA23,KW23,LS23,MO23,NK23)-IF(O23="",0,O23),"")</f>
        <v/>
      </c>
      <c r="DJ23" s="24" t="str">
        <f>IF(MAX(ED23,EZ23,FV23,GR23,HN23,IJ23,JF23,KB23,KX23,LT23,MP23,NL23)-IF(K23="",0,K23)&gt;0.001,MAX(ED23,EZ23,FV23,GR23,HN23,IJ23,JF23,KB23,KX23,LT23,MP23,NL23)-IF(K23="",0,K23),"")</f>
        <v/>
      </c>
      <c r="DK23" s="24" t="str">
        <f>IF(MAX(EF23,FB23,FX23,GT23,HP23,IL23,JH23,KD23,KZ23,LV23,MR23,NN23)-IF(Q23="",0,Q23)&gt;0.001,MAX(EF23,FB23,FX23,GT23,HP23,IL23,JH23,KD23,KZ23,LV23,MR23,NN23)-IF(Q23="",0,Q23),"")</f>
        <v/>
      </c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11" t="str">
        <f>IF(DS23&gt;0,DS23,"")</f>
        <v/>
      </c>
      <c r="EB23" s="11" t="str">
        <f>IF(SUM(DL23:DO23)-DP23&gt;0,SUM(DL23:DO23)-DP23,"")</f>
        <v/>
      </c>
      <c r="EC23" s="11" t="str">
        <f>IF(SUM(DQ23:DT23)-DU23&gt;0,SUM(DQ23:DT23)-DU23,"")</f>
        <v/>
      </c>
      <c r="ED23" s="11" t="str">
        <f>IF(SUM(EB23:EC23)&gt;0,SUM(EB23:EC23),"")</f>
        <v/>
      </c>
      <c r="EE23" s="11" t="str">
        <f>IF(DX23&gt;0,DX23,"")</f>
        <v/>
      </c>
      <c r="EF23" s="11" t="str">
        <f>IF(SUM(DV23:DY23)-DZ23&gt;0,SUM(DV23:DY23)-DZ23,"")</f>
        <v/>
      </c>
      <c r="EG23" s="11" t="str">
        <f>IF(SUM(ED23,EF23)&gt;0,SUM(ED23,EF23),"")</f>
        <v/>
      </c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14" t="str">
        <f>IF(EO23&gt;0,EO23,"")</f>
        <v/>
      </c>
      <c r="EX23" s="14" t="str">
        <f>IF(SUM(EH23:EK23)-EL23&gt;0,SUM(EH23:EK23)-EL23,"")</f>
        <v/>
      </c>
      <c r="EY23" s="14" t="str">
        <f>IF(SUM(EM23:EP23)-EQ23&gt;0,SUM(EM23:EP23)-EQ23,"")</f>
        <v/>
      </c>
      <c r="EZ23" s="14" t="str">
        <f>IF(SUM(EX23:EY23)&gt;0,SUM(EX23:EY23),"")</f>
        <v/>
      </c>
      <c r="FA23" s="14" t="str">
        <f>IF(ET23&gt;0,ET23,"")</f>
        <v/>
      </c>
      <c r="FB23" s="14" t="str">
        <f>IF(SUM(ER23:EU23)-EV23&gt;0,SUM(ER23:EU23)-EV23,"")</f>
        <v/>
      </c>
      <c r="FC23" s="14" t="str">
        <f>IF(SUM(EZ23,FB23)&gt;0,SUM(EZ23,FB23),"")</f>
        <v/>
      </c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11" t="str">
        <f>IF(FK23&gt;0,FK23,"")</f>
        <v/>
      </c>
      <c r="FT23" s="11" t="str">
        <f>IF(SUM(FD23:FG23)-FH23&gt;0,SUM(FD23:FG23)-FH23,"")</f>
        <v/>
      </c>
      <c r="FU23" s="11" t="str">
        <f>IF(SUM(FI23:FL23)-FM23&gt;0,SUM(FI23:FL23)-FM23,"")</f>
        <v/>
      </c>
      <c r="FV23" s="11" t="str">
        <f>IF(SUM(FT23:FU23)&gt;0,SUM(FT23:FU23),"")</f>
        <v/>
      </c>
      <c r="FW23" s="11" t="str">
        <f>IF(FP23&gt;0,FP23,"")</f>
        <v/>
      </c>
      <c r="FX23" s="11" t="str">
        <f>IF(SUM(FN23:FQ23)-FR23&gt;0,SUM(FN23:FQ23)-FR23,"")</f>
        <v/>
      </c>
      <c r="FY23" s="11" t="str">
        <f>IF(SUM(FV23,FX23)&gt;0,SUM(FV23,FX23),"")</f>
        <v/>
      </c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14" t="str">
        <f>IF(GG23&gt;0,GG23,"")</f>
        <v/>
      </c>
      <c r="GP23" s="14" t="str">
        <f>IF(SUM(FZ23:GC23)-GD23&gt;0,SUM(FZ23:GC23)-GD23,"")</f>
        <v/>
      </c>
      <c r="GQ23" s="14" t="str">
        <f>IF(SUM(GE23:GH23)-GI23&gt;0,SUM(GE23:GH23)-GI23,"")</f>
        <v/>
      </c>
      <c r="GR23" s="14" t="str">
        <f>IF(SUM(GP23:GQ23)&gt;0,SUM(GP23:GQ23),"")</f>
        <v/>
      </c>
      <c r="GS23" s="14" t="str">
        <f>IF(GL23&gt;0,GL23,"")</f>
        <v/>
      </c>
      <c r="GT23" s="14" t="str">
        <f>IF(SUM(GJ23:GM23)-GN23&gt;0,SUM(GJ23:GM23)-GN23,"")</f>
        <v/>
      </c>
      <c r="GU23" s="14" t="str">
        <f>IF(SUM(GR23,GT23)&gt;0,SUM(GR23,GT23),"")</f>
        <v/>
      </c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11" t="str">
        <f>IF(HC23&gt;0,HC23,"")</f>
        <v/>
      </c>
      <c r="HL23" s="11" t="str">
        <f>IF(SUM(GV23:GY23)-GZ23&gt;0,SUM(GV23:GY23)-GZ23,"")</f>
        <v/>
      </c>
      <c r="HM23" s="11" t="str">
        <f>IF(SUM(HA23:HD23)-HE23&gt;0,SUM(HA23:HD23)-HE23,"")</f>
        <v/>
      </c>
      <c r="HN23" s="11" t="str">
        <f>IF(SUM(HL23:HM23)&gt;0,SUM(HL23:HM23),"")</f>
        <v/>
      </c>
      <c r="HO23" s="11" t="str">
        <f>IF(HH23&gt;0,HH23,"")</f>
        <v/>
      </c>
      <c r="HP23" s="11" t="str">
        <f>IF(SUM(HF23:HI23)-HJ23&gt;0,SUM(HF23:HI23)-HJ23,"")</f>
        <v/>
      </c>
      <c r="HQ23" s="11" t="str">
        <f>IF(SUM(HN23,HP23)&gt;0,SUM(HN23,HP23),"")</f>
        <v/>
      </c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14" t="str">
        <f>IF(HY23&gt;0,HY23,"")</f>
        <v/>
      </c>
      <c r="IH23" s="14" t="str">
        <f>IF(SUM(HR23:HU23)-HV23&gt;0,SUM(HR23:HU23)-HV23,"")</f>
        <v/>
      </c>
      <c r="II23" s="14" t="str">
        <f>IF(SUM(HW23:HZ23)-IA23&gt;0,SUM(HW23:HZ23)-IA23,"")</f>
        <v/>
      </c>
      <c r="IJ23" s="14" t="str">
        <f>IF(SUM(IH23:II23)&gt;0,SUM(IH23:II23),"")</f>
        <v/>
      </c>
      <c r="IK23" s="14" t="str">
        <f>IF(ID23&gt;0,ID23,"")</f>
        <v/>
      </c>
      <c r="IL23" s="14" t="str">
        <f>IF(SUM(IB23:IE23)-IF23&gt;0,SUM(IB23:IE23)-IF23,"")</f>
        <v/>
      </c>
      <c r="IM23" s="14" t="str">
        <f>IF(SUM(IJ23,IL23)&gt;0,SUM(IJ23,IL23),"")</f>
        <v/>
      </c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11" t="str">
        <f>IF(IU23&gt;0,IU23,"")</f>
        <v/>
      </c>
      <c r="JD23" s="11" t="str">
        <f>IF(SUM(IN23:IQ23)-IR23&gt;0,SUM(IN23:IQ23)-IR23,"")</f>
        <v/>
      </c>
      <c r="JE23" s="11" t="str">
        <f>IF(SUM(IS23:IV23)-IW23&gt;0,SUM(IS23:IV23)-IW23,"")</f>
        <v/>
      </c>
      <c r="JF23" s="11" t="str">
        <f>IF(SUM(JD23:JE23)&gt;0,SUM(JD23:JE23),"")</f>
        <v/>
      </c>
      <c r="JG23" s="11" t="str">
        <f>IF(IZ23&gt;0,IZ23,"")</f>
        <v/>
      </c>
      <c r="JH23" s="11" t="str">
        <f>IF(SUM(IX23:JA23)-JB23&gt;0,SUM(IX23:JA23)-JB23,"")</f>
        <v/>
      </c>
      <c r="JI23" s="11" t="str">
        <f>IF(SUM(JF23,JH23)&gt;0,SUM(JF23,JH23),"")</f>
        <v/>
      </c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14" t="str">
        <f>IF(JQ23&gt;0,JQ23,"")</f>
        <v/>
      </c>
      <c r="JZ23" s="14" t="str">
        <f>IF(SUM(JJ23:JM23)-JN23&gt;0,SUM(JJ23:JM23)-JN23,"")</f>
        <v/>
      </c>
      <c r="KA23" s="14" t="str">
        <f>IF(SUM(JO23:JR23)-JS23&gt;0,SUM(JO23:JR23)-JS23,"")</f>
        <v/>
      </c>
      <c r="KB23" s="14" t="str">
        <f>IF(SUM(JZ23:KA23)&gt;0,SUM(JZ23:KA23),"")</f>
        <v/>
      </c>
      <c r="KC23" s="14" t="str">
        <f>IF(JV23&gt;0,JV23,"")</f>
        <v/>
      </c>
      <c r="KD23" s="14" t="str">
        <f>IF(SUM(JT23:JW23)-JX23&gt;0,SUM(JT23:JW23)-JX23,"")</f>
        <v/>
      </c>
      <c r="KE23" s="14" t="str">
        <f>IF(SUM(KB23,KD23)&gt;0,SUM(KB23,KD23),"")</f>
        <v/>
      </c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11" t="str">
        <f>IF(KM23&gt;0,KM23,"")</f>
        <v/>
      </c>
      <c r="KV23" s="11" t="str">
        <f>IF(SUM(KF23:KI23)-KJ23&gt;0,SUM(KF23:KI23)-KJ23,"")</f>
        <v/>
      </c>
      <c r="KW23" s="11" t="str">
        <f>IF(SUM(KK23:KN23)-KO23&gt;0,SUM(KK23:KN23)-KO23,"")</f>
        <v/>
      </c>
      <c r="KX23" s="11" t="str">
        <f>IF(SUM(KV23:KW23)&gt;0,SUM(KV23:KW23),"")</f>
        <v/>
      </c>
      <c r="KY23" s="11" t="str">
        <f>IF(KR23&gt;0,KR23,"")</f>
        <v/>
      </c>
      <c r="KZ23" s="11" t="str">
        <f>IF(SUM(KP23:KS23)-KT23&gt;0,SUM(KP23:KS23)-KT23,"")</f>
        <v/>
      </c>
      <c r="LA23" s="11" t="str">
        <f>IF(SUM(KX23,KZ23)&gt;0,SUM(KX23,KZ23),"")</f>
        <v/>
      </c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14" t="str">
        <f>IF(LI23&gt;0,LI23,"")</f>
        <v/>
      </c>
      <c r="LR23" s="14" t="str">
        <f>IF(SUM(LB23:LE23)-LF23&gt;0,SUM(LB23:LE23)-LF23,"")</f>
        <v/>
      </c>
      <c r="LS23" s="14" t="str">
        <f>IF(SUM(LG23:LJ23)-LK23&gt;0,SUM(LG23:LJ23)-LK23,"")</f>
        <v/>
      </c>
      <c r="LT23" s="14" t="str">
        <f>IF(SUM(LR23:LS23)&gt;0,SUM(LR23:LS23),"")</f>
        <v/>
      </c>
      <c r="LU23" s="14" t="str">
        <f>IF(LN23&gt;0,LN23,"")</f>
        <v/>
      </c>
      <c r="LV23" s="14" t="str">
        <f>IF(SUM(LL23:LO23)-LP23&gt;0,SUM(LL23:LO23)-LP23,"")</f>
        <v/>
      </c>
      <c r="LW23" s="14" t="str">
        <f>IF(SUM(LT23,LV23)&gt;0,SUM(LT23,LV23),"")</f>
        <v/>
      </c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11" t="str">
        <f>IF(ME23&gt;0,ME23,"")</f>
        <v/>
      </c>
      <c r="MN23" s="11" t="str">
        <f>IF(SUM(LX23:MA23)-MB23&gt;0,SUM(LX23:MA23)-MB23,"")</f>
        <v/>
      </c>
      <c r="MO23" s="11" t="str">
        <f>IF(SUM(MC23:MF23)-MG23&gt;0,SUM(MC23:MF23)-MG23,"")</f>
        <v/>
      </c>
      <c r="MP23" s="11" t="str">
        <f>IF(SUM(MN23:MO23)&gt;0,SUM(MN23:MO23),"")</f>
        <v/>
      </c>
      <c r="MQ23" s="11" t="str">
        <f>IF(MJ23&gt;0,MJ23,"")</f>
        <v/>
      </c>
      <c r="MR23" s="11" t="str">
        <f>IF(SUM(MH23:MK23)-ML23&gt;0,SUM(MH23:MK23)-ML23,"")</f>
        <v/>
      </c>
      <c r="MS23" s="11" t="str">
        <f>IF(SUM(MP23,MR23)&gt;0,SUM(MP23,MR23),"")</f>
        <v/>
      </c>
      <c r="MT23" s="38"/>
      <c r="MU23" s="38"/>
      <c r="MV23" s="38"/>
      <c r="MW23" s="38"/>
      <c r="MX23" s="38"/>
      <c r="MY23" s="38"/>
      <c r="MZ23" s="38"/>
      <c r="NA23" s="38"/>
      <c r="NB23" s="38"/>
      <c r="NC23" s="38"/>
      <c r="ND23" s="38"/>
      <c r="NE23" s="38"/>
      <c r="NF23" s="38"/>
      <c r="NG23" s="38"/>
      <c r="NH23" s="38"/>
      <c r="NI23" s="14" t="str">
        <f>IF(NA23&gt;0,NA23,"")</f>
        <v/>
      </c>
      <c r="NJ23" s="14" t="str">
        <f>IF(SUM(MT23:MW23)-MX23&gt;0,SUM(MT23:MW23)-MX23,"")</f>
        <v/>
      </c>
      <c r="NK23" s="14" t="str">
        <f>IF(SUM(MY23:NB23)-NC23&gt;0,SUM(MY23:NB23)-NC23,"")</f>
        <v/>
      </c>
      <c r="NL23" s="14" t="str">
        <f>IF(SUM(NJ23:NK23)&gt;0,SUM(NJ23:NK23),"")</f>
        <v/>
      </c>
      <c r="NM23" s="14" t="str">
        <f>IF(NF23&gt;0,NF23,"")</f>
        <v/>
      </c>
      <c r="NN23" s="14" t="str">
        <f>IF(SUM(ND23:NG23)-NH23&gt;0,SUM(ND23:NG23)-NH23,"")</f>
        <v/>
      </c>
      <c r="NO23" s="14" t="str">
        <f>IF(SUM(NL23,NN23)&gt;0,SUM(NL23,NN23),"")</f>
        <v/>
      </c>
      <c r="NP23" s="69">
        <f>IF($CX23="P",CD23,(CD23+AZ23)/2)</f>
        <v>6.7</v>
      </c>
      <c r="NQ23" s="69">
        <f>IF($CX23="P",CE23,(CE23+BA23)/2)</f>
        <v>3.55</v>
      </c>
      <c r="NR23" s="69">
        <f>IF($CX23="P",CF23,(CF23+BB23)/2)</f>
        <v>0.8</v>
      </c>
      <c r="NS23" s="69">
        <f>IF($CX23="P",CG23,(CG23+BC23)/2)</f>
        <v>6.8650000000000002</v>
      </c>
      <c r="NT23" s="69">
        <f>IF($CX23="P",CH23,(CH23+BD23)/2)</f>
        <v>0</v>
      </c>
      <c r="NU23" s="69">
        <f>IF($CX23="P",CI23,(CI23+BE23)/2)</f>
        <v>6.95</v>
      </c>
      <c r="NV23" s="69">
        <f>IF($CX23="P",CJ23,(CJ23+BF23)/2)</f>
        <v>4.4000000000000004</v>
      </c>
      <c r="NW23" s="69">
        <f>IF($CX23="P",CK23,(CK23+BG23)/2)</f>
        <v>6.6</v>
      </c>
      <c r="NX23" s="69">
        <f>IF($CX23="P",CL23,(CL23+BH23)/2)</f>
        <v>8.27</v>
      </c>
      <c r="NY23" s="69">
        <f>IF($CX23="P",CM23,(CM23+BI23)/2)</f>
        <v>0.15</v>
      </c>
      <c r="NZ23" s="69">
        <f>IF($CX23="P",CN23,(CN23+BJ23)/2)</f>
        <v>0</v>
      </c>
      <c r="OA23" s="69">
        <f>IF($CX23="P",CO23,(CO23+BK23)/2)</f>
        <v>0</v>
      </c>
      <c r="OB23" s="69">
        <f>IF($CX23="P",CP23,(CP23+BL23)/2)</f>
        <v>0</v>
      </c>
      <c r="OC23" s="69">
        <f>IF($CX23="P",CQ23,(CQ23+BM23)/2)</f>
        <v>0</v>
      </c>
      <c r="OD23" s="69">
        <f>IF($CX23="P",CR23,(CR23+BN23)/2)</f>
        <v>0</v>
      </c>
      <c r="OE23" s="69">
        <f>IF($CX23="P",CS23,(CS23+BO23)/2)</f>
        <v>0</v>
      </c>
      <c r="OF23" s="69">
        <f>IF($CX23="P",CT23,(CT23+BP23)/2)</f>
        <v>0</v>
      </c>
      <c r="OG23" s="69">
        <f>IF($CX23="P",CU23,(CU23+BQ23)/2)</f>
        <v>0</v>
      </c>
      <c r="OH23" s="69">
        <f>IF($CX23="P",CV23,(CV23+BR23)/2)</f>
        <v>0</v>
      </c>
      <c r="OI23" s="69">
        <f>IF($CX23="P",CW23,(CW23+BS23)/2)</f>
        <v>0</v>
      </c>
      <c r="OJ23" s="80" t="s">
        <v>91</v>
      </c>
      <c r="OK23" s="11">
        <f>IF(SUM(NP23:NS23)-NT23&gt;0,SUM(NP23:NS23)-NT23,"")</f>
        <v>17.914999999999999</v>
      </c>
      <c r="OL23" s="11">
        <f>IF(NW23&gt;0,NW23,"")</f>
        <v>6.6</v>
      </c>
      <c r="OM23" s="11">
        <f>IF(SUM(NU23:NX23)-NY23&gt;0,SUM(NU23:NX23)-NY23,"")</f>
        <v>26.070000000000004</v>
      </c>
      <c r="ON23" s="11" t="str">
        <f>IF(OB23&gt;0,OB23,"")</f>
        <v/>
      </c>
      <c r="OO23" s="11" t="str">
        <f>IF(SUM(NZ23:OC23)-OD23&gt;0,SUM(NZ23:OC23)-OD23,"")</f>
        <v/>
      </c>
      <c r="OP23" s="11">
        <f>IF(OR(OK23&lt;&gt;"",OM23&lt;&gt;"",OO23&lt;&gt;""),OK23+MAX(OM23,OO23),"")</f>
        <v>43.984999999999999</v>
      </c>
      <c r="OQ23" s="11" t="str">
        <f>IF(OG23&gt;0,OG23,"")</f>
        <v/>
      </c>
      <c r="OR23" s="11" t="str">
        <f t="shared" ref="OR23" si="2">IF(SUM(OE23:OH23)-OI23&gt;0,SUM(OE23:OH23)-OI23,"")</f>
        <v/>
      </c>
      <c r="OS23" s="11">
        <f t="shared" ref="OS23" si="3">IF(SUM(OP23,OR23)&gt;0,SUM(OP23,OR23),"")</f>
        <v>43.984999999999999</v>
      </c>
    </row>
    <row r="24" spans="1:409" x14ac:dyDescent="0.2">
      <c r="A24" s="5" t="str" cm="1">
        <f t="array" ref="A24">IF(AND(G24&lt;&gt;"",H24&lt;&gt;""),SUMPRODUCT((G$4:G$25&lt;&gt;"")*(H$4:H$25&lt;&gt;"")*(E$4:E$25&gt;E24))+1,IF(H24&lt;&gt;"",SUMPRODUCT((I$4:I$25="No DD")*(E$4:E$25&gt;E24))+1+SUMPRODUCT((G$4:G$25&lt;&gt;"")*(H$4:H$25&lt;&gt;"")),""))</f>
        <v/>
      </c>
      <c r="B24" s="6" t="s">
        <v>12</v>
      </c>
      <c r="C24" s="7" t="s">
        <v>6</v>
      </c>
      <c r="D24" s="5">
        <v>1996</v>
      </c>
      <c r="E24" s="15">
        <f>SUM(K24:S24)</f>
        <v>123.795</v>
      </c>
      <c r="F24" s="3" t="str">
        <f>IF(G24&lt;&gt;"","P","")</f>
        <v/>
      </c>
      <c r="G24" s="125" t="str">
        <f>IF(OR(AND(AR24&gt;=AY$30,AR24&lt;&gt;"",AP24=""),AND(AT24&gt;=AY$30,AT24&lt;&gt;"",AP24=""),AND(AW24&gt;=AY$30,AW24&lt;&gt;"",AP24=""),AND(BV24&gt;=CC$30,BV24&lt;&gt;"",BT24=""),AND(BX24&gt;=CC$30,BX24&lt;&gt;"",BT24=""),AND(CA24&gt;=CC$30,CA24&lt;&gt;"",BT24=""),AND(CZ24&gt;=DG$30,CZ24&lt;&gt;"",CX24=""),AND(DB24&gt;=DG$30,DB24&lt;&gt;"",CX24=""),AND(DE24&gt;=DG$30,DE24&lt;&gt;"",CX24=""),AND(EA24&gt;=EG$30,EA24&lt;&gt;""),AND(EE24&gt;=EG$30,EE24&lt;&gt;""),AND(EW24&gt;=FC$30,EW24&lt;&gt;""),AND(FA24&gt;=FC$30,FA24&lt;&gt;""),AND(FS24&gt;=FY$30,FS24&lt;&gt;""),AND(FW24&gt;=FY$30,FW24&lt;&gt;""),AND(GO24&gt;=GU$30,GO24&lt;&gt;""),AND(GS24&gt;=GU$30,GS24&lt;&gt;""),AND(HK24&gt;=HQ$30,HK24&lt;&gt;""),AND(HO24&gt;=HQ$30,HO24&lt;&gt;""),AND(IG24&gt;=IM$30,IG24&lt;&gt;""),AND(IK24&gt;=IM$30,IK24&lt;&gt;""),AND(JC24&gt;=JI$30,JC24&lt;&gt;""),AND(JG24&gt;=JI$30,JG24&lt;&gt;""),AND(JY24&gt;=KE$30,JY24&lt;&gt;""),AND(KC24&gt;=KE$30,KC24&lt;&gt;""),AND(KU24&gt;=LA$30,KU24&lt;&gt;""),AND(KY24&gt;=LA$30,KY24&lt;&gt;""),AND(LQ24&gt;=LW$30,LQ24&lt;&gt;""),AND(LU24&gt;=LW$30,LU24&lt;&gt;""),AND(MM24&gt;=MS$30,MM24&lt;&gt;""),AND(MQ24&gt;=MS$30,MQ24&lt;&gt;""),AND(NI24&gt;=NO$30,NI24&lt;&gt;""),AND(NM24&gt;=NO$30,NM24&lt;&gt;"")),"Merit",IF(OR(AND(AR24&gt;=AY$29,AR24&lt;&gt;"",AP24=""),AND(AT24&gt;=AY$29,AT24&lt;&gt;"",AP24=""),AND(AW24&gt;=AY$29,AW24&lt;&gt;"",AP24=""),AND(BV24&gt;=CC$29,BV24&lt;&gt;"",BT24=""),AND(BX24&gt;=CC$29,BX24&lt;&gt;"",BT24=""),AND(CA24&gt;=CC$29,CA24&lt;&gt;"",BT24=""),AND(CZ24&gt;=DG$29,CZ24&lt;&gt;"",CX24=""),AND(DB24&gt;=DG$29,DB24&lt;&gt;"",CX24=""),AND(DE24&gt;=DG$29,DE24&lt;&gt;"",CX24=""),AND(EA24&gt;=EG$29,EA24&lt;&gt;""),AND(EE24&gt;=EG$29,EE24&lt;&gt;""),AND(EW24&gt;=FC$29,EW24&lt;&gt;""),AND(FA24&gt;=FC$29,FA24&lt;&gt;""),AND(FS24&gt;=FY$29,FS24&lt;&gt;""),AND(FW24&gt;=FY$29,FW24&lt;&gt;""),AND(GO24&gt;=GU$29,GO24&lt;&gt;""),AND(GS24&gt;=GU$29,GS24&lt;&gt;""),AND(HK24&gt;=HQ$29,HK24&lt;&gt;""),AND(HO24&gt;=HQ$29,HO24&lt;&gt;""),AND(IG24&gt;=IM$29,IG24&lt;&gt;""),AND(IK24&gt;=IM$29,IK24&lt;&gt;""),AND(JC24&gt;=JI$29,JC24&lt;&gt;""),AND(JG24&gt;=JI$29,JG24&lt;&gt;""),AND(JY24&gt;=KE$29,JY24&lt;&gt;""),AND(KC24&gt;=KE$29,KC24&lt;&gt;""),AND(KU24&gt;=LA$29,KU24&lt;&gt;""),AND(KY24&gt;=LA$29,KY24&lt;&gt;""),AND(LQ24&gt;=LW$29,LQ24&lt;&gt;""),AND(LU24&gt;=LW$29,LU24&lt;&gt;""),AND(MM24&gt;=MS$29,MM24&lt;&gt;""),AND(MQ24&gt;=MS$29,MQ24&lt;&gt;""),AND(NI24&gt;=NO$29,NI24&lt;&gt;""),AND(NM24&gt;=NO$29,NM24&lt;&gt;"")),"Excellence",IF(OR(AND(AR24&gt;=AY$28,AR24&lt;&gt;"",AP24=""),AND(AT24&gt;=AY$28,AT24&lt;&gt;"",AP24=""),AND(AW24&gt;=AY$28,AW24&lt;&gt;"",AP24=""),AND(BV24&gt;=CC$28,BV24&lt;&gt;"",BT24=""),AND(BX24&gt;=CC$28,BX24&lt;&gt;"",BT24=""),AND(CA24&gt;=CC$28,CA24&lt;&gt;"",BT24=""),AND(CZ24&gt;=DG$28,CZ24&lt;&gt;"",CX24=""),AND(DB24&gt;=DG$28,DB24&lt;&gt;"",CX24=""),AND(DE24&gt;=DG$28,DE24&lt;&gt;"",CX24=""),AND(EA24&gt;=EG$28,EA24&lt;&gt;""),AND(EE24&gt;=EG$28,EE24&lt;&gt;""),AND(EW24&gt;=FC$28,EW24&lt;&gt;""),AND(FA24&gt;=FC$28,FA24&lt;&gt;""),AND(FS24&gt;=FY$28,FS24&lt;&gt;""),AND(FW24&gt;=FY$28,FW24&lt;&gt;""),AND(GO24&gt;=GU$28,GO24&lt;&gt;""),AND(GS24&gt;=GU$28,GS24&lt;&gt;""),AND(HK24&gt;=HQ$28,HK24&lt;&gt;""),AND(HO24&gt;=HQ$28,HO24&lt;&gt;""),AND(IG24&gt;=IM$28,IG24&lt;&gt;""),AND(IK24&gt;=IM$28,IK24&lt;&gt;""),AND(JC24&gt;=JI$28,JC24&lt;&gt;""),AND(JG24&gt;=JI$28,JG24&lt;&gt;""),AND(JY24&gt;=KE$28,JY24&lt;&gt;""),AND(KC24&gt;=KE$28,KC24&lt;&gt;""),AND(KU24&gt;=LA$28,KU24&lt;&gt;""),AND(KY24&gt;=LA$28,KY24&lt;&gt;""),AND(LQ24&gt;=LW$28,LQ24&lt;&gt;""),AND(LU24&gt;=LW$28,LU24&lt;&gt;""),AND(MM24&gt;=MS$28,MM24&lt;&gt;""),AND(MQ24&gt;=MS$28,MQ24&lt;&gt;""),AND(NI24&gt;=NO$28,NI24&lt;&gt;""),AND(NM24&gt;=NO$28,NM24&lt;&gt;"")),"Worlds Team",IF(OR(AND(AR24&gt;=AY$27,AR24&lt;&gt;"",AP24=""),AND(AT24&gt;=AY$27,AT24&lt;&gt;"",AP24=""),AND(AW24&gt;=AY$27,AW24&lt;&gt;"",AP24=""),AND(BV24&gt;=CC$27,BV24&lt;&gt;"",BT24=""),AND(BX24&gt;=CC$27,BX24&lt;&gt;"",BT24=""),AND(CA24&gt;=CC$27,CA24&lt;&gt;"",BT24=""),AND(CZ24&gt;=DG$27,CZ24&lt;&gt;"",CX24=""),AND(DB24&gt;=DG$27,DB24&lt;&gt;"",CX24=""),AND(DE24&gt;=DG$27,DE24&lt;&gt;"",CX24=""),AND(EA24&gt;=EG$27,EA24&lt;&gt;""),AND(EE24&gt;=EG$27,EE24&lt;&gt;""),AND(EW24&gt;=FC$27,EW24&lt;&gt;""),AND(FA24&gt;=FC$27,FA24&lt;&gt;""),AND(FS24&gt;=FY$27,FS24&lt;&gt;""),AND(FW24&gt;=FY$27,FW24&lt;&gt;""),AND(GO24&gt;=GU$27,GO24&lt;&gt;""),AND(GS24&gt;=GU$27,GS24&lt;&gt;""),AND(HK24&gt;=HQ$27,HK24&lt;&gt;""),AND(HO24&gt;=HQ$27,HO24&lt;&gt;""),AND(IG24&gt;=IM$27,IG24&lt;&gt;""),AND(IK24&gt;=IM$27,IK24&lt;&gt;""),AND(JC24&gt;=JI$27,JC24&lt;&gt;""),AND(JG24&gt;=JI$27,JG24&lt;&gt;""),AND(JY24&gt;=KE$27,JY24&lt;&gt;""),AND(KC24&gt;=KE$27,KC24&lt;&gt;""),AND(KU24&gt;=LA$27,KU24&lt;&gt;""),AND(KY24&gt;=LA$27,KY24&lt;&gt;""),AND(LQ24&gt;=LW$27,LQ24&lt;&gt;""),AND(LU24&gt;=LW$27,LU24&lt;&gt;""),AND(MM24&gt;=MS$27,MM24&lt;&gt;""),AND(MQ24&gt;=MS$27,MQ24&lt;&gt;""),AND(NI24&gt;=NO$27,NI24&lt;&gt;""),AND(NM24&gt;=NO$27,NM24&lt;&gt;"")),"National Team",""))))</f>
        <v/>
      </c>
      <c r="H24" s="125" t="str">
        <f>IF(OR(AND(AS24&gt;=AY$34,AS24&lt;&gt;"",AP24=""),AND(AU24&gt;=AY$34,AU24&lt;&gt;"",AP24=""),AND(AX24&gt;=AY$34,AX24&lt;&gt;"",AP24=""),AND(BW24&gt;=CC$34,BW24&lt;&gt;"",BT24=""),AND(BY24&gt;=CC$34,BY24&lt;&gt;"",BT24=""),AND(CB24&gt;=CC$34,CB24&lt;&gt;"",BT24=""),AND(DA24&gt;=DG$34,DA24&lt;&gt;"",CX24=""),AND(DC24&gt;=DG$34,DC24&lt;&gt;"",CX24=""),AND(DF24&gt;=DG$34,DF24&lt;&gt;"",CX24=""),AND(EC24&gt;=EG$34,EC24&lt;&gt;""),AND(EF24&gt;=EG$34,EF24&lt;&gt;""),AND(EY24&gt;=FC$34,EY24&lt;&gt;""),AND(FB24&gt;=FC$34,FB24&lt;&gt;""),AND(FU24&gt;=FY$34,FU24&lt;&gt;""),AND(FX24&gt;=FY$34,FX24&lt;&gt;""),AND(GQ24&gt;=GU$34,GQ24&lt;&gt;""),AND(GT24&gt;=GU$34,GT24&lt;&gt;""),AND(HM24&gt;=HQ$34,HM24&lt;&gt;""),AND(HP24&gt;=HQ$34,HP24&lt;&gt;""),AND(II24&gt;=IM$34,II24&lt;&gt;""),AND(IL24&gt;=IM$34,IL24&lt;&gt;""),AND(JE24&gt;=JI$34,JE24&lt;&gt;""),AND(JH24&gt;=JI$34,JH24&lt;&gt;""),AND(KA24&gt;=KE$34,KA24&lt;&gt;""),AND(KD24&gt;=KE$34,KD24&lt;&gt;""),AND(KW24&gt;=LA$34,KW24&lt;&gt;""),AND(KZ24&gt;=LA$34,KZ24&lt;&gt;""),AND(LS24&gt;=LW$34,LS24&lt;&gt;""),AND(LV24&gt;=LW$34,LV24&lt;&gt;""),AND(MO24&gt;=MS$34,MO24&lt;&gt;""),AND(MR24&gt;=MS$34,MR24&lt;&gt;""),AND(NK24&gt;=NO$34,NK24&lt;&gt;""),AND(NN24&gt;=NO$34,NN24&lt;&gt;"")),"Merit",IF(OR(AND(AS24&gt;=AY$33,AS24&lt;&gt;"",AP24=""),AND(AU24&gt;=AY$33,AU24&lt;&gt;"",AP24=""),AND(AX24&gt;=AY$33,AX24&lt;&gt;"",AP24=""),AND(BW24&gt;=CC$33,BW24&lt;&gt;"",BT24=""),AND(BY24&gt;=CC$33,BY24&lt;&gt;"",BT24=""),AND(CB24&gt;=CC$33,CB24&lt;&gt;"",BT24=""),AND(DA24&gt;=DG$33,DA24&lt;&gt;"",CX24=""),AND(DC24&gt;=DG$33,DC24&lt;&gt;"",CX24=""),AND(DF24&gt;=DG$33,DF24&lt;&gt;"",CX24=""),AND(EC24&gt;=EG$33,EC24&lt;&gt;""),AND(EF24&gt;=EG$33,EF24&lt;&gt;""),AND(EY24&gt;=FC$33,EY24&lt;&gt;""),AND(FB24&gt;=FC$33,FB24&lt;&gt;""),AND(FU24&gt;=FY$33,FU24&lt;&gt;""),AND(FX24&gt;=FY$33,FX24&lt;&gt;""),AND(GQ24&gt;=GU$33,GQ24&lt;&gt;""),AND(GT24&gt;=GU$33,GT24&lt;&gt;""),AND(HM24&gt;=HQ$33,HM24&lt;&gt;""),AND(HP24&gt;=HQ$33,HP24&lt;&gt;""),AND(II24&gt;=IM$33,II24&lt;&gt;""),AND(IL24&gt;=IM$33,IL24&lt;&gt;""),AND(JE24&gt;=JI$33,JE24&lt;&gt;""),AND(JH24&gt;=JI$33,JH24&lt;&gt;""),AND(KA24&gt;=KE$33,KA24&lt;&gt;""),AND(KD24&gt;=KE$33,KD24&lt;&gt;""),AND(KW24&gt;=LA$33,KW24&lt;&gt;""),AND(KZ24&gt;=LA$33,KZ24&lt;&gt;""),AND(LS24&gt;=LW$33,LS24&lt;&gt;""),AND(LV24&gt;=LW$33,LV24&lt;&gt;""),AND(MO24&gt;=MS$33,MO24&lt;&gt;""),AND(MR24&gt;=MS$33,MR24&lt;&gt;""),AND(NK24&gt;=NO$33,NK24&lt;&gt;""),AND(NN24&gt;=NO$33,NN24&lt;&gt;"")),"Excellence",IF(OR(AND(AV24&gt;=AY$32,AV24&lt;&gt;"",AP24=""),AND(BZ24&gt;=CC$32,BZ24&lt;&gt;"",BT24=""),AND(DD24&gt;=DG$32,DD24&lt;&gt;"",CX24=""),AND(ED24&gt;=EG$32,ED24&lt;&gt;""),AND(EZ24&gt;=FC$32,EZ24&lt;&gt;""),AND(FV24&gt;=FY$32,FV24&lt;&gt;""),AND(GR24&gt;=GU$32,GR24&lt;&gt;""),AND(HN24&gt;=HQ$32,HN24&lt;&gt;""),AND(IJ24&gt;=IM$32,IJ24&lt;&gt;""),AND(JF24&gt;=JI$32,JF24&lt;&gt;""),AND(KB24&gt;=KE$32,KB24&lt;&gt;""),AND(KX24&gt;=LA$32,KX24&lt;&gt;""),AND(LT24&gt;=LW$32,LT24&lt;&gt;""),AND(MP24&gt;=MS$32,MP24&lt;&gt;""),AND(NL24&gt;=NO$32,NL24&lt;&gt;"")),"Worlds Team",IF(OR(AND(AV24&gt;=AY$31,AV24&lt;&gt;"",AP24=""),AND(BZ24&gt;=CC$31,BZ24&lt;&gt;"",BT24=""),AND(DD24&gt;=DG$31,DD24&lt;&gt;"",CX24=""),AND(ED24&gt;=EG$31,ED24&lt;&gt;""),AND(EZ24&gt;=FC$31,EZ24&lt;&gt;""),AND(FV24&gt;=FY$31,FV24&lt;&gt;""),AND(GR24&gt;=GU$31,GR24&lt;&gt;""),AND(HN24&gt;=HQ$31,HN24&lt;&gt;""),AND(IJ24&gt;=IM$31,IJ24&lt;&gt;""),AND(JF24&gt;=JI$31,JF24&lt;&gt;""),AND(KB24&gt;=KE$31,KB24&lt;&gt;""),AND(KX24&gt;=LA$31,KX24&lt;&gt;""),AND(LT24&gt;=LW$31,LT24&lt;&gt;""),AND(MP24&gt;=MS$31,MP24&lt;&gt;""),AND(NL24&gt;=NO$31,NL24&lt;&gt;"")),"National Team",""))))</f>
        <v/>
      </c>
      <c r="I24" s="126" t="str">
        <f>IF(AND(G24="Merit",H24="Merit"),"Merit",IF(AND(OR(G24="Merit",G24="Excellence"),OR(H24="Merit",H24="Excellence")),"Excellence",IF(AND(OR(G24="Merit",G24="Excellence",G24="Worlds Team"),OR(H24="Merit",H24="Excellence",H24="Worlds Team")),"Worlds Team",IF(AND(OR(G24="Merit",G24="Excellence",G24="Worlds Team",G24="National Team"),OR(H24="Merit",H24="Excellence",H24="Worlds Team",H24="National Team")),"National Team",IF(OR(H24="Merit",H24="Excellence",H24="Worlds Team",H24="National Team"),"No DD","")))))</f>
        <v/>
      </c>
      <c r="J24" s="3" t="str">
        <f>IF(AND(OR(AND(AV24&gt;=AY$32,AV24&lt;&gt;"",AP24=""),AND(BZ24&gt;=CC$32,BZ24&lt;&gt;"",BT24=""),AND(DD24&gt;=DG$32,DD24&lt;&gt;"",CX24=""),AND(ED24&gt;=EG$32,ED24&lt;&gt;""),AND(EZ24&gt;=FC$32,EZ24&lt;&gt;""),AND(FV24&gt;=FY$32,FV24&lt;&gt;""),AND(GR24&gt;=GU$32,GR24&lt;&gt;""),AND(HN24&gt;=HQ$32,HN24&lt;&gt;""),AND(IJ24&gt;=IM$32,IJ24&lt;&gt;""),AND(JF24&gt;=JI$32,JF24&lt;&gt;""),AND(KB24&gt;=KE$32,KB24&lt;&gt;""),AND(KX24&gt;=LA$32,KX24&lt;&gt;""),AND(LT24&gt;=LW$32,LT24&lt;&gt;""),AND(MP24&gt;=MS$32,MP24&lt;&gt;""),AND(NL24&gt;=NO$32,NL24&lt;&gt;"")),OR(G24="Worlds Team",G24="Excellence",G24="Merit")),"P","")</f>
        <v/>
      </c>
      <c r="K24" s="14">
        <f>IF(MAX(AV24,BZ24,DD24)&gt;0,MAX(AV24,BZ24,DD24),0)</f>
        <v>63.315000000000005</v>
      </c>
      <c r="L24" s="14" t="str">
        <f>IF(K24=0,"",IF(K24=DD24,$CD$1,IF(K24=BZ24,$AZ$1,IF(K24=AV24,$V$1,""))))</f>
        <v>2019 Nationals</v>
      </c>
      <c r="M24" s="14">
        <f>IF($K24=$AV24,MAX(BU24,CY24),IF($K24=$BZ24,MAX(AQ24,CY24),IF($K24=$DD24,MAX(AQ24,BU24),MAX(AQ24,BU24,CY24))))</f>
        <v>48.84</v>
      </c>
      <c r="N24" s="14" t="str">
        <f>IF(M24=0,"",IF(AND(M24=CY24,$L24&lt;&gt;$CD$1),$CD$1,IF(AND(M24=BU24,$L24&lt;&gt;$AZ$1),$AZ$1,IF(AND(M24=AQ24,$L24&lt;&gt;$V$1),$V$1,""))))</f>
        <v>2019 Elite Canada</v>
      </c>
      <c r="O24" s="14">
        <f>IF(K24-N(AQ24)=AS24,MAX(AU24,BW24,BY24,DA24,DC24),IF(K24-N(AQ24)=AU24,MAX(AS24,BW24,BY24,DA24,DC24),IF(K24-N(BU24)=BW24,MAX(AS24,AU24,BY24,DA24,DC24),IF(K24-N(BU24)=BY24,MAX(AS24,AU24,BW24,DA24,DC24),IF(K24-N(CY24)=DA24,MAX(AS24,AU24,BW24,BY24,DC24),IF(K24-N(CY24)=DC24,MAX(AS24,AU24,BW24,BY24,DA24),MAX(AS24,AU24,BW24,BY24,DA24,DC24)))))))</f>
        <v>11.639999999999999</v>
      </c>
      <c r="P24" s="14" t="str">
        <f>IF(O24=0,"",IF(OR(O24=DC24,O24=DA24),$CD$1,IF(OR(O24=BY24,O24=BW24),$AZ$1,IF(OR(O24=AU24,O24=AS24),$V$1,""))))</f>
        <v>2019 Elite Canada</v>
      </c>
      <c r="Q24" s="14">
        <f>MAX(AX24,CB24,DF24)</f>
        <v>0</v>
      </c>
      <c r="R24" s="14" t="str">
        <f>IF(Q24=0,"",IF(Q24=DF24,$CD$1,IF(Q24=CB24,$AZ$1,IF(Q24=AX24,$V$1,""))))</f>
        <v/>
      </c>
      <c r="S24" s="14" t="str">
        <f>IF(MAX(DH24,DI24,DJ24,DK24)&gt;0,MAX(DH24,DI24,DJ24,DK24),"")</f>
        <v/>
      </c>
      <c r="T24" s="25" t="str">
        <f>IF(S24="","",IF(S24=DH24,"(Vol 1)",IF(S24=DI24,"(Vol 2)",IF(S24=DJ24,"(Prelim)",IF(S24=DK24,"(Final)")))))</f>
        <v/>
      </c>
      <c r="U24" s="14" t="str">
        <f>IF(S24="","",IF(S24=DH24,IF(S24+IF(M24="",0,M24)=NJ24,$MT$1,IF(S24+IF(M24="",0,M24)=MN24,$LX$1,IF(S24+IF(M24="",0,M24)=LR24,$LB$1,IF(S24+IF(M24="",0,M24)=KV24,$KF$1,IF(S24+IF(M24="",0,M24)=JZ24,$JJ$1,IF(S24+IF(M24="",0,M24)=JD24,$IN$1,IF(S24+IF(M24="",0,M24)=IH24,$HR$1,IF(S24+IF(M24="",0,M24)=HL24,$GV$1,IF(S24+IF(M24="",0,M24)=GP24,$FZ$1,IF(S24+IF(M24="",0,M24)=FT24,$FD$1,IF(S24+IF(M24="",0,M24)=EX24,$EH$1,IF(S24+IF(M24="",0,M24)=EB24,$DL$1)))))))))))),IF(S24=DI24,IF(S24+IF(O24="",0,O24)=NK24,$MT$1,IF(S24+IF(O24="",0,O24)=MO24,$LX$1,IF(S24+IF(O24="",0,O24)=LS24,$LB$1,IF(S24+IF(O24="",0,O24)=KW24,$KF$1,IF(S24+IF(O24="",0,O24)=KA24,$JJ$1,IF(S24+IF(O24="",0,O24)=JE24,$IN$1,IF(S24+IF(O24="",0,O24)=II24,$HR$1,IF(S24+IF(O24="",0,O24)=HM24,$GV$1,IF(S24+IF(O24="",0,O24)=GQ24,$FZ$1,IF(S24+IF(O24="",0,O24)=FU24,$FD$1,IF(S24+IF(O24="",0,O24)=EY24,$EH$1,IF(S24+IF(O24="",0,O24)=EC24,$DL$1)))))))))))),IF(S24=DJ24,IF(S24+IF(K24="",0,K24)=NL24,$MT$1,IF(S24+IF(K24="",0,K24)=MP24,$LX$1,IF(S24+IF(K24="",0,K24)=LT24,$LB$1,IF(S24+IF(K24="",0,K24)=KX24,$KF$1,IF(S24+IF(K24="",0,K24)=KB24,$JJ$1,IF(S24+IF(K24="",0,K24)=JF24,$IN$1,IF(S24+IF(K24="",0,K24)=IJ24,$HR$1,IF(S24+IF(K24="",0,K24)=HN24,$GV$1,IF(S24+IF(K24="",0,K24)=GR24,$FZ$1,IF(S24+IF(K24="",0,K24)=FV24,$FD$1,IF(S24+IF(K24="",0,K24)=EZ24,$EH$1,IF(S24+IF(K24="",0,K24)=ED24,$DL$1)))))))))))),IF(S24=DK24,IF(S24+IF(Q24="",0,Q24)=NN24,$MT$1,IF(S24+IF(Q24="",0,Q24)=MR24,$LX$1,IF(S24+IF(Q24="",0,Q24)=LV24,$LB$1,IF(S24+IF(Q24="",0,Q24)=KZ24,$KF$1,IF(S24+IF(Q24="",0,Q24)=KD24,$JJ$1,IF(S24+IF(Q24="",0,Q24)=JH24,$IN$1,IF(S24+IF(Q24="",0,Q24)=IL24,$HR$1,IF(S24+IF(Q24="",0,Q24)=HP24,$GV$1,IF(S24+IF(Q24="",0,Q24)=GT24,$FZ$1,IF(S24+IF(Q24="",0,Q24)=FX24,$FD$1,IF(S24+IF(Q24="",0,Q24)=FB24,$EH$1,IF(S24+IF(Q24="",0,Q24)=EF24,$DL$1)))))))))))))))))</f>
        <v/>
      </c>
      <c r="V24" s="69">
        <v>17.5</v>
      </c>
      <c r="W24" s="69">
        <v>9.15</v>
      </c>
      <c r="X24" s="69">
        <v>5.6</v>
      </c>
      <c r="Y24" s="69">
        <v>16.59</v>
      </c>
      <c r="Z24" s="69">
        <v>0</v>
      </c>
      <c r="AA24" s="69">
        <v>2.8</v>
      </c>
      <c r="AB24" s="69">
        <v>1.6</v>
      </c>
      <c r="AC24" s="69">
        <v>3.8</v>
      </c>
      <c r="AD24" s="69">
        <v>3.44</v>
      </c>
      <c r="AE24" s="69">
        <v>0</v>
      </c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80"/>
      <c r="AQ24" s="11">
        <f>IF(SUM(V24:Y24)-Z24&gt;0,SUM(V24:Y24)-Z24,"")</f>
        <v>48.84</v>
      </c>
      <c r="AR24" s="11">
        <f>IF(AC24&gt;0,AC24,"")</f>
        <v>3.8</v>
      </c>
      <c r="AS24" s="11">
        <f>IF(SUM(AA24:AD24)-AE24&gt;0,SUM(AA24:AD24)-AE24,"")</f>
        <v>11.639999999999999</v>
      </c>
      <c r="AT24" s="11" t="str">
        <f>IF(AH24&gt;0,AH24,"")</f>
        <v/>
      </c>
      <c r="AU24" s="11" t="str">
        <f>IF(SUM(AF24:AI24)-AJ24&gt;0,SUM(AF24:AI24)-AJ24,"")</f>
        <v/>
      </c>
      <c r="AV24" s="11">
        <f>IF(OR(AQ24&lt;&gt;"",AS24&lt;&gt;"",AU24&lt;&gt;""),AQ24+MAX(AS24,AU24),"")</f>
        <v>60.480000000000004</v>
      </c>
      <c r="AW24" s="11" t="str">
        <f>IF(AM24&gt;0,AM24,"")</f>
        <v/>
      </c>
      <c r="AX24" s="11" t="str">
        <f>IF(SUM(AK24:AN24)-AO24&gt;0,SUM(AK24:AN24)-AO24,"")</f>
        <v/>
      </c>
      <c r="AY24" s="11">
        <f>IF(SUM(AV24,AX24)&gt;0,SUM(AV24,AX24),"")</f>
        <v>60.480000000000004</v>
      </c>
      <c r="AZ24" s="75">
        <v>5.9</v>
      </c>
      <c r="BA24" s="75">
        <v>2.8</v>
      </c>
      <c r="BB24" s="75">
        <v>0</v>
      </c>
      <c r="BC24" s="75">
        <v>4.8550000000000004</v>
      </c>
      <c r="BD24" s="75">
        <v>0</v>
      </c>
      <c r="BE24" s="75">
        <v>13.9</v>
      </c>
      <c r="BF24" s="75">
        <v>8.9</v>
      </c>
      <c r="BG24" s="75">
        <v>12.7</v>
      </c>
      <c r="BH24" s="75">
        <v>15.06</v>
      </c>
      <c r="BI24" s="75">
        <v>0.8</v>
      </c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81"/>
      <c r="BU24" s="14">
        <f>IF(SUM(AZ24:BC24)-BD24&gt;0,SUM(AZ24:BC24)-BD24,"")</f>
        <v>13.555</v>
      </c>
      <c r="BV24" s="14">
        <f>IF(BG24&gt;0,BG24,"")</f>
        <v>12.7</v>
      </c>
      <c r="BW24" s="14">
        <f>IF(SUM(BE24:BH24)-BI24&gt;0,SUM(BE24:BH24)-BI24,"")</f>
        <v>49.760000000000005</v>
      </c>
      <c r="BX24" s="14" t="str">
        <f>IF(BL24&gt;0,BL24,"")</f>
        <v/>
      </c>
      <c r="BY24" s="14" t="str">
        <f>IF(SUM(BJ24:BM24)-BN24&gt;0,SUM(BJ24:BM24)-BN24,"")</f>
        <v/>
      </c>
      <c r="BZ24" s="14">
        <f>IF(BU24="",IF(MAX(BW24,BY24)&gt;0,MAX(BW24,BY24),""),MAX(BW24,BY24)+BU24)</f>
        <v>63.315000000000005</v>
      </c>
      <c r="CA24" s="14" t="str">
        <f>IF(BQ24&gt;0,BQ24,"")</f>
        <v/>
      </c>
      <c r="CB24" s="14" t="str">
        <f>IF(SUM(BO24:BR24)-BS24&gt;0,SUM(BO24:BR24)-BS24,"")</f>
        <v/>
      </c>
      <c r="CC24" s="14">
        <f>IF(SUM(BZ24,CB24)&gt;0,SUM(BZ24,CB24),"")</f>
        <v>63.315000000000005</v>
      </c>
      <c r="CD24" s="69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  <c r="CP24" s="69"/>
      <c r="CQ24" s="69"/>
      <c r="CR24" s="69"/>
      <c r="CS24" s="69"/>
      <c r="CT24" s="69"/>
      <c r="CU24" s="69"/>
      <c r="CV24" s="69"/>
      <c r="CW24" s="69"/>
      <c r="CX24" s="80"/>
      <c r="CY24" s="11" t="str">
        <f>IF(SUM(CD24:CG24)-CH24&gt;0,SUM(CD24:CG24)-CH24,"")</f>
        <v/>
      </c>
      <c r="CZ24" s="11" t="str">
        <f>IF(CK24&gt;0,CK24,"")</f>
        <v/>
      </c>
      <c r="DA24" s="11" t="str">
        <f>IF(SUM(CI24:CL24)-CM24&gt;0,SUM(CI24:CL24)-CM24,"")</f>
        <v/>
      </c>
      <c r="DB24" s="11" t="str">
        <f>IF(CP24&gt;0,CP24,"")</f>
        <v/>
      </c>
      <c r="DC24" s="11" t="str">
        <f>IF(SUM(CN24:CQ24)-CR24&gt;0,SUM(CN24:CQ24)-CR24,"")</f>
        <v/>
      </c>
      <c r="DD24" s="11" t="str">
        <f>IF(CY24="",IF(MAX(DA24,DC24)&gt;0,MAX(DA24,DC24),""),MAX(DA24,DC24)+CY24)</f>
        <v/>
      </c>
      <c r="DE24" s="11" t="str">
        <f>IF(CU24&gt;0,CU24,"")</f>
        <v/>
      </c>
      <c r="DF24" s="11" t="str">
        <f>IF(SUM(CS24:CV24)-CW24&gt;0,SUM(CS24:CV24)-CW24,"")</f>
        <v/>
      </c>
      <c r="DG24" s="11" t="str">
        <f>IF(SUM(DD24,DF24)&gt;0,SUM(DD24,DF24),"")</f>
        <v/>
      </c>
      <c r="DH24" s="24" t="str">
        <f>IF(MAX(EB24,EX24,FT24,GP24,HL24,IH24,JD24,JZ24,KV24,LR24,MN24,NJ24)-IF(M24="",0,M24)&gt;0.001,MAX(EB24,EX24,FT24,GP24,HL24,IH24,JD24,JZ24,KV24,LR24,MN24,NJ24)-IF(M24="",0,M24),"")</f>
        <v/>
      </c>
      <c r="DI24" s="24" t="str">
        <f>IF(MAX(EC24,EY24,FU24,GQ24,HM24,II24,JE24,KA24,KW24,LS24,MO24,NK24)-IF(O24="",0,O24)&gt;0.001,MAX(EC24,EY24,FU24,GQ24,HM24,II24,JE24,KA24,KW24,LS24,MO24,NK24)-IF(O24="",0,O24),"")</f>
        <v/>
      </c>
      <c r="DJ24" s="24" t="str">
        <f>IF(MAX(ED24,EZ24,FV24,GR24,HN24,IJ24,JF24,KB24,KX24,LT24,MP24,NL24)-IF(K24="",0,K24)&gt;0.001,MAX(ED24,EZ24,FV24,GR24,HN24,IJ24,JF24,KB24,KX24,LT24,MP24,NL24)-IF(K24="",0,K24),"")</f>
        <v/>
      </c>
      <c r="DK24" s="24" t="str">
        <f>IF(MAX(EF24,FB24,FX24,GT24,HP24,IL24,JH24,KD24,KZ24,LV24,MR24,NN24)-IF(Q24="",0,Q24)&gt;0.001,MAX(EF24,FB24,FX24,GT24,HP24,IL24,JH24,KD24,KZ24,LV24,MR24,NN24)-IF(Q24="",0,Q24),"")</f>
        <v/>
      </c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11" t="str">
        <f>IF(DS24&gt;0,DS24,"")</f>
        <v/>
      </c>
      <c r="EB24" s="11" t="str">
        <f>IF(SUM(DL24:DO24)-DP24&gt;0,SUM(DL24:DO24)-DP24,"")</f>
        <v/>
      </c>
      <c r="EC24" s="11" t="str">
        <f>IF(SUM(DQ24:DT24)-DU24&gt;0,SUM(DQ24:DT24)-DU24,"")</f>
        <v/>
      </c>
      <c r="ED24" s="11" t="str">
        <f>IF(SUM(EB24:EC24)&gt;0,SUM(EB24:EC24),"")</f>
        <v/>
      </c>
      <c r="EE24" s="11" t="str">
        <f>IF(DX24&gt;0,DX24,"")</f>
        <v/>
      </c>
      <c r="EF24" s="11" t="str">
        <f>IF(SUM(DV24:DY24)-DZ24&gt;0,SUM(DV24:DY24)-DZ24,"")</f>
        <v/>
      </c>
      <c r="EG24" s="11" t="str">
        <f>IF(SUM(ED24,EF24)&gt;0,SUM(ED24,EF24),"")</f>
        <v/>
      </c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14" t="str">
        <f>IF(EO24&gt;0,EO24,"")</f>
        <v/>
      </c>
      <c r="EX24" s="14" t="str">
        <f>IF(SUM(EH24:EK24)-EL24&gt;0,SUM(EH24:EK24)-EL24,"")</f>
        <v/>
      </c>
      <c r="EY24" s="14" t="str">
        <f>IF(SUM(EM24:EP24)-EQ24&gt;0,SUM(EM24:EP24)-EQ24,"")</f>
        <v/>
      </c>
      <c r="EZ24" s="14" t="str">
        <f>IF(SUM(EX24:EY24)&gt;0,SUM(EX24:EY24),"")</f>
        <v/>
      </c>
      <c r="FA24" s="14" t="str">
        <f>IF(ET24&gt;0,ET24,"")</f>
        <v/>
      </c>
      <c r="FB24" s="14" t="str">
        <f>IF(SUM(ER24:EU24)-EV24&gt;0,SUM(ER24:EU24)-EV24,"")</f>
        <v/>
      </c>
      <c r="FC24" s="14" t="str">
        <f>IF(SUM(EZ24,FB24)&gt;0,SUM(EZ24,FB24),"")</f>
        <v/>
      </c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11" t="str">
        <f>IF(FK24&gt;0,FK24,"")</f>
        <v/>
      </c>
      <c r="FT24" s="11" t="str">
        <f>IF(SUM(FD24:FG24)-FH24&gt;0,SUM(FD24:FG24)-FH24,"")</f>
        <v/>
      </c>
      <c r="FU24" s="11" t="str">
        <f>IF(SUM(FI24:FL24)-FM24&gt;0,SUM(FI24:FL24)-FM24,"")</f>
        <v/>
      </c>
      <c r="FV24" s="11" t="str">
        <f>IF(SUM(FT24:FU24)&gt;0,SUM(FT24:FU24),"")</f>
        <v/>
      </c>
      <c r="FW24" s="11" t="str">
        <f>IF(FP24&gt;0,FP24,"")</f>
        <v/>
      </c>
      <c r="FX24" s="11" t="str">
        <f>IF(SUM(FN24:FQ24)-FR24&gt;0,SUM(FN24:FQ24)-FR24,"")</f>
        <v/>
      </c>
      <c r="FY24" s="11" t="str">
        <f>IF(SUM(FV24,FX24)&gt;0,SUM(FV24,FX24),"")</f>
        <v/>
      </c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14" t="str">
        <f>IF(GG24&gt;0,GG24,"")</f>
        <v/>
      </c>
      <c r="GP24" s="14" t="str">
        <f>IF(SUM(FZ24:GC24)-GD24&gt;0,SUM(FZ24:GC24)-GD24,"")</f>
        <v/>
      </c>
      <c r="GQ24" s="14" t="str">
        <f>IF(SUM(GE24:GH24)-GI24&gt;0,SUM(GE24:GH24)-GI24,"")</f>
        <v/>
      </c>
      <c r="GR24" s="14" t="str">
        <f>IF(SUM(GP24:GQ24)&gt;0,SUM(GP24:GQ24),"")</f>
        <v/>
      </c>
      <c r="GS24" s="14" t="str">
        <f>IF(GL24&gt;0,GL24,"")</f>
        <v/>
      </c>
      <c r="GT24" s="14" t="str">
        <f>IF(SUM(GJ24:GM24)-GN24&gt;0,SUM(GJ24:GM24)-GN24,"")</f>
        <v/>
      </c>
      <c r="GU24" s="14" t="str">
        <f>IF(SUM(GR24,GT24)&gt;0,SUM(GR24,GT24),"")</f>
        <v/>
      </c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11" t="str">
        <f>IF(HC24&gt;0,HC24,"")</f>
        <v/>
      </c>
      <c r="HL24" s="11" t="str">
        <f>IF(SUM(GV24:GY24)-GZ24&gt;0,SUM(GV24:GY24)-GZ24,"")</f>
        <v/>
      </c>
      <c r="HM24" s="11" t="str">
        <f>IF(SUM(HA24:HD24)-HE24&gt;0,SUM(HA24:HD24)-HE24,"")</f>
        <v/>
      </c>
      <c r="HN24" s="11" t="str">
        <f>IF(SUM(HL24:HM24)&gt;0,SUM(HL24:HM24),"")</f>
        <v/>
      </c>
      <c r="HO24" s="11" t="str">
        <f>IF(HH24&gt;0,HH24,"")</f>
        <v/>
      </c>
      <c r="HP24" s="11" t="str">
        <f>IF(SUM(HF24:HI24)-HJ24&gt;0,SUM(HF24:HI24)-HJ24,"")</f>
        <v/>
      </c>
      <c r="HQ24" s="11" t="str">
        <f>IF(SUM(HN24,HP24)&gt;0,SUM(HN24,HP24),"")</f>
        <v/>
      </c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14" t="str">
        <f>IF(HY24&gt;0,HY24,"")</f>
        <v/>
      </c>
      <c r="IH24" s="14" t="str">
        <f>IF(SUM(HR24:HU24)-HV24&gt;0,SUM(HR24:HU24)-HV24,"")</f>
        <v/>
      </c>
      <c r="II24" s="14" t="str">
        <f>IF(SUM(HW24:HZ24)-IA24&gt;0,SUM(HW24:HZ24)-IA24,"")</f>
        <v/>
      </c>
      <c r="IJ24" s="14" t="str">
        <f>IF(SUM(IH24:II24)&gt;0,SUM(IH24:II24),"")</f>
        <v/>
      </c>
      <c r="IK24" s="14" t="str">
        <f>IF(ID24&gt;0,ID24,"")</f>
        <v/>
      </c>
      <c r="IL24" s="14" t="str">
        <f>IF(SUM(IB24:IE24)-IF24&gt;0,SUM(IB24:IE24)-IF24,"")</f>
        <v/>
      </c>
      <c r="IM24" s="14" t="str">
        <f>IF(SUM(IJ24,IL24)&gt;0,SUM(IJ24,IL24),"")</f>
        <v/>
      </c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11" t="str">
        <f>IF(IU24&gt;0,IU24,"")</f>
        <v/>
      </c>
      <c r="JD24" s="11" t="str">
        <f>IF(SUM(IN24:IQ24)-IR24&gt;0,SUM(IN24:IQ24)-IR24,"")</f>
        <v/>
      </c>
      <c r="JE24" s="11" t="str">
        <f>IF(SUM(IS24:IV24)-IW24&gt;0,SUM(IS24:IV24)-IW24,"")</f>
        <v/>
      </c>
      <c r="JF24" s="11" t="str">
        <f>IF(SUM(JD24:JE24)&gt;0,SUM(JD24:JE24),"")</f>
        <v/>
      </c>
      <c r="JG24" s="11" t="str">
        <f>IF(IZ24&gt;0,IZ24,"")</f>
        <v/>
      </c>
      <c r="JH24" s="11" t="str">
        <f>IF(SUM(IX24:JA24)-JB24&gt;0,SUM(IX24:JA24)-JB24,"")</f>
        <v/>
      </c>
      <c r="JI24" s="11" t="str">
        <f>IF(SUM(JF24,JH24)&gt;0,SUM(JF24,JH24),"")</f>
        <v/>
      </c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38"/>
      <c r="JU24" s="38"/>
      <c r="JV24" s="38"/>
      <c r="JW24" s="38"/>
      <c r="JX24" s="38"/>
      <c r="JY24" s="14" t="str">
        <f>IF(JQ24&gt;0,JQ24,"")</f>
        <v/>
      </c>
      <c r="JZ24" s="14" t="str">
        <f>IF(SUM(JJ24:JM24)-JN24&gt;0,SUM(JJ24:JM24)-JN24,"")</f>
        <v/>
      </c>
      <c r="KA24" s="14" t="str">
        <f>IF(SUM(JO24:JR24)-JS24&gt;0,SUM(JO24:JR24)-JS24,"")</f>
        <v/>
      </c>
      <c r="KB24" s="14" t="str">
        <f>IF(SUM(JZ24:KA24)&gt;0,SUM(JZ24:KA24),"")</f>
        <v/>
      </c>
      <c r="KC24" s="14" t="str">
        <f>IF(JV24&gt;0,JV24,"")</f>
        <v/>
      </c>
      <c r="KD24" s="14" t="str">
        <f>IF(SUM(JT24:JW24)-JX24&gt;0,SUM(JT24:JW24)-JX24,"")</f>
        <v/>
      </c>
      <c r="KE24" s="14" t="str">
        <f>IF(SUM(KB24,KD24)&gt;0,SUM(KB24,KD24),"")</f>
        <v/>
      </c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11" t="str">
        <f>IF(KM24&gt;0,KM24,"")</f>
        <v/>
      </c>
      <c r="KV24" s="11" t="str">
        <f>IF(SUM(KF24:KI24)-KJ24&gt;0,SUM(KF24:KI24)-KJ24,"")</f>
        <v/>
      </c>
      <c r="KW24" s="11" t="str">
        <f>IF(SUM(KK24:KN24)-KO24&gt;0,SUM(KK24:KN24)-KO24,"")</f>
        <v/>
      </c>
      <c r="KX24" s="11" t="str">
        <f>IF(SUM(KV24:KW24)&gt;0,SUM(KV24:KW24),"")</f>
        <v/>
      </c>
      <c r="KY24" s="11" t="str">
        <f>IF(KR24&gt;0,KR24,"")</f>
        <v/>
      </c>
      <c r="KZ24" s="11" t="str">
        <f>IF(SUM(KP24:KS24)-KT24&gt;0,SUM(KP24:KS24)-KT24,"")</f>
        <v/>
      </c>
      <c r="LA24" s="11" t="str">
        <f>IF(SUM(KX24,KZ24)&gt;0,SUM(KX24,KZ24),"")</f>
        <v/>
      </c>
      <c r="LB24" s="38"/>
      <c r="LC24" s="38"/>
      <c r="LD24" s="38"/>
      <c r="LE24" s="38"/>
      <c r="LF24" s="38"/>
      <c r="LG24" s="38"/>
      <c r="LH24" s="38"/>
      <c r="LI24" s="38"/>
      <c r="LJ24" s="38"/>
      <c r="LK24" s="38"/>
      <c r="LL24" s="38"/>
      <c r="LM24" s="38"/>
      <c r="LN24" s="38"/>
      <c r="LO24" s="38"/>
      <c r="LP24" s="38"/>
      <c r="LQ24" s="14" t="str">
        <f>IF(LI24&gt;0,LI24,"")</f>
        <v/>
      </c>
      <c r="LR24" s="14" t="str">
        <f>IF(SUM(LB24:LE24)-LF24&gt;0,SUM(LB24:LE24)-LF24,"")</f>
        <v/>
      </c>
      <c r="LS24" s="14" t="str">
        <f>IF(SUM(LG24:LJ24)-LK24&gt;0,SUM(LG24:LJ24)-LK24,"")</f>
        <v/>
      </c>
      <c r="LT24" s="14" t="str">
        <f>IF(SUM(LR24:LS24)&gt;0,SUM(LR24:LS24),"")</f>
        <v/>
      </c>
      <c r="LU24" s="14" t="str">
        <f>IF(LN24&gt;0,LN24,"")</f>
        <v/>
      </c>
      <c r="LV24" s="14" t="str">
        <f>IF(SUM(LL24:LO24)-LP24&gt;0,SUM(LL24:LO24)-LP24,"")</f>
        <v/>
      </c>
      <c r="LW24" s="14" t="str">
        <f>IF(SUM(LT24,LV24)&gt;0,SUM(LT24,LV24),"")</f>
        <v/>
      </c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11" t="str">
        <f>IF(ME24&gt;0,ME24,"")</f>
        <v/>
      </c>
      <c r="MN24" s="11" t="str">
        <f>IF(SUM(LX24:MA24)-MB24&gt;0,SUM(LX24:MA24)-MB24,"")</f>
        <v/>
      </c>
      <c r="MO24" s="11" t="str">
        <f>IF(SUM(MC24:MF24)-MG24&gt;0,SUM(MC24:MF24)-MG24,"")</f>
        <v/>
      </c>
      <c r="MP24" s="11" t="str">
        <f>IF(SUM(MN24:MO24)&gt;0,SUM(MN24:MO24),"")</f>
        <v/>
      </c>
      <c r="MQ24" s="11" t="str">
        <f>IF(MJ24&gt;0,MJ24,"")</f>
        <v/>
      </c>
      <c r="MR24" s="11" t="str">
        <f>IF(SUM(MH24:MK24)-ML24&gt;0,SUM(MH24:MK24)-ML24,"")</f>
        <v/>
      </c>
      <c r="MS24" s="11" t="str">
        <f>IF(SUM(MP24,MR24)&gt;0,SUM(MP24,MR24),"")</f>
        <v/>
      </c>
      <c r="MT24" s="38"/>
      <c r="MU24" s="38"/>
      <c r="MV24" s="38"/>
      <c r="MW24" s="38"/>
      <c r="MX24" s="38"/>
      <c r="MY24" s="38"/>
      <c r="MZ24" s="38"/>
      <c r="NA24" s="38"/>
      <c r="NB24" s="38"/>
      <c r="NC24" s="38"/>
      <c r="ND24" s="38"/>
      <c r="NE24" s="38"/>
      <c r="NF24" s="38"/>
      <c r="NG24" s="38"/>
      <c r="NH24" s="38"/>
      <c r="NI24" s="14" t="str">
        <f>IF(NA24&gt;0,NA24,"")</f>
        <v/>
      </c>
      <c r="NJ24" s="14" t="str">
        <f>IF(SUM(MT24:MW24)-MX24&gt;0,SUM(MT24:MW24)-MX24,"")</f>
        <v/>
      </c>
      <c r="NK24" s="14" t="str">
        <f>IF(SUM(MY24:NB24)-NC24&gt;0,SUM(MY24:NB24)-NC24,"")</f>
        <v/>
      </c>
      <c r="NL24" s="14" t="str">
        <f>IF(SUM(NJ24:NK24)&gt;0,SUM(NJ24:NK24),"")</f>
        <v/>
      </c>
      <c r="NM24" s="14" t="str">
        <f>IF(NF24&gt;0,NF24,"")</f>
        <v/>
      </c>
      <c r="NN24" s="14" t="str">
        <f>IF(SUM(ND24:NG24)-NH24&gt;0,SUM(ND24:NG24)-NH24,"")</f>
        <v/>
      </c>
      <c r="NO24" s="14" t="str">
        <f>IF(SUM(NL24,NN24)&gt;0,SUM(NL24,NN24),"")</f>
        <v/>
      </c>
      <c r="NP24" s="69">
        <f>IF($CX24="P",CD24,(CD24+AZ24)/2)</f>
        <v>2.95</v>
      </c>
      <c r="NQ24" s="69">
        <f>IF($CX24="P",CE24,(CE24+BA24)/2)</f>
        <v>1.4</v>
      </c>
      <c r="NR24" s="69">
        <f>IF($CX24="P",CF24,(CF24+BB24)/2)</f>
        <v>0</v>
      </c>
      <c r="NS24" s="69">
        <f>IF($CX24="P",CG24,(CG24+BC24)/2)</f>
        <v>2.4275000000000002</v>
      </c>
      <c r="NT24" s="69">
        <f>IF($CX24="P",CH24,(CH24+BD24)/2)</f>
        <v>0</v>
      </c>
      <c r="NU24" s="69">
        <f>IF($CX24="P",CI24,(CI24+BE24)/2)</f>
        <v>6.95</v>
      </c>
      <c r="NV24" s="69">
        <f>IF($CX24="P",CJ24,(CJ24+BF24)/2)</f>
        <v>4.45</v>
      </c>
      <c r="NW24" s="69">
        <f>IF($CX24="P",CK24,(CK24+BG24)/2)</f>
        <v>6.35</v>
      </c>
      <c r="NX24" s="69">
        <f>IF($CX24="P",CL24,(CL24+BH24)/2)</f>
        <v>7.53</v>
      </c>
      <c r="NY24" s="69">
        <f>IF($CX24="P",CM24,(CM24+BI24)/2)</f>
        <v>0.4</v>
      </c>
      <c r="NZ24" s="69">
        <f>IF($CX24="P",CN24,(CN24+BJ24)/2)</f>
        <v>0</v>
      </c>
      <c r="OA24" s="69">
        <f>IF($CX24="P",CO24,(CO24+BK24)/2)</f>
        <v>0</v>
      </c>
      <c r="OB24" s="69">
        <f>IF($CX24="P",CP24,(CP24+BL24)/2)</f>
        <v>0</v>
      </c>
      <c r="OC24" s="69">
        <f>IF($CX24="P",CQ24,(CQ24+BM24)/2)</f>
        <v>0</v>
      </c>
      <c r="OD24" s="69">
        <f>IF($CX24="P",CR24,(CR24+BN24)/2)</f>
        <v>0</v>
      </c>
      <c r="OE24" s="69">
        <f>IF($CX24="P",CS24,(CS24+BO24)/2)</f>
        <v>0</v>
      </c>
      <c r="OF24" s="69">
        <f>IF($CX24="P",CT24,(CT24+BP24)/2)</f>
        <v>0</v>
      </c>
      <c r="OG24" s="69">
        <f>IF($CX24="P",CU24,(CU24+BQ24)/2)</f>
        <v>0</v>
      </c>
      <c r="OH24" s="69">
        <f>IF($CX24="P",CV24,(CV24+BR24)/2)</f>
        <v>0</v>
      </c>
      <c r="OI24" s="69">
        <f>IF($CX24="P",CW24,(CW24+BS24)/2)</f>
        <v>0</v>
      </c>
      <c r="OJ24" s="80" t="s">
        <v>91</v>
      </c>
      <c r="OK24" s="11">
        <f>IF(SUM(NP24:NS24)-NT24&gt;0,SUM(NP24:NS24)-NT24,"")</f>
        <v>6.7774999999999999</v>
      </c>
      <c r="OL24" s="11">
        <f>IF(NW24&gt;0,NW24,"")</f>
        <v>6.35</v>
      </c>
      <c r="OM24" s="11">
        <f>IF(SUM(NU24:NX24)-NY24&gt;0,SUM(NU24:NX24)-NY24,"")</f>
        <v>24.880000000000003</v>
      </c>
      <c r="ON24" s="11" t="str">
        <f>IF(OB24&gt;0,OB24,"")</f>
        <v/>
      </c>
      <c r="OO24" s="11" t="str">
        <f>IF(SUM(NZ24:OC24)-OD24&gt;0,SUM(NZ24:OC24)-OD24,"")</f>
        <v/>
      </c>
      <c r="OP24" s="11">
        <f>IF(OR(OK24&lt;&gt;"",OM24&lt;&gt;"",OO24&lt;&gt;""),OK24+MAX(OM24,OO24),"")</f>
        <v>31.657500000000002</v>
      </c>
      <c r="OQ24" s="11" t="str">
        <f>IF(OG24&gt;0,OG24,"")</f>
        <v/>
      </c>
      <c r="OR24" s="11" t="str">
        <f t="shared" ref="OR24" si="4">IF(SUM(OE24:OH24)-OI24&gt;0,SUM(OE24:OH24)-OI24,"")</f>
        <v/>
      </c>
      <c r="OS24" s="11">
        <f t="shared" ref="OS24" si="5">IF(SUM(OP24,OR24)&gt;0,SUM(OP24,OR24),"")</f>
        <v>31.657500000000002</v>
      </c>
    </row>
    <row r="25" spans="1:409" x14ac:dyDescent="0.2">
      <c r="B25" s="6"/>
      <c r="D25" s="1"/>
    </row>
    <row r="26" spans="1:409" x14ac:dyDescent="0.2">
      <c r="H26" s="125"/>
      <c r="J26" s="125"/>
    </row>
    <row r="27" spans="1:409" x14ac:dyDescent="0.2">
      <c r="B27" s="70" t="s">
        <v>79</v>
      </c>
      <c r="C27" s="56"/>
      <c r="H27" s="3"/>
      <c r="AR27" s="124"/>
      <c r="AS27" s="124"/>
      <c r="AT27" s="124"/>
      <c r="AW27" s="54"/>
      <c r="AY27" s="64">
        <v>14.4</v>
      </c>
      <c r="BV27" s="124"/>
      <c r="BW27" s="124"/>
      <c r="BX27" s="124"/>
      <c r="CA27" s="54"/>
      <c r="CC27" s="64">
        <v>14.4</v>
      </c>
      <c r="CZ27" s="124"/>
      <c r="DA27" s="124"/>
      <c r="DB27" s="124"/>
      <c r="DE27" s="54"/>
      <c r="DG27" s="64">
        <v>14.4</v>
      </c>
      <c r="EA27" s="56"/>
      <c r="EE27" s="54"/>
      <c r="EG27" s="64">
        <v>14.4</v>
      </c>
      <c r="EW27" s="56"/>
      <c r="FA27" s="54"/>
      <c r="FC27" s="64">
        <v>14.4</v>
      </c>
      <c r="FS27" s="56"/>
      <c r="FW27" s="54"/>
      <c r="FY27" s="64">
        <v>14.4</v>
      </c>
      <c r="GO27" s="56"/>
      <c r="GS27" s="54"/>
      <c r="GU27" s="64">
        <v>14.4</v>
      </c>
      <c r="HK27" s="56"/>
      <c r="HO27" s="54"/>
      <c r="HQ27" s="64">
        <v>14.4</v>
      </c>
      <c r="IG27" s="56"/>
      <c r="IK27" s="54"/>
      <c r="IM27" s="64">
        <v>14.4</v>
      </c>
      <c r="JC27" s="56"/>
      <c r="JG27" s="54"/>
      <c r="JI27" s="64">
        <v>14.4</v>
      </c>
      <c r="JY27" s="56"/>
      <c r="KC27" s="54"/>
      <c r="KE27" s="64">
        <v>14.4</v>
      </c>
      <c r="KU27" s="56"/>
      <c r="KY27" s="54"/>
      <c r="LA27" s="64">
        <v>14.4</v>
      </c>
      <c r="LQ27" s="56"/>
      <c r="LU27" s="54"/>
      <c r="LW27" s="64">
        <v>14.4</v>
      </c>
      <c r="MM27" s="56"/>
      <c r="MQ27" s="54"/>
      <c r="MS27" s="64">
        <v>14.4</v>
      </c>
      <c r="NI27" s="56"/>
      <c r="NM27" s="54"/>
      <c r="NO27" s="64">
        <v>14.4</v>
      </c>
    </row>
    <row r="28" spans="1:409" x14ac:dyDescent="0.2">
      <c r="B28" s="91" t="s">
        <v>78</v>
      </c>
      <c r="C28" s="56"/>
      <c r="AR28" s="124"/>
      <c r="AS28" s="124"/>
      <c r="AT28" s="124"/>
      <c r="AW28" s="54"/>
      <c r="AY28" s="106">
        <v>15.4</v>
      </c>
      <c r="BV28" s="124"/>
      <c r="BW28" s="124"/>
      <c r="BX28" s="124"/>
      <c r="CA28" s="54"/>
      <c r="CC28" s="106">
        <v>15.4</v>
      </c>
      <c r="CZ28" s="124"/>
      <c r="DA28" s="124"/>
      <c r="DB28" s="124"/>
      <c r="DE28" s="54"/>
      <c r="DG28" s="106">
        <v>15.4</v>
      </c>
      <c r="EA28" s="56"/>
      <c r="EE28" s="54"/>
      <c r="EG28" s="106">
        <v>15.4</v>
      </c>
      <c r="EW28" s="56"/>
      <c r="FA28" s="54"/>
      <c r="FC28" s="106">
        <v>15.4</v>
      </c>
      <c r="FS28" s="56"/>
      <c r="FW28" s="54"/>
      <c r="FY28" s="106">
        <v>15.4</v>
      </c>
      <c r="GO28" s="56"/>
      <c r="GS28" s="54"/>
      <c r="GU28" s="106">
        <v>15.4</v>
      </c>
      <c r="HK28" s="56"/>
      <c r="HO28" s="54"/>
      <c r="HQ28" s="106">
        <v>15.4</v>
      </c>
      <c r="IG28" s="56"/>
      <c r="IK28" s="54"/>
      <c r="IM28" s="106">
        <v>15.4</v>
      </c>
      <c r="JC28" s="56"/>
      <c r="JG28" s="54"/>
      <c r="JI28" s="106">
        <v>15.4</v>
      </c>
      <c r="JY28" s="56"/>
      <c r="KC28" s="54"/>
      <c r="KE28" s="106">
        <v>15.4</v>
      </c>
      <c r="KU28" s="56"/>
      <c r="KY28" s="54"/>
      <c r="LA28" s="106">
        <v>15.4</v>
      </c>
      <c r="LQ28" s="56"/>
      <c r="LU28" s="54"/>
      <c r="LW28" s="106">
        <v>15.4</v>
      </c>
      <c r="MM28" s="56"/>
      <c r="MQ28" s="54"/>
      <c r="MS28" s="106">
        <v>15.4</v>
      </c>
      <c r="NI28" s="56"/>
      <c r="NM28" s="54"/>
      <c r="NO28" s="106">
        <v>15.4</v>
      </c>
    </row>
    <row r="29" spans="1:409" x14ac:dyDescent="0.2">
      <c r="A29" s="56"/>
      <c r="B29" s="92" t="s">
        <v>122</v>
      </c>
      <c r="C29" s="56"/>
      <c r="AR29" s="124"/>
      <c r="AS29" s="124"/>
      <c r="AT29" s="124"/>
      <c r="AV29" s="54"/>
      <c r="AW29" s="54"/>
      <c r="AX29" s="54"/>
      <c r="AY29" s="94">
        <v>15.4</v>
      </c>
      <c r="BV29" s="124"/>
      <c r="BW29" s="124"/>
      <c r="BX29" s="124"/>
      <c r="CA29" s="54"/>
      <c r="CC29" s="94">
        <v>15.4</v>
      </c>
      <c r="CZ29" s="124"/>
      <c r="DA29" s="124"/>
      <c r="DB29" s="124"/>
      <c r="DD29" s="54"/>
      <c r="DE29" s="54"/>
      <c r="DF29" s="54"/>
      <c r="DG29" s="94">
        <v>15.4</v>
      </c>
      <c r="EA29" s="56"/>
      <c r="EE29" s="54"/>
      <c r="EG29" s="94">
        <v>15.4</v>
      </c>
      <c r="EW29" s="56"/>
      <c r="FA29" s="54"/>
      <c r="FC29" s="94">
        <v>15.4</v>
      </c>
      <c r="FS29" s="56"/>
      <c r="FW29" s="54"/>
      <c r="FY29" s="94">
        <v>15.4</v>
      </c>
      <c r="GO29" s="56"/>
      <c r="GS29" s="54"/>
      <c r="GU29" s="94">
        <v>15.4</v>
      </c>
      <c r="HK29" s="56"/>
      <c r="HO29" s="54"/>
      <c r="HQ29" s="94">
        <v>15.4</v>
      </c>
      <c r="IG29" s="56"/>
      <c r="IK29" s="54"/>
      <c r="IM29" s="94">
        <v>15.4</v>
      </c>
      <c r="JC29" s="56"/>
      <c r="JG29" s="54"/>
      <c r="JI29" s="94">
        <v>15.4</v>
      </c>
      <c r="JY29" s="56"/>
      <c r="KC29" s="54"/>
      <c r="KE29" s="94">
        <v>15.4</v>
      </c>
      <c r="KU29" s="56"/>
      <c r="KY29" s="54"/>
      <c r="LA29" s="94">
        <v>15.4</v>
      </c>
      <c r="LQ29" s="56"/>
      <c r="LU29" s="54"/>
      <c r="LW29" s="94">
        <v>15.4</v>
      </c>
      <c r="MM29" s="56"/>
      <c r="MQ29" s="54"/>
      <c r="MS29" s="94">
        <v>15.4</v>
      </c>
      <c r="NI29" s="56"/>
      <c r="NM29" s="54"/>
      <c r="NO29" s="94">
        <v>15.4</v>
      </c>
    </row>
    <row r="30" spans="1:409" x14ac:dyDescent="0.2">
      <c r="A30" s="56"/>
      <c r="B30" s="120" t="s">
        <v>188</v>
      </c>
      <c r="C30" s="56"/>
      <c r="AR30" s="124"/>
      <c r="AS30" s="124"/>
      <c r="AT30" s="124"/>
      <c r="AV30" s="54"/>
      <c r="AW30" s="54"/>
      <c r="AX30" s="54"/>
      <c r="AY30" s="121">
        <v>15.4</v>
      </c>
      <c r="BV30" s="124"/>
      <c r="BW30" s="124"/>
      <c r="BX30" s="124"/>
      <c r="CA30" s="54"/>
      <c r="CC30" s="121">
        <v>15.4</v>
      </c>
      <c r="CZ30" s="124"/>
      <c r="DA30" s="124"/>
      <c r="DB30" s="124"/>
      <c r="DD30" s="54"/>
      <c r="DE30" s="54"/>
      <c r="DF30" s="54"/>
      <c r="DG30" s="121">
        <v>15.4</v>
      </c>
      <c r="EA30" s="56"/>
      <c r="EE30" s="54"/>
      <c r="EG30" s="121">
        <v>15.4</v>
      </c>
      <c r="EW30" s="56"/>
      <c r="FA30" s="54"/>
      <c r="FC30" s="121">
        <v>15.4</v>
      </c>
      <c r="FS30" s="56"/>
      <c r="FW30" s="54"/>
      <c r="FY30" s="121">
        <v>15.4</v>
      </c>
      <c r="GO30" s="56"/>
      <c r="GS30" s="54"/>
      <c r="GU30" s="121">
        <v>15.4</v>
      </c>
      <c r="HK30" s="56"/>
      <c r="HO30" s="54"/>
      <c r="HQ30" s="121">
        <v>15.4</v>
      </c>
      <c r="IG30" s="56"/>
      <c r="IK30" s="54"/>
      <c r="IM30" s="121">
        <v>15.4</v>
      </c>
      <c r="JC30" s="56"/>
      <c r="JG30" s="54"/>
      <c r="JI30" s="121">
        <v>15.4</v>
      </c>
      <c r="JY30" s="56"/>
      <c r="KC30" s="54"/>
      <c r="KE30" s="121">
        <v>15.4</v>
      </c>
      <c r="KU30" s="56"/>
      <c r="KY30" s="54"/>
      <c r="LA30" s="121">
        <v>15.4</v>
      </c>
      <c r="LQ30" s="56"/>
      <c r="LU30" s="54"/>
      <c r="LW30" s="121">
        <v>15.4</v>
      </c>
      <c r="MM30" s="56"/>
      <c r="MQ30" s="54"/>
      <c r="MS30" s="121">
        <v>15.4</v>
      </c>
      <c r="NI30" s="56"/>
      <c r="NM30" s="54"/>
      <c r="NO30" s="121">
        <v>15.4</v>
      </c>
    </row>
    <row r="31" spans="1:409" x14ac:dyDescent="0.2">
      <c r="A31" s="56"/>
      <c r="B31" s="118" t="s">
        <v>76</v>
      </c>
      <c r="C31" s="56"/>
      <c r="O31" s="2"/>
      <c r="AR31" s="124"/>
      <c r="AS31" s="124"/>
      <c r="AT31" s="124"/>
      <c r="AV31" s="54"/>
      <c r="AW31" s="54"/>
      <c r="AX31" s="54"/>
      <c r="AY31" s="119">
        <v>103</v>
      </c>
      <c r="BV31" s="124"/>
      <c r="BW31" s="124"/>
      <c r="BX31" s="124"/>
      <c r="CA31" s="54"/>
      <c r="CC31" s="119">
        <v>103</v>
      </c>
      <c r="CZ31" s="124"/>
      <c r="DA31" s="124"/>
      <c r="DB31" s="124"/>
      <c r="DD31" s="54"/>
      <c r="DE31" s="54"/>
      <c r="DF31" s="54"/>
      <c r="DG31" s="119">
        <v>103</v>
      </c>
      <c r="EA31" s="56"/>
      <c r="EE31" s="54"/>
      <c r="EG31" s="119">
        <v>103</v>
      </c>
      <c r="EW31" s="56"/>
      <c r="FA31" s="54"/>
      <c r="FC31" s="119">
        <v>103</v>
      </c>
      <c r="FS31" s="56"/>
      <c r="FW31" s="54"/>
      <c r="FY31" s="119">
        <v>103</v>
      </c>
      <c r="GO31" s="56"/>
      <c r="GS31" s="54"/>
      <c r="GU31" s="119">
        <v>103</v>
      </c>
      <c r="HK31" s="56"/>
      <c r="HO31" s="54"/>
      <c r="HQ31" s="119">
        <v>103</v>
      </c>
      <c r="IG31" s="56"/>
      <c r="IK31" s="54"/>
      <c r="IM31" s="119">
        <v>103</v>
      </c>
      <c r="JC31" s="56"/>
      <c r="JG31" s="54"/>
      <c r="JI31" s="119">
        <v>103</v>
      </c>
      <c r="JY31" s="56"/>
      <c r="KC31" s="54"/>
      <c r="KE31" s="119">
        <v>103</v>
      </c>
      <c r="KU31" s="56"/>
      <c r="KY31" s="54"/>
      <c r="LA31" s="119">
        <v>103</v>
      </c>
      <c r="LQ31" s="56"/>
      <c r="LU31" s="54"/>
      <c r="LW31" s="119">
        <v>103</v>
      </c>
      <c r="MM31" s="56"/>
      <c r="MQ31" s="54"/>
      <c r="MS31" s="119">
        <v>103</v>
      </c>
      <c r="NI31" s="56"/>
      <c r="NM31" s="54"/>
      <c r="NO31" s="119">
        <v>103</v>
      </c>
    </row>
    <row r="32" spans="1:409" x14ac:dyDescent="0.2">
      <c r="A32" s="56"/>
      <c r="B32" s="72" t="s">
        <v>77</v>
      </c>
      <c r="C32" s="56"/>
      <c r="O32" s="2"/>
      <c r="AR32" s="124"/>
      <c r="AS32" s="124"/>
      <c r="AT32" s="124"/>
      <c r="AV32" s="54"/>
      <c r="AW32" s="54"/>
      <c r="AX32" s="54"/>
      <c r="AY32" s="66">
        <v>105</v>
      </c>
      <c r="BV32" s="124"/>
      <c r="BW32" s="124"/>
      <c r="BX32" s="124"/>
      <c r="CA32" s="54"/>
      <c r="CC32" s="66">
        <v>105</v>
      </c>
      <c r="CZ32" s="124"/>
      <c r="DA32" s="124"/>
      <c r="DB32" s="124"/>
      <c r="DD32" s="54"/>
      <c r="DE32" s="54"/>
      <c r="DF32" s="54"/>
      <c r="DG32" s="66">
        <v>105</v>
      </c>
      <c r="EA32" s="56"/>
      <c r="EE32" s="54"/>
      <c r="EG32" s="66">
        <v>105</v>
      </c>
      <c r="EW32" s="56"/>
      <c r="FA32" s="54"/>
      <c r="FC32" s="66">
        <v>105</v>
      </c>
      <c r="FS32" s="56"/>
      <c r="FW32" s="54"/>
      <c r="FY32" s="66">
        <v>105</v>
      </c>
      <c r="GO32" s="56"/>
      <c r="GS32" s="54"/>
      <c r="GU32" s="66">
        <v>105</v>
      </c>
      <c r="HK32" s="56"/>
      <c r="HO32" s="54"/>
      <c r="HQ32" s="66">
        <v>105</v>
      </c>
      <c r="IG32" s="56"/>
      <c r="IK32" s="54"/>
      <c r="IM32" s="66">
        <v>105</v>
      </c>
      <c r="JC32" s="56"/>
      <c r="JG32" s="54"/>
      <c r="JI32" s="66">
        <v>105</v>
      </c>
      <c r="JY32" s="56"/>
      <c r="KC32" s="54"/>
      <c r="KE32" s="66">
        <v>105</v>
      </c>
      <c r="KU32" s="56"/>
      <c r="KY32" s="54"/>
      <c r="LA32" s="66">
        <v>105</v>
      </c>
      <c r="LQ32" s="56"/>
      <c r="LU32" s="54"/>
      <c r="LW32" s="66">
        <v>105</v>
      </c>
      <c r="MM32" s="56"/>
      <c r="MQ32" s="54"/>
      <c r="MS32" s="66">
        <v>105</v>
      </c>
      <c r="NI32" s="56"/>
      <c r="NM32" s="54"/>
      <c r="NO32" s="66">
        <v>105</v>
      </c>
    </row>
    <row r="33" spans="1:379" x14ac:dyDescent="0.2">
      <c r="A33" s="56"/>
      <c r="B33" s="116" t="s">
        <v>117</v>
      </c>
      <c r="C33" s="56"/>
      <c r="AR33" s="124"/>
      <c r="AS33" s="124"/>
      <c r="AT33" s="124"/>
      <c r="AV33" s="54"/>
      <c r="AW33" s="54"/>
      <c r="AX33" s="54"/>
      <c r="AY33" s="117">
        <v>108</v>
      </c>
      <c r="BV33" s="124"/>
      <c r="BW33" s="124"/>
      <c r="BX33" s="124"/>
      <c r="CA33" s="54"/>
      <c r="CB33" s="129" t="s">
        <v>196</v>
      </c>
      <c r="CC33" s="117">
        <v>57</v>
      </c>
      <c r="CZ33" s="124"/>
      <c r="DA33" s="124"/>
      <c r="DB33" s="124"/>
      <c r="DD33" s="54"/>
      <c r="DE33" s="54"/>
      <c r="DF33" s="54"/>
      <c r="DG33" s="117">
        <v>58</v>
      </c>
      <c r="EA33" s="56"/>
      <c r="EE33" s="54"/>
      <c r="EF33" s="129" t="s">
        <v>196</v>
      </c>
      <c r="EG33" s="117">
        <v>58</v>
      </c>
      <c r="EW33" s="56"/>
      <c r="FA33" s="54"/>
      <c r="FC33" s="117">
        <v>108</v>
      </c>
      <c r="FS33" s="56"/>
      <c r="FW33" s="54"/>
      <c r="FY33" s="117">
        <v>108</v>
      </c>
      <c r="GO33" s="56"/>
      <c r="GS33" s="54"/>
      <c r="GT33" s="129"/>
      <c r="GU33" s="117">
        <v>108</v>
      </c>
      <c r="HK33" s="56"/>
      <c r="HO33" s="54"/>
      <c r="HP33" s="129"/>
      <c r="HQ33" s="117">
        <v>58</v>
      </c>
      <c r="IG33" s="56"/>
      <c r="IK33" s="54"/>
      <c r="IL33" s="129"/>
      <c r="IM33" s="117">
        <v>58</v>
      </c>
      <c r="JC33" s="56"/>
      <c r="JG33" s="54"/>
      <c r="JI33" s="117">
        <v>58</v>
      </c>
      <c r="JY33" s="56"/>
      <c r="KC33" s="54"/>
      <c r="KE33" s="117">
        <v>58</v>
      </c>
      <c r="KU33" s="56"/>
      <c r="KY33" s="54"/>
      <c r="LA33" s="117">
        <v>58</v>
      </c>
      <c r="LQ33" s="56"/>
      <c r="LU33" s="54"/>
      <c r="LW33" s="117">
        <v>58</v>
      </c>
      <c r="MM33" s="56"/>
      <c r="MQ33" s="54"/>
      <c r="MS33" s="117">
        <v>58</v>
      </c>
      <c r="NI33" s="56"/>
      <c r="NM33" s="54"/>
      <c r="NO33" s="117">
        <v>58</v>
      </c>
    </row>
    <row r="34" spans="1:379" x14ac:dyDescent="0.2">
      <c r="A34" s="56"/>
      <c r="B34" s="74" t="s">
        <v>58</v>
      </c>
      <c r="C34" s="56"/>
      <c r="O34" s="2"/>
      <c r="AR34" s="124"/>
      <c r="AS34" s="124"/>
      <c r="AT34" s="124"/>
      <c r="AV34" s="54"/>
      <c r="AW34" s="54"/>
      <c r="AX34" s="54"/>
      <c r="AY34" s="68">
        <v>59.8</v>
      </c>
      <c r="BV34" s="124"/>
      <c r="BW34" s="124"/>
      <c r="BX34" s="124"/>
      <c r="CA34" s="54"/>
      <c r="CC34" s="68">
        <v>59.8</v>
      </c>
      <c r="CZ34" s="124"/>
      <c r="DA34" s="124"/>
      <c r="DB34" s="124"/>
      <c r="DD34" s="54"/>
      <c r="DE34" s="54"/>
      <c r="DF34" s="54"/>
      <c r="DG34" s="68">
        <v>59.4</v>
      </c>
      <c r="EA34" s="56"/>
      <c r="EE34" s="54"/>
      <c r="EF34" t="s">
        <v>197</v>
      </c>
      <c r="EG34" s="68">
        <v>59.8</v>
      </c>
      <c r="EW34" s="56"/>
      <c r="FA34" s="54"/>
      <c r="FC34" s="68">
        <v>59.8</v>
      </c>
      <c r="FS34" s="56"/>
      <c r="FW34" s="54"/>
      <c r="FY34" s="68">
        <v>59.8</v>
      </c>
      <c r="GO34" s="56"/>
      <c r="GS34" s="54"/>
      <c r="GU34" s="68">
        <v>59.8</v>
      </c>
      <c r="HK34" s="56"/>
      <c r="HO34" s="54"/>
      <c r="HQ34" s="68">
        <v>59.4</v>
      </c>
      <c r="IG34" s="56"/>
      <c r="IK34" s="54"/>
      <c r="IL34" s="129"/>
      <c r="IM34" s="68">
        <v>59.4</v>
      </c>
      <c r="JC34" s="56"/>
      <c r="JG34" s="54"/>
      <c r="JI34" s="68">
        <v>59.4</v>
      </c>
      <c r="JY34" s="56"/>
      <c r="KC34" s="54"/>
      <c r="KE34" s="68">
        <v>59.4</v>
      </c>
      <c r="KU34" s="56"/>
      <c r="KY34" s="54"/>
      <c r="LA34" s="68">
        <v>59.4</v>
      </c>
      <c r="LQ34" s="56"/>
      <c r="LU34" s="54"/>
      <c r="LW34" s="68">
        <v>59.4</v>
      </c>
      <c r="MM34" s="56"/>
      <c r="MQ34" s="54"/>
      <c r="MS34" s="68">
        <v>59.4</v>
      </c>
      <c r="NI34" s="56"/>
      <c r="NM34" s="54"/>
      <c r="NO34" s="68">
        <v>59.4</v>
      </c>
    </row>
    <row r="35" spans="1:379" x14ac:dyDescent="0.2">
      <c r="B35" s="82" t="s">
        <v>92</v>
      </c>
      <c r="C35" s="2"/>
      <c r="AU35" s="54"/>
      <c r="AV35" s="54"/>
      <c r="AX35" s="54"/>
      <c r="DC35" s="54"/>
      <c r="DD35" s="54"/>
      <c r="DF35" s="54"/>
      <c r="EX35" s="54"/>
    </row>
    <row r="36" spans="1:379" x14ac:dyDescent="0.2">
      <c r="A36" s="56"/>
      <c r="B36" s="56"/>
      <c r="C36" s="55"/>
      <c r="AQ36" s="54"/>
      <c r="AR36" s="54"/>
      <c r="AS36" s="54"/>
      <c r="AT36" s="54"/>
      <c r="AU36" s="54"/>
      <c r="AV36" s="54"/>
      <c r="AX36" s="54"/>
      <c r="CY36" s="54"/>
      <c r="CZ36" s="54"/>
      <c r="DA36" s="54"/>
      <c r="DB36" s="54"/>
      <c r="DC36" s="54"/>
      <c r="DD36" s="54"/>
      <c r="DF36" s="54"/>
    </row>
    <row r="37" spans="1:379" ht="17" x14ac:dyDescent="0.2">
      <c r="A37" s="56"/>
      <c r="B37" s="56"/>
      <c r="C37" s="55"/>
      <c r="S37" s="19"/>
      <c r="T37" s="19"/>
      <c r="AQ37" s="54"/>
      <c r="AR37" s="54"/>
      <c r="AS37" s="54"/>
      <c r="AT37" s="54"/>
      <c r="AU37" s="54"/>
      <c r="AV37" s="54"/>
      <c r="AX37" s="54"/>
      <c r="CY37" s="54"/>
      <c r="CZ37" s="54"/>
      <c r="DA37" s="54"/>
      <c r="DB37" s="54"/>
      <c r="DC37" s="54"/>
      <c r="DD37" s="54"/>
      <c r="DF37" s="54"/>
    </row>
    <row r="38" spans="1:379" ht="17" x14ac:dyDescent="0.2">
      <c r="A38" s="56"/>
      <c r="B38" s="56"/>
      <c r="C38" s="55"/>
      <c r="S38" s="19"/>
      <c r="AQ38" s="54"/>
      <c r="AR38" s="54"/>
      <c r="AS38" s="54"/>
      <c r="AT38" s="54"/>
      <c r="AU38" s="54"/>
      <c r="AV38" s="54"/>
      <c r="AX38" s="54"/>
      <c r="CY38" s="54"/>
      <c r="CZ38" s="54"/>
      <c r="DA38" s="54"/>
      <c r="DB38" s="54"/>
      <c r="DC38" s="54"/>
      <c r="DD38" s="54"/>
      <c r="DF38" s="54"/>
    </row>
    <row r="39" spans="1:379" ht="17" x14ac:dyDescent="0.2">
      <c r="S39" s="19"/>
      <c r="T39" s="19"/>
      <c r="AQ39" s="54"/>
      <c r="AR39" s="54"/>
      <c r="AS39" s="54"/>
      <c r="AT39" s="54"/>
      <c r="AU39" s="54"/>
      <c r="AV39" s="54"/>
      <c r="AX39" s="54"/>
      <c r="CY39" s="54"/>
      <c r="CZ39" s="54"/>
      <c r="DA39" s="54"/>
      <c r="DB39" s="54"/>
      <c r="DC39" s="54"/>
      <c r="DD39" s="54"/>
      <c r="DF39" s="54"/>
    </row>
    <row r="40" spans="1:379" ht="17" x14ac:dyDescent="0.2">
      <c r="S40" s="19"/>
      <c r="T40" s="19"/>
      <c r="AQ40" s="54"/>
      <c r="AR40" s="54"/>
      <c r="AS40" s="54"/>
      <c r="AT40" s="54"/>
      <c r="AU40" s="54"/>
      <c r="AV40" s="54"/>
      <c r="AX40" s="54"/>
      <c r="CY40" s="54"/>
      <c r="CZ40" s="54"/>
      <c r="DA40" s="54"/>
      <c r="DB40" s="54"/>
      <c r="DC40" s="54"/>
      <c r="DD40" s="54"/>
      <c r="DF40" s="54"/>
    </row>
    <row r="41" spans="1:379" ht="17" x14ac:dyDescent="0.2">
      <c r="S41" s="19"/>
      <c r="T41" s="19"/>
      <c r="AQ41" s="54"/>
      <c r="AR41" s="54"/>
      <c r="AS41" s="54"/>
      <c r="AT41" s="54"/>
      <c r="AU41" s="54"/>
      <c r="AV41" s="54"/>
      <c r="AX41" s="54"/>
      <c r="CY41" s="54"/>
      <c r="CZ41" s="54"/>
      <c r="DA41" s="54"/>
      <c r="DB41" s="54"/>
      <c r="DC41" s="54"/>
      <c r="DD41" s="54"/>
      <c r="DF41" s="54"/>
    </row>
    <row r="42" spans="1:379" ht="17" x14ac:dyDescent="0.2">
      <c r="S42" s="19"/>
      <c r="T42" s="19"/>
      <c r="U42" s="19"/>
    </row>
    <row r="43" spans="1:379" ht="17" x14ac:dyDescent="0.2">
      <c r="S43" s="19"/>
      <c r="T43" s="19"/>
      <c r="U43" s="19"/>
    </row>
    <row r="44" spans="1:379" ht="17" x14ac:dyDescent="0.2">
      <c r="S44" s="19"/>
      <c r="T44" s="19"/>
      <c r="U44" s="19"/>
    </row>
    <row r="45" spans="1:379" ht="17" x14ac:dyDescent="0.2">
      <c r="S45" s="19"/>
      <c r="T45" s="19"/>
      <c r="U45" s="19"/>
    </row>
    <row r="46" spans="1:379" ht="17" x14ac:dyDescent="0.2">
      <c r="S46" s="19"/>
      <c r="T46" s="19"/>
      <c r="U46" s="19"/>
    </row>
    <row r="47" spans="1:379" ht="17" x14ac:dyDescent="0.2">
      <c r="S47" s="19"/>
      <c r="T47" s="19"/>
      <c r="U47" s="19"/>
    </row>
    <row r="48" spans="1:379" ht="17" x14ac:dyDescent="0.2">
      <c r="S48" s="19"/>
      <c r="T48" s="19"/>
      <c r="U48" s="19"/>
    </row>
    <row r="49" spans="19:21" ht="17" x14ac:dyDescent="0.2">
      <c r="S49" s="19"/>
      <c r="T49" s="19"/>
      <c r="U49" s="19"/>
    </row>
    <row r="50" spans="19:21" ht="17" x14ac:dyDescent="0.2">
      <c r="S50" s="19"/>
      <c r="T50" s="19"/>
      <c r="U50" s="19"/>
    </row>
    <row r="51" spans="19:21" ht="17" x14ac:dyDescent="0.2">
      <c r="S51" s="19"/>
      <c r="T51" s="19"/>
      <c r="U51" s="19"/>
    </row>
    <row r="52" spans="19:21" ht="17" x14ac:dyDescent="0.2">
      <c r="S52" s="19"/>
      <c r="T52" s="19"/>
      <c r="U52" s="19"/>
    </row>
    <row r="53" spans="19:21" ht="17" x14ac:dyDescent="0.2">
      <c r="S53" s="19"/>
      <c r="T53" s="19"/>
      <c r="U53" s="19"/>
    </row>
    <row r="54" spans="19:21" ht="17" x14ac:dyDescent="0.2">
      <c r="S54" s="19"/>
      <c r="T54" s="19"/>
      <c r="U54" s="19"/>
    </row>
    <row r="55" spans="19:21" ht="17" x14ac:dyDescent="0.2">
      <c r="S55" s="19"/>
      <c r="T55" s="19"/>
      <c r="U55" s="19"/>
    </row>
    <row r="56" spans="19:21" ht="17" x14ac:dyDescent="0.2">
      <c r="S56" s="19"/>
      <c r="T56" s="19"/>
      <c r="U56" s="19"/>
    </row>
  </sheetData>
  <sheetProtection sheet="1" formatCells="0" formatColumns="0" formatRows="0"/>
  <autoFilter ref="A1:OQ22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4">
      <sortCondition descending="1" ref="F1:F25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209" priority="4" operator="containsText" text="No DD">
      <formula>NOT(ISERROR(SEARCH("No DD",I1)))</formula>
    </cfRule>
    <cfRule type="containsText" dxfId="208" priority="5" operator="containsText" text="Merit">
      <formula>NOT(ISERROR(SEARCH("Merit",I1)))</formula>
    </cfRule>
    <cfRule type="containsText" dxfId="207" priority="6" operator="containsText" text="Excellence">
      <formula>NOT(ISERROR(SEARCH("Excellence",I1)))</formula>
    </cfRule>
    <cfRule type="containsText" dxfId="206" priority="7" operator="containsText" text="Worlds Team">
      <formula>NOT(ISERROR(SEARCH("Worlds Team",I1)))</formula>
    </cfRule>
    <cfRule type="containsText" dxfId="205" priority="8" operator="containsText" text="National Team">
      <formula>NOT(ISERROR(SEARCH("National Team",I1)))</formula>
    </cfRule>
  </conditionalFormatting>
  <conditionalFormatting sqref="V4:AY24">
    <cfRule type="expression" dxfId="204" priority="1" stopIfTrue="1">
      <formula>IF($AP4&lt;&gt;"",1,0)</formula>
    </cfRule>
  </conditionalFormatting>
  <conditionalFormatting sqref="AZ4:CC24">
    <cfRule type="expression" dxfId="203" priority="2" stopIfTrue="1">
      <formula>IF($BT4&lt;&gt;"",1,0)</formula>
    </cfRule>
  </conditionalFormatting>
  <conditionalFormatting sqref="N1:N1048576 R1:R1048576 L1:L1048576 P1:P1048576">
    <cfRule type="expression" dxfId="202" priority="9">
      <formula>IF(L1=$CD$1,1,0)</formula>
    </cfRule>
    <cfRule type="expression" dxfId="201" priority="10">
      <formula>IF(L1=$AZ$1,1,0)</formula>
    </cfRule>
    <cfRule type="expression" dxfId="200" priority="11">
      <formula>IF(L1=$V$1,1,0)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99" priority="332" operator="between">
      <formula>AY$34</formula>
      <formula>1000</formula>
    </cfRule>
    <cfRule type="cellIs" dxfId="198" priority="37317" operator="between">
      <formula>AY$33</formula>
      <formula>AY$34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97" priority="37318" operator="between">
      <formula>AY$32</formula>
      <formula>1000</formula>
    </cfRule>
    <cfRule type="cellIs" dxfId="196" priority="37319" operator="between">
      <formula>AY$31</formula>
      <formula>AY$32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95" priority="37330" operator="between">
      <formula>AY$34</formula>
      <formula>1000</formula>
    </cfRule>
    <cfRule type="cellIs" dxfId="194" priority="37331" operator="between">
      <formula>AY$33</formula>
      <formula>AY$34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93" priority="37334" operator="between">
      <formula>EG$30</formula>
      <formula>1000</formula>
    </cfRule>
    <cfRule type="cellIs" dxfId="192" priority="37335" operator="between">
      <formula>EG$29</formula>
      <formula>EG$30</formula>
    </cfRule>
    <cfRule type="cellIs" dxfId="191" priority="37336" operator="between">
      <formula>EG$28</formula>
      <formula>EG$29</formula>
    </cfRule>
    <cfRule type="cellIs" dxfId="190" priority="37337" operator="between">
      <formula>EG$27</formula>
      <formula>EG$28</formula>
    </cfRule>
  </conditionalFormatting>
  <conditionalFormatting sqref="A1:A1048576">
    <cfRule type="expression" dxfId="189" priority="37338">
      <formula>AND(H1&lt;&gt;"",G1="")</formula>
    </cfRule>
  </conditionalFormatting>
  <conditionalFormatting sqref="CD4:DG24">
    <cfRule type="expression" dxfId="188" priority="3" stopIfTrue="1">
      <formula>IF($CX4&lt;&gt;"",1,0)</formula>
    </cfRule>
  </conditionalFormatting>
  <conditionalFormatting sqref="AR1:AR1048576 BV1:BV1048576 CZ1:CZ1048576">
    <cfRule type="cellIs" dxfId="187" priority="12" operator="between">
      <formula>AY$30</formula>
      <formula>1000</formula>
    </cfRule>
    <cfRule type="cellIs" dxfId="186" priority="13" operator="between">
      <formula>AY$29</formula>
      <formula>AY$30</formula>
    </cfRule>
    <cfRule type="cellIs" dxfId="185" priority="14" operator="between">
      <formula>AY$28</formula>
      <formula>AY$29</formula>
    </cfRule>
    <cfRule type="cellIs" dxfId="184" priority="15" operator="between">
      <formula>AY$27</formula>
      <formula>AY$28</formula>
    </cfRule>
  </conditionalFormatting>
  <conditionalFormatting sqref="AS1:AS1048576 BW1:BW1048576 DA1:DA1048576">
    <cfRule type="cellIs" dxfId="183" priority="26" operator="between">
      <formula>AY$34</formula>
      <formula>1000</formula>
    </cfRule>
    <cfRule type="cellIs" dxfId="182" priority="27" operator="between">
      <formula>AY$33</formula>
      <formula>AY$34</formula>
    </cfRule>
  </conditionalFormatting>
  <conditionalFormatting sqref="AT1:AT1048576 BX1:BX1048576 DB1:DB1048576">
    <cfRule type="cellIs" dxfId="181" priority="31" operator="between">
      <formula>AY$30</formula>
      <formula>1000</formula>
    </cfRule>
    <cfRule type="cellIs" dxfId="180" priority="73" operator="between">
      <formula>AY$29</formula>
      <formula>AY$30</formula>
    </cfRule>
    <cfRule type="cellIs" dxfId="179" priority="94" operator="between">
      <formula>AY$28</formula>
      <formula>AY$29</formula>
    </cfRule>
    <cfRule type="cellIs" dxfId="178" priority="95" operator="between">
      <formula>AY$27</formula>
      <formula>AY$28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77" priority="37326" operator="between">
      <formula>AY$30</formula>
      <formula>1000</formula>
    </cfRule>
    <cfRule type="cellIs" dxfId="176" priority="37327" operator="between">
      <formula>AY$29</formula>
      <formula>AY$30</formula>
    </cfRule>
    <cfRule type="cellIs" dxfId="175" priority="37328" operator="between">
      <formula>AY$28</formula>
      <formula>AY$29</formula>
    </cfRule>
    <cfRule type="cellIs" dxfId="174" priority="37329" operator="between">
      <formula>AY$27</formula>
      <formula>AY$28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5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174" width="10.83203125" hidden="1" customWidth="1"/>
    <col min="175" max="181" width="10.83203125" customWidth="1"/>
    <col min="182" max="196" width="10.83203125" hidden="1" customWidth="1"/>
    <col min="197" max="203" width="10.83203125" customWidth="1"/>
    <col min="204" max="218" width="10.83203125" hidden="1" customWidth="1"/>
    <col min="219" max="225" width="10.83203125" customWidth="1"/>
    <col min="226" max="240" width="10.83203125" hidden="1" customWidth="1"/>
    <col min="241" max="247" width="10.83203125" customWidth="1"/>
    <col min="248" max="409" width="10.83203125" hidden="1" customWidth="1"/>
  </cols>
  <sheetData>
    <row r="1" spans="1:409" x14ac:dyDescent="0.2">
      <c r="A1" s="136" t="s">
        <v>1</v>
      </c>
      <c r="B1" s="136" t="s">
        <v>41</v>
      </c>
      <c r="C1" s="136" t="s">
        <v>0</v>
      </c>
      <c r="D1" s="136" t="s">
        <v>93</v>
      </c>
      <c r="E1" s="136" t="s">
        <v>2</v>
      </c>
      <c r="F1" s="136" t="s">
        <v>199</v>
      </c>
      <c r="G1" s="136" t="s">
        <v>194</v>
      </c>
      <c r="H1" s="136" t="s">
        <v>195</v>
      </c>
      <c r="I1" s="136" t="s">
        <v>16</v>
      </c>
      <c r="J1" s="136" t="s">
        <v>210</v>
      </c>
      <c r="K1" s="141" t="s">
        <v>17</v>
      </c>
      <c r="L1" s="141" t="s">
        <v>56</v>
      </c>
      <c r="M1" s="141" t="s">
        <v>18</v>
      </c>
      <c r="N1" s="141" t="s">
        <v>56</v>
      </c>
      <c r="O1" s="141" t="s">
        <v>193</v>
      </c>
      <c r="P1" s="141" t="s">
        <v>56</v>
      </c>
      <c r="Q1" s="141" t="s">
        <v>20</v>
      </c>
      <c r="R1" s="141" t="s">
        <v>56</v>
      </c>
      <c r="S1" s="140" t="s">
        <v>21</v>
      </c>
      <c r="T1" s="141" t="s">
        <v>57</v>
      </c>
      <c r="U1" s="141" t="s">
        <v>56</v>
      </c>
      <c r="V1" s="137" t="s">
        <v>126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9" t="s">
        <v>142</v>
      </c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7" t="s">
        <v>187</v>
      </c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42" t="s">
        <v>21</v>
      </c>
      <c r="DI1" s="142"/>
      <c r="DJ1" s="142"/>
      <c r="DK1" s="142"/>
      <c r="DL1" s="137" t="s">
        <v>170</v>
      </c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9" t="s">
        <v>167</v>
      </c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7" t="s">
        <v>165</v>
      </c>
      <c r="FE1" s="137"/>
      <c r="FF1" s="137"/>
      <c r="FG1" s="137"/>
      <c r="FH1" s="137"/>
      <c r="FI1" s="137"/>
      <c r="FJ1" s="137"/>
      <c r="FK1" s="137"/>
      <c r="FL1" s="137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9" t="s">
        <v>168</v>
      </c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7" t="s">
        <v>171</v>
      </c>
      <c r="GW1" s="137"/>
      <c r="GX1" s="137"/>
      <c r="GY1" s="137"/>
      <c r="GZ1" s="137"/>
      <c r="HA1" s="137"/>
      <c r="HB1" s="137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9" t="s">
        <v>173</v>
      </c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7"/>
      <c r="IO1" s="137"/>
      <c r="IP1" s="137"/>
      <c r="IQ1" s="137"/>
      <c r="IR1" s="137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7"/>
      <c r="KG1" s="137"/>
      <c r="KH1" s="137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7"/>
      <c r="LY1" s="137"/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7" t="s">
        <v>123</v>
      </c>
      <c r="NQ1" s="137"/>
      <c r="NR1" s="137"/>
      <c r="NS1" s="137"/>
      <c r="NT1" s="137"/>
      <c r="NU1" s="137"/>
      <c r="NV1" s="137"/>
      <c r="NW1" s="137"/>
      <c r="NX1" s="137"/>
      <c r="NY1" s="137"/>
      <c r="NZ1" s="137"/>
      <c r="OA1" s="137"/>
      <c r="OB1" s="137"/>
      <c r="OC1" s="137"/>
      <c r="OD1" s="137"/>
      <c r="OE1" s="137"/>
      <c r="OF1" s="137"/>
      <c r="OG1" s="137"/>
      <c r="OH1" s="137"/>
      <c r="OI1" s="137"/>
      <c r="OJ1" s="137"/>
      <c r="OK1" s="137"/>
      <c r="OL1" s="137"/>
      <c r="OM1" s="137"/>
      <c r="ON1" s="137"/>
      <c r="OO1" s="137"/>
      <c r="OP1" s="137"/>
      <c r="OQ1" s="137"/>
    </row>
    <row r="2" spans="1:409" x14ac:dyDescent="0.2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41"/>
      <c r="L2" s="141"/>
      <c r="M2" s="141"/>
      <c r="N2" s="141"/>
      <c r="O2" s="141"/>
      <c r="P2" s="141"/>
      <c r="Q2" s="141"/>
      <c r="R2" s="141"/>
      <c r="S2" s="140"/>
      <c r="T2" s="141"/>
      <c r="U2" s="141"/>
      <c r="V2" s="135" t="s">
        <v>26</v>
      </c>
      <c r="W2" s="135"/>
      <c r="X2" s="135"/>
      <c r="Y2" s="135"/>
      <c r="Z2" s="135"/>
      <c r="AA2" s="135" t="s">
        <v>27</v>
      </c>
      <c r="AB2" s="135"/>
      <c r="AC2" s="135"/>
      <c r="AD2" s="135"/>
      <c r="AE2" s="135"/>
      <c r="AF2" s="135" t="s">
        <v>189</v>
      </c>
      <c r="AG2" s="135"/>
      <c r="AH2" s="135"/>
      <c r="AI2" s="135"/>
      <c r="AJ2" s="135"/>
      <c r="AK2" s="135" t="s">
        <v>30</v>
      </c>
      <c r="AL2" s="135"/>
      <c r="AM2" s="135"/>
      <c r="AN2" s="135"/>
      <c r="AO2" s="135"/>
      <c r="AP2" s="112"/>
      <c r="AQ2" s="9" t="s">
        <v>28</v>
      </c>
      <c r="AR2" s="9" t="s">
        <v>191</v>
      </c>
      <c r="AS2" s="9" t="s">
        <v>29</v>
      </c>
      <c r="AT2" s="9" t="s">
        <v>192</v>
      </c>
      <c r="AU2" s="9" t="s">
        <v>190</v>
      </c>
      <c r="AV2" s="9" t="s">
        <v>31</v>
      </c>
      <c r="AW2" s="9" t="s">
        <v>139</v>
      </c>
      <c r="AX2" s="9" t="s">
        <v>30</v>
      </c>
      <c r="AY2" s="9" t="s">
        <v>25</v>
      </c>
      <c r="AZ2" s="138" t="s">
        <v>26</v>
      </c>
      <c r="BA2" s="138"/>
      <c r="BB2" s="138"/>
      <c r="BC2" s="138"/>
      <c r="BD2" s="138"/>
      <c r="BE2" s="138" t="s">
        <v>27</v>
      </c>
      <c r="BF2" s="138"/>
      <c r="BG2" s="138"/>
      <c r="BH2" s="138"/>
      <c r="BI2" s="138"/>
      <c r="BJ2" s="138" t="s">
        <v>189</v>
      </c>
      <c r="BK2" s="138"/>
      <c r="BL2" s="138"/>
      <c r="BM2" s="138"/>
      <c r="BN2" s="138"/>
      <c r="BO2" s="138" t="s">
        <v>30</v>
      </c>
      <c r="BP2" s="138"/>
      <c r="BQ2" s="138"/>
      <c r="BR2" s="138"/>
      <c r="BS2" s="138"/>
      <c r="BT2" s="113"/>
      <c r="BU2" s="12" t="s">
        <v>28</v>
      </c>
      <c r="BV2" s="12" t="s">
        <v>191</v>
      </c>
      <c r="BW2" s="12" t="s">
        <v>29</v>
      </c>
      <c r="BX2" s="12" t="s">
        <v>192</v>
      </c>
      <c r="BY2" s="12" t="s">
        <v>190</v>
      </c>
      <c r="BZ2" s="12" t="s">
        <v>31</v>
      </c>
      <c r="CA2" s="12" t="s">
        <v>139</v>
      </c>
      <c r="CB2" s="12" t="s">
        <v>30</v>
      </c>
      <c r="CC2" s="12" t="s">
        <v>25</v>
      </c>
      <c r="CD2" s="135" t="s">
        <v>26</v>
      </c>
      <c r="CE2" s="135"/>
      <c r="CF2" s="135"/>
      <c r="CG2" s="135"/>
      <c r="CH2" s="135"/>
      <c r="CI2" s="135" t="s">
        <v>27</v>
      </c>
      <c r="CJ2" s="135"/>
      <c r="CK2" s="135"/>
      <c r="CL2" s="135"/>
      <c r="CM2" s="135"/>
      <c r="CN2" s="135" t="s">
        <v>189</v>
      </c>
      <c r="CO2" s="135"/>
      <c r="CP2" s="135"/>
      <c r="CQ2" s="135"/>
      <c r="CR2" s="135"/>
      <c r="CS2" s="135" t="s">
        <v>30</v>
      </c>
      <c r="CT2" s="135"/>
      <c r="CU2" s="135"/>
      <c r="CV2" s="135"/>
      <c r="CW2" s="135"/>
      <c r="CX2" s="112"/>
      <c r="CY2" s="9" t="s">
        <v>28</v>
      </c>
      <c r="CZ2" s="9" t="s">
        <v>191</v>
      </c>
      <c r="DA2" s="9" t="s">
        <v>29</v>
      </c>
      <c r="DB2" s="9" t="s">
        <v>192</v>
      </c>
      <c r="DC2" s="9" t="s">
        <v>190</v>
      </c>
      <c r="DD2" s="9" t="s">
        <v>31</v>
      </c>
      <c r="DE2" s="9" t="s">
        <v>139</v>
      </c>
      <c r="DF2" s="9" t="s">
        <v>30</v>
      </c>
      <c r="DG2" s="9" t="s">
        <v>25</v>
      </c>
      <c r="DH2" s="22" t="s">
        <v>28</v>
      </c>
      <c r="DI2" s="22" t="s">
        <v>29</v>
      </c>
      <c r="DJ2" s="22" t="s">
        <v>31</v>
      </c>
      <c r="DK2" s="22" t="s">
        <v>30</v>
      </c>
      <c r="DL2" s="135" t="s">
        <v>26</v>
      </c>
      <c r="DM2" s="135"/>
      <c r="DN2" s="135"/>
      <c r="DO2" s="135"/>
      <c r="DP2" s="135"/>
      <c r="DQ2" s="135" t="s">
        <v>27</v>
      </c>
      <c r="DR2" s="135"/>
      <c r="DS2" s="135"/>
      <c r="DT2" s="135"/>
      <c r="DU2" s="135"/>
      <c r="DV2" s="135" t="s">
        <v>30</v>
      </c>
      <c r="DW2" s="135"/>
      <c r="DX2" s="135"/>
      <c r="DY2" s="135"/>
      <c r="DZ2" s="135"/>
      <c r="EA2" s="112" t="s">
        <v>114</v>
      </c>
      <c r="EB2" s="9" t="s">
        <v>28</v>
      </c>
      <c r="EC2" s="9" t="s">
        <v>29</v>
      </c>
      <c r="ED2" s="9" t="s">
        <v>31</v>
      </c>
      <c r="EE2" s="9" t="s">
        <v>139</v>
      </c>
      <c r="EF2" s="9" t="s">
        <v>30</v>
      </c>
      <c r="EG2" s="9" t="s">
        <v>25</v>
      </c>
      <c r="EH2" s="138" t="s">
        <v>26</v>
      </c>
      <c r="EI2" s="138"/>
      <c r="EJ2" s="138"/>
      <c r="EK2" s="138"/>
      <c r="EL2" s="138"/>
      <c r="EM2" s="138" t="s">
        <v>27</v>
      </c>
      <c r="EN2" s="138"/>
      <c r="EO2" s="138"/>
      <c r="EP2" s="138"/>
      <c r="EQ2" s="138"/>
      <c r="ER2" s="138" t="s">
        <v>30</v>
      </c>
      <c r="ES2" s="138"/>
      <c r="ET2" s="138"/>
      <c r="EU2" s="138"/>
      <c r="EV2" s="138"/>
      <c r="EW2" s="113" t="s">
        <v>114</v>
      </c>
      <c r="EX2" s="12" t="s">
        <v>28</v>
      </c>
      <c r="EY2" s="12" t="s">
        <v>29</v>
      </c>
      <c r="EZ2" s="12" t="s">
        <v>31</v>
      </c>
      <c r="FA2" s="12" t="s">
        <v>139</v>
      </c>
      <c r="FB2" s="12" t="s">
        <v>30</v>
      </c>
      <c r="FC2" s="12" t="s">
        <v>25</v>
      </c>
      <c r="FD2" s="135" t="s">
        <v>26</v>
      </c>
      <c r="FE2" s="135"/>
      <c r="FF2" s="135"/>
      <c r="FG2" s="135"/>
      <c r="FH2" s="135"/>
      <c r="FI2" s="135" t="s">
        <v>27</v>
      </c>
      <c r="FJ2" s="135"/>
      <c r="FK2" s="135"/>
      <c r="FL2" s="135"/>
      <c r="FM2" s="135"/>
      <c r="FN2" s="135" t="s">
        <v>30</v>
      </c>
      <c r="FO2" s="135"/>
      <c r="FP2" s="135"/>
      <c r="FQ2" s="135"/>
      <c r="FR2" s="135"/>
      <c r="FS2" s="112" t="s">
        <v>114</v>
      </c>
      <c r="FT2" s="9" t="s">
        <v>28</v>
      </c>
      <c r="FU2" s="9" t="s">
        <v>29</v>
      </c>
      <c r="FV2" s="9" t="s">
        <v>31</v>
      </c>
      <c r="FW2" s="9" t="s">
        <v>139</v>
      </c>
      <c r="FX2" s="9" t="s">
        <v>30</v>
      </c>
      <c r="FY2" s="9" t="s">
        <v>25</v>
      </c>
      <c r="FZ2" s="138" t="s">
        <v>26</v>
      </c>
      <c r="GA2" s="138"/>
      <c r="GB2" s="138"/>
      <c r="GC2" s="138"/>
      <c r="GD2" s="138"/>
      <c r="GE2" s="138" t="s">
        <v>27</v>
      </c>
      <c r="GF2" s="138"/>
      <c r="GG2" s="138"/>
      <c r="GH2" s="138"/>
      <c r="GI2" s="138"/>
      <c r="GJ2" s="138" t="s">
        <v>30</v>
      </c>
      <c r="GK2" s="138"/>
      <c r="GL2" s="138"/>
      <c r="GM2" s="138"/>
      <c r="GN2" s="138"/>
      <c r="GO2" s="113" t="s">
        <v>114</v>
      </c>
      <c r="GP2" s="12" t="s">
        <v>28</v>
      </c>
      <c r="GQ2" s="12" t="s">
        <v>29</v>
      </c>
      <c r="GR2" s="12" t="s">
        <v>31</v>
      </c>
      <c r="GS2" s="12" t="s">
        <v>139</v>
      </c>
      <c r="GT2" s="12" t="s">
        <v>30</v>
      </c>
      <c r="GU2" s="12" t="s">
        <v>25</v>
      </c>
      <c r="GV2" s="135" t="s">
        <v>26</v>
      </c>
      <c r="GW2" s="135"/>
      <c r="GX2" s="135"/>
      <c r="GY2" s="135"/>
      <c r="GZ2" s="135"/>
      <c r="HA2" s="135" t="s">
        <v>27</v>
      </c>
      <c r="HB2" s="135"/>
      <c r="HC2" s="135"/>
      <c r="HD2" s="135"/>
      <c r="HE2" s="135"/>
      <c r="HF2" s="135" t="s">
        <v>30</v>
      </c>
      <c r="HG2" s="135"/>
      <c r="HH2" s="135"/>
      <c r="HI2" s="135"/>
      <c r="HJ2" s="135"/>
      <c r="HK2" s="112" t="s">
        <v>114</v>
      </c>
      <c r="HL2" s="9" t="s">
        <v>28</v>
      </c>
      <c r="HM2" s="9" t="s">
        <v>29</v>
      </c>
      <c r="HN2" s="9" t="s">
        <v>31</v>
      </c>
      <c r="HO2" s="9" t="s">
        <v>139</v>
      </c>
      <c r="HP2" s="9" t="s">
        <v>30</v>
      </c>
      <c r="HQ2" s="9" t="s">
        <v>25</v>
      </c>
      <c r="HR2" s="138" t="s">
        <v>26</v>
      </c>
      <c r="HS2" s="138"/>
      <c r="HT2" s="138"/>
      <c r="HU2" s="138"/>
      <c r="HV2" s="138"/>
      <c r="HW2" s="138" t="s">
        <v>27</v>
      </c>
      <c r="HX2" s="138"/>
      <c r="HY2" s="138"/>
      <c r="HZ2" s="138"/>
      <c r="IA2" s="138"/>
      <c r="IB2" s="138" t="s">
        <v>30</v>
      </c>
      <c r="IC2" s="138"/>
      <c r="ID2" s="138"/>
      <c r="IE2" s="138"/>
      <c r="IF2" s="138"/>
      <c r="IG2" s="113" t="s">
        <v>114</v>
      </c>
      <c r="IH2" s="12" t="s">
        <v>28</v>
      </c>
      <c r="II2" s="12" t="s">
        <v>29</v>
      </c>
      <c r="IJ2" s="12" t="s">
        <v>31</v>
      </c>
      <c r="IK2" s="12" t="s">
        <v>139</v>
      </c>
      <c r="IL2" s="12" t="s">
        <v>30</v>
      </c>
      <c r="IM2" s="12" t="s">
        <v>25</v>
      </c>
      <c r="IN2" s="135" t="s">
        <v>26</v>
      </c>
      <c r="IO2" s="135"/>
      <c r="IP2" s="135"/>
      <c r="IQ2" s="135"/>
      <c r="IR2" s="135"/>
      <c r="IS2" s="135" t="s">
        <v>27</v>
      </c>
      <c r="IT2" s="135"/>
      <c r="IU2" s="135"/>
      <c r="IV2" s="135"/>
      <c r="IW2" s="135"/>
      <c r="IX2" s="135" t="s">
        <v>30</v>
      </c>
      <c r="IY2" s="135"/>
      <c r="IZ2" s="135"/>
      <c r="JA2" s="135"/>
      <c r="JB2" s="135"/>
      <c r="JC2" s="112" t="s">
        <v>114</v>
      </c>
      <c r="JD2" s="9" t="s">
        <v>28</v>
      </c>
      <c r="JE2" s="9" t="s">
        <v>29</v>
      </c>
      <c r="JF2" s="9" t="s">
        <v>31</v>
      </c>
      <c r="JG2" s="9" t="s">
        <v>139</v>
      </c>
      <c r="JH2" s="9" t="s">
        <v>30</v>
      </c>
      <c r="JI2" s="9" t="s">
        <v>25</v>
      </c>
      <c r="JJ2" s="138" t="s">
        <v>26</v>
      </c>
      <c r="JK2" s="138"/>
      <c r="JL2" s="138"/>
      <c r="JM2" s="138"/>
      <c r="JN2" s="138"/>
      <c r="JO2" s="138" t="s">
        <v>27</v>
      </c>
      <c r="JP2" s="138"/>
      <c r="JQ2" s="138"/>
      <c r="JR2" s="138"/>
      <c r="JS2" s="138"/>
      <c r="JT2" s="138" t="s">
        <v>30</v>
      </c>
      <c r="JU2" s="138"/>
      <c r="JV2" s="138"/>
      <c r="JW2" s="138"/>
      <c r="JX2" s="138"/>
      <c r="JY2" s="113" t="s">
        <v>114</v>
      </c>
      <c r="JZ2" s="12" t="s">
        <v>28</v>
      </c>
      <c r="KA2" s="12" t="s">
        <v>29</v>
      </c>
      <c r="KB2" s="12" t="s">
        <v>31</v>
      </c>
      <c r="KC2" s="12" t="s">
        <v>139</v>
      </c>
      <c r="KD2" s="12" t="s">
        <v>30</v>
      </c>
      <c r="KE2" s="12" t="s">
        <v>25</v>
      </c>
      <c r="KF2" s="135" t="s">
        <v>26</v>
      </c>
      <c r="KG2" s="135"/>
      <c r="KH2" s="135"/>
      <c r="KI2" s="135"/>
      <c r="KJ2" s="135"/>
      <c r="KK2" s="135" t="s">
        <v>27</v>
      </c>
      <c r="KL2" s="135"/>
      <c r="KM2" s="135"/>
      <c r="KN2" s="135"/>
      <c r="KO2" s="135"/>
      <c r="KP2" s="135" t="s">
        <v>30</v>
      </c>
      <c r="KQ2" s="135"/>
      <c r="KR2" s="135"/>
      <c r="KS2" s="135"/>
      <c r="KT2" s="135"/>
      <c r="KU2" s="112" t="s">
        <v>114</v>
      </c>
      <c r="KV2" s="9" t="s">
        <v>28</v>
      </c>
      <c r="KW2" s="9" t="s">
        <v>29</v>
      </c>
      <c r="KX2" s="9" t="s">
        <v>31</v>
      </c>
      <c r="KY2" s="9" t="s">
        <v>139</v>
      </c>
      <c r="KZ2" s="9" t="s">
        <v>30</v>
      </c>
      <c r="LA2" s="9" t="s">
        <v>25</v>
      </c>
      <c r="LB2" s="138" t="s">
        <v>26</v>
      </c>
      <c r="LC2" s="138"/>
      <c r="LD2" s="138"/>
      <c r="LE2" s="138"/>
      <c r="LF2" s="138"/>
      <c r="LG2" s="138" t="s">
        <v>27</v>
      </c>
      <c r="LH2" s="138"/>
      <c r="LI2" s="138"/>
      <c r="LJ2" s="138"/>
      <c r="LK2" s="138"/>
      <c r="LL2" s="138" t="s">
        <v>30</v>
      </c>
      <c r="LM2" s="138"/>
      <c r="LN2" s="138"/>
      <c r="LO2" s="138"/>
      <c r="LP2" s="138"/>
      <c r="LQ2" s="113" t="s">
        <v>114</v>
      </c>
      <c r="LR2" s="12" t="s">
        <v>28</v>
      </c>
      <c r="LS2" s="12" t="s">
        <v>29</v>
      </c>
      <c r="LT2" s="12" t="s">
        <v>31</v>
      </c>
      <c r="LU2" s="12" t="s">
        <v>139</v>
      </c>
      <c r="LV2" s="12" t="s">
        <v>30</v>
      </c>
      <c r="LW2" s="12" t="s">
        <v>25</v>
      </c>
      <c r="LX2" s="135" t="s">
        <v>26</v>
      </c>
      <c r="LY2" s="135"/>
      <c r="LZ2" s="135"/>
      <c r="MA2" s="135"/>
      <c r="MB2" s="135"/>
      <c r="MC2" s="135" t="s">
        <v>27</v>
      </c>
      <c r="MD2" s="135"/>
      <c r="ME2" s="135"/>
      <c r="MF2" s="135"/>
      <c r="MG2" s="135"/>
      <c r="MH2" s="135" t="s">
        <v>30</v>
      </c>
      <c r="MI2" s="135"/>
      <c r="MJ2" s="135"/>
      <c r="MK2" s="135"/>
      <c r="ML2" s="135"/>
      <c r="MM2" s="112" t="s">
        <v>114</v>
      </c>
      <c r="MN2" s="9" t="s">
        <v>28</v>
      </c>
      <c r="MO2" s="9" t="s">
        <v>29</v>
      </c>
      <c r="MP2" s="9" t="s">
        <v>31</v>
      </c>
      <c r="MQ2" s="9" t="s">
        <v>139</v>
      </c>
      <c r="MR2" s="9" t="s">
        <v>30</v>
      </c>
      <c r="MS2" s="9" t="s">
        <v>25</v>
      </c>
      <c r="MT2" s="138" t="s">
        <v>26</v>
      </c>
      <c r="MU2" s="138"/>
      <c r="MV2" s="138"/>
      <c r="MW2" s="138"/>
      <c r="MX2" s="138"/>
      <c r="MY2" s="138" t="s">
        <v>27</v>
      </c>
      <c r="MZ2" s="138"/>
      <c r="NA2" s="138"/>
      <c r="NB2" s="138"/>
      <c r="NC2" s="138"/>
      <c r="ND2" s="138" t="s">
        <v>30</v>
      </c>
      <c r="NE2" s="138"/>
      <c r="NF2" s="138"/>
      <c r="NG2" s="138"/>
      <c r="NH2" s="138"/>
      <c r="NI2" s="113" t="s">
        <v>114</v>
      </c>
      <c r="NJ2" s="12" t="s">
        <v>28</v>
      </c>
      <c r="NK2" s="12" t="s">
        <v>29</v>
      </c>
      <c r="NL2" s="12" t="s">
        <v>31</v>
      </c>
      <c r="NM2" s="12" t="s">
        <v>139</v>
      </c>
      <c r="NN2" s="12" t="s">
        <v>30</v>
      </c>
      <c r="NO2" s="12" t="s">
        <v>25</v>
      </c>
      <c r="NP2" s="135" t="s">
        <v>26</v>
      </c>
      <c r="NQ2" s="135"/>
      <c r="NR2" s="135"/>
      <c r="NS2" s="135"/>
      <c r="NT2" s="135"/>
      <c r="NU2" s="135" t="s">
        <v>27</v>
      </c>
      <c r="NV2" s="135"/>
      <c r="NW2" s="135"/>
      <c r="NX2" s="135"/>
      <c r="NY2" s="135"/>
      <c r="NZ2" s="135" t="s">
        <v>189</v>
      </c>
      <c r="OA2" s="135"/>
      <c r="OB2" s="135"/>
      <c r="OC2" s="135"/>
      <c r="OD2" s="135"/>
      <c r="OE2" s="135" t="s">
        <v>30</v>
      </c>
      <c r="OF2" s="135"/>
      <c r="OG2" s="135"/>
      <c r="OH2" s="135"/>
      <c r="OI2" s="135"/>
      <c r="OJ2" s="112"/>
      <c r="OK2" s="9" t="s">
        <v>28</v>
      </c>
      <c r="OL2" s="9" t="s">
        <v>191</v>
      </c>
      <c r="OM2" s="9" t="s">
        <v>29</v>
      </c>
      <c r="ON2" s="9" t="s">
        <v>192</v>
      </c>
      <c r="OO2" s="9" t="s">
        <v>190</v>
      </c>
      <c r="OP2" s="9" t="s">
        <v>31</v>
      </c>
      <c r="OQ2" s="9" t="s">
        <v>139</v>
      </c>
      <c r="OR2" s="9" t="s">
        <v>30</v>
      </c>
      <c r="OS2" s="9" t="s">
        <v>25</v>
      </c>
    </row>
    <row r="3" spans="1:409" x14ac:dyDescent="0.2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41"/>
      <c r="L3" s="141"/>
      <c r="M3" s="141"/>
      <c r="N3" s="141"/>
      <c r="O3" s="141"/>
      <c r="P3" s="141"/>
      <c r="Q3" s="141"/>
      <c r="R3" s="141"/>
      <c r="S3" s="140"/>
      <c r="T3" s="141"/>
      <c r="U3" s="141"/>
      <c r="V3" s="112" t="s">
        <v>22</v>
      </c>
      <c r="W3" s="112" t="s">
        <v>23</v>
      </c>
      <c r="X3" s="112" t="s">
        <v>14</v>
      </c>
      <c r="Y3" s="112" t="s">
        <v>24</v>
      </c>
      <c r="Z3" s="112" t="s">
        <v>44</v>
      </c>
      <c r="AA3" s="112" t="s">
        <v>22</v>
      </c>
      <c r="AB3" s="112" t="s">
        <v>23</v>
      </c>
      <c r="AC3" s="112" t="s">
        <v>14</v>
      </c>
      <c r="AD3" s="112" t="s">
        <v>24</v>
      </c>
      <c r="AE3" s="112" t="s">
        <v>44</v>
      </c>
      <c r="AF3" s="112" t="s">
        <v>22</v>
      </c>
      <c r="AG3" s="112" t="s">
        <v>23</v>
      </c>
      <c r="AH3" s="112" t="s">
        <v>14</v>
      </c>
      <c r="AI3" s="112" t="s">
        <v>24</v>
      </c>
      <c r="AJ3" s="112" t="s">
        <v>44</v>
      </c>
      <c r="AK3" s="112" t="s">
        <v>22</v>
      </c>
      <c r="AL3" s="112" t="s">
        <v>23</v>
      </c>
      <c r="AM3" s="112" t="s">
        <v>14</v>
      </c>
      <c r="AN3" s="112" t="s">
        <v>24</v>
      </c>
      <c r="AO3" s="112" t="s">
        <v>44</v>
      </c>
      <c r="AP3" s="112" t="s">
        <v>90</v>
      </c>
      <c r="AQ3" s="9"/>
      <c r="AR3" s="9"/>
      <c r="AS3" s="9"/>
      <c r="AT3" s="9"/>
      <c r="AU3" s="9"/>
      <c r="AV3" s="9"/>
      <c r="AW3" s="9"/>
      <c r="AX3" s="10"/>
      <c r="AY3" s="10"/>
      <c r="AZ3" s="113" t="s">
        <v>22</v>
      </c>
      <c r="BA3" s="113" t="s">
        <v>23</v>
      </c>
      <c r="BB3" s="113" t="s">
        <v>14</v>
      </c>
      <c r="BC3" s="113" t="s">
        <v>24</v>
      </c>
      <c r="BD3" s="113" t="s">
        <v>44</v>
      </c>
      <c r="BE3" s="113" t="s">
        <v>22</v>
      </c>
      <c r="BF3" s="113" t="s">
        <v>23</v>
      </c>
      <c r="BG3" s="113" t="s">
        <v>14</v>
      </c>
      <c r="BH3" s="113" t="s">
        <v>24</v>
      </c>
      <c r="BI3" s="113" t="s">
        <v>44</v>
      </c>
      <c r="BJ3" s="113" t="s">
        <v>22</v>
      </c>
      <c r="BK3" s="113" t="s">
        <v>23</v>
      </c>
      <c r="BL3" s="113" t="s">
        <v>14</v>
      </c>
      <c r="BM3" s="113" t="s">
        <v>24</v>
      </c>
      <c r="BN3" s="113" t="s">
        <v>44</v>
      </c>
      <c r="BO3" s="113" t="s">
        <v>22</v>
      </c>
      <c r="BP3" s="113" t="s">
        <v>23</v>
      </c>
      <c r="BQ3" s="113" t="s">
        <v>14</v>
      </c>
      <c r="BR3" s="113" t="s">
        <v>24</v>
      </c>
      <c r="BS3" s="113" t="s">
        <v>44</v>
      </c>
      <c r="BT3" s="113" t="s">
        <v>90</v>
      </c>
      <c r="BU3" s="12"/>
      <c r="BV3" s="12"/>
      <c r="BW3" s="12"/>
      <c r="BX3" s="12"/>
      <c r="BY3" s="12"/>
      <c r="BZ3" s="12"/>
      <c r="CA3" s="12"/>
      <c r="CB3" s="13"/>
      <c r="CC3" s="13"/>
      <c r="CD3" s="112" t="s">
        <v>22</v>
      </c>
      <c r="CE3" s="112" t="s">
        <v>23</v>
      </c>
      <c r="CF3" s="112" t="s">
        <v>14</v>
      </c>
      <c r="CG3" s="112" t="s">
        <v>24</v>
      </c>
      <c r="CH3" s="112" t="s">
        <v>44</v>
      </c>
      <c r="CI3" s="112" t="s">
        <v>22</v>
      </c>
      <c r="CJ3" s="112" t="s">
        <v>23</v>
      </c>
      <c r="CK3" s="112" t="s">
        <v>14</v>
      </c>
      <c r="CL3" s="112" t="s">
        <v>24</v>
      </c>
      <c r="CM3" s="112" t="s">
        <v>44</v>
      </c>
      <c r="CN3" s="112" t="s">
        <v>22</v>
      </c>
      <c r="CO3" s="112" t="s">
        <v>23</v>
      </c>
      <c r="CP3" s="112" t="s">
        <v>14</v>
      </c>
      <c r="CQ3" s="112" t="s">
        <v>24</v>
      </c>
      <c r="CR3" s="112" t="s">
        <v>44</v>
      </c>
      <c r="CS3" s="112" t="s">
        <v>22</v>
      </c>
      <c r="CT3" s="112" t="s">
        <v>23</v>
      </c>
      <c r="CU3" s="112" t="s">
        <v>14</v>
      </c>
      <c r="CV3" s="112" t="s">
        <v>24</v>
      </c>
      <c r="CW3" s="112" t="s">
        <v>44</v>
      </c>
      <c r="CX3" s="112" t="s">
        <v>90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112" t="s">
        <v>22</v>
      </c>
      <c r="DM3" s="112" t="s">
        <v>23</v>
      </c>
      <c r="DN3" s="112" t="s">
        <v>14</v>
      </c>
      <c r="DO3" s="112" t="s">
        <v>24</v>
      </c>
      <c r="DP3" s="112" t="s">
        <v>44</v>
      </c>
      <c r="DQ3" s="112" t="s">
        <v>22</v>
      </c>
      <c r="DR3" s="112" t="s">
        <v>23</v>
      </c>
      <c r="DS3" s="112" t="s">
        <v>14</v>
      </c>
      <c r="DT3" s="112" t="s">
        <v>24</v>
      </c>
      <c r="DU3" s="112" t="s">
        <v>44</v>
      </c>
      <c r="DV3" s="112" t="s">
        <v>22</v>
      </c>
      <c r="DW3" s="112" t="s">
        <v>23</v>
      </c>
      <c r="DX3" s="112" t="s">
        <v>14</v>
      </c>
      <c r="DY3" s="112" t="s">
        <v>24</v>
      </c>
      <c r="DZ3" s="112" t="s">
        <v>44</v>
      </c>
      <c r="EA3" s="10"/>
      <c r="EB3" s="9"/>
      <c r="EC3" s="9"/>
      <c r="ED3" s="9"/>
      <c r="EE3" s="9"/>
      <c r="EF3" s="10"/>
      <c r="EG3" s="10"/>
      <c r="EH3" s="113" t="s">
        <v>22</v>
      </c>
      <c r="EI3" s="113" t="s">
        <v>23</v>
      </c>
      <c r="EJ3" s="113" t="s">
        <v>14</v>
      </c>
      <c r="EK3" s="113" t="s">
        <v>24</v>
      </c>
      <c r="EL3" s="113" t="s">
        <v>44</v>
      </c>
      <c r="EM3" s="113" t="s">
        <v>22</v>
      </c>
      <c r="EN3" s="113" t="s">
        <v>23</v>
      </c>
      <c r="EO3" s="113" t="s">
        <v>14</v>
      </c>
      <c r="EP3" s="113" t="s">
        <v>24</v>
      </c>
      <c r="EQ3" s="113" t="s">
        <v>44</v>
      </c>
      <c r="ER3" s="113" t="s">
        <v>22</v>
      </c>
      <c r="ES3" s="113" t="s">
        <v>23</v>
      </c>
      <c r="ET3" s="113" t="s">
        <v>14</v>
      </c>
      <c r="EU3" s="113" t="s">
        <v>24</v>
      </c>
      <c r="EV3" s="51" t="s">
        <v>44</v>
      </c>
      <c r="EW3" s="13"/>
      <c r="EX3" s="12"/>
      <c r="EY3" s="12"/>
      <c r="EZ3" s="12"/>
      <c r="FA3" s="12"/>
      <c r="FB3" s="13"/>
      <c r="FC3" s="13"/>
      <c r="FD3" s="112" t="s">
        <v>22</v>
      </c>
      <c r="FE3" s="112" t="s">
        <v>23</v>
      </c>
      <c r="FF3" s="112" t="s">
        <v>14</v>
      </c>
      <c r="FG3" s="112" t="s">
        <v>24</v>
      </c>
      <c r="FH3" s="112" t="s">
        <v>44</v>
      </c>
      <c r="FI3" s="112" t="s">
        <v>22</v>
      </c>
      <c r="FJ3" s="112" t="s">
        <v>23</v>
      </c>
      <c r="FK3" s="112" t="s">
        <v>14</v>
      </c>
      <c r="FL3" s="112" t="s">
        <v>24</v>
      </c>
      <c r="FM3" s="112" t="s">
        <v>44</v>
      </c>
      <c r="FN3" s="112" t="s">
        <v>22</v>
      </c>
      <c r="FO3" s="112" t="s">
        <v>23</v>
      </c>
      <c r="FP3" s="112" t="s">
        <v>14</v>
      </c>
      <c r="FQ3" s="112" t="s">
        <v>24</v>
      </c>
      <c r="FR3" s="112" t="s">
        <v>44</v>
      </c>
      <c r="FS3" s="10"/>
      <c r="FT3" s="9"/>
      <c r="FU3" s="9"/>
      <c r="FV3" s="9"/>
      <c r="FW3" s="9"/>
      <c r="FX3" s="10"/>
      <c r="FY3" s="10"/>
      <c r="FZ3" s="113" t="s">
        <v>22</v>
      </c>
      <c r="GA3" s="113" t="s">
        <v>23</v>
      </c>
      <c r="GB3" s="113" t="s">
        <v>14</v>
      </c>
      <c r="GC3" s="113" t="s">
        <v>24</v>
      </c>
      <c r="GD3" s="113" t="s">
        <v>44</v>
      </c>
      <c r="GE3" s="113" t="s">
        <v>22</v>
      </c>
      <c r="GF3" s="113" t="s">
        <v>23</v>
      </c>
      <c r="GG3" s="113" t="s">
        <v>14</v>
      </c>
      <c r="GH3" s="113" t="s">
        <v>24</v>
      </c>
      <c r="GI3" s="113" t="s">
        <v>44</v>
      </c>
      <c r="GJ3" s="113" t="s">
        <v>22</v>
      </c>
      <c r="GK3" s="113" t="s">
        <v>23</v>
      </c>
      <c r="GL3" s="113" t="s">
        <v>14</v>
      </c>
      <c r="GM3" s="113" t="s">
        <v>24</v>
      </c>
      <c r="GN3" s="113" t="s">
        <v>44</v>
      </c>
      <c r="GO3" s="13"/>
      <c r="GP3" s="12"/>
      <c r="GQ3" s="12"/>
      <c r="GR3" s="12"/>
      <c r="GS3" s="12"/>
      <c r="GT3" s="13"/>
      <c r="GU3" s="13"/>
      <c r="GV3" s="112" t="s">
        <v>22</v>
      </c>
      <c r="GW3" s="112" t="s">
        <v>23</v>
      </c>
      <c r="GX3" s="112" t="s">
        <v>14</v>
      </c>
      <c r="GY3" s="112" t="s">
        <v>24</v>
      </c>
      <c r="GZ3" s="112" t="s">
        <v>44</v>
      </c>
      <c r="HA3" s="112" t="s">
        <v>22</v>
      </c>
      <c r="HB3" s="112" t="s">
        <v>23</v>
      </c>
      <c r="HC3" s="112" t="s">
        <v>14</v>
      </c>
      <c r="HD3" s="112" t="s">
        <v>24</v>
      </c>
      <c r="HE3" s="112" t="s">
        <v>44</v>
      </c>
      <c r="HF3" s="112" t="s">
        <v>22</v>
      </c>
      <c r="HG3" s="112" t="s">
        <v>23</v>
      </c>
      <c r="HH3" s="112" t="s">
        <v>14</v>
      </c>
      <c r="HI3" s="112" t="s">
        <v>24</v>
      </c>
      <c r="HJ3" s="112" t="s">
        <v>44</v>
      </c>
      <c r="HK3" s="10"/>
      <c r="HL3" s="9"/>
      <c r="HM3" s="9"/>
      <c r="HN3" s="9"/>
      <c r="HO3" s="9"/>
      <c r="HP3" s="10"/>
      <c r="HQ3" s="10"/>
      <c r="HR3" s="113" t="s">
        <v>22</v>
      </c>
      <c r="HS3" s="113" t="s">
        <v>23</v>
      </c>
      <c r="HT3" s="113" t="s">
        <v>14</v>
      </c>
      <c r="HU3" s="113" t="s">
        <v>24</v>
      </c>
      <c r="HV3" s="113" t="s">
        <v>44</v>
      </c>
      <c r="HW3" s="113" t="s">
        <v>22</v>
      </c>
      <c r="HX3" s="113" t="s">
        <v>23</v>
      </c>
      <c r="HY3" s="113" t="s">
        <v>14</v>
      </c>
      <c r="HZ3" s="113" t="s">
        <v>24</v>
      </c>
      <c r="IA3" s="113" t="s">
        <v>44</v>
      </c>
      <c r="IB3" s="113" t="s">
        <v>22</v>
      </c>
      <c r="IC3" s="113" t="s">
        <v>23</v>
      </c>
      <c r="ID3" s="113" t="s">
        <v>14</v>
      </c>
      <c r="IE3" s="113" t="s">
        <v>24</v>
      </c>
      <c r="IF3" s="113" t="s">
        <v>44</v>
      </c>
      <c r="IG3" s="13"/>
      <c r="IH3" s="12"/>
      <c r="II3" s="12"/>
      <c r="IJ3" s="12"/>
      <c r="IK3" s="12"/>
      <c r="IL3" s="13"/>
      <c r="IM3" s="13"/>
      <c r="IN3" s="112" t="s">
        <v>22</v>
      </c>
      <c r="IO3" s="112" t="s">
        <v>23</v>
      </c>
      <c r="IP3" s="112" t="s">
        <v>14</v>
      </c>
      <c r="IQ3" s="112" t="s">
        <v>24</v>
      </c>
      <c r="IR3" s="112" t="s">
        <v>44</v>
      </c>
      <c r="IS3" s="112" t="s">
        <v>22</v>
      </c>
      <c r="IT3" s="112" t="s">
        <v>23</v>
      </c>
      <c r="IU3" s="112" t="s">
        <v>14</v>
      </c>
      <c r="IV3" s="112" t="s">
        <v>24</v>
      </c>
      <c r="IW3" s="112" t="s">
        <v>44</v>
      </c>
      <c r="IX3" s="112" t="s">
        <v>22</v>
      </c>
      <c r="IY3" s="112" t="s">
        <v>23</v>
      </c>
      <c r="IZ3" s="112" t="s">
        <v>14</v>
      </c>
      <c r="JA3" s="112" t="s">
        <v>24</v>
      </c>
      <c r="JB3" s="112" t="s">
        <v>44</v>
      </c>
      <c r="JC3" s="10"/>
      <c r="JD3" s="9"/>
      <c r="JE3" s="9"/>
      <c r="JF3" s="9"/>
      <c r="JG3" s="9"/>
      <c r="JH3" s="10"/>
      <c r="JI3" s="10"/>
      <c r="JJ3" s="113" t="s">
        <v>22</v>
      </c>
      <c r="JK3" s="113" t="s">
        <v>23</v>
      </c>
      <c r="JL3" s="113" t="s">
        <v>14</v>
      </c>
      <c r="JM3" s="113" t="s">
        <v>24</v>
      </c>
      <c r="JN3" s="113" t="s">
        <v>44</v>
      </c>
      <c r="JO3" s="113" t="s">
        <v>22</v>
      </c>
      <c r="JP3" s="113" t="s">
        <v>23</v>
      </c>
      <c r="JQ3" s="113" t="s">
        <v>14</v>
      </c>
      <c r="JR3" s="113" t="s">
        <v>24</v>
      </c>
      <c r="JS3" s="113" t="s">
        <v>44</v>
      </c>
      <c r="JT3" s="113" t="s">
        <v>22</v>
      </c>
      <c r="JU3" s="113" t="s">
        <v>23</v>
      </c>
      <c r="JV3" s="113" t="s">
        <v>14</v>
      </c>
      <c r="JW3" s="113" t="s">
        <v>24</v>
      </c>
      <c r="JX3" s="113" t="s">
        <v>44</v>
      </c>
      <c r="JY3" s="13"/>
      <c r="JZ3" s="12"/>
      <c r="KA3" s="12"/>
      <c r="KB3" s="12"/>
      <c r="KC3" s="12"/>
      <c r="KD3" s="13"/>
      <c r="KE3" s="13"/>
      <c r="KF3" s="112" t="s">
        <v>22</v>
      </c>
      <c r="KG3" s="112" t="s">
        <v>23</v>
      </c>
      <c r="KH3" s="112" t="s">
        <v>14</v>
      </c>
      <c r="KI3" s="112" t="s">
        <v>24</v>
      </c>
      <c r="KJ3" s="112" t="s">
        <v>44</v>
      </c>
      <c r="KK3" s="112" t="s">
        <v>22</v>
      </c>
      <c r="KL3" s="112" t="s">
        <v>23</v>
      </c>
      <c r="KM3" s="112" t="s">
        <v>14</v>
      </c>
      <c r="KN3" s="112" t="s">
        <v>24</v>
      </c>
      <c r="KO3" s="112" t="s">
        <v>44</v>
      </c>
      <c r="KP3" s="112" t="s">
        <v>22</v>
      </c>
      <c r="KQ3" s="112" t="s">
        <v>23</v>
      </c>
      <c r="KR3" s="112" t="s">
        <v>14</v>
      </c>
      <c r="KS3" s="112" t="s">
        <v>24</v>
      </c>
      <c r="KT3" s="112" t="s">
        <v>44</v>
      </c>
      <c r="KU3" s="10"/>
      <c r="KV3" s="9"/>
      <c r="KW3" s="9"/>
      <c r="KX3" s="9"/>
      <c r="KY3" s="9"/>
      <c r="KZ3" s="10"/>
      <c r="LA3" s="10"/>
      <c r="LB3" s="113" t="s">
        <v>22</v>
      </c>
      <c r="LC3" s="113" t="s">
        <v>23</v>
      </c>
      <c r="LD3" s="113" t="s">
        <v>14</v>
      </c>
      <c r="LE3" s="113" t="s">
        <v>24</v>
      </c>
      <c r="LF3" s="113" t="s">
        <v>44</v>
      </c>
      <c r="LG3" s="113" t="s">
        <v>22</v>
      </c>
      <c r="LH3" s="113" t="s">
        <v>23</v>
      </c>
      <c r="LI3" s="113" t="s">
        <v>14</v>
      </c>
      <c r="LJ3" s="113" t="s">
        <v>24</v>
      </c>
      <c r="LK3" s="113" t="s">
        <v>44</v>
      </c>
      <c r="LL3" s="113" t="s">
        <v>22</v>
      </c>
      <c r="LM3" s="113" t="s">
        <v>23</v>
      </c>
      <c r="LN3" s="113" t="s">
        <v>14</v>
      </c>
      <c r="LO3" s="113" t="s">
        <v>24</v>
      </c>
      <c r="LP3" s="113" t="s">
        <v>44</v>
      </c>
      <c r="LQ3" s="13"/>
      <c r="LR3" s="12"/>
      <c r="LS3" s="12"/>
      <c r="LT3" s="12"/>
      <c r="LU3" s="12"/>
      <c r="LV3" s="13"/>
      <c r="LW3" s="13"/>
      <c r="LX3" s="112" t="s">
        <v>22</v>
      </c>
      <c r="LY3" s="112" t="s">
        <v>23</v>
      </c>
      <c r="LZ3" s="112" t="s">
        <v>14</v>
      </c>
      <c r="MA3" s="112" t="s">
        <v>24</v>
      </c>
      <c r="MB3" s="112" t="s">
        <v>44</v>
      </c>
      <c r="MC3" s="112" t="s">
        <v>22</v>
      </c>
      <c r="MD3" s="112" t="s">
        <v>23</v>
      </c>
      <c r="ME3" s="112" t="s">
        <v>14</v>
      </c>
      <c r="MF3" s="112" t="s">
        <v>24</v>
      </c>
      <c r="MG3" s="112" t="s">
        <v>44</v>
      </c>
      <c r="MH3" s="112" t="s">
        <v>22</v>
      </c>
      <c r="MI3" s="112" t="s">
        <v>23</v>
      </c>
      <c r="MJ3" s="112" t="s">
        <v>14</v>
      </c>
      <c r="MK3" s="112" t="s">
        <v>24</v>
      </c>
      <c r="ML3" s="112" t="s">
        <v>44</v>
      </c>
      <c r="MM3" s="10"/>
      <c r="MN3" s="9"/>
      <c r="MO3" s="9"/>
      <c r="MP3" s="9"/>
      <c r="MQ3" s="9"/>
      <c r="MR3" s="10"/>
      <c r="MS3" s="10"/>
      <c r="MT3" s="113" t="s">
        <v>22</v>
      </c>
      <c r="MU3" s="113" t="s">
        <v>23</v>
      </c>
      <c r="MV3" s="113" t="s">
        <v>14</v>
      </c>
      <c r="MW3" s="113" t="s">
        <v>24</v>
      </c>
      <c r="MX3" s="113" t="s">
        <v>44</v>
      </c>
      <c r="MY3" s="113" t="s">
        <v>22</v>
      </c>
      <c r="MZ3" s="113" t="s">
        <v>23</v>
      </c>
      <c r="NA3" s="113" t="s">
        <v>14</v>
      </c>
      <c r="NB3" s="113" t="s">
        <v>24</v>
      </c>
      <c r="NC3" s="113" t="s">
        <v>44</v>
      </c>
      <c r="ND3" s="113" t="s">
        <v>22</v>
      </c>
      <c r="NE3" s="113" t="s">
        <v>23</v>
      </c>
      <c r="NF3" s="113" t="s">
        <v>14</v>
      </c>
      <c r="NG3" s="113" t="s">
        <v>24</v>
      </c>
      <c r="NH3" s="113" t="s">
        <v>44</v>
      </c>
      <c r="NI3" s="13"/>
      <c r="NJ3" s="12"/>
      <c r="NK3" s="12"/>
      <c r="NL3" s="12"/>
      <c r="NM3" s="12"/>
      <c r="NN3" s="13"/>
      <c r="NO3" s="13"/>
      <c r="NP3" s="112" t="s">
        <v>22</v>
      </c>
      <c r="NQ3" s="112" t="s">
        <v>23</v>
      </c>
      <c r="NR3" s="112" t="s">
        <v>14</v>
      </c>
      <c r="NS3" s="112" t="s">
        <v>24</v>
      </c>
      <c r="NT3" s="112" t="s">
        <v>44</v>
      </c>
      <c r="NU3" s="112" t="s">
        <v>22</v>
      </c>
      <c r="NV3" s="112" t="s">
        <v>23</v>
      </c>
      <c r="NW3" s="112" t="s">
        <v>14</v>
      </c>
      <c r="NX3" s="112" t="s">
        <v>24</v>
      </c>
      <c r="NY3" s="112" t="s">
        <v>44</v>
      </c>
      <c r="NZ3" s="112" t="s">
        <v>22</v>
      </c>
      <c r="OA3" s="112" t="s">
        <v>23</v>
      </c>
      <c r="OB3" s="112" t="s">
        <v>14</v>
      </c>
      <c r="OC3" s="112" t="s">
        <v>24</v>
      </c>
      <c r="OD3" s="112" t="s">
        <v>44</v>
      </c>
      <c r="OE3" s="112" t="s">
        <v>22</v>
      </c>
      <c r="OF3" s="112" t="s">
        <v>23</v>
      </c>
      <c r="OG3" s="112" t="s">
        <v>14</v>
      </c>
      <c r="OH3" s="112" t="s">
        <v>24</v>
      </c>
      <c r="OI3" s="112" t="s">
        <v>44</v>
      </c>
      <c r="OJ3" s="112" t="s">
        <v>90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IF(AND(G4&lt;&gt;"",H4&lt;&gt;""),SUMPRODUCT((G$4:G$19&lt;&gt;"")*(H$4:H$19&lt;&gt;"")*(E$4:E$19&gt;E4))+1,IF(H4&lt;&gt;"",SUMPRODUCT((I$4:I$19="No DD")*(E$4:E$19&gt;E4))+1+SUMPRODUCT((G$4:G$19&lt;&gt;"")*(H$4:H$19&lt;&gt;"")),""))</f>
        <v>1</v>
      </c>
      <c r="B4" s="127" t="s">
        <v>38</v>
      </c>
      <c r="C4" s="5" t="s">
        <v>3</v>
      </c>
      <c r="D4" s="5">
        <v>1988</v>
      </c>
      <c r="E4" s="15">
        <f>SUM(K4:S4)</f>
        <v>267.255</v>
      </c>
      <c r="F4" s="3" t="str">
        <f>IF(G4&lt;&gt;"","P","")</f>
        <v>P</v>
      </c>
      <c r="G4" s="125" t="str">
        <f>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Merit",IF(OR(AND(AR4&gt;=AY$23,AR4&lt;&gt;"",AP4=""),AND(AT4&gt;=AY$23,AT4&lt;&gt;"",AP4=""),AND(AW4&gt;=AY$23,AW4&lt;&gt;"",AP4=""),AND(BV4&gt;=CC$23,BV4&lt;&gt;"",BT4=""),AND(BX4&gt;=CC$23,BX4&lt;&gt;"",BT4=""),AND(CA4&gt;=CC$23,CA4&lt;&gt;"",BT4=""),AND(CZ4&gt;=DG$23,CZ4&lt;&gt;"",CX4=""),AND(DB4&gt;=DG$23,DB4&lt;&gt;"",CX4=""),AND(DE4&gt;=DG$23,DE4&lt;&gt;"",CX4=""),AND(EA4&gt;=EG$23,EA4&lt;&gt;""),AND(EE4&gt;=EG$23,EE4&lt;&gt;""),AND(EW4&gt;=FC$23,EW4&lt;&gt;""),AND(FA4&gt;=FC$23,FA4&lt;&gt;""),AND(FS4&gt;=FY$23,FS4&lt;&gt;""),AND(FW4&gt;=FY$23,FW4&lt;&gt;""),AND(GO4&gt;=GU$23,GO4&lt;&gt;""),AND(GS4&gt;=GU$23,GS4&lt;&gt;""),AND(HK4&gt;=HQ$23,HK4&lt;&gt;""),AND(HO4&gt;=HQ$23,HO4&lt;&gt;""),AND(IG4&gt;=IM$23,IG4&lt;&gt;""),AND(IK4&gt;=IM$23,IK4&lt;&gt;""),AND(JC4&gt;=JI$23,JC4&lt;&gt;""),AND(JG4&gt;=JI$23,JG4&lt;&gt;""),AND(JY4&gt;=KE$23,JY4&lt;&gt;""),AND(KC4&gt;=KE$23,KC4&lt;&gt;""),AND(KU4&gt;=LA$23,KU4&lt;&gt;""),AND(KY4&gt;=LA$23,KY4&lt;&gt;""),AND(LQ4&gt;=LW$23,LQ4&lt;&gt;""),AND(LU4&gt;=LW$23,LU4&lt;&gt;""),AND(MM4&gt;=MS$23,MM4&lt;&gt;""),AND(MQ4&gt;=MS$23,MQ4&lt;&gt;""),AND(NI4&gt;=NO$23,NI4&lt;&gt;""),AND(NM4&gt;=NO$23,NM4&lt;&gt;"")),"Excellence",IF(OR(AND(AR4&gt;=AY$22,AR4&lt;&gt;"",AP4=""),AND(AT4&gt;=AY$22,AT4&lt;&gt;"",AP4=""),AND(AW4&gt;=AY$22,AW4&lt;&gt;"",AP4=""),AND(BV4&gt;=CC$22,BV4&lt;&gt;"",BT4=""),AND(BX4&gt;=CC$22,BX4&lt;&gt;"",BT4=""),AND(CA4&gt;=CC$22,CA4&lt;&gt;"",BT4=""),AND(CZ4&gt;=DG$22,CZ4&lt;&gt;"",CX4=""),AND(DB4&gt;=DG$22,DB4&lt;&gt;"",CX4=""),AND(DE4&gt;=DG$22,DE4&lt;&gt;"",CX4=""),AND(EA4&gt;=EG$22,EA4&lt;&gt;""),AND(EE4&gt;=EG$22,EE4&lt;&gt;""),AND(EW4&gt;=FC$22,EW4&lt;&gt;""),AND(FA4&gt;=FC$22,FA4&lt;&gt;""),AND(FS4&gt;=FY$22,FS4&lt;&gt;""),AND(FW4&gt;=FY$22,FW4&lt;&gt;""),AND(GO4&gt;=GU$22,GO4&lt;&gt;""),AND(GS4&gt;=GU$22,GS4&lt;&gt;""),AND(HK4&gt;=HQ$22,HK4&lt;&gt;""),AND(HO4&gt;=HQ$22,HO4&lt;&gt;""),AND(IG4&gt;=IM$22,IG4&lt;&gt;""),AND(IK4&gt;=IM$22,IK4&lt;&gt;""),AND(JC4&gt;=JI$22,JC4&lt;&gt;""),AND(JG4&gt;=JI$22,JG4&lt;&gt;""),AND(JY4&gt;=KE$22,JY4&lt;&gt;""),AND(KC4&gt;=KE$22,KC4&lt;&gt;""),AND(KU4&gt;=LA$22,KU4&lt;&gt;""),AND(KY4&gt;=LA$22,KY4&lt;&gt;""),AND(LQ4&gt;=LW$22,LQ4&lt;&gt;""),AND(LU4&gt;=LW$22,LU4&lt;&gt;""),AND(MM4&gt;=MS$22,MM4&lt;&gt;""),AND(MQ4&gt;=MS$22,MQ4&lt;&gt;""),AND(NI4&gt;=NO$22,NI4&lt;&gt;""),AND(NM4&gt;=NO$22,NM4&lt;&gt;"")),"Worlds Team",IF(OR(AND(AR4&gt;=AY$21,AR4&lt;&gt;"",AP4=""),AND(AT4&gt;=AY$21,AT4&lt;&gt;"",AP4=""),AND(AW4&gt;=AY$21,AW4&lt;&gt;"",AP4=""),AND(BV4&gt;=CC$21,BV4&lt;&gt;"",BT4=""),AND(BX4&gt;=CC$21,BX4&lt;&gt;"",BT4=""),AND(CA4&gt;=CC$21,CA4&lt;&gt;"",BT4=""),AND(CZ4&gt;=DG$21,CZ4&lt;&gt;"",CX4=""),AND(DB4&gt;=DG$21,DB4&lt;&gt;"",CX4=""),AND(DE4&gt;=DG$21,DE4&lt;&gt;"",CX4=""),AND(EA4&gt;=EG$21,EA4&lt;&gt;""),AND(EE4&gt;=EG$21,EE4&lt;&gt;""),AND(EW4&gt;=FC$21,EW4&lt;&gt;""),AND(FA4&gt;=FC$21,FA4&lt;&gt;""),AND(FS4&gt;=FY$21,FS4&lt;&gt;""),AND(FW4&gt;=FY$21,FW4&lt;&gt;""),AND(GO4&gt;=GU$21,GO4&lt;&gt;""),AND(GS4&gt;=GU$21,GS4&lt;&gt;""),AND(HK4&gt;=HQ$21,HK4&lt;&gt;""),AND(HO4&gt;=HQ$21,HO4&lt;&gt;""),AND(IG4&gt;=IM$21,IG4&lt;&gt;""),AND(IK4&gt;=IM$21,IK4&lt;&gt;""),AND(JC4&gt;=JI$21,JC4&lt;&gt;""),AND(JG4&gt;=JI$21,JG4&lt;&gt;""),AND(JY4&gt;=KE$21,JY4&lt;&gt;""),AND(KC4&gt;=KE$21,KC4&lt;&gt;""),AND(KU4&gt;=LA$21,KU4&lt;&gt;""),AND(KY4&gt;=LA$21,KY4&lt;&gt;""),AND(LQ4&gt;=LW$21,LQ4&lt;&gt;""),AND(LU4&gt;=LW$21,LU4&lt;&gt;""),AND(MM4&gt;=MS$21,MM4&lt;&gt;""),AND(MQ4&gt;=MS$21,MQ4&lt;&gt;""),AND(NI4&gt;=NO$21,NI4&lt;&gt;""),AND(NM4&gt;=NO$21,NM4&lt;&gt;"")),"National Team",""))))</f>
        <v>Merit</v>
      </c>
      <c r="H4" s="125" t="str">
        <f>IF(OR(AND(AS4&gt;=AY$28,AS4&lt;&gt;"",AP4=""),AND(AU4&gt;=AY$28,AU4&lt;&gt;"",AP4=""),AND(AX4&gt;=AY$28,AX4&lt;&gt;"",AP4=""),AND(BW4&gt;=CC$28,BW4&lt;&gt;"",BT4=""),AND(BY4&gt;=CC$28,BY4&lt;&gt;"",BT4=""),AND(CB4&gt;=CC$28,CB4&lt;&gt;"",BT4=""),AND(DA4&gt;=DG$28,DA4&lt;&gt;"",CX4=""),AND(DC4&gt;=DG$28,DC4&lt;&gt;"",CX4=""),AND(DF4&gt;=DG$28,DF4&lt;&gt;"",CX4=""),AND(EC4&gt;=EG$28,EC4&lt;&gt;""),AND(EF4&gt;=EG$28,EF4&lt;&gt;""),AND(EY4&gt;=FC$28,EY4&lt;&gt;""),AND(FB4&gt;=FC$28,FB4&lt;&gt;""),AND(FU4&gt;=FY$28,FU4&lt;&gt;""),AND(FX4&gt;=FY$28,FX4&lt;&gt;""),AND(GQ4&gt;=GU$28,GQ4&lt;&gt;""),AND(GT4&gt;=GU$28,GT4&lt;&gt;""),AND(HM4&gt;=HQ$28,HM4&lt;&gt;""),AND(HP4&gt;=HQ$28,HP4&lt;&gt;""),AND(II4&gt;=IM$28,II4&lt;&gt;""),AND(IL4&gt;=IM$28,IL4&lt;&gt;""),AND(JE4&gt;=JI$28,JE4&lt;&gt;""),AND(JH4&gt;=JI$28,JH4&lt;&gt;""),AND(KA4&gt;=KE$28,KA4&lt;&gt;""),AND(KD4&gt;=KE$28,KD4&lt;&gt;""),AND(KW4&gt;=LA$28,KW4&lt;&gt;""),AND(KZ4&gt;=LA$28,KZ4&lt;&gt;""),AND(LS4&gt;=LW$28,LS4&lt;&gt;""),AND(LV4&gt;=LW$28,LV4&lt;&gt;""),AND(MO4&gt;=MS$28,MO4&lt;&gt;""),AND(MR4&gt;=MS$28,MR4&lt;&gt;""),AND(NK4&gt;=NO$28,NK4&lt;&gt;""),AND(NN4&gt;=NO$28,NN4&lt;&gt;"")),"Merit",IF(OR(AND(AS4&gt;=AY$27,AS4&lt;&gt;"",AP4=""),AND(AU4&gt;=AY$27,AU4&lt;&gt;"",AP4=""),AND(AX4&gt;=AY$27,AX4&lt;&gt;"",AP4=""),AND(BW4&gt;=CC$27,BW4&lt;&gt;"",BT4=""),AND(BY4&gt;=CC$27,BY4&lt;&gt;"",BT4=""),AND(CB4&gt;=CC$27,CB4&lt;&gt;"",BT4=""),AND(DA4&gt;=DG$27,DA4&lt;&gt;"",CX4=""),AND(DC4&gt;=DG$27,DC4&lt;&gt;"",CX4=""),AND(DF4&gt;=DG$27,DF4&lt;&gt;"",CX4=""),AND(EC4&gt;=EG$27,EC4&lt;&gt;""),AND(EF4&gt;=EG$27,EF4&lt;&gt;""),AND(EY4&gt;=FC$27,EY4&lt;&gt;""),AND(FB4&gt;=FC$27,FB4&lt;&gt;""),AND(FU4&gt;=FY$27,FU4&lt;&gt;""),AND(FX4&gt;=FY$27,FX4&lt;&gt;""),AND(GQ4&gt;=GU$27,GQ4&lt;&gt;""),AND(GT4&gt;=GU$27,GT4&lt;&gt;""),AND(HM4&gt;=HQ$27,HM4&lt;&gt;""),AND(HP4&gt;=HQ$27,HP4&lt;&gt;""),AND(II4&gt;=IM$27,II4&lt;&gt;""),AND(IL4&gt;=IM$27,IL4&lt;&gt;""),AND(JE4&gt;=JI$27,JE4&lt;&gt;""),AND(JH4&gt;=JI$27,JH4&lt;&gt;""),AND(KA4&gt;=KE$27,KA4&lt;&gt;""),AND(KD4&gt;=KE$27,KD4&lt;&gt;""),AND(KW4&gt;=LA$27,KW4&lt;&gt;""),AND(KZ4&gt;=LA$27,KZ4&lt;&gt;""),AND(LS4&gt;=LW$27,LS4&lt;&gt;""),AND(LV4&gt;=LW$27,LV4&lt;&gt;""),AND(MO4&gt;=MS$27,MO4&lt;&gt;""),AND(MR4&gt;=MS$27,MR4&lt;&gt;""),AND(NK4&gt;=NO$27,NK4&lt;&gt;""),AND(NN4&gt;=NO$27,NN4&lt;&gt;"")),"Excellence",IF(OR(AND(AV4&gt;=AY$26,AV4&lt;&gt;"",AP4=""),AND(BZ4&gt;=CC$26,BZ4&lt;&gt;"",BT4=""),AND(DD4&gt;=DG$26,DD4&lt;&gt;"",CX4=""),AND(ED4&gt;=EG$26,ED4&lt;&gt;""),AND(EZ4&gt;=FC$26,EZ4&lt;&gt;""),AND(FV4&gt;=FY$26,FV4&lt;&gt;""),AND(GR4&gt;=GU$26,GR4&lt;&gt;""),AND(HN4&gt;=HQ$26,HN4&lt;&gt;""),AND(IJ4&gt;=IM$26,IJ4&lt;&gt;""),AND(JF4&gt;=JI$26,JF4&lt;&gt;""),AND(KB4&gt;=KE$26,KB4&lt;&gt;""),AND(KX4&gt;=LA$26,KX4&lt;&gt;""),AND(LT4&gt;=LW$26,LT4&lt;&gt;""),AND(MP4&gt;=MS$26,MP4&lt;&gt;""),AND(NL4&gt;=NO$26,NL4&lt;&gt;"")),"Worlds Team",IF(OR(AND(AV4&gt;=AY$25,AV4&lt;&gt;"",AP4=""),AND(BZ4&gt;=CC$25,BZ4&lt;&gt;"",BT4=""),AND(DD4&gt;=DG$25,DD4&lt;&gt;"",CX4=""),AND(ED4&gt;=EG$25,ED4&lt;&gt;""),AND(EZ4&gt;=FC$25,EZ4&lt;&gt;""),AND(FV4&gt;=FY$25,FV4&lt;&gt;""),AND(GR4&gt;=GU$25,GR4&lt;&gt;""),AND(HN4&gt;=HQ$25,HN4&lt;&gt;""),AND(IJ4&gt;=IM$25,IJ4&lt;&gt;""),AND(JF4&gt;=JI$25,JF4&lt;&gt;""),AND(KB4&gt;=KE$25,KB4&lt;&gt;""),AND(KX4&gt;=LA$25,KX4&lt;&gt;""),AND(LT4&gt;=LW$25,LT4&lt;&gt;""),AND(MP4&gt;=MS$25,MP4&lt;&gt;""),AND(NL4&gt;=NO$25,NL4&lt;&gt;"")),"National Team",""))))</f>
        <v>Merit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>IF(AND(OR(AND(AV4&gt;=AY$26,AV4&lt;&gt;"",AP4=""),AND(BZ4&gt;=CC$26,BZ4&lt;&gt;"",BT4=""),AND(DD4&gt;=DG$26,DD4&lt;&gt;"",CX4=""),AND(ED4&gt;=EG$26,ED4&lt;&gt;""),AND(EZ4&gt;=FC$26,EZ4&lt;&gt;""),AND(FV4&gt;=FY$26,FV4&lt;&gt;""),AND(GR4&gt;=GU$26,GR4&lt;&gt;""),AND(HN4&gt;=HQ$26,HN4&lt;&gt;""),AND(IJ4&gt;=IM$26,IJ4&lt;&gt;""),AND(JF4&gt;=JI$26,JF4&lt;&gt;""),AND(KB4&gt;=KE$26,KB4&lt;&gt;""),AND(KX4&gt;=LA$26,KX4&lt;&gt;""),AND(LT4&gt;=LW$26,LT4&lt;&gt;""),AND(MP4&gt;=MS$26,MP4&lt;&gt;""),AND(NL4&gt;=NO$26,NL4&lt;&gt;"")),OR(G4="Worlds Team",G4="Excellence",G4="Merit")),"P","")</f>
        <v>P</v>
      </c>
      <c r="K4" s="14">
        <f>IF(MAX(AV4,BZ4,DD4)&gt;0,MAX(AV4,BZ4,DD4),0)</f>
        <v>106.255</v>
      </c>
      <c r="L4" s="14" t="str">
        <f>IF(K4=0,"",IF(K4=DD4,$CD$1,IF(K4=BZ4,$AZ$1,IF(K4=AV4,$V$1,""))))</f>
        <v>2021 1st Virtual Technical Trial</v>
      </c>
      <c r="M4" s="14">
        <f>IF($K4=$AV4,MAX(BU4,CY4),IF($K4=$BZ4,MAX(AQ4,CY4),IF($K4=$DD4,MAX(AQ4,BU4),MAX(AQ4,BU4,CY4))))</f>
        <v>49.284999999999997</v>
      </c>
      <c r="N4" s="14" t="str">
        <f>IF(M4=0,"",IF(AND(M4=CY4,$L4&lt;&gt;$CD$1),$CD$1,IF(AND(M4=BU4,$L4&lt;&gt;$AZ$1),$AZ$1,IF(AND(M4=AQ4,$L4&lt;&gt;$V$1),$V$1,""))))</f>
        <v>2019 Nationals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55.954999999999998</v>
      </c>
      <c r="P4" s="14" t="str">
        <f>IF(O4=0,"",IF(OR(O4=DC4,O4=DA4),$CD$1,IF(OR(O4=BY4,O4=BW4),$AZ$1,IF(OR(O4=AU4,O4=AS4),$V$1,""))))</f>
        <v>2019 Nationals</v>
      </c>
      <c r="Q4" s="14">
        <f>MAX(AX4,CB4,DF4)</f>
        <v>55.760000000000005</v>
      </c>
      <c r="R4" s="14" t="str">
        <f>IF(Q4=0,"",IF(Q4=DF4,$CD$1,IF(Q4=CB4,$AZ$1,IF(Q4=AX4,$V$1,""))))</f>
        <v>2021 1st Virtual Technical Trial</v>
      </c>
      <c r="S4" s="14" t="str">
        <f>IF(MAX(DH4,DI4,DJ4,DK4)&gt;0,MAX(DH4,DI4,DJ4,DK4),"")</f>
        <v/>
      </c>
      <c r="T4" s="25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9">
        <v>18.8</v>
      </c>
      <c r="W4" s="69">
        <v>9.4499999999999993</v>
      </c>
      <c r="X4" s="69">
        <v>4.4000000000000004</v>
      </c>
      <c r="Y4" s="69">
        <v>16.634999999999998</v>
      </c>
      <c r="Z4" s="69">
        <v>0</v>
      </c>
      <c r="AA4" s="69">
        <v>16.8</v>
      </c>
      <c r="AB4" s="69">
        <v>9.2750000000000004</v>
      </c>
      <c r="AC4" s="69">
        <v>14.15</v>
      </c>
      <c r="AD4" s="69">
        <v>15.73</v>
      </c>
      <c r="AE4" s="69">
        <v>0</v>
      </c>
      <c r="AF4" s="69"/>
      <c r="AG4" s="69"/>
      <c r="AH4" s="69"/>
      <c r="AI4" s="69"/>
      <c r="AJ4" s="69"/>
      <c r="AK4" s="69">
        <v>9.85</v>
      </c>
      <c r="AL4" s="69">
        <v>5.35</v>
      </c>
      <c r="AM4" s="69">
        <v>8.5500000000000007</v>
      </c>
      <c r="AN4" s="69">
        <v>9.6425000000000001</v>
      </c>
      <c r="AO4" s="69">
        <v>0</v>
      </c>
      <c r="AP4" s="80" t="s">
        <v>91</v>
      </c>
      <c r="AQ4" s="11">
        <f>IF(SUM(V4:Y4)-Z4&gt;0,SUM(V4:Y4)-Z4,"")</f>
        <v>49.284999999999997</v>
      </c>
      <c r="AR4" s="11">
        <f>IF(AC4&gt;0,AC4,"")</f>
        <v>14.15</v>
      </c>
      <c r="AS4" s="11">
        <f>IF(SUM(AA4:AD4)-AE4&gt;0,SUM(AA4:AD4)-AE4,"")</f>
        <v>55.954999999999998</v>
      </c>
      <c r="AT4" s="11" t="str">
        <f>IF(AH4&gt;0,AH4,"")</f>
        <v/>
      </c>
      <c r="AU4" s="11" t="str">
        <f>IF(SUM(AF4:AI4)-AJ4&gt;0,SUM(AF4:AI4)-AJ4,"")</f>
        <v/>
      </c>
      <c r="AV4" s="11">
        <f>IF(OR(AQ4&lt;&gt;"",AS4&lt;&gt;"",AU4&lt;&gt;""),AQ4+MAX(AS4,AU4),"")</f>
        <v>105.24</v>
      </c>
      <c r="AW4" s="11">
        <f>IF(AM4&gt;0,AM4,"")</f>
        <v>8.5500000000000007</v>
      </c>
      <c r="AX4" s="11">
        <f>IF(SUM(AK4:AN4)-AO4&gt;0,SUM(AK4:AN4)-AO4,"")</f>
        <v>33.392499999999998</v>
      </c>
      <c r="AY4" s="11">
        <f>IF(SUM(AV4,AX4)&gt;0,SUM(AV4,AX4),"")</f>
        <v>138.63249999999999</v>
      </c>
      <c r="AZ4" s="75">
        <v>18.8</v>
      </c>
      <c r="BA4" s="75">
        <v>9.4499999999999993</v>
      </c>
      <c r="BB4" s="75">
        <v>4.4000000000000004</v>
      </c>
      <c r="BC4" s="75">
        <v>16.634999999999998</v>
      </c>
      <c r="BD4" s="75">
        <v>0</v>
      </c>
      <c r="BE4" s="75">
        <v>16.8</v>
      </c>
      <c r="BF4" s="75">
        <v>9.2750000000000004</v>
      </c>
      <c r="BG4" s="75">
        <v>14.15</v>
      </c>
      <c r="BH4" s="75">
        <v>15.73</v>
      </c>
      <c r="BI4" s="75">
        <v>0</v>
      </c>
      <c r="BJ4" s="75"/>
      <c r="BK4" s="75"/>
      <c r="BL4" s="75"/>
      <c r="BM4" s="75"/>
      <c r="BN4" s="75"/>
      <c r="BO4" s="75">
        <v>9.85</v>
      </c>
      <c r="BP4" s="75">
        <v>5.35</v>
      </c>
      <c r="BQ4" s="75">
        <v>8.5500000000000007</v>
      </c>
      <c r="BR4" s="75">
        <v>9.6425000000000001</v>
      </c>
      <c r="BS4" s="75">
        <v>0</v>
      </c>
      <c r="BT4" s="81" t="s">
        <v>91</v>
      </c>
      <c r="BU4" s="14">
        <f>IF(SUM(AZ4:BC4)-BD4&gt;0,SUM(AZ4:BC4)-BD4,"")</f>
        <v>49.284999999999997</v>
      </c>
      <c r="BV4" s="14">
        <f>IF(BG4&gt;0,BG4,"")</f>
        <v>14.15</v>
      </c>
      <c r="BW4" s="14">
        <f>IF(SUM(BE4:BH4)-BI4&gt;0,SUM(BE4:BH4)-BI4,"")</f>
        <v>55.954999999999998</v>
      </c>
      <c r="BX4" s="14" t="str">
        <f>IF(BL4&gt;0,BL4,"")</f>
        <v/>
      </c>
      <c r="BY4" s="14" t="str">
        <f>IF(SUM(BJ4:BM4)-BN4&gt;0,SUM(BJ4:BM4)-BN4,"")</f>
        <v/>
      </c>
      <c r="BZ4" s="14">
        <f>IF(BU4="",IF(MAX(BW4,BY4)&gt;0,MAX(BW4,BY4),""),MAX(BW4,BY4)+BU4)</f>
        <v>105.24</v>
      </c>
      <c r="CA4" s="14">
        <f>IF(BQ4&gt;0,BQ4,"")</f>
        <v>8.5500000000000007</v>
      </c>
      <c r="CB4" s="14">
        <f>IF(SUM(BO4:BR4)-BS4&gt;0,SUM(BO4:BR4)-BS4,"")</f>
        <v>33.392499999999998</v>
      </c>
      <c r="CC4" s="14">
        <f>IF(SUM(BZ4,CB4)&gt;0,SUM(BZ4,CB4),"")</f>
        <v>138.63249999999999</v>
      </c>
      <c r="CD4" s="69">
        <v>18.399999999999999</v>
      </c>
      <c r="CE4" s="69">
        <v>9.6</v>
      </c>
      <c r="CF4" s="69">
        <v>4.9000000000000004</v>
      </c>
      <c r="CG4" s="69">
        <v>16.579999999999998</v>
      </c>
      <c r="CH4" s="69">
        <v>0</v>
      </c>
      <c r="CI4" s="69">
        <v>5.6</v>
      </c>
      <c r="CJ4" s="69">
        <v>3.3</v>
      </c>
      <c r="CK4" s="69">
        <v>4.7</v>
      </c>
      <c r="CL4" s="69">
        <v>3.38</v>
      </c>
      <c r="CM4" s="69">
        <v>0</v>
      </c>
      <c r="CN4" s="69">
        <v>16.399999999999999</v>
      </c>
      <c r="CO4" s="69">
        <v>9.85</v>
      </c>
      <c r="CP4" s="69">
        <v>14.8</v>
      </c>
      <c r="CQ4" s="69">
        <v>15.725</v>
      </c>
      <c r="CR4" s="69">
        <v>0</v>
      </c>
      <c r="CS4" s="69">
        <v>16</v>
      </c>
      <c r="CT4" s="69">
        <v>9.35</v>
      </c>
      <c r="CU4" s="69">
        <v>14.8</v>
      </c>
      <c r="CV4" s="69">
        <v>15.61</v>
      </c>
      <c r="CW4" s="69">
        <v>0</v>
      </c>
      <c r="CX4" s="80"/>
      <c r="CY4" s="11">
        <f>IF(SUM(CD4:CG4)-CH4&gt;0,SUM(CD4:CG4)-CH4,"")</f>
        <v>49.48</v>
      </c>
      <c r="CZ4" s="11">
        <f>IF(CK4&gt;0,CK4,"")</f>
        <v>4.7</v>
      </c>
      <c r="DA4" s="11">
        <f>IF(SUM(CI4:CL4)-CM4&gt;0,SUM(CI4:CL4)-CM4,"")</f>
        <v>16.979999999999997</v>
      </c>
      <c r="DB4" s="11">
        <f>IF(CP4&gt;0,CP4,"")</f>
        <v>14.8</v>
      </c>
      <c r="DC4" s="11">
        <f>IF(SUM(CN4:CQ4)-CR4&gt;0,SUM(CN4:CQ4)-CR4,"")</f>
        <v>56.774999999999999</v>
      </c>
      <c r="DD4" s="11">
        <f>IF(CY4="",IF(MAX(DA4,DC4)&gt;0,MAX(DA4,DC4),""),MAX(DA4,DC4)+CY4)</f>
        <v>106.255</v>
      </c>
      <c r="DE4" s="11">
        <f>IF(CU4&gt;0,CU4,"")</f>
        <v>14.8</v>
      </c>
      <c r="DF4" s="11">
        <f>IF(SUM(CS4:CV4)-CW4&gt;0,SUM(CS4:CV4)-CW4,"")</f>
        <v>55.760000000000005</v>
      </c>
      <c r="DG4" s="11">
        <f>IF(SUM(DD4,DF4)&gt;0,SUM(DD4,DF4),"")</f>
        <v>162.01499999999999</v>
      </c>
      <c r="DH4" s="24" t="str">
        <f>IF(MAX(EB4,EX4,FT4,GP4,HL4,IH4,JD4,JZ4,KV4,LR4,MN4,NJ4)-IF(M4="",0,M4)&gt;0.001,MAX(EB4,EX4,FT4,GP4,HL4,IH4,JD4,JZ4,KV4,LR4,MN4,NJ4)-IF(M4="",0,M4),"")</f>
        <v/>
      </c>
      <c r="DI4" s="24" t="str">
        <f>IF(MAX(EC4,EY4,FU4,GQ4,HM4,II4,JE4,KA4,KW4,LS4,MO4,NK4)-IF(O4="",0,O4)&gt;0.001,MAX(EC4,EY4,FU4,GQ4,HM4,II4,JE4,KA4,KW4,LS4,MO4,NK4)-IF(O4="",0,O4),"")</f>
        <v/>
      </c>
      <c r="DJ4" s="24" t="str">
        <f>IF(MAX(ED4,EZ4,FV4,GR4,HN4,IJ4,JF4,KB4,KX4,LT4,MP4,NL4)-IF(K4="",0,K4)&gt;0.001,MAX(ED4,EZ4,FV4,GR4,HN4,IJ4,JF4,KB4,KX4,LT4,MP4,NL4)-IF(K4="",0,K4),"")</f>
        <v/>
      </c>
      <c r="DK4" s="24" t="str">
        <f>IF(MAX(EF4,FB4,FX4,GT4,HP4,IL4,JH4,KD4,KZ4,LV4,MR4,NN4)-IF(Q4="",0,Q4)&gt;0.001,MAX(EF4,FB4,FX4,GT4,HP4,IL4,JH4,KD4,KZ4,LV4,MR4,NN4)-IF(Q4="",0,Q4),"")</f>
        <v/>
      </c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>
        <v>15.6</v>
      </c>
      <c r="ES4" s="38">
        <v>9.5</v>
      </c>
      <c r="ET4" s="38">
        <v>14.6</v>
      </c>
      <c r="EU4" s="38">
        <v>15.23</v>
      </c>
      <c r="EV4" s="38">
        <v>0</v>
      </c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>
        <f>IF(ET4&gt;0,ET4,"")</f>
        <v>14.6</v>
      </c>
      <c r="FB4" s="14">
        <f>IF(SUM(ER4:EU4)-EV4&gt;0,SUM(ER4:EU4)-EV4,"")</f>
        <v>54.930000000000007</v>
      </c>
      <c r="FC4" s="14">
        <f>IF(SUM(EZ4,FB4)&gt;0,SUM(EZ4,FB4),"")</f>
        <v>54.930000000000007</v>
      </c>
      <c r="FD4" s="37">
        <v>18.5</v>
      </c>
      <c r="FE4" s="37">
        <v>9.4</v>
      </c>
      <c r="FF4" s="37">
        <v>4.4000000000000004</v>
      </c>
      <c r="FG4" s="37">
        <v>15.93</v>
      </c>
      <c r="FH4" s="37">
        <v>0</v>
      </c>
      <c r="FI4" s="37">
        <v>15.8</v>
      </c>
      <c r="FJ4" s="37">
        <v>9.3000000000000007</v>
      </c>
      <c r="FK4" s="37">
        <v>14.6</v>
      </c>
      <c r="FL4" s="37">
        <v>15.065</v>
      </c>
      <c r="FM4" s="37">
        <v>0</v>
      </c>
      <c r="FN4" s="37">
        <v>15.7</v>
      </c>
      <c r="FO4" s="37">
        <v>9.5</v>
      </c>
      <c r="FP4" s="37">
        <v>14.4</v>
      </c>
      <c r="FQ4" s="37">
        <v>15.22</v>
      </c>
      <c r="FR4" s="37">
        <v>0</v>
      </c>
      <c r="FS4" s="11">
        <f>IF(FK4&gt;0,FK4,"")</f>
        <v>14.6</v>
      </c>
      <c r="FT4" s="11">
        <f>IF(SUM(FD4:FG4)-FH4&gt;0,SUM(FD4:FG4)-FH4,"")</f>
        <v>48.23</v>
      </c>
      <c r="FU4" s="11">
        <f>IF(SUM(FI4:FL4)-FM4&gt;0,SUM(FI4:FL4)-FM4,"")</f>
        <v>54.765000000000001</v>
      </c>
      <c r="FV4" s="11">
        <f>IF(SUM(FT4:FU4)&gt;0,SUM(FT4:FU4),"")</f>
        <v>102.995</v>
      </c>
      <c r="FW4" s="11">
        <f>IF(FP4&gt;0,FP4,"")</f>
        <v>14.4</v>
      </c>
      <c r="FX4" s="11">
        <f>IF(SUM(FN4:FQ4)-FR4&gt;0,SUM(FN4:FQ4)-FR4,"")</f>
        <v>54.82</v>
      </c>
      <c r="FY4" s="11">
        <f>IF(SUM(FV4,FX4)&gt;0,SUM(FV4,FX4),"")</f>
        <v>157.815</v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>
        <v>16.3</v>
      </c>
      <c r="GK4" s="38">
        <v>9.5</v>
      </c>
      <c r="GL4" s="38">
        <v>14.6</v>
      </c>
      <c r="GM4" s="38">
        <v>15.12</v>
      </c>
      <c r="GN4" s="38">
        <v>0</v>
      </c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>
        <f>IF(GL4&gt;0,GL4,"")</f>
        <v>14.6</v>
      </c>
      <c r="GT4" s="14">
        <f>IF(SUM(GJ4:GM4)-GN4&gt;0,SUM(GJ4:GM4)-GN4,"")</f>
        <v>55.519999999999996</v>
      </c>
      <c r="GU4" s="14">
        <f>IF(SUM(GR4,GT4)&gt;0,SUM(GR4,GT4),"")</f>
        <v>55.519999999999996</v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>
        <v>18.100000000000001</v>
      </c>
      <c r="HS4" s="38">
        <v>9.3000000000000007</v>
      </c>
      <c r="HT4" s="38">
        <v>4.4000000000000004</v>
      </c>
      <c r="HU4" s="38">
        <v>16.07</v>
      </c>
      <c r="HV4" s="38">
        <v>0</v>
      </c>
      <c r="HW4" s="38">
        <v>15.8</v>
      </c>
      <c r="HX4" s="38">
        <v>9.1999999999999993</v>
      </c>
      <c r="HY4" s="38">
        <v>15</v>
      </c>
      <c r="HZ4" s="38">
        <v>14.84</v>
      </c>
      <c r="IA4" s="38">
        <v>0</v>
      </c>
      <c r="IB4" s="38"/>
      <c r="IC4" s="38"/>
      <c r="ID4" s="38"/>
      <c r="IE4" s="38"/>
      <c r="IF4" s="38"/>
      <c r="IG4" s="14">
        <f>IF(HY4&gt;0,HY4,"")</f>
        <v>15</v>
      </c>
      <c r="IH4" s="14">
        <f>IF(SUM(HR4:HU4)-HV4&gt;0,SUM(HR4:HU4)-HV4,"")</f>
        <v>47.870000000000005</v>
      </c>
      <c r="II4" s="14">
        <f>IF(SUM(HW4:HZ4)-IA4&gt;0,SUM(HW4:HZ4)-IA4,"")</f>
        <v>54.84</v>
      </c>
      <c r="IJ4" s="14">
        <f>IF(SUM(IH4:II4)&gt;0,SUM(IH4:II4),"")</f>
        <v>102.71000000000001</v>
      </c>
      <c r="IK4" s="14" t="str">
        <f>IF(ID4&gt;0,ID4,"")</f>
        <v/>
      </c>
      <c r="IL4" s="14" t="str">
        <f>IF(SUM(IB4:IE4)-IF4&gt;0,SUM(IB4:IE4)-IF4,"")</f>
        <v/>
      </c>
      <c r="IM4" s="14">
        <f>IF(SUM(IJ4,IL4)&gt;0,SUM(IJ4,IL4),"")</f>
        <v>102.71000000000001</v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18.600000000000001</v>
      </c>
      <c r="NQ4" s="69">
        <f>IF($CX4="P",CE4,(CE4+BA4)/2)</f>
        <v>9.5249999999999986</v>
      </c>
      <c r="NR4" s="69">
        <f>IF($CX4="P",CF4,(CF4+BB4)/2)</f>
        <v>4.6500000000000004</v>
      </c>
      <c r="NS4" s="69">
        <f>IF($CX4="P",CG4,(CG4+BC4)/2)</f>
        <v>16.607499999999998</v>
      </c>
      <c r="NT4" s="69">
        <f>IF($CX4="P",CH4,(CH4+BD4)/2)</f>
        <v>0</v>
      </c>
      <c r="NU4" s="69">
        <f>IF($CX4="P",CI4,(CI4+BE4)/2)</f>
        <v>11.2</v>
      </c>
      <c r="NV4" s="69">
        <f>IF($CX4="P",CJ4,(CJ4+BF4)/2)</f>
        <v>6.2874999999999996</v>
      </c>
      <c r="NW4" s="69">
        <f>IF($CX4="P",CK4,(CK4+BG4)/2)</f>
        <v>9.4250000000000007</v>
      </c>
      <c r="NX4" s="69">
        <f>IF($CX4="P",CL4,(CL4+BH4)/2)</f>
        <v>9.5549999999999997</v>
      </c>
      <c r="NY4" s="69">
        <f>IF($CX4="P",CM4,(CM4+BI4)/2)</f>
        <v>0</v>
      </c>
      <c r="NZ4" s="69">
        <f>IF($CX4="P",CN4,(CN4+BJ4)/2)</f>
        <v>8.1999999999999993</v>
      </c>
      <c r="OA4" s="69">
        <f>IF($CX4="P",CO4,(CO4+BK4)/2)</f>
        <v>4.9249999999999998</v>
      </c>
      <c r="OB4" s="69">
        <f>IF($CX4="P",CP4,(CP4+BL4)/2)</f>
        <v>7.4</v>
      </c>
      <c r="OC4" s="69">
        <f>IF($CX4="P",CQ4,(CQ4+BM4)/2)</f>
        <v>7.8624999999999998</v>
      </c>
      <c r="OD4" s="69">
        <f>IF($CX4="P",CR4,(CR4+BN4)/2)</f>
        <v>0</v>
      </c>
      <c r="OE4" s="69">
        <f>IF($CX4="P",CS4,(CS4+BO4)/2)</f>
        <v>12.925000000000001</v>
      </c>
      <c r="OF4" s="69">
        <f>IF($CX4="P",CT4,(CT4+BP4)/2)</f>
        <v>7.35</v>
      </c>
      <c r="OG4" s="69">
        <f>IF($CX4="P",CU4,(CU4+BQ4)/2)</f>
        <v>11.675000000000001</v>
      </c>
      <c r="OH4" s="69">
        <f>IF($CX4="P",CV4,(CV4+BR4)/2)</f>
        <v>12.626249999999999</v>
      </c>
      <c r="OI4" s="69">
        <f>IF($CX4="P",CW4,(CW4+BS4)/2)</f>
        <v>0</v>
      </c>
      <c r="OJ4" s="80" t="s">
        <v>91</v>
      </c>
      <c r="OK4" s="11">
        <f>IF(SUM(NP4:NS4)-NT4&gt;0,SUM(NP4:NS4)-NT4,"")</f>
        <v>49.382499999999993</v>
      </c>
      <c r="OL4" s="11">
        <f>IF(NW4&gt;0,NW4,"")</f>
        <v>9.4250000000000007</v>
      </c>
      <c r="OM4" s="11">
        <f>IF(SUM(NU4:NX4)-NY4&gt;0,SUM(NU4:NX4)-NY4,"")</f>
        <v>36.467500000000001</v>
      </c>
      <c r="ON4" s="11">
        <f>IF(OB4&gt;0,OB4,"")</f>
        <v>7.4</v>
      </c>
      <c r="OO4" s="11">
        <f>IF(SUM(NZ4:OC4)-OD4&gt;0,SUM(NZ4:OC4)-OD4,"")</f>
        <v>28.387499999999999</v>
      </c>
      <c r="OP4" s="11">
        <f>IF(OR(OK4&lt;&gt;"",OM4&lt;&gt;"",OO4&lt;&gt;""),OK4+MAX(OM4,OO4),"")</f>
        <v>85.85</v>
      </c>
      <c r="OQ4" s="11">
        <f>IF(OG4&gt;0,OG4,"")</f>
        <v>11.675000000000001</v>
      </c>
      <c r="OR4" s="11">
        <f t="shared" ref="OR4:OR16" si="0">IF(SUM(OE4:OH4)-OI4&gt;0,SUM(OE4:OH4)-OI4,"")</f>
        <v>44.576250000000002</v>
      </c>
      <c r="OS4" s="11">
        <f>IF(SUM(OP4,OR4)&gt;0,SUM(OP4,OR4),"")</f>
        <v>130.42624999999998</v>
      </c>
    </row>
    <row r="5" spans="1:409" x14ac:dyDescent="0.2">
      <c r="A5" s="5" cm="1">
        <f t="array" ref="A5">IF(AND(G5&lt;&gt;"",H5&lt;&gt;""),SUMPRODUCT((G$4:G$19&lt;&gt;"")*(H$4:H$19&lt;&gt;"")*(E$4:E$19&gt;E5))+1,IF(H5&lt;&gt;"",SUMPRODUCT((I$4:I$19="No DD")*(E$4:E$19&gt;E5))+1+SUMPRODUCT((G$4:G$19&lt;&gt;"")*(H$4:H$19&lt;&gt;"")),""))</f>
        <v>2</v>
      </c>
      <c r="B5" s="127" t="s">
        <v>34</v>
      </c>
      <c r="C5" s="5" t="s">
        <v>10</v>
      </c>
      <c r="D5" s="5">
        <v>1997</v>
      </c>
      <c r="E5" s="15">
        <f>SUM(K5:S5)</f>
        <v>263.72500000000002</v>
      </c>
      <c r="F5" s="3" t="str">
        <f>IF(G5&lt;&gt;"","P","")</f>
        <v>P</v>
      </c>
      <c r="G5" s="125" t="str">
        <f>IF(OR(AND(AR5&gt;=AY$24,AR5&lt;&gt;"",AP5=""),AND(AT5&gt;=AY$24,AT5&lt;&gt;"",AP5=""),AND(AW5&gt;=AY$24,AW5&lt;&gt;"",AP5=""),AND(BV5&gt;=CC$24,BV5&lt;&gt;"",BT5=""),AND(BX5&gt;=CC$24,BX5&lt;&gt;"",BT5=""),AND(CA5&gt;=CC$24,CA5&lt;&gt;"",BT5=""),AND(CZ5&gt;=DG$24,CZ5&lt;&gt;"",CX5=""),AND(DB5&gt;=DG$24,DB5&lt;&gt;"",CX5=""),AND(DE5&gt;=DG$24,DE5&lt;&gt;"",CX5=""),AND(EA5&gt;=EG$24,EA5&lt;&gt;""),AND(EE5&gt;=EG$24,EE5&lt;&gt;""),AND(EW5&gt;=FC$24,EW5&lt;&gt;""),AND(FA5&gt;=FC$24,FA5&lt;&gt;""),AND(FS5&gt;=FY$24,FS5&lt;&gt;""),AND(FW5&gt;=FY$24,FW5&lt;&gt;""),AND(GO5&gt;=GU$24,GO5&lt;&gt;""),AND(GS5&gt;=GU$24,GS5&lt;&gt;""),AND(HK5&gt;=HQ$24,HK5&lt;&gt;""),AND(HO5&gt;=HQ$24,HO5&lt;&gt;""),AND(IG5&gt;=IM$24,IG5&lt;&gt;""),AND(IK5&gt;=IM$24,IK5&lt;&gt;""),AND(JC5&gt;=JI$24,JC5&lt;&gt;""),AND(JG5&gt;=JI$24,JG5&lt;&gt;""),AND(JY5&gt;=KE$24,JY5&lt;&gt;""),AND(KC5&gt;=KE$24,KC5&lt;&gt;""),AND(KU5&gt;=LA$24,KU5&lt;&gt;""),AND(KY5&gt;=LA$24,KY5&lt;&gt;""),AND(LQ5&gt;=LW$24,LQ5&lt;&gt;""),AND(LU5&gt;=LW$24,LU5&lt;&gt;""),AND(MM5&gt;=MS$24,MM5&lt;&gt;""),AND(MQ5&gt;=MS$24,MQ5&lt;&gt;""),AND(NI5&gt;=NO$24,NI5&lt;&gt;""),AND(NM5&gt;=NO$24,NM5&lt;&gt;"")),"Merit",IF(OR(AND(AR5&gt;=AY$23,AR5&lt;&gt;"",AP5=""),AND(AT5&gt;=AY$23,AT5&lt;&gt;"",AP5=""),AND(AW5&gt;=AY$23,AW5&lt;&gt;"",AP5=""),AND(BV5&gt;=CC$23,BV5&lt;&gt;"",BT5=""),AND(BX5&gt;=CC$23,BX5&lt;&gt;"",BT5=""),AND(CA5&gt;=CC$23,CA5&lt;&gt;"",BT5=""),AND(CZ5&gt;=DG$23,CZ5&lt;&gt;"",CX5=""),AND(DB5&gt;=DG$23,DB5&lt;&gt;"",CX5=""),AND(DE5&gt;=DG$23,DE5&lt;&gt;"",CX5=""),AND(EA5&gt;=EG$23,EA5&lt;&gt;""),AND(EE5&gt;=EG$23,EE5&lt;&gt;""),AND(EW5&gt;=FC$23,EW5&lt;&gt;""),AND(FA5&gt;=FC$23,FA5&lt;&gt;""),AND(FS5&gt;=FY$23,FS5&lt;&gt;""),AND(FW5&gt;=FY$23,FW5&lt;&gt;""),AND(GO5&gt;=GU$23,GO5&lt;&gt;""),AND(GS5&gt;=GU$23,GS5&lt;&gt;""),AND(HK5&gt;=HQ$23,HK5&lt;&gt;""),AND(HO5&gt;=HQ$23,HO5&lt;&gt;""),AND(IG5&gt;=IM$23,IG5&lt;&gt;""),AND(IK5&gt;=IM$23,IK5&lt;&gt;""),AND(JC5&gt;=JI$23,JC5&lt;&gt;""),AND(JG5&gt;=JI$23,JG5&lt;&gt;""),AND(JY5&gt;=KE$23,JY5&lt;&gt;""),AND(KC5&gt;=KE$23,KC5&lt;&gt;""),AND(KU5&gt;=LA$23,KU5&lt;&gt;""),AND(KY5&gt;=LA$23,KY5&lt;&gt;""),AND(LQ5&gt;=LW$23,LQ5&lt;&gt;""),AND(LU5&gt;=LW$23,LU5&lt;&gt;""),AND(MM5&gt;=MS$23,MM5&lt;&gt;""),AND(MQ5&gt;=MS$23,MQ5&lt;&gt;""),AND(NI5&gt;=NO$23,NI5&lt;&gt;""),AND(NM5&gt;=NO$23,NM5&lt;&gt;"")),"Excellence",IF(OR(AND(AR5&gt;=AY$22,AR5&lt;&gt;"",AP5=""),AND(AT5&gt;=AY$22,AT5&lt;&gt;"",AP5=""),AND(AW5&gt;=AY$22,AW5&lt;&gt;"",AP5=""),AND(BV5&gt;=CC$22,BV5&lt;&gt;"",BT5=""),AND(BX5&gt;=CC$22,BX5&lt;&gt;"",BT5=""),AND(CA5&gt;=CC$22,CA5&lt;&gt;"",BT5=""),AND(CZ5&gt;=DG$22,CZ5&lt;&gt;"",CX5=""),AND(DB5&gt;=DG$22,DB5&lt;&gt;"",CX5=""),AND(DE5&gt;=DG$22,DE5&lt;&gt;"",CX5=""),AND(EA5&gt;=EG$22,EA5&lt;&gt;""),AND(EE5&gt;=EG$22,EE5&lt;&gt;""),AND(EW5&gt;=FC$22,EW5&lt;&gt;""),AND(FA5&gt;=FC$22,FA5&lt;&gt;""),AND(FS5&gt;=FY$22,FS5&lt;&gt;""),AND(FW5&gt;=FY$22,FW5&lt;&gt;""),AND(GO5&gt;=GU$22,GO5&lt;&gt;""),AND(GS5&gt;=GU$22,GS5&lt;&gt;""),AND(HK5&gt;=HQ$22,HK5&lt;&gt;""),AND(HO5&gt;=HQ$22,HO5&lt;&gt;""),AND(IG5&gt;=IM$22,IG5&lt;&gt;""),AND(IK5&gt;=IM$22,IK5&lt;&gt;""),AND(JC5&gt;=JI$22,JC5&lt;&gt;""),AND(JG5&gt;=JI$22,JG5&lt;&gt;""),AND(JY5&gt;=KE$22,JY5&lt;&gt;""),AND(KC5&gt;=KE$22,KC5&lt;&gt;""),AND(KU5&gt;=LA$22,KU5&lt;&gt;""),AND(KY5&gt;=LA$22,KY5&lt;&gt;""),AND(LQ5&gt;=LW$22,LQ5&lt;&gt;""),AND(LU5&gt;=LW$22,LU5&lt;&gt;""),AND(MM5&gt;=MS$22,MM5&lt;&gt;""),AND(MQ5&gt;=MS$22,MQ5&lt;&gt;""),AND(NI5&gt;=NO$22,NI5&lt;&gt;""),AND(NM5&gt;=NO$22,NM5&lt;&gt;"")),"Worlds Team",IF(OR(AND(AR5&gt;=AY$21,AR5&lt;&gt;"",AP5=""),AND(AT5&gt;=AY$21,AT5&lt;&gt;"",AP5=""),AND(AW5&gt;=AY$21,AW5&lt;&gt;"",AP5=""),AND(BV5&gt;=CC$21,BV5&lt;&gt;"",BT5=""),AND(BX5&gt;=CC$21,BX5&lt;&gt;"",BT5=""),AND(CA5&gt;=CC$21,CA5&lt;&gt;"",BT5=""),AND(CZ5&gt;=DG$21,CZ5&lt;&gt;"",CX5=""),AND(DB5&gt;=DG$21,DB5&lt;&gt;"",CX5=""),AND(DE5&gt;=DG$21,DE5&lt;&gt;"",CX5=""),AND(EA5&gt;=EG$21,EA5&lt;&gt;""),AND(EE5&gt;=EG$21,EE5&lt;&gt;""),AND(EW5&gt;=FC$21,EW5&lt;&gt;""),AND(FA5&gt;=FC$21,FA5&lt;&gt;""),AND(FS5&gt;=FY$21,FS5&lt;&gt;""),AND(FW5&gt;=FY$21,FW5&lt;&gt;""),AND(GO5&gt;=GU$21,GO5&lt;&gt;""),AND(GS5&gt;=GU$21,GS5&lt;&gt;""),AND(HK5&gt;=HQ$21,HK5&lt;&gt;""),AND(HO5&gt;=HQ$21,HO5&lt;&gt;""),AND(IG5&gt;=IM$21,IG5&lt;&gt;""),AND(IK5&gt;=IM$21,IK5&lt;&gt;""),AND(JC5&gt;=JI$21,JC5&lt;&gt;""),AND(JG5&gt;=JI$21,JG5&lt;&gt;""),AND(JY5&gt;=KE$21,JY5&lt;&gt;""),AND(KC5&gt;=KE$21,KC5&lt;&gt;""),AND(KU5&gt;=LA$21,KU5&lt;&gt;""),AND(KY5&gt;=LA$21,KY5&lt;&gt;""),AND(LQ5&gt;=LW$21,LQ5&lt;&gt;""),AND(LU5&gt;=LW$21,LU5&lt;&gt;""),AND(MM5&gt;=MS$21,MM5&lt;&gt;""),AND(MQ5&gt;=MS$21,MQ5&lt;&gt;""),AND(NI5&gt;=NO$21,NI5&lt;&gt;""),AND(NM5&gt;=NO$21,NM5&lt;&gt;"")),"National Team",""))))</f>
        <v>Merit</v>
      </c>
      <c r="H5" s="125" t="str">
        <f>IF(OR(AND(AS5&gt;=AY$28,AS5&lt;&gt;"",AP5=""),AND(AU5&gt;=AY$28,AU5&lt;&gt;"",AP5=""),AND(AX5&gt;=AY$28,AX5&lt;&gt;"",AP5=""),AND(BW5&gt;=CC$28,BW5&lt;&gt;"",BT5=""),AND(BY5&gt;=CC$28,BY5&lt;&gt;"",BT5=""),AND(CB5&gt;=CC$28,CB5&lt;&gt;"",BT5=""),AND(DA5&gt;=DG$28,DA5&lt;&gt;"",CX5=""),AND(DC5&gt;=DG$28,DC5&lt;&gt;"",CX5=""),AND(DF5&gt;=DG$28,DF5&lt;&gt;"",CX5=""),AND(EC5&gt;=EG$28,EC5&lt;&gt;""),AND(EF5&gt;=EG$28,EF5&lt;&gt;""),AND(EY5&gt;=FC$28,EY5&lt;&gt;""),AND(FB5&gt;=FC$28,FB5&lt;&gt;""),AND(FU5&gt;=FY$28,FU5&lt;&gt;""),AND(FX5&gt;=FY$28,FX5&lt;&gt;""),AND(GQ5&gt;=GU$28,GQ5&lt;&gt;""),AND(GT5&gt;=GU$28,GT5&lt;&gt;""),AND(HM5&gt;=HQ$28,HM5&lt;&gt;""),AND(HP5&gt;=HQ$28,HP5&lt;&gt;""),AND(II5&gt;=IM$28,II5&lt;&gt;""),AND(IL5&gt;=IM$28,IL5&lt;&gt;""),AND(JE5&gt;=JI$28,JE5&lt;&gt;""),AND(JH5&gt;=JI$28,JH5&lt;&gt;""),AND(KA5&gt;=KE$28,KA5&lt;&gt;""),AND(KD5&gt;=KE$28,KD5&lt;&gt;""),AND(KW5&gt;=LA$28,KW5&lt;&gt;""),AND(KZ5&gt;=LA$28,KZ5&lt;&gt;""),AND(LS5&gt;=LW$28,LS5&lt;&gt;""),AND(LV5&gt;=LW$28,LV5&lt;&gt;""),AND(MO5&gt;=MS$28,MO5&lt;&gt;""),AND(MR5&gt;=MS$28,MR5&lt;&gt;""),AND(NK5&gt;=NO$28,NK5&lt;&gt;""),AND(NN5&gt;=NO$28,NN5&lt;&gt;"")),"Merit",IF(OR(AND(AS5&gt;=AY$27,AS5&lt;&gt;"",AP5=""),AND(AU5&gt;=AY$27,AU5&lt;&gt;"",AP5=""),AND(AX5&gt;=AY$27,AX5&lt;&gt;"",AP5=""),AND(BW5&gt;=CC$27,BW5&lt;&gt;"",BT5=""),AND(BY5&gt;=CC$27,BY5&lt;&gt;"",BT5=""),AND(CB5&gt;=CC$27,CB5&lt;&gt;"",BT5=""),AND(DA5&gt;=DG$27,DA5&lt;&gt;"",CX5=""),AND(DC5&gt;=DG$27,DC5&lt;&gt;"",CX5=""),AND(DF5&gt;=DG$27,DF5&lt;&gt;"",CX5=""),AND(EC5&gt;=EG$27,EC5&lt;&gt;""),AND(EF5&gt;=EG$27,EF5&lt;&gt;""),AND(EY5&gt;=FC$27,EY5&lt;&gt;""),AND(FB5&gt;=FC$27,FB5&lt;&gt;""),AND(FU5&gt;=FY$27,FU5&lt;&gt;""),AND(FX5&gt;=FY$27,FX5&lt;&gt;""),AND(GQ5&gt;=GU$27,GQ5&lt;&gt;""),AND(GT5&gt;=GU$27,GT5&lt;&gt;""),AND(HM5&gt;=HQ$27,HM5&lt;&gt;""),AND(HP5&gt;=HQ$27,HP5&lt;&gt;""),AND(II5&gt;=IM$27,II5&lt;&gt;""),AND(IL5&gt;=IM$27,IL5&lt;&gt;""),AND(JE5&gt;=JI$27,JE5&lt;&gt;""),AND(JH5&gt;=JI$27,JH5&lt;&gt;""),AND(KA5&gt;=KE$27,KA5&lt;&gt;""),AND(KD5&gt;=KE$27,KD5&lt;&gt;""),AND(KW5&gt;=LA$27,KW5&lt;&gt;""),AND(KZ5&gt;=LA$27,KZ5&lt;&gt;""),AND(LS5&gt;=LW$27,LS5&lt;&gt;""),AND(LV5&gt;=LW$27,LV5&lt;&gt;""),AND(MO5&gt;=MS$27,MO5&lt;&gt;""),AND(MR5&gt;=MS$27,MR5&lt;&gt;""),AND(NK5&gt;=NO$27,NK5&lt;&gt;""),AND(NN5&gt;=NO$27,NN5&lt;&gt;"")),"Excellence",IF(OR(AND(AV5&gt;=AY$26,AV5&lt;&gt;"",AP5=""),AND(BZ5&gt;=CC$26,BZ5&lt;&gt;"",BT5=""),AND(DD5&gt;=DG$26,DD5&lt;&gt;"",CX5=""),AND(ED5&gt;=EG$26,ED5&lt;&gt;""),AND(EZ5&gt;=FC$26,EZ5&lt;&gt;""),AND(FV5&gt;=FY$26,FV5&lt;&gt;""),AND(GR5&gt;=GU$26,GR5&lt;&gt;""),AND(HN5&gt;=HQ$26,HN5&lt;&gt;""),AND(IJ5&gt;=IM$26,IJ5&lt;&gt;""),AND(JF5&gt;=JI$26,JF5&lt;&gt;""),AND(KB5&gt;=KE$26,KB5&lt;&gt;""),AND(KX5&gt;=LA$26,KX5&lt;&gt;""),AND(LT5&gt;=LW$26,LT5&lt;&gt;""),AND(MP5&gt;=MS$26,MP5&lt;&gt;""),AND(NL5&gt;=NO$26,NL5&lt;&gt;"")),"Worlds Team",IF(OR(AND(AV5&gt;=AY$25,AV5&lt;&gt;"",AP5=""),AND(BZ5&gt;=CC$25,BZ5&lt;&gt;"",BT5=""),AND(DD5&gt;=DG$25,DD5&lt;&gt;"",CX5=""),AND(ED5&gt;=EG$25,ED5&lt;&gt;""),AND(EZ5&gt;=FC$25,EZ5&lt;&gt;""),AND(FV5&gt;=FY$25,FV5&lt;&gt;""),AND(GR5&gt;=GU$25,GR5&lt;&gt;""),AND(HN5&gt;=HQ$25,HN5&lt;&gt;""),AND(IJ5&gt;=IM$25,IJ5&lt;&gt;""),AND(JF5&gt;=JI$25,JF5&lt;&gt;""),AND(KB5&gt;=KE$25,KB5&lt;&gt;""),AND(KX5&gt;=LA$25,KX5&lt;&gt;""),AND(LT5&gt;=LW$25,LT5&lt;&gt;""),AND(MP5&gt;=MS$25,MP5&lt;&gt;""),AND(NL5&gt;=NO$25,NL5&lt;&gt;"")),"National Team",""))))</f>
        <v>Merit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Merit</v>
      </c>
      <c r="J5" s="3" t="str">
        <f>IF(AND(OR(AND(AV5&gt;=AY$26,AV5&lt;&gt;"",AP5=""),AND(BZ5&gt;=CC$26,BZ5&lt;&gt;"",BT5=""),AND(DD5&gt;=DG$26,DD5&lt;&gt;"",CX5=""),AND(ED5&gt;=EG$26,ED5&lt;&gt;""),AND(EZ5&gt;=FC$26,EZ5&lt;&gt;""),AND(FV5&gt;=FY$26,FV5&lt;&gt;""),AND(GR5&gt;=GU$26,GR5&lt;&gt;""),AND(HN5&gt;=HQ$26,HN5&lt;&gt;""),AND(IJ5&gt;=IM$26,IJ5&lt;&gt;""),AND(JF5&gt;=JI$26,JF5&lt;&gt;""),AND(KB5&gt;=KE$26,KB5&lt;&gt;""),AND(KX5&gt;=LA$26,KX5&lt;&gt;""),AND(LT5&gt;=LW$26,LT5&lt;&gt;""),AND(MP5&gt;=MS$26,MP5&lt;&gt;""),AND(NL5&gt;=NO$26,NL5&lt;&gt;"")),OR(G5="Worlds Team",G5="Excellence",G5="Merit")),"P","")</f>
        <v>P</v>
      </c>
      <c r="K5" s="14">
        <f>IF(MAX(AV5,BZ5,DD5)&gt;0,MAX(AV5,BZ5,DD5),0)</f>
        <v>103.86000000000001</v>
      </c>
      <c r="L5" s="14" t="str">
        <f>IF(K5=0,"",IF(K5=DD5,$CD$1,IF(K5=BZ5,$AZ$1,IF(K5=AV5,$V$1,""))))</f>
        <v>2019 Elite Canada</v>
      </c>
      <c r="M5" s="14">
        <f>IF($K5=$AV5,MAX(BU5,CY5),IF($K5=$BZ5,MAX(AQ5,CY5),IF($K5=$DD5,MAX(AQ5,BU5),MAX(AQ5,BU5,CY5))))</f>
        <v>49.08</v>
      </c>
      <c r="N5" s="14" t="str">
        <f>IF(M5=0,"",IF(AND(M5=CY5,$L5&lt;&gt;$CD$1),$CD$1,IF(AND(M5=BU5,$L5&lt;&gt;$AZ$1),$AZ$1,IF(AND(M5=AQ5,$L5&lt;&gt;$V$1),$V$1,""))))</f>
        <v>2021 1st Virtual Technical Trial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54.67</v>
      </c>
      <c r="P5" s="14" t="str">
        <f>IF(O5=0,"",IF(OR(O5=DC5,O5=DA5),$CD$1,IF(OR(O5=BY5,O5=BW5),$AZ$1,IF(OR(O5=AU5,O5=AS5),$V$1,""))))</f>
        <v>2021 1st Virtual Technical Trial</v>
      </c>
      <c r="Q5" s="14">
        <f>MAX(AX5,CB5,DF5)</f>
        <v>56.114999999999995</v>
      </c>
      <c r="R5" s="14" t="str">
        <f>IF(Q5=0,"",IF(Q5=DF5,$CD$1,IF(Q5=CB5,$AZ$1,IF(Q5=AX5,$V$1,""))))</f>
        <v>2019 Elite Canada</v>
      </c>
      <c r="S5" s="14" t="str">
        <f>IF(MAX(DH5,DI5,DJ5,DK5)&gt;0,MAX(DH5,DI5,DJ5,DK5),"")</f>
        <v/>
      </c>
      <c r="T5" s="25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9">
        <v>18.2</v>
      </c>
      <c r="W5" s="69">
        <v>9.4</v>
      </c>
      <c r="X5" s="69">
        <v>4.5</v>
      </c>
      <c r="Y5" s="69">
        <v>16.555</v>
      </c>
      <c r="Z5" s="69">
        <v>0</v>
      </c>
      <c r="AA5" s="69">
        <v>16.399999999999999</v>
      </c>
      <c r="AB5" s="69">
        <v>9.25</v>
      </c>
      <c r="AC5" s="69">
        <v>13.8</v>
      </c>
      <c r="AD5" s="69">
        <v>15.755000000000001</v>
      </c>
      <c r="AE5" s="69">
        <v>0</v>
      </c>
      <c r="AF5" s="69"/>
      <c r="AG5" s="69"/>
      <c r="AH5" s="69"/>
      <c r="AI5" s="69"/>
      <c r="AJ5" s="69"/>
      <c r="AK5" s="69">
        <v>16.899999999999999</v>
      </c>
      <c r="AL5" s="69">
        <v>9.4499999999999993</v>
      </c>
      <c r="AM5" s="69">
        <v>13.8</v>
      </c>
      <c r="AN5" s="69">
        <v>15.965</v>
      </c>
      <c r="AO5" s="69">
        <v>0</v>
      </c>
      <c r="AP5" s="80"/>
      <c r="AQ5" s="11">
        <f>IF(SUM(V5:Y5)-Z5&gt;0,SUM(V5:Y5)-Z5,"")</f>
        <v>48.655000000000001</v>
      </c>
      <c r="AR5" s="11">
        <f>IF(AC5&gt;0,AC5,"")</f>
        <v>13.8</v>
      </c>
      <c r="AS5" s="11">
        <f>IF(SUM(AA5:AD5)-AE5&gt;0,SUM(AA5:AD5)-AE5,"")</f>
        <v>55.205000000000005</v>
      </c>
      <c r="AT5" s="11" t="str">
        <f>IF(AH5&gt;0,AH5,"")</f>
        <v/>
      </c>
      <c r="AU5" s="11" t="str">
        <f>IF(SUM(AF5:AI5)-AJ5&gt;0,SUM(AF5:AI5)-AJ5,"")</f>
        <v/>
      </c>
      <c r="AV5" s="11">
        <f>IF(OR(AQ5&lt;&gt;"",AS5&lt;&gt;"",AU5&lt;&gt;""),AQ5+MAX(AS5,AU5),"")</f>
        <v>103.86000000000001</v>
      </c>
      <c r="AW5" s="11">
        <f>IF(AM5&gt;0,AM5,"")</f>
        <v>13.8</v>
      </c>
      <c r="AX5" s="11">
        <f>IF(SUM(AK5:AN5)-AO5&gt;0,SUM(AK5:AN5)-AO5,"")</f>
        <v>56.114999999999995</v>
      </c>
      <c r="AY5" s="11">
        <f>IF(SUM(AV5,AX5)&gt;0,SUM(AV5,AX5),"")</f>
        <v>159.97500000000002</v>
      </c>
      <c r="AZ5" s="75">
        <v>18</v>
      </c>
      <c r="BA5" s="75">
        <v>9.1999999999999993</v>
      </c>
      <c r="BB5" s="75">
        <v>4.8</v>
      </c>
      <c r="BC5" s="75">
        <v>16.57</v>
      </c>
      <c r="BD5" s="75">
        <v>0</v>
      </c>
      <c r="BE5" s="75">
        <v>16.5</v>
      </c>
      <c r="BF5" s="75">
        <v>9.1</v>
      </c>
      <c r="BG5" s="75">
        <v>13</v>
      </c>
      <c r="BH5" s="75">
        <v>15.56</v>
      </c>
      <c r="BI5" s="75">
        <v>0</v>
      </c>
      <c r="BJ5" s="75"/>
      <c r="BK5" s="75"/>
      <c r="BL5" s="75"/>
      <c r="BM5" s="75"/>
      <c r="BN5" s="75"/>
      <c r="BO5" s="75">
        <v>16.82</v>
      </c>
      <c r="BP5" s="75">
        <v>9.1</v>
      </c>
      <c r="BQ5" s="75">
        <v>13.8</v>
      </c>
      <c r="BR5" s="75">
        <v>15.535</v>
      </c>
      <c r="BS5" s="75"/>
      <c r="BT5" s="81"/>
      <c r="BU5" s="14">
        <f>IF(SUM(AZ5:BC5)-BD5&gt;0,SUM(AZ5:BC5)-BD5,"")</f>
        <v>48.57</v>
      </c>
      <c r="BV5" s="14">
        <f>IF(BG5&gt;0,BG5,"")</f>
        <v>13</v>
      </c>
      <c r="BW5" s="14">
        <f>IF(SUM(BE5:BH5)-BI5&gt;0,SUM(BE5:BH5)-BI5,"")</f>
        <v>54.160000000000004</v>
      </c>
      <c r="BX5" s="14" t="str">
        <f>IF(BL5&gt;0,BL5,"")</f>
        <v/>
      </c>
      <c r="BY5" s="14" t="str">
        <f>IF(SUM(BJ5:BM5)-BN5&gt;0,SUM(BJ5:BM5)-BN5,"")</f>
        <v/>
      </c>
      <c r="BZ5" s="14">
        <f>IF(BU5="",IF(MAX(BW5,BY5)&gt;0,MAX(BW5,BY5),""),MAX(BW5,BY5)+BU5)</f>
        <v>102.73</v>
      </c>
      <c r="CA5" s="14">
        <f>IF(BQ5&gt;0,BQ5,"")</f>
        <v>13.8</v>
      </c>
      <c r="CB5" s="14">
        <f>IF(SUM(BO5:BR5)-BS5&gt;0,SUM(BO5:BR5)-BS5,"")</f>
        <v>55.254999999999995</v>
      </c>
      <c r="CC5" s="14">
        <f>IF(SUM(BZ5,CB5)&gt;0,SUM(BZ5,CB5),"")</f>
        <v>157.98500000000001</v>
      </c>
      <c r="CD5" s="69">
        <v>18.2</v>
      </c>
      <c r="CE5" s="69">
        <v>9.4</v>
      </c>
      <c r="CF5" s="69">
        <v>4.5999999999999996</v>
      </c>
      <c r="CG5" s="69">
        <v>16.88</v>
      </c>
      <c r="CH5" s="69">
        <v>0</v>
      </c>
      <c r="CI5" s="69">
        <v>16.600000000000001</v>
      </c>
      <c r="CJ5" s="69">
        <v>9.15</v>
      </c>
      <c r="CK5" s="69">
        <v>13.4</v>
      </c>
      <c r="CL5" s="69">
        <v>15.52</v>
      </c>
      <c r="CM5" s="69">
        <v>0</v>
      </c>
      <c r="CN5" s="69">
        <v>8</v>
      </c>
      <c r="CO5" s="69">
        <v>4.5999999999999996</v>
      </c>
      <c r="CP5" s="69">
        <v>7.6</v>
      </c>
      <c r="CQ5" s="69">
        <v>8.16</v>
      </c>
      <c r="CR5" s="69">
        <v>0</v>
      </c>
      <c r="CS5" s="69">
        <v>14.2</v>
      </c>
      <c r="CT5" s="69">
        <v>9.5</v>
      </c>
      <c r="CU5" s="69">
        <v>13.1</v>
      </c>
      <c r="CV5" s="69">
        <v>15.28</v>
      </c>
      <c r="CW5" s="69">
        <v>0</v>
      </c>
      <c r="CX5" s="80"/>
      <c r="CY5" s="11">
        <f>IF(SUM(CD5:CG5)-CH5&gt;0,SUM(CD5:CG5)-CH5,"")</f>
        <v>49.08</v>
      </c>
      <c r="CZ5" s="11">
        <f>IF(CK5&gt;0,CK5,"")</f>
        <v>13.4</v>
      </c>
      <c r="DA5" s="11">
        <f>IF(SUM(CI5:CL5)-CM5&gt;0,SUM(CI5:CL5)-CM5,"")</f>
        <v>54.67</v>
      </c>
      <c r="DB5" s="11">
        <f>IF(CP5&gt;0,CP5,"")</f>
        <v>7.6</v>
      </c>
      <c r="DC5" s="11">
        <f>IF(SUM(CN5:CQ5)-CR5&gt;0,SUM(CN5:CQ5)-CR5,"")</f>
        <v>28.36</v>
      </c>
      <c r="DD5" s="11">
        <f>IF(CY5="",IF(MAX(DA5,DC5)&gt;0,MAX(DA5,DC5),""),MAX(DA5,DC5)+CY5)</f>
        <v>103.75</v>
      </c>
      <c r="DE5" s="11">
        <f>IF(CU5&gt;0,CU5,"")</f>
        <v>13.1</v>
      </c>
      <c r="DF5" s="11">
        <f>IF(SUM(CS5:CV5)-CW5&gt;0,SUM(CS5:CV5)-CW5,"")</f>
        <v>52.08</v>
      </c>
      <c r="DG5" s="11">
        <f>IF(SUM(DD5,DF5)&gt;0,SUM(DD5,DF5),"")</f>
        <v>155.82999999999998</v>
      </c>
      <c r="DH5" s="24" t="str">
        <f>IF(MAX(EB5,EX5,FT5,GP5,HL5,IH5,JD5,JZ5,KV5,LR5,MN5,NJ5)-IF(M5="",0,M5)&gt;0.001,MAX(EB5,EX5,FT5,GP5,HL5,IH5,JD5,JZ5,KV5,LR5,MN5,NJ5)-IF(M5="",0,M5),"")</f>
        <v/>
      </c>
      <c r="DI5" s="24" t="str">
        <f>IF(MAX(EC5,EY5,FU5,GQ5,HM5,II5,JE5,KA5,KW5,LS5,MO5,NK5)-IF(O5="",0,O5)&gt;0.001,MAX(EC5,EY5,FU5,GQ5,HM5,II5,JE5,KA5,KW5,LS5,MO5,NK5)-IF(O5="",0,O5),"")</f>
        <v/>
      </c>
      <c r="DJ5" s="24" t="str">
        <f>IF(MAX(ED5,EZ5,FV5,GR5,HN5,IJ5,JF5,KB5,KX5,LT5,MP5,NL5)-IF(K5="",0,K5)&gt;0.001,MAX(ED5,EZ5,FV5,GR5,HN5,IJ5,JF5,KB5,KX5,LT5,MP5,NL5)-IF(K5="",0,K5),"")</f>
        <v/>
      </c>
      <c r="DK5" s="24" t="str">
        <f>IF(MAX(EF5,FB5,FX5,GT5,HP5,IL5,JH5,KD5,KZ5,LV5,MR5,NN5)-IF(Q5="",0,Q5)&gt;0.001,MAX(EF5,FB5,FX5,GT5,HP5,IL5,JH5,KD5,KZ5,LV5,MR5,NN5)-IF(Q5="",0,Q5),"")</f>
        <v/>
      </c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>
        <v>7.5</v>
      </c>
      <c r="DW5" s="37">
        <v>4.0999999999999996</v>
      </c>
      <c r="DX5" s="37">
        <v>7.2</v>
      </c>
      <c r="DY5" s="37">
        <v>7.87</v>
      </c>
      <c r="DZ5" s="37">
        <v>0</v>
      </c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>
        <f>IF(DX5&gt;0,DX5,"")</f>
        <v>7.2</v>
      </c>
      <c r="EF5" s="11">
        <f>IF(SUM(DV5:DY5)-DZ5&gt;0,SUM(DV5:DY5)-DZ5,"")</f>
        <v>26.67</v>
      </c>
      <c r="EG5" s="11">
        <f>IF(SUM(ED5,EF5)&gt;0,SUM(ED5,EF5),"")</f>
        <v>26.67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>
        <v>7.6</v>
      </c>
      <c r="ES5" s="38">
        <v>4.3</v>
      </c>
      <c r="ET5" s="38">
        <v>6.1</v>
      </c>
      <c r="EU5" s="38">
        <v>7.58</v>
      </c>
      <c r="EV5" s="38">
        <v>0</v>
      </c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>
        <f>IF(ET5&gt;0,ET5,"")</f>
        <v>6.1</v>
      </c>
      <c r="FB5" s="14">
        <f>IF(SUM(ER5:EU5)-EV5&gt;0,SUM(ER5:EU5)-EV5,"")</f>
        <v>25.58</v>
      </c>
      <c r="FC5" s="14">
        <f>IF(SUM(EZ5,FB5)&gt;0,SUM(EZ5,FB5),"")</f>
        <v>25.58</v>
      </c>
      <c r="FD5" s="37">
        <v>18.3</v>
      </c>
      <c r="FE5" s="37">
        <v>9.6</v>
      </c>
      <c r="FF5" s="37">
        <v>4.8</v>
      </c>
      <c r="FG5" s="37">
        <v>16.225000000000001</v>
      </c>
      <c r="FH5" s="37">
        <v>0</v>
      </c>
      <c r="FI5" s="37">
        <v>15</v>
      </c>
      <c r="FJ5" s="37">
        <v>9.4</v>
      </c>
      <c r="FK5" s="37">
        <v>12.3</v>
      </c>
      <c r="FL5" s="37">
        <v>14.815</v>
      </c>
      <c r="FM5" s="37">
        <v>0</v>
      </c>
      <c r="FN5" s="37"/>
      <c r="FO5" s="37"/>
      <c r="FP5" s="37"/>
      <c r="FQ5" s="37"/>
      <c r="FR5" s="37"/>
      <c r="FS5" s="11">
        <f>IF(FK5&gt;0,FK5,"")</f>
        <v>12.3</v>
      </c>
      <c r="FT5" s="11">
        <f>IF(SUM(FD5:FG5)-FH5&gt;0,SUM(FD5:FG5)-FH5,"")</f>
        <v>48.924999999999997</v>
      </c>
      <c r="FU5" s="11">
        <f>IF(SUM(FI5:FL5)-FM5&gt;0,SUM(FI5:FL5)-FM5,"")</f>
        <v>51.515000000000001</v>
      </c>
      <c r="FV5" s="11">
        <f>IF(SUM(FT5:FU5)&gt;0,SUM(FT5:FU5),"")</f>
        <v>100.44</v>
      </c>
      <c r="FW5" s="11" t="str">
        <f>IF(FP5&gt;0,FP5,"")</f>
        <v/>
      </c>
      <c r="FX5" s="11" t="str">
        <f>IF(SUM(FN5:FQ5)-FR5&gt;0,SUM(FN5:FQ5)-FR5,"")</f>
        <v/>
      </c>
      <c r="FY5" s="11">
        <f>IF(SUM(FV5,FX5)&gt;0,SUM(FV5,FX5),"")</f>
        <v>100.44</v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8">
        <v>18.5</v>
      </c>
      <c r="HS5" s="38">
        <v>9.1</v>
      </c>
      <c r="HT5" s="38">
        <v>4.8</v>
      </c>
      <c r="HU5" s="38">
        <v>16.234999999999999</v>
      </c>
      <c r="HV5" s="38">
        <v>0.2</v>
      </c>
      <c r="HW5" s="38">
        <v>15.9</v>
      </c>
      <c r="HX5" s="38">
        <v>9</v>
      </c>
      <c r="HY5" s="38">
        <v>13.8</v>
      </c>
      <c r="HZ5" s="38">
        <v>15.18</v>
      </c>
      <c r="IA5" s="38">
        <v>0</v>
      </c>
      <c r="IB5" s="38"/>
      <c r="IC5" s="38"/>
      <c r="ID5" s="38"/>
      <c r="IE5" s="38"/>
      <c r="IF5" s="38"/>
      <c r="IG5" s="14">
        <f>IF(HY5&gt;0,HY5,"")</f>
        <v>13.8</v>
      </c>
      <c r="IH5" s="14">
        <f>IF(SUM(HR5:HU5)-HV5&gt;0,SUM(HR5:HU5)-HV5,"")</f>
        <v>48.434999999999995</v>
      </c>
      <c r="II5" s="14">
        <f>IF(SUM(HW5:HZ5)-IA5&gt;0,SUM(HW5:HZ5)-IA5,"")</f>
        <v>53.88</v>
      </c>
      <c r="IJ5" s="14">
        <f>IF(SUM(IH5:II5)&gt;0,SUM(IH5:II5),"")</f>
        <v>102.315</v>
      </c>
      <c r="IK5" s="14" t="str">
        <f>IF(ID5&gt;0,ID5,"")</f>
        <v/>
      </c>
      <c r="IL5" s="14" t="str">
        <f>IF(SUM(IB5:IE5)-IF5&gt;0,SUM(IB5:IE5)-IF5,"")</f>
        <v/>
      </c>
      <c r="IM5" s="14">
        <f>IF(SUM(IJ5,IL5)&gt;0,SUM(IJ5,IL5),"")</f>
        <v>102.315</v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18.100000000000001</v>
      </c>
      <c r="NQ5" s="69">
        <f>IF($CX5="P",CE5,(CE5+BA5)/2)</f>
        <v>9.3000000000000007</v>
      </c>
      <c r="NR5" s="69">
        <f>IF($CX5="P",CF5,(CF5+BB5)/2)</f>
        <v>4.6999999999999993</v>
      </c>
      <c r="NS5" s="69">
        <f>IF($CX5="P",CG5,(CG5+BC5)/2)</f>
        <v>16.725000000000001</v>
      </c>
      <c r="NT5" s="69">
        <f>IF($CX5="P",CH5,(CH5+BD5)/2)</f>
        <v>0</v>
      </c>
      <c r="NU5" s="69">
        <f>IF($CX5="P",CI5,(CI5+BE5)/2)</f>
        <v>16.55</v>
      </c>
      <c r="NV5" s="69">
        <f>IF($CX5="P",CJ5,(CJ5+BF5)/2)</f>
        <v>9.125</v>
      </c>
      <c r="NW5" s="69">
        <f>IF($CX5="P",CK5,(CK5+BG5)/2)</f>
        <v>13.2</v>
      </c>
      <c r="NX5" s="69">
        <f>IF($CX5="P",CL5,(CL5+BH5)/2)</f>
        <v>15.54</v>
      </c>
      <c r="NY5" s="69">
        <f>IF($CX5="P",CM5,(CM5+BI5)/2)</f>
        <v>0</v>
      </c>
      <c r="NZ5" s="69">
        <f>IF($CX5="P",CN5,(CN5+BJ5)/2)</f>
        <v>4</v>
      </c>
      <c r="OA5" s="69">
        <f>IF($CX5="P",CO5,(CO5+BK5)/2)</f>
        <v>2.2999999999999998</v>
      </c>
      <c r="OB5" s="69">
        <f>IF($CX5="P",CP5,(CP5+BL5)/2)</f>
        <v>3.8</v>
      </c>
      <c r="OC5" s="69">
        <f>IF($CX5="P",CQ5,(CQ5+BM5)/2)</f>
        <v>4.08</v>
      </c>
      <c r="OD5" s="69">
        <f>IF($CX5="P",CR5,(CR5+BN5)/2)</f>
        <v>0</v>
      </c>
      <c r="OE5" s="69">
        <f>IF($CX5="P",CS5,(CS5+BO5)/2)</f>
        <v>15.51</v>
      </c>
      <c r="OF5" s="69">
        <f>IF($CX5="P",CT5,(CT5+BP5)/2)</f>
        <v>9.3000000000000007</v>
      </c>
      <c r="OG5" s="69">
        <f>IF($CX5="P",CU5,(CU5+BQ5)/2)</f>
        <v>13.45</v>
      </c>
      <c r="OH5" s="69">
        <f>IF($CX5="P",CV5,(CV5+BR5)/2)</f>
        <v>15.407499999999999</v>
      </c>
      <c r="OI5" s="69">
        <f>IF($CX5="P",CW5,(CW5+BS5)/2)</f>
        <v>0</v>
      </c>
      <c r="OJ5" s="80" t="s">
        <v>91</v>
      </c>
      <c r="OK5" s="11">
        <f>IF(SUM(NP5:NS5)-NT5&gt;0,SUM(NP5:NS5)-NT5,"")</f>
        <v>48.825000000000003</v>
      </c>
      <c r="OL5" s="11">
        <f>IF(NW5&gt;0,NW5,"")</f>
        <v>13.2</v>
      </c>
      <c r="OM5" s="11">
        <f>IF(SUM(NU5:NX5)-NY5&gt;0,SUM(NU5:NX5)-NY5,"")</f>
        <v>54.414999999999999</v>
      </c>
      <c r="ON5" s="11">
        <f>IF(OB5&gt;0,OB5,"")</f>
        <v>3.8</v>
      </c>
      <c r="OO5" s="11">
        <f>IF(SUM(NZ5:OC5)-OD5&gt;0,SUM(NZ5:OC5)-OD5,"")</f>
        <v>14.18</v>
      </c>
      <c r="OP5" s="11">
        <f>IF(OR(OK5&lt;&gt;"",OM5&lt;&gt;"",OO5&lt;&gt;""),OK5+MAX(OM5,OO5),"")</f>
        <v>103.24000000000001</v>
      </c>
      <c r="OQ5" s="11">
        <f>IF(OG5&gt;0,OG5,"")</f>
        <v>13.45</v>
      </c>
      <c r="OR5" s="11">
        <f t="shared" si="0"/>
        <v>53.667500000000004</v>
      </c>
      <c r="OS5" s="11">
        <f t="shared" ref="OS5:OS16" si="1">IF(SUM(OP5,OR5)&gt;0,SUM(OP5,OR5),"")</f>
        <v>156.90750000000003</v>
      </c>
    </row>
    <row r="6" spans="1:409" x14ac:dyDescent="0.2">
      <c r="A6" s="5" cm="1">
        <f t="array" ref="A6">IF(AND(G6&lt;&gt;"",H6&lt;&gt;""),SUMPRODUCT((G$4:G$19&lt;&gt;"")*(H$4:H$19&lt;&gt;"")*(E$4:E$19&gt;E6))+1,IF(H6&lt;&gt;"",SUMPRODUCT((I$4:I$19="No DD")*(E$4:E$19&gt;E6))+1+SUMPRODUCT((G$4:G$19&lt;&gt;"")*(H$4:H$19&lt;&gt;"")),""))</f>
        <v>3</v>
      </c>
      <c r="B6" s="127" t="s">
        <v>33</v>
      </c>
      <c r="C6" s="5" t="s">
        <v>10</v>
      </c>
      <c r="D6" s="5">
        <v>1998</v>
      </c>
      <c r="E6" s="15">
        <f>SUM(K6:S6)</f>
        <v>261.30250000000001</v>
      </c>
      <c r="F6" s="3" t="str">
        <f>IF(G6&lt;&gt;"","P","")</f>
        <v>P</v>
      </c>
      <c r="G6" s="125" t="str">
        <f>IF(OR(AND(AR6&gt;=AY$24,AR6&lt;&gt;"",AP6=""),AND(AT6&gt;=AY$24,AT6&lt;&gt;"",AP6=""),AND(AW6&gt;=AY$24,AW6&lt;&gt;"",AP6=""),AND(BV6&gt;=CC$24,BV6&lt;&gt;"",BT6=""),AND(BX6&gt;=CC$24,BX6&lt;&gt;"",BT6=""),AND(CA6&gt;=CC$24,CA6&lt;&gt;"",BT6=""),AND(CZ6&gt;=DG$24,CZ6&lt;&gt;"",CX6=""),AND(DB6&gt;=DG$24,DB6&lt;&gt;"",CX6=""),AND(DE6&gt;=DG$24,DE6&lt;&gt;"",CX6=""),AND(EA6&gt;=EG$24,EA6&lt;&gt;""),AND(EE6&gt;=EG$24,EE6&lt;&gt;""),AND(EW6&gt;=FC$24,EW6&lt;&gt;""),AND(FA6&gt;=FC$24,FA6&lt;&gt;""),AND(FS6&gt;=FY$24,FS6&lt;&gt;""),AND(FW6&gt;=FY$24,FW6&lt;&gt;""),AND(GO6&gt;=GU$24,GO6&lt;&gt;""),AND(GS6&gt;=GU$24,GS6&lt;&gt;""),AND(HK6&gt;=HQ$24,HK6&lt;&gt;""),AND(HO6&gt;=HQ$24,HO6&lt;&gt;""),AND(IG6&gt;=IM$24,IG6&lt;&gt;""),AND(IK6&gt;=IM$24,IK6&lt;&gt;""),AND(JC6&gt;=JI$24,JC6&lt;&gt;""),AND(JG6&gt;=JI$24,JG6&lt;&gt;""),AND(JY6&gt;=KE$24,JY6&lt;&gt;""),AND(KC6&gt;=KE$24,KC6&lt;&gt;""),AND(KU6&gt;=LA$24,KU6&lt;&gt;""),AND(KY6&gt;=LA$24,KY6&lt;&gt;""),AND(LQ6&gt;=LW$24,LQ6&lt;&gt;""),AND(LU6&gt;=LW$24,LU6&lt;&gt;""),AND(MM6&gt;=MS$24,MM6&lt;&gt;""),AND(MQ6&gt;=MS$24,MQ6&lt;&gt;""),AND(NI6&gt;=NO$24,NI6&lt;&gt;""),AND(NM6&gt;=NO$24,NM6&lt;&gt;"")),"Merit",IF(OR(AND(AR6&gt;=AY$23,AR6&lt;&gt;"",AP6=""),AND(AT6&gt;=AY$23,AT6&lt;&gt;"",AP6=""),AND(AW6&gt;=AY$23,AW6&lt;&gt;"",AP6=""),AND(BV6&gt;=CC$23,BV6&lt;&gt;"",BT6=""),AND(BX6&gt;=CC$23,BX6&lt;&gt;"",BT6=""),AND(CA6&gt;=CC$23,CA6&lt;&gt;"",BT6=""),AND(CZ6&gt;=DG$23,CZ6&lt;&gt;"",CX6=""),AND(DB6&gt;=DG$23,DB6&lt;&gt;"",CX6=""),AND(DE6&gt;=DG$23,DE6&lt;&gt;"",CX6=""),AND(EA6&gt;=EG$23,EA6&lt;&gt;""),AND(EE6&gt;=EG$23,EE6&lt;&gt;""),AND(EW6&gt;=FC$23,EW6&lt;&gt;""),AND(FA6&gt;=FC$23,FA6&lt;&gt;""),AND(FS6&gt;=FY$23,FS6&lt;&gt;""),AND(FW6&gt;=FY$23,FW6&lt;&gt;""),AND(GO6&gt;=GU$23,GO6&lt;&gt;""),AND(GS6&gt;=GU$23,GS6&lt;&gt;""),AND(HK6&gt;=HQ$23,HK6&lt;&gt;""),AND(HO6&gt;=HQ$23,HO6&lt;&gt;""),AND(IG6&gt;=IM$23,IG6&lt;&gt;""),AND(IK6&gt;=IM$23,IK6&lt;&gt;""),AND(JC6&gt;=JI$23,JC6&lt;&gt;""),AND(JG6&gt;=JI$23,JG6&lt;&gt;""),AND(JY6&gt;=KE$23,JY6&lt;&gt;""),AND(KC6&gt;=KE$23,KC6&lt;&gt;""),AND(KU6&gt;=LA$23,KU6&lt;&gt;""),AND(KY6&gt;=LA$23,KY6&lt;&gt;""),AND(LQ6&gt;=LW$23,LQ6&lt;&gt;""),AND(LU6&gt;=LW$23,LU6&lt;&gt;""),AND(MM6&gt;=MS$23,MM6&lt;&gt;""),AND(MQ6&gt;=MS$23,MQ6&lt;&gt;""),AND(NI6&gt;=NO$23,NI6&lt;&gt;""),AND(NM6&gt;=NO$23,NM6&lt;&gt;"")),"Excellence",IF(OR(AND(AR6&gt;=AY$22,AR6&lt;&gt;"",AP6=""),AND(AT6&gt;=AY$22,AT6&lt;&gt;"",AP6=""),AND(AW6&gt;=AY$22,AW6&lt;&gt;"",AP6=""),AND(BV6&gt;=CC$22,BV6&lt;&gt;"",BT6=""),AND(BX6&gt;=CC$22,BX6&lt;&gt;"",BT6=""),AND(CA6&gt;=CC$22,CA6&lt;&gt;"",BT6=""),AND(CZ6&gt;=DG$22,CZ6&lt;&gt;"",CX6=""),AND(DB6&gt;=DG$22,DB6&lt;&gt;"",CX6=""),AND(DE6&gt;=DG$22,DE6&lt;&gt;"",CX6=""),AND(EA6&gt;=EG$22,EA6&lt;&gt;""),AND(EE6&gt;=EG$22,EE6&lt;&gt;""),AND(EW6&gt;=FC$22,EW6&lt;&gt;""),AND(FA6&gt;=FC$22,FA6&lt;&gt;""),AND(FS6&gt;=FY$22,FS6&lt;&gt;""),AND(FW6&gt;=FY$22,FW6&lt;&gt;""),AND(GO6&gt;=GU$22,GO6&lt;&gt;""),AND(GS6&gt;=GU$22,GS6&lt;&gt;""),AND(HK6&gt;=HQ$22,HK6&lt;&gt;""),AND(HO6&gt;=HQ$22,HO6&lt;&gt;""),AND(IG6&gt;=IM$22,IG6&lt;&gt;""),AND(IK6&gt;=IM$22,IK6&lt;&gt;""),AND(JC6&gt;=JI$22,JC6&lt;&gt;""),AND(JG6&gt;=JI$22,JG6&lt;&gt;""),AND(JY6&gt;=KE$22,JY6&lt;&gt;""),AND(KC6&gt;=KE$22,KC6&lt;&gt;""),AND(KU6&gt;=LA$22,KU6&lt;&gt;""),AND(KY6&gt;=LA$22,KY6&lt;&gt;""),AND(LQ6&gt;=LW$22,LQ6&lt;&gt;""),AND(LU6&gt;=LW$22,LU6&lt;&gt;""),AND(MM6&gt;=MS$22,MM6&lt;&gt;""),AND(MQ6&gt;=MS$22,MQ6&lt;&gt;""),AND(NI6&gt;=NO$22,NI6&lt;&gt;""),AND(NM6&gt;=NO$22,NM6&lt;&gt;"")),"Worlds Team",IF(OR(AND(AR6&gt;=AY$21,AR6&lt;&gt;"",AP6=""),AND(AT6&gt;=AY$21,AT6&lt;&gt;"",AP6=""),AND(AW6&gt;=AY$21,AW6&lt;&gt;"",AP6=""),AND(BV6&gt;=CC$21,BV6&lt;&gt;"",BT6=""),AND(BX6&gt;=CC$21,BX6&lt;&gt;"",BT6=""),AND(CA6&gt;=CC$21,CA6&lt;&gt;"",BT6=""),AND(CZ6&gt;=DG$21,CZ6&lt;&gt;"",CX6=""),AND(DB6&gt;=DG$21,DB6&lt;&gt;"",CX6=""),AND(DE6&gt;=DG$21,DE6&lt;&gt;"",CX6=""),AND(EA6&gt;=EG$21,EA6&lt;&gt;""),AND(EE6&gt;=EG$21,EE6&lt;&gt;""),AND(EW6&gt;=FC$21,EW6&lt;&gt;""),AND(FA6&gt;=FC$21,FA6&lt;&gt;""),AND(FS6&gt;=FY$21,FS6&lt;&gt;""),AND(FW6&gt;=FY$21,FW6&lt;&gt;""),AND(GO6&gt;=GU$21,GO6&lt;&gt;""),AND(GS6&gt;=GU$21,GS6&lt;&gt;""),AND(HK6&gt;=HQ$21,HK6&lt;&gt;""),AND(HO6&gt;=HQ$21,HO6&lt;&gt;""),AND(IG6&gt;=IM$21,IG6&lt;&gt;""),AND(IK6&gt;=IM$21,IK6&lt;&gt;""),AND(JC6&gt;=JI$21,JC6&lt;&gt;""),AND(JG6&gt;=JI$21,JG6&lt;&gt;""),AND(JY6&gt;=KE$21,JY6&lt;&gt;""),AND(KC6&gt;=KE$21,KC6&lt;&gt;""),AND(KU6&gt;=LA$21,KU6&lt;&gt;""),AND(KY6&gt;=LA$21,KY6&lt;&gt;""),AND(LQ6&gt;=LW$21,LQ6&lt;&gt;""),AND(LU6&gt;=LW$21,LU6&lt;&gt;""),AND(MM6&gt;=MS$21,MM6&lt;&gt;""),AND(MQ6&gt;=MS$21,MQ6&lt;&gt;""),AND(NI6&gt;=NO$21,NI6&lt;&gt;""),AND(NM6&gt;=NO$21,NM6&lt;&gt;"")),"National Team",""))))</f>
        <v>Merit</v>
      </c>
      <c r="H6" s="125" t="str">
        <f>IF(OR(AND(AS6&gt;=AY$28,AS6&lt;&gt;"",AP6=""),AND(AU6&gt;=AY$28,AU6&lt;&gt;"",AP6=""),AND(AX6&gt;=AY$28,AX6&lt;&gt;"",AP6=""),AND(BW6&gt;=CC$28,BW6&lt;&gt;"",BT6=""),AND(BY6&gt;=CC$28,BY6&lt;&gt;"",BT6=""),AND(CB6&gt;=CC$28,CB6&lt;&gt;"",BT6=""),AND(DA6&gt;=DG$28,DA6&lt;&gt;"",CX6=""),AND(DC6&gt;=DG$28,DC6&lt;&gt;"",CX6=""),AND(DF6&gt;=DG$28,DF6&lt;&gt;"",CX6=""),AND(EC6&gt;=EG$28,EC6&lt;&gt;""),AND(EF6&gt;=EG$28,EF6&lt;&gt;""),AND(EY6&gt;=FC$28,EY6&lt;&gt;""),AND(FB6&gt;=FC$28,FB6&lt;&gt;""),AND(FU6&gt;=FY$28,FU6&lt;&gt;""),AND(FX6&gt;=FY$28,FX6&lt;&gt;""),AND(GQ6&gt;=GU$28,GQ6&lt;&gt;""),AND(GT6&gt;=GU$28,GT6&lt;&gt;""),AND(HM6&gt;=HQ$28,HM6&lt;&gt;""),AND(HP6&gt;=HQ$28,HP6&lt;&gt;""),AND(II6&gt;=IM$28,II6&lt;&gt;""),AND(IL6&gt;=IM$28,IL6&lt;&gt;""),AND(JE6&gt;=JI$28,JE6&lt;&gt;""),AND(JH6&gt;=JI$28,JH6&lt;&gt;""),AND(KA6&gt;=KE$28,KA6&lt;&gt;""),AND(KD6&gt;=KE$28,KD6&lt;&gt;""),AND(KW6&gt;=LA$28,KW6&lt;&gt;""),AND(KZ6&gt;=LA$28,KZ6&lt;&gt;""),AND(LS6&gt;=LW$28,LS6&lt;&gt;""),AND(LV6&gt;=LW$28,LV6&lt;&gt;""),AND(MO6&gt;=MS$28,MO6&lt;&gt;""),AND(MR6&gt;=MS$28,MR6&lt;&gt;""),AND(NK6&gt;=NO$28,NK6&lt;&gt;""),AND(NN6&gt;=NO$28,NN6&lt;&gt;"")),"Merit",IF(OR(AND(AS6&gt;=AY$27,AS6&lt;&gt;"",AP6=""),AND(AU6&gt;=AY$27,AU6&lt;&gt;"",AP6=""),AND(AX6&gt;=AY$27,AX6&lt;&gt;"",AP6=""),AND(BW6&gt;=CC$27,BW6&lt;&gt;"",BT6=""),AND(BY6&gt;=CC$27,BY6&lt;&gt;"",BT6=""),AND(CB6&gt;=CC$27,CB6&lt;&gt;"",BT6=""),AND(DA6&gt;=DG$27,DA6&lt;&gt;"",CX6=""),AND(DC6&gt;=DG$27,DC6&lt;&gt;"",CX6=""),AND(DF6&gt;=DG$27,DF6&lt;&gt;"",CX6=""),AND(EC6&gt;=EG$27,EC6&lt;&gt;""),AND(EF6&gt;=EG$27,EF6&lt;&gt;""),AND(EY6&gt;=FC$27,EY6&lt;&gt;""),AND(FB6&gt;=FC$27,FB6&lt;&gt;""),AND(FU6&gt;=FY$27,FU6&lt;&gt;""),AND(FX6&gt;=FY$27,FX6&lt;&gt;""),AND(GQ6&gt;=GU$27,GQ6&lt;&gt;""),AND(GT6&gt;=GU$27,GT6&lt;&gt;""),AND(HM6&gt;=HQ$27,HM6&lt;&gt;""),AND(HP6&gt;=HQ$27,HP6&lt;&gt;""),AND(II6&gt;=IM$27,II6&lt;&gt;""),AND(IL6&gt;=IM$27,IL6&lt;&gt;""),AND(JE6&gt;=JI$27,JE6&lt;&gt;""),AND(JH6&gt;=JI$27,JH6&lt;&gt;""),AND(KA6&gt;=KE$27,KA6&lt;&gt;""),AND(KD6&gt;=KE$27,KD6&lt;&gt;""),AND(KW6&gt;=LA$27,KW6&lt;&gt;""),AND(KZ6&gt;=LA$27,KZ6&lt;&gt;""),AND(LS6&gt;=LW$27,LS6&lt;&gt;""),AND(LV6&gt;=LW$27,LV6&lt;&gt;""),AND(MO6&gt;=MS$27,MO6&lt;&gt;""),AND(MR6&gt;=MS$27,MR6&lt;&gt;""),AND(NK6&gt;=NO$27,NK6&lt;&gt;""),AND(NN6&gt;=NO$27,NN6&lt;&gt;"")),"Excellence",IF(OR(AND(AV6&gt;=AY$26,AV6&lt;&gt;"",AP6=""),AND(BZ6&gt;=CC$26,BZ6&lt;&gt;"",BT6=""),AND(DD6&gt;=DG$26,DD6&lt;&gt;"",CX6=""),AND(ED6&gt;=EG$26,ED6&lt;&gt;""),AND(EZ6&gt;=FC$26,EZ6&lt;&gt;""),AND(FV6&gt;=FY$26,FV6&lt;&gt;""),AND(GR6&gt;=GU$26,GR6&lt;&gt;""),AND(HN6&gt;=HQ$26,HN6&lt;&gt;""),AND(IJ6&gt;=IM$26,IJ6&lt;&gt;""),AND(JF6&gt;=JI$26,JF6&lt;&gt;""),AND(KB6&gt;=KE$26,KB6&lt;&gt;""),AND(KX6&gt;=LA$26,KX6&lt;&gt;""),AND(LT6&gt;=LW$26,LT6&lt;&gt;""),AND(MP6&gt;=MS$26,MP6&lt;&gt;""),AND(NL6&gt;=NO$26,NL6&lt;&gt;"")),"Worlds Team",IF(OR(AND(AV6&gt;=AY$25,AV6&lt;&gt;"",AP6=""),AND(BZ6&gt;=CC$25,BZ6&lt;&gt;"",BT6=""),AND(DD6&gt;=DG$25,DD6&lt;&gt;"",CX6=""),AND(ED6&gt;=EG$25,ED6&lt;&gt;""),AND(EZ6&gt;=FC$25,EZ6&lt;&gt;""),AND(FV6&gt;=FY$25,FV6&lt;&gt;""),AND(GR6&gt;=GU$25,GR6&lt;&gt;""),AND(HN6&gt;=HQ$25,HN6&lt;&gt;""),AND(IJ6&gt;=IM$25,IJ6&lt;&gt;""),AND(JF6&gt;=JI$25,JF6&lt;&gt;""),AND(KB6&gt;=KE$25,KB6&lt;&gt;""),AND(KX6&gt;=LA$25,KX6&lt;&gt;""),AND(LT6&gt;=LW$25,LT6&lt;&gt;""),AND(MP6&gt;=MS$25,MP6&lt;&gt;""),AND(NL6&gt;=NO$25,NL6&lt;&gt;"")),"National Team",""))))</f>
        <v>Merit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Merit</v>
      </c>
      <c r="J6" s="3" t="str">
        <f>IF(AND(OR(AND(AV6&gt;=AY$26,AV6&lt;&gt;"",AP6=""),AND(BZ6&gt;=CC$26,BZ6&lt;&gt;"",BT6=""),AND(DD6&gt;=DG$26,DD6&lt;&gt;"",CX6=""),AND(ED6&gt;=EG$26,ED6&lt;&gt;""),AND(EZ6&gt;=FC$26,EZ6&lt;&gt;""),AND(FV6&gt;=FY$26,FV6&lt;&gt;""),AND(GR6&gt;=GU$26,GR6&lt;&gt;""),AND(HN6&gt;=HQ$26,HN6&lt;&gt;""),AND(IJ6&gt;=IM$26,IJ6&lt;&gt;""),AND(JF6&gt;=JI$26,JF6&lt;&gt;""),AND(KB6&gt;=KE$26,KB6&lt;&gt;""),AND(KX6&gt;=LA$26,KX6&lt;&gt;""),AND(LT6&gt;=LW$26,LT6&lt;&gt;""),AND(MP6&gt;=MS$26,MP6&lt;&gt;""),AND(NL6&gt;=NO$26,NL6&lt;&gt;"")),OR(G6="Worlds Team",G6="Excellence",G6="Merit")),"P","")</f>
        <v>P</v>
      </c>
      <c r="K6" s="14">
        <f>IF(MAX(AV6,BZ6,DD6)&gt;0,MAX(AV6,BZ6,DD6),0)</f>
        <v>102.77500000000001</v>
      </c>
      <c r="L6" s="14" t="str">
        <f>IF(K6=0,"",IF(K6=DD6,$CD$1,IF(K6=BZ6,$AZ$1,IF(K6=AV6,$V$1,""))))</f>
        <v>2019 Nationals</v>
      </c>
      <c r="M6" s="14">
        <f>IF($K6=$AV6,MAX(BU6,CY6),IF($K6=$BZ6,MAX(AQ6,CY6),IF($K6=$DD6,MAX(AQ6,BU6),MAX(AQ6,BU6,CY6))))</f>
        <v>47.56</v>
      </c>
      <c r="N6" s="14" t="str">
        <f>IF(M6=0,"",IF(AND(M6=CY6,$L6&lt;&gt;$CD$1),$CD$1,IF(AND(M6=BU6,$L6&lt;&gt;$AZ$1),$AZ$1,IF(AND(M6=AQ6,$L6&lt;&gt;$V$1),$V$1,""))))</f>
        <v>2021 1st Virtual Technical Trial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55.302500000000002</v>
      </c>
      <c r="P6" s="14" t="str">
        <f>IF(O6=0,"",IF(OR(O6=DC6,O6=DA6),$CD$1,IF(OR(O6=BY6,O6=BW6),$AZ$1,IF(OR(O6=AU6,O6=AS6),$V$1,""))))</f>
        <v>2019 Nationals</v>
      </c>
      <c r="Q6" s="14">
        <f>MAX(AX6,CB6,DF6)</f>
        <v>55.62</v>
      </c>
      <c r="R6" s="14" t="str">
        <f>IF(Q6=0,"",IF(Q6=DF6,$CD$1,IF(Q6=CB6,$AZ$1,IF(Q6=AX6,$V$1,""))))</f>
        <v>2021 1st Virtual Technical Trial</v>
      </c>
      <c r="S6" s="14">
        <f>IF(MAX(DH6,DI6,DJ6,DK6)&gt;0,MAX(DH6,DI6,DJ6,DK6),"")</f>
        <v>4.5000000000001705E-2</v>
      </c>
      <c r="T6" s="25" t="str">
        <f>IF(S6="","",IF(S6=DH6,"(Vol 1)",IF(S6=DI6,"(Vol 2)",IF(S6=DJ6,"(Prelim)",IF(S6=DK6,"(Final)")))))</f>
        <v>(Vol 1)</v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>2020 World Cup AZE (Feb 16)</v>
      </c>
      <c r="V6" s="69">
        <v>18</v>
      </c>
      <c r="W6" s="69">
        <v>9.0749999999999993</v>
      </c>
      <c r="X6" s="69">
        <v>4.75</v>
      </c>
      <c r="Y6" s="69">
        <v>15.7475</v>
      </c>
      <c r="Z6" s="69">
        <v>0.1</v>
      </c>
      <c r="AA6" s="69">
        <v>17.100000000000001</v>
      </c>
      <c r="AB6" s="69">
        <v>9.65</v>
      </c>
      <c r="AC6" s="69">
        <v>13.45</v>
      </c>
      <c r="AD6" s="69">
        <v>15.102499999999999</v>
      </c>
      <c r="AE6" s="69">
        <v>0</v>
      </c>
      <c r="AF6" s="69"/>
      <c r="AG6" s="69"/>
      <c r="AH6" s="69"/>
      <c r="AI6" s="69"/>
      <c r="AJ6" s="69"/>
      <c r="AK6" s="69">
        <v>16.799999999999997</v>
      </c>
      <c r="AL6" s="69">
        <v>8.8000000000000007</v>
      </c>
      <c r="AM6" s="69">
        <v>13.45</v>
      </c>
      <c r="AN6" s="69">
        <v>15.067499999999999</v>
      </c>
      <c r="AO6" s="69">
        <v>0</v>
      </c>
      <c r="AP6" s="80" t="s">
        <v>91</v>
      </c>
      <c r="AQ6" s="11">
        <f>IF(SUM(V6:Y6)-Z6&gt;0,SUM(V6:Y6)-Z6,"")</f>
        <v>47.472499999999997</v>
      </c>
      <c r="AR6" s="11">
        <f>IF(AC6&gt;0,AC6,"")</f>
        <v>13.45</v>
      </c>
      <c r="AS6" s="11">
        <f>IF(SUM(AA6:AD6)-AE6&gt;0,SUM(AA6:AD6)-AE6,"")</f>
        <v>55.302500000000002</v>
      </c>
      <c r="AT6" s="11" t="str">
        <f>IF(AH6&gt;0,AH6,"")</f>
        <v/>
      </c>
      <c r="AU6" s="11" t="str">
        <f>IF(SUM(AF6:AI6)-AJ6&gt;0,SUM(AF6:AI6)-AJ6,"")</f>
        <v/>
      </c>
      <c r="AV6" s="11">
        <f>IF(OR(AQ6&lt;&gt;"",AS6&lt;&gt;"",AU6&lt;&gt;""),AQ6+MAX(AS6,AU6),"")</f>
        <v>102.77500000000001</v>
      </c>
      <c r="AW6" s="11">
        <f>IF(AM6&gt;0,AM6,"")</f>
        <v>13.45</v>
      </c>
      <c r="AX6" s="11">
        <f>IF(SUM(AK6:AN6)-AO6&gt;0,SUM(AK6:AN6)-AO6,"")</f>
        <v>54.117499999999993</v>
      </c>
      <c r="AY6" s="11">
        <f>IF(SUM(AV6,AX6)&gt;0,SUM(AV6,AX6),"")</f>
        <v>156.89249999999998</v>
      </c>
      <c r="AZ6" s="75">
        <v>18</v>
      </c>
      <c r="BA6" s="75">
        <v>9.0749999999999993</v>
      </c>
      <c r="BB6" s="75">
        <v>4.75</v>
      </c>
      <c r="BC6" s="75">
        <v>15.7475</v>
      </c>
      <c r="BD6" s="75">
        <v>0.1</v>
      </c>
      <c r="BE6" s="75">
        <v>17.100000000000001</v>
      </c>
      <c r="BF6" s="75">
        <v>9.65</v>
      </c>
      <c r="BG6" s="75">
        <v>13.45</v>
      </c>
      <c r="BH6" s="75">
        <v>15.102499999999999</v>
      </c>
      <c r="BI6" s="75">
        <v>0</v>
      </c>
      <c r="BJ6" s="75"/>
      <c r="BK6" s="75"/>
      <c r="BL6" s="75"/>
      <c r="BM6" s="75"/>
      <c r="BN6" s="75"/>
      <c r="BO6" s="75">
        <v>16.799999999999997</v>
      </c>
      <c r="BP6" s="75">
        <v>8.8000000000000007</v>
      </c>
      <c r="BQ6" s="75">
        <v>13.45</v>
      </c>
      <c r="BR6" s="75">
        <v>15.067499999999999</v>
      </c>
      <c r="BS6" s="75">
        <v>0</v>
      </c>
      <c r="BT6" s="81" t="s">
        <v>91</v>
      </c>
      <c r="BU6" s="14">
        <f>IF(SUM(AZ6:BC6)-BD6&gt;0,SUM(AZ6:BC6)-BD6,"")</f>
        <v>47.472499999999997</v>
      </c>
      <c r="BV6" s="14">
        <f>IF(BG6&gt;0,BG6,"")</f>
        <v>13.45</v>
      </c>
      <c r="BW6" s="14">
        <f>IF(SUM(BE6:BH6)-BI6&gt;0,SUM(BE6:BH6)-BI6,"")</f>
        <v>55.302500000000002</v>
      </c>
      <c r="BX6" s="14" t="str">
        <f>IF(BL6&gt;0,BL6,"")</f>
        <v/>
      </c>
      <c r="BY6" s="14" t="str">
        <f>IF(SUM(BJ6:BM6)-BN6&gt;0,SUM(BJ6:BM6)-BN6,"")</f>
        <v/>
      </c>
      <c r="BZ6" s="14">
        <f>IF(BU6="",IF(MAX(BW6,BY6)&gt;0,MAX(BW6,BY6),""),MAX(BW6,BY6)+BU6)</f>
        <v>102.77500000000001</v>
      </c>
      <c r="CA6" s="14">
        <f>IF(BQ6&gt;0,BQ6,"")</f>
        <v>13.45</v>
      </c>
      <c r="CB6" s="14">
        <f>IF(SUM(BO6:BR6)-BS6&gt;0,SUM(BO6:BR6)-BS6,"")</f>
        <v>54.117499999999993</v>
      </c>
      <c r="CC6" s="14">
        <f>IF(SUM(BZ6,CB6)&gt;0,SUM(BZ6,CB6),"")</f>
        <v>156.89249999999998</v>
      </c>
      <c r="CD6" s="69">
        <v>17.7</v>
      </c>
      <c r="CE6" s="69">
        <v>9.3000000000000007</v>
      </c>
      <c r="CF6" s="69">
        <v>4.4000000000000004</v>
      </c>
      <c r="CG6" s="69">
        <v>16.16</v>
      </c>
      <c r="CH6" s="69">
        <v>0</v>
      </c>
      <c r="CI6" s="69">
        <v>16.3</v>
      </c>
      <c r="CJ6" s="69">
        <v>9.4</v>
      </c>
      <c r="CK6" s="69">
        <v>12.7</v>
      </c>
      <c r="CL6" s="69">
        <v>15.44</v>
      </c>
      <c r="CM6" s="69">
        <v>0</v>
      </c>
      <c r="CN6" s="69">
        <v>16.8</v>
      </c>
      <c r="CO6" s="69">
        <v>9.5</v>
      </c>
      <c r="CP6" s="69">
        <v>13.3</v>
      </c>
      <c r="CQ6" s="69">
        <v>15.04</v>
      </c>
      <c r="CR6" s="69">
        <v>0</v>
      </c>
      <c r="CS6" s="69">
        <v>17.399999999999999</v>
      </c>
      <c r="CT6" s="69">
        <v>9.8000000000000007</v>
      </c>
      <c r="CU6" s="69">
        <v>13.3</v>
      </c>
      <c r="CV6" s="69">
        <v>15.12</v>
      </c>
      <c r="CW6" s="69">
        <v>0</v>
      </c>
      <c r="CX6" s="80"/>
      <c r="CY6" s="11">
        <f>IF(SUM(CD6:CG6)-CH6&gt;0,SUM(CD6:CG6)-CH6,"")</f>
        <v>47.56</v>
      </c>
      <c r="CZ6" s="11">
        <f>IF(CK6&gt;0,CK6,"")</f>
        <v>12.7</v>
      </c>
      <c r="DA6" s="11">
        <f>IF(SUM(CI6:CL6)-CM6&gt;0,SUM(CI6:CL6)-CM6,"")</f>
        <v>53.84</v>
      </c>
      <c r="DB6" s="11">
        <f>IF(CP6&gt;0,CP6,"")</f>
        <v>13.3</v>
      </c>
      <c r="DC6" s="11">
        <f>IF(SUM(CN6:CQ6)-CR6&gt;0,SUM(CN6:CQ6)-CR6,"")</f>
        <v>54.64</v>
      </c>
      <c r="DD6" s="11">
        <f>IF(CY6="",IF(MAX(DA6,DC6)&gt;0,MAX(DA6,DC6),""),MAX(DA6,DC6)+CY6)</f>
        <v>102.2</v>
      </c>
      <c r="DE6" s="11">
        <f>IF(CU6&gt;0,CU6,"")</f>
        <v>13.3</v>
      </c>
      <c r="DF6" s="11">
        <f>IF(SUM(CS6:CV6)-CW6&gt;0,SUM(CS6:CV6)-CW6,"")</f>
        <v>55.62</v>
      </c>
      <c r="DG6" s="11">
        <f>IF(SUM(DD6,DF6)&gt;0,SUM(DD6,DF6),"")</f>
        <v>157.82</v>
      </c>
      <c r="DH6" s="24">
        <f>IF(MAX(EB6,EX6,FT6,GP6,HL6,IH6,JD6,JZ6,KV6,LR6,MN6,NJ6)-IF(M6="",0,M6)&gt;0.001,MAX(EB6,EX6,FT6,GP6,HL6,IH6,JD6,JZ6,KV6,LR6,MN6,NJ6)-IF(M6="",0,M6),"")</f>
        <v>4.5000000000001705E-2</v>
      </c>
      <c r="DI6" s="24" t="str">
        <f>IF(MAX(EC6,EY6,FU6,GQ6,HM6,II6,JE6,KA6,KW6,LS6,MO6,NK6)-IF(O6="",0,O6)&gt;0.001,MAX(EC6,EY6,FU6,GQ6,HM6,II6,JE6,KA6,KW6,LS6,MO6,NK6)-IF(O6="",0,O6),"")</f>
        <v/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>
        <v>16</v>
      </c>
      <c r="DW6" s="37">
        <v>9.3000000000000007</v>
      </c>
      <c r="DX6" s="37">
        <v>13.3</v>
      </c>
      <c r="DY6" s="37">
        <v>14.335000000000001</v>
      </c>
      <c r="DZ6" s="37">
        <v>0</v>
      </c>
      <c r="EA6" s="11" t="str">
        <f>IF(DS6&gt;0,DS6,"")</f>
        <v/>
      </c>
      <c r="EB6" s="11" t="str">
        <f>IF(SUM(DL6:DO6)-DP6&gt;0,SUM(DL6:DO6)-DP6,"")</f>
        <v/>
      </c>
      <c r="EC6" s="11" t="str">
        <f>IF(SUM(DQ6:DT6)-DU6&gt;0,SUM(DQ6:DT6)-DU6,"")</f>
        <v/>
      </c>
      <c r="ED6" s="11" t="str">
        <f>IF(SUM(EB6:EC6)&gt;0,SUM(EB6:EC6),"")</f>
        <v/>
      </c>
      <c r="EE6" s="11">
        <f>IF(DX6&gt;0,DX6,"")</f>
        <v>13.3</v>
      </c>
      <c r="EF6" s="11">
        <f>IF(SUM(DV6:DY6)-DZ6&gt;0,SUM(DV6:DY6)-DZ6,"")</f>
        <v>52.935000000000002</v>
      </c>
      <c r="EG6" s="11">
        <f>IF(SUM(ED6,EF6)&gt;0,SUM(ED6,EF6),"")</f>
        <v>52.935000000000002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7">
        <v>16.5</v>
      </c>
      <c r="FE6" s="37">
        <v>9.6</v>
      </c>
      <c r="FF6" s="37">
        <v>4.4000000000000004</v>
      </c>
      <c r="FG6" s="37">
        <v>15.4</v>
      </c>
      <c r="FH6" s="37">
        <v>0</v>
      </c>
      <c r="FI6" s="37">
        <v>15.4</v>
      </c>
      <c r="FJ6" s="37">
        <v>9</v>
      </c>
      <c r="FK6" s="37">
        <v>13.3</v>
      </c>
      <c r="FL6" s="37">
        <v>14.414999999999999</v>
      </c>
      <c r="FM6" s="37">
        <v>0</v>
      </c>
      <c r="FN6" s="37"/>
      <c r="FO6" s="37"/>
      <c r="FP6" s="37"/>
      <c r="FQ6" s="37"/>
      <c r="FR6" s="37"/>
      <c r="FS6" s="11">
        <f>IF(FK6&gt;0,FK6,"")</f>
        <v>13.3</v>
      </c>
      <c r="FT6" s="11">
        <f>IF(SUM(FD6:FG6)-FH6&gt;0,SUM(FD6:FG6)-FH6,"")</f>
        <v>45.9</v>
      </c>
      <c r="FU6" s="11">
        <f>IF(SUM(FI6:FL6)-FM6&gt;0,SUM(FI6:FL6)-FM6,"")</f>
        <v>52.115000000000002</v>
      </c>
      <c r="FV6" s="11">
        <f>IF(SUM(FT6:FU6)&gt;0,SUM(FT6:FU6),"")</f>
        <v>98.015000000000001</v>
      </c>
      <c r="FW6" s="11" t="str">
        <f>IF(FP6&gt;0,FP6,"")</f>
        <v/>
      </c>
      <c r="FX6" s="11" t="str">
        <f>IF(SUM(FN6:FQ6)-FR6&gt;0,SUM(FN6:FQ6)-FR6,"")</f>
        <v/>
      </c>
      <c r="FY6" s="11">
        <f>IF(SUM(FV6,FX6)&gt;0,SUM(FV6,FX6),"")</f>
        <v>98.015000000000001</v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>
        <v>18</v>
      </c>
      <c r="HS6" s="38">
        <v>9.3000000000000007</v>
      </c>
      <c r="HT6" s="38">
        <v>4.4000000000000004</v>
      </c>
      <c r="HU6" s="38">
        <v>15.904999999999999</v>
      </c>
      <c r="HV6" s="38">
        <v>0</v>
      </c>
      <c r="HW6" s="38">
        <v>15.7</v>
      </c>
      <c r="HX6" s="38">
        <v>9.3000000000000007</v>
      </c>
      <c r="HY6" s="38">
        <v>13.3</v>
      </c>
      <c r="HZ6" s="38">
        <v>14.77</v>
      </c>
      <c r="IA6" s="38">
        <v>0</v>
      </c>
      <c r="IB6" s="38"/>
      <c r="IC6" s="38"/>
      <c r="ID6" s="38"/>
      <c r="IE6" s="38"/>
      <c r="IF6" s="38"/>
      <c r="IG6" s="14">
        <f>IF(HY6&gt;0,HY6,"")</f>
        <v>13.3</v>
      </c>
      <c r="IH6" s="14">
        <f>IF(SUM(HR6:HU6)-HV6&gt;0,SUM(HR6:HU6)-HV6,"")</f>
        <v>47.605000000000004</v>
      </c>
      <c r="II6" s="14">
        <f>IF(SUM(HW6:HZ6)-IA6&gt;0,SUM(HW6:HZ6)-IA6,"")</f>
        <v>53.069999999999993</v>
      </c>
      <c r="IJ6" s="14">
        <f>IF(SUM(IH6:II6)&gt;0,SUM(IH6:II6),"")</f>
        <v>100.675</v>
      </c>
      <c r="IK6" s="14" t="str">
        <f>IF(ID6&gt;0,ID6,"")</f>
        <v/>
      </c>
      <c r="IL6" s="14" t="str">
        <f>IF(SUM(IB6:IE6)-IF6&gt;0,SUM(IB6:IE6)-IF6,"")</f>
        <v/>
      </c>
      <c r="IM6" s="14">
        <f>IF(SUM(IJ6,IL6)&gt;0,SUM(IJ6,IL6),"")</f>
        <v>100.675</v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17.850000000000001</v>
      </c>
      <c r="NQ6" s="69">
        <f>IF($CX6="P",CE6,(CE6+BA6)/2)</f>
        <v>9.1875</v>
      </c>
      <c r="NR6" s="69">
        <f>IF($CX6="P",CF6,(CF6+BB6)/2)</f>
        <v>4.5750000000000002</v>
      </c>
      <c r="NS6" s="69">
        <f>IF($CX6="P",CG6,(CG6+BC6)/2)</f>
        <v>15.953749999999999</v>
      </c>
      <c r="NT6" s="69">
        <f>IF($CX6="P",CH6,(CH6+BD6)/2)</f>
        <v>0.05</v>
      </c>
      <c r="NU6" s="69">
        <f>IF($CX6="P",CI6,(CI6+BE6)/2)</f>
        <v>16.700000000000003</v>
      </c>
      <c r="NV6" s="69">
        <f>IF($CX6="P",CJ6,(CJ6+BF6)/2)</f>
        <v>9.5250000000000004</v>
      </c>
      <c r="NW6" s="69">
        <f>IF($CX6="P",CK6,(CK6+BG6)/2)</f>
        <v>13.074999999999999</v>
      </c>
      <c r="NX6" s="69">
        <f>IF($CX6="P",CL6,(CL6+BH6)/2)</f>
        <v>15.271249999999998</v>
      </c>
      <c r="NY6" s="69">
        <f>IF($CX6="P",CM6,(CM6+BI6)/2)</f>
        <v>0</v>
      </c>
      <c r="NZ6" s="69">
        <f>IF($CX6="P",CN6,(CN6+BJ6)/2)</f>
        <v>8.4</v>
      </c>
      <c r="OA6" s="69">
        <f>IF($CX6="P",CO6,(CO6+BK6)/2)</f>
        <v>4.75</v>
      </c>
      <c r="OB6" s="69">
        <f>IF($CX6="P",CP6,(CP6+BL6)/2)</f>
        <v>6.65</v>
      </c>
      <c r="OC6" s="69">
        <f>IF($CX6="P",CQ6,(CQ6+BM6)/2)</f>
        <v>7.52</v>
      </c>
      <c r="OD6" s="69">
        <f>IF($CX6="P",CR6,(CR6+BN6)/2)</f>
        <v>0</v>
      </c>
      <c r="OE6" s="69">
        <f>IF($CX6="P",CS6,(CS6+BO6)/2)</f>
        <v>17.099999999999998</v>
      </c>
      <c r="OF6" s="69">
        <f>IF($CX6="P",CT6,(CT6+BP6)/2)</f>
        <v>9.3000000000000007</v>
      </c>
      <c r="OG6" s="69">
        <f>IF($CX6="P",CU6,(CU6+BQ6)/2)</f>
        <v>13.375</v>
      </c>
      <c r="OH6" s="69">
        <f>IF($CX6="P",CV6,(CV6+BR6)/2)</f>
        <v>15.09375</v>
      </c>
      <c r="OI6" s="69">
        <f>IF($CX6="P",CW6,(CW6+BS6)/2)</f>
        <v>0</v>
      </c>
      <c r="OJ6" s="80" t="s">
        <v>91</v>
      </c>
      <c r="OK6" s="11">
        <f>IF(SUM(NP6:NS6)-NT6&gt;0,SUM(NP6:NS6)-NT6,"")</f>
        <v>47.516249999999999</v>
      </c>
      <c r="OL6" s="11">
        <f>IF(NW6&gt;0,NW6,"")</f>
        <v>13.074999999999999</v>
      </c>
      <c r="OM6" s="11">
        <f>IF(SUM(NU6:NX6)-NY6&gt;0,SUM(NU6:NX6)-NY6,"")</f>
        <v>54.571249999999992</v>
      </c>
      <c r="ON6" s="11">
        <f>IF(OB6&gt;0,OB6,"")</f>
        <v>6.65</v>
      </c>
      <c r="OO6" s="11">
        <f>IF(SUM(NZ6:OC6)-OD6&gt;0,SUM(NZ6:OC6)-OD6,"")</f>
        <v>27.32</v>
      </c>
      <c r="OP6" s="11">
        <f>IF(OR(OK6&lt;&gt;"",OM6&lt;&gt;"",OO6&lt;&gt;""),OK6+MAX(OM6,OO6),"")</f>
        <v>102.08749999999999</v>
      </c>
      <c r="OQ6" s="11">
        <f>IF(OG6&gt;0,OG6,"")</f>
        <v>13.375</v>
      </c>
      <c r="OR6" s="11">
        <f t="shared" si="0"/>
        <v>54.868749999999999</v>
      </c>
      <c r="OS6" s="11">
        <f t="shared" si="1"/>
        <v>156.95624999999998</v>
      </c>
    </row>
    <row r="7" spans="1:409" x14ac:dyDescent="0.2">
      <c r="A7" s="5" cm="1">
        <f t="array" ref="A7">IF(AND(G7&lt;&gt;"",H7&lt;&gt;""),SUMPRODUCT((G$4:G$19&lt;&gt;"")*(H$4:H$19&lt;&gt;"")*(E$4:E$19&gt;E7))+1,IF(H7&lt;&gt;"",SUMPRODUCT((I$4:I$19="No DD")*(E$4:E$19&gt;E7))+1+SUMPRODUCT((G$4:G$19&lt;&gt;"")*(H$4:H$19&lt;&gt;"")),""))</f>
        <v>4</v>
      </c>
      <c r="B7" s="127" t="s">
        <v>35</v>
      </c>
      <c r="C7" s="5" t="s">
        <v>6</v>
      </c>
      <c r="D7" s="5">
        <v>1992</v>
      </c>
      <c r="E7" s="15">
        <f>SUM(K7:S7)</f>
        <v>261.04000000000002</v>
      </c>
      <c r="F7" s="3" t="str">
        <f>IF(G7&lt;&gt;"","P","")</f>
        <v>P</v>
      </c>
      <c r="G7" s="125" t="str">
        <f>IF(OR(AND(AR7&gt;=AY$24,AR7&lt;&gt;"",AP7=""),AND(AT7&gt;=AY$24,AT7&lt;&gt;"",AP7=""),AND(AW7&gt;=AY$24,AW7&lt;&gt;"",AP7=""),AND(BV7&gt;=CC$24,BV7&lt;&gt;"",BT7=""),AND(BX7&gt;=CC$24,BX7&lt;&gt;"",BT7=""),AND(CA7&gt;=CC$24,CA7&lt;&gt;"",BT7=""),AND(CZ7&gt;=DG$24,CZ7&lt;&gt;"",CX7=""),AND(DB7&gt;=DG$24,DB7&lt;&gt;"",CX7=""),AND(DE7&gt;=DG$24,DE7&lt;&gt;"",CX7=""),AND(EA7&gt;=EG$24,EA7&lt;&gt;""),AND(EE7&gt;=EG$24,EE7&lt;&gt;""),AND(EW7&gt;=FC$24,EW7&lt;&gt;""),AND(FA7&gt;=FC$24,FA7&lt;&gt;""),AND(FS7&gt;=FY$24,FS7&lt;&gt;""),AND(FW7&gt;=FY$24,FW7&lt;&gt;""),AND(GO7&gt;=GU$24,GO7&lt;&gt;""),AND(GS7&gt;=GU$24,GS7&lt;&gt;""),AND(HK7&gt;=HQ$24,HK7&lt;&gt;""),AND(HO7&gt;=HQ$24,HO7&lt;&gt;""),AND(IG7&gt;=IM$24,IG7&lt;&gt;""),AND(IK7&gt;=IM$24,IK7&lt;&gt;""),AND(JC7&gt;=JI$24,JC7&lt;&gt;""),AND(JG7&gt;=JI$24,JG7&lt;&gt;""),AND(JY7&gt;=KE$24,JY7&lt;&gt;""),AND(KC7&gt;=KE$24,KC7&lt;&gt;""),AND(KU7&gt;=LA$24,KU7&lt;&gt;""),AND(KY7&gt;=LA$24,KY7&lt;&gt;""),AND(LQ7&gt;=LW$24,LQ7&lt;&gt;""),AND(LU7&gt;=LW$24,LU7&lt;&gt;""),AND(MM7&gt;=MS$24,MM7&lt;&gt;""),AND(MQ7&gt;=MS$24,MQ7&lt;&gt;""),AND(NI7&gt;=NO$24,NI7&lt;&gt;""),AND(NM7&gt;=NO$24,NM7&lt;&gt;"")),"Merit",IF(OR(AND(AR7&gt;=AY$23,AR7&lt;&gt;"",AP7=""),AND(AT7&gt;=AY$23,AT7&lt;&gt;"",AP7=""),AND(AW7&gt;=AY$23,AW7&lt;&gt;"",AP7=""),AND(BV7&gt;=CC$23,BV7&lt;&gt;"",BT7=""),AND(BX7&gt;=CC$23,BX7&lt;&gt;"",BT7=""),AND(CA7&gt;=CC$23,CA7&lt;&gt;"",BT7=""),AND(CZ7&gt;=DG$23,CZ7&lt;&gt;"",CX7=""),AND(DB7&gt;=DG$23,DB7&lt;&gt;"",CX7=""),AND(DE7&gt;=DG$23,DE7&lt;&gt;"",CX7=""),AND(EA7&gt;=EG$23,EA7&lt;&gt;""),AND(EE7&gt;=EG$23,EE7&lt;&gt;""),AND(EW7&gt;=FC$23,EW7&lt;&gt;""),AND(FA7&gt;=FC$23,FA7&lt;&gt;""),AND(FS7&gt;=FY$23,FS7&lt;&gt;""),AND(FW7&gt;=FY$23,FW7&lt;&gt;""),AND(GO7&gt;=GU$23,GO7&lt;&gt;""),AND(GS7&gt;=GU$23,GS7&lt;&gt;""),AND(HK7&gt;=HQ$23,HK7&lt;&gt;""),AND(HO7&gt;=HQ$23,HO7&lt;&gt;""),AND(IG7&gt;=IM$23,IG7&lt;&gt;""),AND(IK7&gt;=IM$23,IK7&lt;&gt;""),AND(JC7&gt;=JI$23,JC7&lt;&gt;""),AND(JG7&gt;=JI$23,JG7&lt;&gt;""),AND(JY7&gt;=KE$23,JY7&lt;&gt;""),AND(KC7&gt;=KE$23,KC7&lt;&gt;""),AND(KU7&gt;=LA$23,KU7&lt;&gt;""),AND(KY7&gt;=LA$23,KY7&lt;&gt;""),AND(LQ7&gt;=LW$23,LQ7&lt;&gt;""),AND(LU7&gt;=LW$23,LU7&lt;&gt;""),AND(MM7&gt;=MS$23,MM7&lt;&gt;""),AND(MQ7&gt;=MS$23,MQ7&lt;&gt;""),AND(NI7&gt;=NO$23,NI7&lt;&gt;""),AND(NM7&gt;=NO$23,NM7&lt;&gt;"")),"Excellence",IF(OR(AND(AR7&gt;=AY$22,AR7&lt;&gt;"",AP7=""),AND(AT7&gt;=AY$22,AT7&lt;&gt;"",AP7=""),AND(AW7&gt;=AY$22,AW7&lt;&gt;"",AP7=""),AND(BV7&gt;=CC$22,BV7&lt;&gt;"",BT7=""),AND(BX7&gt;=CC$22,BX7&lt;&gt;"",BT7=""),AND(CA7&gt;=CC$22,CA7&lt;&gt;"",BT7=""),AND(CZ7&gt;=DG$22,CZ7&lt;&gt;"",CX7=""),AND(DB7&gt;=DG$22,DB7&lt;&gt;"",CX7=""),AND(DE7&gt;=DG$22,DE7&lt;&gt;"",CX7=""),AND(EA7&gt;=EG$22,EA7&lt;&gt;""),AND(EE7&gt;=EG$22,EE7&lt;&gt;""),AND(EW7&gt;=FC$22,EW7&lt;&gt;""),AND(FA7&gt;=FC$22,FA7&lt;&gt;""),AND(FS7&gt;=FY$22,FS7&lt;&gt;""),AND(FW7&gt;=FY$22,FW7&lt;&gt;""),AND(GO7&gt;=GU$22,GO7&lt;&gt;""),AND(GS7&gt;=GU$22,GS7&lt;&gt;""),AND(HK7&gt;=HQ$22,HK7&lt;&gt;""),AND(HO7&gt;=HQ$22,HO7&lt;&gt;""),AND(IG7&gt;=IM$22,IG7&lt;&gt;""),AND(IK7&gt;=IM$22,IK7&lt;&gt;""),AND(JC7&gt;=JI$22,JC7&lt;&gt;""),AND(JG7&gt;=JI$22,JG7&lt;&gt;""),AND(JY7&gt;=KE$22,JY7&lt;&gt;""),AND(KC7&gt;=KE$22,KC7&lt;&gt;""),AND(KU7&gt;=LA$22,KU7&lt;&gt;""),AND(KY7&gt;=LA$22,KY7&lt;&gt;""),AND(LQ7&gt;=LW$22,LQ7&lt;&gt;""),AND(LU7&gt;=LW$22,LU7&lt;&gt;""),AND(MM7&gt;=MS$22,MM7&lt;&gt;""),AND(MQ7&gt;=MS$22,MQ7&lt;&gt;""),AND(NI7&gt;=NO$22,NI7&lt;&gt;""),AND(NM7&gt;=NO$22,NM7&lt;&gt;"")),"Worlds Team",IF(OR(AND(AR7&gt;=AY$21,AR7&lt;&gt;"",AP7=""),AND(AT7&gt;=AY$21,AT7&lt;&gt;"",AP7=""),AND(AW7&gt;=AY$21,AW7&lt;&gt;"",AP7=""),AND(BV7&gt;=CC$21,BV7&lt;&gt;"",BT7=""),AND(BX7&gt;=CC$21,BX7&lt;&gt;"",BT7=""),AND(CA7&gt;=CC$21,CA7&lt;&gt;"",BT7=""),AND(CZ7&gt;=DG$21,CZ7&lt;&gt;"",CX7=""),AND(DB7&gt;=DG$21,DB7&lt;&gt;"",CX7=""),AND(DE7&gt;=DG$21,DE7&lt;&gt;"",CX7=""),AND(EA7&gt;=EG$21,EA7&lt;&gt;""),AND(EE7&gt;=EG$21,EE7&lt;&gt;""),AND(EW7&gt;=FC$21,EW7&lt;&gt;""),AND(FA7&gt;=FC$21,FA7&lt;&gt;""),AND(FS7&gt;=FY$21,FS7&lt;&gt;""),AND(FW7&gt;=FY$21,FW7&lt;&gt;""),AND(GO7&gt;=GU$21,GO7&lt;&gt;""),AND(GS7&gt;=GU$21,GS7&lt;&gt;""),AND(HK7&gt;=HQ$21,HK7&lt;&gt;""),AND(HO7&gt;=HQ$21,HO7&lt;&gt;""),AND(IG7&gt;=IM$21,IG7&lt;&gt;""),AND(IK7&gt;=IM$21,IK7&lt;&gt;""),AND(JC7&gt;=JI$21,JC7&lt;&gt;""),AND(JG7&gt;=JI$21,JG7&lt;&gt;""),AND(JY7&gt;=KE$21,JY7&lt;&gt;""),AND(KC7&gt;=KE$21,KC7&lt;&gt;""),AND(KU7&gt;=LA$21,KU7&lt;&gt;""),AND(KY7&gt;=LA$21,KY7&lt;&gt;""),AND(LQ7&gt;=LW$21,LQ7&lt;&gt;""),AND(LU7&gt;=LW$21,LU7&lt;&gt;""),AND(MM7&gt;=MS$21,MM7&lt;&gt;""),AND(MQ7&gt;=MS$21,MQ7&lt;&gt;""),AND(NI7&gt;=NO$21,NI7&lt;&gt;""),AND(NM7&gt;=NO$21,NM7&lt;&gt;"")),"National Team",""))))</f>
        <v>Merit</v>
      </c>
      <c r="H7" s="125" t="str">
        <f>IF(OR(AND(AS7&gt;=AY$28,AS7&lt;&gt;"",AP7=""),AND(AU7&gt;=AY$28,AU7&lt;&gt;"",AP7=""),AND(AX7&gt;=AY$28,AX7&lt;&gt;"",AP7=""),AND(BW7&gt;=CC$28,BW7&lt;&gt;"",BT7=""),AND(BY7&gt;=CC$28,BY7&lt;&gt;"",BT7=""),AND(CB7&gt;=CC$28,CB7&lt;&gt;"",BT7=""),AND(DA7&gt;=DG$28,DA7&lt;&gt;"",CX7=""),AND(DC7&gt;=DG$28,DC7&lt;&gt;"",CX7=""),AND(DF7&gt;=DG$28,DF7&lt;&gt;"",CX7=""),AND(EC7&gt;=EG$28,EC7&lt;&gt;""),AND(EF7&gt;=EG$28,EF7&lt;&gt;""),AND(EY7&gt;=FC$28,EY7&lt;&gt;""),AND(FB7&gt;=FC$28,FB7&lt;&gt;""),AND(FU7&gt;=FY$28,FU7&lt;&gt;""),AND(FX7&gt;=FY$28,FX7&lt;&gt;""),AND(GQ7&gt;=GU$28,GQ7&lt;&gt;""),AND(GT7&gt;=GU$28,GT7&lt;&gt;""),AND(HM7&gt;=HQ$28,HM7&lt;&gt;""),AND(HP7&gt;=HQ$28,HP7&lt;&gt;""),AND(II7&gt;=IM$28,II7&lt;&gt;""),AND(IL7&gt;=IM$28,IL7&lt;&gt;""),AND(JE7&gt;=JI$28,JE7&lt;&gt;""),AND(JH7&gt;=JI$28,JH7&lt;&gt;""),AND(KA7&gt;=KE$28,KA7&lt;&gt;""),AND(KD7&gt;=KE$28,KD7&lt;&gt;""),AND(KW7&gt;=LA$28,KW7&lt;&gt;""),AND(KZ7&gt;=LA$28,KZ7&lt;&gt;""),AND(LS7&gt;=LW$28,LS7&lt;&gt;""),AND(LV7&gt;=LW$28,LV7&lt;&gt;""),AND(MO7&gt;=MS$28,MO7&lt;&gt;""),AND(MR7&gt;=MS$28,MR7&lt;&gt;""),AND(NK7&gt;=NO$28,NK7&lt;&gt;""),AND(NN7&gt;=NO$28,NN7&lt;&gt;"")),"Merit",IF(OR(AND(AS7&gt;=AY$27,AS7&lt;&gt;"",AP7=""),AND(AU7&gt;=AY$27,AU7&lt;&gt;"",AP7=""),AND(AX7&gt;=AY$27,AX7&lt;&gt;"",AP7=""),AND(BW7&gt;=CC$27,BW7&lt;&gt;"",BT7=""),AND(BY7&gt;=CC$27,BY7&lt;&gt;"",BT7=""),AND(CB7&gt;=CC$27,CB7&lt;&gt;"",BT7=""),AND(DA7&gt;=DG$27,DA7&lt;&gt;"",CX7=""),AND(DC7&gt;=DG$27,DC7&lt;&gt;"",CX7=""),AND(DF7&gt;=DG$27,DF7&lt;&gt;"",CX7=""),AND(EC7&gt;=EG$27,EC7&lt;&gt;""),AND(EF7&gt;=EG$27,EF7&lt;&gt;""),AND(EY7&gt;=FC$27,EY7&lt;&gt;""),AND(FB7&gt;=FC$27,FB7&lt;&gt;""),AND(FU7&gt;=FY$27,FU7&lt;&gt;""),AND(FX7&gt;=FY$27,FX7&lt;&gt;""),AND(GQ7&gt;=GU$27,GQ7&lt;&gt;""),AND(GT7&gt;=GU$27,GT7&lt;&gt;""),AND(HM7&gt;=HQ$27,HM7&lt;&gt;""),AND(HP7&gt;=HQ$27,HP7&lt;&gt;""),AND(II7&gt;=IM$27,II7&lt;&gt;""),AND(IL7&gt;=IM$27,IL7&lt;&gt;""),AND(JE7&gt;=JI$27,JE7&lt;&gt;""),AND(JH7&gt;=JI$27,JH7&lt;&gt;""),AND(KA7&gt;=KE$27,KA7&lt;&gt;""),AND(KD7&gt;=KE$27,KD7&lt;&gt;""),AND(KW7&gt;=LA$27,KW7&lt;&gt;""),AND(KZ7&gt;=LA$27,KZ7&lt;&gt;""),AND(LS7&gt;=LW$27,LS7&lt;&gt;""),AND(LV7&gt;=LW$27,LV7&lt;&gt;""),AND(MO7&gt;=MS$27,MO7&lt;&gt;""),AND(MR7&gt;=MS$27,MR7&lt;&gt;""),AND(NK7&gt;=NO$27,NK7&lt;&gt;""),AND(NN7&gt;=NO$27,NN7&lt;&gt;"")),"Excellence",IF(OR(AND(AV7&gt;=AY$26,AV7&lt;&gt;"",AP7=""),AND(BZ7&gt;=CC$26,BZ7&lt;&gt;"",BT7=""),AND(DD7&gt;=DG$26,DD7&lt;&gt;"",CX7=""),AND(ED7&gt;=EG$26,ED7&lt;&gt;""),AND(EZ7&gt;=FC$26,EZ7&lt;&gt;""),AND(FV7&gt;=FY$26,FV7&lt;&gt;""),AND(GR7&gt;=GU$26,GR7&lt;&gt;""),AND(HN7&gt;=HQ$26,HN7&lt;&gt;""),AND(IJ7&gt;=IM$26,IJ7&lt;&gt;""),AND(JF7&gt;=JI$26,JF7&lt;&gt;""),AND(KB7&gt;=KE$26,KB7&lt;&gt;""),AND(KX7&gt;=LA$26,KX7&lt;&gt;""),AND(LT7&gt;=LW$26,LT7&lt;&gt;""),AND(MP7&gt;=MS$26,MP7&lt;&gt;""),AND(NL7&gt;=NO$26,NL7&lt;&gt;"")),"Worlds Team",IF(OR(AND(AV7&gt;=AY$25,AV7&lt;&gt;"",AP7=""),AND(BZ7&gt;=CC$25,BZ7&lt;&gt;"",BT7=""),AND(DD7&gt;=DG$25,DD7&lt;&gt;"",CX7=""),AND(ED7&gt;=EG$25,ED7&lt;&gt;""),AND(EZ7&gt;=FC$25,EZ7&lt;&gt;""),AND(FV7&gt;=FY$25,FV7&lt;&gt;""),AND(GR7&gt;=GU$25,GR7&lt;&gt;""),AND(HN7&gt;=HQ$25,HN7&lt;&gt;""),AND(IJ7&gt;=IM$25,IJ7&lt;&gt;""),AND(JF7&gt;=JI$25,JF7&lt;&gt;""),AND(KB7&gt;=KE$25,KB7&lt;&gt;""),AND(KX7&gt;=LA$25,KX7&lt;&gt;""),AND(LT7&gt;=LW$25,LT7&lt;&gt;""),AND(MP7&gt;=MS$25,MP7&lt;&gt;""),AND(NL7&gt;=NO$25,NL7&lt;&gt;"")),"National Team",""))))</f>
        <v>Merit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Merit</v>
      </c>
      <c r="J7" s="3" t="str">
        <f>IF(AND(OR(AND(AV7&gt;=AY$26,AV7&lt;&gt;"",AP7=""),AND(BZ7&gt;=CC$26,BZ7&lt;&gt;"",BT7=""),AND(DD7&gt;=DG$26,DD7&lt;&gt;"",CX7=""),AND(ED7&gt;=EG$26,ED7&lt;&gt;""),AND(EZ7&gt;=FC$26,EZ7&lt;&gt;""),AND(FV7&gt;=FY$26,FV7&lt;&gt;""),AND(GR7&gt;=GU$26,GR7&lt;&gt;""),AND(HN7&gt;=HQ$26,HN7&lt;&gt;""),AND(IJ7&gt;=IM$26,IJ7&lt;&gt;""),AND(JF7&gt;=JI$26,JF7&lt;&gt;""),AND(KB7&gt;=KE$26,KB7&lt;&gt;""),AND(KX7&gt;=LA$26,KX7&lt;&gt;""),AND(LT7&gt;=LW$26,LT7&lt;&gt;""),AND(MP7&gt;=MS$26,MP7&lt;&gt;""),AND(NL7&gt;=NO$26,NL7&lt;&gt;"")),OR(G7="Worlds Team",G7="Excellence",G7="Merit")),"P","")</f>
        <v>P</v>
      </c>
      <c r="K7" s="14">
        <f>IF(MAX(AV7,BZ7,DD7)&gt;0,MAX(AV7,BZ7,DD7),0)</f>
        <v>103.6</v>
      </c>
      <c r="L7" s="14" t="str">
        <f>IF(K7=0,"",IF(K7=DD7,$CD$1,IF(K7=BZ7,$AZ$1,IF(K7=AV7,$V$1,""))))</f>
        <v>2019 Nationals</v>
      </c>
      <c r="M7" s="14">
        <f>IF($K7=$AV7,MAX(BU7,CY7),IF($K7=$BZ7,MAX(AQ7,CY7),IF($K7=$DD7,MAX(AQ7,BU7),MAX(AQ7,BU7,CY7))))</f>
        <v>47.704999999999998</v>
      </c>
      <c r="N7" s="14" t="str">
        <f>IF(M7=0,"",IF(AND(M7=CY7,$L7&lt;&gt;$CD$1),$CD$1,IF(AND(M7=BU7,$L7&lt;&gt;$AZ$1),$AZ$1,IF(AND(M7=AQ7,$L7&lt;&gt;$V$1),$V$1,""))))</f>
        <v>2021 1st Virtual Technical Trial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54.440000000000005</v>
      </c>
      <c r="P7" s="14" t="str">
        <f>IF(O7=0,"",IF(OR(O7=DC7,O7=DA7),$CD$1,IF(OR(O7=BY7,O7=BW7),$AZ$1,IF(OR(O7=AU7,O7=AS7),$V$1,""))))</f>
        <v>2021 1st Virtual Technical Trial</v>
      </c>
      <c r="Q7" s="14">
        <f>MAX(AX7,CB7,DF7)</f>
        <v>54.594999999999999</v>
      </c>
      <c r="R7" s="14" t="str">
        <f>IF(Q7=0,"",IF(Q7=DF7,$CD$1,IF(Q7=CB7,$AZ$1,IF(Q7=AX7,$V$1,""))))</f>
        <v>2019 Nationals</v>
      </c>
      <c r="S7" s="14">
        <f>IF(MAX(DH7,DI7,DJ7,DK7)&gt;0,MAX(DH7,DI7,DJ7,DK7),"")</f>
        <v>0.70000000000000284</v>
      </c>
      <c r="T7" s="25" t="str">
        <f>IF(S7="","",IF(S7=DH7,"(Vol 1)",IF(S7=DI7,"(Vol 2)",IF(S7=DJ7,"(Prelim)",IF(S7=DK7,"(Final)")))))</f>
        <v>(Vol 1)</v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>2020 World Cup AZE (Feb 16)</v>
      </c>
      <c r="V7" s="69">
        <v>16.600000000000001</v>
      </c>
      <c r="W7" s="69">
        <v>9.1999999999999993</v>
      </c>
      <c r="X7" s="69">
        <v>5.4</v>
      </c>
      <c r="Y7" s="69">
        <v>15.984999999999999</v>
      </c>
      <c r="Z7" s="69">
        <v>0</v>
      </c>
      <c r="AA7" s="69">
        <v>15</v>
      </c>
      <c r="AB7" s="69">
        <v>9.0500000000000007</v>
      </c>
      <c r="AC7" s="69">
        <v>14.4</v>
      </c>
      <c r="AD7" s="69">
        <v>15.215</v>
      </c>
      <c r="AE7" s="69">
        <v>0</v>
      </c>
      <c r="AF7" s="69"/>
      <c r="AG7" s="69"/>
      <c r="AH7" s="69"/>
      <c r="AI7" s="69"/>
      <c r="AJ7" s="69"/>
      <c r="AK7" s="69">
        <v>14.6</v>
      </c>
      <c r="AL7" s="69">
        <v>8.9499999999999993</v>
      </c>
      <c r="AM7" s="69">
        <v>15.4</v>
      </c>
      <c r="AN7" s="69">
        <v>14.98</v>
      </c>
      <c r="AO7" s="69">
        <v>0</v>
      </c>
      <c r="AP7" s="80"/>
      <c r="AQ7" s="11">
        <f>IF(SUM(V7:Y7)-Z7&gt;0,SUM(V7:Y7)-Z7,"")</f>
        <v>47.185000000000002</v>
      </c>
      <c r="AR7" s="11">
        <f>IF(AC7&gt;0,AC7,"")</f>
        <v>14.4</v>
      </c>
      <c r="AS7" s="11">
        <f>IF(SUM(AA7:AD7)-AE7&gt;0,SUM(AA7:AD7)-AE7,"")</f>
        <v>53.665000000000006</v>
      </c>
      <c r="AT7" s="11" t="str">
        <f>IF(AH7&gt;0,AH7,"")</f>
        <v/>
      </c>
      <c r="AU7" s="11" t="str">
        <f>IF(SUM(AF7:AI7)-AJ7&gt;0,SUM(AF7:AI7)-AJ7,"")</f>
        <v/>
      </c>
      <c r="AV7" s="11">
        <f>IF(OR(AQ7&lt;&gt;"",AS7&lt;&gt;"",AU7&lt;&gt;""),AQ7+MAX(AS7,AU7),"")</f>
        <v>100.85000000000001</v>
      </c>
      <c r="AW7" s="11">
        <f>IF(AM7&gt;0,AM7,"")</f>
        <v>15.4</v>
      </c>
      <c r="AX7" s="11">
        <f>IF(SUM(AK7:AN7)-AO7&gt;0,SUM(AK7:AN7)-AO7,"")</f>
        <v>53.929999999999993</v>
      </c>
      <c r="AY7" s="11">
        <f>IF(SUM(AV7,AX7)&gt;0,SUM(AV7,AX7),"")</f>
        <v>154.78</v>
      </c>
      <c r="AZ7" s="75">
        <v>17.600000000000001</v>
      </c>
      <c r="BA7" s="75">
        <v>9.4</v>
      </c>
      <c r="BB7" s="75">
        <v>5.6</v>
      </c>
      <c r="BC7" s="75">
        <v>15.815</v>
      </c>
      <c r="BD7" s="75">
        <v>0</v>
      </c>
      <c r="BE7" s="75">
        <v>16.5</v>
      </c>
      <c r="BF7" s="75">
        <v>9.1</v>
      </c>
      <c r="BG7" s="75">
        <v>14.4</v>
      </c>
      <c r="BH7" s="75">
        <v>15.185</v>
      </c>
      <c r="BI7" s="75">
        <v>0</v>
      </c>
      <c r="BJ7" s="75"/>
      <c r="BK7" s="75"/>
      <c r="BL7" s="75"/>
      <c r="BM7" s="75"/>
      <c r="BN7" s="75"/>
      <c r="BO7" s="75">
        <v>16.16</v>
      </c>
      <c r="BP7" s="75">
        <v>8.9</v>
      </c>
      <c r="BQ7" s="75">
        <v>14.4</v>
      </c>
      <c r="BR7" s="75">
        <v>15.135</v>
      </c>
      <c r="BS7" s="75"/>
      <c r="BT7" s="81"/>
      <c r="BU7" s="14">
        <f>IF(SUM(AZ7:BC7)-BD7&gt;0,SUM(AZ7:BC7)-BD7,"")</f>
        <v>48.414999999999999</v>
      </c>
      <c r="BV7" s="14">
        <f>IF(BG7&gt;0,BG7,"")</f>
        <v>14.4</v>
      </c>
      <c r="BW7" s="14">
        <f>IF(SUM(BE7:BH7)-BI7&gt;0,SUM(BE7:BH7)-BI7,"")</f>
        <v>55.185000000000002</v>
      </c>
      <c r="BX7" s="14" t="str">
        <f>IF(BL7&gt;0,BL7,"")</f>
        <v/>
      </c>
      <c r="BY7" s="14" t="str">
        <f>IF(SUM(BJ7:BM7)-BN7&gt;0,SUM(BJ7:BM7)-BN7,"")</f>
        <v/>
      </c>
      <c r="BZ7" s="14">
        <f>IF(BU7="",IF(MAX(BW7,BY7)&gt;0,MAX(BW7,BY7),""),MAX(BW7,BY7)+BU7)</f>
        <v>103.6</v>
      </c>
      <c r="CA7" s="14">
        <f>IF(BQ7&gt;0,BQ7,"")</f>
        <v>14.4</v>
      </c>
      <c r="CB7" s="14">
        <f>IF(SUM(BO7:BR7)-BS7&gt;0,SUM(BO7:BR7)-BS7,"")</f>
        <v>54.594999999999999</v>
      </c>
      <c r="CC7" s="14">
        <f>IF(SUM(BZ7,CB7)&gt;0,SUM(BZ7,CB7),"")</f>
        <v>158.19499999999999</v>
      </c>
      <c r="CD7" s="69">
        <v>17.100000000000001</v>
      </c>
      <c r="CE7" s="69">
        <v>9.5</v>
      </c>
      <c r="CF7" s="69">
        <v>5</v>
      </c>
      <c r="CG7" s="69">
        <v>16.105</v>
      </c>
      <c r="CH7" s="69">
        <v>0</v>
      </c>
      <c r="CI7" s="69">
        <v>15.3</v>
      </c>
      <c r="CJ7" s="69">
        <v>9.65</v>
      </c>
      <c r="CK7" s="69">
        <v>14.2</v>
      </c>
      <c r="CL7" s="69">
        <v>15.29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15.2</v>
      </c>
      <c r="CT7" s="69">
        <v>9.25</v>
      </c>
      <c r="CU7" s="69">
        <v>14.2</v>
      </c>
      <c r="CV7" s="69">
        <v>14.97</v>
      </c>
      <c r="CW7" s="69">
        <v>0</v>
      </c>
      <c r="CX7" s="80"/>
      <c r="CY7" s="11">
        <f>IF(SUM(CD7:CG7)-CH7&gt;0,SUM(CD7:CG7)-CH7,"")</f>
        <v>47.704999999999998</v>
      </c>
      <c r="CZ7" s="11">
        <f>IF(CK7&gt;0,CK7,"")</f>
        <v>14.2</v>
      </c>
      <c r="DA7" s="11">
        <f>IF(SUM(CI7:CL7)-CM7&gt;0,SUM(CI7:CL7)-CM7,"")</f>
        <v>54.440000000000005</v>
      </c>
      <c r="DB7" s="11" t="str">
        <f>IF(CP7&gt;0,CP7,"")</f>
        <v/>
      </c>
      <c r="DC7" s="11" t="str">
        <f>IF(SUM(CN7:CQ7)-CR7&gt;0,SUM(CN7:CQ7)-CR7,"")</f>
        <v/>
      </c>
      <c r="DD7" s="11">
        <f>IF(CY7="",IF(MAX(DA7,DC7)&gt;0,MAX(DA7,DC7),""),MAX(DA7,DC7)+CY7)</f>
        <v>102.14500000000001</v>
      </c>
      <c r="DE7" s="11">
        <f>IF(CU7&gt;0,CU7,"")</f>
        <v>14.2</v>
      </c>
      <c r="DF7" s="11">
        <f>IF(SUM(CS7:CV7)-CW7&gt;0,SUM(CS7:CV7)-CW7,"")</f>
        <v>53.62</v>
      </c>
      <c r="DG7" s="11">
        <f>IF(SUM(DD7,DF7)&gt;0,SUM(DD7,DF7),"")</f>
        <v>155.76500000000001</v>
      </c>
      <c r="DH7" s="24">
        <f>IF(MAX(EB7,EX7,FT7,GP7,HL7,IH7,JD7,JZ7,KV7,LR7,MN7,NJ7)-IF(M7="",0,M7)&gt;0.001,MAX(EB7,EX7,FT7,GP7,HL7,IH7,JD7,JZ7,KV7,LR7,MN7,NJ7)-IF(M7="",0,M7),"")</f>
        <v>0.70000000000000284</v>
      </c>
      <c r="DI7" s="24">
        <f>IF(MAX(EC7,EY7,FU7,GQ7,HM7,II7,JE7,KA7,KW7,LS7,MO7,NK7)-IF(O7="",0,O7)&gt;0.001,MAX(EC7,EY7,FU7,GQ7,HM7,II7,JE7,KA7,KW7,LS7,MO7,NK7)-IF(O7="",0,O7),"")</f>
        <v>0.5</v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>
        <v>15.2</v>
      </c>
      <c r="DW7" s="37">
        <v>9.5</v>
      </c>
      <c r="DX7" s="37">
        <v>14.4</v>
      </c>
      <c r="DY7" s="37">
        <v>15.04</v>
      </c>
      <c r="DZ7" s="37">
        <v>0</v>
      </c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>
        <f>IF(DX7&gt;0,DX7,"")</f>
        <v>14.4</v>
      </c>
      <c r="EF7" s="11">
        <f>IF(SUM(DV7:DY7)-DZ7&gt;0,SUM(DV7:DY7)-DZ7,"")</f>
        <v>54.14</v>
      </c>
      <c r="EG7" s="11">
        <f>IF(SUM(ED7,EF7)&gt;0,SUM(ED7,EF7),"")</f>
        <v>54.14</v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>
        <v>15.3</v>
      </c>
      <c r="ES7" s="38">
        <v>9.5</v>
      </c>
      <c r="ET7" s="38">
        <v>14.4</v>
      </c>
      <c r="EU7" s="38">
        <v>15.19</v>
      </c>
      <c r="EV7" s="38">
        <v>0.2</v>
      </c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>
        <f>IF(ET7&gt;0,ET7,"")</f>
        <v>14.4</v>
      </c>
      <c r="FB7" s="14">
        <f>IF(SUM(ER7:EU7)-EV7&gt;0,SUM(ER7:EU7)-EV7,"")</f>
        <v>54.19</v>
      </c>
      <c r="FC7" s="14">
        <f>IF(SUM(EZ7,FB7)&gt;0,SUM(EZ7,FB7),"")</f>
        <v>54.19</v>
      </c>
      <c r="FD7" s="37">
        <v>17.2</v>
      </c>
      <c r="FE7" s="37">
        <v>9.1999999999999993</v>
      </c>
      <c r="FF7" s="37">
        <v>5.6</v>
      </c>
      <c r="FG7" s="37">
        <v>15.505000000000001</v>
      </c>
      <c r="FH7" s="37">
        <v>0</v>
      </c>
      <c r="FI7" s="37">
        <v>15.2</v>
      </c>
      <c r="FJ7" s="37">
        <v>9.6999999999999993</v>
      </c>
      <c r="FK7" s="37">
        <v>14.4</v>
      </c>
      <c r="FL7" s="37">
        <v>14.845000000000001</v>
      </c>
      <c r="FM7" s="37">
        <v>0</v>
      </c>
      <c r="FN7" s="37">
        <v>15.5</v>
      </c>
      <c r="FO7" s="37">
        <v>8.9</v>
      </c>
      <c r="FP7" s="37">
        <v>14.2</v>
      </c>
      <c r="FQ7" s="37">
        <v>14.85</v>
      </c>
      <c r="FR7" s="37">
        <v>0</v>
      </c>
      <c r="FS7" s="11">
        <f>IF(FK7&gt;0,FK7,"")</f>
        <v>14.4</v>
      </c>
      <c r="FT7" s="11">
        <f>IF(SUM(FD7:FG7)-FH7&gt;0,SUM(FD7:FG7)-FH7,"")</f>
        <v>47.505000000000003</v>
      </c>
      <c r="FU7" s="11">
        <f>IF(SUM(FI7:FL7)-FM7&gt;0,SUM(FI7:FL7)-FM7,"")</f>
        <v>54.144999999999996</v>
      </c>
      <c r="FV7" s="11">
        <f>IF(SUM(FT7:FU7)&gt;0,SUM(FT7:FU7),"")</f>
        <v>101.65</v>
      </c>
      <c r="FW7" s="11">
        <f>IF(FP7&gt;0,FP7,"")</f>
        <v>14.2</v>
      </c>
      <c r="FX7" s="11">
        <f>IF(SUM(FN7:FQ7)-FR7&gt;0,SUM(FN7:FQ7)-FR7,"")</f>
        <v>53.449999999999996</v>
      </c>
      <c r="FY7" s="11">
        <f>IF(SUM(FV7,FX7)&gt;0,SUM(FV7,FX7),"")</f>
        <v>155.1</v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>
        <v>17.600000000000001</v>
      </c>
      <c r="HS7" s="38">
        <v>9.6</v>
      </c>
      <c r="HT7" s="38">
        <v>5.2</v>
      </c>
      <c r="HU7" s="38">
        <v>16.004999999999999</v>
      </c>
      <c r="HV7" s="38">
        <v>0</v>
      </c>
      <c r="HW7" s="38">
        <v>15.4</v>
      </c>
      <c r="HX7" s="38">
        <v>9.5</v>
      </c>
      <c r="HY7" s="38">
        <v>14.8</v>
      </c>
      <c r="HZ7" s="38">
        <v>15.24</v>
      </c>
      <c r="IA7" s="38">
        <v>0</v>
      </c>
      <c r="IB7" s="38">
        <v>15.1</v>
      </c>
      <c r="IC7" s="38">
        <v>9.5</v>
      </c>
      <c r="ID7" s="38">
        <v>14.8</v>
      </c>
      <c r="IE7" s="38">
        <v>15.185</v>
      </c>
      <c r="IF7" s="38">
        <v>0</v>
      </c>
      <c r="IG7" s="14">
        <f>IF(HY7&gt;0,HY7,"")</f>
        <v>14.8</v>
      </c>
      <c r="IH7" s="14">
        <f>IF(SUM(HR7:HU7)-HV7&gt;0,SUM(HR7:HU7)-HV7,"")</f>
        <v>48.405000000000001</v>
      </c>
      <c r="II7" s="14">
        <f>IF(SUM(HW7:HZ7)-IA7&gt;0,SUM(HW7:HZ7)-IA7,"")</f>
        <v>54.940000000000005</v>
      </c>
      <c r="IJ7" s="14">
        <f>IF(SUM(IH7:II7)&gt;0,SUM(IH7:II7),"")</f>
        <v>103.345</v>
      </c>
      <c r="IK7" s="14">
        <f>IF(ID7&gt;0,ID7,"")</f>
        <v>14.8</v>
      </c>
      <c r="IL7" s="14">
        <f>IF(SUM(IB7:IE7)-IF7&gt;0,SUM(IB7:IE7)-IF7,"")</f>
        <v>54.585000000000008</v>
      </c>
      <c r="IM7" s="14">
        <f>IF(SUM(IJ7,IL7)&gt;0,SUM(IJ7,IL7),"")</f>
        <v>157.93</v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17.350000000000001</v>
      </c>
      <c r="NQ7" s="69">
        <f>IF($CX7="P",CE7,(CE7+BA7)/2)</f>
        <v>9.4499999999999993</v>
      </c>
      <c r="NR7" s="69">
        <f>IF($CX7="P",CF7,(CF7+BB7)/2)</f>
        <v>5.3</v>
      </c>
      <c r="NS7" s="69">
        <f>IF($CX7="P",CG7,(CG7+BC7)/2)</f>
        <v>15.96</v>
      </c>
      <c r="NT7" s="69">
        <f>IF($CX7="P",CH7,(CH7+BD7)/2)</f>
        <v>0</v>
      </c>
      <c r="NU7" s="69">
        <f>IF($CX7="P",CI7,(CI7+BE7)/2)</f>
        <v>15.9</v>
      </c>
      <c r="NV7" s="69">
        <f>IF($CX7="P",CJ7,(CJ7+BF7)/2)</f>
        <v>9.375</v>
      </c>
      <c r="NW7" s="69">
        <f>IF($CX7="P",CK7,(CK7+BG7)/2)</f>
        <v>14.3</v>
      </c>
      <c r="NX7" s="69">
        <f>IF($CX7="P",CL7,(CL7+BH7)/2)</f>
        <v>15.237500000000001</v>
      </c>
      <c r="NY7" s="69">
        <f>IF($CX7="P",CM7,(CM7+BI7)/2)</f>
        <v>0</v>
      </c>
      <c r="NZ7" s="69">
        <f>IF($CX7="P",CN7,(CN7+BJ7)/2)</f>
        <v>0</v>
      </c>
      <c r="OA7" s="69">
        <f>IF($CX7="P",CO7,(CO7+BK7)/2)</f>
        <v>0</v>
      </c>
      <c r="OB7" s="69">
        <f>IF($CX7="P",CP7,(CP7+BL7)/2)</f>
        <v>0</v>
      </c>
      <c r="OC7" s="69">
        <f>IF($CX7="P",CQ7,(CQ7+BM7)/2)</f>
        <v>0</v>
      </c>
      <c r="OD7" s="69">
        <f>IF($CX7="P",CR7,(CR7+BN7)/2)</f>
        <v>0</v>
      </c>
      <c r="OE7" s="69">
        <f>IF($CX7="P",CS7,(CS7+BO7)/2)</f>
        <v>15.68</v>
      </c>
      <c r="OF7" s="69">
        <f>IF($CX7="P",CT7,(CT7+BP7)/2)</f>
        <v>9.0749999999999993</v>
      </c>
      <c r="OG7" s="69">
        <f>IF($CX7="P",CU7,(CU7+BQ7)/2)</f>
        <v>14.3</v>
      </c>
      <c r="OH7" s="69">
        <f>IF($CX7="P",CV7,(CV7+BR7)/2)</f>
        <v>15.0525</v>
      </c>
      <c r="OI7" s="69">
        <f>IF($CX7="P",CW7,(CW7+BS7)/2)</f>
        <v>0</v>
      </c>
      <c r="OJ7" s="80" t="s">
        <v>91</v>
      </c>
      <c r="OK7" s="11">
        <f>IF(SUM(NP7:NS7)-NT7&gt;0,SUM(NP7:NS7)-NT7,"")</f>
        <v>48.06</v>
      </c>
      <c r="OL7" s="11">
        <f>IF(NW7&gt;0,NW7,"")</f>
        <v>14.3</v>
      </c>
      <c r="OM7" s="11">
        <f>IF(SUM(NU7:NX7)-NY7&gt;0,SUM(NU7:NX7)-NY7,"")</f>
        <v>54.8125</v>
      </c>
      <c r="ON7" s="11" t="str">
        <f>IF(OB7&gt;0,OB7,"")</f>
        <v/>
      </c>
      <c r="OO7" s="11" t="str">
        <f>IF(SUM(NZ7:OC7)-OD7&gt;0,SUM(NZ7:OC7)-OD7,"")</f>
        <v/>
      </c>
      <c r="OP7" s="11">
        <f>IF(OR(OK7&lt;&gt;"",OM7&lt;&gt;"",OO7&lt;&gt;""),OK7+MAX(OM7,OO7),"")</f>
        <v>102.8725</v>
      </c>
      <c r="OQ7" s="11">
        <f>IF(OG7&gt;0,OG7,"")</f>
        <v>14.3</v>
      </c>
      <c r="OR7" s="11">
        <f t="shared" si="0"/>
        <v>54.107500000000002</v>
      </c>
      <c r="OS7" s="11">
        <f t="shared" si="1"/>
        <v>156.98000000000002</v>
      </c>
    </row>
    <row r="8" spans="1:409" x14ac:dyDescent="0.2">
      <c r="A8" s="5" cm="1">
        <f t="array" ref="A8">IF(AND(G8&lt;&gt;"",H8&lt;&gt;""),SUMPRODUCT((G$4:G$19&lt;&gt;"")*(H$4:H$19&lt;&gt;"")*(E$4:E$19&gt;E8))+1,IF(H8&lt;&gt;"",SUMPRODUCT((I$4:I$19="No DD")*(E$4:E$19&gt;E8))+1+SUMPRODUCT((G$4:G$19&lt;&gt;"")*(H$4:H$19&lt;&gt;"")),""))</f>
        <v>5</v>
      </c>
      <c r="B8" s="127" t="s">
        <v>37</v>
      </c>
      <c r="C8" s="5" t="s">
        <v>3</v>
      </c>
      <c r="D8" s="5">
        <v>1998</v>
      </c>
      <c r="E8" s="15">
        <f>SUM(K8:S8)</f>
        <v>256.755</v>
      </c>
      <c r="F8" s="3" t="str">
        <f>IF(G8&lt;&gt;"","P","")</f>
        <v>P</v>
      </c>
      <c r="G8" s="125" t="str">
        <f>IF(OR(AND(AR8&gt;=AY$24,AR8&lt;&gt;"",AP8=""),AND(AT8&gt;=AY$24,AT8&lt;&gt;"",AP8=""),AND(AW8&gt;=AY$24,AW8&lt;&gt;"",AP8=""),AND(BV8&gt;=CC$24,BV8&lt;&gt;"",BT8=""),AND(BX8&gt;=CC$24,BX8&lt;&gt;"",BT8=""),AND(CA8&gt;=CC$24,CA8&lt;&gt;"",BT8=""),AND(CZ8&gt;=DG$24,CZ8&lt;&gt;"",CX8=""),AND(DB8&gt;=DG$24,DB8&lt;&gt;"",CX8=""),AND(DE8&gt;=DG$24,DE8&lt;&gt;"",CX8=""),AND(EA8&gt;=EG$24,EA8&lt;&gt;""),AND(EE8&gt;=EG$24,EE8&lt;&gt;""),AND(EW8&gt;=FC$24,EW8&lt;&gt;""),AND(FA8&gt;=FC$24,FA8&lt;&gt;""),AND(FS8&gt;=FY$24,FS8&lt;&gt;""),AND(FW8&gt;=FY$24,FW8&lt;&gt;""),AND(GO8&gt;=GU$24,GO8&lt;&gt;""),AND(GS8&gt;=GU$24,GS8&lt;&gt;""),AND(HK8&gt;=HQ$24,HK8&lt;&gt;""),AND(HO8&gt;=HQ$24,HO8&lt;&gt;""),AND(IG8&gt;=IM$24,IG8&lt;&gt;""),AND(IK8&gt;=IM$24,IK8&lt;&gt;""),AND(JC8&gt;=JI$24,JC8&lt;&gt;""),AND(JG8&gt;=JI$24,JG8&lt;&gt;""),AND(JY8&gt;=KE$24,JY8&lt;&gt;""),AND(KC8&gt;=KE$24,KC8&lt;&gt;""),AND(KU8&gt;=LA$24,KU8&lt;&gt;""),AND(KY8&gt;=LA$24,KY8&lt;&gt;""),AND(LQ8&gt;=LW$24,LQ8&lt;&gt;""),AND(LU8&gt;=LW$24,LU8&lt;&gt;""),AND(MM8&gt;=MS$24,MM8&lt;&gt;""),AND(MQ8&gt;=MS$24,MQ8&lt;&gt;""),AND(NI8&gt;=NO$24,NI8&lt;&gt;""),AND(NM8&gt;=NO$24,NM8&lt;&gt;"")),"Merit",IF(OR(AND(AR8&gt;=AY$23,AR8&lt;&gt;"",AP8=""),AND(AT8&gt;=AY$23,AT8&lt;&gt;"",AP8=""),AND(AW8&gt;=AY$23,AW8&lt;&gt;"",AP8=""),AND(BV8&gt;=CC$23,BV8&lt;&gt;"",BT8=""),AND(BX8&gt;=CC$23,BX8&lt;&gt;"",BT8=""),AND(CA8&gt;=CC$23,CA8&lt;&gt;"",BT8=""),AND(CZ8&gt;=DG$23,CZ8&lt;&gt;"",CX8=""),AND(DB8&gt;=DG$23,DB8&lt;&gt;"",CX8=""),AND(DE8&gt;=DG$23,DE8&lt;&gt;"",CX8=""),AND(EA8&gt;=EG$23,EA8&lt;&gt;""),AND(EE8&gt;=EG$23,EE8&lt;&gt;""),AND(EW8&gt;=FC$23,EW8&lt;&gt;""),AND(FA8&gt;=FC$23,FA8&lt;&gt;""),AND(FS8&gt;=FY$23,FS8&lt;&gt;""),AND(FW8&gt;=FY$23,FW8&lt;&gt;""),AND(GO8&gt;=GU$23,GO8&lt;&gt;""),AND(GS8&gt;=GU$23,GS8&lt;&gt;""),AND(HK8&gt;=HQ$23,HK8&lt;&gt;""),AND(HO8&gt;=HQ$23,HO8&lt;&gt;""),AND(IG8&gt;=IM$23,IG8&lt;&gt;""),AND(IK8&gt;=IM$23,IK8&lt;&gt;""),AND(JC8&gt;=JI$23,JC8&lt;&gt;""),AND(JG8&gt;=JI$23,JG8&lt;&gt;""),AND(JY8&gt;=KE$23,JY8&lt;&gt;""),AND(KC8&gt;=KE$23,KC8&lt;&gt;""),AND(KU8&gt;=LA$23,KU8&lt;&gt;""),AND(KY8&gt;=LA$23,KY8&lt;&gt;""),AND(LQ8&gt;=LW$23,LQ8&lt;&gt;""),AND(LU8&gt;=LW$23,LU8&lt;&gt;""),AND(MM8&gt;=MS$23,MM8&lt;&gt;""),AND(MQ8&gt;=MS$23,MQ8&lt;&gt;""),AND(NI8&gt;=NO$23,NI8&lt;&gt;""),AND(NM8&gt;=NO$23,NM8&lt;&gt;"")),"Excellence",IF(OR(AND(AR8&gt;=AY$22,AR8&lt;&gt;"",AP8=""),AND(AT8&gt;=AY$22,AT8&lt;&gt;"",AP8=""),AND(AW8&gt;=AY$22,AW8&lt;&gt;"",AP8=""),AND(BV8&gt;=CC$22,BV8&lt;&gt;"",BT8=""),AND(BX8&gt;=CC$22,BX8&lt;&gt;"",BT8=""),AND(CA8&gt;=CC$22,CA8&lt;&gt;"",BT8=""),AND(CZ8&gt;=DG$22,CZ8&lt;&gt;"",CX8=""),AND(DB8&gt;=DG$22,DB8&lt;&gt;"",CX8=""),AND(DE8&gt;=DG$22,DE8&lt;&gt;"",CX8=""),AND(EA8&gt;=EG$22,EA8&lt;&gt;""),AND(EE8&gt;=EG$22,EE8&lt;&gt;""),AND(EW8&gt;=FC$22,EW8&lt;&gt;""),AND(FA8&gt;=FC$22,FA8&lt;&gt;""),AND(FS8&gt;=FY$22,FS8&lt;&gt;""),AND(FW8&gt;=FY$22,FW8&lt;&gt;""),AND(GO8&gt;=GU$22,GO8&lt;&gt;""),AND(GS8&gt;=GU$22,GS8&lt;&gt;""),AND(HK8&gt;=HQ$22,HK8&lt;&gt;""),AND(HO8&gt;=HQ$22,HO8&lt;&gt;""),AND(IG8&gt;=IM$22,IG8&lt;&gt;""),AND(IK8&gt;=IM$22,IK8&lt;&gt;""),AND(JC8&gt;=JI$22,JC8&lt;&gt;""),AND(JG8&gt;=JI$22,JG8&lt;&gt;""),AND(JY8&gt;=KE$22,JY8&lt;&gt;""),AND(KC8&gt;=KE$22,KC8&lt;&gt;""),AND(KU8&gt;=LA$22,KU8&lt;&gt;""),AND(KY8&gt;=LA$22,KY8&lt;&gt;""),AND(LQ8&gt;=LW$22,LQ8&lt;&gt;""),AND(LU8&gt;=LW$22,LU8&lt;&gt;""),AND(MM8&gt;=MS$22,MM8&lt;&gt;""),AND(MQ8&gt;=MS$22,MQ8&lt;&gt;""),AND(NI8&gt;=NO$22,NI8&lt;&gt;""),AND(NM8&gt;=NO$22,NM8&lt;&gt;"")),"Worlds Team",IF(OR(AND(AR8&gt;=AY$21,AR8&lt;&gt;"",AP8=""),AND(AT8&gt;=AY$21,AT8&lt;&gt;"",AP8=""),AND(AW8&gt;=AY$21,AW8&lt;&gt;"",AP8=""),AND(BV8&gt;=CC$21,BV8&lt;&gt;"",BT8=""),AND(BX8&gt;=CC$21,BX8&lt;&gt;"",BT8=""),AND(CA8&gt;=CC$21,CA8&lt;&gt;"",BT8=""),AND(CZ8&gt;=DG$21,CZ8&lt;&gt;"",CX8=""),AND(DB8&gt;=DG$21,DB8&lt;&gt;"",CX8=""),AND(DE8&gt;=DG$21,DE8&lt;&gt;"",CX8=""),AND(EA8&gt;=EG$21,EA8&lt;&gt;""),AND(EE8&gt;=EG$21,EE8&lt;&gt;""),AND(EW8&gt;=FC$21,EW8&lt;&gt;""),AND(FA8&gt;=FC$21,FA8&lt;&gt;""),AND(FS8&gt;=FY$21,FS8&lt;&gt;""),AND(FW8&gt;=FY$21,FW8&lt;&gt;""),AND(GO8&gt;=GU$21,GO8&lt;&gt;""),AND(GS8&gt;=GU$21,GS8&lt;&gt;""),AND(HK8&gt;=HQ$21,HK8&lt;&gt;""),AND(HO8&gt;=HQ$21,HO8&lt;&gt;""),AND(IG8&gt;=IM$21,IG8&lt;&gt;""),AND(IK8&gt;=IM$21,IK8&lt;&gt;""),AND(JC8&gt;=JI$21,JC8&lt;&gt;""),AND(JG8&gt;=JI$21,JG8&lt;&gt;""),AND(JY8&gt;=KE$21,JY8&lt;&gt;""),AND(KC8&gt;=KE$21,KC8&lt;&gt;""),AND(KU8&gt;=LA$21,KU8&lt;&gt;""),AND(KY8&gt;=LA$21,KY8&lt;&gt;""),AND(LQ8&gt;=LW$21,LQ8&lt;&gt;""),AND(LU8&gt;=LW$21,LU8&lt;&gt;""),AND(MM8&gt;=MS$21,MM8&lt;&gt;""),AND(MQ8&gt;=MS$21,MQ8&lt;&gt;""),AND(NI8&gt;=NO$21,NI8&lt;&gt;""),AND(NM8&gt;=NO$21,NM8&lt;&gt;"")),"National Team",""))))</f>
        <v>Merit</v>
      </c>
      <c r="H8" s="125" t="str">
        <f>IF(OR(AND(AS8&gt;=AY$28,AS8&lt;&gt;"",AP8=""),AND(AU8&gt;=AY$28,AU8&lt;&gt;"",AP8=""),AND(AX8&gt;=AY$28,AX8&lt;&gt;"",AP8=""),AND(BW8&gt;=CC$28,BW8&lt;&gt;"",BT8=""),AND(BY8&gt;=CC$28,BY8&lt;&gt;"",BT8=""),AND(CB8&gt;=CC$28,CB8&lt;&gt;"",BT8=""),AND(DA8&gt;=DG$28,DA8&lt;&gt;"",CX8=""),AND(DC8&gt;=DG$28,DC8&lt;&gt;"",CX8=""),AND(DF8&gt;=DG$28,DF8&lt;&gt;"",CX8=""),AND(EC8&gt;=EG$28,EC8&lt;&gt;""),AND(EF8&gt;=EG$28,EF8&lt;&gt;""),AND(EY8&gt;=FC$28,EY8&lt;&gt;""),AND(FB8&gt;=FC$28,FB8&lt;&gt;""),AND(FU8&gt;=FY$28,FU8&lt;&gt;""),AND(FX8&gt;=FY$28,FX8&lt;&gt;""),AND(GQ8&gt;=GU$28,GQ8&lt;&gt;""),AND(GT8&gt;=GU$28,GT8&lt;&gt;""),AND(HM8&gt;=HQ$28,HM8&lt;&gt;""),AND(HP8&gt;=HQ$28,HP8&lt;&gt;""),AND(II8&gt;=IM$28,II8&lt;&gt;""),AND(IL8&gt;=IM$28,IL8&lt;&gt;""),AND(JE8&gt;=JI$28,JE8&lt;&gt;""),AND(JH8&gt;=JI$28,JH8&lt;&gt;""),AND(KA8&gt;=KE$28,KA8&lt;&gt;""),AND(KD8&gt;=KE$28,KD8&lt;&gt;""),AND(KW8&gt;=LA$28,KW8&lt;&gt;""),AND(KZ8&gt;=LA$28,KZ8&lt;&gt;""),AND(LS8&gt;=LW$28,LS8&lt;&gt;""),AND(LV8&gt;=LW$28,LV8&lt;&gt;""),AND(MO8&gt;=MS$28,MO8&lt;&gt;""),AND(MR8&gt;=MS$28,MR8&lt;&gt;""),AND(NK8&gt;=NO$28,NK8&lt;&gt;""),AND(NN8&gt;=NO$28,NN8&lt;&gt;"")),"Merit",IF(OR(AND(AS8&gt;=AY$27,AS8&lt;&gt;"",AP8=""),AND(AU8&gt;=AY$27,AU8&lt;&gt;"",AP8=""),AND(AX8&gt;=AY$27,AX8&lt;&gt;"",AP8=""),AND(BW8&gt;=CC$27,BW8&lt;&gt;"",BT8=""),AND(BY8&gt;=CC$27,BY8&lt;&gt;"",BT8=""),AND(CB8&gt;=CC$27,CB8&lt;&gt;"",BT8=""),AND(DA8&gt;=DG$27,DA8&lt;&gt;"",CX8=""),AND(DC8&gt;=DG$27,DC8&lt;&gt;"",CX8=""),AND(DF8&gt;=DG$27,DF8&lt;&gt;"",CX8=""),AND(EC8&gt;=EG$27,EC8&lt;&gt;""),AND(EF8&gt;=EG$27,EF8&lt;&gt;""),AND(EY8&gt;=FC$27,EY8&lt;&gt;""),AND(FB8&gt;=FC$27,FB8&lt;&gt;""),AND(FU8&gt;=FY$27,FU8&lt;&gt;""),AND(FX8&gt;=FY$27,FX8&lt;&gt;""),AND(GQ8&gt;=GU$27,GQ8&lt;&gt;""),AND(GT8&gt;=GU$27,GT8&lt;&gt;""),AND(HM8&gt;=HQ$27,HM8&lt;&gt;""),AND(HP8&gt;=HQ$27,HP8&lt;&gt;""),AND(II8&gt;=IM$27,II8&lt;&gt;""),AND(IL8&gt;=IM$27,IL8&lt;&gt;""),AND(JE8&gt;=JI$27,JE8&lt;&gt;""),AND(JH8&gt;=JI$27,JH8&lt;&gt;""),AND(KA8&gt;=KE$27,KA8&lt;&gt;""),AND(KD8&gt;=KE$27,KD8&lt;&gt;""),AND(KW8&gt;=LA$27,KW8&lt;&gt;""),AND(KZ8&gt;=LA$27,KZ8&lt;&gt;""),AND(LS8&gt;=LW$27,LS8&lt;&gt;""),AND(LV8&gt;=LW$27,LV8&lt;&gt;""),AND(MO8&gt;=MS$27,MO8&lt;&gt;""),AND(MR8&gt;=MS$27,MR8&lt;&gt;""),AND(NK8&gt;=NO$27,NK8&lt;&gt;""),AND(NN8&gt;=NO$27,NN8&lt;&gt;"")),"Excellence",IF(OR(AND(AV8&gt;=AY$26,AV8&lt;&gt;"",AP8=""),AND(BZ8&gt;=CC$26,BZ8&lt;&gt;"",BT8=""),AND(DD8&gt;=DG$26,DD8&lt;&gt;"",CX8=""),AND(ED8&gt;=EG$26,ED8&lt;&gt;""),AND(EZ8&gt;=FC$26,EZ8&lt;&gt;""),AND(FV8&gt;=FY$26,FV8&lt;&gt;""),AND(GR8&gt;=GU$26,GR8&lt;&gt;""),AND(HN8&gt;=HQ$26,HN8&lt;&gt;""),AND(IJ8&gt;=IM$26,IJ8&lt;&gt;""),AND(JF8&gt;=JI$26,JF8&lt;&gt;""),AND(KB8&gt;=KE$26,KB8&lt;&gt;""),AND(KX8&gt;=LA$26,KX8&lt;&gt;""),AND(LT8&gt;=LW$26,LT8&lt;&gt;""),AND(MP8&gt;=MS$26,MP8&lt;&gt;""),AND(NL8&gt;=NO$26,NL8&lt;&gt;"")),"Worlds Team",IF(OR(AND(AV8&gt;=AY$25,AV8&lt;&gt;"",AP8=""),AND(BZ8&gt;=CC$25,BZ8&lt;&gt;"",BT8=""),AND(DD8&gt;=DG$25,DD8&lt;&gt;"",CX8=""),AND(ED8&gt;=EG$25,ED8&lt;&gt;""),AND(EZ8&gt;=FC$25,EZ8&lt;&gt;""),AND(FV8&gt;=FY$25,FV8&lt;&gt;""),AND(GR8&gt;=GU$25,GR8&lt;&gt;""),AND(HN8&gt;=HQ$25,HN8&lt;&gt;""),AND(IJ8&gt;=IM$25,IJ8&lt;&gt;""),AND(JF8&gt;=JI$25,JF8&lt;&gt;""),AND(KB8&gt;=KE$25,KB8&lt;&gt;""),AND(KX8&gt;=LA$25,KX8&lt;&gt;""),AND(LT8&gt;=LW$25,LT8&lt;&gt;""),AND(MP8&gt;=MS$25,MP8&lt;&gt;""),AND(NL8&gt;=NO$25,NL8&lt;&gt;"")),"National Team",""))))</f>
        <v>Excellence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Excellence</v>
      </c>
      <c r="J8" s="3" t="str">
        <f>IF(AND(OR(AND(AV8&gt;=AY$26,AV8&lt;&gt;"",AP8=""),AND(BZ8&gt;=CC$26,BZ8&lt;&gt;"",BT8=""),AND(DD8&gt;=DG$26,DD8&lt;&gt;"",CX8=""),AND(ED8&gt;=EG$26,ED8&lt;&gt;""),AND(EZ8&gt;=FC$26,EZ8&lt;&gt;""),AND(FV8&gt;=FY$26,FV8&lt;&gt;""),AND(GR8&gt;=GU$26,GR8&lt;&gt;""),AND(HN8&gt;=HQ$26,HN8&lt;&gt;""),AND(IJ8&gt;=IM$26,IJ8&lt;&gt;""),AND(JF8&gt;=JI$26,JF8&lt;&gt;""),AND(KB8&gt;=KE$26,KB8&lt;&gt;""),AND(KX8&gt;=LA$26,KX8&lt;&gt;""),AND(LT8&gt;=LW$26,LT8&lt;&gt;""),AND(MP8&gt;=MS$26,MP8&lt;&gt;""),AND(NL8&gt;=NO$26,NL8&lt;&gt;"")),OR(G8="Worlds Team",G8="Excellence",G8="Merit")),"P","")</f>
        <v>P</v>
      </c>
      <c r="K8" s="14">
        <f>IF(MAX(AV8,BZ8,DD8)&gt;0,MAX(AV8,BZ8,DD8),0)</f>
        <v>102.06</v>
      </c>
      <c r="L8" s="14" t="str">
        <f>IF(K8=0,"",IF(K8=DD8,$CD$1,IF(K8=BZ8,$AZ$1,IF(K8=AV8,$V$1,""))))</f>
        <v>2019 Elite Canada</v>
      </c>
      <c r="M8" s="14">
        <f>IF($K8=$AV8,MAX(BU8,CY8),IF($K8=$BZ8,MAX(AQ8,CY8),IF($K8=$DD8,MAX(AQ8,BU8),MAX(AQ8,BU8,CY8))))</f>
        <v>47.432500000000005</v>
      </c>
      <c r="N8" s="14" t="str">
        <f>IF(M8=0,"",IF(AND(M8=CY8,$L8&lt;&gt;$CD$1),$CD$1,IF(AND(M8=BU8,$L8&lt;&gt;$AZ$1),$AZ$1,IF(AND(M8=AQ8,$L8&lt;&gt;$V$1),$V$1,""))))</f>
        <v>2021 1st Virtual Technical Trial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53.7425</v>
      </c>
      <c r="P8" s="14" t="str">
        <f>IF(O8=0,"",IF(OR(O8=DC8,O8=DA8),$CD$1,IF(OR(O8=BY8,O8=BW8),$AZ$1,IF(OR(O8=AU8,O8=AS8),$V$1,""))))</f>
        <v>2021 1st Virtual Technical Trial</v>
      </c>
      <c r="Q8" s="14">
        <f>MAX(AX8,CB8,DF8)</f>
        <v>53.52</v>
      </c>
      <c r="R8" s="14" t="str">
        <f>IF(Q8=0,"",IF(Q8=DF8,$CD$1,IF(Q8=CB8,$AZ$1,IF(Q8=AX8,$V$1,""))))</f>
        <v>2019 Elite Canada</v>
      </c>
      <c r="S8" s="14" t="str">
        <f>IF(MAX(DH8,DI8,DJ8,DK8)&gt;0,MAX(DH8,DI8,DJ8,DK8),"")</f>
        <v/>
      </c>
      <c r="T8" s="25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9">
        <v>16.8</v>
      </c>
      <c r="W8" s="69">
        <v>9.1</v>
      </c>
      <c r="X8" s="69">
        <v>6.2</v>
      </c>
      <c r="Y8" s="69">
        <v>15.445</v>
      </c>
      <c r="Z8" s="69">
        <v>0</v>
      </c>
      <c r="AA8" s="69">
        <v>16.100000000000001</v>
      </c>
      <c r="AB8" s="69">
        <v>9.4499999999999993</v>
      </c>
      <c r="AC8" s="69">
        <v>13.8</v>
      </c>
      <c r="AD8" s="69">
        <v>15.164999999999999</v>
      </c>
      <c r="AE8" s="69">
        <v>0</v>
      </c>
      <c r="AF8" s="69"/>
      <c r="AG8" s="69"/>
      <c r="AH8" s="69"/>
      <c r="AI8" s="69"/>
      <c r="AJ8" s="69"/>
      <c r="AK8" s="69">
        <v>16.100000000000001</v>
      </c>
      <c r="AL8" s="69">
        <v>8.6999999999999993</v>
      </c>
      <c r="AM8" s="69">
        <v>13.8</v>
      </c>
      <c r="AN8" s="69">
        <v>14.92</v>
      </c>
      <c r="AO8" s="69">
        <v>0</v>
      </c>
      <c r="AP8" s="80"/>
      <c r="AQ8" s="11">
        <f>IF(SUM(V8:Y8)-Z8&gt;0,SUM(V8:Y8)-Z8,"")</f>
        <v>47.545000000000002</v>
      </c>
      <c r="AR8" s="11">
        <f>IF(AC8&gt;0,AC8,"")</f>
        <v>13.8</v>
      </c>
      <c r="AS8" s="11">
        <f>IF(SUM(AA8:AD8)-AE8&gt;0,SUM(AA8:AD8)-AE8,"")</f>
        <v>54.515000000000001</v>
      </c>
      <c r="AT8" s="11" t="str">
        <f>IF(AH8&gt;0,AH8,"")</f>
        <v/>
      </c>
      <c r="AU8" s="11" t="str">
        <f>IF(SUM(AF8:AI8)-AJ8&gt;0,SUM(AF8:AI8)-AJ8,"")</f>
        <v/>
      </c>
      <c r="AV8" s="11">
        <f>IF(OR(AQ8&lt;&gt;"",AS8&lt;&gt;"",AU8&lt;&gt;""),AQ8+MAX(AS8,AU8),"")</f>
        <v>102.06</v>
      </c>
      <c r="AW8" s="11">
        <f>IF(AM8&gt;0,AM8,"")</f>
        <v>13.8</v>
      </c>
      <c r="AX8" s="11">
        <f>IF(SUM(AK8:AN8)-AO8&gt;0,SUM(AK8:AN8)-AO8,"")</f>
        <v>53.52</v>
      </c>
      <c r="AY8" s="11">
        <f>IF(SUM(AV8,AX8)&gt;0,SUM(AV8,AX8),"")</f>
        <v>155.58000000000001</v>
      </c>
      <c r="AZ8" s="75">
        <v>18.100000000000001</v>
      </c>
      <c r="BA8" s="75">
        <v>9.3000000000000007</v>
      </c>
      <c r="BB8" s="75">
        <v>4.2</v>
      </c>
      <c r="BC8" s="75">
        <v>15.72</v>
      </c>
      <c r="BD8" s="75">
        <v>0</v>
      </c>
      <c r="BE8" s="75">
        <v>16.399999999999999</v>
      </c>
      <c r="BF8" s="75">
        <v>9</v>
      </c>
      <c r="BG8" s="75">
        <v>13.1</v>
      </c>
      <c r="BH8" s="75">
        <v>14.67</v>
      </c>
      <c r="BI8" s="75">
        <v>0.2</v>
      </c>
      <c r="BJ8" s="75"/>
      <c r="BK8" s="75"/>
      <c r="BL8" s="75"/>
      <c r="BM8" s="75"/>
      <c r="BN8" s="75"/>
      <c r="BO8" s="75">
        <v>15</v>
      </c>
      <c r="BP8" s="75">
        <v>8.9</v>
      </c>
      <c r="BQ8" s="75">
        <v>13.8</v>
      </c>
      <c r="BR8" s="75">
        <v>14.805</v>
      </c>
      <c r="BS8" s="75"/>
      <c r="BT8" s="81"/>
      <c r="BU8" s="14">
        <f>IF(SUM(AZ8:BC8)-BD8&gt;0,SUM(AZ8:BC8)-BD8,"")</f>
        <v>47.32</v>
      </c>
      <c r="BV8" s="14">
        <f>IF(BG8&gt;0,BG8,"")</f>
        <v>13.1</v>
      </c>
      <c r="BW8" s="14">
        <f>IF(SUM(BE8:BH8)-BI8&gt;0,SUM(BE8:BH8)-BI8,"")</f>
        <v>52.97</v>
      </c>
      <c r="BX8" s="14" t="str">
        <f>IF(BL8&gt;0,BL8,"")</f>
        <v/>
      </c>
      <c r="BY8" s="14" t="str">
        <f>IF(SUM(BJ8:BM8)-BN8&gt;0,SUM(BJ8:BM8)-BN8,"")</f>
        <v/>
      </c>
      <c r="BZ8" s="14">
        <f>IF(BU8="",IF(MAX(BW8,BY8)&gt;0,MAX(BW8,BY8),""),MAX(BW8,BY8)+BU8)</f>
        <v>100.28999999999999</v>
      </c>
      <c r="CA8" s="14">
        <f>IF(BQ8&gt;0,BQ8,"")</f>
        <v>13.8</v>
      </c>
      <c r="CB8" s="14">
        <f>IF(SUM(BO8:BR8)-BS8&gt;0,SUM(BO8:BR8)-BS8,"")</f>
        <v>52.505000000000003</v>
      </c>
      <c r="CC8" s="14">
        <f>IF(SUM(BZ8,CB8)&gt;0,SUM(BZ8,CB8),"")</f>
        <v>152.79499999999999</v>
      </c>
      <c r="CD8" s="69">
        <v>17.450000000000003</v>
      </c>
      <c r="CE8" s="69">
        <v>9.1999999999999993</v>
      </c>
      <c r="CF8" s="69">
        <v>5.2</v>
      </c>
      <c r="CG8" s="69">
        <v>15.5825</v>
      </c>
      <c r="CH8" s="69">
        <v>0</v>
      </c>
      <c r="CI8" s="69">
        <v>16.25</v>
      </c>
      <c r="CJ8" s="69">
        <v>9.2249999999999996</v>
      </c>
      <c r="CK8" s="69">
        <v>13.45</v>
      </c>
      <c r="CL8" s="69">
        <v>14.9175</v>
      </c>
      <c r="CM8" s="69">
        <v>0.1</v>
      </c>
      <c r="CN8" s="69"/>
      <c r="CO8" s="69"/>
      <c r="CP8" s="69"/>
      <c r="CQ8" s="69"/>
      <c r="CR8" s="69"/>
      <c r="CS8" s="69">
        <v>15.55</v>
      </c>
      <c r="CT8" s="69">
        <v>8.8000000000000007</v>
      </c>
      <c r="CU8" s="69">
        <v>14.3025</v>
      </c>
      <c r="CV8" s="69">
        <v>14.36</v>
      </c>
      <c r="CW8" s="69">
        <v>0</v>
      </c>
      <c r="CX8" s="80" t="s">
        <v>91</v>
      </c>
      <c r="CY8" s="11">
        <f>IF(SUM(CD8:CG8)-CH8&gt;0,SUM(CD8:CG8)-CH8,"")</f>
        <v>47.432500000000005</v>
      </c>
      <c r="CZ8" s="11">
        <f>IF(CK8&gt;0,CK8,"")</f>
        <v>13.45</v>
      </c>
      <c r="DA8" s="11">
        <f>IF(SUM(CI8:CL8)-CM8&gt;0,SUM(CI8:CL8)-CM8,"")</f>
        <v>53.7425</v>
      </c>
      <c r="DB8" s="11" t="str">
        <f>IF(CP8&gt;0,CP8,"")</f>
        <v/>
      </c>
      <c r="DC8" s="11" t="str">
        <f>IF(SUM(CN8:CQ8)-CR8&gt;0,SUM(CN8:CQ8)-CR8,"")</f>
        <v/>
      </c>
      <c r="DD8" s="11">
        <f>IF(CY8="",IF(MAX(DA8,DC8)&gt;0,MAX(DA8,DC8),""),MAX(DA8,DC8)+CY8)</f>
        <v>101.17500000000001</v>
      </c>
      <c r="DE8" s="11">
        <f>IF(CU8&gt;0,CU8,"")</f>
        <v>14.3025</v>
      </c>
      <c r="DF8" s="11">
        <f>IF(SUM(CS8:CV8)-CW8&gt;0,SUM(CS8:CV8)-CW8,"")</f>
        <v>53.012500000000003</v>
      </c>
      <c r="DG8" s="11">
        <f>IF(SUM(DD8,DF8)&gt;0,SUM(DD8,DF8),"")</f>
        <v>154.1875</v>
      </c>
      <c r="DH8" s="24" t="str">
        <f>IF(MAX(EB8,EX8,FT8,GP8,HL8,IH8,JD8,JZ8,KV8,LR8,MN8,NJ8)-IF(M8="",0,M8)&gt;0.001,MAX(EB8,EX8,FT8,GP8,HL8,IH8,JD8,JZ8,KV8,LR8,MN8,NJ8)-IF(M8="",0,M8),"")</f>
        <v/>
      </c>
      <c r="DI8" s="24" t="str">
        <f>IF(MAX(EC8,EY8,FU8,GQ8,HM8,II8,JE8,KA8,KW8,LS8,MO8,NK8)-IF(O8="",0,O8)&gt;0.001,MAX(EC8,EY8,FU8,GQ8,HM8,II8,JE8,KA8,KW8,LS8,MO8,NK8)-IF(O8="",0,O8),"")</f>
        <v/>
      </c>
      <c r="DJ8" s="24" t="str">
        <f>IF(MAX(ED8,EZ8,FV8,GR8,HN8,IJ8,JF8,KB8,KX8,LT8,MP8,NL8)-IF(K8="",0,K8)&gt;0.001,MAX(ED8,EZ8,FV8,GR8,HN8,IJ8,JF8,KB8,KX8,LT8,MP8,NL8)-IF(K8="",0,K8),"")</f>
        <v/>
      </c>
      <c r="DK8" s="24" t="str">
        <f>IF(MAX(EF8,FB8,FX8,GT8,HP8,IL8,JH8,KD8,KZ8,LV8,MR8,NN8)-IF(Q8="",0,Q8)&gt;0.001,MAX(EF8,FB8,FX8,GT8,HP8,IL8,JH8,KD8,KZ8,LV8,MR8,NN8)-IF(Q8="",0,Q8),"")</f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>
        <v>17.399999999999999</v>
      </c>
      <c r="GW8" s="37">
        <v>9.1999999999999993</v>
      </c>
      <c r="GX8" s="37">
        <v>2.7</v>
      </c>
      <c r="GY8" s="37">
        <v>15.355</v>
      </c>
      <c r="GZ8" s="37">
        <v>0</v>
      </c>
      <c r="HA8" s="37">
        <v>15.6</v>
      </c>
      <c r="HB8" s="37">
        <v>9.3000000000000007</v>
      </c>
      <c r="HC8" s="37">
        <v>13.6</v>
      </c>
      <c r="HD8" s="37">
        <v>14.365</v>
      </c>
      <c r="HE8" s="37">
        <v>0</v>
      </c>
      <c r="HF8" s="37">
        <v>9.4</v>
      </c>
      <c r="HG8" s="37">
        <v>5.8</v>
      </c>
      <c r="HH8" s="37">
        <v>8.4</v>
      </c>
      <c r="HI8" s="37">
        <v>8.94</v>
      </c>
      <c r="HJ8" s="37">
        <v>0</v>
      </c>
      <c r="HK8" s="11">
        <f>IF(HC8&gt;0,HC8,"")</f>
        <v>13.6</v>
      </c>
      <c r="HL8" s="11">
        <f>IF(SUM(GV8:GY8)-GZ8&gt;0,SUM(GV8:GY8)-GZ8,"")</f>
        <v>44.655000000000001</v>
      </c>
      <c r="HM8" s="11">
        <f>IF(SUM(HA8:HD8)-HE8&gt;0,SUM(HA8:HD8)-HE8,"")</f>
        <v>52.865000000000002</v>
      </c>
      <c r="HN8" s="11">
        <f>IF(SUM(HL8:HM8)&gt;0,SUM(HL8:HM8),"")</f>
        <v>97.52000000000001</v>
      </c>
      <c r="HO8" s="11">
        <f>IF(HH8&gt;0,HH8,"")</f>
        <v>8.4</v>
      </c>
      <c r="HP8" s="11">
        <f>IF(SUM(HF8:HI8)-HJ8&gt;0,SUM(HF8:HI8)-HJ8,"")</f>
        <v>32.54</v>
      </c>
      <c r="HQ8" s="11">
        <f>IF(SUM(HN8,HP8)&gt;0,SUM(HN8,HP8),"")</f>
        <v>130.06</v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17.450000000000003</v>
      </c>
      <c r="NQ8" s="69">
        <f>IF($CX8="P",CE8,(CE8+BA8)/2)</f>
        <v>9.1999999999999993</v>
      </c>
      <c r="NR8" s="69">
        <f>IF($CX8="P",CF8,(CF8+BB8)/2)</f>
        <v>5.2</v>
      </c>
      <c r="NS8" s="69">
        <f>IF($CX8="P",CG8,(CG8+BC8)/2)</f>
        <v>15.5825</v>
      </c>
      <c r="NT8" s="69">
        <f>IF($CX8="P",CH8,(CH8+BD8)/2)</f>
        <v>0</v>
      </c>
      <c r="NU8" s="69">
        <f>IF($CX8="P",CI8,(CI8+BE8)/2)</f>
        <v>16.25</v>
      </c>
      <c r="NV8" s="69">
        <f>IF($CX8="P",CJ8,(CJ8+BF8)/2)</f>
        <v>9.2249999999999996</v>
      </c>
      <c r="NW8" s="69">
        <f>IF($CX8="P",CK8,(CK8+BG8)/2)</f>
        <v>13.45</v>
      </c>
      <c r="NX8" s="69">
        <f>IF($CX8="P",CL8,(CL8+BH8)/2)</f>
        <v>14.9175</v>
      </c>
      <c r="NY8" s="69">
        <f>IF($CX8="P",CM8,(CM8+BI8)/2)</f>
        <v>0.1</v>
      </c>
      <c r="NZ8" s="69">
        <f>IF($CX8="P",CN8,(CN8+BJ8)/2)</f>
        <v>0</v>
      </c>
      <c r="OA8" s="69">
        <f>IF($CX8="P",CO8,(CO8+BK8)/2)</f>
        <v>0</v>
      </c>
      <c r="OB8" s="69">
        <f>IF($CX8="P",CP8,(CP8+BL8)/2)</f>
        <v>0</v>
      </c>
      <c r="OC8" s="69">
        <f>IF($CX8="P",CQ8,(CQ8+BM8)/2)</f>
        <v>0</v>
      </c>
      <c r="OD8" s="69">
        <f>IF($CX8="P",CR8,(CR8+BN8)/2)</f>
        <v>0</v>
      </c>
      <c r="OE8" s="69">
        <f>IF($CX8="P",CS8,(CS8+BO8)/2)</f>
        <v>15.55</v>
      </c>
      <c r="OF8" s="69">
        <f>IF($CX8="P",CT8,(CT8+BP8)/2)</f>
        <v>8.8000000000000007</v>
      </c>
      <c r="OG8" s="69">
        <f>IF($CX8="P",CU8,(CU8+BQ8)/2)</f>
        <v>14.3025</v>
      </c>
      <c r="OH8" s="69">
        <f>IF($CX8="P",CV8,(CV8+BR8)/2)</f>
        <v>14.36</v>
      </c>
      <c r="OI8" s="69">
        <f>IF($CX8="P",CW8,(CW8+BS8)/2)</f>
        <v>0</v>
      </c>
      <c r="OJ8" s="80" t="s">
        <v>91</v>
      </c>
      <c r="OK8" s="11">
        <f>IF(SUM(NP8:NS8)-NT8&gt;0,SUM(NP8:NS8)-NT8,"")</f>
        <v>47.432500000000005</v>
      </c>
      <c r="OL8" s="11">
        <f>IF(NW8&gt;0,NW8,"")</f>
        <v>13.45</v>
      </c>
      <c r="OM8" s="11">
        <f>IF(SUM(NU8:NX8)-NY8&gt;0,SUM(NU8:NX8)-NY8,"")</f>
        <v>53.7425</v>
      </c>
      <c r="ON8" s="11" t="str">
        <f>IF(OB8&gt;0,OB8,"")</f>
        <v/>
      </c>
      <c r="OO8" s="11" t="str">
        <f>IF(SUM(NZ8:OC8)-OD8&gt;0,SUM(NZ8:OC8)-OD8,"")</f>
        <v/>
      </c>
      <c r="OP8" s="11">
        <f>IF(OR(OK8&lt;&gt;"",OM8&lt;&gt;"",OO8&lt;&gt;""),OK8+MAX(OM8,OO8),"")</f>
        <v>101.17500000000001</v>
      </c>
      <c r="OQ8" s="11">
        <f>IF(OG8&gt;0,OG8,"")</f>
        <v>14.3025</v>
      </c>
      <c r="OR8" s="11">
        <f t="shared" si="0"/>
        <v>53.012500000000003</v>
      </c>
      <c r="OS8" s="11">
        <f t="shared" si="1"/>
        <v>154.1875</v>
      </c>
    </row>
    <row r="9" spans="1:409" x14ac:dyDescent="0.2">
      <c r="A9" s="5" cm="1">
        <f t="array" ref="A9">IF(AND(G9&lt;&gt;"",H9&lt;&gt;""),SUMPRODUCT((G$4:G$19&lt;&gt;"")*(H$4:H$19&lt;&gt;"")*(E$4:E$19&gt;E9))+1,IF(H9&lt;&gt;"",SUMPRODUCT((I$4:I$19="No DD")*(E$4:E$19&gt;E9))+1+SUMPRODUCT((G$4:G$19&lt;&gt;"")*(H$4:H$19&lt;&gt;"")),""))</f>
        <v>6</v>
      </c>
      <c r="B9" s="127" t="s">
        <v>130</v>
      </c>
      <c r="C9" s="5" t="s">
        <v>3</v>
      </c>
      <c r="D9" s="5">
        <v>1993</v>
      </c>
      <c r="E9" s="15">
        <f>SUM(K9:S9)</f>
        <v>249.98000000000002</v>
      </c>
      <c r="F9" s="3" t="str">
        <f>IF(G9&lt;&gt;"","P","")</f>
        <v>P</v>
      </c>
      <c r="G9" s="125" t="str">
        <f>IF(OR(AND(AR9&gt;=AY$24,AR9&lt;&gt;"",AP9=""),AND(AT9&gt;=AY$24,AT9&lt;&gt;"",AP9=""),AND(AW9&gt;=AY$24,AW9&lt;&gt;"",AP9=""),AND(BV9&gt;=CC$24,BV9&lt;&gt;"",BT9=""),AND(BX9&gt;=CC$24,BX9&lt;&gt;"",BT9=""),AND(CA9&gt;=CC$24,CA9&lt;&gt;"",BT9=""),AND(CZ9&gt;=DG$24,CZ9&lt;&gt;"",CX9=""),AND(DB9&gt;=DG$24,DB9&lt;&gt;"",CX9=""),AND(DE9&gt;=DG$24,DE9&lt;&gt;"",CX9=""),AND(EA9&gt;=EG$24,EA9&lt;&gt;""),AND(EE9&gt;=EG$24,EE9&lt;&gt;""),AND(EW9&gt;=FC$24,EW9&lt;&gt;""),AND(FA9&gt;=FC$24,FA9&lt;&gt;""),AND(FS9&gt;=FY$24,FS9&lt;&gt;""),AND(FW9&gt;=FY$24,FW9&lt;&gt;""),AND(GO9&gt;=GU$24,GO9&lt;&gt;""),AND(GS9&gt;=GU$24,GS9&lt;&gt;""),AND(HK9&gt;=HQ$24,HK9&lt;&gt;""),AND(HO9&gt;=HQ$24,HO9&lt;&gt;""),AND(IG9&gt;=IM$24,IG9&lt;&gt;""),AND(IK9&gt;=IM$24,IK9&lt;&gt;""),AND(JC9&gt;=JI$24,JC9&lt;&gt;""),AND(JG9&gt;=JI$24,JG9&lt;&gt;""),AND(JY9&gt;=KE$24,JY9&lt;&gt;""),AND(KC9&gt;=KE$24,KC9&lt;&gt;""),AND(KU9&gt;=LA$24,KU9&lt;&gt;""),AND(KY9&gt;=LA$24,KY9&lt;&gt;""),AND(LQ9&gt;=LW$24,LQ9&lt;&gt;""),AND(LU9&gt;=LW$24,LU9&lt;&gt;""),AND(MM9&gt;=MS$24,MM9&lt;&gt;""),AND(MQ9&gt;=MS$24,MQ9&lt;&gt;""),AND(NI9&gt;=NO$24,NI9&lt;&gt;""),AND(NM9&gt;=NO$24,NM9&lt;&gt;"")),"Merit",IF(OR(AND(AR9&gt;=AY$23,AR9&lt;&gt;"",AP9=""),AND(AT9&gt;=AY$23,AT9&lt;&gt;"",AP9=""),AND(AW9&gt;=AY$23,AW9&lt;&gt;"",AP9=""),AND(BV9&gt;=CC$23,BV9&lt;&gt;"",BT9=""),AND(BX9&gt;=CC$23,BX9&lt;&gt;"",BT9=""),AND(CA9&gt;=CC$23,CA9&lt;&gt;"",BT9=""),AND(CZ9&gt;=DG$23,CZ9&lt;&gt;"",CX9=""),AND(DB9&gt;=DG$23,DB9&lt;&gt;"",CX9=""),AND(DE9&gt;=DG$23,DE9&lt;&gt;"",CX9=""),AND(EA9&gt;=EG$23,EA9&lt;&gt;""),AND(EE9&gt;=EG$23,EE9&lt;&gt;""),AND(EW9&gt;=FC$23,EW9&lt;&gt;""),AND(FA9&gt;=FC$23,FA9&lt;&gt;""),AND(FS9&gt;=FY$23,FS9&lt;&gt;""),AND(FW9&gt;=FY$23,FW9&lt;&gt;""),AND(GO9&gt;=GU$23,GO9&lt;&gt;""),AND(GS9&gt;=GU$23,GS9&lt;&gt;""),AND(HK9&gt;=HQ$23,HK9&lt;&gt;""),AND(HO9&gt;=HQ$23,HO9&lt;&gt;""),AND(IG9&gt;=IM$23,IG9&lt;&gt;""),AND(IK9&gt;=IM$23,IK9&lt;&gt;""),AND(JC9&gt;=JI$23,JC9&lt;&gt;""),AND(JG9&gt;=JI$23,JG9&lt;&gt;""),AND(JY9&gt;=KE$23,JY9&lt;&gt;""),AND(KC9&gt;=KE$23,KC9&lt;&gt;""),AND(KU9&gt;=LA$23,KU9&lt;&gt;""),AND(KY9&gt;=LA$23,KY9&lt;&gt;""),AND(LQ9&gt;=LW$23,LQ9&lt;&gt;""),AND(LU9&gt;=LW$23,LU9&lt;&gt;""),AND(MM9&gt;=MS$23,MM9&lt;&gt;""),AND(MQ9&gt;=MS$23,MQ9&lt;&gt;""),AND(NI9&gt;=NO$23,NI9&lt;&gt;""),AND(NM9&gt;=NO$23,NM9&lt;&gt;"")),"Excellence",IF(OR(AND(AR9&gt;=AY$22,AR9&lt;&gt;"",AP9=""),AND(AT9&gt;=AY$22,AT9&lt;&gt;"",AP9=""),AND(AW9&gt;=AY$22,AW9&lt;&gt;"",AP9=""),AND(BV9&gt;=CC$22,BV9&lt;&gt;"",BT9=""),AND(BX9&gt;=CC$22,BX9&lt;&gt;"",BT9=""),AND(CA9&gt;=CC$22,CA9&lt;&gt;"",BT9=""),AND(CZ9&gt;=DG$22,CZ9&lt;&gt;"",CX9=""),AND(DB9&gt;=DG$22,DB9&lt;&gt;"",CX9=""),AND(DE9&gt;=DG$22,DE9&lt;&gt;"",CX9=""),AND(EA9&gt;=EG$22,EA9&lt;&gt;""),AND(EE9&gt;=EG$22,EE9&lt;&gt;""),AND(EW9&gt;=FC$22,EW9&lt;&gt;""),AND(FA9&gt;=FC$22,FA9&lt;&gt;""),AND(FS9&gt;=FY$22,FS9&lt;&gt;""),AND(FW9&gt;=FY$22,FW9&lt;&gt;""),AND(GO9&gt;=GU$22,GO9&lt;&gt;""),AND(GS9&gt;=GU$22,GS9&lt;&gt;""),AND(HK9&gt;=HQ$22,HK9&lt;&gt;""),AND(HO9&gt;=HQ$22,HO9&lt;&gt;""),AND(IG9&gt;=IM$22,IG9&lt;&gt;""),AND(IK9&gt;=IM$22,IK9&lt;&gt;""),AND(JC9&gt;=JI$22,JC9&lt;&gt;""),AND(JG9&gt;=JI$22,JG9&lt;&gt;""),AND(JY9&gt;=KE$22,JY9&lt;&gt;""),AND(KC9&gt;=KE$22,KC9&lt;&gt;""),AND(KU9&gt;=LA$22,KU9&lt;&gt;""),AND(KY9&gt;=LA$22,KY9&lt;&gt;""),AND(LQ9&gt;=LW$22,LQ9&lt;&gt;""),AND(LU9&gt;=LW$22,LU9&lt;&gt;""),AND(MM9&gt;=MS$22,MM9&lt;&gt;""),AND(MQ9&gt;=MS$22,MQ9&lt;&gt;""),AND(NI9&gt;=NO$22,NI9&lt;&gt;""),AND(NM9&gt;=NO$22,NM9&lt;&gt;"")),"Worlds Team",IF(OR(AND(AR9&gt;=AY$21,AR9&lt;&gt;"",AP9=""),AND(AT9&gt;=AY$21,AT9&lt;&gt;"",AP9=""),AND(AW9&gt;=AY$21,AW9&lt;&gt;"",AP9=""),AND(BV9&gt;=CC$21,BV9&lt;&gt;"",BT9=""),AND(BX9&gt;=CC$21,BX9&lt;&gt;"",BT9=""),AND(CA9&gt;=CC$21,CA9&lt;&gt;"",BT9=""),AND(CZ9&gt;=DG$21,CZ9&lt;&gt;"",CX9=""),AND(DB9&gt;=DG$21,DB9&lt;&gt;"",CX9=""),AND(DE9&gt;=DG$21,DE9&lt;&gt;"",CX9=""),AND(EA9&gt;=EG$21,EA9&lt;&gt;""),AND(EE9&gt;=EG$21,EE9&lt;&gt;""),AND(EW9&gt;=FC$21,EW9&lt;&gt;""),AND(FA9&gt;=FC$21,FA9&lt;&gt;""),AND(FS9&gt;=FY$21,FS9&lt;&gt;""),AND(FW9&gt;=FY$21,FW9&lt;&gt;""),AND(GO9&gt;=GU$21,GO9&lt;&gt;""),AND(GS9&gt;=GU$21,GS9&lt;&gt;""),AND(HK9&gt;=HQ$21,HK9&lt;&gt;""),AND(HO9&gt;=HQ$21,HO9&lt;&gt;""),AND(IG9&gt;=IM$21,IG9&lt;&gt;""),AND(IK9&gt;=IM$21,IK9&lt;&gt;""),AND(JC9&gt;=JI$21,JC9&lt;&gt;""),AND(JG9&gt;=JI$21,JG9&lt;&gt;""),AND(JY9&gt;=KE$21,JY9&lt;&gt;""),AND(KC9&gt;=KE$21,KC9&lt;&gt;""),AND(KU9&gt;=LA$21,KU9&lt;&gt;""),AND(KY9&gt;=LA$21,KY9&lt;&gt;""),AND(LQ9&gt;=LW$21,LQ9&lt;&gt;""),AND(LU9&gt;=LW$21,LU9&lt;&gt;""),AND(MM9&gt;=MS$21,MM9&lt;&gt;""),AND(MQ9&gt;=MS$21,MQ9&lt;&gt;""),AND(NI9&gt;=NO$21,NI9&lt;&gt;""),AND(NM9&gt;=NO$21,NM9&lt;&gt;"")),"National Team",""))))</f>
        <v>Merit</v>
      </c>
      <c r="H9" s="125" t="str">
        <f>IF(OR(AND(AS9&gt;=AY$28,AS9&lt;&gt;"",AP9=""),AND(AU9&gt;=AY$28,AU9&lt;&gt;"",AP9=""),AND(AX9&gt;=AY$28,AX9&lt;&gt;"",AP9=""),AND(BW9&gt;=CC$28,BW9&lt;&gt;"",BT9=""),AND(BY9&gt;=CC$28,BY9&lt;&gt;"",BT9=""),AND(CB9&gt;=CC$28,CB9&lt;&gt;"",BT9=""),AND(DA9&gt;=DG$28,DA9&lt;&gt;"",CX9=""),AND(DC9&gt;=DG$28,DC9&lt;&gt;"",CX9=""),AND(DF9&gt;=DG$28,DF9&lt;&gt;"",CX9=""),AND(EC9&gt;=EG$28,EC9&lt;&gt;""),AND(EF9&gt;=EG$28,EF9&lt;&gt;""),AND(EY9&gt;=FC$28,EY9&lt;&gt;""),AND(FB9&gt;=FC$28,FB9&lt;&gt;""),AND(FU9&gt;=FY$28,FU9&lt;&gt;""),AND(FX9&gt;=FY$28,FX9&lt;&gt;""),AND(GQ9&gt;=GU$28,GQ9&lt;&gt;""),AND(GT9&gt;=GU$28,GT9&lt;&gt;""),AND(HM9&gt;=HQ$28,HM9&lt;&gt;""),AND(HP9&gt;=HQ$28,HP9&lt;&gt;""),AND(II9&gt;=IM$28,II9&lt;&gt;""),AND(IL9&gt;=IM$28,IL9&lt;&gt;""),AND(JE9&gt;=JI$28,JE9&lt;&gt;""),AND(JH9&gt;=JI$28,JH9&lt;&gt;""),AND(KA9&gt;=KE$28,KA9&lt;&gt;""),AND(KD9&gt;=KE$28,KD9&lt;&gt;""),AND(KW9&gt;=LA$28,KW9&lt;&gt;""),AND(KZ9&gt;=LA$28,KZ9&lt;&gt;""),AND(LS9&gt;=LW$28,LS9&lt;&gt;""),AND(LV9&gt;=LW$28,LV9&lt;&gt;""),AND(MO9&gt;=MS$28,MO9&lt;&gt;""),AND(MR9&gt;=MS$28,MR9&lt;&gt;""),AND(NK9&gt;=NO$28,NK9&lt;&gt;""),AND(NN9&gt;=NO$28,NN9&lt;&gt;"")),"Merit",IF(OR(AND(AS9&gt;=AY$27,AS9&lt;&gt;"",AP9=""),AND(AU9&gt;=AY$27,AU9&lt;&gt;"",AP9=""),AND(AX9&gt;=AY$27,AX9&lt;&gt;"",AP9=""),AND(BW9&gt;=CC$27,BW9&lt;&gt;"",BT9=""),AND(BY9&gt;=CC$27,BY9&lt;&gt;"",BT9=""),AND(CB9&gt;=CC$27,CB9&lt;&gt;"",BT9=""),AND(DA9&gt;=DG$27,DA9&lt;&gt;"",CX9=""),AND(DC9&gt;=DG$27,DC9&lt;&gt;"",CX9=""),AND(DF9&gt;=DG$27,DF9&lt;&gt;"",CX9=""),AND(EC9&gt;=EG$27,EC9&lt;&gt;""),AND(EF9&gt;=EG$27,EF9&lt;&gt;""),AND(EY9&gt;=FC$27,EY9&lt;&gt;""),AND(FB9&gt;=FC$27,FB9&lt;&gt;""),AND(FU9&gt;=FY$27,FU9&lt;&gt;""),AND(FX9&gt;=FY$27,FX9&lt;&gt;""),AND(GQ9&gt;=GU$27,GQ9&lt;&gt;""),AND(GT9&gt;=GU$27,GT9&lt;&gt;""),AND(HM9&gt;=HQ$27,HM9&lt;&gt;""),AND(HP9&gt;=HQ$27,HP9&lt;&gt;""),AND(II9&gt;=IM$27,II9&lt;&gt;""),AND(IL9&gt;=IM$27,IL9&lt;&gt;""),AND(JE9&gt;=JI$27,JE9&lt;&gt;""),AND(JH9&gt;=JI$27,JH9&lt;&gt;""),AND(KA9&gt;=KE$27,KA9&lt;&gt;""),AND(KD9&gt;=KE$27,KD9&lt;&gt;""),AND(KW9&gt;=LA$27,KW9&lt;&gt;""),AND(KZ9&gt;=LA$27,KZ9&lt;&gt;""),AND(LS9&gt;=LW$27,LS9&lt;&gt;""),AND(LV9&gt;=LW$27,LV9&lt;&gt;""),AND(MO9&gt;=MS$27,MO9&lt;&gt;""),AND(MR9&gt;=MS$27,MR9&lt;&gt;""),AND(NK9&gt;=NO$27,NK9&lt;&gt;""),AND(NN9&gt;=NO$27,NN9&lt;&gt;"")),"Excellence",IF(OR(AND(AV9&gt;=AY$26,AV9&lt;&gt;"",AP9=""),AND(BZ9&gt;=CC$26,BZ9&lt;&gt;"",BT9=""),AND(DD9&gt;=DG$26,DD9&lt;&gt;"",CX9=""),AND(ED9&gt;=EG$26,ED9&lt;&gt;""),AND(EZ9&gt;=FC$26,EZ9&lt;&gt;""),AND(FV9&gt;=FY$26,FV9&lt;&gt;""),AND(GR9&gt;=GU$26,GR9&lt;&gt;""),AND(HN9&gt;=HQ$26,HN9&lt;&gt;""),AND(IJ9&gt;=IM$26,IJ9&lt;&gt;""),AND(JF9&gt;=JI$26,JF9&lt;&gt;""),AND(KB9&gt;=KE$26,KB9&lt;&gt;""),AND(KX9&gt;=LA$26,KX9&lt;&gt;""),AND(LT9&gt;=LW$26,LT9&lt;&gt;""),AND(MP9&gt;=MS$26,MP9&lt;&gt;""),AND(NL9&gt;=NO$26,NL9&lt;&gt;"")),"Worlds Team",IF(OR(AND(AV9&gt;=AY$25,AV9&lt;&gt;"",AP9=""),AND(BZ9&gt;=CC$25,BZ9&lt;&gt;"",BT9=""),AND(DD9&gt;=DG$25,DD9&lt;&gt;"",CX9=""),AND(ED9&gt;=EG$25,ED9&lt;&gt;""),AND(EZ9&gt;=FC$25,EZ9&lt;&gt;""),AND(FV9&gt;=FY$25,FV9&lt;&gt;""),AND(GR9&gt;=GU$25,GR9&lt;&gt;""),AND(HN9&gt;=HQ$25,HN9&lt;&gt;""),AND(IJ9&gt;=IM$25,IJ9&lt;&gt;""),AND(JF9&gt;=JI$25,JF9&lt;&gt;""),AND(KB9&gt;=KE$25,KB9&lt;&gt;""),AND(KX9&gt;=LA$25,KX9&lt;&gt;""),AND(LT9&gt;=LW$25,LT9&lt;&gt;""),AND(MP9&gt;=MS$25,MP9&lt;&gt;""),AND(NL9&gt;=NO$25,NL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Worlds Team</v>
      </c>
      <c r="J9" s="3" t="str">
        <f>IF(AND(OR(AND(AV9&gt;=AY$26,AV9&lt;&gt;"",AP9=""),AND(BZ9&gt;=CC$26,BZ9&lt;&gt;"",BT9=""),AND(DD9&gt;=DG$26,DD9&lt;&gt;"",CX9=""),AND(ED9&gt;=EG$26,ED9&lt;&gt;""),AND(EZ9&gt;=FC$26,EZ9&lt;&gt;""),AND(FV9&gt;=FY$26,FV9&lt;&gt;""),AND(GR9&gt;=GU$26,GR9&lt;&gt;""),AND(HN9&gt;=HQ$26,HN9&lt;&gt;""),AND(IJ9&gt;=IM$26,IJ9&lt;&gt;""),AND(JF9&gt;=JI$26,JF9&lt;&gt;""),AND(KB9&gt;=KE$26,KB9&lt;&gt;""),AND(KX9&gt;=LA$26,KX9&lt;&gt;""),AND(LT9&gt;=LW$26,LT9&lt;&gt;""),AND(MP9&gt;=MS$26,MP9&lt;&gt;""),AND(NL9&gt;=NO$26,NL9&lt;&gt;"")),OR(G9="Worlds Team",G9="Excellence",G9="Merit")),"P","")</f>
        <v>P</v>
      </c>
      <c r="K9" s="14">
        <f>IF(MAX(AV9,BZ9,DD9)&gt;0,MAX(AV9,BZ9,DD9),0)</f>
        <v>99.93</v>
      </c>
      <c r="L9" s="14" t="str">
        <f>IF(K9=0,"",IF(K9=DD9,$CD$1,IF(K9=BZ9,$AZ$1,IF(K9=AV9,$V$1,""))))</f>
        <v>2019 Nationals</v>
      </c>
      <c r="M9" s="14">
        <f>IF($K9=$AV9,MAX(BU9,CY9),IF($K9=$BZ9,MAX(AQ9,CY9),IF($K9=$DD9,MAX(AQ9,BU9),MAX(AQ9,BU9,CY9))))</f>
        <v>47.194999999999993</v>
      </c>
      <c r="N9" s="14" t="str">
        <f>IF(M9=0,"",IF(AND(M9=CY9,$L9&lt;&gt;$CD$1),$CD$1,IF(AND(M9=BU9,$L9&lt;&gt;$AZ$1),$AZ$1,IF(AND(M9=AQ9,$L9&lt;&gt;$V$1),$V$1,""))))</f>
        <v>2021 1st Virtual Technical Trial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51.44</v>
      </c>
      <c r="P9" s="14" t="str">
        <f>IF(O9=0,"",IF(OR(O9=DC9,O9=DA9),$CD$1,IF(OR(O9=BY9,O9=BW9),$AZ$1,IF(OR(O9=AU9,O9=AS9),$V$1,""))))</f>
        <v>2021 1st Virtual Technical Trial</v>
      </c>
      <c r="Q9" s="14">
        <f>MAX(AX9,CB9,DF9)</f>
        <v>51.415000000000006</v>
      </c>
      <c r="R9" s="14" t="str">
        <f>IF(Q9=0,"",IF(Q9=DF9,$CD$1,IF(Q9=CB9,$AZ$1,IF(Q9=AX9,$V$1,""))))</f>
        <v>2019 Nationals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17.600000000000001</v>
      </c>
      <c r="W9" s="69">
        <v>8.9499999999999993</v>
      </c>
      <c r="X9" s="69">
        <v>3.9</v>
      </c>
      <c r="Y9" s="69">
        <v>15.355</v>
      </c>
      <c r="Z9" s="69">
        <v>0</v>
      </c>
      <c r="AA9" s="69">
        <v>14.1</v>
      </c>
      <c r="AB9" s="69">
        <v>9.1</v>
      </c>
      <c r="AC9" s="69">
        <v>12.3</v>
      </c>
      <c r="AD9" s="69">
        <v>14.29</v>
      </c>
      <c r="AE9" s="69">
        <v>0</v>
      </c>
      <c r="AF9" s="69"/>
      <c r="AG9" s="69"/>
      <c r="AH9" s="69"/>
      <c r="AI9" s="69"/>
      <c r="AJ9" s="69"/>
      <c r="AK9" s="69">
        <v>14.5</v>
      </c>
      <c r="AL9" s="69">
        <v>8.35</v>
      </c>
      <c r="AM9" s="69">
        <v>12.3</v>
      </c>
      <c r="AN9" s="69">
        <v>14.185</v>
      </c>
      <c r="AO9" s="69">
        <v>0</v>
      </c>
      <c r="AP9" s="80"/>
      <c r="AQ9" s="11">
        <f>IF(SUM(V9:Y9)-Z9&gt;0,SUM(V9:Y9)-Z9,"")</f>
        <v>45.805</v>
      </c>
      <c r="AR9" s="11">
        <f>IF(AC9&gt;0,AC9,"")</f>
        <v>12.3</v>
      </c>
      <c r="AS9" s="11">
        <f>IF(SUM(AA9:AD9)-AE9&gt;0,SUM(AA9:AD9)-AE9,"")</f>
        <v>49.79</v>
      </c>
      <c r="AT9" s="11" t="str">
        <f>IF(AH9&gt;0,AH9,"")</f>
        <v/>
      </c>
      <c r="AU9" s="11" t="str">
        <f>IF(SUM(AF9:AI9)-AJ9&gt;0,SUM(AF9:AI9)-AJ9,"")</f>
        <v/>
      </c>
      <c r="AV9" s="11">
        <f>IF(OR(AQ9&lt;&gt;"",AS9&lt;&gt;"",AU9&lt;&gt;""),AQ9+MAX(AS9,AU9),"")</f>
        <v>95.594999999999999</v>
      </c>
      <c r="AW9" s="11">
        <f>IF(AM9&gt;0,AM9,"")</f>
        <v>12.3</v>
      </c>
      <c r="AX9" s="11">
        <f>IF(SUM(AK9:AN9)-AO9&gt;0,SUM(AK9:AN9)-AO9,"")</f>
        <v>49.335000000000008</v>
      </c>
      <c r="AY9" s="11">
        <f>IF(SUM(AV9,AX9)&gt;0,SUM(AV9,AX9),"")</f>
        <v>144.93</v>
      </c>
      <c r="AZ9" s="75">
        <v>18.3</v>
      </c>
      <c r="BA9" s="75">
        <v>9.4</v>
      </c>
      <c r="BB9" s="75">
        <v>5.0999999999999996</v>
      </c>
      <c r="BC9" s="75">
        <v>15.494999999999999</v>
      </c>
      <c r="BD9" s="75">
        <v>0</v>
      </c>
      <c r="BE9" s="75">
        <v>14.9</v>
      </c>
      <c r="BF9" s="75">
        <v>9.5</v>
      </c>
      <c r="BG9" s="75">
        <v>13.1</v>
      </c>
      <c r="BH9" s="75">
        <v>14.135</v>
      </c>
      <c r="BI9" s="75">
        <v>0</v>
      </c>
      <c r="BJ9" s="75"/>
      <c r="BK9" s="75"/>
      <c r="BL9" s="75"/>
      <c r="BM9" s="75"/>
      <c r="BN9" s="75"/>
      <c r="BO9" s="75">
        <v>14.58</v>
      </c>
      <c r="BP9" s="75">
        <v>9.1</v>
      </c>
      <c r="BQ9" s="75">
        <v>13.3</v>
      </c>
      <c r="BR9" s="75">
        <v>14.435</v>
      </c>
      <c r="BS9" s="75"/>
      <c r="BT9" s="81"/>
      <c r="BU9" s="14">
        <f>IF(SUM(AZ9:BC9)-BD9&gt;0,SUM(AZ9:BC9)-BD9,"")</f>
        <v>48.295000000000002</v>
      </c>
      <c r="BV9" s="14">
        <f>IF(BG9&gt;0,BG9,"")</f>
        <v>13.1</v>
      </c>
      <c r="BW9" s="14">
        <f>IF(SUM(BE9:BH9)-BI9&gt;0,SUM(BE9:BH9)-BI9,"")</f>
        <v>51.634999999999998</v>
      </c>
      <c r="BX9" s="14" t="str">
        <f>IF(BL9&gt;0,BL9,"")</f>
        <v/>
      </c>
      <c r="BY9" s="14" t="str">
        <f>IF(SUM(BJ9:BM9)-BN9&gt;0,SUM(BJ9:BM9)-BN9,"")</f>
        <v/>
      </c>
      <c r="BZ9" s="14">
        <f>IF(BU9="",IF(MAX(BW9,BY9)&gt;0,MAX(BW9,BY9),""),MAX(BW9,BY9)+BU9)</f>
        <v>99.93</v>
      </c>
      <c r="CA9" s="14">
        <f>IF(BQ9&gt;0,BQ9,"")</f>
        <v>13.3</v>
      </c>
      <c r="CB9" s="14">
        <f>IF(SUM(BO9:BR9)-BS9&gt;0,SUM(BO9:BR9)-BS9,"")</f>
        <v>51.415000000000006</v>
      </c>
      <c r="CC9" s="14">
        <f>IF(SUM(BZ9,CB9)&gt;0,SUM(BZ9,CB9),"")</f>
        <v>151.34500000000003</v>
      </c>
      <c r="CD9" s="69">
        <v>17.899999999999999</v>
      </c>
      <c r="CE9" s="69">
        <v>9.65</v>
      </c>
      <c r="CF9" s="69">
        <v>3.9</v>
      </c>
      <c r="CG9" s="69">
        <v>15.744999999999999</v>
      </c>
      <c r="CH9" s="69">
        <v>0</v>
      </c>
      <c r="CI9" s="69">
        <v>15.6</v>
      </c>
      <c r="CJ9" s="69">
        <v>9.6999999999999993</v>
      </c>
      <c r="CK9" s="69">
        <v>11.5</v>
      </c>
      <c r="CL9" s="69">
        <v>14.64</v>
      </c>
      <c r="CM9" s="69">
        <v>0</v>
      </c>
      <c r="CN9" s="69">
        <v>15.9</v>
      </c>
      <c r="CO9" s="69">
        <v>9.15</v>
      </c>
      <c r="CP9" s="69">
        <v>11.5</v>
      </c>
      <c r="CQ9" s="69">
        <v>14.59</v>
      </c>
      <c r="CR9" s="69">
        <v>0</v>
      </c>
      <c r="CS9" s="69">
        <v>15.5</v>
      </c>
      <c r="CT9" s="69">
        <v>9.15</v>
      </c>
      <c r="CU9" s="69">
        <v>11.5</v>
      </c>
      <c r="CV9" s="69">
        <v>14.555</v>
      </c>
      <c r="CW9" s="69">
        <v>0</v>
      </c>
      <c r="CX9" s="80"/>
      <c r="CY9" s="11">
        <f>IF(SUM(CD9:CG9)-CH9&gt;0,SUM(CD9:CG9)-CH9,"")</f>
        <v>47.194999999999993</v>
      </c>
      <c r="CZ9" s="11">
        <f>IF(CK9&gt;0,CK9,"")</f>
        <v>11.5</v>
      </c>
      <c r="DA9" s="11">
        <f>IF(SUM(CI9:CL9)-CM9&gt;0,SUM(CI9:CL9)-CM9,"")</f>
        <v>51.44</v>
      </c>
      <c r="DB9" s="11">
        <f>IF(CP9&gt;0,CP9,"")</f>
        <v>11.5</v>
      </c>
      <c r="DC9" s="11">
        <f>IF(SUM(CN9:CQ9)-CR9&gt;0,SUM(CN9:CQ9)-CR9,"")</f>
        <v>51.14</v>
      </c>
      <c r="DD9" s="11">
        <f>IF(CY9="",IF(MAX(DA9,DC9)&gt;0,MAX(DA9,DC9),""),MAX(DA9,DC9)+CY9)</f>
        <v>98.634999999999991</v>
      </c>
      <c r="DE9" s="11">
        <f>IF(CU9&gt;0,CU9,"")</f>
        <v>11.5</v>
      </c>
      <c r="DF9" s="11">
        <f>IF(SUM(CS9:CV9)-CW9&gt;0,SUM(CS9:CV9)-CW9,"")</f>
        <v>50.704999999999998</v>
      </c>
      <c r="DG9" s="11">
        <f>IF(SUM(DD9,DF9)&gt;0,SUM(DD9,DF9),"")</f>
        <v>149.33999999999997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18.100000000000001</v>
      </c>
      <c r="NQ9" s="69">
        <f>IF($CX9="P",CE9,(CE9+BA9)/2)</f>
        <v>9.5250000000000004</v>
      </c>
      <c r="NR9" s="69">
        <f>IF($CX9="P",CF9,(CF9+BB9)/2)</f>
        <v>4.5</v>
      </c>
      <c r="NS9" s="69">
        <f>IF($CX9="P",CG9,(CG9+BC9)/2)</f>
        <v>15.62</v>
      </c>
      <c r="NT9" s="69">
        <f>IF($CX9="P",CH9,(CH9+BD9)/2)</f>
        <v>0</v>
      </c>
      <c r="NU9" s="69">
        <f>IF($CX9="P",CI9,(CI9+BE9)/2)</f>
        <v>15.25</v>
      </c>
      <c r="NV9" s="69">
        <f>IF($CX9="P",CJ9,(CJ9+BF9)/2)</f>
        <v>9.6</v>
      </c>
      <c r="NW9" s="69">
        <f>IF($CX9="P",CK9,(CK9+BG9)/2)</f>
        <v>12.3</v>
      </c>
      <c r="NX9" s="69">
        <f>IF($CX9="P",CL9,(CL9+BH9)/2)</f>
        <v>14.387499999999999</v>
      </c>
      <c r="NY9" s="69">
        <f>IF($CX9="P",CM9,(CM9+BI9)/2)</f>
        <v>0</v>
      </c>
      <c r="NZ9" s="69">
        <f>IF($CX9="P",CN9,(CN9+BJ9)/2)</f>
        <v>7.95</v>
      </c>
      <c r="OA9" s="69">
        <f>IF($CX9="P",CO9,(CO9+BK9)/2)</f>
        <v>4.5750000000000002</v>
      </c>
      <c r="OB9" s="69">
        <f>IF($CX9="P",CP9,(CP9+BL9)/2)</f>
        <v>5.75</v>
      </c>
      <c r="OC9" s="69">
        <f>IF($CX9="P",CQ9,(CQ9+BM9)/2)</f>
        <v>7.2949999999999999</v>
      </c>
      <c r="OD9" s="69">
        <f>IF($CX9="P",CR9,(CR9+BN9)/2)</f>
        <v>0</v>
      </c>
      <c r="OE9" s="69">
        <f>IF($CX9="P",CS9,(CS9+BO9)/2)</f>
        <v>15.04</v>
      </c>
      <c r="OF9" s="69">
        <f>IF($CX9="P",CT9,(CT9+BP9)/2)</f>
        <v>9.125</v>
      </c>
      <c r="OG9" s="69">
        <f>IF($CX9="P",CU9,(CU9+BQ9)/2)</f>
        <v>12.4</v>
      </c>
      <c r="OH9" s="69">
        <f>IF($CX9="P",CV9,(CV9+BR9)/2)</f>
        <v>14.495000000000001</v>
      </c>
      <c r="OI9" s="69">
        <f>IF($CX9="P",CW9,(CW9+BS9)/2)</f>
        <v>0</v>
      </c>
      <c r="OJ9" s="80" t="s">
        <v>91</v>
      </c>
      <c r="OK9" s="11">
        <f>IF(SUM(NP9:NS9)-NT9&gt;0,SUM(NP9:NS9)-NT9,"")</f>
        <v>47.744999999999997</v>
      </c>
      <c r="OL9" s="11">
        <f>IF(NW9&gt;0,NW9,"")</f>
        <v>12.3</v>
      </c>
      <c r="OM9" s="11">
        <f>IF(SUM(NU9:NX9)-NY9&gt;0,SUM(NU9:NX9)-NY9,"")</f>
        <v>51.537500000000009</v>
      </c>
      <c r="ON9" s="11">
        <f>IF(OB9&gt;0,OB9,"")</f>
        <v>5.75</v>
      </c>
      <c r="OO9" s="11">
        <f>IF(SUM(NZ9:OC9)-OD9&gt;0,SUM(NZ9:OC9)-OD9,"")</f>
        <v>25.57</v>
      </c>
      <c r="OP9" s="11">
        <f>IF(OR(OK9&lt;&gt;"",OM9&lt;&gt;"",OO9&lt;&gt;""),OK9+MAX(OM9,OO9),"")</f>
        <v>99.282499999999999</v>
      </c>
      <c r="OQ9" s="11">
        <f>IF(OG9&gt;0,OG9,"")</f>
        <v>12.4</v>
      </c>
      <c r="OR9" s="11">
        <f t="shared" si="0"/>
        <v>51.06</v>
      </c>
      <c r="OS9" s="11">
        <f t="shared" si="1"/>
        <v>150.3425</v>
      </c>
    </row>
    <row r="10" spans="1:409" x14ac:dyDescent="0.2">
      <c r="A10" s="5" cm="1">
        <f t="array" ref="A10">IF(AND(G10&lt;&gt;"",H10&lt;&gt;""),SUMPRODUCT((G$4:G$19&lt;&gt;"")*(H$4:H$19&lt;&gt;"")*(E$4:E$19&gt;E10))+1,IF(H10&lt;&gt;"",SUMPRODUCT((I$4:I$19="No DD")*(E$4:E$19&gt;E10))+1+SUMPRODUCT((G$4:G$19&lt;&gt;"")*(H$4:H$19&lt;&gt;"")),""))</f>
        <v>7</v>
      </c>
      <c r="B10" s="127" t="s">
        <v>80</v>
      </c>
      <c r="C10" s="5" t="s">
        <v>3</v>
      </c>
      <c r="D10" s="5">
        <v>1998</v>
      </c>
      <c r="E10" s="15">
        <f>SUM(K10:S10)</f>
        <v>247.81499999999997</v>
      </c>
      <c r="F10" s="3" t="str">
        <f>IF(G10&lt;&gt;"","P","")</f>
        <v>P</v>
      </c>
      <c r="G10" s="125" t="str">
        <f>IF(OR(AND(AR10&gt;=AY$24,AR10&lt;&gt;"",AP10=""),AND(AT10&gt;=AY$24,AT10&lt;&gt;"",AP10=""),AND(AW10&gt;=AY$24,AW10&lt;&gt;"",AP10=""),AND(BV10&gt;=CC$24,BV10&lt;&gt;"",BT10=""),AND(BX10&gt;=CC$24,BX10&lt;&gt;"",BT10=""),AND(CA10&gt;=CC$24,CA10&lt;&gt;"",BT10=""),AND(CZ10&gt;=DG$24,CZ10&lt;&gt;"",CX10=""),AND(DB10&gt;=DG$24,DB10&lt;&gt;"",CX10=""),AND(DE10&gt;=DG$24,DE10&lt;&gt;"",CX10=""),AND(EA10&gt;=EG$24,EA10&lt;&gt;""),AND(EE10&gt;=EG$24,EE10&lt;&gt;""),AND(EW10&gt;=FC$24,EW10&lt;&gt;""),AND(FA10&gt;=FC$24,FA10&lt;&gt;""),AND(FS10&gt;=FY$24,FS10&lt;&gt;""),AND(FW10&gt;=FY$24,FW10&lt;&gt;""),AND(GO10&gt;=GU$24,GO10&lt;&gt;""),AND(GS10&gt;=GU$24,GS10&lt;&gt;""),AND(HK10&gt;=HQ$24,HK10&lt;&gt;""),AND(HO10&gt;=HQ$24,HO10&lt;&gt;""),AND(IG10&gt;=IM$24,IG10&lt;&gt;""),AND(IK10&gt;=IM$24,IK10&lt;&gt;""),AND(JC10&gt;=JI$24,JC10&lt;&gt;""),AND(JG10&gt;=JI$24,JG10&lt;&gt;""),AND(JY10&gt;=KE$24,JY10&lt;&gt;""),AND(KC10&gt;=KE$24,KC10&lt;&gt;""),AND(KU10&gt;=LA$24,KU10&lt;&gt;""),AND(KY10&gt;=LA$24,KY10&lt;&gt;""),AND(LQ10&gt;=LW$24,LQ10&lt;&gt;""),AND(LU10&gt;=LW$24,LU10&lt;&gt;""),AND(MM10&gt;=MS$24,MM10&lt;&gt;""),AND(MQ10&gt;=MS$24,MQ10&lt;&gt;""),AND(NI10&gt;=NO$24,NI10&lt;&gt;""),AND(NM10&gt;=NO$24,NM10&lt;&gt;"")),"Merit",IF(OR(AND(AR10&gt;=AY$23,AR10&lt;&gt;"",AP10=""),AND(AT10&gt;=AY$23,AT10&lt;&gt;"",AP10=""),AND(AW10&gt;=AY$23,AW10&lt;&gt;"",AP10=""),AND(BV10&gt;=CC$23,BV10&lt;&gt;"",BT10=""),AND(BX10&gt;=CC$23,BX10&lt;&gt;"",BT10=""),AND(CA10&gt;=CC$23,CA10&lt;&gt;"",BT10=""),AND(CZ10&gt;=DG$23,CZ10&lt;&gt;"",CX10=""),AND(DB10&gt;=DG$23,DB10&lt;&gt;"",CX10=""),AND(DE10&gt;=DG$23,DE10&lt;&gt;"",CX10=""),AND(EA10&gt;=EG$23,EA10&lt;&gt;""),AND(EE10&gt;=EG$23,EE10&lt;&gt;""),AND(EW10&gt;=FC$23,EW10&lt;&gt;""),AND(FA10&gt;=FC$23,FA10&lt;&gt;""),AND(FS10&gt;=FY$23,FS10&lt;&gt;""),AND(FW10&gt;=FY$23,FW10&lt;&gt;""),AND(GO10&gt;=GU$23,GO10&lt;&gt;""),AND(GS10&gt;=GU$23,GS10&lt;&gt;""),AND(HK10&gt;=HQ$23,HK10&lt;&gt;""),AND(HO10&gt;=HQ$23,HO10&lt;&gt;""),AND(IG10&gt;=IM$23,IG10&lt;&gt;""),AND(IK10&gt;=IM$23,IK10&lt;&gt;""),AND(JC10&gt;=JI$23,JC10&lt;&gt;""),AND(JG10&gt;=JI$23,JG10&lt;&gt;""),AND(JY10&gt;=KE$23,JY10&lt;&gt;""),AND(KC10&gt;=KE$23,KC10&lt;&gt;""),AND(KU10&gt;=LA$23,KU10&lt;&gt;""),AND(KY10&gt;=LA$23,KY10&lt;&gt;""),AND(LQ10&gt;=LW$23,LQ10&lt;&gt;""),AND(LU10&gt;=LW$23,LU10&lt;&gt;""),AND(MM10&gt;=MS$23,MM10&lt;&gt;""),AND(MQ10&gt;=MS$23,MQ10&lt;&gt;""),AND(NI10&gt;=NO$23,NI10&lt;&gt;""),AND(NM10&gt;=NO$23,NM10&lt;&gt;"")),"Excellence",IF(OR(AND(AR10&gt;=AY$22,AR10&lt;&gt;"",AP10=""),AND(AT10&gt;=AY$22,AT10&lt;&gt;"",AP10=""),AND(AW10&gt;=AY$22,AW10&lt;&gt;"",AP10=""),AND(BV10&gt;=CC$22,BV10&lt;&gt;"",BT10=""),AND(BX10&gt;=CC$22,BX10&lt;&gt;"",BT10=""),AND(CA10&gt;=CC$22,CA10&lt;&gt;"",BT10=""),AND(CZ10&gt;=DG$22,CZ10&lt;&gt;"",CX10=""),AND(DB10&gt;=DG$22,DB10&lt;&gt;"",CX10=""),AND(DE10&gt;=DG$22,DE10&lt;&gt;"",CX10=""),AND(EA10&gt;=EG$22,EA10&lt;&gt;""),AND(EE10&gt;=EG$22,EE10&lt;&gt;""),AND(EW10&gt;=FC$22,EW10&lt;&gt;""),AND(FA10&gt;=FC$22,FA10&lt;&gt;""),AND(FS10&gt;=FY$22,FS10&lt;&gt;""),AND(FW10&gt;=FY$22,FW10&lt;&gt;""),AND(GO10&gt;=GU$22,GO10&lt;&gt;""),AND(GS10&gt;=GU$22,GS10&lt;&gt;""),AND(HK10&gt;=HQ$22,HK10&lt;&gt;""),AND(HO10&gt;=HQ$22,HO10&lt;&gt;""),AND(IG10&gt;=IM$22,IG10&lt;&gt;""),AND(IK10&gt;=IM$22,IK10&lt;&gt;""),AND(JC10&gt;=JI$22,JC10&lt;&gt;""),AND(JG10&gt;=JI$22,JG10&lt;&gt;""),AND(JY10&gt;=KE$22,JY10&lt;&gt;""),AND(KC10&gt;=KE$22,KC10&lt;&gt;""),AND(KU10&gt;=LA$22,KU10&lt;&gt;""),AND(KY10&gt;=LA$22,KY10&lt;&gt;""),AND(LQ10&gt;=LW$22,LQ10&lt;&gt;""),AND(LU10&gt;=LW$22,LU10&lt;&gt;""),AND(MM10&gt;=MS$22,MM10&lt;&gt;""),AND(MQ10&gt;=MS$22,MQ10&lt;&gt;""),AND(NI10&gt;=NO$22,NI10&lt;&gt;""),AND(NM10&gt;=NO$22,NM10&lt;&gt;"")),"Worlds Team",IF(OR(AND(AR10&gt;=AY$21,AR10&lt;&gt;"",AP10=""),AND(AT10&gt;=AY$21,AT10&lt;&gt;"",AP10=""),AND(AW10&gt;=AY$21,AW10&lt;&gt;"",AP10=""),AND(BV10&gt;=CC$21,BV10&lt;&gt;"",BT10=""),AND(BX10&gt;=CC$21,BX10&lt;&gt;"",BT10=""),AND(CA10&gt;=CC$21,CA10&lt;&gt;"",BT10=""),AND(CZ10&gt;=DG$21,CZ10&lt;&gt;"",CX10=""),AND(DB10&gt;=DG$21,DB10&lt;&gt;"",CX10=""),AND(DE10&gt;=DG$21,DE10&lt;&gt;"",CX10=""),AND(EA10&gt;=EG$21,EA10&lt;&gt;""),AND(EE10&gt;=EG$21,EE10&lt;&gt;""),AND(EW10&gt;=FC$21,EW10&lt;&gt;""),AND(FA10&gt;=FC$21,FA10&lt;&gt;""),AND(FS10&gt;=FY$21,FS10&lt;&gt;""),AND(FW10&gt;=FY$21,FW10&lt;&gt;""),AND(GO10&gt;=GU$21,GO10&lt;&gt;""),AND(GS10&gt;=GU$21,GS10&lt;&gt;""),AND(HK10&gt;=HQ$21,HK10&lt;&gt;""),AND(HO10&gt;=HQ$21,HO10&lt;&gt;""),AND(IG10&gt;=IM$21,IG10&lt;&gt;""),AND(IK10&gt;=IM$21,IK10&lt;&gt;""),AND(JC10&gt;=JI$21,JC10&lt;&gt;""),AND(JG10&gt;=JI$21,JG10&lt;&gt;""),AND(JY10&gt;=KE$21,JY10&lt;&gt;""),AND(KC10&gt;=KE$21,KC10&lt;&gt;""),AND(KU10&gt;=LA$21,KU10&lt;&gt;""),AND(KY10&gt;=LA$21,KY10&lt;&gt;""),AND(LQ10&gt;=LW$21,LQ10&lt;&gt;""),AND(LU10&gt;=LW$21,LU10&lt;&gt;""),AND(MM10&gt;=MS$21,MM10&lt;&gt;""),AND(MQ10&gt;=MS$21,MQ10&lt;&gt;""),AND(NI10&gt;=NO$21,NI10&lt;&gt;""),AND(NM10&gt;=NO$21,NM10&lt;&gt;"")),"National Team",""))))</f>
        <v>Merit</v>
      </c>
      <c r="H10" s="125" t="str">
        <f>IF(OR(AND(AS10&gt;=AY$28,AS10&lt;&gt;"",AP10=""),AND(AU10&gt;=AY$28,AU10&lt;&gt;"",AP10=""),AND(AX10&gt;=AY$28,AX10&lt;&gt;"",AP10=""),AND(BW10&gt;=CC$28,BW10&lt;&gt;"",BT10=""),AND(BY10&gt;=CC$28,BY10&lt;&gt;"",BT10=""),AND(CB10&gt;=CC$28,CB10&lt;&gt;"",BT10=""),AND(DA10&gt;=DG$28,DA10&lt;&gt;"",CX10=""),AND(DC10&gt;=DG$28,DC10&lt;&gt;"",CX10=""),AND(DF10&gt;=DG$28,DF10&lt;&gt;"",CX10=""),AND(EC10&gt;=EG$28,EC10&lt;&gt;""),AND(EF10&gt;=EG$28,EF10&lt;&gt;""),AND(EY10&gt;=FC$28,EY10&lt;&gt;""),AND(FB10&gt;=FC$28,FB10&lt;&gt;""),AND(FU10&gt;=FY$28,FU10&lt;&gt;""),AND(FX10&gt;=FY$28,FX10&lt;&gt;""),AND(GQ10&gt;=GU$28,GQ10&lt;&gt;""),AND(GT10&gt;=GU$28,GT10&lt;&gt;""),AND(HM10&gt;=HQ$28,HM10&lt;&gt;""),AND(HP10&gt;=HQ$28,HP10&lt;&gt;""),AND(II10&gt;=IM$28,II10&lt;&gt;""),AND(IL10&gt;=IM$28,IL10&lt;&gt;""),AND(JE10&gt;=JI$28,JE10&lt;&gt;""),AND(JH10&gt;=JI$28,JH10&lt;&gt;""),AND(KA10&gt;=KE$28,KA10&lt;&gt;""),AND(KD10&gt;=KE$28,KD10&lt;&gt;""),AND(KW10&gt;=LA$28,KW10&lt;&gt;""),AND(KZ10&gt;=LA$28,KZ10&lt;&gt;""),AND(LS10&gt;=LW$28,LS10&lt;&gt;""),AND(LV10&gt;=LW$28,LV10&lt;&gt;""),AND(MO10&gt;=MS$28,MO10&lt;&gt;""),AND(MR10&gt;=MS$28,MR10&lt;&gt;""),AND(NK10&gt;=NO$28,NK10&lt;&gt;""),AND(NN10&gt;=NO$28,NN10&lt;&gt;"")),"Merit",IF(OR(AND(AS10&gt;=AY$27,AS10&lt;&gt;"",AP10=""),AND(AU10&gt;=AY$27,AU10&lt;&gt;"",AP10=""),AND(AX10&gt;=AY$27,AX10&lt;&gt;"",AP10=""),AND(BW10&gt;=CC$27,BW10&lt;&gt;"",BT10=""),AND(BY10&gt;=CC$27,BY10&lt;&gt;"",BT10=""),AND(CB10&gt;=CC$27,CB10&lt;&gt;"",BT10=""),AND(DA10&gt;=DG$27,DA10&lt;&gt;"",CX10=""),AND(DC10&gt;=DG$27,DC10&lt;&gt;"",CX10=""),AND(DF10&gt;=DG$27,DF10&lt;&gt;"",CX10=""),AND(EC10&gt;=EG$27,EC10&lt;&gt;""),AND(EF10&gt;=EG$27,EF10&lt;&gt;""),AND(EY10&gt;=FC$27,EY10&lt;&gt;""),AND(FB10&gt;=FC$27,FB10&lt;&gt;""),AND(FU10&gt;=FY$27,FU10&lt;&gt;""),AND(FX10&gt;=FY$27,FX10&lt;&gt;""),AND(GQ10&gt;=GU$27,GQ10&lt;&gt;""),AND(GT10&gt;=GU$27,GT10&lt;&gt;""),AND(HM10&gt;=HQ$27,HM10&lt;&gt;""),AND(HP10&gt;=HQ$27,HP10&lt;&gt;""),AND(II10&gt;=IM$27,II10&lt;&gt;""),AND(IL10&gt;=IM$27,IL10&lt;&gt;""),AND(JE10&gt;=JI$27,JE10&lt;&gt;""),AND(JH10&gt;=JI$27,JH10&lt;&gt;""),AND(KA10&gt;=KE$27,KA10&lt;&gt;""),AND(KD10&gt;=KE$27,KD10&lt;&gt;""),AND(KW10&gt;=LA$27,KW10&lt;&gt;""),AND(KZ10&gt;=LA$27,KZ10&lt;&gt;""),AND(LS10&gt;=LW$27,LS10&lt;&gt;""),AND(LV10&gt;=LW$27,LV10&lt;&gt;""),AND(MO10&gt;=MS$27,MO10&lt;&gt;""),AND(MR10&gt;=MS$27,MR10&lt;&gt;""),AND(NK10&gt;=NO$27,NK10&lt;&gt;""),AND(NN10&gt;=NO$27,NN10&lt;&gt;"")),"Excellence",IF(OR(AND(AV10&gt;=AY$26,AV10&lt;&gt;"",AP10=""),AND(BZ10&gt;=CC$26,BZ10&lt;&gt;"",BT10=""),AND(DD10&gt;=DG$26,DD10&lt;&gt;"",CX10=""),AND(ED10&gt;=EG$26,ED10&lt;&gt;""),AND(EZ10&gt;=FC$26,EZ10&lt;&gt;""),AND(FV10&gt;=FY$26,FV10&lt;&gt;""),AND(GR10&gt;=GU$26,GR10&lt;&gt;""),AND(HN10&gt;=HQ$26,HN10&lt;&gt;""),AND(IJ10&gt;=IM$26,IJ10&lt;&gt;""),AND(JF10&gt;=JI$26,JF10&lt;&gt;""),AND(KB10&gt;=KE$26,KB10&lt;&gt;""),AND(KX10&gt;=LA$26,KX10&lt;&gt;""),AND(LT10&gt;=LW$26,LT10&lt;&gt;""),AND(MP10&gt;=MS$26,MP10&lt;&gt;""),AND(NL10&gt;=NO$26,NL10&lt;&gt;"")),"Worlds Team",IF(OR(AND(AV10&gt;=AY$25,AV10&lt;&gt;"",AP10=""),AND(BZ10&gt;=CC$25,BZ10&lt;&gt;"",BT10=""),AND(DD10&gt;=DG$25,DD10&lt;&gt;"",CX10=""),AND(ED10&gt;=EG$25,ED10&lt;&gt;""),AND(EZ10&gt;=FC$25,EZ10&lt;&gt;""),AND(FV10&gt;=FY$25,FV10&lt;&gt;""),AND(GR10&gt;=GU$25,GR10&lt;&gt;""),AND(HN10&gt;=HQ$25,HN10&lt;&gt;""),AND(IJ10&gt;=IM$25,IJ10&lt;&gt;""),AND(JF10&gt;=JI$25,JF10&lt;&gt;""),AND(KB10&gt;=KE$25,KB10&lt;&gt;""),AND(KX10&gt;=LA$25,KX10&lt;&gt;""),AND(LT10&gt;=LW$25,LT10&lt;&gt;""),AND(MP10&gt;=MS$25,MP10&lt;&gt;""),AND(NL10&gt;=NO$25,NL10&lt;&gt;"")),"National Team",""))))</f>
        <v>Worlds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Worlds Team</v>
      </c>
      <c r="J10" s="3" t="str">
        <f>IF(AND(OR(AND(AV10&gt;=AY$26,AV10&lt;&gt;"",AP10=""),AND(BZ10&gt;=CC$26,BZ10&lt;&gt;"",BT10=""),AND(DD10&gt;=DG$26,DD10&lt;&gt;"",CX10=""),AND(ED10&gt;=EG$26,ED10&lt;&gt;""),AND(EZ10&gt;=FC$26,EZ10&lt;&gt;""),AND(FV10&gt;=FY$26,FV10&lt;&gt;""),AND(GR10&gt;=GU$26,GR10&lt;&gt;""),AND(HN10&gt;=HQ$26,HN10&lt;&gt;""),AND(IJ10&gt;=IM$26,IJ10&lt;&gt;""),AND(JF10&gt;=JI$26,JF10&lt;&gt;""),AND(KB10&gt;=KE$26,KB10&lt;&gt;""),AND(KX10&gt;=LA$26,KX10&lt;&gt;""),AND(LT10&gt;=LW$26,LT10&lt;&gt;""),AND(MP10&gt;=MS$26,MP10&lt;&gt;""),AND(NL10&gt;=NO$26,NL10&lt;&gt;"")),OR(G10="Worlds Team",G10="Excellence",G10="Merit")),"P","")</f>
        <v>P</v>
      </c>
      <c r="K10" s="14">
        <f>IF(MAX(AV10,BZ10,DD10)&gt;0,MAX(AV10,BZ10,DD10),0)</f>
        <v>99.074999999999989</v>
      </c>
      <c r="L10" s="14" t="str">
        <f>IF(K10=0,"",IF(K10=DD10,$CD$1,IF(K10=BZ10,$AZ$1,IF(K10=AV10,$V$1,""))))</f>
        <v>2019 Nationals</v>
      </c>
      <c r="M10" s="14">
        <f>IF($K10=$AV10,MAX(BU10,CY10),IF($K10=$BZ10,MAX(AQ10,CY10),IF($K10=$DD10,MAX(AQ10,BU10),MAX(AQ10,BU10,CY10))))</f>
        <v>46.075000000000003</v>
      </c>
      <c r="N10" s="14" t="str">
        <f>IF(M10=0,"",IF(AND(M10=CY10,$L10&lt;&gt;$CD$1),$CD$1,IF(AND(M10=BU10,$L10&lt;&gt;$AZ$1),$AZ$1,IF(AND(M10=AQ10,$L10&lt;&gt;$V$1),$V$1,""))))</f>
        <v>2019 Elite Canada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50.664999999999999</v>
      </c>
      <c r="P10" s="14" t="str">
        <f>IF(O10=0,"",IF(OR(O10=DC10,O10=DA10),$CD$1,IF(OR(O10=BY10,O10=BW10),$AZ$1,IF(OR(O10=AU10,O10=AS10),$V$1,""))))</f>
        <v>2019 Elite Canada</v>
      </c>
      <c r="Q10" s="14">
        <f>MAX(AX10,CB10,DF10)</f>
        <v>52</v>
      </c>
      <c r="R10" s="14" t="str">
        <f>IF(Q10=0,"",IF(Q10=DF10,$CD$1,IF(Q10=CB10,$AZ$1,IF(Q10=AX10,$V$1,""))))</f>
        <v>2019 Nationals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>
        <v>16.8</v>
      </c>
      <c r="W10" s="69">
        <v>8.9</v>
      </c>
      <c r="X10" s="69">
        <v>4.8</v>
      </c>
      <c r="Y10" s="69">
        <v>15.574999999999999</v>
      </c>
      <c r="Z10" s="69">
        <v>0</v>
      </c>
      <c r="AA10" s="69">
        <v>14</v>
      </c>
      <c r="AB10" s="69">
        <v>8.9499999999999993</v>
      </c>
      <c r="AC10" s="69">
        <v>13.6</v>
      </c>
      <c r="AD10" s="69">
        <v>14.715</v>
      </c>
      <c r="AE10" s="69">
        <v>0.6</v>
      </c>
      <c r="AF10" s="69"/>
      <c r="AG10" s="69"/>
      <c r="AH10" s="69"/>
      <c r="AI10" s="69"/>
      <c r="AJ10" s="69"/>
      <c r="AK10" s="69">
        <v>14.7</v>
      </c>
      <c r="AL10" s="69">
        <v>9.3000000000000007</v>
      </c>
      <c r="AM10" s="69">
        <v>11.6</v>
      </c>
      <c r="AN10" s="69">
        <v>14.8</v>
      </c>
      <c r="AO10" s="69">
        <v>0</v>
      </c>
      <c r="AP10" s="80"/>
      <c r="AQ10" s="11">
        <f>IF(SUM(V10:Y10)-Z10&gt;0,SUM(V10:Y10)-Z10,"")</f>
        <v>46.075000000000003</v>
      </c>
      <c r="AR10" s="11">
        <f>IF(AC10&gt;0,AC10,"")</f>
        <v>13.6</v>
      </c>
      <c r="AS10" s="11">
        <f>IF(SUM(AA10:AD10)-AE10&gt;0,SUM(AA10:AD10)-AE10,"")</f>
        <v>50.664999999999999</v>
      </c>
      <c r="AT10" s="11" t="str">
        <f>IF(AH10&gt;0,AH10,"")</f>
        <v/>
      </c>
      <c r="AU10" s="11" t="str">
        <f>IF(SUM(AF10:AI10)-AJ10&gt;0,SUM(AF10:AI10)-AJ10,"")</f>
        <v/>
      </c>
      <c r="AV10" s="11">
        <f>IF(OR(AQ10&lt;&gt;"",AS10&lt;&gt;"",AU10&lt;&gt;""),AQ10+MAX(AS10,AU10),"")</f>
        <v>96.740000000000009</v>
      </c>
      <c r="AW10" s="11">
        <f>IF(AM10&gt;0,AM10,"")</f>
        <v>11.6</v>
      </c>
      <c r="AX10" s="11">
        <f>IF(SUM(AK10:AN10)-AO10&gt;0,SUM(AK10:AN10)-AO10,"")</f>
        <v>50.400000000000006</v>
      </c>
      <c r="AY10" s="11">
        <f>IF(SUM(AV10,AX10)&gt;0,SUM(AV10,AX10),"")</f>
        <v>147.14000000000001</v>
      </c>
      <c r="AZ10" s="75">
        <v>17.600000000000001</v>
      </c>
      <c r="BA10" s="75">
        <v>9.1999999999999993</v>
      </c>
      <c r="BB10" s="75">
        <v>4.8</v>
      </c>
      <c r="BC10" s="75">
        <v>15.72</v>
      </c>
      <c r="BD10" s="75">
        <v>0.2</v>
      </c>
      <c r="BE10" s="75">
        <v>16.100000000000001</v>
      </c>
      <c r="BF10" s="75">
        <v>9.3000000000000007</v>
      </c>
      <c r="BG10" s="75">
        <v>12.1</v>
      </c>
      <c r="BH10" s="75">
        <v>14.455</v>
      </c>
      <c r="BI10" s="75">
        <v>0</v>
      </c>
      <c r="BJ10" s="75"/>
      <c r="BK10" s="75"/>
      <c r="BL10" s="75"/>
      <c r="BM10" s="75"/>
      <c r="BN10" s="75"/>
      <c r="BO10" s="75">
        <v>15.36</v>
      </c>
      <c r="BP10" s="75">
        <v>9.1999999999999993</v>
      </c>
      <c r="BQ10" s="75">
        <v>12.6</v>
      </c>
      <c r="BR10" s="75">
        <v>14.84</v>
      </c>
      <c r="BS10" s="75"/>
      <c r="BT10" s="81"/>
      <c r="BU10" s="14">
        <f>IF(SUM(AZ10:BC10)-BD10&gt;0,SUM(AZ10:BC10)-BD10,"")</f>
        <v>47.12</v>
      </c>
      <c r="BV10" s="14">
        <f>IF(BG10&gt;0,BG10,"")</f>
        <v>12.1</v>
      </c>
      <c r="BW10" s="14">
        <f>IF(SUM(BE10:BH10)-BI10&gt;0,SUM(BE10:BH10)-BI10,"")</f>
        <v>51.954999999999998</v>
      </c>
      <c r="BX10" s="14" t="str">
        <f>IF(BL10&gt;0,BL10,"")</f>
        <v/>
      </c>
      <c r="BY10" s="14" t="str">
        <f>IF(SUM(BJ10:BM10)-BN10&gt;0,SUM(BJ10:BM10)-BN10,"")</f>
        <v/>
      </c>
      <c r="BZ10" s="14">
        <f>IF(BU10="",IF(MAX(BW10,BY10)&gt;0,MAX(BW10,BY10),""),MAX(BW10,BY10)+BU10)</f>
        <v>99.074999999999989</v>
      </c>
      <c r="CA10" s="14">
        <f>IF(BQ10&gt;0,BQ10,"")</f>
        <v>12.6</v>
      </c>
      <c r="CB10" s="14">
        <f>IF(SUM(BO10:BR10)-BS10&gt;0,SUM(BO10:BR10)-BS10,"")</f>
        <v>52</v>
      </c>
      <c r="CC10" s="14">
        <f>IF(SUM(BZ10,CB10)&gt;0,SUM(BZ10,CB10),"")</f>
        <v>151.07499999999999</v>
      </c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80"/>
      <c r="CY10" s="11" t="str">
        <f>IF(SUM(CD10:CG10)-CH10&gt;0,SUM(CD10:CG10)-CH10,"")</f>
        <v/>
      </c>
      <c r="CZ10" s="11" t="str">
        <f>IF(CK10&gt;0,CK10,"")</f>
        <v/>
      </c>
      <c r="DA10" s="11" t="str">
        <f>IF(SUM(CI10:CL10)-CM10&gt;0,SUM(CI10:CL10)-CM10,"")</f>
        <v/>
      </c>
      <c r="DB10" s="11" t="str">
        <f>IF(CP10&gt;0,CP10,"")</f>
        <v/>
      </c>
      <c r="DC10" s="11" t="str">
        <f>IF(SUM(CN10:CQ10)-CR10&gt;0,SUM(CN10:CQ10)-CR10,"")</f>
        <v/>
      </c>
      <c r="DD10" s="11" t="str">
        <f>IF(CY10="",IF(MAX(DA10,DC10)&gt;0,MAX(DA10,DC10),""),MAX(DA10,DC10)+CY10)</f>
        <v/>
      </c>
      <c r="DE10" s="11" t="str">
        <f>IF(CU10&gt;0,CU10,"")</f>
        <v/>
      </c>
      <c r="DF10" s="11" t="str">
        <f>IF(SUM(CS10:CV10)-CW10&gt;0,SUM(CS10:CV10)-CW10,"")</f>
        <v/>
      </c>
      <c r="DG10" s="11" t="str">
        <f>IF(SUM(DD10,DF10)&gt;0,SUM(DD10,DF10),"")</f>
        <v/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8.8000000000000007</v>
      </c>
      <c r="NQ10" s="69">
        <f>IF($CX10="P",CE10,(CE10+BA10)/2)</f>
        <v>4.5999999999999996</v>
      </c>
      <c r="NR10" s="69">
        <f>IF($CX10="P",CF10,(CF10+BB10)/2)</f>
        <v>2.4</v>
      </c>
      <c r="NS10" s="69">
        <f>IF($CX10="P",CG10,(CG10+BC10)/2)</f>
        <v>7.86</v>
      </c>
      <c r="NT10" s="69">
        <f>IF($CX10="P",CH10,(CH10+BD10)/2)</f>
        <v>0.1</v>
      </c>
      <c r="NU10" s="69">
        <f>IF($CX10="P",CI10,(CI10+BE10)/2)</f>
        <v>8.0500000000000007</v>
      </c>
      <c r="NV10" s="69">
        <f>IF($CX10="P",CJ10,(CJ10+BF10)/2)</f>
        <v>4.6500000000000004</v>
      </c>
      <c r="NW10" s="69">
        <f>IF($CX10="P",CK10,(CK10+BG10)/2)</f>
        <v>6.05</v>
      </c>
      <c r="NX10" s="69">
        <f>IF($CX10="P",CL10,(CL10+BH10)/2)</f>
        <v>7.2275</v>
      </c>
      <c r="NY10" s="69">
        <f>IF($CX10="P",CM10,(CM10+BI10)/2)</f>
        <v>0</v>
      </c>
      <c r="NZ10" s="69">
        <f>IF($CX10="P",CN10,(CN10+BJ10)/2)</f>
        <v>0</v>
      </c>
      <c r="OA10" s="69">
        <f>IF($CX10="P",CO10,(CO10+BK10)/2)</f>
        <v>0</v>
      </c>
      <c r="OB10" s="69">
        <f>IF($CX10="P",CP10,(CP10+BL10)/2)</f>
        <v>0</v>
      </c>
      <c r="OC10" s="69">
        <f>IF($CX10="P",CQ10,(CQ10+BM10)/2)</f>
        <v>0</v>
      </c>
      <c r="OD10" s="69">
        <f>IF($CX10="P",CR10,(CR10+BN10)/2)</f>
        <v>0</v>
      </c>
      <c r="OE10" s="69">
        <f>IF($CX10="P",CS10,(CS10+BO10)/2)</f>
        <v>7.68</v>
      </c>
      <c r="OF10" s="69">
        <f>IF($CX10="P",CT10,(CT10+BP10)/2)</f>
        <v>4.5999999999999996</v>
      </c>
      <c r="OG10" s="69">
        <f>IF($CX10="P",CU10,(CU10+BQ10)/2)</f>
        <v>6.3</v>
      </c>
      <c r="OH10" s="69">
        <f>IF($CX10="P",CV10,(CV10+BR10)/2)</f>
        <v>7.42</v>
      </c>
      <c r="OI10" s="69">
        <f>IF($CX10="P",CW10,(CW10+BS10)/2)</f>
        <v>0</v>
      </c>
      <c r="OJ10" s="80" t="s">
        <v>91</v>
      </c>
      <c r="OK10" s="11">
        <f>IF(SUM(NP10:NS10)-NT10&gt;0,SUM(NP10:NS10)-NT10,"")</f>
        <v>23.56</v>
      </c>
      <c r="OL10" s="11">
        <f>IF(NW10&gt;0,NW10,"")</f>
        <v>6.05</v>
      </c>
      <c r="OM10" s="11">
        <f>IF(SUM(NU10:NX10)-NY10&gt;0,SUM(NU10:NX10)-NY10,"")</f>
        <v>25.977499999999999</v>
      </c>
      <c r="ON10" s="11" t="str">
        <f>IF(OB10&gt;0,OB10,"")</f>
        <v/>
      </c>
      <c r="OO10" s="11" t="str">
        <f>IF(SUM(NZ10:OC10)-OD10&gt;0,SUM(NZ10:OC10)-OD10,"")</f>
        <v/>
      </c>
      <c r="OP10" s="11">
        <f>IF(OR(OK10&lt;&gt;"",OM10&lt;&gt;"",OO10&lt;&gt;""),OK10+MAX(OM10,OO10),"")</f>
        <v>49.537499999999994</v>
      </c>
      <c r="OQ10" s="11">
        <f>IF(OG10&gt;0,OG10,"")</f>
        <v>6.3</v>
      </c>
      <c r="OR10" s="11">
        <f t="shared" si="0"/>
        <v>26</v>
      </c>
      <c r="OS10" s="11">
        <f t="shared" si="1"/>
        <v>75.537499999999994</v>
      </c>
    </row>
    <row r="11" spans="1:409" x14ac:dyDescent="0.2">
      <c r="A11" s="5" cm="1">
        <f t="array" ref="A11">IF(AND(G11&lt;&gt;"",H11&lt;&gt;""),SUMPRODUCT((G$4:G$19&lt;&gt;"")*(H$4:H$19&lt;&gt;"")*(E$4:E$19&gt;E11))+1,IF(H11&lt;&gt;"",SUMPRODUCT((I$4:I$19="No DD")*(E$4:E$19&gt;E11))+1+SUMPRODUCT((G$4:G$19&lt;&gt;"")*(H$4:H$19&lt;&gt;"")),""))</f>
        <v>8</v>
      </c>
      <c r="B11" s="127" t="s">
        <v>131</v>
      </c>
      <c r="C11" s="5" t="s">
        <v>10</v>
      </c>
      <c r="D11" s="5">
        <v>2000</v>
      </c>
      <c r="E11" s="15">
        <f>SUM(K11:S11)</f>
        <v>246.565</v>
      </c>
      <c r="F11" s="3" t="str">
        <f>IF(G11&lt;&gt;"","P","")</f>
        <v>P</v>
      </c>
      <c r="G11" s="125" t="str">
        <f>IF(OR(AND(AR11&gt;=AY$24,AR11&lt;&gt;"",AP11=""),AND(AT11&gt;=AY$24,AT11&lt;&gt;"",AP11=""),AND(AW11&gt;=AY$24,AW11&lt;&gt;"",AP11=""),AND(BV11&gt;=CC$24,BV11&lt;&gt;"",BT11=""),AND(BX11&gt;=CC$24,BX11&lt;&gt;"",BT11=""),AND(CA11&gt;=CC$24,CA11&lt;&gt;"",BT11=""),AND(CZ11&gt;=DG$24,CZ11&lt;&gt;"",CX11=""),AND(DB11&gt;=DG$24,DB11&lt;&gt;"",CX11=""),AND(DE11&gt;=DG$24,DE11&lt;&gt;"",CX11=""),AND(EA11&gt;=EG$24,EA11&lt;&gt;""),AND(EE11&gt;=EG$24,EE11&lt;&gt;""),AND(EW11&gt;=FC$24,EW11&lt;&gt;""),AND(FA11&gt;=FC$24,FA11&lt;&gt;""),AND(FS11&gt;=FY$24,FS11&lt;&gt;""),AND(FW11&gt;=FY$24,FW11&lt;&gt;""),AND(GO11&gt;=GU$24,GO11&lt;&gt;""),AND(GS11&gt;=GU$24,GS11&lt;&gt;""),AND(HK11&gt;=HQ$24,HK11&lt;&gt;""),AND(HO11&gt;=HQ$24,HO11&lt;&gt;""),AND(IG11&gt;=IM$24,IG11&lt;&gt;""),AND(IK11&gt;=IM$24,IK11&lt;&gt;""),AND(JC11&gt;=JI$24,JC11&lt;&gt;""),AND(JG11&gt;=JI$24,JG11&lt;&gt;""),AND(JY11&gt;=KE$24,JY11&lt;&gt;""),AND(KC11&gt;=KE$24,KC11&lt;&gt;""),AND(KU11&gt;=LA$24,KU11&lt;&gt;""),AND(KY11&gt;=LA$24,KY11&lt;&gt;""),AND(LQ11&gt;=LW$24,LQ11&lt;&gt;""),AND(LU11&gt;=LW$24,LU11&lt;&gt;""),AND(MM11&gt;=MS$24,MM11&lt;&gt;""),AND(MQ11&gt;=MS$24,MQ11&lt;&gt;""),AND(NI11&gt;=NO$24,NI11&lt;&gt;""),AND(NM11&gt;=NO$24,NM11&lt;&gt;"")),"Merit",IF(OR(AND(AR11&gt;=AY$23,AR11&lt;&gt;"",AP11=""),AND(AT11&gt;=AY$23,AT11&lt;&gt;"",AP11=""),AND(AW11&gt;=AY$23,AW11&lt;&gt;"",AP11=""),AND(BV11&gt;=CC$23,BV11&lt;&gt;"",BT11=""),AND(BX11&gt;=CC$23,BX11&lt;&gt;"",BT11=""),AND(CA11&gt;=CC$23,CA11&lt;&gt;"",BT11=""),AND(CZ11&gt;=DG$23,CZ11&lt;&gt;"",CX11=""),AND(DB11&gt;=DG$23,DB11&lt;&gt;"",CX11=""),AND(DE11&gt;=DG$23,DE11&lt;&gt;"",CX11=""),AND(EA11&gt;=EG$23,EA11&lt;&gt;""),AND(EE11&gt;=EG$23,EE11&lt;&gt;""),AND(EW11&gt;=FC$23,EW11&lt;&gt;""),AND(FA11&gt;=FC$23,FA11&lt;&gt;""),AND(FS11&gt;=FY$23,FS11&lt;&gt;""),AND(FW11&gt;=FY$23,FW11&lt;&gt;""),AND(GO11&gt;=GU$23,GO11&lt;&gt;""),AND(GS11&gt;=GU$23,GS11&lt;&gt;""),AND(HK11&gt;=HQ$23,HK11&lt;&gt;""),AND(HO11&gt;=HQ$23,HO11&lt;&gt;""),AND(IG11&gt;=IM$23,IG11&lt;&gt;""),AND(IK11&gt;=IM$23,IK11&lt;&gt;""),AND(JC11&gt;=JI$23,JC11&lt;&gt;""),AND(JG11&gt;=JI$23,JG11&lt;&gt;""),AND(JY11&gt;=KE$23,JY11&lt;&gt;""),AND(KC11&gt;=KE$23,KC11&lt;&gt;""),AND(KU11&gt;=LA$23,KU11&lt;&gt;""),AND(KY11&gt;=LA$23,KY11&lt;&gt;""),AND(LQ11&gt;=LW$23,LQ11&lt;&gt;""),AND(LU11&gt;=LW$23,LU11&lt;&gt;""),AND(MM11&gt;=MS$23,MM11&lt;&gt;""),AND(MQ11&gt;=MS$23,MQ11&lt;&gt;""),AND(NI11&gt;=NO$23,NI11&lt;&gt;""),AND(NM11&gt;=NO$23,NM11&lt;&gt;"")),"Excellence",IF(OR(AND(AR11&gt;=AY$22,AR11&lt;&gt;"",AP11=""),AND(AT11&gt;=AY$22,AT11&lt;&gt;"",AP11=""),AND(AW11&gt;=AY$22,AW11&lt;&gt;"",AP11=""),AND(BV11&gt;=CC$22,BV11&lt;&gt;"",BT11=""),AND(BX11&gt;=CC$22,BX11&lt;&gt;"",BT11=""),AND(CA11&gt;=CC$22,CA11&lt;&gt;"",BT11=""),AND(CZ11&gt;=DG$22,CZ11&lt;&gt;"",CX11=""),AND(DB11&gt;=DG$22,DB11&lt;&gt;"",CX11=""),AND(DE11&gt;=DG$22,DE11&lt;&gt;"",CX11=""),AND(EA11&gt;=EG$22,EA11&lt;&gt;""),AND(EE11&gt;=EG$22,EE11&lt;&gt;""),AND(EW11&gt;=FC$22,EW11&lt;&gt;""),AND(FA11&gt;=FC$22,FA11&lt;&gt;""),AND(FS11&gt;=FY$22,FS11&lt;&gt;""),AND(FW11&gt;=FY$22,FW11&lt;&gt;""),AND(GO11&gt;=GU$22,GO11&lt;&gt;""),AND(GS11&gt;=GU$22,GS11&lt;&gt;""),AND(HK11&gt;=HQ$22,HK11&lt;&gt;""),AND(HO11&gt;=HQ$22,HO11&lt;&gt;""),AND(IG11&gt;=IM$22,IG11&lt;&gt;""),AND(IK11&gt;=IM$22,IK11&lt;&gt;""),AND(JC11&gt;=JI$22,JC11&lt;&gt;""),AND(JG11&gt;=JI$22,JG11&lt;&gt;""),AND(JY11&gt;=KE$22,JY11&lt;&gt;""),AND(KC11&gt;=KE$22,KC11&lt;&gt;""),AND(KU11&gt;=LA$22,KU11&lt;&gt;""),AND(KY11&gt;=LA$22,KY11&lt;&gt;""),AND(LQ11&gt;=LW$22,LQ11&lt;&gt;""),AND(LU11&gt;=LW$22,LU11&lt;&gt;""),AND(MM11&gt;=MS$22,MM11&lt;&gt;""),AND(MQ11&gt;=MS$22,MQ11&lt;&gt;""),AND(NI11&gt;=NO$22,NI11&lt;&gt;""),AND(NM11&gt;=NO$22,NM11&lt;&gt;"")),"Worlds Team",IF(OR(AND(AR11&gt;=AY$21,AR11&lt;&gt;"",AP11=""),AND(AT11&gt;=AY$21,AT11&lt;&gt;"",AP11=""),AND(AW11&gt;=AY$21,AW11&lt;&gt;"",AP11=""),AND(BV11&gt;=CC$21,BV11&lt;&gt;"",BT11=""),AND(BX11&gt;=CC$21,BX11&lt;&gt;"",BT11=""),AND(CA11&gt;=CC$21,CA11&lt;&gt;"",BT11=""),AND(CZ11&gt;=DG$21,CZ11&lt;&gt;"",CX11=""),AND(DB11&gt;=DG$21,DB11&lt;&gt;"",CX11=""),AND(DE11&gt;=DG$21,DE11&lt;&gt;"",CX11=""),AND(EA11&gt;=EG$21,EA11&lt;&gt;""),AND(EE11&gt;=EG$21,EE11&lt;&gt;""),AND(EW11&gt;=FC$21,EW11&lt;&gt;""),AND(FA11&gt;=FC$21,FA11&lt;&gt;""),AND(FS11&gt;=FY$21,FS11&lt;&gt;""),AND(FW11&gt;=FY$21,FW11&lt;&gt;""),AND(GO11&gt;=GU$21,GO11&lt;&gt;""),AND(GS11&gt;=GU$21,GS11&lt;&gt;""),AND(HK11&gt;=HQ$21,HK11&lt;&gt;""),AND(HO11&gt;=HQ$21,HO11&lt;&gt;""),AND(IG11&gt;=IM$21,IG11&lt;&gt;""),AND(IK11&gt;=IM$21,IK11&lt;&gt;""),AND(JC11&gt;=JI$21,JC11&lt;&gt;""),AND(JG11&gt;=JI$21,JG11&lt;&gt;""),AND(JY11&gt;=KE$21,JY11&lt;&gt;""),AND(KC11&gt;=KE$21,KC11&lt;&gt;""),AND(KU11&gt;=LA$21,KU11&lt;&gt;""),AND(KY11&gt;=LA$21,KY11&lt;&gt;""),AND(LQ11&gt;=LW$21,LQ11&lt;&gt;""),AND(LU11&gt;=LW$21,LU11&lt;&gt;""),AND(MM11&gt;=MS$21,MM11&lt;&gt;""),AND(MQ11&gt;=MS$21,MQ11&lt;&gt;""),AND(NI11&gt;=NO$21,NI11&lt;&gt;""),AND(NM11&gt;=NO$21,NM11&lt;&gt;"")),"National Team",""))))</f>
        <v>National Team</v>
      </c>
      <c r="H11" s="125" t="str">
        <f>IF(OR(AND(AS11&gt;=AY$28,AS11&lt;&gt;"",AP11=""),AND(AU11&gt;=AY$28,AU11&lt;&gt;"",AP11=""),AND(AX11&gt;=AY$28,AX11&lt;&gt;"",AP11=""),AND(BW11&gt;=CC$28,BW11&lt;&gt;"",BT11=""),AND(BY11&gt;=CC$28,BY11&lt;&gt;"",BT11=""),AND(CB11&gt;=CC$28,CB11&lt;&gt;"",BT11=""),AND(DA11&gt;=DG$28,DA11&lt;&gt;"",CX11=""),AND(DC11&gt;=DG$28,DC11&lt;&gt;"",CX11=""),AND(DF11&gt;=DG$28,DF11&lt;&gt;"",CX11=""),AND(EC11&gt;=EG$28,EC11&lt;&gt;""),AND(EF11&gt;=EG$28,EF11&lt;&gt;""),AND(EY11&gt;=FC$28,EY11&lt;&gt;""),AND(FB11&gt;=FC$28,FB11&lt;&gt;""),AND(FU11&gt;=FY$28,FU11&lt;&gt;""),AND(FX11&gt;=FY$28,FX11&lt;&gt;""),AND(GQ11&gt;=GU$28,GQ11&lt;&gt;""),AND(GT11&gt;=GU$28,GT11&lt;&gt;""),AND(HM11&gt;=HQ$28,HM11&lt;&gt;""),AND(HP11&gt;=HQ$28,HP11&lt;&gt;""),AND(II11&gt;=IM$28,II11&lt;&gt;""),AND(IL11&gt;=IM$28,IL11&lt;&gt;""),AND(JE11&gt;=JI$28,JE11&lt;&gt;""),AND(JH11&gt;=JI$28,JH11&lt;&gt;""),AND(KA11&gt;=KE$28,KA11&lt;&gt;""),AND(KD11&gt;=KE$28,KD11&lt;&gt;""),AND(KW11&gt;=LA$28,KW11&lt;&gt;""),AND(KZ11&gt;=LA$28,KZ11&lt;&gt;""),AND(LS11&gt;=LW$28,LS11&lt;&gt;""),AND(LV11&gt;=LW$28,LV11&lt;&gt;""),AND(MO11&gt;=MS$28,MO11&lt;&gt;""),AND(MR11&gt;=MS$28,MR11&lt;&gt;""),AND(NK11&gt;=NO$28,NK11&lt;&gt;""),AND(NN11&gt;=NO$28,NN11&lt;&gt;"")),"Merit",IF(OR(AND(AS11&gt;=AY$27,AS11&lt;&gt;"",AP11=""),AND(AU11&gt;=AY$27,AU11&lt;&gt;"",AP11=""),AND(AX11&gt;=AY$27,AX11&lt;&gt;"",AP11=""),AND(BW11&gt;=CC$27,BW11&lt;&gt;"",BT11=""),AND(BY11&gt;=CC$27,BY11&lt;&gt;"",BT11=""),AND(CB11&gt;=CC$27,CB11&lt;&gt;"",BT11=""),AND(DA11&gt;=DG$27,DA11&lt;&gt;"",CX11=""),AND(DC11&gt;=DG$27,DC11&lt;&gt;"",CX11=""),AND(DF11&gt;=DG$27,DF11&lt;&gt;"",CX11=""),AND(EC11&gt;=EG$27,EC11&lt;&gt;""),AND(EF11&gt;=EG$27,EF11&lt;&gt;""),AND(EY11&gt;=FC$27,EY11&lt;&gt;""),AND(FB11&gt;=FC$27,FB11&lt;&gt;""),AND(FU11&gt;=FY$27,FU11&lt;&gt;""),AND(FX11&gt;=FY$27,FX11&lt;&gt;""),AND(GQ11&gt;=GU$27,GQ11&lt;&gt;""),AND(GT11&gt;=GU$27,GT11&lt;&gt;""),AND(HM11&gt;=HQ$27,HM11&lt;&gt;""),AND(HP11&gt;=HQ$27,HP11&lt;&gt;""),AND(II11&gt;=IM$27,II11&lt;&gt;""),AND(IL11&gt;=IM$27,IL11&lt;&gt;""),AND(JE11&gt;=JI$27,JE11&lt;&gt;""),AND(JH11&gt;=JI$27,JH11&lt;&gt;""),AND(KA11&gt;=KE$27,KA11&lt;&gt;""),AND(KD11&gt;=KE$27,KD11&lt;&gt;""),AND(KW11&gt;=LA$27,KW11&lt;&gt;""),AND(KZ11&gt;=LA$27,KZ11&lt;&gt;""),AND(LS11&gt;=LW$27,LS11&lt;&gt;""),AND(LV11&gt;=LW$27,LV11&lt;&gt;""),AND(MO11&gt;=MS$27,MO11&lt;&gt;""),AND(MR11&gt;=MS$27,MR11&lt;&gt;""),AND(NK11&gt;=NO$27,NK11&lt;&gt;""),AND(NN11&gt;=NO$27,NN11&lt;&gt;"")),"Excellence",IF(OR(AND(AV11&gt;=AY$26,AV11&lt;&gt;"",AP11=""),AND(BZ11&gt;=CC$26,BZ11&lt;&gt;"",BT11=""),AND(DD11&gt;=DG$26,DD11&lt;&gt;"",CX11=""),AND(ED11&gt;=EG$26,ED11&lt;&gt;""),AND(EZ11&gt;=FC$26,EZ11&lt;&gt;""),AND(FV11&gt;=FY$26,FV11&lt;&gt;""),AND(GR11&gt;=GU$26,GR11&lt;&gt;""),AND(HN11&gt;=HQ$26,HN11&lt;&gt;""),AND(IJ11&gt;=IM$26,IJ11&lt;&gt;""),AND(JF11&gt;=JI$26,JF11&lt;&gt;""),AND(KB11&gt;=KE$26,KB11&lt;&gt;""),AND(KX11&gt;=LA$26,KX11&lt;&gt;""),AND(LT11&gt;=LW$26,LT11&lt;&gt;""),AND(MP11&gt;=MS$26,MP11&lt;&gt;""),AND(NL11&gt;=NO$26,NL11&lt;&gt;"")),"Worlds Team",IF(OR(AND(AV11&gt;=AY$25,AV11&lt;&gt;"",AP11=""),AND(BZ11&gt;=CC$25,BZ11&lt;&gt;"",BT11=""),AND(DD11&gt;=DG$25,DD11&lt;&gt;"",CX11=""),AND(ED11&gt;=EG$25,ED11&lt;&gt;""),AND(EZ11&gt;=FC$25,EZ11&lt;&gt;""),AND(FV11&gt;=FY$25,FV11&lt;&gt;""),AND(GR11&gt;=GU$25,GR11&lt;&gt;""),AND(HN11&gt;=HQ$25,HN11&lt;&gt;""),AND(IJ11&gt;=IM$25,IJ11&lt;&gt;""),AND(JF11&gt;=JI$25,JF11&lt;&gt;""),AND(KB11&gt;=KE$25,KB11&lt;&gt;""),AND(KX11&gt;=LA$25,KX11&lt;&gt;""),AND(LT11&gt;=LW$25,LT11&lt;&gt;""),AND(MP11&gt;=MS$25,MP11&lt;&gt;""),AND(NL11&gt;=NO$25,NL11&lt;&gt;"")),"National Team",""))))</f>
        <v>Worlds Team</v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>National Team</v>
      </c>
      <c r="J11" s="3" t="str">
        <f>IF(AND(OR(AND(AV11&gt;=AY$26,AV11&lt;&gt;"",AP11=""),AND(BZ11&gt;=CC$26,BZ11&lt;&gt;"",BT11=""),AND(DD11&gt;=DG$26,DD11&lt;&gt;"",CX11=""),AND(ED11&gt;=EG$26,ED11&lt;&gt;""),AND(EZ11&gt;=FC$26,EZ11&lt;&gt;""),AND(FV11&gt;=FY$26,FV11&lt;&gt;""),AND(GR11&gt;=GU$26,GR11&lt;&gt;""),AND(HN11&gt;=HQ$26,HN11&lt;&gt;""),AND(IJ11&gt;=IM$26,IJ11&lt;&gt;""),AND(JF11&gt;=JI$26,JF11&lt;&gt;""),AND(KB11&gt;=KE$26,KB11&lt;&gt;""),AND(KX11&gt;=LA$26,KX11&lt;&gt;""),AND(LT11&gt;=LW$26,LT11&lt;&gt;""),AND(MP11&gt;=MS$26,MP11&lt;&gt;""),AND(NL11&gt;=NO$26,NL11&lt;&gt;"")),OR(G11="Worlds Team",G11="Excellence",G11="Merit")),"P","")</f>
        <v/>
      </c>
      <c r="K11" s="14">
        <f>IF(MAX(AV11,BZ11,DD11)&gt;0,MAX(AV11,BZ11,DD11),0)</f>
        <v>98.289999999999992</v>
      </c>
      <c r="L11" s="14" t="str">
        <f>IF(K11=0,"",IF(K11=DD11,$CD$1,IF(K11=BZ11,$AZ$1,IF(K11=AV11,$V$1,""))))</f>
        <v>2021 1st Virtual Technical Trial</v>
      </c>
      <c r="M11" s="14">
        <f>IF($K11=$AV11,MAX(BU11,CY11),IF($K11=$BZ11,MAX(AQ11,CY11),IF($K11=$DD11,MAX(AQ11,BU11),MAX(AQ11,BU11,CY11))))</f>
        <v>46.244999999999997</v>
      </c>
      <c r="N11" s="14" t="str">
        <f>IF(M11=0,"",IF(AND(M11=CY11,$L11&lt;&gt;$CD$1),$CD$1,IF(AND(M11=BU11,$L11&lt;&gt;$AZ$1),$AZ$1,IF(AND(M11=AQ11,$L11&lt;&gt;$V$1),$V$1,""))))</f>
        <v>2019 Elite Canada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50.49</v>
      </c>
      <c r="P11" s="14" t="str">
        <f>IF(O11=0,"",IF(OR(O11=DC11,O11=DA11),$CD$1,IF(OR(O11=BY11,O11=BW11),$AZ$1,IF(OR(O11=AU11,O11=AS11),$V$1,""))))</f>
        <v>2021 1st Virtual Technical Trial</v>
      </c>
      <c r="Q11" s="14">
        <f>MAX(AX11,CB11,DF11)</f>
        <v>51.54</v>
      </c>
      <c r="R11" s="14" t="str">
        <f>IF(Q11=0,"",IF(Q11=DF11,$CD$1,IF(Q11=CB11,$AZ$1,IF(Q11=AX11,$V$1,""))))</f>
        <v>2021 1st Virtual Technical Trial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17.8</v>
      </c>
      <c r="W11" s="69">
        <v>9.75</v>
      </c>
      <c r="X11" s="69">
        <v>3.4</v>
      </c>
      <c r="Y11" s="69">
        <v>15.295</v>
      </c>
      <c r="Z11" s="69">
        <v>0</v>
      </c>
      <c r="AA11" s="69">
        <v>13.4</v>
      </c>
      <c r="AB11" s="69">
        <v>8.9499999999999993</v>
      </c>
      <c r="AC11" s="69">
        <v>10</v>
      </c>
      <c r="AD11" s="69">
        <v>14.275</v>
      </c>
      <c r="AE11" s="69">
        <v>1.2</v>
      </c>
      <c r="AF11" s="69"/>
      <c r="AG11" s="69"/>
      <c r="AH11" s="69"/>
      <c r="AI11" s="69"/>
      <c r="AJ11" s="69"/>
      <c r="AK11" s="69">
        <v>14.7</v>
      </c>
      <c r="AL11" s="69">
        <v>9.1</v>
      </c>
      <c r="AM11" s="69">
        <v>10.7</v>
      </c>
      <c r="AN11" s="69">
        <v>14.585000000000001</v>
      </c>
      <c r="AO11" s="69">
        <v>0.5</v>
      </c>
      <c r="AP11" s="80"/>
      <c r="AQ11" s="11">
        <f>IF(SUM(V11:Y11)-Z11&gt;0,SUM(V11:Y11)-Z11,"")</f>
        <v>46.244999999999997</v>
      </c>
      <c r="AR11" s="11">
        <f>IF(AC11&gt;0,AC11,"")</f>
        <v>10</v>
      </c>
      <c r="AS11" s="11">
        <f>IF(SUM(AA11:AD11)-AE11&gt;0,SUM(AA11:AD11)-AE11,"")</f>
        <v>45.424999999999997</v>
      </c>
      <c r="AT11" s="11" t="str">
        <f>IF(AH11&gt;0,AH11,"")</f>
        <v/>
      </c>
      <c r="AU11" s="11" t="str">
        <f>IF(SUM(AF11:AI11)-AJ11&gt;0,SUM(AF11:AI11)-AJ11,"")</f>
        <v/>
      </c>
      <c r="AV11" s="11">
        <f>IF(OR(AQ11&lt;&gt;"",AS11&lt;&gt;"",AU11&lt;&gt;""),AQ11+MAX(AS11,AU11),"")</f>
        <v>91.669999999999987</v>
      </c>
      <c r="AW11" s="11">
        <f>IF(AM11&gt;0,AM11,"")</f>
        <v>10.7</v>
      </c>
      <c r="AX11" s="11">
        <f>IF(SUM(AK11:AN11)-AO11&gt;0,SUM(AK11:AN11)-AO11,"")</f>
        <v>48.585000000000001</v>
      </c>
      <c r="AY11" s="11">
        <f>IF(SUM(AV11,AX11)&gt;0,SUM(AV11,AX11),"")</f>
        <v>140.255</v>
      </c>
      <c r="AZ11" s="75">
        <v>16.399999999999999</v>
      </c>
      <c r="BA11" s="75">
        <v>8.9</v>
      </c>
      <c r="BB11" s="75">
        <v>1.9</v>
      </c>
      <c r="BC11" s="75">
        <v>14.125</v>
      </c>
      <c r="BD11" s="75">
        <v>0</v>
      </c>
      <c r="BE11" s="75">
        <v>14.2</v>
      </c>
      <c r="BF11" s="75">
        <v>9.3000000000000007</v>
      </c>
      <c r="BG11" s="75">
        <v>10</v>
      </c>
      <c r="BH11" s="75">
        <v>13.775</v>
      </c>
      <c r="BI11" s="75">
        <v>1.2</v>
      </c>
      <c r="BJ11" s="75"/>
      <c r="BK11" s="75"/>
      <c r="BL11" s="75"/>
      <c r="BM11" s="75"/>
      <c r="BN11" s="75"/>
      <c r="BO11" s="75">
        <v>6.36</v>
      </c>
      <c r="BP11" s="75">
        <v>3.8</v>
      </c>
      <c r="BQ11" s="75">
        <v>5</v>
      </c>
      <c r="BR11" s="75">
        <v>6.08</v>
      </c>
      <c r="BS11" s="75"/>
      <c r="BT11" s="81"/>
      <c r="BU11" s="14">
        <f>IF(SUM(AZ11:BC11)-BD11&gt;0,SUM(AZ11:BC11)-BD11,"")</f>
        <v>41.324999999999996</v>
      </c>
      <c r="BV11" s="14">
        <f>IF(BG11&gt;0,BG11,"")</f>
        <v>10</v>
      </c>
      <c r="BW11" s="14">
        <f>IF(SUM(BE11:BH11)-BI11&gt;0,SUM(BE11:BH11)-BI11,"")</f>
        <v>46.074999999999996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87.399999999999991</v>
      </c>
      <c r="CA11" s="14">
        <f>IF(BQ11&gt;0,BQ11,"")</f>
        <v>5</v>
      </c>
      <c r="CB11" s="14">
        <f>IF(SUM(BO11:BR11)-BS11&gt;0,SUM(BO11:BR11)-BS11,"")</f>
        <v>21.240000000000002</v>
      </c>
      <c r="CC11" s="14">
        <f>IF(SUM(BZ11,CB11)&gt;0,SUM(BZ11,CB11),"")</f>
        <v>108.63999999999999</v>
      </c>
      <c r="CD11" s="69">
        <v>17.5</v>
      </c>
      <c r="CE11" s="69">
        <v>9.5</v>
      </c>
      <c r="CF11" s="69">
        <v>3.4</v>
      </c>
      <c r="CG11" s="69">
        <v>16.079999999999998</v>
      </c>
      <c r="CH11" s="69">
        <v>0</v>
      </c>
      <c r="CI11" s="69">
        <v>14.1</v>
      </c>
      <c r="CJ11" s="69">
        <v>9.65</v>
      </c>
      <c r="CK11" s="69">
        <v>11.5</v>
      </c>
      <c r="CL11" s="69">
        <v>15.24</v>
      </c>
      <c r="CM11" s="69">
        <v>0</v>
      </c>
      <c r="CN11" s="69">
        <v>15.8</v>
      </c>
      <c r="CO11" s="69">
        <v>9.35</v>
      </c>
      <c r="CP11" s="69">
        <v>11.5</v>
      </c>
      <c r="CQ11" s="69">
        <v>15.16</v>
      </c>
      <c r="CR11" s="69">
        <v>0</v>
      </c>
      <c r="CS11" s="69">
        <v>15.3</v>
      </c>
      <c r="CT11" s="69">
        <v>9</v>
      </c>
      <c r="CU11" s="69">
        <v>12.2</v>
      </c>
      <c r="CV11" s="69">
        <v>15.04</v>
      </c>
      <c r="CW11" s="69">
        <v>0</v>
      </c>
      <c r="CX11" s="80"/>
      <c r="CY11" s="11">
        <f>IF(SUM(CD11:CG11)-CH11&gt;0,SUM(CD11:CG11)-CH11,"")</f>
        <v>46.48</v>
      </c>
      <c r="CZ11" s="11">
        <f>IF(CK11&gt;0,CK11,"")</f>
        <v>11.5</v>
      </c>
      <c r="DA11" s="11">
        <f>IF(SUM(CI11:CL11)-CM11&gt;0,SUM(CI11:CL11)-CM11,"")</f>
        <v>50.49</v>
      </c>
      <c r="DB11" s="11">
        <f>IF(CP11&gt;0,CP11,"")</f>
        <v>11.5</v>
      </c>
      <c r="DC11" s="11">
        <f>IF(SUM(CN11:CQ11)-CR11&gt;0,SUM(CN11:CQ11)-CR11,"")</f>
        <v>51.81</v>
      </c>
      <c r="DD11" s="11">
        <f>IF(CY11="",IF(MAX(DA11,DC11)&gt;0,MAX(DA11,DC11),""),MAX(DA11,DC11)+CY11)</f>
        <v>98.289999999999992</v>
      </c>
      <c r="DE11" s="11">
        <f>IF(CU11&gt;0,CU11,"")</f>
        <v>12.2</v>
      </c>
      <c r="DF11" s="11">
        <f>IF(SUM(CS11:CV11)-CW11&gt;0,SUM(CS11:CV11)-CW11,"")</f>
        <v>51.54</v>
      </c>
      <c r="DG11" s="11">
        <f>IF(SUM(DD11,DF11)&gt;0,SUM(DD11,DF11),"")</f>
        <v>149.82999999999998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16.95</v>
      </c>
      <c r="NQ11" s="69">
        <f>IF($CX11="P",CE11,(CE11+BA11)/2)</f>
        <v>9.1999999999999993</v>
      </c>
      <c r="NR11" s="69">
        <f>IF($CX11="P",CF11,(CF11+BB11)/2)</f>
        <v>2.65</v>
      </c>
      <c r="NS11" s="69">
        <f>IF($CX11="P",CG11,(CG11+BC11)/2)</f>
        <v>15.102499999999999</v>
      </c>
      <c r="NT11" s="69">
        <f>IF($CX11="P",CH11,(CH11+BD11)/2)</f>
        <v>0</v>
      </c>
      <c r="NU11" s="69">
        <f>IF($CX11="P",CI11,(CI11+BE11)/2)</f>
        <v>14.149999999999999</v>
      </c>
      <c r="NV11" s="69">
        <f>IF($CX11="P",CJ11,(CJ11+BF11)/2)</f>
        <v>9.4750000000000014</v>
      </c>
      <c r="NW11" s="69">
        <f>IF($CX11="P",CK11,(CK11+BG11)/2)</f>
        <v>10.75</v>
      </c>
      <c r="NX11" s="69">
        <f>IF($CX11="P",CL11,(CL11+BH11)/2)</f>
        <v>14.5075</v>
      </c>
      <c r="NY11" s="69">
        <f>IF($CX11="P",CM11,(CM11+BI11)/2)</f>
        <v>0.6</v>
      </c>
      <c r="NZ11" s="69">
        <f>IF($CX11="P",CN11,(CN11+BJ11)/2)</f>
        <v>7.9</v>
      </c>
      <c r="OA11" s="69">
        <f>IF($CX11="P",CO11,(CO11+BK11)/2)</f>
        <v>4.6749999999999998</v>
      </c>
      <c r="OB11" s="69">
        <f>IF($CX11="P",CP11,(CP11+BL11)/2)</f>
        <v>5.75</v>
      </c>
      <c r="OC11" s="69">
        <f>IF($CX11="P",CQ11,(CQ11+BM11)/2)</f>
        <v>7.58</v>
      </c>
      <c r="OD11" s="69">
        <f>IF($CX11="P",CR11,(CR11+BN11)/2)</f>
        <v>0</v>
      </c>
      <c r="OE11" s="69">
        <f>IF($CX11="P",CS11,(CS11+BO11)/2)</f>
        <v>10.83</v>
      </c>
      <c r="OF11" s="69">
        <f>IF($CX11="P",CT11,(CT11+BP11)/2)</f>
        <v>6.4</v>
      </c>
      <c r="OG11" s="69">
        <f>IF($CX11="P",CU11,(CU11+BQ11)/2)</f>
        <v>8.6</v>
      </c>
      <c r="OH11" s="69">
        <f>IF($CX11="P",CV11,(CV11+BR11)/2)</f>
        <v>10.559999999999999</v>
      </c>
      <c r="OI11" s="69">
        <f>IF($CX11="P",CW11,(CW11+BS11)/2)</f>
        <v>0</v>
      </c>
      <c r="OJ11" s="80" t="s">
        <v>91</v>
      </c>
      <c r="OK11" s="11">
        <f>IF(SUM(NP11:NS11)-NT11&gt;0,SUM(NP11:NS11)-NT11,"")</f>
        <v>43.902499999999996</v>
      </c>
      <c r="OL11" s="11">
        <f>IF(NW11&gt;0,NW11,"")</f>
        <v>10.75</v>
      </c>
      <c r="OM11" s="11">
        <f>IF(SUM(NU11:NX11)-NY11&gt;0,SUM(NU11:NX11)-NY11,"")</f>
        <v>48.282499999999999</v>
      </c>
      <c r="ON11" s="11">
        <f>IF(OB11&gt;0,OB11,"")</f>
        <v>5.75</v>
      </c>
      <c r="OO11" s="11">
        <f>IF(SUM(NZ11:OC11)-OD11&gt;0,SUM(NZ11:OC11)-OD11,"")</f>
        <v>25.905000000000001</v>
      </c>
      <c r="OP11" s="11">
        <f>IF(OR(OK11&lt;&gt;"",OM11&lt;&gt;"",OO11&lt;&gt;""),OK11+MAX(OM11,OO11),"")</f>
        <v>92.185000000000002</v>
      </c>
      <c r="OQ11" s="11">
        <f>IF(OG11&gt;0,OG11,"")</f>
        <v>8.6</v>
      </c>
      <c r="OR11" s="11">
        <f t="shared" si="0"/>
        <v>36.39</v>
      </c>
      <c r="OS11" s="11">
        <f t="shared" si="1"/>
        <v>128.57499999999999</v>
      </c>
    </row>
    <row r="12" spans="1:409" x14ac:dyDescent="0.2">
      <c r="A12" s="5" t="str" cm="1">
        <f t="array" ref="A12">IF(AND(G12&lt;&gt;"",H12&lt;&gt;""),SUMPRODUCT((G$4:G$19&lt;&gt;"")*(H$4:H$19&lt;&gt;"")*(E$4:E$19&gt;E12))+1,IF(H12&lt;&gt;"",SUMPRODUCT((I$4:I$19="No DD")*(E$4:E$19&gt;E12))+1+SUMPRODUCT((G$4:G$19&lt;&gt;"")*(H$4:H$19&lt;&gt;"")),""))</f>
        <v/>
      </c>
      <c r="B12" s="127" t="s">
        <v>81</v>
      </c>
      <c r="C12" s="5" t="s">
        <v>5</v>
      </c>
      <c r="D12" s="5">
        <v>1999</v>
      </c>
      <c r="E12" s="15">
        <f>SUM(K12:S12)</f>
        <v>238.46000000000004</v>
      </c>
      <c r="F12" s="3" t="str">
        <f>IF(G12&lt;&gt;"","P","")</f>
        <v>P</v>
      </c>
      <c r="G12" s="125" t="str">
        <f>IF(OR(AND(AR12&gt;=AY$24,AR12&lt;&gt;"",AP12=""),AND(AT12&gt;=AY$24,AT12&lt;&gt;"",AP12=""),AND(AW12&gt;=AY$24,AW12&lt;&gt;"",AP12=""),AND(BV12&gt;=CC$24,BV12&lt;&gt;"",BT12=""),AND(BX12&gt;=CC$24,BX12&lt;&gt;"",BT12=""),AND(CA12&gt;=CC$24,CA12&lt;&gt;"",BT12=""),AND(CZ12&gt;=DG$24,CZ12&lt;&gt;"",CX12=""),AND(DB12&gt;=DG$24,DB12&lt;&gt;"",CX12=""),AND(DE12&gt;=DG$24,DE12&lt;&gt;"",CX12=""),AND(EA12&gt;=EG$24,EA12&lt;&gt;""),AND(EE12&gt;=EG$24,EE12&lt;&gt;""),AND(EW12&gt;=FC$24,EW12&lt;&gt;""),AND(FA12&gt;=FC$24,FA12&lt;&gt;""),AND(FS12&gt;=FY$24,FS12&lt;&gt;""),AND(FW12&gt;=FY$24,FW12&lt;&gt;""),AND(GO12&gt;=GU$24,GO12&lt;&gt;""),AND(GS12&gt;=GU$24,GS12&lt;&gt;""),AND(HK12&gt;=HQ$24,HK12&lt;&gt;""),AND(HO12&gt;=HQ$24,HO12&lt;&gt;""),AND(IG12&gt;=IM$24,IG12&lt;&gt;""),AND(IK12&gt;=IM$24,IK12&lt;&gt;""),AND(JC12&gt;=JI$24,JC12&lt;&gt;""),AND(JG12&gt;=JI$24,JG12&lt;&gt;""),AND(JY12&gt;=KE$24,JY12&lt;&gt;""),AND(KC12&gt;=KE$24,KC12&lt;&gt;""),AND(KU12&gt;=LA$24,KU12&lt;&gt;""),AND(KY12&gt;=LA$24,KY12&lt;&gt;""),AND(LQ12&gt;=LW$24,LQ12&lt;&gt;""),AND(LU12&gt;=LW$24,LU12&lt;&gt;""),AND(MM12&gt;=MS$24,MM12&lt;&gt;""),AND(MQ12&gt;=MS$24,MQ12&lt;&gt;""),AND(NI12&gt;=NO$24,NI12&lt;&gt;""),AND(NM12&gt;=NO$24,NM12&lt;&gt;"")),"Merit",IF(OR(AND(AR12&gt;=AY$23,AR12&lt;&gt;"",AP12=""),AND(AT12&gt;=AY$23,AT12&lt;&gt;"",AP12=""),AND(AW12&gt;=AY$23,AW12&lt;&gt;"",AP12=""),AND(BV12&gt;=CC$23,BV12&lt;&gt;"",BT12=""),AND(BX12&gt;=CC$23,BX12&lt;&gt;"",BT12=""),AND(CA12&gt;=CC$23,CA12&lt;&gt;"",BT12=""),AND(CZ12&gt;=DG$23,CZ12&lt;&gt;"",CX12=""),AND(DB12&gt;=DG$23,DB12&lt;&gt;"",CX12=""),AND(DE12&gt;=DG$23,DE12&lt;&gt;"",CX12=""),AND(EA12&gt;=EG$23,EA12&lt;&gt;""),AND(EE12&gt;=EG$23,EE12&lt;&gt;""),AND(EW12&gt;=FC$23,EW12&lt;&gt;""),AND(FA12&gt;=FC$23,FA12&lt;&gt;""),AND(FS12&gt;=FY$23,FS12&lt;&gt;""),AND(FW12&gt;=FY$23,FW12&lt;&gt;""),AND(GO12&gt;=GU$23,GO12&lt;&gt;""),AND(GS12&gt;=GU$23,GS12&lt;&gt;""),AND(HK12&gt;=HQ$23,HK12&lt;&gt;""),AND(HO12&gt;=HQ$23,HO12&lt;&gt;""),AND(IG12&gt;=IM$23,IG12&lt;&gt;""),AND(IK12&gt;=IM$23,IK12&lt;&gt;""),AND(JC12&gt;=JI$23,JC12&lt;&gt;""),AND(JG12&gt;=JI$23,JG12&lt;&gt;""),AND(JY12&gt;=KE$23,JY12&lt;&gt;""),AND(KC12&gt;=KE$23,KC12&lt;&gt;""),AND(KU12&gt;=LA$23,KU12&lt;&gt;""),AND(KY12&gt;=LA$23,KY12&lt;&gt;""),AND(LQ12&gt;=LW$23,LQ12&lt;&gt;""),AND(LU12&gt;=LW$23,LU12&lt;&gt;""),AND(MM12&gt;=MS$23,MM12&lt;&gt;""),AND(MQ12&gt;=MS$23,MQ12&lt;&gt;""),AND(NI12&gt;=NO$23,NI12&lt;&gt;""),AND(NM12&gt;=NO$23,NM12&lt;&gt;"")),"Excellence",IF(OR(AND(AR12&gt;=AY$22,AR12&lt;&gt;"",AP12=""),AND(AT12&gt;=AY$22,AT12&lt;&gt;"",AP12=""),AND(AW12&gt;=AY$22,AW12&lt;&gt;"",AP12=""),AND(BV12&gt;=CC$22,BV12&lt;&gt;"",BT12=""),AND(BX12&gt;=CC$22,BX12&lt;&gt;"",BT12=""),AND(CA12&gt;=CC$22,CA12&lt;&gt;"",BT12=""),AND(CZ12&gt;=DG$22,CZ12&lt;&gt;"",CX12=""),AND(DB12&gt;=DG$22,DB12&lt;&gt;"",CX12=""),AND(DE12&gt;=DG$22,DE12&lt;&gt;"",CX12=""),AND(EA12&gt;=EG$22,EA12&lt;&gt;""),AND(EE12&gt;=EG$22,EE12&lt;&gt;""),AND(EW12&gt;=FC$22,EW12&lt;&gt;""),AND(FA12&gt;=FC$22,FA12&lt;&gt;""),AND(FS12&gt;=FY$22,FS12&lt;&gt;""),AND(FW12&gt;=FY$22,FW12&lt;&gt;""),AND(GO12&gt;=GU$22,GO12&lt;&gt;""),AND(GS12&gt;=GU$22,GS12&lt;&gt;""),AND(HK12&gt;=HQ$22,HK12&lt;&gt;""),AND(HO12&gt;=HQ$22,HO12&lt;&gt;""),AND(IG12&gt;=IM$22,IG12&lt;&gt;""),AND(IK12&gt;=IM$22,IK12&lt;&gt;""),AND(JC12&gt;=JI$22,JC12&lt;&gt;""),AND(JG12&gt;=JI$22,JG12&lt;&gt;""),AND(JY12&gt;=KE$22,JY12&lt;&gt;""),AND(KC12&gt;=KE$22,KC12&lt;&gt;""),AND(KU12&gt;=LA$22,KU12&lt;&gt;""),AND(KY12&gt;=LA$22,KY12&lt;&gt;""),AND(LQ12&gt;=LW$22,LQ12&lt;&gt;""),AND(LU12&gt;=LW$22,LU12&lt;&gt;""),AND(MM12&gt;=MS$22,MM12&lt;&gt;""),AND(MQ12&gt;=MS$22,MQ12&lt;&gt;""),AND(NI12&gt;=NO$22,NI12&lt;&gt;""),AND(NM12&gt;=NO$22,NM12&lt;&gt;"")),"Worlds Team",IF(OR(AND(AR12&gt;=AY$21,AR12&lt;&gt;"",AP12=""),AND(AT12&gt;=AY$21,AT12&lt;&gt;"",AP12=""),AND(AW12&gt;=AY$21,AW12&lt;&gt;"",AP12=""),AND(BV12&gt;=CC$21,BV12&lt;&gt;"",BT12=""),AND(BX12&gt;=CC$21,BX12&lt;&gt;"",BT12=""),AND(CA12&gt;=CC$21,CA12&lt;&gt;"",BT12=""),AND(CZ12&gt;=DG$21,CZ12&lt;&gt;"",CX12=""),AND(DB12&gt;=DG$21,DB12&lt;&gt;"",CX12=""),AND(DE12&gt;=DG$21,DE12&lt;&gt;"",CX12=""),AND(EA12&gt;=EG$21,EA12&lt;&gt;""),AND(EE12&gt;=EG$21,EE12&lt;&gt;""),AND(EW12&gt;=FC$21,EW12&lt;&gt;""),AND(FA12&gt;=FC$21,FA12&lt;&gt;""),AND(FS12&gt;=FY$21,FS12&lt;&gt;""),AND(FW12&gt;=FY$21,FW12&lt;&gt;""),AND(GO12&gt;=GU$21,GO12&lt;&gt;""),AND(GS12&gt;=GU$21,GS12&lt;&gt;""),AND(HK12&gt;=HQ$21,HK12&lt;&gt;""),AND(HO12&gt;=HQ$21,HO12&lt;&gt;""),AND(IG12&gt;=IM$21,IG12&lt;&gt;""),AND(IK12&gt;=IM$21,IK12&lt;&gt;""),AND(JC12&gt;=JI$21,JC12&lt;&gt;""),AND(JG12&gt;=JI$21,JG12&lt;&gt;""),AND(JY12&gt;=KE$21,JY12&lt;&gt;""),AND(KC12&gt;=KE$21,KC12&lt;&gt;""),AND(KU12&gt;=LA$21,KU12&lt;&gt;""),AND(KY12&gt;=LA$21,KY12&lt;&gt;""),AND(LQ12&gt;=LW$21,LQ12&lt;&gt;""),AND(LU12&gt;=LW$21,LU12&lt;&gt;""),AND(MM12&gt;=MS$21,MM12&lt;&gt;""),AND(MQ12&gt;=MS$21,MQ12&lt;&gt;""),AND(NI12&gt;=NO$21,NI12&lt;&gt;""),AND(NM12&gt;=NO$21,NM12&lt;&gt;"")),"National Team",""))))</f>
        <v>National Team</v>
      </c>
      <c r="H12" s="125" t="str">
        <f>IF(OR(AND(AS12&gt;=AY$28,AS12&lt;&gt;"",AP12=""),AND(AU12&gt;=AY$28,AU12&lt;&gt;"",AP12=""),AND(AX12&gt;=AY$28,AX12&lt;&gt;"",AP12=""),AND(BW12&gt;=CC$28,BW12&lt;&gt;"",BT12=""),AND(BY12&gt;=CC$28,BY12&lt;&gt;"",BT12=""),AND(CB12&gt;=CC$28,CB12&lt;&gt;"",BT12=""),AND(DA12&gt;=DG$28,DA12&lt;&gt;"",CX12=""),AND(DC12&gt;=DG$28,DC12&lt;&gt;"",CX12=""),AND(DF12&gt;=DG$28,DF12&lt;&gt;"",CX12=""),AND(EC12&gt;=EG$28,EC12&lt;&gt;""),AND(EF12&gt;=EG$28,EF12&lt;&gt;""),AND(EY12&gt;=FC$28,EY12&lt;&gt;""),AND(FB12&gt;=FC$28,FB12&lt;&gt;""),AND(FU12&gt;=FY$28,FU12&lt;&gt;""),AND(FX12&gt;=FY$28,FX12&lt;&gt;""),AND(GQ12&gt;=GU$28,GQ12&lt;&gt;""),AND(GT12&gt;=GU$28,GT12&lt;&gt;""),AND(HM12&gt;=HQ$28,HM12&lt;&gt;""),AND(HP12&gt;=HQ$28,HP12&lt;&gt;""),AND(II12&gt;=IM$28,II12&lt;&gt;""),AND(IL12&gt;=IM$28,IL12&lt;&gt;""),AND(JE12&gt;=JI$28,JE12&lt;&gt;""),AND(JH12&gt;=JI$28,JH12&lt;&gt;""),AND(KA12&gt;=KE$28,KA12&lt;&gt;""),AND(KD12&gt;=KE$28,KD12&lt;&gt;""),AND(KW12&gt;=LA$28,KW12&lt;&gt;""),AND(KZ12&gt;=LA$28,KZ12&lt;&gt;""),AND(LS12&gt;=LW$28,LS12&lt;&gt;""),AND(LV12&gt;=LW$28,LV12&lt;&gt;""),AND(MO12&gt;=MS$28,MO12&lt;&gt;""),AND(MR12&gt;=MS$28,MR12&lt;&gt;""),AND(NK12&gt;=NO$28,NK12&lt;&gt;""),AND(NN12&gt;=NO$28,NN12&lt;&gt;"")),"Merit",IF(OR(AND(AS12&gt;=AY$27,AS12&lt;&gt;"",AP12=""),AND(AU12&gt;=AY$27,AU12&lt;&gt;"",AP12=""),AND(AX12&gt;=AY$27,AX12&lt;&gt;"",AP12=""),AND(BW12&gt;=CC$27,BW12&lt;&gt;"",BT12=""),AND(BY12&gt;=CC$27,BY12&lt;&gt;"",BT12=""),AND(CB12&gt;=CC$27,CB12&lt;&gt;"",BT12=""),AND(DA12&gt;=DG$27,DA12&lt;&gt;"",CX12=""),AND(DC12&gt;=DG$27,DC12&lt;&gt;"",CX12=""),AND(DF12&gt;=DG$27,DF12&lt;&gt;"",CX12=""),AND(EC12&gt;=EG$27,EC12&lt;&gt;""),AND(EF12&gt;=EG$27,EF12&lt;&gt;""),AND(EY12&gt;=FC$27,EY12&lt;&gt;""),AND(FB12&gt;=FC$27,FB12&lt;&gt;""),AND(FU12&gt;=FY$27,FU12&lt;&gt;""),AND(FX12&gt;=FY$27,FX12&lt;&gt;""),AND(GQ12&gt;=GU$27,GQ12&lt;&gt;""),AND(GT12&gt;=GU$27,GT12&lt;&gt;""),AND(HM12&gt;=HQ$27,HM12&lt;&gt;""),AND(HP12&gt;=HQ$27,HP12&lt;&gt;""),AND(II12&gt;=IM$27,II12&lt;&gt;""),AND(IL12&gt;=IM$27,IL12&lt;&gt;""),AND(JE12&gt;=JI$27,JE12&lt;&gt;""),AND(JH12&gt;=JI$27,JH12&lt;&gt;""),AND(KA12&gt;=KE$27,KA12&lt;&gt;""),AND(KD12&gt;=KE$27,KD12&lt;&gt;""),AND(KW12&gt;=LA$27,KW12&lt;&gt;""),AND(KZ12&gt;=LA$27,KZ12&lt;&gt;""),AND(LS12&gt;=LW$27,LS12&lt;&gt;""),AND(LV12&gt;=LW$27,LV12&lt;&gt;""),AND(MO12&gt;=MS$27,MO12&lt;&gt;""),AND(MR12&gt;=MS$27,MR12&lt;&gt;""),AND(NK12&gt;=NO$27,NK12&lt;&gt;""),AND(NN12&gt;=NO$27,NN12&lt;&gt;"")),"Excellence",IF(OR(AND(AV12&gt;=AY$26,AV12&lt;&gt;"",AP12=""),AND(BZ12&gt;=CC$26,BZ12&lt;&gt;"",BT12=""),AND(DD12&gt;=DG$26,DD12&lt;&gt;"",CX12=""),AND(ED12&gt;=EG$26,ED12&lt;&gt;""),AND(EZ12&gt;=FC$26,EZ12&lt;&gt;""),AND(FV12&gt;=FY$26,FV12&lt;&gt;""),AND(GR12&gt;=GU$26,GR12&lt;&gt;""),AND(HN12&gt;=HQ$26,HN12&lt;&gt;""),AND(IJ12&gt;=IM$26,IJ12&lt;&gt;""),AND(JF12&gt;=JI$26,JF12&lt;&gt;""),AND(KB12&gt;=KE$26,KB12&lt;&gt;""),AND(KX12&gt;=LA$26,KX12&lt;&gt;""),AND(LT12&gt;=LW$26,LT12&lt;&gt;""),AND(MP12&gt;=MS$26,MP12&lt;&gt;""),AND(NL12&gt;=NO$26,NL12&lt;&gt;"")),"Worlds Team",IF(OR(AND(AV12&gt;=AY$25,AV12&lt;&gt;"",AP12=""),AND(BZ12&gt;=CC$25,BZ12&lt;&gt;"",BT12=""),AND(DD12&gt;=DG$25,DD12&lt;&gt;"",CX12=""),AND(ED12&gt;=EG$25,ED12&lt;&gt;""),AND(EZ12&gt;=FC$25,EZ12&lt;&gt;""),AND(FV12&gt;=FY$25,FV12&lt;&gt;""),AND(GR12&gt;=GU$25,GR12&lt;&gt;""),AND(HN12&gt;=HQ$25,HN12&lt;&gt;""),AND(IJ12&gt;=IM$25,IJ12&lt;&gt;""),AND(JF12&gt;=JI$25,JF12&lt;&gt;""),AND(KB12&gt;=KE$25,KB12&lt;&gt;""),AND(KX12&gt;=LA$25,KX12&lt;&gt;""),AND(LT12&gt;=LW$25,LT12&lt;&gt;""),AND(MP12&gt;=MS$25,MP12&lt;&gt;""),AND(NL12&gt;=NO$25,NL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$26,AV12&lt;&gt;"",AP12=""),AND(BZ12&gt;=CC$26,BZ12&lt;&gt;"",BT12=""),AND(DD12&gt;=DG$26,DD12&lt;&gt;"",CX12=""),AND(ED12&gt;=EG$26,ED12&lt;&gt;""),AND(EZ12&gt;=FC$26,EZ12&lt;&gt;""),AND(FV12&gt;=FY$26,FV12&lt;&gt;""),AND(GR12&gt;=GU$26,GR12&lt;&gt;""),AND(HN12&gt;=HQ$26,HN12&lt;&gt;""),AND(IJ12&gt;=IM$26,IJ12&lt;&gt;""),AND(JF12&gt;=JI$26,JF12&lt;&gt;""),AND(KB12&gt;=KE$26,KB12&lt;&gt;""),AND(KX12&gt;=LA$26,KX12&lt;&gt;""),AND(LT12&gt;=LW$26,LT12&lt;&gt;""),AND(MP12&gt;=MS$26,MP12&lt;&gt;""),AND(NL12&gt;=NO$26,NL12&lt;&gt;"")),OR(G12="Worlds Team",G12="Excellence",G12="Merit")),"P","")</f>
        <v/>
      </c>
      <c r="K12" s="14">
        <f>IF(MAX(AV12,BZ12,DD12)&gt;0,MAX(AV12,BZ12,DD12),0)</f>
        <v>95.642499999999998</v>
      </c>
      <c r="L12" s="14" t="str">
        <f>IF(K12=0,"",IF(K12=DD12,$CD$1,IF(K12=BZ12,$AZ$1,IF(K12=AV12,$V$1,""))))</f>
        <v>2019 Elite Canada</v>
      </c>
      <c r="M12" s="14">
        <f>IF($K12=$AV12,MAX(BU12,CY12),IF($K12=$BZ12,MAX(AQ12,CY12),IF($K12=$DD12,MAX(AQ12,BU12),MAX(AQ12,BU12,CY12))))</f>
        <v>46.255000000000003</v>
      </c>
      <c r="N12" s="14" t="str">
        <f>IF(M12=0,"",IF(AND(M12=CY12,$L12&lt;&gt;$CD$1),$CD$1,IF(AND(M12=BU12,$L12&lt;&gt;$AZ$1),$AZ$1,IF(AND(M12=AQ12,$L12&lt;&gt;$V$1),$V$1,""))))</f>
        <v>2019 Nationals</v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44.95</v>
      </c>
      <c r="P12" s="14" t="str">
        <f>IF(O12=0,"",IF(OR(O12=DC12,O12=DA12),$CD$1,IF(OR(O12=BY12,O12=BW12),$AZ$1,IF(OR(O12=AU12,O12=AS12),$V$1,""))))</f>
        <v>2019 Nationals</v>
      </c>
      <c r="Q12" s="14">
        <f>MAX(AX12,CB12,DF12)</f>
        <v>51.612499999999997</v>
      </c>
      <c r="R12" s="14" t="str">
        <f>IF(Q12=0,"",IF(Q12=DF12,$CD$1,IF(Q12=CB12,$AZ$1,IF(Q12=AX12,$V$1,""))))</f>
        <v>2019 Elite Canada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17.899999999999999</v>
      </c>
      <c r="W12" s="69">
        <v>8.875</v>
      </c>
      <c r="X12" s="69">
        <v>3.4000000000000004</v>
      </c>
      <c r="Y12" s="69">
        <v>15.202500000000001</v>
      </c>
      <c r="Z12" s="69">
        <v>0</v>
      </c>
      <c r="AA12" s="69">
        <v>14.75</v>
      </c>
      <c r="AB12" s="69">
        <v>9.2250000000000014</v>
      </c>
      <c r="AC12" s="69">
        <v>11.85</v>
      </c>
      <c r="AD12" s="69">
        <v>14.440000000000001</v>
      </c>
      <c r="AE12" s="69">
        <v>0</v>
      </c>
      <c r="AF12" s="69"/>
      <c r="AG12" s="69"/>
      <c r="AH12" s="69"/>
      <c r="AI12" s="69"/>
      <c r="AJ12" s="69"/>
      <c r="AK12" s="69">
        <v>15.35</v>
      </c>
      <c r="AL12" s="69">
        <v>9.1999999999999993</v>
      </c>
      <c r="AM12" s="69">
        <v>12.399999999999999</v>
      </c>
      <c r="AN12" s="69">
        <v>14.6625</v>
      </c>
      <c r="AO12" s="69">
        <v>0</v>
      </c>
      <c r="AP12" s="80" t="s">
        <v>91</v>
      </c>
      <c r="AQ12" s="11">
        <f>IF(SUM(V12:Y12)-Z12&gt;0,SUM(V12:Y12)-Z12,"")</f>
        <v>45.377499999999998</v>
      </c>
      <c r="AR12" s="11">
        <f>IF(AC12&gt;0,AC12,"")</f>
        <v>11.85</v>
      </c>
      <c r="AS12" s="11">
        <f>IF(SUM(AA12:AD12)-AE12&gt;0,SUM(AA12:AD12)-AE12,"")</f>
        <v>50.265000000000001</v>
      </c>
      <c r="AT12" s="11" t="str">
        <f>IF(AH12&gt;0,AH12,"")</f>
        <v/>
      </c>
      <c r="AU12" s="11" t="str">
        <f>IF(SUM(AF12:AI12)-AJ12&gt;0,SUM(AF12:AI12)-AJ12,"")</f>
        <v/>
      </c>
      <c r="AV12" s="11">
        <f>IF(OR(AQ12&lt;&gt;"",AS12&lt;&gt;"",AU12&lt;&gt;""),AQ12+MAX(AS12,AU12),"")</f>
        <v>95.642499999999998</v>
      </c>
      <c r="AW12" s="11">
        <f>IF(AM12&gt;0,AM12,"")</f>
        <v>12.399999999999999</v>
      </c>
      <c r="AX12" s="11">
        <f>IF(SUM(AK12:AN12)-AO12&gt;0,SUM(AK12:AN12)-AO12,"")</f>
        <v>51.612499999999997</v>
      </c>
      <c r="AY12" s="11">
        <f>IF(SUM(AV12,AX12)&gt;0,SUM(AV12,AX12),"")</f>
        <v>147.255</v>
      </c>
      <c r="AZ12" s="63">
        <v>16.5</v>
      </c>
      <c r="BA12" s="63">
        <v>9.6</v>
      </c>
      <c r="BB12" s="63">
        <v>4.9000000000000004</v>
      </c>
      <c r="BC12" s="63">
        <v>15.255000000000001</v>
      </c>
      <c r="BD12" s="63">
        <v>0</v>
      </c>
      <c r="BE12" s="63">
        <v>12.1</v>
      </c>
      <c r="BF12" s="63">
        <v>7.9</v>
      </c>
      <c r="BG12" s="63">
        <v>11.7</v>
      </c>
      <c r="BH12" s="63">
        <v>13.25</v>
      </c>
      <c r="BI12" s="63">
        <v>0</v>
      </c>
      <c r="BJ12" s="63"/>
      <c r="BK12" s="63"/>
      <c r="BL12" s="63"/>
      <c r="BM12" s="63"/>
      <c r="BN12" s="63"/>
      <c r="BO12" s="63">
        <v>13.6</v>
      </c>
      <c r="BP12" s="63">
        <v>9.5</v>
      </c>
      <c r="BQ12" s="63">
        <v>12.9</v>
      </c>
      <c r="BR12" s="63">
        <v>14.42</v>
      </c>
      <c r="BS12" s="63"/>
      <c r="BT12" s="81"/>
      <c r="BU12" s="14">
        <f>IF(SUM(AZ12:BC12)-BD12&gt;0,SUM(AZ12:BC12)-BD12,"")</f>
        <v>46.255000000000003</v>
      </c>
      <c r="BV12" s="14">
        <f>IF(BG12&gt;0,BG12,"")</f>
        <v>11.7</v>
      </c>
      <c r="BW12" s="14">
        <f>IF(SUM(BE12:BH12)-BI12&gt;0,SUM(BE12:BH12)-BI12,"")</f>
        <v>44.95</v>
      </c>
      <c r="BX12" s="14" t="str">
        <f>IF(BL12&gt;0,BL12,"")</f>
        <v/>
      </c>
      <c r="BY12" s="14" t="str">
        <f>IF(SUM(BJ12:BM12)-BN12&gt;0,SUM(BJ12:BM12)-BN12,"")</f>
        <v/>
      </c>
      <c r="BZ12" s="14">
        <f>IF(BU12="",IF(MAX(BW12,BY12)&gt;0,MAX(BW12,BY12),""),MAX(BW12,BY12)+BU12)</f>
        <v>91.205000000000013</v>
      </c>
      <c r="CA12" s="14">
        <f>IF(BQ12&gt;0,BQ12,"")</f>
        <v>12.9</v>
      </c>
      <c r="CB12" s="14">
        <f>IF(SUM(BO12:BR12)-BS12&gt;0,SUM(BO12:BR12)-BS12,"")</f>
        <v>50.42</v>
      </c>
      <c r="CC12" s="14">
        <f>IF(SUM(BZ12,CB12)&gt;0,SUM(BZ12,CB12),"")</f>
        <v>141.625</v>
      </c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80"/>
      <c r="CY12" s="11" t="str">
        <f>IF(SUM(CD12:CG12)-CH12&gt;0,SUM(CD12:CG12)-CH12,"")</f>
        <v/>
      </c>
      <c r="CZ12" s="11" t="str">
        <f>IF(CK12&gt;0,CK12,"")</f>
        <v/>
      </c>
      <c r="DA12" s="11" t="str">
        <f>IF(SUM(CI12:CL12)-CM12&gt;0,SUM(CI12:CL12)-CM12,"")</f>
        <v/>
      </c>
      <c r="DB12" s="11" t="str">
        <f>IF(CP12&gt;0,CP12,"")</f>
        <v/>
      </c>
      <c r="DC12" s="11" t="str">
        <f>IF(SUM(CN12:CQ12)-CR12&gt;0,SUM(CN12:CQ12)-CR12,"")</f>
        <v/>
      </c>
      <c r="DD12" s="11" t="str">
        <f>IF(CY12="",IF(MAX(DA12,DC12)&gt;0,MAX(DA12,DC12),""),MAX(DA12,DC12)+CY12)</f>
        <v/>
      </c>
      <c r="DE12" s="11" t="str">
        <f>IF(CU12&gt;0,CU12,"")</f>
        <v/>
      </c>
      <c r="DF12" s="11" t="str">
        <f>IF(SUM(CS12:CV12)-CW12&gt;0,SUM(CS12:CV12)-CW12,"")</f>
        <v/>
      </c>
      <c r="DG12" s="11" t="str">
        <f>IF(SUM(DD12,DF12)&gt;0,SUM(DD12,DF12),"")</f>
        <v/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8.25</v>
      </c>
      <c r="NQ12" s="69">
        <f>IF($CX12="P",CE12,(CE12+BA12)/2)</f>
        <v>4.8</v>
      </c>
      <c r="NR12" s="69">
        <f>IF($CX12="P",CF12,(CF12+BB12)/2)</f>
        <v>2.4500000000000002</v>
      </c>
      <c r="NS12" s="69">
        <f>IF($CX12="P",CG12,(CG12+BC12)/2)</f>
        <v>7.6275000000000004</v>
      </c>
      <c r="NT12" s="69">
        <f>IF($CX12="P",CH12,(CH12+BD12)/2)</f>
        <v>0</v>
      </c>
      <c r="NU12" s="69">
        <f>IF($CX12="P",CI12,(CI12+BE12)/2)</f>
        <v>6.05</v>
      </c>
      <c r="NV12" s="69">
        <f>IF($CX12="P",CJ12,(CJ12+BF12)/2)</f>
        <v>3.95</v>
      </c>
      <c r="NW12" s="69">
        <f>IF($CX12="P",CK12,(CK12+BG12)/2)</f>
        <v>5.85</v>
      </c>
      <c r="NX12" s="69">
        <f>IF($CX12="P",CL12,(CL12+BH12)/2)</f>
        <v>6.625</v>
      </c>
      <c r="NY12" s="69">
        <f>IF($CX12="P",CM12,(CM12+BI12)/2)</f>
        <v>0</v>
      </c>
      <c r="NZ12" s="69">
        <f>IF($CX12="P",CN12,(CN12+BJ12)/2)</f>
        <v>0</v>
      </c>
      <c r="OA12" s="69">
        <f>IF($CX12="P",CO12,(CO12+BK12)/2)</f>
        <v>0</v>
      </c>
      <c r="OB12" s="69">
        <f>IF($CX12="P",CP12,(CP12+BL12)/2)</f>
        <v>0</v>
      </c>
      <c r="OC12" s="69">
        <f>IF($CX12="P",CQ12,(CQ12+BM12)/2)</f>
        <v>0</v>
      </c>
      <c r="OD12" s="69">
        <f>IF($CX12="P",CR12,(CR12+BN12)/2)</f>
        <v>0</v>
      </c>
      <c r="OE12" s="69">
        <f>IF($CX12="P",CS12,(CS12+BO12)/2)</f>
        <v>6.8</v>
      </c>
      <c r="OF12" s="69">
        <f>IF($CX12="P",CT12,(CT12+BP12)/2)</f>
        <v>4.75</v>
      </c>
      <c r="OG12" s="69">
        <f>IF($CX12="P",CU12,(CU12+BQ12)/2)</f>
        <v>6.45</v>
      </c>
      <c r="OH12" s="69">
        <f>IF($CX12="P",CV12,(CV12+BR12)/2)</f>
        <v>7.21</v>
      </c>
      <c r="OI12" s="69">
        <f>IF($CX12="P",CW12,(CW12+BS12)/2)</f>
        <v>0</v>
      </c>
      <c r="OJ12" s="80" t="s">
        <v>91</v>
      </c>
      <c r="OK12" s="11">
        <f>IF(SUM(NP12:NS12)-NT12&gt;0,SUM(NP12:NS12)-NT12,"")</f>
        <v>23.127500000000001</v>
      </c>
      <c r="OL12" s="11">
        <f>IF(NW12&gt;0,NW12,"")</f>
        <v>5.85</v>
      </c>
      <c r="OM12" s="11">
        <f>IF(SUM(NU12:NX12)-NY12&gt;0,SUM(NU12:NX12)-NY12,"")</f>
        <v>22.475000000000001</v>
      </c>
      <c r="ON12" s="11" t="str">
        <f>IF(OB12&gt;0,OB12,"")</f>
        <v/>
      </c>
      <c r="OO12" s="11" t="str">
        <f>IF(SUM(NZ12:OC12)-OD12&gt;0,SUM(NZ12:OC12)-OD12,"")</f>
        <v/>
      </c>
      <c r="OP12" s="11">
        <f>IF(OR(OK12&lt;&gt;"",OM12&lt;&gt;"",OO12&lt;&gt;""),OK12+MAX(OM12,OO12),"")</f>
        <v>45.602500000000006</v>
      </c>
      <c r="OQ12" s="11">
        <f>IF(OG12&gt;0,OG12,"")</f>
        <v>6.45</v>
      </c>
      <c r="OR12" s="11">
        <f t="shared" si="0"/>
        <v>25.21</v>
      </c>
      <c r="OS12" s="11">
        <f t="shared" si="1"/>
        <v>70.8125</v>
      </c>
    </row>
    <row r="13" spans="1:409" x14ac:dyDescent="0.2">
      <c r="A13" s="5" t="str" cm="1">
        <f t="array" ref="A13">IF(AND(G13&lt;&gt;"",H13&lt;&gt;""),SUMPRODUCT((G$4:G$19&lt;&gt;"")*(H$4:H$19&lt;&gt;"")*(E$4:E$19&gt;E13))+1,IF(H13&lt;&gt;"",SUMPRODUCT((I$4:I$19="No DD")*(E$4:E$19&gt;E13))+1+SUMPRODUCT((G$4:G$19&lt;&gt;"")*(H$4:H$19&lt;&gt;"")),""))</f>
        <v/>
      </c>
      <c r="B13" s="127" t="s">
        <v>180</v>
      </c>
      <c r="C13" s="5" t="s">
        <v>6</v>
      </c>
      <c r="D13" s="5">
        <v>2001</v>
      </c>
      <c r="E13" s="15">
        <f>SUM(K13:S13)</f>
        <v>236.89</v>
      </c>
      <c r="F13" s="3" t="str">
        <f>IF(G13&lt;&gt;"","P","")</f>
        <v>P</v>
      </c>
      <c r="G13" s="125" t="str">
        <f>IF(OR(AND(AR13&gt;=AY$24,AR13&lt;&gt;"",AP13=""),AND(AT13&gt;=AY$24,AT13&lt;&gt;"",AP13=""),AND(AW13&gt;=AY$24,AW13&lt;&gt;"",AP13=""),AND(BV13&gt;=CC$24,BV13&lt;&gt;"",BT13=""),AND(BX13&gt;=CC$24,BX13&lt;&gt;"",BT13=""),AND(CA13&gt;=CC$24,CA13&lt;&gt;"",BT13=""),AND(CZ13&gt;=DG$24,CZ13&lt;&gt;"",CX13=""),AND(DB13&gt;=DG$24,DB13&lt;&gt;"",CX13=""),AND(DE13&gt;=DG$24,DE13&lt;&gt;"",CX13=""),AND(EA13&gt;=EG$24,EA13&lt;&gt;""),AND(EE13&gt;=EG$24,EE13&lt;&gt;""),AND(EW13&gt;=FC$24,EW13&lt;&gt;""),AND(FA13&gt;=FC$24,FA13&lt;&gt;""),AND(FS13&gt;=FY$24,FS13&lt;&gt;""),AND(FW13&gt;=FY$24,FW13&lt;&gt;""),AND(GO13&gt;=GU$24,GO13&lt;&gt;""),AND(GS13&gt;=GU$24,GS13&lt;&gt;""),AND(HK13&gt;=HQ$24,HK13&lt;&gt;""),AND(HO13&gt;=HQ$24,HO13&lt;&gt;""),AND(IG13&gt;=IM$24,IG13&lt;&gt;""),AND(IK13&gt;=IM$24,IK13&lt;&gt;""),AND(JC13&gt;=JI$24,JC13&lt;&gt;""),AND(JG13&gt;=JI$24,JG13&lt;&gt;""),AND(JY13&gt;=KE$24,JY13&lt;&gt;""),AND(KC13&gt;=KE$24,KC13&lt;&gt;""),AND(KU13&gt;=LA$24,KU13&lt;&gt;""),AND(KY13&gt;=LA$24,KY13&lt;&gt;""),AND(LQ13&gt;=LW$24,LQ13&lt;&gt;""),AND(LU13&gt;=LW$24,LU13&lt;&gt;""),AND(MM13&gt;=MS$24,MM13&lt;&gt;""),AND(MQ13&gt;=MS$24,MQ13&lt;&gt;""),AND(NI13&gt;=NO$24,NI13&lt;&gt;""),AND(NM13&gt;=NO$24,NM13&lt;&gt;"")),"Merit",IF(OR(AND(AR13&gt;=AY$23,AR13&lt;&gt;"",AP13=""),AND(AT13&gt;=AY$23,AT13&lt;&gt;"",AP13=""),AND(AW13&gt;=AY$23,AW13&lt;&gt;"",AP13=""),AND(BV13&gt;=CC$23,BV13&lt;&gt;"",BT13=""),AND(BX13&gt;=CC$23,BX13&lt;&gt;"",BT13=""),AND(CA13&gt;=CC$23,CA13&lt;&gt;"",BT13=""),AND(CZ13&gt;=DG$23,CZ13&lt;&gt;"",CX13=""),AND(DB13&gt;=DG$23,DB13&lt;&gt;"",CX13=""),AND(DE13&gt;=DG$23,DE13&lt;&gt;"",CX13=""),AND(EA13&gt;=EG$23,EA13&lt;&gt;""),AND(EE13&gt;=EG$23,EE13&lt;&gt;""),AND(EW13&gt;=FC$23,EW13&lt;&gt;""),AND(FA13&gt;=FC$23,FA13&lt;&gt;""),AND(FS13&gt;=FY$23,FS13&lt;&gt;""),AND(FW13&gt;=FY$23,FW13&lt;&gt;""),AND(GO13&gt;=GU$23,GO13&lt;&gt;""),AND(GS13&gt;=GU$23,GS13&lt;&gt;""),AND(HK13&gt;=HQ$23,HK13&lt;&gt;""),AND(HO13&gt;=HQ$23,HO13&lt;&gt;""),AND(IG13&gt;=IM$23,IG13&lt;&gt;""),AND(IK13&gt;=IM$23,IK13&lt;&gt;""),AND(JC13&gt;=JI$23,JC13&lt;&gt;""),AND(JG13&gt;=JI$23,JG13&lt;&gt;""),AND(JY13&gt;=KE$23,JY13&lt;&gt;""),AND(KC13&gt;=KE$23,KC13&lt;&gt;""),AND(KU13&gt;=LA$23,KU13&lt;&gt;""),AND(KY13&gt;=LA$23,KY13&lt;&gt;""),AND(LQ13&gt;=LW$23,LQ13&lt;&gt;""),AND(LU13&gt;=LW$23,LU13&lt;&gt;""),AND(MM13&gt;=MS$23,MM13&lt;&gt;""),AND(MQ13&gt;=MS$23,MQ13&lt;&gt;""),AND(NI13&gt;=NO$23,NI13&lt;&gt;""),AND(NM13&gt;=NO$23,NM13&lt;&gt;"")),"Excellence",IF(OR(AND(AR13&gt;=AY$22,AR13&lt;&gt;"",AP13=""),AND(AT13&gt;=AY$22,AT13&lt;&gt;"",AP13=""),AND(AW13&gt;=AY$22,AW13&lt;&gt;"",AP13=""),AND(BV13&gt;=CC$22,BV13&lt;&gt;"",BT13=""),AND(BX13&gt;=CC$22,BX13&lt;&gt;"",BT13=""),AND(CA13&gt;=CC$22,CA13&lt;&gt;"",BT13=""),AND(CZ13&gt;=DG$22,CZ13&lt;&gt;"",CX13=""),AND(DB13&gt;=DG$22,DB13&lt;&gt;"",CX13=""),AND(DE13&gt;=DG$22,DE13&lt;&gt;"",CX13=""),AND(EA13&gt;=EG$22,EA13&lt;&gt;""),AND(EE13&gt;=EG$22,EE13&lt;&gt;""),AND(EW13&gt;=FC$22,EW13&lt;&gt;""),AND(FA13&gt;=FC$22,FA13&lt;&gt;""),AND(FS13&gt;=FY$22,FS13&lt;&gt;""),AND(FW13&gt;=FY$22,FW13&lt;&gt;""),AND(GO13&gt;=GU$22,GO13&lt;&gt;""),AND(GS13&gt;=GU$22,GS13&lt;&gt;""),AND(HK13&gt;=HQ$22,HK13&lt;&gt;""),AND(HO13&gt;=HQ$22,HO13&lt;&gt;""),AND(IG13&gt;=IM$22,IG13&lt;&gt;""),AND(IK13&gt;=IM$22,IK13&lt;&gt;""),AND(JC13&gt;=JI$22,JC13&lt;&gt;""),AND(JG13&gt;=JI$22,JG13&lt;&gt;""),AND(JY13&gt;=KE$22,JY13&lt;&gt;""),AND(KC13&gt;=KE$22,KC13&lt;&gt;""),AND(KU13&gt;=LA$22,KU13&lt;&gt;""),AND(KY13&gt;=LA$22,KY13&lt;&gt;""),AND(LQ13&gt;=LW$22,LQ13&lt;&gt;""),AND(LU13&gt;=LW$22,LU13&lt;&gt;""),AND(MM13&gt;=MS$22,MM13&lt;&gt;""),AND(MQ13&gt;=MS$22,MQ13&lt;&gt;""),AND(NI13&gt;=NO$22,NI13&lt;&gt;""),AND(NM13&gt;=NO$22,NM13&lt;&gt;"")),"Worlds Team",IF(OR(AND(AR13&gt;=AY$21,AR13&lt;&gt;"",AP13=""),AND(AT13&gt;=AY$21,AT13&lt;&gt;"",AP13=""),AND(AW13&gt;=AY$21,AW13&lt;&gt;"",AP13=""),AND(BV13&gt;=CC$21,BV13&lt;&gt;"",BT13=""),AND(BX13&gt;=CC$21,BX13&lt;&gt;"",BT13=""),AND(CA13&gt;=CC$21,CA13&lt;&gt;"",BT13=""),AND(CZ13&gt;=DG$21,CZ13&lt;&gt;"",CX13=""),AND(DB13&gt;=DG$21,DB13&lt;&gt;"",CX13=""),AND(DE13&gt;=DG$21,DE13&lt;&gt;"",CX13=""),AND(EA13&gt;=EG$21,EA13&lt;&gt;""),AND(EE13&gt;=EG$21,EE13&lt;&gt;""),AND(EW13&gt;=FC$21,EW13&lt;&gt;""),AND(FA13&gt;=FC$21,FA13&lt;&gt;""),AND(FS13&gt;=FY$21,FS13&lt;&gt;""),AND(FW13&gt;=FY$21,FW13&lt;&gt;""),AND(GO13&gt;=GU$21,GO13&lt;&gt;""),AND(GS13&gt;=GU$21,GS13&lt;&gt;""),AND(HK13&gt;=HQ$21,HK13&lt;&gt;""),AND(HO13&gt;=HQ$21,HO13&lt;&gt;""),AND(IG13&gt;=IM$21,IG13&lt;&gt;""),AND(IK13&gt;=IM$21,IK13&lt;&gt;""),AND(JC13&gt;=JI$21,JC13&lt;&gt;""),AND(JG13&gt;=JI$21,JG13&lt;&gt;""),AND(JY13&gt;=KE$21,JY13&lt;&gt;""),AND(KC13&gt;=KE$21,KC13&lt;&gt;""),AND(KU13&gt;=LA$21,KU13&lt;&gt;""),AND(KY13&gt;=LA$21,KY13&lt;&gt;""),AND(LQ13&gt;=LW$21,LQ13&lt;&gt;""),AND(LU13&gt;=LW$21,LU13&lt;&gt;""),AND(MM13&gt;=MS$21,MM13&lt;&gt;""),AND(MQ13&gt;=MS$21,MQ13&lt;&gt;""),AND(NI13&gt;=NO$21,NI13&lt;&gt;""),AND(NM13&gt;=NO$21,NM13&lt;&gt;"")),"National Team",""))))</f>
        <v>Merit</v>
      </c>
      <c r="H13" s="125" t="str">
        <f>IF(OR(AND(AS13&gt;=AY$28,AS13&lt;&gt;"",AP13=""),AND(AU13&gt;=AY$28,AU13&lt;&gt;"",AP13=""),AND(AX13&gt;=AY$28,AX13&lt;&gt;"",AP13=""),AND(BW13&gt;=CC$28,BW13&lt;&gt;"",BT13=""),AND(BY13&gt;=CC$28,BY13&lt;&gt;"",BT13=""),AND(CB13&gt;=CC$28,CB13&lt;&gt;"",BT13=""),AND(DA13&gt;=DG$28,DA13&lt;&gt;"",CX13=""),AND(DC13&gt;=DG$28,DC13&lt;&gt;"",CX13=""),AND(DF13&gt;=DG$28,DF13&lt;&gt;"",CX13=""),AND(EC13&gt;=EG$28,EC13&lt;&gt;""),AND(EF13&gt;=EG$28,EF13&lt;&gt;""),AND(EY13&gt;=FC$28,EY13&lt;&gt;""),AND(FB13&gt;=FC$28,FB13&lt;&gt;""),AND(FU13&gt;=FY$28,FU13&lt;&gt;""),AND(FX13&gt;=FY$28,FX13&lt;&gt;""),AND(GQ13&gt;=GU$28,GQ13&lt;&gt;""),AND(GT13&gt;=GU$28,GT13&lt;&gt;""),AND(HM13&gt;=HQ$28,HM13&lt;&gt;""),AND(HP13&gt;=HQ$28,HP13&lt;&gt;""),AND(II13&gt;=IM$28,II13&lt;&gt;""),AND(IL13&gt;=IM$28,IL13&lt;&gt;""),AND(JE13&gt;=JI$28,JE13&lt;&gt;""),AND(JH13&gt;=JI$28,JH13&lt;&gt;""),AND(KA13&gt;=KE$28,KA13&lt;&gt;""),AND(KD13&gt;=KE$28,KD13&lt;&gt;""),AND(KW13&gt;=LA$28,KW13&lt;&gt;""),AND(KZ13&gt;=LA$28,KZ13&lt;&gt;""),AND(LS13&gt;=LW$28,LS13&lt;&gt;""),AND(LV13&gt;=LW$28,LV13&lt;&gt;""),AND(MO13&gt;=MS$28,MO13&lt;&gt;""),AND(MR13&gt;=MS$28,MR13&lt;&gt;""),AND(NK13&gt;=NO$28,NK13&lt;&gt;""),AND(NN13&gt;=NO$28,NN13&lt;&gt;"")),"Merit",IF(OR(AND(AS13&gt;=AY$27,AS13&lt;&gt;"",AP13=""),AND(AU13&gt;=AY$27,AU13&lt;&gt;"",AP13=""),AND(AX13&gt;=AY$27,AX13&lt;&gt;"",AP13=""),AND(BW13&gt;=CC$27,BW13&lt;&gt;"",BT13=""),AND(BY13&gt;=CC$27,BY13&lt;&gt;"",BT13=""),AND(CB13&gt;=CC$27,CB13&lt;&gt;"",BT13=""),AND(DA13&gt;=DG$27,DA13&lt;&gt;"",CX13=""),AND(DC13&gt;=DG$27,DC13&lt;&gt;"",CX13=""),AND(DF13&gt;=DG$27,DF13&lt;&gt;"",CX13=""),AND(EC13&gt;=EG$27,EC13&lt;&gt;""),AND(EF13&gt;=EG$27,EF13&lt;&gt;""),AND(EY13&gt;=FC$27,EY13&lt;&gt;""),AND(FB13&gt;=FC$27,FB13&lt;&gt;""),AND(FU13&gt;=FY$27,FU13&lt;&gt;""),AND(FX13&gt;=FY$27,FX13&lt;&gt;""),AND(GQ13&gt;=GU$27,GQ13&lt;&gt;""),AND(GT13&gt;=GU$27,GT13&lt;&gt;""),AND(HM13&gt;=HQ$27,HM13&lt;&gt;""),AND(HP13&gt;=HQ$27,HP13&lt;&gt;""),AND(II13&gt;=IM$27,II13&lt;&gt;""),AND(IL13&gt;=IM$27,IL13&lt;&gt;""),AND(JE13&gt;=JI$27,JE13&lt;&gt;""),AND(JH13&gt;=JI$27,JH13&lt;&gt;""),AND(KA13&gt;=KE$27,KA13&lt;&gt;""),AND(KD13&gt;=KE$27,KD13&lt;&gt;""),AND(KW13&gt;=LA$27,KW13&lt;&gt;""),AND(KZ13&gt;=LA$27,KZ13&lt;&gt;""),AND(LS13&gt;=LW$27,LS13&lt;&gt;""),AND(LV13&gt;=LW$27,LV13&lt;&gt;""),AND(MO13&gt;=MS$27,MO13&lt;&gt;""),AND(MR13&gt;=MS$27,MR13&lt;&gt;""),AND(NK13&gt;=NO$27,NK13&lt;&gt;""),AND(NN13&gt;=NO$27,NN13&lt;&gt;"")),"Excellence",IF(OR(AND(AV13&gt;=AY$26,AV13&lt;&gt;"",AP13=""),AND(BZ13&gt;=CC$26,BZ13&lt;&gt;"",BT13=""),AND(DD13&gt;=DG$26,DD13&lt;&gt;"",CX13=""),AND(ED13&gt;=EG$26,ED13&lt;&gt;""),AND(EZ13&gt;=FC$26,EZ13&lt;&gt;""),AND(FV13&gt;=FY$26,FV13&lt;&gt;""),AND(GR13&gt;=GU$26,GR13&lt;&gt;""),AND(HN13&gt;=HQ$26,HN13&lt;&gt;""),AND(IJ13&gt;=IM$26,IJ13&lt;&gt;""),AND(JF13&gt;=JI$26,JF13&lt;&gt;""),AND(KB13&gt;=KE$26,KB13&lt;&gt;""),AND(KX13&gt;=LA$26,KX13&lt;&gt;""),AND(LT13&gt;=LW$26,LT13&lt;&gt;""),AND(MP13&gt;=MS$26,MP13&lt;&gt;""),AND(NL13&gt;=NO$26,NL13&lt;&gt;"")),"Worlds Team",IF(OR(AND(AV13&gt;=AY$25,AV13&lt;&gt;"",AP13=""),AND(BZ13&gt;=CC$25,BZ13&lt;&gt;"",BT13=""),AND(DD13&gt;=DG$25,DD13&lt;&gt;"",CX13=""),AND(ED13&gt;=EG$25,ED13&lt;&gt;""),AND(EZ13&gt;=FC$25,EZ13&lt;&gt;""),AND(FV13&gt;=FY$25,FV13&lt;&gt;""),AND(GR13&gt;=GU$25,GR13&lt;&gt;""),AND(HN13&gt;=HQ$25,HN13&lt;&gt;""),AND(IJ13&gt;=IM$25,IJ13&lt;&gt;""),AND(JF13&gt;=JI$25,JF13&lt;&gt;""),AND(KB13&gt;=KE$25,KB13&lt;&gt;""),AND(KX13&gt;=LA$25,KX13&lt;&gt;""),AND(LT13&gt;=LW$25,LT13&lt;&gt;""),AND(MP13&gt;=MS$25,MP13&lt;&gt;""),AND(NL13&gt;=NO$25,NL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$26,AV13&lt;&gt;"",AP13=""),AND(BZ13&gt;=CC$26,BZ13&lt;&gt;"",BT13=""),AND(DD13&gt;=DG$26,DD13&lt;&gt;"",CX13=""),AND(ED13&gt;=EG$26,ED13&lt;&gt;""),AND(EZ13&gt;=FC$26,EZ13&lt;&gt;""),AND(FV13&gt;=FY$26,FV13&lt;&gt;""),AND(GR13&gt;=GU$26,GR13&lt;&gt;""),AND(HN13&gt;=HQ$26,HN13&lt;&gt;""),AND(IJ13&gt;=IM$26,IJ13&lt;&gt;""),AND(JF13&gt;=JI$26,JF13&lt;&gt;""),AND(KB13&gt;=KE$26,KB13&lt;&gt;""),AND(KX13&gt;=LA$26,KX13&lt;&gt;""),AND(LT13&gt;=LW$26,LT13&lt;&gt;""),AND(MP13&gt;=MS$26,MP13&lt;&gt;""),AND(NL13&gt;=NO$26,NL13&lt;&gt;"")),OR(G13="Worlds Team",G13="Excellence",G13="Merit")),"P","")</f>
        <v/>
      </c>
      <c r="K13" s="14">
        <f>IF(MAX(AV13,BZ13,DD13)&gt;0,MAX(AV13,BZ13,DD13),0)</f>
        <v>94.539999999999992</v>
      </c>
      <c r="L13" s="14" t="str">
        <f>IF(K13=0,"",IF(K13=DD13,$CD$1,IF(K13=BZ13,$AZ$1,IF(K13=AV13,$V$1,""))))</f>
        <v>2019 Elite Canada</v>
      </c>
      <c r="M13" s="14">
        <f>IF($K13=$AV13,MAX(BU13,CY13),IF($K13=$BZ13,MAX(AQ13,CY13),IF($K13=$DD13,MAX(AQ13,BU13),MAX(AQ13,BU13,CY13))))</f>
        <v>45.314999999999998</v>
      </c>
      <c r="N13" s="14" t="str">
        <f>IF(M13=0,"",IF(AND(M13=CY13,$L13&lt;&gt;$CD$1),$CD$1,IF(AND(M13=BU13,$L13&lt;&gt;$AZ$1),$AZ$1,IF(AND(M13=AQ13,$L13&lt;&gt;$V$1),$V$1,""))))</f>
        <v>2019 Nationals</v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48.559999999999995</v>
      </c>
      <c r="P13" s="14" t="str">
        <f>IF(O13=0,"",IF(OR(O13=DC13,O13=DA13),$CD$1,IF(OR(O13=BY13,O13=BW13),$AZ$1,IF(OR(O13=AU13,O13=AS13),$V$1,""))))</f>
        <v>2021 1st Virtual Technical Trial</v>
      </c>
      <c r="Q13" s="14">
        <f>MAX(AX13,CB13,DF13)</f>
        <v>46.734999999999999</v>
      </c>
      <c r="R13" s="14" t="str">
        <f>IF(Q13=0,"",IF(Q13=DF13,$CD$1,IF(Q13=CB13,$AZ$1,IF(Q13=AX13,$V$1,""))))</f>
        <v>2019 Elite Canada</v>
      </c>
      <c r="S13" s="14">
        <f>IF(MAX(DH13,DI13,DJ13,DK13)&gt;0,MAX(DH13,DI13,DJ13,DK13),"")</f>
        <v>1.740000000000002</v>
      </c>
      <c r="T13" s="25" t="str">
        <f>IF(S13="","",IF(S13=DH13,"(Vol 1)",IF(S13=DI13,"(Vol 2)",IF(S13=DJ13,"(Prelim)",IF(S13=DK13,"(Final)")))))</f>
        <v>(Vol 2)</v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>2019 WAGC (Dec 7)</v>
      </c>
      <c r="V13" s="69">
        <v>15.8</v>
      </c>
      <c r="W13" s="69">
        <v>9.6999999999999993</v>
      </c>
      <c r="X13" s="69">
        <v>3.5</v>
      </c>
      <c r="Y13" s="69">
        <v>15.51</v>
      </c>
      <c r="Z13" s="69">
        <v>0</v>
      </c>
      <c r="AA13" s="69">
        <v>13.4</v>
      </c>
      <c r="AB13" s="69">
        <v>9.15</v>
      </c>
      <c r="AC13" s="69">
        <v>13.1</v>
      </c>
      <c r="AD13" s="69">
        <v>14.38</v>
      </c>
      <c r="AE13" s="69">
        <v>0</v>
      </c>
      <c r="AF13" s="69"/>
      <c r="AG13" s="69"/>
      <c r="AH13" s="69"/>
      <c r="AI13" s="69"/>
      <c r="AJ13" s="69"/>
      <c r="AK13" s="69">
        <v>11</v>
      </c>
      <c r="AL13" s="69">
        <v>8.85</v>
      </c>
      <c r="AM13" s="69">
        <v>12.9</v>
      </c>
      <c r="AN13" s="69">
        <v>13.984999999999999</v>
      </c>
      <c r="AO13" s="69">
        <v>0</v>
      </c>
      <c r="AP13" s="80"/>
      <c r="AQ13" s="11">
        <f>IF(SUM(V13:Y13)-Z13&gt;0,SUM(V13:Y13)-Z13,"")</f>
        <v>44.51</v>
      </c>
      <c r="AR13" s="11">
        <f>IF(AC13&gt;0,AC13,"")</f>
        <v>13.1</v>
      </c>
      <c r="AS13" s="11">
        <f>IF(SUM(AA13:AD13)-AE13&gt;0,SUM(AA13:AD13)-AE13,"")</f>
        <v>50.03</v>
      </c>
      <c r="AT13" s="11" t="str">
        <f>IF(AH13&gt;0,AH13,"")</f>
        <v/>
      </c>
      <c r="AU13" s="11" t="str">
        <f>IF(SUM(AF13:AI13)-AJ13&gt;0,SUM(AF13:AI13)-AJ13,"")</f>
        <v/>
      </c>
      <c r="AV13" s="11">
        <f>IF(OR(AQ13&lt;&gt;"",AS13&lt;&gt;"",AU13&lt;&gt;""),AQ13+MAX(AS13,AU13),"")</f>
        <v>94.539999999999992</v>
      </c>
      <c r="AW13" s="11">
        <f>IF(AM13&gt;0,AM13,"")</f>
        <v>12.9</v>
      </c>
      <c r="AX13" s="11">
        <f>IF(SUM(AK13:AN13)-AO13&gt;0,SUM(AK13:AN13)-AO13,"")</f>
        <v>46.734999999999999</v>
      </c>
      <c r="AY13" s="11">
        <f>IF(SUM(AV13,AX13)&gt;0,SUM(AV13,AX13),"")</f>
        <v>141.27499999999998</v>
      </c>
      <c r="AZ13" s="75">
        <v>17.2</v>
      </c>
      <c r="BA13" s="75">
        <v>9.6</v>
      </c>
      <c r="BB13" s="75">
        <v>3.5</v>
      </c>
      <c r="BC13" s="75">
        <v>15.015000000000001</v>
      </c>
      <c r="BD13" s="75">
        <v>0</v>
      </c>
      <c r="BE13" s="75">
        <v>13.2</v>
      </c>
      <c r="BF13" s="75">
        <v>8.3000000000000007</v>
      </c>
      <c r="BG13" s="75">
        <v>13.1</v>
      </c>
      <c r="BH13" s="75">
        <v>14.06</v>
      </c>
      <c r="BI13" s="75">
        <v>0.2</v>
      </c>
      <c r="BJ13" s="75"/>
      <c r="BK13" s="75"/>
      <c r="BL13" s="75"/>
      <c r="BM13" s="75"/>
      <c r="BN13" s="75"/>
      <c r="BO13" s="75">
        <v>2.44</v>
      </c>
      <c r="BP13" s="75">
        <v>1.6</v>
      </c>
      <c r="BQ13" s="75">
        <v>3.1</v>
      </c>
      <c r="BR13" s="75">
        <v>2.9449999999999998</v>
      </c>
      <c r="BS13" s="75">
        <v>0</v>
      </c>
      <c r="BT13" s="81"/>
      <c r="BU13" s="14">
        <f>IF(SUM(AZ13:BC13)-BD13&gt;0,SUM(AZ13:BC13)-BD13,"")</f>
        <v>45.314999999999998</v>
      </c>
      <c r="BV13" s="14">
        <f>IF(BG13&gt;0,BG13,"")</f>
        <v>13.1</v>
      </c>
      <c r="BW13" s="14">
        <f>IF(SUM(BE13:BH13)-BI13&gt;0,SUM(BE13:BH13)-BI13,"")</f>
        <v>48.46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93.775000000000006</v>
      </c>
      <c r="CA13" s="14">
        <f>IF(BQ13&gt;0,BQ13,"")</f>
        <v>3.1</v>
      </c>
      <c r="CB13" s="14">
        <f>IF(SUM(BO13:BR13)-BS13&gt;0,SUM(BO13:BR13)-BS13,"")</f>
        <v>10.085000000000001</v>
      </c>
      <c r="CC13" s="14">
        <f>IF(SUM(BZ13,CB13)&gt;0,SUM(BZ13,CB13),"")</f>
        <v>103.86000000000001</v>
      </c>
      <c r="CD13" s="69">
        <v>16.100000000000001</v>
      </c>
      <c r="CE13" s="69">
        <v>9.4</v>
      </c>
      <c r="CF13" s="69">
        <v>3.4</v>
      </c>
      <c r="CG13" s="69">
        <v>15.005000000000001</v>
      </c>
      <c r="CH13" s="69">
        <v>0</v>
      </c>
      <c r="CI13" s="69">
        <v>13.9</v>
      </c>
      <c r="CJ13" s="69">
        <v>8.9499999999999993</v>
      </c>
      <c r="CK13" s="69">
        <v>11.2</v>
      </c>
      <c r="CL13" s="69">
        <v>14.51</v>
      </c>
      <c r="CM13" s="69">
        <v>0</v>
      </c>
      <c r="CN13" s="69">
        <v>12.8</v>
      </c>
      <c r="CO13" s="69">
        <v>8.6999999999999993</v>
      </c>
      <c r="CP13" s="69">
        <v>12</v>
      </c>
      <c r="CQ13" s="69">
        <v>14.39</v>
      </c>
      <c r="CR13" s="69">
        <v>0</v>
      </c>
      <c r="CS13" s="69">
        <v>10.6</v>
      </c>
      <c r="CT13" s="69">
        <v>8.5500000000000007</v>
      </c>
      <c r="CU13" s="69">
        <v>11</v>
      </c>
      <c r="CV13" s="69">
        <v>12.725</v>
      </c>
      <c r="CW13" s="69">
        <v>0.2</v>
      </c>
      <c r="CX13" s="80"/>
      <c r="CY13" s="11">
        <f>IF(SUM(CD13:CG13)-CH13&gt;0,SUM(CD13:CG13)-CH13,"")</f>
        <v>43.905000000000001</v>
      </c>
      <c r="CZ13" s="11">
        <f>IF(CK13&gt;0,CK13,"")</f>
        <v>11.2</v>
      </c>
      <c r="DA13" s="11">
        <f>IF(SUM(CI13:CL13)-CM13&gt;0,SUM(CI13:CL13)-CM13,"")</f>
        <v>48.559999999999995</v>
      </c>
      <c r="DB13" s="11">
        <f>IF(CP13&gt;0,CP13,"")</f>
        <v>12</v>
      </c>
      <c r="DC13" s="11">
        <f>IF(SUM(CN13:CQ13)-CR13&gt;0,SUM(CN13:CQ13)-CR13,"")</f>
        <v>47.89</v>
      </c>
      <c r="DD13" s="11">
        <f>IF(CY13="",IF(MAX(DA13,DC13)&gt;0,MAX(DA13,DC13),""),MAX(DA13,DC13)+CY13)</f>
        <v>92.465000000000003</v>
      </c>
      <c r="DE13" s="11">
        <f>IF(CU13&gt;0,CU13,"")</f>
        <v>11</v>
      </c>
      <c r="DF13" s="11">
        <f>IF(SUM(CS13:CV13)-CW13&gt;0,SUM(CS13:CV13)-CW13,"")</f>
        <v>42.674999999999997</v>
      </c>
      <c r="DG13" s="11">
        <f>IF(SUM(DD13,DF13)&gt;0,SUM(DD13,DF13),"")</f>
        <v>135.13999999999999</v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>
        <f>IF(MAX(EC13,EY13,FU13,GQ13,HM13,II13,JE13,KA13,KW13,LS13,MO13,NK13)-IF(O13="",0,O13)&gt;0.001,MAX(EC13,EY13,FU13,GQ13,HM13,II13,JE13,KA13,KW13,LS13,MO13,NK13)-IF(O13="",0,O13),"")</f>
        <v>1.740000000000002</v>
      </c>
      <c r="DJ13" s="24">
        <f>IF(MAX(ED13,EZ13,FV13,GR13,HN13,IJ13,JF13,KB13,KX13,LT13,MP13,NL13)-IF(K13="",0,K13)&gt;0.001,MAX(ED13,EZ13,FV13,GR13,HN13,IJ13,JF13,KB13,KX13,LT13,MP13,NL13)-IF(K13="",0,K13),"")</f>
        <v>7.000000000000739E-2</v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>
        <v>16.600000000000001</v>
      </c>
      <c r="GW13" s="37">
        <v>9.9</v>
      </c>
      <c r="GX13" s="37">
        <v>2.9</v>
      </c>
      <c r="GY13" s="37">
        <v>14.91</v>
      </c>
      <c r="GZ13" s="37">
        <v>0</v>
      </c>
      <c r="HA13" s="37">
        <v>13.5</v>
      </c>
      <c r="HB13" s="37">
        <v>9.5</v>
      </c>
      <c r="HC13" s="37">
        <v>13.3</v>
      </c>
      <c r="HD13" s="37">
        <v>14</v>
      </c>
      <c r="HE13" s="37">
        <v>0</v>
      </c>
      <c r="HF13" s="37"/>
      <c r="HG13" s="37"/>
      <c r="HH13" s="37"/>
      <c r="HI13" s="37"/>
      <c r="HJ13" s="37"/>
      <c r="HK13" s="11">
        <f>IF(HC13&gt;0,HC13,"")</f>
        <v>13.3</v>
      </c>
      <c r="HL13" s="11">
        <f>IF(SUM(GV13:GY13)-GZ13&gt;0,SUM(GV13:GY13)-GZ13,"")</f>
        <v>44.31</v>
      </c>
      <c r="HM13" s="11">
        <f>IF(SUM(HA13:HD13)-HE13&gt;0,SUM(HA13:HD13)-HE13,"")</f>
        <v>50.3</v>
      </c>
      <c r="HN13" s="11">
        <f>IF(SUM(HL13:HM13)&gt;0,SUM(HL13:HM13),"")</f>
        <v>94.61</v>
      </c>
      <c r="HO13" s="11" t="str">
        <f>IF(HH13&gt;0,HH13,"")</f>
        <v/>
      </c>
      <c r="HP13" s="11" t="str">
        <f>IF(SUM(HF13:HI13)-HJ13&gt;0,SUM(HF13:HI13)-HJ13,"")</f>
        <v/>
      </c>
      <c r="HQ13" s="11">
        <f>IF(SUM(HN13,HP13)&gt;0,SUM(HN13,HP13),"")</f>
        <v>94.61</v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16.649999999999999</v>
      </c>
      <c r="NQ13" s="69">
        <f>IF($CX13="P",CE13,(CE13+BA13)/2)</f>
        <v>9.5</v>
      </c>
      <c r="NR13" s="69">
        <f>IF($CX13="P",CF13,(CF13+BB13)/2)</f>
        <v>3.45</v>
      </c>
      <c r="NS13" s="69">
        <f>IF($CX13="P",CG13,(CG13+BC13)/2)</f>
        <v>15.010000000000002</v>
      </c>
      <c r="NT13" s="69">
        <f>IF($CX13="P",CH13,(CH13+BD13)/2)</f>
        <v>0</v>
      </c>
      <c r="NU13" s="69">
        <f>IF($CX13="P",CI13,(CI13+BE13)/2)</f>
        <v>13.55</v>
      </c>
      <c r="NV13" s="69">
        <f>IF($CX13="P",CJ13,(CJ13+BF13)/2)</f>
        <v>8.625</v>
      </c>
      <c r="NW13" s="69">
        <f>IF($CX13="P",CK13,(CK13+BG13)/2)</f>
        <v>12.149999999999999</v>
      </c>
      <c r="NX13" s="69">
        <f>IF($CX13="P",CL13,(CL13+BH13)/2)</f>
        <v>14.285</v>
      </c>
      <c r="NY13" s="69">
        <f>IF($CX13="P",CM13,(CM13+BI13)/2)</f>
        <v>0.1</v>
      </c>
      <c r="NZ13" s="69">
        <f>IF($CX13="P",CN13,(CN13+BJ13)/2)</f>
        <v>6.4</v>
      </c>
      <c r="OA13" s="69">
        <f>IF($CX13="P",CO13,(CO13+BK13)/2)</f>
        <v>4.3499999999999996</v>
      </c>
      <c r="OB13" s="69">
        <f>IF($CX13="P",CP13,(CP13+BL13)/2)</f>
        <v>6</v>
      </c>
      <c r="OC13" s="69">
        <f>IF($CX13="P",CQ13,(CQ13+BM13)/2)</f>
        <v>7.1950000000000003</v>
      </c>
      <c r="OD13" s="69">
        <f>IF($CX13="P",CR13,(CR13+BN13)/2)</f>
        <v>0</v>
      </c>
      <c r="OE13" s="69">
        <f>IF($CX13="P",CS13,(CS13+BO13)/2)</f>
        <v>6.52</v>
      </c>
      <c r="OF13" s="69">
        <f>IF($CX13="P",CT13,(CT13+BP13)/2)</f>
        <v>5.0750000000000002</v>
      </c>
      <c r="OG13" s="69">
        <f>IF($CX13="P",CU13,(CU13+BQ13)/2)</f>
        <v>7.05</v>
      </c>
      <c r="OH13" s="69">
        <f>IF($CX13="P",CV13,(CV13+BR13)/2)</f>
        <v>7.835</v>
      </c>
      <c r="OI13" s="69">
        <f>IF($CX13="P",CW13,(CW13+BS13)/2)</f>
        <v>0.1</v>
      </c>
      <c r="OJ13" s="80" t="s">
        <v>91</v>
      </c>
      <c r="OK13" s="11">
        <f>IF(SUM(NP13:NS13)-NT13&gt;0,SUM(NP13:NS13)-NT13,"")</f>
        <v>44.61</v>
      </c>
      <c r="OL13" s="11">
        <f>IF(NW13&gt;0,NW13,"")</f>
        <v>12.149999999999999</v>
      </c>
      <c r="OM13" s="11">
        <f>IF(SUM(NU13:NX13)-NY13&gt;0,SUM(NU13:NX13)-NY13,"")</f>
        <v>48.51</v>
      </c>
      <c r="ON13" s="11">
        <f>IF(OB13&gt;0,OB13,"")</f>
        <v>6</v>
      </c>
      <c r="OO13" s="11">
        <f>IF(SUM(NZ13:OC13)-OD13&gt;0,SUM(NZ13:OC13)-OD13,"")</f>
        <v>23.945</v>
      </c>
      <c r="OP13" s="11">
        <f>IF(OR(OK13&lt;&gt;"",OM13&lt;&gt;"",OO13&lt;&gt;""),OK13+MAX(OM13,OO13),"")</f>
        <v>93.12</v>
      </c>
      <c r="OQ13" s="11">
        <f>IF(OG13&gt;0,OG13,"")</f>
        <v>7.05</v>
      </c>
      <c r="OR13" s="11">
        <f t="shared" si="0"/>
        <v>26.38</v>
      </c>
      <c r="OS13" s="11">
        <f t="shared" si="1"/>
        <v>119.5</v>
      </c>
    </row>
    <row r="14" spans="1:409" x14ac:dyDescent="0.2">
      <c r="A14" s="5" t="str" cm="1">
        <f t="array" ref="A14">IF(AND(G14&lt;&gt;"",H14&lt;&gt;""),SUMPRODUCT((G$4:G$19&lt;&gt;"")*(H$4:H$19&lt;&gt;"")*(E$4:E$19&gt;E14))+1,IF(H14&lt;&gt;"",SUMPRODUCT((I$4:I$19="No DD")*(E$4:E$19&gt;E14))+1+SUMPRODUCT((G$4:G$19&lt;&gt;"")*(H$4:H$19&lt;&gt;"")),""))</f>
        <v/>
      </c>
      <c r="B14" s="127" t="s">
        <v>36</v>
      </c>
      <c r="C14" s="5" t="s">
        <v>3</v>
      </c>
      <c r="D14" s="5">
        <v>1995</v>
      </c>
      <c r="E14" s="15">
        <f>SUM(K14:S14)</f>
        <v>245.43000000000004</v>
      </c>
      <c r="F14" s="3" t="str">
        <f>IF(G14&lt;&gt;"","P","")</f>
        <v/>
      </c>
      <c r="G14" s="125" t="str">
        <f>IF(OR(AND(AR14&gt;=AY$24,AR14&lt;&gt;"",AP14=""),AND(AT14&gt;=AY$24,AT14&lt;&gt;"",AP14=""),AND(AW14&gt;=AY$24,AW14&lt;&gt;"",AP14=""),AND(BV14&gt;=CC$24,BV14&lt;&gt;"",BT14=""),AND(BX14&gt;=CC$24,BX14&lt;&gt;"",BT14=""),AND(CA14&gt;=CC$24,CA14&lt;&gt;"",BT14=""),AND(CZ14&gt;=DG$24,CZ14&lt;&gt;"",CX14=""),AND(DB14&gt;=DG$24,DB14&lt;&gt;"",CX14=""),AND(DE14&gt;=DG$24,DE14&lt;&gt;"",CX14=""),AND(EA14&gt;=EG$24,EA14&lt;&gt;""),AND(EE14&gt;=EG$24,EE14&lt;&gt;""),AND(EW14&gt;=FC$24,EW14&lt;&gt;""),AND(FA14&gt;=FC$24,FA14&lt;&gt;""),AND(FS14&gt;=FY$24,FS14&lt;&gt;""),AND(FW14&gt;=FY$24,FW14&lt;&gt;""),AND(GO14&gt;=GU$24,GO14&lt;&gt;""),AND(GS14&gt;=GU$24,GS14&lt;&gt;""),AND(HK14&gt;=HQ$24,HK14&lt;&gt;""),AND(HO14&gt;=HQ$24,HO14&lt;&gt;""),AND(IG14&gt;=IM$24,IG14&lt;&gt;""),AND(IK14&gt;=IM$24,IK14&lt;&gt;""),AND(JC14&gt;=JI$24,JC14&lt;&gt;""),AND(JG14&gt;=JI$24,JG14&lt;&gt;""),AND(JY14&gt;=KE$24,JY14&lt;&gt;""),AND(KC14&gt;=KE$24,KC14&lt;&gt;""),AND(KU14&gt;=LA$24,KU14&lt;&gt;""),AND(KY14&gt;=LA$24,KY14&lt;&gt;""),AND(LQ14&gt;=LW$24,LQ14&lt;&gt;""),AND(LU14&gt;=LW$24,LU14&lt;&gt;""),AND(MM14&gt;=MS$24,MM14&lt;&gt;""),AND(MQ14&gt;=MS$24,MQ14&lt;&gt;""),AND(NI14&gt;=NO$24,NI14&lt;&gt;""),AND(NM14&gt;=NO$24,NM14&lt;&gt;"")),"Merit",IF(OR(AND(AR14&gt;=AY$23,AR14&lt;&gt;"",AP14=""),AND(AT14&gt;=AY$23,AT14&lt;&gt;"",AP14=""),AND(AW14&gt;=AY$23,AW14&lt;&gt;"",AP14=""),AND(BV14&gt;=CC$23,BV14&lt;&gt;"",BT14=""),AND(BX14&gt;=CC$23,BX14&lt;&gt;"",BT14=""),AND(CA14&gt;=CC$23,CA14&lt;&gt;"",BT14=""),AND(CZ14&gt;=DG$23,CZ14&lt;&gt;"",CX14=""),AND(DB14&gt;=DG$23,DB14&lt;&gt;"",CX14=""),AND(DE14&gt;=DG$23,DE14&lt;&gt;"",CX14=""),AND(EA14&gt;=EG$23,EA14&lt;&gt;""),AND(EE14&gt;=EG$23,EE14&lt;&gt;""),AND(EW14&gt;=FC$23,EW14&lt;&gt;""),AND(FA14&gt;=FC$23,FA14&lt;&gt;""),AND(FS14&gt;=FY$23,FS14&lt;&gt;""),AND(FW14&gt;=FY$23,FW14&lt;&gt;""),AND(GO14&gt;=GU$23,GO14&lt;&gt;""),AND(GS14&gt;=GU$23,GS14&lt;&gt;""),AND(HK14&gt;=HQ$23,HK14&lt;&gt;""),AND(HO14&gt;=HQ$23,HO14&lt;&gt;""),AND(IG14&gt;=IM$23,IG14&lt;&gt;""),AND(IK14&gt;=IM$23,IK14&lt;&gt;""),AND(JC14&gt;=JI$23,JC14&lt;&gt;""),AND(JG14&gt;=JI$23,JG14&lt;&gt;""),AND(JY14&gt;=KE$23,JY14&lt;&gt;""),AND(KC14&gt;=KE$23,KC14&lt;&gt;""),AND(KU14&gt;=LA$23,KU14&lt;&gt;""),AND(KY14&gt;=LA$23,KY14&lt;&gt;""),AND(LQ14&gt;=LW$23,LQ14&lt;&gt;""),AND(LU14&gt;=LW$23,LU14&lt;&gt;""),AND(MM14&gt;=MS$23,MM14&lt;&gt;""),AND(MQ14&gt;=MS$23,MQ14&lt;&gt;""),AND(NI14&gt;=NO$23,NI14&lt;&gt;""),AND(NM14&gt;=NO$23,NM14&lt;&gt;"")),"Excellence",IF(OR(AND(AR14&gt;=AY$22,AR14&lt;&gt;"",AP14=""),AND(AT14&gt;=AY$22,AT14&lt;&gt;"",AP14=""),AND(AW14&gt;=AY$22,AW14&lt;&gt;"",AP14=""),AND(BV14&gt;=CC$22,BV14&lt;&gt;"",BT14=""),AND(BX14&gt;=CC$22,BX14&lt;&gt;"",BT14=""),AND(CA14&gt;=CC$22,CA14&lt;&gt;"",BT14=""),AND(CZ14&gt;=DG$22,CZ14&lt;&gt;"",CX14=""),AND(DB14&gt;=DG$22,DB14&lt;&gt;"",CX14=""),AND(DE14&gt;=DG$22,DE14&lt;&gt;"",CX14=""),AND(EA14&gt;=EG$22,EA14&lt;&gt;""),AND(EE14&gt;=EG$22,EE14&lt;&gt;""),AND(EW14&gt;=FC$22,EW14&lt;&gt;""),AND(FA14&gt;=FC$22,FA14&lt;&gt;""),AND(FS14&gt;=FY$22,FS14&lt;&gt;""),AND(FW14&gt;=FY$22,FW14&lt;&gt;""),AND(GO14&gt;=GU$22,GO14&lt;&gt;""),AND(GS14&gt;=GU$22,GS14&lt;&gt;""),AND(HK14&gt;=HQ$22,HK14&lt;&gt;""),AND(HO14&gt;=HQ$22,HO14&lt;&gt;""),AND(IG14&gt;=IM$22,IG14&lt;&gt;""),AND(IK14&gt;=IM$22,IK14&lt;&gt;""),AND(JC14&gt;=JI$22,JC14&lt;&gt;""),AND(JG14&gt;=JI$22,JG14&lt;&gt;""),AND(JY14&gt;=KE$22,JY14&lt;&gt;""),AND(KC14&gt;=KE$22,KC14&lt;&gt;""),AND(KU14&gt;=LA$22,KU14&lt;&gt;""),AND(KY14&gt;=LA$22,KY14&lt;&gt;""),AND(LQ14&gt;=LW$22,LQ14&lt;&gt;""),AND(LU14&gt;=LW$22,LU14&lt;&gt;""),AND(MM14&gt;=MS$22,MM14&lt;&gt;""),AND(MQ14&gt;=MS$22,MQ14&lt;&gt;""),AND(NI14&gt;=NO$22,NI14&lt;&gt;""),AND(NM14&gt;=NO$22,NM14&lt;&gt;"")),"Worlds Team",IF(OR(AND(AR14&gt;=AY$21,AR14&lt;&gt;"",AP14=""),AND(AT14&gt;=AY$21,AT14&lt;&gt;"",AP14=""),AND(AW14&gt;=AY$21,AW14&lt;&gt;"",AP14=""),AND(BV14&gt;=CC$21,BV14&lt;&gt;"",BT14=""),AND(BX14&gt;=CC$21,BX14&lt;&gt;"",BT14=""),AND(CA14&gt;=CC$21,CA14&lt;&gt;"",BT14=""),AND(CZ14&gt;=DG$21,CZ14&lt;&gt;"",CX14=""),AND(DB14&gt;=DG$21,DB14&lt;&gt;"",CX14=""),AND(DE14&gt;=DG$21,DE14&lt;&gt;"",CX14=""),AND(EA14&gt;=EG$21,EA14&lt;&gt;""),AND(EE14&gt;=EG$21,EE14&lt;&gt;""),AND(EW14&gt;=FC$21,EW14&lt;&gt;""),AND(FA14&gt;=FC$21,FA14&lt;&gt;""),AND(FS14&gt;=FY$21,FS14&lt;&gt;""),AND(FW14&gt;=FY$21,FW14&lt;&gt;""),AND(GO14&gt;=GU$21,GO14&lt;&gt;""),AND(GS14&gt;=GU$21,GS14&lt;&gt;""),AND(HK14&gt;=HQ$21,HK14&lt;&gt;""),AND(HO14&gt;=HQ$21,HO14&lt;&gt;""),AND(IG14&gt;=IM$21,IG14&lt;&gt;""),AND(IK14&gt;=IM$21,IK14&lt;&gt;""),AND(JC14&gt;=JI$21,JC14&lt;&gt;""),AND(JG14&gt;=JI$21,JG14&lt;&gt;""),AND(JY14&gt;=KE$21,JY14&lt;&gt;""),AND(KC14&gt;=KE$21,KC14&lt;&gt;""),AND(KU14&gt;=LA$21,KU14&lt;&gt;""),AND(KY14&gt;=LA$21,KY14&lt;&gt;""),AND(LQ14&gt;=LW$21,LQ14&lt;&gt;""),AND(LU14&gt;=LW$21,LU14&lt;&gt;""),AND(MM14&gt;=MS$21,MM14&lt;&gt;""),AND(MQ14&gt;=MS$21,MQ14&lt;&gt;""),AND(NI14&gt;=NO$21,NI14&lt;&gt;""),AND(NM14&gt;=NO$21,NM14&lt;&gt;"")),"National Team",""))))</f>
        <v/>
      </c>
      <c r="H14" s="125" t="str">
        <f>IF(OR(AND(AS14&gt;=AY$28,AS14&lt;&gt;"",AP14=""),AND(AU14&gt;=AY$28,AU14&lt;&gt;"",AP14=""),AND(AX14&gt;=AY$28,AX14&lt;&gt;"",AP14=""),AND(BW14&gt;=CC$28,BW14&lt;&gt;"",BT14=""),AND(BY14&gt;=CC$28,BY14&lt;&gt;"",BT14=""),AND(CB14&gt;=CC$28,CB14&lt;&gt;"",BT14=""),AND(DA14&gt;=DG$28,DA14&lt;&gt;"",CX14=""),AND(DC14&gt;=DG$28,DC14&lt;&gt;"",CX14=""),AND(DF14&gt;=DG$28,DF14&lt;&gt;"",CX14=""),AND(EC14&gt;=EG$28,EC14&lt;&gt;""),AND(EF14&gt;=EG$28,EF14&lt;&gt;""),AND(EY14&gt;=FC$28,EY14&lt;&gt;""),AND(FB14&gt;=FC$28,FB14&lt;&gt;""),AND(FU14&gt;=FY$28,FU14&lt;&gt;""),AND(FX14&gt;=FY$28,FX14&lt;&gt;""),AND(GQ14&gt;=GU$28,GQ14&lt;&gt;""),AND(GT14&gt;=GU$28,GT14&lt;&gt;""),AND(HM14&gt;=HQ$28,HM14&lt;&gt;""),AND(HP14&gt;=HQ$28,HP14&lt;&gt;""),AND(II14&gt;=IM$28,II14&lt;&gt;""),AND(IL14&gt;=IM$28,IL14&lt;&gt;""),AND(JE14&gt;=JI$28,JE14&lt;&gt;""),AND(JH14&gt;=JI$28,JH14&lt;&gt;""),AND(KA14&gt;=KE$28,KA14&lt;&gt;""),AND(KD14&gt;=KE$28,KD14&lt;&gt;""),AND(KW14&gt;=LA$28,KW14&lt;&gt;""),AND(KZ14&gt;=LA$28,KZ14&lt;&gt;""),AND(LS14&gt;=LW$28,LS14&lt;&gt;""),AND(LV14&gt;=LW$28,LV14&lt;&gt;""),AND(MO14&gt;=MS$28,MO14&lt;&gt;""),AND(MR14&gt;=MS$28,MR14&lt;&gt;""),AND(NK14&gt;=NO$28,NK14&lt;&gt;""),AND(NN14&gt;=NO$28,NN14&lt;&gt;"")),"Merit",IF(OR(AND(AS14&gt;=AY$27,AS14&lt;&gt;"",AP14=""),AND(AU14&gt;=AY$27,AU14&lt;&gt;"",AP14=""),AND(AX14&gt;=AY$27,AX14&lt;&gt;"",AP14=""),AND(BW14&gt;=CC$27,BW14&lt;&gt;"",BT14=""),AND(BY14&gt;=CC$27,BY14&lt;&gt;"",BT14=""),AND(CB14&gt;=CC$27,CB14&lt;&gt;"",BT14=""),AND(DA14&gt;=DG$27,DA14&lt;&gt;"",CX14=""),AND(DC14&gt;=DG$27,DC14&lt;&gt;"",CX14=""),AND(DF14&gt;=DG$27,DF14&lt;&gt;"",CX14=""),AND(EC14&gt;=EG$27,EC14&lt;&gt;""),AND(EF14&gt;=EG$27,EF14&lt;&gt;""),AND(EY14&gt;=FC$27,EY14&lt;&gt;""),AND(FB14&gt;=FC$27,FB14&lt;&gt;""),AND(FU14&gt;=FY$27,FU14&lt;&gt;""),AND(FX14&gt;=FY$27,FX14&lt;&gt;""),AND(GQ14&gt;=GU$27,GQ14&lt;&gt;""),AND(GT14&gt;=GU$27,GT14&lt;&gt;""),AND(HM14&gt;=HQ$27,HM14&lt;&gt;""),AND(HP14&gt;=HQ$27,HP14&lt;&gt;""),AND(II14&gt;=IM$27,II14&lt;&gt;""),AND(IL14&gt;=IM$27,IL14&lt;&gt;""),AND(JE14&gt;=JI$27,JE14&lt;&gt;""),AND(JH14&gt;=JI$27,JH14&lt;&gt;""),AND(KA14&gt;=KE$27,KA14&lt;&gt;""),AND(KD14&gt;=KE$27,KD14&lt;&gt;""),AND(KW14&gt;=LA$27,KW14&lt;&gt;""),AND(KZ14&gt;=LA$27,KZ14&lt;&gt;""),AND(LS14&gt;=LW$27,LS14&lt;&gt;""),AND(LV14&gt;=LW$27,LV14&lt;&gt;""),AND(MO14&gt;=MS$27,MO14&lt;&gt;""),AND(MR14&gt;=MS$27,MR14&lt;&gt;""),AND(NK14&gt;=NO$27,NK14&lt;&gt;""),AND(NN14&gt;=NO$27,NN14&lt;&gt;"")),"Excellence",IF(OR(AND(AV14&gt;=AY$26,AV14&lt;&gt;"",AP14=""),AND(BZ14&gt;=CC$26,BZ14&lt;&gt;"",BT14=""),AND(DD14&gt;=DG$26,DD14&lt;&gt;"",CX14=""),AND(ED14&gt;=EG$26,ED14&lt;&gt;""),AND(EZ14&gt;=FC$26,EZ14&lt;&gt;""),AND(FV14&gt;=FY$26,FV14&lt;&gt;""),AND(GR14&gt;=GU$26,GR14&lt;&gt;""),AND(HN14&gt;=HQ$26,HN14&lt;&gt;""),AND(IJ14&gt;=IM$26,IJ14&lt;&gt;""),AND(JF14&gt;=JI$26,JF14&lt;&gt;""),AND(KB14&gt;=KE$26,KB14&lt;&gt;""),AND(KX14&gt;=LA$26,KX14&lt;&gt;""),AND(LT14&gt;=LW$26,LT14&lt;&gt;""),AND(MP14&gt;=MS$26,MP14&lt;&gt;""),AND(NL14&gt;=NO$26,NL14&lt;&gt;"")),"Worlds Team",IF(OR(AND(AV14&gt;=AY$25,AV14&lt;&gt;"",AP14=""),AND(BZ14&gt;=CC$25,BZ14&lt;&gt;"",BT14=""),AND(DD14&gt;=DG$25,DD14&lt;&gt;"",CX14=""),AND(ED14&gt;=EG$25,ED14&lt;&gt;""),AND(EZ14&gt;=FC$25,EZ14&lt;&gt;""),AND(FV14&gt;=FY$25,FV14&lt;&gt;""),AND(GR14&gt;=GU$25,GR14&lt;&gt;""),AND(HN14&gt;=HQ$25,HN14&lt;&gt;""),AND(IJ14&gt;=IM$25,IJ14&lt;&gt;""),AND(JF14&gt;=JI$25,JF14&lt;&gt;""),AND(KB14&gt;=KE$25,KB14&lt;&gt;""),AND(KX14&gt;=LA$25,KX14&lt;&gt;""),AND(LT14&gt;=LW$25,LT14&lt;&gt;""),AND(MP14&gt;=MS$25,MP14&lt;&gt;""),AND(NL14&gt;=NO$25,NL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$26,AV14&lt;&gt;"",AP14=""),AND(BZ14&gt;=CC$26,BZ14&lt;&gt;"",BT14=""),AND(DD14&gt;=DG$26,DD14&lt;&gt;"",CX14=""),AND(ED14&gt;=EG$26,ED14&lt;&gt;""),AND(EZ14&gt;=FC$26,EZ14&lt;&gt;""),AND(FV14&gt;=FY$26,FV14&lt;&gt;""),AND(GR14&gt;=GU$26,GR14&lt;&gt;""),AND(HN14&gt;=HQ$26,HN14&lt;&gt;""),AND(IJ14&gt;=IM$26,IJ14&lt;&gt;""),AND(JF14&gt;=JI$26,JF14&lt;&gt;""),AND(KB14&gt;=KE$26,KB14&lt;&gt;""),AND(KX14&gt;=LA$26,KX14&lt;&gt;""),AND(LT14&gt;=LW$26,LT14&lt;&gt;""),AND(MP14&gt;=MS$26,MP14&lt;&gt;""),AND(NL14&gt;=NO$26,NL14&lt;&gt;"")),OR(G14="Worlds Team",G14="Excellence",G14="Merit")),"P","")</f>
        <v/>
      </c>
      <c r="K14" s="14">
        <f>IF(MAX(AV14,BZ14,DD14)&gt;0,MAX(AV14,BZ14,DD14),0)</f>
        <v>97.867500000000007</v>
      </c>
      <c r="L14" s="14" t="str">
        <f>IF(K14=0,"",IF(K14=DD14,$CD$1,IF(K14=BZ14,$AZ$1,IF(K14=AV14,$V$1,""))))</f>
        <v>2019 Nationals</v>
      </c>
      <c r="M14" s="14">
        <f>IF($K14=$AV14,MAX(BU14,CY14),IF($K14=$BZ14,MAX(AQ14,CY14),IF($K14=$DD14,MAX(AQ14,BU14),MAX(AQ14,BU14,CY14))))</f>
        <v>46.21</v>
      </c>
      <c r="N14" s="14" t="str">
        <f>IF(M14=0,"",IF(AND(M14=CY14,$L14&lt;&gt;$CD$1),$CD$1,IF(AND(M14=BU14,$L14&lt;&gt;$AZ$1),$AZ$1,IF(AND(M14=AQ14,$L14&lt;&gt;$V$1),$V$1,""))))</f>
        <v>2019 Elite Canada</v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49.7</v>
      </c>
      <c r="P14" s="14" t="str">
        <f>IF(O14=0,"",IF(OR(O14=DC14,O14=DA14),$CD$1,IF(OR(O14=BY14,O14=BW14),$AZ$1,IF(OR(O14=AU14,O14=AS14),$V$1,""))))</f>
        <v>2019 Elite Canada</v>
      </c>
      <c r="Q14" s="14">
        <f>MAX(AX14,CB14,DF14)</f>
        <v>51.652500000000003</v>
      </c>
      <c r="R14" s="14" t="str">
        <f>IF(Q14=0,"",IF(Q14=DF14,$CD$1,IF(Q14=CB14,$AZ$1,IF(Q14=AX14,$V$1,""))))</f>
        <v>2019 Nationals</v>
      </c>
      <c r="S14" s="14" t="str">
        <f>IF(MAX(DH14,DI14,DJ14,DK14)&gt;0,MAX(DH14,DI14,DJ14,DK14),"")</f>
        <v/>
      </c>
      <c r="T14" s="25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9">
        <v>15.6</v>
      </c>
      <c r="W14" s="69">
        <v>9.3000000000000007</v>
      </c>
      <c r="X14" s="69">
        <v>5.3</v>
      </c>
      <c r="Y14" s="69">
        <v>16.010000000000002</v>
      </c>
      <c r="Z14" s="69">
        <v>0</v>
      </c>
      <c r="AA14" s="69">
        <v>13.9</v>
      </c>
      <c r="AB14" s="69">
        <v>9</v>
      </c>
      <c r="AC14" s="69">
        <v>11.5</v>
      </c>
      <c r="AD14" s="69">
        <v>15.3</v>
      </c>
      <c r="AE14" s="69">
        <v>0</v>
      </c>
      <c r="AF14" s="69"/>
      <c r="AG14" s="69"/>
      <c r="AH14" s="69"/>
      <c r="AI14" s="69"/>
      <c r="AJ14" s="69"/>
      <c r="AK14" s="69">
        <v>15.3</v>
      </c>
      <c r="AL14" s="69">
        <v>9.1</v>
      </c>
      <c r="AM14" s="69">
        <v>11.6</v>
      </c>
      <c r="AN14" s="69">
        <v>15.645</v>
      </c>
      <c r="AO14" s="69">
        <v>0</v>
      </c>
      <c r="AP14" s="80"/>
      <c r="AQ14" s="11">
        <f>IF(SUM(V14:Y14)-Z14&gt;0,SUM(V14:Y14)-Z14,"")</f>
        <v>46.21</v>
      </c>
      <c r="AR14" s="11">
        <f>IF(AC14&gt;0,AC14,"")</f>
        <v>11.5</v>
      </c>
      <c r="AS14" s="11">
        <f>IF(SUM(AA14:AD14)-AE14&gt;0,SUM(AA14:AD14)-AE14,"")</f>
        <v>49.7</v>
      </c>
      <c r="AT14" s="11" t="str">
        <f>IF(AH14&gt;0,AH14,"")</f>
        <v/>
      </c>
      <c r="AU14" s="11" t="str">
        <f>IF(SUM(AF14:AI14)-AJ14&gt;0,SUM(AF14:AI14)-AJ14,"")</f>
        <v/>
      </c>
      <c r="AV14" s="11">
        <f>IF(OR(AQ14&lt;&gt;"",AS14&lt;&gt;"",AU14&lt;&gt;""),AQ14+MAX(AS14,AU14),"")</f>
        <v>95.91</v>
      </c>
      <c r="AW14" s="11">
        <f>IF(AM14&gt;0,AM14,"")</f>
        <v>11.6</v>
      </c>
      <c r="AX14" s="11">
        <f>IF(SUM(AK14:AN14)-AO14&gt;0,SUM(AK14:AN14)-AO14,"")</f>
        <v>51.644999999999996</v>
      </c>
      <c r="AY14" s="11">
        <f>IF(SUM(AV14,AX14)&gt;0,SUM(AV14,AX14),"")</f>
        <v>147.55500000000001</v>
      </c>
      <c r="AZ14" s="75">
        <v>16.399999999999999</v>
      </c>
      <c r="BA14" s="75">
        <v>9.25</v>
      </c>
      <c r="BB14" s="75">
        <v>5.4499999999999993</v>
      </c>
      <c r="BC14" s="75">
        <v>16.1325</v>
      </c>
      <c r="BD14" s="75">
        <v>0</v>
      </c>
      <c r="BE14" s="75">
        <v>14.05</v>
      </c>
      <c r="BF14" s="75">
        <v>9.1</v>
      </c>
      <c r="BG14" s="75">
        <v>12.25</v>
      </c>
      <c r="BH14" s="75">
        <v>15.335000000000001</v>
      </c>
      <c r="BI14" s="75">
        <v>0.1</v>
      </c>
      <c r="BJ14" s="75"/>
      <c r="BK14" s="75"/>
      <c r="BL14" s="75"/>
      <c r="BM14" s="75"/>
      <c r="BN14" s="75"/>
      <c r="BO14" s="75">
        <v>14.75</v>
      </c>
      <c r="BP14" s="75">
        <v>9.1999999999999993</v>
      </c>
      <c r="BQ14" s="75">
        <v>12</v>
      </c>
      <c r="BR14" s="75">
        <v>15.702500000000001</v>
      </c>
      <c r="BS14" s="75">
        <v>0</v>
      </c>
      <c r="BT14" s="81" t="s">
        <v>91</v>
      </c>
      <c r="BU14" s="14">
        <f>IF(SUM(AZ14:BC14)-BD14&gt;0,SUM(AZ14:BC14)-BD14,"")</f>
        <v>47.232500000000002</v>
      </c>
      <c r="BV14" s="14">
        <f>IF(BG14&gt;0,BG14,"")</f>
        <v>12.25</v>
      </c>
      <c r="BW14" s="14">
        <f>IF(SUM(BE14:BH14)-BI14&gt;0,SUM(BE14:BH14)-BI14,"")</f>
        <v>50.634999999999998</v>
      </c>
      <c r="BX14" s="14" t="str">
        <f>IF(BL14&gt;0,BL14,"")</f>
        <v/>
      </c>
      <c r="BY14" s="14" t="str">
        <f>IF(SUM(BJ14:BM14)-BN14&gt;0,SUM(BJ14:BM14)-BN14,"")</f>
        <v/>
      </c>
      <c r="BZ14" s="14">
        <f>IF(BU14="",IF(MAX(BW14,BY14)&gt;0,MAX(BW14,BY14),""),MAX(BW14,BY14)+BU14)</f>
        <v>97.867500000000007</v>
      </c>
      <c r="CA14" s="14">
        <f>IF(BQ14&gt;0,BQ14,"")</f>
        <v>12</v>
      </c>
      <c r="CB14" s="14">
        <f>IF(SUM(BO14:BR14)-BS14&gt;0,SUM(BO14:BR14)-BS14,"")</f>
        <v>51.652500000000003</v>
      </c>
      <c r="CC14" s="14">
        <f>IF(SUM(BZ14,CB14)&gt;0,SUM(BZ14,CB14),"")</f>
        <v>149.52000000000001</v>
      </c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80"/>
      <c r="CY14" s="11" t="str">
        <f>IF(SUM(CD14:CG14)-CH14&gt;0,SUM(CD14:CG14)-CH14,"")</f>
        <v/>
      </c>
      <c r="CZ14" s="11" t="str">
        <f>IF(CK14&gt;0,CK14,"")</f>
        <v/>
      </c>
      <c r="DA14" s="11" t="str">
        <f>IF(SUM(CI14:CL14)-CM14&gt;0,SUM(CI14:CL14)-CM14,"")</f>
        <v/>
      </c>
      <c r="DB14" s="11" t="str">
        <f>IF(CP14&gt;0,CP14,"")</f>
        <v/>
      </c>
      <c r="DC14" s="11" t="str">
        <f>IF(SUM(CN14:CQ14)-CR14&gt;0,SUM(CN14:CQ14)-CR14,"")</f>
        <v/>
      </c>
      <c r="DD14" s="11" t="str">
        <f>IF(CY14="",IF(MAX(DA14,DC14)&gt;0,MAX(DA14,DC14),""),MAX(DA14,DC14)+CY14)</f>
        <v/>
      </c>
      <c r="DE14" s="11" t="str">
        <f>IF(CU14&gt;0,CU14,"")</f>
        <v/>
      </c>
      <c r="DF14" s="11" t="str">
        <f>IF(SUM(CS14:CV14)-CW14&gt;0,SUM(CS14:CV14)-CW14,"")</f>
        <v/>
      </c>
      <c r="DG14" s="11" t="str">
        <f>IF(SUM(DD14,DF14)&gt;0,SUM(DD14,DF14),"")</f>
        <v/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 t="str">
        <f>IF(MAX(EC14,EY14,FU14,GQ14,HM14,II14,JE14,KA14,KW14,LS14,MO14,NK14)-IF(O14="",0,O14)&gt;0.001,MAX(EC14,EY14,FU14,GQ14,HM14,II14,JE14,KA14,KW14,LS14,MO14,NK14)-IF(O14="",0,O14),"")</f>
        <v/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8.1999999999999993</v>
      </c>
      <c r="NQ14" s="69">
        <f>IF($CX14="P",CE14,(CE14+BA14)/2)</f>
        <v>4.625</v>
      </c>
      <c r="NR14" s="69">
        <f>IF($CX14="P",CF14,(CF14+BB14)/2)</f>
        <v>2.7249999999999996</v>
      </c>
      <c r="NS14" s="69">
        <f>IF($CX14="P",CG14,(CG14+BC14)/2)</f>
        <v>8.0662500000000001</v>
      </c>
      <c r="NT14" s="69">
        <f>IF($CX14="P",CH14,(CH14+BD14)/2)</f>
        <v>0</v>
      </c>
      <c r="NU14" s="69">
        <f>IF($CX14="P",CI14,(CI14+BE14)/2)</f>
        <v>7.0250000000000004</v>
      </c>
      <c r="NV14" s="69">
        <f>IF($CX14="P",CJ14,(CJ14+BF14)/2)</f>
        <v>4.55</v>
      </c>
      <c r="NW14" s="69">
        <f>IF($CX14="P",CK14,(CK14+BG14)/2)</f>
        <v>6.125</v>
      </c>
      <c r="NX14" s="69">
        <f>IF($CX14="P",CL14,(CL14+BH14)/2)</f>
        <v>7.6675000000000004</v>
      </c>
      <c r="NY14" s="69">
        <f>IF($CX14="P",CM14,(CM14+BI14)/2)</f>
        <v>0.05</v>
      </c>
      <c r="NZ14" s="69">
        <f>IF($CX14="P",CN14,(CN14+BJ14)/2)</f>
        <v>0</v>
      </c>
      <c r="OA14" s="69">
        <f>IF($CX14="P",CO14,(CO14+BK14)/2)</f>
        <v>0</v>
      </c>
      <c r="OB14" s="69">
        <f>IF($CX14="P",CP14,(CP14+BL14)/2)</f>
        <v>0</v>
      </c>
      <c r="OC14" s="69">
        <f>IF($CX14="P",CQ14,(CQ14+BM14)/2)</f>
        <v>0</v>
      </c>
      <c r="OD14" s="69">
        <f>IF($CX14="P",CR14,(CR14+BN14)/2)</f>
        <v>0</v>
      </c>
      <c r="OE14" s="69">
        <f>IF($CX14="P",CS14,(CS14+BO14)/2)</f>
        <v>7.375</v>
      </c>
      <c r="OF14" s="69">
        <f>IF($CX14="P",CT14,(CT14+BP14)/2)</f>
        <v>4.5999999999999996</v>
      </c>
      <c r="OG14" s="69">
        <f>IF($CX14="P",CU14,(CU14+BQ14)/2)</f>
        <v>6</v>
      </c>
      <c r="OH14" s="69">
        <f>IF($CX14="P",CV14,(CV14+BR14)/2)</f>
        <v>7.8512500000000003</v>
      </c>
      <c r="OI14" s="69">
        <f>IF($CX14="P",CW14,(CW14+BS14)/2)</f>
        <v>0</v>
      </c>
      <c r="OJ14" s="80" t="s">
        <v>91</v>
      </c>
      <c r="OK14" s="11">
        <f>IF(SUM(NP14:NS14)-NT14&gt;0,SUM(NP14:NS14)-NT14,"")</f>
        <v>23.616250000000001</v>
      </c>
      <c r="OL14" s="11">
        <f>IF(NW14&gt;0,NW14,"")</f>
        <v>6.125</v>
      </c>
      <c r="OM14" s="11">
        <f>IF(SUM(NU14:NX14)-NY14&gt;0,SUM(NU14:NX14)-NY14,"")</f>
        <v>25.317499999999999</v>
      </c>
      <c r="ON14" s="11" t="str">
        <f>IF(OB14&gt;0,OB14,"")</f>
        <v/>
      </c>
      <c r="OO14" s="11" t="str">
        <f>IF(SUM(NZ14:OC14)-OD14&gt;0,SUM(NZ14:OC14)-OD14,"")</f>
        <v/>
      </c>
      <c r="OP14" s="11">
        <f>IF(OR(OK14&lt;&gt;"",OM14&lt;&gt;"",OO14&lt;&gt;""),OK14+MAX(OM14,OO14),"")</f>
        <v>48.933750000000003</v>
      </c>
      <c r="OQ14" s="11">
        <f>IF(OG14&gt;0,OG14,"")</f>
        <v>6</v>
      </c>
      <c r="OR14" s="11">
        <f t="shared" si="0"/>
        <v>25.826250000000002</v>
      </c>
      <c r="OS14" s="11">
        <f t="shared" si="1"/>
        <v>74.760000000000005</v>
      </c>
    </row>
    <row r="15" spans="1:409" x14ac:dyDescent="0.2">
      <c r="A15" s="5" t="str" cm="1">
        <f t="array" ref="A15">IF(AND(G15&lt;&gt;"",H15&lt;&gt;""),SUMPRODUCT((G$4:G$19&lt;&gt;"")*(H$4:H$19&lt;&gt;"")*(E$4:E$19&gt;E15))+1,IF(H15&lt;&gt;"",SUMPRODUCT((I$4:I$19="No DD")*(E$4:E$19&gt;E15))+1+SUMPRODUCT((G$4:G$19&lt;&gt;"")*(H$4:H$19&lt;&gt;"")),""))</f>
        <v/>
      </c>
      <c r="B15" s="127" t="s">
        <v>202</v>
      </c>
      <c r="C15" s="5" t="s">
        <v>6</v>
      </c>
      <c r="D15" s="5">
        <v>2002</v>
      </c>
      <c r="E15" s="15">
        <f>SUM(K15:S15)</f>
        <v>237.57499999999999</v>
      </c>
      <c r="F15" s="3" t="str">
        <f>IF(G15&lt;&gt;"","P","")</f>
        <v/>
      </c>
      <c r="G15" s="125" t="str">
        <f>IF(OR(AND(AR15&gt;=AY$24,AR15&lt;&gt;"",AP15=""),AND(AT15&gt;=AY$24,AT15&lt;&gt;"",AP15=""),AND(AW15&gt;=AY$24,AW15&lt;&gt;"",AP15=""),AND(BV15&gt;=CC$24,BV15&lt;&gt;"",BT15=""),AND(BX15&gt;=CC$24,BX15&lt;&gt;"",BT15=""),AND(CA15&gt;=CC$24,CA15&lt;&gt;"",BT15=""),AND(CZ15&gt;=DG$24,CZ15&lt;&gt;"",CX15=""),AND(DB15&gt;=DG$24,DB15&lt;&gt;"",CX15=""),AND(DE15&gt;=DG$24,DE15&lt;&gt;"",CX15=""),AND(EA15&gt;=EG$24,EA15&lt;&gt;""),AND(EE15&gt;=EG$24,EE15&lt;&gt;""),AND(EW15&gt;=FC$24,EW15&lt;&gt;""),AND(FA15&gt;=FC$24,FA15&lt;&gt;""),AND(FS15&gt;=FY$24,FS15&lt;&gt;""),AND(FW15&gt;=FY$24,FW15&lt;&gt;""),AND(GO15&gt;=GU$24,GO15&lt;&gt;""),AND(GS15&gt;=GU$24,GS15&lt;&gt;""),AND(HK15&gt;=HQ$24,HK15&lt;&gt;""),AND(HO15&gt;=HQ$24,HO15&lt;&gt;""),AND(IG15&gt;=IM$24,IG15&lt;&gt;""),AND(IK15&gt;=IM$24,IK15&lt;&gt;""),AND(JC15&gt;=JI$24,JC15&lt;&gt;""),AND(JG15&gt;=JI$24,JG15&lt;&gt;""),AND(JY15&gt;=KE$24,JY15&lt;&gt;""),AND(KC15&gt;=KE$24,KC15&lt;&gt;""),AND(KU15&gt;=LA$24,KU15&lt;&gt;""),AND(KY15&gt;=LA$24,KY15&lt;&gt;""),AND(LQ15&gt;=LW$24,LQ15&lt;&gt;""),AND(LU15&gt;=LW$24,LU15&lt;&gt;""),AND(MM15&gt;=MS$24,MM15&lt;&gt;""),AND(MQ15&gt;=MS$24,MQ15&lt;&gt;""),AND(NI15&gt;=NO$24,NI15&lt;&gt;""),AND(NM15&gt;=NO$24,NM15&lt;&gt;"")),"Merit",IF(OR(AND(AR15&gt;=AY$23,AR15&lt;&gt;"",AP15=""),AND(AT15&gt;=AY$23,AT15&lt;&gt;"",AP15=""),AND(AW15&gt;=AY$23,AW15&lt;&gt;"",AP15=""),AND(BV15&gt;=CC$23,BV15&lt;&gt;"",BT15=""),AND(BX15&gt;=CC$23,BX15&lt;&gt;"",BT15=""),AND(CA15&gt;=CC$23,CA15&lt;&gt;"",BT15=""),AND(CZ15&gt;=DG$23,CZ15&lt;&gt;"",CX15=""),AND(DB15&gt;=DG$23,DB15&lt;&gt;"",CX15=""),AND(DE15&gt;=DG$23,DE15&lt;&gt;"",CX15=""),AND(EA15&gt;=EG$23,EA15&lt;&gt;""),AND(EE15&gt;=EG$23,EE15&lt;&gt;""),AND(EW15&gt;=FC$23,EW15&lt;&gt;""),AND(FA15&gt;=FC$23,FA15&lt;&gt;""),AND(FS15&gt;=FY$23,FS15&lt;&gt;""),AND(FW15&gt;=FY$23,FW15&lt;&gt;""),AND(GO15&gt;=GU$23,GO15&lt;&gt;""),AND(GS15&gt;=GU$23,GS15&lt;&gt;""),AND(HK15&gt;=HQ$23,HK15&lt;&gt;""),AND(HO15&gt;=HQ$23,HO15&lt;&gt;""),AND(IG15&gt;=IM$23,IG15&lt;&gt;""),AND(IK15&gt;=IM$23,IK15&lt;&gt;""),AND(JC15&gt;=JI$23,JC15&lt;&gt;""),AND(JG15&gt;=JI$23,JG15&lt;&gt;""),AND(JY15&gt;=KE$23,JY15&lt;&gt;""),AND(KC15&gt;=KE$23,KC15&lt;&gt;""),AND(KU15&gt;=LA$23,KU15&lt;&gt;""),AND(KY15&gt;=LA$23,KY15&lt;&gt;""),AND(LQ15&gt;=LW$23,LQ15&lt;&gt;""),AND(LU15&gt;=LW$23,LU15&lt;&gt;""),AND(MM15&gt;=MS$23,MM15&lt;&gt;""),AND(MQ15&gt;=MS$23,MQ15&lt;&gt;""),AND(NI15&gt;=NO$23,NI15&lt;&gt;""),AND(NM15&gt;=NO$23,NM15&lt;&gt;"")),"Excellence",IF(OR(AND(AR15&gt;=AY$22,AR15&lt;&gt;"",AP15=""),AND(AT15&gt;=AY$22,AT15&lt;&gt;"",AP15=""),AND(AW15&gt;=AY$22,AW15&lt;&gt;"",AP15=""),AND(BV15&gt;=CC$22,BV15&lt;&gt;"",BT15=""),AND(BX15&gt;=CC$22,BX15&lt;&gt;"",BT15=""),AND(CA15&gt;=CC$22,CA15&lt;&gt;"",BT15=""),AND(CZ15&gt;=DG$22,CZ15&lt;&gt;"",CX15=""),AND(DB15&gt;=DG$22,DB15&lt;&gt;"",CX15=""),AND(DE15&gt;=DG$22,DE15&lt;&gt;"",CX15=""),AND(EA15&gt;=EG$22,EA15&lt;&gt;""),AND(EE15&gt;=EG$22,EE15&lt;&gt;""),AND(EW15&gt;=FC$22,EW15&lt;&gt;""),AND(FA15&gt;=FC$22,FA15&lt;&gt;""),AND(FS15&gt;=FY$22,FS15&lt;&gt;""),AND(FW15&gt;=FY$22,FW15&lt;&gt;""),AND(GO15&gt;=GU$22,GO15&lt;&gt;""),AND(GS15&gt;=GU$22,GS15&lt;&gt;""),AND(HK15&gt;=HQ$22,HK15&lt;&gt;""),AND(HO15&gt;=HQ$22,HO15&lt;&gt;""),AND(IG15&gt;=IM$22,IG15&lt;&gt;""),AND(IK15&gt;=IM$22,IK15&lt;&gt;""),AND(JC15&gt;=JI$22,JC15&lt;&gt;""),AND(JG15&gt;=JI$22,JG15&lt;&gt;""),AND(JY15&gt;=KE$22,JY15&lt;&gt;""),AND(KC15&gt;=KE$22,KC15&lt;&gt;""),AND(KU15&gt;=LA$22,KU15&lt;&gt;""),AND(KY15&gt;=LA$22,KY15&lt;&gt;""),AND(LQ15&gt;=LW$22,LQ15&lt;&gt;""),AND(LU15&gt;=LW$22,LU15&lt;&gt;""),AND(MM15&gt;=MS$22,MM15&lt;&gt;""),AND(MQ15&gt;=MS$22,MQ15&lt;&gt;""),AND(NI15&gt;=NO$22,NI15&lt;&gt;""),AND(NM15&gt;=NO$22,NM15&lt;&gt;"")),"Worlds Team",IF(OR(AND(AR15&gt;=AY$21,AR15&lt;&gt;"",AP15=""),AND(AT15&gt;=AY$21,AT15&lt;&gt;"",AP15=""),AND(AW15&gt;=AY$21,AW15&lt;&gt;"",AP15=""),AND(BV15&gt;=CC$21,BV15&lt;&gt;"",BT15=""),AND(BX15&gt;=CC$21,BX15&lt;&gt;"",BT15=""),AND(CA15&gt;=CC$21,CA15&lt;&gt;"",BT15=""),AND(CZ15&gt;=DG$21,CZ15&lt;&gt;"",CX15=""),AND(DB15&gt;=DG$21,DB15&lt;&gt;"",CX15=""),AND(DE15&gt;=DG$21,DE15&lt;&gt;"",CX15=""),AND(EA15&gt;=EG$21,EA15&lt;&gt;""),AND(EE15&gt;=EG$21,EE15&lt;&gt;""),AND(EW15&gt;=FC$21,EW15&lt;&gt;""),AND(FA15&gt;=FC$21,FA15&lt;&gt;""),AND(FS15&gt;=FY$21,FS15&lt;&gt;""),AND(FW15&gt;=FY$21,FW15&lt;&gt;""),AND(GO15&gt;=GU$21,GO15&lt;&gt;""),AND(GS15&gt;=GU$21,GS15&lt;&gt;""),AND(HK15&gt;=HQ$21,HK15&lt;&gt;""),AND(HO15&gt;=HQ$21,HO15&lt;&gt;""),AND(IG15&gt;=IM$21,IG15&lt;&gt;""),AND(IK15&gt;=IM$21,IK15&lt;&gt;""),AND(JC15&gt;=JI$21,JC15&lt;&gt;""),AND(JG15&gt;=JI$21,JG15&lt;&gt;""),AND(JY15&gt;=KE$21,JY15&lt;&gt;""),AND(KC15&gt;=KE$21,KC15&lt;&gt;""),AND(KU15&gt;=LA$21,KU15&lt;&gt;""),AND(KY15&gt;=LA$21,KY15&lt;&gt;""),AND(LQ15&gt;=LW$21,LQ15&lt;&gt;""),AND(LU15&gt;=LW$21,LU15&lt;&gt;""),AND(MM15&gt;=MS$21,MM15&lt;&gt;""),AND(MQ15&gt;=MS$21,MQ15&lt;&gt;""),AND(NI15&gt;=NO$21,NI15&lt;&gt;""),AND(NM15&gt;=NO$21,NM15&lt;&gt;"")),"National Team",""))))</f>
        <v/>
      </c>
      <c r="H15" s="125" t="str">
        <f>IF(OR(AND(AS15&gt;=AY$28,AS15&lt;&gt;"",AP15=""),AND(AU15&gt;=AY$28,AU15&lt;&gt;"",AP15=""),AND(AX15&gt;=AY$28,AX15&lt;&gt;"",AP15=""),AND(BW15&gt;=CC$28,BW15&lt;&gt;"",BT15=""),AND(BY15&gt;=CC$28,BY15&lt;&gt;"",BT15=""),AND(CB15&gt;=CC$28,CB15&lt;&gt;"",BT15=""),AND(DA15&gt;=DG$28,DA15&lt;&gt;"",CX15=""),AND(DC15&gt;=DG$28,DC15&lt;&gt;"",CX15=""),AND(DF15&gt;=DG$28,DF15&lt;&gt;"",CX15=""),AND(EC15&gt;=EG$28,EC15&lt;&gt;""),AND(EF15&gt;=EG$28,EF15&lt;&gt;""),AND(EY15&gt;=FC$28,EY15&lt;&gt;""),AND(FB15&gt;=FC$28,FB15&lt;&gt;""),AND(FU15&gt;=FY$28,FU15&lt;&gt;""),AND(FX15&gt;=FY$28,FX15&lt;&gt;""),AND(GQ15&gt;=GU$28,GQ15&lt;&gt;""),AND(GT15&gt;=GU$28,GT15&lt;&gt;""),AND(HM15&gt;=HQ$28,HM15&lt;&gt;""),AND(HP15&gt;=HQ$28,HP15&lt;&gt;""),AND(II15&gt;=IM$28,II15&lt;&gt;""),AND(IL15&gt;=IM$28,IL15&lt;&gt;""),AND(JE15&gt;=JI$28,JE15&lt;&gt;""),AND(JH15&gt;=JI$28,JH15&lt;&gt;""),AND(KA15&gt;=KE$28,KA15&lt;&gt;""),AND(KD15&gt;=KE$28,KD15&lt;&gt;""),AND(KW15&gt;=LA$28,KW15&lt;&gt;""),AND(KZ15&gt;=LA$28,KZ15&lt;&gt;""),AND(LS15&gt;=LW$28,LS15&lt;&gt;""),AND(LV15&gt;=LW$28,LV15&lt;&gt;""),AND(MO15&gt;=MS$28,MO15&lt;&gt;""),AND(MR15&gt;=MS$28,MR15&lt;&gt;""),AND(NK15&gt;=NO$28,NK15&lt;&gt;""),AND(NN15&gt;=NO$28,NN15&lt;&gt;"")),"Merit",IF(OR(AND(AS15&gt;=AY$27,AS15&lt;&gt;"",AP15=""),AND(AU15&gt;=AY$27,AU15&lt;&gt;"",AP15=""),AND(AX15&gt;=AY$27,AX15&lt;&gt;"",AP15=""),AND(BW15&gt;=CC$27,BW15&lt;&gt;"",BT15=""),AND(BY15&gt;=CC$27,BY15&lt;&gt;"",BT15=""),AND(CB15&gt;=CC$27,CB15&lt;&gt;"",BT15=""),AND(DA15&gt;=DG$27,DA15&lt;&gt;"",CX15=""),AND(DC15&gt;=DG$27,DC15&lt;&gt;"",CX15=""),AND(DF15&gt;=DG$27,DF15&lt;&gt;"",CX15=""),AND(EC15&gt;=EG$27,EC15&lt;&gt;""),AND(EF15&gt;=EG$27,EF15&lt;&gt;""),AND(EY15&gt;=FC$27,EY15&lt;&gt;""),AND(FB15&gt;=FC$27,FB15&lt;&gt;""),AND(FU15&gt;=FY$27,FU15&lt;&gt;""),AND(FX15&gt;=FY$27,FX15&lt;&gt;""),AND(GQ15&gt;=GU$27,GQ15&lt;&gt;""),AND(GT15&gt;=GU$27,GT15&lt;&gt;""),AND(HM15&gt;=HQ$27,HM15&lt;&gt;""),AND(HP15&gt;=HQ$27,HP15&lt;&gt;""),AND(II15&gt;=IM$27,II15&lt;&gt;""),AND(IL15&gt;=IM$27,IL15&lt;&gt;""),AND(JE15&gt;=JI$27,JE15&lt;&gt;""),AND(JH15&gt;=JI$27,JH15&lt;&gt;""),AND(KA15&gt;=KE$27,KA15&lt;&gt;""),AND(KD15&gt;=KE$27,KD15&lt;&gt;""),AND(KW15&gt;=LA$27,KW15&lt;&gt;""),AND(KZ15&gt;=LA$27,KZ15&lt;&gt;""),AND(LS15&gt;=LW$27,LS15&lt;&gt;""),AND(LV15&gt;=LW$27,LV15&lt;&gt;""),AND(MO15&gt;=MS$27,MO15&lt;&gt;""),AND(MR15&gt;=MS$27,MR15&lt;&gt;""),AND(NK15&gt;=NO$27,NK15&lt;&gt;""),AND(NN15&gt;=NO$27,NN15&lt;&gt;"")),"Excellence",IF(OR(AND(AV15&gt;=AY$26,AV15&lt;&gt;"",AP15=""),AND(BZ15&gt;=CC$26,BZ15&lt;&gt;"",BT15=""),AND(DD15&gt;=DG$26,DD15&lt;&gt;"",CX15=""),AND(ED15&gt;=EG$26,ED15&lt;&gt;""),AND(EZ15&gt;=FC$26,EZ15&lt;&gt;""),AND(FV15&gt;=FY$26,FV15&lt;&gt;""),AND(GR15&gt;=GU$26,GR15&lt;&gt;""),AND(HN15&gt;=HQ$26,HN15&lt;&gt;""),AND(IJ15&gt;=IM$26,IJ15&lt;&gt;""),AND(JF15&gt;=JI$26,JF15&lt;&gt;""),AND(KB15&gt;=KE$26,KB15&lt;&gt;""),AND(KX15&gt;=LA$26,KX15&lt;&gt;""),AND(LT15&gt;=LW$26,LT15&lt;&gt;""),AND(MP15&gt;=MS$26,MP15&lt;&gt;""),AND(NL15&gt;=NO$26,NL15&lt;&gt;"")),"Worlds Team",IF(OR(AND(AV15&gt;=AY$25,AV15&lt;&gt;"",AP15=""),AND(BZ15&gt;=CC$25,BZ15&lt;&gt;"",BT15=""),AND(DD15&gt;=DG$25,DD15&lt;&gt;"",CX15=""),AND(ED15&gt;=EG$25,ED15&lt;&gt;""),AND(EZ15&gt;=FC$25,EZ15&lt;&gt;""),AND(FV15&gt;=FY$25,FV15&lt;&gt;""),AND(GR15&gt;=GU$25,GR15&lt;&gt;""),AND(HN15&gt;=HQ$25,HN15&lt;&gt;""),AND(IJ15&gt;=IM$25,IJ15&lt;&gt;""),AND(JF15&gt;=JI$25,JF15&lt;&gt;""),AND(KB15&gt;=KE$25,KB15&lt;&gt;""),AND(KX15&gt;=LA$25,KX15&lt;&gt;""),AND(LT15&gt;=LW$25,LT15&lt;&gt;""),AND(MP15&gt;=MS$25,MP15&lt;&gt;""),AND(NL15&gt;=NO$25,NL15&lt;&gt;"")),"National Team",""))))</f>
        <v/>
      </c>
      <c r="I15" s="12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$26,AV15&lt;&gt;"",AP15=""),AND(BZ15&gt;=CC$26,BZ15&lt;&gt;"",BT15=""),AND(DD15&gt;=DG$26,DD15&lt;&gt;"",CX15=""),AND(ED15&gt;=EG$26,ED15&lt;&gt;""),AND(EZ15&gt;=FC$26,EZ15&lt;&gt;""),AND(FV15&gt;=FY$26,FV15&lt;&gt;""),AND(GR15&gt;=GU$26,GR15&lt;&gt;""),AND(HN15&gt;=HQ$26,HN15&lt;&gt;""),AND(IJ15&gt;=IM$26,IJ15&lt;&gt;""),AND(JF15&gt;=JI$26,JF15&lt;&gt;""),AND(KB15&gt;=KE$26,KB15&lt;&gt;""),AND(KX15&gt;=LA$26,KX15&lt;&gt;""),AND(LT15&gt;=LW$26,LT15&lt;&gt;""),AND(MP15&gt;=MS$26,MP15&lt;&gt;""),AND(NL15&gt;=NO$26,NL15&lt;&gt;"")),OR(G15="Worlds Team",G15="Excellence",G15="Merit")),"P","")</f>
        <v/>
      </c>
      <c r="K15" s="14">
        <f>IF(MAX(AV15,BZ15,DD15)&gt;0,MAX(AV15,BZ15,DD15),0)</f>
        <v>94.444999999999993</v>
      </c>
      <c r="L15" s="14" t="str">
        <f>IF(K15=0,"",IF(K15=DD15,$CD$1,IF(K15=BZ15,$AZ$1,IF(K15=AV15,$V$1,""))))</f>
        <v>2019 Nationals</v>
      </c>
      <c r="M15" s="14">
        <f>IF($K15=$AV15,MAX(BU15,CY15),IF($K15=$BZ15,MAX(AQ15,CY15),IF($K15=$DD15,MAX(AQ15,BU15),MAX(AQ15,BU15,CY15))))</f>
        <v>44.339999999999996</v>
      </c>
      <c r="N15" s="14" t="str">
        <f>IF(M15=0,"",IF(AND(M15=CY15,$L15&lt;&gt;$CD$1),$CD$1,IF(AND(M15=BU15,$L15&lt;&gt;$AZ$1),$AZ$1,IF(AND(M15=AQ15,$L15&lt;&gt;$V$1),$V$1,""))))</f>
        <v>2021 1st Virtual Technical Trial</v>
      </c>
      <c r="O15" s="14">
        <f>IF(K15-N(AQ15)=AS15,MAX(AU15,BW15,BY15,DA15,DC15),IF(K15-N(AQ15)=AU15,MAX(AS15,BW15,BY15,DA15,DC15),IF(K15-N(BU15)=BW15,MAX(AS15,AU15,BY15,DA15,DC15),IF(K15-N(BU15)=BY15,MAX(AS15,AU15,BW15,DA15,DC15),IF(K15-N(CY15)=DA15,MAX(AS15,AU15,BW15,BY15,DC15),IF(K15-N(CY15)=DC15,MAX(AS15,AU15,BW15,BY15,DA15),MAX(AS15,AU15,BW15,BY15,DA15,DC15)))))))</f>
        <v>49.980000000000004</v>
      </c>
      <c r="P15" s="14" t="str">
        <f>IF(O15=0,"",IF(OR(O15=DC15,O15=DA15),$CD$1,IF(OR(O15=BY15,O15=BW15),$AZ$1,IF(OR(O15=AU15,O15=AS15),$V$1,""))))</f>
        <v>2019 Elite Canada</v>
      </c>
      <c r="Q15" s="14">
        <f>MAX(AX15,CB15,DF15)</f>
        <v>48.81</v>
      </c>
      <c r="R15" s="14" t="str">
        <f>IF(Q15=0,"",IF(Q15=DF15,$CD$1,IF(Q15=CB15,$AZ$1,IF(Q15=AX15,$V$1,""))))</f>
        <v>2021 1st Virtual Technical Trial</v>
      </c>
      <c r="S15" s="14" t="str">
        <f>IF(MAX(DH15,DI15,DJ15,DK15)&gt;0,MAX(DH15,DI15,DJ15,DK15),"")</f>
        <v/>
      </c>
      <c r="T15" s="25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9">
        <v>16.399999999999999</v>
      </c>
      <c r="W15" s="69">
        <v>9.0500000000000007</v>
      </c>
      <c r="X15" s="69">
        <v>3.2</v>
      </c>
      <c r="Y15" s="69">
        <v>15.175000000000001</v>
      </c>
      <c r="Z15" s="69">
        <v>0</v>
      </c>
      <c r="AA15" s="69">
        <v>14.7</v>
      </c>
      <c r="AB15" s="69">
        <v>9.1999999999999993</v>
      </c>
      <c r="AC15" s="69">
        <v>11.3</v>
      </c>
      <c r="AD15" s="69">
        <v>14.78</v>
      </c>
      <c r="AE15" s="69">
        <v>0</v>
      </c>
      <c r="AF15" s="69"/>
      <c r="AG15" s="69"/>
      <c r="AH15" s="69"/>
      <c r="AI15" s="69"/>
      <c r="AJ15" s="69"/>
      <c r="AK15" s="69">
        <v>12.9</v>
      </c>
      <c r="AL15" s="69">
        <v>9.15</v>
      </c>
      <c r="AM15" s="69">
        <v>10.1</v>
      </c>
      <c r="AN15" s="69">
        <v>13.63</v>
      </c>
      <c r="AO15" s="69">
        <v>0</v>
      </c>
      <c r="AP15" s="80"/>
      <c r="AQ15" s="11">
        <f>IF(SUM(V15:Y15)-Z15&gt;0,SUM(V15:Y15)-Z15,"")</f>
        <v>43.825000000000003</v>
      </c>
      <c r="AR15" s="11">
        <f>IF(AC15&gt;0,AC15,"")</f>
        <v>11.3</v>
      </c>
      <c r="AS15" s="11">
        <f>IF(SUM(AA15:AD15)-AE15&gt;0,SUM(AA15:AD15)-AE15,"")</f>
        <v>49.980000000000004</v>
      </c>
      <c r="AT15" s="11" t="str">
        <f>IF(AH15&gt;0,AH15,"")</f>
        <v/>
      </c>
      <c r="AU15" s="11" t="str">
        <f>IF(SUM(AF15:AI15)-AJ15&gt;0,SUM(AF15:AI15)-AJ15,"")</f>
        <v/>
      </c>
      <c r="AV15" s="11">
        <f>IF(OR(AQ15&lt;&gt;"",AS15&lt;&gt;"",AU15&lt;&gt;""),AQ15+MAX(AS15,AU15),"")</f>
        <v>93.805000000000007</v>
      </c>
      <c r="AW15" s="11">
        <f>IF(AM15&gt;0,AM15,"")</f>
        <v>10.1</v>
      </c>
      <c r="AX15" s="11">
        <f>IF(SUM(AK15:AN15)-AO15&gt;0,SUM(AK15:AN15)-AO15,"")</f>
        <v>45.78</v>
      </c>
      <c r="AY15" s="11">
        <f>IF(SUM(AV15,AX15)&gt;0,SUM(AV15,AX15),"")</f>
        <v>139.58500000000001</v>
      </c>
      <c r="AZ15" s="75">
        <v>17.5</v>
      </c>
      <c r="BA15" s="75">
        <v>9.6999999999999993</v>
      </c>
      <c r="BB15" s="75">
        <v>3.2</v>
      </c>
      <c r="BC15" s="75">
        <v>14.965</v>
      </c>
      <c r="BD15" s="75">
        <v>0</v>
      </c>
      <c r="BE15" s="75">
        <v>14.5</v>
      </c>
      <c r="BF15" s="75">
        <v>9</v>
      </c>
      <c r="BG15" s="75">
        <v>11.3</v>
      </c>
      <c r="BH15" s="75">
        <v>14.28</v>
      </c>
      <c r="BI15" s="75">
        <v>0</v>
      </c>
      <c r="BJ15" s="75"/>
      <c r="BK15" s="75"/>
      <c r="BL15" s="75"/>
      <c r="BM15" s="75"/>
      <c r="BN15" s="75"/>
      <c r="BO15" s="75">
        <v>4.5599999999999996</v>
      </c>
      <c r="BP15" s="75">
        <v>2.7</v>
      </c>
      <c r="BQ15" s="75">
        <v>3.5</v>
      </c>
      <c r="BR15" s="75">
        <v>4.53</v>
      </c>
      <c r="BS15" s="75">
        <v>0</v>
      </c>
      <c r="BT15" s="81"/>
      <c r="BU15" s="14">
        <f>IF(SUM(AZ15:BC15)-BD15&gt;0,SUM(AZ15:BC15)-BD15,"")</f>
        <v>45.364999999999995</v>
      </c>
      <c r="BV15" s="14">
        <f>IF(BG15&gt;0,BG15,"")</f>
        <v>11.3</v>
      </c>
      <c r="BW15" s="14">
        <f>IF(SUM(BE15:BH15)-BI15&gt;0,SUM(BE15:BH15)-BI15,"")</f>
        <v>49.08</v>
      </c>
      <c r="BX15" s="14" t="str">
        <f>IF(BL15&gt;0,BL15,"")</f>
        <v/>
      </c>
      <c r="BY15" s="14" t="str">
        <f>IF(SUM(BJ15:BM15)-BN15&gt;0,SUM(BJ15:BM15)-BN15,"")</f>
        <v/>
      </c>
      <c r="BZ15" s="14">
        <f>IF(BU15="",IF(MAX(BW15,BY15)&gt;0,MAX(BW15,BY15),""),MAX(BW15,BY15)+BU15)</f>
        <v>94.444999999999993</v>
      </c>
      <c r="CA15" s="14">
        <f>IF(BQ15&gt;0,BQ15,"")</f>
        <v>3.5</v>
      </c>
      <c r="CB15" s="14">
        <f>IF(SUM(BO15:BR15)-BS15&gt;0,SUM(BO15:BR15)-BS15,"")</f>
        <v>15.29</v>
      </c>
      <c r="CC15" s="14">
        <f>IF(SUM(BZ15,CB15)&gt;0,SUM(BZ15,CB15),"")</f>
        <v>109.73499999999999</v>
      </c>
      <c r="CD15" s="69">
        <v>16.7</v>
      </c>
      <c r="CE15" s="69">
        <v>9.1999999999999993</v>
      </c>
      <c r="CF15" s="69">
        <v>3.7</v>
      </c>
      <c r="CG15" s="69">
        <v>14.74</v>
      </c>
      <c r="CH15" s="69">
        <v>0</v>
      </c>
      <c r="CI15" s="69">
        <v>13.8</v>
      </c>
      <c r="CJ15" s="69">
        <v>9.0500000000000007</v>
      </c>
      <c r="CK15" s="69">
        <v>12</v>
      </c>
      <c r="CL15" s="69">
        <v>14.105</v>
      </c>
      <c r="CM15" s="69">
        <v>0</v>
      </c>
      <c r="CN15" s="69">
        <v>0</v>
      </c>
      <c r="CO15" s="69">
        <v>0</v>
      </c>
      <c r="CP15" s="69">
        <v>0</v>
      </c>
      <c r="CQ15" s="69">
        <v>0</v>
      </c>
      <c r="CR15" s="69">
        <v>0</v>
      </c>
      <c r="CS15" s="69">
        <v>14.3</v>
      </c>
      <c r="CT15" s="69">
        <v>9</v>
      </c>
      <c r="CU15" s="69">
        <v>11.3</v>
      </c>
      <c r="CV15" s="69">
        <v>14.21</v>
      </c>
      <c r="CW15" s="69">
        <v>0</v>
      </c>
      <c r="CX15" s="80"/>
      <c r="CY15" s="11">
        <f>IF(SUM(CD15:CG15)-CH15&gt;0,SUM(CD15:CG15)-CH15,"")</f>
        <v>44.339999999999996</v>
      </c>
      <c r="CZ15" s="11">
        <f>IF(CK15&gt;0,CK15,"")</f>
        <v>12</v>
      </c>
      <c r="DA15" s="11">
        <f>IF(SUM(CI15:CL15)-CM15&gt;0,SUM(CI15:CL15)-CM15,"")</f>
        <v>48.954999999999998</v>
      </c>
      <c r="DB15" s="11" t="str">
        <f>IF(CP15&gt;0,CP15,"")</f>
        <v/>
      </c>
      <c r="DC15" s="11" t="str">
        <f>IF(SUM(CN15:CQ15)-CR15&gt;0,SUM(CN15:CQ15)-CR15,"")</f>
        <v/>
      </c>
      <c r="DD15" s="11">
        <f>IF(CY15="",IF(MAX(DA15,DC15)&gt;0,MAX(DA15,DC15),""),MAX(DA15,DC15)+CY15)</f>
        <v>93.294999999999987</v>
      </c>
      <c r="DE15" s="11">
        <f>IF(CU15&gt;0,CU15,"")</f>
        <v>11.3</v>
      </c>
      <c r="DF15" s="11">
        <f>IF(SUM(CS15:CV15)-CW15&gt;0,SUM(CS15:CV15)-CW15,"")</f>
        <v>48.81</v>
      </c>
      <c r="DG15" s="11">
        <f>IF(SUM(DD15,DF15)&gt;0,SUM(DD15,DF15),"")</f>
        <v>142.10499999999999</v>
      </c>
      <c r="DH15" s="24" t="str">
        <f>IF(MAX(EB15,EX15,FT15,GP15,HL15,IH15,JD15,JZ15,KV15,LR15,MN15,NJ15)-IF(M15="",0,M15)&gt;0.001,MAX(EB15,EX15,FT15,GP15,HL15,IH15,JD15,JZ15,KV15,LR15,MN15,NJ15)-IF(M15="",0,M15),"")</f>
        <v/>
      </c>
      <c r="DI15" s="24" t="str">
        <f>IF(MAX(EC15,EY15,FU15,GQ15,HM15,II15,JE15,KA15,KW15,LS15,MO15,NK15)-IF(O15="",0,O15)&gt;0.001,MAX(EC15,EY15,FU15,GQ15,HM15,II15,JE15,KA15,KW15,LS15,MO15,NK15)-IF(O15="",0,O15),"")</f>
        <v/>
      </c>
      <c r="DJ15" s="24" t="str">
        <f>IF(MAX(ED15,EZ15,FV15,GR15,HN15,IJ15,JF15,KB15,KX15,LT15,MP15,NL15)-IF(K15="",0,K15)&gt;0.001,MAX(ED15,EZ15,FV15,GR15,HN15,IJ15,JF15,KB15,KX15,LT15,MP15,NL15)-IF(K15="",0,K15),"")</f>
        <v/>
      </c>
      <c r="DK15" s="24" t="str">
        <f>IF(MAX(EF15,FB15,FX15,GT15,HP15,IL15,JH15,KD15,KZ15,LV15,MR15,NN15)-IF(Q15="",0,Q15)&gt;0.001,MAX(EF15,FB15,FX15,GT15,HP15,IL15,JH15,KD15,KZ15,LV15,MR15,NN15)-IF(Q15="",0,Q15),"")</f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7">
        <v>15.7</v>
      </c>
      <c r="GW15" s="37">
        <v>9.3000000000000007</v>
      </c>
      <c r="GX15" s="37">
        <v>2</v>
      </c>
      <c r="GY15" s="37">
        <v>14.375</v>
      </c>
      <c r="GZ15" s="37">
        <v>0</v>
      </c>
      <c r="HA15" s="37">
        <v>13.7</v>
      </c>
      <c r="HB15" s="37">
        <v>9.1999999999999993</v>
      </c>
      <c r="HC15" s="37">
        <v>10.6</v>
      </c>
      <c r="HD15" s="37">
        <v>13.705</v>
      </c>
      <c r="HE15" s="37">
        <v>0</v>
      </c>
      <c r="HF15" s="37"/>
      <c r="HG15" s="37"/>
      <c r="HH15" s="37"/>
      <c r="HI15" s="37"/>
      <c r="HJ15" s="37"/>
      <c r="HK15" s="11">
        <f>IF(HC15&gt;0,HC15,"")</f>
        <v>10.6</v>
      </c>
      <c r="HL15" s="11">
        <f>IF(SUM(GV15:GY15)-GZ15&gt;0,SUM(GV15:GY15)-GZ15,"")</f>
        <v>41.375</v>
      </c>
      <c r="HM15" s="11">
        <f>IF(SUM(HA15:HD15)-HE15&gt;0,SUM(HA15:HD15)-HE15,"")</f>
        <v>47.204999999999998</v>
      </c>
      <c r="HN15" s="11">
        <f>IF(SUM(HL15:HM15)&gt;0,SUM(HL15:HM15),"")</f>
        <v>88.58</v>
      </c>
      <c r="HO15" s="11" t="str">
        <f>IF(HH15&gt;0,HH15,"")</f>
        <v/>
      </c>
      <c r="HP15" s="11" t="str">
        <f>IF(SUM(HF15:HI15)-HJ15&gt;0,SUM(HF15:HI15)-HJ15,"")</f>
        <v/>
      </c>
      <c r="HQ15" s="11">
        <f>IF(SUM(HN15,HP15)&gt;0,SUM(HN15,HP15),"")</f>
        <v>88.58</v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9">
        <f>IF($CX15="P",CD15,(CD15+AZ15)/2)</f>
        <v>17.100000000000001</v>
      </c>
      <c r="NQ15" s="69">
        <f>IF($CX15="P",CE15,(CE15+BA15)/2)</f>
        <v>9.4499999999999993</v>
      </c>
      <c r="NR15" s="69">
        <f>IF($CX15="P",CF15,(CF15+BB15)/2)</f>
        <v>3.45</v>
      </c>
      <c r="NS15" s="69">
        <f>IF($CX15="P",CG15,(CG15+BC15)/2)</f>
        <v>14.852499999999999</v>
      </c>
      <c r="NT15" s="69">
        <f>IF($CX15="P",CH15,(CH15+BD15)/2)</f>
        <v>0</v>
      </c>
      <c r="NU15" s="69">
        <f>IF($CX15="P",CI15,(CI15+BE15)/2)</f>
        <v>14.15</v>
      </c>
      <c r="NV15" s="69">
        <f>IF($CX15="P",CJ15,(CJ15+BF15)/2)</f>
        <v>9.0250000000000004</v>
      </c>
      <c r="NW15" s="69">
        <f>IF($CX15="P",CK15,(CK15+BG15)/2)</f>
        <v>11.65</v>
      </c>
      <c r="NX15" s="69">
        <f>IF($CX15="P",CL15,(CL15+BH15)/2)</f>
        <v>14.192499999999999</v>
      </c>
      <c r="NY15" s="69">
        <f>IF($CX15="P",CM15,(CM15+BI15)/2)</f>
        <v>0</v>
      </c>
      <c r="NZ15" s="69">
        <f>IF($CX15="P",CN15,(CN15+BJ15)/2)</f>
        <v>0</v>
      </c>
      <c r="OA15" s="69">
        <f>IF($CX15="P",CO15,(CO15+BK15)/2)</f>
        <v>0</v>
      </c>
      <c r="OB15" s="69">
        <f>IF($CX15="P",CP15,(CP15+BL15)/2)</f>
        <v>0</v>
      </c>
      <c r="OC15" s="69">
        <f>IF($CX15="P",CQ15,(CQ15+BM15)/2)</f>
        <v>0</v>
      </c>
      <c r="OD15" s="69">
        <f>IF($CX15="P",CR15,(CR15+BN15)/2)</f>
        <v>0</v>
      </c>
      <c r="OE15" s="69">
        <f>IF($CX15="P",CS15,(CS15+BO15)/2)</f>
        <v>9.43</v>
      </c>
      <c r="OF15" s="69">
        <f>IF($CX15="P",CT15,(CT15+BP15)/2)</f>
        <v>5.85</v>
      </c>
      <c r="OG15" s="69">
        <f>IF($CX15="P",CU15,(CU15+BQ15)/2)</f>
        <v>7.4</v>
      </c>
      <c r="OH15" s="69">
        <f>IF($CX15="P",CV15,(CV15+BR15)/2)</f>
        <v>9.370000000000001</v>
      </c>
      <c r="OI15" s="69">
        <f>IF($CX15="P",CW15,(CW15+BS15)/2)</f>
        <v>0</v>
      </c>
      <c r="OJ15" s="80" t="s">
        <v>91</v>
      </c>
      <c r="OK15" s="11">
        <f>IF(SUM(NP15:NS15)-NT15&gt;0,SUM(NP15:NS15)-NT15,"")</f>
        <v>44.852499999999999</v>
      </c>
      <c r="OL15" s="11">
        <f>IF(NW15&gt;0,NW15,"")</f>
        <v>11.65</v>
      </c>
      <c r="OM15" s="11">
        <f>IF(SUM(NU15:NX15)-NY15&gt;0,SUM(NU15:NX15)-NY15,"")</f>
        <v>49.017499999999998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93.87</v>
      </c>
      <c r="OQ15" s="11">
        <f>IF(OG15&gt;0,OG15,"")</f>
        <v>7.4</v>
      </c>
      <c r="OR15" s="11">
        <f t="shared" si="0"/>
        <v>32.049999999999997</v>
      </c>
      <c r="OS15" s="11">
        <f t="shared" si="1"/>
        <v>125.92</v>
      </c>
    </row>
    <row r="16" spans="1:409" x14ac:dyDescent="0.2">
      <c r="A16" s="5" t="str" cm="1">
        <f t="array" ref="A16">IF(AND(G16&lt;&gt;"",H16&lt;&gt;""),SUMPRODUCT((G$4:G$19&lt;&gt;"")*(H$4:H$19&lt;&gt;"")*(E$4:E$19&gt;E16))+1,IF(H16&lt;&gt;"",SUMPRODUCT((I$4:I$19="No DD")*(E$4:E$19&gt;E16))+1+SUMPRODUCT((G$4:G$19&lt;&gt;"")*(H$4:H$19&lt;&gt;"")),""))</f>
        <v/>
      </c>
      <c r="B16" s="127" t="s">
        <v>201</v>
      </c>
      <c r="C16" s="5" t="s">
        <v>3</v>
      </c>
      <c r="D16" s="5">
        <v>2002</v>
      </c>
      <c r="E16" s="15">
        <f>SUM(K16:S16)</f>
        <v>234.18499999999997</v>
      </c>
      <c r="F16" s="3" t="str">
        <f>IF(G16&lt;&gt;"","P","")</f>
        <v/>
      </c>
      <c r="G16" s="125" t="str">
        <f>IF(OR(AND(AR16&gt;=AY$24,AR16&lt;&gt;"",AP16=""),AND(AT16&gt;=AY$24,AT16&lt;&gt;"",AP16=""),AND(AW16&gt;=AY$24,AW16&lt;&gt;"",AP16=""),AND(BV16&gt;=CC$24,BV16&lt;&gt;"",BT16=""),AND(BX16&gt;=CC$24,BX16&lt;&gt;"",BT16=""),AND(CA16&gt;=CC$24,CA16&lt;&gt;"",BT16=""),AND(CZ16&gt;=DG$24,CZ16&lt;&gt;"",CX16=""),AND(DB16&gt;=DG$24,DB16&lt;&gt;"",CX16=""),AND(DE16&gt;=DG$24,DE16&lt;&gt;"",CX16=""),AND(EA16&gt;=EG$24,EA16&lt;&gt;""),AND(EE16&gt;=EG$24,EE16&lt;&gt;""),AND(EW16&gt;=FC$24,EW16&lt;&gt;""),AND(FA16&gt;=FC$24,FA16&lt;&gt;""),AND(FS16&gt;=FY$24,FS16&lt;&gt;""),AND(FW16&gt;=FY$24,FW16&lt;&gt;""),AND(GO16&gt;=GU$24,GO16&lt;&gt;""),AND(GS16&gt;=GU$24,GS16&lt;&gt;""),AND(HK16&gt;=HQ$24,HK16&lt;&gt;""),AND(HO16&gt;=HQ$24,HO16&lt;&gt;""),AND(IG16&gt;=IM$24,IG16&lt;&gt;""),AND(IK16&gt;=IM$24,IK16&lt;&gt;""),AND(JC16&gt;=JI$24,JC16&lt;&gt;""),AND(JG16&gt;=JI$24,JG16&lt;&gt;""),AND(JY16&gt;=KE$24,JY16&lt;&gt;""),AND(KC16&gt;=KE$24,KC16&lt;&gt;""),AND(KU16&gt;=LA$24,KU16&lt;&gt;""),AND(KY16&gt;=LA$24,KY16&lt;&gt;""),AND(LQ16&gt;=LW$24,LQ16&lt;&gt;""),AND(LU16&gt;=LW$24,LU16&lt;&gt;""),AND(MM16&gt;=MS$24,MM16&lt;&gt;""),AND(MQ16&gt;=MS$24,MQ16&lt;&gt;""),AND(NI16&gt;=NO$24,NI16&lt;&gt;""),AND(NM16&gt;=NO$24,NM16&lt;&gt;"")),"Merit",IF(OR(AND(AR16&gt;=AY$23,AR16&lt;&gt;"",AP16=""),AND(AT16&gt;=AY$23,AT16&lt;&gt;"",AP16=""),AND(AW16&gt;=AY$23,AW16&lt;&gt;"",AP16=""),AND(BV16&gt;=CC$23,BV16&lt;&gt;"",BT16=""),AND(BX16&gt;=CC$23,BX16&lt;&gt;"",BT16=""),AND(CA16&gt;=CC$23,CA16&lt;&gt;"",BT16=""),AND(CZ16&gt;=DG$23,CZ16&lt;&gt;"",CX16=""),AND(DB16&gt;=DG$23,DB16&lt;&gt;"",CX16=""),AND(DE16&gt;=DG$23,DE16&lt;&gt;"",CX16=""),AND(EA16&gt;=EG$23,EA16&lt;&gt;""),AND(EE16&gt;=EG$23,EE16&lt;&gt;""),AND(EW16&gt;=FC$23,EW16&lt;&gt;""),AND(FA16&gt;=FC$23,FA16&lt;&gt;""),AND(FS16&gt;=FY$23,FS16&lt;&gt;""),AND(FW16&gt;=FY$23,FW16&lt;&gt;""),AND(GO16&gt;=GU$23,GO16&lt;&gt;""),AND(GS16&gt;=GU$23,GS16&lt;&gt;""),AND(HK16&gt;=HQ$23,HK16&lt;&gt;""),AND(HO16&gt;=HQ$23,HO16&lt;&gt;""),AND(IG16&gt;=IM$23,IG16&lt;&gt;""),AND(IK16&gt;=IM$23,IK16&lt;&gt;""),AND(JC16&gt;=JI$23,JC16&lt;&gt;""),AND(JG16&gt;=JI$23,JG16&lt;&gt;""),AND(JY16&gt;=KE$23,JY16&lt;&gt;""),AND(KC16&gt;=KE$23,KC16&lt;&gt;""),AND(KU16&gt;=LA$23,KU16&lt;&gt;""),AND(KY16&gt;=LA$23,KY16&lt;&gt;""),AND(LQ16&gt;=LW$23,LQ16&lt;&gt;""),AND(LU16&gt;=LW$23,LU16&lt;&gt;""),AND(MM16&gt;=MS$23,MM16&lt;&gt;""),AND(MQ16&gt;=MS$23,MQ16&lt;&gt;""),AND(NI16&gt;=NO$23,NI16&lt;&gt;""),AND(NM16&gt;=NO$23,NM16&lt;&gt;"")),"Excellence",IF(OR(AND(AR16&gt;=AY$22,AR16&lt;&gt;"",AP16=""),AND(AT16&gt;=AY$22,AT16&lt;&gt;"",AP16=""),AND(AW16&gt;=AY$22,AW16&lt;&gt;"",AP16=""),AND(BV16&gt;=CC$22,BV16&lt;&gt;"",BT16=""),AND(BX16&gt;=CC$22,BX16&lt;&gt;"",BT16=""),AND(CA16&gt;=CC$22,CA16&lt;&gt;"",BT16=""),AND(CZ16&gt;=DG$22,CZ16&lt;&gt;"",CX16=""),AND(DB16&gt;=DG$22,DB16&lt;&gt;"",CX16=""),AND(DE16&gt;=DG$22,DE16&lt;&gt;"",CX16=""),AND(EA16&gt;=EG$22,EA16&lt;&gt;""),AND(EE16&gt;=EG$22,EE16&lt;&gt;""),AND(EW16&gt;=FC$22,EW16&lt;&gt;""),AND(FA16&gt;=FC$22,FA16&lt;&gt;""),AND(FS16&gt;=FY$22,FS16&lt;&gt;""),AND(FW16&gt;=FY$22,FW16&lt;&gt;""),AND(GO16&gt;=GU$22,GO16&lt;&gt;""),AND(GS16&gt;=GU$22,GS16&lt;&gt;""),AND(HK16&gt;=HQ$22,HK16&lt;&gt;""),AND(HO16&gt;=HQ$22,HO16&lt;&gt;""),AND(IG16&gt;=IM$22,IG16&lt;&gt;""),AND(IK16&gt;=IM$22,IK16&lt;&gt;""),AND(JC16&gt;=JI$22,JC16&lt;&gt;""),AND(JG16&gt;=JI$22,JG16&lt;&gt;""),AND(JY16&gt;=KE$22,JY16&lt;&gt;""),AND(KC16&gt;=KE$22,KC16&lt;&gt;""),AND(KU16&gt;=LA$22,KU16&lt;&gt;""),AND(KY16&gt;=LA$22,KY16&lt;&gt;""),AND(LQ16&gt;=LW$22,LQ16&lt;&gt;""),AND(LU16&gt;=LW$22,LU16&lt;&gt;""),AND(MM16&gt;=MS$22,MM16&lt;&gt;""),AND(MQ16&gt;=MS$22,MQ16&lt;&gt;""),AND(NI16&gt;=NO$22,NI16&lt;&gt;""),AND(NM16&gt;=NO$22,NM16&lt;&gt;"")),"Worlds Team",IF(OR(AND(AR16&gt;=AY$21,AR16&lt;&gt;"",AP16=""),AND(AT16&gt;=AY$21,AT16&lt;&gt;"",AP16=""),AND(AW16&gt;=AY$21,AW16&lt;&gt;"",AP16=""),AND(BV16&gt;=CC$21,BV16&lt;&gt;"",BT16=""),AND(BX16&gt;=CC$21,BX16&lt;&gt;"",BT16=""),AND(CA16&gt;=CC$21,CA16&lt;&gt;"",BT16=""),AND(CZ16&gt;=DG$21,CZ16&lt;&gt;"",CX16=""),AND(DB16&gt;=DG$21,DB16&lt;&gt;"",CX16=""),AND(DE16&gt;=DG$21,DE16&lt;&gt;"",CX16=""),AND(EA16&gt;=EG$21,EA16&lt;&gt;""),AND(EE16&gt;=EG$21,EE16&lt;&gt;""),AND(EW16&gt;=FC$21,EW16&lt;&gt;""),AND(FA16&gt;=FC$21,FA16&lt;&gt;""),AND(FS16&gt;=FY$21,FS16&lt;&gt;""),AND(FW16&gt;=FY$21,FW16&lt;&gt;""),AND(GO16&gt;=GU$21,GO16&lt;&gt;""),AND(GS16&gt;=GU$21,GS16&lt;&gt;""),AND(HK16&gt;=HQ$21,HK16&lt;&gt;""),AND(HO16&gt;=HQ$21,HO16&lt;&gt;""),AND(IG16&gt;=IM$21,IG16&lt;&gt;""),AND(IK16&gt;=IM$21,IK16&lt;&gt;""),AND(JC16&gt;=JI$21,JC16&lt;&gt;""),AND(JG16&gt;=JI$21,JG16&lt;&gt;""),AND(JY16&gt;=KE$21,JY16&lt;&gt;""),AND(KC16&gt;=KE$21,KC16&lt;&gt;""),AND(KU16&gt;=LA$21,KU16&lt;&gt;""),AND(KY16&gt;=LA$21,KY16&lt;&gt;""),AND(LQ16&gt;=LW$21,LQ16&lt;&gt;""),AND(LU16&gt;=LW$21,LU16&lt;&gt;""),AND(MM16&gt;=MS$21,MM16&lt;&gt;""),AND(MQ16&gt;=MS$21,MQ16&lt;&gt;""),AND(NI16&gt;=NO$21,NI16&lt;&gt;""),AND(NM16&gt;=NO$21,NM16&lt;&gt;"")),"National Team",""))))</f>
        <v/>
      </c>
      <c r="H16" s="125" t="str">
        <f>IF(OR(AND(AS16&gt;=AY$28,AS16&lt;&gt;"",AP16=""),AND(AU16&gt;=AY$28,AU16&lt;&gt;"",AP16=""),AND(AX16&gt;=AY$28,AX16&lt;&gt;"",AP16=""),AND(BW16&gt;=CC$28,BW16&lt;&gt;"",BT16=""),AND(BY16&gt;=CC$28,BY16&lt;&gt;"",BT16=""),AND(CB16&gt;=CC$28,CB16&lt;&gt;"",BT16=""),AND(DA16&gt;=DG$28,DA16&lt;&gt;"",CX16=""),AND(DC16&gt;=DG$28,DC16&lt;&gt;"",CX16=""),AND(DF16&gt;=DG$28,DF16&lt;&gt;"",CX16=""),AND(EC16&gt;=EG$28,EC16&lt;&gt;""),AND(EF16&gt;=EG$28,EF16&lt;&gt;""),AND(EY16&gt;=FC$28,EY16&lt;&gt;""),AND(FB16&gt;=FC$28,FB16&lt;&gt;""),AND(FU16&gt;=FY$28,FU16&lt;&gt;""),AND(FX16&gt;=FY$28,FX16&lt;&gt;""),AND(GQ16&gt;=GU$28,GQ16&lt;&gt;""),AND(GT16&gt;=GU$28,GT16&lt;&gt;""),AND(HM16&gt;=HQ$28,HM16&lt;&gt;""),AND(HP16&gt;=HQ$28,HP16&lt;&gt;""),AND(II16&gt;=IM$28,II16&lt;&gt;""),AND(IL16&gt;=IM$28,IL16&lt;&gt;""),AND(JE16&gt;=JI$28,JE16&lt;&gt;""),AND(JH16&gt;=JI$28,JH16&lt;&gt;""),AND(KA16&gt;=KE$28,KA16&lt;&gt;""),AND(KD16&gt;=KE$28,KD16&lt;&gt;""),AND(KW16&gt;=LA$28,KW16&lt;&gt;""),AND(KZ16&gt;=LA$28,KZ16&lt;&gt;""),AND(LS16&gt;=LW$28,LS16&lt;&gt;""),AND(LV16&gt;=LW$28,LV16&lt;&gt;""),AND(MO16&gt;=MS$28,MO16&lt;&gt;""),AND(MR16&gt;=MS$28,MR16&lt;&gt;""),AND(NK16&gt;=NO$28,NK16&lt;&gt;""),AND(NN16&gt;=NO$28,NN16&lt;&gt;"")),"Merit",IF(OR(AND(AS16&gt;=AY$27,AS16&lt;&gt;"",AP16=""),AND(AU16&gt;=AY$27,AU16&lt;&gt;"",AP16=""),AND(AX16&gt;=AY$27,AX16&lt;&gt;"",AP16=""),AND(BW16&gt;=CC$27,BW16&lt;&gt;"",BT16=""),AND(BY16&gt;=CC$27,BY16&lt;&gt;"",BT16=""),AND(CB16&gt;=CC$27,CB16&lt;&gt;"",BT16=""),AND(DA16&gt;=DG$27,DA16&lt;&gt;"",CX16=""),AND(DC16&gt;=DG$27,DC16&lt;&gt;"",CX16=""),AND(DF16&gt;=DG$27,DF16&lt;&gt;"",CX16=""),AND(EC16&gt;=EG$27,EC16&lt;&gt;""),AND(EF16&gt;=EG$27,EF16&lt;&gt;""),AND(EY16&gt;=FC$27,EY16&lt;&gt;""),AND(FB16&gt;=FC$27,FB16&lt;&gt;""),AND(FU16&gt;=FY$27,FU16&lt;&gt;""),AND(FX16&gt;=FY$27,FX16&lt;&gt;""),AND(GQ16&gt;=GU$27,GQ16&lt;&gt;""),AND(GT16&gt;=GU$27,GT16&lt;&gt;""),AND(HM16&gt;=HQ$27,HM16&lt;&gt;""),AND(HP16&gt;=HQ$27,HP16&lt;&gt;""),AND(II16&gt;=IM$27,II16&lt;&gt;""),AND(IL16&gt;=IM$27,IL16&lt;&gt;""),AND(JE16&gt;=JI$27,JE16&lt;&gt;""),AND(JH16&gt;=JI$27,JH16&lt;&gt;""),AND(KA16&gt;=KE$27,KA16&lt;&gt;""),AND(KD16&gt;=KE$27,KD16&lt;&gt;""),AND(KW16&gt;=LA$27,KW16&lt;&gt;""),AND(KZ16&gt;=LA$27,KZ16&lt;&gt;""),AND(LS16&gt;=LW$27,LS16&lt;&gt;""),AND(LV16&gt;=LW$27,LV16&lt;&gt;""),AND(MO16&gt;=MS$27,MO16&lt;&gt;""),AND(MR16&gt;=MS$27,MR16&lt;&gt;""),AND(NK16&gt;=NO$27,NK16&lt;&gt;""),AND(NN16&gt;=NO$27,NN16&lt;&gt;"")),"Excellence",IF(OR(AND(AV16&gt;=AY$26,AV16&lt;&gt;"",AP16=""),AND(BZ16&gt;=CC$26,BZ16&lt;&gt;"",BT16=""),AND(DD16&gt;=DG$26,DD16&lt;&gt;"",CX16=""),AND(ED16&gt;=EG$26,ED16&lt;&gt;""),AND(EZ16&gt;=FC$26,EZ16&lt;&gt;""),AND(FV16&gt;=FY$26,FV16&lt;&gt;""),AND(GR16&gt;=GU$26,GR16&lt;&gt;""),AND(HN16&gt;=HQ$26,HN16&lt;&gt;""),AND(IJ16&gt;=IM$26,IJ16&lt;&gt;""),AND(JF16&gt;=JI$26,JF16&lt;&gt;""),AND(KB16&gt;=KE$26,KB16&lt;&gt;""),AND(KX16&gt;=LA$26,KX16&lt;&gt;""),AND(LT16&gt;=LW$26,LT16&lt;&gt;""),AND(MP16&gt;=MS$26,MP16&lt;&gt;""),AND(NL16&gt;=NO$26,NL16&lt;&gt;"")),"Worlds Team",IF(OR(AND(AV16&gt;=AY$25,AV16&lt;&gt;"",AP16=""),AND(BZ16&gt;=CC$25,BZ16&lt;&gt;"",BT16=""),AND(DD16&gt;=DG$25,DD16&lt;&gt;"",CX16=""),AND(ED16&gt;=EG$25,ED16&lt;&gt;""),AND(EZ16&gt;=FC$25,EZ16&lt;&gt;""),AND(FV16&gt;=FY$25,FV16&lt;&gt;""),AND(GR16&gt;=GU$25,GR16&lt;&gt;""),AND(HN16&gt;=HQ$25,HN16&lt;&gt;""),AND(IJ16&gt;=IM$25,IJ16&lt;&gt;""),AND(JF16&gt;=JI$25,JF16&lt;&gt;""),AND(KB16&gt;=KE$25,KB16&lt;&gt;""),AND(KX16&gt;=LA$25,KX16&lt;&gt;""),AND(LT16&gt;=LW$25,LT16&lt;&gt;""),AND(MP16&gt;=MS$25,MP16&lt;&gt;""),AND(NL16&gt;=NO$25,NL16&lt;&gt;"")),"National Team",""))))</f>
        <v/>
      </c>
      <c r="I16" s="12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$26,AV16&lt;&gt;"",AP16=""),AND(BZ16&gt;=CC$26,BZ16&lt;&gt;"",BT16=""),AND(DD16&gt;=DG$26,DD16&lt;&gt;"",CX16=""),AND(ED16&gt;=EG$26,ED16&lt;&gt;""),AND(EZ16&gt;=FC$26,EZ16&lt;&gt;""),AND(FV16&gt;=FY$26,FV16&lt;&gt;""),AND(GR16&gt;=GU$26,GR16&lt;&gt;""),AND(HN16&gt;=HQ$26,HN16&lt;&gt;""),AND(IJ16&gt;=IM$26,IJ16&lt;&gt;""),AND(JF16&gt;=JI$26,JF16&lt;&gt;""),AND(KB16&gt;=KE$26,KB16&lt;&gt;""),AND(KX16&gt;=LA$26,KX16&lt;&gt;""),AND(LT16&gt;=LW$26,LT16&lt;&gt;""),AND(MP16&gt;=MS$26,MP16&lt;&gt;""),AND(NL16&gt;=NO$26,NL16&lt;&gt;"")),OR(G16="Worlds Team",G16="Excellence",G16="Merit")),"P","")</f>
        <v/>
      </c>
      <c r="K16" s="14">
        <f>IF(MAX(AV16,BZ16,DD16)&gt;0,MAX(AV16,BZ16,DD16),0)</f>
        <v>93.284999999999997</v>
      </c>
      <c r="L16" s="14" t="str">
        <f>IF(K16=0,"",IF(K16=DD16,$CD$1,IF(K16=BZ16,$AZ$1,IF(K16=AV16,$V$1,""))))</f>
        <v>2019 Nationals</v>
      </c>
      <c r="M16" s="14">
        <f>IF($K16=$AV16,MAX(BU16,CY16),IF($K16=$BZ16,MAX(AQ16,CY16),IF($K16=$DD16,MAX(AQ16,BU16),MAX(AQ16,BU16,CY16))))</f>
        <v>43.16</v>
      </c>
      <c r="N16" s="14" t="str">
        <f>IF(M16=0,"",IF(AND(M16=CY16,$L16&lt;&gt;$CD$1),$CD$1,IF(AND(M16=BU16,$L16&lt;&gt;$AZ$1),$AZ$1,IF(AND(M16=AQ16,$L16&lt;&gt;$V$1),$V$1,""))))</f>
        <v>2019 Elite Canada</v>
      </c>
      <c r="O16" s="14">
        <f>IF(K16-N(AQ16)=AS16,MAX(AU16,BW16,BY16,DA16,DC16),IF(K16-N(AQ16)=AU16,MAX(AS16,BW16,BY16,DA16,DC16),IF(K16-N(BU16)=BW16,MAX(AS16,AU16,BY16,DA16,DC16),IF(K16-N(BU16)=BY16,MAX(AS16,AU16,BW16,DA16,DC16),IF(K16-N(CY16)=DA16,MAX(AS16,AU16,BW16,BY16,DC16),IF(K16-N(CY16)=DC16,MAX(AS16,AU16,BW16,BY16,DA16),MAX(AS16,AU16,BW16,BY16,DA16,DC16)))))))</f>
        <v>49.209999999999994</v>
      </c>
      <c r="P16" s="14" t="str">
        <f>IF(O16=0,"",IF(OR(O16=DC16,O16=DA16),$CD$1,IF(OR(O16=BY16,O16=BW16),$AZ$1,IF(OR(O16=AU16,O16=AS16),$V$1,""))))</f>
        <v>2019 Elite Canada</v>
      </c>
      <c r="Q16" s="14">
        <f>MAX(AX16,CB16,DF16)</f>
        <v>48.53</v>
      </c>
      <c r="R16" s="14" t="str">
        <f>IF(Q16=0,"",IF(Q16=DF16,$CD$1,IF(Q16=CB16,$AZ$1,IF(Q16=AX16,$V$1,""))))</f>
        <v>2019 Nationals</v>
      </c>
      <c r="S16" s="14" t="str">
        <f>IF(MAX(DH16,DI16,DJ16,DK16)&gt;0,MAX(DH16,DI16,DJ16,DK16),"")</f>
        <v/>
      </c>
      <c r="T16" s="25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9">
        <v>15</v>
      </c>
      <c r="W16" s="69">
        <v>8.75</v>
      </c>
      <c r="X16" s="69">
        <v>4.4000000000000004</v>
      </c>
      <c r="Y16" s="69">
        <v>15.01</v>
      </c>
      <c r="Z16" s="69">
        <v>0</v>
      </c>
      <c r="AA16" s="69">
        <v>15.1</v>
      </c>
      <c r="AB16" s="69">
        <v>8.9499999999999993</v>
      </c>
      <c r="AC16" s="69">
        <v>10.5</v>
      </c>
      <c r="AD16" s="69">
        <v>14.66</v>
      </c>
      <c r="AE16" s="69">
        <v>0</v>
      </c>
      <c r="AF16" s="69"/>
      <c r="AG16" s="69"/>
      <c r="AH16" s="69"/>
      <c r="AI16" s="69"/>
      <c r="AJ16" s="69"/>
      <c r="AK16" s="69">
        <v>14.7</v>
      </c>
      <c r="AL16" s="69">
        <v>8.6999999999999993</v>
      </c>
      <c r="AM16" s="69">
        <v>9.3000000000000007</v>
      </c>
      <c r="AN16" s="69">
        <v>14.64</v>
      </c>
      <c r="AO16" s="69">
        <v>0.2</v>
      </c>
      <c r="AP16" s="80"/>
      <c r="AQ16" s="11">
        <f>IF(SUM(V16:Y16)-Z16&gt;0,SUM(V16:Y16)-Z16,"")</f>
        <v>43.16</v>
      </c>
      <c r="AR16" s="11">
        <f>IF(AC16&gt;0,AC16,"")</f>
        <v>10.5</v>
      </c>
      <c r="AS16" s="11">
        <f>IF(SUM(AA16:AD16)-AE16&gt;0,SUM(AA16:AD16)-AE16,"")</f>
        <v>49.209999999999994</v>
      </c>
      <c r="AT16" s="11" t="str">
        <f>IF(AH16&gt;0,AH16,"")</f>
        <v/>
      </c>
      <c r="AU16" s="11" t="str">
        <f>IF(SUM(AF16:AI16)-AJ16&gt;0,SUM(AF16:AI16)-AJ16,"")</f>
        <v/>
      </c>
      <c r="AV16" s="11">
        <f>IF(OR(AQ16&lt;&gt;"",AS16&lt;&gt;"",AU16&lt;&gt;""),AQ16+MAX(AS16,AU16),"")</f>
        <v>92.36999999999999</v>
      </c>
      <c r="AW16" s="11">
        <f>IF(AM16&gt;0,AM16,"")</f>
        <v>9.3000000000000007</v>
      </c>
      <c r="AX16" s="11">
        <f>IF(SUM(AK16:AN16)-AO16&gt;0,SUM(AK16:AN16)-AO16,"")</f>
        <v>47.14</v>
      </c>
      <c r="AY16" s="11">
        <f>IF(SUM(AV16,AX16)&gt;0,SUM(AV16,AX16),"")</f>
        <v>139.51</v>
      </c>
      <c r="AZ16" s="75">
        <v>17.100000000000001</v>
      </c>
      <c r="BA16" s="75">
        <v>9.6</v>
      </c>
      <c r="BB16" s="75">
        <v>3.9</v>
      </c>
      <c r="BC16" s="75">
        <v>14.8</v>
      </c>
      <c r="BD16" s="75">
        <v>0</v>
      </c>
      <c r="BE16" s="75">
        <v>12.6</v>
      </c>
      <c r="BF16" s="75">
        <v>9.5</v>
      </c>
      <c r="BG16" s="75">
        <v>11.4</v>
      </c>
      <c r="BH16" s="75">
        <v>14.385</v>
      </c>
      <c r="BI16" s="75">
        <v>0</v>
      </c>
      <c r="BJ16" s="75"/>
      <c r="BK16" s="75"/>
      <c r="BL16" s="75"/>
      <c r="BM16" s="75"/>
      <c r="BN16" s="75"/>
      <c r="BO16" s="75">
        <v>14.9</v>
      </c>
      <c r="BP16" s="75">
        <v>9.1</v>
      </c>
      <c r="BQ16" s="75">
        <v>10.5</v>
      </c>
      <c r="BR16" s="75">
        <v>14.03</v>
      </c>
      <c r="BS16" s="75">
        <v>0</v>
      </c>
      <c r="BT16" s="81"/>
      <c r="BU16" s="14">
        <f>IF(SUM(AZ16:BC16)-BD16&gt;0,SUM(AZ16:BC16)-BD16,"")</f>
        <v>45.400000000000006</v>
      </c>
      <c r="BV16" s="14">
        <f>IF(BG16&gt;0,BG16,"")</f>
        <v>11.4</v>
      </c>
      <c r="BW16" s="14">
        <f>IF(SUM(BE16:BH16)-BI16&gt;0,SUM(BE16:BH16)-BI16,"")</f>
        <v>47.884999999999998</v>
      </c>
      <c r="BX16" s="14" t="str">
        <f>IF(BL16&gt;0,BL16,"")</f>
        <v/>
      </c>
      <c r="BY16" s="14" t="str">
        <f>IF(SUM(BJ16:BM16)-BN16&gt;0,SUM(BJ16:BM16)-BN16,"")</f>
        <v/>
      </c>
      <c r="BZ16" s="14">
        <f>IF(BU16="",IF(MAX(BW16,BY16)&gt;0,MAX(BW16,BY16),""),MAX(BW16,BY16)+BU16)</f>
        <v>93.284999999999997</v>
      </c>
      <c r="CA16" s="14">
        <f>IF(BQ16&gt;0,BQ16,"")</f>
        <v>10.5</v>
      </c>
      <c r="CB16" s="14">
        <f>IF(SUM(BO16:BR16)-BS16&gt;0,SUM(BO16:BR16)-BS16,"")</f>
        <v>48.53</v>
      </c>
      <c r="CC16" s="14">
        <f>IF(SUM(BZ16,CB16)&gt;0,SUM(BZ16,CB16),"")</f>
        <v>141.815</v>
      </c>
      <c r="CD16" s="69">
        <v>15</v>
      </c>
      <c r="CE16" s="69">
        <v>8.9499999999999993</v>
      </c>
      <c r="CF16" s="69">
        <v>3.9</v>
      </c>
      <c r="CG16" s="69">
        <v>14.125</v>
      </c>
      <c r="CH16" s="69">
        <v>0</v>
      </c>
      <c r="CI16" s="69">
        <v>8.1</v>
      </c>
      <c r="CJ16" s="69">
        <v>5.4</v>
      </c>
      <c r="CK16" s="69">
        <v>5.9</v>
      </c>
      <c r="CL16" s="69">
        <v>8.6349999999999998</v>
      </c>
      <c r="CM16" s="69">
        <v>0</v>
      </c>
      <c r="CN16" s="69">
        <v>9.8000000000000007</v>
      </c>
      <c r="CO16" s="69">
        <v>6.8</v>
      </c>
      <c r="CP16" s="69">
        <v>7.2</v>
      </c>
      <c r="CQ16" s="69">
        <v>10.19</v>
      </c>
      <c r="CR16" s="69">
        <v>0</v>
      </c>
      <c r="CS16" s="69">
        <v>3.3</v>
      </c>
      <c r="CT16" s="69">
        <v>2.5</v>
      </c>
      <c r="CU16" s="69">
        <v>2.6</v>
      </c>
      <c r="CV16" s="69">
        <v>4.335</v>
      </c>
      <c r="CW16" s="69">
        <v>0</v>
      </c>
      <c r="CX16" s="80"/>
      <c r="CY16" s="11">
        <f>IF(SUM(CD16:CG16)-CH16&gt;0,SUM(CD16:CG16)-CH16,"")</f>
        <v>41.974999999999994</v>
      </c>
      <c r="CZ16" s="11">
        <f>IF(CK16&gt;0,CK16,"")</f>
        <v>5.9</v>
      </c>
      <c r="DA16" s="11">
        <f>IF(SUM(CI16:CL16)-CM16&gt;0,SUM(CI16:CL16)-CM16,"")</f>
        <v>28.034999999999997</v>
      </c>
      <c r="DB16" s="11">
        <f>IF(CP16&gt;0,CP16,"")</f>
        <v>7.2</v>
      </c>
      <c r="DC16" s="11">
        <f>IF(SUM(CN16:CQ16)-CR16&gt;0,SUM(CN16:CQ16)-CR16,"")</f>
        <v>33.99</v>
      </c>
      <c r="DD16" s="11">
        <f>IF(CY16="",IF(MAX(DA16,DC16)&gt;0,MAX(DA16,DC16),""),MAX(DA16,DC16)+CY16)</f>
        <v>75.965000000000003</v>
      </c>
      <c r="DE16" s="11">
        <f>IF(CU16&gt;0,CU16,"")</f>
        <v>2.6</v>
      </c>
      <c r="DF16" s="11">
        <f>IF(SUM(CS16:CV16)-CW16&gt;0,SUM(CS16:CV16)-CW16,"")</f>
        <v>12.734999999999999</v>
      </c>
      <c r="DG16" s="11">
        <f>IF(SUM(DD16,DF16)&gt;0,SUM(DD16,DF16),"")</f>
        <v>88.7</v>
      </c>
      <c r="DH16" s="24" t="str">
        <f>IF(MAX(EB16,EX16,FT16,GP16,HL16,IH16,JD16,JZ16,KV16,LR16,MN16,NJ16)-IF(M16="",0,M16)&gt;0.001,MAX(EB16,EX16,FT16,GP16,HL16,IH16,JD16,JZ16,KV16,LR16,MN16,NJ16)-IF(M16="",0,M16),"")</f>
        <v/>
      </c>
      <c r="DI16" s="24" t="str">
        <f>IF(MAX(EC16,EY16,FU16,GQ16,HM16,II16,JE16,KA16,KW16,LS16,MO16,NK16)-IF(O16="",0,O16)&gt;0.001,MAX(EC16,EY16,FU16,GQ16,HM16,II16,JE16,KA16,KW16,LS16,MO16,NK16)-IF(O16="",0,O16),"")</f>
        <v/>
      </c>
      <c r="DJ16" s="24" t="str">
        <f>IF(MAX(ED16,EZ16,FV16,GR16,HN16,IJ16,JF16,KB16,KX16,LT16,MP16,NL16)-IF(K16="",0,K16)&gt;0.001,MAX(ED16,EZ16,FV16,GR16,HN16,IJ16,JF16,KB16,KX16,LT16,MP16,NL16)-IF(K16="",0,K16),"")</f>
        <v/>
      </c>
      <c r="DK16" s="24" t="str">
        <f>IF(MAX(EF16,FB16,FX16,GT16,HP16,IL16,JH16,KD16,KZ16,LV16,MR16,NN16)-IF(Q16="",0,Q16)&gt;0.001,MAX(EF16,FB16,FX16,GT16,HP16,IL16,JH16,KD16,KZ16,LV16,MR16,NN16)-IF(Q16="",0,Q16),"")</f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7">
        <v>13.7</v>
      </c>
      <c r="GW16" s="37">
        <v>9.3000000000000007</v>
      </c>
      <c r="GX16" s="37">
        <v>2.7</v>
      </c>
      <c r="GY16" s="37">
        <v>14.875</v>
      </c>
      <c r="GZ16" s="37">
        <v>0</v>
      </c>
      <c r="HA16" s="37">
        <v>12.7</v>
      </c>
      <c r="HB16" s="37">
        <v>9.1</v>
      </c>
      <c r="HC16" s="37">
        <v>10</v>
      </c>
      <c r="HD16" s="37">
        <v>13.88</v>
      </c>
      <c r="HE16" s="37">
        <v>0</v>
      </c>
      <c r="HF16" s="37"/>
      <c r="HG16" s="37"/>
      <c r="HH16" s="37"/>
      <c r="HI16" s="37"/>
      <c r="HJ16" s="37"/>
      <c r="HK16" s="11">
        <f>IF(HC16&gt;0,HC16,"")</f>
        <v>10</v>
      </c>
      <c r="HL16" s="11">
        <f>IF(SUM(GV16:GY16)-GZ16&gt;0,SUM(GV16:GY16)-GZ16,"")</f>
        <v>40.575000000000003</v>
      </c>
      <c r="HM16" s="11">
        <f>IF(SUM(HA16:HD16)-HE16&gt;0,SUM(HA16:HD16)-HE16,"")</f>
        <v>45.68</v>
      </c>
      <c r="HN16" s="11">
        <f>IF(SUM(HL16:HM16)&gt;0,SUM(HL16:HM16),"")</f>
        <v>86.254999999999995</v>
      </c>
      <c r="HO16" s="11" t="str">
        <f>IF(HH16&gt;0,HH16,"")</f>
        <v/>
      </c>
      <c r="HP16" s="11" t="str">
        <f>IF(SUM(HF16:HI16)-HJ16&gt;0,SUM(HF16:HI16)-HJ16,"")</f>
        <v/>
      </c>
      <c r="HQ16" s="11">
        <f>IF(SUM(HN16,HP16)&gt;0,SUM(HN16,HP16),"")</f>
        <v>86.254999999999995</v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9">
        <f>IF($CX16="P",CD16,(CD16+AZ16)/2)</f>
        <v>16.05</v>
      </c>
      <c r="NQ16" s="69">
        <f>IF($CX16="P",CE16,(CE16+BA16)/2)</f>
        <v>9.2749999999999986</v>
      </c>
      <c r="NR16" s="69">
        <f>IF($CX16="P",CF16,(CF16+BB16)/2)</f>
        <v>3.9</v>
      </c>
      <c r="NS16" s="69">
        <f>IF($CX16="P",CG16,(CG16+BC16)/2)</f>
        <v>14.4625</v>
      </c>
      <c r="NT16" s="69">
        <f>IF($CX16="P",CH16,(CH16+BD16)/2)</f>
        <v>0</v>
      </c>
      <c r="NU16" s="69">
        <f>IF($CX16="P",CI16,(CI16+BE16)/2)</f>
        <v>10.35</v>
      </c>
      <c r="NV16" s="69">
        <f>IF($CX16="P",CJ16,(CJ16+BF16)/2)</f>
        <v>7.45</v>
      </c>
      <c r="NW16" s="69">
        <f>IF($CX16="P",CK16,(CK16+BG16)/2)</f>
        <v>8.65</v>
      </c>
      <c r="NX16" s="69">
        <f>IF($CX16="P",CL16,(CL16+BH16)/2)</f>
        <v>11.51</v>
      </c>
      <c r="NY16" s="69">
        <f>IF($CX16="P",CM16,(CM16+BI16)/2)</f>
        <v>0</v>
      </c>
      <c r="NZ16" s="69">
        <f>IF($CX16="P",CN16,(CN16+BJ16)/2)</f>
        <v>4.9000000000000004</v>
      </c>
      <c r="OA16" s="69">
        <f>IF($CX16="P",CO16,(CO16+BK16)/2)</f>
        <v>3.4</v>
      </c>
      <c r="OB16" s="69">
        <f>IF($CX16="P",CP16,(CP16+BL16)/2)</f>
        <v>3.6</v>
      </c>
      <c r="OC16" s="69">
        <f>IF($CX16="P",CQ16,(CQ16+BM16)/2)</f>
        <v>5.0949999999999998</v>
      </c>
      <c r="OD16" s="69">
        <f>IF($CX16="P",CR16,(CR16+BN16)/2)</f>
        <v>0</v>
      </c>
      <c r="OE16" s="69">
        <f>IF($CX16="P",CS16,(CS16+BO16)/2)</f>
        <v>9.1</v>
      </c>
      <c r="OF16" s="69">
        <f>IF($CX16="P",CT16,(CT16+BP16)/2)</f>
        <v>5.8</v>
      </c>
      <c r="OG16" s="69">
        <f>IF($CX16="P",CU16,(CU16+BQ16)/2)</f>
        <v>6.55</v>
      </c>
      <c r="OH16" s="69">
        <f>IF($CX16="P",CV16,(CV16+BR16)/2)</f>
        <v>9.1824999999999992</v>
      </c>
      <c r="OI16" s="69">
        <f>IF($CX16="P",CW16,(CW16+BS16)/2)</f>
        <v>0</v>
      </c>
      <c r="OJ16" s="80" t="s">
        <v>91</v>
      </c>
      <c r="OK16" s="11">
        <f>IF(SUM(NP16:NS16)-NT16&gt;0,SUM(NP16:NS16)-NT16,"")</f>
        <v>43.6875</v>
      </c>
      <c r="OL16" s="11">
        <f>IF(NW16&gt;0,NW16,"")</f>
        <v>8.65</v>
      </c>
      <c r="OM16" s="11">
        <f>IF(SUM(NU16:NX16)-NY16&gt;0,SUM(NU16:NX16)-NY16,"")</f>
        <v>37.96</v>
      </c>
      <c r="ON16" s="11">
        <f>IF(OB16&gt;0,OB16,"")</f>
        <v>3.6</v>
      </c>
      <c r="OO16" s="11">
        <f>IF(SUM(NZ16:OC16)-OD16&gt;0,SUM(NZ16:OC16)-OD16,"")</f>
        <v>16.995000000000001</v>
      </c>
      <c r="OP16" s="11">
        <f>IF(OR(OK16&lt;&gt;"",OM16&lt;&gt;"",OO16&lt;&gt;""),OK16+MAX(OM16,OO16),"")</f>
        <v>81.647500000000008</v>
      </c>
      <c r="OQ16" s="11">
        <f>IF(OG16&gt;0,OG16,"")</f>
        <v>6.55</v>
      </c>
      <c r="OR16" s="11">
        <f t="shared" si="0"/>
        <v>30.6325</v>
      </c>
      <c r="OS16" s="11">
        <f t="shared" si="1"/>
        <v>112.28</v>
      </c>
    </row>
    <row r="17" spans="1:409" x14ac:dyDescent="0.2">
      <c r="A17" s="5" t="str" cm="1">
        <f t="array" ref="A17">IF(AND(G17&lt;&gt;"",H17&lt;&gt;""),SUMPRODUCT((G$4:G$19&lt;&gt;"")*(H$4:H$19&lt;&gt;"")*(E$4:E$19&gt;E17))+1,IF(H17&lt;&gt;"",SUMPRODUCT((I$4:I$19="No DD")*(E$4:E$19&gt;E17))+1+SUMPRODUCT((G$4:G$19&lt;&gt;"")*(H$4:H$19&lt;&gt;"")),""))</f>
        <v/>
      </c>
      <c r="B17" s="127" t="s">
        <v>40</v>
      </c>
      <c r="C17" s="5" t="s">
        <v>10</v>
      </c>
      <c r="D17" s="5">
        <v>1995</v>
      </c>
      <c r="E17" s="15">
        <f>SUM(K17:S17)</f>
        <v>190.48500000000001</v>
      </c>
      <c r="F17" s="3" t="str">
        <f>IF(G17&lt;&gt;"","P","")</f>
        <v/>
      </c>
      <c r="G17" s="125" t="str">
        <f>IF(OR(AND(AR17&gt;=AY$24,AR17&lt;&gt;"",AP17=""),AND(AT17&gt;=AY$24,AT17&lt;&gt;"",AP17=""),AND(AW17&gt;=AY$24,AW17&lt;&gt;"",AP17=""),AND(BV17&gt;=CC$24,BV17&lt;&gt;"",BT17=""),AND(BX17&gt;=CC$24,BX17&lt;&gt;"",BT17=""),AND(CA17&gt;=CC$24,CA17&lt;&gt;"",BT17=""),AND(CZ17&gt;=DG$24,CZ17&lt;&gt;"",CX17=""),AND(DB17&gt;=DG$24,DB17&lt;&gt;"",CX17=""),AND(DE17&gt;=DG$24,DE17&lt;&gt;"",CX17=""),AND(EA17&gt;=EG$24,EA17&lt;&gt;""),AND(EE17&gt;=EG$24,EE17&lt;&gt;""),AND(EW17&gt;=FC$24,EW17&lt;&gt;""),AND(FA17&gt;=FC$24,FA17&lt;&gt;""),AND(FS17&gt;=FY$24,FS17&lt;&gt;""),AND(FW17&gt;=FY$24,FW17&lt;&gt;""),AND(GO17&gt;=GU$24,GO17&lt;&gt;""),AND(GS17&gt;=GU$24,GS17&lt;&gt;""),AND(HK17&gt;=HQ$24,HK17&lt;&gt;""),AND(HO17&gt;=HQ$24,HO17&lt;&gt;""),AND(IG17&gt;=IM$24,IG17&lt;&gt;""),AND(IK17&gt;=IM$24,IK17&lt;&gt;""),AND(JC17&gt;=JI$24,JC17&lt;&gt;""),AND(JG17&gt;=JI$24,JG17&lt;&gt;""),AND(JY17&gt;=KE$24,JY17&lt;&gt;""),AND(KC17&gt;=KE$24,KC17&lt;&gt;""),AND(KU17&gt;=LA$24,KU17&lt;&gt;""),AND(KY17&gt;=LA$24,KY17&lt;&gt;""),AND(LQ17&gt;=LW$24,LQ17&lt;&gt;""),AND(LU17&gt;=LW$24,LU17&lt;&gt;""),AND(MM17&gt;=MS$24,MM17&lt;&gt;""),AND(MQ17&gt;=MS$24,MQ17&lt;&gt;""),AND(NI17&gt;=NO$24,NI17&lt;&gt;""),AND(NM17&gt;=NO$24,NM17&lt;&gt;"")),"Merit",IF(OR(AND(AR17&gt;=AY$23,AR17&lt;&gt;"",AP17=""),AND(AT17&gt;=AY$23,AT17&lt;&gt;"",AP17=""),AND(AW17&gt;=AY$23,AW17&lt;&gt;"",AP17=""),AND(BV17&gt;=CC$23,BV17&lt;&gt;"",BT17=""),AND(BX17&gt;=CC$23,BX17&lt;&gt;"",BT17=""),AND(CA17&gt;=CC$23,CA17&lt;&gt;"",BT17=""),AND(CZ17&gt;=DG$23,CZ17&lt;&gt;"",CX17=""),AND(DB17&gt;=DG$23,DB17&lt;&gt;"",CX17=""),AND(DE17&gt;=DG$23,DE17&lt;&gt;"",CX17=""),AND(EA17&gt;=EG$23,EA17&lt;&gt;""),AND(EE17&gt;=EG$23,EE17&lt;&gt;""),AND(EW17&gt;=FC$23,EW17&lt;&gt;""),AND(FA17&gt;=FC$23,FA17&lt;&gt;""),AND(FS17&gt;=FY$23,FS17&lt;&gt;""),AND(FW17&gt;=FY$23,FW17&lt;&gt;""),AND(GO17&gt;=GU$23,GO17&lt;&gt;""),AND(GS17&gt;=GU$23,GS17&lt;&gt;""),AND(HK17&gt;=HQ$23,HK17&lt;&gt;""),AND(HO17&gt;=HQ$23,HO17&lt;&gt;""),AND(IG17&gt;=IM$23,IG17&lt;&gt;""),AND(IK17&gt;=IM$23,IK17&lt;&gt;""),AND(JC17&gt;=JI$23,JC17&lt;&gt;""),AND(JG17&gt;=JI$23,JG17&lt;&gt;""),AND(JY17&gt;=KE$23,JY17&lt;&gt;""),AND(KC17&gt;=KE$23,KC17&lt;&gt;""),AND(KU17&gt;=LA$23,KU17&lt;&gt;""),AND(KY17&gt;=LA$23,KY17&lt;&gt;""),AND(LQ17&gt;=LW$23,LQ17&lt;&gt;""),AND(LU17&gt;=LW$23,LU17&lt;&gt;""),AND(MM17&gt;=MS$23,MM17&lt;&gt;""),AND(MQ17&gt;=MS$23,MQ17&lt;&gt;""),AND(NI17&gt;=NO$23,NI17&lt;&gt;""),AND(NM17&gt;=NO$23,NM17&lt;&gt;"")),"Excellence",IF(OR(AND(AR17&gt;=AY$22,AR17&lt;&gt;"",AP17=""),AND(AT17&gt;=AY$22,AT17&lt;&gt;"",AP17=""),AND(AW17&gt;=AY$22,AW17&lt;&gt;"",AP17=""),AND(BV17&gt;=CC$22,BV17&lt;&gt;"",BT17=""),AND(BX17&gt;=CC$22,BX17&lt;&gt;"",BT17=""),AND(CA17&gt;=CC$22,CA17&lt;&gt;"",BT17=""),AND(CZ17&gt;=DG$22,CZ17&lt;&gt;"",CX17=""),AND(DB17&gt;=DG$22,DB17&lt;&gt;"",CX17=""),AND(DE17&gt;=DG$22,DE17&lt;&gt;"",CX17=""),AND(EA17&gt;=EG$22,EA17&lt;&gt;""),AND(EE17&gt;=EG$22,EE17&lt;&gt;""),AND(EW17&gt;=FC$22,EW17&lt;&gt;""),AND(FA17&gt;=FC$22,FA17&lt;&gt;""),AND(FS17&gt;=FY$22,FS17&lt;&gt;""),AND(FW17&gt;=FY$22,FW17&lt;&gt;""),AND(GO17&gt;=GU$22,GO17&lt;&gt;""),AND(GS17&gt;=GU$22,GS17&lt;&gt;""),AND(HK17&gt;=HQ$22,HK17&lt;&gt;""),AND(HO17&gt;=HQ$22,HO17&lt;&gt;""),AND(IG17&gt;=IM$22,IG17&lt;&gt;""),AND(IK17&gt;=IM$22,IK17&lt;&gt;""),AND(JC17&gt;=JI$22,JC17&lt;&gt;""),AND(JG17&gt;=JI$22,JG17&lt;&gt;""),AND(JY17&gt;=KE$22,JY17&lt;&gt;""),AND(KC17&gt;=KE$22,KC17&lt;&gt;""),AND(KU17&gt;=LA$22,KU17&lt;&gt;""),AND(KY17&gt;=LA$22,KY17&lt;&gt;""),AND(LQ17&gt;=LW$22,LQ17&lt;&gt;""),AND(LU17&gt;=LW$22,LU17&lt;&gt;""),AND(MM17&gt;=MS$22,MM17&lt;&gt;""),AND(MQ17&gt;=MS$22,MQ17&lt;&gt;""),AND(NI17&gt;=NO$22,NI17&lt;&gt;""),AND(NM17&gt;=NO$22,NM17&lt;&gt;"")),"Worlds Team",IF(OR(AND(AR17&gt;=AY$21,AR17&lt;&gt;"",AP17=""),AND(AT17&gt;=AY$21,AT17&lt;&gt;"",AP17=""),AND(AW17&gt;=AY$21,AW17&lt;&gt;"",AP17=""),AND(BV17&gt;=CC$21,BV17&lt;&gt;"",BT17=""),AND(BX17&gt;=CC$21,BX17&lt;&gt;"",BT17=""),AND(CA17&gt;=CC$21,CA17&lt;&gt;"",BT17=""),AND(CZ17&gt;=DG$21,CZ17&lt;&gt;"",CX17=""),AND(DB17&gt;=DG$21,DB17&lt;&gt;"",CX17=""),AND(DE17&gt;=DG$21,DE17&lt;&gt;"",CX17=""),AND(EA17&gt;=EG$21,EA17&lt;&gt;""),AND(EE17&gt;=EG$21,EE17&lt;&gt;""),AND(EW17&gt;=FC$21,EW17&lt;&gt;""),AND(FA17&gt;=FC$21,FA17&lt;&gt;""),AND(FS17&gt;=FY$21,FS17&lt;&gt;""),AND(FW17&gt;=FY$21,FW17&lt;&gt;""),AND(GO17&gt;=GU$21,GO17&lt;&gt;""),AND(GS17&gt;=GU$21,GS17&lt;&gt;""),AND(HK17&gt;=HQ$21,HK17&lt;&gt;""),AND(HO17&gt;=HQ$21,HO17&lt;&gt;""),AND(IG17&gt;=IM$21,IG17&lt;&gt;""),AND(IK17&gt;=IM$21,IK17&lt;&gt;""),AND(JC17&gt;=JI$21,JC17&lt;&gt;""),AND(JG17&gt;=JI$21,JG17&lt;&gt;""),AND(JY17&gt;=KE$21,JY17&lt;&gt;""),AND(KC17&gt;=KE$21,KC17&lt;&gt;""),AND(KU17&gt;=LA$21,KU17&lt;&gt;""),AND(KY17&gt;=LA$21,KY17&lt;&gt;""),AND(LQ17&gt;=LW$21,LQ17&lt;&gt;""),AND(LU17&gt;=LW$21,LU17&lt;&gt;""),AND(MM17&gt;=MS$21,MM17&lt;&gt;""),AND(MQ17&gt;=MS$21,MQ17&lt;&gt;""),AND(NI17&gt;=NO$21,NI17&lt;&gt;""),AND(NM17&gt;=NO$21,NM17&lt;&gt;"")),"National Team",""))))</f>
        <v/>
      </c>
      <c r="H17" s="125" t="str">
        <f>IF(OR(AND(AS17&gt;=AY$28,AS17&lt;&gt;"",AP17=""),AND(AU17&gt;=AY$28,AU17&lt;&gt;"",AP17=""),AND(AX17&gt;=AY$28,AX17&lt;&gt;"",AP17=""),AND(BW17&gt;=CC$28,BW17&lt;&gt;"",BT17=""),AND(BY17&gt;=CC$28,BY17&lt;&gt;"",BT17=""),AND(CB17&gt;=CC$28,CB17&lt;&gt;"",BT17=""),AND(DA17&gt;=DG$28,DA17&lt;&gt;"",CX17=""),AND(DC17&gt;=DG$28,DC17&lt;&gt;"",CX17=""),AND(DF17&gt;=DG$28,DF17&lt;&gt;"",CX17=""),AND(EC17&gt;=EG$28,EC17&lt;&gt;""),AND(EF17&gt;=EG$28,EF17&lt;&gt;""),AND(EY17&gt;=FC$28,EY17&lt;&gt;""),AND(FB17&gt;=FC$28,FB17&lt;&gt;""),AND(FU17&gt;=FY$28,FU17&lt;&gt;""),AND(FX17&gt;=FY$28,FX17&lt;&gt;""),AND(GQ17&gt;=GU$28,GQ17&lt;&gt;""),AND(GT17&gt;=GU$28,GT17&lt;&gt;""),AND(HM17&gt;=HQ$28,HM17&lt;&gt;""),AND(HP17&gt;=HQ$28,HP17&lt;&gt;""),AND(II17&gt;=IM$28,II17&lt;&gt;""),AND(IL17&gt;=IM$28,IL17&lt;&gt;""),AND(JE17&gt;=JI$28,JE17&lt;&gt;""),AND(JH17&gt;=JI$28,JH17&lt;&gt;""),AND(KA17&gt;=KE$28,KA17&lt;&gt;""),AND(KD17&gt;=KE$28,KD17&lt;&gt;""),AND(KW17&gt;=LA$28,KW17&lt;&gt;""),AND(KZ17&gt;=LA$28,KZ17&lt;&gt;""),AND(LS17&gt;=LW$28,LS17&lt;&gt;""),AND(LV17&gt;=LW$28,LV17&lt;&gt;""),AND(MO17&gt;=MS$28,MO17&lt;&gt;""),AND(MR17&gt;=MS$28,MR17&lt;&gt;""),AND(NK17&gt;=NO$28,NK17&lt;&gt;""),AND(NN17&gt;=NO$28,NN17&lt;&gt;"")),"Merit",IF(OR(AND(AS17&gt;=AY$27,AS17&lt;&gt;"",AP17=""),AND(AU17&gt;=AY$27,AU17&lt;&gt;"",AP17=""),AND(AX17&gt;=AY$27,AX17&lt;&gt;"",AP17=""),AND(BW17&gt;=CC$27,BW17&lt;&gt;"",BT17=""),AND(BY17&gt;=CC$27,BY17&lt;&gt;"",BT17=""),AND(CB17&gt;=CC$27,CB17&lt;&gt;"",BT17=""),AND(DA17&gt;=DG$27,DA17&lt;&gt;"",CX17=""),AND(DC17&gt;=DG$27,DC17&lt;&gt;"",CX17=""),AND(DF17&gt;=DG$27,DF17&lt;&gt;"",CX17=""),AND(EC17&gt;=EG$27,EC17&lt;&gt;""),AND(EF17&gt;=EG$27,EF17&lt;&gt;""),AND(EY17&gt;=FC$27,EY17&lt;&gt;""),AND(FB17&gt;=FC$27,FB17&lt;&gt;""),AND(FU17&gt;=FY$27,FU17&lt;&gt;""),AND(FX17&gt;=FY$27,FX17&lt;&gt;""),AND(GQ17&gt;=GU$27,GQ17&lt;&gt;""),AND(GT17&gt;=GU$27,GT17&lt;&gt;""),AND(HM17&gt;=HQ$27,HM17&lt;&gt;""),AND(HP17&gt;=HQ$27,HP17&lt;&gt;""),AND(II17&gt;=IM$27,II17&lt;&gt;""),AND(IL17&gt;=IM$27,IL17&lt;&gt;""),AND(JE17&gt;=JI$27,JE17&lt;&gt;""),AND(JH17&gt;=JI$27,JH17&lt;&gt;""),AND(KA17&gt;=KE$27,KA17&lt;&gt;""),AND(KD17&gt;=KE$27,KD17&lt;&gt;""),AND(KW17&gt;=LA$27,KW17&lt;&gt;""),AND(KZ17&gt;=LA$27,KZ17&lt;&gt;""),AND(LS17&gt;=LW$27,LS17&lt;&gt;""),AND(LV17&gt;=LW$27,LV17&lt;&gt;""),AND(MO17&gt;=MS$27,MO17&lt;&gt;""),AND(MR17&gt;=MS$27,MR17&lt;&gt;""),AND(NK17&gt;=NO$27,NK17&lt;&gt;""),AND(NN17&gt;=NO$27,NN17&lt;&gt;"")),"Excellence",IF(OR(AND(AV17&gt;=AY$26,AV17&lt;&gt;"",AP17=""),AND(BZ17&gt;=CC$26,BZ17&lt;&gt;"",BT17=""),AND(DD17&gt;=DG$26,DD17&lt;&gt;"",CX17=""),AND(ED17&gt;=EG$26,ED17&lt;&gt;""),AND(EZ17&gt;=FC$26,EZ17&lt;&gt;""),AND(FV17&gt;=FY$26,FV17&lt;&gt;""),AND(GR17&gt;=GU$26,GR17&lt;&gt;""),AND(HN17&gt;=HQ$26,HN17&lt;&gt;""),AND(IJ17&gt;=IM$26,IJ17&lt;&gt;""),AND(JF17&gt;=JI$26,JF17&lt;&gt;""),AND(KB17&gt;=KE$26,KB17&lt;&gt;""),AND(KX17&gt;=LA$26,KX17&lt;&gt;""),AND(LT17&gt;=LW$26,LT17&lt;&gt;""),AND(MP17&gt;=MS$26,MP17&lt;&gt;""),AND(NL17&gt;=NO$26,NL17&lt;&gt;"")),"Worlds Team",IF(OR(AND(AV17&gt;=AY$25,AV17&lt;&gt;"",AP17=""),AND(BZ17&gt;=CC$25,BZ17&lt;&gt;"",BT17=""),AND(DD17&gt;=DG$25,DD17&lt;&gt;"",CX17=""),AND(ED17&gt;=EG$25,ED17&lt;&gt;""),AND(EZ17&gt;=FC$25,EZ17&lt;&gt;""),AND(FV17&gt;=FY$25,FV17&lt;&gt;""),AND(GR17&gt;=GU$25,GR17&lt;&gt;""),AND(HN17&gt;=HQ$25,HN17&lt;&gt;""),AND(IJ17&gt;=IM$25,IJ17&lt;&gt;""),AND(JF17&gt;=JI$25,JF17&lt;&gt;""),AND(KB17&gt;=KE$25,KB17&lt;&gt;""),AND(KX17&gt;=LA$25,KX17&lt;&gt;""),AND(LT17&gt;=LW$25,LT17&lt;&gt;""),AND(MP17&gt;=MS$25,MP17&lt;&gt;""),AND(NL17&gt;=NO$25,NL17&lt;&gt;"")),"National Team",""))))</f>
        <v/>
      </c>
      <c r="I17" s="12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$26,AV17&lt;&gt;"",AP17=""),AND(BZ17&gt;=CC$26,BZ17&lt;&gt;"",BT17=""),AND(DD17&gt;=DG$26,DD17&lt;&gt;"",CX17=""),AND(ED17&gt;=EG$26,ED17&lt;&gt;""),AND(EZ17&gt;=FC$26,EZ17&lt;&gt;""),AND(FV17&gt;=FY$26,FV17&lt;&gt;""),AND(GR17&gt;=GU$26,GR17&lt;&gt;""),AND(HN17&gt;=HQ$26,HN17&lt;&gt;""),AND(IJ17&gt;=IM$26,IJ17&lt;&gt;""),AND(JF17&gt;=JI$26,JF17&lt;&gt;""),AND(KB17&gt;=KE$26,KB17&lt;&gt;""),AND(KX17&gt;=LA$26,KX17&lt;&gt;""),AND(LT17&gt;=LW$26,LT17&lt;&gt;""),AND(MP17&gt;=MS$26,MP17&lt;&gt;""),AND(NL17&gt;=NO$26,NL17&lt;&gt;"")),OR(G17="Worlds Team",G17="Excellence",G17="Merit")),"P","")</f>
        <v/>
      </c>
      <c r="K17" s="14">
        <f>IF(MAX(AV17,BZ17,DD17)&gt;0,MAX(AV17,BZ17,DD17),0)</f>
        <v>90.935000000000002</v>
      </c>
      <c r="L17" s="14" t="str">
        <f>IF(K17=0,"",IF(K17=DD17,$CD$1,IF(K17=BZ17,$AZ$1,IF(K17=AV17,$V$1,""))))</f>
        <v>2019 Nationals</v>
      </c>
      <c r="M17" s="14">
        <f>IF($K17=$AV17,MAX(BU17,CY17),IF($K17=$BZ17,MAX(AQ17,CY17),IF($K17=$DD17,MAX(AQ17,BU17),MAX(AQ17,BU17,CY17))))</f>
        <v>41.835000000000001</v>
      </c>
      <c r="N17" s="14" t="str">
        <f>IF(M17=0,"",IF(AND(M17=CY17,$L17&lt;&gt;$CD$1),$CD$1,IF(AND(M17=BU17,$L17&lt;&gt;$AZ$1),$AZ$1,IF(AND(M17=AQ17,$L17&lt;&gt;$V$1),$V$1,""))))</f>
        <v>2019 Elite Canada</v>
      </c>
      <c r="O17" s="14">
        <f>IF(K17-N(AQ17)=AS17,MAX(AU17,BW17,BY17,DA17,DC17),IF(K17-N(AQ17)=AU17,MAX(AS17,BW17,BY17,DA17,DC17),IF(K17-N(BU17)=BW17,MAX(AS17,AU17,BY17,DA17,DC17),IF(K17-N(BU17)=BY17,MAX(AS17,AU17,BW17,DA17,DC17),IF(K17-N(CY17)=DA17,MAX(AS17,AU17,BW17,BY17,DC17),IF(K17-N(CY17)=DC17,MAX(AS17,AU17,BW17,BY17,DA17),MAX(AS17,AU17,BW17,BY17,DA17,DC17)))))))</f>
        <v>9.4700000000000006</v>
      </c>
      <c r="P17" s="14" t="str">
        <f>IF(O17=0,"",IF(OR(O17=DC17,O17=DA17),$CD$1,IF(OR(O17=BY17,O17=BW17),$AZ$1,IF(OR(O17=AU17,O17=AS17),$V$1,""))))</f>
        <v>2019 Elite Canada</v>
      </c>
      <c r="Q17" s="14">
        <f>MAX(AX17,CB17,DF17)</f>
        <v>48.245000000000005</v>
      </c>
      <c r="R17" s="14" t="str">
        <f>IF(Q17=0,"",IF(Q17=DF17,$CD$1,IF(Q17=CB17,$AZ$1,IF(Q17=AX17,$V$1,""))))</f>
        <v>2019 Nationals</v>
      </c>
      <c r="S17" s="14" t="str">
        <f>IF(MAX(DH17,DI17,DJ17,DK17)&gt;0,MAX(DH17,DI17,DJ17,DK17),"")</f>
        <v/>
      </c>
      <c r="T17" s="25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9">
        <v>15.5</v>
      </c>
      <c r="W17" s="69">
        <v>8.8000000000000007</v>
      </c>
      <c r="X17" s="69">
        <v>3.4</v>
      </c>
      <c r="Y17" s="69">
        <v>14.135</v>
      </c>
      <c r="Z17" s="69">
        <v>0</v>
      </c>
      <c r="AA17" s="69">
        <v>2.7</v>
      </c>
      <c r="AB17" s="69">
        <v>1.8</v>
      </c>
      <c r="AC17" s="69">
        <v>2</v>
      </c>
      <c r="AD17" s="69">
        <v>2.97</v>
      </c>
      <c r="AE17" s="69">
        <v>0</v>
      </c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80"/>
      <c r="AQ17" s="11">
        <f>IF(SUM(V17:Y17)-Z17&gt;0,SUM(V17:Y17)-Z17,"")</f>
        <v>41.835000000000001</v>
      </c>
      <c r="AR17" s="11">
        <f>IF(AC17&gt;0,AC17,"")</f>
        <v>2</v>
      </c>
      <c r="AS17" s="11">
        <f>IF(SUM(AA17:AD17)-AE17&gt;0,SUM(AA17:AD17)-AE17,"")</f>
        <v>9.4700000000000006</v>
      </c>
      <c r="AT17" s="11" t="str">
        <f>IF(AH17&gt;0,AH17,"")</f>
        <v/>
      </c>
      <c r="AU17" s="11" t="str">
        <f>IF(SUM(AF17:AI17)-AJ17&gt;0,SUM(AF17:AI17)-AJ17,"")</f>
        <v/>
      </c>
      <c r="AV17" s="11">
        <f>IF(OR(AQ17&lt;&gt;"",AS17&lt;&gt;"",AU17&lt;&gt;""),AQ17+MAX(AS17,AU17),"")</f>
        <v>51.305</v>
      </c>
      <c r="AW17" s="11" t="str">
        <f>IF(AM17&gt;0,AM17,"")</f>
        <v/>
      </c>
      <c r="AX17" s="11" t="str">
        <f>IF(SUM(AK17:AN17)-AO17&gt;0,SUM(AK17:AN17)-AO17,"")</f>
        <v/>
      </c>
      <c r="AY17" s="11">
        <f>IF(SUM(AV17,AX17)&gt;0,SUM(AV17,AX17),"")</f>
        <v>51.305</v>
      </c>
      <c r="AZ17" s="75">
        <v>15.9</v>
      </c>
      <c r="BA17" s="75">
        <v>9.3000000000000007</v>
      </c>
      <c r="BB17" s="75">
        <v>4</v>
      </c>
      <c r="BC17" s="75">
        <v>14</v>
      </c>
      <c r="BD17" s="75">
        <v>0</v>
      </c>
      <c r="BE17" s="75">
        <v>13.1</v>
      </c>
      <c r="BF17" s="75">
        <v>9.5</v>
      </c>
      <c r="BG17" s="75">
        <v>11.4</v>
      </c>
      <c r="BH17" s="75">
        <v>13.734999999999999</v>
      </c>
      <c r="BI17" s="75">
        <v>0</v>
      </c>
      <c r="BJ17" s="75"/>
      <c r="BK17" s="75"/>
      <c r="BL17" s="75"/>
      <c r="BM17" s="75"/>
      <c r="BN17" s="75"/>
      <c r="BO17" s="75">
        <v>13.78</v>
      </c>
      <c r="BP17" s="75">
        <v>9.3000000000000007</v>
      </c>
      <c r="BQ17" s="75">
        <v>11.2</v>
      </c>
      <c r="BR17" s="75">
        <v>13.965</v>
      </c>
      <c r="BS17" s="75"/>
      <c r="BT17" s="81"/>
      <c r="BU17" s="14">
        <f>IF(SUM(AZ17:BC17)-BD17&gt;0,SUM(AZ17:BC17)-BD17,"")</f>
        <v>43.2</v>
      </c>
      <c r="BV17" s="14">
        <f>IF(BG17&gt;0,BG17,"")</f>
        <v>11.4</v>
      </c>
      <c r="BW17" s="14">
        <f>IF(SUM(BE17:BH17)-BI17&gt;0,SUM(BE17:BH17)-BI17,"")</f>
        <v>47.734999999999999</v>
      </c>
      <c r="BX17" s="14" t="str">
        <f>IF(BL17&gt;0,BL17,"")</f>
        <v/>
      </c>
      <c r="BY17" s="14" t="str">
        <f>IF(SUM(BJ17:BM17)-BN17&gt;0,SUM(BJ17:BM17)-BN17,"")</f>
        <v/>
      </c>
      <c r="BZ17" s="14">
        <f>IF(BU17="",IF(MAX(BW17,BY17)&gt;0,MAX(BW17,BY17),""),MAX(BW17,BY17)+BU17)</f>
        <v>90.935000000000002</v>
      </c>
      <c r="CA17" s="14">
        <f>IF(BQ17&gt;0,BQ17,"")</f>
        <v>11.2</v>
      </c>
      <c r="CB17" s="14">
        <f>IF(SUM(BO17:BR17)-BS17&gt;0,SUM(BO17:BR17)-BS17,"")</f>
        <v>48.245000000000005</v>
      </c>
      <c r="CC17" s="14">
        <f>IF(SUM(BZ17,CB17)&gt;0,SUM(BZ17,CB17),"")</f>
        <v>139.18</v>
      </c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9"/>
      <c r="CU17" s="69"/>
      <c r="CV17" s="69"/>
      <c r="CW17" s="69"/>
      <c r="CX17" s="80"/>
      <c r="CY17" s="11" t="str">
        <f>IF(SUM(CD17:CG17)-CH17&gt;0,SUM(CD17:CG17)-CH17,"")</f>
        <v/>
      </c>
      <c r="CZ17" s="11" t="str">
        <f>IF(CK17&gt;0,CK17,"")</f>
        <v/>
      </c>
      <c r="DA17" s="11" t="str">
        <f>IF(SUM(CI17:CL17)-CM17&gt;0,SUM(CI17:CL17)-CM17,"")</f>
        <v/>
      </c>
      <c r="DB17" s="11" t="str">
        <f>IF(CP17&gt;0,CP17,"")</f>
        <v/>
      </c>
      <c r="DC17" s="11" t="str">
        <f>IF(SUM(CN17:CQ17)-CR17&gt;0,SUM(CN17:CQ17)-CR17,"")</f>
        <v/>
      </c>
      <c r="DD17" s="11" t="str">
        <f>IF(CY17="",IF(MAX(DA17,DC17)&gt;0,MAX(DA17,DC17),""),MAX(DA17,DC17)+CY17)</f>
        <v/>
      </c>
      <c r="DE17" s="11" t="str">
        <f>IF(CU17&gt;0,CU17,"")</f>
        <v/>
      </c>
      <c r="DF17" s="11" t="str">
        <f>IF(SUM(CS17:CV17)-CW17&gt;0,SUM(CS17:CV17)-CW17,"")</f>
        <v/>
      </c>
      <c r="DG17" s="11" t="str">
        <f>IF(SUM(DD17,DF17)&gt;0,SUM(DD17,DF17),"")</f>
        <v/>
      </c>
      <c r="DH17" s="24" t="str">
        <f>IF(MAX(EB17,EX17,FT17,GP17,HL17,IH17,JD17,JZ17,KV17,LR17,MN17,NJ17)-IF(M17="",0,M17)&gt;0.001,MAX(EB17,EX17,FT17,GP17,HL17,IH17,JD17,JZ17,KV17,LR17,MN17,NJ17)-IF(M17="",0,M17),"")</f>
        <v/>
      </c>
      <c r="DI17" s="24" t="str">
        <f>IF(MAX(EC17,EY17,FU17,GQ17,HM17,II17,JE17,KA17,KW17,LS17,MO17,NK17)-IF(O17="",0,O17)&gt;0.001,MAX(EC17,EY17,FU17,GQ17,HM17,II17,JE17,KA17,KW17,LS17,MO17,NK17)-IF(O17="",0,O17),"")</f>
        <v/>
      </c>
      <c r="DJ17" s="24" t="str">
        <f>IF(MAX(ED17,EZ17,FV17,GR17,HN17,IJ17,JF17,KB17,KX17,LT17,MP17,NL17)-IF(K17="",0,K17)&gt;0.001,MAX(ED17,EZ17,FV17,GR17,HN17,IJ17,JF17,KB17,KX17,LT17,MP17,NL17)-IF(K17="",0,K17),"")</f>
        <v/>
      </c>
      <c r="DK17" s="24" t="str">
        <f>IF(MAX(EF17,FB17,FX17,GT17,HP17,IL17,JH17,KD17,KZ17,LV17,MR17,NN17)-IF(Q17="",0,Q17)&gt;0.001,MAX(EF17,FB17,FX17,GT17,HP17,IL17,JH17,KD17,KZ17,LV17,MR17,NN17)-IF(Q17="",0,Q17),"")</f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9">
        <f>IF($CX17="P",CD17,(CD17+AZ17)/2)</f>
        <v>7.95</v>
      </c>
      <c r="NQ17" s="69">
        <f>IF($CX17="P",CE17,(CE17+BA17)/2)</f>
        <v>4.6500000000000004</v>
      </c>
      <c r="NR17" s="69">
        <f>IF($CX17="P",CF17,(CF17+BB17)/2)</f>
        <v>2</v>
      </c>
      <c r="NS17" s="69">
        <f>IF($CX17="P",CG17,(CG17+BC17)/2)</f>
        <v>7</v>
      </c>
      <c r="NT17" s="69">
        <f>IF($CX17="P",CH17,(CH17+BD17)/2)</f>
        <v>0</v>
      </c>
      <c r="NU17" s="69">
        <f>IF($CX17="P",CI17,(CI17+BE17)/2)</f>
        <v>6.55</v>
      </c>
      <c r="NV17" s="69">
        <f>IF($CX17="P",CJ17,(CJ17+BF17)/2)</f>
        <v>4.75</v>
      </c>
      <c r="NW17" s="69">
        <f>IF($CX17="P",CK17,(CK17+BG17)/2)</f>
        <v>5.7</v>
      </c>
      <c r="NX17" s="69">
        <f>IF($CX17="P",CL17,(CL17+BH17)/2)</f>
        <v>6.8674999999999997</v>
      </c>
      <c r="NY17" s="69">
        <f>IF($CX17="P",CM17,(CM17+BI17)/2)</f>
        <v>0</v>
      </c>
      <c r="NZ17" s="69">
        <f>IF($CX17="P",CN17,(CN17+BJ17)/2)</f>
        <v>0</v>
      </c>
      <c r="OA17" s="69">
        <f>IF($CX17="P",CO17,(CO17+BK17)/2)</f>
        <v>0</v>
      </c>
      <c r="OB17" s="69">
        <f>IF($CX17="P",CP17,(CP17+BL17)/2)</f>
        <v>0</v>
      </c>
      <c r="OC17" s="69">
        <f>IF($CX17="P",CQ17,(CQ17+BM17)/2)</f>
        <v>0</v>
      </c>
      <c r="OD17" s="69">
        <f>IF($CX17="P",CR17,(CR17+BN17)/2)</f>
        <v>0</v>
      </c>
      <c r="OE17" s="69">
        <f>IF($CX17="P",CS17,(CS17+BO17)/2)</f>
        <v>6.89</v>
      </c>
      <c r="OF17" s="69">
        <f>IF($CX17="P",CT17,(CT17+BP17)/2)</f>
        <v>4.6500000000000004</v>
      </c>
      <c r="OG17" s="69">
        <f>IF($CX17="P",CU17,(CU17+BQ17)/2)</f>
        <v>5.6</v>
      </c>
      <c r="OH17" s="69">
        <f>IF($CX17="P",CV17,(CV17+BR17)/2)</f>
        <v>6.9824999999999999</v>
      </c>
      <c r="OI17" s="69">
        <f>IF($CX17="P",CW17,(CW17+BS17)/2)</f>
        <v>0</v>
      </c>
      <c r="OJ17" s="80" t="s">
        <v>91</v>
      </c>
      <c r="OK17" s="11">
        <f>IF(SUM(NP17:NS17)-NT17&gt;0,SUM(NP17:NS17)-NT17,"")</f>
        <v>21.6</v>
      </c>
      <c r="OL17" s="11">
        <f>IF(NW17&gt;0,NW17,"")</f>
        <v>5.7</v>
      </c>
      <c r="OM17" s="11">
        <f>IF(SUM(NU17:NX17)-NY17&gt;0,SUM(NU17:NX17)-NY17,"")</f>
        <v>23.8675</v>
      </c>
      <c r="ON17" s="11" t="str">
        <f>IF(OB17&gt;0,OB17,"")</f>
        <v/>
      </c>
      <c r="OO17" s="11" t="str">
        <f>IF(SUM(NZ17:OC17)-OD17&gt;0,SUM(NZ17:OC17)-OD17,"")</f>
        <v/>
      </c>
      <c r="OP17" s="11">
        <f>IF(OR(OK17&lt;&gt;"",OM17&lt;&gt;"",OO17&lt;&gt;""),OK17+MAX(OM17,OO17),"")</f>
        <v>45.467500000000001</v>
      </c>
      <c r="OQ17" s="11">
        <f>IF(OG17&gt;0,OG17,"")</f>
        <v>5.6</v>
      </c>
      <c r="OR17" s="11">
        <f t="shared" ref="OR17" si="2">IF(SUM(OE17:OH17)-OI17&gt;0,SUM(OE17:OH17)-OI17,"")</f>
        <v>24.122500000000002</v>
      </c>
      <c r="OS17" s="11">
        <f t="shared" ref="OS17" si="3">IF(SUM(OP17,OR17)&gt;0,SUM(OP17,OR17),"")</f>
        <v>69.59</v>
      </c>
    </row>
    <row r="18" spans="1:409" x14ac:dyDescent="0.2">
      <c r="A18" s="5" t="str" cm="1">
        <f t="array" ref="A18">IF(AND(G18&lt;&gt;"",H18&lt;&gt;""),SUMPRODUCT((G$4:G$19&lt;&gt;"")*(H$4:H$19&lt;&gt;"")*(E$4:E$19&gt;E18))+1,IF(H18&lt;&gt;"",SUMPRODUCT((I$4:I$19="No DD")*(E$4:E$19&gt;E18))+1+SUMPRODUCT((G$4:G$19&lt;&gt;"")*(H$4:H$19&lt;&gt;"")),""))</f>
        <v/>
      </c>
      <c r="B18" s="127" t="s">
        <v>39</v>
      </c>
      <c r="C18" s="5" t="s">
        <v>10</v>
      </c>
      <c r="D18" s="5">
        <v>1998</v>
      </c>
      <c r="E18" s="15">
        <f>SUM(K18:S18)</f>
        <v>0</v>
      </c>
      <c r="F18" s="3" t="str">
        <f>IF(G18&lt;&gt;"","P","")</f>
        <v/>
      </c>
      <c r="G18" s="125" t="str">
        <f>IF(OR(AND(AR18&gt;=AY$24,AR18&lt;&gt;"",AP18=""),AND(AT18&gt;=AY$24,AT18&lt;&gt;"",AP18=""),AND(AW18&gt;=AY$24,AW18&lt;&gt;"",AP18=""),AND(BV18&gt;=CC$24,BV18&lt;&gt;"",BT18=""),AND(BX18&gt;=CC$24,BX18&lt;&gt;"",BT18=""),AND(CA18&gt;=CC$24,CA18&lt;&gt;"",BT18=""),AND(CZ18&gt;=DG$24,CZ18&lt;&gt;"",CX18=""),AND(DB18&gt;=DG$24,DB18&lt;&gt;"",CX18=""),AND(DE18&gt;=DG$24,DE18&lt;&gt;"",CX18=""),AND(EA18&gt;=EG$24,EA18&lt;&gt;""),AND(EE18&gt;=EG$24,EE18&lt;&gt;""),AND(EW18&gt;=FC$24,EW18&lt;&gt;""),AND(FA18&gt;=FC$24,FA18&lt;&gt;""),AND(FS18&gt;=FY$24,FS18&lt;&gt;""),AND(FW18&gt;=FY$24,FW18&lt;&gt;""),AND(GO18&gt;=GU$24,GO18&lt;&gt;""),AND(GS18&gt;=GU$24,GS18&lt;&gt;""),AND(HK18&gt;=HQ$24,HK18&lt;&gt;""),AND(HO18&gt;=HQ$24,HO18&lt;&gt;""),AND(IG18&gt;=IM$24,IG18&lt;&gt;""),AND(IK18&gt;=IM$24,IK18&lt;&gt;""),AND(JC18&gt;=JI$24,JC18&lt;&gt;""),AND(JG18&gt;=JI$24,JG18&lt;&gt;""),AND(JY18&gt;=KE$24,JY18&lt;&gt;""),AND(KC18&gt;=KE$24,KC18&lt;&gt;""),AND(KU18&gt;=LA$24,KU18&lt;&gt;""),AND(KY18&gt;=LA$24,KY18&lt;&gt;""),AND(LQ18&gt;=LW$24,LQ18&lt;&gt;""),AND(LU18&gt;=LW$24,LU18&lt;&gt;""),AND(MM18&gt;=MS$24,MM18&lt;&gt;""),AND(MQ18&gt;=MS$24,MQ18&lt;&gt;""),AND(NI18&gt;=NO$24,NI18&lt;&gt;""),AND(NM18&gt;=NO$24,NM18&lt;&gt;"")),"Merit",IF(OR(AND(AR18&gt;=AY$23,AR18&lt;&gt;"",AP18=""),AND(AT18&gt;=AY$23,AT18&lt;&gt;"",AP18=""),AND(AW18&gt;=AY$23,AW18&lt;&gt;"",AP18=""),AND(BV18&gt;=CC$23,BV18&lt;&gt;"",BT18=""),AND(BX18&gt;=CC$23,BX18&lt;&gt;"",BT18=""),AND(CA18&gt;=CC$23,CA18&lt;&gt;"",BT18=""),AND(CZ18&gt;=DG$23,CZ18&lt;&gt;"",CX18=""),AND(DB18&gt;=DG$23,DB18&lt;&gt;"",CX18=""),AND(DE18&gt;=DG$23,DE18&lt;&gt;"",CX18=""),AND(EA18&gt;=EG$23,EA18&lt;&gt;""),AND(EE18&gt;=EG$23,EE18&lt;&gt;""),AND(EW18&gt;=FC$23,EW18&lt;&gt;""),AND(FA18&gt;=FC$23,FA18&lt;&gt;""),AND(FS18&gt;=FY$23,FS18&lt;&gt;""),AND(FW18&gt;=FY$23,FW18&lt;&gt;""),AND(GO18&gt;=GU$23,GO18&lt;&gt;""),AND(GS18&gt;=GU$23,GS18&lt;&gt;""),AND(HK18&gt;=HQ$23,HK18&lt;&gt;""),AND(HO18&gt;=HQ$23,HO18&lt;&gt;""),AND(IG18&gt;=IM$23,IG18&lt;&gt;""),AND(IK18&gt;=IM$23,IK18&lt;&gt;""),AND(JC18&gt;=JI$23,JC18&lt;&gt;""),AND(JG18&gt;=JI$23,JG18&lt;&gt;""),AND(JY18&gt;=KE$23,JY18&lt;&gt;""),AND(KC18&gt;=KE$23,KC18&lt;&gt;""),AND(KU18&gt;=LA$23,KU18&lt;&gt;""),AND(KY18&gt;=LA$23,KY18&lt;&gt;""),AND(LQ18&gt;=LW$23,LQ18&lt;&gt;""),AND(LU18&gt;=LW$23,LU18&lt;&gt;""),AND(MM18&gt;=MS$23,MM18&lt;&gt;""),AND(MQ18&gt;=MS$23,MQ18&lt;&gt;""),AND(NI18&gt;=NO$23,NI18&lt;&gt;""),AND(NM18&gt;=NO$23,NM18&lt;&gt;"")),"Excellence",IF(OR(AND(AR18&gt;=AY$22,AR18&lt;&gt;"",AP18=""),AND(AT18&gt;=AY$22,AT18&lt;&gt;"",AP18=""),AND(AW18&gt;=AY$22,AW18&lt;&gt;"",AP18=""),AND(BV18&gt;=CC$22,BV18&lt;&gt;"",BT18=""),AND(BX18&gt;=CC$22,BX18&lt;&gt;"",BT18=""),AND(CA18&gt;=CC$22,CA18&lt;&gt;"",BT18=""),AND(CZ18&gt;=DG$22,CZ18&lt;&gt;"",CX18=""),AND(DB18&gt;=DG$22,DB18&lt;&gt;"",CX18=""),AND(DE18&gt;=DG$22,DE18&lt;&gt;"",CX18=""),AND(EA18&gt;=EG$22,EA18&lt;&gt;""),AND(EE18&gt;=EG$22,EE18&lt;&gt;""),AND(EW18&gt;=FC$22,EW18&lt;&gt;""),AND(FA18&gt;=FC$22,FA18&lt;&gt;""),AND(FS18&gt;=FY$22,FS18&lt;&gt;""),AND(FW18&gt;=FY$22,FW18&lt;&gt;""),AND(GO18&gt;=GU$22,GO18&lt;&gt;""),AND(GS18&gt;=GU$22,GS18&lt;&gt;""),AND(HK18&gt;=HQ$22,HK18&lt;&gt;""),AND(HO18&gt;=HQ$22,HO18&lt;&gt;""),AND(IG18&gt;=IM$22,IG18&lt;&gt;""),AND(IK18&gt;=IM$22,IK18&lt;&gt;""),AND(JC18&gt;=JI$22,JC18&lt;&gt;""),AND(JG18&gt;=JI$22,JG18&lt;&gt;""),AND(JY18&gt;=KE$22,JY18&lt;&gt;""),AND(KC18&gt;=KE$22,KC18&lt;&gt;""),AND(KU18&gt;=LA$22,KU18&lt;&gt;""),AND(KY18&gt;=LA$22,KY18&lt;&gt;""),AND(LQ18&gt;=LW$22,LQ18&lt;&gt;""),AND(LU18&gt;=LW$22,LU18&lt;&gt;""),AND(MM18&gt;=MS$22,MM18&lt;&gt;""),AND(MQ18&gt;=MS$22,MQ18&lt;&gt;""),AND(NI18&gt;=NO$22,NI18&lt;&gt;""),AND(NM18&gt;=NO$22,NM18&lt;&gt;"")),"Worlds Team",IF(OR(AND(AR18&gt;=AY$21,AR18&lt;&gt;"",AP18=""),AND(AT18&gt;=AY$21,AT18&lt;&gt;"",AP18=""),AND(AW18&gt;=AY$21,AW18&lt;&gt;"",AP18=""),AND(BV18&gt;=CC$21,BV18&lt;&gt;"",BT18=""),AND(BX18&gt;=CC$21,BX18&lt;&gt;"",BT18=""),AND(CA18&gt;=CC$21,CA18&lt;&gt;"",BT18=""),AND(CZ18&gt;=DG$21,CZ18&lt;&gt;"",CX18=""),AND(DB18&gt;=DG$21,DB18&lt;&gt;"",CX18=""),AND(DE18&gt;=DG$21,DE18&lt;&gt;"",CX18=""),AND(EA18&gt;=EG$21,EA18&lt;&gt;""),AND(EE18&gt;=EG$21,EE18&lt;&gt;""),AND(EW18&gt;=FC$21,EW18&lt;&gt;""),AND(FA18&gt;=FC$21,FA18&lt;&gt;""),AND(FS18&gt;=FY$21,FS18&lt;&gt;""),AND(FW18&gt;=FY$21,FW18&lt;&gt;""),AND(GO18&gt;=GU$21,GO18&lt;&gt;""),AND(GS18&gt;=GU$21,GS18&lt;&gt;""),AND(HK18&gt;=HQ$21,HK18&lt;&gt;""),AND(HO18&gt;=HQ$21,HO18&lt;&gt;""),AND(IG18&gt;=IM$21,IG18&lt;&gt;""),AND(IK18&gt;=IM$21,IK18&lt;&gt;""),AND(JC18&gt;=JI$21,JC18&lt;&gt;""),AND(JG18&gt;=JI$21,JG18&lt;&gt;""),AND(JY18&gt;=KE$21,JY18&lt;&gt;""),AND(KC18&gt;=KE$21,KC18&lt;&gt;""),AND(KU18&gt;=LA$21,KU18&lt;&gt;""),AND(KY18&gt;=LA$21,KY18&lt;&gt;""),AND(LQ18&gt;=LW$21,LQ18&lt;&gt;""),AND(LU18&gt;=LW$21,LU18&lt;&gt;""),AND(MM18&gt;=MS$21,MM18&lt;&gt;""),AND(MQ18&gt;=MS$21,MQ18&lt;&gt;""),AND(NI18&gt;=NO$21,NI18&lt;&gt;""),AND(NM18&gt;=NO$21,NM18&lt;&gt;"")),"National Team",""))))</f>
        <v/>
      </c>
      <c r="H18" s="125" t="str">
        <f>IF(OR(AND(AS18&gt;=AY$28,AS18&lt;&gt;"",AP18=""),AND(AU18&gt;=AY$28,AU18&lt;&gt;"",AP18=""),AND(AX18&gt;=AY$28,AX18&lt;&gt;"",AP18=""),AND(BW18&gt;=CC$28,BW18&lt;&gt;"",BT18=""),AND(BY18&gt;=CC$28,BY18&lt;&gt;"",BT18=""),AND(CB18&gt;=CC$28,CB18&lt;&gt;"",BT18=""),AND(DA18&gt;=DG$28,DA18&lt;&gt;"",CX18=""),AND(DC18&gt;=DG$28,DC18&lt;&gt;"",CX18=""),AND(DF18&gt;=DG$28,DF18&lt;&gt;"",CX18=""),AND(EC18&gt;=EG$28,EC18&lt;&gt;""),AND(EF18&gt;=EG$28,EF18&lt;&gt;""),AND(EY18&gt;=FC$28,EY18&lt;&gt;""),AND(FB18&gt;=FC$28,FB18&lt;&gt;""),AND(FU18&gt;=FY$28,FU18&lt;&gt;""),AND(FX18&gt;=FY$28,FX18&lt;&gt;""),AND(GQ18&gt;=GU$28,GQ18&lt;&gt;""),AND(GT18&gt;=GU$28,GT18&lt;&gt;""),AND(HM18&gt;=HQ$28,HM18&lt;&gt;""),AND(HP18&gt;=HQ$28,HP18&lt;&gt;""),AND(II18&gt;=IM$28,II18&lt;&gt;""),AND(IL18&gt;=IM$28,IL18&lt;&gt;""),AND(JE18&gt;=JI$28,JE18&lt;&gt;""),AND(JH18&gt;=JI$28,JH18&lt;&gt;""),AND(KA18&gt;=KE$28,KA18&lt;&gt;""),AND(KD18&gt;=KE$28,KD18&lt;&gt;""),AND(KW18&gt;=LA$28,KW18&lt;&gt;""),AND(KZ18&gt;=LA$28,KZ18&lt;&gt;""),AND(LS18&gt;=LW$28,LS18&lt;&gt;""),AND(LV18&gt;=LW$28,LV18&lt;&gt;""),AND(MO18&gt;=MS$28,MO18&lt;&gt;""),AND(MR18&gt;=MS$28,MR18&lt;&gt;""),AND(NK18&gt;=NO$28,NK18&lt;&gt;""),AND(NN18&gt;=NO$28,NN18&lt;&gt;"")),"Merit",IF(OR(AND(AS18&gt;=AY$27,AS18&lt;&gt;"",AP18=""),AND(AU18&gt;=AY$27,AU18&lt;&gt;"",AP18=""),AND(AX18&gt;=AY$27,AX18&lt;&gt;"",AP18=""),AND(BW18&gt;=CC$27,BW18&lt;&gt;"",BT18=""),AND(BY18&gt;=CC$27,BY18&lt;&gt;"",BT18=""),AND(CB18&gt;=CC$27,CB18&lt;&gt;"",BT18=""),AND(DA18&gt;=DG$27,DA18&lt;&gt;"",CX18=""),AND(DC18&gt;=DG$27,DC18&lt;&gt;"",CX18=""),AND(DF18&gt;=DG$27,DF18&lt;&gt;"",CX18=""),AND(EC18&gt;=EG$27,EC18&lt;&gt;""),AND(EF18&gt;=EG$27,EF18&lt;&gt;""),AND(EY18&gt;=FC$27,EY18&lt;&gt;""),AND(FB18&gt;=FC$27,FB18&lt;&gt;""),AND(FU18&gt;=FY$27,FU18&lt;&gt;""),AND(FX18&gt;=FY$27,FX18&lt;&gt;""),AND(GQ18&gt;=GU$27,GQ18&lt;&gt;""),AND(GT18&gt;=GU$27,GT18&lt;&gt;""),AND(HM18&gt;=HQ$27,HM18&lt;&gt;""),AND(HP18&gt;=HQ$27,HP18&lt;&gt;""),AND(II18&gt;=IM$27,II18&lt;&gt;""),AND(IL18&gt;=IM$27,IL18&lt;&gt;""),AND(JE18&gt;=JI$27,JE18&lt;&gt;""),AND(JH18&gt;=JI$27,JH18&lt;&gt;""),AND(KA18&gt;=KE$27,KA18&lt;&gt;""),AND(KD18&gt;=KE$27,KD18&lt;&gt;""),AND(KW18&gt;=LA$27,KW18&lt;&gt;""),AND(KZ18&gt;=LA$27,KZ18&lt;&gt;""),AND(LS18&gt;=LW$27,LS18&lt;&gt;""),AND(LV18&gt;=LW$27,LV18&lt;&gt;""),AND(MO18&gt;=MS$27,MO18&lt;&gt;""),AND(MR18&gt;=MS$27,MR18&lt;&gt;""),AND(NK18&gt;=NO$27,NK18&lt;&gt;""),AND(NN18&gt;=NO$27,NN18&lt;&gt;"")),"Excellence",IF(OR(AND(AV18&gt;=AY$26,AV18&lt;&gt;"",AP18=""),AND(BZ18&gt;=CC$26,BZ18&lt;&gt;"",BT18=""),AND(DD18&gt;=DG$26,DD18&lt;&gt;"",CX18=""),AND(ED18&gt;=EG$26,ED18&lt;&gt;""),AND(EZ18&gt;=FC$26,EZ18&lt;&gt;""),AND(FV18&gt;=FY$26,FV18&lt;&gt;""),AND(GR18&gt;=GU$26,GR18&lt;&gt;""),AND(HN18&gt;=HQ$26,HN18&lt;&gt;""),AND(IJ18&gt;=IM$26,IJ18&lt;&gt;""),AND(JF18&gt;=JI$26,JF18&lt;&gt;""),AND(KB18&gt;=KE$26,KB18&lt;&gt;""),AND(KX18&gt;=LA$26,KX18&lt;&gt;""),AND(LT18&gt;=LW$26,LT18&lt;&gt;""),AND(MP18&gt;=MS$26,MP18&lt;&gt;""),AND(NL18&gt;=NO$26,NL18&lt;&gt;"")),"Worlds Team",IF(OR(AND(AV18&gt;=AY$25,AV18&lt;&gt;"",AP18=""),AND(BZ18&gt;=CC$25,BZ18&lt;&gt;"",BT18=""),AND(DD18&gt;=DG$25,DD18&lt;&gt;"",CX18=""),AND(ED18&gt;=EG$25,ED18&lt;&gt;""),AND(EZ18&gt;=FC$25,EZ18&lt;&gt;""),AND(FV18&gt;=FY$25,FV18&lt;&gt;""),AND(GR18&gt;=GU$25,GR18&lt;&gt;""),AND(HN18&gt;=HQ$25,HN18&lt;&gt;""),AND(IJ18&gt;=IM$25,IJ18&lt;&gt;""),AND(JF18&gt;=JI$25,JF18&lt;&gt;""),AND(KB18&gt;=KE$25,KB18&lt;&gt;""),AND(KX18&gt;=LA$25,KX18&lt;&gt;""),AND(LT18&gt;=LW$25,LT18&lt;&gt;""),AND(MP18&gt;=MS$25,MP18&lt;&gt;""),AND(NL18&gt;=NO$25,NL18&lt;&gt;"")),"National Team",""))))</f>
        <v/>
      </c>
      <c r="I18" s="12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$26,AV18&lt;&gt;"",AP18=""),AND(BZ18&gt;=CC$26,BZ18&lt;&gt;"",BT18=""),AND(DD18&gt;=DG$26,DD18&lt;&gt;"",CX18=""),AND(ED18&gt;=EG$26,ED18&lt;&gt;""),AND(EZ18&gt;=FC$26,EZ18&lt;&gt;""),AND(FV18&gt;=FY$26,FV18&lt;&gt;""),AND(GR18&gt;=GU$26,GR18&lt;&gt;""),AND(HN18&gt;=HQ$26,HN18&lt;&gt;""),AND(IJ18&gt;=IM$26,IJ18&lt;&gt;""),AND(JF18&gt;=JI$26,JF18&lt;&gt;""),AND(KB18&gt;=KE$26,KB18&lt;&gt;""),AND(KX18&gt;=LA$26,KX18&lt;&gt;""),AND(LT18&gt;=LW$26,LT18&lt;&gt;""),AND(MP18&gt;=MS$26,MP18&lt;&gt;""),AND(NL18&gt;=NO$26,NL18&lt;&gt;"")),OR(G18="Worlds Team",G18="Excellence",G18="Merit")),"P","")</f>
        <v/>
      </c>
      <c r="K18" s="14">
        <f>IF(MAX(AV18,BZ18,DD18)&gt;0,MAX(AV18,BZ18,DD18),0)</f>
        <v>0</v>
      </c>
      <c r="L18" s="14" t="str">
        <f>IF(K18=0,"",IF(K18=DD18,$CD$1,IF(K18=BZ18,$AZ$1,IF(K18=AV18,$V$1,""))))</f>
        <v/>
      </c>
      <c r="M18" s="14">
        <f>IF($K18=$AV18,MAX(BU18,CY18),IF($K18=$BZ18,MAX(AQ18,CY18),IF($K18=$DD18,MAX(AQ18,BU18),MAX(AQ18,BU18,CY18))))</f>
        <v>0</v>
      </c>
      <c r="N18" s="14" t="str">
        <f>IF(M18=0,"",IF(AND(M18=CY18,$L18&lt;&gt;$CD$1),$CD$1,IF(AND(M18=BU18,$L18&lt;&gt;$AZ$1),$AZ$1,IF(AND(M18=AQ18,$L18&lt;&gt;$V$1),$V$1,""))))</f>
        <v/>
      </c>
      <c r="O18" s="14">
        <f>IF(K18-N(AQ18)=AS18,MAX(AU18,BW18,BY18,DA18,DC18),IF(K18-N(AQ18)=AU18,MAX(AS18,BW18,BY18,DA18,DC18),IF(K18-N(BU18)=BW18,MAX(AS18,AU18,BY18,DA18,DC18),IF(K18-N(BU18)=BY18,MAX(AS18,AU18,BW18,DA18,DC18),IF(K18-N(CY18)=DA18,MAX(AS18,AU18,BW18,BY18,DC18),IF(K18-N(CY18)=DC18,MAX(AS18,AU18,BW18,BY18,DA18),MAX(AS18,AU18,BW18,BY18,DA18,DC18)))))))</f>
        <v>0</v>
      </c>
      <c r="P18" s="14" t="str">
        <f>IF(O18=0,"",IF(OR(O18=DC18,O18=DA18),$CD$1,IF(OR(O18=BY18,O18=BW18),$AZ$1,IF(OR(O18=AU18,O18=AS18),$V$1,""))))</f>
        <v/>
      </c>
      <c r="Q18" s="14">
        <f>MAX(AX18,CB18,DF18)</f>
        <v>0</v>
      </c>
      <c r="R18" s="14" t="str">
        <f>IF(Q18=0,"",IF(Q18=DF18,$CD$1,IF(Q18=CB18,$AZ$1,IF(Q18=AX18,$V$1,""))))</f>
        <v/>
      </c>
      <c r="S18" s="14" t="str">
        <f>IF(MAX(DH18,DI18,DJ18,DK18)&gt;0,MAX(DH18,DI18,DJ18,DK18),"")</f>
        <v/>
      </c>
      <c r="T18" s="25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80"/>
      <c r="AQ18" s="11" t="str">
        <f>IF(SUM(V18:Y18)-Z18&gt;0,SUM(V18:Y18)-Z18,"")</f>
        <v/>
      </c>
      <c r="AR18" s="11" t="str">
        <f>IF(AC18&gt;0,AC18,"")</f>
        <v/>
      </c>
      <c r="AS18" s="11" t="str">
        <f>IF(SUM(AA18:AD18)-AE18&gt;0,SUM(AA18:AD18)-AE18,"")</f>
        <v/>
      </c>
      <c r="AT18" s="11" t="str">
        <f>IF(AH18&gt;0,AH18,"")</f>
        <v/>
      </c>
      <c r="AU18" s="11" t="str">
        <f>IF(SUM(AF18:AI18)-AJ18&gt;0,SUM(AF18:AI18)-AJ18,"")</f>
        <v/>
      </c>
      <c r="AV18" s="11" t="str">
        <f>IF(OR(AQ18&lt;&gt;"",AS18&lt;&gt;"",AU18&lt;&gt;""),AQ18+MAX(AS18,AU18),"")</f>
        <v/>
      </c>
      <c r="AW18" s="11" t="str">
        <f>IF(AM18&gt;0,AM18,"")</f>
        <v/>
      </c>
      <c r="AX18" s="11" t="str">
        <f>IF(SUM(AK18:AN18)-AO18&gt;0,SUM(AK18:AN18)-AO18,"")</f>
        <v/>
      </c>
      <c r="AY18" s="11" t="str">
        <f>IF(SUM(AV18,AX18)&gt;0,SUM(AV18,AX18),"")</f>
        <v/>
      </c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81"/>
      <c r="BU18" s="14" t="str">
        <f>IF(SUM(AZ18:BC18)-BD18&gt;0,SUM(AZ18:BC18)-BD18,"")</f>
        <v/>
      </c>
      <c r="BV18" s="14" t="str">
        <f>IF(BG18&gt;0,BG18,"")</f>
        <v/>
      </c>
      <c r="BW18" s="14" t="str">
        <f>IF(SUM(BE18:BH18)-BI18&gt;0,SUM(BE18:BH18)-BI18,"")</f>
        <v/>
      </c>
      <c r="BX18" s="14" t="str">
        <f>IF(BL18&gt;0,BL18,"")</f>
        <v/>
      </c>
      <c r="BY18" s="14" t="str">
        <f>IF(SUM(BJ18:BM18)-BN18&gt;0,SUM(BJ18:BM18)-BN18,"")</f>
        <v/>
      </c>
      <c r="BZ18" s="14" t="str">
        <f>IF(BU18="",IF(MAX(BW18,BY18)&gt;0,MAX(BW18,BY18),""),MAX(BW18,BY18)+BU18)</f>
        <v/>
      </c>
      <c r="CA18" s="14" t="str">
        <f>IF(BQ18&gt;0,BQ18,"")</f>
        <v/>
      </c>
      <c r="CB18" s="14" t="str">
        <f>IF(SUM(BO18:BR18)-BS18&gt;0,SUM(BO18:BR18)-BS18,"")</f>
        <v/>
      </c>
      <c r="CC18" s="14" t="str">
        <f>IF(SUM(BZ18,CB18)&gt;0,SUM(BZ18,CB18),"")</f>
        <v/>
      </c>
      <c r="CD18" s="69"/>
      <c r="CE18" s="69"/>
      <c r="CF18" s="69"/>
      <c r="CG18" s="69"/>
      <c r="CH18" s="69"/>
      <c r="CI18" s="69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9"/>
      <c r="CU18" s="69"/>
      <c r="CV18" s="69"/>
      <c r="CW18" s="69"/>
      <c r="CX18" s="80"/>
      <c r="CY18" s="11" t="str">
        <f>IF(SUM(CD18:CG18)-CH18&gt;0,SUM(CD18:CG18)-CH18,"")</f>
        <v/>
      </c>
      <c r="CZ18" s="11" t="str">
        <f>IF(CK18&gt;0,CK18,"")</f>
        <v/>
      </c>
      <c r="DA18" s="11" t="str">
        <f>IF(SUM(CI18:CL18)-CM18&gt;0,SUM(CI18:CL18)-CM18,"")</f>
        <v/>
      </c>
      <c r="DB18" s="11" t="str">
        <f>IF(CP18&gt;0,CP18,"")</f>
        <v/>
      </c>
      <c r="DC18" s="11" t="str">
        <f>IF(SUM(CN18:CQ18)-CR18&gt;0,SUM(CN18:CQ18)-CR18,"")</f>
        <v/>
      </c>
      <c r="DD18" s="11" t="str">
        <f>IF(CY18="",IF(MAX(DA18,DC18)&gt;0,MAX(DA18,DC18),""),MAX(DA18,DC18)+CY18)</f>
        <v/>
      </c>
      <c r="DE18" s="11" t="str">
        <f>IF(CU18&gt;0,CU18,"")</f>
        <v/>
      </c>
      <c r="DF18" s="11" t="str">
        <f>IF(SUM(CS18:CV18)-CW18&gt;0,SUM(CS18:CV18)-CW18,"")</f>
        <v/>
      </c>
      <c r="DG18" s="11" t="str">
        <f>IF(SUM(DD18,DF18)&gt;0,SUM(DD18,DF18),"")</f>
        <v/>
      </c>
      <c r="DH18" s="24" t="str">
        <f>IF(MAX(EB18,EX18,FT18,GP18,HL18,IH18,JD18,JZ18,KV18,LR18,MN18,NJ18)-IF(M18="",0,M18)&gt;0.001,MAX(EB18,EX18,FT18,GP18,HL18,IH18,JD18,JZ18,KV18,LR18,MN18,NJ18)-IF(M18="",0,M18),"")</f>
        <v/>
      </c>
      <c r="DI18" s="24" t="str">
        <f>IF(MAX(EC18,EY18,FU18,GQ18,HM18,II18,JE18,KA18,KW18,LS18,MO18,NK18)-IF(O18="",0,O18)&gt;0.001,MAX(EC18,EY18,FU18,GQ18,HM18,II18,JE18,KA18,KW18,LS18,MO18,NK18)-IF(O18="",0,O18),"")</f>
        <v/>
      </c>
      <c r="DJ18" s="24" t="str">
        <f>IF(MAX(ED18,EZ18,FV18,GR18,HN18,IJ18,JF18,KB18,KX18,LT18,MP18,NL18)-IF(K18="",0,K18)&gt;0.001,MAX(ED18,EZ18,FV18,GR18,HN18,IJ18,JF18,KB18,KX18,LT18,MP18,NL18)-IF(K18="",0,K18),"")</f>
        <v/>
      </c>
      <c r="DK18" s="24" t="str">
        <f>IF(MAX(EF18,FB18,FX18,GT18,HP18,IL18,JH18,KD18,KZ18,LV18,MR18,NN18)-IF(Q18="",0,Q18)&gt;0.001,MAX(EF18,FB18,FX18,GT18,HP18,IL18,JH18,KD18,KZ18,LV18,MR18,NN18)-IF(Q18="",0,Q18),"")</f>
        <v/>
      </c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9">
        <f>IF($CX18="P",CD18,(CD18+AZ18)/2)</f>
        <v>0</v>
      </c>
      <c r="NQ18" s="69">
        <f>IF($CX18="P",CE18,(CE18+BA18)/2)</f>
        <v>0</v>
      </c>
      <c r="NR18" s="69">
        <f>IF($CX18="P",CF18,(CF18+BB18)/2)</f>
        <v>0</v>
      </c>
      <c r="NS18" s="69">
        <f>IF($CX18="P",CG18,(CG18+BC18)/2)</f>
        <v>0</v>
      </c>
      <c r="NT18" s="69">
        <f>IF($CX18="P",CH18,(CH18+BD18)/2)</f>
        <v>0</v>
      </c>
      <c r="NU18" s="69">
        <f>IF($CX18="P",CI18,(CI18+BE18)/2)</f>
        <v>0</v>
      </c>
      <c r="NV18" s="69">
        <f>IF($CX18="P",CJ18,(CJ18+BF18)/2)</f>
        <v>0</v>
      </c>
      <c r="NW18" s="69">
        <f>IF($CX18="P",CK18,(CK18+BG18)/2)</f>
        <v>0</v>
      </c>
      <c r="NX18" s="69">
        <f>IF($CX18="P",CL18,(CL18+BH18)/2)</f>
        <v>0</v>
      </c>
      <c r="NY18" s="69">
        <f>IF($CX18="P",CM18,(CM18+BI18)/2)</f>
        <v>0</v>
      </c>
      <c r="NZ18" s="69">
        <f>IF($CX18="P",CN18,(CN18+BJ18)/2)</f>
        <v>0</v>
      </c>
      <c r="OA18" s="69">
        <f>IF($CX18="P",CO18,(CO18+BK18)/2)</f>
        <v>0</v>
      </c>
      <c r="OB18" s="69">
        <f>IF($CX18="P",CP18,(CP18+BL18)/2)</f>
        <v>0</v>
      </c>
      <c r="OC18" s="69">
        <f>IF($CX18="P",CQ18,(CQ18+BM18)/2)</f>
        <v>0</v>
      </c>
      <c r="OD18" s="69">
        <f>IF($CX18="P",CR18,(CR18+BN18)/2)</f>
        <v>0</v>
      </c>
      <c r="OE18" s="69">
        <f>IF($CX18="P",CS18,(CS18+BO18)/2)</f>
        <v>0</v>
      </c>
      <c r="OF18" s="69">
        <f>IF($CX18="P",CT18,(CT18+BP18)/2)</f>
        <v>0</v>
      </c>
      <c r="OG18" s="69">
        <f>IF($CX18="P",CU18,(CU18+BQ18)/2)</f>
        <v>0</v>
      </c>
      <c r="OH18" s="69">
        <f>IF($CX18="P",CV18,(CV18+BR18)/2)</f>
        <v>0</v>
      </c>
      <c r="OI18" s="69">
        <f>IF($CX18="P",CW18,(CW18+BS18)/2)</f>
        <v>0</v>
      </c>
      <c r="OJ18" s="80" t="s">
        <v>91</v>
      </c>
      <c r="OK18" s="11" t="str">
        <f>IF(SUM(NP18:NS18)-NT18&gt;0,SUM(NP18:NS18)-NT18,"")</f>
        <v/>
      </c>
      <c r="OL18" s="11" t="str">
        <f>IF(NW18&gt;0,NW18,"")</f>
        <v/>
      </c>
      <c r="OM18" s="11" t="str">
        <f>IF(SUM(NU18:NX18)-NY18&gt;0,SUM(NU18:NX18)-NY18,"")</f>
        <v/>
      </c>
      <c r="ON18" s="11" t="str">
        <f>IF(OB18&gt;0,OB18,"")</f>
        <v/>
      </c>
      <c r="OO18" s="11" t="str">
        <f>IF(SUM(NZ18:OC18)-OD18&gt;0,SUM(NZ18:OC18)-OD18,"")</f>
        <v/>
      </c>
      <c r="OP18" s="11" t="str">
        <f>IF(OR(OK18&lt;&gt;"",OM18&lt;&gt;"",OO18&lt;&gt;""),OK18+MAX(OM18,OO18),"")</f>
        <v/>
      </c>
      <c r="OQ18" s="11" t="str">
        <f>IF(OG18&gt;0,OG18,"")</f>
        <v/>
      </c>
      <c r="OR18" s="11" t="str">
        <f t="shared" ref="OR18" si="4">IF(SUM(OE18:OH18)-OI18&gt;0,SUM(OE18:OH18)-OI18,"")</f>
        <v/>
      </c>
      <c r="OS18" s="11" t="str">
        <f t="shared" ref="OS18" si="5">IF(SUM(OP18,OR18)&gt;0,SUM(OP18,OR18),"")</f>
        <v/>
      </c>
    </row>
    <row r="19" spans="1:409" x14ac:dyDescent="0.2">
      <c r="B19" s="6"/>
      <c r="D19" s="1"/>
    </row>
    <row r="20" spans="1:409" x14ac:dyDescent="0.2">
      <c r="H20" s="125"/>
      <c r="J20" s="125"/>
    </row>
    <row r="21" spans="1:409" x14ac:dyDescent="0.2">
      <c r="B21" s="70" t="s">
        <v>79</v>
      </c>
      <c r="C21" s="56"/>
      <c r="H21" s="3"/>
      <c r="AR21" s="124"/>
      <c r="AS21" s="124"/>
      <c r="AT21" s="124"/>
      <c r="AW21" s="54"/>
      <c r="AY21" s="64">
        <v>12.2</v>
      </c>
      <c r="BV21" s="124"/>
      <c r="BW21" s="124"/>
      <c r="BX21" s="124"/>
      <c r="CA21" s="54"/>
      <c r="CC21" s="64">
        <v>12.2</v>
      </c>
      <c r="CZ21" s="124"/>
      <c r="DA21" s="124"/>
      <c r="DB21" s="124"/>
      <c r="DE21" s="54"/>
      <c r="DG21" s="64">
        <v>12.2</v>
      </c>
      <c r="EA21" s="56"/>
      <c r="EE21" s="54"/>
      <c r="EG21" s="64">
        <v>12.2</v>
      </c>
      <c r="EW21" s="56"/>
      <c r="FA21" s="54"/>
      <c r="FC21" s="64">
        <v>12.2</v>
      </c>
      <c r="FS21" s="56"/>
      <c r="FW21" s="54"/>
      <c r="FY21" s="64">
        <v>12.2</v>
      </c>
      <c r="GO21" s="56"/>
      <c r="GS21" s="54"/>
      <c r="GU21" s="64">
        <v>12.2</v>
      </c>
      <c r="HK21" s="56"/>
      <c r="HO21" s="54"/>
      <c r="HQ21" s="64">
        <v>12.2</v>
      </c>
      <c r="IG21" s="56"/>
      <c r="IK21" s="54"/>
      <c r="IM21" s="64">
        <v>12.2</v>
      </c>
      <c r="JC21" s="56"/>
      <c r="JG21" s="54"/>
      <c r="JI21" s="64">
        <v>12.2</v>
      </c>
      <c r="JY21" s="56"/>
      <c r="KC21" s="54"/>
      <c r="KE21" s="64">
        <v>12.2</v>
      </c>
      <c r="KU21" s="56"/>
      <c r="KY21" s="54"/>
      <c r="LA21" s="64">
        <v>12.2</v>
      </c>
      <c r="LQ21" s="56"/>
      <c r="LU21" s="54"/>
      <c r="LW21" s="64">
        <v>12.2</v>
      </c>
      <c r="MM21" s="56"/>
      <c r="MQ21" s="54"/>
      <c r="MS21" s="64">
        <v>12.2</v>
      </c>
      <c r="NI21" s="56"/>
      <c r="NM21" s="54"/>
      <c r="NO21" s="64">
        <v>12.2</v>
      </c>
    </row>
    <row r="22" spans="1:409" x14ac:dyDescent="0.2">
      <c r="B22" s="91" t="s">
        <v>78</v>
      </c>
      <c r="C22" s="56"/>
      <c r="AR22" s="124"/>
      <c r="AS22" s="124"/>
      <c r="AT22" s="124"/>
      <c r="AW22" s="54"/>
      <c r="AY22" s="93">
        <v>13.1</v>
      </c>
      <c r="BV22" s="124"/>
      <c r="BW22" s="124"/>
      <c r="BX22" s="124"/>
      <c r="CA22" s="54"/>
      <c r="CC22" s="93">
        <v>13.1</v>
      </c>
      <c r="CZ22" s="124"/>
      <c r="DA22" s="124"/>
      <c r="DB22" s="124"/>
      <c r="DE22" s="54"/>
      <c r="DG22" s="93">
        <v>13.1</v>
      </c>
      <c r="EA22" s="56"/>
      <c r="EE22" s="54"/>
      <c r="EG22" s="93">
        <v>13.1</v>
      </c>
      <c r="EW22" s="56"/>
      <c r="FA22" s="54"/>
      <c r="FC22" s="93">
        <v>13.1</v>
      </c>
      <c r="FS22" s="56"/>
      <c r="FW22" s="54"/>
      <c r="FY22" s="93">
        <v>13.1</v>
      </c>
      <c r="GO22" s="56"/>
      <c r="GS22" s="54"/>
      <c r="GU22" s="93">
        <v>13.1</v>
      </c>
      <c r="HK22" s="56"/>
      <c r="HO22" s="54"/>
      <c r="HQ22" s="93">
        <v>13.1</v>
      </c>
      <c r="IG22" s="56"/>
      <c r="IK22" s="54"/>
      <c r="IM22" s="93">
        <v>13.1</v>
      </c>
      <c r="JC22" s="56"/>
      <c r="JG22" s="54"/>
      <c r="JI22" s="93">
        <v>13.1</v>
      </c>
      <c r="JY22" s="56"/>
      <c r="KC22" s="54"/>
      <c r="KE22" s="93">
        <v>13.1</v>
      </c>
      <c r="KU22" s="56"/>
      <c r="KY22" s="54"/>
      <c r="LA22" s="93">
        <v>13.1</v>
      </c>
      <c r="LQ22" s="56"/>
      <c r="LU22" s="54"/>
      <c r="LW22" s="93">
        <v>13.1</v>
      </c>
      <c r="MM22" s="56"/>
      <c r="MQ22" s="54"/>
      <c r="MS22" s="93">
        <v>13.1</v>
      </c>
      <c r="NI22" s="56"/>
      <c r="NM22" s="54"/>
      <c r="NO22" s="93">
        <v>13.1</v>
      </c>
    </row>
    <row r="23" spans="1:409" x14ac:dyDescent="0.2">
      <c r="A23" s="56"/>
      <c r="B23" s="92" t="s">
        <v>122</v>
      </c>
      <c r="C23" s="56"/>
      <c r="AR23" s="124"/>
      <c r="AS23" s="124"/>
      <c r="AT23" s="124"/>
      <c r="AV23" s="54"/>
      <c r="AW23" s="54"/>
      <c r="AX23" s="54"/>
      <c r="AY23" s="94">
        <v>13.1</v>
      </c>
      <c r="BV23" s="124"/>
      <c r="BW23" s="124"/>
      <c r="BX23" s="124"/>
      <c r="CA23" s="54"/>
      <c r="CC23" s="94">
        <v>13.1</v>
      </c>
      <c r="CZ23" s="124"/>
      <c r="DA23" s="124"/>
      <c r="DB23" s="124"/>
      <c r="DD23" s="54"/>
      <c r="DE23" s="54"/>
      <c r="DF23" s="54"/>
      <c r="DG23" s="94">
        <v>13.1</v>
      </c>
      <c r="EA23" s="56"/>
      <c r="EE23" s="54"/>
      <c r="EG23" s="94">
        <v>13.1</v>
      </c>
      <c r="EW23" s="56"/>
      <c r="FA23" s="54"/>
      <c r="FC23" s="94">
        <v>13.1</v>
      </c>
      <c r="FS23" s="56"/>
      <c r="FW23" s="54"/>
      <c r="FY23" s="94">
        <v>13.1</v>
      </c>
      <c r="GO23" s="56"/>
      <c r="GS23" s="54"/>
      <c r="GU23" s="94">
        <v>13.1</v>
      </c>
      <c r="HK23" s="56"/>
      <c r="HO23" s="54"/>
      <c r="HQ23" s="94">
        <v>13.1</v>
      </c>
      <c r="IG23" s="56"/>
      <c r="IK23" s="54"/>
      <c r="IM23" s="94">
        <v>13.1</v>
      </c>
      <c r="JC23" s="56"/>
      <c r="JG23" s="54"/>
      <c r="JI23" s="94">
        <v>13.1</v>
      </c>
      <c r="JY23" s="56"/>
      <c r="KC23" s="54"/>
      <c r="KE23" s="94">
        <v>13.1</v>
      </c>
      <c r="KU23" s="56"/>
      <c r="KY23" s="54"/>
      <c r="LA23" s="94">
        <v>13.1</v>
      </c>
      <c r="LQ23" s="56"/>
      <c r="LU23" s="54"/>
      <c r="LW23" s="94">
        <v>13.1</v>
      </c>
      <c r="MM23" s="56"/>
      <c r="MQ23" s="54"/>
      <c r="MS23" s="94">
        <v>13.1</v>
      </c>
      <c r="NI23" s="56"/>
      <c r="NM23" s="54"/>
      <c r="NO23" s="94">
        <v>13.1</v>
      </c>
    </row>
    <row r="24" spans="1:409" x14ac:dyDescent="0.2">
      <c r="A24" s="56"/>
      <c r="B24" s="120" t="s">
        <v>188</v>
      </c>
      <c r="C24" s="56"/>
      <c r="AR24" s="124"/>
      <c r="AS24" s="124"/>
      <c r="AT24" s="124"/>
      <c r="AV24" s="54"/>
      <c r="AW24" s="54"/>
      <c r="AX24" s="54"/>
      <c r="AY24" s="121">
        <v>13.1</v>
      </c>
      <c r="BV24" s="124"/>
      <c r="BW24" s="124"/>
      <c r="BX24" s="124"/>
      <c r="CA24" s="54"/>
      <c r="CC24" s="121">
        <v>13.1</v>
      </c>
      <c r="CZ24" s="124"/>
      <c r="DA24" s="124"/>
      <c r="DB24" s="124"/>
      <c r="DD24" s="54"/>
      <c r="DE24" s="54"/>
      <c r="DF24" s="54"/>
      <c r="DG24" s="121">
        <v>13.1</v>
      </c>
      <c r="EA24" s="56"/>
      <c r="EE24" s="54"/>
      <c r="EG24" s="121">
        <v>13.1</v>
      </c>
      <c r="EW24" s="56"/>
      <c r="FA24" s="54"/>
      <c r="FC24" s="121">
        <v>13.1</v>
      </c>
      <c r="FS24" s="56"/>
      <c r="FW24" s="54"/>
      <c r="FY24" s="121">
        <v>13.1</v>
      </c>
      <c r="GO24" s="56"/>
      <c r="GS24" s="54"/>
      <c r="GU24" s="121">
        <v>13.1</v>
      </c>
      <c r="HK24" s="56"/>
      <c r="HO24" s="54"/>
      <c r="HQ24" s="121">
        <v>13.1</v>
      </c>
      <c r="IG24" s="56"/>
      <c r="IK24" s="54"/>
      <c r="IM24" s="121">
        <v>13.1</v>
      </c>
      <c r="JC24" s="56"/>
      <c r="JG24" s="54"/>
      <c r="JI24" s="121">
        <v>13.1</v>
      </c>
      <c r="JY24" s="56"/>
      <c r="KC24" s="54"/>
      <c r="KE24" s="121">
        <v>13.1</v>
      </c>
      <c r="KU24" s="56"/>
      <c r="KY24" s="54"/>
      <c r="LA24" s="121">
        <v>13.1</v>
      </c>
      <c r="LQ24" s="56"/>
      <c r="LU24" s="54"/>
      <c r="LW24" s="121">
        <v>13.1</v>
      </c>
      <c r="MM24" s="56"/>
      <c r="MQ24" s="54"/>
      <c r="MS24" s="121">
        <v>13.1</v>
      </c>
      <c r="NI24" s="56"/>
      <c r="NM24" s="54"/>
      <c r="NO24" s="121">
        <v>13.1</v>
      </c>
    </row>
    <row r="25" spans="1:409" x14ac:dyDescent="0.2">
      <c r="A25" s="56"/>
      <c r="B25" s="118" t="s">
        <v>76</v>
      </c>
      <c r="C25" s="56"/>
      <c r="O25" s="2"/>
      <c r="AR25" s="124"/>
      <c r="AS25" s="124"/>
      <c r="AT25" s="124"/>
      <c r="AV25" s="54"/>
      <c r="AW25" s="54"/>
      <c r="AX25" s="54"/>
      <c r="AY25" s="119">
        <v>96.8</v>
      </c>
      <c r="BV25" s="124"/>
      <c r="BW25" s="124"/>
      <c r="BX25" s="124"/>
      <c r="CA25" s="54"/>
      <c r="CC25" s="119">
        <v>96.8</v>
      </c>
      <c r="CZ25" s="124"/>
      <c r="DA25" s="124"/>
      <c r="DB25" s="124"/>
      <c r="DD25" s="54"/>
      <c r="DE25" s="54"/>
      <c r="DF25" s="54"/>
      <c r="DG25" s="119">
        <v>95.5</v>
      </c>
      <c r="EA25" s="56"/>
      <c r="EE25" s="54"/>
      <c r="EG25" s="119">
        <v>96.8</v>
      </c>
      <c r="EW25" s="56"/>
      <c r="FA25" s="54"/>
      <c r="FC25" s="119">
        <v>96.8</v>
      </c>
      <c r="FS25" s="56"/>
      <c r="FW25" s="54"/>
      <c r="FY25" s="119">
        <v>96.8</v>
      </c>
      <c r="GO25" s="56"/>
      <c r="GS25" s="54"/>
      <c r="GU25" s="119">
        <v>96.8</v>
      </c>
      <c r="HK25" s="56"/>
      <c r="HO25" s="54"/>
      <c r="HQ25" s="119">
        <v>96.8</v>
      </c>
      <c r="IG25" s="56"/>
      <c r="IK25" s="54"/>
      <c r="IM25" s="119">
        <v>96.8</v>
      </c>
      <c r="JC25" s="56"/>
      <c r="JG25" s="54"/>
      <c r="JI25" s="119">
        <v>95.5</v>
      </c>
      <c r="JY25" s="56"/>
      <c r="KC25" s="54"/>
      <c r="KE25" s="119">
        <v>95.5</v>
      </c>
      <c r="KU25" s="56"/>
      <c r="KY25" s="54"/>
      <c r="LA25" s="119">
        <v>95.5</v>
      </c>
      <c r="LQ25" s="56"/>
      <c r="LU25" s="54"/>
      <c r="LW25" s="119">
        <v>95.5</v>
      </c>
      <c r="MM25" s="56"/>
      <c r="MQ25" s="54"/>
      <c r="MS25" s="119">
        <v>95.5</v>
      </c>
      <c r="NI25" s="56"/>
      <c r="NM25" s="54"/>
      <c r="NO25" s="119">
        <v>95.5</v>
      </c>
    </row>
    <row r="26" spans="1:409" x14ac:dyDescent="0.2">
      <c r="A26" s="56"/>
      <c r="B26" s="72" t="s">
        <v>77</v>
      </c>
      <c r="C26" s="56"/>
      <c r="O26" s="2"/>
      <c r="AR26" s="124"/>
      <c r="AS26" s="124"/>
      <c r="AT26" s="124"/>
      <c r="AV26" s="54"/>
      <c r="AW26" s="54"/>
      <c r="AX26" s="54"/>
      <c r="AY26" s="66">
        <v>98.8</v>
      </c>
      <c r="BV26" s="124"/>
      <c r="BW26" s="124"/>
      <c r="BX26" s="124"/>
      <c r="CA26" s="54"/>
      <c r="CC26" s="66">
        <v>98.8</v>
      </c>
      <c r="CZ26" s="124"/>
      <c r="DA26" s="124"/>
      <c r="DB26" s="124"/>
      <c r="DD26" s="54"/>
      <c r="DE26" s="54"/>
      <c r="DF26" s="54"/>
      <c r="DG26" s="66">
        <v>97.5</v>
      </c>
      <c r="EA26" s="56"/>
      <c r="EE26" s="54"/>
      <c r="EG26" s="66">
        <v>98.8</v>
      </c>
      <c r="EW26" s="56"/>
      <c r="FA26" s="54"/>
      <c r="FC26" s="66">
        <v>98.8</v>
      </c>
      <c r="FS26" s="56"/>
      <c r="FW26" s="54"/>
      <c r="FY26" s="66">
        <v>98.8</v>
      </c>
      <c r="GO26" s="56"/>
      <c r="GS26" s="54"/>
      <c r="GU26" s="66">
        <v>98.8</v>
      </c>
      <c r="HK26" s="56"/>
      <c r="HO26" s="54"/>
      <c r="HQ26" s="66">
        <v>98.8</v>
      </c>
      <c r="IG26" s="56"/>
      <c r="IK26" s="54"/>
      <c r="IM26" s="66">
        <v>98.8</v>
      </c>
      <c r="JC26" s="56"/>
      <c r="JG26" s="54"/>
      <c r="JI26" s="66">
        <v>97.5</v>
      </c>
      <c r="JY26" s="56"/>
      <c r="KC26" s="54"/>
      <c r="KE26" s="66">
        <v>97.5</v>
      </c>
      <c r="KU26" s="56"/>
      <c r="KY26" s="54"/>
      <c r="LA26" s="66">
        <v>97.5</v>
      </c>
      <c r="LQ26" s="56"/>
      <c r="LU26" s="54"/>
      <c r="LW26" s="66">
        <v>97.5</v>
      </c>
      <c r="MM26" s="56"/>
      <c r="MQ26" s="54"/>
      <c r="MS26" s="66">
        <v>97.5</v>
      </c>
      <c r="NI26" s="56"/>
      <c r="NM26" s="54"/>
      <c r="NO26" s="66">
        <v>97.5</v>
      </c>
    </row>
    <row r="27" spans="1:409" x14ac:dyDescent="0.2">
      <c r="A27" s="56"/>
      <c r="B27" s="116" t="s">
        <v>117</v>
      </c>
      <c r="C27" s="56"/>
      <c r="AR27" s="124"/>
      <c r="AS27" s="124"/>
      <c r="AT27" s="124"/>
      <c r="AV27" s="54"/>
      <c r="AW27" s="54"/>
      <c r="AX27" s="130" t="s">
        <v>196</v>
      </c>
      <c r="AY27" s="117">
        <v>54</v>
      </c>
      <c r="BV27" s="124"/>
      <c r="BW27" s="124"/>
      <c r="BX27" s="124"/>
      <c r="CA27" s="54"/>
      <c r="CB27" s="129" t="s">
        <v>196</v>
      </c>
      <c r="CC27" s="117">
        <v>54</v>
      </c>
      <c r="CZ27" s="124"/>
      <c r="DA27" s="124"/>
      <c r="DB27" s="124"/>
      <c r="DD27" s="54"/>
      <c r="DE27" s="54"/>
      <c r="DF27" s="54"/>
      <c r="DG27" s="117">
        <v>53</v>
      </c>
      <c r="EA27" s="56"/>
      <c r="EE27" s="54"/>
      <c r="EG27" s="117">
        <v>101</v>
      </c>
      <c r="EW27" s="56"/>
      <c r="FA27" s="54"/>
      <c r="FC27" s="117">
        <v>101</v>
      </c>
      <c r="FS27" s="56"/>
      <c r="FW27" s="54"/>
      <c r="FX27" t="s">
        <v>196</v>
      </c>
      <c r="FY27" s="117">
        <v>54</v>
      </c>
      <c r="GO27" s="56"/>
      <c r="GS27" s="54"/>
      <c r="GT27" s="129"/>
      <c r="GU27" s="117">
        <v>101</v>
      </c>
      <c r="HK27" s="56"/>
      <c r="HO27" s="54"/>
      <c r="HP27" s="129"/>
      <c r="HQ27" s="117">
        <v>101</v>
      </c>
      <c r="IG27" s="56"/>
      <c r="IK27" s="54"/>
      <c r="IL27" t="s">
        <v>196</v>
      </c>
      <c r="IM27" s="117">
        <v>53.8</v>
      </c>
      <c r="JC27" s="56"/>
      <c r="JG27" s="54"/>
      <c r="JI27" s="117">
        <v>53</v>
      </c>
      <c r="JY27" s="56"/>
      <c r="KC27" s="54"/>
      <c r="KD27" s="131"/>
      <c r="KE27" s="117">
        <v>53</v>
      </c>
      <c r="KU27" s="56"/>
      <c r="KY27" s="54"/>
      <c r="LA27" s="117">
        <v>53</v>
      </c>
      <c r="LQ27" s="56"/>
      <c r="LU27" s="54"/>
      <c r="LW27" s="117">
        <v>53</v>
      </c>
      <c r="MM27" s="56"/>
      <c r="MQ27" s="54"/>
      <c r="MR27" s="131"/>
      <c r="MS27" s="117">
        <v>53</v>
      </c>
      <c r="NI27" s="56"/>
      <c r="NM27" s="54"/>
      <c r="NO27" s="117">
        <v>53</v>
      </c>
    </row>
    <row r="28" spans="1:409" x14ac:dyDescent="0.2">
      <c r="A28" s="56"/>
      <c r="B28" s="74" t="s">
        <v>58</v>
      </c>
      <c r="C28" s="56"/>
      <c r="O28" s="2"/>
      <c r="AR28" s="124"/>
      <c r="AS28" s="124"/>
      <c r="AT28" s="124"/>
      <c r="AV28" s="54"/>
      <c r="AW28" s="54"/>
      <c r="AX28" s="54"/>
      <c r="AY28" s="68">
        <v>55</v>
      </c>
      <c r="BV28" s="124"/>
      <c r="BW28" s="124"/>
      <c r="BX28" s="124"/>
      <c r="CA28" s="54"/>
      <c r="CC28" s="68">
        <v>55</v>
      </c>
      <c r="CZ28" s="124"/>
      <c r="DA28" s="124"/>
      <c r="DB28" s="124"/>
      <c r="DD28" s="54"/>
      <c r="DE28" s="54"/>
      <c r="DF28" s="54"/>
      <c r="DG28" s="68">
        <v>54.5</v>
      </c>
      <c r="EA28" s="56"/>
      <c r="EE28" s="54"/>
      <c r="EG28" s="68">
        <v>55</v>
      </c>
      <c r="EW28" s="56"/>
      <c r="FA28" s="54"/>
      <c r="FC28" s="68">
        <v>55</v>
      </c>
      <c r="FS28" s="56"/>
      <c r="FW28" s="54"/>
      <c r="FY28" s="68">
        <v>55</v>
      </c>
      <c r="GO28" s="56"/>
      <c r="GS28" s="54"/>
      <c r="GT28" s="129"/>
      <c r="GU28" s="68">
        <v>55</v>
      </c>
      <c r="HK28" s="56"/>
      <c r="HO28" s="54"/>
      <c r="HQ28" s="68">
        <v>55</v>
      </c>
      <c r="IG28" s="56"/>
      <c r="IK28" s="54"/>
      <c r="IM28" s="68">
        <v>55</v>
      </c>
      <c r="JC28" s="56"/>
      <c r="JG28" s="54"/>
      <c r="JI28" s="68">
        <v>54.5</v>
      </c>
      <c r="JY28" s="56"/>
      <c r="KC28" s="54"/>
      <c r="KE28" s="68">
        <v>54.5</v>
      </c>
      <c r="KU28" s="56"/>
      <c r="KY28" s="54"/>
      <c r="LA28" s="68">
        <v>54.5</v>
      </c>
      <c r="LQ28" s="56"/>
      <c r="LU28" s="54"/>
      <c r="LW28" s="68">
        <v>54.5</v>
      </c>
      <c r="MM28" s="56"/>
      <c r="MQ28" s="54"/>
      <c r="MS28" s="68">
        <v>54.5</v>
      </c>
      <c r="NI28" s="56"/>
      <c r="NM28" s="54"/>
      <c r="NO28" s="68">
        <v>54.5</v>
      </c>
    </row>
    <row r="29" spans="1:409" x14ac:dyDescent="0.2">
      <c r="B29" s="82" t="s">
        <v>92</v>
      </c>
      <c r="C29" s="2"/>
      <c r="AU29" s="54"/>
      <c r="AV29" s="54"/>
      <c r="AX29" s="54"/>
      <c r="DC29" s="54"/>
      <c r="DD29" s="54"/>
      <c r="DF29" s="54"/>
      <c r="EX29" s="54"/>
    </row>
    <row r="30" spans="1:409" x14ac:dyDescent="0.2">
      <c r="A30" s="56"/>
      <c r="B30" s="56"/>
      <c r="C30" s="55"/>
      <c r="AQ30" s="54"/>
      <c r="AR30" s="54"/>
      <c r="AS30" s="54"/>
      <c r="AT30" s="54"/>
      <c r="AU30" s="54"/>
      <c r="AV30" s="54"/>
      <c r="AX30" s="54"/>
      <c r="CY30" s="54"/>
      <c r="CZ30" s="54"/>
      <c r="DA30" s="54"/>
      <c r="DB30" s="54"/>
      <c r="DC30" s="54"/>
      <c r="DD30" s="54"/>
      <c r="DF30" s="54"/>
    </row>
    <row r="31" spans="1:409" ht="17" x14ac:dyDescent="0.2">
      <c r="A31" s="56"/>
      <c r="B31" s="56"/>
      <c r="C31" s="55"/>
      <c r="S31" s="19"/>
      <c r="T31" s="19"/>
      <c r="AQ31" s="54"/>
      <c r="AR31" s="54"/>
      <c r="AS31" s="54"/>
      <c r="AT31" s="54"/>
      <c r="AU31" s="54"/>
      <c r="AV31" s="54"/>
      <c r="AX31" s="54"/>
      <c r="CY31" s="54"/>
      <c r="CZ31" s="54"/>
      <c r="DA31" s="54"/>
      <c r="DB31" s="54"/>
      <c r="DC31" s="54"/>
      <c r="DD31" s="54"/>
      <c r="DF31" s="54"/>
    </row>
    <row r="32" spans="1:409" ht="17" x14ac:dyDescent="0.2">
      <c r="A32" s="56"/>
      <c r="B32" s="56"/>
      <c r="C32" s="55"/>
      <c r="S32" s="19"/>
      <c r="AQ32" s="54"/>
      <c r="AR32" s="54"/>
      <c r="AS32" s="54"/>
      <c r="AT32" s="54"/>
      <c r="AU32" s="54"/>
      <c r="AV32" s="54"/>
      <c r="AX32" s="54"/>
      <c r="CY32" s="54"/>
      <c r="CZ32" s="54"/>
      <c r="DA32" s="54"/>
      <c r="DB32" s="54"/>
      <c r="DC32" s="54"/>
      <c r="DD32" s="54"/>
      <c r="DF32" s="54"/>
    </row>
    <row r="33" spans="19:110" ht="17" x14ac:dyDescent="0.2">
      <c r="S33" s="19"/>
      <c r="T33" s="19"/>
      <c r="AQ33" s="54"/>
      <c r="AR33" s="54"/>
      <c r="AS33" s="54"/>
      <c r="AT33" s="54"/>
      <c r="AU33" s="54"/>
      <c r="AV33" s="54"/>
      <c r="AX33" s="54"/>
      <c r="CY33" s="54"/>
      <c r="CZ33" s="54"/>
      <c r="DA33" s="54"/>
      <c r="DB33" s="54"/>
      <c r="DC33" s="54"/>
      <c r="DD33" s="54"/>
      <c r="DF33" s="54"/>
    </row>
    <row r="34" spans="19:110" ht="17" x14ac:dyDescent="0.2">
      <c r="S34" s="19"/>
      <c r="T34" s="19"/>
      <c r="AQ34" s="54"/>
      <c r="AR34" s="54"/>
      <c r="AS34" s="54"/>
      <c r="AT34" s="54"/>
      <c r="AU34" s="54"/>
      <c r="AV34" s="54"/>
      <c r="AX34" s="54"/>
      <c r="CY34" s="54"/>
      <c r="CZ34" s="54"/>
      <c r="DA34" s="54"/>
      <c r="DB34" s="54"/>
      <c r="DC34" s="54"/>
      <c r="DD34" s="54"/>
      <c r="DF34" s="54"/>
    </row>
    <row r="35" spans="19:110" ht="17" x14ac:dyDescent="0.2">
      <c r="S35" s="19"/>
      <c r="T35" s="19"/>
      <c r="AQ35" s="54"/>
      <c r="AR35" s="54"/>
      <c r="AS35" s="54"/>
      <c r="AT35" s="54"/>
      <c r="AU35" s="54"/>
      <c r="AV35" s="54"/>
      <c r="AX35" s="54"/>
      <c r="CY35" s="54"/>
      <c r="CZ35" s="54"/>
      <c r="DA35" s="54"/>
      <c r="DB35" s="54"/>
      <c r="DC35" s="54"/>
      <c r="DD35" s="54"/>
      <c r="DF35" s="54"/>
    </row>
    <row r="36" spans="19:110" ht="17" x14ac:dyDescent="0.2">
      <c r="S36" s="19"/>
      <c r="T36" s="19"/>
      <c r="U36" s="19"/>
    </row>
    <row r="37" spans="19:110" ht="17" x14ac:dyDescent="0.2">
      <c r="S37" s="19"/>
      <c r="T37" s="19"/>
      <c r="U37" s="19"/>
    </row>
    <row r="38" spans="19:110" ht="17" x14ac:dyDescent="0.2">
      <c r="S38" s="19"/>
      <c r="T38" s="19"/>
      <c r="U38" s="19"/>
    </row>
    <row r="39" spans="19:110" ht="17" x14ac:dyDescent="0.2">
      <c r="S39" s="19"/>
      <c r="T39" s="19"/>
      <c r="U39" s="19"/>
    </row>
    <row r="40" spans="19:110" ht="17" x14ac:dyDescent="0.2">
      <c r="S40" s="19"/>
      <c r="T40" s="19"/>
      <c r="U40" s="19"/>
    </row>
    <row r="41" spans="19:110" ht="17" x14ac:dyDescent="0.2">
      <c r="S41" s="19"/>
      <c r="T41" s="19"/>
      <c r="U41" s="19"/>
    </row>
    <row r="42" spans="19:110" ht="17" x14ac:dyDescent="0.2">
      <c r="S42" s="19"/>
      <c r="T42" s="19"/>
      <c r="U42" s="19"/>
    </row>
    <row r="43" spans="19:110" ht="17" x14ac:dyDescent="0.2">
      <c r="S43" s="19"/>
      <c r="T43" s="19"/>
      <c r="U43" s="19"/>
    </row>
    <row r="44" spans="19:110" ht="17" x14ac:dyDescent="0.2">
      <c r="S44" s="19"/>
      <c r="T44" s="19"/>
      <c r="U44" s="19"/>
    </row>
    <row r="45" spans="19:110" ht="17" x14ac:dyDescent="0.2">
      <c r="S45" s="19"/>
      <c r="T45" s="19"/>
      <c r="U45" s="19"/>
    </row>
    <row r="46" spans="19:110" ht="17" x14ac:dyDescent="0.2">
      <c r="S46" s="19"/>
      <c r="T46" s="19"/>
      <c r="U46" s="19"/>
    </row>
    <row r="47" spans="19:110" ht="17" x14ac:dyDescent="0.2">
      <c r="S47" s="19"/>
      <c r="T47" s="19"/>
      <c r="U47" s="19"/>
    </row>
    <row r="48" spans="19:110" ht="17" x14ac:dyDescent="0.2">
      <c r="S48" s="19"/>
      <c r="T48" s="19"/>
      <c r="U48" s="19"/>
    </row>
    <row r="49" spans="19:21" ht="17" x14ac:dyDescent="0.2">
      <c r="S49" s="19"/>
      <c r="T49" s="19"/>
      <c r="U49" s="19"/>
    </row>
    <row r="50" spans="19:21" ht="17" x14ac:dyDescent="0.2">
      <c r="S50" s="19"/>
      <c r="T50" s="19"/>
      <c r="U50" s="19"/>
    </row>
  </sheetData>
  <sheetProtection sheet="1" formatCells="0" formatColumns="0" formatRows="0"/>
  <autoFilter ref="A1:OQ16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18">
      <sortCondition descending="1" ref="F1:F19"/>
    </sortState>
  </autoFilter>
  <mergeCells count="90"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T1:NO1"/>
    <mergeCell ref="DL1:EG1"/>
    <mergeCell ref="EH1:FC1"/>
    <mergeCell ref="FD1:FY1"/>
    <mergeCell ref="FZ1:GU1"/>
    <mergeCell ref="GV1:HQ1"/>
    <mergeCell ref="HR1:IM1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DL2:DP2"/>
    <mergeCell ref="DQ2:DU2"/>
    <mergeCell ref="DV2:DZ2"/>
    <mergeCell ref="EH2:EL2"/>
    <mergeCell ref="EM2:EQ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</mergeCells>
  <conditionalFormatting sqref="I1:I1048576">
    <cfRule type="containsText" dxfId="173" priority="10" operator="containsText" text="No DD">
      <formula>NOT(ISERROR(SEARCH("No DD",I1)))</formula>
    </cfRule>
    <cfRule type="containsText" dxfId="172" priority="11" operator="containsText" text="Merit">
      <formula>NOT(ISERROR(SEARCH("Merit",I1)))</formula>
    </cfRule>
    <cfRule type="containsText" dxfId="171" priority="12" operator="containsText" text="Excellence">
      <formula>NOT(ISERROR(SEARCH("Excellence",I1)))</formula>
    </cfRule>
    <cfRule type="containsText" dxfId="170" priority="13" operator="containsText" text="Worlds Team">
      <formula>NOT(ISERROR(SEARCH("Worlds Team",I1)))</formula>
    </cfRule>
    <cfRule type="containsText" dxfId="169" priority="14" operator="containsText" text="National Team">
      <formula>NOT(ISERROR(SEARCH("National Team",I1)))</formula>
    </cfRule>
  </conditionalFormatting>
  <conditionalFormatting sqref="V4:AY18">
    <cfRule type="expression" dxfId="168" priority="7" stopIfTrue="1">
      <formula>IF($AP4&lt;&gt;"",1,0)</formula>
    </cfRule>
  </conditionalFormatting>
  <conditionalFormatting sqref="AZ4:CC18">
    <cfRule type="expression" dxfId="167" priority="8" stopIfTrue="1">
      <formula>IF($BT4&lt;&gt;"",1,0)</formula>
    </cfRule>
  </conditionalFormatting>
  <conditionalFormatting sqref="N1:N1048576 R1:R1048576 L1:L1048576 P1:P1048576">
    <cfRule type="expression" dxfId="166" priority="15">
      <formula>IF(L1=$CD$1,1,0)</formula>
    </cfRule>
    <cfRule type="expression" dxfId="165" priority="16">
      <formula>IF(L1=$AZ$1,1,0)</formula>
    </cfRule>
    <cfRule type="expression" dxfId="164" priority="17">
      <formula>IF(L1=$V$1,1,0)</formula>
    </cfRule>
  </conditionalFormatting>
  <conditionalFormatting sqref="A1:A1048576">
    <cfRule type="expression" dxfId="163" priority="42">
      <formula>AND(H1&lt;&gt;"",G1="")</formula>
    </cfRule>
  </conditionalFormatting>
  <conditionalFormatting sqref="CD4:DG18">
    <cfRule type="expression" dxfId="162" priority="9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61" priority="37398" operator="between">
      <formula>AY$28</formula>
      <formula>1000</formula>
    </cfRule>
    <cfRule type="cellIs" dxfId="160" priority="37399" operator="between">
      <formula>AY$27</formula>
      <formula>AY$28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59" priority="37488" operator="between">
      <formula>AY$26</formula>
      <formula>1000</formula>
    </cfRule>
    <cfRule type="cellIs" dxfId="158" priority="37489" operator="between">
      <formula>AY$25</formula>
      <formula>AY$26</formula>
    </cfRule>
  </conditionalFormatting>
  <conditionalFormatting sqref="GT29:GT1048576 HP28:HP1048576 KD28:KD1048576 MR28:MR1048576 AX1:AX1048576 CB1:CB1048576 DF1:DF1048576 EF1:EF1048576 FB1:FB1048576 FX1:FX1048576 GT1:GT26 HP1:HP26 IL1:IL1048576 JH1:JH1048576 KD1:KD26 KZ1:KZ1048576 LV1:LV1048576 MR1:MR26 NN1:NN1048576">
    <cfRule type="cellIs" dxfId="157" priority="37578" operator="between">
      <formula>AY$28</formula>
      <formula>1000</formula>
    </cfRule>
    <cfRule type="cellIs" dxfId="156" priority="37579" operator="between">
      <formula>AY$27</formula>
      <formula>AY$28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55" priority="37668" operator="between">
      <formula>EG$24</formula>
      <formula>1000</formula>
    </cfRule>
    <cfRule type="cellIs" dxfId="154" priority="37669" operator="between">
      <formula>EG$23</formula>
      <formula>EG$24</formula>
    </cfRule>
    <cfRule type="cellIs" dxfId="153" priority="37670" operator="between">
      <formula>EG$22</formula>
      <formula>EG$23</formula>
    </cfRule>
    <cfRule type="cellIs" dxfId="152" priority="37671" operator="between">
      <formula>EG$21</formula>
      <formula>EG$22</formula>
    </cfRule>
  </conditionalFormatting>
  <conditionalFormatting sqref="AR1:AR1048576 BV1:BV1048576 CZ1:CZ1048576">
    <cfRule type="cellIs" dxfId="151" priority="37816" operator="between">
      <formula>AY$24</formula>
      <formula>1000</formula>
    </cfRule>
    <cfRule type="cellIs" dxfId="150" priority="37817" operator="between">
      <formula>AY$23</formula>
      <formula>AY$24</formula>
    </cfRule>
    <cfRule type="cellIs" dxfId="149" priority="37818" operator="between">
      <formula>AY$22</formula>
      <formula>AY$23</formula>
    </cfRule>
    <cfRule type="cellIs" dxfId="148" priority="37819" operator="between">
      <formula>AY$21</formula>
      <formula>AY$22</formula>
    </cfRule>
  </conditionalFormatting>
  <conditionalFormatting sqref="AS1:AS1048576 BW1:BW1048576 DA1:DA1048576">
    <cfRule type="cellIs" dxfId="147" priority="37852" operator="between">
      <formula>AY$28</formula>
      <formula>1000</formula>
    </cfRule>
    <cfRule type="cellIs" dxfId="146" priority="37853" operator="between">
      <formula>AY$27</formula>
      <formula>AY$28</formula>
    </cfRule>
  </conditionalFormatting>
  <conditionalFormatting sqref="AT1:AT1048576 BX1:BX1048576 DB1:DB1048576">
    <cfRule type="cellIs" dxfId="145" priority="37870" operator="between">
      <formula>AY$24</formula>
      <formula>1000</formula>
    </cfRule>
    <cfRule type="cellIs" dxfId="144" priority="37871" operator="between">
      <formula>AY$23</formula>
      <formula>AY$24</formula>
    </cfRule>
    <cfRule type="cellIs" dxfId="143" priority="37872" operator="between">
      <formula>AY$22</formula>
      <formula>AY$23</formula>
    </cfRule>
    <cfRule type="cellIs" dxfId="142" priority="37873" operator="between">
      <formula>AY$21</formula>
      <formula>AY$22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41" priority="37906" operator="between">
      <formula>AY$24</formula>
      <formula>1000</formula>
    </cfRule>
    <cfRule type="cellIs" dxfId="140" priority="37907" operator="between">
      <formula>AY$23</formula>
      <formula>AY$24</formula>
    </cfRule>
    <cfRule type="cellIs" dxfId="139" priority="37908" operator="between">
      <formula>AY$22</formula>
      <formula>AY$23</formula>
    </cfRule>
    <cfRule type="cellIs" dxfId="138" priority="37909" operator="between">
      <formula>AY$21</formula>
      <formula>AY$22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Q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131" width="10.83203125" hidden="1" customWidth="1"/>
    <col min="132" max="138" width="10.83203125" customWidth="1"/>
    <col min="139" max="153" width="10.83203125" hidden="1" customWidth="1"/>
    <col min="154" max="160" width="10.83203125" customWidth="1"/>
    <col min="161" max="381" width="10.83203125" hidden="1" customWidth="1"/>
  </cols>
  <sheetData>
    <row r="1" spans="1:381" x14ac:dyDescent="0.2">
      <c r="A1" s="136" t="s">
        <v>1</v>
      </c>
      <c r="B1" s="136" t="s">
        <v>41</v>
      </c>
      <c r="C1" s="136" t="s">
        <v>0</v>
      </c>
      <c r="D1" s="136" t="s">
        <v>93</v>
      </c>
      <c r="E1" s="136" t="s">
        <v>2</v>
      </c>
      <c r="F1" s="136" t="s">
        <v>199</v>
      </c>
      <c r="G1" s="136" t="s">
        <v>194</v>
      </c>
      <c r="H1" s="136" t="s">
        <v>195</v>
      </c>
      <c r="I1" s="136" t="s">
        <v>16</v>
      </c>
      <c r="J1" s="136" t="s">
        <v>210</v>
      </c>
      <c r="K1" s="141" t="s">
        <v>17</v>
      </c>
      <c r="L1" s="141" t="s">
        <v>56</v>
      </c>
      <c r="M1" s="141" t="s">
        <v>18</v>
      </c>
      <c r="N1" s="141" t="s">
        <v>56</v>
      </c>
      <c r="O1" s="141" t="s">
        <v>19</v>
      </c>
      <c r="P1" s="141" t="s">
        <v>56</v>
      </c>
      <c r="Q1" s="141" t="s">
        <v>20</v>
      </c>
      <c r="R1" s="141" t="s">
        <v>56</v>
      </c>
      <c r="S1" s="140" t="s">
        <v>21</v>
      </c>
      <c r="T1" s="141" t="s">
        <v>57</v>
      </c>
      <c r="U1" s="141" t="s">
        <v>56</v>
      </c>
      <c r="V1" s="137" t="s">
        <v>126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9" t="s">
        <v>142</v>
      </c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7" t="s">
        <v>187</v>
      </c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42" t="s">
        <v>21</v>
      </c>
      <c r="CN1" s="142"/>
      <c r="CO1" s="142"/>
      <c r="CP1" s="142"/>
      <c r="CQ1" s="137" t="s">
        <v>163</v>
      </c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9" t="s">
        <v>168</v>
      </c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7" t="s">
        <v>173</v>
      </c>
      <c r="EJ1" s="137"/>
      <c r="EK1" s="137"/>
      <c r="EL1" s="137"/>
      <c r="EM1" s="137"/>
      <c r="EN1" s="137"/>
      <c r="EO1" s="137"/>
      <c r="EP1" s="137"/>
      <c r="EQ1" s="137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7"/>
      <c r="GB1" s="137"/>
      <c r="GC1" s="137"/>
      <c r="GD1" s="137"/>
      <c r="GE1" s="137"/>
      <c r="GF1" s="137"/>
      <c r="GG1" s="137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7"/>
      <c r="HT1" s="137"/>
      <c r="HU1" s="137"/>
      <c r="HV1" s="137"/>
      <c r="HW1" s="137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7"/>
      <c r="JL1" s="137"/>
      <c r="JM1" s="137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7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7" t="s">
        <v>123</v>
      </c>
      <c r="MV1" s="137"/>
      <c r="MW1" s="137"/>
      <c r="MX1" s="137"/>
      <c r="MY1" s="137"/>
      <c r="MZ1" s="137"/>
      <c r="NA1" s="137"/>
      <c r="NB1" s="137"/>
      <c r="NC1" s="137"/>
      <c r="ND1" s="137"/>
      <c r="NE1" s="137"/>
      <c r="NF1" s="137"/>
      <c r="NG1" s="137"/>
      <c r="NH1" s="137"/>
      <c r="NI1" s="137"/>
      <c r="NJ1" s="137"/>
      <c r="NK1" s="137"/>
      <c r="NL1" s="137"/>
      <c r="NM1" s="137"/>
      <c r="NN1" s="137"/>
      <c r="NO1" s="137"/>
      <c r="NP1" s="137"/>
      <c r="NQ1" s="137"/>
    </row>
    <row r="2" spans="1:381" x14ac:dyDescent="0.2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41"/>
      <c r="L2" s="141"/>
      <c r="M2" s="141"/>
      <c r="N2" s="141"/>
      <c r="O2" s="141"/>
      <c r="P2" s="141"/>
      <c r="Q2" s="141"/>
      <c r="R2" s="141"/>
      <c r="S2" s="140"/>
      <c r="T2" s="141"/>
      <c r="U2" s="141"/>
      <c r="V2" s="135" t="s">
        <v>26</v>
      </c>
      <c r="W2" s="135"/>
      <c r="X2" s="135"/>
      <c r="Y2" s="135"/>
      <c r="Z2" s="135"/>
      <c r="AA2" s="135" t="s">
        <v>27</v>
      </c>
      <c r="AB2" s="135"/>
      <c r="AC2" s="135"/>
      <c r="AD2" s="135"/>
      <c r="AE2" s="135"/>
      <c r="AF2" s="135" t="s">
        <v>30</v>
      </c>
      <c r="AG2" s="135"/>
      <c r="AH2" s="135"/>
      <c r="AI2" s="135"/>
      <c r="AJ2" s="135"/>
      <c r="AK2" s="78"/>
      <c r="AL2" s="58" t="s">
        <v>114</v>
      </c>
      <c r="AM2" s="9" t="s">
        <v>28</v>
      </c>
      <c r="AN2" s="9" t="s">
        <v>29</v>
      </c>
      <c r="AO2" s="9" t="s">
        <v>31</v>
      </c>
      <c r="AP2" s="9" t="s">
        <v>139</v>
      </c>
      <c r="AQ2" s="9" t="s">
        <v>30</v>
      </c>
      <c r="AR2" s="9" t="s">
        <v>25</v>
      </c>
      <c r="AS2" s="138" t="s">
        <v>26</v>
      </c>
      <c r="AT2" s="138"/>
      <c r="AU2" s="138"/>
      <c r="AV2" s="138"/>
      <c r="AW2" s="138"/>
      <c r="AX2" s="138" t="s">
        <v>27</v>
      </c>
      <c r="AY2" s="138"/>
      <c r="AZ2" s="138"/>
      <c r="BA2" s="138"/>
      <c r="BB2" s="138"/>
      <c r="BC2" s="138" t="s">
        <v>30</v>
      </c>
      <c r="BD2" s="138"/>
      <c r="BE2" s="138"/>
      <c r="BF2" s="138"/>
      <c r="BG2" s="138"/>
      <c r="BH2" s="79"/>
      <c r="BI2" s="57" t="s">
        <v>114</v>
      </c>
      <c r="BJ2" s="12" t="s">
        <v>28</v>
      </c>
      <c r="BK2" s="12" t="s">
        <v>29</v>
      </c>
      <c r="BL2" s="12" t="s">
        <v>31</v>
      </c>
      <c r="BM2" s="12" t="s">
        <v>139</v>
      </c>
      <c r="BN2" s="12" t="s">
        <v>30</v>
      </c>
      <c r="BO2" s="12" t="s">
        <v>25</v>
      </c>
      <c r="BP2" s="135" t="s">
        <v>26</v>
      </c>
      <c r="BQ2" s="135"/>
      <c r="BR2" s="135"/>
      <c r="BS2" s="135"/>
      <c r="BT2" s="135"/>
      <c r="BU2" s="135" t="s">
        <v>27</v>
      </c>
      <c r="BV2" s="135"/>
      <c r="BW2" s="135"/>
      <c r="BX2" s="135"/>
      <c r="BY2" s="135"/>
      <c r="BZ2" s="135" t="s">
        <v>30</v>
      </c>
      <c r="CA2" s="135"/>
      <c r="CB2" s="135"/>
      <c r="CC2" s="135"/>
      <c r="CD2" s="135"/>
      <c r="CE2" s="109"/>
      <c r="CF2" s="109" t="s">
        <v>114</v>
      </c>
      <c r="CG2" s="9" t="s">
        <v>28</v>
      </c>
      <c r="CH2" s="9" t="s">
        <v>29</v>
      </c>
      <c r="CI2" s="9" t="s">
        <v>31</v>
      </c>
      <c r="CJ2" s="9" t="s">
        <v>139</v>
      </c>
      <c r="CK2" s="9" t="s">
        <v>30</v>
      </c>
      <c r="CL2" s="9" t="s">
        <v>25</v>
      </c>
      <c r="CM2" s="22" t="s">
        <v>28</v>
      </c>
      <c r="CN2" s="22" t="s">
        <v>29</v>
      </c>
      <c r="CO2" s="22" t="s">
        <v>31</v>
      </c>
      <c r="CP2" s="22" t="s">
        <v>30</v>
      </c>
      <c r="CQ2" s="135" t="s">
        <v>26</v>
      </c>
      <c r="CR2" s="135"/>
      <c r="CS2" s="135"/>
      <c r="CT2" s="135"/>
      <c r="CU2" s="135"/>
      <c r="CV2" s="135" t="s">
        <v>27</v>
      </c>
      <c r="CW2" s="135"/>
      <c r="CX2" s="135"/>
      <c r="CY2" s="135"/>
      <c r="CZ2" s="135"/>
      <c r="DA2" s="135" t="s">
        <v>30</v>
      </c>
      <c r="DB2" s="135"/>
      <c r="DC2" s="135"/>
      <c r="DD2" s="135"/>
      <c r="DE2" s="135"/>
      <c r="DF2" s="18" t="s">
        <v>114</v>
      </c>
      <c r="DG2" s="9" t="s">
        <v>28</v>
      </c>
      <c r="DH2" s="9" t="s">
        <v>29</v>
      </c>
      <c r="DI2" s="9" t="s">
        <v>31</v>
      </c>
      <c r="DJ2" s="9" t="s">
        <v>139</v>
      </c>
      <c r="DK2" s="9" t="s">
        <v>30</v>
      </c>
      <c r="DL2" s="9" t="s">
        <v>25</v>
      </c>
      <c r="DM2" s="138" t="s">
        <v>26</v>
      </c>
      <c r="DN2" s="138"/>
      <c r="DO2" s="138"/>
      <c r="DP2" s="138"/>
      <c r="DQ2" s="138"/>
      <c r="DR2" s="138" t="s">
        <v>27</v>
      </c>
      <c r="DS2" s="138"/>
      <c r="DT2" s="138"/>
      <c r="DU2" s="138"/>
      <c r="DV2" s="138"/>
      <c r="DW2" s="138" t="s">
        <v>30</v>
      </c>
      <c r="DX2" s="138"/>
      <c r="DY2" s="138"/>
      <c r="DZ2" s="138"/>
      <c r="EA2" s="138"/>
      <c r="EB2" s="20" t="s">
        <v>114</v>
      </c>
      <c r="EC2" s="12" t="s">
        <v>28</v>
      </c>
      <c r="ED2" s="12" t="s">
        <v>29</v>
      </c>
      <c r="EE2" s="12" t="s">
        <v>31</v>
      </c>
      <c r="EF2" s="12" t="s">
        <v>139</v>
      </c>
      <c r="EG2" s="12" t="s">
        <v>30</v>
      </c>
      <c r="EH2" s="12" t="s">
        <v>25</v>
      </c>
      <c r="EI2" s="135" t="s">
        <v>26</v>
      </c>
      <c r="EJ2" s="135"/>
      <c r="EK2" s="135"/>
      <c r="EL2" s="135"/>
      <c r="EM2" s="135"/>
      <c r="EN2" s="135" t="s">
        <v>27</v>
      </c>
      <c r="EO2" s="135"/>
      <c r="EP2" s="135"/>
      <c r="EQ2" s="135"/>
      <c r="ER2" s="135"/>
      <c r="ES2" s="135" t="s">
        <v>30</v>
      </c>
      <c r="ET2" s="135"/>
      <c r="EU2" s="135"/>
      <c r="EV2" s="135"/>
      <c r="EW2" s="135"/>
      <c r="EX2" s="21" t="s">
        <v>114</v>
      </c>
      <c r="EY2" s="9" t="s">
        <v>28</v>
      </c>
      <c r="EZ2" s="9" t="s">
        <v>29</v>
      </c>
      <c r="FA2" s="9" t="s">
        <v>31</v>
      </c>
      <c r="FB2" s="9" t="s">
        <v>139</v>
      </c>
      <c r="FC2" s="9" t="s">
        <v>30</v>
      </c>
      <c r="FD2" s="9" t="s">
        <v>25</v>
      </c>
      <c r="FE2" s="138" t="s">
        <v>26</v>
      </c>
      <c r="FF2" s="138"/>
      <c r="FG2" s="138"/>
      <c r="FH2" s="138"/>
      <c r="FI2" s="138"/>
      <c r="FJ2" s="138" t="s">
        <v>27</v>
      </c>
      <c r="FK2" s="138"/>
      <c r="FL2" s="138"/>
      <c r="FM2" s="138"/>
      <c r="FN2" s="138"/>
      <c r="FO2" s="138" t="s">
        <v>30</v>
      </c>
      <c r="FP2" s="138"/>
      <c r="FQ2" s="138"/>
      <c r="FR2" s="138"/>
      <c r="FS2" s="138"/>
      <c r="FT2" s="20" t="s">
        <v>114</v>
      </c>
      <c r="FU2" s="12" t="s">
        <v>28</v>
      </c>
      <c r="FV2" s="12" t="s">
        <v>29</v>
      </c>
      <c r="FW2" s="12" t="s">
        <v>31</v>
      </c>
      <c r="FX2" s="12" t="s">
        <v>139</v>
      </c>
      <c r="FY2" s="12" t="s">
        <v>30</v>
      </c>
      <c r="FZ2" s="12" t="s">
        <v>25</v>
      </c>
      <c r="GA2" s="135" t="s">
        <v>26</v>
      </c>
      <c r="GB2" s="135"/>
      <c r="GC2" s="135"/>
      <c r="GD2" s="135"/>
      <c r="GE2" s="135"/>
      <c r="GF2" s="135" t="s">
        <v>27</v>
      </c>
      <c r="GG2" s="135"/>
      <c r="GH2" s="135"/>
      <c r="GI2" s="135"/>
      <c r="GJ2" s="135"/>
      <c r="GK2" s="135" t="s">
        <v>30</v>
      </c>
      <c r="GL2" s="135"/>
      <c r="GM2" s="135"/>
      <c r="GN2" s="135"/>
      <c r="GO2" s="135"/>
      <c r="GP2" s="21" t="s">
        <v>114</v>
      </c>
      <c r="GQ2" s="9" t="s">
        <v>28</v>
      </c>
      <c r="GR2" s="9" t="s">
        <v>29</v>
      </c>
      <c r="GS2" s="9" t="s">
        <v>31</v>
      </c>
      <c r="GT2" s="9" t="s">
        <v>139</v>
      </c>
      <c r="GU2" s="9" t="s">
        <v>30</v>
      </c>
      <c r="GV2" s="9" t="s">
        <v>25</v>
      </c>
      <c r="GW2" s="138" t="s">
        <v>26</v>
      </c>
      <c r="GX2" s="138"/>
      <c r="GY2" s="138"/>
      <c r="GZ2" s="138"/>
      <c r="HA2" s="138"/>
      <c r="HB2" s="138" t="s">
        <v>27</v>
      </c>
      <c r="HC2" s="138"/>
      <c r="HD2" s="138"/>
      <c r="HE2" s="138"/>
      <c r="HF2" s="138"/>
      <c r="HG2" s="138" t="s">
        <v>30</v>
      </c>
      <c r="HH2" s="138"/>
      <c r="HI2" s="138"/>
      <c r="HJ2" s="138"/>
      <c r="HK2" s="138"/>
      <c r="HL2" s="20" t="s">
        <v>114</v>
      </c>
      <c r="HM2" s="12" t="s">
        <v>28</v>
      </c>
      <c r="HN2" s="12" t="s">
        <v>29</v>
      </c>
      <c r="HO2" s="12" t="s">
        <v>31</v>
      </c>
      <c r="HP2" s="12" t="s">
        <v>139</v>
      </c>
      <c r="HQ2" s="12" t="s">
        <v>30</v>
      </c>
      <c r="HR2" s="12" t="s">
        <v>25</v>
      </c>
      <c r="HS2" s="135" t="s">
        <v>26</v>
      </c>
      <c r="HT2" s="135"/>
      <c r="HU2" s="135"/>
      <c r="HV2" s="135"/>
      <c r="HW2" s="135"/>
      <c r="HX2" s="135" t="s">
        <v>27</v>
      </c>
      <c r="HY2" s="135"/>
      <c r="HZ2" s="135"/>
      <c r="IA2" s="135"/>
      <c r="IB2" s="135"/>
      <c r="IC2" s="135" t="s">
        <v>30</v>
      </c>
      <c r="ID2" s="135"/>
      <c r="IE2" s="135"/>
      <c r="IF2" s="135"/>
      <c r="IG2" s="135"/>
      <c r="IH2" s="21" t="s">
        <v>114</v>
      </c>
      <c r="II2" s="9" t="s">
        <v>28</v>
      </c>
      <c r="IJ2" s="9" t="s">
        <v>29</v>
      </c>
      <c r="IK2" s="9" t="s">
        <v>31</v>
      </c>
      <c r="IL2" s="9" t="s">
        <v>139</v>
      </c>
      <c r="IM2" s="9" t="s">
        <v>30</v>
      </c>
      <c r="IN2" s="9" t="s">
        <v>25</v>
      </c>
      <c r="IO2" s="138" t="s">
        <v>26</v>
      </c>
      <c r="IP2" s="138"/>
      <c r="IQ2" s="138"/>
      <c r="IR2" s="138"/>
      <c r="IS2" s="138"/>
      <c r="IT2" s="138" t="s">
        <v>27</v>
      </c>
      <c r="IU2" s="138"/>
      <c r="IV2" s="138"/>
      <c r="IW2" s="138"/>
      <c r="IX2" s="138"/>
      <c r="IY2" s="138" t="s">
        <v>30</v>
      </c>
      <c r="IZ2" s="138"/>
      <c r="JA2" s="138"/>
      <c r="JB2" s="138"/>
      <c r="JC2" s="138"/>
      <c r="JD2" s="20" t="s">
        <v>114</v>
      </c>
      <c r="JE2" s="12" t="s">
        <v>28</v>
      </c>
      <c r="JF2" s="12" t="s">
        <v>29</v>
      </c>
      <c r="JG2" s="12" t="s">
        <v>31</v>
      </c>
      <c r="JH2" s="12" t="s">
        <v>139</v>
      </c>
      <c r="JI2" s="12" t="s">
        <v>30</v>
      </c>
      <c r="JJ2" s="12" t="s">
        <v>25</v>
      </c>
      <c r="JK2" s="135" t="s">
        <v>26</v>
      </c>
      <c r="JL2" s="135"/>
      <c r="JM2" s="135"/>
      <c r="JN2" s="135"/>
      <c r="JO2" s="135"/>
      <c r="JP2" s="135" t="s">
        <v>27</v>
      </c>
      <c r="JQ2" s="135"/>
      <c r="JR2" s="135"/>
      <c r="JS2" s="135"/>
      <c r="JT2" s="135"/>
      <c r="JU2" s="135" t="s">
        <v>30</v>
      </c>
      <c r="JV2" s="135"/>
      <c r="JW2" s="135"/>
      <c r="JX2" s="135"/>
      <c r="JY2" s="135"/>
      <c r="JZ2" s="21" t="s">
        <v>114</v>
      </c>
      <c r="KA2" s="9" t="s">
        <v>28</v>
      </c>
      <c r="KB2" s="9" t="s">
        <v>29</v>
      </c>
      <c r="KC2" s="9" t="s">
        <v>31</v>
      </c>
      <c r="KD2" s="9" t="s">
        <v>139</v>
      </c>
      <c r="KE2" s="9" t="s">
        <v>30</v>
      </c>
      <c r="KF2" s="9" t="s">
        <v>25</v>
      </c>
      <c r="KG2" s="138" t="s">
        <v>26</v>
      </c>
      <c r="KH2" s="138"/>
      <c r="KI2" s="138"/>
      <c r="KJ2" s="138"/>
      <c r="KK2" s="138"/>
      <c r="KL2" s="138" t="s">
        <v>27</v>
      </c>
      <c r="KM2" s="138"/>
      <c r="KN2" s="138"/>
      <c r="KO2" s="138"/>
      <c r="KP2" s="138"/>
      <c r="KQ2" s="138" t="s">
        <v>30</v>
      </c>
      <c r="KR2" s="138"/>
      <c r="KS2" s="138"/>
      <c r="KT2" s="138"/>
      <c r="KU2" s="138"/>
      <c r="KV2" s="20" t="s">
        <v>114</v>
      </c>
      <c r="KW2" s="12" t="s">
        <v>28</v>
      </c>
      <c r="KX2" s="12" t="s">
        <v>29</v>
      </c>
      <c r="KY2" s="12" t="s">
        <v>31</v>
      </c>
      <c r="KZ2" s="12" t="s">
        <v>139</v>
      </c>
      <c r="LA2" s="12" t="s">
        <v>30</v>
      </c>
      <c r="LB2" s="12" t="s">
        <v>25</v>
      </c>
      <c r="LC2" s="135" t="s">
        <v>26</v>
      </c>
      <c r="LD2" s="135"/>
      <c r="LE2" s="135"/>
      <c r="LF2" s="135"/>
      <c r="LG2" s="135"/>
      <c r="LH2" s="135" t="s">
        <v>27</v>
      </c>
      <c r="LI2" s="135"/>
      <c r="LJ2" s="135"/>
      <c r="LK2" s="135"/>
      <c r="LL2" s="135"/>
      <c r="LM2" s="135" t="s">
        <v>30</v>
      </c>
      <c r="LN2" s="135"/>
      <c r="LO2" s="135"/>
      <c r="LP2" s="135"/>
      <c r="LQ2" s="135"/>
      <c r="LR2" s="21" t="s">
        <v>114</v>
      </c>
      <c r="LS2" s="9" t="s">
        <v>28</v>
      </c>
      <c r="LT2" s="9" t="s">
        <v>29</v>
      </c>
      <c r="LU2" s="9" t="s">
        <v>31</v>
      </c>
      <c r="LV2" s="9" t="s">
        <v>139</v>
      </c>
      <c r="LW2" s="9" t="s">
        <v>30</v>
      </c>
      <c r="LX2" s="9" t="s">
        <v>25</v>
      </c>
      <c r="LY2" s="138" t="s">
        <v>26</v>
      </c>
      <c r="LZ2" s="138"/>
      <c r="MA2" s="138"/>
      <c r="MB2" s="138"/>
      <c r="MC2" s="138"/>
      <c r="MD2" s="138" t="s">
        <v>27</v>
      </c>
      <c r="ME2" s="138"/>
      <c r="MF2" s="138"/>
      <c r="MG2" s="138"/>
      <c r="MH2" s="138"/>
      <c r="MI2" s="138" t="s">
        <v>30</v>
      </c>
      <c r="MJ2" s="138"/>
      <c r="MK2" s="138"/>
      <c r="ML2" s="138"/>
      <c r="MM2" s="138"/>
      <c r="MN2" s="20" t="s">
        <v>114</v>
      </c>
      <c r="MO2" s="12" t="s">
        <v>28</v>
      </c>
      <c r="MP2" s="12" t="s">
        <v>29</v>
      </c>
      <c r="MQ2" s="12" t="s">
        <v>31</v>
      </c>
      <c r="MR2" s="12" t="s">
        <v>139</v>
      </c>
      <c r="MS2" s="12" t="s">
        <v>30</v>
      </c>
      <c r="MT2" s="12" t="s">
        <v>25</v>
      </c>
      <c r="MU2" s="135" t="s">
        <v>26</v>
      </c>
      <c r="MV2" s="135"/>
      <c r="MW2" s="135"/>
      <c r="MX2" s="135"/>
      <c r="MY2" s="135"/>
      <c r="MZ2" s="135" t="s">
        <v>27</v>
      </c>
      <c r="NA2" s="135"/>
      <c r="NB2" s="135"/>
      <c r="NC2" s="135"/>
      <c r="ND2" s="135"/>
      <c r="NE2" s="135" t="s">
        <v>30</v>
      </c>
      <c r="NF2" s="135"/>
      <c r="NG2" s="135"/>
      <c r="NH2" s="135"/>
      <c r="NI2" s="135"/>
      <c r="NJ2" s="102"/>
      <c r="NK2" s="102" t="s">
        <v>114</v>
      </c>
      <c r="NL2" s="9" t="s">
        <v>28</v>
      </c>
      <c r="NM2" s="9" t="s">
        <v>29</v>
      </c>
      <c r="NN2" s="9" t="s">
        <v>31</v>
      </c>
      <c r="NO2" s="9" t="s">
        <v>139</v>
      </c>
      <c r="NP2" s="9" t="s">
        <v>30</v>
      </c>
      <c r="NQ2" s="9" t="s">
        <v>25</v>
      </c>
    </row>
    <row r="3" spans="1:381" x14ac:dyDescent="0.2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41"/>
      <c r="L3" s="141"/>
      <c r="M3" s="141"/>
      <c r="N3" s="141"/>
      <c r="O3" s="141"/>
      <c r="P3" s="141"/>
      <c r="Q3" s="141"/>
      <c r="R3" s="141"/>
      <c r="S3" s="140"/>
      <c r="T3" s="141"/>
      <c r="U3" s="141"/>
      <c r="V3" s="58" t="s">
        <v>22</v>
      </c>
      <c r="W3" s="58" t="s">
        <v>23</v>
      </c>
      <c r="X3" s="58" t="s">
        <v>14</v>
      </c>
      <c r="Y3" s="58" t="s">
        <v>54</v>
      </c>
      <c r="Z3" s="58" t="s">
        <v>44</v>
      </c>
      <c r="AA3" s="58" t="s">
        <v>22</v>
      </c>
      <c r="AB3" s="58" t="s">
        <v>23</v>
      </c>
      <c r="AC3" s="58" t="s">
        <v>14</v>
      </c>
      <c r="AD3" s="58" t="s">
        <v>54</v>
      </c>
      <c r="AE3" s="58" t="s">
        <v>44</v>
      </c>
      <c r="AF3" s="58" t="s">
        <v>22</v>
      </c>
      <c r="AG3" s="58" t="s">
        <v>23</v>
      </c>
      <c r="AH3" s="58" t="s">
        <v>14</v>
      </c>
      <c r="AI3" s="58" t="s">
        <v>54</v>
      </c>
      <c r="AJ3" s="58" t="s">
        <v>44</v>
      </c>
      <c r="AK3" s="78" t="s">
        <v>90</v>
      </c>
      <c r="AL3" s="10"/>
      <c r="AM3" s="9"/>
      <c r="AN3" s="9"/>
      <c r="AO3" s="9"/>
      <c r="AP3" s="9"/>
      <c r="AQ3" s="10"/>
      <c r="AR3" s="10"/>
      <c r="AS3" s="57" t="s">
        <v>22</v>
      </c>
      <c r="AT3" s="57" t="s">
        <v>23</v>
      </c>
      <c r="AU3" s="57" t="s">
        <v>14</v>
      </c>
      <c r="AV3" s="57" t="s">
        <v>54</v>
      </c>
      <c r="AW3" s="57" t="s">
        <v>44</v>
      </c>
      <c r="AX3" s="57" t="s">
        <v>22</v>
      </c>
      <c r="AY3" s="57" t="s">
        <v>23</v>
      </c>
      <c r="AZ3" s="57" t="s">
        <v>14</v>
      </c>
      <c r="BA3" s="57" t="s">
        <v>54</v>
      </c>
      <c r="BB3" s="57" t="s">
        <v>44</v>
      </c>
      <c r="BC3" s="57" t="s">
        <v>22</v>
      </c>
      <c r="BD3" s="57" t="s">
        <v>23</v>
      </c>
      <c r="BE3" s="57" t="s">
        <v>14</v>
      </c>
      <c r="BF3" s="57" t="s">
        <v>54</v>
      </c>
      <c r="BG3" s="57" t="s">
        <v>44</v>
      </c>
      <c r="BH3" s="79" t="s">
        <v>90</v>
      </c>
      <c r="BI3" s="13"/>
      <c r="BJ3" s="12"/>
      <c r="BK3" s="12"/>
      <c r="BL3" s="12"/>
      <c r="BM3" s="12"/>
      <c r="BN3" s="13"/>
      <c r="BO3" s="13"/>
      <c r="BP3" s="109" t="s">
        <v>22</v>
      </c>
      <c r="BQ3" s="109" t="s">
        <v>23</v>
      </c>
      <c r="BR3" s="109" t="s">
        <v>14</v>
      </c>
      <c r="BS3" s="109" t="s">
        <v>54</v>
      </c>
      <c r="BT3" s="109" t="s">
        <v>44</v>
      </c>
      <c r="BU3" s="109" t="s">
        <v>22</v>
      </c>
      <c r="BV3" s="109" t="s">
        <v>23</v>
      </c>
      <c r="BW3" s="109" t="s">
        <v>14</v>
      </c>
      <c r="BX3" s="109" t="s">
        <v>54</v>
      </c>
      <c r="BY3" s="109" t="s">
        <v>44</v>
      </c>
      <c r="BZ3" s="109" t="s">
        <v>22</v>
      </c>
      <c r="CA3" s="109" t="s">
        <v>23</v>
      </c>
      <c r="CB3" s="109" t="s">
        <v>14</v>
      </c>
      <c r="CC3" s="109" t="s">
        <v>54</v>
      </c>
      <c r="CD3" s="109" t="s">
        <v>44</v>
      </c>
      <c r="CE3" s="109" t="s">
        <v>90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29" t="s">
        <v>22</v>
      </c>
      <c r="CR3" s="29" t="s">
        <v>23</v>
      </c>
      <c r="CS3" s="29" t="s">
        <v>14</v>
      </c>
      <c r="CT3" s="32" t="s">
        <v>54</v>
      </c>
      <c r="CU3" s="48" t="s">
        <v>44</v>
      </c>
      <c r="CV3" s="29" t="s">
        <v>22</v>
      </c>
      <c r="CW3" s="29" t="s">
        <v>23</v>
      </c>
      <c r="CX3" s="29" t="s">
        <v>14</v>
      </c>
      <c r="CY3" s="32" t="s">
        <v>54</v>
      </c>
      <c r="CZ3" s="48" t="s">
        <v>44</v>
      </c>
      <c r="DA3" s="29" t="s">
        <v>22</v>
      </c>
      <c r="DB3" s="29" t="s">
        <v>23</v>
      </c>
      <c r="DC3" s="29" t="s">
        <v>14</v>
      </c>
      <c r="DD3" s="32" t="s">
        <v>54</v>
      </c>
      <c r="DE3" s="48" t="s">
        <v>44</v>
      </c>
      <c r="DF3" s="10"/>
      <c r="DG3" s="9"/>
      <c r="DH3" s="9"/>
      <c r="DI3" s="9"/>
      <c r="DJ3" s="9"/>
      <c r="DK3" s="10"/>
      <c r="DL3" s="10"/>
      <c r="DM3" s="28" t="s">
        <v>22</v>
      </c>
      <c r="DN3" s="28" t="s">
        <v>23</v>
      </c>
      <c r="DO3" s="28" t="s">
        <v>14</v>
      </c>
      <c r="DP3" s="33" t="s">
        <v>54</v>
      </c>
      <c r="DQ3" s="50" t="s">
        <v>44</v>
      </c>
      <c r="DR3" s="28" t="s">
        <v>22</v>
      </c>
      <c r="DS3" s="28" t="s">
        <v>23</v>
      </c>
      <c r="DT3" s="28" t="s">
        <v>14</v>
      </c>
      <c r="DU3" s="33" t="s">
        <v>54</v>
      </c>
      <c r="DV3" s="50" t="s">
        <v>44</v>
      </c>
      <c r="DW3" s="28" t="s">
        <v>22</v>
      </c>
      <c r="DX3" s="28" t="s">
        <v>23</v>
      </c>
      <c r="DY3" s="28" t="s">
        <v>14</v>
      </c>
      <c r="DZ3" s="33" t="s">
        <v>54</v>
      </c>
      <c r="EA3" s="50" t="s">
        <v>44</v>
      </c>
      <c r="EB3" s="13"/>
      <c r="EC3" s="12"/>
      <c r="ED3" s="12"/>
      <c r="EE3" s="12"/>
      <c r="EF3" s="12"/>
      <c r="EG3" s="13"/>
      <c r="EH3" s="13"/>
      <c r="EI3" s="29" t="s">
        <v>22</v>
      </c>
      <c r="EJ3" s="29" t="s">
        <v>23</v>
      </c>
      <c r="EK3" s="29" t="s">
        <v>14</v>
      </c>
      <c r="EL3" s="34" t="s">
        <v>54</v>
      </c>
      <c r="EM3" s="49" t="s">
        <v>44</v>
      </c>
      <c r="EN3" s="29" t="s">
        <v>22</v>
      </c>
      <c r="EO3" s="29" t="s">
        <v>23</v>
      </c>
      <c r="EP3" s="29" t="s">
        <v>14</v>
      </c>
      <c r="EQ3" s="34" t="s">
        <v>54</v>
      </c>
      <c r="ER3" s="49" t="s">
        <v>44</v>
      </c>
      <c r="ES3" s="29" t="s">
        <v>22</v>
      </c>
      <c r="ET3" s="29" t="s">
        <v>23</v>
      </c>
      <c r="EU3" s="29" t="s">
        <v>14</v>
      </c>
      <c r="EV3" s="34" t="s">
        <v>54</v>
      </c>
      <c r="EW3" s="49" t="s">
        <v>44</v>
      </c>
      <c r="EX3" s="10"/>
      <c r="EY3" s="9"/>
      <c r="EZ3" s="9"/>
      <c r="FA3" s="9"/>
      <c r="FB3" s="9"/>
      <c r="FC3" s="10"/>
      <c r="FD3" s="10"/>
      <c r="FE3" s="28" t="s">
        <v>22</v>
      </c>
      <c r="FF3" s="28" t="s">
        <v>23</v>
      </c>
      <c r="FG3" s="28" t="s">
        <v>14</v>
      </c>
      <c r="FH3" s="33" t="s">
        <v>54</v>
      </c>
      <c r="FI3" s="50" t="s">
        <v>44</v>
      </c>
      <c r="FJ3" s="28" t="s">
        <v>22</v>
      </c>
      <c r="FK3" s="28" t="s">
        <v>23</v>
      </c>
      <c r="FL3" s="28" t="s">
        <v>14</v>
      </c>
      <c r="FM3" s="33" t="s">
        <v>54</v>
      </c>
      <c r="FN3" s="50" t="s">
        <v>44</v>
      </c>
      <c r="FO3" s="28" t="s">
        <v>22</v>
      </c>
      <c r="FP3" s="28" t="s">
        <v>23</v>
      </c>
      <c r="FQ3" s="28" t="s">
        <v>14</v>
      </c>
      <c r="FR3" s="33" t="s">
        <v>54</v>
      </c>
      <c r="FS3" s="50" t="s">
        <v>44</v>
      </c>
      <c r="FT3" s="13"/>
      <c r="FU3" s="12"/>
      <c r="FV3" s="12"/>
      <c r="FW3" s="12"/>
      <c r="FX3" s="12"/>
      <c r="FY3" s="13"/>
      <c r="FZ3" s="13"/>
      <c r="GA3" s="29" t="s">
        <v>22</v>
      </c>
      <c r="GB3" s="29" t="s">
        <v>23</v>
      </c>
      <c r="GC3" s="29" t="s">
        <v>14</v>
      </c>
      <c r="GD3" s="34" t="s">
        <v>54</v>
      </c>
      <c r="GE3" s="49" t="s">
        <v>44</v>
      </c>
      <c r="GF3" s="29" t="s">
        <v>22</v>
      </c>
      <c r="GG3" s="29" t="s">
        <v>23</v>
      </c>
      <c r="GH3" s="29" t="s">
        <v>14</v>
      </c>
      <c r="GI3" s="34" t="s">
        <v>54</v>
      </c>
      <c r="GJ3" s="49" t="s">
        <v>44</v>
      </c>
      <c r="GK3" s="29" t="s">
        <v>22</v>
      </c>
      <c r="GL3" s="29" t="s">
        <v>23</v>
      </c>
      <c r="GM3" s="29" t="s">
        <v>14</v>
      </c>
      <c r="GN3" s="34" t="s">
        <v>54</v>
      </c>
      <c r="GO3" s="49" t="s">
        <v>44</v>
      </c>
      <c r="GP3" s="10"/>
      <c r="GQ3" s="9"/>
      <c r="GR3" s="9"/>
      <c r="GS3" s="9"/>
      <c r="GT3" s="9"/>
      <c r="GU3" s="10"/>
      <c r="GV3" s="10"/>
      <c r="GW3" s="28" t="s">
        <v>22</v>
      </c>
      <c r="GX3" s="28" t="s">
        <v>23</v>
      </c>
      <c r="GY3" s="28" t="s">
        <v>14</v>
      </c>
      <c r="GZ3" s="33" t="s">
        <v>54</v>
      </c>
      <c r="HA3" s="50" t="s">
        <v>44</v>
      </c>
      <c r="HB3" s="28" t="s">
        <v>22</v>
      </c>
      <c r="HC3" s="28" t="s">
        <v>23</v>
      </c>
      <c r="HD3" s="28" t="s">
        <v>14</v>
      </c>
      <c r="HE3" s="33" t="s">
        <v>54</v>
      </c>
      <c r="HF3" s="50" t="s">
        <v>44</v>
      </c>
      <c r="HG3" s="28" t="s">
        <v>22</v>
      </c>
      <c r="HH3" s="28" t="s">
        <v>23</v>
      </c>
      <c r="HI3" s="28" t="s">
        <v>14</v>
      </c>
      <c r="HJ3" s="33" t="s">
        <v>54</v>
      </c>
      <c r="HK3" s="50" t="s">
        <v>44</v>
      </c>
      <c r="HL3" s="13"/>
      <c r="HM3" s="12"/>
      <c r="HN3" s="12"/>
      <c r="HO3" s="12"/>
      <c r="HP3" s="12"/>
      <c r="HQ3" s="13"/>
      <c r="HR3" s="13"/>
      <c r="HS3" s="29" t="s">
        <v>22</v>
      </c>
      <c r="HT3" s="29" t="s">
        <v>23</v>
      </c>
      <c r="HU3" s="29" t="s">
        <v>14</v>
      </c>
      <c r="HV3" s="34" t="s">
        <v>54</v>
      </c>
      <c r="HW3" s="49" t="s">
        <v>44</v>
      </c>
      <c r="HX3" s="29" t="s">
        <v>22</v>
      </c>
      <c r="HY3" s="29" t="s">
        <v>23</v>
      </c>
      <c r="HZ3" s="29" t="s">
        <v>14</v>
      </c>
      <c r="IA3" s="34" t="s">
        <v>54</v>
      </c>
      <c r="IB3" s="49" t="s">
        <v>44</v>
      </c>
      <c r="IC3" s="29" t="s">
        <v>22</v>
      </c>
      <c r="ID3" s="29" t="s">
        <v>23</v>
      </c>
      <c r="IE3" s="29" t="s">
        <v>14</v>
      </c>
      <c r="IF3" s="34" t="s">
        <v>54</v>
      </c>
      <c r="IG3" s="49" t="s">
        <v>44</v>
      </c>
      <c r="IH3" s="10"/>
      <c r="II3" s="9"/>
      <c r="IJ3" s="9"/>
      <c r="IK3" s="9"/>
      <c r="IL3" s="9"/>
      <c r="IM3" s="10"/>
      <c r="IN3" s="10"/>
      <c r="IO3" s="28" t="s">
        <v>22</v>
      </c>
      <c r="IP3" s="28" t="s">
        <v>23</v>
      </c>
      <c r="IQ3" s="28" t="s">
        <v>14</v>
      </c>
      <c r="IR3" s="33" t="s">
        <v>54</v>
      </c>
      <c r="IS3" s="50" t="s">
        <v>44</v>
      </c>
      <c r="IT3" s="28" t="s">
        <v>22</v>
      </c>
      <c r="IU3" s="28" t="s">
        <v>23</v>
      </c>
      <c r="IV3" s="28" t="s">
        <v>14</v>
      </c>
      <c r="IW3" s="33" t="s">
        <v>54</v>
      </c>
      <c r="IX3" s="50" t="s">
        <v>44</v>
      </c>
      <c r="IY3" s="28" t="s">
        <v>22</v>
      </c>
      <c r="IZ3" s="28" t="s">
        <v>23</v>
      </c>
      <c r="JA3" s="28" t="s">
        <v>14</v>
      </c>
      <c r="JB3" s="33" t="s">
        <v>54</v>
      </c>
      <c r="JC3" s="50" t="s">
        <v>44</v>
      </c>
      <c r="JD3" s="13"/>
      <c r="JE3" s="12"/>
      <c r="JF3" s="12"/>
      <c r="JG3" s="12"/>
      <c r="JH3" s="12"/>
      <c r="JI3" s="13"/>
      <c r="JJ3" s="13"/>
      <c r="JK3" s="29" t="s">
        <v>22</v>
      </c>
      <c r="JL3" s="29" t="s">
        <v>23</v>
      </c>
      <c r="JM3" s="29" t="s">
        <v>14</v>
      </c>
      <c r="JN3" s="34" t="s">
        <v>54</v>
      </c>
      <c r="JO3" s="49" t="s">
        <v>44</v>
      </c>
      <c r="JP3" s="29" t="s">
        <v>22</v>
      </c>
      <c r="JQ3" s="29" t="s">
        <v>23</v>
      </c>
      <c r="JR3" s="29" t="s">
        <v>14</v>
      </c>
      <c r="JS3" s="34" t="s">
        <v>54</v>
      </c>
      <c r="JT3" s="49" t="s">
        <v>44</v>
      </c>
      <c r="JU3" s="29" t="s">
        <v>22</v>
      </c>
      <c r="JV3" s="29" t="s">
        <v>23</v>
      </c>
      <c r="JW3" s="29" t="s">
        <v>14</v>
      </c>
      <c r="JX3" s="34" t="s">
        <v>54</v>
      </c>
      <c r="JY3" s="49" t="s">
        <v>44</v>
      </c>
      <c r="JZ3" s="10"/>
      <c r="KA3" s="9"/>
      <c r="KB3" s="9"/>
      <c r="KC3" s="9"/>
      <c r="KD3" s="9"/>
      <c r="KE3" s="10"/>
      <c r="KF3" s="10"/>
      <c r="KG3" s="28" t="s">
        <v>22</v>
      </c>
      <c r="KH3" s="28" t="s">
        <v>23</v>
      </c>
      <c r="KI3" s="28" t="s">
        <v>14</v>
      </c>
      <c r="KJ3" s="33" t="s">
        <v>54</v>
      </c>
      <c r="KK3" s="50" t="s">
        <v>44</v>
      </c>
      <c r="KL3" s="28" t="s">
        <v>22</v>
      </c>
      <c r="KM3" s="28" t="s">
        <v>23</v>
      </c>
      <c r="KN3" s="28" t="s">
        <v>14</v>
      </c>
      <c r="KO3" s="33" t="s">
        <v>54</v>
      </c>
      <c r="KP3" s="50" t="s">
        <v>44</v>
      </c>
      <c r="KQ3" s="28" t="s">
        <v>22</v>
      </c>
      <c r="KR3" s="28" t="s">
        <v>23</v>
      </c>
      <c r="KS3" s="28" t="s">
        <v>14</v>
      </c>
      <c r="KT3" s="33" t="s">
        <v>54</v>
      </c>
      <c r="KU3" s="50" t="s">
        <v>44</v>
      </c>
      <c r="KV3" s="13"/>
      <c r="KW3" s="12"/>
      <c r="KX3" s="12"/>
      <c r="KY3" s="12"/>
      <c r="KZ3" s="12"/>
      <c r="LA3" s="13"/>
      <c r="LB3" s="13"/>
      <c r="LC3" s="29" t="s">
        <v>22</v>
      </c>
      <c r="LD3" s="29" t="s">
        <v>23</v>
      </c>
      <c r="LE3" s="29" t="s">
        <v>14</v>
      </c>
      <c r="LF3" s="34" t="s">
        <v>54</v>
      </c>
      <c r="LG3" s="49" t="s">
        <v>44</v>
      </c>
      <c r="LH3" s="29" t="s">
        <v>22</v>
      </c>
      <c r="LI3" s="29" t="s">
        <v>23</v>
      </c>
      <c r="LJ3" s="29" t="s">
        <v>14</v>
      </c>
      <c r="LK3" s="34" t="s">
        <v>54</v>
      </c>
      <c r="LL3" s="49" t="s">
        <v>44</v>
      </c>
      <c r="LM3" s="29" t="s">
        <v>22</v>
      </c>
      <c r="LN3" s="29" t="s">
        <v>23</v>
      </c>
      <c r="LO3" s="29" t="s">
        <v>14</v>
      </c>
      <c r="LP3" s="34" t="s">
        <v>54</v>
      </c>
      <c r="LQ3" s="49" t="s">
        <v>44</v>
      </c>
      <c r="LR3" s="10"/>
      <c r="LS3" s="9"/>
      <c r="LT3" s="9"/>
      <c r="LU3" s="9"/>
      <c r="LV3" s="9"/>
      <c r="LW3" s="10"/>
      <c r="LX3" s="10"/>
      <c r="LY3" s="28" t="s">
        <v>22</v>
      </c>
      <c r="LZ3" s="28" t="s">
        <v>23</v>
      </c>
      <c r="MA3" s="28" t="s">
        <v>14</v>
      </c>
      <c r="MB3" s="33" t="s">
        <v>54</v>
      </c>
      <c r="MC3" s="50" t="s">
        <v>44</v>
      </c>
      <c r="MD3" s="47" t="s">
        <v>22</v>
      </c>
      <c r="ME3" s="28" t="s">
        <v>23</v>
      </c>
      <c r="MF3" s="28" t="s">
        <v>14</v>
      </c>
      <c r="MG3" s="33" t="s">
        <v>54</v>
      </c>
      <c r="MH3" s="50" t="s">
        <v>44</v>
      </c>
      <c r="MI3" s="28" t="s">
        <v>22</v>
      </c>
      <c r="MJ3" s="28" t="s">
        <v>23</v>
      </c>
      <c r="MK3" s="28" t="s">
        <v>14</v>
      </c>
      <c r="ML3" s="33" t="s">
        <v>54</v>
      </c>
      <c r="MM3" s="50" t="s">
        <v>44</v>
      </c>
      <c r="MN3" s="13"/>
      <c r="MO3" s="12"/>
      <c r="MP3" s="12"/>
      <c r="MQ3" s="12"/>
      <c r="MR3" s="12"/>
      <c r="MS3" s="13"/>
      <c r="MT3" s="13"/>
      <c r="MU3" s="102" t="s">
        <v>22</v>
      </c>
      <c r="MV3" s="102" t="s">
        <v>23</v>
      </c>
      <c r="MW3" s="102" t="s">
        <v>14</v>
      </c>
      <c r="MX3" s="102" t="s">
        <v>24</v>
      </c>
      <c r="MY3" s="102" t="s">
        <v>44</v>
      </c>
      <c r="MZ3" s="102" t="s">
        <v>22</v>
      </c>
      <c r="NA3" s="102" t="s">
        <v>23</v>
      </c>
      <c r="NB3" s="102" t="s">
        <v>14</v>
      </c>
      <c r="NC3" s="102" t="s">
        <v>24</v>
      </c>
      <c r="ND3" s="102" t="s">
        <v>44</v>
      </c>
      <c r="NE3" s="102" t="s">
        <v>22</v>
      </c>
      <c r="NF3" s="102" t="s">
        <v>23</v>
      </c>
      <c r="NG3" s="102" t="s">
        <v>14</v>
      </c>
      <c r="NH3" s="102" t="s">
        <v>24</v>
      </c>
      <c r="NI3" s="102" t="s">
        <v>44</v>
      </c>
      <c r="NJ3" s="102" t="s">
        <v>90</v>
      </c>
      <c r="NK3" s="10"/>
      <c r="NL3" s="9"/>
      <c r="NM3" s="9"/>
      <c r="NN3" s="9"/>
      <c r="NO3" s="9"/>
      <c r="NP3" s="10"/>
      <c r="NQ3" s="10"/>
    </row>
    <row r="4" spans="1:381" x14ac:dyDescent="0.2">
      <c r="A4" s="5" cm="1">
        <f t="array" ref="A4">IF(AND(G4&lt;&gt;"",H4&lt;&gt;""),SUMPRODUCT((G$4:G$12&lt;&gt;"")*(H$4:H$12&lt;&gt;"")*(E$4:E$12&gt;E4))+1,IF(H4&lt;&gt;"",SUMPRODUCT((I$4:I$12="No DD")*(E$4:E$12&gt;E4))+1+SUMPRODUCT((G$4:G$12&lt;&gt;"")*(H$4:H$12&lt;&gt;"")),""))</f>
        <v>1</v>
      </c>
      <c r="B4" s="8" t="s">
        <v>157</v>
      </c>
      <c r="C4" s="4" t="s">
        <v>112</v>
      </c>
      <c r="D4" s="27" t="s">
        <v>111</v>
      </c>
      <c r="E4" s="15">
        <f>SUM(K4:S4)</f>
        <v>227.14</v>
      </c>
      <c r="F4" s="3" t="str">
        <f>IF(G4&lt;&gt;"","P","")</f>
        <v>P</v>
      </c>
      <c r="G4" s="125" t="str">
        <f>IF(OR(AND(AL4&gt;=AR$17,AL4&lt;&gt;"",AK4=""),AND(AP4&gt;=AR$17,AP4&lt;&gt;"",AK4=""),AND(BI4&gt;=BO$17,BI4&lt;&gt;"",BH4=""),AND(BM4&gt;=BO$17,BM4&lt;&gt;"",BH4=""),AND(CF4&gt;=CL$17,CF4&lt;&gt;"",CE4=""),AND(CJ4&gt;=CL$17,CJ4&lt;&gt;"",CE4=""),AND(DF4&gt;=DL$17,DF4&lt;&gt;""),AND(DJ4&gt;=DL$17,DJ4&lt;&gt;""),AND(EB4&gt;=EH$17,EB4&lt;&gt;""),AND(EF4&gt;=EH$17,EF4&lt;&gt;""),AND(EX4&gt;=FD$17,EX4&lt;&gt;""),AND(FB4&gt;=FD$17,FB4&lt;&gt;""),AND(FT4&gt;=FZ$17,FT4&lt;&gt;""),AND(FX4&gt;=FZ$17,FX4&lt;&gt;""),AND(GP4&gt;=GV$17,GP4&lt;&gt;""),AND(GT4&gt;=GV$17,GT4&lt;&gt;""),AND(HL4&gt;=HR$17,HL4&lt;&gt;""),AND(HP4&gt;=HR$17,HP4&lt;&gt;""),AND(IH4&gt;=IN$17,IH4&lt;&gt;""),AND(IL4&gt;=IN$17,IL4&lt;&gt;""),AND(JD4&gt;=JJ$17,JD4&lt;&gt;""),AND(JH4&gt;=JJ$17,JH4&lt;&gt;""),AND(JZ4&gt;=KF$17,JZ4&lt;&gt;""),AND(KD4&gt;=KF$17,KD4&lt;&gt;""),AND(KV4&gt;=LB$17,KV4&lt;&gt;""),AND(KZ4&gt;=LB$17,KZ4&lt;&gt;""),AND(LR4&gt;=LX$17,LR4&lt;&gt;""),AND(LV4&gt;=LX$17,LV4&lt;&gt;""),AND(MN4&gt;=MT$17,MN4&lt;&gt;""),AND(MR4&gt;=MT$17,MR4&lt;&gt;"")),"Merit",IF(OR(AND(AL4&gt;=AR$16,AL4&lt;&gt;"",AK4=""),AND(AP4&gt;=AR$16,AP4&lt;&gt;"",AK4=""),AND(BI4&gt;=BO$16,BI4&lt;&gt;"",BH4=""),AND(BM4&gt;=BO$16,BM4&lt;&gt;"",BH4=""),AND(CF4&gt;=CL$16,CF4&lt;&gt;"",CE4=""),AND(CJ4&gt;=CL$16,CJ4&lt;&gt;"",CE4=""),AND(DF4&gt;=DL$16,DF4&lt;&gt;""),AND(DJ4&gt;=DL$16,DJ4&lt;&gt;""),AND(EB4&gt;=EH$16,EB4&lt;&gt;""),AND(EF4&gt;=EH$16,EF4&lt;&gt;""),AND(EX4&gt;=FD$16,EX4&lt;&gt;""),AND(FB4&gt;=FD$16,FB4&lt;&gt;""),AND(FT4&gt;=FZ$16,FT4&lt;&gt;""),AND(FX4&gt;=FZ$16,FX4&lt;&gt;""),AND(GP4&gt;=GV$16,GP4&lt;&gt;""),AND(GT4&gt;=GV$16,GT4&lt;&gt;""),AND(HL4&gt;=HR$16,HL4&lt;&gt;""),AND(HP4&gt;=HR$16,HP4&lt;&gt;""),AND(IH4&gt;=IN$16,IH4&lt;&gt;""),AND(IL4&gt;=IN$16,IL4&lt;&gt;""),AND(JD4&gt;=JJ$16,JD4&lt;&gt;""),AND(JH4&gt;=JJ$16,JH4&lt;&gt;""),AND(JZ4&gt;=KF$16,JZ4&lt;&gt;""),AND(KD4&gt;=KF$16,KD4&lt;&gt;""),AND(KV4&gt;=LB$16,KV4&lt;&gt;""),AND(KZ4&gt;=LB$16,KZ4&lt;&gt;""),AND(LR4&gt;=LX$16,LR4&lt;&gt;""),AND(LV4&gt;=LX$16,LV4&lt;&gt;""),AND(MN4&gt;=MT$16,MN4&lt;&gt;""),AND(MR4&gt;=MT$16,MR4&lt;&gt;"")),"Excellence",IF(OR(AND(AL4&gt;=AR$15,AL4&lt;&gt;"",AK4=""),AND(AP4&gt;=AR$15,AP4&lt;&gt;"",AK4=""),AND(BI4&gt;=BO$15,BI4&lt;&gt;"",BH4=""),AND(BM4&gt;=BO$15,BM4&lt;&gt;"",BH4=""),AND(CF4&gt;=CL$15,CF4&lt;&gt;"",CE4=""),AND(CJ4&gt;=CL$15,CJ4&lt;&gt;"",CE4=""),AND(DF4&gt;=DL$15,DF4&lt;&gt;""),AND(DJ4&gt;=DL$15,DJ4&lt;&gt;""),AND(EB4&gt;=EH$15,EB4&lt;&gt;""),AND(EF4&gt;=EH$15,EF4&lt;&gt;""),AND(EX4&gt;=FD$15,EX4&lt;&gt;""),AND(FB4&gt;=FD$15,FB4&lt;&gt;""),AND(FT4&gt;=FZ$15,FT4&lt;&gt;""),AND(FX4&gt;=FZ$15,FX4&lt;&gt;""),AND(GP4&gt;=GV$15,GP4&lt;&gt;""),AND(GT4&gt;=GV$15,GT4&lt;&gt;""),AND(HL4&gt;=HR$15,HL4&lt;&gt;""),AND(HP4&gt;=HR$15,HP4&lt;&gt;""),AND(IH4&gt;=IN$15,IH4&lt;&gt;""),AND(IL4&gt;=IN$15,IL4&lt;&gt;""),AND(JD4&gt;=JJ$15,JD4&lt;&gt;""),AND(JH4&gt;=JJ$15,JH4&lt;&gt;""),AND(JZ4&gt;=KF$15,JZ4&lt;&gt;""),AND(KD4&gt;=KF$15,KD4&lt;&gt;""),AND(KV4&gt;=LB$15,KV4&lt;&gt;""),AND(KZ4&gt;=LB$15,KZ4&lt;&gt;""),AND(LR4&gt;=LX$15,LR4&lt;&gt;""),AND(LV4&gt;=LX$15,LV4&lt;&gt;""),AND(MN4&gt;=MT$15,MN4&lt;&gt;""),AND(MR4&gt;=MT$15,MR4&lt;&gt;"")),"Worlds Team",IF(OR(AND(AL4&gt;=AR$14,AL4&lt;&gt;"",AK4=""),AND(AP4&gt;=AR$14,AP4&lt;&gt;"",AK4=""),AND(BI4&gt;=BO$14,BI4&lt;&gt;"",BH4=""),AND(BM4&gt;=BO$14,BM4&lt;&gt;"",BH4=""),AND(CF4&gt;=CL$14,CF4&lt;&gt;"",CE4=""),AND(CJ4&gt;=CL$14,CJ4&lt;&gt;"",CE4=""),AND(DF4&gt;=DL$14,DF4&lt;&gt;""),AND(DJ4&gt;=DL$14,DJ4&lt;&gt;""),AND(EB4&gt;=EH$14,EB4&lt;&gt;""),AND(EF4&gt;=EH$14,EF4&lt;&gt;""),AND(EX4&gt;=FD$14,EX4&lt;&gt;""),AND(FB4&gt;=FD$14,FB4&lt;&gt;""),AND(FT4&gt;=FZ$14,FT4&lt;&gt;""),AND(FX4&gt;=FZ$14,FX4&lt;&gt;""),AND(GP4&gt;=GV$14,GP4&lt;&gt;""),AND(GT4&gt;=GV$14,GT4&lt;&gt;""),AND(HL4&gt;=HR$14,HL4&lt;&gt;""),AND(HP4&gt;=HR$14,HP4&lt;&gt;""),AND(IH4&gt;=IN$14,IH4&lt;&gt;""),AND(IL4&gt;=IN$14,IL4&lt;&gt;""),AND(JD4&gt;=JJ$14,JD4&lt;&gt;""),AND(JH4&gt;=JJ$14,JH4&lt;&gt;""),AND(JZ4&gt;=KF$14,JZ4&lt;&gt;""),AND(KD4&gt;=KF$14,KD4&lt;&gt;""),AND(KV4&gt;=LB$14,KV4&lt;&gt;""),AND(KZ4&gt;=LB$14,KZ4&lt;&gt;""),AND(LR4&gt;=LX$14,LR4&lt;&gt;""),AND(LV4&gt;=LX$14,LV4&lt;&gt;""),AND(MN4&gt;=MT$14,MN4&lt;&gt;""),AND(MR4&gt;=MT$14,MR4&lt;&gt;"")),"National Team",""))))</f>
        <v>National Team</v>
      </c>
      <c r="H4" s="125" t="str">
        <f>IF(OR(AND(AN4&gt;=AR$21,AN4&lt;&gt;"",AK4=""),AND(AQ4&gt;=AR$21,AQ4&lt;&gt;"",AK4=""),AND(BK4&gt;=BO$21,BK4&lt;&gt;"",BH4=""),AND(BN4&gt;=BO$21,BN4&lt;&gt;"",BH4=""),AND(CH4&gt;=CL$21,CH4&lt;&gt;"",CE4=""),AND(CK4&gt;=CL$21,CE4&lt;&gt;"",CE4=""),AND(DH4&gt;=DL$21,DH4&lt;&gt;""),AND(DK4&gt;=DL$21,DK4&lt;&gt;""),AND(ED4&gt;=EH$21,ED4&lt;&gt;""),AND(EG4&gt;=EH$21,EG4&lt;&gt;""),AND(EZ4&gt;=FD$21,EZ4&lt;&gt;""),AND(FC4&gt;=FD$21,FC4&lt;&gt;""),AND(FV4&gt;=FZ$21,FV4&lt;&gt;""),AND(FY4&gt;=FZ$21,FY4&lt;&gt;""),AND(GR4&gt;=GV$21,GR4&lt;&gt;""),AND(GU4&gt;=GV$21,GU4&lt;&gt;""),AND(HN4&gt;=HR$21,HN4&lt;&gt;""),AND(HQ4&gt;=HR$21,HQ4&lt;&gt;""),AND(IJ4&gt;=IN$21,IJ4&lt;&gt;""),AND(IM4&gt;=IN$21,IM4&lt;&gt;""),AND(JF4&gt;=JJ$21,JF4&lt;&gt;""),AND(JI4&gt;=JJ$21,JI4&lt;&gt;""),AND(KB4&gt;=KF$21,KB4&lt;&gt;""),AND(KE4&gt;=KF$21,KE4&lt;&gt;""),AND(KX4&gt;=LB$21,KX4&lt;&gt;""),AND(LA4&gt;=LB$21,LA4&lt;&gt;""),AND(LT4&gt;=LX$21,LT4&lt;&gt;""),AND(LW4&gt;=LX$21,LW4&lt;&gt;""),AND(MP4&gt;=MT$21,MP4&lt;&gt;""),AND(MS4&gt;=MT$21,MS4&lt;&gt;"")),"Merit",IF(OR(AND(AN4&gt;=AR$20,AN4&lt;&gt;"",AK4=""),AND(AQ4&gt;=AR$20,AQ4&lt;&gt;"",AK4=""),AND(BK4&gt;=BO$20,BK4&lt;&gt;"",BH4=""),AND(BN4&gt;=BO$20,BN4&lt;&gt;"",BH4=""),AND(CH4&gt;=CL$20,CH4&lt;&gt;"",CE4=""),AND(CK4&gt;=CL$20,CE4&lt;&gt;"",CE4=""),AND(DH4&gt;=DL$20,DH4&lt;&gt;""),AND(DK4&gt;=DL$20,DK4&lt;&gt;""),AND(ED4&gt;=EH$20,ED4&lt;&gt;""),AND(EG4&gt;=EH$20,EG4&lt;&gt;""),AND(EZ4&gt;=FD$20,EZ4&lt;&gt;""),AND(FC4&gt;=FD$20,FC4&lt;&gt;""),AND(FV4&gt;=FZ$20,FV4&lt;&gt;""),AND(FY4&gt;=FZ$20,FY4&lt;&gt;""),AND(GR4&gt;=GV$20,GR4&lt;&gt;""),AND(GU4&gt;=GV$20,GU4&lt;&gt;""),AND(HN4&gt;=HR$20,HN4&lt;&gt;""),AND(HQ4&gt;=HR$20,HQ4&lt;&gt;""),AND(IJ4&gt;=IN$20,IJ4&lt;&gt;""),AND(IM4&gt;=IN$20,IM4&lt;&gt;""),AND(JF4&gt;=JJ$20,JF4&lt;&gt;""),AND(JI4&gt;=JJ$20,JI4&lt;&gt;""),AND(KB4&gt;=KF$20,KB4&lt;&gt;""),AND(KE4&gt;=KF$20,KE4&lt;&gt;""),AND(KX4&gt;=LB$20,KX4&lt;&gt;""),AND(LA4&gt;=LB$20,LA4&lt;&gt;""),AND(LT4&gt;=LX$20,LT4&lt;&gt;""),AND(LW4&gt;=LX$20,LW4&lt;&gt;""),AND(MP4&gt;=MT$20,MP4&lt;&gt;""),AND(MS4&gt;=MT$20,MS4&lt;&gt;"")),"Excellence",IF(OR(AND(AO4&gt;=AR$19,AO4&lt;&gt;"",AK4=""),AND(BL4&gt;=BO$19,BL4&lt;&gt;"",BH4=""),AND(CI4&gt;=CL$19,CI4&lt;&gt;"",CE4=""),AND(DI4&gt;=DL$19,DI4&lt;&gt;""),AND(EE4&gt;=EH$19,EE4&lt;&gt;""),AND(FA4&gt;=FD$19,FA4&lt;&gt;""),AND(FW4&gt;=FZ$19,FW4&lt;&gt;""),AND(GS4&gt;=GV$19,GS4&lt;&gt;""),AND(HO4&gt;=HR$19,HO4&lt;&gt;""),AND(IK4&gt;=IN$19,IK4&lt;&gt;""),AND(JG4&gt;=JJ$19,JG4&lt;&gt;""),AND(KC4&gt;=KF$19,KC4&lt;&gt;""),AND(KY4&gt;=LB$19,KY4&lt;&gt;""),AND(LU4&gt;=LX$19,LU4&lt;&gt;""),AND(MQ4&gt;=MT$19,MQ4&lt;&gt;"")),"Worlds Team",IF(OR(AND(AO4&gt;=AR$18,AO4&lt;&gt;"",AK4=""),AND(BL4&gt;=BO$18,BL4&lt;&gt;"",BH4=""),AND(CI4&gt;=CL$18,CI4&lt;&gt;"",CE4=""),AND(DI4&gt;=DL$18,DI4&lt;&gt;""),AND(EE4&gt;=EH$18,EE4&lt;&gt;""),AND(FA4&gt;=FD$18,FA4&lt;&gt;""),AND(FW4&gt;=FZ$18,FW4&lt;&gt;""),AND(GS4&gt;=GV$18,GS4&lt;&gt;""),AND(HO4&gt;=HR$18,HO4&lt;&gt;""),AND(IK4&gt;=IN$18,IK4&lt;&gt;""),AND(JG4&gt;=JJ$18,JG4&lt;&gt;""),AND(KC4&gt;=KF$18,KC4&lt;&gt;""),AND(KY4&gt;=LB$18,KY4&lt;&gt;""),AND(LU4&gt;=LX$18,LU4&lt;&gt;""),AND(MQ4&gt;=MT$18,MQ4&lt;&gt;"")),"National Team",""))))</f>
        <v>Excellence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O4&gt;=AR$19,AO4&lt;&gt;"",AK4=""),AND(BL4&gt;=BO$19,BL4&lt;&gt;"",BH4=""),AND(CI4&gt;=CL$19,CI4&lt;&gt;"",CE4=""),AND(DI4&gt;=DL$19,DI4&lt;&gt;""),AND(EE4&gt;=EH$19,EE4&lt;&gt;""),AND(FA4&gt;=FD$19,FA4&lt;&gt;""),AND(FW4&gt;=FZ$19,FW4&lt;&gt;""),AND(GS4&gt;=GV$19,GS4&lt;&gt;""),AND(HO4&gt;=HR$19,HO4&lt;&gt;""),AND(IK4&gt;=IN$19,IK4&lt;&gt;""),AND(JG4&gt;=JJ$19,JG4&lt;&gt;""),AND(KC4&gt;=KF$19,KC4&lt;&gt;""),AND(KY4&gt;=LB$19,KY4&lt;&gt;""),AND(LU4&gt;=LX$19,LU4&lt;&gt;""),AND(MQ4&gt;=MT$19,MQ4&lt;&gt;"")),OR(G4="Worlds Team",G4="Excellence",G4="Merit")),"P","")</f>
        <v/>
      </c>
      <c r="K4" s="14">
        <f>MAX(AO4,BL4,CI4)</f>
        <v>90.86</v>
      </c>
      <c r="L4" s="14" t="str">
        <f>IF(K4=0,"",IF(K4=CI4,$BP$1,IF(K4=BL4,$AS$1,IF(K4=AO4,$V$1,""))))</f>
        <v>2019 Elite Canada</v>
      </c>
      <c r="M4" s="14">
        <f>IF($K4=$AO4,MAX(BJ4,CG4),IF($K4=$BL4,MAX(AM4,CG4),IF($K4=$CI4,MAX(AM4,BJ4),MAX(AM4,BJ4,CG4))))</f>
        <v>32.06</v>
      </c>
      <c r="N4" s="14" t="str">
        <f>IF(M4=0,"",IF(AND(M4=CG4,$L4&lt;&gt;$BP$1),$BP$1,IF(AND(M4=BJ4,$L4&lt;&gt;$AS$1),$AS$1,IF(AND(M4=AM4,$L4&lt;&gt;$V$1),$V$1,""))))</f>
        <v>2019 Nationals</v>
      </c>
      <c r="O4" s="14">
        <f>IF($K4=$AO4,MAX(CH4,BK4),IF($K4=$BL4,MAX(AN4,CH4),IF($K4=$CI4,MAX(AN4,BK4),MAX(AN4,BK4,CH4))))</f>
        <v>44.39</v>
      </c>
      <c r="P4" s="14" t="str">
        <f>IF(O4=0,"",IF(AND(O4=CH4,$L4&lt;&gt;$BP$1),$BP$1,IF(AND(O4=BK4,$L4&lt;&gt;$AS$1),$AS$1,IF(AND(O4=AN4,$L4&lt;&gt;$V$1),$V$1,""))))</f>
        <v>2019 Nationals</v>
      </c>
      <c r="Q4" s="14">
        <f>MAX(AQ4,BN4,CK4)</f>
        <v>50.349999999999994</v>
      </c>
      <c r="R4" s="14" t="str">
        <f>IF(Q4=0,"",IF(Q4=CK4,$BP$1,IF(Q4=BN4,$AS$1,IF(Q4=AQ4,$V$1,""))))</f>
        <v>2019 Nationals</v>
      </c>
      <c r="S4" s="14">
        <f>IF(MAX(CM4,CN4,CO4,CP4)&gt;0,MAX(CM4,CN4,CO4,CP4),"")</f>
        <v>9.480000000000004</v>
      </c>
      <c r="T4" s="25" t="str">
        <f>IF(S4="","",IF(S4=CM4,"(Vol 1)",IF(S4=CN4,"(Vol 2)",IF(S4=CO4,"(Prelim)",IF(S4=CP4,"(Final)")))))</f>
        <v>(Vol 1)</v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>2020 World Cup AZE (Feb 16)</v>
      </c>
      <c r="V4" s="39">
        <v>9.25</v>
      </c>
      <c r="W4" s="39">
        <v>9.1999999999999993</v>
      </c>
      <c r="X4" s="39">
        <v>5.8</v>
      </c>
      <c r="Y4" s="39">
        <v>17.940000000000001</v>
      </c>
      <c r="Z4" s="39">
        <v>0</v>
      </c>
      <c r="AA4" s="39">
        <v>8.5500000000000007</v>
      </c>
      <c r="AB4" s="39">
        <v>8.6999999999999993</v>
      </c>
      <c r="AC4" s="39">
        <v>14.2</v>
      </c>
      <c r="AD4" s="39">
        <v>17.22</v>
      </c>
      <c r="AE4" s="39">
        <v>0</v>
      </c>
      <c r="AF4" s="39">
        <v>8.6999999999999993</v>
      </c>
      <c r="AG4" s="39">
        <v>8.6999999999999993</v>
      </c>
      <c r="AH4" s="39">
        <v>14.2</v>
      </c>
      <c r="AI4" s="39">
        <v>16.98</v>
      </c>
      <c r="AJ4" s="39">
        <v>0</v>
      </c>
      <c r="AK4" s="80"/>
      <c r="AL4" s="11">
        <f>IF(AC4&gt;0,AC4,"")</f>
        <v>14.2</v>
      </c>
      <c r="AM4" s="11">
        <f>IF(SUM(V4:Y4)-Z4&gt;0,SUM(V4:Y4)-Z4,"")</f>
        <v>42.19</v>
      </c>
      <c r="AN4" s="11">
        <f>IF(SUM(AA4:AD4)-AE4&gt;0,SUM(AA4:AD4)-AE4,"")</f>
        <v>48.67</v>
      </c>
      <c r="AO4" s="11">
        <f>IF(SUM(AM4:AN4)&gt;0,SUM(AM4:AN4),"")</f>
        <v>90.86</v>
      </c>
      <c r="AP4" s="11">
        <f>IF(AH4&gt;0,AH4,"")</f>
        <v>14.2</v>
      </c>
      <c r="AQ4" s="11">
        <f>IF(SUM(AF4:AI4)-AJ4&gt;0,SUM(AF4:AI4)-AJ4,"")</f>
        <v>48.58</v>
      </c>
      <c r="AR4" s="11">
        <f>IF(SUM(AO4,AQ4)&gt;0,SUM(AO4,AQ4),"")</f>
        <v>139.44</v>
      </c>
      <c r="AS4" s="40">
        <v>7.65</v>
      </c>
      <c r="AT4" s="40">
        <v>7.35</v>
      </c>
      <c r="AU4" s="40">
        <v>2.9</v>
      </c>
      <c r="AV4" s="40">
        <v>14.16</v>
      </c>
      <c r="AW4" s="40">
        <v>0</v>
      </c>
      <c r="AX4" s="40">
        <v>7.9</v>
      </c>
      <c r="AY4" s="40">
        <v>8.15</v>
      </c>
      <c r="AZ4" s="40">
        <v>12.4</v>
      </c>
      <c r="BA4" s="40">
        <v>15.94</v>
      </c>
      <c r="BB4" s="40">
        <v>0</v>
      </c>
      <c r="BC4" s="40">
        <v>8.9499999999999993</v>
      </c>
      <c r="BD4" s="40">
        <v>9.4</v>
      </c>
      <c r="BE4" s="40">
        <v>14.2</v>
      </c>
      <c r="BF4" s="40">
        <v>17.8</v>
      </c>
      <c r="BG4" s="40">
        <v>0</v>
      </c>
      <c r="BH4" s="81"/>
      <c r="BI4" s="14">
        <f>IF(AZ4&gt;0,AZ4,"")</f>
        <v>12.4</v>
      </c>
      <c r="BJ4" s="14">
        <f>IF(SUM(AS4:AV4)-AW4&gt;0,SUM(AS4:AV4)-AW4,"")</f>
        <v>32.06</v>
      </c>
      <c r="BK4" s="14">
        <f>IF(SUM(AX4:BA4)-BB4&gt;0,SUM(AX4:BA4)-BB4,"")</f>
        <v>44.39</v>
      </c>
      <c r="BL4" s="14">
        <f>IF(SUM(BJ4:BK4)&gt;0,SUM(BJ4:BK4),"")</f>
        <v>76.45</v>
      </c>
      <c r="BM4" s="14">
        <f>IF(BE4&gt;0,BE4,"")</f>
        <v>14.2</v>
      </c>
      <c r="BN4" s="14">
        <f>IF(SUM(BC4:BF4)-BG4&gt;0,SUM(BC4:BF4)-BG4,"")</f>
        <v>50.349999999999994</v>
      </c>
      <c r="BO4" s="14">
        <f>IF(SUM(BL4,BN4)&gt;0,SUM(BL4,BN4),"")</f>
        <v>126.8</v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>
        <f>IF(MAX(DG4,EC4,EY4,FU4,GQ4,HM4,II4,JE4,KA4,KW4,LS4,MO4)-IF(M4="",0,M4)&gt;0.001,MAX(DG4,EC4,EY4,FU4,GQ4,HM4,II4,JE4,KA4,KW4,LS4,MO4)-IF(M4="",0,M4),"")</f>
        <v>9.480000000000004</v>
      </c>
      <c r="CN4" s="24" t="str">
        <f>IF(MAX(DH4,ED4,EZ4,FV4,GR4,HN4,IJ4,JF4,KB4,KX4,LT4,MP4)-IF(O4="",0,O4)&gt;0.001,MAX(DH4,ED4,EZ4,FV4,GR4,HN4,IJ4,JF4,KB4,KX4,LT4,MP4)-IF(O4="",0,O4),"")</f>
        <v/>
      </c>
      <c r="CO4" s="24" t="str">
        <f>IF(MAX(DI4,EE4,FA4,FW4,GS4,HO4,IK4,JG4,KC4,KY4,LU4,MQ4)-IF(K4="",0,K4)&gt;0.001,MAX(DI4,EE4,FA4,FW4,GS4,HO4,IK4,JG4,KC4,KY4,LU4,MQ4)-IF(K4="",0,K4),"")</f>
        <v/>
      </c>
      <c r="CP4" s="24" t="str">
        <f>IF(MAX(DK4,EG4,FC4,FY4,GU4,HQ4,IM4,JI4,KE4,LA4,LW4,MS4)-IF(Q4="",0,Q4)&gt;0.001,MAX(DK4,EG4,FC4,FY4,GU4,HQ4,IM4,JI4,KE4,LA4,LW4,MS4)-IF(Q4="",0,Q4),"")</f>
        <v/>
      </c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11" t="str">
        <f>IF(CX4&gt;0,CX4,"")</f>
        <v/>
      </c>
      <c r="DG4" s="11" t="str">
        <f>IF(SUM(CQ4:CT4)-CU4&gt;0,SUM(CQ4:CT4)-CU4,"")</f>
        <v/>
      </c>
      <c r="DH4" s="11" t="str">
        <f>IF(SUM(CV4:CY4)-CZ4&gt;0,SUM(CV4:CY4)-CZ4,"")</f>
        <v/>
      </c>
      <c r="DI4" s="11" t="str">
        <f>IF(SUM(DG4:DH4)&gt;0,SUM(DG4:DH4),"")</f>
        <v/>
      </c>
      <c r="DJ4" s="11" t="str">
        <f>IF(DC4&gt;0,DC4,"")</f>
        <v/>
      </c>
      <c r="DK4" s="11" t="str">
        <f>IF(SUM(DA4:DD4)-DE4&gt;0,SUM(DA4:DD4)-DE4,"")</f>
        <v/>
      </c>
      <c r="DL4" s="11" t="str">
        <f>IF(SUM(DI4,DK4)&gt;0,SUM(DI4,DK4),"")</f>
        <v/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 t="str">
        <f>IF(DY4&gt;0,DY4,"")</f>
        <v/>
      </c>
      <c r="EG4" s="14" t="str">
        <f>IF(SUM(DW4:DZ4)-EA4&gt;0,SUM(DW4:DZ4)-EA4,"")</f>
        <v/>
      </c>
      <c r="EH4" s="14" t="str">
        <f>IF(SUM(EE4,EG4)&gt;0,SUM(EE4,EG4),"")</f>
        <v/>
      </c>
      <c r="EI4" s="37">
        <v>8.9</v>
      </c>
      <c r="EJ4" s="37">
        <v>9.3000000000000007</v>
      </c>
      <c r="EK4" s="37">
        <v>4.8</v>
      </c>
      <c r="EL4" s="37">
        <v>18.54</v>
      </c>
      <c r="EM4" s="37">
        <v>0</v>
      </c>
      <c r="EN4" s="37">
        <v>3.95</v>
      </c>
      <c r="EO4" s="37">
        <v>4.5</v>
      </c>
      <c r="EP4" s="37">
        <v>8.1999999999999993</v>
      </c>
      <c r="EQ4" s="37">
        <v>8.32</v>
      </c>
      <c r="ER4" s="37">
        <v>0</v>
      </c>
      <c r="ES4" s="37">
        <v>5.95</v>
      </c>
      <c r="ET4" s="37">
        <v>6.7</v>
      </c>
      <c r="EU4" s="37">
        <v>10.3</v>
      </c>
      <c r="EV4" s="37">
        <v>13.16</v>
      </c>
      <c r="EW4" s="37">
        <v>0</v>
      </c>
      <c r="EX4" s="11">
        <f>IF(EP4&gt;0,EP4,"")</f>
        <v>8.1999999999999993</v>
      </c>
      <c r="EY4" s="11">
        <f>IF(SUM(EI4:EL4)-EM4&gt;0,SUM(EI4:EL4)-EM4,"")</f>
        <v>41.540000000000006</v>
      </c>
      <c r="EZ4" s="11">
        <f>IF(SUM(EN4:EQ4)-ER4&gt;0,SUM(EN4:EQ4)-ER4,"")</f>
        <v>24.97</v>
      </c>
      <c r="FA4" s="11">
        <f>IF(SUM(EY4:EZ4)&gt;0,SUM(EY4:EZ4),"")</f>
        <v>66.510000000000005</v>
      </c>
      <c r="FB4" s="11">
        <f>IF(EU4&gt;0,EU4,"")</f>
        <v>10.3</v>
      </c>
      <c r="FC4" s="11">
        <f>IF(SUM(ES4:EV4)-EW4&gt;0,SUM(ES4:EV4)-EW4,"")</f>
        <v>36.11</v>
      </c>
      <c r="FD4" s="11">
        <f>IF(SUM(FA4,FC4)&gt;0,SUM(FA4,FC4),"")</f>
        <v>102.62</v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>IF($CE4="P",BP4,(BP4+AS4)/2)</f>
        <v>3.8250000000000002</v>
      </c>
      <c r="MV4" s="69">
        <f>IF($CE4="P",BQ4,(BQ4+AT4)/2)</f>
        <v>3.6749999999999998</v>
      </c>
      <c r="MW4" s="69">
        <f>IF($CE4="P",BR4,(BR4+AU4)/2)</f>
        <v>1.45</v>
      </c>
      <c r="MX4" s="69">
        <f>IF($CE4="P",BS4,(BS4+AV4)/2)</f>
        <v>7.08</v>
      </c>
      <c r="MY4" s="69">
        <f>IF($CE4="P",BT4,(BT4+AW4)/2)</f>
        <v>0</v>
      </c>
      <c r="MZ4" s="69">
        <f>IF($CE4="P",BU4,(BU4+AX4)/2)</f>
        <v>3.95</v>
      </c>
      <c r="NA4" s="69">
        <f>IF($CE4="P",BV4,(BV4+AY4)/2)</f>
        <v>4.0750000000000002</v>
      </c>
      <c r="NB4" s="69">
        <f>IF($CE4="P",BW4,(BW4+AZ4)/2)</f>
        <v>6.2</v>
      </c>
      <c r="NC4" s="69">
        <f>IF($CE4="P",BX4,(BX4+BA4)/2)</f>
        <v>7.97</v>
      </c>
      <c r="ND4" s="69">
        <f>IF($CE4="P",BY4,(BY4+BB4)/2)</f>
        <v>0</v>
      </c>
      <c r="NE4" s="69">
        <f>IF($CE4="P",BZ4,(BZ4+BC4)/2)</f>
        <v>4.4749999999999996</v>
      </c>
      <c r="NF4" s="69">
        <f>IF($CE4="P",CA4,(CA4+BD4)/2)</f>
        <v>4.7</v>
      </c>
      <c r="NG4" s="69">
        <f>IF($CE4="P",CB4,(CB4+BE4)/2)</f>
        <v>7.1</v>
      </c>
      <c r="NH4" s="69">
        <f>IF($CE4="P",CC4,(CC4+BF4)/2)</f>
        <v>8.9</v>
      </c>
      <c r="NI4" s="69">
        <f>IF($CE4="P",CD4,(CD4+BG4)/2)</f>
        <v>0</v>
      </c>
      <c r="NJ4" s="80" t="s">
        <v>91</v>
      </c>
      <c r="NK4" s="11">
        <f>IF(NB4&gt;0,NB4,"")</f>
        <v>6.2</v>
      </c>
      <c r="NL4" s="11">
        <f>IF(SUM(MU4:MX4)-MY4&gt;0,SUM(MU4:MX4)-MY4,"")</f>
        <v>16.03</v>
      </c>
      <c r="NM4" s="11">
        <f>IF(SUM(MZ4:NC4)-ND4&gt;0,SUM(MZ4:NC4)-ND4,"")</f>
        <v>22.195</v>
      </c>
      <c r="NN4" s="11">
        <f>IF(SUM(NL4:NM4)&gt;0,SUM(NL4:NM4),"")</f>
        <v>38.225000000000001</v>
      </c>
      <c r="NO4" s="11">
        <f>IF(NG4&gt;0,NG4,"")</f>
        <v>7.1</v>
      </c>
      <c r="NP4" s="11">
        <f>IF(SUM(NE4:NH4)-NI4&gt;0,SUM(NE4:NH4)-NI4,"")</f>
        <v>25.174999999999997</v>
      </c>
      <c r="NQ4" s="11">
        <f>IF(SUM(NN4,NP4)&gt;0,SUM(NN4,NP4),"")</f>
        <v>63.4</v>
      </c>
    </row>
    <row r="5" spans="1:381" x14ac:dyDescent="0.2">
      <c r="A5" s="5" cm="1">
        <f t="array" ref="A5">IF(AND(G5&lt;&gt;"",H5&lt;&gt;""),SUMPRODUCT((G$4:G$12&lt;&gt;"")*(H$4:H$12&lt;&gt;"")*(E$4:E$12&gt;E5))+1,IF(H5&lt;&gt;"",SUMPRODUCT((I$4:I$12="No DD")*(E$4:E$12&gt;E5))+1+SUMPRODUCT((G$4:G$12&lt;&gt;"")*(H$4:H$12&lt;&gt;"")),""))</f>
        <v>2</v>
      </c>
      <c r="B5" s="8" t="s">
        <v>158</v>
      </c>
      <c r="C5" s="4" t="s">
        <v>159</v>
      </c>
      <c r="D5" s="27" t="s">
        <v>160</v>
      </c>
      <c r="E5" s="15">
        <f>SUM(K5:S5)</f>
        <v>89.69</v>
      </c>
      <c r="F5" s="3" t="str">
        <f>IF(G5&lt;&gt;"","P","")</f>
        <v>P</v>
      </c>
      <c r="G5" s="125" t="str">
        <f>IF(OR(AND(AL5&gt;=AR$17,AL5&lt;&gt;"",AK5=""),AND(AP5&gt;=AR$17,AP5&lt;&gt;"",AK5=""),AND(BI5&gt;=BO$17,BI5&lt;&gt;"",BH5=""),AND(BM5&gt;=BO$17,BM5&lt;&gt;"",BH5=""),AND(CF5&gt;=CL$17,CF5&lt;&gt;"",CE5=""),AND(CJ5&gt;=CL$17,CJ5&lt;&gt;"",CE5=""),AND(DF5&gt;=DL$17,DF5&lt;&gt;""),AND(DJ5&gt;=DL$17,DJ5&lt;&gt;""),AND(EB5&gt;=EH$17,EB5&lt;&gt;""),AND(EF5&gt;=EH$17,EF5&lt;&gt;""),AND(EX5&gt;=FD$17,EX5&lt;&gt;""),AND(FB5&gt;=FD$17,FB5&lt;&gt;""),AND(FT5&gt;=FZ$17,FT5&lt;&gt;""),AND(FX5&gt;=FZ$17,FX5&lt;&gt;""),AND(GP5&gt;=GV$17,GP5&lt;&gt;""),AND(GT5&gt;=GV$17,GT5&lt;&gt;""),AND(HL5&gt;=HR$17,HL5&lt;&gt;""),AND(HP5&gt;=HR$17,HP5&lt;&gt;""),AND(IH5&gt;=IN$17,IH5&lt;&gt;""),AND(IL5&gt;=IN$17,IL5&lt;&gt;""),AND(JD5&gt;=JJ$17,JD5&lt;&gt;""),AND(JH5&gt;=JJ$17,JH5&lt;&gt;""),AND(JZ5&gt;=KF$17,JZ5&lt;&gt;""),AND(KD5&gt;=KF$17,KD5&lt;&gt;""),AND(KV5&gt;=LB$17,KV5&lt;&gt;""),AND(KZ5&gt;=LB$17,KZ5&lt;&gt;""),AND(LR5&gt;=LX$17,LR5&lt;&gt;""),AND(LV5&gt;=LX$17,LV5&lt;&gt;""),AND(MN5&gt;=MT$17,MN5&lt;&gt;""),AND(MR5&gt;=MT$17,MR5&lt;&gt;"")),"Merit",IF(OR(AND(AL5&gt;=AR$16,AL5&lt;&gt;"",AK5=""),AND(AP5&gt;=AR$16,AP5&lt;&gt;"",AK5=""),AND(BI5&gt;=BO$16,BI5&lt;&gt;"",BH5=""),AND(BM5&gt;=BO$16,BM5&lt;&gt;"",BH5=""),AND(CF5&gt;=CL$16,CF5&lt;&gt;"",CE5=""),AND(CJ5&gt;=CL$16,CJ5&lt;&gt;"",CE5=""),AND(DF5&gt;=DL$16,DF5&lt;&gt;""),AND(DJ5&gt;=DL$16,DJ5&lt;&gt;""),AND(EB5&gt;=EH$16,EB5&lt;&gt;""),AND(EF5&gt;=EH$16,EF5&lt;&gt;""),AND(EX5&gt;=FD$16,EX5&lt;&gt;""),AND(FB5&gt;=FD$16,FB5&lt;&gt;""),AND(FT5&gt;=FZ$16,FT5&lt;&gt;""),AND(FX5&gt;=FZ$16,FX5&lt;&gt;""),AND(GP5&gt;=GV$16,GP5&lt;&gt;""),AND(GT5&gt;=GV$16,GT5&lt;&gt;""),AND(HL5&gt;=HR$16,HL5&lt;&gt;""),AND(HP5&gt;=HR$16,HP5&lt;&gt;""),AND(IH5&gt;=IN$16,IH5&lt;&gt;""),AND(IL5&gt;=IN$16,IL5&lt;&gt;""),AND(JD5&gt;=JJ$16,JD5&lt;&gt;""),AND(JH5&gt;=JJ$16,JH5&lt;&gt;""),AND(JZ5&gt;=KF$16,JZ5&lt;&gt;""),AND(KD5&gt;=KF$16,KD5&lt;&gt;""),AND(KV5&gt;=LB$16,KV5&lt;&gt;""),AND(KZ5&gt;=LB$16,KZ5&lt;&gt;""),AND(LR5&gt;=LX$16,LR5&lt;&gt;""),AND(LV5&gt;=LX$16,LV5&lt;&gt;""),AND(MN5&gt;=MT$16,MN5&lt;&gt;""),AND(MR5&gt;=MT$16,MR5&lt;&gt;"")),"Excellence",IF(OR(AND(AL5&gt;=AR$15,AL5&lt;&gt;"",AK5=""),AND(AP5&gt;=AR$15,AP5&lt;&gt;"",AK5=""),AND(BI5&gt;=BO$15,BI5&lt;&gt;"",BH5=""),AND(BM5&gt;=BO$15,BM5&lt;&gt;"",BH5=""),AND(CF5&gt;=CL$15,CF5&lt;&gt;"",CE5=""),AND(CJ5&gt;=CL$15,CJ5&lt;&gt;"",CE5=""),AND(DF5&gt;=DL$15,DF5&lt;&gt;""),AND(DJ5&gt;=DL$15,DJ5&lt;&gt;""),AND(EB5&gt;=EH$15,EB5&lt;&gt;""),AND(EF5&gt;=EH$15,EF5&lt;&gt;""),AND(EX5&gt;=FD$15,EX5&lt;&gt;""),AND(FB5&gt;=FD$15,FB5&lt;&gt;""),AND(FT5&gt;=FZ$15,FT5&lt;&gt;""),AND(FX5&gt;=FZ$15,FX5&lt;&gt;""),AND(GP5&gt;=GV$15,GP5&lt;&gt;""),AND(GT5&gt;=GV$15,GT5&lt;&gt;""),AND(HL5&gt;=HR$15,HL5&lt;&gt;""),AND(HP5&gt;=HR$15,HP5&lt;&gt;""),AND(IH5&gt;=IN$15,IH5&lt;&gt;""),AND(IL5&gt;=IN$15,IL5&lt;&gt;""),AND(JD5&gt;=JJ$15,JD5&lt;&gt;""),AND(JH5&gt;=JJ$15,JH5&lt;&gt;""),AND(JZ5&gt;=KF$15,JZ5&lt;&gt;""),AND(KD5&gt;=KF$15,KD5&lt;&gt;""),AND(KV5&gt;=LB$15,KV5&lt;&gt;""),AND(KZ5&gt;=LB$15,KZ5&lt;&gt;""),AND(LR5&gt;=LX$15,LR5&lt;&gt;""),AND(LV5&gt;=LX$15,LV5&lt;&gt;""),AND(MN5&gt;=MT$15,MN5&lt;&gt;""),AND(MR5&gt;=MT$15,MR5&lt;&gt;"")),"Worlds Team",IF(OR(AND(AL5&gt;=AR$14,AL5&lt;&gt;"",AK5=""),AND(AP5&gt;=AR$14,AP5&lt;&gt;"",AK5=""),AND(BI5&gt;=BO$14,BI5&lt;&gt;"",BH5=""),AND(BM5&gt;=BO$14,BM5&lt;&gt;"",BH5=""),AND(CF5&gt;=CL$14,CF5&lt;&gt;"",CE5=""),AND(CJ5&gt;=CL$14,CJ5&lt;&gt;"",CE5=""),AND(DF5&gt;=DL$14,DF5&lt;&gt;""),AND(DJ5&gt;=DL$14,DJ5&lt;&gt;""),AND(EB5&gt;=EH$14,EB5&lt;&gt;""),AND(EF5&gt;=EH$14,EF5&lt;&gt;""),AND(EX5&gt;=FD$14,EX5&lt;&gt;""),AND(FB5&gt;=FD$14,FB5&lt;&gt;""),AND(FT5&gt;=FZ$14,FT5&lt;&gt;""),AND(FX5&gt;=FZ$14,FX5&lt;&gt;""),AND(GP5&gt;=GV$14,GP5&lt;&gt;""),AND(GT5&gt;=GV$14,GT5&lt;&gt;""),AND(HL5&gt;=HR$14,HL5&lt;&gt;""),AND(HP5&gt;=HR$14,HP5&lt;&gt;""),AND(IH5&gt;=IN$14,IH5&lt;&gt;""),AND(IL5&gt;=IN$14,IL5&lt;&gt;""),AND(JD5&gt;=JJ$14,JD5&lt;&gt;""),AND(JH5&gt;=JJ$14,JH5&lt;&gt;""),AND(JZ5&gt;=KF$14,JZ5&lt;&gt;""),AND(KD5&gt;=KF$14,KD5&lt;&gt;""),AND(KV5&gt;=LB$14,KV5&lt;&gt;""),AND(KZ5&gt;=LB$14,KZ5&lt;&gt;""),AND(LR5&gt;=LX$14,LR5&lt;&gt;""),AND(LV5&gt;=LX$14,LV5&lt;&gt;""),AND(MN5&gt;=MT$14,MN5&lt;&gt;""),AND(MR5&gt;=MT$14,MR5&lt;&gt;"")),"National Team",""))))</f>
        <v>Merit</v>
      </c>
      <c r="H5" s="125" t="str">
        <f>IF(OR(AND(AN5&gt;=AR$21,AN5&lt;&gt;"",AK5=""),AND(AQ5&gt;=AR$21,AQ5&lt;&gt;"",AK5=""),AND(BK5&gt;=BO$21,BK5&lt;&gt;"",BH5=""),AND(BN5&gt;=BO$21,BN5&lt;&gt;"",BH5=""),AND(CH5&gt;=CL$21,CH5&lt;&gt;"",CE5=""),AND(CK5&gt;=CL$21,CE5&lt;&gt;"",CE5=""),AND(DH5&gt;=DL$21,DH5&lt;&gt;""),AND(DK5&gt;=DL$21,DK5&lt;&gt;""),AND(ED5&gt;=EH$21,ED5&lt;&gt;""),AND(EG5&gt;=EH$21,EG5&lt;&gt;""),AND(EZ5&gt;=FD$21,EZ5&lt;&gt;""),AND(FC5&gt;=FD$21,FC5&lt;&gt;""),AND(FV5&gt;=FZ$21,FV5&lt;&gt;""),AND(FY5&gt;=FZ$21,FY5&lt;&gt;""),AND(GR5&gt;=GV$21,GR5&lt;&gt;""),AND(GU5&gt;=GV$21,GU5&lt;&gt;""),AND(HN5&gt;=HR$21,HN5&lt;&gt;""),AND(HQ5&gt;=HR$21,HQ5&lt;&gt;""),AND(IJ5&gt;=IN$21,IJ5&lt;&gt;""),AND(IM5&gt;=IN$21,IM5&lt;&gt;""),AND(JF5&gt;=JJ$21,JF5&lt;&gt;""),AND(JI5&gt;=JJ$21,JI5&lt;&gt;""),AND(KB5&gt;=KF$21,KB5&lt;&gt;""),AND(KE5&gt;=KF$21,KE5&lt;&gt;""),AND(KX5&gt;=LB$21,KX5&lt;&gt;""),AND(LA5&gt;=LB$21,LA5&lt;&gt;""),AND(LT5&gt;=LX$21,LT5&lt;&gt;""),AND(LW5&gt;=LX$21,LW5&lt;&gt;""),AND(MP5&gt;=MT$21,MP5&lt;&gt;""),AND(MS5&gt;=MT$21,MS5&lt;&gt;"")),"Merit",IF(OR(AND(AN5&gt;=AR$20,AN5&lt;&gt;"",AK5=""),AND(AQ5&gt;=AR$20,AQ5&lt;&gt;"",AK5=""),AND(BK5&gt;=BO$20,BK5&lt;&gt;"",BH5=""),AND(BN5&gt;=BO$20,BN5&lt;&gt;"",BH5=""),AND(CH5&gt;=CL$20,CH5&lt;&gt;"",CE5=""),AND(CK5&gt;=CL$20,CE5&lt;&gt;"",CE5=""),AND(DH5&gt;=DL$20,DH5&lt;&gt;""),AND(DK5&gt;=DL$20,DK5&lt;&gt;""),AND(ED5&gt;=EH$20,ED5&lt;&gt;""),AND(EG5&gt;=EH$20,EG5&lt;&gt;""),AND(EZ5&gt;=FD$20,EZ5&lt;&gt;""),AND(FC5&gt;=FD$20,FC5&lt;&gt;""),AND(FV5&gt;=FZ$20,FV5&lt;&gt;""),AND(FY5&gt;=FZ$20,FY5&lt;&gt;""),AND(GR5&gt;=GV$20,GR5&lt;&gt;""),AND(GU5&gt;=GV$20,GU5&lt;&gt;""),AND(HN5&gt;=HR$20,HN5&lt;&gt;""),AND(HQ5&gt;=HR$20,HQ5&lt;&gt;""),AND(IJ5&gt;=IN$20,IJ5&lt;&gt;""),AND(IM5&gt;=IN$20,IM5&lt;&gt;""),AND(JF5&gt;=JJ$20,JF5&lt;&gt;""),AND(JI5&gt;=JJ$20,JI5&lt;&gt;""),AND(KB5&gt;=KF$20,KB5&lt;&gt;""),AND(KE5&gt;=KF$20,KE5&lt;&gt;""),AND(KX5&gt;=LB$20,KX5&lt;&gt;""),AND(LA5&gt;=LB$20,LA5&lt;&gt;""),AND(LT5&gt;=LX$20,LT5&lt;&gt;""),AND(LW5&gt;=LX$20,LW5&lt;&gt;""),AND(MP5&gt;=MT$20,MP5&lt;&gt;""),AND(MS5&gt;=MT$20,MS5&lt;&gt;"")),"Excellence",IF(OR(AND(AO5&gt;=AR$19,AO5&lt;&gt;"",AK5=""),AND(BL5&gt;=BO$19,BL5&lt;&gt;"",BH5=""),AND(CI5&gt;=CL$19,CI5&lt;&gt;"",CE5=""),AND(DI5&gt;=DL$19,DI5&lt;&gt;""),AND(EE5&gt;=EH$19,EE5&lt;&gt;""),AND(FA5&gt;=FD$19,FA5&lt;&gt;""),AND(FW5&gt;=FZ$19,FW5&lt;&gt;""),AND(GS5&gt;=GV$19,GS5&lt;&gt;""),AND(HO5&gt;=HR$19,HO5&lt;&gt;""),AND(IK5&gt;=IN$19,IK5&lt;&gt;""),AND(JG5&gt;=JJ$19,JG5&lt;&gt;""),AND(KC5&gt;=KF$19,KC5&lt;&gt;""),AND(KY5&gt;=LB$19,KY5&lt;&gt;""),AND(LU5&gt;=LX$19,LU5&lt;&gt;""),AND(MQ5&gt;=MT$19,MQ5&lt;&gt;"")),"Worlds Team",IF(OR(AND(AO5&gt;=AR$18,AO5&lt;&gt;"",AK5=""),AND(BL5&gt;=BO$18,BL5&lt;&gt;"",BH5=""),AND(CI5&gt;=CL$18,CI5&lt;&gt;"",CE5=""),AND(DI5&gt;=DL$18,DI5&lt;&gt;""),AND(EE5&gt;=EH$18,EE5&lt;&gt;""),AND(FA5&gt;=FD$18,FA5&lt;&gt;""),AND(FW5&gt;=FZ$18,FW5&lt;&gt;""),AND(GS5&gt;=GV$18,GS5&lt;&gt;""),AND(HO5&gt;=HR$18,HO5&lt;&gt;""),AND(IK5&gt;=IN$18,IK5&lt;&gt;""),AND(JG5&gt;=JJ$18,JG5&lt;&gt;""),AND(KC5&gt;=KF$18,KC5&lt;&gt;""),AND(KY5&gt;=LB$18,KY5&lt;&gt;""),AND(LU5&gt;=LX$18,LU5&lt;&gt;""),AND(MQ5&gt;=MT$18,MQ5&lt;&gt;"")),"National Team",""))))</f>
        <v>Worlds Team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Worlds Team</v>
      </c>
      <c r="J5" s="3" t="str">
        <f>IF(AND(OR(AND(AO5&gt;=AR$19,AO5&lt;&gt;"",AK5=""),AND(BL5&gt;=BO$19,BL5&lt;&gt;"",BH5=""),AND(CI5&gt;=CL$19,CI5&lt;&gt;"",CE5=""),AND(DI5&gt;=DL$19,DI5&lt;&gt;""),AND(EE5&gt;=EH$19,EE5&lt;&gt;""),AND(FA5&gt;=FD$19,FA5&lt;&gt;""),AND(FW5&gt;=FZ$19,FW5&lt;&gt;""),AND(GS5&gt;=GV$19,GS5&lt;&gt;""),AND(HO5&gt;=HR$19,HO5&lt;&gt;""),AND(IK5&gt;=IN$19,IK5&lt;&gt;""),AND(JG5&gt;=JJ$19,JG5&lt;&gt;""),AND(KC5&gt;=KF$19,KC5&lt;&gt;""),AND(KY5&gt;=LB$19,KY5&lt;&gt;""),AND(LU5&gt;=LX$19,LU5&lt;&gt;""),AND(MQ5&gt;=MT$19,MQ5&lt;&gt;"")),OR(G5="Worlds Team",G5="Excellence",G5="Merit")),"P","")</f>
        <v>P</v>
      </c>
      <c r="K5" s="14">
        <f>MAX(AO5,BL5,CI5)</f>
        <v>0</v>
      </c>
      <c r="L5" s="14" t="str">
        <f>IF(K5=0,"",IF(K5=CI5,$BP$1,IF(K5=BL5,$AS$1,IF(K5=AO5,$V$1,""))))</f>
        <v/>
      </c>
      <c r="M5" s="14">
        <f>IF($K5=$AO5,MAX(BJ5,CG5),IF($K5=$BL5,MAX(AM5,CG5),IF($K5=$CI5,MAX(AM5,BJ5),MAX(AM5,BJ5,CG5))))</f>
        <v>0</v>
      </c>
      <c r="N5" s="14" t="str">
        <f>IF(M5=0,"",IF(AND(M5=CG5,$L5&lt;&gt;$BP$1),$BP$1,IF(AND(M5=BJ5,$L5&lt;&gt;$AS$1),$AS$1,IF(AND(M5=AM5,$L5&lt;&gt;$V$1),$V$1,""))))</f>
        <v/>
      </c>
      <c r="O5" s="14">
        <f>IF($K5=$AO5,MAX(CH5,BK5),IF($K5=$BL5,MAX(AN5,CH5),IF($K5=$CI5,MAX(AN5,BK5),MAX(AN5,BK5,CH5))))</f>
        <v>0</v>
      </c>
      <c r="P5" s="14" t="str">
        <f>IF(O5=0,"",IF(AND(O5=CH5,$L5&lt;&gt;$BP$1),$BP$1,IF(AND(O5=BK5,$L5&lt;&gt;$AS$1),$AS$1,IF(AND(O5=AN5,$L5&lt;&gt;$V$1),$V$1,""))))</f>
        <v/>
      </c>
      <c r="Q5" s="14">
        <f>MAX(AQ5,BN5,CK5)</f>
        <v>0</v>
      </c>
      <c r="R5" s="14" t="str">
        <f>IF(Q5=0,"",IF(Q5=CK5,$BP$1,IF(Q5=BN5,$AS$1,IF(Q5=AQ5,$V$1,""))))</f>
        <v/>
      </c>
      <c r="S5" s="14">
        <f>IF(MAX(CM5,CN5,CO5,CP5)&gt;0,MAX(CM5,CN5,CO5,CP5),"")</f>
        <v>89.69</v>
      </c>
      <c r="T5" s="25" t="str">
        <f>IF(S5="","",IF(S5=CM5,"(Vol 1)",IF(S5=CN5,"(Vol 2)",IF(S5=CO5,"(Prelim)",IF(S5=CP5,"(Final)")))))</f>
        <v>(Prelim)</v>
      </c>
      <c r="U5" s="14" t="str">
        <f>IF(S5="","",IF(S5=CM5,IF(S5+IF(M5="",0,M5)=MO5,$LY$1,IF(S5+IF(M5="",0,M5)=LS5,$LC$1,IF(S5+IF(M5="",0,M5)=KW5,$KG$1,IF(S5+IF(M5="",0,M5)=KA5,$JK$1,IF(S5+IF(M5="",0,M5)=JE5,$IO$1,IF(S5+IF(M5="",0,M5)=II5,$HS$1,IF(S5+IF(M5="",0,M5)=HM5,$GW$1,IF(S5+IF(M5="",0,M5)=GQ5,$GA$1,IF(S5+IF(M5="",0,M5)=FU5,$FE$1,IF(S5+IF(M5="",0,M5)=EY5,$EI$1,IF(S5+IF(M5="",0,M5)=EC5,$DM$1,IF(S5+IF(M5="",0,M5)=DG5,$CQ$1)))))))))))),IF(S5=CN5,IF(S5+IF(O5="",0,O5)=MP5,$LY$1,IF(S5+IF(O5="",0,O5)=LT5,$LC$1,IF(S5+IF(O5="",0,O5)=KX5,$KG$1,IF(S5+IF(O5="",0,O5)=KB5,$JK$1,IF(S5+IF(O5="",0,O5)=JF5,$IO$1,IF(S5+IF(O5="",0,O5)=IJ5,$HS$1,IF(S5+IF(O5="",0,O5)=HN5,$GW$1,IF(S5+IF(O5="",0,O5)=GR5,$GA$1,IF(S5+IF(O5="",0,O5)=FV5,$FE$1,IF(S5+IF(O5="",0,O5)=EZ5,$EI$1,IF(S5+IF(O5="",0,O5)=ED5,$DM$1,IF(S5+IF(O5="",0,O5)=DH5,$CQ$1)))))))))))),IF(S5=CO5,IF(S5+IF(K5="",0,K5)=MQ5,$LY$1,IF(S5+IF(K5="",0,K5)=LU5,$LC$1,IF(S5+IF(K5="",0,K5)=KY5,$KG$1,IF(S5+IF(K5="",0,K5)=KC5,$JK$1,IF(S5+IF(K5="",0,K5)=JG5,$IO$1,IF(S5+IF(K5="",0,K5)=IK5,$HS$1,IF(S5+IF(K5="",0,K5)=HO5,$GW$1,IF(S5+IF(K5="",0,K5)=GS5,$GA$1,IF(S5+IF(K5="",0,K5)=FW5,$FE$1,IF(S5+IF(K5="",0,K5)=FA5,$EI$1,IF(S5+IF(K5="",0,K5)=EE5,$DM$1,IF(S5+IF(K5="",0,K5)=DI5,$CQ$1)))))))))))),IF(S5=CP5,IF(S5+IF(Q5="",0,Q5)=MS5,$LY$1,IF(S5+IF(Q5="",0,Q5)=LW5,$LC$1,IF(S5+IF(Q5="",0,Q5)=LA5,$KG$1,IF(S5+IF(Q5="",0,Q5)=KE5,$JK$1,IF(S5+IF(Q5="",0,Q5)=JI5,$IO$1,IF(S5+IF(Q5="",0,Q5)=IM5,$HS$1,IF(S5+IF(Q5="",0,Q5)=HQ5,$GW$1,IF(S5+IF(Q5="",0,Q5)=GU5,$GA$1,IF(S5+IF(Q5="",0,Q5)=FY5,$FE$1,IF(S5+IF(Q5="",0,Q5)=FC5,$EI$1,IF(S5+IF(Q5="",0,Q5)=EG5,$DM$1,IF(S5+IF(Q5="",0,Q5)=DK5,$CQ$1)))))))))))))))))</f>
        <v>2019 World Championships (Nov 29)</v>
      </c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80"/>
      <c r="AL5" s="11" t="str">
        <f>IF(AC5&gt;0,AC5,"")</f>
        <v/>
      </c>
      <c r="AM5" s="11" t="str">
        <f>IF(SUM(V5:Y5)-Z5&gt;0,SUM(V5:Y5)-Z5,"")</f>
        <v/>
      </c>
      <c r="AN5" s="11" t="str">
        <f>IF(SUM(AA5:AD5)-AE5&gt;0,SUM(AA5:AD5)-AE5,"")</f>
        <v/>
      </c>
      <c r="AO5" s="11" t="str">
        <f>IF(SUM(AM5:AN5)&gt;0,SUM(AM5:AN5),"")</f>
        <v/>
      </c>
      <c r="AP5" s="11" t="str">
        <f>IF(AH5&gt;0,AH5,"")</f>
        <v/>
      </c>
      <c r="AQ5" s="11" t="str">
        <f>IF(SUM(AF5:AI5)-AJ5&gt;0,SUM(AF5:AI5)-AJ5,"")</f>
        <v/>
      </c>
      <c r="AR5" s="11" t="str">
        <f>IF(SUM(AO5,AQ5)&gt;0,SUM(AO5,AQ5),"")</f>
        <v/>
      </c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81"/>
      <c r="BI5" s="14" t="str">
        <f>IF(AZ5&gt;0,AZ5,"")</f>
        <v/>
      </c>
      <c r="BJ5" s="14" t="str">
        <f>IF(SUM(AS5:AV5)-AW5&gt;0,SUM(AS5:AV5)-AW5,"")</f>
        <v/>
      </c>
      <c r="BK5" s="14" t="str">
        <f>IF(SUM(AX5:BA5)-BB5&gt;0,SUM(AX5:BA5)-BB5,"")</f>
        <v/>
      </c>
      <c r="BL5" s="14" t="str">
        <f>IF(SUM(BJ5:BK5)&gt;0,SUM(BJ5:BK5),"")</f>
        <v/>
      </c>
      <c r="BM5" s="14" t="str">
        <f>IF(BE5&gt;0,BE5,"")</f>
        <v/>
      </c>
      <c r="BN5" s="14" t="str">
        <f>IF(SUM(BC5:BF5)-BG5&gt;0,SUM(BC5:BF5)-BG5,"")</f>
        <v/>
      </c>
      <c r="BO5" s="14" t="str">
        <f>IF(SUM(BL5,BN5)&gt;0,SUM(BL5,BN5),"")</f>
        <v/>
      </c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80"/>
      <c r="CF5" s="11" t="str">
        <f>IF(BW5&gt;0,BW5,"")</f>
        <v/>
      </c>
      <c r="CG5" s="11" t="str">
        <f>IF(SUM(BP5:BS5)-BT5&gt;0,SUM(BP5:BS5)-BT5,"")</f>
        <v/>
      </c>
      <c r="CH5" s="11" t="str">
        <f>IF(SUM(BU5:BX5)-BY5&gt;0,SUM(BU5:BX5)-BY5,"")</f>
        <v/>
      </c>
      <c r="CI5" s="11" t="str">
        <f>IF(SUM(CG5:CH5)&gt;0,SUM(CG5:CH5),"")</f>
        <v/>
      </c>
      <c r="CJ5" s="11" t="str">
        <f>IF(CB5&gt;0,CB5,"")</f>
        <v/>
      </c>
      <c r="CK5" s="11" t="str">
        <f>IF(SUM(BZ5:CC5)-CD5&gt;0,SUM(BZ5:CC5)-CD5,"")</f>
        <v/>
      </c>
      <c r="CL5" s="11" t="str">
        <f>IF(SUM(CI5,CK5)&gt;0,SUM(CI5,CK5),"")</f>
        <v/>
      </c>
      <c r="CM5" s="24">
        <f>IF(MAX(DG5,EC5,EY5,FU5,GQ5,HM5,II5,JE5,KA5,KW5,LS5,MO5)-IF(M5="",0,M5)&gt;0.001,MAX(DG5,EC5,EY5,FU5,GQ5,HM5,II5,JE5,KA5,KW5,LS5,MO5)-IF(M5="",0,M5),"")</f>
        <v>40.58</v>
      </c>
      <c r="CN5" s="24">
        <f>IF(MAX(DH5,ED5,EZ5,FV5,GR5,HN5,IJ5,JF5,KB5,KX5,LT5,MP5)-IF(O5="",0,O5)&gt;0.001,MAX(DH5,ED5,EZ5,FV5,GR5,HN5,IJ5,JF5,KB5,KX5,LT5,MP5)-IF(O5="",0,O5),"")</f>
        <v>49.11</v>
      </c>
      <c r="CO5" s="24">
        <f>IF(MAX(DI5,EE5,FA5,FW5,GS5,HO5,IK5,JG5,KC5,KY5,LU5,MQ5)-IF(K5="",0,K5)&gt;0.001,MAX(DI5,EE5,FA5,FW5,GS5,HO5,IK5,JG5,KC5,KY5,LU5,MQ5)-IF(K5="",0,K5),"")</f>
        <v>89.69</v>
      </c>
      <c r="CP5" s="24">
        <f>IF(MAX(DK5,EG5,FC5,FY5,GU5,HQ5,IM5,JI5,KE5,LA5,LW5,MS5)-IF(Q5="",0,Q5)&gt;0.001,MAX(DK5,EG5,FC5,FY5,GU5,HQ5,IM5,JI5,KE5,LA5,LW5,MS5)-IF(Q5="",0,Q5),"")</f>
        <v>25.53</v>
      </c>
      <c r="CQ5" s="37">
        <v>9</v>
      </c>
      <c r="CR5" s="37">
        <v>9.4</v>
      </c>
      <c r="CS5" s="37">
        <v>5.4</v>
      </c>
      <c r="CT5" s="37">
        <v>16.78</v>
      </c>
      <c r="CU5" s="37">
        <v>0</v>
      </c>
      <c r="CV5" s="37">
        <v>7.35</v>
      </c>
      <c r="CW5" s="37">
        <v>9.3000000000000007</v>
      </c>
      <c r="CX5" s="37">
        <v>15.6</v>
      </c>
      <c r="CY5" s="37">
        <v>16.86</v>
      </c>
      <c r="CZ5" s="37">
        <v>0</v>
      </c>
      <c r="DA5" s="37"/>
      <c r="DB5" s="37"/>
      <c r="DC5" s="37"/>
      <c r="DD5" s="37"/>
      <c r="DE5" s="37"/>
      <c r="DF5" s="11">
        <f>IF(CX5&gt;0,CX5,"")</f>
        <v>15.6</v>
      </c>
      <c r="DG5" s="11">
        <f>IF(SUM(CQ5:CT5)-CU5&gt;0,SUM(CQ5:CT5)-CU5,"")</f>
        <v>40.58</v>
      </c>
      <c r="DH5" s="11">
        <f>IF(SUM(CV5:CY5)-CZ5&gt;0,SUM(CV5:CY5)-CZ5,"")</f>
        <v>49.11</v>
      </c>
      <c r="DI5" s="11">
        <f>IF(SUM(DG5:DH5)&gt;0,SUM(DG5:DH5),"")</f>
        <v>89.69</v>
      </c>
      <c r="DJ5" s="11" t="str">
        <f>IF(DC5&gt;0,DC5,"")</f>
        <v/>
      </c>
      <c r="DK5" s="11" t="str">
        <f>IF(SUM(DA5:DD5)-DE5&gt;0,SUM(DA5:DD5)-DE5,"")</f>
        <v/>
      </c>
      <c r="DL5" s="11">
        <f>IF(SUM(DI5,DK5)&gt;0,SUM(DI5,DK5),"")</f>
        <v>89.69</v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>
        <v>3.9</v>
      </c>
      <c r="DX5" s="38">
        <v>4.55</v>
      </c>
      <c r="DY5" s="38">
        <v>8.1999999999999993</v>
      </c>
      <c r="DZ5" s="38">
        <v>8.8800000000000008</v>
      </c>
      <c r="EA5" s="38">
        <v>0</v>
      </c>
      <c r="EB5" s="14" t="str">
        <f>IF(DT5&gt;0,DT5,"")</f>
        <v/>
      </c>
      <c r="EC5" s="14" t="str">
        <f>IF(SUM(DM5:DP5)-DQ5&gt;0,SUM(DM5:DP5)-DQ5,"")</f>
        <v/>
      </c>
      <c r="ED5" s="14" t="str">
        <f>IF(SUM(DR5:DU5)-DV5&gt;0,SUM(DR5:DU5)-DV5,"")</f>
        <v/>
      </c>
      <c r="EE5" s="14" t="str">
        <f>IF(SUM(EC5:ED5)&gt;0,SUM(EC5:ED5),"")</f>
        <v/>
      </c>
      <c r="EF5" s="14">
        <f>IF(DY5&gt;0,DY5,"")</f>
        <v>8.1999999999999993</v>
      </c>
      <c r="EG5" s="14">
        <f>IF(SUM(DW5:DZ5)-EA5&gt;0,SUM(DW5:DZ5)-EA5,"")</f>
        <v>25.53</v>
      </c>
      <c r="EH5" s="14">
        <f>IF(SUM(EE5,EG5)&gt;0,SUM(EE5,EG5),"")</f>
        <v>25.53</v>
      </c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11" t="str">
        <f>IF(EP5&gt;0,EP5,"")</f>
        <v/>
      </c>
      <c r="EY5" s="11" t="str">
        <f>IF(SUM(EI5:EL5)-EM5&gt;0,SUM(EI5:EL5)-EM5,"")</f>
        <v/>
      </c>
      <c r="EZ5" s="11" t="str">
        <f>IF(SUM(EN5:EQ5)-ER5&gt;0,SUM(EN5:EQ5)-ER5,"")</f>
        <v/>
      </c>
      <c r="FA5" s="11" t="str">
        <f>IF(SUM(EY5:EZ5)&gt;0,SUM(EY5:EZ5),"")</f>
        <v/>
      </c>
      <c r="FB5" s="11" t="str">
        <f>IF(EU5&gt;0,EU5,"")</f>
        <v/>
      </c>
      <c r="FC5" s="11" t="str">
        <f>IF(SUM(ES5:EV5)-EW5&gt;0,SUM(ES5:EV5)-EW5,"")</f>
        <v/>
      </c>
      <c r="FD5" s="11" t="str">
        <f>IF(SUM(FA5,FC5)&gt;0,SUM(FA5,FC5),"")</f>
        <v/>
      </c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14" t="str">
        <f>IF(FL5&gt;0,FL5,"")</f>
        <v/>
      </c>
      <c r="FU5" s="14" t="str">
        <f>IF(SUM(FE5:FH5)-FI5&gt;0,SUM(FE5:FH5)-FI5,"")</f>
        <v/>
      </c>
      <c r="FV5" s="14" t="str">
        <f>IF(SUM(FJ5:FM5)-FN5&gt;0,SUM(FJ5:FM5)-FN5,"")</f>
        <v/>
      </c>
      <c r="FW5" s="14" t="str">
        <f>IF(SUM(FU5:FV5)&gt;0,SUM(FU5:FV5),"")</f>
        <v/>
      </c>
      <c r="FX5" s="14" t="str">
        <f>IF(FQ5&gt;0,FQ5,"")</f>
        <v/>
      </c>
      <c r="FY5" s="14" t="str">
        <f>IF(SUM(FO5:FR5)-FS5&gt;0,SUM(FO5:FR5)-FS5,"")</f>
        <v/>
      </c>
      <c r="FZ5" s="14" t="str">
        <f>IF(SUM(FW5,FY5)&gt;0,SUM(FW5,FY5),"")</f>
        <v/>
      </c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11" t="str">
        <f>IF(GH5&gt;0,GH5,"")</f>
        <v/>
      </c>
      <c r="GQ5" s="11" t="str">
        <f>IF(SUM(GA5:GD5)-GE5&gt;0,SUM(GA5:GD5)-GE5,"")</f>
        <v/>
      </c>
      <c r="GR5" s="11" t="str">
        <f>IF(SUM(GF5:GI5)-GJ5&gt;0,SUM(GF5:GI5)-GJ5,"")</f>
        <v/>
      </c>
      <c r="GS5" s="11" t="str">
        <f>IF(SUM(GQ5:GR5)&gt;0,SUM(GQ5:GR5),"")</f>
        <v/>
      </c>
      <c r="GT5" s="11" t="str">
        <f>IF(GM5&gt;0,GM5,"")</f>
        <v/>
      </c>
      <c r="GU5" s="11" t="str">
        <f>IF(SUM(GK5:GN5)-GO5&gt;0,SUM(GK5:GN5)-GO5,"")</f>
        <v/>
      </c>
      <c r="GV5" s="11" t="str">
        <f>IF(SUM(GS5,GU5)&gt;0,SUM(GS5,GU5),"")</f>
        <v/>
      </c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14" t="str">
        <f>IF(HD5&gt;0,HD5,"")</f>
        <v/>
      </c>
      <c r="HM5" s="14" t="str">
        <f>IF(SUM(GW5:GZ5)-HA5&gt;0,SUM(GW5:GZ5)-HA5,"")</f>
        <v/>
      </c>
      <c r="HN5" s="14" t="str">
        <f>IF(SUM(HB5:HE5)-HF5&gt;0,SUM(HB5:HE5)-HF5,"")</f>
        <v/>
      </c>
      <c r="HO5" s="14" t="str">
        <f>IF(SUM(HM5:HN5)&gt;0,SUM(HM5:HN5),"")</f>
        <v/>
      </c>
      <c r="HP5" s="14" t="str">
        <f>IF(HI5&gt;0,HI5,"")</f>
        <v/>
      </c>
      <c r="HQ5" s="14" t="str">
        <f>IF(SUM(HG5:HJ5)-HK5&gt;0,SUM(HG5:HJ5)-HK5,"")</f>
        <v/>
      </c>
      <c r="HR5" s="14" t="str">
        <f>IF(SUM(HO5,HQ5)&gt;0,SUM(HO5,HQ5),"")</f>
        <v/>
      </c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11" t="str">
        <f>IF(HZ5&gt;0,HZ5,"")</f>
        <v/>
      </c>
      <c r="II5" s="11" t="str">
        <f>IF(SUM(HS5:HV5)-HW5&gt;0,SUM(HS5:HV5)-HW5,"")</f>
        <v/>
      </c>
      <c r="IJ5" s="11" t="str">
        <f>IF(SUM(HX5:IA5)-IB5&gt;0,SUM(HX5:IA5)-IB5,"")</f>
        <v/>
      </c>
      <c r="IK5" s="11" t="str">
        <f>IF(SUM(II5:IJ5)&gt;0,SUM(II5:IJ5),"")</f>
        <v/>
      </c>
      <c r="IL5" s="11" t="str">
        <f>IF(IE5&gt;0,IE5,"")</f>
        <v/>
      </c>
      <c r="IM5" s="11" t="str">
        <f>IF(SUM(IC5:IF5)-IG5&gt;0,SUM(IC5:IF5)-IG5,"")</f>
        <v/>
      </c>
      <c r="IN5" s="11" t="str">
        <f>IF(SUM(IK5,IM5)&gt;0,SUM(IK5,IM5),"")</f>
        <v/>
      </c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14" t="str">
        <f>IF(IV5&gt;0,IV5,"")</f>
        <v/>
      </c>
      <c r="JE5" s="14" t="str">
        <f>IF(SUM(IO5:IR5)-IS5&gt;0,SUM(IO5:IR5)-IS5,"")</f>
        <v/>
      </c>
      <c r="JF5" s="14" t="str">
        <f>IF(SUM(IT5:IW5)-IX5&gt;0,SUM(IT5:IW5)-IX5,"")</f>
        <v/>
      </c>
      <c r="JG5" s="14" t="str">
        <f>IF(SUM(JE5:JF5)&gt;0,SUM(JE5:JF5),"")</f>
        <v/>
      </c>
      <c r="JH5" s="14" t="str">
        <f>IF(JA5&gt;0,JA5,"")</f>
        <v/>
      </c>
      <c r="JI5" s="14" t="str">
        <f>IF(SUM(IY5:JB5)-JC5&gt;0,SUM(IY5:JB5)-JC5,"")</f>
        <v/>
      </c>
      <c r="JJ5" s="14" t="str">
        <f>IF(SUM(JG5,JI5)&gt;0,SUM(JG5,JI5),"")</f>
        <v/>
      </c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11" t="str">
        <f>IF(JR5&gt;0,JR5,"")</f>
        <v/>
      </c>
      <c r="KA5" s="11" t="str">
        <f>IF(SUM(JK5:JN5)-JO5&gt;0,SUM(JK5:JN5)-JO5,"")</f>
        <v/>
      </c>
      <c r="KB5" s="11" t="str">
        <f>IF(SUM(JP5:JS5)-JT5&gt;0,SUM(JP5:JS5)-JT5,"")</f>
        <v/>
      </c>
      <c r="KC5" s="11" t="str">
        <f>IF(SUM(KA5:KB5)&gt;0,SUM(KA5:KB5),"")</f>
        <v/>
      </c>
      <c r="KD5" s="11" t="str">
        <f>IF(JW5&gt;0,JW5,"")</f>
        <v/>
      </c>
      <c r="KE5" s="11" t="str">
        <f>IF(SUM(JU5:JX5)-JY5&gt;0,SUM(JU5:JX5)-JY5,"")</f>
        <v/>
      </c>
      <c r="KF5" s="11" t="str">
        <f>IF(SUM(KC5,KE5)&gt;0,SUM(KC5,KE5),"")</f>
        <v/>
      </c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14" t="str">
        <f>IF(KN5&gt;0,KN5,"")</f>
        <v/>
      </c>
      <c r="KW5" s="14" t="str">
        <f>IF(SUM(KG5:KJ5)-KK5&gt;0,SUM(KG5:KJ5)-KK5,"")</f>
        <v/>
      </c>
      <c r="KX5" s="14" t="str">
        <f>IF(SUM(KL5:KO5)-KP5&gt;0,SUM(KL5:KO5)-KP5,"")</f>
        <v/>
      </c>
      <c r="KY5" s="14" t="str">
        <f>IF(SUM(KW5:KX5)&gt;0,SUM(KW5:KX5),"")</f>
        <v/>
      </c>
      <c r="KZ5" s="14" t="str">
        <f>IF(KS5&gt;0,KS5,"")</f>
        <v/>
      </c>
      <c r="LA5" s="14" t="str">
        <f>IF(SUM(KQ5:KT5)-KU5&gt;0,SUM(KQ5:KT5)-KU5,"")</f>
        <v/>
      </c>
      <c r="LB5" s="14" t="str">
        <f>IF(SUM(KY5,LA5)&gt;0,SUM(KY5,LA5),"")</f>
        <v/>
      </c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11" t="str">
        <f>IF(LJ5&gt;0,LJ5,"")</f>
        <v/>
      </c>
      <c r="LS5" s="11" t="str">
        <f>IF(SUM(LC5:LF5)-LG5&gt;0,SUM(LC5:LF5)-LG5,"")</f>
        <v/>
      </c>
      <c r="LT5" s="11" t="str">
        <f>IF(SUM(LH5:LK5)-LL5&gt;0,SUM(LH5:LK5)-LL5,"")</f>
        <v/>
      </c>
      <c r="LU5" s="11" t="str">
        <f>IF(SUM(LS5:LT5)&gt;0,SUM(LS5:LT5),"")</f>
        <v/>
      </c>
      <c r="LV5" s="11" t="str">
        <f>IF(LO5&gt;0,LO5,"")</f>
        <v/>
      </c>
      <c r="LW5" s="11" t="str">
        <f>IF(SUM(LM5:LP5)-LQ5&gt;0,SUM(LM5:LP5)-LQ5,"")</f>
        <v/>
      </c>
      <c r="LX5" s="11" t="str">
        <f>IF(SUM(LU5,LW5)&gt;0,SUM(LU5,LW5),"")</f>
        <v/>
      </c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14" t="str">
        <f>IF(MF5&gt;0,MF5,"")</f>
        <v/>
      </c>
      <c r="MO5" s="14" t="str">
        <f>IF(SUM(LY5:MB5)-MC5&gt;0,SUM(LY5:MB5)-MC5,"")</f>
        <v/>
      </c>
      <c r="MP5" s="14" t="str">
        <f>IF(SUM(MD5:MG5)-MH5&gt;0,SUM(MD5:MG5)-MH5,"")</f>
        <v/>
      </c>
      <c r="MQ5" s="14" t="str">
        <f>IF(SUM(MO5:MP5)&gt;0,SUM(MO5:MP5),"")</f>
        <v/>
      </c>
      <c r="MR5" s="14" t="str">
        <f>IF(MK5&gt;0,MK5,"")</f>
        <v/>
      </c>
      <c r="MS5" s="14" t="str">
        <f>IF(SUM(MI5:ML5)-MM5&gt;0,SUM(MI5:ML5)-MM5,"")</f>
        <v/>
      </c>
      <c r="MT5" s="14" t="str">
        <f>IF(SUM(MQ5,MS5)&gt;0,SUM(MQ5,MS5),"")</f>
        <v/>
      </c>
      <c r="MU5" s="69">
        <f>IF($CE5="P",BP5,(BP5+AS5)/2)</f>
        <v>0</v>
      </c>
      <c r="MV5" s="69">
        <f>IF($CE5="P",BQ5,(BQ5+AT5)/2)</f>
        <v>0</v>
      </c>
      <c r="MW5" s="69">
        <f>IF($CE5="P",BR5,(BR5+AU5)/2)</f>
        <v>0</v>
      </c>
      <c r="MX5" s="69">
        <f>IF($CE5="P",BS5,(BS5+AV5)/2)</f>
        <v>0</v>
      </c>
      <c r="MY5" s="69">
        <f>IF($CE5="P",BT5,(BT5+AW5)/2)</f>
        <v>0</v>
      </c>
      <c r="MZ5" s="69">
        <f>IF($CE5="P",BU5,(BU5+AX5)/2)</f>
        <v>0</v>
      </c>
      <c r="NA5" s="69">
        <f>IF($CE5="P",BV5,(BV5+AY5)/2)</f>
        <v>0</v>
      </c>
      <c r="NB5" s="69">
        <f>IF($CE5="P",BW5,(BW5+AZ5)/2)</f>
        <v>0</v>
      </c>
      <c r="NC5" s="69">
        <f>IF($CE5="P",BX5,(BX5+BA5)/2)</f>
        <v>0</v>
      </c>
      <c r="ND5" s="69">
        <f>IF($CE5="P",BY5,(BY5+BB5)/2)</f>
        <v>0</v>
      </c>
      <c r="NE5" s="69">
        <f>IF($CE5="P",BZ5,(BZ5+BC5)/2)</f>
        <v>0</v>
      </c>
      <c r="NF5" s="69">
        <f>IF($CE5="P",CA5,(CA5+BD5)/2)</f>
        <v>0</v>
      </c>
      <c r="NG5" s="69">
        <f>IF($CE5="P",CB5,(CB5+BE5)/2)</f>
        <v>0</v>
      </c>
      <c r="NH5" s="69">
        <f>IF($CE5="P",CC5,(CC5+BF5)/2)</f>
        <v>0</v>
      </c>
      <c r="NI5" s="69">
        <f>IF($CE5="P",CD5,(CD5+BG5)/2)</f>
        <v>0</v>
      </c>
      <c r="NJ5" s="80" t="s">
        <v>91</v>
      </c>
      <c r="NK5" s="11" t="str">
        <f>IF(NB5&gt;0,NB5,"")</f>
        <v/>
      </c>
      <c r="NL5" s="11" t="str">
        <f>IF(SUM(MU5:MX5)-MY5&gt;0,SUM(MU5:MX5)-MY5,"")</f>
        <v/>
      </c>
      <c r="NM5" s="11" t="str">
        <f>IF(SUM(MZ5:NC5)-ND5&gt;0,SUM(MZ5:NC5)-ND5,"")</f>
        <v/>
      </c>
      <c r="NN5" s="11" t="str">
        <f>IF(SUM(NL5:NM5)&gt;0,SUM(NL5:NM5),"")</f>
        <v/>
      </c>
      <c r="NO5" s="11" t="str">
        <f>IF(NG5&gt;0,NG5,"")</f>
        <v/>
      </c>
      <c r="NP5" s="11" t="str">
        <f>IF(SUM(NE5:NH5)-NI5&gt;0,SUM(NE5:NH5)-NI5,"")</f>
        <v/>
      </c>
      <c r="NQ5" s="11" t="str">
        <f>IF(SUM(NN5,NP5)&gt;0,SUM(NN5,NP5),"")</f>
        <v/>
      </c>
    </row>
    <row r="6" spans="1:381" x14ac:dyDescent="0.2">
      <c r="A6" s="5" t="str" cm="1">
        <f t="array" ref="A6">IF(AND(G6&lt;&gt;"",H6&lt;&gt;""),SUMPRODUCT((G$4:G$12&lt;&gt;"")*(H$4:H$12&lt;&gt;"")*(E$4:E$12&gt;E6))+1,IF(H6&lt;&gt;"",SUMPRODUCT((I$4:I$12="No DD")*(E$4:E$12&gt;E6))+1+SUMPRODUCT((G$4:G$12&lt;&gt;"")*(H$4:H$12&lt;&gt;"")),""))</f>
        <v/>
      </c>
      <c r="B6" s="8" t="s">
        <v>134</v>
      </c>
      <c r="C6" s="4" t="s">
        <v>3</v>
      </c>
      <c r="D6" s="27" t="s">
        <v>113</v>
      </c>
      <c r="E6" s="15">
        <f>SUM(K6:S6)</f>
        <v>184.29499999999999</v>
      </c>
      <c r="F6" s="3" t="str">
        <f>IF(G6&lt;&gt;"","P","")</f>
        <v/>
      </c>
      <c r="G6" s="125" t="str">
        <f>IF(OR(AND(AL6&gt;=AR$17,AL6&lt;&gt;"",AK6=""),AND(AP6&gt;=AR$17,AP6&lt;&gt;"",AK6=""),AND(BI6&gt;=BO$17,BI6&lt;&gt;"",BH6=""),AND(BM6&gt;=BO$17,BM6&lt;&gt;"",BH6=""),AND(CF6&gt;=CL$17,CF6&lt;&gt;"",CE6=""),AND(CJ6&gt;=CL$17,CJ6&lt;&gt;"",CE6=""),AND(DF6&gt;=DL$17,DF6&lt;&gt;""),AND(DJ6&gt;=DL$17,DJ6&lt;&gt;""),AND(EB6&gt;=EH$17,EB6&lt;&gt;""),AND(EF6&gt;=EH$17,EF6&lt;&gt;""),AND(EX6&gt;=FD$17,EX6&lt;&gt;""),AND(FB6&gt;=FD$17,FB6&lt;&gt;""),AND(FT6&gt;=FZ$17,FT6&lt;&gt;""),AND(FX6&gt;=FZ$17,FX6&lt;&gt;""),AND(GP6&gt;=GV$17,GP6&lt;&gt;""),AND(GT6&gt;=GV$17,GT6&lt;&gt;""),AND(HL6&gt;=HR$17,HL6&lt;&gt;""),AND(HP6&gt;=HR$17,HP6&lt;&gt;""),AND(IH6&gt;=IN$17,IH6&lt;&gt;""),AND(IL6&gt;=IN$17,IL6&lt;&gt;""),AND(JD6&gt;=JJ$17,JD6&lt;&gt;""),AND(JH6&gt;=JJ$17,JH6&lt;&gt;""),AND(JZ6&gt;=KF$17,JZ6&lt;&gt;""),AND(KD6&gt;=KF$17,KD6&lt;&gt;""),AND(KV6&gt;=LB$17,KV6&lt;&gt;""),AND(KZ6&gt;=LB$17,KZ6&lt;&gt;""),AND(LR6&gt;=LX$17,LR6&lt;&gt;""),AND(LV6&gt;=LX$17,LV6&lt;&gt;""),AND(MN6&gt;=MT$17,MN6&lt;&gt;""),AND(MR6&gt;=MT$17,MR6&lt;&gt;"")),"Merit",IF(OR(AND(AL6&gt;=AR$16,AL6&lt;&gt;"",AK6=""),AND(AP6&gt;=AR$16,AP6&lt;&gt;"",AK6=""),AND(BI6&gt;=BO$16,BI6&lt;&gt;"",BH6=""),AND(BM6&gt;=BO$16,BM6&lt;&gt;"",BH6=""),AND(CF6&gt;=CL$16,CF6&lt;&gt;"",CE6=""),AND(CJ6&gt;=CL$16,CJ6&lt;&gt;"",CE6=""),AND(DF6&gt;=DL$16,DF6&lt;&gt;""),AND(DJ6&gt;=DL$16,DJ6&lt;&gt;""),AND(EB6&gt;=EH$16,EB6&lt;&gt;""),AND(EF6&gt;=EH$16,EF6&lt;&gt;""),AND(EX6&gt;=FD$16,EX6&lt;&gt;""),AND(FB6&gt;=FD$16,FB6&lt;&gt;""),AND(FT6&gt;=FZ$16,FT6&lt;&gt;""),AND(FX6&gt;=FZ$16,FX6&lt;&gt;""),AND(GP6&gt;=GV$16,GP6&lt;&gt;""),AND(GT6&gt;=GV$16,GT6&lt;&gt;""),AND(HL6&gt;=HR$16,HL6&lt;&gt;""),AND(HP6&gt;=HR$16,HP6&lt;&gt;""),AND(IH6&gt;=IN$16,IH6&lt;&gt;""),AND(IL6&gt;=IN$16,IL6&lt;&gt;""),AND(JD6&gt;=JJ$16,JD6&lt;&gt;""),AND(JH6&gt;=JJ$16,JH6&lt;&gt;""),AND(JZ6&gt;=KF$16,JZ6&lt;&gt;""),AND(KD6&gt;=KF$16,KD6&lt;&gt;""),AND(KV6&gt;=LB$16,KV6&lt;&gt;""),AND(KZ6&gt;=LB$16,KZ6&lt;&gt;""),AND(LR6&gt;=LX$16,LR6&lt;&gt;""),AND(LV6&gt;=LX$16,LV6&lt;&gt;""),AND(MN6&gt;=MT$16,MN6&lt;&gt;""),AND(MR6&gt;=MT$16,MR6&lt;&gt;"")),"Excellence",IF(OR(AND(AL6&gt;=AR$15,AL6&lt;&gt;"",AK6=""),AND(AP6&gt;=AR$15,AP6&lt;&gt;"",AK6=""),AND(BI6&gt;=BO$15,BI6&lt;&gt;"",BH6=""),AND(BM6&gt;=BO$15,BM6&lt;&gt;"",BH6=""),AND(CF6&gt;=CL$15,CF6&lt;&gt;"",CE6=""),AND(CJ6&gt;=CL$15,CJ6&lt;&gt;"",CE6=""),AND(DF6&gt;=DL$15,DF6&lt;&gt;""),AND(DJ6&gt;=DL$15,DJ6&lt;&gt;""),AND(EB6&gt;=EH$15,EB6&lt;&gt;""),AND(EF6&gt;=EH$15,EF6&lt;&gt;""),AND(EX6&gt;=FD$15,EX6&lt;&gt;""),AND(FB6&gt;=FD$15,FB6&lt;&gt;""),AND(FT6&gt;=FZ$15,FT6&lt;&gt;""),AND(FX6&gt;=FZ$15,FX6&lt;&gt;""),AND(GP6&gt;=GV$15,GP6&lt;&gt;""),AND(GT6&gt;=GV$15,GT6&lt;&gt;""),AND(HL6&gt;=HR$15,HL6&lt;&gt;""),AND(HP6&gt;=HR$15,HP6&lt;&gt;""),AND(IH6&gt;=IN$15,IH6&lt;&gt;""),AND(IL6&gt;=IN$15,IL6&lt;&gt;""),AND(JD6&gt;=JJ$15,JD6&lt;&gt;""),AND(JH6&gt;=JJ$15,JH6&lt;&gt;""),AND(JZ6&gt;=KF$15,JZ6&lt;&gt;""),AND(KD6&gt;=KF$15,KD6&lt;&gt;""),AND(KV6&gt;=LB$15,KV6&lt;&gt;""),AND(KZ6&gt;=LB$15,KZ6&lt;&gt;""),AND(LR6&gt;=LX$15,LR6&lt;&gt;""),AND(LV6&gt;=LX$15,LV6&lt;&gt;""),AND(MN6&gt;=MT$15,MN6&lt;&gt;""),AND(MR6&gt;=MT$15,MR6&lt;&gt;"")),"Worlds Team",IF(OR(AND(AL6&gt;=AR$14,AL6&lt;&gt;"",AK6=""),AND(AP6&gt;=AR$14,AP6&lt;&gt;"",AK6=""),AND(BI6&gt;=BO$14,BI6&lt;&gt;"",BH6=""),AND(BM6&gt;=BO$14,BM6&lt;&gt;"",BH6=""),AND(CF6&gt;=CL$14,CF6&lt;&gt;"",CE6=""),AND(CJ6&gt;=CL$14,CJ6&lt;&gt;"",CE6=""),AND(DF6&gt;=DL$14,DF6&lt;&gt;""),AND(DJ6&gt;=DL$14,DJ6&lt;&gt;""),AND(EB6&gt;=EH$14,EB6&lt;&gt;""),AND(EF6&gt;=EH$14,EF6&lt;&gt;""),AND(EX6&gt;=FD$14,EX6&lt;&gt;""),AND(FB6&gt;=FD$14,FB6&lt;&gt;""),AND(FT6&gt;=FZ$14,FT6&lt;&gt;""),AND(FX6&gt;=FZ$14,FX6&lt;&gt;""),AND(GP6&gt;=GV$14,GP6&lt;&gt;""),AND(GT6&gt;=GV$14,GT6&lt;&gt;""),AND(HL6&gt;=HR$14,HL6&lt;&gt;""),AND(HP6&gt;=HR$14,HP6&lt;&gt;""),AND(IH6&gt;=IN$14,IH6&lt;&gt;""),AND(IL6&gt;=IN$14,IL6&lt;&gt;""),AND(JD6&gt;=JJ$14,JD6&lt;&gt;""),AND(JH6&gt;=JJ$14,JH6&lt;&gt;""),AND(JZ6&gt;=KF$14,JZ6&lt;&gt;""),AND(KD6&gt;=KF$14,KD6&lt;&gt;""),AND(KV6&gt;=LB$14,KV6&lt;&gt;""),AND(KZ6&gt;=LB$14,KZ6&lt;&gt;""),AND(LR6&gt;=LX$14,LR6&lt;&gt;""),AND(LV6&gt;=LX$14,LV6&lt;&gt;""),AND(MN6&gt;=MT$14,MN6&lt;&gt;""),AND(MR6&gt;=MT$14,MR6&lt;&gt;"")),"National Team",""))))</f>
        <v/>
      </c>
      <c r="H6" s="125" t="str">
        <f>IF(OR(AND(AN6&gt;=AR$21,AN6&lt;&gt;"",AK6=""),AND(AQ6&gt;=AR$21,AQ6&lt;&gt;"",AK6=""),AND(BK6&gt;=BO$21,BK6&lt;&gt;"",BH6=""),AND(BN6&gt;=BO$21,BN6&lt;&gt;"",BH6=""),AND(CH6&gt;=CL$21,CH6&lt;&gt;"",CE6=""),AND(CK6&gt;=CL$21,CE6&lt;&gt;"",CE6=""),AND(DH6&gt;=DL$21,DH6&lt;&gt;""),AND(DK6&gt;=DL$21,DK6&lt;&gt;""),AND(ED6&gt;=EH$21,ED6&lt;&gt;""),AND(EG6&gt;=EH$21,EG6&lt;&gt;""),AND(EZ6&gt;=FD$21,EZ6&lt;&gt;""),AND(FC6&gt;=FD$21,FC6&lt;&gt;""),AND(FV6&gt;=FZ$21,FV6&lt;&gt;""),AND(FY6&gt;=FZ$21,FY6&lt;&gt;""),AND(GR6&gt;=GV$21,GR6&lt;&gt;""),AND(GU6&gt;=GV$21,GU6&lt;&gt;""),AND(HN6&gt;=HR$21,HN6&lt;&gt;""),AND(HQ6&gt;=HR$21,HQ6&lt;&gt;""),AND(IJ6&gt;=IN$21,IJ6&lt;&gt;""),AND(IM6&gt;=IN$21,IM6&lt;&gt;""),AND(JF6&gt;=JJ$21,JF6&lt;&gt;""),AND(JI6&gt;=JJ$21,JI6&lt;&gt;""),AND(KB6&gt;=KF$21,KB6&lt;&gt;""),AND(KE6&gt;=KF$21,KE6&lt;&gt;""),AND(KX6&gt;=LB$21,KX6&lt;&gt;""),AND(LA6&gt;=LB$21,LA6&lt;&gt;""),AND(LT6&gt;=LX$21,LT6&lt;&gt;""),AND(LW6&gt;=LX$21,LW6&lt;&gt;""),AND(MP6&gt;=MT$21,MP6&lt;&gt;""),AND(MS6&gt;=MT$21,MS6&lt;&gt;"")),"Merit",IF(OR(AND(AN6&gt;=AR$20,AN6&lt;&gt;"",AK6=""),AND(AQ6&gt;=AR$20,AQ6&lt;&gt;"",AK6=""),AND(BK6&gt;=BO$20,BK6&lt;&gt;"",BH6=""),AND(BN6&gt;=BO$20,BN6&lt;&gt;"",BH6=""),AND(CH6&gt;=CL$20,CH6&lt;&gt;"",CE6=""),AND(CK6&gt;=CL$20,CE6&lt;&gt;"",CE6=""),AND(DH6&gt;=DL$20,DH6&lt;&gt;""),AND(DK6&gt;=DL$20,DK6&lt;&gt;""),AND(ED6&gt;=EH$20,ED6&lt;&gt;""),AND(EG6&gt;=EH$20,EG6&lt;&gt;""),AND(EZ6&gt;=FD$20,EZ6&lt;&gt;""),AND(FC6&gt;=FD$20,FC6&lt;&gt;""),AND(FV6&gt;=FZ$20,FV6&lt;&gt;""),AND(FY6&gt;=FZ$20,FY6&lt;&gt;""),AND(GR6&gt;=GV$20,GR6&lt;&gt;""),AND(GU6&gt;=GV$20,GU6&lt;&gt;""),AND(HN6&gt;=HR$20,HN6&lt;&gt;""),AND(HQ6&gt;=HR$20,HQ6&lt;&gt;""),AND(IJ6&gt;=IN$20,IJ6&lt;&gt;""),AND(IM6&gt;=IN$20,IM6&lt;&gt;""),AND(JF6&gt;=JJ$20,JF6&lt;&gt;""),AND(JI6&gt;=JJ$20,JI6&lt;&gt;""),AND(KB6&gt;=KF$20,KB6&lt;&gt;""),AND(KE6&gt;=KF$20,KE6&lt;&gt;""),AND(KX6&gt;=LB$20,KX6&lt;&gt;""),AND(LA6&gt;=LB$20,LA6&lt;&gt;""),AND(LT6&gt;=LX$20,LT6&lt;&gt;""),AND(LW6&gt;=LX$20,LW6&lt;&gt;""),AND(MP6&gt;=MT$20,MP6&lt;&gt;""),AND(MS6&gt;=MT$20,MS6&lt;&gt;"")),"Excellence",IF(OR(AND(AO6&gt;=AR$19,AO6&lt;&gt;"",AK6=""),AND(BL6&gt;=BO$19,BL6&lt;&gt;"",BH6=""),AND(CI6&gt;=CL$19,CI6&lt;&gt;"",CE6=""),AND(DI6&gt;=DL$19,DI6&lt;&gt;""),AND(EE6&gt;=EH$19,EE6&lt;&gt;""),AND(FA6&gt;=FD$19,FA6&lt;&gt;""),AND(FW6&gt;=FZ$19,FW6&lt;&gt;""),AND(GS6&gt;=GV$19,GS6&lt;&gt;""),AND(HO6&gt;=HR$19,HO6&lt;&gt;""),AND(IK6&gt;=IN$19,IK6&lt;&gt;""),AND(JG6&gt;=JJ$19,JG6&lt;&gt;""),AND(KC6&gt;=KF$19,KC6&lt;&gt;""),AND(KY6&gt;=LB$19,KY6&lt;&gt;""),AND(LU6&gt;=LX$19,LU6&lt;&gt;""),AND(MQ6&gt;=MT$19,MQ6&lt;&gt;"")),"Worlds Team",IF(OR(AND(AO6&gt;=AR$18,AO6&lt;&gt;"",AK6=""),AND(BL6&gt;=BO$18,BL6&lt;&gt;"",BH6=""),AND(CI6&gt;=CL$18,CI6&lt;&gt;"",CE6=""),AND(DI6&gt;=DL$18,DI6&lt;&gt;""),AND(EE6&gt;=EH$18,EE6&lt;&gt;""),AND(FA6&gt;=FD$18,FA6&lt;&gt;""),AND(FW6&gt;=FZ$18,FW6&lt;&gt;""),AND(GS6&gt;=GV$18,GS6&lt;&gt;""),AND(HO6&gt;=HR$18,HO6&lt;&gt;""),AND(IK6&gt;=IN$18,IK6&lt;&gt;""),AND(JG6&gt;=JJ$18,JG6&lt;&gt;""),AND(KC6&gt;=KF$18,KC6&lt;&gt;""),AND(KY6&gt;=LB$18,KY6&lt;&gt;""),AND(LU6&gt;=LX$18,LU6&lt;&gt;""),AND(MQ6&gt;=MT$18,MQ6&lt;&gt;"")),"National Team",""))))</f>
        <v/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/>
      </c>
      <c r="J6" s="3" t="str">
        <f>IF(AND(OR(AND(AO6&gt;=AR$19,AO6&lt;&gt;"",AK6=""),AND(BL6&gt;=BO$19,BL6&lt;&gt;"",BH6=""),AND(CI6&gt;=CL$19,CI6&lt;&gt;"",CE6=""),AND(DI6&gt;=DL$19,DI6&lt;&gt;""),AND(EE6&gt;=EH$19,EE6&lt;&gt;""),AND(FA6&gt;=FD$19,FA6&lt;&gt;""),AND(FW6&gt;=FZ$19,FW6&lt;&gt;""),AND(GS6&gt;=GV$19,GS6&lt;&gt;""),AND(HO6&gt;=HR$19,HO6&lt;&gt;""),AND(IK6&gt;=IN$19,IK6&lt;&gt;""),AND(JG6&gt;=JJ$19,JG6&lt;&gt;""),AND(KC6&gt;=KF$19,KC6&lt;&gt;""),AND(KY6&gt;=LB$19,KY6&lt;&gt;""),AND(LU6&gt;=LX$19,LU6&lt;&gt;""),AND(MQ6&gt;=MT$19,MQ6&lt;&gt;"")),OR(G6="Worlds Team",G6="Excellence",G6="Merit")),"P","")</f>
        <v/>
      </c>
      <c r="K6" s="14">
        <f>MAX(AO6,BL6,CI6)</f>
        <v>75.694999999999993</v>
      </c>
      <c r="L6" s="14" t="str">
        <f>IF(K6=0,"",IF(K6=CI6,$BP$1,IF(K6=BL6,$AS$1,IF(K6=AO6,$V$1,""))))</f>
        <v>2019 Elite Canada</v>
      </c>
      <c r="M6" s="14">
        <f>IF($K6=$AO6,MAX(BJ6,CG6),IF($K6=$BL6,MAX(AM6,CG6),IF($K6=$CI6,MAX(AM6,BJ6),MAX(AM6,BJ6,CG6))))</f>
        <v>19.149999999999999</v>
      </c>
      <c r="N6" s="14" t="str">
        <f>IF(M6=0,"",IF(AND(M6=CG6,$L6&lt;&gt;$BP$1),$BP$1,IF(AND(M6=BJ6,$L6&lt;&gt;$AS$1),$AS$1,IF(AND(M6=AM6,$L6&lt;&gt;$V$1),$V$1,""))))</f>
        <v>2019 Nationals</v>
      </c>
      <c r="O6" s="14">
        <f>IF($K6=$AO6,MAX(CH6,BK6),IF($K6=$BL6,MAX(AN6,CH6),IF($K6=$CI6,MAX(AN6,BK6),MAX(AN6,BK6,CH6))))</f>
        <v>45.26</v>
      </c>
      <c r="P6" s="14" t="str">
        <f>IF(O6=0,"",IF(AND(O6=CH6,$L6&lt;&gt;$BP$1),$BP$1,IF(AND(O6=BK6,$L6&lt;&gt;$AS$1),$AS$1,IF(AND(O6=AN6,$L6&lt;&gt;$V$1),$V$1,""))))</f>
        <v>2019 Nationals</v>
      </c>
      <c r="Q6" s="14">
        <f>MAX(AQ6,BN6,CK6)</f>
        <v>44.19</v>
      </c>
      <c r="R6" s="14" t="str">
        <f>IF(Q6=0,"",IF(Q6=CK6,$BP$1,IF(Q6=BN6,$AS$1,IF(Q6=AQ6,$V$1,""))))</f>
        <v>2019 Nationals</v>
      </c>
      <c r="S6" s="14" t="str">
        <f>IF(MAX(CM6,CN6,CO6,CP6)&gt;0,MAX(CM6,CN6,CO6,CP6),"")</f>
        <v/>
      </c>
      <c r="T6" s="25" t="str">
        <f>IF(S6="","",IF(S6=CM6,"(Vol 1)",IF(S6=CN6,"(Vol 2)",IF(S6=CO6,"(Prelim)",IF(S6=CP6,"(Final)")))))</f>
        <v/>
      </c>
      <c r="U6" s="14" t="str">
        <f>IF(S6="","",IF(S6=CM6,IF(S6+IF(M6="",0,M6)=MO6,$LY$1,IF(S6+IF(M6="",0,M6)=LS6,$LC$1,IF(S6+IF(M6="",0,M6)=KW6,$KG$1,IF(S6+IF(M6="",0,M6)=KA6,$JK$1,IF(S6+IF(M6="",0,M6)=JE6,$IO$1,IF(S6+IF(M6="",0,M6)=II6,$HS$1,IF(S6+IF(M6="",0,M6)=HM6,$GW$1,IF(S6+IF(M6="",0,M6)=GQ6,$GA$1,IF(S6+IF(M6="",0,M6)=FU6,$FE$1,IF(S6+IF(M6="",0,M6)=EY6,$EI$1,IF(S6+IF(M6="",0,M6)=EC6,$DM$1,IF(S6+IF(M6="",0,M6)=DG6,$CQ$1)))))))))))),IF(S6=CN6,IF(S6+IF(O6="",0,O6)=MP6,$LY$1,IF(S6+IF(O6="",0,O6)=LT6,$LC$1,IF(S6+IF(O6="",0,O6)=KX6,$KG$1,IF(S6+IF(O6="",0,O6)=KB6,$JK$1,IF(S6+IF(O6="",0,O6)=JF6,$IO$1,IF(S6+IF(O6="",0,O6)=IJ6,$HS$1,IF(S6+IF(O6="",0,O6)=HN6,$GW$1,IF(S6+IF(O6="",0,O6)=GR6,$GA$1,IF(S6+IF(O6="",0,O6)=FV6,$FE$1,IF(S6+IF(O6="",0,O6)=EZ6,$EI$1,IF(S6+IF(O6="",0,O6)=ED6,$DM$1,IF(S6+IF(O6="",0,O6)=DH6,$CQ$1)))))))))))),IF(S6=CO6,IF(S6+IF(K6="",0,K6)=MQ6,$LY$1,IF(S6+IF(K6="",0,K6)=LU6,$LC$1,IF(S6+IF(K6="",0,K6)=KY6,$KG$1,IF(S6+IF(K6="",0,K6)=KC6,$JK$1,IF(S6+IF(K6="",0,K6)=JG6,$IO$1,IF(S6+IF(K6="",0,K6)=IK6,$HS$1,IF(S6+IF(K6="",0,K6)=HO6,$GW$1,IF(S6+IF(K6="",0,K6)=GS6,$GA$1,IF(S6+IF(K6="",0,K6)=FW6,$FE$1,IF(S6+IF(K6="",0,K6)=FA6,$EI$1,IF(S6+IF(K6="",0,K6)=EE6,$DM$1,IF(S6+IF(K6="",0,K6)=DI6,$CQ$1)))))))))))),IF(S6=CP6,IF(S6+IF(Q6="",0,Q6)=MS6,$LY$1,IF(S6+IF(Q6="",0,Q6)=LW6,$LC$1,IF(S6+IF(Q6="",0,Q6)=LA6,$KG$1,IF(S6+IF(Q6="",0,Q6)=KE6,$JK$1,IF(S6+IF(Q6="",0,Q6)=JI6,$IO$1,IF(S6+IF(Q6="",0,Q6)=IM6,$HS$1,IF(S6+IF(Q6="",0,Q6)=HQ6,$GW$1,IF(S6+IF(Q6="",0,Q6)=GU6,$GA$1,IF(S6+IF(Q6="",0,Q6)=FY6,$FE$1,IF(S6+IF(Q6="",0,Q6)=FC6,$EI$1,IF(S6+IF(Q6="",0,Q6)=EG6,$DM$1,IF(S6+IF(Q6="",0,Q6)=DK6,$CQ$1)))))))))))))))))</f>
        <v/>
      </c>
      <c r="V6" s="39">
        <v>7.8</v>
      </c>
      <c r="W6" s="39">
        <v>9.35</v>
      </c>
      <c r="X6" s="39">
        <v>3.9</v>
      </c>
      <c r="Y6" s="39">
        <v>15.36</v>
      </c>
      <c r="Z6" s="39">
        <v>0</v>
      </c>
      <c r="AA6" s="39">
        <v>6.125</v>
      </c>
      <c r="AB6" s="39">
        <v>7.9</v>
      </c>
      <c r="AC6" s="39">
        <v>10</v>
      </c>
      <c r="AD6" s="39">
        <v>15.26</v>
      </c>
      <c r="AE6" s="39">
        <v>0</v>
      </c>
      <c r="AF6" s="39">
        <v>5.7750000000000004</v>
      </c>
      <c r="AG6" s="39">
        <v>7.1</v>
      </c>
      <c r="AH6" s="39">
        <v>9.4</v>
      </c>
      <c r="AI6" s="39">
        <v>10.98</v>
      </c>
      <c r="AJ6" s="39">
        <v>0</v>
      </c>
      <c r="AK6" s="80"/>
      <c r="AL6" s="11">
        <f>IF(AC6&gt;0,AC6,"")</f>
        <v>10</v>
      </c>
      <c r="AM6" s="11">
        <f>IF(SUM(V6:Y6)-Z6&gt;0,SUM(V6:Y6)-Z6,"")</f>
        <v>36.409999999999997</v>
      </c>
      <c r="AN6" s="11">
        <f>IF(SUM(AA6:AD6)-AE6&gt;0,SUM(AA6:AD6)-AE6,"")</f>
        <v>39.284999999999997</v>
      </c>
      <c r="AO6" s="11">
        <f>IF(SUM(AM6:AN6)&gt;0,SUM(AM6:AN6),"")</f>
        <v>75.694999999999993</v>
      </c>
      <c r="AP6" s="11">
        <f>IF(AH6&gt;0,AH6,"")</f>
        <v>9.4</v>
      </c>
      <c r="AQ6" s="11">
        <f>IF(SUM(AF6:AI6)-AJ6&gt;0,SUM(AF6:AI6)-AJ6,"")</f>
        <v>33.254999999999995</v>
      </c>
      <c r="AR6" s="11">
        <f>IF(SUM(AO6,AQ6)&gt;0,SUM(AO6,AQ6),"")</f>
        <v>108.94999999999999</v>
      </c>
      <c r="AS6" s="40">
        <v>4.5</v>
      </c>
      <c r="AT6" s="40">
        <v>4.6500000000000004</v>
      </c>
      <c r="AU6" s="40">
        <v>1.2</v>
      </c>
      <c r="AV6" s="40">
        <v>8.8000000000000007</v>
      </c>
      <c r="AW6" s="40">
        <v>0</v>
      </c>
      <c r="AX6" s="40">
        <v>7.45</v>
      </c>
      <c r="AY6" s="40">
        <v>9.25</v>
      </c>
      <c r="AZ6" s="40">
        <v>11.6</v>
      </c>
      <c r="BA6" s="40">
        <v>16.96</v>
      </c>
      <c r="BB6" s="40">
        <v>0</v>
      </c>
      <c r="BC6" s="40">
        <v>7.9</v>
      </c>
      <c r="BD6" s="40">
        <v>9.15</v>
      </c>
      <c r="BE6" s="40">
        <v>10.6</v>
      </c>
      <c r="BF6" s="40">
        <v>16.54</v>
      </c>
      <c r="BG6" s="40">
        <v>0</v>
      </c>
      <c r="BH6" s="81"/>
      <c r="BI6" s="14">
        <f>IF(AZ6&gt;0,AZ6,"")</f>
        <v>11.6</v>
      </c>
      <c r="BJ6" s="14">
        <f>IF(SUM(AS6:AV6)-AW6&gt;0,SUM(AS6:AV6)-AW6,"")</f>
        <v>19.149999999999999</v>
      </c>
      <c r="BK6" s="14">
        <f>IF(SUM(AX6:BA6)-BB6&gt;0,SUM(AX6:BA6)-BB6,"")</f>
        <v>45.26</v>
      </c>
      <c r="BL6" s="14">
        <f>IF(SUM(BJ6:BK6)&gt;0,SUM(BJ6:BK6),"")</f>
        <v>64.41</v>
      </c>
      <c r="BM6" s="14">
        <f>IF(BE6&gt;0,BE6,"")</f>
        <v>10.6</v>
      </c>
      <c r="BN6" s="14">
        <f>IF(SUM(BC6:BF6)-BG6&gt;0,SUM(BC6:BF6)-BG6,"")</f>
        <v>44.19</v>
      </c>
      <c r="BO6" s="14">
        <f>IF(SUM(BL6,BN6)&gt;0,SUM(BL6,BN6),"")</f>
        <v>108.6</v>
      </c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80"/>
      <c r="CF6" s="11" t="str">
        <f>IF(BW6&gt;0,BW6,"")</f>
        <v/>
      </c>
      <c r="CG6" s="11" t="str">
        <f>IF(SUM(BP6:BS6)-BT6&gt;0,SUM(BP6:BS6)-BT6,"")</f>
        <v/>
      </c>
      <c r="CH6" s="11" t="str">
        <f>IF(SUM(BU6:BX6)-BY6&gt;0,SUM(BU6:BX6)-BY6,"")</f>
        <v/>
      </c>
      <c r="CI6" s="11" t="str">
        <f>IF(SUM(CG6:CH6)&gt;0,SUM(CG6:CH6),"")</f>
        <v/>
      </c>
      <c r="CJ6" s="11" t="str">
        <f>IF(CB6&gt;0,CB6,"")</f>
        <v/>
      </c>
      <c r="CK6" s="11" t="str">
        <f>IF(SUM(BZ6:CC6)-CD6&gt;0,SUM(BZ6:CC6)-CD6,"")</f>
        <v/>
      </c>
      <c r="CL6" s="11" t="str">
        <f>IF(SUM(CI6,CK6)&gt;0,SUM(CI6,CK6),"")</f>
        <v/>
      </c>
      <c r="CM6" s="24" t="str">
        <f>IF(MAX(DG6,EC6,EY6,FU6,GQ6,HM6,II6,JE6,KA6,KW6,LS6,MO6)-IF(M6="",0,M6)&gt;0.001,MAX(DG6,EC6,EY6,FU6,GQ6,HM6,II6,JE6,KA6,KW6,LS6,MO6)-IF(M6="",0,M6),"")</f>
        <v/>
      </c>
      <c r="CN6" s="24" t="str">
        <f>IF(MAX(DH6,ED6,EZ6,FV6,GR6,HN6,IJ6,JF6,KB6,KX6,LT6,MP6)-IF(O6="",0,O6)&gt;0.001,MAX(DH6,ED6,EZ6,FV6,GR6,HN6,IJ6,JF6,KB6,KX6,LT6,MP6)-IF(O6="",0,O6),"")</f>
        <v/>
      </c>
      <c r="CO6" s="24" t="str">
        <f>IF(MAX(DI6,EE6,FA6,FW6,GS6,HO6,IK6,JG6,KC6,KY6,LU6,MQ6)-IF(K6="",0,K6)&gt;0.001,MAX(DI6,EE6,FA6,FW6,GS6,HO6,IK6,JG6,KC6,KY6,LU6,MQ6)-IF(K6="",0,K6),"")</f>
        <v/>
      </c>
      <c r="CP6" s="24" t="str">
        <f>IF(MAX(DK6,EG6,FC6,FY6,GU6,HQ6,IM6,JI6,KE6,LA6,LW6,MS6)-IF(Q6="",0,Q6)&gt;0.001,MAX(DK6,EG6,FC6,FY6,GU6,HQ6,IM6,JI6,KE6,LA6,LW6,MS6)-IF(Q6="",0,Q6),"")</f>
        <v/>
      </c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11" t="str">
        <f>IF(CX6&gt;0,CX6,"")</f>
        <v/>
      </c>
      <c r="DG6" s="11" t="str">
        <f>IF(SUM(CQ6:CT6)-CU6&gt;0,SUM(CQ6:CT6)-CU6,"")</f>
        <v/>
      </c>
      <c r="DH6" s="11" t="str">
        <f>IF(SUM(CV6:CY6)-CZ6&gt;0,SUM(CV6:CY6)-CZ6,"")</f>
        <v/>
      </c>
      <c r="DI6" s="11" t="str">
        <f>IF(SUM(DG6:DH6)&gt;0,SUM(DG6:DH6),"")</f>
        <v/>
      </c>
      <c r="DJ6" s="11" t="str">
        <f>IF(DC6&gt;0,DC6,"")</f>
        <v/>
      </c>
      <c r="DK6" s="11" t="str">
        <f>IF(SUM(DA6:DD6)-DE6&gt;0,SUM(DA6:DD6)-DE6,"")</f>
        <v/>
      </c>
      <c r="DL6" s="11" t="str">
        <f>IF(SUM(DI6,DK6)&gt;0,SUM(DI6,DK6),"")</f>
        <v/>
      </c>
      <c r="DM6" s="38"/>
      <c r="DN6" s="38"/>
      <c r="DO6" s="38"/>
      <c r="DP6" s="38"/>
      <c r="DQ6" s="38"/>
      <c r="DR6" s="38"/>
      <c r="DS6" s="38"/>
      <c r="DT6" s="38"/>
      <c r="DU6" s="38"/>
      <c r="DV6" s="38"/>
      <c r="DW6" s="38"/>
      <c r="DX6" s="38"/>
      <c r="DY6" s="38"/>
      <c r="DZ6" s="38"/>
      <c r="EA6" s="38"/>
      <c r="EB6" s="14" t="str">
        <f>IF(DT6&gt;0,DT6,"")</f>
        <v/>
      </c>
      <c r="EC6" s="14" t="str">
        <f>IF(SUM(DM6:DP6)-DQ6&gt;0,SUM(DM6:DP6)-DQ6,"")</f>
        <v/>
      </c>
      <c r="ED6" s="14" t="str">
        <f>IF(SUM(DR6:DU6)-DV6&gt;0,SUM(DR6:DU6)-DV6,"")</f>
        <v/>
      </c>
      <c r="EE6" s="14" t="str">
        <f>IF(SUM(EC6:ED6)&gt;0,SUM(EC6:ED6),"")</f>
        <v/>
      </c>
      <c r="EF6" s="14" t="str">
        <f>IF(DY6&gt;0,DY6,"")</f>
        <v/>
      </c>
      <c r="EG6" s="14" t="str">
        <f>IF(SUM(DW6:DZ6)-EA6&gt;0,SUM(DW6:DZ6)-EA6,"")</f>
        <v/>
      </c>
      <c r="EH6" s="14" t="str">
        <f>IF(SUM(EE6,EG6)&gt;0,SUM(EE6,EG6),"")</f>
        <v/>
      </c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11" t="str">
        <f>IF(EP6&gt;0,EP6,"")</f>
        <v/>
      </c>
      <c r="EY6" s="11" t="str">
        <f>IF(SUM(EI6:EL6)-EM6&gt;0,SUM(EI6:EL6)-EM6,"")</f>
        <v/>
      </c>
      <c r="EZ6" s="11" t="str">
        <f>IF(SUM(EN6:EQ6)-ER6&gt;0,SUM(EN6:EQ6)-ER6,"")</f>
        <v/>
      </c>
      <c r="FA6" s="11" t="str">
        <f>IF(SUM(EY6:EZ6)&gt;0,SUM(EY6:EZ6),"")</f>
        <v/>
      </c>
      <c r="FB6" s="11" t="str">
        <f>IF(EU6&gt;0,EU6,"")</f>
        <v/>
      </c>
      <c r="FC6" s="11" t="str">
        <f>IF(SUM(ES6:EV6)-EW6&gt;0,SUM(ES6:EV6)-EW6,"")</f>
        <v/>
      </c>
      <c r="FD6" s="11" t="str">
        <f>IF(SUM(FA6,FC6)&gt;0,SUM(FA6,FC6),"")</f>
        <v/>
      </c>
      <c r="FE6" s="38"/>
      <c r="FF6" s="38"/>
      <c r="FG6" s="38"/>
      <c r="FH6" s="38"/>
      <c r="FI6" s="38"/>
      <c r="FJ6" s="38"/>
      <c r="FK6" s="38"/>
      <c r="FL6" s="38"/>
      <c r="FM6" s="38"/>
      <c r="FN6" s="38"/>
      <c r="FO6" s="38"/>
      <c r="FP6" s="38"/>
      <c r="FQ6" s="38"/>
      <c r="FR6" s="38"/>
      <c r="FS6" s="38"/>
      <c r="FT6" s="14" t="str">
        <f>IF(FL6&gt;0,FL6,"")</f>
        <v/>
      </c>
      <c r="FU6" s="14" t="str">
        <f>IF(SUM(FE6:FH6)-FI6&gt;0,SUM(FE6:FH6)-FI6,"")</f>
        <v/>
      </c>
      <c r="FV6" s="14" t="str">
        <f>IF(SUM(FJ6:FM6)-FN6&gt;0,SUM(FJ6:FM6)-FN6,"")</f>
        <v/>
      </c>
      <c r="FW6" s="14" t="str">
        <f>IF(SUM(FU6:FV6)&gt;0,SUM(FU6:FV6),"")</f>
        <v/>
      </c>
      <c r="FX6" s="14" t="str">
        <f>IF(FQ6&gt;0,FQ6,"")</f>
        <v/>
      </c>
      <c r="FY6" s="14" t="str">
        <f>IF(SUM(FO6:FR6)-FS6&gt;0,SUM(FO6:FR6)-FS6,"")</f>
        <v/>
      </c>
      <c r="FZ6" s="14" t="str">
        <f>IF(SUM(FW6,FY6)&gt;0,SUM(FW6,FY6),"")</f>
        <v/>
      </c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11" t="str">
        <f>IF(GH6&gt;0,GH6,"")</f>
        <v/>
      </c>
      <c r="GQ6" s="11" t="str">
        <f>IF(SUM(GA6:GD6)-GE6&gt;0,SUM(GA6:GD6)-GE6,"")</f>
        <v/>
      </c>
      <c r="GR6" s="11" t="str">
        <f>IF(SUM(GF6:GI6)-GJ6&gt;0,SUM(GF6:GI6)-GJ6,"")</f>
        <v/>
      </c>
      <c r="GS6" s="11" t="str">
        <f>IF(SUM(GQ6:GR6)&gt;0,SUM(GQ6:GR6),"")</f>
        <v/>
      </c>
      <c r="GT6" s="11" t="str">
        <f>IF(GM6&gt;0,GM6,"")</f>
        <v/>
      </c>
      <c r="GU6" s="11" t="str">
        <f>IF(SUM(GK6:GN6)-GO6&gt;0,SUM(GK6:GN6)-GO6,"")</f>
        <v/>
      </c>
      <c r="GV6" s="11" t="str">
        <f>IF(SUM(GS6,GU6)&gt;0,SUM(GS6,GU6),"")</f>
        <v/>
      </c>
      <c r="GW6" s="38"/>
      <c r="GX6" s="38"/>
      <c r="GY6" s="38"/>
      <c r="GZ6" s="38"/>
      <c r="HA6" s="38"/>
      <c r="HB6" s="38"/>
      <c r="HC6" s="38"/>
      <c r="HD6" s="38"/>
      <c r="HE6" s="38"/>
      <c r="HF6" s="38"/>
      <c r="HG6" s="38"/>
      <c r="HH6" s="38"/>
      <c r="HI6" s="38"/>
      <c r="HJ6" s="38"/>
      <c r="HK6" s="38"/>
      <c r="HL6" s="14" t="str">
        <f>IF(HD6&gt;0,HD6,"")</f>
        <v/>
      </c>
      <c r="HM6" s="14" t="str">
        <f>IF(SUM(GW6:GZ6)-HA6&gt;0,SUM(GW6:GZ6)-HA6,"")</f>
        <v/>
      </c>
      <c r="HN6" s="14" t="str">
        <f>IF(SUM(HB6:HE6)-HF6&gt;0,SUM(HB6:HE6)-HF6,"")</f>
        <v/>
      </c>
      <c r="HO6" s="14" t="str">
        <f>IF(SUM(HM6:HN6)&gt;0,SUM(HM6:HN6),"")</f>
        <v/>
      </c>
      <c r="HP6" s="14" t="str">
        <f>IF(HI6&gt;0,HI6,"")</f>
        <v/>
      </c>
      <c r="HQ6" s="14" t="str">
        <f>IF(SUM(HG6:HJ6)-HK6&gt;0,SUM(HG6:HJ6)-HK6,"")</f>
        <v/>
      </c>
      <c r="HR6" s="14" t="str">
        <f>IF(SUM(HO6,HQ6)&gt;0,SUM(HO6,HQ6),"")</f>
        <v/>
      </c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11" t="str">
        <f>IF(HZ6&gt;0,HZ6,"")</f>
        <v/>
      </c>
      <c r="II6" s="11" t="str">
        <f>IF(SUM(HS6:HV6)-HW6&gt;0,SUM(HS6:HV6)-HW6,"")</f>
        <v/>
      </c>
      <c r="IJ6" s="11" t="str">
        <f>IF(SUM(HX6:IA6)-IB6&gt;0,SUM(HX6:IA6)-IB6,"")</f>
        <v/>
      </c>
      <c r="IK6" s="11" t="str">
        <f>IF(SUM(II6:IJ6)&gt;0,SUM(II6:IJ6),"")</f>
        <v/>
      </c>
      <c r="IL6" s="11" t="str">
        <f>IF(IE6&gt;0,IE6,"")</f>
        <v/>
      </c>
      <c r="IM6" s="11" t="str">
        <f>IF(SUM(IC6:IF6)-IG6&gt;0,SUM(IC6:IF6)-IG6,"")</f>
        <v/>
      </c>
      <c r="IN6" s="11" t="str">
        <f>IF(SUM(IK6,IM6)&gt;0,SUM(IK6,IM6),"")</f>
        <v/>
      </c>
      <c r="IO6" s="38"/>
      <c r="IP6" s="38"/>
      <c r="IQ6" s="38"/>
      <c r="IR6" s="38"/>
      <c r="IS6" s="38"/>
      <c r="IT6" s="38"/>
      <c r="IU6" s="38"/>
      <c r="IV6" s="38"/>
      <c r="IW6" s="38"/>
      <c r="IX6" s="38"/>
      <c r="IY6" s="38"/>
      <c r="IZ6" s="38"/>
      <c r="JA6" s="38"/>
      <c r="JB6" s="38"/>
      <c r="JC6" s="38"/>
      <c r="JD6" s="14" t="str">
        <f>IF(IV6&gt;0,IV6,"")</f>
        <v/>
      </c>
      <c r="JE6" s="14" t="str">
        <f>IF(SUM(IO6:IR6)-IS6&gt;0,SUM(IO6:IR6)-IS6,"")</f>
        <v/>
      </c>
      <c r="JF6" s="14" t="str">
        <f>IF(SUM(IT6:IW6)-IX6&gt;0,SUM(IT6:IW6)-IX6,"")</f>
        <v/>
      </c>
      <c r="JG6" s="14" t="str">
        <f>IF(SUM(JE6:JF6)&gt;0,SUM(JE6:JF6),"")</f>
        <v/>
      </c>
      <c r="JH6" s="14" t="str">
        <f>IF(JA6&gt;0,JA6,"")</f>
        <v/>
      </c>
      <c r="JI6" s="14" t="str">
        <f>IF(SUM(IY6:JB6)-JC6&gt;0,SUM(IY6:JB6)-JC6,"")</f>
        <v/>
      </c>
      <c r="JJ6" s="14" t="str">
        <f>IF(SUM(JG6,JI6)&gt;0,SUM(JG6,JI6),"")</f>
        <v/>
      </c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11" t="str">
        <f>IF(JR6&gt;0,JR6,"")</f>
        <v/>
      </c>
      <c r="KA6" s="11" t="str">
        <f>IF(SUM(JK6:JN6)-JO6&gt;0,SUM(JK6:JN6)-JO6,"")</f>
        <v/>
      </c>
      <c r="KB6" s="11" t="str">
        <f>IF(SUM(JP6:JS6)-JT6&gt;0,SUM(JP6:JS6)-JT6,"")</f>
        <v/>
      </c>
      <c r="KC6" s="11" t="str">
        <f>IF(SUM(KA6:KB6)&gt;0,SUM(KA6:KB6),"")</f>
        <v/>
      </c>
      <c r="KD6" s="11" t="str">
        <f>IF(JW6&gt;0,JW6,"")</f>
        <v/>
      </c>
      <c r="KE6" s="11" t="str">
        <f>IF(SUM(JU6:JX6)-JY6&gt;0,SUM(JU6:JX6)-JY6,"")</f>
        <v/>
      </c>
      <c r="KF6" s="11" t="str">
        <f>IF(SUM(KC6,KE6)&gt;0,SUM(KC6,KE6),"")</f>
        <v/>
      </c>
      <c r="KG6" s="38"/>
      <c r="KH6" s="38"/>
      <c r="KI6" s="38"/>
      <c r="KJ6" s="38"/>
      <c r="KK6" s="38"/>
      <c r="KL6" s="38"/>
      <c r="KM6" s="38"/>
      <c r="KN6" s="38"/>
      <c r="KO6" s="38"/>
      <c r="KP6" s="38"/>
      <c r="KQ6" s="38"/>
      <c r="KR6" s="38"/>
      <c r="KS6" s="38"/>
      <c r="KT6" s="38"/>
      <c r="KU6" s="38"/>
      <c r="KV6" s="14" t="str">
        <f>IF(KN6&gt;0,KN6,"")</f>
        <v/>
      </c>
      <c r="KW6" s="14" t="str">
        <f>IF(SUM(KG6:KJ6)-KK6&gt;0,SUM(KG6:KJ6)-KK6,"")</f>
        <v/>
      </c>
      <c r="KX6" s="14" t="str">
        <f>IF(SUM(KL6:KO6)-KP6&gt;0,SUM(KL6:KO6)-KP6,"")</f>
        <v/>
      </c>
      <c r="KY6" s="14" t="str">
        <f>IF(SUM(KW6:KX6)&gt;0,SUM(KW6:KX6),"")</f>
        <v/>
      </c>
      <c r="KZ6" s="14" t="str">
        <f>IF(KS6&gt;0,KS6,"")</f>
        <v/>
      </c>
      <c r="LA6" s="14" t="str">
        <f>IF(SUM(KQ6:KT6)-KU6&gt;0,SUM(KQ6:KT6)-KU6,"")</f>
        <v/>
      </c>
      <c r="LB6" s="14" t="str">
        <f>IF(SUM(KY6,LA6)&gt;0,SUM(KY6,LA6),"")</f>
        <v/>
      </c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11" t="str">
        <f>IF(LJ6&gt;0,LJ6,"")</f>
        <v/>
      </c>
      <c r="LS6" s="11" t="str">
        <f>IF(SUM(LC6:LF6)-LG6&gt;0,SUM(LC6:LF6)-LG6,"")</f>
        <v/>
      </c>
      <c r="LT6" s="11" t="str">
        <f>IF(SUM(LH6:LK6)-LL6&gt;0,SUM(LH6:LK6)-LL6,"")</f>
        <v/>
      </c>
      <c r="LU6" s="11" t="str">
        <f>IF(SUM(LS6:LT6)&gt;0,SUM(LS6:LT6),"")</f>
        <v/>
      </c>
      <c r="LV6" s="11" t="str">
        <f>IF(LO6&gt;0,LO6,"")</f>
        <v/>
      </c>
      <c r="LW6" s="11" t="str">
        <f>IF(SUM(LM6:LP6)-LQ6&gt;0,SUM(LM6:LP6)-LQ6,"")</f>
        <v/>
      </c>
      <c r="LX6" s="11" t="str">
        <f>IF(SUM(LU6,LW6)&gt;0,SUM(LU6,LW6),"")</f>
        <v/>
      </c>
      <c r="LY6" s="38"/>
      <c r="LZ6" s="38"/>
      <c r="MA6" s="38"/>
      <c r="MB6" s="38"/>
      <c r="MC6" s="38"/>
      <c r="MD6" s="38"/>
      <c r="ME6" s="38"/>
      <c r="MF6" s="38"/>
      <c r="MG6" s="38"/>
      <c r="MH6" s="38"/>
      <c r="MI6" s="38"/>
      <c r="MJ6" s="38"/>
      <c r="MK6" s="38"/>
      <c r="ML6" s="38"/>
      <c r="MM6" s="38"/>
      <c r="MN6" s="14" t="str">
        <f>IF(MF6&gt;0,MF6,"")</f>
        <v/>
      </c>
      <c r="MO6" s="14" t="str">
        <f>IF(SUM(LY6:MB6)-MC6&gt;0,SUM(LY6:MB6)-MC6,"")</f>
        <v/>
      </c>
      <c r="MP6" s="14" t="str">
        <f>IF(SUM(MD6:MG6)-MH6&gt;0,SUM(MD6:MG6)-MH6,"")</f>
        <v/>
      </c>
      <c r="MQ6" s="14" t="str">
        <f>IF(SUM(MO6:MP6)&gt;0,SUM(MO6:MP6),"")</f>
        <v/>
      </c>
      <c r="MR6" s="14" t="str">
        <f>IF(MK6&gt;0,MK6,"")</f>
        <v/>
      </c>
      <c r="MS6" s="14" t="str">
        <f>IF(SUM(MI6:ML6)-MM6&gt;0,SUM(MI6:ML6)-MM6,"")</f>
        <v/>
      </c>
      <c r="MT6" s="14" t="str">
        <f>IF(SUM(MQ6,MS6)&gt;0,SUM(MQ6,MS6),"")</f>
        <v/>
      </c>
      <c r="MU6" s="69">
        <f>IF($CE6="P",BP6,(BP6+AS6)/2)</f>
        <v>2.25</v>
      </c>
      <c r="MV6" s="69">
        <f>IF($CE6="P",BQ6,(BQ6+AT6)/2)</f>
        <v>2.3250000000000002</v>
      </c>
      <c r="MW6" s="69">
        <f>IF($CE6="P",BR6,(BR6+AU6)/2)</f>
        <v>0.6</v>
      </c>
      <c r="MX6" s="69">
        <f>IF($CE6="P",BS6,(BS6+AV6)/2)</f>
        <v>4.4000000000000004</v>
      </c>
      <c r="MY6" s="69">
        <f>IF($CE6="P",BT6,(BT6+AW6)/2)</f>
        <v>0</v>
      </c>
      <c r="MZ6" s="69">
        <f>IF($CE6="P",BU6,(BU6+AX6)/2)</f>
        <v>3.7250000000000001</v>
      </c>
      <c r="NA6" s="69">
        <f>IF($CE6="P",BV6,(BV6+AY6)/2)</f>
        <v>4.625</v>
      </c>
      <c r="NB6" s="69">
        <f>IF($CE6="P",BW6,(BW6+AZ6)/2)</f>
        <v>5.8</v>
      </c>
      <c r="NC6" s="69">
        <f>IF($CE6="P",BX6,(BX6+BA6)/2)</f>
        <v>8.48</v>
      </c>
      <c r="ND6" s="69">
        <f>IF($CE6="P",BY6,(BY6+BB6)/2)</f>
        <v>0</v>
      </c>
      <c r="NE6" s="69">
        <f>IF($CE6="P",BZ6,(BZ6+BC6)/2)</f>
        <v>3.95</v>
      </c>
      <c r="NF6" s="69">
        <f>IF($CE6="P",CA6,(CA6+BD6)/2)</f>
        <v>4.5750000000000002</v>
      </c>
      <c r="NG6" s="69">
        <f>IF($CE6="P",CB6,(CB6+BE6)/2)</f>
        <v>5.3</v>
      </c>
      <c r="NH6" s="69">
        <f>IF($CE6="P",CC6,(CC6+BF6)/2)</f>
        <v>8.27</v>
      </c>
      <c r="NI6" s="69">
        <f>IF($CE6="P",CD6,(CD6+BG6)/2)</f>
        <v>0</v>
      </c>
      <c r="NJ6" s="80" t="s">
        <v>91</v>
      </c>
      <c r="NK6" s="11">
        <f>IF(NB6&gt;0,NB6,"")</f>
        <v>5.8</v>
      </c>
      <c r="NL6" s="11">
        <f>IF(SUM(MU6:MX6)-MY6&gt;0,SUM(MU6:MX6)-MY6,"")</f>
        <v>9.5749999999999993</v>
      </c>
      <c r="NM6" s="11">
        <f>IF(SUM(MZ6:NC6)-ND6&gt;0,SUM(MZ6:NC6)-ND6,"")</f>
        <v>22.63</v>
      </c>
      <c r="NN6" s="11">
        <f>IF(SUM(NL6:NM6)&gt;0,SUM(NL6:NM6),"")</f>
        <v>32.204999999999998</v>
      </c>
      <c r="NO6" s="11">
        <f>IF(NG6&gt;0,NG6,"")</f>
        <v>5.3</v>
      </c>
      <c r="NP6" s="11">
        <f>IF(SUM(NE6:NH6)-NI6&gt;0,SUM(NE6:NH6)-NI6,"")</f>
        <v>22.094999999999999</v>
      </c>
      <c r="NQ6" s="11">
        <f>IF(SUM(NN6,NP6)&gt;0,SUM(NN6,NP6),"")</f>
        <v>54.3</v>
      </c>
    </row>
    <row r="7" spans="1:381" x14ac:dyDescent="0.2">
      <c r="A7" s="5" t="str" cm="1">
        <f t="array" ref="A7">IF(AND(G7&lt;&gt;"",H7&lt;&gt;""),SUMPRODUCT((G$4:G$12&lt;&gt;"")*(H$4:H$12&lt;&gt;"")*(E$4:E$12&gt;E7))+1,IF(H7&lt;&gt;"",SUMPRODUCT((I$4:I$12="No DD")*(E$4:E$12&gt;E7))+1+SUMPRODUCT((G$4:G$12&lt;&gt;"")*(H$4:H$12&lt;&gt;"")),""))</f>
        <v/>
      </c>
      <c r="B7" s="8" t="s">
        <v>136</v>
      </c>
      <c r="C7" s="4" t="s">
        <v>10</v>
      </c>
      <c r="D7" s="27" t="s">
        <v>135</v>
      </c>
      <c r="E7" s="15">
        <f>SUM(K7:S7)</f>
        <v>152.78500000000003</v>
      </c>
      <c r="F7" s="3" t="str">
        <f>IF(G7&lt;&gt;"","P","")</f>
        <v/>
      </c>
      <c r="G7" s="125" t="str">
        <f>IF(OR(AND(AL7&gt;=AR$17,AL7&lt;&gt;"",AK7=""),AND(AP7&gt;=AR$17,AP7&lt;&gt;"",AK7=""),AND(BI7&gt;=BO$17,BI7&lt;&gt;"",BH7=""),AND(BM7&gt;=BO$17,BM7&lt;&gt;"",BH7=""),AND(CF7&gt;=CL$17,CF7&lt;&gt;"",CE7=""),AND(CJ7&gt;=CL$17,CJ7&lt;&gt;"",CE7=""),AND(DF7&gt;=DL$17,DF7&lt;&gt;""),AND(DJ7&gt;=DL$17,DJ7&lt;&gt;""),AND(EB7&gt;=EH$17,EB7&lt;&gt;""),AND(EF7&gt;=EH$17,EF7&lt;&gt;""),AND(EX7&gt;=FD$17,EX7&lt;&gt;""),AND(FB7&gt;=FD$17,FB7&lt;&gt;""),AND(FT7&gt;=FZ$17,FT7&lt;&gt;""),AND(FX7&gt;=FZ$17,FX7&lt;&gt;""),AND(GP7&gt;=GV$17,GP7&lt;&gt;""),AND(GT7&gt;=GV$17,GT7&lt;&gt;""),AND(HL7&gt;=HR$17,HL7&lt;&gt;""),AND(HP7&gt;=HR$17,HP7&lt;&gt;""),AND(IH7&gt;=IN$17,IH7&lt;&gt;""),AND(IL7&gt;=IN$17,IL7&lt;&gt;""),AND(JD7&gt;=JJ$17,JD7&lt;&gt;""),AND(JH7&gt;=JJ$17,JH7&lt;&gt;""),AND(JZ7&gt;=KF$17,JZ7&lt;&gt;""),AND(KD7&gt;=KF$17,KD7&lt;&gt;""),AND(KV7&gt;=LB$17,KV7&lt;&gt;""),AND(KZ7&gt;=LB$17,KZ7&lt;&gt;""),AND(LR7&gt;=LX$17,LR7&lt;&gt;""),AND(LV7&gt;=LX$17,LV7&lt;&gt;""),AND(MN7&gt;=MT$17,MN7&lt;&gt;""),AND(MR7&gt;=MT$17,MR7&lt;&gt;"")),"Merit",IF(OR(AND(AL7&gt;=AR$16,AL7&lt;&gt;"",AK7=""),AND(AP7&gt;=AR$16,AP7&lt;&gt;"",AK7=""),AND(BI7&gt;=BO$16,BI7&lt;&gt;"",BH7=""),AND(BM7&gt;=BO$16,BM7&lt;&gt;"",BH7=""),AND(CF7&gt;=CL$16,CF7&lt;&gt;"",CE7=""),AND(CJ7&gt;=CL$16,CJ7&lt;&gt;"",CE7=""),AND(DF7&gt;=DL$16,DF7&lt;&gt;""),AND(DJ7&gt;=DL$16,DJ7&lt;&gt;""),AND(EB7&gt;=EH$16,EB7&lt;&gt;""),AND(EF7&gt;=EH$16,EF7&lt;&gt;""),AND(EX7&gt;=FD$16,EX7&lt;&gt;""),AND(FB7&gt;=FD$16,FB7&lt;&gt;""),AND(FT7&gt;=FZ$16,FT7&lt;&gt;""),AND(FX7&gt;=FZ$16,FX7&lt;&gt;""),AND(GP7&gt;=GV$16,GP7&lt;&gt;""),AND(GT7&gt;=GV$16,GT7&lt;&gt;""),AND(HL7&gt;=HR$16,HL7&lt;&gt;""),AND(HP7&gt;=HR$16,HP7&lt;&gt;""),AND(IH7&gt;=IN$16,IH7&lt;&gt;""),AND(IL7&gt;=IN$16,IL7&lt;&gt;""),AND(JD7&gt;=JJ$16,JD7&lt;&gt;""),AND(JH7&gt;=JJ$16,JH7&lt;&gt;""),AND(JZ7&gt;=KF$16,JZ7&lt;&gt;""),AND(KD7&gt;=KF$16,KD7&lt;&gt;""),AND(KV7&gt;=LB$16,KV7&lt;&gt;""),AND(KZ7&gt;=LB$16,KZ7&lt;&gt;""),AND(LR7&gt;=LX$16,LR7&lt;&gt;""),AND(LV7&gt;=LX$16,LV7&lt;&gt;""),AND(MN7&gt;=MT$16,MN7&lt;&gt;""),AND(MR7&gt;=MT$16,MR7&lt;&gt;"")),"Excellence",IF(OR(AND(AL7&gt;=AR$15,AL7&lt;&gt;"",AK7=""),AND(AP7&gt;=AR$15,AP7&lt;&gt;"",AK7=""),AND(BI7&gt;=BO$15,BI7&lt;&gt;"",BH7=""),AND(BM7&gt;=BO$15,BM7&lt;&gt;"",BH7=""),AND(CF7&gt;=CL$15,CF7&lt;&gt;"",CE7=""),AND(CJ7&gt;=CL$15,CJ7&lt;&gt;"",CE7=""),AND(DF7&gt;=DL$15,DF7&lt;&gt;""),AND(DJ7&gt;=DL$15,DJ7&lt;&gt;""),AND(EB7&gt;=EH$15,EB7&lt;&gt;""),AND(EF7&gt;=EH$15,EF7&lt;&gt;""),AND(EX7&gt;=FD$15,EX7&lt;&gt;""),AND(FB7&gt;=FD$15,FB7&lt;&gt;""),AND(FT7&gt;=FZ$15,FT7&lt;&gt;""),AND(FX7&gt;=FZ$15,FX7&lt;&gt;""),AND(GP7&gt;=GV$15,GP7&lt;&gt;""),AND(GT7&gt;=GV$15,GT7&lt;&gt;""),AND(HL7&gt;=HR$15,HL7&lt;&gt;""),AND(HP7&gt;=HR$15,HP7&lt;&gt;""),AND(IH7&gt;=IN$15,IH7&lt;&gt;""),AND(IL7&gt;=IN$15,IL7&lt;&gt;""),AND(JD7&gt;=JJ$15,JD7&lt;&gt;""),AND(JH7&gt;=JJ$15,JH7&lt;&gt;""),AND(JZ7&gt;=KF$15,JZ7&lt;&gt;""),AND(KD7&gt;=KF$15,KD7&lt;&gt;""),AND(KV7&gt;=LB$15,KV7&lt;&gt;""),AND(KZ7&gt;=LB$15,KZ7&lt;&gt;""),AND(LR7&gt;=LX$15,LR7&lt;&gt;""),AND(LV7&gt;=LX$15,LV7&lt;&gt;""),AND(MN7&gt;=MT$15,MN7&lt;&gt;""),AND(MR7&gt;=MT$15,MR7&lt;&gt;"")),"Worlds Team",IF(OR(AND(AL7&gt;=AR$14,AL7&lt;&gt;"",AK7=""),AND(AP7&gt;=AR$14,AP7&lt;&gt;"",AK7=""),AND(BI7&gt;=BO$14,BI7&lt;&gt;"",BH7=""),AND(BM7&gt;=BO$14,BM7&lt;&gt;"",BH7=""),AND(CF7&gt;=CL$14,CF7&lt;&gt;"",CE7=""),AND(CJ7&gt;=CL$14,CJ7&lt;&gt;"",CE7=""),AND(DF7&gt;=DL$14,DF7&lt;&gt;""),AND(DJ7&gt;=DL$14,DJ7&lt;&gt;""),AND(EB7&gt;=EH$14,EB7&lt;&gt;""),AND(EF7&gt;=EH$14,EF7&lt;&gt;""),AND(EX7&gt;=FD$14,EX7&lt;&gt;""),AND(FB7&gt;=FD$14,FB7&lt;&gt;""),AND(FT7&gt;=FZ$14,FT7&lt;&gt;""),AND(FX7&gt;=FZ$14,FX7&lt;&gt;""),AND(GP7&gt;=GV$14,GP7&lt;&gt;""),AND(GT7&gt;=GV$14,GT7&lt;&gt;""),AND(HL7&gt;=HR$14,HL7&lt;&gt;""),AND(HP7&gt;=HR$14,HP7&lt;&gt;""),AND(IH7&gt;=IN$14,IH7&lt;&gt;""),AND(IL7&gt;=IN$14,IL7&lt;&gt;""),AND(JD7&gt;=JJ$14,JD7&lt;&gt;""),AND(JH7&gt;=JJ$14,JH7&lt;&gt;""),AND(JZ7&gt;=KF$14,JZ7&lt;&gt;""),AND(KD7&gt;=KF$14,KD7&lt;&gt;""),AND(KV7&gt;=LB$14,KV7&lt;&gt;""),AND(KZ7&gt;=LB$14,KZ7&lt;&gt;""),AND(LR7&gt;=LX$14,LR7&lt;&gt;""),AND(LV7&gt;=LX$14,LV7&lt;&gt;""),AND(MN7&gt;=MT$14,MN7&lt;&gt;""),AND(MR7&gt;=MT$14,MR7&lt;&gt;"")),"National Team",""))))</f>
        <v/>
      </c>
      <c r="H7" s="125" t="str">
        <f>IF(OR(AND(AN7&gt;=AR$21,AN7&lt;&gt;"",AK7=""),AND(AQ7&gt;=AR$21,AQ7&lt;&gt;"",AK7=""),AND(BK7&gt;=BO$21,BK7&lt;&gt;"",BH7=""),AND(BN7&gt;=BO$21,BN7&lt;&gt;"",BH7=""),AND(CH7&gt;=CL$21,CH7&lt;&gt;"",CE7=""),AND(CK7&gt;=CL$21,CE7&lt;&gt;"",CE7=""),AND(DH7&gt;=DL$21,DH7&lt;&gt;""),AND(DK7&gt;=DL$21,DK7&lt;&gt;""),AND(ED7&gt;=EH$21,ED7&lt;&gt;""),AND(EG7&gt;=EH$21,EG7&lt;&gt;""),AND(EZ7&gt;=FD$21,EZ7&lt;&gt;""),AND(FC7&gt;=FD$21,FC7&lt;&gt;""),AND(FV7&gt;=FZ$21,FV7&lt;&gt;""),AND(FY7&gt;=FZ$21,FY7&lt;&gt;""),AND(GR7&gt;=GV$21,GR7&lt;&gt;""),AND(GU7&gt;=GV$21,GU7&lt;&gt;""),AND(HN7&gt;=HR$21,HN7&lt;&gt;""),AND(HQ7&gt;=HR$21,HQ7&lt;&gt;""),AND(IJ7&gt;=IN$21,IJ7&lt;&gt;""),AND(IM7&gt;=IN$21,IM7&lt;&gt;""),AND(JF7&gt;=JJ$21,JF7&lt;&gt;""),AND(JI7&gt;=JJ$21,JI7&lt;&gt;""),AND(KB7&gt;=KF$21,KB7&lt;&gt;""),AND(KE7&gt;=KF$21,KE7&lt;&gt;""),AND(KX7&gt;=LB$21,KX7&lt;&gt;""),AND(LA7&gt;=LB$21,LA7&lt;&gt;""),AND(LT7&gt;=LX$21,LT7&lt;&gt;""),AND(LW7&gt;=LX$21,LW7&lt;&gt;""),AND(MP7&gt;=MT$21,MP7&lt;&gt;""),AND(MS7&gt;=MT$21,MS7&lt;&gt;"")),"Merit",IF(OR(AND(AN7&gt;=AR$20,AN7&lt;&gt;"",AK7=""),AND(AQ7&gt;=AR$20,AQ7&lt;&gt;"",AK7=""),AND(BK7&gt;=BO$20,BK7&lt;&gt;"",BH7=""),AND(BN7&gt;=BO$20,BN7&lt;&gt;"",BH7=""),AND(CH7&gt;=CL$20,CH7&lt;&gt;"",CE7=""),AND(CK7&gt;=CL$20,CE7&lt;&gt;"",CE7=""),AND(DH7&gt;=DL$20,DH7&lt;&gt;""),AND(DK7&gt;=DL$20,DK7&lt;&gt;""),AND(ED7&gt;=EH$20,ED7&lt;&gt;""),AND(EG7&gt;=EH$20,EG7&lt;&gt;""),AND(EZ7&gt;=FD$20,EZ7&lt;&gt;""),AND(FC7&gt;=FD$20,FC7&lt;&gt;""),AND(FV7&gt;=FZ$20,FV7&lt;&gt;""),AND(FY7&gt;=FZ$20,FY7&lt;&gt;""),AND(GR7&gt;=GV$20,GR7&lt;&gt;""),AND(GU7&gt;=GV$20,GU7&lt;&gt;""),AND(HN7&gt;=HR$20,HN7&lt;&gt;""),AND(HQ7&gt;=HR$20,HQ7&lt;&gt;""),AND(IJ7&gt;=IN$20,IJ7&lt;&gt;""),AND(IM7&gt;=IN$20,IM7&lt;&gt;""),AND(JF7&gt;=JJ$20,JF7&lt;&gt;""),AND(JI7&gt;=JJ$20,JI7&lt;&gt;""),AND(KB7&gt;=KF$20,KB7&lt;&gt;""),AND(KE7&gt;=KF$20,KE7&lt;&gt;""),AND(KX7&gt;=LB$20,KX7&lt;&gt;""),AND(LA7&gt;=LB$20,LA7&lt;&gt;""),AND(LT7&gt;=LX$20,LT7&lt;&gt;""),AND(LW7&gt;=LX$20,LW7&lt;&gt;""),AND(MP7&gt;=MT$20,MP7&lt;&gt;""),AND(MS7&gt;=MT$20,MS7&lt;&gt;"")),"Excellence",IF(OR(AND(AO7&gt;=AR$19,AO7&lt;&gt;"",AK7=""),AND(BL7&gt;=BO$19,BL7&lt;&gt;"",BH7=""),AND(CI7&gt;=CL$19,CI7&lt;&gt;"",CE7=""),AND(DI7&gt;=DL$19,DI7&lt;&gt;""),AND(EE7&gt;=EH$19,EE7&lt;&gt;""),AND(FA7&gt;=FD$19,FA7&lt;&gt;""),AND(FW7&gt;=FZ$19,FW7&lt;&gt;""),AND(GS7&gt;=GV$19,GS7&lt;&gt;""),AND(HO7&gt;=HR$19,HO7&lt;&gt;""),AND(IK7&gt;=IN$19,IK7&lt;&gt;""),AND(JG7&gt;=JJ$19,JG7&lt;&gt;""),AND(KC7&gt;=KF$19,KC7&lt;&gt;""),AND(KY7&gt;=LB$19,KY7&lt;&gt;""),AND(LU7&gt;=LX$19,LU7&lt;&gt;""),AND(MQ7&gt;=MT$19,MQ7&lt;&gt;"")),"Worlds Team",IF(OR(AND(AO7&gt;=AR$18,AO7&lt;&gt;"",AK7=""),AND(BL7&gt;=BO$18,BL7&lt;&gt;"",BH7=""),AND(CI7&gt;=CL$18,CI7&lt;&gt;"",CE7=""),AND(DI7&gt;=DL$18,DI7&lt;&gt;""),AND(EE7&gt;=EH$18,EE7&lt;&gt;""),AND(FA7&gt;=FD$18,FA7&lt;&gt;""),AND(FW7&gt;=FZ$18,FW7&lt;&gt;""),AND(GS7&gt;=GV$18,GS7&lt;&gt;""),AND(HO7&gt;=HR$18,HO7&lt;&gt;""),AND(IK7&gt;=IN$18,IK7&lt;&gt;""),AND(JG7&gt;=JJ$18,JG7&lt;&gt;""),AND(KC7&gt;=KF$18,KC7&lt;&gt;""),AND(KY7&gt;=LB$18,KY7&lt;&gt;""),AND(LU7&gt;=LX$18,LU7&lt;&gt;""),AND(MQ7&gt;=MT$18,MQ7&lt;&gt;"")),"National Team",""))))</f>
        <v/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/>
      </c>
      <c r="J7" s="3" t="str">
        <f>IF(AND(OR(AND(AO7&gt;=AR$19,AO7&lt;&gt;"",AK7=""),AND(BL7&gt;=BO$19,BL7&lt;&gt;"",BH7=""),AND(CI7&gt;=CL$19,CI7&lt;&gt;"",CE7=""),AND(DI7&gt;=DL$19,DI7&lt;&gt;""),AND(EE7&gt;=EH$19,EE7&lt;&gt;""),AND(FA7&gt;=FD$19,FA7&lt;&gt;""),AND(FW7&gt;=FZ$19,FW7&lt;&gt;""),AND(GS7&gt;=GV$19,GS7&lt;&gt;""),AND(HO7&gt;=HR$19,HO7&lt;&gt;""),AND(IK7&gt;=IN$19,IK7&lt;&gt;""),AND(JG7&gt;=JJ$19,JG7&lt;&gt;""),AND(KC7&gt;=KF$19,KC7&lt;&gt;""),AND(KY7&gt;=LB$19,KY7&lt;&gt;""),AND(LU7&gt;=LX$19,LU7&lt;&gt;""),AND(MQ7&gt;=MT$19,MQ7&lt;&gt;"")),OR(G7="Worlds Team",G7="Excellence",G7="Merit")),"P","")</f>
        <v/>
      </c>
      <c r="K7" s="14">
        <f>MAX(AO7,BL7,CI7)</f>
        <v>75.745000000000005</v>
      </c>
      <c r="L7" s="14" t="str">
        <f>IF(K7=0,"",IF(K7=CI7,$BP$1,IF(K7=BL7,$AS$1,IF(K7=AO7,$V$1,""))))</f>
        <v>2019 Elite Canada</v>
      </c>
      <c r="M7" s="14">
        <f>IF($K7=$AO7,MAX(BJ7,CG7),IF($K7=$BL7,MAX(AM7,CG7),IF($K7=$CI7,MAX(AM7,BJ7),MAX(AM7,BJ7,CG7))))</f>
        <v>36.36</v>
      </c>
      <c r="N7" s="14" t="str">
        <f>IF(M7=0,"",IF(AND(M7=CG7,$L7&lt;&gt;$BP$1),$BP$1,IF(AND(M7=BJ7,$L7&lt;&gt;$AS$1),$AS$1,IF(AND(M7=AM7,$L7&lt;&gt;$V$1),$V$1,""))))</f>
        <v>2019 Nationals</v>
      </c>
      <c r="O7" s="14">
        <f>IF($K7=$AO7,MAX(CH7,BK7),IF($K7=$BL7,MAX(AN7,CH7),IF($K7=$CI7,MAX(AN7,BK7),MAX(AN7,BK7,CH7))))</f>
        <v>9.2600000000000016</v>
      </c>
      <c r="P7" s="14" t="str">
        <f>IF(O7=0,"",IF(AND(O7=CH7,$L7&lt;&gt;$BP$1),$BP$1,IF(AND(O7=BK7,$L7&lt;&gt;$AS$1),$AS$1,IF(AND(O7=AN7,$L7&lt;&gt;$V$1),$V$1,""))))</f>
        <v>2019 Nationals</v>
      </c>
      <c r="Q7" s="14">
        <f>MAX(AQ7,BN7,CK7)</f>
        <v>31.42</v>
      </c>
      <c r="R7" s="14" t="str">
        <f>IF(Q7=0,"",IF(Q7=CK7,$BP$1,IF(Q7=BN7,$AS$1,IF(Q7=AQ7,$V$1,""))))</f>
        <v>2019 Elite Canada</v>
      </c>
      <c r="S7" s="14" t="str">
        <f>IF(MAX(CM7,CN7,CO7,CP7)&gt;0,MAX(CM7,CN7,CO7,CP7),"")</f>
        <v/>
      </c>
      <c r="T7" s="25" t="str">
        <f>IF(S7="","",IF(S7=CM7,"(Vol 1)",IF(S7=CN7,"(Vol 2)",IF(S7=CO7,"(Prelim)",IF(S7=CP7,"(Final)")))))</f>
        <v/>
      </c>
      <c r="U7" s="14" t="str">
        <f>IF(S7="","",IF(S7=CM7,IF(S7+IF(M7="",0,M7)=MO7,$LY$1,IF(S7+IF(M7="",0,M7)=LS7,$LC$1,IF(S7+IF(M7="",0,M7)=KW7,$KG$1,IF(S7+IF(M7="",0,M7)=KA7,$JK$1,IF(S7+IF(M7="",0,M7)=JE7,$IO$1,IF(S7+IF(M7="",0,M7)=II7,$HS$1,IF(S7+IF(M7="",0,M7)=HM7,$GW$1,IF(S7+IF(M7="",0,M7)=GQ7,$GA$1,IF(S7+IF(M7="",0,M7)=FU7,$FE$1,IF(S7+IF(M7="",0,M7)=EY7,$EI$1,IF(S7+IF(M7="",0,M7)=EC7,$DM$1,IF(S7+IF(M7="",0,M7)=DG7,$CQ$1)))))))))))),IF(S7=CN7,IF(S7+IF(O7="",0,O7)=MP7,$LY$1,IF(S7+IF(O7="",0,O7)=LT7,$LC$1,IF(S7+IF(O7="",0,O7)=KX7,$KG$1,IF(S7+IF(O7="",0,O7)=KB7,$JK$1,IF(S7+IF(O7="",0,O7)=JF7,$IO$1,IF(S7+IF(O7="",0,O7)=IJ7,$HS$1,IF(S7+IF(O7="",0,O7)=HN7,$GW$1,IF(S7+IF(O7="",0,O7)=GR7,$GA$1,IF(S7+IF(O7="",0,O7)=FV7,$FE$1,IF(S7+IF(O7="",0,O7)=EZ7,$EI$1,IF(S7+IF(O7="",0,O7)=ED7,$DM$1,IF(S7+IF(O7="",0,O7)=DH7,$CQ$1)))))))))))),IF(S7=CO7,IF(S7+IF(K7="",0,K7)=MQ7,$LY$1,IF(S7+IF(K7="",0,K7)=LU7,$LC$1,IF(S7+IF(K7="",0,K7)=KY7,$KG$1,IF(S7+IF(K7="",0,K7)=KC7,$JK$1,IF(S7+IF(K7="",0,K7)=JG7,$IO$1,IF(S7+IF(K7="",0,K7)=IK7,$HS$1,IF(S7+IF(K7="",0,K7)=HO7,$GW$1,IF(S7+IF(K7="",0,K7)=GS7,$GA$1,IF(S7+IF(K7="",0,K7)=FW7,$FE$1,IF(S7+IF(K7="",0,K7)=FA7,$EI$1,IF(S7+IF(K7="",0,K7)=EE7,$DM$1,IF(S7+IF(K7="",0,K7)=DI7,$CQ$1)))))))))))),IF(S7=CP7,IF(S7+IF(Q7="",0,Q7)=MS7,$LY$1,IF(S7+IF(Q7="",0,Q7)=LW7,$LC$1,IF(S7+IF(Q7="",0,Q7)=LA7,$KG$1,IF(S7+IF(Q7="",0,Q7)=KE7,$JK$1,IF(S7+IF(Q7="",0,Q7)=JI7,$IO$1,IF(S7+IF(Q7="",0,Q7)=IM7,$HS$1,IF(S7+IF(Q7="",0,Q7)=HQ7,$GW$1,IF(S7+IF(Q7="",0,Q7)=GU7,$GA$1,IF(S7+IF(Q7="",0,Q7)=FY7,$FE$1,IF(S7+IF(Q7="",0,Q7)=FC7,$EI$1,IF(S7+IF(Q7="",0,Q7)=EG7,$DM$1,IF(S7+IF(Q7="",0,Q7)=DK7,$CQ$1)))))))))))))))))</f>
        <v/>
      </c>
      <c r="V7" s="39">
        <v>6.8250000000000002</v>
      </c>
      <c r="W7" s="39">
        <v>7.2</v>
      </c>
      <c r="X7" s="39">
        <v>1.8</v>
      </c>
      <c r="Y7" s="39">
        <v>13.58</v>
      </c>
      <c r="Z7" s="39">
        <v>0</v>
      </c>
      <c r="AA7" s="39">
        <v>7.15</v>
      </c>
      <c r="AB7" s="39">
        <v>8.9499999999999993</v>
      </c>
      <c r="AC7" s="39">
        <v>12</v>
      </c>
      <c r="AD7" s="39">
        <v>18.239999999999998</v>
      </c>
      <c r="AE7" s="39">
        <v>0</v>
      </c>
      <c r="AF7" s="39">
        <v>5.45</v>
      </c>
      <c r="AG7" s="39">
        <v>6.15</v>
      </c>
      <c r="AH7" s="39">
        <v>8.3000000000000007</v>
      </c>
      <c r="AI7" s="39">
        <v>11.52</v>
      </c>
      <c r="AJ7" s="39">
        <v>0</v>
      </c>
      <c r="AK7" s="80"/>
      <c r="AL7" s="11">
        <f>IF(AC7&gt;0,AC7,"")</f>
        <v>12</v>
      </c>
      <c r="AM7" s="11">
        <f>IF(SUM(V7:Y7)-Z7&gt;0,SUM(V7:Y7)-Z7,"")</f>
        <v>29.405000000000001</v>
      </c>
      <c r="AN7" s="11">
        <f>IF(SUM(AA7:AD7)-AE7&gt;0,SUM(AA7:AD7)-AE7,"")</f>
        <v>46.34</v>
      </c>
      <c r="AO7" s="11">
        <f>IF(SUM(AM7:AN7)&gt;0,SUM(AM7:AN7),"")</f>
        <v>75.745000000000005</v>
      </c>
      <c r="AP7" s="11">
        <f>IF(AH7&gt;0,AH7,"")</f>
        <v>8.3000000000000007</v>
      </c>
      <c r="AQ7" s="11">
        <f>IF(SUM(AF7:AI7)-AJ7&gt;0,SUM(AF7:AI7)-AJ7,"")</f>
        <v>31.42</v>
      </c>
      <c r="AR7" s="11">
        <f>IF(SUM(AO7,AQ7)&gt;0,SUM(AO7,AQ7),"")</f>
        <v>107.16500000000001</v>
      </c>
      <c r="AS7" s="40">
        <v>8.6999999999999993</v>
      </c>
      <c r="AT7" s="40">
        <v>9.1999999999999993</v>
      </c>
      <c r="AU7" s="40">
        <v>3.2</v>
      </c>
      <c r="AV7" s="40">
        <v>15.26</v>
      </c>
      <c r="AW7" s="40">
        <v>0</v>
      </c>
      <c r="AX7" s="40">
        <v>1.6</v>
      </c>
      <c r="AY7" s="40">
        <v>1.8</v>
      </c>
      <c r="AZ7" s="40">
        <v>2.7</v>
      </c>
      <c r="BA7" s="40">
        <v>3.16</v>
      </c>
      <c r="BB7" s="40">
        <v>0</v>
      </c>
      <c r="BC7" s="40"/>
      <c r="BD7" s="40"/>
      <c r="BE7" s="40"/>
      <c r="BF7" s="40"/>
      <c r="BG7" s="40">
        <v>0</v>
      </c>
      <c r="BH7" s="81"/>
      <c r="BI7" s="14">
        <f>IF(AZ7&gt;0,AZ7,"")</f>
        <v>2.7</v>
      </c>
      <c r="BJ7" s="14">
        <f>IF(SUM(AS7:AV7)-AW7&gt;0,SUM(AS7:AV7)-AW7,"")</f>
        <v>36.36</v>
      </c>
      <c r="BK7" s="14">
        <f>IF(SUM(AX7:BA7)-BB7&gt;0,SUM(AX7:BA7)-BB7,"")</f>
        <v>9.2600000000000016</v>
      </c>
      <c r="BL7" s="14">
        <f>IF(SUM(BJ7:BK7)&gt;0,SUM(BJ7:BK7),"")</f>
        <v>45.620000000000005</v>
      </c>
      <c r="BM7" s="14" t="str">
        <f>IF(BE7&gt;0,BE7,"")</f>
        <v/>
      </c>
      <c r="BN7" s="14" t="str">
        <f>IF(SUM(BC7:BF7)-BG7&gt;0,SUM(BC7:BF7)-BG7,"")</f>
        <v/>
      </c>
      <c r="BO7" s="14">
        <f>IF(SUM(BL7,BN7)&gt;0,SUM(BL7,BN7),"")</f>
        <v>45.620000000000005</v>
      </c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80"/>
      <c r="CF7" s="11" t="str">
        <f>IF(BW7&gt;0,BW7,"")</f>
        <v/>
      </c>
      <c r="CG7" s="11" t="str">
        <f>IF(SUM(BP7:BS7)-BT7&gt;0,SUM(BP7:BS7)-BT7,"")</f>
        <v/>
      </c>
      <c r="CH7" s="11" t="str">
        <f>IF(SUM(BU7:BX7)-BY7&gt;0,SUM(BU7:BX7)-BY7,"")</f>
        <v/>
      </c>
      <c r="CI7" s="11" t="str">
        <f>IF(SUM(CG7:CH7)&gt;0,SUM(CG7:CH7),"")</f>
        <v/>
      </c>
      <c r="CJ7" s="11" t="str">
        <f>IF(CB7&gt;0,CB7,"")</f>
        <v/>
      </c>
      <c r="CK7" s="11" t="str">
        <f>IF(SUM(BZ7:CC7)-CD7&gt;0,SUM(BZ7:CC7)-CD7,"")</f>
        <v/>
      </c>
      <c r="CL7" s="11" t="str">
        <f>IF(SUM(CI7,CK7)&gt;0,SUM(CI7,CK7),"")</f>
        <v/>
      </c>
      <c r="CM7" s="24" t="str">
        <f>IF(MAX(DG7,EC7,EY7,FU7,GQ7,HM7,II7,JE7,KA7,KW7,LS7,MO7)-IF(M7="",0,M7)&gt;0.001,MAX(DG7,EC7,EY7,FU7,GQ7,HM7,II7,JE7,KA7,KW7,LS7,MO7)-IF(M7="",0,M7),"")</f>
        <v/>
      </c>
      <c r="CN7" s="24" t="str">
        <f>IF(MAX(DH7,ED7,EZ7,FV7,GR7,HN7,IJ7,JF7,KB7,KX7,LT7,MP7)-IF(O7="",0,O7)&gt;0.001,MAX(DH7,ED7,EZ7,FV7,GR7,HN7,IJ7,JF7,KB7,KX7,LT7,MP7)-IF(O7="",0,O7),"")</f>
        <v/>
      </c>
      <c r="CO7" s="24" t="str">
        <f>IF(MAX(DI7,EE7,FA7,FW7,GS7,HO7,IK7,JG7,KC7,KY7,LU7,MQ7)-IF(K7="",0,K7)&gt;0.001,MAX(DI7,EE7,FA7,FW7,GS7,HO7,IK7,JG7,KC7,KY7,LU7,MQ7)-IF(K7="",0,K7),"")</f>
        <v/>
      </c>
      <c r="CP7" s="24" t="str">
        <f>IF(MAX(DK7,EG7,FC7,FY7,GU7,HQ7,IM7,JI7,KE7,LA7,LW7,MS7)-IF(Q7="",0,Q7)&gt;0.001,MAX(DK7,EG7,FC7,FY7,GU7,HQ7,IM7,JI7,KE7,LA7,LW7,MS7)-IF(Q7="",0,Q7),"")</f>
        <v/>
      </c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11" t="str">
        <f>IF(CX7&gt;0,CX7,"")</f>
        <v/>
      </c>
      <c r="DG7" s="11" t="str">
        <f>IF(SUM(CQ7:CT7)-CU7&gt;0,SUM(CQ7:CT7)-CU7,"")</f>
        <v/>
      </c>
      <c r="DH7" s="11" t="str">
        <f>IF(SUM(CV7:CY7)-CZ7&gt;0,SUM(CV7:CY7)-CZ7,"")</f>
        <v/>
      </c>
      <c r="DI7" s="11" t="str">
        <f>IF(SUM(DG7:DH7)&gt;0,SUM(DG7:DH7),"")</f>
        <v/>
      </c>
      <c r="DJ7" s="11" t="str">
        <f>IF(DC7&gt;0,DC7,"")</f>
        <v/>
      </c>
      <c r="DK7" s="11" t="str">
        <f>IF(SUM(DA7:DD7)-DE7&gt;0,SUM(DA7:DD7)-DE7,"")</f>
        <v/>
      </c>
      <c r="DL7" s="11" t="str">
        <f>IF(SUM(DI7,DK7)&gt;0,SUM(DI7,DK7),"")</f>
        <v/>
      </c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14" t="str">
        <f>IF(DT7&gt;0,DT7,"")</f>
        <v/>
      </c>
      <c r="EC7" s="14" t="str">
        <f>IF(SUM(DM7:DP7)-DQ7&gt;0,SUM(DM7:DP7)-DQ7,"")</f>
        <v/>
      </c>
      <c r="ED7" s="14" t="str">
        <f>IF(SUM(DR7:DU7)-DV7&gt;0,SUM(DR7:DU7)-DV7,"")</f>
        <v/>
      </c>
      <c r="EE7" s="14" t="str">
        <f>IF(SUM(EC7:ED7)&gt;0,SUM(EC7:ED7),"")</f>
        <v/>
      </c>
      <c r="EF7" s="14" t="str">
        <f>IF(DY7&gt;0,DY7,"")</f>
        <v/>
      </c>
      <c r="EG7" s="14" t="str">
        <f>IF(SUM(DW7:DZ7)-EA7&gt;0,SUM(DW7:DZ7)-EA7,"")</f>
        <v/>
      </c>
      <c r="EH7" s="14" t="str">
        <f>IF(SUM(EE7,EG7)&gt;0,SUM(EE7,EG7),"")</f>
        <v/>
      </c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11" t="str">
        <f>IF(EP7&gt;0,EP7,"")</f>
        <v/>
      </c>
      <c r="EY7" s="11" t="str">
        <f>IF(SUM(EI7:EL7)-EM7&gt;0,SUM(EI7:EL7)-EM7,"")</f>
        <v/>
      </c>
      <c r="EZ7" s="11" t="str">
        <f>IF(SUM(EN7:EQ7)-ER7&gt;0,SUM(EN7:EQ7)-ER7,"")</f>
        <v/>
      </c>
      <c r="FA7" s="11" t="str">
        <f>IF(SUM(EY7:EZ7)&gt;0,SUM(EY7:EZ7),"")</f>
        <v/>
      </c>
      <c r="FB7" s="11" t="str">
        <f>IF(EU7&gt;0,EU7,"")</f>
        <v/>
      </c>
      <c r="FC7" s="11" t="str">
        <f>IF(SUM(ES7:EV7)-EW7&gt;0,SUM(ES7:EV7)-EW7,"")</f>
        <v/>
      </c>
      <c r="FD7" s="11" t="str">
        <f>IF(SUM(FA7,FC7)&gt;0,SUM(FA7,FC7),"")</f>
        <v/>
      </c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14" t="str">
        <f>IF(FL7&gt;0,FL7,"")</f>
        <v/>
      </c>
      <c r="FU7" s="14" t="str">
        <f>IF(SUM(FE7:FH7)-FI7&gt;0,SUM(FE7:FH7)-FI7,"")</f>
        <v/>
      </c>
      <c r="FV7" s="14" t="str">
        <f>IF(SUM(FJ7:FM7)-FN7&gt;0,SUM(FJ7:FM7)-FN7,"")</f>
        <v/>
      </c>
      <c r="FW7" s="14" t="str">
        <f>IF(SUM(FU7:FV7)&gt;0,SUM(FU7:FV7),"")</f>
        <v/>
      </c>
      <c r="FX7" s="14" t="str">
        <f>IF(FQ7&gt;0,FQ7,"")</f>
        <v/>
      </c>
      <c r="FY7" s="14" t="str">
        <f>IF(SUM(FO7:FR7)-FS7&gt;0,SUM(FO7:FR7)-FS7,"")</f>
        <v/>
      </c>
      <c r="FZ7" s="14" t="str">
        <f>IF(SUM(FW7,FY7)&gt;0,SUM(FW7,FY7),"")</f>
        <v/>
      </c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11" t="str">
        <f>IF(GH7&gt;0,GH7,"")</f>
        <v/>
      </c>
      <c r="GQ7" s="11" t="str">
        <f>IF(SUM(GA7:GD7)-GE7&gt;0,SUM(GA7:GD7)-GE7,"")</f>
        <v/>
      </c>
      <c r="GR7" s="11" t="str">
        <f>IF(SUM(GF7:GI7)-GJ7&gt;0,SUM(GF7:GI7)-GJ7,"")</f>
        <v/>
      </c>
      <c r="GS7" s="11" t="str">
        <f>IF(SUM(GQ7:GR7)&gt;0,SUM(GQ7:GR7),"")</f>
        <v/>
      </c>
      <c r="GT7" s="11" t="str">
        <f>IF(GM7&gt;0,GM7,"")</f>
        <v/>
      </c>
      <c r="GU7" s="11" t="str">
        <f>IF(SUM(GK7:GN7)-GO7&gt;0,SUM(GK7:GN7)-GO7,"")</f>
        <v/>
      </c>
      <c r="GV7" s="11" t="str">
        <f>IF(SUM(GS7,GU7)&gt;0,SUM(GS7,GU7),"")</f>
        <v/>
      </c>
      <c r="GW7" s="38"/>
      <c r="GX7" s="38"/>
      <c r="GY7" s="38"/>
      <c r="GZ7" s="38"/>
      <c r="HA7" s="38"/>
      <c r="HB7" s="38"/>
      <c r="HC7" s="38"/>
      <c r="HD7" s="38"/>
      <c r="HE7" s="38"/>
      <c r="HF7" s="38"/>
      <c r="HG7" s="38"/>
      <c r="HH7" s="38"/>
      <c r="HI7" s="38"/>
      <c r="HJ7" s="38"/>
      <c r="HK7" s="38"/>
      <c r="HL7" s="14" t="str">
        <f>IF(HD7&gt;0,HD7,"")</f>
        <v/>
      </c>
      <c r="HM7" s="14" t="str">
        <f>IF(SUM(GW7:GZ7)-HA7&gt;0,SUM(GW7:GZ7)-HA7,"")</f>
        <v/>
      </c>
      <c r="HN7" s="14" t="str">
        <f>IF(SUM(HB7:HE7)-HF7&gt;0,SUM(HB7:HE7)-HF7,"")</f>
        <v/>
      </c>
      <c r="HO7" s="14" t="str">
        <f>IF(SUM(HM7:HN7)&gt;0,SUM(HM7:HN7),"")</f>
        <v/>
      </c>
      <c r="HP7" s="14" t="str">
        <f>IF(HI7&gt;0,HI7,"")</f>
        <v/>
      </c>
      <c r="HQ7" s="14" t="str">
        <f>IF(SUM(HG7:HJ7)-HK7&gt;0,SUM(HG7:HJ7)-HK7,"")</f>
        <v/>
      </c>
      <c r="HR7" s="14" t="str">
        <f>IF(SUM(HO7,HQ7)&gt;0,SUM(HO7,HQ7),"")</f>
        <v/>
      </c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11" t="str">
        <f>IF(HZ7&gt;0,HZ7,"")</f>
        <v/>
      </c>
      <c r="II7" s="11" t="str">
        <f>IF(SUM(HS7:HV7)-HW7&gt;0,SUM(HS7:HV7)-HW7,"")</f>
        <v/>
      </c>
      <c r="IJ7" s="11" t="str">
        <f>IF(SUM(HX7:IA7)-IB7&gt;0,SUM(HX7:IA7)-IB7,"")</f>
        <v/>
      </c>
      <c r="IK7" s="11" t="str">
        <f>IF(SUM(II7:IJ7)&gt;0,SUM(II7:IJ7),"")</f>
        <v/>
      </c>
      <c r="IL7" s="11" t="str">
        <f>IF(IE7&gt;0,IE7,"")</f>
        <v/>
      </c>
      <c r="IM7" s="11" t="str">
        <f>IF(SUM(IC7:IF7)-IG7&gt;0,SUM(IC7:IF7)-IG7,"")</f>
        <v/>
      </c>
      <c r="IN7" s="11" t="str">
        <f>IF(SUM(IK7,IM7)&gt;0,SUM(IK7,IM7),"")</f>
        <v/>
      </c>
      <c r="IO7" s="38"/>
      <c r="IP7" s="38"/>
      <c r="IQ7" s="38"/>
      <c r="IR7" s="38"/>
      <c r="IS7" s="38"/>
      <c r="IT7" s="38"/>
      <c r="IU7" s="38"/>
      <c r="IV7" s="38"/>
      <c r="IW7" s="38"/>
      <c r="IX7" s="38"/>
      <c r="IY7" s="38"/>
      <c r="IZ7" s="38"/>
      <c r="JA7" s="38"/>
      <c r="JB7" s="38"/>
      <c r="JC7" s="38"/>
      <c r="JD7" s="14" t="str">
        <f>IF(IV7&gt;0,IV7,"")</f>
        <v/>
      </c>
      <c r="JE7" s="14" t="str">
        <f>IF(SUM(IO7:IR7)-IS7&gt;0,SUM(IO7:IR7)-IS7,"")</f>
        <v/>
      </c>
      <c r="JF7" s="14" t="str">
        <f>IF(SUM(IT7:IW7)-IX7&gt;0,SUM(IT7:IW7)-IX7,"")</f>
        <v/>
      </c>
      <c r="JG7" s="14" t="str">
        <f>IF(SUM(JE7:JF7)&gt;0,SUM(JE7:JF7),"")</f>
        <v/>
      </c>
      <c r="JH7" s="14" t="str">
        <f>IF(JA7&gt;0,JA7,"")</f>
        <v/>
      </c>
      <c r="JI7" s="14" t="str">
        <f>IF(SUM(IY7:JB7)-JC7&gt;0,SUM(IY7:JB7)-JC7,"")</f>
        <v/>
      </c>
      <c r="JJ7" s="14" t="str">
        <f>IF(SUM(JG7,JI7)&gt;0,SUM(JG7,JI7),"")</f>
        <v/>
      </c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11" t="str">
        <f>IF(JR7&gt;0,JR7,"")</f>
        <v/>
      </c>
      <c r="KA7" s="11" t="str">
        <f>IF(SUM(JK7:JN7)-JO7&gt;0,SUM(JK7:JN7)-JO7,"")</f>
        <v/>
      </c>
      <c r="KB7" s="11" t="str">
        <f>IF(SUM(JP7:JS7)-JT7&gt;0,SUM(JP7:JS7)-JT7,"")</f>
        <v/>
      </c>
      <c r="KC7" s="11" t="str">
        <f>IF(SUM(KA7:KB7)&gt;0,SUM(KA7:KB7),"")</f>
        <v/>
      </c>
      <c r="KD7" s="11" t="str">
        <f>IF(JW7&gt;0,JW7,"")</f>
        <v/>
      </c>
      <c r="KE7" s="11" t="str">
        <f>IF(SUM(JU7:JX7)-JY7&gt;0,SUM(JU7:JX7)-JY7,"")</f>
        <v/>
      </c>
      <c r="KF7" s="11" t="str">
        <f>IF(SUM(KC7,KE7)&gt;0,SUM(KC7,KE7),"")</f>
        <v/>
      </c>
      <c r="KG7" s="38"/>
      <c r="KH7" s="38"/>
      <c r="KI7" s="38"/>
      <c r="KJ7" s="38"/>
      <c r="KK7" s="38"/>
      <c r="KL7" s="38"/>
      <c r="KM7" s="38"/>
      <c r="KN7" s="38"/>
      <c r="KO7" s="38"/>
      <c r="KP7" s="38"/>
      <c r="KQ7" s="38"/>
      <c r="KR7" s="38"/>
      <c r="KS7" s="38"/>
      <c r="KT7" s="38"/>
      <c r="KU7" s="38"/>
      <c r="KV7" s="14" t="str">
        <f>IF(KN7&gt;0,KN7,"")</f>
        <v/>
      </c>
      <c r="KW7" s="14" t="str">
        <f>IF(SUM(KG7:KJ7)-KK7&gt;0,SUM(KG7:KJ7)-KK7,"")</f>
        <v/>
      </c>
      <c r="KX7" s="14" t="str">
        <f>IF(SUM(KL7:KO7)-KP7&gt;0,SUM(KL7:KO7)-KP7,"")</f>
        <v/>
      </c>
      <c r="KY7" s="14" t="str">
        <f>IF(SUM(KW7:KX7)&gt;0,SUM(KW7:KX7),"")</f>
        <v/>
      </c>
      <c r="KZ7" s="14" t="str">
        <f>IF(KS7&gt;0,KS7,"")</f>
        <v/>
      </c>
      <c r="LA7" s="14" t="str">
        <f>IF(SUM(KQ7:KT7)-KU7&gt;0,SUM(KQ7:KT7)-KU7,"")</f>
        <v/>
      </c>
      <c r="LB7" s="14" t="str">
        <f>IF(SUM(KY7,LA7)&gt;0,SUM(KY7,LA7),"")</f>
        <v/>
      </c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11" t="str">
        <f>IF(LJ7&gt;0,LJ7,"")</f>
        <v/>
      </c>
      <c r="LS7" s="11" t="str">
        <f>IF(SUM(LC7:LF7)-LG7&gt;0,SUM(LC7:LF7)-LG7,"")</f>
        <v/>
      </c>
      <c r="LT7" s="11" t="str">
        <f>IF(SUM(LH7:LK7)-LL7&gt;0,SUM(LH7:LK7)-LL7,"")</f>
        <v/>
      </c>
      <c r="LU7" s="11" t="str">
        <f>IF(SUM(LS7:LT7)&gt;0,SUM(LS7:LT7),"")</f>
        <v/>
      </c>
      <c r="LV7" s="11" t="str">
        <f>IF(LO7&gt;0,LO7,"")</f>
        <v/>
      </c>
      <c r="LW7" s="11" t="str">
        <f>IF(SUM(LM7:LP7)-LQ7&gt;0,SUM(LM7:LP7)-LQ7,"")</f>
        <v/>
      </c>
      <c r="LX7" s="11" t="str">
        <f>IF(SUM(LU7,LW7)&gt;0,SUM(LU7,LW7),"")</f>
        <v/>
      </c>
      <c r="LY7" s="38"/>
      <c r="LZ7" s="38"/>
      <c r="MA7" s="38"/>
      <c r="MB7" s="38"/>
      <c r="MC7" s="38"/>
      <c r="MD7" s="38"/>
      <c r="ME7" s="38"/>
      <c r="MF7" s="38"/>
      <c r="MG7" s="38"/>
      <c r="MH7" s="38"/>
      <c r="MI7" s="38"/>
      <c r="MJ7" s="38"/>
      <c r="MK7" s="38"/>
      <c r="ML7" s="38"/>
      <c r="MM7" s="38"/>
      <c r="MN7" s="14" t="str">
        <f>IF(MF7&gt;0,MF7,"")</f>
        <v/>
      </c>
      <c r="MO7" s="14" t="str">
        <f>IF(SUM(LY7:MB7)-MC7&gt;0,SUM(LY7:MB7)-MC7,"")</f>
        <v/>
      </c>
      <c r="MP7" s="14" t="str">
        <f>IF(SUM(MD7:MG7)-MH7&gt;0,SUM(MD7:MG7)-MH7,"")</f>
        <v/>
      </c>
      <c r="MQ7" s="14" t="str">
        <f>IF(SUM(MO7:MP7)&gt;0,SUM(MO7:MP7),"")</f>
        <v/>
      </c>
      <c r="MR7" s="14" t="str">
        <f>IF(MK7&gt;0,MK7,"")</f>
        <v/>
      </c>
      <c r="MS7" s="14" t="str">
        <f>IF(SUM(MI7:ML7)-MM7&gt;0,SUM(MI7:ML7)-MM7,"")</f>
        <v/>
      </c>
      <c r="MT7" s="14" t="str">
        <f>IF(SUM(MQ7,MS7)&gt;0,SUM(MQ7,MS7),"")</f>
        <v/>
      </c>
      <c r="MU7" s="69">
        <f>IF($CE7="P",BP7,(BP7+AS7)/2)</f>
        <v>4.3499999999999996</v>
      </c>
      <c r="MV7" s="69">
        <f>IF($CE7="P",BQ7,(BQ7+AT7)/2)</f>
        <v>4.5999999999999996</v>
      </c>
      <c r="MW7" s="69">
        <f>IF($CE7="P",BR7,(BR7+AU7)/2)</f>
        <v>1.6</v>
      </c>
      <c r="MX7" s="69">
        <f>IF($CE7="P",BS7,(BS7+AV7)/2)</f>
        <v>7.63</v>
      </c>
      <c r="MY7" s="69">
        <f>IF($CE7="P",BT7,(BT7+AW7)/2)</f>
        <v>0</v>
      </c>
      <c r="MZ7" s="69">
        <f>IF($CE7="P",BU7,(BU7+AX7)/2)</f>
        <v>0.8</v>
      </c>
      <c r="NA7" s="69">
        <f>IF($CE7="P",BV7,(BV7+AY7)/2)</f>
        <v>0.9</v>
      </c>
      <c r="NB7" s="69">
        <f>IF($CE7="P",BW7,(BW7+AZ7)/2)</f>
        <v>1.35</v>
      </c>
      <c r="NC7" s="69">
        <f>IF($CE7="P",BX7,(BX7+BA7)/2)</f>
        <v>1.58</v>
      </c>
      <c r="ND7" s="69">
        <f>IF($CE7="P",BY7,(BY7+BB7)/2)</f>
        <v>0</v>
      </c>
      <c r="NE7" s="69">
        <f>IF($CE7="P",BZ7,(BZ7+BC7)/2)</f>
        <v>0</v>
      </c>
      <c r="NF7" s="69">
        <f>IF($CE7="P",CA7,(CA7+BD7)/2)</f>
        <v>0</v>
      </c>
      <c r="NG7" s="69">
        <f>IF($CE7="P",CB7,(CB7+BE7)/2)</f>
        <v>0</v>
      </c>
      <c r="NH7" s="69">
        <f>IF($CE7="P",CC7,(CC7+BF7)/2)</f>
        <v>0</v>
      </c>
      <c r="NI7" s="69">
        <f>IF($CE7="P",CD7,(CD7+BG7)/2)</f>
        <v>0</v>
      </c>
      <c r="NJ7" s="80" t="s">
        <v>91</v>
      </c>
      <c r="NK7" s="11">
        <f>IF(NB7&gt;0,NB7,"")</f>
        <v>1.35</v>
      </c>
      <c r="NL7" s="11">
        <f>IF(SUM(MU7:MX7)-MY7&gt;0,SUM(MU7:MX7)-MY7,"")</f>
        <v>18.18</v>
      </c>
      <c r="NM7" s="11">
        <f>IF(SUM(MZ7:NC7)-ND7&gt;0,SUM(MZ7:NC7)-ND7,"")</f>
        <v>4.6300000000000008</v>
      </c>
      <c r="NN7" s="11">
        <f>IF(SUM(NL7:NM7)&gt;0,SUM(NL7:NM7),"")</f>
        <v>22.810000000000002</v>
      </c>
      <c r="NO7" s="11" t="str">
        <f>IF(NG7&gt;0,NG7,"")</f>
        <v/>
      </c>
      <c r="NP7" s="11" t="str">
        <f>IF(SUM(NE7:NH7)-NI7&gt;0,SUM(NE7:NH7)-NI7,"")</f>
        <v/>
      </c>
      <c r="NQ7" s="11">
        <f>IF(SUM(NN7,NP7)&gt;0,SUM(NN7,NP7),"")</f>
        <v>22.810000000000002</v>
      </c>
    </row>
    <row r="8" spans="1:381" x14ac:dyDescent="0.2">
      <c r="A8" s="5" t="str" cm="1">
        <f t="array" ref="A8">IF(AND(G8&lt;&gt;"",H8&lt;&gt;""),SUMPRODUCT((G$4:G$12&lt;&gt;"")*(H$4:H$12&lt;&gt;"")*(E$4:E$12&gt;E8))+1,IF(H8&lt;&gt;"",SUMPRODUCT((I$4:I$12="No DD")*(E$4:E$12&gt;E8))+1+SUMPRODUCT((G$4:G$12&lt;&gt;"")*(H$4:H$12&lt;&gt;"")),""))</f>
        <v/>
      </c>
      <c r="B8" s="8" t="s">
        <v>109</v>
      </c>
      <c r="C8" s="4" t="s">
        <v>108</v>
      </c>
      <c r="D8" s="27" t="s">
        <v>110</v>
      </c>
      <c r="E8" s="15">
        <f>SUM(K8:S8)</f>
        <v>146.52500000000001</v>
      </c>
      <c r="F8" s="3" t="str">
        <f>IF(G8&lt;&gt;"","P","")</f>
        <v/>
      </c>
      <c r="G8" s="125" t="str">
        <f>IF(OR(AND(AL8&gt;=AR$17,AL8&lt;&gt;"",AK8=""),AND(AP8&gt;=AR$17,AP8&lt;&gt;"",AK8=""),AND(BI8&gt;=BO$17,BI8&lt;&gt;"",BH8=""),AND(BM8&gt;=BO$17,BM8&lt;&gt;"",BH8=""),AND(CF8&gt;=CL$17,CF8&lt;&gt;"",CE8=""),AND(CJ8&gt;=CL$17,CJ8&lt;&gt;"",CE8=""),AND(DF8&gt;=DL$17,DF8&lt;&gt;""),AND(DJ8&gt;=DL$17,DJ8&lt;&gt;""),AND(EB8&gt;=EH$17,EB8&lt;&gt;""),AND(EF8&gt;=EH$17,EF8&lt;&gt;""),AND(EX8&gt;=FD$17,EX8&lt;&gt;""),AND(FB8&gt;=FD$17,FB8&lt;&gt;""),AND(FT8&gt;=FZ$17,FT8&lt;&gt;""),AND(FX8&gt;=FZ$17,FX8&lt;&gt;""),AND(GP8&gt;=GV$17,GP8&lt;&gt;""),AND(GT8&gt;=GV$17,GT8&lt;&gt;""),AND(HL8&gt;=HR$17,HL8&lt;&gt;""),AND(HP8&gt;=HR$17,HP8&lt;&gt;""),AND(IH8&gt;=IN$17,IH8&lt;&gt;""),AND(IL8&gt;=IN$17,IL8&lt;&gt;""),AND(JD8&gt;=JJ$17,JD8&lt;&gt;""),AND(JH8&gt;=JJ$17,JH8&lt;&gt;""),AND(JZ8&gt;=KF$17,JZ8&lt;&gt;""),AND(KD8&gt;=KF$17,KD8&lt;&gt;""),AND(KV8&gt;=LB$17,KV8&lt;&gt;""),AND(KZ8&gt;=LB$17,KZ8&lt;&gt;""),AND(LR8&gt;=LX$17,LR8&lt;&gt;""),AND(LV8&gt;=LX$17,LV8&lt;&gt;""),AND(MN8&gt;=MT$17,MN8&lt;&gt;""),AND(MR8&gt;=MT$17,MR8&lt;&gt;"")),"Merit",IF(OR(AND(AL8&gt;=AR$16,AL8&lt;&gt;"",AK8=""),AND(AP8&gt;=AR$16,AP8&lt;&gt;"",AK8=""),AND(BI8&gt;=BO$16,BI8&lt;&gt;"",BH8=""),AND(BM8&gt;=BO$16,BM8&lt;&gt;"",BH8=""),AND(CF8&gt;=CL$16,CF8&lt;&gt;"",CE8=""),AND(CJ8&gt;=CL$16,CJ8&lt;&gt;"",CE8=""),AND(DF8&gt;=DL$16,DF8&lt;&gt;""),AND(DJ8&gt;=DL$16,DJ8&lt;&gt;""),AND(EB8&gt;=EH$16,EB8&lt;&gt;""),AND(EF8&gt;=EH$16,EF8&lt;&gt;""),AND(EX8&gt;=FD$16,EX8&lt;&gt;""),AND(FB8&gt;=FD$16,FB8&lt;&gt;""),AND(FT8&gt;=FZ$16,FT8&lt;&gt;""),AND(FX8&gt;=FZ$16,FX8&lt;&gt;""),AND(GP8&gt;=GV$16,GP8&lt;&gt;""),AND(GT8&gt;=GV$16,GT8&lt;&gt;""),AND(HL8&gt;=HR$16,HL8&lt;&gt;""),AND(HP8&gt;=HR$16,HP8&lt;&gt;""),AND(IH8&gt;=IN$16,IH8&lt;&gt;""),AND(IL8&gt;=IN$16,IL8&lt;&gt;""),AND(JD8&gt;=JJ$16,JD8&lt;&gt;""),AND(JH8&gt;=JJ$16,JH8&lt;&gt;""),AND(JZ8&gt;=KF$16,JZ8&lt;&gt;""),AND(KD8&gt;=KF$16,KD8&lt;&gt;""),AND(KV8&gt;=LB$16,KV8&lt;&gt;""),AND(KZ8&gt;=LB$16,KZ8&lt;&gt;""),AND(LR8&gt;=LX$16,LR8&lt;&gt;""),AND(LV8&gt;=LX$16,LV8&lt;&gt;""),AND(MN8&gt;=MT$16,MN8&lt;&gt;""),AND(MR8&gt;=MT$16,MR8&lt;&gt;"")),"Excellence",IF(OR(AND(AL8&gt;=AR$15,AL8&lt;&gt;"",AK8=""),AND(AP8&gt;=AR$15,AP8&lt;&gt;"",AK8=""),AND(BI8&gt;=BO$15,BI8&lt;&gt;"",BH8=""),AND(BM8&gt;=BO$15,BM8&lt;&gt;"",BH8=""),AND(CF8&gt;=CL$15,CF8&lt;&gt;"",CE8=""),AND(CJ8&gt;=CL$15,CJ8&lt;&gt;"",CE8=""),AND(DF8&gt;=DL$15,DF8&lt;&gt;""),AND(DJ8&gt;=DL$15,DJ8&lt;&gt;""),AND(EB8&gt;=EH$15,EB8&lt;&gt;""),AND(EF8&gt;=EH$15,EF8&lt;&gt;""),AND(EX8&gt;=FD$15,EX8&lt;&gt;""),AND(FB8&gt;=FD$15,FB8&lt;&gt;""),AND(FT8&gt;=FZ$15,FT8&lt;&gt;""),AND(FX8&gt;=FZ$15,FX8&lt;&gt;""),AND(GP8&gt;=GV$15,GP8&lt;&gt;""),AND(GT8&gt;=GV$15,GT8&lt;&gt;""),AND(HL8&gt;=HR$15,HL8&lt;&gt;""),AND(HP8&gt;=HR$15,HP8&lt;&gt;""),AND(IH8&gt;=IN$15,IH8&lt;&gt;""),AND(IL8&gt;=IN$15,IL8&lt;&gt;""),AND(JD8&gt;=JJ$15,JD8&lt;&gt;""),AND(JH8&gt;=JJ$15,JH8&lt;&gt;""),AND(JZ8&gt;=KF$15,JZ8&lt;&gt;""),AND(KD8&gt;=KF$15,KD8&lt;&gt;""),AND(KV8&gt;=LB$15,KV8&lt;&gt;""),AND(KZ8&gt;=LB$15,KZ8&lt;&gt;""),AND(LR8&gt;=LX$15,LR8&lt;&gt;""),AND(LV8&gt;=LX$15,LV8&lt;&gt;""),AND(MN8&gt;=MT$15,MN8&lt;&gt;""),AND(MR8&gt;=MT$15,MR8&lt;&gt;"")),"Worlds Team",IF(OR(AND(AL8&gt;=AR$14,AL8&lt;&gt;"",AK8=""),AND(AP8&gt;=AR$14,AP8&lt;&gt;"",AK8=""),AND(BI8&gt;=BO$14,BI8&lt;&gt;"",BH8=""),AND(BM8&gt;=BO$14,BM8&lt;&gt;"",BH8=""),AND(CF8&gt;=CL$14,CF8&lt;&gt;"",CE8=""),AND(CJ8&gt;=CL$14,CJ8&lt;&gt;"",CE8=""),AND(DF8&gt;=DL$14,DF8&lt;&gt;""),AND(DJ8&gt;=DL$14,DJ8&lt;&gt;""),AND(EB8&gt;=EH$14,EB8&lt;&gt;""),AND(EF8&gt;=EH$14,EF8&lt;&gt;""),AND(EX8&gt;=FD$14,EX8&lt;&gt;""),AND(FB8&gt;=FD$14,FB8&lt;&gt;""),AND(FT8&gt;=FZ$14,FT8&lt;&gt;""),AND(FX8&gt;=FZ$14,FX8&lt;&gt;""),AND(GP8&gt;=GV$14,GP8&lt;&gt;""),AND(GT8&gt;=GV$14,GT8&lt;&gt;""),AND(HL8&gt;=HR$14,HL8&lt;&gt;""),AND(HP8&gt;=HR$14,HP8&lt;&gt;""),AND(IH8&gt;=IN$14,IH8&lt;&gt;""),AND(IL8&gt;=IN$14,IL8&lt;&gt;""),AND(JD8&gt;=JJ$14,JD8&lt;&gt;""),AND(JH8&gt;=JJ$14,JH8&lt;&gt;""),AND(JZ8&gt;=KF$14,JZ8&lt;&gt;""),AND(KD8&gt;=KF$14,KD8&lt;&gt;""),AND(KV8&gt;=LB$14,KV8&lt;&gt;""),AND(KZ8&gt;=LB$14,KZ8&lt;&gt;""),AND(LR8&gt;=LX$14,LR8&lt;&gt;""),AND(LV8&gt;=LX$14,LV8&lt;&gt;""),AND(MN8&gt;=MT$14,MN8&lt;&gt;""),AND(MR8&gt;=MT$14,MR8&lt;&gt;"")),"National Team",""))))</f>
        <v/>
      </c>
      <c r="H8" s="125" t="str">
        <f>IF(OR(AND(AN8&gt;=AR$21,AN8&lt;&gt;"",AK8=""),AND(AQ8&gt;=AR$21,AQ8&lt;&gt;"",AK8=""),AND(BK8&gt;=BO$21,BK8&lt;&gt;"",BH8=""),AND(BN8&gt;=BO$21,BN8&lt;&gt;"",BH8=""),AND(CH8&gt;=CL$21,CH8&lt;&gt;"",CE8=""),AND(CK8&gt;=CL$21,CE8&lt;&gt;"",CE8=""),AND(DH8&gt;=DL$21,DH8&lt;&gt;""),AND(DK8&gt;=DL$21,DK8&lt;&gt;""),AND(ED8&gt;=EH$21,ED8&lt;&gt;""),AND(EG8&gt;=EH$21,EG8&lt;&gt;""),AND(EZ8&gt;=FD$21,EZ8&lt;&gt;""),AND(FC8&gt;=FD$21,FC8&lt;&gt;""),AND(FV8&gt;=FZ$21,FV8&lt;&gt;""),AND(FY8&gt;=FZ$21,FY8&lt;&gt;""),AND(GR8&gt;=GV$21,GR8&lt;&gt;""),AND(GU8&gt;=GV$21,GU8&lt;&gt;""),AND(HN8&gt;=HR$21,HN8&lt;&gt;""),AND(HQ8&gt;=HR$21,HQ8&lt;&gt;""),AND(IJ8&gt;=IN$21,IJ8&lt;&gt;""),AND(IM8&gt;=IN$21,IM8&lt;&gt;""),AND(JF8&gt;=JJ$21,JF8&lt;&gt;""),AND(JI8&gt;=JJ$21,JI8&lt;&gt;""),AND(KB8&gt;=KF$21,KB8&lt;&gt;""),AND(KE8&gt;=KF$21,KE8&lt;&gt;""),AND(KX8&gt;=LB$21,KX8&lt;&gt;""),AND(LA8&gt;=LB$21,LA8&lt;&gt;""),AND(LT8&gt;=LX$21,LT8&lt;&gt;""),AND(LW8&gt;=LX$21,LW8&lt;&gt;""),AND(MP8&gt;=MT$21,MP8&lt;&gt;""),AND(MS8&gt;=MT$21,MS8&lt;&gt;"")),"Merit",IF(OR(AND(AN8&gt;=AR$20,AN8&lt;&gt;"",AK8=""),AND(AQ8&gt;=AR$20,AQ8&lt;&gt;"",AK8=""),AND(BK8&gt;=BO$20,BK8&lt;&gt;"",BH8=""),AND(BN8&gt;=BO$20,BN8&lt;&gt;"",BH8=""),AND(CH8&gt;=CL$20,CH8&lt;&gt;"",CE8=""),AND(CK8&gt;=CL$20,CE8&lt;&gt;"",CE8=""),AND(DH8&gt;=DL$20,DH8&lt;&gt;""),AND(DK8&gt;=DL$20,DK8&lt;&gt;""),AND(ED8&gt;=EH$20,ED8&lt;&gt;""),AND(EG8&gt;=EH$20,EG8&lt;&gt;""),AND(EZ8&gt;=FD$20,EZ8&lt;&gt;""),AND(FC8&gt;=FD$20,FC8&lt;&gt;""),AND(FV8&gt;=FZ$20,FV8&lt;&gt;""),AND(FY8&gt;=FZ$20,FY8&lt;&gt;""),AND(GR8&gt;=GV$20,GR8&lt;&gt;""),AND(GU8&gt;=GV$20,GU8&lt;&gt;""),AND(HN8&gt;=HR$20,HN8&lt;&gt;""),AND(HQ8&gt;=HR$20,HQ8&lt;&gt;""),AND(IJ8&gt;=IN$20,IJ8&lt;&gt;""),AND(IM8&gt;=IN$20,IM8&lt;&gt;""),AND(JF8&gt;=JJ$20,JF8&lt;&gt;""),AND(JI8&gt;=JJ$20,JI8&lt;&gt;""),AND(KB8&gt;=KF$20,KB8&lt;&gt;""),AND(KE8&gt;=KF$20,KE8&lt;&gt;""),AND(KX8&gt;=LB$20,KX8&lt;&gt;""),AND(LA8&gt;=LB$20,LA8&lt;&gt;""),AND(LT8&gt;=LX$20,LT8&lt;&gt;""),AND(LW8&gt;=LX$20,LW8&lt;&gt;""),AND(MP8&gt;=MT$20,MP8&lt;&gt;""),AND(MS8&gt;=MT$20,MS8&lt;&gt;"")),"Excellence",IF(OR(AND(AO8&gt;=AR$19,AO8&lt;&gt;"",AK8=""),AND(BL8&gt;=BO$19,BL8&lt;&gt;"",BH8=""),AND(CI8&gt;=CL$19,CI8&lt;&gt;"",CE8=""),AND(DI8&gt;=DL$19,DI8&lt;&gt;""),AND(EE8&gt;=EH$19,EE8&lt;&gt;""),AND(FA8&gt;=FD$19,FA8&lt;&gt;""),AND(FW8&gt;=FZ$19,FW8&lt;&gt;""),AND(GS8&gt;=GV$19,GS8&lt;&gt;""),AND(HO8&gt;=HR$19,HO8&lt;&gt;""),AND(IK8&gt;=IN$19,IK8&lt;&gt;""),AND(JG8&gt;=JJ$19,JG8&lt;&gt;""),AND(KC8&gt;=KF$19,KC8&lt;&gt;""),AND(KY8&gt;=LB$19,KY8&lt;&gt;""),AND(LU8&gt;=LX$19,LU8&lt;&gt;""),AND(MQ8&gt;=MT$19,MQ8&lt;&gt;"")),"Worlds Team",IF(OR(AND(AO8&gt;=AR$18,AO8&lt;&gt;"",AK8=""),AND(BL8&gt;=BO$18,BL8&lt;&gt;"",BH8=""),AND(CI8&gt;=CL$18,CI8&lt;&gt;"",CE8=""),AND(DI8&gt;=DL$18,DI8&lt;&gt;""),AND(EE8&gt;=EH$18,EE8&lt;&gt;""),AND(FA8&gt;=FD$18,FA8&lt;&gt;""),AND(FW8&gt;=FZ$18,FW8&lt;&gt;""),AND(GS8&gt;=GV$18,GS8&lt;&gt;""),AND(HO8&gt;=HR$18,HO8&lt;&gt;""),AND(IK8&gt;=IN$18,IK8&lt;&gt;""),AND(JG8&gt;=JJ$18,JG8&lt;&gt;""),AND(KC8&gt;=KF$18,KC8&lt;&gt;""),AND(KY8&gt;=LB$18,KY8&lt;&gt;""),AND(LU8&gt;=LX$18,LU8&lt;&gt;""),AND(MQ8&gt;=MT$18,MQ8&lt;&gt;"")),"National Team",""))))</f>
        <v/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/>
      </c>
      <c r="J8" s="3" t="str">
        <f>IF(AND(OR(AND(AO8&gt;=AR$19,AO8&lt;&gt;"",AK8=""),AND(BL8&gt;=BO$19,BL8&lt;&gt;"",BH8=""),AND(CI8&gt;=CL$19,CI8&lt;&gt;"",CE8=""),AND(DI8&gt;=DL$19,DI8&lt;&gt;""),AND(EE8&gt;=EH$19,EE8&lt;&gt;""),AND(FA8&gt;=FD$19,FA8&lt;&gt;""),AND(FW8&gt;=FZ$19,FW8&lt;&gt;""),AND(GS8&gt;=GV$19,GS8&lt;&gt;""),AND(HO8&gt;=HR$19,HO8&lt;&gt;""),AND(IK8&gt;=IN$19,IK8&lt;&gt;""),AND(JG8&gt;=JJ$19,JG8&lt;&gt;""),AND(KC8&gt;=KF$19,KC8&lt;&gt;""),AND(KY8&gt;=LB$19,KY8&lt;&gt;""),AND(LU8&gt;=LX$19,LU8&lt;&gt;""),AND(MQ8&gt;=MT$19,MQ8&lt;&gt;"")),OR(G8="Worlds Team",G8="Excellence",G8="Merit")),"P","")</f>
        <v/>
      </c>
      <c r="K8" s="14">
        <f>MAX(AO8,BL8,CI8)</f>
        <v>54.53</v>
      </c>
      <c r="L8" s="14" t="str">
        <f>IF(K8=0,"",IF(K8=CI8,$BP$1,IF(K8=BL8,$AS$1,IF(K8=AO8,$V$1,""))))</f>
        <v>2019 Nationals</v>
      </c>
      <c r="M8" s="14">
        <f>IF($K8=$AO8,MAX(BJ8,CG8),IF($K8=$BL8,MAX(AM8,CG8),IF($K8=$CI8,MAX(AM8,BJ8),MAX(AM8,BJ8,CG8))))</f>
        <v>39.524999999999999</v>
      </c>
      <c r="N8" s="14" t="str">
        <f>IF(M8=0,"",IF(AND(M8=CG8,$L8&lt;&gt;$BP$1),$BP$1,IF(AND(M8=BJ8,$L8&lt;&gt;$AS$1),$AS$1,IF(AND(M8=AM8,$L8&lt;&gt;$V$1),$V$1,""))))</f>
        <v>2019 Elite Canada</v>
      </c>
      <c r="O8" s="14">
        <f>IF($K8=$AO8,MAX(CH8,BK8),IF($K8=$BL8,MAX(AN8,CH8),IF($K8=$CI8,MAX(AN8,BK8),MAX(AN8,BK8,CH8))))</f>
        <v>9.2800000000000011</v>
      </c>
      <c r="P8" s="14" t="str">
        <f>IF(O8=0,"",IF(AND(O8=CH8,$L8&lt;&gt;$BP$1),$BP$1,IF(AND(O8=BK8,$L8&lt;&gt;$AS$1),$AS$1,IF(AND(O8=AN8,$L8&lt;&gt;$V$1),$V$1,""))))</f>
        <v>2019 Elite Canada</v>
      </c>
      <c r="Q8" s="14">
        <f>MAX(AQ8,BN8,CK8)</f>
        <v>43.190000000000005</v>
      </c>
      <c r="R8" s="14" t="str">
        <f>IF(Q8=0,"",IF(Q8=CK8,$BP$1,IF(Q8=BN8,$AS$1,IF(Q8=AQ8,$V$1,""))))</f>
        <v>2019 Nationals</v>
      </c>
      <c r="S8" s="14" t="str">
        <f>IF(MAX(CM8,CN8,CO8,CP8)&gt;0,MAX(CM8,CN8,CO8,CP8),"")</f>
        <v/>
      </c>
      <c r="T8" s="25" t="str">
        <f>IF(S8="","",IF(S8=CM8,"(Vol 1)",IF(S8=CN8,"(Vol 2)",IF(S8=CO8,"(Prelim)",IF(S8=CP8,"(Final)")))))</f>
        <v/>
      </c>
      <c r="U8" s="14" t="str">
        <f>IF(S8="","",IF(S8=CM8,IF(S8+IF(M8="",0,M8)=MO8,$LY$1,IF(S8+IF(M8="",0,M8)=LS8,$LC$1,IF(S8+IF(M8="",0,M8)=KW8,$KG$1,IF(S8+IF(M8="",0,M8)=KA8,$JK$1,IF(S8+IF(M8="",0,M8)=JE8,$IO$1,IF(S8+IF(M8="",0,M8)=II8,$HS$1,IF(S8+IF(M8="",0,M8)=HM8,$GW$1,IF(S8+IF(M8="",0,M8)=GQ8,$GA$1,IF(S8+IF(M8="",0,M8)=FU8,$FE$1,IF(S8+IF(M8="",0,M8)=EY8,$EI$1,IF(S8+IF(M8="",0,M8)=EC8,$DM$1,IF(S8+IF(M8="",0,M8)=DG8,$CQ$1)))))))))))),IF(S8=CN8,IF(S8+IF(O8="",0,O8)=MP8,$LY$1,IF(S8+IF(O8="",0,O8)=LT8,$LC$1,IF(S8+IF(O8="",0,O8)=KX8,$KG$1,IF(S8+IF(O8="",0,O8)=KB8,$JK$1,IF(S8+IF(O8="",0,O8)=JF8,$IO$1,IF(S8+IF(O8="",0,O8)=IJ8,$HS$1,IF(S8+IF(O8="",0,O8)=HN8,$GW$1,IF(S8+IF(O8="",0,O8)=GR8,$GA$1,IF(S8+IF(O8="",0,O8)=FV8,$FE$1,IF(S8+IF(O8="",0,O8)=EZ8,$EI$1,IF(S8+IF(O8="",0,O8)=ED8,$DM$1,IF(S8+IF(O8="",0,O8)=DH8,$CQ$1)))))))))))),IF(S8=CO8,IF(S8+IF(K8="",0,K8)=MQ8,$LY$1,IF(S8+IF(K8="",0,K8)=LU8,$LC$1,IF(S8+IF(K8="",0,K8)=KY8,$KG$1,IF(S8+IF(K8="",0,K8)=KC8,$JK$1,IF(S8+IF(K8="",0,K8)=JG8,$IO$1,IF(S8+IF(K8="",0,K8)=IK8,$HS$1,IF(S8+IF(K8="",0,K8)=HO8,$GW$1,IF(S8+IF(K8="",0,K8)=GS8,$GA$1,IF(S8+IF(K8="",0,K8)=FW8,$FE$1,IF(S8+IF(K8="",0,K8)=FA8,$EI$1,IF(S8+IF(K8="",0,K8)=EE8,$DM$1,IF(S8+IF(K8="",0,K8)=DI8,$CQ$1)))))))))))),IF(S8=CP8,IF(S8+IF(Q8="",0,Q8)=MS8,$LY$1,IF(S8+IF(Q8="",0,Q8)=LW8,$LC$1,IF(S8+IF(Q8="",0,Q8)=LA8,$KG$1,IF(S8+IF(Q8="",0,Q8)=KE8,$JK$1,IF(S8+IF(Q8="",0,Q8)=JI8,$IO$1,IF(S8+IF(Q8="",0,Q8)=IM8,$HS$1,IF(S8+IF(Q8="",0,Q8)=HQ8,$GW$1,IF(S8+IF(Q8="",0,Q8)=GU8,$GA$1,IF(S8+IF(Q8="",0,Q8)=FY8,$FE$1,IF(S8+IF(Q8="",0,Q8)=FC8,$EI$1,IF(S8+IF(Q8="",0,Q8)=EG8,$DM$1,IF(S8+IF(Q8="",0,Q8)=DK8,$CQ$1)))))))))))))))))</f>
        <v/>
      </c>
      <c r="V8" s="39">
        <v>8.4749999999999996</v>
      </c>
      <c r="W8" s="39">
        <v>9.4499999999999993</v>
      </c>
      <c r="X8" s="39">
        <v>4.0999999999999996</v>
      </c>
      <c r="Y8" s="39">
        <v>17.5</v>
      </c>
      <c r="Z8" s="39">
        <v>0</v>
      </c>
      <c r="AA8" s="39">
        <v>1.4</v>
      </c>
      <c r="AB8" s="39">
        <v>1.7</v>
      </c>
      <c r="AC8" s="39">
        <v>2.98</v>
      </c>
      <c r="AD8" s="39">
        <v>3.2</v>
      </c>
      <c r="AE8" s="39">
        <v>0</v>
      </c>
      <c r="AF8" s="39"/>
      <c r="AG8" s="39"/>
      <c r="AH8" s="39"/>
      <c r="AI8" s="39"/>
      <c r="AJ8" s="39"/>
      <c r="AK8" s="80"/>
      <c r="AL8" s="11">
        <f>IF(AC8&gt;0,AC8,"")</f>
        <v>2.98</v>
      </c>
      <c r="AM8" s="11">
        <f>IF(SUM(V8:Y8)-Z8&gt;0,SUM(V8:Y8)-Z8,"")</f>
        <v>39.524999999999999</v>
      </c>
      <c r="AN8" s="11">
        <f>IF(SUM(AA8:AD8)-AE8&gt;0,SUM(AA8:AD8)-AE8,"")</f>
        <v>9.2800000000000011</v>
      </c>
      <c r="AO8" s="11">
        <f>IF(SUM(AM8:AN8)&gt;0,SUM(AM8:AN8),"")</f>
        <v>48.805</v>
      </c>
      <c r="AP8" s="11" t="str">
        <f>IF(AH8&gt;0,AH8,"")</f>
        <v/>
      </c>
      <c r="AQ8" s="11" t="str">
        <f>IF(SUM(AF8:AI8)-AJ8&gt;0,SUM(AF8:AI8)-AJ8,"")</f>
        <v/>
      </c>
      <c r="AR8" s="11">
        <f>IF(SUM(AO8,AQ8)&gt;0,SUM(AO8,AQ8),"")</f>
        <v>48.805</v>
      </c>
      <c r="AS8" s="40">
        <v>9.1</v>
      </c>
      <c r="AT8" s="40">
        <v>9.5500000000000007</v>
      </c>
      <c r="AU8" s="40">
        <v>3.5</v>
      </c>
      <c r="AV8" s="40">
        <v>17.54</v>
      </c>
      <c r="AW8" s="40">
        <v>0</v>
      </c>
      <c r="AX8" s="40">
        <v>2.25</v>
      </c>
      <c r="AY8" s="40">
        <v>2.5499999999999998</v>
      </c>
      <c r="AZ8" s="40">
        <v>4.9000000000000004</v>
      </c>
      <c r="BA8" s="40">
        <v>5.14</v>
      </c>
      <c r="BB8" s="40">
        <v>0</v>
      </c>
      <c r="BC8" s="40">
        <v>7.65</v>
      </c>
      <c r="BD8" s="40">
        <v>8.9</v>
      </c>
      <c r="BE8" s="40">
        <v>13.4</v>
      </c>
      <c r="BF8" s="40">
        <v>13.24</v>
      </c>
      <c r="BG8" s="40">
        <v>0</v>
      </c>
      <c r="BH8" s="81"/>
      <c r="BI8" s="14">
        <f>IF(AZ8&gt;0,AZ8,"")</f>
        <v>4.9000000000000004</v>
      </c>
      <c r="BJ8" s="14">
        <f>IF(SUM(AS8:AV8)-AW8&gt;0,SUM(AS8:AV8)-AW8,"")</f>
        <v>39.69</v>
      </c>
      <c r="BK8" s="14">
        <f>IF(SUM(AX8:BA8)-BB8&gt;0,SUM(AX8:BA8)-BB8,"")</f>
        <v>14.84</v>
      </c>
      <c r="BL8" s="14">
        <f>IF(SUM(BJ8:BK8)&gt;0,SUM(BJ8:BK8),"")</f>
        <v>54.53</v>
      </c>
      <c r="BM8" s="14">
        <f>IF(BE8&gt;0,BE8,"")</f>
        <v>13.4</v>
      </c>
      <c r="BN8" s="14">
        <f>IF(SUM(BC8:BF8)-BG8&gt;0,SUM(BC8:BF8)-BG8,"")</f>
        <v>43.190000000000005</v>
      </c>
      <c r="BO8" s="14">
        <f>IF(SUM(BL8,BN8)&gt;0,SUM(BL8,BN8),"")</f>
        <v>97.72</v>
      </c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80"/>
      <c r="CF8" s="11" t="str">
        <f>IF(BW8&gt;0,BW8,"")</f>
        <v/>
      </c>
      <c r="CG8" s="11" t="str">
        <f>IF(SUM(BP8:BS8)-BT8&gt;0,SUM(BP8:BS8)-BT8,"")</f>
        <v/>
      </c>
      <c r="CH8" s="11" t="str">
        <f>IF(SUM(BU8:BX8)-BY8&gt;0,SUM(BU8:BX8)-BY8,"")</f>
        <v/>
      </c>
      <c r="CI8" s="11" t="str">
        <f>IF(SUM(CG8:CH8)&gt;0,SUM(CG8:CH8),"")</f>
        <v/>
      </c>
      <c r="CJ8" s="11" t="str">
        <f>IF(CB8&gt;0,CB8,"")</f>
        <v/>
      </c>
      <c r="CK8" s="11" t="str">
        <f>IF(SUM(BZ8:CC8)-CD8&gt;0,SUM(BZ8:CC8)-CD8,"")</f>
        <v/>
      </c>
      <c r="CL8" s="11" t="str">
        <f>IF(SUM(CI8,CK8)&gt;0,SUM(CI8,CK8),"")</f>
        <v/>
      </c>
      <c r="CM8" s="24" t="str">
        <f>IF(MAX(DG8,EC8,EY8,FU8,GQ8,HM8,II8,JE8,KA8,KW8,LS8,MO8)-IF(M8="",0,M8)&gt;0.001,MAX(DG8,EC8,EY8,FU8,GQ8,HM8,II8,JE8,KA8,KW8,LS8,MO8)-IF(M8="",0,M8),"")</f>
        <v/>
      </c>
      <c r="CN8" s="24" t="str">
        <f>IF(MAX(DH8,ED8,EZ8,FV8,GR8,HN8,IJ8,JF8,KB8,KX8,LT8,MP8)-IF(O8="",0,O8)&gt;0.001,MAX(DH8,ED8,EZ8,FV8,GR8,HN8,IJ8,JF8,KB8,KX8,LT8,MP8)-IF(O8="",0,O8),"")</f>
        <v/>
      </c>
      <c r="CO8" s="24" t="str">
        <f>IF(MAX(DI8,EE8,FA8,FW8,GS8,HO8,IK8,JG8,KC8,KY8,LU8,MQ8)-IF(K8="",0,K8)&gt;0.001,MAX(DI8,EE8,FA8,FW8,GS8,HO8,IK8,JG8,KC8,KY8,LU8,MQ8)-IF(K8="",0,K8),"")</f>
        <v/>
      </c>
      <c r="CP8" s="24" t="str">
        <f>IF(MAX(DK8,EG8,FC8,FY8,GU8,HQ8,IM8,JI8,KE8,LA8,LW8,MS8)-IF(Q8="",0,Q8)&gt;0.001,MAX(DK8,EG8,FC8,FY8,GU8,HQ8,IM8,JI8,KE8,LA8,LW8,MS8)-IF(Q8="",0,Q8),"")</f>
        <v/>
      </c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11" t="str">
        <f>IF(CX8&gt;0,CX8,"")</f>
        <v/>
      </c>
      <c r="DG8" s="11" t="str">
        <f>IF(SUM(CQ8:CT8)-CU8&gt;0,SUM(CQ8:CT8)-CU8,"")</f>
        <v/>
      </c>
      <c r="DH8" s="11" t="str">
        <f>IF(SUM(CV8:CY8)-CZ8&gt;0,SUM(CV8:CY8)-CZ8,"")</f>
        <v/>
      </c>
      <c r="DI8" s="11" t="str">
        <f>IF(SUM(DG8:DH8)&gt;0,SUM(DG8:DH8),"")</f>
        <v/>
      </c>
      <c r="DJ8" s="11" t="str">
        <f>IF(DC8&gt;0,DC8,"")</f>
        <v/>
      </c>
      <c r="DK8" s="11" t="str">
        <f>IF(SUM(DA8:DD8)-DE8&gt;0,SUM(DA8:DD8)-DE8,"")</f>
        <v/>
      </c>
      <c r="DL8" s="11" t="str">
        <f>IF(SUM(DI8,DK8)&gt;0,SUM(DI8,DK8),"")</f>
        <v/>
      </c>
      <c r="DM8" s="38"/>
      <c r="DN8" s="38"/>
      <c r="DO8" s="38"/>
      <c r="DP8" s="38"/>
      <c r="DQ8" s="38"/>
      <c r="DR8" s="38"/>
      <c r="DS8" s="38"/>
      <c r="DT8" s="38"/>
      <c r="DU8" s="38"/>
      <c r="DV8" s="38"/>
      <c r="DW8" s="38"/>
      <c r="DX8" s="38"/>
      <c r="DY8" s="38"/>
      <c r="DZ8" s="38"/>
      <c r="EA8" s="38"/>
      <c r="EB8" s="14" t="str">
        <f>IF(DT8&gt;0,DT8,"")</f>
        <v/>
      </c>
      <c r="EC8" s="14" t="str">
        <f>IF(SUM(DM8:DP8)-DQ8&gt;0,SUM(DM8:DP8)-DQ8,"")</f>
        <v/>
      </c>
      <c r="ED8" s="14" t="str">
        <f>IF(SUM(DR8:DU8)-DV8&gt;0,SUM(DR8:DU8)-DV8,"")</f>
        <v/>
      </c>
      <c r="EE8" s="14" t="str">
        <f>IF(SUM(EC8:ED8)&gt;0,SUM(EC8:ED8),"")</f>
        <v/>
      </c>
      <c r="EF8" s="14" t="str">
        <f>IF(DY8&gt;0,DY8,"")</f>
        <v/>
      </c>
      <c r="EG8" s="14" t="str">
        <f>IF(SUM(DW8:DZ8)-EA8&gt;0,SUM(DW8:DZ8)-EA8,"")</f>
        <v/>
      </c>
      <c r="EH8" s="14" t="str">
        <f>IF(SUM(EE8,EG8)&gt;0,SUM(EE8,EG8),"")</f>
        <v/>
      </c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11" t="str">
        <f>IF(EP8&gt;0,EP8,"")</f>
        <v/>
      </c>
      <c r="EY8" s="11" t="str">
        <f>IF(SUM(EI8:EL8)-EM8&gt;0,SUM(EI8:EL8)-EM8,"")</f>
        <v/>
      </c>
      <c r="EZ8" s="11" t="str">
        <f>IF(SUM(EN8:EQ8)-ER8&gt;0,SUM(EN8:EQ8)-ER8,"")</f>
        <v/>
      </c>
      <c r="FA8" s="11" t="str">
        <f>IF(SUM(EY8:EZ8)&gt;0,SUM(EY8:EZ8),"")</f>
        <v/>
      </c>
      <c r="FB8" s="11" t="str">
        <f>IF(EU8&gt;0,EU8,"")</f>
        <v/>
      </c>
      <c r="FC8" s="11" t="str">
        <f>IF(SUM(ES8:EV8)-EW8&gt;0,SUM(ES8:EV8)-EW8,"")</f>
        <v/>
      </c>
      <c r="FD8" s="11" t="str">
        <f>IF(SUM(FA8,FC8)&gt;0,SUM(FA8,FC8),"")</f>
        <v/>
      </c>
      <c r="FE8" s="38"/>
      <c r="FF8" s="38"/>
      <c r="FG8" s="38"/>
      <c r="FH8" s="38"/>
      <c r="FI8" s="38"/>
      <c r="FJ8" s="38"/>
      <c r="FK8" s="38"/>
      <c r="FL8" s="38"/>
      <c r="FM8" s="38"/>
      <c r="FN8" s="38"/>
      <c r="FO8" s="38"/>
      <c r="FP8" s="38"/>
      <c r="FQ8" s="38"/>
      <c r="FR8" s="38"/>
      <c r="FS8" s="38"/>
      <c r="FT8" s="14" t="str">
        <f>IF(FL8&gt;0,FL8,"")</f>
        <v/>
      </c>
      <c r="FU8" s="14" t="str">
        <f>IF(SUM(FE8:FH8)-FI8&gt;0,SUM(FE8:FH8)-FI8,"")</f>
        <v/>
      </c>
      <c r="FV8" s="14" t="str">
        <f>IF(SUM(FJ8:FM8)-FN8&gt;0,SUM(FJ8:FM8)-FN8,"")</f>
        <v/>
      </c>
      <c r="FW8" s="14" t="str">
        <f>IF(SUM(FU8:FV8)&gt;0,SUM(FU8:FV8),"")</f>
        <v/>
      </c>
      <c r="FX8" s="14" t="str">
        <f>IF(FQ8&gt;0,FQ8,"")</f>
        <v/>
      </c>
      <c r="FY8" s="14" t="str">
        <f>IF(SUM(FO8:FR8)-FS8&gt;0,SUM(FO8:FR8)-FS8,"")</f>
        <v/>
      </c>
      <c r="FZ8" s="14" t="str">
        <f>IF(SUM(FW8,FY8)&gt;0,SUM(FW8,FY8),"")</f>
        <v/>
      </c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11" t="str">
        <f>IF(GH8&gt;0,GH8,"")</f>
        <v/>
      </c>
      <c r="GQ8" s="11" t="str">
        <f>IF(SUM(GA8:GD8)-GE8&gt;0,SUM(GA8:GD8)-GE8,"")</f>
        <v/>
      </c>
      <c r="GR8" s="11" t="str">
        <f>IF(SUM(GF8:GI8)-GJ8&gt;0,SUM(GF8:GI8)-GJ8,"")</f>
        <v/>
      </c>
      <c r="GS8" s="11" t="str">
        <f>IF(SUM(GQ8:GR8)&gt;0,SUM(GQ8:GR8),"")</f>
        <v/>
      </c>
      <c r="GT8" s="11" t="str">
        <f>IF(GM8&gt;0,GM8,"")</f>
        <v/>
      </c>
      <c r="GU8" s="11" t="str">
        <f>IF(SUM(GK8:GN8)-GO8&gt;0,SUM(GK8:GN8)-GO8,"")</f>
        <v/>
      </c>
      <c r="GV8" s="11" t="str">
        <f>IF(SUM(GS8,GU8)&gt;0,SUM(GS8,GU8),"")</f>
        <v/>
      </c>
      <c r="GW8" s="38"/>
      <c r="GX8" s="38"/>
      <c r="GY8" s="38"/>
      <c r="GZ8" s="38"/>
      <c r="HA8" s="38"/>
      <c r="HB8" s="38"/>
      <c r="HC8" s="38"/>
      <c r="HD8" s="38"/>
      <c r="HE8" s="38"/>
      <c r="HF8" s="38"/>
      <c r="HG8" s="38"/>
      <c r="HH8" s="38"/>
      <c r="HI8" s="38"/>
      <c r="HJ8" s="38"/>
      <c r="HK8" s="38"/>
      <c r="HL8" s="14" t="str">
        <f>IF(HD8&gt;0,HD8,"")</f>
        <v/>
      </c>
      <c r="HM8" s="14" t="str">
        <f>IF(SUM(GW8:GZ8)-HA8&gt;0,SUM(GW8:GZ8)-HA8,"")</f>
        <v/>
      </c>
      <c r="HN8" s="14" t="str">
        <f>IF(SUM(HB8:HE8)-HF8&gt;0,SUM(HB8:HE8)-HF8,"")</f>
        <v/>
      </c>
      <c r="HO8" s="14" t="str">
        <f>IF(SUM(HM8:HN8)&gt;0,SUM(HM8:HN8),"")</f>
        <v/>
      </c>
      <c r="HP8" s="14" t="str">
        <f>IF(HI8&gt;0,HI8,"")</f>
        <v/>
      </c>
      <c r="HQ8" s="14" t="str">
        <f>IF(SUM(HG8:HJ8)-HK8&gt;0,SUM(HG8:HJ8)-HK8,"")</f>
        <v/>
      </c>
      <c r="HR8" s="14" t="str">
        <f>IF(SUM(HO8,HQ8)&gt;0,SUM(HO8,HQ8),"")</f>
        <v/>
      </c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11" t="str">
        <f>IF(HZ8&gt;0,HZ8,"")</f>
        <v/>
      </c>
      <c r="II8" s="11" t="str">
        <f>IF(SUM(HS8:HV8)-HW8&gt;0,SUM(HS8:HV8)-HW8,"")</f>
        <v/>
      </c>
      <c r="IJ8" s="11" t="str">
        <f>IF(SUM(HX8:IA8)-IB8&gt;0,SUM(HX8:IA8)-IB8,"")</f>
        <v/>
      </c>
      <c r="IK8" s="11" t="str">
        <f>IF(SUM(II8:IJ8)&gt;0,SUM(II8:IJ8),"")</f>
        <v/>
      </c>
      <c r="IL8" s="11" t="str">
        <f>IF(IE8&gt;0,IE8,"")</f>
        <v/>
      </c>
      <c r="IM8" s="11" t="str">
        <f>IF(SUM(IC8:IF8)-IG8&gt;0,SUM(IC8:IF8)-IG8,"")</f>
        <v/>
      </c>
      <c r="IN8" s="11" t="str">
        <f>IF(SUM(IK8,IM8)&gt;0,SUM(IK8,IM8),"")</f>
        <v/>
      </c>
      <c r="IO8" s="38"/>
      <c r="IP8" s="38"/>
      <c r="IQ8" s="38"/>
      <c r="IR8" s="38"/>
      <c r="IS8" s="38"/>
      <c r="IT8" s="38"/>
      <c r="IU8" s="38"/>
      <c r="IV8" s="38"/>
      <c r="IW8" s="38"/>
      <c r="IX8" s="38"/>
      <c r="IY8" s="38"/>
      <c r="IZ8" s="38"/>
      <c r="JA8" s="38"/>
      <c r="JB8" s="38"/>
      <c r="JC8" s="38"/>
      <c r="JD8" s="14" t="str">
        <f>IF(IV8&gt;0,IV8,"")</f>
        <v/>
      </c>
      <c r="JE8" s="14" t="str">
        <f>IF(SUM(IO8:IR8)-IS8&gt;0,SUM(IO8:IR8)-IS8,"")</f>
        <v/>
      </c>
      <c r="JF8" s="14" t="str">
        <f>IF(SUM(IT8:IW8)-IX8&gt;0,SUM(IT8:IW8)-IX8,"")</f>
        <v/>
      </c>
      <c r="JG8" s="14" t="str">
        <f>IF(SUM(JE8:JF8)&gt;0,SUM(JE8:JF8),"")</f>
        <v/>
      </c>
      <c r="JH8" s="14" t="str">
        <f>IF(JA8&gt;0,JA8,"")</f>
        <v/>
      </c>
      <c r="JI8" s="14" t="str">
        <f>IF(SUM(IY8:JB8)-JC8&gt;0,SUM(IY8:JB8)-JC8,"")</f>
        <v/>
      </c>
      <c r="JJ8" s="14" t="str">
        <f>IF(SUM(JG8,JI8)&gt;0,SUM(JG8,JI8),"")</f>
        <v/>
      </c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11" t="str">
        <f>IF(JR8&gt;0,JR8,"")</f>
        <v/>
      </c>
      <c r="KA8" s="11" t="str">
        <f>IF(SUM(JK8:JN8)-JO8&gt;0,SUM(JK8:JN8)-JO8,"")</f>
        <v/>
      </c>
      <c r="KB8" s="11" t="str">
        <f>IF(SUM(JP8:JS8)-JT8&gt;0,SUM(JP8:JS8)-JT8,"")</f>
        <v/>
      </c>
      <c r="KC8" s="11" t="str">
        <f>IF(SUM(KA8:KB8)&gt;0,SUM(KA8:KB8),"")</f>
        <v/>
      </c>
      <c r="KD8" s="11" t="str">
        <f>IF(JW8&gt;0,JW8,"")</f>
        <v/>
      </c>
      <c r="KE8" s="11" t="str">
        <f>IF(SUM(JU8:JX8)-JY8&gt;0,SUM(JU8:JX8)-JY8,"")</f>
        <v/>
      </c>
      <c r="KF8" s="11" t="str">
        <f>IF(SUM(KC8,KE8)&gt;0,SUM(KC8,KE8),"")</f>
        <v/>
      </c>
      <c r="KG8" s="38"/>
      <c r="KH8" s="38"/>
      <c r="KI8" s="38"/>
      <c r="KJ8" s="38"/>
      <c r="KK8" s="38"/>
      <c r="KL8" s="38"/>
      <c r="KM8" s="38"/>
      <c r="KN8" s="38"/>
      <c r="KO8" s="38"/>
      <c r="KP8" s="38"/>
      <c r="KQ8" s="38"/>
      <c r="KR8" s="38"/>
      <c r="KS8" s="38"/>
      <c r="KT8" s="38"/>
      <c r="KU8" s="38"/>
      <c r="KV8" s="14" t="str">
        <f>IF(KN8&gt;0,KN8,"")</f>
        <v/>
      </c>
      <c r="KW8" s="14" t="str">
        <f>IF(SUM(KG8:KJ8)-KK8&gt;0,SUM(KG8:KJ8)-KK8,"")</f>
        <v/>
      </c>
      <c r="KX8" s="14" t="str">
        <f>IF(SUM(KL8:KO8)-KP8&gt;0,SUM(KL8:KO8)-KP8,"")</f>
        <v/>
      </c>
      <c r="KY8" s="14" t="str">
        <f>IF(SUM(KW8:KX8)&gt;0,SUM(KW8:KX8),"")</f>
        <v/>
      </c>
      <c r="KZ8" s="14" t="str">
        <f>IF(KS8&gt;0,KS8,"")</f>
        <v/>
      </c>
      <c r="LA8" s="14" t="str">
        <f>IF(SUM(KQ8:KT8)-KU8&gt;0,SUM(KQ8:KT8)-KU8,"")</f>
        <v/>
      </c>
      <c r="LB8" s="14" t="str">
        <f>IF(SUM(KY8,LA8)&gt;0,SUM(KY8,LA8),"")</f>
        <v/>
      </c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11" t="str">
        <f>IF(LJ8&gt;0,LJ8,"")</f>
        <v/>
      </c>
      <c r="LS8" s="11" t="str">
        <f>IF(SUM(LC8:LF8)-LG8&gt;0,SUM(LC8:LF8)-LG8,"")</f>
        <v/>
      </c>
      <c r="LT8" s="11" t="str">
        <f>IF(SUM(LH8:LK8)-LL8&gt;0,SUM(LH8:LK8)-LL8,"")</f>
        <v/>
      </c>
      <c r="LU8" s="11" t="str">
        <f>IF(SUM(LS8:LT8)&gt;0,SUM(LS8:LT8),"")</f>
        <v/>
      </c>
      <c r="LV8" s="11" t="str">
        <f>IF(LO8&gt;0,LO8,"")</f>
        <v/>
      </c>
      <c r="LW8" s="11" t="str">
        <f>IF(SUM(LM8:LP8)-LQ8&gt;0,SUM(LM8:LP8)-LQ8,"")</f>
        <v/>
      </c>
      <c r="LX8" s="11" t="str">
        <f>IF(SUM(LU8,LW8)&gt;0,SUM(LU8,LW8),"")</f>
        <v/>
      </c>
      <c r="LY8" s="38"/>
      <c r="LZ8" s="38"/>
      <c r="MA8" s="38"/>
      <c r="MB8" s="38"/>
      <c r="MC8" s="38"/>
      <c r="MD8" s="38"/>
      <c r="ME8" s="38"/>
      <c r="MF8" s="38"/>
      <c r="MG8" s="38"/>
      <c r="MH8" s="38"/>
      <c r="MI8" s="38"/>
      <c r="MJ8" s="38"/>
      <c r="MK8" s="38"/>
      <c r="ML8" s="38"/>
      <c r="MM8" s="38"/>
      <c r="MN8" s="14" t="str">
        <f>IF(MF8&gt;0,MF8,"")</f>
        <v/>
      </c>
      <c r="MO8" s="14" t="str">
        <f>IF(SUM(LY8:MB8)-MC8&gt;0,SUM(LY8:MB8)-MC8,"")</f>
        <v/>
      </c>
      <c r="MP8" s="14" t="str">
        <f>IF(SUM(MD8:MG8)-MH8&gt;0,SUM(MD8:MG8)-MH8,"")</f>
        <v/>
      </c>
      <c r="MQ8" s="14" t="str">
        <f>IF(SUM(MO8:MP8)&gt;0,SUM(MO8:MP8),"")</f>
        <v/>
      </c>
      <c r="MR8" s="14" t="str">
        <f>IF(MK8&gt;0,MK8,"")</f>
        <v/>
      </c>
      <c r="MS8" s="14" t="str">
        <f>IF(SUM(MI8:ML8)-MM8&gt;0,SUM(MI8:ML8)-MM8,"")</f>
        <v/>
      </c>
      <c r="MT8" s="14" t="str">
        <f>IF(SUM(MQ8,MS8)&gt;0,SUM(MQ8,MS8),"")</f>
        <v/>
      </c>
      <c r="MU8" s="69">
        <f>IF($CE8="P",BP8,(BP8+AS8)/2)</f>
        <v>4.55</v>
      </c>
      <c r="MV8" s="69">
        <f>IF($CE8="P",BQ8,(BQ8+AT8)/2)</f>
        <v>4.7750000000000004</v>
      </c>
      <c r="MW8" s="69">
        <f>IF($CE8="P",BR8,(BR8+AU8)/2)</f>
        <v>1.75</v>
      </c>
      <c r="MX8" s="69">
        <f>IF($CE8="P",BS8,(BS8+AV8)/2)</f>
        <v>8.77</v>
      </c>
      <c r="MY8" s="69">
        <f>IF($CE8="P",BT8,(BT8+AW8)/2)</f>
        <v>0</v>
      </c>
      <c r="MZ8" s="69">
        <f>IF($CE8="P",BU8,(BU8+AX8)/2)</f>
        <v>1.125</v>
      </c>
      <c r="NA8" s="69">
        <f>IF($CE8="P",BV8,(BV8+AY8)/2)</f>
        <v>1.2749999999999999</v>
      </c>
      <c r="NB8" s="69">
        <f>IF($CE8="P",BW8,(BW8+AZ8)/2)</f>
        <v>2.4500000000000002</v>
      </c>
      <c r="NC8" s="69">
        <f>IF($CE8="P",BX8,(BX8+BA8)/2)</f>
        <v>2.57</v>
      </c>
      <c r="ND8" s="69">
        <f>IF($CE8="P",BY8,(BY8+BB8)/2)</f>
        <v>0</v>
      </c>
      <c r="NE8" s="69">
        <f>IF($CE8="P",BZ8,(BZ8+BC8)/2)</f>
        <v>3.8250000000000002</v>
      </c>
      <c r="NF8" s="69">
        <f>IF($CE8="P",CA8,(CA8+BD8)/2)</f>
        <v>4.45</v>
      </c>
      <c r="NG8" s="69">
        <f>IF($CE8="P",CB8,(CB8+BE8)/2)</f>
        <v>6.7</v>
      </c>
      <c r="NH8" s="69">
        <f>IF($CE8="P",CC8,(CC8+BF8)/2)</f>
        <v>6.62</v>
      </c>
      <c r="NI8" s="69">
        <f>IF($CE8="P",CD8,(CD8+BG8)/2)</f>
        <v>0</v>
      </c>
      <c r="NJ8" s="80" t="s">
        <v>91</v>
      </c>
      <c r="NK8" s="11">
        <f>IF(NB8&gt;0,NB8,"")</f>
        <v>2.4500000000000002</v>
      </c>
      <c r="NL8" s="11">
        <f>IF(SUM(MU8:MX8)-MY8&gt;0,SUM(MU8:MX8)-MY8,"")</f>
        <v>19.844999999999999</v>
      </c>
      <c r="NM8" s="11">
        <f>IF(SUM(MZ8:NC8)-ND8&gt;0,SUM(MZ8:NC8)-ND8,"")</f>
        <v>7.42</v>
      </c>
      <c r="NN8" s="11">
        <f>IF(SUM(NL8:NM8)&gt;0,SUM(NL8:NM8),"")</f>
        <v>27.265000000000001</v>
      </c>
      <c r="NO8" s="11">
        <f>IF(NG8&gt;0,NG8,"")</f>
        <v>6.7</v>
      </c>
      <c r="NP8" s="11">
        <f>IF(SUM(NE8:NH8)-NI8&gt;0,SUM(NE8:NH8)-NI8,"")</f>
        <v>21.595000000000002</v>
      </c>
      <c r="NQ8" s="11">
        <f>IF(SUM(NN8,NP8)&gt;0,SUM(NN8,NP8),"")</f>
        <v>48.86</v>
      </c>
    </row>
    <row r="9" spans="1:381" x14ac:dyDescent="0.2">
      <c r="A9" s="5" t="str" cm="1">
        <f t="array" ref="A9">IF(AND(G9&lt;&gt;"",H9&lt;&gt;""),SUMPRODUCT((G$4:G$12&lt;&gt;"")*(H$4:H$12&lt;&gt;"")*(E$4:E$12&gt;E9))+1,IF(H9&lt;&gt;"",SUMPRODUCT((I$4:I$12="No DD")*(E$4:E$12&gt;E9))+1+SUMPRODUCT((G$4:G$12&lt;&gt;"")*(H$4:H$12&lt;&gt;"")),""))</f>
        <v/>
      </c>
      <c r="B9" s="8" t="s">
        <v>143</v>
      </c>
      <c r="C9" s="4" t="s">
        <v>6</v>
      </c>
      <c r="D9" s="27" t="s">
        <v>144</v>
      </c>
      <c r="E9" s="15">
        <f>SUM(K9:S9)</f>
        <v>120.57</v>
      </c>
      <c r="F9" s="3" t="str">
        <f>IF(G9&lt;&gt;"","P","")</f>
        <v/>
      </c>
      <c r="G9" s="125" t="str">
        <f>IF(OR(AND(AL9&gt;=AR$17,AL9&lt;&gt;"",AK9=""),AND(AP9&gt;=AR$17,AP9&lt;&gt;"",AK9=""),AND(BI9&gt;=BO$17,BI9&lt;&gt;"",BH9=""),AND(BM9&gt;=BO$17,BM9&lt;&gt;"",BH9=""),AND(CF9&gt;=CL$17,CF9&lt;&gt;"",CE9=""),AND(CJ9&gt;=CL$17,CJ9&lt;&gt;"",CE9=""),AND(DF9&gt;=DL$17,DF9&lt;&gt;""),AND(DJ9&gt;=DL$17,DJ9&lt;&gt;""),AND(EB9&gt;=EH$17,EB9&lt;&gt;""),AND(EF9&gt;=EH$17,EF9&lt;&gt;""),AND(EX9&gt;=FD$17,EX9&lt;&gt;""),AND(FB9&gt;=FD$17,FB9&lt;&gt;""),AND(FT9&gt;=FZ$17,FT9&lt;&gt;""),AND(FX9&gt;=FZ$17,FX9&lt;&gt;""),AND(GP9&gt;=GV$17,GP9&lt;&gt;""),AND(GT9&gt;=GV$17,GT9&lt;&gt;""),AND(HL9&gt;=HR$17,HL9&lt;&gt;""),AND(HP9&gt;=HR$17,HP9&lt;&gt;""),AND(IH9&gt;=IN$17,IH9&lt;&gt;""),AND(IL9&gt;=IN$17,IL9&lt;&gt;""),AND(JD9&gt;=JJ$17,JD9&lt;&gt;""),AND(JH9&gt;=JJ$17,JH9&lt;&gt;""),AND(JZ9&gt;=KF$17,JZ9&lt;&gt;""),AND(KD9&gt;=KF$17,KD9&lt;&gt;""),AND(KV9&gt;=LB$17,KV9&lt;&gt;""),AND(KZ9&gt;=LB$17,KZ9&lt;&gt;""),AND(LR9&gt;=LX$17,LR9&lt;&gt;""),AND(LV9&gt;=LX$17,LV9&lt;&gt;""),AND(MN9&gt;=MT$17,MN9&lt;&gt;""),AND(MR9&gt;=MT$17,MR9&lt;&gt;"")),"Merit",IF(OR(AND(AL9&gt;=AR$16,AL9&lt;&gt;"",AK9=""),AND(AP9&gt;=AR$16,AP9&lt;&gt;"",AK9=""),AND(BI9&gt;=BO$16,BI9&lt;&gt;"",BH9=""),AND(BM9&gt;=BO$16,BM9&lt;&gt;"",BH9=""),AND(CF9&gt;=CL$16,CF9&lt;&gt;"",CE9=""),AND(CJ9&gt;=CL$16,CJ9&lt;&gt;"",CE9=""),AND(DF9&gt;=DL$16,DF9&lt;&gt;""),AND(DJ9&gt;=DL$16,DJ9&lt;&gt;""),AND(EB9&gt;=EH$16,EB9&lt;&gt;""),AND(EF9&gt;=EH$16,EF9&lt;&gt;""),AND(EX9&gt;=FD$16,EX9&lt;&gt;""),AND(FB9&gt;=FD$16,FB9&lt;&gt;""),AND(FT9&gt;=FZ$16,FT9&lt;&gt;""),AND(FX9&gt;=FZ$16,FX9&lt;&gt;""),AND(GP9&gt;=GV$16,GP9&lt;&gt;""),AND(GT9&gt;=GV$16,GT9&lt;&gt;""),AND(HL9&gt;=HR$16,HL9&lt;&gt;""),AND(HP9&gt;=HR$16,HP9&lt;&gt;""),AND(IH9&gt;=IN$16,IH9&lt;&gt;""),AND(IL9&gt;=IN$16,IL9&lt;&gt;""),AND(JD9&gt;=JJ$16,JD9&lt;&gt;""),AND(JH9&gt;=JJ$16,JH9&lt;&gt;""),AND(JZ9&gt;=KF$16,JZ9&lt;&gt;""),AND(KD9&gt;=KF$16,KD9&lt;&gt;""),AND(KV9&gt;=LB$16,KV9&lt;&gt;""),AND(KZ9&gt;=LB$16,KZ9&lt;&gt;""),AND(LR9&gt;=LX$16,LR9&lt;&gt;""),AND(LV9&gt;=LX$16,LV9&lt;&gt;""),AND(MN9&gt;=MT$16,MN9&lt;&gt;""),AND(MR9&gt;=MT$16,MR9&lt;&gt;"")),"Excellence",IF(OR(AND(AL9&gt;=AR$15,AL9&lt;&gt;"",AK9=""),AND(AP9&gt;=AR$15,AP9&lt;&gt;"",AK9=""),AND(BI9&gt;=BO$15,BI9&lt;&gt;"",BH9=""),AND(BM9&gt;=BO$15,BM9&lt;&gt;"",BH9=""),AND(CF9&gt;=CL$15,CF9&lt;&gt;"",CE9=""),AND(CJ9&gt;=CL$15,CJ9&lt;&gt;"",CE9=""),AND(DF9&gt;=DL$15,DF9&lt;&gt;""),AND(DJ9&gt;=DL$15,DJ9&lt;&gt;""),AND(EB9&gt;=EH$15,EB9&lt;&gt;""),AND(EF9&gt;=EH$15,EF9&lt;&gt;""),AND(EX9&gt;=FD$15,EX9&lt;&gt;""),AND(FB9&gt;=FD$15,FB9&lt;&gt;""),AND(FT9&gt;=FZ$15,FT9&lt;&gt;""),AND(FX9&gt;=FZ$15,FX9&lt;&gt;""),AND(GP9&gt;=GV$15,GP9&lt;&gt;""),AND(GT9&gt;=GV$15,GT9&lt;&gt;""),AND(HL9&gt;=HR$15,HL9&lt;&gt;""),AND(HP9&gt;=HR$15,HP9&lt;&gt;""),AND(IH9&gt;=IN$15,IH9&lt;&gt;""),AND(IL9&gt;=IN$15,IL9&lt;&gt;""),AND(JD9&gt;=JJ$15,JD9&lt;&gt;""),AND(JH9&gt;=JJ$15,JH9&lt;&gt;""),AND(JZ9&gt;=KF$15,JZ9&lt;&gt;""),AND(KD9&gt;=KF$15,KD9&lt;&gt;""),AND(KV9&gt;=LB$15,KV9&lt;&gt;""),AND(KZ9&gt;=LB$15,KZ9&lt;&gt;""),AND(LR9&gt;=LX$15,LR9&lt;&gt;""),AND(LV9&gt;=LX$15,LV9&lt;&gt;""),AND(MN9&gt;=MT$15,MN9&lt;&gt;""),AND(MR9&gt;=MT$15,MR9&lt;&gt;"")),"Worlds Team",IF(OR(AND(AL9&gt;=AR$14,AL9&lt;&gt;"",AK9=""),AND(AP9&gt;=AR$14,AP9&lt;&gt;"",AK9=""),AND(BI9&gt;=BO$14,BI9&lt;&gt;"",BH9=""),AND(BM9&gt;=BO$14,BM9&lt;&gt;"",BH9=""),AND(CF9&gt;=CL$14,CF9&lt;&gt;"",CE9=""),AND(CJ9&gt;=CL$14,CJ9&lt;&gt;"",CE9=""),AND(DF9&gt;=DL$14,DF9&lt;&gt;""),AND(DJ9&gt;=DL$14,DJ9&lt;&gt;""),AND(EB9&gt;=EH$14,EB9&lt;&gt;""),AND(EF9&gt;=EH$14,EF9&lt;&gt;""),AND(EX9&gt;=FD$14,EX9&lt;&gt;""),AND(FB9&gt;=FD$14,FB9&lt;&gt;""),AND(FT9&gt;=FZ$14,FT9&lt;&gt;""),AND(FX9&gt;=FZ$14,FX9&lt;&gt;""),AND(GP9&gt;=GV$14,GP9&lt;&gt;""),AND(GT9&gt;=GV$14,GT9&lt;&gt;""),AND(HL9&gt;=HR$14,HL9&lt;&gt;""),AND(HP9&gt;=HR$14,HP9&lt;&gt;""),AND(IH9&gt;=IN$14,IH9&lt;&gt;""),AND(IL9&gt;=IN$14,IL9&lt;&gt;""),AND(JD9&gt;=JJ$14,JD9&lt;&gt;""),AND(JH9&gt;=JJ$14,JH9&lt;&gt;""),AND(JZ9&gt;=KF$14,JZ9&lt;&gt;""),AND(KD9&gt;=KF$14,KD9&lt;&gt;""),AND(KV9&gt;=LB$14,KV9&lt;&gt;""),AND(KZ9&gt;=LB$14,KZ9&lt;&gt;""),AND(LR9&gt;=LX$14,LR9&lt;&gt;""),AND(LV9&gt;=LX$14,LV9&lt;&gt;""),AND(MN9&gt;=MT$14,MN9&lt;&gt;""),AND(MR9&gt;=MT$14,MR9&lt;&gt;"")),"National Team",""))))</f>
        <v/>
      </c>
      <c r="H9" s="125" t="str">
        <f>IF(OR(AND(AN9&gt;=AR$21,AN9&lt;&gt;"",AK9=""),AND(AQ9&gt;=AR$21,AQ9&lt;&gt;"",AK9=""),AND(BK9&gt;=BO$21,BK9&lt;&gt;"",BH9=""),AND(BN9&gt;=BO$21,BN9&lt;&gt;"",BH9=""),AND(CH9&gt;=CL$21,CH9&lt;&gt;"",CE9=""),AND(CK9&gt;=CL$21,CE9&lt;&gt;"",CE9=""),AND(DH9&gt;=DL$21,DH9&lt;&gt;""),AND(DK9&gt;=DL$21,DK9&lt;&gt;""),AND(ED9&gt;=EH$21,ED9&lt;&gt;""),AND(EG9&gt;=EH$21,EG9&lt;&gt;""),AND(EZ9&gt;=FD$21,EZ9&lt;&gt;""),AND(FC9&gt;=FD$21,FC9&lt;&gt;""),AND(FV9&gt;=FZ$21,FV9&lt;&gt;""),AND(FY9&gt;=FZ$21,FY9&lt;&gt;""),AND(GR9&gt;=GV$21,GR9&lt;&gt;""),AND(GU9&gt;=GV$21,GU9&lt;&gt;""),AND(HN9&gt;=HR$21,HN9&lt;&gt;""),AND(HQ9&gt;=HR$21,HQ9&lt;&gt;""),AND(IJ9&gt;=IN$21,IJ9&lt;&gt;""),AND(IM9&gt;=IN$21,IM9&lt;&gt;""),AND(JF9&gt;=JJ$21,JF9&lt;&gt;""),AND(JI9&gt;=JJ$21,JI9&lt;&gt;""),AND(KB9&gt;=KF$21,KB9&lt;&gt;""),AND(KE9&gt;=KF$21,KE9&lt;&gt;""),AND(KX9&gt;=LB$21,KX9&lt;&gt;""),AND(LA9&gt;=LB$21,LA9&lt;&gt;""),AND(LT9&gt;=LX$21,LT9&lt;&gt;""),AND(LW9&gt;=LX$21,LW9&lt;&gt;""),AND(MP9&gt;=MT$21,MP9&lt;&gt;""),AND(MS9&gt;=MT$21,MS9&lt;&gt;"")),"Merit",IF(OR(AND(AN9&gt;=AR$20,AN9&lt;&gt;"",AK9=""),AND(AQ9&gt;=AR$20,AQ9&lt;&gt;"",AK9=""),AND(BK9&gt;=BO$20,BK9&lt;&gt;"",BH9=""),AND(BN9&gt;=BO$20,BN9&lt;&gt;"",BH9=""),AND(CH9&gt;=CL$20,CH9&lt;&gt;"",CE9=""),AND(CK9&gt;=CL$20,CE9&lt;&gt;"",CE9=""),AND(DH9&gt;=DL$20,DH9&lt;&gt;""),AND(DK9&gt;=DL$20,DK9&lt;&gt;""),AND(ED9&gt;=EH$20,ED9&lt;&gt;""),AND(EG9&gt;=EH$20,EG9&lt;&gt;""),AND(EZ9&gt;=FD$20,EZ9&lt;&gt;""),AND(FC9&gt;=FD$20,FC9&lt;&gt;""),AND(FV9&gt;=FZ$20,FV9&lt;&gt;""),AND(FY9&gt;=FZ$20,FY9&lt;&gt;""),AND(GR9&gt;=GV$20,GR9&lt;&gt;""),AND(GU9&gt;=GV$20,GU9&lt;&gt;""),AND(HN9&gt;=HR$20,HN9&lt;&gt;""),AND(HQ9&gt;=HR$20,HQ9&lt;&gt;""),AND(IJ9&gt;=IN$20,IJ9&lt;&gt;""),AND(IM9&gt;=IN$20,IM9&lt;&gt;""),AND(JF9&gt;=JJ$20,JF9&lt;&gt;""),AND(JI9&gt;=JJ$20,JI9&lt;&gt;""),AND(KB9&gt;=KF$20,KB9&lt;&gt;""),AND(KE9&gt;=KF$20,KE9&lt;&gt;""),AND(KX9&gt;=LB$20,KX9&lt;&gt;""),AND(LA9&gt;=LB$20,LA9&lt;&gt;""),AND(LT9&gt;=LX$20,LT9&lt;&gt;""),AND(LW9&gt;=LX$20,LW9&lt;&gt;""),AND(MP9&gt;=MT$20,MP9&lt;&gt;""),AND(MS9&gt;=MT$20,MS9&lt;&gt;"")),"Excellence",IF(OR(AND(AO9&gt;=AR$19,AO9&lt;&gt;"",AK9=""),AND(BL9&gt;=BO$19,BL9&lt;&gt;"",BH9=""),AND(CI9&gt;=CL$19,CI9&lt;&gt;"",CE9=""),AND(DI9&gt;=DL$19,DI9&lt;&gt;""),AND(EE9&gt;=EH$19,EE9&lt;&gt;""),AND(FA9&gt;=FD$19,FA9&lt;&gt;""),AND(FW9&gt;=FZ$19,FW9&lt;&gt;""),AND(GS9&gt;=GV$19,GS9&lt;&gt;""),AND(HO9&gt;=HR$19,HO9&lt;&gt;""),AND(IK9&gt;=IN$19,IK9&lt;&gt;""),AND(JG9&gt;=JJ$19,JG9&lt;&gt;""),AND(KC9&gt;=KF$19,KC9&lt;&gt;""),AND(KY9&gt;=LB$19,KY9&lt;&gt;""),AND(LU9&gt;=LX$19,LU9&lt;&gt;""),AND(MQ9&gt;=MT$19,MQ9&lt;&gt;"")),"Worlds Team",IF(OR(AND(AO9&gt;=AR$18,AO9&lt;&gt;"",AK9=""),AND(BL9&gt;=BO$18,BL9&lt;&gt;"",BH9=""),AND(CI9&gt;=CL$18,CI9&lt;&gt;"",CE9=""),AND(DI9&gt;=DL$18,DI9&lt;&gt;""),AND(EE9&gt;=EH$18,EE9&lt;&gt;""),AND(FA9&gt;=FD$18,FA9&lt;&gt;""),AND(FW9&gt;=FZ$18,FW9&lt;&gt;""),AND(GS9&gt;=GV$18,GS9&lt;&gt;""),AND(HO9&gt;=HR$18,HO9&lt;&gt;""),AND(IK9&gt;=IN$18,IK9&lt;&gt;""),AND(JG9&gt;=JJ$18,JG9&lt;&gt;""),AND(KC9&gt;=KF$18,KC9&lt;&gt;""),AND(KY9&gt;=LB$18,KY9&lt;&gt;""),AND(LU9&gt;=LX$18,LU9&lt;&gt;""),AND(MQ9&gt;=MT$18,MQ9&lt;&gt;"")),"National Team",""))))</f>
        <v/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/>
      </c>
      <c r="J9" s="3" t="str">
        <f>IF(AND(OR(AND(AO9&gt;=AR$19,AO9&lt;&gt;"",AK9=""),AND(BL9&gt;=BO$19,BL9&lt;&gt;"",BH9=""),AND(CI9&gt;=CL$19,CI9&lt;&gt;"",CE9=""),AND(DI9&gt;=DL$19,DI9&lt;&gt;""),AND(EE9&gt;=EH$19,EE9&lt;&gt;""),AND(FA9&gt;=FD$19,FA9&lt;&gt;""),AND(FW9&gt;=FZ$19,FW9&lt;&gt;""),AND(GS9&gt;=GV$19,GS9&lt;&gt;""),AND(HO9&gt;=HR$19,HO9&lt;&gt;""),AND(IK9&gt;=IN$19,IK9&lt;&gt;""),AND(JG9&gt;=JJ$19,JG9&lt;&gt;""),AND(KC9&gt;=KF$19,KC9&lt;&gt;""),AND(KY9&gt;=LB$19,KY9&lt;&gt;""),AND(LU9&gt;=LX$19,LU9&lt;&gt;""),AND(MQ9&gt;=MT$19,MQ9&lt;&gt;"")),OR(G9="Worlds Team",G9="Excellence",G9="Merit")),"P","")</f>
        <v/>
      </c>
      <c r="K9" s="14">
        <f>MAX(AO9,BL9,CI9)</f>
        <v>77.55</v>
      </c>
      <c r="L9" s="14" t="str">
        <f>IF(K9=0,"",IF(K9=CI9,$BP$1,IF(K9=BL9,$AS$1,IF(K9=AO9,$V$1,""))))</f>
        <v>2019 Nationals</v>
      </c>
      <c r="M9" s="14">
        <f>IF($K9=$AO9,MAX(BJ9,CG9),IF($K9=$BL9,MAX(AM9,CG9),IF($K9=$CI9,MAX(AM9,BJ9),MAX(AM9,BJ9,CG9))))</f>
        <v>0</v>
      </c>
      <c r="N9" s="14" t="str">
        <f>IF(M9=0,"",IF(AND(M9=CG9,$L9&lt;&gt;$BP$1),$BP$1,IF(AND(M9=BJ9,$L9&lt;&gt;$AS$1),$AS$1,IF(AND(M9=AM9,$L9&lt;&gt;$V$1),$V$1,""))))</f>
        <v/>
      </c>
      <c r="O9" s="14">
        <f>IF($K9=$AO9,MAX(CH9,BK9),IF($K9=$BL9,MAX(AN9,CH9),IF($K9=$CI9,MAX(AN9,BK9),MAX(AN9,BK9,CH9))))</f>
        <v>0</v>
      </c>
      <c r="P9" s="14" t="str">
        <f>IF(O9=0,"",IF(AND(O9=CH9,$L9&lt;&gt;$BP$1),$BP$1,IF(AND(O9=BK9,$L9&lt;&gt;$AS$1),$AS$1,IF(AND(O9=AN9,$L9&lt;&gt;$V$1),$V$1,""))))</f>
        <v/>
      </c>
      <c r="Q9" s="14">
        <f>MAX(AQ9,BN9,CK9)</f>
        <v>43.02</v>
      </c>
      <c r="R9" s="14" t="str">
        <f>IF(Q9=0,"",IF(Q9=CK9,$BP$1,IF(Q9=BN9,$AS$1,IF(Q9=AQ9,$V$1,""))))</f>
        <v>2019 Nationals</v>
      </c>
      <c r="S9" s="14" t="str">
        <f>IF(MAX(CM9,CN9,CO9,CP9)&gt;0,MAX(CM9,CN9,CO9,CP9),"")</f>
        <v/>
      </c>
      <c r="T9" s="25" t="str">
        <f>IF(S9="","",IF(S9=CM9,"(Vol 1)",IF(S9=CN9,"(Vol 2)",IF(S9=CO9,"(Prelim)",IF(S9=CP9,"(Final)")))))</f>
        <v/>
      </c>
      <c r="U9" s="14" t="str">
        <f>IF(S9="","",IF(S9=CM9,IF(S9+IF(M9="",0,M9)=MO9,$LY$1,IF(S9+IF(M9="",0,M9)=LS9,$LC$1,IF(S9+IF(M9="",0,M9)=KW9,$KG$1,IF(S9+IF(M9="",0,M9)=KA9,$JK$1,IF(S9+IF(M9="",0,M9)=JE9,$IO$1,IF(S9+IF(M9="",0,M9)=II9,$HS$1,IF(S9+IF(M9="",0,M9)=HM9,$GW$1,IF(S9+IF(M9="",0,M9)=GQ9,$GA$1,IF(S9+IF(M9="",0,M9)=FU9,$FE$1,IF(S9+IF(M9="",0,M9)=EY9,$EI$1,IF(S9+IF(M9="",0,M9)=EC9,$DM$1,IF(S9+IF(M9="",0,M9)=DG9,$CQ$1)))))))))))),IF(S9=CN9,IF(S9+IF(O9="",0,O9)=MP9,$LY$1,IF(S9+IF(O9="",0,O9)=LT9,$LC$1,IF(S9+IF(O9="",0,O9)=KX9,$KG$1,IF(S9+IF(O9="",0,O9)=KB9,$JK$1,IF(S9+IF(O9="",0,O9)=JF9,$IO$1,IF(S9+IF(O9="",0,O9)=IJ9,$HS$1,IF(S9+IF(O9="",0,O9)=HN9,$GW$1,IF(S9+IF(O9="",0,O9)=GR9,$GA$1,IF(S9+IF(O9="",0,O9)=FV9,$FE$1,IF(S9+IF(O9="",0,O9)=EZ9,$EI$1,IF(S9+IF(O9="",0,O9)=ED9,$DM$1,IF(S9+IF(O9="",0,O9)=DH9,$CQ$1)))))))))))),IF(S9=CO9,IF(S9+IF(K9="",0,K9)=MQ9,$LY$1,IF(S9+IF(K9="",0,K9)=LU9,$LC$1,IF(S9+IF(K9="",0,K9)=KY9,$KG$1,IF(S9+IF(K9="",0,K9)=KC9,$JK$1,IF(S9+IF(K9="",0,K9)=JG9,$IO$1,IF(S9+IF(K9="",0,K9)=IK9,$HS$1,IF(S9+IF(K9="",0,K9)=HO9,$GW$1,IF(S9+IF(K9="",0,K9)=GS9,$GA$1,IF(S9+IF(K9="",0,K9)=FW9,$FE$1,IF(S9+IF(K9="",0,K9)=FA9,$EI$1,IF(S9+IF(K9="",0,K9)=EE9,$DM$1,IF(S9+IF(K9="",0,K9)=DI9,$CQ$1)))))))))))),IF(S9=CP9,IF(S9+IF(Q9="",0,Q9)=MS9,$LY$1,IF(S9+IF(Q9="",0,Q9)=LW9,$LC$1,IF(S9+IF(Q9="",0,Q9)=LA9,$KG$1,IF(S9+IF(Q9="",0,Q9)=KE9,$JK$1,IF(S9+IF(Q9="",0,Q9)=JI9,$IO$1,IF(S9+IF(Q9="",0,Q9)=IM9,$HS$1,IF(S9+IF(Q9="",0,Q9)=HQ9,$GW$1,IF(S9+IF(Q9="",0,Q9)=GU9,$GA$1,IF(S9+IF(Q9="",0,Q9)=FY9,$FE$1,IF(S9+IF(Q9="",0,Q9)=FC9,$EI$1,IF(S9+IF(Q9="",0,Q9)=EG9,$DM$1,IF(S9+IF(Q9="",0,Q9)=DK9,$CQ$1)))))))))))))))))</f>
        <v/>
      </c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80"/>
      <c r="AL9" s="11" t="str">
        <f>IF(AC9&gt;0,AC9,"")</f>
        <v/>
      </c>
      <c r="AM9" s="11" t="str">
        <f>IF(SUM(V9:Y9)-Z9&gt;0,SUM(V9:Y9)-Z9,"")</f>
        <v/>
      </c>
      <c r="AN9" s="11" t="str">
        <f>IF(SUM(AA9:AD9)-AE9&gt;0,SUM(AA9:AD9)-AE9,"")</f>
        <v/>
      </c>
      <c r="AO9" s="11" t="str">
        <f>IF(SUM(AM9:AN9)&gt;0,SUM(AM9:AN9),"")</f>
        <v/>
      </c>
      <c r="AP9" s="11" t="str">
        <f>IF(AH9&gt;0,AH9,"")</f>
        <v/>
      </c>
      <c r="AQ9" s="11" t="str">
        <f>IF(SUM(AF9:AI9)-AJ9&gt;0,SUM(AF9:AI9)-AJ9,"")</f>
        <v/>
      </c>
      <c r="AR9" s="11" t="str">
        <f>IF(SUM(AO9,AQ9)&gt;0,SUM(AO9,AQ9),"")</f>
        <v/>
      </c>
      <c r="AS9" s="40">
        <v>8.1999999999999993</v>
      </c>
      <c r="AT9" s="40">
        <v>9.1999999999999993</v>
      </c>
      <c r="AU9" s="40">
        <v>4.3</v>
      </c>
      <c r="AV9" s="40">
        <v>14.16</v>
      </c>
      <c r="AW9" s="40">
        <v>0</v>
      </c>
      <c r="AX9" s="40">
        <v>7.65</v>
      </c>
      <c r="AY9" s="40">
        <v>9.1999999999999993</v>
      </c>
      <c r="AZ9" s="40">
        <v>10.4</v>
      </c>
      <c r="BA9" s="40">
        <v>14.44</v>
      </c>
      <c r="BB9" s="40">
        <v>0</v>
      </c>
      <c r="BC9" s="40">
        <v>8.4</v>
      </c>
      <c r="BD9" s="40">
        <v>9.3000000000000007</v>
      </c>
      <c r="BE9" s="40">
        <v>10.6</v>
      </c>
      <c r="BF9" s="40">
        <v>14.72</v>
      </c>
      <c r="BG9" s="40">
        <v>0</v>
      </c>
      <c r="BH9" s="81"/>
      <c r="BI9" s="14">
        <f>IF(AZ9&gt;0,AZ9,"")</f>
        <v>10.4</v>
      </c>
      <c r="BJ9" s="14">
        <f>IF(SUM(AS9:AV9)-AW9&gt;0,SUM(AS9:AV9)-AW9,"")</f>
        <v>35.86</v>
      </c>
      <c r="BK9" s="14">
        <f>IF(SUM(AX9:BA9)-BB9&gt;0,SUM(AX9:BA9)-BB9,"")</f>
        <v>41.69</v>
      </c>
      <c r="BL9" s="14">
        <f>IF(SUM(BJ9:BK9)&gt;0,SUM(BJ9:BK9),"")</f>
        <v>77.55</v>
      </c>
      <c r="BM9" s="14">
        <f>IF(BE9&gt;0,BE9,"")</f>
        <v>10.6</v>
      </c>
      <c r="BN9" s="14">
        <f>IF(SUM(BC9:BF9)-BG9&gt;0,SUM(BC9:BF9)-BG9,"")</f>
        <v>43.02</v>
      </c>
      <c r="BO9" s="14">
        <f>IF(SUM(BL9,BN9)&gt;0,SUM(BL9,BN9),"")</f>
        <v>120.57</v>
      </c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80"/>
      <c r="CF9" s="11" t="str">
        <f>IF(BW9&gt;0,BW9,"")</f>
        <v/>
      </c>
      <c r="CG9" s="11" t="str">
        <f>IF(SUM(BP9:BS9)-BT9&gt;0,SUM(BP9:BS9)-BT9,"")</f>
        <v/>
      </c>
      <c r="CH9" s="11" t="str">
        <f>IF(SUM(BU9:BX9)-BY9&gt;0,SUM(BU9:BX9)-BY9,"")</f>
        <v/>
      </c>
      <c r="CI9" s="11" t="str">
        <f>IF(SUM(CG9:CH9)&gt;0,SUM(CG9:CH9),"")</f>
        <v/>
      </c>
      <c r="CJ9" s="11" t="str">
        <f>IF(CB9&gt;0,CB9,"")</f>
        <v/>
      </c>
      <c r="CK9" s="11" t="str">
        <f>IF(SUM(BZ9:CC9)-CD9&gt;0,SUM(BZ9:CC9)-CD9,"")</f>
        <v/>
      </c>
      <c r="CL9" s="11" t="str">
        <f>IF(SUM(CI9,CK9)&gt;0,SUM(CI9,CK9),"")</f>
        <v/>
      </c>
      <c r="CM9" s="24" t="str">
        <f>IF(MAX(DG9,EC9,EY9,FU9,GQ9,HM9,II9,JE9,KA9,KW9,LS9,MO9)-IF(M9="",0,M9)&gt;0.001,MAX(DG9,EC9,EY9,FU9,GQ9,HM9,II9,JE9,KA9,KW9,LS9,MO9)-IF(M9="",0,M9),"")</f>
        <v/>
      </c>
      <c r="CN9" s="24" t="str">
        <f>IF(MAX(DH9,ED9,EZ9,FV9,GR9,HN9,IJ9,JF9,KB9,KX9,LT9,MP9)-IF(O9="",0,O9)&gt;0.001,MAX(DH9,ED9,EZ9,FV9,GR9,HN9,IJ9,JF9,KB9,KX9,LT9,MP9)-IF(O9="",0,O9),"")</f>
        <v/>
      </c>
      <c r="CO9" s="24" t="str">
        <f>IF(MAX(DI9,EE9,FA9,FW9,GS9,HO9,IK9,JG9,KC9,KY9,LU9,MQ9)-IF(K9="",0,K9)&gt;0.001,MAX(DI9,EE9,FA9,FW9,GS9,HO9,IK9,JG9,KC9,KY9,LU9,MQ9)-IF(K9="",0,K9),"")</f>
        <v/>
      </c>
      <c r="CP9" s="24" t="str">
        <f>IF(MAX(DK9,EG9,FC9,FY9,GU9,HQ9,IM9,JI9,KE9,LA9,LW9,MS9)-IF(Q9="",0,Q9)&gt;0.001,MAX(DK9,EG9,FC9,FY9,GU9,HQ9,IM9,JI9,KE9,LA9,LW9,MS9)-IF(Q9="",0,Q9),"")</f>
        <v/>
      </c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11" t="str">
        <f>IF(CX9&gt;0,CX9,"")</f>
        <v/>
      </c>
      <c r="DG9" s="11" t="str">
        <f>IF(SUM(CQ9:CT9)-CU9&gt;0,SUM(CQ9:CT9)-CU9,"")</f>
        <v/>
      </c>
      <c r="DH9" s="11" t="str">
        <f>IF(SUM(CV9:CY9)-CZ9&gt;0,SUM(CV9:CY9)-CZ9,"")</f>
        <v/>
      </c>
      <c r="DI9" s="11" t="str">
        <f>IF(SUM(DG9:DH9)&gt;0,SUM(DG9:DH9),"")</f>
        <v/>
      </c>
      <c r="DJ9" s="11" t="str">
        <f>IF(DC9&gt;0,DC9,"")</f>
        <v/>
      </c>
      <c r="DK9" s="11" t="str">
        <f>IF(SUM(DA9:DD9)-DE9&gt;0,SUM(DA9:DD9)-DE9,"")</f>
        <v/>
      </c>
      <c r="DL9" s="11" t="str">
        <f>IF(SUM(DI9,DK9)&gt;0,SUM(DI9,DK9),"")</f>
        <v/>
      </c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14" t="str">
        <f>IF(DT9&gt;0,DT9,"")</f>
        <v/>
      </c>
      <c r="EC9" s="14" t="str">
        <f>IF(SUM(DM9:DP9)-DQ9&gt;0,SUM(DM9:DP9)-DQ9,"")</f>
        <v/>
      </c>
      <c r="ED9" s="14" t="str">
        <f>IF(SUM(DR9:DU9)-DV9&gt;0,SUM(DR9:DU9)-DV9,"")</f>
        <v/>
      </c>
      <c r="EE9" s="14" t="str">
        <f>IF(SUM(EC9:ED9)&gt;0,SUM(EC9:ED9),"")</f>
        <v/>
      </c>
      <c r="EF9" s="14" t="str">
        <f>IF(DY9&gt;0,DY9,"")</f>
        <v/>
      </c>
      <c r="EG9" s="14" t="str">
        <f>IF(SUM(DW9:DZ9)-EA9&gt;0,SUM(DW9:DZ9)-EA9,"")</f>
        <v/>
      </c>
      <c r="EH9" s="14" t="str">
        <f>IF(SUM(EE9,EG9)&gt;0,SUM(EE9,EG9),"")</f>
        <v/>
      </c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11" t="str">
        <f>IF(EP9&gt;0,EP9,"")</f>
        <v/>
      </c>
      <c r="EY9" s="11" t="str">
        <f>IF(SUM(EI9:EL9)-EM9&gt;0,SUM(EI9:EL9)-EM9,"")</f>
        <v/>
      </c>
      <c r="EZ9" s="11" t="str">
        <f>IF(SUM(EN9:EQ9)-ER9&gt;0,SUM(EN9:EQ9)-ER9,"")</f>
        <v/>
      </c>
      <c r="FA9" s="11" t="str">
        <f>IF(SUM(EY9:EZ9)&gt;0,SUM(EY9:EZ9),"")</f>
        <v/>
      </c>
      <c r="FB9" s="11" t="str">
        <f>IF(EU9&gt;0,EU9,"")</f>
        <v/>
      </c>
      <c r="FC9" s="11" t="str">
        <f>IF(SUM(ES9:EV9)-EW9&gt;0,SUM(ES9:EV9)-EW9,"")</f>
        <v/>
      </c>
      <c r="FD9" s="11" t="str">
        <f>IF(SUM(FA9,FC9)&gt;0,SUM(FA9,FC9),"")</f>
        <v/>
      </c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14" t="str">
        <f>IF(FL9&gt;0,FL9,"")</f>
        <v/>
      </c>
      <c r="FU9" s="14" t="str">
        <f>IF(SUM(FE9:FH9)-FI9&gt;0,SUM(FE9:FH9)-FI9,"")</f>
        <v/>
      </c>
      <c r="FV9" s="14" t="str">
        <f>IF(SUM(FJ9:FM9)-FN9&gt;0,SUM(FJ9:FM9)-FN9,"")</f>
        <v/>
      </c>
      <c r="FW9" s="14" t="str">
        <f>IF(SUM(FU9:FV9)&gt;0,SUM(FU9:FV9),"")</f>
        <v/>
      </c>
      <c r="FX9" s="14" t="str">
        <f>IF(FQ9&gt;0,FQ9,"")</f>
        <v/>
      </c>
      <c r="FY9" s="14" t="str">
        <f>IF(SUM(FO9:FR9)-FS9&gt;0,SUM(FO9:FR9)-FS9,"")</f>
        <v/>
      </c>
      <c r="FZ9" s="14" t="str">
        <f>IF(SUM(FW9,FY9)&gt;0,SUM(FW9,FY9),"")</f>
        <v/>
      </c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11" t="str">
        <f>IF(GH9&gt;0,GH9,"")</f>
        <v/>
      </c>
      <c r="GQ9" s="11" t="str">
        <f>IF(SUM(GA9:GD9)-GE9&gt;0,SUM(GA9:GD9)-GE9,"")</f>
        <v/>
      </c>
      <c r="GR9" s="11" t="str">
        <f>IF(SUM(GF9:GI9)-GJ9&gt;0,SUM(GF9:GI9)-GJ9,"")</f>
        <v/>
      </c>
      <c r="GS9" s="11" t="str">
        <f>IF(SUM(GQ9:GR9)&gt;0,SUM(GQ9:GR9),"")</f>
        <v/>
      </c>
      <c r="GT9" s="11" t="str">
        <f>IF(GM9&gt;0,GM9,"")</f>
        <v/>
      </c>
      <c r="GU9" s="11" t="str">
        <f>IF(SUM(GK9:GN9)-GO9&gt;0,SUM(GK9:GN9)-GO9,"")</f>
        <v/>
      </c>
      <c r="GV9" s="11" t="str">
        <f>IF(SUM(GS9,GU9)&gt;0,SUM(GS9,GU9),"")</f>
        <v/>
      </c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14" t="str">
        <f>IF(HD9&gt;0,HD9,"")</f>
        <v/>
      </c>
      <c r="HM9" s="14" t="str">
        <f>IF(SUM(GW9:GZ9)-HA9&gt;0,SUM(GW9:GZ9)-HA9,"")</f>
        <v/>
      </c>
      <c r="HN9" s="14" t="str">
        <f>IF(SUM(HB9:HE9)-HF9&gt;0,SUM(HB9:HE9)-HF9,"")</f>
        <v/>
      </c>
      <c r="HO9" s="14" t="str">
        <f>IF(SUM(HM9:HN9)&gt;0,SUM(HM9:HN9),"")</f>
        <v/>
      </c>
      <c r="HP9" s="14" t="str">
        <f>IF(HI9&gt;0,HI9,"")</f>
        <v/>
      </c>
      <c r="HQ9" s="14" t="str">
        <f>IF(SUM(HG9:HJ9)-HK9&gt;0,SUM(HG9:HJ9)-HK9,"")</f>
        <v/>
      </c>
      <c r="HR9" s="14" t="str">
        <f>IF(SUM(HO9,HQ9)&gt;0,SUM(HO9,HQ9),"")</f>
        <v/>
      </c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11" t="str">
        <f>IF(HZ9&gt;0,HZ9,"")</f>
        <v/>
      </c>
      <c r="II9" s="11" t="str">
        <f>IF(SUM(HS9:HV9)-HW9&gt;0,SUM(HS9:HV9)-HW9,"")</f>
        <v/>
      </c>
      <c r="IJ9" s="11" t="str">
        <f>IF(SUM(HX9:IA9)-IB9&gt;0,SUM(HX9:IA9)-IB9,"")</f>
        <v/>
      </c>
      <c r="IK9" s="11" t="str">
        <f>IF(SUM(II9:IJ9)&gt;0,SUM(II9:IJ9),"")</f>
        <v/>
      </c>
      <c r="IL9" s="11" t="str">
        <f>IF(IE9&gt;0,IE9,"")</f>
        <v/>
      </c>
      <c r="IM9" s="11" t="str">
        <f>IF(SUM(IC9:IF9)-IG9&gt;0,SUM(IC9:IF9)-IG9,"")</f>
        <v/>
      </c>
      <c r="IN9" s="11" t="str">
        <f>IF(SUM(IK9,IM9)&gt;0,SUM(IK9,IM9),"")</f>
        <v/>
      </c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14" t="str">
        <f>IF(IV9&gt;0,IV9,"")</f>
        <v/>
      </c>
      <c r="JE9" s="14" t="str">
        <f>IF(SUM(IO9:IR9)-IS9&gt;0,SUM(IO9:IR9)-IS9,"")</f>
        <v/>
      </c>
      <c r="JF9" s="14" t="str">
        <f>IF(SUM(IT9:IW9)-IX9&gt;0,SUM(IT9:IW9)-IX9,"")</f>
        <v/>
      </c>
      <c r="JG9" s="14" t="str">
        <f>IF(SUM(JE9:JF9)&gt;0,SUM(JE9:JF9),"")</f>
        <v/>
      </c>
      <c r="JH9" s="14" t="str">
        <f>IF(JA9&gt;0,JA9,"")</f>
        <v/>
      </c>
      <c r="JI9" s="14" t="str">
        <f>IF(SUM(IY9:JB9)-JC9&gt;0,SUM(IY9:JB9)-JC9,"")</f>
        <v/>
      </c>
      <c r="JJ9" s="14" t="str">
        <f>IF(SUM(JG9,JI9)&gt;0,SUM(JG9,JI9),"")</f>
        <v/>
      </c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11" t="str">
        <f>IF(JR9&gt;0,JR9,"")</f>
        <v/>
      </c>
      <c r="KA9" s="11" t="str">
        <f>IF(SUM(JK9:JN9)-JO9&gt;0,SUM(JK9:JN9)-JO9,"")</f>
        <v/>
      </c>
      <c r="KB9" s="11" t="str">
        <f>IF(SUM(JP9:JS9)-JT9&gt;0,SUM(JP9:JS9)-JT9,"")</f>
        <v/>
      </c>
      <c r="KC9" s="11" t="str">
        <f>IF(SUM(KA9:KB9)&gt;0,SUM(KA9:KB9),"")</f>
        <v/>
      </c>
      <c r="KD9" s="11" t="str">
        <f>IF(JW9&gt;0,JW9,"")</f>
        <v/>
      </c>
      <c r="KE9" s="11" t="str">
        <f>IF(SUM(JU9:JX9)-JY9&gt;0,SUM(JU9:JX9)-JY9,"")</f>
        <v/>
      </c>
      <c r="KF9" s="11" t="str">
        <f>IF(SUM(KC9,KE9)&gt;0,SUM(KC9,KE9),"")</f>
        <v/>
      </c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14" t="str">
        <f>IF(KN9&gt;0,KN9,"")</f>
        <v/>
      </c>
      <c r="KW9" s="14" t="str">
        <f>IF(SUM(KG9:KJ9)-KK9&gt;0,SUM(KG9:KJ9)-KK9,"")</f>
        <v/>
      </c>
      <c r="KX9" s="14" t="str">
        <f>IF(SUM(KL9:KO9)-KP9&gt;0,SUM(KL9:KO9)-KP9,"")</f>
        <v/>
      </c>
      <c r="KY9" s="14" t="str">
        <f>IF(SUM(KW9:KX9)&gt;0,SUM(KW9:KX9),"")</f>
        <v/>
      </c>
      <c r="KZ9" s="14" t="str">
        <f>IF(KS9&gt;0,KS9,"")</f>
        <v/>
      </c>
      <c r="LA9" s="14" t="str">
        <f>IF(SUM(KQ9:KT9)-KU9&gt;0,SUM(KQ9:KT9)-KU9,"")</f>
        <v/>
      </c>
      <c r="LB9" s="14" t="str">
        <f>IF(SUM(KY9,LA9)&gt;0,SUM(KY9,LA9),"")</f>
        <v/>
      </c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11" t="str">
        <f>IF(LJ9&gt;0,LJ9,"")</f>
        <v/>
      </c>
      <c r="LS9" s="11" t="str">
        <f>IF(SUM(LC9:LF9)-LG9&gt;0,SUM(LC9:LF9)-LG9,"")</f>
        <v/>
      </c>
      <c r="LT9" s="11" t="str">
        <f>IF(SUM(LH9:LK9)-LL9&gt;0,SUM(LH9:LK9)-LL9,"")</f>
        <v/>
      </c>
      <c r="LU9" s="11" t="str">
        <f>IF(SUM(LS9:LT9)&gt;0,SUM(LS9:LT9),"")</f>
        <v/>
      </c>
      <c r="LV9" s="11" t="str">
        <f>IF(LO9&gt;0,LO9,"")</f>
        <v/>
      </c>
      <c r="LW9" s="11" t="str">
        <f>IF(SUM(LM9:LP9)-LQ9&gt;0,SUM(LM9:LP9)-LQ9,"")</f>
        <v/>
      </c>
      <c r="LX9" s="11" t="str">
        <f>IF(SUM(LU9,LW9)&gt;0,SUM(LU9,LW9),"")</f>
        <v/>
      </c>
      <c r="LY9" s="38"/>
      <c r="LZ9" s="38"/>
      <c r="MA9" s="38"/>
      <c r="MB9" s="38"/>
      <c r="MC9" s="38"/>
      <c r="MD9" s="38"/>
      <c r="ME9" s="38"/>
      <c r="MF9" s="38"/>
      <c r="MG9" s="38"/>
      <c r="MH9" s="38"/>
      <c r="MI9" s="38"/>
      <c r="MJ9" s="38"/>
      <c r="MK9" s="38"/>
      <c r="ML9" s="38"/>
      <c r="MM9" s="38"/>
      <c r="MN9" s="14" t="str">
        <f>IF(MF9&gt;0,MF9,"")</f>
        <v/>
      </c>
      <c r="MO9" s="14" t="str">
        <f>IF(SUM(LY9:MB9)-MC9&gt;0,SUM(LY9:MB9)-MC9,"")</f>
        <v/>
      </c>
      <c r="MP9" s="14" t="str">
        <f>IF(SUM(MD9:MG9)-MH9&gt;0,SUM(MD9:MG9)-MH9,"")</f>
        <v/>
      </c>
      <c r="MQ9" s="14" t="str">
        <f>IF(SUM(MO9:MP9)&gt;0,SUM(MO9:MP9),"")</f>
        <v/>
      </c>
      <c r="MR9" s="14" t="str">
        <f>IF(MK9&gt;0,MK9,"")</f>
        <v/>
      </c>
      <c r="MS9" s="14" t="str">
        <f>IF(SUM(MI9:ML9)-MM9&gt;0,SUM(MI9:ML9)-MM9,"")</f>
        <v/>
      </c>
      <c r="MT9" s="14" t="str">
        <f>IF(SUM(MQ9,MS9)&gt;0,SUM(MQ9,MS9),"")</f>
        <v/>
      </c>
      <c r="MU9" s="69">
        <f>IF($CE9="P",BP9,(BP9+AS9)/2)</f>
        <v>4.0999999999999996</v>
      </c>
      <c r="MV9" s="69">
        <f>IF($CE9="P",BQ9,(BQ9+AT9)/2)</f>
        <v>4.5999999999999996</v>
      </c>
      <c r="MW9" s="69">
        <f>IF($CE9="P",BR9,(BR9+AU9)/2)</f>
        <v>2.15</v>
      </c>
      <c r="MX9" s="69">
        <f>IF($CE9="P",BS9,(BS9+AV9)/2)</f>
        <v>7.08</v>
      </c>
      <c r="MY9" s="69">
        <f>IF($CE9="P",BT9,(BT9+AW9)/2)</f>
        <v>0</v>
      </c>
      <c r="MZ9" s="69">
        <f>IF($CE9="P",BU9,(BU9+AX9)/2)</f>
        <v>3.8250000000000002</v>
      </c>
      <c r="NA9" s="69">
        <f>IF($CE9="P",BV9,(BV9+AY9)/2)</f>
        <v>4.5999999999999996</v>
      </c>
      <c r="NB9" s="69">
        <f>IF($CE9="P",BW9,(BW9+AZ9)/2)</f>
        <v>5.2</v>
      </c>
      <c r="NC9" s="69">
        <f>IF($CE9="P",BX9,(BX9+BA9)/2)</f>
        <v>7.22</v>
      </c>
      <c r="ND9" s="69">
        <f>IF($CE9="P",BY9,(BY9+BB9)/2)</f>
        <v>0</v>
      </c>
      <c r="NE9" s="69">
        <f>IF($CE9="P",BZ9,(BZ9+BC9)/2)</f>
        <v>4.2</v>
      </c>
      <c r="NF9" s="69">
        <f>IF($CE9="P",CA9,(CA9+BD9)/2)</f>
        <v>4.6500000000000004</v>
      </c>
      <c r="NG9" s="69">
        <f>IF($CE9="P",CB9,(CB9+BE9)/2)</f>
        <v>5.3</v>
      </c>
      <c r="NH9" s="69">
        <f>IF($CE9="P",CC9,(CC9+BF9)/2)</f>
        <v>7.36</v>
      </c>
      <c r="NI9" s="69">
        <f>IF($CE9="P",CD9,(CD9+BG9)/2)</f>
        <v>0</v>
      </c>
      <c r="NJ9" s="80" t="s">
        <v>91</v>
      </c>
      <c r="NK9" s="11">
        <f>IF(NB9&gt;0,NB9,"")</f>
        <v>5.2</v>
      </c>
      <c r="NL9" s="11">
        <f>IF(SUM(MU9:MX9)-MY9&gt;0,SUM(MU9:MX9)-MY9,"")</f>
        <v>17.93</v>
      </c>
      <c r="NM9" s="11">
        <f>IF(SUM(MZ9:NC9)-ND9&gt;0,SUM(MZ9:NC9)-ND9,"")</f>
        <v>20.844999999999999</v>
      </c>
      <c r="NN9" s="11">
        <f>IF(SUM(NL9:NM9)&gt;0,SUM(NL9:NM9),"")</f>
        <v>38.774999999999999</v>
      </c>
      <c r="NO9" s="11">
        <f>IF(NG9&gt;0,NG9,"")</f>
        <v>5.3</v>
      </c>
      <c r="NP9" s="11">
        <f>IF(SUM(NE9:NH9)-NI9&gt;0,SUM(NE9:NH9)-NI9,"")</f>
        <v>21.51</v>
      </c>
      <c r="NQ9" s="11">
        <f>IF(SUM(NN9,NP9)&gt;0,SUM(NN9,NP9),"")</f>
        <v>60.284999999999997</v>
      </c>
    </row>
    <row r="10" spans="1:381" x14ac:dyDescent="0.2">
      <c r="A10" s="5" t="str" cm="1">
        <f t="array" ref="A10">IF(AND(G10&lt;&gt;"",H10&lt;&gt;""),SUMPRODUCT((G$4:G$12&lt;&gt;"")*(H$4:H$12&lt;&gt;"")*(E$4:E$12&gt;E10))+1,IF(H10&lt;&gt;"",SUMPRODUCT((I$4:I$12="No DD")*(E$4:E$12&gt;E10))+1+SUMPRODUCT((G$4:G$12&lt;&gt;"")*(H$4:H$12&lt;&gt;"")),""))</f>
        <v/>
      </c>
      <c r="B10" s="8" t="s">
        <v>146</v>
      </c>
      <c r="C10" s="4" t="s">
        <v>5</v>
      </c>
      <c r="D10" s="27" t="s">
        <v>147</v>
      </c>
      <c r="E10" s="15">
        <f>SUM(K10:S10)</f>
        <v>91.009999999999991</v>
      </c>
      <c r="F10" s="3" t="str">
        <f>IF(G10&lt;&gt;"","P","")</f>
        <v/>
      </c>
      <c r="G10" s="125" t="str">
        <f>IF(OR(AND(AL10&gt;=AR$17,AL10&lt;&gt;"",AK10=""),AND(AP10&gt;=AR$17,AP10&lt;&gt;"",AK10=""),AND(BI10&gt;=BO$17,BI10&lt;&gt;"",BH10=""),AND(BM10&gt;=BO$17,BM10&lt;&gt;"",BH10=""),AND(CF10&gt;=CL$17,CF10&lt;&gt;"",CE10=""),AND(CJ10&gt;=CL$17,CJ10&lt;&gt;"",CE10=""),AND(DF10&gt;=DL$17,DF10&lt;&gt;""),AND(DJ10&gt;=DL$17,DJ10&lt;&gt;""),AND(EB10&gt;=EH$17,EB10&lt;&gt;""),AND(EF10&gt;=EH$17,EF10&lt;&gt;""),AND(EX10&gt;=FD$17,EX10&lt;&gt;""),AND(FB10&gt;=FD$17,FB10&lt;&gt;""),AND(FT10&gt;=FZ$17,FT10&lt;&gt;""),AND(FX10&gt;=FZ$17,FX10&lt;&gt;""),AND(GP10&gt;=GV$17,GP10&lt;&gt;""),AND(GT10&gt;=GV$17,GT10&lt;&gt;""),AND(HL10&gt;=HR$17,HL10&lt;&gt;""),AND(HP10&gt;=HR$17,HP10&lt;&gt;""),AND(IH10&gt;=IN$17,IH10&lt;&gt;""),AND(IL10&gt;=IN$17,IL10&lt;&gt;""),AND(JD10&gt;=JJ$17,JD10&lt;&gt;""),AND(JH10&gt;=JJ$17,JH10&lt;&gt;""),AND(JZ10&gt;=KF$17,JZ10&lt;&gt;""),AND(KD10&gt;=KF$17,KD10&lt;&gt;""),AND(KV10&gt;=LB$17,KV10&lt;&gt;""),AND(KZ10&gt;=LB$17,KZ10&lt;&gt;""),AND(LR10&gt;=LX$17,LR10&lt;&gt;""),AND(LV10&gt;=LX$17,LV10&lt;&gt;""),AND(MN10&gt;=MT$17,MN10&lt;&gt;""),AND(MR10&gt;=MT$17,MR10&lt;&gt;"")),"Merit",IF(OR(AND(AL10&gt;=AR$16,AL10&lt;&gt;"",AK10=""),AND(AP10&gt;=AR$16,AP10&lt;&gt;"",AK10=""),AND(BI10&gt;=BO$16,BI10&lt;&gt;"",BH10=""),AND(BM10&gt;=BO$16,BM10&lt;&gt;"",BH10=""),AND(CF10&gt;=CL$16,CF10&lt;&gt;"",CE10=""),AND(CJ10&gt;=CL$16,CJ10&lt;&gt;"",CE10=""),AND(DF10&gt;=DL$16,DF10&lt;&gt;""),AND(DJ10&gt;=DL$16,DJ10&lt;&gt;""),AND(EB10&gt;=EH$16,EB10&lt;&gt;""),AND(EF10&gt;=EH$16,EF10&lt;&gt;""),AND(EX10&gt;=FD$16,EX10&lt;&gt;""),AND(FB10&gt;=FD$16,FB10&lt;&gt;""),AND(FT10&gt;=FZ$16,FT10&lt;&gt;""),AND(FX10&gt;=FZ$16,FX10&lt;&gt;""),AND(GP10&gt;=GV$16,GP10&lt;&gt;""),AND(GT10&gt;=GV$16,GT10&lt;&gt;""),AND(HL10&gt;=HR$16,HL10&lt;&gt;""),AND(HP10&gt;=HR$16,HP10&lt;&gt;""),AND(IH10&gt;=IN$16,IH10&lt;&gt;""),AND(IL10&gt;=IN$16,IL10&lt;&gt;""),AND(JD10&gt;=JJ$16,JD10&lt;&gt;""),AND(JH10&gt;=JJ$16,JH10&lt;&gt;""),AND(JZ10&gt;=KF$16,JZ10&lt;&gt;""),AND(KD10&gt;=KF$16,KD10&lt;&gt;""),AND(KV10&gt;=LB$16,KV10&lt;&gt;""),AND(KZ10&gt;=LB$16,KZ10&lt;&gt;""),AND(LR10&gt;=LX$16,LR10&lt;&gt;""),AND(LV10&gt;=LX$16,LV10&lt;&gt;""),AND(MN10&gt;=MT$16,MN10&lt;&gt;""),AND(MR10&gt;=MT$16,MR10&lt;&gt;"")),"Excellence",IF(OR(AND(AL10&gt;=AR$15,AL10&lt;&gt;"",AK10=""),AND(AP10&gt;=AR$15,AP10&lt;&gt;"",AK10=""),AND(BI10&gt;=BO$15,BI10&lt;&gt;"",BH10=""),AND(BM10&gt;=BO$15,BM10&lt;&gt;"",BH10=""),AND(CF10&gt;=CL$15,CF10&lt;&gt;"",CE10=""),AND(CJ10&gt;=CL$15,CJ10&lt;&gt;"",CE10=""),AND(DF10&gt;=DL$15,DF10&lt;&gt;""),AND(DJ10&gt;=DL$15,DJ10&lt;&gt;""),AND(EB10&gt;=EH$15,EB10&lt;&gt;""),AND(EF10&gt;=EH$15,EF10&lt;&gt;""),AND(EX10&gt;=FD$15,EX10&lt;&gt;""),AND(FB10&gt;=FD$15,FB10&lt;&gt;""),AND(FT10&gt;=FZ$15,FT10&lt;&gt;""),AND(FX10&gt;=FZ$15,FX10&lt;&gt;""),AND(GP10&gt;=GV$15,GP10&lt;&gt;""),AND(GT10&gt;=GV$15,GT10&lt;&gt;""),AND(HL10&gt;=HR$15,HL10&lt;&gt;""),AND(HP10&gt;=HR$15,HP10&lt;&gt;""),AND(IH10&gt;=IN$15,IH10&lt;&gt;""),AND(IL10&gt;=IN$15,IL10&lt;&gt;""),AND(JD10&gt;=JJ$15,JD10&lt;&gt;""),AND(JH10&gt;=JJ$15,JH10&lt;&gt;""),AND(JZ10&gt;=KF$15,JZ10&lt;&gt;""),AND(KD10&gt;=KF$15,KD10&lt;&gt;""),AND(KV10&gt;=LB$15,KV10&lt;&gt;""),AND(KZ10&gt;=LB$15,KZ10&lt;&gt;""),AND(LR10&gt;=LX$15,LR10&lt;&gt;""),AND(LV10&gt;=LX$15,LV10&lt;&gt;""),AND(MN10&gt;=MT$15,MN10&lt;&gt;""),AND(MR10&gt;=MT$15,MR10&lt;&gt;"")),"Worlds Team",IF(OR(AND(AL10&gt;=AR$14,AL10&lt;&gt;"",AK10=""),AND(AP10&gt;=AR$14,AP10&lt;&gt;"",AK10=""),AND(BI10&gt;=BO$14,BI10&lt;&gt;"",BH10=""),AND(BM10&gt;=BO$14,BM10&lt;&gt;"",BH10=""),AND(CF10&gt;=CL$14,CF10&lt;&gt;"",CE10=""),AND(CJ10&gt;=CL$14,CJ10&lt;&gt;"",CE10=""),AND(DF10&gt;=DL$14,DF10&lt;&gt;""),AND(DJ10&gt;=DL$14,DJ10&lt;&gt;""),AND(EB10&gt;=EH$14,EB10&lt;&gt;""),AND(EF10&gt;=EH$14,EF10&lt;&gt;""),AND(EX10&gt;=FD$14,EX10&lt;&gt;""),AND(FB10&gt;=FD$14,FB10&lt;&gt;""),AND(FT10&gt;=FZ$14,FT10&lt;&gt;""),AND(FX10&gt;=FZ$14,FX10&lt;&gt;""),AND(GP10&gt;=GV$14,GP10&lt;&gt;""),AND(GT10&gt;=GV$14,GT10&lt;&gt;""),AND(HL10&gt;=HR$14,HL10&lt;&gt;""),AND(HP10&gt;=HR$14,HP10&lt;&gt;""),AND(IH10&gt;=IN$14,IH10&lt;&gt;""),AND(IL10&gt;=IN$14,IL10&lt;&gt;""),AND(JD10&gt;=JJ$14,JD10&lt;&gt;""),AND(JH10&gt;=JJ$14,JH10&lt;&gt;""),AND(JZ10&gt;=KF$14,JZ10&lt;&gt;""),AND(KD10&gt;=KF$14,KD10&lt;&gt;""),AND(KV10&gt;=LB$14,KV10&lt;&gt;""),AND(KZ10&gt;=LB$14,KZ10&lt;&gt;""),AND(LR10&gt;=LX$14,LR10&lt;&gt;""),AND(LV10&gt;=LX$14,LV10&lt;&gt;""),AND(MN10&gt;=MT$14,MN10&lt;&gt;""),AND(MR10&gt;=MT$14,MR10&lt;&gt;"")),"National Team",""))))</f>
        <v/>
      </c>
      <c r="H10" s="125" t="str">
        <f>IF(OR(AND(AN10&gt;=AR$21,AN10&lt;&gt;"",AK10=""),AND(AQ10&gt;=AR$21,AQ10&lt;&gt;"",AK10=""),AND(BK10&gt;=BO$21,BK10&lt;&gt;"",BH10=""),AND(BN10&gt;=BO$21,BN10&lt;&gt;"",BH10=""),AND(CH10&gt;=CL$21,CH10&lt;&gt;"",CE10=""),AND(CK10&gt;=CL$21,CE10&lt;&gt;"",CE10=""),AND(DH10&gt;=DL$21,DH10&lt;&gt;""),AND(DK10&gt;=DL$21,DK10&lt;&gt;""),AND(ED10&gt;=EH$21,ED10&lt;&gt;""),AND(EG10&gt;=EH$21,EG10&lt;&gt;""),AND(EZ10&gt;=FD$21,EZ10&lt;&gt;""),AND(FC10&gt;=FD$21,FC10&lt;&gt;""),AND(FV10&gt;=FZ$21,FV10&lt;&gt;""),AND(FY10&gt;=FZ$21,FY10&lt;&gt;""),AND(GR10&gt;=GV$21,GR10&lt;&gt;""),AND(GU10&gt;=GV$21,GU10&lt;&gt;""),AND(HN10&gt;=HR$21,HN10&lt;&gt;""),AND(HQ10&gt;=HR$21,HQ10&lt;&gt;""),AND(IJ10&gt;=IN$21,IJ10&lt;&gt;""),AND(IM10&gt;=IN$21,IM10&lt;&gt;""),AND(JF10&gt;=JJ$21,JF10&lt;&gt;""),AND(JI10&gt;=JJ$21,JI10&lt;&gt;""),AND(KB10&gt;=KF$21,KB10&lt;&gt;""),AND(KE10&gt;=KF$21,KE10&lt;&gt;""),AND(KX10&gt;=LB$21,KX10&lt;&gt;""),AND(LA10&gt;=LB$21,LA10&lt;&gt;""),AND(LT10&gt;=LX$21,LT10&lt;&gt;""),AND(LW10&gt;=LX$21,LW10&lt;&gt;""),AND(MP10&gt;=MT$21,MP10&lt;&gt;""),AND(MS10&gt;=MT$21,MS10&lt;&gt;"")),"Merit",IF(OR(AND(AN10&gt;=AR$20,AN10&lt;&gt;"",AK10=""),AND(AQ10&gt;=AR$20,AQ10&lt;&gt;"",AK10=""),AND(BK10&gt;=BO$20,BK10&lt;&gt;"",BH10=""),AND(BN10&gt;=BO$20,BN10&lt;&gt;"",BH10=""),AND(CH10&gt;=CL$20,CH10&lt;&gt;"",CE10=""),AND(CK10&gt;=CL$20,CE10&lt;&gt;"",CE10=""),AND(DH10&gt;=DL$20,DH10&lt;&gt;""),AND(DK10&gt;=DL$20,DK10&lt;&gt;""),AND(ED10&gt;=EH$20,ED10&lt;&gt;""),AND(EG10&gt;=EH$20,EG10&lt;&gt;""),AND(EZ10&gt;=FD$20,EZ10&lt;&gt;""),AND(FC10&gt;=FD$20,FC10&lt;&gt;""),AND(FV10&gt;=FZ$20,FV10&lt;&gt;""),AND(FY10&gt;=FZ$20,FY10&lt;&gt;""),AND(GR10&gt;=GV$20,GR10&lt;&gt;""),AND(GU10&gt;=GV$20,GU10&lt;&gt;""),AND(HN10&gt;=HR$20,HN10&lt;&gt;""),AND(HQ10&gt;=HR$20,HQ10&lt;&gt;""),AND(IJ10&gt;=IN$20,IJ10&lt;&gt;""),AND(IM10&gt;=IN$20,IM10&lt;&gt;""),AND(JF10&gt;=JJ$20,JF10&lt;&gt;""),AND(JI10&gt;=JJ$20,JI10&lt;&gt;""),AND(KB10&gt;=KF$20,KB10&lt;&gt;""),AND(KE10&gt;=KF$20,KE10&lt;&gt;""),AND(KX10&gt;=LB$20,KX10&lt;&gt;""),AND(LA10&gt;=LB$20,LA10&lt;&gt;""),AND(LT10&gt;=LX$20,LT10&lt;&gt;""),AND(LW10&gt;=LX$20,LW10&lt;&gt;""),AND(MP10&gt;=MT$20,MP10&lt;&gt;""),AND(MS10&gt;=MT$20,MS10&lt;&gt;"")),"Excellence",IF(OR(AND(AO10&gt;=AR$19,AO10&lt;&gt;"",AK10=""),AND(BL10&gt;=BO$19,BL10&lt;&gt;"",BH10=""),AND(CI10&gt;=CL$19,CI10&lt;&gt;"",CE10=""),AND(DI10&gt;=DL$19,DI10&lt;&gt;""),AND(EE10&gt;=EH$19,EE10&lt;&gt;""),AND(FA10&gt;=FD$19,FA10&lt;&gt;""),AND(FW10&gt;=FZ$19,FW10&lt;&gt;""),AND(GS10&gt;=GV$19,GS10&lt;&gt;""),AND(HO10&gt;=HR$19,HO10&lt;&gt;""),AND(IK10&gt;=IN$19,IK10&lt;&gt;""),AND(JG10&gt;=JJ$19,JG10&lt;&gt;""),AND(KC10&gt;=KF$19,KC10&lt;&gt;""),AND(KY10&gt;=LB$19,KY10&lt;&gt;""),AND(LU10&gt;=LX$19,LU10&lt;&gt;""),AND(MQ10&gt;=MT$19,MQ10&lt;&gt;"")),"Worlds Team",IF(OR(AND(AO10&gt;=AR$18,AO10&lt;&gt;"",AK10=""),AND(BL10&gt;=BO$18,BL10&lt;&gt;"",BH10=""),AND(CI10&gt;=CL$18,CI10&lt;&gt;"",CE10=""),AND(DI10&gt;=DL$18,DI10&lt;&gt;""),AND(EE10&gt;=EH$18,EE10&lt;&gt;""),AND(FA10&gt;=FD$18,FA10&lt;&gt;""),AND(FW10&gt;=FZ$18,FW10&lt;&gt;""),AND(GS10&gt;=GV$18,GS10&lt;&gt;""),AND(HO10&gt;=HR$18,HO10&lt;&gt;""),AND(IK10&gt;=IN$18,IK10&lt;&gt;""),AND(JG10&gt;=JJ$18,JG10&lt;&gt;""),AND(KC10&gt;=KF$18,KC10&lt;&gt;""),AND(KY10&gt;=LB$18,KY10&lt;&gt;""),AND(LU10&gt;=LX$18,LU10&lt;&gt;""),AND(MQ10&gt;=MT$18,MQ10&lt;&gt;"")),"National Team",""))))</f>
        <v/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/>
      </c>
      <c r="J10" s="3" t="str">
        <f>IF(AND(OR(AND(AO10&gt;=AR$19,AO10&lt;&gt;"",AK10=""),AND(BL10&gt;=BO$19,BL10&lt;&gt;"",BH10=""),AND(CI10&gt;=CL$19,CI10&lt;&gt;"",CE10=""),AND(DI10&gt;=DL$19,DI10&lt;&gt;""),AND(EE10&gt;=EH$19,EE10&lt;&gt;""),AND(FA10&gt;=FD$19,FA10&lt;&gt;""),AND(FW10&gt;=FZ$19,FW10&lt;&gt;""),AND(GS10&gt;=GV$19,GS10&lt;&gt;""),AND(HO10&gt;=HR$19,HO10&lt;&gt;""),AND(IK10&gt;=IN$19,IK10&lt;&gt;""),AND(JG10&gt;=JJ$19,JG10&lt;&gt;""),AND(KC10&gt;=KF$19,KC10&lt;&gt;""),AND(KY10&gt;=LB$19,KY10&lt;&gt;""),AND(LU10&gt;=LX$19,LU10&lt;&gt;""),AND(MQ10&gt;=MT$19,MQ10&lt;&gt;"")),OR(G10="Worlds Team",G10="Excellence",G10="Merit")),"P","")</f>
        <v/>
      </c>
      <c r="K10" s="14">
        <f>MAX(AO10,BL10,CI10)</f>
        <v>62.18</v>
      </c>
      <c r="L10" s="14" t="str">
        <f>IF(K10=0,"",IF(K10=CI10,$BP$1,IF(K10=BL10,$AS$1,IF(K10=AO10,$V$1,""))))</f>
        <v>2019 Nationals</v>
      </c>
      <c r="M10" s="14">
        <f>IF($K10=$AO10,MAX(BJ10,CG10),IF($K10=$BL10,MAX(AM10,CG10),IF($K10=$CI10,MAX(AM10,BJ10),MAX(AM10,BJ10,CG10))))</f>
        <v>0</v>
      </c>
      <c r="N10" s="14" t="str">
        <f>IF(M10=0,"",IF(AND(M10=CG10,$L10&lt;&gt;$BP$1),$BP$1,IF(AND(M10=BJ10,$L10&lt;&gt;$AS$1),$AS$1,IF(AND(M10=AM10,$L10&lt;&gt;$V$1),$V$1,""))))</f>
        <v/>
      </c>
      <c r="O10" s="14">
        <f>IF($K10=$AO10,MAX(CH10,BK10),IF($K10=$BL10,MAX(AN10,CH10),IF($K10=$CI10,MAX(AN10,BK10),MAX(AN10,BK10,CH10))))</f>
        <v>0</v>
      </c>
      <c r="P10" s="14" t="str">
        <f>IF(O10=0,"",IF(AND(O10=CH10,$L10&lt;&gt;$BP$1),$BP$1,IF(AND(O10=BK10,$L10&lt;&gt;$AS$1),$AS$1,IF(AND(O10=AN10,$L10&lt;&gt;$V$1),$V$1,""))))</f>
        <v/>
      </c>
      <c r="Q10" s="14">
        <f>MAX(AQ10,BN10,CK10)</f>
        <v>28.83</v>
      </c>
      <c r="R10" s="14" t="str">
        <f>IF(Q10=0,"",IF(Q10=CK10,$BP$1,IF(Q10=BN10,$AS$1,IF(Q10=AQ10,$V$1,""))))</f>
        <v>2019 Nationals</v>
      </c>
      <c r="S10" s="14" t="str">
        <f>IF(MAX(CM10,CN10,CO10,CP10)&gt;0,MAX(CM10,CN10,CO10,CP10),"")</f>
        <v/>
      </c>
      <c r="T10" s="25" t="str">
        <f>IF(S10="","",IF(S10=CM10,"(Vol 1)",IF(S10=CN10,"(Vol 2)",IF(S10=CO10,"(Prelim)",IF(S10=CP10,"(Final)")))))</f>
        <v/>
      </c>
      <c r="U10" s="14" t="str">
        <f>IF(S10="","",IF(S10=CM10,IF(S10+IF(M10="",0,M10)=MO10,$LY$1,IF(S10+IF(M10="",0,M10)=LS10,$LC$1,IF(S10+IF(M10="",0,M10)=KW10,$KG$1,IF(S10+IF(M10="",0,M10)=KA10,$JK$1,IF(S10+IF(M10="",0,M10)=JE10,$IO$1,IF(S10+IF(M10="",0,M10)=II10,$HS$1,IF(S10+IF(M10="",0,M10)=HM10,$GW$1,IF(S10+IF(M10="",0,M10)=GQ10,$GA$1,IF(S10+IF(M10="",0,M10)=FU10,$FE$1,IF(S10+IF(M10="",0,M10)=EY10,$EI$1,IF(S10+IF(M10="",0,M10)=EC10,$DM$1,IF(S10+IF(M10="",0,M10)=DG10,$CQ$1)))))))))))),IF(S10=CN10,IF(S10+IF(O10="",0,O10)=MP10,$LY$1,IF(S10+IF(O10="",0,O10)=LT10,$LC$1,IF(S10+IF(O10="",0,O10)=KX10,$KG$1,IF(S10+IF(O10="",0,O10)=KB10,$JK$1,IF(S10+IF(O10="",0,O10)=JF10,$IO$1,IF(S10+IF(O10="",0,O10)=IJ10,$HS$1,IF(S10+IF(O10="",0,O10)=HN10,$GW$1,IF(S10+IF(O10="",0,O10)=GR10,$GA$1,IF(S10+IF(O10="",0,O10)=FV10,$FE$1,IF(S10+IF(O10="",0,O10)=EZ10,$EI$1,IF(S10+IF(O10="",0,O10)=ED10,$DM$1,IF(S10+IF(O10="",0,O10)=DH10,$CQ$1)))))))))))),IF(S10=CO10,IF(S10+IF(K10="",0,K10)=MQ10,$LY$1,IF(S10+IF(K10="",0,K10)=LU10,$LC$1,IF(S10+IF(K10="",0,K10)=KY10,$KG$1,IF(S10+IF(K10="",0,K10)=KC10,$JK$1,IF(S10+IF(K10="",0,K10)=JG10,$IO$1,IF(S10+IF(K10="",0,K10)=IK10,$HS$1,IF(S10+IF(K10="",0,K10)=HO10,$GW$1,IF(S10+IF(K10="",0,K10)=GS10,$GA$1,IF(S10+IF(K10="",0,K10)=FW10,$FE$1,IF(S10+IF(K10="",0,K10)=FA10,$EI$1,IF(S10+IF(K10="",0,K10)=EE10,$DM$1,IF(S10+IF(K10="",0,K10)=DI10,$CQ$1)))))))))))),IF(S10=CP10,IF(S10+IF(Q10="",0,Q10)=MS10,$LY$1,IF(S10+IF(Q10="",0,Q10)=LW10,$LC$1,IF(S10+IF(Q10="",0,Q10)=LA10,$KG$1,IF(S10+IF(Q10="",0,Q10)=KE10,$JK$1,IF(S10+IF(Q10="",0,Q10)=JI10,$IO$1,IF(S10+IF(Q10="",0,Q10)=IM10,$HS$1,IF(S10+IF(Q10="",0,Q10)=HQ10,$GW$1,IF(S10+IF(Q10="",0,Q10)=GU10,$GA$1,IF(S10+IF(Q10="",0,Q10)=FY10,$FE$1,IF(S10+IF(Q10="",0,Q10)=FC10,$EI$1,IF(S10+IF(Q10="",0,Q10)=EG10,$DM$1,IF(S10+IF(Q10="",0,Q10)=DK10,$CQ$1)))))))))))))))))</f>
        <v/>
      </c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80"/>
      <c r="AL10" s="11" t="str">
        <f>IF(AC10&gt;0,AC10,"")</f>
        <v/>
      </c>
      <c r="AM10" s="11" t="str">
        <f>IF(SUM(V10:Y10)-Z10&gt;0,SUM(V10:Y10)-Z10,"")</f>
        <v/>
      </c>
      <c r="AN10" s="11" t="str">
        <f>IF(SUM(AA10:AD10)-AE10&gt;0,SUM(AA10:AD10)-AE10,"")</f>
        <v/>
      </c>
      <c r="AO10" s="11" t="str">
        <f>IF(SUM(AM10:AN10)&gt;0,SUM(AM10:AN10),"")</f>
        <v/>
      </c>
      <c r="AP10" s="11" t="str">
        <f>IF(AH10&gt;0,AH10,"")</f>
        <v/>
      </c>
      <c r="AQ10" s="11" t="str">
        <f>IF(SUM(AF10:AI10)-AJ10&gt;0,SUM(AF10:AI10)-AJ10,"")</f>
        <v/>
      </c>
      <c r="AR10" s="11" t="str">
        <f>IF(SUM(AO10,AQ10)&gt;0,SUM(AO10,AQ10),"")</f>
        <v/>
      </c>
      <c r="AS10" s="40">
        <v>8.75</v>
      </c>
      <c r="AT10" s="40">
        <v>9.1</v>
      </c>
      <c r="AU10" s="40">
        <v>4</v>
      </c>
      <c r="AV10" s="40">
        <v>17.2</v>
      </c>
      <c r="AW10" s="40">
        <v>0</v>
      </c>
      <c r="AX10" s="40">
        <v>4.2</v>
      </c>
      <c r="AY10" s="40">
        <v>4.6500000000000004</v>
      </c>
      <c r="AZ10" s="40">
        <v>5.9</v>
      </c>
      <c r="BA10" s="40">
        <v>8.3800000000000008</v>
      </c>
      <c r="BB10" s="40">
        <v>0</v>
      </c>
      <c r="BC10" s="40">
        <v>4.95</v>
      </c>
      <c r="BD10" s="40">
        <v>5.5</v>
      </c>
      <c r="BE10" s="40">
        <v>7.3</v>
      </c>
      <c r="BF10" s="40">
        <v>11.08</v>
      </c>
      <c r="BG10" s="40">
        <v>0</v>
      </c>
      <c r="BH10" s="81"/>
      <c r="BI10" s="14">
        <f>IF(AZ10&gt;0,AZ10,"")</f>
        <v>5.9</v>
      </c>
      <c r="BJ10" s="14">
        <f>IF(SUM(AS10:AV10)-AW10&gt;0,SUM(AS10:AV10)-AW10,"")</f>
        <v>39.049999999999997</v>
      </c>
      <c r="BK10" s="14">
        <f>IF(SUM(AX10:BA10)-BB10&gt;0,SUM(AX10:BA10)-BB10,"")</f>
        <v>23.130000000000003</v>
      </c>
      <c r="BL10" s="14">
        <f>IF(SUM(BJ10:BK10)&gt;0,SUM(BJ10:BK10),"")</f>
        <v>62.18</v>
      </c>
      <c r="BM10" s="14">
        <f>IF(BE10&gt;0,BE10,"")</f>
        <v>7.3</v>
      </c>
      <c r="BN10" s="14">
        <f>IF(SUM(BC10:BF10)-BG10&gt;0,SUM(BC10:BF10)-BG10,"")</f>
        <v>28.83</v>
      </c>
      <c r="BO10" s="14">
        <f>IF(SUM(BL10,BN10)&gt;0,SUM(BL10,BN10),"")</f>
        <v>91.009999999999991</v>
      </c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80"/>
      <c r="CF10" s="11" t="str">
        <f>IF(BW10&gt;0,BW10,"")</f>
        <v/>
      </c>
      <c r="CG10" s="11" t="str">
        <f>IF(SUM(BP10:BS10)-BT10&gt;0,SUM(BP10:BS10)-BT10,"")</f>
        <v/>
      </c>
      <c r="CH10" s="11" t="str">
        <f>IF(SUM(BU10:BX10)-BY10&gt;0,SUM(BU10:BX10)-BY10,"")</f>
        <v/>
      </c>
      <c r="CI10" s="11" t="str">
        <f>IF(SUM(CG10:CH10)&gt;0,SUM(CG10:CH10),"")</f>
        <v/>
      </c>
      <c r="CJ10" s="11" t="str">
        <f>IF(CB10&gt;0,CB10,"")</f>
        <v/>
      </c>
      <c r="CK10" s="11" t="str">
        <f>IF(SUM(BZ10:CC10)-CD10&gt;0,SUM(BZ10:CC10)-CD10,"")</f>
        <v/>
      </c>
      <c r="CL10" s="11" t="str">
        <f>IF(SUM(CI10,CK10)&gt;0,SUM(CI10,CK10),"")</f>
        <v/>
      </c>
      <c r="CM10" s="24" t="str">
        <f>IF(MAX(DG10,EC10,EY10,FU10,GQ10,HM10,II10,JE10,KA10,KW10,LS10,MO10)-IF(M10="",0,M10)&gt;0.001,MAX(DG10,EC10,EY10,FU10,GQ10,HM10,II10,JE10,KA10,KW10,LS10,MO10)-IF(M10="",0,M10),"")</f>
        <v/>
      </c>
      <c r="CN10" s="24" t="str">
        <f>IF(MAX(DH10,ED10,EZ10,FV10,GR10,HN10,IJ10,JF10,KB10,KX10,LT10,MP10)-IF(O10="",0,O10)&gt;0.001,MAX(DH10,ED10,EZ10,FV10,GR10,HN10,IJ10,JF10,KB10,KX10,LT10,MP10)-IF(O10="",0,O10),"")</f>
        <v/>
      </c>
      <c r="CO10" s="24" t="str">
        <f>IF(MAX(DI10,EE10,FA10,FW10,GS10,HO10,IK10,JG10,KC10,KY10,LU10,MQ10)-IF(K10="",0,K10)&gt;0.001,MAX(DI10,EE10,FA10,FW10,GS10,HO10,IK10,JG10,KC10,KY10,LU10,MQ10)-IF(K10="",0,K10),"")</f>
        <v/>
      </c>
      <c r="CP10" s="24" t="str">
        <f>IF(MAX(DK10,EG10,FC10,FY10,GU10,HQ10,IM10,JI10,KE10,LA10,LW10,MS10)-IF(Q10="",0,Q10)&gt;0.001,MAX(DK10,EG10,FC10,FY10,GU10,HQ10,IM10,JI10,KE10,LA10,LW10,MS10)-IF(Q10="",0,Q10),"")</f>
        <v/>
      </c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11" t="str">
        <f>IF(CX10&gt;0,CX10,"")</f>
        <v/>
      </c>
      <c r="DG10" s="11" t="str">
        <f>IF(SUM(CQ10:CT10)-CU10&gt;0,SUM(CQ10:CT10)-CU10,"")</f>
        <v/>
      </c>
      <c r="DH10" s="11" t="str">
        <f>IF(SUM(CV10:CY10)-CZ10&gt;0,SUM(CV10:CY10)-CZ10,"")</f>
        <v/>
      </c>
      <c r="DI10" s="11" t="str">
        <f>IF(SUM(DG10:DH10)&gt;0,SUM(DG10:DH10),"")</f>
        <v/>
      </c>
      <c r="DJ10" s="11" t="str">
        <f>IF(DC10&gt;0,DC10,"")</f>
        <v/>
      </c>
      <c r="DK10" s="11" t="str">
        <f>IF(SUM(DA10:DD10)-DE10&gt;0,SUM(DA10:DD10)-DE10,"")</f>
        <v/>
      </c>
      <c r="DL10" s="11" t="str">
        <f>IF(SUM(DI10,DK10)&gt;0,SUM(DI10,DK10),"")</f>
        <v/>
      </c>
      <c r="DM10" s="38"/>
      <c r="DN10" s="38"/>
      <c r="DO10" s="38"/>
      <c r="DP10" s="38"/>
      <c r="DQ10" s="38"/>
      <c r="DR10" s="38"/>
      <c r="DS10" s="38"/>
      <c r="DT10" s="38"/>
      <c r="DU10" s="38"/>
      <c r="DV10" s="38"/>
      <c r="DW10" s="38"/>
      <c r="DX10" s="38"/>
      <c r="DY10" s="38"/>
      <c r="DZ10" s="38"/>
      <c r="EA10" s="38"/>
      <c r="EB10" s="14" t="str">
        <f>IF(DT10&gt;0,DT10,"")</f>
        <v/>
      </c>
      <c r="EC10" s="14" t="str">
        <f>IF(SUM(DM10:DP10)-DQ10&gt;0,SUM(DM10:DP10)-DQ10,"")</f>
        <v/>
      </c>
      <c r="ED10" s="14" t="str">
        <f>IF(SUM(DR10:DU10)-DV10&gt;0,SUM(DR10:DU10)-DV10,"")</f>
        <v/>
      </c>
      <c r="EE10" s="14" t="str">
        <f>IF(SUM(EC10:ED10)&gt;0,SUM(EC10:ED10),"")</f>
        <v/>
      </c>
      <c r="EF10" s="14" t="str">
        <f>IF(DY10&gt;0,DY10,"")</f>
        <v/>
      </c>
      <c r="EG10" s="14" t="str">
        <f>IF(SUM(DW10:DZ10)-EA10&gt;0,SUM(DW10:DZ10)-EA10,"")</f>
        <v/>
      </c>
      <c r="EH10" s="14" t="str">
        <f>IF(SUM(EE10,EG10)&gt;0,SUM(EE10,EG10),"")</f>
        <v/>
      </c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11" t="str">
        <f>IF(EP10&gt;0,EP10,"")</f>
        <v/>
      </c>
      <c r="EY10" s="11" t="str">
        <f>IF(SUM(EI10:EL10)-EM10&gt;0,SUM(EI10:EL10)-EM10,"")</f>
        <v/>
      </c>
      <c r="EZ10" s="11" t="str">
        <f>IF(SUM(EN10:EQ10)-ER10&gt;0,SUM(EN10:EQ10)-ER10,"")</f>
        <v/>
      </c>
      <c r="FA10" s="11" t="str">
        <f>IF(SUM(EY10:EZ10)&gt;0,SUM(EY10:EZ10),"")</f>
        <v/>
      </c>
      <c r="FB10" s="11" t="str">
        <f>IF(EU10&gt;0,EU10,"")</f>
        <v/>
      </c>
      <c r="FC10" s="11" t="str">
        <f>IF(SUM(ES10:EV10)-EW10&gt;0,SUM(ES10:EV10)-EW10,"")</f>
        <v/>
      </c>
      <c r="FD10" s="11" t="str">
        <f>IF(SUM(FA10,FC10)&gt;0,SUM(FA10,FC10),"")</f>
        <v/>
      </c>
      <c r="FE10" s="38"/>
      <c r="FF10" s="38"/>
      <c r="FG10" s="38"/>
      <c r="FH10" s="38"/>
      <c r="FI10" s="38"/>
      <c r="FJ10" s="38"/>
      <c r="FK10" s="38"/>
      <c r="FL10" s="38"/>
      <c r="FM10" s="38"/>
      <c r="FN10" s="38"/>
      <c r="FO10" s="38"/>
      <c r="FP10" s="38"/>
      <c r="FQ10" s="38"/>
      <c r="FR10" s="38"/>
      <c r="FS10" s="38"/>
      <c r="FT10" s="14" t="str">
        <f>IF(FL10&gt;0,FL10,"")</f>
        <v/>
      </c>
      <c r="FU10" s="14" t="str">
        <f>IF(SUM(FE10:FH10)-FI10&gt;0,SUM(FE10:FH10)-FI10,"")</f>
        <v/>
      </c>
      <c r="FV10" s="14" t="str">
        <f>IF(SUM(FJ10:FM10)-FN10&gt;0,SUM(FJ10:FM10)-FN10,"")</f>
        <v/>
      </c>
      <c r="FW10" s="14" t="str">
        <f>IF(SUM(FU10:FV10)&gt;0,SUM(FU10:FV10),"")</f>
        <v/>
      </c>
      <c r="FX10" s="14" t="str">
        <f>IF(FQ10&gt;0,FQ10,"")</f>
        <v/>
      </c>
      <c r="FY10" s="14" t="str">
        <f>IF(SUM(FO10:FR10)-FS10&gt;0,SUM(FO10:FR10)-FS10,"")</f>
        <v/>
      </c>
      <c r="FZ10" s="14" t="str">
        <f>IF(SUM(FW10,FY10)&gt;0,SUM(FW10,FY10),"")</f>
        <v/>
      </c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11" t="str">
        <f>IF(GH10&gt;0,GH10,"")</f>
        <v/>
      </c>
      <c r="GQ10" s="11" t="str">
        <f>IF(SUM(GA10:GD10)-GE10&gt;0,SUM(GA10:GD10)-GE10,"")</f>
        <v/>
      </c>
      <c r="GR10" s="11" t="str">
        <f>IF(SUM(GF10:GI10)-GJ10&gt;0,SUM(GF10:GI10)-GJ10,"")</f>
        <v/>
      </c>
      <c r="GS10" s="11" t="str">
        <f>IF(SUM(GQ10:GR10)&gt;0,SUM(GQ10:GR10),"")</f>
        <v/>
      </c>
      <c r="GT10" s="11" t="str">
        <f>IF(GM10&gt;0,GM10,"")</f>
        <v/>
      </c>
      <c r="GU10" s="11" t="str">
        <f>IF(SUM(GK10:GN10)-GO10&gt;0,SUM(GK10:GN10)-GO10,"")</f>
        <v/>
      </c>
      <c r="GV10" s="11" t="str">
        <f>IF(SUM(GS10,GU10)&gt;0,SUM(GS10,GU10),"")</f>
        <v/>
      </c>
      <c r="GW10" s="38"/>
      <c r="GX10" s="38"/>
      <c r="GY10" s="38"/>
      <c r="GZ10" s="38"/>
      <c r="HA10" s="38"/>
      <c r="HB10" s="38"/>
      <c r="HC10" s="38"/>
      <c r="HD10" s="38"/>
      <c r="HE10" s="38"/>
      <c r="HF10" s="38"/>
      <c r="HG10" s="38"/>
      <c r="HH10" s="38"/>
      <c r="HI10" s="38"/>
      <c r="HJ10" s="38"/>
      <c r="HK10" s="38"/>
      <c r="HL10" s="14" t="str">
        <f>IF(HD10&gt;0,HD10,"")</f>
        <v/>
      </c>
      <c r="HM10" s="14" t="str">
        <f>IF(SUM(GW10:GZ10)-HA10&gt;0,SUM(GW10:GZ10)-HA10,"")</f>
        <v/>
      </c>
      <c r="HN10" s="14" t="str">
        <f>IF(SUM(HB10:HE10)-HF10&gt;0,SUM(HB10:HE10)-HF10,"")</f>
        <v/>
      </c>
      <c r="HO10" s="14" t="str">
        <f>IF(SUM(HM10:HN10)&gt;0,SUM(HM10:HN10),"")</f>
        <v/>
      </c>
      <c r="HP10" s="14" t="str">
        <f>IF(HI10&gt;0,HI10,"")</f>
        <v/>
      </c>
      <c r="HQ10" s="14" t="str">
        <f>IF(SUM(HG10:HJ10)-HK10&gt;0,SUM(HG10:HJ10)-HK10,"")</f>
        <v/>
      </c>
      <c r="HR10" s="14" t="str">
        <f>IF(SUM(HO10,HQ10)&gt;0,SUM(HO10,HQ10),"")</f>
        <v/>
      </c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11" t="str">
        <f>IF(HZ10&gt;0,HZ10,"")</f>
        <v/>
      </c>
      <c r="II10" s="11" t="str">
        <f>IF(SUM(HS10:HV10)-HW10&gt;0,SUM(HS10:HV10)-HW10,"")</f>
        <v/>
      </c>
      <c r="IJ10" s="11" t="str">
        <f>IF(SUM(HX10:IA10)-IB10&gt;0,SUM(HX10:IA10)-IB10,"")</f>
        <v/>
      </c>
      <c r="IK10" s="11" t="str">
        <f>IF(SUM(II10:IJ10)&gt;0,SUM(II10:IJ10),"")</f>
        <v/>
      </c>
      <c r="IL10" s="11" t="str">
        <f>IF(IE10&gt;0,IE10,"")</f>
        <v/>
      </c>
      <c r="IM10" s="11" t="str">
        <f>IF(SUM(IC10:IF10)-IG10&gt;0,SUM(IC10:IF10)-IG10,"")</f>
        <v/>
      </c>
      <c r="IN10" s="11" t="str">
        <f>IF(SUM(IK10,IM10)&gt;0,SUM(IK10,IM10),"")</f>
        <v/>
      </c>
      <c r="IO10" s="38"/>
      <c r="IP10" s="38"/>
      <c r="IQ10" s="38"/>
      <c r="IR10" s="38"/>
      <c r="IS10" s="38"/>
      <c r="IT10" s="38"/>
      <c r="IU10" s="38"/>
      <c r="IV10" s="38"/>
      <c r="IW10" s="38"/>
      <c r="IX10" s="38"/>
      <c r="IY10" s="38"/>
      <c r="IZ10" s="38"/>
      <c r="JA10" s="38"/>
      <c r="JB10" s="38"/>
      <c r="JC10" s="38"/>
      <c r="JD10" s="14" t="str">
        <f>IF(IV10&gt;0,IV10,"")</f>
        <v/>
      </c>
      <c r="JE10" s="14" t="str">
        <f>IF(SUM(IO10:IR10)-IS10&gt;0,SUM(IO10:IR10)-IS10,"")</f>
        <v/>
      </c>
      <c r="JF10" s="14" t="str">
        <f>IF(SUM(IT10:IW10)-IX10&gt;0,SUM(IT10:IW10)-IX10,"")</f>
        <v/>
      </c>
      <c r="JG10" s="14" t="str">
        <f>IF(SUM(JE10:JF10)&gt;0,SUM(JE10:JF10),"")</f>
        <v/>
      </c>
      <c r="JH10" s="14" t="str">
        <f>IF(JA10&gt;0,JA10,"")</f>
        <v/>
      </c>
      <c r="JI10" s="14" t="str">
        <f>IF(SUM(IY10:JB10)-JC10&gt;0,SUM(IY10:JB10)-JC10,"")</f>
        <v/>
      </c>
      <c r="JJ10" s="14" t="str">
        <f>IF(SUM(JG10,JI10)&gt;0,SUM(JG10,JI10),"")</f>
        <v/>
      </c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11" t="str">
        <f>IF(JR10&gt;0,JR10,"")</f>
        <v/>
      </c>
      <c r="KA10" s="11" t="str">
        <f>IF(SUM(JK10:JN10)-JO10&gt;0,SUM(JK10:JN10)-JO10,"")</f>
        <v/>
      </c>
      <c r="KB10" s="11" t="str">
        <f>IF(SUM(JP10:JS10)-JT10&gt;0,SUM(JP10:JS10)-JT10,"")</f>
        <v/>
      </c>
      <c r="KC10" s="11" t="str">
        <f>IF(SUM(KA10:KB10)&gt;0,SUM(KA10:KB10),"")</f>
        <v/>
      </c>
      <c r="KD10" s="11" t="str">
        <f>IF(JW10&gt;0,JW10,"")</f>
        <v/>
      </c>
      <c r="KE10" s="11" t="str">
        <f>IF(SUM(JU10:JX10)-JY10&gt;0,SUM(JU10:JX10)-JY10,"")</f>
        <v/>
      </c>
      <c r="KF10" s="11" t="str">
        <f>IF(SUM(KC10,KE10)&gt;0,SUM(KC10,KE10),"")</f>
        <v/>
      </c>
      <c r="KG10" s="38"/>
      <c r="KH10" s="38"/>
      <c r="KI10" s="38"/>
      <c r="KJ10" s="38"/>
      <c r="KK10" s="38"/>
      <c r="KL10" s="38"/>
      <c r="KM10" s="38"/>
      <c r="KN10" s="38"/>
      <c r="KO10" s="38"/>
      <c r="KP10" s="38"/>
      <c r="KQ10" s="38"/>
      <c r="KR10" s="38"/>
      <c r="KS10" s="38"/>
      <c r="KT10" s="38"/>
      <c r="KU10" s="38"/>
      <c r="KV10" s="14" t="str">
        <f>IF(KN10&gt;0,KN10,"")</f>
        <v/>
      </c>
      <c r="KW10" s="14" t="str">
        <f>IF(SUM(KG10:KJ10)-KK10&gt;0,SUM(KG10:KJ10)-KK10,"")</f>
        <v/>
      </c>
      <c r="KX10" s="14" t="str">
        <f>IF(SUM(KL10:KO10)-KP10&gt;0,SUM(KL10:KO10)-KP10,"")</f>
        <v/>
      </c>
      <c r="KY10" s="14" t="str">
        <f>IF(SUM(KW10:KX10)&gt;0,SUM(KW10:KX10),"")</f>
        <v/>
      </c>
      <c r="KZ10" s="14" t="str">
        <f>IF(KS10&gt;0,KS10,"")</f>
        <v/>
      </c>
      <c r="LA10" s="14" t="str">
        <f>IF(SUM(KQ10:KT10)-KU10&gt;0,SUM(KQ10:KT10)-KU10,"")</f>
        <v/>
      </c>
      <c r="LB10" s="14" t="str">
        <f>IF(SUM(KY10,LA10)&gt;0,SUM(KY10,LA10),"")</f>
        <v/>
      </c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11" t="str">
        <f>IF(LJ10&gt;0,LJ10,"")</f>
        <v/>
      </c>
      <c r="LS10" s="11" t="str">
        <f>IF(SUM(LC10:LF10)-LG10&gt;0,SUM(LC10:LF10)-LG10,"")</f>
        <v/>
      </c>
      <c r="LT10" s="11" t="str">
        <f>IF(SUM(LH10:LK10)-LL10&gt;0,SUM(LH10:LK10)-LL10,"")</f>
        <v/>
      </c>
      <c r="LU10" s="11" t="str">
        <f>IF(SUM(LS10:LT10)&gt;0,SUM(LS10:LT10),"")</f>
        <v/>
      </c>
      <c r="LV10" s="11" t="str">
        <f>IF(LO10&gt;0,LO10,"")</f>
        <v/>
      </c>
      <c r="LW10" s="11" t="str">
        <f>IF(SUM(LM10:LP10)-LQ10&gt;0,SUM(LM10:LP10)-LQ10,"")</f>
        <v/>
      </c>
      <c r="LX10" s="11" t="str">
        <f>IF(SUM(LU10,LW10)&gt;0,SUM(LU10,LW10),"")</f>
        <v/>
      </c>
      <c r="LY10" s="38"/>
      <c r="LZ10" s="38"/>
      <c r="MA10" s="38"/>
      <c r="MB10" s="38"/>
      <c r="MC10" s="38"/>
      <c r="MD10" s="38"/>
      <c r="ME10" s="38"/>
      <c r="MF10" s="38"/>
      <c r="MG10" s="38"/>
      <c r="MH10" s="38"/>
      <c r="MI10" s="38"/>
      <c r="MJ10" s="38"/>
      <c r="MK10" s="38"/>
      <c r="ML10" s="38"/>
      <c r="MM10" s="38"/>
      <c r="MN10" s="14" t="str">
        <f>IF(MF10&gt;0,MF10,"")</f>
        <v/>
      </c>
      <c r="MO10" s="14" t="str">
        <f>IF(SUM(LY10:MB10)-MC10&gt;0,SUM(LY10:MB10)-MC10,"")</f>
        <v/>
      </c>
      <c r="MP10" s="14" t="str">
        <f>IF(SUM(MD10:MG10)-MH10&gt;0,SUM(MD10:MG10)-MH10,"")</f>
        <v/>
      </c>
      <c r="MQ10" s="14" t="str">
        <f>IF(SUM(MO10:MP10)&gt;0,SUM(MO10:MP10),"")</f>
        <v/>
      </c>
      <c r="MR10" s="14" t="str">
        <f>IF(MK10&gt;0,MK10,"")</f>
        <v/>
      </c>
      <c r="MS10" s="14" t="str">
        <f>IF(SUM(MI10:ML10)-MM10&gt;0,SUM(MI10:ML10)-MM10,"")</f>
        <v/>
      </c>
      <c r="MT10" s="14" t="str">
        <f>IF(SUM(MQ10,MS10)&gt;0,SUM(MQ10,MS10),"")</f>
        <v/>
      </c>
      <c r="MU10" s="69">
        <f>IF($CE10="P",BP10,(BP10+AS10)/2)</f>
        <v>4.375</v>
      </c>
      <c r="MV10" s="69">
        <f>IF($CE10="P",BQ10,(BQ10+AT10)/2)</f>
        <v>4.55</v>
      </c>
      <c r="MW10" s="69">
        <f>IF($CE10="P",BR10,(BR10+AU10)/2)</f>
        <v>2</v>
      </c>
      <c r="MX10" s="69">
        <f>IF($CE10="P",BS10,(BS10+AV10)/2)</f>
        <v>8.6</v>
      </c>
      <c r="MY10" s="69">
        <f>IF($CE10="P",BT10,(BT10+AW10)/2)</f>
        <v>0</v>
      </c>
      <c r="MZ10" s="69">
        <f>IF($CE10="P",BU10,(BU10+AX10)/2)</f>
        <v>2.1</v>
      </c>
      <c r="NA10" s="69">
        <f>IF($CE10="P",BV10,(BV10+AY10)/2)</f>
        <v>2.3250000000000002</v>
      </c>
      <c r="NB10" s="69">
        <f>IF($CE10="P",BW10,(BW10+AZ10)/2)</f>
        <v>2.95</v>
      </c>
      <c r="NC10" s="69">
        <f>IF($CE10="P",BX10,(BX10+BA10)/2)</f>
        <v>4.1900000000000004</v>
      </c>
      <c r="ND10" s="69">
        <f>IF($CE10="P",BY10,(BY10+BB10)/2)</f>
        <v>0</v>
      </c>
      <c r="NE10" s="69">
        <f>IF($CE10="P",BZ10,(BZ10+BC10)/2)</f>
        <v>2.4750000000000001</v>
      </c>
      <c r="NF10" s="69">
        <f>IF($CE10="P",CA10,(CA10+BD10)/2)</f>
        <v>2.75</v>
      </c>
      <c r="NG10" s="69">
        <f>IF($CE10="P",CB10,(CB10+BE10)/2)</f>
        <v>3.65</v>
      </c>
      <c r="NH10" s="69">
        <f>IF($CE10="P",CC10,(CC10+BF10)/2)</f>
        <v>5.54</v>
      </c>
      <c r="NI10" s="69">
        <f>IF($CE10="P",CD10,(CD10+BG10)/2)</f>
        <v>0</v>
      </c>
      <c r="NJ10" s="80" t="s">
        <v>91</v>
      </c>
      <c r="NK10" s="11">
        <f>IF(NB10&gt;0,NB10,"")</f>
        <v>2.95</v>
      </c>
      <c r="NL10" s="11">
        <f>IF(SUM(MU10:MX10)-MY10&gt;0,SUM(MU10:MX10)-MY10,"")</f>
        <v>19.524999999999999</v>
      </c>
      <c r="NM10" s="11">
        <f>IF(SUM(MZ10:NC10)-ND10&gt;0,SUM(MZ10:NC10)-ND10,"")</f>
        <v>11.565000000000001</v>
      </c>
      <c r="NN10" s="11">
        <f>IF(SUM(NL10:NM10)&gt;0,SUM(NL10:NM10),"")</f>
        <v>31.09</v>
      </c>
      <c r="NO10" s="11">
        <f>IF(NG10&gt;0,NG10,"")</f>
        <v>3.65</v>
      </c>
      <c r="NP10" s="11">
        <f>IF(SUM(NE10:NH10)-NI10&gt;0,SUM(NE10:NH10)-NI10,"")</f>
        <v>14.414999999999999</v>
      </c>
      <c r="NQ10" s="11">
        <f>IF(SUM(NN10,NP10)&gt;0,SUM(NN10,NP10),"")</f>
        <v>45.504999999999995</v>
      </c>
    </row>
    <row r="11" spans="1:381" x14ac:dyDescent="0.2">
      <c r="A11" s="5" t="str" cm="1">
        <f t="array" ref="A11">IF(AND(G11&lt;&gt;"",H11&lt;&gt;""),SUMPRODUCT((G$4:G$12&lt;&gt;"")*(H$4:H$12&lt;&gt;"")*(E$4:E$12&gt;E11))+1,IF(H11&lt;&gt;"",SUMPRODUCT((I$4:I$12="No DD")*(E$4:E$12&gt;E11))+1+SUMPRODUCT((G$4:G$12&lt;&gt;"")*(H$4:H$12&lt;&gt;"")),""))</f>
        <v/>
      </c>
      <c r="B11" s="6" t="s">
        <v>145</v>
      </c>
      <c r="C11" s="7" t="s">
        <v>10</v>
      </c>
      <c r="D11" s="5" t="s">
        <v>94</v>
      </c>
      <c r="E11" s="15">
        <f>SUM(K11:S11)</f>
        <v>79.649999999999991</v>
      </c>
      <c r="F11" s="3" t="str">
        <f>IF(G11&lt;&gt;"","P","")</f>
        <v/>
      </c>
      <c r="G11" s="125" t="str">
        <f>IF(OR(AND(AL11&gt;=AR$17,AL11&lt;&gt;"",AK11=""),AND(AP11&gt;=AR$17,AP11&lt;&gt;"",AK11=""),AND(BI11&gt;=BO$17,BI11&lt;&gt;"",BH11=""),AND(BM11&gt;=BO$17,BM11&lt;&gt;"",BH11=""),AND(CF11&gt;=CL$17,CF11&lt;&gt;"",CE11=""),AND(CJ11&gt;=CL$17,CJ11&lt;&gt;"",CE11=""),AND(DF11&gt;=DL$17,DF11&lt;&gt;""),AND(DJ11&gt;=DL$17,DJ11&lt;&gt;""),AND(EB11&gt;=EH$17,EB11&lt;&gt;""),AND(EF11&gt;=EH$17,EF11&lt;&gt;""),AND(EX11&gt;=FD$17,EX11&lt;&gt;""),AND(FB11&gt;=FD$17,FB11&lt;&gt;""),AND(FT11&gt;=FZ$17,FT11&lt;&gt;""),AND(FX11&gt;=FZ$17,FX11&lt;&gt;""),AND(GP11&gt;=GV$17,GP11&lt;&gt;""),AND(GT11&gt;=GV$17,GT11&lt;&gt;""),AND(HL11&gt;=HR$17,HL11&lt;&gt;""),AND(HP11&gt;=HR$17,HP11&lt;&gt;""),AND(IH11&gt;=IN$17,IH11&lt;&gt;""),AND(IL11&gt;=IN$17,IL11&lt;&gt;""),AND(JD11&gt;=JJ$17,JD11&lt;&gt;""),AND(JH11&gt;=JJ$17,JH11&lt;&gt;""),AND(JZ11&gt;=KF$17,JZ11&lt;&gt;""),AND(KD11&gt;=KF$17,KD11&lt;&gt;""),AND(KV11&gt;=LB$17,KV11&lt;&gt;""),AND(KZ11&gt;=LB$17,KZ11&lt;&gt;""),AND(LR11&gt;=LX$17,LR11&lt;&gt;""),AND(LV11&gt;=LX$17,LV11&lt;&gt;""),AND(MN11&gt;=MT$17,MN11&lt;&gt;""),AND(MR11&gt;=MT$17,MR11&lt;&gt;"")),"Merit",IF(OR(AND(AL11&gt;=AR$16,AL11&lt;&gt;"",AK11=""),AND(AP11&gt;=AR$16,AP11&lt;&gt;"",AK11=""),AND(BI11&gt;=BO$16,BI11&lt;&gt;"",BH11=""),AND(BM11&gt;=BO$16,BM11&lt;&gt;"",BH11=""),AND(CF11&gt;=CL$16,CF11&lt;&gt;"",CE11=""),AND(CJ11&gt;=CL$16,CJ11&lt;&gt;"",CE11=""),AND(DF11&gt;=DL$16,DF11&lt;&gt;""),AND(DJ11&gt;=DL$16,DJ11&lt;&gt;""),AND(EB11&gt;=EH$16,EB11&lt;&gt;""),AND(EF11&gt;=EH$16,EF11&lt;&gt;""),AND(EX11&gt;=FD$16,EX11&lt;&gt;""),AND(FB11&gt;=FD$16,FB11&lt;&gt;""),AND(FT11&gt;=FZ$16,FT11&lt;&gt;""),AND(FX11&gt;=FZ$16,FX11&lt;&gt;""),AND(GP11&gt;=GV$16,GP11&lt;&gt;""),AND(GT11&gt;=GV$16,GT11&lt;&gt;""),AND(HL11&gt;=HR$16,HL11&lt;&gt;""),AND(HP11&gt;=HR$16,HP11&lt;&gt;""),AND(IH11&gt;=IN$16,IH11&lt;&gt;""),AND(IL11&gt;=IN$16,IL11&lt;&gt;""),AND(JD11&gt;=JJ$16,JD11&lt;&gt;""),AND(JH11&gt;=JJ$16,JH11&lt;&gt;""),AND(JZ11&gt;=KF$16,JZ11&lt;&gt;""),AND(KD11&gt;=KF$16,KD11&lt;&gt;""),AND(KV11&gt;=LB$16,KV11&lt;&gt;""),AND(KZ11&gt;=LB$16,KZ11&lt;&gt;""),AND(LR11&gt;=LX$16,LR11&lt;&gt;""),AND(LV11&gt;=LX$16,LV11&lt;&gt;""),AND(MN11&gt;=MT$16,MN11&lt;&gt;""),AND(MR11&gt;=MT$16,MR11&lt;&gt;"")),"Excellence",IF(OR(AND(AL11&gt;=AR$15,AL11&lt;&gt;"",AK11=""),AND(AP11&gt;=AR$15,AP11&lt;&gt;"",AK11=""),AND(BI11&gt;=BO$15,BI11&lt;&gt;"",BH11=""),AND(BM11&gt;=BO$15,BM11&lt;&gt;"",BH11=""),AND(CF11&gt;=CL$15,CF11&lt;&gt;"",CE11=""),AND(CJ11&gt;=CL$15,CJ11&lt;&gt;"",CE11=""),AND(DF11&gt;=DL$15,DF11&lt;&gt;""),AND(DJ11&gt;=DL$15,DJ11&lt;&gt;""),AND(EB11&gt;=EH$15,EB11&lt;&gt;""),AND(EF11&gt;=EH$15,EF11&lt;&gt;""),AND(EX11&gt;=FD$15,EX11&lt;&gt;""),AND(FB11&gt;=FD$15,FB11&lt;&gt;""),AND(FT11&gt;=FZ$15,FT11&lt;&gt;""),AND(FX11&gt;=FZ$15,FX11&lt;&gt;""),AND(GP11&gt;=GV$15,GP11&lt;&gt;""),AND(GT11&gt;=GV$15,GT11&lt;&gt;""),AND(HL11&gt;=HR$15,HL11&lt;&gt;""),AND(HP11&gt;=HR$15,HP11&lt;&gt;""),AND(IH11&gt;=IN$15,IH11&lt;&gt;""),AND(IL11&gt;=IN$15,IL11&lt;&gt;""),AND(JD11&gt;=JJ$15,JD11&lt;&gt;""),AND(JH11&gt;=JJ$15,JH11&lt;&gt;""),AND(JZ11&gt;=KF$15,JZ11&lt;&gt;""),AND(KD11&gt;=KF$15,KD11&lt;&gt;""),AND(KV11&gt;=LB$15,KV11&lt;&gt;""),AND(KZ11&gt;=LB$15,KZ11&lt;&gt;""),AND(LR11&gt;=LX$15,LR11&lt;&gt;""),AND(LV11&gt;=LX$15,LV11&lt;&gt;""),AND(MN11&gt;=MT$15,MN11&lt;&gt;""),AND(MR11&gt;=MT$15,MR11&lt;&gt;"")),"Worlds Team",IF(OR(AND(AL11&gt;=AR$14,AL11&lt;&gt;"",AK11=""),AND(AP11&gt;=AR$14,AP11&lt;&gt;"",AK11=""),AND(BI11&gt;=BO$14,BI11&lt;&gt;"",BH11=""),AND(BM11&gt;=BO$14,BM11&lt;&gt;"",BH11=""),AND(CF11&gt;=CL$14,CF11&lt;&gt;"",CE11=""),AND(CJ11&gt;=CL$14,CJ11&lt;&gt;"",CE11=""),AND(DF11&gt;=DL$14,DF11&lt;&gt;""),AND(DJ11&gt;=DL$14,DJ11&lt;&gt;""),AND(EB11&gt;=EH$14,EB11&lt;&gt;""),AND(EF11&gt;=EH$14,EF11&lt;&gt;""),AND(EX11&gt;=FD$14,EX11&lt;&gt;""),AND(FB11&gt;=FD$14,FB11&lt;&gt;""),AND(FT11&gt;=FZ$14,FT11&lt;&gt;""),AND(FX11&gt;=FZ$14,FX11&lt;&gt;""),AND(GP11&gt;=GV$14,GP11&lt;&gt;""),AND(GT11&gt;=GV$14,GT11&lt;&gt;""),AND(HL11&gt;=HR$14,HL11&lt;&gt;""),AND(HP11&gt;=HR$14,HP11&lt;&gt;""),AND(IH11&gt;=IN$14,IH11&lt;&gt;""),AND(IL11&gt;=IN$14,IL11&lt;&gt;""),AND(JD11&gt;=JJ$14,JD11&lt;&gt;""),AND(JH11&gt;=JJ$14,JH11&lt;&gt;""),AND(JZ11&gt;=KF$14,JZ11&lt;&gt;""),AND(KD11&gt;=KF$14,KD11&lt;&gt;""),AND(KV11&gt;=LB$14,KV11&lt;&gt;""),AND(KZ11&gt;=LB$14,KZ11&lt;&gt;""),AND(LR11&gt;=LX$14,LR11&lt;&gt;""),AND(LV11&gt;=LX$14,LV11&lt;&gt;""),AND(MN11&gt;=MT$14,MN11&lt;&gt;""),AND(MR11&gt;=MT$14,MR11&lt;&gt;"")),"National Team",""))))</f>
        <v/>
      </c>
      <c r="H11" s="125" t="str">
        <f>IF(OR(AND(AN11&gt;=AR$21,AN11&lt;&gt;"",AK11=""),AND(AQ11&gt;=AR$21,AQ11&lt;&gt;"",AK11=""),AND(BK11&gt;=BO$21,BK11&lt;&gt;"",BH11=""),AND(BN11&gt;=BO$21,BN11&lt;&gt;"",BH11=""),AND(CH11&gt;=CL$21,CH11&lt;&gt;"",CE11=""),AND(CK11&gt;=CL$21,CE11&lt;&gt;"",CE11=""),AND(DH11&gt;=DL$21,DH11&lt;&gt;""),AND(DK11&gt;=DL$21,DK11&lt;&gt;""),AND(ED11&gt;=EH$21,ED11&lt;&gt;""),AND(EG11&gt;=EH$21,EG11&lt;&gt;""),AND(EZ11&gt;=FD$21,EZ11&lt;&gt;""),AND(FC11&gt;=FD$21,FC11&lt;&gt;""),AND(FV11&gt;=FZ$21,FV11&lt;&gt;""),AND(FY11&gt;=FZ$21,FY11&lt;&gt;""),AND(GR11&gt;=GV$21,GR11&lt;&gt;""),AND(GU11&gt;=GV$21,GU11&lt;&gt;""),AND(HN11&gt;=HR$21,HN11&lt;&gt;""),AND(HQ11&gt;=HR$21,HQ11&lt;&gt;""),AND(IJ11&gt;=IN$21,IJ11&lt;&gt;""),AND(IM11&gt;=IN$21,IM11&lt;&gt;""),AND(JF11&gt;=JJ$21,JF11&lt;&gt;""),AND(JI11&gt;=JJ$21,JI11&lt;&gt;""),AND(KB11&gt;=KF$21,KB11&lt;&gt;""),AND(KE11&gt;=KF$21,KE11&lt;&gt;""),AND(KX11&gt;=LB$21,KX11&lt;&gt;""),AND(LA11&gt;=LB$21,LA11&lt;&gt;""),AND(LT11&gt;=LX$21,LT11&lt;&gt;""),AND(LW11&gt;=LX$21,LW11&lt;&gt;""),AND(MP11&gt;=MT$21,MP11&lt;&gt;""),AND(MS11&gt;=MT$21,MS11&lt;&gt;"")),"Merit",IF(OR(AND(AN11&gt;=AR$20,AN11&lt;&gt;"",AK11=""),AND(AQ11&gt;=AR$20,AQ11&lt;&gt;"",AK11=""),AND(BK11&gt;=BO$20,BK11&lt;&gt;"",BH11=""),AND(BN11&gt;=BO$20,BN11&lt;&gt;"",BH11=""),AND(CH11&gt;=CL$20,CH11&lt;&gt;"",CE11=""),AND(CK11&gt;=CL$20,CE11&lt;&gt;"",CE11=""),AND(DH11&gt;=DL$20,DH11&lt;&gt;""),AND(DK11&gt;=DL$20,DK11&lt;&gt;""),AND(ED11&gt;=EH$20,ED11&lt;&gt;""),AND(EG11&gt;=EH$20,EG11&lt;&gt;""),AND(EZ11&gt;=FD$20,EZ11&lt;&gt;""),AND(FC11&gt;=FD$20,FC11&lt;&gt;""),AND(FV11&gt;=FZ$20,FV11&lt;&gt;""),AND(FY11&gt;=FZ$20,FY11&lt;&gt;""),AND(GR11&gt;=GV$20,GR11&lt;&gt;""),AND(GU11&gt;=GV$20,GU11&lt;&gt;""),AND(HN11&gt;=HR$20,HN11&lt;&gt;""),AND(HQ11&gt;=HR$20,HQ11&lt;&gt;""),AND(IJ11&gt;=IN$20,IJ11&lt;&gt;""),AND(IM11&gt;=IN$20,IM11&lt;&gt;""),AND(JF11&gt;=JJ$20,JF11&lt;&gt;""),AND(JI11&gt;=JJ$20,JI11&lt;&gt;""),AND(KB11&gt;=KF$20,KB11&lt;&gt;""),AND(KE11&gt;=KF$20,KE11&lt;&gt;""),AND(KX11&gt;=LB$20,KX11&lt;&gt;""),AND(LA11&gt;=LB$20,LA11&lt;&gt;""),AND(LT11&gt;=LX$20,LT11&lt;&gt;""),AND(LW11&gt;=LX$20,LW11&lt;&gt;""),AND(MP11&gt;=MT$20,MP11&lt;&gt;""),AND(MS11&gt;=MT$20,MS11&lt;&gt;"")),"Excellence",IF(OR(AND(AO11&gt;=AR$19,AO11&lt;&gt;"",AK11=""),AND(BL11&gt;=BO$19,BL11&lt;&gt;"",BH11=""),AND(CI11&gt;=CL$19,CI11&lt;&gt;"",CE11=""),AND(DI11&gt;=DL$19,DI11&lt;&gt;""),AND(EE11&gt;=EH$19,EE11&lt;&gt;""),AND(FA11&gt;=FD$19,FA11&lt;&gt;""),AND(FW11&gt;=FZ$19,FW11&lt;&gt;""),AND(GS11&gt;=GV$19,GS11&lt;&gt;""),AND(HO11&gt;=HR$19,HO11&lt;&gt;""),AND(IK11&gt;=IN$19,IK11&lt;&gt;""),AND(JG11&gt;=JJ$19,JG11&lt;&gt;""),AND(KC11&gt;=KF$19,KC11&lt;&gt;""),AND(KY11&gt;=LB$19,KY11&lt;&gt;""),AND(LU11&gt;=LX$19,LU11&lt;&gt;""),AND(MQ11&gt;=MT$19,MQ11&lt;&gt;"")),"Worlds Team",IF(OR(AND(AO11&gt;=AR$18,AO11&lt;&gt;"",AK11=""),AND(BL11&gt;=BO$18,BL11&lt;&gt;"",BH11=""),AND(CI11&gt;=CL$18,CI11&lt;&gt;"",CE11=""),AND(DI11&gt;=DL$18,DI11&lt;&gt;""),AND(EE11&gt;=EH$18,EE11&lt;&gt;""),AND(FA11&gt;=FD$18,FA11&lt;&gt;""),AND(FW11&gt;=FZ$18,FW11&lt;&gt;""),AND(GS11&gt;=GV$18,GS11&lt;&gt;""),AND(HO11&gt;=HR$18,HO11&lt;&gt;""),AND(IK11&gt;=IN$18,IK11&lt;&gt;""),AND(JG11&gt;=JJ$18,JG11&lt;&gt;""),AND(KC11&gt;=KF$18,KC11&lt;&gt;""),AND(KY11&gt;=LB$18,KY11&lt;&gt;""),AND(LU11&gt;=LX$18,LU11&lt;&gt;""),AND(MQ11&gt;=MT$18,MQ11&lt;&gt;"")),"National Team",""))))</f>
        <v/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O11&gt;=AR$19,AO11&lt;&gt;"",AK11=""),AND(BL11&gt;=BO$19,BL11&lt;&gt;"",BH11=""),AND(CI11&gt;=CL$19,CI11&lt;&gt;"",CE11=""),AND(DI11&gt;=DL$19,DI11&lt;&gt;""),AND(EE11&gt;=EH$19,EE11&lt;&gt;""),AND(FA11&gt;=FD$19,FA11&lt;&gt;""),AND(FW11&gt;=FZ$19,FW11&lt;&gt;""),AND(GS11&gt;=GV$19,GS11&lt;&gt;""),AND(HO11&gt;=HR$19,HO11&lt;&gt;""),AND(IK11&gt;=IN$19,IK11&lt;&gt;""),AND(JG11&gt;=JJ$19,JG11&lt;&gt;""),AND(KC11&gt;=KF$19,KC11&lt;&gt;""),AND(KY11&gt;=LB$19,KY11&lt;&gt;""),AND(LU11&gt;=LX$19,LU11&lt;&gt;""),AND(MQ11&gt;=MT$19,MQ11&lt;&gt;"")),OR(G11="Worlds Team",G11="Excellence",G11="Merit")),"P","")</f>
        <v/>
      </c>
      <c r="K11" s="14">
        <f>MAX(AO11,BL11,CI11)</f>
        <v>74.509999999999991</v>
      </c>
      <c r="L11" s="14" t="str">
        <f>IF(K11=0,"",IF(K11=CI11,$BP$1,IF(K11=BL11,$AS$1,IF(K11=AO11,$V$1,""))))</f>
        <v>2019 Nationals</v>
      </c>
      <c r="M11" s="14">
        <f>IF($K11=$AO11,MAX(BJ11,CG11),IF($K11=$BL11,MAX(AM11,CG11),IF($K11=$CI11,MAX(AM11,BJ11),MAX(AM11,BJ11,CG11))))</f>
        <v>0</v>
      </c>
      <c r="N11" s="14" t="str">
        <f>IF(M11=0,"",IF(AND(M11=CG11,$L11&lt;&gt;$BP$1),$BP$1,IF(AND(M11=BJ11,$L11&lt;&gt;$AS$1),$AS$1,IF(AND(M11=AM11,$L11&lt;&gt;$V$1),$V$1,""))))</f>
        <v/>
      </c>
      <c r="O11" s="14">
        <f>IF($K11=$AO11,MAX(CH11,BK11),IF($K11=$BL11,MAX(AN11,CH11),IF($K11=$CI11,MAX(AN11,BK11),MAX(AN11,BK11,CH11))))</f>
        <v>0</v>
      </c>
      <c r="P11" s="14" t="str">
        <f>IF(O11=0,"",IF(AND(O11=CH11,$L11&lt;&gt;$BP$1),$BP$1,IF(AND(O11=BK11,$L11&lt;&gt;$AS$1),$AS$1,IF(AND(O11=AN11,$L11&lt;&gt;$V$1),$V$1,""))))</f>
        <v/>
      </c>
      <c r="Q11" s="14">
        <f>MAX(AQ11,BN11,CK11)</f>
        <v>5.1400000000000006</v>
      </c>
      <c r="R11" s="14" t="str">
        <f>IF(Q11=0,"",IF(Q11=CK11,$BP$1,IF(Q11=BN11,$AS$1,IF(Q11=AQ11,$V$1,""))))</f>
        <v>2019 Nationals</v>
      </c>
      <c r="S11" s="14" t="str">
        <f>IF(MAX(CM11,CN11,CO11,CP11)&gt;0,MAX(CM11,CN11,CO11,CP11),"")</f>
        <v/>
      </c>
      <c r="T11" s="25" t="str">
        <f>IF(S11="","",IF(S11=CM11,"(Vol 1)",IF(S11=CN11,"(Vol 2)",IF(S11=CO11,"(Prelim)",IF(S11=CP11,"(Final)")))))</f>
        <v/>
      </c>
      <c r="U11" s="14" t="str">
        <f>IF(S11="","",IF(S11=CM11,IF(S11+IF(M11="",0,M11)=MO11,$LY$1,IF(S11+IF(M11="",0,M11)=LS11,$LC$1,IF(S11+IF(M11="",0,M11)=KW11,$KG$1,IF(S11+IF(M11="",0,M11)=KA11,$JK$1,IF(S11+IF(M11="",0,M11)=JE11,$IO$1,IF(S11+IF(M11="",0,M11)=II11,$HS$1,IF(S11+IF(M11="",0,M11)=HM11,$GW$1,IF(S11+IF(M11="",0,M11)=GQ11,$GA$1,IF(S11+IF(M11="",0,M11)=FU11,$FE$1,IF(S11+IF(M11="",0,M11)=EY11,$EI$1,IF(S11+IF(M11="",0,M11)=EC11,$DM$1,IF(S11+IF(M11="",0,M11)=DG11,$CQ$1)))))))))))),IF(S11=CN11,IF(S11+IF(O11="",0,O11)=MP11,$LY$1,IF(S11+IF(O11="",0,O11)=LT11,$LC$1,IF(S11+IF(O11="",0,O11)=KX11,$KG$1,IF(S11+IF(O11="",0,O11)=KB11,$JK$1,IF(S11+IF(O11="",0,O11)=JF11,$IO$1,IF(S11+IF(O11="",0,O11)=IJ11,$HS$1,IF(S11+IF(O11="",0,O11)=HN11,$GW$1,IF(S11+IF(O11="",0,O11)=GR11,$GA$1,IF(S11+IF(O11="",0,O11)=FV11,$FE$1,IF(S11+IF(O11="",0,O11)=EZ11,$EI$1,IF(S11+IF(O11="",0,O11)=ED11,$DM$1,IF(S11+IF(O11="",0,O11)=DH11,$CQ$1)))))))))))),IF(S11=CO11,IF(S11+IF(K11="",0,K11)=MQ11,$LY$1,IF(S11+IF(K11="",0,K11)=LU11,$LC$1,IF(S11+IF(K11="",0,K11)=KY11,$KG$1,IF(S11+IF(K11="",0,K11)=KC11,$JK$1,IF(S11+IF(K11="",0,K11)=JG11,$IO$1,IF(S11+IF(K11="",0,K11)=IK11,$HS$1,IF(S11+IF(K11="",0,K11)=HO11,$GW$1,IF(S11+IF(K11="",0,K11)=GS11,$GA$1,IF(S11+IF(K11="",0,K11)=FW11,$FE$1,IF(S11+IF(K11="",0,K11)=FA11,$EI$1,IF(S11+IF(K11="",0,K11)=EE11,$DM$1,IF(S11+IF(K11="",0,K11)=DI11,$CQ$1)))))))))))),IF(S11=CP11,IF(S11+IF(Q11="",0,Q11)=MS11,$LY$1,IF(S11+IF(Q11="",0,Q11)=LW11,$LC$1,IF(S11+IF(Q11="",0,Q11)=LA11,$KG$1,IF(S11+IF(Q11="",0,Q11)=KE11,$JK$1,IF(S11+IF(Q11="",0,Q11)=JI11,$IO$1,IF(S11+IF(Q11="",0,Q11)=IM11,$HS$1,IF(S11+IF(Q11="",0,Q11)=HQ11,$GW$1,IF(S11+IF(Q11="",0,Q11)=GU11,$GA$1,IF(S11+IF(Q11="",0,Q11)=FY11,$FE$1,IF(S11+IF(Q11="",0,Q11)=FC11,$EI$1,IF(S11+IF(Q11="",0,Q11)=EG11,$DM$1,IF(S11+IF(Q11="",0,Q11)=DK11,$CQ$1)))))))))))))))))</f>
        <v/>
      </c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80"/>
      <c r="AL11" s="11" t="str">
        <f>IF(AC11&gt;0,AC11,"")</f>
        <v/>
      </c>
      <c r="AM11" s="11" t="str">
        <f>IF(SUM(V11:Y11)-Z11&gt;0,SUM(V11:Y11)-Z11,"")</f>
        <v/>
      </c>
      <c r="AN11" s="11" t="str">
        <f>IF(SUM(AA11:AD11)-AE11&gt;0,SUM(AA11:AD11)-AE11,"")</f>
        <v/>
      </c>
      <c r="AO11" s="11" t="str">
        <f>IF(SUM(AM11:AN11)&gt;0,SUM(AM11:AN11),"")</f>
        <v/>
      </c>
      <c r="AP11" s="11" t="str">
        <f>IF(AH11&gt;0,AH11,"")</f>
        <v/>
      </c>
      <c r="AQ11" s="11" t="str">
        <f>IF(SUM(AF11:AI11)-AJ11&gt;0,SUM(AF11:AI11)-AJ11,"")</f>
        <v/>
      </c>
      <c r="AR11" s="11" t="str">
        <f>IF(SUM(AO11,AQ11)&gt;0,SUM(AO11,AQ11),"")</f>
        <v/>
      </c>
      <c r="AS11" s="40">
        <v>6.55</v>
      </c>
      <c r="AT11" s="40">
        <v>6.4</v>
      </c>
      <c r="AU11" s="40">
        <v>1.3</v>
      </c>
      <c r="AV11" s="40">
        <v>11.72</v>
      </c>
      <c r="AW11" s="40">
        <v>0</v>
      </c>
      <c r="AX11" s="40">
        <v>8.15</v>
      </c>
      <c r="AY11" s="40">
        <v>8.9499999999999993</v>
      </c>
      <c r="AZ11" s="40">
        <v>13.4</v>
      </c>
      <c r="BA11" s="40">
        <v>18.04</v>
      </c>
      <c r="BB11" s="40">
        <v>0</v>
      </c>
      <c r="BC11" s="40">
        <v>0.85</v>
      </c>
      <c r="BD11" s="40">
        <v>0.95</v>
      </c>
      <c r="BE11" s="40">
        <v>2</v>
      </c>
      <c r="BF11" s="40">
        <v>1.94</v>
      </c>
      <c r="BG11" s="40">
        <v>0.6</v>
      </c>
      <c r="BH11" s="81"/>
      <c r="BI11" s="14">
        <f>IF(AZ11&gt;0,AZ11,"")</f>
        <v>13.4</v>
      </c>
      <c r="BJ11" s="14">
        <f>IF(SUM(AS11:AV11)-AW11&gt;0,SUM(AS11:AV11)-AW11,"")</f>
        <v>25.97</v>
      </c>
      <c r="BK11" s="14">
        <f>IF(SUM(AX11:BA11)-BB11&gt;0,SUM(AX11:BA11)-BB11,"")</f>
        <v>48.54</v>
      </c>
      <c r="BL11" s="14">
        <f>IF(SUM(BJ11:BK11)&gt;0,SUM(BJ11:BK11),"")</f>
        <v>74.509999999999991</v>
      </c>
      <c r="BM11" s="14">
        <f>IF(BE11&gt;0,BE11,"")</f>
        <v>2</v>
      </c>
      <c r="BN11" s="14">
        <f>IF(SUM(BC11:BF11)-BG11&gt;0,SUM(BC11:BF11)-BG11,"")</f>
        <v>5.1400000000000006</v>
      </c>
      <c r="BO11" s="14">
        <f>IF(SUM(BL11,BN11)&gt;0,SUM(BL11,BN11),"")</f>
        <v>79.649999999999991</v>
      </c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80"/>
      <c r="CF11" s="11" t="str">
        <f>IF(BW11&gt;0,BW11,"")</f>
        <v/>
      </c>
      <c r="CG11" s="11" t="str">
        <f>IF(SUM(BP11:BS11)-BT11&gt;0,SUM(BP11:BS11)-BT11,"")</f>
        <v/>
      </c>
      <c r="CH11" s="11" t="str">
        <f>IF(SUM(BU11:BX11)-BY11&gt;0,SUM(BU11:BX11)-BY11,"")</f>
        <v/>
      </c>
      <c r="CI11" s="11" t="str">
        <f>IF(SUM(CG11:CH11)&gt;0,SUM(CG11:CH11),"")</f>
        <v/>
      </c>
      <c r="CJ11" s="11" t="str">
        <f>IF(CB11&gt;0,CB11,"")</f>
        <v/>
      </c>
      <c r="CK11" s="11" t="str">
        <f>IF(SUM(BZ11:CC11)-CD11&gt;0,SUM(BZ11:CC11)-CD11,"")</f>
        <v/>
      </c>
      <c r="CL11" s="11" t="str">
        <f>IF(SUM(CI11,CK11)&gt;0,SUM(CI11,CK11),"")</f>
        <v/>
      </c>
      <c r="CM11" s="24" t="str">
        <f>IF(MAX(DG11,EC11,EY11,FU11,GQ11,HM11,II11,JE11,KA11,KW11,LS11,MO11)-IF(M11="",0,M11)&gt;0.001,MAX(DG11,EC11,EY11,FU11,GQ11,HM11,II11,JE11,KA11,KW11,LS11,MO11)-IF(M11="",0,M11),"")</f>
        <v/>
      </c>
      <c r="CN11" s="24" t="str">
        <f>IF(MAX(DH11,ED11,EZ11,FV11,GR11,HN11,IJ11,JF11,KB11,KX11,LT11,MP11)-IF(O11="",0,O11)&gt;0.001,MAX(DH11,ED11,EZ11,FV11,GR11,HN11,IJ11,JF11,KB11,KX11,LT11,MP11)-IF(O11="",0,O11),"")</f>
        <v/>
      </c>
      <c r="CO11" s="24" t="str">
        <f>IF(MAX(DI11,EE11,FA11,FW11,GS11,HO11,IK11,JG11,KC11,KY11,LU11,MQ11)-IF(K11="",0,K11)&gt;0.001,MAX(DI11,EE11,FA11,FW11,GS11,HO11,IK11,JG11,KC11,KY11,LU11,MQ11)-IF(K11="",0,K11),"")</f>
        <v/>
      </c>
      <c r="CP11" s="24" t="str">
        <f>IF(MAX(DK11,EG11,FC11,FY11,GU11,HQ11,IM11,JI11,KE11,LA11,LW11,MS11)-IF(Q11="",0,Q11)&gt;0.001,MAX(DK11,EG11,FC11,FY11,GU11,HQ11,IM11,JI11,KE11,LA11,LW11,MS11)-IF(Q11="",0,Q11),"")</f>
        <v/>
      </c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11" t="str">
        <f>IF(CX11&gt;0,CX11,"")</f>
        <v/>
      </c>
      <c r="DG11" s="11" t="str">
        <f>IF(SUM(CQ11:CT11)-CU11&gt;0,SUM(CQ11:CT11)-CU11,"")</f>
        <v/>
      </c>
      <c r="DH11" s="11" t="str">
        <f>IF(SUM(CV11:CY11)-CZ11&gt;0,SUM(CV11:CY11)-CZ11,"")</f>
        <v/>
      </c>
      <c r="DI11" s="11" t="str">
        <f>IF(SUM(DG11:DH11)&gt;0,SUM(DG11:DH11),"")</f>
        <v/>
      </c>
      <c r="DJ11" s="11" t="str">
        <f>IF(DC11&gt;0,DC11,"")</f>
        <v/>
      </c>
      <c r="DK11" s="11" t="str">
        <f>IF(SUM(DA11:DD11)-DE11&gt;0,SUM(DA11:DD11)-DE11,"")</f>
        <v/>
      </c>
      <c r="DL11" s="11" t="str">
        <f>IF(SUM(DI11,DK11)&gt;0,SUM(DI11,DK11),"")</f>
        <v/>
      </c>
      <c r="DM11" s="38"/>
      <c r="DN11" s="38"/>
      <c r="DO11" s="38"/>
      <c r="DP11" s="38"/>
      <c r="DQ11" s="38"/>
      <c r="DR11" s="38"/>
      <c r="DS11" s="38"/>
      <c r="DT11" s="38"/>
      <c r="DU11" s="38"/>
      <c r="DV11" s="38"/>
      <c r="DW11" s="38"/>
      <c r="DX11" s="38"/>
      <c r="DY11" s="38"/>
      <c r="DZ11" s="38"/>
      <c r="EA11" s="38"/>
      <c r="EB11" s="14" t="str">
        <f>IF(DT11&gt;0,DT11,"")</f>
        <v/>
      </c>
      <c r="EC11" s="14" t="str">
        <f>IF(SUM(DM11:DP11)-DQ11&gt;0,SUM(DM11:DP11)-DQ11,"")</f>
        <v/>
      </c>
      <c r="ED11" s="14" t="str">
        <f>IF(SUM(DR11:DU11)-DV11&gt;0,SUM(DR11:DU11)-DV11,"")</f>
        <v/>
      </c>
      <c r="EE11" s="14" t="str">
        <f>IF(SUM(EC11:ED11)&gt;0,SUM(EC11:ED11),"")</f>
        <v/>
      </c>
      <c r="EF11" s="14" t="str">
        <f>IF(DY11&gt;0,DY11,"")</f>
        <v/>
      </c>
      <c r="EG11" s="14" t="str">
        <f>IF(SUM(DW11:DZ11)-EA11&gt;0,SUM(DW11:DZ11)-EA11,"")</f>
        <v/>
      </c>
      <c r="EH11" s="14" t="str">
        <f>IF(SUM(EE11,EG11)&gt;0,SUM(EE11,EG11),"")</f>
        <v/>
      </c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11" t="str">
        <f>IF(EP11&gt;0,EP11,"")</f>
        <v/>
      </c>
      <c r="EY11" s="11" t="str">
        <f>IF(SUM(EI11:EL11)-EM11&gt;0,SUM(EI11:EL11)-EM11,"")</f>
        <v/>
      </c>
      <c r="EZ11" s="11" t="str">
        <f>IF(SUM(EN11:EQ11)-ER11&gt;0,SUM(EN11:EQ11)-ER11,"")</f>
        <v/>
      </c>
      <c r="FA11" s="11" t="str">
        <f>IF(SUM(EY11:EZ11)&gt;0,SUM(EY11:EZ11),"")</f>
        <v/>
      </c>
      <c r="FB11" s="11" t="str">
        <f>IF(EU11&gt;0,EU11,"")</f>
        <v/>
      </c>
      <c r="FC11" s="11" t="str">
        <f>IF(SUM(ES11:EV11)-EW11&gt;0,SUM(ES11:EV11)-EW11,"")</f>
        <v/>
      </c>
      <c r="FD11" s="11" t="str">
        <f>IF(SUM(FA11,FC11)&gt;0,SUM(FA11,FC11),"")</f>
        <v/>
      </c>
      <c r="FE11" s="38"/>
      <c r="FF11" s="38"/>
      <c r="FG11" s="38"/>
      <c r="FH11" s="38"/>
      <c r="FI11" s="38"/>
      <c r="FJ11" s="38"/>
      <c r="FK11" s="38"/>
      <c r="FL11" s="38"/>
      <c r="FM11" s="38"/>
      <c r="FN11" s="38"/>
      <c r="FO11" s="38"/>
      <c r="FP11" s="38"/>
      <c r="FQ11" s="38"/>
      <c r="FR11" s="38"/>
      <c r="FS11" s="38"/>
      <c r="FT11" s="14" t="str">
        <f>IF(FL11&gt;0,FL11,"")</f>
        <v/>
      </c>
      <c r="FU11" s="14" t="str">
        <f>IF(SUM(FE11:FH11)-FI11&gt;0,SUM(FE11:FH11)-FI11,"")</f>
        <v/>
      </c>
      <c r="FV11" s="14" t="str">
        <f>IF(SUM(FJ11:FM11)-FN11&gt;0,SUM(FJ11:FM11)-FN11,"")</f>
        <v/>
      </c>
      <c r="FW11" s="14" t="str">
        <f>IF(SUM(FU11:FV11)&gt;0,SUM(FU11:FV11),"")</f>
        <v/>
      </c>
      <c r="FX11" s="14" t="str">
        <f>IF(FQ11&gt;0,FQ11,"")</f>
        <v/>
      </c>
      <c r="FY11" s="14" t="str">
        <f>IF(SUM(FO11:FR11)-FS11&gt;0,SUM(FO11:FR11)-FS11,"")</f>
        <v/>
      </c>
      <c r="FZ11" s="14" t="str">
        <f>IF(SUM(FW11,FY11)&gt;0,SUM(FW11,FY11),"")</f>
        <v/>
      </c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11" t="str">
        <f>IF(GH11&gt;0,GH11,"")</f>
        <v/>
      </c>
      <c r="GQ11" s="11" t="str">
        <f>IF(SUM(GA11:GD11)-GE11&gt;0,SUM(GA11:GD11)-GE11,"")</f>
        <v/>
      </c>
      <c r="GR11" s="11" t="str">
        <f>IF(SUM(GF11:GI11)-GJ11&gt;0,SUM(GF11:GI11)-GJ11,"")</f>
        <v/>
      </c>
      <c r="GS11" s="11" t="str">
        <f>IF(SUM(GQ11:GR11)&gt;0,SUM(GQ11:GR11),"")</f>
        <v/>
      </c>
      <c r="GT11" s="11" t="str">
        <f>IF(GM11&gt;0,GM11,"")</f>
        <v/>
      </c>
      <c r="GU11" s="11" t="str">
        <f>IF(SUM(GK11:GN11)-GO11&gt;0,SUM(GK11:GN11)-GO11,"")</f>
        <v/>
      </c>
      <c r="GV11" s="11" t="str">
        <f>IF(SUM(GS11,GU11)&gt;0,SUM(GS11,GU11),"")</f>
        <v/>
      </c>
      <c r="GW11" s="38"/>
      <c r="GX11" s="38"/>
      <c r="GY11" s="38"/>
      <c r="GZ11" s="38"/>
      <c r="HA11" s="38"/>
      <c r="HB11" s="38"/>
      <c r="HC11" s="38"/>
      <c r="HD11" s="38"/>
      <c r="HE11" s="38"/>
      <c r="HF11" s="38"/>
      <c r="HG11" s="38"/>
      <c r="HH11" s="38"/>
      <c r="HI11" s="38"/>
      <c r="HJ11" s="38"/>
      <c r="HK11" s="38"/>
      <c r="HL11" s="14" t="str">
        <f>IF(HD11&gt;0,HD11,"")</f>
        <v/>
      </c>
      <c r="HM11" s="14" t="str">
        <f>IF(SUM(GW11:GZ11)-HA11&gt;0,SUM(GW11:GZ11)-HA11,"")</f>
        <v/>
      </c>
      <c r="HN11" s="14" t="str">
        <f>IF(SUM(HB11:HE11)-HF11&gt;0,SUM(HB11:HE11)-HF11,"")</f>
        <v/>
      </c>
      <c r="HO11" s="14" t="str">
        <f>IF(SUM(HM11:HN11)&gt;0,SUM(HM11:HN11),"")</f>
        <v/>
      </c>
      <c r="HP11" s="14" t="str">
        <f>IF(HI11&gt;0,HI11,"")</f>
        <v/>
      </c>
      <c r="HQ11" s="14" t="str">
        <f>IF(SUM(HG11:HJ11)-HK11&gt;0,SUM(HG11:HJ11)-HK11,"")</f>
        <v/>
      </c>
      <c r="HR11" s="14" t="str">
        <f>IF(SUM(HO11,HQ11)&gt;0,SUM(HO11,HQ11),"")</f>
        <v/>
      </c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11" t="str">
        <f>IF(HZ11&gt;0,HZ11,"")</f>
        <v/>
      </c>
      <c r="II11" s="11" t="str">
        <f>IF(SUM(HS11:HV11)-HW11&gt;0,SUM(HS11:HV11)-HW11,"")</f>
        <v/>
      </c>
      <c r="IJ11" s="11" t="str">
        <f>IF(SUM(HX11:IA11)-IB11&gt;0,SUM(HX11:IA11)-IB11,"")</f>
        <v/>
      </c>
      <c r="IK11" s="11" t="str">
        <f>IF(SUM(II11:IJ11)&gt;0,SUM(II11:IJ11),"")</f>
        <v/>
      </c>
      <c r="IL11" s="11" t="str">
        <f>IF(IE11&gt;0,IE11,"")</f>
        <v/>
      </c>
      <c r="IM11" s="11" t="str">
        <f>IF(SUM(IC11:IF11)-IG11&gt;0,SUM(IC11:IF11)-IG11,"")</f>
        <v/>
      </c>
      <c r="IN11" s="11" t="str">
        <f>IF(SUM(IK11,IM11)&gt;0,SUM(IK11,IM11),"")</f>
        <v/>
      </c>
      <c r="IO11" s="38"/>
      <c r="IP11" s="38"/>
      <c r="IQ11" s="38"/>
      <c r="IR11" s="38"/>
      <c r="IS11" s="38"/>
      <c r="IT11" s="38"/>
      <c r="IU11" s="38"/>
      <c r="IV11" s="38"/>
      <c r="IW11" s="38"/>
      <c r="IX11" s="38"/>
      <c r="IY11" s="38"/>
      <c r="IZ11" s="38"/>
      <c r="JA11" s="38"/>
      <c r="JB11" s="38"/>
      <c r="JC11" s="38"/>
      <c r="JD11" s="14" t="str">
        <f>IF(IV11&gt;0,IV11,"")</f>
        <v/>
      </c>
      <c r="JE11" s="14" t="str">
        <f>IF(SUM(IO11:IR11)-IS11&gt;0,SUM(IO11:IR11)-IS11,"")</f>
        <v/>
      </c>
      <c r="JF11" s="14" t="str">
        <f>IF(SUM(IT11:IW11)-IX11&gt;0,SUM(IT11:IW11)-IX11,"")</f>
        <v/>
      </c>
      <c r="JG11" s="14" t="str">
        <f>IF(SUM(JE11:JF11)&gt;0,SUM(JE11:JF11),"")</f>
        <v/>
      </c>
      <c r="JH11" s="14" t="str">
        <f>IF(JA11&gt;0,JA11,"")</f>
        <v/>
      </c>
      <c r="JI11" s="14" t="str">
        <f>IF(SUM(IY11:JB11)-JC11&gt;0,SUM(IY11:JB11)-JC11,"")</f>
        <v/>
      </c>
      <c r="JJ11" s="14" t="str">
        <f>IF(SUM(JG11,JI11)&gt;0,SUM(JG11,JI11),"")</f>
        <v/>
      </c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11" t="str">
        <f>IF(JR11&gt;0,JR11,"")</f>
        <v/>
      </c>
      <c r="KA11" s="11" t="str">
        <f>IF(SUM(JK11:JN11)-JO11&gt;0,SUM(JK11:JN11)-JO11,"")</f>
        <v/>
      </c>
      <c r="KB11" s="11" t="str">
        <f>IF(SUM(JP11:JS11)-JT11&gt;0,SUM(JP11:JS11)-JT11,"")</f>
        <v/>
      </c>
      <c r="KC11" s="11" t="str">
        <f>IF(SUM(KA11:KB11)&gt;0,SUM(KA11:KB11),"")</f>
        <v/>
      </c>
      <c r="KD11" s="11" t="str">
        <f>IF(JW11&gt;0,JW11,"")</f>
        <v/>
      </c>
      <c r="KE11" s="11" t="str">
        <f>IF(SUM(JU11:JX11)-JY11&gt;0,SUM(JU11:JX11)-JY11,"")</f>
        <v/>
      </c>
      <c r="KF11" s="11" t="str">
        <f>IF(SUM(KC11,KE11)&gt;0,SUM(KC11,KE11),"")</f>
        <v/>
      </c>
      <c r="KG11" s="38"/>
      <c r="KH11" s="38"/>
      <c r="KI11" s="38"/>
      <c r="KJ11" s="38"/>
      <c r="KK11" s="38"/>
      <c r="KL11" s="38"/>
      <c r="KM11" s="38"/>
      <c r="KN11" s="38"/>
      <c r="KO11" s="38"/>
      <c r="KP11" s="38"/>
      <c r="KQ11" s="38"/>
      <c r="KR11" s="38"/>
      <c r="KS11" s="38"/>
      <c r="KT11" s="38"/>
      <c r="KU11" s="38"/>
      <c r="KV11" s="14" t="str">
        <f>IF(KN11&gt;0,KN11,"")</f>
        <v/>
      </c>
      <c r="KW11" s="14" t="str">
        <f>IF(SUM(KG11:KJ11)-KK11&gt;0,SUM(KG11:KJ11)-KK11,"")</f>
        <v/>
      </c>
      <c r="KX11" s="14" t="str">
        <f>IF(SUM(KL11:KO11)-KP11&gt;0,SUM(KL11:KO11)-KP11,"")</f>
        <v/>
      </c>
      <c r="KY11" s="14" t="str">
        <f>IF(SUM(KW11:KX11)&gt;0,SUM(KW11:KX11),"")</f>
        <v/>
      </c>
      <c r="KZ11" s="14" t="str">
        <f>IF(KS11&gt;0,KS11,"")</f>
        <v/>
      </c>
      <c r="LA11" s="14" t="str">
        <f>IF(SUM(KQ11:KT11)-KU11&gt;0,SUM(KQ11:KT11)-KU11,"")</f>
        <v/>
      </c>
      <c r="LB11" s="14" t="str">
        <f>IF(SUM(KY11,LA11)&gt;0,SUM(KY11,LA11),"")</f>
        <v/>
      </c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11" t="str">
        <f>IF(LJ11&gt;0,LJ11,"")</f>
        <v/>
      </c>
      <c r="LS11" s="11" t="str">
        <f>IF(SUM(LC11:LF11)-LG11&gt;0,SUM(LC11:LF11)-LG11,"")</f>
        <v/>
      </c>
      <c r="LT11" s="11" t="str">
        <f>IF(SUM(LH11:LK11)-LL11&gt;0,SUM(LH11:LK11)-LL11,"")</f>
        <v/>
      </c>
      <c r="LU11" s="11" t="str">
        <f>IF(SUM(LS11:LT11)&gt;0,SUM(LS11:LT11),"")</f>
        <v/>
      </c>
      <c r="LV11" s="11" t="str">
        <f>IF(LO11&gt;0,LO11,"")</f>
        <v/>
      </c>
      <c r="LW11" s="11" t="str">
        <f>IF(SUM(LM11:LP11)-LQ11&gt;0,SUM(LM11:LP11)-LQ11,"")</f>
        <v/>
      </c>
      <c r="LX11" s="11" t="str">
        <f>IF(SUM(LU11,LW11)&gt;0,SUM(LU11,LW11),"")</f>
        <v/>
      </c>
      <c r="LY11" s="38"/>
      <c r="LZ11" s="38"/>
      <c r="MA11" s="38"/>
      <c r="MB11" s="38"/>
      <c r="MC11" s="38"/>
      <c r="MD11" s="38"/>
      <c r="ME11" s="38"/>
      <c r="MF11" s="38"/>
      <c r="MG11" s="38"/>
      <c r="MH11" s="38"/>
      <c r="MI11" s="38"/>
      <c r="MJ11" s="38"/>
      <c r="MK11" s="38"/>
      <c r="ML11" s="38"/>
      <c r="MM11" s="38"/>
      <c r="MN11" s="14" t="str">
        <f>IF(MF11&gt;0,MF11,"")</f>
        <v/>
      </c>
      <c r="MO11" s="14" t="str">
        <f>IF(SUM(LY11:MB11)-MC11&gt;0,SUM(LY11:MB11)-MC11,"")</f>
        <v/>
      </c>
      <c r="MP11" s="14" t="str">
        <f>IF(SUM(MD11:MG11)-MH11&gt;0,SUM(MD11:MG11)-MH11,"")</f>
        <v/>
      </c>
      <c r="MQ11" s="14" t="str">
        <f>IF(SUM(MO11:MP11)&gt;0,SUM(MO11:MP11),"")</f>
        <v/>
      </c>
      <c r="MR11" s="14" t="str">
        <f>IF(MK11&gt;0,MK11,"")</f>
        <v/>
      </c>
      <c r="MS11" s="14" t="str">
        <f>IF(SUM(MI11:ML11)-MM11&gt;0,SUM(MI11:ML11)-MM11,"")</f>
        <v/>
      </c>
      <c r="MT11" s="14" t="str">
        <f>IF(SUM(MQ11,MS11)&gt;0,SUM(MQ11,MS11),"")</f>
        <v/>
      </c>
      <c r="MU11" s="69">
        <f>IF($CE11="P",BP11,(BP11+AS11)/2)</f>
        <v>3.2749999999999999</v>
      </c>
      <c r="MV11" s="69">
        <f>IF($CE11="P",BQ11,(BQ11+AT11)/2)</f>
        <v>3.2</v>
      </c>
      <c r="MW11" s="69">
        <f>IF($CE11="P",BR11,(BR11+AU11)/2)</f>
        <v>0.65</v>
      </c>
      <c r="MX11" s="69">
        <f>IF($CE11="P",BS11,(BS11+AV11)/2)</f>
        <v>5.86</v>
      </c>
      <c r="MY11" s="69">
        <f>IF($CE11="P",BT11,(BT11+AW11)/2)</f>
        <v>0</v>
      </c>
      <c r="MZ11" s="69">
        <f>IF($CE11="P",BU11,(BU11+AX11)/2)</f>
        <v>4.0750000000000002</v>
      </c>
      <c r="NA11" s="69">
        <f>IF($CE11="P",BV11,(BV11+AY11)/2)</f>
        <v>4.4749999999999996</v>
      </c>
      <c r="NB11" s="69">
        <f>IF($CE11="P",BW11,(BW11+AZ11)/2)</f>
        <v>6.7</v>
      </c>
      <c r="NC11" s="69">
        <f>IF($CE11="P",BX11,(BX11+BA11)/2)</f>
        <v>9.02</v>
      </c>
      <c r="ND11" s="69">
        <f>IF($CE11="P",BY11,(BY11+BB11)/2)</f>
        <v>0</v>
      </c>
      <c r="NE11" s="69">
        <f>IF($CE11="P",BZ11,(BZ11+BC11)/2)</f>
        <v>0.42499999999999999</v>
      </c>
      <c r="NF11" s="69">
        <f>IF($CE11="P",CA11,(CA11+BD11)/2)</f>
        <v>0.47499999999999998</v>
      </c>
      <c r="NG11" s="69">
        <f>IF($CE11="P",CB11,(CB11+BE11)/2)</f>
        <v>1</v>
      </c>
      <c r="NH11" s="69">
        <f>IF($CE11="P",CC11,(CC11+BF11)/2)</f>
        <v>0.97</v>
      </c>
      <c r="NI11" s="69">
        <f>IF($CE11="P",CD11,(CD11+BG11)/2)</f>
        <v>0.3</v>
      </c>
      <c r="NJ11" s="80" t="s">
        <v>91</v>
      </c>
      <c r="NK11" s="11">
        <f>IF(NB11&gt;0,NB11,"")</f>
        <v>6.7</v>
      </c>
      <c r="NL11" s="11">
        <f>IF(SUM(MU11:MX11)-MY11&gt;0,SUM(MU11:MX11)-MY11,"")</f>
        <v>12.984999999999999</v>
      </c>
      <c r="NM11" s="11">
        <f>IF(SUM(MZ11:NC11)-ND11&gt;0,SUM(MZ11:NC11)-ND11,"")</f>
        <v>24.27</v>
      </c>
      <c r="NN11" s="11">
        <f>IF(SUM(NL11:NM11)&gt;0,SUM(NL11:NM11),"")</f>
        <v>37.254999999999995</v>
      </c>
      <c r="NO11" s="11">
        <f>IF(NG11&gt;0,NG11,"")</f>
        <v>1</v>
      </c>
      <c r="NP11" s="11">
        <f>IF(SUM(NE11:NH11)-NI11&gt;0,SUM(NE11:NH11)-NI11,"")</f>
        <v>2.5700000000000003</v>
      </c>
      <c r="NQ11" s="11">
        <f>IF(SUM(NN11,NP11)&gt;0,SUM(NN11,NP11),"")</f>
        <v>39.824999999999996</v>
      </c>
    </row>
    <row r="12" spans="1:381" x14ac:dyDescent="0.2">
      <c r="D12" s="1"/>
      <c r="T12" s="26"/>
    </row>
    <row r="14" spans="1:381" x14ac:dyDescent="0.2">
      <c r="B14" s="70" t="s">
        <v>79</v>
      </c>
      <c r="AL14" s="56"/>
      <c r="AR14" s="64">
        <v>13.5</v>
      </c>
      <c r="BI14" s="56"/>
      <c r="BO14" s="64">
        <v>13.5</v>
      </c>
      <c r="CF14" s="56"/>
      <c r="CL14" s="64">
        <v>13.5</v>
      </c>
      <c r="DF14" s="56"/>
      <c r="DL14" s="64">
        <v>13.5</v>
      </c>
      <c r="EB14" s="56"/>
      <c r="EH14" s="64">
        <v>13.5</v>
      </c>
      <c r="EX14" s="56"/>
      <c r="FD14" s="64">
        <v>13.5</v>
      </c>
      <c r="FT14" s="56"/>
      <c r="FZ14" s="64">
        <v>13.5</v>
      </c>
      <c r="GP14" s="56"/>
      <c r="GV14" s="64">
        <v>13.5</v>
      </c>
      <c r="HL14" s="56"/>
      <c r="HR14" s="64">
        <v>13.5</v>
      </c>
      <c r="IH14" s="56"/>
      <c r="IN14" s="64">
        <v>13.5</v>
      </c>
      <c r="JD14" s="56"/>
      <c r="JJ14" s="64">
        <v>13.5</v>
      </c>
      <c r="JZ14" s="56"/>
      <c r="KF14" s="64">
        <v>13.5</v>
      </c>
      <c r="KV14" s="56"/>
      <c r="LB14" s="64">
        <v>13.5</v>
      </c>
      <c r="LR14" s="56"/>
      <c r="LX14" s="64">
        <v>13.5</v>
      </c>
      <c r="MN14" s="56"/>
      <c r="MT14" s="64">
        <v>13.5</v>
      </c>
    </row>
    <row r="15" spans="1:381" x14ac:dyDescent="0.2">
      <c r="B15" s="91" t="s">
        <v>78</v>
      </c>
      <c r="AL15" s="56"/>
      <c r="AR15" s="93">
        <v>14.4</v>
      </c>
      <c r="BI15" s="56"/>
      <c r="BO15" s="93">
        <v>14.4</v>
      </c>
      <c r="CF15" s="56"/>
      <c r="CL15" s="93">
        <v>14.4</v>
      </c>
      <c r="DF15" s="56"/>
      <c r="DL15" s="93">
        <v>14.4</v>
      </c>
      <c r="EB15" s="56"/>
      <c r="EH15" s="93">
        <v>14.4</v>
      </c>
      <c r="EX15" s="56"/>
      <c r="FD15" s="93">
        <v>14.4</v>
      </c>
      <c r="FT15" s="56"/>
      <c r="FZ15" s="93">
        <v>14.4</v>
      </c>
      <c r="GP15" s="56"/>
      <c r="GV15" s="93">
        <v>14.4</v>
      </c>
      <c r="HL15" s="56"/>
      <c r="HR15" s="93">
        <v>14.4</v>
      </c>
      <c r="IH15" s="56"/>
      <c r="IN15" s="93">
        <v>14.4</v>
      </c>
      <c r="JD15" s="56"/>
      <c r="JJ15" s="93">
        <v>14.4</v>
      </c>
      <c r="JZ15" s="56"/>
      <c r="KF15" s="93">
        <v>14.4</v>
      </c>
      <c r="KV15" s="56"/>
      <c r="LB15" s="93">
        <v>14.4</v>
      </c>
      <c r="LR15" s="56"/>
      <c r="LX15" s="93">
        <v>14.4</v>
      </c>
      <c r="MN15" s="56"/>
      <c r="MT15" s="93">
        <v>14.4</v>
      </c>
    </row>
    <row r="16" spans="1:381" x14ac:dyDescent="0.2">
      <c r="A16" s="56"/>
      <c r="B16" s="92" t="s">
        <v>122</v>
      </c>
      <c r="C16" s="55"/>
      <c r="AL16" s="56"/>
      <c r="AR16" s="94">
        <v>14.4</v>
      </c>
      <c r="BI16" s="56"/>
      <c r="BO16" s="94">
        <v>14.4</v>
      </c>
      <c r="CF16" s="56"/>
      <c r="CL16" s="94">
        <v>15.4</v>
      </c>
      <c r="DF16" s="56"/>
      <c r="DL16" s="94">
        <v>14.4</v>
      </c>
      <c r="EB16" s="56"/>
      <c r="EH16" s="94">
        <v>14.4</v>
      </c>
      <c r="EX16" s="56"/>
      <c r="FD16" s="94">
        <v>14.4</v>
      </c>
      <c r="FT16" s="56"/>
      <c r="FZ16" s="94">
        <v>15.4</v>
      </c>
      <c r="GP16" s="56"/>
      <c r="GV16" s="94">
        <v>15.4</v>
      </c>
      <c r="HL16" s="56"/>
      <c r="HR16" s="94">
        <v>15.4</v>
      </c>
      <c r="IH16" s="56"/>
      <c r="IN16" s="94">
        <v>15.4</v>
      </c>
      <c r="JD16" s="56"/>
      <c r="JJ16" s="94">
        <v>15.4</v>
      </c>
      <c r="JZ16" s="56"/>
      <c r="KF16" s="94">
        <v>15.4</v>
      </c>
      <c r="KV16" s="56"/>
      <c r="LB16" s="94">
        <v>15.4</v>
      </c>
      <c r="LR16" s="56"/>
      <c r="LX16" s="94">
        <v>15.4</v>
      </c>
      <c r="MN16" s="56"/>
      <c r="MT16" s="94">
        <v>15.4</v>
      </c>
    </row>
    <row r="17" spans="1:358" x14ac:dyDescent="0.2">
      <c r="A17" s="56"/>
      <c r="B17" s="120" t="s">
        <v>188</v>
      </c>
      <c r="C17" s="55"/>
      <c r="AL17" s="56"/>
      <c r="AR17" s="121">
        <v>14.4</v>
      </c>
      <c r="BI17" s="56"/>
      <c r="BO17" s="121">
        <v>14.4</v>
      </c>
      <c r="CF17" s="56"/>
      <c r="CL17" s="121">
        <v>15.4</v>
      </c>
      <c r="DF17" s="56"/>
      <c r="DL17" s="121">
        <v>14.4</v>
      </c>
      <c r="EB17" s="56"/>
      <c r="EH17" s="121">
        <v>14.4</v>
      </c>
      <c r="EX17" s="56"/>
      <c r="FD17" s="121">
        <v>14.4</v>
      </c>
      <c r="FT17" s="56"/>
      <c r="FZ17" s="121">
        <v>15.4</v>
      </c>
      <c r="GP17" s="56"/>
      <c r="GV17" s="121">
        <v>15.4</v>
      </c>
      <c r="HL17" s="56"/>
      <c r="HR17" s="121">
        <v>15.4</v>
      </c>
      <c r="IH17" s="56"/>
      <c r="IN17" s="121">
        <v>15.4</v>
      </c>
      <c r="JD17" s="56"/>
      <c r="JJ17" s="121">
        <v>15.4</v>
      </c>
      <c r="JZ17" s="56"/>
      <c r="KF17" s="121">
        <v>15.4</v>
      </c>
      <c r="KV17" s="56"/>
      <c r="LB17" s="121">
        <v>15.4</v>
      </c>
      <c r="LR17" s="56"/>
      <c r="LX17" s="121">
        <v>15.4</v>
      </c>
      <c r="MN17" s="56"/>
      <c r="MT17" s="121">
        <v>15.4</v>
      </c>
    </row>
    <row r="18" spans="1:358" x14ac:dyDescent="0.2">
      <c r="A18" s="56"/>
      <c r="B18" s="118" t="s">
        <v>76</v>
      </c>
      <c r="C18" s="55"/>
      <c r="AL18" s="56"/>
      <c r="AR18" s="119">
        <v>87</v>
      </c>
      <c r="BI18" s="56"/>
      <c r="BO18" s="119">
        <v>87</v>
      </c>
      <c r="CF18" s="56"/>
      <c r="CL18" s="119">
        <v>87.7</v>
      </c>
      <c r="DF18" s="56"/>
      <c r="DL18" s="119">
        <v>87</v>
      </c>
      <c r="EB18" s="56"/>
      <c r="EH18" s="119">
        <v>87</v>
      </c>
      <c r="EX18" s="56"/>
      <c r="FD18" s="119">
        <v>87</v>
      </c>
      <c r="FT18" s="56"/>
      <c r="FZ18" s="119">
        <v>87.7</v>
      </c>
      <c r="GP18" s="56"/>
      <c r="GV18" s="119">
        <v>87.7</v>
      </c>
      <c r="HL18" s="56"/>
      <c r="HR18" s="119">
        <v>87.7</v>
      </c>
      <c r="IH18" s="56"/>
      <c r="IN18" s="119">
        <v>87.7</v>
      </c>
      <c r="JD18" s="56"/>
      <c r="JJ18" s="119">
        <v>87.7</v>
      </c>
      <c r="JZ18" s="56"/>
      <c r="KF18" s="119">
        <v>87.7</v>
      </c>
      <c r="KV18" s="56"/>
      <c r="LB18" s="119">
        <v>87.7</v>
      </c>
      <c r="LR18" s="56"/>
      <c r="LX18" s="119">
        <v>87.7</v>
      </c>
      <c r="MN18" s="56"/>
      <c r="MT18" s="119">
        <v>87.7</v>
      </c>
    </row>
    <row r="19" spans="1:358" x14ac:dyDescent="0.2">
      <c r="A19" s="56"/>
      <c r="B19" s="72" t="s">
        <v>77</v>
      </c>
      <c r="C19" s="55"/>
      <c r="AL19" s="56"/>
      <c r="AR19" s="66">
        <v>89</v>
      </c>
      <c r="BI19" s="56"/>
      <c r="BO19" s="66">
        <v>89</v>
      </c>
      <c r="CF19" s="56"/>
      <c r="CL19" s="66">
        <v>89.7</v>
      </c>
      <c r="DF19" s="56"/>
      <c r="DL19" s="66">
        <v>89</v>
      </c>
      <c r="EB19" s="56"/>
      <c r="EH19" s="66">
        <v>89</v>
      </c>
      <c r="EX19" s="56"/>
      <c r="FD19" s="66">
        <v>89</v>
      </c>
      <c r="FT19" s="56"/>
      <c r="FZ19" s="66">
        <v>89.7</v>
      </c>
      <c r="GP19" s="56"/>
      <c r="GV19" s="66">
        <v>89.7</v>
      </c>
      <c r="HL19" s="56"/>
      <c r="HR19" s="66">
        <v>89.7</v>
      </c>
      <c r="IH19" s="56"/>
      <c r="IN19" s="66">
        <v>89.7</v>
      </c>
      <c r="JD19" s="56"/>
      <c r="JJ19" s="66">
        <v>89.7</v>
      </c>
      <c r="JZ19" s="56"/>
      <c r="KF19" s="66">
        <v>89.7</v>
      </c>
      <c r="KV19" s="56"/>
      <c r="LB19" s="66">
        <v>89.7</v>
      </c>
      <c r="LR19" s="56"/>
      <c r="LX19" s="66">
        <v>89.7</v>
      </c>
      <c r="MN19" s="56"/>
      <c r="MT19" s="66">
        <v>89.7</v>
      </c>
    </row>
    <row r="20" spans="1:358" x14ac:dyDescent="0.2">
      <c r="A20" s="56"/>
      <c r="B20" s="116" t="s">
        <v>117</v>
      </c>
      <c r="C20" s="55"/>
      <c r="AL20" s="56"/>
      <c r="AQ20" s="130" t="s">
        <v>196</v>
      </c>
      <c r="AR20" s="117">
        <v>48</v>
      </c>
      <c r="BI20" s="56"/>
      <c r="BO20" s="117">
        <v>90</v>
      </c>
      <c r="CF20" s="56"/>
      <c r="CL20" s="117">
        <v>49</v>
      </c>
      <c r="DF20" s="56"/>
      <c r="DL20" s="117">
        <v>90</v>
      </c>
      <c r="EB20" s="56"/>
      <c r="EH20" s="117">
        <v>90</v>
      </c>
      <c r="EX20" s="56"/>
      <c r="FD20" s="117">
        <v>90</v>
      </c>
      <c r="FT20" s="56"/>
      <c r="FZ20" s="117">
        <v>49</v>
      </c>
      <c r="GP20" s="56"/>
      <c r="GV20" s="117">
        <v>49</v>
      </c>
      <c r="HL20" s="56"/>
      <c r="HR20" s="117">
        <v>49</v>
      </c>
      <c r="IH20" s="56"/>
      <c r="IN20" s="117">
        <v>49</v>
      </c>
      <c r="JD20" s="56"/>
      <c r="JJ20" s="117">
        <v>49</v>
      </c>
      <c r="JZ20" s="56"/>
      <c r="KF20" s="117">
        <v>49</v>
      </c>
      <c r="KV20" s="56"/>
      <c r="LB20" s="117">
        <v>49</v>
      </c>
      <c r="LR20" s="56"/>
      <c r="LX20" s="117">
        <v>49</v>
      </c>
      <c r="MN20" s="56"/>
      <c r="MT20" s="117">
        <v>49</v>
      </c>
    </row>
    <row r="21" spans="1:358" x14ac:dyDescent="0.2">
      <c r="A21" s="56"/>
      <c r="B21" s="74" t="s">
        <v>58</v>
      </c>
      <c r="C21" s="55"/>
      <c r="AL21" s="56"/>
      <c r="AR21" s="68">
        <v>91</v>
      </c>
      <c r="BI21" s="56"/>
      <c r="BO21" s="68">
        <v>91</v>
      </c>
      <c r="CF21" s="56"/>
      <c r="CL21" s="68">
        <v>50.2</v>
      </c>
      <c r="DF21" s="56"/>
      <c r="DL21" s="68">
        <v>91</v>
      </c>
      <c r="EB21" s="56"/>
      <c r="EH21" s="68">
        <v>91</v>
      </c>
      <c r="EX21" s="56"/>
      <c r="FD21" s="68">
        <v>91</v>
      </c>
      <c r="FT21" s="56"/>
      <c r="FZ21" s="68">
        <v>50.2</v>
      </c>
      <c r="GP21" s="56"/>
      <c r="GV21" s="68">
        <v>50.2</v>
      </c>
      <c r="HL21" s="56"/>
      <c r="HR21" s="68">
        <v>50.2</v>
      </c>
      <c r="IH21" s="56"/>
      <c r="IN21" s="68">
        <v>50.2</v>
      </c>
      <c r="JD21" s="56"/>
      <c r="JJ21" s="68">
        <v>50.2</v>
      </c>
      <c r="JZ21" s="56"/>
      <c r="KF21" s="68">
        <v>50.2</v>
      </c>
      <c r="KV21" s="56"/>
      <c r="LB21" s="68">
        <v>50.2</v>
      </c>
      <c r="LR21" s="56"/>
      <c r="LX21" s="68">
        <v>50.2</v>
      </c>
      <c r="MN21" s="56"/>
      <c r="MT21" s="68">
        <v>50.2</v>
      </c>
    </row>
    <row r="22" spans="1:358" x14ac:dyDescent="0.2">
      <c r="B22" s="82" t="s">
        <v>92</v>
      </c>
      <c r="C22" s="2"/>
      <c r="DG22" s="54"/>
    </row>
    <row r="23" spans="1:358" x14ac:dyDescent="0.2">
      <c r="A23" s="56"/>
      <c r="B23" s="56"/>
      <c r="C23" s="55"/>
    </row>
    <row r="24" spans="1:358" ht="17" x14ac:dyDescent="0.2">
      <c r="A24" s="56"/>
      <c r="B24" s="56"/>
      <c r="C24" s="55"/>
      <c r="S24" s="19"/>
      <c r="T24" s="19"/>
      <c r="U24" s="19"/>
    </row>
    <row r="25" spans="1:358" ht="17" x14ac:dyDescent="0.2">
      <c r="A25" s="56"/>
      <c r="B25" s="56"/>
      <c r="C25" s="55"/>
      <c r="S25" s="19"/>
      <c r="T25" s="19"/>
      <c r="U25" s="19"/>
    </row>
    <row r="26" spans="1:358" ht="17" x14ac:dyDescent="0.2">
      <c r="S26" s="19"/>
      <c r="T26" s="19"/>
      <c r="U26" s="19"/>
    </row>
    <row r="27" spans="1:358" ht="17" x14ac:dyDescent="0.2">
      <c r="S27" s="19"/>
      <c r="T27" s="19"/>
      <c r="U27" s="19"/>
    </row>
    <row r="28" spans="1:358" ht="17" x14ac:dyDescent="0.2">
      <c r="S28" s="19"/>
      <c r="T28" s="19"/>
      <c r="U28" s="19"/>
    </row>
    <row r="29" spans="1:358" ht="17" x14ac:dyDescent="0.2">
      <c r="S29" s="19"/>
      <c r="T29" s="19"/>
      <c r="U29" s="19"/>
    </row>
    <row r="30" spans="1:358" ht="17" x14ac:dyDescent="0.2">
      <c r="S30" s="19"/>
      <c r="T30" s="19"/>
      <c r="U30" s="19"/>
    </row>
    <row r="31" spans="1:358" ht="17" x14ac:dyDescent="0.2">
      <c r="S31" s="19"/>
      <c r="T31" s="19"/>
      <c r="U31" s="19"/>
    </row>
    <row r="32" spans="1:358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  <row r="42" spans="19:21" ht="17" x14ac:dyDescent="0.2">
      <c r="S42" s="19"/>
      <c r="T42" s="19"/>
      <c r="U42" s="19"/>
    </row>
    <row r="43" spans="19:21" ht="17" x14ac:dyDescent="0.2">
      <c r="S43" s="19"/>
      <c r="T43" s="19"/>
      <c r="U43" s="19"/>
    </row>
  </sheetData>
  <sheetProtection sheet="1" formatCells="0" formatColumns="0" formatRows="0"/>
  <autoFilter ref="A1:NQ11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11">
      <sortCondition descending="1" ref="F1:F12"/>
    </sortState>
  </autoFilter>
  <mergeCells count="86">
    <mergeCell ref="F1:F3"/>
    <mergeCell ref="LH2:LL2"/>
    <mergeCell ref="LC2:LG2"/>
    <mergeCell ref="JK1:KF1"/>
    <mergeCell ref="KG1:LB1"/>
    <mergeCell ref="KQ2:KU2"/>
    <mergeCell ref="KL2:KP2"/>
    <mergeCell ref="KG2:KK2"/>
    <mergeCell ref="JU2:JY2"/>
    <mergeCell ref="JP2:JT2"/>
    <mergeCell ref="JK2:JO2"/>
    <mergeCell ref="LC1:LX1"/>
    <mergeCell ref="IO1:JJ1"/>
    <mergeCell ref="IY2:JC2"/>
    <mergeCell ref="IT2:IX2"/>
    <mergeCell ref="IO2:IS2"/>
    <mergeCell ref="LY1:MT1"/>
    <mergeCell ref="MI2:MM2"/>
    <mergeCell ref="MD2:MH2"/>
    <mergeCell ref="LY2:MC2"/>
    <mergeCell ref="LM2:LQ2"/>
    <mergeCell ref="IC2:IG2"/>
    <mergeCell ref="HS1:IN1"/>
    <mergeCell ref="HX2:IB2"/>
    <mergeCell ref="HS2:HW2"/>
    <mergeCell ref="EN2:ER2"/>
    <mergeCell ref="FE1:FZ1"/>
    <mergeCell ref="FO2:FS2"/>
    <mergeCell ref="FJ2:FN2"/>
    <mergeCell ref="FE2:FI2"/>
    <mergeCell ref="ES2:EW2"/>
    <mergeCell ref="GA1:GV1"/>
    <mergeCell ref="GW1:HR1"/>
    <mergeCell ref="HG2:HK2"/>
    <mergeCell ref="HB2:HF2"/>
    <mergeCell ref="GW2:HA2"/>
    <mergeCell ref="GK2:GO2"/>
    <mergeCell ref="GF2:GJ2"/>
    <mergeCell ref="GA2:GE2"/>
    <mergeCell ref="BP1:CL1"/>
    <mergeCell ref="BP2:BT2"/>
    <mergeCell ref="BU2:BY2"/>
    <mergeCell ref="BZ2:CD2"/>
    <mergeCell ref="EI2:EM2"/>
    <mergeCell ref="A1:A3"/>
    <mergeCell ref="B1:B3"/>
    <mergeCell ref="C1:C3"/>
    <mergeCell ref="D1:D3"/>
    <mergeCell ref="E1:E3"/>
    <mergeCell ref="G1:G3"/>
    <mergeCell ref="H1:H3"/>
    <mergeCell ref="I1:I3"/>
    <mergeCell ref="K1:K3"/>
    <mergeCell ref="J1:J3"/>
    <mergeCell ref="N1:N3"/>
    <mergeCell ref="L1:L3"/>
    <mergeCell ref="M1:M3"/>
    <mergeCell ref="MU1:NQ1"/>
    <mergeCell ref="MU2:MY2"/>
    <mergeCell ref="MZ2:ND2"/>
    <mergeCell ref="NE2:NI2"/>
    <mergeCell ref="P1:P3"/>
    <mergeCell ref="CV2:CZ2"/>
    <mergeCell ref="CQ2:CU2"/>
    <mergeCell ref="AX2:BB2"/>
    <mergeCell ref="AS2:AW2"/>
    <mergeCell ref="R1:R3"/>
    <mergeCell ref="Q1:Q3"/>
    <mergeCell ref="S1:S3"/>
    <mergeCell ref="DM1:EH1"/>
    <mergeCell ref="AS1:BO1"/>
    <mergeCell ref="AF2:AJ2"/>
    <mergeCell ref="BC2:BG2"/>
    <mergeCell ref="EI1:FD1"/>
    <mergeCell ref="O1:O3"/>
    <mergeCell ref="CM1:CP1"/>
    <mergeCell ref="CQ1:DL1"/>
    <mergeCell ref="T1:T3"/>
    <mergeCell ref="U1:U3"/>
    <mergeCell ref="V1:AR1"/>
    <mergeCell ref="AA2:AE2"/>
    <mergeCell ref="V2:Z2"/>
    <mergeCell ref="DW2:EA2"/>
    <mergeCell ref="DR2:DV2"/>
    <mergeCell ref="DM2:DQ2"/>
    <mergeCell ref="DA2:DE2"/>
  </mergeCells>
  <phoneticPr fontId="22" type="noConversion"/>
  <conditionalFormatting sqref="V4:AR11">
    <cfRule type="expression" dxfId="137" priority="3" stopIfTrue="1">
      <formula>IF($AK4&lt;&gt;"",1,0)</formula>
    </cfRule>
  </conditionalFormatting>
  <conditionalFormatting sqref="AS4:BO11">
    <cfRule type="expression" dxfId="136" priority="4" stopIfTrue="1">
      <formula>IF($BH4&lt;&gt;"",1,0)</formula>
    </cfRule>
  </conditionalFormatting>
  <conditionalFormatting sqref="L1:L1048576 R1:R1048576 N1:N1048576 P1:P1048576">
    <cfRule type="expression" dxfId="135" priority="12">
      <formula>IF(L1=$BP$1,1,0)</formula>
    </cfRule>
    <cfRule type="expression" dxfId="134" priority="13">
      <formula>IF(L1=$AS$1,1,0)</formula>
    </cfRule>
    <cfRule type="expression" dxfId="133" priority="41">
      <formula>IF(L1=$V$1,1,0)</formula>
    </cfRule>
  </conditionalFormatting>
  <conditionalFormatting sqref="I1:I1048576">
    <cfRule type="containsText" dxfId="132" priority="7" operator="containsText" text="No DD">
      <formula>NOT(ISERROR(SEARCH("No DD",I1)))</formula>
    </cfRule>
    <cfRule type="containsText" dxfId="131" priority="8" operator="containsText" text="Merit">
      <formula>NOT(ISERROR(SEARCH("Merit",I1)))</formula>
    </cfRule>
    <cfRule type="containsText" dxfId="130" priority="9" operator="containsText" text="Excellence">
      <formula>NOT(ISERROR(SEARCH("Excellence",I1)))</formula>
    </cfRule>
    <cfRule type="containsText" dxfId="129" priority="10" operator="containsText" text="Worlds Team">
      <formula>NOT(ISERROR(SEARCH("Worlds Team",I1)))</formula>
    </cfRule>
    <cfRule type="containsText" dxfId="128" priority="11" operator="containsText" text="National Team">
      <formula>NOT(ISERROR(SEARCH("National Team",I1)))</formula>
    </cfRule>
  </conditionalFormatting>
  <conditionalFormatting sqref="BP4:CL11">
    <cfRule type="expression" dxfId="127" priority="5" stopIfTrue="1">
      <formula>IF($CE4&lt;&gt;"",1,0)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126" priority="85" operator="between">
      <formula>AR$17</formula>
      <formula>1000</formula>
    </cfRule>
    <cfRule type="cellIs" dxfId="125" priority="36707" operator="between">
      <formula>AR$16</formula>
      <formula>AR$17</formula>
    </cfRule>
    <cfRule type="cellIs" dxfId="124" priority="36803" operator="between">
      <formula>AR$15</formula>
      <formula>AR$16</formula>
    </cfRule>
    <cfRule type="cellIs" dxfId="123" priority="36804" operator="between">
      <formula>AR$14</formula>
      <formula>AR$15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122" priority="37910" operator="between">
      <formula>AR$21</formula>
      <formula>1000</formula>
    </cfRule>
    <cfRule type="cellIs" dxfId="121" priority="37911" operator="between">
      <formula>AR$20</formula>
      <formula>AR$21</formula>
    </cfRule>
  </conditionalFormatting>
  <conditionalFormatting sqref="AQ1:AQ19 BN1:BN1048576 CK1:CK1048576 DK1:DK1048576 EG1:EG1048576 FC1:FC1048576 FY1:FY1048576 GU1:GU1048576 HQ1:HQ1048576 IM1:IM1048576 JI1:JI1048576 KE1:KE1048576 LA1:LA1048576 LW1:LW1048576 MS1:MS1048576 AQ21:AQ1048576">
    <cfRule type="cellIs" dxfId="120" priority="37912" operator="between">
      <formula>AR$21</formula>
      <formula>1000</formula>
    </cfRule>
    <cfRule type="cellIs" dxfId="119" priority="37913" operator="between">
      <formula>AR$20</formula>
      <formula>AR$21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118" priority="37914" operator="between">
      <formula>AR$19</formula>
      <formula>1000</formula>
    </cfRule>
    <cfRule type="cellIs" dxfId="117" priority="37915" operator="between">
      <formula>AR$18</formula>
      <formula>AR$19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116" priority="37916" operator="between">
      <formula>AR$17</formula>
      <formula>1000</formula>
    </cfRule>
    <cfRule type="cellIs" dxfId="115" priority="37917" operator="between">
      <formula>AR$16</formula>
      <formula>AR$17</formula>
    </cfRule>
    <cfRule type="cellIs" dxfId="114" priority="37918" operator="between">
      <formula>AR$15</formula>
      <formula>AR$16</formula>
    </cfRule>
    <cfRule type="cellIs" dxfId="113" priority="37919" operator="between">
      <formula>AR$14</formula>
      <formula>AR$15</formula>
    </cfRule>
  </conditionalFormatting>
  <conditionalFormatting sqref="A1:A1048576">
    <cfRule type="expression" dxfId="112" priority="37920">
      <formula>AND(H1&lt;&gt;"",G1="")</formula>
    </cfRule>
  </conditionalFormatting>
  <conditionalFormatting sqref="AQ20">
    <cfRule type="cellIs" dxfId="111" priority="1" operator="between">
      <formula>AR$26</formula>
      <formula>1000</formula>
    </cfRule>
    <cfRule type="cellIs" dxfId="110" priority="2" operator="between">
      <formula>AR$25</formula>
      <formula>AR$26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965C-65FB-064C-9E10-09F8F7EB9F35}">
  <sheetPr codeName="Sheet11"/>
  <dimension ref="A1:NQ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131" width="10.83203125" hidden="1" customWidth="1"/>
    <col min="132" max="138" width="10.83203125" customWidth="1"/>
    <col min="139" max="153" width="10.83203125" hidden="1" customWidth="1"/>
    <col min="154" max="160" width="10.83203125" customWidth="1"/>
    <col min="161" max="381" width="10.83203125" hidden="1" customWidth="1"/>
  </cols>
  <sheetData>
    <row r="1" spans="1:381" x14ac:dyDescent="0.2">
      <c r="A1" s="136" t="s">
        <v>1</v>
      </c>
      <c r="B1" s="136" t="s">
        <v>41</v>
      </c>
      <c r="C1" s="136" t="s">
        <v>0</v>
      </c>
      <c r="D1" s="136" t="s">
        <v>93</v>
      </c>
      <c r="E1" s="136" t="s">
        <v>2</v>
      </c>
      <c r="F1" s="136" t="s">
        <v>199</v>
      </c>
      <c r="G1" s="136" t="s">
        <v>194</v>
      </c>
      <c r="H1" s="136" t="s">
        <v>195</v>
      </c>
      <c r="I1" s="136" t="s">
        <v>16</v>
      </c>
      <c r="J1" s="136" t="s">
        <v>210</v>
      </c>
      <c r="K1" s="141" t="s">
        <v>17</v>
      </c>
      <c r="L1" s="141" t="s">
        <v>56</v>
      </c>
      <c r="M1" s="141" t="s">
        <v>18</v>
      </c>
      <c r="N1" s="141" t="s">
        <v>56</v>
      </c>
      <c r="O1" s="141" t="s">
        <v>19</v>
      </c>
      <c r="P1" s="141" t="s">
        <v>56</v>
      </c>
      <c r="Q1" s="141" t="s">
        <v>20</v>
      </c>
      <c r="R1" s="141" t="s">
        <v>56</v>
      </c>
      <c r="S1" s="140" t="s">
        <v>21</v>
      </c>
      <c r="T1" s="141" t="s">
        <v>57</v>
      </c>
      <c r="U1" s="141" t="s">
        <v>56</v>
      </c>
      <c r="V1" s="137" t="s">
        <v>126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9" t="s">
        <v>142</v>
      </c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7" t="s">
        <v>187</v>
      </c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42" t="s">
        <v>21</v>
      </c>
      <c r="CN1" s="142"/>
      <c r="CO1" s="142"/>
      <c r="CP1" s="142"/>
      <c r="CQ1" s="137" t="s">
        <v>163</v>
      </c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9" t="s">
        <v>168</v>
      </c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7" t="s">
        <v>173</v>
      </c>
      <c r="EJ1" s="137"/>
      <c r="EK1" s="137"/>
      <c r="EL1" s="137"/>
      <c r="EM1" s="137"/>
      <c r="EN1" s="137"/>
      <c r="EO1" s="137"/>
      <c r="EP1" s="137"/>
      <c r="EQ1" s="137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7"/>
      <c r="GB1" s="137"/>
      <c r="GC1" s="137"/>
      <c r="GD1" s="137"/>
      <c r="GE1" s="137"/>
      <c r="GF1" s="137"/>
      <c r="GG1" s="137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7"/>
      <c r="HT1" s="137"/>
      <c r="HU1" s="137"/>
      <c r="HV1" s="137"/>
      <c r="HW1" s="137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7"/>
      <c r="JL1" s="137"/>
      <c r="JM1" s="137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7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7" t="s">
        <v>123</v>
      </c>
      <c r="MV1" s="137"/>
      <c r="MW1" s="137"/>
      <c r="MX1" s="137"/>
      <c r="MY1" s="137"/>
      <c r="MZ1" s="137"/>
      <c r="NA1" s="137"/>
      <c r="NB1" s="137"/>
      <c r="NC1" s="137"/>
      <c r="ND1" s="137"/>
      <c r="NE1" s="137"/>
      <c r="NF1" s="137"/>
      <c r="NG1" s="137"/>
      <c r="NH1" s="137"/>
      <c r="NI1" s="137"/>
      <c r="NJ1" s="137"/>
      <c r="NK1" s="137"/>
      <c r="NL1" s="137"/>
      <c r="NM1" s="137"/>
      <c r="NN1" s="137"/>
      <c r="NO1" s="137"/>
      <c r="NP1" s="137"/>
      <c r="NQ1" s="137"/>
    </row>
    <row r="2" spans="1:381" x14ac:dyDescent="0.2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41"/>
      <c r="L2" s="141"/>
      <c r="M2" s="141"/>
      <c r="N2" s="141"/>
      <c r="O2" s="141"/>
      <c r="P2" s="141"/>
      <c r="Q2" s="141"/>
      <c r="R2" s="141"/>
      <c r="S2" s="140"/>
      <c r="T2" s="141"/>
      <c r="U2" s="141"/>
      <c r="V2" s="135" t="s">
        <v>26</v>
      </c>
      <c r="W2" s="135"/>
      <c r="X2" s="135"/>
      <c r="Y2" s="135"/>
      <c r="Z2" s="135"/>
      <c r="AA2" s="135" t="s">
        <v>27</v>
      </c>
      <c r="AB2" s="135"/>
      <c r="AC2" s="135"/>
      <c r="AD2" s="135"/>
      <c r="AE2" s="135"/>
      <c r="AF2" s="135" t="s">
        <v>30</v>
      </c>
      <c r="AG2" s="135"/>
      <c r="AH2" s="135"/>
      <c r="AI2" s="135"/>
      <c r="AJ2" s="135"/>
      <c r="AK2" s="112"/>
      <c r="AL2" s="112" t="s">
        <v>114</v>
      </c>
      <c r="AM2" s="9" t="s">
        <v>28</v>
      </c>
      <c r="AN2" s="9" t="s">
        <v>29</v>
      </c>
      <c r="AO2" s="9" t="s">
        <v>31</v>
      </c>
      <c r="AP2" s="9" t="s">
        <v>139</v>
      </c>
      <c r="AQ2" s="9" t="s">
        <v>30</v>
      </c>
      <c r="AR2" s="9" t="s">
        <v>25</v>
      </c>
      <c r="AS2" s="138" t="s">
        <v>26</v>
      </c>
      <c r="AT2" s="138"/>
      <c r="AU2" s="138"/>
      <c r="AV2" s="138"/>
      <c r="AW2" s="138"/>
      <c r="AX2" s="138" t="s">
        <v>27</v>
      </c>
      <c r="AY2" s="138"/>
      <c r="AZ2" s="138"/>
      <c r="BA2" s="138"/>
      <c r="BB2" s="138"/>
      <c r="BC2" s="138" t="s">
        <v>30</v>
      </c>
      <c r="BD2" s="138"/>
      <c r="BE2" s="138"/>
      <c r="BF2" s="138"/>
      <c r="BG2" s="138"/>
      <c r="BH2" s="113"/>
      <c r="BI2" s="113" t="s">
        <v>114</v>
      </c>
      <c r="BJ2" s="12" t="s">
        <v>28</v>
      </c>
      <c r="BK2" s="12" t="s">
        <v>29</v>
      </c>
      <c r="BL2" s="12" t="s">
        <v>31</v>
      </c>
      <c r="BM2" s="12" t="s">
        <v>139</v>
      </c>
      <c r="BN2" s="12" t="s">
        <v>30</v>
      </c>
      <c r="BO2" s="12" t="s">
        <v>25</v>
      </c>
      <c r="BP2" s="135" t="s">
        <v>26</v>
      </c>
      <c r="BQ2" s="135"/>
      <c r="BR2" s="135"/>
      <c r="BS2" s="135"/>
      <c r="BT2" s="135"/>
      <c r="BU2" s="135" t="s">
        <v>27</v>
      </c>
      <c r="BV2" s="135"/>
      <c r="BW2" s="135"/>
      <c r="BX2" s="135"/>
      <c r="BY2" s="135"/>
      <c r="BZ2" s="135" t="s">
        <v>30</v>
      </c>
      <c r="CA2" s="135"/>
      <c r="CB2" s="135"/>
      <c r="CC2" s="135"/>
      <c r="CD2" s="135"/>
      <c r="CE2" s="112"/>
      <c r="CF2" s="112" t="s">
        <v>114</v>
      </c>
      <c r="CG2" s="9" t="s">
        <v>28</v>
      </c>
      <c r="CH2" s="9" t="s">
        <v>29</v>
      </c>
      <c r="CI2" s="9" t="s">
        <v>31</v>
      </c>
      <c r="CJ2" s="9" t="s">
        <v>139</v>
      </c>
      <c r="CK2" s="9" t="s">
        <v>30</v>
      </c>
      <c r="CL2" s="9" t="s">
        <v>25</v>
      </c>
      <c r="CM2" s="22" t="s">
        <v>28</v>
      </c>
      <c r="CN2" s="22" t="s">
        <v>29</v>
      </c>
      <c r="CO2" s="22" t="s">
        <v>31</v>
      </c>
      <c r="CP2" s="22" t="s">
        <v>30</v>
      </c>
      <c r="CQ2" s="135" t="s">
        <v>26</v>
      </c>
      <c r="CR2" s="135"/>
      <c r="CS2" s="135"/>
      <c r="CT2" s="135"/>
      <c r="CU2" s="135"/>
      <c r="CV2" s="135" t="s">
        <v>27</v>
      </c>
      <c r="CW2" s="135"/>
      <c r="CX2" s="135"/>
      <c r="CY2" s="135"/>
      <c r="CZ2" s="135"/>
      <c r="DA2" s="135" t="s">
        <v>30</v>
      </c>
      <c r="DB2" s="135"/>
      <c r="DC2" s="135"/>
      <c r="DD2" s="135"/>
      <c r="DE2" s="135"/>
      <c r="DF2" s="112" t="s">
        <v>114</v>
      </c>
      <c r="DG2" s="9" t="s">
        <v>28</v>
      </c>
      <c r="DH2" s="9" t="s">
        <v>29</v>
      </c>
      <c r="DI2" s="9" t="s">
        <v>31</v>
      </c>
      <c r="DJ2" s="9" t="s">
        <v>139</v>
      </c>
      <c r="DK2" s="9" t="s">
        <v>30</v>
      </c>
      <c r="DL2" s="9" t="s">
        <v>25</v>
      </c>
      <c r="DM2" s="138" t="s">
        <v>26</v>
      </c>
      <c r="DN2" s="138"/>
      <c r="DO2" s="138"/>
      <c r="DP2" s="138"/>
      <c r="DQ2" s="138"/>
      <c r="DR2" s="138" t="s">
        <v>27</v>
      </c>
      <c r="DS2" s="138"/>
      <c r="DT2" s="138"/>
      <c r="DU2" s="138"/>
      <c r="DV2" s="138"/>
      <c r="DW2" s="138" t="s">
        <v>30</v>
      </c>
      <c r="DX2" s="138"/>
      <c r="DY2" s="138"/>
      <c r="DZ2" s="138"/>
      <c r="EA2" s="138"/>
      <c r="EB2" s="113" t="s">
        <v>114</v>
      </c>
      <c r="EC2" s="12" t="s">
        <v>28</v>
      </c>
      <c r="ED2" s="12" t="s">
        <v>29</v>
      </c>
      <c r="EE2" s="12" t="s">
        <v>31</v>
      </c>
      <c r="EF2" s="12" t="s">
        <v>139</v>
      </c>
      <c r="EG2" s="12" t="s">
        <v>30</v>
      </c>
      <c r="EH2" s="12" t="s">
        <v>25</v>
      </c>
      <c r="EI2" s="135" t="s">
        <v>26</v>
      </c>
      <c r="EJ2" s="135"/>
      <c r="EK2" s="135"/>
      <c r="EL2" s="135"/>
      <c r="EM2" s="135"/>
      <c r="EN2" s="135" t="s">
        <v>27</v>
      </c>
      <c r="EO2" s="135"/>
      <c r="EP2" s="135"/>
      <c r="EQ2" s="135"/>
      <c r="ER2" s="135"/>
      <c r="ES2" s="135" t="s">
        <v>30</v>
      </c>
      <c r="ET2" s="135"/>
      <c r="EU2" s="135"/>
      <c r="EV2" s="135"/>
      <c r="EW2" s="135"/>
      <c r="EX2" s="112" t="s">
        <v>114</v>
      </c>
      <c r="EY2" s="9" t="s">
        <v>28</v>
      </c>
      <c r="EZ2" s="9" t="s">
        <v>29</v>
      </c>
      <c r="FA2" s="9" t="s">
        <v>31</v>
      </c>
      <c r="FB2" s="9" t="s">
        <v>139</v>
      </c>
      <c r="FC2" s="9" t="s">
        <v>30</v>
      </c>
      <c r="FD2" s="9" t="s">
        <v>25</v>
      </c>
      <c r="FE2" s="138" t="s">
        <v>26</v>
      </c>
      <c r="FF2" s="138"/>
      <c r="FG2" s="138"/>
      <c r="FH2" s="138"/>
      <c r="FI2" s="138"/>
      <c r="FJ2" s="138" t="s">
        <v>27</v>
      </c>
      <c r="FK2" s="138"/>
      <c r="FL2" s="138"/>
      <c r="FM2" s="138"/>
      <c r="FN2" s="138"/>
      <c r="FO2" s="138" t="s">
        <v>30</v>
      </c>
      <c r="FP2" s="138"/>
      <c r="FQ2" s="138"/>
      <c r="FR2" s="138"/>
      <c r="FS2" s="138"/>
      <c r="FT2" s="113" t="s">
        <v>114</v>
      </c>
      <c r="FU2" s="12" t="s">
        <v>28</v>
      </c>
      <c r="FV2" s="12" t="s">
        <v>29</v>
      </c>
      <c r="FW2" s="12" t="s">
        <v>31</v>
      </c>
      <c r="FX2" s="12" t="s">
        <v>139</v>
      </c>
      <c r="FY2" s="12" t="s">
        <v>30</v>
      </c>
      <c r="FZ2" s="12" t="s">
        <v>25</v>
      </c>
      <c r="GA2" s="135" t="s">
        <v>26</v>
      </c>
      <c r="GB2" s="135"/>
      <c r="GC2" s="135"/>
      <c r="GD2" s="135"/>
      <c r="GE2" s="135"/>
      <c r="GF2" s="135" t="s">
        <v>27</v>
      </c>
      <c r="GG2" s="135"/>
      <c r="GH2" s="135"/>
      <c r="GI2" s="135"/>
      <c r="GJ2" s="135"/>
      <c r="GK2" s="135" t="s">
        <v>30</v>
      </c>
      <c r="GL2" s="135"/>
      <c r="GM2" s="135"/>
      <c r="GN2" s="135"/>
      <c r="GO2" s="135"/>
      <c r="GP2" s="112" t="s">
        <v>114</v>
      </c>
      <c r="GQ2" s="9" t="s">
        <v>28</v>
      </c>
      <c r="GR2" s="9" t="s">
        <v>29</v>
      </c>
      <c r="GS2" s="9" t="s">
        <v>31</v>
      </c>
      <c r="GT2" s="9" t="s">
        <v>139</v>
      </c>
      <c r="GU2" s="9" t="s">
        <v>30</v>
      </c>
      <c r="GV2" s="9" t="s">
        <v>25</v>
      </c>
      <c r="GW2" s="138" t="s">
        <v>26</v>
      </c>
      <c r="GX2" s="138"/>
      <c r="GY2" s="138"/>
      <c r="GZ2" s="138"/>
      <c r="HA2" s="138"/>
      <c r="HB2" s="138" t="s">
        <v>27</v>
      </c>
      <c r="HC2" s="138"/>
      <c r="HD2" s="138"/>
      <c r="HE2" s="138"/>
      <c r="HF2" s="138"/>
      <c r="HG2" s="138" t="s">
        <v>30</v>
      </c>
      <c r="HH2" s="138"/>
      <c r="HI2" s="138"/>
      <c r="HJ2" s="138"/>
      <c r="HK2" s="138"/>
      <c r="HL2" s="113" t="s">
        <v>114</v>
      </c>
      <c r="HM2" s="12" t="s">
        <v>28</v>
      </c>
      <c r="HN2" s="12" t="s">
        <v>29</v>
      </c>
      <c r="HO2" s="12" t="s">
        <v>31</v>
      </c>
      <c r="HP2" s="12" t="s">
        <v>139</v>
      </c>
      <c r="HQ2" s="12" t="s">
        <v>30</v>
      </c>
      <c r="HR2" s="12" t="s">
        <v>25</v>
      </c>
      <c r="HS2" s="135" t="s">
        <v>26</v>
      </c>
      <c r="HT2" s="135"/>
      <c r="HU2" s="135"/>
      <c r="HV2" s="135"/>
      <c r="HW2" s="135"/>
      <c r="HX2" s="135" t="s">
        <v>27</v>
      </c>
      <c r="HY2" s="135"/>
      <c r="HZ2" s="135"/>
      <c r="IA2" s="135"/>
      <c r="IB2" s="135"/>
      <c r="IC2" s="135" t="s">
        <v>30</v>
      </c>
      <c r="ID2" s="135"/>
      <c r="IE2" s="135"/>
      <c r="IF2" s="135"/>
      <c r="IG2" s="135"/>
      <c r="IH2" s="112" t="s">
        <v>114</v>
      </c>
      <c r="II2" s="9" t="s">
        <v>28</v>
      </c>
      <c r="IJ2" s="9" t="s">
        <v>29</v>
      </c>
      <c r="IK2" s="9" t="s">
        <v>31</v>
      </c>
      <c r="IL2" s="9" t="s">
        <v>139</v>
      </c>
      <c r="IM2" s="9" t="s">
        <v>30</v>
      </c>
      <c r="IN2" s="9" t="s">
        <v>25</v>
      </c>
      <c r="IO2" s="138" t="s">
        <v>26</v>
      </c>
      <c r="IP2" s="138"/>
      <c r="IQ2" s="138"/>
      <c r="IR2" s="138"/>
      <c r="IS2" s="138"/>
      <c r="IT2" s="138" t="s">
        <v>27</v>
      </c>
      <c r="IU2" s="138"/>
      <c r="IV2" s="138"/>
      <c r="IW2" s="138"/>
      <c r="IX2" s="138"/>
      <c r="IY2" s="138" t="s">
        <v>30</v>
      </c>
      <c r="IZ2" s="138"/>
      <c r="JA2" s="138"/>
      <c r="JB2" s="138"/>
      <c r="JC2" s="138"/>
      <c r="JD2" s="113" t="s">
        <v>114</v>
      </c>
      <c r="JE2" s="12" t="s">
        <v>28</v>
      </c>
      <c r="JF2" s="12" t="s">
        <v>29</v>
      </c>
      <c r="JG2" s="12" t="s">
        <v>31</v>
      </c>
      <c r="JH2" s="12" t="s">
        <v>139</v>
      </c>
      <c r="JI2" s="12" t="s">
        <v>30</v>
      </c>
      <c r="JJ2" s="12" t="s">
        <v>25</v>
      </c>
      <c r="JK2" s="135" t="s">
        <v>26</v>
      </c>
      <c r="JL2" s="135"/>
      <c r="JM2" s="135"/>
      <c r="JN2" s="135"/>
      <c r="JO2" s="135"/>
      <c r="JP2" s="135" t="s">
        <v>27</v>
      </c>
      <c r="JQ2" s="135"/>
      <c r="JR2" s="135"/>
      <c r="JS2" s="135"/>
      <c r="JT2" s="135"/>
      <c r="JU2" s="135" t="s">
        <v>30</v>
      </c>
      <c r="JV2" s="135"/>
      <c r="JW2" s="135"/>
      <c r="JX2" s="135"/>
      <c r="JY2" s="135"/>
      <c r="JZ2" s="112" t="s">
        <v>114</v>
      </c>
      <c r="KA2" s="9" t="s">
        <v>28</v>
      </c>
      <c r="KB2" s="9" t="s">
        <v>29</v>
      </c>
      <c r="KC2" s="9" t="s">
        <v>31</v>
      </c>
      <c r="KD2" s="9" t="s">
        <v>139</v>
      </c>
      <c r="KE2" s="9" t="s">
        <v>30</v>
      </c>
      <c r="KF2" s="9" t="s">
        <v>25</v>
      </c>
      <c r="KG2" s="138" t="s">
        <v>26</v>
      </c>
      <c r="KH2" s="138"/>
      <c r="KI2" s="138"/>
      <c r="KJ2" s="138"/>
      <c r="KK2" s="138"/>
      <c r="KL2" s="138" t="s">
        <v>27</v>
      </c>
      <c r="KM2" s="138"/>
      <c r="KN2" s="138"/>
      <c r="KO2" s="138"/>
      <c r="KP2" s="138"/>
      <c r="KQ2" s="138" t="s">
        <v>30</v>
      </c>
      <c r="KR2" s="138"/>
      <c r="KS2" s="138"/>
      <c r="KT2" s="138"/>
      <c r="KU2" s="138"/>
      <c r="KV2" s="113" t="s">
        <v>114</v>
      </c>
      <c r="KW2" s="12" t="s">
        <v>28</v>
      </c>
      <c r="KX2" s="12" t="s">
        <v>29</v>
      </c>
      <c r="KY2" s="12" t="s">
        <v>31</v>
      </c>
      <c r="KZ2" s="12" t="s">
        <v>139</v>
      </c>
      <c r="LA2" s="12" t="s">
        <v>30</v>
      </c>
      <c r="LB2" s="12" t="s">
        <v>25</v>
      </c>
      <c r="LC2" s="135" t="s">
        <v>26</v>
      </c>
      <c r="LD2" s="135"/>
      <c r="LE2" s="135"/>
      <c r="LF2" s="135"/>
      <c r="LG2" s="135"/>
      <c r="LH2" s="135" t="s">
        <v>27</v>
      </c>
      <c r="LI2" s="135"/>
      <c r="LJ2" s="135"/>
      <c r="LK2" s="135"/>
      <c r="LL2" s="135"/>
      <c r="LM2" s="135" t="s">
        <v>30</v>
      </c>
      <c r="LN2" s="135"/>
      <c r="LO2" s="135"/>
      <c r="LP2" s="135"/>
      <c r="LQ2" s="135"/>
      <c r="LR2" s="112" t="s">
        <v>114</v>
      </c>
      <c r="LS2" s="9" t="s">
        <v>28</v>
      </c>
      <c r="LT2" s="9" t="s">
        <v>29</v>
      </c>
      <c r="LU2" s="9" t="s">
        <v>31</v>
      </c>
      <c r="LV2" s="9" t="s">
        <v>139</v>
      </c>
      <c r="LW2" s="9" t="s">
        <v>30</v>
      </c>
      <c r="LX2" s="9" t="s">
        <v>25</v>
      </c>
      <c r="LY2" s="138" t="s">
        <v>26</v>
      </c>
      <c r="LZ2" s="138"/>
      <c r="MA2" s="138"/>
      <c r="MB2" s="138"/>
      <c r="MC2" s="138"/>
      <c r="MD2" s="138" t="s">
        <v>27</v>
      </c>
      <c r="ME2" s="138"/>
      <c r="MF2" s="138"/>
      <c r="MG2" s="138"/>
      <c r="MH2" s="138"/>
      <c r="MI2" s="138" t="s">
        <v>30</v>
      </c>
      <c r="MJ2" s="138"/>
      <c r="MK2" s="138"/>
      <c r="ML2" s="138"/>
      <c r="MM2" s="138"/>
      <c r="MN2" s="113" t="s">
        <v>114</v>
      </c>
      <c r="MO2" s="12" t="s">
        <v>28</v>
      </c>
      <c r="MP2" s="12" t="s">
        <v>29</v>
      </c>
      <c r="MQ2" s="12" t="s">
        <v>31</v>
      </c>
      <c r="MR2" s="12" t="s">
        <v>139</v>
      </c>
      <c r="MS2" s="12" t="s">
        <v>30</v>
      </c>
      <c r="MT2" s="12" t="s">
        <v>25</v>
      </c>
      <c r="MU2" s="135" t="s">
        <v>26</v>
      </c>
      <c r="MV2" s="135"/>
      <c r="MW2" s="135"/>
      <c r="MX2" s="135"/>
      <c r="MY2" s="135"/>
      <c r="MZ2" s="135" t="s">
        <v>27</v>
      </c>
      <c r="NA2" s="135"/>
      <c r="NB2" s="135"/>
      <c r="NC2" s="135"/>
      <c r="ND2" s="135"/>
      <c r="NE2" s="135" t="s">
        <v>30</v>
      </c>
      <c r="NF2" s="135"/>
      <c r="NG2" s="135"/>
      <c r="NH2" s="135"/>
      <c r="NI2" s="135"/>
      <c r="NJ2" s="112"/>
      <c r="NK2" s="112" t="s">
        <v>114</v>
      </c>
      <c r="NL2" s="9" t="s">
        <v>28</v>
      </c>
      <c r="NM2" s="9" t="s">
        <v>29</v>
      </c>
      <c r="NN2" s="9" t="s">
        <v>31</v>
      </c>
      <c r="NO2" s="9" t="s">
        <v>139</v>
      </c>
      <c r="NP2" s="9" t="s">
        <v>30</v>
      </c>
      <c r="NQ2" s="9" t="s">
        <v>25</v>
      </c>
    </row>
    <row r="3" spans="1:381" x14ac:dyDescent="0.2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41"/>
      <c r="L3" s="141"/>
      <c r="M3" s="141"/>
      <c r="N3" s="141"/>
      <c r="O3" s="141"/>
      <c r="P3" s="141"/>
      <c r="Q3" s="141"/>
      <c r="R3" s="141"/>
      <c r="S3" s="140"/>
      <c r="T3" s="141"/>
      <c r="U3" s="141"/>
      <c r="V3" s="112" t="s">
        <v>22</v>
      </c>
      <c r="W3" s="112" t="s">
        <v>23</v>
      </c>
      <c r="X3" s="112" t="s">
        <v>14</v>
      </c>
      <c r="Y3" s="112" t="s">
        <v>54</v>
      </c>
      <c r="Z3" s="112" t="s">
        <v>44</v>
      </c>
      <c r="AA3" s="112" t="s">
        <v>22</v>
      </c>
      <c r="AB3" s="112" t="s">
        <v>23</v>
      </c>
      <c r="AC3" s="112" t="s">
        <v>14</v>
      </c>
      <c r="AD3" s="112" t="s">
        <v>54</v>
      </c>
      <c r="AE3" s="112" t="s">
        <v>44</v>
      </c>
      <c r="AF3" s="112" t="s">
        <v>22</v>
      </c>
      <c r="AG3" s="112" t="s">
        <v>23</v>
      </c>
      <c r="AH3" s="112" t="s">
        <v>14</v>
      </c>
      <c r="AI3" s="112" t="s">
        <v>54</v>
      </c>
      <c r="AJ3" s="112" t="s">
        <v>44</v>
      </c>
      <c r="AK3" s="112" t="s">
        <v>90</v>
      </c>
      <c r="AL3" s="10"/>
      <c r="AM3" s="9"/>
      <c r="AN3" s="9"/>
      <c r="AO3" s="9"/>
      <c r="AP3" s="9"/>
      <c r="AQ3" s="10"/>
      <c r="AR3" s="10"/>
      <c r="AS3" s="113" t="s">
        <v>22</v>
      </c>
      <c r="AT3" s="113" t="s">
        <v>23</v>
      </c>
      <c r="AU3" s="113" t="s">
        <v>14</v>
      </c>
      <c r="AV3" s="113" t="s">
        <v>54</v>
      </c>
      <c r="AW3" s="113" t="s">
        <v>44</v>
      </c>
      <c r="AX3" s="113" t="s">
        <v>22</v>
      </c>
      <c r="AY3" s="113" t="s">
        <v>23</v>
      </c>
      <c r="AZ3" s="113" t="s">
        <v>14</v>
      </c>
      <c r="BA3" s="113" t="s">
        <v>54</v>
      </c>
      <c r="BB3" s="113" t="s">
        <v>44</v>
      </c>
      <c r="BC3" s="113" t="s">
        <v>22</v>
      </c>
      <c r="BD3" s="113" t="s">
        <v>23</v>
      </c>
      <c r="BE3" s="113" t="s">
        <v>14</v>
      </c>
      <c r="BF3" s="113" t="s">
        <v>54</v>
      </c>
      <c r="BG3" s="113" t="s">
        <v>44</v>
      </c>
      <c r="BH3" s="113" t="s">
        <v>90</v>
      </c>
      <c r="BI3" s="13"/>
      <c r="BJ3" s="12"/>
      <c r="BK3" s="12"/>
      <c r="BL3" s="12"/>
      <c r="BM3" s="12"/>
      <c r="BN3" s="13"/>
      <c r="BO3" s="13"/>
      <c r="BP3" s="112" t="s">
        <v>22</v>
      </c>
      <c r="BQ3" s="112" t="s">
        <v>23</v>
      </c>
      <c r="BR3" s="112" t="s">
        <v>14</v>
      </c>
      <c r="BS3" s="112" t="s">
        <v>54</v>
      </c>
      <c r="BT3" s="112" t="s">
        <v>44</v>
      </c>
      <c r="BU3" s="112" t="s">
        <v>22</v>
      </c>
      <c r="BV3" s="112" t="s">
        <v>23</v>
      </c>
      <c r="BW3" s="112" t="s">
        <v>14</v>
      </c>
      <c r="BX3" s="112" t="s">
        <v>54</v>
      </c>
      <c r="BY3" s="112" t="s">
        <v>44</v>
      </c>
      <c r="BZ3" s="112" t="s">
        <v>22</v>
      </c>
      <c r="CA3" s="112" t="s">
        <v>23</v>
      </c>
      <c r="CB3" s="112" t="s">
        <v>14</v>
      </c>
      <c r="CC3" s="112" t="s">
        <v>54</v>
      </c>
      <c r="CD3" s="112" t="s">
        <v>44</v>
      </c>
      <c r="CE3" s="112" t="s">
        <v>90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112" t="s">
        <v>22</v>
      </c>
      <c r="CR3" s="112" t="s">
        <v>23</v>
      </c>
      <c r="CS3" s="112" t="s">
        <v>14</v>
      </c>
      <c r="CT3" s="48" t="s">
        <v>54</v>
      </c>
      <c r="CU3" s="48" t="s">
        <v>44</v>
      </c>
      <c r="CV3" s="112" t="s">
        <v>22</v>
      </c>
      <c r="CW3" s="112" t="s">
        <v>23</v>
      </c>
      <c r="CX3" s="112" t="s">
        <v>14</v>
      </c>
      <c r="CY3" s="48" t="s">
        <v>54</v>
      </c>
      <c r="CZ3" s="48" t="s">
        <v>44</v>
      </c>
      <c r="DA3" s="112" t="s">
        <v>22</v>
      </c>
      <c r="DB3" s="112" t="s">
        <v>23</v>
      </c>
      <c r="DC3" s="112" t="s">
        <v>14</v>
      </c>
      <c r="DD3" s="48" t="s">
        <v>54</v>
      </c>
      <c r="DE3" s="48" t="s">
        <v>44</v>
      </c>
      <c r="DF3" s="10"/>
      <c r="DG3" s="9"/>
      <c r="DH3" s="9"/>
      <c r="DI3" s="9"/>
      <c r="DJ3" s="9"/>
      <c r="DK3" s="10"/>
      <c r="DL3" s="10"/>
      <c r="DM3" s="113" t="s">
        <v>22</v>
      </c>
      <c r="DN3" s="113" t="s">
        <v>23</v>
      </c>
      <c r="DO3" s="113" t="s">
        <v>14</v>
      </c>
      <c r="DP3" s="115" t="s">
        <v>54</v>
      </c>
      <c r="DQ3" s="115" t="s">
        <v>44</v>
      </c>
      <c r="DR3" s="113" t="s">
        <v>22</v>
      </c>
      <c r="DS3" s="113" t="s">
        <v>23</v>
      </c>
      <c r="DT3" s="113" t="s">
        <v>14</v>
      </c>
      <c r="DU3" s="115" t="s">
        <v>54</v>
      </c>
      <c r="DV3" s="115" t="s">
        <v>44</v>
      </c>
      <c r="DW3" s="113" t="s">
        <v>22</v>
      </c>
      <c r="DX3" s="113" t="s">
        <v>23</v>
      </c>
      <c r="DY3" s="113" t="s">
        <v>14</v>
      </c>
      <c r="DZ3" s="115" t="s">
        <v>54</v>
      </c>
      <c r="EA3" s="115" t="s">
        <v>44</v>
      </c>
      <c r="EB3" s="13"/>
      <c r="EC3" s="12"/>
      <c r="ED3" s="12"/>
      <c r="EE3" s="12"/>
      <c r="EF3" s="12"/>
      <c r="EG3" s="13"/>
      <c r="EH3" s="13"/>
      <c r="EI3" s="112" t="s">
        <v>22</v>
      </c>
      <c r="EJ3" s="112" t="s">
        <v>23</v>
      </c>
      <c r="EK3" s="112" t="s">
        <v>14</v>
      </c>
      <c r="EL3" s="114" t="s">
        <v>54</v>
      </c>
      <c r="EM3" s="114" t="s">
        <v>44</v>
      </c>
      <c r="EN3" s="112" t="s">
        <v>22</v>
      </c>
      <c r="EO3" s="112" t="s">
        <v>23</v>
      </c>
      <c r="EP3" s="112" t="s">
        <v>14</v>
      </c>
      <c r="EQ3" s="114" t="s">
        <v>54</v>
      </c>
      <c r="ER3" s="114" t="s">
        <v>44</v>
      </c>
      <c r="ES3" s="112" t="s">
        <v>22</v>
      </c>
      <c r="ET3" s="112" t="s">
        <v>23</v>
      </c>
      <c r="EU3" s="112" t="s">
        <v>14</v>
      </c>
      <c r="EV3" s="114" t="s">
        <v>54</v>
      </c>
      <c r="EW3" s="114" t="s">
        <v>44</v>
      </c>
      <c r="EX3" s="10"/>
      <c r="EY3" s="9"/>
      <c r="EZ3" s="9"/>
      <c r="FA3" s="9"/>
      <c r="FB3" s="9"/>
      <c r="FC3" s="10"/>
      <c r="FD3" s="10"/>
      <c r="FE3" s="113" t="s">
        <v>22</v>
      </c>
      <c r="FF3" s="113" t="s">
        <v>23</v>
      </c>
      <c r="FG3" s="113" t="s">
        <v>14</v>
      </c>
      <c r="FH3" s="115" t="s">
        <v>54</v>
      </c>
      <c r="FI3" s="115" t="s">
        <v>44</v>
      </c>
      <c r="FJ3" s="113" t="s">
        <v>22</v>
      </c>
      <c r="FK3" s="113" t="s">
        <v>23</v>
      </c>
      <c r="FL3" s="113" t="s">
        <v>14</v>
      </c>
      <c r="FM3" s="115" t="s">
        <v>54</v>
      </c>
      <c r="FN3" s="115" t="s">
        <v>44</v>
      </c>
      <c r="FO3" s="113" t="s">
        <v>22</v>
      </c>
      <c r="FP3" s="113" t="s">
        <v>23</v>
      </c>
      <c r="FQ3" s="113" t="s">
        <v>14</v>
      </c>
      <c r="FR3" s="115" t="s">
        <v>54</v>
      </c>
      <c r="FS3" s="115" t="s">
        <v>44</v>
      </c>
      <c r="FT3" s="13"/>
      <c r="FU3" s="12"/>
      <c r="FV3" s="12"/>
      <c r="FW3" s="12"/>
      <c r="FX3" s="12"/>
      <c r="FY3" s="13"/>
      <c r="FZ3" s="13"/>
      <c r="GA3" s="112" t="s">
        <v>22</v>
      </c>
      <c r="GB3" s="112" t="s">
        <v>23</v>
      </c>
      <c r="GC3" s="112" t="s">
        <v>14</v>
      </c>
      <c r="GD3" s="114" t="s">
        <v>54</v>
      </c>
      <c r="GE3" s="114" t="s">
        <v>44</v>
      </c>
      <c r="GF3" s="112" t="s">
        <v>22</v>
      </c>
      <c r="GG3" s="112" t="s">
        <v>23</v>
      </c>
      <c r="GH3" s="112" t="s">
        <v>14</v>
      </c>
      <c r="GI3" s="114" t="s">
        <v>54</v>
      </c>
      <c r="GJ3" s="114" t="s">
        <v>44</v>
      </c>
      <c r="GK3" s="112" t="s">
        <v>22</v>
      </c>
      <c r="GL3" s="112" t="s">
        <v>23</v>
      </c>
      <c r="GM3" s="112" t="s">
        <v>14</v>
      </c>
      <c r="GN3" s="114" t="s">
        <v>54</v>
      </c>
      <c r="GO3" s="114" t="s">
        <v>44</v>
      </c>
      <c r="GP3" s="10"/>
      <c r="GQ3" s="9"/>
      <c r="GR3" s="9"/>
      <c r="GS3" s="9"/>
      <c r="GT3" s="9"/>
      <c r="GU3" s="10"/>
      <c r="GV3" s="10"/>
      <c r="GW3" s="113" t="s">
        <v>22</v>
      </c>
      <c r="GX3" s="113" t="s">
        <v>23</v>
      </c>
      <c r="GY3" s="113" t="s">
        <v>14</v>
      </c>
      <c r="GZ3" s="115" t="s">
        <v>54</v>
      </c>
      <c r="HA3" s="115" t="s">
        <v>44</v>
      </c>
      <c r="HB3" s="113" t="s">
        <v>22</v>
      </c>
      <c r="HC3" s="113" t="s">
        <v>23</v>
      </c>
      <c r="HD3" s="113" t="s">
        <v>14</v>
      </c>
      <c r="HE3" s="115" t="s">
        <v>54</v>
      </c>
      <c r="HF3" s="115" t="s">
        <v>44</v>
      </c>
      <c r="HG3" s="113" t="s">
        <v>22</v>
      </c>
      <c r="HH3" s="113" t="s">
        <v>23</v>
      </c>
      <c r="HI3" s="113" t="s">
        <v>14</v>
      </c>
      <c r="HJ3" s="115" t="s">
        <v>54</v>
      </c>
      <c r="HK3" s="115" t="s">
        <v>44</v>
      </c>
      <c r="HL3" s="13"/>
      <c r="HM3" s="12"/>
      <c r="HN3" s="12"/>
      <c r="HO3" s="12"/>
      <c r="HP3" s="12"/>
      <c r="HQ3" s="13"/>
      <c r="HR3" s="13"/>
      <c r="HS3" s="112" t="s">
        <v>22</v>
      </c>
      <c r="HT3" s="112" t="s">
        <v>23</v>
      </c>
      <c r="HU3" s="112" t="s">
        <v>14</v>
      </c>
      <c r="HV3" s="114" t="s">
        <v>54</v>
      </c>
      <c r="HW3" s="114" t="s">
        <v>44</v>
      </c>
      <c r="HX3" s="112" t="s">
        <v>22</v>
      </c>
      <c r="HY3" s="112" t="s">
        <v>23</v>
      </c>
      <c r="HZ3" s="112" t="s">
        <v>14</v>
      </c>
      <c r="IA3" s="114" t="s">
        <v>54</v>
      </c>
      <c r="IB3" s="114" t="s">
        <v>44</v>
      </c>
      <c r="IC3" s="112" t="s">
        <v>22</v>
      </c>
      <c r="ID3" s="112" t="s">
        <v>23</v>
      </c>
      <c r="IE3" s="112" t="s">
        <v>14</v>
      </c>
      <c r="IF3" s="114" t="s">
        <v>54</v>
      </c>
      <c r="IG3" s="114" t="s">
        <v>44</v>
      </c>
      <c r="IH3" s="10"/>
      <c r="II3" s="9"/>
      <c r="IJ3" s="9"/>
      <c r="IK3" s="9"/>
      <c r="IL3" s="9"/>
      <c r="IM3" s="10"/>
      <c r="IN3" s="10"/>
      <c r="IO3" s="113" t="s">
        <v>22</v>
      </c>
      <c r="IP3" s="113" t="s">
        <v>23</v>
      </c>
      <c r="IQ3" s="113" t="s">
        <v>14</v>
      </c>
      <c r="IR3" s="115" t="s">
        <v>54</v>
      </c>
      <c r="IS3" s="115" t="s">
        <v>44</v>
      </c>
      <c r="IT3" s="113" t="s">
        <v>22</v>
      </c>
      <c r="IU3" s="113" t="s">
        <v>23</v>
      </c>
      <c r="IV3" s="113" t="s">
        <v>14</v>
      </c>
      <c r="IW3" s="115" t="s">
        <v>54</v>
      </c>
      <c r="IX3" s="115" t="s">
        <v>44</v>
      </c>
      <c r="IY3" s="113" t="s">
        <v>22</v>
      </c>
      <c r="IZ3" s="113" t="s">
        <v>23</v>
      </c>
      <c r="JA3" s="113" t="s">
        <v>14</v>
      </c>
      <c r="JB3" s="115" t="s">
        <v>54</v>
      </c>
      <c r="JC3" s="115" t="s">
        <v>44</v>
      </c>
      <c r="JD3" s="13"/>
      <c r="JE3" s="12"/>
      <c r="JF3" s="12"/>
      <c r="JG3" s="12"/>
      <c r="JH3" s="12"/>
      <c r="JI3" s="13"/>
      <c r="JJ3" s="13"/>
      <c r="JK3" s="112" t="s">
        <v>22</v>
      </c>
      <c r="JL3" s="112" t="s">
        <v>23</v>
      </c>
      <c r="JM3" s="112" t="s">
        <v>14</v>
      </c>
      <c r="JN3" s="114" t="s">
        <v>54</v>
      </c>
      <c r="JO3" s="114" t="s">
        <v>44</v>
      </c>
      <c r="JP3" s="112" t="s">
        <v>22</v>
      </c>
      <c r="JQ3" s="112" t="s">
        <v>23</v>
      </c>
      <c r="JR3" s="112" t="s">
        <v>14</v>
      </c>
      <c r="JS3" s="114" t="s">
        <v>54</v>
      </c>
      <c r="JT3" s="114" t="s">
        <v>44</v>
      </c>
      <c r="JU3" s="112" t="s">
        <v>22</v>
      </c>
      <c r="JV3" s="112" t="s">
        <v>23</v>
      </c>
      <c r="JW3" s="112" t="s">
        <v>14</v>
      </c>
      <c r="JX3" s="114" t="s">
        <v>54</v>
      </c>
      <c r="JY3" s="114" t="s">
        <v>44</v>
      </c>
      <c r="JZ3" s="10"/>
      <c r="KA3" s="9"/>
      <c r="KB3" s="9"/>
      <c r="KC3" s="9"/>
      <c r="KD3" s="9"/>
      <c r="KE3" s="10"/>
      <c r="KF3" s="10"/>
      <c r="KG3" s="113" t="s">
        <v>22</v>
      </c>
      <c r="KH3" s="113" t="s">
        <v>23</v>
      </c>
      <c r="KI3" s="113" t="s">
        <v>14</v>
      </c>
      <c r="KJ3" s="115" t="s">
        <v>54</v>
      </c>
      <c r="KK3" s="115" t="s">
        <v>44</v>
      </c>
      <c r="KL3" s="113" t="s">
        <v>22</v>
      </c>
      <c r="KM3" s="113" t="s">
        <v>23</v>
      </c>
      <c r="KN3" s="113" t="s">
        <v>14</v>
      </c>
      <c r="KO3" s="115" t="s">
        <v>54</v>
      </c>
      <c r="KP3" s="115" t="s">
        <v>44</v>
      </c>
      <c r="KQ3" s="113" t="s">
        <v>22</v>
      </c>
      <c r="KR3" s="113" t="s">
        <v>23</v>
      </c>
      <c r="KS3" s="113" t="s">
        <v>14</v>
      </c>
      <c r="KT3" s="115" t="s">
        <v>54</v>
      </c>
      <c r="KU3" s="115" t="s">
        <v>44</v>
      </c>
      <c r="KV3" s="13"/>
      <c r="KW3" s="12"/>
      <c r="KX3" s="12"/>
      <c r="KY3" s="12"/>
      <c r="KZ3" s="12"/>
      <c r="LA3" s="13"/>
      <c r="LB3" s="13"/>
      <c r="LC3" s="112" t="s">
        <v>22</v>
      </c>
      <c r="LD3" s="112" t="s">
        <v>23</v>
      </c>
      <c r="LE3" s="112" t="s">
        <v>14</v>
      </c>
      <c r="LF3" s="114" t="s">
        <v>54</v>
      </c>
      <c r="LG3" s="114" t="s">
        <v>44</v>
      </c>
      <c r="LH3" s="112" t="s">
        <v>22</v>
      </c>
      <c r="LI3" s="112" t="s">
        <v>23</v>
      </c>
      <c r="LJ3" s="112" t="s">
        <v>14</v>
      </c>
      <c r="LK3" s="114" t="s">
        <v>54</v>
      </c>
      <c r="LL3" s="114" t="s">
        <v>44</v>
      </c>
      <c r="LM3" s="112" t="s">
        <v>22</v>
      </c>
      <c r="LN3" s="112" t="s">
        <v>23</v>
      </c>
      <c r="LO3" s="112" t="s">
        <v>14</v>
      </c>
      <c r="LP3" s="114" t="s">
        <v>54</v>
      </c>
      <c r="LQ3" s="114" t="s">
        <v>44</v>
      </c>
      <c r="LR3" s="10"/>
      <c r="LS3" s="9"/>
      <c r="LT3" s="9"/>
      <c r="LU3" s="9"/>
      <c r="LV3" s="9"/>
      <c r="LW3" s="10"/>
      <c r="LX3" s="10"/>
      <c r="LY3" s="113" t="s">
        <v>22</v>
      </c>
      <c r="LZ3" s="113" t="s">
        <v>23</v>
      </c>
      <c r="MA3" s="113" t="s">
        <v>14</v>
      </c>
      <c r="MB3" s="115" t="s">
        <v>54</v>
      </c>
      <c r="MC3" s="115" t="s">
        <v>44</v>
      </c>
      <c r="MD3" s="113" t="s">
        <v>22</v>
      </c>
      <c r="ME3" s="113" t="s">
        <v>23</v>
      </c>
      <c r="MF3" s="113" t="s">
        <v>14</v>
      </c>
      <c r="MG3" s="115" t="s">
        <v>54</v>
      </c>
      <c r="MH3" s="115" t="s">
        <v>44</v>
      </c>
      <c r="MI3" s="113" t="s">
        <v>22</v>
      </c>
      <c r="MJ3" s="113" t="s">
        <v>23</v>
      </c>
      <c r="MK3" s="113" t="s">
        <v>14</v>
      </c>
      <c r="ML3" s="115" t="s">
        <v>54</v>
      </c>
      <c r="MM3" s="115" t="s">
        <v>44</v>
      </c>
      <c r="MN3" s="13"/>
      <c r="MO3" s="12"/>
      <c r="MP3" s="12"/>
      <c r="MQ3" s="12"/>
      <c r="MR3" s="12"/>
      <c r="MS3" s="13"/>
      <c r="MT3" s="13"/>
      <c r="MU3" s="112" t="s">
        <v>22</v>
      </c>
      <c r="MV3" s="112" t="s">
        <v>23</v>
      </c>
      <c r="MW3" s="112" t="s">
        <v>14</v>
      </c>
      <c r="MX3" s="112" t="s">
        <v>24</v>
      </c>
      <c r="MY3" s="112" t="s">
        <v>44</v>
      </c>
      <c r="MZ3" s="112" t="s">
        <v>22</v>
      </c>
      <c r="NA3" s="112" t="s">
        <v>23</v>
      </c>
      <c r="NB3" s="112" t="s">
        <v>14</v>
      </c>
      <c r="NC3" s="112" t="s">
        <v>24</v>
      </c>
      <c r="ND3" s="112" t="s">
        <v>44</v>
      </c>
      <c r="NE3" s="112" t="s">
        <v>22</v>
      </c>
      <c r="NF3" s="112" t="s">
        <v>23</v>
      </c>
      <c r="NG3" s="112" t="s">
        <v>14</v>
      </c>
      <c r="NH3" s="112" t="s">
        <v>24</v>
      </c>
      <c r="NI3" s="112" t="s">
        <v>44</v>
      </c>
      <c r="NJ3" s="112" t="s">
        <v>90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IF(AND(G4&lt;&gt;"",H4&lt;&gt;""),SUMPRODUCT((G$4:G$15&lt;&gt;"")*(H$4:H$15&lt;&gt;"")*(E$4:E$15&gt;E4))+1,IF(H4&lt;&gt;"",SUMPRODUCT((I$4:I$15="No DD")*(E$4:E$15&gt;E4))+1+SUMPRODUCT((G$4:G$15&lt;&gt;"")*(H$4:H$15&lt;&gt;"")),""))</f>
        <v/>
      </c>
      <c r="B4" s="127" t="s">
        <v>55</v>
      </c>
      <c r="C4" s="5" t="s">
        <v>10</v>
      </c>
      <c r="D4" s="5" t="s">
        <v>95</v>
      </c>
      <c r="E4" s="15">
        <f>SUM(K4:S4)</f>
        <v>167.05500000000001</v>
      </c>
      <c r="F4" s="3" t="str">
        <f>IF(G4&lt;&gt;"","P","")</f>
        <v>P</v>
      </c>
      <c r="G4" s="125" t="str">
        <f>IF(OR(AND(AL4&gt;=AR$20,AL4&lt;&gt;"",AK4=""),AND(AP4&gt;=AR$20,AP4&lt;&gt;"",AK4=""),AND(BI4&gt;=BO$20,BI4&lt;&gt;"",BH4=""),AND(BM4&gt;=BO$20,BM4&lt;&gt;"",BH4=""),AND(CF4&gt;=CL$20,CF4&lt;&gt;"",CE4=""),AND(CJ4&gt;=CL$20,CJ4&lt;&gt;"",CE4=""),AND(DF4&gt;=DL$20,DF4&lt;&gt;""),AND(DJ4&gt;=DL$20,DJ4&lt;&gt;""),AND(EB4&gt;=EH$20,EB4&lt;&gt;""),AND(EF4&gt;=EH$20,EF4&lt;&gt;""),AND(EX4&gt;=FD$20,EX4&lt;&gt;""),AND(FB4&gt;=FD$20,FB4&lt;&gt;""),AND(FT4&gt;=FZ$20,FT4&lt;&gt;""),AND(FX4&gt;=FZ$20,FX4&lt;&gt;""),AND(GP4&gt;=GV$20,GP4&lt;&gt;""),AND(GT4&gt;=GV$20,GT4&lt;&gt;""),AND(HL4&gt;=HR$20,HL4&lt;&gt;""),AND(HP4&gt;=HR$20,HP4&lt;&gt;""),AND(IH4&gt;=IN$20,IH4&lt;&gt;""),AND(IL4&gt;=IN$20,IL4&lt;&gt;""),AND(JD4&gt;=JJ$20,JD4&lt;&gt;""),AND(JH4&gt;=JJ$20,JH4&lt;&gt;""),AND(JZ4&gt;=KF$20,JZ4&lt;&gt;""),AND(KD4&gt;=KF$20,KD4&lt;&gt;""),AND(KV4&gt;=LB$20,KV4&lt;&gt;""),AND(KZ4&gt;=LB$20,KZ4&lt;&gt;""),AND(LR4&gt;=LX$20,LR4&lt;&gt;""),AND(LV4&gt;=LX$20,LV4&lt;&gt;""),AND(MN4&gt;=MT$20,MN4&lt;&gt;""),AND(MR4&gt;=MT$20,MR4&lt;&gt;"")),"Merit",IF(OR(AND(AL4&gt;=AR$19,AL4&lt;&gt;"",AK4=""),AND(AP4&gt;=AR$19,AP4&lt;&gt;"",AK4=""),AND(BI4&gt;=BO$19,BI4&lt;&gt;"",BH4=""),AND(BM4&gt;=BO$19,BM4&lt;&gt;"",BH4=""),AND(CF4&gt;=CL$19,CF4&lt;&gt;"",CE4=""),AND(CJ4&gt;=CL$19,CJ4&lt;&gt;"",CE4=""),AND(DF4&gt;=DL$19,DF4&lt;&gt;""),AND(DJ4&gt;=DL$19,DJ4&lt;&gt;""),AND(EB4&gt;=EH$19,EB4&lt;&gt;""),AND(EF4&gt;=EH$19,EF4&lt;&gt;""),AND(EX4&gt;=FD$19,EX4&lt;&gt;""),AND(FB4&gt;=FD$19,FB4&lt;&gt;""),AND(FT4&gt;=FZ$19,FT4&lt;&gt;""),AND(FX4&gt;=FZ$19,FX4&lt;&gt;""),AND(GP4&gt;=GV$19,GP4&lt;&gt;""),AND(GT4&gt;=GV$19,GT4&lt;&gt;""),AND(HL4&gt;=HR$19,HL4&lt;&gt;""),AND(HP4&gt;=HR$19,HP4&lt;&gt;""),AND(IH4&gt;=IN$19,IH4&lt;&gt;""),AND(IL4&gt;=IN$19,IL4&lt;&gt;""),AND(JD4&gt;=JJ$19,JD4&lt;&gt;""),AND(JH4&gt;=JJ$19,JH4&lt;&gt;""),AND(JZ4&gt;=KF$19,JZ4&lt;&gt;""),AND(KD4&gt;=KF$19,KD4&lt;&gt;""),AND(KV4&gt;=LB$19,KV4&lt;&gt;""),AND(KZ4&gt;=LB$19,KZ4&lt;&gt;""),AND(LR4&gt;=LX$19,LR4&lt;&gt;""),AND(LV4&gt;=LX$19,LV4&lt;&gt;""),AND(MN4&gt;=MT$19,MN4&lt;&gt;""),AND(MR4&gt;=MT$19,MR4&lt;&gt;"")),"Excellence",IF(OR(AND(AL4&gt;=AR$18,AL4&lt;&gt;"",AK4=""),AND(AP4&gt;=AR$18,AP4&lt;&gt;"",AK4=""),AND(BI4&gt;=BO$18,BI4&lt;&gt;"",BH4=""),AND(BM4&gt;=BO$18,BM4&lt;&gt;"",BH4=""),AND(CF4&gt;=CL$18,CF4&lt;&gt;"",CE4=""),AND(CJ4&gt;=CL$18,CJ4&lt;&gt;"",CE4=""),AND(DF4&gt;=DL$18,DF4&lt;&gt;""),AND(DJ4&gt;=DL$18,DJ4&lt;&gt;""),AND(EB4&gt;=EH$18,EB4&lt;&gt;""),AND(EF4&gt;=EH$18,EF4&lt;&gt;""),AND(EX4&gt;=FD$18,EX4&lt;&gt;""),AND(FB4&gt;=FD$18,FB4&lt;&gt;""),AND(FT4&gt;=FZ$18,FT4&lt;&gt;""),AND(FX4&gt;=FZ$18,FX4&lt;&gt;""),AND(GP4&gt;=GV$18,GP4&lt;&gt;""),AND(GT4&gt;=GV$18,GT4&lt;&gt;""),AND(HL4&gt;=HR$18,HL4&lt;&gt;""),AND(HP4&gt;=HR$18,HP4&lt;&gt;""),AND(IH4&gt;=IN$18,IH4&lt;&gt;""),AND(IL4&gt;=IN$18,IL4&lt;&gt;""),AND(JD4&gt;=JJ$18,JD4&lt;&gt;""),AND(JH4&gt;=JJ$18,JH4&lt;&gt;""),AND(JZ4&gt;=KF$18,JZ4&lt;&gt;""),AND(KD4&gt;=KF$18,KD4&lt;&gt;""),AND(KV4&gt;=LB$18,KV4&lt;&gt;""),AND(KZ4&gt;=LB$18,KZ4&lt;&gt;""),AND(LR4&gt;=LX$18,LR4&lt;&gt;""),AND(LV4&gt;=LX$18,LV4&lt;&gt;""),AND(MN4&gt;=MT$18,MN4&lt;&gt;""),AND(MR4&gt;=MT$18,MR4&lt;&gt;"")),"Worlds Team",IF(OR(AND(AL4&gt;=AR$17,AL4&lt;&gt;"",AK4=""),AND(AP4&gt;=AR$17,AP4&lt;&gt;"",AK4=""),AND(BI4&gt;=BO$17,BI4&lt;&gt;"",BH4=""),AND(BM4&gt;=BO$17,BM4&lt;&gt;"",BH4=""),AND(CF4&gt;=CL$17,CF4&lt;&gt;"",CE4=""),AND(CJ4&gt;=CL$17,CJ4&lt;&gt;"",CE4=""),AND(DF4&gt;=DL$17,DF4&lt;&gt;""),AND(DJ4&gt;=DL$17,DJ4&lt;&gt;""),AND(EB4&gt;=EH$17,EB4&lt;&gt;""),AND(EF4&gt;=EH$17,EF4&lt;&gt;""),AND(EX4&gt;=FD$17,EX4&lt;&gt;""),AND(FB4&gt;=FD$17,FB4&lt;&gt;""),AND(FT4&gt;=FZ$17,FT4&lt;&gt;""),AND(FX4&gt;=FZ$17,FX4&lt;&gt;""),AND(GP4&gt;=GV$17,GP4&lt;&gt;""),AND(GT4&gt;=GV$17,GT4&lt;&gt;""),AND(HL4&gt;=HR$17,HL4&lt;&gt;""),AND(HP4&gt;=HR$17,HP4&lt;&gt;""),AND(IH4&gt;=IN$17,IH4&lt;&gt;""),AND(IL4&gt;=IN$17,IL4&lt;&gt;""),AND(JD4&gt;=JJ$17,JD4&lt;&gt;""),AND(JH4&gt;=JJ$17,JH4&lt;&gt;""),AND(JZ4&gt;=KF$17,JZ4&lt;&gt;""),AND(KD4&gt;=KF$17,KD4&lt;&gt;""),AND(KV4&gt;=LB$17,KV4&lt;&gt;""),AND(KZ4&gt;=LB$17,KZ4&lt;&gt;""),AND(LR4&gt;=LX$17,LR4&lt;&gt;""),AND(LV4&gt;=LX$17,LV4&lt;&gt;""),AND(MN4&gt;=MT$17,MN4&lt;&gt;""),AND(MR4&gt;=MT$17,MR4&lt;&gt;"")),"National Team",""))))</f>
        <v>National Team</v>
      </c>
      <c r="H4" s="125" t="str">
        <f>IF(OR(AND(AN4&gt;=AR$24,AN4&lt;&gt;"",AK4=""),AND(AQ4&gt;=AR$24,AQ4&lt;&gt;"",AK4=""),AND(BK4&gt;=BO$24,BK4&lt;&gt;"",BH4=""),AND(BN4&gt;=BO$24,BN4&lt;&gt;"",BH4=""),AND(CH4&gt;=CL$24,CH4&lt;&gt;"",CE4=""),AND(CK4&gt;=CL$24,CE4&lt;&gt;"",CE4=""),AND(DH4&gt;=DL$24,DH4&lt;&gt;""),AND(DK4&gt;=DL$24,DK4&lt;&gt;""),AND(ED4&gt;=EH$24,ED4&lt;&gt;""),AND(EG4&gt;=EH$24,EG4&lt;&gt;""),AND(EZ4&gt;=FD$24,EZ4&lt;&gt;""),AND(FC4&gt;=FD$24,FC4&lt;&gt;""),AND(FV4&gt;=FZ$24,FV4&lt;&gt;""),AND(FY4&gt;=FZ$24,FY4&lt;&gt;""),AND(GR4&gt;=GV$24,GR4&lt;&gt;""),AND(GU4&gt;=GV$24,GU4&lt;&gt;""),AND(HN4&gt;=HR$24,HN4&lt;&gt;""),AND(HQ4&gt;=HR$24,HQ4&lt;&gt;""),AND(IJ4&gt;=IN$24,IJ4&lt;&gt;""),AND(IM4&gt;=IN$24,IM4&lt;&gt;""),AND(JF4&gt;=JJ$24,JF4&lt;&gt;""),AND(JI4&gt;=JJ$24,JI4&lt;&gt;""),AND(KB4&gt;=KF$24,KB4&lt;&gt;""),AND(KE4&gt;=KF$24,KE4&lt;&gt;""),AND(KX4&gt;=LB$24,KX4&lt;&gt;""),AND(LA4&gt;=LB$24,LA4&lt;&gt;""),AND(LT4&gt;=LX$24,LT4&lt;&gt;""),AND(LW4&gt;=LX$24,LW4&lt;&gt;""),AND(MP4&gt;=MT$24,MP4&lt;&gt;""),AND(MS4&gt;=MT$24,MS4&lt;&gt;"")),"Merit",IF(OR(AND(AN4&gt;=AR$23,AN4&lt;&gt;"",AK4=""),AND(AQ4&gt;=AR$23,AQ4&lt;&gt;"",AK4=""),AND(BK4&gt;=BO$23,BK4&lt;&gt;"",BH4=""),AND(BN4&gt;=BO$23,BN4&lt;&gt;"",BH4=""),AND(CH4&gt;=CL$23,CH4&lt;&gt;"",CE4=""),AND(CK4&gt;=CL$23,CE4&lt;&gt;"",CE4=""),AND(DH4&gt;=DL$23,DH4&lt;&gt;""),AND(DK4&gt;=DL$23,DK4&lt;&gt;""),AND(ED4&gt;=EH$23,ED4&lt;&gt;""),AND(EG4&gt;=EH$23,EG4&lt;&gt;""),AND(EZ4&gt;=FD$23,EZ4&lt;&gt;""),AND(FC4&gt;=FD$23,FC4&lt;&gt;""),AND(FV4&gt;=FZ$23,FV4&lt;&gt;""),AND(FY4&gt;=FZ$23,FY4&lt;&gt;""),AND(GR4&gt;=GV$23,GR4&lt;&gt;""),AND(GU4&gt;=GV$23,GU4&lt;&gt;""),AND(HN4&gt;=HR$23,HN4&lt;&gt;""),AND(HQ4&gt;=HR$23,HQ4&lt;&gt;""),AND(IJ4&gt;=IN$23,IJ4&lt;&gt;""),AND(IM4&gt;=IN$23,IM4&lt;&gt;""),AND(JF4&gt;=JJ$23,JF4&lt;&gt;""),AND(JI4&gt;=JJ$23,JI4&lt;&gt;""),AND(KB4&gt;=KF$23,KB4&lt;&gt;""),AND(KE4&gt;=KF$23,KE4&lt;&gt;""),AND(KX4&gt;=LB$23,KX4&lt;&gt;""),AND(LA4&gt;=LB$23,LA4&lt;&gt;""),AND(LT4&gt;=LX$23,LT4&lt;&gt;""),AND(LW4&gt;=LX$23,LW4&lt;&gt;""),AND(MP4&gt;=MT$23,MP4&lt;&gt;""),AND(MS4&gt;=MT$23,MS4&lt;&gt;"")),"Excellence",IF(OR(AND(AO4&gt;=AR$22,AO4&lt;&gt;"",AK4=""),AND(BL4&gt;=BO$22,BL4&lt;&gt;"",BH4=""),AND(CI4&gt;=CL$22,CI4&lt;&gt;"",CE4=""),AND(DI4&gt;=DL$22,DI4&lt;&gt;""),AND(EE4&gt;=EH$22,EE4&lt;&gt;""),AND(FA4&gt;=FD$22,FA4&lt;&gt;""),AND(FW4&gt;=FZ$22,FW4&lt;&gt;""),AND(GS4&gt;=GV$22,GS4&lt;&gt;""),AND(HO4&gt;=HR$22,HO4&lt;&gt;""),AND(IK4&gt;=IN$22,IK4&lt;&gt;""),AND(JG4&gt;=JJ$22,JG4&lt;&gt;""),AND(KC4&gt;=KF$22,KC4&lt;&gt;""),AND(KY4&gt;=LB$22,KY4&lt;&gt;""),AND(LU4&gt;=LX$22,LU4&lt;&gt;""),AND(MQ4&gt;=MT$22,MQ4&lt;&gt;"")),"Worlds Team",IF(OR(AND(AO4&gt;=AR$21,AO4&lt;&gt;"",AK4=""),AND(BL4&gt;=BO$21,BL4&lt;&gt;"",BH4=""),AND(CI4&gt;=CL$21,CI4&lt;&gt;"",CE4=""),AND(DI4&gt;=DL$21,DI4&lt;&gt;""),AND(EE4&gt;=EH$21,EE4&lt;&gt;""),AND(FA4&gt;=FD$21,FA4&lt;&gt;""),AND(FW4&gt;=FZ$21,FW4&lt;&gt;""),AND(GS4&gt;=GV$21,GS4&lt;&gt;""),AND(HO4&gt;=HR$21,HO4&lt;&gt;""),AND(IK4&gt;=IN$21,IK4&lt;&gt;""),AND(JG4&gt;=JJ$21,JG4&lt;&gt;""),AND(KC4&gt;=KF$21,KC4&lt;&gt;""),AND(KY4&gt;=LB$21,KY4&lt;&gt;""),AND(LU4&gt;=LX$21,LU4&lt;&gt;""),AND(MQ4&gt;=MT$21,MQ4&lt;&gt;"")),"National Team",""))))</f>
        <v/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$22,AO4&lt;&gt;"",AK4=""),AND(BL4&gt;=BO$22,BL4&lt;&gt;"",BH4=""),AND(CI4&gt;=CL$22,CI4&lt;&gt;"",CE4=""),AND(DI4&gt;=DL$22,DI4&lt;&gt;""),AND(EE4&gt;=EH$22,EE4&lt;&gt;""),AND(FA4&gt;=FD$22,FA4&lt;&gt;""),AND(FW4&gt;=FZ$22,FW4&lt;&gt;""),AND(GS4&gt;=GV$22,GS4&lt;&gt;""),AND(HO4&gt;=HR$22,HO4&lt;&gt;""),AND(IK4&gt;=IN$22,IK4&lt;&gt;""),AND(JG4&gt;=JJ$22,JG4&lt;&gt;""),AND(KC4&gt;=KF$22,KC4&lt;&gt;""),AND(KY4&gt;=LB$22,KY4&lt;&gt;""),AND(LU4&gt;=LX$22,LU4&lt;&gt;""),AND(MQ4&gt;=MT$22,MQ4&lt;&gt;"")),OR(G4="Worlds Team",G4="Excellence",G4="Merit")),"P","")</f>
        <v/>
      </c>
      <c r="K4" s="14">
        <f>MAX(AO4,BL4,CI4)</f>
        <v>83.522500000000008</v>
      </c>
      <c r="L4" s="14" t="str">
        <f>IF(K4=0,"",IF(K4=CI4,$BP$1,IF(K4=BL4,$AS$1,IF(K4=AO4,$V$1,""))))</f>
        <v>2019 Elite Canada</v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44.472500000000004</v>
      </c>
      <c r="R4" s="14" t="str">
        <f>IF(Q4=0,"",IF(Q4=CK4,$BP$1,IF(Q4=BN4,$AS$1,IF(Q4=AQ4,$V$1,""))))</f>
        <v>2019 Elite Canada</v>
      </c>
      <c r="S4" s="14">
        <f>IF(MAX(CM4,CN4,CO4,CP4)&gt;0,MAX(CM4,CN4,CO4,CP4),"")</f>
        <v>39.06</v>
      </c>
      <c r="T4" s="25" t="str">
        <f>IF(S4="","",IF(S4=CM4,"(Vol 1)",IF(S4=CN4,"(Vol 2)",IF(S4=CO4,"(Prelim)",IF(S4=CP4,"(Final)")))))</f>
        <v>(Vol 1)</v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>2019 World Championships (Nov 29)</v>
      </c>
      <c r="V4" s="39">
        <v>9.2749999999999986</v>
      </c>
      <c r="W4" s="39">
        <v>9.5500000000000007</v>
      </c>
      <c r="X4" s="39">
        <v>3.4</v>
      </c>
      <c r="Y4" s="39">
        <v>16.71</v>
      </c>
      <c r="Z4" s="39">
        <v>0</v>
      </c>
      <c r="AA4" s="39">
        <v>8.3874999999999993</v>
      </c>
      <c r="AB4" s="39">
        <v>9.1</v>
      </c>
      <c r="AC4" s="39">
        <v>11.6</v>
      </c>
      <c r="AD4" s="39">
        <v>15.5</v>
      </c>
      <c r="AE4" s="39">
        <v>0</v>
      </c>
      <c r="AF4" s="39">
        <v>8.6125000000000007</v>
      </c>
      <c r="AG4" s="39">
        <v>9.4</v>
      </c>
      <c r="AH4" s="39">
        <v>11.6</v>
      </c>
      <c r="AI4" s="39">
        <v>14.86</v>
      </c>
      <c r="AJ4" s="39">
        <v>0</v>
      </c>
      <c r="AK4" s="80" t="s">
        <v>91</v>
      </c>
      <c r="AL4" s="11">
        <f>IF(AC4&gt;0,AC4,"")</f>
        <v>11.6</v>
      </c>
      <c r="AM4" s="11">
        <f>IF(SUM(V4:Y4)-Z4&gt;0,SUM(V4:Y4)-Z4,"")</f>
        <v>38.935000000000002</v>
      </c>
      <c r="AN4" s="11">
        <f>IF(SUM(AA4:AD4)-AE4&gt;0,SUM(AA4:AD4)-AE4,"")</f>
        <v>44.587499999999999</v>
      </c>
      <c r="AO4" s="11">
        <f>IF(SUM(AM4:AN4)&gt;0,SUM(AM4:AN4),"")</f>
        <v>83.522500000000008</v>
      </c>
      <c r="AP4" s="11">
        <f>IF(AH4&gt;0,AH4,"")</f>
        <v>11.6</v>
      </c>
      <c r="AQ4" s="11">
        <f>IF(SUM(AF4:AI4)-AJ4&gt;0,SUM(AF4:AI4)-AJ4,"")</f>
        <v>44.472500000000004</v>
      </c>
      <c r="AR4" s="11">
        <f>IF(SUM(AO4,AQ4)&gt;0,SUM(AO4,AQ4),"")</f>
        <v>127.995</v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>
        <f>IF(MAX(DG4,EC4,EY4,FU4,GQ4,HM4,II4,JE4,KA4,KW4,LS4,MO4)-IF(M4="",0,M4)&gt;0.001,MAX(DG4,EC4,EY4,FU4,GQ4,HM4,II4,JE4,KA4,KW4,LS4,MO4)-IF(M4="",0,M4),"")</f>
        <v>39.06</v>
      </c>
      <c r="CN4" s="24">
        <f>IF(MAX(DH4,ED4,EZ4,FV4,GR4,HN4,IJ4,JF4,KB4,KX4,LT4,MP4)-IF(O4="",0,O4)&gt;0.001,MAX(DH4,ED4,EZ4,FV4,GR4,HN4,IJ4,JF4,KB4,KX4,LT4,MP4)-IF(O4="",0,O4),"")</f>
        <v>38.58</v>
      </c>
      <c r="CO4" s="24" t="str">
        <f>IF(MAX(DI4,EE4,FA4,FW4,GS4,HO4,IK4,JG4,KC4,KY4,LU4,MQ4)-IF(K4="",0,K4)&gt;0.001,MAX(DI4,EE4,FA4,FW4,GS4,HO4,IK4,JG4,KC4,KY4,LU4,MQ4)-IF(K4="",0,K4),"")</f>
        <v/>
      </c>
      <c r="CP4" s="24" t="str">
        <f>IF(MAX(DK4,EG4,FC4,FY4,GU4,HQ4,IM4,JI4,KE4,LA4,LW4,MS4)-IF(Q4="",0,Q4)&gt;0.001,MAX(DK4,EG4,FC4,FY4,GU4,HQ4,IM4,JI4,KE4,LA4,LW4,MS4)-IF(Q4="",0,Q4),"")</f>
        <v/>
      </c>
      <c r="CQ4" s="37">
        <v>9.3000000000000007</v>
      </c>
      <c r="CR4" s="37">
        <v>9.6999999999999993</v>
      </c>
      <c r="CS4" s="37">
        <v>3.4</v>
      </c>
      <c r="CT4" s="37">
        <v>16.66</v>
      </c>
      <c r="CU4" s="37">
        <v>0</v>
      </c>
      <c r="CV4" s="37">
        <v>7.8</v>
      </c>
      <c r="CW4" s="37">
        <v>9.4</v>
      </c>
      <c r="CX4" s="37">
        <v>11.6</v>
      </c>
      <c r="CY4" s="37">
        <v>9.7799999999999994</v>
      </c>
      <c r="CZ4" s="37">
        <v>0</v>
      </c>
      <c r="DA4" s="37"/>
      <c r="DB4" s="37"/>
      <c r="DC4" s="37"/>
      <c r="DD4" s="37"/>
      <c r="DE4" s="37"/>
      <c r="DF4" s="11">
        <f>IF(CX4&gt;0,CX4,"")</f>
        <v>11.6</v>
      </c>
      <c r="DG4" s="11">
        <f>IF(SUM(CQ4:CT4)-CU4&gt;0,SUM(CQ4:CT4)-CU4,"")</f>
        <v>39.06</v>
      </c>
      <c r="DH4" s="11">
        <f>IF(SUM(CV4:CY4)-CZ4&gt;0,SUM(CV4:CY4)-CZ4,"")</f>
        <v>38.58</v>
      </c>
      <c r="DI4" s="11">
        <f>IF(SUM(DG4:DH4)&gt;0,SUM(DG4:DH4),"")</f>
        <v>77.64</v>
      </c>
      <c r="DJ4" s="11" t="str">
        <f>IF(DC4&gt;0,DC4,"")</f>
        <v/>
      </c>
      <c r="DK4" s="11" t="str">
        <f>IF(SUM(DA4:DD4)-DE4&gt;0,SUM(DA4:DD4)-DE4,"")</f>
        <v/>
      </c>
      <c r="DL4" s="11">
        <f>IF(SUM(DI4,DK4)&gt;0,SUM(DI4,DK4),"")</f>
        <v>77.64</v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 t="str">
        <f>IF(DY4&gt;0,DY4,"")</f>
        <v/>
      </c>
      <c r="EG4" s="14" t="str">
        <f>IF(SUM(DW4:DZ4)-EA4&gt;0,SUM(DW4:DZ4)-EA4,"")</f>
        <v/>
      </c>
      <c r="EH4" s="14" t="str">
        <f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>IF($CE4="P",BP4,(BP4+AS4)/2)</f>
        <v>0</v>
      </c>
      <c r="MV4" s="69">
        <f>IF($CE4="P",BQ4,(BQ4+AT4)/2)</f>
        <v>0</v>
      </c>
      <c r="MW4" s="69">
        <f>IF($CE4="P",BR4,(BR4+AU4)/2)</f>
        <v>0</v>
      </c>
      <c r="MX4" s="69">
        <f>IF($CE4="P",BS4,(BS4+AV4)/2)</f>
        <v>0</v>
      </c>
      <c r="MY4" s="69">
        <f>IF($CE4="P",BT4,(BT4+AW4)/2)</f>
        <v>0</v>
      </c>
      <c r="MZ4" s="69">
        <f>IF($CE4="P",BU4,(BU4+AX4)/2)</f>
        <v>0</v>
      </c>
      <c r="NA4" s="69">
        <f>IF($CE4="P",BV4,(BV4+AY4)/2)</f>
        <v>0</v>
      </c>
      <c r="NB4" s="69">
        <f>IF($CE4="P",BW4,(BW4+AZ4)/2)</f>
        <v>0</v>
      </c>
      <c r="NC4" s="69">
        <f>IF($CE4="P",BX4,(BX4+BA4)/2)</f>
        <v>0</v>
      </c>
      <c r="ND4" s="69">
        <f>IF($CE4="P",BY4,(BY4+BB4)/2)</f>
        <v>0</v>
      </c>
      <c r="NE4" s="69">
        <f>IF($CE4="P",BZ4,(BZ4+BC4)/2)</f>
        <v>0</v>
      </c>
      <c r="NF4" s="69">
        <f>IF($CE4="P",CA4,(CA4+BD4)/2)</f>
        <v>0</v>
      </c>
      <c r="NG4" s="69">
        <f>IF($CE4="P",CB4,(CB4+BE4)/2)</f>
        <v>0</v>
      </c>
      <c r="NH4" s="69">
        <f>IF($CE4="P",CC4,(CC4+BF4)/2)</f>
        <v>0</v>
      </c>
      <c r="NI4" s="69">
        <f>IF($CE4="P",CD4,(CD4+BG4)/2)</f>
        <v>0</v>
      </c>
      <c r="NJ4" s="80" t="s">
        <v>91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A5" s="5" cm="1">
        <f t="array" ref="A5">IF(AND(G5&lt;&gt;"",H5&lt;&gt;""),SUMPRODUCT((G$4:G$15&lt;&gt;"")*(H$4:H$15&lt;&gt;"")*(E$4:E$15&gt;E5))+1,IF(H5&lt;&gt;"",SUMPRODUCT((I$4:I$15="No DD")*(E$4:E$15&gt;E5))+1+SUMPRODUCT((G$4:G$15&lt;&gt;"")*(H$4:H$15&lt;&gt;"")),""))</f>
        <v>1</v>
      </c>
      <c r="B5" s="127" t="s">
        <v>148</v>
      </c>
      <c r="C5" s="5" t="s">
        <v>107</v>
      </c>
      <c r="D5" s="5" t="s">
        <v>149</v>
      </c>
      <c r="E5" s="15">
        <f>SUM(K5:S5)</f>
        <v>91.580000000000013</v>
      </c>
      <c r="F5" s="3" t="str">
        <f>IF(G5&lt;&gt;"","P","")</f>
        <v>P</v>
      </c>
      <c r="G5" s="125" t="str">
        <f>IF(OR(AND(AL5&gt;=AR$20,AL5&lt;&gt;"",AK5=""),AND(AP5&gt;=AR$20,AP5&lt;&gt;"",AK5=""),AND(BI5&gt;=BO$20,BI5&lt;&gt;"",BH5=""),AND(BM5&gt;=BO$20,BM5&lt;&gt;"",BH5=""),AND(CF5&gt;=CL$20,CF5&lt;&gt;"",CE5=""),AND(CJ5&gt;=CL$20,CJ5&lt;&gt;"",CE5=""),AND(DF5&gt;=DL$20,DF5&lt;&gt;""),AND(DJ5&gt;=DL$20,DJ5&lt;&gt;""),AND(EB5&gt;=EH$20,EB5&lt;&gt;""),AND(EF5&gt;=EH$20,EF5&lt;&gt;""),AND(EX5&gt;=FD$20,EX5&lt;&gt;""),AND(FB5&gt;=FD$20,FB5&lt;&gt;""),AND(FT5&gt;=FZ$20,FT5&lt;&gt;""),AND(FX5&gt;=FZ$20,FX5&lt;&gt;""),AND(GP5&gt;=GV$20,GP5&lt;&gt;""),AND(GT5&gt;=GV$20,GT5&lt;&gt;""),AND(HL5&gt;=HR$20,HL5&lt;&gt;""),AND(HP5&gt;=HR$20,HP5&lt;&gt;""),AND(IH5&gt;=IN$20,IH5&lt;&gt;""),AND(IL5&gt;=IN$20,IL5&lt;&gt;""),AND(JD5&gt;=JJ$20,JD5&lt;&gt;""),AND(JH5&gt;=JJ$20,JH5&lt;&gt;""),AND(JZ5&gt;=KF$20,JZ5&lt;&gt;""),AND(KD5&gt;=KF$20,KD5&lt;&gt;""),AND(KV5&gt;=LB$20,KV5&lt;&gt;""),AND(KZ5&gt;=LB$20,KZ5&lt;&gt;""),AND(LR5&gt;=LX$20,LR5&lt;&gt;""),AND(LV5&gt;=LX$20,LV5&lt;&gt;""),AND(MN5&gt;=MT$20,MN5&lt;&gt;""),AND(MR5&gt;=MT$20,MR5&lt;&gt;"")),"Merit",IF(OR(AND(AL5&gt;=AR$19,AL5&lt;&gt;"",AK5=""),AND(AP5&gt;=AR$19,AP5&lt;&gt;"",AK5=""),AND(BI5&gt;=BO$19,BI5&lt;&gt;"",BH5=""),AND(BM5&gt;=BO$19,BM5&lt;&gt;"",BH5=""),AND(CF5&gt;=CL$19,CF5&lt;&gt;"",CE5=""),AND(CJ5&gt;=CL$19,CJ5&lt;&gt;"",CE5=""),AND(DF5&gt;=DL$19,DF5&lt;&gt;""),AND(DJ5&gt;=DL$19,DJ5&lt;&gt;""),AND(EB5&gt;=EH$19,EB5&lt;&gt;""),AND(EF5&gt;=EH$19,EF5&lt;&gt;""),AND(EX5&gt;=FD$19,EX5&lt;&gt;""),AND(FB5&gt;=FD$19,FB5&lt;&gt;""),AND(FT5&gt;=FZ$19,FT5&lt;&gt;""),AND(FX5&gt;=FZ$19,FX5&lt;&gt;""),AND(GP5&gt;=GV$19,GP5&lt;&gt;""),AND(GT5&gt;=GV$19,GT5&lt;&gt;""),AND(HL5&gt;=HR$19,HL5&lt;&gt;""),AND(HP5&gt;=HR$19,HP5&lt;&gt;""),AND(IH5&gt;=IN$19,IH5&lt;&gt;""),AND(IL5&gt;=IN$19,IL5&lt;&gt;""),AND(JD5&gt;=JJ$19,JD5&lt;&gt;""),AND(JH5&gt;=JJ$19,JH5&lt;&gt;""),AND(JZ5&gt;=KF$19,JZ5&lt;&gt;""),AND(KD5&gt;=KF$19,KD5&lt;&gt;""),AND(KV5&gt;=LB$19,KV5&lt;&gt;""),AND(KZ5&gt;=LB$19,KZ5&lt;&gt;""),AND(LR5&gt;=LX$19,LR5&lt;&gt;""),AND(LV5&gt;=LX$19,LV5&lt;&gt;""),AND(MN5&gt;=MT$19,MN5&lt;&gt;""),AND(MR5&gt;=MT$19,MR5&lt;&gt;"")),"Excellence",IF(OR(AND(AL5&gt;=AR$18,AL5&lt;&gt;"",AK5=""),AND(AP5&gt;=AR$18,AP5&lt;&gt;"",AK5=""),AND(BI5&gt;=BO$18,BI5&lt;&gt;"",BH5=""),AND(BM5&gt;=BO$18,BM5&lt;&gt;"",BH5=""),AND(CF5&gt;=CL$18,CF5&lt;&gt;"",CE5=""),AND(CJ5&gt;=CL$18,CJ5&lt;&gt;"",CE5=""),AND(DF5&gt;=DL$18,DF5&lt;&gt;""),AND(DJ5&gt;=DL$18,DJ5&lt;&gt;""),AND(EB5&gt;=EH$18,EB5&lt;&gt;""),AND(EF5&gt;=EH$18,EF5&lt;&gt;""),AND(EX5&gt;=FD$18,EX5&lt;&gt;""),AND(FB5&gt;=FD$18,FB5&lt;&gt;""),AND(FT5&gt;=FZ$18,FT5&lt;&gt;""),AND(FX5&gt;=FZ$18,FX5&lt;&gt;""),AND(GP5&gt;=GV$18,GP5&lt;&gt;""),AND(GT5&gt;=GV$18,GT5&lt;&gt;""),AND(HL5&gt;=HR$18,HL5&lt;&gt;""),AND(HP5&gt;=HR$18,HP5&lt;&gt;""),AND(IH5&gt;=IN$18,IH5&lt;&gt;""),AND(IL5&gt;=IN$18,IL5&lt;&gt;""),AND(JD5&gt;=JJ$18,JD5&lt;&gt;""),AND(JH5&gt;=JJ$18,JH5&lt;&gt;""),AND(JZ5&gt;=KF$18,JZ5&lt;&gt;""),AND(KD5&gt;=KF$18,KD5&lt;&gt;""),AND(KV5&gt;=LB$18,KV5&lt;&gt;""),AND(KZ5&gt;=LB$18,KZ5&lt;&gt;""),AND(LR5&gt;=LX$18,LR5&lt;&gt;""),AND(LV5&gt;=LX$18,LV5&lt;&gt;""),AND(MN5&gt;=MT$18,MN5&lt;&gt;""),AND(MR5&gt;=MT$18,MR5&lt;&gt;"")),"Worlds Team",IF(OR(AND(AL5&gt;=AR$17,AL5&lt;&gt;"",AK5=""),AND(AP5&gt;=AR$17,AP5&lt;&gt;"",AK5=""),AND(BI5&gt;=BO$17,BI5&lt;&gt;"",BH5=""),AND(BM5&gt;=BO$17,BM5&lt;&gt;"",BH5=""),AND(CF5&gt;=CL$17,CF5&lt;&gt;"",CE5=""),AND(CJ5&gt;=CL$17,CJ5&lt;&gt;"",CE5=""),AND(DF5&gt;=DL$17,DF5&lt;&gt;""),AND(DJ5&gt;=DL$17,DJ5&lt;&gt;""),AND(EB5&gt;=EH$17,EB5&lt;&gt;""),AND(EF5&gt;=EH$17,EF5&lt;&gt;""),AND(EX5&gt;=FD$17,EX5&lt;&gt;""),AND(FB5&gt;=FD$17,FB5&lt;&gt;""),AND(FT5&gt;=FZ$17,FT5&lt;&gt;""),AND(FX5&gt;=FZ$17,FX5&lt;&gt;""),AND(GP5&gt;=GV$17,GP5&lt;&gt;""),AND(GT5&gt;=GV$17,GT5&lt;&gt;""),AND(HL5&gt;=HR$17,HL5&lt;&gt;""),AND(HP5&gt;=HR$17,HP5&lt;&gt;""),AND(IH5&gt;=IN$17,IH5&lt;&gt;""),AND(IL5&gt;=IN$17,IL5&lt;&gt;""),AND(JD5&gt;=JJ$17,JD5&lt;&gt;""),AND(JH5&gt;=JJ$17,JH5&lt;&gt;""),AND(JZ5&gt;=KF$17,JZ5&lt;&gt;""),AND(KD5&gt;=KF$17,KD5&lt;&gt;""),AND(KV5&gt;=LB$17,KV5&lt;&gt;""),AND(KZ5&gt;=LB$17,KZ5&lt;&gt;""),AND(LR5&gt;=LX$17,LR5&lt;&gt;""),AND(LV5&gt;=LX$17,LV5&lt;&gt;""),AND(MN5&gt;=MT$17,MN5&lt;&gt;""),AND(MR5&gt;=MT$17,MR5&lt;&gt;"")),"National Team",""))))</f>
        <v>National Team</v>
      </c>
      <c r="H5" s="125" t="str">
        <f>IF(OR(AND(AN5&gt;=AR$24,AN5&lt;&gt;"",AK5=""),AND(AQ5&gt;=AR$24,AQ5&lt;&gt;"",AK5=""),AND(BK5&gt;=BO$24,BK5&lt;&gt;"",BH5=""),AND(BN5&gt;=BO$24,BN5&lt;&gt;"",BH5=""),AND(CH5&gt;=CL$24,CH5&lt;&gt;"",CE5=""),AND(CK5&gt;=CL$24,CE5&lt;&gt;"",CE5=""),AND(DH5&gt;=DL$24,DH5&lt;&gt;""),AND(DK5&gt;=DL$24,DK5&lt;&gt;""),AND(ED5&gt;=EH$24,ED5&lt;&gt;""),AND(EG5&gt;=EH$24,EG5&lt;&gt;""),AND(EZ5&gt;=FD$24,EZ5&lt;&gt;""),AND(FC5&gt;=FD$24,FC5&lt;&gt;""),AND(FV5&gt;=FZ$24,FV5&lt;&gt;""),AND(FY5&gt;=FZ$24,FY5&lt;&gt;""),AND(GR5&gt;=GV$24,GR5&lt;&gt;""),AND(GU5&gt;=GV$24,GU5&lt;&gt;""),AND(HN5&gt;=HR$24,HN5&lt;&gt;""),AND(HQ5&gt;=HR$24,HQ5&lt;&gt;""),AND(IJ5&gt;=IN$24,IJ5&lt;&gt;""),AND(IM5&gt;=IN$24,IM5&lt;&gt;""),AND(JF5&gt;=JJ$24,JF5&lt;&gt;""),AND(JI5&gt;=JJ$24,JI5&lt;&gt;""),AND(KB5&gt;=KF$24,KB5&lt;&gt;""),AND(KE5&gt;=KF$24,KE5&lt;&gt;""),AND(KX5&gt;=LB$24,KX5&lt;&gt;""),AND(LA5&gt;=LB$24,LA5&lt;&gt;""),AND(LT5&gt;=LX$24,LT5&lt;&gt;""),AND(LW5&gt;=LX$24,LW5&lt;&gt;""),AND(MP5&gt;=MT$24,MP5&lt;&gt;""),AND(MS5&gt;=MT$24,MS5&lt;&gt;"")),"Merit",IF(OR(AND(AN5&gt;=AR$23,AN5&lt;&gt;"",AK5=""),AND(AQ5&gt;=AR$23,AQ5&lt;&gt;"",AK5=""),AND(BK5&gt;=BO$23,BK5&lt;&gt;"",BH5=""),AND(BN5&gt;=BO$23,BN5&lt;&gt;"",BH5=""),AND(CH5&gt;=CL$23,CH5&lt;&gt;"",CE5=""),AND(CK5&gt;=CL$23,CE5&lt;&gt;"",CE5=""),AND(DH5&gt;=DL$23,DH5&lt;&gt;""),AND(DK5&gt;=DL$23,DK5&lt;&gt;""),AND(ED5&gt;=EH$23,ED5&lt;&gt;""),AND(EG5&gt;=EH$23,EG5&lt;&gt;""),AND(EZ5&gt;=FD$23,EZ5&lt;&gt;""),AND(FC5&gt;=FD$23,FC5&lt;&gt;""),AND(FV5&gt;=FZ$23,FV5&lt;&gt;""),AND(FY5&gt;=FZ$23,FY5&lt;&gt;""),AND(GR5&gt;=GV$23,GR5&lt;&gt;""),AND(GU5&gt;=GV$23,GU5&lt;&gt;""),AND(HN5&gt;=HR$23,HN5&lt;&gt;""),AND(HQ5&gt;=HR$23,HQ5&lt;&gt;""),AND(IJ5&gt;=IN$23,IJ5&lt;&gt;""),AND(IM5&gt;=IN$23,IM5&lt;&gt;""),AND(JF5&gt;=JJ$23,JF5&lt;&gt;""),AND(JI5&gt;=JJ$23,JI5&lt;&gt;""),AND(KB5&gt;=KF$23,KB5&lt;&gt;""),AND(KE5&gt;=KF$23,KE5&lt;&gt;""),AND(KX5&gt;=LB$23,KX5&lt;&gt;""),AND(LA5&gt;=LB$23,LA5&lt;&gt;""),AND(LT5&gt;=LX$23,LT5&lt;&gt;""),AND(LW5&gt;=LX$23,LW5&lt;&gt;""),AND(MP5&gt;=MT$23,MP5&lt;&gt;""),AND(MS5&gt;=MT$23,MS5&lt;&gt;"")),"Excellence",IF(OR(AND(AO5&gt;=AR$22,AO5&lt;&gt;"",AK5=""),AND(BL5&gt;=BO$22,BL5&lt;&gt;"",BH5=""),AND(CI5&gt;=CL$22,CI5&lt;&gt;"",CE5=""),AND(DI5&gt;=DL$22,DI5&lt;&gt;""),AND(EE5&gt;=EH$22,EE5&lt;&gt;""),AND(FA5&gt;=FD$22,FA5&lt;&gt;""),AND(FW5&gt;=FZ$22,FW5&lt;&gt;""),AND(GS5&gt;=GV$22,GS5&lt;&gt;""),AND(HO5&gt;=HR$22,HO5&lt;&gt;""),AND(IK5&gt;=IN$22,IK5&lt;&gt;""),AND(JG5&gt;=JJ$22,JG5&lt;&gt;""),AND(KC5&gt;=KF$22,KC5&lt;&gt;""),AND(KY5&gt;=LB$22,KY5&lt;&gt;""),AND(LU5&gt;=LX$22,LU5&lt;&gt;""),AND(MQ5&gt;=MT$22,MQ5&lt;&gt;"")),"Worlds Team",IF(OR(AND(AO5&gt;=AR$21,AO5&lt;&gt;"",AK5=""),AND(BL5&gt;=BO$21,BL5&lt;&gt;"",BH5=""),AND(CI5&gt;=CL$21,CI5&lt;&gt;"",CE5=""),AND(DI5&gt;=DL$21,DI5&lt;&gt;""),AND(EE5&gt;=EH$21,EE5&lt;&gt;""),AND(FA5&gt;=FD$21,FA5&lt;&gt;""),AND(FW5&gt;=FZ$21,FW5&lt;&gt;""),AND(GS5&gt;=GV$21,GS5&lt;&gt;""),AND(HO5&gt;=HR$21,HO5&lt;&gt;""),AND(IK5&gt;=IN$21,IK5&lt;&gt;""),AND(JG5&gt;=JJ$21,JG5&lt;&gt;""),AND(KC5&gt;=KF$21,KC5&lt;&gt;""),AND(KY5&gt;=LB$21,KY5&lt;&gt;""),AND(LU5&gt;=LX$21,LU5&lt;&gt;""),AND(MQ5&gt;=MT$21,MQ5&lt;&gt;"")),"National Team",""))))</f>
        <v>Merit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National Team</v>
      </c>
      <c r="J5" s="3" t="str">
        <f>IF(AND(OR(AND(AO5&gt;=AR$22,AO5&lt;&gt;"",AK5=""),AND(BL5&gt;=BO$22,BL5&lt;&gt;"",BH5=""),AND(CI5&gt;=CL$22,CI5&lt;&gt;"",CE5=""),AND(DI5&gt;=DL$22,DI5&lt;&gt;""),AND(EE5&gt;=EH$22,EE5&lt;&gt;""),AND(FA5&gt;=FD$22,FA5&lt;&gt;""),AND(FW5&gt;=FZ$22,FW5&lt;&gt;""),AND(GS5&gt;=GV$22,GS5&lt;&gt;""),AND(HO5&gt;=HR$22,HO5&lt;&gt;""),AND(IK5&gt;=IN$22,IK5&lt;&gt;""),AND(JG5&gt;=JJ$22,JG5&lt;&gt;""),AND(KC5&gt;=KF$22,KC5&lt;&gt;""),AND(KY5&gt;=LB$22,KY5&lt;&gt;""),AND(LU5&gt;=LX$22,LU5&lt;&gt;""),AND(MQ5&gt;=MT$22,MQ5&lt;&gt;"")),OR(G5="Worlds Team",G5="Excellence",G5="Merit")),"P","")</f>
        <v/>
      </c>
      <c r="K5" s="14">
        <f>MAX(AO5,BL5,CI5)</f>
        <v>86.330000000000013</v>
      </c>
      <c r="L5" s="14" t="str">
        <f>IF(K5=0,"",IF(K5=CI5,$BP$1,IF(K5=BL5,$AS$1,IF(K5=AO5,$V$1,""))))</f>
        <v>2019 Nationals</v>
      </c>
      <c r="M5" s="14">
        <f>IF($K5=$AO5,MAX(BJ5,CG5),IF($K5=$BL5,MAX(AM5,CG5),IF($K5=$CI5,MAX(AM5,BJ5),MAX(AM5,BJ5,CG5))))</f>
        <v>0</v>
      </c>
      <c r="N5" s="14" t="str">
        <f>IF(M5=0,"",IF(AND(M5=CG5,$L5&lt;&gt;$BP$1),$BP$1,IF(AND(M5=BJ5,$L5&lt;&gt;$AS$1),$AS$1,IF(AND(M5=AM5,$L5&lt;&gt;$V$1),$V$1,""))))</f>
        <v/>
      </c>
      <c r="O5" s="14">
        <f>IF($K5=$AO5,MAX(CH5,BK5),IF($K5=$BL5,MAX(AN5,CH5),IF($K5=$CI5,MAX(AN5,BK5),MAX(AN5,BK5,CH5))))</f>
        <v>0</v>
      </c>
      <c r="P5" s="14" t="str">
        <f>IF(O5=0,"",IF(AND(O5=CH5,$L5&lt;&gt;$BP$1),$BP$1,IF(AND(O5=BK5,$L5&lt;&gt;$AS$1),$AS$1,IF(AND(O5=AN5,$L5&lt;&gt;$V$1),$V$1,""))))</f>
        <v/>
      </c>
      <c r="Q5" s="14">
        <f>MAX(AQ5,BN5,CK5)</f>
        <v>5.25</v>
      </c>
      <c r="R5" s="14" t="str">
        <f>IF(Q5=0,"",IF(Q5=CK5,$BP$1,IF(Q5=BN5,$AS$1,IF(Q5=AQ5,$V$1,""))))</f>
        <v>2019 Nationals</v>
      </c>
      <c r="S5" s="14" t="str">
        <f>IF(MAX(CM5,CN5,CO5,CP5)&gt;0,MAX(CM5,CN5,CO5,CP5),"")</f>
        <v/>
      </c>
      <c r="T5" s="25" t="str">
        <f>IF(S5="","",IF(S5=CM5,"(Vol 1)",IF(S5=CN5,"(Vol 2)",IF(S5=CO5,"(Prelim)",IF(S5=CP5,"(Final)")))))</f>
        <v/>
      </c>
      <c r="U5" s="14" t="str">
        <f>IF(S5="","",IF(S5=CM5,IF(S5+IF(M5="",0,M5)=MO5,$LY$1,IF(S5+IF(M5="",0,M5)=LS5,$LC$1,IF(S5+IF(M5="",0,M5)=KW5,$KG$1,IF(S5+IF(M5="",0,M5)=KA5,$JK$1,IF(S5+IF(M5="",0,M5)=JE5,$IO$1,IF(S5+IF(M5="",0,M5)=II5,$HS$1,IF(S5+IF(M5="",0,M5)=HM5,$GW$1,IF(S5+IF(M5="",0,M5)=GQ5,$GA$1,IF(S5+IF(M5="",0,M5)=FU5,$FE$1,IF(S5+IF(M5="",0,M5)=EY5,$EI$1,IF(S5+IF(M5="",0,M5)=EC5,$DM$1,IF(S5+IF(M5="",0,M5)=DG5,$CQ$1)))))))))))),IF(S5=CN5,IF(S5+IF(O5="",0,O5)=MP5,$LY$1,IF(S5+IF(O5="",0,O5)=LT5,$LC$1,IF(S5+IF(O5="",0,O5)=KX5,$KG$1,IF(S5+IF(O5="",0,O5)=KB5,$JK$1,IF(S5+IF(O5="",0,O5)=JF5,$IO$1,IF(S5+IF(O5="",0,O5)=IJ5,$HS$1,IF(S5+IF(O5="",0,O5)=HN5,$GW$1,IF(S5+IF(O5="",0,O5)=GR5,$GA$1,IF(S5+IF(O5="",0,O5)=FV5,$FE$1,IF(S5+IF(O5="",0,O5)=EZ5,$EI$1,IF(S5+IF(O5="",0,O5)=ED5,$DM$1,IF(S5+IF(O5="",0,O5)=DH5,$CQ$1)))))))))))),IF(S5=CO5,IF(S5+IF(K5="",0,K5)=MQ5,$LY$1,IF(S5+IF(K5="",0,K5)=LU5,$LC$1,IF(S5+IF(K5="",0,K5)=KY5,$KG$1,IF(S5+IF(K5="",0,K5)=KC5,$JK$1,IF(S5+IF(K5="",0,K5)=JG5,$IO$1,IF(S5+IF(K5="",0,K5)=IK5,$HS$1,IF(S5+IF(K5="",0,K5)=HO5,$GW$1,IF(S5+IF(K5="",0,K5)=GS5,$GA$1,IF(S5+IF(K5="",0,K5)=FW5,$FE$1,IF(S5+IF(K5="",0,K5)=FA5,$EI$1,IF(S5+IF(K5="",0,K5)=EE5,$DM$1,IF(S5+IF(K5="",0,K5)=DI5,$CQ$1)))))))))))),IF(S5=CP5,IF(S5+IF(Q5="",0,Q5)=MS5,$LY$1,IF(S5+IF(Q5="",0,Q5)=LW5,$LC$1,IF(S5+IF(Q5="",0,Q5)=LA5,$KG$1,IF(S5+IF(Q5="",0,Q5)=KE5,$JK$1,IF(S5+IF(Q5="",0,Q5)=JI5,$IO$1,IF(S5+IF(Q5="",0,Q5)=IM5,$HS$1,IF(S5+IF(Q5="",0,Q5)=HQ5,$GW$1,IF(S5+IF(Q5="",0,Q5)=GU5,$GA$1,IF(S5+IF(Q5="",0,Q5)=FY5,$FE$1,IF(S5+IF(Q5="",0,Q5)=FC5,$EI$1,IF(S5+IF(Q5="",0,Q5)=EG5,$DM$1,IF(S5+IF(Q5="",0,Q5)=DK5,$CQ$1)))))))))))))))))</f>
        <v/>
      </c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80"/>
      <c r="AL5" s="11" t="str">
        <f>IF(AC5&gt;0,AC5,"")</f>
        <v/>
      </c>
      <c r="AM5" s="11" t="str">
        <f>IF(SUM(V5:Y5)-Z5&gt;0,SUM(V5:Y5)-Z5,"")</f>
        <v/>
      </c>
      <c r="AN5" s="11" t="str">
        <f>IF(SUM(AA5:AD5)-AE5&gt;0,SUM(AA5:AD5)-AE5,"")</f>
        <v/>
      </c>
      <c r="AO5" s="11" t="str">
        <f>IF(SUM(AM5:AN5)&gt;0,SUM(AM5:AN5),"")</f>
        <v/>
      </c>
      <c r="AP5" s="11" t="str">
        <f>IF(AH5&gt;0,AH5,"")</f>
        <v/>
      </c>
      <c r="AQ5" s="11" t="str">
        <f>IF(SUM(AF5:AI5)-AJ5&gt;0,SUM(AF5:AI5)-AJ5,"")</f>
        <v/>
      </c>
      <c r="AR5" s="11" t="str">
        <f>IF(SUM(AO5,AQ5)&gt;0,SUM(AO5,AQ5),"")</f>
        <v/>
      </c>
      <c r="AS5" s="40">
        <v>9.1</v>
      </c>
      <c r="AT5" s="40">
        <v>9.25</v>
      </c>
      <c r="AU5" s="40">
        <v>4.0999999999999996</v>
      </c>
      <c r="AV5" s="40">
        <v>18.18</v>
      </c>
      <c r="AW5" s="40">
        <v>0</v>
      </c>
      <c r="AX5" s="40">
        <v>8.5500000000000007</v>
      </c>
      <c r="AY5" s="40">
        <v>8.85</v>
      </c>
      <c r="AZ5" s="40">
        <v>11.8</v>
      </c>
      <c r="BA5" s="40">
        <v>16.5</v>
      </c>
      <c r="BB5" s="40">
        <v>0</v>
      </c>
      <c r="BC5" s="40">
        <v>0.85</v>
      </c>
      <c r="BD5" s="40">
        <v>0.9</v>
      </c>
      <c r="BE5" s="40">
        <v>1.5</v>
      </c>
      <c r="BF5" s="40">
        <v>2</v>
      </c>
      <c r="BG5" s="40">
        <v>0</v>
      </c>
      <c r="BH5" s="81"/>
      <c r="BI5" s="14">
        <f>IF(AZ5&gt;0,AZ5,"")</f>
        <v>11.8</v>
      </c>
      <c r="BJ5" s="14">
        <f>IF(SUM(AS5:AV5)-AW5&gt;0,SUM(AS5:AV5)-AW5,"")</f>
        <v>40.630000000000003</v>
      </c>
      <c r="BK5" s="14">
        <f>IF(SUM(AX5:BA5)-BB5&gt;0,SUM(AX5:BA5)-BB5,"")</f>
        <v>45.7</v>
      </c>
      <c r="BL5" s="14">
        <f>IF(SUM(BJ5:BK5)&gt;0,SUM(BJ5:BK5),"")</f>
        <v>86.330000000000013</v>
      </c>
      <c r="BM5" s="14">
        <f>IF(BE5&gt;0,BE5,"")</f>
        <v>1.5</v>
      </c>
      <c r="BN5" s="14">
        <f>IF(SUM(BC5:BF5)-BG5&gt;0,SUM(BC5:BF5)-BG5,"")</f>
        <v>5.25</v>
      </c>
      <c r="BO5" s="14">
        <f>IF(SUM(BL5,BN5)&gt;0,SUM(BL5,BN5),"")</f>
        <v>91.580000000000013</v>
      </c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80"/>
      <c r="CF5" s="11" t="str">
        <f>IF(BW5&gt;0,BW5,"")</f>
        <v/>
      </c>
      <c r="CG5" s="11" t="str">
        <f>IF(SUM(BP5:BS5)-BT5&gt;0,SUM(BP5:BS5)-BT5,"")</f>
        <v/>
      </c>
      <c r="CH5" s="11" t="str">
        <f>IF(SUM(BU5:BX5)-BY5&gt;0,SUM(BU5:BX5)-BY5,"")</f>
        <v/>
      </c>
      <c r="CI5" s="11" t="str">
        <f>IF(SUM(CG5:CH5)&gt;0,SUM(CG5:CH5),"")</f>
        <v/>
      </c>
      <c r="CJ5" s="11" t="str">
        <f>IF(CB5&gt;0,CB5,"")</f>
        <v/>
      </c>
      <c r="CK5" s="11" t="str">
        <f>IF(SUM(BZ5:CC5)-CD5&gt;0,SUM(BZ5:CC5)-CD5,"")</f>
        <v/>
      </c>
      <c r="CL5" s="11" t="str">
        <f>IF(SUM(CI5,CK5)&gt;0,SUM(CI5,CK5),"")</f>
        <v/>
      </c>
      <c r="CM5" s="24" t="str">
        <f>IF(MAX(DG5,EC5,EY5,FU5,GQ5,HM5,II5,JE5,KA5,KW5,LS5,MO5)-IF(M5="",0,M5)&gt;0.001,MAX(DG5,EC5,EY5,FU5,GQ5,HM5,II5,JE5,KA5,KW5,LS5,MO5)-IF(M5="",0,M5),"")</f>
        <v/>
      </c>
      <c r="CN5" s="24" t="str">
        <f>IF(MAX(DH5,ED5,EZ5,FV5,GR5,HN5,IJ5,JF5,KB5,KX5,LT5,MP5)-IF(O5="",0,O5)&gt;0.001,MAX(DH5,ED5,EZ5,FV5,GR5,HN5,IJ5,JF5,KB5,KX5,LT5,MP5)-IF(O5="",0,O5),"")</f>
        <v/>
      </c>
      <c r="CO5" s="24" t="str">
        <f>IF(MAX(DI5,EE5,FA5,FW5,GS5,HO5,IK5,JG5,KC5,KY5,LU5,MQ5)-IF(K5="",0,K5)&gt;0.001,MAX(DI5,EE5,FA5,FW5,GS5,HO5,IK5,JG5,KC5,KY5,LU5,MQ5)-IF(K5="",0,K5),"")</f>
        <v/>
      </c>
      <c r="CP5" s="24" t="str">
        <f>IF(MAX(DK5,EG5,FC5,FY5,GU5,HQ5,IM5,JI5,KE5,LA5,LW5,MS5)-IF(Q5="",0,Q5)&gt;0.001,MAX(DK5,EG5,FC5,FY5,GU5,HQ5,IM5,JI5,KE5,LA5,LW5,MS5)-IF(Q5="",0,Q5),"")</f>
        <v/>
      </c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11" t="str">
        <f>IF(CX5&gt;0,CX5,"")</f>
        <v/>
      </c>
      <c r="DG5" s="11" t="str">
        <f>IF(SUM(CQ5:CT5)-CU5&gt;0,SUM(CQ5:CT5)-CU5,"")</f>
        <v/>
      </c>
      <c r="DH5" s="11" t="str">
        <f>IF(SUM(CV5:CY5)-CZ5&gt;0,SUM(CV5:CY5)-CZ5,"")</f>
        <v/>
      </c>
      <c r="DI5" s="11" t="str">
        <f>IF(SUM(DG5:DH5)&gt;0,SUM(DG5:DH5),"")</f>
        <v/>
      </c>
      <c r="DJ5" s="11" t="str">
        <f>IF(DC5&gt;0,DC5,"")</f>
        <v/>
      </c>
      <c r="DK5" s="11" t="str">
        <f>IF(SUM(DA5:DD5)-DE5&gt;0,SUM(DA5:DD5)-DE5,"")</f>
        <v/>
      </c>
      <c r="DL5" s="11" t="str">
        <f>IF(SUM(DI5,DK5)&gt;0,SUM(DI5,DK5),"")</f>
        <v/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14" t="str">
        <f>IF(DT5&gt;0,DT5,"")</f>
        <v/>
      </c>
      <c r="EC5" s="14" t="str">
        <f>IF(SUM(DM5:DP5)-DQ5&gt;0,SUM(DM5:DP5)-DQ5,"")</f>
        <v/>
      </c>
      <c r="ED5" s="14" t="str">
        <f>IF(SUM(DR5:DU5)-DV5&gt;0,SUM(DR5:DU5)-DV5,"")</f>
        <v/>
      </c>
      <c r="EE5" s="14" t="str">
        <f>IF(SUM(EC5:ED5)&gt;0,SUM(EC5:ED5),"")</f>
        <v/>
      </c>
      <c r="EF5" s="14" t="str">
        <f>IF(DY5&gt;0,DY5,"")</f>
        <v/>
      </c>
      <c r="EG5" s="14" t="str">
        <f>IF(SUM(DW5:DZ5)-EA5&gt;0,SUM(DW5:DZ5)-EA5,"")</f>
        <v/>
      </c>
      <c r="EH5" s="14" t="str">
        <f>IF(SUM(EE5,EG5)&gt;0,SUM(EE5,EG5),"")</f>
        <v/>
      </c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11" t="str">
        <f>IF(EP5&gt;0,EP5,"")</f>
        <v/>
      </c>
      <c r="EY5" s="11" t="str">
        <f>IF(SUM(EI5:EL5)-EM5&gt;0,SUM(EI5:EL5)-EM5,"")</f>
        <v/>
      </c>
      <c r="EZ5" s="11" t="str">
        <f>IF(SUM(EN5:EQ5)-ER5&gt;0,SUM(EN5:EQ5)-ER5,"")</f>
        <v/>
      </c>
      <c r="FA5" s="11" t="str">
        <f>IF(SUM(EY5:EZ5)&gt;0,SUM(EY5:EZ5),"")</f>
        <v/>
      </c>
      <c r="FB5" s="11" t="str">
        <f>IF(EU5&gt;0,EU5,"")</f>
        <v/>
      </c>
      <c r="FC5" s="11" t="str">
        <f>IF(SUM(ES5:EV5)-EW5&gt;0,SUM(ES5:EV5)-EW5,"")</f>
        <v/>
      </c>
      <c r="FD5" s="11" t="str">
        <f>IF(SUM(FA5,FC5)&gt;0,SUM(FA5,FC5),"")</f>
        <v/>
      </c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14" t="str">
        <f>IF(FL5&gt;0,FL5,"")</f>
        <v/>
      </c>
      <c r="FU5" s="14" t="str">
        <f>IF(SUM(FE5:FH5)-FI5&gt;0,SUM(FE5:FH5)-FI5,"")</f>
        <v/>
      </c>
      <c r="FV5" s="14" t="str">
        <f>IF(SUM(FJ5:FM5)-FN5&gt;0,SUM(FJ5:FM5)-FN5,"")</f>
        <v/>
      </c>
      <c r="FW5" s="14" t="str">
        <f>IF(SUM(FU5:FV5)&gt;0,SUM(FU5:FV5),"")</f>
        <v/>
      </c>
      <c r="FX5" s="14" t="str">
        <f>IF(FQ5&gt;0,FQ5,"")</f>
        <v/>
      </c>
      <c r="FY5" s="14" t="str">
        <f>IF(SUM(FO5:FR5)-FS5&gt;0,SUM(FO5:FR5)-FS5,"")</f>
        <v/>
      </c>
      <c r="FZ5" s="14" t="str">
        <f>IF(SUM(FW5,FY5)&gt;0,SUM(FW5,FY5),"")</f>
        <v/>
      </c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11" t="str">
        <f>IF(GH5&gt;0,GH5,"")</f>
        <v/>
      </c>
      <c r="GQ5" s="11" t="str">
        <f>IF(SUM(GA5:GD5)-GE5&gt;0,SUM(GA5:GD5)-GE5,"")</f>
        <v/>
      </c>
      <c r="GR5" s="11" t="str">
        <f>IF(SUM(GF5:GI5)-GJ5&gt;0,SUM(GF5:GI5)-GJ5,"")</f>
        <v/>
      </c>
      <c r="GS5" s="11" t="str">
        <f>IF(SUM(GQ5:GR5)&gt;0,SUM(GQ5:GR5),"")</f>
        <v/>
      </c>
      <c r="GT5" s="11" t="str">
        <f>IF(GM5&gt;0,GM5,"")</f>
        <v/>
      </c>
      <c r="GU5" s="11" t="str">
        <f>IF(SUM(GK5:GN5)-GO5&gt;0,SUM(GK5:GN5)-GO5,"")</f>
        <v/>
      </c>
      <c r="GV5" s="11" t="str">
        <f>IF(SUM(GS5,GU5)&gt;0,SUM(GS5,GU5),"")</f>
        <v/>
      </c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14" t="str">
        <f>IF(HD5&gt;0,HD5,"")</f>
        <v/>
      </c>
      <c r="HM5" s="14" t="str">
        <f>IF(SUM(GW5:GZ5)-HA5&gt;0,SUM(GW5:GZ5)-HA5,"")</f>
        <v/>
      </c>
      <c r="HN5" s="14" t="str">
        <f>IF(SUM(HB5:HE5)-HF5&gt;0,SUM(HB5:HE5)-HF5,"")</f>
        <v/>
      </c>
      <c r="HO5" s="14" t="str">
        <f>IF(SUM(HM5:HN5)&gt;0,SUM(HM5:HN5),"")</f>
        <v/>
      </c>
      <c r="HP5" s="14" t="str">
        <f>IF(HI5&gt;0,HI5,"")</f>
        <v/>
      </c>
      <c r="HQ5" s="14" t="str">
        <f>IF(SUM(HG5:HJ5)-HK5&gt;0,SUM(HG5:HJ5)-HK5,"")</f>
        <v/>
      </c>
      <c r="HR5" s="14" t="str">
        <f>IF(SUM(HO5,HQ5)&gt;0,SUM(HO5,HQ5),"")</f>
        <v/>
      </c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11" t="str">
        <f>IF(HZ5&gt;0,HZ5,"")</f>
        <v/>
      </c>
      <c r="II5" s="11" t="str">
        <f>IF(SUM(HS5:HV5)-HW5&gt;0,SUM(HS5:HV5)-HW5,"")</f>
        <v/>
      </c>
      <c r="IJ5" s="11" t="str">
        <f>IF(SUM(HX5:IA5)-IB5&gt;0,SUM(HX5:IA5)-IB5,"")</f>
        <v/>
      </c>
      <c r="IK5" s="11" t="str">
        <f>IF(SUM(II5:IJ5)&gt;0,SUM(II5:IJ5),"")</f>
        <v/>
      </c>
      <c r="IL5" s="11" t="str">
        <f>IF(IE5&gt;0,IE5,"")</f>
        <v/>
      </c>
      <c r="IM5" s="11" t="str">
        <f>IF(SUM(IC5:IF5)-IG5&gt;0,SUM(IC5:IF5)-IG5,"")</f>
        <v/>
      </c>
      <c r="IN5" s="11" t="str">
        <f>IF(SUM(IK5,IM5)&gt;0,SUM(IK5,IM5),"")</f>
        <v/>
      </c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14" t="str">
        <f>IF(IV5&gt;0,IV5,"")</f>
        <v/>
      </c>
      <c r="JE5" s="14" t="str">
        <f>IF(SUM(IO5:IR5)-IS5&gt;0,SUM(IO5:IR5)-IS5,"")</f>
        <v/>
      </c>
      <c r="JF5" s="14" t="str">
        <f>IF(SUM(IT5:IW5)-IX5&gt;0,SUM(IT5:IW5)-IX5,"")</f>
        <v/>
      </c>
      <c r="JG5" s="14" t="str">
        <f>IF(SUM(JE5:JF5)&gt;0,SUM(JE5:JF5),"")</f>
        <v/>
      </c>
      <c r="JH5" s="14" t="str">
        <f>IF(JA5&gt;0,JA5,"")</f>
        <v/>
      </c>
      <c r="JI5" s="14" t="str">
        <f>IF(SUM(IY5:JB5)-JC5&gt;0,SUM(IY5:JB5)-JC5,"")</f>
        <v/>
      </c>
      <c r="JJ5" s="14" t="str">
        <f>IF(SUM(JG5,JI5)&gt;0,SUM(JG5,JI5),"")</f>
        <v/>
      </c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11" t="str">
        <f>IF(JR5&gt;0,JR5,"")</f>
        <v/>
      </c>
      <c r="KA5" s="11" t="str">
        <f>IF(SUM(JK5:JN5)-JO5&gt;0,SUM(JK5:JN5)-JO5,"")</f>
        <v/>
      </c>
      <c r="KB5" s="11" t="str">
        <f>IF(SUM(JP5:JS5)-JT5&gt;0,SUM(JP5:JS5)-JT5,"")</f>
        <v/>
      </c>
      <c r="KC5" s="11" t="str">
        <f>IF(SUM(KA5:KB5)&gt;0,SUM(KA5:KB5),"")</f>
        <v/>
      </c>
      <c r="KD5" s="11" t="str">
        <f>IF(JW5&gt;0,JW5,"")</f>
        <v/>
      </c>
      <c r="KE5" s="11" t="str">
        <f>IF(SUM(JU5:JX5)-JY5&gt;0,SUM(JU5:JX5)-JY5,"")</f>
        <v/>
      </c>
      <c r="KF5" s="11" t="str">
        <f>IF(SUM(KC5,KE5)&gt;0,SUM(KC5,KE5),"")</f>
        <v/>
      </c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14" t="str">
        <f>IF(KN5&gt;0,KN5,"")</f>
        <v/>
      </c>
      <c r="KW5" s="14" t="str">
        <f>IF(SUM(KG5:KJ5)-KK5&gt;0,SUM(KG5:KJ5)-KK5,"")</f>
        <v/>
      </c>
      <c r="KX5" s="14" t="str">
        <f>IF(SUM(KL5:KO5)-KP5&gt;0,SUM(KL5:KO5)-KP5,"")</f>
        <v/>
      </c>
      <c r="KY5" s="14" t="str">
        <f>IF(SUM(KW5:KX5)&gt;0,SUM(KW5:KX5),"")</f>
        <v/>
      </c>
      <c r="KZ5" s="14" t="str">
        <f>IF(KS5&gt;0,KS5,"")</f>
        <v/>
      </c>
      <c r="LA5" s="14" t="str">
        <f>IF(SUM(KQ5:KT5)-KU5&gt;0,SUM(KQ5:KT5)-KU5,"")</f>
        <v/>
      </c>
      <c r="LB5" s="14" t="str">
        <f>IF(SUM(KY5,LA5)&gt;0,SUM(KY5,LA5),"")</f>
        <v/>
      </c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11" t="str">
        <f>IF(LJ5&gt;0,LJ5,"")</f>
        <v/>
      </c>
      <c r="LS5" s="11" t="str">
        <f>IF(SUM(LC5:LF5)-LG5&gt;0,SUM(LC5:LF5)-LG5,"")</f>
        <v/>
      </c>
      <c r="LT5" s="11" t="str">
        <f>IF(SUM(LH5:LK5)-LL5&gt;0,SUM(LH5:LK5)-LL5,"")</f>
        <v/>
      </c>
      <c r="LU5" s="11" t="str">
        <f>IF(SUM(LS5:LT5)&gt;0,SUM(LS5:LT5),"")</f>
        <v/>
      </c>
      <c r="LV5" s="11" t="str">
        <f>IF(LO5&gt;0,LO5,"")</f>
        <v/>
      </c>
      <c r="LW5" s="11" t="str">
        <f>IF(SUM(LM5:LP5)-LQ5&gt;0,SUM(LM5:LP5)-LQ5,"")</f>
        <v/>
      </c>
      <c r="LX5" s="11" t="str">
        <f>IF(SUM(LU5,LW5)&gt;0,SUM(LU5,LW5),"")</f>
        <v/>
      </c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14" t="str">
        <f>IF(MF5&gt;0,MF5,"")</f>
        <v/>
      </c>
      <c r="MO5" s="14" t="str">
        <f>IF(SUM(LY5:MB5)-MC5&gt;0,SUM(LY5:MB5)-MC5,"")</f>
        <v/>
      </c>
      <c r="MP5" s="14" t="str">
        <f>IF(SUM(MD5:MG5)-MH5&gt;0,SUM(MD5:MG5)-MH5,"")</f>
        <v/>
      </c>
      <c r="MQ5" s="14" t="str">
        <f>IF(SUM(MO5:MP5)&gt;0,SUM(MO5:MP5),"")</f>
        <v/>
      </c>
      <c r="MR5" s="14" t="str">
        <f>IF(MK5&gt;0,MK5,"")</f>
        <v/>
      </c>
      <c r="MS5" s="14" t="str">
        <f>IF(SUM(MI5:ML5)-MM5&gt;0,SUM(MI5:ML5)-MM5,"")</f>
        <v/>
      </c>
      <c r="MT5" s="14" t="str">
        <f>IF(SUM(MQ5,MS5)&gt;0,SUM(MQ5,MS5),"")</f>
        <v/>
      </c>
      <c r="MU5" s="69">
        <f>IF($CE5="P",BP5,(BP5+AS5)/2)</f>
        <v>4.55</v>
      </c>
      <c r="MV5" s="69">
        <f>IF($CE5="P",BQ5,(BQ5+AT5)/2)</f>
        <v>4.625</v>
      </c>
      <c r="MW5" s="69">
        <f>IF($CE5="P",BR5,(BR5+AU5)/2)</f>
        <v>2.0499999999999998</v>
      </c>
      <c r="MX5" s="69">
        <f>IF($CE5="P",BS5,(BS5+AV5)/2)</f>
        <v>9.09</v>
      </c>
      <c r="MY5" s="69">
        <f>IF($CE5="P",BT5,(BT5+AW5)/2)</f>
        <v>0</v>
      </c>
      <c r="MZ5" s="69">
        <f>IF($CE5="P",BU5,(BU5+AX5)/2)</f>
        <v>4.2750000000000004</v>
      </c>
      <c r="NA5" s="69">
        <f>IF($CE5="P",BV5,(BV5+AY5)/2)</f>
        <v>4.4249999999999998</v>
      </c>
      <c r="NB5" s="69">
        <f>IF($CE5="P",BW5,(BW5+AZ5)/2)</f>
        <v>5.9</v>
      </c>
      <c r="NC5" s="69">
        <f>IF($CE5="P",BX5,(BX5+BA5)/2)</f>
        <v>8.25</v>
      </c>
      <c r="ND5" s="69">
        <f>IF($CE5="P",BY5,(BY5+BB5)/2)</f>
        <v>0</v>
      </c>
      <c r="NE5" s="69">
        <f>IF($CE5="P",BZ5,(BZ5+BC5)/2)</f>
        <v>0.42499999999999999</v>
      </c>
      <c r="NF5" s="69">
        <f>IF($CE5="P",CA5,(CA5+BD5)/2)</f>
        <v>0.45</v>
      </c>
      <c r="NG5" s="69">
        <f>IF($CE5="P",CB5,(CB5+BE5)/2)</f>
        <v>0.75</v>
      </c>
      <c r="NH5" s="69">
        <f>IF($CE5="P",CC5,(CC5+BF5)/2)</f>
        <v>1</v>
      </c>
      <c r="NI5" s="69">
        <f>IF($CE5="P",CD5,(CD5+BG5)/2)</f>
        <v>0</v>
      </c>
      <c r="NJ5" s="80" t="s">
        <v>91</v>
      </c>
      <c r="NK5" s="11">
        <f>IF(NB5&gt;0,NB5,"")</f>
        <v>5.9</v>
      </c>
      <c r="NL5" s="11">
        <f>IF(SUM(MU5:MX5)-MY5&gt;0,SUM(MU5:MX5)-MY5,"")</f>
        <v>20.315000000000001</v>
      </c>
      <c r="NM5" s="11">
        <f>IF(SUM(MZ5:NC5)-ND5&gt;0,SUM(MZ5:NC5)-ND5,"")</f>
        <v>22.85</v>
      </c>
      <c r="NN5" s="11">
        <f>IF(SUM(NL5:NM5)&gt;0,SUM(NL5:NM5),"")</f>
        <v>43.165000000000006</v>
      </c>
      <c r="NO5" s="11">
        <f>IF(NG5&gt;0,NG5,"")</f>
        <v>0.75</v>
      </c>
      <c r="NP5" s="11">
        <f>IF(SUM(NE5:NH5)-NI5&gt;0,SUM(NE5:NH5)-NI5,"")</f>
        <v>2.625</v>
      </c>
      <c r="NQ5" s="11">
        <f>IF(SUM(NN5,NP5)&gt;0,SUM(NN5,NP5),"")</f>
        <v>45.790000000000006</v>
      </c>
    </row>
    <row r="6" spans="1:381" x14ac:dyDescent="0.2">
      <c r="A6" s="5" cm="1">
        <f t="array" ref="A6">IF(AND(G6&lt;&gt;"",H6&lt;&gt;""),SUMPRODUCT((G$4:G$15&lt;&gt;"")*(H$4:H$15&lt;&gt;"")*(E$4:E$15&gt;E6))+1,IF(H6&lt;&gt;"",SUMPRODUCT((I$4:I$15="No DD")*(E$4:E$15&gt;E6))+1+SUMPRODUCT((G$4:G$15&lt;&gt;"")*(H$4:H$15&lt;&gt;"")),""))</f>
        <v>2</v>
      </c>
      <c r="B6" s="127" t="s">
        <v>125</v>
      </c>
      <c r="C6" s="5" t="s">
        <v>124</v>
      </c>
      <c r="D6" s="5" t="s">
        <v>141</v>
      </c>
      <c r="E6" s="15">
        <f>SUM(K6:S6)</f>
        <v>87.63</v>
      </c>
      <c r="F6" s="3" t="str">
        <f>IF(G6&lt;&gt;"","P","")</f>
        <v>P</v>
      </c>
      <c r="G6" s="125" t="str">
        <f>IF(OR(AND(AL6&gt;=AR$20,AL6&lt;&gt;"",AK6=""),AND(AP6&gt;=AR$20,AP6&lt;&gt;"",AK6=""),AND(BI6&gt;=BO$20,BI6&lt;&gt;"",BH6=""),AND(BM6&gt;=BO$20,BM6&lt;&gt;"",BH6=""),AND(CF6&gt;=CL$20,CF6&lt;&gt;"",CE6=""),AND(CJ6&gt;=CL$20,CJ6&lt;&gt;"",CE6=""),AND(DF6&gt;=DL$20,DF6&lt;&gt;""),AND(DJ6&gt;=DL$20,DJ6&lt;&gt;""),AND(EB6&gt;=EH$20,EB6&lt;&gt;""),AND(EF6&gt;=EH$20,EF6&lt;&gt;""),AND(EX6&gt;=FD$20,EX6&lt;&gt;""),AND(FB6&gt;=FD$20,FB6&lt;&gt;""),AND(FT6&gt;=FZ$20,FT6&lt;&gt;""),AND(FX6&gt;=FZ$20,FX6&lt;&gt;""),AND(GP6&gt;=GV$20,GP6&lt;&gt;""),AND(GT6&gt;=GV$20,GT6&lt;&gt;""),AND(HL6&gt;=HR$20,HL6&lt;&gt;""),AND(HP6&gt;=HR$20,HP6&lt;&gt;""),AND(IH6&gt;=IN$20,IH6&lt;&gt;""),AND(IL6&gt;=IN$20,IL6&lt;&gt;""),AND(JD6&gt;=JJ$20,JD6&lt;&gt;""),AND(JH6&gt;=JJ$20,JH6&lt;&gt;""),AND(JZ6&gt;=KF$20,JZ6&lt;&gt;""),AND(KD6&gt;=KF$20,KD6&lt;&gt;""),AND(KV6&gt;=LB$20,KV6&lt;&gt;""),AND(KZ6&gt;=LB$20,KZ6&lt;&gt;""),AND(LR6&gt;=LX$20,LR6&lt;&gt;""),AND(LV6&gt;=LX$20,LV6&lt;&gt;""),AND(MN6&gt;=MT$20,MN6&lt;&gt;""),AND(MR6&gt;=MT$20,MR6&lt;&gt;"")),"Merit",IF(OR(AND(AL6&gt;=AR$19,AL6&lt;&gt;"",AK6=""),AND(AP6&gt;=AR$19,AP6&lt;&gt;"",AK6=""),AND(BI6&gt;=BO$19,BI6&lt;&gt;"",BH6=""),AND(BM6&gt;=BO$19,BM6&lt;&gt;"",BH6=""),AND(CF6&gt;=CL$19,CF6&lt;&gt;"",CE6=""),AND(CJ6&gt;=CL$19,CJ6&lt;&gt;"",CE6=""),AND(DF6&gt;=DL$19,DF6&lt;&gt;""),AND(DJ6&gt;=DL$19,DJ6&lt;&gt;""),AND(EB6&gt;=EH$19,EB6&lt;&gt;""),AND(EF6&gt;=EH$19,EF6&lt;&gt;""),AND(EX6&gt;=FD$19,EX6&lt;&gt;""),AND(FB6&gt;=FD$19,FB6&lt;&gt;""),AND(FT6&gt;=FZ$19,FT6&lt;&gt;""),AND(FX6&gt;=FZ$19,FX6&lt;&gt;""),AND(GP6&gt;=GV$19,GP6&lt;&gt;""),AND(GT6&gt;=GV$19,GT6&lt;&gt;""),AND(HL6&gt;=HR$19,HL6&lt;&gt;""),AND(HP6&gt;=HR$19,HP6&lt;&gt;""),AND(IH6&gt;=IN$19,IH6&lt;&gt;""),AND(IL6&gt;=IN$19,IL6&lt;&gt;""),AND(JD6&gt;=JJ$19,JD6&lt;&gt;""),AND(JH6&gt;=JJ$19,JH6&lt;&gt;""),AND(JZ6&gt;=KF$19,JZ6&lt;&gt;""),AND(KD6&gt;=KF$19,KD6&lt;&gt;""),AND(KV6&gt;=LB$19,KV6&lt;&gt;""),AND(KZ6&gt;=LB$19,KZ6&lt;&gt;""),AND(LR6&gt;=LX$19,LR6&lt;&gt;""),AND(LV6&gt;=LX$19,LV6&lt;&gt;""),AND(MN6&gt;=MT$19,MN6&lt;&gt;""),AND(MR6&gt;=MT$19,MR6&lt;&gt;"")),"Excellence",IF(OR(AND(AL6&gt;=AR$18,AL6&lt;&gt;"",AK6=""),AND(AP6&gt;=AR$18,AP6&lt;&gt;"",AK6=""),AND(BI6&gt;=BO$18,BI6&lt;&gt;"",BH6=""),AND(BM6&gt;=BO$18,BM6&lt;&gt;"",BH6=""),AND(CF6&gt;=CL$18,CF6&lt;&gt;"",CE6=""),AND(CJ6&gt;=CL$18,CJ6&lt;&gt;"",CE6=""),AND(DF6&gt;=DL$18,DF6&lt;&gt;""),AND(DJ6&gt;=DL$18,DJ6&lt;&gt;""),AND(EB6&gt;=EH$18,EB6&lt;&gt;""),AND(EF6&gt;=EH$18,EF6&lt;&gt;""),AND(EX6&gt;=FD$18,EX6&lt;&gt;""),AND(FB6&gt;=FD$18,FB6&lt;&gt;""),AND(FT6&gt;=FZ$18,FT6&lt;&gt;""),AND(FX6&gt;=FZ$18,FX6&lt;&gt;""),AND(GP6&gt;=GV$18,GP6&lt;&gt;""),AND(GT6&gt;=GV$18,GT6&lt;&gt;""),AND(HL6&gt;=HR$18,HL6&lt;&gt;""),AND(HP6&gt;=HR$18,HP6&lt;&gt;""),AND(IH6&gt;=IN$18,IH6&lt;&gt;""),AND(IL6&gt;=IN$18,IL6&lt;&gt;""),AND(JD6&gt;=JJ$18,JD6&lt;&gt;""),AND(JH6&gt;=JJ$18,JH6&lt;&gt;""),AND(JZ6&gt;=KF$18,JZ6&lt;&gt;""),AND(KD6&gt;=KF$18,KD6&lt;&gt;""),AND(KV6&gt;=LB$18,KV6&lt;&gt;""),AND(KZ6&gt;=LB$18,KZ6&lt;&gt;""),AND(LR6&gt;=LX$18,LR6&lt;&gt;""),AND(LV6&gt;=LX$18,LV6&lt;&gt;""),AND(MN6&gt;=MT$18,MN6&lt;&gt;""),AND(MR6&gt;=MT$18,MR6&lt;&gt;"")),"Worlds Team",IF(OR(AND(AL6&gt;=AR$17,AL6&lt;&gt;"",AK6=""),AND(AP6&gt;=AR$17,AP6&lt;&gt;"",AK6=""),AND(BI6&gt;=BO$17,BI6&lt;&gt;"",BH6=""),AND(BM6&gt;=BO$17,BM6&lt;&gt;"",BH6=""),AND(CF6&gt;=CL$17,CF6&lt;&gt;"",CE6=""),AND(CJ6&gt;=CL$17,CJ6&lt;&gt;"",CE6=""),AND(DF6&gt;=DL$17,DF6&lt;&gt;""),AND(DJ6&gt;=DL$17,DJ6&lt;&gt;""),AND(EB6&gt;=EH$17,EB6&lt;&gt;""),AND(EF6&gt;=EH$17,EF6&lt;&gt;""),AND(EX6&gt;=FD$17,EX6&lt;&gt;""),AND(FB6&gt;=FD$17,FB6&lt;&gt;""),AND(FT6&gt;=FZ$17,FT6&lt;&gt;""),AND(FX6&gt;=FZ$17,FX6&lt;&gt;""),AND(GP6&gt;=GV$17,GP6&lt;&gt;""),AND(GT6&gt;=GV$17,GT6&lt;&gt;""),AND(HL6&gt;=HR$17,HL6&lt;&gt;""),AND(HP6&gt;=HR$17,HP6&lt;&gt;""),AND(IH6&gt;=IN$17,IH6&lt;&gt;""),AND(IL6&gt;=IN$17,IL6&lt;&gt;""),AND(JD6&gt;=JJ$17,JD6&lt;&gt;""),AND(JH6&gt;=JJ$17,JH6&lt;&gt;""),AND(JZ6&gt;=KF$17,JZ6&lt;&gt;""),AND(KD6&gt;=KF$17,KD6&lt;&gt;""),AND(KV6&gt;=LB$17,KV6&lt;&gt;""),AND(KZ6&gt;=LB$17,KZ6&lt;&gt;""),AND(LR6&gt;=LX$17,LR6&lt;&gt;""),AND(LV6&gt;=LX$17,LV6&lt;&gt;""),AND(MN6&gt;=MT$17,MN6&lt;&gt;""),AND(MR6&gt;=MT$17,MR6&lt;&gt;"")),"National Team",""))))</f>
        <v>Merit</v>
      </c>
      <c r="H6" s="125" t="str">
        <f>IF(OR(AND(AN6&gt;=AR$24,AN6&lt;&gt;"",AK6=""),AND(AQ6&gt;=AR$24,AQ6&lt;&gt;"",AK6=""),AND(BK6&gt;=BO$24,BK6&lt;&gt;"",BH6=""),AND(BN6&gt;=BO$24,BN6&lt;&gt;"",BH6=""),AND(CH6&gt;=CL$24,CH6&lt;&gt;"",CE6=""),AND(CK6&gt;=CL$24,CE6&lt;&gt;"",CE6=""),AND(DH6&gt;=DL$24,DH6&lt;&gt;""),AND(DK6&gt;=DL$24,DK6&lt;&gt;""),AND(ED6&gt;=EH$24,ED6&lt;&gt;""),AND(EG6&gt;=EH$24,EG6&lt;&gt;""),AND(EZ6&gt;=FD$24,EZ6&lt;&gt;""),AND(FC6&gt;=FD$24,FC6&lt;&gt;""),AND(FV6&gt;=FZ$24,FV6&lt;&gt;""),AND(FY6&gt;=FZ$24,FY6&lt;&gt;""),AND(GR6&gt;=GV$24,GR6&lt;&gt;""),AND(GU6&gt;=GV$24,GU6&lt;&gt;""),AND(HN6&gt;=HR$24,HN6&lt;&gt;""),AND(HQ6&gt;=HR$24,HQ6&lt;&gt;""),AND(IJ6&gt;=IN$24,IJ6&lt;&gt;""),AND(IM6&gt;=IN$24,IM6&lt;&gt;""),AND(JF6&gt;=JJ$24,JF6&lt;&gt;""),AND(JI6&gt;=JJ$24,JI6&lt;&gt;""),AND(KB6&gt;=KF$24,KB6&lt;&gt;""),AND(KE6&gt;=KF$24,KE6&lt;&gt;""),AND(KX6&gt;=LB$24,KX6&lt;&gt;""),AND(LA6&gt;=LB$24,LA6&lt;&gt;""),AND(LT6&gt;=LX$24,LT6&lt;&gt;""),AND(LW6&gt;=LX$24,LW6&lt;&gt;""),AND(MP6&gt;=MT$24,MP6&lt;&gt;""),AND(MS6&gt;=MT$24,MS6&lt;&gt;"")),"Merit",IF(OR(AND(AN6&gt;=AR$23,AN6&lt;&gt;"",AK6=""),AND(AQ6&gt;=AR$23,AQ6&lt;&gt;"",AK6=""),AND(BK6&gt;=BO$23,BK6&lt;&gt;"",BH6=""),AND(BN6&gt;=BO$23,BN6&lt;&gt;"",BH6=""),AND(CH6&gt;=CL$23,CH6&lt;&gt;"",CE6=""),AND(CK6&gt;=CL$23,CE6&lt;&gt;"",CE6=""),AND(DH6&gt;=DL$23,DH6&lt;&gt;""),AND(DK6&gt;=DL$23,DK6&lt;&gt;""),AND(ED6&gt;=EH$23,ED6&lt;&gt;""),AND(EG6&gt;=EH$23,EG6&lt;&gt;""),AND(EZ6&gt;=FD$23,EZ6&lt;&gt;""),AND(FC6&gt;=FD$23,FC6&lt;&gt;""),AND(FV6&gt;=FZ$23,FV6&lt;&gt;""),AND(FY6&gt;=FZ$23,FY6&lt;&gt;""),AND(GR6&gt;=GV$23,GR6&lt;&gt;""),AND(GU6&gt;=GV$23,GU6&lt;&gt;""),AND(HN6&gt;=HR$23,HN6&lt;&gt;""),AND(HQ6&gt;=HR$23,HQ6&lt;&gt;""),AND(IJ6&gt;=IN$23,IJ6&lt;&gt;""),AND(IM6&gt;=IN$23,IM6&lt;&gt;""),AND(JF6&gt;=JJ$23,JF6&lt;&gt;""),AND(JI6&gt;=JJ$23,JI6&lt;&gt;""),AND(KB6&gt;=KF$23,KB6&lt;&gt;""),AND(KE6&gt;=KF$23,KE6&lt;&gt;""),AND(KX6&gt;=LB$23,KX6&lt;&gt;""),AND(LA6&gt;=LB$23,LA6&lt;&gt;""),AND(LT6&gt;=LX$23,LT6&lt;&gt;""),AND(LW6&gt;=LX$23,LW6&lt;&gt;""),AND(MP6&gt;=MT$23,MP6&lt;&gt;""),AND(MS6&gt;=MT$23,MS6&lt;&gt;"")),"Excellence",IF(OR(AND(AO6&gt;=AR$22,AO6&lt;&gt;"",AK6=""),AND(BL6&gt;=BO$22,BL6&lt;&gt;"",BH6=""),AND(CI6&gt;=CL$22,CI6&lt;&gt;"",CE6=""),AND(DI6&gt;=DL$22,DI6&lt;&gt;""),AND(EE6&gt;=EH$22,EE6&lt;&gt;""),AND(FA6&gt;=FD$22,FA6&lt;&gt;""),AND(FW6&gt;=FZ$22,FW6&lt;&gt;""),AND(GS6&gt;=GV$22,GS6&lt;&gt;""),AND(HO6&gt;=HR$22,HO6&lt;&gt;""),AND(IK6&gt;=IN$22,IK6&lt;&gt;""),AND(JG6&gt;=JJ$22,JG6&lt;&gt;""),AND(KC6&gt;=KF$22,KC6&lt;&gt;""),AND(KY6&gt;=LB$22,KY6&lt;&gt;""),AND(LU6&gt;=LX$22,LU6&lt;&gt;""),AND(MQ6&gt;=MT$22,MQ6&lt;&gt;"")),"Worlds Team",IF(OR(AND(AO6&gt;=AR$21,AO6&lt;&gt;"",AK6=""),AND(BL6&gt;=BO$21,BL6&lt;&gt;"",BH6=""),AND(CI6&gt;=CL$21,CI6&lt;&gt;"",CE6=""),AND(DI6&gt;=DL$21,DI6&lt;&gt;""),AND(EE6&gt;=EH$21,EE6&lt;&gt;""),AND(FA6&gt;=FD$21,FA6&lt;&gt;""),AND(FW6&gt;=FZ$21,FW6&lt;&gt;""),AND(GS6&gt;=GV$21,GS6&lt;&gt;""),AND(HO6&gt;=HR$21,HO6&lt;&gt;""),AND(IK6&gt;=IN$21,IK6&lt;&gt;""),AND(JG6&gt;=JJ$21,JG6&lt;&gt;""),AND(KC6&gt;=KF$21,KC6&lt;&gt;""),AND(KY6&gt;=LB$21,KY6&lt;&gt;""),AND(LU6&gt;=LX$21,LU6&lt;&gt;""),AND(MQ6&gt;=MT$21,MQ6&lt;&gt;"")),"National Team",""))))</f>
        <v>Merit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Merit</v>
      </c>
      <c r="J6" s="3" t="str">
        <f>IF(AND(OR(AND(AO6&gt;=AR$22,AO6&lt;&gt;"",AK6=""),AND(BL6&gt;=BO$22,BL6&lt;&gt;"",BH6=""),AND(CI6&gt;=CL$22,CI6&lt;&gt;"",CE6=""),AND(DI6&gt;=DL$22,DI6&lt;&gt;""),AND(EE6&gt;=EH$22,EE6&lt;&gt;""),AND(FA6&gt;=FD$22,FA6&lt;&gt;""),AND(FW6&gt;=FZ$22,FW6&lt;&gt;""),AND(GS6&gt;=GV$22,GS6&lt;&gt;""),AND(HO6&gt;=HR$22,HO6&lt;&gt;""),AND(IK6&gt;=IN$22,IK6&lt;&gt;""),AND(JG6&gt;=JJ$22,JG6&lt;&gt;""),AND(KC6&gt;=KF$22,KC6&lt;&gt;""),AND(KY6&gt;=LB$22,KY6&lt;&gt;""),AND(LU6&gt;=LX$22,LU6&lt;&gt;""),AND(MQ6&gt;=MT$22,MQ6&lt;&gt;"")),OR(G6="Worlds Team",G6="Excellence",G6="Merit")),"P","")</f>
        <v>P</v>
      </c>
      <c r="K6" s="14">
        <f>MAX(AO6,BL6,CI6)</f>
        <v>0</v>
      </c>
      <c r="L6" s="14" t="str">
        <f>IF(K6=0,"",IF(K6=CI6,$BP$1,IF(K6=BL6,$AS$1,IF(K6=AO6,$V$1,""))))</f>
        <v/>
      </c>
      <c r="M6" s="14">
        <f>IF($K6=$AO6,MAX(BJ6,CG6),IF($K6=$BL6,MAX(AM6,CG6),IF($K6=$CI6,MAX(AM6,BJ6),MAX(AM6,BJ6,CG6))))</f>
        <v>0</v>
      </c>
      <c r="N6" s="14" t="str">
        <f>IF(M6=0,"",IF(AND(M6=CG6,$L6&lt;&gt;$BP$1),$BP$1,IF(AND(M6=BJ6,$L6&lt;&gt;$AS$1),$AS$1,IF(AND(M6=AM6,$L6&lt;&gt;$V$1),$V$1,""))))</f>
        <v/>
      </c>
      <c r="O6" s="14">
        <f>IF($K6=$AO6,MAX(CH6,BK6),IF($K6=$BL6,MAX(AN6,CH6),IF($K6=$CI6,MAX(AN6,BK6),MAX(AN6,BK6,CH6))))</f>
        <v>0</v>
      </c>
      <c r="P6" s="14" t="str">
        <f>IF(O6=0,"",IF(AND(O6=CH6,$L6&lt;&gt;$BP$1),$BP$1,IF(AND(O6=BK6,$L6&lt;&gt;$AS$1),$AS$1,IF(AND(O6=AN6,$L6&lt;&gt;$V$1),$V$1,""))))</f>
        <v/>
      </c>
      <c r="Q6" s="14">
        <f>MAX(AQ6,BN6,CK6)</f>
        <v>0</v>
      </c>
      <c r="R6" s="14" t="str">
        <f>IF(Q6=0,"",IF(Q6=CK6,$BP$1,IF(Q6=BN6,$AS$1,IF(Q6=AQ6,$V$1,""))))</f>
        <v/>
      </c>
      <c r="S6" s="14">
        <f>IF(MAX(CM6,CN6,CO6,CP6)&gt;0,MAX(CM6,CN6,CO6,CP6),"")</f>
        <v>87.63</v>
      </c>
      <c r="T6" s="25" t="str">
        <f>IF(S6="","",IF(S6=CM6,"(Vol 1)",IF(S6=CN6,"(Vol 2)",IF(S6=CO6,"(Prelim)",IF(S6=CP6,"(Final)")))))</f>
        <v>(Prelim)</v>
      </c>
      <c r="U6" s="14" t="str">
        <f>IF(S6="","",IF(S6=CM6,IF(S6+IF(M6="",0,M6)=MO6,$LY$1,IF(S6+IF(M6="",0,M6)=LS6,$LC$1,IF(S6+IF(M6="",0,M6)=KW6,$KG$1,IF(S6+IF(M6="",0,M6)=KA6,$JK$1,IF(S6+IF(M6="",0,M6)=JE6,$IO$1,IF(S6+IF(M6="",0,M6)=II6,$HS$1,IF(S6+IF(M6="",0,M6)=HM6,$GW$1,IF(S6+IF(M6="",0,M6)=GQ6,$GA$1,IF(S6+IF(M6="",0,M6)=FU6,$FE$1,IF(S6+IF(M6="",0,M6)=EY6,$EI$1,IF(S6+IF(M6="",0,M6)=EC6,$DM$1,IF(S6+IF(M6="",0,M6)=DG6,$CQ$1)))))))))))),IF(S6=CN6,IF(S6+IF(O6="",0,O6)=MP6,$LY$1,IF(S6+IF(O6="",0,O6)=LT6,$LC$1,IF(S6+IF(O6="",0,O6)=KX6,$KG$1,IF(S6+IF(O6="",0,O6)=KB6,$JK$1,IF(S6+IF(O6="",0,O6)=JF6,$IO$1,IF(S6+IF(O6="",0,O6)=IJ6,$HS$1,IF(S6+IF(O6="",0,O6)=HN6,$GW$1,IF(S6+IF(O6="",0,O6)=GR6,$GA$1,IF(S6+IF(O6="",0,O6)=FV6,$FE$1,IF(S6+IF(O6="",0,O6)=EZ6,$EI$1,IF(S6+IF(O6="",0,O6)=ED6,$DM$1,IF(S6+IF(O6="",0,O6)=DH6,$CQ$1)))))))))))),IF(S6=CO6,IF(S6+IF(K6="",0,K6)=MQ6,$LY$1,IF(S6+IF(K6="",0,K6)=LU6,$LC$1,IF(S6+IF(K6="",0,K6)=KY6,$KG$1,IF(S6+IF(K6="",0,K6)=KC6,$JK$1,IF(S6+IF(K6="",0,K6)=JG6,$IO$1,IF(S6+IF(K6="",0,K6)=IK6,$HS$1,IF(S6+IF(K6="",0,K6)=HO6,$GW$1,IF(S6+IF(K6="",0,K6)=GS6,$GA$1,IF(S6+IF(K6="",0,K6)=FW6,$FE$1,IF(S6+IF(K6="",0,K6)=FA6,$EI$1,IF(S6+IF(K6="",0,K6)=EE6,$DM$1,IF(S6+IF(K6="",0,K6)=DI6,$CQ$1)))))))))))),IF(S6=CP6,IF(S6+IF(Q6="",0,Q6)=MS6,$LY$1,IF(S6+IF(Q6="",0,Q6)=LW6,$LC$1,IF(S6+IF(Q6="",0,Q6)=LA6,$KG$1,IF(S6+IF(Q6="",0,Q6)=KE6,$JK$1,IF(S6+IF(Q6="",0,Q6)=JI6,$IO$1,IF(S6+IF(Q6="",0,Q6)=IM6,$HS$1,IF(S6+IF(Q6="",0,Q6)=HQ6,$GW$1,IF(S6+IF(Q6="",0,Q6)=GU6,$GA$1,IF(S6+IF(Q6="",0,Q6)=FY6,$FE$1,IF(S6+IF(Q6="",0,Q6)=FC6,$EI$1,IF(S6+IF(Q6="",0,Q6)=EG6,$DM$1,IF(S6+IF(Q6="",0,Q6)=DK6,$CQ$1)))))))))))))))))</f>
        <v>2019 World Championships (Nov 29)</v>
      </c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80"/>
      <c r="AL6" s="11" t="str">
        <f>IF(AC6&gt;0,AC6,"")</f>
        <v/>
      </c>
      <c r="AM6" s="11" t="str">
        <f>IF(SUM(V6:Y6)-Z6&gt;0,SUM(V6:Y6)-Z6,"")</f>
        <v/>
      </c>
      <c r="AN6" s="11" t="str">
        <f>IF(SUM(AA6:AD6)-AE6&gt;0,SUM(AA6:AD6)-AE6,"")</f>
        <v/>
      </c>
      <c r="AO6" s="11" t="str">
        <f>IF(SUM(AM6:AN6)&gt;0,SUM(AM6:AN6),"")</f>
        <v/>
      </c>
      <c r="AP6" s="11" t="str">
        <f>IF(AH6&gt;0,AH6,"")</f>
        <v/>
      </c>
      <c r="AQ6" s="11" t="str">
        <f>IF(SUM(AF6:AI6)-AJ6&gt;0,SUM(AF6:AI6)-AJ6,"")</f>
        <v/>
      </c>
      <c r="AR6" s="11" t="str">
        <f>IF(SUM(AO6,AQ6)&gt;0,SUM(AO6,AQ6),"")</f>
        <v/>
      </c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81"/>
      <c r="BI6" s="14" t="str">
        <f>IF(AZ6&gt;0,AZ6,"")</f>
        <v/>
      </c>
      <c r="BJ6" s="14" t="str">
        <f>IF(SUM(AS6:AV6)-AW6&gt;0,SUM(AS6:AV6)-AW6,"")</f>
        <v/>
      </c>
      <c r="BK6" s="14" t="str">
        <f>IF(SUM(AX6:BA6)-BB6&gt;0,SUM(AX6:BA6)-BB6,"")</f>
        <v/>
      </c>
      <c r="BL6" s="14" t="str">
        <f>IF(SUM(BJ6:BK6)&gt;0,SUM(BJ6:BK6),"")</f>
        <v/>
      </c>
      <c r="BM6" s="14" t="str">
        <f>IF(BE6&gt;0,BE6,"")</f>
        <v/>
      </c>
      <c r="BN6" s="14" t="str">
        <f>IF(SUM(BC6:BF6)-BG6&gt;0,SUM(BC6:BF6)-BG6,"")</f>
        <v/>
      </c>
      <c r="BO6" s="14" t="str">
        <f>IF(SUM(BL6,BN6)&gt;0,SUM(BL6,BN6),"")</f>
        <v/>
      </c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80"/>
      <c r="CF6" s="11" t="str">
        <f>IF(BW6&gt;0,BW6,"")</f>
        <v/>
      </c>
      <c r="CG6" s="11" t="str">
        <f>IF(SUM(BP6:BS6)-BT6&gt;0,SUM(BP6:BS6)-BT6,"")</f>
        <v/>
      </c>
      <c r="CH6" s="11" t="str">
        <f>IF(SUM(BU6:BX6)-BY6&gt;0,SUM(BU6:BX6)-BY6,"")</f>
        <v/>
      </c>
      <c r="CI6" s="11" t="str">
        <f>IF(SUM(CG6:CH6)&gt;0,SUM(CG6:CH6),"")</f>
        <v/>
      </c>
      <c r="CJ6" s="11" t="str">
        <f>IF(CB6&gt;0,CB6,"")</f>
        <v/>
      </c>
      <c r="CK6" s="11" t="str">
        <f>IF(SUM(BZ6:CC6)-CD6&gt;0,SUM(BZ6:CC6)-CD6,"")</f>
        <v/>
      </c>
      <c r="CL6" s="11" t="str">
        <f>IF(SUM(CI6,CK6)&gt;0,SUM(CI6,CK6),"")</f>
        <v/>
      </c>
      <c r="CM6" s="24">
        <f>IF(MAX(DG6,EC6,EY6,FU6,GQ6,HM6,II6,JE6,KA6,KW6,LS6,MO6)-IF(M6="",0,M6)&gt;0.001,MAX(DG6,EC6,EY6,FU6,GQ6,HM6,II6,JE6,KA6,KW6,LS6,MO6)-IF(M6="",0,M6),"")</f>
        <v>41.7</v>
      </c>
      <c r="CN6" s="24">
        <f>IF(MAX(DH6,ED6,EZ6,FV6,GR6,HN6,IJ6,JF6,KB6,KX6,LT6,MP6)-IF(O6="",0,O6)&gt;0.001,MAX(DH6,ED6,EZ6,FV6,GR6,HN6,IJ6,JF6,KB6,KX6,LT6,MP6)-IF(O6="",0,O6),"")</f>
        <v>45.93</v>
      </c>
      <c r="CO6" s="24">
        <f>IF(MAX(DI6,EE6,FA6,FW6,GS6,HO6,IK6,JG6,KC6,KY6,LU6,MQ6)-IF(K6="",0,K6)&gt;0.001,MAX(DI6,EE6,FA6,FW6,GS6,HO6,IK6,JG6,KC6,KY6,LU6,MQ6)-IF(K6="",0,K6),"")</f>
        <v>87.63</v>
      </c>
      <c r="CP6" s="24">
        <f>IF(MAX(DK6,EG6,FC6,FY6,GU6,HQ6,IM6,JI6,KE6,LA6,LW6,MS6)-IF(Q6="",0,Q6)&gt;0.001,MAX(DK6,EG6,FC6,FY6,GU6,HQ6,IM6,JI6,KE6,LA6,LW6,MS6)-IF(Q6="",0,Q6),"")</f>
        <v>48.239999999999995</v>
      </c>
      <c r="CQ6" s="37">
        <v>8.8000000000000007</v>
      </c>
      <c r="CR6" s="37">
        <v>9.6999999999999993</v>
      </c>
      <c r="CS6" s="37">
        <v>4.3</v>
      </c>
      <c r="CT6" s="37">
        <v>18.899999999999999</v>
      </c>
      <c r="CU6" s="37">
        <v>0</v>
      </c>
      <c r="CV6" s="37">
        <v>8.1999999999999993</v>
      </c>
      <c r="CW6" s="37">
        <v>9.4499999999999993</v>
      </c>
      <c r="CX6" s="37">
        <v>12</v>
      </c>
      <c r="CY6" s="37">
        <v>16.28</v>
      </c>
      <c r="CZ6" s="37">
        <v>0</v>
      </c>
      <c r="DA6" s="37">
        <v>7.65</v>
      </c>
      <c r="DB6" s="37">
        <v>9.25</v>
      </c>
      <c r="DC6" s="37">
        <v>13.1</v>
      </c>
      <c r="DD6" s="37">
        <v>18.239999999999998</v>
      </c>
      <c r="DE6" s="37">
        <v>0</v>
      </c>
      <c r="DF6" s="11">
        <f>IF(CX6&gt;0,CX6,"")</f>
        <v>12</v>
      </c>
      <c r="DG6" s="11">
        <f>IF(SUM(CQ6:CT6)-CU6&gt;0,SUM(CQ6:CT6)-CU6,"")</f>
        <v>41.7</v>
      </c>
      <c r="DH6" s="11">
        <f>IF(SUM(CV6:CY6)-CZ6&gt;0,SUM(CV6:CY6)-CZ6,"")</f>
        <v>45.93</v>
      </c>
      <c r="DI6" s="11">
        <f>IF(SUM(DG6:DH6)&gt;0,SUM(DG6:DH6),"")</f>
        <v>87.63</v>
      </c>
      <c r="DJ6" s="11">
        <f>IF(DC6&gt;0,DC6,"")</f>
        <v>13.1</v>
      </c>
      <c r="DK6" s="11">
        <f>IF(SUM(DA6:DD6)-DE6&gt;0,SUM(DA6:DD6)-DE6,"")</f>
        <v>48.239999999999995</v>
      </c>
      <c r="DL6" s="11">
        <f>IF(SUM(DI6,DK6)&gt;0,SUM(DI6,DK6),"")</f>
        <v>135.87</v>
      </c>
      <c r="DM6" s="38"/>
      <c r="DN6" s="38"/>
      <c r="DO6" s="38"/>
      <c r="DP6" s="38"/>
      <c r="DQ6" s="38"/>
      <c r="DR6" s="38"/>
      <c r="DS6" s="38"/>
      <c r="DT6" s="38"/>
      <c r="DU6" s="38"/>
      <c r="DV6" s="38"/>
      <c r="DW6" s="38">
        <v>7.05</v>
      </c>
      <c r="DX6" s="38">
        <v>9.0500000000000007</v>
      </c>
      <c r="DY6" s="38">
        <v>13.1</v>
      </c>
      <c r="DZ6" s="38">
        <v>17.66</v>
      </c>
      <c r="EA6" s="38">
        <v>0</v>
      </c>
      <c r="EB6" s="14" t="str">
        <f>IF(DT6&gt;0,DT6,"")</f>
        <v/>
      </c>
      <c r="EC6" s="14" t="str">
        <f>IF(SUM(DM6:DP6)-DQ6&gt;0,SUM(DM6:DP6)-DQ6,"")</f>
        <v/>
      </c>
      <c r="ED6" s="14" t="str">
        <f>IF(SUM(DR6:DU6)-DV6&gt;0,SUM(DR6:DU6)-DV6,"")</f>
        <v/>
      </c>
      <c r="EE6" s="14" t="str">
        <f>IF(SUM(EC6:ED6)&gt;0,SUM(EC6:ED6),"")</f>
        <v/>
      </c>
      <c r="EF6" s="14">
        <f>IF(DY6&gt;0,DY6,"")</f>
        <v>13.1</v>
      </c>
      <c r="EG6" s="14">
        <f>IF(SUM(DW6:DZ6)-EA6&gt;0,SUM(DW6:DZ6)-EA6,"")</f>
        <v>46.86</v>
      </c>
      <c r="EH6" s="14">
        <f>IF(SUM(EE6,EG6)&gt;0,SUM(EE6,EG6),"")</f>
        <v>46.86</v>
      </c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11" t="str">
        <f>IF(EP6&gt;0,EP6,"")</f>
        <v/>
      </c>
      <c r="EY6" s="11" t="str">
        <f>IF(SUM(EI6:EL6)-EM6&gt;0,SUM(EI6:EL6)-EM6,"")</f>
        <v/>
      </c>
      <c r="EZ6" s="11" t="str">
        <f>IF(SUM(EN6:EQ6)-ER6&gt;0,SUM(EN6:EQ6)-ER6,"")</f>
        <v/>
      </c>
      <c r="FA6" s="11" t="str">
        <f>IF(SUM(EY6:EZ6)&gt;0,SUM(EY6:EZ6),"")</f>
        <v/>
      </c>
      <c r="FB6" s="11" t="str">
        <f>IF(EU6&gt;0,EU6,"")</f>
        <v/>
      </c>
      <c r="FC6" s="11" t="str">
        <f>IF(SUM(ES6:EV6)-EW6&gt;0,SUM(ES6:EV6)-EW6,"")</f>
        <v/>
      </c>
      <c r="FD6" s="11" t="str">
        <f>IF(SUM(FA6,FC6)&gt;0,SUM(FA6,FC6),"")</f>
        <v/>
      </c>
      <c r="FE6" s="38"/>
      <c r="FF6" s="38"/>
      <c r="FG6" s="38"/>
      <c r="FH6" s="38"/>
      <c r="FI6" s="38"/>
      <c r="FJ6" s="38"/>
      <c r="FK6" s="38"/>
      <c r="FL6" s="38"/>
      <c r="FM6" s="38"/>
      <c r="FN6" s="38"/>
      <c r="FO6" s="38"/>
      <c r="FP6" s="38"/>
      <c r="FQ6" s="38"/>
      <c r="FR6" s="38"/>
      <c r="FS6" s="38"/>
      <c r="FT6" s="14" t="str">
        <f>IF(FL6&gt;0,FL6,"")</f>
        <v/>
      </c>
      <c r="FU6" s="14" t="str">
        <f>IF(SUM(FE6:FH6)-FI6&gt;0,SUM(FE6:FH6)-FI6,"")</f>
        <v/>
      </c>
      <c r="FV6" s="14" t="str">
        <f>IF(SUM(FJ6:FM6)-FN6&gt;0,SUM(FJ6:FM6)-FN6,"")</f>
        <v/>
      </c>
      <c r="FW6" s="14" t="str">
        <f>IF(SUM(FU6:FV6)&gt;0,SUM(FU6:FV6),"")</f>
        <v/>
      </c>
      <c r="FX6" s="14" t="str">
        <f>IF(FQ6&gt;0,FQ6,"")</f>
        <v/>
      </c>
      <c r="FY6" s="14" t="str">
        <f>IF(SUM(FO6:FR6)-FS6&gt;0,SUM(FO6:FR6)-FS6,"")</f>
        <v/>
      </c>
      <c r="FZ6" s="14" t="str">
        <f>IF(SUM(FW6,FY6)&gt;0,SUM(FW6,FY6),"")</f>
        <v/>
      </c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11" t="str">
        <f>IF(GH6&gt;0,GH6,"")</f>
        <v/>
      </c>
      <c r="GQ6" s="11" t="str">
        <f>IF(SUM(GA6:GD6)-GE6&gt;0,SUM(GA6:GD6)-GE6,"")</f>
        <v/>
      </c>
      <c r="GR6" s="11" t="str">
        <f>IF(SUM(GF6:GI6)-GJ6&gt;0,SUM(GF6:GI6)-GJ6,"")</f>
        <v/>
      </c>
      <c r="GS6" s="11" t="str">
        <f>IF(SUM(GQ6:GR6)&gt;0,SUM(GQ6:GR6),"")</f>
        <v/>
      </c>
      <c r="GT6" s="11" t="str">
        <f>IF(GM6&gt;0,GM6,"")</f>
        <v/>
      </c>
      <c r="GU6" s="11" t="str">
        <f>IF(SUM(GK6:GN6)-GO6&gt;0,SUM(GK6:GN6)-GO6,"")</f>
        <v/>
      </c>
      <c r="GV6" s="11" t="str">
        <f>IF(SUM(GS6,GU6)&gt;0,SUM(GS6,GU6),"")</f>
        <v/>
      </c>
      <c r="GW6" s="38"/>
      <c r="GX6" s="38"/>
      <c r="GY6" s="38"/>
      <c r="GZ6" s="38"/>
      <c r="HA6" s="38"/>
      <c r="HB6" s="38"/>
      <c r="HC6" s="38"/>
      <c r="HD6" s="38"/>
      <c r="HE6" s="38"/>
      <c r="HF6" s="38"/>
      <c r="HG6" s="38"/>
      <c r="HH6" s="38"/>
      <c r="HI6" s="38"/>
      <c r="HJ6" s="38"/>
      <c r="HK6" s="38"/>
      <c r="HL6" s="14" t="str">
        <f>IF(HD6&gt;0,HD6,"")</f>
        <v/>
      </c>
      <c r="HM6" s="14" t="str">
        <f>IF(SUM(GW6:GZ6)-HA6&gt;0,SUM(GW6:GZ6)-HA6,"")</f>
        <v/>
      </c>
      <c r="HN6" s="14" t="str">
        <f>IF(SUM(HB6:HE6)-HF6&gt;0,SUM(HB6:HE6)-HF6,"")</f>
        <v/>
      </c>
      <c r="HO6" s="14" t="str">
        <f>IF(SUM(HM6:HN6)&gt;0,SUM(HM6:HN6),"")</f>
        <v/>
      </c>
      <c r="HP6" s="14" t="str">
        <f>IF(HI6&gt;0,HI6,"")</f>
        <v/>
      </c>
      <c r="HQ6" s="14" t="str">
        <f>IF(SUM(HG6:HJ6)-HK6&gt;0,SUM(HG6:HJ6)-HK6,"")</f>
        <v/>
      </c>
      <c r="HR6" s="14" t="str">
        <f>IF(SUM(HO6,HQ6)&gt;0,SUM(HO6,HQ6),"")</f>
        <v/>
      </c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11" t="str">
        <f>IF(HZ6&gt;0,HZ6,"")</f>
        <v/>
      </c>
      <c r="II6" s="11" t="str">
        <f>IF(SUM(HS6:HV6)-HW6&gt;0,SUM(HS6:HV6)-HW6,"")</f>
        <v/>
      </c>
      <c r="IJ6" s="11" t="str">
        <f>IF(SUM(HX6:IA6)-IB6&gt;0,SUM(HX6:IA6)-IB6,"")</f>
        <v/>
      </c>
      <c r="IK6" s="11" t="str">
        <f>IF(SUM(II6:IJ6)&gt;0,SUM(II6:IJ6),"")</f>
        <v/>
      </c>
      <c r="IL6" s="11" t="str">
        <f>IF(IE6&gt;0,IE6,"")</f>
        <v/>
      </c>
      <c r="IM6" s="11" t="str">
        <f>IF(SUM(IC6:IF6)-IG6&gt;0,SUM(IC6:IF6)-IG6,"")</f>
        <v/>
      </c>
      <c r="IN6" s="11" t="str">
        <f>IF(SUM(IK6,IM6)&gt;0,SUM(IK6,IM6),"")</f>
        <v/>
      </c>
      <c r="IO6" s="38"/>
      <c r="IP6" s="38"/>
      <c r="IQ6" s="38"/>
      <c r="IR6" s="38"/>
      <c r="IS6" s="38"/>
      <c r="IT6" s="38"/>
      <c r="IU6" s="38"/>
      <c r="IV6" s="38"/>
      <c r="IW6" s="38"/>
      <c r="IX6" s="38"/>
      <c r="IY6" s="38"/>
      <c r="IZ6" s="38"/>
      <c r="JA6" s="38"/>
      <c r="JB6" s="38"/>
      <c r="JC6" s="38"/>
      <c r="JD6" s="14" t="str">
        <f>IF(IV6&gt;0,IV6,"")</f>
        <v/>
      </c>
      <c r="JE6" s="14" t="str">
        <f>IF(SUM(IO6:IR6)-IS6&gt;0,SUM(IO6:IR6)-IS6,"")</f>
        <v/>
      </c>
      <c r="JF6" s="14" t="str">
        <f>IF(SUM(IT6:IW6)-IX6&gt;0,SUM(IT6:IW6)-IX6,"")</f>
        <v/>
      </c>
      <c r="JG6" s="14" t="str">
        <f>IF(SUM(JE6:JF6)&gt;0,SUM(JE6:JF6),"")</f>
        <v/>
      </c>
      <c r="JH6" s="14" t="str">
        <f>IF(JA6&gt;0,JA6,"")</f>
        <v/>
      </c>
      <c r="JI6" s="14" t="str">
        <f>IF(SUM(IY6:JB6)-JC6&gt;0,SUM(IY6:JB6)-JC6,"")</f>
        <v/>
      </c>
      <c r="JJ6" s="14" t="str">
        <f>IF(SUM(JG6,JI6)&gt;0,SUM(JG6,JI6),"")</f>
        <v/>
      </c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11" t="str">
        <f>IF(JR6&gt;0,JR6,"")</f>
        <v/>
      </c>
      <c r="KA6" s="11" t="str">
        <f>IF(SUM(JK6:JN6)-JO6&gt;0,SUM(JK6:JN6)-JO6,"")</f>
        <v/>
      </c>
      <c r="KB6" s="11" t="str">
        <f>IF(SUM(JP6:JS6)-JT6&gt;0,SUM(JP6:JS6)-JT6,"")</f>
        <v/>
      </c>
      <c r="KC6" s="11" t="str">
        <f>IF(SUM(KA6:KB6)&gt;0,SUM(KA6:KB6),"")</f>
        <v/>
      </c>
      <c r="KD6" s="11" t="str">
        <f>IF(JW6&gt;0,JW6,"")</f>
        <v/>
      </c>
      <c r="KE6" s="11" t="str">
        <f>IF(SUM(JU6:JX6)-JY6&gt;0,SUM(JU6:JX6)-JY6,"")</f>
        <v/>
      </c>
      <c r="KF6" s="11" t="str">
        <f>IF(SUM(KC6,KE6)&gt;0,SUM(KC6,KE6),"")</f>
        <v/>
      </c>
      <c r="KG6" s="38"/>
      <c r="KH6" s="38"/>
      <c r="KI6" s="38"/>
      <c r="KJ6" s="38"/>
      <c r="KK6" s="38"/>
      <c r="KL6" s="38"/>
      <c r="KM6" s="38"/>
      <c r="KN6" s="38"/>
      <c r="KO6" s="38"/>
      <c r="KP6" s="38"/>
      <c r="KQ6" s="38"/>
      <c r="KR6" s="38"/>
      <c r="KS6" s="38"/>
      <c r="KT6" s="38"/>
      <c r="KU6" s="38"/>
      <c r="KV6" s="14" t="str">
        <f>IF(KN6&gt;0,KN6,"")</f>
        <v/>
      </c>
      <c r="KW6" s="14" t="str">
        <f>IF(SUM(KG6:KJ6)-KK6&gt;0,SUM(KG6:KJ6)-KK6,"")</f>
        <v/>
      </c>
      <c r="KX6" s="14" t="str">
        <f>IF(SUM(KL6:KO6)-KP6&gt;0,SUM(KL6:KO6)-KP6,"")</f>
        <v/>
      </c>
      <c r="KY6" s="14" t="str">
        <f>IF(SUM(KW6:KX6)&gt;0,SUM(KW6:KX6),"")</f>
        <v/>
      </c>
      <c r="KZ6" s="14" t="str">
        <f>IF(KS6&gt;0,KS6,"")</f>
        <v/>
      </c>
      <c r="LA6" s="14" t="str">
        <f>IF(SUM(KQ6:KT6)-KU6&gt;0,SUM(KQ6:KT6)-KU6,"")</f>
        <v/>
      </c>
      <c r="LB6" s="14" t="str">
        <f>IF(SUM(KY6,LA6)&gt;0,SUM(KY6,LA6),"")</f>
        <v/>
      </c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11" t="str">
        <f>IF(LJ6&gt;0,LJ6,"")</f>
        <v/>
      </c>
      <c r="LS6" s="11" t="str">
        <f>IF(SUM(LC6:LF6)-LG6&gt;0,SUM(LC6:LF6)-LG6,"")</f>
        <v/>
      </c>
      <c r="LT6" s="11" t="str">
        <f>IF(SUM(LH6:LK6)-LL6&gt;0,SUM(LH6:LK6)-LL6,"")</f>
        <v/>
      </c>
      <c r="LU6" s="11" t="str">
        <f>IF(SUM(LS6:LT6)&gt;0,SUM(LS6:LT6),"")</f>
        <v/>
      </c>
      <c r="LV6" s="11" t="str">
        <f>IF(LO6&gt;0,LO6,"")</f>
        <v/>
      </c>
      <c r="LW6" s="11" t="str">
        <f>IF(SUM(LM6:LP6)-LQ6&gt;0,SUM(LM6:LP6)-LQ6,"")</f>
        <v/>
      </c>
      <c r="LX6" s="11" t="str">
        <f>IF(SUM(LU6,LW6)&gt;0,SUM(LU6,LW6),"")</f>
        <v/>
      </c>
      <c r="LY6" s="38"/>
      <c r="LZ6" s="38"/>
      <c r="MA6" s="38"/>
      <c r="MB6" s="38"/>
      <c r="MC6" s="38"/>
      <c r="MD6" s="38"/>
      <c r="ME6" s="38"/>
      <c r="MF6" s="38"/>
      <c r="MG6" s="38"/>
      <c r="MH6" s="38"/>
      <c r="MI6" s="38"/>
      <c r="MJ6" s="38"/>
      <c r="MK6" s="38"/>
      <c r="ML6" s="38"/>
      <c r="MM6" s="38"/>
      <c r="MN6" s="14" t="str">
        <f>IF(MF6&gt;0,MF6,"")</f>
        <v/>
      </c>
      <c r="MO6" s="14" t="str">
        <f>IF(SUM(LY6:MB6)-MC6&gt;0,SUM(LY6:MB6)-MC6,"")</f>
        <v/>
      </c>
      <c r="MP6" s="14" t="str">
        <f>IF(SUM(MD6:MG6)-MH6&gt;0,SUM(MD6:MG6)-MH6,"")</f>
        <v/>
      </c>
      <c r="MQ6" s="14" t="str">
        <f>IF(SUM(MO6:MP6)&gt;0,SUM(MO6:MP6),"")</f>
        <v/>
      </c>
      <c r="MR6" s="14" t="str">
        <f>IF(MK6&gt;0,MK6,"")</f>
        <v/>
      </c>
      <c r="MS6" s="14" t="str">
        <f>IF(SUM(MI6:ML6)-MM6&gt;0,SUM(MI6:ML6)-MM6,"")</f>
        <v/>
      </c>
      <c r="MT6" s="14" t="str">
        <f>IF(SUM(MQ6,MS6)&gt;0,SUM(MQ6,MS6),"")</f>
        <v/>
      </c>
      <c r="MU6" s="69">
        <f>IF($CE6="P",BP6,(BP6+AS6)/2)</f>
        <v>0</v>
      </c>
      <c r="MV6" s="69">
        <f>IF($CE6="P",BQ6,(BQ6+AT6)/2)</f>
        <v>0</v>
      </c>
      <c r="MW6" s="69">
        <f>IF($CE6="P",BR6,(BR6+AU6)/2)</f>
        <v>0</v>
      </c>
      <c r="MX6" s="69">
        <f>IF($CE6="P",BS6,(BS6+AV6)/2)</f>
        <v>0</v>
      </c>
      <c r="MY6" s="69">
        <f>IF($CE6="P",BT6,(BT6+AW6)/2)</f>
        <v>0</v>
      </c>
      <c r="MZ6" s="69">
        <f>IF($CE6="P",BU6,(BU6+AX6)/2)</f>
        <v>0</v>
      </c>
      <c r="NA6" s="69">
        <f>IF($CE6="P",BV6,(BV6+AY6)/2)</f>
        <v>0</v>
      </c>
      <c r="NB6" s="69">
        <f>IF($CE6="P",BW6,(BW6+AZ6)/2)</f>
        <v>0</v>
      </c>
      <c r="NC6" s="69">
        <f>IF($CE6="P",BX6,(BX6+BA6)/2)</f>
        <v>0</v>
      </c>
      <c r="ND6" s="69">
        <f>IF($CE6="P",BY6,(BY6+BB6)/2)</f>
        <v>0</v>
      </c>
      <c r="NE6" s="69">
        <f>IF($CE6="P",BZ6,(BZ6+BC6)/2)</f>
        <v>0</v>
      </c>
      <c r="NF6" s="69">
        <f>IF($CE6="P",CA6,(CA6+BD6)/2)</f>
        <v>0</v>
      </c>
      <c r="NG6" s="69">
        <f>IF($CE6="P",CB6,(CB6+BE6)/2)</f>
        <v>0</v>
      </c>
      <c r="NH6" s="69">
        <f>IF($CE6="P",CC6,(CC6+BF6)/2)</f>
        <v>0</v>
      </c>
      <c r="NI6" s="69">
        <f>IF($CE6="P",CD6,(CD6+BG6)/2)</f>
        <v>0</v>
      </c>
      <c r="NJ6" s="80" t="s">
        <v>91</v>
      </c>
      <c r="NK6" s="11" t="str">
        <f>IF(NB6&gt;0,NB6,"")</f>
        <v/>
      </c>
      <c r="NL6" s="11" t="str">
        <f>IF(SUM(MU6:MX6)-MY6&gt;0,SUM(MU6:MX6)-MY6,"")</f>
        <v/>
      </c>
      <c r="NM6" s="11" t="str">
        <f>IF(SUM(MZ6:NC6)-ND6&gt;0,SUM(MZ6:NC6)-ND6,"")</f>
        <v/>
      </c>
      <c r="NN6" s="11" t="str">
        <f>IF(SUM(NL6:NM6)&gt;0,SUM(NL6:NM6),"")</f>
        <v/>
      </c>
      <c r="NO6" s="11" t="str">
        <f>IF(NG6&gt;0,NG6,"")</f>
        <v/>
      </c>
      <c r="NP6" s="11" t="str">
        <f>IF(SUM(NE6:NH6)-NI6&gt;0,SUM(NE6:NH6)-NI6,"")</f>
        <v/>
      </c>
      <c r="NQ6" s="11" t="str">
        <f>IF(SUM(NN6,NP6)&gt;0,SUM(NN6,NP6),"")</f>
        <v/>
      </c>
    </row>
    <row r="7" spans="1:381" x14ac:dyDescent="0.2">
      <c r="A7" s="5" t="str" cm="1">
        <f t="array" ref="A7">IF(AND(G7&lt;&gt;"",H7&lt;&gt;""),SUMPRODUCT((G$4:G$15&lt;&gt;"")*(H$4:H$15&lt;&gt;"")*(E$4:E$15&gt;E7))+1,IF(H7&lt;&gt;"",SUMPRODUCT((I$4:I$15="No DD")*(E$4:E$15&gt;E7))+1+SUMPRODUCT((G$4:G$15&lt;&gt;"")*(H$4:H$15&lt;&gt;"")),""))</f>
        <v/>
      </c>
      <c r="B7" s="127" t="s">
        <v>176</v>
      </c>
      <c r="C7" s="5" t="s">
        <v>175</v>
      </c>
      <c r="D7" s="5" t="s">
        <v>174</v>
      </c>
      <c r="E7" s="15">
        <f>SUM(K7:S7)</f>
        <v>79.48</v>
      </c>
      <c r="F7" s="3" t="str">
        <f>IF(G7&lt;&gt;"","P","")</f>
        <v>P</v>
      </c>
      <c r="G7" s="125" t="str">
        <f>IF(OR(AND(AL7&gt;=AR$20,AL7&lt;&gt;"",AK7=""),AND(AP7&gt;=AR$20,AP7&lt;&gt;"",AK7=""),AND(BI7&gt;=BO$20,BI7&lt;&gt;"",BH7=""),AND(BM7&gt;=BO$20,BM7&lt;&gt;"",BH7=""),AND(CF7&gt;=CL$20,CF7&lt;&gt;"",CE7=""),AND(CJ7&gt;=CL$20,CJ7&lt;&gt;"",CE7=""),AND(DF7&gt;=DL$20,DF7&lt;&gt;""),AND(DJ7&gt;=DL$20,DJ7&lt;&gt;""),AND(EB7&gt;=EH$20,EB7&lt;&gt;""),AND(EF7&gt;=EH$20,EF7&lt;&gt;""),AND(EX7&gt;=FD$20,EX7&lt;&gt;""),AND(FB7&gt;=FD$20,FB7&lt;&gt;""),AND(FT7&gt;=FZ$20,FT7&lt;&gt;""),AND(FX7&gt;=FZ$20,FX7&lt;&gt;""),AND(GP7&gt;=GV$20,GP7&lt;&gt;""),AND(GT7&gt;=GV$20,GT7&lt;&gt;""),AND(HL7&gt;=HR$20,HL7&lt;&gt;""),AND(HP7&gt;=HR$20,HP7&lt;&gt;""),AND(IH7&gt;=IN$20,IH7&lt;&gt;""),AND(IL7&gt;=IN$20,IL7&lt;&gt;""),AND(JD7&gt;=JJ$20,JD7&lt;&gt;""),AND(JH7&gt;=JJ$20,JH7&lt;&gt;""),AND(JZ7&gt;=KF$20,JZ7&lt;&gt;""),AND(KD7&gt;=KF$20,KD7&lt;&gt;""),AND(KV7&gt;=LB$20,KV7&lt;&gt;""),AND(KZ7&gt;=LB$20,KZ7&lt;&gt;""),AND(LR7&gt;=LX$20,LR7&lt;&gt;""),AND(LV7&gt;=LX$20,LV7&lt;&gt;""),AND(MN7&gt;=MT$20,MN7&lt;&gt;""),AND(MR7&gt;=MT$20,MR7&lt;&gt;"")),"Merit",IF(OR(AND(AL7&gt;=AR$19,AL7&lt;&gt;"",AK7=""),AND(AP7&gt;=AR$19,AP7&lt;&gt;"",AK7=""),AND(BI7&gt;=BO$19,BI7&lt;&gt;"",BH7=""),AND(BM7&gt;=BO$19,BM7&lt;&gt;"",BH7=""),AND(CF7&gt;=CL$19,CF7&lt;&gt;"",CE7=""),AND(CJ7&gt;=CL$19,CJ7&lt;&gt;"",CE7=""),AND(DF7&gt;=DL$19,DF7&lt;&gt;""),AND(DJ7&gt;=DL$19,DJ7&lt;&gt;""),AND(EB7&gt;=EH$19,EB7&lt;&gt;""),AND(EF7&gt;=EH$19,EF7&lt;&gt;""),AND(EX7&gt;=FD$19,EX7&lt;&gt;""),AND(FB7&gt;=FD$19,FB7&lt;&gt;""),AND(FT7&gt;=FZ$19,FT7&lt;&gt;""),AND(FX7&gt;=FZ$19,FX7&lt;&gt;""),AND(GP7&gt;=GV$19,GP7&lt;&gt;""),AND(GT7&gt;=GV$19,GT7&lt;&gt;""),AND(HL7&gt;=HR$19,HL7&lt;&gt;""),AND(HP7&gt;=HR$19,HP7&lt;&gt;""),AND(IH7&gt;=IN$19,IH7&lt;&gt;""),AND(IL7&gt;=IN$19,IL7&lt;&gt;""),AND(JD7&gt;=JJ$19,JD7&lt;&gt;""),AND(JH7&gt;=JJ$19,JH7&lt;&gt;""),AND(JZ7&gt;=KF$19,JZ7&lt;&gt;""),AND(KD7&gt;=KF$19,KD7&lt;&gt;""),AND(KV7&gt;=LB$19,KV7&lt;&gt;""),AND(KZ7&gt;=LB$19,KZ7&lt;&gt;""),AND(LR7&gt;=LX$19,LR7&lt;&gt;""),AND(LV7&gt;=LX$19,LV7&lt;&gt;""),AND(MN7&gt;=MT$19,MN7&lt;&gt;""),AND(MR7&gt;=MT$19,MR7&lt;&gt;"")),"Excellence",IF(OR(AND(AL7&gt;=AR$18,AL7&lt;&gt;"",AK7=""),AND(AP7&gt;=AR$18,AP7&lt;&gt;"",AK7=""),AND(BI7&gt;=BO$18,BI7&lt;&gt;"",BH7=""),AND(BM7&gt;=BO$18,BM7&lt;&gt;"",BH7=""),AND(CF7&gt;=CL$18,CF7&lt;&gt;"",CE7=""),AND(CJ7&gt;=CL$18,CJ7&lt;&gt;"",CE7=""),AND(DF7&gt;=DL$18,DF7&lt;&gt;""),AND(DJ7&gt;=DL$18,DJ7&lt;&gt;""),AND(EB7&gt;=EH$18,EB7&lt;&gt;""),AND(EF7&gt;=EH$18,EF7&lt;&gt;""),AND(EX7&gt;=FD$18,EX7&lt;&gt;""),AND(FB7&gt;=FD$18,FB7&lt;&gt;""),AND(FT7&gt;=FZ$18,FT7&lt;&gt;""),AND(FX7&gt;=FZ$18,FX7&lt;&gt;""),AND(GP7&gt;=GV$18,GP7&lt;&gt;""),AND(GT7&gt;=GV$18,GT7&lt;&gt;""),AND(HL7&gt;=HR$18,HL7&lt;&gt;""),AND(HP7&gt;=HR$18,HP7&lt;&gt;""),AND(IH7&gt;=IN$18,IH7&lt;&gt;""),AND(IL7&gt;=IN$18,IL7&lt;&gt;""),AND(JD7&gt;=JJ$18,JD7&lt;&gt;""),AND(JH7&gt;=JJ$18,JH7&lt;&gt;""),AND(JZ7&gt;=KF$18,JZ7&lt;&gt;""),AND(KD7&gt;=KF$18,KD7&lt;&gt;""),AND(KV7&gt;=LB$18,KV7&lt;&gt;""),AND(KZ7&gt;=LB$18,KZ7&lt;&gt;""),AND(LR7&gt;=LX$18,LR7&lt;&gt;""),AND(LV7&gt;=LX$18,LV7&lt;&gt;""),AND(MN7&gt;=MT$18,MN7&lt;&gt;""),AND(MR7&gt;=MT$18,MR7&lt;&gt;"")),"Worlds Team",IF(OR(AND(AL7&gt;=AR$17,AL7&lt;&gt;"",AK7=""),AND(AP7&gt;=AR$17,AP7&lt;&gt;"",AK7=""),AND(BI7&gt;=BO$17,BI7&lt;&gt;"",BH7=""),AND(BM7&gt;=BO$17,BM7&lt;&gt;"",BH7=""),AND(CF7&gt;=CL$17,CF7&lt;&gt;"",CE7=""),AND(CJ7&gt;=CL$17,CJ7&lt;&gt;"",CE7=""),AND(DF7&gt;=DL$17,DF7&lt;&gt;""),AND(DJ7&gt;=DL$17,DJ7&lt;&gt;""),AND(EB7&gt;=EH$17,EB7&lt;&gt;""),AND(EF7&gt;=EH$17,EF7&lt;&gt;""),AND(EX7&gt;=FD$17,EX7&lt;&gt;""),AND(FB7&gt;=FD$17,FB7&lt;&gt;""),AND(FT7&gt;=FZ$17,FT7&lt;&gt;""),AND(FX7&gt;=FZ$17,FX7&lt;&gt;""),AND(GP7&gt;=GV$17,GP7&lt;&gt;""),AND(GT7&gt;=GV$17,GT7&lt;&gt;""),AND(HL7&gt;=HR$17,HL7&lt;&gt;""),AND(HP7&gt;=HR$17,HP7&lt;&gt;""),AND(IH7&gt;=IN$17,IH7&lt;&gt;""),AND(IL7&gt;=IN$17,IL7&lt;&gt;""),AND(JD7&gt;=JJ$17,JD7&lt;&gt;""),AND(JH7&gt;=JJ$17,JH7&lt;&gt;""),AND(JZ7&gt;=KF$17,JZ7&lt;&gt;""),AND(KD7&gt;=KF$17,KD7&lt;&gt;""),AND(KV7&gt;=LB$17,KV7&lt;&gt;""),AND(KZ7&gt;=LB$17,KZ7&lt;&gt;""),AND(LR7&gt;=LX$17,LR7&lt;&gt;""),AND(LV7&gt;=LX$17,LV7&lt;&gt;""),AND(MN7&gt;=MT$17,MN7&lt;&gt;""),AND(MR7&gt;=MT$17,MR7&lt;&gt;"")),"National Team",""))))</f>
        <v>National Team</v>
      </c>
      <c r="H7" s="125" t="str">
        <f>IF(OR(AND(AN7&gt;=AR$24,AN7&lt;&gt;"",AK7=""),AND(AQ7&gt;=AR$24,AQ7&lt;&gt;"",AK7=""),AND(BK7&gt;=BO$24,BK7&lt;&gt;"",BH7=""),AND(BN7&gt;=BO$24,BN7&lt;&gt;"",BH7=""),AND(CH7&gt;=CL$24,CH7&lt;&gt;"",CE7=""),AND(CK7&gt;=CL$24,CE7&lt;&gt;"",CE7=""),AND(DH7&gt;=DL$24,DH7&lt;&gt;""),AND(DK7&gt;=DL$24,DK7&lt;&gt;""),AND(ED7&gt;=EH$24,ED7&lt;&gt;""),AND(EG7&gt;=EH$24,EG7&lt;&gt;""),AND(EZ7&gt;=FD$24,EZ7&lt;&gt;""),AND(FC7&gt;=FD$24,FC7&lt;&gt;""),AND(FV7&gt;=FZ$24,FV7&lt;&gt;""),AND(FY7&gt;=FZ$24,FY7&lt;&gt;""),AND(GR7&gt;=GV$24,GR7&lt;&gt;""),AND(GU7&gt;=GV$24,GU7&lt;&gt;""),AND(HN7&gt;=HR$24,HN7&lt;&gt;""),AND(HQ7&gt;=HR$24,HQ7&lt;&gt;""),AND(IJ7&gt;=IN$24,IJ7&lt;&gt;""),AND(IM7&gt;=IN$24,IM7&lt;&gt;""),AND(JF7&gt;=JJ$24,JF7&lt;&gt;""),AND(JI7&gt;=JJ$24,JI7&lt;&gt;""),AND(KB7&gt;=KF$24,KB7&lt;&gt;""),AND(KE7&gt;=KF$24,KE7&lt;&gt;""),AND(KX7&gt;=LB$24,KX7&lt;&gt;""),AND(LA7&gt;=LB$24,LA7&lt;&gt;""),AND(LT7&gt;=LX$24,LT7&lt;&gt;""),AND(LW7&gt;=LX$24,LW7&lt;&gt;""),AND(MP7&gt;=MT$24,MP7&lt;&gt;""),AND(MS7&gt;=MT$24,MS7&lt;&gt;"")),"Merit",IF(OR(AND(AN7&gt;=AR$23,AN7&lt;&gt;"",AK7=""),AND(AQ7&gt;=AR$23,AQ7&lt;&gt;"",AK7=""),AND(BK7&gt;=BO$23,BK7&lt;&gt;"",BH7=""),AND(BN7&gt;=BO$23,BN7&lt;&gt;"",BH7=""),AND(CH7&gt;=CL$23,CH7&lt;&gt;"",CE7=""),AND(CK7&gt;=CL$23,CE7&lt;&gt;"",CE7=""),AND(DH7&gt;=DL$23,DH7&lt;&gt;""),AND(DK7&gt;=DL$23,DK7&lt;&gt;""),AND(ED7&gt;=EH$23,ED7&lt;&gt;""),AND(EG7&gt;=EH$23,EG7&lt;&gt;""),AND(EZ7&gt;=FD$23,EZ7&lt;&gt;""),AND(FC7&gt;=FD$23,FC7&lt;&gt;""),AND(FV7&gt;=FZ$23,FV7&lt;&gt;""),AND(FY7&gt;=FZ$23,FY7&lt;&gt;""),AND(GR7&gt;=GV$23,GR7&lt;&gt;""),AND(GU7&gt;=GV$23,GU7&lt;&gt;""),AND(HN7&gt;=HR$23,HN7&lt;&gt;""),AND(HQ7&gt;=HR$23,HQ7&lt;&gt;""),AND(IJ7&gt;=IN$23,IJ7&lt;&gt;""),AND(IM7&gt;=IN$23,IM7&lt;&gt;""),AND(JF7&gt;=JJ$23,JF7&lt;&gt;""),AND(JI7&gt;=JJ$23,JI7&lt;&gt;""),AND(KB7&gt;=KF$23,KB7&lt;&gt;""),AND(KE7&gt;=KF$23,KE7&lt;&gt;""),AND(KX7&gt;=LB$23,KX7&lt;&gt;""),AND(LA7&gt;=LB$23,LA7&lt;&gt;""),AND(LT7&gt;=LX$23,LT7&lt;&gt;""),AND(LW7&gt;=LX$23,LW7&lt;&gt;""),AND(MP7&gt;=MT$23,MP7&lt;&gt;""),AND(MS7&gt;=MT$23,MS7&lt;&gt;"")),"Excellence",IF(OR(AND(AO7&gt;=AR$22,AO7&lt;&gt;"",AK7=""),AND(BL7&gt;=BO$22,BL7&lt;&gt;"",BH7=""),AND(CI7&gt;=CL$22,CI7&lt;&gt;"",CE7=""),AND(DI7&gt;=DL$22,DI7&lt;&gt;""),AND(EE7&gt;=EH$22,EE7&lt;&gt;""),AND(FA7&gt;=FD$22,FA7&lt;&gt;""),AND(FW7&gt;=FZ$22,FW7&lt;&gt;""),AND(GS7&gt;=GV$22,GS7&lt;&gt;""),AND(HO7&gt;=HR$22,HO7&lt;&gt;""),AND(IK7&gt;=IN$22,IK7&lt;&gt;""),AND(JG7&gt;=JJ$22,JG7&lt;&gt;""),AND(KC7&gt;=KF$22,KC7&lt;&gt;""),AND(KY7&gt;=LB$22,KY7&lt;&gt;""),AND(LU7&gt;=LX$22,LU7&lt;&gt;""),AND(MQ7&gt;=MT$22,MQ7&lt;&gt;"")),"Worlds Team",IF(OR(AND(AO7&gt;=AR$21,AO7&lt;&gt;"",AK7=""),AND(BL7&gt;=BO$21,BL7&lt;&gt;"",BH7=""),AND(CI7&gt;=CL$21,CI7&lt;&gt;"",CE7=""),AND(DI7&gt;=DL$21,DI7&lt;&gt;""),AND(EE7&gt;=EH$21,EE7&lt;&gt;""),AND(FA7&gt;=FD$21,FA7&lt;&gt;""),AND(FW7&gt;=FZ$21,FW7&lt;&gt;""),AND(GS7&gt;=GV$21,GS7&lt;&gt;""),AND(HO7&gt;=HR$21,HO7&lt;&gt;""),AND(IK7&gt;=IN$21,IK7&lt;&gt;""),AND(JG7&gt;=JJ$21,JG7&lt;&gt;""),AND(KC7&gt;=KF$21,KC7&lt;&gt;""),AND(KY7&gt;=LB$21,KY7&lt;&gt;""),AND(LU7&gt;=LX$21,LU7&lt;&gt;""),AND(MQ7&gt;=MT$21,MQ7&lt;&gt;"")),"National Team",""))))</f>
        <v/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/>
      </c>
      <c r="J7" s="3" t="str">
        <f>IF(AND(OR(AND(AO7&gt;=AR$22,AO7&lt;&gt;"",AK7=""),AND(BL7&gt;=BO$22,BL7&lt;&gt;"",BH7=""),AND(CI7&gt;=CL$22,CI7&lt;&gt;"",CE7=""),AND(DI7&gt;=DL$22,DI7&lt;&gt;""),AND(EE7&gt;=EH$22,EE7&lt;&gt;""),AND(FA7&gt;=FD$22,FA7&lt;&gt;""),AND(FW7&gt;=FZ$22,FW7&lt;&gt;""),AND(GS7&gt;=GV$22,GS7&lt;&gt;""),AND(HO7&gt;=HR$22,HO7&lt;&gt;""),AND(IK7&gt;=IN$22,IK7&lt;&gt;""),AND(JG7&gt;=JJ$22,JG7&lt;&gt;""),AND(KC7&gt;=KF$22,KC7&lt;&gt;""),AND(KY7&gt;=LB$22,KY7&lt;&gt;""),AND(LU7&gt;=LX$22,LU7&lt;&gt;""),AND(MQ7&gt;=MT$22,MQ7&lt;&gt;"")),OR(G7="Worlds Team",G7="Excellence",G7="Merit")),"P","")</f>
        <v/>
      </c>
      <c r="K7" s="14">
        <f>MAX(AO7,BL7,CI7)</f>
        <v>0</v>
      </c>
      <c r="L7" s="14" t="str">
        <f>IF(K7=0,"",IF(K7=CI7,$BP$1,IF(K7=BL7,$AS$1,IF(K7=AO7,$V$1,""))))</f>
        <v/>
      </c>
      <c r="M7" s="14">
        <f>IF($K7=$AO7,MAX(BJ7,CG7),IF($K7=$BL7,MAX(AM7,CG7),IF($K7=$CI7,MAX(AM7,BJ7),MAX(AM7,BJ7,CG7))))</f>
        <v>0</v>
      </c>
      <c r="N7" s="14" t="str">
        <f>IF(M7=0,"",IF(AND(M7=CG7,$L7&lt;&gt;$BP$1),$BP$1,IF(AND(M7=BJ7,$L7&lt;&gt;$AS$1),$AS$1,IF(AND(M7=AM7,$L7&lt;&gt;$V$1),$V$1,""))))</f>
        <v/>
      </c>
      <c r="O7" s="14">
        <f>IF($K7=$AO7,MAX(CH7,BK7),IF($K7=$BL7,MAX(AN7,CH7),IF($K7=$CI7,MAX(AN7,BK7),MAX(AN7,BK7,CH7))))</f>
        <v>0</v>
      </c>
      <c r="P7" s="14" t="str">
        <f>IF(O7=0,"",IF(AND(O7=CH7,$L7&lt;&gt;$BP$1),$BP$1,IF(AND(O7=BK7,$L7&lt;&gt;$AS$1),$AS$1,IF(AND(O7=AN7,$L7&lt;&gt;$V$1),$V$1,""))))</f>
        <v/>
      </c>
      <c r="Q7" s="14">
        <f>MAX(AQ7,BN7,CK7)</f>
        <v>0</v>
      </c>
      <c r="R7" s="14" t="str">
        <f>IF(Q7=0,"",IF(Q7=CK7,$BP$1,IF(Q7=BN7,$AS$1,IF(Q7=AQ7,$V$1,""))))</f>
        <v/>
      </c>
      <c r="S7" s="14">
        <f>IF(MAX(CM7,CN7,CO7,CP7)&gt;0,MAX(CM7,CN7,CO7,CP7),"")</f>
        <v>79.48</v>
      </c>
      <c r="T7" s="25" t="str">
        <f>IF(S7="","",IF(S7=CM7,"(Vol 1)",IF(S7=CN7,"(Vol 2)",IF(S7=CO7,"(Prelim)",IF(S7=CP7,"(Final)")))))</f>
        <v>(Prelim)</v>
      </c>
      <c r="U7" s="14" t="str">
        <f>IF(S7="","",IF(S7=CM7,IF(S7+IF(M7="",0,M7)=MO7,$LY$1,IF(S7+IF(M7="",0,M7)=LS7,$LC$1,IF(S7+IF(M7="",0,M7)=KW7,$KG$1,IF(S7+IF(M7="",0,M7)=KA7,$JK$1,IF(S7+IF(M7="",0,M7)=JE7,$IO$1,IF(S7+IF(M7="",0,M7)=II7,$HS$1,IF(S7+IF(M7="",0,M7)=HM7,$GW$1,IF(S7+IF(M7="",0,M7)=GQ7,$GA$1,IF(S7+IF(M7="",0,M7)=FU7,$FE$1,IF(S7+IF(M7="",0,M7)=EY7,$EI$1,IF(S7+IF(M7="",0,M7)=EC7,$DM$1,IF(S7+IF(M7="",0,M7)=DG7,$CQ$1)))))))))))),IF(S7=CN7,IF(S7+IF(O7="",0,O7)=MP7,$LY$1,IF(S7+IF(O7="",0,O7)=LT7,$LC$1,IF(S7+IF(O7="",0,O7)=KX7,$KG$1,IF(S7+IF(O7="",0,O7)=KB7,$JK$1,IF(S7+IF(O7="",0,O7)=JF7,$IO$1,IF(S7+IF(O7="",0,O7)=IJ7,$HS$1,IF(S7+IF(O7="",0,O7)=HN7,$GW$1,IF(S7+IF(O7="",0,O7)=GR7,$GA$1,IF(S7+IF(O7="",0,O7)=FV7,$FE$1,IF(S7+IF(O7="",0,O7)=EZ7,$EI$1,IF(S7+IF(O7="",0,O7)=ED7,$DM$1,IF(S7+IF(O7="",0,O7)=DH7,$CQ$1)))))))))))),IF(S7=CO7,IF(S7+IF(K7="",0,K7)=MQ7,$LY$1,IF(S7+IF(K7="",0,K7)=LU7,$LC$1,IF(S7+IF(K7="",0,K7)=KY7,$KG$1,IF(S7+IF(K7="",0,K7)=KC7,$JK$1,IF(S7+IF(K7="",0,K7)=JG7,$IO$1,IF(S7+IF(K7="",0,K7)=IK7,$HS$1,IF(S7+IF(K7="",0,K7)=HO7,$GW$1,IF(S7+IF(K7="",0,K7)=GS7,$GA$1,IF(S7+IF(K7="",0,K7)=FW7,$FE$1,IF(S7+IF(K7="",0,K7)=FA7,$EI$1,IF(S7+IF(K7="",0,K7)=EE7,$DM$1,IF(S7+IF(K7="",0,K7)=DI7,$CQ$1)))))))))))),IF(S7=CP7,IF(S7+IF(Q7="",0,Q7)=MS7,$LY$1,IF(S7+IF(Q7="",0,Q7)=LW7,$LC$1,IF(S7+IF(Q7="",0,Q7)=LA7,$KG$1,IF(S7+IF(Q7="",0,Q7)=KE7,$JK$1,IF(S7+IF(Q7="",0,Q7)=JI7,$IO$1,IF(S7+IF(Q7="",0,Q7)=IM7,$HS$1,IF(S7+IF(Q7="",0,Q7)=HQ7,$GW$1,IF(S7+IF(Q7="",0,Q7)=GU7,$GA$1,IF(S7+IF(Q7="",0,Q7)=FY7,$FE$1,IF(S7+IF(Q7="",0,Q7)=FC7,$EI$1,IF(S7+IF(Q7="",0,Q7)=EG7,$DM$1,IF(S7+IF(Q7="",0,Q7)=DK7,$CQ$1)))))))))))))))))</f>
        <v>2020 World Cup AZE (Feb 16)</v>
      </c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80"/>
      <c r="AL7" s="11" t="str">
        <f>IF(AC7&gt;0,AC7,"")</f>
        <v/>
      </c>
      <c r="AM7" s="11" t="str">
        <f>IF(SUM(V7:Y7)-Z7&gt;0,SUM(V7:Y7)-Z7,"")</f>
        <v/>
      </c>
      <c r="AN7" s="11" t="str">
        <f>IF(SUM(AA7:AD7)-AE7&gt;0,SUM(AA7:AD7)-AE7,"")</f>
        <v/>
      </c>
      <c r="AO7" s="11" t="str">
        <f>IF(SUM(AM7:AN7)&gt;0,SUM(AM7:AN7),"")</f>
        <v/>
      </c>
      <c r="AP7" s="11" t="str">
        <f>IF(AH7&gt;0,AH7,"")</f>
        <v/>
      </c>
      <c r="AQ7" s="11" t="str">
        <f>IF(SUM(AF7:AI7)-AJ7&gt;0,SUM(AF7:AI7)-AJ7,"")</f>
        <v/>
      </c>
      <c r="AR7" s="11" t="str">
        <f>IF(SUM(AO7,AQ7)&gt;0,SUM(AO7,AQ7),"")</f>
        <v/>
      </c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81"/>
      <c r="BI7" s="14" t="str">
        <f>IF(AZ7&gt;0,AZ7,"")</f>
        <v/>
      </c>
      <c r="BJ7" s="14" t="str">
        <f>IF(SUM(AS7:AV7)-AW7&gt;0,SUM(AS7:AV7)-AW7,"")</f>
        <v/>
      </c>
      <c r="BK7" s="14" t="str">
        <f>IF(SUM(AX7:BA7)-BB7&gt;0,SUM(AX7:BA7)-BB7,"")</f>
        <v/>
      </c>
      <c r="BL7" s="14" t="str">
        <f>IF(SUM(BJ7:BK7)&gt;0,SUM(BJ7:BK7),"")</f>
        <v/>
      </c>
      <c r="BM7" s="14" t="str">
        <f>IF(BE7&gt;0,BE7,"")</f>
        <v/>
      </c>
      <c r="BN7" s="14" t="str">
        <f>IF(SUM(BC7:BF7)-BG7&gt;0,SUM(BC7:BF7)-BG7,"")</f>
        <v/>
      </c>
      <c r="BO7" s="14" t="str">
        <f>IF(SUM(BL7,BN7)&gt;0,SUM(BL7,BN7),"")</f>
        <v/>
      </c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80"/>
      <c r="CF7" s="11" t="str">
        <f>IF(BW7&gt;0,BW7,"")</f>
        <v/>
      </c>
      <c r="CG7" s="11" t="str">
        <f>IF(SUM(BP7:BS7)-BT7&gt;0,SUM(BP7:BS7)-BT7,"")</f>
        <v/>
      </c>
      <c r="CH7" s="11" t="str">
        <f>IF(SUM(BU7:BX7)-BY7&gt;0,SUM(BU7:BX7)-BY7,"")</f>
        <v/>
      </c>
      <c r="CI7" s="11" t="str">
        <f>IF(SUM(CG7:CH7)&gt;0,SUM(CG7:CH7),"")</f>
        <v/>
      </c>
      <c r="CJ7" s="11" t="str">
        <f>IF(CB7&gt;0,CB7,"")</f>
        <v/>
      </c>
      <c r="CK7" s="11" t="str">
        <f>IF(SUM(BZ7:CC7)-CD7&gt;0,SUM(BZ7:CC7)-CD7,"")</f>
        <v/>
      </c>
      <c r="CL7" s="11" t="str">
        <f>IF(SUM(CI7,CK7)&gt;0,SUM(CI7,CK7),"")</f>
        <v/>
      </c>
      <c r="CM7" s="24">
        <f>IF(MAX(DG7,EC7,EY7,FU7,GQ7,HM7,II7,JE7,KA7,KW7,LS7,MO7)-IF(M7="",0,M7)&gt;0.001,MAX(DG7,EC7,EY7,FU7,GQ7,HM7,II7,JE7,KA7,KW7,LS7,MO7)-IF(M7="",0,M7),"")</f>
        <v>39.200000000000003</v>
      </c>
      <c r="CN7" s="24">
        <f>IF(MAX(DH7,ED7,EZ7,FV7,GR7,HN7,IJ7,JF7,KB7,KX7,LT7,MP7)-IF(O7="",0,O7)&gt;0.001,MAX(DH7,ED7,EZ7,FV7,GR7,HN7,IJ7,JF7,KB7,KX7,LT7,MP7)-IF(O7="",0,O7),"")</f>
        <v>40.28</v>
      </c>
      <c r="CO7" s="24">
        <f>IF(MAX(DI7,EE7,FA7,FW7,GS7,HO7,IK7,JG7,KC7,KY7,LU7,MQ7)-IF(K7="",0,K7)&gt;0.001,MAX(DI7,EE7,FA7,FW7,GS7,HO7,IK7,JG7,KC7,KY7,LU7,MQ7)-IF(K7="",0,K7),"")</f>
        <v>79.48</v>
      </c>
      <c r="CP7" s="24" t="str">
        <f>IF(MAX(DK7,EG7,FC7,FY7,GU7,HQ7,IM7,JI7,KE7,LA7,LW7,MS7)-IF(Q7="",0,Q7)&gt;0.001,MAX(DK7,EG7,FC7,FY7,GU7,HQ7,IM7,JI7,KE7,LA7,LW7,MS7)-IF(Q7="",0,Q7),"")</f>
        <v/>
      </c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11" t="str">
        <f>IF(CX7&gt;0,CX7,"")</f>
        <v/>
      </c>
      <c r="DG7" s="11" t="str">
        <f>IF(SUM(CQ7:CT7)-CU7&gt;0,SUM(CQ7:CT7)-CU7,"")</f>
        <v/>
      </c>
      <c r="DH7" s="11" t="str">
        <f>IF(SUM(CV7:CY7)-CZ7&gt;0,SUM(CV7:CY7)-CZ7,"")</f>
        <v/>
      </c>
      <c r="DI7" s="11" t="str">
        <f>IF(SUM(DG7:DH7)&gt;0,SUM(DG7:DH7),"")</f>
        <v/>
      </c>
      <c r="DJ7" s="11" t="str">
        <f>IF(DC7&gt;0,DC7,"")</f>
        <v/>
      </c>
      <c r="DK7" s="11" t="str">
        <f>IF(SUM(DA7:DD7)-DE7&gt;0,SUM(DA7:DD7)-DE7,"")</f>
        <v/>
      </c>
      <c r="DL7" s="11" t="str">
        <f>IF(SUM(DI7,DK7)&gt;0,SUM(DI7,DK7),"")</f>
        <v/>
      </c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14" t="str">
        <f>IF(DT7&gt;0,DT7,"")</f>
        <v/>
      </c>
      <c r="EC7" s="14" t="str">
        <f>IF(SUM(DM7:DP7)-DQ7&gt;0,SUM(DM7:DP7)-DQ7,"")</f>
        <v/>
      </c>
      <c r="ED7" s="14" t="str">
        <f>IF(SUM(DR7:DU7)-DV7&gt;0,SUM(DR7:DU7)-DV7,"")</f>
        <v/>
      </c>
      <c r="EE7" s="14" t="str">
        <f>IF(SUM(EC7:ED7)&gt;0,SUM(EC7:ED7),"")</f>
        <v/>
      </c>
      <c r="EF7" s="14" t="str">
        <f>IF(DY7&gt;0,DY7,"")</f>
        <v/>
      </c>
      <c r="EG7" s="14" t="str">
        <f>IF(SUM(DW7:DZ7)-EA7&gt;0,SUM(DW7:DZ7)-EA7,"")</f>
        <v/>
      </c>
      <c r="EH7" s="14" t="str">
        <f>IF(SUM(EE7,EG7)&gt;0,SUM(EE7,EG7),"")</f>
        <v/>
      </c>
      <c r="EI7" s="37">
        <v>8.85</v>
      </c>
      <c r="EJ7" s="37">
        <v>9.65</v>
      </c>
      <c r="EK7" s="37">
        <v>3.8</v>
      </c>
      <c r="EL7" s="37">
        <v>16.899999999999999</v>
      </c>
      <c r="EM7" s="37">
        <v>0</v>
      </c>
      <c r="EN7" s="37">
        <v>7.85</v>
      </c>
      <c r="EO7" s="37">
        <v>9.35</v>
      </c>
      <c r="EP7" s="37">
        <v>11.6</v>
      </c>
      <c r="EQ7" s="37">
        <v>11.48</v>
      </c>
      <c r="ER7" s="37">
        <v>0</v>
      </c>
      <c r="ES7" s="37"/>
      <c r="ET7" s="37"/>
      <c r="EU7" s="37"/>
      <c r="EV7" s="37"/>
      <c r="EW7" s="37"/>
      <c r="EX7" s="11">
        <f>IF(EP7&gt;0,EP7,"")</f>
        <v>11.6</v>
      </c>
      <c r="EY7" s="11">
        <f>IF(SUM(EI7:EL7)-EM7&gt;0,SUM(EI7:EL7)-EM7,"")</f>
        <v>39.200000000000003</v>
      </c>
      <c r="EZ7" s="11">
        <f>IF(SUM(EN7:EQ7)-ER7&gt;0,SUM(EN7:EQ7)-ER7,"")</f>
        <v>40.28</v>
      </c>
      <c r="FA7" s="11">
        <f>IF(SUM(EY7:EZ7)&gt;0,SUM(EY7:EZ7),"")</f>
        <v>79.48</v>
      </c>
      <c r="FB7" s="11" t="str">
        <f>IF(EU7&gt;0,EU7,"")</f>
        <v/>
      </c>
      <c r="FC7" s="11" t="str">
        <f>IF(SUM(ES7:EV7)-EW7&gt;0,SUM(ES7:EV7)-EW7,"")</f>
        <v/>
      </c>
      <c r="FD7" s="11">
        <f>IF(SUM(FA7,FC7)&gt;0,SUM(FA7,FC7),"")</f>
        <v>79.48</v>
      </c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14" t="str">
        <f>IF(FL7&gt;0,FL7,"")</f>
        <v/>
      </c>
      <c r="FU7" s="14" t="str">
        <f>IF(SUM(FE7:FH7)-FI7&gt;0,SUM(FE7:FH7)-FI7,"")</f>
        <v/>
      </c>
      <c r="FV7" s="14" t="str">
        <f>IF(SUM(FJ7:FM7)-FN7&gt;0,SUM(FJ7:FM7)-FN7,"")</f>
        <v/>
      </c>
      <c r="FW7" s="14" t="str">
        <f>IF(SUM(FU7:FV7)&gt;0,SUM(FU7:FV7),"")</f>
        <v/>
      </c>
      <c r="FX7" s="14" t="str">
        <f>IF(FQ7&gt;0,FQ7,"")</f>
        <v/>
      </c>
      <c r="FY7" s="14" t="str">
        <f>IF(SUM(FO7:FR7)-FS7&gt;0,SUM(FO7:FR7)-FS7,"")</f>
        <v/>
      </c>
      <c r="FZ7" s="14" t="str">
        <f>IF(SUM(FW7,FY7)&gt;0,SUM(FW7,FY7),"")</f>
        <v/>
      </c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11" t="str">
        <f>IF(GH7&gt;0,GH7,"")</f>
        <v/>
      </c>
      <c r="GQ7" s="11" t="str">
        <f>IF(SUM(GA7:GD7)-GE7&gt;0,SUM(GA7:GD7)-GE7,"")</f>
        <v/>
      </c>
      <c r="GR7" s="11" t="str">
        <f>IF(SUM(GF7:GI7)-GJ7&gt;0,SUM(GF7:GI7)-GJ7,"")</f>
        <v/>
      </c>
      <c r="GS7" s="11" t="str">
        <f>IF(SUM(GQ7:GR7)&gt;0,SUM(GQ7:GR7),"")</f>
        <v/>
      </c>
      <c r="GT7" s="11" t="str">
        <f>IF(GM7&gt;0,GM7,"")</f>
        <v/>
      </c>
      <c r="GU7" s="11" t="str">
        <f>IF(SUM(GK7:GN7)-GO7&gt;0,SUM(GK7:GN7)-GO7,"")</f>
        <v/>
      </c>
      <c r="GV7" s="11" t="str">
        <f>IF(SUM(GS7,GU7)&gt;0,SUM(GS7,GU7),"")</f>
        <v/>
      </c>
      <c r="GW7" s="38"/>
      <c r="GX7" s="38"/>
      <c r="GY7" s="38"/>
      <c r="GZ7" s="38"/>
      <c r="HA7" s="38"/>
      <c r="HB7" s="38"/>
      <c r="HC7" s="38"/>
      <c r="HD7" s="38"/>
      <c r="HE7" s="38"/>
      <c r="HF7" s="38"/>
      <c r="HG7" s="38"/>
      <c r="HH7" s="38"/>
      <c r="HI7" s="38"/>
      <c r="HJ7" s="38"/>
      <c r="HK7" s="38"/>
      <c r="HL7" s="14" t="str">
        <f>IF(HD7&gt;0,HD7,"")</f>
        <v/>
      </c>
      <c r="HM7" s="14" t="str">
        <f>IF(SUM(GW7:GZ7)-HA7&gt;0,SUM(GW7:GZ7)-HA7,"")</f>
        <v/>
      </c>
      <c r="HN7" s="14" t="str">
        <f>IF(SUM(HB7:HE7)-HF7&gt;0,SUM(HB7:HE7)-HF7,"")</f>
        <v/>
      </c>
      <c r="HO7" s="14" t="str">
        <f>IF(SUM(HM7:HN7)&gt;0,SUM(HM7:HN7),"")</f>
        <v/>
      </c>
      <c r="HP7" s="14" t="str">
        <f>IF(HI7&gt;0,HI7,"")</f>
        <v/>
      </c>
      <c r="HQ7" s="14" t="str">
        <f>IF(SUM(HG7:HJ7)-HK7&gt;0,SUM(HG7:HJ7)-HK7,"")</f>
        <v/>
      </c>
      <c r="HR7" s="14" t="str">
        <f>IF(SUM(HO7,HQ7)&gt;0,SUM(HO7,HQ7),"")</f>
        <v/>
      </c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11" t="str">
        <f>IF(HZ7&gt;0,HZ7,"")</f>
        <v/>
      </c>
      <c r="II7" s="11" t="str">
        <f>IF(SUM(HS7:HV7)-HW7&gt;0,SUM(HS7:HV7)-HW7,"")</f>
        <v/>
      </c>
      <c r="IJ7" s="11" t="str">
        <f>IF(SUM(HX7:IA7)-IB7&gt;0,SUM(HX7:IA7)-IB7,"")</f>
        <v/>
      </c>
      <c r="IK7" s="11" t="str">
        <f>IF(SUM(II7:IJ7)&gt;0,SUM(II7:IJ7),"")</f>
        <v/>
      </c>
      <c r="IL7" s="11" t="str">
        <f>IF(IE7&gt;0,IE7,"")</f>
        <v/>
      </c>
      <c r="IM7" s="11" t="str">
        <f>IF(SUM(IC7:IF7)-IG7&gt;0,SUM(IC7:IF7)-IG7,"")</f>
        <v/>
      </c>
      <c r="IN7" s="11" t="str">
        <f>IF(SUM(IK7,IM7)&gt;0,SUM(IK7,IM7),"")</f>
        <v/>
      </c>
      <c r="IO7" s="38"/>
      <c r="IP7" s="38"/>
      <c r="IQ7" s="38"/>
      <c r="IR7" s="38"/>
      <c r="IS7" s="38"/>
      <c r="IT7" s="38"/>
      <c r="IU7" s="38"/>
      <c r="IV7" s="38"/>
      <c r="IW7" s="38"/>
      <c r="IX7" s="38"/>
      <c r="IY7" s="38"/>
      <c r="IZ7" s="38"/>
      <c r="JA7" s="38"/>
      <c r="JB7" s="38"/>
      <c r="JC7" s="38"/>
      <c r="JD7" s="14" t="str">
        <f>IF(IV7&gt;0,IV7,"")</f>
        <v/>
      </c>
      <c r="JE7" s="14" t="str">
        <f>IF(SUM(IO7:IR7)-IS7&gt;0,SUM(IO7:IR7)-IS7,"")</f>
        <v/>
      </c>
      <c r="JF7" s="14" t="str">
        <f>IF(SUM(IT7:IW7)-IX7&gt;0,SUM(IT7:IW7)-IX7,"")</f>
        <v/>
      </c>
      <c r="JG7" s="14" t="str">
        <f>IF(SUM(JE7:JF7)&gt;0,SUM(JE7:JF7),"")</f>
        <v/>
      </c>
      <c r="JH7" s="14" t="str">
        <f>IF(JA7&gt;0,JA7,"")</f>
        <v/>
      </c>
      <c r="JI7" s="14" t="str">
        <f>IF(SUM(IY7:JB7)-JC7&gt;0,SUM(IY7:JB7)-JC7,"")</f>
        <v/>
      </c>
      <c r="JJ7" s="14" t="str">
        <f>IF(SUM(JG7,JI7)&gt;0,SUM(JG7,JI7),"")</f>
        <v/>
      </c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11" t="str">
        <f>IF(JR7&gt;0,JR7,"")</f>
        <v/>
      </c>
      <c r="KA7" s="11" t="str">
        <f>IF(SUM(JK7:JN7)-JO7&gt;0,SUM(JK7:JN7)-JO7,"")</f>
        <v/>
      </c>
      <c r="KB7" s="11" t="str">
        <f>IF(SUM(JP7:JS7)-JT7&gt;0,SUM(JP7:JS7)-JT7,"")</f>
        <v/>
      </c>
      <c r="KC7" s="11" t="str">
        <f>IF(SUM(KA7:KB7)&gt;0,SUM(KA7:KB7),"")</f>
        <v/>
      </c>
      <c r="KD7" s="11" t="str">
        <f>IF(JW7&gt;0,JW7,"")</f>
        <v/>
      </c>
      <c r="KE7" s="11" t="str">
        <f>IF(SUM(JU7:JX7)-JY7&gt;0,SUM(JU7:JX7)-JY7,"")</f>
        <v/>
      </c>
      <c r="KF7" s="11" t="str">
        <f>IF(SUM(KC7,KE7)&gt;0,SUM(KC7,KE7),"")</f>
        <v/>
      </c>
      <c r="KG7" s="38"/>
      <c r="KH7" s="38"/>
      <c r="KI7" s="38"/>
      <c r="KJ7" s="38"/>
      <c r="KK7" s="38"/>
      <c r="KL7" s="38"/>
      <c r="KM7" s="38"/>
      <c r="KN7" s="38"/>
      <c r="KO7" s="38"/>
      <c r="KP7" s="38"/>
      <c r="KQ7" s="38"/>
      <c r="KR7" s="38"/>
      <c r="KS7" s="38"/>
      <c r="KT7" s="38"/>
      <c r="KU7" s="38"/>
      <c r="KV7" s="14" t="str">
        <f>IF(KN7&gt;0,KN7,"")</f>
        <v/>
      </c>
      <c r="KW7" s="14" t="str">
        <f>IF(SUM(KG7:KJ7)-KK7&gt;0,SUM(KG7:KJ7)-KK7,"")</f>
        <v/>
      </c>
      <c r="KX7" s="14" t="str">
        <f>IF(SUM(KL7:KO7)-KP7&gt;0,SUM(KL7:KO7)-KP7,"")</f>
        <v/>
      </c>
      <c r="KY7" s="14" t="str">
        <f>IF(SUM(KW7:KX7)&gt;0,SUM(KW7:KX7),"")</f>
        <v/>
      </c>
      <c r="KZ7" s="14" t="str">
        <f>IF(KS7&gt;0,KS7,"")</f>
        <v/>
      </c>
      <c r="LA7" s="14" t="str">
        <f>IF(SUM(KQ7:KT7)-KU7&gt;0,SUM(KQ7:KT7)-KU7,"")</f>
        <v/>
      </c>
      <c r="LB7" s="14" t="str">
        <f>IF(SUM(KY7,LA7)&gt;0,SUM(KY7,LA7),"")</f>
        <v/>
      </c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11" t="str">
        <f>IF(LJ7&gt;0,LJ7,"")</f>
        <v/>
      </c>
      <c r="LS7" s="11" t="str">
        <f>IF(SUM(LC7:LF7)-LG7&gt;0,SUM(LC7:LF7)-LG7,"")</f>
        <v/>
      </c>
      <c r="LT7" s="11" t="str">
        <f>IF(SUM(LH7:LK7)-LL7&gt;0,SUM(LH7:LK7)-LL7,"")</f>
        <v/>
      </c>
      <c r="LU7" s="11" t="str">
        <f>IF(SUM(LS7:LT7)&gt;0,SUM(LS7:LT7),"")</f>
        <v/>
      </c>
      <c r="LV7" s="11" t="str">
        <f>IF(LO7&gt;0,LO7,"")</f>
        <v/>
      </c>
      <c r="LW7" s="11" t="str">
        <f>IF(SUM(LM7:LP7)-LQ7&gt;0,SUM(LM7:LP7)-LQ7,"")</f>
        <v/>
      </c>
      <c r="LX7" s="11" t="str">
        <f>IF(SUM(LU7,LW7)&gt;0,SUM(LU7,LW7),"")</f>
        <v/>
      </c>
      <c r="LY7" s="38"/>
      <c r="LZ7" s="38"/>
      <c r="MA7" s="38"/>
      <c r="MB7" s="38"/>
      <c r="MC7" s="38"/>
      <c r="MD7" s="38"/>
      <c r="ME7" s="38"/>
      <c r="MF7" s="38"/>
      <c r="MG7" s="38"/>
      <c r="MH7" s="38"/>
      <c r="MI7" s="38"/>
      <c r="MJ7" s="38"/>
      <c r="MK7" s="38"/>
      <c r="ML7" s="38"/>
      <c r="MM7" s="38"/>
      <c r="MN7" s="14" t="str">
        <f>IF(MF7&gt;0,MF7,"")</f>
        <v/>
      </c>
      <c r="MO7" s="14" t="str">
        <f>IF(SUM(LY7:MB7)-MC7&gt;0,SUM(LY7:MB7)-MC7,"")</f>
        <v/>
      </c>
      <c r="MP7" s="14" t="str">
        <f>IF(SUM(MD7:MG7)-MH7&gt;0,SUM(MD7:MG7)-MH7,"")</f>
        <v/>
      </c>
      <c r="MQ7" s="14" t="str">
        <f>IF(SUM(MO7:MP7)&gt;0,SUM(MO7:MP7),"")</f>
        <v/>
      </c>
      <c r="MR7" s="14" t="str">
        <f>IF(MK7&gt;0,MK7,"")</f>
        <v/>
      </c>
      <c r="MS7" s="14" t="str">
        <f>IF(SUM(MI7:ML7)-MM7&gt;0,SUM(MI7:ML7)-MM7,"")</f>
        <v/>
      </c>
      <c r="MT7" s="14" t="str">
        <f>IF(SUM(MQ7,MS7)&gt;0,SUM(MQ7,MS7),"")</f>
        <v/>
      </c>
      <c r="MU7" s="69">
        <f>IF($CE7="P",BP7,(BP7+AS7)/2)</f>
        <v>0</v>
      </c>
      <c r="MV7" s="69">
        <f>IF($CE7="P",BQ7,(BQ7+AT7)/2)</f>
        <v>0</v>
      </c>
      <c r="MW7" s="69">
        <f>IF($CE7="P",BR7,(BR7+AU7)/2)</f>
        <v>0</v>
      </c>
      <c r="MX7" s="69">
        <f>IF($CE7="P",BS7,(BS7+AV7)/2)</f>
        <v>0</v>
      </c>
      <c r="MY7" s="69">
        <f>IF($CE7="P",BT7,(BT7+AW7)/2)</f>
        <v>0</v>
      </c>
      <c r="MZ7" s="69">
        <f>IF($CE7="P",BU7,(BU7+AX7)/2)</f>
        <v>0</v>
      </c>
      <c r="NA7" s="69">
        <f>IF($CE7="P",BV7,(BV7+AY7)/2)</f>
        <v>0</v>
      </c>
      <c r="NB7" s="69">
        <f>IF($CE7="P",BW7,(BW7+AZ7)/2)</f>
        <v>0</v>
      </c>
      <c r="NC7" s="69">
        <f>IF($CE7="P",BX7,(BX7+BA7)/2)</f>
        <v>0</v>
      </c>
      <c r="ND7" s="69">
        <f>IF($CE7="P",BY7,(BY7+BB7)/2)</f>
        <v>0</v>
      </c>
      <c r="NE7" s="69">
        <f>IF($CE7="P",BZ7,(BZ7+BC7)/2)</f>
        <v>0</v>
      </c>
      <c r="NF7" s="69">
        <f>IF($CE7="P",CA7,(CA7+BD7)/2)</f>
        <v>0</v>
      </c>
      <c r="NG7" s="69">
        <f>IF($CE7="P",CB7,(CB7+BE7)/2)</f>
        <v>0</v>
      </c>
      <c r="NH7" s="69">
        <f>IF($CE7="P",CC7,(CC7+BF7)/2)</f>
        <v>0</v>
      </c>
      <c r="NI7" s="69">
        <f>IF($CE7="P",CD7,(CD7+BG7)/2)</f>
        <v>0</v>
      </c>
      <c r="NJ7" s="80" t="s">
        <v>91</v>
      </c>
      <c r="NK7" s="11" t="str">
        <f>IF(NB7&gt;0,NB7,"")</f>
        <v/>
      </c>
      <c r="NL7" s="11" t="str">
        <f>IF(SUM(MU7:MX7)-MY7&gt;0,SUM(MU7:MX7)-MY7,"")</f>
        <v/>
      </c>
      <c r="NM7" s="11" t="str">
        <f>IF(SUM(MZ7:NC7)-ND7&gt;0,SUM(MZ7:NC7)-ND7,"")</f>
        <v/>
      </c>
      <c r="NN7" s="11" t="str">
        <f>IF(SUM(NL7:NM7)&gt;0,SUM(NL7:NM7),"")</f>
        <v/>
      </c>
      <c r="NO7" s="11" t="str">
        <f>IF(NG7&gt;0,NG7,"")</f>
        <v/>
      </c>
      <c r="NP7" s="11" t="str">
        <f>IF(SUM(NE7:NH7)-NI7&gt;0,SUM(NE7:NH7)-NI7,"")</f>
        <v/>
      </c>
      <c r="NQ7" s="11" t="str">
        <f>IF(SUM(NN7,NP7)&gt;0,SUM(NN7,NP7),"")</f>
        <v/>
      </c>
    </row>
    <row r="8" spans="1:381" x14ac:dyDescent="0.2">
      <c r="A8" s="5" cm="1">
        <f t="array" ref="A8">IF(AND(G8&lt;&gt;"",H8&lt;&gt;""),SUMPRODUCT((G$4:G$15&lt;&gt;"")*(H$4:H$15&lt;&gt;"")*(E$4:E$15&gt;E8))+1,IF(H8&lt;&gt;"",SUMPRODUCT((I$4:I$15="No DD")*(E$4:E$15&gt;E8))+1+SUMPRODUCT((G$4:G$15&lt;&gt;"")*(H$4:H$15&lt;&gt;"")),""))</f>
        <v>3</v>
      </c>
      <c r="B8" s="127" t="s">
        <v>138</v>
      </c>
      <c r="C8" s="5" t="s">
        <v>6</v>
      </c>
      <c r="D8" s="5" t="s">
        <v>137</v>
      </c>
      <c r="E8" s="15">
        <f>SUM(K8:S8)</f>
        <v>159.32499999999999</v>
      </c>
      <c r="F8" s="3" t="str">
        <f>IF(G8&lt;&gt;"","P","")</f>
        <v/>
      </c>
      <c r="G8" s="125" t="str">
        <f>IF(OR(AND(AL8&gt;=AR$20,AL8&lt;&gt;"",AK8=""),AND(AP8&gt;=AR$20,AP8&lt;&gt;"",AK8=""),AND(BI8&gt;=BO$20,BI8&lt;&gt;"",BH8=""),AND(BM8&gt;=BO$20,BM8&lt;&gt;"",BH8=""),AND(CF8&gt;=CL$20,CF8&lt;&gt;"",CE8=""),AND(CJ8&gt;=CL$20,CJ8&lt;&gt;"",CE8=""),AND(DF8&gt;=DL$20,DF8&lt;&gt;""),AND(DJ8&gt;=DL$20,DJ8&lt;&gt;""),AND(EB8&gt;=EH$20,EB8&lt;&gt;""),AND(EF8&gt;=EH$20,EF8&lt;&gt;""),AND(EX8&gt;=FD$20,EX8&lt;&gt;""),AND(FB8&gt;=FD$20,FB8&lt;&gt;""),AND(FT8&gt;=FZ$20,FT8&lt;&gt;""),AND(FX8&gt;=FZ$20,FX8&lt;&gt;""),AND(GP8&gt;=GV$20,GP8&lt;&gt;""),AND(GT8&gt;=GV$20,GT8&lt;&gt;""),AND(HL8&gt;=HR$20,HL8&lt;&gt;""),AND(HP8&gt;=HR$20,HP8&lt;&gt;""),AND(IH8&gt;=IN$20,IH8&lt;&gt;""),AND(IL8&gt;=IN$20,IL8&lt;&gt;""),AND(JD8&gt;=JJ$20,JD8&lt;&gt;""),AND(JH8&gt;=JJ$20,JH8&lt;&gt;""),AND(JZ8&gt;=KF$20,JZ8&lt;&gt;""),AND(KD8&gt;=KF$20,KD8&lt;&gt;""),AND(KV8&gt;=LB$20,KV8&lt;&gt;""),AND(KZ8&gt;=LB$20,KZ8&lt;&gt;""),AND(LR8&gt;=LX$20,LR8&lt;&gt;""),AND(LV8&gt;=LX$20,LV8&lt;&gt;""),AND(MN8&gt;=MT$20,MN8&lt;&gt;""),AND(MR8&gt;=MT$20,MR8&lt;&gt;"")),"Merit",IF(OR(AND(AL8&gt;=AR$19,AL8&lt;&gt;"",AK8=""),AND(AP8&gt;=AR$19,AP8&lt;&gt;"",AK8=""),AND(BI8&gt;=BO$19,BI8&lt;&gt;"",BH8=""),AND(BM8&gt;=BO$19,BM8&lt;&gt;"",BH8=""),AND(CF8&gt;=CL$19,CF8&lt;&gt;"",CE8=""),AND(CJ8&gt;=CL$19,CJ8&lt;&gt;"",CE8=""),AND(DF8&gt;=DL$19,DF8&lt;&gt;""),AND(DJ8&gt;=DL$19,DJ8&lt;&gt;""),AND(EB8&gt;=EH$19,EB8&lt;&gt;""),AND(EF8&gt;=EH$19,EF8&lt;&gt;""),AND(EX8&gt;=FD$19,EX8&lt;&gt;""),AND(FB8&gt;=FD$19,FB8&lt;&gt;""),AND(FT8&gt;=FZ$19,FT8&lt;&gt;""),AND(FX8&gt;=FZ$19,FX8&lt;&gt;""),AND(GP8&gt;=GV$19,GP8&lt;&gt;""),AND(GT8&gt;=GV$19,GT8&lt;&gt;""),AND(HL8&gt;=HR$19,HL8&lt;&gt;""),AND(HP8&gt;=HR$19,HP8&lt;&gt;""),AND(IH8&gt;=IN$19,IH8&lt;&gt;""),AND(IL8&gt;=IN$19,IL8&lt;&gt;""),AND(JD8&gt;=JJ$19,JD8&lt;&gt;""),AND(JH8&gt;=JJ$19,JH8&lt;&gt;""),AND(JZ8&gt;=KF$19,JZ8&lt;&gt;""),AND(KD8&gt;=KF$19,KD8&lt;&gt;""),AND(KV8&gt;=LB$19,KV8&lt;&gt;""),AND(KZ8&gt;=LB$19,KZ8&lt;&gt;""),AND(LR8&gt;=LX$19,LR8&lt;&gt;""),AND(LV8&gt;=LX$19,LV8&lt;&gt;""),AND(MN8&gt;=MT$19,MN8&lt;&gt;""),AND(MR8&gt;=MT$19,MR8&lt;&gt;"")),"Excellence",IF(OR(AND(AL8&gt;=AR$18,AL8&lt;&gt;"",AK8=""),AND(AP8&gt;=AR$18,AP8&lt;&gt;"",AK8=""),AND(BI8&gt;=BO$18,BI8&lt;&gt;"",BH8=""),AND(BM8&gt;=BO$18,BM8&lt;&gt;"",BH8=""),AND(CF8&gt;=CL$18,CF8&lt;&gt;"",CE8=""),AND(CJ8&gt;=CL$18,CJ8&lt;&gt;"",CE8=""),AND(DF8&gt;=DL$18,DF8&lt;&gt;""),AND(DJ8&gt;=DL$18,DJ8&lt;&gt;""),AND(EB8&gt;=EH$18,EB8&lt;&gt;""),AND(EF8&gt;=EH$18,EF8&lt;&gt;""),AND(EX8&gt;=FD$18,EX8&lt;&gt;""),AND(FB8&gt;=FD$18,FB8&lt;&gt;""),AND(FT8&gt;=FZ$18,FT8&lt;&gt;""),AND(FX8&gt;=FZ$18,FX8&lt;&gt;""),AND(GP8&gt;=GV$18,GP8&lt;&gt;""),AND(GT8&gt;=GV$18,GT8&lt;&gt;""),AND(HL8&gt;=HR$18,HL8&lt;&gt;""),AND(HP8&gt;=HR$18,HP8&lt;&gt;""),AND(IH8&gt;=IN$18,IH8&lt;&gt;""),AND(IL8&gt;=IN$18,IL8&lt;&gt;""),AND(JD8&gt;=JJ$18,JD8&lt;&gt;""),AND(JH8&gt;=JJ$18,JH8&lt;&gt;""),AND(JZ8&gt;=KF$18,JZ8&lt;&gt;""),AND(KD8&gt;=KF$18,KD8&lt;&gt;""),AND(KV8&gt;=LB$18,KV8&lt;&gt;""),AND(KZ8&gt;=LB$18,KZ8&lt;&gt;""),AND(LR8&gt;=LX$18,LR8&lt;&gt;""),AND(LV8&gt;=LX$18,LV8&lt;&gt;""),AND(MN8&gt;=MT$18,MN8&lt;&gt;""),AND(MR8&gt;=MT$18,MR8&lt;&gt;"")),"Worlds Team",IF(OR(AND(AL8&gt;=AR$17,AL8&lt;&gt;"",AK8=""),AND(AP8&gt;=AR$17,AP8&lt;&gt;"",AK8=""),AND(BI8&gt;=BO$17,BI8&lt;&gt;"",BH8=""),AND(BM8&gt;=BO$17,BM8&lt;&gt;"",BH8=""),AND(CF8&gt;=CL$17,CF8&lt;&gt;"",CE8=""),AND(CJ8&gt;=CL$17,CJ8&lt;&gt;"",CE8=""),AND(DF8&gt;=DL$17,DF8&lt;&gt;""),AND(DJ8&gt;=DL$17,DJ8&lt;&gt;""),AND(EB8&gt;=EH$17,EB8&lt;&gt;""),AND(EF8&gt;=EH$17,EF8&lt;&gt;""),AND(EX8&gt;=FD$17,EX8&lt;&gt;""),AND(FB8&gt;=FD$17,FB8&lt;&gt;""),AND(FT8&gt;=FZ$17,FT8&lt;&gt;""),AND(FX8&gt;=FZ$17,FX8&lt;&gt;""),AND(GP8&gt;=GV$17,GP8&lt;&gt;""),AND(GT8&gt;=GV$17,GT8&lt;&gt;""),AND(HL8&gt;=HR$17,HL8&lt;&gt;""),AND(HP8&gt;=HR$17,HP8&lt;&gt;""),AND(IH8&gt;=IN$17,IH8&lt;&gt;""),AND(IL8&gt;=IN$17,IL8&lt;&gt;""),AND(JD8&gt;=JJ$17,JD8&lt;&gt;""),AND(JH8&gt;=JJ$17,JH8&lt;&gt;""),AND(JZ8&gt;=KF$17,JZ8&lt;&gt;""),AND(KD8&gt;=KF$17,KD8&lt;&gt;""),AND(KV8&gt;=LB$17,KV8&lt;&gt;""),AND(KZ8&gt;=LB$17,KZ8&lt;&gt;""),AND(LR8&gt;=LX$17,LR8&lt;&gt;""),AND(LV8&gt;=LX$17,LV8&lt;&gt;""),AND(MN8&gt;=MT$17,MN8&lt;&gt;""),AND(MR8&gt;=MT$17,MR8&lt;&gt;"")),"National Team",""))))</f>
        <v/>
      </c>
      <c r="H8" s="125" t="str">
        <f>IF(OR(AND(AN8&gt;=AR$24,AN8&lt;&gt;"",AK8=""),AND(AQ8&gt;=AR$24,AQ8&lt;&gt;"",AK8=""),AND(BK8&gt;=BO$24,BK8&lt;&gt;"",BH8=""),AND(BN8&gt;=BO$24,BN8&lt;&gt;"",BH8=""),AND(CH8&gt;=CL$24,CH8&lt;&gt;"",CE8=""),AND(CK8&gt;=CL$24,CE8&lt;&gt;"",CE8=""),AND(DH8&gt;=DL$24,DH8&lt;&gt;""),AND(DK8&gt;=DL$24,DK8&lt;&gt;""),AND(ED8&gt;=EH$24,ED8&lt;&gt;""),AND(EG8&gt;=EH$24,EG8&lt;&gt;""),AND(EZ8&gt;=FD$24,EZ8&lt;&gt;""),AND(FC8&gt;=FD$24,FC8&lt;&gt;""),AND(FV8&gt;=FZ$24,FV8&lt;&gt;""),AND(FY8&gt;=FZ$24,FY8&lt;&gt;""),AND(GR8&gt;=GV$24,GR8&lt;&gt;""),AND(GU8&gt;=GV$24,GU8&lt;&gt;""),AND(HN8&gt;=HR$24,HN8&lt;&gt;""),AND(HQ8&gt;=HR$24,HQ8&lt;&gt;""),AND(IJ8&gt;=IN$24,IJ8&lt;&gt;""),AND(IM8&gt;=IN$24,IM8&lt;&gt;""),AND(JF8&gt;=JJ$24,JF8&lt;&gt;""),AND(JI8&gt;=JJ$24,JI8&lt;&gt;""),AND(KB8&gt;=KF$24,KB8&lt;&gt;""),AND(KE8&gt;=KF$24,KE8&lt;&gt;""),AND(KX8&gt;=LB$24,KX8&lt;&gt;""),AND(LA8&gt;=LB$24,LA8&lt;&gt;""),AND(LT8&gt;=LX$24,LT8&lt;&gt;""),AND(LW8&gt;=LX$24,LW8&lt;&gt;""),AND(MP8&gt;=MT$24,MP8&lt;&gt;""),AND(MS8&gt;=MT$24,MS8&lt;&gt;"")),"Merit",IF(OR(AND(AN8&gt;=AR$23,AN8&lt;&gt;"",AK8=""),AND(AQ8&gt;=AR$23,AQ8&lt;&gt;"",AK8=""),AND(BK8&gt;=BO$23,BK8&lt;&gt;"",BH8=""),AND(BN8&gt;=BO$23,BN8&lt;&gt;"",BH8=""),AND(CH8&gt;=CL$23,CH8&lt;&gt;"",CE8=""),AND(CK8&gt;=CL$23,CE8&lt;&gt;"",CE8=""),AND(DH8&gt;=DL$23,DH8&lt;&gt;""),AND(DK8&gt;=DL$23,DK8&lt;&gt;""),AND(ED8&gt;=EH$23,ED8&lt;&gt;""),AND(EG8&gt;=EH$23,EG8&lt;&gt;""),AND(EZ8&gt;=FD$23,EZ8&lt;&gt;""),AND(FC8&gt;=FD$23,FC8&lt;&gt;""),AND(FV8&gt;=FZ$23,FV8&lt;&gt;""),AND(FY8&gt;=FZ$23,FY8&lt;&gt;""),AND(GR8&gt;=GV$23,GR8&lt;&gt;""),AND(GU8&gt;=GV$23,GU8&lt;&gt;""),AND(HN8&gt;=HR$23,HN8&lt;&gt;""),AND(HQ8&gt;=HR$23,HQ8&lt;&gt;""),AND(IJ8&gt;=IN$23,IJ8&lt;&gt;""),AND(IM8&gt;=IN$23,IM8&lt;&gt;""),AND(JF8&gt;=JJ$23,JF8&lt;&gt;""),AND(JI8&gt;=JJ$23,JI8&lt;&gt;""),AND(KB8&gt;=KF$23,KB8&lt;&gt;""),AND(KE8&gt;=KF$23,KE8&lt;&gt;""),AND(KX8&gt;=LB$23,KX8&lt;&gt;""),AND(LA8&gt;=LB$23,LA8&lt;&gt;""),AND(LT8&gt;=LX$23,LT8&lt;&gt;""),AND(LW8&gt;=LX$23,LW8&lt;&gt;""),AND(MP8&gt;=MT$23,MP8&lt;&gt;""),AND(MS8&gt;=MT$23,MS8&lt;&gt;"")),"Excellence",IF(OR(AND(AO8&gt;=AR$22,AO8&lt;&gt;"",AK8=""),AND(BL8&gt;=BO$22,BL8&lt;&gt;"",BH8=""),AND(CI8&gt;=CL$22,CI8&lt;&gt;"",CE8=""),AND(DI8&gt;=DL$22,DI8&lt;&gt;""),AND(EE8&gt;=EH$22,EE8&lt;&gt;""),AND(FA8&gt;=FD$22,FA8&lt;&gt;""),AND(FW8&gt;=FZ$22,FW8&lt;&gt;""),AND(GS8&gt;=GV$22,GS8&lt;&gt;""),AND(HO8&gt;=HR$22,HO8&lt;&gt;""),AND(IK8&gt;=IN$22,IK8&lt;&gt;""),AND(JG8&gt;=JJ$22,JG8&lt;&gt;""),AND(KC8&gt;=KF$22,KC8&lt;&gt;""),AND(KY8&gt;=LB$22,KY8&lt;&gt;""),AND(LU8&gt;=LX$22,LU8&lt;&gt;""),AND(MQ8&gt;=MT$22,MQ8&lt;&gt;"")),"Worlds Team",IF(OR(AND(AO8&gt;=AR$21,AO8&lt;&gt;"",AK8=""),AND(BL8&gt;=BO$21,BL8&lt;&gt;"",BH8=""),AND(CI8&gt;=CL$21,CI8&lt;&gt;"",CE8=""),AND(DI8&gt;=DL$21,DI8&lt;&gt;""),AND(EE8&gt;=EH$21,EE8&lt;&gt;""),AND(FA8&gt;=FD$21,FA8&lt;&gt;""),AND(FW8&gt;=FZ$21,FW8&lt;&gt;""),AND(GS8&gt;=GV$21,GS8&lt;&gt;""),AND(HO8&gt;=HR$21,HO8&lt;&gt;""),AND(IK8&gt;=IN$21,IK8&lt;&gt;""),AND(JG8&gt;=JJ$21,JG8&lt;&gt;""),AND(KC8&gt;=KF$21,KC8&lt;&gt;""),AND(KY8&gt;=LB$21,KY8&lt;&gt;""),AND(LU8&gt;=LX$21,LU8&lt;&gt;""),AND(MQ8&gt;=MT$21,MQ8&lt;&gt;"")),"National Team",""))))</f>
        <v>Worlds Team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No DD</v>
      </c>
      <c r="J8" s="3" t="str">
        <f>IF(AND(OR(AND(AO8&gt;=AR$22,AO8&lt;&gt;"",AK8=""),AND(BL8&gt;=BO$22,BL8&lt;&gt;"",BH8=""),AND(CI8&gt;=CL$22,CI8&lt;&gt;"",CE8=""),AND(DI8&gt;=DL$22,DI8&lt;&gt;""),AND(EE8&gt;=EH$22,EE8&lt;&gt;""),AND(FA8&gt;=FD$22,FA8&lt;&gt;""),AND(FW8&gt;=FZ$22,FW8&lt;&gt;""),AND(GS8&gt;=GV$22,GS8&lt;&gt;""),AND(HO8&gt;=HR$22,HO8&lt;&gt;""),AND(IK8&gt;=IN$22,IK8&lt;&gt;""),AND(JG8&gt;=JJ$22,JG8&lt;&gt;""),AND(KC8&gt;=KF$22,KC8&lt;&gt;""),AND(KY8&gt;=LB$22,KY8&lt;&gt;""),AND(LU8&gt;=LX$22,LU8&lt;&gt;""),AND(MQ8&gt;=MT$22,MQ8&lt;&gt;"")),OR(G8="Worlds Team",G8="Excellence",G8="Merit")),"P","")</f>
        <v/>
      </c>
      <c r="K8" s="14">
        <f>MAX(AO8,BL8,CI8)</f>
        <v>85.41</v>
      </c>
      <c r="L8" s="14" t="str">
        <f>IF(K8=0,"",IF(K8=CI8,$BP$1,IF(K8=BL8,$AS$1,IF(K8=AO8,$V$1,""))))</f>
        <v>2019 Nationals</v>
      </c>
      <c r="M8" s="14">
        <f>IF($K8=$AO8,MAX(BJ8,CG8),IF($K8=$BL8,MAX(AM8,CG8),IF($K8=$CI8,MAX(AM8,BJ8),MAX(AM8,BJ8,CG8))))</f>
        <v>38.635000000000005</v>
      </c>
      <c r="N8" s="14" t="str">
        <f>IF(M8=0,"",IF(AND(M8=CG8,$L8&lt;&gt;$BP$1),$BP$1,IF(AND(M8=BJ8,$L8&lt;&gt;$AS$1),$AS$1,IF(AND(M8=AM8,$L8&lt;&gt;$V$1),$V$1,""))))</f>
        <v>2019 Elite Canada</v>
      </c>
      <c r="O8" s="14">
        <f>IF($K8=$AO8,MAX(CH8,BK8),IF($K8=$BL8,MAX(AN8,CH8),IF($K8=$CI8,MAX(AN8,BK8),MAX(AN8,BK8,CH8))))</f>
        <v>27.96</v>
      </c>
      <c r="P8" s="14" t="str">
        <f>IF(O8=0,"",IF(AND(O8=CH8,$L8&lt;&gt;$BP$1),$BP$1,IF(AND(O8=BK8,$L8&lt;&gt;$AS$1),$AS$1,IF(AND(O8=AN8,$L8&lt;&gt;$V$1),$V$1,""))))</f>
        <v>2019 Elite Canada</v>
      </c>
      <c r="Q8" s="14">
        <f>MAX(AQ8,BN8,CK8)</f>
        <v>7.32</v>
      </c>
      <c r="R8" s="14" t="str">
        <f>IF(Q8=0,"",IF(Q8=CK8,$BP$1,IF(Q8=BN8,$AS$1,IF(Q8=AQ8,$V$1,""))))</f>
        <v>2019 Nationals</v>
      </c>
      <c r="S8" s="14" t="str">
        <f>IF(MAX(CM8,CN8,CO8,CP8)&gt;0,MAX(CM8,CN8,CO8,CP8),"")</f>
        <v/>
      </c>
      <c r="T8" s="25" t="str">
        <f>IF(S8="","",IF(S8=CM8,"(Vol 1)",IF(S8=CN8,"(Vol 2)",IF(S8=CO8,"(Prelim)",IF(S8=CP8,"(Final)")))))</f>
        <v/>
      </c>
      <c r="U8" s="14" t="str">
        <f>IF(S8="","",IF(S8=CM8,IF(S8+IF(M8="",0,M8)=MO8,$LY$1,IF(S8+IF(M8="",0,M8)=LS8,$LC$1,IF(S8+IF(M8="",0,M8)=KW8,$KG$1,IF(S8+IF(M8="",0,M8)=KA8,$JK$1,IF(S8+IF(M8="",0,M8)=JE8,$IO$1,IF(S8+IF(M8="",0,M8)=II8,$HS$1,IF(S8+IF(M8="",0,M8)=HM8,$GW$1,IF(S8+IF(M8="",0,M8)=GQ8,$GA$1,IF(S8+IF(M8="",0,M8)=FU8,$FE$1,IF(S8+IF(M8="",0,M8)=EY8,$EI$1,IF(S8+IF(M8="",0,M8)=EC8,$DM$1,IF(S8+IF(M8="",0,M8)=DG8,$CQ$1)))))))))))),IF(S8=CN8,IF(S8+IF(O8="",0,O8)=MP8,$LY$1,IF(S8+IF(O8="",0,O8)=LT8,$LC$1,IF(S8+IF(O8="",0,O8)=KX8,$KG$1,IF(S8+IF(O8="",0,O8)=KB8,$JK$1,IF(S8+IF(O8="",0,O8)=JF8,$IO$1,IF(S8+IF(O8="",0,O8)=IJ8,$HS$1,IF(S8+IF(O8="",0,O8)=HN8,$GW$1,IF(S8+IF(O8="",0,O8)=GR8,$GA$1,IF(S8+IF(O8="",0,O8)=FV8,$FE$1,IF(S8+IF(O8="",0,O8)=EZ8,$EI$1,IF(S8+IF(O8="",0,O8)=ED8,$DM$1,IF(S8+IF(O8="",0,O8)=DH8,$CQ$1)))))))))))),IF(S8=CO8,IF(S8+IF(K8="",0,K8)=MQ8,$LY$1,IF(S8+IF(K8="",0,K8)=LU8,$LC$1,IF(S8+IF(K8="",0,K8)=KY8,$KG$1,IF(S8+IF(K8="",0,K8)=KC8,$JK$1,IF(S8+IF(K8="",0,K8)=JG8,$IO$1,IF(S8+IF(K8="",0,K8)=IK8,$HS$1,IF(S8+IF(K8="",0,K8)=HO8,$GW$1,IF(S8+IF(K8="",0,K8)=GS8,$GA$1,IF(S8+IF(K8="",0,K8)=FW8,$FE$1,IF(S8+IF(K8="",0,K8)=FA8,$EI$1,IF(S8+IF(K8="",0,K8)=EE8,$DM$1,IF(S8+IF(K8="",0,K8)=DI8,$CQ$1)))))))))))),IF(S8=CP8,IF(S8+IF(Q8="",0,Q8)=MS8,$LY$1,IF(S8+IF(Q8="",0,Q8)=LW8,$LC$1,IF(S8+IF(Q8="",0,Q8)=LA8,$KG$1,IF(S8+IF(Q8="",0,Q8)=KE8,$JK$1,IF(S8+IF(Q8="",0,Q8)=JI8,$IO$1,IF(S8+IF(Q8="",0,Q8)=IM8,$HS$1,IF(S8+IF(Q8="",0,Q8)=HQ8,$GW$1,IF(S8+IF(Q8="",0,Q8)=GU8,$GA$1,IF(S8+IF(Q8="",0,Q8)=FY8,$FE$1,IF(S8+IF(Q8="",0,Q8)=FC8,$EI$1,IF(S8+IF(Q8="",0,Q8)=EG8,$DM$1,IF(S8+IF(Q8="",0,Q8)=DK8,$CQ$1)))))))))))))))))</f>
        <v/>
      </c>
      <c r="V8" s="39">
        <v>7.8250000000000002</v>
      </c>
      <c r="W8" s="39">
        <v>9.15</v>
      </c>
      <c r="X8" s="39">
        <v>3.6</v>
      </c>
      <c r="Y8" s="39">
        <v>18.059999999999999</v>
      </c>
      <c r="Z8" s="39">
        <v>0</v>
      </c>
      <c r="AA8" s="39">
        <v>4.45</v>
      </c>
      <c r="AB8" s="39">
        <v>5.45</v>
      </c>
      <c r="AC8" s="39">
        <v>6.8</v>
      </c>
      <c r="AD8" s="39">
        <v>11.26</v>
      </c>
      <c r="AE8" s="39">
        <v>0</v>
      </c>
      <c r="AF8" s="39"/>
      <c r="AG8" s="39"/>
      <c r="AH8" s="39"/>
      <c r="AI8" s="39"/>
      <c r="AJ8" s="39"/>
      <c r="AK8" s="80"/>
      <c r="AL8" s="11">
        <f>IF(AC8&gt;0,AC8,"")</f>
        <v>6.8</v>
      </c>
      <c r="AM8" s="11">
        <f>IF(SUM(V8:Y8)-Z8&gt;0,SUM(V8:Y8)-Z8,"")</f>
        <v>38.635000000000005</v>
      </c>
      <c r="AN8" s="11">
        <f>IF(SUM(AA8:AD8)-AE8&gt;0,SUM(AA8:AD8)-AE8,"")</f>
        <v>27.96</v>
      </c>
      <c r="AO8" s="11">
        <f>IF(SUM(AM8:AN8)&gt;0,SUM(AM8:AN8),"")</f>
        <v>66.594999999999999</v>
      </c>
      <c r="AP8" s="11" t="str">
        <f>IF(AH8&gt;0,AH8,"")</f>
        <v/>
      </c>
      <c r="AQ8" s="11" t="str">
        <f>IF(SUM(AF8:AI8)-AJ8&gt;0,SUM(AF8:AI8)-AJ8,"")</f>
        <v/>
      </c>
      <c r="AR8" s="11">
        <f>IF(SUM(AO8,AQ8)&gt;0,SUM(AO8,AQ8),"")</f>
        <v>66.594999999999999</v>
      </c>
      <c r="AS8" s="40">
        <v>8.85</v>
      </c>
      <c r="AT8" s="40">
        <v>9.35</v>
      </c>
      <c r="AU8" s="40">
        <v>3.2</v>
      </c>
      <c r="AV8" s="40">
        <v>19.12</v>
      </c>
      <c r="AW8" s="40">
        <v>0</v>
      </c>
      <c r="AX8" s="40">
        <v>7.8</v>
      </c>
      <c r="AY8" s="40">
        <v>9.0500000000000007</v>
      </c>
      <c r="AZ8" s="40">
        <v>10.5</v>
      </c>
      <c r="BA8" s="40">
        <v>17.54</v>
      </c>
      <c r="BB8" s="40">
        <v>0</v>
      </c>
      <c r="BC8" s="40">
        <v>1.3</v>
      </c>
      <c r="BD8" s="40">
        <v>1.9</v>
      </c>
      <c r="BE8" s="40">
        <v>2.2999999999999998</v>
      </c>
      <c r="BF8" s="40">
        <v>1.82</v>
      </c>
      <c r="BG8" s="40">
        <v>0</v>
      </c>
      <c r="BH8" s="81"/>
      <c r="BI8" s="14">
        <f>IF(AZ8&gt;0,AZ8,"")</f>
        <v>10.5</v>
      </c>
      <c r="BJ8" s="14">
        <f>IF(SUM(AS8:AV8)-AW8&gt;0,SUM(AS8:AV8)-AW8,"")</f>
        <v>40.519999999999996</v>
      </c>
      <c r="BK8" s="14">
        <f>IF(SUM(AX8:BA8)-BB8&gt;0,SUM(AX8:BA8)-BB8,"")</f>
        <v>44.89</v>
      </c>
      <c r="BL8" s="14">
        <f>IF(SUM(BJ8:BK8)&gt;0,SUM(BJ8:BK8),"")</f>
        <v>85.41</v>
      </c>
      <c r="BM8" s="14">
        <f>IF(BE8&gt;0,BE8,"")</f>
        <v>2.2999999999999998</v>
      </c>
      <c r="BN8" s="14">
        <f>IF(SUM(BC8:BF8)-BG8&gt;0,SUM(BC8:BF8)-BG8,"")</f>
        <v>7.32</v>
      </c>
      <c r="BO8" s="14">
        <f>IF(SUM(BL8,BN8)&gt;0,SUM(BL8,BN8),"")</f>
        <v>92.72999999999999</v>
      </c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80"/>
      <c r="CF8" s="11" t="str">
        <f>IF(BW8&gt;0,BW8,"")</f>
        <v/>
      </c>
      <c r="CG8" s="11" t="str">
        <f>IF(SUM(BP8:BS8)-BT8&gt;0,SUM(BP8:BS8)-BT8,"")</f>
        <v/>
      </c>
      <c r="CH8" s="11" t="str">
        <f>IF(SUM(BU8:BX8)-BY8&gt;0,SUM(BU8:BX8)-BY8,"")</f>
        <v/>
      </c>
      <c r="CI8" s="11" t="str">
        <f>IF(SUM(CG8:CH8)&gt;0,SUM(CG8:CH8),"")</f>
        <v/>
      </c>
      <c r="CJ8" s="11" t="str">
        <f>IF(CB8&gt;0,CB8,"")</f>
        <v/>
      </c>
      <c r="CK8" s="11" t="str">
        <f>IF(SUM(BZ8:CC8)-CD8&gt;0,SUM(BZ8:CC8)-CD8,"")</f>
        <v/>
      </c>
      <c r="CL8" s="11" t="str">
        <f>IF(SUM(CI8,CK8)&gt;0,SUM(CI8,CK8),"")</f>
        <v/>
      </c>
      <c r="CM8" s="24" t="str">
        <f>IF(MAX(DG8,EC8,EY8,FU8,GQ8,HM8,II8,JE8,KA8,KW8,LS8,MO8)-IF(M8="",0,M8)&gt;0.001,MAX(DG8,EC8,EY8,FU8,GQ8,HM8,II8,JE8,KA8,KW8,LS8,MO8)-IF(M8="",0,M8),"")</f>
        <v/>
      </c>
      <c r="CN8" s="24" t="str">
        <f>IF(MAX(DH8,ED8,EZ8,FV8,GR8,HN8,IJ8,JF8,KB8,KX8,LT8,MP8)-IF(O8="",0,O8)&gt;0.001,MAX(DH8,ED8,EZ8,FV8,GR8,HN8,IJ8,JF8,KB8,KX8,LT8,MP8)-IF(O8="",0,O8),"")</f>
        <v/>
      </c>
      <c r="CO8" s="24" t="str">
        <f>IF(MAX(DI8,EE8,FA8,FW8,GS8,HO8,IK8,JG8,KC8,KY8,LU8,MQ8)-IF(K8="",0,K8)&gt;0.001,MAX(DI8,EE8,FA8,FW8,GS8,HO8,IK8,JG8,KC8,KY8,LU8,MQ8)-IF(K8="",0,K8),"")</f>
        <v/>
      </c>
      <c r="CP8" s="24" t="str">
        <f>IF(MAX(DK8,EG8,FC8,FY8,GU8,HQ8,IM8,JI8,KE8,LA8,LW8,MS8)-IF(Q8="",0,Q8)&gt;0.001,MAX(DK8,EG8,FC8,FY8,GU8,HQ8,IM8,JI8,KE8,LA8,LW8,MS8)-IF(Q8="",0,Q8),"")</f>
        <v/>
      </c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11" t="str">
        <f>IF(CX8&gt;0,CX8,"")</f>
        <v/>
      </c>
      <c r="DG8" s="11" t="str">
        <f>IF(SUM(CQ8:CT8)-CU8&gt;0,SUM(CQ8:CT8)-CU8,"")</f>
        <v/>
      </c>
      <c r="DH8" s="11" t="str">
        <f>IF(SUM(CV8:CY8)-CZ8&gt;0,SUM(CV8:CY8)-CZ8,"")</f>
        <v/>
      </c>
      <c r="DI8" s="11" t="str">
        <f>IF(SUM(DG8:DH8)&gt;0,SUM(DG8:DH8),"")</f>
        <v/>
      </c>
      <c r="DJ8" s="11" t="str">
        <f>IF(DC8&gt;0,DC8,"")</f>
        <v/>
      </c>
      <c r="DK8" s="11" t="str">
        <f>IF(SUM(DA8:DD8)-DE8&gt;0,SUM(DA8:DD8)-DE8,"")</f>
        <v/>
      </c>
      <c r="DL8" s="11" t="str">
        <f>IF(SUM(DI8,DK8)&gt;0,SUM(DI8,DK8),"")</f>
        <v/>
      </c>
      <c r="DM8" s="38"/>
      <c r="DN8" s="38"/>
      <c r="DO8" s="38"/>
      <c r="DP8" s="38"/>
      <c r="DQ8" s="38"/>
      <c r="DR8" s="38"/>
      <c r="DS8" s="38"/>
      <c r="DT8" s="38"/>
      <c r="DU8" s="38"/>
      <c r="DV8" s="38"/>
      <c r="DW8" s="38"/>
      <c r="DX8" s="38"/>
      <c r="DY8" s="38"/>
      <c r="DZ8" s="38"/>
      <c r="EA8" s="38"/>
      <c r="EB8" s="14" t="str">
        <f>IF(DT8&gt;0,DT8,"")</f>
        <v/>
      </c>
      <c r="EC8" s="14" t="str">
        <f>IF(SUM(DM8:DP8)-DQ8&gt;0,SUM(DM8:DP8)-DQ8,"")</f>
        <v/>
      </c>
      <c r="ED8" s="14" t="str">
        <f>IF(SUM(DR8:DU8)-DV8&gt;0,SUM(DR8:DU8)-DV8,"")</f>
        <v/>
      </c>
      <c r="EE8" s="14" t="str">
        <f>IF(SUM(EC8:ED8)&gt;0,SUM(EC8:ED8),"")</f>
        <v/>
      </c>
      <c r="EF8" s="14" t="str">
        <f>IF(DY8&gt;0,DY8,"")</f>
        <v/>
      </c>
      <c r="EG8" s="14" t="str">
        <f>IF(SUM(DW8:DZ8)-EA8&gt;0,SUM(DW8:DZ8)-EA8,"")</f>
        <v/>
      </c>
      <c r="EH8" s="14" t="str">
        <f>IF(SUM(EE8,EG8)&gt;0,SUM(EE8,EG8),"")</f>
        <v/>
      </c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11" t="str">
        <f>IF(EP8&gt;0,EP8,"")</f>
        <v/>
      </c>
      <c r="EY8" s="11" t="str">
        <f>IF(SUM(EI8:EL8)-EM8&gt;0,SUM(EI8:EL8)-EM8,"")</f>
        <v/>
      </c>
      <c r="EZ8" s="11" t="str">
        <f>IF(SUM(EN8:EQ8)-ER8&gt;0,SUM(EN8:EQ8)-ER8,"")</f>
        <v/>
      </c>
      <c r="FA8" s="11" t="str">
        <f>IF(SUM(EY8:EZ8)&gt;0,SUM(EY8:EZ8),"")</f>
        <v/>
      </c>
      <c r="FB8" s="11" t="str">
        <f>IF(EU8&gt;0,EU8,"")</f>
        <v/>
      </c>
      <c r="FC8" s="11" t="str">
        <f>IF(SUM(ES8:EV8)-EW8&gt;0,SUM(ES8:EV8)-EW8,"")</f>
        <v/>
      </c>
      <c r="FD8" s="11" t="str">
        <f>IF(SUM(FA8,FC8)&gt;0,SUM(FA8,FC8),"")</f>
        <v/>
      </c>
      <c r="FE8" s="38"/>
      <c r="FF8" s="38"/>
      <c r="FG8" s="38"/>
      <c r="FH8" s="38"/>
      <c r="FI8" s="38"/>
      <c r="FJ8" s="38"/>
      <c r="FK8" s="38"/>
      <c r="FL8" s="38"/>
      <c r="FM8" s="38"/>
      <c r="FN8" s="38"/>
      <c r="FO8" s="38"/>
      <c r="FP8" s="38"/>
      <c r="FQ8" s="38"/>
      <c r="FR8" s="38"/>
      <c r="FS8" s="38"/>
      <c r="FT8" s="14" t="str">
        <f>IF(FL8&gt;0,FL8,"")</f>
        <v/>
      </c>
      <c r="FU8" s="14" t="str">
        <f>IF(SUM(FE8:FH8)-FI8&gt;0,SUM(FE8:FH8)-FI8,"")</f>
        <v/>
      </c>
      <c r="FV8" s="14" t="str">
        <f>IF(SUM(FJ8:FM8)-FN8&gt;0,SUM(FJ8:FM8)-FN8,"")</f>
        <v/>
      </c>
      <c r="FW8" s="14" t="str">
        <f>IF(SUM(FU8:FV8)&gt;0,SUM(FU8:FV8),"")</f>
        <v/>
      </c>
      <c r="FX8" s="14" t="str">
        <f>IF(FQ8&gt;0,FQ8,"")</f>
        <v/>
      </c>
      <c r="FY8" s="14" t="str">
        <f>IF(SUM(FO8:FR8)-FS8&gt;0,SUM(FO8:FR8)-FS8,"")</f>
        <v/>
      </c>
      <c r="FZ8" s="14" t="str">
        <f>IF(SUM(FW8,FY8)&gt;0,SUM(FW8,FY8),"")</f>
        <v/>
      </c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11" t="str">
        <f>IF(GH8&gt;0,GH8,"")</f>
        <v/>
      </c>
      <c r="GQ8" s="11" t="str">
        <f>IF(SUM(GA8:GD8)-GE8&gt;0,SUM(GA8:GD8)-GE8,"")</f>
        <v/>
      </c>
      <c r="GR8" s="11" t="str">
        <f>IF(SUM(GF8:GI8)-GJ8&gt;0,SUM(GF8:GI8)-GJ8,"")</f>
        <v/>
      </c>
      <c r="GS8" s="11" t="str">
        <f>IF(SUM(GQ8:GR8)&gt;0,SUM(GQ8:GR8),"")</f>
        <v/>
      </c>
      <c r="GT8" s="11" t="str">
        <f>IF(GM8&gt;0,GM8,"")</f>
        <v/>
      </c>
      <c r="GU8" s="11" t="str">
        <f>IF(SUM(GK8:GN8)-GO8&gt;0,SUM(GK8:GN8)-GO8,"")</f>
        <v/>
      </c>
      <c r="GV8" s="11" t="str">
        <f>IF(SUM(GS8,GU8)&gt;0,SUM(GS8,GU8),"")</f>
        <v/>
      </c>
      <c r="GW8" s="38"/>
      <c r="GX8" s="38"/>
      <c r="GY8" s="38"/>
      <c r="GZ8" s="38"/>
      <c r="HA8" s="38"/>
      <c r="HB8" s="38"/>
      <c r="HC8" s="38"/>
      <c r="HD8" s="38"/>
      <c r="HE8" s="38"/>
      <c r="HF8" s="38"/>
      <c r="HG8" s="38"/>
      <c r="HH8" s="38"/>
      <c r="HI8" s="38"/>
      <c r="HJ8" s="38"/>
      <c r="HK8" s="38"/>
      <c r="HL8" s="14" t="str">
        <f>IF(HD8&gt;0,HD8,"")</f>
        <v/>
      </c>
      <c r="HM8" s="14" t="str">
        <f>IF(SUM(GW8:GZ8)-HA8&gt;0,SUM(GW8:GZ8)-HA8,"")</f>
        <v/>
      </c>
      <c r="HN8" s="14" t="str">
        <f>IF(SUM(HB8:HE8)-HF8&gt;0,SUM(HB8:HE8)-HF8,"")</f>
        <v/>
      </c>
      <c r="HO8" s="14" t="str">
        <f>IF(SUM(HM8:HN8)&gt;0,SUM(HM8:HN8),"")</f>
        <v/>
      </c>
      <c r="HP8" s="14" t="str">
        <f>IF(HI8&gt;0,HI8,"")</f>
        <v/>
      </c>
      <c r="HQ8" s="14" t="str">
        <f>IF(SUM(HG8:HJ8)-HK8&gt;0,SUM(HG8:HJ8)-HK8,"")</f>
        <v/>
      </c>
      <c r="HR8" s="14" t="str">
        <f>IF(SUM(HO8,HQ8)&gt;0,SUM(HO8,HQ8),"")</f>
        <v/>
      </c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11" t="str">
        <f>IF(HZ8&gt;0,HZ8,"")</f>
        <v/>
      </c>
      <c r="II8" s="11" t="str">
        <f>IF(SUM(HS8:HV8)-HW8&gt;0,SUM(HS8:HV8)-HW8,"")</f>
        <v/>
      </c>
      <c r="IJ8" s="11" t="str">
        <f>IF(SUM(HX8:IA8)-IB8&gt;0,SUM(HX8:IA8)-IB8,"")</f>
        <v/>
      </c>
      <c r="IK8" s="11" t="str">
        <f>IF(SUM(II8:IJ8)&gt;0,SUM(II8:IJ8),"")</f>
        <v/>
      </c>
      <c r="IL8" s="11" t="str">
        <f>IF(IE8&gt;0,IE8,"")</f>
        <v/>
      </c>
      <c r="IM8" s="11" t="str">
        <f>IF(SUM(IC8:IF8)-IG8&gt;0,SUM(IC8:IF8)-IG8,"")</f>
        <v/>
      </c>
      <c r="IN8" s="11" t="str">
        <f>IF(SUM(IK8,IM8)&gt;0,SUM(IK8,IM8),"")</f>
        <v/>
      </c>
      <c r="IO8" s="38"/>
      <c r="IP8" s="38"/>
      <c r="IQ8" s="38"/>
      <c r="IR8" s="38"/>
      <c r="IS8" s="38"/>
      <c r="IT8" s="38"/>
      <c r="IU8" s="38"/>
      <c r="IV8" s="38"/>
      <c r="IW8" s="38"/>
      <c r="IX8" s="38"/>
      <c r="IY8" s="38"/>
      <c r="IZ8" s="38"/>
      <c r="JA8" s="38"/>
      <c r="JB8" s="38"/>
      <c r="JC8" s="38"/>
      <c r="JD8" s="14" t="str">
        <f>IF(IV8&gt;0,IV8,"")</f>
        <v/>
      </c>
      <c r="JE8" s="14" t="str">
        <f>IF(SUM(IO8:IR8)-IS8&gt;0,SUM(IO8:IR8)-IS8,"")</f>
        <v/>
      </c>
      <c r="JF8" s="14" t="str">
        <f>IF(SUM(IT8:IW8)-IX8&gt;0,SUM(IT8:IW8)-IX8,"")</f>
        <v/>
      </c>
      <c r="JG8" s="14" t="str">
        <f>IF(SUM(JE8:JF8)&gt;0,SUM(JE8:JF8),"")</f>
        <v/>
      </c>
      <c r="JH8" s="14" t="str">
        <f>IF(JA8&gt;0,JA8,"")</f>
        <v/>
      </c>
      <c r="JI8" s="14" t="str">
        <f>IF(SUM(IY8:JB8)-JC8&gt;0,SUM(IY8:JB8)-JC8,"")</f>
        <v/>
      </c>
      <c r="JJ8" s="14" t="str">
        <f>IF(SUM(JG8,JI8)&gt;0,SUM(JG8,JI8),"")</f>
        <v/>
      </c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11" t="str">
        <f>IF(JR8&gt;0,JR8,"")</f>
        <v/>
      </c>
      <c r="KA8" s="11" t="str">
        <f>IF(SUM(JK8:JN8)-JO8&gt;0,SUM(JK8:JN8)-JO8,"")</f>
        <v/>
      </c>
      <c r="KB8" s="11" t="str">
        <f>IF(SUM(JP8:JS8)-JT8&gt;0,SUM(JP8:JS8)-JT8,"")</f>
        <v/>
      </c>
      <c r="KC8" s="11" t="str">
        <f>IF(SUM(KA8:KB8)&gt;0,SUM(KA8:KB8),"")</f>
        <v/>
      </c>
      <c r="KD8" s="11" t="str">
        <f>IF(JW8&gt;0,JW8,"")</f>
        <v/>
      </c>
      <c r="KE8" s="11" t="str">
        <f>IF(SUM(JU8:JX8)-JY8&gt;0,SUM(JU8:JX8)-JY8,"")</f>
        <v/>
      </c>
      <c r="KF8" s="11" t="str">
        <f>IF(SUM(KC8,KE8)&gt;0,SUM(KC8,KE8),"")</f>
        <v/>
      </c>
      <c r="KG8" s="38"/>
      <c r="KH8" s="38"/>
      <c r="KI8" s="38"/>
      <c r="KJ8" s="38"/>
      <c r="KK8" s="38"/>
      <c r="KL8" s="38"/>
      <c r="KM8" s="38"/>
      <c r="KN8" s="38"/>
      <c r="KO8" s="38"/>
      <c r="KP8" s="38"/>
      <c r="KQ8" s="38"/>
      <c r="KR8" s="38"/>
      <c r="KS8" s="38"/>
      <c r="KT8" s="38"/>
      <c r="KU8" s="38"/>
      <c r="KV8" s="14" t="str">
        <f>IF(KN8&gt;0,KN8,"")</f>
        <v/>
      </c>
      <c r="KW8" s="14" t="str">
        <f>IF(SUM(KG8:KJ8)-KK8&gt;0,SUM(KG8:KJ8)-KK8,"")</f>
        <v/>
      </c>
      <c r="KX8" s="14" t="str">
        <f>IF(SUM(KL8:KO8)-KP8&gt;0,SUM(KL8:KO8)-KP8,"")</f>
        <v/>
      </c>
      <c r="KY8" s="14" t="str">
        <f>IF(SUM(KW8:KX8)&gt;0,SUM(KW8:KX8),"")</f>
        <v/>
      </c>
      <c r="KZ8" s="14" t="str">
        <f>IF(KS8&gt;0,KS8,"")</f>
        <v/>
      </c>
      <c r="LA8" s="14" t="str">
        <f>IF(SUM(KQ8:KT8)-KU8&gt;0,SUM(KQ8:KT8)-KU8,"")</f>
        <v/>
      </c>
      <c r="LB8" s="14" t="str">
        <f>IF(SUM(KY8,LA8)&gt;0,SUM(KY8,LA8),"")</f>
        <v/>
      </c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11" t="str">
        <f>IF(LJ8&gt;0,LJ8,"")</f>
        <v/>
      </c>
      <c r="LS8" s="11" t="str">
        <f>IF(SUM(LC8:LF8)-LG8&gt;0,SUM(LC8:LF8)-LG8,"")</f>
        <v/>
      </c>
      <c r="LT8" s="11" t="str">
        <f>IF(SUM(LH8:LK8)-LL8&gt;0,SUM(LH8:LK8)-LL8,"")</f>
        <v/>
      </c>
      <c r="LU8" s="11" t="str">
        <f>IF(SUM(LS8:LT8)&gt;0,SUM(LS8:LT8),"")</f>
        <v/>
      </c>
      <c r="LV8" s="11" t="str">
        <f>IF(LO8&gt;0,LO8,"")</f>
        <v/>
      </c>
      <c r="LW8" s="11" t="str">
        <f>IF(SUM(LM8:LP8)-LQ8&gt;0,SUM(LM8:LP8)-LQ8,"")</f>
        <v/>
      </c>
      <c r="LX8" s="11" t="str">
        <f>IF(SUM(LU8,LW8)&gt;0,SUM(LU8,LW8),"")</f>
        <v/>
      </c>
      <c r="LY8" s="38"/>
      <c r="LZ8" s="38"/>
      <c r="MA8" s="38"/>
      <c r="MB8" s="38"/>
      <c r="MC8" s="38"/>
      <c r="MD8" s="38"/>
      <c r="ME8" s="38"/>
      <c r="MF8" s="38"/>
      <c r="MG8" s="38"/>
      <c r="MH8" s="38"/>
      <c r="MI8" s="38"/>
      <c r="MJ8" s="38"/>
      <c r="MK8" s="38"/>
      <c r="ML8" s="38"/>
      <c r="MM8" s="38"/>
      <c r="MN8" s="14" t="str">
        <f>IF(MF8&gt;0,MF8,"")</f>
        <v/>
      </c>
      <c r="MO8" s="14" t="str">
        <f>IF(SUM(LY8:MB8)-MC8&gt;0,SUM(LY8:MB8)-MC8,"")</f>
        <v/>
      </c>
      <c r="MP8" s="14" t="str">
        <f>IF(SUM(MD8:MG8)-MH8&gt;0,SUM(MD8:MG8)-MH8,"")</f>
        <v/>
      </c>
      <c r="MQ8" s="14" t="str">
        <f>IF(SUM(MO8:MP8)&gt;0,SUM(MO8:MP8),"")</f>
        <v/>
      </c>
      <c r="MR8" s="14" t="str">
        <f>IF(MK8&gt;0,MK8,"")</f>
        <v/>
      </c>
      <c r="MS8" s="14" t="str">
        <f>IF(SUM(MI8:ML8)-MM8&gt;0,SUM(MI8:ML8)-MM8,"")</f>
        <v/>
      </c>
      <c r="MT8" s="14" t="str">
        <f>IF(SUM(MQ8,MS8)&gt;0,SUM(MQ8,MS8),"")</f>
        <v/>
      </c>
      <c r="MU8" s="69">
        <f>IF($CE8="P",BP8,(BP8+AS8)/2)</f>
        <v>4.4249999999999998</v>
      </c>
      <c r="MV8" s="69">
        <f>IF($CE8="P",BQ8,(BQ8+AT8)/2)</f>
        <v>4.6749999999999998</v>
      </c>
      <c r="MW8" s="69">
        <f>IF($CE8="P",BR8,(BR8+AU8)/2)</f>
        <v>1.6</v>
      </c>
      <c r="MX8" s="69">
        <f>IF($CE8="P",BS8,(BS8+AV8)/2)</f>
        <v>9.56</v>
      </c>
      <c r="MY8" s="69">
        <f>IF($CE8="P",BT8,(BT8+AW8)/2)</f>
        <v>0</v>
      </c>
      <c r="MZ8" s="69">
        <f>IF($CE8="P",BU8,(BU8+AX8)/2)</f>
        <v>3.9</v>
      </c>
      <c r="NA8" s="69">
        <f>IF($CE8="P",BV8,(BV8+AY8)/2)</f>
        <v>4.5250000000000004</v>
      </c>
      <c r="NB8" s="69">
        <f>IF($CE8="P",BW8,(BW8+AZ8)/2)</f>
        <v>5.25</v>
      </c>
      <c r="NC8" s="69">
        <f>IF($CE8="P",BX8,(BX8+BA8)/2)</f>
        <v>8.77</v>
      </c>
      <c r="ND8" s="69">
        <f>IF($CE8="P",BY8,(BY8+BB8)/2)</f>
        <v>0</v>
      </c>
      <c r="NE8" s="69">
        <f>IF($CE8="P",BZ8,(BZ8+BC8)/2)</f>
        <v>0.65</v>
      </c>
      <c r="NF8" s="69">
        <f>IF($CE8="P",CA8,(CA8+BD8)/2)</f>
        <v>0.95</v>
      </c>
      <c r="NG8" s="69">
        <f>IF($CE8="P",CB8,(CB8+BE8)/2)</f>
        <v>1.1499999999999999</v>
      </c>
      <c r="NH8" s="69">
        <f>IF($CE8="P",CC8,(CC8+BF8)/2)</f>
        <v>0.91</v>
      </c>
      <c r="NI8" s="69">
        <f>IF($CE8="P",CD8,(CD8+BG8)/2)</f>
        <v>0</v>
      </c>
      <c r="NJ8" s="80" t="s">
        <v>91</v>
      </c>
      <c r="NK8" s="11">
        <f>IF(NB8&gt;0,NB8,"")</f>
        <v>5.25</v>
      </c>
      <c r="NL8" s="11">
        <f>IF(SUM(MU8:MX8)-MY8&gt;0,SUM(MU8:MX8)-MY8,"")</f>
        <v>20.259999999999998</v>
      </c>
      <c r="NM8" s="11">
        <f>IF(SUM(MZ8:NC8)-ND8&gt;0,SUM(MZ8:NC8)-ND8,"")</f>
        <v>22.445</v>
      </c>
      <c r="NN8" s="11">
        <f>IF(SUM(NL8:NM8)&gt;0,SUM(NL8:NM8),"")</f>
        <v>42.704999999999998</v>
      </c>
      <c r="NO8" s="11">
        <f>IF(NG8&gt;0,NG8,"")</f>
        <v>1.1499999999999999</v>
      </c>
      <c r="NP8" s="11">
        <f>IF(SUM(NE8:NH8)-NI8&gt;0,SUM(NE8:NH8)-NI8,"")</f>
        <v>3.66</v>
      </c>
      <c r="NQ8" s="11">
        <f>IF(SUM(NN8,NP8)&gt;0,SUM(NN8,NP8),"")</f>
        <v>46.364999999999995</v>
      </c>
    </row>
    <row r="9" spans="1:381" x14ac:dyDescent="0.2">
      <c r="A9" s="5" t="str" cm="1">
        <f t="array" ref="A9">IF(AND(G9&lt;&gt;"",H9&lt;&gt;""),SUMPRODUCT((G$4:G$15&lt;&gt;"")*(H$4:H$15&lt;&gt;"")*(E$4:E$15&gt;E9))+1,IF(H9&lt;&gt;"",SUMPRODUCT((I$4:I$15="No DD")*(E$4:E$15&gt;E9))+1+SUMPRODUCT((G$4:G$15&lt;&gt;"")*(H$4:H$15&lt;&gt;"")),""))</f>
        <v/>
      </c>
      <c r="B9" s="127" t="s">
        <v>155</v>
      </c>
      <c r="C9" s="5" t="s">
        <v>10</v>
      </c>
      <c r="D9" s="5" t="s">
        <v>152</v>
      </c>
      <c r="E9" s="15">
        <f>SUM(K9:S9)</f>
        <v>124.94999999999999</v>
      </c>
      <c r="F9" s="3" t="str">
        <f>IF(G9&lt;&gt;"","P","")</f>
        <v/>
      </c>
      <c r="G9" s="125" t="str">
        <f>IF(OR(AND(AL9&gt;=AR$20,AL9&lt;&gt;"",AK9=""),AND(AP9&gt;=AR$20,AP9&lt;&gt;"",AK9=""),AND(BI9&gt;=BO$20,BI9&lt;&gt;"",BH9=""),AND(BM9&gt;=BO$20,BM9&lt;&gt;"",BH9=""),AND(CF9&gt;=CL$20,CF9&lt;&gt;"",CE9=""),AND(CJ9&gt;=CL$20,CJ9&lt;&gt;"",CE9=""),AND(DF9&gt;=DL$20,DF9&lt;&gt;""),AND(DJ9&gt;=DL$20,DJ9&lt;&gt;""),AND(EB9&gt;=EH$20,EB9&lt;&gt;""),AND(EF9&gt;=EH$20,EF9&lt;&gt;""),AND(EX9&gt;=FD$20,EX9&lt;&gt;""),AND(FB9&gt;=FD$20,FB9&lt;&gt;""),AND(FT9&gt;=FZ$20,FT9&lt;&gt;""),AND(FX9&gt;=FZ$20,FX9&lt;&gt;""),AND(GP9&gt;=GV$20,GP9&lt;&gt;""),AND(GT9&gt;=GV$20,GT9&lt;&gt;""),AND(HL9&gt;=HR$20,HL9&lt;&gt;""),AND(HP9&gt;=HR$20,HP9&lt;&gt;""),AND(IH9&gt;=IN$20,IH9&lt;&gt;""),AND(IL9&gt;=IN$20,IL9&lt;&gt;""),AND(JD9&gt;=JJ$20,JD9&lt;&gt;""),AND(JH9&gt;=JJ$20,JH9&lt;&gt;""),AND(JZ9&gt;=KF$20,JZ9&lt;&gt;""),AND(KD9&gt;=KF$20,KD9&lt;&gt;""),AND(KV9&gt;=LB$20,KV9&lt;&gt;""),AND(KZ9&gt;=LB$20,KZ9&lt;&gt;""),AND(LR9&gt;=LX$20,LR9&lt;&gt;""),AND(LV9&gt;=LX$20,LV9&lt;&gt;""),AND(MN9&gt;=MT$20,MN9&lt;&gt;""),AND(MR9&gt;=MT$20,MR9&lt;&gt;"")),"Merit",IF(OR(AND(AL9&gt;=AR$19,AL9&lt;&gt;"",AK9=""),AND(AP9&gt;=AR$19,AP9&lt;&gt;"",AK9=""),AND(BI9&gt;=BO$19,BI9&lt;&gt;"",BH9=""),AND(BM9&gt;=BO$19,BM9&lt;&gt;"",BH9=""),AND(CF9&gt;=CL$19,CF9&lt;&gt;"",CE9=""),AND(CJ9&gt;=CL$19,CJ9&lt;&gt;"",CE9=""),AND(DF9&gt;=DL$19,DF9&lt;&gt;""),AND(DJ9&gt;=DL$19,DJ9&lt;&gt;""),AND(EB9&gt;=EH$19,EB9&lt;&gt;""),AND(EF9&gt;=EH$19,EF9&lt;&gt;""),AND(EX9&gt;=FD$19,EX9&lt;&gt;""),AND(FB9&gt;=FD$19,FB9&lt;&gt;""),AND(FT9&gt;=FZ$19,FT9&lt;&gt;""),AND(FX9&gt;=FZ$19,FX9&lt;&gt;""),AND(GP9&gt;=GV$19,GP9&lt;&gt;""),AND(GT9&gt;=GV$19,GT9&lt;&gt;""),AND(HL9&gt;=HR$19,HL9&lt;&gt;""),AND(HP9&gt;=HR$19,HP9&lt;&gt;""),AND(IH9&gt;=IN$19,IH9&lt;&gt;""),AND(IL9&gt;=IN$19,IL9&lt;&gt;""),AND(JD9&gt;=JJ$19,JD9&lt;&gt;""),AND(JH9&gt;=JJ$19,JH9&lt;&gt;""),AND(JZ9&gt;=KF$19,JZ9&lt;&gt;""),AND(KD9&gt;=KF$19,KD9&lt;&gt;""),AND(KV9&gt;=LB$19,KV9&lt;&gt;""),AND(KZ9&gt;=LB$19,KZ9&lt;&gt;""),AND(LR9&gt;=LX$19,LR9&lt;&gt;""),AND(LV9&gt;=LX$19,LV9&lt;&gt;""),AND(MN9&gt;=MT$19,MN9&lt;&gt;""),AND(MR9&gt;=MT$19,MR9&lt;&gt;"")),"Excellence",IF(OR(AND(AL9&gt;=AR$18,AL9&lt;&gt;"",AK9=""),AND(AP9&gt;=AR$18,AP9&lt;&gt;"",AK9=""),AND(BI9&gt;=BO$18,BI9&lt;&gt;"",BH9=""),AND(BM9&gt;=BO$18,BM9&lt;&gt;"",BH9=""),AND(CF9&gt;=CL$18,CF9&lt;&gt;"",CE9=""),AND(CJ9&gt;=CL$18,CJ9&lt;&gt;"",CE9=""),AND(DF9&gt;=DL$18,DF9&lt;&gt;""),AND(DJ9&gt;=DL$18,DJ9&lt;&gt;""),AND(EB9&gt;=EH$18,EB9&lt;&gt;""),AND(EF9&gt;=EH$18,EF9&lt;&gt;""),AND(EX9&gt;=FD$18,EX9&lt;&gt;""),AND(FB9&gt;=FD$18,FB9&lt;&gt;""),AND(FT9&gt;=FZ$18,FT9&lt;&gt;""),AND(FX9&gt;=FZ$18,FX9&lt;&gt;""),AND(GP9&gt;=GV$18,GP9&lt;&gt;""),AND(GT9&gt;=GV$18,GT9&lt;&gt;""),AND(HL9&gt;=HR$18,HL9&lt;&gt;""),AND(HP9&gt;=HR$18,HP9&lt;&gt;""),AND(IH9&gt;=IN$18,IH9&lt;&gt;""),AND(IL9&gt;=IN$18,IL9&lt;&gt;""),AND(JD9&gt;=JJ$18,JD9&lt;&gt;""),AND(JH9&gt;=JJ$18,JH9&lt;&gt;""),AND(JZ9&gt;=KF$18,JZ9&lt;&gt;""),AND(KD9&gt;=KF$18,KD9&lt;&gt;""),AND(KV9&gt;=LB$18,KV9&lt;&gt;""),AND(KZ9&gt;=LB$18,KZ9&lt;&gt;""),AND(LR9&gt;=LX$18,LR9&lt;&gt;""),AND(LV9&gt;=LX$18,LV9&lt;&gt;""),AND(MN9&gt;=MT$18,MN9&lt;&gt;""),AND(MR9&gt;=MT$18,MR9&lt;&gt;"")),"Worlds Team",IF(OR(AND(AL9&gt;=AR$17,AL9&lt;&gt;"",AK9=""),AND(AP9&gt;=AR$17,AP9&lt;&gt;"",AK9=""),AND(BI9&gt;=BO$17,BI9&lt;&gt;"",BH9=""),AND(BM9&gt;=BO$17,BM9&lt;&gt;"",BH9=""),AND(CF9&gt;=CL$17,CF9&lt;&gt;"",CE9=""),AND(CJ9&gt;=CL$17,CJ9&lt;&gt;"",CE9=""),AND(DF9&gt;=DL$17,DF9&lt;&gt;""),AND(DJ9&gt;=DL$17,DJ9&lt;&gt;""),AND(EB9&gt;=EH$17,EB9&lt;&gt;""),AND(EF9&gt;=EH$17,EF9&lt;&gt;""),AND(EX9&gt;=FD$17,EX9&lt;&gt;""),AND(FB9&gt;=FD$17,FB9&lt;&gt;""),AND(FT9&gt;=FZ$17,FT9&lt;&gt;""),AND(FX9&gt;=FZ$17,FX9&lt;&gt;""),AND(GP9&gt;=GV$17,GP9&lt;&gt;""),AND(GT9&gt;=GV$17,GT9&lt;&gt;""),AND(HL9&gt;=HR$17,HL9&lt;&gt;""),AND(HP9&gt;=HR$17,HP9&lt;&gt;""),AND(IH9&gt;=IN$17,IH9&lt;&gt;""),AND(IL9&gt;=IN$17,IL9&lt;&gt;""),AND(JD9&gt;=JJ$17,JD9&lt;&gt;""),AND(JH9&gt;=JJ$17,JH9&lt;&gt;""),AND(JZ9&gt;=KF$17,JZ9&lt;&gt;""),AND(KD9&gt;=KF$17,KD9&lt;&gt;""),AND(KV9&gt;=LB$17,KV9&lt;&gt;""),AND(KZ9&gt;=LB$17,KZ9&lt;&gt;""),AND(LR9&gt;=LX$17,LR9&lt;&gt;""),AND(LV9&gt;=LX$17,LV9&lt;&gt;""),AND(MN9&gt;=MT$17,MN9&lt;&gt;""),AND(MR9&gt;=MT$17,MR9&lt;&gt;"")),"National Team",""))))</f>
        <v/>
      </c>
      <c r="H9" s="125" t="str">
        <f>IF(OR(AND(AN9&gt;=AR$24,AN9&lt;&gt;"",AK9=""),AND(AQ9&gt;=AR$24,AQ9&lt;&gt;"",AK9=""),AND(BK9&gt;=BO$24,BK9&lt;&gt;"",BH9=""),AND(BN9&gt;=BO$24,BN9&lt;&gt;"",BH9=""),AND(CH9&gt;=CL$24,CH9&lt;&gt;"",CE9=""),AND(CK9&gt;=CL$24,CE9&lt;&gt;"",CE9=""),AND(DH9&gt;=DL$24,DH9&lt;&gt;""),AND(DK9&gt;=DL$24,DK9&lt;&gt;""),AND(ED9&gt;=EH$24,ED9&lt;&gt;""),AND(EG9&gt;=EH$24,EG9&lt;&gt;""),AND(EZ9&gt;=FD$24,EZ9&lt;&gt;""),AND(FC9&gt;=FD$24,FC9&lt;&gt;""),AND(FV9&gt;=FZ$24,FV9&lt;&gt;""),AND(FY9&gt;=FZ$24,FY9&lt;&gt;""),AND(GR9&gt;=GV$24,GR9&lt;&gt;""),AND(GU9&gt;=GV$24,GU9&lt;&gt;""),AND(HN9&gt;=HR$24,HN9&lt;&gt;""),AND(HQ9&gt;=HR$24,HQ9&lt;&gt;""),AND(IJ9&gt;=IN$24,IJ9&lt;&gt;""),AND(IM9&gt;=IN$24,IM9&lt;&gt;""),AND(JF9&gt;=JJ$24,JF9&lt;&gt;""),AND(JI9&gt;=JJ$24,JI9&lt;&gt;""),AND(KB9&gt;=KF$24,KB9&lt;&gt;""),AND(KE9&gt;=KF$24,KE9&lt;&gt;""),AND(KX9&gt;=LB$24,KX9&lt;&gt;""),AND(LA9&gt;=LB$24,LA9&lt;&gt;""),AND(LT9&gt;=LX$24,LT9&lt;&gt;""),AND(LW9&gt;=LX$24,LW9&lt;&gt;""),AND(MP9&gt;=MT$24,MP9&lt;&gt;""),AND(MS9&gt;=MT$24,MS9&lt;&gt;"")),"Merit",IF(OR(AND(AN9&gt;=AR$23,AN9&lt;&gt;"",AK9=""),AND(AQ9&gt;=AR$23,AQ9&lt;&gt;"",AK9=""),AND(BK9&gt;=BO$23,BK9&lt;&gt;"",BH9=""),AND(BN9&gt;=BO$23,BN9&lt;&gt;"",BH9=""),AND(CH9&gt;=CL$23,CH9&lt;&gt;"",CE9=""),AND(CK9&gt;=CL$23,CE9&lt;&gt;"",CE9=""),AND(DH9&gt;=DL$23,DH9&lt;&gt;""),AND(DK9&gt;=DL$23,DK9&lt;&gt;""),AND(ED9&gt;=EH$23,ED9&lt;&gt;""),AND(EG9&gt;=EH$23,EG9&lt;&gt;""),AND(EZ9&gt;=FD$23,EZ9&lt;&gt;""),AND(FC9&gt;=FD$23,FC9&lt;&gt;""),AND(FV9&gt;=FZ$23,FV9&lt;&gt;""),AND(FY9&gt;=FZ$23,FY9&lt;&gt;""),AND(GR9&gt;=GV$23,GR9&lt;&gt;""),AND(GU9&gt;=GV$23,GU9&lt;&gt;""),AND(HN9&gt;=HR$23,HN9&lt;&gt;""),AND(HQ9&gt;=HR$23,HQ9&lt;&gt;""),AND(IJ9&gt;=IN$23,IJ9&lt;&gt;""),AND(IM9&gt;=IN$23,IM9&lt;&gt;""),AND(JF9&gt;=JJ$23,JF9&lt;&gt;""),AND(JI9&gt;=JJ$23,JI9&lt;&gt;""),AND(KB9&gt;=KF$23,KB9&lt;&gt;""),AND(KE9&gt;=KF$23,KE9&lt;&gt;""),AND(KX9&gt;=LB$23,KX9&lt;&gt;""),AND(LA9&gt;=LB$23,LA9&lt;&gt;""),AND(LT9&gt;=LX$23,LT9&lt;&gt;""),AND(LW9&gt;=LX$23,LW9&lt;&gt;""),AND(MP9&gt;=MT$23,MP9&lt;&gt;""),AND(MS9&gt;=MT$23,MS9&lt;&gt;"")),"Excellence",IF(OR(AND(AO9&gt;=AR$22,AO9&lt;&gt;"",AK9=""),AND(BL9&gt;=BO$22,BL9&lt;&gt;"",BH9=""),AND(CI9&gt;=CL$22,CI9&lt;&gt;"",CE9=""),AND(DI9&gt;=DL$22,DI9&lt;&gt;""),AND(EE9&gt;=EH$22,EE9&lt;&gt;""),AND(FA9&gt;=FD$22,FA9&lt;&gt;""),AND(FW9&gt;=FZ$22,FW9&lt;&gt;""),AND(GS9&gt;=GV$22,GS9&lt;&gt;""),AND(HO9&gt;=HR$22,HO9&lt;&gt;""),AND(IK9&gt;=IN$22,IK9&lt;&gt;""),AND(JG9&gt;=JJ$22,JG9&lt;&gt;""),AND(KC9&gt;=KF$22,KC9&lt;&gt;""),AND(KY9&gt;=LB$22,KY9&lt;&gt;""),AND(LU9&gt;=LX$22,LU9&lt;&gt;""),AND(MQ9&gt;=MT$22,MQ9&lt;&gt;"")),"Worlds Team",IF(OR(AND(AO9&gt;=AR$21,AO9&lt;&gt;"",AK9=""),AND(BL9&gt;=BO$21,BL9&lt;&gt;"",BH9=""),AND(CI9&gt;=CL$21,CI9&lt;&gt;"",CE9=""),AND(DI9&gt;=DL$21,DI9&lt;&gt;""),AND(EE9&gt;=EH$21,EE9&lt;&gt;""),AND(FA9&gt;=FD$21,FA9&lt;&gt;""),AND(FW9&gt;=FZ$21,FW9&lt;&gt;""),AND(GS9&gt;=GV$21,GS9&lt;&gt;""),AND(HO9&gt;=HR$21,HO9&lt;&gt;""),AND(IK9&gt;=IN$21,IK9&lt;&gt;""),AND(JG9&gt;=JJ$21,JG9&lt;&gt;""),AND(KC9&gt;=KF$21,KC9&lt;&gt;""),AND(KY9&gt;=LB$21,KY9&lt;&gt;""),AND(LU9&gt;=LX$21,LU9&lt;&gt;""),AND(MQ9&gt;=MT$21,MQ9&lt;&gt;"")),"National Team",""))))</f>
        <v/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/>
      </c>
      <c r="J9" s="3" t="str">
        <f>IF(AND(OR(AND(AO9&gt;=AR$22,AO9&lt;&gt;"",AK9=""),AND(BL9&gt;=BO$22,BL9&lt;&gt;"",BH9=""),AND(CI9&gt;=CL$22,CI9&lt;&gt;"",CE9=""),AND(DI9&gt;=DL$22,DI9&lt;&gt;""),AND(EE9&gt;=EH$22,EE9&lt;&gt;""),AND(FA9&gt;=FD$22,FA9&lt;&gt;""),AND(FW9&gt;=FZ$22,FW9&lt;&gt;""),AND(GS9&gt;=GV$22,GS9&lt;&gt;""),AND(HO9&gt;=HR$22,HO9&lt;&gt;""),AND(IK9&gt;=IN$22,IK9&lt;&gt;""),AND(JG9&gt;=JJ$22,JG9&lt;&gt;""),AND(KC9&gt;=KF$22,KC9&lt;&gt;""),AND(KY9&gt;=LB$22,KY9&lt;&gt;""),AND(LU9&gt;=LX$22,LU9&lt;&gt;""),AND(MQ9&gt;=MT$22,MQ9&lt;&gt;"")),OR(G9="Worlds Team",G9="Excellence",G9="Merit")),"P","")</f>
        <v/>
      </c>
      <c r="K9" s="14">
        <f>MAX(AO9,BL9,CI9)</f>
        <v>81.919999999999987</v>
      </c>
      <c r="L9" s="14" t="str">
        <f>IF(K9=0,"",IF(K9=CI9,$BP$1,IF(K9=BL9,$AS$1,IF(K9=AO9,$V$1,""))))</f>
        <v>2019 Nationals</v>
      </c>
      <c r="M9" s="14">
        <f>IF($K9=$AO9,MAX(BJ9,CG9),IF($K9=$BL9,MAX(AM9,CG9),IF($K9=$CI9,MAX(AM9,BJ9),MAX(AM9,BJ9,CG9))))</f>
        <v>0</v>
      </c>
      <c r="N9" s="14" t="str">
        <f>IF(M9=0,"",IF(AND(M9=CG9,$L9&lt;&gt;$BP$1),$BP$1,IF(AND(M9=BJ9,$L9&lt;&gt;$AS$1),$AS$1,IF(AND(M9=AM9,$L9&lt;&gt;$V$1),$V$1,""))))</f>
        <v/>
      </c>
      <c r="O9" s="14">
        <f>IF($K9=$AO9,MAX(CH9,BK9),IF($K9=$BL9,MAX(AN9,CH9),IF($K9=$CI9,MAX(AN9,BK9),MAX(AN9,BK9,CH9))))</f>
        <v>0</v>
      </c>
      <c r="P9" s="14" t="str">
        <f>IF(O9=0,"",IF(AND(O9=CH9,$L9&lt;&gt;$BP$1),$BP$1,IF(AND(O9=BK9,$L9&lt;&gt;$AS$1),$AS$1,IF(AND(O9=AN9,$L9&lt;&gt;$V$1),$V$1,""))))</f>
        <v/>
      </c>
      <c r="Q9" s="14">
        <f>MAX(AQ9,BN9,CK9)</f>
        <v>43.03</v>
      </c>
      <c r="R9" s="14" t="str">
        <f>IF(Q9=0,"",IF(Q9=CK9,$BP$1,IF(Q9=BN9,$AS$1,IF(Q9=AQ9,$V$1,""))))</f>
        <v>2019 Nationals</v>
      </c>
      <c r="S9" s="14" t="str">
        <f>IF(MAX(CM9,CN9,CO9,CP9)&gt;0,MAX(CM9,CN9,CO9,CP9),"")</f>
        <v/>
      </c>
      <c r="T9" s="25" t="str">
        <f>IF(S9="","",IF(S9=CM9,"(Vol 1)",IF(S9=CN9,"(Vol 2)",IF(S9=CO9,"(Prelim)",IF(S9=CP9,"(Final)")))))</f>
        <v/>
      </c>
      <c r="U9" s="14" t="str">
        <f>IF(S9="","",IF(S9=CM9,IF(S9+IF(M9="",0,M9)=MO9,$LY$1,IF(S9+IF(M9="",0,M9)=LS9,$LC$1,IF(S9+IF(M9="",0,M9)=KW9,$KG$1,IF(S9+IF(M9="",0,M9)=KA9,$JK$1,IF(S9+IF(M9="",0,M9)=JE9,$IO$1,IF(S9+IF(M9="",0,M9)=II9,$HS$1,IF(S9+IF(M9="",0,M9)=HM9,$GW$1,IF(S9+IF(M9="",0,M9)=GQ9,$GA$1,IF(S9+IF(M9="",0,M9)=FU9,$FE$1,IF(S9+IF(M9="",0,M9)=EY9,$EI$1,IF(S9+IF(M9="",0,M9)=EC9,$DM$1,IF(S9+IF(M9="",0,M9)=DG9,$CQ$1)))))))))))),IF(S9=CN9,IF(S9+IF(O9="",0,O9)=MP9,$LY$1,IF(S9+IF(O9="",0,O9)=LT9,$LC$1,IF(S9+IF(O9="",0,O9)=KX9,$KG$1,IF(S9+IF(O9="",0,O9)=KB9,$JK$1,IF(S9+IF(O9="",0,O9)=JF9,$IO$1,IF(S9+IF(O9="",0,O9)=IJ9,$HS$1,IF(S9+IF(O9="",0,O9)=HN9,$GW$1,IF(S9+IF(O9="",0,O9)=GR9,$GA$1,IF(S9+IF(O9="",0,O9)=FV9,$FE$1,IF(S9+IF(O9="",0,O9)=EZ9,$EI$1,IF(S9+IF(O9="",0,O9)=ED9,$DM$1,IF(S9+IF(O9="",0,O9)=DH9,$CQ$1)))))))))))),IF(S9=CO9,IF(S9+IF(K9="",0,K9)=MQ9,$LY$1,IF(S9+IF(K9="",0,K9)=LU9,$LC$1,IF(S9+IF(K9="",0,K9)=KY9,$KG$1,IF(S9+IF(K9="",0,K9)=KC9,$JK$1,IF(S9+IF(K9="",0,K9)=JG9,$IO$1,IF(S9+IF(K9="",0,K9)=IK9,$HS$1,IF(S9+IF(K9="",0,K9)=HO9,$GW$1,IF(S9+IF(K9="",0,K9)=GS9,$GA$1,IF(S9+IF(K9="",0,K9)=FW9,$FE$1,IF(S9+IF(K9="",0,K9)=FA9,$EI$1,IF(S9+IF(K9="",0,K9)=EE9,$DM$1,IF(S9+IF(K9="",0,K9)=DI9,$CQ$1)))))))))))),IF(S9=CP9,IF(S9+IF(Q9="",0,Q9)=MS9,$LY$1,IF(S9+IF(Q9="",0,Q9)=LW9,$LC$1,IF(S9+IF(Q9="",0,Q9)=LA9,$KG$1,IF(S9+IF(Q9="",0,Q9)=KE9,$JK$1,IF(S9+IF(Q9="",0,Q9)=JI9,$IO$1,IF(S9+IF(Q9="",0,Q9)=IM9,$HS$1,IF(S9+IF(Q9="",0,Q9)=HQ9,$GW$1,IF(S9+IF(Q9="",0,Q9)=GU9,$GA$1,IF(S9+IF(Q9="",0,Q9)=FY9,$FE$1,IF(S9+IF(Q9="",0,Q9)=FC9,$EI$1,IF(S9+IF(Q9="",0,Q9)=EG9,$DM$1,IF(S9+IF(Q9="",0,Q9)=DK9,$CQ$1)))))))))))))))))</f>
        <v/>
      </c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80"/>
      <c r="AL9" s="11" t="str">
        <f>IF(AC9&gt;0,AC9,"")</f>
        <v/>
      </c>
      <c r="AM9" s="11" t="str">
        <f>IF(SUM(V9:Y9)-Z9&gt;0,SUM(V9:Y9)-Z9,"")</f>
        <v/>
      </c>
      <c r="AN9" s="11" t="str">
        <f>IF(SUM(AA9:AD9)-AE9&gt;0,SUM(AA9:AD9)-AE9,"")</f>
        <v/>
      </c>
      <c r="AO9" s="11" t="str">
        <f>IF(SUM(AM9:AN9)&gt;0,SUM(AM9:AN9),"")</f>
        <v/>
      </c>
      <c r="AP9" s="11" t="str">
        <f>IF(AH9&gt;0,AH9,"")</f>
        <v/>
      </c>
      <c r="AQ9" s="11" t="str">
        <f>IF(SUM(AF9:AI9)-AJ9&gt;0,SUM(AF9:AI9)-AJ9,"")</f>
        <v/>
      </c>
      <c r="AR9" s="11" t="str">
        <f>IF(SUM(AO9,AQ9)&gt;0,SUM(AO9,AQ9),"")</f>
        <v/>
      </c>
      <c r="AS9" s="40">
        <v>8.75</v>
      </c>
      <c r="AT9" s="40">
        <v>9.3000000000000007</v>
      </c>
      <c r="AU9" s="40">
        <v>2.9</v>
      </c>
      <c r="AV9" s="40">
        <v>16.62</v>
      </c>
      <c r="AW9" s="40">
        <v>0</v>
      </c>
      <c r="AX9" s="40">
        <v>8.1</v>
      </c>
      <c r="AY9" s="40">
        <v>9.0500000000000007</v>
      </c>
      <c r="AZ9" s="40">
        <v>9.1999999999999993</v>
      </c>
      <c r="BA9" s="40">
        <v>18</v>
      </c>
      <c r="BB9" s="40">
        <v>0</v>
      </c>
      <c r="BC9" s="40">
        <v>7.4</v>
      </c>
      <c r="BD9" s="40">
        <v>9.15</v>
      </c>
      <c r="BE9" s="40">
        <v>9.1999999999999993</v>
      </c>
      <c r="BF9" s="40">
        <v>17.28</v>
      </c>
      <c r="BG9" s="40">
        <v>0</v>
      </c>
      <c r="BH9" s="81"/>
      <c r="BI9" s="14">
        <f>IF(AZ9&gt;0,AZ9,"")</f>
        <v>9.1999999999999993</v>
      </c>
      <c r="BJ9" s="14">
        <f>IF(SUM(AS9:AV9)-AW9&gt;0,SUM(AS9:AV9)-AW9,"")</f>
        <v>37.57</v>
      </c>
      <c r="BK9" s="14">
        <f>IF(SUM(AX9:BA9)-BB9&gt;0,SUM(AX9:BA9)-BB9,"")</f>
        <v>44.349999999999994</v>
      </c>
      <c r="BL9" s="14">
        <f>IF(SUM(BJ9:BK9)&gt;0,SUM(BJ9:BK9),"")</f>
        <v>81.919999999999987</v>
      </c>
      <c r="BM9" s="14">
        <f>IF(BE9&gt;0,BE9,"")</f>
        <v>9.1999999999999993</v>
      </c>
      <c r="BN9" s="14">
        <f>IF(SUM(BC9:BF9)-BG9&gt;0,SUM(BC9:BF9)-BG9,"")</f>
        <v>43.03</v>
      </c>
      <c r="BO9" s="14">
        <f>IF(SUM(BL9,BN9)&gt;0,SUM(BL9,BN9),"")</f>
        <v>124.94999999999999</v>
      </c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80"/>
      <c r="CF9" s="11" t="str">
        <f>IF(BW9&gt;0,BW9,"")</f>
        <v/>
      </c>
      <c r="CG9" s="11" t="str">
        <f>IF(SUM(BP9:BS9)-BT9&gt;0,SUM(BP9:BS9)-BT9,"")</f>
        <v/>
      </c>
      <c r="CH9" s="11" t="str">
        <f>IF(SUM(BU9:BX9)-BY9&gt;0,SUM(BU9:BX9)-BY9,"")</f>
        <v/>
      </c>
      <c r="CI9" s="11" t="str">
        <f>IF(SUM(CG9:CH9)&gt;0,SUM(CG9:CH9),"")</f>
        <v/>
      </c>
      <c r="CJ9" s="11" t="str">
        <f>IF(CB9&gt;0,CB9,"")</f>
        <v/>
      </c>
      <c r="CK9" s="11" t="str">
        <f>IF(SUM(BZ9:CC9)-CD9&gt;0,SUM(BZ9:CC9)-CD9,"")</f>
        <v/>
      </c>
      <c r="CL9" s="11" t="str">
        <f>IF(SUM(CI9,CK9)&gt;0,SUM(CI9,CK9),"")</f>
        <v/>
      </c>
      <c r="CM9" s="24" t="str">
        <f>IF(MAX(DG9,EC9,EY9,FU9,GQ9,HM9,II9,JE9,KA9,KW9,LS9,MO9)-IF(M9="",0,M9)&gt;0.001,MAX(DG9,EC9,EY9,FU9,GQ9,HM9,II9,JE9,KA9,KW9,LS9,MO9)-IF(M9="",0,M9),"")</f>
        <v/>
      </c>
      <c r="CN9" s="24" t="str">
        <f>IF(MAX(DH9,ED9,EZ9,FV9,GR9,HN9,IJ9,JF9,KB9,KX9,LT9,MP9)-IF(O9="",0,O9)&gt;0.001,MAX(DH9,ED9,EZ9,FV9,GR9,HN9,IJ9,JF9,KB9,KX9,LT9,MP9)-IF(O9="",0,O9),"")</f>
        <v/>
      </c>
      <c r="CO9" s="24" t="str">
        <f>IF(MAX(DI9,EE9,FA9,FW9,GS9,HO9,IK9,JG9,KC9,KY9,LU9,MQ9)-IF(K9="",0,K9)&gt;0.001,MAX(DI9,EE9,FA9,FW9,GS9,HO9,IK9,JG9,KC9,KY9,LU9,MQ9)-IF(K9="",0,K9),"")</f>
        <v/>
      </c>
      <c r="CP9" s="24" t="str">
        <f>IF(MAX(DK9,EG9,FC9,FY9,GU9,HQ9,IM9,JI9,KE9,LA9,LW9,MS9)-IF(Q9="",0,Q9)&gt;0.001,MAX(DK9,EG9,FC9,FY9,GU9,HQ9,IM9,JI9,KE9,LA9,LW9,MS9)-IF(Q9="",0,Q9),"")</f>
        <v/>
      </c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11" t="str">
        <f>IF(CX9&gt;0,CX9,"")</f>
        <v/>
      </c>
      <c r="DG9" s="11" t="str">
        <f>IF(SUM(CQ9:CT9)-CU9&gt;0,SUM(CQ9:CT9)-CU9,"")</f>
        <v/>
      </c>
      <c r="DH9" s="11" t="str">
        <f>IF(SUM(CV9:CY9)-CZ9&gt;0,SUM(CV9:CY9)-CZ9,"")</f>
        <v/>
      </c>
      <c r="DI9" s="11" t="str">
        <f>IF(SUM(DG9:DH9)&gt;0,SUM(DG9:DH9),"")</f>
        <v/>
      </c>
      <c r="DJ9" s="11" t="str">
        <f>IF(DC9&gt;0,DC9,"")</f>
        <v/>
      </c>
      <c r="DK9" s="11" t="str">
        <f>IF(SUM(DA9:DD9)-DE9&gt;0,SUM(DA9:DD9)-DE9,"")</f>
        <v/>
      </c>
      <c r="DL9" s="11" t="str">
        <f>IF(SUM(DI9,DK9)&gt;0,SUM(DI9,DK9),"")</f>
        <v/>
      </c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14" t="str">
        <f>IF(DT9&gt;0,DT9,"")</f>
        <v/>
      </c>
      <c r="EC9" s="14" t="str">
        <f>IF(SUM(DM9:DP9)-DQ9&gt;0,SUM(DM9:DP9)-DQ9,"")</f>
        <v/>
      </c>
      <c r="ED9" s="14" t="str">
        <f>IF(SUM(DR9:DU9)-DV9&gt;0,SUM(DR9:DU9)-DV9,"")</f>
        <v/>
      </c>
      <c r="EE9" s="14" t="str">
        <f>IF(SUM(EC9:ED9)&gt;0,SUM(EC9:ED9),"")</f>
        <v/>
      </c>
      <c r="EF9" s="14" t="str">
        <f>IF(DY9&gt;0,DY9,"")</f>
        <v/>
      </c>
      <c r="EG9" s="14" t="str">
        <f>IF(SUM(DW9:DZ9)-EA9&gt;0,SUM(DW9:DZ9)-EA9,"")</f>
        <v/>
      </c>
      <c r="EH9" s="14" t="str">
        <f>IF(SUM(EE9,EG9)&gt;0,SUM(EE9,EG9),"")</f>
        <v/>
      </c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11" t="str">
        <f>IF(EP9&gt;0,EP9,"")</f>
        <v/>
      </c>
      <c r="EY9" s="11" t="str">
        <f>IF(SUM(EI9:EL9)-EM9&gt;0,SUM(EI9:EL9)-EM9,"")</f>
        <v/>
      </c>
      <c r="EZ9" s="11" t="str">
        <f>IF(SUM(EN9:EQ9)-ER9&gt;0,SUM(EN9:EQ9)-ER9,"")</f>
        <v/>
      </c>
      <c r="FA9" s="11" t="str">
        <f>IF(SUM(EY9:EZ9)&gt;0,SUM(EY9:EZ9),"")</f>
        <v/>
      </c>
      <c r="FB9" s="11" t="str">
        <f>IF(EU9&gt;0,EU9,"")</f>
        <v/>
      </c>
      <c r="FC9" s="11" t="str">
        <f>IF(SUM(ES9:EV9)-EW9&gt;0,SUM(ES9:EV9)-EW9,"")</f>
        <v/>
      </c>
      <c r="FD9" s="11" t="str">
        <f>IF(SUM(FA9,FC9)&gt;0,SUM(FA9,FC9),"")</f>
        <v/>
      </c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14" t="str">
        <f>IF(FL9&gt;0,FL9,"")</f>
        <v/>
      </c>
      <c r="FU9" s="14" t="str">
        <f>IF(SUM(FE9:FH9)-FI9&gt;0,SUM(FE9:FH9)-FI9,"")</f>
        <v/>
      </c>
      <c r="FV9" s="14" t="str">
        <f>IF(SUM(FJ9:FM9)-FN9&gt;0,SUM(FJ9:FM9)-FN9,"")</f>
        <v/>
      </c>
      <c r="FW9" s="14" t="str">
        <f>IF(SUM(FU9:FV9)&gt;0,SUM(FU9:FV9),"")</f>
        <v/>
      </c>
      <c r="FX9" s="14" t="str">
        <f>IF(FQ9&gt;0,FQ9,"")</f>
        <v/>
      </c>
      <c r="FY9" s="14" t="str">
        <f>IF(SUM(FO9:FR9)-FS9&gt;0,SUM(FO9:FR9)-FS9,"")</f>
        <v/>
      </c>
      <c r="FZ9" s="14" t="str">
        <f>IF(SUM(FW9,FY9)&gt;0,SUM(FW9,FY9),"")</f>
        <v/>
      </c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11" t="str">
        <f>IF(GH9&gt;0,GH9,"")</f>
        <v/>
      </c>
      <c r="GQ9" s="11" t="str">
        <f>IF(SUM(GA9:GD9)-GE9&gt;0,SUM(GA9:GD9)-GE9,"")</f>
        <v/>
      </c>
      <c r="GR9" s="11" t="str">
        <f>IF(SUM(GF9:GI9)-GJ9&gt;0,SUM(GF9:GI9)-GJ9,"")</f>
        <v/>
      </c>
      <c r="GS9" s="11" t="str">
        <f>IF(SUM(GQ9:GR9)&gt;0,SUM(GQ9:GR9),"")</f>
        <v/>
      </c>
      <c r="GT9" s="11" t="str">
        <f>IF(GM9&gt;0,GM9,"")</f>
        <v/>
      </c>
      <c r="GU9" s="11" t="str">
        <f>IF(SUM(GK9:GN9)-GO9&gt;0,SUM(GK9:GN9)-GO9,"")</f>
        <v/>
      </c>
      <c r="GV9" s="11" t="str">
        <f>IF(SUM(GS9,GU9)&gt;0,SUM(GS9,GU9),"")</f>
        <v/>
      </c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14" t="str">
        <f>IF(HD9&gt;0,HD9,"")</f>
        <v/>
      </c>
      <c r="HM9" s="14" t="str">
        <f>IF(SUM(GW9:GZ9)-HA9&gt;0,SUM(GW9:GZ9)-HA9,"")</f>
        <v/>
      </c>
      <c r="HN9" s="14" t="str">
        <f>IF(SUM(HB9:HE9)-HF9&gt;0,SUM(HB9:HE9)-HF9,"")</f>
        <v/>
      </c>
      <c r="HO9" s="14" t="str">
        <f>IF(SUM(HM9:HN9)&gt;0,SUM(HM9:HN9),"")</f>
        <v/>
      </c>
      <c r="HP9" s="14" t="str">
        <f>IF(HI9&gt;0,HI9,"")</f>
        <v/>
      </c>
      <c r="HQ9" s="14" t="str">
        <f>IF(SUM(HG9:HJ9)-HK9&gt;0,SUM(HG9:HJ9)-HK9,"")</f>
        <v/>
      </c>
      <c r="HR9" s="14" t="str">
        <f>IF(SUM(HO9,HQ9)&gt;0,SUM(HO9,HQ9),"")</f>
        <v/>
      </c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11" t="str">
        <f>IF(HZ9&gt;0,HZ9,"")</f>
        <v/>
      </c>
      <c r="II9" s="11" t="str">
        <f>IF(SUM(HS9:HV9)-HW9&gt;0,SUM(HS9:HV9)-HW9,"")</f>
        <v/>
      </c>
      <c r="IJ9" s="11" t="str">
        <f>IF(SUM(HX9:IA9)-IB9&gt;0,SUM(HX9:IA9)-IB9,"")</f>
        <v/>
      </c>
      <c r="IK9" s="11" t="str">
        <f>IF(SUM(II9:IJ9)&gt;0,SUM(II9:IJ9),"")</f>
        <v/>
      </c>
      <c r="IL9" s="11" t="str">
        <f>IF(IE9&gt;0,IE9,"")</f>
        <v/>
      </c>
      <c r="IM9" s="11" t="str">
        <f>IF(SUM(IC9:IF9)-IG9&gt;0,SUM(IC9:IF9)-IG9,"")</f>
        <v/>
      </c>
      <c r="IN9" s="11" t="str">
        <f>IF(SUM(IK9,IM9)&gt;0,SUM(IK9,IM9),"")</f>
        <v/>
      </c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14" t="str">
        <f>IF(IV9&gt;0,IV9,"")</f>
        <v/>
      </c>
      <c r="JE9" s="14" t="str">
        <f>IF(SUM(IO9:IR9)-IS9&gt;0,SUM(IO9:IR9)-IS9,"")</f>
        <v/>
      </c>
      <c r="JF9" s="14" t="str">
        <f>IF(SUM(IT9:IW9)-IX9&gt;0,SUM(IT9:IW9)-IX9,"")</f>
        <v/>
      </c>
      <c r="JG9" s="14" t="str">
        <f>IF(SUM(JE9:JF9)&gt;0,SUM(JE9:JF9),"")</f>
        <v/>
      </c>
      <c r="JH9" s="14" t="str">
        <f>IF(JA9&gt;0,JA9,"")</f>
        <v/>
      </c>
      <c r="JI9" s="14" t="str">
        <f>IF(SUM(IY9:JB9)-JC9&gt;0,SUM(IY9:JB9)-JC9,"")</f>
        <v/>
      </c>
      <c r="JJ9" s="14" t="str">
        <f>IF(SUM(JG9,JI9)&gt;0,SUM(JG9,JI9),"")</f>
        <v/>
      </c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11" t="str">
        <f>IF(JR9&gt;0,JR9,"")</f>
        <v/>
      </c>
      <c r="KA9" s="11" t="str">
        <f>IF(SUM(JK9:JN9)-JO9&gt;0,SUM(JK9:JN9)-JO9,"")</f>
        <v/>
      </c>
      <c r="KB9" s="11" t="str">
        <f>IF(SUM(JP9:JS9)-JT9&gt;0,SUM(JP9:JS9)-JT9,"")</f>
        <v/>
      </c>
      <c r="KC9" s="11" t="str">
        <f>IF(SUM(KA9:KB9)&gt;0,SUM(KA9:KB9),"")</f>
        <v/>
      </c>
      <c r="KD9" s="11" t="str">
        <f>IF(JW9&gt;0,JW9,"")</f>
        <v/>
      </c>
      <c r="KE9" s="11" t="str">
        <f>IF(SUM(JU9:JX9)-JY9&gt;0,SUM(JU9:JX9)-JY9,"")</f>
        <v/>
      </c>
      <c r="KF9" s="11" t="str">
        <f>IF(SUM(KC9,KE9)&gt;0,SUM(KC9,KE9),"")</f>
        <v/>
      </c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14" t="str">
        <f>IF(KN9&gt;0,KN9,"")</f>
        <v/>
      </c>
      <c r="KW9" s="14" t="str">
        <f>IF(SUM(KG9:KJ9)-KK9&gt;0,SUM(KG9:KJ9)-KK9,"")</f>
        <v/>
      </c>
      <c r="KX9" s="14" t="str">
        <f>IF(SUM(KL9:KO9)-KP9&gt;0,SUM(KL9:KO9)-KP9,"")</f>
        <v/>
      </c>
      <c r="KY9" s="14" t="str">
        <f>IF(SUM(KW9:KX9)&gt;0,SUM(KW9:KX9),"")</f>
        <v/>
      </c>
      <c r="KZ9" s="14" t="str">
        <f>IF(KS9&gt;0,KS9,"")</f>
        <v/>
      </c>
      <c r="LA9" s="14" t="str">
        <f>IF(SUM(KQ9:KT9)-KU9&gt;0,SUM(KQ9:KT9)-KU9,"")</f>
        <v/>
      </c>
      <c r="LB9" s="14" t="str">
        <f>IF(SUM(KY9,LA9)&gt;0,SUM(KY9,LA9),"")</f>
        <v/>
      </c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11" t="str">
        <f>IF(LJ9&gt;0,LJ9,"")</f>
        <v/>
      </c>
      <c r="LS9" s="11" t="str">
        <f>IF(SUM(LC9:LF9)-LG9&gt;0,SUM(LC9:LF9)-LG9,"")</f>
        <v/>
      </c>
      <c r="LT9" s="11" t="str">
        <f>IF(SUM(LH9:LK9)-LL9&gt;0,SUM(LH9:LK9)-LL9,"")</f>
        <v/>
      </c>
      <c r="LU9" s="11" t="str">
        <f>IF(SUM(LS9:LT9)&gt;0,SUM(LS9:LT9),"")</f>
        <v/>
      </c>
      <c r="LV9" s="11" t="str">
        <f>IF(LO9&gt;0,LO9,"")</f>
        <v/>
      </c>
      <c r="LW9" s="11" t="str">
        <f>IF(SUM(LM9:LP9)-LQ9&gt;0,SUM(LM9:LP9)-LQ9,"")</f>
        <v/>
      </c>
      <c r="LX9" s="11" t="str">
        <f>IF(SUM(LU9,LW9)&gt;0,SUM(LU9,LW9),"")</f>
        <v/>
      </c>
      <c r="LY9" s="38"/>
      <c r="LZ9" s="38"/>
      <c r="MA9" s="38"/>
      <c r="MB9" s="38"/>
      <c r="MC9" s="38"/>
      <c r="MD9" s="38"/>
      <c r="ME9" s="38"/>
      <c r="MF9" s="38"/>
      <c r="MG9" s="38"/>
      <c r="MH9" s="38"/>
      <c r="MI9" s="38"/>
      <c r="MJ9" s="38"/>
      <c r="MK9" s="38"/>
      <c r="ML9" s="38"/>
      <c r="MM9" s="38"/>
      <c r="MN9" s="14" t="str">
        <f>IF(MF9&gt;0,MF9,"")</f>
        <v/>
      </c>
      <c r="MO9" s="14" t="str">
        <f>IF(SUM(LY9:MB9)-MC9&gt;0,SUM(LY9:MB9)-MC9,"")</f>
        <v/>
      </c>
      <c r="MP9" s="14" t="str">
        <f>IF(SUM(MD9:MG9)-MH9&gt;0,SUM(MD9:MG9)-MH9,"")</f>
        <v/>
      </c>
      <c r="MQ9" s="14" t="str">
        <f>IF(SUM(MO9:MP9)&gt;0,SUM(MO9:MP9),"")</f>
        <v/>
      </c>
      <c r="MR9" s="14" t="str">
        <f>IF(MK9&gt;0,MK9,"")</f>
        <v/>
      </c>
      <c r="MS9" s="14" t="str">
        <f>IF(SUM(MI9:ML9)-MM9&gt;0,SUM(MI9:ML9)-MM9,"")</f>
        <v/>
      </c>
      <c r="MT9" s="14" t="str">
        <f>IF(SUM(MQ9,MS9)&gt;0,SUM(MQ9,MS9),"")</f>
        <v/>
      </c>
      <c r="MU9" s="69">
        <f>IF($CE9="P",BP9,(BP9+AS9)/2)</f>
        <v>4.375</v>
      </c>
      <c r="MV9" s="69">
        <f>IF($CE9="P",BQ9,(BQ9+AT9)/2)</f>
        <v>4.6500000000000004</v>
      </c>
      <c r="MW9" s="69">
        <f>IF($CE9="P",BR9,(BR9+AU9)/2)</f>
        <v>1.45</v>
      </c>
      <c r="MX9" s="69">
        <f>IF($CE9="P",BS9,(BS9+AV9)/2)</f>
        <v>8.31</v>
      </c>
      <c r="MY9" s="69">
        <f>IF($CE9="P",BT9,(BT9+AW9)/2)</f>
        <v>0</v>
      </c>
      <c r="MZ9" s="69">
        <f>IF($CE9="P",BU9,(BU9+AX9)/2)</f>
        <v>4.05</v>
      </c>
      <c r="NA9" s="69">
        <f>IF($CE9="P",BV9,(BV9+AY9)/2)</f>
        <v>4.5250000000000004</v>
      </c>
      <c r="NB9" s="69">
        <f>IF($CE9="P",BW9,(BW9+AZ9)/2)</f>
        <v>4.5999999999999996</v>
      </c>
      <c r="NC9" s="69">
        <f>IF($CE9="P",BX9,(BX9+BA9)/2)</f>
        <v>9</v>
      </c>
      <c r="ND9" s="69">
        <f>IF($CE9="P",BY9,(BY9+BB9)/2)</f>
        <v>0</v>
      </c>
      <c r="NE9" s="69">
        <f>IF($CE9="P",BZ9,(BZ9+BC9)/2)</f>
        <v>3.7</v>
      </c>
      <c r="NF9" s="69">
        <f>IF($CE9="P",CA9,(CA9+BD9)/2)</f>
        <v>4.5750000000000002</v>
      </c>
      <c r="NG9" s="69">
        <f>IF($CE9="P",CB9,(CB9+BE9)/2)</f>
        <v>4.5999999999999996</v>
      </c>
      <c r="NH9" s="69">
        <f>IF($CE9="P",CC9,(CC9+BF9)/2)</f>
        <v>8.64</v>
      </c>
      <c r="NI9" s="69">
        <f>IF($CE9="P",CD9,(CD9+BG9)/2)</f>
        <v>0</v>
      </c>
      <c r="NJ9" s="80" t="s">
        <v>91</v>
      </c>
      <c r="NK9" s="11">
        <f>IF(NB9&gt;0,NB9,"")</f>
        <v>4.5999999999999996</v>
      </c>
      <c r="NL9" s="11">
        <f>IF(SUM(MU9:MX9)-MY9&gt;0,SUM(MU9:MX9)-MY9,"")</f>
        <v>18.785</v>
      </c>
      <c r="NM9" s="11">
        <f>IF(SUM(MZ9:NC9)-ND9&gt;0,SUM(MZ9:NC9)-ND9,"")</f>
        <v>22.174999999999997</v>
      </c>
      <c r="NN9" s="11">
        <f>IF(SUM(NL9:NM9)&gt;0,SUM(NL9:NM9),"")</f>
        <v>40.959999999999994</v>
      </c>
      <c r="NO9" s="11">
        <f>IF(NG9&gt;0,NG9,"")</f>
        <v>4.5999999999999996</v>
      </c>
      <c r="NP9" s="11">
        <f>IF(SUM(NE9:NH9)-NI9&gt;0,SUM(NE9:NH9)-NI9,"")</f>
        <v>21.515000000000001</v>
      </c>
      <c r="NQ9" s="11">
        <f>IF(SUM(NN9,NP9)&gt;0,SUM(NN9,NP9),"")</f>
        <v>62.474999999999994</v>
      </c>
    </row>
    <row r="10" spans="1:381" x14ac:dyDescent="0.2">
      <c r="A10" s="5" t="str" cm="1">
        <f t="array" ref="A10">IF(AND(G10&lt;&gt;"",H10&lt;&gt;""),SUMPRODUCT((G$4:G$15&lt;&gt;"")*(H$4:H$15&lt;&gt;"")*(E$4:E$15&gt;E10))+1,IF(H10&lt;&gt;"",SUMPRODUCT((I$4:I$15="No DD")*(E$4:E$15&gt;E10))+1+SUMPRODUCT((G$4:G$15&lt;&gt;"")*(H$4:H$15&lt;&gt;"")),""))</f>
        <v/>
      </c>
      <c r="B10" s="127" t="s">
        <v>88</v>
      </c>
      <c r="C10" s="5" t="s">
        <v>3</v>
      </c>
      <c r="D10" s="5" t="s">
        <v>96</v>
      </c>
      <c r="E10" s="15">
        <f>SUM(K10:S10)</f>
        <v>119.77000000000001</v>
      </c>
      <c r="F10" s="3" t="str">
        <f>IF(G10&lt;&gt;"","P","")</f>
        <v/>
      </c>
      <c r="G10" s="125" t="str">
        <f>IF(OR(AND(AL10&gt;=AR$20,AL10&lt;&gt;"",AK10=""),AND(AP10&gt;=AR$20,AP10&lt;&gt;"",AK10=""),AND(BI10&gt;=BO$20,BI10&lt;&gt;"",BH10=""),AND(BM10&gt;=BO$20,BM10&lt;&gt;"",BH10=""),AND(CF10&gt;=CL$20,CF10&lt;&gt;"",CE10=""),AND(CJ10&gt;=CL$20,CJ10&lt;&gt;"",CE10=""),AND(DF10&gt;=DL$20,DF10&lt;&gt;""),AND(DJ10&gt;=DL$20,DJ10&lt;&gt;""),AND(EB10&gt;=EH$20,EB10&lt;&gt;""),AND(EF10&gt;=EH$20,EF10&lt;&gt;""),AND(EX10&gt;=FD$20,EX10&lt;&gt;""),AND(FB10&gt;=FD$20,FB10&lt;&gt;""),AND(FT10&gt;=FZ$20,FT10&lt;&gt;""),AND(FX10&gt;=FZ$20,FX10&lt;&gt;""),AND(GP10&gt;=GV$20,GP10&lt;&gt;""),AND(GT10&gt;=GV$20,GT10&lt;&gt;""),AND(HL10&gt;=HR$20,HL10&lt;&gt;""),AND(HP10&gt;=HR$20,HP10&lt;&gt;""),AND(IH10&gt;=IN$20,IH10&lt;&gt;""),AND(IL10&gt;=IN$20,IL10&lt;&gt;""),AND(JD10&gt;=JJ$20,JD10&lt;&gt;""),AND(JH10&gt;=JJ$20,JH10&lt;&gt;""),AND(JZ10&gt;=KF$20,JZ10&lt;&gt;""),AND(KD10&gt;=KF$20,KD10&lt;&gt;""),AND(KV10&gt;=LB$20,KV10&lt;&gt;""),AND(KZ10&gt;=LB$20,KZ10&lt;&gt;""),AND(LR10&gt;=LX$20,LR10&lt;&gt;""),AND(LV10&gt;=LX$20,LV10&lt;&gt;""),AND(MN10&gt;=MT$20,MN10&lt;&gt;""),AND(MR10&gt;=MT$20,MR10&lt;&gt;"")),"Merit",IF(OR(AND(AL10&gt;=AR$19,AL10&lt;&gt;"",AK10=""),AND(AP10&gt;=AR$19,AP10&lt;&gt;"",AK10=""),AND(BI10&gt;=BO$19,BI10&lt;&gt;"",BH10=""),AND(BM10&gt;=BO$19,BM10&lt;&gt;"",BH10=""),AND(CF10&gt;=CL$19,CF10&lt;&gt;"",CE10=""),AND(CJ10&gt;=CL$19,CJ10&lt;&gt;"",CE10=""),AND(DF10&gt;=DL$19,DF10&lt;&gt;""),AND(DJ10&gt;=DL$19,DJ10&lt;&gt;""),AND(EB10&gt;=EH$19,EB10&lt;&gt;""),AND(EF10&gt;=EH$19,EF10&lt;&gt;""),AND(EX10&gt;=FD$19,EX10&lt;&gt;""),AND(FB10&gt;=FD$19,FB10&lt;&gt;""),AND(FT10&gt;=FZ$19,FT10&lt;&gt;""),AND(FX10&gt;=FZ$19,FX10&lt;&gt;""),AND(GP10&gt;=GV$19,GP10&lt;&gt;""),AND(GT10&gt;=GV$19,GT10&lt;&gt;""),AND(HL10&gt;=HR$19,HL10&lt;&gt;""),AND(HP10&gt;=HR$19,HP10&lt;&gt;""),AND(IH10&gt;=IN$19,IH10&lt;&gt;""),AND(IL10&gt;=IN$19,IL10&lt;&gt;""),AND(JD10&gt;=JJ$19,JD10&lt;&gt;""),AND(JH10&gt;=JJ$19,JH10&lt;&gt;""),AND(JZ10&gt;=KF$19,JZ10&lt;&gt;""),AND(KD10&gt;=KF$19,KD10&lt;&gt;""),AND(KV10&gt;=LB$19,KV10&lt;&gt;""),AND(KZ10&gt;=LB$19,KZ10&lt;&gt;""),AND(LR10&gt;=LX$19,LR10&lt;&gt;""),AND(LV10&gt;=LX$19,LV10&lt;&gt;""),AND(MN10&gt;=MT$19,MN10&lt;&gt;""),AND(MR10&gt;=MT$19,MR10&lt;&gt;"")),"Excellence",IF(OR(AND(AL10&gt;=AR$18,AL10&lt;&gt;"",AK10=""),AND(AP10&gt;=AR$18,AP10&lt;&gt;"",AK10=""),AND(BI10&gt;=BO$18,BI10&lt;&gt;"",BH10=""),AND(BM10&gt;=BO$18,BM10&lt;&gt;"",BH10=""),AND(CF10&gt;=CL$18,CF10&lt;&gt;"",CE10=""),AND(CJ10&gt;=CL$18,CJ10&lt;&gt;"",CE10=""),AND(DF10&gt;=DL$18,DF10&lt;&gt;""),AND(DJ10&gt;=DL$18,DJ10&lt;&gt;""),AND(EB10&gt;=EH$18,EB10&lt;&gt;""),AND(EF10&gt;=EH$18,EF10&lt;&gt;""),AND(EX10&gt;=FD$18,EX10&lt;&gt;""),AND(FB10&gt;=FD$18,FB10&lt;&gt;""),AND(FT10&gt;=FZ$18,FT10&lt;&gt;""),AND(FX10&gt;=FZ$18,FX10&lt;&gt;""),AND(GP10&gt;=GV$18,GP10&lt;&gt;""),AND(GT10&gt;=GV$18,GT10&lt;&gt;""),AND(HL10&gt;=HR$18,HL10&lt;&gt;""),AND(HP10&gt;=HR$18,HP10&lt;&gt;""),AND(IH10&gt;=IN$18,IH10&lt;&gt;""),AND(IL10&gt;=IN$18,IL10&lt;&gt;""),AND(JD10&gt;=JJ$18,JD10&lt;&gt;""),AND(JH10&gt;=JJ$18,JH10&lt;&gt;""),AND(JZ10&gt;=KF$18,JZ10&lt;&gt;""),AND(KD10&gt;=KF$18,KD10&lt;&gt;""),AND(KV10&gt;=LB$18,KV10&lt;&gt;""),AND(KZ10&gt;=LB$18,KZ10&lt;&gt;""),AND(LR10&gt;=LX$18,LR10&lt;&gt;""),AND(LV10&gt;=LX$18,LV10&lt;&gt;""),AND(MN10&gt;=MT$18,MN10&lt;&gt;""),AND(MR10&gt;=MT$18,MR10&lt;&gt;"")),"Worlds Team",IF(OR(AND(AL10&gt;=AR$17,AL10&lt;&gt;"",AK10=""),AND(AP10&gt;=AR$17,AP10&lt;&gt;"",AK10=""),AND(BI10&gt;=BO$17,BI10&lt;&gt;"",BH10=""),AND(BM10&gt;=BO$17,BM10&lt;&gt;"",BH10=""),AND(CF10&gt;=CL$17,CF10&lt;&gt;"",CE10=""),AND(CJ10&gt;=CL$17,CJ10&lt;&gt;"",CE10=""),AND(DF10&gt;=DL$17,DF10&lt;&gt;""),AND(DJ10&gt;=DL$17,DJ10&lt;&gt;""),AND(EB10&gt;=EH$17,EB10&lt;&gt;""),AND(EF10&gt;=EH$17,EF10&lt;&gt;""),AND(EX10&gt;=FD$17,EX10&lt;&gt;""),AND(FB10&gt;=FD$17,FB10&lt;&gt;""),AND(FT10&gt;=FZ$17,FT10&lt;&gt;""),AND(FX10&gt;=FZ$17,FX10&lt;&gt;""),AND(GP10&gt;=GV$17,GP10&lt;&gt;""),AND(GT10&gt;=GV$17,GT10&lt;&gt;""),AND(HL10&gt;=HR$17,HL10&lt;&gt;""),AND(HP10&gt;=HR$17,HP10&lt;&gt;""),AND(IH10&gt;=IN$17,IH10&lt;&gt;""),AND(IL10&gt;=IN$17,IL10&lt;&gt;""),AND(JD10&gt;=JJ$17,JD10&lt;&gt;""),AND(JH10&gt;=JJ$17,JH10&lt;&gt;""),AND(JZ10&gt;=KF$17,JZ10&lt;&gt;""),AND(KD10&gt;=KF$17,KD10&lt;&gt;""),AND(KV10&gt;=LB$17,KV10&lt;&gt;""),AND(KZ10&gt;=LB$17,KZ10&lt;&gt;""),AND(LR10&gt;=LX$17,LR10&lt;&gt;""),AND(LV10&gt;=LX$17,LV10&lt;&gt;""),AND(MN10&gt;=MT$17,MN10&lt;&gt;""),AND(MR10&gt;=MT$17,MR10&lt;&gt;"")),"National Team",""))))</f>
        <v/>
      </c>
      <c r="H10" s="125" t="str">
        <f>IF(OR(AND(AN10&gt;=AR$24,AN10&lt;&gt;"",AK10=""),AND(AQ10&gt;=AR$24,AQ10&lt;&gt;"",AK10=""),AND(BK10&gt;=BO$24,BK10&lt;&gt;"",BH10=""),AND(BN10&gt;=BO$24,BN10&lt;&gt;"",BH10=""),AND(CH10&gt;=CL$24,CH10&lt;&gt;"",CE10=""),AND(CK10&gt;=CL$24,CE10&lt;&gt;"",CE10=""),AND(DH10&gt;=DL$24,DH10&lt;&gt;""),AND(DK10&gt;=DL$24,DK10&lt;&gt;""),AND(ED10&gt;=EH$24,ED10&lt;&gt;""),AND(EG10&gt;=EH$24,EG10&lt;&gt;""),AND(EZ10&gt;=FD$24,EZ10&lt;&gt;""),AND(FC10&gt;=FD$24,FC10&lt;&gt;""),AND(FV10&gt;=FZ$24,FV10&lt;&gt;""),AND(FY10&gt;=FZ$24,FY10&lt;&gt;""),AND(GR10&gt;=GV$24,GR10&lt;&gt;""),AND(GU10&gt;=GV$24,GU10&lt;&gt;""),AND(HN10&gt;=HR$24,HN10&lt;&gt;""),AND(HQ10&gt;=HR$24,HQ10&lt;&gt;""),AND(IJ10&gt;=IN$24,IJ10&lt;&gt;""),AND(IM10&gt;=IN$24,IM10&lt;&gt;""),AND(JF10&gt;=JJ$24,JF10&lt;&gt;""),AND(JI10&gt;=JJ$24,JI10&lt;&gt;""),AND(KB10&gt;=KF$24,KB10&lt;&gt;""),AND(KE10&gt;=KF$24,KE10&lt;&gt;""),AND(KX10&gt;=LB$24,KX10&lt;&gt;""),AND(LA10&gt;=LB$24,LA10&lt;&gt;""),AND(LT10&gt;=LX$24,LT10&lt;&gt;""),AND(LW10&gt;=LX$24,LW10&lt;&gt;""),AND(MP10&gt;=MT$24,MP10&lt;&gt;""),AND(MS10&gt;=MT$24,MS10&lt;&gt;"")),"Merit",IF(OR(AND(AN10&gt;=AR$23,AN10&lt;&gt;"",AK10=""),AND(AQ10&gt;=AR$23,AQ10&lt;&gt;"",AK10=""),AND(BK10&gt;=BO$23,BK10&lt;&gt;"",BH10=""),AND(BN10&gt;=BO$23,BN10&lt;&gt;"",BH10=""),AND(CH10&gt;=CL$23,CH10&lt;&gt;"",CE10=""),AND(CK10&gt;=CL$23,CE10&lt;&gt;"",CE10=""),AND(DH10&gt;=DL$23,DH10&lt;&gt;""),AND(DK10&gt;=DL$23,DK10&lt;&gt;""),AND(ED10&gt;=EH$23,ED10&lt;&gt;""),AND(EG10&gt;=EH$23,EG10&lt;&gt;""),AND(EZ10&gt;=FD$23,EZ10&lt;&gt;""),AND(FC10&gt;=FD$23,FC10&lt;&gt;""),AND(FV10&gt;=FZ$23,FV10&lt;&gt;""),AND(FY10&gt;=FZ$23,FY10&lt;&gt;""),AND(GR10&gt;=GV$23,GR10&lt;&gt;""),AND(GU10&gt;=GV$23,GU10&lt;&gt;""),AND(HN10&gt;=HR$23,HN10&lt;&gt;""),AND(HQ10&gt;=HR$23,HQ10&lt;&gt;""),AND(IJ10&gt;=IN$23,IJ10&lt;&gt;""),AND(IM10&gt;=IN$23,IM10&lt;&gt;""),AND(JF10&gt;=JJ$23,JF10&lt;&gt;""),AND(JI10&gt;=JJ$23,JI10&lt;&gt;""),AND(KB10&gt;=KF$23,KB10&lt;&gt;""),AND(KE10&gt;=KF$23,KE10&lt;&gt;""),AND(KX10&gt;=LB$23,KX10&lt;&gt;""),AND(LA10&gt;=LB$23,LA10&lt;&gt;""),AND(LT10&gt;=LX$23,LT10&lt;&gt;""),AND(LW10&gt;=LX$23,LW10&lt;&gt;""),AND(MP10&gt;=MT$23,MP10&lt;&gt;""),AND(MS10&gt;=MT$23,MS10&lt;&gt;"")),"Excellence",IF(OR(AND(AO10&gt;=AR$22,AO10&lt;&gt;"",AK10=""),AND(BL10&gt;=BO$22,BL10&lt;&gt;"",BH10=""),AND(CI10&gt;=CL$22,CI10&lt;&gt;"",CE10=""),AND(DI10&gt;=DL$22,DI10&lt;&gt;""),AND(EE10&gt;=EH$22,EE10&lt;&gt;""),AND(FA10&gt;=FD$22,FA10&lt;&gt;""),AND(FW10&gt;=FZ$22,FW10&lt;&gt;""),AND(GS10&gt;=GV$22,GS10&lt;&gt;""),AND(HO10&gt;=HR$22,HO10&lt;&gt;""),AND(IK10&gt;=IN$22,IK10&lt;&gt;""),AND(JG10&gt;=JJ$22,JG10&lt;&gt;""),AND(KC10&gt;=KF$22,KC10&lt;&gt;""),AND(KY10&gt;=LB$22,KY10&lt;&gt;""),AND(LU10&gt;=LX$22,LU10&lt;&gt;""),AND(MQ10&gt;=MT$22,MQ10&lt;&gt;"")),"Worlds Team",IF(OR(AND(AO10&gt;=AR$21,AO10&lt;&gt;"",AK10=""),AND(BL10&gt;=BO$21,BL10&lt;&gt;"",BH10=""),AND(CI10&gt;=CL$21,CI10&lt;&gt;"",CE10=""),AND(DI10&gt;=DL$21,DI10&lt;&gt;""),AND(EE10&gt;=EH$21,EE10&lt;&gt;""),AND(FA10&gt;=FD$21,FA10&lt;&gt;""),AND(FW10&gt;=FZ$21,FW10&lt;&gt;""),AND(GS10&gt;=GV$21,GS10&lt;&gt;""),AND(HO10&gt;=HR$21,HO10&lt;&gt;""),AND(IK10&gt;=IN$21,IK10&lt;&gt;""),AND(JG10&gt;=JJ$21,JG10&lt;&gt;""),AND(KC10&gt;=KF$21,KC10&lt;&gt;""),AND(KY10&gt;=LB$21,KY10&lt;&gt;""),AND(LU10&gt;=LX$21,LU10&lt;&gt;""),AND(MQ10&gt;=MT$21,MQ10&lt;&gt;"")),"National Team",""))))</f>
        <v/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/>
      </c>
      <c r="J10" s="3" t="str">
        <f>IF(AND(OR(AND(AO10&gt;=AR$22,AO10&lt;&gt;"",AK10=""),AND(BL10&gt;=BO$22,BL10&lt;&gt;"",BH10=""),AND(CI10&gt;=CL$22,CI10&lt;&gt;"",CE10=""),AND(DI10&gt;=DL$22,DI10&lt;&gt;""),AND(EE10&gt;=EH$22,EE10&lt;&gt;""),AND(FA10&gt;=FD$22,FA10&lt;&gt;""),AND(FW10&gt;=FZ$22,FW10&lt;&gt;""),AND(GS10&gt;=GV$22,GS10&lt;&gt;""),AND(HO10&gt;=HR$22,HO10&lt;&gt;""),AND(IK10&gt;=IN$22,IK10&lt;&gt;""),AND(JG10&gt;=JJ$22,JG10&lt;&gt;""),AND(KC10&gt;=KF$22,KC10&lt;&gt;""),AND(KY10&gt;=LB$22,KY10&lt;&gt;""),AND(LU10&gt;=LX$22,LU10&lt;&gt;""),AND(MQ10&gt;=MT$22,MQ10&lt;&gt;"")),OR(G10="Worlds Team",G10="Excellence",G10="Merit")),"P","")</f>
        <v/>
      </c>
      <c r="K10" s="14">
        <f>MAX(AO10,BL10,CI10)</f>
        <v>87.352500000000006</v>
      </c>
      <c r="L10" s="14" t="str">
        <f>IF(K10=0,"",IF(K10=CI10,$BP$1,IF(K10=BL10,$AS$1,IF(K10=AO10,$V$1,""))))</f>
        <v>2019 Elite Canada</v>
      </c>
      <c r="M10" s="14">
        <f>IF($K10=$AO10,MAX(BJ10,CG10),IF($K10=$BL10,MAX(AM10,CG10),IF($K10=$CI10,MAX(AM10,BJ10),MAX(AM10,BJ10,CG10))))</f>
        <v>0</v>
      </c>
      <c r="N10" s="14" t="str">
        <f>IF(M10=0,"",IF(AND(M10=CG10,$L10&lt;&gt;$BP$1),$BP$1,IF(AND(M10=BJ10,$L10&lt;&gt;$AS$1),$AS$1,IF(AND(M10=AM10,$L10&lt;&gt;$V$1),$V$1,""))))</f>
        <v/>
      </c>
      <c r="O10" s="14">
        <f>IF($K10=$AO10,MAX(CH10,BK10),IF($K10=$BL10,MAX(AN10,CH10),IF($K10=$CI10,MAX(AN10,BK10),MAX(AN10,BK10,CH10))))</f>
        <v>0</v>
      </c>
      <c r="P10" s="14" t="str">
        <f>IF(O10=0,"",IF(AND(O10=CH10,$L10&lt;&gt;$BP$1),$BP$1,IF(AND(O10=BK10,$L10&lt;&gt;$AS$1),$AS$1,IF(AND(O10=AN10,$L10&lt;&gt;$V$1),$V$1,""))))</f>
        <v/>
      </c>
      <c r="Q10" s="14">
        <f>MAX(AQ10,BN10,CK10)</f>
        <v>32.417500000000004</v>
      </c>
      <c r="R10" s="14" t="str">
        <f>IF(Q10=0,"",IF(Q10=CK10,$BP$1,IF(Q10=BN10,$AS$1,IF(Q10=AQ10,$V$1,""))))</f>
        <v>2019 Elite Canada</v>
      </c>
      <c r="S10" s="14" t="str">
        <f>IF(MAX(CM10,CN10,CO10,CP10)&gt;0,MAX(CM10,CN10,CO10,CP10),"")</f>
        <v/>
      </c>
      <c r="T10" s="25" t="str">
        <f>IF(S10="","",IF(S10=CM10,"(Vol 1)",IF(S10=CN10,"(Vol 2)",IF(S10=CO10,"(Prelim)",IF(S10=CP10,"(Final)")))))</f>
        <v/>
      </c>
      <c r="U10" s="14" t="str">
        <f>IF(S10="","",IF(S10=CM10,IF(S10+IF(M10="",0,M10)=MO10,$LY$1,IF(S10+IF(M10="",0,M10)=LS10,$LC$1,IF(S10+IF(M10="",0,M10)=KW10,$KG$1,IF(S10+IF(M10="",0,M10)=KA10,$JK$1,IF(S10+IF(M10="",0,M10)=JE10,$IO$1,IF(S10+IF(M10="",0,M10)=II10,$HS$1,IF(S10+IF(M10="",0,M10)=HM10,$GW$1,IF(S10+IF(M10="",0,M10)=GQ10,$GA$1,IF(S10+IF(M10="",0,M10)=FU10,$FE$1,IF(S10+IF(M10="",0,M10)=EY10,$EI$1,IF(S10+IF(M10="",0,M10)=EC10,$DM$1,IF(S10+IF(M10="",0,M10)=DG10,$CQ$1)))))))))))),IF(S10=CN10,IF(S10+IF(O10="",0,O10)=MP10,$LY$1,IF(S10+IF(O10="",0,O10)=LT10,$LC$1,IF(S10+IF(O10="",0,O10)=KX10,$KG$1,IF(S10+IF(O10="",0,O10)=KB10,$JK$1,IF(S10+IF(O10="",0,O10)=JF10,$IO$1,IF(S10+IF(O10="",0,O10)=IJ10,$HS$1,IF(S10+IF(O10="",0,O10)=HN10,$GW$1,IF(S10+IF(O10="",0,O10)=GR10,$GA$1,IF(S10+IF(O10="",0,O10)=FV10,$FE$1,IF(S10+IF(O10="",0,O10)=EZ10,$EI$1,IF(S10+IF(O10="",0,O10)=ED10,$DM$1,IF(S10+IF(O10="",0,O10)=DH10,$CQ$1)))))))))))),IF(S10=CO10,IF(S10+IF(K10="",0,K10)=MQ10,$LY$1,IF(S10+IF(K10="",0,K10)=LU10,$LC$1,IF(S10+IF(K10="",0,K10)=KY10,$KG$1,IF(S10+IF(K10="",0,K10)=KC10,$JK$1,IF(S10+IF(K10="",0,K10)=JG10,$IO$1,IF(S10+IF(K10="",0,K10)=IK10,$HS$1,IF(S10+IF(K10="",0,K10)=HO10,$GW$1,IF(S10+IF(K10="",0,K10)=GS10,$GA$1,IF(S10+IF(K10="",0,K10)=FW10,$FE$1,IF(S10+IF(K10="",0,K10)=FA10,$EI$1,IF(S10+IF(K10="",0,K10)=EE10,$DM$1,IF(S10+IF(K10="",0,K10)=DI10,$CQ$1)))))))))))),IF(S10=CP10,IF(S10+IF(Q10="",0,Q10)=MS10,$LY$1,IF(S10+IF(Q10="",0,Q10)=LW10,$LC$1,IF(S10+IF(Q10="",0,Q10)=LA10,$KG$1,IF(S10+IF(Q10="",0,Q10)=KE10,$JK$1,IF(S10+IF(Q10="",0,Q10)=JI10,$IO$1,IF(S10+IF(Q10="",0,Q10)=IM10,$HS$1,IF(S10+IF(Q10="",0,Q10)=HQ10,$GW$1,IF(S10+IF(Q10="",0,Q10)=GU10,$GA$1,IF(S10+IF(Q10="",0,Q10)=FY10,$FE$1,IF(S10+IF(Q10="",0,Q10)=FC10,$EI$1,IF(S10+IF(Q10="",0,Q10)=EG10,$DM$1,IF(S10+IF(Q10="",0,Q10)=DK10,$CQ$1)))))))))))))))))</f>
        <v/>
      </c>
      <c r="V10" s="39">
        <v>8.9250000000000007</v>
      </c>
      <c r="W10" s="39">
        <v>9.125</v>
      </c>
      <c r="X10" s="39">
        <v>4.4000000000000004</v>
      </c>
      <c r="Y10" s="39">
        <v>18.520000000000003</v>
      </c>
      <c r="Z10" s="39">
        <v>0</v>
      </c>
      <c r="AA10" s="39">
        <v>8.3625000000000007</v>
      </c>
      <c r="AB10" s="39">
        <v>9.1</v>
      </c>
      <c r="AC10" s="39">
        <v>11.1</v>
      </c>
      <c r="AD10" s="39">
        <v>17.82</v>
      </c>
      <c r="AE10" s="39">
        <v>0</v>
      </c>
      <c r="AF10" s="39">
        <v>5.7374999999999998</v>
      </c>
      <c r="AG10" s="39">
        <v>6.3</v>
      </c>
      <c r="AH10" s="39">
        <v>8.25</v>
      </c>
      <c r="AI10" s="39">
        <v>12.129999999999999</v>
      </c>
      <c r="AJ10" s="39">
        <v>0</v>
      </c>
      <c r="AK10" s="80" t="s">
        <v>91</v>
      </c>
      <c r="AL10" s="11">
        <f>IF(AC10&gt;0,AC10,"")</f>
        <v>11.1</v>
      </c>
      <c r="AM10" s="11">
        <f>IF(SUM(V10:Y10)-Z10&gt;0,SUM(V10:Y10)-Z10,"")</f>
        <v>40.970000000000006</v>
      </c>
      <c r="AN10" s="11">
        <f>IF(SUM(AA10:AD10)-AE10&gt;0,SUM(AA10:AD10)-AE10,"")</f>
        <v>46.3825</v>
      </c>
      <c r="AO10" s="11">
        <f>IF(SUM(AM10:AN10)&gt;0,SUM(AM10:AN10),"")</f>
        <v>87.352500000000006</v>
      </c>
      <c r="AP10" s="11">
        <f>IF(AH10&gt;0,AH10,"")</f>
        <v>8.25</v>
      </c>
      <c r="AQ10" s="11">
        <f>IF(SUM(AF10:AI10)-AJ10&gt;0,SUM(AF10:AI10)-AJ10,"")</f>
        <v>32.417500000000004</v>
      </c>
      <c r="AR10" s="11">
        <f>IF(SUM(AO10,AQ10)&gt;0,SUM(AO10,AQ10),"")</f>
        <v>119.77000000000001</v>
      </c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81"/>
      <c r="BI10" s="14" t="str">
        <f>IF(AZ10&gt;0,AZ10,"")</f>
        <v/>
      </c>
      <c r="BJ10" s="14" t="str">
        <f>IF(SUM(AS10:AV10)-AW10&gt;0,SUM(AS10:AV10)-AW10,"")</f>
        <v/>
      </c>
      <c r="BK10" s="14" t="str">
        <f>IF(SUM(AX10:BA10)-BB10&gt;0,SUM(AX10:BA10)-BB10,"")</f>
        <v/>
      </c>
      <c r="BL10" s="14" t="str">
        <f>IF(SUM(BJ10:BK10)&gt;0,SUM(BJ10:BK10),"")</f>
        <v/>
      </c>
      <c r="BM10" s="14" t="str">
        <f>IF(BE10&gt;0,BE10,"")</f>
        <v/>
      </c>
      <c r="BN10" s="14" t="str">
        <f>IF(SUM(BC10:BF10)-BG10&gt;0,SUM(BC10:BF10)-BG10,"")</f>
        <v/>
      </c>
      <c r="BO10" s="14" t="str">
        <f>IF(SUM(BL10,BN10)&gt;0,SUM(BL10,BN10),"")</f>
        <v/>
      </c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80"/>
      <c r="CF10" s="11" t="str">
        <f>IF(BW10&gt;0,BW10,"")</f>
        <v/>
      </c>
      <c r="CG10" s="11" t="str">
        <f>IF(SUM(BP10:BS10)-BT10&gt;0,SUM(BP10:BS10)-BT10,"")</f>
        <v/>
      </c>
      <c r="CH10" s="11" t="str">
        <f>IF(SUM(BU10:BX10)-BY10&gt;0,SUM(BU10:BX10)-BY10,"")</f>
        <v/>
      </c>
      <c r="CI10" s="11" t="str">
        <f>IF(SUM(CG10:CH10)&gt;0,SUM(CG10:CH10),"")</f>
        <v/>
      </c>
      <c r="CJ10" s="11" t="str">
        <f>IF(CB10&gt;0,CB10,"")</f>
        <v/>
      </c>
      <c r="CK10" s="11" t="str">
        <f>IF(SUM(BZ10:CC10)-CD10&gt;0,SUM(BZ10:CC10)-CD10,"")</f>
        <v/>
      </c>
      <c r="CL10" s="11" t="str">
        <f>IF(SUM(CI10,CK10)&gt;0,SUM(CI10,CK10),"")</f>
        <v/>
      </c>
      <c r="CM10" s="24" t="str">
        <f>IF(MAX(DG10,EC10,EY10,FU10,GQ10,HM10,II10,JE10,KA10,KW10,LS10,MO10)-IF(M10="",0,M10)&gt;0.001,MAX(DG10,EC10,EY10,FU10,GQ10,HM10,II10,JE10,KA10,KW10,LS10,MO10)-IF(M10="",0,M10),"")</f>
        <v/>
      </c>
      <c r="CN10" s="24" t="str">
        <f>IF(MAX(DH10,ED10,EZ10,FV10,GR10,HN10,IJ10,JF10,KB10,KX10,LT10,MP10)-IF(O10="",0,O10)&gt;0.001,MAX(DH10,ED10,EZ10,FV10,GR10,HN10,IJ10,JF10,KB10,KX10,LT10,MP10)-IF(O10="",0,O10),"")</f>
        <v/>
      </c>
      <c r="CO10" s="24" t="str">
        <f>IF(MAX(DI10,EE10,FA10,FW10,GS10,HO10,IK10,JG10,KC10,KY10,LU10,MQ10)-IF(K10="",0,K10)&gt;0.001,MAX(DI10,EE10,FA10,FW10,GS10,HO10,IK10,JG10,KC10,KY10,LU10,MQ10)-IF(K10="",0,K10),"")</f>
        <v/>
      </c>
      <c r="CP10" s="24" t="str">
        <f>IF(MAX(DK10,EG10,FC10,FY10,GU10,HQ10,IM10,JI10,KE10,LA10,LW10,MS10)-IF(Q10="",0,Q10)&gt;0.001,MAX(DK10,EG10,FC10,FY10,GU10,HQ10,IM10,JI10,KE10,LA10,LW10,MS10)-IF(Q10="",0,Q10),"")</f>
        <v/>
      </c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11" t="str">
        <f>IF(CX10&gt;0,CX10,"")</f>
        <v/>
      </c>
      <c r="DG10" s="11" t="str">
        <f>IF(SUM(CQ10:CT10)-CU10&gt;0,SUM(CQ10:CT10)-CU10,"")</f>
        <v/>
      </c>
      <c r="DH10" s="11" t="str">
        <f>IF(SUM(CV10:CY10)-CZ10&gt;0,SUM(CV10:CY10)-CZ10,"")</f>
        <v/>
      </c>
      <c r="DI10" s="11" t="str">
        <f>IF(SUM(DG10:DH10)&gt;0,SUM(DG10:DH10),"")</f>
        <v/>
      </c>
      <c r="DJ10" s="11" t="str">
        <f>IF(DC10&gt;0,DC10,"")</f>
        <v/>
      </c>
      <c r="DK10" s="11" t="str">
        <f>IF(SUM(DA10:DD10)-DE10&gt;0,SUM(DA10:DD10)-DE10,"")</f>
        <v/>
      </c>
      <c r="DL10" s="11" t="str">
        <f>IF(SUM(DI10,DK10)&gt;0,SUM(DI10,DK10),"")</f>
        <v/>
      </c>
      <c r="DM10" s="38"/>
      <c r="DN10" s="38"/>
      <c r="DO10" s="38"/>
      <c r="DP10" s="38"/>
      <c r="DQ10" s="38"/>
      <c r="DR10" s="38"/>
      <c r="DS10" s="38"/>
      <c r="DT10" s="38"/>
      <c r="DU10" s="38"/>
      <c r="DV10" s="38"/>
      <c r="DW10" s="38"/>
      <c r="DX10" s="38"/>
      <c r="DY10" s="38"/>
      <c r="DZ10" s="38"/>
      <c r="EA10" s="38"/>
      <c r="EB10" s="14" t="str">
        <f>IF(DT10&gt;0,DT10,"")</f>
        <v/>
      </c>
      <c r="EC10" s="14" t="str">
        <f>IF(SUM(DM10:DP10)-DQ10&gt;0,SUM(DM10:DP10)-DQ10,"")</f>
        <v/>
      </c>
      <c r="ED10" s="14" t="str">
        <f>IF(SUM(DR10:DU10)-DV10&gt;0,SUM(DR10:DU10)-DV10,"")</f>
        <v/>
      </c>
      <c r="EE10" s="14" t="str">
        <f>IF(SUM(EC10:ED10)&gt;0,SUM(EC10:ED10),"")</f>
        <v/>
      </c>
      <c r="EF10" s="14" t="str">
        <f>IF(DY10&gt;0,DY10,"")</f>
        <v/>
      </c>
      <c r="EG10" s="14" t="str">
        <f>IF(SUM(DW10:DZ10)-EA10&gt;0,SUM(DW10:DZ10)-EA10,"")</f>
        <v/>
      </c>
      <c r="EH10" s="14" t="str">
        <f>IF(SUM(EE10,EG10)&gt;0,SUM(EE10,EG10),"")</f>
        <v/>
      </c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11" t="str">
        <f>IF(EP10&gt;0,EP10,"")</f>
        <v/>
      </c>
      <c r="EY10" s="11" t="str">
        <f>IF(SUM(EI10:EL10)-EM10&gt;0,SUM(EI10:EL10)-EM10,"")</f>
        <v/>
      </c>
      <c r="EZ10" s="11" t="str">
        <f>IF(SUM(EN10:EQ10)-ER10&gt;0,SUM(EN10:EQ10)-ER10,"")</f>
        <v/>
      </c>
      <c r="FA10" s="11" t="str">
        <f>IF(SUM(EY10:EZ10)&gt;0,SUM(EY10:EZ10),"")</f>
        <v/>
      </c>
      <c r="FB10" s="11" t="str">
        <f>IF(EU10&gt;0,EU10,"")</f>
        <v/>
      </c>
      <c r="FC10" s="11" t="str">
        <f>IF(SUM(ES10:EV10)-EW10&gt;0,SUM(ES10:EV10)-EW10,"")</f>
        <v/>
      </c>
      <c r="FD10" s="11" t="str">
        <f>IF(SUM(FA10,FC10)&gt;0,SUM(FA10,FC10),"")</f>
        <v/>
      </c>
      <c r="FE10" s="38"/>
      <c r="FF10" s="38"/>
      <c r="FG10" s="38"/>
      <c r="FH10" s="38"/>
      <c r="FI10" s="38"/>
      <c r="FJ10" s="38"/>
      <c r="FK10" s="38"/>
      <c r="FL10" s="38"/>
      <c r="FM10" s="38"/>
      <c r="FN10" s="38"/>
      <c r="FO10" s="38"/>
      <c r="FP10" s="38"/>
      <c r="FQ10" s="38"/>
      <c r="FR10" s="38"/>
      <c r="FS10" s="38"/>
      <c r="FT10" s="14" t="str">
        <f>IF(FL10&gt;0,FL10,"")</f>
        <v/>
      </c>
      <c r="FU10" s="14" t="str">
        <f>IF(SUM(FE10:FH10)-FI10&gt;0,SUM(FE10:FH10)-FI10,"")</f>
        <v/>
      </c>
      <c r="FV10" s="14" t="str">
        <f>IF(SUM(FJ10:FM10)-FN10&gt;0,SUM(FJ10:FM10)-FN10,"")</f>
        <v/>
      </c>
      <c r="FW10" s="14" t="str">
        <f>IF(SUM(FU10:FV10)&gt;0,SUM(FU10:FV10),"")</f>
        <v/>
      </c>
      <c r="FX10" s="14" t="str">
        <f>IF(FQ10&gt;0,FQ10,"")</f>
        <v/>
      </c>
      <c r="FY10" s="14" t="str">
        <f>IF(SUM(FO10:FR10)-FS10&gt;0,SUM(FO10:FR10)-FS10,"")</f>
        <v/>
      </c>
      <c r="FZ10" s="14" t="str">
        <f>IF(SUM(FW10,FY10)&gt;0,SUM(FW10,FY10),"")</f>
        <v/>
      </c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11" t="str">
        <f>IF(GH10&gt;0,GH10,"")</f>
        <v/>
      </c>
      <c r="GQ10" s="11" t="str">
        <f>IF(SUM(GA10:GD10)-GE10&gt;0,SUM(GA10:GD10)-GE10,"")</f>
        <v/>
      </c>
      <c r="GR10" s="11" t="str">
        <f>IF(SUM(GF10:GI10)-GJ10&gt;0,SUM(GF10:GI10)-GJ10,"")</f>
        <v/>
      </c>
      <c r="GS10" s="11" t="str">
        <f>IF(SUM(GQ10:GR10)&gt;0,SUM(GQ10:GR10),"")</f>
        <v/>
      </c>
      <c r="GT10" s="11" t="str">
        <f>IF(GM10&gt;0,GM10,"")</f>
        <v/>
      </c>
      <c r="GU10" s="11" t="str">
        <f>IF(SUM(GK10:GN10)-GO10&gt;0,SUM(GK10:GN10)-GO10,"")</f>
        <v/>
      </c>
      <c r="GV10" s="11" t="str">
        <f>IF(SUM(GS10,GU10)&gt;0,SUM(GS10,GU10),"")</f>
        <v/>
      </c>
      <c r="GW10" s="38"/>
      <c r="GX10" s="38"/>
      <c r="GY10" s="38"/>
      <c r="GZ10" s="38"/>
      <c r="HA10" s="38"/>
      <c r="HB10" s="38"/>
      <c r="HC10" s="38"/>
      <c r="HD10" s="38"/>
      <c r="HE10" s="38"/>
      <c r="HF10" s="38"/>
      <c r="HG10" s="38"/>
      <c r="HH10" s="38"/>
      <c r="HI10" s="38"/>
      <c r="HJ10" s="38"/>
      <c r="HK10" s="38"/>
      <c r="HL10" s="14" t="str">
        <f>IF(HD10&gt;0,HD10,"")</f>
        <v/>
      </c>
      <c r="HM10" s="14" t="str">
        <f>IF(SUM(GW10:GZ10)-HA10&gt;0,SUM(GW10:GZ10)-HA10,"")</f>
        <v/>
      </c>
      <c r="HN10" s="14" t="str">
        <f>IF(SUM(HB10:HE10)-HF10&gt;0,SUM(HB10:HE10)-HF10,"")</f>
        <v/>
      </c>
      <c r="HO10" s="14" t="str">
        <f>IF(SUM(HM10:HN10)&gt;0,SUM(HM10:HN10),"")</f>
        <v/>
      </c>
      <c r="HP10" s="14" t="str">
        <f>IF(HI10&gt;0,HI10,"")</f>
        <v/>
      </c>
      <c r="HQ10" s="14" t="str">
        <f>IF(SUM(HG10:HJ10)-HK10&gt;0,SUM(HG10:HJ10)-HK10,"")</f>
        <v/>
      </c>
      <c r="HR10" s="14" t="str">
        <f>IF(SUM(HO10,HQ10)&gt;0,SUM(HO10,HQ10),"")</f>
        <v/>
      </c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11" t="str">
        <f>IF(HZ10&gt;0,HZ10,"")</f>
        <v/>
      </c>
      <c r="II10" s="11" t="str">
        <f>IF(SUM(HS10:HV10)-HW10&gt;0,SUM(HS10:HV10)-HW10,"")</f>
        <v/>
      </c>
      <c r="IJ10" s="11" t="str">
        <f>IF(SUM(HX10:IA10)-IB10&gt;0,SUM(HX10:IA10)-IB10,"")</f>
        <v/>
      </c>
      <c r="IK10" s="11" t="str">
        <f>IF(SUM(II10:IJ10)&gt;0,SUM(II10:IJ10),"")</f>
        <v/>
      </c>
      <c r="IL10" s="11" t="str">
        <f>IF(IE10&gt;0,IE10,"")</f>
        <v/>
      </c>
      <c r="IM10" s="11" t="str">
        <f>IF(SUM(IC10:IF10)-IG10&gt;0,SUM(IC10:IF10)-IG10,"")</f>
        <v/>
      </c>
      <c r="IN10" s="11" t="str">
        <f>IF(SUM(IK10,IM10)&gt;0,SUM(IK10,IM10),"")</f>
        <v/>
      </c>
      <c r="IO10" s="38"/>
      <c r="IP10" s="38"/>
      <c r="IQ10" s="38"/>
      <c r="IR10" s="38"/>
      <c r="IS10" s="38"/>
      <c r="IT10" s="38"/>
      <c r="IU10" s="38"/>
      <c r="IV10" s="38"/>
      <c r="IW10" s="38"/>
      <c r="IX10" s="38"/>
      <c r="IY10" s="38"/>
      <c r="IZ10" s="38"/>
      <c r="JA10" s="38"/>
      <c r="JB10" s="38"/>
      <c r="JC10" s="38"/>
      <c r="JD10" s="14" t="str">
        <f>IF(IV10&gt;0,IV10,"")</f>
        <v/>
      </c>
      <c r="JE10" s="14" t="str">
        <f>IF(SUM(IO10:IR10)-IS10&gt;0,SUM(IO10:IR10)-IS10,"")</f>
        <v/>
      </c>
      <c r="JF10" s="14" t="str">
        <f>IF(SUM(IT10:IW10)-IX10&gt;0,SUM(IT10:IW10)-IX10,"")</f>
        <v/>
      </c>
      <c r="JG10" s="14" t="str">
        <f>IF(SUM(JE10:JF10)&gt;0,SUM(JE10:JF10),"")</f>
        <v/>
      </c>
      <c r="JH10" s="14" t="str">
        <f>IF(JA10&gt;0,JA10,"")</f>
        <v/>
      </c>
      <c r="JI10" s="14" t="str">
        <f>IF(SUM(IY10:JB10)-JC10&gt;0,SUM(IY10:JB10)-JC10,"")</f>
        <v/>
      </c>
      <c r="JJ10" s="14" t="str">
        <f>IF(SUM(JG10,JI10)&gt;0,SUM(JG10,JI10),"")</f>
        <v/>
      </c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11" t="str">
        <f>IF(JR10&gt;0,JR10,"")</f>
        <v/>
      </c>
      <c r="KA10" s="11" t="str">
        <f>IF(SUM(JK10:JN10)-JO10&gt;0,SUM(JK10:JN10)-JO10,"")</f>
        <v/>
      </c>
      <c r="KB10" s="11" t="str">
        <f>IF(SUM(JP10:JS10)-JT10&gt;0,SUM(JP10:JS10)-JT10,"")</f>
        <v/>
      </c>
      <c r="KC10" s="11" t="str">
        <f>IF(SUM(KA10:KB10)&gt;0,SUM(KA10:KB10),"")</f>
        <v/>
      </c>
      <c r="KD10" s="11" t="str">
        <f>IF(JW10&gt;0,JW10,"")</f>
        <v/>
      </c>
      <c r="KE10" s="11" t="str">
        <f>IF(SUM(JU10:JX10)-JY10&gt;0,SUM(JU10:JX10)-JY10,"")</f>
        <v/>
      </c>
      <c r="KF10" s="11" t="str">
        <f>IF(SUM(KC10,KE10)&gt;0,SUM(KC10,KE10),"")</f>
        <v/>
      </c>
      <c r="KG10" s="38"/>
      <c r="KH10" s="38"/>
      <c r="KI10" s="38"/>
      <c r="KJ10" s="38"/>
      <c r="KK10" s="38"/>
      <c r="KL10" s="38"/>
      <c r="KM10" s="38"/>
      <c r="KN10" s="38"/>
      <c r="KO10" s="38"/>
      <c r="KP10" s="38"/>
      <c r="KQ10" s="38"/>
      <c r="KR10" s="38"/>
      <c r="KS10" s="38"/>
      <c r="KT10" s="38"/>
      <c r="KU10" s="38"/>
      <c r="KV10" s="14" t="str">
        <f>IF(KN10&gt;0,KN10,"")</f>
        <v/>
      </c>
      <c r="KW10" s="14" t="str">
        <f>IF(SUM(KG10:KJ10)-KK10&gt;0,SUM(KG10:KJ10)-KK10,"")</f>
        <v/>
      </c>
      <c r="KX10" s="14" t="str">
        <f>IF(SUM(KL10:KO10)-KP10&gt;0,SUM(KL10:KO10)-KP10,"")</f>
        <v/>
      </c>
      <c r="KY10" s="14" t="str">
        <f>IF(SUM(KW10:KX10)&gt;0,SUM(KW10:KX10),"")</f>
        <v/>
      </c>
      <c r="KZ10" s="14" t="str">
        <f>IF(KS10&gt;0,KS10,"")</f>
        <v/>
      </c>
      <c r="LA10" s="14" t="str">
        <f>IF(SUM(KQ10:KT10)-KU10&gt;0,SUM(KQ10:KT10)-KU10,"")</f>
        <v/>
      </c>
      <c r="LB10" s="14" t="str">
        <f>IF(SUM(KY10,LA10)&gt;0,SUM(KY10,LA10),"")</f>
        <v/>
      </c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11" t="str">
        <f>IF(LJ10&gt;0,LJ10,"")</f>
        <v/>
      </c>
      <c r="LS10" s="11" t="str">
        <f>IF(SUM(LC10:LF10)-LG10&gt;0,SUM(LC10:LF10)-LG10,"")</f>
        <v/>
      </c>
      <c r="LT10" s="11" t="str">
        <f>IF(SUM(LH10:LK10)-LL10&gt;0,SUM(LH10:LK10)-LL10,"")</f>
        <v/>
      </c>
      <c r="LU10" s="11" t="str">
        <f>IF(SUM(LS10:LT10)&gt;0,SUM(LS10:LT10),"")</f>
        <v/>
      </c>
      <c r="LV10" s="11" t="str">
        <f>IF(LO10&gt;0,LO10,"")</f>
        <v/>
      </c>
      <c r="LW10" s="11" t="str">
        <f>IF(SUM(LM10:LP10)-LQ10&gt;0,SUM(LM10:LP10)-LQ10,"")</f>
        <v/>
      </c>
      <c r="LX10" s="11" t="str">
        <f>IF(SUM(LU10,LW10)&gt;0,SUM(LU10,LW10),"")</f>
        <v/>
      </c>
      <c r="LY10" s="38"/>
      <c r="LZ10" s="38"/>
      <c r="MA10" s="38"/>
      <c r="MB10" s="38"/>
      <c r="MC10" s="38"/>
      <c r="MD10" s="38"/>
      <c r="ME10" s="38"/>
      <c r="MF10" s="38"/>
      <c r="MG10" s="38"/>
      <c r="MH10" s="38"/>
      <c r="MI10" s="38"/>
      <c r="MJ10" s="38"/>
      <c r="MK10" s="38"/>
      <c r="ML10" s="38"/>
      <c r="MM10" s="38"/>
      <c r="MN10" s="14" t="str">
        <f>IF(MF10&gt;0,MF10,"")</f>
        <v/>
      </c>
      <c r="MO10" s="14" t="str">
        <f>IF(SUM(LY10:MB10)-MC10&gt;0,SUM(LY10:MB10)-MC10,"")</f>
        <v/>
      </c>
      <c r="MP10" s="14" t="str">
        <f>IF(SUM(MD10:MG10)-MH10&gt;0,SUM(MD10:MG10)-MH10,"")</f>
        <v/>
      </c>
      <c r="MQ10" s="14" t="str">
        <f>IF(SUM(MO10:MP10)&gt;0,SUM(MO10:MP10),"")</f>
        <v/>
      </c>
      <c r="MR10" s="14" t="str">
        <f>IF(MK10&gt;0,MK10,"")</f>
        <v/>
      </c>
      <c r="MS10" s="14" t="str">
        <f>IF(SUM(MI10:ML10)-MM10&gt;0,SUM(MI10:ML10)-MM10,"")</f>
        <v/>
      </c>
      <c r="MT10" s="14" t="str">
        <f>IF(SUM(MQ10,MS10)&gt;0,SUM(MQ10,MS10),"")</f>
        <v/>
      </c>
      <c r="MU10" s="69">
        <f>IF($CE10="P",BP10,(BP10+AS10)/2)</f>
        <v>0</v>
      </c>
      <c r="MV10" s="69">
        <f>IF($CE10="P",BQ10,(BQ10+AT10)/2)</f>
        <v>0</v>
      </c>
      <c r="MW10" s="69">
        <f>IF($CE10="P",BR10,(BR10+AU10)/2)</f>
        <v>0</v>
      </c>
      <c r="MX10" s="69">
        <f>IF($CE10="P",BS10,(BS10+AV10)/2)</f>
        <v>0</v>
      </c>
      <c r="MY10" s="69">
        <f>IF($CE10="P",BT10,(BT10+AW10)/2)</f>
        <v>0</v>
      </c>
      <c r="MZ10" s="69">
        <f>IF($CE10="P",BU10,(BU10+AX10)/2)</f>
        <v>0</v>
      </c>
      <c r="NA10" s="69">
        <f>IF($CE10="P",BV10,(BV10+AY10)/2)</f>
        <v>0</v>
      </c>
      <c r="NB10" s="69">
        <f>IF($CE10="P",BW10,(BW10+AZ10)/2)</f>
        <v>0</v>
      </c>
      <c r="NC10" s="69">
        <f>IF($CE10="P",BX10,(BX10+BA10)/2)</f>
        <v>0</v>
      </c>
      <c r="ND10" s="69">
        <f>IF($CE10="P",BY10,(BY10+BB10)/2)</f>
        <v>0</v>
      </c>
      <c r="NE10" s="69">
        <f>IF($CE10="P",BZ10,(BZ10+BC10)/2)</f>
        <v>0</v>
      </c>
      <c r="NF10" s="69">
        <f>IF($CE10="P",CA10,(CA10+BD10)/2)</f>
        <v>0</v>
      </c>
      <c r="NG10" s="69">
        <f>IF($CE10="P",CB10,(CB10+BE10)/2)</f>
        <v>0</v>
      </c>
      <c r="NH10" s="69">
        <f>IF($CE10="P",CC10,(CC10+BF10)/2)</f>
        <v>0</v>
      </c>
      <c r="NI10" s="69">
        <f>IF($CE10="P",CD10,(CD10+BG10)/2)</f>
        <v>0</v>
      </c>
      <c r="NJ10" s="80" t="s">
        <v>91</v>
      </c>
      <c r="NK10" s="11" t="str">
        <f>IF(NB10&gt;0,NB10,"")</f>
        <v/>
      </c>
      <c r="NL10" s="11" t="str">
        <f>IF(SUM(MU10:MX10)-MY10&gt;0,SUM(MU10:MX10)-MY10,"")</f>
        <v/>
      </c>
      <c r="NM10" s="11" t="str">
        <f>IF(SUM(MZ10:NC10)-ND10&gt;0,SUM(MZ10:NC10)-ND10,"")</f>
        <v/>
      </c>
      <c r="NN10" s="11" t="str">
        <f>IF(SUM(NL10:NM10)&gt;0,SUM(NL10:NM10),"")</f>
        <v/>
      </c>
      <c r="NO10" s="11" t="str">
        <f>IF(NG10&gt;0,NG10,"")</f>
        <v/>
      </c>
      <c r="NP10" s="11" t="str">
        <f>IF(SUM(NE10:NH10)-NI10&gt;0,SUM(NE10:NH10)-NI10,"")</f>
        <v/>
      </c>
      <c r="NQ10" s="11" t="str">
        <f>IF(SUM(NN10,NP10)&gt;0,SUM(NN10,NP10),"")</f>
        <v/>
      </c>
    </row>
    <row r="11" spans="1:381" x14ac:dyDescent="0.2">
      <c r="A11" s="5" cm="1">
        <f t="array" ref="A11">IF(AND(G11&lt;&gt;"",H11&lt;&gt;""),SUMPRODUCT((G$4:G$15&lt;&gt;"")*(H$4:H$15&lt;&gt;"")*(E$4:E$15&gt;E11))+1,IF(H11&lt;&gt;"",SUMPRODUCT((I$4:I$15="No DD")*(E$4:E$15&gt;E11))+1+SUMPRODUCT((G$4:G$15&lt;&gt;"")*(H$4:H$15&lt;&gt;"")),""))</f>
        <v>4</v>
      </c>
      <c r="B11" s="127" t="s">
        <v>151</v>
      </c>
      <c r="C11" s="5" t="s">
        <v>3</v>
      </c>
      <c r="D11" s="5" t="s">
        <v>150</v>
      </c>
      <c r="E11" s="15">
        <f>SUM(K11:S11)</f>
        <v>109.48999999999998</v>
      </c>
      <c r="F11" s="3" t="str">
        <f>IF(G11&lt;&gt;"","P","")</f>
        <v/>
      </c>
      <c r="G11" s="125" t="str">
        <f>IF(OR(AND(AL11&gt;=AR$20,AL11&lt;&gt;"",AK11=""),AND(AP11&gt;=AR$20,AP11&lt;&gt;"",AK11=""),AND(BI11&gt;=BO$20,BI11&lt;&gt;"",BH11=""),AND(BM11&gt;=BO$20,BM11&lt;&gt;"",BH11=""),AND(CF11&gt;=CL$20,CF11&lt;&gt;"",CE11=""),AND(CJ11&gt;=CL$20,CJ11&lt;&gt;"",CE11=""),AND(DF11&gt;=DL$20,DF11&lt;&gt;""),AND(DJ11&gt;=DL$20,DJ11&lt;&gt;""),AND(EB11&gt;=EH$20,EB11&lt;&gt;""),AND(EF11&gt;=EH$20,EF11&lt;&gt;""),AND(EX11&gt;=FD$20,EX11&lt;&gt;""),AND(FB11&gt;=FD$20,FB11&lt;&gt;""),AND(FT11&gt;=FZ$20,FT11&lt;&gt;""),AND(FX11&gt;=FZ$20,FX11&lt;&gt;""),AND(GP11&gt;=GV$20,GP11&lt;&gt;""),AND(GT11&gt;=GV$20,GT11&lt;&gt;""),AND(HL11&gt;=HR$20,HL11&lt;&gt;""),AND(HP11&gt;=HR$20,HP11&lt;&gt;""),AND(IH11&gt;=IN$20,IH11&lt;&gt;""),AND(IL11&gt;=IN$20,IL11&lt;&gt;""),AND(JD11&gt;=JJ$20,JD11&lt;&gt;""),AND(JH11&gt;=JJ$20,JH11&lt;&gt;""),AND(JZ11&gt;=KF$20,JZ11&lt;&gt;""),AND(KD11&gt;=KF$20,KD11&lt;&gt;""),AND(KV11&gt;=LB$20,KV11&lt;&gt;""),AND(KZ11&gt;=LB$20,KZ11&lt;&gt;""),AND(LR11&gt;=LX$20,LR11&lt;&gt;""),AND(LV11&gt;=LX$20,LV11&lt;&gt;""),AND(MN11&gt;=MT$20,MN11&lt;&gt;""),AND(MR11&gt;=MT$20,MR11&lt;&gt;"")),"Merit",IF(OR(AND(AL11&gt;=AR$19,AL11&lt;&gt;"",AK11=""),AND(AP11&gt;=AR$19,AP11&lt;&gt;"",AK11=""),AND(BI11&gt;=BO$19,BI11&lt;&gt;"",BH11=""),AND(BM11&gt;=BO$19,BM11&lt;&gt;"",BH11=""),AND(CF11&gt;=CL$19,CF11&lt;&gt;"",CE11=""),AND(CJ11&gt;=CL$19,CJ11&lt;&gt;"",CE11=""),AND(DF11&gt;=DL$19,DF11&lt;&gt;""),AND(DJ11&gt;=DL$19,DJ11&lt;&gt;""),AND(EB11&gt;=EH$19,EB11&lt;&gt;""),AND(EF11&gt;=EH$19,EF11&lt;&gt;""),AND(EX11&gt;=FD$19,EX11&lt;&gt;""),AND(FB11&gt;=FD$19,FB11&lt;&gt;""),AND(FT11&gt;=FZ$19,FT11&lt;&gt;""),AND(FX11&gt;=FZ$19,FX11&lt;&gt;""),AND(GP11&gt;=GV$19,GP11&lt;&gt;""),AND(GT11&gt;=GV$19,GT11&lt;&gt;""),AND(HL11&gt;=HR$19,HL11&lt;&gt;""),AND(HP11&gt;=HR$19,HP11&lt;&gt;""),AND(IH11&gt;=IN$19,IH11&lt;&gt;""),AND(IL11&gt;=IN$19,IL11&lt;&gt;""),AND(JD11&gt;=JJ$19,JD11&lt;&gt;""),AND(JH11&gt;=JJ$19,JH11&lt;&gt;""),AND(JZ11&gt;=KF$19,JZ11&lt;&gt;""),AND(KD11&gt;=KF$19,KD11&lt;&gt;""),AND(KV11&gt;=LB$19,KV11&lt;&gt;""),AND(KZ11&gt;=LB$19,KZ11&lt;&gt;""),AND(LR11&gt;=LX$19,LR11&lt;&gt;""),AND(LV11&gt;=LX$19,LV11&lt;&gt;""),AND(MN11&gt;=MT$19,MN11&lt;&gt;""),AND(MR11&gt;=MT$19,MR11&lt;&gt;"")),"Excellence",IF(OR(AND(AL11&gt;=AR$18,AL11&lt;&gt;"",AK11=""),AND(AP11&gt;=AR$18,AP11&lt;&gt;"",AK11=""),AND(BI11&gt;=BO$18,BI11&lt;&gt;"",BH11=""),AND(BM11&gt;=BO$18,BM11&lt;&gt;"",BH11=""),AND(CF11&gt;=CL$18,CF11&lt;&gt;"",CE11=""),AND(CJ11&gt;=CL$18,CJ11&lt;&gt;"",CE11=""),AND(DF11&gt;=DL$18,DF11&lt;&gt;""),AND(DJ11&gt;=DL$18,DJ11&lt;&gt;""),AND(EB11&gt;=EH$18,EB11&lt;&gt;""),AND(EF11&gt;=EH$18,EF11&lt;&gt;""),AND(EX11&gt;=FD$18,EX11&lt;&gt;""),AND(FB11&gt;=FD$18,FB11&lt;&gt;""),AND(FT11&gt;=FZ$18,FT11&lt;&gt;""),AND(FX11&gt;=FZ$18,FX11&lt;&gt;""),AND(GP11&gt;=GV$18,GP11&lt;&gt;""),AND(GT11&gt;=GV$18,GT11&lt;&gt;""),AND(HL11&gt;=HR$18,HL11&lt;&gt;""),AND(HP11&gt;=HR$18,HP11&lt;&gt;""),AND(IH11&gt;=IN$18,IH11&lt;&gt;""),AND(IL11&gt;=IN$18,IL11&lt;&gt;""),AND(JD11&gt;=JJ$18,JD11&lt;&gt;""),AND(JH11&gt;=JJ$18,JH11&lt;&gt;""),AND(JZ11&gt;=KF$18,JZ11&lt;&gt;""),AND(KD11&gt;=KF$18,KD11&lt;&gt;""),AND(KV11&gt;=LB$18,KV11&lt;&gt;""),AND(KZ11&gt;=LB$18,KZ11&lt;&gt;""),AND(LR11&gt;=LX$18,LR11&lt;&gt;""),AND(LV11&gt;=LX$18,LV11&lt;&gt;""),AND(MN11&gt;=MT$18,MN11&lt;&gt;""),AND(MR11&gt;=MT$18,MR11&lt;&gt;"")),"Worlds Team",IF(OR(AND(AL11&gt;=AR$17,AL11&lt;&gt;"",AK11=""),AND(AP11&gt;=AR$17,AP11&lt;&gt;"",AK11=""),AND(BI11&gt;=BO$17,BI11&lt;&gt;"",BH11=""),AND(BM11&gt;=BO$17,BM11&lt;&gt;"",BH11=""),AND(CF11&gt;=CL$17,CF11&lt;&gt;"",CE11=""),AND(CJ11&gt;=CL$17,CJ11&lt;&gt;"",CE11=""),AND(DF11&gt;=DL$17,DF11&lt;&gt;""),AND(DJ11&gt;=DL$17,DJ11&lt;&gt;""),AND(EB11&gt;=EH$17,EB11&lt;&gt;""),AND(EF11&gt;=EH$17,EF11&lt;&gt;""),AND(EX11&gt;=FD$17,EX11&lt;&gt;""),AND(FB11&gt;=FD$17,FB11&lt;&gt;""),AND(FT11&gt;=FZ$17,FT11&lt;&gt;""),AND(FX11&gt;=FZ$17,FX11&lt;&gt;""),AND(GP11&gt;=GV$17,GP11&lt;&gt;""),AND(GT11&gt;=GV$17,GT11&lt;&gt;""),AND(HL11&gt;=HR$17,HL11&lt;&gt;""),AND(HP11&gt;=HR$17,HP11&lt;&gt;""),AND(IH11&gt;=IN$17,IH11&lt;&gt;""),AND(IL11&gt;=IN$17,IL11&lt;&gt;""),AND(JD11&gt;=JJ$17,JD11&lt;&gt;""),AND(JH11&gt;=JJ$17,JH11&lt;&gt;""),AND(JZ11&gt;=KF$17,JZ11&lt;&gt;""),AND(KD11&gt;=KF$17,KD11&lt;&gt;""),AND(KV11&gt;=LB$17,KV11&lt;&gt;""),AND(KZ11&gt;=LB$17,KZ11&lt;&gt;""),AND(LR11&gt;=LX$17,LR11&lt;&gt;""),AND(LV11&gt;=LX$17,LV11&lt;&gt;""),AND(MN11&gt;=MT$17,MN11&lt;&gt;""),AND(MR11&gt;=MT$17,MR11&lt;&gt;"")),"National Team",""))))</f>
        <v/>
      </c>
      <c r="H11" s="125" t="str">
        <f>IF(OR(AND(AN11&gt;=AR$24,AN11&lt;&gt;"",AK11=""),AND(AQ11&gt;=AR$24,AQ11&lt;&gt;"",AK11=""),AND(BK11&gt;=BO$24,BK11&lt;&gt;"",BH11=""),AND(BN11&gt;=BO$24,BN11&lt;&gt;"",BH11=""),AND(CH11&gt;=CL$24,CH11&lt;&gt;"",CE11=""),AND(CK11&gt;=CL$24,CE11&lt;&gt;"",CE11=""),AND(DH11&gt;=DL$24,DH11&lt;&gt;""),AND(DK11&gt;=DL$24,DK11&lt;&gt;""),AND(ED11&gt;=EH$24,ED11&lt;&gt;""),AND(EG11&gt;=EH$24,EG11&lt;&gt;""),AND(EZ11&gt;=FD$24,EZ11&lt;&gt;""),AND(FC11&gt;=FD$24,FC11&lt;&gt;""),AND(FV11&gt;=FZ$24,FV11&lt;&gt;""),AND(FY11&gt;=FZ$24,FY11&lt;&gt;""),AND(GR11&gt;=GV$24,GR11&lt;&gt;""),AND(GU11&gt;=GV$24,GU11&lt;&gt;""),AND(HN11&gt;=HR$24,HN11&lt;&gt;""),AND(HQ11&gt;=HR$24,HQ11&lt;&gt;""),AND(IJ11&gt;=IN$24,IJ11&lt;&gt;""),AND(IM11&gt;=IN$24,IM11&lt;&gt;""),AND(JF11&gt;=JJ$24,JF11&lt;&gt;""),AND(JI11&gt;=JJ$24,JI11&lt;&gt;""),AND(KB11&gt;=KF$24,KB11&lt;&gt;""),AND(KE11&gt;=KF$24,KE11&lt;&gt;""),AND(KX11&gt;=LB$24,KX11&lt;&gt;""),AND(LA11&gt;=LB$24,LA11&lt;&gt;""),AND(LT11&gt;=LX$24,LT11&lt;&gt;""),AND(LW11&gt;=LX$24,LW11&lt;&gt;""),AND(MP11&gt;=MT$24,MP11&lt;&gt;""),AND(MS11&gt;=MT$24,MS11&lt;&gt;"")),"Merit",IF(OR(AND(AN11&gt;=AR$23,AN11&lt;&gt;"",AK11=""),AND(AQ11&gt;=AR$23,AQ11&lt;&gt;"",AK11=""),AND(BK11&gt;=BO$23,BK11&lt;&gt;"",BH11=""),AND(BN11&gt;=BO$23,BN11&lt;&gt;"",BH11=""),AND(CH11&gt;=CL$23,CH11&lt;&gt;"",CE11=""),AND(CK11&gt;=CL$23,CE11&lt;&gt;"",CE11=""),AND(DH11&gt;=DL$23,DH11&lt;&gt;""),AND(DK11&gt;=DL$23,DK11&lt;&gt;""),AND(ED11&gt;=EH$23,ED11&lt;&gt;""),AND(EG11&gt;=EH$23,EG11&lt;&gt;""),AND(EZ11&gt;=FD$23,EZ11&lt;&gt;""),AND(FC11&gt;=FD$23,FC11&lt;&gt;""),AND(FV11&gt;=FZ$23,FV11&lt;&gt;""),AND(FY11&gt;=FZ$23,FY11&lt;&gt;""),AND(GR11&gt;=GV$23,GR11&lt;&gt;""),AND(GU11&gt;=GV$23,GU11&lt;&gt;""),AND(HN11&gt;=HR$23,HN11&lt;&gt;""),AND(HQ11&gt;=HR$23,HQ11&lt;&gt;""),AND(IJ11&gt;=IN$23,IJ11&lt;&gt;""),AND(IM11&gt;=IN$23,IM11&lt;&gt;""),AND(JF11&gt;=JJ$23,JF11&lt;&gt;""),AND(JI11&gt;=JJ$23,JI11&lt;&gt;""),AND(KB11&gt;=KF$23,KB11&lt;&gt;""),AND(KE11&gt;=KF$23,KE11&lt;&gt;""),AND(KX11&gt;=LB$23,KX11&lt;&gt;""),AND(LA11&gt;=LB$23,LA11&lt;&gt;""),AND(LT11&gt;=LX$23,LT11&lt;&gt;""),AND(LW11&gt;=LX$23,LW11&lt;&gt;""),AND(MP11&gt;=MT$23,MP11&lt;&gt;""),AND(MS11&gt;=MT$23,MS11&lt;&gt;"")),"Excellence",IF(OR(AND(AO11&gt;=AR$22,AO11&lt;&gt;"",AK11=""),AND(BL11&gt;=BO$22,BL11&lt;&gt;"",BH11=""),AND(CI11&gt;=CL$22,CI11&lt;&gt;"",CE11=""),AND(DI11&gt;=DL$22,DI11&lt;&gt;""),AND(EE11&gt;=EH$22,EE11&lt;&gt;""),AND(FA11&gt;=FD$22,FA11&lt;&gt;""),AND(FW11&gt;=FZ$22,FW11&lt;&gt;""),AND(GS11&gt;=GV$22,GS11&lt;&gt;""),AND(HO11&gt;=HR$22,HO11&lt;&gt;""),AND(IK11&gt;=IN$22,IK11&lt;&gt;""),AND(JG11&gt;=JJ$22,JG11&lt;&gt;""),AND(KC11&gt;=KF$22,KC11&lt;&gt;""),AND(KY11&gt;=LB$22,KY11&lt;&gt;""),AND(LU11&gt;=LX$22,LU11&lt;&gt;""),AND(MQ11&gt;=MT$22,MQ11&lt;&gt;"")),"Worlds Team",IF(OR(AND(AO11&gt;=AR$21,AO11&lt;&gt;"",AK11=""),AND(BL11&gt;=BO$21,BL11&lt;&gt;"",BH11=""),AND(CI11&gt;=CL$21,CI11&lt;&gt;"",CE11=""),AND(DI11&gt;=DL$21,DI11&lt;&gt;""),AND(EE11&gt;=EH$21,EE11&lt;&gt;""),AND(FA11&gt;=FD$21,FA11&lt;&gt;""),AND(FW11&gt;=FZ$21,FW11&lt;&gt;""),AND(GS11&gt;=GV$21,GS11&lt;&gt;""),AND(HO11&gt;=HR$21,HO11&lt;&gt;""),AND(IK11&gt;=IN$21,IK11&lt;&gt;""),AND(JG11&gt;=JJ$21,JG11&lt;&gt;""),AND(KC11&gt;=KF$21,KC11&lt;&gt;""),AND(KY11&gt;=LB$21,KY11&lt;&gt;""),AND(LU11&gt;=LX$21,LU11&lt;&gt;""),AND(MQ11&gt;=MT$21,MQ11&lt;&gt;"")),"National Team",""))))</f>
        <v>Merit</v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>No DD</v>
      </c>
      <c r="J11" s="3" t="str">
        <f>IF(AND(OR(AND(AO11&gt;=AR$22,AO11&lt;&gt;"",AK11=""),AND(BL11&gt;=BO$22,BL11&lt;&gt;"",BH11=""),AND(CI11&gt;=CL$22,CI11&lt;&gt;"",CE11=""),AND(DI11&gt;=DL$22,DI11&lt;&gt;""),AND(EE11&gt;=EH$22,EE11&lt;&gt;""),AND(FA11&gt;=FD$22,FA11&lt;&gt;""),AND(FW11&gt;=FZ$22,FW11&lt;&gt;""),AND(GS11&gt;=GV$22,GS11&lt;&gt;""),AND(HO11&gt;=HR$22,HO11&lt;&gt;""),AND(IK11&gt;=IN$22,IK11&lt;&gt;""),AND(JG11&gt;=JJ$22,JG11&lt;&gt;""),AND(KC11&gt;=KF$22,KC11&lt;&gt;""),AND(KY11&gt;=LB$22,KY11&lt;&gt;""),AND(LU11&gt;=LX$22,LU11&lt;&gt;""),AND(MQ11&gt;=MT$22,MQ11&lt;&gt;"")),OR(G11="Worlds Team",G11="Excellence",G11="Merit")),"P","")</f>
        <v/>
      </c>
      <c r="K11" s="14">
        <f>MAX(AO11,BL11,CI11)</f>
        <v>86.169999999999987</v>
      </c>
      <c r="L11" s="14" t="str">
        <f>IF(K11=0,"",IF(K11=CI11,$BP$1,IF(K11=BL11,$AS$1,IF(K11=AO11,$V$1,""))))</f>
        <v>2019 Nationals</v>
      </c>
      <c r="M11" s="14">
        <f>IF($K11=$AO11,MAX(BJ11,CG11),IF($K11=$BL11,MAX(AM11,CG11),IF($K11=$CI11,MAX(AM11,BJ11),MAX(AM11,BJ11,CG11))))</f>
        <v>0</v>
      </c>
      <c r="N11" s="14" t="str">
        <f>IF(M11=0,"",IF(AND(M11=CG11,$L11&lt;&gt;$BP$1),$BP$1,IF(AND(M11=BJ11,$L11&lt;&gt;$AS$1),$AS$1,IF(AND(M11=AM11,$L11&lt;&gt;$V$1),$V$1,""))))</f>
        <v/>
      </c>
      <c r="O11" s="14">
        <f>IF($K11=$AO11,MAX(CH11,BK11),IF($K11=$BL11,MAX(AN11,CH11),IF($K11=$CI11,MAX(AN11,BK11),MAX(AN11,BK11,CH11))))</f>
        <v>0</v>
      </c>
      <c r="P11" s="14" t="str">
        <f>IF(O11=0,"",IF(AND(O11=CH11,$L11&lt;&gt;$BP$1),$BP$1,IF(AND(O11=BK11,$L11&lt;&gt;$AS$1),$AS$1,IF(AND(O11=AN11,$L11&lt;&gt;$V$1),$V$1,""))))</f>
        <v/>
      </c>
      <c r="Q11" s="14">
        <f>MAX(AQ11,BN11,CK11)</f>
        <v>23.32</v>
      </c>
      <c r="R11" s="14" t="str">
        <f>IF(Q11=0,"",IF(Q11=CK11,$BP$1,IF(Q11=BN11,$AS$1,IF(Q11=AQ11,$V$1,""))))</f>
        <v>2019 Nationals</v>
      </c>
      <c r="S11" s="14" t="str">
        <f>IF(MAX(CM11,CN11,CO11,CP11)&gt;0,MAX(CM11,CN11,CO11,CP11),"")</f>
        <v/>
      </c>
      <c r="T11" s="25" t="str">
        <f>IF(S11="","",IF(S11=CM11,"(Vol 1)",IF(S11=CN11,"(Vol 2)",IF(S11=CO11,"(Prelim)",IF(S11=CP11,"(Final)")))))</f>
        <v/>
      </c>
      <c r="U11" s="14" t="str">
        <f>IF(S11="","",IF(S11=CM11,IF(S11+IF(M11="",0,M11)=MO11,$LY$1,IF(S11+IF(M11="",0,M11)=LS11,$LC$1,IF(S11+IF(M11="",0,M11)=KW11,$KG$1,IF(S11+IF(M11="",0,M11)=KA11,$JK$1,IF(S11+IF(M11="",0,M11)=JE11,$IO$1,IF(S11+IF(M11="",0,M11)=II11,$HS$1,IF(S11+IF(M11="",0,M11)=HM11,$GW$1,IF(S11+IF(M11="",0,M11)=GQ11,$GA$1,IF(S11+IF(M11="",0,M11)=FU11,$FE$1,IF(S11+IF(M11="",0,M11)=EY11,$EI$1,IF(S11+IF(M11="",0,M11)=EC11,$DM$1,IF(S11+IF(M11="",0,M11)=DG11,$CQ$1)))))))))))),IF(S11=CN11,IF(S11+IF(O11="",0,O11)=MP11,$LY$1,IF(S11+IF(O11="",0,O11)=LT11,$LC$1,IF(S11+IF(O11="",0,O11)=KX11,$KG$1,IF(S11+IF(O11="",0,O11)=KB11,$JK$1,IF(S11+IF(O11="",0,O11)=JF11,$IO$1,IF(S11+IF(O11="",0,O11)=IJ11,$HS$1,IF(S11+IF(O11="",0,O11)=HN11,$GW$1,IF(S11+IF(O11="",0,O11)=GR11,$GA$1,IF(S11+IF(O11="",0,O11)=FV11,$FE$1,IF(S11+IF(O11="",0,O11)=EZ11,$EI$1,IF(S11+IF(O11="",0,O11)=ED11,$DM$1,IF(S11+IF(O11="",0,O11)=DH11,$CQ$1)))))))))))),IF(S11=CO11,IF(S11+IF(K11="",0,K11)=MQ11,$LY$1,IF(S11+IF(K11="",0,K11)=LU11,$LC$1,IF(S11+IF(K11="",0,K11)=KY11,$KG$1,IF(S11+IF(K11="",0,K11)=KC11,$JK$1,IF(S11+IF(K11="",0,K11)=JG11,$IO$1,IF(S11+IF(K11="",0,K11)=IK11,$HS$1,IF(S11+IF(K11="",0,K11)=HO11,$GW$1,IF(S11+IF(K11="",0,K11)=GS11,$GA$1,IF(S11+IF(K11="",0,K11)=FW11,$FE$1,IF(S11+IF(K11="",0,K11)=FA11,$EI$1,IF(S11+IF(K11="",0,K11)=EE11,$DM$1,IF(S11+IF(K11="",0,K11)=DI11,$CQ$1)))))))))))),IF(S11=CP11,IF(S11+IF(Q11="",0,Q11)=MS11,$LY$1,IF(S11+IF(Q11="",0,Q11)=LW11,$LC$1,IF(S11+IF(Q11="",0,Q11)=LA11,$KG$1,IF(S11+IF(Q11="",0,Q11)=KE11,$JK$1,IF(S11+IF(Q11="",0,Q11)=JI11,$IO$1,IF(S11+IF(Q11="",0,Q11)=IM11,$HS$1,IF(S11+IF(Q11="",0,Q11)=HQ11,$GW$1,IF(S11+IF(Q11="",0,Q11)=GU11,$GA$1,IF(S11+IF(Q11="",0,Q11)=FY11,$FE$1,IF(S11+IF(Q11="",0,Q11)=FC11,$EI$1,IF(S11+IF(Q11="",0,Q11)=EG11,$DM$1,IF(S11+IF(Q11="",0,Q11)=DK11,$CQ$1)))))))))))))))))</f>
        <v/>
      </c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80"/>
      <c r="AL11" s="11" t="str">
        <f>IF(AC11&gt;0,AC11,"")</f>
        <v/>
      </c>
      <c r="AM11" s="11" t="str">
        <f>IF(SUM(V11:Y11)-Z11&gt;0,SUM(V11:Y11)-Z11,"")</f>
        <v/>
      </c>
      <c r="AN11" s="11" t="str">
        <f>IF(SUM(AA11:AD11)-AE11&gt;0,SUM(AA11:AD11)-AE11,"")</f>
        <v/>
      </c>
      <c r="AO11" s="11" t="str">
        <f>IF(SUM(AM11:AN11)&gt;0,SUM(AM11:AN11),"")</f>
        <v/>
      </c>
      <c r="AP11" s="11" t="str">
        <f>IF(AH11&gt;0,AH11,"")</f>
        <v/>
      </c>
      <c r="AQ11" s="11" t="str">
        <f>IF(SUM(AF11:AI11)-AJ11&gt;0,SUM(AF11:AI11)-AJ11,"")</f>
        <v/>
      </c>
      <c r="AR11" s="11" t="str">
        <f>IF(SUM(AO11,AQ11)&gt;0,SUM(AO11,AQ11),"")</f>
        <v/>
      </c>
      <c r="AS11" s="40">
        <v>8.85</v>
      </c>
      <c r="AT11" s="40">
        <v>9.4499999999999993</v>
      </c>
      <c r="AU11" s="40">
        <v>3.3</v>
      </c>
      <c r="AV11" s="40">
        <v>18.66</v>
      </c>
      <c r="AW11" s="40">
        <v>0</v>
      </c>
      <c r="AX11" s="40">
        <v>8</v>
      </c>
      <c r="AY11" s="40">
        <v>9.15</v>
      </c>
      <c r="AZ11" s="40">
        <v>10.5</v>
      </c>
      <c r="BA11" s="40">
        <v>18.260000000000002</v>
      </c>
      <c r="BB11" s="40">
        <v>0</v>
      </c>
      <c r="BC11" s="40">
        <v>4</v>
      </c>
      <c r="BD11" s="40">
        <v>4.8</v>
      </c>
      <c r="BE11" s="40">
        <v>5.7</v>
      </c>
      <c r="BF11" s="40">
        <v>8.82</v>
      </c>
      <c r="BG11" s="40">
        <v>0</v>
      </c>
      <c r="BH11" s="81"/>
      <c r="BI11" s="14">
        <f>IF(AZ11&gt;0,AZ11,"")</f>
        <v>10.5</v>
      </c>
      <c r="BJ11" s="14">
        <f>IF(SUM(AS11:AV11)-AW11&gt;0,SUM(AS11:AV11)-AW11,"")</f>
        <v>40.26</v>
      </c>
      <c r="BK11" s="14">
        <f>IF(SUM(AX11:BA11)-BB11&gt;0,SUM(AX11:BA11)-BB11,"")</f>
        <v>45.91</v>
      </c>
      <c r="BL11" s="14">
        <f>IF(SUM(BJ11:BK11)&gt;0,SUM(BJ11:BK11),"")</f>
        <v>86.169999999999987</v>
      </c>
      <c r="BM11" s="14">
        <f>IF(BE11&gt;0,BE11,"")</f>
        <v>5.7</v>
      </c>
      <c r="BN11" s="14">
        <f>IF(SUM(BC11:BF11)-BG11&gt;0,SUM(BC11:BF11)-BG11,"")</f>
        <v>23.32</v>
      </c>
      <c r="BO11" s="14">
        <f>IF(SUM(BL11,BN11)&gt;0,SUM(BL11,BN11),"")</f>
        <v>109.48999999999998</v>
      </c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80"/>
      <c r="CF11" s="11" t="str">
        <f>IF(BW11&gt;0,BW11,"")</f>
        <v/>
      </c>
      <c r="CG11" s="11" t="str">
        <f>IF(SUM(BP11:BS11)-BT11&gt;0,SUM(BP11:BS11)-BT11,"")</f>
        <v/>
      </c>
      <c r="CH11" s="11" t="str">
        <f>IF(SUM(BU11:BX11)-BY11&gt;0,SUM(BU11:BX11)-BY11,"")</f>
        <v/>
      </c>
      <c r="CI11" s="11" t="str">
        <f>IF(SUM(CG11:CH11)&gt;0,SUM(CG11:CH11),"")</f>
        <v/>
      </c>
      <c r="CJ11" s="11" t="str">
        <f>IF(CB11&gt;0,CB11,"")</f>
        <v/>
      </c>
      <c r="CK11" s="11" t="str">
        <f>IF(SUM(BZ11:CC11)-CD11&gt;0,SUM(BZ11:CC11)-CD11,"")</f>
        <v/>
      </c>
      <c r="CL11" s="11" t="str">
        <f>IF(SUM(CI11,CK11)&gt;0,SUM(CI11,CK11),"")</f>
        <v/>
      </c>
      <c r="CM11" s="24" t="str">
        <f>IF(MAX(DG11,EC11,EY11,FU11,GQ11,HM11,II11,JE11,KA11,KW11,LS11,MO11)-IF(M11="",0,M11)&gt;0.001,MAX(DG11,EC11,EY11,FU11,GQ11,HM11,II11,JE11,KA11,KW11,LS11,MO11)-IF(M11="",0,M11),"")</f>
        <v/>
      </c>
      <c r="CN11" s="24" t="str">
        <f>IF(MAX(DH11,ED11,EZ11,FV11,GR11,HN11,IJ11,JF11,KB11,KX11,LT11,MP11)-IF(O11="",0,O11)&gt;0.001,MAX(DH11,ED11,EZ11,FV11,GR11,HN11,IJ11,JF11,KB11,KX11,LT11,MP11)-IF(O11="",0,O11),"")</f>
        <v/>
      </c>
      <c r="CO11" s="24" t="str">
        <f>IF(MAX(DI11,EE11,FA11,FW11,GS11,HO11,IK11,JG11,KC11,KY11,LU11,MQ11)-IF(K11="",0,K11)&gt;0.001,MAX(DI11,EE11,FA11,FW11,GS11,HO11,IK11,JG11,KC11,KY11,LU11,MQ11)-IF(K11="",0,K11),"")</f>
        <v/>
      </c>
      <c r="CP11" s="24" t="str">
        <f>IF(MAX(DK11,EG11,FC11,FY11,GU11,HQ11,IM11,JI11,KE11,LA11,LW11,MS11)-IF(Q11="",0,Q11)&gt;0.001,MAX(DK11,EG11,FC11,FY11,GU11,HQ11,IM11,JI11,KE11,LA11,LW11,MS11)-IF(Q11="",0,Q11),"")</f>
        <v/>
      </c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11" t="str">
        <f>IF(CX11&gt;0,CX11,"")</f>
        <v/>
      </c>
      <c r="DG11" s="11" t="str">
        <f>IF(SUM(CQ11:CT11)-CU11&gt;0,SUM(CQ11:CT11)-CU11,"")</f>
        <v/>
      </c>
      <c r="DH11" s="11" t="str">
        <f>IF(SUM(CV11:CY11)-CZ11&gt;0,SUM(CV11:CY11)-CZ11,"")</f>
        <v/>
      </c>
      <c r="DI11" s="11" t="str">
        <f>IF(SUM(DG11:DH11)&gt;0,SUM(DG11:DH11),"")</f>
        <v/>
      </c>
      <c r="DJ11" s="11" t="str">
        <f>IF(DC11&gt;0,DC11,"")</f>
        <v/>
      </c>
      <c r="DK11" s="11" t="str">
        <f>IF(SUM(DA11:DD11)-DE11&gt;0,SUM(DA11:DD11)-DE11,"")</f>
        <v/>
      </c>
      <c r="DL11" s="11" t="str">
        <f>IF(SUM(DI11,DK11)&gt;0,SUM(DI11,DK11),"")</f>
        <v/>
      </c>
      <c r="DM11" s="38"/>
      <c r="DN11" s="38"/>
      <c r="DO11" s="38"/>
      <c r="DP11" s="38"/>
      <c r="DQ11" s="38"/>
      <c r="DR11" s="38"/>
      <c r="DS11" s="38"/>
      <c r="DT11" s="38"/>
      <c r="DU11" s="38"/>
      <c r="DV11" s="38"/>
      <c r="DW11" s="38"/>
      <c r="DX11" s="38"/>
      <c r="DY11" s="38"/>
      <c r="DZ11" s="38"/>
      <c r="EA11" s="38"/>
      <c r="EB11" s="14" t="str">
        <f>IF(DT11&gt;0,DT11,"")</f>
        <v/>
      </c>
      <c r="EC11" s="14" t="str">
        <f>IF(SUM(DM11:DP11)-DQ11&gt;0,SUM(DM11:DP11)-DQ11,"")</f>
        <v/>
      </c>
      <c r="ED11" s="14" t="str">
        <f>IF(SUM(DR11:DU11)-DV11&gt;0,SUM(DR11:DU11)-DV11,"")</f>
        <v/>
      </c>
      <c r="EE11" s="14" t="str">
        <f>IF(SUM(EC11:ED11)&gt;0,SUM(EC11:ED11),"")</f>
        <v/>
      </c>
      <c r="EF11" s="14" t="str">
        <f>IF(DY11&gt;0,DY11,"")</f>
        <v/>
      </c>
      <c r="EG11" s="14" t="str">
        <f>IF(SUM(DW11:DZ11)-EA11&gt;0,SUM(DW11:DZ11)-EA11,"")</f>
        <v/>
      </c>
      <c r="EH11" s="14" t="str">
        <f>IF(SUM(EE11,EG11)&gt;0,SUM(EE11,EG11),"")</f>
        <v/>
      </c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11" t="str">
        <f>IF(EP11&gt;0,EP11,"")</f>
        <v/>
      </c>
      <c r="EY11" s="11" t="str">
        <f>IF(SUM(EI11:EL11)-EM11&gt;0,SUM(EI11:EL11)-EM11,"")</f>
        <v/>
      </c>
      <c r="EZ11" s="11" t="str">
        <f>IF(SUM(EN11:EQ11)-ER11&gt;0,SUM(EN11:EQ11)-ER11,"")</f>
        <v/>
      </c>
      <c r="FA11" s="11" t="str">
        <f>IF(SUM(EY11:EZ11)&gt;0,SUM(EY11:EZ11),"")</f>
        <v/>
      </c>
      <c r="FB11" s="11" t="str">
        <f>IF(EU11&gt;0,EU11,"")</f>
        <v/>
      </c>
      <c r="FC11" s="11" t="str">
        <f>IF(SUM(ES11:EV11)-EW11&gt;0,SUM(ES11:EV11)-EW11,"")</f>
        <v/>
      </c>
      <c r="FD11" s="11" t="str">
        <f>IF(SUM(FA11,FC11)&gt;0,SUM(FA11,FC11),"")</f>
        <v/>
      </c>
      <c r="FE11" s="38"/>
      <c r="FF11" s="38"/>
      <c r="FG11" s="38"/>
      <c r="FH11" s="38"/>
      <c r="FI11" s="38"/>
      <c r="FJ11" s="38"/>
      <c r="FK11" s="38"/>
      <c r="FL11" s="38"/>
      <c r="FM11" s="38"/>
      <c r="FN11" s="38"/>
      <c r="FO11" s="38"/>
      <c r="FP11" s="38"/>
      <c r="FQ11" s="38"/>
      <c r="FR11" s="38"/>
      <c r="FS11" s="38"/>
      <c r="FT11" s="14" t="str">
        <f>IF(FL11&gt;0,FL11,"")</f>
        <v/>
      </c>
      <c r="FU11" s="14" t="str">
        <f>IF(SUM(FE11:FH11)-FI11&gt;0,SUM(FE11:FH11)-FI11,"")</f>
        <v/>
      </c>
      <c r="FV11" s="14" t="str">
        <f>IF(SUM(FJ11:FM11)-FN11&gt;0,SUM(FJ11:FM11)-FN11,"")</f>
        <v/>
      </c>
      <c r="FW11" s="14" t="str">
        <f>IF(SUM(FU11:FV11)&gt;0,SUM(FU11:FV11),"")</f>
        <v/>
      </c>
      <c r="FX11" s="14" t="str">
        <f>IF(FQ11&gt;0,FQ11,"")</f>
        <v/>
      </c>
      <c r="FY11" s="14" t="str">
        <f>IF(SUM(FO11:FR11)-FS11&gt;0,SUM(FO11:FR11)-FS11,"")</f>
        <v/>
      </c>
      <c r="FZ11" s="14" t="str">
        <f>IF(SUM(FW11,FY11)&gt;0,SUM(FW11,FY11),"")</f>
        <v/>
      </c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11" t="str">
        <f>IF(GH11&gt;0,GH11,"")</f>
        <v/>
      </c>
      <c r="GQ11" s="11" t="str">
        <f>IF(SUM(GA11:GD11)-GE11&gt;0,SUM(GA11:GD11)-GE11,"")</f>
        <v/>
      </c>
      <c r="GR11" s="11" t="str">
        <f>IF(SUM(GF11:GI11)-GJ11&gt;0,SUM(GF11:GI11)-GJ11,"")</f>
        <v/>
      </c>
      <c r="GS11" s="11" t="str">
        <f>IF(SUM(GQ11:GR11)&gt;0,SUM(GQ11:GR11),"")</f>
        <v/>
      </c>
      <c r="GT11" s="11" t="str">
        <f>IF(GM11&gt;0,GM11,"")</f>
        <v/>
      </c>
      <c r="GU11" s="11" t="str">
        <f>IF(SUM(GK11:GN11)-GO11&gt;0,SUM(GK11:GN11)-GO11,"")</f>
        <v/>
      </c>
      <c r="GV11" s="11" t="str">
        <f>IF(SUM(GS11,GU11)&gt;0,SUM(GS11,GU11),"")</f>
        <v/>
      </c>
      <c r="GW11" s="38"/>
      <c r="GX11" s="38"/>
      <c r="GY11" s="38"/>
      <c r="GZ11" s="38"/>
      <c r="HA11" s="38"/>
      <c r="HB11" s="38"/>
      <c r="HC11" s="38"/>
      <c r="HD11" s="38"/>
      <c r="HE11" s="38"/>
      <c r="HF11" s="38"/>
      <c r="HG11" s="38"/>
      <c r="HH11" s="38"/>
      <c r="HI11" s="38"/>
      <c r="HJ11" s="38"/>
      <c r="HK11" s="38"/>
      <c r="HL11" s="14" t="str">
        <f>IF(HD11&gt;0,HD11,"")</f>
        <v/>
      </c>
      <c r="HM11" s="14" t="str">
        <f>IF(SUM(GW11:GZ11)-HA11&gt;0,SUM(GW11:GZ11)-HA11,"")</f>
        <v/>
      </c>
      <c r="HN11" s="14" t="str">
        <f>IF(SUM(HB11:HE11)-HF11&gt;0,SUM(HB11:HE11)-HF11,"")</f>
        <v/>
      </c>
      <c r="HO11" s="14" t="str">
        <f>IF(SUM(HM11:HN11)&gt;0,SUM(HM11:HN11),"")</f>
        <v/>
      </c>
      <c r="HP11" s="14" t="str">
        <f>IF(HI11&gt;0,HI11,"")</f>
        <v/>
      </c>
      <c r="HQ11" s="14" t="str">
        <f>IF(SUM(HG11:HJ11)-HK11&gt;0,SUM(HG11:HJ11)-HK11,"")</f>
        <v/>
      </c>
      <c r="HR11" s="14" t="str">
        <f>IF(SUM(HO11,HQ11)&gt;0,SUM(HO11,HQ11),"")</f>
        <v/>
      </c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11" t="str">
        <f>IF(HZ11&gt;0,HZ11,"")</f>
        <v/>
      </c>
      <c r="II11" s="11" t="str">
        <f>IF(SUM(HS11:HV11)-HW11&gt;0,SUM(HS11:HV11)-HW11,"")</f>
        <v/>
      </c>
      <c r="IJ11" s="11" t="str">
        <f>IF(SUM(HX11:IA11)-IB11&gt;0,SUM(HX11:IA11)-IB11,"")</f>
        <v/>
      </c>
      <c r="IK11" s="11" t="str">
        <f>IF(SUM(II11:IJ11)&gt;0,SUM(II11:IJ11),"")</f>
        <v/>
      </c>
      <c r="IL11" s="11" t="str">
        <f>IF(IE11&gt;0,IE11,"")</f>
        <v/>
      </c>
      <c r="IM11" s="11" t="str">
        <f>IF(SUM(IC11:IF11)-IG11&gt;0,SUM(IC11:IF11)-IG11,"")</f>
        <v/>
      </c>
      <c r="IN11" s="11" t="str">
        <f>IF(SUM(IK11,IM11)&gt;0,SUM(IK11,IM11),"")</f>
        <v/>
      </c>
      <c r="IO11" s="38"/>
      <c r="IP11" s="38"/>
      <c r="IQ11" s="38"/>
      <c r="IR11" s="38"/>
      <c r="IS11" s="38"/>
      <c r="IT11" s="38"/>
      <c r="IU11" s="38"/>
      <c r="IV11" s="38"/>
      <c r="IW11" s="38"/>
      <c r="IX11" s="38"/>
      <c r="IY11" s="38"/>
      <c r="IZ11" s="38"/>
      <c r="JA11" s="38"/>
      <c r="JB11" s="38"/>
      <c r="JC11" s="38"/>
      <c r="JD11" s="14" t="str">
        <f>IF(IV11&gt;0,IV11,"")</f>
        <v/>
      </c>
      <c r="JE11" s="14" t="str">
        <f>IF(SUM(IO11:IR11)-IS11&gt;0,SUM(IO11:IR11)-IS11,"")</f>
        <v/>
      </c>
      <c r="JF11" s="14" t="str">
        <f>IF(SUM(IT11:IW11)-IX11&gt;0,SUM(IT11:IW11)-IX11,"")</f>
        <v/>
      </c>
      <c r="JG11" s="14" t="str">
        <f>IF(SUM(JE11:JF11)&gt;0,SUM(JE11:JF11),"")</f>
        <v/>
      </c>
      <c r="JH11" s="14" t="str">
        <f>IF(JA11&gt;0,JA11,"")</f>
        <v/>
      </c>
      <c r="JI11" s="14" t="str">
        <f>IF(SUM(IY11:JB11)-JC11&gt;0,SUM(IY11:JB11)-JC11,"")</f>
        <v/>
      </c>
      <c r="JJ11" s="14" t="str">
        <f>IF(SUM(JG11,JI11)&gt;0,SUM(JG11,JI11),"")</f>
        <v/>
      </c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11" t="str">
        <f>IF(JR11&gt;0,JR11,"")</f>
        <v/>
      </c>
      <c r="KA11" s="11" t="str">
        <f>IF(SUM(JK11:JN11)-JO11&gt;0,SUM(JK11:JN11)-JO11,"")</f>
        <v/>
      </c>
      <c r="KB11" s="11" t="str">
        <f>IF(SUM(JP11:JS11)-JT11&gt;0,SUM(JP11:JS11)-JT11,"")</f>
        <v/>
      </c>
      <c r="KC11" s="11" t="str">
        <f>IF(SUM(KA11:KB11)&gt;0,SUM(KA11:KB11),"")</f>
        <v/>
      </c>
      <c r="KD11" s="11" t="str">
        <f>IF(JW11&gt;0,JW11,"")</f>
        <v/>
      </c>
      <c r="KE11" s="11" t="str">
        <f>IF(SUM(JU11:JX11)-JY11&gt;0,SUM(JU11:JX11)-JY11,"")</f>
        <v/>
      </c>
      <c r="KF11" s="11" t="str">
        <f>IF(SUM(KC11,KE11)&gt;0,SUM(KC11,KE11),"")</f>
        <v/>
      </c>
      <c r="KG11" s="38"/>
      <c r="KH11" s="38"/>
      <c r="KI11" s="38"/>
      <c r="KJ11" s="38"/>
      <c r="KK11" s="38"/>
      <c r="KL11" s="38"/>
      <c r="KM11" s="38"/>
      <c r="KN11" s="38"/>
      <c r="KO11" s="38"/>
      <c r="KP11" s="38"/>
      <c r="KQ11" s="38"/>
      <c r="KR11" s="38"/>
      <c r="KS11" s="38"/>
      <c r="KT11" s="38"/>
      <c r="KU11" s="38"/>
      <c r="KV11" s="14" t="str">
        <f>IF(KN11&gt;0,KN11,"")</f>
        <v/>
      </c>
      <c r="KW11" s="14" t="str">
        <f>IF(SUM(KG11:KJ11)-KK11&gt;0,SUM(KG11:KJ11)-KK11,"")</f>
        <v/>
      </c>
      <c r="KX11" s="14" t="str">
        <f>IF(SUM(KL11:KO11)-KP11&gt;0,SUM(KL11:KO11)-KP11,"")</f>
        <v/>
      </c>
      <c r="KY11" s="14" t="str">
        <f>IF(SUM(KW11:KX11)&gt;0,SUM(KW11:KX11),"")</f>
        <v/>
      </c>
      <c r="KZ11" s="14" t="str">
        <f>IF(KS11&gt;0,KS11,"")</f>
        <v/>
      </c>
      <c r="LA11" s="14" t="str">
        <f>IF(SUM(KQ11:KT11)-KU11&gt;0,SUM(KQ11:KT11)-KU11,"")</f>
        <v/>
      </c>
      <c r="LB11" s="14" t="str">
        <f>IF(SUM(KY11,LA11)&gt;0,SUM(KY11,LA11),"")</f>
        <v/>
      </c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11" t="str">
        <f>IF(LJ11&gt;0,LJ11,"")</f>
        <v/>
      </c>
      <c r="LS11" s="11" t="str">
        <f>IF(SUM(LC11:LF11)-LG11&gt;0,SUM(LC11:LF11)-LG11,"")</f>
        <v/>
      </c>
      <c r="LT11" s="11" t="str">
        <f>IF(SUM(LH11:LK11)-LL11&gt;0,SUM(LH11:LK11)-LL11,"")</f>
        <v/>
      </c>
      <c r="LU11" s="11" t="str">
        <f>IF(SUM(LS11:LT11)&gt;0,SUM(LS11:LT11),"")</f>
        <v/>
      </c>
      <c r="LV11" s="11" t="str">
        <f>IF(LO11&gt;0,LO11,"")</f>
        <v/>
      </c>
      <c r="LW11" s="11" t="str">
        <f>IF(SUM(LM11:LP11)-LQ11&gt;0,SUM(LM11:LP11)-LQ11,"")</f>
        <v/>
      </c>
      <c r="LX11" s="11" t="str">
        <f>IF(SUM(LU11,LW11)&gt;0,SUM(LU11,LW11),"")</f>
        <v/>
      </c>
      <c r="LY11" s="38"/>
      <c r="LZ11" s="38"/>
      <c r="MA11" s="38"/>
      <c r="MB11" s="38"/>
      <c r="MC11" s="38"/>
      <c r="MD11" s="38"/>
      <c r="ME11" s="38"/>
      <c r="MF11" s="38"/>
      <c r="MG11" s="38"/>
      <c r="MH11" s="38"/>
      <c r="MI11" s="38"/>
      <c r="MJ11" s="38"/>
      <c r="MK11" s="38"/>
      <c r="ML11" s="38"/>
      <c r="MM11" s="38"/>
      <c r="MN11" s="14" t="str">
        <f>IF(MF11&gt;0,MF11,"")</f>
        <v/>
      </c>
      <c r="MO11" s="14" t="str">
        <f>IF(SUM(LY11:MB11)-MC11&gt;0,SUM(LY11:MB11)-MC11,"")</f>
        <v/>
      </c>
      <c r="MP11" s="14" t="str">
        <f>IF(SUM(MD11:MG11)-MH11&gt;0,SUM(MD11:MG11)-MH11,"")</f>
        <v/>
      </c>
      <c r="MQ11" s="14" t="str">
        <f>IF(SUM(MO11:MP11)&gt;0,SUM(MO11:MP11),"")</f>
        <v/>
      </c>
      <c r="MR11" s="14" t="str">
        <f>IF(MK11&gt;0,MK11,"")</f>
        <v/>
      </c>
      <c r="MS11" s="14" t="str">
        <f>IF(SUM(MI11:ML11)-MM11&gt;0,SUM(MI11:ML11)-MM11,"")</f>
        <v/>
      </c>
      <c r="MT11" s="14" t="str">
        <f>IF(SUM(MQ11,MS11)&gt;0,SUM(MQ11,MS11),"")</f>
        <v/>
      </c>
      <c r="MU11" s="69">
        <f>IF($CE11="P",BP11,(BP11+AS11)/2)</f>
        <v>4.4249999999999998</v>
      </c>
      <c r="MV11" s="69">
        <f>IF($CE11="P",BQ11,(BQ11+AT11)/2)</f>
        <v>4.7249999999999996</v>
      </c>
      <c r="MW11" s="69">
        <f>IF($CE11="P",BR11,(BR11+AU11)/2)</f>
        <v>1.65</v>
      </c>
      <c r="MX11" s="69">
        <f>IF($CE11="P",BS11,(BS11+AV11)/2)</f>
        <v>9.33</v>
      </c>
      <c r="MY11" s="69">
        <f>IF($CE11="P",BT11,(BT11+AW11)/2)</f>
        <v>0</v>
      </c>
      <c r="MZ11" s="69">
        <f>IF($CE11="P",BU11,(BU11+AX11)/2)</f>
        <v>4</v>
      </c>
      <c r="NA11" s="69">
        <f>IF($CE11="P",BV11,(BV11+AY11)/2)</f>
        <v>4.5750000000000002</v>
      </c>
      <c r="NB11" s="69">
        <f>IF($CE11="P",BW11,(BW11+AZ11)/2)</f>
        <v>5.25</v>
      </c>
      <c r="NC11" s="69">
        <f>IF($CE11="P",BX11,(BX11+BA11)/2)</f>
        <v>9.1300000000000008</v>
      </c>
      <c r="ND11" s="69">
        <f>IF($CE11="P",BY11,(BY11+BB11)/2)</f>
        <v>0</v>
      </c>
      <c r="NE11" s="69">
        <f>IF($CE11="P",BZ11,(BZ11+BC11)/2)</f>
        <v>2</v>
      </c>
      <c r="NF11" s="69">
        <f>IF($CE11="P",CA11,(CA11+BD11)/2)</f>
        <v>2.4</v>
      </c>
      <c r="NG11" s="69">
        <f>IF($CE11="P",CB11,(CB11+BE11)/2)</f>
        <v>2.85</v>
      </c>
      <c r="NH11" s="69">
        <f>IF($CE11="P",CC11,(CC11+BF11)/2)</f>
        <v>4.41</v>
      </c>
      <c r="NI11" s="69">
        <f>IF($CE11="P",CD11,(CD11+BG11)/2)</f>
        <v>0</v>
      </c>
      <c r="NJ11" s="80" t="s">
        <v>91</v>
      </c>
      <c r="NK11" s="11">
        <f>IF(NB11&gt;0,NB11,"")</f>
        <v>5.25</v>
      </c>
      <c r="NL11" s="11">
        <f>IF(SUM(MU11:MX11)-MY11&gt;0,SUM(MU11:MX11)-MY11,"")</f>
        <v>20.13</v>
      </c>
      <c r="NM11" s="11">
        <f>IF(SUM(MZ11:NC11)-ND11&gt;0,SUM(MZ11:NC11)-ND11,"")</f>
        <v>22.954999999999998</v>
      </c>
      <c r="NN11" s="11">
        <f>IF(SUM(NL11:NM11)&gt;0,SUM(NL11:NM11),"")</f>
        <v>43.084999999999994</v>
      </c>
      <c r="NO11" s="11">
        <f>IF(NG11&gt;0,NG11,"")</f>
        <v>2.85</v>
      </c>
      <c r="NP11" s="11">
        <f>IF(SUM(NE11:NH11)-NI11&gt;0,SUM(NE11:NH11)-NI11,"")</f>
        <v>11.66</v>
      </c>
      <c r="NQ11" s="11">
        <f>IF(SUM(NN11,NP11)&gt;0,SUM(NN11,NP11),"")</f>
        <v>54.74499999999999</v>
      </c>
    </row>
    <row r="12" spans="1:381" x14ac:dyDescent="0.2">
      <c r="A12" s="5" t="str" cm="1">
        <f t="array" ref="A12">IF(AND(G12&lt;&gt;"",H12&lt;&gt;""),SUMPRODUCT((G$4:G$15&lt;&gt;"")*(H$4:H$15&lt;&gt;"")*(E$4:E$15&gt;E12))+1,IF(H12&lt;&gt;"",SUMPRODUCT((I$4:I$15="No DD")*(E$4:E$15&gt;E12))+1+SUMPRODUCT((G$4:G$15&lt;&gt;"")*(H$4:H$15&lt;&gt;"")),""))</f>
        <v/>
      </c>
      <c r="B12" s="127" t="s">
        <v>154</v>
      </c>
      <c r="C12" s="5" t="s">
        <v>112</v>
      </c>
      <c r="D12" s="5" t="s">
        <v>153</v>
      </c>
      <c r="E12" s="15">
        <f>SUM(K12:S12)</f>
        <v>98.980000000000018</v>
      </c>
      <c r="F12" s="3" t="str">
        <f>IF(G12&lt;&gt;"","P","")</f>
        <v/>
      </c>
      <c r="G12" s="125" t="str">
        <f>IF(OR(AND(AL12&gt;=AR$20,AL12&lt;&gt;"",AK12=""),AND(AP12&gt;=AR$20,AP12&lt;&gt;"",AK12=""),AND(BI12&gt;=BO$20,BI12&lt;&gt;"",BH12=""),AND(BM12&gt;=BO$20,BM12&lt;&gt;"",BH12=""),AND(CF12&gt;=CL$20,CF12&lt;&gt;"",CE12=""),AND(CJ12&gt;=CL$20,CJ12&lt;&gt;"",CE12=""),AND(DF12&gt;=DL$20,DF12&lt;&gt;""),AND(DJ12&gt;=DL$20,DJ12&lt;&gt;""),AND(EB12&gt;=EH$20,EB12&lt;&gt;""),AND(EF12&gt;=EH$20,EF12&lt;&gt;""),AND(EX12&gt;=FD$20,EX12&lt;&gt;""),AND(FB12&gt;=FD$20,FB12&lt;&gt;""),AND(FT12&gt;=FZ$20,FT12&lt;&gt;""),AND(FX12&gt;=FZ$20,FX12&lt;&gt;""),AND(GP12&gt;=GV$20,GP12&lt;&gt;""),AND(GT12&gt;=GV$20,GT12&lt;&gt;""),AND(HL12&gt;=HR$20,HL12&lt;&gt;""),AND(HP12&gt;=HR$20,HP12&lt;&gt;""),AND(IH12&gt;=IN$20,IH12&lt;&gt;""),AND(IL12&gt;=IN$20,IL12&lt;&gt;""),AND(JD12&gt;=JJ$20,JD12&lt;&gt;""),AND(JH12&gt;=JJ$20,JH12&lt;&gt;""),AND(JZ12&gt;=KF$20,JZ12&lt;&gt;""),AND(KD12&gt;=KF$20,KD12&lt;&gt;""),AND(KV12&gt;=LB$20,KV12&lt;&gt;""),AND(KZ12&gt;=LB$20,KZ12&lt;&gt;""),AND(LR12&gt;=LX$20,LR12&lt;&gt;""),AND(LV12&gt;=LX$20,LV12&lt;&gt;""),AND(MN12&gt;=MT$20,MN12&lt;&gt;""),AND(MR12&gt;=MT$20,MR12&lt;&gt;"")),"Merit",IF(OR(AND(AL12&gt;=AR$19,AL12&lt;&gt;"",AK12=""),AND(AP12&gt;=AR$19,AP12&lt;&gt;"",AK12=""),AND(BI12&gt;=BO$19,BI12&lt;&gt;"",BH12=""),AND(BM12&gt;=BO$19,BM12&lt;&gt;"",BH12=""),AND(CF12&gt;=CL$19,CF12&lt;&gt;"",CE12=""),AND(CJ12&gt;=CL$19,CJ12&lt;&gt;"",CE12=""),AND(DF12&gt;=DL$19,DF12&lt;&gt;""),AND(DJ12&gt;=DL$19,DJ12&lt;&gt;""),AND(EB12&gt;=EH$19,EB12&lt;&gt;""),AND(EF12&gt;=EH$19,EF12&lt;&gt;""),AND(EX12&gt;=FD$19,EX12&lt;&gt;""),AND(FB12&gt;=FD$19,FB12&lt;&gt;""),AND(FT12&gt;=FZ$19,FT12&lt;&gt;""),AND(FX12&gt;=FZ$19,FX12&lt;&gt;""),AND(GP12&gt;=GV$19,GP12&lt;&gt;""),AND(GT12&gt;=GV$19,GT12&lt;&gt;""),AND(HL12&gt;=HR$19,HL12&lt;&gt;""),AND(HP12&gt;=HR$19,HP12&lt;&gt;""),AND(IH12&gt;=IN$19,IH12&lt;&gt;""),AND(IL12&gt;=IN$19,IL12&lt;&gt;""),AND(JD12&gt;=JJ$19,JD12&lt;&gt;""),AND(JH12&gt;=JJ$19,JH12&lt;&gt;""),AND(JZ12&gt;=KF$19,JZ12&lt;&gt;""),AND(KD12&gt;=KF$19,KD12&lt;&gt;""),AND(KV12&gt;=LB$19,KV12&lt;&gt;""),AND(KZ12&gt;=LB$19,KZ12&lt;&gt;""),AND(LR12&gt;=LX$19,LR12&lt;&gt;""),AND(LV12&gt;=LX$19,LV12&lt;&gt;""),AND(MN12&gt;=MT$19,MN12&lt;&gt;""),AND(MR12&gt;=MT$19,MR12&lt;&gt;"")),"Excellence",IF(OR(AND(AL12&gt;=AR$18,AL12&lt;&gt;"",AK12=""),AND(AP12&gt;=AR$18,AP12&lt;&gt;"",AK12=""),AND(BI12&gt;=BO$18,BI12&lt;&gt;"",BH12=""),AND(BM12&gt;=BO$18,BM12&lt;&gt;"",BH12=""),AND(CF12&gt;=CL$18,CF12&lt;&gt;"",CE12=""),AND(CJ12&gt;=CL$18,CJ12&lt;&gt;"",CE12=""),AND(DF12&gt;=DL$18,DF12&lt;&gt;""),AND(DJ12&gt;=DL$18,DJ12&lt;&gt;""),AND(EB12&gt;=EH$18,EB12&lt;&gt;""),AND(EF12&gt;=EH$18,EF12&lt;&gt;""),AND(EX12&gt;=FD$18,EX12&lt;&gt;""),AND(FB12&gt;=FD$18,FB12&lt;&gt;""),AND(FT12&gt;=FZ$18,FT12&lt;&gt;""),AND(FX12&gt;=FZ$18,FX12&lt;&gt;""),AND(GP12&gt;=GV$18,GP12&lt;&gt;""),AND(GT12&gt;=GV$18,GT12&lt;&gt;""),AND(HL12&gt;=HR$18,HL12&lt;&gt;""),AND(HP12&gt;=HR$18,HP12&lt;&gt;""),AND(IH12&gt;=IN$18,IH12&lt;&gt;""),AND(IL12&gt;=IN$18,IL12&lt;&gt;""),AND(JD12&gt;=JJ$18,JD12&lt;&gt;""),AND(JH12&gt;=JJ$18,JH12&lt;&gt;""),AND(JZ12&gt;=KF$18,JZ12&lt;&gt;""),AND(KD12&gt;=KF$18,KD12&lt;&gt;""),AND(KV12&gt;=LB$18,KV12&lt;&gt;""),AND(KZ12&gt;=LB$18,KZ12&lt;&gt;""),AND(LR12&gt;=LX$18,LR12&lt;&gt;""),AND(LV12&gt;=LX$18,LV12&lt;&gt;""),AND(MN12&gt;=MT$18,MN12&lt;&gt;""),AND(MR12&gt;=MT$18,MR12&lt;&gt;"")),"Worlds Team",IF(OR(AND(AL12&gt;=AR$17,AL12&lt;&gt;"",AK12=""),AND(AP12&gt;=AR$17,AP12&lt;&gt;"",AK12=""),AND(BI12&gt;=BO$17,BI12&lt;&gt;"",BH12=""),AND(BM12&gt;=BO$17,BM12&lt;&gt;"",BH12=""),AND(CF12&gt;=CL$17,CF12&lt;&gt;"",CE12=""),AND(CJ12&gt;=CL$17,CJ12&lt;&gt;"",CE12=""),AND(DF12&gt;=DL$17,DF12&lt;&gt;""),AND(DJ12&gt;=DL$17,DJ12&lt;&gt;""),AND(EB12&gt;=EH$17,EB12&lt;&gt;""),AND(EF12&gt;=EH$17,EF12&lt;&gt;""),AND(EX12&gt;=FD$17,EX12&lt;&gt;""),AND(FB12&gt;=FD$17,FB12&lt;&gt;""),AND(FT12&gt;=FZ$17,FT12&lt;&gt;""),AND(FX12&gt;=FZ$17,FX12&lt;&gt;""),AND(GP12&gt;=GV$17,GP12&lt;&gt;""),AND(GT12&gt;=GV$17,GT12&lt;&gt;""),AND(HL12&gt;=HR$17,HL12&lt;&gt;""),AND(HP12&gt;=HR$17,HP12&lt;&gt;""),AND(IH12&gt;=IN$17,IH12&lt;&gt;""),AND(IL12&gt;=IN$17,IL12&lt;&gt;""),AND(JD12&gt;=JJ$17,JD12&lt;&gt;""),AND(JH12&gt;=JJ$17,JH12&lt;&gt;""),AND(JZ12&gt;=KF$17,JZ12&lt;&gt;""),AND(KD12&gt;=KF$17,KD12&lt;&gt;""),AND(KV12&gt;=LB$17,KV12&lt;&gt;""),AND(KZ12&gt;=LB$17,KZ12&lt;&gt;""),AND(LR12&gt;=LX$17,LR12&lt;&gt;""),AND(LV12&gt;=LX$17,LV12&lt;&gt;""),AND(MN12&gt;=MT$17,MN12&lt;&gt;""),AND(MR12&gt;=MT$17,MR12&lt;&gt;"")),"National Team",""))))</f>
        <v/>
      </c>
      <c r="H12" s="125" t="str">
        <f>IF(OR(AND(AN12&gt;=AR$24,AN12&lt;&gt;"",AK12=""),AND(AQ12&gt;=AR$24,AQ12&lt;&gt;"",AK12=""),AND(BK12&gt;=BO$24,BK12&lt;&gt;"",BH12=""),AND(BN12&gt;=BO$24,BN12&lt;&gt;"",BH12=""),AND(CH12&gt;=CL$24,CH12&lt;&gt;"",CE12=""),AND(CK12&gt;=CL$24,CE12&lt;&gt;"",CE12=""),AND(DH12&gt;=DL$24,DH12&lt;&gt;""),AND(DK12&gt;=DL$24,DK12&lt;&gt;""),AND(ED12&gt;=EH$24,ED12&lt;&gt;""),AND(EG12&gt;=EH$24,EG12&lt;&gt;""),AND(EZ12&gt;=FD$24,EZ12&lt;&gt;""),AND(FC12&gt;=FD$24,FC12&lt;&gt;""),AND(FV12&gt;=FZ$24,FV12&lt;&gt;""),AND(FY12&gt;=FZ$24,FY12&lt;&gt;""),AND(GR12&gt;=GV$24,GR12&lt;&gt;""),AND(GU12&gt;=GV$24,GU12&lt;&gt;""),AND(HN12&gt;=HR$24,HN12&lt;&gt;""),AND(HQ12&gt;=HR$24,HQ12&lt;&gt;""),AND(IJ12&gt;=IN$24,IJ12&lt;&gt;""),AND(IM12&gt;=IN$24,IM12&lt;&gt;""),AND(JF12&gt;=JJ$24,JF12&lt;&gt;""),AND(JI12&gt;=JJ$24,JI12&lt;&gt;""),AND(KB12&gt;=KF$24,KB12&lt;&gt;""),AND(KE12&gt;=KF$24,KE12&lt;&gt;""),AND(KX12&gt;=LB$24,KX12&lt;&gt;""),AND(LA12&gt;=LB$24,LA12&lt;&gt;""),AND(LT12&gt;=LX$24,LT12&lt;&gt;""),AND(LW12&gt;=LX$24,LW12&lt;&gt;""),AND(MP12&gt;=MT$24,MP12&lt;&gt;""),AND(MS12&gt;=MT$24,MS12&lt;&gt;"")),"Merit",IF(OR(AND(AN12&gt;=AR$23,AN12&lt;&gt;"",AK12=""),AND(AQ12&gt;=AR$23,AQ12&lt;&gt;"",AK12=""),AND(BK12&gt;=BO$23,BK12&lt;&gt;"",BH12=""),AND(BN12&gt;=BO$23,BN12&lt;&gt;"",BH12=""),AND(CH12&gt;=CL$23,CH12&lt;&gt;"",CE12=""),AND(CK12&gt;=CL$23,CE12&lt;&gt;"",CE12=""),AND(DH12&gt;=DL$23,DH12&lt;&gt;""),AND(DK12&gt;=DL$23,DK12&lt;&gt;""),AND(ED12&gt;=EH$23,ED12&lt;&gt;""),AND(EG12&gt;=EH$23,EG12&lt;&gt;""),AND(EZ12&gt;=FD$23,EZ12&lt;&gt;""),AND(FC12&gt;=FD$23,FC12&lt;&gt;""),AND(FV12&gt;=FZ$23,FV12&lt;&gt;""),AND(FY12&gt;=FZ$23,FY12&lt;&gt;""),AND(GR12&gt;=GV$23,GR12&lt;&gt;""),AND(GU12&gt;=GV$23,GU12&lt;&gt;""),AND(HN12&gt;=HR$23,HN12&lt;&gt;""),AND(HQ12&gt;=HR$23,HQ12&lt;&gt;""),AND(IJ12&gt;=IN$23,IJ12&lt;&gt;""),AND(IM12&gt;=IN$23,IM12&lt;&gt;""),AND(JF12&gt;=JJ$23,JF12&lt;&gt;""),AND(JI12&gt;=JJ$23,JI12&lt;&gt;""),AND(KB12&gt;=KF$23,KB12&lt;&gt;""),AND(KE12&gt;=KF$23,KE12&lt;&gt;""),AND(KX12&gt;=LB$23,KX12&lt;&gt;""),AND(LA12&gt;=LB$23,LA12&lt;&gt;""),AND(LT12&gt;=LX$23,LT12&lt;&gt;""),AND(LW12&gt;=LX$23,LW12&lt;&gt;""),AND(MP12&gt;=MT$23,MP12&lt;&gt;""),AND(MS12&gt;=MT$23,MS12&lt;&gt;"")),"Excellence",IF(OR(AND(AO12&gt;=AR$22,AO12&lt;&gt;"",AK12=""),AND(BL12&gt;=BO$22,BL12&lt;&gt;"",BH12=""),AND(CI12&gt;=CL$22,CI12&lt;&gt;"",CE12=""),AND(DI12&gt;=DL$22,DI12&lt;&gt;""),AND(EE12&gt;=EH$22,EE12&lt;&gt;""),AND(FA12&gt;=FD$22,FA12&lt;&gt;""),AND(FW12&gt;=FZ$22,FW12&lt;&gt;""),AND(GS12&gt;=GV$22,GS12&lt;&gt;""),AND(HO12&gt;=HR$22,HO12&lt;&gt;""),AND(IK12&gt;=IN$22,IK12&lt;&gt;""),AND(JG12&gt;=JJ$22,JG12&lt;&gt;""),AND(KC12&gt;=KF$22,KC12&lt;&gt;""),AND(KY12&gt;=LB$22,KY12&lt;&gt;""),AND(LU12&gt;=LX$22,LU12&lt;&gt;""),AND(MQ12&gt;=MT$22,MQ12&lt;&gt;"")),"Worlds Team",IF(OR(AND(AO12&gt;=AR$21,AO12&lt;&gt;"",AK12=""),AND(BL12&gt;=BO$21,BL12&lt;&gt;"",BH12=""),AND(CI12&gt;=CL$21,CI12&lt;&gt;"",CE12=""),AND(DI12&gt;=DL$21,DI12&lt;&gt;""),AND(EE12&gt;=EH$21,EE12&lt;&gt;""),AND(FA12&gt;=FD$21,FA12&lt;&gt;""),AND(FW12&gt;=FZ$21,FW12&lt;&gt;""),AND(GS12&gt;=GV$21,GS12&lt;&gt;""),AND(HO12&gt;=HR$21,HO12&lt;&gt;""),AND(IK12&gt;=IN$21,IK12&lt;&gt;""),AND(JG12&gt;=JJ$21,JG12&lt;&gt;""),AND(KC12&gt;=KF$21,KC12&lt;&gt;""),AND(KY12&gt;=LB$21,KY12&lt;&gt;""),AND(LU12&gt;=LX$21,LU12&lt;&gt;""),AND(MQ12&gt;=MT$21,MQ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O12&gt;=AR$22,AO12&lt;&gt;"",AK12=""),AND(BL12&gt;=BO$22,BL12&lt;&gt;"",BH12=""),AND(CI12&gt;=CL$22,CI12&lt;&gt;"",CE12=""),AND(DI12&gt;=DL$22,DI12&lt;&gt;""),AND(EE12&gt;=EH$22,EE12&lt;&gt;""),AND(FA12&gt;=FD$22,FA12&lt;&gt;""),AND(FW12&gt;=FZ$22,FW12&lt;&gt;""),AND(GS12&gt;=GV$22,GS12&lt;&gt;""),AND(HO12&gt;=HR$22,HO12&lt;&gt;""),AND(IK12&gt;=IN$22,IK12&lt;&gt;""),AND(JG12&gt;=JJ$22,JG12&lt;&gt;""),AND(KC12&gt;=KF$22,KC12&lt;&gt;""),AND(KY12&gt;=LB$22,KY12&lt;&gt;""),AND(LU12&gt;=LX$22,LU12&lt;&gt;""),AND(MQ12&gt;=MT$22,MQ12&lt;&gt;"")),OR(G12="Worlds Team",G12="Excellence",G12="Merit")),"P","")</f>
        <v/>
      </c>
      <c r="K12" s="14">
        <f>MAX(AO12,BL12,CI12)</f>
        <v>53.95</v>
      </c>
      <c r="L12" s="14" t="str">
        <f>IF(K12=0,"",IF(K12=CI12,$BP$1,IF(K12=BL12,$AS$1,IF(K12=AO12,$V$1,""))))</f>
        <v>2019 Nationals</v>
      </c>
      <c r="M12" s="14">
        <f>IF($K12=$AO12,MAX(BJ12,CG12),IF($K12=$BL12,MAX(AM12,CG12),IF($K12=$CI12,MAX(AM12,BJ12),MAX(AM12,BJ12,CG12))))</f>
        <v>0</v>
      </c>
      <c r="N12" s="14" t="str">
        <f>IF(M12=0,"",IF(AND(M12=CG12,$L12&lt;&gt;$BP$1),$BP$1,IF(AND(M12=BJ12,$L12&lt;&gt;$AS$1),$AS$1,IF(AND(M12=AM12,$L12&lt;&gt;$V$1),$V$1,""))))</f>
        <v/>
      </c>
      <c r="O12" s="14">
        <f>IF($K12=$AO12,MAX(CH12,BK12),IF($K12=$BL12,MAX(AN12,CH12),IF($K12=$CI12,MAX(AN12,BK12),MAX(AN12,BK12,CH12))))</f>
        <v>0</v>
      </c>
      <c r="P12" s="14" t="str">
        <f>IF(O12=0,"",IF(AND(O12=CH12,$L12&lt;&gt;$BP$1),$BP$1,IF(AND(O12=BK12,$L12&lt;&gt;$AS$1),$AS$1,IF(AND(O12=AN12,$L12&lt;&gt;$V$1),$V$1,""))))</f>
        <v/>
      </c>
      <c r="Q12" s="14">
        <f>MAX(AQ12,BN12,CK12)</f>
        <v>45.030000000000008</v>
      </c>
      <c r="R12" s="14" t="str">
        <f>IF(Q12=0,"",IF(Q12=CK12,$BP$1,IF(Q12=BN12,$AS$1,IF(Q12=AQ12,$V$1,""))))</f>
        <v>2019 Nationals</v>
      </c>
      <c r="S12" s="14" t="str">
        <f>IF(MAX(CM12,CN12,CO12,CP12)&gt;0,MAX(CM12,CN12,CO12,CP12),"")</f>
        <v/>
      </c>
      <c r="T12" s="25" t="str">
        <f>IF(S12="","",IF(S12=CM12,"(Vol 1)",IF(S12=CN12,"(Vol 2)",IF(S12=CO12,"(Prelim)",IF(S12=CP12,"(Final)")))))</f>
        <v/>
      </c>
      <c r="U12" s="14" t="str">
        <f>IF(S12="","",IF(S12=CM12,IF(S12+IF(M12="",0,M12)=MO12,$LY$1,IF(S12+IF(M12="",0,M12)=LS12,$LC$1,IF(S12+IF(M12="",0,M12)=KW12,$KG$1,IF(S12+IF(M12="",0,M12)=KA12,$JK$1,IF(S12+IF(M12="",0,M12)=JE12,$IO$1,IF(S12+IF(M12="",0,M12)=II12,$HS$1,IF(S12+IF(M12="",0,M12)=HM12,$GW$1,IF(S12+IF(M12="",0,M12)=GQ12,$GA$1,IF(S12+IF(M12="",0,M12)=FU12,$FE$1,IF(S12+IF(M12="",0,M12)=EY12,$EI$1,IF(S12+IF(M12="",0,M12)=EC12,$DM$1,IF(S12+IF(M12="",0,M12)=DG12,$CQ$1)))))))))))),IF(S12=CN12,IF(S12+IF(O12="",0,O12)=MP12,$LY$1,IF(S12+IF(O12="",0,O12)=LT12,$LC$1,IF(S12+IF(O12="",0,O12)=KX12,$KG$1,IF(S12+IF(O12="",0,O12)=KB12,$JK$1,IF(S12+IF(O12="",0,O12)=JF12,$IO$1,IF(S12+IF(O12="",0,O12)=IJ12,$HS$1,IF(S12+IF(O12="",0,O12)=HN12,$GW$1,IF(S12+IF(O12="",0,O12)=GR12,$GA$1,IF(S12+IF(O12="",0,O12)=FV12,$FE$1,IF(S12+IF(O12="",0,O12)=EZ12,$EI$1,IF(S12+IF(O12="",0,O12)=ED12,$DM$1,IF(S12+IF(O12="",0,O12)=DH12,$CQ$1)))))))))))),IF(S12=CO12,IF(S12+IF(K12="",0,K12)=MQ12,$LY$1,IF(S12+IF(K12="",0,K12)=LU12,$LC$1,IF(S12+IF(K12="",0,K12)=KY12,$KG$1,IF(S12+IF(K12="",0,K12)=KC12,$JK$1,IF(S12+IF(K12="",0,K12)=JG12,$IO$1,IF(S12+IF(K12="",0,K12)=IK12,$HS$1,IF(S12+IF(K12="",0,K12)=HO12,$GW$1,IF(S12+IF(K12="",0,K12)=GS12,$GA$1,IF(S12+IF(K12="",0,K12)=FW12,$FE$1,IF(S12+IF(K12="",0,K12)=FA12,$EI$1,IF(S12+IF(K12="",0,K12)=EE12,$DM$1,IF(S12+IF(K12="",0,K12)=DI12,$CQ$1)))))))))))),IF(S12=CP12,IF(S12+IF(Q12="",0,Q12)=MS12,$LY$1,IF(S12+IF(Q12="",0,Q12)=LW12,$LC$1,IF(S12+IF(Q12="",0,Q12)=LA12,$KG$1,IF(S12+IF(Q12="",0,Q12)=KE12,$JK$1,IF(S12+IF(Q12="",0,Q12)=JI12,$IO$1,IF(S12+IF(Q12="",0,Q12)=IM12,$HS$1,IF(S12+IF(Q12="",0,Q12)=HQ12,$GW$1,IF(S12+IF(Q12="",0,Q12)=GU12,$GA$1,IF(S12+IF(Q12="",0,Q12)=FY12,$FE$1,IF(S12+IF(Q12="",0,Q12)=FC12,$EI$1,IF(S12+IF(Q12="",0,Q12)=EG12,$DM$1,IF(S12+IF(Q12="",0,Q12)=DK12,$CQ$1)))))))))))))))))</f>
        <v/>
      </c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80"/>
      <c r="AL12" s="11" t="str">
        <f>IF(AC12&gt;0,AC12,"")</f>
        <v/>
      </c>
      <c r="AM12" s="11" t="str">
        <f>IF(SUM(V12:Y12)-Z12&gt;0,SUM(V12:Y12)-Z12,"")</f>
        <v/>
      </c>
      <c r="AN12" s="11" t="str">
        <f>IF(SUM(AA12:AD12)-AE12&gt;0,SUM(AA12:AD12)-AE12,"")</f>
        <v/>
      </c>
      <c r="AO12" s="11" t="str">
        <f>IF(SUM(AM12:AN12)&gt;0,SUM(AM12:AN12),"")</f>
        <v/>
      </c>
      <c r="AP12" s="11" t="str">
        <f>IF(AH12&gt;0,AH12,"")</f>
        <v/>
      </c>
      <c r="AQ12" s="11" t="str">
        <f>IF(SUM(AF12:AI12)-AJ12&gt;0,SUM(AF12:AI12)-AJ12,"")</f>
        <v/>
      </c>
      <c r="AR12" s="11" t="str">
        <f>IF(SUM(AO12,AQ12)&gt;0,SUM(AO12,AQ12),"")</f>
        <v/>
      </c>
      <c r="AS12" s="40">
        <v>9.35</v>
      </c>
      <c r="AT12" s="40">
        <v>9.5500000000000007</v>
      </c>
      <c r="AU12" s="40">
        <v>3.2</v>
      </c>
      <c r="AV12" s="40">
        <v>18.600000000000001</v>
      </c>
      <c r="AW12" s="40">
        <v>0</v>
      </c>
      <c r="AX12" s="40">
        <v>2.2999999999999998</v>
      </c>
      <c r="AY12" s="40">
        <v>2.65</v>
      </c>
      <c r="AZ12" s="40">
        <v>3.4</v>
      </c>
      <c r="BA12" s="40">
        <v>4.9000000000000004</v>
      </c>
      <c r="BB12" s="40">
        <v>0</v>
      </c>
      <c r="BC12" s="40">
        <v>8.0500000000000007</v>
      </c>
      <c r="BD12" s="40">
        <v>9.4</v>
      </c>
      <c r="BE12" s="40">
        <v>10.5</v>
      </c>
      <c r="BF12" s="40">
        <v>17.48</v>
      </c>
      <c r="BG12" s="40">
        <v>0.4</v>
      </c>
      <c r="BH12" s="81"/>
      <c r="BI12" s="14">
        <f>IF(AZ12&gt;0,AZ12,"")</f>
        <v>3.4</v>
      </c>
      <c r="BJ12" s="14">
        <f>IF(SUM(AS12:AV12)-AW12&gt;0,SUM(AS12:AV12)-AW12,"")</f>
        <v>40.700000000000003</v>
      </c>
      <c r="BK12" s="14">
        <f>IF(SUM(AX12:BA12)-BB12&gt;0,SUM(AX12:BA12)-BB12,"")</f>
        <v>13.25</v>
      </c>
      <c r="BL12" s="14">
        <f>IF(SUM(BJ12:BK12)&gt;0,SUM(BJ12:BK12),"")</f>
        <v>53.95</v>
      </c>
      <c r="BM12" s="14">
        <f>IF(BE12&gt;0,BE12,"")</f>
        <v>10.5</v>
      </c>
      <c r="BN12" s="14">
        <f>IF(SUM(BC12:BF12)-BG12&gt;0,SUM(BC12:BF12)-BG12,"")</f>
        <v>45.030000000000008</v>
      </c>
      <c r="BO12" s="14">
        <f>IF(SUM(BL12,BN12)&gt;0,SUM(BL12,BN12),"")</f>
        <v>98.980000000000018</v>
      </c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80"/>
      <c r="CF12" s="11" t="str">
        <f>IF(BW12&gt;0,BW12,"")</f>
        <v/>
      </c>
      <c r="CG12" s="11" t="str">
        <f>IF(SUM(BP12:BS12)-BT12&gt;0,SUM(BP12:BS12)-BT12,"")</f>
        <v/>
      </c>
      <c r="CH12" s="11" t="str">
        <f>IF(SUM(BU12:BX12)-BY12&gt;0,SUM(BU12:BX12)-BY12,"")</f>
        <v/>
      </c>
      <c r="CI12" s="11" t="str">
        <f>IF(SUM(CG12:CH12)&gt;0,SUM(CG12:CH12),"")</f>
        <v/>
      </c>
      <c r="CJ12" s="11" t="str">
        <f>IF(CB12&gt;0,CB12,"")</f>
        <v/>
      </c>
      <c r="CK12" s="11" t="str">
        <f>IF(SUM(BZ12:CC12)-CD12&gt;0,SUM(BZ12:CC12)-CD12,"")</f>
        <v/>
      </c>
      <c r="CL12" s="11" t="str">
        <f>IF(SUM(CI12,CK12)&gt;0,SUM(CI12,CK12),"")</f>
        <v/>
      </c>
      <c r="CM12" s="24" t="str">
        <f>IF(MAX(DG12,EC12,EY12,FU12,GQ12,HM12,II12,JE12,KA12,KW12,LS12,MO12)-IF(M12="",0,M12)&gt;0.001,MAX(DG12,EC12,EY12,FU12,GQ12,HM12,II12,JE12,KA12,KW12,LS12,MO12)-IF(M12="",0,M12),"")</f>
        <v/>
      </c>
      <c r="CN12" s="24" t="str">
        <f>IF(MAX(DH12,ED12,EZ12,FV12,GR12,HN12,IJ12,JF12,KB12,KX12,LT12,MP12)-IF(O12="",0,O12)&gt;0.001,MAX(DH12,ED12,EZ12,FV12,GR12,HN12,IJ12,JF12,KB12,KX12,LT12,MP12)-IF(O12="",0,O12),"")</f>
        <v/>
      </c>
      <c r="CO12" s="24" t="str">
        <f>IF(MAX(DI12,EE12,FA12,FW12,GS12,HO12,IK12,JG12,KC12,KY12,LU12,MQ12)-IF(K12="",0,K12)&gt;0.001,MAX(DI12,EE12,FA12,FW12,GS12,HO12,IK12,JG12,KC12,KY12,LU12,MQ12)-IF(K12="",0,K12),"")</f>
        <v/>
      </c>
      <c r="CP12" s="24" t="str">
        <f>IF(MAX(DK12,EG12,FC12,FY12,GU12,HQ12,IM12,JI12,KE12,LA12,LW12,MS12)-IF(Q12="",0,Q12)&gt;0.001,MAX(DK12,EG12,FC12,FY12,GU12,HQ12,IM12,JI12,KE12,LA12,LW12,MS12)-IF(Q12="",0,Q12),"")</f>
        <v/>
      </c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11" t="str">
        <f>IF(CX12&gt;0,CX12,"")</f>
        <v/>
      </c>
      <c r="DG12" s="11" t="str">
        <f>IF(SUM(CQ12:CT12)-CU12&gt;0,SUM(CQ12:CT12)-CU12,"")</f>
        <v/>
      </c>
      <c r="DH12" s="11" t="str">
        <f>IF(SUM(CV12:CY12)-CZ12&gt;0,SUM(CV12:CY12)-CZ12,"")</f>
        <v/>
      </c>
      <c r="DI12" s="11" t="str">
        <f>IF(SUM(DG12:DH12)&gt;0,SUM(DG12:DH12),"")</f>
        <v/>
      </c>
      <c r="DJ12" s="11" t="str">
        <f>IF(DC12&gt;0,DC12,"")</f>
        <v/>
      </c>
      <c r="DK12" s="11" t="str">
        <f>IF(SUM(DA12:DD12)-DE12&gt;0,SUM(DA12:DD12)-DE12,"")</f>
        <v/>
      </c>
      <c r="DL12" s="11" t="str">
        <f>IF(SUM(DI12,DK12)&gt;0,SUM(DI12,DK12),"")</f>
        <v/>
      </c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  <c r="EB12" s="14" t="str">
        <f>IF(DT12&gt;0,DT12,"")</f>
        <v/>
      </c>
      <c r="EC12" s="14" t="str">
        <f>IF(SUM(DM12:DP12)-DQ12&gt;0,SUM(DM12:DP12)-DQ12,"")</f>
        <v/>
      </c>
      <c r="ED12" s="14" t="str">
        <f>IF(SUM(DR12:DU12)-DV12&gt;0,SUM(DR12:DU12)-DV12,"")</f>
        <v/>
      </c>
      <c r="EE12" s="14" t="str">
        <f>IF(SUM(EC12:ED12)&gt;0,SUM(EC12:ED12),"")</f>
        <v/>
      </c>
      <c r="EF12" s="14" t="str">
        <f>IF(DY12&gt;0,DY12,"")</f>
        <v/>
      </c>
      <c r="EG12" s="14" t="str">
        <f>IF(SUM(DW12:DZ12)-EA12&gt;0,SUM(DW12:DZ12)-EA12,"")</f>
        <v/>
      </c>
      <c r="EH12" s="14" t="str">
        <f>IF(SUM(EE12,EG12)&gt;0,SUM(EE12,EG12),"")</f>
        <v/>
      </c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11" t="str">
        <f>IF(EP12&gt;0,EP12,"")</f>
        <v/>
      </c>
      <c r="EY12" s="11" t="str">
        <f>IF(SUM(EI12:EL12)-EM12&gt;0,SUM(EI12:EL12)-EM12,"")</f>
        <v/>
      </c>
      <c r="EZ12" s="11" t="str">
        <f>IF(SUM(EN12:EQ12)-ER12&gt;0,SUM(EN12:EQ12)-ER12,"")</f>
        <v/>
      </c>
      <c r="FA12" s="11" t="str">
        <f>IF(SUM(EY12:EZ12)&gt;0,SUM(EY12:EZ12),"")</f>
        <v/>
      </c>
      <c r="FB12" s="11" t="str">
        <f>IF(EU12&gt;0,EU12,"")</f>
        <v/>
      </c>
      <c r="FC12" s="11" t="str">
        <f>IF(SUM(ES12:EV12)-EW12&gt;0,SUM(ES12:EV12)-EW12,"")</f>
        <v/>
      </c>
      <c r="FD12" s="11" t="str">
        <f>IF(SUM(FA12,FC12)&gt;0,SUM(FA12,FC12),"")</f>
        <v/>
      </c>
      <c r="FE12" s="38"/>
      <c r="FF12" s="38"/>
      <c r="FG12" s="38"/>
      <c r="FH12" s="38"/>
      <c r="FI12" s="38"/>
      <c r="FJ12" s="38"/>
      <c r="FK12" s="38"/>
      <c r="FL12" s="38"/>
      <c r="FM12" s="38"/>
      <c r="FN12" s="38"/>
      <c r="FO12" s="38"/>
      <c r="FP12" s="38"/>
      <c r="FQ12" s="38"/>
      <c r="FR12" s="38"/>
      <c r="FS12" s="38"/>
      <c r="FT12" s="14" t="str">
        <f>IF(FL12&gt;0,FL12,"")</f>
        <v/>
      </c>
      <c r="FU12" s="14" t="str">
        <f>IF(SUM(FE12:FH12)-FI12&gt;0,SUM(FE12:FH12)-FI12,"")</f>
        <v/>
      </c>
      <c r="FV12" s="14" t="str">
        <f>IF(SUM(FJ12:FM12)-FN12&gt;0,SUM(FJ12:FM12)-FN12,"")</f>
        <v/>
      </c>
      <c r="FW12" s="14" t="str">
        <f>IF(SUM(FU12:FV12)&gt;0,SUM(FU12:FV12),"")</f>
        <v/>
      </c>
      <c r="FX12" s="14" t="str">
        <f>IF(FQ12&gt;0,FQ12,"")</f>
        <v/>
      </c>
      <c r="FY12" s="14" t="str">
        <f>IF(SUM(FO12:FR12)-FS12&gt;0,SUM(FO12:FR12)-FS12,"")</f>
        <v/>
      </c>
      <c r="FZ12" s="14" t="str">
        <f>IF(SUM(FW12,FY12)&gt;0,SUM(FW12,FY12),"")</f>
        <v/>
      </c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11" t="str">
        <f>IF(GH12&gt;0,GH12,"")</f>
        <v/>
      </c>
      <c r="GQ12" s="11" t="str">
        <f>IF(SUM(GA12:GD12)-GE12&gt;0,SUM(GA12:GD12)-GE12,"")</f>
        <v/>
      </c>
      <c r="GR12" s="11" t="str">
        <f>IF(SUM(GF12:GI12)-GJ12&gt;0,SUM(GF12:GI12)-GJ12,"")</f>
        <v/>
      </c>
      <c r="GS12" s="11" t="str">
        <f>IF(SUM(GQ12:GR12)&gt;0,SUM(GQ12:GR12),"")</f>
        <v/>
      </c>
      <c r="GT12" s="11" t="str">
        <f>IF(GM12&gt;0,GM12,"")</f>
        <v/>
      </c>
      <c r="GU12" s="11" t="str">
        <f>IF(SUM(GK12:GN12)-GO12&gt;0,SUM(GK12:GN12)-GO12,"")</f>
        <v/>
      </c>
      <c r="GV12" s="11" t="str">
        <f>IF(SUM(GS12,GU12)&gt;0,SUM(GS12,GU12),"")</f>
        <v/>
      </c>
      <c r="GW12" s="38"/>
      <c r="GX12" s="38"/>
      <c r="GY12" s="38"/>
      <c r="GZ12" s="38"/>
      <c r="HA12" s="38"/>
      <c r="HB12" s="38"/>
      <c r="HC12" s="38"/>
      <c r="HD12" s="38"/>
      <c r="HE12" s="38"/>
      <c r="HF12" s="38"/>
      <c r="HG12" s="38"/>
      <c r="HH12" s="38"/>
      <c r="HI12" s="38"/>
      <c r="HJ12" s="38"/>
      <c r="HK12" s="38"/>
      <c r="HL12" s="14" t="str">
        <f>IF(HD12&gt;0,HD12,"")</f>
        <v/>
      </c>
      <c r="HM12" s="14" t="str">
        <f>IF(SUM(GW12:GZ12)-HA12&gt;0,SUM(GW12:GZ12)-HA12,"")</f>
        <v/>
      </c>
      <c r="HN12" s="14" t="str">
        <f>IF(SUM(HB12:HE12)-HF12&gt;0,SUM(HB12:HE12)-HF12,"")</f>
        <v/>
      </c>
      <c r="HO12" s="14" t="str">
        <f>IF(SUM(HM12:HN12)&gt;0,SUM(HM12:HN12),"")</f>
        <v/>
      </c>
      <c r="HP12" s="14" t="str">
        <f>IF(HI12&gt;0,HI12,"")</f>
        <v/>
      </c>
      <c r="HQ12" s="14" t="str">
        <f>IF(SUM(HG12:HJ12)-HK12&gt;0,SUM(HG12:HJ12)-HK12,"")</f>
        <v/>
      </c>
      <c r="HR12" s="14" t="str">
        <f>IF(SUM(HO12,HQ12)&gt;0,SUM(HO12,HQ12),"")</f>
        <v/>
      </c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11" t="str">
        <f>IF(HZ12&gt;0,HZ12,"")</f>
        <v/>
      </c>
      <c r="II12" s="11" t="str">
        <f>IF(SUM(HS12:HV12)-HW12&gt;0,SUM(HS12:HV12)-HW12,"")</f>
        <v/>
      </c>
      <c r="IJ12" s="11" t="str">
        <f>IF(SUM(HX12:IA12)-IB12&gt;0,SUM(HX12:IA12)-IB12,"")</f>
        <v/>
      </c>
      <c r="IK12" s="11" t="str">
        <f>IF(SUM(II12:IJ12)&gt;0,SUM(II12:IJ12),"")</f>
        <v/>
      </c>
      <c r="IL12" s="11" t="str">
        <f>IF(IE12&gt;0,IE12,"")</f>
        <v/>
      </c>
      <c r="IM12" s="11" t="str">
        <f>IF(SUM(IC12:IF12)-IG12&gt;0,SUM(IC12:IF12)-IG12,"")</f>
        <v/>
      </c>
      <c r="IN12" s="11" t="str">
        <f>IF(SUM(IK12,IM12)&gt;0,SUM(IK12,IM12),"")</f>
        <v/>
      </c>
      <c r="IO12" s="38"/>
      <c r="IP12" s="38"/>
      <c r="IQ12" s="38"/>
      <c r="IR12" s="38"/>
      <c r="IS12" s="38"/>
      <c r="IT12" s="38"/>
      <c r="IU12" s="38"/>
      <c r="IV12" s="38"/>
      <c r="IW12" s="38"/>
      <c r="IX12" s="38"/>
      <c r="IY12" s="38"/>
      <c r="IZ12" s="38"/>
      <c r="JA12" s="38"/>
      <c r="JB12" s="38"/>
      <c r="JC12" s="38"/>
      <c r="JD12" s="14" t="str">
        <f>IF(IV12&gt;0,IV12,"")</f>
        <v/>
      </c>
      <c r="JE12" s="14" t="str">
        <f>IF(SUM(IO12:IR12)-IS12&gt;0,SUM(IO12:IR12)-IS12,"")</f>
        <v/>
      </c>
      <c r="JF12" s="14" t="str">
        <f>IF(SUM(IT12:IW12)-IX12&gt;0,SUM(IT12:IW12)-IX12,"")</f>
        <v/>
      </c>
      <c r="JG12" s="14" t="str">
        <f>IF(SUM(JE12:JF12)&gt;0,SUM(JE12:JF12),"")</f>
        <v/>
      </c>
      <c r="JH12" s="14" t="str">
        <f>IF(JA12&gt;0,JA12,"")</f>
        <v/>
      </c>
      <c r="JI12" s="14" t="str">
        <f>IF(SUM(IY12:JB12)-JC12&gt;0,SUM(IY12:JB12)-JC12,"")</f>
        <v/>
      </c>
      <c r="JJ12" s="14" t="str">
        <f>IF(SUM(JG12,JI12)&gt;0,SUM(JG12,JI12),"")</f>
        <v/>
      </c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11" t="str">
        <f>IF(JR12&gt;0,JR12,"")</f>
        <v/>
      </c>
      <c r="KA12" s="11" t="str">
        <f>IF(SUM(JK12:JN12)-JO12&gt;0,SUM(JK12:JN12)-JO12,"")</f>
        <v/>
      </c>
      <c r="KB12" s="11" t="str">
        <f>IF(SUM(JP12:JS12)-JT12&gt;0,SUM(JP12:JS12)-JT12,"")</f>
        <v/>
      </c>
      <c r="KC12" s="11" t="str">
        <f>IF(SUM(KA12:KB12)&gt;0,SUM(KA12:KB12),"")</f>
        <v/>
      </c>
      <c r="KD12" s="11" t="str">
        <f>IF(JW12&gt;0,JW12,"")</f>
        <v/>
      </c>
      <c r="KE12" s="11" t="str">
        <f>IF(SUM(JU12:JX12)-JY12&gt;0,SUM(JU12:JX12)-JY12,"")</f>
        <v/>
      </c>
      <c r="KF12" s="11" t="str">
        <f>IF(SUM(KC12,KE12)&gt;0,SUM(KC12,KE12),"")</f>
        <v/>
      </c>
      <c r="KG12" s="38"/>
      <c r="KH12" s="38"/>
      <c r="KI12" s="38"/>
      <c r="KJ12" s="38"/>
      <c r="KK12" s="38"/>
      <c r="KL12" s="38"/>
      <c r="KM12" s="38"/>
      <c r="KN12" s="38"/>
      <c r="KO12" s="38"/>
      <c r="KP12" s="38"/>
      <c r="KQ12" s="38"/>
      <c r="KR12" s="38"/>
      <c r="KS12" s="38"/>
      <c r="KT12" s="38"/>
      <c r="KU12" s="38"/>
      <c r="KV12" s="14" t="str">
        <f>IF(KN12&gt;0,KN12,"")</f>
        <v/>
      </c>
      <c r="KW12" s="14" t="str">
        <f>IF(SUM(KG12:KJ12)-KK12&gt;0,SUM(KG12:KJ12)-KK12,"")</f>
        <v/>
      </c>
      <c r="KX12" s="14" t="str">
        <f>IF(SUM(KL12:KO12)-KP12&gt;0,SUM(KL12:KO12)-KP12,"")</f>
        <v/>
      </c>
      <c r="KY12" s="14" t="str">
        <f>IF(SUM(KW12:KX12)&gt;0,SUM(KW12:KX12),"")</f>
        <v/>
      </c>
      <c r="KZ12" s="14" t="str">
        <f>IF(KS12&gt;0,KS12,"")</f>
        <v/>
      </c>
      <c r="LA12" s="14" t="str">
        <f>IF(SUM(KQ12:KT12)-KU12&gt;0,SUM(KQ12:KT12)-KU12,"")</f>
        <v/>
      </c>
      <c r="LB12" s="14" t="str">
        <f>IF(SUM(KY12,LA12)&gt;0,SUM(KY12,LA12),"")</f>
        <v/>
      </c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11" t="str">
        <f>IF(LJ12&gt;0,LJ12,"")</f>
        <v/>
      </c>
      <c r="LS12" s="11" t="str">
        <f>IF(SUM(LC12:LF12)-LG12&gt;0,SUM(LC12:LF12)-LG12,"")</f>
        <v/>
      </c>
      <c r="LT12" s="11" t="str">
        <f>IF(SUM(LH12:LK12)-LL12&gt;0,SUM(LH12:LK12)-LL12,"")</f>
        <v/>
      </c>
      <c r="LU12" s="11" t="str">
        <f>IF(SUM(LS12:LT12)&gt;0,SUM(LS12:LT12),"")</f>
        <v/>
      </c>
      <c r="LV12" s="11" t="str">
        <f>IF(LO12&gt;0,LO12,"")</f>
        <v/>
      </c>
      <c r="LW12" s="11" t="str">
        <f>IF(SUM(LM12:LP12)-LQ12&gt;0,SUM(LM12:LP12)-LQ12,"")</f>
        <v/>
      </c>
      <c r="LX12" s="11" t="str">
        <f>IF(SUM(LU12,LW12)&gt;0,SUM(LU12,LW12),"")</f>
        <v/>
      </c>
      <c r="LY12" s="38"/>
      <c r="LZ12" s="38"/>
      <c r="MA12" s="38"/>
      <c r="MB12" s="38"/>
      <c r="MC12" s="38"/>
      <c r="MD12" s="38"/>
      <c r="ME12" s="38"/>
      <c r="MF12" s="38"/>
      <c r="MG12" s="38"/>
      <c r="MH12" s="38"/>
      <c r="MI12" s="38"/>
      <c r="MJ12" s="38"/>
      <c r="MK12" s="38"/>
      <c r="ML12" s="38"/>
      <c r="MM12" s="38"/>
      <c r="MN12" s="14" t="str">
        <f>IF(MF12&gt;0,MF12,"")</f>
        <v/>
      </c>
      <c r="MO12" s="14" t="str">
        <f>IF(SUM(LY12:MB12)-MC12&gt;0,SUM(LY12:MB12)-MC12,"")</f>
        <v/>
      </c>
      <c r="MP12" s="14" t="str">
        <f>IF(SUM(MD12:MG12)-MH12&gt;0,SUM(MD12:MG12)-MH12,"")</f>
        <v/>
      </c>
      <c r="MQ12" s="14" t="str">
        <f>IF(SUM(MO12:MP12)&gt;0,SUM(MO12:MP12),"")</f>
        <v/>
      </c>
      <c r="MR12" s="14" t="str">
        <f>IF(MK12&gt;0,MK12,"")</f>
        <v/>
      </c>
      <c r="MS12" s="14" t="str">
        <f>IF(SUM(MI12:ML12)-MM12&gt;0,SUM(MI12:ML12)-MM12,"")</f>
        <v/>
      </c>
      <c r="MT12" s="14" t="str">
        <f>IF(SUM(MQ12,MS12)&gt;0,SUM(MQ12,MS12),"")</f>
        <v/>
      </c>
      <c r="MU12" s="69">
        <f>IF($CE12="P",BP12,(BP12+AS12)/2)</f>
        <v>4.6749999999999998</v>
      </c>
      <c r="MV12" s="69">
        <f>IF($CE12="P",BQ12,(BQ12+AT12)/2)</f>
        <v>4.7750000000000004</v>
      </c>
      <c r="MW12" s="69">
        <f>IF($CE12="P",BR12,(BR12+AU12)/2)</f>
        <v>1.6</v>
      </c>
      <c r="MX12" s="69">
        <f>IF($CE12="P",BS12,(BS12+AV12)/2)</f>
        <v>9.3000000000000007</v>
      </c>
      <c r="MY12" s="69">
        <f>IF($CE12="P",BT12,(BT12+AW12)/2)</f>
        <v>0</v>
      </c>
      <c r="MZ12" s="69">
        <f>IF($CE12="P",BU12,(BU12+AX12)/2)</f>
        <v>1.1499999999999999</v>
      </c>
      <c r="NA12" s="69">
        <f>IF($CE12="P",BV12,(BV12+AY12)/2)</f>
        <v>1.325</v>
      </c>
      <c r="NB12" s="69">
        <f>IF($CE12="P",BW12,(BW12+AZ12)/2)</f>
        <v>1.7</v>
      </c>
      <c r="NC12" s="69">
        <f>IF($CE12="P",BX12,(BX12+BA12)/2)</f>
        <v>2.4500000000000002</v>
      </c>
      <c r="ND12" s="69">
        <f>IF($CE12="P",BY12,(BY12+BB12)/2)</f>
        <v>0</v>
      </c>
      <c r="NE12" s="69">
        <f>IF($CE12="P",BZ12,(BZ12+BC12)/2)</f>
        <v>4.0250000000000004</v>
      </c>
      <c r="NF12" s="69">
        <f>IF($CE12="P",CA12,(CA12+BD12)/2)</f>
        <v>4.7</v>
      </c>
      <c r="NG12" s="69">
        <f>IF($CE12="P",CB12,(CB12+BE12)/2)</f>
        <v>5.25</v>
      </c>
      <c r="NH12" s="69">
        <f>IF($CE12="P",CC12,(CC12+BF12)/2)</f>
        <v>8.74</v>
      </c>
      <c r="NI12" s="69">
        <f>IF($CE12="P",CD12,(CD12+BG12)/2)</f>
        <v>0.2</v>
      </c>
      <c r="NJ12" s="80" t="s">
        <v>91</v>
      </c>
      <c r="NK12" s="11">
        <f>IF(NB12&gt;0,NB12,"")</f>
        <v>1.7</v>
      </c>
      <c r="NL12" s="11">
        <f>IF(SUM(MU12:MX12)-MY12&gt;0,SUM(MU12:MX12)-MY12,"")</f>
        <v>20.350000000000001</v>
      </c>
      <c r="NM12" s="11">
        <f>IF(SUM(MZ12:NC12)-ND12&gt;0,SUM(MZ12:NC12)-ND12,"")</f>
        <v>6.625</v>
      </c>
      <c r="NN12" s="11">
        <f>IF(SUM(NL12:NM12)&gt;0,SUM(NL12:NM12),"")</f>
        <v>26.975000000000001</v>
      </c>
      <c r="NO12" s="11">
        <f>IF(NG12&gt;0,NG12,"")</f>
        <v>5.25</v>
      </c>
      <c r="NP12" s="11">
        <f>IF(SUM(NE12:NH12)-NI12&gt;0,SUM(NE12:NH12)-NI12,"")</f>
        <v>22.515000000000004</v>
      </c>
      <c r="NQ12" s="11">
        <f>IF(SUM(NN12,NP12)&gt;0,SUM(NN12,NP12),"")</f>
        <v>49.490000000000009</v>
      </c>
    </row>
    <row r="13" spans="1:381" x14ac:dyDescent="0.2">
      <c r="A13" s="5" t="str" cm="1">
        <f t="array" ref="A13">IF(AND(G13&lt;&gt;"",H13&lt;&gt;""),SUMPRODUCT((G$4:G$15&lt;&gt;"")*(H$4:H$15&lt;&gt;"")*(E$4:E$15&gt;E13))+1,IF(H13&lt;&gt;"",SUMPRODUCT((I$4:I$15="No DD")*(E$4:E$15&gt;E13))+1+SUMPRODUCT((G$4:G$15&lt;&gt;"")*(H$4:H$15&lt;&gt;"")),""))</f>
        <v/>
      </c>
      <c r="B13" s="127" t="s">
        <v>106</v>
      </c>
      <c r="C13" s="5" t="s">
        <v>89</v>
      </c>
      <c r="D13" s="5" t="s">
        <v>102</v>
      </c>
      <c r="E13" s="15">
        <f>SUM(K13:S13)</f>
        <v>33.545000000000002</v>
      </c>
      <c r="F13" s="3" t="str">
        <f>IF(G13&lt;&gt;"","P","")</f>
        <v/>
      </c>
      <c r="G13" s="125" t="str">
        <f>IF(OR(AND(AL13&gt;=AR$20,AL13&lt;&gt;"",AK13=""),AND(AP13&gt;=AR$20,AP13&lt;&gt;"",AK13=""),AND(BI13&gt;=BO$20,BI13&lt;&gt;"",BH13=""),AND(BM13&gt;=BO$20,BM13&lt;&gt;"",BH13=""),AND(CF13&gt;=CL$20,CF13&lt;&gt;"",CE13=""),AND(CJ13&gt;=CL$20,CJ13&lt;&gt;"",CE13=""),AND(DF13&gt;=DL$20,DF13&lt;&gt;""),AND(DJ13&gt;=DL$20,DJ13&lt;&gt;""),AND(EB13&gt;=EH$20,EB13&lt;&gt;""),AND(EF13&gt;=EH$20,EF13&lt;&gt;""),AND(EX13&gt;=FD$20,EX13&lt;&gt;""),AND(FB13&gt;=FD$20,FB13&lt;&gt;""),AND(FT13&gt;=FZ$20,FT13&lt;&gt;""),AND(FX13&gt;=FZ$20,FX13&lt;&gt;""),AND(GP13&gt;=GV$20,GP13&lt;&gt;""),AND(GT13&gt;=GV$20,GT13&lt;&gt;""),AND(HL13&gt;=HR$20,HL13&lt;&gt;""),AND(HP13&gt;=HR$20,HP13&lt;&gt;""),AND(IH13&gt;=IN$20,IH13&lt;&gt;""),AND(IL13&gt;=IN$20,IL13&lt;&gt;""),AND(JD13&gt;=JJ$20,JD13&lt;&gt;""),AND(JH13&gt;=JJ$20,JH13&lt;&gt;""),AND(JZ13&gt;=KF$20,JZ13&lt;&gt;""),AND(KD13&gt;=KF$20,KD13&lt;&gt;""),AND(KV13&gt;=LB$20,KV13&lt;&gt;""),AND(KZ13&gt;=LB$20,KZ13&lt;&gt;""),AND(LR13&gt;=LX$20,LR13&lt;&gt;""),AND(LV13&gt;=LX$20,LV13&lt;&gt;""),AND(MN13&gt;=MT$20,MN13&lt;&gt;""),AND(MR13&gt;=MT$20,MR13&lt;&gt;"")),"Merit",IF(OR(AND(AL13&gt;=AR$19,AL13&lt;&gt;"",AK13=""),AND(AP13&gt;=AR$19,AP13&lt;&gt;"",AK13=""),AND(BI13&gt;=BO$19,BI13&lt;&gt;"",BH13=""),AND(BM13&gt;=BO$19,BM13&lt;&gt;"",BH13=""),AND(CF13&gt;=CL$19,CF13&lt;&gt;"",CE13=""),AND(CJ13&gt;=CL$19,CJ13&lt;&gt;"",CE13=""),AND(DF13&gt;=DL$19,DF13&lt;&gt;""),AND(DJ13&gt;=DL$19,DJ13&lt;&gt;""),AND(EB13&gt;=EH$19,EB13&lt;&gt;""),AND(EF13&gt;=EH$19,EF13&lt;&gt;""),AND(EX13&gt;=FD$19,EX13&lt;&gt;""),AND(FB13&gt;=FD$19,FB13&lt;&gt;""),AND(FT13&gt;=FZ$19,FT13&lt;&gt;""),AND(FX13&gt;=FZ$19,FX13&lt;&gt;""),AND(GP13&gt;=GV$19,GP13&lt;&gt;""),AND(GT13&gt;=GV$19,GT13&lt;&gt;""),AND(HL13&gt;=HR$19,HL13&lt;&gt;""),AND(HP13&gt;=HR$19,HP13&lt;&gt;""),AND(IH13&gt;=IN$19,IH13&lt;&gt;""),AND(IL13&gt;=IN$19,IL13&lt;&gt;""),AND(JD13&gt;=JJ$19,JD13&lt;&gt;""),AND(JH13&gt;=JJ$19,JH13&lt;&gt;""),AND(JZ13&gt;=KF$19,JZ13&lt;&gt;""),AND(KD13&gt;=KF$19,KD13&lt;&gt;""),AND(KV13&gt;=LB$19,KV13&lt;&gt;""),AND(KZ13&gt;=LB$19,KZ13&lt;&gt;""),AND(LR13&gt;=LX$19,LR13&lt;&gt;""),AND(LV13&gt;=LX$19,LV13&lt;&gt;""),AND(MN13&gt;=MT$19,MN13&lt;&gt;""),AND(MR13&gt;=MT$19,MR13&lt;&gt;"")),"Excellence",IF(OR(AND(AL13&gt;=AR$18,AL13&lt;&gt;"",AK13=""),AND(AP13&gt;=AR$18,AP13&lt;&gt;"",AK13=""),AND(BI13&gt;=BO$18,BI13&lt;&gt;"",BH13=""),AND(BM13&gt;=BO$18,BM13&lt;&gt;"",BH13=""),AND(CF13&gt;=CL$18,CF13&lt;&gt;"",CE13=""),AND(CJ13&gt;=CL$18,CJ13&lt;&gt;"",CE13=""),AND(DF13&gt;=DL$18,DF13&lt;&gt;""),AND(DJ13&gt;=DL$18,DJ13&lt;&gt;""),AND(EB13&gt;=EH$18,EB13&lt;&gt;""),AND(EF13&gt;=EH$18,EF13&lt;&gt;""),AND(EX13&gt;=FD$18,EX13&lt;&gt;""),AND(FB13&gt;=FD$18,FB13&lt;&gt;""),AND(FT13&gt;=FZ$18,FT13&lt;&gt;""),AND(FX13&gt;=FZ$18,FX13&lt;&gt;""),AND(GP13&gt;=GV$18,GP13&lt;&gt;""),AND(GT13&gt;=GV$18,GT13&lt;&gt;""),AND(HL13&gt;=HR$18,HL13&lt;&gt;""),AND(HP13&gt;=HR$18,HP13&lt;&gt;""),AND(IH13&gt;=IN$18,IH13&lt;&gt;""),AND(IL13&gt;=IN$18,IL13&lt;&gt;""),AND(JD13&gt;=JJ$18,JD13&lt;&gt;""),AND(JH13&gt;=JJ$18,JH13&lt;&gt;""),AND(JZ13&gt;=KF$18,JZ13&lt;&gt;""),AND(KD13&gt;=KF$18,KD13&lt;&gt;""),AND(KV13&gt;=LB$18,KV13&lt;&gt;""),AND(KZ13&gt;=LB$18,KZ13&lt;&gt;""),AND(LR13&gt;=LX$18,LR13&lt;&gt;""),AND(LV13&gt;=LX$18,LV13&lt;&gt;""),AND(MN13&gt;=MT$18,MN13&lt;&gt;""),AND(MR13&gt;=MT$18,MR13&lt;&gt;"")),"Worlds Team",IF(OR(AND(AL13&gt;=AR$17,AL13&lt;&gt;"",AK13=""),AND(AP13&gt;=AR$17,AP13&lt;&gt;"",AK13=""),AND(BI13&gt;=BO$17,BI13&lt;&gt;"",BH13=""),AND(BM13&gt;=BO$17,BM13&lt;&gt;"",BH13=""),AND(CF13&gt;=CL$17,CF13&lt;&gt;"",CE13=""),AND(CJ13&gt;=CL$17,CJ13&lt;&gt;"",CE13=""),AND(DF13&gt;=DL$17,DF13&lt;&gt;""),AND(DJ13&gt;=DL$17,DJ13&lt;&gt;""),AND(EB13&gt;=EH$17,EB13&lt;&gt;""),AND(EF13&gt;=EH$17,EF13&lt;&gt;""),AND(EX13&gt;=FD$17,EX13&lt;&gt;""),AND(FB13&gt;=FD$17,FB13&lt;&gt;""),AND(FT13&gt;=FZ$17,FT13&lt;&gt;""),AND(FX13&gt;=FZ$17,FX13&lt;&gt;""),AND(GP13&gt;=GV$17,GP13&lt;&gt;""),AND(GT13&gt;=GV$17,GT13&lt;&gt;""),AND(HL13&gt;=HR$17,HL13&lt;&gt;""),AND(HP13&gt;=HR$17,HP13&lt;&gt;""),AND(IH13&gt;=IN$17,IH13&lt;&gt;""),AND(IL13&gt;=IN$17,IL13&lt;&gt;""),AND(JD13&gt;=JJ$17,JD13&lt;&gt;""),AND(JH13&gt;=JJ$17,JH13&lt;&gt;""),AND(JZ13&gt;=KF$17,JZ13&lt;&gt;""),AND(KD13&gt;=KF$17,KD13&lt;&gt;""),AND(KV13&gt;=LB$17,KV13&lt;&gt;""),AND(KZ13&gt;=LB$17,KZ13&lt;&gt;""),AND(LR13&gt;=LX$17,LR13&lt;&gt;""),AND(LV13&gt;=LX$17,LV13&lt;&gt;""),AND(MN13&gt;=MT$17,MN13&lt;&gt;""),AND(MR13&gt;=MT$17,MR13&lt;&gt;"")),"National Team",""))))</f>
        <v/>
      </c>
      <c r="H13" s="125" t="str">
        <f>IF(OR(AND(AN13&gt;=AR$24,AN13&lt;&gt;"",AK13=""),AND(AQ13&gt;=AR$24,AQ13&lt;&gt;"",AK13=""),AND(BK13&gt;=BO$24,BK13&lt;&gt;"",BH13=""),AND(BN13&gt;=BO$24,BN13&lt;&gt;"",BH13=""),AND(CH13&gt;=CL$24,CH13&lt;&gt;"",CE13=""),AND(CK13&gt;=CL$24,CE13&lt;&gt;"",CE13=""),AND(DH13&gt;=DL$24,DH13&lt;&gt;""),AND(DK13&gt;=DL$24,DK13&lt;&gt;""),AND(ED13&gt;=EH$24,ED13&lt;&gt;""),AND(EG13&gt;=EH$24,EG13&lt;&gt;""),AND(EZ13&gt;=FD$24,EZ13&lt;&gt;""),AND(FC13&gt;=FD$24,FC13&lt;&gt;""),AND(FV13&gt;=FZ$24,FV13&lt;&gt;""),AND(FY13&gt;=FZ$24,FY13&lt;&gt;""),AND(GR13&gt;=GV$24,GR13&lt;&gt;""),AND(GU13&gt;=GV$24,GU13&lt;&gt;""),AND(HN13&gt;=HR$24,HN13&lt;&gt;""),AND(HQ13&gt;=HR$24,HQ13&lt;&gt;""),AND(IJ13&gt;=IN$24,IJ13&lt;&gt;""),AND(IM13&gt;=IN$24,IM13&lt;&gt;""),AND(JF13&gt;=JJ$24,JF13&lt;&gt;""),AND(JI13&gt;=JJ$24,JI13&lt;&gt;""),AND(KB13&gt;=KF$24,KB13&lt;&gt;""),AND(KE13&gt;=KF$24,KE13&lt;&gt;""),AND(KX13&gt;=LB$24,KX13&lt;&gt;""),AND(LA13&gt;=LB$24,LA13&lt;&gt;""),AND(LT13&gt;=LX$24,LT13&lt;&gt;""),AND(LW13&gt;=LX$24,LW13&lt;&gt;""),AND(MP13&gt;=MT$24,MP13&lt;&gt;""),AND(MS13&gt;=MT$24,MS13&lt;&gt;"")),"Merit",IF(OR(AND(AN13&gt;=AR$23,AN13&lt;&gt;"",AK13=""),AND(AQ13&gt;=AR$23,AQ13&lt;&gt;"",AK13=""),AND(BK13&gt;=BO$23,BK13&lt;&gt;"",BH13=""),AND(BN13&gt;=BO$23,BN13&lt;&gt;"",BH13=""),AND(CH13&gt;=CL$23,CH13&lt;&gt;"",CE13=""),AND(CK13&gt;=CL$23,CE13&lt;&gt;"",CE13=""),AND(DH13&gt;=DL$23,DH13&lt;&gt;""),AND(DK13&gt;=DL$23,DK13&lt;&gt;""),AND(ED13&gt;=EH$23,ED13&lt;&gt;""),AND(EG13&gt;=EH$23,EG13&lt;&gt;""),AND(EZ13&gt;=FD$23,EZ13&lt;&gt;""),AND(FC13&gt;=FD$23,FC13&lt;&gt;""),AND(FV13&gt;=FZ$23,FV13&lt;&gt;""),AND(FY13&gt;=FZ$23,FY13&lt;&gt;""),AND(GR13&gt;=GV$23,GR13&lt;&gt;""),AND(GU13&gt;=GV$23,GU13&lt;&gt;""),AND(HN13&gt;=HR$23,HN13&lt;&gt;""),AND(HQ13&gt;=HR$23,HQ13&lt;&gt;""),AND(IJ13&gt;=IN$23,IJ13&lt;&gt;""),AND(IM13&gt;=IN$23,IM13&lt;&gt;""),AND(JF13&gt;=JJ$23,JF13&lt;&gt;""),AND(JI13&gt;=JJ$23,JI13&lt;&gt;""),AND(KB13&gt;=KF$23,KB13&lt;&gt;""),AND(KE13&gt;=KF$23,KE13&lt;&gt;""),AND(KX13&gt;=LB$23,KX13&lt;&gt;""),AND(LA13&gt;=LB$23,LA13&lt;&gt;""),AND(LT13&gt;=LX$23,LT13&lt;&gt;""),AND(LW13&gt;=LX$23,LW13&lt;&gt;""),AND(MP13&gt;=MT$23,MP13&lt;&gt;""),AND(MS13&gt;=MT$23,MS13&lt;&gt;"")),"Excellence",IF(OR(AND(AO13&gt;=AR$22,AO13&lt;&gt;"",AK13=""),AND(BL13&gt;=BO$22,BL13&lt;&gt;"",BH13=""),AND(CI13&gt;=CL$22,CI13&lt;&gt;"",CE13=""),AND(DI13&gt;=DL$22,DI13&lt;&gt;""),AND(EE13&gt;=EH$22,EE13&lt;&gt;""),AND(FA13&gt;=FD$22,FA13&lt;&gt;""),AND(FW13&gt;=FZ$22,FW13&lt;&gt;""),AND(GS13&gt;=GV$22,GS13&lt;&gt;""),AND(HO13&gt;=HR$22,HO13&lt;&gt;""),AND(IK13&gt;=IN$22,IK13&lt;&gt;""),AND(JG13&gt;=JJ$22,JG13&lt;&gt;""),AND(KC13&gt;=KF$22,KC13&lt;&gt;""),AND(KY13&gt;=LB$22,KY13&lt;&gt;""),AND(LU13&gt;=LX$22,LU13&lt;&gt;""),AND(MQ13&gt;=MT$22,MQ13&lt;&gt;"")),"Worlds Team",IF(OR(AND(AO13&gt;=AR$21,AO13&lt;&gt;"",AK13=""),AND(BL13&gt;=BO$21,BL13&lt;&gt;"",BH13=""),AND(CI13&gt;=CL$21,CI13&lt;&gt;"",CE13=""),AND(DI13&gt;=DL$21,DI13&lt;&gt;""),AND(EE13&gt;=EH$21,EE13&lt;&gt;""),AND(FA13&gt;=FD$21,FA13&lt;&gt;""),AND(FW13&gt;=FZ$21,FW13&lt;&gt;""),AND(GS13&gt;=GV$21,GS13&lt;&gt;""),AND(HO13&gt;=HR$21,HO13&lt;&gt;""),AND(IK13&gt;=IN$21,IK13&lt;&gt;""),AND(JG13&gt;=JJ$21,JG13&lt;&gt;""),AND(KC13&gt;=KF$21,KC13&lt;&gt;""),AND(KY13&gt;=LB$21,KY13&lt;&gt;""),AND(LU13&gt;=LX$21,LU13&lt;&gt;""),AND(MQ13&gt;=MT$21,MQ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O13&gt;=AR$22,AO13&lt;&gt;"",AK13=""),AND(BL13&gt;=BO$22,BL13&lt;&gt;"",BH13=""),AND(CI13&gt;=CL$22,CI13&lt;&gt;"",CE13=""),AND(DI13&gt;=DL$22,DI13&lt;&gt;""),AND(EE13&gt;=EH$22,EE13&lt;&gt;""),AND(FA13&gt;=FD$22,FA13&lt;&gt;""),AND(FW13&gt;=FZ$22,FW13&lt;&gt;""),AND(GS13&gt;=GV$22,GS13&lt;&gt;""),AND(HO13&gt;=HR$22,HO13&lt;&gt;""),AND(IK13&gt;=IN$22,IK13&lt;&gt;""),AND(JG13&gt;=JJ$22,JG13&lt;&gt;""),AND(KC13&gt;=KF$22,KC13&lt;&gt;""),AND(KY13&gt;=LB$22,KY13&lt;&gt;""),AND(LU13&gt;=LX$22,LU13&lt;&gt;""),AND(MQ13&gt;=MT$22,MQ13&lt;&gt;"")),OR(G13="Worlds Team",G13="Excellence",G13="Merit")),"P","")</f>
        <v/>
      </c>
      <c r="K13" s="14">
        <f>MAX(AO13,BL13,CI13)</f>
        <v>33.545000000000002</v>
      </c>
      <c r="L13" s="14" t="str">
        <f>IF(K13=0,"",IF(K13=CI13,$BP$1,IF(K13=BL13,$AS$1,IF(K13=AO13,$V$1,""))))</f>
        <v>2019 Elite Canada</v>
      </c>
      <c r="M13" s="14">
        <f>IF($K13=$AO13,MAX(BJ13,CG13),IF($K13=$BL13,MAX(AM13,CG13),IF($K13=$CI13,MAX(AM13,BJ13),MAX(AM13,BJ13,CG13))))</f>
        <v>0</v>
      </c>
      <c r="N13" s="14" t="str">
        <f>IF(M13=0,"",IF(AND(M13=CG13,$L13&lt;&gt;$BP$1),$BP$1,IF(AND(M13=BJ13,$L13&lt;&gt;$AS$1),$AS$1,IF(AND(M13=AM13,$L13&lt;&gt;$V$1),$V$1,""))))</f>
        <v/>
      </c>
      <c r="O13" s="14">
        <f>IF($K13=$AO13,MAX(CH13,BK13),IF($K13=$BL13,MAX(AN13,CH13),IF($K13=$CI13,MAX(AN13,BK13),MAX(AN13,BK13,CH13))))</f>
        <v>0</v>
      </c>
      <c r="P13" s="14" t="str">
        <f>IF(O13=0,"",IF(AND(O13=CH13,$L13&lt;&gt;$BP$1),$BP$1,IF(AND(O13=BK13,$L13&lt;&gt;$AS$1),$AS$1,IF(AND(O13=AN13,$L13&lt;&gt;$V$1),$V$1,""))))</f>
        <v/>
      </c>
      <c r="Q13" s="14">
        <f>MAX(AQ13,BN13,CK13)</f>
        <v>0</v>
      </c>
      <c r="R13" s="14" t="str">
        <f>IF(Q13=0,"",IF(Q13=CK13,$BP$1,IF(Q13=BN13,$AS$1,IF(Q13=AQ13,$V$1,""))))</f>
        <v/>
      </c>
      <c r="S13" s="14" t="str">
        <f>IF(MAX(CM13,CN13,CO13,CP13)&gt;0,MAX(CM13,CN13,CO13,CP13),"")</f>
        <v/>
      </c>
      <c r="T13" s="25" t="str">
        <f>IF(S13="","",IF(S13=CM13,"(Vol 1)",IF(S13=CN13,"(Vol 2)",IF(S13=CO13,"(Prelim)",IF(S13=CP13,"(Final)")))))</f>
        <v/>
      </c>
      <c r="U13" s="14" t="str">
        <f>IF(S13="","",IF(S13=CM13,IF(S13+IF(M13="",0,M13)=MO13,$LY$1,IF(S13+IF(M13="",0,M13)=LS13,$LC$1,IF(S13+IF(M13="",0,M13)=KW13,$KG$1,IF(S13+IF(M13="",0,M13)=KA13,$JK$1,IF(S13+IF(M13="",0,M13)=JE13,$IO$1,IF(S13+IF(M13="",0,M13)=II13,$HS$1,IF(S13+IF(M13="",0,M13)=HM13,$GW$1,IF(S13+IF(M13="",0,M13)=GQ13,$GA$1,IF(S13+IF(M13="",0,M13)=FU13,$FE$1,IF(S13+IF(M13="",0,M13)=EY13,$EI$1,IF(S13+IF(M13="",0,M13)=EC13,$DM$1,IF(S13+IF(M13="",0,M13)=DG13,$CQ$1)))))))))))),IF(S13=CN13,IF(S13+IF(O13="",0,O13)=MP13,$LY$1,IF(S13+IF(O13="",0,O13)=LT13,$LC$1,IF(S13+IF(O13="",0,O13)=KX13,$KG$1,IF(S13+IF(O13="",0,O13)=KB13,$JK$1,IF(S13+IF(O13="",0,O13)=JF13,$IO$1,IF(S13+IF(O13="",0,O13)=IJ13,$HS$1,IF(S13+IF(O13="",0,O13)=HN13,$GW$1,IF(S13+IF(O13="",0,O13)=GR13,$GA$1,IF(S13+IF(O13="",0,O13)=FV13,$FE$1,IF(S13+IF(O13="",0,O13)=EZ13,$EI$1,IF(S13+IF(O13="",0,O13)=ED13,$DM$1,IF(S13+IF(O13="",0,O13)=DH13,$CQ$1)))))))))))),IF(S13=CO13,IF(S13+IF(K13="",0,K13)=MQ13,$LY$1,IF(S13+IF(K13="",0,K13)=LU13,$LC$1,IF(S13+IF(K13="",0,K13)=KY13,$KG$1,IF(S13+IF(K13="",0,K13)=KC13,$JK$1,IF(S13+IF(K13="",0,K13)=JG13,$IO$1,IF(S13+IF(K13="",0,K13)=IK13,$HS$1,IF(S13+IF(K13="",0,K13)=HO13,$GW$1,IF(S13+IF(K13="",0,K13)=GS13,$GA$1,IF(S13+IF(K13="",0,K13)=FW13,$FE$1,IF(S13+IF(K13="",0,K13)=FA13,$EI$1,IF(S13+IF(K13="",0,K13)=EE13,$DM$1,IF(S13+IF(K13="",0,K13)=DI13,$CQ$1)))))))))))),IF(S13=CP13,IF(S13+IF(Q13="",0,Q13)=MS13,$LY$1,IF(S13+IF(Q13="",0,Q13)=LW13,$LC$1,IF(S13+IF(Q13="",0,Q13)=LA13,$KG$1,IF(S13+IF(Q13="",0,Q13)=KE13,$JK$1,IF(S13+IF(Q13="",0,Q13)=JI13,$IO$1,IF(S13+IF(Q13="",0,Q13)=IM13,$HS$1,IF(S13+IF(Q13="",0,Q13)=HQ13,$GW$1,IF(S13+IF(Q13="",0,Q13)=GU13,$GA$1,IF(S13+IF(Q13="",0,Q13)=FY13,$FE$1,IF(S13+IF(Q13="",0,Q13)=FC13,$EI$1,IF(S13+IF(Q13="",0,Q13)=EG13,$DM$1,IF(S13+IF(Q13="",0,Q13)=DK13,$CQ$1)))))))))))))))))</f>
        <v/>
      </c>
      <c r="V13" s="39">
        <v>5.4749999999999996</v>
      </c>
      <c r="W13" s="39">
        <v>5.55</v>
      </c>
      <c r="X13" s="39">
        <v>1.2</v>
      </c>
      <c r="Y13" s="39">
        <v>7.72</v>
      </c>
      <c r="Z13" s="39">
        <v>0</v>
      </c>
      <c r="AA13" s="39">
        <v>2.25</v>
      </c>
      <c r="AB13" s="39">
        <v>2.65</v>
      </c>
      <c r="AC13" s="39">
        <v>4</v>
      </c>
      <c r="AD13" s="39">
        <v>4.7</v>
      </c>
      <c r="AE13" s="39">
        <v>0</v>
      </c>
      <c r="AF13" s="39"/>
      <c r="AG13" s="39"/>
      <c r="AH13" s="39"/>
      <c r="AI13" s="39"/>
      <c r="AJ13" s="39"/>
      <c r="AK13" s="80"/>
      <c r="AL13" s="11">
        <f>IF(AC13&gt;0,AC13,"")</f>
        <v>4</v>
      </c>
      <c r="AM13" s="11">
        <f>IF(SUM(V13:Y13)-Z13&gt;0,SUM(V13:Y13)-Z13,"")</f>
        <v>19.944999999999997</v>
      </c>
      <c r="AN13" s="11">
        <f>IF(SUM(AA13:AD13)-AE13&gt;0,SUM(AA13:AD13)-AE13,"")</f>
        <v>13.600000000000001</v>
      </c>
      <c r="AO13" s="11">
        <f>IF(SUM(AM13:AN13)&gt;0,SUM(AM13:AN13),"")</f>
        <v>33.545000000000002</v>
      </c>
      <c r="AP13" s="11" t="str">
        <f>IF(AH13&gt;0,AH13,"")</f>
        <v/>
      </c>
      <c r="AQ13" s="11" t="str">
        <f>IF(SUM(AF13:AI13)-AJ13&gt;0,SUM(AF13:AI13)-AJ13,"")</f>
        <v/>
      </c>
      <c r="AR13" s="11">
        <f>IF(SUM(AO13,AQ13)&gt;0,SUM(AO13,AQ13),"")</f>
        <v>33.545000000000002</v>
      </c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81"/>
      <c r="BI13" s="14" t="str">
        <f>IF(AZ13&gt;0,AZ13,"")</f>
        <v/>
      </c>
      <c r="BJ13" s="14" t="str">
        <f>IF(SUM(AS13:AV13)-AW13&gt;0,SUM(AS13:AV13)-AW13,"")</f>
        <v/>
      </c>
      <c r="BK13" s="14" t="str">
        <f>IF(SUM(AX13:BA13)-BB13&gt;0,SUM(AX13:BA13)-BB13,"")</f>
        <v/>
      </c>
      <c r="BL13" s="14" t="str">
        <f>IF(SUM(BJ13:BK13)&gt;0,SUM(BJ13:BK13),"")</f>
        <v/>
      </c>
      <c r="BM13" s="14" t="str">
        <f>IF(BE13&gt;0,BE13,"")</f>
        <v/>
      </c>
      <c r="BN13" s="14" t="str">
        <f>IF(SUM(BC13:BF13)-BG13&gt;0,SUM(BC13:BF13)-BG13,"")</f>
        <v/>
      </c>
      <c r="BO13" s="14" t="str">
        <f>IF(SUM(BL13,BN13)&gt;0,SUM(BL13,BN13),"")</f>
        <v/>
      </c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80"/>
      <c r="CF13" s="11" t="str">
        <f>IF(BW13&gt;0,BW13,"")</f>
        <v/>
      </c>
      <c r="CG13" s="11" t="str">
        <f>IF(SUM(BP13:BS13)-BT13&gt;0,SUM(BP13:BS13)-BT13,"")</f>
        <v/>
      </c>
      <c r="CH13" s="11" t="str">
        <f>IF(SUM(BU13:BX13)-BY13&gt;0,SUM(BU13:BX13)-BY13,"")</f>
        <v/>
      </c>
      <c r="CI13" s="11" t="str">
        <f>IF(SUM(CG13:CH13)&gt;0,SUM(CG13:CH13),"")</f>
        <v/>
      </c>
      <c r="CJ13" s="11" t="str">
        <f>IF(CB13&gt;0,CB13,"")</f>
        <v/>
      </c>
      <c r="CK13" s="11" t="str">
        <f>IF(SUM(BZ13:CC13)-CD13&gt;0,SUM(BZ13:CC13)-CD13,"")</f>
        <v/>
      </c>
      <c r="CL13" s="11" t="str">
        <f>IF(SUM(CI13,CK13)&gt;0,SUM(CI13,CK13),"")</f>
        <v/>
      </c>
      <c r="CM13" s="24" t="str">
        <f>IF(MAX(DG13,EC13,EY13,FU13,GQ13,HM13,II13,JE13,KA13,KW13,LS13,MO13)-IF(M13="",0,M13)&gt;0.001,MAX(DG13,EC13,EY13,FU13,GQ13,HM13,II13,JE13,KA13,KW13,LS13,MO13)-IF(M13="",0,M13),"")</f>
        <v/>
      </c>
      <c r="CN13" s="24" t="str">
        <f>IF(MAX(DH13,ED13,EZ13,FV13,GR13,HN13,IJ13,JF13,KB13,KX13,LT13,MP13)-IF(O13="",0,O13)&gt;0.001,MAX(DH13,ED13,EZ13,FV13,GR13,HN13,IJ13,JF13,KB13,KX13,LT13,MP13)-IF(O13="",0,O13),"")</f>
        <v/>
      </c>
      <c r="CO13" s="24" t="str">
        <f>IF(MAX(DI13,EE13,FA13,FW13,GS13,HO13,IK13,JG13,KC13,KY13,LU13,MQ13)-IF(K13="",0,K13)&gt;0.001,MAX(DI13,EE13,FA13,FW13,GS13,HO13,IK13,JG13,KC13,KY13,LU13,MQ13)-IF(K13="",0,K13),"")</f>
        <v/>
      </c>
      <c r="CP13" s="24" t="str">
        <f>IF(MAX(DK13,EG13,FC13,FY13,GU13,HQ13,IM13,JI13,KE13,LA13,LW13,MS13)-IF(Q13="",0,Q13)&gt;0.001,MAX(DK13,EG13,FC13,FY13,GU13,HQ13,IM13,JI13,KE13,LA13,LW13,MS13)-IF(Q13="",0,Q13),"")</f>
        <v/>
      </c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11" t="str">
        <f>IF(CX13&gt;0,CX13,"")</f>
        <v/>
      </c>
      <c r="DG13" s="11" t="str">
        <f>IF(SUM(CQ13:CT13)-CU13&gt;0,SUM(CQ13:CT13)-CU13,"")</f>
        <v/>
      </c>
      <c r="DH13" s="11" t="str">
        <f>IF(SUM(CV13:CY13)-CZ13&gt;0,SUM(CV13:CY13)-CZ13,"")</f>
        <v/>
      </c>
      <c r="DI13" s="11" t="str">
        <f>IF(SUM(DG13:DH13)&gt;0,SUM(DG13:DH13),"")</f>
        <v/>
      </c>
      <c r="DJ13" s="11" t="str">
        <f>IF(DC13&gt;0,DC13,"")</f>
        <v/>
      </c>
      <c r="DK13" s="11" t="str">
        <f>IF(SUM(DA13:DD13)-DE13&gt;0,SUM(DA13:DD13)-DE13,"")</f>
        <v/>
      </c>
      <c r="DL13" s="11" t="str">
        <f>IF(SUM(DI13,DK13)&gt;0,SUM(DI13,DK13),"")</f>
        <v/>
      </c>
      <c r="DM13" s="38"/>
      <c r="DN13" s="38"/>
      <c r="DO13" s="38"/>
      <c r="DP13" s="38"/>
      <c r="DQ13" s="38"/>
      <c r="DR13" s="38"/>
      <c r="DS13" s="38"/>
      <c r="DT13" s="38"/>
      <c r="DU13" s="38"/>
      <c r="DV13" s="38"/>
      <c r="DW13" s="38"/>
      <c r="DX13" s="38"/>
      <c r="DY13" s="38"/>
      <c r="DZ13" s="38"/>
      <c r="EA13" s="38"/>
      <c r="EB13" s="14" t="str">
        <f>IF(DT13&gt;0,DT13,"")</f>
        <v/>
      </c>
      <c r="EC13" s="14" t="str">
        <f>IF(SUM(DM13:DP13)-DQ13&gt;0,SUM(DM13:DP13)-DQ13,"")</f>
        <v/>
      </c>
      <c r="ED13" s="14" t="str">
        <f>IF(SUM(DR13:DU13)-DV13&gt;0,SUM(DR13:DU13)-DV13,"")</f>
        <v/>
      </c>
      <c r="EE13" s="14" t="str">
        <f>IF(SUM(EC13:ED13)&gt;0,SUM(EC13:ED13),"")</f>
        <v/>
      </c>
      <c r="EF13" s="14" t="str">
        <f>IF(DY13&gt;0,DY13,"")</f>
        <v/>
      </c>
      <c r="EG13" s="14" t="str">
        <f>IF(SUM(DW13:DZ13)-EA13&gt;0,SUM(DW13:DZ13)-EA13,"")</f>
        <v/>
      </c>
      <c r="EH13" s="14" t="str">
        <f>IF(SUM(EE13,EG13)&gt;0,SUM(EE13,EG13),"")</f>
        <v/>
      </c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11" t="str">
        <f>IF(EP13&gt;0,EP13,"")</f>
        <v/>
      </c>
      <c r="EY13" s="11" t="str">
        <f>IF(SUM(EI13:EL13)-EM13&gt;0,SUM(EI13:EL13)-EM13,"")</f>
        <v/>
      </c>
      <c r="EZ13" s="11" t="str">
        <f>IF(SUM(EN13:EQ13)-ER13&gt;0,SUM(EN13:EQ13)-ER13,"")</f>
        <v/>
      </c>
      <c r="FA13" s="11" t="str">
        <f>IF(SUM(EY13:EZ13)&gt;0,SUM(EY13:EZ13),"")</f>
        <v/>
      </c>
      <c r="FB13" s="11" t="str">
        <f>IF(EU13&gt;0,EU13,"")</f>
        <v/>
      </c>
      <c r="FC13" s="11" t="str">
        <f>IF(SUM(ES13:EV13)-EW13&gt;0,SUM(ES13:EV13)-EW13,"")</f>
        <v/>
      </c>
      <c r="FD13" s="11" t="str">
        <f>IF(SUM(FA13,FC13)&gt;0,SUM(FA13,FC13),"")</f>
        <v/>
      </c>
      <c r="FE13" s="38"/>
      <c r="FF13" s="38"/>
      <c r="FG13" s="38"/>
      <c r="FH13" s="38"/>
      <c r="FI13" s="38"/>
      <c r="FJ13" s="38"/>
      <c r="FK13" s="38"/>
      <c r="FL13" s="38"/>
      <c r="FM13" s="38"/>
      <c r="FN13" s="38"/>
      <c r="FO13" s="38"/>
      <c r="FP13" s="38"/>
      <c r="FQ13" s="38"/>
      <c r="FR13" s="38"/>
      <c r="FS13" s="38"/>
      <c r="FT13" s="14" t="str">
        <f>IF(FL13&gt;0,FL13,"")</f>
        <v/>
      </c>
      <c r="FU13" s="14" t="str">
        <f>IF(SUM(FE13:FH13)-FI13&gt;0,SUM(FE13:FH13)-FI13,"")</f>
        <v/>
      </c>
      <c r="FV13" s="14" t="str">
        <f>IF(SUM(FJ13:FM13)-FN13&gt;0,SUM(FJ13:FM13)-FN13,"")</f>
        <v/>
      </c>
      <c r="FW13" s="14" t="str">
        <f>IF(SUM(FU13:FV13)&gt;0,SUM(FU13:FV13),"")</f>
        <v/>
      </c>
      <c r="FX13" s="14" t="str">
        <f>IF(FQ13&gt;0,FQ13,"")</f>
        <v/>
      </c>
      <c r="FY13" s="14" t="str">
        <f>IF(SUM(FO13:FR13)-FS13&gt;0,SUM(FO13:FR13)-FS13,"")</f>
        <v/>
      </c>
      <c r="FZ13" s="14" t="str">
        <f>IF(SUM(FW13,FY13)&gt;0,SUM(FW13,FY13),"")</f>
        <v/>
      </c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11" t="str">
        <f>IF(GH13&gt;0,GH13,"")</f>
        <v/>
      </c>
      <c r="GQ13" s="11" t="str">
        <f>IF(SUM(GA13:GD13)-GE13&gt;0,SUM(GA13:GD13)-GE13,"")</f>
        <v/>
      </c>
      <c r="GR13" s="11" t="str">
        <f>IF(SUM(GF13:GI13)-GJ13&gt;0,SUM(GF13:GI13)-GJ13,"")</f>
        <v/>
      </c>
      <c r="GS13" s="11" t="str">
        <f>IF(SUM(GQ13:GR13)&gt;0,SUM(GQ13:GR13),"")</f>
        <v/>
      </c>
      <c r="GT13" s="11" t="str">
        <f>IF(GM13&gt;0,GM13,"")</f>
        <v/>
      </c>
      <c r="GU13" s="11" t="str">
        <f>IF(SUM(GK13:GN13)-GO13&gt;0,SUM(GK13:GN13)-GO13,"")</f>
        <v/>
      </c>
      <c r="GV13" s="11" t="str">
        <f>IF(SUM(GS13,GU13)&gt;0,SUM(GS13,GU13),"")</f>
        <v/>
      </c>
      <c r="GW13" s="38"/>
      <c r="GX13" s="38"/>
      <c r="GY13" s="38"/>
      <c r="GZ13" s="38"/>
      <c r="HA13" s="38"/>
      <c r="HB13" s="38"/>
      <c r="HC13" s="38"/>
      <c r="HD13" s="38"/>
      <c r="HE13" s="38"/>
      <c r="HF13" s="38"/>
      <c r="HG13" s="38"/>
      <c r="HH13" s="38"/>
      <c r="HI13" s="38"/>
      <c r="HJ13" s="38"/>
      <c r="HK13" s="38"/>
      <c r="HL13" s="14" t="str">
        <f>IF(HD13&gt;0,HD13,"")</f>
        <v/>
      </c>
      <c r="HM13" s="14" t="str">
        <f>IF(SUM(GW13:GZ13)-HA13&gt;0,SUM(GW13:GZ13)-HA13,"")</f>
        <v/>
      </c>
      <c r="HN13" s="14" t="str">
        <f>IF(SUM(HB13:HE13)-HF13&gt;0,SUM(HB13:HE13)-HF13,"")</f>
        <v/>
      </c>
      <c r="HO13" s="14" t="str">
        <f>IF(SUM(HM13:HN13)&gt;0,SUM(HM13:HN13),"")</f>
        <v/>
      </c>
      <c r="HP13" s="14" t="str">
        <f>IF(HI13&gt;0,HI13,"")</f>
        <v/>
      </c>
      <c r="HQ13" s="14" t="str">
        <f>IF(SUM(HG13:HJ13)-HK13&gt;0,SUM(HG13:HJ13)-HK13,"")</f>
        <v/>
      </c>
      <c r="HR13" s="14" t="str">
        <f>IF(SUM(HO13,HQ13)&gt;0,SUM(HO13,HQ13),"")</f>
        <v/>
      </c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11" t="str">
        <f>IF(HZ13&gt;0,HZ13,"")</f>
        <v/>
      </c>
      <c r="II13" s="11" t="str">
        <f>IF(SUM(HS13:HV13)-HW13&gt;0,SUM(HS13:HV13)-HW13,"")</f>
        <v/>
      </c>
      <c r="IJ13" s="11" t="str">
        <f>IF(SUM(HX13:IA13)-IB13&gt;0,SUM(HX13:IA13)-IB13,"")</f>
        <v/>
      </c>
      <c r="IK13" s="11" t="str">
        <f>IF(SUM(II13:IJ13)&gt;0,SUM(II13:IJ13),"")</f>
        <v/>
      </c>
      <c r="IL13" s="11" t="str">
        <f>IF(IE13&gt;0,IE13,"")</f>
        <v/>
      </c>
      <c r="IM13" s="11" t="str">
        <f>IF(SUM(IC13:IF13)-IG13&gt;0,SUM(IC13:IF13)-IG13,"")</f>
        <v/>
      </c>
      <c r="IN13" s="11" t="str">
        <f>IF(SUM(IK13,IM13)&gt;0,SUM(IK13,IM13),"")</f>
        <v/>
      </c>
      <c r="IO13" s="38"/>
      <c r="IP13" s="38"/>
      <c r="IQ13" s="38"/>
      <c r="IR13" s="38"/>
      <c r="IS13" s="38"/>
      <c r="IT13" s="38"/>
      <c r="IU13" s="38"/>
      <c r="IV13" s="38"/>
      <c r="IW13" s="38"/>
      <c r="IX13" s="38"/>
      <c r="IY13" s="38"/>
      <c r="IZ13" s="38"/>
      <c r="JA13" s="38"/>
      <c r="JB13" s="38"/>
      <c r="JC13" s="38"/>
      <c r="JD13" s="14" t="str">
        <f>IF(IV13&gt;0,IV13,"")</f>
        <v/>
      </c>
      <c r="JE13" s="14" t="str">
        <f>IF(SUM(IO13:IR13)-IS13&gt;0,SUM(IO13:IR13)-IS13,"")</f>
        <v/>
      </c>
      <c r="JF13" s="14" t="str">
        <f>IF(SUM(IT13:IW13)-IX13&gt;0,SUM(IT13:IW13)-IX13,"")</f>
        <v/>
      </c>
      <c r="JG13" s="14" t="str">
        <f>IF(SUM(JE13:JF13)&gt;0,SUM(JE13:JF13),"")</f>
        <v/>
      </c>
      <c r="JH13" s="14" t="str">
        <f>IF(JA13&gt;0,JA13,"")</f>
        <v/>
      </c>
      <c r="JI13" s="14" t="str">
        <f>IF(SUM(IY13:JB13)-JC13&gt;0,SUM(IY13:JB13)-JC13,"")</f>
        <v/>
      </c>
      <c r="JJ13" s="14" t="str">
        <f>IF(SUM(JG13,JI13)&gt;0,SUM(JG13,JI13),"")</f>
        <v/>
      </c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11" t="str">
        <f>IF(JR13&gt;0,JR13,"")</f>
        <v/>
      </c>
      <c r="KA13" s="11" t="str">
        <f>IF(SUM(JK13:JN13)-JO13&gt;0,SUM(JK13:JN13)-JO13,"")</f>
        <v/>
      </c>
      <c r="KB13" s="11" t="str">
        <f>IF(SUM(JP13:JS13)-JT13&gt;0,SUM(JP13:JS13)-JT13,"")</f>
        <v/>
      </c>
      <c r="KC13" s="11" t="str">
        <f>IF(SUM(KA13:KB13)&gt;0,SUM(KA13:KB13),"")</f>
        <v/>
      </c>
      <c r="KD13" s="11" t="str">
        <f>IF(JW13&gt;0,JW13,"")</f>
        <v/>
      </c>
      <c r="KE13" s="11" t="str">
        <f>IF(SUM(JU13:JX13)-JY13&gt;0,SUM(JU13:JX13)-JY13,"")</f>
        <v/>
      </c>
      <c r="KF13" s="11" t="str">
        <f>IF(SUM(KC13,KE13)&gt;0,SUM(KC13,KE13),"")</f>
        <v/>
      </c>
      <c r="KG13" s="38"/>
      <c r="KH13" s="38"/>
      <c r="KI13" s="38"/>
      <c r="KJ13" s="38"/>
      <c r="KK13" s="38"/>
      <c r="KL13" s="38"/>
      <c r="KM13" s="38"/>
      <c r="KN13" s="38"/>
      <c r="KO13" s="38"/>
      <c r="KP13" s="38"/>
      <c r="KQ13" s="38"/>
      <c r="KR13" s="38"/>
      <c r="KS13" s="38"/>
      <c r="KT13" s="38"/>
      <c r="KU13" s="38"/>
      <c r="KV13" s="14" t="str">
        <f>IF(KN13&gt;0,KN13,"")</f>
        <v/>
      </c>
      <c r="KW13" s="14" t="str">
        <f>IF(SUM(KG13:KJ13)-KK13&gt;0,SUM(KG13:KJ13)-KK13,"")</f>
        <v/>
      </c>
      <c r="KX13" s="14" t="str">
        <f>IF(SUM(KL13:KO13)-KP13&gt;0,SUM(KL13:KO13)-KP13,"")</f>
        <v/>
      </c>
      <c r="KY13" s="14" t="str">
        <f>IF(SUM(KW13:KX13)&gt;0,SUM(KW13:KX13),"")</f>
        <v/>
      </c>
      <c r="KZ13" s="14" t="str">
        <f>IF(KS13&gt;0,KS13,"")</f>
        <v/>
      </c>
      <c r="LA13" s="14" t="str">
        <f>IF(SUM(KQ13:KT13)-KU13&gt;0,SUM(KQ13:KT13)-KU13,"")</f>
        <v/>
      </c>
      <c r="LB13" s="14" t="str">
        <f>IF(SUM(KY13,LA13)&gt;0,SUM(KY13,LA13),"")</f>
        <v/>
      </c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11" t="str">
        <f>IF(LJ13&gt;0,LJ13,"")</f>
        <v/>
      </c>
      <c r="LS13" s="11" t="str">
        <f>IF(SUM(LC13:LF13)-LG13&gt;0,SUM(LC13:LF13)-LG13,"")</f>
        <v/>
      </c>
      <c r="LT13" s="11" t="str">
        <f>IF(SUM(LH13:LK13)-LL13&gt;0,SUM(LH13:LK13)-LL13,"")</f>
        <v/>
      </c>
      <c r="LU13" s="11" t="str">
        <f>IF(SUM(LS13:LT13)&gt;0,SUM(LS13:LT13),"")</f>
        <v/>
      </c>
      <c r="LV13" s="11" t="str">
        <f>IF(LO13&gt;0,LO13,"")</f>
        <v/>
      </c>
      <c r="LW13" s="11" t="str">
        <f>IF(SUM(LM13:LP13)-LQ13&gt;0,SUM(LM13:LP13)-LQ13,"")</f>
        <v/>
      </c>
      <c r="LX13" s="11" t="str">
        <f>IF(SUM(LU13,LW13)&gt;0,SUM(LU13,LW13),"")</f>
        <v/>
      </c>
      <c r="LY13" s="38"/>
      <c r="LZ13" s="38"/>
      <c r="MA13" s="38"/>
      <c r="MB13" s="38"/>
      <c r="MC13" s="38"/>
      <c r="MD13" s="38"/>
      <c r="ME13" s="38"/>
      <c r="MF13" s="38"/>
      <c r="MG13" s="38"/>
      <c r="MH13" s="38"/>
      <c r="MI13" s="38"/>
      <c r="MJ13" s="38"/>
      <c r="MK13" s="38"/>
      <c r="ML13" s="38"/>
      <c r="MM13" s="38"/>
      <c r="MN13" s="14" t="str">
        <f>IF(MF13&gt;0,MF13,"")</f>
        <v/>
      </c>
      <c r="MO13" s="14" t="str">
        <f>IF(SUM(LY13:MB13)-MC13&gt;0,SUM(LY13:MB13)-MC13,"")</f>
        <v/>
      </c>
      <c r="MP13" s="14" t="str">
        <f>IF(SUM(MD13:MG13)-MH13&gt;0,SUM(MD13:MG13)-MH13,"")</f>
        <v/>
      </c>
      <c r="MQ13" s="14" t="str">
        <f>IF(SUM(MO13:MP13)&gt;0,SUM(MO13:MP13),"")</f>
        <v/>
      </c>
      <c r="MR13" s="14" t="str">
        <f>IF(MK13&gt;0,MK13,"")</f>
        <v/>
      </c>
      <c r="MS13" s="14" t="str">
        <f>IF(SUM(MI13:ML13)-MM13&gt;0,SUM(MI13:ML13)-MM13,"")</f>
        <v/>
      </c>
      <c r="MT13" s="14" t="str">
        <f>IF(SUM(MQ13,MS13)&gt;0,SUM(MQ13,MS13),"")</f>
        <v/>
      </c>
      <c r="MU13" s="69">
        <f>IF($CE13="P",BP13,(BP13+AS13)/2)</f>
        <v>0</v>
      </c>
      <c r="MV13" s="69">
        <f>IF($CE13="P",BQ13,(BQ13+AT13)/2)</f>
        <v>0</v>
      </c>
      <c r="MW13" s="69">
        <f>IF($CE13="P",BR13,(BR13+AU13)/2)</f>
        <v>0</v>
      </c>
      <c r="MX13" s="69">
        <f>IF($CE13="P",BS13,(BS13+AV13)/2)</f>
        <v>0</v>
      </c>
      <c r="MY13" s="69">
        <f>IF($CE13="P",BT13,(BT13+AW13)/2)</f>
        <v>0</v>
      </c>
      <c r="MZ13" s="69">
        <f>IF($CE13="P",BU13,(BU13+AX13)/2)</f>
        <v>0</v>
      </c>
      <c r="NA13" s="69">
        <f>IF($CE13="P",BV13,(BV13+AY13)/2)</f>
        <v>0</v>
      </c>
      <c r="NB13" s="69">
        <f>IF($CE13="P",BW13,(BW13+AZ13)/2)</f>
        <v>0</v>
      </c>
      <c r="NC13" s="69">
        <f>IF($CE13="P",BX13,(BX13+BA13)/2)</f>
        <v>0</v>
      </c>
      <c r="ND13" s="69">
        <f>IF($CE13="P",BY13,(BY13+BB13)/2)</f>
        <v>0</v>
      </c>
      <c r="NE13" s="69">
        <f>IF($CE13="P",BZ13,(BZ13+BC13)/2)</f>
        <v>0</v>
      </c>
      <c r="NF13" s="69">
        <f>IF($CE13="P",CA13,(CA13+BD13)/2)</f>
        <v>0</v>
      </c>
      <c r="NG13" s="69">
        <f>IF($CE13="P",CB13,(CB13+BE13)/2)</f>
        <v>0</v>
      </c>
      <c r="NH13" s="69">
        <f>IF($CE13="P",CC13,(CC13+BF13)/2)</f>
        <v>0</v>
      </c>
      <c r="NI13" s="69">
        <f>IF($CE13="P",CD13,(CD13+BG13)/2)</f>
        <v>0</v>
      </c>
      <c r="NJ13" s="80" t="s">
        <v>91</v>
      </c>
      <c r="NK13" s="11" t="str">
        <f>IF(NB13&gt;0,NB13,"")</f>
        <v/>
      </c>
      <c r="NL13" s="11" t="str">
        <f>IF(SUM(MU13:MX13)-MY13&gt;0,SUM(MU13:MX13)-MY13,"")</f>
        <v/>
      </c>
      <c r="NM13" s="11" t="str">
        <f>IF(SUM(MZ13:NC13)-ND13&gt;0,SUM(MZ13:NC13)-ND13,"")</f>
        <v/>
      </c>
      <c r="NN13" s="11" t="str">
        <f>IF(SUM(NL13:NM13)&gt;0,SUM(NL13:NM13),"")</f>
        <v/>
      </c>
      <c r="NO13" s="11" t="str">
        <f>IF(NG13&gt;0,NG13,"")</f>
        <v/>
      </c>
      <c r="NP13" s="11" t="str">
        <f>IF(SUM(NE13:NH13)-NI13&gt;0,SUM(NE13:NH13)-NI13,"")</f>
        <v/>
      </c>
      <c r="NQ13" s="11" t="str">
        <f>IF(SUM(NN13,NP13)&gt;0,SUM(NN13,NP13),"")</f>
        <v/>
      </c>
    </row>
    <row r="14" spans="1:381" x14ac:dyDescent="0.2">
      <c r="A14" s="5" t="str" cm="1">
        <f t="array" ref="A14">IF(AND(G14&lt;&gt;"",H14&lt;&gt;""),SUMPRODUCT((G$4:G$15&lt;&gt;"")*(H$4:H$15&lt;&gt;"")*(E$4:E$15&gt;E14))+1,IF(H14&lt;&gt;"",SUMPRODUCT((I$4:I$15="No DD")*(E$4:E$15&gt;E14))+1+SUMPRODUCT((G$4:G$15&lt;&gt;"")*(H$4:H$15&lt;&gt;"")),""))</f>
        <v/>
      </c>
      <c r="B14" s="127" t="s">
        <v>105</v>
      </c>
      <c r="C14" s="5" t="s">
        <v>104</v>
      </c>
      <c r="D14" s="5" t="s">
        <v>103</v>
      </c>
      <c r="E14" s="15">
        <f>SUM(K14:S14)</f>
        <v>0</v>
      </c>
      <c r="F14" s="3" t="str">
        <f>IF(G14&lt;&gt;"","P","")</f>
        <v/>
      </c>
      <c r="G14" s="125" t="str">
        <f>IF(OR(AND(AL14&gt;=AR$20,AL14&lt;&gt;"",AK14=""),AND(AP14&gt;=AR$20,AP14&lt;&gt;"",AK14=""),AND(BI14&gt;=BO$20,BI14&lt;&gt;"",BH14=""),AND(BM14&gt;=BO$20,BM14&lt;&gt;"",BH14=""),AND(CF14&gt;=CL$20,CF14&lt;&gt;"",CE14=""),AND(CJ14&gt;=CL$20,CJ14&lt;&gt;"",CE14=""),AND(DF14&gt;=DL$20,DF14&lt;&gt;""),AND(DJ14&gt;=DL$20,DJ14&lt;&gt;""),AND(EB14&gt;=EH$20,EB14&lt;&gt;""),AND(EF14&gt;=EH$20,EF14&lt;&gt;""),AND(EX14&gt;=FD$20,EX14&lt;&gt;""),AND(FB14&gt;=FD$20,FB14&lt;&gt;""),AND(FT14&gt;=FZ$20,FT14&lt;&gt;""),AND(FX14&gt;=FZ$20,FX14&lt;&gt;""),AND(GP14&gt;=GV$20,GP14&lt;&gt;""),AND(GT14&gt;=GV$20,GT14&lt;&gt;""),AND(HL14&gt;=HR$20,HL14&lt;&gt;""),AND(HP14&gt;=HR$20,HP14&lt;&gt;""),AND(IH14&gt;=IN$20,IH14&lt;&gt;""),AND(IL14&gt;=IN$20,IL14&lt;&gt;""),AND(JD14&gt;=JJ$20,JD14&lt;&gt;""),AND(JH14&gt;=JJ$20,JH14&lt;&gt;""),AND(JZ14&gt;=KF$20,JZ14&lt;&gt;""),AND(KD14&gt;=KF$20,KD14&lt;&gt;""),AND(KV14&gt;=LB$20,KV14&lt;&gt;""),AND(KZ14&gt;=LB$20,KZ14&lt;&gt;""),AND(LR14&gt;=LX$20,LR14&lt;&gt;""),AND(LV14&gt;=LX$20,LV14&lt;&gt;""),AND(MN14&gt;=MT$20,MN14&lt;&gt;""),AND(MR14&gt;=MT$20,MR14&lt;&gt;"")),"Merit",IF(OR(AND(AL14&gt;=AR$19,AL14&lt;&gt;"",AK14=""),AND(AP14&gt;=AR$19,AP14&lt;&gt;"",AK14=""),AND(BI14&gt;=BO$19,BI14&lt;&gt;"",BH14=""),AND(BM14&gt;=BO$19,BM14&lt;&gt;"",BH14=""),AND(CF14&gt;=CL$19,CF14&lt;&gt;"",CE14=""),AND(CJ14&gt;=CL$19,CJ14&lt;&gt;"",CE14=""),AND(DF14&gt;=DL$19,DF14&lt;&gt;""),AND(DJ14&gt;=DL$19,DJ14&lt;&gt;""),AND(EB14&gt;=EH$19,EB14&lt;&gt;""),AND(EF14&gt;=EH$19,EF14&lt;&gt;""),AND(EX14&gt;=FD$19,EX14&lt;&gt;""),AND(FB14&gt;=FD$19,FB14&lt;&gt;""),AND(FT14&gt;=FZ$19,FT14&lt;&gt;""),AND(FX14&gt;=FZ$19,FX14&lt;&gt;""),AND(GP14&gt;=GV$19,GP14&lt;&gt;""),AND(GT14&gt;=GV$19,GT14&lt;&gt;""),AND(HL14&gt;=HR$19,HL14&lt;&gt;""),AND(HP14&gt;=HR$19,HP14&lt;&gt;""),AND(IH14&gt;=IN$19,IH14&lt;&gt;""),AND(IL14&gt;=IN$19,IL14&lt;&gt;""),AND(JD14&gt;=JJ$19,JD14&lt;&gt;""),AND(JH14&gt;=JJ$19,JH14&lt;&gt;""),AND(JZ14&gt;=KF$19,JZ14&lt;&gt;""),AND(KD14&gt;=KF$19,KD14&lt;&gt;""),AND(KV14&gt;=LB$19,KV14&lt;&gt;""),AND(KZ14&gt;=LB$19,KZ14&lt;&gt;""),AND(LR14&gt;=LX$19,LR14&lt;&gt;""),AND(LV14&gt;=LX$19,LV14&lt;&gt;""),AND(MN14&gt;=MT$19,MN14&lt;&gt;""),AND(MR14&gt;=MT$19,MR14&lt;&gt;"")),"Excellence",IF(OR(AND(AL14&gt;=AR$18,AL14&lt;&gt;"",AK14=""),AND(AP14&gt;=AR$18,AP14&lt;&gt;"",AK14=""),AND(BI14&gt;=BO$18,BI14&lt;&gt;"",BH14=""),AND(BM14&gt;=BO$18,BM14&lt;&gt;"",BH14=""),AND(CF14&gt;=CL$18,CF14&lt;&gt;"",CE14=""),AND(CJ14&gt;=CL$18,CJ14&lt;&gt;"",CE14=""),AND(DF14&gt;=DL$18,DF14&lt;&gt;""),AND(DJ14&gt;=DL$18,DJ14&lt;&gt;""),AND(EB14&gt;=EH$18,EB14&lt;&gt;""),AND(EF14&gt;=EH$18,EF14&lt;&gt;""),AND(EX14&gt;=FD$18,EX14&lt;&gt;""),AND(FB14&gt;=FD$18,FB14&lt;&gt;""),AND(FT14&gt;=FZ$18,FT14&lt;&gt;""),AND(FX14&gt;=FZ$18,FX14&lt;&gt;""),AND(GP14&gt;=GV$18,GP14&lt;&gt;""),AND(GT14&gt;=GV$18,GT14&lt;&gt;""),AND(HL14&gt;=HR$18,HL14&lt;&gt;""),AND(HP14&gt;=HR$18,HP14&lt;&gt;""),AND(IH14&gt;=IN$18,IH14&lt;&gt;""),AND(IL14&gt;=IN$18,IL14&lt;&gt;""),AND(JD14&gt;=JJ$18,JD14&lt;&gt;""),AND(JH14&gt;=JJ$18,JH14&lt;&gt;""),AND(JZ14&gt;=KF$18,JZ14&lt;&gt;""),AND(KD14&gt;=KF$18,KD14&lt;&gt;""),AND(KV14&gt;=LB$18,KV14&lt;&gt;""),AND(KZ14&gt;=LB$18,KZ14&lt;&gt;""),AND(LR14&gt;=LX$18,LR14&lt;&gt;""),AND(LV14&gt;=LX$18,LV14&lt;&gt;""),AND(MN14&gt;=MT$18,MN14&lt;&gt;""),AND(MR14&gt;=MT$18,MR14&lt;&gt;"")),"Worlds Team",IF(OR(AND(AL14&gt;=AR$17,AL14&lt;&gt;"",AK14=""),AND(AP14&gt;=AR$17,AP14&lt;&gt;"",AK14=""),AND(BI14&gt;=BO$17,BI14&lt;&gt;"",BH14=""),AND(BM14&gt;=BO$17,BM14&lt;&gt;"",BH14=""),AND(CF14&gt;=CL$17,CF14&lt;&gt;"",CE14=""),AND(CJ14&gt;=CL$17,CJ14&lt;&gt;"",CE14=""),AND(DF14&gt;=DL$17,DF14&lt;&gt;""),AND(DJ14&gt;=DL$17,DJ14&lt;&gt;""),AND(EB14&gt;=EH$17,EB14&lt;&gt;""),AND(EF14&gt;=EH$17,EF14&lt;&gt;""),AND(EX14&gt;=FD$17,EX14&lt;&gt;""),AND(FB14&gt;=FD$17,FB14&lt;&gt;""),AND(FT14&gt;=FZ$17,FT14&lt;&gt;""),AND(FX14&gt;=FZ$17,FX14&lt;&gt;""),AND(GP14&gt;=GV$17,GP14&lt;&gt;""),AND(GT14&gt;=GV$17,GT14&lt;&gt;""),AND(HL14&gt;=HR$17,HL14&lt;&gt;""),AND(HP14&gt;=HR$17,HP14&lt;&gt;""),AND(IH14&gt;=IN$17,IH14&lt;&gt;""),AND(IL14&gt;=IN$17,IL14&lt;&gt;""),AND(JD14&gt;=JJ$17,JD14&lt;&gt;""),AND(JH14&gt;=JJ$17,JH14&lt;&gt;""),AND(JZ14&gt;=KF$17,JZ14&lt;&gt;""),AND(KD14&gt;=KF$17,KD14&lt;&gt;""),AND(KV14&gt;=LB$17,KV14&lt;&gt;""),AND(KZ14&gt;=LB$17,KZ14&lt;&gt;""),AND(LR14&gt;=LX$17,LR14&lt;&gt;""),AND(LV14&gt;=LX$17,LV14&lt;&gt;""),AND(MN14&gt;=MT$17,MN14&lt;&gt;""),AND(MR14&gt;=MT$17,MR14&lt;&gt;"")),"National Team",""))))</f>
        <v/>
      </c>
      <c r="H14" s="125" t="str">
        <f>IF(OR(AND(AN14&gt;=AR$24,AN14&lt;&gt;"",AK14=""),AND(AQ14&gt;=AR$24,AQ14&lt;&gt;"",AK14=""),AND(BK14&gt;=BO$24,BK14&lt;&gt;"",BH14=""),AND(BN14&gt;=BO$24,BN14&lt;&gt;"",BH14=""),AND(CH14&gt;=CL$24,CH14&lt;&gt;"",CE14=""),AND(CK14&gt;=CL$24,CE14&lt;&gt;"",CE14=""),AND(DH14&gt;=DL$24,DH14&lt;&gt;""),AND(DK14&gt;=DL$24,DK14&lt;&gt;""),AND(ED14&gt;=EH$24,ED14&lt;&gt;""),AND(EG14&gt;=EH$24,EG14&lt;&gt;""),AND(EZ14&gt;=FD$24,EZ14&lt;&gt;""),AND(FC14&gt;=FD$24,FC14&lt;&gt;""),AND(FV14&gt;=FZ$24,FV14&lt;&gt;""),AND(FY14&gt;=FZ$24,FY14&lt;&gt;""),AND(GR14&gt;=GV$24,GR14&lt;&gt;""),AND(GU14&gt;=GV$24,GU14&lt;&gt;""),AND(HN14&gt;=HR$24,HN14&lt;&gt;""),AND(HQ14&gt;=HR$24,HQ14&lt;&gt;""),AND(IJ14&gt;=IN$24,IJ14&lt;&gt;""),AND(IM14&gt;=IN$24,IM14&lt;&gt;""),AND(JF14&gt;=JJ$24,JF14&lt;&gt;""),AND(JI14&gt;=JJ$24,JI14&lt;&gt;""),AND(KB14&gt;=KF$24,KB14&lt;&gt;""),AND(KE14&gt;=KF$24,KE14&lt;&gt;""),AND(KX14&gt;=LB$24,KX14&lt;&gt;""),AND(LA14&gt;=LB$24,LA14&lt;&gt;""),AND(LT14&gt;=LX$24,LT14&lt;&gt;""),AND(LW14&gt;=LX$24,LW14&lt;&gt;""),AND(MP14&gt;=MT$24,MP14&lt;&gt;""),AND(MS14&gt;=MT$24,MS14&lt;&gt;"")),"Merit",IF(OR(AND(AN14&gt;=AR$23,AN14&lt;&gt;"",AK14=""),AND(AQ14&gt;=AR$23,AQ14&lt;&gt;"",AK14=""),AND(BK14&gt;=BO$23,BK14&lt;&gt;"",BH14=""),AND(BN14&gt;=BO$23,BN14&lt;&gt;"",BH14=""),AND(CH14&gt;=CL$23,CH14&lt;&gt;"",CE14=""),AND(CK14&gt;=CL$23,CE14&lt;&gt;"",CE14=""),AND(DH14&gt;=DL$23,DH14&lt;&gt;""),AND(DK14&gt;=DL$23,DK14&lt;&gt;""),AND(ED14&gt;=EH$23,ED14&lt;&gt;""),AND(EG14&gt;=EH$23,EG14&lt;&gt;""),AND(EZ14&gt;=FD$23,EZ14&lt;&gt;""),AND(FC14&gt;=FD$23,FC14&lt;&gt;""),AND(FV14&gt;=FZ$23,FV14&lt;&gt;""),AND(FY14&gt;=FZ$23,FY14&lt;&gt;""),AND(GR14&gt;=GV$23,GR14&lt;&gt;""),AND(GU14&gt;=GV$23,GU14&lt;&gt;""),AND(HN14&gt;=HR$23,HN14&lt;&gt;""),AND(HQ14&gt;=HR$23,HQ14&lt;&gt;""),AND(IJ14&gt;=IN$23,IJ14&lt;&gt;""),AND(IM14&gt;=IN$23,IM14&lt;&gt;""),AND(JF14&gt;=JJ$23,JF14&lt;&gt;""),AND(JI14&gt;=JJ$23,JI14&lt;&gt;""),AND(KB14&gt;=KF$23,KB14&lt;&gt;""),AND(KE14&gt;=KF$23,KE14&lt;&gt;""),AND(KX14&gt;=LB$23,KX14&lt;&gt;""),AND(LA14&gt;=LB$23,LA14&lt;&gt;""),AND(LT14&gt;=LX$23,LT14&lt;&gt;""),AND(LW14&gt;=LX$23,LW14&lt;&gt;""),AND(MP14&gt;=MT$23,MP14&lt;&gt;""),AND(MS14&gt;=MT$23,MS14&lt;&gt;"")),"Excellence",IF(OR(AND(AO14&gt;=AR$22,AO14&lt;&gt;"",AK14=""),AND(BL14&gt;=BO$22,BL14&lt;&gt;"",BH14=""),AND(CI14&gt;=CL$22,CI14&lt;&gt;"",CE14=""),AND(DI14&gt;=DL$22,DI14&lt;&gt;""),AND(EE14&gt;=EH$22,EE14&lt;&gt;""),AND(FA14&gt;=FD$22,FA14&lt;&gt;""),AND(FW14&gt;=FZ$22,FW14&lt;&gt;""),AND(GS14&gt;=GV$22,GS14&lt;&gt;""),AND(HO14&gt;=HR$22,HO14&lt;&gt;""),AND(IK14&gt;=IN$22,IK14&lt;&gt;""),AND(JG14&gt;=JJ$22,JG14&lt;&gt;""),AND(KC14&gt;=KF$22,KC14&lt;&gt;""),AND(KY14&gt;=LB$22,KY14&lt;&gt;""),AND(LU14&gt;=LX$22,LU14&lt;&gt;""),AND(MQ14&gt;=MT$22,MQ14&lt;&gt;"")),"Worlds Team",IF(OR(AND(AO14&gt;=AR$21,AO14&lt;&gt;"",AK14=""),AND(BL14&gt;=BO$21,BL14&lt;&gt;"",BH14=""),AND(CI14&gt;=CL$21,CI14&lt;&gt;"",CE14=""),AND(DI14&gt;=DL$21,DI14&lt;&gt;""),AND(EE14&gt;=EH$21,EE14&lt;&gt;""),AND(FA14&gt;=FD$21,FA14&lt;&gt;""),AND(FW14&gt;=FZ$21,FW14&lt;&gt;""),AND(GS14&gt;=GV$21,GS14&lt;&gt;""),AND(HO14&gt;=HR$21,HO14&lt;&gt;""),AND(IK14&gt;=IN$21,IK14&lt;&gt;""),AND(JG14&gt;=JJ$21,JG14&lt;&gt;""),AND(KC14&gt;=KF$21,KC14&lt;&gt;""),AND(KY14&gt;=LB$21,KY14&lt;&gt;""),AND(LU14&gt;=LX$21,LU14&lt;&gt;""),AND(MQ14&gt;=MT$21,MQ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O14&gt;=AR$22,AO14&lt;&gt;"",AK14=""),AND(BL14&gt;=BO$22,BL14&lt;&gt;"",BH14=""),AND(CI14&gt;=CL$22,CI14&lt;&gt;"",CE14=""),AND(DI14&gt;=DL$22,DI14&lt;&gt;""),AND(EE14&gt;=EH$22,EE14&lt;&gt;""),AND(FA14&gt;=FD$22,FA14&lt;&gt;""),AND(FW14&gt;=FZ$22,FW14&lt;&gt;""),AND(GS14&gt;=GV$22,GS14&lt;&gt;""),AND(HO14&gt;=HR$22,HO14&lt;&gt;""),AND(IK14&gt;=IN$22,IK14&lt;&gt;""),AND(JG14&gt;=JJ$22,JG14&lt;&gt;""),AND(KC14&gt;=KF$22,KC14&lt;&gt;""),AND(KY14&gt;=LB$22,KY14&lt;&gt;""),AND(LU14&gt;=LX$22,LU14&lt;&gt;""),AND(MQ14&gt;=MT$22,MQ14&lt;&gt;"")),OR(G14="Worlds Team",G14="Excellence",G14="Merit")),"P","")</f>
        <v/>
      </c>
      <c r="K14" s="14">
        <f>MAX(AO14,BL14,CI14)</f>
        <v>0</v>
      </c>
      <c r="L14" s="14" t="str">
        <f>IF(K14=0,"",IF(K14=CI14,$BP$1,IF(K14=BL14,$AS$1,IF(K14=AO14,$V$1,""))))</f>
        <v/>
      </c>
      <c r="M14" s="14">
        <f>IF($K14=$AO14,MAX(BJ14,CG14),IF($K14=$BL14,MAX(AM14,CG14),IF($K14=$CI14,MAX(AM14,BJ14),MAX(AM14,BJ14,CG14))))</f>
        <v>0</v>
      </c>
      <c r="N14" s="14" t="str">
        <f>IF(M14=0,"",IF(AND(M14=CG14,$L14&lt;&gt;$BP$1),$BP$1,IF(AND(M14=BJ14,$L14&lt;&gt;$AS$1),$AS$1,IF(AND(M14=AM14,$L14&lt;&gt;$V$1),$V$1,""))))</f>
        <v/>
      </c>
      <c r="O14" s="14">
        <f>IF($K14=$AO14,MAX(CH14,BK14),IF($K14=$BL14,MAX(AN14,CH14),IF($K14=$CI14,MAX(AN14,BK14),MAX(AN14,BK14,CH14))))</f>
        <v>0</v>
      </c>
      <c r="P14" s="14" t="str">
        <f>IF(O14=0,"",IF(AND(O14=CH14,$L14&lt;&gt;$BP$1),$BP$1,IF(AND(O14=BK14,$L14&lt;&gt;$AS$1),$AS$1,IF(AND(O14=AN14,$L14&lt;&gt;$V$1),$V$1,""))))</f>
        <v/>
      </c>
      <c r="Q14" s="14">
        <f>MAX(AQ14,BN14,CK14)</f>
        <v>0</v>
      </c>
      <c r="R14" s="14" t="str">
        <f>IF(Q14=0,"",IF(Q14=CK14,$BP$1,IF(Q14=BN14,$AS$1,IF(Q14=AQ14,$V$1,""))))</f>
        <v/>
      </c>
      <c r="S14" s="14" t="str">
        <f>IF(MAX(CM14,CN14,CO14,CP14)&gt;0,MAX(CM14,CN14,CO14,CP14),"")</f>
        <v/>
      </c>
      <c r="T14" s="25" t="str">
        <f>IF(S14="","",IF(S14=CM14,"(Vol 1)",IF(S14=CN14,"(Vol 2)",IF(S14=CO14,"(Prelim)",IF(S14=CP14,"(Final)")))))</f>
        <v/>
      </c>
      <c r="U14" s="14" t="str">
        <f>IF(S14="","",IF(S14=CM14,IF(S14+IF(M14="",0,M14)=MO14,$LY$1,IF(S14+IF(M14="",0,M14)=LS14,$LC$1,IF(S14+IF(M14="",0,M14)=KW14,$KG$1,IF(S14+IF(M14="",0,M14)=KA14,$JK$1,IF(S14+IF(M14="",0,M14)=JE14,$IO$1,IF(S14+IF(M14="",0,M14)=II14,$HS$1,IF(S14+IF(M14="",0,M14)=HM14,$GW$1,IF(S14+IF(M14="",0,M14)=GQ14,$GA$1,IF(S14+IF(M14="",0,M14)=FU14,$FE$1,IF(S14+IF(M14="",0,M14)=EY14,$EI$1,IF(S14+IF(M14="",0,M14)=EC14,$DM$1,IF(S14+IF(M14="",0,M14)=DG14,$CQ$1)))))))))))),IF(S14=CN14,IF(S14+IF(O14="",0,O14)=MP14,$LY$1,IF(S14+IF(O14="",0,O14)=LT14,$LC$1,IF(S14+IF(O14="",0,O14)=KX14,$KG$1,IF(S14+IF(O14="",0,O14)=KB14,$JK$1,IF(S14+IF(O14="",0,O14)=JF14,$IO$1,IF(S14+IF(O14="",0,O14)=IJ14,$HS$1,IF(S14+IF(O14="",0,O14)=HN14,$GW$1,IF(S14+IF(O14="",0,O14)=GR14,$GA$1,IF(S14+IF(O14="",0,O14)=FV14,$FE$1,IF(S14+IF(O14="",0,O14)=EZ14,$EI$1,IF(S14+IF(O14="",0,O14)=ED14,$DM$1,IF(S14+IF(O14="",0,O14)=DH14,$CQ$1)))))))))))),IF(S14=CO14,IF(S14+IF(K14="",0,K14)=MQ14,$LY$1,IF(S14+IF(K14="",0,K14)=LU14,$LC$1,IF(S14+IF(K14="",0,K14)=KY14,$KG$1,IF(S14+IF(K14="",0,K14)=KC14,$JK$1,IF(S14+IF(K14="",0,K14)=JG14,$IO$1,IF(S14+IF(K14="",0,K14)=IK14,$HS$1,IF(S14+IF(K14="",0,K14)=HO14,$GW$1,IF(S14+IF(K14="",0,K14)=GS14,$GA$1,IF(S14+IF(K14="",0,K14)=FW14,$FE$1,IF(S14+IF(K14="",0,K14)=FA14,$EI$1,IF(S14+IF(K14="",0,K14)=EE14,$DM$1,IF(S14+IF(K14="",0,K14)=DI14,$CQ$1)))))))))))),IF(S14=CP14,IF(S14+IF(Q14="",0,Q14)=MS14,$LY$1,IF(S14+IF(Q14="",0,Q14)=LW14,$LC$1,IF(S14+IF(Q14="",0,Q14)=LA14,$KG$1,IF(S14+IF(Q14="",0,Q14)=KE14,$JK$1,IF(S14+IF(Q14="",0,Q14)=JI14,$IO$1,IF(S14+IF(Q14="",0,Q14)=IM14,$HS$1,IF(S14+IF(Q14="",0,Q14)=HQ14,$GW$1,IF(S14+IF(Q14="",0,Q14)=GU14,$GA$1,IF(S14+IF(Q14="",0,Q14)=FY14,$FE$1,IF(S14+IF(Q14="",0,Q14)=FC14,$EI$1,IF(S14+IF(Q14="",0,Q14)=EG14,$DM$1,IF(S14+IF(Q14="",0,Q14)=DK14,$CQ$1)))))))))))))))))</f>
        <v/>
      </c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80"/>
      <c r="AL14" s="11" t="str">
        <f>IF(AC14&gt;0,AC14,"")</f>
        <v/>
      </c>
      <c r="AM14" s="11" t="str">
        <f>IF(SUM(V14:Y14)-Z14&gt;0,SUM(V14:Y14)-Z14,"")</f>
        <v/>
      </c>
      <c r="AN14" s="11" t="str">
        <f>IF(SUM(AA14:AD14)-AE14&gt;0,SUM(AA14:AD14)-AE14,"")</f>
        <v/>
      </c>
      <c r="AO14" s="11" t="str">
        <f>IF(SUM(AM14:AN14)&gt;0,SUM(AM14:AN14),"")</f>
        <v/>
      </c>
      <c r="AP14" s="11" t="str">
        <f>IF(AH14&gt;0,AH14,"")</f>
        <v/>
      </c>
      <c r="AQ14" s="11" t="str">
        <f>IF(SUM(AF14:AI14)-AJ14&gt;0,SUM(AF14:AI14)-AJ14,"")</f>
        <v/>
      </c>
      <c r="AR14" s="11" t="str">
        <f>IF(SUM(AO14,AQ14)&gt;0,SUM(AO14,AQ14),"")</f>
        <v/>
      </c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81"/>
      <c r="BI14" s="14" t="str">
        <f>IF(AZ14&gt;0,AZ14,"")</f>
        <v/>
      </c>
      <c r="BJ14" s="14" t="str">
        <f>IF(SUM(AS14:AV14)-AW14&gt;0,SUM(AS14:AV14)-AW14,"")</f>
        <v/>
      </c>
      <c r="BK14" s="14" t="str">
        <f>IF(SUM(AX14:BA14)-BB14&gt;0,SUM(AX14:BA14)-BB14,"")</f>
        <v/>
      </c>
      <c r="BL14" s="14" t="str">
        <f>IF(SUM(BJ14:BK14)&gt;0,SUM(BJ14:BK14),"")</f>
        <v/>
      </c>
      <c r="BM14" s="14" t="str">
        <f>IF(BE14&gt;0,BE14,"")</f>
        <v/>
      </c>
      <c r="BN14" s="14" t="str">
        <f>IF(SUM(BC14:BF14)-BG14&gt;0,SUM(BC14:BF14)-BG14,"")</f>
        <v/>
      </c>
      <c r="BO14" s="14" t="str">
        <f>IF(SUM(BL14,BN14)&gt;0,SUM(BL14,BN14),"")</f>
        <v/>
      </c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80"/>
      <c r="CF14" s="11" t="str">
        <f>IF(BW14&gt;0,BW14,"")</f>
        <v/>
      </c>
      <c r="CG14" s="11" t="str">
        <f>IF(SUM(BP14:BS14)-BT14&gt;0,SUM(BP14:BS14)-BT14,"")</f>
        <v/>
      </c>
      <c r="CH14" s="11" t="str">
        <f>IF(SUM(BU14:BX14)-BY14&gt;0,SUM(BU14:BX14)-BY14,"")</f>
        <v/>
      </c>
      <c r="CI14" s="11" t="str">
        <f>IF(SUM(CG14:CH14)&gt;0,SUM(CG14:CH14),"")</f>
        <v/>
      </c>
      <c r="CJ14" s="11" t="str">
        <f>IF(CB14&gt;0,CB14,"")</f>
        <v/>
      </c>
      <c r="CK14" s="11" t="str">
        <f>IF(SUM(BZ14:CC14)-CD14&gt;0,SUM(BZ14:CC14)-CD14,"")</f>
        <v/>
      </c>
      <c r="CL14" s="11" t="str">
        <f>IF(SUM(CI14,CK14)&gt;0,SUM(CI14,CK14),"")</f>
        <v/>
      </c>
      <c r="CM14" s="24" t="str">
        <f>IF(MAX(DG14,EC14,EY14,FU14,GQ14,HM14,II14,JE14,KA14,KW14,LS14,MO14)-IF(M14="",0,M14)&gt;0.001,MAX(DG14,EC14,EY14,FU14,GQ14,HM14,II14,JE14,KA14,KW14,LS14,MO14)-IF(M14="",0,M14),"")</f>
        <v/>
      </c>
      <c r="CN14" s="24" t="str">
        <f>IF(MAX(DH14,ED14,EZ14,FV14,GR14,HN14,IJ14,JF14,KB14,KX14,LT14,MP14)-IF(O14="",0,O14)&gt;0.001,MAX(DH14,ED14,EZ14,FV14,GR14,HN14,IJ14,JF14,KB14,KX14,LT14,MP14)-IF(O14="",0,O14),"")</f>
        <v/>
      </c>
      <c r="CO14" s="24" t="str">
        <f>IF(MAX(DI14,EE14,FA14,FW14,GS14,HO14,IK14,JG14,KC14,KY14,LU14,MQ14)-IF(K14="",0,K14)&gt;0.001,MAX(DI14,EE14,FA14,FW14,GS14,HO14,IK14,JG14,KC14,KY14,LU14,MQ14)-IF(K14="",0,K14),"")</f>
        <v/>
      </c>
      <c r="CP14" s="24" t="str">
        <f>IF(MAX(DK14,EG14,FC14,FY14,GU14,HQ14,IM14,JI14,KE14,LA14,LW14,MS14)-IF(Q14="",0,Q14)&gt;0.001,MAX(DK14,EG14,FC14,FY14,GU14,HQ14,IM14,JI14,KE14,LA14,LW14,MS14)-IF(Q14="",0,Q14),"")</f>
        <v/>
      </c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11" t="str">
        <f>IF(CX14&gt;0,CX14,"")</f>
        <v/>
      </c>
      <c r="DG14" s="11" t="str">
        <f>IF(SUM(CQ14:CT14)-CU14&gt;0,SUM(CQ14:CT14)-CU14,"")</f>
        <v/>
      </c>
      <c r="DH14" s="11" t="str">
        <f>IF(SUM(CV14:CY14)-CZ14&gt;0,SUM(CV14:CY14)-CZ14,"")</f>
        <v/>
      </c>
      <c r="DI14" s="11" t="str">
        <f>IF(SUM(DG14:DH14)&gt;0,SUM(DG14:DH14),"")</f>
        <v/>
      </c>
      <c r="DJ14" s="11" t="str">
        <f>IF(DC14&gt;0,DC14,"")</f>
        <v/>
      </c>
      <c r="DK14" s="11" t="str">
        <f>IF(SUM(DA14:DD14)-DE14&gt;0,SUM(DA14:DD14)-DE14,"")</f>
        <v/>
      </c>
      <c r="DL14" s="11" t="str">
        <f>IF(SUM(DI14,DK14)&gt;0,SUM(DI14,DK14),"")</f>
        <v/>
      </c>
      <c r="DM14" s="38"/>
      <c r="DN14" s="38"/>
      <c r="DO14" s="38"/>
      <c r="DP14" s="38"/>
      <c r="DQ14" s="38"/>
      <c r="DR14" s="38"/>
      <c r="DS14" s="38"/>
      <c r="DT14" s="38"/>
      <c r="DU14" s="38"/>
      <c r="DV14" s="38"/>
      <c r="DW14" s="38"/>
      <c r="DX14" s="38"/>
      <c r="DY14" s="38"/>
      <c r="DZ14" s="38"/>
      <c r="EA14" s="38"/>
      <c r="EB14" s="14" t="str">
        <f>IF(DT14&gt;0,DT14,"")</f>
        <v/>
      </c>
      <c r="EC14" s="14" t="str">
        <f>IF(SUM(DM14:DP14)-DQ14&gt;0,SUM(DM14:DP14)-DQ14,"")</f>
        <v/>
      </c>
      <c r="ED14" s="14" t="str">
        <f>IF(SUM(DR14:DU14)-DV14&gt;0,SUM(DR14:DU14)-DV14,"")</f>
        <v/>
      </c>
      <c r="EE14" s="14" t="str">
        <f>IF(SUM(EC14:ED14)&gt;0,SUM(EC14:ED14),"")</f>
        <v/>
      </c>
      <c r="EF14" s="14" t="str">
        <f>IF(DY14&gt;0,DY14,"")</f>
        <v/>
      </c>
      <c r="EG14" s="14" t="str">
        <f>IF(SUM(DW14:DZ14)-EA14&gt;0,SUM(DW14:DZ14)-EA14,"")</f>
        <v/>
      </c>
      <c r="EH14" s="14" t="str">
        <f>IF(SUM(EE14,EG14)&gt;0,SUM(EE14,EG14),"")</f>
        <v/>
      </c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11" t="str">
        <f>IF(EP14&gt;0,EP14,"")</f>
        <v/>
      </c>
      <c r="EY14" s="11" t="str">
        <f>IF(SUM(EI14:EL14)-EM14&gt;0,SUM(EI14:EL14)-EM14,"")</f>
        <v/>
      </c>
      <c r="EZ14" s="11" t="str">
        <f>IF(SUM(EN14:EQ14)-ER14&gt;0,SUM(EN14:EQ14)-ER14,"")</f>
        <v/>
      </c>
      <c r="FA14" s="11" t="str">
        <f>IF(SUM(EY14:EZ14)&gt;0,SUM(EY14:EZ14),"")</f>
        <v/>
      </c>
      <c r="FB14" s="11" t="str">
        <f>IF(EU14&gt;0,EU14,"")</f>
        <v/>
      </c>
      <c r="FC14" s="11" t="str">
        <f>IF(SUM(ES14:EV14)-EW14&gt;0,SUM(ES14:EV14)-EW14,"")</f>
        <v/>
      </c>
      <c r="FD14" s="11" t="str">
        <f>IF(SUM(FA14,FC14)&gt;0,SUM(FA14,FC14),"")</f>
        <v/>
      </c>
      <c r="FE14" s="38"/>
      <c r="FF14" s="38"/>
      <c r="FG14" s="38"/>
      <c r="FH14" s="38"/>
      <c r="FI14" s="38"/>
      <c r="FJ14" s="38"/>
      <c r="FK14" s="38"/>
      <c r="FL14" s="38"/>
      <c r="FM14" s="38"/>
      <c r="FN14" s="38"/>
      <c r="FO14" s="38"/>
      <c r="FP14" s="38"/>
      <c r="FQ14" s="38"/>
      <c r="FR14" s="38"/>
      <c r="FS14" s="38"/>
      <c r="FT14" s="14" t="str">
        <f>IF(FL14&gt;0,FL14,"")</f>
        <v/>
      </c>
      <c r="FU14" s="14" t="str">
        <f>IF(SUM(FE14:FH14)-FI14&gt;0,SUM(FE14:FH14)-FI14,"")</f>
        <v/>
      </c>
      <c r="FV14" s="14" t="str">
        <f>IF(SUM(FJ14:FM14)-FN14&gt;0,SUM(FJ14:FM14)-FN14,"")</f>
        <v/>
      </c>
      <c r="FW14" s="14" t="str">
        <f>IF(SUM(FU14:FV14)&gt;0,SUM(FU14:FV14),"")</f>
        <v/>
      </c>
      <c r="FX14" s="14" t="str">
        <f>IF(FQ14&gt;0,FQ14,"")</f>
        <v/>
      </c>
      <c r="FY14" s="14" t="str">
        <f>IF(SUM(FO14:FR14)-FS14&gt;0,SUM(FO14:FR14)-FS14,"")</f>
        <v/>
      </c>
      <c r="FZ14" s="14" t="str">
        <f>IF(SUM(FW14,FY14)&gt;0,SUM(FW14,FY14),"")</f>
        <v/>
      </c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11" t="str">
        <f>IF(GH14&gt;0,GH14,"")</f>
        <v/>
      </c>
      <c r="GQ14" s="11" t="str">
        <f>IF(SUM(GA14:GD14)-GE14&gt;0,SUM(GA14:GD14)-GE14,"")</f>
        <v/>
      </c>
      <c r="GR14" s="11" t="str">
        <f>IF(SUM(GF14:GI14)-GJ14&gt;0,SUM(GF14:GI14)-GJ14,"")</f>
        <v/>
      </c>
      <c r="GS14" s="11" t="str">
        <f>IF(SUM(GQ14:GR14)&gt;0,SUM(GQ14:GR14),"")</f>
        <v/>
      </c>
      <c r="GT14" s="11" t="str">
        <f>IF(GM14&gt;0,GM14,"")</f>
        <v/>
      </c>
      <c r="GU14" s="11" t="str">
        <f>IF(SUM(GK14:GN14)-GO14&gt;0,SUM(GK14:GN14)-GO14,"")</f>
        <v/>
      </c>
      <c r="GV14" s="11" t="str">
        <f>IF(SUM(GS14,GU14)&gt;0,SUM(GS14,GU14),"")</f>
        <v/>
      </c>
      <c r="GW14" s="38"/>
      <c r="GX14" s="38"/>
      <c r="GY14" s="38"/>
      <c r="GZ14" s="38"/>
      <c r="HA14" s="38"/>
      <c r="HB14" s="38"/>
      <c r="HC14" s="38"/>
      <c r="HD14" s="38"/>
      <c r="HE14" s="38"/>
      <c r="HF14" s="38"/>
      <c r="HG14" s="38"/>
      <c r="HH14" s="38"/>
      <c r="HI14" s="38"/>
      <c r="HJ14" s="38"/>
      <c r="HK14" s="38"/>
      <c r="HL14" s="14" t="str">
        <f>IF(HD14&gt;0,HD14,"")</f>
        <v/>
      </c>
      <c r="HM14" s="14" t="str">
        <f>IF(SUM(GW14:GZ14)-HA14&gt;0,SUM(GW14:GZ14)-HA14,"")</f>
        <v/>
      </c>
      <c r="HN14" s="14" t="str">
        <f>IF(SUM(HB14:HE14)-HF14&gt;0,SUM(HB14:HE14)-HF14,"")</f>
        <v/>
      </c>
      <c r="HO14" s="14" t="str">
        <f>IF(SUM(HM14:HN14)&gt;0,SUM(HM14:HN14),"")</f>
        <v/>
      </c>
      <c r="HP14" s="14" t="str">
        <f>IF(HI14&gt;0,HI14,"")</f>
        <v/>
      </c>
      <c r="HQ14" s="14" t="str">
        <f>IF(SUM(HG14:HJ14)-HK14&gt;0,SUM(HG14:HJ14)-HK14,"")</f>
        <v/>
      </c>
      <c r="HR14" s="14" t="str">
        <f>IF(SUM(HO14,HQ14)&gt;0,SUM(HO14,HQ14),"")</f>
        <v/>
      </c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11" t="str">
        <f>IF(HZ14&gt;0,HZ14,"")</f>
        <v/>
      </c>
      <c r="II14" s="11" t="str">
        <f>IF(SUM(HS14:HV14)-HW14&gt;0,SUM(HS14:HV14)-HW14,"")</f>
        <v/>
      </c>
      <c r="IJ14" s="11" t="str">
        <f>IF(SUM(HX14:IA14)-IB14&gt;0,SUM(HX14:IA14)-IB14,"")</f>
        <v/>
      </c>
      <c r="IK14" s="11" t="str">
        <f>IF(SUM(II14:IJ14)&gt;0,SUM(II14:IJ14),"")</f>
        <v/>
      </c>
      <c r="IL14" s="11" t="str">
        <f>IF(IE14&gt;0,IE14,"")</f>
        <v/>
      </c>
      <c r="IM14" s="11" t="str">
        <f>IF(SUM(IC14:IF14)-IG14&gt;0,SUM(IC14:IF14)-IG14,"")</f>
        <v/>
      </c>
      <c r="IN14" s="11" t="str">
        <f>IF(SUM(IK14,IM14)&gt;0,SUM(IK14,IM14),"")</f>
        <v/>
      </c>
      <c r="IO14" s="38"/>
      <c r="IP14" s="38"/>
      <c r="IQ14" s="38"/>
      <c r="IR14" s="38"/>
      <c r="IS14" s="38"/>
      <c r="IT14" s="38"/>
      <c r="IU14" s="38"/>
      <c r="IV14" s="38"/>
      <c r="IW14" s="38"/>
      <c r="IX14" s="38"/>
      <c r="IY14" s="38"/>
      <c r="IZ14" s="38"/>
      <c r="JA14" s="38"/>
      <c r="JB14" s="38"/>
      <c r="JC14" s="38"/>
      <c r="JD14" s="14" t="str">
        <f>IF(IV14&gt;0,IV14,"")</f>
        <v/>
      </c>
      <c r="JE14" s="14" t="str">
        <f>IF(SUM(IO14:IR14)-IS14&gt;0,SUM(IO14:IR14)-IS14,"")</f>
        <v/>
      </c>
      <c r="JF14" s="14" t="str">
        <f>IF(SUM(IT14:IW14)-IX14&gt;0,SUM(IT14:IW14)-IX14,"")</f>
        <v/>
      </c>
      <c r="JG14" s="14" t="str">
        <f>IF(SUM(JE14:JF14)&gt;0,SUM(JE14:JF14),"")</f>
        <v/>
      </c>
      <c r="JH14" s="14" t="str">
        <f>IF(JA14&gt;0,JA14,"")</f>
        <v/>
      </c>
      <c r="JI14" s="14" t="str">
        <f>IF(SUM(IY14:JB14)-JC14&gt;0,SUM(IY14:JB14)-JC14,"")</f>
        <v/>
      </c>
      <c r="JJ14" s="14" t="str">
        <f>IF(SUM(JG14,JI14)&gt;0,SUM(JG14,JI14),"")</f>
        <v/>
      </c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11" t="str">
        <f>IF(JR14&gt;0,JR14,"")</f>
        <v/>
      </c>
      <c r="KA14" s="11" t="str">
        <f>IF(SUM(JK14:JN14)-JO14&gt;0,SUM(JK14:JN14)-JO14,"")</f>
        <v/>
      </c>
      <c r="KB14" s="11" t="str">
        <f>IF(SUM(JP14:JS14)-JT14&gt;0,SUM(JP14:JS14)-JT14,"")</f>
        <v/>
      </c>
      <c r="KC14" s="11" t="str">
        <f>IF(SUM(KA14:KB14)&gt;0,SUM(KA14:KB14),"")</f>
        <v/>
      </c>
      <c r="KD14" s="11" t="str">
        <f>IF(JW14&gt;0,JW14,"")</f>
        <v/>
      </c>
      <c r="KE14" s="11" t="str">
        <f>IF(SUM(JU14:JX14)-JY14&gt;0,SUM(JU14:JX14)-JY14,"")</f>
        <v/>
      </c>
      <c r="KF14" s="11" t="str">
        <f>IF(SUM(KC14,KE14)&gt;0,SUM(KC14,KE14),"")</f>
        <v/>
      </c>
      <c r="KG14" s="38"/>
      <c r="KH14" s="38"/>
      <c r="KI14" s="38"/>
      <c r="KJ14" s="38"/>
      <c r="KK14" s="38"/>
      <c r="KL14" s="38"/>
      <c r="KM14" s="38"/>
      <c r="KN14" s="38"/>
      <c r="KO14" s="38"/>
      <c r="KP14" s="38"/>
      <c r="KQ14" s="38"/>
      <c r="KR14" s="38"/>
      <c r="KS14" s="38"/>
      <c r="KT14" s="38"/>
      <c r="KU14" s="38"/>
      <c r="KV14" s="14" t="str">
        <f>IF(KN14&gt;0,KN14,"")</f>
        <v/>
      </c>
      <c r="KW14" s="14" t="str">
        <f>IF(SUM(KG14:KJ14)-KK14&gt;0,SUM(KG14:KJ14)-KK14,"")</f>
        <v/>
      </c>
      <c r="KX14" s="14" t="str">
        <f>IF(SUM(KL14:KO14)-KP14&gt;0,SUM(KL14:KO14)-KP14,"")</f>
        <v/>
      </c>
      <c r="KY14" s="14" t="str">
        <f>IF(SUM(KW14:KX14)&gt;0,SUM(KW14:KX14),"")</f>
        <v/>
      </c>
      <c r="KZ14" s="14" t="str">
        <f>IF(KS14&gt;0,KS14,"")</f>
        <v/>
      </c>
      <c r="LA14" s="14" t="str">
        <f>IF(SUM(KQ14:KT14)-KU14&gt;0,SUM(KQ14:KT14)-KU14,"")</f>
        <v/>
      </c>
      <c r="LB14" s="14" t="str">
        <f>IF(SUM(KY14,LA14)&gt;0,SUM(KY14,LA14),"")</f>
        <v/>
      </c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11" t="str">
        <f>IF(LJ14&gt;0,LJ14,"")</f>
        <v/>
      </c>
      <c r="LS14" s="11" t="str">
        <f>IF(SUM(LC14:LF14)-LG14&gt;0,SUM(LC14:LF14)-LG14,"")</f>
        <v/>
      </c>
      <c r="LT14" s="11" t="str">
        <f>IF(SUM(LH14:LK14)-LL14&gt;0,SUM(LH14:LK14)-LL14,"")</f>
        <v/>
      </c>
      <c r="LU14" s="11" t="str">
        <f>IF(SUM(LS14:LT14)&gt;0,SUM(LS14:LT14),"")</f>
        <v/>
      </c>
      <c r="LV14" s="11" t="str">
        <f>IF(LO14&gt;0,LO14,"")</f>
        <v/>
      </c>
      <c r="LW14" s="11" t="str">
        <f>IF(SUM(LM14:LP14)-LQ14&gt;0,SUM(LM14:LP14)-LQ14,"")</f>
        <v/>
      </c>
      <c r="LX14" s="11" t="str">
        <f>IF(SUM(LU14,LW14)&gt;0,SUM(LU14,LW14),"")</f>
        <v/>
      </c>
      <c r="LY14" s="38"/>
      <c r="LZ14" s="38"/>
      <c r="MA14" s="38"/>
      <c r="MB14" s="38"/>
      <c r="MC14" s="38"/>
      <c r="MD14" s="38"/>
      <c r="ME14" s="38"/>
      <c r="MF14" s="38"/>
      <c r="MG14" s="38"/>
      <c r="MH14" s="38"/>
      <c r="MI14" s="38"/>
      <c r="MJ14" s="38"/>
      <c r="MK14" s="38"/>
      <c r="ML14" s="38"/>
      <c r="MM14" s="38"/>
      <c r="MN14" s="14" t="str">
        <f>IF(MF14&gt;0,MF14,"")</f>
        <v/>
      </c>
      <c r="MO14" s="14" t="str">
        <f>IF(SUM(LY14:MB14)-MC14&gt;0,SUM(LY14:MB14)-MC14,"")</f>
        <v/>
      </c>
      <c r="MP14" s="14" t="str">
        <f>IF(SUM(MD14:MG14)-MH14&gt;0,SUM(MD14:MG14)-MH14,"")</f>
        <v/>
      </c>
      <c r="MQ14" s="14" t="str">
        <f>IF(SUM(MO14:MP14)&gt;0,SUM(MO14:MP14),"")</f>
        <v/>
      </c>
      <c r="MR14" s="14" t="str">
        <f>IF(MK14&gt;0,MK14,"")</f>
        <v/>
      </c>
      <c r="MS14" s="14" t="str">
        <f>IF(SUM(MI14:ML14)-MM14&gt;0,SUM(MI14:ML14)-MM14,"")</f>
        <v/>
      </c>
      <c r="MT14" s="14" t="str">
        <f>IF(SUM(MQ14,MS14)&gt;0,SUM(MQ14,MS14),"")</f>
        <v/>
      </c>
      <c r="MU14" s="69">
        <f>IF($CE14="P",BP14,(BP14+AS14)/2)</f>
        <v>0</v>
      </c>
      <c r="MV14" s="69">
        <f>IF($CE14="P",BQ14,(BQ14+AT14)/2)</f>
        <v>0</v>
      </c>
      <c r="MW14" s="69">
        <f>IF($CE14="P",BR14,(BR14+AU14)/2)</f>
        <v>0</v>
      </c>
      <c r="MX14" s="69">
        <f>IF($CE14="P",BS14,(BS14+AV14)/2)</f>
        <v>0</v>
      </c>
      <c r="MY14" s="69">
        <f>IF($CE14="P",BT14,(BT14+AW14)/2)</f>
        <v>0</v>
      </c>
      <c r="MZ14" s="69">
        <f>IF($CE14="P",BU14,(BU14+AX14)/2)</f>
        <v>0</v>
      </c>
      <c r="NA14" s="69">
        <f>IF($CE14="P",BV14,(BV14+AY14)/2)</f>
        <v>0</v>
      </c>
      <c r="NB14" s="69">
        <f>IF($CE14="P",BW14,(BW14+AZ14)/2)</f>
        <v>0</v>
      </c>
      <c r="NC14" s="69">
        <f>IF($CE14="P",BX14,(BX14+BA14)/2)</f>
        <v>0</v>
      </c>
      <c r="ND14" s="69">
        <f>IF($CE14="P",BY14,(BY14+BB14)/2)</f>
        <v>0</v>
      </c>
      <c r="NE14" s="69">
        <f>IF($CE14="P",BZ14,(BZ14+BC14)/2)</f>
        <v>0</v>
      </c>
      <c r="NF14" s="69">
        <f>IF($CE14="P",CA14,(CA14+BD14)/2)</f>
        <v>0</v>
      </c>
      <c r="NG14" s="69">
        <f>IF($CE14="P",CB14,(CB14+BE14)/2)</f>
        <v>0</v>
      </c>
      <c r="NH14" s="69">
        <f>IF($CE14="P",CC14,(CC14+BF14)/2)</f>
        <v>0</v>
      </c>
      <c r="NI14" s="69">
        <f>IF($CE14="P",CD14,(CD14+BG14)/2)</f>
        <v>0</v>
      </c>
      <c r="NJ14" s="80" t="s">
        <v>91</v>
      </c>
      <c r="NK14" s="11" t="str">
        <f>IF(NB14&gt;0,NB14,"")</f>
        <v/>
      </c>
      <c r="NL14" s="11" t="str">
        <f>IF(SUM(MU14:MX14)-MY14&gt;0,SUM(MU14:MX14)-MY14,"")</f>
        <v/>
      </c>
      <c r="NM14" s="11" t="str">
        <f>IF(SUM(MZ14:NC14)-ND14&gt;0,SUM(MZ14:NC14)-ND14,"")</f>
        <v/>
      </c>
      <c r="NN14" s="11" t="str">
        <f>IF(SUM(NL14:NM14)&gt;0,SUM(NL14:NM14),"")</f>
        <v/>
      </c>
      <c r="NO14" s="11" t="str">
        <f>IF(NG14&gt;0,NG14,"")</f>
        <v/>
      </c>
      <c r="NP14" s="11" t="str">
        <f>IF(SUM(NE14:NH14)-NI14&gt;0,SUM(NE14:NH14)-NI14,"")</f>
        <v/>
      </c>
      <c r="NQ14" s="11" t="str">
        <f>IF(SUM(NN14,NP14)&gt;0,SUM(NN14,NP14),"")</f>
        <v/>
      </c>
    </row>
    <row r="15" spans="1:381" x14ac:dyDescent="0.2">
      <c r="D15" s="1"/>
      <c r="T15" s="26"/>
    </row>
    <row r="17" spans="1:358" x14ac:dyDescent="0.2">
      <c r="B17" s="70" t="s">
        <v>79</v>
      </c>
      <c r="AL17" s="56"/>
      <c r="AR17" s="64">
        <v>11.2</v>
      </c>
      <c r="BI17" s="56"/>
      <c r="BO17" s="64">
        <v>11.2</v>
      </c>
      <c r="CF17" s="56"/>
      <c r="CL17" s="64">
        <v>11.2</v>
      </c>
      <c r="DF17" s="56"/>
      <c r="DL17" s="64">
        <v>11.2</v>
      </c>
      <c r="EB17" s="56"/>
      <c r="EH17" s="64">
        <v>11.2</v>
      </c>
      <c r="EX17" s="56"/>
      <c r="FD17" s="64">
        <v>11.2</v>
      </c>
      <c r="FT17" s="56"/>
      <c r="FZ17" s="64">
        <v>11.2</v>
      </c>
      <c r="GP17" s="56"/>
      <c r="GV17" s="64">
        <v>11.2</v>
      </c>
      <c r="HL17" s="56"/>
      <c r="HR17" s="64">
        <v>11.2</v>
      </c>
      <c r="IH17" s="56"/>
      <c r="IN17" s="64">
        <v>11.2</v>
      </c>
      <c r="JD17" s="56"/>
      <c r="JJ17" s="64">
        <v>11.2</v>
      </c>
      <c r="JZ17" s="56"/>
      <c r="KF17" s="64">
        <v>11.2</v>
      </c>
      <c r="KV17" s="56"/>
      <c r="LB17" s="64">
        <v>11.2</v>
      </c>
      <c r="LR17" s="56"/>
      <c r="LX17" s="64">
        <v>11.2</v>
      </c>
      <c r="MN17" s="56"/>
      <c r="MT17" s="64">
        <v>11.2</v>
      </c>
    </row>
    <row r="18" spans="1:358" x14ac:dyDescent="0.2">
      <c r="B18" s="91" t="s">
        <v>78</v>
      </c>
      <c r="AL18" s="56"/>
      <c r="AR18" s="93">
        <v>12.5</v>
      </c>
      <c r="BI18" s="56"/>
      <c r="BO18" s="93">
        <v>12.5</v>
      </c>
      <c r="CF18" s="56"/>
      <c r="CL18" s="93">
        <v>12</v>
      </c>
      <c r="DF18" s="56"/>
      <c r="DL18" s="93">
        <v>12.5</v>
      </c>
      <c r="EB18" s="56"/>
      <c r="EH18" s="93">
        <v>12.5</v>
      </c>
      <c r="EX18" s="56"/>
      <c r="FD18" s="93">
        <v>12.5</v>
      </c>
      <c r="FT18" s="56"/>
      <c r="FZ18" s="93">
        <v>12</v>
      </c>
      <c r="GP18" s="56"/>
      <c r="GV18" s="93">
        <v>12</v>
      </c>
      <c r="HL18" s="56"/>
      <c r="HR18" s="93">
        <v>12</v>
      </c>
      <c r="IH18" s="56"/>
      <c r="IN18" s="93">
        <v>12</v>
      </c>
      <c r="JD18" s="56"/>
      <c r="JJ18" s="93">
        <v>12</v>
      </c>
      <c r="JZ18" s="56"/>
      <c r="KF18" s="93">
        <v>12</v>
      </c>
      <c r="KV18" s="56"/>
      <c r="LB18" s="93">
        <v>12</v>
      </c>
      <c r="LR18" s="56"/>
      <c r="LX18" s="93">
        <v>12</v>
      </c>
      <c r="MN18" s="56"/>
      <c r="MT18" s="93">
        <v>12</v>
      </c>
    </row>
    <row r="19" spans="1:358" x14ac:dyDescent="0.2">
      <c r="A19" s="56"/>
      <c r="B19" s="92" t="s">
        <v>122</v>
      </c>
      <c r="C19" s="55"/>
      <c r="AL19" s="56"/>
      <c r="AR19" s="94">
        <v>12.5</v>
      </c>
      <c r="BI19" s="56"/>
      <c r="BO19" s="94">
        <v>12.5</v>
      </c>
      <c r="CF19" s="56"/>
      <c r="CL19" s="94">
        <v>12</v>
      </c>
      <c r="DF19" s="56"/>
      <c r="DL19" s="94">
        <v>12.5</v>
      </c>
      <c r="EB19" s="56"/>
      <c r="EH19" s="94">
        <v>12.5</v>
      </c>
      <c r="EX19" s="56"/>
      <c r="FD19" s="94">
        <v>12.5</v>
      </c>
      <c r="FT19" s="56"/>
      <c r="FZ19" s="94">
        <v>12</v>
      </c>
      <c r="GP19" s="56"/>
      <c r="GV19" s="94">
        <v>12</v>
      </c>
      <c r="HL19" s="56"/>
      <c r="HR19" s="94">
        <v>12</v>
      </c>
      <c r="IH19" s="56"/>
      <c r="IN19" s="94">
        <v>12</v>
      </c>
      <c r="JD19" s="56"/>
      <c r="JJ19" s="94">
        <v>12</v>
      </c>
      <c r="JZ19" s="56"/>
      <c r="KF19" s="94">
        <v>12</v>
      </c>
      <c r="KV19" s="56"/>
      <c r="LB19" s="94">
        <v>12</v>
      </c>
      <c r="LR19" s="56"/>
      <c r="LX19" s="94">
        <v>12</v>
      </c>
      <c r="MN19" s="56"/>
      <c r="MT19" s="94">
        <v>12</v>
      </c>
    </row>
    <row r="20" spans="1:358" x14ac:dyDescent="0.2">
      <c r="A20" s="56"/>
      <c r="B20" s="120" t="s">
        <v>188</v>
      </c>
      <c r="C20" s="55"/>
      <c r="AL20" s="56"/>
      <c r="AR20" s="121">
        <v>12.5</v>
      </c>
      <c r="BI20" s="56"/>
      <c r="BO20" s="121">
        <v>12.5</v>
      </c>
      <c r="CF20" s="56"/>
      <c r="CL20" s="121">
        <v>12</v>
      </c>
      <c r="DF20" s="56"/>
      <c r="DL20" s="121">
        <v>12.5</v>
      </c>
      <c r="EB20" s="56"/>
      <c r="EH20" s="121">
        <v>12.5</v>
      </c>
      <c r="EX20" s="56"/>
      <c r="FD20" s="121">
        <v>12.5</v>
      </c>
      <c r="FT20" s="56"/>
      <c r="FZ20" s="121">
        <v>12</v>
      </c>
      <c r="GP20" s="56"/>
      <c r="GV20" s="121">
        <v>12</v>
      </c>
      <c r="HL20" s="56"/>
      <c r="HR20" s="121">
        <v>12</v>
      </c>
      <c r="IH20" s="56"/>
      <c r="IN20" s="121">
        <v>12</v>
      </c>
      <c r="JD20" s="56"/>
      <c r="JJ20" s="121">
        <v>12</v>
      </c>
      <c r="JZ20" s="56"/>
      <c r="KF20" s="121">
        <v>12</v>
      </c>
      <c r="KV20" s="56"/>
      <c r="LB20" s="121">
        <v>12</v>
      </c>
      <c r="LR20" s="56"/>
      <c r="LX20" s="121">
        <v>12</v>
      </c>
      <c r="MN20" s="56"/>
      <c r="MT20" s="121">
        <v>12</v>
      </c>
    </row>
    <row r="21" spans="1:358" x14ac:dyDescent="0.2">
      <c r="A21" s="56"/>
      <c r="B21" s="118" t="s">
        <v>76</v>
      </c>
      <c r="C21" s="55"/>
      <c r="AL21" s="56"/>
      <c r="AR21" s="119">
        <v>82</v>
      </c>
      <c r="BI21" s="56"/>
      <c r="BO21" s="119">
        <v>82</v>
      </c>
      <c r="CF21" s="56"/>
      <c r="CL21" s="119">
        <v>81.400000000000006</v>
      </c>
      <c r="DF21" s="56"/>
      <c r="DL21" s="119">
        <v>82</v>
      </c>
      <c r="EB21" s="56"/>
      <c r="EH21" s="119">
        <v>82</v>
      </c>
      <c r="EX21" s="56"/>
      <c r="FD21" s="119">
        <v>82</v>
      </c>
      <c r="FT21" s="56"/>
      <c r="FZ21" s="119">
        <v>81.400000000000006</v>
      </c>
      <c r="GP21" s="56"/>
      <c r="GV21" s="119">
        <v>81.400000000000006</v>
      </c>
      <c r="HL21" s="56"/>
      <c r="HR21" s="119">
        <v>81.400000000000006</v>
      </c>
      <c r="IH21" s="56"/>
      <c r="IN21" s="119">
        <v>81.400000000000006</v>
      </c>
      <c r="JD21" s="56"/>
      <c r="JJ21" s="119">
        <v>81.400000000000006</v>
      </c>
      <c r="JZ21" s="56"/>
      <c r="KF21" s="119">
        <v>81.400000000000006</v>
      </c>
      <c r="KV21" s="56"/>
      <c r="LB21" s="119">
        <v>81.400000000000006</v>
      </c>
      <c r="LR21" s="56"/>
      <c r="LX21" s="119">
        <v>81.400000000000006</v>
      </c>
      <c r="MN21" s="56"/>
      <c r="MT21" s="119">
        <v>81.400000000000006</v>
      </c>
    </row>
    <row r="22" spans="1:358" x14ac:dyDescent="0.2">
      <c r="A22" s="56"/>
      <c r="B22" s="72" t="s">
        <v>77</v>
      </c>
      <c r="C22" s="55"/>
      <c r="AL22" s="56"/>
      <c r="AR22" s="66">
        <v>84</v>
      </c>
      <c r="BI22" s="56"/>
      <c r="BO22" s="66">
        <v>84</v>
      </c>
      <c r="CF22" s="56"/>
      <c r="CL22" s="66">
        <v>83.4</v>
      </c>
      <c r="DF22" s="56"/>
      <c r="DL22" s="66">
        <v>84</v>
      </c>
      <c r="EB22" s="56"/>
      <c r="EH22" s="66">
        <v>84</v>
      </c>
      <c r="EX22" s="56"/>
      <c r="FD22" s="66">
        <v>84</v>
      </c>
      <c r="FT22" s="56"/>
      <c r="FZ22" s="66">
        <v>83.4</v>
      </c>
      <c r="GP22" s="56"/>
      <c r="GV22" s="66">
        <v>83.4</v>
      </c>
      <c r="HL22" s="56"/>
      <c r="HR22" s="66">
        <v>83.4</v>
      </c>
      <c r="IH22" s="56"/>
      <c r="IN22" s="66">
        <v>83.4</v>
      </c>
      <c r="JD22" s="56"/>
      <c r="JJ22" s="66">
        <v>83.4</v>
      </c>
      <c r="JZ22" s="56"/>
      <c r="KF22" s="66">
        <v>83.4</v>
      </c>
      <c r="KV22" s="56"/>
      <c r="LB22" s="66">
        <v>83.4</v>
      </c>
      <c r="LR22" s="56"/>
      <c r="LX22" s="66">
        <v>83.4</v>
      </c>
      <c r="MN22" s="56"/>
      <c r="MT22" s="66">
        <v>83.4</v>
      </c>
    </row>
    <row r="23" spans="1:358" x14ac:dyDescent="0.2">
      <c r="A23" s="56"/>
      <c r="B23" s="116" t="s">
        <v>117</v>
      </c>
      <c r="C23" s="55"/>
      <c r="AL23" s="56"/>
      <c r="AR23" s="117">
        <v>85</v>
      </c>
      <c r="BI23" s="56"/>
      <c r="BN23" s="129" t="s">
        <v>198</v>
      </c>
      <c r="BO23" s="117">
        <v>85</v>
      </c>
      <c r="CF23" s="56"/>
      <c r="CL23" s="117">
        <v>45.7</v>
      </c>
      <c r="DF23" s="56"/>
      <c r="DL23" s="117">
        <v>85</v>
      </c>
      <c r="EB23" s="56"/>
      <c r="EH23" s="117">
        <v>85</v>
      </c>
      <c r="EX23" s="56"/>
      <c r="FC23" s="130"/>
      <c r="FD23" s="117">
        <v>85</v>
      </c>
      <c r="FT23" s="56"/>
      <c r="FZ23" s="117">
        <v>45.7</v>
      </c>
      <c r="GP23" s="56"/>
      <c r="GV23" s="117">
        <v>45.7</v>
      </c>
      <c r="HL23" s="56"/>
      <c r="HR23" s="117">
        <v>45.7</v>
      </c>
      <c r="IH23" s="56"/>
      <c r="IN23" s="117">
        <v>45.7</v>
      </c>
      <c r="JD23" s="56"/>
      <c r="JJ23" s="117">
        <v>45.7</v>
      </c>
      <c r="JZ23" s="56"/>
      <c r="KF23" s="117">
        <v>45.7</v>
      </c>
      <c r="KV23" s="56"/>
      <c r="LB23" s="117">
        <v>45.7</v>
      </c>
      <c r="LR23" s="56"/>
      <c r="LX23" s="117">
        <v>45.7</v>
      </c>
      <c r="MN23" s="56"/>
      <c r="MT23" s="117">
        <v>45.7</v>
      </c>
    </row>
    <row r="24" spans="1:358" x14ac:dyDescent="0.2">
      <c r="A24" s="56"/>
      <c r="B24" s="74" t="s">
        <v>58</v>
      </c>
      <c r="C24" s="55"/>
      <c r="AL24" s="56"/>
      <c r="AR24" s="68">
        <v>86</v>
      </c>
      <c r="BI24" s="56"/>
      <c r="BN24" s="130" t="s">
        <v>196</v>
      </c>
      <c r="BO24" s="68">
        <v>45.1</v>
      </c>
      <c r="CF24" s="56"/>
      <c r="CL24" s="68">
        <v>46.8</v>
      </c>
      <c r="DF24" s="56"/>
      <c r="DK24" t="s">
        <v>196</v>
      </c>
      <c r="DL24" s="68">
        <v>45</v>
      </c>
      <c r="EB24" s="56"/>
      <c r="EG24" s="130"/>
      <c r="EH24" s="68">
        <v>86</v>
      </c>
      <c r="EX24" s="56"/>
      <c r="FD24" s="68">
        <v>86</v>
      </c>
      <c r="FT24" s="56"/>
      <c r="FY24" s="133"/>
      <c r="FZ24" s="68">
        <v>46.8</v>
      </c>
      <c r="GP24" s="56"/>
      <c r="GV24" s="68">
        <v>46.8</v>
      </c>
      <c r="HL24" s="56"/>
      <c r="HR24" s="68">
        <v>46.8</v>
      </c>
      <c r="IH24" s="56"/>
      <c r="IN24" s="68">
        <v>46.8</v>
      </c>
      <c r="JD24" s="56"/>
      <c r="JJ24" s="68">
        <v>46.8</v>
      </c>
      <c r="JZ24" s="56"/>
      <c r="KF24" s="68">
        <v>46.8</v>
      </c>
      <c r="KV24" s="56"/>
      <c r="LB24" s="68">
        <v>46.8</v>
      </c>
      <c r="LR24" s="56"/>
      <c r="LX24" s="68">
        <v>46.8</v>
      </c>
      <c r="MN24" s="56"/>
      <c r="MT24" s="68">
        <v>46.8</v>
      </c>
    </row>
    <row r="25" spans="1:358" x14ac:dyDescent="0.2">
      <c r="B25" s="82" t="s">
        <v>92</v>
      </c>
      <c r="C25" s="2"/>
      <c r="DG25" s="54"/>
    </row>
    <row r="26" spans="1:358" x14ac:dyDescent="0.2">
      <c r="A26" s="56"/>
      <c r="B26" s="56"/>
      <c r="C26" s="55"/>
    </row>
    <row r="27" spans="1:358" ht="17" x14ac:dyDescent="0.2">
      <c r="A27" s="56"/>
      <c r="B27" s="56"/>
      <c r="C27" s="55"/>
      <c r="S27" s="19"/>
      <c r="T27" s="19"/>
      <c r="U27" s="19"/>
    </row>
    <row r="28" spans="1:358" ht="17" x14ac:dyDescent="0.2">
      <c r="A28" s="56"/>
      <c r="B28" s="56"/>
      <c r="C28" s="55"/>
      <c r="S28" s="19"/>
      <c r="T28" s="19"/>
      <c r="U28" s="19"/>
    </row>
    <row r="29" spans="1:358" ht="17" x14ac:dyDescent="0.2">
      <c r="S29" s="19"/>
      <c r="T29" s="19"/>
      <c r="U29" s="19"/>
    </row>
    <row r="30" spans="1:358" ht="17" x14ac:dyDescent="0.2">
      <c r="S30" s="19"/>
      <c r="T30" s="19"/>
      <c r="U30" s="19"/>
    </row>
    <row r="31" spans="1:358" ht="17" x14ac:dyDescent="0.2">
      <c r="S31" s="19"/>
      <c r="T31" s="19"/>
      <c r="U31" s="19"/>
    </row>
    <row r="32" spans="1:358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  <row r="42" spans="19:21" ht="17" x14ac:dyDescent="0.2">
      <c r="S42" s="19"/>
      <c r="T42" s="19"/>
      <c r="U42" s="19"/>
    </row>
    <row r="43" spans="19:21" ht="17" x14ac:dyDescent="0.2">
      <c r="S43" s="19"/>
      <c r="T43" s="19"/>
      <c r="U43" s="19"/>
    </row>
    <row r="44" spans="19:21" ht="17" x14ac:dyDescent="0.2">
      <c r="S44" s="19"/>
      <c r="T44" s="19"/>
      <c r="U44" s="19"/>
    </row>
    <row r="45" spans="19:21" ht="17" x14ac:dyDescent="0.2">
      <c r="S45" s="19"/>
      <c r="T45" s="19"/>
      <c r="U45" s="19"/>
    </row>
    <row r="46" spans="19:21" ht="17" x14ac:dyDescent="0.2">
      <c r="S46" s="19"/>
      <c r="T46" s="19"/>
      <c r="U46" s="19"/>
    </row>
  </sheetData>
  <sheetProtection sheet="1" formatCells="0" formatColumns="0" formatRows="0"/>
  <autoFilter ref="A1:NQ11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14">
      <sortCondition descending="1" ref="F1:F15"/>
    </sortState>
  </autoFilter>
  <mergeCells count="86"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  <mergeCell ref="CM1:CP1"/>
    <mergeCell ref="N1:N3"/>
    <mergeCell ref="O1:O3"/>
    <mergeCell ref="P1:P3"/>
    <mergeCell ref="Q1:Q3"/>
    <mergeCell ref="R1:R3"/>
    <mergeCell ref="S1:S3"/>
    <mergeCell ref="T1:T3"/>
    <mergeCell ref="U1:U3"/>
    <mergeCell ref="V1:AR1"/>
    <mergeCell ref="AS1:BO1"/>
    <mergeCell ref="BP1:CL1"/>
    <mergeCell ref="LY1:MT1"/>
    <mergeCell ref="CQ1:DL1"/>
    <mergeCell ref="DM1:EH1"/>
    <mergeCell ref="EI1:FD1"/>
    <mergeCell ref="FE1:FZ1"/>
    <mergeCell ref="GA1:GV1"/>
    <mergeCell ref="GW1:HR1"/>
    <mergeCell ref="DW2:EA2"/>
    <mergeCell ref="MU1:NQ1"/>
    <mergeCell ref="V2:Z2"/>
    <mergeCell ref="AA2:AE2"/>
    <mergeCell ref="AF2:AJ2"/>
    <mergeCell ref="AS2:AW2"/>
    <mergeCell ref="AX2:BB2"/>
    <mergeCell ref="BC2:BG2"/>
    <mergeCell ref="BP2:BT2"/>
    <mergeCell ref="BU2:BY2"/>
    <mergeCell ref="BZ2:CD2"/>
    <mergeCell ref="HS1:IN1"/>
    <mergeCell ref="IO1:JJ1"/>
    <mergeCell ref="JK1:KF1"/>
    <mergeCell ref="KG1:LB1"/>
    <mergeCell ref="LC1:LX1"/>
    <mergeCell ref="CQ2:CU2"/>
    <mergeCell ref="CV2:CZ2"/>
    <mergeCell ref="DA2:DE2"/>
    <mergeCell ref="DM2:DQ2"/>
    <mergeCell ref="DR2:DV2"/>
    <mergeCell ref="HG2:HK2"/>
    <mergeCell ref="EI2:EM2"/>
    <mergeCell ref="EN2:ER2"/>
    <mergeCell ref="ES2:EW2"/>
    <mergeCell ref="FE2:FI2"/>
    <mergeCell ref="FJ2:FN2"/>
    <mergeCell ref="FO2:FS2"/>
    <mergeCell ref="GA2:GE2"/>
    <mergeCell ref="GF2:GJ2"/>
    <mergeCell ref="GK2:GO2"/>
    <mergeCell ref="GW2:HA2"/>
    <mergeCell ref="HB2:HF2"/>
    <mergeCell ref="KQ2:KU2"/>
    <mergeCell ref="HS2:HW2"/>
    <mergeCell ref="HX2:IB2"/>
    <mergeCell ref="IC2:IG2"/>
    <mergeCell ref="IO2:IS2"/>
    <mergeCell ref="IT2:IX2"/>
    <mergeCell ref="IY2:JC2"/>
    <mergeCell ref="JK2:JO2"/>
    <mergeCell ref="JP2:JT2"/>
    <mergeCell ref="JU2:JY2"/>
    <mergeCell ref="KG2:KK2"/>
    <mergeCell ref="KL2:KP2"/>
    <mergeCell ref="MU2:MY2"/>
    <mergeCell ref="MZ2:ND2"/>
    <mergeCell ref="NE2:NI2"/>
    <mergeCell ref="LC2:LG2"/>
    <mergeCell ref="LH2:LL2"/>
    <mergeCell ref="LM2:LQ2"/>
    <mergeCell ref="LY2:MC2"/>
    <mergeCell ref="MD2:MH2"/>
    <mergeCell ref="MI2:MM2"/>
  </mergeCells>
  <phoneticPr fontId="22" type="noConversion"/>
  <conditionalFormatting sqref="V4:AR14">
    <cfRule type="expression" dxfId="109" priority="7" stopIfTrue="1">
      <formula>IF($AK4&lt;&gt;"",1,0)</formula>
    </cfRule>
  </conditionalFormatting>
  <conditionalFormatting sqref="AS4:BO14">
    <cfRule type="expression" dxfId="108" priority="8" stopIfTrue="1">
      <formula>IF($BH4&lt;&gt;"",1,0)</formula>
    </cfRule>
  </conditionalFormatting>
  <conditionalFormatting sqref="L1:L1048576 R1:R1048576 N1:N1048576 P1:P1048576">
    <cfRule type="expression" dxfId="107" priority="15">
      <formula>IF(L1=$BP$1,1,0)</formula>
    </cfRule>
    <cfRule type="expression" dxfId="106" priority="16">
      <formula>IF(L1=$AS$1,1,0)</formula>
    </cfRule>
    <cfRule type="expression" dxfId="105" priority="17">
      <formula>IF(L1=$V$1,1,0)</formula>
    </cfRule>
  </conditionalFormatting>
  <conditionalFormatting sqref="I1:I1048576">
    <cfRule type="containsText" dxfId="104" priority="10" operator="containsText" text="No DD">
      <formula>NOT(ISERROR(SEARCH("No DD",I1)))</formula>
    </cfRule>
    <cfRule type="containsText" dxfId="103" priority="11" operator="containsText" text="Merit">
      <formula>NOT(ISERROR(SEARCH("Merit",I1)))</formula>
    </cfRule>
    <cfRule type="containsText" dxfId="102" priority="12" operator="containsText" text="Excellence">
      <formula>NOT(ISERROR(SEARCH("Excellence",I1)))</formula>
    </cfRule>
    <cfRule type="containsText" dxfId="101" priority="13" operator="containsText" text="Worlds Team">
      <formula>NOT(ISERROR(SEARCH("Worlds Team",I1)))</formula>
    </cfRule>
    <cfRule type="containsText" dxfId="100" priority="14" operator="containsText" text="National Team">
      <formula>NOT(ISERROR(SEARCH("National Team",I1)))</formula>
    </cfRule>
  </conditionalFormatting>
  <conditionalFormatting sqref="BP4:CL14">
    <cfRule type="expression" dxfId="99" priority="9" stopIfTrue="1">
      <formula>IF($CE4&lt;&gt;"",1,0)</formula>
    </cfRule>
  </conditionalFormatting>
  <conditionalFormatting sqref="A1:A1048576">
    <cfRule type="expression" dxfId="98" priority="32">
      <formula>AND(H1&lt;&gt;"",G1="")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97" priority="37982" operator="between">
      <formula>AR$20</formula>
      <formula>1000</formula>
    </cfRule>
    <cfRule type="cellIs" dxfId="96" priority="37983" operator="between">
      <formula>AR$19</formula>
      <formula>AR$20</formula>
    </cfRule>
    <cfRule type="cellIs" dxfId="95" priority="37984" operator="between">
      <formula>AR$18</formula>
      <formula>AR$19</formula>
    </cfRule>
    <cfRule type="cellIs" dxfId="94" priority="37985" operator="between">
      <formula>AR$17</formula>
      <formula>AR$18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93" priority="38162" operator="between">
      <formula>AR$24</formula>
      <formula>1000</formula>
    </cfRule>
    <cfRule type="cellIs" dxfId="92" priority="38163" operator="between">
      <formula>AR$23</formula>
      <formula>AR$24</formula>
    </cfRule>
  </conditionalFormatting>
  <conditionalFormatting sqref="AQ1:AQ1048576 BN1:BN23 CK1:CK1048576 DK1:DK1048576 EG1:EG23 FC1:FC22 FY1:FY23 GU1:GU1048576 HQ1:HQ1048576 IM1:IM1048576 JI1:JI1048576 KE1:KE1048576 LA1:LA1048576 LW1:LW1048576 MS1:MS1048576 BN25:BN1048576 EG25:EG1048576 FC24:FC1048576 FY25:FY1048576">
    <cfRule type="cellIs" dxfId="91" priority="38252" operator="between">
      <formula>AR$24</formula>
      <formula>1000</formula>
    </cfRule>
    <cfRule type="cellIs" dxfId="90" priority="38253" operator="between">
      <formula>AR$23</formula>
      <formula>AR$24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89" priority="38342" operator="between">
      <formula>AR$22</formula>
      <formula>1000</formula>
    </cfRule>
    <cfRule type="cellIs" dxfId="88" priority="38343" operator="between">
      <formula>AR$21</formula>
      <formula>AR$22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87" priority="38432" operator="between">
      <formula>AR$20</formula>
      <formula>1000</formula>
    </cfRule>
    <cfRule type="cellIs" dxfId="86" priority="38433" operator="between">
      <formula>AR$19</formula>
      <formula>AR$20</formula>
    </cfRule>
    <cfRule type="cellIs" dxfId="85" priority="38434" operator="between">
      <formula>AR$18</formula>
      <formula>AR$19</formula>
    </cfRule>
    <cfRule type="cellIs" dxfId="84" priority="38435" operator="between">
      <formula>AR$17</formula>
      <formula>AR$18</formula>
    </cfRule>
  </conditionalFormatting>
  <conditionalFormatting sqref="EG24">
    <cfRule type="cellIs" dxfId="83" priority="3" operator="between">
      <formula>EH$26</formula>
      <formula>1000</formula>
    </cfRule>
    <cfRule type="cellIs" dxfId="82" priority="4" operator="between">
      <formula>EH$25</formula>
      <formula>EH$26</formula>
    </cfRule>
  </conditionalFormatting>
  <conditionalFormatting sqref="FC23">
    <cfRule type="cellIs" dxfId="81" priority="1" operator="between">
      <formula>FD$26</formula>
      <formula>1000</formula>
    </cfRule>
    <cfRule type="cellIs" dxfId="80" priority="2" operator="between">
      <formula>FD$25</formula>
      <formula>FD$26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26" bestFit="1" customWidth="1"/>
    <col min="9" max="9" width="15.16406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31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100" width="10.83203125" hidden="1" customWidth="1"/>
    <col min="101" max="105" width="10.83203125" customWidth="1"/>
    <col min="106" max="121" width="10.83203125" hidden="1" customWidth="1"/>
    <col min="122" max="126" width="10.83203125" customWidth="1"/>
    <col min="127" max="358" width="10.83203125" hidden="1" customWidth="1"/>
  </cols>
  <sheetData>
    <row r="1" spans="1:358" ht="16" customHeight="1" x14ac:dyDescent="0.2">
      <c r="A1" s="136" t="s">
        <v>1</v>
      </c>
      <c r="B1" s="136" t="s">
        <v>41</v>
      </c>
      <c r="C1" s="136" t="s">
        <v>0</v>
      </c>
      <c r="D1" s="136" t="s">
        <v>93</v>
      </c>
      <c r="E1" s="136" t="s">
        <v>2</v>
      </c>
      <c r="F1" s="144" t="s">
        <v>116</v>
      </c>
      <c r="G1" s="144" t="s">
        <v>15</v>
      </c>
      <c r="H1" s="136" t="s">
        <v>16</v>
      </c>
      <c r="I1" s="144" t="s">
        <v>210</v>
      </c>
      <c r="J1" s="141" t="s">
        <v>17</v>
      </c>
      <c r="K1" s="141" t="s">
        <v>56</v>
      </c>
      <c r="L1" s="141" t="s">
        <v>20</v>
      </c>
      <c r="M1" s="141" t="s">
        <v>56</v>
      </c>
      <c r="N1" s="140" t="s">
        <v>21</v>
      </c>
      <c r="O1" s="141" t="s">
        <v>57</v>
      </c>
      <c r="P1" s="141" t="s">
        <v>56</v>
      </c>
      <c r="Q1" s="137" t="s">
        <v>126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9" t="s">
        <v>142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7" t="s">
        <v>187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42" t="s">
        <v>115</v>
      </c>
      <c r="CF1" s="142"/>
      <c r="CG1" s="137" t="s">
        <v>163</v>
      </c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9" t="s">
        <v>206</v>
      </c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7" t="s">
        <v>123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36"/>
      <c r="B2" s="136"/>
      <c r="C2" s="136"/>
      <c r="D2" s="136"/>
      <c r="E2" s="136"/>
      <c r="F2" s="144"/>
      <c r="G2" s="144"/>
      <c r="H2" s="136"/>
      <c r="I2" s="144"/>
      <c r="J2" s="141"/>
      <c r="K2" s="141"/>
      <c r="L2" s="141"/>
      <c r="M2" s="141"/>
      <c r="N2" s="140"/>
      <c r="O2" s="141"/>
      <c r="P2" s="141"/>
      <c r="Q2" s="135" t="s">
        <v>43</v>
      </c>
      <c r="R2" s="135"/>
      <c r="S2" s="135"/>
      <c r="T2" s="135"/>
      <c r="U2" s="135" t="s">
        <v>46</v>
      </c>
      <c r="V2" s="135"/>
      <c r="W2" s="135"/>
      <c r="X2" s="135"/>
      <c r="Y2" s="135" t="s">
        <v>47</v>
      </c>
      <c r="Z2" s="135"/>
      <c r="AA2" s="135"/>
      <c r="AB2" s="135"/>
      <c r="AC2" s="143" t="s">
        <v>48</v>
      </c>
      <c r="AD2" s="143"/>
      <c r="AE2" s="143"/>
      <c r="AF2" s="143"/>
      <c r="AG2" s="78"/>
      <c r="AH2" s="58" t="s">
        <v>32</v>
      </c>
      <c r="AI2" s="9" t="s">
        <v>31</v>
      </c>
      <c r="AJ2" s="9" t="s">
        <v>139</v>
      </c>
      <c r="AK2" s="9" t="s">
        <v>30</v>
      </c>
      <c r="AL2" s="9" t="s">
        <v>25</v>
      </c>
      <c r="AM2" s="138" t="s">
        <v>43</v>
      </c>
      <c r="AN2" s="138"/>
      <c r="AO2" s="138"/>
      <c r="AP2" s="138"/>
      <c r="AQ2" s="138" t="s">
        <v>46</v>
      </c>
      <c r="AR2" s="138"/>
      <c r="AS2" s="138"/>
      <c r="AT2" s="138"/>
      <c r="AU2" s="138" t="s">
        <v>47</v>
      </c>
      <c r="AV2" s="138"/>
      <c r="AW2" s="138"/>
      <c r="AX2" s="138"/>
      <c r="AY2" s="145" t="s">
        <v>48</v>
      </c>
      <c r="AZ2" s="145"/>
      <c r="BA2" s="145"/>
      <c r="BB2" s="145"/>
      <c r="BC2" s="79"/>
      <c r="BD2" s="57" t="s">
        <v>32</v>
      </c>
      <c r="BE2" s="12" t="s">
        <v>31</v>
      </c>
      <c r="BF2" s="12" t="s">
        <v>139</v>
      </c>
      <c r="BG2" s="12" t="s">
        <v>30</v>
      </c>
      <c r="BH2" s="12" t="s">
        <v>25</v>
      </c>
      <c r="BI2" s="135" t="s">
        <v>43</v>
      </c>
      <c r="BJ2" s="135"/>
      <c r="BK2" s="135"/>
      <c r="BL2" s="135"/>
      <c r="BM2" s="135" t="s">
        <v>46</v>
      </c>
      <c r="BN2" s="135"/>
      <c r="BO2" s="135"/>
      <c r="BP2" s="135"/>
      <c r="BQ2" s="135" t="s">
        <v>47</v>
      </c>
      <c r="BR2" s="135"/>
      <c r="BS2" s="135"/>
      <c r="BT2" s="135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9" t="s">
        <v>139</v>
      </c>
      <c r="CC2" s="9" t="s">
        <v>30</v>
      </c>
      <c r="CD2" s="9" t="s">
        <v>25</v>
      </c>
      <c r="CE2" s="22" t="s">
        <v>31</v>
      </c>
      <c r="CF2" s="22" t="s">
        <v>30</v>
      </c>
      <c r="CG2" s="135" t="s">
        <v>43</v>
      </c>
      <c r="CH2" s="135"/>
      <c r="CI2" s="135"/>
      <c r="CJ2" s="135"/>
      <c r="CK2" s="135" t="s">
        <v>46</v>
      </c>
      <c r="CL2" s="135"/>
      <c r="CM2" s="135"/>
      <c r="CN2" s="135"/>
      <c r="CO2" s="135" t="s">
        <v>47</v>
      </c>
      <c r="CP2" s="135"/>
      <c r="CQ2" s="135"/>
      <c r="CR2" s="135"/>
      <c r="CS2" s="146" t="s">
        <v>48</v>
      </c>
      <c r="CT2" s="146"/>
      <c r="CU2" s="146"/>
      <c r="CV2" s="146"/>
      <c r="CW2" s="58" t="s">
        <v>32</v>
      </c>
      <c r="CX2" s="9" t="s">
        <v>31</v>
      </c>
      <c r="CY2" s="9" t="s">
        <v>139</v>
      </c>
      <c r="CZ2" s="9" t="s">
        <v>30</v>
      </c>
      <c r="DA2" s="9" t="s">
        <v>25</v>
      </c>
      <c r="DB2" s="138" t="s">
        <v>43</v>
      </c>
      <c r="DC2" s="138"/>
      <c r="DD2" s="138"/>
      <c r="DE2" s="138"/>
      <c r="DF2" s="138" t="s">
        <v>46</v>
      </c>
      <c r="DG2" s="138"/>
      <c r="DH2" s="138"/>
      <c r="DI2" s="138"/>
      <c r="DJ2" s="138" t="s">
        <v>47</v>
      </c>
      <c r="DK2" s="138"/>
      <c r="DL2" s="138"/>
      <c r="DM2" s="138"/>
      <c r="DN2" s="145" t="s">
        <v>48</v>
      </c>
      <c r="DO2" s="145"/>
      <c r="DP2" s="145"/>
      <c r="DQ2" s="145"/>
      <c r="DR2" s="57" t="s">
        <v>32</v>
      </c>
      <c r="DS2" s="12" t="s">
        <v>31</v>
      </c>
      <c r="DT2" s="12" t="s">
        <v>139</v>
      </c>
      <c r="DU2" s="12" t="s">
        <v>30</v>
      </c>
      <c r="DV2" s="12" t="s">
        <v>25</v>
      </c>
      <c r="DW2" s="135" t="s">
        <v>43</v>
      </c>
      <c r="DX2" s="135"/>
      <c r="DY2" s="135"/>
      <c r="DZ2" s="135"/>
      <c r="EA2" s="135" t="s">
        <v>46</v>
      </c>
      <c r="EB2" s="135"/>
      <c r="EC2" s="135"/>
      <c r="ED2" s="135"/>
      <c r="EE2" s="135" t="s">
        <v>47</v>
      </c>
      <c r="EF2" s="135"/>
      <c r="EG2" s="135"/>
      <c r="EH2" s="135"/>
      <c r="EI2" s="146" t="s">
        <v>48</v>
      </c>
      <c r="EJ2" s="146"/>
      <c r="EK2" s="146"/>
      <c r="EL2" s="146"/>
      <c r="EM2" s="58" t="s">
        <v>32</v>
      </c>
      <c r="EN2" s="9" t="s">
        <v>31</v>
      </c>
      <c r="EO2" s="9" t="s">
        <v>139</v>
      </c>
      <c r="EP2" s="9" t="s">
        <v>30</v>
      </c>
      <c r="EQ2" s="9" t="s">
        <v>25</v>
      </c>
      <c r="ER2" s="138" t="s">
        <v>43</v>
      </c>
      <c r="ES2" s="138"/>
      <c r="ET2" s="138"/>
      <c r="EU2" s="138"/>
      <c r="EV2" s="138" t="s">
        <v>46</v>
      </c>
      <c r="EW2" s="138"/>
      <c r="EX2" s="138"/>
      <c r="EY2" s="138"/>
      <c r="EZ2" s="138" t="s">
        <v>47</v>
      </c>
      <c r="FA2" s="138"/>
      <c r="FB2" s="138"/>
      <c r="FC2" s="138"/>
      <c r="FD2" s="145" t="s">
        <v>48</v>
      </c>
      <c r="FE2" s="145"/>
      <c r="FF2" s="145"/>
      <c r="FG2" s="145"/>
      <c r="FH2" s="20" t="s">
        <v>32</v>
      </c>
      <c r="FI2" s="12" t="s">
        <v>31</v>
      </c>
      <c r="FJ2" s="12" t="s">
        <v>139</v>
      </c>
      <c r="FK2" s="12" t="s">
        <v>30</v>
      </c>
      <c r="FL2" s="12" t="s">
        <v>25</v>
      </c>
      <c r="FM2" s="135" t="s">
        <v>43</v>
      </c>
      <c r="FN2" s="135"/>
      <c r="FO2" s="135"/>
      <c r="FP2" s="135"/>
      <c r="FQ2" s="135" t="s">
        <v>46</v>
      </c>
      <c r="FR2" s="135"/>
      <c r="FS2" s="135"/>
      <c r="FT2" s="135"/>
      <c r="FU2" s="135" t="s">
        <v>47</v>
      </c>
      <c r="FV2" s="135"/>
      <c r="FW2" s="135"/>
      <c r="FX2" s="135"/>
      <c r="FY2" s="146" t="s">
        <v>48</v>
      </c>
      <c r="FZ2" s="146"/>
      <c r="GA2" s="146"/>
      <c r="GB2" s="146"/>
      <c r="GC2" s="21" t="s">
        <v>32</v>
      </c>
      <c r="GD2" s="9" t="s">
        <v>31</v>
      </c>
      <c r="GE2" s="9" t="s">
        <v>139</v>
      </c>
      <c r="GF2" s="9" t="s">
        <v>30</v>
      </c>
      <c r="GG2" s="9" t="s">
        <v>25</v>
      </c>
      <c r="GH2" s="138" t="s">
        <v>43</v>
      </c>
      <c r="GI2" s="138"/>
      <c r="GJ2" s="138"/>
      <c r="GK2" s="138"/>
      <c r="GL2" s="138" t="s">
        <v>46</v>
      </c>
      <c r="GM2" s="138"/>
      <c r="GN2" s="138"/>
      <c r="GO2" s="138"/>
      <c r="GP2" s="138" t="s">
        <v>47</v>
      </c>
      <c r="GQ2" s="138"/>
      <c r="GR2" s="138"/>
      <c r="GS2" s="138"/>
      <c r="GT2" s="145" t="s">
        <v>48</v>
      </c>
      <c r="GU2" s="145"/>
      <c r="GV2" s="145"/>
      <c r="GW2" s="145"/>
      <c r="GX2" s="20" t="s">
        <v>32</v>
      </c>
      <c r="GY2" s="12" t="s">
        <v>31</v>
      </c>
      <c r="GZ2" s="12" t="s">
        <v>139</v>
      </c>
      <c r="HA2" s="12" t="s">
        <v>30</v>
      </c>
      <c r="HB2" s="12" t="s">
        <v>25</v>
      </c>
      <c r="HC2" s="135" t="s">
        <v>43</v>
      </c>
      <c r="HD2" s="135"/>
      <c r="HE2" s="135"/>
      <c r="HF2" s="135"/>
      <c r="HG2" s="135" t="s">
        <v>46</v>
      </c>
      <c r="HH2" s="135"/>
      <c r="HI2" s="135"/>
      <c r="HJ2" s="135"/>
      <c r="HK2" s="135" t="s">
        <v>47</v>
      </c>
      <c r="HL2" s="135"/>
      <c r="HM2" s="135"/>
      <c r="HN2" s="135"/>
      <c r="HO2" s="146" t="s">
        <v>48</v>
      </c>
      <c r="HP2" s="146"/>
      <c r="HQ2" s="146"/>
      <c r="HR2" s="146"/>
      <c r="HS2" s="21" t="s">
        <v>32</v>
      </c>
      <c r="HT2" s="9" t="s">
        <v>31</v>
      </c>
      <c r="HU2" s="9" t="s">
        <v>139</v>
      </c>
      <c r="HV2" s="9" t="s">
        <v>30</v>
      </c>
      <c r="HW2" s="9" t="s">
        <v>25</v>
      </c>
      <c r="HX2" s="138" t="s">
        <v>43</v>
      </c>
      <c r="HY2" s="138"/>
      <c r="HZ2" s="138"/>
      <c r="IA2" s="138"/>
      <c r="IB2" s="138" t="s">
        <v>46</v>
      </c>
      <c r="IC2" s="138"/>
      <c r="ID2" s="138"/>
      <c r="IE2" s="138"/>
      <c r="IF2" s="138" t="s">
        <v>47</v>
      </c>
      <c r="IG2" s="138"/>
      <c r="IH2" s="138"/>
      <c r="II2" s="138"/>
      <c r="IJ2" s="145" t="s">
        <v>48</v>
      </c>
      <c r="IK2" s="145"/>
      <c r="IL2" s="145"/>
      <c r="IM2" s="145"/>
      <c r="IN2" s="20" t="s">
        <v>32</v>
      </c>
      <c r="IO2" s="12" t="s">
        <v>31</v>
      </c>
      <c r="IP2" s="12" t="s">
        <v>139</v>
      </c>
      <c r="IQ2" s="12" t="s">
        <v>30</v>
      </c>
      <c r="IR2" s="12" t="s">
        <v>25</v>
      </c>
      <c r="IS2" s="135" t="s">
        <v>43</v>
      </c>
      <c r="IT2" s="135"/>
      <c r="IU2" s="135"/>
      <c r="IV2" s="135"/>
      <c r="IW2" s="135" t="s">
        <v>46</v>
      </c>
      <c r="IX2" s="135"/>
      <c r="IY2" s="135"/>
      <c r="IZ2" s="135"/>
      <c r="JA2" s="135" t="s">
        <v>47</v>
      </c>
      <c r="JB2" s="135"/>
      <c r="JC2" s="135"/>
      <c r="JD2" s="135"/>
      <c r="JE2" s="146" t="s">
        <v>48</v>
      </c>
      <c r="JF2" s="146"/>
      <c r="JG2" s="146"/>
      <c r="JH2" s="146"/>
      <c r="JI2" s="21" t="s">
        <v>32</v>
      </c>
      <c r="JJ2" s="9" t="s">
        <v>31</v>
      </c>
      <c r="JK2" s="9" t="s">
        <v>139</v>
      </c>
      <c r="JL2" s="9" t="s">
        <v>30</v>
      </c>
      <c r="JM2" s="9" t="s">
        <v>25</v>
      </c>
      <c r="JN2" s="138" t="s">
        <v>43</v>
      </c>
      <c r="JO2" s="138"/>
      <c r="JP2" s="138"/>
      <c r="JQ2" s="138"/>
      <c r="JR2" s="138" t="s">
        <v>46</v>
      </c>
      <c r="JS2" s="138"/>
      <c r="JT2" s="138"/>
      <c r="JU2" s="138"/>
      <c r="JV2" s="138" t="s">
        <v>47</v>
      </c>
      <c r="JW2" s="138"/>
      <c r="JX2" s="138"/>
      <c r="JY2" s="138"/>
      <c r="JZ2" s="145" t="s">
        <v>48</v>
      </c>
      <c r="KA2" s="145"/>
      <c r="KB2" s="145"/>
      <c r="KC2" s="145"/>
      <c r="KD2" s="20" t="s">
        <v>32</v>
      </c>
      <c r="KE2" s="12" t="s">
        <v>31</v>
      </c>
      <c r="KF2" s="12" t="s">
        <v>139</v>
      </c>
      <c r="KG2" s="12" t="s">
        <v>30</v>
      </c>
      <c r="KH2" s="12" t="s">
        <v>25</v>
      </c>
      <c r="KI2" s="135" t="s">
        <v>43</v>
      </c>
      <c r="KJ2" s="135"/>
      <c r="KK2" s="135"/>
      <c r="KL2" s="135"/>
      <c r="KM2" s="135" t="s">
        <v>46</v>
      </c>
      <c r="KN2" s="135"/>
      <c r="KO2" s="135"/>
      <c r="KP2" s="135"/>
      <c r="KQ2" s="135" t="s">
        <v>47</v>
      </c>
      <c r="KR2" s="135"/>
      <c r="KS2" s="135"/>
      <c r="KT2" s="135"/>
      <c r="KU2" s="146" t="s">
        <v>48</v>
      </c>
      <c r="KV2" s="146"/>
      <c r="KW2" s="146"/>
      <c r="KX2" s="146"/>
      <c r="KY2" s="21" t="s">
        <v>32</v>
      </c>
      <c r="KZ2" s="9" t="s">
        <v>31</v>
      </c>
      <c r="LA2" s="9" t="s">
        <v>139</v>
      </c>
      <c r="LB2" s="9" t="s">
        <v>30</v>
      </c>
      <c r="LC2" s="9" t="s">
        <v>25</v>
      </c>
      <c r="LD2" s="138" t="s">
        <v>43</v>
      </c>
      <c r="LE2" s="138"/>
      <c r="LF2" s="138"/>
      <c r="LG2" s="138"/>
      <c r="LH2" s="138" t="s">
        <v>46</v>
      </c>
      <c r="LI2" s="138"/>
      <c r="LJ2" s="138"/>
      <c r="LK2" s="138"/>
      <c r="LL2" s="138" t="s">
        <v>47</v>
      </c>
      <c r="LM2" s="138"/>
      <c r="LN2" s="138"/>
      <c r="LO2" s="138"/>
      <c r="LP2" s="145" t="s">
        <v>48</v>
      </c>
      <c r="LQ2" s="145"/>
      <c r="LR2" s="145"/>
      <c r="LS2" s="145"/>
      <c r="LT2" s="20" t="s">
        <v>32</v>
      </c>
      <c r="LU2" s="12" t="s">
        <v>31</v>
      </c>
      <c r="LV2" s="12" t="s">
        <v>139</v>
      </c>
      <c r="LW2" s="12" t="s">
        <v>30</v>
      </c>
      <c r="LX2" s="12" t="s">
        <v>25</v>
      </c>
      <c r="LY2" s="135" t="s">
        <v>43</v>
      </c>
      <c r="LZ2" s="135"/>
      <c r="MA2" s="135"/>
      <c r="MB2" s="135"/>
      <c r="MC2" s="135" t="s">
        <v>46</v>
      </c>
      <c r="MD2" s="135"/>
      <c r="ME2" s="135"/>
      <c r="MF2" s="135"/>
      <c r="MG2" s="135" t="s">
        <v>47</v>
      </c>
      <c r="MH2" s="135"/>
      <c r="MI2" s="135"/>
      <c r="MJ2" s="135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9" t="s">
        <v>139</v>
      </c>
      <c r="MS2" s="9" t="s">
        <v>30</v>
      </c>
      <c r="MT2" s="9" t="s">
        <v>25</v>
      </c>
    </row>
    <row r="3" spans="1:358" x14ac:dyDescent="0.2">
      <c r="A3" s="136"/>
      <c r="B3" s="136"/>
      <c r="C3" s="136"/>
      <c r="D3" s="136"/>
      <c r="E3" s="136"/>
      <c r="F3" s="144"/>
      <c r="G3" s="144"/>
      <c r="H3" s="136"/>
      <c r="I3" s="144"/>
      <c r="J3" s="141"/>
      <c r="K3" s="141"/>
      <c r="L3" s="141"/>
      <c r="M3" s="141"/>
      <c r="N3" s="140"/>
      <c r="O3" s="141"/>
      <c r="P3" s="141"/>
      <c r="Q3" s="58" t="s">
        <v>22</v>
      </c>
      <c r="R3" s="58" t="s">
        <v>14</v>
      </c>
      <c r="S3" s="58" t="s">
        <v>44</v>
      </c>
      <c r="T3" s="58" t="s">
        <v>45</v>
      </c>
      <c r="U3" s="58" t="s">
        <v>22</v>
      </c>
      <c r="V3" s="58" t="s">
        <v>14</v>
      </c>
      <c r="W3" s="58" t="s">
        <v>44</v>
      </c>
      <c r="X3" s="58" t="s">
        <v>45</v>
      </c>
      <c r="Y3" s="58" t="s">
        <v>22</v>
      </c>
      <c r="Z3" s="58" t="s">
        <v>14</v>
      </c>
      <c r="AA3" s="58" t="s">
        <v>44</v>
      </c>
      <c r="AB3" s="58" t="s">
        <v>45</v>
      </c>
      <c r="AC3" s="61" t="s">
        <v>22</v>
      </c>
      <c r="AD3" s="61" t="s">
        <v>14</v>
      </c>
      <c r="AE3" s="61" t="s">
        <v>44</v>
      </c>
      <c r="AF3" s="61" t="s">
        <v>45</v>
      </c>
      <c r="AG3" s="78" t="s">
        <v>90</v>
      </c>
      <c r="AH3" s="10"/>
      <c r="AI3" s="9"/>
      <c r="AJ3" s="9"/>
      <c r="AK3" s="10"/>
      <c r="AL3" s="10"/>
      <c r="AM3" s="57" t="s">
        <v>22</v>
      </c>
      <c r="AN3" s="57" t="s">
        <v>14</v>
      </c>
      <c r="AO3" s="57" t="s">
        <v>44</v>
      </c>
      <c r="AP3" s="57" t="s">
        <v>45</v>
      </c>
      <c r="AQ3" s="57" t="s">
        <v>22</v>
      </c>
      <c r="AR3" s="57" t="s">
        <v>14</v>
      </c>
      <c r="AS3" s="57" t="s">
        <v>44</v>
      </c>
      <c r="AT3" s="57" t="s">
        <v>45</v>
      </c>
      <c r="AU3" s="57" t="s">
        <v>22</v>
      </c>
      <c r="AV3" s="57" t="s">
        <v>14</v>
      </c>
      <c r="AW3" s="57" t="s">
        <v>44</v>
      </c>
      <c r="AX3" s="57" t="s">
        <v>45</v>
      </c>
      <c r="AY3" s="59" t="s">
        <v>22</v>
      </c>
      <c r="AZ3" s="59" t="s">
        <v>14</v>
      </c>
      <c r="BA3" s="59" t="s">
        <v>44</v>
      </c>
      <c r="BB3" s="59" t="s">
        <v>45</v>
      </c>
      <c r="BC3" s="79" t="s">
        <v>90</v>
      </c>
      <c r="BD3" s="13"/>
      <c r="BE3" s="12"/>
      <c r="BF3" s="12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90</v>
      </c>
      <c r="BZ3" s="10"/>
      <c r="CA3" s="9"/>
      <c r="CB3" s="9"/>
      <c r="CC3" s="10"/>
      <c r="CD3" s="10"/>
      <c r="CE3" s="23"/>
      <c r="CF3" s="23"/>
      <c r="CG3" s="58" t="s">
        <v>22</v>
      </c>
      <c r="CH3" s="58" t="s">
        <v>14</v>
      </c>
      <c r="CI3" s="58" t="s">
        <v>44</v>
      </c>
      <c r="CJ3" s="58" t="s">
        <v>45</v>
      </c>
      <c r="CK3" s="58" t="s">
        <v>22</v>
      </c>
      <c r="CL3" s="58" t="s">
        <v>14</v>
      </c>
      <c r="CM3" s="58" t="s">
        <v>44</v>
      </c>
      <c r="CN3" s="58" t="s">
        <v>45</v>
      </c>
      <c r="CO3" s="58" t="s">
        <v>22</v>
      </c>
      <c r="CP3" s="58" t="s">
        <v>14</v>
      </c>
      <c r="CQ3" s="58" t="s">
        <v>44</v>
      </c>
      <c r="CR3" s="58" t="s">
        <v>45</v>
      </c>
      <c r="CS3" s="60" t="s">
        <v>22</v>
      </c>
      <c r="CT3" s="60" t="s">
        <v>14</v>
      </c>
      <c r="CU3" s="60" t="s">
        <v>44</v>
      </c>
      <c r="CV3" s="60" t="s">
        <v>45</v>
      </c>
      <c r="CW3" s="10"/>
      <c r="CX3" s="9"/>
      <c r="CY3" s="9"/>
      <c r="CZ3" s="10"/>
      <c r="DA3" s="10"/>
      <c r="DB3" s="57" t="s">
        <v>22</v>
      </c>
      <c r="DC3" s="57" t="s">
        <v>14</v>
      </c>
      <c r="DD3" s="57" t="s">
        <v>44</v>
      </c>
      <c r="DE3" s="57" t="s">
        <v>45</v>
      </c>
      <c r="DF3" s="57" t="s">
        <v>22</v>
      </c>
      <c r="DG3" s="57" t="s">
        <v>14</v>
      </c>
      <c r="DH3" s="57" t="s">
        <v>44</v>
      </c>
      <c r="DI3" s="57" t="s">
        <v>45</v>
      </c>
      <c r="DJ3" s="57" t="s">
        <v>22</v>
      </c>
      <c r="DK3" s="57" t="s">
        <v>14</v>
      </c>
      <c r="DL3" s="57" t="s">
        <v>44</v>
      </c>
      <c r="DM3" s="57" t="s">
        <v>45</v>
      </c>
      <c r="DN3" s="59" t="s">
        <v>22</v>
      </c>
      <c r="DO3" s="59" t="s">
        <v>14</v>
      </c>
      <c r="DP3" s="59" t="s">
        <v>44</v>
      </c>
      <c r="DQ3" s="59" t="s">
        <v>45</v>
      </c>
      <c r="DR3" s="13"/>
      <c r="DS3" s="12"/>
      <c r="DT3" s="12"/>
      <c r="DU3" s="13"/>
      <c r="DV3" s="13"/>
      <c r="DW3" s="58" t="s">
        <v>22</v>
      </c>
      <c r="DX3" s="58" t="s">
        <v>14</v>
      </c>
      <c r="DY3" s="58" t="s">
        <v>44</v>
      </c>
      <c r="DZ3" s="58" t="s">
        <v>45</v>
      </c>
      <c r="EA3" s="58" t="s">
        <v>22</v>
      </c>
      <c r="EB3" s="58" t="s">
        <v>14</v>
      </c>
      <c r="EC3" s="58" t="s">
        <v>44</v>
      </c>
      <c r="ED3" s="58" t="s">
        <v>45</v>
      </c>
      <c r="EE3" s="58" t="s">
        <v>22</v>
      </c>
      <c r="EF3" s="58" t="s">
        <v>14</v>
      </c>
      <c r="EG3" s="58" t="s">
        <v>44</v>
      </c>
      <c r="EH3" s="58" t="s">
        <v>45</v>
      </c>
      <c r="EI3" s="60" t="s">
        <v>22</v>
      </c>
      <c r="EJ3" s="60" t="s">
        <v>14</v>
      </c>
      <c r="EK3" s="60" t="s">
        <v>44</v>
      </c>
      <c r="EL3" s="60" t="s">
        <v>45</v>
      </c>
      <c r="EM3" s="10"/>
      <c r="EN3" s="9"/>
      <c r="EO3" s="9"/>
      <c r="EP3" s="10"/>
      <c r="EQ3" s="10"/>
      <c r="ER3" s="28" t="s">
        <v>22</v>
      </c>
      <c r="ES3" s="28" t="s">
        <v>14</v>
      </c>
      <c r="ET3" s="28" t="s">
        <v>44</v>
      </c>
      <c r="EU3" s="28" t="s">
        <v>45</v>
      </c>
      <c r="EV3" s="28" t="s">
        <v>22</v>
      </c>
      <c r="EW3" s="28" t="s">
        <v>14</v>
      </c>
      <c r="EX3" s="28" t="s">
        <v>44</v>
      </c>
      <c r="EY3" s="28" t="s">
        <v>45</v>
      </c>
      <c r="EZ3" s="28" t="s">
        <v>22</v>
      </c>
      <c r="FA3" s="28" t="s">
        <v>14</v>
      </c>
      <c r="FB3" s="28" t="s">
        <v>44</v>
      </c>
      <c r="FC3" s="28" t="s">
        <v>45</v>
      </c>
      <c r="FD3" s="31" t="s">
        <v>22</v>
      </c>
      <c r="FE3" s="31" t="s">
        <v>14</v>
      </c>
      <c r="FF3" s="31" t="s">
        <v>44</v>
      </c>
      <c r="FG3" s="31" t="s">
        <v>45</v>
      </c>
      <c r="FH3" s="13"/>
      <c r="FI3" s="12"/>
      <c r="FJ3" s="12"/>
      <c r="FK3" s="13"/>
      <c r="FL3" s="13"/>
      <c r="FM3" s="29" t="s">
        <v>22</v>
      </c>
      <c r="FN3" s="29" t="s">
        <v>14</v>
      </c>
      <c r="FO3" s="29" t="s">
        <v>44</v>
      </c>
      <c r="FP3" s="29" t="s">
        <v>45</v>
      </c>
      <c r="FQ3" s="29" t="s">
        <v>22</v>
      </c>
      <c r="FR3" s="29" t="s">
        <v>14</v>
      </c>
      <c r="FS3" s="29" t="s">
        <v>44</v>
      </c>
      <c r="FT3" s="29" t="s">
        <v>45</v>
      </c>
      <c r="FU3" s="29" t="s">
        <v>22</v>
      </c>
      <c r="FV3" s="29" t="s">
        <v>14</v>
      </c>
      <c r="FW3" s="29" t="s">
        <v>44</v>
      </c>
      <c r="FX3" s="29" t="s">
        <v>45</v>
      </c>
      <c r="FY3" s="30" t="s">
        <v>22</v>
      </c>
      <c r="FZ3" s="30" t="s">
        <v>14</v>
      </c>
      <c r="GA3" s="30" t="s">
        <v>44</v>
      </c>
      <c r="GB3" s="30" t="s">
        <v>45</v>
      </c>
      <c r="GC3" s="10"/>
      <c r="GD3" s="9"/>
      <c r="GE3" s="9"/>
      <c r="GF3" s="10"/>
      <c r="GG3" s="10"/>
      <c r="GH3" s="28" t="s">
        <v>22</v>
      </c>
      <c r="GI3" s="28" t="s">
        <v>14</v>
      </c>
      <c r="GJ3" s="28" t="s">
        <v>44</v>
      </c>
      <c r="GK3" s="28" t="s">
        <v>45</v>
      </c>
      <c r="GL3" s="28" t="s">
        <v>22</v>
      </c>
      <c r="GM3" s="28" t="s">
        <v>14</v>
      </c>
      <c r="GN3" s="28" t="s">
        <v>44</v>
      </c>
      <c r="GO3" s="28" t="s">
        <v>45</v>
      </c>
      <c r="GP3" s="28" t="s">
        <v>22</v>
      </c>
      <c r="GQ3" s="28" t="s">
        <v>14</v>
      </c>
      <c r="GR3" s="28" t="s">
        <v>44</v>
      </c>
      <c r="GS3" s="28" t="s">
        <v>45</v>
      </c>
      <c r="GT3" s="31" t="s">
        <v>22</v>
      </c>
      <c r="GU3" s="31" t="s">
        <v>14</v>
      </c>
      <c r="GV3" s="31" t="s">
        <v>44</v>
      </c>
      <c r="GW3" s="31" t="s">
        <v>45</v>
      </c>
      <c r="GX3" s="13"/>
      <c r="GY3" s="12"/>
      <c r="GZ3" s="12"/>
      <c r="HA3" s="13"/>
      <c r="HB3" s="13"/>
      <c r="HC3" s="29" t="s">
        <v>22</v>
      </c>
      <c r="HD3" s="29" t="s">
        <v>14</v>
      </c>
      <c r="HE3" s="29" t="s">
        <v>44</v>
      </c>
      <c r="HF3" s="29" t="s">
        <v>45</v>
      </c>
      <c r="HG3" s="29" t="s">
        <v>22</v>
      </c>
      <c r="HH3" s="29" t="s">
        <v>14</v>
      </c>
      <c r="HI3" s="29" t="s">
        <v>44</v>
      </c>
      <c r="HJ3" s="29" t="s">
        <v>45</v>
      </c>
      <c r="HK3" s="29" t="s">
        <v>22</v>
      </c>
      <c r="HL3" s="29" t="s">
        <v>14</v>
      </c>
      <c r="HM3" s="29" t="s">
        <v>44</v>
      </c>
      <c r="HN3" s="29" t="s">
        <v>45</v>
      </c>
      <c r="HO3" s="30" t="s">
        <v>22</v>
      </c>
      <c r="HP3" s="30" t="s">
        <v>14</v>
      </c>
      <c r="HQ3" s="30" t="s">
        <v>44</v>
      </c>
      <c r="HR3" s="30" t="s">
        <v>45</v>
      </c>
      <c r="HS3" s="10"/>
      <c r="HT3" s="9"/>
      <c r="HU3" s="9"/>
      <c r="HV3" s="10"/>
      <c r="HW3" s="10"/>
      <c r="HX3" s="28" t="s">
        <v>22</v>
      </c>
      <c r="HY3" s="28" t="s">
        <v>14</v>
      </c>
      <c r="HZ3" s="28" t="s">
        <v>44</v>
      </c>
      <c r="IA3" s="28" t="s">
        <v>45</v>
      </c>
      <c r="IB3" s="28" t="s">
        <v>22</v>
      </c>
      <c r="IC3" s="28" t="s">
        <v>14</v>
      </c>
      <c r="ID3" s="28" t="s">
        <v>44</v>
      </c>
      <c r="IE3" s="28" t="s">
        <v>45</v>
      </c>
      <c r="IF3" s="28" t="s">
        <v>22</v>
      </c>
      <c r="IG3" s="28" t="s">
        <v>14</v>
      </c>
      <c r="IH3" s="28" t="s">
        <v>44</v>
      </c>
      <c r="II3" s="28" t="s">
        <v>45</v>
      </c>
      <c r="IJ3" s="31" t="s">
        <v>22</v>
      </c>
      <c r="IK3" s="31" t="s">
        <v>14</v>
      </c>
      <c r="IL3" s="31" t="s">
        <v>44</v>
      </c>
      <c r="IM3" s="31" t="s">
        <v>45</v>
      </c>
      <c r="IN3" s="13"/>
      <c r="IO3" s="12"/>
      <c r="IP3" s="12"/>
      <c r="IQ3" s="13"/>
      <c r="IR3" s="13"/>
      <c r="IS3" s="29" t="s">
        <v>22</v>
      </c>
      <c r="IT3" s="29" t="s">
        <v>14</v>
      </c>
      <c r="IU3" s="29" t="s">
        <v>44</v>
      </c>
      <c r="IV3" s="29" t="s">
        <v>45</v>
      </c>
      <c r="IW3" s="29" t="s">
        <v>22</v>
      </c>
      <c r="IX3" s="29" t="s">
        <v>14</v>
      </c>
      <c r="IY3" s="29" t="s">
        <v>44</v>
      </c>
      <c r="IZ3" s="29" t="s">
        <v>45</v>
      </c>
      <c r="JA3" s="29" t="s">
        <v>22</v>
      </c>
      <c r="JB3" s="29" t="s">
        <v>14</v>
      </c>
      <c r="JC3" s="29" t="s">
        <v>44</v>
      </c>
      <c r="JD3" s="29" t="s">
        <v>45</v>
      </c>
      <c r="JE3" s="30" t="s">
        <v>22</v>
      </c>
      <c r="JF3" s="30" t="s">
        <v>14</v>
      </c>
      <c r="JG3" s="30" t="s">
        <v>44</v>
      </c>
      <c r="JH3" s="30" t="s">
        <v>45</v>
      </c>
      <c r="JI3" s="10"/>
      <c r="JJ3" s="9"/>
      <c r="JK3" s="9"/>
      <c r="JL3" s="10"/>
      <c r="JM3" s="10"/>
      <c r="JN3" s="28" t="s">
        <v>22</v>
      </c>
      <c r="JO3" s="28" t="s">
        <v>14</v>
      </c>
      <c r="JP3" s="28" t="s">
        <v>44</v>
      </c>
      <c r="JQ3" s="28" t="s">
        <v>45</v>
      </c>
      <c r="JR3" s="28" t="s">
        <v>22</v>
      </c>
      <c r="JS3" s="28" t="s">
        <v>14</v>
      </c>
      <c r="JT3" s="28" t="s">
        <v>44</v>
      </c>
      <c r="JU3" s="28" t="s">
        <v>45</v>
      </c>
      <c r="JV3" s="28" t="s">
        <v>22</v>
      </c>
      <c r="JW3" s="28" t="s">
        <v>14</v>
      </c>
      <c r="JX3" s="28" t="s">
        <v>44</v>
      </c>
      <c r="JY3" s="28" t="s">
        <v>45</v>
      </c>
      <c r="JZ3" s="31" t="s">
        <v>22</v>
      </c>
      <c r="KA3" s="31" t="s">
        <v>14</v>
      </c>
      <c r="KB3" s="31" t="s">
        <v>44</v>
      </c>
      <c r="KC3" s="31" t="s">
        <v>45</v>
      </c>
      <c r="KD3" s="13"/>
      <c r="KE3" s="12"/>
      <c r="KF3" s="12"/>
      <c r="KG3" s="13"/>
      <c r="KH3" s="13"/>
      <c r="KI3" s="29" t="s">
        <v>22</v>
      </c>
      <c r="KJ3" s="29" t="s">
        <v>14</v>
      </c>
      <c r="KK3" s="29" t="s">
        <v>44</v>
      </c>
      <c r="KL3" s="29" t="s">
        <v>45</v>
      </c>
      <c r="KM3" s="29" t="s">
        <v>22</v>
      </c>
      <c r="KN3" s="29" t="s">
        <v>14</v>
      </c>
      <c r="KO3" s="29" t="s">
        <v>44</v>
      </c>
      <c r="KP3" s="29" t="s">
        <v>45</v>
      </c>
      <c r="KQ3" s="29" t="s">
        <v>22</v>
      </c>
      <c r="KR3" s="29" t="s">
        <v>14</v>
      </c>
      <c r="KS3" s="29" t="s">
        <v>44</v>
      </c>
      <c r="KT3" s="29" t="s">
        <v>45</v>
      </c>
      <c r="KU3" s="30" t="s">
        <v>22</v>
      </c>
      <c r="KV3" s="30" t="s">
        <v>14</v>
      </c>
      <c r="KW3" s="30" t="s">
        <v>44</v>
      </c>
      <c r="KX3" s="30" t="s">
        <v>45</v>
      </c>
      <c r="KY3" s="10"/>
      <c r="KZ3" s="9"/>
      <c r="LA3" s="9"/>
      <c r="LB3" s="10"/>
      <c r="LC3" s="10"/>
      <c r="LD3" s="28" t="s">
        <v>22</v>
      </c>
      <c r="LE3" s="28" t="s">
        <v>14</v>
      </c>
      <c r="LF3" s="28" t="s">
        <v>44</v>
      </c>
      <c r="LG3" s="28" t="s">
        <v>45</v>
      </c>
      <c r="LH3" s="28" t="s">
        <v>22</v>
      </c>
      <c r="LI3" s="28" t="s">
        <v>14</v>
      </c>
      <c r="LJ3" s="28" t="s">
        <v>44</v>
      </c>
      <c r="LK3" s="28" t="s">
        <v>45</v>
      </c>
      <c r="LL3" s="28" t="s">
        <v>22</v>
      </c>
      <c r="LM3" s="28" t="s">
        <v>14</v>
      </c>
      <c r="LN3" s="28" t="s">
        <v>44</v>
      </c>
      <c r="LO3" s="28" t="s">
        <v>45</v>
      </c>
      <c r="LP3" s="31" t="s">
        <v>22</v>
      </c>
      <c r="LQ3" s="31" t="s">
        <v>14</v>
      </c>
      <c r="LR3" s="31" t="s">
        <v>44</v>
      </c>
      <c r="LS3" s="31" t="s">
        <v>45</v>
      </c>
      <c r="LT3" s="13"/>
      <c r="LU3" s="12"/>
      <c r="LV3" s="12"/>
      <c r="LW3" s="13"/>
      <c r="LX3" s="13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90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IF(AND(F4="P",G4="P"),SUMPRODUCT((F$4:F$9="P")*(G$4:G$9="P")*(E$4:E$9&gt;E4))+1,IF(G4="P",SUMPRODUCT((F$4:F$9="")*(G$4:G$9="P")*(E$4:E$9&gt;E4))+1+SUMPRODUCT((F$4:F$9="P")*(G$4:G$9="P")),""))</f>
        <v>1</v>
      </c>
      <c r="B4" s="6" t="s">
        <v>156</v>
      </c>
      <c r="C4" s="7" t="s">
        <v>5</v>
      </c>
      <c r="D4" s="27">
        <v>2001</v>
      </c>
      <c r="E4" s="15">
        <f>SUM(J4:N4)</f>
        <v>133.80000000000001</v>
      </c>
      <c r="F4" s="3" t="str">
        <f>IF(OR(AND(AH4&gt;=AL$11,AI4&gt;=AL$15,AI4&lt;&gt;"",AG4=""),AND(BD4&gt;=BH$11,BE4&gt;=BH$15,BE4&lt;&gt;"",BC4=""),AND(BZ4&gt;=CD$11,CA4&gt;=CD$15,CA4&lt;&gt;"",BY4=""),AND(CW4&gt;=DA$11,CX4&gt;=DA$15,CX4&lt;&gt;""),AND(DR4&gt;=DV$11,DS4&gt;=DV$15,DS4&lt;&gt;""),AND(EM4&gt;=EQ$11,EN4&gt;=EQ$15,EN4&lt;&gt;""),AND(FH4&gt;=FL$11,FI4&gt;=FL$15,FI4&lt;&gt;""),AND(GC4&gt;=GG$11,GD4&gt;=GG$15,GD4&lt;&gt;""),AND(GX4&gt;=HB$11,GY4&gt;=HB$15,GY4&lt;&gt;""),AND(HS4&gt;=HW$11,HT4&gt;=HW$15,HT4&lt;&gt;""),AND(IN4&gt;=IR$11,IO4&gt;=IR$15,IO4&lt;&gt;""),AND(JI4&gt;=JM$11,JJ4&gt;=JM$15,JJ4&lt;&gt;""),AND(KD4&gt;=KH$11,KE4&gt;=KH$15,KE4&lt;&gt;""),AND(KY4&gt;=LC$11,KZ4&gt;=LC$15,KZ4&lt;&gt;""),AND(LT4&gt;=LX$11,LU4&gt;=LX$15,LU4&lt;&gt;"")),"P","")</f>
        <v>P</v>
      </c>
      <c r="G4" s="3" t="str">
        <f>IF(OR(AND(AI4&gt;=AL$15,AI4&lt;&gt;"",AG4=""),AND(BE4&gt;=BH$15,BE4&lt;&gt;"",BC4=""),AND(CA4&gt;=CD$15,CA4&lt;&gt;"",BY4=""),AND(CX4&gt;=DA$15,CX4&lt;&gt;""),AND(DS4&gt;=DV$15,DS4&lt;&gt;""),AND(EN4&gt;=EQ$15,EN4&lt;&gt;""),AND(FI4&gt;=FL$15,FI4&lt;&gt;""),AND(GD4&gt;=GG$15,GD4&lt;&gt;""),AND(GY4&gt;=HB$15,GY4&lt;&gt;""),AND(HT4&gt;=HW$15,HT4&lt;&gt;""),AND(IO4&gt;=IR$15,IO4&lt;&gt;""),AND(JJ4&gt;=JM$15,JJ4&lt;&gt;""),AND(KE4&gt;=KH$15,KE4&lt;&gt;""),AND(KZ4&gt;=LC$15,KZ4&lt;&gt;""),AND(LU4&gt;=LX$15,LU4&lt;&gt;"")),"P","")</f>
        <v>P</v>
      </c>
      <c r="H4" s="126" t="str">
        <f>IF(AND(G4="P",F4=""),"No DD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Merit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Excellence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Worlds Team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National Team","")))))</f>
        <v>Worlds Team</v>
      </c>
      <c r="I4" s="3" t="str">
        <f>IF(OR(H4="Worlds Team",H4="Excellence",H4="Merit"),"P","")</f>
        <v>P</v>
      </c>
      <c r="J4" s="14">
        <f>MAX(AI4,BE4,CA4)</f>
        <v>66.3</v>
      </c>
      <c r="K4" s="14" t="str">
        <f>IF(J4=0,"",IF(J4=CA4,$BI$1,IF(J4=BE4,$AM$1,IF(J4=AI4,$Q$1,""))))</f>
        <v>2019 Nationals</v>
      </c>
      <c r="L4" s="14">
        <f>MAX(AK4,BG4,CC4)</f>
        <v>67.5</v>
      </c>
      <c r="M4" s="14" t="str">
        <f>IF(L4=0,"",IF(J4=CC4,$BI$1,IF(L4=BG4,$AM$1,IF(L4=AK4,$Q$1,""))))</f>
        <v>2019 Nationals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5">
        <v>23.5</v>
      </c>
      <c r="R4" s="45">
        <v>5.4</v>
      </c>
      <c r="S4" s="45">
        <v>0</v>
      </c>
      <c r="T4" s="45">
        <v>0</v>
      </c>
      <c r="U4" s="45">
        <v>27.1</v>
      </c>
      <c r="V4" s="45">
        <v>6.5</v>
      </c>
      <c r="W4" s="45">
        <v>0</v>
      </c>
      <c r="X4" s="45">
        <v>1</v>
      </c>
      <c r="Y4" s="45">
        <v>24</v>
      </c>
      <c r="Z4" s="45">
        <v>3.5</v>
      </c>
      <c r="AA4" s="45">
        <v>3</v>
      </c>
      <c r="AB4" s="45">
        <v>0</v>
      </c>
      <c r="AC4" s="45">
        <v>27.5</v>
      </c>
      <c r="AD4" s="45">
        <v>6.5</v>
      </c>
      <c r="AE4" s="45">
        <v>0</v>
      </c>
      <c r="AF4" s="45">
        <v>1</v>
      </c>
      <c r="AG4" s="80"/>
      <c r="AH4" s="11">
        <f>IF(SUM(R4,V4)&gt;0,SUM(R4,V4),"")</f>
        <v>11.9</v>
      </c>
      <c r="AI4" s="11">
        <f>IF(SUM(Q4:R4,T4:V4,X4)-S4-W4&gt;0,SUM(Q4:R4,T4:V4,X4)-S4-W4,"")</f>
        <v>63.5</v>
      </c>
      <c r="AJ4" s="11">
        <f>IF(SUM(Z4,AD4)&gt;0,SUM(Z4,AD4),"")</f>
        <v>10</v>
      </c>
      <c r="AK4" s="11">
        <f>IF(SUM(Y4:Z4,AB4:AD4,AF4)-SUM(AA4,AE4)&gt;0,SUM(Y4:Z4,AB4:AD4,AF4)-SUM(AA4,AE4),"")</f>
        <v>59.5</v>
      </c>
      <c r="AL4" s="11">
        <f>IF(SUM(AI4,AK4)&gt;0,SUM(AI4,AK4),"")</f>
        <v>123</v>
      </c>
      <c r="AM4" s="38">
        <v>25.9</v>
      </c>
      <c r="AN4" s="38">
        <v>5.7</v>
      </c>
      <c r="AO4" s="38">
        <v>0.3</v>
      </c>
      <c r="AP4" s="38">
        <v>1</v>
      </c>
      <c r="AQ4" s="38">
        <v>27.9</v>
      </c>
      <c r="AR4" s="38">
        <v>6.1</v>
      </c>
      <c r="AS4" s="38">
        <v>0</v>
      </c>
      <c r="AT4" s="38">
        <v>0</v>
      </c>
      <c r="AU4" s="38">
        <v>26.1</v>
      </c>
      <c r="AV4" s="38">
        <v>7.3</v>
      </c>
      <c r="AW4" s="38">
        <v>0</v>
      </c>
      <c r="AX4" s="38">
        <v>1</v>
      </c>
      <c r="AY4" s="38">
        <v>27</v>
      </c>
      <c r="AZ4" s="38">
        <v>6.1</v>
      </c>
      <c r="BA4" s="38">
        <v>0</v>
      </c>
      <c r="BB4" s="38">
        <v>0</v>
      </c>
      <c r="BC4" s="81"/>
      <c r="BD4" s="14">
        <f>IF(SUM(AN4,AR4)&gt;0,SUM(AN4,AR4),"")</f>
        <v>11.8</v>
      </c>
      <c r="BE4" s="14">
        <f>IF(SUM(AM4:AN4,AP4:AR4,AT4)-AO4-AS4&gt;0,SUM(AM4:AN4,AP4:AR4,AT4)-AO4-AS4,"")</f>
        <v>66.3</v>
      </c>
      <c r="BF4" s="14">
        <f>IF(SUM(AV4,AZ4)&gt;0,SUM(AN4,AR4),"")</f>
        <v>11.8</v>
      </c>
      <c r="BG4" s="14">
        <f>IF(SUM(AU4:AV4,AX4:AZ4,BB4)-SUM(AW4,BA4)&gt;0,SUM(AU4:AV4,AX4:AZ4,BB4)-SUM(AW4,BA4),"")</f>
        <v>67.5</v>
      </c>
      <c r="BH4" s="14">
        <f>IF(SUM(BE4,BG4)&gt;0,SUM(BE4,BG4),"")</f>
        <v>133.80000000000001</v>
      </c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80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>
        <v>25</v>
      </c>
      <c r="CH4" s="37">
        <v>7.3</v>
      </c>
      <c r="CI4" s="37">
        <v>0</v>
      </c>
      <c r="CJ4" s="37">
        <v>0</v>
      </c>
      <c r="CK4" s="37">
        <v>25.9</v>
      </c>
      <c r="CL4" s="37">
        <v>6.5</v>
      </c>
      <c r="CM4" s="37">
        <v>0</v>
      </c>
      <c r="CN4" s="37">
        <v>0</v>
      </c>
      <c r="CO4" s="37"/>
      <c r="CP4" s="37"/>
      <c r="CQ4" s="37"/>
      <c r="CR4" s="37"/>
      <c r="CS4" s="37"/>
      <c r="CT4" s="37"/>
      <c r="CU4" s="37"/>
      <c r="CV4" s="37"/>
      <c r="CW4" s="11">
        <f>IF(SUM(CH4,CL4)&gt;0,SUM(CH4,CL4),"")</f>
        <v>13.8</v>
      </c>
      <c r="CX4" s="11">
        <f>IF(SUM(CG4:CH4,CJ4:CL4,CN4)-CI4-CM4&gt;0,SUM(CG4:CH4,CJ4:CL4,CN4)-CI4-CM4,"")</f>
        <v>64.699999999999989</v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>
        <f>IF(SUM(CX4,CZ4)&gt;0,SUM(CX4,CZ4),"")</f>
        <v>64.699999999999989</v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12.95</v>
      </c>
      <c r="LZ4" s="69">
        <f>IF($BY4="P",BJ4,(BJ4+AN4)/2)</f>
        <v>2.85</v>
      </c>
      <c r="MA4" s="69">
        <f>IF($BY4="P",BK4,(BK4+AO4)/2)</f>
        <v>0.15</v>
      </c>
      <c r="MB4" s="69">
        <f>IF($BY4="P",BL4,(BL4+AP4)/2)</f>
        <v>0.5</v>
      </c>
      <c r="MC4" s="69">
        <f>IF($BY4="P",BM4,(BM4+AQ4)/2)</f>
        <v>13.95</v>
      </c>
      <c r="MD4" s="69">
        <f>IF($BY4="P",BN4,(BN4+AR4)/2)</f>
        <v>3.05</v>
      </c>
      <c r="ME4" s="69">
        <f>IF($BY4="P",BO4,(BO4+AS4)/2)</f>
        <v>0</v>
      </c>
      <c r="MF4" s="69">
        <f>IF($BY4="P",BP4,(BP4+AT4)/2)</f>
        <v>0</v>
      </c>
      <c r="MG4" s="69">
        <f>IF($BY4="P",BQ4,(BQ4+AU4)/2)</f>
        <v>13.05</v>
      </c>
      <c r="MH4" s="69">
        <f>IF($BY4="P",BR4,(BR4+AV4)/2)</f>
        <v>3.65</v>
      </c>
      <c r="MI4" s="69">
        <f>IF($BY4="P",BS4,(BS4+AW4)/2)</f>
        <v>0</v>
      </c>
      <c r="MJ4" s="69">
        <f>IF($BY4="P",BT4,(BT4+AX4)/2)</f>
        <v>0.5</v>
      </c>
      <c r="MK4" s="69">
        <f>IF($BY4="P",BU4,(BU4+AY4)/2)</f>
        <v>13.5</v>
      </c>
      <c r="ML4" s="69">
        <f>IF($BY4="P",BV4,(BV4+AZ4)/2)</f>
        <v>3.05</v>
      </c>
      <c r="MM4" s="69">
        <f>IF($BY4="P",BW4,(BW4+BA4)/2)</f>
        <v>0</v>
      </c>
      <c r="MN4" s="69">
        <f>IF($BY4="P",BX4,(BX4+BB4)/2)</f>
        <v>0</v>
      </c>
      <c r="MO4" s="80" t="s">
        <v>91</v>
      </c>
      <c r="MP4" s="11">
        <f>IF(SUM(LZ4,MD4)&gt;0,SUM(LZ4,MD4),"")</f>
        <v>5.9</v>
      </c>
      <c r="MQ4" s="11">
        <f>IF(SUM(LY4:LZ4,MB4:MD4,MF4)-MA4-ME4&gt;0,SUM(LY4:LZ4,MB4:MD4,MF4)-MA4-ME4,"")</f>
        <v>33.15</v>
      </c>
      <c r="MR4" s="11">
        <f>IF(SUM(MH4,ML4)&gt;0,SUM(MH4,ML4),"")</f>
        <v>6.6999999999999993</v>
      </c>
      <c r="MS4" s="11">
        <f>IF(SUM(MG4:MH4,MJ4:ML4,MN4)-SUM(MI4,MM4)&gt;0,SUM(MG4:MH4,MJ4:ML4,MN4)-SUM(MI4,MM4),"")</f>
        <v>33.75</v>
      </c>
      <c r="MT4" s="11">
        <f>IF(SUM(MQ4,MS4)&gt;0,SUM(MQ4,MS4),"")</f>
        <v>66.900000000000006</v>
      </c>
    </row>
    <row r="5" spans="1:358" x14ac:dyDescent="0.2">
      <c r="A5" s="5">
        <f>IF(AND(F5="P",G5="P"),SUMPRODUCT((F$4:F$9="P")*(G$4:G$9="P")*(E$4:E$9&gt;E5))+1,IF(G5="P",SUMPRODUCT((F$4:F$9="")*(G$4:G$9="P")*(E$4:E$9&gt;E5))+1+SUMPRODUCT((F$4:F$9="P")*(G$4:G$9="P")),""))</f>
        <v>2</v>
      </c>
      <c r="B5" s="8" t="s">
        <v>50</v>
      </c>
      <c r="C5" s="4" t="s">
        <v>5</v>
      </c>
      <c r="D5" s="27">
        <v>1998</v>
      </c>
      <c r="E5" s="15">
        <f>SUM(J5:N5)</f>
        <v>123.15</v>
      </c>
      <c r="F5" s="3" t="str">
        <f>IF(OR(AND(AH5&gt;=AL$11,AI5&gt;=AL$15,AI5&lt;&gt;"",AG5=""),AND(BD5&gt;=BH$11,BE5&gt;=BH$15,BE5&lt;&gt;"",BC5=""),AND(BZ5&gt;=CD$11,CA5&gt;=CD$15,CA5&lt;&gt;"",BY5=""),AND(CW5&gt;=DA$11,CX5&gt;=DA$15,CX5&lt;&gt;""),AND(DR5&gt;=DV$11,DS5&gt;=DV$15,DS5&lt;&gt;""),AND(EM5&gt;=EQ$11,EN5&gt;=EQ$15,EN5&lt;&gt;""),AND(FH5&gt;=FL$11,FI5&gt;=FL$15,FI5&lt;&gt;""),AND(GC5&gt;=GG$11,GD5&gt;=GG$15,GD5&lt;&gt;""),AND(GX5&gt;=HB$11,GY5&gt;=HB$15,GY5&lt;&gt;""),AND(HS5&gt;=HW$11,HT5&gt;=HW$15,HT5&lt;&gt;""),AND(IN5&gt;=IR$11,IO5&gt;=IR$15,IO5&lt;&gt;""),AND(JI5&gt;=JM$11,JJ5&gt;=JM$15,JJ5&lt;&gt;""),AND(KD5&gt;=KH$11,KE5&gt;=KH$15,KE5&lt;&gt;""),AND(KY5&gt;=LC$11,KZ5&gt;=LC$15,KZ5&lt;&gt;""),AND(LT5&gt;=LX$11,LU5&gt;=LX$15,LU5&lt;&gt;"")),"P","")</f>
        <v>P</v>
      </c>
      <c r="G5" s="3" t="str">
        <f>IF(OR(AND(AI5&gt;=AL$15,AI5&lt;&gt;"",AG5=""),AND(BE5&gt;=BH$15,BE5&lt;&gt;"",BC5=""),AND(CA5&gt;=CD$15,CA5&lt;&gt;"",BY5=""),AND(CX5&gt;=DA$15,CX5&lt;&gt;""),AND(DS5&gt;=DV$15,DS5&lt;&gt;""),AND(EN5&gt;=EQ$15,EN5&lt;&gt;""),AND(FI5&gt;=FL$15,FI5&lt;&gt;""),AND(GD5&gt;=GG$15,GD5&lt;&gt;""),AND(GY5&gt;=HB$15,GY5&lt;&gt;""),AND(HT5&gt;=HW$15,HT5&lt;&gt;""),AND(IO5&gt;=IR$15,IO5&lt;&gt;""),AND(JJ5&gt;=JM$15,JJ5&lt;&gt;""),AND(KE5&gt;=KH$15,KE5&lt;&gt;""),AND(KZ5&gt;=LC$15,KZ5&lt;&gt;""),AND(LU5&gt;=LX$15,LU5&lt;&gt;"")),"P","")</f>
        <v>P</v>
      </c>
      <c r="H5" s="126" t="str">
        <f>IF(AND(G5="P",F5=""),"No DD",IF(OR(AND(AI5&gt;=AL$18,AI5&lt;&gt;"",AH5&gt;=AL$14,AH5&lt;&gt;"",AG5=""),AND(BE5&gt;=BH$18,BE5&lt;&gt;"",BD5&gt;=BH$14,BD5&lt;&gt;"",BC5=""),AND(CA5&gt;=CD$18,CA5&lt;&gt;"",BZ5&gt;=CD$14,BZ5&lt;&gt;"",BY5=""),AND(CX5&gt;=DA$18,CX5&lt;&gt;"",CW5&gt;=DA$14,CW5&lt;&gt;""),AND(DS5&gt;=DV$18,DS5&lt;&gt;"",DR5&gt;=DV$14,DR5&lt;&gt;""),AND(EN5&gt;=EQ$18,EN5&lt;&gt;"",EM5&gt;=EQ$14,EM5&lt;&gt;""),AND(FI5&gt;=FL$18,FI5&lt;&gt;"",FH5&gt;=FL$14,FH5&lt;&gt;""),AND(GD5&gt;=GG$18,GD5&lt;&gt;"",GC5&gt;=GG$14,GC5&lt;&gt;""),AND(GY5&gt;=HB$18,GY5&lt;&gt;"",GX5&gt;=HB$14,GX5&lt;&gt;""),AND(HT5&gt;=HW$18,HT5&lt;&gt;"",HS5&gt;=HW$14,HS5&lt;&gt;""),AND(IO5&gt;=IR$18,IO5&lt;&gt;"",IN5&gt;=IR$14,IN5&lt;&gt;""),AND(JJ5&gt;=JM$18,JJ5&lt;&gt;"",JI5&gt;=JM$14,JI5&lt;&gt;""),AND(KE5&gt;=KH$18,KE5&lt;&gt;"",KD5&gt;=KH$14,KD5&lt;&gt;""),AND(KZ5&gt;=LC$18,KZ5&lt;&gt;"",KY5&gt;=LC$14,KY5&lt;&gt;""),AND(LU5&gt;=LX$18,LU5&lt;&gt;"",LT5&gt;=LX$14,LT5&lt;&gt;"")),"Merit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Excellence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Worlds Team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60.699999999999996</v>
      </c>
      <c r="K5" s="14" t="str">
        <f>IF(J5=0,"",IF(J5=CA5,$BI$1,IF(J5=BE5,$AM$1,IF(J5=AI5,$Q$1,""))))</f>
        <v>2019 Nationals</v>
      </c>
      <c r="L5" s="14">
        <f>MAX(AK5,BG5,CC5)</f>
        <v>58.75</v>
      </c>
      <c r="M5" s="14" t="str">
        <f>IF(L5=0,"",IF(J5=CC5,$BI$1,IF(L5=BG5,$AM$1,IF(L5=AK5,$Q$1,""))))</f>
        <v>2019 Nationals</v>
      </c>
      <c r="N5" s="14">
        <f>IF(MAX(CE5:CF5)&gt;0,MAX(CE5:CF5),"")</f>
        <v>3.7000000000000099</v>
      </c>
      <c r="O5" s="25" t="str">
        <f>IF(N5="","",IF(N5=CE5,"(Prelim)",IF(N5=CF5,"(Final)")))</f>
        <v>(Prelim)</v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>2019 World Championships (Nov 29)</v>
      </c>
      <c r="Q5" s="69">
        <v>24.75</v>
      </c>
      <c r="R5" s="69">
        <v>5.8000000000000007</v>
      </c>
      <c r="S5" s="69">
        <v>0</v>
      </c>
      <c r="T5" s="69">
        <v>1</v>
      </c>
      <c r="U5" s="69">
        <v>25.5</v>
      </c>
      <c r="V5" s="69">
        <v>5.3000000000000007</v>
      </c>
      <c r="W5" s="69">
        <v>1.65</v>
      </c>
      <c r="X5" s="69">
        <v>0</v>
      </c>
      <c r="Y5" s="69">
        <v>25.799999999999997</v>
      </c>
      <c r="Z5" s="69">
        <v>4.3</v>
      </c>
      <c r="AA5" s="69">
        <v>0</v>
      </c>
      <c r="AB5" s="69">
        <v>0.5</v>
      </c>
      <c r="AC5" s="69">
        <v>23.45</v>
      </c>
      <c r="AD5" s="69">
        <v>4.2</v>
      </c>
      <c r="AE5" s="69">
        <v>0</v>
      </c>
      <c r="AF5" s="69">
        <v>0.5</v>
      </c>
      <c r="AG5" s="80" t="s">
        <v>91</v>
      </c>
      <c r="AH5" s="11">
        <f>IF(SUM(R5,V5)&gt;0,SUM(R5,V5),"")</f>
        <v>11.100000000000001</v>
      </c>
      <c r="AI5" s="11">
        <f>IF(SUM(Q5:R5,T5:V5,X5)-S5-W5&gt;0,SUM(Q5:R5,T5:V5,X5)-S5-W5,"")</f>
        <v>60.699999999999996</v>
      </c>
      <c r="AJ5" s="11">
        <f>IF(SUM(Z5,AD5)&gt;0,SUM(Z5,AD5),"")</f>
        <v>8.5</v>
      </c>
      <c r="AK5" s="11">
        <f>IF(SUM(Y5:Z5,AB5:AD5,AF5)-SUM(AA5,AE5)&gt;0,SUM(Y5:Z5,AB5:AD5,AF5)-SUM(AA5,AE5),"")</f>
        <v>58.75</v>
      </c>
      <c r="AL5" s="11">
        <f>IF(SUM(AI5,AK5)&gt;0,SUM(AI5,AK5),"")</f>
        <v>119.44999999999999</v>
      </c>
      <c r="AM5" s="38">
        <v>24.75</v>
      </c>
      <c r="AN5" s="38">
        <v>5.8000000000000007</v>
      </c>
      <c r="AO5" s="38">
        <v>0</v>
      </c>
      <c r="AP5" s="38">
        <v>1</v>
      </c>
      <c r="AQ5" s="38">
        <v>25.5</v>
      </c>
      <c r="AR5" s="38">
        <v>5.3000000000000007</v>
      </c>
      <c r="AS5" s="38">
        <v>1.65</v>
      </c>
      <c r="AT5" s="38">
        <v>0</v>
      </c>
      <c r="AU5" s="38">
        <v>25.799999999999997</v>
      </c>
      <c r="AV5" s="38">
        <v>4.3</v>
      </c>
      <c r="AW5" s="38">
        <v>0</v>
      </c>
      <c r="AX5" s="38">
        <v>0.5</v>
      </c>
      <c r="AY5" s="38">
        <v>23.45</v>
      </c>
      <c r="AZ5" s="38">
        <v>4.2</v>
      </c>
      <c r="BA5" s="38">
        <v>0</v>
      </c>
      <c r="BB5" s="38">
        <v>0.5</v>
      </c>
      <c r="BC5" s="81" t="s">
        <v>91</v>
      </c>
      <c r="BD5" s="14">
        <f>IF(SUM(AN5,AR5)&gt;0,SUM(AN5,AR5),"")</f>
        <v>11.100000000000001</v>
      </c>
      <c r="BE5" s="14">
        <f>IF(SUM(AM5:AN5,AP5:AR5,AT5)-AO5-AS5&gt;0,SUM(AM5:AN5,AP5:AR5,AT5)-AO5-AS5,"")</f>
        <v>60.699999999999996</v>
      </c>
      <c r="BF5" s="14">
        <f>IF(SUM(AV5,AZ5)&gt;0,SUM(AN5,AR5),"")</f>
        <v>11.100000000000001</v>
      </c>
      <c r="BG5" s="14">
        <f>IF(SUM(AU5:AV5,AX5:AZ5,BB5)-SUM(AW5,BA5)&gt;0,SUM(AU5:AV5,AX5:AZ5,BB5)-SUM(AW5,BA5),"")</f>
        <v>58.75</v>
      </c>
      <c r="BH5" s="14">
        <f>IF(SUM(BE5,BG5)&gt;0,SUM(BE5,BG5),"")</f>
        <v>119.44999999999999</v>
      </c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80"/>
      <c r="BZ5" s="11" t="str">
        <f>IF(SUM(BJ5,BN5)&gt;0,SUM(BJ5,BN5),"")</f>
        <v/>
      </c>
      <c r="CA5" s="11" t="str">
        <f>IF(SUM(BI5:BJ5,BL5:BN5,BP5)-BK5-BO5&gt;0,SUM(BI5:BJ5,BL5:BN5,BP5)-BK5-BO5,"")</f>
        <v/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 t="str">
        <f>IF(SUM(CA5,CC5)&gt;0,SUM(CA5,CC5),"")</f>
        <v/>
      </c>
      <c r="CE5" s="24">
        <f>IF(MAX(CX5,DS5,EN5,FI5,GD5,GY5,HT5,IO5,JJ5,KE5,KZ5,LU5)-IF(J5="",0,J5)&gt;0.001,MAX(CX5,DS5,EN5,FI5,GD5,GY5,HT5,IO5,JJ5,KE5,KZ5,LU5)-IF(J5="",0,J5),"")</f>
        <v>3.7000000000000099</v>
      </c>
      <c r="CF5" s="24" t="str">
        <f>IF(MAX(CZ5,DU5,EP5,FK5,GF5,HA5,HV5,IQ5,JL5,KG5,LB5,LW5)-IF(L5="",0,L5)&gt;0.001,MAX(CZ5,DU5,EP5,FK5,GF5,HA5,HV5,IQ5,JL5,KG5,LB5,LW5)-IF(L5="",0,L5),"")</f>
        <v/>
      </c>
      <c r="CG5" s="37">
        <v>24.8</v>
      </c>
      <c r="CH5" s="37">
        <v>6.9</v>
      </c>
      <c r="CI5" s="37">
        <v>0</v>
      </c>
      <c r="CJ5" s="37">
        <v>0</v>
      </c>
      <c r="CK5" s="37">
        <v>25.8</v>
      </c>
      <c r="CL5" s="37">
        <v>6.9</v>
      </c>
      <c r="CM5" s="37">
        <v>0</v>
      </c>
      <c r="CN5" s="37">
        <v>0</v>
      </c>
      <c r="CO5" s="37"/>
      <c r="CP5" s="37"/>
      <c r="CQ5" s="37"/>
      <c r="CR5" s="37"/>
      <c r="CS5" s="37"/>
      <c r="CT5" s="37"/>
      <c r="CU5" s="37"/>
      <c r="CV5" s="37"/>
      <c r="CW5" s="11">
        <f>IF(SUM(CH5,CL5)&gt;0,SUM(CH5,CL5),"")</f>
        <v>13.8</v>
      </c>
      <c r="CX5" s="11">
        <f>IF(SUM(CG5:CH5,CJ5:CL5,CN5)-CI5-CM5&gt;0,SUM(CG5:CH5,CJ5:CL5,CN5)-CI5-CM5,"")</f>
        <v>64.400000000000006</v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>
        <f>IF(SUM(CX5,CZ5)&gt;0,SUM(CX5,CZ5),"")</f>
        <v>64.400000000000006</v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/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12.375</v>
      </c>
      <c r="LZ5" s="69">
        <f>IF($BY5="P",BJ5,(BJ5+AN5)/2)</f>
        <v>2.9000000000000004</v>
      </c>
      <c r="MA5" s="69">
        <f>IF($BY5="P",BK5,(BK5+AO5)/2)</f>
        <v>0</v>
      </c>
      <c r="MB5" s="69">
        <f>IF($BY5="P",BL5,(BL5+AP5)/2)</f>
        <v>0.5</v>
      </c>
      <c r="MC5" s="69">
        <f>IF($BY5="P",BM5,(BM5+AQ5)/2)</f>
        <v>12.75</v>
      </c>
      <c r="MD5" s="69">
        <f>IF($BY5="P",BN5,(BN5+AR5)/2)</f>
        <v>2.6500000000000004</v>
      </c>
      <c r="ME5" s="69">
        <f>IF($BY5="P",BO5,(BO5+AS5)/2)</f>
        <v>0.82499999999999996</v>
      </c>
      <c r="MF5" s="69">
        <f>IF($BY5="P",BP5,(BP5+AT5)/2)</f>
        <v>0</v>
      </c>
      <c r="MG5" s="69">
        <f>IF($BY5="P",BQ5,(BQ5+AU5)/2)</f>
        <v>12.899999999999999</v>
      </c>
      <c r="MH5" s="69">
        <f>IF($BY5="P",BR5,(BR5+AV5)/2)</f>
        <v>2.15</v>
      </c>
      <c r="MI5" s="69">
        <f>IF($BY5="P",BS5,(BS5+AW5)/2)</f>
        <v>0</v>
      </c>
      <c r="MJ5" s="69">
        <f>IF($BY5="P",BT5,(BT5+AX5)/2)</f>
        <v>0.25</v>
      </c>
      <c r="MK5" s="69">
        <f>IF($BY5="P",BU5,(BU5+AY5)/2)</f>
        <v>11.725</v>
      </c>
      <c r="ML5" s="69">
        <f>IF($BY5="P",BV5,(BV5+AZ5)/2)</f>
        <v>2.1</v>
      </c>
      <c r="MM5" s="69">
        <f>IF($BY5="P",BW5,(BW5+BA5)/2)</f>
        <v>0</v>
      </c>
      <c r="MN5" s="69">
        <f>IF($BY5="P",BX5,(BX5+BB5)/2)</f>
        <v>0.25</v>
      </c>
      <c r="MO5" s="80" t="s">
        <v>91</v>
      </c>
      <c r="MP5" s="11">
        <f>IF(SUM(LZ5,MD5)&gt;0,SUM(LZ5,MD5),"")</f>
        <v>5.5500000000000007</v>
      </c>
      <c r="MQ5" s="11">
        <f>IF(SUM(LY5:LZ5,MB5:MD5,MF5)-MA5-ME5&gt;0,SUM(LY5:LZ5,MB5:MD5,MF5)-MA5-ME5,"")</f>
        <v>30.349999999999998</v>
      </c>
      <c r="MR5" s="11">
        <f>IF(SUM(MH5,ML5)&gt;0,SUM(MH5,ML5),"")</f>
        <v>4.25</v>
      </c>
      <c r="MS5" s="11">
        <f>IF(SUM(MG5:MH5,MJ5:ML5,MN5)-SUM(MI5,MM5)&gt;0,SUM(MG5:MH5,MJ5:ML5,MN5)-SUM(MI5,MM5),"")</f>
        <v>29.375</v>
      </c>
      <c r="MT5" s="11">
        <f>IF(SUM(MQ5,MS5)&gt;0,SUM(MQ5,MS5),"")</f>
        <v>59.724999999999994</v>
      </c>
    </row>
    <row r="6" spans="1:358" x14ac:dyDescent="0.2">
      <c r="A6" s="5">
        <f>IF(AND(F6="P",G6="P"),SUMPRODUCT((F$4:F$9="P")*(G$4:G$9="P")*(E$4:E$9&gt;E6))+1,IF(G6="P",SUMPRODUCT((F$4:F$9="")*(G$4:G$9="P")*(E$4:E$9&gt;E6))+1+SUMPRODUCT((F$4:F$9="P")*(G$4:G$9="P")),""))</f>
        <v>3</v>
      </c>
      <c r="B6" s="6" t="s">
        <v>203</v>
      </c>
      <c r="C6" s="7" t="s">
        <v>5</v>
      </c>
      <c r="D6" s="27">
        <v>2002</v>
      </c>
      <c r="E6" s="15">
        <f>SUM(J6:N6)</f>
        <v>126.5</v>
      </c>
      <c r="F6" s="3" t="str">
        <f>IF(OR(AND(AH6&gt;=AL$11,AI6&gt;=AL$15,AI6&lt;&gt;"",AG6=""),AND(BD6&gt;=BH$11,BE6&gt;=BH$15,BE6&lt;&gt;"",BC6=""),AND(BZ6&gt;=CD$11,CA6&gt;=CD$15,CA6&lt;&gt;"",BY6=""),AND(CW6&gt;=DA$11,CX6&gt;=DA$15,CX6&lt;&gt;""),AND(DR6&gt;=DV$11,DS6&gt;=DV$15,DS6&lt;&gt;""),AND(EM6&gt;=EQ$11,EN6&gt;=EQ$15,EN6&lt;&gt;""),AND(FH6&gt;=FL$11,FI6&gt;=FL$15,FI6&lt;&gt;""),AND(GC6&gt;=GG$11,GD6&gt;=GG$15,GD6&lt;&gt;""),AND(GX6&gt;=HB$11,GY6&gt;=HB$15,GY6&lt;&gt;""),AND(HS6&gt;=HW$11,HT6&gt;=HW$15,HT6&lt;&gt;""),AND(IN6&gt;=IR$11,IO6&gt;=IR$15,IO6&lt;&gt;""),AND(JI6&gt;=JM$11,JJ6&gt;=JM$15,JJ6&lt;&gt;""),AND(KD6&gt;=KH$11,KE6&gt;=KH$15,KE6&lt;&gt;""),AND(KY6&gt;=LC$11,KZ6&gt;=LC$15,KZ6&lt;&gt;""),AND(LT6&gt;=LX$11,LU6&gt;=LX$15,LU6&lt;&gt;"")),"P","")</f>
        <v/>
      </c>
      <c r="G6" s="3" t="str">
        <f>IF(OR(AND(AI6&gt;=AL$15,AI6&lt;&gt;"",AG6=""),AND(BE6&gt;=BH$15,BE6&lt;&gt;"",BC6=""),AND(CA6&gt;=CD$15,CA6&lt;&gt;"",BY6=""),AND(CX6&gt;=DA$15,CX6&lt;&gt;""),AND(DS6&gt;=DV$15,DS6&lt;&gt;""),AND(EN6&gt;=EQ$15,EN6&lt;&gt;""),AND(FI6&gt;=FL$15,FI6&lt;&gt;""),AND(GD6&gt;=GG$15,GD6&lt;&gt;""),AND(GY6&gt;=HB$15,GY6&lt;&gt;""),AND(HT6&gt;=HW$15,HT6&lt;&gt;""),AND(IO6&gt;=IR$15,IO6&lt;&gt;""),AND(JJ6&gt;=JM$15,JJ6&lt;&gt;""),AND(KE6&gt;=KH$15,KE6&lt;&gt;""),AND(KZ6&gt;=LC$15,KZ6&lt;&gt;""),AND(LU6&gt;=LX$15,LU6&lt;&gt;"")),"P","")</f>
        <v>P</v>
      </c>
      <c r="H6" s="126" t="str">
        <f>IF(AND(G6="P",F6=""),"No DD",IF(OR(AND(AI6&gt;=AL$18,AI6&lt;&gt;"",AH6&gt;=AL$14,AH6&lt;&gt;"",AG6=""),AND(BE6&gt;=BH$18,BE6&lt;&gt;"",BD6&gt;=BH$14,BD6&lt;&gt;"",BC6=""),AND(CA6&gt;=CD$18,CA6&lt;&gt;"",BZ6&gt;=CD$14,BZ6&lt;&gt;"",BY6=""),AND(CX6&gt;=DA$18,CX6&lt;&gt;"",CW6&gt;=DA$14,CW6&lt;&gt;""),AND(DS6&gt;=DV$18,DS6&lt;&gt;"",DR6&gt;=DV$14,DR6&lt;&gt;""),AND(EN6&gt;=EQ$18,EN6&lt;&gt;"",EM6&gt;=EQ$14,EM6&lt;&gt;""),AND(FI6&gt;=FL$18,FI6&lt;&gt;"",FH6&gt;=FL$14,FH6&lt;&gt;""),AND(GD6&gt;=GG$18,GD6&lt;&gt;"",GC6&gt;=GG$14,GC6&lt;&gt;""),AND(GY6&gt;=HB$18,GY6&lt;&gt;"",GX6&gt;=HB$14,GX6&lt;&gt;""),AND(HT6&gt;=HW$18,HT6&lt;&gt;"",HS6&gt;=HW$14,HS6&lt;&gt;""),AND(IO6&gt;=IR$18,IO6&lt;&gt;"",IN6&gt;=IR$14,IN6&lt;&gt;""),AND(JJ6&gt;=JM$18,JJ6&lt;&gt;"",JI6&gt;=JM$14,JI6&lt;&gt;""),AND(KE6&gt;=KH$18,KE6&lt;&gt;"",KD6&gt;=KH$14,KD6&lt;&gt;""),AND(KZ6&gt;=LC$18,KZ6&lt;&gt;"",KY6&gt;=LC$14,KY6&lt;&gt;""),AND(LU6&gt;=LX$18,LU6&lt;&gt;"",LT6&gt;=LX$14,LT6&lt;&gt;"")),"Merit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Excellence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Worlds Team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National Team","")))))</f>
        <v>No DD</v>
      </c>
      <c r="I6" s="3" t="str">
        <f>IF(OR(H6="Worlds Team",H6="Excellence",H6="Merit"),"P","")</f>
        <v/>
      </c>
      <c r="J6" s="14">
        <f>MAX(AI6,BE6,CA6)</f>
        <v>63.199999999999996</v>
      </c>
      <c r="K6" s="14" t="str">
        <f>IF(J6=0,"",IF(J6=CA6,$BI$1,IF(J6=BE6,$AM$1,IF(J6=AI6,$Q$1,""))))</f>
        <v>2019 Nationals</v>
      </c>
      <c r="L6" s="14">
        <f>MAX(AK6,BG6,CC6)</f>
        <v>63.300000000000004</v>
      </c>
      <c r="M6" s="14" t="str">
        <f>IF(L6=0,"",IF(J6=CC6,$BI$1,IF(L6=BG6,$AM$1,IF(L6=AK6,$Q$1,""))))</f>
        <v>2019 Nationals</v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45">
        <v>22.7</v>
      </c>
      <c r="R6" s="45">
        <v>4.8</v>
      </c>
      <c r="S6" s="45">
        <v>0</v>
      </c>
      <c r="T6" s="45">
        <v>0</v>
      </c>
      <c r="U6" s="45">
        <v>26</v>
      </c>
      <c r="V6" s="45">
        <v>4.7</v>
      </c>
      <c r="W6" s="45">
        <v>0</v>
      </c>
      <c r="X6" s="45">
        <v>0</v>
      </c>
      <c r="Y6" s="45">
        <v>25.1</v>
      </c>
      <c r="Z6" s="45">
        <v>5.7</v>
      </c>
      <c r="AA6" s="45">
        <v>0</v>
      </c>
      <c r="AB6" s="45">
        <v>0</v>
      </c>
      <c r="AC6" s="45">
        <v>26.3</v>
      </c>
      <c r="AD6" s="45">
        <v>4.7</v>
      </c>
      <c r="AE6" s="45">
        <v>0</v>
      </c>
      <c r="AF6" s="45">
        <v>0</v>
      </c>
      <c r="AG6" s="80"/>
      <c r="AH6" s="11">
        <f>IF(SUM(R6,V6)&gt;0,SUM(R6,V6),"")</f>
        <v>9.5</v>
      </c>
      <c r="AI6" s="11">
        <f>IF(SUM(Q6:R6,T6:V6,X6)-S6-W6&gt;0,SUM(Q6:R6,T6:V6,X6)-S6-W6,"")</f>
        <v>58.2</v>
      </c>
      <c r="AJ6" s="11">
        <f>IF(SUM(Z6,AD6)&gt;0,SUM(Z6,AD6),"")</f>
        <v>10.4</v>
      </c>
      <c r="AK6" s="11">
        <f>IF(SUM(Y6:Z6,AB6:AD6,AF6)-SUM(AA6,AE6)&gt;0,SUM(Y6:Z6,AB6:AD6,AF6)-SUM(AA6,AE6),"")</f>
        <v>61.800000000000004</v>
      </c>
      <c r="AL6" s="11">
        <f>IF(SUM(AI6,AK6)&gt;0,SUM(AI6,AK6),"")</f>
        <v>120</v>
      </c>
      <c r="AM6" s="38">
        <v>25.8</v>
      </c>
      <c r="AN6" s="38">
        <v>5.5</v>
      </c>
      <c r="AO6" s="38">
        <v>0</v>
      </c>
      <c r="AP6" s="38">
        <v>0</v>
      </c>
      <c r="AQ6" s="38">
        <v>25.5</v>
      </c>
      <c r="AR6" s="38">
        <v>5.4</v>
      </c>
      <c r="AS6" s="38">
        <v>0</v>
      </c>
      <c r="AT6" s="38">
        <v>1</v>
      </c>
      <c r="AU6" s="38">
        <v>25.7</v>
      </c>
      <c r="AV6" s="38">
        <v>5.3</v>
      </c>
      <c r="AW6" s="38">
        <v>0.3</v>
      </c>
      <c r="AX6" s="38">
        <v>0</v>
      </c>
      <c r="AY6" s="38">
        <v>25.5</v>
      </c>
      <c r="AZ6" s="38">
        <v>6.1</v>
      </c>
      <c r="BA6" s="38">
        <v>0</v>
      </c>
      <c r="BB6" s="38">
        <v>1</v>
      </c>
      <c r="BC6" s="81"/>
      <c r="BD6" s="14">
        <f>IF(SUM(AN6,AR6)&gt;0,SUM(AN6,AR6),"")</f>
        <v>10.9</v>
      </c>
      <c r="BE6" s="14">
        <f>IF(SUM(AM6:AN6,AP6:AR6,AT6)-AO6-AS6&gt;0,SUM(AM6:AN6,AP6:AR6,AT6)-AO6-AS6,"")</f>
        <v>63.199999999999996</v>
      </c>
      <c r="BF6" s="14">
        <f>IF(SUM(AV6,AZ6)&gt;0,SUM(AN6,AR6),"")</f>
        <v>10.9</v>
      </c>
      <c r="BG6" s="14">
        <f>IF(SUM(AU6:AV6,AX6:AZ6,BB6)-SUM(AW6,BA6)&gt;0,SUM(AU6:AV6,AX6:AZ6,BB6)-SUM(AW6,BA6),"")</f>
        <v>63.300000000000004</v>
      </c>
      <c r="BH6" s="14">
        <f>IF(SUM(BE6,BG6)&gt;0,SUM(BE6,BG6),"")</f>
        <v>126.5</v>
      </c>
      <c r="BI6" s="45">
        <v>23.1</v>
      </c>
      <c r="BJ6" s="45">
        <v>4.4000000000000004</v>
      </c>
      <c r="BK6" s="45">
        <v>0.6</v>
      </c>
      <c r="BL6" s="45">
        <v>0</v>
      </c>
      <c r="BM6" s="45">
        <v>26.2</v>
      </c>
      <c r="BN6" s="45">
        <v>6.1</v>
      </c>
      <c r="BO6" s="45">
        <v>0</v>
      </c>
      <c r="BP6" s="45">
        <v>0</v>
      </c>
      <c r="BQ6" s="45">
        <v>22.6</v>
      </c>
      <c r="BR6" s="45">
        <v>5.6</v>
      </c>
      <c r="BS6" s="45">
        <v>0.3</v>
      </c>
      <c r="BT6" s="45">
        <v>0</v>
      </c>
      <c r="BU6" s="45">
        <v>24.8</v>
      </c>
      <c r="BV6" s="45">
        <v>5.9</v>
      </c>
      <c r="BW6" s="45">
        <v>0</v>
      </c>
      <c r="BX6" s="45">
        <v>0</v>
      </c>
      <c r="BY6" s="80"/>
      <c r="BZ6" s="11">
        <f>IF(SUM(BJ6,BN6)&gt;0,SUM(BJ6,BN6),"")</f>
        <v>10.5</v>
      </c>
      <c r="CA6" s="11">
        <f>IF(SUM(BI6:BJ6,BL6:BN6,BP6)-BK6-BO6&gt;0,SUM(BI6:BJ6,BL6:BN6,BP6)-BK6-BO6,"")</f>
        <v>59.2</v>
      </c>
      <c r="CB6" s="11">
        <f>IF(SUM(BR6,BV6)&gt;0,SUM(BR6,BV6),"")</f>
        <v>11.5</v>
      </c>
      <c r="CC6" s="11">
        <f>IF(SUM(BQ6:BR6,BT6:BV6,BX6)-SUM(BS6,BW6)&gt;0,SUM(BQ6:BR6,BT6:BV6,BX6)-SUM(BS6,BW6),"")</f>
        <v>58.6</v>
      </c>
      <c r="CD6" s="11">
        <f>IF(SUM(CA6,CC6)&gt;0,SUM(CA6,CC6),"")</f>
        <v>117.80000000000001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>
        <v>26.6</v>
      </c>
      <c r="DC6" s="38">
        <v>5.8</v>
      </c>
      <c r="DD6" s="38">
        <v>0</v>
      </c>
      <c r="DE6" s="38">
        <v>0</v>
      </c>
      <c r="DF6" s="38">
        <v>24.6</v>
      </c>
      <c r="DG6" s="38">
        <v>5.4</v>
      </c>
      <c r="DH6" s="38">
        <v>0</v>
      </c>
      <c r="DI6" s="38">
        <v>0</v>
      </c>
      <c r="DJ6" s="38"/>
      <c r="DK6" s="38"/>
      <c r="DL6" s="38"/>
      <c r="DM6" s="38"/>
      <c r="DN6" s="38"/>
      <c r="DO6" s="38"/>
      <c r="DP6" s="38"/>
      <c r="DQ6" s="38"/>
      <c r="DR6" s="14">
        <f>IF(SUM(DC6,DG6)&gt;0,SUM(DC6,DG6),"")</f>
        <v>11.2</v>
      </c>
      <c r="DS6" s="14">
        <f>IF(SUM(DB6:DC6,DE6:DG6,DI6)-DD6-DH6&gt;0,SUM(DB6:DC6,DE6:DG6,DI6)-DD6-DH6,"")</f>
        <v>62.4</v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>
        <f>IF(SUM(DS6,DU6)&gt;0,SUM(DS6,DU6),"")</f>
        <v>62.4</v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/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24.450000000000003</v>
      </c>
      <c r="LZ6" s="69">
        <f>IF($BY6="P",BJ6,(BJ6+AN6)/2)</f>
        <v>4.95</v>
      </c>
      <c r="MA6" s="69">
        <f>IF($BY6="P",BK6,(BK6+AO6)/2)</f>
        <v>0.3</v>
      </c>
      <c r="MB6" s="69">
        <f>IF($BY6="P",BL6,(BL6+AP6)/2)</f>
        <v>0</v>
      </c>
      <c r="MC6" s="69">
        <f>IF($BY6="P",BM6,(BM6+AQ6)/2)</f>
        <v>25.85</v>
      </c>
      <c r="MD6" s="69">
        <f>IF($BY6="P",BN6,(BN6+AR6)/2)</f>
        <v>5.75</v>
      </c>
      <c r="ME6" s="69">
        <f>IF($BY6="P",BO6,(BO6+AS6)/2)</f>
        <v>0</v>
      </c>
      <c r="MF6" s="69">
        <f>IF($BY6="P",BP6,(BP6+AT6)/2)</f>
        <v>0.5</v>
      </c>
      <c r="MG6" s="69">
        <f>IF($BY6="P",BQ6,(BQ6+AU6)/2)</f>
        <v>24.15</v>
      </c>
      <c r="MH6" s="69">
        <f>IF($BY6="P",BR6,(BR6+AV6)/2)</f>
        <v>5.4499999999999993</v>
      </c>
      <c r="MI6" s="69">
        <f>IF($BY6="P",BS6,(BS6+AW6)/2)</f>
        <v>0.3</v>
      </c>
      <c r="MJ6" s="69">
        <f>IF($BY6="P",BT6,(BT6+AX6)/2)</f>
        <v>0</v>
      </c>
      <c r="MK6" s="69">
        <f>IF($BY6="P",BU6,(BU6+AY6)/2)</f>
        <v>25.15</v>
      </c>
      <c r="ML6" s="69">
        <f>IF($BY6="P",BV6,(BV6+AZ6)/2)</f>
        <v>6</v>
      </c>
      <c r="MM6" s="69">
        <f>IF($BY6="P",BW6,(BW6+BA6)/2)</f>
        <v>0</v>
      </c>
      <c r="MN6" s="69">
        <f>IF($BY6="P",BX6,(BX6+BB6)/2)</f>
        <v>0.5</v>
      </c>
      <c r="MO6" s="80" t="s">
        <v>91</v>
      </c>
      <c r="MP6" s="11">
        <f>IF(SUM(LZ6,MD6)&gt;0,SUM(LZ6,MD6),"")</f>
        <v>10.7</v>
      </c>
      <c r="MQ6" s="11">
        <f>IF(SUM(LY6:LZ6,MB6:MD6,MF6)-MA6-ME6&gt;0,SUM(LY6:LZ6,MB6:MD6,MF6)-MA6-ME6,"")</f>
        <v>61.2</v>
      </c>
      <c r="MR6" s="11">
        <f>IF(SUM(MH6,ML6)&gt;0,SUM(MH6,ML6),"")</f>
        <v>11.45</v>
      </c>
      <c r="MS6" s="11">
        <f>IF(SUM(MG6:MH6,MJ6:ML6,MN6)-SUM(MI6,MM6)&gt;0,SUM(MG6:MH6,MJ6:ML6,MN6)-SUM(MI6,MM6),"")</f>
        <v>60.95</v>
      </c>
      <c r="MT6" s="11">
        <f>IF(SUM(MQ6,MS6)&gt;0,SUM(MQ6,MS6),"")</f>
        <v>122.15</v>
      </c>
    </row>
    <row r="7" spans="1:358" x14ac:dyDescent="0.2">
      <c r="A7" s="5" t="str">
        <f>IF(AND(F7="P",G7="P"),SUMPRODUCT((F$4:F$9="P")*(G$4:G$9="P")*(E$4:E$9&gt;E7))+1,IF(G7="P",SUMPRODUCT((F$4:F$9="")*(G$4:G$9="P")*(E$4:E$9&gt;E7))+1+SUMPRODUCT((F$4:F$9="P")*(G$4:G$9="P")),""))</f>
        <v/>
      </c>
      <c r="B7" s="8" t="s">
        <v>87</v>
      </c>
      <c r="C7" s="4" t="s">
        <v>3</v>
      </c>
      <c r="D7" s="27">
        <v>1996</v>
      </c>
      <c r="E7" s="15">
        <f>SUM(J7:N7)</f>
        <v>123.79999999999998</v>
      </c>
      <c r="F7" s="3" t="str">
        <f>IF(OR(AND(AH7&gt;=AL$11,AI7&gt;=AL$15,AI7&lt;&gt;"",AG7=""),AND(BD7&gt;=BH$11,BE7&gt;=BH$15,BE7&lt;&gt;"",BC7=""),AND(BZ7&gt;=CD$11,CA7&gt;=CD$15,CA7&lt;&gt;"",BY7=""),AND(CW7&gt;=DA$11,CX7&gt;=DA$15,CX7&lt;&gt;""),AND(DR7&gt;=DV$11,DS7&gt;=DV$15,DS7&lt;&gt;""),AND(EM7&gt;=EQ$11,EN7&gt;=EQ$15,EN7&lt;&gt;""),AND(FH7&gt;=FL$11,FI7&gt;=FL$15,FI7&lt;&gt;""),AND(GC7&gt;=GG$11,GD7&gt;=GG$15,GD7&lt;&gt;""),AND(GX7&gt;=HB$11,GY7&gt;=HB$15,GY7&lt;&gt;""),AND(HS7&gt;=HW$11,HT7&gt;=HW$15,HT7&lt;&gt;""),AND(IN7&gt;=IR$11,IO7&gt;=IR$15,IO7&lt;&gt;""),AND(JI7&gt;=JM$11,JJ7&gt;=JM$15,JJ7&lt;&gt;""),AND(KD7&gt;=KH$11,KE7&gt;=KH$15,KE7&lt;&gt;""),AND(KY7&gt;=LC$11,KZ7&gt;=LC$15,KZ7&lt;&gt;""),AND(LT7&gt;=LX$11,LU7&gt;=LX$15,LU7&lt;&gt;"")),"P","")</f>
        <v/>
      </c>
      <c r="G7" s="3" t="str">
        <f>IF(OR(AND(AI7&gt;=AL$15,AI7&lt;&gt;"",AG7=""),AND(BE7&gt;=BH$15,BE7&lt;&gt;"",BC7=""),AND(CA7&gt;=CD$15,CA7&lt;&gt;"",BY7=""),AND(CX7&gt;=DA$15,CX7&lt;&gt;""),AND(DS7&gt;=DV$15,DS7&lt;&gt;""),AND(EN7&gt;=EQ$15,EN7&lt;&gt;""),AND(FI7&gt;=FL$15,FI7&lt;&gt;""),AND(GD7&gt;=GG$15,GD7&lt;&gt;""),AND(GY7&gt;=HB$15,GY7&lt;&gt;""),AND(HT7&gt;=HW$15,HT7&lt;&gt;""),AND(IO7&gt;=IR$15,IO7&lt;&gt;""),AND(JJ7&gt;=JM$15,JJ7&lt;&gt;""),AND(KE7&gt;=KH$15,KE7&lt;&gt;""),AND(KZ7&gt;=LC$15,KZ7&lt;&gt;""),AND(LU7&gt;=LX$15,LU7&lt;&gt;"")),"P","")</f>
        <v/>
      </c>
      <c r="H7" s="126" t="str">
        <f>IF(AND(G7="P",F7=""),"No DD",IF(OR(AND(AI7&gt;=AL$18,AI7&lt;&gt;"",AH7&gt;=AL$14,AH7&lt;&gt;"",AG7=""),AND(BE7&gt;=BH$18,BE7&lt;&gt;"",BD7&gt;=BH$14,BD7&lt;&gt;"",BC7=""),AND(CA7&gt;=CD$18,CA7&lt;&gt;"",BZ7&gt;=CD$14,BZ7&lt;&gt;"",BY7=""),AND(CX7&gt;=DA$18,CX7&lt;&gt;"",CW7&gt;=DA$14,CW7&lt;&gt;""),AND(DS7&gt;=DV$18,DS7&lt;&gt;"",DR7&gt;=DV$14,DR7&lt;&gt;""),AND(EN7&gt;=EQ$18,EN7&lt;&gt;"",EM7&gt;=EQ$14,EM7&lt;&gt;""),AND(FI7&gt;=FL$18,FI7&lt;&gt;"",FH7&gt;=FL$14,FH7&lt;&gt;""),AND(GD7&gt;=GG$18,GD7&lt;&gt;"",GC7&gt;=GG$14,GC7&lt;&gt;""),AND(GY7&gt;=HB$18,GY7&lt;&gt;"",GX7&gt;=HB$14,GX7&lt;&gt;""),AND(HT7&gt;=HW$18,HT7&lt;&gt;"",HS7&gt;=HW$14,HS7&lt;&gt;""),AND(IO7&gt;=IR$18,IO7&lt;&gt;"",IN7&gt;=IR$14,IN7&lt;&gt;""),AND(JJ7&gt;=JM$18,JJ7&lt;&gt;"",JI7&gt;=JM$14,JI7&lt;&gt;""),AND(KE7&gt;=KH$18,KE7&lt;&gt;"",KD7&gt;=KH$14,KD7&lt;&gt;""),AND(KZ7&gt;=LC$18,KZ7&lt;&gt;"",KY7&gt;=LC$14,KY7&lt;&gt;""),AND(LU7&gt;=LX$18,LU7&lt;&gt;"",LT7&gt;=LX$14,LT7&lt;&gt;"")),"Merit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Excellence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Worlds Team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National Team","")))))</f>
        <v/>
      </c>
      <c r="I7" s="3" t="str">
        <f>IF(OR(H7="Worlds Team",H7="Excellence",H7="Merit"),"P","")</f>
        <v/>
      </c>
      <c r="J7" s="14">
        <f>MAX(AI7,BE7,CA7)</f>
        <v>61.899999999999991</v>
      </c>
      <c r="K7" s="14" t="str">
        <f>IF(J7=0,"",IF(J7=CA7,$BI$1,IF(J7=BE7,$AM$1,IF(J7=AI7,$Q$1,""))))</f>
        <v>2019 Nationals</v>
      </c>
      <c r="L7" s="14">
        <f>MAX(AK7,BG7,CC7)</f>
        <v>61.9</v>
      </c>
      <c r="M7" s="14" t="str">
        <f>IF(L7=0,"",IF(J7=CC7,$BI$1,IF(L7=BG7,$AM$1,IF(L7=AK7,$Q$1,""))))</f>
        <v>2019 Nationals</v>
      </c>
      <c r="N7" s="14" t="str">
        <f>IF(MAX(CE7:CF7)&gt;0,MAX(CE7:CF7),"")</f>
        <v/>
      </c>
      <c r="O7" s="25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69">
        <v>25</v>
      </c>
      <c r="R7" s="69">
        <v>5.4</v>
      </c>
      <c r="S7" s="69">
        <v>0.1</v>
      </c>
      <c r="T7" s="69">
        <v>0</v>
      </c>
      <c r="U7" s="69">
        <v>22.9</v>
      </c>
      <c r="V7" s="69">
        <v>3.3</v>
      </c>
      <c r="W7" s="69">
        <v>0</v>
      </c>
      <c r="X7" s="69">
        <v>0</v>
      </c>
      <c r="Y7" s="69">
        <v>24.7</v>
      </c>
      <c r="Z7" s="69">
        <v>6.2</v>
      </c>
      <c r="AA7" s="69">
        <v>0</v>
      </c>
      <c r="AB7" s="69">
        <v>0</v>
      </c>
      <c r="AC7" s="69">
        <v>23.7</v>
      </c>
      <c r="AD7" s="69">
        <v>5.9</v>
      </c>
      <c r="AE7" s="69">
        <v>0</v>
      </c>
      <c r="AF7" s="69">
        <v>0</v>
      </c>
      <c r="AG7" s="80"/>
      <c r="AH7" s="11">
        <f>IF(SUM(R7,V7)&gt;0,SUM(R7,V7),"")</f>
        <v>8.6999999999999993</v>
      </c>
      <c r="AI7" s="11">
        <f>IF(SUM(Q7:R7,T7:V7,X7)-S7-W7&gt;0,SUM(Q7:R7,T7:V7,X7)-S7-W7,"")</f>
        <v>56.499999999999993</v>
      </c>
      <c r="AJ7" s="11">
        <f>IF(SUM(Z7,AD7)&gt;0,SUM(Z7,AD7),"")</f>
        <v>12.100000000000001</v>
      </c>
      <c r="AK7" s="11">
        <f>IF(SUM(Y7:Z7,AB7:AD7,AF7)-SUM(AA7,AE7)&gt;0,SUM(Y7:Z7,AB7:AD7,AF7)-SUM(AA7,AE7),"")</f>
        <v>60.499999999999993</v>
      </c>
      <c r="AL7" s="11">
        <f>IF(SUM(AI7,AK7)&gt;0,SUM(AI7,AK7),"")</f>
        <v>116.99999999999999</v>
      </c>
      <c r="AM7" s="38">
        <v>25.9</v>
      </c>
      <c r="AN7" s="38">
        <v>5.4</v>
      </c>
      <c r="AO7" s="38">
        <v>0.1</v>
      </c>
      <c r="AP7" s="38">
        <v>0</v>
      </c>
      <c r="AQ7" s="38">
        <v>24.8</v>
      </c>
      <c r="AR7" s="38">
        <v>5.9</v>
      </c>
      <c r="AS7" s="38">
        <v>0</v>
      </c>
      <c r="AT7" s="38">
        <v>0</v>
      </c>
      <c r="AU7" s="38">
        <v>25.3</v>
      </c>
      <c r="AV7" s="38">
        <v>6.2</v>
      </c>
      <c r="AW7" s="38">
        <v>0</v>
      </c>
      <c r="AX7" s="38">
        <v>0</v>
      </c>
      <c r="AY7" s="38">
        <v>24.5</v>
      </c>
      <c r="AZ7" s="38">
        <v>5.9</v>
      </c>
      <c r="BA7" s="38">
        <v>0</v>
      </c>
      <c r="BB7" s="38">
        <v>0</v>
      </c>
      <c r="BC7" s="81"/>
      <c r="BD7" s="14">
        <f>IF(SUM(AN7,AR7)&gt;0,SUM(AN7,AR7),"")</f>
        <v>11.3</v>
      </c>
      <c r="BE7" s="14">
        <f>IF(SUM(AM7:AN7,AP7:AR7,AT7)-AO7-AS7&gt;0,SUM(AM7:AN7,AP7:AR7,AT7)-AO7-AS7,"")</f>
        <v>61.899999999999991</v>
      </c>
      <c r="BF7" s="14">
        <f>IF(SUM(AV7,AZ7)&gt;0,SUM(AN7,AR7),"")</f>
        <v>11.3</v>
      </c>
      <c r="BG7" s="14">
        <f>IF(SUM(AU7:AV7,AX7:AZ7,BB7)-SUM(AW7,BA7)&gt;0,SUM(AU7:AV7,AX7:AZ7,BB7)-SUM(AW7,BA7),"")</f>
        <v>61.9</v>
      </c>
      <c r="BH7" s="14">
        <f>IF(SUM(BE7,BG7)&gt;0,SUM(BE7,BG7),"")</f>
        <v>123.79999999999998</v>
      </c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80"/>
      <c r="BZ7" s="11" t="str">
        <f>IF(SUM(BJ7,BN7)&gt;0,SUM(BJ7,BN7),"")</f>
        <v/>
      </c>
      <c r="CA7" s="11" t="str">
        <f>IF(SUM(BI7:BJ7,BL7:BN7,BP7)-BK7-BO7&gt;0,SUM(BI7:BJ7,BL7:BN7,BP7)-BK7-BO7,"")</f>
        <v/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 t="str">
        <f>IF(SUM(CA7,CC7)&gt;0,SUM(CA7,CC7),"")</f>
        <v/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IF(MAX(CZ7,DU7,EP7,FK7,GF7,HA7,HV7,IQ7,JL7,KG7,LB7,LW7)-IF(L7="",0,L7)&gt;0.001,MAX(CZ7,DU7,EP7,FK7,GF7,HA7,HV7,IQ7,JL7,KG7,LB7,LW7)-IF(L7="",0,L7),"")</f>
        <v/>
      </c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/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12.95</v>
      </c>
      <c r="LZ7" s="69">
        <f>IF($BY7="P",BJ7,(BJ7+AN7)/2)</f>
        <v>2.7</v>
      </c>
      <c r="MA7" s="69">
        <f>IF($BY7="P",BK7,(BK7+AO7)/2)</f>
        <v>0.05</v>
      </c>
      <c r="MB7" s="69">
        <f>IF($BY7="P",BL7,(BL7+AP7)/2)</f>
        <v>0</v>
      </c>
      <c r="MC7" s="69">
        <f>IF($BY7="P",BM7,(BM7+AQ7)/2)</f>
        <v>12.4</v>
      </c>
      <c r="MD7" s="69">
        <f>IF($BY7="P",BN7,(BN7+AR7)/2)</f>
        <v>2.95</v>
      </c>
      <c r="ME7" s="69">
        <f>IF($BY7="P",BO7,(BO7+AS7)/2)</f>
        <v>0</v>
      </c>
      <c r="MF7" s="69">
        <f>IF($BY7="P",BP7,(BP7+AT7)/2)</f>
        <v>0</v>
      </c>
      <c r="MG7" s="69">
        <f>IF($BY7="P",BQ7,(BQ7+AU7)/2)</f>
        <v>12.65</v>
      </c>
      <c r="MH7" s="69">
        <f>IF($BY7="P",BR7,(BR7+AV7)/2)</f>
        <v>3.1</v>
      </c>
      <c r="MI7" s="69">
        <f>IF($BY7="P",BS7,(BS7+AW7)/2)</f>
        <v>0</v>
      </c>
      <c r="MJ7" s="69">
        <f>IF($BY7="P",BT7,(BT7+AX7)/2)</f>
        <v>0</v>
      </c>
      <c r="MK7" s="69">
        <f>IF($BY7="P",BU7,(BU7+AY7)/2)</f>
        <v>12.25</v>
      </c>
      <c r="ML7" s="69">
        <f>IF($BY7="P",BV7,(BV7+AZ7)/2)</f>
        <v>2.95</v>
      </c>
      <c r="MM7" s="69">
        <f>IF($BY7="P",BW7,(BW7+BA7)/2)</f>
        <v>0</v>
      </c>
      <c r="MN7" s="69">
        <f>IF($BY7="P",BX7,(BX7+BB7)/2)</f>
        <v>0</v>
      </c>
      <c r="MO7" s="80" t="s">
        <v>91</v>
      </c>
      <c r="MP7" s="11">
        <f>IF(SUM(LZ7,MD7)&gt;0,SUM(LZ7,MD7),"")</f>
        <v>5.65</v>
      </c>
      <c r="MQ7" s="11">
        <f>IF(SUM(LY7:LZ7,MB7:MD7,MF7)-MA7-ME7&gt;0,SUM(LY7:LZ7,MB7:MD7,MF7)-MA7-ME7,"")</f>
        <v>30.949999999999996</v>
      </c>
      <c r="MR7" s="11">
        <f>IF(SUM(MH7,ML7)&gt;0,SUM(MH7,ML7),"")</f>
        <v>6.0500000000000007</v>
      </c>
      <c r="MS7" s="11">
        <f>IF(SUM(MG7:MH7,MJ7:ML7,MN7)-SUM(MI7,MM7)&gt;0,SUM(MG7:MH7,MJ7:ML7,MN7)-SUM(MI7,MM7),"")</f>
        <v>30.95</v>
      </c>
      <c r="MT7" s="11">
        <f>IF(SUM(MQ7,MS7)&gt;0,SUM(MQ7,MS7),"")</f>
        <v>61.899999999999991</v>
      </c>
    </row>
    <row r="8" spans="1:358" x14ac:dyDescent="0.2">
      <c r="A8" s="5" t="str">
        <f>IF(AND(F8="P",G8="P"),SUMPRODUCT((F$4:F$9="P")*(G$4:G$9="P")*(E$4:E$9&gt;E8))+1,IF(G8="P",SUMPRODUCT((F$4:F$9="")*(G$4:G$9="P")*(E$4:E$9&gt;E8))+1+SUMPRODUCT((F$4:F$9="P")*(G$4:G$9="P")),""))</f>
        <v/>
      </c>
      <c r="B8" s="6" t="s">
        <v>53</v>
      </c>
      <c r="C8" s="7" t="s">
        <v>5</v>
      </c>
      <c r="D8" s="27">
        <v>1997</v>
      </c>
      <c r="E8" s="15">
        <f>SUM(J8:N8)</f>
        <v>117.20000000000002</v>
      </c>
      <c r="F8" s="3" t="str">
        <f>IF(OR(AND(AH8&gt;=AL$11,AI8&gt;=AL$15,AI8&lt;&gt;"",AG8=""),AND(BD8&gt;=BH$11,BE8&gt;=BH$15,BE8&lt;&gt;"",BC8=""),AND(BZ8&gt;=CD$11,CA8&gt;=CD$15,CA8&lt;&gt;"",BY8=""),AND(CW8&gt;=DA$11,CX8&gt;=DA$15,CX8&lt;&gt;""),AND(DR8&gt;=DV$11,DS8&gt;=DV$15,DS8&lt;&gt;""),AND(EM8&gt;=EQ$11,EN8&gt;=EQ$15,EN8&lt;&gt;""),AND(FH8&gt;=FL$11,FI8&gt;=FL$15,FI8&lt;&gt;""),AND(GC8&gt;=GG$11,GD8&gt;=GG$15,GD8&lt;&gt;""),AND(GX8&gt;=HB$11,GY8&gt;=HB$15,GY8&lt;&gt;""),AND(HS8&gt;=HW$11,HT8&gt;=HW$15,HT8&lt;&gt;""),AND(IN8&gt;=IR$11,IO8&gt;=IR$15,IO8&lt;&gt;""),AND(JI8&gt;=JM$11,JJ8&gt;=JM$15,JJ8&lt;&gt;""),AND(KD8&gt;=KH$11,KE8&gt;=KH$15,KE8&lt;&gt;""),AND(KY8&gt;=LC$11,KZ8&gt;=LC$15,KZ8&lt;&gt;""),AND(LT8&gt;=LX$11,LU8&gt;=LX$15,LU8&lt;&gt;"")),"P","")</f>
        <v/>
      </c>
      <c r="G8" s="3" t="str">
        <f>IF(OR(AND(AI8&gt;=AL$15,AI8&lt;&gt;"",AG8=""),AND(BE8&gt;=BH$15,BE8&lt;&gt;"",BC8=""),AND(CA8&gt;=CD$15,CA8&lt;&gt;"",BY8=""),AND(CX8&gt;=DA$15,CX8&lt;&gt;""),AND(DS8&gt;=DV$15,DS8&lt;&gt;""),AND(EN8&gt;=EQ$15,EN8&lt;&gt;""),AND(FI8&gt;=FL$15,FI8&lt;&gt;""),AND(GD8&gt;=GG$15,GD8&lt;&gt;""),AND(GY8&gt;=HB$15,GY8&lt;&gt;""),AND(HT8&gt;=HW$15,HT8&lt;&gt;""),AND(IO8&gt;=IR$15,IO8&lt;&gt;""),AND(JJ8&gt;=JM$15,JJ8&lt;&gt;""),AND(KE8&gt;=KH$15,KE8&lt;&gt;""),AND(KZ8&gt;=LC$15,KZ8&lt;&gt;""),AND(LU8&gt;=LX$15,LU8&lt;&gt;"")),"P","")</f>
        <v/>
      </c>
      <c r="H8" s="126" t="str">
        <f>IF(AND(G8="P",F8=""),"No DD",IF(OR(AND(AI8&gt;=AL$18,AI8&lt;&gt;"",AH8&gt;=AL$14,AH8&lt;&gt;"",AG8=""),AND(BE8&gt;=BH$18,BE8&lt;&gt;"",BD8&gt;=BH$14,BD8&lt;&gt;"",BC8=""),AND(CA8&gt;=CD$18,CA8&lt;&gt;"",BZ8&gt;=CD$14,BZ8&lt;&gt;"",BY8=""),AND(CX8&gt;=DA$18,CX8&lt;&gt;"",CW8&gt;=DA$14,CW8&lt;&gt;""),AND(DS8&gt;=DV$18,DS8&lt;&gt;"",DR8&gt;=DV$14,DR8&lt;&gt;""),AND(EN8&gt;=EQ$18,EN8&lt;&gt;"",EM8&gt;=EQ$14,EM8&lt;&gt;""),AND(FI8&gt;=FL$18,FI8&lt;&gt;"",FH8&gt;=FL$14,FH8&lt;&gt;""),AND(GD8&gt;=GG$18,GD8&lt;&gt;"",GC8&gt;=GG$14,GC8&lt;&gt;""),AND(GY8&gt;=HB$18,GY8&lt;&gt;"",GX8&gt;=HB$14,GX8&lt;&gt;""),AND(HT8&gt;=HW$18,HT8&lt;&gt;"",HS8&gt;=HW$14,HS8&lt;&gt;""),AND(IO8&gt;=IR$18,IO8&lt;&gt;"",IN8&gt;=IR$14,IN8&lt;&gt;""),AND(JJ8&gt;=JM$18,JJ8&lt;&gt;"",JI8&gt;=JM$14,JI8&lt;&gt;""),AND(KE8&gt;=KH$18,KE8&lt;&gt;"",KD8&gt;=KH$14,KD8&lt;&gt;""),AND(KZ8&gt;=LC$18,KZ8&lt;&gt;"",KY8&gt;=LC$14,KY8&lt;&gt;""),AND(LU8&gt;=LX$18,LU8&lt;&gt;"",LT8&gt;=LX$14,LT8&lt;&gt;"")),"Merit",IF(OR(AND(AI8&gt;=AL$17,AI8&lt;&gt;"",AH8&gt;=AL$13,AH8&lt;&gt;"",AG8=""),AND(BE8&gt;=BH$17,BE8&lt;&gt;"",BD8&gt;=BH$13,BD8&lt;&gt;"",BC8=""),AND(CA8&gt;=CD$17,CA8&lt;&gt;"",BZ8&gt;=CD$13,BZ8&lt;&gt;"",BY8=""),AND(CX8&gt;=DA$17,CX8&lt;&gt;"",CW8&gt;=DA$13,CW8&lt;&gt;""),AND(DS8&gt;=DV$17,DS8&lt;&gt;"",DR8&gt;=DV$13,DR8&lt;&gt;""),AND(EN8&gt;=EQ$17,EN8&lt;&gt;"",EM8&gt;=EQ$13,EM8&lt;&gt;""),AND(FI8&gt;=FL$17,FI8&lt;&gt;"",FH8&gt;=FL$13,FH8&lt;&gt;""),AND(GD8&gt;=GG$17,GD8&lt;&gt;"",GC8&gt;=GG$13,GC8&lt;&gt;""),AND(GY8&gt;=HB$17,GY8&lt;&gt;"",GX8&gt;=HB$13,GX8&lt;&gt;""),AND(HT8&gt;=HW$17,HT8&lt;&gt;"",HS8&gt;=HW$13,HS8&lt;&gt;""),AND(IO8&gt;=IR$17,IO8&lt;&gt;"",IN8&gt;=IR$13,IN8&lt;&gt;""),AND(JJ8&gt;=JM$17,JJ8&lt;&gt;"",JI8&gt;=JM$13,JI8&lt;&gt;""),AND(KE8&gt;=KH$17,KE8&lt;&gt;"",KD8&gt;=KH$13,KD8&lt;&gt;""),AND(KZ8&gt;=LC$17,KZ8&lt;&gt;"",KY8&gt;=LC$13,KY8&lt;&gt;""),AND(LU8&gt;=LX$17,LU8&lt;&gt;"",LT8&gt;=LX$13,LT8&lt;&gt;"")),"Excellence",IF(OR(AND(AI8&gt;=AL$16,AI8&lt;&gt;"",AH8&gt;=AL$12,AH8&lt;&gt;"",AG8=""),AND(BE8&gt;=BH$16,BE8&lt;&gt;"",BD8&gt;=BH$12,BD8&lt;&gt;"",BC8=""),AND(CA8&gt;=CD$16,CA8&lt;&gt;"",BZ8&gt;=CD$12,BZ8&lt;&gt;"",BY8=""),AND(CX8&gt;=DA$16,CX8&lt;&gt;"",CW8&gt;=DA$12,CW8&lt;&gt;""),AND(DS8&gt;=DV$16,DS8&lt;&gt;"",DR8&gt;=DV$12,DR8&lt;&gt;""),AND(EN8&gt;=EQ$16,EN8&lt;&gt;"",EM8&gt;=EQ$12,EM8&lt;&gt;""),AND(FI8&gt;=FL$16,FI8&lt;&gt;"",FH8&gt;=FL$12,FH8&lt;&gt;""),AND(GD8&gt;=GG$16,GD8&lt;&gt;"",GC8&gt;=GG$12,GC8&lt;&gt;""),AND(GY8&gt;=HB$16,GY8&lt;&gt;"",GX8&gt;=HB$12,GX8&lt;&gt;""),AND(HT8&gt;=HW$16,HT8&lt;&gt;"",HS8&gt;=HW$12,HS8&lt;&gt;""),AND(IO8&gt;=IR$16,IO8&lt;&gt;"",IN8&gt;=IR$12,IN8&lt;&gt;""),AND(JJ8&gt;=JM$16,JJ8&lt;&gt;"",JI8&gt;=JM$12,JI8&lt;&gt;""),AND(KE8&gt;=KH$16,KE8&lt;&gt;"",KD8&gt;=KH$12,KD8&lt;&gt;""),AND(KZ8&gt;=LC$16,KZ8&lt;&gt;"",KY8&gt;=LC$12,KY8&lt;&gt;""),AND(LU8&gt;=LX$16,LU8&lt;&gt;"",LT8&gt;=LX$12,LT8&lt;&gt;"")),"Worlds Team",IF(OR(AND(AI8&gt;=AL$15,AI8&lt;&gt;"",AH8&gt;=AL$11,AH8&lt;&gt;"",AG8=""),AND(BE8&gt;=BH$15,BE8&lt;&gt;"",BD8&gt;=BH$11,BD8&lt;&gt;"",BC8=""),AND(CA8&gt;=CD$15,CA8&lt;&gt;"",BZ8&gt;=CD$11,BZ8&lt;&gt;"",BY8=""),AND(CX8&gt;=DA$15,CX8&lt;&gt;"",CW8&gt;=DA$11,CW8&lt;&gt;""),AND(DS8&gt;=DV$15,DS8&lt;&gt;"",DR8&gt;=DV$11,DR8&lt;&gt;""),AND(EN8&gt;=EQ$15,EN8&lt;&gt;"",EM8&gt;=EQ$11,EM8&lt;&gt;""),AND(FI8&gt;=FL$15,FI8&lt;&gt;"",FH8&gt;=FL$11,FH8&lt;&gt;""),AND(GD8&gt;=GG$15,GD8&lt;&gt;"",GC8&gt;=GG$11,GC8&lt;&gt;""),AND(GY8&gt;=HB$15,GY8&lt;&gt;"",GX8&gt;=HB$11,GX8&lt;&gt;""),AND(HT8&gt;=HW$15,HT8&lt;&gt;"",HS8&gt;=HW$11,HS8&lt;&gt;""),AND(IO8&gt;=IR$15,IO8&lt;&gt;"",IN8&gt;=IR$11,IN8&lt;&gt;""),AND(JJ8&gt;=JM$15,JJ8&lt;&gt;"",JI8&gt;=JM$11,JI8&lt;&gt;""),AND(KE8&gt;=KH$15,KE8&lt;&gt;"",KD8&gt;=KH$11,KD8&lt;&gt;""),AND(KZ8&gt;=LC$15,KZ8&lt;&gt;"",KY8&gt;=LC$11,KY8&lt;&gt;""),AND(LU8&gt;=LX$15,LU8&lt;&gt;"",LT8&gt;=LX$11,LT8&lt;&gt;"")),"National Team","")))))</f>
        <v/>
      </c>
      <c r="I8" s="3" t="str">
        <f>IF(OR(H8="Worlds Team",H8="Excellence",H8="Merit"),"P","")</f>
        <v/>
      </c>
      <c r="J8" s="14">
        <f>MAX(AI8,BE8,CA8)</f>
        <v>55.300000000000004</v>
      </c>
      <c r="K8" s="14" t="str">
        <f>IF(J8=0,"",IF(J8=CA8,$BI$1,IF(J8=BE8,$AM$1,IF(J8=AI8,$Q$1,""))))</f>
        <v>2019 Nationals</v>
      </c>
      <c r="L8" s="14">
        <f>MAX(AK8,BG8,CC8)</f>
        <v>61.900000000000006</v>
      </c>
      <c r="M8" s="14" t="str">
        <f>IF(L8=0,"",IF(J8=CC8,$BI$1,IF(L8=BG8,$AM$1,IF(L8=AK8,$Q$1,""))))</f>
        <v>2019 Nationals</v>
      </c>
      <c r="N8" s="14" t="str">
        <f>IF(MAX(CE8:CF8)&gt;0,MAX(CE8:CF8),"")</f>
        <v/>
      </c>
      <c r="O8" s="25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45">
        <v>23.7</v>
      </c>
      <c r="R8" s="45">
        <v>3.4</v>
      </c>
      <c r="S8" s="45">
        <v>0</v>
      </c>
      <c r="T8" s="45">
        <v>0</v>
      </c>
      <c r="U8" s="45">
        <v>15.5</v>
      </c>
      <c r="V8" s="45">
        <v>2.8</v>
      </c>
      <c r="W8" s="45">
        <v>0</v>
      </c>
      <c r="X8" s="45">
        <v>0</v>
      </c>
      <c r="Y8" s="45"/>
      <c r="Z8" s="45"/>
      <c r="AA8" s="45"/>
      <c r="AB8" s="45"/>
      <c r="AC8" s="45"/>
      <c r="AD8" s="45"/>
      <c r="AE8" s="45"/>
      <c r="AF8" s="45"/>
      <c r="AG8" s="80"/>
      <c r="AH8" s="11">
        <f>IF(SUM(R8,V8)&gt;0,SUM(R8,V8),"")</f>
        <v>6.1999999999999993</v>
      </c>
      <c r="AI8" s="11">
        <f>IF(SUM(Q8:R8,T8:V8,X8)-S8-W8&gt;0,SUM(Q8:R8,T8:V8,X8)-S8-W8,"")</f>
        <v>45.399999999999991</v>
      </c>
      <c r="AJ8" s="11" t="str">
        <f>IF(SUM(Z8,AD8)&gt;0,SUM(Z8,AD8),"")</f>
        <v/>
      </c>
      <c r="AK8" s="11" t="str">
        <f>IF(SUM(Y8:Z8,AB8:AD8,AF8)-SUM(AA8,AE8)&gt;0,SUM(Y8:Z8,AB8:AD8,AF8)-SUM(AA8,AE8),"")</f>
        <v/>
      </c>
      <c r="AL8" s="11">
        <f>IF(SUM(AI8,AK8)&gt;0,SUM(AI8,AK8),"")</f>
        <v>45.399999999999991</v>
      </c>
      <c r="AM8" s="38">
        <v>22.6</v>
      </c>
      <c r="AN8" s="38">
        <v>5.4</v>
      </c>
      <c r="AO8" s="38">
        <v>0.1</v>
      </c>
      <c r="AP8" s="38">
        <v>0</v>
      </c>
      <c r="AQ8" s="38">
        <v>23.7</v>
      </c>
      <c r="AR8" s="38">
        <v>3.7</v>
      </c>
      <c r="AS8" s="38">
        <v>0</v>
      </c>
      <c r="AT8" s="38">
        <v>0</v>
      </c>
      <c r="AU8" s="38">
        <v>26.2</v>
      </c>
      <c r="AV8" s="38">
        <v>5.5</v>
      </c>
      <c r="AW8" s="38">
        <v>0</v>
      </c>
      <c r="AX8" s="38">
        <v>0</v>
      </c>
      <c r="AY8" s="38">
        <v>24.5</v>
      </c>
      <c r="AZ8" s="38">
        <v>5.7</v>
      </c>
      <c r="BA8" s="38">
        <v>0</v>
      </c>
      <c r="BB8" s="38">
        <v>0</v>
      </c>
      <c r="BC8" s="81"/>
      <c r="BD8" s="14">
        <f>IF(SUM(AN8,AR8)&gt;0,SUM(AN8,AR8),"")</f>
        <v>9.1000000000000014</v>
      </c>
      <c r="BE8" s="14">
        <f>IF(SUM(AM8:AN8,AP8:AR8,AT8)-AO8-AS8&gt;0,SUM(AM8:AN8,AP8:AR8,AT8)-AO8-AS8,"")</f>
        <v>55.300000000000004</v>
      </c>
      <c r="BF8" s="14">
        <f>IF(SUM(AV8,AZ8)&gt;0,SUM(AN8,AR8),"")</f>
        <v>9.1000000000000014</v>
      </c>
      <c r="BG8" s="14">
        <f>IF(SUM(AU8:AV8,AX8:AZ8,BB8)-SUM(AW8,BA8)&gt;0,SUM(AU8:AV8,AX8:AZ8,BB8)-SUM(AW8,BA8),"")</f>
        <v>61.900000000000006</v>
      </c>
      <c r="BH8" s="14">
        <f>IF(SUM(BE8,BG8)&gt;0,SUM(BE8,BG8),"")</f>
        <v>117.20000000000002</v>
      </c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80"/>
      <c r="BZ8" s="11" t="str">
        <f>IF(SUM(BJ8,BN8)&gt;0,SUM(BJ8,BN8),"")</f>
        <v/>
      </c>
      <c r="CA8" s="11" t="str">
        <f>IF(SUM(BI8:BJ8,BL8:BN8,BP8)-BK8-BO8&gt;0,SUM(BI8:BJ8,BL8:BN8,BP8)-BK8-BO8,"")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IF(MAX(CZ8,DU8,EP8,FK8,GF8,HA8,HV8,IQ8,JL8,KG8,LB8,LW8)-IF(L8="",0,L8)&gt;0.001,MAX(CZ8,DU8,EP8,FK8,GF8,HA8,HV8,IQ8,JL8,KG8,LB8,LW8)-IF(L8="",0,L8),"")</f>
        <v/>
      </c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38"/>
      <c r="DM8" s="38"/>
      <c r="DN8" s="38"/>
      <c r="DO8" s="38"/>
      <c r="DP8" s="38"/>
      <c r="DQ8" s="38"/>
      <c r="DR8" s="14" t="str">
        <f>IF(SUM(DC8,DG8)&gt;0,SUM(DC8,DG8),"")</f>
        <v/>
      </c>
      <c r="DS8" s="14" t="str">
        <f>IF(SUM(DB8:DC8,DE8:DG8,DI8)-DD8-DH8&gt;0,SUM(DB8:DC8,DE8:DG8,DI8)-DD8-DH8,"")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8"/>
      <c r="ES8" s="38"/>
      <c r="ET8" s="38"/>
      <c r="EU8" s="38"/>
      <c r="EV8" s="38"/>
      <c r="EW8" s="38"/>
      <c r="EX8" s="38"/>
      <c r="EY8" s="38"/>
      <c r="EZ8" s="38"/>
      <c r="FA8" s="38"/>
      <c r="FB8" s="38"/>
      <c r="FC8" s="38"/>
      <c r="FD8" s="38"/>
      <c r="FE8" s="38"/>
      <c r="FF8" s="38"/>
      <c r="FG8" s="38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8"/>
      <c r="GI8" s="38"/>
      <c r="GJ8" s="38"/>
      <c r="GK8" s="38"/>
      <c r="GL8" s="38"/>
      <c r="GM8" s="38"/>
      <c r="GN8" s="38"/>
      <c r="GO8" s="38"/>
      <c r="GP8" s="38"/>
      <c r="GQ8" s="38"/>
      <c r="GR8" s="38"/>
      <c r="GS8" s="38"/>
      <c r="GT8" s="38"/>
      <c r="GU8" s="38"/>
      <c r="GV8" s="38"/>
      <c r="GW8" s="38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8"/>
      <c r="HY8" s="38"/>
      <c r="HZ8" s="38"/>
      <c r="IA8" s="38"/>
      <c r="IB8" s="38"/>
      <c r="IC8" s="38"/>
      <c r="ID8" s="38"/>
      <c r="IE8" s="38"/>
      <c r="IF8" s="38"/>
      <c r="IG8" s="38"/>
      <c r="IH8" s="38"/>
      <c r="II8" s="38"/>
      <c r="IJ8" s="38"/>
      <c r="IK8" s="38"/>
      <c r="IL8" s="38"/>
      <c r="IM8" s="38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/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38"/>
      <c r="JZ8" s="38"/>
      <c r="KA8" s="38"/>
      <c r="KB8" s="38"/>
      <c r="KC8" s="38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38"/>
      <c r="LR8" s="38"/>
      <c r="LS8" s="38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11.3</v>
      </c>
      <c r="LZ8" s="69">
        <f>IF($BY8="P",BJ8,(BJ8+AN8)/2)</f>
        <v>2.7</v>
      </c>
      <c r="MA8" s="69">
        <f>IF($BY8="P",BK8,(BK8+AO8)/2)</f>
        <v>0.05</v>
      </c>
      <c r="MB8" s="69">
        <f>IF($BY8="P",BL8,(BL8+AP8)/2)</f>
        <v>0</v>
      </c>
      <c r="MC8" s="69">
        <f>IF($BY8="P",BM8,(BM8+AQ8)/2)</f>
        <v>11.85</v>
      </c>
      <c r="MD8" s="69">
        <f>IF($BY8="P",BN8,(BN8+AR8)/2)</f>
        <v>1.85</v>
      </c>
      <c r="ME8" s="69">
        <f>IF($BY8="P",BO8,(BO8+AS8)/2)</f>
        <v>0</v>
      </c>
      <c r="MF8" s="69">
        <f>IF($BY8="P",BP8,(BP8+AT8)/2)</f>
        <v>0</v>
      </c>
      <c r="MG8" s="69">
        <f>IF($BY8="P",BQ8,(BQ8+AU8)/2)</f>
        <v>13.1</v>
      </c>
      <c r="MH8" s="69">
        <f>IF($BY8="P",BR8,(BR8+AV8)/2)</f>
        <v>2.75</v>
      </c>
      <c r="MI8" s="69">
        <f>IF($BY8="P",BS8,(BS8+AW8)/2)</f>
        <v>0</v>
      </c>
      <c r="MJ8" s="69">
        <f>IF($BY8="P",BT8,(BT8+AX8)/2)</f>
        <v>0</v>
      </c>
      <c r="MK8" s="69">
        <f>IF($BY8="P",BU8,(BU8+AY8)/2)</f>
        <v>12.25</v>
      </c>
      <c r="ML8" s="69">
        <f>IF($BY8="P",BV8,(BV8+AZ8)/2)</f>
        <v>2.85</v>
      </c>
      <c r="MM8" s="69">
        <f>IF($BY8="P",BW8,(BW8+BA8)/2)</f>
        <v>0</v>
      </c>
      <c r="MN8" s="69">
        <f>IF($BY8="P",BX8,(BX8+BB8)/2)</f>
        <v>0</v>
      </c>
      <c r="MO8" s="80" t="s">
        <v>91</v>
      </c>
      <c r="MP8" s="11">
        <f>IF(SUM(LZ8,MD8)&gt;0,SUM(LZ8,MD8),"")</f>
        <v>4.5500000000000007</v>
      </c>
      <c r="MQ8" s="11">
        <f>IF(SUM(LY8:LZ8,MB8:MD8,MF8)-MA8-ME8&gt;0,SUM(LY8:LZ8,MB8:MD8,MF8)-MA8-ME8,"")</f>
        <v>27.650000000000002</v>
      </c>
      <c r="MR8" s="11">
        <f>IF(SUM(MH8,ML8)&gt;0,SUM(MH8,ML8),"")</f>
        <v>5.6</v>
      </c>
      <c r="MS8" s="11">
        <f>IF(SUM(MG8:MH8,MJ8:ML8,MN8)-SUM(MI8,MM8)&gt;0,SUM(MG8:MH8,MJ8:ML8,MN8)-SUM(MI8,MM8),"")</f>
        <v>30.950000000000003</v>
      </c>
      <c r="MT8" s="11">
        <f>IF(SUM(MQ8,MS8)&gt;0,SUM(MQ8,MS8),"")</f>
        <v>58.600000000000009</v>
      </c>
    </row>
    <row r="9" spans="1:358" x14ac:dyDescent="0.2">
      <c r="D9" s="1"/>
    </row>
    <row r="11" spans="1:358" x14ac:dyDescent="0.2">
      <c r="B11" s="70" t="s">
        <v>79</v>
      </c>
      <c r="AH11" s="56"/>
      <c r="AL11" s="64">
        <v>11.8</v>
      </c>
      <c r="BD11" s="56"/>
      <c r="BH11" s="64">
        <v>11.8</v>
      </c>
      <c r="BZ11" s="56"/>
      <c r="CD11" s="64">
        <v>10.3</v>
      </c>
      <c r="CW11" s="56"/>
      <c r="DA11" s="64">
        <v>11.8</v>
      </c>
      <c r="DR11" s="56"/>
      <c r="DV11" s="64">
        <v>11.8</v>
      </c>
      <c r="EM11" s="56"/>
      <c r="EQ11" s="64">
        <v>10.3</v>
      </c>
      <c r="FH11" s="56"/>
      <c r="FL11" s="64">
        <v>10.3</v>
      </c>
      <c r="GC11" s="56"/>
      <c r="GG11" s="64">
        <v>10.3</v>
      </c>
      <c r="GX11" s="56"/>
      <c r="HB11" s="64">
        <v>10.3</v>
      </c>
      <c r="HS11" s="56"/>
      <c r="HW11" s="64">
        <v>10.3</v>
      </c>
      <c r="IN11" s="56"/>
      <c r="IR11" s="64">
        <v>10.3</v>
      </c>
      <c r="JI11" s="56"/>
      <c r="JM11" s="64">
        <v>10.3</v>
      </c>
      <c r="KD11" s="56"/>
      <c r="KH11" s="64">
        <v>10.3</v>
      </c>
      <c r="KY11" s="56"/>
      <c r="LC11" s="64">
        <v>10.3</v>
      </c>
      <c r="LT11" s="56"/>
      <c r="LX11" s="64">
        <v>10.3</v>
      </c>
    </row>
    <row r="12" spans="1:358" x14ac:dyDescent="0.2">
      <c r="B12" s="91" t="s">
        <v>78</v>
      </c>
      <c r="AH12" s="56"/>
      <c r="AL12" s="93">
        <v>11.8</v>
      </c>
      <c r="BD12" s="56"/>
      <c r="BH12" s="93">
        <v>11.8</v>
      </c>
      <c r="BZ12" s="56"/>
      <c r="CD12" s="93">
        <v>11</v>
      </c>
      <c r="CW12" s="56"/>
      <c r="DA12" s="93">
        <v>11.8</v>
      </c>
      <c r="DR12" s="56"/>
      <c r="DV12" s="93">
        <v>11.8</v>
      </c>
      <c r="EM12" s="56"/>
      <c r="EQ12" s="93">
        <v>11</v>
      </c>
      <c r="FH12" s="56"/>
      <c r="FL12" s="93">
        <v>11</v>
      </c>
      <c r="GC12" s="56"/>
      <c r="GG12" s="93">
        <v>11</v>
      </c>
      <c r="GX12" s="56"/>
      <c r="HB12" s="93">
        <v>11</v>
      </c>
      <c r="HS12" s="56"/>
      <c r="HW12" s="93">
        <v>11</v>
      </c>
      <c r="IN12" s="56"/>
      <c r="IR12" s="93">
        <v>11</v>
      </c>
      <c r="JI12" s="56"/>
      <c r="JM12" s="93">
        <v>11</v>
      </c>
      <c r="KD12" s="56"/>
      <c r="KH12" s="93">
        <v>11</v>
      </c>
      <c r="KY12" s="56"/>
      <c r="LC12" s="93">
        <v>11</v>
      </c>
      <c r="LT12" s="56"/>
      <c r="LX12" s="93">
        <v>11</v>
      </c>
    </row>
    <row r="13" spans="1:358" x14ac:dyDescent="0.2">
      <c r="A13" s="56"/>
      <c r="B13" s="92" t="s">
        <v>122</v>
      </c>
      <c r="C13" s="55"/>
      <c r="AH13" s="56"/>
      <c r="AL13" s="94">
        <v>11.8</v>
      </c>
      <c r="BD13" s="56"/>
      <c r="BH13" s="94">
        <v>11.8</v>
      </c>
      <c r="BZ13" s="56"/>
      <c r="CD13" s="94">
        <v>12.7</v>
      </c>
      <c r="CW13" s="56"/>
      <c r="DA13" s="94">
        <v>11.8</v>
      </c>
      <c r="DR13" s="56"/>
      <c r="DV13" s="94">
        <v>11.8</v>
      </c>
      <c r="EM13" s="56"/>
      <c r="EQ13" s="94">
        <v>12.7</v>
      </c>
      <c r="FH13" s="56"/>
      <c r="FL13" s="94">
        <v>12.7</v>
      </c>
      <c r="GC13" s="56"/>
      <c r="GG13" s="94">
        <v>12.7</v>
      </c>
      <c r="GX13" s="56"/>
      <c r="HB13" s="94">
        <v>12.7</v>
      </c>
      <c r="HS13" s="56"/>
      <c r="HW13" s="94">
        <v>12.7</v>
      </c>
      <c r="IN13" s="56"/>
      <c r="IR13" s="94">
        <v>12.7</v>
      </c>
      <c r="JI13" s="56"/>
      <c r="JM13" s="94">
        <v>12.7</v>
      </c>
      <c r="KD13" s="56"/>
      <c r="KH13" s="94">
        <v>12.7</v>
      </c>
      <c r="KY13" s="56"/>
      <c r="LC13" s="94">
        <v>12.7</v>
      </c>
      <c r="LT13" s="56"/>
      <c r="LX13" s="94">
        <v>12.7</v>
      </c>
    </row>
    <row r="14" spans="1:358" x14ac:dyDescent="0.2">
      <c r="A14" s="56"/>
      <c r="B14" s="120" t="s">
        <v>188</v>
      </c>
      <c r="C14" s="55"/>
      <c r="AH14" s="56"/>
      <c r="AL14" s="121">
        <v>11.8</v>
      </c>
      <c r="BD14" s="56"/>
      <c r="BH14" s="121">
        <v>11.8</v>
      </c>
      <c r="BZ14" s="56"/>
      <c r="CD14" s="121">
        <v>15.2</v>
      </c>
      <c r="CW14" s="56"/>
      <c r="DA14" s="121">
        <v>11.8</v>
      </c>
      <c r="DR14" s="56"/>
      <c r="DV14" s="121">
        <v>11.8</v>
      </c>
      <c r="EM14" s="56"/>
      <c r="EQ14" s="121">
        <v>15.2</v>
      </c>
      <c r="FH14" s="56"/>
      <c r="FL14" s="121">
        <v>15.2</v>
      </c>
      <c r="GC14" s="56"/>
      <c r="GG14" s="121">
        <v>15.2</v>
      </c>
      <c r="GX14" s="56"/>
      <c r="HB14" s="121">
        <v>15.2</v>
      </c>
      <c r="HS14" s="56"/>
      <c r="HW14" s="121">
        <v>15.2</v>
      </c>
      <c r="IN14" s="56"/>
      <c r="IR14" s="121">
        <v>15.2</v>
      </c>
      <c r="JI14" s="56"/>
      <c r="JM14" s="121">
        <v>15.2</v>
      </c>
      <c r="KD14" s="56"/>
      <c r="KH14" s="121">
        <v>15.2</v>
      </c>
      <c r="KY14" s="56"/>
      <c r="LC14" s="121">
        <v>15.2</v>
      </c>
      <c r="LT14" s="56"/>
      <c r="LX14" s="121">
        <v>15.2</v>
      </c>
    </row>
    <row r="15" spans="1:358" x14ac:dyDescent="0.2">
      <c r="A15" s="56"/>
      <c r="B15" s="118" t="s">
        <v>76</v>
      </c>
      <c r="C15" s="55"/>
      <c r="AH15" s="56"/>
      <c r="AL15" s="119">
        <v>62.8</v>
      </c>
      <c r="BD15" s="56"/>
      <c r="BH15" s="119">
        <v>62.8</v>
      </c>
      <c r="BZ15" s="56"/>
      <c r="CD15" s="119">
        <v>62.8</v>
      </c>
      <c r="CW15" s="56"/>
      <c r="DA15" s="119">
        <v>62.8</v>
      </c>
      <c r="DR15" s="56"/>
      <c r="DV15" s="119">
        <v>62.8</v>
      </c>
      <c r="EM15" s="56"/>
      <c r="EQ15" s="119">
        <v>62.8</v>
      </c>
      <c r="FH15" s="56"/>
      <c r="FL15" s="119">
        <v>62.8</v>
      </c>
      <c r="GC15" s="56"/>
      <c r="GG15" s="119">
        <v>62.8</v>
      </c>
      <c r="GX15" s="56"/>
      <c r="HB15" s="119">
        <v>62.8</v>
      </c>
      <c r="HS15" s="56"/>
      <c r="HW15" s="119">
        <v>62.8</v>
      </c>
      <c r="IN15" s="56"/>
      <c r="IR15" s="119">
        <v>62.8</v>
      </c>
      <c r="JI15" s="56"/>
      <c r="JM15" s="119">
        <v>62.8</v>
      </c>
      <c r="KD15" s="56"/>
      <c r="KH15" s="119">
        <v>62.8</v>
      </c>
      <c r="KY15" s="56"/>
      <c r="LC15" s="119">
        <v>62.8</v>
      </c>
      <c r="LT15" s="56"/>
      <c r="LX15" s="119">
        <v>62.8</v>
      </c>
    </row>
    <row r="16" spans="1:358" x14ac:dyDescent="0.2">
      <c r="A16" s="56"/>
      <c r="B16" s="72" t="s">
        <v>77</v>
      </c>
      <c r="C16" s="55"/>
      <c r="AH16" s="56"/>
      <c r="AL16" s="66">
        <v>65.900000000000006</v>
      </c>
      <c r="BD16" s="56"/>
      <c r="BH16" s="66">
        <v>65.900000000000006</v>
      </c>
      <c r="BZ16" s="56"/>
      <c r="CD16" s="66">
        <v>65.599999999999994</v>
      </c>
      <c r="CW16" s="56"/>
      <c r="DA16" s="66">
        <v>65.900000000000006</v>
      </c>
      <c r="DR16" s="56"/>
      <c r="DV16" s="66">
        <v>65.900000000000006</v>
      </c>
      <c r="EM16" s="56"/>
      <c r="EQ16" s="66">
        <v>65.599999999999994</v>
      </c>
      <c r="FH16" s="56"/>
      <c r="FL16" s="66">
        <v>65.599999999999994</v>
      </c>
      <c r="GC16" s="56"/>
      <c r="GG16" s="66">
        <v>65.599999999999994</v>
      </c>
      <c r="GX16" s="56"/>
      <c r="HB16" s="66">
        <v>65.599999999999994</v>
      </c>
      <c r="HS16" s="56"/>
      <c r="HW16" s="66">
        <v>65.599999999999994</v>
      </c>
      <c r="IN16" s="56"/>
      <c r="IR16" s="66">
        <v>65.599999999999994</v>
      </c>
      <c r="JI16" s="56"/>
      <c r="JM16" s="66">
        <v>65.599999999999994</v>
      </c>
      <c r="KD16" s="56"/>
      <c r="KH16" s="66">
        <v>65.599999999999994</v>
      </c>
      <c r="KY16" s="56"/>
      <c r="LC16" s="66">
        <v>65.599999999999994</v>
      </c>
      <c r="LT16" s="56"/>
      <c r="LX16" s="66">
        <v>65.599999999999994</v>
      </c>
    </row>
    <row r="17" spans="1:336" x14ac:dyDescent="0.2">
      <c r="A17" s="56"/>
      <c r="B17" s="116" t="s">
        <v>117</v>
      </c>
      <c r="C17" s="55"/>
      <c r="AH17" s="56"/>
      <c r="AL17" s="117">
        <v>69.7</v>
      </c>
      <c r="BD17" s="56"/>
      <c r="BH17" s="117">
        <v>69.7</v>
      </c>
      <c r="BZ17" s="56"/>
      <c r="CD17" s="117">
        <v>67.900000000000006</v>
      </c>
      <c r="CW17" s="56"/>
      <c r="DA17" s="117">
        <v>69.7</v>
      </c>
      <c r="DR17" s="56"/>
      <c r="DV17" s="117">
        <v>69.7</v>
      </c>
      <c r="EM17" s="56"/>
      <c r="EQ17" s="117">
        <v>67.900000000000006</v>
      </c>
      <c r="FH17" s="56"/>
      <c r="FL17" s="117">
        <v>67.900000000000006</v>
      </c>
      <c r="GC17" s="56"/>
      <c r="GG17" s="117">
        <v>67.900000000000006</v>
      </c>
      <c r="GX17" s="56"/>
      <c r="HB17" s="117">
        <v>67.900000000000006</v>
      </c>
      <c r="HS17" s="56"/>
      <c r="HW17" s="117">
        <v>67.900000000000006</v>
      </c>
      <c r="IN17" s="56"/>
      <c r="IR17" s="117">
        <v>67.900000000000006</v>
      </c>
      <c r="JI17" s="56"/>
      <c r="JM17" s="117">
        <v>67.900000000000006</v>
      </c>
      <c r="KD17" s="56"/>
      <c r="KH17" s="117">
        <v>67.900000000000006</v>
      </c>
      <c r="KY17" s="56"/>
      <c r="LC17" s="117">
        <v>67.900000000000006</v>
      </c>
      <c r="LT17" s="56"/>
      <c r="LX17" s="117">
        <v>67.900000000000006</v>
      </c>
    </row>
    <row r="18" spans="1:336" x14ac:dyDescent="0.2">
      <c r="A18" s="56"/>
      <c r="B18" s="74" t="s">
        <v>58</v>
      </c>
      <c r="C18" s="55"/>
      <c r="AH18" s="56"/>
      <c r="AL18" s="68">
        <v>72.2</v>
      </c>
      <c r="BD18" s="56"/>
      <c r="BH18" s="68">
        <v>72.2</v>
      </c>
      <c r="BZ18" s="56"/>
      <c r="CD18" s="68">
        <v>71.599999999999994</v>
      </c>
      <c r="CW18" s="56"/>
      <c r="DA18" s="68">
        <v>72.2</v>
      </c>
      <c r="DR18" s="56"/>
      <c r="DV18" s="68">
        <v>72.2</v>
      </c>
      <c r="EM18" s="56"/>
      <c r="EQ18" s="68">
        <v>71.599999999999994</v>
      </c>
      <c r="FH18" s="56"/>
      <c r="FL18" s="68">
        <v>71.599999999999994</v>
      </c>
      <c r="GC18" s="56"/>
      <c r="GG18" s="68">
        <v>71.599999999999994</v>
      </c>
      <c r="GX18" s="56"/>
      <c r="HB18" s="68">
        <v>71.599999999999994</v>
      </c>
      <c r="HS18" s="56"/>
      <c r="HW18" s="68">
        <v>71.599999999999994</v>
      </c>
      <c r="IN18" s="56"/>
      <c r="IR18" s="68">
        <v>71.599999999999994</v>
      </c>
      <c r="JI18" s="56"/>
      <c r="JM18" s="68">
        <v>71.599999999999994</v>
      </c>
      <c r="KD18" s="56"/>
      <c r="KH18" s="68">
        <v>71.599999999999994</v>
      </c>
      <c r="KY18" s="56"/>
      <c r="LC18" s="68">
        <v>71.599999999999994</v>
      </c>
      <c r="LT18" s="56"/>
      <c r="LX18" s="68">
        <v>71.599999999999994</v>
      </c>
    </row>
    <row r="19" spans="1:336" x14ac:dyDescent="0.2">
      <c r="B19" s="82" t="s">
        <v>92</v>
      </c>
      <c r="C19" s="2"/>
    </row>
    <row r="20" spans="1:336" x14ac:dyDescent="0.2">
      <c r="A20" s="56"/>
      <c r="B20" s="56"/>
      <c r="C20" s="55"/>
    </row>
    <row r="21" spans="1:336" ht="17" x14ac:dyDescent="0.2">
      <c r="A21" s="56"/>
      <c r="B21" s="56"/>
      <c r="C21" s="55"/>
      <c r="N21" s="19"/>
      <c r="O21" s="19"/>
      <c r="P21" s="19"/>
    </row>
    <row r="22" spans="1:336" ht="17" x14ac:dyDescent="0.2">
      <c r="A22" s="56"/>
      <c r="B22" s="56"/>
      <c r="C22" s="55"/>
      <c r="N22" s="19"/>
      <c r="O22" s="19"/>
      <c r="P22" s="19"/>
    </row>
    <row r="23" spans="1:336" ht="17" x14ac:dyDescent="0.2">
      <c r="N23" s="19"/>
      <c r="O23" s="19"/>
      <c r="P23" s="19"/>
    </row>
    <row r="24" spans="1:336" ht="17" x14ac:dyDescent="0.2">
      <c r="N24" s="19"/>
      <c r="O24" s="19"/>
      <c r="P24" s="19"/>
    </row>
    <row r="25" spans="1:336" ht="17" x14ac:dyDescent="0.2">
      <c r="N25" s="19"/>
      <c r="O25" s="19"/>
      <c r="P25" s="19"/>
    </row>
    <row r="26" spans="1:336" ht="17" x14ac:dyDescent="0.2">
      <c r="N26" s="19"/>
      <c r="O26" s="19"/>
      <c r="P26" s="19"/>
    </row>
    <row r="27" spans="1:336" ht="17" x14ac:dyDescent="0.2">
      <c r="N27" s="19"/>
      <c r="O27" s="19"/>
      <c r="P27" s="19"/>
    </row>
    <row r="28" spans="1:336" ht="17" x14ac:dyDescent="0.2">
      <c r="N28" s="19"/>
      <c r="O28" s="19"/>
      <c r="P28" s="19"/>
    </row>
    <row r="29" spans="1:336" ht="17" x14ac:dyDescent="0.2">
      <c r="N29" s="19"/>
      <c r="O29" s="19"/>
      <c r="P29" s="19"/>
    </row>
    <row r="30" spans="1:336" ht="17" x14ac:dyDescent="0.2">
      <c r="N30" s="19"/>
      <c r="O30" s="19"/>
      <c r="P30" s="19"/>
    </row>
    <row r="31" spans="1:336" ht="17" x14ac:dyDescent="0.2">
      <c r="N31" s="19"/>
      <c r="O31" s="19"/>
      <c r="P31" s="19"/>
    </row>
    <row r="32" spans="1:33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  <row r="38" spans="14:16" ht="17" x14ac:dyDescent="0.2">
      <c r="N38" s="19"/>
      <c r="O38" s="19"/>
      <c r="P38" s="19"/>
    </row>
    <row r="39" spans="14:16" ht="17" x14ac:dyDescent="0.2">
      <c r="N39" s="19"/>
      <c r="O39" s="19"/>
      <c r="P39" s="19"/>
    </row>
    <row r="40" spans="14:16" ht="17" x14ac:dyDescent="0.2">
      <c r="N40" s="19"/>
      <c r="O40" s="19"/>
      <c r="P40" s="19"/>
    </row>
  </sheetData>
  <sheetProtection sheet="1" formatCells="0" formatColumns="0" formatRows="0"/>
  <autoFilter ref="A1:MT7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8">
      <sortCondition descending="1" ref="F1:F9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8">
    <cfRule type="expression" dxfId="79" priority="1" stopIfTrue="1">
      <formula>IF($AG4&lt;&gt;"",1,0)</formula>
    </cfRule>
  </conditionalFormatting>
  <conditionalFormatting sqref="AM4:BH8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8">
    <cfRule type="expression" dxfId="74" priority="3" stopIfTrue="1">
      <formula>IF($AG4&lt;&gt;"",1,0)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3" priority="89" operator="between">
      <formula>AL$14</formula>
      <formula>1000</formula>
    </cfRule>
    <cfRule type="cellIs" dxfId="72" priority="90" operator="between">
      <formula>AL$13</formula>
      <formula>AL$14</formula>
    </cfRule>
    <cfRule type="cellIs" dxfId="71" priority="91" operator="between">
      <formula>AL$12</formula>
      <formula>AL$13</formula>
    </cfRule>
    <cfRule type="cellIs" dxfId="70" priority="92" operator="between">
      <formula>AL$11</formula>
      <formula>AL$12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9" priority="210" operator="between">
      <formula>AL$18</formula>
      <formula>1000</formula>
    </cfRule>
    <cfRule type="cellIs" dxfId="68" priority="9028" operator="between">
      <formula>AL$17</formula>
      <formula>AL$18</formula>
    </cfRule>
    <cfRule type="cellIs" dxfId="67" priority="9029" operator="between">
      <formula>AL$16</formula>
      <formula>AL$17</formula>
    </cfRule>
    <cfRule type="cellIs" dxfId="66" priority="36222" operator="between">
      <formula>AL$15</formula>
      <formula>AL$16</formula>
    </cfRule>
  </conditionalFormatting>
  <conditionalFormatting sqref="A1:A1048576">
    <cfRule type="expression" dxfId="65" priority="38430">
      <formula>AND(G1="P",F1="")</formula>
    </cfRule>
  </conditionalFormatting>
  <conditionalFormatting sqref="H1:H1048576">
    <cfRule type="containsText" dxfId="64" priority="5" operator="containsText" text="No DD">
      <formula>NOT(ISERROR(SEARCH("No DD",H1)))</formula>
    </cfRule>
    <cfRule type="containsText" dxfId="63" priority="6" operator="containsText" text="Merit">
      <formula>NOT(ISERROR(SEARCH("Merit",H1)))</formula>
    </cfRule>
    <cfRule type="containsText" dxfId="62" priority="20" operator="containsText" text="Excellence">
      <formula>NOT(ISERROR(SEARCH("Excellence",H1)))</formula>
    </cfRule>
    <cfRule type="containsText" dxfId="61" priority="29" operator="containsText" text="Worlds Team">
      <formula>NOT(ISERROR(SEARCH("Worlds Team",H1)))</formula>
    </cfRule>
    <cfRule type="containsText" dxfId="60" priority="32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26" bestFit="1" customWidth="1"/>
    <col min="9" max="9" width="15.332031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36" t="s">
        <v>1</v>
      </c>
      <c r="B1" s="136" t="s">
        <v>41</v>
      </c>
      <c r="C1" s="136" t="s">
        <v>0</v>
      </c>
      <c r="D1" s="136" t="s">
        <v>93</v>
      </c>
      <c r="E1" s="136" t="s">
        <v>2</v>
      </c>
      <c r="F1" s="144" t="s">
        <v>116</v>
      </c>
      <c r="G1" s="144" t="s">
        <v>15</v>
      </c>
      <c r="H1" s="136" t="s">
        <v>16</v>
      </c>
      <c r="I1" s="144" t="s">
        <v>210</v>
      </c>
      <c r="J1" s="141" t="s">
        <v>17</v>
      </c>
      <c r="K1" s="141" t="s">
        <v>56</v>
      </c>
      <c r="L1" s="141" t="s">
        <v>20</v>
      </c>
      <c r="M1" s="141" t="s">
        <v>56</v>
      </c>
      <c r="N1" s="140" t="s">
        <v>21</v>
      </c>
      <c r="O1" s="141" t="s">
        <v>57</v>
      </c>
      <c r="P1" s="141" t="s">
        <v>56</v>
      </c>
      <c r="Q1" s="137" t="s">
        <v>126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9" t="s">
        <v>142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7" t="s">
        <v>187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42" t="s">
        <v>115</v>
      </c>
      <c r="CF1" s="142"/>
      <c r="CG1" s="137" t="s">
        <v>164</v>
      </c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7" t="s">
        <v>123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36"/>
      <c r="B2" s="136"/>
      <c r="C2" s="136"/>
      <c r="D2" s="136"/>
      <c r="E2" s="136"/>
      <c r="F2" s="144"/>
      <c r="G2" s="144"/>
      <c r="H2" s="136"/>
      <c r="I2" s="144"/>
      <c r="J2" s="141"/>
      <c r="K2" s="141"/>
      <c r="L2" s="141"/>
      <c r="M2" s="141"/>
      <c r="N2" s="140"/>
      <c r="O2" s="141"/>
      <c r="P2" s="141"/>
      <c r="Q2" s="135" t="s">
        <v>43</v>
      </c>
      <c r="R2" s="135"/>
      <c r="S2" s="135"/>
      <c r="T2" s="135"/>
      <c r="U2" s="135" t="s">
        <v>46</v>
      </c>
      <c r="V2" s="135"/>
      <c r="W2" s="135"/>
      <c r="X2" s="135"/>
      <c r="Y2" s="135" t="s">
        <v>47</v>
      </c>
      <c r="Z2" s="135"/>
      <c r="AA2" s="135"/>
      <c r="AB2" s="135"/>
      <c r="AC2" s="143" t="s">
        <v>48</v>
      </c>
      <c r="AD2" s="143"/>
      <c r="AE2" s="143"/>
      <c r="AF2" s="143"/>
      <c r="AG2" s="78"/>
      <c r="AH2" s="58" t="s">
        <v>32</v>
      </c>
      <c r="AI2" s="9" t="s">
        <v>31</v>
      </c>
      <c r="AJ2" s="9" t="s">
        <v>139</v>
      </c>
      <c r="AK2" s="9" t="s">
        <v>30</v>
      </c>
      <c r="AL2" s="9" t="s">
        <v>25</v>
      </c>
      <c r="AM2" s="138" t="s">
        <v>43</v>
      </c>
      <c r="AN2" s="138"/>
      <c r="AO2" s="138"/>
      <c r="AP2" s="138"/>
      <c r="AQ2" s="138" t="s">
        <v>46</v>
      </c>
      <c r="AR2" s="138"/>
      <c r="AS2" s="138"/>
      <c r="AT2" s="138"/>
      <c r="AU2" s="138" t="s">
        <v>47</v>
      </c>
      <c r="AV2" s="138"/>
      <c r="AW2" s="138"/>
      <c r="AX2" s="138"/>
      <c r="AY2" s="145" t="s">
        <v>48</v>
      </c>
      <c r="AZ2" s="145"/>
      <c r="BA2" s="145"/>
      <c r="BB2" s="145"/>
      <c r="BC2" s="79"/>
      <c r="BD2" s="57" t="s">
        <v>32</v>
      </c>
      <c r="BE2" s="12" t="s">
        <v>31</v>
      </c>
      <c r="BF2" s="12" t="s">
        <v>139</v>
      </c>
      <c r="BG2" s="12" t="s">
        <v>30</v>
      </c>
      <c r="BH2" s="12" t="s">
        <v>25</v>
      </c>
      <c r="BI2" s="135" t="s">
        <v>43</v>
      </c>
      <c r="BJ2" s="135"/>
      <c r="BK2" s="135"/>
      <c r="BL2" s="135"/>
      <c r="BM2" s="135" t="s">
        <v>46</v>
      </c>
      <c r="BN2" s="135"/>
      <c r="BO2" s="135"/>
      <c r="BP2" s="135"/>
      <c r="BQ2" s="135" t="s">
        <v>47</v>
      </c>
      <c r="BR2" s="135"/>
      <c r="BS2" s="135"/>
      <c r="BT2" s="135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9" t="s">
        <v>139</v>
      </c>
      <c r="CC2" s="9" t="s">
        <v>30</v>
      </c>
      <c r="CD2" s="9" t="s">
        <v>25</v>
      </c>
      <c r="CE2" s="22" t="s">
        <v>31</v>
      </c>
      <c r="CF2" s="22" t="s">
        <v>30</v>
      </c>
      <c r="CG2" s="135" t="s">
        <v>43</v>
      </c>
      <c r="CH2" s="135"/>
      <c r="CI2" s="135"/>
      <c r="CJ2" s="135"/>
      <c r="CK2" s="135" t="s">
        <v>46</v>
      </c>
      <c r="CL2" s="135"/>
      <c r="CM2" s="135"/>
      <c r="CN2" s="135"/>
      <c r="CO2" s="135" t="s">
        <v>47</v>
      </c>
      <c r="CP2" s="135"/>
      <c r="CQ2" s="135"/>
      <c r="CR2" s="135"/>
      <c r="CS2" s="146" t="s">
        <v>48</v>
      </c>
      <c r="CT2" s="146"/>
      <c r="CU2" s="146"/>
      <c r="CV2" s="146"/>
      <c r="CW2" s="58" t="s">
        <v>32</v>
      </c>
      <c r="CX2" s="9" t="s">
        <v>31</v>
      </c>
      <c r="CY2" s="9" t="s">
        <v>139</v>
      </c>
      <c r="CZ2" s="9" t="s">
        <v>30</v>
      </c>
      <c r="DA2" s="9" t="s">
        <v>25</v>
      </c>
      <c r="DB2" s="138" t="s">
        <v>43</v>
      </c>
      <c r="DC2" s="138"/>
      <c r="DD2" s="138"/>
      <c r="DE2" s="138"/>
      <c r="DF2" s="138" t="s">
        <v>46</v>
      </c>
      <c r="DG2" s="138"/>
      <c r="DH2" s="138"/>
      <c r="DI2" s="138"/>
      <c r="DJ2" s="138" t="s">
        <v>47</v>
      </c>
      <c r="DK2" s="138"/>
      <c r="DL2" s="138"/>
      <c r="DM2" s="138"/>
      <c r="DN2" s="145" t="s">
        <v>48</v>
      </c>
      <c r="DO2" s="145"/>
      <c r="DP2" s="145"/>
      <c r="DQ2" s="145"/>
      <c r="DR2" s="57" t="s">
        <v>32</v>
      </c>
      <c r="DS2" s="12" t="s">
        <v>31</v>
      </c>
      <c r="DT2" s="12" t="s">
        <v>139</v>
      </c>
      <c r="DU2" s="12" t="s">
        <v>30</v>
      </c>
      <c r="DV2" s="12" t="s">
        <v>25</v>
      </c>
      <c r="DW2" s="135" t="s">
        <v>43</v>
      </c>
      <c r="DX2" s="135"/>
      <c r="DY2" s="135"/>
      <c r="DZ2" s="135"/>
      <c r="EA2" s="135" t="s">
        <v>46</v>
      </c>
      <c r="EB2" s="135"/>
      <c r="EC2" s="135"/>
      <c r="ED2" s="135"/>
      <c r="EE2" s="135" t="s">
        <v>47</v>
      </c>
      <c r="EF2" s="135"/>
      <c r="EG2" s="135"/>
      <c r="EH2" s="135"/>
      <c r="EI2" s="146" t="s">
        <v>48</v>
      </c>
      <c r="EJ2" s="146"/>
      <c r="EK2" s="146"/>
      <c r="EL2" s="146"/>
      <c r="EM2" s="58" t="s">
        <v>32</v>
      </c>
      <c r="EN2" s="9" t="s">
        <v>31</v>
      </c>
      <c r="EO2" s="9" t="s">
        <v>139</v>
      </c>
      <c r="EP2" s="9" t="s">
        <v>30</v>
      </c>
      <c r="EQ2" s="9" t="s">
        <v>25</v>
      </c>
      <c r="ER2" s="138" t="s">
        <v>43</v>
      </c>
      <c r="ES2" s="138"/>
      <c r="ET2" s="138"/>
      <c r="EU2" s="138"/>
      <c r="EV2" s="138" t="s">
        <v>46</v>
      </c>
      <c r="EW2" s="138"/>
      <c r="EX2" s="138"/>
      <c r="EY2" s="138"/>
      <c r="EZ2" s="138" t="s">
        <v>47</v>
      </c>
      <c r="FA2" s="138"/>
      <c r="FB2" s="138"/>
      <c r="FC2" s="138"/>
      <c r="FD2" s="145" t="s">
        <v>48</v>
      </c>
      <c r="FE2" s="145"/>
      <c r="FF2" s="145"/>
      <c r="FG2" s="145"/>
      <c r="FH2" s="20" t="s">
        <v>32</v>
      </c>
      <c r="FI2" s="12" t="s">
        <v>31</v>
      </c>
      <c r="FJ2" s="12" t="s">
        <v>139</v>
      </c>
      <c r="FK2" s="12" t="s">
        <v>30</v>
      </c>
      <c r="FL2" s="12" t="s">
        <v>25</v>
      </c>
      <c r="FM2" s="135" t="s">
        <v>43</v>
      </c>
      <c r="FN2" s="135"/>
      <c r="FO2" s="135"/>
      <c r="FP2" s="135"/>
      <c r="FQ2" s="135" t="s">
        <v>46</v>
      </c>
      <c r="FR2" s="135"/>
      <c r="FS2" s="135"/>
      <c r="FT2" s="135"/>
      <c r="FU2" s="135" t="s">
        <v>47</v>
      </c>
      <c r="FV2" s="135"/>
      <c r="FW2" s="135"/>
      <c r="FX2" s="135"/>
      <c r="FY2" s="146" t="s">
        <v>48</v>
      </c>
      <c r="FZ2" s="146"/>
      <c r="GA2" s="146"/>
      <c r="GB2" s="146"/>
      <c r="GC2" s="21" t="s">
        <v>32</v>
      </c>
      <c r="GD2" s="9" t="s">
        <v>31</v>
      </c>
      <c r="GE2" s="9" t="s">
        <v>139</v>
      </c>
      <c r="GF2" s="9" t="s">
        <v>30</v>
      </c>
      <c r="GG2" s="9" t="s">
        <v>25</v>
      </c>
      <c r="GH2" s="138" t="s">
        <v>43</v>
      </c>
      <c r="GI2" s="138"/>
      <c r="GJ2" s="138"/>
      <c r="GK2" s="138"/>
      <c r="GL2" s="138" t="s">
        <v>46</v>
      </c>
      <c r="GM2" s="138"/>
      <c r="GN2" s="138"/>
      <c r="GO2" s="138"/>
      <c r="GP2" s="138" t="s">
        <v>47</v>
      </c>
      <c r="GQ2" s="138"/>
      <c r="GR2" s="138"/>
      <c r="GS2" s="138"/>
      <c r="GT2" s="145" t="s">
        <v>48</v>
      </c>
      <c r="GU2" s="145"/>
      <c r="GV2" s="145"/>
      <c r="GW2" s="145"/>
      <c r="GX2" s="20" t="s">
        <v>32</v>
      </c>
      <c r="GY2" s="12" t="s">
        <v>31</v>
      </c>
      <c r="GZ2" s="12" t="s">
        <v>139</v>
      </c>
      <c r="HA2" s="12" t="s">
        <v>30</v>
      </c>
      <c r="HB2" s="12" t="s">
        <v>25</v>
      </c>
      <c r="HC2" s="135" t="s">
        <v>43</v>
      </c>
      <c r="HD2" s="135"/>
      <c r="HE2" s="135"/>
      <c r="HF2" s="135"/>
      <c r="HG2" s="135" t="s">
        <v>46</v>
      </c>
      <c r="HH2" s="135"/>
      <c r="HI2" s="135"/>
      <c r="HJ2" s="135"/>
      <c r="HK2" s="135" t="s">
        <v>47</v>
      </c>
      <c r="HL2" s="135"/>
      <c r="HM2" s="135"/>
      <c r="HN2" s="135"/>
      <c r="HO2" s="146" t="s">
        <v>48</v>
      </c>
      <c r="HP2" s="146"/>
      <c r="HQ2" s="146"/>
      <c r="HR2" s="146"/>
      <c r="HS2" s="21" t="s">
        <v>32</v>
      </c>
      <c r="HT2" s="9" t="s">
        <v>31</v>
      </c>
      <c r="HU2" s="9" t="s">
        <v>139</v>
      </c>
      <c r="HV2" s="9" t="s">
        <v>30</v>
      </c>
      <c r="HW2" s="9" t="s">
        <v>25</v>
      </c>
      <c r="HX2" s="138" t="s">
        <v>43</v>
      </c>
      <c r="HY2" s="138"/>
      <c r="HZ2" s="138"/>
      <c r="IA2" s="138"/>
      <c r="IB2" s="138" t="s">
        <v>46</v>
      </c>
      <c r="IC2" s="138"/>
      <c r="ID2" s="138"/>
      <c r="IE2" s="138"/>
      <c r="IF2" s="138" t="s">
        <v>47</v>
      </c>
      <c r="IG2" s="138"/>
      <c r="IH2" s="138"/>
      <c r="II2" s="138"/>
      <c r="IJ2" s="145" t="s">
        <v>48</v>
      </c>
      <c r="IK2" s="145"/>
      <c r="IL2" s="145"/>
      <c r="IM2" s="145"/>
      <c r="IN2" s="20" t="s">
        <v>32</v>
      </c>
      <c r="IO2" s="12" t="s">
        <v>31</v>
      </c>
      <c r="IP2" s="12" t="s">
        <v>139</v>
      </c>
      <c r="IQ2" s="12" t="s">
        <v>30</v>
      </c>
      <c r="IR2" s="12" t="s">
        <v>25</v>
      </c>
      <c r="IS2" s="135" t="s">
        <v>43</v>
      </c>
      <c r="IT2" s="135"/>
      <c r="IU2" s="135"/>
      <c r="IV2" s="135"/>
      <c r="IW2" s="135" t="s">
        <v>46</v>
      </c>
      <c r="IX2" s="135"/>
      <c r="IY2" s="135"/>
      <c r="IZ2" s="135"/>
      <c r="JA2" s="135" t="s">
        <v>47</v>
      </c>
      <c r="JB2" s="135"/>
      <c r="JC2" s="135"/>
      <c r="JD2" s="135"/>
      <c r="JE2" s="146" t="s">
        <v>48</v>
      </c>
      <c r="JF2" s="146"/>
      <c r="JG2" s="146"/>
      <c r="JH2" s="146"/>
      <c r="JI2" s="21" t="s">
        <v>32</v>
      </c>
      <c r="JJ2" s="9" t="s">
        <v>31</v>
      </c>
      <c r="JK2" s="9" t="s">
        <v>139</v>
      </c>
      <c r="JL2" s="9" t="s">
        <v>30</v>
      </c>
      <c r="JM2" s="9" t="s">
        <v>25</v>
      </c>
      <c r="JN2" s="138" t="s">
        <v>43</v>
      </c>
      <c r="JO2" s="138"/>
      <c r="JP2" s="138"/>
      <c r="JQ2" s="138"/>
      <c r="JR2" s="138" t="s">
        <v>46</v>
      </c>
      <c r="JS2" s="138"/>
      <c r="JT2" s="138"/>
      <c r="JU2" s="138"/>
      <c r="JV2" s="138" t="s">
        <v>47</v>
      </c>
      <c r="JW2" s="138"/>
      <c r="JX2" s="138"/>
      <c r="JY2" s="138"/>
      <c r="JZ2" s="145" t="s">
        <v>48</v>
      </c>
      <c r="KA2" s="145"/>
      <c r="KB2" s="145"/>
      <c r="KC2" s="145"/>
      <c r="KD2" s="20" t="s">
        <v>32</v>
      </c>
      <c r="KE2" s="12" t="s">
        <v>31</v>
      </c>
      <c r="KF2" s="12" t="s">
        <v>139</v>
      </c>
      <c r="KG2" s="12" t="s">
        <v>30</v>
      </c>
      <c r="KH2" s="12" t="s">
        <v>25</v>
      </c>
      <c r="KI2" s="135" t="s">
        <v>43</v>
      </c>
      <c r="KJ2" s="135"/>
      <c r="KK2" s="135"/>
      <c r="KL2" s="135"/>
      <c r="KM2" s="135" t="s">
        <v>46</v>
      </c>
      <c r="KN2" s="135"/>
      <c r="KO2" s="135"/>
      <c r="KP2" s="135"/>
      <c r="KQ2" s="135" t="s">
        <v>47</v>
      </c>
      <c r="KR2" s="135"/>
      <c r="KS2" s="135"/>
      <c r="KT2" s="135"/>
      <c r="KU2" s="146" t="s">
        <v>48</v>
      </c>
      <c r="KV2" s="146"/>
      <c r="KW2" s="146"/>
      <c r="KX2" s="146"/>
      <c r="KY2" s="21" t="s">
        <v>32</v>
      </c>
      <c r="KZ2" s="9" t="s">
        <v>31</v>
      </c>
      <c r="LA2" s="9" t="s">
        <v>139</v>
      </c>
      <c r="LB2" s="9" t="s">
        <v>30</v>
      </c>
      <c r="LC2" s="9" t="s">
        <v>25</v>
      </c>
      <c r="LD2" s="138" t="s">
        <v>43</v>
      </c>
      <c r="LE2" s="138"/>
      <c r="LF2" s="138"/>
      <c r="LG2" s="138"/>
      <c r="LH2" s="138" t="s">
        <v>46</v>
      </c>
      <c r="LI2" s="138"/>
      <c r="LJ2" s="138"/>
      <c r="LK2" s="138"/>
      <c r="LL2" s="138" t="s">
        <v>47</v>
      </c>
      <c r="LM2" s="138"/>
      <c r="LN2" s="138"/>
      <c r="LO2" s="138"/>
      <c r="LP2" s="145" t="s">
        <v>48</v>
      </c>
      <c r="LQ2" s="145"/>
      <c r="LR2" s="145"/>
      <c r="LS2" s="145"/>
      <c r="LT2" s="20" t="s">
        <v>32</v>
      </c>
      <c r="LU2" s="12" t="s">
        <v>31</v>
      </c>
      <c r="LV2" s="12" t="s">
        <v>139</v>
      </c>
      <c r="LW2" s="12" t="s">
        <v>30</v>
      </c>
      <c r="LX2" s="12" t="s">
        <v>25</v>
      </c>
      <c r="LY2" s="135" t="s">
        <v>43</v>
      </c>
      <c r="LZ2" s="135"/>
      <c r="MA2" s="135"/>
      <c r="MB2" s="135"/>
      <c r="MC2" s="135" t="s">
        <v>46</v>
      </c>
      <c r="MD2" s="135"/>
      <c r="ME2" s="135"/>
      <c r="MF2" s="135"/>
      <c r="MG2" s="135" t="s">
        <v>47</v>
      </c>
      <c r="MH2" s="135"/>
      <c r="MI2" s="135"/>
      <c r="MJ2" s="135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9" t="s">
        <v>139</v>
      </c>
      <c r="MS2" s="9" t="s">
        <v>30</v>
      </c>
      <c r="MT2" s="9" t="s">
        <v>25</v>
      </c>
    </row>
    <row r="3" spans="1:358" x14ac:dyDescent="0.2">
      <c r="A3" s="136"/>
      <c r="B3" s="136"/>
      <c r="C3" s="136"/>
      <c r="D3" s="136"/>
      <c r="E3" s="136"/>
      <c r="F3" s="144"/>
      <c r="G3" s="144"/>
      <c r="H3" s="136"/>
      <c r="I3" s="144"/>
      <c r="J3" s="141"/>
      <c r="K3" s="141"/>
      <c r="L3" s="141"/>
      <c r="M3" s="141"/>
      <c r="N3" s="140"/>
      <c r="O3" s="141"/>
      <c r="P3" s="141"/>
      <c r="Q3" s="58" t="s">
        <v>22</v>
      </c>
      <c r="R3" s="58" t="s">
        <v>14</v>
      </c>
      <c r="S3" s="58" t="s">
        <v>44</v>
      </c>
      <c r="T3" s="58" t="s">
        <v>45</v>
      </c>
      <c r="U3" s="58" t="s">
        <v>22</v>
      </c>
      <c r="V3" s="58" t="s">
        <v>14</v>
      </c>
      <c r="W3" s="58" t="s">
        <v>44</v>
      </c>
      <c r="X3" s="58" t="s">
        <v>45</v>
      </c>
      <c r="Y3" s="58" t="s">
        <v>22</v>
      </c>
      <c r="Z3" s="58" t="s">
        <v>14</v>
      </c>
      <c r="AA3" s="58" t="s">
        <v>44</v>
      </c>
      <c r="AB3" s="58" t="s">
        <v>45</v>
      </c>
      <c r="AC3" s="61" t="s">
        <v>22</v>
      </c>
      <c r="AD3" s="61" t="s">
        <v>14</v>
      </c>
      <c r="AE3" s="61" t="s">
        <v>44</v>
      </c>
      <c r="AF3" s="61" t="s">
        <v>45</v>
      </c>
      <c r="AG3" s="78" t="s">
        <v>90</v>
      </c>
      <c r="AH3" s="10"/>
      <c r="AI3" s="9"/>
      <c r="AJ3" s="9"/>
      <c r="AK3" s="10"/>
      <c r="AL3" s="10"/>
      <c r="AM3" s="57" t="s">
        <v>22</v>
      </c>
      <c r="AN3" s="57" t="s">
        <v>14</v>
      </c>
      <c r="AO3" s="57" t="s">
        <v>44</v>
      </c>
      <c r="AP3" s="57" t="s">
        <v>45</v>
      </c>
      <c r="AQ3" s="57" t="s">
        <v>22</v>
      </c>
      <c r="AR3" s="57" t="s">
        <v>14</v>
      </c>
      <c r="AS3" s="57" t="s">
        <v>44</v>
      </c>
      <c r="AT3" s="57" t="s">
        <v>45</v>
      </c>
      <c r="AU3" s="57" t="s">
        <v>22</v>
      </c>
      <c r="AV3" s="57" t="s">
        <v>14</v>
      </c>
      <c r="AW3" s="57" t="s">
        <v>44</v>
      </c>
      <c r="AX3" s="57" t="s">
        <v>45</v>
      </c>
      <c r="AY3" s="59" t="s">
        <v>22</v>
      </c>
      <c r="AZ3" s="59" t="s">
        <v>14</v>
      </c>
      <c r="BA3" s="59" t="s">
        <v>44</v>
      </c>
      <c r="BB3" s="59" t="s">
        <v>45</v>
      </c>
      <c r="BC3" s="79" t="s">
        <v>90</v>
      </c>
      <c r="BD3" s="13"/>
      <c r="BE3" s="12"/>
      <c r="BF3" s="12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90</v>
      </c>
      <c r="BZ3" s="10"/>
      <c r="CA3" s="9"/>
      <c r="CB3" s="9"/>
      <c r="CC3" s="10"/>
      <c r="CD3" s="10"/>
      <c r="CE3" s="23"/>
      <c r="CF3" s="23"/>
      <c r="CG3" s="58" t="s">
        <v>22</v>
      </c>
      <c r="CH3" s="58" t="s">
        <v>14</v>
      </c>
      <c r="CI3" s="58" t="s">
        <v>44</v>
      </c>
      <c r="CJ3" s="58" t="s">
        <v>45</v>
      </c>
      <c r="CK3" s="58" t="s">
        <v>22</v>
      </c>
      <c r="CL3" s="58" t="s">
        <v>14</v>
      </c>
      <c r="CM3" s="58" t="s">
        <v>44</v>
      </c>
      <c r="CN3" s="58" t="s">
        <v>45</v>
      </c>
      <c r="CO3" s="58" t="s">
        <v>22</v>
      </c>
      <c r="CP3" s="58" t="s">
        <v>14</v>
      </c>
      <c r="CQ3" s="58" t="s">
        <v>44</v>
      </c>
      <c r="CR3" s="58" t="s">
        <v>45</v>
      </c>
      <c r="CS3" s="60" t="s">
        <v>22</v>
      </c>
      <c r="CT3" s="60" t="s">
        <v>14</v>
      </c>
      <c r="CU3" s="60" t="s">
        <v>44</v>
      </c>
      <c r="CV3" s="60" t="s">
        <v>45</v>
      </c>
      <c r="CW3" s="10"/>
      <c r="CX3" s="9"/>
      <c r="CY3" s="9"/>
      <c r="CZ3" s="10"/>
      <c r="DA3" s="10"/>
      <c r="DB3" s="57" t="s">
        <v>22</v>
      </c>
      <c r="DC3" s="57" t="s">
        <v>14</v>
      </c>
      <c r="DD3" s="57" t="s">
        <v>44</v>
      </c>
      <c r="DE3" s="57" t="s">
        <v>45</v>
      </c>
      <c r="DF3" s="57" t="s">
        <v>22</v>
      </c>
      <c r="DG3" s="57" t="s">
        <v>14</v>
      </c>
      <c r="DH3" s="57" t="s">
        <v>44</v>
      </c>
      <c r="DI3" s="57" t="s">
        <v>45</v>
      </c>
      <c r="DJ3" s="57" t="s">
        <v>22</v>
      </c>
      <c r="DK3" s="57" t="s">
        <v>14</v>
      </c>
      <c r="DL3" s="57" t="s">
        <v>44</v>
      </c>
      <c r="DM3" s="57" t="s">
        <v>45</v>
      </c>
      <c r="DN3" s="59" t="s">
        <v>22</v>
      </c>
      <c r="DO3" s="59" t="s">
        <v>14</v>
      </c>
      <c r="DP3" s="59" t="s">
        <v>44</v>
      </c>
      <c r="DQ3" s="59" t="s">
        <v>45</v>
      </c>
      <c r="DR3" s="13"/>
      <c r="DS3" s="12"/>
      <c r="DT3" s="12"/>
      <c r="DU3" s="13"/>
      <c r="DV3" s="13"/>
      <c r="DW3" s="58" t="s">
        <v>22</v>
      </c>
      <c r="DX3" s="58" t="s">
        <v>14</v>
      </c>
      <c r="DY3" s="58" t="s">
        <v>44</v>
      </c>
      <c r="DZ3" s="58" t="s">
        <v>45</v>
      </c>
      <c r="EA3" s="58" t="s">
        <v>22</v>
      </c>
      <c r="EB3" s="58" t="s">
        <v>14</v>
      </c>
      <c r="EC3" s="58" t="s">
        <v>44</v>
      </c>
      <c r="ED3" s="58" t="s">
        <v>45</v>
      </c>
      <c r="EE3" s="58" t="s">
        <v>22</v>
      </c>
      <c r="EF3" s="58" t="s">
        <v>14</v>
      </c>
      <c r="EG3" s="58" t="s">
        <v>44</v>
      </c>
      <c r="EH3" s="58" t="s">
        <v>45</v>
      </c>
      <c r="EI3" s="60" t="s">
        <v>22</v>
      </c>
      <c r="EJ3" s="60" t="s">
        <v>14</v>
      </c>
      <c r="EK3" s="60" t="s">
        <v>44</v>
      </c>
      <c r="EL3" s="60" t="s">
        <v>45</v>
      </c>
      <c r="EM3" s="10"/>
      <c r="EN3" s="9"/>
      <c r="EO3" s="9"/>
      <c r="EP3" s="10"/>
      <c r="EQ3" s="10"/>
      <c r="ER3" s="28" t="s">
        <v>22</v>
      </c>
      <c r="ES3" s="28" t="s">
        <v>14</v>
      </c>
      <c r="ET3" s="28" t="s">
        <v>44</v>
      </c>
      <c r="EU3" s="28" t="s">
        <v>45</v>
      </c>
      <c r="EV3" s="28" t="s">
        <v>22</v>
      </c>
      <c r="EW3" s="28" t="s">
        <v>14</v>
      </c>
      <c r="EX3" s="28" t="s">
        <v>44</v>
      </c>
      <c r="EY3" s="28" t="s">
        <v>45</v>
      </c>
      <c r="EZ3" s="28" t="s">
        <v>22</v>
      </c>
      <c r="FA3" s="28" t="s">
        <v>14</v>
      </c>
      <c r="FB3" s="28" t="s">
        <v>44</v>
      </c>
      <c r="FC3" s="28" t="s">
        <v>45</v>
      </c>
      <c r="FD3" s="31" t="s">
        <v>22</v>
      </c>
      <c r="FE3" s="31" t="s">
        <v>14</v>
      </c>
      <c r="FF3" s="31" t="s">
        <v>44</v>
      </c>
      <c r="FG3" s="31" t="s">
        <v>45</v>
      </c>
      <c r="FH3" s="13"/>
      <c r="FI3" s="12"/>
      <c r="FJ3" s="12"/>
      <c r="FK3" s="13"/>
      <c r="FL3" s="13"/>
      <c r="FM3" s="29" t="s">
        <v>22</v>
      </c>
      <c r="FN3" s="29" t="s">
        <v>14</v>
      </c>
      <c r="FO3" s="29" t="s">
        <v>44</v>
      </c>
      <c r="FP3" s="29" t="s">
        <v>45</v>
      </c>
      <c r="FQ3" s="29" t="s">
        <v>22</v>
      </c>
      <c r="FR3" s="29" t="s">
        <v>14</v>
      </c>
      <c r="FS3" s="29" t="s">
        <v>44</v>
      </c>
      <c r="FT3" s="29" t="s">
        <v>45</v>
      </c>
      <c r="FU3" s="29" t="s">
        <v>22</v>
      </c>
      <c r="FV3" s="29" t="s">
        <v>14</v>
      </c>
      <c r="FW3" s="29" t="s">
        <v>44</v>
      </c>
      <c r="FX3" s="29" t="s">
        <v>45</v>
      </c>
      <c r="FY3" s="30" t="s">
        <v>22</v>
      </c>
      <c r="FZ3" s="30" t="s">
        <v>14</v>
      </c>
      <c r="GA3" s="30" t="s">
        <v>44</v>
      </c>
      <c r="GB3" s="30" t="s">
        <v>45</v>
      </c>
      <c r="GC3" s="10"/>
      <c r="GD3" s="9"/>
      <c r="GE3" s="9"/>
      <c r="GF3" s="10"/>
      <c r="GG3" s="10"/>
      <c r="GH3" s="28" t="s">
        <v>22</v>
      </c>
      <c r="GI3" s="28" t="s">
        <v>14</v>
      </c>
      <c r="GJ3" s="28" t="s">
        <v>44</v>
      </c>
      <c r="GK3" s="28" t="s">
        <v>45</v>
      </c>
      <c r="GL3" s="28" t="s">
        <v>22</v>
      </c>
      <c r="GM3" s="28" t="s">
        <v>14</v>
      </c>
      <c r="GN3" s="28" t="s">
        <v>44</v>
      </c>
      <c r="GO3" s="28" t="s">
        <v>45</v>
      </c>
      <c r="GP3" s="28" t="s">
        <v>22</v>
      </c>
      <c r="GQ3" s="28" t="s">
        <v>14</v>
      </c>
      <c r="GR3" s="28" t="s">
        <v>44</v>
      </c>
      <c r="GS3" s="28" t="s">
        <v>45</v>
      </c>
      <c r="GT3" s="31" t="s">
        <v>22</v>
      </c>
      <c r="GU3" s="31" t="s">
        <v>14</v>
      </c>
      <c r="GV3" s="31" t="s">
        <v>44</v>
      </c>
      <c r="GW3" s="31" t="s">
        <v>45</v>
      </c>
      <c r="GX3" s="13"/>
      <c r="GY3" s="12"/>
      <c r="GZ3" s="12"/>
      <c r="HA3" s="13"/>
      <c r="HB3" s="13"/>
      <c r="HC3" s="29" t="s">
        <v>22</v>
      </c>
      <c r="HD3" s="29" t="s">
        <v>14</v>
      </c>
      <c r="HE3" s="29" t="s">
        <v>44</v>
      </c>
      <c r="HF3" s="29" t="s">
        <v>45</v>
      </c>
      <c r="HG3" s="29" t="s">
        <v>22</v>
      </c>
      <c r="HH3" s="29" t="s">
        <v>14</v>
      </c>
      <c r="HI3" s="29" t="s">
        <v>44</v>
      </c>
      <c r="HJ3" s="29" t="s">
        <v>45</v>
      </c>
      <c r="HK3" s="29" t="s">
        <v>22</v>
      </c>
      <c r="HL3" s="29" t="s">
        <v>14</v>
      </c>
      <c r="HM3" s="29" t="s">
        <v>44</v>
      </c>
      <c r="HN3" s="29" t="s">
        <v>45</v>
      </c>
      <c r="HO3" s="30" t="s">
        <v>22</v>
      </c>
      <c r="HP3" s="30" t="s">
        <v>14</v>
      </c>
      <c r="HQ3" s="30" t="s">
        <v>44</v>
      </c>
      <c r="HR3" s="30" t="s">
        <v>45</v>
      </c>
      <c r="HS3" s="10"/>
      <c r="HT3" s="9"/>
      <c r="HU3" s="9"/>
      <c r="HV3" s="10"/>
      <c r="HW3" s="10"/>
      <c r="HX3" s="28" t="s">
        <v>22</v>
      </c>
      <c r="HY3" s="28" t="s">
        <v>14</v>
      </c>
      <c r="HZ3" s="28" t="s">
        <v>44</v>
      </c>
      <c r="IA3" s="28" t="s">
        <v>45</v>
      </c>
      <c r="IB3" s="28" t="s">
        <v>22</v>
      </c>
      <c r="IC3" s="28" t="s">
        <v>14</v>
      </c>
      <c r="ID3" s="28" t="s">
        <v>44</v>
      </c>
      <c r="IE3" s="28" t="s">
        <v>45</v>
      </c>
      <c r="IF3" s="28" t="s">
        <v>22</v>
      </c>
      <c r="IG3" s="28" t="s">
        <v>14</v>
      </c>
      <c r="IH3" s="28" t="s">
        <v>44</v>
      </c>
      <c r="II3" s="28" t="s">
        <v>45</v>
      </c>
      <c r="IJ3" s="31" t="s">
        <v>22</v>
      </c>
      <c r="IK3" s="31" t="s">
        <v>14</v>
      </c>
      <c r="IL3" s="31" t="s">
        <v>44</v>
      </c>
      <c r="IM3" s="31" t="s">
        <v>45</v>
      </c>
      <c r="IN3" s="13"/>
      <c r="IO3" s="12"/>
      <c r="IP3" s="12"/>
      <c r="IQ3" s="13"/>
      <c r="IR3" s="13"/>
      <c r="IS3" s="29" t="s">
        <v>22</v>
      </c>
      <c r="IT3" s="29" t="s">
        <v>14</v>
      </c>
      <c r="IU3" s="29" t="s">
        <v>44</v>
      </c>
      <c r="IV3" s="29" t="s">
        <v>45</v>
      </c>
      <c r="IW3" s="29" t="s">
        <v>22</v>
      </c>
      <c r="IX3" s="29" t="s">
        <v>14</v>
      </c>
      <c r="IY3" s="29" t="s">
        <v>44</v>
      </c>
      <c r="IZ3" s="29" t="s">
        <v>45</v>
      </c>
      <c r="JA3" s="29" t="s">
        <v>22</v>
      </c>
      <c r="JB3" s="29" t="s">
        <v>14</v>
      </c>
      <c r="JC3" s="29" t="s">
        <v>44</v>
      </c>
      <c r="JD3" s="29" t="s">
        <v>45</v>
      </c>
      <c r="JE3" s="30" t="s">
        <v>22</v>
      </c>
      <c r="JF3" s="30" t="s">
        <v>14</v>
      </c>
      <c r="JG3" s="30" t="s">
        <v>44</v>
      </c>
      <c r="JH3" s="30" t="s">
        <v>45</v>
      </c>
      <c r="JI3" s="10"/>
      <c r="JJ3" s="9"/>
      <c r="JK3" s="9"/>
      <c r="JL3" s="10"/>
      <c r="JM3" s="10"/>
      <c r="JN3" s="28" t="s">
        <v>22</v>
      </c>
      <c r="JO3" s="28" t="s">
        <v>14</v>
      </c>
      <c r="JP3" s="28" t="s">
        <v>44</v>
      </c>
      <c r="JQ3" s="28" t="s">
        <v>45</v>
      </c>
      <c r="JR3" s="28" t="s">
        <v>22</v>
      </c>
      <c r="JS3" s="28" t="s">
        <v>14</v>
      </c>
      <c r="JT3" s="28" t="s">
        <v>44</v>
      </c>
      <c r="JU3" s="28" t="s">
        <v>45</v>
      </c>
      <c r="JV3" s="28" t="s">
        <v>22</v>
      </c>
      <c r="JW3" s="28" t="s">
        <v>14</v>
      </c>
      <c r="JX3" s="28" t="s">
        <v>44</v>
      </c>
      <c r="JY3" s="28" t="s">
        <v>45</v>
      </c>
      <c r="JZ3" s="31" t="s">
        <v>22</v>
      </c>
      <c r="KA3" s="31" t="s">
        <v>14</v>
      </c>
      <c r="KB3" s="31" t="s">
        <v>44</v>
      </c>
      <c r="KC3" s="31" t="s">
        <v>45</v>
      </c>
      <c r="KD3" s="13"/>
      <c r="KE3" s="12"/>
      <c r="KF3" s="12"/>
      <c r="KG3" s="13"/>
      <c r="KH3" s="13"/>
      <c r="KI3" s="29" t="s">
        <v>22</v>
      </c>
      <c r="KJ3" s="29" t="s">
        <v>14</v>
      </c>
      <c r="KK3" s="29" t="s">
        <v>44</v>
      </c>
      <c r="KL3" s="29" t="s">
        <v>45</v>
      </c>
      <c r="KM3" s="29" t="s">
        <v>22</v>
      </c>
      <c r="KN3" s="29" t="s">
        <v>14</v>
      </c>
      <c r="KO3" s="29" t="s">
        <v>44</v>
      </c>
      <c r="KP3" s="29" t="s">
        <v>45</v>
      </c>
      <c r="KQ3" s="29" t="s">
        <v>22</v>
      </c>
      <c r="KR3" s="29" t="s">
        <v>14</v>
      </c>
      <c r="KS3" s="29" t="s">
        <v>44</v>
      </c>
      <c r="KT3" s="29" t="s">
        <v>45</v>
      </c>
      <c r="KU3" s="30" t="s">
        <v>22</v>
      </c>
      <c r="KV3" s="30" t="s">
        <v>14</v>
      </c>
      <c r="KW3" s="30" t="s">
        <v>44</v>
      </c>
      <c r="KX3" s="30" t="s">
        <v>45</v>
      </c>
      <c r="KY3" s="10"/>
      <c r="KZ3" s="9"/>
      <c r="LA3" s="9"/>
      <c r="LB3" s="10"/>
      <c r="LC3" s="10"/>
      <c r="LD3" s="28" t="s">
        <v>22</v>
      </c>
      <c r="LE3" s="28" t="s">
        <v>14</v>
      </c>
      <c r="LF3" s="28" t="s">
        <v>44</v>
      </c>
      <c r="LG3" s="28" t="s">
        <v>45</v>
      </c>
      <c r="LH3" s="28" t="s">
        <v>22</v>
      </c>
      <c r="LI3" s="28" t="s">
        <v>14</v>
      </c>
      <c r="LJ3" s="28" t="s">
        <v>44</v>
      </c>
      <c r="LK3" s="28" t="s">
        <v>45</v>
      </c>
      <c r="LL3" s="28" t="s">
        <v>22</v>
      </c>
      <c r="LM3" s="28" t="s">
        <v>14</v>
      </c>
      <c r="LN3" s="28" t="s">
        <v>44</v>
      </c>
      <c r="LO3" s="28" t="s">
        <v>45</v>
      </c>
      <c r="LP3" s="31" t="s">
        <v>22</v>
      </c>
      <c r="LQ3" s="31" t="s">
        <v>14</v>
      </c>
      <c r="LR3" s="31" t="s">
        <v>44</v>
      </c>
      <c r="LS3" s="31" t="s">
        <v>45</v>
      </c>
      <c r="LT3" s="13"/>
      <c r="LU3" s="12"/>
      <c r="LV3" s="12"/>
      <c r="LW3" s="13"/>
      <c r="LX3" s="13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90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IF(AND(F4="P",G4="P"),SUMPRODUCT((F$4:F$7="P")*(G$4:G$7="P")*(E$4:E$7&gt;E4))+1,IF(G4="P",SUMPRODUCT((F$4:F$7="")*(G$4:G$7="P")*(E$4:E$7&gt;E4))+1+SUMPRODUCT((F$4:F$7="P")*(G$4:G$7="P")),""))</f>
        <v>1</v>
      </c>
      <c r="B4" s="6" t="s">
        <v>86</v>
      </c>
      <c r="C4" s="7" t="s">
        <v>3</v>
      </c>
      <c r="D4" s="27">
        <v>2000</v>
      </c>
      <c r="E4" s="15">
        <f>SUM(J4:N4)</f>
        <v>127</v>
      </c>
      <c r="F4" s="3" t="str">
        <f>IF(OR(AND(AH4&gt;=AL$9,AI4&gt;=AL$13,AI4&lt;&gt;"",AG4=""),AND(BD4&gt;=BH$9,BE4&gt;=BH$13,BE4&lt;&gt;"",BC4=""),AND(BZ4&gt;=CD$9,CA4&gt;=CD$13,CA4&lt;&gt;"",BY4=""),AND(CW4&gt;=DA$9,CX4&gt;=DA$13,CX4&lt;&gt;""),AND(DR4&gt;=DV$9,DS4&gt;=DV$13,DS4&lt;&gt;""),AND(EM4&gt;=EQ$9,EN4&gt;=EQ$13,EN4&lt;&gt;""),AND(FH4&gt;=FL$9,FI4&gt;=FL$13,FI4&lt;&gt;""),AND(GC4&gt;=GG$9,GD4&gt;=GG$13,GD4&lt;&gt;""),AND(GX4&gt;=HB$9,GY4&gt;=HB$13,GY4&lt;&gt;""),AND(HS4&gt;=HW$9,HT4&gt;=HW$13,HT4&lt;&gt;""),AND(IN4&gt;=IR$9,IO4&gt;=IR$13,IO4&lt;&gt;""),AND(JI4&gt;=JM$9,JJ4&gt;=JM$13,JJ4&lt;&gt;""),AND(KD4&gt;=KH$9,KE4&gt;=KH$13,KE4&lt;&gt;""),AND(KY4&gt;=LC$9,KZ4&gt;=LC$13,KZ4&lt;&gt;""),AND(LT4&gt;=LX$9,LU4&gt;=LX$13,LU4&lt;&gt;"")),"P","")</f>
        <v>P</v>
      </c>
      <c r="G4" s="3" t="str">
        <f>IF(OR(AND(AI4&gt;=AL$13,AI4&lt;&gt;"",AG4=""),AND(BE4&gt;=BH$13,BE4&lt;&gt;"",BC4=""),AND(CA4&gt;=CD$13,CA4&lt;&gt;"",BY4=""),AND(CX4&gt;=DA$13,CX4&lt;&gt;""),AND(DS4&gt;=DV$13,DS4&lt;&gt;""),AND(EN4&gt;=EQ$13,EN4&lt;&gt;""),AND(FI4&gt;=FL$13,FI4&lt;&gt;""),AND(GD4&gt;=GG$13,GD4&lt;&gt;""),AND(GY4&gt;=HB$13,GY4&lt;&gt;""),AND(HT4&gt;=HW$13,HT4&lt;&gt;""),AND(IO4&gt;=IR$13,IO4&lt;&gt;""),AND(JJ4&gt;=JM$13,JJ4&lt;&gt;""),AND(KE4&gt;=KH$13,KE4&lt;&gt;""),AND(KZ4&gt;=LC$13,KZ4&lt;&gt;""),AND(LU4&gt;=LX$13,LU4&lt;&gt;"")),"P","")</f>
        <v>P</v>
      </c>
      <c r="H4" s="126" t="str">
        <f>IF(AND(G4="P",F4=""),"No DD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Merit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Excellence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Worlds Team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National Team","")))))</f>
        <v>Excellence</v>
      </c>
      <c r="I4" s="3" t="str">
        <f>IF(OR(H4="Worlds Team",H4="Excellence",H4="Merit"),"P","")</f>
        <v>P</v>
      </c>
      <c r="J4" s="14">
        <f>MAX(AI4,BE4,CA4)</f>
        <v>65.099999999999994</v>
      </c>
      <c r="K4" s="14" t="str">
        <f>IF(J4=0,"",IF(J4=CA4,$BI$1,IF(J4=BE4,$AM$1,IF(J4=AI4,$Q$1,""))))</f>
        <v>2019 Nationals</v>
      </c>
      <c r="L4" s="14">
        <f>MAX(AK4,BG4,CC4)</f>
        <v>61.9</v>
      </c>
      <c r="M4" s="14" t="str">
        <f>IF(L4=0,"",IF(J4=CC4,$BI$1,IF(L4=BG4,$AM$1,IF(L4=AK4,$Q$1,""))))</f>
        <v>2019 Elite Canada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1">
        <v>24.6</v>
      </c>
      <c r="R4" s="41">
        <v>6.1</v>
      </c>
      <c r="S4" s="41">
        <v>0</v>
      </c>
      <c r="T4" s="41">
        <v>0</v>
      </c>
      <c r="U4" s="41">
        <v>27.9</v>
      </c>
      <c r="V4" s="41">
        <v>4.5</v>
      </c>
      <c r="W4" s="41">
        <v>0</v>
      </c>
      <c r="X4" s="41">
        <v>0</v>
      </c>
      <c r="Y4" s="41">
        <v>26.4</v>
      </c>
      <c r="Z4" s="41">
        <v>3.5</v>
      </c>
      <c r="AA4" s="41">
        <v>0</v>
      </c>
      <c r="AB4" s="41">
        <v>0</v>
      </c>
      <c r="AC4" s="41">
        <v>27.5</v>
      </c>
      <c r="AD4" s="41">
        <v>4.5</v>
      </c>
      <c r="AE4" s="41">
        <v>0</v>
      </c>
      <c r="AF4" s="41">
        <v>0</v>
      </c>
      <c r="AG4" s="80"/>
      <c r="AH4" s="11">
        <f>IF(SUM(R4,V4)&gt;0,SUM(R4,V4),"")</f>
        <v>10.6</v>
      </c>
      <c r="AI4" s="11">
        <f>IF(SUM(Q4:R4,T4:V4,X4)-S4-W4&gt;0,SUM(Q4:R4,T4:V4,X4)-S4-W4,"")</f>
        <v>63.1</v>
      </c>
      <c r="AJ4" s="11">
        <f>IF(SUM(Z4,AD4)&gt;0,SUM(Z4,AD4),"")</f>
        <v>8</v>
      </c>
      <c r="AK4" s="11">
        <f>IF(SUM(Y4:Z4,AB4:AD4,AF4)-SUM(AA4,AE4)&gt;0,SUM(Y4:Z4,AB4:AD4,AF4)-SUM(AA4,AE4),"")</f>
        <v>61.9</v>
      </c>
      <c r="AL4" s="11">
        <f>IF(SUM(AI4,AK4)&gt;0,SUM(AI4,AK4),"")</f>
        <v>125</v>
      </c>
      <c r="AM4" s="38">
        <v>26.5</v>
      </c>
      <c r="AN4" s="38">
        <v>6.1</v>
      </c>
      <c r="AO4" s="38">
        <v>0</v>
      </c>
      <c r="AP4" s="38">
        <v>0</v>
      </c>
      <c r="AQ4" s="38">
        <v>28</v>
      </c>
      <c r="AR4" s="38">
        <v>4.5</v>
      </c>
      <c r="AS4" s="38">
        <v>0</v>
      </c>
      <c r="AT4" s="38">
        <v>0</v>
      </c>
      <c r="AU4" s="38">
        <v>16.899999999999999</v>
      </c>
      <c r="AV4" s="38">
        <v>2.8</v>
      </c>
      <c r="AW4" s="38">
        <v>0</v>
      </c>
      <c r="AX4" s="38">
        <v>0</v>
      </c>
      <c r="AY4" s="38">
        <v>26.4</v>
      </c>
      <c r="AZ4" s="38">
        <v>6.1</v>
      </c>
      <c r="BA4" s="38">
        <v>0</v>
      </c>
      <c r="BB4" s="38">
        <v>0</v>
      </c>
      <c r="BC4" s="81"/>
      <c r="BD4" s="14">
        <f>IF(SUM(AN4,AR4)&gt;0,SUM(AN4,AR4),"")</f>
        <v>10.6</v>
      </c>
      <c r="BE4" s="14">
        <f>IF(SUM(AM4:AN4,AP4:AR4,AT4)-AO4-AS4&gt;0,SUM(AM4:AN4,AP4:AR4,AT4)-AO4-AS4,"")</f>
        <v>65.099999999999994</v>
      </c>
      <c r="BF4" s="14">
        <f>IF(SUM(AV4,AZ4)&gt;0,SUM(AV4,AZ4),"")</f>
        <v>8.8999999999999986</v>
      </c>
      <c r="BG4" s="14">
        <f>IF(SUM(AU4:AV4,AX4:AZ4,BB4)-SUM(AW4,BA4)&gt;0,SUM(AU4:AV4,AX4:AZ4,BB4)-SUM(AW4,BA4),"")</f>
        <v>52.199999999999996</v>
      </c>
      <c r="BH4" s="14">
        <f>IF(SUM(BE4,BG4)&gt;0,SUM(BE4,BG4),"")</f>
        <v>117.29999999999998</v>
      </c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80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>
        <v>23.9</v>
      </c>
      <c r="CH4" s="37">
        <v>6.1</v>
      </c>
      <c r="CI4" s="37">
        <v>0</v>
      </c>
      <c r="CJ4" s="37">
        <v>0</v>
      </c>
      <c r="CK4" s="37">
        <v>26</v>
      </c>
      <c r="CL4" s="37">
        <v>4.5</v>
      </c>
      <c r="CM4" s="37">
        <v>0</v>
      </c>
      <c r="CN4" s="37">
        <v>0</v>
      </c>
      <c r="CO4" s="37"/>
      <c r="CP4" s="37"/>
      <c r="CQ4" s="37"/>
      <c r="CR4" s="37"/>
      <c r="CS4" s="37"/>
      <c r="CT4" s="37"/>
      <c r="CU4" s="37"/>
      <c r="CV4" s="37"/>
      <c r="CW4" s="11">
        <f>IF(SUM(CH4,CL4)&gt;0,SUM(CH4,CL4),"")</f>
        <v>10.6</v>
      </c>
      <c r="CX4" s="11">
        <f>IF(SUM(CG4:CH4,CJ4:CL4,CN4)-CI4-CM4&gt;0,SUM(CG4:CH4,CJ4:CL4,CN4)-CI4-CM4,"")</f>
        <v>60.5</v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>
        <f>IF(SUM(CX4,CZ4)&gt;0,SUM(CX4,CZ4),"")</f>
        <v>60.5</v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13.25</v>
      </c>
      <c r="LZ4" s="69">
        <f>IF($BY4="P",BJ4,(BJ4+AN4)/2)</f>
        <v>3.05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14</v>
      </c>
      <c r="MD4" s="69">
        <f>IF($BY4="P",BN4,(BN4+AR4)/2)</f>
        <v>2.25</v>
      </c>
      <c r="ME4" s="69">
        <f>IF($BY4="P",BO4,(BO4+AS4)/2)</f>
        <v>0</v>
      </c>
      <c r="MF4" s="69">
        <f>IF($BY4="P",BP4,(BP4+AT4)/2)</f>
        <v>0</v>
      </c>
      <c r="MG4" s="69">
        <f>IF($BY4="P",BQ4,(BQ4+AU4)/2)</f>
        <v>8.4499999999999993</v>
      </c>
      <c r="MH4" s="69">
        <f>IF($BY4="P",BR4,(BR4+AV4)/2)</f>
        <v>1.4</v>
      </c>
      <c r="MI4" s="69">
        <f>IF($BY4="P",BS4,(BS4+AW4)/2)</f>
        <v>0</v>
      </c>
      <c r="MJ4" s="69">
        <f>IF($BY4="P",BT4,(BT4+AX4)/2)</f>
        <v>0</v>
      </c>
      <c r="MK4" s="69">
        <f>IF($BY4="P",BU4,(BU4+AY4)/2)</f>
        <v>13.2</v>
      </c>
      <c r="ML4" s="69">
        <f>IF($BY4="P",BV4,(BV4+AZ4)/2)</f>
        <v>3.05</v>
      </c>
      <c r="MM4" s="69">
        <f>IF($BY4="P",BW4,(BW4+BA4)/2)</f>
        <v>0</v>
      </c>
      <c r="MN4" s="69">
        <f>IF($BY4="P",BX4,(BX4+BB4)/2)</f>
        <v>0</v>
      </c>
      <c r="MO4" s="80" t="s">
        <v>91</v>
      </c>
      <c r="MP4" s="11">
        <f>IF(SUM(LZ4,MD4)&gt;0,SUM(LZ4,MD4),"")</f>
        <v>5.3</v>
      </c>
      <c r="MQ4" s="11">
        <f>IF(SUM(LY4:LZ4,MB4:MD4,MF4)-MA4-ME4&gt;0,SUM(LY4:LZ4,MB4:MD4,MF4)-MA4-ME4,"")</f>
        <v>32.549999999999997</v>
      </c>
      <c r="MR4" s="11">
        <f>IF(SUM(MH4,ML4)&gt;0,SUM(MH4,ML4),"")</f>
        <v>4.4499999999999993</v>
      </c>
      <c r="MS4" s="11">
        <f>IF(SUM(MG4:MH4,MJ4:ML4,MN4)-SUM(MI4,MM4)&gt;0,SUM(MG4:MH4,MJ4:ML4,MN4)-SUM(MI4,MM4),"")</f>
        <v>26.099999999999998</v>
      </c>
      <c r="MT4" s="11">
        <f>IF(SUM(MQ4,MS4)&gt;0,SUM(MQ4,MS4),"")</f>
        <v>58.649999999999991</v>
      </c>
    </row>
    <row r="5" spans="1:358" x14ac:dyDescent="0.2">
      <c r="A5" s="5">
        <f>IF(AND(F5="P",G5="P"),SUMPRODUCT((F$4:F$7="P")*(G$4:G$7="P")*(E$4:E$7&gt;E5))+1,IF(G5="P",SUMPRODUCT((F$4:F$7="")*(G$4:G$7="P")*(E$4:E$7&gt;E5))+1+SUMPRODUCT((F$4:F$7="P")*(G$4:G$7="P")),""))</f>
        <v>2</v>
      </c>
      <c r="B5" s="6" t="s">
        <v>185</v>
      </c>
      <c r="C5" s="7" t="s">
        <v>3</v>
      </c>
      <c r="D5" s="27">
        <v>2003</v>
      </c>
      <c r="E5" s="15">
        <f>SUM(J5:N5)</f>
        <v>121.39999999999999</v>
      </c>
      <c r="F5" s="3" t="str">
        <f>IF(OR(AND(AH5&gt;=AL$9,AI5&gt;=AL$13,AI5&lt;&gt;"",AG5=""),AND(BD5&gt;=BH$9,BE5&gt;=BH$13,BE5&lt;&gt;"",BC5=""),AND(BZ5&gt;=CD$9,CA5&gt;=CD$13,CA5&lt;&gt;"",BY5=""),AND(CW5&gt;=DA$9,CX5&gt;=DA$13,CX5&lt;&gt;""),AND(DR5&gt;=DV$9,DS5&gt;=DV$13,DS5&lt;&gt;""),AND(EM5&gt;=EQ$9,EN5&gt;=EQ$13,EN5&lt;&gt;""),AND(FH5&gt;=FL$9,FI5&gt;=FL$13,FI5&lt;&gt;""),AND(GC5&gt;=GG$9,GD5&gt;=GG$13,GD5&lt;&gt;""),AND(GX5&gt;=HB$9,GY5&gt;=HB$13,GY5&lt;&gt;""),AND(HS5&gt;=HW$9,HT5&gt;=HW$13,HT5&lt;&gt;""),AND(IN5&gt;=IR$9,IO5&gt;=IR$13,IO5&lt;&gt;""),AND(JI5&gt;=JM$9,JJ5&gt;=JM$13,JJ5&lt;&gt;""),AND(KD5&gt;=KH$9,KE5&gt;=KH$13,KE5&lt;&gt;""),AND(KY5&gt;=LC$9,KZ5&gt;=LC$13,KZ5&lt;&gt;""),AND(LT5&gt;=LX$9,LU5&gt;=LX$13,LU5&lt;&gt;"")),"P","")</f>
        <v>P</v>
      </c>
      <c r="G5" s="3" t="str">
        <f>IF(OR(AND(AI5&gt;=AL$13,AI5&lt;&gt;"",AG5=""),AND(BE5&gt;=BH$13,BE5&lt;&gt;"",BC5=""),AND(CA5&gt;=CD$13,CA5&lt;&gt;"",BY5=""),AND(CX5&gt;=DA$13,CX5&lt;&gt;""),AND(DS5&gt;=DV$13,DS5&lt;&gt;""),AND(EN5&gt;=EQ$13,EN5&lt;&gt;""),AND(FI5&gt;=FL$13,FI5&lt;&gt;""),AND(GD5&gt;=GG$13,GD5&lt;&gt;""),AND(GY5&gt;=HB$13,GY5&lt;&gt;""),AND(HT5&gt;=HW$13,HT5&lt;&gt;""),AND(IO5&gt;=IR$13,IO5&lt;&gt;""),AND(JJ5&gt;=JM$13,JJ5&lt;&gt;""),AND(KE5&gt;=KH$13,KE5&lt;&gt;""),AND(KZ5&gt;=LC$13,KZ5&lt;&gt;""),AND(LU5&gt;=LX$13,LU5&lt;&gt;"")),"P","")</f>
        <v>P</v>
      </c>
      <c r="H5" s="126" t="str">
        <f>IF(AND(G5="P",F5=""),"No DD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Merit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Excellence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Worlds Team",IF(OR(AND(AI5&gt;=AL$13,AI5&lt;&gt;"",AH5&gt;=AL$9,AH5&lt;&gt;"",AG5=""),AND(BE5&gt;=BH$13,BE5&lt;&gt;"",BD5&gt;=BH$9,BD5&lt;&gt;"",BC5=""),AND(CA5&gt;=CD$13,CA5&lt;&gt;"",BZ5&gt;=CD$9,BZ5&lt;&gt;"",BY5=""),AND(CX5&gt;=DA$13,CX5&lt;&gt;"",CW5&gt;=DA$9,CW5&lt;&gt;""),AND(DS5&gt;=DV$13,DS5&lt;&gt;"",DR5&gt;=DV$9,DR5&lt;&gt;""),AND(EN5&gt;=EQ$13,EN5&lt;&gt;"",EM5&gt;=EQ$9,EM5&lt;&gt;""),AND(FI5&gt;=FL$13,FI5&lt;&gt;"",FH5&gt;=FL$9,FH5&lt;&gt;""),AND(GD5&gt;=GG$13,GD5&lt;&gt;"",GC5&gt;=GG$9,GC5&lt;&gt;""),AND(GY5&gt;=HB$13,GY5&lt;&gt;"",GX5&gt;=HB$9,GX5&lt;&gt;""),AND(HT5&gt;=HW$13,HT5&lt;&gt;"",HS5&gt;=HW$9,HS5&lt;&gt;""),AND(IO5&gt;=IR$13,IO5&lt;&gt;"",IN5&gt;=IR$9,IN5&lt;&gt;""),AND(JJ5&gt;=JM$13,JJ5&lt;&gt;"",JI5&gt;=JM$9,JI5&lt;&gt;""),AND(KE5&gt;=KH$13,KE5&lt;&gt;"",KD5&gt;=KH$9,KD5&lt;&gt;""),AND(KZ5&gt;=LC$13,KZ5&lt;&gt;"",KY5&gt;=LC$9,KY5&lt;&gt;""),AND(LU5&gt;=LX$13,LU5&lt;&gt;"",LT5&gt;=LX$9,LT5&lt;&gt;"")),"National Team","")))))</f>
        <v>Worlds Team</v>
      </c>
      <c r="I5" s="3" t="str">
        <f>IF(OR(H5="Worlds Team",H5="Excellence",H5="Merit"),"P","")</f>
        <v>P</v>
      </c>
      <c r="J5" s="14">
        <f>MAX(AI5,BE5,CA5)</f>
        <v>63.599999999999994</v>
      </c>
      <c r="K5" s="14" t="str">
        <f>IF(J5=0,"",IF(J5=CA5,$BI$1,IF(J5=BE5,$AM$1,IF(J5=AI5,$Q$1,""))))</f>
        <v>2019 Nationals</v>
      </c>
      <c r="L5" s="14">
        <f>MAX(AK5,BG5,CC5)</f>
        <v>57.8</v>
      </c>
      <c r="M5" s="14" t="str">
        <f>IF(L5=0,"",IF(J5=CC5,$BI$1,IF(L5=BG5,$AM$1,IF(L5=AK5,$Q$1,""))))</f>
        <v>2019 Elite Canada</v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>
        <v>26.5</v>
      </c>
      <c r="R5" s="41">
        <v>4.3</v>
      </c>
      <c r="S5" s="41">
        <v>0</v>
      </c>
      <c r="T5" s="41">
        <v>0</v>
      </c>
      <c r="U5" s="41">
        <v>25.8</v>
      </c>
      <c r="V5" s="41">
        <v>4.3</v>
      </c>
      <c r="W5" s="41">
        <v>0</v>
      </c>
      <c r="X5" s="41">
        <v>1</v>
      </c>
      <c r="Y5" s="41">
        <v>25.2</v>
      </c>
      <c r="Z5" s="41">
        <v>6.1</v>
      </c>
      <c r="AA5" s="41">
        <v>0</v>
      </c>
      <c r="AB5" s="41">
        <v>1</v>
      </c>
      <c r="AC5" s="41">
        <v>23.6</v>
      </c>
      <c r="AD5" s="41">
        <v>1.9</v>
      </c>
      <c r="AE5" s="41">
        <v>0</v>
      </c>
      <c r="AF5" s="41">
        <v>0</v>
      </c>
      <c r="AG5" s="80"/>
      <c r="AH5" s="11">
        <f>IF(SUM(R5,V5)&gt;0,SUM(R5,V5),"")</f>
        <v>8.6</v>
      </c>
      <c r="AI5" s="11">
        <f>IF(SUM(Q5:R5,T5:V5,X5)-S5-W5&gt;0,SUM(Q5:R5,T5:V5,X5)-S5-W5,"")</f>
        <v>61.9</v>
      </c>
      <c r="AJ5" s="11">
        <f>IF(SUM(Z5,AD5)&gt;0,SUM(Z5,AD5),"")</f>
        <v>8</v>
      </c>
      <c r="AK5" s="11">
        <f>IF(SUM(Y5:Z5,AB5:AD5,AF5)-SUM(AA5,AE5)&gt;0,SUM(Y5:Z5,AB5:AD5,AF5)-SUM(AA5,AE5),"")</f>
        <v>57.8</v>
      </c>
      <c r="AL5" s="11">
        <f>IF(SUM(AI5,AK5)&gt;0,SUM(AI5,AK5),"")</f>
        <v>119.69999999999999</v>
      </c>
      <c r="AM5" s="38">
        <v>25</v>
      </c>
      <c r="AN5" s="38">
        <v>6.1</v>
      </c>
      <c r="AO5" s="38">
        <v>0</v>
      </c>
      <c r="AP5" s="38">
        <v>1</v>
      </c>
      <c r="AQ5" s="38">
        <v>26.2</v>
      </c>
      <c r="AR5" s="38">
        <v>4.3</v>
      </c>
      <c r="AS5" s="38">
        <v>0</v>
      </c>
      <c r="AT5" s="38">
        <v>1</v>
      </c>
      <c r="AU5" s="38">
        <v>23.3</v>
      </c>
      <c r="AV5" s="38">
        <v>2.9</v>
      </c>
      <c r="AW5" s="38">
        <v>0</v>
      </c>
      <c r="AX5" s="38">
        <v>0</v>
      </c>
      <c r="AY5" s="38"/>
      <c r="AZ5" s="38"/>
      <c r="BA5" s="38"/>
      <c r="BB5" s="38"/>
      <c r="BC5" s="81"/>
      <c r="BD5" s="14">
        <f>IF(SUM(AN5,AR5)&gt;0,SUM(AN5,AR5),"")</f>
        <v>10.399999999999999</v>
      </c>
      <c r="BE5" s="14">
        <f>IF(SUM(AM5:AN5,AP5:AR5,AT5)-AO5-AS5&gt;0,SUM(AM5:AN5,AP5:AR5,AT5)-AO5-AS5,"")</f>
        <v>63.599999999999994</v>
      </c>
      <c r="BF5" s="14">
        <f>IF(SUM(AV5,AZ5)&gt;0,SUM(AV5,AZ5),"")</f>
        <v>2.9</v>
      </c>
      <c r="BG5" s="14">
        <f>IF(SUM(AU5:AV5,AX5:AZ5,BB5)-SUM(AW5,BA5)&gt;0,SUM(AU5:AV5,AX5:AZ5,BB5)-SUM(AW5,BA5),"")</f>
        <v>26.2</v>
      </c>
      <c r="BH5" s="14">
        <f>IF(SUM(BE5,BG5)&gt;0,SUM(BE5,BG5),"")</f>
        <v>89.8</v>
      </c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80"/>
      <c r="BZ5" s="11" t="str">
        <f>IF(SUM(BJ5,BN5)&gt;0,SUM(BJ5,BN5),"")</f>
        <v/>
      </c>
      <c r="CA5" s="11" t="str">
        <f>IF(SUM(BI5:BJ5,BL5:BN5,BP5)-BK5-BO5&gt;0,SUM(BI5:BJ5,BL5:BN5,BP5)-BK5-BO5,"")</f>
        <v/>
      </c>
      <c r="CB5" s="11"/>
      <c r="CC5" s="11" t="str">
        <f>IF(SUM(BQ5:BR5,BT5:BV5,BX5)-SUM(BS5,BW5)&gt;0,SUM(BQ5:BR5,BT5:BV5,BX5)-SUM(BS5,BW5),"")</f>
        <v/>
      </c>
      <c r="CD5" s="11" t="str">
        <f>IF(SUM(CA5,CC5)&gt;0,SUM(CA5,CC5),"")</f>
        <v/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12.5</v>
      </c>
      <c r="LZ5" s="69">
        <f>IF($BY5="P",BJ5,(BJ5+AN5)/2)</f>
        <v>3.05</v>
      </c>
      <c r="MA5" s="69">
        <f>IF($BY5="P",BK5,(BK5+AO5)/2)</f>
        <v>0</v>
      </c>
      <c r="MB5" s="69">
        <f>IF($BY5="P",BL5,(BL5+AP5)/2)</f>
        <v>0.5</v>
      </c>
      <c r="MC5" s="69">
        <f>IF($BY5="P",BM5,(BM5+AQ5)/2)</f>
        <v>13.1</v>
      </c>
      <c r="MD5" s="69">
        <f>IF($BY5="P",BN5,(BN5+AR5)/2)</f>
        <v>2.15</v>
      </c>
      <c r="ME5" s="69">
        <f>IF($BY5="P",BO5,(BO5+AS5)/2)</f>
        <v>0</v>
      </c>
      <c r="MF5" s="69">
        <f>IF($BY5="P",BP5,(BP5+AT5)/2)</f>
        <v>0.5</v>
      </c>
      <c r="MG5" s="69">
        <f>IF($BY5="P",BQ5,(BQ5+AU5)/2)</f>
        <v>11.65</v>
      </c>
      <c r="MH5" s="69">
        <f>IF($BY5="P",BR5,(BR5+AV5)/2)</f>
        <v>1.45</v>
      </c>
      <c r="MI5" s="69">
        <f>IF($BY5="P",BS5,(BS5+AW5)/2)</f>
        <v>0</v>
      </c>
      <c r="MJ5" s="69">
        <f>IF($BY5="P",BT5,(BT5+AX5)/2)</f>
        <v>0</v>
      </c>
      <c r="MK5" s="69">
        <f>IF($BY5="P",BU5,(BU5+AY5)/2)</f>
        <v>0</v>
      </c>
      <c r="ML5" s="69">
        <f>IF($BY5="P",BV5,(BV5+AZ5)/2)</f>
        <v>0</v>
      </c>
      <c r="MM5" s="69">
        <f>IF($BY5="P",BW5,(BW5+BA5)/2)</f>
        <v>0</v>
      </c>
      <c r="MN5" s="69">
        <f>IF($BY5="P",BX5,(BX5+BB5)/2)</f>
        <v>0</v>
      </c>
      <c r="MO5" s="80" t="s">
        <v>91</v>
      </c>
      <c r="MP5" s="11">
        <f>IF(SUM(LZ5,MD5)&gt;0,SUM(LZ5,MD5),"")</f>
        <v>5.1999999999999993</v>
      </c>
      <c r="MQ5" s="11">
        <f>IF(SUM(LY5:LZ5,MB5:MD5,MF5)-MA5-ME5&gt;0,SUM(LY5:LZ5,MB5:MD5,MF5)-MA5-ME5,"")</f>
        <v>31.799999999999997</v>
      </c>
      <c r="MR5" s="11">
        <f>IF(SUM(MH5,ML5)&gt;0,SUM(MH5,ML5),"")</f>
        <v>1.45</v>
      </c>
      <c r="MS5" s="11">
        <f>IF(SUM(MG5:MH5,MJ5:ML5,MN5)-SUM(MI5,MM5)&gt;0,SUM(MG5:MH5,MJ5:ML5,MN5)-SUM(MI5,MM5),"")</f>
        <v>13.1</v>
      </c>
      <c r="MT5" s="11">
        <f>IF(SUM(MQ5,MS5)&gt;0,SUM(MQ5,MS5),"")</f>
        <v>44.9</v>
      </c>
    </row>
    <row r="6" spans="1:358" x14ac:dyDescent="0.2">
      <c r="A6" s="5">
        <f>IF(AND(F6="P",G6="P"),SUMPRODUCT((F$4:F$7="P")*(G$4:G$7="P")*(E$4:E$7&gt;E6))+1,IF(G6="P",SUMPRODUCT((F$4:F$7="")*(G$4:G$7="P")*(E$4:E$7&gt;E6))+1+SUMPRODUCT((F$4:F$7="P")*(G$4:G$7="P")),""))</f>
        <v>3</v>
      </c>
      <c r="B6" s="6" t="s">
        <v>184</v>
      </c>
      <c r="C6" s="7" t="s">
        <v>3</v>
      </c>
      <c r="D6" s="27">
        <v>2003</v>
      </c>
      <c r="E6" s="15">
        <f>SUM(J6:N6)</f>
        <v>124.8</v>
      </c>
      <c r="F6" s="3" t="str">
        <f>IF(OR(AND(AH6&gt;=AL$9,AI6&gt;=AL$13,AI6&lt;&gt;"",AG6=""),AND(BD6&gt;=BH$9,BE6&gt;=BH$13,BE6&lt;&gt;"",BC6=""),AND(BZ6&gt;=CD$9,CA6&gt;=CD$13,CA6&lt;&gt;"",BY6=""),AND(CW6&gt;=DA$9,CX6&gt;=DA$13,CX6&lt;&gt;""),AND(DR6&gt;=DV$9,DS6&gt;=DV$13,DS6&lt;&gt;""),AND(EM6&gt;=EQ$9,EN6&gt;=EQ$13,EN6&lt;&gt;""),AND(FH6&gt;=FL$9,FI6&gt;=FL$13,FI6&lt;&gt;""),AND(GC6&gt;=GG$9,GD6&gt;=GG$13,GD6&lt;&gt;""),AND(GX6&gt;=HB$9,GY6&gt;=HB$13,GY6&lt;&gt;""),AND(HS6&gt;=HW$9,HT6&gt;=HW$13,HT6&lt;&gt;""),AND(IN6&gt;=IR$9,IO6&gt;=IR$13,IO6&lt;&gt;""),AND(JI6&gt;=JM$9,JJ6&gt;=JM$13,JJ6&lt;&gt;""),AND(KD6&gt;=KH$9,KE6&gt;=KH$13,KE6&lt;&gt;""),AND(KY6&gt;=LC$9,KZ6&gt;=LC$13,KZ6&lt;&gt;""),AND(LT6&gt;=LX$9,LU6&gt;=LX$13,LU6&lt;&gt;"")),"P","")</f>
        <v/>
      </c>
      <c r="G6" s="3" t="str">
        <f>IF(OR(AND(AI6&gt;=AL$13,AI6&lt;&gt;"",AG6=""),AND(BE6&gt;=BH$13,BE6&lt;&gt;"",BC6=""),AND(CA6&gt;=CD$13,CA6&lt;&gt;"",BY6=""),AND(CX6&gt;=DA$13,CX6&lt;&gt;""),AND(DS6&gt;=DV$13,DS6&lt;&gt;""),AND(EN6&gt;=EQ$13,EN6&lt;&gt;""),AND(FI6&gt;=FL$13,FI6&lt;&gt;""),AND(GD6&gt;=GG$13,GD6&lt;&gt;""),AND(GY6&gt;=HB$13,GY6&lt;&gt;""),AND(HT6&gt;=HW$13,HT6&lt;&gt;""),AND(IO6&gt;=IR$13,IO6&lt;&gt;""),AND(JJ6&gt;=JM$13,JJ6&lt;&gt;""),AND(KE6&gt;=KH$13,KE6&lt;&gt;""),AND(KZ6&gt;=LC$13,KZ6&lt;&gt;""),AND(LU6&gt;=LX$13,LU6&lt;&gt;"")),"P","")</f>
        <v>P</v>
      </c>
      <c r="H6" s="126" t="str">
        <f>IF(AND(G6="P",F6=""),"No DD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Merit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Excellence",IF(OR(AND(AI6&gt;=AL$14,AI6&lt;&gt;"",AH6&gt;=AL$10,AH6&lt;&gt;"",AG6=""),AND(BE6&gt;=BH$14,BE6&lt;&gt;"",BD6&gt;=BH$10,BD6&lt;&gt;"",BC6=""),AND(CA6&gt;=CD$14,CA6&lt;&gt;"",BZ6&gt;=CD$10,BZ6&lt;&gt;"",BY6=""),AND(CX6&gt;=DA$14,CX6&lt;&gt;"",CW6&gt;=DA$10,CW6&lt;&gt;""),AND(DS6&gt;=DV$14,DS6&lt;&gt;"",DR6&gt;=DV$10,DR6&lt;&gt;""),AND(EN6&gt;=EQ$14,EN6&lt;&gt;"",EM6&gt;=EQ$10,EM6&lt;&gt;""),AND(FI6&gt;=FL$14,FI6&lt;&gt;"",FH6&gt;=FL$10,FH6&lt;&gt;""),AND(GD6&gt;=GG$14,GD6&lt;&gt;"",GC6&gt;=GG$10,GC6&lt;&gt;""),AND(GY6&gt;=HB$14,GY6&lt;&gt;"",GX6&gt;=HB$10,GX6&lt;&gt;""),AND(HT6&gt;=HW$14,HT6&lt;&gt;"",HS6&gt;=HW$10,HS6&lt;&gt;""),AND(IO6&gt;=IR$14,IO6&lt;&gt;"",IN6&gt;=IR$10,IN6&lt;&gt;""),AND(JJ6&gt;=JM$14,JJ6&lt;&gt;"",JI6&gt;=JM$10,JI6&lt;&gt;""),AND(KE6&gt;=KH$14,KE6&lt;&gt;"",KD6&gt;=KH$10,KD6&lt;&gt;""),AND(KZ6&gt;=LC$14,KZ6&lt;&gt;"",KY6&gt;=LC$10,KY6&lt;&gt;""),AND(LU6&gt;=LX$14,LU6&lt;&gt;"",LT6&gt;=LX$10,LT6&lt;&gt;"")),"Worlds Team",IF(OR(AND(AI6&gt;=AL$13,AI6&lt;&gt;"",AH6&gt;=AL$9,AH6&lt;&gt;"",AG6=""),AND(BE6&gt;=BH$13,BE6&lt;&gt;"",BD6&gt;=BH$9,BD6&lt;&gt;"",BC6=""),AND(CA6&gt;=CD$13,CA6&lt;&gt;"",BZ6&gt;=CD$9,BZ6&lt;&gt;"",BY6=""),AND(CX6&gt;=DA$13,CX6&lt;&gt;"",CW6&gt;=DA$9,CW6&lt;&gt;""),AND(DS6&gt;=DV$13,DS6&lt;&gt;"",DR6&gt;=DV$9,DR6&lt;&gt;""),AND(EN6&gt;=EQ$13,EN6&lt;&gt;"",EM6&gt;=EQ$9,EM6&lt;&gt;""),AND(FI6&gt;=FL$13,FI6&lt;&gt;"",FH6&gt;=FL$9,FH6&lt;&gt;""),AND(GD6&gt;=GG$13,GD6&lt;&gt;"",GC6&gt;=GG$9,GC6&lt;&gt;""),AND(GY6&gt;=HB$13,GY6&lt;&gt;"",GX6&gt;=HB$9,GX6&lt;&gt;""),AND(HT6&gt;=HW$13,HT6&lt;&gt;"",HS6&gt;=HW$9,HS6&lt;&gt;""),AND(IO6&gt;=IR$13,IO6&lt;&gt;"",IN6&gt;=IR$9,IN6&lt;&gt;""),AND(JJ6&gt;=JM$13,JJ6&lt;&gt;"",JI6&gt;=JM$9,JI6&lt;&gt;""),AND(KE6&gt;=KH$13,KE6&lt;&gt;"",KD6&gt;=KH$9,KD6&lt;&gt;""),AND(KZ6&gt;=LC$13,KZ6&lt;&gt;"",KY6&gt;=LC$9,KY6&lt;&gt;""),AND(LU6&gt;=LX$13,LU6&lt;&gt;"",LT6&gt;=LX$9,LT6&lt;&gt;"")),"National Team","")))))</f>
        <v>No DD</v>
      </c>
      <c r="I6" s="3" t="str">
        <f>IF(OR(H6="Worlds Team",H6="Excellence",H6="Merit"),"P","")</f>
        <v/>
      </c>
      <c r="J6" s="14">
        <f>MAX(AI6,BE6,CA6)</f>
        <v>62.5</v>
      </c>
      <c r="K6" s="14" t="str">
        <f>IF(J6=0,"",IF(J6=CA6,$BI$1,IF(J6=BE6,$AM$1,IF(J6=AI6,$Q$1,""))))</f>
        <v>2019 Nationals</v>
      </c>
      <c r="L6" s="14">
        <f>MAX(AK6,BG6,CC6)</f>
        <v>62.3</v>
      </c>
      <c r="M6" s="14" t="str">
        <f>IF(L6=0,"",IF(J6=CC6,$BI$1,IF(L6=BG6,$AM$1,IF(L6=AK6,$Q$1,""))))</f>
        <v>2019 Nationals</v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80"/>
      <c r="AH6" s="11" t="str">
        <f>IF(SUM(R6,V6)&gt;0,SUM(R6,V6),"")</f>
        <v/>
      </c>
      <c r="AI6" s="11" t="str">
        <f>IF(SUM(Q6:R6,T6:V6,X6)-S6-W6&gt;0,SUM(Q6:R6,T6:V6,X6)-S6-W6,"")</f>
        <v/>
      </c>
      <c r="AJ6" s="11" t="str">
        <f>IF(SUM(Z6,AD6)&gt;0,SUM(Z6,AD6),"")</f>
        <v/>
      </c>
      <c r="AK6" s="11" t="str">
        <f>IF(SUM(Y6:Z6,AB6:AD6,AF6)-SUM(AA6,AE6)&gt;0,SUM(Y6:Z6,AB6:AD6,AF6)-SUM(AA6,AE6),"")</f>
        <v/>
      </c>
      <c r="AL6" s="11" t="str">
        <f>IF(SUM(AI6,AK6)&gt;0,SUM(AI6,AK6),"")</f>
        <v/>
      </c>
      <c r="AM6" s="38">
        <v>26.7</v>
      </c>
      <c r="AN6" s="38">
        <v>3.6</v>
      </c>
      <c r="AO6" s="38">
        <v>0</v>
      </c>
      <c r="AP6" s="38">
        <v>0</v>
      </c>
      <c r="AQ6" s="38">
        <v>26.9</v>
      </c>
      <c r="AR6" s="38">
        <v>4.3</v>
      </c>
      <c r="AS6" s="38">
        <v>0</v>
      </c>
      <c r="AT6" s="38">
        <v>1</v>
      </c>
      <c r="AU6" s="38">
        <v>27.2</v>
      </c>
      <c r="AV6" s="38">
        <v>3.6</v>
      </c>
      <c r="AW6" s="38">
        <v>0</v>
      </c>
      <c r="AX6" s="38">
        <v>0</v>
      </c>
      <c r="AY6" s="38">
        <v>26.2</v>
      </c>
      <c r="AZ6" s="38">
        <v>4.3</v>
      </c>
      <c r="BA6" s="38">
        <v>0</v>
      </c>
      <c r="BB6" s="38">
        <v>1</v>
      </c>
      <c r="BC6" s="81"/>
      <c r="BD6" s="14">
        <f>IF(SUM(AN6,AR6)&gt;0,SUM(AN6,AR6),"")</f>
        <v>7.9</v>
      </c>
      <c r="BE6" s="14">
        <f>IF(SUM(AM6:AN6,AP6:AR6,AT6)-AO6-AS6&gt;0,SUM(AM6:AN6,AP6:AR6,AT6)-AO6-AS6,"")</f>
        <v>62.5</v>
      </c>
      <c r="BF6" s="14">
        <f>IF(SUM(AV6,AZ6)&gt;0,SUM(AV6,AZ6),"")</f>
        <v>7.9</v>
      </c>
      <c r="BG6" s="14">
        <f>IF(SUM(AU6:AV6,AX6:AZ6,BB6)-SUM(AW6,BA6)&gt;0,SUM(AU6:AV6,AX6:AZ6,BB6)-SUM(AW6,BA6),"")</f>
        <v>62.3</v>
      </c>
      <c r="BH6" s="14">
        <f>IF(SUM(BE6,BG6)&gt;0,SUM(BE6,BG6),"")</f>
        <v>124.8</v>
      </c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80"/>
      <c r="BZ6" s="11" t="str">
        <f>IF(SUM(BJ6,BN6)&gt;0,SUM(BJ6,BN6),"")</f>
        <v/>
      </c>
      <c r="CA6" s="11" t="str">
        <f>IF(SUM(BI6:BJ6,BL6:BN6,BP6)-BK6-BO6&gt;0,SUM(BI6:BJ6,BL6:BN6,BP6)-BK6-BO6,"")</f>
        <v/>
      </c>
      <c r="CB6" s="11"/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13.35</v>
      </c>
      <c r="LZ6" s="69">
        <f>IF($BY6="P",BJ6,(BJ6+AN6)/2)</f>
        <v>1.8</v>
      </c>
      <c r="MA6" s="69">
        <f>IF($BY6="P",BK6,(BK6+AO6)/2)</f>
        <v>0</v>
      </c>
      <c r="MB6" s="69">
        <f>IF($BY6="P",BL6,(BL6+AP6)/2)</f>
        <v>0</v>
      </c>
      <c r="MC6" s="69">
        <f>IF($BY6="P",BM6,(BM6+AQ6)/2)</f>
        <v>13.45</v>
      </c>
      <c r="MD6" s="69">
        <f>IF($BY6="P",BN6,(BN6+AR6)/2)</f>
        <v>2.15</v>
      </c>
      <c r="ME6" s="69">
        <f>IF($BY6="P",BO6,(BO6+AS6)/2)</f>
        <v>0</v>
      </c>
      <c r="MF6" s="69">
        <f>IF($BY6="P",BP6,(BP6+AT6)/2)</f>
        <v>0.5</v>
      </c>
      <c r="MG6" s="69">
        <f>IF($BY6="P",BQ6,(BQ6+AU6)/2)</f>
        <v>13.6</v>
      </c>
      <c r="MH6" s="69">
        <f>IF($BY6="P",BR6,(BR6+AV6)/2)</f>
        <v>1.8</v>
      </c>
      <c r="MI6" s="69">
        <f>IF($BY6="P",BS6,(BS6+AW6)/2)</f>
        <v>0</v>
      </c>
      <c r="MJ6" s="69">
        <f>IF($BY6="P",BT6,(BT6+AX6)/2)</f>
        <v>0</v>
      </c>
      <c r="MK6" s="69">
        <f>IF($BY6="P",BU6,(BU6+AY6)/2)</f>
        <v>13.1</v>
      </c>
      <c r="ML6" s="69">
        <f>IF($BY6="P",BV6,(BV6+AZ6)/2)</f>
        <v>2.15</v>
      </c>
      <c r="MM6" s="69">
        <f>IF($BY6="P",BW6,(BW6+BA6)/2)</f>
        <v>0</v>
      </c>
      <c r="MN6" s="69">
        <f>IF($BY6="P",BX6,(BX6+BB6)/2)</f>
        <v>0.5</v>
      </c>
      <c r="MO6" s="80" t="s">
        <v>91</v>
      </c>
      <c r="MP6" s="11">
        <f>IF(SUM(LZ6,MD6)&gt;0,SUM(LZ6,MD6),"")</f>
        <v>3.95</v>
      </c>
      <c r="MQ6" s="11">
        <f>IF(SUM(LY6:LZ6,MB6:MD6,MF6)-MA6-ME6&gt;0,SUM(LY6:LZ6,MB6:MD6,MF6)-MA6-ME6,"")</f>
        <v>31.25</v>
      </c>
      <c r="MR6" s="11">
        <f>IF(SUM(MH6,ML6)&gt;0,SUM(MH6,ML6),"")</f>
        <v>3.95</v>
      </c>
      <c r="MS6" s="11">
        <f>IF(SUM(MG6:MH6,MJ6:ML6,MN6)-SUM(MI6,MM6)&gt;0,SUM(MG6:MH6,MJ6:ML6,MN6)-SUM(MI6,MM6),"")</f>
        <v>31.15</v>
      </c>
      <c r="MT6" s="11">
        <f>IF(SUM(MQ6,MS6)&gt;0,SUM(MQ6,MS6),"")</f>
        <v>62.4</v>
      </c>
    </row>
    <row r="7" spans="1:358" ht="17" x14ac:dyDescent="0.2">
      <c r="N7" s="19"/>
      <c r="O7" s="19"/>
      <c r="P7" s="19"/>
      <c r="JN7" s="42"/>
      <c r="JO7" s="42"/>
      <c r="JP7" s="42"/>
      <c r="JQ7" s="42"/>
      <c r="JR7" s="42"/>
      <c r="JS7" s="42"/>
      <c r="JT7" s="42"/>
      <c r="JU7" s="42"/>
      <c r="JV7" s="42"/>
      <c r="JW7" s="42"/>
      <c r="JX7" s="42"/>
      <c r="JY7" s="42"/>
      <c r="JZ7" s="42"/>
      <c r="KA7" s="42"/>
      <c r="KB7" s="42"/>
      <c r="KC7" s="42"/>
    </row>
    <row r="8" spans="1:358" ht="17" x14ac:dyDescent="0.2">
      <c r="N8" s="19"/>
      <c r="O8" s="19"/>
      <c r="P8" s="19"/>
    </row>
    <row r="9" spans="1:358" ht="17" x14ac:dyDescent="0.2">
      <c r="B9" s="70" t="s">
        <v>79</v>
      </c>
      <c r="N9" s="19"/>
      <c r="O9" s="19"/>
      <c r="P9" s="19"/>
      <c r="AH9" s="56"/>
      <c r="AL9" s="64">
        <v>8.1</v>
      </c>
      <c r="BD9" s="56"/>
      <c r="BH9" s="64">
        <v>8.1</v>
      </c>
      <c r="BZ9" s="56"/>
      <c r="CD9" s="64">
        <v>7.6</v>
      </c>
      <c r="CW9" s="56"/>
      <c r="DA9" s="64">
        <v>8.1</v>
      </c>
      <c r="DR9" s="56"/>
      <c r="DV9" s="64">
        <v>7.6</v>
      </c>
      <c r="EM9" s="56"/>
      <c r="EQ9" s="64">
        <v>7.6</v>
      </c>
      <c r="FH9" s="56"/>
      <c r="FL9" s="64">
        <v>7.6</v>
      </c>
      <c r="GC9" s="56"/>
      <c r="GG9" s="64">
        <v>7.6</v>
      </c>
      <c r="GX9" s="56"/>
      <c r="HB9" s="64">
        <v>7.6</v>
      </c>
      <c r="HS9" s="56"/>
      <c r="HW9" s="64">
        <v>7.6</v>
      </c>
      <c r="IN9" s="56"/>
      <c r="IR9" s="64">
        <v>7.6</v>
      </c>
      <c r="JI9" s="56"/>
      <c r="JM9" s="64">
        <v>7.6</v>
      </c>
      <c r="KD9" s="56"/>
      <c r="KH9" s="64">
        <v>7.6</v>
      </c>
      <c r="KY9" s="56"/>
      <c r="LC9" s="64">
        <v>7.6</v>
      </c>
      <c r="LT9" s="56"/>
      <c r="LX9" s="64">
        <v>7.6</v>
      </c>
    </row>
    <row r="10" spans="1:358" ht="17" x14ac:dyDescent="0.2">
      <c r="B10" s="91" t="s">
        <v>78</v>
      </c>
      <c r="N10" s="19"/>
      <c r="O10" s="19"/>
      <c r="P10" s="19"/>
      <c r="AH10" s="56"/>
      <c r="AL10" s="93">
        <v>9.5</v>
      </c>
      <c r="BD10" s="56"/>
      <c r="BH10" s="93">
        <v>9.5</v>
      </c>
      <c r="BZ10" s="56"/>
      <c r="CD10" s="93">
        <v>7.9</v>
      </c>
      <c r="CW10" s="56"/>
      <c r="DA10" s="93">
        <v>9.5</v>
      </c>
      <c r="DR10" s="56"/>
      <c r="DV10" s="93">
        <v>7.9</v>
      </c>
      <c r="EM10" s="56"/>
      <c r="EQ10" s="93">
        <v>7.9</v>
      </c>
      <c r="FH10" s="56"/>
      <c r="FL10" s="93">
        <v>7.9</v>
      </c>
      <c r="GC10" s="56"/>
      <c r="GG10" s="93">
        <v>7.9</v>
      </c>
      <c r="GX10" s="56"/>
      <c r="HB10" s="93">
        <v>7.9</v>
      </c>
      <c r="HS10" s="56"/>
      <c r="HW10" s="93">
        <v>7.9</v>
      </c>
      <c r="IN10" s="56"/>
      <c r="IR10" s="93">
        <v>7.9</v>
      </c>
      <c r="JI10" s="56"/>
      <c r="JM10" s="93">
        <v>7.9</v>
      </c>
      <c r="KD10" s="56"/>
      <c r="KH10" s="93">
        <v>7.9</v>
      </c>
      <c r="KY10" s="56"/>
      <c r="LC10" s="93">
        <v>7.9</v>
      </c>
      <c r="LT10" s="56"/>
      <c r="LX10" s="93">
        <v>7.9</v>
      </c>
    </row>
    <row r="11" spans="1:358" ht="17" x14ac:dyDescent="0.2">
      <c r="A11" s="56"/>
      <c r="B11" s="92" t="s">
        <v>122</v>
      </c>
      <c r="C11" s="55"/>
      <c r="N11" s="19"/>
      <c r="O11" s="19"/>
      <c r="P11" s="19"/>
      <c r="AH11" s="56"/>
      <c r="AL11" s="94">
        <v>9.5</v>
      </c>
      <c r="BD11" s="56"/>
      <c r="BH11" s="94">
        <v>9.5</v>
      </c>
      <c r="BZ11" s="56"/>
      <c r="CD11" s="94">
        <v>10.6</v>
      </c>
      <c r="CW11" s="56"/>
      <c r="DA11" s="94">
        <v>9.5</v>
      </c>
      <c r="DR11" s="56"/>
      <c r="DV11" s="94">
        <v>10.6</v>
      </c>
      <c r="EM11" s="56"/>
      <c r="EQ11" s="94">
        <v>10.6</v>
      </c>
      <c r="FH11" s="56"/>
      <c r="FL11" s="94">
        <v>10.6</v>
      </c>
      <c r="GC11" s="56"/>
      <c r="GG11" s="94">
        <v>10.6</v>
      </c>
      <c r="GX11" s="56"/>
      <c r="HB11" s="94">
        <v>10.6</v>
      </c>
      <c r="HS11" s="56"/>
      <c r="HW11" s="94">
        <v>10.6</v>
      </c>
      <c r="IN11" s="56"/>
      <c r="IR11" s="94">
        <v>10.6</v>
      </c>
      <c r="JI11" s="56"/>
      <c r="JM11" s="94">
        <v>10.6</v>
      </c>
      <c r="KD11" s="56"/>
      <c r="KH11" s="94">
        <v>10.6</v>
      </c>
      <c r="KY11" s="56"/>
      <c r="LC11" s="94">
        <v>10.6</v>
      </c>
      <c r="LT11" s="56"/>
      <c r="LX11" s="94">
        <v>10.6</v>
      </c>
    </row>
    <row r="12" spans="1:358" ht="17" x14ac:dyDescent="0.2">
      <c r="A12" s="56"/>
      <c r="B12" s="120" t="s">
        <v>188</v>
      </c>
      <c r="C12" s="55"/>
      <c r="N12" s="19"/>
      <c r="O12" s="19"/>
      <c r="P12" s="19"/>
      <c r="AH12" s="56"/>
      <c r="AL12" s="121">
        <v>9.5</v>
      </c>
      <c r="BD12" s="56"/>
      <c r="BH12" s="121">
        <v>9.5</v>
      </c>
      <c r="BZ12" s="56"/>
      <c r="CD12" s="121">
        <v>11.2</v>
      </c>
      <c r="CW12" s="56"/>
      <c r="DA12" s="121">
        <v>9.5</v>
      </c>
      <c r="DR12" s="56"/>
      <c r="DV12" s="121">
        <v>11.2</v>
      </c>
      <c r="EM12" s="56"/>
      <c r="EQ12" s="121">
        <v>11.2</v>
      </c>
      <c r="FH12" s="56"/>
      <c r="FL12" s="121">
        <v>11.2</v>
      </c>
      <c r="GC12" s="56"/>
      <c r="GG12" s="121">
        <v>11.2</v>
      </c>
      <c r="GX12" s="56"/>
      <c r="HB12" s="121">
        <v>11.2</v>
      </c>
      <c r="HS12" s="56"/>
      <c r="HW12" s="121">
        <v>11.2</v>
      </c>
      <c r="IN12" s="56"/>
      <c r="IR12" s="121">
        <v>11.2</v>
      </c>
      <c r="JI12" s="56"/>
      <c r="JM12" s="121">
        <v>11.2</v>
      </c>
      <c r="KD12" s="56"/>
      <c r="KH12" s="121">
        <v>11.2</v>
      </c>
      <c r="KY12" s="56"/>
      <c r="LC12" s="121">
        <v>11.2</v>
      </c>
      <c r="LT12" s="56"/>
      <c r="LX12" s="121">
        <v>11.2</v>
      </c>
    </row>
    <row r="13" spans="1:358" ht="17" x14ac:dyDescent="0.2">
      <c r="A13" s="56"/>
      <c r="B13" s="118" t="s">
        <v>76</v>
      </c>
      <c r="C13" s="55"/>
      <c r="N13" s="19"/>
      <c r="O13" s="19"/>
      <c r="P13" s="19"/>
      <c r="AH13" s="56"/>
      <c r="AL13" s="119">
        <v>60</v>
      </c>
      <c r="BD13" s="56"/>
      <c r="BH13" s="119">
        <v>60</v>
      </c>
      <c r="BZ13" s="56"/>
      <c r="CD13" s="119">
        <v>60.4</v>
      </c>
      <c r="CW13" s="56"/>
      <c r="DA13" s="119">
        <v>60</v>
      </c>
      <c r="DR13" s="56"/>
      <c r="DV13" s="119">
        <v>60.4</v>
      </c>
      <c r="EM13" s="56"/>
      <c r="EQ13" s="119">
        <v>60.4</v>
      </c>
      <c r="FH13" s="56"/>
      <c r="FL13" s="119">
        <v>60.4</v>
      </c>
      <c r="GC13" s="56"/>
      <c r="GG13" s="119">
        <v>60.4</v>
      </c>
      <c r="GX13" s="56"/>
      <c r="HB13" s="119">
        <v>60.4</v>
      </c>
      <c r="HS13" s="56"/>
      <c r="HW13" s="119">
        <v>60.4</v>
      </c>
      <c r="IN13" s="56"/>
      <c r="IR13" s="119">
        <v>60.4</v>
      </c>
      <c r="JI13" s="56"/>
      <c r="JM13" s="119">
        <v>60.4</v>
      </c>
      <c r="KD13" s="56"/>
      <c r="KH13" s="119">
        <v>60.4</v>
      </c>
      <c r="KY13" s="56"/>
      <c r="LC13" s="119">
        <v>60.4</v>
      </c>
      <c r="LT13" s="56"/>
      <c r="LX13" s="119">
        <v>60.4</v>
      </c>
    </row>
    <row r="14" spans="1:358" ht="17" x14ac:dyDescent="0.2">
      <c r="A14" s="56"/>
      <c r="B14" s="72" t="s">
        <v>77</v>
      </c>
      <c r="C14" s="55"/>
      <c r="N14" s="19"/>
      <c r="O14" s="19"/>
      <c r="P14" s="19"/>
      <c r="AH14" s="56"/>
      <c r="AL14" s="66">
        <v>61.5</v>
      </c>
      <c r="BD14" s="56"/>
      <c r="BH14" s="66">
        <v>61.5</v>
      </c>
      <c r="BZ14" s="56"/>
      <c r="CD14" s="66">
        <v>61.6</v>
      </c>
      <c r="CW14" s="56"/>
      <c r="DA14" s="66">
        <v>61.5</v>
      </c>
      <c r="DR14" s="56"/>
      <c r="DV14" s="66">
        <v>61.6</v>
      </c>
      <c r="EM14" s="56"/>
      <c r="EQ14" s="66">
        <v>61.6</v>
      </c>
      <c r="FH14" s="56"/>
      <c r="FL14" s="66">
        <v>61.6</v>
      </c>
      <c r="GC14" s="56"/>
      <c r="GG14" s="66">
        <v>61.6</v>
      </c>
      <c r="GX14" s="56"/>
      <c r="HB14" s="66">
        <v>61.6</v>
      </c>
      <c r="HS14" s="56"/>
      <c r="HW14" s="66">
        <v>61.6</v>
      </c>
      <c r="IN14" s="56"/>
      <c r="IR14" s="66">
        <v>61.6</v>
      </c>
      <c r="JI14" s="56"/>
      <c r="JM14" s="66">
        <v>61.6</v>
      </c>
      <c r="KD14" s="56"/>
      <c r="KH14" s="66">
        <v>61.6</v>
      </c>
      <c r="KY14" s="56"/>
      <c r="LC14" s="66">
        <v>61.6</v>
      </c>
      <c r="LT14" s="56"/>
      <c r="LX14" s="66">
        <v>61.6</v>
      </c>
    </row>
    <row r="15" spans="1:358" ht="17" x14ac:dyDescent="0.2">
      <c r="A15" s="56"/>
      <c r="B15" s="116" t="s">
        <v>117</v>
      </c>
      <c r="C15" s="55"/>
      <c r="N15" s="19"/>
      <c r="O15" s="19"/>
      <c r="P15" s="19"/>
      <c r="AH15" s="56"/>
      <c r="AL15" s="117">
        <v>63.7</v>
      </c>
      <c r="BD15" s="56"/>
      <c r="BH15" s="117">
        <v>63.7</v>
      </c>
      <c r="BZ15" s="56"/>
      <c r="CD15" s="117">
        <v>63.7</v>
      </c>
      <c r="CW15" s="56"/>
      <c r="DA15" s="117">
        <v>63.7</v>
      </c>
      <c r="DR15" s="56"/>
      <c r="DV15" s="117">
        <v>63.7</v>
      </c>
      <c r="EM15" s="56"/>
      <c r="EQ15" s="117">
        <v>63.7</v>
      </c>
      <c r="FH15" s="56"/>
      <c r="FL15" s="117">
        <v>63.7</v>
      </c>
      <c r="GC15" s="56"/>
      <c r="GG15" s="117">
        <v>63.7</v>
      </c>
      <c r="GX15" s="56"/>
      <c r="HB15" s="117">
        <v>63.7</v>
      </c>
      <c r="HS15" s="56"/>
      <c r="HW15" s="117">
        <v>63.7</v>
      </c>
      <c r="IN15" s="56"/>
      <c r="IR15" s="117">
        <v>63.7</v>
      </c>
      <c r="JI15" s="56"/>
      <c r="JM15" s="117">
        <v>63.7</v>
      </c>
      <c r="KD15" s="56"/>
      <c r="KH15" s="117">
        <v>63.7</v>
      </c>
      <c r="KY15" s="56"/>
      <c r="LC15" s="117">
        <v>63.7</v>
      </c>
      <c r="LT15" s="56"/>
      <c r="LX15" s="117">
        <v>63.7</v>
      </c>
    </row>
    <row r="16" spans="1:358" ht="17" x14ac:dyDescent="0.2">
      <c r="A16" s="56"/>
      <c r="B16" s="74" t="s">
        <v>58</v>
      </c>
      <c r="C16" s="55"/>
      <c r="N16" s="19"/>
      <c r="O16" s="19"/>
      <c r="P16" s="19"/>
      <c r="AH16" s="56"/>
      <c r="AL16" s="68">
        <v>65.400000000000006</v>
      </c>
      <c r="BD16" s="56"/>
      <c r="BH16" s="68">
        <v>65.400000000000006</v>
      </c>
      <c r="BZ16" s="56"/>
      <c r="CD16" s="68">
        <v>64.900000000000006</v>
      </c>
      <c r="CW16" s="56"/>
      <c r="DA16" s="68">
        <v>65.400000000000006</v>
      </c>
      <c r="DR16" s="56"/>
      <c r="DV16" s="68">
        <v>64.900000000000006</v>
      </c>
      <c r="EM16" s="56"/>
      <c r="EQ16" s="68">
        <v>64.900000000000006</v>
      </c>
      <c r="FH16" s="56"/>
      <c r="FL16" s="68">
        <v>64.900000000000006</v>
      </c>
      <c r="GC16" s="56"/>
      <c r="GG16" s="68">
        <v>64.900000000000006</v>
      </c>
      <c r="GX16" s="56"/>
      <c r="HB16" s="68">
        <v>64.900000000000006</v>
      </c>
      <c r="HS16" s="56"/>
      <c r="HW16" s="68">
        <v>64.900000000000006</v>
      </c>
      <c r="IN16" s="56"/>
      <c r="IR16" s="68">
        <v>64.900000000000006</v>
      </c>
      <c r="JI16" s="56"/>
      <c r="JM16" s="68">
        <v>64.900000000000006</v>
      </c>
      <c r="KD16" s="56"/>
      <c r="KH16" s="68">
        <v>64.900000000000006</v>
      </c>
      <c r="KY16" s="56"/>
      <c r="LC16" s="68">
        <v>64.900000000000006</v>
      </c>
      <c r="LT16" s="56"/>
      <c r="LX16" s="68">
        <v>64.900000000000006</v>
      </c>
    </row>
    <row r="17" spans="1:3" x14ac:dyDescent="0.2">
      <c r="B17" s="82" t="s">
        <v>92</v>
      </c>
      <c r="C17" s="2"/>
    </row>
    <row r="18" spans="1:3" x14ac:dyDescent="0.2">
      <c r="A18" s="56"/>
      <c r="B18" s="56"/>
      <c r="C18" s="55"/>
    </row>
    <row r="19" spans="1:3" x14ac:dyDescent="0.2">
      <c r="A19" s="56"/>
      <c r="B19" s="56"/>
      <c r="C19" s="55"/>
    </row>
    <row r="20" spans="1:3" x14ac:dyDescent="0.2">
      <c r="A20" s="56"/>
      <c r="B20" s="56"/>
      <c r="C20" s="55"/>
    </row>
    <row r="21" spans="1:3" x14ac:dyDescent="0.2">
      <c r="A21" s="6"/>
      <c r="B21" s="6"/>
      <c r="C21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6">
      <sortCondition descending="1" ref="F1:F7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6">
    <cfRule type="expression" dxfId="59" priority="1" stopIfTrue="1">
      <formula>IF($AG4&lt;&gt;"",1,0)</formula>
    </cfRule>
  </conditionalFormatting>
  <conditionalFormatting sqref="AM4:BH6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6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38666" operator="between">
      <formula>AL$12</formula>
      <formula>1000</formula>
    </cfRule>
    <cfRule type="cellIs" dxfId="46" priority="38667" operator="between">
      <formula>AL$11</formula>
      <formula>AL$12</formula>
    </cfRule>
    <cfRule type="cellIs" dxfId="45" priority="38668" operator="between">
      <formula>AL$10</formula>
      <formula>AL$11</formula>
    </cfRule>
    <cfRule type="cellIs" dxfId="44" priority="38669" operator="between">
      <formula>AL$9</formula>
      <formula>AL$10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38848" operator="between">
      <formula>AL$16</formula>
      <formula>1000</formula>
    </cfRule>
    <cfRule type="cellIs" dxfId="42" priority="38849" operator="between">
      <formula>AL$15</formula>
      <formula>AL$16</formula>
    </cfRule>
    <cfRule type="cellIs" dxfId="41" priority="38850" operator="between">
      <formula>AL$14</formula>
      <formula>AL$15</formula>
    </cfRule>
    <cfRule type="cellIs" dxfId="40" priority="38851" operator="between">
      <formula>AL$13</formula>
      <formula>AL$14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1640625" bestFit="1" customWidth="1"/>
    <col min="11" max="11" width="27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100" width="10.83203125" hidden="1" customWidth="1"/>
    <col min="101" max="105" width="10.83203125" customWidth="1"/>
    <col min="106" max="121" width="10.83203125" hidden="1" customWidth="1"/>
    <col min="122" max="126" width="10.83203125" customWidth="1"/>
    <col min="127" max="358" width="10.83203125" hidden="1" customWidth="1"/>
  </cols>
  <sheetData>
    <row r="1" spans="1:358" ht="16" customHeight="1" x14ac:dyDescent="0.2">
      <c r="A1" s="136" t="s">
        <v>1</v>
      </c>
      <c r="B1" s="136" t="s">
        <v>41</v>
      </c>
      <c r="C1" s="136" t="s">
        <v>0</v>
      </c>
      <c r="D1" s="136" t="s">
        <v>93</v>
      </c>
      <c r="E1" s="136" t="s">
        <v>2</v>
      </c>
      <c r="F1" s="144" t="s">
        <v>116</v>
      </c>
      <c r="G1" s="144" t="s">
        <v>15</v>
      </c>
      <c r="H1" s="136" t="s">
        <v>16</v>
      </c>
      <c r="I1" s="144" t="s">
        <v>210</v>
      </c>
      <c r="J1" s="150" t="s">
        <v>119</v>
      </c>
      <c r="K1" s="141" t="s">
        <v>56</v>
      </c>
      <c r="L1" s="150" t="s">
        <v>118</v>
      </c>
      <c r="M1" s="141" t="s">
        <v>56</v>
      </c>
      <c r="N1" s="140" t="s">
        <v>21</v>
      </c>
      <c r="O1" s="141" t="s">
        <v>57</v>
      </c>
      <c r="P1" s="141" t="s">
        <v>56</v>
      </c>
      <c r="Q1" s="137" t="s">
        <v>126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9" t="s">
        <v>142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7" t="s">
        <v>187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42" t="s">
        <v>115</v>
      </c>
      <c r="CF1" s="142"/>
      <c r="CG1" s="148" t="s">
        <v>162</v>
      </c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9" t="s">
        <v>169</v>
      </c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8"/>
      <c r="DX1" s="148"/>
      <c r="DY1" s="148"/>
      <c r="DZ1" s="148"/>
      <c r="EA1" s="148"/>
      <c r="EB1" s="148"/>
      <c r="EC1" s="148"/>
      <c r="ED1" s="148"/>
      <c r="EE1" s="148"/>
      <c r="EF1" s="148"/>
      <c r="EG1" s="148"/>
      <c r="EH1" s="148"/>
      <c r="EI1" s="148"/>
      <c r="EJ1" s="148"/>
      <c r="EK1" s="148"/>
      <c r="EL1" s="148"/>
      <c r="EM1" s="148"/>
      <c r="EN1" s="148"/>
      <c r="EO1" s="148"/>
      <c r="EP1" s="148"/>
      <c r="EQ1" s="148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/>
      <c r="FE1" s="149"/>
      <c r="FF1" s="149"/>
      <c r="FG1" s="149"/>
      <c r="FH1" s="149"/>
      <c r="FI1" s="149"/>
      <c r="FJ1" s="149"/>
      <c r="FK1" s="149"/>
      <c r="FL1" s="149"/>
      <c r="FM1" s="148"/>
      <c r="FN1" s="148"/>
      <c r="FO1" s="148"/>
      <c r="FP1" s="148"/>
      <c r="FQ1" s="148"/>
      <c r="FR1" s="148"/>
      <c r="FS1" s="148"/>
      <c r="FT1" s="148"/>
      <c r="FU1" s="148"/>
      <c r="FV1" s="148"/>
      <c r="FW1" s="148"/>
      <c r="FX1" s="148"/>
      <c r="FY1" s="148"/>
      <c r="FZ1" s="148"/>
      <c r="GA1" s="148"/>
      <c r="GB1" s="148"/>
      <c r="GC1" s="148"/>
      <c r="GD1" s="148"/>
      <c r="GE1" s="148"/>
      <c r="GF1" s="148"/>
      <c r="GG1" s="148"/>
      <c r="GH1" s="149"/>
      <c r="GI1" s="149"/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48"/>
      <c r="HD1" s="148"/>
      <c r="HE1" s="148"/>
      <c r="HF1" s="148"/>
      <c r="HG1" s="148"/>
      <c r="HH1" s="148"/>
      <c r="HI1" s="148"/>
      <c r="HJ1" s="148"/>
      <c r="HK1" s="148"/>
      <c r="HL1" s="148"/>
      <c r="HM1" s="148"/>
      <c r="HN1" s="148"/>
      <c r="HO1" s="148"/>
      <c r="HP1" s="148"/>
      <c r="HQ1" s="148"/>
      <c r="HR1" s="148"/>
      <c r="HS1" s="148"/>
      <c r="HT1" s="148"/>
      <c r="HU1" s="148"/>
      <c r="HV1" s="148"/>
      <c r="HW1" s="148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/>
      <c r="IS1" s="148"/>
      <c r="IT1" s="148"/>
      <c r="IU1" s="148"/>
      <c r="IV1" s="148"/>
      <c r="IW1" s="148"/>
      <c r="IX1" s="148"/>
      <c r="IY1" s="148"/>
      <c r="IZ1" s="148"/>
      <c r="JA1" s="148"/>
      <c r="JB1" s="148"/>
      <c r="JC1" s="148"/>
      <c r="JD1" s="148"/>
      <c r="JE1" s="148"/>
      <c r="JF1" s="148"/>
      <c r="JG1" s="148"/>
      <c r="JH1" s="148"/>
      <c r="JI1" s="148"/>
      <c r="JJ1" s="148"/>
      <c r="JK1" s="148"/>
      <c r="JL1" s="148"/>
      <c r="JM1" s="148"/>
      <c r="JN1" s="149"/>
      <c r="JO1" s="149"/>
      <c r="JP1" s="149"/>
      <c r="JQ1" s="149"/>
      <c r="JR1" s="149"/>
      <c r="JS1" s="149"/>
      <c r="JT1" s="149"/>
      <c r="JU1" s="149"/>
      <c r="JV1" s="149"/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48"/>
      <c r="KJ1" s="148"/>
      <c r="KK1" s="148"/>
      <c r="KL1" s="148"/>
      <c r="KM1" s="148"/>
      <c r="KN1" s="148"/>
      <c r="KO1" s="148"/>
      <c r="KP1" s="148"/>
      <c r="KQ1" s="148"/>
      <c r="KR1" s="148"/>
      <c r="KS1" s="148"/>
      <c r="KT1" s="148"/>
      <c r="KU1" s="148"/>
      <c r="KV1" s="148"/>
      <c r="KW1" s="148"/>
      <c r="KX1" s="148"/>
      <c r="KY1" s="148"/>
      <c r="KZ1" s="148"/>
      <c r="LA1" s="148"/>
      <c r="LB1" s="148"/>
      <c r="LC1" s="148"/>
      <c r="LD1" s="149"/>
      <c r="LE1" s="149"/>
      <c r="LF1" s="149"/>
      <c r="LG1" s="149"/>
      <c r="LH1" s="149"/>
      <c r="LI1" s="149"/>
      <c r="LJ1" s="149"/>
      <c r="LK1" s="149"/>
      <c r="LL1" s="149"/>
      <c r="LM1" s="149"/>
      <c r="LN1" s="149"/>
      <c r="LO1" s="149"/>
      <c r="LP1" s="149"/>
      <c r="LQ1" s="149"/>
      <c r="LR1" s="149"/>
      <c r="LS1" s="149"/>
      <c r="LT1" s="149"/>
      <c r="LU1" s="149"/>
      <c r="LV1" s="149"/>
      <c r="LW1" s="149"/>
      <c r="LX1" s="149"/>
      <c r="LY1" s="137" t="s">
        <v>123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36"/>
      <c r="B2" s="136"/>
      <c r="C2" s="136"/>
      <c r="D2" s="136"/>
      <c r="E2" s="136"/>
      <c r="F2" s="144"/>
      <c r="G2" s="144"/>
      <c r="H2" s="136"/>
      <c r="I2" s="144"/>
      <c r="J2" s="150"/>
      <c r="K2" s="141"/>
      <c r="L2" s="150"/>
      <c r="M2" s="141"/>
      <c r="N2" s="140"/>
      <c r="O2" s="141"/>
      <c r="P2" s="141"/>
      <c r="Q2" s="135" t="s">
        <v>43</v>
      </c>
      <c r="R2" s="135"/>
      <c r="S2" s="135"/>
      <c r="T2" s="135"/>
      <c r="U2" s="135" t="s">
        <v>46</v>
      </c>
      <c r="V2" s="135"/>
      <c r="W2" s="135"/>
      <c r="X2" s="135"/>
      <c r="Y2" s="135" t="s">
        <v>47</v>
      </c>
      <c r="Z2" s="135"/>
      <c r="AA2" s="135"/>
      <c r="AB2" s="135"/>
      <c r="AC2" s="143" t="s">
        <v>48</v>
      </c>
      <c r="AD2" s="143"/>
      <c r="AE2" s="143"/>
      <c r="AF2" s="143"/>
      <c r="AG2" s="78"/>
      <c r="AH2" s="87" t="s">
        <v>32</v>
      </c>
      <c r="AI2" s="9" t="s">
        <v>31</v>
      </c>
      <c r="AJ2" s="58" t="s">
        <v>139</v>
      </c>
      <c r="AK2" s="9" t="s">
        <v>30</v>
      </c>
      <c r="AL2" s="9" t="s">
        <v>25</v>
      </c>
      <c r="AM2" s="138" t="s">
        <v>43</v>
      </c>
      <c r="AN2" s="138"/>
      <c r="AO2" s="138"/>
      <c r="AP2" s="138"/>
      <c r="AQ2" s="138" t="s">
        <v>46</v>
      </c>
      <c r="AR2" s="138"/>
      <c r="AS2" s="138"/>
      <c r="AT2" s="138"/>
      <c r="AU2" s="138" t="s">
        <v>47</v>
      </c>
      <c r="AV2" s="138"/>
      <c r="AW2" s="138"/>
      <c r="AX2" s="138"/>
      <c r="AY2" s="147" t="s">
        <v>48</v>
      </c>
      <c r="AZ2" s="147"/>
      <c r="BA2" s="147"/>
      <c r="BB2" s="147"/>
      <c r="BC2" s="79"/>
      <c r="BD2" s="88" t="s">
        <v>32</v>
      </c>
      <c r="BE2" s="12" t="s">
        <v>31</v>
      </c>
      <c r="BF2" s="88" t="s">
        <v>139</v>
      </c>
      <c r="BG2" s="12" t="s">
        <v>30</v>
      </c>
      <c r="BH2" s="12" t="s">
        <v>25</v>
      </c>
      <c r="BI2" s="135" t="s">
        <v>43</v>
      </c>
      <c r="BJ2" s="135"/>
      <c r="BK2" s="135"/>
      <c r="BL2" s="135"/>
      <c r="BM2" s="135" t="s">
        <v>46</v>
      </c>
      <c r="BN2" s="135"/>
      <c r="BO2" s="135"/>
      <c r="BP2" s="135"/>
      <c r="BQ2" s="135" t="s">
        <v>47</v>
      </c>
      <c r="BR2" s="135"/>
      <c r="BS2" s="135"/>
      <c r="BT2" s="135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109" t="s">
        <v>139</v>
      </c>
      <c r="CC2" s="9" t="s">
        <v>30</v>
      </c>
      <c r="CD2" s="9" t="s">
        <v>25</v>
      </c>
      <c r="CE2" s="22" t="s">
        <v>121</v>
      </c>
      <c r="CF2" s="22" t="s">
        <v>120</v>
      </c>
      <c r="CG2" s="135" t="s">
        <v>43</v>
      </c>
      <c r="CH2" s="135"/>
      <c r="CI2" s="135"/>
      <c r="CJ2" s="135"/>
      <c r="CK2" s="135" t="s">
        <v>46</v>
      </c>
      <c r="CL2" s="135"/>
      <c r="CM2" s="135"/>
      <c r="CN2" s="135"/>
      <c r="CO2" s="135" t="s">
        <v>47</v>
      </c>
      <c r="CP2" s="135"/>
      <c r="CQ2" s="135"/>
      <c r="CR2" s="135"/>
      <c r="CS2" s="143" t="s">
        <v>48</v>
      </c>
      <c r="CT2" s="143"/>
      <c r="CU2" s="143"/>
      <c r="CV2" s="143"/>
      <c r="CW2" s="87" t="s">
        <v>32</v>
      </c>
      <c r="CX2" s="9" t="s">
        <v>31</v>
      </c>
      <c r="CY2" s="87" t="s">
        <v>139</v>
      </c>
      <c r="CZ2" s="9" t="s">
        <v>30</v>
      </c>
      <c r="DA2" s="9" t="s">
        <v>25</v>
      </c>
      <c r="DB2" s="147" t="s">
        <v>43</v>
      </c>
      <c r="DC2" s="147"/>
      <c r="DD2" s="147"/>
      <c r="DE2" s="147"/>
      <c r="DF2" s="147" t="s">
        <v>46</v>
      </c>
      <c r="DG2" s="147"/>
      <c r="DH2" s="147"/>
      <c r="DI2" s="147"/>
      <c r="DJ2" s="147" t="s">
        <v>47</v>
      </c>
      <c r="DK2" s="147"/>
      <c r="DL2" s="147"/>
      <c r="DM2" s="147"/>
      <c r="DN2" s="147" t="s">
        <v>48</v>
      </c>
      <c r="DO2" s="147"/>
      <c r="DP2" s="147"/>
      <c r="DQ2" s="147"/>
      <c r="DR2" s="88" t="s">
        <v>32</v>
      </c>
      <c r="DS2" s="16" t="s">
        <v>31</v>
      </c>
      <c r="DT2" s="88" t="s">
        <v>139</v>
      </c>
      <c r="DU2" s="16" t="s">
        <v>30</v>
      </c>
      <c r="DV2" s="16" t="s">
        <v>25</v>
      </c>
      <c r="DW2" s="143" t="s">
        <v>43</v>
      </c>
      <c r="DX2" s="143"/>
      <c r="DY2" s="143"/>
      <c r="DZ2" s="143"/>
      <c r="EA2" s="143" t="s">
        <v>46</v>
      </c>
      <c r="EB2" s="143"/>
      <c r="EC2" s="143"/>
      <c r="ED2" s="143"/>
      <c r="EE2" s="143" t="s">
        <v>47</v>
      </c>
      <c r="EF2" s="143"/>
      <c r="EG2" s="143"/>
      <c r="EH2" s="143"/>
      <c r="EI2" s="143" t="s">
        <v>48</v>
      </c>
      <c r="EJ2" s="143"/>
      <c r="EK2" s="143"/>
      <c r="EL2" s="143"/>
      <c r="EM2" s="87" t="s">
        <v>32</v>
      </c>
      <c r="EN2" s="17" t="s">
        <v>31</v>
      </c>
      <c r="EO2" s="87" t="s">
        <v>139</v>
      </c>
      <c r="EP2" s="17" t="s">
        <v>30</v>
      </c>
      <c r="EQ2" s="17" t="s">
        <v>25</v>
      </c>
      <c r="ER2" s="147" t="s">
        <v>43</v>
      </c>
      <c r="ES2" s="147"/>
      <c r="ET2" s="147"/>
      <c r="EU2" s="147"/>
      <c r="EV2" s="147" t="s">
        <v>46</v>
      </c>
      <c r="EW2" s="147"/>
      <c r="EX2" s="147"/>
      <c r="EY2" s="147"/>
      <c r="EZ2" s="147" t="s">
        <v>47</v>
      </c>
      <c r="FA2" s="147"/>
      <c r="FB2" s="147"/>
      <c r="FC2" s="147"/>
      <c r="FD2" s="147" t="s">
        <v>48</v>
      </c>
      <c r="FE2" s="147"/>
      <c r="FF2" s="147"/>
      <c r="FG2" s="147"/>
      <c r="FH2" s="88" t="s">
        <v>32</v>
      </c>
      <c r="FI2" s="16" t="s">
        <v>31</v>
      </c>
      <c r="FJ2" s="88" t="s">
        <v>139</v>
      </c>
      <c r="FK2" s="16" t="s">
        <v>30</v>
      </c>
      <c r="FL2" s="16" t="s">
        <v>25</v>
      </c>
      <c r="FM2" s="143" t="s">
        <v>43</v>
      </c>
      <c r="FN2" s="143"/>
      <c r="FO2" s="143"/>
      <c r="FP2" s="143"/>
      <c r="FQ2" s="143" t="s">
        <v>46</v>
      </c>
      <c r="FR2" s="143"/>
      <c r="FS2" s="143"/>
      <c r="FT2" s="143"/>
      <c r="FU2" s="143" t="s">
        <v>47</v>
      </c>
      <c r="FV2" s="143"/>
      <c r="FW2" s="143"/>
      <c r="FX2" s="143"/>
      <c r="FY2" s="143" t="s">
        <v>48</v>
      </c>
      <c r="FZ2" s="143"/>
      <c r="GA2" s="143"/>
      <c r="GB2" s="143"/>
      <c r="GC2" s="87" t="s">
        <v>32</v>
      </c>
      <c r="GD2" s="17" t="s">
        <v>31</v>
      </c>
      <c r="GE2" s="87" t="s">
        <v>139</v>
      </c>
      <c r="GF2" s="17" t="s">
        <v>30</v>
      </c>
      <c r="GG2" s="17" t="s">
        <v>25</v>
      </c>
      <c r="GH2" s="147" t="s">
        <v>43</v>
      </c>
      <c r="GI2" s="147"/>
      <c r="GJ2" s="147"/>
      <c r="GK2" s="147"/>
      <c r="GL2" s="147" t="s">
        <v>46</v>
      </c>
      <c r="GM2" s="147"/>
      <c r="GN2" s="147"/>
      <c r="GO2" s="147"/>
      <c r="GP2" s="147" t="s">
        <v>47</v>
      </c>
      <c r="GQ2" s="147"/>
      <c r="GR2" s="147"/>
      <c r="GS2" s="147"/>
      <c r="GT2" s="147" t="s">
        <v>48</v>
      </c>
      <c r="GU2" s="147"/>
      <c r="GV2" s="147"/>
      <c r="GW2" s="147"/>
      <c r="GX2" s="89" t="s">
        <v>32</v>
      </c>
      <c r="GY2" s="16" t="s">
        <v>31</v>
      </c>
      <c r="GZ2" s="89" t="s">
        <v>139</v>
      </c>
      <c r="HA2" s="16" t="s">
        <v>30</v>
      </c>
      <c r="HB2" s="16" t="s">
        <v>25</v>
      </c>
      <c r="HC2" s="143" t="s">
        <v>43</v>
      </c>
      <c r="HD2" s="143"/>
      <c r="HE2" s="143"/>
      <c r="HF2" s="143"/>
      <c r="HG2" s="143" t="s">
        <v>46</v>
      </c>
      <c r="HH2" s="143"/>
      <c r="HI2" s="143"/>
      <c r="HJ2" s="143"/>
      <c r="HK2" s="143" t="s">
        <v>47</v>
      </c>
      <c r="HL2" s="143"/>
      <c r="HM2" s="143"/>
      <c r="HN2" s="143"/>
      <c r="HO2" s="143" t="s">
        <v>48</v>
      </c>
      <c r="HP2" s="143"/>
      <c r="HQ2" s="143"/>
      <c r="HR2" s="143"/>
      <c r="HS2" s="90" t="s">
        <v>32</v>
      </c>
      <c r="HT2" s="17" t="s">
        <v>31</v>
      </c>
      <c r="HU2" s="90" t="s">
        <v>139</v>
      </c>
      <c r="HV2" s="17" t="s">
        <v>30</v>
      </c>
      <c r="HW2" s="17" t="s">
        <v>25</v>
      </c>
      <c r="HX2" s="147" t="s">
        <v>43</v>
      </c>
      <c r="HY2" s="147"/>
      <c r="HZ2" s="147"/>
      <c r="IA2" s="147"/>
      <c r="IB2" s="147" t="s">
        <v>46</v>
      </c>
      <c r="IC2" s="147"/>
      <c r="ID2" s="147"/>
      <c r="IE2" s="147"/>
      <c r="IF2" s="147" t="s">
        <v>47</v>
      </c>
      <c r="IG2" s="147"/>
      <c r="IH2" s="147"/>
      <c r="II2" s="147"/>
      <c r="IJ2" s="147" t="s">
        <v>48</v>
      </c>
      <c r="IK2" s="147"/>
      <c r="IL2" s="147"/>
      <c r="IM2" s="147"/>
      <c r="IN2" s="89" t="s">
        <v>32</v>
      </c>
      <c r="IO2" s="16" t="s">
        <v>31</v>
      </c>
      <c r="IP2" s="89" t="s">
        <v>139</v>
      </c>
      <c r="IQ2" s="16" t="s">
        <v>30</v>
      </c>
      <c r="IR2" s="16" t="s">
        <v>25</v>
      </c>
      <c r="IS2" s="143" t="s">
        <v>43</v>
      </c>
      <c r="IT2" s="143"/>
      <c r="IU2" s="143"/>
      <c r="IV2" s="143"/>
      <c r="IW2" s="143" t="s">
        <v>46</v>
      </c>
      <c r="IX2" s="143"/>
      <c r="IY2" s="143"/>
      <c r="IZ2" s="143"/>
      <c r="JA2" s="143" t="s">
        <v>47</v>
      </c>
      <c r="JB2" s="143"/>
      <c r="JC2" s="143"/>
      <c r="JD2" s="143"/>
      <c r="JE2" s="143" t="s">
        <v>48</v>
      </c>
      <c r="JF2" s="143"/>
      <c r="JG2" s="143"/>
      <c r="JH2" s="143"/>
      <c r="JI2" s="90" t="s">
        <v>32</v>
      </c>
      <c r="JJ2" s="17" t="s">
        <v>31</v>
      </c>
      <c r="JK2" s="90" t="s">
        <v>139</v>
      </c>
      <c r="JL2" s="17" t="s">
        <v>30</v>
      </c>
      <c r="JM2" s="17" t="s">
        <v>25</v>
      </c>
      <c r="JN2" s="147" t="s">
        <v>43</v>
      </c>
      <c r="JO2" s="147"/>
      <c r="JP2" s="147"/>
      <c r="JQ2" s="147"/>
      <c r="JR2" s="147" t="s">
        <v>46</v>
      </c>
      <c r="JS2" s="147"/>
      <c r="JT2" s="147"/>
      <c r="JU2" s="147"/>
      <c r="JV2" s="147" t="s">
        <v>47</v>
      </c>
      <c r="JW2" s="147"/>
      <c r="JX2" s="147"/>
      <c r="JY2" s="147"/>
      <c r="JZ2" s="147" t="s">
        <v>48</v>
      </c>
      <c r="KA2" s="147"/>
      <c r="KB2" s="147"/>
      <c r="KC2" s="147"/>
      <c r="KD2" s="89" t="s">
        <v>32</v>
      </c>
      <c r="KE2" s="16" t="s">
        <v>31</v>
      </c>
      <c r="KF2" s="89" t="s">
        <v>139</v>
      </c>
      <c r="KG2" s="16" t="s">
        <v>30</v>
      </c>
      <c r="KH2" s="16" t="s">
        <v>25</v>
      </c>
      <c r="KI2" s="143" t="s">
        <v>43</v>
      </c>
      <c r="KJ2" s="143"/>
      <c r="KK2" s="143"/>
      <c r="KL2" s="143"/>
      <c r="KM2" s="143" t="s">
        <v>46</v>
      </c>
      <c r="KN2" s="143"/>
      <c r="KO2" s="143"/>
      <c r="KP2" s="143"/>
      <c r="KQ2" s="143" t="s">
        <v>47</v>
      </c>
      <c r="KR2" s="143"/>
      <c r="KS2" s="143"/>
      <c r="KT2" s="143"/>
      <c r="KU2" s="143" t="s">
        <v>48</v>
      </c>
      <c r="KV2" s="143"/>
      <c r="KW2" s="143"/>
      <c r="KX2" s="143"/>
      <c r="KY2" s="90" t="s">
        <v>32</v>
      </c>
      <c r="KZ2" s="17" t="s">
        <v>31</v>
      </c>
      <c r="LA2" s="90" t="s">
        <v>139</v>
      </c>
      <c r="LB2" s="17" t="s">
        <v>30</v>
      </c>
      <c r="LC2" s="17" t="s">
        <v>25</v>
      </c>
      <c r="LD2" s="147" t="s">
        <v>43</v>
      </c>
      <c r="LE2" s="147"/>
      <c r="LF2" s="147"/>
      <c r="LG2" s="147"/>
      <c r="LH2" s="147" t="s">
        <v>46</v>
      </c>
      <c r="LI2" s="147"/>
      <c r="LJ2" s="147"/>
      <c r="LK2" s="147"/>
      <c r="LL2" s="147" t="s">
        <v>47</v>
      </c>
      <c r="LM2" s="147"/>
      <c r="LN2" s="147"/>
      <c r="LO2" s="147"/>
      <c r="LP2" s="147" t="s">
        <v>48</v>
      </c>
      <c r="LQ2" s="147"/>
      <c r="LR2" s="147"/>
      <c r="LS2" s="147"/>
      <c r="LT2" s="89" t="s">
        <v>32</v>
      </c>
      <c r="LU2" s="16" t="s">
        <v>31</v>
      </c>
      <c r="LV2" s="89" t="s">
        <v>139</v>
      </c>
      <c r="LW2" s="16" t="s">
        <v>30</v>
      </c>
      <c r="LX2" s="16" t="s">
        <v>25</v>
      </c>
      <c r="LY2" s="135" t="s">
        <v>43</v>
      </c>
      <c r="LZ2" s="135"/>
      <c r="MA2" s="135"/>
      <c r="MB2" s="135"/>
      <c r="MC2" s="135" t="s">
        <v>46</v>
      </c>
      <c r="MD2" s="135"/>
      <c r="ME2" s="135"/>
      <c r="MF2" s="135"/>
      <c r="MG2" s="135" t="s">
        <v>47</v>
      </c>
      <c r="MH2" s="135"/>
      <c r="MI2" s="135"/>
      <c r="MJ2" s="135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102" t="s">
        <v>139</v>
      </c>
      <c r="MS2" s="9" t="s">
        <v>30</v>
      </c>
      <c r="MT2" s="9" t="s">
        <v>25</v>
      </c>
    </row>
    <row r="3" spans="1:358" x14ac:dyDescent="0.2">
      <c r="A3" s="136"/>
      <c r="B3" s="136"/>
      <c r="C3" s="136"/>
      <c r="D3" s="136"/>
      <c r="E3" s="136"/>
      <c r="F3" s="144"/>
      <c r="G3" s="144"/>
      <c r="H3" s="136"/>
      <c r="I3" s="144"/>
      <c r="J3" s="150"/>
      <c r="K3" s="141"/>
      <c r="L3" s="150"/>
      <c r="M3" s="141"/>
      <c r="N3" s="140"/>
      <c r="O3" s="141"/>
      <c r="P3" s="141"/>
      <c r="Q3" s="58" t="s">
        <v>22</v>
      </c>
      <c r="R3" s="58" t="s">
        <v>14</v>
      </c>
      <c r="S3" s="58" t="s">
        <v>44</v>
      </c>
      <c r="T3" s="58" t="s">
        <v>45</v>
      </c>
      <c r="U3" s="58" t="s">
        <v>22</v>
      </c>
      <c r="V3" s="58" t="s">
        <v>14</v>
      </c>
      <c r="W3" s="58" t="s">
        <v>44</v>
      </c>
      <c r="X3" s="58" t="s">
        <v>45</v>
      </c>
      <c r="Y3" s="58" t="s">
        <v>22</v>
      </c>
      <c r="Z3" s="58" t="s">
        <v>14</v>
      </c>
      <c r="AA3" s="58" t="s">
        <v>44</v>
      </c>
      <c r="AB3" s="58" t="s">
        <v>45</v>
      </c>
      <c r="AC3" s="61" t="s">
        <v>22</v>
      </c>
      <c r="AD3" s="61" t="s">
        <v>14</v>
      </c>
      <c r="AE3" s="61" t="s">
        <v>44</v>
      </c>
      <c r="AF3" s="61" t="s">
        <v>45</v>
      </c>
      <c r="AG3" s="78" t="s">
        <v>90</v>
      </c>
      <c r="AH3" s="10"/>
      <c r="AI3" s="9"/>
      <c r="AJ3" s="10"/>
      <c r="AK3" s="10"/>
      <c r="AL3" s="10"/>
      <c r="AM3" s="57" t="s">
        <v>22</v>
      </c>
      <c r="AN3" s="57" t="s">
        <v>14</v>
      </c>
      <c r="AO3" s="57" t="s">
        <v>44</v>
      </c>
      <c r="AP3" s="57" t="s">
        <v>45</v>
      </c>
      <c r="AQ3" s="57" t="s">
        <v>22</v>
      </c>
      <c r="AR3" s="57" t="s">
        <v>14</v>
      </c>
      <c r="AS3" s="57" t="s">
        <v>44</v>
      </c>
      <c r="AT3" s="57" t="s">
        <v>45</v>
      </c>
      <c r="AU3" s="57" t="s">
        <v>22</v>
      </c>
      <c r="AV3" s="57" t="s">
        <v>14</v>
      </c>
      <c r="AW3" s="57" t="s">
        <v>44</v>
      </c>
      <c r="AX3" s="57" t="s">
        <v>45</v>
      </c>
      <c r="AY3" s="62" t="s">
        <v>22</v>
      </c>
      <c r="AZ3" s="62" t="s">
        <v>14</v>
      </c>
      <c r="BA3" s="62" t="s">
        <v>44</v>
      </c>
      <c r="BB3" s="62" t="s">
        <v>45</v>
      </c>
      <c r="BC3" s="79" t="s">
        <v>90</v>
      </c>
      <c r="BD3" s="13"/>
      <c r="BE3" s="12"/>
      <c r="BF3" s="13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90</v>
      </c>
      <c r="BZ3" s="10"/>
      <c r="CA3" s="9"/>
      <c r="CB3" s="10"/>
      <c r="CC3" s="10"/>
      <c r="CD3" s="10"/>
      <c r="CE3" s="23"/>
      <c r="CF3" s="23"/>
      <c r="CG3" s="58" t="s">
        <v>22</v>
      </c>
      <c r="CH3" s="58" t="s">
        <v>14</v>
      </c>
      <c r="CI3" s="58" t="s">
        <v>44</v>
      </c>
      <c r="CJ3" s="58" t="s">
        <v>45</v>
      </c>
      <c r="CK3" s="58" t="s">
        <v>22</v>
      </c>
      <c r="CL3" s="58" t="s">
        <v>14</v>
      </c>
      <c r="CM3" s="58" t="s">
        <v>44</v>
      </c>
      <c r="CN3" s="58" t="s">
        <v>45</v>
      </c>
      <c r="CO3" s="58" t="s">
        <v>22</v>
      </c>
      <c r="CP3" s="58" t="s">
        <v>14</v>
      </c>
      <c r="CQ3" s="58" t="s">
        <v>44</v>
      </c>
      <c r="CR3" s="58" t="s">
        <v>45</v>
      </c>
      <c r="CS3" s="61" t="s">
        <v>22</v>
      </c>
      <c r="CT3" s="61" t="s">
        <v>14</v>
      </c>
      <c r="CU3" s="61" t="s">
        <v>44</v>
      </c>
      <c r="CV3" s="61" t="s">
        <v>45</v>
      </c>
      <c r="CW3" s="10"/>
      <c r="CX3" s="9"/>
      <c r="CY3" s="10"/>
      <c r="CZ3" s="10"/>
      <c r="DA3" s="10"/>
      <c r="DB3" s="62" t="s">
        <v>22</v>
      </c>
      <c r="DC3" s="62" t="s">
        <v>14</v>
      </c>
      <c r="DD3" s="62" t="s">
        <v>44</v>
      </c>
      <c r="DE3" s="62" t="s">
        <v>45</v>
      </c>
      <c r="DF3" s="62" t="s">
        <v>22</v>
      </c>
      <c r="DG3" s="62" t="s">
        <v>14</v>
      </c>
      <c r="DH3" s="62" t="s">
        <v>44</v>
      </c>
      <c r="DI3" s="62" t="s">
        <v>45</v>
      </c>
      <c r="DJ3" s="62" t="s">
        <v>22</v>
      </c>
      <c r="DK3" s="62" t="s">
        <v>14</v>
      </c>
      <c r="DL3" s="62" t="s">
        <v>44</v>
      </c>
      <c r="DM3" s="62" t="s">
        <v>45</v>
      </c>
      <c r="DN3" s="62" t="s">
        <v>22</v>
      </c>
      <c r="DO3" s="62" t="s">
        <v>14</v>
      </c>
      <c r="DP3" s="62" t="s">
        <v>44</v>
      </c>
      <c r="DQ3" s="62" t="s">
        <v>45</v>
      </c>
      <c r="DR3" s="13"/>
      <c r="DS3" s="16"/>
      <c r="DT3" s="13"/>
      <c r="DU3" s="16"/>
      <c r="DV3" s="16"/>
      <c r="DW3" s="61" t="s">
        <v>22</v>
      </c>
      <c r="DX3" s="61" t="s">
        <v>14</v>
      </c>
      <c r="DY3" s="61" t="s">
        <v>44</v>
      </c>
      <c r="DZ3" s="61" t="s">
        <v>45</v>
      </c>
      <c r="EA3" s="61" t="s">
        <v>22</v>
      </c>
      <c r="EB3" s="61" t="s">
        <v>14</v>
      </c>
      <c r="EC3" s="61" t="s">
        <v>44</v>
      </c>
      <c r="ED3" s="61" t="s">
        <v>45</v>
      </c>
      <c r="EE3" s="61" t="s">
        <v>22</v>
      </c>
      <c r="EF3" s="61" t="s">
        <v>14</v>
      </c>
      <c r="EG3" s="61" t="s">
        <v>44</v>
      </c>
      <c r="EH3" s="61" t="s">
        <v>45</v>
      </c>
      <c r="EI3" s="61" t="s">
        <v>22</v>
      </c>
      <c r="EJ3" s="61" t="s">
        <v>14</v>
      </c>
      <c r="EK3" s="61" t="s">
        <v>44</v>
      </c>
      <c r="EL3" s="61" t="s">
        <v>45</v>
      </c>
      <c r="EM3" s="10"/>
      <c r="EN3" s="17"/>
      <c r="EO3" s="10"/>
      <c r="EP3" s="17"/>
      <c r="EQ3" s="17"/>
      <c r="ER3" s="62" t="s">
        <v>22</v>
      </c>
      <c r="ES3" s="62" t="s">
        <v>14</v>
      </c>
      <c r="ET3" s="62" t="s">
        <v>44</v>
      </c>
      <c r="EU3" s="62" t="s">
        <v>45</v>
      </c>
      <c r="EV3" s="62" t="s">
        <v>22</v>
      </c>
      <c r="EW3" s="62" t="s">
        <v>14</v>
      </c>
      <c r="EX3" s="62" t="s">
        <v>44</v>
      </c>
      <c r="EY3" s="62" t="s">
        <v>45</v>
      </c>
      <c r="EZ3" s="62" t="s">
        <v>22</v>
      </c>
      <c r="FA3" s="62" t="s">
        <v>14</v>
      </c>
      <c r="FB3" s="62" t="s">
        <v>44</v>
      </c>
      <c r="FC3" s="62" t="s">
        <v>45</v>
      </c>
      <c r="FD3" s="62" t="s">
        <v>22</v>
      </c>
      <c r="FE3" s="62" t="s">
        <v>14</v>
      </c>
      <c r="FF3" s="62" t="s">
        <v>44</v>
      </c>
      <c r="FG3" s="62" t="s">
        <v>45</v>
      </c>
      <c r="FH3" s="13"/>
      <c r="FI3" s="16"/>
      <c r="FJ3" s="13"/>
      <c r="FK3" s="16"/>
      <c r="FL3" s="16"/>
      <c r="FM3" s="34" t="s">
        <v>22</v>
      </c>
      <c r="FN3" s="34" t="s">
        <v>14</v>
      </c>
      <c r="FO3" s="34" t="s">
        <v>44</v>
      </c>
      <c r="FP3" s="34" t="s">
        <v>45</v>
      </c>
      <c r="FQ3" s="34" t="s">
        <v>22</v>
      </c>
      <c r="FR3" s="34" t="s">
        <v>14</v>
      </c>
      <c r="FS3" s="34" t="s">
        <v>44</v>
      </c>
      <c r="FT3" s="34" t="s">
        <v>45</v>
      </c>
      <c r="FU3" s="34" t="s">
        <v>22</v>
      </c>
      <c r="FV3" s="34" t="s">
        <v>14</v>
      </c>
      <c r="FW3" s="34" t="s">
        <v>44</v>
      </c>
      <c r="FX3" s="34" t="s">
        <v>45</v>
      </c>
      <c r="FY3" s="34" t="s">
        <v>22</v>
      </c>
      <c r="FZ3" s="34" t="s">
        <v>14</v>
      </c>
      <c r="GA3" s="34" t="s">
        <v>44</v>
      </c>
      <c r="GB3" s="34" t="s">
        <v>45</v>
      </c>
      <c r="GC3" s="10"/>
      <c r="GD3" s="17"/>
      <c r="GE3" s="10"/>
      <c r="GF3" s="17"/>
      <c r="GG3" s="17"/>
      <c r="GH3" s="33" t="s">
        <v>22</v>
      </c>
      <c r="GI3" s="33" t="s">
        <v>14</v>
      </c>
      <c r="GJ3" s="33" t="s">
        <v>44</v>
      </c>
      <c r="GK3" s="33" t="s">
        <v>45</v>
      </c>
      <c r="GL3" s="33" t="s">
        <v>22</v>
      </c>
      <c r="GM3" s="33" t="s">
        <v>14</v>
      </c>
      <c r="GN3" s="33" t="s">
        <v>44</v>
      </c>
      <c r="GO3" s="33" t="s">
        <v>45</v>
      </c>
      <c r="GP3" s="33" t="s">
        <v>22</v>
      </c>
      <c r="GQ3" s="33" t="s">
        <v>14</v>
      </c>
      <c r="GR3" s="33" t="s">
        <v>44</v>
      </c>
      <c r="GS3" s="33" t="s">
        <v>45</v>
      </c>
      <c r="GT3" s="33" t="s">
        <v>22</v>
      </c>
      <c r="GU3" s="33" t="s">
        <v>14</v>
      </c>
      <c r="GV3" s="33" t="s">
        <v>44</v>
      </c>
      <c r="GW3" s="33" t="s">
        <v>45</v>
      </c>
      <c r="GX3" s="13"/>
      <c r="GY3" s="16"/>
      <c r="GZ3" s="13"/>
      <c r="HA3" s="16"/>
      <c r="HB3" s="16"/>
      <c r="HC3" s="34" t="s">
        <v>22</v>
      </c>
      <c r="HD3" s="34" t="s">
        <v>14</v>
      </c>
      <c r="HE3" s="34" t="s">
        <v>44</v>
      </c>
      <c r="HF3" s="34" t="s">
        <v>45</v>
      </c>
      <c r="HG3" s="34" t="s">
        <v>22</v>
      </c>
      <c r="HH3" s="34" t="s">
        <v>14</v>
      </c>
      <c r="HI3" s="34" t="s">
        <v>44</v>
      </c>
      <c r="HJ3" s="34" t="s">
        <v>45</v>
      </c>
      <c r="HK3" s="34" t="s">
        <v>22</v>
      </c>
      <c r="HL3" s="34" t="s">
        <v>14</v>
      </c>
      <c r="HM3" s="34" t="s">
        <v>44</v>
      </c>
      <c r="HN3" s="34" t="s">
        <v>45</v>
      </c>
      <c r="HO3" s="34" t="s">
        <v>22</v>
      </c>
      <c r="HP3" s="34" t="s">
        <v>14</v>
      </c>
      <c r="HQ3" s="34" t="s">
        <v>44</v>
      </c>
      <c r="HR3" s="34" t="s">
        <v>45</v>
      </c>
      <c r="HS3" s="10"/>
      <c r="HT3" s="17"/>
      <c r="HU3" s="10"/>
      <c r="HV3" s="17"/>
      <c r="HW3" s="17"/>
      <c r="HX3" s="33" t="s">
        <v>22</v>
      </c>
      <c r="HY3" s="33" t="s">
        <v>14</v>
      </c>
      <c r="HZ3" s="33" t="s">
        <v>44</v>
      </c>
      <c r="IA3" s="33" t="s">
        <v>45</v>
      </c>
      <c r="IB3" s="33" t="s">
        <v>22</v>
      </c>
      <c r="IC3" s="33" t="s">
        <v>14</v>
      </c>
      <c r="ID3" s="33" t="s">
        <v>44</v>
      </c>
      <c r="IE3" s="33" t="s">
        <v>45</v>
      </c>
      <c r="IF3" s="33" t="s">
        <v>22</v>
      </c>
      <c r="IG3" s="33" t="s">
        <v>14</v>
      </c>
      <c r="IH3" s="33" t="s">
        <v>44</v>
      </c>
      <c r="II3" s="33" t="s">
        <v>45</v>
      </c>
      <c r="IJ3" s="33" t="s">
        <v>22</v>
      </c>
      <c r="IK3" s="33" t="s">
        <v>14</v>
      </c>
      <c r="IL3" s="33" t="s">
        <v>44</v>
      </c>
      <c r="IM3" s="33" t="s">
        <v>45</v>
      </c>
      <c r="IN3" s="13"/>
      <c r="IO3" s="16"/>
      <c r="IP3" s="13"/>
      <c r="IQ3" s="16"/>
      <c r="IR3" s="16"/>
      <c r="IS3" s="34" t="s">
        <v>22</v>
      </c>
      <c r="IT3" s="34" t="s">
        <v>14</v>
      </c>
      <c r="IU3" s="34" t="s">
        <v>44</v>
      </c>
      <c r="IV3" s="34" t="s">
        <v>45</v>
      </c>
      <c r="IW3" s="34" t="s">
        <v>22</v>
      </c>
      <c r="IX3" s="34" t="s">
        <v>14</v>
      </c>
      <c r="IY3" s="34" t="s">
        <v>44</v>
      </c>
      <c r="IZ3" s="34" t="s">
        <v>45</v>
      </c>
      <c r="JA3" s="34" t="s">
        <v>22</v>
      </c>
      <c r="JB3" s="34" t="s">
        <v>14</v>
      </c>
      <c r="JC3" s="34" t="s">
        <v>44</v>
      </c>
      <c r="JD3" s="34" t="s">
        <v>45</v>
      </c>
      <c r="JE3" s="34" t="s">
        <v>22</v>
      </c>
      <c r="JF3" s="34" t="s">
        <v>14</v>
      </c>
      <c r="JG3" s="34" t="s">
        <v>44</v>
      </c>
      <c r="JH3" s="34" t="s">
        <v>45</v>
      </c>
      <c r="JI3" s="10"/>
      <c r="JJ3" s="17"/>
      <c r="JK3" s="10"/>
      <c r="JL3" s="17"/>
      <c r="JM3" s="17"/>
      <c r="JN3" s="33" t="s">
        <v>22</v>
      </c>
      <c r="JO3" s="33" t="s">
        <v>14</v>
      </c>
      <c r="JP3" s="33" t="s">
        <v>44</v>
      </c>
      <c r="JQ3" s="33" t="s">
        <v>45</v>
      </c>
      <c r="JR3" s="33" t="s">
        <v>22</v>
      </c>
      <c r="JS3" s="33" t="s">
        <v>14</v>
      </c>
      <c r="JT3" s="33" t="s">
        <v>44</v>
      </c>
      <c r="JU3" s="33" t="s">
        <v>45</v>
      </c>
      <c r="JV3" s="33" t="s">
        <v>22</v>
      </c>
      <c r="JW3" s="33" t="s">
        <v>14</v>
      </c>
      <c r="JX3" s="33" t="s">
        <v>44</v>
      </c>
      <c r="JY3" s="33" t="s">
        <v>45</v>
      </c>
      <c r="JZ3" s="33" t="s">
        <v>22</v>
      </c>
      <c r="KA3" s="33" t="s">
        <v>14</v>
      </c>
      <c r="KB3" s="33" t="s">
        <v>44</v>
      </c>
      <c r="KC3" s="33" t="s">
        <v>45</v>
      </c>
      <c r="KD3" s="13"/>
      <c r="KE3" s="16"/>
      <c r="KF3" s="13"/>
      <c r="KG3" s="16"/>
      <c r="KH3" s="16"/>
      <c r="KI3" s="34" t="s">
        <v>22</v>
      </c>
      <c r="KJ3" s="34" t="s">
        <v>14</v>
      </c>
      <c r="KK3" s="34" t="s">
        <v>44</v>
      </c>
      <c r="KL3" s="34" t="s">
        <v>45</v>
      </c>
      <c r="KM3" s="34" t="s">
        <v>22</v>
      </c>
      <c r="KN3" s="34" t="s">
        <v>14</v>
      </c>
      <c r="KO3" s="34" t="s">
        <v>44</v>
      </c>
      <c r="KP3" s="34" t="s">
        <v>45</v>
      </c>
      <c r="KQ3" s="34" t="s">
        <v>22</v>
      </c>
      <c r="KR3" s="34" t="s">
        <v>14</v>
      </c>
      <c r="KS3" s="34" t="s">
        <v>44</v>
      </c>
      <c r="KT3" s="34" t="s">
        <v>45</v>
      </c>
      <c r="KU3" s="34" t="s">
        <v>22</v>
      </c>
      <c r="KV3" s="34" t="s">
        <v>14</v>
      </c>
      <c r="KW3" s="34" t="s">
        <v>44</v>
      </c>
      <c r="KX3" s="34" t="s">
        <v>45</v>
      </c>
      <c r="KY3" s="10"/>
      <c r="KZ3" s="17"/>
      <c r="LA3" s="10"/>
      <c r="LB3" s="17"/>
      <c r="LC3" s="17"/>
      <c r="LD3" s="33" t="s">
        <v>22</v>
      </c>
      <c r="LE3" s="33" t="s">
        <v>14</v>
      </c>
      <c r="LF3" s="33" t="s">
        <v>44</v>
      </c>
      <c r="LG3" s="33" t="s">
        <v>45</v>
      </c>
      <c r="LH3" s="33" t="s">
        <v>22</v>
      </c>
      <c r="LI3" s="33" t="s">
        <v>14</v>
      </c>
      <c r="LJ3" s="33" t="s">
        <v>44</v>
      </c>
      <c r="LK3" s="33" t="s">
        <v>45</v>
      </c>
      <c r="LL3" s="33" t="s">
        <v>22</v>
      </c>
      <c r="LM3" s="33" t="s">
        <v>14</v>
      </c>
      <c r="LN3" s="33" t="s">
        <v>44</v>
      </c>
      <c r="LO3" s="33" t="s">
        <v>45</v>
      </c>
      <c r="LP3" s="33" t="s">
        <v>22</v>
      </c>
      <c r="LQ3" s="33" t="s">
        <v>14</v>
      </c>
      <c r="LR3" s="33" t="s">
        <v>44</v>
      </c>
      <c r="LS3" s="33" t="s">
        <v>45</v>
      </c>
      <c r="LT3" s="13"/>
      <c r="LU3" s="16"/>
      <c r="LV3" s="13"/>
      <c r="LW3" s="16"/>
      <c r="LX3" s="16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90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IF(AND(F4="P",G4="P"),SUMPRODUCT((F$4:F$18="P")*(G$4:G$18="P")*(E$4:E$18&gt;E4))+1,IF(G4="P",SUMPRODUCT((F$4:F$18="")*(G$4:G$18="P")*(E$4:E$18&gt;E4))+1+SUMPRODUCT((F$4:F$18="P")*(G$4:G$18="P")),""))</f>
        <v>1</v>
      </c>
      <c r="B4" s="8" t="s">
        <v>12</v>
      </c>
      <c r="C4" s="4" t="s">
        <v>6</v>
      </c>
      <c r="D4" s="5">
        <v>1996</v>
      </c>
      <c r="E4" s="15">
        <f>SUM(J4:N4)</f>
        <v>217.40000000000003</v>
      </c>
      <c r="F4" s="3" t="str">
        <f>IF(OR(AND(AH4&gt;=AL$20,AI4&gt;=AL$24,AI4&lt;&gt;"",AG4=""),AND(BD4&gt;=BH$20,BE4&gt;=BH$24,BE4&lt;&gt;"",BC4=""),AND(BZ4&gt;=CD$20,CA4&gt;=CD$24,CA4&lt;&gt;"",BY4=""),AND(CW4&gt;=DA$20,CX4&gt;=DA$24,CX4&lt;&gt;""),AND(DR4&gt;=DV$20,DS4&gt;=DV$24,DS4&lt;&gt;""),AND(EM4&gt;=EQ$20,EN4&gt;=EQ$24,EN4&lt;&gt;""),AND(FH4&gt;=FL$20,FI4&gt;=FL$24,FI4&lt;&gt;""),AND(GC4&gt;=GG$20,GD4&gt;=GG$24,GD4&lt;&gt;""),AND(GX4&gt;=HB$20,GY4&gt;=HB$24,GY4&lt;&gt;""),AND(HS4&gt;=HW$20,HT4&gt;=HW$24,HT4&lt;&gt;""),AND(IN4&gt;=IR$20,IO4&gt;=IR$24,IO4&lt;&gt;""),AND(JI4&gt;=JM$20,JJ4&gt;=JM$24,JJ4&lt;&gt;""),AND(KD4&gt;=KH$20,KE4&gt;=KH$24,KE4&lt;&gt;""),AND(KY4&gt;=LC$20,KZ4&gt;=LC$24,KZ4&lt;&gt;""),AND(LT4&gt;=LX$20,LU4&gt;=LX$24,LU4&lt;&gt;"")),"P","")</f>
        <v>P</v>
      </c>
      <c r="G4" s="3" t="str">
        <f>IF(OR(AND(AI4&gt;=AL$24,AI4&lt;&gt;"",AG4=""),AND(BE4&gt;=BH$24,BE4&lt;&gt;"",BC4=""),AND(CA4&gt;=CD$24,CA4&lt;&gt;"",BY4=""),AND(CX4&gt;=DA$24,CX4&lt;&gt;""),AND(DS4&gt;=DV$24,DS4&lt;&gt;""),AND(EN4&gt;=EQ$24,EN4&lt;&gt;""),AND(FI4&gt;=FL$24,FI4&lt;&gt;""),AND(GD4&gt;=GG$24,GD4&lt;&gt;""),AND(GY4&gt;=HB$24,GY4&lt;&gt;""),AND(HT4&gt;=HW$24,HT4&lt;&gt;""),AND(IO4&gt;=IR$24,IO4&lt;&gt;""),AND(JJ4&gt;=JM$24,JJ4&lt;&gt;""),AND(KE4&gt;=KH$24,KE4&lt;&gt;""),AND(KZ4&gt;=LC$24,KZ4&lt;&gt;""),AND(LU4&gt;=LX$24,LU4&lt;&gt;"")),"P","")</f>
        <v>P</v>
      </c>
      <c r="H4" s="126" t="str">
        <f>IF(AND(G4="P",F4=""),"No DD",IF(OR(AND(AH4&gt;=AL$23,AH4&lt;&gt;"",AI4&gt;=AL$27,AI4&lt;&gt;"",AG4=""),AND(BD4&gt;=BH$23,BD4&lt;&gt;"",BE4&gt;=BH$27,BE4&lt;&gt;"",BC4=""),AND(BZ4&gt;=CD$23,BZ4&lt;&gt;"",CA4&gt;=CD$27,CA4&lt;&gt;"",BY4=""),AND(CW4&gt;=DA$23,CW4&lt;&gt;"",CX4&gt;=DA$27,CX4&lt;&gt;""),AND(DR4&gt;=DV$23,DR4&lt;&gt;"",DS4&gt;=DV$27,DS4&lt;&gt;""),AND(EM4&gt;=EQ$23,EM4&lt;&gt;"",EN4&gt;=EQ$27,EN4&lt;&gt;""),AND(FH4&gt;=FL$23,FH4&lt;&gt;"",FI4&gt;=FL$27,FI4&lt;&gt;""),AND(GC4&gt;=GG$23,GC4&lt;&gt;"",GD4&gt;=GG$27,GD4&lt;&gt;""),AND(GX4&gt;=HB$23,GX4&lt;&gt;"",GY4&gt;=HB$27,GY4&lt;&gt;""),AND(HS4&gt;=HW$23,HS4&lt;&gt;"",HT4&gt;=HW$27,HT4&lt;&gt;""),AND(IN4&gt;=IR$23,IN4&lt;&gt;"",IO4&gt;=IR$27,IO4&lt;&gt;""),AND(JI4&gt;=JM$23,JI4&lt;&gt;"",JJ4&gt;=JM$27,JJ4&lt;&gt;""),AND(KD4&gt;=KH$23,KD4&lt;&gt;"",KE4&gt;=KH$27,KE4&lt;&gt;""),AND(KY4&gt;=LC$23,KY4&lt;&gt;"",KZ4&gt;=LC$27,KZ4&lt;&gt;""),AND(LT4&gt;=LX$23,LT4&lt;&gt;"",LU4&gt;=LX$27,LU4&lt;&gt;"")),"Merit",IF(OR(AND(AH4&gt;=AL$22,AH4&lt;&gt;"",AI4&gt;=AL$26,AI4&lt;&gt;"",AG4=""),AND(BD4&gt;=BH$22,BD4&lt;&gt;"",BE4&gt;=BH$26,BE4&lt;&gt;"",BC4=""),AND(BZ4&gt;=CD$22,BZ4&lt;&gt;"",CA4&gt;=CD$26,CA4&lt;&gt;"",BY4=""),AND(CW4&gt;=DA$22,CW4&lt;&gt;"",CX4&gt;=DA$26,CX4&lt;&gt;""),AND(DR4&gt;=DV$22,DR4&lt;&gt;"",DS4&gt;=DV$26,DS4&lt;&gt;""),AND(EM4&gt;=EQ$22,EM4&lt;&gt;"",EN4&gt;=EQ$26,EN4&lt;&gt;""),AND(FH4&gt;=FL$22,FH4&lt;&gt;"",FI4&gt;=FL$26,FI4&lt;&gt;""),AND(GC4&gt;=GG$22,GC4&lt;&gt;"",GD4&gt;=GG$26,GD4&lt;&gt;""),AND(GX4&gt;=HB$22,GX4&lt;&gt;"",GY4&gt;=HB$26,GY4&lt;&gt;""),AND(HS4&gt;=HW$22,HS4&lt;&gt;"",HT4&gt;=HW$26,HT4&lt;&gt;""),AND(IN4&gt;=IR$22,IN4&lt;&gt;"",IO4&gt;=IR$26,IO4&lt;&gt;""),AND(JI4&gt;=JM$22,JI4&lt;&gt;"",JJ4&gt;=JM$26,JJ4&lt;&gt;""),AND(KD4&gt;=KH$22,KD4&lt;&gt;"",KE4&gt;=KH$26,KE4&lt;&gt;""),AND(KY4&gt;=LC$22,KY4&lt;&gt;"",KZ4&gt;=LC$26,KZ4&lt;&gt;""),AND(LT4&gt;=LX$22,LT4&lt;&gt;"",LU4&gt;=LX$26,LU4&lt;&gt;"")),"Excellence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Worlds Team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National Team","")))))</f>
        <v>Merit</v>
      </c>
      <c r="I4" s="3" t="str">
        <f>IF(OR(H4="Worlds Team",H4="Excellence",H4="Merit"),"P","")</f>
        <v>P</v>
      </c>
      <c r="J4" s="14">
        <f>MAX(AL4,BH4,CD4)</f>
        <v>143.30000000000001</v>
      </c>
      <c r="K4" s="14" t="str">
        <f>IF(J4=0,"",IF(J4=CD4,$BI$1,IF(J4=BH4,$AM$1,IF(J4=AL4,$Q$1,""))))</f>
        <v>2019 Nationals</v>
      </c>
      <c r="L4" s="14">
        <f>IF(J4=AL4,MAX(BE4,BG4,CA4,CC4),IF(J4=BH4,MAX(AI4,AK4,CA4,CC4),MAX(AI4,AK4,BE4,BG4)))</f>
        <v>71.100000000000009</v>
      </c>
      <c r="M4" s="14" t="str">
        <f>IF(L4=0,"",IF(AND(J4&lt;&gt;CD4,OR(L4=CA4,L4=CC4)),$BI$1,IF(AND(J4&lt;&gt;BH4,OR(L4=BG4,L4=BE4)),$AM$1,IF(OR(L4=AK4,L4=AI4),$Q$1,""))))</f>
        <v>2019 Elite Canada</v>
      </c>
      <c r="N4" s="14">
        <f>IF(MAX(CE4:CF4)&gt;0,MAX(CE4:CF4),"")</f>
        <v>3</v>
      </c>
      <c r="O4" s="25" t="str">
        <f>IF(N4="","",IF(N4=CE4,"(4 Pass)",IF(N4=CF4,"(2 Pass)")))</f>
        <v>(4 Pass)</v>
      </c>
      <c r="P4" s="14" t="str">
        <f>IF(N4="","",IF(N4=CE4,IF(N4+IF(J4="",0,J4)=DA4,$CG$1,IF(N4+IF(J4="",0,J4)=DV4,$DB$1,IF(N4+IF(J4="",0,J4)=EQ4,$DW$1,IF(N4+IF(J4="",0,J4)=FL4,$ER$1,IF(N4+IF(J4="",0,J4)=GG4,$FM$1,IF(N4+IF(J4="",0,J4)=HB4,$GH$1,IF(N4+IF(J4="",0,J4)=HW4,$HC$1,IF(N4+IF(J4="",0,J4)=IR4,$HX$1,IF(N4+IF(J4="",0,J4)=JM4,$IS$1,IF(N4+IF(J4="",0,J4)=KH4,$JN$1,IF(N4+IF(J4="",0,J4)=LC4,$KI$1,IF(N4+IF(J4="",0,J4)=LX4,$LD$1)))))))))))),IF(N4=CF4,IF(OR(N4+IF(L4="",0,L4)=CX4,N4+IF(L4="",0,L4)=CZ4),$CG$1,IF(OR(N4+IF(L4="",0,L4)=DS4,N4+IF(L4="",0,L4)=DU4),$DB$1,IF(OR(N4+IF(L4="",0,L4)=EN4,N4+IF(L4="",0,L4)=EP4),$DW$1,IF(OR(N4+IF(L4="",0,L4)=FI4,N4+IF(L4="",0,L4)=FK4),$ER$1,IF(OR(N4+IF(L4="",0,L4)=GD4,N4+IF(L4="",0,L4)=GF4),$FM$1,IF(OR(N4+IF(L4="",0,L4)=GY4,N4+IF(L4="",0,L4)=HA4),$GH$1,IF(OR(N4+IF(L4="",0,L4)=HT4,N4+IF(L4="",0,L4)=HV4),$HC$1,IF(OR(N4+IF(L4="",0,L4)=IO4,N4+IF(L4="",0,L4)=IQ4),$HX$1,IF(OR(N4+IF(L4="",0,L4)=JJ4,N4+IF(L4="",0,L4)=JL4),$IS$1,IF(OR(N4+IF(L4="",0,L4)=KE4,N4+IF(L4="",0,L4)=KG4),$JN$1,IF(OR(N4+IF(L4="",0,L4)=KZ4,N4+IF(L4="",0,L4)=LB4),$KI$1,IF(OR(N4+IF(L4="",0,L4)=LU4,N4+IF(L4="",0,L4)=LW4),$LD$1)))))))))))))))</f>
        <v>2019 World Championships (Nov 30)</v>
      </c>
      <c r="Q4" s="69">
        <v>28.5</v>
      </c>
      <c r="R4" s="69">
        <v>8</v>
      </c>
      <c r="S4" s="69">
        <v>0.9</v>
      </c>
      <c r="T4" s="69">
        <v>0</v>
      </c>
      <c r="U4" s="69">
        <v>28.4</v>
      </c>
      <c r="V4" s="69">
        <v>8</v>
      </c>
      <c r="W4" s="69">
        <v>0.9</v>
      </c>
      <c r="X4" s="69">
        <v>0</v>
      </c>
      <c r="Y4" s="69">
        <v>25.7</v>
      </c>
      <c r="Z4" s="69">
        <v>7.7</v>
      </c>
      <c r="AA4" s="69">
        <v>1.2</v>
      </c>
      <c r="AB4" s="69">
        <v>0</v>
      </c>
      <c r="AC4" s="69">
        <v>27.6</v>
      </c>
      <c r="AD4" s="69">
        <v>8.6999999999999993</v>
      </c>
      <c r="AE4" s="69">
        <v>1.2</v>
      </c>
      <c r="AF4" s="69">
        <v>0</v>
      </c>
      <c r="AG4" s="80"/>
      <c r="AH4" s="11">
        <f>IF(SUM(R4,V4)&gt;0,SUM(R4,V4),"")</f>
        <v>16</v>
      </c>
      <c r="AI4" s="11">
        <f>IF(SUM(Q4:R4,T4:V4,X4)-SUM(S4,W4)&gt;0,SUM(Q4:R4,T4:V4,X4)-SUM(S4,W4),"")</f>
        <v>71.100000000000009</v>
      </c>
      <c r="AJ4" s="11">
        <f>IF(SUM(Z4,AD4)&gt;0,SUM(Z4,AD4),"")</f>
        <v>16.399999999999999</v>
      </c>
      <c r="AK4" s="11">
        <f>IF(SUM(Y4:Z4,AB4:AD4,AF4)-SUM(AA4,AE4)&gt;0,SUM(Y4:Z4,AB4:AD4,AF4)-SUM(AA4,AE4),"")</f>
        <v>67.3</v>
      </c>
      <c r="AL4" s="11">
        <f>IF(SUM(AI4,AK4)&gt;0,SUM(AI4,AK4),"")</f>
        <v>138.4</v>
      </c>
      <c r="AM4" s="38">
        <v>28.8</v>
      </c>
      <c r="AN4" s="38">
        <v>8.8000000000000007</v>
      </c>
      <c r="AO4" s="38">
        <v>0</v>
      </c>
      <c r="AP4" s="38">
        <v>0</v>
      </c>
      <c r="AQ4" s="38">
        <v>28.6</v>
      </c>
      <c r="AR4" s="38">
        <v>8.4</v>
      </c>
      <c r="AS4" s="38">
        <v>0.9</v>
      </c>
      <c r="AT4" s="38">
        <v>0</v>
      </c>
      <c r="AU4" s="38">
        <v>28.5</v>
      </c>
      <c r="AV4" s="38">
        <v>7.3</v>
      </c>
      <c r="AW4" s="38">
        <v>0</v>
      </c>
      <c r="AX4" s="38">
        <v>0</v>
      </c>
      <c r="AY4" s="38">
        <v>27.4</v>
      </c>
      <c r="AZ4" s="38">
        <v>7.9</v>
      </c>
      <c r="BA4" s="38">
        <v>1.5</v>
      </c>
      <c r="BB4" s="38">
        <v>0</v>
      </c>
      <c r="BC4" s="81"/>
      <c r="BD4" s="14">
        <f>IF(SUM(AN4,AR4)&gt;0,SUM(AN4,AR4),"")</f>
        <v>17.200000000000003</v>
      </c>
      <c r="BE4" s="14">
        <f>IF(SUM(AM4:AN4,AP4:AR4,AT4)-SUM(AO4,AS4)&gt;0,SUM(AM4:AN4,AP4:AR4,AT4)-SUM(AO4,AS4),"")</f>
        <v>73.7</v>
      </c>
      <c r="BF4" s="14">
        <f>IF(SUM(AV4,AZ4)&gt;0,SUM(AV4,AZ4),"")</f>
        <v>15.2</v>
      </c>
      <c r="BG4" s="14">
        <f>IF(SUM(AU4:AV4,AX4:AZ4,BB4)-SUM(AW4,BA4)&gt;0,SUM(AU4:AV4,AX4:AZ4,BB4)-SUM(AW4,BA4),"")</f>
        <v>69.599999999999994</v>
      </c>
      <c r="BH4" s="14">
        <f>IF(SUM(BE4,BG4)&gt;0,SUM(BE4,BG4),"")</f>
        <v>143.30000000000001</v>
      </c>
      <c r="BI4" s="69"/>
      <c r="BJ4" s="69"/>
      <c r="BK4" s="69"/>
      <c r="BL4" s="69"/>
      <c r="BM4" s="69"/>
      <c r="BN4" s="69"/>
      <c r="BO4" s="69"/>
      <c r="BP4" s="69"/>
      <c r="BQ4" s="69"/>
      <c r="BR4" s="69"/>
      <c r="BS4" s="69"/>
      <c r="BT4" s="69"/>
      <c r="BU4" s="69"/>
      <c r="BV4" s="69"/>
      <c r="BW4" s="69"/>
      <c r="BX4" s="69"/>
      <c r="BY4" s="80"/>
      <c r="BZ4" s="11" t="str">
        <f>IF(SUM(BJ4,BN4)&gt;0,SUM(BJ4,BN4),"")</f>
        <v/>
      </c>
      <c r="CA4" s="11" t="str">
        <f>IF(SUM(BI4:BJ4,BL4:BN4,BP4)-SUM(BK4,BO4)&gt;0,SUM(BI4:BJ4,BL4:BN4,BP4)-SUM(BK4,BO4),"")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>
        <f>IF(MAX(DA4,DV4,EQ4,FL4,GG4,HB4,HW4,IR4,JM4,KH4,LC4,LX4)-IF(J4="",0,J4)&gt;0.001,MAX(DA4,DV4,EQ4,FL4,GG4,HB4,HW4,IR4,JM4,KH4,LC4,LX4)-IF(J4="",0,J4),"")</f>
        <v>3</v>
      </c>
      <c r="CF4" s="24">
        <f>IF(MAX(CX4,CZ4,DS4,DU4,EN4,EP4,FI4,FK4,GD4,GF4,GY4,HA4,HT4,HV4,IO4,IQ4,JJ4,JL4,KE4,KG4,KZ4,LB4,LU4,LW4)-IF(L4="",0,L4)&gt;0.001,MAX(CX4,CZ4,DS4,DU4,EN4,EP4,FI4,FK4,GD4,GF4,GY4,HA4,HT4,HV4,IO4,IQ4,JJ4,JL4,KE4,KG4,KZ4,LB4,LU4,LW4)-IF(L4="",0,L4),"")</f>
        <v>2.7999999999999829</v>
      </c>
      <c r="CG4" s="44">
        <v>27.9</v>
      </c>
      <c r="CH4" s="44">
        <v>8.9</v>
      </c>
      <c r="CI4" s="44">
        <v>0</v>
      </c>
      <c r="CJ4" s="44">
        <v>0</v>
      </c>
      <c r="CK4" s="44">
        <v>27.9</v>
      </c>
      <c r="CL4" s="44">
        <v>9.1999999999999993</v>
      </c>
      <c r="CM4" s="44">
        <v>0</v>
      </c>
      <c r="CN4" s="44">
        <v>0</v>
      </c>
      <c r="CO4" s="44">
        <v>28.5</v>
      </c>
      <c r="CP4" s="44">
        <v>9.1999999999999993</v>
      </c>
      <c r="CQ4" s="44">
        <v>0.9</v>
      </c>
      <c r="CR4" s="44">
        <v>0</v>
      </c>
      <c r="CS4" s="44">
        <v>27.8</v>
      </c>
      <c r="CT4" s="44">
        <v>8.6999999999999993</v>
      </c>
      <c r="CU4" s="44">
        <v>0.9</v>
      </c>
      <c r="CV4" s="44">
        <v>0</v>
      </c>
      <c r="CW4" s="11">
        <f>IF(SUM(CH4,CL4)&gt;0,SUM(CH4,CL4),"")</f>
        <v>18.100000000000001</v>
      </c>
      <c r="CX4" s="11">
        <f>IF(SUM(CG4:CH4,CJ4:CL4,CN4)-SUM(CI4,CM4)&gt;0,SUM(CG4:CH4,CJ4:CL4,CN4)-SUM(CI4,CM4),"")</f>
        <v>73.899999999999991</v>
      </c>
      <c r="CY4" s="11">
        <f>IF(SUM(CP4,CT4)&gt;0,SUM(CP4,CT4),"")</f>
        <v>17.899999999999999</v>
      </c>
      <c r="CZ4" s="11">
        <f>IF(SUM(CO4:CP4,CR4:CT4,CV4)-SUM(CQ4,CU4)&gt;0,SUM(CO4:CP4,CR4:CT4,CV4)-SUM(CQ4,CU4),"")</f>
        <v>72.400000000000006</v>
      </c>
      <c r="DA4" s="11">
        <f>IF(SUM(CX4,CZ4)&gt;0,SUM(CX4,CZ4),"")</f>
        <v>146.30000000000001</v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14.4</v>
      </c>
      <c r="LZ4" s="69">
        <f>IF($BY4="P",BJ4,(BJ4+AN4)/2)</f>
        <v>4.4000000000000004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14.3</v>
      </c>
      <c r="MD4" s="69">
        <f>IF($BY4="P",BN4,(BN4+AR4)/2)</f>
        <v>4.2</v>
      </c>
      <c r="ME4" s="69">
        <f>IF($BY4="P",BO4,(BO4+AS4)/2)</f>
        <v>0.45</v>
      </c>
      <c r="MF4" s="69">
        <f>IF($BY4="P",BP4,(BP4+AT4)/2)</f>
        <v>0</v>
      </c>
      <c r="MG4" s="69">
        <f>IF($BY4="P",BQ4,(BQ4+AU4)/2)</f>
        <v>14.25</v>
      </c>
      <c r="MH4" s="69">
        <f>IF($BY4="P",BR4,(BR4+AV4)/2)</f>
        <v>3.65</v>
      </c>
      <c r="MI4" s="69">
        <f>IF($BY4="P",BS4,(BS4+AW4)/2)</f>
        <v>0</v>
      </c>
      <c r="MJ4" s="69">
        <f>IF($BY4="P",BT4,(BT4+AX4)/2)</f>
        <v>0</v>
      </c>
      <c r="MK4" s="69">
        <f>IF($BY4="P",BU4,(BU4+AY4)/2)</f>
        <v>13.7</v>
      </c>
      <c r="ML4" s="69">
        <f>IF($BY4="P",BV4,(BV4+AZ4)/2)</f>
        <v>3.95</v>
      </c>
      <c r="MM4" s="69">
        <f>IF($BY4="P",BW4,(BW4+BA4)/2)</f>
        <v>0.75</v>
      </c>
      <c r="MN4" s="69">
        <f>IF($BY4="P",BX4,(BX4+BB4)/2)</f>
        <v>0</v>
      </c>
      <c r="MO4" s="80" t="s">
        <v>91</v>
      </c>
      <c r="MP4" s="11">
        <f>IF(SUM(LZ4,MD4)&gt;0,SUM(LZ4,MD4),"")</f>
        <v>8.6000000000000014</v>
      </c>
      <c r="MQ4" s="11">
        <f>IF(SUM(LY4:LZ4,MB4:MD4,MF4)-SUM(MA4,ME4)&gt;0,SUM(LY4:LZ4,MB4:MD4,MF4)-SUM(MA4,ME4),"")</f>
        <v>36.85</v>
      </c>
      <c r="MR4" s="11">
        <f>IF(SUM(MH4,ML4)&gt;0,SUM(MH4,ML4),"")</f>
        <v>7.6</v>
      </c>
      <c r="MS4" s="11">
        <f>IF(SUM(MG4:MH4,MJ4:ML4,MN4)-SUM(MI4,MM4)&gt;0,SUM(MG4:MH4,MJ4:ML4,MN4)-SUM(MI4,MM4),"")</f>
        <v>34.799999999999997</v>
      </c>
      <c r="MT4" s="11">
        <f>IF(SUM(MQ4,MS4)&gt;0,SUM(MQ4,MS4),"")</f>
        <v>71.650000000000006</v>
      </c>
    </row>
    <row r="5" spans="1:358" x14ac:dyDescent="0.2">
      <c r="A5" s="5">
        <f>IF(AND(F5="P",G5="P"),SUMPRODUCT((F$4:F$18="P")*(G$4:G$18="P")*(E$4:E$18&gt;E5))+1,IF(G5="P",SUMPRODUCT((F$4:F$18="")*(G$4:G$18="P")*(E$4:E$18&gt;E5))+1+SUMPRODUCT((F$4:F$18="P")*(G$4:G$18="P")),""))</f>
        <v>2</v>
      </c>
      <c r="B5" s="8" t="s">
        <v>186</v>
      </c>
      <c r="C5" s="4" t="s">
        <v>3</v>
      </c>
      <c r="D5" s="5">
        <v>2003</v>
      </c>
      <c r="E5" s="15">
        <f>SUM(J5:N5)</f>
        <v>215</v>
      </c>
      <c r="F5" s="3" t="str">
        <f>IF(OR(AND(AH5&gt;=AL$20,AI5&gt;=AL$24,AI5&lt;&gt;"",AG5=""),AND(BD5&gt;=BH$20,BE5&gt;=BH$24,BE5&lt;&gt;"",BC5=""),AND(BZ5&gt;=CD$20,CA5&gt;=CD$24,CA5&lt;&gt;"",BY5=""),AND(CW5&gt;=DA$20,CX5&gt;=DA$24,CX5&lt;&gt;""),AND(DR5&gt;=DV$20,DS5&gt;=DV$24,DS5&lt;&gt;""),AND(EM5&gt;=EQ$20,EN5&gt;=EQ$24,EN5&lt;&gt;""),AND(FH5&gt;=FL$20,FI5&gt;=FL$24,FI5&lt;&gt;""),AND(GC5&gt;=GG$20,GD5&gt;=GG$24,GD5&lt;&gt;""),AND(GX5&gt;=HB$20,GY5&gt;=HB$24,GY5&lt;&gt;""),AND(HS5&gt;=HW$20,HT5&gt;=HW$24,HT5&lt;&gt;""),AND(IN5&gt;=IR$20,IO5&gt;=IR$24,IO5&lt;&gt;""),AND(JI5&gt;=JM$20,JJ5&gt;=JM$24,JJ5&lt;&gt;""),AND(KD5&gt;=KH$20,KE5&gt;=KH$24,KE5&lt;&gt;""),AND(KY5&gt;=LC$20,KZ5&gt;=LC$24,KZ5&lt;&gt;""),AND(LT5&gt;=LX$20,LU5&gt;=LX$24,LU5&lt;&gt;"")),"P","")</f>
        <v>P</v>
      </c>
      <c r="G5" s="3" t="str">
        <f>IF(OR(AND(AI5&gt;=AL$24,AI5&lt;&gt;"",AG5=""),AND(BE5&gt;=BH$24,BE5&lt;&gt;"",BC5=""),AND(CA5&gt;=CD$24,CA5&lt;&gt;"",BY5=""),AND(CX5&gt;=DA$24,CX5&lt;&gt;""),AND(DS5&gt;=DV$24,DS5&lt;&gt;""),AND(EN5&gt;=EQ$24,EN5&lt;&gt;""),AND(FI5&gt;=FL$24,FI5&lt;&gt;""),AND(GD5&gt;=GG$24,GD5&lt;&gt;""),AND(GY5&gt;=HB$24,GY5&lt;&gt;""),AND(HT5&gt;=HW$24,HT5&lt;&gt;""),AND(IO5&gt;=IR$24,IO5&lt;&gt;""),AND(JJ5&gt;=JM$24,JJ5&lt;&gt;""),AND(KE5&gt;=KH$24,KE5&lt;&gt;""),AND(KZ5&gt;=LC$24,KZ5&lt;&gt;""),AND(LU5&gt;=LX$24,LU5&lt;&gt;"")),"P","")</f>
        <v>P</v>
      </c>
      <c r="H5" s="126" t="str">
        <f>IF(AND(G5="P",F5=""),"No DD",IF(OR(AND(AH5&gt;=AL$23,AH5&lt;&gt;"",AI5&gt;=AL$27,AI5&lt;&gt;"",AG5=""),AND(BD5&gt;=BH$23,BD5&lt;&gt;"",BE5&gt;=BH$27,BE5&lt;&gt;"",BC5=""),AND(BZ5&gt;=CD$23,BZ5&lt;&gt;"",CA5&gt;=CD$27,CA5&lt;&gt;"",BY5=""),AND(CW5&gt;=DA$23,CW5&lt;&gt;"",CX5&gt;=DA$27,CX5&lt;&gt;""),AND(DR5&gt;=DV$23,DR5&lt;&gt;"",DS5&gt;=DV$27,DS5&lt;&gt;""),AND(EM5&gt;=EQ$23,EM5&lt;&gt;"",EN5&gt;=EQ$27,EN5&lt;&gt;""),AND(FH5&gt;=FL$23,FH5&lt;&gt;"",FI5&gt;=FL$27,FI5&lt;&gt;""),AND(GC5&gt;=GG$23,GC5&lt;&gt;"",GD5&gt;=GG$27,GD5&lt;&gt;""),AND(GX5&gt;=HB$23,GX5&lt;&gt;"",GY5&gt;=HB$27,GY5&lt;&gt;""),AND(HS5&gt;=HW$23,HS5&lt;&gt;"",HT5&gt;=HW$27,HT5&lt;&gt;""),AND(IN5&gt;=IR$23,IN5&lt;&gt;"",IO5&gt;=IR$27,IO5&lt;&gt;""),AND(JI5&gt;=JM$23,JI5&lt;&gt;"",JJ5&gt;=JM$27,JJ5&lt;&gt;""),AND(KD5&gt;=KH$23,KD5&lt;&gt;"",KE5&gt;=KH$27,KE5&lt;&gt;""),AND(KY5&gt;=LC$23,KY5&lt;&gt;"",KZ5&gt;=LC$27,KZ5&lt;&gt;""),AND(LT5&gt;=LX$23,LT5&lt;&gt;"",LU5&gt;=LX$27,LU5&lt;&gt;"")),"Merit",IF(OR(AND(AH5&gt;=AL$22,AH5&lt;&gt;"",AI5&gt;=AL$26,AI5&lt;&gt;"",AG5=""),AND(BD5&gt;=BH$22,BD5&lt;&gt;"",BE5&gt;=BH$26,BE5&lt;&gt;"",BC5=""),AND(BZ5&gt;=CD$22,BZ5&lt;&gt;"",CA5&gt;=CD$26,CA5&lt;&gt;"",BY5=""),AND(CW5&gt;=DA$22,CW5&lt;&gt;"",CX5&gt;=DA$26,CX5&lt;&gt;""),AND(DR5&gt;=DV$22,DR5&lt;&gt;"",DS5&gt;=DV$26,DS5&lt;&gt;""),AND(EM5&gt;=EQ$22,EM5&lt;&gt;"",EN5&gt;=EQ$26,EN5&lt;&gt;""),AND(FH5&gt;=FL$22,FH5&lt;&gt;"",FI5&gt;=FL$26,FI5&lt;&gt;""),AND(GC5&gt;=GG$22,GC5&lt;&gt;"",GD5&gt;=GG$26,GD5&lt;&gt;""),AND(GX5&gt;=HB$22,GX5&lt;&gt;"",GY5&gt;=HB$26,GY5&lt;&gt;""),AND(HS5&gt;=HW$22,HS5&lt;&gt;"",HT5&gt;=HW$26,HT5&lt;&gt;""),AND(IN5&gt;=IR$22,IN5&lt;&gt;"",IO5&gt;=IR$26,IO5&lt;&gt;""),AND(JI5&gt;=JM$22,JI5&lt;&gt;"",JJ5&gt;=JM$26,JJ5&lt;&gt;""),AND(KD5&gt;=KH$22,KD5&lt;&gt;"",KE5&gt;=KH$26,KE5&lt;&gt;""),AND(KY5&gt;=LC$22,KY5&lt;&gt;"",KZ5&gt;=LC$26,KZ5&lt;&gt;""),AND(LT5&gt;=LX$22,LT5&lt;&gt;"",LU5&gt;=LX$26,LU5&lt;&gt;"")),"Excellence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Worlds Team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National Team","")))))</f>
        <v>Excellence</v>
      </c>
      <c r="I5" s="3" t="str">
        <f>IF(OR(H5="Worlds Team",H5="Excellence",H5="Merit"),"P","")</f>
        <v>P</v>
      </c>
      <c r="J5" s="14">
        <f>MAX(AL5,BH5,CD5)</f>
        <v>140.625</v>
      </c>
      <c r="K5" s="14" t="str">
        <f>IF(J5=0,"",IF(J5=CD5,$BI$1,IF(J5=BH5,$AM$1,IF(J5=AL5,$Q$1,""))))</f>
        <v>2021 1st Virtual Technical Trial</v>
      </c>
      <c r="L5" s="14">
        <f>IF(J5=AL5,MAX(BE5,BG5,CA5,CC5),IF(J5=BH5,MAX(AI5,AK5,CA5,CC5),MAX(AI5,AK5,BE5,BG5)))</f>
        <v>72</v>
      </c>
      <c r="M5" s="14" t="str">
        <f>IF(L5=0,"",IF(AND(J5&lt;&gt;CD5,OR(L5=CA5,L5=CC5)),$BI$1,IF(AND(J5&lt;&gt;BH5,OR(L5=BG5,L5=BE5)),$AM$1,IF(OR(L5=AK5,L5=AI5),$Q$1,""))))</f>
        <v>2019 Nationals</v>
      </c>
      <c r="N5" s="14">
        <f>IF(MAX(CE5:CF5)&gt;0,MAX(CE5:CF5),"")</f>
        <v>2.375</v>
      </c>
      <c r="O5" s="25" t="str">
        <f>IF(N5="","",IF(N5=CE5,"(4 Pass)",IF(N5=CF5,"(2 Pass)")))</f>
        <v>(4 Pass)</v>
      </c>
      <c r="P5" s="14" t="str">
        <f>IF(N5="","",IF(N5=CE5,IF(N5+IF(J5="",0,J5)=DA5,$CG$1,IF(N5+IF(J5="",0,J5)=DV5,$DB$1,IF(N5+IF(J5="",0,J5)=EQ5,$DW$1,IF(N5+IF(J5="",0,J5)=FL5,$ER$1,IF(N5+IF(J5="",0,J5)=GG5,$FM$1,IF(N5+IF(J5="",0,J5)=HB5,$GH$1,IF(N5+IF(J5="",0,J5)=HW5,$HC$1,IF(N5+IF(J5="",0,J5)=IR5,$HX$1,IF(N5+IF(J5="",0,J5)=JM5,$IS$1,IF(N5+IF(J5="",0,J5)=KH5,$JN$1,IF(N5+IF(J5="",0,J5)=LC5,$KI$1,IF(N5+IF(J5="",0,J5)=LX5,$LD$1)))))))))))),IF(N5=CF5,IF(OR(N5+IF(L5="",0,L5)=CX5,N5+IF(L5="",0,L5)=CZ5),$CG$1,IF(OR(N5+IF(L5="",0,L5)=DS5,N5+IF(L5="",0,L5)=DU5),$DB$1,IF(OR(N5+IF(L5="",0,L5)=EN5,N5+IF(L5="",0,L5)=EP5),$DW$1,IF(OR(N5+IF(L5="",0,L5)=FI5,N5+IF(L5="",0,L5)=FK5),$ER$1,IF(OR(N5+IF(L5="",0,L5)=GD5,N5+IF(L5="",0,L5)=GF5),$FM$1,IF(OR(N5+IF(L5="",0,L5)=GY5,N5+IF(L5="",0,L5)=HA5),$GH$1,IF(OR(N5+IF(L5="",0,L5)=HT5,N5+IF(L5="",0,L5)=HV5),$HC$1,IF(OR(N5+IF(L5="",0,L5)=IO5,N5+IF(L5="",0,L5)=IQ5),$HX$1,IF(OR(N5+IF(L5="",0,L5)=JJ5,N5+IF(L5="",0,L5)=JL5),$IS$1,IF(OR(N5+IF(L5="",0,L5)=KE5,N5+IF(L5="",0,L5)=KG5),$JN$1,IF(OR(N5+IF(L5="",0,L5)=KZ5,N5+IF(L5="",0,L5)=LB5),$KI$1,IF(OR(N5+IF(L5="",0,L5)=LU5,N5+IF(L5="",0,L5)=LW5),$LD$1)))))))))))))))</f>
        <v>2019 WAGC (Dec 5)</v>
      </c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80"/>
      <c r="AH5" s="11" t="str">
        <f>IF(SUM(R5,V5)&gt;0,SUM(R5,V5),"")</f>
        <v/>
      </c>
      <c r="AI5" s="11" t="str">
        <f>IF(SUM(Q5:R5,T5:V5,X5)-SUM(S5,W5)&gt;0,SUM(Q5:R5,T5:V5,X5)-SUM(S5,W5),"")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8">
        <v>25.2</v>
      </c>
      <c r="AN5" s="38">
        <v>8.4</v>
      </c>
      <c r="AO5" s="38">
        <v>1.2</v>
      </c>
      <c r="AP5" s="38">
        <v>0</v>
      </c>
      <c r="AQ5" s="38">
        <v>27.8</v>
      </c>
      <c r="AR5" s="38">
        <v>7.3</v>
      </c>
      <c r="AS5" s="38">
        <v>0.9</v>
      </c>
      <c r="AT5" s="38">
        <v>0</v>
      </c>
      <c r="AU5" s="38">
        <v>28.6</v>
      </c>
      <c r="AV5" s="38">
        <v>7.6</v>
      </c>
      <c r="AW5" s="38">
        <v>0.9</v>
      </c>
      <c r="AX5" s="38">
        <v>0</v>
      </c>
      <c r="AY5" s="38">
        <v>28.7</v>
      </c>
      <c r="AZ5" s="38">
        <v>8</v>
      </c>
      <c r="BA5" s="38">
        <v>0</v>
      </c>
      <c r="BB5" s="38">
        <v>0</v>
      </c>
      <c r="BC5" s="81"/>
      <c r="BD5" s="14">
        <f>IF(SUM(AN5,AR5)&gt;0,SUM(AN5,AR5),"")</f>
        <v>15.7</v>
      </c>
      <c r="BE5" s="14">
        <f>IF(SUM(AM5:AN5,AP5:AR5,AT5)-SUM(AO5,AS5)&gt;0,SUM(AM5:AN5,AP5:AR5,AT5)-SUM(AO5,AS5),"")</f>
        <v>66.600000000000009</v>
      </c>
      <c r="BF5" s="14">
        <f>IF(SUM(AV5,AZ5)&gt;0,SUM(AV5,AZ5),"")</f>
        <v>15.6</v>
      </c>
      <c r="BG5" s="14">
        <f>IF(SUM(AU5:AV5,AX5:AZ5,BB5)-SUM(AW5,BA5)&gt;0,SUM(AU5:AV5,AX5:AZ5,BB5)-SUM(AW5,BA5),"")</f>
        <v>72</v>
      </c>
      <c r="BH5" s="14">
        <f>IF(SUM(BE5,BG5)&gt;0,SUM(BE5,BG5),"")</f>
        <v>138.60000000000002</v>
      </c>
      <c r="BI5" s="69">
        <v>28.8</v>
      </c>
      <c r="BJ5" s="69">
        <v>8</v>
      </c>
      <c r="BK5" s="69">
        <v>0.3</v>
      </c>
      <c r="BL5" s="69">
        <v>0.3</v>
      </c>
      <c r="BM5" s="69">
        <v>28.824999999999999</v>
      </c>
      <c r="BN5" s="69">
        <v>8.4</v>
      </c>
      <c r="BO5" s="69">
        <v>0.3</v>
      </c>
      <c r="BP5" s="69">
        <v>0</v>
      </c>
      <c r="BQ5" s="69">
        <v>26.774999999999999</v>
      </c>
      <c r="BR5" s="69">
        <v>5.6</v>
      </c>
      <c r="BS5" s="69">
        <v>0.7</v>
      </c>
      <c r="BT5" s="69">
        <v>0</v>
      </c>
      <c r="BU5" s="69">
        <v>28.225000000000001</v>
      </c>
      <c r="BV5" s="69">
        <v>7.3</v>
      </c>
      <c r="BW5" s="69">
        <v>0.3</v>
      </c>
      <c r="BX5" s="69">
        <v>0</v>
      </c>
      <c r="BY5" s="80"/>
      <c r="BZ5" s="11">
        <f>IF(SUM(BJ5,BN5)&gt;0,SUM(BJ5,BN5),"")</f>
        <v>16.399999999999999</v>
      </c>
      <c r="CA5" s="11">
        <f>IF(SUM(BI5:BJ5,BL5:BN5,BP5)-SUM(BK5,BO5)&gt;0,SUM(BI5:BJ5,BL5:BN5,BP5)-SUM(BK5,BO5),"")</f>
        <v>73.725000000000009</v>
      </c>
      <c r="CB5" s="11">
        <f>IF(SUM(BR5,BV5)&gt;0,SUM(BR5,BV5),"")</f>
        <v>12.899999999999999</v>
      </c>
      <c r="CC5" s="11">
        <f>IF(SUM(BQ5:BR5,BT5:BV5,BX5)-SUM(BS5,BW5)&gt;0,SUM(BQ5:BR5,BT5:BV5,BX5)-SUM(BS5,BW5),"")</f>
        <v>66.900000000000006</v>
      </c>
      <c r="CD5" s="11">
        <f>IF(SUM(CA5,CC5)&gt;0,SUM(CA5,CC5),"")</f>
        <v>140.625</v>
      </c>
      <c r="CE5" s="24">
        <f>IF(MAX(DA5,DV5,EQ5,FL5,GG5,HB5,HW5,IR5,JM5,KH5,LC5,LX5)-IF(J5="",0,J5)&gt;0.001,MAX(DA5,DV5,EQ5,FL5,GG5,HB5,HW5,IR5,JM5,KH5,LC5,LX5)-IF(J5="",0,J5),"")</f>
        <v>2.375</v>
      </c>
      <c r="CF5" s="24">
        <f>IF(MAX(CX5,CZ5,DS5,DU5,EN5,EP5,FI5,FK5,GD5,GF5,GY5,HA5,HT5,HV5,IO5,IQ5,JJ5,JL5,KE5,KG5,KZ5,LB5,LU5,LW5)-IF(L5="",0,L5)&gt;0.001,MAX(CX5,CZ5,DS5,DU5,EN5,EP5,FI5,FK5,GD5,GF5,GY5,HA5,HT5,HV5,IO5,IQ5,JJ5,JL5,KE5,KG5,KZ5,LB5,LU5,LW5)-IF(L5="",0,L5),"")</f>
        <v>9.9999999999994316E-2</v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43">
        <v>27.8</v>
      </c>
      <c r="DC5" s="43">
        <v>6.4</v>
      </c>
      <c r="DD5" s="43">
        <v>0.3</v>
      </c>
      <c r="DE5" s="43">
        <v>0</v>
      </c>
      <c r="DF5" s="43">
        <v>28.6</v>
      </c>
      <c r="DG5" s="43">
        <v>8.4</v>
      </c>
      <c r="DH5" s="43">
        <v>0</v>
      </c>
      <c r="DI5" s="43">
        <v>0</v>
      </c>
      <c r="DJ5" s="43">
        <v>27.8</v>
      </c>
      <c r="DK5" s="43">
        <v>8.1999999999999993</v>
      </c>
      <c r="DL5" s="43">
        <v>0</v>
      </c>
      <c r="DM5" s="43">
        <v>0</v>
      </c>
      <c r="DN5" s="43">
        <v>28</v>
      </c>
      <c r="DO5" s="43">
        <v>8.1</v>
      </c>
      <c r="DP5" s="43">
        <v>0</v>
      </c>
      <c r="DQ5" s="43">
        <v>0</v>
      </c>
      <c r="DR5" s="14">
        <f>IF(SUM(DC5,DG5)&gt;0,SUM(DC5,DG5),"")</f>
        <v>14.8</v>
      </c>
      <c r="DS5" s="14">
        <f>IF(SUM(DB5:DC5,DE5:DG5,DI5)-SUM(DD5,DH5)&gt;0,SUM(DB5:DC5,DE5:DG5,DI5)-SUM(DD5,DH5),"")</f>
        <v>70.900000000000006</v>
      </c>
      <c r="DT5" s="14">
        <f>IF(SUM(DK5,DO5)&gt;0,SUM(DK5,DO5),"")</f>
        <v>16.299999999999997</v>
      </c>
      <c r="DU5" s="14">
        <f>IF(SUM(DJ5:DK5,DM5:DO5,DQ5)-SUM(DL5,DP5)&gt;0,SUM(DJ5:DK5,DM5:DO5,DQ5)-SUM(DL5,DP5),"")</f>
        <v>72.099999999999994</v>
      </c>
      <c r="DV5" s="14">
        <f>IF(SUM(DS5,DU5)&gt;0,SUM(DS5,DU5),"")</f>
        <v>143</v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27</v>
      </c>
      <c r="LZ5" s="69">
        <f>IF($BY5="P",BJ5,(BJ5+AN5)/2)</f>
        <v>8.1999999999999993</v>
      </c>
      <c r="MA5" s="69">
        <f>IF($BY5="P",BK5,(BK5+AO5)/2)</f>
        <v>0.75</v>
      </c>
      <c r="MB5" s="69">
        <f>IF($BY5="P",BL5,(BL5+AP5)/2)</f>
        <v>0.15</v>
      </c>
      <c r="MC5" s="69">
        <f>IF($BY5="P",BM5,(BM5+AQ5)/2)</f>
        <v>28.3125</v>
      </c>
      <c r="MD5" s="69">
        <f>IF($BY5="P",BN5,(BN5+AR5)/2)</f>
        <v>7.85</v>
      </c>
      <c r="ME5" s="69">
        <f>IF($BY5="P",BO5,(BO5+AS5)/2)</f>
        <v>0.6</v>
      </c>
      <c r="MF5" s="69">
        <f>IF($BY5="P",BP5,(BP5+AT5)/2)</f>
        <v>0</v>
      </c>
      <c r="MG5" s="69">
        <f>IF($BY5="P",BQ5,(BQ5+AU5)/2)</f>
        <v>27.6875</v>
      </c>
      <c r="MH5" s="69">
        <f>IF($BY5="P",BR5,(BR5+AV5)/2)</f>
        <v>6.6</v>
      </c>
      <c r="MI5" s="69">
        <f>IF($BY5="P",BS5,(BS5+AW5)/2)</f>
        <v>0.8</v>
      </c>
      <c r="MJ5" s="69">
        <f>IF($BY5="P",BT5,(BT5+AX5)/2)</f>
        <v>0</v>
      </c>
      <c r="MK5" s="69">
        <f>IF($BY5="P",BU5,(BU5+AY5)/2)</f>
        <v>28.462499999999999</v>
      </c>
      <c r="ML5" s="69">
        <f>IF($BY5="P",BV5,(BV5+AZ5)/2)</f>
        <v>7.65</v>
      </c>
      <c r="MM5" s="69">
        <f>IF($BY5="P",BW5,(BW5+BA5)/2)</f>
        <v>0.15</v>
      </c>
      <c r="MN5" s="69">
        <f>IF($BY5="P",BX5,(BX5+BB5)/2)</f>
        <v>0</v>
      </c>
      <c r="MO5" s="80" t="s">
        <v>91</v>
      </c>
      <c r="MP5" s="11">
        <f>IF(SUM(LZ5,MD5)&gt;0,SUM(LZ5,MD5),"")</f>
        <v>16.049999999999997</v>
      </c>
      <c r="MQ5" s="11">
        <f>IF(SUM(LY5:LZ5,MB5:MD5,MF5)-SUM(MA5,ME5)&gt;0,SUM(LY5:LZ5,MB5:MD5,MF5)-SUM(MA5,ME5),"")</f>
        <v>70.162500000000009</v>
      </c>
      <c r="MR5" s="11">
        <f>IF(SUM(MH5,ML5)&gt;0,SUM(MH5,ML5),"")</f>
        <v>14.25</v>
      </c>
      <c r="MS5" s="11">
        <f>IF(SUM(MG5:MH5,MJ5:ML5,MN5)-SUM(MI5,MM5)&gt;0,SUM(MG5:MH5,MJ5:ML5,MN5)-SUM(MI5,MM5),"")</f>
        <v>69.45</v>
      </c>
      <c r="MT5" s="11">
        <f>IF(SUM(MQ5,MS5)&gt;0,SUM(MQ5,MS5),"")</f>
        <v>139.61250000000001</v>
      </c>
    </row>
    <row r="6" spans="1:358" x14ac:dyDescent="0.2">
      <c r="A6" s="5">
        <f>IF(AND(F6="P",G6="P"),SUMPRODUCT((F$4:F$18="P")*(G$4:G$18="P")*(E$4:E$18&gt;E6))+1,IF(G6="P",SUMPRODUCT((F$4:F$18="")*(G$4:G$18="P")*(E$4:E$18&gt;E6))+1+SUMPRODUCT((F$4:F$18="P")*(G$4:G$18="P")),""))</f>
        <v>3</v>
      </c>
      <c r="B6" s="8" t="s">
        <v>156</v>
      </c>
      <c r="C6" s="4" t="s">
        <v>5</v>
      </c>
      <c r="D6" s="5">
        <v>2001</v>
      </c>
      <c r="E6" s="15">
        <f>SUM(J6:N6)</f>
        <v>212.6</v>
      </c>
      <c r="F6" s="3" t="str">
        <f>IF(OR(AND(AH6&gt;=AL$20,AI6&gt;=AL$24,AI6&lt;&gt;"",AG6=""),AND(BD6&gt;=BH$20,BE6&gt;=BH$24,BE6&lt;&gt;"",BC6=""),AND(BZ6&gt;=CD$20,CA6&gt;=CD$24,CA6&lt;&gt;"",BY6=""),AND(CW6&gt;=DA$20,CX6&gt;=DA$24,CX6&lt;&gt;""),AND(DR6&gt;=DV$20,DS6&gt;=DV$24,DS6&lt;&gt;""),AND(EM6&gt;=EQ$20,EN6&gt;=EQ$24,EN6&lt;&gt;""),AND(FH6&gt;=FL$20,FI6&gt;=FL$24,FI6&lt;&gt;""),AND(GC6&gt;=GG$20,GD6&gt;=GG$24,GD6&lt;&gt;""),AND(GX6&gt;=HB$20,GY6&gt;=HB$24,GY6&lt;&gt;""),AND(HS6&gt;=HW$20,HT6&gt;=HW$24,HT6&lt;&gt;""),AND(IN6&gt;=IR$20,IO6&gt;=IR$24,IO6&lt;&gt;""),AND(JI6&gt;=JM$20,JJ6&gt;=JM$24,JJ6&lt;&gt;""),AND(KD6&gt;=KH$20,KE6&gt;=KH$24,KE6&lt;&gt;""),AND(KY6&gt;=LC$20,KZ6&gt;=LC$24,KZ6&lt;&gt;""),AND(LT6&gt;=LX$20,LU6&gt;=LX$24,LU6&lt;&gt;"")),"P","")</f>
        <v>P</v>
      </c>
      <c r="G6" s="3" t="str">
        <f>IF(OR(AND(AI6&gt;=AL$24,AI6&lt;&gt;"",AG6=""),AND(BE6&gt;=BH$24,BE6&lt;&gt;"",BC6=""),AND(CA6&gt;=CD$24,CA6&lt;&gt;"",BY6=""),AND(CX6&gt;=DA$24,CX6&lt;&gt;""),AND(DS6&gt;=DV$24,DS6&lt;&gt;""),AND(EN6&gt;=EQ$24,EN6&lt;&gt;""),AND(FI6&gt;=FL$24,FI6&lt;&gt;""),AND(GD6&gt;=GG$24,GD6&lt;&gt;""),AND(GY6&gt;=HB$24,GY6&lt;&gt;""),AND(HT6&gt;=HW$24,HT6&lt;&gt;""),AND(IO6&gt;=IR$24,IO6&lt;&gt;""),AND(JJ6&gt;=JM$24,JJ6&lt;&gt;""),AND(KE6&gt;=KH$24,KE6&lt;&gt;""),AND(KZ6&gt;=LC$24,KZ6&lt;&gt;""),AND(LU6&gt;=LX$24,LU6&lt;&gt;"")),"P","")</f>
        <v>P</v>
      </c>
      <c r="H6" s="126" t="str">
        <f>IF(AND(G6="P",F6=""),"No DD",IF(OR(AND(AH6&gt;=AL$23,AH6&lt;&gt;"",AI6&gt;=AL$27,AI6&lt;&gt;"",AG6=""),AND(BD6&gt;=BH$23,BD6&lt;&gt;"",BE6&gt;=BH$27,BE6&lt;&gt;"",BC6=""),AND(BZ6&gt;=CD$23,BZ6&lt;&gt;"",CA6&gt;=CD$27,CA6&lt;&gt;"",BY6=""),AND(CW6&gt;=DA$23,CW6&lt;&gt;"",CX6&gt;=DA$27,CX6&lt;&gt;""),AND(DR6&gt;=DV$23,DR6&lt;&gt;"",DS6&gt;=DV$27,DS6&lt;&gt;""),AND(EM6&gt;=EQ$23,EM6&lt;&gt;"",EN6&gt;=EQ$27,EN6&lt;&gt;""),AND(FH6&gt;=FL$23,FH6&lt;&gt;"",FI6&gt;=FL$27,FI6&lt;&gt;""),AND(GC6&gt;=GG$23,GC6&lt;&gt;"",GD6&gt;=GG$27,GD6&lt;&gt;""),AND(GX6&gt;=HB$23,GX6&lt;&gt;"",GY6&gt;=HB$27,GY6&lt;&gt;""),AND(HS6&gt;=HW$23,HS6&lt;&gt;"",HT6&gt;=HW$27,HT6&lt;&gt;""),AND(IN6&gt;=IR$23,IN6&lt;&gt;"",IO6&gt;=IR$27,IO6&lt;&gt;""),AND(JI6&gt;=JM$23,JI6&lt;&gt;"",JJ6&gt;=JM$27,JJ6&lt;&gt;""),AND(KD6&gt;=KH$23,KD6&lt;&gt;"",KE6&gt;=KH$27,KE6&lt;&gt;""),AND(KY6&gt;=LC$23,KY6&lt;&gt;"",KZ6&gt;=LC$27,KZ6&lt;&gt;""),AND(LT6&gt;=LX$23,LT6&lt;&gt;"",LU6&gt;=LX$27,LU6&lt;&gt;"")),"Merit",IF(OR(AND(AH6&gt;=AL$22,AH6&lt;&gt;"",AI6&gt;=AL$26,AI6&lt;&gt;"",AG6=""),AND(BD6&gt;=BH$22,BD6&lt;&gt;"",BE6&gt;=BH$26,BE6&lt;&gt;"",BC6=""),AND(BZ6&gt;=CD$22,BZ6&lt;&gt;"",CA6&gt;=CD$26,CA6&lt;&gt;"",BY6=""),AND(CW6&gt;=DA$22,CW6&lt;&gt;"",CX6&gt;=DA$26,CX6&lt;&gt;""),AND(DR6&gt;=DV$22,DR6&lt;&gt;"",DS6&gt;=DV$26,DS6&lt;&gt;""),AND(EM6&gt;=EQ$22,EM6&lt;&gt;"",EN6&gt;=EQ$26,EN6&lt;&gt;""),AND(FH6&gt;=FL$22,FH6&lt;&gt;"",FI6&gt;=FL$26,FI6&lt;&gt;""),AND(GC6&gt;=GG$22,GC6&lt;&gt;"",GD6&gt;=GG$26,GD6&lt;&gt;""),AND(GX6&gt;=HB$22,GX6&lt;&gt;"",GY6&gt;=HB$26,GY6&lt;&gt;""),AND(HS6&gt;=HW$22,HS6&lt;&gt;"",HT6&gt;=HW$26,HT6&lt;&gt;""),AND(IN6&gt;=IR$22,IN6&lt;&gt;"",IO6&gt;=IR$26,IO6&lt;&gt;""),AND(JI6&gt;=JM$22,JI6&lt;&gt;"",JJ6&gt;=JM$26,JJ6&lt;&gt;""),AND(KD6&gt;=KH$22,KD6&lt;&gt;"",KE6&gt;=KH$26,KE6&lt;&gt;""),AND(KY6&gt;=LC$22,KY6&lt;&gt;"",KZ6&gt;=LC$26,KZ6&lt;&gt;""),AND(LT6&gt;=LX$22,LT6&lt;&gt;"",LU6&gt;=LX$26,LU6&lt;&gt;"")),"Excellence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Worlds Team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National Team","")))))</f>
        <v>Worlds Team</v>
      </c>
      <c r="I6" s="3" t="str">
        <f>IF(OR(H6="Worlds Team",H6="Excellence",H6="Merit"),"P","")</f>
        <v>P</v>
      </c>
      <c r="J6" s="14">
        <f>MAX(AL6,BH6,CD6)</f>
        <v>142.79999999999998</v>
      </c>
      <c r="K6" s="14" t="str">
        <f>IF(J6=0,"",IF(J6=CD6,$BI$1,IF(J6=BH6,$AM$1,IF(J6=AL6,$Q$1,""))))</f>
        <v>2019 Nationals</v>
      </c>
      <c r="L6" s="14">
        <f>IF(J6=AL6,MAX(BE6,BG6,CA6,CC6),IF(J6=BH6,MAX(AI6,AK6,CA6,CC6),MAX(AI6,AK6,BE6,BG6)))</f>
        <v>35.300000000000004</v>
      </c>
      <c r="M6" s="14" t="str">
        <f>IF(L6=0,"",IF(AND(J6&lt;&gt;CD6,OR(L6=CA6,L6=CC6)),$BI$1,IF(AND(J6&lt;&gt;BH6,OR(L6=BG6,L6=BE6)),$AM$1,IF(OR(L6=AK6,L6=AI6),$Q$1,""))))</f>
        <v>2019 Elite Canada</v>
      </c>
      <c r="N6" s="14">
        <f>IF(MAX(CE6:CF6)&gt;0,MAX(CE6:CF6),"")</f>
        <v>34.499999999999993</v>
      </c>
      <c r="O6" s="25" t="str">
        <f>IF(N6="","",IF(N6=CE6,"(4 Pass)",IF(N6=CF6,"(2 Pass)")))</f>
        <v>(2 Pass)</v>
      </c>
      <c r="P6" s="14" t="str">
        <f>IF(N6="","",IF(N6=CE6,IF(N6+IF(J6="",0,J6)=DA6,$CG$1,IF(N6+IF(J6="",0,J6)=DV6,$DB$1,IF(N6+IF(J6="",0,J6)=EQ6,$DW$1,IF(N6+IF(J6="",0,J6)=FL6,$ER$1,IF(N6+IF(J6="",0,J6)=GG6,$FM$1,IF(N6+IF(J6="",0,J6)=HB6,$GH$1,IF(N6+IF(J6="",0,J6)=HW6,$HC$1,IF(N6+IF(J6="",0,J6)=IR6,$HX$1,IF(N6+IF(J6="",0,J6)=JM6,$IS$1,IF(N6+IF(J6="",0,J6)=KH6,$JN$1,IF(N6+IF(J6="",0,J6)=LC6,$KI$1,IF(N6+IF(J6="",0,J6)=LX6,$LD$1)))))))))))),IF(N6=CF6,IF(OR(N6+IF(L6="",0,L6)=CX6,N6+IF(L6="",0,L6)=CZ6),$CG$1,IF(OR(N6+IF(L6="",0,L6)=DS6,N6+IF(L6="",0,L6)=DU6),$DB$1,IF(OR(N6+IF(L6="",0,L6)=EN6,N6+IF(L6="",0,L6)=EP6),$DW$1,IF(OR(N6+IF(L6="",0,L6)=FI6,N6+IF(L6="",0,L6)=FK6),$ER$1,IF(OR(N6+IF(L6="",0,L6)=GD6,N6+IF(L6="",0,L6)=GF6),$FM$1,IF(OR(N6+IF(L6="",0,L6)=GY6,N6+IF(L6="",0,L6)=HA6),$GH$1,IF(OR(N6+IF(L6="",0,L6)=HT6,N6+IF(L6="",0,L6)=HV6),$HC$1,IF(OR(N6+IF(L6="",0,L6)=IO6,N6+IF(L6="",0,L6)=IQ6),$HX$1,IF(OR(N6+IF(L6="",0,L6)=JJ6,N6+IF(L6="",0,L6)=JL6),$IS$1,IF(OR(N6+IF(L6="",0,L6)=KE6,N6+IF(L6="",0,L6)=KG6),$JN$1,IF(OR(N6+IF(L6="",0,L6)=KZ6,N6+IF(L6="",0,L6)=LB6),$KI$1,IF(OR(N6+IF(L6="",0,L6)=LU6,N6+IF(L6="",0,L6)=LW6),$LD$1)))))))))))))))</f>
        <v>2019 WAGC (Dec 5)</v>
      </c>
      <c r="Q6" s="69">
        <v>0</v>
      </c>
      <c r="R6" s="69">
        <v>0</v>
      </c>
      <c r="S6" s="69">
        <v>0</v>
      </c>
      <c r="T6" s="69">
        <v>0</v>
      </c>
      <c r="U6" s="69">
        <v>27.6</v>
      </c>
      <c r="V6" s="69">
        <v>8</v>
      </c>
      <c r="W6" s="69">
        <v>0.3</v>
      </c>
      <c r="X6" s="69">
        <v>0</v>
      </c>
      <c r="Y6" s="69"/>
      <c r="Z6" s="69"/>
      <c r="AA6" s="69"/>
      <c r="AB6" s="69"/>
      <c r="AC6" s="69"/>
      <c r="AD6" s="69"/>
      <c r="AE6" s="69"/>
      <c r="AF6" s="69"/>
      <c r="AG6" s="80"/>
      <c r="AH6" s="11">
        <f>IF(SUM(R6,V6)&gt;0,SUM(R6,V6),"")</f>
        <v>8</v>
      </c>
      <c r="AI6" s="11">
        <f>IF(SUM(Q6:R6,T6:V6,X6)-SUM(S6,W6)&gt;0,SUM(Q6:R6,T6:V6,X6)-SUM(S6,W6),"")</f>
        <v>35.300000000000004</v>
      </c>
      <c r="AJ6" s="11" t="str">
        <f>IF(SUM(Z6,AD6)&gt;0,SUM(Z6,AD6),"")</f>
        <v/>
      </c>
      <c r="AK6" s="11" t="str">
        <f>IF(SUM(Y6:Z6,AB6:AD6,AF6)-SUM(AA6,AE6)&gt;0,SUM(Y6:Z6,AB6:AD6,AF6)-SUM(AA6,AE6),"")</f>
        <v/>
      </c>
      <c r="AL6" s="11">
        <f>IF(SUM(AI6,AK6)&gt;0,SUM(AI6,AK6),"")</f>
        <v>35.300000000000004</v>
      </c>
      <c r="AM6" s="38">
        <v>28.5</v>
      </c>
      <c r="AN6" s="38">
        <v>8</v>
      </c>
      <c r="AO6" s="38">
        <v>0</v>
      </c>
      <c r="AP6" s="38">
        <v>0</v>
      </c>
      <c r="AQ6" s="38">
        <v>28.3</v>
      </c>
      <c r="AR6" s="38">
        <v>8.4</v>
      </c>
      <c r="AS6" s="38">
        <v>0.9</v>
      </c>
      <c r="AT6" s="38">
        <v>0</v>
      </c>
      <c r="AU6" s="38">
        <v>27.9</v>
      </c>
      <c r="AV6" s="38">
        <v>7.2</v>
      </c>
      <c r="AW6" s="38">
        <v>0</v>
      </c>
      <c r="AX6" s="38">
        <v>0</v>
      </c>
      <c r="AY6" s="38">
        <v>28.7</v>
      </c>
      <c r="AZ6" s="38">
        <v>7.6</v>
      </c>
      <c r="BA6" s="38">
        <v>0.9</v>
      </c>
      <c r="BB6" s="38">
        <v>0</v>
      </c>
      <c r="BC6" s="81"/>
      <c r="BD6" s="14">
        <f>IF(SUM(AN6,AR6)&gt;0,SUM(AN6,AR6),"")</f>
        <v>16.399999999999999</v>
      </c>
      <c r="BE6" s="14">
        <f>IF(SUM(AM6:AN6,AP6:AR6,AT6)-SUM(AO6,AS6)&gt;0,SUM(AM6:AN6,AP6:AR6,AT6)-SUM(AO6,AS6),"")</f>
        <v>72.3</v>
      </c>
      <c r="BF6" s="14">
        <f>IF(SUM(AV6,AZ6)&gt;0,SUM(AV6,AZ6),"")</f>
        <v>14.8</v>
      </c>
      <c r="BG6" s="14">
        <f>IF(SUM(AU6:AV6,AX6:AZ6,BB6)-SUM(AW6,BA6)&gt;0,SUM(AU6:AV6,AX6:AZ6,BB6)-SUM(AW6,BA6),"")</f>
        <v>70.499999999999986</v>
      </c>
      <c r="BH6" s="14">
        <f>IF(SUM(BE6,BG6)&gt;0,SUM(BE6,BG6),"")</f>
        <v>142.79999999999998</v>
      </c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69"/>
      <c r="BV6" s="69"/>
      <c r="BW6" s="69"/>
      <c r="BX6" s="69"/>
      <c r="BY6" s="80"/>
      <c r="BZ6" s="11" t="str">
        <f>IF(SUM(BJ6,BN6)&gt;0,SUM(BJ6,BN6),"")</f>
        <v/>
      </c>
      <c r="CA6" s="11" t="str">
        <f>IF(SUM(BI6:BJ6,BL6:BN6,BP6)-SUM(BK6,BO6)&gt;0,SUM(BI6:BJ6,BL6:BN6,BP6)-SUM(BK6,BO6),"")</f>
        <v/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4" t="str">
        <f>IF(MAX(DA6,DV6,EQ6,FL6,GG6,HB6,HW6,IR6,JM6,KH6,LC6,LX6)-IF(J6="",0,J6)&gt;0.001,MAX(DA6,DV6,EQ6,FL6,GG6,HB6,HW6,IR6,JM6,KH6,LC6,LX6)-IF(J6="",0,J6),"")</f>
        <v/>
      </c>
      <c r="CF6" s="24">
        <f>IF(MAX(CX6,CZ6,DS6,DU6,EN6,EP6,FI6,FK6,GD6,GF6,GY6,HA6,HT6,HV6,IO6,IQ6,JJ6,JL6,KE6,KG6,KZ6,LB6,LU6,LW6)-IF(L6="",0,L6)&gt;0.001,MAX(CX6,CZ6,DS6,DU6,EN6,EP6,FI6,FK6,GD6,GF6,GY6,HA6,HT6,HV6,IO6,IQ6,JJ6,JL6,KE6,KG6,KZ6,LB6,LU6,LW6)-IF(L6="",0,L6),"")</f>
        <v>34.499999999999993</v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>IF(SUM(CH6,CL6)&gt;0,SUM(CH6,CL6),"")</f>
        <v/>
      </c>
      <c r="CX6" s="11" t="str">
        <f>IF(SUM(CG6:CH6,CJ6:CL6,CN6)-SUM(CI6,CM6)&gt;0,SUM(CG6:CH6,CJ6:CL6,CN6)-SUM(CI6,CM6),"")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43">
        <v>28.3</v>
      </c>
      <c r="DC6" s="43">
        <v>7.4</v>
      </c>
      <c r="DD6" s="43">
        <v>0</v>
      </c>
      <c r="DE6" s="43">
        <v>0</v>
      </c>
      <c r="DF6" s="43">
        <v>27.7</v>
      </c>
      <c r="DG6" s="43">
        <v>7.6</v>
      </c>
      <c r="DH6" s="43">
        <v>1.2</v>
      </c>
      <c r="DI6" s="43">
        <v>0</v>
      </c>
      <c r="DJ6" s="43"/>
      <c r="DK6" s="43"/>
      <c r="DL6" s="43"/>
      <c r="DM6" s="43"/>
      <c r="DN6" s="43"/>
      <c r="DO6" s="43"/>
      <c r="DP6" s="43"/>
      <c r="DQ6" s="43"/>
      <c r="DR6" s="14">
        <f>IF(SUM(DC6,DG6)&gt;0,SUM(DC6,DG6),"")</f>
        <v>15</v>
      </c>
      <c r="DS6" s="14">
        <f>IF(SUM(DB6:DC6,DE6:DG6,DI6)-SUM(DD6,DH6)&gt;0,SUM(DB6:DC6,DE6:DG6,DI6)-SUM(DD6,DH6),"")</f>
        <v>69.8</v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>
        <f>IF(SUM(DS6,DU6)&gt;0,SUM(DS6,DU6),"")</f>
        <v>69.8</v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14.25</v>
      </c>
      <c r="LZ6" s="69">
        <f>IF($BY6="P",BJ6,(BJ6+AN6)/2)</f>
        <v>4</v>
      </c>
      <c r="MA6" s="69">
        <f>IF($BY6="P",BK6,(BK6+AO6)/2)</f>
        <v>0</v>
      </c>
      <c r="MB6" s="69">
        <f>IF($BY6="P",BL6,(BL6+AP6)/2)</f>
        <v>0</v>
      </c>
      <c r="MC6" s="69">
        <f>IF($BY6="P",BM6,(BM6+AQ6)/2)</f>
        <v>14.15</v>
      </c>
      <c r="MD6" s="69">
        <f>IF($BY6="P",BN6,(BN6+AR6)/2)</f>
        <v>4.2</v>
      </c>
      <c r="ME6" s="69">
        <f>IF($BY6="P",BO6,(BO6+AS6)/2)</f>
        <v>0.45</v>
      </c>
      <c r="MF6" s="69">
        <f>IF($BY6="P",BP6,(BP6+AT6)/2)</f>
        <v>0</v>
      </c>
      <c r="MG6" s="69">
        <f>IF($BY6="P",BQ6,(BQ6+AU6)/2)</f>
        <v>13.95</v>
      </c>
      <c r="MH6" s="69">
        <f>IF($BY6="P",BR6,(BR6+AV6)/2)</f>
        <v>3.6</v>
      </c>
      <c r="MI6" s="69">
        <f>IF($BY6="P",BS6,(BS6+AW6)/2)</f>
        <v>0</v>
      </c>
      <c r="MJ6" s="69">
        <f>IF($BY6="P",BT6,(BT6+AX6)/2)</f>
        <v>0</v>
      </c>
      <c r="MK6" s="69">
        <f>IF($BY6="P",BU6,(BU6+AY6)/2)</f>
        <v>14.35</v>
      </c>
      <c r="ML6" s="69">
        <f>IF($BY6="P",BV6,(BV6+AZ6)/2)</f>
        <v>3.8</v>
      </c>
      <c r="MM6" s="69">
        <f>IF($BY6="P",BW6,(BW6+BA6)/2)</f>
        <v>0.45</v>
      </c>
      <c r="MN6" s="69">
        <f>IF($BY6="P",BX6,(BX6+BB6)/2)</f>
        <v>0</v>
      </c>
      <c r="MO6" s="80" t="s">
        <v>91</v>
      </c>
      <c r="MP6" s="11">
        <f>IF(SUM(LZ6,MD6)&gt;0,SUM(LZ6,MD6),"")</f>
        <v>8.1999999999999993</v>
      </c>
      <c r="MQ6" s="11">
        <f>IF(SUM(LY6:LZ6,MB6:MD6,MF6)-SUM(MA6,ME6)&gt;0,SUM(LY6:LZ6,MB6:MD6,MF6)-SUM(MA6,ME6),"")</f>
        <v>36.15</v>
      </c>
      <c r="MR6" s="11">
        <f>IF(SUM(MH6,ML6)&gt;0,SUM(MH6,ML6),"")</f>
        <v>7.4</v>
      </c>
      <c r="MS6" s="11">
        <f>IF(SUM(MG6:MH6,MJ6:ML6,MN6)-SUM(MI6,MM6)&gt;0,SUM(MG6:MH6,MJ6:ML6,MN6)-SUM(MI6,MM6),"")</f>
        <v>35.249999999999993</v>
      </c>
      <c r="MT6" s="11">
        <f>IF(SUM(MQ6,MS6)&gt;0,SUM(MQ6,MS6),"")</f>
        <v>71.399999999999991</v>
      </c>
    </row>
    <row r="7" spans="1:358" x14ac:dyDescent="0.2">
      <c r="A7" s="5">
        <f>IF(AND(F7="P",G7="P"),SUMPRODUCT((F$4:F$18="P")*(G$4:G$18="P")*(E$4:E$18&gt;E7))+1,IF(G7="P",SUMPRODUCT((F$4:F$18="")*(G$4:G$18="P")*(E$4:E$18&gt;E7))+1+SUMPRODUCT((F$4:F$18="P")*(G$4:G$18="P")),""))</f>
        <v>4</v>
      </c>
      <c r="B7" s="8" t="s">
        <v>11</v>
      </c>
      <c r="C7" s="4" t="s">
        <v>5</v>
      </c>
      <c r="D7" s="5">
        <v>1994</v>
      </c>
      <c r="E7" s="15">
        <f>SUM(J7:N7)</f>
        <v>210.7</v>
      </c>
      <c r="F7" s="3" t="str">
        <f>IF(OR(AND(AH7&gt;=AL$20,AI7&gt;=AL$24,AI7&lt;&gt;"",AG7=""),AND(BD7&gt;=BH$20,BE7&gt;=BH$24,BE7&lt;&gt;"",BC7=""),AND(BZ7&gt;=CD$20,CA7&gt;=CD$24,CA7&lt;&gt;"",BY7=""),AND(CW7&gt;=DA$20,CX7&gt;=DA$24,CX7&lt;&gt;""),AND(DR7&gt;=DV$20,DS7&gt;=DV$24,DS7&lt;&gt;""),AND(EM7&gt;=EQ$20,EN7&gt;=EQ$24,EN7&lt;&gt;""),AND(FH7&gt;=FL$20,FI7&gt;=FL$24,FI7&lt;&gt;""),AND(GC7&gt;=GG$20,GD7&gt;=GG$24,GD7&lt;&gt;""),AND(GX7&gt;=HB$20,GY7&gt;=HB$24,GY7&lt;&gt;""),AND(HS7&gt;=HW$20,HT7&gt;=HW$24,HT7&lt;&gt;""),AND(IN7&gt;=IR$20,IO7&gt;=IR$24,IO7&lt;&gt;""),AND(JI7&gt;=JM$20,JJ7&gt;=JM$24,JJ7&lt;&gt;""),AND(KD7&gt;=KH$20,KE7&gt;=KH$24,KE7&lt;&gt;""),AND(KY7&gt;=LC$20,KZ7&gt;=LC$24,KZ7&lt;&gt;""),AND(LT7&gt;=LX$20,LU7&gt;=LX$24,LU7&lt;&gt;"")),"P","")</f>
        <v>P</v>
      </c>
      <c r="G7" s="3" t="str">
        <f>IF(OR(AND(AI7&gt;=AL$24,AI7&lt;&gt;"",AG7=""),AND(BE7&gt;=BH$24,BE7&lt;&gt;"",BC7=""),AND(CA7&gt;=CD$24,CA7&lt;&gt;"",BY7=""),AND(CX7&gt;=DA$24,CX7&lt;&gt;""),AND(DS7&gt;=DV$24,DS7&lt;&gt;""),AND(EN7&gt;=EQ$24,EN7&lt;&gt;""),AND(FI7&gt;=FL$24,FI7&lt;&gt;""),AND(GD7&gt;=GG$24,GD7&lt;&gt;""),AND(GY7&gt;=HB$24,GY7&lt;&gt;""),AND(HT7&gt;=HW$24,HT7&lt;&gt;""),AND(IO7&gt;=IR$24,IO7&lt;&gt;""),AND(JJ7&gt;=JM$24,JJ7&lt;&gt;""),AND(KE7&gt;=KH$24,KE7&lt;&gt;""),AND(KZ7&gt;=LC$24,KZ7&lt;&gt;""),AND(LU7&gt;=LX$24,LU7&lt;&gt;"")),"P","")</f>
        <v>P</v>
      </c>
      <c r="H7" s="126" t="str">
        <f>IF(AND(G7="P",F7=""),"No DD",IF(OR(AND(AH7&gt;=AL$23,AH7&lt;&gt;"",AI7&gt;=AL$27,AI7&lt;&gt;"",AG7=""),AND(BD7&gt;=BH$23,BD7&lt;&gt;"",BE7&gt;=BH$27,BE7&lt;&gt;"",BC7=""),AND(BZ7&gt;=CD$23,BZ7&lt;&gt;"",CA7&gt;=CD$27,CA7&lt;&gt;"",BY7=""),AND(CW7&gt;=DA$23,CW7&lt;&gt;"",CX7&gt;=DA$27,CX7&lt;&gt;""),AND(DR7&gt;=DV$23,DR7&lt;&gt;"",DS7&gt;=DV$27,DS7&lt;&gt;""),AND(EM7&gt;=EQ$23,EM7&lt;&gt;"",EN7&gt;=EQ$27,EN7&lt;&gt;""),AND(FH7&gt;=FL$23,FH7&lt;&gt;"",FI7&gt;=FL$27,FI7&lt;&gt;""),AND(GC7&gt;=GG$23,GC7&lt;&gt;"",GD7&gt;=GG$27,GD7&lt;&gt;""),AND(GX7&gt;=HB$23,GX7&lt;&gt;"",GY7&gt;=HB$27,GY7&lt;&gt;""),AND(HS7&gt;=HW$23,HS7&lt;&gt;"",HT7&gt;=HW$27,HT7&lt;&gt;""),AND(IN7&gt;=IR$23,IN7&lt;&gt;"",IO7&gt;=IR$27,IO7&lt;&gt;""),AND(JI7&gt;=JM$23,JI7&lt;&gt;"",JJ7&gt;=JM$27,JJ7&lt;&gt;""),AND(KD7&gt;=KH$23,KD7&lt;&gt;"",KE7&gt;=KH$27,KE7&lt;&gt;""),AND(KY7&gt;=LC$23,KY7&lt;&gt;"",KZ7&gt;=LC$27,KZ7&lt;&gt;""),AND(LT7&gt;=LX$23,LT7&lt;&gt;"",LU7&gt;=LX$27,LU7&lt;&gt;"")),"Merit",IF(OR(AND(AH7&gt;=AL$22,AH7&lt;&gt;"",AI7&gt;=AL$26,AI7&lt;&gt;"",AG7=""),AND(BD7&gt;=BH$22,BD7&lt;&gt;"",BE7&gt;=BH$26,BE7&lt;&gt;"",BC7=""),AND(BZ7&gt;=CD$22,BZ7&lt;&gt;"",CA7&gt;=CD$26,CA7&lt;&gt;"",BY7=""),AND(CW7&gt;=DA$22,CW7&lt;&gt;"",CX7&gt;=DA$26,CX7&lt;&gt;""),AND(DR7&gt;=DV$22,DR7&lt;&gt;"",DS7&gt;=DV$26,DS7&lt;&gt;""),AND(EM7&gt;=EQ$22,EM7&lt;&gt;"",EN7&gt;=EQ$26,EN7&lt;&gt;""),AND(FH7&gt;=FL$22,FH7&lt;&gt;"",FI7&gt;=FL$26,FI7&lt;&gt;""),AND(GC7&gt;=GG$22,GC7&lt;&gt;"",GD7&gt;=GG$26,GD7&lt;&gt;""),AND(GX7&gt;=HB$22,GX7&lt;&gt;"",GY7&gt;=HB$26,GY7&lt;&gt;""),AND(HS7&gt;=HW$22,HS7&lt;&gt;"",HT7&gt;=HW$26,HT7&lt;&gt;""),AND(IN7&gt;=IR$22,IN7&lt;&gt;"",IO7&gt;=IR$26,IO7&lt;&gt;""),AND(JI7&gt;=JM$22,JI7&lt;&gt;"",JJ7&gt;=JM$26,JJ7&lt;&gt;""),AND(KD7&gt;=KH$22,KD7&lt;&gt;"",KE7&gt;=KH$26,KE7&lt;&gt;""),AND(KY7&gt;=LC$22,KY7&lt;&gt;"",KZ7&gt;=LC$26,KZ7&lt;&gt;""),AND(LT7&gt;=LX$22,LT7&lt;&gt;"",LU7&gt;=LX$26,LU7&lt;&gt;"")),"Excellence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Worlds Team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National Team","")))))</f>
        <v>National Team</v>
      </c>
      <c r="I7" s="3" t="str">
        <f>IF(OR(H7="Worlds Team",H7="Excellence",H7="Merit"),"P","")</f>
        <v/>
      </c>
      <c r="J7" s="14">
        <f>MAX(AL7,BH7,CD7)</f>
        <v>140.69999999999999</v>
      </c>
      <c r="K7" s="14" t="str">
        <f>IF(J7=0,"",IF(J7=CD7,$BI$1,IF(J7=BH7,$AM$1,IF(J7=AL7,$Q$1,""))))</f>
        <v>2019 Nationals</v>
      </c>
      <c r="L7" s="14">
        <f>IF(J7=AL7,MAX(BE7,BG7,CA7,CC7),IF(J7=BH7,MAX(AI7,AK7,CA7,CC7),MAX(AI7,AK7,BE7,BG7)))</f>
        <v>70</v>
      </c>
      <c r="M7" s="14" t="str">
        <f>IF(L7=0,"",IF(AND(J7&lt;&gt;CD7,OR(L7=CA7,L7=CC7)),$BI$1,IF(AND(J7&lt;&gt;BH7,OR(L7=BG7,L7=BE7)),$AM$1,IF(OR(L7=AK7,L7=AI7),$Q$1,""))))</f>
        <v>2021 1st Virtual Technical Trial</v>
      </c>
      <c r="N7" s="14" t="str">
        <f>IF(MAX(CE7:CF7)&gt;0,MAX(CE7:CF7),"")</f>
        <v/>
      </c>
      <c r="O7" s="25" t="str">
        <f>IF(N7="","",IF(N7=CE7,"(4 Pass)",IF(N7=CF7,"(2 Pass)")))</f>
        <v/>
      </c>
      <c r="P7" s="14" t="str">
        <f>IF(N7="","",IF(N7=CE7,IF(N7+IF(J7="",0,J7)=DA7,$CG$1,IF(N7+IF(J7="",0,J7)=DV7,$DB$1,IF(N7+IF(J7="",0,J7)=EQ7,$DW$1,IF(N7+IF(J7="",0,J7)=FL7,$ER$1,IF(N7+IF(J7="",0,J7)=GG7,$FM$1,IF(N7+IF(J7="",0,J7)=HB7,$GH$1,IF(N7+IF(J7="",0,J7)=HW7,$HC$1,IF(N7+IF(J7="",0,J7)=IR7,$HX$1,IF(N7+IF(J7="",0,J7)=JM7,$IS$1,IF(N7+IF(J7="",0,J7)=KH7,$JN$1,IF(N7+IF(J7="",0,J7)=LC7,$KI$1,IF(N7+IF(J7="",0,J7)=LX7,$LD$1)))))))))))),IF(N7=CF7,IF(OR(N7+IF(L7="",0,L7)=CX7,N7+IF(L7="",0,L7)=CZ7),$CG$1,IF(OR(N7+IF(L7="",0,L7)=DS7,N7+IF(L7="",0,L7)=DU7),$DB$1,IF(OR(N7+IF(L7="",0,L7)=EN7,N7+IF(L7="",0,L7)=EP7),$DW$1,IF(OR(N7+IF(L7="",0,L7)=FI7,N7+IF(L7="",0,L7)=FK7),$ER$1,IF(OR(N7+IF(L7="",0,L7)=GD7,N7+IF(L7="",0,L7)=GF7),$FM$1,IF(OR(N7+IF(L7="",0,L7)=GY7,N7+IF(L7="",0,L7)=HA7),$GH$1,IF(OR(N7+IF(L7="",0,L7)=HT7,N7+IF(L7="",0,L7)=HV7),$HC$1,IF(OR(N7+IF(L7="",0,L7)=IO7,N7+IF(L7="",0,L7)=IQ7),$HX$1,IF(OR(N7+IF(L7="",0,L7)=JJ7,N7+IF(L7="",0,L7)=JL7),$IS$1,IF(OR(N7+IF(L7="",0,L7)=KE7,N7+IF(L7="",0,L7)=KG7),$JN$1,IF(OR(N7+IF(L7="",0,L7)=KZ7,N7+IF(L7="",0,L7)=LB7),$KI$1,IF(OR(N7+IF(L7="",0,L7)=LU7,N7+IF(L7="",0,L7)=LW7),$LD$1)))))))))))))))</f>
        <v/>
      </c>
      <c r="Q7" s="69">
        <v>27.6</v>
      </c>
      <c r="R7" s="69">
        <v>7.6</v>
      </c>
      <c r="S7" s="69">
        <v>0.9</v>
      </c>
      <c r="T7" s="69">
        <v>0</v>
      </c>
      <c r="U7" s="69">
        <v>28.4</v>
      </c>
      <c r="V7" s="69">
        <v>7.2</v>
      </c>
      <c r="W7" s="69">
        <v>0</v>
      </c>
      <c r="X7" s="69">
        <v>0</v>
      </c>
      <c r="Y7" s="69">
        <v>28.2</v>
      </c>
      <c r="Z7" s="69">
        <v>4.4000000000000004</v>
      </c>
      <c r="AA7" s="69">
        <v>2.5</v>
      </c>
      <c r="AB7" s="69">
        <v>0</v>
      </c>
      <c r="AC7" s="69">
        <v>28</v>
      </c>
      <c r="AD7" s="69">
        <v>6.8</v>
      </c>
      <c r="AE7" s="69">
        <v>1.2</v>
      </c>
      <c r="AF7" s="69">
        <v>0</v>
      </c>
      <c r="AG7" s="80"/>
      <c r="AH7" s="11">
        <f>IF(SUM(R7,V7)&gt;0,SUM(R7,V7),"")</f>
        <v>14.8</v>
      </c>
      <c r="AI7" s="11">
        <f>IF(SUM(Q7:R7,T7:V7,X7)-SUM(S7,W7)&gt;0,SUM(Q7:R7,T7:V7,X7)-SUM(S7,W7),"")</f>
        <v>69.899999999999991</v>
      </c>
      <c r="AJ7" s="11">
        <f>IF(SUM(Z7,AD7)&gt;0,SUM(Z7,AD7),"")</f>
        <v>11.2</v>
      </c>
      <c r="AK7" s="11">
        <f>IF(SUM(Y7:Z7,AB7:AD7,AF7)-SUM(AA7,AE7)&gt;0,SUM(Y7:Z7,AB7:AD7,AF7)-SUM(AA7,AE7),"")</f>
        <v>63.7</v>
      </c>
      <c r="AL7" s="11">
        <f>IF(SUM(AI7,AK7)&gt;0,SUM(AI7,AK7),"")</f>
        <v>133.6</v>
      </c>
      <c r="AM7" s="38">
        <v>28.6</v>
      </c>
      <c r="AN7" s="38">
        <v>7.3</v>
      </c>
      <c r="AO7" s="38">
        <v>0</v>
      </c>
      <c r="AP7" s="38">
        <v>0</v>
      </c>
      <c r="AQ7" s="38">
        <v>28.3</v>
      </c>
      <c r="AR7" s="38">
        <v>8.4</v>
      </c>
      <c r="AS7" s="38">
        <v>0.9</v>
      </c>
      <c r="AT7" s="38">
        <v>0</v>
      </c>
      <c r="AU7" s="38">
        <v>28.2</v>
      </c>
      <c r="AV7" s="38">
        <v>7.2</v>
      </c>
      <c r="AW7" s="38">
        <v>0</v>
      </c>
      <c r="AX7" s="38">
        <v>0</v>
      </c>
      <c r="AY7" s="38">
        <v>28</v>
      </c>
      <c r="AZ7" s="38">
        <v>6.8</v>
      </c>
      <c r="BA7" s="38">
        <v>1.2</v>
      </c>
      <c r="BB7" s="38">
        <v>0</v>
      </c>
      <c r="BC7" s="81"/>
      <c r="BD7" s="14">
        <f>IF(SUM(AN7,AR7)&gt;0,SUM(AN7,AR7),"")</f>
        <v>15.7</v>
      </c>
      <c r="BE7" s="14">
        <f>IF(SUM(AM7:AN7,AP7:AR7,AT7)-SUM(AO7,AS7)&gt;0,SUM(AM7:AN7,AP7:AR7,AT7)-SUM(AO7,AS7),"")</f>
        <v>71.7</v>
      </c>
      <c r="BF7" s="14">
        <f>IF(SUM(AV7,AZ7)&gt;0,SUM(AV7,AZ7),"")</f>
        <v>14</v>
      </c>
      <c r="BG7" s="14">
        <f>IF(SUM(AU7:AV7,AX7:AZ7,BB7)-SUM(AW7,BA7)&gt;0,SUM(AU7:AV7,AX7:AZ7,BB7)-SUM(AW7,BA7),"")</f>
        <v>69</v>
      </c>
      <c r="BH7" s="14">
        <f>IF(SUM(BE7,BG7)&gt;0,SUM(BE7,BG7),"")</f>
        <v>140.69999999999999</v>
      </c>
      <c r="BI7" s="69">
        <v>27.9</v>
      </c>
      <c r="BJ7" s="69">
        <v>7.6</v>
      </c>
      <c r="BK7" s="69">
        <v>0.3</v>
      </c>
      <c r="BL7" s="69">
        <v>0</v>
      </c>
      <c r="BM7" s="69">
        <v>27.6</v>
      </c>
      <c r="BN7" s="69">
        <v>7.2</v>
      </c>
      <c r="BO7" s="69">
        <v>0</v>
      </c>
      <c r="BP7" s="69">
        <v>0</v>
      </c>
      <c r="BQ7" s="69">
        <v>28</v>
      </c>
      <c r="BR7" s="69">
        <v>6.9</v>
      </c>
      <c r="BS7" s="69">
        <v>0</v>
      </c>
      <c r="BT7" s="69">
        <v>0</v>
      </c>
      <c r="BU7" s="69">
        <v>27</v>
      </c>
      <c r="BV7" s="69">
        <v>7.2</v>
      </c>
      <c r="BW7" s="69">
        <v>0.3</v>
      </c>
      <c r="BX7" s="69">
        <v>0</v>
      </c>
      <c r="BY7" s="80"/>
      <c r="BZ7" s="11">
        <f>IF(SUM(BJ7,BN7)&gt;0,SUM(BJ7,BN7),"")</f>
        <v>14.8</v>
      </c>
      <c r="CA7" s="11">
        <f>IF(SUM(BI7:BJ7,BL7:BN7,BP7)-SUM(BK7,BO7)&gt;0,SUM(BI7:BJ7,BL7:BN7,BP7)-SUM(BK7,BO7),"")</f>
        <v>70</v>
      </c>
      <c r="CB7" s="11">
        <f>IF(SUM(BR7,BV7)&gt;0,SUM(BR7,BV7),"")</f>
        <v>14.100000000000001</v>
      </c>
      <c r="CC7" s="11">
        <f>IF(SUM(BQ7:BR7,BT7:BV7,BX7)-SUM(BS7,BW7)&gt;0,SUM(BQ7:BR7,BT7:BV7,BX7)-SUM(BS7,BW7),"")</f>
        <v>68.8</v>
      </c>
      <c r="CD7" s="11">
        <f>IF(SUM(CA7,CC7)&gt;0,SUM(CA7,CC7),"")</f>
        <v>138.80000000000001</v>
      </c>
      <c r="CE7" s="24" t="str">
        <f>IF(MAX(DA7,DV7,EQ7,FL7,GG7,HB7,HW7,IR7,JM7,KH7,LC7,LX7)-IF(J7="",0,J7)&gt;0.001,MAX(DA7,DV7,EQ7,FL7,GG7,HB7,HW7,IR7,JM7,KH7,LC7,LX7)-IF(J7="",0,J7),"")</f>
        <v/>
      </c>
      <c r="CF7" s="24" t="str">
        <f>IF(MAX(CX7,CZ7,DS7,DU7,EN7,EP7,FI7,FK7,GD7,GF7,GY7,HA7,HT7,HV7,IO7,IQ7,JJ7,JL7,KE7,KG7,KZ7,LB7,LU7,LW7)-IF(L7="",0,L7)&gt;0.001,MAX(CX7,CZ7,DS7,DU7,EN7,EP7,FI7,FK7,GD7,GF7,GY7,HA7,HT7,HV7,IO7,IQ7,JJ7,JL7,KE7,KG7,KZ7,LB7,LU7,LW7)-IF(L7="",0,L7),"")</f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>IF(SUM(CH7,CL7)&gt;0,SUM(CH7,CL7),"")</f>
        <v/>
      </c>
      <c r="CX7" s="11" t="str">
        <f>IF(SUM(CG7:CH7,CJ7:CL7,CN7)-SUM(CI7,CM7)&gt;0,SUM(CG7:CH7,CJ7:CL7,CN7)-SUM(CI7,CM7),"")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28.25</v>
      </c>
      <c r="LZ7" s="69">
        <f>IF($BY7="P",BJ7,(BJ7+AN7)/2)</f>
        <v>7.4499999999999993</v>
      </c>
      <c r="MA7" s="69">
        <f>IF($BY7="P",BK7,(BK7+AO7)/2)</f>
        <v>0.15</v>
      </c>
      <c r="MB7" s="69">
        <f>IF($BY7="P",BL7,(BL7+AP7)/2)</f>
        <v>0</v>
      </c>
      <c r="MC7" s="69">
        <f>IF($BY7="P",BM7,(BM7+AQ7)/2)</f>
        <v>27.950000000000003</v>
      </c>
      <c r="MD7" s="69">
        <f>IF($BY7="P",BN7,(BN7+AR7)/2)</f>
        <v>7.8000000000000007</v>
      </c>
      <c r="ME7" s="69">
        <f>IF($BY7="P",BO7,(BO7+AS7)/2)</f>
        <v>0.45</v>
      </c>
      <c r="MF7" s="69">
        <f>IF($BY7="P",BP7,(BP7+AT7)/2)</f>
        <v>0</v>
      </c>
      <c r="MG7" s="69">
        <f>IF($BY7="P",BQ7,(BQ7+AU7)/2)</f>
        <v>28.1</v>
      </c>
      <c r="MH7" s="69">
        <f>IF($BY7="P",BR7,(BR7+AV7)/2)</f>
        <v>7.0500000000000007</v>
      </c>
      <c r="MI7" s="69">
        <f>IF($BY7="P",BS7,(BS7+AW7)/2)</f>
        <v>0</v>
      </c>
      <c r="MJ7" s="69">
        <f>IF($BY7="P",BT7,(BT7+AX7)/2)</f>
        <v>0</v>
      </c>
      <c r="MK7" s="69">
        <f>IF($BY7="P",BU7,(BU7+AY7)/2)</f>
        <v>27.5</v>
      </c>
      <c r="ML7" s="69">
        <f>IF($BY7="P",BV7,(BV7+AZ7)/2)</f>
        <v>7</v>
      </c>
      <c r="MM7" s="69">
        <f>IF($BY7="P",BW7,(BW7+BA7)/2)</f>
        <v>0.75</v>
      </c>
      <c r="MN7" s="69">
        <f>IF($BY7="P",BX7,(BX7+BB7)/2)</f>
        <v>0</v>
      </c>
      <c r="MO7" s="80" t="s">
        <v>91</v>
      </c>
      <c r="MP7" s="11">
        <f>IF(SUM(LZ7,MD7)&gt;0,SUM(LZ7,MD7),"")</f>
        <v>15.25</v>
      </c>
      <c r="MQ7" s="11">
        <f>IF(SUM(LY7:LZ7,MB7:MD7,MF7)-SUM(MA7,ME7)&gt;0,SUM(LY7:LZ7,MB7:MD7,MF7)-SUM(MA7,ME7),"")</f>
        <v>70.850000000000009</v>
      </c>
      <c r="MR7" s="11">
        <f>IF(SUM(MH7,ML7)&gt;0,SUM(MH7,ML7),"")</f>
        <v>14.05</v>
      </c>
      <c r="MS7" s="11">
        <f>IF(SUM(MG7:MH7,MJ7:ML7,MN7)-SUM(MI7,MM7)&gt;0,SUM(MG7:MH7,MJ7:ML7,MN7)-SUM(MI7,MM7),"")</f>
        <v>68.900000000000006</v>
      </c>
      <c r="MT7" s="11">
        <f>IF(SUM(MQ7,MS7)&gt;0,SUM(MQ7,MS7),"")</f>
        <v>139.75</v>
      </c>
    </row>
    <row r="8" spans="1:358" x14ac:dyDescent="0.2">
      <c r="A8" s="5">
        <f>IF(AND(F8="P",G8="P"),SUMPRODUCT((F$4:F$18="P")*(G$4:G$18="P")*(E$4:E$18&gt;E8))+1,IF(G8="P",SUMPRODUCT((F$4:F$18="")*(G$4:G$18="P")*(E$4:E$18&gt;E8))+1+SUMPRODUCT((F$4:F$18="P")*(G$4:G$18="P")),""))</f>
        <v>5</v>
      </c>
      <c r="B8" s="8" t="s">
        <v>128</v>
      </c>
      <c r="C8" s="4" t="s">
        <v>10</v>
      </c>
      <c r="D8" s="5">
        <v>2000</v>
      </c>
      <c r="E8" s="15">
        <f>SUM(J8:N8)</f>
        <v>199.59999999999997</v>
      </c>
      <c r="F8" s="3" t="str">
        <f>IF(OR(AND(AH8&gt;=AL$20,AI8&gt;=AL$24,AI8&lt;&gt;"",AG8=""),AND(BD8&gt;=BH$20,BE8&gt;=BH$24,BE8&lt;&gt;"",BC8=""),AND(BZ8&gt;=CD$20,CA8&gt;=CD$24,CA8&lt;&gt;"",BY8=""),AND(CW8&gt;=DA$20,CX8&gt;=DA$24,CX8&lt;&gt;""),AND(DR8&gt;=DV$20,DS8&gt;=DV$24,DS8&lt;&gt;""),AND(EM8&gt;=EQ$20,EN8&gt;=EQ$24,EN8&lt;&gt;""),AND(FH8&gt;=FL$20,FI8&gt;=FL$24,FI8&lt;&gt;""),AND(GC8&gt;=GG$20,GD8&gt;=GG$24,GD8&lt;&gt;""),AND(GX8&gt;=HB$20,GY8&gt;=HB$24,GY8&lt;&gt;""),AND(HS8&gt;=HW$20,HT8&gt;=HW$24,HT8&lt;&gt;""),AND(IN8&gt;=IR$20,IO8&gt;=IR$24,IO8&lt;&gt;""),AND(JI8&gt;=JM$20,JJ8&gt;=JM$24,JJ8&lt;&gt;""),AND(KD8&gt;=KH$20,KE8&gt;=KH$24,KE8&lt;&gt;""),AND(KY8&gt;=LC$20,KZ8&gt;=LC$24,KZ8&lt;&gt;""),AND(LT8&gt;=LX$20,LU8&gt;=LX$24,LU8&lt;&gt;"")),"P","")</f>
        <v>P</v>
      </c>
      <c r="G8" s="3" t="str">
        <f>IF(OR(AND(AI8&gt;=AL$24,AI8&lt;&gt;"",AG8=""),AND(BE8&gt;=BH$24,BE8&lt;&gt;"",BC8=""),AND(CA8&gt;=CD$24,CA8&lt;&gt;"",BY8=""),AND(CX8&gt;=DA$24,CX8&lt;&gt;""),AND(DS8&gt;=DV$24,DS8&lt;&gt;""),AND(EN8&gt;=EQ$24,EN8&lt;&gt;""),AND(FI8&gt;=FL$24,FI8&lt;&gt;""),AND(GD8&gt;=GG$24,GD8&lt;&gt;""),AND(GY8&gt;=HB$24,GY8&lt;&gt;""),AND(HT8&gt;=HW$24,HT8&lt;&gt;""),AND(IO8&gt;=IR$24,IO8&lt;&gt;""),AND(JJ8&gt;=JM$24,JJ8&lt;&gt;""),AND(KE8&gt;=KH$24,KE8&lt;&gt;""),AND(KZ8&gt;=LC$24,KZ8&lt;&gt;""),AND(LU8&gt;=LX$24,LU8&lt;&gt;"")),"P","")</f>
        <v>P</v>
      </c>
      <c r="H8" s="126" t="str">
        <f>IF(AND(G8="P",F8=""),"No DD",IF(OR(AND(AH8&gt;=AL$23,AH8&lt;&gt;"",AI8&gt;=AL$27,AI8&lt;&gt;"",AG8=""),AND(BD8&gt;=BH$23,BD8&lt;&gt;"",BE8&gt;=BH$27,BE8&lt;&gt;"",BC8=""),AND(BZ8&gt;=CD$23,BZ8&lt;&gt;"",CA8&gt;=CD$27,CA8&lt;&gt;"",BY8=""),AND(CW8&gt;=DA$23,CW8&lt;&gt;"",CX8&gt;=DA$27,CX8&lt;&gt;""),AND(DR8&gt;=DV$23,DR8&lt;&gt;"",DS8&gt;=DV$27,DS8&lt;&gt;""),AND(EM8&gt;=EQ$23,EM8&lt;&gt;"",EN8&gt;=EQ$27,EN8&lt;&gt;""),AND(FH8&gt;=FL$23,FH8&lt;&gt;"",FI8&gt;=FL$27,FI8&lt;&gt;""),AND(GC8&gt;=GG$23,GC8&lt;&gt;"",GD8&gt;=GG$27,GD8&lt;&gt;""),AND(GX8&gt;=HB$23,GX8&lt;&gt;"",GY8&gt;=HB$27,GY8&lt;&gt;""),AND(HS8&gt;=HW$23,HS8&lt;&gt;"",HT8&gt;=HW$27,HT8&lt;&gt;""),AND(IN8&gt;=IR$23,IN8&lt;&gt;"",IO8&gt;=IR$27,IO8&lt;&gt;""),AND(JI8&gt;=JM$23,JI8&lt;&gt;"",JJ8&gt;=JM$27,JJ8&lt;&gt;""),AND(KD8&gt;=KH$23,KD8&lt;&gt;"",KE8&gt;=KH$27,KE8&lt;&gt;""),AND(KY8&gt;=LC$23,KY8&lt;&gt;"",KZ8&gt;=LC$27,KZ8&lt;&gt;""),AND(LT8&gt;=LX$23,LT8&lt;&gt;"",LU8&gt;=LX$27,LU8&lt;&gt;"")),"Merit",IF(OR(AND(AH8&gt;=AL$22,AH8&lt;&gt;"",AI8&gt;=AL$26,AI8&lt;&gt;"",AG8=""),AND(BD8&gt;=BH$22,BD8&lt;&gt;"",BE8&gt;=BH$26,BE8&lt;&gt;"",BC8=""),AND(BZ8&gt;=CD$22,BZ8&lt;&gt;"",CA8&gt;=CD$26,CA8&lt;&gt;"",BY8=""),AND(CW8&gt;=DA$22,CW8&lt;&gt;"",CX8&gt;=DA$26,CX8&lt;&gt;""),AND(DR8&gt;=DV$22,DR8&lt;&gt;"",DS8&gt;=DV$26,DS8&lt;&gt;""),AND(EM8&gt;=EQ$22,EM8&lt;&gt;"",EN8&gt;=EQ$26,EN8&lt;&gt;""),AND(FH8&gt;=FL$22,FH8&lt;&gt;"",FI8&gt;=FL$26,FI8&lt;&gt;""),AND(GC8&gt;=GG$22,GC8&lt;&gt;"",GD8&gt;=GG$26,GD8&lt;&gt;""),AND(GX8&gt;=HB$22,GX8&lt;&gt;"",GY8&gt;=HB$26,GY8&lt;&gt;""),AND(HS8&gt;=HW$22,HS8&lt;&gt;"",HT8&gt;=HW$26,HT8&lt;&gt;""),AND(IN8&gt;=IR$22,IN8&lt;&gt;"",IO8&gt;=IR$26,IO8&lt;&gt;""),AND(JI8&gt;=JM$22,JI8&lt;&gt;"",JJ8&gt;=JM$26,JJ8&lt;&gt;""),AND(KD8&gt;=KH$22,KD8&lt;&gt;"",KE8&gt;=KH$26,KE8&lt;&gt;""),AND(KY8&gt;=LC$22,KY8&lt;&gt;"",KZ8&gt;=LC$26,KZ8&lt;&gt;""),AND(LT8&gt;=LX$22,LT8&lt;&gt;"",LU8&gt;=LX$26,LU8&lt;&gt;"")),"Excellence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Worlds Team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National Team","")))))</f>
        <v>National Team</v>
      </c>
      <c r="I8" s="3" t="str">
        <f>IF(OR(H8="Worlds Team",H8="Excellence",H8="Merit"),"P","")</f>
        <v/>
      </c>
      <c r="J8" s="14">
        <f>MAX(AL8,BH8,CD8)</f>
        <v>136.89999999999998</v>
      </c>
      <c r="K8" s="14" t="str">
        <f>IF(J8=0,"",IF(J8=CD8,$BI$1,IF(J8=BH8,$AM$1,IF(J8=AL8,$Q$1,""))))</f>
        <v>2019 Nationals</v>
      </c>
      <c r="L8" s="14">
        <f>IF(J8=AL8,MAX(BE8,BG8,CA8,CC8),IF(J8=BH8,MAX(AI8,AK8,CA8,CC8),MAX(AI8,AK8,BE8,BG8)))</f>
        <v>50.7</v>
      </c>
      <c r="M8" s="14" t="str">
        <f>IF(L8=0,"",IF(AND(J8&lt;&gt;CD8,OR(L8=CA8,L8=CC8)),$BI$1,IF(AND(J8&lt;&gt;BH8,OR(L8=BG8,L8=BE8)),$AM$1,IF(OR(L8=AK8,L8=AI8),$Q$1,""))))</f>
        <v>2019 Elite Canada</v>
      </c>
      <c r="N8" s="14">
        <f>IF(MAX(CE8:CF8)&gt;0,MAX(CE8:CF8),"")</f>
        <v>12</v>
      </c>
      <c r="O8" s="25" t="str">
        <f>IF(N8="","",IF(N8=CE8,"(4 Pass)",IF(N8=CF8,"(2 Pass)")))</f>
        <v>(2 Pass)</v>
      </c>
      <c r="P8" s="14" t="str">
        <f>IF(N8="","",IF(N8=CE8,IF(N8+IF(J8="",0,J8)=DA8,$CG$1,IF(N8+IF(J8="",0,J8)=DV8,$DB$1,IF(N8+IF(J8="",0,J8)=EQ8,$DW$1,IF(N8+IF(J8="",0,J8)=FL8,$ER$1,IF(N8+IF(J8="",0,J8)=GG8,$FM$1,IF(N8+IF(J8="",0,J8)=HB8,$GH$1,IF(N8+IF(J8="",0,J8)=HW8,$HC$1,IF(N8+IF(J8="",0,J8)=IR8,$HX$1,IF(N8+IF(J8="",0,J8)=JM8,$IS$1,IF(N8+IF(J8="",0,J8)=KH8,$JN$1,IF(N8+IF(J8="",0,J8)=LC8,$KI$1,IF(N8+IF(J8="",0,J8)=LX8,$LD$1)))))))))))),IF(N8=CF8,IF(OR(N8+IF(L8="",0,L8)=CX8,N8+IF(L8="",0,L8)=CZ8),$CG$1,IF(OR(N8+IF(L8="",0,L8)=DS8,N8+IF(L8="",0,L8)=DU8),$DB$1,IF(OR(N8+IF(L8="",0,L8)=EN8,N8+IF(L8="",0,L8)=EP8),$DW$1,IF(OR(N8+IF(L8="",0,L8)=FI8,N8+IF(L8="",0,L8)=FK8),$ER$1,IF(OR(N8+IF(L8="",0,L8)=GD8,N8+IF(L8="",0,L8)=GF8),$FM$1,IF(OR(N8+IF(L8="",0,L8)=GY8,N8+IF(L8="",0,L8)=HA8),$GH$1,IF(OR(N8+IF(L8="",0,L8)=HT8,N8+IF(L8="",0,L8)=HV8),$HC$1,IF(OR(N8+IF(L8="",0,L8)=IO8,N8+IF(L8="",0,L8)=IQ8),$HX$1,IF(OR(N8+IF(L8="",0,L8)=JJ8,N8+IF(L8="",0,L8)=JL8),$IS$1,IF(OR(N8+IF(L8="",0,L8)=KE8,N8+IF(L8="",0,L8)=KG8),$JN$1,IF(OR(N8+IF(L8="",0,L8)=KZ8,N8+IF(L8="",0,L8)=LB8),$KI$1,IF(OR(N8+IF(L8="",0,L8)=LU8,N8+IF(L8="",0,L8)=LW8),$LD$1)))))))))))))))</f>
        <v>2019 World Championships (Nov 30)</v>
      </c>
      <c r="Q8" s="69">
        <v>27.6</v>
      </c>
      <c r="R8" s="69">
        <v>4.5999999999999996</v>
      </c>
      <c r="S8" s="69">
        <v>4.7</v>
      </c>
      <c r="T8" s="69">
        <v>0</v>
      </c>
      <c r="U8" s="69">
        <v>20</v>
      </c>
      <c r="V8" s="69">
        <v>3.2</v>
      </c>
      <c r="W8" s="69">
        <v>0</v>
      </c>
      <c r="X8" s="69">
        <v>0</v>
      </c>
      <c r="Y8" s="69"/>
      <c r="Z8" s="69"/>
      <c r="AA8" s="69"/>
      <c r="AB8" s="69"/>
      <c r="AC8" s="69"/>
      <c r="AD8" s="69"/>
      <c r="AE8" s="69"/>
      <c r="AF8" s="69"/>
      <c r="AG8" s="80"/>
      <c r="AH8" s="11">
        <f>IF(SUM(R8,V8)&gt;0,SUM(R8,V8),"")</f>
        <v>7.8</v>
      </c>
      <c r="AI8" s="11">
        <f>IF(SUM(Q8:R8,T8:V8,X8)-SUM(S8,W8)&gt;0,SUM(Q8:R8,T8:V8,X8)-SUM(S8,W8),"")</f>
        <v>50.7</v>
      </c>
      <c r="AJ8" s="11" t="str">
        <f>IF(SUM(Z8,AD8)&gt;0,SUM(Z8,AD8),"")</f>
        <v/>
      </c>
      <c r="AK8" s="11" t="str">
        <f>IF(SUM(Y8:Z8,AB8:AD8,AF8)-SUM(AA8,AE8)&gt;0,SUM(Y8:Z8,AB8:AD8,AF8)-SUM(AA8,AE8),"")</f>
        <v/>
      </c>
      <c r="AL8" s="11">
        <f>IF(SUM(AI8,AK8)&gt;0,SUM(AI8,AK8),"")</f>
        <v>50.7</v>
      </c>
      <c r="AM8" s="38">
        <v>28.7</v>
      </c>
      <c r="AN8" s="38">
        <v>8</v>
      </c>
      <c r="AO8" s="38">
        <v>0</v>
      </c>
      <c r="AP8" s="38">
        <v>0</v>
      </c>
      <c r="AQ8" s="38">
        <v>27.9</v>
      </c>
      <c r="AR8" s="38">
        <v>7.6</v>
      </c>
      <c r="AS8" s="38">
        <v>1.2</v>
      </c>
      <c r="AT8" s="38">
        <v>0</v>
      </c>
      <c r="AU8" s="38">
        <v>28.5</v>
      </c>
      <c r="AV8" s="38">
        <v>8</v>
      </c>
      <c r="AW8" s="38">
        <v>0.9</v>
      </c>
      <c r="AX8" s="38">
        <v>0</v>
      </c>
      <c r="AY8" s="38">
        <v>24.4</v>
      </c>
      <c r="AZ8" s="38">
        <v>7.4</v>
      </c>
      <c r="BA8" s="38">
        <v>1.5</v>
      </c>
      <c r="BB8" s="38">
        <v>0</v>
      </c>
      <c r="BC8" s="81"/>
      <c r="BD8" s="14">
        <f>IF(SUM(AN8,AR8)&gt;0,SUM(AN8,AR8),"")</f>
        <v>15.6</v>
      </c>
      <c r="BE8" s="14">
        <f>IF(SUM(AM8:AN8,AP8:AR8,AT8)-SUM(AO8,AS8)&gt;0,SUM(AM8:AN8,AP8:AR8,AT8)-SUM(AO8,AS8),"")</f>
        <v>70.999999999999986</v>
      </c>
      <c r="BF8" s="14">
        <f>IF(SUM(AV8,AZ8)&gt;0,SUM(AV8,AZ8),"")</f>
        <v>15.4</v>
      </c>
      <c r="BG8" s="14">
        <f>IF(SUM(AU8:AV8,AX8:AZ8,BB8)-SUM(AW8,BA8)&gt;0,SUM(AU8:AV8,AX8:AZ8,BB8)-SUM(AW8,BA8),"")</f>
        <v>65.899999999999991</v>
      </c>
      <c r="BH8" s="14">
        <f>IF(SUM(BE8,BG8)&gt;0,SUM(BE8,BG8),"")</f>
        <v>136.89999999999998</v>
      </c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80"/>
      <c r="BZ8" s="11" t="str">
        <f>IF(SUM(BJ8,BN8)&gt;0,SUM(BJ8,BN8),"")</f>
        <v/>
      </c>
      <c r="CA8" s="11" t="str">
        <f>IF(SUM(BI8:BJ8,BL8:BN8,BP8)-SUM(BK8,BO8)&gt;0,SUM(BI8:BJ8,BL8:BN8,BP8)-SUM(BK8,BO8),"")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4" t="str">
        <f>IF(MAX(DA8,DV8,EQ8,FL8,GG8,HB8,HW8,IR8,JM8,KH8,LC8,LX8)-IF(J8="",0,J8)&gt;0.001,MAX(DA8,DV8,EQ8,FL8,GG8,HB8,HW8,IR8,JM8,KH8,LC8,LX8)-IF(J8="",0,J8),"")</f>
        <v/>
      </c>
      <c r="CF8" s="24">
        <f>IF(MAX(CX8,CZ8,DS8,DU8,EN8,EP8,FI8,FK8,GD8,GF8,GY8,HA8,HT8,HV8,IO8,IQ8,JJ8,JL8,KE8,KG8,KZ8,LB8,LU8,LW8)-IF(L8="",0,L8)&gt;0.001,MAX(CX8,CZ8,DS8,DU8,EN8,EP8,FI8,FK8,GD8,GF8,GY8,HA8,HT8,HV8,IO8,IQ8,JJ8,JL8,KE8,KG8,KZ8,LB8,LU8,LW8)-IF(L8="",0,L8),"")</f>
        <v>12</v>
      </c>
      <c r="CG8" s="44">
        <v>24.6</v>
      </c>
      <c r="CH8" s="44">
        <v>6.4</v>
      </c>
      <c r="CI8" s="44">
        <v>1.8</v>
      </c>
      <c r="CJ8" s="44">
        <v>0</v>
      </c>
      <c r="CK8" s="44">
        <v>27.4</v>
      </c>
      <c r="CL8" s="44">
        <v>7.6</v>
      </c>
      <c r="CM8" s="44">
        <v>1.5</v>
      </c>
      <c r="CN8" s="44">
        <v>0</v>
      </c>
      <c r="CO8" s="44"/>
      <c r="CP8" s="44"/>
      <c r="CQ8" s="44"/>
      <c r="CR8" s="44"/>
      <c r="CS8" s="44"/>
      <c r="CT8" s="44"/>
      <c r="CU8" s="44"/>
      <c r="CV8" s="44"/>
      <c r="CW8" s="11">
        <f>IF(SUM(CH8,CL8)&gt;0,SUM(CH8,CL8),"")</f>
        <v>14</v>
      </c>
      <c r="CX8" s="11">
        <f>IF(SUM(CG8:CH8,CJ8:CL8,CN8)-SUM(CI8,CM8)&gt;0,SUM(CG8:CH8,CJ8:CL8,CN8)-SUM(CI8,CM8),"")</f>
        <v>62.7</v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>
        <f>IF(SUM(CX8,CZ8)&gt;0,SUM(CX8,CZ8),"")</f>
        <v>62.7</v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14.35</v>
      </c>
      <c r="LZ8" s="69">
        <f>IF($BY8="P",BJ8,(BJ8+AN8)/2)</f>
        <v>4</v>
      </c>
      <c r="MA8" s="69">
        <f>IF($BY8="P",BK8,(BK8+AO8)/2)</f>
        <v>0</v>
      </c>
      <c r="MB8" s="69">
        <f>IF($BY8="P",BL8,(BL8+AP8)/2)</f>
        <v>0</v>
      </c>
      <c r="MC8" s="69">
        <f>IF($BY8="P",BM8,(BM8+AQ8)/2)</f>
        <v>13.95</v>
      </c>
      <c r="MD8" s="69">
        <f>IF($BY8="P",BN8,(BN8+AR8)/2)</f>
        <v>3.8</v>
      </c>
      <c r="ME8" s="69">
        <f>IF($BY8="P",BO8,(BO8+AS8)/2)</f>
        <v>0.6</v>
      </c>
      <c r="MF8" s="69">
        <f>IF($BY8="P",BP8,(BP8+AT8)/2)</f>
        <v>0</v>
      </c>
      <c r="MG8" s="69">
        <f>IF($BY8="P",BQ8,(BQ8+AU8)/2)</f>
        <v>14.25</v>
      </c>
      <c r="MH8" s="69">
        <f>IF($BY8="P",BR8,(BR8+AV8)/2)</f>
        <v>4</v>
      </c>
      <c r="MI8" s="69">
        <f>IF($BY8="P",BS8,(BS8+AW8)/2)</f>
        <v>0.45</v>
      </c>
      <c r="MJ8" s="69">
        <f>IF($BY8="P",BT8,(BT8+AX8)/2)</f>
        <v>0</v>
      </c>
      <c r="MK8" s="69">
        <f>IF($BY8="P",BU8,(BU8+AY8)/2)</f>
        <v>12.2</v>
      </c>
      <c r="ML8" s="69">
        <f>IF($BY8="P",BV8,(BV8+AZ8)/2)</f>
        <v>3.7</v>
      </c>
      <c r="MM8" s="69">
        <f>IF($BY8="P",BW8,(BW8+BA8)/2)</f>
        <v>0.75</v>
      </c>
      <c r="MN8" s="69">
        <f>IF($BY8="P",BX8,(BX8+BB8)/2)</f>
        <v>0</v>
      </c>
      <c r="MO8" s="80" t="s">
        <v>91</v>
      </c>
      <c r="MP8" s="11">
        <f>IF(SUM(LZ8,MD8)&gt;0,SUM(LZ8,MD8),"")</f>
        <v>7.8</v>
      </c>
      <c r="MQ8" s="11">
        <f>IF(SUM(LY8:LZ8,MB8:MD8,MF8)-SUM(MA8,ME8)&gt;0,SUM(LY8:LZ8,MB8:MD8,MF8)-SUM(MA8,ME8),"")</f>
        <v>35.499999999999993</v>
      </c>
      <c r="MR8" s="11">
        <f>IF(SUM(MH8,ML8)&gt;0,SUM(MH8,ML8),"")</f>
        <v>7.7</v>
      </c>
      <c r="MS8" s="11">
        <f>IF(SUM(MG8:MH8,MJ8:ML8,MN8)-SUM(MI8,MM8)&gt;0,SUM(MG8:MH8,MJ8:ML8,MN8)-SUM(MI8,MM8),"")</f>
        <v>32.949999999999996</v>
      </c>
      <c r="MT8" s="11">
        <f>IF(SUM(MQ8,MS8)&gt;0,SUM(MQ8,MS8),"")</f>
        <v>68.449999999999989</v>
      </c>
    </row>
    <row r="9" spans="1:358" x14ac:dyDescent="0.2">
      <c r="A9" s="5">
        <f>IF(AND(F9="P",G9="P"),SUMPRODUCT((F$4:F$18="P")*(G$4:G$18="P")*(E$4:E$18&gt;E9))+1,IF(G9="P",SUMPRODUCT((F$4:F$18="")*(G$4:G$18="P")*(E$4:E$18&gt;E9))+1+SUMPRODUCT((F$4:F$18="P")*(G$4:G$18="P")),""))</f>
        <v>6</v>
      </c>
      <c r="B9" s="8" t="s">
        <v>84</v>
      </c>
      <c r="C9" s="4" t="s">
        <v>5</v>
      </c>
      <c r="D9" s="5">
        <v>1999</v>
      </c>
      <c r="E9" s="15">
        <f>SUM(J9:N9)</f>
        <v>210.9</v>
      </c>
      <c r="F9" s="3" t="str">
        <f>IF(OR(AND(AH9&gt;=AL$20,AI9&gt;=AL$24,AI9&lt;&gt;"",AG9=""),AND(BD9&gt;=BH$20,BE9&gt;=BH$24,BE9&lt;&gt;"",BC9=""),AND(BZ9&gt;=CD$20,CA9&gt;=CD$24,CA9&lt;&gt;"",BY9=""),AND(CW9&gt;=DA$20,CX9&gt;=DA$24,CX9&lt;&gt;""),AND(DR9&gt;=DV$20,DS9&gt;=DV$24,DS9&lt;&gt;""),AND(EM9&gt;=EQ$20,EN9&gt;=EQ$24,EN9&lt;&gt;""),AND(FH9&gt;=FL$20,FI9&gt;=FL$24,FI9&lt;&gt;""),AND(GC9&gt;=GG$20,GD9&gt;=GG$24,GD9&lt;&gt;""),AND(GX9&gt;=HB$20,GY9&gt;=HB$24,GY9&lt;&gt;""),AND(HS9&gt;=HW$20,HT9&gt;=HW$24,HT9&lt;&gt;""),AND(IN9&gt;=IR$20,IO9&gt;=IR$24,IO9&lt;&gt;""),AND(JI9&gt;=JM$20,JJ9&gt;=JM$24,JJ9&lt;&gt;""),AND(KD9&gt;=KH$20,KE9&gt;=KH$24,KE9&lt;&gt;""),AND(KY9&gt;=LC$20,KZ9&gt;=LC$24,KZ9&lt;&gt;""),AND(LT9&gt;=LX$20,LU9&gt;=LX$24,LU9&lt;&gt;"")),"P","")</f>
        <v/>
      </c>
      <c r="G9" s="3" t="str">
        <f>IF(OR(AND(AI9&gt;=AL$24,AI9&lt;&gt;"",AG9=""),AND(BE9&gt;=BH$24,BE9&lt;&gt;"",BC9=""),AND(CA9&gt;=CD$24,CA9&lt;&gt;"",BY9=""),AND(CX9&gt;=DA$24,CX9&lt;&gt;""),AND(DS9&gt;=DV$24,DS9&lt;&gt;""),AND(EN9&gt;=EQ$24,EN9&lt;&gt;""),AND(FI9&gt;=FL$24,FI9&lt;&gt;""),AND(GD9&gt;=GG$24,GD9&lt;&gt;""),AND(GY9&gt;=HB$24,GY9&lt;&gt;""),AND(HT9&gt;=HW$24,HT9&lt;&gt;""),AND(IO9&gt;=IR$24,IO9&lt;&gt;""),AND(JJ9&gt;=JM$24,JJ9&lt;&gt;""),AND(KE9&gt;=KH$24,KE9&lt;&gt;""),AND(KZ9&gt;=LC$24,KZ9&lt;&gt;""),AND(LU9&gt;=LX$24,LU9&lt;&gt;"")),"P","")</f>
        <v>P</v>
      </c>
      <c r="H9" s="126" t="str">
        <f>IF(AND(G9="P",F9=""),"No DD",IF(OR(AND(AH9&gt;=AL$23,AH9&lt;&gt;"",AI9&gt;=AL$27,AI9&lt;&gt;"",AG9=""),AND(BD9&gt;=BH$23,BD9&lt;&gt;"",BE9&gt;=BH$27,BE9&lt;&gt;"",BC9=""),AND(BZ9&gt;=CD$23,BZ9&lt;&gt;"",CA9&gt;=CD$27,CA9&lt;&gt;"",BY9=""),AND(CW9&gt;=DA$23,CW9&lt;&gt;"",CX9&gt;=DA$27,CX9&lt;&gt;""),AND(DR9&gt;=DV$23,DR9&lt;&gt;"",DS9&gt;=DV$27,DS9&lt;&gt;""),AND(EM9&gt;=EQ$23,EM9&lt;&gt;"",EN9&gt;=EQ$27,EN9&lt;&gt;""),AND(FH9&gt;=FL$23,FH9&lt;&gt;"",FI9&gt;=FL$27,FI9&lt;&gt;""),AND(GC9&gt;=GG$23,GC9&lt;&gt;"",GD9&gt;=GG$27,GD9&lt;&gt;""),AND(GX9&gt;=HB$23,GX9&lt;&gt;"",GY9&gt;=HB$27,GY9&lt;&gt;""),AND(HS9&gt;=HW$23,HS9&lt;&gt;"",HT9&gt;=HW$27,HT9&lt;&gt;""),AND(IN9&gt;=IR$23,IN9&lt;&gt;"",IO9&gt;=IR$27,IO9&lt;&gt;""),AND(JI9&gt;=JM$23,JI9&lt;&gt;"",JJ9&gt;=JM$27,JJ9&lt;&gt;""),AND(KD9&gt;=KH$23,KD9&lt;&gt;"",KE9&gt;=KH$27,KE9&lt;&gt;""),AND(KY9&gt;=LC$23,KY9&lt;&gt;"",KZ9&gt;=LC$27,KZ9&lt;&gt;""),AND(LT9&gt;=LX$23,LT9&lt;&gt;"",LU9&gt;=LX$27,LU9&lt;&gt;"")),"Merit",IF(OR(AND(AH9&gt;=AL$22,AH9&lt;&gt;"",AI9&gt;=AL$26,AI9&lt;&gt;"",AG9=""),AND(BD9&gt;=BH$22,BD9&lt;&gt;"",BE9&gt;=BH$26,BE9&lt;&gt;"",BC9=""),AND(BZ9&gt;=CD$22,BZ9&lt;&gt;"",CA9&gt;=CD$26,CA9&lt;&gt;"",BY9=""),AND(CW9&gt;=DA$22,CW9&lt;&gt;"",CX9&gt;=DA$26,CX9&lt;&gt;""),AND(DR9&gt;=DV$22,DR9&lt;&gt;"",DS9&gt;=DV$26,DS9&lt;&gt;""),AND(EM9&gt;=EQ$22,EM9&lt;&gt;"",EN9&gt;=EQ$26,EN9&lt;&gt;""),AND(FH9&gt;=FL$22,FH9&lt;&gt;"",FI9&gt;=FL$26,FI9&lt;&gt;""),AND(GC9&gt;=GG$22,GC9&lt;&gt;"",GD9&gt;=GG$26,GD9&lt;&gt;""),AND(GX9&gt;=HB$22,GX9&lt;&gt;"",GY9&gt;=HB$26,GY9&lt;&gt;""),AND(HS9&gt;=HW$22,HS9&lt;&gt;"",HT9&gt;=HW$26,HT9&lt;&gt;""),AND(IN9&gt;=IR$22,IN9&lt;&gt;"",IO9&gt;=IR$26,IO9&lt;&gt;""),AND(JI9&gt;=JM$22,JI9&lt;&gt;"",JJ9&gt;=JM$26,JJ9&lt;&gt;""),AND(KD9&gt;=KH$22,KD9&lt;&gt;"",KE9&gt;=KH$26,KE9&lt;&gt;""),AND(KY9&gt;=LC$22,KY9&lt;&gt;"",KZ9&gt;=LC$26,KZ9&lt;&gt;""),AND(LT9&gt;=LX$22,LT9&lt;&gt;"",LU9&gt;=LX$26,LU9&lt;&gt;"")),"Excellence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Worlds Team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National Team","")))))</f>
        <v>No DD</v>
      </c>
      <c r="I9" s="3" t="str">
        <f>IF(OR(H9="Worlds Team",H9="Excellence",H9="Merit"),"P","")</f>
        <v/>
      </c>
      <c r="J9" s="14">
        <f>MAX(AL9,BH9,CD9)</f>
        <v>132</v>
      </c>
      <c r="K9" s="14" t="str">
        <f>IF(J9=0,"",IF(J9=CD9,$BI$1,IF(J9=BH9,$AM$1,IF(J9=AL9,$Q$1,""))))</f>
        <v>2019 Elite Canada</v>
      </c>
      <c r="L9" s="14">
        <f>IF(J9=AL9,MAX(BE9,BG9,CA9,CC9),IF(J9=BH9,MAX(AI9,AK9,CA9,CC9),MAX(AI9,AK9,BE9,BG9)))</f>
        <v>69.8</v>
      </c>
      <c r="M9" s="14" t="str">
        <f>IF(L9=0,"",IF(AND(J9&lt;&gt;CD9,OR(L9=CA9,L9=CC9)),$BI$1,IF(AND(J9&lt;&gt;BH9,OR(L9=BG9,L9=BE9)),$AM$1,IF(OR(L9=AK9,L9=AI9),$Q$1,""))))</f>
        <v>2019 Nationals</v>
      </c>
      <c r="N9" s="14">
        <f>IF(MAX(CE9:CF9)&gt;0,MAX(CE9:CF9),"")</f>
        <v>9.0999999999999943</v>
      </c>
      <c r="O9" s="25" t="str">
        <f>IF(N9="","",IF(N9=CE9,"(4 Pass)",IF(N9=CF9,"(2 Pass)")))</f>
        <v>(4 Pass)</v>
      </c>
      <c r="P9" s="14" t="str">
        <f>IF(N9="","",IF(N9=CE9,IF(N9+IF(J9="",0,J9)=DA9,$CG$1,IF(N9+IF(J9="",0,J9)=DV9,$DB$1,IF(N9+IF(J9="",0,J9)=EQ9,$DW$1,IF(N9+IF(J9="",0,J9)=FL9,$ER$1,IF(N9+IF(J9="",0,J9)=GG9,$FM$1,IF(N9+IF(J9="",0,J9)=HB9,$GH$1,IF(N9+IF(J9="",0,J9)=HW9,$HC$1,IF(N9+IF(J9="",0,J9)=IR9,$HX$1,IF(N9+IF(J9="",0,J9)=JM9,$IS$1,IF(N9+IF(J9="",0,J9)=KH9,$JN$1,IF(N9+IF(J9="",0,J9)=LC9,$KI$1,IF(N9+IF(J9="",0,J9)=LX9,$LD$1)))))))))))),IF(N9=CF9,IF(OR(N9+IF(L9="",0,L9)=CX9,N9+IF(L9="",0,L9)=CZ9),$CG$1,IF(OR(N9+IF(L9="",0,L9)=DS9,N9+IF(L9="",0,L9)=DU9),$DB$1,IF(OR(N9+IF(L9="",0,L9)=EN9,N9+IF(L9="",0,L9)=EP9),$DW$1,IF(OR(N9+IF(L9="",0,L9)=FI9,N9+IF(L9="",0,L9)=FK9),$ER$1,IF(OR(N9+IF(L9="",0,L9)=GD9,N9+IF(L9="",0,L9)=GF9),$FM$1,IF(OR(N9+IF(L9="",0,L9)=GY9,N9+IF(L9="",0,L9)=HA9),$GH$1,IF(OR(N9+IF(L9="",0,L9)=HT9,N9+IF(L9="",0,L9)=HV9),$HC$1,IF(OR(N9+IF(L9="",0,L9)=IO9,N9+IF(L9="",0,L9)=IQ9),$HX$1,IF(OR(N9+IF(L9="",0,L9)=JJ9,N9+IF(L9="",0,L9)=JL9),$IS$1,IF(OR(N9+IF(L9="",0,L9)=KE9,N9+IF(L9="",0,L9)=KG9),$JN$1,IF(OR(N9+IF(L9="",0,L9)=KZ9,N9+IF(L9="",0,L9)=LB9),$KI$1,IF(OR(N9+IF(L9="",0,L9)=LU9,N9+IF(L9="",0,L9)=LW9),$LD$1)))))))))))))))</f>
        <v>2019 WAGC (Dec 5)</v>
      </c>
      <c r="Q9" s="69">
        <v>28.1</v>
      </c>
      <c r="R9" s="69">
        <v>7.2</v>
      </c>
      <c r="S9" s="69">
        <v>0</v>
      </c>
      <c r="T9" s="69">
        <v>0</v>
      </c>
      <c r="U9" s="69">
        <v>27.6</v>
      </c>
      <c r="V9" s="69">
        <v>7.2</v>
      </c>
      <c r="W9" s="69">
        <v>0.9</v>
      </c>
      <c r="X9" s="69">
        <v>0</v>
      </c>
      <c r="Y9" s="69">
        <v>28.2</v>
      </c>
      <c r="Z9" s="69">
        <v>7.6</v>
      </c>
      <c r="AA9" s="69">
        <v>0</v>
      </c>
      <c r="AB9" s="69">
        <v>0</v>
      </c>
      <c r="AC9" s="69">
        <v>27.5</v>
      </c>
      <c r="AD9" s="69">
        <v>3.2</v>
      </c>
      <c r="AE9" s="69">
        <v>3.7</v>
      </c>
      <c r="AF9" s="69">
        <v>0</v>
      </c>
      <c r="AG9" s="80"/>
      <c r="AH9" s="11">
        <f>IF(SUM(R9,V9)&gt;0,SUM(R9,V9),"")</f>
        <v>14.4</v>
      </c>
      <c r="AI9" s="11">
        <f>IF(SUM(Q9:R9,T9:V9,X9)-SUM(S9,W9)&gt;0,SUM(Q9:R9,T9:V9,X9)-SUM(S9,W9),"")</f>
        <v>69.2</v>
      </c>
      <c r="AJ9" s="11">
        <f>IF(SUM(Z9,AD9)&gt;0,SUM(Z9,AD9),"")</f>
        <v>10.8</v>
      </c>
      <c r="AK9" s="11">
        <f>IF(SUM(Y9:Z9,AB9:AD9,AF9)-SUM(AA9,AE9)&gt;0,SUM(Y9:Z9,AB9:AD9,AF9)-SUM(AA9,AE9),"")</f>
        <v>62.8</v>
      </c>
      <c r="AL9" s="11">
        <f>IF(SUM(AI9,AK9)&gt;0,SUM(AI9,AK9),"")</f>
        <v>132</v>
      </c>
      <c r="AM9" s="38">
        <v>28.2</v>
      </c>
      <c r="AN9" s="38">
        <v>8</v>
      </c>
      <c r="AO9" s="38">
        <v>1.2</v>
      </c>
      <c r="AP9" s="38">
        <v>0</v>
      </c>
      <c r="AQ9" s="38">
        <v>20.399999999999999</v>
      </c>
      <c r="AR9" s="38">
        <v>2.8</v>
      </c>
      <c r="AS9" s="38">
        <v>0</v>
      </c>
      <c r="AT9" s="38">
        <v>0</v>
      </c>
      <c r="AU9" s="38">
        <v>28.2</v>
      </c>
      <c r="AV9" s="38">
        <v>6.8</v>
      </c>
      <c r="AW9" s="38">
        <v>0.3</v>
      </c>
      <c r="AX9" s="38">
        <v>0</v>
      </c>
      <c r="AY9" s="38">
        <v>28.4</v>
      </c>
      <c r="AZ9" s="38">
        <v>7.6</v>
      </c>
      <c r="BA9" s="38">
        <v>0.9</v>
      </c>
      <c r="BB9" s="38">
        <v>0</v>
      </c>
      <c r="BC9" s="81"/>
      <c r="BD9" s="14">
        <f>IF(SUM(AN9,AR9)&gt;0,SUM(AN9,AR9),"")</f>
        <v>10.8</v>
      </c>
      <c r="BE9" s="14">
        <f>IF(SUM(AM9:AN9,AP9:AR9,AT9)-SUM(AO9,AS9)&gt;0,SUM(AM9:AN9,AP9:AR9,AT9)-SUM(AO9,AS9),"")</f>
        <v>58.199999999999996</v>
      </c>
      <c r="BF9" s="14">
        <f>IF(SUM(AV9,AZ9)&gt;0,SUM(AV9,AZ9),"")</f>
        <v>14.399999999999999</v>
      </c>
      <c r="BG9" s="14">
        <f>IF(SUM(AU9:AV9,AX9:AZ9,BB9)-SUM(AW9,BA9)&gt;0,SUM(AU9:AV9,AX9:AZ9,BB9)-SUM(AW9,BA9),"")</f>
        <v>69.8</v>
      </c>
      <c r="BH9" s="14">
        <f>IF(SUM(BE9,BG9)&gt;0,SUM(BE9,BG9),"")</f>
        <v>128</v>
      </c>
      <c r="BI9" s="69">
        <v>20.399999999999999</v>
      </c>
      <c r="BJ9" s="69">
        <v>2.8</v>
      </c>
      <c r="BK9" s="69">
        <v>0.2</v>
      </c>
      <c r="BL9" s="69">
        <v>0</v>
      </c>
      <c r="BM9" s="69">
        <v>27.6</v>
      </c>
      <c r="BN9" s="69">
        <v>5.6</v>
      </c>
      <c r="BO9" s="69">
        <v>1.5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80"/>
      <c r="BZ9" s="11">
        <f>IF(SUM(BJ9,BN9)&gt;0,SUM(BJ9,BN9),"")</f>
        <v>8.3999999999999986</v>
      </c>
      <c r="CA9" s="11">
        <f>IF(SUM(BI9:BJ9,BL9:BN9,BP9)-SUM(BK9,BO9)&gt;0,SUM(BI9:BJ9,BL9:BN9,BP9)-SUM(BK9,BO9),"")</f>
        <v>54.699999999999996</v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>
        <f>IF(SUM(CA9,CC9)&gt;0,SUM(CA9,CC9),"")</f>
        <v>54.699999999999996</v>
      </c>
      <c r="CE9" s="24">
        <f>IF(MAX(DA9,DV9,EQ9,FL9,GG9,HB9,HW9,IR9,JM9,KH9,LC9,LX9)-IF(J9="",0,J9)&gt;0.001,MAX(DA9,DV9,EQ9,FL9,GG9,HB9,HW9,IR9,JM9,KH9,LC9,LX9)-IF(J9="",0,J9),"")</f>
        <v>9.0999999999999943</v>
      </c>
      <c r="CF9" s="24">
        <f>IF(MAX(CX9,CZ9,DS9,DU9,EN9,EP9,FI9,FK9,GD9,GF9,GY9,HA9,HT9,HV9,IO9,IQ9,JJ9,JL9,KE9,KG9,KZ9,LB9,LU9,LW9)-IF(L9="",0,L9)&gt;0.001,MAX(CX9,CZ9,DS9,DU9,EN9,EP9,FI9,FK9,GD9,GF9,GY9,HA9,HT9,HV9,IO9,IQ9,JJ9,JL9,KE9,KG9,KZ9,LB9,LU9,LW9)-IF(L9="",0,L9),"")</f>
        <v>0.90000000000000568</v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43">
        <v>27.5</v>
      </c>
      <c r="DC9" s="43">
        <v>7.4</v>
      </c>
      <c r="DD9" s="43">
        <v>0</v>
      </c>
      <c r="DE9" s="43">
        <v>0</v>
      </c>
      <c r="DF9" s="43">
        <v>27.8</v>
      </c>
      <c r="DG9" s="43">
        <v>8</v>
      </c>
      <c r="DH9" s="43">
        <v>0</v>
      </c>
      <c r="DI9" s="43">
        <v>0</v>
      </c>
      <c r="DJ9" s="43">
        <v>27.8</v>
      </c>
      <c r="DK9" s="43">
        <v>7.2</v>
      </c>
      <c r="DL9" s="43">
        <v>0</v>
      </c>
      <c r="DM9" s="43">
        <v>0</v>
      </c>
      <c r="DN9" s="43">
        <v>27.8</v>
      </c>
      <c r="DO9" s="43">
        <v>7.6</v>
      </c>
      <c r="DP9" s="43">
        <v>0</v>
      </c>
      <c r="DQ9" s="43">
        <v>0</v>
      </c>
      <c r="DR9" s="14">
        <f>IF(SUM(DC9,DG9)&gt;0,SUM(DC9,DG9),"")</f>
        <v>15.4</v>
      </c>
      <c r="DS9" s="14">
        <f>IF(SUM(DB9:DC9,DE9:DG9,DI9)-SUM(DD9,DH9)&gt;0,SUM(DB9:DC9,DE9:DG9,DI9)-SUM(DD9,DH9),"")</f>
        <v>70.7</v>
      </c>
      <c r="DT9" s="14">
        <f>IF(SUM(DK9,DO9)&gt;0,SUM(DK9,DO9),"")</f>
        <v>14.8</v>
      </c>
      <c r="DU9" s="14">
        <f>IF(SUM(DJ9:DK9,DM9:DO9,DQ9)-SUM(DL9,DP9)&gt;0,SUM(DJ9:DK9,DM9:DO9,DQ9)-SUM(DL9,DP9),"")</f>
        <v>70.399999999999991</v>
      </c>
      <c r="DV9" s="14">
        <f>IF(SUM(DS9,DU9)&gt;0,SUM(DS9,DU9),"")</f>
        <v>141.1</v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24.299999999999997</v>
      </c>
      <c r="LZ9" s="69">
        <f>IF($BY9="P",BJ9,(BJ9+AN9)/2)</f>
        <v>5.4</v>
      </c>
      <c r="MA9" s="69">
        <f>IF($BY9="P",BK9,(BK9+AO9)/2)</f>
        <v>0.7</v>
      </c>
      <c r="MB9" s="69">
        <f>IF($BY9="P",BL9,(BL9+AP9)/2)</f>
        <v>0</v>
      </c>
      <c r="MC9" s="69">
        <f>IF($BY9="P",BM9,(BM9+AQ9)/2)</f>
        <v>24</v>
      </c>
      <c r="MD9" s="69">
        <f>IF($BY9="P",BN9,(BN9+AR9)/2)</f>
        <v>4.1999999999999993</v>
      </c>
      <c r="ME9" s="69">
        <f>IF($BY9="P",BO9,(BO9+AS9)/2)</f>
        <v>0.75</v>
      </c>
      <c r="MF9" s="69">
        <f>IF($BY9="P",BP9,(BP9+AT9)/2)</f>
        <v>0</v>
      </c>
      <c r="MG9" s="69">
        <f>IF($BY9="P",BQ9,(BQ9+AU9)/2)</f>
        <v>14.1</v>
      </c>
      <c r="MH9" s="69">
        <f>IF($BY9="P",BR9,(BR9+AV9)/2)</f>
        <v>3.4</v>
      </c>
      <c r="MI9" s="69">
        <f>IF($BY9="P",BS9,(BS9+AW9)/2)</f>
        <v>0.15</v>
      </c>
      <c r="MJ9" s="69">
        <f>IF($BY9="P",BT9,(BT9+AX9)/2)</f>
        <v>0</v>
      </c>
      <c r="MK9" s="69">
        <f>IF($BY9="P",BU9,(BU9+AY9)/2)</f>
        <v>14.2</v>
      </c>
      <c r="ML9" s="69">
        <f>IF($BY9="P",BV9,(BV9+AZ9)/2)</f>
        <v>3.8</v>
      </c>
      <c r="MM9" s="69">
        <f>IF($BY9="P",BW9,(BW9+BA9)/2)</f>
        <v>0.45</v>
      </c>
      <c r="MN9" s="69">
        <f>IF($BY9="P",BX9,(BX9+BB9)/2)</f>
        <v>0</v>
      </c>
      <c r="MO9" s="80" t="s">
        <v>91</v>
      </c>
      <c r="MP9" s="11">
        <f>IF(SUM(LZ9,MD9)&gt;0,SUM(LZ9,MD9),"")</f>
        <v>9.6</v>
      </c>
      <c r="MQ9" s="11">
        <f>IF(SUM(LY9:LZ9,MB9:MD9,MF9)-SUM(MA9,ME9)&gt;0,SUM(LY9:LZ9,MB9:MD9,MF9)-SUM(MA9,ME9),"")</f>
        <v>56.449999999999989</v>
      </c>
      <c r="MR9" s="11">
        <f>IF(SUM(MH9,ML9)&gt;0,SUM(MH9,ML9),"")</f>
        <v>7.1999999999999993</v>
      </c>
      <c r="MS9" s="11">
        <f>IF(SUM(MG9:MH9,MJ9:ML9,MN9)-SUM(MI9,MM9)&gt;0,SUM(MG9:MH9,MJ9:ML9,MN9)-SUM(MI9,MM9),"")</f>
        <v>34.9</v>
      </c>
      <c r="MT9" s="11">
        <f>IF(SUM(MQ9,MS9)&gt;0,SUM(MQ9,MS9),"")</f>
        <v>91.35</v>
      </c>
    </row>
    <row r="10" spans="1:358" x14ac:dyDescent="0.2">
      <c r="A10" s="5">
        <f>IF(AND(F10="P",G10="P"),SUMPRODUCT((F$4:F$18="P")*(G$4:G$18="P")*(E$4:E$18&gt;E10))+1,IF(G10="P",SUMPRODUCT((F$4:F$18="")*(G$4:G$18="P")*(E$4:E$18&gt;E10))+1+SUMPRODUCT((F$4:F$18="P")*(G$4:G$18="P")),""))</f>
        <v>7</v>
      </c>
      <c r="B10" s="8" t="s">
        <v>132</v>
      </c>
      <c r="C10" s="4" t="s">
        <v>3</v>
      </c>
      <c r="D10" s="5">
        <v>2000</v>
      </c>
      <c r="E10" s="15">
        <f>SUM(J10:N10)</f>
        <v>207.10000000000002</v>
      </c>
      <c r="F10" s="3" t="str">
        <f>IF(OR(AND(AH10&gt;=AL$20,AI10&gt;=AL$24,AI10&lt;&gt;"",AG10=""),AND(BD10&gt;=BH$20,BE10&gt;=BH$24,BE10&lt;&gt;"",BC10=""),AND(BZ10&gt;=CD$20,CA10&gt;=CD$24,CA10&lt;&gt;"",BY10=""),AND(CW10&gt;=DA$20,CX10&gt;=DA$24,CX10&lt;&gt;""),AND(DR10&gt;=DV$20,DS10&gt;=DV$24,DS10&lt;&gt;""),AND(EM10&gt;=EQ$20,EN10&gt;=EQ$24,EN10&lt;&gt;""),AND(FH10&gt;=FL$20,FI10&gt;=FL$24,FI10&lt;&gt;""),AND(GC10&gt;=GG$20,GD10&gt;=GG$24,GD10&lt;&gt;""),AND(GX10&gt;=HB$20,GY10&gt;=HB$24,GY10&lt;&gt;""),AND(HS10&gt;=HW$20,HT10&gt;=HW$24,HT10&lt;&gt;""),AND(IN10&gt;=IR$20,IO10&gt;=IR$24,IO10&lt;&gt;""),AND(JI10&gt;=JM$20,JJ10&gt;=JM$24,JJ10&lt;&gt;""),AND(KD10&gt;=KH$20,KE10&gt;=KH$24,KE10&lt;&gt;""),AND(KY10&gt;=LC$20,KZ10&gt;=LC$24,KZ10&lt;&gt;""),AND(LT10&gt;=LX$20,LU10&gt;=LX$24,LU10&lt;&gt;"")),"P","")</f>
        <v/>
      </c>
      <c r="G10" s="3" t="str">
        <f>IF(OR(AND(AI10&gt;=AL$24,AI10&lt;&gt;"",AG10=""),AND(BE10&gt;=BH$24,BE10&lt;&gt;"",BC10=""),AND(CA10&gt;=CD$24,CA10&lt;&gt;"",BY10=""),AND(CX10&gt;=DA$24,CX10&lt;&gt;""),AND(DS10&gt;=DV$24,DS10&lt;&gt;""),AND(EN10&gt;=EQ$24,EN10&lt;&gt;""),AND(FI10&gt;=FL$24,FI10&lt;&gt;""),AND(GD10&gt;=GG$24,GD10&lt;&gt;""),AND(GY10&gt;=HB$24,GY10&lt;&gt;""),AND(HT10&gt;=HW$24,HT10&lt;&gt;""),AND(IO10&gt;=IR$24,IO10&lt;&gt;""),AND(JJ10&gt;=JM$24,JJ10&lt;&gt;""),AND(KE10&gt;=KH$24,KE10&lt;&gt;""),AND(KZ10&gt;=LC$24,KZ10&lt;&gt;""),AND(LU10&gt;=LX$24,LU10&lt;&gt;"")),"P","")</f>
        <v>P</v>
      </c>
      <c r="H10" s="126" t="str">
        <f>IF(AND(G10="P",F10=""),"No DD",IF(OR(AND(AH10&gt;=AL$23,AH10&lt;&gt;"",AI10&gt;=AL$27,AI10&lt;&gt;"",AG10=""),AND(BD10&gt;=BH$23,BD10&lt;&gt;"",BE10&gt;=BH$27,BE10&lt;&gt;"",BC10=""),AND(BZ10&gt;=CD$23,BZ10&lt;&gt;"",CA10&gt;=CD$27,CA10&lt;&gt;"",BY10=""),AND(CW10&gt;=DA$23,CW10&lt;&gt;"",CX10&gt;=DA$27,CX10&lt;&gt;""),AND(DR10&gt;=DV$23,DR10&lt;&gt;"",DS10&gt;=DV$27,DS10&lt;&gt;""),AND(EM10&gt;=EQ$23,EM10&lt;&gt;"",EN10&gt;=EQ$27,EN10&lt;&gt;""),AND(FH10&gt;=FL$23,FH10&lt;&gt;"",FI10&gt;=FL$27,FI10&lt;&gt;""),AND(GC10&gt;=GG$23,GC10&lt;&gt;"",GD10&gt;=GG$27,GD10&lt;&gt;""),AND(GX10&gt;=HB$23,GX10&lt;&gt;"",GY10&gt;=HB$27,GY10&lt;&gt;""),AND(HS10&gt;=HW$23,HS10&lt;&gt;"",HT10&gt;=HW$27,HT10&lt;&gt;""),AND(IN10&gt;=IR$23,IN10&lt;&gt;"",IO10&gt;=IR$27,IO10&lt;&gt;""),AND(JI10&gt;=JM$23,JI10&lt;&gt;"",JJ10&gt;=JM$27,JJ10&lt;&gt;""),AND(KD10&gt;=KH$23,KD10&lt;&gt;"",KE10&gt;=KH$27,KE10&lt;&gt;""),AND(KY10&gt;=LC$23,KY10&lt;&gt;"",KZ10&gt;=LC$27,KZ10&lt;&gt;""),AND(LT10&gt;=LX$23,LT10&lt;&gt;"",LU10&gt;=LX$27,LU10&lt;&gt;"")),"Merit",IF(OR(AND(AH10&gt;=AL$22,AH10&lt;&gt;"",AI10&gt;=AL$26,AI10&lt;&gt;"",AG10=""),AND(BD10&gt;=BH$22,BD10&lt;&gt;"",BE10&gt;=BH$26,BE10&lt;&gt;"",BC10=""),AND(BZ10&gt;=CD$22,BZ10&lt;&gt;"",CA10&gt;=CD$26,CA10&lt;&gt;"",BY10=""),AND(CW10&gt;=DA$22,CW10&lt;&gt;"",CX10&gt;=DA$26,CX10&lt;&gt;""),AND(DR10&gt;=DV$22,DR10&lt;&gt;"",DS10&gt;=DV$26,DS10&lt;&gt;""),AND(EM10&gt;=EQ$22,EM10&lt;&gt;"",EN10&gt;=EQ$26,EN10&lt;&gt;""),AND(FH10&gt;=FL$22,FH10&lt;&gt;"",FI10&gt;=FL$26,FI10&lt;&gt;""),AND(GC10&gt;=GG$22,GC10&lt;&gt;"",GD10&gt;=GG$26,GD10&lt;&gt;""),AND(GX10&gt;=HB$22,GX10&lt;&gt;"",GY10&gt;=HB$26,GY10&lt;&gt;""),AND(HS10&gt;=HW$22,HS10&lt;&gt;"",HT10&gt;=HW$26,HT10&lt;&gt;""),AND(IN10&gt;=IR$22,IN10&lt;&gt;"",IO10&gt;=IR$26,IO10&lt;&gt;""),AND(JI10&gt;=JM$22,JI10&lt;&gt;"",JJ10&gt;=JM$26,JJ10&lt;&gt;""),AND(KD10&gt;=KH$22,KD10&lt;&gt;"",KE10&gt;=KH$26,KE10&lt;&gt;""),AND(KY10&gt;=LC$22,KY10&lt;&gt;"",KZ10&gt;=LC$26,KZ10&lt;&gt;""),AND(LT10&gt;=LX$22,LT10&lt;&gt;"",LU10&gt;=LX$26,LU10&lt;&gt;"")),"Excellence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Worlds Team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National Team","")))))</f>
        <v>No DD</v>
      </c>
      <c r="I10" s="3" t="str">
        <f>IF(OR(H10="Worlds Team",H10="Excellence",H10="Merit"),"P","")</f>
        <v/>
      </c>
      <c r="J10" s="14">
        <f>MAX(AL10,BH10,CD10)</f>
        <v>138.4</v>
      </c>
      <c r="K10" s="14" t="str">
        <f>IF(J10=0,"",IF(J10=CD10,$BI$1,IF(J10=BH10,$AM$1,IF(J10=AL10,$Q$1,""))))</f>
        <v>2019 Nationals</v>
      </c>
      <c r="L10" s="14">
        <f>IF(J10=AL10,MAX(BE10,BG10,CA10,CC10),IF(J10=BH10,MAX(AI10,AK10,CA10,CC10),MAX(AI10,AK10,BE10,BG10)))</f>
        <v>68.7</v>
      </c>
      <c r="M10" s="14" t="str">
        <f>IF(L10=0,"",IF(AND(J10&lt;&gt;CD10,OR(L10=CA10,L10=CC10)),$BI$1,IF(AND(J10&lt;&gt;BH10,OR(L10=BG10,L10=BE10)),$AM$1,IF(OR(L10=AK10,L10=AI10),$Q$1,""))))</f>
        <v>2019 Elite Canada</v>
      </c>
      <c r="N10" s="14" t="str">
        <f>IF(MAX(CE10:CF10)&gt;0,MAX(CE10:CF10),"")</f>
        <v/>
      </c>
      <c r="O10" s="25" t="str">
        <f>IF(N10="","",IF(N10=CE10,"(4 Pass)",IF(N10=CF10,"(2 Pass)")))</f>
        <v/>
      </c>
      <c r="P10" s="14" t="str">
        <f>IF(N10="","",IF(N10=CE10,IF(N10+IF(J10="",0,J10)=DA10,$CG$1,IF(N10+IF(J10="",0,J10)=DV10,$DB$1,IF(N10+IF(J10="",0,J10)=EQ10,$DW$1,IF(N10+IF(J10="",0,J10)=FL10,$ER$1,IF(N10+IF(J10="",0,J10)=GG10,$FM$1,IF(N10+IF(J10="",0,J10)=HB10,$GH$1,IF(N10+IF(J10="",0,J10)=HW10,$HC$1,IF(N10+IF(J10="",0,J10)=IR10,$HX$1,IF(N10+IF(J10="",0,J10)=JM10,$IS$1,IF(N10+IF(J10="",0,J10)=KH10,$JN$1,IF(N10+IF(J10="",0,J10)=LC10,$KI$1,IF(N10+IF(J10="",0,J10)=LX10,$LD$1)))))))))))),IF(N10=CF10,IF(OR(N10+IF(L10="",0,L10)=CX10,N10+IF(L10="",0,L10)=CZ10),$CG$1,IF(OR(N10+IF(L10="",0,L10)=DS10,N10+IF(L10="",0,L10)=DU10),$DB$1,IF(OR(N10+IF(L10="",0,L10)=EN10,N10+IF(L10="",0,L10)=EP10),$DW$1,IF(OR(N10+IF(L10="",0,L10)=FI10,N10+IF(L10="",0,L10)=FK10),$ER$1,IF(OR(N10+IF(L10="",0,L10)=GD10,N10+IF(L10="",0,L10)=GF10),$FM$1,IF(OR(N10+IF(L10="",0,L10)=GY10,N10+IF(L10="",0,L10)=HA10),$GH$1,IF(OR(N10+IF(L10="",0,L10)=HT10,N10+IF(L10="",0,L10)=HV10),$HC$1,IF(OR(N10+IF(L10="",0,L10)=IO10,N10+IF(L10="",0,L10)=IQ10),$HX$1,IF(OR(N10+IF(L10="",0,L10)=JJ10,N10+IF(L10="",0,L10)=JL10),$IS$1,IF(OR(N10+IF(L10="",0,L10)=KE10,N10+IF(L10="",0,L10)=KG10),$JN$1,IF(OR(N10+IF(L10="",0,L10)=KZ10,N10+IF(L10="",0,L10)=LB10),$KI$1,IF(OR(N10+IF(L10="",0,L10)=LU10,N10+IF(L10="",0,L10)=LW10),$LD$1)))))))))))))))</f>
        <v/>
      </c>
      <c r="Q10" s="69">
        <v>27.7</v>
      </c>
      <c r="R10" s="69">
        <v>6.8</v>
      </c>
      <c r="S10" s="69">
        <v>0</v>
      </c>
      <c r="T10" s="69">
        <v>0</v>
      </c>
      <c r="U10" s="69">
        <v>27.8</v>
      </c>
      <c r="V10" s="69">
        <v>6.4</v>
      </c>
      <c r="W10" s="69">
        <v>0</v>
      </c>
      <c r="X10" s="69">
        <v>0</v>
      </c>
      <c r="Y10" s="69">
        <v>27</v>
      </c>
      <c r="Z10" s="69">
        <v>7.2</v>
      </c>
      <c r="AA10" s="69">
        <v>0.9</v>
      </c>
      <c r="AB10" s="69">
        <v>0</v>
      </c>
      <c r="AC10" s="69">
        <v>26.9</v>
      </c>
      <c r="AD10" s="69">
        <v>6.8</v>
      </c>
      <c r="AE10" s="69">
        <v>0</v>
      </c>
      <c r="AF10" s="69">
        <v>0</v>
      </c>
      <c r="AG10" s="80"/>
      <c r="AH10" s="11">
        <f>IF(SUM(R10,V10)&gt;0,SUM(R10,V10),"")</f>
        <v>13.2</v>
      </c>
      <c r="AI10" s="11">
        <f>IF(SUM(Q10:R10,T10:V10,X10)-SUM(S10,W10)&gt;0,SUM(Q10:R10,T10:V10,X10)-SUM(S10,W10),"")</f>
        <v>68.7</v>
      </c>
      <c r="AJ10" s="11">
        <f>IF(SUM(Z10,AD10)&gt;0,SUM(Z10,AD10),"")</f>
        <v>14</v>
      </c>
      <c r="AK10" s="11">
        <f>IF(SUM(Y10:Z10,AB10:AD10,AF10)-SUM(AA10,AE10)&gt;0,SUM(Y10:Z10,AB10:AD10,AF10)-SUM(AA10,AE10),"")</f>
        <v>67</v>
      </c>
      <c r="AL10" s="11">
        <f>IF(SUM(AI10,AK10)&gt;0,SUM(AI10,AK10),"")</f>
        <v>135.69999999999999</v>
      </c>
      <c r="AM10" s="38">
        <v>28</v>
      </c>
      <c r="AN10" s="38">
        <v>7.2</v>
      </c>
      <c r="AO10" s="38">
        <v>0.3</v>
      </c>
      <c r="AP10" s="38">
        <v>0</v>
      </c>
      <c r="AQ10" s="38">
        <v>28.1</v>
      </c>
      <c r="AR10" s="38">
        <v>7.2</v>
      </c>
      <c r="AS10" s="38">
        <v>0.3</v>
      </c>
      <c r="AT10" s="38">
        <v>0</v>
      </c>
      <c r="AU10" s="38">
        <v>28.2</v>
      </c>
      <c r="AV10" s="38">
        <v>7.6</v>
      </c>
      <c r="AW10" s="38">
        <v>1.2</v>
      </c>
      <c r="AX10" s="38">
        <v>0</v>
      </c>
      <c r="AY10" s="38">
        <v>27.4</v>
      </c>
      <c r="AZ10" s="38">
        <v>6.8</v>
      </c>
      <c r="BA10" s="38">
        <v>0.3</v>
      </c>
      <c r="BB10" s="38">
        <v>0</v>
      </c>
      <c r="BC10" s="81"/>
      <c r="BD10" s="14">
        <f>IF(SUM(AN10,AR10)&gt;0,SUM(AN10,AR10),"")</f>
        <v>14.4</v>
      </c>
      <c r="BE10" s="14">
        <f>IF(SUM(AM10:AN10,AP10:AR10,AT10)-SUM(AO10,AS10)&gt;0,SUM(AM10:AN10,AP10:AR10,AT10)-SUM(AO10,AS10),"")</f>
        <v>69.900000000000006</v>
      </c>
      <c r="BF10" s="14">
        <f>IF(SUM(AV10,AZ10)&gt;0,SUM(AV10,AZ10),"")</f>
        <v>14.399999999999999</v>
      </c>
      <c r="BG10" s="14">
        <f>IF(SUM(AU10:AV10,AX10:AZ10,BB10)-SUM(AW10,BA10)&gt;0,SUM(AU10:AV10,AX10:AZ10,BB10)-SUM(AW10,BA10),"")</f>
        <v>68.5</v>
      </c>
      <c r="BH10" s="14">
        <f>IF(SUM(BE10,BG10)&gt;0,SUM(BE10,BG10),"")</f>
        <v>138.4</v>
      </c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80"/>
      <c r="BZ10" s="11" t="str">
        <f>IF(SUM(BJ10,BN10)&gt;0,SUM(BJ10,BN10),"")</f>
        <v/>
      </c>
      <c r="CA10" s="11" t="str">
        <f>IF(SUM(BI10:BJ10,BL10:BN10,BP10)-SUM(BK10,BO10)&gt;0,SUM(BI10:BJ10,BL10:BN10,BP10)-SUM(BK10,BO10),"")</f>
        <v/>
      </c>
      <c r="CB10" s="11" t="str">
        <f>IF(SUM(BR10,BV10)&gt;0,SUM(BR10,BV10),"")</f>
        <v/>
      </c>
      <c r="CC10" s="11" t="str">
        <f>IF(SUM(BQ10:BR10,BT10:BV10,BX10)-SUM(BS10,BW10)&gt;0,SUM(BQ10:BR10,BT10:BV10,BX10)-SUM(BS10,BW10),"")</f>
        <v/>
      </c>
      <c r="CD10" s="11" t="str">
        <f>IF(SUM(CA10,CC10)&gt;0,SUM(CA10,CC10),"")</f>
        <v/>
      </c>
      <c r="CE10" s="24" t="str">
        <f>IF(MAX(DA10,DV10,EQ10,FL10,GG10,HB10,HW10,IR10,JM10,KH10,LC10,LX10)-IF(J10="",0,J10)&gt;0.001,MAX(DA10,DV10,EQ10,FL10,GG10,HB10,HW10,IR10,JM10,KH10,LC10,LX10)-IF(J10="",0,J10),"")</f>
        <v/>
      </c>
      <c r="CF10" s="24" t="str">
        <f>IF(MAX(CX10,CZ10,DS10,DU10,EN10,EP10,FI10,FK10,GD10,GF10,GY10,HA10,HT10,HV10,IO10,IQ10,JJ10,JL10,KE10,KG10,KZ10,LB10,LU10,LW10)-IF(L10="",0,L10)&gt;0.001,MAX(CX10,CZ10,DS10,DU10,EN10,EP10,FI10,FK10,GD10,GF10,GY10,HA10,HT10,HV10,IO10,IQ10,JJ10,JL10,KE10,KG10,KZ10,LB10,LU10,LW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>
        <v>27.8</v>
      </c>
      <c r="DC10" s="43">
        <v>7.2</v>
      </c>
      <c r="DD10" s="43">
        <v>0.9</v>
      </c>
      <c r="DE10" s="43">
        <v>0</v>
      </c>
      <c r="DF10" s="43">
        <v>26.8</v>
      </c>
      <c r="DG10" s="43">
        <v>6.8</v>
      </c>
      <c r="DH10" s="43">
        <v>0.9</v>
      </c>
      <c r="DI10" s="43">
        <v>0</v>
      </c>
      <c r="DJ10" s="43"/>
      <c r="DK10" s="43"/>
      <c r="DL10" s="43"/>
      <c r="DM10" s="43"/>
      <c r="DN10" s="43"/>
      <c r="DO10" s="43"/>
      <c r="DP10" s="43"/>
      <c r="DQ10" s="43"/>
      <c r="DR10" s="14">
        <f>IF(SUM(DC10,DG10)&gt;0,SUM(DC10,DG10),"")</f>
        <v>14</v>
      </c>
      <c r="DS10" s="14">
        <f>IF(SUM(DB10:DC10,DE10:DG10,DI10)-SUM(DD10,DH10)&gt;0,SUM(DB10:DC10,DE10:DG10,DI10)-SUM(DD10,DH10),"")</f>
        <v>66.8</v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>
        <f>IF(SUM(DS10,DU10)&gt;0,SUM(DS10,DU10),"")</f>
        <v>66.8</v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14</v>
      </c>
      <c r="LZ10" s="69">
        <f>IF($BY10="P",BJ10,(BJ10+AN10)/2)</f>
        <v>3.6</v>
      </c>
      <c r="MA10" s="69">
        <f>IF($BY10="P",BK10,(BK10+AO10)/2)</f>
        <v>0.15</v>
      </c>
      <c r="MB10" s="69">
        <f>IF($BY10="P",BL10,(BL10+AP10)/2)</f>
        <v>0</v>
      </c>
      <c r="MC10" s="69">
        <f>IF($BY10="P",BM10,(BM10+AQ10)/2)</f>
        <v>14.05</v>
      </c>
      <c r="MD10" s="69">
        <f>IF($BY10="P",BN10,(BN10+AR10)/2)</f>
        <v>3.6</v>
      </c>
      <c r="ME10" s="69">
        <f>IF($BY10="P",BO10,(BO10+AS10)/2)</f>
        <v>0.15</v>
      </c>
      <c r="MF10" s="69">
        <f>IF($BY10="P",BP10,(BP10+AT10)/2)</f>
        <v>0</v>
      </c>
      <c r="MG10" s="69">
        <f>IF($BY10="P",BQ10,(BQ10+AU10)/2)</f>
        <v>14.1</v>
      </c>
      <c r="MH10" s="69">
        <f>IF($BY10="P",BR10,(BR10+AV10)/2)</f>
        <v>3.8</v>
      </c>
      <c r="MI10" s="69">
        <f>IF($BY10="P",BS10,(BS10+AW10)/2)</f>
        <v>0.6</v>
      </c>
      <c r="MJ10" s="69">
        <f>IF($BY10="P",BT10,(BT10+AX10)/2)</f>
        <v>0</v>
      </c>
      <c r="MK10" s="69">
        <f>IF($BY10="P",BU10,(BU10+AY10)/2)</f>
        <v>13.7</v>
      </c>
      <c r="ML10" s="69">
        <f>IF($BY10="P",BV10,(BV10+AZ10)/2)</f>
        <v>3.4</v>
      </c>
      <c r="MM10" s="69">
        <f>IF($BY10="P",BW10,(BW10+BA10)/2)</f>
        <v>0.15</v>
      </c>
      <c r="MN10" s="69">
        <f>IF($BY10="P",BX10,(BX10+BB10)/2)</f>
        <v>0</v>
      </c>
      <c r="MO10" s="80" t="s">
        <v>91</v>
      </c>
      <c r="MP10" s="11">
        <f>IF(SUM(LZ10,MD10)&gt;0,SUM(LZ10,MD10),"")</f>
        <v>7.2</v>
      </c>
      <c r="MQ10" s="11">
        <f>IF(SUM(LY10:LZ10,MB10:MD10,MF10)-SUM(MA10,ME10)&gt;0,SUM(LY10:LZ10,MB10:MD10,MF10)-SUM(MA10,ME10),"")</f>
        <v>34.950000000000003</v>
      </c>
      <c r="MR10" s="11">
        <f>IF(SUM(MH10,ML10)&gt;0,SUM(MH10,ML10),"")</f>
        <v>7.1999999999999993</v>
      </c>
      <c r="MS10" s="11">
        <f>IF(SUM(MG10:MH10,MJ10:ML10,MN10)-SUM(MI10,MM10)&gt;0,SUM(MG10:MH10,MJ10:ML10,MN10)-SUM(MI10,MM10),"")</f>
        <v>34.25</v>
      </c>
      <c r="MT10" s="11">
        <f>IF(SUM(MQ10,MS10)&gt;0,SUM(MQ10,MS10),"")</f>
        <v>69.2</v>
      </c>
    </row>
    <row r="11" spans="1:358" x14ac:dyDescent="0.2">
      <c r="A11" s="5">
        <f>IF(AND(F11="P",G11="P"),SUMPRODUCT((F$4:F$18="P")*(G$4:G$18="P")*(E$4:E$18&gt;E11))+1,IF(G11="P",SUMPRODUCT((F$4:F$18="")*(G$4:G$18="P")*(E$4:E$18&gt;E11))+1+SUMPRODUCT((F$4:F$18="P")*(G$4:G$18="P")),""))</f>
        <v>8</v>
      </c>
      <c r="B11" s="8" t="s">
        <v>51</v>
      </c>
      <c r="C11" s="4" t="s">
        <v>10</v>
      </c>
      <c r="D11" s="5">
        <v>1998</v>
      </c>
      <c r="E11" s="15">
        <f>SUM(J11:N11)</f>
        <v>206.7</v>
      </c>
      <c r="F11" s="3" t="str">
        <f>IF(OR(AND(AH11&gt;=AL$20,AI11&gt;=AL$24,AI11&lt;&gt;"",AG11=""),AND(BD11&gt;=BH$20,BE11&gt;=BH$24,BE11&lt;&gt;"",BC11=""),AND(BZ11&gt;=CD$20,CA11&gt;=CD$24,CA11&lt;&gt;"",BY11=""),AND(CW11&gt;=DA$20,CX11&gt;=DA$24,CX11&lt;&gt;""),AND(DR11&gt;=DV$20,DS11&gt;=DV$24,DS11&lt;&gt;""),AND(EM11&gt;=EQ$20,EN11&gt;=EQ$24,EN11&lt;&gt;""),AND(FH11&gt;=FL$20,FI11&gt;=FL$24,FI11&lt;&gt;""),AND(GC11&gt;=GG$20,GD11&gt;=GG$24,GD11&lt;&gt;""),AND(GX11&gt;=HB$20,GY11&gt;=HB$24,GY11&lt;&gt;""),AND(HS11&gt;=HW$20,HT11&gt;=HW$24,HT11&lt;&gt;""),AND(IN11&gt;=IR$20,IO11&gt;=IR$24,IO11&lt;&gt;""),AND(JI11&gt;=JM$20,JJ11&gt;=JM$24,JJ11&lt;&gt;""),AND(KD11&gt;=KH$20,KE11&gt;=KH$24,KE11&lt;&gt;""),AND(KY11&gt;=LC$20,KZ11&gt;=LC$24,KZ11&lt;&gt;""),AND(LT11&gt;=LX$20,LU11&gt;=LX$24,LU11&lt;&gt;"")),"P","")</f>
        <v/>
      </c>
      <c r="G11" s="3" t="str">
        <f>IF(OR(AND(AI11&gt;=AL$24,AI11&lt;&gt;"",AG11=""),AND(BE11&gt;=BH$24,BE11&lt;&gt;"",BC11=""),AND(CA11&gt;=CD$24,CA11&lt;&gt;"",BY11=""),AND(CX11&gt;=DA$24,CX11&lt;&gt;""),AND(DS11&gt;=DV$24,DS11&lt;&gt;""),AND(EN11&gt;=EQ$24,EN11&lt;&gt;""),AND(FI11&gt;=FL$24,FI11&lt;&gt;""),AND(GD11&gt;=GG$24,GD11&lt;&gt;""),AND(GY11&gt;=HB$24,GY11&lt;&gt;""),AND(HT11&gt;=HW$24,HT11&lt;&gt;""),AND(IO11&gt;=IR$24,IO11&lt;&gt;""),AND(JJ11&gt;=JM$24,JJ11&lt;&gt;""),AND(KE11&gt;=KH$24,KE11&lt;&gt;""),AND(KZ11&gt;=LC$24,KZ11&lt;&gt;""),AND(LU11&gt;=LX$24,LU11&lt;&gt;"")),"P","")</f>
        <v>P</v>
      </c>
      <c r="H11" s="126" t="str">
        <f>IF(AND(G11="P",F11=""),"No DD",IF(OR(AND(AH11&gt;=AL$23,AH11&lt;&gt;"",AI11&gt;=AL$27,AI11&lt;&gt;"",AG11=""),AND(BD11&gt;=BH$23,BD11&lt;&gt;"",BE11&gt;=BH$27,BE11&lt;&gt;"",BC11=""),AND(BZ11&gt;=CD$23,BZ11&lt;&gt;"",CA11&gt;=CD$27,CA11&lt;&gt;"",BY11=""),AND(CW11&gt;=DA$23,CW11&lt;&gt;"",CX11&gt;=DA$27,CX11&lt;&gt;""),AND(DR11&gt;=DV$23,DR11&lt;&gt;"",DS11&gt;=DV$27,DS11&lt;&gt;""),AND(EM11&gt;=EQ$23,EM11&lt;&gt;"",EN11&gt;=EQ$27,EN11&lt;&gt;""),AND(FH11&gt;=FL$23,FH11&lt;&gt;"",FI11&gt;=FL$27,FI11&lt;&gt;""),AND(GC11&gt;=GG$23,GC11&lt;&gt;"",GD11&gt;=GG$27,GD11&lt;&gt;""),AND(GX11&gt;=HB$23,GX11&lt;&gt;"",GY11&gt;=HB$27,GY11&lt;&gt;""),AND(HS11&gt;=HW$23,HS11&lt;&gt;"",HT11&gt;=HW$27,HT11&lt;&gt;""),AND(IN11&gt;=IR$23,IN11&lt;&gt;"",IO11&gt;=IR$27,IO11&lt;&gt;""),AND(JI11&gt;=JM$23,JI11&lt;&gt;"",JJ11&gt;=JM$27,JJ11&lt;&gt;""),AND(KD11&gt;=KH$23,KD11&lt;&gt;"",KE11&gt;=KH$27,KE11&lt;&gt;""),AND(KY11&gt;=LC$23,KY11&lt;&gt;"",KZ11&gt;=LC$27,KZ11&lt;&gt;""),AND(LT11&gt;=LX$23,LT11&lt;&gt;"",LU11&gt;=LX$27,LU11&lt;&gt;"")),"Merit",IF(OR(AND(AH11&gt;=AL$22,AH11&lt;&gt;"",AI11&gt;=AL$26,AI11&lt;&gt;"",AG11=""),AND(BD11&gt;=BH$22,BD11&lt;&gt;"",BE11&gt;=BH$26,BE11&lt;&gt;"",BC11=""),AND(BZ11&gt;=CD$22,BZ11&lt;&gt;"",CA11&gt;=CD$26,CA11&lt;&gt;"",BY11=""),AND(CW11&gt;=DA$22,CW11&lt;&gt;"",CX11&gt;=DA$26,CX11&lt;&gt;""),AND(DR11&gt;=DV$22,DR11&lt;&gt;"",DS11&gt;=DV$26,DS11&lt;&gt;""),AND(EM11&gt;=EQ$22,EM11&lt;&gt;"",EN11&gt;=EQ$26,EN11&lt;&gt;""),AND(FH11&gt;=FL$22,FH11&lt;&gt;"",FI11&gt;=FL$26,FI11&lt;&gt;""),AND(GC11&gt;=GG$22,GC11&lt;&gt;"",GD11&gt;=GG$26,GD11&lt;&gt;""),AND(GX11&gt;=HB$22,GX11&lt;&gt;"",GY11&gt;=HB$26,GY11&lt;&gt;""),AND(HS11&gt;=HW$22,HS11&lt;&gt;"",HT11&gt;=HW$26,HT11&lt;&gt;""),AND(IN11&gt;=IR$22,IN11&lt;&gt;"",IO11&gt;=IR$26,IO11&lt;&gt;""),AND(JI11&gt;=JM$22,JI11&lt;&gt;"",JJ11&gt;=JM$26,JJ11&lt;&gt;""),AND(KD11&gt;=KH$22,KD11&lt;&gt;"",KE11&gt;=KH$26,KE11&lt;&gt;""),AND(KY11&gt;=LC$22,KY11&lt;&gt;"",KZ11&gt;=LC$26,KZ11&lt;&gt;""),AND(LT11&gt;=LX$22,LT11&lt;&gt;"",LU11&gt;=LX$26,LU11&lt;&gt;"")),"Excellence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Worlds Team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National Team","")))))</f>
        <v>No DD</v>
      </c>
      <c r="I11" s="3" t="str">
        <f>IF(OR(H11="Worlds Team",H11="Excellence",H11="Merit"),"P","")</f>
        <v/>
      </c>
      <c r="J11" s="14">
        <f>MAX(AL11,BH11,CD11)</f>
        <v>136.80000000000001</v>
      </c>
      <c r="K11" s="14" t="str">
        <f>IF(J11=0,"",IF(J11=CD11,$BI$1,IF(J11=BH11,$AM$1,IF(J11=AL11,$Q$1,""))))</f>
        <v>2019 Elite Canada</v>
      </c>
      <c r="L11" s="14">
        <f>IF(J11=AL11,MAX(BE11,BG11,CA11,CC11),IF(J11=BH11,MAX(AI11,AK11,CA11,CC11),MAX(AI11,AK11,BE11,BG11)))</f>
        <v>69.899999999999991</v>
      </c>
      <c r="M11" s="14" t="str">
        <f>IF(L11=0,"",IF(AND(J11&lt;&gt;CD11,OR(L11=CA11,L11=CC11)),$BI$1,IF(AND(J11&lt;&gt;BH11,OR(L11=BG11,L11=BE11)),$AM$1,IF(OR(L11=AK11,L11=AI11),$Q$1,""))))</f>
        <v>2021 1st Virtual Technical Trial</v>
      </c>
      <c r="N11" s="14" t="str">
        <f>IF(MAX(CE11:CF11)&gt;0,MAX(CE11:CF11),"")</f>
        <v/>
      </c>
      <c r="O11" s="25" t="str">
        <f>IF(N11="","",IF(N11=CE11,"(4 Pass)",IF(N11=CF11,"(2 Pass)")))</f>
        <v/>
      </c>
      <c r="P11" s="14" t="str">
        <f>IF(N11="","",IF(N11=CE11,IF(N11+IF(J11="",0,J11)=DA11,$CG$1,IF(N11+IF(J11="",0,J11)=DV11,$DB$1,IF(N11+IF(J11="",0,J11)=EQ11,$DW$1,IF(N11+IF(J11="",0,J11)=FL11,$ER$1,IF(N11+IF(J11="",0,J11)=GG11,$FM$1,IF(N11+IF(J11="",0,J11)=HB11,$GH$1,IF(N11+IF(J11="",0,J11)=HW11,$HC$1,IF(N11+IF(J11="",0,J11)=IR11,$HX$1,IF(N11+IF(J11="",0,J11)=JM11,$IS$1,IF(N11+IF(J11="",0,J11)=KH11,$JN$1,IF(N11+IF(J11="",0,J11)=LC11,$KI$1,IF(N11+IF(J11="",0,J11)=LX11,$LD$1)))))))))))),IF(N11=CF11,IF(OR(N11+IF(L11="",0,L11)=CX11,N11+IF(L11="",0,L11)=CZ11),$CG$1,IF(OR(N11+IF(L11="",0,L11)=DS11,N11+IF(L11="",0,L11)=DU11),$DB$1,IF(OR(N11+IF(L11="",0,L11)=EN11,N11+IF(L11="",0,L11)=EP11),$DW$1,IF(OR(N11+IF(L11="",0,L11)=FI11,N11+IF(L11="",0,L11)=FK11),$ER$1,IF(OR(N11+IF(L11="",0,L11)=GD11,N11+IF(L11="",0,L11)=GF11),$FM$1,IF(OR(N11+IF(L11="",0,L11)=GY11,N11+IF(L11="",0,L11)=HA11),$GH$1,IF(OR(N11+IF(L11="",0,L11)=HT11,N11+IF(L11="",0,L11)=HV11),$HC$1,IF(OR(N11+IF(L11="",0,L11)=IO11,N11+IF(L11="",0,L11)=IQ11),$HX$1,IF(OR(N11+IF(L11="",0,L11)=JJ11,N11+IF(L11="",0,L11)=JL11),$IS$1,IF(OR(N11+IF(L11="",0,L11)=KE11,N11+IF(L11="",0,L11)=KG11),$JN$1,IF(OR(N11+IF(L11="",0,L11)=KZ11,N11+IF(L11="",0,L11)=LB11),$KI$1,IF(OR(N11+IF(L11="",0,L11)=LU11,N11+IF(L11="",0,L11)=LW11),$LD$1)))))))))))))))</f>
        <v/>
      </c>
      <c r="Q11" s="69">
        <v>28.7</v>
      </c>
      <c r="R11" s="69">
        <v>6.8</v>
      </c>
      <c r="S11" s="69">
        <v>0.3</v>
      </c>
      <c r="T11" s="69">
        <v>0</v>
      </c>
      <c r="U11" s="69">
        <v>28.3</v>
      </c>
      <c r="V11" s="69">
        <v>6.4</v>
      </c>
      <c r="W11" s="69">
        <v>0</v>
      </c>
      <c r="X11" s="69">
        <v>0</v>
      </c>
      <c r="Y11" s="69">
        <v>27.6</v>
      </c>
      <c r="Z11" s="69">
        <v>7</v>
      </c>
      <c r="AA11" s="69">
        <v>0.9</v>
      </c>
      <c r="AB11" s="69">
        <v>0</v>
      </c>
      <c r="AC11" s="69">
        <v>27.7</v>
      </c>
      <c r="AD11" s="69">
        <v>6.4</v>
      </c>
      <c r="AE11" s="69">
        <v>0.9</v>
      </c>
      <c r="AF11" s="69">
        <v>0</v>
      </c>
      <c r="AG11" s="80"/>
      <c r="AH11" s="11">
        <f>IF(SUM(R11,V11)&gt;0,SUM(R11,V11),"")</f>
        <v>13.2</v>
      </c>
      <c r="AI11" s="11">
        <f>IF(SUM(Q11:R11,T11:V11,X11)-SUM(S11,W11)&gt;0,SUM(Q11:R11,T11:V11,X11)-SUM(S11,W11),"")</f>
        <v>69.900000000000006</v>
      </c>
      <c r="AJ11" s="11">
        <f>IF(SUM(Z11,AD11)&gt;0,SUM(Z11,AD11),"")</f>
        <v>13.4</v>
      </c>
      <c r="AK11" s="11">
        <f>IF(SUM(Y11:Z11,AB11:AD11,AF11)-SUM(AA11,AE11)&gt;0,SUM(Y11:Z11,AB11:AD11,AF11)-SUM(AA11,AE11),"")</f>
        <v>66.900000000000006</v>
      </c>
      <c r="AL11" s="11">
        <f>IF(SUM(AI11,AK11)&gt;0,SUM(AI11,AK11),"")</f>
        <v>136.80000000000001</v>
      </c>
      <c r="AM11" s="38">
        <v>27.5</v>
      </c>
      <c r="AN11" s="38">
        <v>3.7</v>
      </c>
      <c r="AO11" s="38">
        <v>2.6</v>
      </c>
      <c r="AP11" s="38">
        <v>0</v>
      </c>
      <c r="AQ11" s="38">
        <v>20.2</v>
      </c>
      <c r="AR11" s="38">
        <v>2.8</v>
      </c>
      <c r="AS11" s="38">
        <v>0</v>
      </c>
      <c r="AT11" s="38">
        <v>0</v>
      </c>
      <c r="AU11" s="38"/>
      <c r="AV11" s="38"/>
      <c r="AW11" s="38"/>
      <c r="AX11" s="38"/>
      <c r="AY11" s="38"/>
      <c r="AZ11" s="38"/>
      <c r="BA11" s="38"/>
      <c r="BB11" s="38"/>
      <c r="BC11" s="81"/>
      <c r="BD11" s="14">
        <f>IF(SUM(AN11,AR11)&gt;0,SUM(AN11,AR11),"")</f>
        <v>6.5</v>
      </c>
      <c r="BE11" s="14">
        <f>IF(SUM(AM11:AN11,AP11:AR11,AT11)-SUM(AO11,AS11)&gt;0,SUM(AM11:AN11,AP11:AR11,AT11)-SUM(AO11,AS11),"")</f>
        <v>51.599999999999994</v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>
        <f>IF(SUM(BE11,BG11)&gt;0,SUM(BE11,BG11),"")</f>
        <v>51.599999999999994</v>
      </c>
      <c r="BI11" s="69">
        <v>27.4</v>
      </c>
      <c r="BJ11" s="69">
        <v>7.6</v>
      </c>
      <c r="BK11" s="69">
        <v>0.9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27.4</v>
      </c>
      <c r="BR11" s="69">
        <v>6.4</v>
      </c>
      <c r="BS11" s="69">
        <v>0</v>
      </c>
      <c r="BT11" s="69">
        <v>0</v>
      </c>
      <c r="BU11" s="69">
        <v>28.9</v>
      </c>
      <c r="BV11" s="69">
        <v>7.2</v>
      </c>
      <c r="BW11" s="69">
        <v>0</v>
      </c>
      <c r="BX11" s="69">
        <v>0</v>
      </c>
      <c r="BY11" s="80"/>
      <c r="BZ11" s="11">
        <f>IF(SUM(BJ11,BN11)&gt;0,SUM(BJ11,BN11),"")</f>
        <v>7.6</v>
      </c>
      <c r="CA11" s="11">
        <f>IF(SUM(BI11:BJ11,BL11:BN11,BP11)-SUM(BK11,BO11)&gt;0,SUM(BI11:BJ11,BL11:BN11,BP11)-SUM(BK11,BO11),"")</f>
        <v>34.1</v>
      </c>
      <c r="CB11" s="11">
        <f>IF(SUM(BR11,BV11)&gt;0,SUM(BR11,BV11),"")</f>
        <v>13.600000000000001</v>
      </c>
      <c r="CC11" s="11">
        <f>IF(SUM(BQ11:BR11,BT11:BV11,BX11)-SUM(BS11,BW11)&gt;0,SUM(BQ11:BR11,BT11:BV11,BX11)-SUM(BS11,BW11),"")</f>
        <v>69.899999999999991</v>
      </c>
      <c r="CD11" s="11">
        <f>IF(SUM(CA11,CC11)&gt;0,SUM(CA11,CC11),"")</f>
        <v>104</v>
      </c>
      <c r="CE11" s="24" t="str">
        <f>IF(MAX(DA11,DV11,EQ11,FL11,GG11,HB11,HW11,IR11,JM11,KH11,LC11,LX11)-IF(J11="",0,J11)&gt;0.001,MAX(DA11,DV11,EQ11,FL11,GG11,HB11,HW11,IR11,JM11,KH11,LC11,LX11)-IF(J11="",0,J11),"")</f>
        <v/>
      </c>
      <c r="CF11" s="24" t="str">
        <f>IF(MAX(CX11,CZ11,DS11,DU11,EN11,EP11,FI11,FK11,GD11,GF11,GY11,HA11,HT11,HV11,IO11,IQ11,JJ11,JL11,KE11,KG11,KZ11,LB11,LU11,LW11)-IF(L11="",0,L11)&gt;0.001,MAX(CX11,CZ11,DS11,DU11,EN11,EP11,FI11,FK11,GD11,GF11,GY11,HA11,HT11,HV11,IO11,IQ11,JJ11,JL11,KE11,KG11,KZ11,LB11,LU11,LW11)-IF(L11="",0,L11),"")</f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27.45</v>
      </c>
      <c r="LZ11" s="69">
        <f>IF($BY11="P",BJ11,(BJ11+AN11)/2)</f>
        <v>5.65</v>
      </c>
      <c r="MA11" s="69">
        <f>IF($BY11="P",BK11,(BK11+AO11)/2)</f>
        <v>1.75</v>
      </c>
      <c r="MB11" s="69">
        <f>IF($BY11="P",BL11,(BL11+AP11)/2)</f>
        <v>0</v>
      </c>
      <c r="MC11" s="69">
        <f>IF($BY11="P",BM11,(BM11+AQ11)/2)</f>
        <v>10.1</v>
      </c>
      <c r="MD11" s="69">
        <f>IF($BY11="P",BN11,(BN11+AR11)/2)</f>
        <v>1.4</v>
      </c>
      <c r="ME11" s="69">
        <f>IF($BY11="P",BO11,(BO11+AS11)/2)</f>
        <v>0</v>
      </c>
      <c r="MF11" s="69">
        <f>IF($BY11="P",BP11,(BP11+AT11)/2)</f>
        <v>0</v>
      </c>
      <c r="MG11" s="69">
        <f>IF($BY11="P",BQ11,(BQ11+AU11)/2)</f>
        <v>13.7</v>
      </c>
      <c r="MH11" s="69">
        <f>IF($BY11="P",BR11,(BR11+AV11)/2)</f>
        <v>3.2</v>
      </c>
      <c r="MI11" s="69">
        <f>IF($BY11="P",BS11,(BS11+AW11)/2)</f>
        <v>0</v>
      </c>
      <c r="MJ11" s="69">
        <f>IF($BY11="P",BT11,(BT11+AX11)/2)</f>
        <v>0</v>
      </c>
      <c r="MK11" s="69">
        <f>IF($BY11="P",BU11,(BU11+AY11)/2)</f>
        <v>14.45</v>
      </c>
      <c r="ML11" s="69">
        <f>IF($BY11="P",BV11,(BV11+AZ11)/2)</f>
        <v>3.6</v>
      </c>
      <c r="MM11" s="69">
        <f>IF($BY11="P",BW11,(BW11+BA11)/2)</f>
        <v>0</v>
      </c>
      <c r="MN11" s="69">
        <f>IF($BY11="P",BX11,(BX11+BB11)/2)</f>
        <v>0</v>
      </c>
      <c r="MO11" s="80" t="s">
        <v>91</v>
      </c>
      <c r="MP11" s="11">
        <f>IF(SUM(LZ11,MD11)&gt;0,SUM(LZ11,MD11),"")</f>
        <v>7.0500000000000007</v>
      </c>
      <c r="MQ11" s="11">
        <f>IF(SUM(LY11:LZ11,MB11:MD11,MF11)-SUM(MA11,ME11)&gt;0,SUM(LY11:LZ11,MB11:MD11,MF11)-SUM(MA11,ME11),"")</f>
        <v>42.85</v>
      </c>
      <c r="MR11" s="11">
        <f>IF(SUM(MH11,ML11)&gt;0,SUM(MH11,ML11),"")</f>
        <v>6.8000000000000007</v>
      </c>
      <c r="MS11" s="11">
        <f>IF(SUM(MG11:MH11,MJ11:ML11,MN11)-SUM(MI11,MM11)&gt;0,SUM(MG11:MH11,MJ11:ML11,MN11)-SUM(MI11,MM11),"")</f>
        <v>34.949999999999996</v>
      </c>
      <c r="MT11" s="11">
        <f>IF(SUM(MQ11,MS11)&gt;0,SUM(MQ11,MS11),"")</f>
        <v>77.8</v>
      </c>
    </row>
    <row r="12" spans="1:358" x14ac:dyDescent="0.2">
      <c r="A12" s="5" t="str">
        <f>IF(AND(F12="P",G12="P"),SUMPRODUCT((F$4:F$18="P")*(G$4:G$18="P")*(E$4:E$18&gt;E12))+1,IF(G12="P",SUMPRODUCT((F$4:F$18="")*(G$4:G$18="P")*(E$4:E$18&gt;E12))+1+SUMPRODUCT((F$4:F$18="P")*(G$4:G$18="P")),""))</f>
        <v/>
      </c>
      <c r="B12" s="8" t="s">
        <v>207</v>
      </c>
      <c r="C12" s="4" t="s">
        <v>5</v>
      </c>
      <c r="D12" s="5">
        <v>2003</v>
      </c>
      <c r="E12" s="15">
        <f>SUM(J12:N12)</f>
        <v>204.1</v>
      </c>
      <c r="F12" s="3" t="str">
        <f>IF(OR(AND(AH12&gt;=AL$20,AI12&gt;=AL$24,AI12&lt;&gt;"",AG12=""),AND(BD12&gt;=BH$20,BE12&gt;=BH$24,BE12&lt;&gt;"",BC12=""),AND(BZ12&gt;=CD$20,CA12&gt;=CD$24,CA12&lt;&gt;"",BY12=""),AND(CW12&gt;=DA$20,CX12&gt;=DA$24,CX12&lt;&gt;""),AND(DR12&gt;=DV$20,DS12&gt;=DV$24,DS12&lt;&gt;""),AND(EM12&gt;=EQ$20,EN12&gt;=EQ$24,EN12&lt;&gt;""),AND(FH12&gt;=FL$20,FI12&gt;=FL$24,FI12&lt;&gt;""),AND(GC12&gt;=GG$20,GD12&gt;=GG$24,GD12&lt;&gt;""),AND(GX12&gt;=HB$20,GY12&gt;=HB$24,GY12&lt;&gt;""),AND(HS12&gt;=HW$20,HT12&gt;=HW$24,HT12&lt;&gt;""),AND(IN12&gt;=IR$20,IO12&gt;=IR$24,IO12&lt;&gt;""),AND(JI12&gt;=JM$20,JJ12&gt;=JM$24,JJ12&lt;&gt;""),AND(KD12&gt;=KH$20,KE12&gt;=KH$24,KE12&lt;&gt;""),AND(KY12&gt;=LC$20,KZ12&gt;=LC$24,KZ12&lt;&gt;""),AND(LT12&gt;=LX$20,LU12&gt;=LX$24,LU12&lt;&gt;"")),"P","")</f>
        <v/>
      </c>
      <c r="G12" s="3" t="str">
        <f>IF(OR(AND(AI12&gt;=AL$24,AI12&lt;&gt;"",AG12=""),AND(BE12&gt;=BH$24,BE12&lt;&gt;"",BC12=""),AND(CA12&gt;=CD$24,CA12&lt;&gt;"",BY12=""),AND(CX12&gt;=DA$24,CX12&lt;&gt;""),AND(DS12&gt;=DV$24,DS12&lt;&gt;""),AND(EN12&gt;=EQ$24,EN12&lt;&gt;""),AND(FI12&gt;=FL$24,FI12&lt;&gt;""),AND(GD12&gt;=GG$24,GD12&lt;&gt;""),AND(GY12&gt;=HB$24,GY12&lt;&gt;""),AND(HT12&gt;=HW$24,HT12&lt;&gt;""),AND(IO12&gt;=IR$24,IO12&lt;&gt;""),AND(JJ12&gt;=JM$24,JJ12&lt;&gt;""),AND(KE12&gt;=KH$24,KE12&lt;&gt;""),AND(KZ12&gt;=LC$24,KZ12&lt;&gt;""),AND(LU12&gt;=LX$24,LU12&lt;&gt;"")),"P","")</f>
        <v/>
      </c>
      <c r="H12" s="126" t="str">
        <f>IF(AND(G12="P",F12=""),"No DD",IF(OR(AND(AH12&gt;=AL$23,AH12&lt;&gt;"",AI12&gt;=AL$27,AI12&lt;&gt;"",AG12=""),AND(BD12&gt;=BH$23,BD12&lt;&gt;"",BE12&gt;=BH$27,BE12&lt;&gt;"",BC12=""),AND(BZ12&gt;=CD$23,BZ12&lt;&gt;"",CA12&gt;=CD$27,CA12&lt;&gt;"",BY12=""),AND(CW12&gt;=DA$23,CW12&lt;&gt;"",CX12&gt;=DA$27,CX12&lt;&gt;""),AND(DR12&gt;=DV$23,DR12&lt;&gt;"",DS12&gt;=DV$27,DS12&lt;&gt;""),AND(EM12&gt;=EQ$23,EM12&lt;&gt;"",EN12&gt;=EQ$27,EN12&lt;&gt;""),AND(FH12&gt;=FL$23,FH12&lt;&gt;"",FI12&gt;=FL$27,FI12&lt;&gt;""),AND(GC12&gt;=GG$23,GC12&lt;&gt;"",GD12&gt;=GG$27,GD12&lt;&gt;""),AND(GX12&gt;=HB$23,GX12&lt;&gt;"",GY12&gt;=HB$27,GY12&lt;&gt;""),AND(HS12&gt;=HW$23,HS12&lt;&gt;"",HT12&gt;=HW$27,HT12&lt;&gt;""),AND(IN12&gt;=IR$23,IN12&lt;&gt;"",IO12&gt;=IR$27,IO12&lt;&gt;""),AND(JI12&gt;=JM$23,JI12&lt;&gt;"",JJ12&gt;=JM$27,JJ12&lt;&gt;""),AND(KD12&gt;=KH$23,KD12&lt;&gt;"",KE12&gt;=KH$27,KE12&lt;&gt;""),AND(KY12&gt;=LC$23,KY12&lt;&gt;"",KZ12&gt;=LC$27,KZ12&lt;&gt;""),AND(LT12&gt;=LX$23,LT12&lt;&gt;"",LU12&gt;=LX$27,LU12&lt;&gt;"")),"Merit",IF(OR(AND(AH12&gt;=AL$22,AH12&lt;&gt;"",AI12&gt;=AL$26,AI12&lt;&gt;"",AG12=""),AND(BD12&gt;=BH$22,BD12&lt;&gt;"",BE12&gt;=BH$26,BE12&lt;&gt;"",BC12=""),AND(BZ12&gt;=CD$22,BZ12&lt;&gt;"",CA12&gt;=CD$26,CA12&lt;&gt;"",BY12=""),AND(CW12&gt;=DA$22,CW12&lt;&gt;"",CX12&gt;=DA$26,CX12&lt;&gt;""),AND(DR12&gt;=DV$22,DR12&lt;&gt;"",DS12&gt;=DV$26,DS12&lt;&gt;""),AND(EM12&gt;=EQ$22,EM12&lt;&gt;"",EN12&gt;=EQ$26,EN12&lt;&gt;""),AND(FH12&gt;=FL$22,FH12&lt;&gt;"",FI12&gt;=FL$26,FI12&lt;&gt;""),AND(GC12&gt;=GG$22,GC12&lt;&gt;"",GD12&gt;=GG$26,GD12&lt;&gt;""),AND(GX12&gt;=HB$22,GX12&lt;&gt;"",GY12&gt;=HB$26,GY12&lt;&gt;""),AND(HS12&gt;=HW$22,HS12&lt;&gt;"",HT12&gt;=HW$26,HT12&lt;&gt;""),AND(IN12&gt;=IR$22,IN12&lt;&gt;"",IO12&gt;=IR$26,IO12&lt;&gt;""),AND(JI12&gt;=JM$22,JI12&lt;&gt;"",JJ12&gt;=JM$26,JJ12&lt;&gt;""),AND(KD12&gt;=KH$22,KD12&lt;&gt;"",KE12&gt;=KH$26,KE12&lt;&gt;""),AND(KY12&gt;=LC$22,KY12&lt;&gt;"",KZ12&gt;=LC$26,KZ12&lt;&gt;""),AND(LT12&gt;=LX$22,LT12&lt;&gt;"",LU12&gt;=LX$26,LU12&lt;&gt;"")),"Excellence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Worlds Team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National Team","")))))</f>
        <v/>
      </c>
      <c r="I12" s="3" t="str">
        <f>IF(OR(H12="Worlds Team",H12="Excellence",H12="Merit"),"P","")</f>
        <v/>
      </c>
      <c r="J12" s="14">
        <f>MAX(AL12,BH12,CD12)</f>
        <v>135.9</v>
      </c>
      <c r="K12" s="14" t="str">
        <f>IF(J12=0,"",IF(J12=CD12,$BI$1,IF(J12=BH12,$AM$1,IF(J12=AL12,$Q$1,""))))</f>
        <v>2019 Nationals</v>
      </c>
      <c r="L12" s="14">
        <f>IF(J12=AL12,MAX(BE12,BG12,CA12,CC12),IF(J12=BH12,MAX(AI12,AK12,CA12,CC12),MAX(AI12,AK12,BE12,BG12)))</f>
        <v>67.699999999999989</v>
      </c>
      <c r="M12" s="14" t="str">
        <f>IF(L12=0,"",IF(AND(J12&lt;&gt;CD12,OR(L12=CA12,L12=CC12)),$BI$1,IF(AND(J12&lt;&gt;BH12,OR(L12=BG12,L12=BE12)),$AM$1,IF(OR(L12=AK12,L12=AI12),$Q$1,""))))</f>
        <v>2021 1st Virtual Technical Trial</v>
      </c>
      <c r="N12" s="14">
        <f>IF(MAX(CE12:CF12)&gt;0,MAX(CE12:CF12),"")</f>
        <v>0.5</v>
      </c>
      <c r="O12" s="25" t="str">
        <f>IF(N12="","",IF(N12=CE12,"(4 Pass)",IF(N12=CF12,"(2 Pass)")))</f>
        <v>(2 Pass)</v>
      </c>
      <c r="P12" s="14" t="str">
        <f>IF(N12="","",IF(N12=CE12,IF(N12+IF(J12="",0,J12)=DA12,$CG$1,IF(N12+IF(J12="",0,J12)=DV12,$DB$1,IF(N12+IF(J12="",0,J12)=EQ12,$DW$1,IF(N12+IF(J12="",0,J12)=FL12,$ER$1,IF(N12+IF(J12="",0,J12)=GG12,$FM$1,IF(N12+IF(J12="",0,J12)=HB12,$GH$1,IF(N12+IF(J12="",0,J12)=HW12,$HC$1,IF(N12+IF(J12="",0,J12)=IR12,$HX$1,IF(N12+IF(J12="",0,J12)=JM12,$IS$1,IF(N12+IF(J12="",0,J12)=KH12,$JN$1,IF(N12+IF(J12="",0,J12)=LC12,$KI$1,IF(N12+IF(J12="",0,J12)=LX12,$LD$1)))))))))))),IF(N12=CF12,IF(OR(N12+IF(L12="",0,L12)=CX12,N12+IF(L12="",0,L12)=CZ12),$CG$1,IF(OR(N12+IF(L12="",0,L12)=DS12,N12+IF(L12="",0,L12)=DU12),$DB$1,IF(OR(N12+IF(L12="",0,L12)=EN12,N12+IF(L12="",0,L12)=EP12),$DW$1,IF(OR(N12+IF(L12="",0,L12)=FI12,N12+IF(L12="",0,L12)=FK12),$ER$1,IF(OR(N12+IF(L12="",0,L12)=GD12,N12+IF(L12="",0,L12)=GF12),$FM$1,IF(OR(N12+IF(L12="",0,L12)=GY12,N12+IF(L12="",0,L12)=HA12),$GH$1,IF(OR(N12+IF(L12="",0,L12)=HT12,N12+IF(L12="",0,L12)=HV12),$HC$1,IF(OR(N12+IF(L12="",0,L12)=IO12,N12+IF(L12="",0,L12)=IQ12),$HX$1,IF(OR(N12+IF(L12="",0,L12)=JJ12,N12+IF(L12="",0,L12)=JL12),$IS$1,IF(OR(N12+IF(L12="",0,L12)=KE12,N12+IF(L12="",0,L12)=KG12),$JN$1,IF(OR(N12+IF(L12="",0,L12)=KZ12,N12+IF(L12="",0,L12)=LB12),$KI$1,IF(OR(N12+IF(L12="",0,L12)=LU12,N12+IF(L12="",0,L12)=LW12),$LD$1)))))))))))))))</f>
        <v>2019 WAGC (Dec 5)</v>
      </c>
      <c r="Q12" s="69">
        <v>27.6</v>
      </c>
      <c r="R12" s="69">
        <v>6.4</v>
      </c>
      <c r="S12" s="69">
        <v>1.2</v>
      </c>
      <c r="T12" s="69">
        <v>0</v>
      </c>
      <c r="U12" s="69">
        <v>27.7</v>
      </c>
      <c r="V12" s="69">
        <v>6.8</v>
      </c>
      <c r="W12" s="69">
        <v>1.2</v>
      </c>
      <c r="X12" s="69">
        <v>0</v>
      </c>
      <c r="Y12" s="69">
        <v>27.4</v>
      </c>
      <c r="Z12" s="69">
        <v>6</v>
      </c>
      <c r="AA12" s="69">
        <v>1.2</v>
      </c>
      <c r="AB12" s="69">
        <v>0</v>
      </c>
      <c r="AC12" s="69">
        <v>27.3</v>
      </c>
      <c r="AD12" s="69">
        <v>6.8</v>
      </c>
      <c r="AE12" s="69">
        <v>0.9</v>
      </c>
      <c r="AF12" s="69">
        <v>0</v>
      </c>
      <c r="AG12" s="80"/>
      <c r="AH12" s="11">
        <f>IF(SUM(R12,V12)&gt;0,SUM(R12,V12),"")</f>
        <v>13.2</v>
      </c>
      <c r="AI12" s="11">
        <f>IF(SUM(Q12:R12,T12:V12,X12)-SUM(S12,W12)&gt;0,SUM(Q12:R12,T12:V12,X12)-SUM(S12,W12),"")</f>
        <v>66.099999999999994</v>
      </c>
      <c r="AJ12" s="11">
        <f>IF(SUM(Z12,AD12)&gt;0,SUM(Z12,AD12),"")</f>
        <v>12.8</v>
      </c>
      <c r="AK12" s="11">
        <f>IF(SUM(Y12:Z12,AB12:AD12,AF12)-SUM(AA12,AE12)&gt;0,SUM(Y12:Z12,AB12:AD12,AF12)-SUM(AA12,AE12),"")</f>
        <v>65.400000000000006</v>
      </c>
      <c r="AL12" s="11">
        <f>IF(SUM(AI12,AK12)&gt;0,SUM(AI12,AK12),"")</f>
        <v>131.5</v>
      </c>
      <c r="AM12" s="38">
        <v>28.1</v>
      </c>
      <c r="AN12" s="38">
        <v>6.4</v>
      </c>
      <c r="AO12" s="38">
        <v>0</v>
      </c>
      <c r="AP12" s="38">
        <v>0</v>
      </c>
      <c r="AQ12" s="38">
        <v>27.9</v>
      </c>
      <c r="AR12" s="38">
        <v>6.8</v>
      </c>
      <c r="AS12" s="38">
        <v>0</v>
      </c>
      <c r="AT12" s="38">
        <v>0</v>
      </c>
      <c r="AU12" s="38">
        <v>27.8</v>
      </c>
      <c r="AV12" s="38">
        <v>6.8</v>
      </c>
      <c r="AW12" s="38">
        <v>0.9</v>
      </c>
      <c r="AX12" s="38">
        <v>0</v>
      </c>
      <c r="AY12" s="38">
        <v>27.9</v>
      </c>
      <c r="AZ12" s="38">
        <v>6</v>
      </c>
      <c r="BA12" s="38">
        <v>0.9</v>
      </c>
      <c r="BB12" s="38">
        <v>0</v>
      </c>
      <c r="BC12" s="81"/>
      <c r="BD12" s="14">
        <f>IF(SUM(AN12,AR12)&gt;0,SUM(AN12,AR12),"")</f>
        <v>13.2</v>
      </c>
      <c r="BE12" s="14">
        <f>IF(SUM(AM12:AN12,AP12:AR12,AT12)-SUM(AO12,AS12)&gt;0,SUM(AM12:AN12,AP12:AR12,AT12)-SUM(AO12,AS12),"")</f>
        <v>69.2</v>
      </c>
      <c r="BF12" s="14">
        <f>IF(SUM(AV12,AZ12)&gt;0,SUM(AV12,AZ12),"")</f>
        <v>12.8</v>
      </c>
      <c r="BG12" s="14">
        <f>IF(SUM(AU12:AV12,AX12:AZ12,BB12)-SUM(AW12,BA12)&gt;0,SUM(AU12:AV12,AX12:AZ12,BB12)-SUM(AW12,BA12),"")</f>
        <v>66.7</v>
      </c>
      <c r="BH12" s="14">
        <f>IF(SUM(BE12,BG12)&gt;0,SUM(BE12,BG12),"")</f>
        <v>135.9</v>
      </c>
      <c r="BI12" s="69">
        <v>28</v>
      </c>
      <c r="BJ12" s="69">
        <v>6.8</v>
      </c>
      <c r="BK12" s="69">
        <v>1.2</v>
      </c>
      <c r="BL12" s="69">
        <v>0</v>
      </c>
      <c r="BM12" s="69">
        <v>28.1</v>
      </c>
      <c r="BN12" s="69">
        <v>7.2</v>
      </c>
      <c r="BO12" s="69">
        <v>1.2</v>
      </c>
      <c r="BP12" s="69">
        <v>0</v>
      </c>
      <c r="BQ12" s="69">
        <v>28.4</v>
      </c>
      <c r="BR12" s="69">
        <v>2.8</v>
      </c>
      <c r="BS12" s="69">
        <v>4.0999999999999996</v>
      </c>
      <c r="BT12" s="69">
        <v>0</v>
      </c>
      <c r="BU12" s="69">
        <v>27.8</v>
      </c>
      <c r="BV12" s="69">
        <v>6</v>
      </c>
      <c r="BW12" s="69">
        <v>1.5</v>
      </c>
      <c r="BX12" s="69">
        <v>0</v>
      </c>
      <c r="BY12" s="80"/>
      <c r="BZ12" s="11">
        <f>IF(SUM(BJ12,BN12)&gt;0,SUM(BJ12,BN12),"")</f>
        <v>14</v>
      </c>
      <c r="CA12" s="11">
        <f>IF(SUM(BI12:BJ12,BL12:BN12,BP12)-SUM(BK12,BO12)&gt;0,SUM(BI12:BJ12,BL12:BN12,BP12)-SUM(BK12,BO12),"")</f>
        <v>67.699999999999989</v>
      </c>
      <c r="CB12" s="11">
        <f>IF(SUM(BR12,BV12)&gt;0,SUM(BR12,BV12),"")</f>
        <v>8.8000000000000007</v>
      </c>
      <c r="CC12" s="11">
        <f>IF(SUM(BQ12:BR12,BT12:BV12,BX12)-SUM(BS12,BW12)&gt;0,SUM(BQ12:BR12,BT12:BV12,BX12)-SUM(BS12,BW12),"")</f>
        <v>59.4</v>
      </c>
      <c r="CD12" s="11">
        <f>IF(SUM(CA12,CC12)&gt;0,SUM(CA12,CC12),"")</f>
        <v>127.1</v>
      </c>
      <c r="CE12" s="24" t="str">
        <f>IF(MAX(DA12,DV12,EQ12,FL12,GG12,HB12,HW12,IR12,JM12,KH12,LC12,LX12)-IF(J12="",0,J12)&gt;0.001,MAX(DA12,DV12,EQ12,FL12,GG12,HB12,HW12,IR12,JM12,KH12,LC12,LX12)-IF(J12="",0,J12),"")</f>
        <v/>
      </c>
      <c r="CF12" s="24">
        <f>IF(MAX(CX12,CZ12,DS12,DU12,EN12,EP12,FI12,FK12,GD12,GF12,GY12,HA12,HT12,HV12,IO12,IQ12,JJ12,JL12,KE12,KG12,KZ12,LB12,LU12,LW12)-IF(L12="",0,L12)&gt;0.001,MAX(CX12,CZ12,DS12,DU12,EN12,EP12,FI12,FK12,GD12,GF12,GY12,HA12,HT12,HV12,IO12,IQ12,JJ12,JL12,KE12,KG12,KZ12,LB12,LU12,LW12)-IF(L12="",0,L12),"")</f>
        <v>0.5</v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>
        <v>26.8</v>
      </c>
      <c r="DC12" s="43">
        <v>7.2</v>
      </c>
      <c r="DD12" s="43">
        <v>0.9</v>
      </c>
      <c r="DE12" s="43">
        <v>0</v>
      </c>
      <c r="DF12" s="43">
        <v>27.9</v>
      </c>
      <c r="DG12" s="43">
        <v>7.2</v>
      </c>
      <c r="DH12" s="43">
        <v>0</v>
      </c>
      <c r="DI12" s="43">
        <v>0</v>
      </c>
      <c r="DJ12" s="43"/>
      <c r="DK12" s="43"/>
      <c r="DL12" s="43"/>
      <c r="DM12" s="43"/>
      <c r="DN12" s="43"/>
      <c r="DO12" s="43"/>
      <c r="DP12" s="43"/>
      <c r="DQ12" s="43"/>
      <c r="DR12" s="14">
        <f>IF(SUM(DC12,DG12)&gt;0,SUM(DC12,DG12),"")</f>
        <v>14.4</v>
      </c>
      <c r="DS12" s="14">
        <f>IF(SUM(DB12:DC12,DE12:DG12,DI12)-SUM(DD12,DH12)&gt;0,SUM(DB12:DC12,DE12:DG12,DI12)-SUM(DD12,DH12),"")</f>
        <v>68.199999999999989</v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>
        <f>IF(SUM(DS12,DU12)&gt;0,SUM(DS12,DU12),"")</f>
        <v>68.199999999999989</v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28.05</v>
      </c>
      <c r="LZ12" s="69">
        <f>IF($BY12="P",BJ12,(BJ12+AN12)/2)</f>
        <v>6.6</v>
      </c>
      <c r="MA12" s="69">
        <f>IF($BY12="P",BK12,(BK12+AO12)/2)</f>
        <v>0.6</v>
      </c>
      <c r="MB12" s="69">
        <f>IF($BY12="P",BL12,(BL12+AP12)/2)</f>
        <v>0</v>
      </c>
      <c r="MC12" s="69">
        <f>IF($BY12="P",BM12,(BM12+AQ12)/2)</f>
        <v>28</v>
      </c>
      <c r="MD12" s="69">
        <f>IF($BY12="P",BN12,(BN12+AR12)/2)</f>
        <v>7</v>
      </c>
      <c r="ME12" s="69">
        <f>IF($BY12="P",BO12,(BO12+AS12)/2)</f>
        <v>0.6</v>
      </c>
      <c r="MF12" s="69">
        <f>IF($BY12="P",BP12,(BP12+AT12)/2)</f>
        <v>0</v>
      </c>
      <c r="MG12" s="69">
        <f>IF($BY12="P",BQ12,(BQ12+AU12)/2)</f>
        <v>28.1</v>
      </c>
      <c r="MH12" s="69">
        <f>IF($BY12="P",BR12,(BR12+AV12)/2)</f>
        <v>4.8</v>
      </c>
      <c r="MI12" s="69">
        <f>IF($BY12="P",BS12,(BS12+AW12)/2)</f>
        <v>2.5</v>
      </c>
      <c r="MJ12" s="69">
        <f>IF($BY12="P",BT12,(BT12+AX12)/2)</f>
        <v>0</v>
      </c>
      <c r="MK12" s="69">
        <f>IF($BY12="P",BU12,(BU12+AY12)/2)</f>
        <v>27.85</v>
      </c>
      <c r="ML12" s="69">
        <f>IF($BY12="P",BV12,(BV12+AZ12)/2)</f>
        <v>6</v>
      </c>
      <c r="MM12" s="69">
        <f>IF($BY12="P",BW12,(BW12+BA12)/2)</f>
        <v>1.2</v>
      </c>
      <c r="MN12" s="69">
        <f>IF($BY12="P",BX12,(BX12+BB12)/2)</f>
        <v>0</v>
      </c>
      <c r="MO12" s="80" t="s">
        <v>91</v>
      </c>
      <c r="MP12" s="11">
        <f>IF(SUM(LZ12,MD12)&gt;0,SUM(LZ12,MD12),"")</f>
        <v>13.6</v>
      </c>
      <c r="MQ12" s="11">
        <f>IF(SUM(LY12:LZ12,MB12:MD12,MF12)-SUM(MA12,ME12)&gt;0,SUM(LY12:LZ12,MB12:MD12,MF12)-SUM(MA12,ME12),"")</f>
        <v>68.45</v>
      </c>
      <c r="MR12" s="11">
        <f>IF(SUM(MH12,ML12)&gt;0,SUM(MH12,ML12),"")</f>
        <v>10.8</v>
      </c>
      <c r="MS12" s="11">
        <f>IF(SUM(MG12:MH12,MJ12:ML12,MN12)-SUM(MI12,MM12)&gt;0,SUM(MG12:MH12,MJ12:ML12,MN12)-SUM(MI12,MM12),"")</f>
        <v>63.05</v>
      </c>
      <c r="MT12" s="11">
        <f>IF(SUM(MQ12,MS12)&gt;0,SUM(MQ12,MS12),"")</f>
        <v>131.5</v>
      </c>
    </row>
    <row r="13" spans="1:358" x14ac:dyDescent="0.2">
      <c r="A13" s="5">
        <f>IF(AND(F13="P",G13="P"),SUMPRODUCT((F$4:F$18="P")*(G$4:G$18="P")*(E$4:E$18&gt;E13))+1,IF(G13="P",SUMPRODUCT((F$4:F$18="")*(G$4:G$18="P")*(E$4:E$18&gt;E13))+1+SUMPRODUCT((F$4:F$18="P")*(G$4:G$18="P")),""))</f>
        <v>9</v>
      </c>
      <c r="B13" s="8" t="s">
        <v>82</v>
      </c>
      <c r="C13" s="4" t="s">
        <v>5</v>
      </c>
      <c r="D13" s="5">
        <v>1999</v>
      </c>
      <c r="E13" s="15">
        <f>SUM(J13:N13)</f>
        <v>195.2</v>
      </c>
      <c r="F13" s="3" t="str">
        <f>IF(OR(AND(AH13&gt;=AL$20,AI13&gt;=AL$24,AI13&lt;&gt;"",AG13=""),AND(BD13&gt;=BH$20,BE13&gt;=BH$24,BE13&lt;&gt;"",BC13=""),AND(BZ13&gt;=CD$20,CA13&gt;=CD$24,CA13&lt;&gt;"",BY13=""),AND(CW13&gt;=DA$20,CX13&gt;=DA$24,CX13&lt;&gt;""),AND(DR13&gt;=DV$20,DS13&gt;=DV$24,DS13&lt;&gt;""),AND(EM13&gt;=EQ$20,EN13&gt;=EQ$24,EN13&lt;&gt;""),AND(FH13&gt;=FL$20,FI13&gt;=FL$24,FI13&lt;&gt;""),AND(GC13&gt;=GG$20,GD13&gt;=GG$24,GD13&lt;&gt;""),AND(GX13&gt;=HB$20,GY13&gt;=HB$24,GY13&lt;&gt;""),AND(HS13&gt;=HW$20,HT13&gt;=HW$24,HT13&lt;&gt;""),AND(IN13&gt;=IR$20,IO13&gt;=IR$24,IO13&lt;&gt;""),AND(JI13&gt;=JM$20,JJ13&gt;=JM$24,JJ13&lt;&gt;""),AND(KD13&gt;=KH$20,KE13&gt;=KH$24,KE13&lt;&gt;""),AND(KY13&gt;=LC$20,KZ13&gt;=LC$24,KZ13&lt;&gt;""),AND(LT13&gt;=LX$20,LU13&gt;=LX$24,LU13&lt;&gt;"")),"P","")</f>
        <v/>
      </c>
      <c r="G13" s="3" t="str">
        <f>IF(OR(AND(AI13&gt;=AL$24,AI13&lt;&gt;"",AG13=""),AND(BE13&gt;=BH$24,BE13&lt;&gt;"",BC13=""),AND(CA13&gt;=CD$24,CA13&lt;&gt;"",BY13=""),AND(CX13&gt;=DA$24,CX13&lt;&gt;""),AND(DS13&gt;=DV$24,DS13&lt;&gt;""),AND(EN13&gt;=EQ$24,EN13&lt;&gt;""),AND(FI13&gt;=FL$24,FI13&lt;&gt;""),AND(GD13&gt;=GG$24,GD13&lt;&gt;""),AND(GY13&gt;=HB$24,GY13&lt;&gt;""),AND(HT13&gt;=HW$24,HT13&lt;&gt;""),AND(IO13&gt;=IR$24,IO13&lt;&gt;""),AND(JJ13&gt;=JM$24,JJ13&lt;&gt;""),AND(KE13&gt;=KH$24,KE13&lt;&gt;""),AND(KZ13&gt;=LC$24,KZ13&lt;&gt;""),AND(LU13&gt;=LX$24,LU13&lt;&gt;"")),"P","")</f>
        <v>P</v>
      </c>
      <c r="H13" s="126" t="str">
        <f>IF(AND(G13="P",F13=""),"No DD",IF(OR(AND(AH13&gt;=AL$23,AH13&lt;&gt;"",AI13&gt;=AL$27,AI13&lt;&gt;"",AG13=""),AND(BD13&gt;=BH$23,BD13&lt;&gt;"",BE13&gt;=BH$27,BE13&lt;&gt;"",BC13=""),AND(BZ13&gt;=CD$23,BZ13&lt;&gt;"",CA13&gt;=CD$27,CA13&lt;&gt;"",BY13=""),AND(CW13&gt;=DA$23,CW13&lt;&gt;"",CX13&gt;=DA$27,CX13&lt;&gt;""),AND(DR13&gt;=DV$23,DR13&lt;&gt;"",DS13&gt;=DV$27,DS13&lt;&gt;""),AND(EM13&gt;=EQ$23,EM13&lt;&gt;"",EN13&gt;=EQ$27,EN13&lt;&gt;""),AND(FH13&gt;=FL$23,FH13&lt;&gt;"",FI13&gt;=FL$27,FI13&lt;&gt;""),AND(GC13&gt;=GG$23,GC13&lt;&gt;"",GD13&gt;=GG$27,GD13&lt;&gt;""),AND(GX13&gt;=HB$23,GX13&lt;&gt;"",GY13&gt;=HB$27,GY13&lt;&gt;""),AND(HS13&gt;=HW$23,HS13&lt;&gt;"",HT13&gt;=HW$27,HT13&lt;&gt;""),AND(IN13&gt;=IR$23,IN13&lt;&gt;"",IO13&gt;=IR$27,IO13&lt;&gt;""),AND(JI13&gt;=JM$23,JI13&lt;&gt;"",JJ13&gt;=JM$27,JJ13&lt;&gt;""),AND(KD13&gt;=KH$23,KD13&lt;&gt;"",KE13&gt;=KH$27,KE13&lt;&gt;""),AND(KY13&gt;=LC$23,KY13&lt;&gt;"",KZ13&gt;=LC$27,KZ13&lt;&gt;""),AND(LT13&gt;=LX$23,LT13&lt;&gt;"",LU13&gt;=LX$27,LU13&lt;&gt;"")),"Merit",IF(OR(AND(AH13&gt;=AL$22,AH13&lt;&gt;"",AI13&gt;=AL$26,AI13&lt;&gt;"",AG13=""),AND(BD13&gt;=BH$22,BD13&lt;&gt;"",BE13&gt;=BH$26,BE13&lt;&gt;"",BC13=""),AND(BZ13&gt;=CD$22,BZ13&lt;&gt;"",CA13&gt;=CD$26,CA13&lt;&gt;"",BY13=""),AND(CW13&gt;=DA$22,CW13&lt;&gt;"",CX13&gt;=DA$26,CX13&lt;&gt;""),AND(DR13&gt;=DV$22,DR13&lt;&gt;"",DS13&gt;=DV$26,DS13&lt;&gt;""),AND(EM13&gt;=EQ$22,EM13&lt;&gt;"",EN13&gt;=EQ$26,EN13&lt;&gt;""),AND(FH13&gt;=FL$22,FH13&lt;&gt;"",FI13&gt;=FL$26,FI13&lt;&gt;""),AND(GC13&gt;=GG$22,GC13&lt;&gt;"",GD13&gt;=GG$26,GD13&lt;&gt;""),AND(GX13&gt;=HB$22,GX13&lt;&gt;"",GY13&gt;=HB$26,GY13&lt;&gt;""),AND(HS13&gt;=HW$22,HS13&lt;&gt;"",HT13&gt;=HW$26,HT13&lt;&gt;""),AND(IN13&gt;=IR$22,IN13&lt;&gt;"",IO13&gt;=IR$26,IO13&lt;&gt;""),AND(JI13&gt;=JM$22,JI13&lt;&gt;"",JJ13&gt;=JM$26,JJ13&lt;&gt;""),AND(KD13&gt;=KH$22,KD13&lt;&gt;"",KE13&gt;=KH$26,KE13&lt;&gt;""),AND(KY13&gt;=LC$22,KY13&lt;&gt;"",KZ13&gt;=LC$26,KZ13&lt;&gt;""),AND(LT13&gt;=LX$22,LT13&lt;&gt;"",LU13&gt;=LX$26,LU13&lt;&gt;"")),"Excellence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Worlds Team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National Team","")))))</f>
        <v>No DD</v>
      </c>
      <c r="I13" s="3" t="str">
        <f>IF(OR(H13="Worlds Team",H13="Excellence",H13="Merit"),"P","")</f>
        <v/>
      </c>
      <c r="J13" s="14">
        <f>MAX(AL13,BH13,CD13)</f>
        <v>128.30000000000001</v>
      </c>
      <c r="K13" s="14" t="str">
        <f>IF(J13=0,"",IF(J13=CD13,$BI$1,IF(J13=BH13,$AM$1,IF(J13=AL13,$Q$1,""))))</f>
        <v>2019 Nationals</v>
      </c>
      <c r="L13" s="14">
        <f>IF(J13=AL13,MAX(BE13,BG13,CA13,CC13),IF(J13=BH13,MAX(AI13,AK13,CA13,CC13),MAX(AI13,AK13,BE13,BG13)))</f>
        <v>66.899999999999991</v>
      </c>
      <c r="M13" s="14" t="str">
        <f>IF(L13=0,"",IF(AND(J13&lt;&gt;CD13,OR(L13=CA13,L13=CC13)),$BI$1,IF(AND(J13&lt;&gt;BH13,OR(L13=BG13,L13=BE13)),$AM$1,IF(OR(L13=AK13,L13=AI13),$Q$1,""))))</f>
        <v>2019 Elite Canada</v>
      </c>
      <c r="N13" s="14" t="str">
        <f>IF(MAX(CE13:CF13)&gt;0,MAX(CE13:CF13),"")</f>
        <v/>
      </c>
      <c r="O13" s="25" t="str">
        <f>IF(N13="","",IF(N13=CE13,"(4 Pass)",IF(N13=CF13,"(2 Pass)")))</f>
        <v/>
      </c>
      <c r="P13" s="14" t="str">
        <f>IF(N13="","",IF(N13=CE13,IF(N13+IF(J13="",0,J13)=DA13,$CG$1,IF(N13+IF(J13="",0,J13)=DV13,$DB$1,IF(N13+IF(J13="",0,J13)=EQ13,$DW$1,IF(N13+IF(J13="",0,J13)=FL13,$ER$1,IF(N13+IF(J13="",0,J13)=GG13,$FM$1,IF(N13+IF(J13="",0,J13)=HB13,$GH$1,IF(N13+IF(J13="",0,J13)=HW13,$HC$1,IF(N13+IF(J13="",0,J13)=IR13,$HX$1,IF(N13+IF(J13="",0,J13)=JM13,$IS$1,IF(N13+IF(J13="",0,J13)=KH13,$JN$1,IF(N13+IF(J13="",0,J13)=LC13,$KI$1,IF(N13+IF(J13="",0,J13)=LX13,$LD$1)))))))))))),IF(N13=CF13,IF(OR(N13+IF(L13="",0,L13)=CX13,N13+IF(L13="",0,L13)=CZ13),$CG$1,IF(OR(N13+IF(L13="",0,L13)=DS13,N13+IF(L13="",0,L13)=DU13),$DB$1,IF(OR(N13+IF(L13="",0,L13)=EN13,N13+IF(L13="",0,L13)=EP13),$DW$1,IF(OR(N13+IF(L13="",0,L13)=FI13,N13+IF(L13="",0,L13)=FK13),$ER$1,IF(OR(N13+IF(L13="",0,L13)=GD13,N13+IF(L13="",0,L13)=GF13),$FM$1,IF(OR(N13+IF(L13="",0,L13)=GY13,N13+IF(L13="",0,L13)=HA13),$GH$1,IF(OR(N13+IF(L13="",0,L13)=HT13,N13+IF(L13="",0,L13)=HV13),$HC$1,IF(OR(N13+IF(L13="",0,L13)=IO13,N13+IF(L13="",0,L13)=IQ13),$HX$1,IF(OR(N13+IF(L13="",0,L13)=JJ13,N13+IF(L13="",0,L13)=JL13),$IS$1,IF(OR(N13+IF(L13="",0,L13)=KE13,N13+IF(L13="",0,L13)=KG13),$JN$1,IF(OR(N13+IF(L13="",0,L13)=KZ13,N13+IF(L13="",0,L13)=LB13),$KI$1,IF(OR(N13+IF(L13="",0,L13)=LU13,N13+IF(L13="",0,L13)=LW13),$LD$1)))))))))))))))</f>
        <v/>
      </c>
      <c r="Q13" s="69">
        <v>28.2</v>
      </c>
      <c r="R13" s="69">
        <v>7.6</v>
      </c>
      <c r="S13" s="69">
        <v>0.9</v>
      </c>
      <c r="T13" s="69">
        <v>0</v>
      </c>
      <c r="U13" s="69">
        <v>20.5</v>
      </c>
      <c r="V13" s="69">
        <v>2.8</v>
      </c>
      <c r="W13" s="69">
        <v>0</v>
      </c>
      <c r="X13" s="69">
        <v>0</v>
      </c>
      <c r="Y13" s="69">
        <v>28.7</v>
      </c>
      <c r="Z13" s="69">
        <v>7.2</v>
      </c>
      <c r="AA13" s="69">
        <v>0</v>
      </c>
      <c r="AB13" s="69">
        <v>0</v>
      </c>
      <c r="AC13" s="69">
        <v>26.2</v>
      </c>
      <c r="AD13" s="69">
        <v>6</v>
      </c>
      <c r="AE13" s="69">
        <v>1.2</v>
      </c>
      <c r="AF13" s="69">
        <v>0</v>
      </c>
      <c r="AG13" s="80"/>
      <c r="AH13" s="11">
        <f>IF(SUM(R13,V13)&gt;0,SUM(R13,V13),"")</f>
        <v>10.399999999999999</v>
      </c>
      <c r="AI13" s="11">
        <f>IF(SUM(Q13:R13,T13:V13,X13)-SUM(S13,W13)&gt;0,SUM(Q13:R13,T13:V13,X13)-SUM(S13,W13),"")</f>
        <v>58.199999999999996</v>
      </c>
      <c r="AJ13" s="11">
        <f>IF(SUM(Z13,AD13)&gt;0,SUM(Z13,AD13),"")</f>
        <v>13.2</v>
      </c>
      <c r="AK13" s="11">
        <f>IF(SUM(Y13:Z13,AB13:AD13,AF13)-SUM(AA13,AE13)&gt;0,SUM(Y13:Z13,AB13:AD13,AF13)-SUM(AA13,AE13),"")</f>
        <v>66.899999999999991</v>
      </c>
      <c r="AL13" s="11">
        <f>IF(SUM(AI13,AK13)&gt;0,SUM(AI13,AK13),"")</f>
        <v>125.1</v>
      </c>
      <c r="AM13" s="38">
        <v>28.2</v>
      </c>
      <c r="AN13" s="38">
        <v>7.2</v>
      </c>
      <c r="AO13" s="38">
        <v>0.3</v>
      </c>
      <c r="AP13" s="38">
        <v>0</v>
      </c>
      <c r="AQ13" s="38">
        <v>28.1</v>
      </c>
      <c r="AR13" s="38">
        <v>7.6</v>
      </c>
      <c r="AS13" s="38">
        <v>0</v>
      </c>
      <c r="AT13" s="38">
        <v>0</v>
      </c>
      <c r="AU13" s="38">
        <v>20.3</v>
      </c>
      <c r="AV13" s="38">
        <v>2.8</v>
      </c>
      <c r="AW13" s="38">
        <v>0</v>
      </c>
      <c r="AX13" s="38">
        <v>0</v>
      </c>
      <c r="AY13" s="38">
        <v>28.4</v>
      </c>
      <c r="AZ13" s="38">
        <v>6</v>
      </c>
      <c r="BA13" s="38"/>
      <c r="BB13" s="38"/>
      <c r="BC13" s="81"/>
      <c r="BD13" s="14">
        <f>IF(SUM(AN13,AR13)&gt;0,SUM(AN13,AR13),"")</f>
        <v>14.8</v>
      </c>
      <c r="BE13" s="14">
        <f>IF(SUM(AM13:AN13,AP13:AR13,AT13)-SUM(AO13,AS13)&gt;0,SUM(AM13:AN13,AP13:AR13,AT13)-SUM(AO13,AS13),"")</f>
        <v>70.8</v>
      </c>
      <c r="BF13" s="14">
        <f>IF(SUM(AV13,AZ13)&gt;0,SUM(AV13,AZ13),"")</f>
        <v>8.8000000000000007</v>
      </c>
      <c r="BG13" s="14">
        <f>IF(SUM(AU13:AV13,AX13:AZ13,BB13)-SUM(AW13,BA13)&gt;0,SUM(AU13:AV13,AX13:AZ13,BB13)-SUM(AW13,BA13),"")</f>
        <v>57.5</v>
      </c>
      <c r="BH13" s="14">
        <f>IF(SUM(BE13,BG13)&gt;0,SUM(BE13,BG13),"")</f>
        <v>128.30000000000001</v>
      </c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80"/>
      <c r="BZ13" s="11" t="str">
        <f>IF(SUM(BJ13,BN13)&gt;0,SUM(BJ13,BN13),"")</f>
        <v/>
      </c>
      <c r="CA13" s="11" t="str">
        <f>IF(SUM(BI13:BJ13,BL13:BN13,BP13)-SUM(BK13,BO13)&gt;0,SUM(BI13:BJ13,BL13:BN13,BP13)-SUM(BK13,BO13),"")</f>
        <v/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 t="str">
        <f>IF(SUM(CA13,CC13)&gt;0,SUM(CA13,CC13),"")</f>
        <v/>
      </c>
      <c r="CE13" s="24" t="str">
        <f>IF(MAX(DA13,DV13,EQ13,FL13,GG13,HB13,HW13,IR13,JM13,KH13,LC13,LX13)-IF(J13="",0,J13)&gt;0.001,MAX(DA13,DV13,EQ13,FL13,GG13,HB13,HW13,IR13,JM13,KH13,LC13,LX13)-IF(J13="",0,J13),"")</f>
        <v/>
      </c>
      <c r="CF13" s="24" t="str">
        <f>IF(MAX(CX13,CZ13,DS13,DU13,EN13,EP13,FI13,FK13,GD13,GF13,GY13,HA13,HT13,HV13,IO13,IQ13,JJ13,JL13,KE13,KG13,KZ13,LB13,LU13,LW13)-IF(L13="",0,L13)&gt;0.001,MAX(CX13,CZ13,DS13,DU13,EN13,EP13,FI13,FK13,GD13,GF13,GY13,HA13,HT13,HV13,IO13,IQ13,JJ13,JL13,KE13,KG13,KZ13,LB13,LU13,LW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14.1</v>
      </c>
      <c r="LZ13" s="69">
        <f>IF($BY13="P",BJ13,(BJ13+AN13)/2)</f>
        <v>3.6</v>
      </c>
      <c r="MA13" s="69">
        <f>IF($BY13="P",BK13,(BK13+AO13)/2)</f>
        <v>0.15</v>
      </c>
      <c r="MB13" s="69">
        <f>IF($BY13="P",BL13,(BL13+AP13)/2)</f>
        <v>0</v>
      </c>
      <c r="MC13" s="69">
        <f>IF($BY13="P",BM13,(BM13+AQ13)/2)</f>
        <v>14.05</v>
      </c>
      <c r="MD13" s="69">
        <f>IF($BY13="P",BN13,(BN13+AR13)/2)</f>
        <v>3.8</v>
      </c>
      <c r="ME13" s="69">
        <f>IF($BY13="P",BO13,(BO13+AS13)/2)</f>
        <v>0</v>
      </c>
      <c r="MF13" s="69">
        <f>IF($BY13="P",BP13,(BP13+AT13)/2)</f>
        <v>0</v>
      </c>
      <c r="MG13" s="69">
        <f>IF($BY13="P",BQ13,(BQ13+AU13)/2)</f>
        <v>10.15</v>
      </c>
      <c r="MH13" s="69">
        <f>IF($BY13="P",BR13,(BR13+AV13)/2)</f>
        <v>1.4</v>
      </c>
      <c r="MI13" s="69">
        <f>IF($BY13="P",BS13,(BS13+AW13)/2)</f>
        <v>0</v>
      </c>
      <c r="MJ13" s="69">
        <f>IF($BY13="P",BT13,(BT13+AX13)/2)</f>
        <v>0</v>
      </c>
      <c r="MK13" s="69">
        <f>IF($BY13="P",BU13,(BU13+AY13)/2)</f>
        <v>14.2</v>
      </c>
      <c r="ML13" s="69">
        <f>IF($BY13="P",BV13,(BV13+AZ13)/2)</f>
        <v>3</v>
      </c>
      <c r="MM13" s="69">
        <f>IF($BY13="P",BW13,(BW13+BA13)/2)</f>
        <v>0</v>
      </c>
      <c r="MN13" s="69">
        <f>IF($BY13="P",BX13,(BX13+BB13)/2)</f>
        <v>0</v>
      </c>
      <c r="MO13" s="80" t="s">
        <v>91</v>
      </c>
      <c r="MP13" s="11">
        <f>IF(SUM(LZ13,MD13)&gt;0,SUM(LZ13,MD13),"")</f>
        <v>7.4</v>
      </c>
      <c r="MQ13" s="11">
        <f>IF(SUM(LY13:LZ13,MB13:MD13,MF13)-SUM(MA13,ME13)&gt;0,SUM(LY13:LZ13,MB13:MD13,MF13)-SUM(MA13,ME13),"")</f>
        <v>35.4</v>
      </c>
      <c r="MR13" s="11">
        <f>IF(SUM(MH13,ML13)&gt;0,SUM(MH13,ML13),"")</f>
        <v>4.4000000000000004</v>
      </c>
      <c r="MS13" s="11">
        <f>IF(SUM(MG13:MH13,MJ13:ML13,MN13)-SUM(MI13,MM13)&gt;0,SUM(MG13:MH13,MJ13:ML13,MN13)-SUM(MI13,MM13),"")</f>
        <v>28.75</v>
      </c>
      <c r="MT13" s="11">
        <f>IF(SUM(MQ13,MS13)&gt;0,SUM(MQ13,MS13),"")</f>
        <v>64.150000000000006</v>
      </c>
    </row>
    <row r="14" spans="1:358" x14ac:dyDescent="0.2">
      <c r="A14" s="5" t="str">
        <f>IF(AND(F14="P",G14="P"),SUMPRODUCT((F$4:F$18="P")*(G$4:G$18="P")*(E$4:E$18&gt;E14))+1,IF(G14="P",SUMPRODUCT((F$4:F$18="")*(G$4:G$18="P")*(E$4:E$18&gt;E14))+1+SUMPRODUCT((F$4:F$18="P")*(G$4:G$18="P")),""))</f>
        <v/>
      </c>
      <c r="B14" s="8" t="s">
        <v>50</v>
      </c>
      <c r="C14" s="4" t="s">
        <v>5</v>
      </c>
      <c r="D14" s="5">
        <v>1998</v>
      </c>
      <c r="E14" s="15">
        <f>SUM(J14:N14)</f>
        <v>194.75</v>
      </c>
      <c r="F14" s="3" t="str">
        <f>IF(OR(AND(AH14&gt;=AL$20,AI14&gt;=AL$24,AI14&lt;&gt;"",AG14=""),AND(BD14&gt;=BH$20,BE14&gt;=BH$24,BE14&lt;&gt;"",BC14=""),AND(BZ14&gt;=CD$20,CA14&gt;=CD$24,CA14&lt;&gt;"",BY14=""),AND(CW14&gt;=DA$20,CX14&gt;=DA$24,CX14&lt;&gt;""),AND(DR14&gt;=DV$20,DS14&gt;=DV$24,DS14&lt;&gt;""),AND(EM14&gt;=EQ$20,EN14&gt;=EQ$24,EN14&lt;&gt;""),AND(FH14&gt;=FL$20,FI14&gt;=FL$24,FI14&lt;&gt;""),AND(GC14&gt;=GG$20,GD14&gt;=GG$24,GD14&lt;&gt;""),AND(GX14&gt;=HB$20,GY14&gt;=HB$24,GY14&lt;&gt;""),AND(HS14&gt;=HW$20,HT14&gt;=HW$24,HT14&lt;&gt;""),AND(IN14&gt;=IR$20,IO14&gt;=IR$24,IO14&lt;&gt;""),AND(JI14&gt;=JM$20,JJ14&gt;=JM$24,JJ14&lt;&gt;""),AND(KD14&gt;=KH$20,KE14&gt;=KH$24,KE14&lt;&gt;""),AND(KY14&gt;=LC$20,KZ14&gt;=LC$24,KZ14&lt;&gt;""),AND(LT14&gt;=LX$20,LU14&gt;=LX$24,LU14&lt;&gt;"")),"P","")</f>
        <v/>
      </c>
      <c r="G14" s="3" t="str">
        <f>IF(OR(AND(AI14&gt;=AL$24,AI14&lt;&gt;"",AG14=""),AND(BE14&gt;=BH$24,BE14&lt;&gt;"",BC14=""),AND(CA14&gt;=CD$24,CA14&lt;&gt;"",BY14=""),AND(CX14&gt;=DA$24,CX14&lt;&gt;""),AND(DS14&gt;=DV$24,DS14&lt;&gt;""),AND(EN14&gt;=EQ$24,EN14&lt;&gt;""),AND(FI14&gt;=FL$24,FI14&lt;&gt;""),AND(GD14&gt;=GG$24,GD14&lt;&gt;""),AND(GY14&gt;=HB$24,GY14&lt;&gt;""),AND(HT14&gt;=HW$24,HT14&lt;&gt;""),AND(IO14&gt;=IR$24,IO14&lt;&gt;""),AND(JJ14&gt;=JM$24,JJ14&lt;&gt;""),AND(KE14&gt;=KH$24,KE14&lt;&gt;""),AND(KZ14&gt;=LC$24,KZ14&lt;&gt;""),AND(LU14&gt;=LX$24,LU14&lt;&gt;"")),"P","")</f>
        <v/>
      </c>
      <c r="H14" s="126" t="str">
        <f>IF(AND(G14="P",F14=""),"No DD",IF(OR(AND(AH14&gt;=AL$23,AH14&lt;&gt;"",AI14&gt;=AL$27,AI14&lt;&gt;"",AG14=""),AND(BD14&gt;=BH$23,BD14&lt;&gt;"",BE14&gt;=BH$27,BE14&lt;&gt;"",BC14=""),AND(BZ14&gt;=CD$23,BZ14&lt;&gt;"",CA14&gt;=CD$27,CA14&lt;&gt;"",BY14=""),AND(CW14&gt;=DA$23,CW14&lt;&gt;"",CX14&gt;=DA$27,CX14&lt;&gt;""),AND(DR14&gt;=DV$23,DR14&lt;&gt;"",DS14&gt;=DV$27,DS14&lt;&gt;""),AND(EM14&gt;=EQ$23,EM14&lt;&gt;"",EN14&gt;=EQ$27,EN14&lt;&gt;""),AND(FH14&gt;=FL$23,FH14&lt;&gt;"",FI14&gt;=FL$27,FI14&lt;&gt;""),AND(GC14&gt;=GG$23,GC14&lt;&gt;"",GD14&gt;=GG$27,GD14&lt;&gt;""),AND(GX14&gt;=HB$23,GX14&lt;&gt;"",GY14&gt;=HB$27,GY14&lt;&gt;""),AND(HS14&gt;=HW$23,HS14&lt;&gt;"",HT14&gt;=HW$27,HT14&lt;&gt;""),AND(IN14&gt;=IR$23,IN14&lt;&gt;"",IO14&gt;=IR$27,IO14&lt;&gt;""),AND(JI14&gt;=JM$23,JI14&lt;&gt;"",JJ14&gt;=JM$27,JJ14&lt;&gt;""),AND(KD14&gt;=KH$23,KD14&lt;&gt;"",KE14&gt;=KH$27,KE14&lt;&gt;""),AND(KY14&gt;=LC$23,KY14&lt;&gt;"",KZ14&gt;=LC$27,KZ14&lt;&gt;""),AND(LT14&gt;=LX$23,LT14&lt;&gt;"",LU14&gt;=LX$27,LU14&lt;&gt;"")),"Merit",IF(OR(AND(AH14&gt;=AL$22,AH14&lt;&gt;"",AI14&gt;=AL$26,AI14&lt;&gt;"",AG14=""),AND(BD14&gt;=BH$22,BD14&lt;&gt;"",BE14&gt;=BH$26,BE14&lt;&gt;"",BC14=""),AND(BZ14&gt;=CD$22,BZ14&lt;&gt;"",CA14&gt;=CD$26,CA14&lt;&gt;"",BY14=""),AND(CW14&gt;=DA$22,CW14&lt;&gt;"",CX14&gt;=DA$26,CX14&lt;&gt;""),AND(DR14&gt;=DV$22,DR14&lt;&gt;"",DS14&gt;=DV$26,DS14&lt;&gt;""),AND(EM14&gt;=EQ$22,EM14&lt;&gt;"",EN14&gt;=EQ$26,EN14&lt;&gt;""),AND(FH14&gt;=FL$22,FH14&lt;&gt;"",FI14&gt;=FL$26,FI14&lt;&gt;""),AND(GC14&gt;=GG$22,GC14&lt;&gt;"",GD14&gt;=GG$26,GD14&lt;&gt;""),AND(GX14&gt;=HB$22,GX14&lt;&gt;"",GY14&gt;=HB$26,GY14&lt;&gt;""),AND(HS14&gt;=HW$22,HS14&lt;&gt;"",HT14&gt;=HW$26,HT14&lt;&gt;""),AND(IN14&gt;=IR$22,IN14&lt;&gt;"",IO14&gt;=IR$26,IO14&lt;&gt;""),AND(JI14&gt;=JM$22,JI14&lt;&gt;"",JJ14&gt;=JM$26,JJ14&lt;&gt;""),AND(KD14&gt;=KH$22,KD14&lt;&gt;"",KE14&gt;=KH$26,KE14&lt;&gt;""),AND(KY14&gt;=LC$22,KY14&lt;&gt;"",KZ14&gt;=LC$26,KZ14&lt;&gt;""),AND(LT14&gt;=LX$22,LT14&lt;&gt;"",LU14&gt;=LX$26,LU14&lt;&gt;"")),"Excellence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Worlds Team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National Team","")))))</f>
        <v/>
      </c>
      <c r="I14" s="3" t="str">
        <f>IF(OR(H14="Worlds Team",H14="Excellence",H14="Merit"),"P","")</f>
        <v/>
      </c>
      <c r="J14" s="14">
        <f>MAX(AL14,BH14,CD14)</f>
        <v>124.10000000000001</v>
      </c>
      <c r="K14" s="14" t="str">
        <f>IF(J14=0,"",IF(J14=CD14,$BI$1,IF(J14=BH14,$AM$1,IF(J14=AL14,$Q$1,""))))</f>
        <v>2019 Nationals</v>
      </c>
      <c r="L14" s="14">
        <f>IF(J14=AL14,MAX(BE14,BG14,CA14,CC14),IF(J14=BH14,MAX(AI14,AK14,CA14,CC14),MAX(AI14,AK14,BE14,BG14)))</f>
        <v>70.650000000000006</v>
      </c>
      <c r="M14" s="14" t="str">
        <f>IF(L14=0,"",IF(AND(J14&lt;&gt;CD14,OR(L14=CA14,L14=CC14)),$BI$1,IF(AND(J14&lt;&gt;BH14,OR(L14=BG14,L14=BE14)),$AM$1,IF(OR(L14=AK14,L14=AI14),$Q$1,""))))</f>
        <v>2019 Elite Canada</v>
      </c>
      <c r="N14" s="14" t="str">
        <f>IF(MAX(CE14:CF14)&gt;0,MAX(CE14:CF14),"")</f>
        <v/>
      </c>
      <c r="O14" s="25" t="str">
        <f>IF(N14="","",IF(N14=CE14,"(4 Pass)",IF(N14=CF14,"(2 Pass)")))</f>
        <v/>
      </c>
      <c r="P14" s="14" t="str">
        <f>IF(N14="","",IF(N14=CE14,IF(N14+IF(J14="",0,J14)=DA14,$CG$1,IF(N14+IF(J14="",0,J14)=DV14,$DB$1,IF(N14+IF(J14="",0,J14)=EQ14,$DW$1,IF(N14+IF(J14="",0,J14)=FL14,$ER$1,IF(N14+IF(J14="",0,J14)=GG14,$FM$1,IF(N14+IF(J14="",0,J14)=HB14,$GH$1,IF(N14+IF(J14="",0,J14)=HW14,$HC$1,IF(N14+IF(J14="",0,J14)=IR14,$HX$1,IF(N14+IF(J14="",0,J14)=JM14,$IS$1,IF(N14+IF(J14="",0,J14)=KH14,$JN$1,IF(N14+IF(J14="",0,J14)=LC14,$KI$1,IF(N14+IF(J14="",0,J14)=LX14,$LD$1)))))))))))),IF(N14=CF14,IF(OR(N14+IF(L14="",0,L14)=CX14,N14+IF(L14="",0,L14)=CZ14),$CG$1,IF(OR(N14+IF(L14="",0,L14)=DS14,N14+IF(L14="",0,L14)=DU14),$DB$1,IF(OR(N14+IF(L14="",0,L14)=EN14,N14+IF(L14="",0,L14)=EP14),$DW$1,IF(OR(N14+IF(L14="",0,L14)=FI14,N14+IF(L14="",0,L14)=FK14),$ER$1,IF(OR(N14+IF(L14="",0,L14)=GD14,N14+IF(L14="",0,L14)=GF14),$FM$1,IF(OR(N14+IF(L14="",0,L14)=GY14,N14+IF(L14="",0,L14)=HA14),$GH$1,IF(OR(N14+IF(L14="",0,L14)=HT14,N14+IF(L14="",0,L14)=HV14),$HC$1,IF(OR(N14+IF(L14="",0,L14)=IO14,N14+IF(L14="",0,L14)=IQ14),$HX$1,IF(OR(N14+IF(L14="",0,L14)=JJ14,N14+IF(L14="",0,L14)=JL14),$IS$1,IF(OR(N14+IF(L14="",0,L14)=KE14,N14+IF(L14="",0,L14)=KG14),$JN$1,IF(OR(N14+IF(L14="",0,L14)=KZ14,N14+IF(L14="",0,L14)=LB14),$KI$1,IF(OR(N14+IF(L14="",0,L14)=LU14,N14+IF(L14="",0,L14)=LW14),$LD$1)))))))))))))))</f>
        <v/>
      </c>
      <c r="Q14" s="69">
        <v>27.65</v>
      </c>
      <c r="R14" s="69">
        <v>8.4</v>
      </c>
      <c r="S14" s="69">
        <v>0.3</v>
      </c>
      <c r="T14" s="69">
        <v>0</v>
      </c>
      <c r="U14" s="69">
        <v>27.1</v>
      </c>
      <c r="V14" s="69">
        <v>8.1</v>
      </c>
      <c r="W14" s="69">
        <v>0.3</v>
      </c>
      <c r="X14" s="69">
        <v>0</v>
      </c>
      <c r="Y14" s="69">
        <v>14.25</v>
      </c>
      <c r="Z14" s="69">
        <v>3.4</v>
      </c>
      <c r="AA14" s="69">
        <v>0.15</v>
      </c>
      <c r="AB14" s="69">
        <v>0</v>
      </c>
      <c r="AC14" s="69">
        <v>28.5</v>
      </c>
      <c r="AD14" s="69">
        <v>7.6</v>
      </c>
      <c r="AE14" s="69">
        <v>0.15</v>
      </c>
      <c r="AF14" s="69">
        <v>0</v>
      </c>
      <c r="AG14" s="80" t="s">
        <v>91</v>
      </c>
      <c r="AH14" s="11">
        <f>IF(SUM(R14,V14)&gt;0,SUM(R14,V14),"")</f>
        <v>16.5</v>
      </c>
      <c r="AI14" s="11">
        <f>IF(SUM(Q14:R14,T14:V14,X14)-SUM(S14,W14)&gt;0,SUM(Q14:R14,T14:V14,X14)-SUM(S14,W14),"")</f>
        <v>70.650000000000006</v>
      </c>
      <c r="AJ14" s="11">
        <f>IF(SUM(Z14,AD14)&gt;0,SUM(Z14,AD14),"")</f>
        <v>11</v>
      </c>
      <c r="AK14" s="11">
        <f>IF(SUM(Y14:Z14,AB14:AD14,AF14)-SUM(AA14,AE14)&gt;0,SUM(Y14:Z14,AB14:AD14,AF14)-SUM(AA14,AE14),"")</f>
        <v>53.45</v>
      </c>
      <c r="AL14" s="11">
        <f>IF(SUM(AI14,AK14)&gt;0,SUM(AI14,AK14),"")</f>
        <v>124.10000000000001</v>
      </c>
      <c r="AM14" s="38">
        <v>27.65</v>
      </c>
      <c r="AN14" s="38">
        <v>8.4</v>
      </c>
      <c r="AO14" s="38">
        <v>0.3</v>
      </c>
      <c r="AP14" s="38">
        <v>0</v>
      </c>
      <c r="AQ14" s="38">
        <v>27.1</v>
      </c>
      <c r="AR14" s="38">
        <v>8.1</v>
      </c>
      <c r="AS14" s="38">
        <v>0.3</v>
      </c>
      <c r="AT14" s="38">
        <v>0</v>
      </c>
      <c r="AU14" s="38">
        <v>14.25</v>
      </c>
      <c r="AV14" s="38">
        <v>3.4</v>
      </c>
      <c r="AW14" s="38">
        <v>0.15</v>
      </c>
      <c r="AX14" s="38">
        <v>0</v>
      </c>
      <c r="AY14" s="38">
        <v>28.5</v>
      </c>
      <c r="AZ14" s="38">
        <v>7.6</v>
      </c>
      <c r="BA14" s="38">
        <v>0.15</v>
      </c>
      <c r="BB14" s="38">
        <v>0</v>
      </c>
      <c r="BC14" s="81" t="s">
        <v>91</v>
      </c>
      <c r="BD14" s="14">
        <f>IF(SUM(AN14,AR14)&gt;0,SUM(AN14,AR14),"")</f>
        <v>16.5</v>
      </c>
      <c r="BE14" s="14">
        <f>IF(SUM(AM14:AN14,AP14:AR14,AT14)-SUM(AO14,AS14)&gt;0,SUM(AM14:AN14,AP14:AR14,AT14)-SUM(AO14,AS14),"")</f>
        <v>70.650000000000006</v>
      </c>
      <c r="BF14" s="14">
        <f>IF(SUM(AV14,AZ14)&gt;0,SUM(AV14,AZ14),"")</f>
        <v>11</v>
      </c>
      <c r="BG14" s="14">
        <f>IF(SUM(AU14:AV14,AX14:AZ14,BB14)-SUM(AW14,BA14)&gt;0,SUM(AU14:AV14,AX14:AZ14,BB14)-SUM(AW14,BA14),"")</f>
        <v>53.45</v>
      </c>
      <c r="BH14" s="14">
        <f>IF(SUM(BE14,BG14)&gt;0,SUM(BE14,BG14),"")</f>
        <v>124.10000000000001</v>
      </c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80"/>
      <c r="BZ14" s="11" t="str">
        <f>IF(SUM(BJ14,BN14)&gt;0,SUM(BJ14,BN14),"")</f>
        <v/>
      </c>
      <c r="CA14" s="11" t="str">
        <f>IF(SUM(BI14:BJ14,BL14:BN14,BP14)-SUM(BK14,BO14)&gt;0,SUM(BI14:BJ14,BL14:BN14,BP14)-SUM(BK14,BO14),"")</f>
        <v/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 t="str">
        <f>IF(SUM(CA14,CC14)&gt;0,SUM(CA14,CC14),"")</f>
        <v/>
      </c>
      <c r="CE14" s="24" t="str">
        <f>IF(MAX(DA14,DV14,EQ14,FL14,GG14,HB14,HW14,IR14,JM14,KH14,LC14,LX14)-IF(J14="",0,J14)&gt;0.001,MAX(DA14,DV14,EQ14,FL14,GG14,HB14,HW14,IR14,JM14,KH14,LC14,LX14)-IF(J14="",0,J14),"")</f>
        <v/>
      </c>
      <c r="CF14" s="24" t="str">
        <f>IF(MAX(CX14,CZ14,DS14,DU14,EN14,EP14,FI14,FK14,GD14,GF14,GY14,HA14,HT14,HV14,IO14,IQ14,JJ14,JL14,KE14,KG14,KZ14,LB14,LU14,LW14)-IF(L14="",0,L14)&gt;0.001,MAX(CX14,CZ14,DS14,DU14,EN14,EP14,FI14,FK14,GD14,GF14,GY14,HA14,HT14,HV14,IO14,IQ14,JJ14,JL14,KE14,KG14,KZ14,LB14,LU14,LW14)-IF(L14="",0,L14),"")</f>
        <v/>
      </c>
      <c r="CG14" s="44">
        <v>0</v>
      </c>
      <c r="CH14" s="44">
        <v>0</v>
      </c>
      <c r="CI14" s="44">
        <v>0</v>
      </c>
      <c r="CJ14" s="44">
        <v>0</v>
      </c>
      <c r="CK14" s="44">
        <v>19.8</v>
      </c>
      <c r="CL14" s="44">
        <v>4.8</v>
      </c>
      <c r="CM14" s="44">
        <v>0</v>
      </c>
      <c r="CN14" s="44">
        <v>0</v>
      </c>
      <c r="CO14" s="44"/>
      <c r="CP14" s="44"/>
      <c r="CQ14" s="44"/>
      <c r="CR14" s="44"/>
      <c r="CS14" s="44"/>
      <c r="CT14" s="44"/>
      <c r="CU14" s="44"/>
      <c r="CV14" s="44"/>
      <c r="CW14" s="11">
        <f>IF(SUM(CH14,CL14)&gt;0,SUM(CH14,CL14),"")</f>
        <v>4.8</v>
      </c>
      <c r="CX14" s="11">
        <f>IF(SUM(CG14:CH14,CJ14:CL14,CN14)-SUM(CI14,CM14)&gt;0,SUM(CG14:CH14,CJ14:CL14,CN14)-SUM(CI14,CM14),"")</f>
        <v>24.6</v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>
        <f>IF(SUM(CX14,CZ14)&gt;0,SUM(CX14,CZ14),"")</f>
        <v>24.6</v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13.824999999999999</v>
      </c>
      <c r="LZ14" s="69">
        <f>IF($BY14="P",BJ14,(BJ14+AN14)/2)</f>
        <v>4.2</v>
      </c>
      <c r="MA14" s="69">
        <f>IF($BY14="P",BK14,(BK14+AO14)/2)</f>
        <v>0.15</v>
      </c>
      <c r="MB14" s="69">
        <f>IF($BY14="P",BL14,(BL14+AP14)/2)</f>
        <v>0</v>
      </c>
      <c r="MC14" s="69">
        <f>IF($BY14="P",BM14,(BM14+AQ14)/2)</f>
        <v>13.55</v>
      </c>
      <c r="MD14" s="69">
        <f>IF($BY14="P",BN14,(BN14+AR14)/2)</f>
        <v>4.05</v>
      </c>
      <c r="ME14" s="69">
        <f>IF($BY14="P",BO14,(BO14+AS14)/2)</f>
        <v>0.15</v>
      </c>
      <c r="MF14" s="69">
        <f>IF($BY14="P",BP14,(BP14+AT14)/2)</f>
        <v>0</v>
      </c>
      <c r="MG14" s="69">
        <f>IF($BY14="P",BQ14,(BQ14+AU14)/2)</f>
        <v>7.125</v>
      </c>
      <c r="MH14" s="69">
        <f>IF($BY14="P",BR14,(BR14+AV14)/2)</f>
        <v>1.7</v>
      </c>
      <c r="MI14" s="69">
        <f>IF($BY14="P",BS14,(BS14+AW14)/2)</f>
        <v>7.4999999999999997E-2</v>
      </c>
      <c r="MJ14" s="69">
        <f>IF($BY14="P",BT14,(BT14+AX14)/2)</f>
        <v>0</v>
      </c>
      <c r="MK14" s="69">
        <f>IF($BY14="P",BU14,(BU14+AY14)/2)</f>
        <v>14.25</v>
      </c>
      <c r="ML14" s="69">
        <f>IF($BY14="P",BV14,(BV14+AZ14)/2)</f>
        <v>3.8</v>
      </c>
      <c r="MM14" s="69">
        <f>IF($BY14="P",BW14,(BW14+BA14)/2)</f>
        <v>7.4999999999999997E-2</v>
      </c>
      <c r="MN14" s="69">
        <f>IF($BY14="P",BX14,(BX14+BB14)/2)</f>
        <v>0</v>
      </c>
      <c r="MO14" s="80" t="s">
        <v>91</v>
      </c>
      <c r="MP14" s="11">
        <f>IF(SUM(LZ14,MD14)&gt;0,SUM(LZ14,MD14),"")</f>
        <v>8.25</v>
      </c>
      <c r="MQ14" s="11">
        <f>IF(SUM(LY14:LZ14,MB14:MD14,MF14)-SUM(MA14,ME14)&gt;0,SUM(LY14:LZ14,MB14:MD14,MF14)-SUM(MA14,ME14),"")</f>
        <v>35.325000000000003</v>
      </c>
      <c r="MR14" s="11">
        <f>IF(SUM(MH14,ML14)&gt;0,SUM(MH14,ML14),"")</f>
        <v>5.5</v>
      </c>
      <c r="MS14" s="11">
        <f>IF(SUM(MG14:MH14,MJ14:ML14,MN14)-SUM(MI14,MM14)&gt;0,SUM(MG14:MH14,MJ14:ML14,MN14)-SUM(MI14,MM14),"")</f>
        <v>26.725000000000001</v>
      </c>
      <c r="MT14" s="11">
        <f>IF(SUM(MQ14,MS14)&gt;0,SUM(MQ14,MS14),"")</f>
        <v>62.050000000000004</v>
      </c>
    </row>
    <row r="15" spans="1:358" x14ac:dyDescent="0.2">
      <c r="A15" s="5" t="str">
        <f>IF(AND(F15="P",G15="P"),SUMPRODUCT((F$4:F$18="P")*(G$4:G$18="P")*(E$4:E$18&gt;E15))+1,IF(G15="P",SUMPRODUCT((F$4:F$18="")*(G$4:G$18="P")*(E$4:E$18&gt;E15))+1+SUMPRODUCT((F$4:F$18="P")*(G$4:G$18="P")),""))</f>
        <v/>
      </c>
      <c r="B15" s="8" t="s">
        <v>208</v>
      </c>
      <c r="C15" s="4" t="s">
        <v>6</v>
      </c>
      <c r="D15" s="5">
        <v>2002</v>
      </c>
      <c r="E15" s="15">
        <f>SUM(J15:N15)</f>
        <v>189.10000000000002</v>
      </c>
      <c r="F15" s="3" t="str">
        <f>IF(OR(AND(AH15&gt;=AL$20,AI15&gt;=AL$24,AI15&lt;&gt;"",AG15=""),AND(BD15&gt;=BH$20,BE15&gt;=BH$24,BE15&lt;&gt;"",BC15=""),AND(BZ15&gt;=CD$20,CA15&gt;=CD$24,CA15&lt;&gt;"",BY15=""),AND(CW15&gt;=DA$20,CX15&gt;=DA$24,CX15&lt;&gt;""),AND(DR15&gt;=DV$20,DS15&gt;=DV$24,DS15&lt;&gt;""),AND(EM15&gt;=EQ$20,EN15&gt;=EQ$24,EN15&lt;&gt;""),AND(FH15&gt;=FL$20,FI15&gt;=FL$24,FI15&lt;&gt;""),AND(GC15&gt;=GG$20,GD15&gt;=GG$24,GD15&lt;&gt;""),AND(GX15&gt;=HB$20,GY15&gt;=HB$24,GY15&lt;&gt;""),AND(HS15&gt;=HW$20,HT15&gt;=HW$24,HT15&lt;&gt;""),AND(IN15&gt;=IR$20,IO15&gt;=IR$24,IO15&lt;&gt;""),AND(JI15&gt;=JM$20,JJ15&gt;=JM$24,JJ15&lt;&gt;""),AND(KD15&gt;=KH$20,KE15&gt;=KH$24,KE15&lt;&gt;""),AND(KY15&gt;=LC$20,KZ15&gt;=LC$24,KZ15&lt;&gt;""),AND(LT15&gt;=LX$20,LU15&gt;=LX$24,LU15&lt;&gt;"")),"P","")</f>
        <v/>
      </c>
      <c r="G15" s="3" t="str">
        <f>IF(OR(AND(AI15&gt;=AL$24,AI15&lt;&gt;"",AG15=""),AND(BE15&gt;=BH$24,BE15&lt;&gt;"",BC15=""),AND(CA15&gt;=CD$24,CA15&lt;&gt;"",BY15=""),AND(CX15&gt;=DA$24,CX15&lt;&gt;""),AND(DS15&gt;=DV$24,DS15&lt;&gt;""),AND(EN15&gt;=EQ$24,EN15&lt;&gt;""),AND(FI15&gt;=FL$24,FI15&lt;&gt;""),AND(GD15&gt;=GG$24,GD15&lt;&gt;""),AND(GY15&gt;=HB$24,GY15&lt;&gt;""),AND(HT15&gt;=HW$24,HT15&lt;&gt;""),AND(IO15&gt;=IR$24,IO15&lt;&gt;""),AND(JJ15&gt;=JM$24,JJ15&lt;&gt;""),AND(KE15&gt;=KH$24,KE15&lt;&gt;""),AND(KZ15&gt;=LC$24,KZ15&lt;&gt;""),AND(LU15&gt;=LX$24,LU15&lt;&gt;"")),"P","")</f>
        <v/>
      </c>
      <c r="H15" s="126" t="str">
        <f>IF(AND(G15="P",F15=""),"No DD",IF(OR(AND(AH15&gt;=AL$23,AH15&lt;&gt;"",AI15&gt;=AL$27,AI15&lt;&gt;"",AG15=""),AND(BD15&gt;=BH$23,BD15&lt;&gt;"",BE15&gt;=BH$27,BE15&lt;&gt;"",BC15=""),AND(BZ15&gt;=CD$23,BZ15&lt;&gt;"",CA15&gt;=CD$27,CA15&lt;&gt;"",BY15=""),AND(CW15&gt;=DA$23,CW15&lt;&gt;"",CX15&gt;=DA$27,CX15&lt;&gt;""),AND(DR15&gt;=DV$23,DR15&lt;&gt;"",DS15&gt;=DV$27,DS15&lt;&gt;""),AND(EM15&gt;=EQ$23,EM15&lt;&gt;"",EN15&gt;=EQ$27,EN15&lt;&gt;""),AND(FH15&gt;=FL$23,FH15&lt;&gt;"",FI15&gt;=FL$27,FI15&lt;&gt;""),AND(GC15&gt;=GG$23,GC15&lt;&gt;"",GD15&gt;=GG$27,GD15&lt;&gt;""),AND(GX15&gt;=HB$23,GX15&lt;&gt;"",GY15&gt;=HB$27,GY15&lt;&gt;""),AND(HS15&gt;=HW$23,HS15&lt;&gt;"",HT15&gt;=HW$27,HT15&lt;&gt;""),AND(IN15&gt;=IR$23,IN15&lt;&gt;"",IO15&gt;=IR$27,IO15&lt;&gt;""),AND(JI15&gt;=JM$23,JI15&lt;&gt;"",JJ15&gt;=JM$27,JJ15&lt;&gt;""),AND(KD15&gt;=KH$23,KD15&lt;&gt;"",KE15&gt;=KH$27,KE15&lt;&gt;""),AND(KY15&gt;=LC$23,KY15&lt;&gt;"",KZ15&gt;=LC$27,KZ15&lt;&gt;""),AND(LT15&gt;=LX$23,LT15&lt;&gt;"",LU15&gt;=LX$27,LU15&lt;&gt;"")),"Merit",IF(OR(AND(AH15&gt;=AL$22,AH15&lt;&gt;"",AI15&gt;=AL$26,AI15&lt;&gt;"",AG15=""),AND(BD15&gt;=BH$22,BD15&lt;&gt;"",BE15&gt;=BH$26,BE15&lt;&gt;"",BC15=""),AND(BZ15&gt;=CD$22,BZ15&lt;&gt;"",CA15&gt;=CD$26,CA15&lt;&gt;"",BY15=""),AND(CW15&gt;=DA$22,CW15&lt;&gt;"",CX15&gt;=DA$26,CX15&lt;&gt;""),AND(DR15&gt;=DV$22,DR15&lt;&gt;"",DS15&gt;=DV$26,DS15&lt;&gt;""),AND(EM15&gt;=EQ$22,EM15&lt;&gt;"",EN15&gt;=EQ$26,EN15&lt;&gt;""),AND(FH15&gt;=FL$22,FH15&lt;&gt;"",FI15&gt;=FL$26,FI15&lt;&gt;""),AND(GC15&gt;=GG$22,GC15&lt;&gt;"",GD15&gt;=GG$26,GD15&lt;&gt;""),AND(GX15&gt;=HB$22,GX15&lt;&gt;"",GY15&gt;=HB$26,GY15&lt;&gt;""),AND(HS15&gt;=HW$22,HS15&lt;&gt;"",HT15&gt;=HW$26,HT15&lt;&gt;""),AND(IN15&gt;=IR$22,IN15&lt;&gt;"",IO15&gt;=IR$26,IO15&lt;&gt;""),AND(JI15&gt;=JM$22,JI15&lt;&gt;"",JJ15&gt;=JM$26,JJ15&lt;&gt;""),AND(KD15&gt;=KH$22,KD15&lt;&gt;"",KE15&gt;=KH$26,KE15&lt;&gt;""),AND(KY15&gt;=LC$22,KY15&lt;&gt;"",KZ15&gt;=LC$26,KZ15&lt;&gt;""),AND(LT15&gt;=LX$22,LT15&lt;&gt;"",LU15&gt;=LX$26,LU15&lt;&gt;"")),"Excellence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Worlds Team",IF(OR(AND(AH15&gt;=AL$20,AH15&lt;&gt;"",AI15&gt;=AL$24,AI15&lt;&gt;"",AG15=""),AND(BD15&gt;=BH$20,BD15&lt;&gt;"",BE15&gt;=BH$24,BE15&lt;&gt;"",BC15=""),AND(BZ15&gt;=CD$20,BZ15&lt;&gt;"",CA15&gt;=CD$24,CA15&lt;&gt;"",BY15=""),AND(CW15&gt;=DA$20,CW15&lt;&gt;"",CX15&gt;=DA$24,CX15&lt;&gt;""),AND(DR15&gt;=DV$20,DR15&lt;&gt;"",DS15&gt;=DV$24,DS15&lt;&gt;""),AND(EM15&gt;=EQ$20,EM15&lt;&gt;"",EN15&gt;=EQ$24,EN15&lt;&gt;""),AND(FH15&gt;=FL$20,FH15&lt;&gt;"",FI15&gt;=FL$24,FI15&lt;&gt;""),AND(GC15&gt;=GG$20,GC15&lt;&gt;"",GD15&gt;=GG$24,GD15&lt;&gt;""),AND(GX15&gt;=HB$20,GX15&lt;&gt;"",GY15&gt;=HB$24,GY15&lt;&gt;""),AND(HS15&gt;=HW$20,HS15&lt;&gt;"",HT15&gt;=HW$24,HT15&lt;&gt;""),AND(IN15&gt;=IR$20,IN15&lt;&gt;"",IO15&gt;=IR$24,IO15&lt;&gt;""),AND(JI15&gt;=JM$20,JI15&lt;&gt;"",JJ15&gt;=JM$24,JJ15&lt;&gt;""),AND(KD15&gt;=KH$20,KD15&lt;&gt;"",KE15&gt;=KH$24,KE15&lt;&gt;""),AND(KY15&gt;=LC$20,KY15&lt;&gt;"",KZ15&gt;=LC$24,KZ15&lt;&gt;""),AND(LT15&gt;=LX$20,LT15&lt;&gt;"",LU15&gt;=LX$24,LU15&lt;&gt;"")),"National Team","")))))</f>
        <v/>
      </c>
      <c r="I15" s="3" t="str">
        <f>IF(OR(H15="Worlds Team",H15="Excellence",H15="Merit"),"P","")</f>
        <v/>
      </c>
      <c r="J15" s="14">
        <f>MAX(AL15,BH15,CD15)</f>
        <v>127.70000000000002</v>
      </c>
      <c r="K15" s="14" t="str">
        <f>IF(J15=0,"",IF(J15=CD15,$BI$1,IF(J15=BH15,$AM$1,IF(J15=AL15,$Q$1,""))))</f>
        <v>2019 Elite Canada</v>
      </c>
      <c r="L15" s="14">
        <f>IF(J15=AL15,MAX(BE15,BG15,CA15,CC15),IF(J15=BH15,MAX(AI15,AK15,CA15,CC15),MAX(AI15,AK15,BE15,BG15)))</f>
        <v>61.400000000000006</v>
      </c>
      <c r="M15" s="14" t="str">
        <f>IF(L15=0,"",IF(AND(J15&lt;&gt;CD15,OR(L15=CA15,L15=CC15)),$BI$1,IF(AND(J15&lt;&gt;BH15,OR(L15=BG15,L15=BE15)),$AM$1,IF(OR(L15=AK15,L15=AI15),$Q$1,""))))</f>
        <v>2021 1st Virtual Technical Trial</v>
      </c>
      <c r="N15" s="14" t="str">
        <f>IF(MAX(CE15:CF15)&gt;0,MAX(CE15:CF15),"")</f>
        <v/>
      </c>
      <c r="O15" s="25" t="str">
        <f>IF(N15="","",IF(N15=CE15,"(4 Pass)",IF(N15=CF15,"(2 Pass)")))</f>
        <v/>
      </c>
      <c r="P15" s="14" t="str">
        <f>IF(N15="","",IF(N15=CE15,IF(N15+IF(J15="",0,J15)=DA15,$CG$1,IF(N15+IF(J15="",0,J15)=DV15,$DB$1,IF(N15+IF(J15="",0,J15)=EQ15,$DW$1,IF(N15+IF(J15="",0,J15)=FL15,$ER$1,IF(N15+IF(J15="",0,J15)=GG15,$FM$1,IF(N15+IF(J15="",0,J15)=HB15,$GH$1,IF(N15+IF(J15="",0,J15)=HW15,$HC$1,IF(N15+IF(J15="",0,J15)=IR15,$HX$1,IF(N15+IF(J15="",0,J15)=JM15,$IS$1,IF(N15+IF(J15="",0,J15)=KH15,$JN$1,IF(N15+IF(J15="",0,J15)=LC15,$KI$1,IF(N15+IF(J15="",0,J15)=LX15,$LD$1)))))))))))),IF(N15=CF15,IF(OR(N15+IF(L15="",0,L15)=CX15,N15+IF(L15="",0,L15)=CZ15),$CG$1,IF(OR(N15+IF(L15="",0,L15)=DS15,N15+IF(L15="",0,L15)=DU15),$DB$1,IF(OR(N15+IF(L15="",0,L15)=EN15,N15+IF(L15="",0,L15)=EP15),$DW$1,IF(OR(N15+IF(L15="",0,L15)=FI15,N15+IF(L15="",0,L15)=FK15),$ER$1,IF(OR(N15+IF(L15="",0,L15)=GD15,N15+IF(L15="",0,L15)=GF15),$FM$1,IF(OR(N15+IF(L15="",0,L15)=GY15,N15+IF(L15="",0,L15)=HA15),$GH$1,IF(OR(N15+IF(L15="",0,L15)=HT15,N15+IF(L15="",0,L15)=HV15),$HC$1,IF(OR(N15+IF(L15="",0,L15)=IO15,N15+IF(L15="",0,L15)=IQ15),$HX$1,IF(OR(N15+IF(L15="",0,L15)=JJ15,N15+IF(L15="",0,L15)=JL15),$IS$1,IF(OR(N15+IF(L15="",0,L15)=KE15,N15+IF(L15="",0,L15)=KG15),$JN$1,IF(OR(N15+IF(L15="",0,L15)=KZ15,N15+IF(L15="",0,L15)=LB15),$KI$1,IF(OR(N15+IF(L15="",0,L15)=LU15,N15+IF(L15="",0,L15)=LW15),$LD$1)))))))))))))))</f>
        <v/>
      </c>
      <c r="Q15" s="69">
        <v>27.6</v>
      </c>
      <c r="R15" s="69">
        <v>5.2</v>
      </c>
      <c r="S15" s="69">
        <v>0</v>
      </c>
      <c r="T15" s="69">
        <v>0</v>
      </c>
      <c r="U15" s="69">
        <v>27.4</v>
      </c>
      <c r="V15" s="69">
        <v>5.2</v>
      </c>
      <c r="W15" s="69">
        <v>0.9</v>
      </c>
      <c r="X15" s="69">
        <v>0</v>
      </c>
      <c r="Y15" s="69">
        <v>28.2</v>
      </c>
      <c r="Z15" s="69">
        <v>4</v>
      </c>
      <c r="AA15" s="69">
        <v>0</v>
      </c>
      <c r="AB15" s="69">
        <v>0</v>
      </c>
      <c r="AC15" s="69">
        <v>27.5</v>
      </c>
      <c r="AD15" s="69">
        <v>4.4000000000000004</v>
      </c>
      <c r="AE15" s="69">
        <v>0.9</v>
      </c>
      <c r="AF15" s="69">
        <v>0</v>
      </c>
      <c r="AG15" s="80"/>
      <c r="AH15" s="11">
        <f>IF(SUM(R15,V15)&gt;0,SUM(R15,V15),"")</f>
        <v>10.4</v>
      </c>
      <c r="AI15" s="11">
        <f>IF(SUM(Q15:R15,T15:V15,X15)-SUM(S15,W15)&gt;0,SUM(Q15:R15,T15:V15,X15)-SUM(S15,W15),"")</f>
        <v>64.5</v>
      </c>
      <c r="AJ15" s="11">
        <f>IF(SUM(Z15,AD15)&gt;0,SUM(Z15,AD15),"")</f>
        <v>8.4</v>
      </c>
      <c r="AK15" s="11">
        <f>IF(SUM(Y15:Z15,AB15:AD15,AF15)-SUM(AA15,AE15)&gt;0,SUM(Y15:Z15,AB15:AD15,AF15)-SUM(AA15,AE15),"")</f>
        <v>63.20000000000001</v>
      </c>
      <c r="AL15" s="11">
        <f>IF(SUM(AI15,AK15)&gt;0,SUM(AI15,AK15),"")</f>
        <v>127.70000000000002</v>
      </c>
      <c r="AM15" s="38">
        <v>0</v>
      </c>
      <c r="AN15" s="38">
        <v>0</v>
      </c>
      <c r="AO15" s="38">
        <v>0</v>
      </c>
      <c r="AP15" s="38">
        <v>0</v>
      </c>
      <c r="AQ15" s="38">
        <v>28.2</v>
      </c>
      <c r="AR15" s="38">
        <v>6</v>
      </c>
      <c r="AS15" s="38">
        <v>1.2</v>
      </c>
      <c r="AT15" s="38">
        <v>0</v>
      </c>
      <c r="AU15" s="38"/>
      <c r="AV15" s="38"/>
      <c r="AW15" s="38"/>
      <c r="AX15" s="38"/>
      <c r="AY15" s="38"/>
      <c r="AZ15" s="38"/>
      <c r="BA15" s="38"/>
      <c r="BB15" s="38"/>
      <c r="BC15" s="81"/>
      <c r="BD15" s="14">
        <f>IF(SUM(AN15,AR15)&gt;0,SUM(AN15,AR15),"")</f>
        <v>6</v>
      </c>
      <c r="BE15" s="14">
        <f>IF(SUM(AM15:AN15,AP15:AR15,AT15)-SUM(AO15,AS15)&gt;0,SUM(AM15:AN15,AP15:AR15,AT15)-SUM(AO15,AS15),"")</f>
        <v>33</v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>
        <f>IF(SUM(BE15,BG15)&gt;0,SUM(BE15,BG15),"")</f>
        <v>33</v>
      </c>
      <c r="BI15" s="69">
        <v>27.5</v>
      </c>
      <c r="BJ15" s="69">
        <v>6</v>
      </c>
      <c r="BK15" s="69">
        <v>0</v>
      </c>
      <c r="BL15" s="69">
        <v>0</v>
      </c>
      <c r="BM15" s="69">
        <v>28</v>
      </c>
      <c r="BN15" s="69">
        <v>3.4</v>
      </c>
      <c r="BO15" s="69">
        <v>3.5</v>
      </c>
      <c r="BP15" s="69">
        <v>0</v>
      </c>
      <c r="BQ15" s="69">
        <v>0</v>
      </c>
      <c r="BR15" s="69">
        <v>0</v>
      </c>
      <c r="BS15" s="69">
        <v>0</v>
      </c>
      <c r="BT15" s="69">
        <v>0</v>
      </c>
      <c r="BU15" s="69">
        <v>0</v>
      </c>
      <c r="BV15" s="69">
        <v>0</v>
      </c>
      <c r="BW15" s="69">
        <v>0</v>
      </c>
      <c r="BX15" s="69">
        <v>0</v>
      </c>
      <c r="BY15" s="80"/>
      <c r="BZ15" s="11">
        <f>IF(SUM(BJ15,BN15)&gt;0,SUM(BJ15,BN15),"")</f>
        <v>9.4</v>
      </c>
      <c r="CA15" s="11">
        <f>IF(SUM(BI15:BJ15,BL15:BN15,BP15)-SUM(BK15,BO15)&gt;0,SUM(BI15:BJ15,BL15:BN15,BP15)-SUM(BK15,BO15),"")</f>
        <v>61.400000000000006</v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>
        <f>IF(SUM(CA15,CC15)&gt;0,SUM(CA15,CC15),"")</f>
        <v>61.400000000000006</v>
      </c>
      <c r="CE15" s="24" t="str">
        <f>IF(MAX(DA15,DV15,EQ15,FL15,GG15,HB15,HW15,IR15,JM15,KH15,LC15,LX15)-IF(J15="",0,J15)&gt;0.001,MAX(DA15,DV15,EQ15,FL15,GG15,HB15,HW15,IR15,JM15,KH15,LC15,LX15)-IF(J15="",0,J15),"")</f>
        <v/>
      </c>
      <c r="CF15" s="24" t="str">
        <f>IF(MAX(CX15,CZ15,DS15,DU15,EN15,EP15,FI15,FK15,GD15,GF15,GY15,HA15,HT15,HV15,IO15,IQ15,JJ15,JL15,KE15,KG15,KZ15,LB15,LU15,LW15)-IF(L15="",0,L15)&gt;0.001,MAX(CX15,CZ15,DS15,DU15,EN15,EP15,FI15,FK15,GD15,GF15,GY15,HA15,HT15,HV15,IO15,IQ15,JJ15,JL15,KE15,KG15,KZ15,LB15,LU15,LW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9">
        <f>IF($BY15="P",BI15,(BI15+AM15)/2)</f>
        <v>13.75</v>
      </c>
      <c r="LZ15" s="69">
        <f>IF($BY15="P",BJ15,(BJ15+AN15)/2)</f>
        <v>3</v>
      </c>
      <c r="MA15" s="69">
        <f>IF($BY15="P",BK15,(BK15+AO15)/2)</f>
        <v>0</v>
      </c>
      <c r="MB15" s="69">
        <f>IF($BY15="P",BL15,(BL15+AP15)/2)</f>
        <v>0</v>
      </c>
      <c r="MC15" s="69">
        <f>IF($BY15="P",BM15,(BM15+AQ15)/2)</f>
        <v>28.1</v>
      </c>
      <c r="MD15" s="69">
        <f>IF($BY15="P",BN15,(BN15+AR15)/2)</f>
        <v>4.7</v>
      </c>
      <c r="ME15" s="69">
        <f>IF($BY15="P",BO15,(BO15+AS15)/2)</f>
        <v>2.35</v>
      </c>
      <c r="MF15" s="69">
        <f>IF($BY15="P",BP15,(BP15+AT15)/2)</f>
        <v>0</v>
      </c>
      <c r="MG15" s="69">
        <f>IF($BY15="P",BQ15,(BQ15+AU15)/2)</f>
        <v>0</v>
      </c>
      <c r="MH15" s="69">
        <f>IF($BY15="P",BR15,(BR15+AV15)/2)</f>
        <v>0</v>
      </c>
      <c r="MI15" s="69">
        <f>IF($BY15="P",BS15,(BS15+AW15)/2)</f>
        <v>0</v>
      </c>
      <c r="MJ15" s="69">
        <f>IF($BY15="P",BT15,(BT15+AX15)/2)</f>
        <v>0</v>
      </c>
      <c r="MK15" s="69">
        <f>IF($BY15="P",BU15,(BU15+AY15)/2)</f>
        <v>0</v>
      </c>
      <c r="ML15" s="69">
        <f>IF($BY15="P",BV15,(BV15+AZ15)/2)</f>
        <v>0</v>
      </c>
      <c r="MM15" s="69">
        <f>IF($BY15="P",BW15,(BW15+BA15)/2)</f>
        <v>0</v>
      </c>
      <c r="MN15" s="69">
        <f>IF($BY15="P",BX15,(BX15+BB15)/2)</f>
        <v>0</v>
      </c>
      <c r="MO15" s="80" t="s">
        <v>91</v>
      </c>
      <c r="MP15" s="11">
        <f>IF(SUM(LZ15,MD15)&gt;0,SUM(LZ15,MD15),"")</f>
        <v>7.7</v>
      </c>
      <c r="MQ15" s="11">
        <f>IF(SUM(LY15:LZ15,MB15:MD15,MF15)-SUM(MA15,ME15)&gt;0,SUM(LY15:LZ15,MB15:MD15,MF15)-SUM(MA15,ME15),"")</f>
        <v>47.2</v>
      </c>
      <c r="MR15" s="11" t="str">
        <f>IF(SUM(MH15,ML15)&gt;0,SUM(MH15,ML15),"")</f>
        <v/>
      </c>
      <c r="MS15" s="11" t="str">
        <f>IF(SUM(MG15:MH15,MJ15:ML15,MN15)-SUM(MI15,MM15)&gt;0,SUM(MG15:MH15,MJ15:ML15,MN15)-SUM(MI15,MM15),"")</f>
        <v/>
      </c>
      <c r="MT15" s="11">
        <f>IF(SUM(MQ15,MS15)&gt;0,SUM(MQ15,MS15),"")</f>
        <v>47.2</v>
      </c>
    </row>
    <row r="16" spans="1:358" x14ac:dyDescent="0.2">
      <c r="A16" s="5" t="str">
        <f>IF(AND(F16="P",G16="P"),SUMPRODUCT((F$4:F$18="P")*(G$4:G$18="P")*(E$4:E$18&gt;E16))+1,IF(G16="P",SUMPRODUCT((F$4:F$18="")*(G$4:G$18="P")*(E$4:E$18&gt;E16))+1+SUMPRODUCT((F$4:F$18="P")*(G$4:G$18="P")),""))</f>
        <v/>
      </c>
      <c r="B16" s="8" t="s">
        <v>52</v>
      </c>
      <c r="C16" s="4" t="s">
        <v>5</v>
      </c>
      <c r="D16" s="5">
        <v>1993</v>
      </c>
      <c r="E16" s="15">
        <f>SUM(J16:N16)</f>
        <v>161.4</v>
      </c>
      <c r="F16" s="3" t="str">
        <f>IF(OR(AND(AH16&gt;=AL$20,AI16&gt;=AL$24,AI16&lt;&gt;"",AG16=""),AND(BD16&gt;=BH$20,BE16&gt;=BH$24,BE16&lt;&gt;"",BC16=""),AND(BZ16&gt;=CD$20,CA16&gt;=CD$24,CA16&lt;&gt;"",BY16=""),AND(CW16&gt;=DA$20,CX16&gt;=DA$24,CX16&lt;&gt;""),AND(DR16&gt;=DV$20,DS16&gt;=DV$24,DS16&lt;&gt;""),AND(EM16&gt;=EQ$20,EN16&gt;=EQ$24,EN16&lt;&gt;""),AND(FH16&gt;=FL$20,FI16&gt;=FL$24,FI16&lt;&gt;""),AND(GC16&gt;=GG$20,GD16&gt;=GG$24,GD16&lt;&gt;""),AND(GX16&gt;=HB$20,GY16&gt;=HB$24,GY16&lt;&gt;""),AND(HS16&gt;=HW$20,HT16&gt;=HW$24,HT16&lt;&gt;""),AND(IN16&gt;=IR$20,IO16&gt;=IR$24,IO16&lt;&gt;""),AND(JI16&gt;=JM$20,JJ16&gt;=JM$24,JJ16&lt;&gt;""),AND(KD16&gt;=KH$20,KE16&gt;=KH$24,KE16&lt;&gt;""),AND(KY16&gt;=LC$20,KZ16&gt;=LC$24,KZ16&lt;&gt;""),AND(LT16&gt;=LX$20,LU16&gt;=LX$24,LU16&lt;&gt;"")),"P","")</f>
        <v/>
      </c>
      <c r="G16" s="3" t="str">
        <f>IF(OR(AND(AI16&gt;=AL$24,AI16&lt;&gt;"",AG16=""),AND(BE16&gt;=BH$24,BE16&lt;&gt;"",BC16=""),AND(CA16&gt;=CD$24,CA16&lt;&gt;"",BY16=""),AND(CX16&gt;=DA$24,CX16&lt;&gt;""),AND(DS16&gt;=DV$24,DS16&lt;&gt;""),AND(EN16&gt;=EQ$24,EN16&lt;&gt;""),AND(FI16&gt;=FL$24,FI16&lt;&gt;""),AND(GD16&gt;=GG$24,GD16&lt;&gt;""),AND(GY16&gt;=HB$24,GY16&lt;&gt;""),AND(HT16&gt;=HW$24,HT16&lt;&gt;""),AND(IO16&gt;=IR$24,IO16&lt;&gt;""),AND(JJ16&gt;=JM$24,JJ16&lt;&gt;""),AND(KE16&gt;=KH$24,KE16&lt;&gt;""),AND(KZ16&gt;=LC$24,KZ16&lt;&gt;""),AND(LU16&gt;=LX$24,LU16&lt;&gt;"")),"P","")</f>
        <v/>
      </c>
      <c r="H16" s="126" t="str">
        <f>IF(AND(G16="P",F16=""),"No DD",IF(OR(AND(AH16&gt;=AL$23,AH16&lt;&gt;"",AI16&gt;=AL$27,AI16&lt;&gt;"",AG16=""),AND(BD16&gt;=BH$23,BD16&lt;&gt;"",BE16&gt;=BH$27,BE16&lt;&gt;"",BC16=""),AND(BZ16&gt;=CD$23,BZ16&lt;&gt;"",CA16&gt;=CD$27,CA16&lt;&gt;"",BY16=""),AND(CW16&gt;=DA$23,CW16&lt;&gt;"",CX16&gt;=DA$27,CX16&lt;&gt;""),AND(DR16&gt;=DV$23,DR16&lt;&gt;"",DS16&gt;=DV$27,DS16&lt;&gt;""),AND(EM16&gt;=EQ$23,EM16&lt;&gt;"",EN16&gt;=EQ$27,EN16&lt;&gt;""),AND(FH16&gt;=FL$23,FH16&lt;&gt;"",FI16&gt;=FL$27,FI16&lt;&gt;""),AND(GC16&gt;=GG$23,GC16&lt;&gt;"",GD16&gt;=GG$27,GD16&lt;&gt;""),AND(GX16&gt;=HB$23,GX16&lt;&gt;"",GY16&gt;=HB$27,GY16&lt;&gt;""),AND(HS16&gt;=HW$23,HS16&lt;&gt;"",HT16&gt;=HW$27,HT16&lt;&gt;""),AND(IN16&gt;=IR$23,IN16&lt;&gt;"",IO16&gt;=IR$27,IO16&lt;&gt;""),AND(JI16&gt;=JM$23,JI16&lt;&gt;"",JJ16&gt;=JM$27,JJ16&lt;&gt;""),AND(KD16&gt;=KH$23,KD16&lt;&gt;"",KE16&gt;=KH$27,KE16&lt;&gt;""),AND(KY16&gt;=LC$23,KY16&lt;&gt;"",KZ16&gt;=LC$27,KZ16&lt;&gt;""),AND(LT16&gt;=LX$23,LT16&lt;&gt;"",LU16&gt;=LX$27,LU16&lt;&gt;"")),"Merit",IF(OR(AND(AH16&gt;=AL$22,AH16&lt;&gt;"",AI16&gt;=AL$26,AI16&lt;&gt;"",AG16=""),AND(BD16&gt;=BH$22,BD16&lt;&gt;"",BE16&gt;=BH$26,BE16&lt;&gt;"",BC16=""),AND(BZ16&gt;=CD$22,BZ16&lt;&gt;"",CA16&gt;=CD$26,CA16&lt;&gt;"",BY16=""),AND(CW16&gt;=DA$22,CW16&lt;&gt;"",CX16&gt;=DA$26,CX16&lt;&gt;""),AND(DR16&gt;=DV$22,DR16&lt;&gt;"",DS16&gt;=DV$26,DS16&lt;&gt;""),AND(EM16&gt;=EQ$22,EM16&lt;&gt;"",EN16&gt;=EQ$26,EN16&lt;&gt;""),AND(FH16&gt;=FL$22,FH16&lt;&gt;"",FI16&gt;=FL$26,FI16&lt;&gt;""),AND(GC16&gt;=GG$22,GC16&lt;&gt;"",GD16&gt;=GG$26,GD16&lt;&gt;""),AND(GX16&gt;=HB$22,GX16&lt;&gt;"",GY16&gt;=HB$26,GY16&lt;&gt;""),AND(HS16&gt;=HW$22,HS16&lt;&gt;"",HT16&gt;=HW$26,HT16&lt;&gt;""),AND(IN16&gt;=IR$22,IN16&lt;&gt;"",IO16&gt;=IR$26,IO16&lt;&gt;""),AND(JI16&gt;=JM$22,JI16&lt;&gt;"",JJ16&gt;=JM$26,JJ16&lt;&gt;""),AND(KD16&gt;=KH$22,KD16&lt;&gt;"",KE16&gt;=KH$26,KE16&lt;&gt;""),AND(KY16&gt;=LC$22,KY16&lt;&gt;"",KZ16&gt;=LC$26,KZ16&lt;&gt;""),AND(LT16&gt;=LX$22,LT16&lt;&gt;"",LU16&gt;=LX$26,LU16&lt;&gt;"")),"Excellence",IF(OR(AND(AH16&gt;=AL$21,AH16&lt;&gt;"",AI16&gt;=AL$25,AI16&lt;&gt;"",AG16=""),AND(BD16&gt;=BH$21,BD16&lt;&gt;"",BE16&gt;=BH$25,BE16&lt;&gt;"",BC16=""),AND(BZ16&gt;=CD$21,BZ16&lt;&gt;"",CA16&gt;=CD$25,CA16&lt;&gt;"",BY16=""),AND(CW16&gt;=DA$21,CW16&lt;&gt;"",CX16&gt;=DA$25,CX16&lt;&gt;""),AND(DR16&gt;=DV$21,DR16&lt;&gt;"",DS16&gt;=DV$25,DS16&lt;&gt;""),AND(EM16&gt;=EQ$21,EM16&lt;&gt;"",EN16&gt;=EQ$25,EN16&lt;&gt;""),AND(FH16&gt;=FL$21,FH16&lt;&gt;"",FI16&gt;=FL$25,FI16&lt;&gt;""),AND(GC16&gt;=GG$21,GC16&lt;&gt;"",GD16&gt;=GG$25,GD16&lt;&gt;""),AND(GX16&gt;=HB$21,GX16&lt;&gt;"",GY16&gt;=HB$25,GY16&lt;&gt;""),AND(HS16&gt;=HW$21,HS16&lt;&gt;"",HT16&gt;=HW$25,HT16&lt;&gt;""),AND(IN16&gt;=IR$21,IN16&lt;&gt;"",IO16&gt;=IR$25,IO16&lt;&gt;""),AND(JI16&gt;=JM$21,JI16&lt;&gt;"",JJ16&gt;=JM$25,JJ16&lt;&gt;""),AND(KD16&gt;=KH$21,KD16&lt;&gt;"",KE16&gt;=KH$25,KE16&lt;&gt;""),AND(KY16&gt;=LC$21,KY16&lt;&gt;"",KZ16&gt;=LC$25,KZ16&lt;&gt;""),AND(LT16&gt;=LX$21,LT16&lt;&gt;"",LU16&gt;=LX$25,LU16&lt;&gt;"")),"Worlds Team",IF(OR(AND(AH16&gt;=AL$20,AH16&lt;&gt;"",AI16&gt;=AL$24,AI16&lt;&gt;"",AG16=""),AND(BD16&gt;=BH$20,BD16&lt;&gt;"",BE16&gt;=BH$24,BE16&lt;&gt;"",BC16=""),AND(BZ16&gt;=CD$20,BZ16&lt;&gt;"",CA16&gt;=CD$24,CA16&lt;&gt;"",BY16=""),AND(CW16&gt;=DA$20,CW16&lt;&gt;"",CX16&gt;=DA$24,CX16&lt;&gt;""),AND(DR16&gt;=DV$20,DR16&lt;&gt;"",DS16&gt;=DV$24,DS16&lt;&gt;""),AND(EM16&gt;=EQ$20,EM16&lt;&gt;"",EN16&gt;=EQ$24,EN16&lt;&gt;""),AND(FH16&gt;=FL$20,FH16&lt;&gt;"",FI16&gt;=FL$24,FI16&lt;&gt;""),AND(GC16&gt;=GG$20,GC16&lt;&gt;"",GD16&gt;=GG$24,GD16&lt;&gt;""),AND(GX16&gt;=HB$20,GX16&lt;&gt;"",GY16&gt;=HB$24,GY16&lt;&gt;""),AND(HS16&gt;=HW$20,HS16&lt;&gt;"",HT16&gt;=HW$24,HT16&lt;&gt;""),AND(IN16&gt;=IR$20,IN16&lt;&gt;"",IO16&gt;=IR$24,IO16&lt;&gt;""),AND(JI16&gt;=JM$20,JI16&lt;&gt;"",JJ16&gt;=JM$24,JJ16&lt;&gt;""),AND(KD16&gt;=KH$20,KD16&lt;&gt;"",KE16&gt;=KH$24,KE16&lt;&gt;""),AND(KY16&gt;=LC$20,KY16&lt;&gt;"",KZ16&gt;=LC$24,KZ16&lt;&gt;""),AND(LT16&gt;=LX$20,LT16&lt;&gt;"",LU16&gt;=LX$24,LU16&lt;&gt;"")),"National Team","")))))</f>
        <v/>
      </c>
      <c r="I16" s="3" t="str">
        <f>IF(OR(H16="Worlds Team",H16="Excellence",H16="Merit"),"P","")</f>
        <v/>
      </c>
      <c r="J16" s="14">
        <f>MAX(AL16,BH16,CD16)</f>
        <v>129.5</v>
      </c>
      <c r="K16" s="14" t="str">
        <f>IF(J16=0,"",IF(J16=CD16,$BI$1,IF(J16=BH16,$AM$1,IF(J16=AL16,$Q$1,""))))</f>
        <v>2019 Elite Canada</v>
      </c>
      <c r="L16" s="14">
        <f>IF(J16=AL16,MAX(BE16,BG16,CA16,CC16),IF(J16=BH16,MAX(AI16,AK16,CA16,CC16),MAX(AI16,AK16,BE16,BG16)))</f>
        <v>31.9</v>
      </c>
      <c r="M16" s="14" t="str">
        <f>IF(L16=0,"",IF(AND(J16&lt;&gt;CD16,OR(L16=CA16,L16=CC16)),$BI$1,IF(AND(J16&lt;&gt;BH16,OR(L16=BG16,L16=BE16)),$AM$1,IF(OR(L16=AK16,L16=AI16),$Q$1,""))))</f>
        <v>2019 Nationals</v>
      </c>
      <c r="N16" s="14" t="str">
        <f>IF(MAX(CE16:CF16)&gt;0,MAX(CE16:CF16),"")</f>
        <v/>
      </c>
      <c r="O16" s="25" t="str">
        <f>IF(N16="","",IF(N16=CE16,"(4 Pass)",IF(N16=CF16,"(2 Pass)")))</f>
        <v/>
      </c>
      <c r="P16" s="14" t="str">
        <f>IF(N16="","",IF(N16=CE16,IF(N16+IF(J16="",0,J16)=DA16,$CG$1,IF(N16+IF(J16="",0,J16)=DV16,$DB$1,IF(N16+IF(J16="",0,J16)=EQ16,$DW$1,IF(N16+IF(J16="",0,J16)=FL16,$ER$1,IF(N16+IF(J16="",0,J16)=GG16,$FM$1,IF(N16+IF(J16="",0,J16)=HB16,$GH$1,IF(N16+IF(J16="",0,J16)=HW16,$HC$1,IF(N16+IF(J16="",0,J16)=IR16,$HX$1,IF(N16+IF(J16="",0,J16)=JM16,$IS$1,IF(N16+IF(J16="",0,J16)=KH16,$JN$1,IF(N16+IF(J16="",0,J16)=LC16,$KI$1,IF(N16+IF(J16="",0,J16)=LX16,$LD$1)))))))))))),IF(N16=CF16,IF(OR(N16+IF(L16="",0,L16)=CX16,N16+IF(L16="",0,L16)=CZ16),$CG$1,IF(OR(N16+IF(L16="",0,L16)=DS16,N16+IF(L16="",0,L16)=DU16),$DB$1,IF(OR(N16+IF(L16="",0,L16)=EN16,N16+IF(L16="",0,L16)=EP16),$DW$1,IF(OR(N16+IF(L16="",0,L16)=FI16,N16+IF(L16="",0,L16)=FK16),$ER$1,IF(OR(N16+IF(L16="",0,L16)=GD16,N16+IF(L16="",0,L16)=GF16),$FM$1,IF(OR(N16+IF(L16="",0,L16)=GY16,N16+IF(L16="",0,L16)=HA16),$GH$1,IF(OR(N16+IF(L16="",0,L16)=HT16,N16+IF(L16="",0,L16)=HV16),$HC$1,IF(OR(N16+IF(L16="",0,L16)=IO16,N16+IF(L16="",0,L16)=IQ16),$HX$1,IF(OR(N16+IF(L16="",0,L16)=JJ16,N16+IF(L16="",0,L16)=JL16),$IS$1,IF(OR(N16+IF(L16="",0,L16)=KE16,N16+IF(L16="",0,L16)=KG16),$JN$1,IF(OR(N16+IF(L16="",0,L16)=KZ16,N16+IF(L16="",0,L16)=LB16),$KI$1,IF(OR(N16+IF(L16="",0,L16)=LU16,N16+IF(L16="",0,L16)=LW16),$LD$1)))))))))))))))</f>
        <v/>
      </c>
      <c r="Q16" s="69">
        <v>24.9</v>
      </c>
      <c r="R16" s="69">
        <v>8</v>
      </c>
      <c r="S16" s="69">
        <v>1.5</v>
      </c>
      <c r="T16" s="69">
        <v>0</v>
      </c>
      <c r="U16" s="69">
        <v>28.9</v>
      </c>
      <c r="V16" s="69">
        <v>6.4</v>
      </c>
      <c r="W16" s="69">
        <v>0.9</v>
      </c>
      <c r="X16" s="69">
        <v>0</v>
      </c>
      <c r="Y16" s="69">
        <v>28.2</v>
      </c>
      <c r="Z16" s="69">
        <v>6.8</v>
      </c>
      <c r="AA16" s="69">
        <v>0.9</v>
      </c>
      <c r="AB16" s="69">
        <v>0</v>
      </c>
      <c r="AC16" s="69">
        <v>26.7</v>
      </c>
      <c r="AD16" s="69">
        <v>5.2</v>
      </c>
      <c r="AE16" s="69">
        <v>2.2999999999999998</v>
      </c>
      <c r="AF16" s="69">
        <v>0</v>
      </c>
      <c r="AG16" s="80"/>
      <c r="AH16" s="11">
        <f>IF(SUM(R16,V16)&gt;0,SUM(R16,V16),"")</f>
        <v>14.4</v>
      </c>
      <c r="AI16" s="11">
        <f>IF(SUM(Q16:R16,T16:V16,X16)-SUM(S16,W16)&gt;0,SUM(Q16:R16,T16:V16,X16)-SUM(S16,W16),"")</f>
        <v>65.8</v>
      </c>
      <c r="AJ16" s="11">
        <f>IF(SUM(Z16,AD16)&gt;0,SUM(Z16,AD16),"")</f>
        <v>12</v>
      </c>
      <c r="AK16" s="11">
        <f>IF(SUM(Y16:Z16,AB16:AD16,AF16)-SUM(AA16,AE16)&gt;0,SUM(Y16:Z16,AB16:AD16,AF16)-SUM(AA16,AE16),"")</f>
        <v>63.7</v>
      </c>
      <c r="AL16" s="11">
        <f>IF(SUM(AI16,AK16)&gt;0,SUM(AI16,AK16),"")</f>
        <v>129.5</v>
      </c>
      <c r="AM16" s="38">
        <v>0</v>
      </c>
      <c r="AN16" s="38">
        <v>0</v>
      </c>
      <c r="AO16" s="38">
        <v>0</v>
      </c>
      <c r="AP16" s="38">
        <v>0</v>
      </c>
      <c r="AQ16" s="38">
        <v>25.2</v>
      </c>
      <c r="AR16" s="38">
        <v>7.6</v>
      </c>
      <c r="AS16" s="38">
        <v>0.9</v>
      </c>
      <c r="AT16" s="38">
        <v>0</v>
      </c>
      <c r="AU16" s="38"/>
      <c r="AV16" s="38"/>
      <c r="AW16" s="38"/>
      <c r="AX16" s="38"/>
      <c r="AY16" s="38"/>
      <c r="AZ16" s="38"/>
      <c r="BA16" s="38"/>
      <c r="BB16" s="38"/>
      <c r="BC16" s="81"/>
      <c r="BD16" s="14">
        <f>IF(SUM(AN16,AR16)&gt;0,SUM(AN16,AR16),"")</f>
        <v>7.6</v>
      </c>
      <c r="BE16" s="14">
        <f>IF(SUM(AM16:AN16,AP16:AR16,AT16)-SUM(AO16,AS16)&gt;0,SUM(AM16:AN16,AP16:AR16,AT16)-SUM(AO16,AS16),"")</f>
        <v>31.9</v>
      </c>
      <c r="BF16" s="14" t="str">
        <f>IF(SUM(AV16,AZ16)&gt;0,SUM(AV16,AZ16),"")</f>
        <v/>
      </c>
      <c r="BG16" s="14" t="str">
        <f>IF(SUM(AU16:AV16,AX16:AZ16,BB16)-SUM(AW16,BA16)&gt;0,SUM(AU16:AV16,AX16:AZ16,BB16)-SUM(AW16,BA16),"")</f>
        <v/>
      </c>
      <c r="BH16" s="14">
        <f>IF(SUM(BE16,BG16)&gt;0,SUM(BE16,BG16),"")</f>
        <v>31.9</v>
      </c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80"/>
      <c r="BZ16" s="11" t="str">
        <f>IF(SUM(BJ16,BN16)&gt;0,SUM(BJ16,BN16),"")</f>
        <v/>
      </c>
      <c r="CA16" s="11" t="str">
        <f>IF(SUM(BI16:BJ16,BL16:BN16,BP16)-SUM(BK16,BO16)&gt;0,SUM(BI16:BJ16,BL16:BN16,BP16)-SUM(BK16,BO16),"")</f>
        <v/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 t="str">
        <f>IF(SUM(CA16,CC16)&gt;0,SUM(CA16,CC16),"")</f>
        <v/>
      </c>
      <c r="CE16" s="24" t="str">
        <f>IF(MAX(DA16,DV16,EQ16,FL16,GG16,HB16,HW16,IR16,JM16,KH16,LC16,LX16)-IF(J16="",0,J16)&gt;0.001,MAX(DA16,DV16,EQ16,FL16,GG16,HB16,HW16,IR16,JM16,KH16,LC16,LX16)-IF(J16="",0,J16),"")</f>
        <v/>
      </c>
      <c r="CF16" s="24" t="str">
        <f>IF(MAX(CX16,CZ16,DS16,DU16,EN16,EP16,FI16,FK16,GD16,GF16,GY16,HA16,HT16,HV16,IO16,IQ16,JJ16,JL16,KE16,KG16,KZ16,LB16,LU16,LW16)-IF(L16="",0,L16)&gt;0.001,MAX(CX16,CZ16,DS16,DU16,EN16,EP16,FI16,FK16,GD16,GF16,GY16,HA16,HT16,HV16,IO16,IQ16,JJ16,JL16,KE16,KG16,KZ16,LB16,LU16,LW16)-IF(L16="",0,L16),"")</f>
        <v/>
      </c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9">
        <f>IF($BY16="P",BI16,(BI16+AM16)/2)</f>
        <v>0</v>
      </c>
      <c r="LZ16" s="69">
        <f>IF($BY16="P",BJ16,(BJ16+AN16)/2)</f>
        <v>0</v>
      </c>
      <c r="MA16" s="69">
        <f>IF($BY16="P",BK16,(BK16+AO16)/2)</f>
        <v>0</v>
      </c>
      <c r="MB16" s="69">
        <f>IF($BY16="P",BL16,(BL16+AP16)/2)</f>
        <v>0</v>
      </c>
      <c r="MC16" s="69">
        <f>IF($BY16="P",BM16,(BM16+AQ16)/2)</f>
        <v>12.6</v>
      </c>
      <c r="MD16" s="69">
        <f>IF($BY16="P",BN16,(BN16+AR16)/2)</f>
        <v>3.8</v>
      </c>
      <c r="ME16" s="69">
        <f>IF($BY16="P",BO16,(BO16+AS16)/2)</f>
        <v>0.45</v>
      </c>
      <c r="MF16" s="69">
        <f>IF($BY16="P",BP16,(BP16+AT16)/2)</f>
        <v>0</v>
      </c>
      <c r="MG16" s="69">
        <f>IF($BY16="P",BQ16,(BQ16+AU16)/2)</f>
        <v>0</v>
      </c>
      <c r="MH16" s="69">
        <f>IF($BY16="P",BR16,(BR16+AV16)/2)</f>
        <v>0</v>
      </c>
      <c r="MI16" s="69">
        <f>IF($BY16="P",BS16,(BS16+AW16)/2)</f>
        <v>0</v>
      </c>
      <c r="MJ16" s="69">
        <f>IF($BY16="P",BT16,(BT16+AX16)/2)</f>
        <v>0</v>
      </c>
      <c r="MK16" s="69">
        <f>IF($BY16="P",BU16,(BU16+AY16)/2)</f>
        <v>0</v>
      </c>
      <c r="ML16" s="69">
        <f>IF($BY16="P",BV16,(BV16+AZ16)/2)</f>
        <v>0</v>
      </c>
      <c r="MM16" s="69">
        <f>IF($BY16="P",BW16,(BW16+BA16)/2)</f>
        <v>0</v>
      </c>
      <c r="MN16" s="69">
        <f>IF($BY16="P",BX16,(BX16+BB16)/2)</f>
        <v>0</v>
      </c>
      <c r="MO16" s="80" t="s">
        <v>91</v>
      </c>
      <c r="MP16" s="11">
        <f>IF(SUM(LZ16,MD16)&gt;0,SUM(LZ16,MD16),"")</f>
        <v>3.8</v>
      </c>
      <c r="MQ16" s="11">
        <f>IF(SUM(LY16:LZ16,MB16:MD16,MF16)-SUM(MA16,ME16)&gt;0,SUM(LY16:LZ16,MB16:MD16,MF16)-SUM(MA16,ME16),"")</f>
        <v>15.95</v>
      </c>
      <c r="MR16" s="11" t="str">
        <f>IF(SUM(MH16,ML16)&gt;0,SUM(MH16,ML16),"")</f>
        <v/>
      </c>
      <c r="MS16" s="11" t="str">
        <f>IF(SUM(MG16:MH16,MJ16:ML16,MN16)-SUM(MI16,MM16)&gt;0,SUM(MG16:MH16,MJ16:ML16,MN16)-SUM(MI16,MM16),"")</f>
        <v/>
      </c>
      <c r="MT16" s="11">
        <f>IF(SUM(MQ16,MS16)&gt;0,SUM(MQ16,MS16),"")</f>
        <v>15.95</v>
      </c>
    </row>
    <row r="17" spans="1:358" x14ac:dyDescent="0.2">
      <c r="A17" s="5" t="str">
        <f>IF(AND(F17="P",G17="P"),SUMPRODUCT((F$4:F$18="P")*(G$4:G$18="P")*(E$4:E$18&gt;E17))+1,IF(G17="P",SUMPRODUCT((F$4:F$18="")*(G$4:G$18="P")*(E$4:E$18&gt;E17))+1+SUMPRODUCT((F$4:F$18="P")*(G$4:G$18="P")),""))</f>
        <v/>
      </c>
      <c r="B17" s="8" t="s">
        <v>101</v>
      </c>
      <c r="C17" s="4" t="s">
        <v>6</v>
      </c>
      <c r="D17" s="5">
        <v>2001</v>
      </c>
      <c r="E17" s="15">
        <f>SUM(J17:N17)</f>
        <v>145.4</v>
      </c>
      <c r="F17" s="3" t="str">
        <f>IF(OR(AND(AH17&gt;=AL$20,AI17&gt;=AL$24,AI17&lt;&gt;"",AG17=""),AND(BD17&gt;=BH$20,BE17&gt;=BH$24,BE17&lt;&gt;"",BC17=""),AND(BZ17&gt;=CD$20,CA17&gt;=CD$24,CA17&lt;&gt;"",BY17=""),AND(CW17&gt;=DA$20,CX17&gt;=DA$24,CX17&lt;&gt;""),AND(DR17&gt;=DV$20,DS17&gt;=DV$24,DS17&lt;&gt;""),AND(EM17&gt;=EQ$20,EN17&gt;=EQ$24,EN17&lt;&gt;""),AND(FH17&gt;=FL$20,FI17&gt;=FL$24,FI17&lt;&gt;""),AND(GC17&gt;=GG$20,GD17&gt;=GG$24,GD17&lt;&gt;""),AND(GX17&gt;=HB$20,GY17&gt;=HB$24,GY17&lt;&gt;""),AND(HS17&gt;=HW$20,HT17&gt;=HW$24,HT17&lt;&gt;""),AND(IN17&gt;=IR$20,IO17&gt;=IR$24,IO17&lt;&gt;""),AND(JI17&gt;=JM$20,JJ17&gt;=JM$24,JJ17&lt;&gt;""),AND(KD17&gt;=KH$20,KE17&gt;=KH$24,KE17&lt;&gt;""),AND(KY17&gt;=LC$20,KZ17&gt;=LC$24,KZ17&lt;&gt;""),AND(LT17&gt;=LX$20,LU17&gt;=LX$24,LU17&lt;&gt;"")),"P","")</f>
        <v/>
      </c>
      <c r="G17" s="3" t="str">
        <f>IF(OR(AND(AI17&gt;=AL$24,AI17&lt;&gt;"",AG17=""),AND(BE17&gt;=BH$24,BE17&lt;&gt;"",BC17=""),AND(CA17&gt;=CD$24,CA17&lt;&gt;"",BY17=""),AND(CX17&gt;=DA$24,CX17&lt;&gt;""),AND(DS17&gt;=DV$24,DS17&lt;&gt;""),AND(EN17&gt;=EQ$24,EN17&lt;&gt;""),AND(FI17&gt;=FL$24,FI17&lt;&gt;""),AND(GD17&gt;=GG$24,GD17&lt;&gt;""),AND(GY17&gt;=HB$24,GY17&lt;&gt;""),AND(HT17&gt;=HW$24,HT17&lt;&gt;""),AND(IO17&gt;=IR$24,IO17&lt;&gt;""),AND(JJ17&gt;=JM$24,JJ17&lt;&gt;""),AND(KE17&gt;=KH$24,KE17&lt;&gt;""),AND(KZ17&gt;=LC$24,KZ17&lt;&gt;""),AND(LU17&gt;=LX$24,LU17&lt;&gt;"")),"P","")</f>
        <v/>
      </c>
      <c r="H17" s="126" t="str">
        <f>IF(AND(G17="P",F17=""),"No DD",IF(OR(AND(AH17&gt;=AL$23,AH17&lt;&gt;"",AI17&gt;=AL$27,AI17&lt;&gt;"",AG17=""),AND(BD17&gt;=BH$23,BD17&lt;&gt;"",BE17&gt;=BH$27,BE17&lt;&gt;"",BC17=""),AND(BZ17&gt;=CD$23,BZ17&lt;&gt;"",CA17&gt;=CD$27,CA17&lt;&gt;"",BY17=""),AND(CW17&gt;=DA$23,CW17&lt;&gt;"",CX17&gt;=DA$27,CX17&lt;&gt;""),AND(DR17&gt;=DV$23,DR17&lt;&gt;"",DS17&gt;=DV$27,DS17&lt;&gt;""),AND(EM17&gt;=EQ$23,EM17&lt;&gt;"",EN17&gt;=EQ$27,EN17&lt;&gt;""),AND(FH17&gt;=FL$23,FH17&lt;&gt;"",FI17&gt;=FL$27,FI17&lt;&gt;""),AND(GC17&gt;=GG$23,GC17&lt;&gt;"",GD17&gt;=GG$27,GD17&lt;&gt;""),AND(GX17&gt;=HB$23,GX17&lt;&gt;"",GY17&gt;=HB$27,GY17&lt;&gt;""),AND(HS17&gt;=HW$23,HS17&lt;&gt;"",HT17&gt;=HW$27,HT17&lt;&gt;""),AND(IN17&gt;=IR$23,IN17&lt;&gt;"",IO17&gt;=IR$27,IO17&lt;&gt;""),AND(JI17&gt;=JM$23,JI17&lt;&gt;"",JJ17&gt;=JM$27,JJ17&lt;&gt;""),AND(KD17&gt;=KH$23,KD17&lt;&gt;"",KE17&gt;=KH$27,KE17&lt;&gt;""),AND(KY17&gt;=LC$23,KY17&lt;&gt;"",KZ17&gt;=LC$27,KZ17&lt;&gt;""),AND(LT17&gt;=LX$23,LT17&lt;&gt;"",LU17&gt;=LX$27,LU17&lt;&gt;"")),"Merit",IF(OR(AND(AH17&gt;=AL$22,AH17&lt;&gt;"",AI17&gt;=AL$26,AI17&lt;&gt;"",AG17=""),AND(BD17&gt;=BH$22,BD17&lt;&gt;"",BE17&gt;=BH$26,BE17&lt;&gt;"",BC17=""),AND(BZ17&gt;=CD$22,BZ17&lt;&gt;"",CA17&gt;=CD$26,CA17&lt;&gt;"",BY17=""),AND(CW17&gt;=DA$22,CW17&lt;&gt;"",CX17&gt;=DA$26,CX17&lt;&gt;""),AND(DR17&gt;=DV$22,DR17&lt;&gt;"",DS17&gt;=DV$26,DS17&lt;&gt;""),AND(EM17&gt;=EQ$22,EM17&lt;&gt;"",EN17&gt;=EQ$26,EN17&lt;&gt;""),AND(FH17&gt;=FL$22,FH17&lt;&gt;"",FI17&gt;=FL$26,FI17&lt;&gt;""),AND(GC17&gt;=GG$22,GC17&lt;&gt;"",GD17&gt;=GG$26,GD17&lt;&gt;""),AND(GX17&gt;=HB$22,GX17&lt;&gt;"",GY17&gt;=HB$26,GY17&lt;&gt;""),AND(HS17&gt;=HW$22,HS17&lt;&gt;"",HT17&gt;=HW$26,HT17&lt;&gt;""),AND(IN17&gt;=IR$22,IN17&lt;&gt;"",IO17&gt;=IR$26,IO17&lt;&gt;""),AND(JI17&gt;=JM$22,JI17&lt;&gt;"",JJ17&gt;=JM$26,JJ17&lt;&gt;""),AND(KD17&gt;=KH$22,KD17&lt;&gt;"",KE17&gt;=KH$26,KE17&lt;&gt;""),AND(KY17&gt;=LC$22,KY17&lt;&gt;"",KZ17&gt;=LC$26,KZ17&lt;&gt;""),AND(LT17&gt;=LX$22,LT17&lt;&gt;"",LU17&gt;=LX$26,LU17&lt;&gt;"")),"Excellence",IF(OR(AND(AH17&gt;=AL$21,AH17&lt;&gt;"",AI17&gt;=AL$25,AI17&lt;&gt;"",AG17=""),AND(BD17&gt;=BH$21,BD17&lt;&gt;"",BE17&gt;=BH$25,BE17&lt;&gt;"",BC17=""),AND(BZ17&gt;=CD$21,BZ17&lt;&gt;"",CA17&gt;=CD$25,CA17&lt;&gt;"",BY17=""),AND(CW17&gt;=DA$21,CW17&lt;&gt;"",CX17&gt;=DA$25,CX17&lt;&gt;""),AND(DR17&gt;=DV$21,DR17&lt;&gt;"",DS17&gt;=DV$25,DS17&lt;&gt;""),AND(EM17&gt;=EQ$21,EM17&lt;&gt;"",EN17&gt;=EQ$25,EN17&lt;&gt;""),AND(FH17&gt;=FL$21,FH17&lt;&gt;"",FI17&gt;=FL$25,FI17&lt;&gt;""),AND(GC17&gt;=GG$21,GC17&lt;&gt;"",GD17&gt;=GG$25,GD17&lt;&gt;""),AND(GX17&gt;=HB$21,GX17&lt;&gt;"",GY17&gt;=HB$25,GY17&lt;&gt;""),AND(HS17&gt;=HW$21,HS17&lt;&gt;"",HT17&gt;=HW$25,HT17&lt;&gt;""),AND(IN17&gt;=IR$21,IN17&lt;&gt;"",IO17&gt;=IR$25,IO17&lt;&gt;""),AND(JI17&gt;=JM$21,JI17&lt;&gt;"",JJ17&gt;=JM$25,JJ17&lt;&gt;""),AND(KD17&gt;=KH$21,KD17&lt;&gt;"",KE17&gt;=KH$25,KE17&lt;&gt;""),AND(KY17&gt;=LC$21,KY17&lt;&gt;"",KZ17&gt;=LC$25,KZ17&lt;&gt;""),AND(LT17&gt;=LX$21,LT17&lt;&gt;"",LU17&gt;=LX$25,LU17&lt;&gt;"")),"Worlds Team",IF(OR(AND(AH17&gt;=AL$20,AH17&lt;&gt;"",AI17&gt;=AL$24,AI17&lt;&gt;"",AG17=""),AND(BD17&gt;=BH$20,BD17&lt;&gt;"",BE17&gt;=BH$24,BE17&lt;&gt;"",BC17=""),AND(BZ17&gt;=CD$20,BZ17&lt;&gt;"",CA17&gt;=CD$24,CA17&lt;&gt;"",BY17=""),AND(CW17&gt;=DA$20,CW17&lt;&gt;"",CX17&gt;=DA$24,CX17&lt;&gt;""),AND(DR17&gt;=DV$20,DR17&lt;&gt;"",DS17&gt;=DV$24,DS17&lt;&gt;""),AND(EM17&gt;=EQ$20,EM17&lt;&gt;"",EN17&gt;=EQ$24,EN17&lt;&gt;""),AND(FH17&gt;=FL$20,FH17&lt;&gt;"",FI17&gt;=FL$24,FI17&lt;&gt;""),AND(GC17&gt;=GG$20,GC17&lt;&gt;"",GD17&gt;=GG$24,GD17&lt;&gt;""),AND(GX17&gt;=HB$20,GX17&lt;&gt;"",GY17&gt;=HB$24,GY17&lt;&gt;""),AND(HS17&gt;=HW$20,HS17&lt;&gt;"",HT17&gt;=HW$24,HT17&lt;&gt;""),AND(IN17&gt;=IR$20,IN17&lt;&gt;"",IO17&gt;=IR$24,IO17&lt;&gt;""),AND(JI17&gt;=JM$20,JI17&lt;&gt;"",JJ17&gt;=JM$24,JJ17&lt;&gt;""),AND(KD17&gt;=KH$20,KD17&lt;&gt;"",KE17&gt;=KH$24,KE17&lt;&gt;""),AND(KY17&gt;=LC$20,KY17&lt;&gt;"",KZ17&gt;=LC$24,KZ17&lt;&gt;""),AND(LT17&gt;=LX$20,LT17&lt;&gt;"",LU17&gt;=LX$24,LU17&lt;&gt;"")),"National Team","")))))</f>
        <v/>
      </c>
      <c r="I17" s="3" t="str">
        <f>IF(OR(H17="Worlds Team",H17="Excellence",H17="Merit"),"P","")</f>
        <v/>
      </c>
      <c r="J17" s="14">
        <f>MAX(AL17,BH17,CD17)</f>
        <v>121.30000000000001</v>
      </c>
      <c r="K17" s="14" t="str">
        <f>IF(J17=0,"",IF(J17=CD17,$BI$1,IF(J17=BH17,$AM$1,IF(J17=AL17,$Q$1,""))))</f>
        <v>2019 Nationals</v>
      </c>
      <c r="L17" s="14">
        <f>IF(J17=AL17,MAX(BE17,BG17,CA17,CC17),IF(J17=BH17,MAX(AI17,AK17,CA17,CC17),MAX(AI17,AK17,BE17,BG17)))</f>
        <v>24.1</v>
      </c>
      <c r="M17" s="14" t="str">
        <f>IF(L17=0,"",IF(AND(J17&lt;&gt;CD17,OR(L17=CA17,L17=CC17)),$BI$1,IF(AND(J17&lt;&gt;BH17,OR(L17=BG17,L17=BE17)),$AM$1,IF(OR(L17=AK17,L17=AI17),$Q$1,""))))</f>
        <v>2019 Elite Canada</v>
      </c>
      <c r="N17" s="14" t="str">
        <f>IF(MAX(CE17:CF17)&gt;0,MAX(CE17:CF17),"")</f>
        <v/>
      </c>
      <c r="O17" s="25" t="str">
        <f>IF(N17="","",IF(N17=CE17,"(4 Pass)",IF(N17=CF17,"(2 Pass)")))</f>
        <v/>
      </c>
      <c r="P17" s="14" t="str">
        <f>IF(N17="","",IF(N17=CE17,IF(N17+IF(J17="",0,J17)=DA17,$CG$1,IF(N17+IF(J17="",0,J17)=DV17,$DB$1,IF(N17+IF(J17="",0,J17)=EQ17,$DW$1,IF(N17+IF(J17="",0,J17)=FL17,$ER$1,IF(N17+IF(J17="",0,J17)=GG17,$FM$1,IF(N17+IF(J17="",0,J17)=HB17,$GH$1,IF(N17+IF(J17="",0,J17)=HW17,$HC$1,IF(N17+IF(J17="",0,J17)=IR17,$HX$1,IF(N17+IF(J17="",0,J17)=JM17,$IS$1,IF(N17+IF(J17="",0,J17)=KH17,$JN$1,IF(N17+IF(J17="",0,J17)=LC17,$KI$1,IF(N17+IF(J17="",0,J17)=LX17,$LD$1)))))))))))),IF(N17=CF17,IF(OR(N17+IF(L17="",0,L17)=CX17,N17+IF(L17="",0,L17)=CZ17),$CG$1,IF(OR(N17+IF(L17="",0,L17)=DS17,N17+IF(L17="",0,L17)=DU17),$DB$1,IF(OR(N17+IF(L17="",0,L17)=EN17,N17+IF(L17="",0,L17)=EP17),$DW$1,IF(OR(N17+IF(L17="",0,L17)=FI17,N17+IF(L17="",0,L17)=FK17),$ER$1,IF(OR(N17+IF(L17="",0,L17)=GD17,N17+IF(L17="",0,L17)=GF17),$FM$1,IF(OR(N17+IF(L17="",0,L17)=GY17,N17+IF(L17="",0,L17)=HA17),$GH$1,IF(OR(N17+IF(L17="",0,L17)=HT17,N17+IF(L17="",0,L17)=HV17),$HC$1,IF(OR(N17+IF(L17="",0,L17)=IO17,N17+IF(L17="",0,L17)=IQ17),$HX$1,IF(OR(N17+IF(L17="",0,L17)=JJ17,N17+IF(L17="",0,L17)=JL17),$IS$1,IF(OR(N17+IF(L17="",0,L17)=KE17,N17+IF(L17="",0,L17)=KG17),$JN$1,IF(OR(N17+IF(L17="",0,L17)=KZ17,N17+IF(L17="",0,L17)=LB17),$KI$1,IF(OR(N17+IF(L17="",0,L17)=LU17,N17+IF(L17="",0,L17)=LW17),$LD$1)))))))))))))))</f>
        <v/>
      </c>
      <c r="Q17" s="69">
        <v>0</v>
      </c>
      <c r="R17" s="69">
        <v>0</v>
      </c>
      <c r="S17" s="69">
        <v>0</v>
      </c>
      <c r="T17" s="69">
        <v>0</v>
      </c>
      <c r="U17" s="69">
        <v>20.100000000000001</v>
      </c>
      <c r="V17" s="69">
        <v>4</v>
      </c>
      <c r="W17" s="69">
        <v>0</v>
      </c>
      <c r="X17" s="69">
        <v>0</v>
      </c>
      <c r="Y17" s="69"/>
      <c r="Z17" s="69"/>
      <c r="AA17" s="69"/>
      <c r="AB17" s="69"/>
      <c r="AC17" s="69"/>
      <c r="AD17" s="69"/>
      <c r="AE17" s="69"/>
      <c r="AF17" s="69"/>
      <c r="AG17" s="80"/>
      <c r="AH17" s="11">
        <f>IF(SUM(R17,V17)&gt;0,SUM(R17,V17),"")</f>
        <v>4</v>
      </c>
      <c r="AI17" s="11">
        <f>IF(SUM(Q17:R17,T17:V17,X17)-SUM(S17,W17)&gt;0,SUM(Q17:R17,T17:V17,X17)-SUM(S17,W17),"")</f>
        <v>24.1</v>
      </c>
      <c r="AJ17" s="11" t="str">
        <f>IF(SUM(Z17,AD17)&gt;0,SUM(Z17,AD17),"")</f>
        <v/>
      </c>
      <c r="AK17" s="11" t="str">
        <f>IF(SUM(Y17:Z17,AB17:AD17,AF17)-SUM(AA17,AE17)&gt;0,SUM(Y17:Z17,AB17:AD17,AF17)-SUM(AA17,AE17),"")</f>
        <v/>
      </c>
      <c r="AL17" s="11">
        <f>IF(SUM(AI17,AK17)&gt;0,SUM(AI17,AK17),"")</f>
        <v>24.1</v>
      </c>
      <c r="AM17" s="38">
        <v>25.2</v>
      </c>
      <c r="AN17" s="38">
        <v>8</v>
      </c>
      <c r="AO17" s="38">
        <v>0.9</v>
      </c>
      <c r="AP17" s="38">
        <v>0</v>
      </c>
      <c r="AQ17" s="38">
        <v>27.8</v>
      </c>
      <c r="AR17" s="38">
        <v>8.4</v>
      </c>
      <c r="AS17" s="38">
        <v>1.2</v>
      </c>
      <c r="AT17" s="38">
        <v>0</v>
      </c>
      <c r="AU17" s="38">
        <v>20.6</v>
      </c>
      <c r="AV17" s="38">
        <v>2.4</v>
      </c>
      <c r="AW17" s="38">
        <v>0</v>
      </c>
      <c r="AX17" s="38">
        <v>0</v>
      </c>
      <c r="AY17" s="38">
        <v>24.5</v>
      </c>
      <c r="AZ17" s="38">
        <v>7.7</v>
      </c>
      <c r="BA17" s="38">
        <v>1.2</v>
      </c>
      <c r="BB17" s="38">
        <v>0</v>
      </c>
      <c r="BC17" s="81"/>
      <c r="BD17" s="14">
        <f>IF(SUM(AN17,AR17)&gt;0,SUM(AN17,AR17),"")</f>
        <v>16.399999999999999</v>
      </c>
      <c r="BE17" s="14">
        <f>IF(SUM(AM17:AN17,AP17:AR17,AT17)-SUM(AO17,AS17)&gt;0,SUM(AM17:AN17,AP17:AR17,AT17)-SUM(AO17,AS17),"")</f>
        <v>67.300000000000011</v>
      </c>
      <c r="BF17" s="14">
        <f>IF(SUM(AV17,AZ17)&gt;0,SUM(AV17,AZ17),"")</f>
        <v>10.1</v>
      </c>
      <c r="BG17" s="14">
        <f>IF(SUM(AU17:AV17,AX17:AZ17,BB17)-SUM(AW17,BA17)&gt;0,SUM(AU17:AV17,AX17:AZ17,BB17)-SUM(AW17,BA17),"")</f>
        <v>54</v>
      </c>
      <c r="BH17" s="14">
        <f>IF(SUM(BE17,BG17)&gt;0,SUM(BE17,BG17),"")</f>
        <v>121.30000000000001</v>
      </c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80"/>
      <c r="BZ17" s="11" t="str">
        <f>IF(SUM(BJ17,BN17)&gt;0,SUM(BJ17,BN17),"")</f>
        <v/>
      </c>
      <c r="CA17" s="11" t="str">
        <f>IF(SUM(BI17:BJ17,BL17:BN17,BP17)-SUM(BK17,BO17)&gt;0,SUM(BI17:BJ17,BL17:BN17,BP17)-SUM(BK17,BO17),"")</f>
        <v/>
      </c>
      <c r="CB17" s="11" t="str">
        <f>IF(SUM(BR17,BV17)&gt;0,SUM(BR17,BV17),"")</f>
        <v/>
      </c>
      <c r="CC17" s="11" t="str">
        <f>IF(SUM(BQ17:BR17,BT17:BV17,BX17)-SUM(BS17,BW17)&gt;0,SUM(BQ17:BR17,BT17:BV17,BX17)-SUM(BS17,BW17),"")</f>
        <v/>
      </c>
      <c r="CD17" s="11" t="str">
        <f>IF(SUM(CA17,CC17)&gt;0,SUM(CA17,CC17),"")</f>
        <v/>
      </c>
      <c r="CE17" s="24" t="str">
        <f>IF(MAX(DA17,DV17,EQ17,FL17,GG17,HB17,HW17,IR17,JM17,KH17,LC17,LX17)-IF(J17="",0,J17)&gt;0.001,MAX(DA17,DV17,EQ17,FL17,GG17,HB17,HW17,IR17,JM17,KH17,LC17,LX17)-IF(J17="",0,J17),"")</f>
        <v/>
      </c>
      <c r="CF17" s="24" t="str">
        <f>IF(MAX(CX17,CZ17,DS17,DU17,EN17,EP17,FI17,FK17,GD17,GF17,GY17,HA17,HT17,HV17,IO17,IQ17,JJ17,JL17,KE17,KG17,KZ17,LB17,LU17,LW17)-IF(L17="",0,L17)&gt;0.001,MAX(CX17,CZ17,DS17,DU17,EN17,EP17,FI17,FK17,GD17,GF17,GY17,HA17,HT17,HV17,IO17,IQ17,JJ17,JL17,KE17,KG17,KZ17,LB17,LU17,LW17)-IF(L17="",0,L17),"")</f>
        <v/>
      </c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11" t="str">
        <f>IF(SUM(CH17,CL17)&gt;0,SUM(CH17,CL17),"")</f>
        <v/>
      </c>
      <c r="CX17" s="11" t="str">
        <f>IF(SUM(CG17:CH17,CJ17:CL17,CN17)-SUM(CI17,CM17)&gt;0,SUM(CG17:CH17,CJ17:CL17,CN17)-SUM(CI17,CM17),"")</f>
        <v/>
      </c>
      <c r="CY17" s="11" t="str">
        <f>IF(SUM(CP17,CT17)&gt;0,SUM(CP17,CT17),"")</f>
        <v/>
      </c>
      <c r="CZ17" s="11" t="str">
        <f>IF(SUM(CO17:CP17,CR17:CT17,CV17)-SUM(CQ17,CU17)&gt;0,SUM(CO17:CP17,CR17:CT17,CV17)-SUM(CQ17,CU17),"")</f>
        <v/>
      </c>
      <c r="DA17" s="11" t="str">
        <f>IF(SUM(CX17,CZ17)&gt;0,SUM(CX17,CZ17),"")</f>
        <v/>
      </c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14" t="str">
        <f>IF(SUM(DC17,DG17)&gt;0,SUM(DC17,DG17),"")</f>
        <v/>
      </c>
      <c r="DS17" s="14" t="str">
        <f>IF(SUM(DB17:DC17,DE17:DG17,DI17)-SUM(DD17,DH17)&gt;0,SUM(DB17:DC17,DE17:DG17,DI17)-SUM(DD17,DH17),"")</f>
        <v/>
      </c>
      <c r="DT17" s="14" t="str">
        <f>IF(SUM(DK17,DO17)&gt;0,SUM(DK17,DO17),"")</f>
        <v/>
      </c>
      <c r="DU17" s="14" t="str">
        <f>IF(SUM(DJ17:DK17,DM17:DO17,DQ17)-SUM(DL17,DP17)&gt;0,SUM(DJ17:DK17,DM17:DO17,DQ17)-SUM(DL17,DP17),"")</f>
        <v/>
      </c>
      <c r="DV17" s="14" t="str">
        <f>IF(SUM(DS17,DU17)&gt;0,SUM(DS17,DU17),"")</f>
        <v/>
      </c>
      <c r="DW17" s="44"/>
      <c r="DX17" s="44"/>
      <c r="DY17" s="44"/>
      <c r="DZ17" s="44"/>
      <c r="EA17" s="44"/>
      <c r="EB17" s="44"/>
      <c r="EC17" s="44"/>
      <c r="ED17" s="44"/>
      <c r="EE17" s="44"/>
      <c r="EF17" s="44"/>
      <c r="EG17" s="44"/>
      <c r="EH17" s="44"/>
      <c r="EI17" s="44"/>
      <c r="EJ17" s="44"/>
      <c r="EK17" s="44"/>
      <c r="EL17" s="44"/>
      <c r="EM17" s="11" t="str">
        <f>IF(SUM(DX17,EB17)&gt;0,SUM(DX17,EB17),"")</f>
        <v/>
      </c>
      <c r="EN17" s="11" t="str">
        <f>IF(SUM(DW17:DX17,DZ17:EB17,ED17)-SUM(DY17,EC17)&gt;0,SUM(DW17:DX17,DZ17:EB17,ED17)-SUM(DY17,EC17),"")</f>
        <v/>
      </c>
      <c r="EO17" s="11" t="str">
        <f>IF(SUM(EF17,EJ17)&gt;0,SUM(EF17,EJ17),"")</f>
        <v/>
      </c>
      <c r="EP17" s="11" t="str">
        <f>IF(SUM(EE17:EF17,EH17:EJ17,EL17)-SUM(EG17,EK17)&gt;0,SUM(EE17:EF17,EH17:EJ17,EL17)-SUM(EG17,EK17),"")</f>
        <v/>
      </c>
      <c r="EQ17" s="11" t="str">
        <f>IF(SUM(EN17,EP17)&gt;0,SUM(EN17,EP17),"")</f>
        <v/>
      </c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14" t="str">
        <f>IF(SUM(ES17,EW17)&gt;0,SUM(ES17,EW17),"")</f>
        <v/>
      </c>
      <c r="FI17" s="14" t="str">
        <f>IF(SUM(ER17:ES17,EU17:EW17,EY17)-SUM(ET17,EX17)&gt;0,SUM(ER17:ES17,EU17:EW17,EY17)-SUM(ET17,EX17),"")</f>
        <v/>
      </c>
      <c r="FJ17" s="14" t="str">
        <f>IF(SUM(FA17,FE17)&gt;0,SUM(FA17,FE17),"")</f>
        <v/>
      </c>
      <c r="FK17" s="14" t="str">
        <f>IF(SUM(EZ17:FA17,FC17:FE17,FG17)-SUM(FB17,FF17)&gt;0,SUM(EZ17:FA17,FC17:FE17,FG17)-SUM(FB17,FF17),"")</f>
        <v/>
      </c>
      <c r="FL17" s="14" t="str">
        <f>IF(SUM(FI17,FK17)&gt;0,SUM(FI17,FK17),"")</f>
        <v/>
      </c>
      <c r="FM17" s="44"/>
      <c r="FN17" s="44"/>
      <c r="FO17" s="44"/>
      <c r="FP17" s="44"/>
      <c r="FQ17" s="44"/>
      <c r="FR17" s="44"/>
      <c r="FS17" s="44"/>
      <c r="FT17" s="44"/>
      <c r="FU17" s="44"/>
      <c r="FV17" s="44"/>
      <c r="FW17" s="44"/>
      <c r="FX17" s="44"/>
      <c r="FY17" s="44"/>
      <c r="FZ17" s="44"/>
      <c r="GA17" s="44"/>
      <c r="GB17" s="44"/>
      <c r="GC17" s="11" t="str">
        <f>IF(SUM(FN17,FR17)&gt;0,SUM(FN17,FR17),"")</f>
        <v/>
      </c>
      <c r="GD17" s="11" t="str">
        <f>IF(SUM(FM17:FN17,FP17:FR17,FT17)-SUM(FO17,FS17)&gt;0,SUM(FM17:FN17,FP17:FR17,FT17)-SUM(FO17,FS17),"")</f>
        <v/>
      </c>
      <c r="GE17" s="11" t="str">
        <f>IF(SUM(FV17,FZ17)&gt;0,SUM(FV17,FZ17),"")</f>
        <v/>
      </c>
      <c r="GF17" s="11" t="str">
        <f>IF(SUM(FU17:FV17,FX17:FZ17,GB17)-SUM(FW17,GA17)&gt;0,SUM(FU17:FV17,FX17:FZ17,GB17)-SUM(FW17,GA17),"")</f>
        <v/>
      </c>
      <c r="GG17" s="11" t="str">
        <f>IF(SUM(GD17,GF17)&gt;0,SUM(GD17,GF17),"")</f>
        <v/>
      </c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14" t="str">
        <f>IF(SUM(GI17,GM17)&gt;0,SUM(GI17,GM17),"")</f>
        <v/>
      </c>
      <c r="GY17" s="14" t="str">
        <f>IF(SUM(GH17:GI17,GK17:GM17,GO17)-SUM(GJ17,GN17)&gt;0,SUM(GH17:GI17,GK17:GM17,GO17)-SUM(GJ17,GN17),"")</f>
        <v/>
      </c>
      <c r="GZ17" s="14" t="str">
        <f>IF(SUM(GQ17,GU17)&gt;0,SUM(GQ17,GU17),"")</f>
        <v/>
      </c>
      <c r="HA17" s="14" t="str">
        <f>IF(SUM(GP17:GQ17,GS17:GU17,GW17)-SUM(GR17,GV17)&gt;0,SUM(GP17:GQ17,GS17:GU17,GW17)-SUM(GR17,GV17),"")</f>
        <v/>
      </c>
      <c r="HB17" s="14" t="str">
        <f>IF(SUM(GY17,HA17)&gt;0,SUM(GY17,HA17),"")</f>
        <v/>
      </c>
      <c r="HC17" s="44"/>
      <c r="HD17" s="44"/>
      <c r="HE17" s="44"/>
      <c r="HF17" s="44"/>
      <c r="HG17" s="44"/>
      <c r="HH17" s="44"/>
      <c r="HI17" s="44"/>
      <c r="HJ17" s="44"/>
      <c r="HK17" s="44"/>
      <c r="HL17" s="44"/>
      <c r="HM17" s="44"/>
      <c r="HN17" s="44"/>
      <c r="HO17" s="44"/>
      <c r="HP17" s="44"/>
      <c r="HQ17" s="44"/>
      <c r="HR17" s="44"/>
      <c r="HS17" s="11" t="str">
        <f>IF(SUM(HD17,HH17)&gt;0,SUM(HD17,HH17),"")</f>
        <v/>
      </c>
      <c r="HT17" s="11" t="str">
        <f>IF(SUM(HC17:HD17,HF17:HH17,HJ17)-SUM(HE17,HI17)&gt;0,SUM(HC17:HD17,HF17:HH17,HJ17)-SUM(HE17,HI17),"")</f>
        <v/>
      </c>
      <c r="HU17" s="11" t="str">
        <f>IF(SUM(HL17,HP17)&gt;0,SUM(HL17,HP17),"")</f>
        <v/>
      </c>
      <c r="HV17" s="11" t="str">
        <f>IF(SUM(HK17:HL17,HN17:HP17,HR17)-SUM(HM17,HQ17)&gt;0,SUM(HK17:HL17,HN17:HP17,HR17)-SUM(HM17,HQ17),"")</f>
        <v/>
      </c>
      <c r="HW17" s="11" t="str">
        <f>IF(SUM(HT17,HV17)&gt;0,SUM(HT17,HV17),"")</f>
        <v/>
      </c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14" t="str">
        <f>IF(SUM(HY17,IC17)&gt;0,SUM(HY17,IC17),"")</f>
        <v/>
      </c>
      <c r="IO17" s="14" t="str">
        <f>IF(SUM(HX17:HY17,IA17:IC17,IE17)-SUM(HZ17,ID17)&gt;0,SUM(HX17:HY17,IA17:IC17,IE17)-SUM(HZ17,ID17),"")</f>
        <v/>
      </c>
      <c r="IP17" s="14" t="str">
        <f>IF(SUM(IG17,IK17)&gt;0,SUM(IG17,IK17),"")</f>
        <v/>
      </c>
      <c r="IQ17" s="14" t="str">
        <f>IF(SUM(IF17:IG17,II17:IK17,IM17)-SUM(IH17,IL17)&gt;0,SUM(IF17:IG17,II17:IK17,IM17)-SUM(IH17,IL17),"")</f>
        <v/>
      </c>
      <c r="IR17" s="14" t="str">
        <f>IF(SUM(IO17,IQ17)&gt;0,SUM(IO17,IQ17),"")</f>
        <v/>
      </c>
      <c r="IS17" s="44"/>
      <c r="IT17" s="44"/>
      <c r="IU17" s="44"/>
      <c r="IV17" s="44"/>
      <c r="IW17" s="44"/>
      <c r="IX17" s="44"/>
      <c r="IY17" s="44"/>
      <c r="IZ17" s="44"/>
      <c r="JA17" s="44"/>
      <c r="JB17" s="44"/>
      <c r="JC17" s="44"/>
      <c r="JD17" s="44"/>
      <c r="JE17" s="44"/>
      <c r="JF17" s="44"/>
      <c r="JG17" s="44"/>
      <c r="JH17" s="44"/>
      <c r="JI17" s="11" t="str">
        <f>IF(SUM(IT17,IX17)&gt;0,SUM(IT17,IX17),"")</f>
        <v/>
      </c>
      <c r="JJ17" s="11" t="str">
        <f>IF(SUM(IS17:IT17,IV17:IX17,IZ17)-SUM(IU17,IY17)&gt;0,SUM(IS17:IT17,IV17:IX17,IZ17)-SUM(IU17,IY17),"")</f>
        <v/>
      </c>
      <c r="JK17" s="11" t="str">
        <f>IF(SUM(JB17,JF17)&gt;0,SUM(JB17,JF17),"")</f>
        <v/>
      </c>
      <c r="JL17" s="11" t="str">
        <f>IF(SUM(JA17:JB17,JD17:JF17,JH17)-SUM(JC17,JG17)&gt;0,SUM(JA17:JB17,JD17:JF17,JH17)-SUM(JC17,JG17),"")</f>
        <v/>
      </c>
      <c r="JM17" s="11" t="str">
        <f>IF(SUM(JJ17,JL17)&gt;0,SUM(JJ17,JL17),"")</f>
        <v/>
      </c>
      <c r="JN17" s="43"/>
      <c r="JO17" s="43"/>
      <c r="JP17" s="43"/>
      <c r="JQ17" s="43"/>
      <c r="JR17" s="43"/>
      <c r="JS17" s="43"/>
      <c r="JT17" s="43"/>
      <c r="JU17" s="43"/>
      <c r="JV17" s="43"/>
      <c r="JW17" s="43"/>
      <c r="JX17" s="43"/>
      <c r="JY17" s="43"/>
      <c r="JZ17" s="43"/>
      <c r="KA17" s="43"/>
      <c r="KB17" s="43"/>
      <c r="KC17" s="43"/>
      <c r="KD17" s="14" t="str">
        <f>IF(SUM(JO17,JS17)&gt;0,SUM(JO17,JS17),"")</f>
        <v/>
      </c>
      <c r="KE17" s="14" t="str">
        <f>IF(SUM(JN17:JO17,JQ17:JS17,JU17)-SUM(JP17,JT17)&gt;0,SUM(JN17:JO17,JQ17:JS17,JU17)-SUM(JP17,JT17),"")</f>
        <v/>
      </c>
      <c r="KF17" s="14" t="str">
        <f>IF(SUM(JW17,KA17)&gt;0,SUM(JW17,KA17),"")</f>
        <v/>
      </c>
      <c r="KG17" s="14" t="str">
        <f>IF(SUM(JV17:JW17,JY17:KA17,KC17)-SUM(JX17,KB17)&gt;0,SUM(JV17:JW17,JY17:KA17,KC17)-SUM(JX17,KB17),"")</f>
        <v/>
      </c>
      <c r="KH17" s="14" t="str">
        <f>IF(SUM(KE17,KG17)&gt;0,SUM(KE17,KG17),"")</f>
        <v/>
      </c>
      <c r="KI17" s="44"/>
      <c r="KJ17" s="44"/>
      <c r="KK17" s="44"/>
      <c r="KL17" s="44"/>
      <c r="KM17" s="44"/>
      <c r="KN17" s="44"/>
      <c r="KO17" s="44"/>
      <c r="KP17" s="44"/>
      <c r="KQ17" s="44"/>
      <c r="KR17" s="44"/>
      <c r="KS17" s="44"/>
      <c r="KT17" s="44"/>
      <c r="KU17" s="44"/>
      <c r="KV17" s="44"/>
      <c r="KW17" s="44"/>
      <c r="KX17" s="44"/>
      <c r="KY17" s="11" t="str">
        <f>IF(SUM(KJ17,KN17)&gt;0,SUM(KJ17,KN17),"")</f>
        <v/>
      </c>
      <c r="KZ17" s="11" t="str">
        <f>IF(SUM(KI17:KJ17,KL17:KN17,KP17)-SUM(KK17,KO17)&gt;0,SUM(KI17:KJ17,KL17:KN17,KP17)-SUM(KK17,KO17),"")</f>
        <v/>
      </c>
      <c r="LA17" s="11" t="str">
        <f>IF(SUM(KR17,KV17)&gt;0,SUM(KR17,KV17),"")</f>
        <v/>
      </c>
      <c r="LB17" s="11" t="str">
        <f>IF(SUM(KQ17:KR17,KT17:KV17,KX17)-SUM(KS17,KW17)&gt;0,SUM(KQ17:KR17,KT17:KV17,KX17)-SUM(KS17,KW17),"")</f>
        <v/>
      </c>
      <c r="LC17" s="11" t="str">
        <f>IF(SUM(KZ17,LB17)&gt;0,SUM(KZ17,LB17),"")</f>
        <v/>
      </c>
      <c r="LD17" s="43"/>
      <c r="LE17" s="43"/>
      <c r="LF17" s="43"/>
      <c r="LG17" s="43"/>
      <c r="LH17" s="43"/>
      <c r="LI17" s="43"/>
      <c r="LJ17" s="43"/>
      <c r="LK17" s="43"/>
      <c r="LL17" s="43"/>
      <c r="LM17" s="43"/>
      <c r="LN17" s="43"/>
      <c r="LO17" s="43"/>
      <c r="LP17" s="43"/>
      <c r="LQ17" s="43"/>
      <c r="LR17" s="43"/>
      <c r="LS17" s="43"/>
      <c r="LT17" s="14" t="str">
        <f>IF(SUM(LE17,LI17)&gt;0,SUM(LE17,LI17),"")</f>
        <v/>
      </c>
      <c r="LU17" s="14" t="str">
        <f>IF(SUM(LD17:LE17,LG17:LI17,LK17)-SUM(LF17,LJ17)&gt;0,SUM(LD17:LE17,LG17:LI17,LK17)-SUM(LF17,LJ17),"")</f>
        <v/>
      </c>
      <c r="LV17" s="14" t="str">
        <f>IF(SUM(LM17,LQ17)&gt;0,SUM(LM17,LQ17),"")</f>
        <v/>
      </c>
      <c r="LW17" s="14" t="str">
        <f>IF(SUM(LL17:LM17,LO17:LQ17,LS17)-SUM(LN17,LR17)&gt;0,SUM(LL17:LM17,LO17:LQ17,LS17)-SUM(LN17,LR17),"")</f>
        <v/>
      </c>
      <c r="LX17" s="14" t="str">
        <f>IF(SUM(LU17,LW17)&gt;0,SUM(LU17,LW17),"")</f>
        <v/>
      </c>
      <c r="LY17" s="69">
        <f>IF($BY17="P",BI17,(BI17+AM17)/2)</f>
        <v>12.6</v>
      </c>
      <c r="LZ17" s="69">
        <f>IF($BY17="P",BJ17,(BJ17+AN17)/2)</f>
        <v>4</v>
      </c>
      <c r="MA17" s="69">
        <f>IF($BY17="P",BK17,(BK17+AO17)/2)</f>
        <v>0.45</v>
      </c>
      <c r="MB17" s="69">
        <f>IF($BY17="P",BL17,(BL17+AP17)/2)</f>
        <v>0</v>
      </c>
      <c r="MC17" s="69">
        <f>IF($BY17="P",BM17,(BM17+AQ17)/2)</f>
        <v>13.9</v>
      </c>
      <c r="MD17" s="69">
        <f>IF($BY17="P",BN17,(BN17+AR17)/2)</f>
        <v>4.2</v>
      </c>
      <c r="ME17" s="69">
        <f>IF($BY17="P",BO17,(BO17+AS17)/2)</f>
        <v>0.6</v>
      </c>
      <c r="MF17" s="69">
        <f>IF($BY17="P",BP17,(BP17+AT17)/2)</f>
        <v>0</v>
      </c>
      <c r="MG17" s="69">
        <f>IF($BY17="P",BQ17,(BQ17+AU17)/2)</f>
        <v>10.3</v>
      </c>
      <c r="MH17" s="69">
        <f>IF($BY17="P",BR17,(BR17+AV17)/2)</f>
        <v>1.2</v>
      </c>
      <c r="MI17" s="69">
        <f>IF($BY17="P",BS17,(BS17+AW17)/2)</f>
        <v>0</v>
      </c>
      <c r="MJ17" s="69">
        <f>IF($BY17="P",BT17,(BT17+AX17)/2)</f>
        <v>0</v>
      </c>
      <c r="MK17" s="69">
        <f>IF($BY17="P",BU17,(BU17+AY17)/2)</f>
        <v>12.25</v>
      </c>
      <c r="ML17" s="69">
        <f>IF($BY17="P",BV17,(BV17+AZ17)/2)</f>
        <v>3.85</v>
      </c>
      <c r="MM17" s="69">
        <f>IF($BY17="P",BW17,(BW17+BA17)/2)</f>
        <v>0.6</v>
      </c>
      <c r="MN17" s="69">
        <f>IF($BY17="P",BX17,(BX17+BB17)/2)</f>
        <v>0</v>
      </c>
      <c r="MO17" s="80" t="s">
        <v>91</v>
      </c>
      <c r="MP17" s="11">
        <f>IF(SUM(LZ17,MD17)&gt;0,SUM(LZ17,MD17),"")</f>
        <v>8.1999999999999993</v>
      </c>
      <c r="MQ17" s="11">
        <f>IF(SUM(LY17:LZ17,MB17:MD17,MF17)-SUM(MA17,ME17)&gt;0,SUM(LY17:LZ17,MB17:MD17,MF17)-SUM(MA17,ME17),"")</f>
        <v>33.650000000000006</v>
      </c>
      <c r="MR17" s="11">
        <f>IF(SUM(MH17,ML17)&gt;0,SUM(MH17,ML17),"")</f>
        <v>5.05</v>
      </c>
      <c r="MS17" s="11">
        <f>IF(SUM(MG17:MH17,MJ17:ML17,MN17)-SUM(MI17,MM17)&gt;0,SUM(MG17:MH17,MJ17:ML17,MN17)-SUM(MI17,MM17),"")</f>
        <v>27</v>
      </c>
      <c r="MT17" s="11">
        <f>IF(SUM(MQ17,MS17)&gt;0,SUM(MQ17,MS17),"")</f>
        <v>60.650000000000006</v>
      </c>
    </row>
    <row r="20" spans="1:358" x14ac:dyDescent="0.2">
      <c r="B20" s="70" t="s">
        <v>79</v>
      </c>
      <c r="AH20" s="56"/>
      <c r="AJ20" s="56"/>
      <c r="AL20" s="64">
        <v>15.6</v>
      </c>
      <c r="BD20" s="56"/>
      <c r="BF20" s="56"/>
      <c r="BH20" s="64">
        <v>15.6</v>
      </c>
      <c r="BZ20" s="56"/>
      <c r="CB20" s="56"/>
      <c r="CD20" s="64">
        <v>14.4</v>
      </c>
      <c r="CW20" s="56"/>
      <c r="CY20" s="56"/>
      <c r="DA20" s="64">
        <v>15.6</v>
      </c>
      <c r="DR20" s="56"/>
      <c r="DT20" s="56"/>
      <c r="DV20" s="64">
        <v>15.6</v>
      </c>
      <c r="EM20" s="56"/>
      <c r="EO20" s="56"/>
      <c r="EQ20" s="64">
        <v>14.4</v>
      </c>
      <c r="FH20" s="56"/>
      <c r="FJ20" s="56"/>
      <c r="FL20" s="64">
        <v>14.4</v>
      </c>
      <c r="GC20" s="56"/>
      <c r="GE20" s="56"/>
      <c r="GG20" s="64">
        <v>14.4</v>
      </c>
      <c r="GX20" s="56"/>
      <c r="GZ20" s="56"/>
      <c r="HB20" s="64">
        <v>14.4</v>
      </c>
      <c r="HS20" s="56"/>
      <c r="HU20" s="56"/>
      <c r="HW20" s="64">
        <v>14.4</v>
      </c>
      <c r="IN20" s="56"/>
      <c r="IP20" s="56"/>
      <c r="IR20" s="64">
        <v>14.4</v>
      </c>
      <c r="JI20" s="56"/>
      <c r="JK20" s="56"/>
      <c r="JM20" s="64">
        <v>14.4</v>
      </c>
      <c r="KD20" s="56"/>
      <c r="KF20" s="56"/>
      <c r="KH20" s="64">
        <v>14.4</v>
      </c>
      <c r="KY20" s="56"/>
      <c r="LA20" s="56"/>
      <c r="LC20" s="64">
        <v>14.4</v>
      </c>
      <c r="LT20" s="56"/>
      <c r="LV20" s="56"/>
      <c r="LX20" s="64">
        <v>14.4</v>
      </c>
    </row>
    <row r="21" spans="1:358" x14ac:dyDescent="0.2">
      <c r="B21" s="91" t="s">
        <v>78</v>
      </c>
      <c r="AH21" s="56"/>
      <c r="AJ21" s="56"/>
      <c r="AL21" s="104">
        <v>16</v>
      </c>
      <c r="BD21" s="56"/>
      <c r="BF21" s="56"/>
      <c r="BH21" s="104">
        <v>16</v>
      </c>
      <c r="BZ21" s="56"/>
      <c r="CB21" s="56"/>
      <c r="CD21" s="104">
        <v>14.8</v>
      </c>
      <c r="CW21" s="56"/>
      <c r="CY21" s="56"/>
      <c r="DA21" s="104">
        <v>16</v>
      </c>
      <c r="DR21" s="56"/>
      <c r="DT21" s="56"/>
      <c r="DV21" s="104">
        <v>16</v>
      </c>
      <c r="EM21" s="56"/>
      <c r="EO21" s="56"/>
      <c r="EQ21" s="104">
        <v>14.8</v>
      </c>
      <c r="FH21" s="56"/>
      <c r="FJ21" s="56"/>
      <c r="FL21" s="104">
        <v>14.8</v>
      </c>
      <c r="GC21" s="56"/>
      <c r="GE21" s="56"/>
      <c r="GG21" s="104">
        <v>14.8</v>
      </c>
      <c r="GX21" s="56"/>
      <c r="GZ21" s="56"/>
      <c r="HB21" s="104">
        <v>14.8</v>
      </c>
      <c r="HS21" s="56"/>
      <c r="HU21" s="56"/>
      <c r="HW21" s="104">
        <v>14.8</v>
      </c>
      <c r="IN21" s="56"/>
      <c r="IP21" s="56"/>
      <c r="IR21" s="104">
        <v>14.8</v>
      </c>
      <c r="JI21" s="56"/>
      <c r="JK21" s="56"/>
      <c r="JM21" s="104">
        <v>14.8</v>
      </c>
      <c r="KD21" s="56"/>
      <c r="KF21" s="56"/>
      <c r="KH21" s="104">
        <v>14.8</v>
      </c>
      <c r="KY21" s="56"/>
      <c r="LA21" s="56"/>
      <c r="LC21" s="104">
        <v>14.8</v>
      </c>
      <c r="LT21" s="56"/>
      <c r="LV21" s="56"/>
      <c r="LX21" s="104">
        <v>14.8</v>
      </c>
    </row>
    <row r="22" spans="1:358" x14ac:dyDescent="0.2">
      <c r="A22" s="56"/>
      <c r="B22" s="92" t="s">
        <v>122</v>
      </c>
      <c r="C22" s="55"/>
      <c r="AH22" s="56"/>
      <c r="AJ22" s="56"/>
      <c r="AL22" s="105">
        <v>31.2</v>
      </c>
      <c r="BD22" s="56"/>
      <c r="BF22" s="56"/>
      <c r="BG22" s="129" t="s">
        <v>196</v>
      </c>
      <c r="BH22" s="105">
        <v>17</v>
      </c>
      <c r="BZ22" s="56"/>
      <c r="CB22" s="56"/>
      <c r="CD22" s="105">
        <v>15.6</v>
      </c>
      <c r="CW22" s="56"/>
      <c r="CY22" s="56"/>
      <c r="DA22" s="105">
        <v>31.2</v>
      </c>
      <c r="DR22" s="56"/>
      <c r="DT22" s="56"/>
      <c r="DV22" s="105">
        <v>31.2</v>
      </c>
      <c r="EM22" s="56"/>
      <c r="EO22" s="56"/>
      <c r="EQ22" s="105">
        <v>15.6</v>
      </c>
      <c r="FH22" s="56"/>
      <c r="FJ22" s="56"/>
      <c r="FL22" s="105">
        <v>15.6</v>
      </c>
      <c r="GC22" s="56"/>
      <c r="GE22" s="56"/>
      <c r="GG22" s="105">
        <v>15.6</v>
      </c>
      <c r="GX22" s="56"/>
      <c r="GZ22" s="56"/>
      <c r="HB22" s="105">
        <v>15.6</v>
      </c>
      <c r="HS22" s="56"/>
      <c r="HU22" s="56"/>
      <c r="HW22" s="105">
        <v>15.6</v>
      </c>
      <c r="IN22" s="56"/>
      <c r="IP22" s="56"/>
      <c r="IR22" s="105">
        <v>15.6</v>
      </c>
      <c r="JI22" s="56"/>
      <c r="JK22" s="56"/>
      <c r="JM22" s="105">
        <v>15.6</v>
      </c>
      <c r="KD22" s="56"/>
      <c r="KF22" s="56"/>
      <c r="KH22" s="105">
        <v>15.6</v>
      </c>
      <c r="KY22" s="56"/>
      <c r="LA22" s="56"/>
      <c r="LC22" s="105">
        <v>15.6</v>
      </c>
      <c r="LT22" s="56"/>
      <c r="LV22" s="56"/>
      <c r="LX22" s="105">
        <v>15.6</v>
      </c>
    </row>
    <row r="23" spans="1:358" x14ac:dyDescent="0.2">
      <c r="A23" s="56"/>
      <c r="B23" s="71" t="s">
        <v>188</v>
      </c>
      <c r="C23" s="55"/>
      <c r="AH23" s="56"/>
      <c r="AJ23" s="56"/>
      <c r="AL23" s="65">
        <v>31.2</v>
      </c>
      <c r="BD23" s="56"/>
      <c r="BF23" s="56"/>
      <c r="BH23" s="65">
        <v>31.2</v>
      </c>
      <c r="BZ23" s="56"/>
      <c r="CB23" s="56"/>
      <c r="CD23" s="65">
        <v>17.600000000000001</v>
      </c>
      <c r="CW23" s="56"/>
      <c r="CY23" s="56"/>
      <c r="CZ23" t="s">
        <v>196</v>
      </c>
      <c r="DA23" s="65">
        <v>18</v>
      </c>
      <c r="DR23" s="56"/>
      <c r="DT23" s="56"/>
      <c r="DV23" s="65">
        <v>31.2</v>
      </c>
      <c r="EM23" s="56"/>
      <c r="EO23" s="56"/>
      <c r="EP23" s="129"/>
      <c r="EQ23" s="65">
        <v>17.600000000000001</v>
      </c>
      <c r="FH23" s="56"/>
      <c r="FJ23" s="56"/>
      <c r="FL23" s="65">
        <v>17.600000000000001</v>
      </c>
      <c r="GC23" s="56"/>
      <c r="GE23" s="56"/>
      <c r="GG23" s="65">
        <v>17.600000000000001</v>
      </c>
      <c r="GX23" s="56"/>
      <c r="GZ23" s="56"/>
      <c r="HB23" s="65">
        <v>17.600000000000001</v>
      </c>
      <c r="HS23" s="56"/>
      <c r="HU23" s="56"/>
      <c r="HW23" s="65">
        <v>17.600000000000001</v>
      </c>
      <c r="IN23" s="56"/>
      <c r="IP23" s="56"/>
      <c r="IR23" s="65">
        <v>17.600000000000001</v>
      </c>
      <c r="JI23" s="56"/>
      <c r="JK23" s="56"/>
      <c r="JM23" s="65">
        <v>17.600000000000001</v>
      </c>
      <c r="KD23" s="56"/>
      <c r="KF23" s="56"/>
      <c r="KH23" s="65">
        <v>17.600000000000001</v>
      </c>
      <c r="KY23" s="56"/>
      <c r="LA23" s="56"/>
      <c r="LC23" s="65">
        <v>17.600000000000001</v>
      </c>
      <c r="LT23" s="56"/>
      <c r="LV23" s="56"/>
      <c r="LX23" s="65">
        <v>17.600000000000001</v>
      </c>
    </row>
    <row r="24" spans="1:358" x14ac:dyDescent="0.2">
      <c r="A24" s="56"/>
      <c r="B24" s="73" t="s">
        <v>76</v>
      </c>
      <c r="C24" s="55"/>
      <c r="AH24" s="56"/>
      <c r="AJ24" s="56"/>
      <c r="AL24" s="67">
        <v>69.5</v>
      </c>
      <c r="BD24" s="56"/>
      <c r="BF24" s="56"/>
      <c r="BH24" s="67">
        <v>69.5</v>
      </c>
      <c r="BZ24" s="56"/>
      <c r="CB24" s="56"/>
      <c r="CD24" s="67">
        <v>69.599999999999994</v>
      </c>
      <c r="CW24" s="56"/>
      <c r="CY24" s="56"/>
      <c r="DA24" s="67">
        <v>69.5</v>
      </c>
      <c r="DR24" s="56"/>
      <c r="DT24" s="56"/>
      <c r="DV24" s="67">
        <v>69.5</v>
      </c>
      <c r="EM24" s="56"/>
      <c r="EO24" s="56"/>
      <c r="EQ24" s="67">
        <v>69.599999999999994</v>
      </c>
      <c r="FH24" s="56"/>
      <c r="FJ24" s="56"/>
      <c r="FL24" s="67">
        <v>69.599999999999994</v>
      </c>
      <c r="GC24" s="56"/>
      <c r="GE24" s="56"/>
      <c r="GG24" s="67">
        <v>69.599999999999994</v>
      </c>
      <c r="GX24" s="56"/>
      <c r="GZ24" s="56"/>
      <c r="HB24" s="67">
        <v>69.599999999999994</v>
      </c>
      <c r="HS24" s="56"/>
      <c r="HU24" s="56"/>
      <c r="HW24" s="67">
        <v>69.599999999999994</v>
      </c>
      <c r="IN24" s="56"/>
      <c r="IP24" s="56"/>
      <c r="IR24" s="67">
        <v>69.599999999999994</v>
      </c>
      <c r="JI24" s="56"/>
      <c r="JK24" s="56"/>
      <c r="JM24" s="67">
        <v>69.599999999999994</v>
      </c>
      <c r="KD24" s="56"/>
      <c r="KF24" s="56"/>
      <c r="KH24" s="67">
        <v>69.599999999999994</v>
      </c>
      <c r="KY24" s="56"/>
      <c r="LA24" s="56"/>
      <c r="LC24" s="67">
        <v>69.599999999999994</v>
      </c>
      <c r="LT24" s="56"/>
      <c r="LV24" s="56"/>
      <c r="LX24" s="67">
        <v>69.599999999999994</v>
      </c>
    </row>
    <row r="25" spans="1:358" x14ac:dyDescent="0.2">
      <c r="A25" s="56"/>
      <c r="B25" s="72" t="s">
        <v>77</v>
      </c>
      <c r="C25" s="55"/>
      <c r="AH25" s="56"/>
      <c r="AJ25" s="56"/>
      <c r="AL25" s="66">
        <v>71</v>
      </c>
      <c r="BD25" s="56"/>
      <c r="BF25" s="56"/>
      <c r="BH25" s="66">
        <v>71</v>
      </c>
      <c r="BZ25" s="56"/>
      <c r="CB25" s="56"/>
      <c r="CD25" s="66">
        <v>70.599999999999994</v>
      </c>
      <c r="CW25" s="56"/>
      <c r="CY25" s="56"/>
      <c r="DA25" s="66">
        <v>71</v>
      </c>
      <c r="DR25" s="56"/>
      <c r="DT25" s="56"/>
      <c r="DV25" s="66">
        <v>71</v>
      </c>
      <c r="EM25" s="56"/>
      <c r="EO25" s="56"/>
      <c r="EQ25" s="66">
        <v>70.599999999999994</v>
      </c>
      <c r="FH25" s="56"/>
      <c r="FJ25" s="56"/>
      <c r="FL25" s="66">
        <v>70.599999999999994</v>
      </c>
      <c r="GC25" s="56"/>
      <c r="GE25" s="56"/>
      <c r="GG25" s="66">
        <v>70.599999999999994</v>
      </c>
      <c r="GX25" s="56"/>
      <c r="GZ25" s="56"/>
      <c r="HB25" s="66">
        <v>70.599999999999994</v>
      </c>
      <c r="HS25" s="56"/>
      <c r="HU25" s="56"/>
      <c r="HW25" s="66">
        <v>70.599999999999994</v>
      </c>
      <c r="IN25" s="56"/>
      <c r="IP25" s="56"/>
      <c r="IR25" s="66">
        <v>70.599999999999994</v>
      </c>
      <c r="JI25" s="56"/>
      <c r="JK25" s="56"/>
      <c r="JM25" s="66">
        <v>70.599999999999994</v>
      </c>
      <c r="KD25" s="56"/>
      <c r="KF25" s="56"/>
      <c r="KH25" s="66">
        <v>70.599999999999994</v>
      </c>
      <c r="KY25" s="56"/>
      <c r="LA25" s="56"/>
      <c r="LC25" s="66">
        <v>70.599999999999994</v>
      </c>
      <c r="LT25" s="56"/>
      <c r="LV25" s="56"/>
      <c r="LX25" s="66">
        <v>70.599999999999994</v>
      </c>
    </row>
    <row r="26" spans="1:358" x14ac:dyDescent="0.2">
      <c r="A26" s="56"/>
      <c r="B26" s="116" t="s">
        <v>117</v>
      </c>
      <c r="C26" s="55"/>
      <c r="AH26" s="56"/>
      <c r="AJ26" s="56"/>
      <c r="AL26" s="117">
        <v>143</v>
      </c>
      <c r="BD26" s="56"/>
      <c r="BF26" s="56"/>
      <c r="BG26" s="129" t="s">
        <v>196</v>
      </c>
      <c r="BH26" s="117">
        <v>73</v>
      </c>
      <c r="BZ26" s="56"/>
      <c r="CB26" s="56"/>
      <c r="CD26" s="117">
        <v>72.599999999999994</v>
      </c>
      <c r="CW26" s="56"/>
      <c r="CY26" s="56"/>
      <c r="DA26" s="117">
        <v>143</v>
      </c>
      <c r="DR26" s="56"/>
      <c r="DT26" s="56"/>
      <c r="DU26" t="s">
        <v>196</v>
      </c>
      <c r="DV26" s="117">
        <v>70.900000000000006</v>
      </c>
      <c r="EM26" s="56"/>
      <c r="EO26" s="56"/>
      <c r="EQ26" s="117">
        <v>72.599999999999994</v>
      </c>
      <c r="FH26" s="56"/>
      <c r="FJ26" s="56"/>
      <c r="FK26" s="129"/>
      <c r="FL26" s="117">
        <v>72.599999999999994</v>
      </c>
      <c r="GC26" s="56"/>
      <c r="GE26" s="56"/>
      <c r="GG26" s="117">
        <v>72.599999999999994</v>
      </c>
      <c r="GX26" s="56"/>
      <c r="GZ26" s="56"/>
      <c r="HB26" s="117">
        <v>72.599999999999994</v>
      </c>
      <c r="HS26" s="56"/>
      <c r="HU26" s="56"/>
      <c r="HW26" s="117">
        <v>72.599999999999994</v>
      </c>
      <c r="IN26" s="56"/>
      <c r="IP26" s="56"/>
      <c r="IR26" s="117">
        <v>72.599999999999994</v>
      </c>
      <c r="JI26" s="56"/>
      <c r="JK26" s="56"/>
      <c r="JM26" s="117">
        <v>72.599999999999994</v>
      </c>
      <c r="KD26" s="56"/>
      <c r="KF26" s="56"/>
      <c r="KH26" s="117">
        <v>72.599999999999994</v>
      </c>
      <c r="KY26" s="56"/>
      <c r="LA26" s="56"/>
      <c r="LC26" s="117">
        <v>72.599999999999994</v>
      </c>
      <c r="LT26" s="56"/>
      <c r="LV26" s="56"/>
      <c r="LX26" s="117">
        <v>72.599999999999994</v>
      </c>
    </row>
    <row r="27" spans="1:358" x14ac:dyDescent="0.2">
      <c r="A27" s="56"/>
      <c r="B27" s="74" t="s">
        <v>58</v>
      </c>
      <c r="C27" s="55"/>
      <c r="AH27" s="56"/>
      <c r="AJ27" s="56"/>
      <c r="AL27" s="68">
        <v>145</v>
      </c>
      <c r="BD27" s="56"/>
      <c r="BF27" s="56"/>
      <c r="BH27" s="68">
        <v>145</v>
      </c>
      <c r="BZ27" s="56"/>
      <c r="CB27" s="56"/>
      <c r="CD27" s="68">
        <v>74.3</v>
      </c>
      <c r="CW27" s="56"/>
      <c r="CY27" s="56"/>
      <c r="CZ27" t="s">
        <v>196</v>
      </c>
      <c r="DA27" s="68">
        <v>73</v>
      </c>
      <c r="DR27" s="56"/>
      <c r="DT27" s="56"/>
      <c r="DV27" s="68">
        <v>145</v>
      </c>
      <c r="EM27" s="56"/>
      <c r="EO27" s="56"/>
      <c r="EP27" s="129"/>
      <c r="EQ27" s="68">
        <v>74.3</v>
      </c>
      <c r="FH27" s="56"/>
      <c r="FJ27" s="56"/>
      <c r="FL27" s="68">
        <v>74.3</v>
      </c>
      <c r="GC27" s="56"/>
      <c r="GE27" s="56"/>
      <c r="GG27" s="68">
        <v>74.3</v>
      </c>
      <c r="GX27" s="56"/>
      <c r="GZ27" s="56"/>
      <c r="HB27" s="68">
        <v>74.3</v>
      </c>
      <c r="HS27" s="56"/>
      <c r="HU27" s="56"/>
      <c r="HW27" s="68">
        <v>74.3</v>
      </c>
      <c r="IN27" s="56"/>
      <c r="IP27" s="56"/>
      <c r="IR27" s="68">
        <v>74.3</v>
      </c>
      <c r="JI27" s="56"/>
      <c r="JK27" s="56"/>
      <c r="JM27" s="68">
        <v>74.3</v>
      </c>
      <c r="KD27" s="56"/>
      <c r="KF27" s="56"/>
      <c r="KH27" s="68">
        <v>74.3</v>
      </c>
      <c r="KY27" s="56"/>
      <c r="LA27" s="56"/>
      <c r="LC27" s="68">
        <v>74.3</v>
      </c>
      <c r="LT27" s="56"/>
      <c r="LV27" s="56"/>
      <c r="LX27" s="68">
        <v>74.3</v>
      </c>
    </row>
    <row r="28" spans="1:358" x14ac:dyDescent="0.2">
      <c r="B28" s="82" t="s">
        <v>92</v>
      </c>
      <c r="C28" s="2"/>
      <c r="CX28" s="6"/>
      <c r="KE28" s="6"/>
    </row>
    <row r="29" spans="1:358" x14ac:dyDescent="0.2">
      <c r="A29" s="56"/>
      <c r="B29" s="56"/>
      <c r="C29" s="55"/>
    </row>
    <row r="30" spans="1:358" x14ac:dyDescent="0.2">
      <c r="A30" s="56"/>
      <c r="B30" s="56"/>
      <c r="C30" s="55"/>
    </row>
    <row r="31" spans="1:358" x14ac:dyDescent="0.2">
      <c r="A31" s="56"/>
      <c r="B31" s="56"/>
      <c r="C31" s="55"/>
    </row>
  </sheetData>
  <sheetProtection sheet="1" formatCells="0" formatColumns="0" formatRows="0"/>
  <autoFilter ref="A1:MT15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7">
      <sortCondition descending="1" ref="F1:F18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17">
    <cfRule type="expression" dxfId="39" priority="3" stopIfTrue="1">
      <formula>IF($BC4&lt;&gt;"",1,0)</formula>
    </cfRule>
  </conditionalFormatting>
  <conditionalFormatting sqref="Q4:AL17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34" priority="29" operator="between">
      <formula>AL$23</formula>
      <formula>1000</formula>
    </cfRule>
    <cfRule type="cellIs" dxfId="33" priority="30" operator="between">
      <formula>AL$22</formula>
      <formula>AL$23</formula>
    </cfRule>
    <cfRule type="cellIs" dxfId="32" priority="137" operator="between">
      <formula>AL$21</formula>
      <formula>AL$22</formula>
    </cfRule>
    <cfRule type="cellIs" dxfId="31" priority="205" operator="between">
      <formula>AL$20</formula>
      <formula>AL$21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0" priority="8882" operator="between">
      <formula>AL$27</formula>
      <formula>1000</formula>
    </cfRule>
    <cfRule type="cellIs" dxfId="29" priority="36249" operator="between">
      <formula>AL$26</formula>
      <formula>AL$27</formula>
    </cfRule>
    <cfRule type="cellIs" dxfId="28" priority="36250" operator="between">
      <formula>AL$25</formula>
      <formula>AL$26</formula>
    </cfRule>
    <cfRule type="cellIs" dxfId="27" priority="36253" operator="between">
      <formula>AL$24</formula>
      <formula>AL$25</formula>
    </cfRule>
  </conditionalFormatting>
  <conditionalFormatting sqref="BI4:CD17">
    <cfRule type="expression" dxfId="26" priority="2" stopIfTrue="1">
      <formula>IF($BY4&lt;&gt;"",1,0)</formula>
    </cfRule>
  </conditionalFormatting>
  <conditionalFormatting sqref="A1:A1048576">
    <cfRule type="expression" dxfId="25" priority="38432">
      <formula>AND(G1="P",F1="")</formula>
    </cfRule>
  </conditionalFormatting>
  <conditionalFormatting sqref="H1:H1048576">
    <cfRule type="containsText" dxfId="24" priority="5" operator="containsText" text="No DD">
      <formula>NOT(ISERROR(SEARCH("No DD",H1)))</formula>
    </cfRule>
    <cfRule type="containsText" dxfId="23" priority="6" operator="containsText" text="Merit">
      <formula>NOT(ISERROR(SEARCH("Merit",H1)))</formula>
    </cfRule>
    <cfRule type="containsText" dxfId="22" priority="26" operator="containsText" text="Excellence">
      <formula>NOT(ISERROR(SEARCH("Excellence",H1)))</formula>
    </cfRule>
    <cfRule type="containsText" dxfId="21" priority="27" operator="containsText" text="Worlds Team">
      <formula>NOT(ISERROR(SEARCH("Worlds Team",H1)))</formula>
    </cfRule>
    <cfRule type="containsText" dxfId="20" priority="28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33203125" bestFit="1" customWidth="1"/>
    <col min="11" max="11" width="27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100" width="10.83203125" hidden="1" customWidth="1"/>
    <col min="101" max="105" width="10.83203125" customWidth="1"/>
    <col min="106" max="121" width="10.83203125" hidden="1" customWidth="1"/>
    <col min="122" max="126" width="10.83203125" customWidth="1"/>
    <col min="127" max="358" width="10.83203125" hidden="1" customWidth="1"/>
  </cols>
  <sheetData>
    <row r="1" spans="1:358" ht="16" customHeight="1" x14ac:dyDescent="0.2">
      <c r="A1" s="136" t="s">
        <v>1</v>
      </c>
      <c r="B1" s="136" t="s">
        <v>41</v>
      </c>
      <c r="C1" s="136" t="s">
        <v>0</v>
      </c>
      <c r="D1" s="136" t="s">
        <v>93</v>
      </c>
      <c r="E1" s="136" t="s">
        <v>2</v>
      </c>
      <c r="F1" s="144" t="s">
        <v>116</v>
      </c>
      <c r="G1" s="144" t="s">
        <v>15</v>
      </c>
      <c r="H1" s="136" t="s">
        <v>16</v>
      </c>
      <c r="I1" s="144" t="s">
        <v>210</v>
      </c>
      <c r="J1" s="150" t="s">
        <v>119</v>
      </c>
      <c r="K1" s="141" t="s">
        <v>56</v>
      </c>
      <c r="L1" s="150" t="s">
        <v>118</v>
      </c>
      <c r="M1" s="141" t="s">
        <v>56</v>
      </c>
      <c r="N1" s="140" t="s">
        <v>21</v>
      </c>
      <c r="O1" s="141" t="s">
        <v>57</v>
      </c>
      <c r="P1" s="141" t="s">
        <v>56</v>
      </c>
      <c r="Q1" s="137" t="s">
        <v>126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9" t="s">
        <v>142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7" t="s">
        <v>187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42" t="s">
        <v>115</v>
      </c>
      <c r="CF1" s="142"/>
      <c r="CG1" s="148" t="s">
        <v>165</v>
      </c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9" t="s">
        <v>169</v>
      </c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8"/>
      <c r="DX1" s="148"/>
      <c r="DY1" s="148"/>
      <c r="DZ1" s="148"/>
      <c r="EA1" s="148"/>
      <c r="EB1" s="148"/>
      <c r="EC1" s="148"/>
      <c r="ED1" s="148"/>
      <c r="EE1" s="148"/>
      <c r="EF1" s="148"/>
      <c r="EG1" s="148"/>
      <c r="EH1" s="148"/>
      <c r="EI1" s="148"/>
      <c r="EJ1" s="148"/>
      <c r="EK1" s="148"/>
      <c r="EL1" s="148"/>
      <c r="EM1" s="148"/>
      <c r="EN1" s="148"/>
      <c r="EO1" s="148"/>
      <c r="EP1" s="148"/>
      <c r="EQ1" s="148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/>
      <c r="FE1" s="149"/>
      <c r="FF1" s="149"/>
      <c r="FG1" s="149"/>
      <c r="FH1" s="149"/>
      <c r="FI1" s="149"/>
      <c r="FJ1" s="149"/>
      <c r="FK1" s="149"/>
      <c r="FL1" s="149"/>
      <c r="FM1" s="148"/>
      <c r="FN1" s="148"/>
      <c r="FO1" s="148"/>
      <c r="FP1" s="148"/>
      <c r="FQ1" s="148"/>
      <c r="FR1" s="148"/>
      <c r="FS1" s="148"/>
      <c r="FT1" s="148"/>
      <c r="FU1" s="148"/>
      <c r="FV1" s="148"/>
      <c r="FW1" s="148"/>
      <c r="FX1" s="148"/>
      <c r="FY1" s="148"/>
      <c r="FZ1" s="148"/>
      <c r="GA1" s="148"/>
      <c r="GB1" s="148"/>
      <c r="GC1" s="148"/>
      <c r="GD1" s="148"/>
      <c r="GE1" s="148"/>
      <c r="GF1" s="148"/>
      <c r="GG1" s="148"/>
      <c r="GH1" s="149"/>
      <c r="GI1" s="149"/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48"/>
      <c r="HD1" s="148"/>
      <c r="HE1" s="148"/>
      <c r="HF1" s="148"/>
      <c r="HG1" s="148"/>
      <c r="HH1" s="148"/>
      <c r="HI1" s="148"/>
      <c r="HJ1" s="148"/>
      <c r="HK1" s="148"/>
      <c r="HL1" s="148"/>
      <c r="HM1" s="148"/>
      <c r="HN1" s="148"/>
      <c r="HO1" s="148"/>
      <c r="HP1" s="148"/>
      <c r="HQ1" s="148"/>
      <c r="HR1" s="148"/>
      <c r="HS1" s="148"/>
      <c r="HT1" s="148"/>
      <c r="HU1" s="148"/>
      <c r="HV1" s="148"/>
      <c r="HW1" s="148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/>
      <c r="IS1" s="148"/>
      <c r="IT1" s="148"/>
      <c r="IU1" s="148"/>
      <c r="IV1" s="148"/>
      <c r="IW1" s="148"/>
      <c r="IX1" s="148"/>
      <c r="IY1" s="148"/>
      <c r="IZ1" s="148"/>
      <c r="JA1" s="148"/>
      <c r="JB1" s="148"/>
      <c r="JC1" s="148"/>
      <c r="JD1" s="148"/>
      <c r="JE1" s="148"/>
      <c r="JF1" s="148"/>
      <c r="JG1" s="148"/>
      <c r="JH1" s="148"/>
      <c r="JI1" s="148"/>
      <c r="JJ1" s="148"/>
      <c r="JK1" s="148"/>
      <c r="JL1" s="148"/>
      <c r="JM1" s="148"/>
      <c r="JN1" s="149"/>
      <c r="JO1" s="149"/>
      <c r="JP1" s="149"/>
      <c r="JQ1" s="149"/>
      <c r="JR1" s="149"/>
      <c r="JS1" s="149"/>
      <c r="JT1" s="149"/>
      <c r="JU1" s="149"/>
      <c r="JV1" s="149"/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48"/>
      <c r="KJ1" s="148"/>
      <c r="KK1" s="148"/>
      <c r="KL1" s="148"/>
      <c r="KM1" s="148"/>
      <c r="KN1" s="148"/>
      <c r="KO1" s="148"/>
      <c r="KP1" s="148"/>
      <c r="KQ1" s="148"/>
      <c r="KR1" s="148"/>
      <c r="KS1" s="148"/>
      <c r="KT1" s="148"/>
      <c r="KU1" s="148"/>
      <c r="KV1" s="148"/>
      <c r="KW1" s="148"/>
      <c r="KX1" s="148"/>
      <c r="KY1" s="148"/>
      <c r="KZ1" s="148"/>
      <c r="LA1" s="148"/>
      <c r="LB1" s="148"/>
      <c r="LC1" s="148"/>
      <c r="LD1" s="149"/>
      <c r="LE1" s="149"/>
      <c r="LF1" s="149"/>
      <c r="LG1" s="149"/>
      <c r="LH1" s="149"/>
      <c r="LI1" s="149"/>
      <c r="LJ1" s="149"/>
      <c r="LK1" s="149"/>
      <c r="LL1" s="149"/>
      <c r="LM1" s="149"/>
      <c r="LN1" s="149"/>
      <c r="LO1" s="149"/>
      <c r="LP1" s="149"/>
      <c r="LQ1" s="149"/>
      <c r="LR1" s="149"/>
      <c r="LS1" s="149"/>
      <c r="LT1" s="149"/>
      <c r="LU1" s="149"/>
      <c r="LV1" s="149"/>
      <c r="LW1" s="149"/>
      <c r="LX1" s="149"/>
      <c r="LY1" s="137" t="s">
        <v>123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36"/>
      <c r="B2" s="136"/>
      <c r="C2" s="136"/>
      <c r="D2" s="136"/>
      <c r="E2" s="136"/>
      <c r="F2" s="144"/>
      <c r="G2" s="144"/>
      <c r="H2" s="136"/>
      <c r="I2" s="144"/>
      <c r="J2" s="150"/>
      <c r="K2" s="141"/>
      <c r="L2" s="150"/>
      <c r="M2" s="141"/>
      <c r="N2" s="140"/>
      <c r="O2" s="141"/>
      <c r="P2" s="141"/>
      <c r="Q2" s="135" t="s">
        <v>43</v>
      </c>
      <c r="R2" s="135"/>
      <c r="S2" s="135"/>
      <c r="T2" s="135"/>
      <c r="U2" s="135" t="s">
        <v>46</v>
      </c>
      <c r="V2" s="135"/>
      <c r="W2" s="135"/>
      <c r="X2" s="135"/>
      <c r="Y2" s="135" t="s">
        <v>47</v>
      </c>
      <c r="Z2" s="135"/>
      <c r="AA2" s="135"/>
      <c r="AB2" s="135"/>
      <c r="AC2" s="143" t="s">
        <v>48</v>
      </c>
      <c r="AD2" s="143"/>
      <c r="AE2" s="143"/>
      <c r="AF2" s="143"/>
      <c r="AG2" s="84"/>
      <c r="AH2" s="87" t="s">
        <v>32</v>
      </c>
      <c r="AI2" s="9" t="s">
        <v>31</v>
      </c>
      <c r="AJ2" s="109" t="s">
        <v>139</v>
      </c>
      <c r="AK2" s="9" t="s">
        <v>30</v>
      </c>
      <c r="AL2" s="9" t="s">
        <v>25</v>
      </c>
      <c r="AM2" s="138" t="s">
        <v>43</v>
      </c>
      <c r="AN2" s="138"/>
      <c r="AO2" s="138"/>
      <c r="AP2" s="138"/>
      <c r="AQ2" s="138" t="s">
        <v>46</v>
      </c>
      <c r="AR2" s="138"/>
      <c r="AS2" s="138"/>
      <c r="AT2" s="138"/>
      <c r="AU2" s="138" t="s">
        <v>47</v>
      </c>
      <c r="AV2" s="138"/>
      <c r="AW2" s="138"/>
      <c r="AX2" s="138"/>
      <c r="AY2" s="147" t="s">
        <v>48</v>
      </c>
      <c r="AZ2" s="147"/>
      <c r="BA2" s="147"/>
      <c r="BB2" s="147"/>
      <c r="BC2" s="83"/>
      <c r="BD2" s="88" t="s">
        <v>32</v>
      </c>
      <c r="BE2" s="12" t="s">
        <v>31</v>
      </c>
      <c r="BF2" s="110" t="s">
        <v>139</v>
      </c>
      <c r="BG2" s="12" t="s">
        <v>30</v>
      </c>
      <c r="BH2" s="12" t="s">
        <v>25</v>
      </c>
      <c r="BI2" s="135" t="s">
        <v>43</v>
      </c>
      <c r="BJ2" s="135"/>
      <c r="BK2" s="135"/>
      <c r="BL2" s="135"/>
      <c r="BM2" s="135" t="s">
        <v>46</v>
      </c>
      <c r="BN2" s="135"/>
      <c r="BO2" s="135"/>
      <c r="BP2" s="135"/>
      <c r="BQ2" s="135" t="s">
        <v>47</v>
      </c>
      <c r="BR2" s="135"/>
      <c r="BS2" s="135"/>
      <c r="BT2" s="135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109" t="s">
        <v>139</v>
      </c>
      <c r="CC2" s="9" t="s">
        <v>30</v>
      </c>
      <c r="CD2" s="9" t="s">
        <v>25</v>
      </c>
      <c r="CE2" s="22" t="s">
        <v>121</v>
      </c>
      <c r="CF2" s="22" t="s">
        <v>120</v>
      </c>
      <c r="CG2" s="135" t="s">
        <v>43</v>
      </c>
      <c r="CH2" s="135"/>
      <c r="CI2" s="135"/>
      <c r="CJ2" s="135"/>
      <c r="CK2" s="135" t="s">
        <v>46</v>
      </c>
      <c r="CL2" s="135"/>
      <c r="CM2" s="135"/>
      <c r="CN2" s="135"/>
      <c r="CO2" s="135" t="s">
        <v>47</v>
      </c>
      <c r="CP2" s="135"/>
      <c r="CQ2" s="135"/>
      <c r="CR2" s="135"/>
      <c r="CS2" s="143" t="s">
        <v>48</v>
      </c>
      <c r="CT2" s="143"/>
      <c r="CU2" s="143"/>
      <c r="CV2" s="143"/>
      <c r="CW2" s="87" t="s">
        <v>32</v>
      </c>
      <c r="CX2" s="9" t="s">
        <v>31</v>
      </c>
      <c r="CY2" s="109" t="s">
        <v>139</v>
      </c>
      <c r="CZ2" s="9" t="s">
        <v>30</v>
      </c>
      <c r="DA2" s="9" t="s">
        <v>25</v>
      </c>
      <c r="DB2" s="147" t="s">
        <v>43</v>
      </c>
      <c r="DC2" s="147"/>
      <c r="DD2" s="147"/>
      <c r="DE2" s="147"/>
      <c r="DF2" s="147" t="s">
        <v>46</v>
      </c>
      <c r="DG2" s="147"/>
      <c r="DH2" s="147"/>
      <c r="DI2" s="147"/>
      <c r="DJ2" s="147" t="s">
        <v>47</v>
      </c>
      <c r="DK2" s="147"/>
      <c r="DL2" s="147"/>
      <c r="DM2" s="147"/>
      <c r="DN2" s="147" t="s">
        <v>48</v>
      </c>
      <c r="DO2" s="147"/>
      <c r="DP2" s="147"/>
      <c r="DQ2" s="147"/>
      <c r="DR2" s="88" t="s">
        <v>32</v>
      </c>
      <c r="DS2" s="16" t="s">
        <v>31</v>
      </c>
      <c r="DT2" s="110" t="s">
        <v>139</v>
      </c>
      <c r="DU2" s="16" t="s">
        <v>30</v>
      </c>
      <c r="DV2" s="16" t="s">
        <v>25</v>
      </c>
      <c r="DW2" s="143" t="s">
        <v>43</v>
      </c>
      <c r="DX2" s="143"/>
      <c r="DY2" s="143"/>
      <c r="DZ2" s="143"/>
      <c r="EA2" s="143" t="s">
        <v>46</v>
      </c>
      <c r="EB2" s="143"/>
      <c r="EC2" s="143"/>
      <c r="ED2" s="143"/>
      <c r="EE2" s="143" t="s">
        <v>47</v>
      </c>
      <c r="EF2" s="143"/>
      <c r="EG2" s="143"/>
      <c r="EH2" s="143"/>
      <c r="EI2" s="143" t="s">
        <v>48</v>
      </c>
      <c r="EJ2" s="143"/>
      <c r="EK2" s="143"/>
      <c r="EL2" s="143"/>
      <c r="EM2" s="87" t="s">
        <v>32</v>
      </c>
      <c r="EN2" s="17" t="s">
        <v>31</v>
      </c>
      <c r="EO2" s="109" t="s">
        <v>139</v>
      </c>
      <c r="EP2" s="17" t="s">
        <v>30</v>
      </c>
      <c r="EQ2" s="17" t="s">
        <v>25</v>
      </c>
      <c r="ER2" s="147" t="s">
        <v>43</v>
      </c>
      <c r="ES2" s="147"/>
      <c r="ET2" s="147"/>
      <c r="EU2" s="147"/>
      <c r="EV2" s="147" t="s">
        <v>46</v>
      </c>
      <c r="EW2" s="147"/>
      <c r="EX2" s="147"/>
      <c r="EY2" s="147"/>
      <c r="EZ2" s="147" t="s">
        <v>47</v>
      </c>
      <c r="FA2" s="147"/>
      <c r="FB2" s="147"/>
      <c r="FC2" s="147"/>
      <c r="FD2" s="147" t="s">
        <v>48</v>
      </c>
      <c r="FE2" s="147"/>
      <c r="FF2" s="147"/>
      <c r="FG2" s="147"/>
      <c r="FH2" s="88" t="s">
        <v>32</v>
      </c>
      <c r="FI2" s="16" t="s">
        <v>31</v>
      </c>
      <c r="FJ2" s="110" t="s">
        <v>139</v>
      </c>
      <c r="FK2" s="16" t="s">
        <v>30</v>
      </c>
      <c r="FL2" s="16" t="s">
        <v>25</v>
      </c>
      <c r="FM2" s="143" t="s">
        <v>43</v>
      </c>
      <c r="FN2" s="143"/>
      <c r="FO2" s="143"/>
      <c r="FP2" s="143"/>
      <c r="FQ2" s="143" t="s">
        <v>46</v>
      </c>
      <c r="FR2" s="143"/>
      <c r="FS2" s="143"/>
      <c r="FT2" s="143"/>
      <c r="FU2" s="143" t="s">
        <v>47</v>
      </c>
      <c r="FV2" s="143"/>
      <c r="FW2" s="143"/>
      <c r="FX2" s="143"/>
      <c r="FY2" s="143" t="s">
        <v>48</v>
      </c>
      <c r="FZ2" s="143"/>
      <c r="GA2" s="143"/>
      <c r="GB2" s="143"/>
      <c r="GC2" s="87" t="s">
        <v>32</v>
      </c>
      <c r="GD2" s="17" t="s">
        <v>31</v>
      </c>
      <c r="GE2" s="109" t="s">
        <v>139</v>
      </c>
      <c r="GF2" s="17" t="s">
        <v>30</v>
      </c>
      <c r="GG2" s="17" t="s">
        <v>25</v>
      </c>
      <c r="GH2" s="147" t="s">
        <v>43</v>
      </c>
      <c r="GI2" s="147"/>
      <c r="GJ2" s="147"/>
      <c r="GK2" s="147"/>
      <c r="GL2" s="147" t="s">
        <v>46</v>
      </c>
      <c r="GM2" s="147"/>
      <c r="GN2" s="147"/>
      <c r="GO2" s="147"/>
      <c r="GP2" s="147" t="s">
        <v>47</v>
      </c>
      <c r="GQ2" s="147"/>
      <c r="GR2" s="147"/>
      <c r="GS2" s="147"/>
      <c r="GT2" s="147" t="s">
        <v>48</v>
      </c>
      <c r="GU2" s="147"/>
      <c r="GV2" s="147"/>
      <c r="GW2" s="147"/>
      <c r="GX2" s="88" t="s">
        <v>32</v>
      </c>
      <c r="GY2" s="16" t="s">
        <v>31</v>
      </c>
      <c r="GZ2" s="110" t="s">
        <v>139</v>
      </c>
      <c r="HA2" s="16" t="s">
        <v>30</v>
      </c>
      <c r="HB2" s="16" t="s">
        <v>25</v>
      </c>
      <c r="HC2" s="143" t="s">
        <v>43</v>
      </c>
      <c r="HD2" s="143"/>
      <c r="HE2" s="143"/>
      <c r="HF2" s="143"/>
      <c r="HG2" s="143" t="s">
        <v>46</v>
      </c>
      <c r="HH2" s="143"/>
      <c r="HI2" s="143"/>
      <c r="HJ2" s="143"/>
      <c r="HK2" s="143" t="s">
        <v>47</v>
      </c>
      <c r="HL2" s="143"/>
      <c r="HM2" s="143"/>
      <c r="HN2" s="143"/>
      <c r="HO2" s="143" t="s">
        <v>48</v>
      </c>
      <c r="HP2" s="143"/>
      <c r="HQ2" s="143"/>
      <c r="HR2" s="143"/>
      <c r="HS2" s="87" t="s">
        <v>32</v>
      </c>
      <c r="HT2" s="17" t="s">
        <v>31</v>
      </c>
      <c r="HU2" s="109" t="s">
        <v>139</v>
      </c>
      <c r="HV2" s="17" t="s">
        <v>30</v>
      </c>
      <c r="HW2" s="17" t="s">
        <v>25</v>
      </c>
      <c r="HX2" s="147" t="s">
        <v>43</v>
      </c>
      <c r="HY2" s="147"/>
      <c r="HZ2" s="147"/>
      <c r="IA2" s="147"/>
      <c r="IB2" s="147" t="s">
        <v>46</v>
      </c>
      <c r="IC2" s="147"/>
      <c r="ID2" s="147"/>
      <c r="IE2" s="147"/>
      <c r="IF2" s="147" t="s">
        <v>47</v>
      </c>
      <c r="IG2" s="147"/>
      <c r="IH2" s="147"/>
      <c r="II2" s="147"/>
      <c r="IJ2" s="147" t="s">
        <v>48</v>
      </c>
      <c r="IK2" s="147"/>
      <c r="IL2" s="147"/>
      <c r="IM2" s="147"/>
      <c r="IN2" s="88" t="s">
        <v>32</v>
      </c>
      <c r="IO2" s="16" t="s">
        <v>31</v>
      </c>
      <c r="IP2" s="110" t="s">
        <v>139</v>
      </c>
      <c r="IQ2" s="16" t="s">
        <v>30</v>
      </c>
      <c r="IR2" s="16" t="s">
        <v>25</v>
      </c>
      <c r="IS2" s="143" t="s">
        <v>43</v>
      </c>
      <c r="IT2" s="143"/>
      <c r="IU2" s="143"/>
      <c r="IV2" s="143"/>
      <c r="IW2" s="143" t="s">
        <v>46</v>
      </c>
      <c r="IX2" s="143"/>
      <c r="IY2" s="143"/>
      <c r="IZ2" s="143"/>
      <c r="JA2" s="143" t="s">
        <v>47</v>
      </c>
      <c r="JB2" s="143"/>
      <c r="JC2" s="143"/>
      <c r="JD2" s="143"/>
      <c r="JE2" s="143" t="s">
        <v>48</v>
      </c>
      <c r="JF2" s="143"/>
      <c r="JG2" s="143"/>
      <c r="JH2" s="143"/>
      <c r="JI2" s="87" t="s">
        <v>32</v>
      </c>
      <c r="JJ2" s="17" t="s">
        <v>31</v>
      </c>
      <c r="JK2" s="109" t="s">
        <v>139</v>
      </c>
      <c r="JL2" s="17" t="s">
        <v>30</v>
      </c>
      <c r="JM2" s="17" t="s">
        <v>25</v>
      </c>
      <c r="JN2" s="147" t="s">
        <v>43</v>
      </c>
      <c r="JO2" s="147"/>
      <c r="JP2" s="147"/>
      <c r="JQ2" s="147"/>
      <c r="JR2" s="147" t="s">
        <v>46</v>
      </c>
      <c r="JS2" s="147"/>
      <c r="JT2" s="147"/>
      <c r="JU2" s="147"/>
      <c r="JV2" s="147" t="s">
        <v>47</v>
      </c>
      <c r="JW2" s="147"/>
      <c r="JX2" s="147"/>
      <c r="JY2" s="147"/>
      <c r="JZ2" s="147" t="s">
        <v>48</v>
      </c>
      <c r="KA2" s="147"/>
      <c r="KB2" s="147"/>
      <c r="KC2" s="147"/>
      <c r="KD2" s="88" t="s">
        <v>32</v>
      </c>
      <c r="KE2" s="16" t="s">
        <v>31</v>
      </c>
      <c r="KF2" s="110" t="s">
        <v>139</v>
      </c>
      <c r="KG2" s="16" t="s">
        <v>30</v>
      </c>
      <c r="KH2" s="16" t="s">
        <v>25</v>
      </c>
      <c r="KI2" s="143" t="s">
        <v>43</v>
      </c>
      <c r="KJ2" s="143"/>
      <c r="KK2" s="143"/>
      <c r="KL2" s="143"/>
      <c r="KM2" s="143" t="s">
        <v>46</v>
      </c>
      <c r="KN2" s="143"/>
      <c r="KO2" s="143"/>
      <c r="KP2" s="143"/>
      <c r="KQ2" s="143" t="s">
        <v>47</v>
      </c>
      <c r="KR2" s="143"/>
      <c r="KS2" s="143"/>
      <c r="KT2" s="143"/>
      <c r="KU2" s="143" t="s">
        <v>48</v>
      </c>
      <c r="KV2" s="143"/>
      <c r="KW2" s="143"/>
      <c r="KX2" s="143"/>
      <c r="KY2" s="87" t="s">
        <v>32</v>
      </c>
      <c r="KZ2" s="17" t="s">
        <v>31</v>
      </c>
      <c r="LA2" s="109" t="s">
        <v>139</v>
      </c>
      <c r="LB2" s="17" t="s">
        <v>30</v>
      </c>
      <c r="LC2" s="17" t="s">
        <v>25</v>
      </c>
      <c r="LD2" s="147" t="s">
        <v>43</v>
      </c>
      <c r="LE2" s="147"/>
      <c r="LF2" s="147"/>
      <c r="LG2" s="147"/>
      <c r="LH2" s="147" t="s">
        <v>46</v>
      </c>
      <c r="LI2" s="147"/>
      <c r="LJ2" s="147"/>
      <c r="LK2" s="147"/>
      <c r="LL2" s="147" t="s">
        <v>47</v>
      </c>
      <c r="LM2" s="147"/>
      <c r="LN2" s="147"/>
      <c r="LO2" s="147"/>
      <c r="LP2" s="147" t="s">
        <v>48</v>
      </c>
      <c r="LQ2" s="147"/>
      <c r="LR2" s="147"/>
      <c r="LS2" s="147"/>
      <c r="LT2" s="88" t="s">
        <v>32</v>
      </c>
      <c r="LU2" s="16" t="s">
        <v>31</v>
      </c>
      <c r="LV2" s="110" t="s">
        <v>139</v>
      </c>
      <c r="LW2" s="16" t="s">
        <v>30</v>
      </c>
      <c r="LX2" s="16" t="s">
        <v>25</v>
      </c>
      <c r="LY2" s="135" t="s">
        <v>43</v>
      </c>
      <c r="LZ2" s="135"/>
      <c r="MA2" s="135"/>
      <c r="MB2" s="135"/>
      <c r="MC2" s="135" t="s">
        <v>46</v>
      </c>
      <c r="MD2" s="135"/>
      <c r="ME2" s="135"/>
      <c r="MF2" s="135"/>
      <c r="MG2" s="135" t="s">
        <v>47</v>
      </c>
      <c r="MH2" s="135"/>
      <c r="MI2" s="135"/>
      <c r="MJ2" s="135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102" t="s">
        <v>139</v>
      </c>
      <c r="MS2" s="9" t="s">
        <v>30</v>
      </c>
      <c r="MT2" s="9" t="s">
        <v>25</v>
      </c>
    </row>
    <row r="3" spans="1:358" x14ac:dyDescent="0.2">
      <c r="A3" s="136"/>
      <c r="B3" s="136"/>
      <c r="C3" s="136"/>
      <c r="D3" s="136"/>
      <c r="E3" s="136"/>
      <c r="F3" s="144"/>
      <c r="G3" s="144"/>
      <c r="H3" s="136"/>
      <c r="I3" s="144"/>
      <c r="J3" s="150"/>
      <c r="K3" s="141"/>
      <c r="L3" s="150"/>
      <c r="M3" s="141"/>
      <c r="N3" s="140"/>
      <c r="O3" s="141"/>
      <c r="P3" s="141"/>
      <c r="Q3" s="84" t="s">
        <v>22</v>
      </c>
      <c r="R3" s="84" t="s">
        <v>14</v>
      </c>
      <c r="S3" s="84" t="s">
        <v>44</v>
      </c>
      <c r="T3" s="84" t="s">
        <v>45</v>
      </c>
      <c r="U3" s="84" t="s">
        <v>22</v>
      </c>
      <c r="V3" s="84" t="s">
        <v>14</v>
      </c>
      <c r="W3" s="84" t="s">
        <v>44</v>
      </c>
      <c r="X3" s="84" t="s">
        <v>45</v>
      </c>
      <c r="Y3" s="84" t="s">
        <v>22</v>
      </c>
      <c r="Z3" s="84" t="s">
        <v>14</v>
      </c>
      <c r="AA3" s="84" t="s">
        <v>44</v>
      </c>
      <c r="AB3" s="84" t="s">
        <v>45</v>
      </c>
      <c r="AC3" s="85" t="s">
        <v>22</v>
      </c>
      <c r="AD3" s="85" t="s">
        <v>14</v>
      </c>
      <c r="AE3" s="85" t="s">
        <v>44</v>
      </c>
      <c r="AF3" s="85" t="s">
        <v>45</v>
      </c>
      <c r="AG3" s="84" t="s">
        <v>90</v>
      </c>
      <c r="AH3" s="10"/>
      <c r="AI3" s="9"/>
      <c r="AJ3" s="10"/>
      <c r="AK3" s="10"/>
      <c r="AL3" s="10"/>
      <c r="AM3" s="83" t="s">
        <v>22</v>
      </c>
      <c r="AN3" s="83" t="s">
        <v>14</v>
      </c>
      <c r="AO3" s="83" t="s">
        <v>44</v>
      </c>
      <c r="AP3" s="83" t="s">
        <v>45</v>
      </c>
      <c r="AQ3" s="83" t="s">
        <v>22</v>
      </c>
      <c r="AR3" s="83" t="s">
        <v>14</v>
      </c>
      <c r="AS3" s="83" t="s">
        <v>44</v>
      </c>
      <c r="AT3" s="83" t="s">
        <v>45</v>
      </c>
      <c r="AU3" s="83" t="s">
        <v>22</v>
      </c>
      <c r="AV3" s="83" t="s">
        <v>14</v>
      </c>
      <c r="AW3" s="83" t="s">
        <v>44</v>
      </c>
      <c r="AX3" s="83" t="s">
        <v>45</v>
      </c>
      <c r="AY3" s="86" t="s">
        <v>22</v>
      </c>
      <c r="AZ3" s="86" t="s">
        <v>14</v>
      </c>
      <c r="BA3" s="86" t="s">
        <v>44</v>
      </c>
      <c r="BB3" s="86" t="s">
        <v>45</v>
      </c>
      <c r="BC3" s="83" t="s">
        <v>90</v>
      </c>
      <c r="BD3" s="13"/>
      <c r="BE3" s="12"/>
      <c r="BF3" s="13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90</v>
      </c>
      <c r="BZ3" s="10"/>
      <c r="CA3" s="9"/>
      <c r="CB3" s="10"/>
      <c r="CC3" s="10"/>
      <c r="CD3" s="10"/>
      <c r="CE3" s="23"/>
      <c r="CF3" s="23"/>
      <c r="CG3" s="84" t="s">
        <v>22</v>
      </c>
      <c r="CH3" s="84" t="s">
        <v>14</v>
      </c>
      <c r="CI3" s="84" t="s">
        <v>44</v>
      </c>
      <c r="CJ3" s="84" t="s">
        <v>45</v>
      </c>
      <c r="CK3" s="84" t="s">
        <v>22</v>
      </c>
      <c r="CL3" s="84" t="s">
        <v>14</v>
      </c>
      <c r="CM3" s="84" t="s">
        <v>44</v>
      </c>
      <c r="CN3" s="84" t="s">
        <v>45</v>
      </c>
      <c r="CO3" s="84" t="s">
        <v>22</v>
      </c>
      <c r="CP3" s="84" t="s">
        <v>14</v>
      </c>
      <c r="CQ3" s="84" t="s">
        <v>44</v>
      </c>
      <c r="CR3" s="84" t="s">
        <v>45</v>
      </c>
      <c r="CS3" s="85" t="s">
        <v>22</v>
      </c>
      <c r="CT3" s="85" t="s">
        <v>14</v>
      </c>
      <c r="CU3" s="85" t="s">
        <v>44</v>
      </c>
      <c r="CV3" s="85" t="s">
        <v>45</v>
      </c>
      <c r="CW3" s="10"/>
      <c r="CX3" s="9"/>
      <c r="CY3" s="10"/>
      <c r="CZ3" s="10"/>
      <c r="DA3" s="10"/>
      <c r="DB3" s="86" t="s">
        <v>22</v>
      </c>
      <c r="DC3" s="86" t="s">
        <v>14</v>
      </c>
      <c r="DD3" s="86" t="s">
        <v>44</v>
      </c>
      <c r="DE3" s="86" t="s">
        <v>45</v>
      </c>
      <c r="DF3" s="86" t="s">
        <v>22</v>
      </c>
      <c r="DG3" s="86" t="s">
        <v>14</v>
      </c>
      <c r="DH3" s="86" t="s">
        <v>44</v>
      </c>
      <c r="DI3" s="86" t="s">
        <v>45</v>
      </c>
      <c r="DJ3" s="86" t="s">
        <v>22</v>
      </c>
      <c r="DK3" s="86" t="s">
        <v>14</v>
      </c>
      <c r="DL3" s="86" t="s">
        <v>44</v>
      </c>
      <c r="DM3" s="86" t="s">
        <v>45</v>
      </c>
      <c r="DN3" s="86" t="s">
        <v>22</v>
      </c>
      <c r="DO3" s="86" t="s">
        <v>14</v>
      </c>
      <c r="DP3" s="86" t="s">
        <v>44</v>
      </c>
      <c r="DQ3" s="86" t="s">
        <v>45</v>
      </c>
      <c r="DR3" s="13"/>
      <c r="DS3" s="16"/>
      <c r="DT3" s="13"/>
      <c r="DU3" s="16"/>
      <c r="DV3" s="16"/>
      <c r="DW3" s="85" t="s">
        <v>22</v>
      </c>
      <c r="DX3" s="85" t="s">
        <v>14</v>
      </c>
      <c r="DY3" s="85" t="s">
        <v>44</v>
      </c>
      <c r="DZ3" s="85" t="s">
        <v>45</v>
      </c>
      <c r="EA3" s="85" t="s">
        <v>22</v>
      </c>
      <c r="EB3" s="85" t="s">
        <v>14</v>
      </c>
      <c r="EC3" s="85" t="s">
        <v>44</v>
      </c>
      <c r="ED3" s="85" t="s">
        <v>45</v>
      </c>
      <c r="EE3" s="85" t="s">
        <v>22</v>
      </c>
      <c r="EF3" s="85" t="s">
        <v>14</v>
      </c>
      <c r="EG3" s="85" t="s">
        <v>44</v>
      </c>
      <c r="EH3" s="85" t="s">
        <v>45</v>
      </c>
      <c r="EI3" s="85" t="s">
        <v>22</v>
      </c>
      <c r="EJ3" s="85" t="s">
        <v>14</v>
      </c>
      <c r="EK3" s="85" t="s">
        <v>44</v>
      </c>
      <c r="EL3" s="85" t="s">
        <v>45</v>
      </c>
      <c r="EM3" s="10"/>
      <c r="EN3" s="17"/>
      <c r="EO3" s="10"/>
      <c r="EP3" s="17"/>
      <c r="EQ3" s="17"/>
      <c r="ER3" s="86" t="s">
        <v>22</v>
      </c>
      <c r="ES3" s="86" t="s">
        <v>14</v>
      </c>
      <c r="ET3" s="86" t="s">
        <v>44</v>
      </c>
      <c r="EU3" s="86" t="s">
        <v>45</v>
      </c>
      <c r="EV3" s="86" t="s">
        <v>22</v>
      </c>
      <c r="EW3" s="86" t="s">
        <v>14</v>
      </c>
      <c r="EX3" s="86" t="s">
        <v>44</v>
      </c>
      <c r="EY3" s="86" t="s">
        <v>45</v>
      </c>
      <c r="EZ3" s="86" t="s">
        <v>22</v>
      </c>
      <c r="FA3" s="86" t="s">
        <v>14</v>
      </c>
      <c r="FB3" s="86" t="s">
        <v>44</v>
      </c>
      <c r="FC3" s="86" t="s">
        <v>45</v>
      </c>
      <c r="FD3" s="86" t="s">
        <v>22</v>
      </c>
      <c r="FE3" s="86" t="s">
        <v>14</v>
      </c>
      <c r="FF3" s="86" t="s">
        <v>44</v>
      </c>
      <c r="FG3" s="86" t="s">
        <v>45</v>
      </c>
      <c r="FH3" s="13"/>
      <c r="FI3" s="16"/>
      <c r="FJ3" s="13"/>
      <c r="FK3" s="16"/>
      <c r="FL3" s="16"/>
      <c r="FM3" s="85" t="s">
        <v>22</v>
      </c>
      <c r="FN3" s="85" t="s">
        <v>14</v>
      </c>
      <c r="FO3" s="85" t="s">
        <v>44</v>
      </c>
      <c r="FP3" s="85" t="s">
        <v>45</v>
      </c>
      <c r="FQ3" s="85" t="s">
        <v>22</v>
      </c>
      <c r="FR3" s="85" t="s">
        <v>14</v>
      </c>
      <c r="FS3" s="85" t="s">
        <v>44</v>
      </c>
      <c r="FT3" s="85" t="s">
        <v>45</v>
      </c>
      <c r="FU3" s="85" t="s">
        <v>22</v>
      </c>
      <c r="FV3" s="85" t="s">
        <v>14</v>
      </c>
      <c r="FW3" s="85" t="s">
        <v>44</v>
      </c>
      <c r="FX3" s="85" t="s">
        <v>45</v>
      </c>
      <c r="FY3" s="85" t="s">
        <v>22</v>
      </c>
      <c r="FZ3" s="85" t="s">
        <v>14</v>
      </c>
      <c r="GA3" s="85" t="s">
        <v>44</v>
      </c>
      <c r="GB3" s="85" t="s">
        <v>45</v>
      </c>
      <c r="GC3" s="10"/>
      <c r="GD3" s="17"/>
      <c r="GE3" s="10"/>
      <c r="GF3" s="17"/>
      <c r="GG3" s="17"/>
      <c r="GH3" s="86" t="s">
        <v>22</v>
      </c>
      <c r="GI3" s="86" t="s">
        <v>14</v>
      </c>
      <c r="GJ3" s="86" t="s">
        <v>44</v>
      </c>
      <c r="GK3" s="86" t="s">
        <v>45</v>
      </c>
      <c r="GL3" s="86" t="s">
        <v>22</v>
      </c>
      <c r="GM3" s="86" t="s">
        <v>14</v>
      </c>
      <c r="GN3" s="86" t="s">
        <v>44</v>
      </c>
      <c r="GO3" s="86" t="s">
        <v>45</v>
      </c>
      <c r="GP3" s="86" t="s">
        <v>22</v>
      </c>
      <c r="GQ3" s="86" t="s">
        <v>14</v>
      </c>
      <c r="GR3" s="86" t="s">
        <v>44</v>
      </c>
      <c r="GS3" s="86" t="s">
        <v>45</v>
      </c>
      <c r="GT3" s="86" t="s">
        <v>22</v>
      </c>
      <c r="GU3" s="86" t="s">
        <v>14</v>
      </c>
      <c r="GV3" s="86" t="s">
        <v>44</v>
      </c>
      <c r="GW3" s="86" t="s">
        <v>45</v>
      </c>
      <c r="GX3" s="13"/>
      <c r="GY3" s="16"/>
      <c r="GZ3" s="13"/>
      <c r="HA3" s="16"/>
      <c r="HB3" s="16"/>
      <c r="HC3" s="85" t="s">
        <v>22</v>
      </c>
      <c r="HD3" s="85" t="s">
        <v>14</v>
      </c>
      <c r="HE3" s="85" t="s">
        <v>44</v>
      </c>
      <c r="HF3" s="85" t="s">
        <v>45</v>
      </c>
      <c r="HG3" s="85" t="s">
        <v>22</v>
      </c>
      <c r="HH3" s="85" t="s">
        <v>14</v>
      </c>
      <c r="HI3" s="85" t="s">
        <v>44</v>
      </c>
      <c r="HJ3" s="85" t="s">
        <v>45</v>
      </c>
      <c r="HK3" s="85" t="s">
        <v>22</v>
      </c>
      <c r="HL3" s="85" t="s">
        <v>14</v>
      </c>
      <c r="HM3" s="85" t="s">
        <v>44</v>
      </c>
      <c r="HN3" s="85" t="s">
        <v>45</v>
      </c>
      <c r="HO3" s="85" t="s">
        <v>22</v>
      </c>
      <c r="HP3" s="85" t="s">
        <v>14</v>
      </c>
      <c r="HQ3" s="85" t="s">
        <v>44</v>
      </c>
      <c r="HR3" s="85" t="s">
        <v>45</v>
      </c>
      <c r="HS3" s="10"/>
      <c r="HT3" s="17"/>
      <c r="HU3" s="10"/>
      <c r="HV3" s="17"/>
      <c r="HW3" s="17"/>
      <c r="HX3" s="86" t="s">
        <v>22</v>
      </c>
      <c r="HY3" s="86" t="s">
        <v>14</v>
      </c>
      <c r="HZ3" s="86" t="s">
        <v>44</v>
      </c>
      <c r="IA3" s="86" t="s">
        <v>45</v>
      </c>
      <c r="IB3" s="86" t="s">
        <v>22</v>
      </c>
      <c r="IC3" s="86" t="s">
        <v>14</v>
      </c>
      <c r="ID3" s="86" t="s">
        <v>44</v>
      </c>
      <c r="IE3" s="86" t="s">
        <v>45</v>
      </c>
      <c r="IF3" s="86" t="s">
        <v>22</v>
      </c>
      <c r="IG3" s="86" t="s">
        <v>14</v>
      </c>
      <c r="IH3" s="86" t="s">
        <v>44</v>
      </c>
      <c r="II3" s="86" t="s">
        <v>45</v>
      </c>
      <c r="IJ3" s="86" t="s">
        <v>22</v>
      </c>
      <c r="IK3" s="86" t="s">
        <v>14</v>
      </c>
      <c r="IL3" s="86" t="s">
        <v>44</v>
      </c>
      <c r="IM3" s="86" t="s">
        <v>45</v>
      </c>
      <c r="IN3" s="13"/>
      <c r="IO3" s="16"/>
      <c r="IP3" s="13"/>
      <c r="IQ3" s="16"/>
      <c r="IR3" s="16"/>
      <c r="IS3" s="85" t="s">
        <v>22</v>
      </c>
      <c r="IT3" s="85" t="s">
        <v>14</v>
      </c>
      <c r="IU3" s="85" t="s">
        <v>44</v>
      </c>
      <c r="IV3" s="85" t="s">
        <v>45</v>
      </c>
      <c r="IW3" s="85" t="s">
        <v>22</v>
      </c>
      <c r="IX3" s="85" t="s">
        <v>14</v>
      </c>
      <c r="IY3" s="85" t="s">
        <v>44</v>
      </c>
      <c r="IZ3" s="85" t="s">
        <v>45</v>
      </c>
      <c r="JA3" s="85" t="s">
        <v>22</v>
      </c>
      <c r="JB3" s="85" t="s">
        <v>14</v>
      </c>
      <c r="JC3" s="85" t="s">
        <v>44</v>
      </c>
      <c r="JD3" s="85" t="s">
        <v>45</v>
      </c>
      <c r="JE3" s="85" t="s">
        <v>22</v>
      </c>
      <c r="JF3" s="85" t="s">
        <v>14</v>
      </c>
      <c r="JG3" s="85" t="s">
        <v>44</v>
      </c>
      <c r="JH3" s="85" t="s">
        <v>45</v>
      </c>
      <c r="JI3" s="10"/>
      <c r="JJ3" s="17"/>
      <c r="JK3" s="10"/>
      <c r="JL3" s="17"/>
      <c r="JM3" s="17"/>
      <c r="JN3" s="86" t="s">
        <v>22</v>
      </c>
      <c r="JO3" s="86" t="s">
        <v>14</v>
      </c>
      <c r="JP3" s="86" t="s">
        <v>44</v>
      </c>
      <c r="JQ3" s="86" t="s">
        <v>45</v>
      </c>
      <c r="JR3" s="86" t="s">
        <v>22</v>
      </c>
      <c r="JS3" s="86" t="s">
        <v>14</v>
      </c>
      <c r="JT3" s="86" t="s">
        <v>44</v>
      </c>
      <c r="JU3" s="86" t="s">
        <v>45</v>
      </c>
      <c r="JV3" s="86" t="s">
        <v>22</v>
      </c>
      <c r="JW3" s="86" t="s">
        <v>14</v>
      </c>
      <c r="JX3" s="86" t="s">
        <v>44</v>
      </c>
      <c r="JY3" s="86" t="s">
        <v>45</v>
      </c>
      <c r="JZ3" s="86" t="s">
        <v>22</v>
      </c>
      <c r="KA3" s="86" t="s">
        <v>14</v>
      </c>
      <c r="KB3" s="86" t="s">
        <v>44</v>
      </c>
      <c r="KC3" s="86" t="s">
        <v>45</v>
      </c>
      <c r="KD3" s="13"/>
      <c r="KE3" s="16"/>
      <c r="KF3" s="13"/>
      <c r="KG3" s="16"/>
      <c r="KH3" s="16"/>
      <c r="KI3" s="85" t="s">
        <v>22</v>
      </c>
      <c r="KJ3" s="85" t="s">
        <v>14</v>
      </c>
      <c r="KK3" s="85" t="s">
        <v>44</v>
      </c>
      <c r="KL3" s="85" t="s">
        <v>45</v>
      </c>
      <c r="KM3" s="85" t="s">
        <v>22</v>
      </c>
      <c r="KN3" s="85" t="s">
        <v>14</v>
      </c>
      <c r="KO3" s="85" t="s">
        <v>44</v>
      </c>
      <c r="KP3" s="85" t="s">
        <v>45</v>
      </c>
      <c r="KQ3" s="85" t="s">
        <v>22</v>
      </c>
      <c r="KR3" s="85" t="s">
        <v>14</v>
      </c>
      <c r="KS3" s="85" t="s">
        <v>44</v>
      </c>
      <c r="KT3" s="85" t="s">
        <v>45</v>
      </c>
      <c r="KU3" s="85" t="s">
        <v>22</v>
      </c>
      <c r="KV3" s="85" t="s">
        <v>14</v>
      </c>
      <c r="KW3" s="85" t="s">
        <v>44</v>
      </c>
      <c r="KX3" s="85" t="s">
        <v>45</v>
      </c>
      <c r="KY3" s="10"/>
      <c r="KZ3" s="17"/>
      <c r="LA3" s="10"/>
      <c r="LB3" s="17"/>
      <c r="LC3" s="17"/>
      <c r="LD3" s="86" t="s">
        <v>22</v>
      </c>
      <c r="LE3" s="86" t="s">
        <v>14</v>
      </c>
      <c r="LF3" s="86" t="s">
        <v>44</v>
      </c>
      <c r="LG3" s="86" t="s">
        <v>45</v>
      </c>
      <c r="LH3" s="86" t="s">
        <v>22</v>
      </c>
      <c r="LI3" s="86" t="s">
        <v>14</v>
      </c>
      <c r="LJ3" s="86" t="s">
        <v>44</v>
      </c>
      <c r="LK3" s="86" t="s">
        <v>45</v>
      </c>
      <c r="LL3" s="86" t="s">
        <v>22</v>
      </c>
      <c r="LM3" s="86" t="s">
        <v>14</v>
      </c>
      <c r="LN3" s="86" t="s">
        <v>44</v>
      </c>
      <c r="LO3" s="86" t="s">
        <v>45</v>
      </c>
      <c r="LP3" s="86" t="s">
        <v>22</v>
      </c>
      <c r="LQ3" s="86" t="s">
        <v>14</v>
      </c>
      <c r="LR3" s="86" t="s">
        <v>44</v>
      </c>
      <c r="LS3" s="86" t="s">
        <v>45</v>
      </c>
      <c r="LT3" s="13"/>
      <c r="LU3" s="16"/>
      <c r="LV3" s="13"/>
      <c r="LW3" s="16"/>
      <c r="LX3" s="16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90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IF(AND(F4="P",G4="P"),SUMPRODUCT((F$4:F$15="P")*(G$4:G$15="P")*(E$4:E$15&gt;E4))+1,IF(G4="P",SUMPRODUCT((F$4:F$15="")*(G$4:G$15="P")*(E$4:E$15&gt;E4))+1+SUMPRODUCT((F$4:F$15="P")*(G$4:G$15="P")),""))</f>
        <v>1</v>
      </c>
      <c r="B4" s="8" t="s">
        <v>49</v>
      </c>
      <c r="C4" s="4" t="s">
        <v>3</v>
      </c>
      <c r="D4" s="5">
        <v>1994</v>
      </c>
      <c r="E4" s="15">
        <f>SUM(J4:N4)</f>
        <v>209.9</v>
      </c>
      <c r="F4" s="3" t="str">
        <f>IF(OR(AND(AH4&gt;=AL$17,AI4&gt;=AL$21,AI4&lt;&gt;"",AG4=""),AND(BD4&gt;=BH$17,BE4&gt;=BH$21,BE4&lt;&gt;"",BC4=""),AND(BZ4&gt;=CD$17,CA4&gt;=CD$21,CA4&lt;&gt;"",BY4=""),AND(CW4&gt;=DA$17,CX4&gt;=DA$21,CX4&lt;&gt;""),AND(DR4&gt;=DV$17,DS4&gt;=DV$21,DS4&lt;&gt;""),AND(EM4&gt;=EQ$17,EN4&gt;=EQ$21,EN4&lt;&gt;""),AND(FH4&gt;=FL$17,FI4&gt;=FL$21,FI4&lt;&gt;""),AND(GC4&gt;=GG$17,GD4&gt;=GG$21,GD4&lt;&gt;""),AND(GX4&gt;=HB$17,GY4&gt;=HB$21,GY4&lt;&gt;""),AND(HS4&gt;=HW$17,HT4&gt;=HW$21,HT4&lt;&gt;""),AND(IN4&gt;=IR$17,IO4&gt;=IR$21,IO4&lt;&gt;""),AND(JI4&gt;=JM$17,JJ4&gt;=JM$21,JJ4&lt;&gt;""),AND(KD4&gt;=KH$17,KE4&gt;=KH$21,KE4&lt;&gt;""),AND(KY4&gt;=LC$17,KZ4&gt;=LC$21,KZ4&lt;&gt;""),AND(LT4&gt;=LX$17,LU4&gt;=LX$21,LU4&lt;&gt;"")),"P","")</f>
        <v>P</v>
      </c>
      <c r="G4" s="3" t="str">
        <f>IF(OR(AND(AI4&gt;=AL$21,AI4&lt;&gt;"",AG4=""),AND(BE4&gt;=BH$21,BE4&lt;&gt;"",BC4=""),AND(CA4&gt;=CD$21,CA4&lt;&gt;"",BY4=""),AND(CX4&gt;=DA$21,CX4&lt;&gt;""),AND(DS4&gt;=DV$21,DS4&lt;&gt;""),AND(EN4&gt;=EQ$21,EN4&lt;&gt;""),AND(FI4&gt;=FL$21,FI4&lt;&gt;""),AND(GD4&gt;=GG$21,GD4&lt;&gt;""),AND(GY4&gt;=HB$21,GY4&lt;&gt;""),AND(HT4&gt;=HW$21,HT4&lt;&gt;""),AND(IO4&gt;=IR$21,IO4&lt;&gt;""),AND(JJ4&gt;=JM$21,JJ4&lt;&gt;""),AND(KE4&gt;=KH$21,KE4&lt;&gt;""),AND(KZ4&gt;=LC$21,KZ4&lt;&gt;""),AND(LU4&gt;=LX$21,LU4&lt;&gt;"")),"P","")</f>
        <v>P</v>
      </c>
      <c r="H4" s="126" t="str">
        <f>IF(AND(G4="P",F4=""),"No DD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Merit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Excellence",IF(OR(AND(AH4&gt;=AL$18,AH4&lt;&gt;"",AI4&gt;=AL$22,AI4&lt;&gt;"",AG4=""),AND(BD4&gt;=BH$18,BD4&lt;&gt;"",BE4&gt;=BH$22,BE4&lt;&gt;"",BC4=""),AND(BZ4&gt;=CD$18,BZ4&lt;&gt;"",CA4&gt;=CD$22,CA4&lt;&gt;"",BY4=""),AND(CW4&gt;=DA$18,CW4&lt;&gt;"",CX4&gt;=DA$22,CX4&lt;&gt;""),AND(DR4&gt;=DV$18,DR4&lt;&gt;"",DS4&gt;=DV$22,DS4&lt;&gt;""),AND(EM4&gt;=EQ$18,EM4&lt;&gt;"",EN4&gt;=EQ$22,EN4&lt;&gt;""),AND(FH4&gt;=FL$18,FH4&lt;&gt;"",FI4&gt;=FL$22,FI4&lt;&gt;""),AND(GC4&gt;=GG$18,GC4&lt;&gt;"",GD4&gt;=GG$22,GD4&lt;&gt;""),AND(GX4&gt;=HB$18,GX4&lt;&gt;"",GY4&gt;=HB$22,GY4&lt;&gt;""),AND(HS4&gt;=HW$18,HS4&lt;&gt;"",HT4&gt;=HW$22,HT4&lt;&gt;""),AND(IN4&gt;=IR$18,IN4&lt;&gt;"",IO4&gt;=IR$22,IO4&lt;&gt;""),AND(JI4&gt;=JM$18,JI4&lt;&gt;"",JJ4&gt;=JM$22,JJ4&lt;&gt;""),AND(KD4&gt;=KH$18,KD4&lt;&gt;"",KE4&gt;=KH$22,KE4&lt;&gt;""),AND(KY4&gt;=LC$18,KY4&lt;&gt;"",KZ4&gt;=LC$22,KZ4&lt;&gt;""),AND(LT4&gt;=LX$18,LT4&lt;&gt;"",LU4&gt;=LX$22,LU4&lt;&gt;"")),"Worlds Team",IF(OR(AND(AH4&gt;=AL$17,AH4&lt;&gt;"",AI4&gt;=AL$21,AI4&lt;&gt;"",AG4=""),AND(BD4&gt;=BH$17,BD4&lt;&gt;"",BE4&gt;=BH$21,BE4&lt;&gt;"",BC4=""),AND(BZ4&gt;=CD$17,BZ4&lt;&gt;"",CA4&gt;=CD$21,CA4&lt;&gt;"",BY4=""),AND(CW4&gt;=DA$17,CW4&lt;&gt;"",CX4&gt;=DA$21,CX4&lt;&gt;""),AND(DR4&gt;=DV$17,DR4&lt;&gt;"",DS4&gt;=DV$21,DS4&lt;&gt;""),AND(EM4&gt;=EQ$17,EM4&lt;&gt;"",EN4&gt;=EQ$21,EN4&lt;&gt;""),AND(FH4&gt;=FL$17,FH4&lt;&gt;"",FI4&gt;=FL$21,FI4&lt;&gt;""),AND(GC4&gt;=GG$17,GC4&lt;&gt;"",GD4&gt;=GG$21,GD4&lt;&gt;""),AND(GX4&gt;=HB$17,GX4&lt;&gt;"",GY4&gt;=HB$21,GY4&lt;&gt;""),AND(HS4&gt;=HW$17,HS4&lt;&gt;"",HT4&gt;=HW$21,HT4&lt;&gt;""),AND(IN4&gt;=IR$17,IN4&lt;&gt;"",IO4&gt;=IR$21,IO4&lt;&gt;""),AND(JI4&gt;=JM$17,JI4&lt;&gt;"",JJ4&gt;=JM$21,JJ4&lt;&gt;""),AND(KD4&gt;=KH$17,KD4&lt;&gt;"",KE4&gt;=KH$21,KE4&lt;&gt;""),AND(KY4&gt;=LC$17,KY4&lt;&gt;"",KZ4&gt;=LC$21,KZ4&lt;&gt;""),AND(LT4&gt;=LX$17,LT4&lt;&gt;"",LU4&gt;=LX$21,LU4&lt;&gt;"")),"National Team","")))))</f>
        <v>Merit</v>
      </c>
      <c r="I4" s="3" t="str">
        <f>IF(OR(H4="Worlds Team",H4="Excellence",H4="Merit"),"P","")</f>
        <v>P</v>
      </c>
      <c r="J4" s="14">
        <f>MAX(AL4,BH4,CD4)</f>
        <v>139.60000000000002</v>
      </c>
      <c r="K4" s="14" t="str">
        <f>IF(J4=0,"",IF(J4=CD4,$BI$1,IF(J4=BH4,$AM$1,IF(J4=AL4,$Q$1,""))))</f>
        <v>2019 Nationals</v>
      </c>
      <c r="L4" s="14">
        <f>IF(J4=AL4,MAX(BE4,BG4,CA4,CC4),IF(J4=BH4,MAX(AI4,AK4,CA4,CC4),MAX(AI4,AK4,BE4,BG4)))</f>
        <v>70.299999999999983</v>
      </c>
      <c r="M4" s="14" t="str">
        <f>IF(L4=0,"",IF(AND(J4&lt;&gt;CD4,OR(L4=CA4,L4=CC4)),$BI$1,IF(AND(J4&lt;&gt;BH4,OR(L4=BG4,L4=BE4)),$AM$1,IF(OR(L4=AK4,L4=AI4),$Q$1,""))))</f>
        <v>2019 Elite Canada</v>
      </c>
      <c r="N4" s="14" t="str">
        <f>IF(MAX(CE4:CF4)&gt;0,MAX(CE4:CF4),"")</f>
        <v/>
      </c>
      <c r="O4" s="25" t="str">
        <f>IF(N4="","",IF(N4=CE4,"(4 Pass)",IF(N4=CF4,"(2 Pass)")))</f>
        <v/>
      </c>
      <c r="P4" s="14" t="str">
        <f>IF(N4="","",IF(N4=CE4,IF(N4+IF(J4="",0,J4)=DA4,$CG$1,IF(N4+IF(J4="",0,J4)=DV4,$DB$1,IF(N4+IF(J4="",0,J4)=EQ4,$DW$1,IF(N4+IF(J4="",0,J4)=FL4,$ER$1,IF(N4+IF(J4="",0,J4)=GG4,$FM$1,IF(N4+IF(J4="",0,J4)=HB4,$GH$1,IF(N4+IF(J4="",0,J4)=HW4,$HC$1,IF(N4+IF(J4="",0,J4)=IR4,$HX$1,IF(N4+IF(J4="",0,J4)=JM4,$IS$1,IF(N4+IF(J4="",0,J4)=KH4,$JN$1,IF(N4+IF(J4="",0,J4)=LC4,$KI$1,IF(N4+IF(J4="",0,J4)=LX4,$LD$1)))))))))))),IF(N4=CF4,IF(OR(N4+IF(L4="",0,L4)=CX4,N4+IF(L4="",0,L4)=CZ4),$CG$1,IF(OR(N4+IF(L4="",0,L4)=DS4,N4+IF(L4="",0,L4)=DU4),$DB$1,IF(OR(N4+IF(L4="",0,L4)=EN4,N4+IF(L4="",0,L4)=EP4),$DW$1,IF(OR(N4+IF(L4="",0,L4)=FI4,N4+IF(L4="",0,L4)=FK4),$ER$1,IF(OR(N4+IF(L4="",0,L4)=GD4,N4+IF(L4="",0,L4)=GF4),$FM$1,IF(OR(N4+IF(L4="",0,L4)=GY4,N4+IF(L4="",0,L4)=HA4),$GH$1,IF(OR(N4+IF(L4="",0,L4)=HT4,N4+IF(L4="",0,L4)=HV4),$HC$1,IF(OR(N4+IF(L4="",0,L4)=IO4,N4+IF(L4="",0,L4)=IQ4),$HX$1,IF(OR(N4+IF(L4="",0,L4)=JJ4,N4+IF(L4="",0,L4)=JL4),$IS$1,IF(OR(N4+IF(L4="",0,L4)=KE4,N4+IF(L4="",0,L4)=KG4),$JN$1,IF(OR(N4+IF(L4="",0,L4)=KZ4,N4+IF(L4="",0,L4)=LB4),$KI$1,IF(OR(N4+IF(L4="",0,L4)=LU4,N4+IF(L4="",0,L4)=LW4),$LD$1)))))))))))))))</f>
        <v/>
      </c>
      <c r="Q4" s="69">
        <v>28.3</v>
      </c>
      <c r="R4" s="69">
        <v>7.2</v>
      </c>
      <c r="S4" s="69">
        <v>0</v>
      </c>
      <c r="T4" s="69">
        <v>0.3</v>
      </c>
      <c r="U4" s="69">
        <v>27.8</v>
      </c>
      <c r="V4" s="69">
        <v>6.8</v>
      </c>
      <c r="W4" s="69">
        <v>0.9</v>
      </c>
      <c r="X4" s="69">
        <v>0.8</v>
      </c>
      <c r="Y4" s="69">
        <v>28.8</v>
      </c>
      <c r="Z4" s="69">
        <v>5.2</v>
      </c>
      <c r="AA4" s="69">
        <v>0</v>
      </c>
      <c r="AB4" s="69">
        <v>0</v>
      </c>
      <c r="AC4" s="69">
        <v>27.7</v>
      </c>
      <c r="AD4" s="69">
        <v>4</v>
      </c>
      <c r="AE4" s="69">
        <v>1.7</v>
      </c>
      <c r="AF4" s="69">
        <v>0.5</v>
      </c>
      <c r="AG4" s="80"/>
      <c r="AH4" s="11">
        <f>IF(SUM(R4,V4)&gt;0,SUM(R4,V4),"")</f>
        <v>14</v>
      </c>
      <c r="AI4" s="11">
        <f>IF(SUM(Q4:R4,T4:V4,X4)-SUM(S4,W4)&gt;0,SUM(Q4:R4,T4:V4,X4)-SUM(S4,W4),"")</f>
        <v>70.299999999999983</v>
      </c>
      <c r="AJ4" s="11">
        <f>IF(SUM(Z4,AD4)&gt;0,SUM(Z4,AD4),"")</f>
        <v>9.1999999999999993</v>
      </c>
      <c r="AK4" s="11">
        <f>IF(SUM(Y4:Z4,AB4:AD4,AF4)-SUM(AA4,AE4)&gt;0,SUM(Y4:Z4,AB4:AD4,AF4)-SUM(AA4,AE4),"")</f>
        <v>64.5</v>
      </c>
      <c r="AL4" s="11">
        <f>IF(SUM(AI4,AK4)&gt;0,SUM(AI4,AK4),"")</f>
        <v>134.79999999999998</v>
      </c>
      <c r="AM4" s="38">
        <v>28.3</v>
      </c>
      <c r="AN4" s="38">
        <v>7.2</v>
      </c>
      <c r="AO4" s="38">
        <v>0</v>
      </c>
      <c r="AP4" s="38">
        <v>0.3</v>
      </c>
      <c r="AQ4" s="38">
        <v>28.1</v>
      </c>
      <c r="AR4" s="38">
        <v>6.8</v>
      </c>
      <c r="AS4" s="38">
        <v>0</v>
      </c>
      <c r="AT4" s="38">
        <v>0.5</v>
      </c>
      <c r="AU4" s="38">
        <v>28.8</v>
      </c>
      <c r="AV4" s="38">
        <v>6</v>
      </c>
      <c r="AW4" s="38">
        <v>0.3</v>
      </c>
      <c r="AX4" s="38">
        <v>0.3</v>
      </c>
      <c r="AY4" s="38">
        <v>27.4</v>
      </c>
      <c r="AZ4" s="38">
        <v>6</v>
      </c>
      <c r="BA4" s="38">
        <v>0.3</v>
      </c>
      <c r="BB4" s="38">
        <v>0.5</v>
      </c>
      <c r="BC4" s="81"/>
      <c r="BD4" s="14">
        <f>IF(SUM(AN4,AR4)&gt;0,SUM(AN4,AR4),"")</f>
        <v>14</v>
      </c>
      <c r="BE4" s="14">
        <f>IF(SUM(AM4:AN4,AP4:AR4,AT4)-SUM(AO4,AS4)&gt;0,SUM(AM4:AN4,AP4:AR4,AT4)-SUM(AO4,AS4),"")</f>
        <v>71.2</v>
      </c>
      <c r="BF4" s="14">
        <f>IF(SUM(AV4,AZ4)&gt;0,SUM(AV4,AZ4),"")</f>
        <v>12</v>
      </c>
      <c r="BG4" s="14">
        <f>IF(SUM(AU4:AV4,AX4:AZ4,BB4)-SUM(AW4,BA4)&gt;0,SUM(AU4:AV4,AX4:AZ4,BB4)-SUM(AW4,BA4),"")</f>
        <v>68.400000000000006</v>
      </c>
      <c r="BH4" s="14">
        <f>IF(SUM(BE4,BG4)&gt;0,SUM(BE4,BG4),"")</f>
        <v>139.60000000000002</v>
      </c>
      <c r="BI4" s="69"/>
      <c r="BJ4" s="69"/>
      <c r="BK4" s="69"/>
      <c r="BL4" s="69"/>
      <c r="BM4" s="69"/>
      <c r="BN4" s="69"/>
      <c r="BO4" s="69"/>
      <c r="BP4" s="69"/>
      <c r="BQ4" s="69"/>
      <c r="BR4" s="69"/>
      <c r="BS4" s="69"/>
      <c r="BT4" s="69"/>
      <c r="BU4" s="69"/>
      <c r="BV4" s="69"/>
      <c r="BW4" s="69"/>
      <c r="BX4" s="69"/>
      <c r="BY4" s="80"/>
      <c r="BZ4" s="11" t="str">
        <f>IF(SUM(BJ4,BN4)&gt;0,SUM(BJ4,BN4),"")</f>
        <v/>
      </c>
      <c r="CA4" s="11" t="str">
        <f>IF(SUM(BI4:BJ4,BL4:BN4,BP4)-SUM(BK4,BO4)&gt;0,SUM(BI4:BJ4,BL4:BN4,BP4)-SUM(BK4,BO4),"")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 t="str">
        <f>IF(MAX(DA4,DV4,EQ4,FL4,GG4,HB4,HW4,IR4,JM4,KH4,LC4,LX4)-IF(J4="",0,J4)&gt;0.001,MAX(DA4,DV4,EQ4,FL4,GG4,HB4,HW4,IR4,JM4,KH4,LC4,LX4)-IF(J4="",0,J4),"")</f>
        <v/>
      </c>
      <c r="CF4" s="24" t="str">
        <f>IF(MAX(CX4,CZ4,DS4,DU4,EN4,EP4,FI4,FK4,GD4,GF4,GY4,HA4,HT4,HV4,IO4,IQ4,JJ4,JL4,KE4,KG4,KZ4,LB4,LU4,LW4)-IF(L4="",0,L4)&gt;0.001,MAX(CX4,CZ4,DS4,DU4,EN4,EP4,FI4,FK4,GD4,GF4,GY4,HA4,HT4,HV4,IO4,IQ4,JJ4,JL4,KE4,KG4,KZ4,LB4,LU4,LW4)-IF(L4="",0,L4),"")</f>
        <v/>
      </c>
      <c r="CG4" s="44">
        <v>28.2</v>
      </c>
      <c r="CH4" s="44">
        <v>6.4</v>
      </c>
      <c r="CI4" s="44">
        <v>0</v>
      </c>
      <c r="CJ4" s="44">
        <v>0</v>
      </c>
      <c r="CK4" s="44">
        <v>28.2</v>
      </c>
      <c r="CL4" s="44">
        <v>6.8</v>
      </c>
      <c r="CM4" s="44">
        <v>0</v>
      </c>
      <c r="CN4" s="44">
        <v>0</v>
      </c>
      <c r="CO4" s="44">
        <v>0</v>
      </c>
      <c r="CP4" s="44">
        <v>0</v>
      </c>
      <c r="CQ4" s="44">
        <v>0</v>
      </c>
      <c r="CR4" s="44">
        <v>0</v>
      </c>
      <c r="CS4" s="44">
        <v>27.7</v>
      </c>
      <c r="CT4" s="44">
        <v>6.8</v>
      </c>
      <c r="CU4" s="44">
        <v>0</v>
      </c>
      <c r="CV4" s="44">
        <v>0</v>
      </c>
      <c r="CW4" s="11">
        <f>IF(SUM(CH4,CL4)&gt;0,SUM(CH4,CL4),"")</f>
        <v>13.2</v>
      </c>
      <c r="CX4" s="11">
        <f>IF(SUM(CG4:CH4,CJ4:CL4,CN4)-SUM(CI4,CM4)&gt;0,SUM(CG4:CH4,CJ4:CL4,CN4)-SUM(CI4,CM4),"")</f>
        <v>69.599999999999994</v>
      </c>
      <c r="CY4" s="11">
        <f>IF(SUM(CP4,CT4)&gt;0,SUM(CP4,CT4),"")</f>
        <v>6.8</v>
      </c>
      <c r="CZ4" s="11">
        <f>IF(SUM(CO4:CP4,CR4:CT4,CV4)-SUM(CQ4,CU4)&gt;0,SUM(CO4:CP4,CR4:CT4,CV4)-SUM(CQ4,CU4),"")</f>
        <v>34.5</v>
      </c>
      <c r="DA4" s="11">
        <f>IF(SUM(CX4,CZ4)&gt;0,SUM(CX4,CZ4),"")</f>
        <v>104.1</v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14.15</v>
      </c>
      <c r="LZ4" s="69">
        <f>IF($BY4="P",BJ4,(BJ4+AN4)/2)</f>
        <v>3.6</v>
      </c>
      <c r="MA4" s="69">
        <f>IF($BY4="P",BK4,(BK4+AO4)/2)</f>
        <v>0</v>
      </c>
      <c r="MB4" s="69">
        <f>IF($BY4="P",BL4,(BL4+AP4)/2)</f>
        <v>0.15</v>
      </c>
      <c r="MC4" s="69">
        <f>IF($BY4="P",BM4,(BM4+AQ4)/2)</f>
        <v>14.05</v>
      </c>
      <c r="MD4" s="69">
        <f>IF($BY4="P",BN4,(BN4+AR4)/2)</f>
        <v>3.4</v>
      </c>
      <c r="ME4" s="69">
        <f>IF($BY4="P",BO4,(BO4+AS4)/2)</f>
        <v>0</v>
      </c>
      <c r="MF4" s="69">
        <f>IF($BY4="P",BP4,(BP4+AT4)/2)</f>
        <v>0.25</v>
      </c>
      <c r="MG4" s="69">
        <f>IF($BY4="P",BQ4,(BQ4+AU4)/2)</f>
        <v>14.4</v>
      </c>
      <c r="MH4" s="69">
        <f>IF($BY4="P",BR4,(BR4+AV4)/2)</f>
        <v>3</v>
      </c>
      <c r="MI4" s="69">
        <f>IF($BY4="P",BS4,(BS4+AW4)/2)</f>
        <v>0.15</v>
      </c>
      <c r="MJ4" s="69">
        <f>IF($BY4="P",BT4,(BT4+AX4)/2)</f>
        <v>0.15</v>
      </c>
      <c r="MK4" s="69">
        <f>IF($BY4="P",BU4,(BU4+AY4)/2)</f>
        <v>13.7</v>
      </c>
      <c r="ML4" s="69">
        <f>IF($BY4="P",BV4,(BV4+AZ4)/2)</f>
        <v>3</v>
      </c>
      <c r="MM4" s="69">
        <f>IF($BY4="P",BW4,(BW4+BA4)/2)</f>
        <v>0.15</v>
      </c>
      <c r="MN4" s="69">
        <f>IF($BY4="P",BX4,(BX4+BB4)/2)</f>
        <v>0.25</v>
      </c>
      <c r="MO4" s="80" t="s">
        <v>91</v>
      </c>
      <c r="MP4" s="11">
        <f>IF(SUM(LZ4,MD4)&gt;0,SUM(LZ4,MD4),"")</f>
        <v>7</v>
      </c>
      <c r="MQ4" s="11">
        <f>IF(SUM(LY4:LZ4,MB4:MD4,MF4)-SUM(MA4,ME4)&gt;0,SUM(LY4:LZ4,MB4:MD4,MF4)-SUM(MA4,ME4),"")</f>
        <v>35.6</v>
      </c>
      <c r="MR4" s="11">
        <f>IF(SUM(MH4,ML4)&gt;0,SUM(MH4,ML4),"")</f>
        <v>6</v>
      </c>
      <c r="MS4" s="11">
        <f>IF(SUM(MG4:MH4,MJ4:ML4,MN4)-SUM(MI4,MM4)&gt;0,SUM(MG4:MH4,MJ4:ML4,MN4)-SUM(MI4,MM4),"")</f>
        <v>34.200000000000003</v>
      </c>
      <c r="MT4" s="11">
        <f>IF(SUM(MQ4,MS4)&gt;0,SUM(MQ4,MS4),"")</f>
        <v>69.800000000000011</v>
      </c>
    </row>
    <row r="5" spans="1:358" x14ac:dyDescent="0.2">
      <c r="A5" s="5">
        <f>IF(AND(F5="P",G5="P"),SUMPRODUCT((F$4:F$15="P")*(G$4:G$15="P")*(E$4:E$15&gt;E5))+1,IF(G5="P",SUMPRODUCT((F$4:F$15="")*(G$4:G$15="P")*(E$4:E$15&gt;E5))+1+SUMPRODUCT((F$4:F$15="P")*(G$4:G$15="P")),""))</f>
        <v>2</v>
      </c>
      <c r="B5" s="8" t="s">
        <v>39</v>
      </c>
      <c r="C5" s="4" t="s">
        <v>10</v>
      </c>
      <c r="D5" s="5">
        <v>1998</v>
      </c>
      <c r="E5" s="15">
        <f>SUM(J5:N5)</f>
        <v>208.3</v>
      </c>
      <c r="F5" s="3" t="str">
        <f>IF(OR(AND(AH5&gt;=AL$17,AI5&gt;=AL$21,AI5&lt;&gt;"",AG5=""),AND(BD5&gt;=BH$17,BE5&gt;=BH$21,BE5&lt;&gt;"",BC5=""),AND(BZ5&gt;=CD$17,CA5&gt;=CD$21,CA5&lt;&gt;"",BY5=""),AND(CW5&gt;=DA$17,CX5&gt;=DA$21,CX5&lt;&gt;""),AND(DR5&gt;=DV$17,DS5&gt;=DV$21,DS5&lt;&gt;""),AND(EM5&gt;=EQ$17,EN5&gt;=EQ$21,EN5&lt;&gt;""),AND(FH5&gt;=FL$17,FI5&gt;=FL$21,FI5&lt;&gt;""),AND(GC5&gt;=GG$17,GD5&gt;=GG$21,GD5&lt;&gt;""),AND(GX5&gt;=HB$17,GY5&gt;=HB$21,GY5&lt;&gt;""),AND(HS5&gt;=HW$17,HT5&gt;=HW$21,HT5&lt;&gt;""),AND(IN5&gt;=IR$17,IO5&gt;=IR$21,IO5&lt;&gt;""),AND(JI5&gt;=JM$17,JJ5&gt;=JM$21,JJ5&lt;&gt;""),AND(KD5&gt;=KH$17,KE5&gt;=KH$21,KE5&lt;&gt;""),AND(KY5&gt;=LC$17,KZ5&gt;=LC$21,KZ5&lt;&gt;""),AND(LT5&gt;=LX$17,LU5&gt;=LX$21,LU5&lt;&gt;"")),"P","")</f>
        <v>P</v>
      </c>
      <c r="G5" s="3" t="str">
        <f>IF(OR(AND(AI5&gt;=AL$21,AI5&lt;&gt;"",AG5=""),AND(BE5&gt;=BH$21,BE5&lt;&gt;"",BC5=""),AND(CA5&gt;=CD$21,CA5&lt;&gt;"",BY5=""),AND(CX5&gt;=DA$21,CX5&lt;&gt;""),AND(DS5&gt;=DV$21,DS5&lt;&gt;""),AND(EN5&gt;=EQ$21,EN5&lt;&gt;""),AND(FI5&gt;=FL$21,FI5&lt;&gt;""),AND(GD5&gt;=GG$21,GD5&lt;&gt;""),AND(GY5&gt;=HB$21,GY5&lt;&gt;""),AND(HT5&gt;=HW$21,HT5&lt;&gt;""),AND(IO5&gt;=IR$21,IO5&lt;&gt;""),AND(JJ5&gt;=JM$21,JJ5&lt;&gt;""),AND(KE5&gt;=KH$21,KE5&lt;&gt;""),AND(KZ5&gt;=LC$21,KZ5&lt;&gt;""),AND(LU5&gt;=LX$21,LU5&lt;&gt;"")),"P","")</f>
        <v>P</v>
      </c>
      <c r="H5" s="126" t="str">
        <f>IF(AND(G5="P",F5=""),"No DD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Merit",IF(OR(AND(AH5&gt;=AL$19,AH5&lt;&gt;"",AI5&gt;=AL$23,AI5&lt;&gt;"",AG5=""),AND(BD5&gt;=BH$19,BD5&lt;&gt;"",BE5&gt;=BH$23,BE5&lt;&gt;"",BC5=""),AND(BZ5&gt;=CD$19,BZ5&lt;&gt;"",CA5&gt;=CD$23,CA5&lt;&gt;"",BY5=""),AND(CW5&gt;=DA$19,CW5&lt;&gt;"",CX5&gt;=DA$23,CX5&lt;&gt;""),AND(DR5&gt;=DV$19,DR5&lt;&gt;"",DS5&gt;=DV$23,DS5&lt;&gt;""),AND(EM5&gt;=EQ$19,EM5&lt;&gt;"",EN5&gt;=EQ$23,EN5&lt;&gt;""),AND(FH5&gt;=FL$19,FH5&lt;&gt;"",FI5&gt;=FL$23,FI5&lt;&gt;""),AND(GC5&gt;=GG$19,GC5&lt;&gt;"",GD5&gt;=GG$23,GD5&lt;&gt;""),AND(GX5&gt;=HB$19,GX5&lt;&gt;"",GY5&gt;=HB$23,GY5&lt;&gt;""),AND(HS5&gt;=HW$19,HS5&lt;&gt;"",HT5&gt;=HW$23,HT5&lt;&gt;""),AND(IN5&gt;=IR$19,IN5&lt;&gt;"",IO5&gt;=IR$23,IO5&lt;&gt;""),AND(JI5&gt;=JM$19,JI5&lt;&gt;"",JJ5&gt;=JM$23,JJ5&lt;&gt;""),AND(KD5&gt;=KH$19,KD5&lt;&gt;"",KE5&gt;=KH$23,KE5&lt;&gt;""),AND(KY5&gt;=LC$19,KY5&lt;&gt;"",KZ5&gt;=LC$23,KZ5&lt;&gt;""),AND(LT5&gt;=LX$19,LT5&lt;&gt;"",LU5&gt;=LX$23,LU5&lt;&gt;"")),"Excellence",IF(OR(AND(AH5&gt;=AL$18,AH5&lt;&gt;"",AI5&gt;=AL$22,AI5&lt;&gt;"",AG5=""),AND(BD5&gt;=BH$18,BD5&lt;&gt;"",BE5&gt;=BH$22,BE5&lt;&gt;"",BC5=""),AND(BZ5&gt;=CD$18,BZ5&lt;&gt;"",CA5&gt;=CD$22,CA5&lt;&gt;"",BY5=""),AND(CW5&gt;=DA$18,CW5&lt;&gt;"",CX5&gt;=DA$22,CX5&lt;&gt;""),AND(DR5&gt;=DV$18,DR5&lt;&gt;"",DS5&gt;=DV$22,DS5&lt;&gt;""),AND(EM5&gt;=EQ$18,EM5&lt;&gt;"",EN5&gt;=EQ$22,EN5&lt;&gt;""),AND(FH5&gt;=FL$18,FH5&lt;&gt;"",FI5&gt;=FL$22,FI5&lt;&gt;""),AND(GC5&gt;=GG$18,GC5&lt;&gt;"",GD5&gt;=GG$22,GD5&lt;&gt;""),AND(GX5&gt;=HB$18,GX5&lt;&gt;"",GY5&gt;=HB$22,GY5&lt;&gt;""),AND(HS5&gt;=HW$18,HS5&lt;&gt;"",HT5&gt;=HW$22,HT5&lt;&gt;""),AND(IN5&gt;=IR$18,IN5&lt;&gt;"",IO5&gt;=IR$22,IO5&lt;&gt;""),AND(JI5&gt;=JM$18,JI5&lt;&gt;"",JJ5&gt;=JM$22,JJ5&lt;&gt;""),AND(KD5&gt;=KH$18,KD5&lt;&gt;"",KE5&gt;=KH$22,KE5&lt;&gt;""),AND(KY5&gt;=LC$18,KY5&lt;&gt;"",KZ5&gt;=LC$22,KZ5&lt;&gt;""),AND(LT5&gt;=LX$18,LT5&lt;&gt;"",LU5&gt;=LX$22,LU5&lt;&gt;"")),"Worlds Team",IF(OR(AND(AH5&gt;=AL$17,AH5&lt;&gt;"",AI5&gt;=AL$21,AI5&lt;&gt;"",AG5=""),AND(BD5&gt;=BH$17,BD5&lt;&gt;"",BE5&gt;=BH$21,BE5&lt;&gt;"",BC5=""),AND(BZ5&gt;=CD$17,BZ5&lt;&gt;"",CA5&gt;=CD$21,CA5&lt;&gt;"",BY5=""),AND(CW5&gt;=DA$17,CW5&lt;&gt;"",CX5&gt;=DA$21,CX5&lt;&gt;""),AND(DR5&gt;=DV$17,DR5&lt;&gt;"",DS5&gt;=DV$21,DS5&lt;&gt;""),AND(EM5&gt;=EQ$17,EM5&lt;&gt;"",EN5&gt;=EQ$21,EN5&lt;&gt;""),AND(FH5&gt;=FL$17,FH5&lt;&gt;"",FI5&gt;=FL$21,FI5&lt;&gt;""),AND(GC5&gt;=GG$17,GC5&lt;&gt;"",GD5&gt;=GG$21,GD5&lt;&gt;""),AND(GX5&gt;=HB$17,GX5&lt;&gt;"",GY5&gt;=HB$21,GY5&lt;&gt;""),AND(HS5&gt;=HW$17,HS5&lt;&gt;"",HT5&gt;=HW$21,HT5&lt;&gt;""),AND(IN5&gt;=IR$17,IN5&lt;&gt;"",IO5&gt;=IR$21,IO5&lt;&gt;""),AND(JI5&gt;=JM$17,JI5&lt;&gt;"",JJ5&gt;=JM$21,JJ5&lt;&gt;""),AND(KD5&gt;=KH$17,KD5&lt;&gt;"",KE5&gt;=KH$21,KE5&lt;&gt;""),AND(KY5&gt;=LC$17,KY5&lt;&gt;"",KZ5&gt;=LC$21,KZ5&lt;&gt;""),AND(LT5&gt;=LX$17,LT5&lt;&gt;"",LU5&gt;=LX$21,LU5&lt;&gt;"")),"National Team","")))))</f>
        <v>Merit</v>
      </c>
      <c r="I5" s="3" t="str">
        <f>IF(OR(H5="Worlds Team",H5="Excellence",H5="Merit"),"P","")</f>
        <v>P</v>
      </c>
      <c r="J5" s="14">
        <f>MAX(AL5,BH5,CD5)</f>
        <v>139.30000000000001</v>
      </c>
      <c r="K5" s="14" t="str">
        <f>IF(J5=0,"",IF(J5=CD5,$BI$1,IF(J5=BH5,$AM$1,IF(J5=AL5,$Q$1,""))))</f>
        <v>2019 Elite Canada</v>
      </c>
      <c r="L5" s="14">
        <f>IF(J5=AL5,MAX(BE5,BG5,CA5,CC5),IF(J5=BH5,MAX(AI5,AK5,CA5,CC5),MAX(AI5,AK5,BE5,BG5)))</f>
        <v>69</v>
      </c>
      <c r="M5" s="14" t="str">
        <f>IF(L5=0,"",IF(AND(J5&lt;&gt;CD5,OR(L5=CA5,L5=CC5)),$BI$1,IF(AND(J5&lt;&gt;BH5,OR(L5=BG5,L5=BE5)),$AM$1,IF(OR(L5=AK5,L5=AI5),$Q$1,""))))</f>
        <v>2019 Nationals</v>
      </c>
      <c r="N5" s="14" t="str">
        <f>IF(MAX(CE5:CF5)&gt;0,MAX(CE5:CF5),"")</f>
        <v/>
      </c>
      <c r="O5" s="25" t="str">
        <f>IF(N5="","",IF(N5=CE5,"(4 Pass)",IF(N5=CF5,"(2 Pass)")))</f>
        <v/>
      </c>
      <c r="P5" s="14" t="str">
        <f>IF(N5="","",IF(N5=CE5,IF(N5+IF(J5="",0,J5)=DA5,$CG$1,IF(N5+IF(J5="",0,J5)=DV5,$DB$1,IF(N5+IF(J5="",0,J5)=EQ5,$DW$1,IF(N5+IF(J5="",0,J5)=FL5,$ER$1,IF(N5+IF(J5="",0,J5)=GG5,$FM$1,IF(N5+IF(J5="",0,J5)=HB5,$GH$1,IF(N5+IF(J5="",0,J5)=HW5,$HC$1,IF(N5+IF(J5="",0,J5)=IR5,$HX$1,IF(N5+IF(J5="",0,J5)=JM5,$IS$1,IF(N5+IF(J5="",0,J5)=KH5,$JN$1,IF(N5+IF(J5="",0,J5)=LC5,$KI$1,IF(N5+IF(J5="",0,J5)=LX5,$LD$1)))))))))))),IF(N5=CF5,IF(OR(N5+IF(L5="",0,L5)=CX5,N5+IF(L5="",0,L5)=CZ5),$CG$1,IF(OR(N5+IF(L5="",0,L5)=DS5,N5+IF(L5="",0,L5)=DU5),$DB$1,IF(OR(N5+IF(L5="",0,L5)=EN5,N5+IF(L5="",0,L5)=EP5),$DW$1,IF(OR(N5+IF(L5="",0,L5)=FI5,N5+IF(L5="",0,L5)=FK5),$ER$1,IF(OR(N5+IF(L5="",0,L5)=GD5,N5+IF(L5="",0,L5)=GF5),$FM$1,IF(OR(N5+IF(L5="",0,L5)=GY5,N5+IF(L5="",0,L5)=HA5),$GH$1,IF(OR(N5+IF(L5="",0,L5)=HT5,N5+IF(L5="",0,L5)=HV5),$HC$1,IF(OR(N5+IF(L5="",0,L5)=IO5,N5+IF(L5="",0,L5)=IQ5),$HX$1,IF(OR(N5+IF(L5="",0,L5)=JJ5,N5+IF(L5="",0,L5)=JL5),$IS$1,IF(OR(N5+IF(L5="",0,L5)=KE5,N5+IF(L5="",0,L5)=KG5),$JN$1,IF(OR(N5+IF(L5="",0,L5)=KZ5,N5+IF(L5="",0,L5)=LB5),$KI$1,IF(OR(N5+IF(L5="",0,L5)=LU5,N5+IF(L5="",0,L5)=LW5),$LD$1)))))))))))))))</f>
        <v/>
      </c>
      <c r="Q5" s="69">
        <v>28.3</v>
      </c>
      <c r="R5" s="69">
        <v>6.8</v>
      </c>
      <c r="S5" s="69">
        <v>0</v>
      </c>
      <c r="T5" s="69">
        <v>0.3</v>
      </c>
      <c r="U5" s="69">
        <v>27.9</v>
      </c>
      <c r="V5" s="69">
        <v>6.4</v>
      </c>
      <c r="W5" s="69">
        <v>0</v>
      </c>
      <c r="X5" s="69">
        <v>0.3</v>
      </c>
      <c r="Y5" s="69">
        <v>28.4</v>
      </c>
      <c r="Z5" s="69">
        <v>6</v>
      </c>
      <c r="AA5" s="69">
        <v>0</v>
      </c>
      <c r="AB5" s="69">
        <v>0.5</v>
      </c>
      <c r="AC5" s="69">
        <v>28.4</v>
      </c>
      <c r="AD5" s="69">
        <v>6</v>
      </c>
      <c r="AE5" s="69">
        <v>0</v>
      </c>
      <c r="AF5" s="69">
        <v>0</v>
      </c>
      <c r="AG5" s="80"/>
      <c r="AH5" s="11">
        <f>IF(SUM(R5,V5)&gt;0,SUM(R5,V5),"")</f>
        <v>13.2</v>
      </c>
      <c r="AI5" s="11">
        <f>IF(SUM(Q5:R5,T5:V5,X5)-SUM(S5,W5)&gt;0,SUM(Q5:R5,T5:V5,X5)-SUM(S5,W5),"")</f>
        <v>70</v>
      </c>
      <c r="AJ5" s="11">
        <f>IF(SUM(Z5,AD5)&gt;0,SUM(Z5,AD5),"")</f>
        <v>12</v>
      </c>
      <c r="AK5" s="11">
        <f>IF(SUM(Y5:Z5,AB5:AD5,AF5)-SUM(AA5,AE5)&gt;0,SUM(Y5:Z5,AB5:AD5,AF5)-SUM(AA5,AE5),"")</f>
        <v>69.3</v>
      </c>
      <c r="AL5" s="11">
        <f>IF(SUM(AI5,AK5)&gt;0,SUM(AI5,AK5),"")</f>
        <v>139.30000000000001</v>
      </c>
      <c r="AM5" s="38">
        <v>28.4</v>
      </c>
      <c r="AN5" s="38">
        <v>6.8</v>
      </c>
      <c r="AO5" s="38">
        <v>0</v>
      </c>
      <c r="AP5" s="38">
        <v>0.3</v>
      </c>
      <c r="AQ5" s="38">
        <v>25</v>
      </c>
      <c r="AR5" s="38">
        <v>6.4001000000000001</v>
      </c>
      <c r="AS5" s="38">
        <v>0</v>
      </c>
      <c r="AT5" s="38">
        <v>0.3</v>
      </c>
      <c r="AU5" s="38">
        <v>28.1</v>
      </c>
      <c r="AV5" s="38">
        <v>6</v>
      </c>
      <c r="AW5" s="38">
        <v>0.9</v>
      </c>
      <c r="AX5" s="38">
        <v>0.5</v>
      </c>
      <c r="AY5" s="38">
        <v>28.8</v>
      </c>
      <c r="AZ5" s="38">
        <v>6</v>
      </c>
      <c r="BA5" s="38">
        <v>0</v>
      </c>
      <c r="BB5" s="38">
        <v>0.5</v>
      </c>
      <c r="BC5" s="81"/>
      <c r="BD5" s="14">
        <f>IF(SUM(AN5,AR5)&gt;0,SUM(AN5,AR5),"")</f>
        <v>13.200099999999999</v>
      </c>
      <c r="BE5" s="14">
        <f>IF(SUM(AM5:AN5,AP5:AR5,AT5)-SUM(AO5,AS5)&gt;0,SUM(AM5:AN5,AP5:AR5,AT5)-SUM(AO5,AS5),"")</f>
        <v>67.200099999999992</v>
      </c>
      <c r="BF5" s="14">
        <f>IF(SUM(AV5,AZ5)&gt;0,SUM(AV5,AZ5),"")</f>
        <v>12</v>
      </c>
      <c r="BG5" s="14">
        <f>IF(SUM(AU5:AV5,AX5:AZ5,BB5)-SUM(AW5,BA5)&gt;0,SUM(AU5:AV5,AX5:AZ5,BB5)-SUM(AW5,BA5),"")</f>
        <v>69</v>
      </c>
      <c r="BH5" s="14">
        <f>IF(SUM(BE5,BG5)&gt;0,SUM(BE5,BG5),"")</f>
        <v>136.20009999999999</v>
      </c>
      <c r="BI5" s="69">
        <v>28.3</v>
      </c>
      <c r="BJ5" s="69">
        <v>5.2</v>
      </c>
      <c r="BK5" s="69">
        <v>0</v>
      </c>
      <c r="BL5" s="69">
        <v>0</v>
      </c>
      <c r="BM5" s="69">
        <v>27.6</v>
      </c>
      <c r="BN5" s="69">
        <v>6</v>
      </c>
      <c r="BO5" s="69">
        <v>0</v>
      </c>
      <c r="BP5" s="69">
        <v>0</v>
      </c>
      <c r="BQ5" s="69">
        <v>20.100000000000001</v>
      </c>
      <c r="BR5" s="69">
        <v>2.4</v>
      </c>
      <c r="BS5" s="69">
        <v>0</v>
      </c>
      <c r="BT5" s="69">
        <v>0</v>
      </c>
      <c r="BU5" s="69">
        <v>0</v>
      </c>
      <c r="BV5" s="69">
        <v>0</v>
      </c>
      <c r="BW5" s="69">
        <v>0</v>
      </c>
      <c r="BX5" s="69">
        <v>0</v>
      </c>
      <c r="BY5" s="80"/>
      <c r="BZ5" s="11">
        <f>IF(SUM(BJ5,BN5)&gt;0,SUM(BJ5,BN5),"")</f>
        <v>11.2</v>
      </c>
      <c r="CA5" s="11">
        <f>IF(SUM(BI5:BJ5,BL5:BN5,BP5)-SUM(BK5,BO5)&gt;0,SUM(BI5:BJ5,BL5:BN5,BP5)-SUM(BK5,BO5),"")</f>
        <v>67.099999999999994</v>
      </c>
      <c r="CB5" s="11">
        <f>IF(SUM(BR5,BV5)&gt;0,SUM(BR5,BV5),"")</f>
        <v>2.4</v>
      </c>
      <c r="CC5" s="11">
        <f>IF(SUM(BQ5:BR5,BT5:BV5,BX5)-SUM(BS5,BW5)&gt;0,SUM(BQ5:BR5,BT5:BV5,BX5)-SUM(BS5,BW5),"")</f>
        <v>22.5</v>
      </c>
      <c r="CD5" s="11">
        <f>IF(SUM(CA5,CC5)&gt;0,SUM(CA5,CC5),"")</f>
        <v>89.6</v>
      </c>
      <c r="CE5" s="24" t="str">
        <f>IF(MAX(DA5,DV5,EQ5,FL5,GG5,HB5,HW5,IR5,JM5,KH5,LC5,LX5)-IF(J5="",0,J5)&gt;0.001,MAX(DA5,DV5,EQ5,FL5,GG5,HB5,HW5,IR5,JM5,KH5,LC5,LX5)-IF(J5="",0,J5),"")</f>
        <v/>
      </c>
      <c r="CF5" s="24" t="str">
        <f>IF(MAX(CX5,CZ5,DS5,DU5,EN5,EP5,FI5,FK5,GD5,GF5,GY5,HA5,HT5,HV5,IO5,IQ5,JJ5,JL5,KE5,KG5,KZ5,LB5,LU5,LW5)-IF(L5="",0,L5)&gt;0.001,MAX(CX5,CZ5,DS5,DU5,EN5,EP5,FI5,FK5,GD5,GF5,GY5,HA5,HT5,HV5,IO5,IQ5,JJ5,JL5,KE5,KG5,KZ5,LB5,LU5,LW5)-IF(L5="",0,L5),"")</f>
        <v/>
      </c>
      <c r="CG5" s="44">
        <v>28</v>
      </c>
      <c r="CH5" s="44">
        <v>6.8</v>
      </c>
      <c r="CI5" s="44">
        <v>0</v>
      </c>
      <c r="CJ5" s="44">
        <v>0</v>
      </c>
      <c r="CK5" s="44">
        <v>27.6</v>
      </c>
      <c r="CL5" s="44">
        <v>6.4</v>
      </c>
      <c r="CM5" s="44">
        <v>0</v>
      </c>
      <c r="CN5" s="44">
        <v>0</v>
      </c>
      <c r="CO5" s="44"/>
      <c r="CP5" s="44"/>
      <c r="CQ5" s="44"/>
      <c r="CR5" s="44"/>
      <c r="CS5" s="44"/>
      <c r="CT5" s="44"/>
      <c r="CU5" s="44"/>
      <c r="CV5" s="44"/>
      <c r="CW5" s="11">
        <f>IF(SUM(CH5,CL5)&gt;0,SUM(CH5,CL5),"")</f>
        <v>13.2</v>
      </c>
      <c r="CX5" s="11">
        <f>IF(SUM(CG5:CH5,CJ5:CL5,CN5)-SUM(CI5,CM5)&gt;0,SUM(CG5:CH5,CJ5:CL5,CN5)-SUM(CI5,CM5),"")</f>
        <v>68.8</v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>
        <f>IF(SUM(CX5,CZ5)&gt;0,SUM(CX5,CZ5),"")</f>
        <v>68.8</v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28.35</v>
      </c>
      <c r="LZ5" s="69">
        <f>IF($BY5="P",BJ5,(BJ5+AN5)/2)</f>
        <v>6</v>
      </c>
      <c r="MA5" s="69">
        <f>IF($BY5="P",BK5,(BK5+AO5)/2)</f>
        <v>0</v>
      </c>
      <c r="MB5" s="69">
        <f>IF($BY5="P",BL5,(BL5+AP5)/2)</f>
        <v>0.15</v>
      </c>
      <c r="MC5" s="69">
        <f>IF($BY5="P",BM5,(BM5+AQ5)/2)</f>
        <v>26.3</v>
      </c>
      <c r="MD5" s="69">
        <f>IF($BY5="P",BN5,(BN5+AR5)/2)</f>
        <v>6.2000500000000001</v>
      </c>
      <c r="ME5" s="69">
        <f>IF($BY5="P",BO5,(BO5+AS5)/2)</f>
        <v>0</v>
      </c>
      <c r="MF5" s="69">
        <f>IF($BY5="P",BP5,(BP5+AT5)/2)</f>
        <v>0.15</v>
      </c>
      <c r="MG5" s="69">
        <f>IF($BY5="P",BQ5,(BQ5+AU5)/2)</f>
        <v>24.1</v>
      </c>
      <c r="MH5" s="69">
        <f>IF($BY5="P",BR5,(BR5+AV5)/2)</f>
        <v>4.2</v>
      </c>
      <c r="MI5" s="69">
        <f>IF($BY5="P",BS5,(BS5+AW5)/2)</f>
        <v>0.45</v>
      </c>
      <c r="MJ5" s="69">
        <f>IF($BY5="P",BT5,(BT5+AX5)/2)</f>
        <v>0.25</v>
      </c>
      <c r="MK5" s="69">
        <f>IF($BY5="P",BU5,(BU5+AY5)/2)</f>
        <v>14.4</v>
      </c>
      <c r="ML5" s="69">
        <f>IF($BY5="P",BV5,(BV5+AZ5)/2)</f>
        <v>3</v>
      </c>
      <c r="MM5" s="69">
        <f>IF($BY5="P",BW5,(BW5+BA5)/2)</f>
        <v>0</v>
      </c>
      <c r="MN5" s="69">
        <f>IF($BY5="P",BX5,(BX5+BB5)/2)</f>
        <v>0.25</v>
      </c>
      <c r="MO5" s="80" t="s">
        <v>91</v>
      </c>
      <c r="MP5" s="11">
        <f>IF(SUM(LZ5,MD5)&gt;0,SUM(LZ5,MD5),"")</f>
        <v>12.200050000000001</v>
      </c>
      <c r="MQ5" s="11">
        <f>IF(SUM(LY5:LZ5,MB5:MD5,MF5)-SUM(MA5,ME5)&gt;0,SUM(LY5:LZ5,MB5:MD5,MF5)-SUM(MA5,ME5),"")</f>
        <v>67.150050000000007</v>
      </c>
      <c r="MR5" s="11">
        <f>IF(SUM(MH5,ML5)&gt;0,SUM(MH5,ML5),"")</f>
        <v>7.2</v>
      </c>
      <c r="MS5" s="11">
        <f>IF(SUM(MG5:MH5,MJ5:ML5,MN5)-SUM(MI5,MM5)&gt;0,SUM(MG5:MH5,MJ5:ML5,MN5)-SUM(MI5,MM5),"")</f>
        <v>45.75</v>
      </c>
      <c r="MT5" s="11">
        <f>IF(SUM(MQ5,MS5)&gt;0,SUM(MQ5,MS5),"")</f>
        <v>112.90005000000001</v>
      </c>
    </row>
    <row r="6" spans="1:358" x14ac:dyDescent="0.2">
      <c r="A6" s="5">
        <f>IF(AND(F6="P",G6="P"),SUMPRODUCT((F$4:F$15="P")*(G$4:G$15="P")*(E$4:E$15&gt;E6))+1,IF(G6="P",SUMPRODUCT((F$4:F$15="")*(G$4:G$15="P")*(E$4:E$15&gt;E6))+1+SUMPRODUCT((F$4:F$15="P")*(G$4:G$15="P")),""))</f>
        <v>3</v>
      </c>
      <c r="B6" s="8" t="s">
        <v>62</v>
      </c>
      <c r="C6" s="4" t="s">
        <v>63</v>
      </c>
      <c r="D6" s="5">
        <v>1998</v>
      </c>
      <c r="E6" s="15">
        <f>SUM(J6:N6)</f>
        <v>203.7</v>
      </c>
      <c r="F6" s="3" t="str">
        <f>IF(OR(AND(AH6&gt;=AL$17,AI6&gt;=AL$21,AI6&lt;&gt;"",AG6=""),AND(BD6&gt;=BH$17,BE6&gt;=BH$21,BE6&lt;&gt;"",BC6=""),AND(BZ6&gt;=CD$17,CA6&gt;=CD$21,CA6&lt;&gt;"",BY6=""),AND(CW6&gt;=DA$17,CX6&gt;=DA$21,CX6&lt;&gt;""),AND(DR6&gt;=DV$17,DS6&gt;=DV$21,DS6&lt;&gt;""),AND(EM6&gt;=EQ$17,EN6&gt;=EQ$21,EN6&lt;&gt;""),AND(FH6&gt;=FL$17,FI6&gt;=FL$21,FI6&lt;&gt;""),AND(GC6&gt;=GG$17,GD6&gt;=GG$21,GD6&lt;&gt;""),AND(GX6&gt;=HB$17,GY6&gt;=HB$21,GY6&lt;&gt;""),AND(HS6&gt;=HW$17,HT6&gt;=HW$21,HT6&lt;&gt;""),AND(IN6&gt;=IR$17,IO6&gt;=IR$21,IO6&lt;&gt;""),AND(JI6&gt;=JM$17,JJ6&gt;=JM$21,JJ6&lt;&gt;""),AND(KD6&gt;=KH$17,KE6&gt;=KH$21,KE6&lt;&gt;""),AND(KY6&gt;=LC$17,KZ6&gt;=LC$21,KZ6&lt;&gt;""),AND(LT6&gt;=LX$17,LU6&gt;=LX$21,LU6&lt;&gt;"")),"P","")</f>
        <v>P</v>
      </c>
      <c r="G6" s="3" t="str">
        <f>IF(OR(AND(AI6&gt;=AL$21,AI6&lt;&gt;"",AG6=""),AND(BE6&gt;=BH$21,BE6&lt;&gt;"",BC6=""),AND(CA6&gt;=CD$21,CA6&lt;&gt;"",BY6=""),AND(CX6&gt;=DA$21,CX6&lt;&gt;""),AND(DS6&gt;=DV$21,DS6&lt;&gt;""),AND(EN6&gt;=EQ$21,EN6&lt;&gt;""),AND(FI6&gt;=FL$21,FI6&lt;&gt;""),AND(GD6&gt;=GG$21,GD6&lt;&gt;""),AND(GY6&gt;=HB$21,GY6&lt;&gt;""),AND(HT6&gt;=HW$21,HT6&lt;&gt;""),AND(IO6&gt;=IR$21,IO6&lt;&gt;""),AND(JJ6&gt;=JM$21,JJ6&lt;&gt;""),AND(KE6&gt;=KH$21,KE6&lt;&gt;""),AND(KZ6&gt;=LC$21,KZ6&lt;&gt;""),AND(LU6&gt;=LX$21,LU6&lt;&gt;"")),"P","")</f>
        <v>P</v>
      </c>
      <c r="H6" s="126" t="str">
        <f>IF(AND(G6="P",F6=""),"No DD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Merit",IF(OR(AND(AH6&gt;=AL$19,AH6&lt;&gt;"",AI6&gt;=AL$23,AI6&lt;&gt;"",AG6=""),AND(BD6&gt;=BH$19,BD6&lt;&gt;"",BE6&gt;=BH$23,BE6&lt;&gt;"",BC6=""),AND(BZ6&gt;=CD$19,BZ6&lt;&gt;"",CA6&gt;=CD$23,CA6&lt;&gt;"",BY6=""),AND(CW6&gt;=DA$19,CW6&lt;&gt;"",CX6&gt;=DA$23,CX6&lt;&gt;""),AND(DR6&gt;=DV$19,DR6&lt;&gt;"",DS6&gt;=DV$23,DS6&lt;&gt;""),AND(EM6&gt;=EQ$19,EM6&lt;&gt;"",EN6&gt;=EQ$23,EN6&lt;&gt;""),AND(FH6&gt;=FL$19,FH6&lt;&gt;"",FI6&gt;=FL$23,FI6&lt;&gt;""),AND(GC6&gt;=GG$19,GC6&lt;&gt;"",GD6&gt;=GG$23,GD6&lt;&gt;""),AND(GX6&gt;=HB$19,GX6&lt;&gt;"",GY6&gt;=HB$23,GY6&lt;&gt;""),AND(HS6&gt;=HW$19,HS6&lt;&gt;"",HT6&gt;=HW$23,HT6&lt;&gt;""),AND(IN6&gt;=IR$19,IN6&lt;&gt;"",IO6&gt;=IR$23,IO6&lt;&gt;""),AND(JI6&gt;=JM$19,JI6&lt;&gt;"",JJ6&gt;=JM$23,JJ6&lt;&gt;""),AND(KD6&gt;=KH$19,KD6&lt;&gt;"",KE6&gt;=KH$23,KE6&lt;&gt;""),AND(KY6&gt;=LC$19,KY6&lt;&gt;"",KZ6&gt;=LC$23,KZ6&lt;&gt;""),AND(LT6&gt;=LX$19,LT6&lt;&gt;"",LU6&gt;=LX$23,LU6&lt;&gt;"")),"Excellence",IF(OR(AND(AH6&gt;=AL$18,AH6&lt;&gt;"",AI6&gt;=AL$22,AI6&lt;&gt;"",AG6=""),AND(BD6&gt;=BH$18,BD6&lt;&gt;"",BE6&gt;=BH$22,BE6&lt;&gt;"",BC6=""),AND(BZ6&gt;=CD$18,BZ6&lt;&gt;"",CA6&gt;=CD$22,CA6&lt;&gt;"",BY6=""),AND(CW6&gt;=DA$18,CW6&lt;&gt;"",CX6&gt;=DA$22,CX6&lt;&gt;""),AND(DR6&gt;=DV$18,DR6&lt;&gt;"",DS6&gt;=DV$22,DS6&lt;&gt;""),AND(EM6&gt;=EQ$18,EM6&lt;&gt;"",EN6&gt;=EQ$22,EN6&lt;&gt;""),AND(FH6&gt;=FL$18,FH6&lt;&gt;"",FI6&gt;=FL$22,FI6&lt;&gt;""),AND(GC6&gt;=GG$18,GC6&lt;&gt;"",GD6&gt;=GG$22,GD6&lt;&gt;""),AND(GX6&gt;=HB$18,GX6&lt;&gt;"",GY6&gt;=HB$22,GY6&lt;&gt;""),AND(HS6&gt;=HW$18,HS6&lt;&gt;"",HT6&gt;=HW$22,HT6&lt;&gt;""),AND(IN6&gt;=IR$18,IN6&lt;&gt;"",IO6&gt;=IR$22,IO6&lt;&gt;""),AND(JI6&gt;=JM$18,JI6&lt;&gt;"",JJ6&gt;=JM$22,JJ6&lt;&gt;""),AND(KD6&gt;=KH$18,KD6&lt;&gt;"",KE6&gt;=KH$22,KE6&lt;&gt;""),AND(KY6&gt;=LC$18,KY6&lt;&gt;"",KZ6&gt;=LC$22,KZ6&lt;&gt;""),AND(LT6&gt;=LX$18,LT6&lt;&gt;"",LU6&gt;=LX$22,LU6&lt;&gt;"")),"Worlds Team",IF(OR(AND(AH6&gt;=AL$17,AH6&lt;&gt;"",AI6&gt;=AL$21,AI6&lt;&gt;"",AG6=""),AND(BD6&gt;=BH$17,BD6&lt;&gt;"",BE6&gt;=BH$21,BE6&lt;&gt;"",BC6=""),AND(BZ6&gt;=CD$17,BZ6&lt;&gt;"",CA6&gt;=CD$21,CA6&lt;&gt;"",BY6=""),AND(CW6&gt;=DA$17,CW6&lt;&gt;"",CX6&gt;=DA$21,CX6&lt;&gt;""),AND(DR6&gt;=DV$17,DR6&lt;&gt;"",DS6&gt;=DV$21,DS6&lt;&gt;""),AND(EM6&gt;=EQ$17,EM6&lt;&gt;"",EN6&gt;=EQ$21,EN6&lt;&gt;""),AND(FH6&gt;=FL$17,FH6&lt;&gt;"",FI6&gt;=FL$21,FI6&lt;&gt;""),AND(GC6&gt;=GG$17,GC6&lt;&gt;"",GD6&gt;=GG$21,GD6&lt;&gt;""),AND(GX6&gt;=HB$17,GX6&lt;&gt;"",GY6&gt;=HB$21,GY6&lt;&gt;""),AND(HS6&gt;=HW$17,HS6&lt;&gt;"",HT6&gt;=HW$21,HT6&lt;&gt;""),AND(IN6&gt;=IR$17,IN6&lt;&gt;"",IO6&gt;=IR$21,IO6&lt;&gt;""),AND(JI6&gt;=JM$17,JI6&lt;&gt;"",JJ6&gt;=JM$21,JJ6&lt;&gt;""),AND(KD6&gt;=KH$17,KD6&lt;&gt;"",KE6&gt;=KH$21,KE6&lt;&gt;""),AND(KY6&gt;=LC$17,KY6&lt;&gt;"",KZ6&gt;=LC$21,KZ6&lt;&gt;""),AND(LT6&gt;=LX$17,LT6&lt;&gt;"",LU6&gt;=LX$21,LU6&lt;&gt;"")),"National Team","")))))</f>
        <v>Merit</v>
      </c>
      <c r="I6" s="3" t="str">
        <f>IF(OR(H6="Worlds Team",H6="Excellence",H6="Merit"),"P","")</f>
        <v>P</v>
      </c>
      <c r="J6" s="14">
        <f>MAX(AL6,BH6,CD6)</f>
        <v>137.1</v>
      </c>
      <c r="K6" s="14" t="str">
        <f>IF(J6=0,"",IF(J6=CD6,$BI$1,IF(J6=BH6,$AM$1,IF(J6=AL6,$Q$1,""))))</f>
        <v>2019 Elite Canada</v>
      </c>
      <c r="L6" s="14">
        <f>IF(J6=AL6,MAX(BE6,BG6,CA6,CC6),IF(J6=BH6,MAX(AI6,AK6,CA6,CC6),MAX(AI6,AK6,BE6,BG6)))</f>
        <v>66.599999999999994</v>
      </c>
      <c r="M6" s="14" t="str">
        <f>IF(L6=0,"",IF(AND(J6&lt;&gt;CD6,OR(L6=CA6,L6=CC6)),$BI$1,IF(AND(J6&lt;&gt;BH6,OR(L6=BG6,L6=BE6)),$AM$1,IF(OR(L6=AK6,L6=AI6),$Q$1,""))))</f>
        <v>2019 Nationals</v>
      </c>
      <c r="N6" s="14" t="str">
        <f>IF(MAX(CE6:CF6)&gt;0,MAX(CE6:CF6),"")</f>
        <v/>
      </c>
      <c r="O6" s="25" t="str">
        <f>IF(N6="","",IF(N6=CE6,"(4 Pass)",IF(N6=CF6,"(2 Pass)")))</f>
        <v/>
      </c>
      <c r="P6" s="14" t="str">
        <f>IF(N6="","",IF(N6=CE6,IF(N6+IF(J6="",0,J6)=DA6,$CG$1,IF(N6+IF(J6="",0,J6)=DV6,$DB$1,IF(N6+IF(J6="",0,J6)=EQ6,$DW$1,IF(N6+IF(J6="",0,J6)=FL6,$ER$1,IF(N6+IF(J6="",0,J6)=GG6,$FM$1,IF(N6+IF(J6="",0,J6)=HB6,$GH$1,IF(N6+IF(J6="",0,J6)=HW6,$HC$1,IF(N6+IF(J6="",0,J6)=IR6,$HX$1,IF(N6+IF(J6="",0,J6)=JM6,$IS$1,IF(N6+IF(J6="",0,J6)=KH6,$JN$1,IF(N6+IF(J6="",0,J6)=LC6,$KI$1,IF(N6+IF(J6="",0,J6)=LX6,$LD$1)))))))))))),IF(N6=CF6,IF(OR(N6+IF(L6="",0,L6)=CX6,N6+IF(L6="",0,L6)=CZ6),$CG$1,IF(OR(N6+IF(L6="",0,L6)=DS6,N6+IF(L6="",0,L6)=DU6),$DB$1,IF(OR(N6+IF(L6="",0,L6)=EN6,N6+IF(L6="",0,L6)=EP6),$DW$1,IF(OR(N6+IF(L6="",0,L6)=FI6,N6+IF(L6="",0,L6)=FK6),$ER$1,IF(OR(N6+IF(L6="",0,L6)=GD6,N6+IF(L6="",0,L6)=GF6),$FM$1,IF(OR(N6+IF(L6="",0,L6)=GY6,N6+IF(L6="",0,L6)=HA6),$GH$1,IF(OR(N6+IF(L6="",0,L6)=HT6,N6+IF(L6="",0,L6)=HV6),$HC$1,IF(OR(N6+IF(L6="",0,L6)=IO6,N6+IF(L6="",0,L6)=IQ6),$HX$1,IF(OR(N6+IF(L6="",0,L6)=JJ6,N6+IF(L6="",0,L6)=JL6),$IS$1,IF(OR(N6+IF(L6="",0,L6)=KE6,N6+IF(L6="",0,L6)=KG6),$JN$1,IF(OR(N6+IF(L6="",0,L6)=KZ6,N6+IF(L6="",0,L6)=LB6),$KI$1,IF(OR(N6+IF(L6="",0,L6)=LU6,N6+IF(L6="",0,L6)=LW6),$LD$1)))))))))))))))</f>
        <v/>
      </c>
      <c r="Q6" s="69">
        <v>27.7</v>
      </c>
      <c r="R6" s="69">
        <v>6.4</v>
      </c>
      <c r="S6" s="69">
        <v>0</v>
      </c>
      <c r="T6" s="69">
        <v>0</v>
      </c>
      <c r="U6" s="69">
        <v>28.1</v>
      </c>
      <c r="V6" s="69">
        <v>6.8</v>
      </c>
      <c r="W6" s="69">
        <v>0</v>
      </c>
      <c r="X6" s="69">
        <v>0.3</v>
      </c>
      <c r="Y6" s="69">
        <v>28.6</v>
      </c>
      <c r="Z6" s="69">
        <v>5.6</v>
      </c>
      <c r="AA6" s="69">
        <v>0</v>
      </c>
      <c r="AB6" s="69">
        <v>0</v>
      </c>
      <c r="AC6" s="69">
        <v>27.9</v>
      </c>
      <c r="AD6" s="69">
        <v>6</v>
      </c>
      <c r="AE6" s="69">
        <v>0.3</v>
      </c>
      <c r="AF6" s="69">
        <v>0</v>
      </c>
      <c r="AG6" s="80"/>
      <c r="AH6" s="11">
        <f>IF(SUM(R6,V6)&gt;0,SUM(R6,V6),"")</f>
        <v>13.2</v>
      </c>
      <c r="AI6" s="11">
        <f>IF(SUM(Q6:R6,T6:V6,X6)-SUM(S6,W6)&gt;0,SUM(Q6:R6,T6:V6,X6)-SUM(S6,W6),"")</f>
        <v>69.3</v>
      </c>
      <c r="AJ6" s="11">
        <f>IF(SUM(Z6,AD6)&gt;0,SUM(Z6,AD6),"")</f>
        <v>11.6</v>
      </c>
      <c r="AK6" s="11">
        <f>IF(SUM(Y6:Z6,AB6:AD6,AF6)-SUM(AA6,AE6)&gt;0,SUM(Y6:Z6,AB6:AD6,AF6)-SUM(AA6,AE6),"")</f>
        <v>67.8</v>
      </c>
      <c r="AL6" s="11">
        <f>IF(SUM(AI6,AK6)&gt;0,SUM(AI6,AK6),"")</f>
        <v>137.1</v>
      </c>
      <c r="AM6" s="38">
        <v>28.2</v>
      </c>
      <c r="AN6" s="38">
        <v>6.4</v>
      </c>
      <c r="AO6" s="38">
        <v>0.3</v>
      </c>
      <c r="AP6" s="38">
        <v>0</v>
      </c>
      <c r="AQ6" s="38">
        <v>28.2</v>
      </c>
      <c r="AR6" s="38">
        <v>5.2</v>
      </c>
      <c r="AS6" s="38">
        <v>1.2</v>
      </c>
      <c r="AT6" s="38">
        <v>0</v>
      </c>
      <c r="AU6" s="38">
        <v>28.3</v>
      </c>
      <c r="AV6" s="38">
        <v>4.8</v>
      </c>
      <c r="AW6" s="38">
        <v>0</v>
      </c>
      <c r="AX6" s="38">
        <v>0</v>
      </c>
      <c r="AY6" s="38">
        <v>28.7</v>
      </c>
      <c r="AZ6" s="38">
        <v>4.8</v>
      </c>
      <c r="BA6" s="38">
        <v>0</v>
      </c>
      <c r="BB6" s="38">
        <v>0</v>
      </c>
      <c r="BC6" s="81"/>
      <c r="BD6" s="14">
        <f>IF(SUM(AN6,AR6)&gt;0,SUM(AN6,AR6),"")</f>
        <v>11.600000000000001</v>
      </c>
      <c r="BE6" s="14">
        <f>IF(SUM(AM6:AN6,AP6:AR6,AT6)-SUM(AO6,AS6)&gt;0,SUM(AM6:AN6,AP6:AR6,AT6)-SUM(AO6,AS6),"")</f>
        <v>66.5</v>
      </c>
      <c r="BF6" s="14">
        <f>IF(SUM(AV6,AZ6)&gt;0,SUM(AV6,AZ6),"")</f>
        <v>9.6</v>
      </c>
      <c r="BG6" s="14">
        <f>IF(SUM(AU6:AV6,AX6:AZ6,BB6)-SUM(AW6,BA6)&gt;0,SUM(AU6:AV6,AX6:AZ6,BB6)-SUM(AW6,BA6),"")</f>
        <v>66.599999999999994</v>
      </c>
      <c r="BH6" s="14">
        <f>IF(SUM(BE6,BG6)&gt;0,SUM(BE6,BG6),"")</f>
        <v>133.1</v>
      </c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69"/>
      <c r="BV6" s="69"/>
      <c r="BW6" s="69"/>
      <c r="BX6" s="69"/>
      <c r="BY6" s="80"/>
      <c r="BZ6" s="11" t="str">
        <f>IF(SUM(BJ6,BN6)&gt;0,SUM(BJ6,BN6),"")</f>
        <v/>
      </c>
      <c r="CA6" s="11" t="str">
        <f>IF(SUM(BI6:BJ6,BL6:BN6,BP6)-SUM(BK6,BO6)&gt;0,SUM(BI6:BJ6,BL6:BN6,BP6)-SUM(BK6,BO6),"")</f>
        <v/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4" t="str">
        <f>IF(MAX(DA6,DV6,EQ6,FL6,GG6,HB6,HW6,IR6,JM6,KH6,LC6,LX6)-IF(J6="",0,J6)&gt;0.001,MAX(DA6,DV6,EQ6,FL6,GG6,HB6,HW6,IR6,JM6,KH6,LC6,LX6)-IF(J6="",0,J6),"")</f>
        <v/>
      </c>
      <c r="CF6" s="24" t="str">
        <f>IF(MAX(CX6,CZ6,DS6,DU6,EN6,EP6,FI6,FK6,GD6,GF6,GY6,HA6,HT6,HV6,IO6,IQ6,JJ6,JL6,KE6,KG6,KZ6,LB6,LU6,LW6)-IF(L6="",0,L6)&gt;0.001,MAX(CX6,CZ6,DS6,DU6,EN6,EP6,FI6,FK6,GD6,GF6,GY6,HA6,HT6,HV6,IO6,IQ6,JJ6,JL6,KE6,KG6,KZ6,LB6,LU6,LW6)-IF(L6="",0,L6),"")</f>
        <v/>
      </c>
      <c r="CG6" s="44">
        <v>27.5</v>
      </c>
      <c r="CH6" s="44">
        <v>3.4</v>
      </c>
      <c r="CI6" s="44">
        <v>0</v>
      </c>
      <c r="CJ6" s="44">
        <v>0</v>
      </c>
      <c r="CK6" s="44">
        <v>27</v>
      </c>
      <c r="CL6" s="44">
        <v>6.8</v>
      </c>
      <c r="CM6" s="44">
        <v>0.9</v>
      </c>
      <c r="CN6" s="44">
        <v>0</v>
      </c>
      <c r="CO6" s="44"/>
      <c r="CP6" s="44"/>
      <c r="CQ6" s="44"/>
      <c r="CR6" s="44"/>
      <c r="CS6" s="44"/>
      <c r="CT6" s="44"/>
      <c r="CU6" s="44"/>
      <c r="CV6" s="44"/>
      <c r="CW6" s="11">
        <f>IF(SUM(CH6,CL6)&gt;0,SUM(CH6,CL6),"")</f>
        <v>10.199999999999999</v>
      </c>
      <c r="CX6" s="11">
        <f>IF(SUM(CG6:CH6,CJ6:CL6,CN6)-SUM(CI6,CM6)&gt;0,SUM(CG6:CH6,CJ6:CL6,CN6)-SUM(CI6,CM6),"")</f>
        <v>63.800000000000004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63.800000000000004</v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14.1</v>
      </c>
      <c r="LZ6" s="69">
        <f>IF($BY6="P",BJ6,(BJ6+AN6)/2)</f>
        <v>3.2</v>
      </c>
      <c r="MA6" s="69">
        <f>IF($BY6="P",BK6,(BK6+AO6)/2)</f>
        <v>0.15</v>
      </c>
      <c r="MB6" s="69">
        <f>IF($BY6="P",BL6,(BL6+AP6)/2)</f>
        <v>0</v>
      </c>
      <c r="MC6" s="69">
        <f>IF($BY6="P",BM6,(BM6+AQ6)/2)</f>
        <v>14.1</v>
      </c>
      <c r="MD6" s="69">
        <f>IF($BY6="P",BN6,(BN6+AR6)/2)</f>
        <v>2.6</v>
      </c>
      <c r="ME6" s="69">
        <f>IF($BY6="P",BO6,(BO6+AS6)/2)</f>
        <v>0.6</v>
      </c>
      <c r="MF6" s="69">
        <f>IF($BY6="P",BP6,(BP6+AT6)/2)</f>
        <v>0</v>
      </c>
      <c r="MG6" s="69">
        <f>IF($BY6="P",BQ6,(BQ6+AU6)/2)</f>
        <v>14.15</v>
      </c>
      <c r="MH6" s="69">
        <f>IF($BY6="P",BR6,(BR6+AV6)/2)</f>
        <v>2.4</v>
      </c>
      <c r="MI6" s="69">
        <f>IF($BY6="P",BS6,(BS6+AW6)/2)</f>
        <v>0</v>
      </c>
      <c r="MJ6" s="69">
        <f>IF($BY6="P",BT6,(BT6+AX6)/2)</f>
        <v>0</v>
      </c>
      <c r="MK6" s="69">
        <f>IF($BY6="P",BU6,(BU6+AY6)/2)</f>
        <v>14.35</v>
      </c>
      <c r="ML6" s="69">
        <f>IF($BY6="P",BV6,(BV6+AZ6)/2)</f>
        <v>2.4</v>
      </c>
      <c r="MM6" s="69">
        <f>IF($BY6="P",BW6,(BW6+BA6)/2)</f>
        <v>0</v>
      </c>
      <c r="MN6" s="69">
        <f>IF($BY6="P",BX6,(BX6+BB6)/2)</f>
        <v>0</v>
      </c>
      <c r="MO6" s="80" t="s">
        <v>91</v>
      </c>
      <c r="MP6" s="11">
        <f>IF(SUM(LZ6,MD6)&gt;0,SUM(LZ6,MD6),"")</f>
        <v>5.8000000000000007</v>
      </c>
      <c r="MQ6" s="11">
        <f>IF(SUM(LY6:LZ6,MB6:MD6,MF6)-SUM(MA6,ME6)&gt;0,SUM(LY6:LZ6,MB6:MD6,MF6)-SUM(MA6,ME6),"")</f>
        <v>33.25</v>
      </c>
      <c r="MR6" s="11">
        <f>IF(SUM(MH6,ML6)&gt;0,SUM(MH6,ML6),"")</f>
        <v>4.8</v>
      </c>
      <c r="MS6" s="11">
        <f>IF(SUM(MG6:MH6,MJ6:ML6,MN6)-SUM(MI6,MM6)&gt;0,SUM(MG6:MH6,MJ6:ML6,MN6)-SUM(MI6,MM6),"")</f>
        <v>33.299999999999997</v>
      </c>
      <c r="MT6" s="11">
        <f>IF(SUM(MQ6,MS6)&gt;0,SUM(MQ6,MS6),"")</f>
        <v>66.55</v>
      </c>
    </row>
    <row r="7" spans="1:358" x14ac:dyDescent="0.2">
      <c r="A7" s="5">
        <f>IF(AND(F7="P",G7="P"),SUMPRODUCT((F$4:F$15="P")*(G$4:G$15="P")*(E$4:E$15&gt;E7))+1,IF(G7="P",SUMPRODUCT((F$4:F$15="")*(G$4:G$15="P")*(E$4:E$15&gt;E7))+1+SUMPRODUCT((F$4:F$15="P")*(G$4:G$15="P")),""))</f>
        <v>4</v>
      </c>
      <c r="B7" s="8" t="s">
        <v>180</v>
      </c>
      <c r="C7" s="4" t="s">
        <v>6</v>
      </c>
      <c r="D7" s="5">
        <v>2001</v>
      </c>
      <c r="E7" s="15">
        <f>SUM(J7:N7)</f>
        <v>201.50000000000003</v>
      </c>
      <c r="F7" s="3" t="str">
        <f>IF(OR(AND(AH7&gt;=AL$17,AI7&gt;=AL$21,AI7&lt;&gt;"",AG7=""),AND(BD7&gt;=BH$17,BE7&gt;=BH$21,BE7&lt;&gt;"",BC7=""),AND(BZ7&gt;=CD$17,CA7&gt;=CD$21,CA7&lt;&gt;"",BY7=""),AND(CW7&gt;=DA$17,CX7&gt;=DA$21,CX7&lt;&gt;""),AND(DR7&gt;=DV$17,DS7&gt;=DV$21,DS7&lt;&gt;""),AND(EM7&gt;=EQ$17,EN7&gt;=EQ$21,EN7&lt;&gt;""),AND(FH7&gt;=FL$17,FI7&gt;=FL$21,FI7&lt;&gt;""),AND(GC7&gt;=GG$17,GD7&gt;=GG$21,GD7&lt;&gt;""),AND(GX7&gt;=HB$17,GY7&gt;=HB$21,GY7&lt;&gt;""),AND(HS7&gt;=HW$17,HT7&gt;=HW$21,HT7&lt;&gt;""),AND(IN7&gt;=IR$17,IO7&gt;=IR$21,IO7&lt;&gt;""),AND(JI7&gt;=JM$17,JJ7&gt;=JM$21,JJ7&lt;&gt;""),AND(KD7&gt;=KH$17,KE7&gt;=KH$21,KE7&lt;&gt;""),AND(KY7&gt;=LC$17,KZ7&gt;=LC$21,KZ7&lt;&gt;""),AND(LT7&gt;=LX$17,LU7&gt;=LX$21,LU7&lt;&gt;"")),"P","")</f>
        <v>P</v>
      </c>
      <c r="G7" s="3" t="str">
        <f>IF(OR(AND(AI7&gt;=AL$21,AI7&lt;&gt;"",AG7=""),AND(BE7&gt;=BH$21,BE7&lt;&gt;"",BC7=""),AND(CA7&gt;=CD$21,CA7&lt;&gt;"",BY7=""),AND(CX7&gt;=DA$21,CX7&lt;&gt;""),AND(DS7&gt;=DV$21,DS7&lt;&gt;""),AND(EN7&gt;=EQ$21,EN7&lt;&gt;""),AND(FI7&gt;=FL$21,FI7&lt;&gt;""),AND(GD7&gt;=GG$21,GD7&lt;&gt;""),AND(GY7&gt;=HB$21,GY7&lt;&gt;""),AND(HT7&gt;=HW$21,HT7&lt;&gt;""),AND(IO7&gt;=IR$21,IO7&lt;&gt;""),AND(JJ7&gt;=JM$21,JJ7&lt;&gt;""),AND(KE7&gt;=KH$21,KE7&lt;&gt;""),AND(KZ7&gt;=LC$21,KZ7&lt;&gt;""),AND(LU7&gt;=LX$21,LU7&lt;&gt;"")),"P","")</f>
        <v>P</v>
      </c>
      <c r="H7" s="126" t="str">
        <f>IF(AND(G7="P",F7=""),"No DD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Merit",IF(OR(AND(AH7&gt;=AL$19,AH7&lt;&gt;"",AI7&gt;=AL$23,AI7&lt;&gt;"",AG7=""),AND(BD7&gt;=BH$19,BD7&lt;&gt;"",BE7&gt;=BH$23,BE7&lt;&gt;"",BC7=""),AND(BZ7&gt;=CD$19,BZ7&lt;&gt;"",CA7&gt;=CD$23,CA7&lt;&gt;"",BY7=""),AND(CW7&gt;=DA$19,CW7&lt;&gt;"",CX7&gt;=DA$23,CX7&lt;&gt;""),AND(DR7&gt;=DV$19,DR7&lt;&gt;"",DS7&gt;=DV$23,DS7&lt;&gt;""),AND(EM7&gt;=EQ$19,EM7&lt;&gt;"",EN7&gt;=EQ$23,EN7&lt;&gt;""),AND(FH7&gt;=FL$19,FH7&lt;&gt;"",FI7&gt;=FL$23,FI7&lt;&gt;""),AND(GC7&gt;=GG$19,GC7&lt;&gt;"",GD7&gt;=GG$23,GD7&lt;&gt;""),AND(GX7&gt;=HB$19,GX7&lt;&gt;"",GY7&gt;=HB$23,GY7&lt;&gt;""),AND(HS7&gt;=HW$19,HS7&lt;&gt;"",HT7&gt;=HW$23,HT7&lt;&gt;""),AND(IN7&gt;=IR$19,IN7&lt;&gt;"",IO7&gt;=IR$23,IO7&lt;&gt;""),AND(JI7&gt;=JM$19,JI7&lt;&gt;"",JJ7&gt;=JM$23,JJ7&lt;&gt;""),AND(KD7&gt;=KH$19,KD7&lt;&gt;"",KE7&gt;=KH$23,KE7&lt;&gt;""),AND(KY7&gt;=LC$19,KY7&lt;&gt;"",KZ7&gt;=LC$23,KZ7&lt;&gt;""),AND(LT7&gt;=LX$19,LT7&lt;&gt;"",LU7&gt;=LX$23,LU7&lt;&gt;"")),"Excellence",IF(OR(AND(AH7&gt;=AL$18,AH7&lt;&gt;"",AI7&gt;=AL$22,AI7&lt;&gt;"",AG7=""),AND(BD7&gt;=BH$18,BD7&lt;&gt;"",BE7&gt;=BH$22,BE7&lt;&gt;"",BC7=""),AND(BZ7&gt;=CD$18,BZ7&lt;&gt;"",CA7&gt;=CD$22,CA7&lt;&gt;"",BY7=""),AND(CW7&gt;=DA$18,CW7&lt;&gt;"",CX7&gt;=DA$22,CX7&lt;&gt;""),AND(DR7&gt;=DV$18,DR7&lt;&gt;"",DS7&gt;=DV$22,DS7&lt;&gt;""),AND(EM7&gt;=EQ$18,EM7&lt;&gt;"",EN7&gt;=EQ$22,EN7&lt;&gt;""),AND(FH7&gt;=FL$18,FH7&lt;&gt;"",FI7&gt;=FL$22,FI7&lt;&gt;""),AND(GC7&gt;=GG$18,GC7&lt;&gt;"",GD7&gt;=GG$22,GD7&lt;&gt;""),AND(GX7&gt;=HB$18,GX7&lt;&gt;"",GY7&gt;=HB$22,GY7&lt;&gt;""),AND(HS7&gt;=HW$18,HS7&lt;&gt;"",HT7&gt;=HW$22,HT7&lt;&gt;""),AND(IN7&gt;=IR$18,IN7&lt;&gt;"",IO7&gt;=IR$22,IO7&lt;&gt;""),AND(JI7&gt;=JM$18,JI7&lt;&gt;"",JJ7&gt;=JM$22,JJ7&lt;&gt;""),AND(KD7&gt;=KH$18,KD7&lt;&gt;"",KE7&gt;=KH$22,KE7&lt;&gt;""),AND(KY7&gt;=LC$18,KY7&lt;&gt;"",KZ7&gt;=LC$22,KZ7&lt;&gt;""),AND(LT7&gt;=LX$18,LT7&lt;&gt;"",LU7&gt;=LX$22,LU7&lt;&gt;"")),"Worlds Team",IF(OR(AND(AH7&gt;=AL$17,AH7&lt;&gt;"",AI7&gt;=AL$21,AI7&lt;&gt;"",AG7=""),AND(BD7&gt;=BH$17,BD7&lt;&gt;"",BE7&gt;=BH$21,BE7&lt;&gt;"",BC7=""),AND(BZ7&gt;=CD$17,BZ7&lt;&gt;"",CA7&gt;=CD$21,CA7&lt;&gt;"",BY7=""),AND(CW7&gt;=DA$17,CW7&lt;&gt;"",CX7&gt;=DA$21,CX7&lt;&gt;""),AND(DR7&gt;=DV$17,DR7&lt;&gt;"",DS7&gt;=DV$21,DS7&lt;&gt;""),AND(EM7&gt;=EQ$17,EM7&lt;&gt;"",EN7&gt;=EQ$21,EN7&lt;&gt;""),AND(FH7&gt;=FL$17,FH7&lt;&gt;"",FI7&gt;=FL$21,FI7&lt;&gt;""),AND(GC7&gt;=GG$17,GC7&lt;&gt;"",GD7&gt;=GG$21,GD7&lt;&gt;""),AND(GX7&gt;=HB$17,GX7&lt;&gt;"",GY7&gt;=HB$21,GY7&lt;&gt;""),AND(HS7&gt;=HW$17,HS7&lt;&gt;"",HT7&gt;=HW$21,HT7&lt;&gt;""),AND(IN7&gt;=IR$17,IN7&lt;&gt;"",IO7&gt;=IR$21,IO7&lt;&gt;""),AND(JI7&gt;=JM$17,JI7&lt;&gt;"",JJ7&gt;=JM$21,JJ7&lt;&gt;""),AND(KD7&gt;=KH$17,KD7&lt;&gt;"",KE7&gt;=KH$21,KE7&lt;&gt;""),AND(KY7&gt;=LC$17,KY7&lt;&gt;"",KZ7&gt;=LC$21,KZ7&lt;&gt;""),AND(LT7&gt;=LX$17,LT7&lt;&gt;"",LU7&gt;=LX$21,LU7&lt;&gt;"")),"National Team","")))))</f>
        <v>National Team</v>
      </c>
      <c r="I7" s="3" t="str">
        <f>IF(OR(H7="Worlds Team",H7="Excellence",H7="Merit"),"P","")</f>
        <v/>
      </c>
      <c r="J7" s="14">
        <f>MAX(AL7,BH7,CD7)</f>
        <v>132.30000000000001</v>
      </c>
      <c r="K7" s="14" t="str">
        <f>IF(J7=0,"",IF(J7=CD7,$BI$1,IF(J7=BH7,$AM$1,IF(J7=AL7,$Q$1,""))))</f>
        <v>2019 Elite Canada</v>
      </c>
      <c r="L7" s="14">
        <f>IF(J7=AL7,MAX(BE7,BG7,CA7,CC7),IF(J7=BH7,MAX(AI7,AK7,CA7,CC7),MAX(AI7,AK7,BE7,BG7)))</f>
        <v>68.100000000000009</v>
      </c>
      <c r="M7" s="14" t="str">
        <f>IF(L7=0,"",IF(AND(J7&lt;&gt;CD7,OR(L7=CA7,L7=CC7)),$BI$1,IF(AND(J7&lt;&gt;BH7,OR(L7=BG7,L7=BE7)),$AM$1,IF(OR(L7=AK7,L7=AI7),$Q$1,""))))</f>
        <v>2019 Nationals</v>
      </c>
      <c r="N7" s="14">
        <f>IF(MAX(CE7:CF7)&gt;0,MAX(CE7:CF7),"")</f>
        <v>1.0999999999999943</v>
      </c>
      <c r="O7" s="25" t="str">
        <f>IF(N7="","",IF(N7=CE7,"(4 Pass)",IF(N7=CF7,"(2 Pass)")))</f>
        <v>(4 Pass)</v>
      </c>
      <c r="P7" s="14" t="str">
        <f>IF(N7="","",IF(N7=CE7,IF(N7+IF(J7="",0,J7)=DA7,$CG$1,IF(N7+IF(J7="",0,J7)=DV7,$DB$1,IF(N7+IF(J7="",0,J7)=EQ7,$DW$1,IF(N7+IF(J7="",0,J7)=FL7,$ER$1,IF(N7+IF(J7="",0,J7)=GG7,$FM$1,IF(N7+IF(J7="",0,J7)=HB7,$GH$1,IF(N7+IF(J7="",0,J7)=HW7,$HC$1,IF(N7+IF(J7="",0,J7)=IR7,$HX$1,IF(N7+IF(J7="",0,J7)=JM7,$IS$1,IF(N7+IF(J7="",0,J7)=KH7,$JN$1,IF(N7+IF(J7="",0,J7)=LC7,$KI$1,IF(N7+IF(J7="",0,J7)=LX7,$LD$1)))))))))))),IF(N7=CF7,IF(OR(N7+IF(L7="",0,L7)=CX7,N7+IF(L7="",0,L7)=CZ7),$CG$1,IF(OR(N7+IF(L7="",0,L7)=DS7,N7+IF(L7="",0,L7)=DU7),$DB$1,IF(OR(N7+IF(L7="",0,L7)=EN7,N7+IF(L7="",0,L7)=EP7),$DW$1,IF(OR(N7+IF(L7="",0,L7)=FI7,N7+IF(L7="",0,L7)=FK7),$ER$1,IF(OR(N7+IF(L7="",0,L7)=GD7,N7+IF(L7="",0,L7)=GF7),$FM$1,IF(OR(N7+IF(L7="",0,L7)=GY7,N7+IF(L7="",0,L7)=HA7),$GH$1,IF(OR(N7+IF(L7="",0,L7)=HT7,N7+IF(L7="",0,L7)=HV7),$HC$1,IF(OR(N7+IF(L7="",0,L7)=IO7,N7+IF(L7="",0,L7)=IQ7),$HX$1,IF(OR(N7+IF(L7="",0,L7)=JJ7,N7+IF(L7="",0,L7)=JL7),$IS$1,IF(OR(N7+IF(L7="",0,L7)=KE7,N7+IF(L7="",0,L7)=KG7),$JN$1,IF(OR(N7+IF(L7="",0,L7)=KZ7,N7+IF(L7="",0,L7)=LB7),$KI$1,IF(OR(N7+IF(L7="",0,L7)=LU7,N7+IF(L7="",0,L7)=LW7),$LD$1)))))))))))))))</f>
        <v>2019 WAGC (Dec 5)</v>
      </c>
      <c r="Q7" s="69">
        <v>28.2</v>
      </c>
      <c r="R7" s="69">
        <v>5.2</v>
      </c>
      <c r="S7" s="69">
        <v>0</v>
      </c>
      <c r="T7" s="69">
        <v>0</v>
      </c>
      <c r="U7" s="69">
        <v>28.2</v>
      </c>
      <c r="V7" s="69">
        <v>5.2</v>
      </c>
      <c r="W7" s="69">
        <v>0</v>
      </c>
      <c r="X7" s="69">
        <v>0.5</v>
      </c>
      <c r="Y7" s="69">
        <v>27.3</v>
      </c>
      <c r="Z7" s="69">
        <v>5.2</v>
      </c>
      <c r="AA7" s="69">
        <v>0.9</v>
      </c>
      <c r="AB7" s="69">
        <v>0</v>
      </c>
      <c r="AC7" s="69">
        <v>29.1</v>
      </c>
      <c r="AD7" s="69">
        <v>5.2</v>
      </c>
      <c r="AE7" s="69">
        <v>0.9</v>
      </c>
      <c r="AF7" s="69">
        <v>0</v>
      </c>
      <c r="AG7" s="80"/>
      <c r="AH7" s="11">
        <f>IF(SUM(R7,V7)&gt;0,SUM(R7,V7),"")</f>
        <v>10.4</v>
      </c>
      <c r="AI7" s="11">
        <f>IF(SUM(Q7:R7,T7:V7,X7)-SUM(S7,W7)&gt;0,SUM(Q7:R7,T7:V7,X7)-SUM(S7,W7),"")</f>
        <v>67.3</v>
      </c>
      <c r="AJ7" s="11">
        <f>IF(SUM(Z7,AD7)&gt;0,SUM(Z7,AD7),"")</f>
        <v>10.4</v>
      </c>
      <c r="AK7" s="11">
        <f>IF(SUM(Y7:Z7,AB7:AD7,AF7)-SUM(AA7,AE7)&gt;0,SUM(Y7:Z7,AB7:AD7,AF7)-SUM(AA7,AE7),"")</f>
        <v>65</v>
      </c>
      <c r="AL7" s="11">
        <f>IF(SUM(AI7,AK7)&gt;0,SUM(AI7,AK7),"")</f>
        <v>132.30000000000001</v>
      </c>
      <c r="AM7" s="38">
        <v>28.2</v>
      </c>
      <c r="AN7" s="38">
        <v>6.8</v>
      </c>
      <c r="AO7" s="38">
        <v>0.9</v>
      </c>
      <c r="AP7" s="38">
        <v>0</v>
      </c>
      <c r="AQ7" s="38">
        <v>28.5</v>
      </c>
      <c r="AR7" s="38">
        <v>6.4</v>
      </c>
      <c r="AS7" s="38">
        <v>0.9</v>
      </c>
      <c r="AT7" s="38">
        <v>0</v>
      </c>
      <c r="AU7" s="38">
        <v>26.4</v>
      </c>
      <c r="AV7" s="38">
        <v>4.8</v>
      </c>
      <c r="AW7" s="38">
        <v>0.3</v>
      </c>
      <c r="AX7" s="38">
        <v>0</v>
      </c>
      <c r="AY7" s="38">
        <v>28.1</v>
      </c>
      <c r="AZ7" s="38">
        <v>6</v>
      </c>
      <c r="BA7" s="38">
        <v>0.9</v>
      </c>
      <c r="BB7" s="38">
        <v>0</v>
      </c>
      <c r="BC7" s="81"/>
      <c r="BD7" s="14">
        <f>IF(SUM(AN7,AR7)&gt;0,SUM(AN7,AR7),"")</f>
        <v>13.2</v>
      </c>
      <c r="BE7" s="14">
        <f>IF(SUM(AM7:AN7,AP7:AR7,AT7)-SUM(AO7,AS7)&gt;0,SUM(AM7:AN7,AP7:AR7,AT7)-SUM(AO7,AS7),"")</f>
        <v>68.100000000000009</v>
      </c>
      <c r="BF7" s="14">
        <f>IF(SUM(AV7,AZ7)&gt;0,SUM(AV7,AZ7),"")</f>
        <v>10.8</v>
      </c>
      <c r="BG7" s="14">
        <f>IF(SUM(AU7:AV7,AX7:AZ7,BB7)-SUM(AW7,BA7)&gt;0,SUM(AU7:AV7,AX7:AZ7,BB7)-SUM(AW7,BA7),"")</f>
        <v>64.099999999999994</v>
      </c>
      <c r="BH7" s="14">
        <f>IF(SUM(BE7,BG7)&gt;0,SUM(BE7,BG7),"")</f>
        <v>132.19999999999999</v>
      </c>
      <c r="BI7" s="69">
        <v>27.8</v>
      </c>
      <c r="BJ7" s="69">
        <v>6.4</v>
      </c>
      <c r="BK7" s="69">
        <v>0.3</v>
      </c>
      <c r="BL7" s="69">
        <v>0</v>
      </c>
      <c r="BM7" s="69">
        <v>27.9</v>
      </c>
      <c r="BN7" s="69">
        <v>5.2</v>
      </c>
      <c r="BO7" s="69">
        <v>0.3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80"/>
      <c r="BZ7" s="11">
        <f>IF(SUM(BJ7,BN7)&gt;0,SUM(BJ7,BN7),"")</f>
        <v>11.600000000000001</v>
      </c>
      <c r="CA7" s="11">
        <f>IF(SUM(BI7:BJ7,BL7:BN7,BP7)-SUM(BK7,BO7)&gt;0,SUM(BI7:BJ7,BL7:BN7,BP7)-SUM(BK7,BO7),"")</f>
        <v>66.7</v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>
        <f>IF(SUM(CA7,CC7)&gt;0,SUM(CA7,CC7),"")</f>
        <v>66.7</v>
      </c>
      <c r="CE7" s="24">
        <f>IF(MAX(DA7,DV7,EQ7,FL7,GG7,HB7,HW7,IR7,JM7,KH7,LC7,LX7)-IF(J7="",0,J7)&gt;0.001,MAX(DA7,DV7,EQ7,FL7,GG7,HB7,HW7,IR7,JM7,KH7,LC7,LX7)-IF(J7="",0,J7),"")</f>
        <v>1.0999999999999943</v>
      </c>
      <c r="CF7" s="24" t="str">
        <f>IF(MAX(CX7,CZ7,DS7,DU7,EN7,EP7,FI7,FK7,GD7,GF7,GY7,HA7,HT7,HV7,IO7,IQ7,JJ7,JL7,KE7,KG7,KZ7,LB7,LU7,LW7)-IF(L7="",0,L7)&gt;0.001,MAX(CX7,CZ7,DS7,DU7,EN7,EP7,FI7,FK7,GD7,GF7,GY7,HA7,HT7,HV7,IO7,IQ7,JJ7,JL7,KE7,KG7,KZ7,LB7,LU7,LW7)-IF(L7="",0,L7),"")</f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>IF(SUM(CH7,CL7)&gt;0,SUM(CH7,CL7),"")</f>
        <v/>
      </c>
      <c r="CX7" s="11" t="str">
        <f>IF(SUM(CG7:CH7,CJ7:CL7,CN7)-SUM(CI7,CM7)&gt;0,SUM(CG7:CH7,CJ7:CL7,CN7)-SUM(CI7,CM7),"")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43">
        <v>27.6</v>
      </c>
      <c r="DC7" s="43">
        <v>6</v>
      </c>
      <c r="DD7" s="43">
        <v>1.2</v>
      </c>
      <c r="DE7" s="43">
        <v>0</v>
      </c>
      <c r="DF7" s="43">
        <v>27.9</v>
      </c>
      <c r="DG7" s="43">
        <v>6.4</v>
      </c>
      <c r="DH7" s="43">
        <v>0</v>
      </c>
      <c r="DI7" s="43">
        <v>0</v>
      </c>
      <c r="DJ7" s="43">
        <v>27.6</v>
      </c>
      <c r="DK7" s="43">
        <v>5.2</v>
      </c>
      <c r="DL7" s="43">
        <v>0</v>
      </c>
      <c r="DM7" s="43">
        <v>0</v>
      </c>
      <c r="DN7" s="43">
        <v>27.1</v>
      </c>
      <c r="DO7" s="43">
        <v>6.8</v>
      </c>
      <c r="DP7" s="43">
        <v>0</v>
      </c>
      <c r="DQ7" s="43">
        <v>0</v>
      </c>
      <c r="DR7" s="14">
        <f>IF(SUM(DC7,DG7)&gt;0,SUM(DC7,DG7),"")</f>
        <v>12.4</v>
      </c>
      <c r="DS7" s="14">
        <f>IF(SUM(DB7:DC7,DE7:DG7,DI7)-SUM(DD7,DH7)&gt;0,SUM(DB7:DC7,DE7:DG7,DI7)-SUM(DD7,DH7),"")</f>
        <v>66.7</v>
      </c>
      <c r="DT7" s="14">
        <f>IF(SUM(DK7,DO7)&gt;0,SUM(DK7,DO7),"")</f>
        <v>12</v>
      </c>
      <c r="DU7" s="14">
        <f>IF(SUM(DJ7:DK7,DM7:DO7,DQ7)-SUM(DL7,DP7)&gt;0,SUM(DJ7:DK7,DM7:DO7,DQ7)-SUM(DL7,DP7),"")</f>
        <v>66.7</v>
      </c>
      <c r="DV7" s="14">
        <f>IF(SUM(DS7,DU7)&gt;0,SUM(DS7,DU7),"")</f>
        <v>133.4</v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28</v>
      </c>
      <c r="LZ7" s="69">
        <f>IF($BY7="P",BJ7,(BJ7+AN7)/2)</f>
        <v>6.6</v>
      </c>
      <c r="MA7" s="69">
        <f>IF($BY7="P",BK7,(BK7+AO7)/2)</f>
        <v>0.6</v>
      </c>
      <c r="MB7" s="69">
        <f>IF($BY7="P",BL7,(BL7+AP7)/2)</f>
        <v>0</v>
      </c>
      <c r="MC7" s="69">
        <f>IF($BY7="P",BM7,(BM7+AQ7)/2)</f>
        <v>28.2</v>
      </c>
      <c r="MD7" s="69">
        <f>IF($BY7="P",BN7,(BN7+AR7)/2)</f>
        <v>5.8000000000000007</v>
      </c>
      <c r="ME7" s="69">
        <f>IF($BY7="P",BO7,(BO7+AS7)/2)</f>
        <v>0.6</v>
      </c>
      <c r="MF7" s="69">
        <f>IF($BY7="P",BP7,(BP7+AT7)/2)</f>
        <v>0</v>
      </c>
      <c r="MG7" s="69">
        <f>IF($BY7="P",BQ7,(BQ7+AU7)/2)</f>
        <v>13.2</v>
      </c>
      <c r="MH7" s="69">
        <f>IF($BY7="P",BR7,(BR7+AV7)/2)</f>
        <v>2.4</v>
      </c>
      <c r="MI7" s="69">
        <f>IF($BY7="P",BS7,(BS7+AW7)/2)</f>
        <v>0.15</v>
      </c>
      <c r="MJ7" s="69">
        <f>IF($BY7="P",BT7,(BT7+AX7)/2)</f>
        <v>0</v>
      </c>
      <c r="MK7" s="69">
        <f>IF($BY7="P",BU7,(BU7+AY7)/2)</f>
        <v>14.05</v>
      </c>
      <c r="ML7" s="69">
        <f>IF($BY7="P",BV7,(BV7+AZ7)/2)</f>
        <v>3</v>
      </c>
      <c r="MM7" s="69">
        <f>IF($BY7="P",BW7,(BW7+BA7)/2)</f>
        <v>0.45</v>
      </c>
      <c r="MN7" s="69">
        <f>IF($BY7="P",BX7,(BX7+BB7)/2)</f>
        <v>0</v>
      </c>
      <c r="MO7" s="80" t="s">
        <v>91</v>
      </c>
      <c r="MP7" s="11">
        <f>IF(SUM(LZ7,MD7)&gt;0,SUM(LZ7,MD7),"")</f>
        <v>12.4</v>
      </c>
      <c r="MQ7" s="11">
        <f>IF(SUM(LY7:LZ7,MB7:MD7,MF7)-SUM(MA7,ME7)&gt;0,SUM(LY7:LZ7,MB7:MD7,MF7)-SUM(MA7,ME7),"")</f>
        <v>67.399999999999991</v>
      </c>
      <c r="MR7" s="11">
        <f>IF(SUM(MH7,ML7)&gt;0,SUM(MH7,ML7),"")</f>
        <v>5.4</v>
      </c>
      <c r="MS7" s="11">
        <f>IF(SUM(MG7:MH7,MJ7:ML7,MN7)-SUM(MI7,MM7)&gt;0,SUM(MG7:MH7,MJ7:ML7,MN7)-SUM(MI7,MM7),"")</f>
        <v>32.049999999999997</v>
      </c>
      <c r="MT7" s="11">
        <f>IF(SUM(MQ7,MS7)&gt;0,SUM(MQ7,MS7),"")</f>
        <v>99.449999999999989</v>
      </c>
    </row>
    <row r="8" spans="1:358" x14ac:dyDescent="0.2">
      <c r="A8" s="5">
        <f>IF(AND(F8="P",G8="P"),SUMPRODUCT((F$4:F$15="P")*(G$4:G$15="P")*(E$4:E$15&gt;E8))+1,IF(G8="P",SUMPRODUCT((F$4:F$15="")*(G$4:G$15="P")*(E$4:E$15&gt;E8))+1+SUMPRODUCT((F$4:F$15="P")*(G$4:G$15="P")),""))</f>
        <v>5</v>
      </c>
      <c r="B8" s="8" t="s">
        <v>64</v>
      </c>
      <c r="C8" s="4" t="s">
        <v>63</v>
      </c>
      <c r="D8" s="5">
        <v>1999</v>
      </c>
      <c r="E8" s="15">
        <f>SUM(J8:N8)</f>
        <v>200</v>
      </c>
      <c r="F8" s="3" t="str">
        <f>IF(OR(AND(AH8&gt;=AL$17,AI8&gt;=AL$21,AI8&lt;&gt;"",AG8=""),AND(BD8&gt;=BH$17,BE8&gt;=BH$21,BE8&lt;&gt;"",BC8=""),AND(BZ8&gt;=CD$17,CA8&gt;=CD$21,CA8&lt;&gt;"",BY8=""),AND(CW8&gt;=DA$17,CX8&gt;=DA$21,CX8&lt;&gt;""),AND(DR8&gt;=DV$17,DS8&gt;=DV$21,DS8&lt;&gt;""),AND(EM8&gt;=EQ$17,EN8&gt;=EQ$21,EN8&lt;&gt;""),AND(FH8&gt;=FL$17,FI8&gt;=FL$21,FI8&lt;&gt;""),AND(GC8&gt;=GG$17,GD8&gt;=GG$21,GD8&lt;&gt;""),AND(GX8&gt;=HB$17,GY8&gt;=HB$21,GY8&lt;&gt;""),AND(HS8&gt;=HW$17,HT8&gt;=HW$21,HT8&lt;&gt;""),AND(IN8&gt;=IR$17,IO8&gt;=IR$21,IO8&lt;&gt;""),AND(JI8&gt;=JM$17,JJ8&gt;=JM$21,JJ8&lt;&gt;""),AND(KD8&gt;=KH$17,KE8&gt;=KH$21,KE8&lt;&gt;""),AND(KY8&gt;=LC$17,KZ8&gt;=LC$21,KZ8&lt;&gt;""),AND(LT8&gt;=LX$17,LU8&gt;=LX$21,LU8&lt;&gt;"")),"P","")</f>
        <v>P</v>
      </c>
      <c r="G8" s="3" t="str">
        <f>IF(OR(AND(AI8&gt;=AL$21,AI8&lt;&gt;"",AG8=""),AND(BE8&gt;=BH$21,BE8&lt;&gt;"",BC8=""),AND(CA8&gt;=CD$21,CA8&lt;&gt;"",BY8=""),AND(CX8&gt;=DA$21,CX8&lt;&gt;""),AND(DS8&gt;=DV$21,DS8&lt;&gt;""),AND(EN8&gt;=EQ$21,EN8&lt;&gt;""),AND(FI8&gt;=FL$21,FI8&lt;&gt;""),AND(GD8&gt;=GG$21,GD8&lt;&gt;""),AND(GY8&gt;=HB$21,GY8&lt;&gt;""),AND(HT8&gt;=HW$21,HT8&lt;&gt;""),AND(IO8&gt;=IR$21,IO8&lt;&gt;""),AND(JJ8&gt;=JM$21,JJ8&lt;&gt;""),AND(KE8&gt;=KH$21,KE8&lt;&gt;""),AND(KZ8&gt;=LC$21,KZ8&lt;&gt;""),AND(LU8&gt;=LX$21,LU8&lt;&gt;"")),"P","")</f>
        <v>P</v>
      </c>
      <c r="H8" s="126" t="str">
        <f>IF(AND(G8="P",F8=""),"No DD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Merit",IF(OR(AND(AH8&gt;=AL$19,AH8&lt;&gt;"",AI8&gt;=AL$23,AI8&lt;&gt;"",AG8=""),AND(BD8&gt;=BH$19,BD8&lt;&gt;"",BE8&gt;=BH$23,BE8&lt;&gt;"",BC8=""),AND(BZ8&gt;=CD$19,BZ8&lt;&gt;"",CA8&gt;=CD$23,CA8&lt;&gt;"",BY8=""),AND(CW8&gt;=DA$19,CW8&lt;&gt;"",CX8&gt;=DA$23,CX8&lt;&gt;""),AND(DR8&gt;=DV$19,DR8&lt;&gt;"",DS8&gt;=DV$23,DS8&lt;&gt;""),AND(EM8&gt;=EQ$19,EM8&lt;&gt;"",EN8&gt;=EQ$23,EN8&lt;&gt;""),AND(FH8&gt;=FL$19,FH8&lt;&gt;"",FI8&gt;=FL$23,FI8&lt;&gt;""),AND(GC8&gt;=GG$19,GC8&lt;&gt;"",GD8&gt;=GG$23,GD8&lt;&gt;""),AND(GX8&gt;=HB$19,GX8&lt;&gt;"",GY8&gt;=HB$23,GY8&lt;&gt;""),AND(HS8&gt;=HW$19,HS8&lt;&gt;"",HT8&gt;=HW$23,HT8&lt;&gt;""),AND(IN8&gt;=IR$19,IN8&lt;&gt;"",IO8&gt;=IR$23,IO8&lt;&gt;""),AND(JI8&gt;=JM$19,JI8&lt;&gt;"",JJ8&gt;=JM$23,JJ8&lt;&gt;""),AND(KD8&gt;=KH$19,KD8&lt;&gt;"",KE8&gt;=KH$23,KE8&lt;&gt;""),AND(KY8&gt;=LC$19,KY8&lt;&gt;"",KZ8&gt;=LC$23,KZ8&lt;&gt;""),AND(LT8&gt;=LX$19,LT8&lt;&gt;"",LU8&gt;=LX$23,LU8&lt;&gt;"")),"Excellence",IF(OR(AND(AH8&gt;=AL$18,AH8&lt;&gt;"",AI8&gt;=AL$22,AI8&lt;&gt;"",AG8=""),AND(BD8&gt;=BH$18,BD8&lt;&gt;"",BE8&gt;=BH$22,BE8&lt;&gt;"",BC8=""),AND(BZ8&gt;=CD$18,BZ8&lt;&gt;"",CA8&gt;=CD$22,CA8&lt;&gt;"",BY8=""),AND(CW8&gt;=DA$18,CW8&lt;&gt;"",CX8&gt;=DA$22,CX8&lt;&gt;""),AND(DR8&gt;=DV$18,DR8&lt;&gt;"",DS8&gt;=DV$22,DS8&lt;&gt;""),AND(EM8&gt;=EQ$18,EM8&lt;&gt;"",EN8&gt;=EQ$22,EN8&lt;&gt;""),AND(FH8&gt;=FL$18,FH8&lt;&gt;"",FI8&gt;=FL$22,FI8&lt;&gt;""),AND(GC8&gt;=GG$18,GC8&lt;&gt;"",GD8&gt;=GG$22,GD8&lt;&gt;""),AND(GX8&gt;=HB$18,GX8&lt;&gt;"",GY8&gt;=HB$22,GY8&lt;&gt;""),AND(HS8&gt;=HW$18,HS8&lt;&gt;"",HT8&gt;=HW$22,HT8&lt;&gt;""),AND(IN8&gt;=IR$18,IN8&lt;&gt;"",IO8&gt;=IR$22,IO8&lt;&gt;""),AND(JI8&gt;=JM$18,JI8&lt;&gt;"",JJ8&gt;=JM$22,JJ8&lt;&gt;""),AND(KD8&gt;=KH$18,KD8&lt;&gt;"",KE8&gt;=KH$22,KE8&lt;&gt;""),AND(KY8&gt;=LC$18,KY8&lt;&gt;"",KZ8&gt;=LC$22,KZ8&lt;&gt;""),AND(LT8&gt;=LX$18,LT8&lt;&gt;"",LU8&gt;=LX$22,LU8&lt;&gt;"")),"Worlds Team",IF(OR(AND(AH8&gt;=AL$17,AH8&lt;&gt;"",AI8&gt;=AL$21,AI8&lt;&gt;"",AG8=""),AND(BD8&gt;=BH$17,BD8&lt;&gt;"",BE8&gt;=BH$21,BE8&lt;&gt;"",BC8=""),AND(BZ8&gt;=CD$17,BZ8&lt;&gt;"",CA8&gt;=CD$21,CA8&lt;&gt;"",BY8=""),AND(CW8&gt;=DA$17,CW8&lt;&gt;"",CX8&gt;=DA$21,CX8&lt;&gt;""),AND(DR8&gt;=DV$17,DR8&lt;&gt;"",DS8&gt;=DV$21,DS8&lt;&gt;""),AND(EM8&gt;=EQ$17,EM8&lt;&gt;"",EN8&gt;=EQ$21,EN8&lt;&gt;""),AND(FH8&gt;=FL$17,FH8&lt;&gt;"",FI8&gt;=FL$21,FI8&lt;&gt;""),AND(GC8&gt;=GG$17,GC8&lt;&gt;"",GD8&gt;=GG$21,GD8&lt;&gt;""),AND(GX8&gt;=HB$17,GX8&lt;&gt;"",GY8&gt;=HB$21,GY8&lt;&gt;""),AND(HS8&gt;=HW$17,HS8&lt;&gt;"",HT8&gt;=HW$21,HT8&lt;&gt;""),AND(IN8&gt;=IR$17,IN8&lt;&gt;"",IO8&gt;=IR$21,IO8&lt;&gt;""),AND(JI8&gt;=JM$17,JI8&lt;&gt;"",JJ8&gt;=JM$21,JJ8&lt;&gt;""),AND(KD8&gt;=KH$17,KD8&lt;&gt;"",KE8&gt;=KH$21,KE8&lt;&gt;""),AND(KY8&gt;=LC$17,KY8&lt;&gt;"",KZ8&gt;=LC$21,KZ8&lt;&gt;""),AND(LT8&gt;=LX$17,LT8&lt;&gt;"",LU8&gt;=LX$21,LU8&lt;&gt;"")),"National Team","")))))</f>
        <v>National Team</v>
      </c>
      <c r="I8" s="3" t="str">
        <f>IF(OR(H8="Worlds Team",H8="Excellence",H8="Merit"),"P","")</f>
        <v/>
      </c>
      <c r="J8" s="14">
        <f>MAX(AL8,BH8,CD8)</f>
        <v>134.30000000000001</v>
      </c>
      <c r="K8" s="14" t="str">
        <f>IF(J8=0,"",IF(J8=CD8,$BI$1,IF(J8=BH8,$AM$1,IF(J8=AL8,$Q$1,""))))</f>
        <v>2019 Elite Canada</v>
      </c>
      <c r="L8" s="14">
        <f>IF(J8=AL8,MAX(BE8,BG8,CA8,CC8),IF(J8=BH8,MAX(AI8,AK8,CA8,CC8),MAX(AI8,AK8,BE8,BG8)))</f>
        <v>65.7</v>
      </c>
      <c r="M8" s="14" t="str">
        <f>IF(L8=0,"",IF(AND(J8&lt;&gt;CD8,OR(L8=CA8,L8=CC8)),$BI$1,IF(AND(J8&lt;&gt;BH8,OR(L8=BG8,L8=BE8)),$AM$1,IF(OR(L8=AK8,L8=AI8),$Q$1,""))))</f>
        <v>2019 Nationals</v>
      </c>
      <c r="N8" s="14" t="str">
        <f>IF(MAX(CE8:CF8)&gt;0,MAX(CE8:CF8),"")</f>
        <v/>
      </c>
      <c r="O8" s="25" t="str">
        <f>IF(N8="","",IF(N8=CE8,"(4 Pass)",IF(N8=CF8,"(2 Pass)")))</f>
        <v/>
      </c>
      <c r="P8" s="14" t="str">
        <f>IF(N8="","",IF(N8=CE8,IF(N8+IF(J8="",0,J8)=DA8,$CG$1,IF(N8+IF(J8="",0,J8)=DV8,$DB$1,IF(N8+IF(J8="",0,J8)=EQ8,$DW$1,IF(N8+IF(J8="",0,J8)=FL8,$ER$1,IF(N8+IF(J8="",0,J8)=GG8,$FM$1,IF(N8+IF(J8="",0,J8)=HB8,$GH$1,IF(N8+IF(J8="",0,J8)=HW8,$HC$1,IF(N8+IF(J8="",0,J8)=IR8,$HX$1,IF(N8+IF(J8="",0,J8)=JM8,$IS$1,IF(N8+IF(J8="",0,J8)=KH8,$JN$1,IF(N8+IF(J8="",0,J8)=LC8,$KI$1,IF(N8+IF(J8="",0,J8)=LX8,$LD$1)))))))))))),IF(N8=CF8,IF(OR(N8+IF(L8="",0,L8)=CX8,N8+IF(L8="",0,L8)=CZ8),$CG$1,IF(OR(N8+IF(L8="",0,L8)=DS8,N8+IF(L8="",0,L8)=DU8),$DB$1,IF(OR(N8+IF(L8="",0,L8)=EN8,N8+IF(L8="",0,L8)=EP8),$DW$1,IF(OR(N8+IF(L8="",0,L8)=FI8,N8+IF(L8="",0,L8)=FK8),$ER$1,IF(OR(N8+IF(L8="",0,L8)=GD8,N8+IF(L8="",0,L8)=GF8),$FM$1,IF(OR(N8+IF(L8="",0,L8)=GY8,N8+IF(L8="",0,L8)=HA8),$GH$1,IF(OR(N8+IF(L8="",0,L8)=HT8,N8+IF(L8="",0,L8)=HV8),$HC$1,IF(OR(N8+IF(L8="",0,L8)=IO8,N8+IF(L8="",0,L8)=IQ8),$HX$1,IF(OR(N8+IF(L8="",0,L8)=JJ8,N8+IF(L8="",0,L8)=JL8),$IS$1,IF(OR(N8+IF(L8="",0,L8)=KE8,N8+IF(L8="",0,L8)=KG8),$JN$1,IF(OR(N8+IF(L8="",0,L8)=KZ8,N8+IF(L8="",0,L8)=LB8),$KI$1,IF(OR(N8+IF(L8="",0,L8)=LU8,N8+IF(L8="",0,L8)=LW8),$LD$1)))))))))))))))</f>
        <v/>
      </c>
      <c r="Q8" s="69">
        <v>28.1</v>
      </c>
      <c r="R8" s="69">
        <v>6</v>
      </c>
      <c r="S8" s="69">
        <v>0</v>
      </c>
      <c r="T8" s="69">
        <v>0</v>
      </c>
      <c r="U8" s="69">
        <v>28.4</v>
      </c>
      <c r="V8" s="69">
        <v>5.6</v>
      </c>
      <c r="W8" s="69">
        <v>0</v>
      </c>
      <c r="X8" s="69">
        <v>0</v>
      </c>
      <c r="Y8" s="69">
        <v>27.3</v>
      </c>
      <c r="Z8" s="69">
        <v>5.2</v>
      </c>
      <c r="AA8" s="69">
        <v>0.3</v>
      </c>
      <c r="AB8" s="69">
        <v>0.5</v>
      </c>
      <c r="AC8" s="69">
        <v>28.3</v>
      </c>
      <c r="AD8" s="69">
        <v>5.2</v>
      </c>
      <c r="AE8" s="69">
        <v>0</v>
      </c>
      <c r="AF8" s="69">
        <v>0</v>
      </c>
      <c r="AG8" s="80"/>
      <c r="AH8" s="11">
        <f>IF(SUM(R8,V8)&gt;0,SUM(R8,V8),"")</f>
        <v>11.6</v>
      </c>
      <c r="AI8" s="11">
        <f>IF(SUM(Q8:R8,T8:V8,X8)-SUM(S8,W8)&gt;0,SUM(Q8:R8,T8:V8,X8)-SUM(S8,W8),"")</f>
        <v>68.099999999999994</v>
      </c>
      <c r="AJ8" s="11">
        <f>IF(SUM(Z8,AD8)&gt;0,SUM(Z8,AD8),"")</f>
        <v>10.4</v>
      </c>
      <c r="AK8" s="11">
        <f>IF(SUM(Y8:Z8,AB8:AD8,AF8)-SUM(AA8,AE8)&gt;0,SUM(Y8:Z8,AB8:AD8,AF8)-SUM(AA8,AE8),"")</f>
        <v>66.2</v>
      </c>
      <c r="AL8" s="11">
        <f>IF(SUM(AI8,AK8)&gt;0,SUM(AI8,AK8),"")</f>
        <v>134.30000000000001</v>
      </c>
      <c r="AM8" s="38">
        <v>28.3</v>
      </c>
      <c r="AN8" s="38">
        <v>6</v>
      </c>
      <c r="AO8" s="38">
        <v>0.3</v>
      </c>
      <c r="AP8" s="38">
        <v>0</v>
      </c>
      <c r="AQ8" s="38">
        <v>25.6</v>
      </c>
      <c r="AR8" s="38">
        <v>6.4</v>
      </c>
      <c r="AS8" s="38">
        <v>0.3</v>
      </c>
      <c r="AT8" s="38">
        <v>0</v>
      </c>
      <c r="AU8" s="38">
        <v>27</v>
      </c>
      <c r="AV8" s="38">
        <v>5.2</v>
      </c>
      <c r="AW8" s="38">
        <v>1.2</v>
      </c>
      <c r="AX8" s="38">
        <v>0.5</v>
      </c>
      <c r="AY8" s="38">
        <v>28.2</v>
      </c>
      <c r="AZ8" s="38">
        <v>5.2</v>
      </c>
      <c r="BA8" s="38">
        <v>0</v>
      </c>
      <c r="BB8" s="38">
        <v>0</v>
      </c>
      <c r="BC8" s="81"/>
      <c r="BD8" s="14">
        <f>IF(SUM(AN8,AR8)&gt;0,SUM(AN8,AR8),"")</f>
        <v>12.4</v>
      </c>
      <c r="BE8" s="14">
        <f>IF(SUM(AM8:AN8,AP8:AR8,AT8)-SUM(AO8,AS8)&gt;0,SUM(AM8:AN8,AP8:AR8,AT8)-SUM(AO8,AS8),"")</f>
        <v>65.7</v>
      </c>
      <c r="BF8" s="14">
        <f>IF(SUM(AV8,AZ8)&gt;0,SUM(AV8,AZ8),"")</f>
        <v>10.4</v>
      </c>
      <c r="BG8" s="14">
        <f>IF(SUM(AU8:AV8,AX8:AZ8,BB8)-SUM(AW8,BA8)&gt;0,SUM(AU8:AV8,AX8:AZ8,BB8)-SUM(AW8,BA8),"")</f>
        <v>64.900000000000006</v>
      </c>
      <c r="BH8" s="14">
        <f>IF(SUM(BE8,BG8)&gt;0,SUM(BE8,BG8),"")</f>
        <v>130.60000000000002</v>
      </c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80"/>
      <c r="BZ8" s="11" t="str">
        <f>IF(SUM(BJ8,BN8)&gt;0,SUM(BJ8,BN8),"")</f>
        <v/>
      </c>
      <c r="CA8" s="11" t="str">
        <f>IF(SUM(BI8:BJ8,BL8:BN8,BP8)-SUM(BK8,BO8)&gt;0,SUM(BI8:BJ8,BL8:BN8,BP8)-SUM(BK8,BO8),"")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4" t="str">
        <f>IF(MAX(DA8,DV8,EQ8,FL8,GG8,HB8,HW8,IR8,JM8,KH8,LC8,LX8)-IF(J8="",0,J8)&gt;0.001,MAX(DA8,DV8,EQ8,FL8,GG8,HB8,HW8,IR8,JM8,KH8,LC8,LX8)-IF(J8="",0,J8),"")</f>
        <v/>
      </c>
      <c r="CF8" s="24" t="str">
        <f>IF(MAX(CX8,CZ8,DS8,DU8,EN8,EP8,FI8,FK8,GD8,GF8,GY8,HA8,HT8,HV8,IO8,IQ8,JJ8,JL8,KE8,KG8,KZ8,LB8,LU8,LW8)-IF(L8="",0,L8)&gt;0.001,MAX(CX8,CZ8,DS8,DU8,EN8,EP8,FI8,FK8,GD8,GF8,GY8,HA8,HT8,HV8,IO8,IQ8,JJ8,JL8,KE8,KG8,KZ8,LB8,LU8,LW8)-IF(L8="",0,L8),"")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43">
        <v>27.4</v>
      </c>
      <c r="DC8" s="43">
        <v>4.4000000000000004</v>
      </c>
      <c r="DD8" s="43">
        <v>0</v>
      </c>
      <c r="DE8" s="43">
        <v>0</v>
      </c>
      <c r="DF8" s="43">
        <v>25.2</v>
      </c>
      <c r="DG8" s="43">
        <v>6.4</v>
      </c>
      <c r="DH8" s="43">
        <v>0</v>
      </c>
      <c r="DI8" s="43">
        <v>0</v>
      </c>
      <c r="DJ8" s="43"/>
      <c r="DK8" s="43"/>
      <c r="DL8" s="43"/>
      <c r="DM8" s="43"/>
      <c r="DN8" s="43"/>
      <c r="DO8" s="43"/>
      <c r="DP8" s="43"/>
      <c r="DQ8" s="43"/>
      <c r="DR8" s="14">
        <f>IF(SUM(DC8,DG8)&gt;0,SUM(DC8,DG8),"")</f>
        <v>10.8</v>
      </c>
      <c r="DS8" s="14">
        <f>IF(SUM(DB8:DC8,DE8:DG8,DI8)-SUM(DD8,DH8)&gt;0,SUM(DB8:DC8,DE8:DG8,DI8)-SUM(DD8,DH8),"")</f>
        <v>63.4</v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>
        <f>IF(SUM(DS8,DU8)&gt;0,SUM(DS8,DU8),"")</f>
        <v>63.4</v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14.15</v>
      </c>
      <c r="LZ8" s="69">
        <f>IF($BY8="P",BJ8,(BJ8+AN8)/2)</f>
        <v>3</v>
      </c>
      <c r="MA8" s="69">
        <f>IF($BY8="P",BK8,(BK8+AO8)/2)</f>
        <v>0.15</v>
      </c>
      <c r="MB8" s="69">
        <f>IF($BY8="P",BL8,(BL8+AP8)/2)</f>
        <v>0</v>
      </c>
      <c r="MC8" s="69">
        <f>IF($BY8="P",BM8,(BM8+AQ8)/2)</f>
        <v>12.8</v>
      </c>
      <c r="MD8" s="69">
        <f>IF($BY8="P",BN8,(BN8+AR8)/2)</f>
        <v>3.2</v>
      </c>
      <c r="ME8" s="69">
        <f>IF($BY8="P",BO8,(BO8+AS8)/2)</f>
        <v>0.15</v>
      </c>
      <c r="MF8" s="69">
        <f>IF($BY8="P",BP8,(BP8+AT8)/2)</f>
        <v>0</v>
      </c>
      <c r="MG8" s="69">
        <f>IF($BY8="P",BQ8,(BQ8+AU8)/2)</f>
        <v>13.5</v>
      </c>
      <c r="MH8" s="69">
        <f>IF($BY8="P",BR8,(BR8+AV8)/2)</f>
        <v>2.6</v>
      </c>
      <c r="MI8" s="69">
        <f>IF($BY8="P",BS8,(BS8+AW8)/2)</f>
        <v>0.6</v>
      </c>
      <c r="MJ8" s="69">
        <f>IF($BY8="P",BT8,(BT8+AX8)/2)</f>
        <v>0.25</v>
      </c>
      <c r="MK8" s="69">
        <f>IF($BY8="P",BU8,(BU8+AY8)/2)</f>
        <v>14.1</v>
      </c>
      <c r="ML8" s="69">
        <f>IF($BY8="P",BV8,(BV8+AZ8)/2)</f>
        <v>2.6</v>
      </c>
      <c r="MM8" s="69">
        <f>IF($BY8="P",BW8,(BW8+BA8)/2)</f>
        <v>0</v>
      </c>
      <c r="MN8" s="69">
        <f>IF($BY8="P",BX8,(BX8+BB8)/2)</f>
        <v>0</v>
      </c>
      <c r="MO8" s="80" t="s">
        <v>91</v>
      </c>
      <c r="MP8" s="11">
        <f>IF(SUM(LZ8,MD8)&gt;0,SUM(LZ8,MD8),"")</f>
        <v>6.2</v>
      </c>
      <c r="MQ8" s="11">
        <f>IF(SUM(LY8:LZ8,MB8:MD8,MF8)-SUM(MA8,ME8)&gt;0,SUM(LY8:LZ8,MB8:MD8,MF8)-SUM(MA8,ME8),"")</f>
        <v>32.85</v>
      </c>
      <c r="MR8" s="11">
        <f>IF(SUM(MH8,ML8)&gt;0,SUM(MH8,ML8),"")</f>
        <v>5.2</v>
      </c>
      <c r="MS8" s="11">
        <f>IF(SUM(MG8:MH8,MJ8:ML8,MN8)-SUM(MI8,MM8)&gt;0,SUM(MG8:MH8,MJ8:ML8,MN8)-SUM(MI8,MM8),"")</f>
        <v>32.450000000000003</v>
      </c>
      <c r="MT8" s="11">
        <f>IF(SUM(MQ8,MS8)&gt;0,SUM(MQ8,MS8),"")</f>
        <v>65.300000000000011</v>
      </c>
    </row>
    <row r="9" spans="1:358" x14ac:dyDescent="0.2">
      <c r="A9" s="5">
        <f>IF(AND(F9="P",G9="P"),SUMPRODUCT((F$4:F$15="P")*(G$4:G$15="P")*(E$4:E$15&gt;E9))+1,IF(G9="P",SUMPRODUCT((F$4:F$15="")*(G$4:G$15="P")*(E$4:E$15&gt;E9))+1+SUMPRODUCT((F$4:F$15="P")*(G$4:G$15="P")),""))</f>
        <v>6</v>
      </c>
      <c r="B9" s="8" t="s">
        <v>81</v>
      </c>
      <c r="C9" s="4" t="s">
        <v>5</v>
      </c>
      <c r="D9" s="5">
        <v>1999</v>
      </c>
      <c r="E9" s="15">
        <f>SUM(J9:N9)</f>
        <v>203.2</v>
      </c>
      <c r="F9" s="3" t="str">
        <f>IF(OR(AND(AH9&gt;=AL$17,AI9&gt;=AL$21,AI9&lt;&gt;"",AG9=""),AND(BD9&gt;=BH$17,BE9&gt;=BH$21,BE9&lt;&gt;"",BC9=""),AND(BZ9&gt;=CD$17,CA9&gt;=CD$21,CA9&lt;&gt;"",BY9=""),AND(CW9&gt;=DA$17,CX9&gt;=DA$21,CX9&lt;&gt;""),AND(DR9&gt;=DV$17,DS9&gt;=DV$21,DS9&lt;&gt;""),AND(EM9&gt;=EQ$17,EN9&gt;=EQ$21,EN9&lt;&gt;""),AND(FH9&gt;=FL$17,FI9&gt;=FL$21,FI9&lt;&gt;""),AND(GC9&gt;=GG$17,GD9&gt;=GG$21,GD9&lt;&gt;""),AND(GX9&gt;=HB$17,GY9&gt;=HB$21,GY9&lt;&gt;""),AND(HS9&gt;=HW$17,HT9&gt;=HW$21,HT9&lt;&gt;""),AND(IN9&gt;=IR$17,IO9&gt;=IR$21,IO9&lt;&gt;""),AND(JI9&gt;=JM$17,JJ9&gt;=JM$21,JJ9&lt;&gt;""),AND(KD9&gt;=KH$17,KE9&gt;=KH$21,KE9&lt;&gt;""),AND(KY9&gt;=LC$17,KZ9&gt;=LC$21,KZ9&lt;&gt;""),AND(LT9&gt;=LX$17,LU9&gt;=LX$21,LU9&lt;&gt;"")),"P","")</f>
        <v/>
      </c>
      <c r="G9" s="3" t="str">
        <f>IF(OR(AND(AI9&gt;=AL$21,AI9&lt;&gt;"",AG9=""),AND(BE9&gt;=BH$21,BE9&lt;&gt;"",BC9=""),AND(CA9&gt;=CD$21,CA9&lt;&gt;"",BY9=""),AND(CX9&gt;=DA$21,CX9&lt;&gt;""),AND(DS9&gt;=DV$21,DS9&lt;&gt;""),AND(EN9&gt;=EQ$21,EN9&lt;&gt;""),AND(FI9&gt;=FL$21,FI9&lt;&gt;""),AND(GD9&gt;=GG$21,GD9&lt;&gt;""),AND(GY9&gt;=HB$21,GY9&lt;&gt;""),AND(HT9&gt;=HW$21,HT9&lt;&gt;""),AND(IO9&gt;=IR$21,IO9&lt;&gt;""),AND(JJ9&gt;=JM$21,JJ9&lt;&gt;""),AND(KE9&gt;=KH$21,KE9&lt;&gt;""),AND(KZ9&gt;=LC$21,KZ9&lt;&gt;""),AND(LU9&gt;=LX$21,LU9&lt;&gt;"")),"P","")</f>
        <v>P</v>
      </c>
      <c r="H9" s="126" t="str">
        <f>IF(AND(G9="P",F9=""),"No DD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Merit",IF(OR(AND(AH9&gt;=AL$19,AH9&lt;&gt;"",AI9&gt;=AL$23,AI9&lt;&gt;"",AG9=""),AND(BD9&gt;=BH$19,BD9&lt;&gt;"",BE9&gt;=BH$23,BE9&lt;&gt;"",BC9=""),AND(BZ9&gt;=CD$19,BZ9&lt;&gt;"",CA9&gt;=CD$23,CA9&lt;&gt;"",BY9=""),AND(CW9&gt;=DA$19,CW9&lt;&gt;"",CX9&gt;=DA$23,CX9&lt;&gt;""),AND(DR9&gt;=DV$19,DR9&lt;&gt;"",DS9&gt;=DV$23,DS9&lt;&gt;""),AND(EM9&gt;=EQ$19,EM9&lt;&gt;"",EN9&gt;=EQ$23,EN9&lt;&gt;""),AND(FH9&gt;=FL$19,FH9&lt;&gt;"",FI9&gt;=FL$23,FI9&lt;&gt;""),AND(GC9&gt;=GG$19,GC9&lt;&gt;"",GD9&gt;=GG$23,GD9&lt;&gt;""),AND(GX9&gt;=HB$19,GX9&lt;&gt;"",GY9&gt;=HB$23,GY9&lt;&gt;""),AND(HS9&gt;=HW$19,HS9&lt;&gt;"",HT9&gt;=HW$23,HT9&lt;&gt;""),AND(IN9&gt;=IR$19,IN9&lt;&gt;"",IO9&gt;=IR$23,IO9&lt;&gt;""),AND(JI9&gt;=JM$19,JI9&lt;&gt;"",JJ9&gt;=JM$23,JJ9&lt;&gt;""),AND(KD9&gt;=KH$19,KD9&lt;&gt;"",KE9&gt;=KH$23,KE9&lt;&gt;""),AND(KY9&gt;=LC$19,KY9&lt;&gt;"",KZ9&gt;=LC$23,KZ9&lt;&gt;""),AND(LT9&gt;=LX$19,LT9&lt;&gt;"",LU9&gt;=LX$23,LU9&lt;&gt;"")),"Excellence",IF(OR(AND(AH9&gt;=AL$18,AH9&lt;&gt;"",AI9&gt;=AL$22,AI9&lt;&gt;"",AG9=""),AND(BD9&gt;=BH$18,BD9&lt;&gt;"",BE9&gt;=BH$22,BE9&lt;&gt;"",BC9=""),AND(BZ9&gt;=CD$18,BZ9&lt;&gt;"",CA9&gt;=CD$22,CA9&lt;&gt;"",BY9=""),AND(CW9&gt;=DA$18,CW9&lt;&gt;"",CX9&gt;=DA$22,CX9&lt;&gt;""),AND(DR9&gt;=DV$18,DR9&lt;&gt;"",DS9&gt;=DV$22,DS9&lt;&gt;""),AND(EM9&gt;=EQ$18,EM9&lt;&gt;"",EN9&gt;=EQ$22,EN9&lt;&gt;""),AND(FH9&gt;=FL$18,FH9&lt;&gt;"",FI9&gt;=FL$22,FI9&lt;&gt;""),AND(GC9&gt;=GG$18,GC9&lt;&gt;"",GD9&gt;=GG$22,GD9&lt;&gt;""),AND(GX9&gt;=HB$18,GX9&lt;&gt;"",GY9&gt;=HB$22,GY9&lt;&gt;""),AND(HS9&gt;=HW$18,HS9&lt;&gt;"",HT9&gt;=HW$22,HT9&lt;&gt;""),AND(IN9&gt;=IR$18,IN9&lt;&gt;"",IO9&gt;=IR$22,IO9&lt;&gt;""),AND(JI9&gt;=JM$18,JI9&lt;&gt;"",JJ9&gt;=JM$22,JJ9&lt;&gt;""),AND(KD9&gt;=KH$18,KD9&lt;&gt;"",KE9&gt;=KH$22,KE9&lt;&gt;""),AND(KY9&gt;=LC$18,KY9&lt;&gt;"",KZ9&gt;=LC$22,KZ9&lt;&gt;""),AND(LT9&gt;=LX$18,LT9&lt;&gt;"",LU9&gt;=LX$22,LU9&lt;&gt;"")),"Worlds Team",IF(OR(AND(AH9&gt;=AL$17,AH9&lt;&gt;"",AI9&gt;=AL$21,AI9&lt;&gt;"",AG9=""),AND(BD9&gt;=BH$17,BD9&lt;&gt;"",BE9&gt;=BH$21,BE9&lt;&gt;"",BC9=""),AND(BZ9&gt;=CD$17,BZ9&lt;&gt;"",CA9&gt;=CD$21,CA9&lt;&gt;"",BY9=""),AND(CW9&gt;=DA$17,CW9&lt;&gt;"",CX9&gt;=DA$21,CX9&lt;&gt;""),AND(DR9&gt;=DV$17,DR9&lt;&gt;"",DS9&gt;=DV$21,DS9&lt;&gt;""),AND(EM9&gt;=EQ$17,EM9&lt;&gt;"",EN9&gt;=EQ$21,EN9&lt;&gt;""),AND(FH9&gt;=FL$17,FH9&lt;&gt;"",FI9&gt;=FL$21,FI9&lt;&gt;""),AND(GC9&gt;=GG$17,GC9&lt;&gt;"",GD9&gt;=GG$21,GD9&lt;&gt;""),AND(GX9&gt;=HB$17,GX9&lt;&gt;"",GY9&gt;=HB$21,GY9&lt;&gt;""),AND(HS9&gt;=HW$17,HS9&lt;&gt;"",HT9&gt;=HW$21,HT9&lt;&gt;""),AND(IN9&gt;=IR$17,IN9&lt;&gt;"",IO9&gt;=IR$21,IO9&lt;&gt;""),AND(JI9&gt;=JM$17,JI9&lt;&gt;"",JJ9&gt;=JM$21,JJ9&lt;&gt;""),AND(KD9&gt;=KH$17,KD9&lt;&gt;"",KE9&gt;=KH$21,KE9&lt;&gt;""),AND(KY9&gt;=LC$17,KY9&lt;&gt;"",KZ9&gt;=LC$21,KZ9&lt;&gt;""),AND(LT9&gt;=LX$17,LT9&lt;&gt;"",LU9&gt;=LX$21,LU9&lt;&gt;"")),"National Team","")))))</f>
        <v>No DD</v>
      </c>
      <c r="I9" s="3" t="str">
        <f>IF(OR(H9="Worlds Team",H9="Excellence",H9="Merit"),"P","")</f>
        <v/>
      </c>
      <c r="J9" s="14">
        <f>MAX(AL9,BH9,CD9)</f>
        <v>135.30000000000001</v>
      </c>
      <c r="K9" s="14" t="str">
        <f>IF(J9=0,"",IF(J9=CD9,$BI$1,IF(J9=BH9,$AM$1,IF(J9=AL9,$Q$1,""))))</f>
        <v>2019 Elite Canada</v>
      </c>
      <c r="L9" s="14">
        <f>IF(J9=AL9,MAX(BE9,BG9,CA9,CC9),IF(J9=BH9,MAX(AI9,AK9,CA9,CC9),MAX(AI9,AK9,BE9,BG9)))</f>
        <v>67.899999999999991</v>
      </c>
      <c r="M9" s="14" t="str">
        <f>IF(L9=0,"",IF(AND(J9&lt;&gt;CD9,OR(L9=CA9,L9=CC9)),$BI$1,IF(AND(J9&lt;&gt;BH9,OR(L9=BG9,L9=BE9)),$AM$1,IF(OR(L9=AK9,L9=AI9),$Q$1,""))))</f>
        <v>2019 Nationals</v>
      </c>
      <c r="N9" s="14" t="str">
        <f>IF(MAX(CE9:CF9)&gt;0,MAX(CE9:CF9),"")</f>
        <v/>
      </c>
      <c r="O9" s="25" t="str">
        <f>IF(N9="","",IF(N9=CE9,"(4 Pass)",IF(N9=CF9,"(2 Pass)")))</f>
        <v/>
      </c>
      <c r="P9" s="14" t="str">
        <f>IF(N9="","",IF(N9=CE9,IF(N9+IF(J9="",0,J9)=DA9,$CG$1,IF(N9+IF(J9="",0,J9)=DV9,$DB$1,IF(N9+IF(J9="",0,J9)=EQ9,$DW$1,IF(N9+IF(J9="",0,J9)=FL9,$ER$1,IF(N9+IF(J9="",0,J9)=GG9,$FM$1,IF(N9+IF(J9="",0,J9)=HB9,$GH$1,IF(N9+IF(J9="",0,J9)=HW9,$HC$1,IF(N9+IF(J9="",0,J9)=IR9,$HX$1,IF(N9+IF(J9="",0,J9)=JM9,$IS$1,IF(N9+IF(J9="",0,J9)=KH9,$JN$1,IF(N9+IF(J9="",0,J9)=LC9,$KI$1,IF(N9+IF(J9="",0,J9)=LX9,$LD$1)))))))))))),IF(N9=CF9,IF(OR(N9+IF(L9="",0,L9)=CX9,N9+IF(L9="",0,L9)=CZ9),$CG$1,IF(OR(N9+IF(L9="",0,L9)=DS9,N9+IF(L9="",0,L9)=DU9),$DB$1,IF(OR(N9+IF(L9="",0,L9)=EN9,N9+IF(L9="",0,L9)=EP9),$DW$1,IF(OR(N9+IF(L9="",0,L9)=FI9,N9+IF(L9="",0,L9)=FK9),$ER$1,IF(OR(N9+IF(L9="",0,L9)=GD9,N9+IF(L9="",0,L9)=GF9),$FM$1,IF(OR(N9+IF(L9="",0,L9)=GY9,N9+IF(L9="",0,L9)=HA9),$GH$1,IF(OR(N9+IF(L9="",0,L9)=HT9,N9+IF(L9="",0,L9)=HV9),$HC$1,IF(OR(N9+IF(L9="",0,L9)=IO9,N9+IF(L9="",0,L9)=IQ9),$HX$1,IF(OR(N9+IF(L9="",0,L9)=JJ9,N9+IF(L9="",0,L9)=JL9),$IS$1,IF(OR(N9+IF(L9="",0,L9)=KE9,N9+IF(L9="",0,L9)=KG9),$JN$1,IF(OR(N9+IF(L9="",0,L9)=KZ9,N9+IF(L9="",0,L9)=LB9),$KI$1,IF(OR(N9+IF(L9="",0,L9)=LU9,N9+IF(L9="",0,L9)=LW9),$LD$1)))))))))))))))</f>
        <v/>
      </c>
      <c r="Q9" s="69">
        <v>28.5</v>
      </c>
      <c r="R9" s="69">
        <v>5.6</v>
      </c>
      <c r="S9" s="69">
        <v>0</v>
      </c>
      <c r="T9" s="69">
        <v>0</v>
      </c>
      <c r="U9" s="69">
        <v>28.2</v>
      </c>
      <c r="V9" s="69">
        <v>5.6</v>
      </c>
      <c r="W9" s="69">
        <v>0</v>
      </c>
      <c r="X9" s="69">
        <v>0</v>
      </c>
      <c r="Y9" s="69">
        <v>28.1</v>
      </c>
      <c r="Z9" s="69">
        <v>5.2</v>
      </c>
      <c r="AA9" s="69">
        <v>0</v>
      </c>
      <c r="AB9" s="69">
        <v>0.5</v>
      </c>
      <c r="AC9" s="69">
        <v>28.4</v>
      </c>
      <c r="AD9" s="69">
        <v>5.2</v>
      </c>
      <c r="AE9" s="69">
        <v>0</v>
      </c>
      <c r="AF9" s="69">
        <v>0</v>
      </c>
      <c r="AG9" s="80"/>
      <c r="AH9" s="11">
        <f>IF(SUM(R9,V9)&gt;0,SUM(R9,V9),"")</f>
        <v>11.2</v>
      </c>
      <c r="AI9" s="11">
        <f>IF(SUM(Q9:R9,T9:V9,X9)-SUM(S9,W9)&gt;0,SUM(Q9:R9,T9:V9,X9)-SUM(S9,W9),"")</f>
        <v>67.899999999999991</v>
      </c>
      <c r="AJ9" s="11">
        <f>IF(SUM(Z9,AD9)&gt;0,SUM(Z9,AD9),"")</f>
        <v>10.4</v>
      </c>
      <c r="AK9" s="11">
        <f>IF(SUM(Y9:Z9,AB9:AD9,AF9)-SUM(AA9,AE9)&gt;0,SUM(Y9:Z9,AB9:AD9,AF9)-SUM(AA9,AE9),"")</f>
        <v>67.400000000000006</v>
      </c>
      <c r="AL9" s="11">
        <f>IF(SUM(AI9,AK9)&gt;0,SUM(AI9,AK9),"")</f>
        <v>135.30000000000001</v>
      </c>
      <c r="AM9" s="38">
        <v>28.5</v>
      </c>
      <c r="AN9" s="38">
        <v>5.6</v>
      </c>
      <c r="AO9" s="38">
        <v>0</v>
      </c>
      <c r="AP9" s="38">
        <v>0</v>
      </c>
      <c r="AQ9" s="38">
        <v>28.2</v>
      </c>
      <c r="AR9" s="38">
        <v>5.6</v>
      </c>
      <c r="AS9" s="38">
        <v>0</v>
      </c>
      <c r="AT9" s="38">
        <v>0</v>
      </c>
      <c r="AU9" s="38">
        <v>19.600000000000001</v>
      </c>
      <c r="AV9" s="38">
        <v>3.6</v>
      </c>
      <c r="AW9" s="38">
        <v>0</v>
      </c>
      <c r="AX9" s="38">
        <v>0.5</v>
      </c>
      <c r="AY9" s="38">
        <v>27.5</v>
      </c>
      <c r="AZ9" s="38">
        <v>5.2</v>
      </c>
      <c r="BA9" s="38">
        <v>0</v>
      </c>
      <c r="BB9" s="38">
        <v>0</v>
      </c>
      <c r="BC9" s="81"/>
      <c r="BD9" s="14">
        <f>IF(SUM(AN9,AR9)&gt;0,SUM(AN9,AR9),"")</f>
        <v>11.2</v>
      </c>
      <c r="BE9" s="14">
        <f>IF(SUM(AM9:AN9,AP9:AR9,AT9)-SUM(AO9,AS9)&gt;0,SUM(AM9:AN9,AP9:AR9,AT9)-SUM(AO9,AS9),"")</f>
        <v>67.899999999999991</v>
      </c>
      <c r="BF9" s="14">
        <f>IF(SUM(AV9,AZ9)&gt;0,SUM(AV9,AZ9),"")</f>
        <v>8.8000000000000007</v>
      </c>
      <c r="BG9" s="14">
        <f>IF(SUM(AU9:AV9,AX9:AZ9,BB9)-SUM(AW9,BA9)&gt;0,SUM(AU9:AV9,AX9:AZ9,BB9)-SUM(AW9,BA9),"")</f>
        <v>56.400000000000006</v>
      </c>
      <c r="BH9" s="14">
        <f>IF(SUM(BE9,BG9)&gt;0,SUM(BE9,BG9),"")</f>
        <v>124.3</v>
      </c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  <c r="BY9" s="80"/>
      <c r="BZ9" s="11" t="str">
        <f>IF(SUM(BJ9,BN9)&gt;0,SUM(BJ9,BN9),"")</f>
        <v/>
      </c>
      <c r="CA9" s="11" t="str">
        <f>IF(SUM(BI9:BJ9,BL9:BN9,BP9)-SUM(BK9,BO9)&gt;0,SUM(BI9:BJ9,BL9:BN9,BP9)-SUM(BK9,BO9),"")</f>
        <v/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 t="str">
        <f>IF(SUM(CA9,CC9)&gt;0,SUM(CA9,CC9),"")</f>
        <v/>
      </c>
      <c r="CE9" s="24" t="str">
        <f>IF(MAX(DA9,DV9,EQ9,FL9,GG9,HB9,HW9,IR9,JM9,KH9,LC9,LX9)-IF(J9="",0,J9)&gt;0.001,MAX(DA9,DV9,EQ9,FL9,GG9,HB9,HW9,IR9,JM9,KH9,LC9,LX9)-IF(J9="",0,J9),"")</f>
        <v/>
      </c>
      <c r="CF9" s="24" t="str">
        <f>IF(MAX(CX9,CZ9,DS9,DU9,EN9,EP9,FI9,FK9,GD9,GF9,GY9,HA9,HT9,HV9,IO9,IQ9,JJ9,JL9,KE9,KG9,KZ9,LB9,LU9,LW9)-IF(L9="",0,L9)&gt;0.001,MAX(CX9,CZ9,DS9,DU9,EN9,EP9,FI9,FK9,GD9,GF9,GY9,HA9,HT9,HV9,IO9,IQ9,JJ9,JL9,KE9,KG9,KZ9,LB9,LU9,LW9)-IF(L9="",0,L9),"")</f>
        <v/>
      </c>
      <c r="CG9" s="44">
        <v>28.5</v>
      </c>
      <c r="CH9" s="44">
        <v>5.6</v>
      </c>
      <c r="CI9" s="44">
        <v>0</v>
      </c>
      <c r="CJ9" s="44">
        <v>0</v>
      </c>
      <c r="CK9" s="44">
        <v>28</v>
      </c>
      <c r="CL9" s="44">
        <v>5.6</v>
      </c>
      <c r="CM9" s="44">
        <v>0</v>
      </c>
      <c r="CN9" s="44">
        <v>0</v>
      </c>
      <c r="CO9" s="44"/>
      <c r="CP9" s="44"/>
      <c r="CQ9" s="44"/>
      <c r="CR9" s="44"/>
      <c r="CS9" s="44"/>
      <c r="CT9" s="44"/>
      <c r="CU9" s="44"/>
      <c r="CV9" s="44"/>
      <c r="CW9" s="11">
        <f>IF(SUM(CH9,CL9)&gt;0,SUM(CH9,CL9),"")</f>
        <v>11.2</v>
      </c>
      <c r="CX9" s="11">
        <f>IF(SUM(CG9:CH9,CJ9:CL9,CN9)-SUM(CI9,CM9)&gt;0,SUM(CG9:CH9,CJ9:CL9,CN9)-SUM(CI9,CM9),"")</f>
        <v>67.7</v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>
        <f>IF(SUM(CX9,CZ9)&gt;0,SUM(CX9,CZ9),"")</f>
        <v>67.7</v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14.25</v>
      </c>
      <c r="LZ9" s="69">
        <f>IF($BY9="P",BJ9,(BJ9+AN9)/2)</f>
        <v>2.8</v>
      </c>
      <c r="MA9" s="69">
        <f>IF($BY9="P",BK9,(BK9+AO9)/2)</f>
        <v>0</v>
      </c>
      <c r="MB9" s="69">
        <f>IF($BY9="P",BL9,(BL9+AP9)/2)</f>
        <v>0</v>
      </c>
      <c r="MC9" s="69">
        <f>IF($BY9="P",BM9,(BM9+AQ9)/2)</f>
        <v>14.1</v>
      </c>
      <c r="MD9" s="69">
        <f>IF($BY9="P",BN9,(BN9+AR9)/2)</f>
        <v>2.8</v>
      </c>
      <c r="ME9" s="69">
        <f>IF($BY9="P",BO9,(BO9+AS9)/2)</f>
        <v>0</v>
      </c>
      <c r="MF9" s="69">
        <f>IF($BY9="P",BP9,(BP9+AT9)/2)</f>
        <v>0</v>
      </c>
      <c r="MG9" s="69">
        <f>IF($BY9="P",BQ9,(BQ9+AU9)/2)</f>
        <v>9.8000000000000007</v>
      </c>
      <c r="MH9" s="69">
        <f>IF($BY9="P",BR9,(BR9+AV9)/2)</f>
        <v>1.8</v>
      </c>
      <c r="MI9" s="69">
        <f>IF($BY9="P",BS9,(BS9+AW9)/2)</f>
        <v>0</v>
      </c>
      <c r="MJ9" s="69">
        <f>IF($BY9="P",BT9,(BT9+AX9)/2)</f>
        <v>0.25</v>
      </c>
      <c r="MK9" s="69">
        <f>IF($BY9="P",BU9,(BU9+AY9)/2)</f>
        <v>13.75</v>
      </c>
      <c r="ML9" s="69">
        <f>IF($BY9="P",BV9,(BV9+AZ9)/2)</f>
        <v>2.6</v>
      </c>
      <c r="MM9" s="69">
        <f>IF($BY9="P",BW9,(BW9+BA9)/2)</f>
        <v>0</v>
      </c>
      <c r="MN9" s="69">
        <f>IF($BY9="P",BX9,(BX9+BB9)/2)</f>
        <v>0</v>
      </c>
      <c r="MO9" s="80" t="s">
        <v>91</v>
      </c>
      <c r="MP9" s="11">
        <f>IF(SUM(LZ9,MD9)&gt;0,SUM(LZ9,MD9),"")</f>
        <v>5.6</v>
      </c>
      <c r="MQ9" s="11">
        <f>IF(SUM(LY9:LZ9,MB9:MD9,MF9)-SUM(MA9,ME9)&gt;0,SUM(LY9:LZ9,MB9:MD9,MF9)-SUM(MA9,ME9),"")</f>
        <v>33.949999999999996</v>
      </c>
      <c r="MR9" s="11">
        <f>IF(SUM(MH9,ML9)&gt;0,SUM(MH9,ML9),"")</f>
        <v>4.4000000000000004</v>
      </c>
      <c r="MS9" s="11">
        <f>IF(SUM(MG9:MH9,MJ9:ML9,MN9)-SUM(MI9,MM9)&gt;0,SUM(MG9:MH9,MJ9:ML9,MN9)-SUM(MI9,MM9),"")</f>
        <v>28.200000000000003</v>
      </c>
      <c r="MT9" s="11">
        <f>IF(SUM(MQ9,MS9)&gt;0,SUM(MQ9,MS9),"")</f>
        <v>62.15</v>
      </c>
    </row>
    <row r="10" spans="1:358" x14ac:dyDescent="0.2">
      <c r="A10" s="5" t="str">
        <f>IF(AND(F10="P",G10="P"),SUMPRODUCT((F$4:F$15="P")*(G$4:G$15="P")*(E$4:E$15&gt;E10))+1,IF(G10="P",SUMPRODUCT((F$4:F$15="")*(G$4:G$15="P")*(E$4:E$15&gt;E10))+1+SUMPRODUCT((F$4:F$15="P")*(G$4:G$15="P")),""))</f>
        <v/>
      </c>
      <c r="B10" s="8" t="s">
        <v>85</v>
      </c>
      <c r="C10" s="4" t="s">
        <v>5</v>
      </c>
      <c r="D10" s="5">
        <v>2000</v>
      </c>
      <c r="E10" s="15">
        <f>SUM(J10:N10)</f>
        <v>196.85</v>
      </c>
      <c r="F10" s="3" t="str">
        <f>IF(OR(AND(AH10&gt;=AL$17,AI10&gt;=AL$21,AI10&lt;&gt;"",AG10=""),AND(BD10&gt;=BH$17,BE10&gt;=BH$21,BE10&lt;&gt;"",BC10=""),AND(BZ10&gt;=CD$17,CA10&gt;=CD$21,CA10&lt;&gt;"",BY10=""),AND(CW10&gt;=DA$17,CX10&gt;=DA$21,CX10&lt;&gt;""),AND(DR10&gt;=DV$17,DS10&gt;=DV$21,DS10&lt;&gt;""),AND(EM10&gt;=EQ$17,EN10&gt;=EQ$21,EN10&lt;&gt;""),AND(FH10&gt;=FL$17,FI10&gt;=FL$21,FI10&lt;&gt;""),AND(GC10&gt;=GG$17,GD10&gt;=GG$21,GD10&lt;&gt;""),AND(GX10&gt;=HB$17,GY10&gt;=HB$21,GY10&lt;&gt;""),AND(HS10&gt;=HW$17,HT10&gt;=HW$21,HT10&lt;&gt;""),AND(IN10&gt;=IR$17,IO10&gt;=IR$21,IO10&lt;&gt;""),AND(JI10&gt;=JM$17,JJ10&gt;=JM$21,JJ10&lt;&gt;""),AND(KD10&gt;=KH$17,KE10&gt;=KH$21,KE10&lt;&gt;""),AND(KY10&gt;=LC$17,KZ10&gt;=LC$21,KZ10&lt;&gt;""),AND(LT10&gt;=LX$17,LU10&gt;=LX$21,LU10&lt;&gt;"")),"P","")</f>
        <v/>
      </c>
      <c r="G10" s="3" t="str">
        <f>IF(OR(AND(AI10&gt;=AL$21,AI10&lt;&gt;"",AG10=""),AND(BE10&gt;=BH$21,BE10&lt;&gt;"",BC10=""),AND(CA10&gt;=CD$21,CA10&lt;&gt;"",BY10=""),AND(CX10&gt;=DA$21,CX10&lt;&gt;""),AND(DS10&gt;=DV$21,DS10&lt;&gt;""),AND(EN10&gt;=EQ$21,EN10&lt;&gt;""),AND(FI10&gt;=FL$21,FI10&lt;&gt;""),AND(GD10&gt;=GG$21,GD10&lt;&gt;""),AND(GY10&gt;=HB$21,GY10&lt;&gt;""),AND(HT10&gt;=HW$21,HT10&lt;&gt;""),AND(IO10&gt;=IR$21,IO10&lt;&gt;""),AND(JJ10&gt;=JM$21,JJ10&lt;&gt;""),AND(KE10&gt;=KH$21,KE10&lt;&gt;""),AND(KZ10&gt;=LC$21,KZ10&lt;&gt;""),AND(LU10&gt;=LX$21,LU10&lt;&gt;"")),"P","")</f>
        <v/>
      </c>
      <c r="H10" s="126" t="str">
        <f>IF(AND(G10="P",F10=""),"No DD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Merit",IF(OR(AND(AH10&gt;=AL$19,AH10&lt;&gt;"",AI10&gt;=AL$23,AI10&lt;&gt;"",AG10=""),AND(BD10&gt;=BH$19,BD10&lt;&gt;"",BE10&gt;=BH$23,BE10&lt;&gt;"",BC10=""),AND(BZ10&gt;=CD$19,BZ10&lt;&gt;"",CA10&gt;=CD$23,CA10&lt;&gt;"",BY10=""),AND(CW10&gt;=DA$19,CW10&lt;&gt;"",CX10&gt;=DA$23,CX10&lt;&gt;""),AND(DR10&gt;=DV$19,DR10&lt;&gt;"",DS10&gt;=DV$23,DS10&lt;&gt;""),AND(EM10&gt;=EQ$19,EM10&lt;&gt;"",EN10&gt;=EQ$23,EN10&lt;&gt;""),AND(FH10&gt;=FL$19,FH10&lt;&gt;"",FI10&gt;=FL$23,FI10&lt;&gt;""),AND(GC10&gt;=GG$19,GC10&lt;&gt;"",GD10&gt;=GG$23,GD10&lt;&gt;""),AND(GX10&gt;=HB$19,GX10&lt;&gt;"",GY10&gt;=HB$23,GY10&lt;&gt;""),AND(HS10&gt;=HW$19,HS10&lt;&gt;"",HT10&gt;=HW$23,HT10&lt;&gt;""),AND(IN10&gt;=IR$19,IN10&lt;&gt;"",IO10&gt;=IR$23,IO10&lt;&gt;""),AND(JI10&gt;=JM$19,JI10&lt;&gt;"",JJ10&gt;=JM$23,JJ10&lt;&gt;""),AND(KD10&gt;=KH$19,KD10&lt;&gt;"",KE10&gt;=KH$23,KE10&lt;&gt;""),AND(KY10&gt;=LC$19,KY10&lt;&gt;"",KZ10&gt;=LC$23,KZ10&lt;&gt;""),AND(LT10&gt;=LX$19,LT10&lt;&gt;"",LU10&gt;=LX$23,LU10&lt;&gt;"")),"Excellence",IF(OR(AND(AH10&gt;=AL$18,AH10&lt;&gt;"",AI10&gt;=AL$22,AI10&lt;&gt;"",AG10=""),AND(BD10&gt;=BH$18,BD10&lt;&gt;"",BE10&gt;=BH$22,BE10&lt;&gt;"",BC10=""),AND(BZ10&gt;=CD$18,BZ10&lt;&gt;"",CA10&gt;=CD$22,CA10&lt;&gt;"",BY10=""),AND(CW10&gt;=DA$18,CW10&lt;&gt;"",CX10&gt;=DA$22,CX10&lt;&gt;""),AND(DR10&gt;=DV$18,DR10&lt;&gt;"",DS10&gt;=DV$22,DS10&lt;&gt;""),AND(EM10&gt;=EQ$18,EM10&lt;&gt;"",EN10&gt;=EQ$22,EN10&lt;&gt;""),AND(FH10&gt;=FL$18,FH10&lt;&gt;"",FI10&gt;=FL$22,FI10&lt;&gt;""),AND(GC10&gt;=GG$18,GC10&lt;&gt;"",GD10&gt;=GG$22,GD10&lt;&gt;""),AND(GX10&gt;=HB$18,GX10&lt;&gt;"",GY10&gt;=HB$22,GY10&lt;&gt;""),AND(HS10&gt;=HW$18,HS10&lt;&gt;"",HT10&gt;=HW$22,HT10&lt;&gt;""),AND(IN10&gt;=IR$18,IN10&lt;&gt;"",IO10&gt;=IR$22,IO10&lt;&gt;""),AND(JI10&gt;=JM$18,JI10&lt;&gt;"",JJ10&gt;=JM$22,JJ10&lt;&gt;""),AND(KD10&gt;=KH$18,KD10&lt;&gt;"",KE10&gt;=KH$22,KE10&lt;&gt;""),AND(KY10&gt;=LC$18,KY10&lt;&gt;"",KZ10&gt;=LC$22,KZ10&lt;&gt;""),AND(LT10&gt;=LX$18,LT10&lt;&gt;"",LU10&gt;=LX$22,LU10&lt;&gt;"")),"Worlds Team",IF(OR(AND(AH10&gt;=AL$17,AH10&lt;&gt;"",AI10&gt;=AL$21,AI10&lt;&gt;"",AG10=""),AND(BD10&gt;=BH$17,BD10&lt;&gt;"",BE10&gt;=BH$21,BE10&lt;&gt;"",BC10=""),AND(BZ10&gt;=CD$17,BZ10&lt;&gt;"",CA10&gt;=CD$21,CA10&lt;&gt;"",BY10=""),AND(CW10&gt;=DA$17,CW10&lt;&gt;"",CX10&gt;=DA$21,CX10&lt;&gt;""),AND(DR10&gt;=DV$17,DR10&lt;&gt;"",DS10&gt;=DV$21,DS10&lt;&gt;""),AND(EM10&gt;=EQ$17,EM10&lt;&gt;"",EN10&gt;=EQ$21,EN10&lt;&gt;""),AND(FH10&gt;=FL$17,FH10&lt;&gt;"",FI10&gt;=FL$21,FI10&lt;&gt;""),AND(GC10&gt;=GG$17,GC10&lt;&gt;"",GD10&gt;=GG$21,GD10&lt;&gt;""),AND(GX10&gt;=HB$17,GX10&lt;&gt;"",GY10&gt;=HB$21,GY10&lt;&gt;""),AND(HS10&gt;=HW$17,HS10&lt;&gt;"",HT10&gt;=HW$21,HT10&lt;&gt;""),AND(IN10&gt;=IR$17,IN10&lt;&gt;"",IO10&gt;=IR$21,IO10&lt;&gt;""),AND(JI10&gt;=JM$17,JI10&lt;&gt;"",JJ10&gt;=JM$21,JJ10&lt;&gt;""),AND(KD10&gt;=KH$17,KD10&lt;&gt;"",KE10&gt;=KH$21,KE10&lt;&gt;""),AND(KY10&gt;=LC$17,KY10&lt;&gt;"",KZ10&gt;=LC$21,KZ10&lt;&gt;""),AND(LT10&gt;=LX$17,LT10&lt;&gt;"",LU10&gt;=LX$21,LU10&lt;&gt;"")),"National Team","")))))</f>
        <v/>
      </c>
      <c r="I10" s="3" t="str">
        <f>IF(OR(H10="Worlds Team",H10="Excellence",H10="Merit"),"P","")</f>
        <v/>
      </c>
      <c r="J10" s="14">
        <f>MAX(AL10,BH10,CD10)</f>
        <v>129.25</v>
      </c>
      <c r="K10" s="14" t="str">
        <f>IF(J10=0,"",IF(J10=CD10,$BI$1,IF(J10=BH10,$AM$1,IF(J10=AL10,$Q$1,""))))</f>
        <v>2019 Nationals</v>
      </c>
      <c r="L10" s="14">
        <f>IF(J10=AL10,MAX(BE10,BG10,CA10,CC10),IF(J10=BH10,MAX(AI10,AK10,CA10,CC10),MAX(AI10,AK10,BE10,BG10)))</f>
        <v>67.599999999999994</v>
      </c>
      <c r="M10" s="14" t="str">
        <f>IF(L10=0,"",IF(AND(J10&lt;&gt;CD10,OR(L10=CA10,L10=CC10)),$BI$1,IF(AND(J10&lt;&gt;BH10,OR(L10=BG10,L10=BE10)),$AM$1,IF(OR(L10=AK10,L10=AI10),$Q$1,""))))</f>
        <v>2019 Elite Canada</v>
      </c>
      <c r="N10" s="14" t="str">
        <f>IF(MAX(CE10:CF10)&gt;0,MAX(CE10:CF10),"")</f>
        <v/>
      </c>
      <c r="O10" s="25" t="str">
        <f>IF(N10="","",IF(N10=CE10,"(4 Pass)",IF(N10=CF10,"(2 Pass)")))</f>
        <v/>
      </c>
      <c r="P10" s="14" t="str">
        <f>IF(N10="","",IF(N10=CE10,IF(N10+IF(J10="",0,J10)=DA10,$CG$1,IF(N10+IF(J10="",0,J10)=DV10,$DB$1,IF(N10+IF(J10="",0,J10)=EQ10,$DW$1,IF(N10+IF(J10="",0,J10)=FL10,$ER$1,IF(N10+IF(J10="",0,J10)=GG10,$FM$1,IF(N10+IF(J10="",0,J10)=HB10,$GH$1,IF(N10+IF(J10="",0,J10)=HW10,$HC$1,IF(N10+IF(J10="",0,J10)=IR10,$HX$1,IF(N10+IF(J10="",0,J10)=JM10,$IS$1,IF(N10+IF(J10="",0,J10)=KH10,$JN$1,IF(N10+IF(J10="",0,J10)=LC10,$KI$1,IF(N10+IF(J10="",0,J10)=LX10,$LD$1)))))))))))),IF(N10=CF10,IF(OR(N10+IF(L10="",0,L10)=CX10,N10+IF(L10="",0,L10)=CZ10),$CG$1,IF(OR(N10+IF(L10="",0,L10)=DS10,N10+IF(L10="",0,L10)=DU10),$DB$1,IF(OR(N10+IF(L10="",0,L10)=EN10,N10+IF(L10="",0,L10)=EP10),$DW$1,IF(OR(N10+IF(L10="",0,L10)=FI10,N10+IF(L10="",0,L10)=FK10),$ER$1,IF(OR(N10+IF(L10="",0,L10)=GD10,N10+IF(L10="",0,L10)=GF10),$FM$1,IF(OR(N10+IF(L10="",0,L10)=GY10,N10+IF(L10="",0,L10)=HA10),$GH$1,IF(OR(N10+IF(L10="",0,L10)=HT10,N10+IF(L10="",0,L10)=HV10),$HC$1,IF(OR(N10+IF(L10="",0,L10)=IO10,N10+IF(L10="",0,L10)=IQ10),$HX$1,IF(OR(N10+IF(L10="",0,L10)=JJ10,N10+IF(L10="",0,L10)=JL10),$IS$1,IF(OR(N10+IF(L10="",0,L10)=KE10,N10+IF(L10="",0,L10)=KG10),$JN$1,IF(OR(N10+IF(L10="",0,L10)=KZ10,N10+IF(L10="",0,L10)=LB10),$KI$1,IF(OR(N10+IF(L10="",0,L10)=LU10,N10+IF(L10="",0,L10)=LW10),$LD$1)))))))))))))))</f>
        <v/>
      </c>
      <c r="Q10" s="69">
        <v>27.85</v>
      </c>
      <c r="R10" s="69">
        <v>6</v>
      </c>
      <c r="S10" s="69">
        <v>0</v>
      </c>
      <c r="T10" s="69">
        <v>0</v>
      </c>
      <c r="U10" s="69">
        <v>28.6</v>
      </c>
      <c r="V10" s="69">
        <v>5.6</v>
      </c>
      <c r="W10" s="69">
        <v>0.45</v>
      </c>
      <c r="X10" s="69">
        <v>0</v>
      </c>
      <c r="Y10" s="69">
        <v>23.950000000000003</v>
      </c>
      <c r="Z10" s="69">
        <v>4</v>
      </c>
      <c r="AA10" s="69">
        <v>0</v>
      </c>
      <c r="AB10" s="69">
        <v>0</v>
      </c>
      <c r="AC10" s="69">
        <v>28.5</v>
      </c>
      <c r="AD10" s="69">
        <v>5.2</v>
      </c>
      <c r="AE10" s="69">
        <v>0</v>
      </c>
      <c r="AF10" s="69">
        <v>0</v>
      </c>
      <c r="AG10" s="80" t="s">
        <v>91</v>
      </c>
      <c r="AH10" s="11">
        <f>IF(SUM(R10,V10)&gt;0,SUM(R10,V10),"")</f>
        <v>11.6</v>
      </c>
      <c r="AI10" s="11">
        <f>IF(SUM(Q10:R10,T10:V10,X10)-SUM(S10,W10)&gt;0,SUM(Q10:R10,T10:V10,X10)-SUM(S10,W10),"")</f>
        <v>67.599999999999994</v>
      </c>
      <c r="AJ10" s="11">
        <f>IF(SUM(Z10,AD10)&gt;0,SUM(Z10,AD10),"")</f>
        <v>9.1999999999999993</v>
      </c>
      <c r="AK10" s="11">
        <f>IF(SUM(Y10:Z10,AB10:AD10,AF10)-SUM(AA10,AE10)&gt;0,SUM(Y10:Z10,AB10:AD10,AF10)-SUM(AA10,AE10),"")</f>
        <v>61.650000000000006</v>
      </c>
      <c r="AL10" s="11">
        <f>IF(SUM(AI10,AK10)&gt;0,SUM(AI10,AK10),"")</f>
        <v>129.25</v>
      </c>
      <c r="AM10" s="38">
        <v>27.85</v>
      </c>
      <c r="AN10" s="38">
        <v>6</v>
      </c>
      <c r="AO10" s="38">
        <v>0</v>
      </c>
      <c r="AP10" s="38">
        <v>0</v>
      </c>
      <c r="AQ10" s="38">
        <v>28.6</v>
      </c>
      <c r="AR10" s="38">
        <v>5.6</v>
      </c>
      <c r="AS10" s="38">
        <v>0.45</v>
      </c>
      <c r="AT10" s="38">
        <v>0</v>
      </c>
      <c r="AU10" s="38">
        <v>23.950000000000003</v>
      </c>
      <c r="AV10" s="38">
        <v>4</v>
      </c>
      <c r="AW10" s="38">
        <v>0</v>
      </c>
      <c r="AX10" s="38">
        <v>0</v>
      </c>
      <c r="AY10" s="38">
        <v>28.5</v>
      </c>
      <c r="AZ10" s="38">
        <v>5.2</v>
      </c>
      <c r="BA10" s="38">
        <v>0</v>
      </c>
      <c r="BB10" s="38">
        <v>0</v>
      </c>
      <c r="BC10" s="81" t="s">
        <v>91</v>
      </c>
      <c r="BD10" s="14">
        <f>IF(SUM(AN10,AR10)&gt;0,SUM(AN10,AR10),"")</f>
        <v>11.6</v>
      </c>
      <c r="BE10" s="14">
        <f>IF(SUM(AM10:AN10,AP10:AR10,AT10)-SUM(AO10,AS10)&gt;0,SUM(AM10:AN10,AP10:AR10,AT10)-SUM(AO10,AS10),"")</f>
        <v>67.599999999999994</v>
      </c>
      <c r="BF10" s="14">
        <f>IF(SUM(AV10,AZ10)&gt;0,SUM(AV10,AZ10),"")</f>
        <v>9.1999999999999993</v>
      </c>
      <c r="BG10" s="14">
        <f>IF(SUM(AU10:AV10,AX10:AZ10,BB10)-SUM(AW10,BA10)&gt;0,SUM(AU10:AV10,AX10:AZ10,BB10)-SUM(AW10,BA10),"")</f>
        <v>61.650000000000006</v>
      </c>
      <c r="BH10" s="14">
        <f>IF(SUM(BE10,BG10)&gt;0,SUM(BE10,BG10),"")</f>
        <v>129.25</v>
      </c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80"/>
      <c r="BZ10" s="11" t="str">
        <f>IF(SUM(BJ10,BN10)&gt;0,SUM(BJ10,BN10),"")</f>
        <v/>
      </c>
      <c r="CA10" s="11" t="str">
        <f>IF(SUM(BI10:BJ10,BL10:BN10,BP10)-SUM(BK10,BO10)&gt;0,SUM(BI10:BJ10,BL10:BN10,BP10)-SUM(BK10,BO10),"")</f>
        <v/>
      </c>
      <c r="CB10" s="11" t="str">
        <f>IF(SUM(BR10,BV10)&gt;0,SUM(BR10,BV10),"")</f>
        <v/>
      </c>
      <c r="CC10" s="11" t="str">
        <f>IF(SUM(BQ10:BR10,BT10:BV10,BX10)-SUM(BS10,BW10)&gt;0,SUM(BQ10:BR10,BT10:BV10,BX10)-SUM(BS10,BW10),"")</f>
        <v/>
      </c>
      <c r="CD10" s="11" t="str">
        <f>IF(SUM(CA10,CC10)&gt;0,SUM(CA10,CC10),"")</f>
        <v/>
      </c>
      <c r="CE10" s="24" t="str">
        <f>IF(MAX(DA10,DV10,EQ10,FL10,GG10,HB10,HW10,IR10,JM10,KH10,LC10,LX10)-IF(J10="",0,J10)&gt;0.001,MAX(DA10,DV10,EQ10,FL10,GG10,HB10,HW10,IR10,JM10,KH10,LC10,LX10)-IF(J10="",0,J10),"")</f>
        <v/>
      </c>
      <c r="CF10" s="24" t="str">
        <f>IF(MAX(CX10,CZ10,DS10,DU10,EN10,EP10,FI10,FK10,GD10,GF10,GY10,HA10,HT10,HV10,IO10,IQ10,JJ10,JL10,KE10,KG10,KZ10,LB10,LU10,LW10)-IF(L10="",0,L10)&gt;0.001,MAX(CX10,CZ10,DS10,DU10,EN10,EP10,FI10,FK10,GD10,GF10,GY10,HA10,HT10,HV10,IO10,IQ10,JJ10,JL10,KE10,KG10,KZ10,LB10,LU10,LW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13.925000000000001</v>
      </c>
      <c r="LZ10" s="69">
        <f>IF($BY10="P",BJ10,(BJ10+AN10)/2)</f>
        <v>3</v>
      </c>
      <c r="MA10" s="69">
        <f>IF($BY10="P",BK10,(BK10+AO10)/2)</f>
        <v>0</v>
      </c>
      <c r="MB10" s="69">
        <f>IF($BY10="P",BL10,(BL10+AP10)/2)</f>
        <v>0</v>
      </c>
      <c r="MC10" s="69">
        <f>IF($BY10="P",BM10,(BM10+AQ10)/2)</f>
        <v>14.3</v>
      </c>
      <c r="MD10" s="69">
        <f>IF($BY10="P",BN10,(BN10+AR10)/2)</f>
        <v>2.8</v>
      </c>
      <c r="ME10" s="69">
        <f>IF($BY10="P",BO10,(BO10+AS10)/2)</f>
        <v>0.22500000000000001</v>
      </c>
      <c r="MF10" s="69">
        <f>IF($BY10="P",BP10,(BP10+AT10)/2)</f>
        <v>0</v>
      </c>
      <c r="MG10" s="69">
        <f>IF($BY10="P",BQ10,(BQ10+AU10)/2)</f>
        <v>11.975000000000001</v>
      </c>
      <c r="MH10" s="69">
        <f>IF($BY10="P",BR10,(BR10+AV10)/2)</f>
        <v>2</v>
      </c>
      <c r="MI10" s="69">
        <f>IF($BY10="P",BS10,(BS10+AW10)/2)</f>
        <v>0</v>
      </c>
      <c r="MJ10" s="69">
        <f>IF($BY10="P",BT10,(BT10+AX10)/2)</f>
        <v>0</v>
      </c>
      <c r="MK10" s="69">
        <f>IF($BY10="P",BU10,(BU10+AY10)/2)</f>
        <v>14.25</v>
      </c>
      <c r="ML10" s="69">
        <f>IF($BY10="P",BV10,(BV10+AZ10)/2)</f>
        <v>2.6</v>
      </c>
      <c r="MM10" s="69">
        <f>IF($BY10="P",BW10,(BW10+BA10)/2)</f>
        <v>0</v>
      </c>
      <c r="MN10" s="69">
        <f>IF($BY10="P",BX10,(BX10+BB10)/2)</f>
        <v>0</v>
      </c>
      <c r="MO10" s="80" t="s">
        <v>91</v>
      </c>
      <c r="MP10" s="11">
        <f>IF(SUM(LZ10,MD10)&gt;0,SUM(LZ10,MD10),"")</f>
        <v>5.8</v>
      </c>
      <c r="MQ10" s="11">
        <f>IF(SUM(LY10:LZ10,MB10:MD10,MF10)-SUM(MA10,ME10)&gt;0,SUM(LY10:LZ10,MB10:MD10,MF10)-SUM(MA10,ME10),"")</f>
        <v>33.799999999999997</v>
      </c>
      <c r="MR10" s="11">
        <f>IF(SUM(MH10,ML10)&gt;0,SUM(MH10,ML10),"")</f>
        <v>4.5999999999999996</v>
      </c>
      <c r="MS10" s="11">
        <f>IF(SUM(MG10:MH10,MJ10:ML10,MN10)-SUM(MI10,MM10)&gt;0,SUM(MG10:MH10,MJ10:ML10,MN10)-SUM(MI10,MM10),"")</f>
        <v>30.825000000000003</v>
      </c>
      <c r="MT10" s="11">
        <f>IF(SUM(MQ10,MS10)&gt;0,SUM(MQ10,MS10),"")</f>
        <v>64.625</v>
      </c>
    </row>
    <row r="11" spans="1:358" x14ac:dyDescent="0.2">
      <c r="A11" s="5" t="str">
        <f>IF(AND(F11="P",G11="P"),SUMPRODUCT((F$4:F$15="P")*(G$4:G$15="P")*(E$4:E$15&gt;E11))+1,IF(G11="P",SUMPRODUCT((F$4:F$15="")*(G$4:G$15="P")*(E$4:E$15&gt;E11))+1+SUMPRODUCT((F$4:F$15="P")*(G$4:G$15="P")),""))</f>
        <v/>
      </c>
      <c r="B11" s="8" t="s">
        <v>204</v>
      </c>
      <c r="C11" s="4" t="s">
        <v>5</v>
      </c>
      <c r="D11" s="5">
        <v>2003</v>
      </c>
      <c r="E11" s="15">
        <f>SUM(J11:N11)</f>
        <v>196.4</v>
      </c>
      <c r="F11" s="3" t="str">
        <f>IF(OR(AND(AH11&gt;=AL$17,AI11&gt;=AL$21,AI11&lt;&gt;"",AG11=""),AND(BD11&gt;=BH$17,BE11&gt;=BH$21,BE11&lt;&gt;"",BC11=""),AND(BZ11&gt;=CD$17,CA11&gt;=CD$21,CA11&lt;&gt;"",BY11=""),AND(CW11&gt;=DA$17,CX11&gt;=DA$21,CX11&lt;&gt;""),AND(DR11&gt;=DV$17,DS11&gt;=DV$21,DS11&lt;&gt;""),AND(EM11&gt;=EQ$17,EN11&gt;=EQ$21,EN11&lt;&gt;""),AND(FH11&gt;=FL$17,FI11&gt;=FL$21,FI11&lt;&gt;""),AND(GC11&gt;=GG$17,GD11&gt;=GG$21,GD11&lt;&gt;""),AND(GX11&gt;=HB$17,GY11&gt;=HB$21,GY11&lt;&gt;""),AND(HS11&gt;=HW$17,HT11&gt;=HW$21,HT11&lt;&gt;""),AND(IN11&gt;=IR$17,IO11&gt;=IR$21,IO11&lt;&gt;""),AND(JI11&gt;=JM$17,JJ11&gt;=JM$21,JJ11&lt;&gt;""),AND(KD11&gt;=KH$17,KE11&gt;=KH$21,KE11&lt;&gt;""),AND(KY11&gt;=LC$17,KZ11&gt;=LC$21,KZ11&lt;&gt;""),AND(LT11&gt;=LX$17,LU11&gt;=LX$21,LU11&lt;&gt;"")),"P","")</f>
        <v/>
      </c>
      <c r="G11" s="3" t="str">
        <f>IF(OR(AND(AI11&gt;=AL$21,AI11&lt;&gt;"",AG11=""),AND(BE11&gt;=BH$21,BE11&lt;&gt;"",BC11=""),AND(CA11&gt;=CD$21,CA11&lt;&gt;"",BY11=""),AND(CX11&gt;=DA$21,CX11&lt;&gt;""),AND(DS11&gt;=DV$21,DS11&lt;&gt;""),AND(EN11&gt;=EQ$21,EN11&lt;&gt;""),AND(FI11&gt;=FL$21,FI11&lt;&gt;""),AND(GD11&gt;=GG$21,GD11&lt;&gt;""),AND(GY11&gt;=HB$21,GY11&lt;&gt;""),AND(HT11&gt;=HW$21,HT11&lt;&gt;""),AND(IO11&gt;=IR$21,IO11&lt;&gt;""),AND(JJ11&gt;=JM$21,JJ11&lt;&gt;""),AND(KE11&gt;=KH$21,KE11&lt;&gt;""),AND(KZ11&gt;=LC$21,KZ11&lt;&gt;""),AND(LU11&gt;=LX$21,LU11&lt;&gt;"")),"P","")</f>
        <v/>
      </c>
      <c r="H11" s="126" t="str">
        <f>IF(AND(G11="P",F11=""),"No DD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Merit",IF(OR(AND(AH11&gt;=AL$19,AH11&lt;&gt;"",AI11&gt;=AL$23,AI11&lt;&gt;"",AG11=""),AND(BD11&gt;=BH$19,BD11&lt;&gt;"",BE11&gt;=BH$23,BE11&lt;&gt;"",BC11=""),AND(BZ11&gt;=CD$19,BZ11&lt;&gt;"",CA11&gt;=CD$23,CA11&lt;&gt;"",BY11=""),AND(CW11&gt;=DA$19,CW11&lt;&gt;"",CX11&gt;=DA$23,CX11&lt;&gt;""),AND(DR11&gt;=DV$19,DR11&lt;&gt;"",DS11&gt;=DV$23,DS11&lt;&gt;""),AND(EM11&gt;=EQ$19,EM11&lt;&gt;"",EN11&gt;=EQ$23,EN11&lt;&gt;""),AND(FH11&gt;=FL$19,FH11&lt;&gt;"",FI11&gt;=FL$23,FI11&lt;&gt;""),AND(GC11&gt;=GG$19,GC11&lt;&gt;"",GD11&gt;=GG$23,GD11&lt;&gt;""),AND(GX11&gt;=HB$19,GX11&lt;&gt;"",GY11&gt;=HB$23,GY11&lt;&gt;""),AND(HS11&gt;=HW$19,HS11&lt;&gt;"",HT11&gt;=HW$23,HT11&lt;&gt;""),AND(IN11&gt;=IR$19,IN11&lt;&gt;"",IO11&gt;=IR$23,IO11&lt;&gt;""),AND(JI11&gt;=JM$19,JI11&lt;&gt;"",JJ11&gt;=JM$23,JJ11&lt;&gt;""),AND(KD11&gt;=KH$19,KD11&lt;&gt;"",KE11&gt;=KH$23,KE11&lt;&gt;""),AND(KY11&gt;=LC$19,KY11&lt;&gt;"",KZ11&gt;=LC$23,KZ11&lt;&gt;""),AND(LT11&gt;=LX$19,LT11&lt;&gt;"",LU11&gt;=LX$23,LU11&lt;&gt;"")),"Excellence",IF(OR(AND(AH11&gt;=AL$18,AH11&lt;&gt;"",AI11&gt;=AL$22,AI11&lt;&gt;"",AG11=""),AND(BD11&gt;=BH$18,BD11&lt;&gt;"",BE11&gt;=BH$22,BE11&lt;&gt;"",BC11=""),AND(BZ11&gt;=CD$18,BZ11&lt;&gt;"",CA11&gt;=CD$22,CA11&lt;&gt;"",BY11=""),AND(CW11&gt;=DA$18,CW11&lt;&gt;"",CX11&gt;=DA$22,CX11&lt;&gt;""),AND(DR11&gt;=DV$18,DR11&lt;&gt;"",DS11&gt;=DV$22,DS11&lt;&gt;""),AND(EM11&gt;=EQ$18,EM11&lt;&gt;"",EN11&gt;=EQ$22,EN11&lt;&gt;""),AND(FH11&gt;=FL$18,FH11&lt;&gt;"",FI11&gt;=FL$22,FI11&lt;&gt;""),AND(GC11&gt;=GG$18,GC11&lt;&gt;"",GD11&gt;=GG$22,GD11&lt;&gt;""),AND(GX11&gt;=HB$18,GX11&lt;&gt;"",GY11&gt;=HB$22,GY11&lt;&gt;""),AND(HS11&gt;=HW$18,HS11&lt;&gt;"",HT11&gt;=HW$22,HT11&lt;&gt;""),AND(IN11&gt;=IR$18,IN11&lt;&gt;"",IO11&gt;=IR$22,IO11&lt;&gt;""),AND(JI11&gt;=JM$18,JI11&lt;&gt;"",JJ11&gt;=JM$22,JJ11&lt;&gt;""),AND(KD11&gt;=KH$18,KD11&lt;&gt;"",KE11&gt;=KH$22,KE11&lt;&gt;""),AND(KY11&gt;=LC$18,KY11&lt;&gt;"",KZ11&gt;=LC$22,KZ11&lt;&gt;""),AND(LT11&gt;=LX$18,LT11&lt;&gt;"",LU11&gt;=LX$22,LU11&lt;&gt;"")),"Worlds Team",IF(OR(AND(AH11&gt;=AL$17,AH11&lt;&gt;"",AI11&gt;=AL$21,AI11&lt;&gt;"",AG11=""),AND(BD11&gt;=BH$17,BD11&lt;&gt;"",BE11&gt;=BH$21,BE11&lt;&gt;"",BC11=""),AND(BZ11&gt;=CD$17,BZ11&lt;&gt;"",CA11&gt;=CD$21,CA11&lt;&gt;"",BY11=""),AND(CW11&gt;=DA$17,CW11&lt;&gt;"",CX11&gt;=DA$21,CX11&lt;&gt;""),AND(DR11&gt;=DV$17,DR11&lt;&gt;"",DS11&gt;=DV$21,DS11&lt;&gt;""),AND(EM11&gt;=EQ$17,EM11&lt;&gt;"",EN11&gt;=EQ$21,EN11&lt;&gt;""),AND(FH11&gt;=FL$17,FH11&lt;&gt;"",FI11&gt;=FL$21,FI11&lt;&gt;""),AND(GC11&gt;=GG$17,GC11&lt;&gt;"",GD11&gt;=GG$21,GD11&lt;&gt;""),AND(GX11&gt;=HB$17,GX11&lt;&gt;"",GY11&gt;=HB$21,GY11&lt;&gt;""),AND(HS11&gt;=HW$17,HS11&lt;&gt;"",HT11&gt;=HW$21,HT11&lt;&gt;""),AND(IN11&gt;=IR$17,IN11&lt;&gt;"",IO11&gt;=IR$21,IO11&lt;&gt;""),AND(JI11&gt;=JM$17,JI11&lt;&gt;"",JJ11&gt;=JM$21,JJ11&lt;&gt;""),AND(KD11&gt;=KH$17,KD11&lt;&gt;"",KE11&gt;=KH$21,KE11&lt;&gt;""),AND(KY11&gt;=LC$17,KY11&lt;&gt;"",KZ11&gt;=LC$21,KZ11&lt;&gt;""),AND(LT11&gt;=LX$17,LT11&lt;&gt;"",LU11&gt;=LX$21,LU11&lt;&gt;"")),"National Team","")))))</f>
        <v/>
      </c>
      <c r="I11" s="3" t="str">
        <f>IF(OR(H11="Worlds Team",H11="Excellence",H11="Merit"),"P","")</f>
        <v/>
      </c>
      <c r="J11" s="14">
        <f>MAX(AL11,BH11,CD11)</f>
        <v>130.80000000000001</v>
      </c>
      <c r="K11" s="14" t="str">
        <f>IF(J11=0,"",IF(J11=CD11,$BI$1,IF(J11=BH11,$AM$1,IF(J11=AL11,$Q$1,""))))</f>
        <v>2021 1st Virtual Technical Trial</v>
      </c>
      <c r="L11" s="14">
        <f>IF(J11=AL11,MAX(BE11,BG11,CA11,CC11),IF(J11=BH11,MAX(AI11,AK11,CA11,CC11),MAX(AI11,AK11,BE11,BG11)))</f>
        <v>65.599999999999994</v>
      </c>
      <c r="M11" s="14" t="str">
        <f>IF(L11=0,"",IF(AND(J11&lt;&gt;CD11,OR(L11=CA11,L11=CC11)),$BI$1,IF(AND(J11&lt;&gt;BH11,OR(L11=BG11,L11=BE11)),$AM$1,IF(OR(L11=AK11,L11=AI11),$Q$1,""))))</f>
        <v>2019 Elite Canada</v>
      </c>
      <c r="N11" s="14" t="str">
        <f>IF(MAX(CE11:CF11)&gt;0,MAX(CE11:CF11),"")</f>
        <v/>
      </c>
      <c r="O11" s="25" t="str">
        <f>IF(N11="","",IF(N11=CE11,"(4 Pass)",IF(N11=CF11,"(2 Pass)")))</f>
        <v/>
      </c>
      <c r="P11" s="14" t="str">
        <f>IF(N11="","",IF(N11=CE11,IF(N11+IF(J11="",0,J11)=DA11,$CG$1,IF(N11+IF(J11="",0,J11)=DV11,$DB$1,IF(N11+IF(J11="",0,J11)=EQ11,$DW$1,IF(N11+IF(J11="",0,J11)=FL11,$ER$1,IF(N11+IF(J11="",0,J11)=GG11,$FM$1,IF(N11+IF(J11="",0,J11)=HB11,$GH$1,IF(N11+IF(J11="",0,J11)=HW11,$HC$1,IF(N11+IF(J11="",0,J11)=IR11,$HX$1,IF(N11+IF(J11="",0,J11)=JM11,$IS$1,IF(N11+IF(J11="",0,J11)=KH11,$JN$1,IF(N11+IF(J11="",0,J11)=LC11,$KI$1,IF(N11+IF(J11="",0,J11)=LX11,$LD$1)))))))))))),IF(N11=CF11,IF(OR(N11+IF(L11="",0,L11)=CX11,N11+IF(L11="",0,L11)=CZ11),$CG$1,IF(OR(N11+IF(L11="",0,L11)=DS11,N11+IF(L11="",0,L11)=DU11),$DB$1,IF(OR(N11+IF(L11="",0,L11)=EN11,N11+IF(L11="",0,L11)=EP11),$DW$1,IF(OR(N11+IF(L11="",0,L11)=FI11,N11+IF(L11="",0,L11)=FK11),$ER$1,IF(OR(N11+IF(L11="",0,L11)=GD11,N11+IF(L11="",0,L11)=GF11),$FM$1,IF(OR(N11+IF(L11="",0,L11)=GY11,N11+IF(L11="",0,L11)=HA11),$GH$1,IF(OR(N11+IF(L11="",0,L11)=HT11,N11+IF(L11="",0,L11)=HV11),$HC$1,IF(OR(N11+IF(L11="",0,L11)=IO11,N11+IF(L11="",0,L11)=IQ11),$HX$1,IF(OR(N11+IF(L11="",0,L11)=JJ11,N11+IF(L11="",0,L11)=JL11),$IS$1,IF(OR(N11+IF(L11="",0,L11)=KE11,N11+IF(L11="",0,L11)=KG11),$JN$1,IF(OR(N11+IF(L11="",0,L11)=KZ11,N11+IF(L11="",0,L11)=LB11),$KI$1,IF(OR(N11+IF(L11="",0,L11)=LU11,N11+IF(L11="",0,L11)=LW11),$LD$1)))))))))))))))</f>
        <v/>
      </c>
      <c r="Q11" s="69">
        <v>27.7</v>
      </c>
      <c r="R11" s="69">
        <v>6</v>
      </c>
      <c r="S11" s="69">
        <v>0.9</v>
      </c>
      <c r="T11" s="69">
        <v>0</v>
      </c>
      <c r="U11" s="69">
        <v>28</v>
      </c>
      <c r="V11" s="69">
        <v>4.8</v>
      </c>
      <c r="W11" s="69">
        <v>0</v>
      </c>
      <c r="X11" s="69">
        <v>0</v>
      </c>
      <c r="Y11" s="69">
        <v>24.7</v>
      </c>
      <c r="Z11" s="69">
        <v>3</v>
      </c>
      <c r="AA11" s="69">
        <v>1.9</v>
      </c>
      <c r="AB11" s="69">
        <v>0</v>
      </c>
      <c r="AC11" s="69">
        <v>26.9</v>
      </c>
      <c r="AD11" s="69">
        <v>2.8</v>
      </c>
      <c r="AE11" s="69">
        <v>2.1</v>
      </c>
      <c r="AF11" s="69">
        <v>0</v>
      </c>
      <c r="AG11" s="80"/>
      <c r="AH11" s="11">
        <f>IF(SUM(R11,V11)&gt;0,SUM(R11,V11),"")</f>
        <v>10.8</v>
      </c>
      <c r="AI11" s="11">
        <f>IF(SUM(Q11:R11,T11:V11,X11)-SUM(S11,W11)&gt;0,SUM(Q11:R11,T11:V11,X11)-SUM(S11,W11),"")</f>
        <v>65.599999999999994</v>
      </c>
      <c r="AJ11" s="11">
        <f>IF(SUM(Z11,AD11)&gt;0,SUM(Z11,AD11),"")</f>
        <v>5.8</v>
      </c>
      <c r="AK11" s="11">
        <f>IF(SUM(Y11:Z11,AB11:AD11,AF11)-SUM(AA11,AE11)&gt;0,SUM(Y11:Z11,AB11:AD11,AF11)-SUM(AA11,AE11),"")</f>
        <v>53.399999999999991</v>
      </c>
      <c r="AL11" s="11">
        <f>IF(SUM(AI11,AK11)&gt;0,SUM(AI11,AK11),"")</f>
        <v>118.99999999999999</v>
      </c>
      <c r="AM11" s="38">
        <v>19.8</v>
      </c>
      <c r="AN11" s="38">
        <v>2.4</v>
      </c>
      <c r="AO11" s="38">
        <v>0</v>
      </c>
      <c r="AP11" s="38">
        <v>0</v>
      </c>
      <c r="AQ11" s="38">
        <v>27.9</v>
      </c>
      <c r="AR11" s="38">
        <v>5.6</v>
      </c>
      <c r="AS11" s="38">
        <v>0</v>
      </c>
      <c r="AT11" s="38">
        <v>0</v>
      </c>
      <c r="AU11" s="38">
        <v>27.6</v>
      </c>
      <c r="AV11" s="38">
        <v>5.6</v>
      </c>
      <c r="AW11" s="38">
        <v>0.9</v>
      </c>
      <c r="AX11" s="38">
        <v>0</v>
      </c>
      <c r="AY11" s="38">
        <v>27.9</v>
      </c>
      <c r="AZ11" s="38">
        <v>4.8</v>
      </c>
      <c r="BA11" s="38">
        <v>0</v>
      </c>
      <c r="BB11" s="38">
        <v>0</v>
      </c>
      <c r="BC11" s="81"/>
      <c r="BD11" s="14">
        <f>IF(SUM(AN11,AR11)&gt;0,SUM(AN11,AR11),"")</f>
        <v>8</v>
      </c>
      <c r="BE11" s="14">
        <f>IF(SUM(AM11:AN11,AP11:AR11,AT11)-SUM(AO11,AS11)&gt;0,SUM(AM11:AN11,AP11:AR11,AT11)-SUM(AO11,AS11),"")</f>
        <v>55.699999999999996</v>
      </c>
      <c r="BF11" s="14">
        <f>IF(SUM(AV11,AZ11)&gt;0,SUM(AV11,AZ11),"")</f>
        <v>10.399999999999999</v>
      </c>
      <c r="BG11" s="14">
        <f>IF(SUM(AU11:AV11,AX11:AZ11,BB11)-SUM(AW11,BA11)&gt;0,SUM(AU11:AV11,AX11:AZ11,BB11)-SUM(AW11,BA11),"")</f>
        <v>65</v>
      </c>
      <c r="BH11" s="14">
        <f>IF(SUM(BE11,BG11)&gt;0,SUM(BE11,BG11),"")</f>
        <v>120.69999999999999</v>
      </c>
      <c r="BI11" s="69">
        <v>27.7</v>
      </c>
      <c r="BJ11" s="69">
        <v>5.6</v>
      </c>
      <c r="BK11" s="69">
        <v>0</v>
      </c>
      <c r="BL11" s="69">
        <v>0</v>
      </c>
      <c r="BM11" s="69">
        <v>27.1</v>
      </c>
      <c r="BN11" s="69">
        <v>6</v>
      </c>
      <c r="BO11" s="69">
        <v>0.9</v>
      </c>
      <c r="BP11" s="69">
        <v>0</v>
      </c>
      <c r="BQ11" s="69">
        <v>27.3</v>
      </c>
      <c r="BR11" s="69">
        <v>5.6</v>
      </c>
      <c r="BS11" s="69">
        <v>0</v>
      </c>
      <c r="BT11" s="69">
        <v>0</v>
      </c>
      <c r="BU11" s="69">
        <v>27.6</v>
      </c>
      <c r="BV11" s="69">
        <v>4.8</v>
      </c>
      <c r="BW11" s="69">
        <v>0</v>
      </c>
      <c r="BX11" s="69">
        <v>0</v>
      </c>
      <c r="BY11" s="80"/>
      <c r="BZ11" s="11">
        <f>IF(SUM(BJ11,BN11)&gt;0,SUM(BJ11,BN11),"")</f>
        <v>11.6</v>
      </c>
      <c r="CA11" s="11">
        <f>IF(SUM(BI11:BJ11,BL11:BN11,BP11)-SUM(BK11,BO11)&gt;0,SUM(BI11:BJ11,BL11:BN11,BP11)-SUM(BK11,BO11),"")</f>
        <v>65.5</v>
      </c>
      <c r="CB11" s="11">
        <f>IF(SUM(BR11,BV11)&gt;0,SUM(BR11,BV11),"")</f>
        <v>10.399999999999999</v>
      </c>
      <c r="CC11" s="11">
        <f>IF(SUM(BQ11:BR11,BT11:BV11,BX11)-SUM(BS11,BW11)&gt;0,SUM(BQ11:BR11,BT11:BV11,BX11)-SUM(BS11,BW11),"")</f>
        <v>65.3</v>
      </c>
      <c r="CD11" s="11">
        <f>IF(SUM(CA11,CC11)&gt;0,SUM(CA11,CC11),"")</f>
        <v>130.80000000000001</v>
      </c>
      <c r="CE11" s="24"/>
      <c r="CF11" s="2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43">
        <v>24.9</v>
      </c>
      <c r="DC11" s="43">
        <v>6.4</v>
      </c>
      <c r="DD11" s="43">
        <v>0</v>
      </c>
      <c r="DE11" s="43">
        <v>0</v>
      </c>
      <c r="DF11" s="43">
        <v>27.3</v>
      </c>
      <c r="DG11" s="43">
        <v>6.8</v>
      </c>
      <c r="DH11" s="43">
        <v>0</v>
      </c>
      <c r="DI11" s="43">
        <v>0</v>
      </c>
      <c r="DJ11" s="43">
        <v>26.7</v>
      </c>
      <c r="DK11" s="43">
        <v>5.2</v>
      </c>
      <c r="DL11" s="43">
        <v>0.9</v>
      </c>
      <c r="DM11" s="43">
        <v>0</v>
      </c>
      <c r="DN11" s="43">
        <v>26.1</v>
      </c>
      <c r="DO11" s="43">
        <v>5.2</v>
      </c>
      <c r="DP11" s="43">
        <v>1.2</v>
      </c>
      <c r="DQ11" s="43">
        <v>0</v>
      </c>
      <c r="DR11" s="14">
        <f>IF(SUM(DC11,DG11)&gt;0,SUM(DC11,DG11),"")</f>
        <v>13.2</v>
      </c>
      <c r="DS11" s="14">
        <f>IF(SUM(DB11:DC11,DE11:DG11,DI11)-SUM(DD11,DH11)&gt;0,SUM(DB11:DC11,DE11:DG11,DI11)-SUM(DD11,DH11),"")</f>
        <v>65.399999999999991</v>
      </c>
      <c r="DT11" s="14">
        <f>IF(SUM(DK11,DO11)&gt;0,SUM(DK11,DO11),"")</f>
        <v>10.4</v>
      </c>
      <c r="DU11" s="14">
        <f>IF(SUM(DJ11:DK11,DM11:DO11,DQ11)-SUM(DL11,DP11)&gt;0,SUM(DJ11:DK11,DM11:DO11,DQ11)-SUM(DL11,DP11),"")</f>
        <v>61.1</v>
      </c>
      <c r="DV11" s="14">
        <f>IF(SUM(DS11,DU11)&gt;0,SUM(DS11,DU11),"")</f>
        <v>126.5</v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23.75</v>
      </c>
      <c r="LZ11" s="69">
        <f>IF($BY11="P",BJ11,(BJ11+AN11)/2)</f>
        <v>4</v>
      </c>
      <c r="MA11" s="69">
        <f>IF($BY11="P",BK11,(BK11+AO11)/2)</f>
        <v>0</v>
      </c>
      <c r="MB11" s="69">
        <f>IF($BY11="P",BL11,(BL11+AP11)/2)</f>
        <v>0</v>
      </c>
      <c r="MC11" s="69">
        <f>IF($BY11="P",BM11,(BM11+AQ11)/2)</f>
        <v>27.5</v>
      </c>
      <c r="MD11" s="69">
        <f>IF($BY11="P",BN11,(BN11+AR11)/2)</f>
        <v>5.8</v>
      </c>
      <c r="ME11" s="69">
        <f>IF($BY11="P",BO11,(BO11+AS11)/2)</f>
        <v>0.45</v>
      </c>
      <c r="MF11" s="69">
        <f>IF($BY11="P",BP11,(BP11+AT11)/2)</f>
        <v>0</v>
      </c>
      <c r="MG11" s="69">
        <f>IF($BY11="P",BQ11,(BQ11+AU11)/2)</f>
        <v>27.450000000000003</v>
      </c>
      <c r="MH11" s="69">
        <f>IF($BY11="P",BR11,(BR11+AV11)/2)</f>
        <v>5.6</v>
      </c>
      <c r="MI11" s="69">
        <f>IF($BY11="P",BS11,(BS11+AW11)/2)</f>
        <v>0.45</v>
      </c>
      <c r="MJ11" s="69">
        <f>IF($BY11="P",BT11,(BT11+AX11)/2)</f>
        <v>0</v>
      </c>
      <c r="MK11" s="69">
        <f>IF($BY11="P",BU11,(BU11+AY11)/2)</f>
        <v>27.75</v>
      </c>
      <c r="ML11" s="69">
        <f>IF($BY11="P",BV11,(BV11+AZ11)/2)</f>
        <v>4.8</v>
      </c>
      <c r="MM11" s="69">
        <f>IF($BY11="P",BW11,(BW11+BA11)/2)</f>
        <v>0</v>
      </c>
      <c r="MN11" s="69">
        <f>IF($BY11="P",BX11,(BX11+BB11)/2)</f>
        <v>0</v>
      </c>
      <c r="MO11" s="80" t="s">
        <v>91</v>
      </c>
      <c r="MP11" s="11">
        <f>IF(SUM(LZ11,MD11)&gt;0,SUM(LZ11,MD11),"")</f>
        <v>9.8000000000000007</v>
      </c>
      <c r="MQ11" s="11">
        <f>IF(SUM(LY11:LZ11,MB11:MD11,MF11)-SUM(MA11,ME11)&gt;0,SUM(LY11:LZ11,MB11:MD11,MF11)-SUM(MA11,ME11),"")</f>
        <v>60.599999999999994</v>
      </c>
      <c r="MR11" s="11">
        <f>IF(SUM(MH11,ML11)&gt;0,SUM(MH11,ML11),"")</f>
        <v>10.399999999999999</v>
      </c>
      <c r="MS11" s="11">
        <f>IF(SUM(MG11:MH11,MJ11:ML11,MN11)-SUM(MI11,MM11)&gt;0,SUM(MG11:MH11,MJ11:ML11,MN11)-SUM(MI11,MM11),"")</f>
        <v>65.150000000000006</v>
      </c>
      <c r="MT11" s="11">
        <f>IF(SUM(MQ11,MS11)&gt;0,SUM(MQ11,MS11),"")</f>
        <v>125.75</v>
      </c>
    </row>
    <row r="12" spans="1:358" x14ac:dyDescent="0.2">
      <c r="A12" s="5" t="str">
        <f>IF(AND(F12="P",G12="P"),SUMPRODUCT((F$4:F$15="P")*(G$4:G$15="P")*(E$4:E$15&gt;E12))+1,IF(G12="P",SUMPRODUCT((F$4:F$15="")*(G$4:G$15="P")*(E$4:E$15&gt;E12))+1+SUMPRODUCT((F$4:F$15="P")*(G$4:G$15="P")),""))</f>
        <v/>
      </c>
      <c r="B12" s="8" t="s">
        <v>205</v>
      </c>
      <c r="C12" s="4" t="s">
        <v>6</v>
      </c>
      <c r="D12" s="5">
        <v>1996</v>
      </c>
      <c r="E12" s="15">
        <f>SUM(J12:N12)</f>
        <v>195</v>
      </c>
      <c r="F12" s="3" t="str">
        <f>IF(OR(AND(AH12&gt;=AL$17,AI12&gt;=AL$21,AI12&lt;&gt;"",AG12=""),AND(BD12&gt;=BH$17,BE12&gt;=BH$21,BE12&lt;&gt;"",BC12=""),AND(BZ12&gt;=CD$17,CA12&gt;=CD$21,CA12&lt;&gt;"",BY12=""),AND(CW12&gt;=DA$17,CX12&gt;=DA$21,CX12&lt;&gt;""),AND(DR12&gt;=DV$17,DS12&gt;=DV$21,DS12&lt;&gt;""),AND(EM12&gt;=EQ$17,EN12&gt;=EQ$21,EN12&lt;&gt;""),AND(FH12&gt;=FL$17,FI12&gt;=FL$21,FI12&lt;&gt;""),AND(GC12&gt;=GG$17,GD12&gt;=GG$21,GD12&lt;&gt;""),AND(GX12&gt;=HB$17,GY12&gt;=HB$21,GY12&lt;&gt;""),AND(HS12&gt;=HW$17,HT12&gt;=HW$21,HT12&lt;&gt;""),AND(IN12&gt;=IR$17,IO12&gt;=IR$21,IO12&lt;&gt;""),AND(JI12&gt;=JM$17,JJ12&gt;=JM$21,JJ12&lt;&gt;""),AND(KD12&gt;=KH$17,KE12&gt;=KH$21,KE12&lt;&gt;""),AND(KY12&gt;=LC$17,KZ12&gt;=LC$21,KZ12&lt;&gt;""),AND(LT12&gt;=LX$17,LU12&gt;=LX$21,LU12&lt;&gt;"")),"P","")</f>
        <v/>
      </c>
      <c r="G12" s="3" t="str">
        <f>IF(OR(AND(AI12&gt;=AL$21,AI12&lt;&gt;"",AG12=""),AND(BE12&gt;=BH$21,BE12&lt;&gt;"",BC12=""),AND(CA12&gt;=CD$21,CA12&lt;&gt;"",BY12=""),AND(CX12&gt;=DA$21,CX12&lt;&gt;""),AND(DS12&gt;=DV$21,DS12&lt;&gt;""),AND(EN12&gt;=EQ$21,EN12&lt;&gt;""),AND(FI12&gt;=FL$21,FI12&lt;&gt;""),AND(GD12&gt;=GG$21,GD12&lt;&gt;""),AND(GY12&gt;=HB$21,GY12&lt;&gt;""),AND(HT12&gt;=HW$21,HT12&lt;&gt;""),AND(IO12&gt;=IR$21,IO12&lt;&gt;""),AND(JJ12&gt;=JM$21,JJ12&lt;&gt;""),AND(KE12&gt;=KH$21,KE12&lt;&gt;""),AND(KZ12&gt;=LC$21,KZ12&lt;&gt;""),AND(LU12&gt;=LX$21,LU12&lt;&gt;"")),"P","")</f>
        <v/>
      </c>
      <c r="H12" s="126" t="str">
        <f>IF(AND(G12="P",F12=""),"No DD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Merit",IF(OR(AND(AH12&gt;=AL$19,AH12&lt;&gt;"",AI12&gt;=AL$23,AI12&lt;&gt;"",AG12=""),AND(BD12&gt;=BH$19,BD12&lt;&gt;"",BE12&gt;=BH$23,BE12&lt;&gt;"",BC12=""),AND(BZ12&gt;=CD$19,BZ12&lt;&gt;"",CA12&gt;=CD$23,CA12&lt;&gt;"",BY12=""),AND(CW12&gt;=DA$19,CW12&lt;&gt;"",CX12&gt;=DA$23,CX12&lt;&gt;""),AND(DR12&gt;=DV$19,DR12&lt;&gt;"",DS12&gt;=DV$23,DS12&lt;&gt;""),AND(EM12&gt;=EQ$19,EM12&lt;&gt;"",EN12&gt;=EQ$23,EN12&lt;&gt;""),AND(FH12&gt;=FL$19,FH12&lt;&gt;"",FI12&gt;=FL$23,FI12&lt;&gt;""),AND(GC12&gt;=GG$19,GC12&lt;&gt;"",GD12&gt;=GG$23,GD12&lt;&gt;""),AND(GX12&gt;=HB$19,GX12&lt;&gt;"",GY12&gt;=HB$23,GY12&lt;&gt;""),AND(HS12&gt;=HW$19,HS12&lt;&gt;"",HT12&gt;=HW$23,HT12&lt;&gt;""),AND(IN12&gt;=IR$19,IN12&lt;&gt;"",IO12&gt;=IR$23,IO12&lt;&gt;""),AND(JI12&gt;=JM$19,JI12&lt;&gt;"",JJ12&gt;=JM$23,JJ12&lt;&gt;""),AND(KD12&gt;=KH$19,KD12&lt;&gt;"",KE12&gt;=KH$23,KE12&lt;&gt;""),AND(KY12&gt;=LC$19,KY12&lt;&gt;"",KZ12&gt;=LC$23,KZ12&lt;&gt;""),AND(LT12&gt;=LX$19,LT12&lt;&gt;"",LU12&gt;=LX$23,LU12&lt;&gt;"")),"Excellence",IF(OR(AND(AH12&gt;=AL$18,AH12&lt;&gt;"",AI12&gt;=AL$22,AI12&lt;&gt;"",AG12=""),AND(BD12&gt;=BH$18,BD12&lt;&gt;"",BE12&gt;=BH$22,BE12&lt;&gt;"",BC12=""),AND(BZ12&gt;=CD$18,BZ12&lt;&gt;"",CA12&gt;=CD$22,CA12&lt;&gt;"",BY12=""),AND(CW12&gt;=DA$18,CW12&lt;&gt;"",CX12&gt;=DA$22,CX12&lt;&gt;""),AND(DR12&gt;=DV$18,DR12&lt;&gt;"",DS12&gt;=DV$22,DS12&lt;&gt;""),AND(EM12&gt;=EQ$18,EM12&lt;&gt;"",EN12&gt;=EQ$22,EN12&lt;&gt;""),AND(FH12&gt;=FL$18,FH12&lt;&gt;"",FI12&gt;=FL$22,FI12&lt;&gt;""),AND(GC12&gt;=GG$18,GC12&lt;&gt;"",GD12&gt;=GG$22,GD12&lt;&gt;""),AND(GX12&gt;=HB$18,GX12&lt;&gt;"",GY12&gt;=HB$22,GY12&lt;&gt;""),AND(HS12&gt;=HW$18,HS12&lt;&gt;"",HT12&gt;=HW$22,HT12&lt;&gt;""),AND(IN12&gt;=IR$18,IN12&lt;&gt;"",IO12&gt;=IR$22,IO12&lt;&gt;""),AND(JI12&gt;=JM$18,JI12&lt;&gt;"",JJ12&gt;=JM$22,JJ12&lt;&gt;""),AND(KD12&gt;=KH$18,KD12&lt;&gt;"",KE12&gt;=KH$22,KE12&lt;&gt;""),AND(KY12&gt;=LC$18,KY12&lt;&gt;"",KZ12&gt;=LC$22,KZ12&lt;&gt;""),AND(LT12&gt;=LX$18,LT12&lt;&gt;"",LU12&gt;=LX$22,LU12&lt;&gt;"")),"Worlds Team",IF(OR(AND(AH12&gt;=AL$17,AH12&lt;&gt;"",AI12&gt;=AL$21,AI12&lt;&gt;"",AG12=""),AND(BD12&gt;=BH$17,BD12&lt;&gt;"",BE12&gt;=BH$21,BE12&lt;&gt;"",BC12=""),AND(BZ12&gt;=CD$17,BZ12&lt;&gt;"",CA12&gt;=CD$21,CA12&lt;&gt;"",BY12=""),AND(CW12&gt;=DA$17,CW12&lt;&gt;"",CX12&gt;=DA$21,CX12&lt;&gt;""),AND(DR12&gt;=DV$17,DR12&lt;&gt;"",DS12&gt;=DV$21,DS12&lt;&gt;""),AND(EM12&gt;=EQ$17,EM12&lt;&gt;"",EN12&gt;=EQ$21,EN12&lt;&gt;""),AND(FH12&gt;=FL$17,FH12&lt;&gt;"",FI12&gt;=FL$21,FI12&lt;&gt;""),AND(GC12&gt;=GG$17,GC12&lt;&gt;"",GD12&gt;=GG$21,GD12&lt;&gt;""),AND(GX12&gt;=HB$17,GX12&lt;&gt;"",GY12&gt;=HB$21,GY12&lt;&gt;""),AND(HS12&gt;=HW$17,HS12&lt;&gt;"",HT12&gt;=HW$21,HT12&lt;&gt;""),AND(IN12&gt;=IR$17,IN12&lt;&gt;"",IO12&gt;=IR$21,IO12&lt;&gt;""),AND(JI12&gt;=JM$17,JI12&lt;&gt;"",JJ12&gt;=JM$21,JJ12&lt;&gt;""),AND(KD12&gt;=KH$17,KD12&lt;&gt;"",KE12&gt;=KH$21,KE12&lt;&gt;""),AND(KY12&gt;=LC$17,KY12&lt;&gt;"",KZ12&gt;=LC$21,KZ12&lt;&gt;""),AND(LT12&gt;=LX$17,LT12&lt;&gt;"",LU12&gt;=LX$21,LU12&lt;&gt;"")),"National Team","")))))</f>
        <v/>
      </c>
      <c r="I12" s="3" t="str">
        <f>IF(OR(H12="Worlds Team",H12="Excellence",H12="Merit"),"P","")</f>
        <v/>
      </c>
      <c r="J12" s="14">
        <f>MAX(AL12,BH12,CD12)</f>
        <v>129.19999999999999</v>
      </c>
      <c r="K12" s="14" t="str">
        <f>IF(J12=0,"",IF(J12=CD12,$BI$1,IF(J12=BH12,$AM$1,IF(J12=AL12,$Q$1,""))))</f>
        <v>2021 1st Virtual Technical Trial</v>
      </c>
      <c r="L12" s="14">
        <f>IF(J12=AL12,MAX(BE12,BG12,CA12,CC12),IF(J12=BH12,MAX(AI12,AK12,CA12,CC12),MAX(AI12,AK12,BE12,BG12)))</f>
        <v>65.8</v>
      </c>
      <c r="M12" s="14" t="str">
        <f>IF(L12=0,"",IF(AND(J12&lt;&gt;CD12,OR(L12=CA12,L12=CC12)),$BI$1,IF(AND(J12&lt;&gt;BH12,OR(L12=BG12,L12=BE12)),$AM$1,IF(OR(L12=AK12,L12=AI12),$Q$1,""))))</f>
        <v>2019 Nationals</v>
      </c>
      <c r="N12" s="14" t="str">
        <f>IF(MAX(CE12:CF12)&gt;0,MAX(CE12:CF12),"")</f>
        <v/>
      </c>
      <c r="O12" s="25" t="str">
        <f>IF(N12="","",IF(N12=CE12,"(4 Pass)",IF(N12=CF12,"(2 Pass)")))</f>
        <v/>
      </c>
      <c r="P12" s="14" t="str">
        <f>IF(N12="","",IF(N12=CE12,IF(N12+IF(J12="",0,J12)=DA12,$CG$1,IF(N12+IF(J12="",0,J12)=DV12,$DB$1,IF(N12+IF(J12="",0,J12)=EQ12,$DW$1,IF(N12+IF(J12="",0,J12)=FL12,$ER$1,IF(N12+IF(J12="",0,J12)=GG12,$FM$1,IF(N12+IF(J12="",0,J12)=HB12,$GH$1,IF(N12+IF(J12="",0,J12)=HW12,$HC$1,IF(N12+IF(J12="",0,J12)=IR12,$HX$1,IF(N12+IF(J12="",0,J12)=JM12,$IS$1,IF(N12+IF(J12="",0,J12)=KH12,$JN$1,IF(N12+IF(J12="",0,J12)=LC12,$KI$1,IF(N12+IF(J12="",0,J12)=LX12,$LD$1)))))))))))),IF(N12=CF12,IF(OR(N12+IF(L12="",0,L12)=CX12,N12+IF(L12="",0,L12)=CZ12),$CG$1,IF(OR(N12+IF(L12="",0,L12)=DS12,N12+IF(L12="",0,L12)=DU12),$DB$1,IF(OR(N12+IF(L12="",0,L12)=EN12,N12+IF(L12="",0,L12)=EP12),$DW$1,IF(OR(N12+IF(L12="",0,L12)=FI12,N12+IF(L12="",0,L12)=FK12),$ER$1,IF(OR(N12+IF(L12="",0,L12)=GD12,N12+IF(L12="",0,L12)=GF12),$FM$1,IF(OR(N12+IF(L12="",0,L12)=GY12,N12+IF(L12="",0,L12)=HA12),$GH$1,IF(OR(N12+IF(L12="",0,L12)=HT12,N12+IF(L12="",0,L12)=HV12),$HC$1,IF(OR(N12+IF(L12="",0,L12)=IO12,N12+IF(L12="",0,L12)=IQ12),$HX$1,IF(OR(N12+IF(L12="",0,L12)=JJ12,N12+IF(L12="",0,L12)=JL12),$IS$1,IF(OR(N12+IF(L12="",0,L12)=KE12,N12+IF(L12="",0,L12)=KG12),$JN$1,IF(OR(N12+IF(L12="",0,L12)=KZ12,N12+IF(L12="",0,L12)=LB12),$KI$1,IF(OR(N12+IF(L12="",0,L12)=LU12,N12+IF(L12="",0,L12)=LW12),$LD$1)))))))))))))))</f>
        <v/>
      </c>
      <c r="Q12" s="69">
        <v>27.4</v>
      </c>
      <c r="R12" s="69">
        <v>5.2</v>
      </c>
      <c r="S12" s="69">
        <v>0</v>
      </c>
      <c r="T12" s="69">
        <v>0</v>
      </c>
      <c r="U12" s="69">
        <v>19.899999999999999</v>
      </c>
      <c r="V12" s="69">
        <v>2.8</v>
      </c>
      <c r="W12" s="69">
        <v>0</v>
      </c>
      <c r="X12" s="69">
        <v>0.5</v>
      </c>
      <c r="Y12" s="69">
        <v>0</v>
      </c>
      <c r="Z12" s="69">
        <v>0</v>
      </c>
      <c r="AA12" s="69">
        <v>0</v>
      </c>
      <c r="AB12" s="69">
        <v>0</v>
      </c>
      <c r="AC12" s="69">
        <v>26.8</v>
      </c>
      <c r="AD12" s="69">
        <v>4.4000000000000004</v>
      </c>
      <c r="AE12" s="69">
        <v>1.2</v>
      </c>
      <c r="AF12" s="69">
        <v>0</v>
      </c>
      <c r="AG12" s="80"/>
      <c r="AH12" s="11">
        <f>IF(SUM(R12,V12)&gt;0,SUM(R12,V12),"")</f>
        <v>8</v>
      </c>
      <c r="AI12" s="11">
        <f>IF(SUM(Q12:R12,T12:V12,X12)-SUM(S12,W12)&gt;0,SUM(Q12:R12,T12:V12,X12)-SUM(S12,W12),"")</f>
        <v>55.8</v>
      </c>
      <c r="AJ12" s="11">
        <f>IF(SUM(Z12,AD12)&gt;0,SUM(Z12,AD12),"")</f>
        <v>4.4000000000000004</v>
      </c>
      <c r="AK12" s="11">
        <f>IF(SUM(Y12:Z12,AB12:AD12,AF12)-SUM(AA12,AE12)&gt;0,SUM(Y12:Z12,AB12:AD12,AF12)-SUM(AA12,AE12),"")</f>
        <v>30.000000000000004</v>
      </c>
      <c r="AL12" s="11">
        <f>IF(SUM(AI12,AK12)&gt;0,SUM(AI12,AK12),"")</f>
        <v>85.8</v>
      </c>
      <c r="AM12" s="38">
        <v>28.1</v>
      </c>
      <c r="AN12" s="38">
        <v>5.2</v>
      </c>
      <c r="AO12" s="38">
        <v>0.9</v>
      </c>
      <c r="AP12" s="38">
        <v>0</v>
      </c>
      <c r="AQ12" s="38">
        <v>27.7</v>
      </c>
      <c r="AR12" s="38">
        <v>5.2</v>
      </c>
      <c r="AS12" s="38">
        <v>0</v>
      </c>
      <c r="AT12" s="38">
        <v>0.5</v>
      </c>
      <c r="AU12" s="38">
        <v>28.1</v>
      </c>
      <c r="AV12" s="38">
        <v>4.8</v>
      </c>
      <c r="AW12" s="38">
        <v>0</v>
      </c>
      <c r="AX12" s="38">
        <v>0</v>
      </c>
      <c r="AY12" s="38">
        <v>20</v>
      </c>
      <c r="AZ12" s="38">
        <v>2.8</v>
      </c>
      <c r="BA12" s="38">
        <v>0</v>
      </c>
      <c r="BB12" s="38">
        <v>0</v>
      </c>
      <c r="BC12" s="81"/>
      <c r="BD12" s="14">
        <f>IF(SUM(AN12,AR12)&gt;0,SUM(AN12,AR12),"")</f>
        <v>10.4</v>
      </c>
      <c r="BE12" s="14">
        <f>IF(SUM(AM12:AN12,AP12:AR12,AT12)-SUM(AO12,AS12)&gt;0,SUM(AM12:AN12,AP12:AR12,AT12)-SUM(AO12,AS12),"")</f>
        <v>65.8</v>
      </c>
      <c r="BF12" s="14">
        <f>IF(SUM(AV12,AZ12)&gt;0,SUM(AV12,AZ12),"")</f>
        <v>7.6</v>
      </c>
      <c r="BG12" s="14">
        <f>IF(SUM(AU12:AV12,AX12:AZ12,BB12)-SUM(AW12,BA12)&gt;0,SUM(AU12:AV12,AX12:AZ12,BB12)-SUM(AW12,BA12),"")</f>
        <v>55.699999999999996</v>
      </c>
      <c r="BH12" s="14">
        <f>IF(SUM(BE12,BG12)&gt;0,SUM(BE12,BG12),"")</f>
        <v>121.5</v>
      </c>
      <c r="BI12" s="69">
        <v>27.8</v>
      </c>
      <c r="BJ12" s="69">
        <v>5.2</v>
      </c>
      <c r="BK12" s="69">
        <v>0</v>
      </c>
      <c r="BL12" s="69">
        <v>0</v>
      </c>
      <c r="BM12" s="69">
        <v>27.5</v>
      </c>
      <c r="BN12" s="69">
        <v>5.6</v>
      </c>
      <c r="BO12" s="69">
        <v>0</v>
      </c>
      <c r="BP12" s="69">
        <v>0</v>
      </c>
      <c r="BQ12" s="69">
        <v>27.5</v>
      </c>
      <c r="BR12" s="69">
        <v>4.4000000000000004</v>
      </c>
      <c r="BS12" s="69">
        <v>1.5</v>
      </c>
      <c r="BT12" s="69">
        <v>0</v>
      </c>
      <c r="BU12" s="69">
        <v>27.5</v>
      </c>
      <c r="BV12" s="69">
        <v>5.2</v>
      </c>
      <c r="BW12" s="69">
        <v>0</v>
      </c>
      <c r="BX12" s="69">
        <v>0</v>
      </c>
      <c r="BY12" s="80"/>
      <c r="BZ12" s="11">
        <f>IF(SUM(BJ12,BN12)&gt;0,SUM(BJ12,BN12),"")</f>
        <v>10.8</v>
      </c>
      <c r="CA12" s="11">
        <f>IF(SUM(BI12:BJ12,BL12:BN12,BP12)-SUM(BK12,BO12)&gt;0,SUM(BI12:BJ12,BL12:BN12,BP12)-SUM(BK12,BO12),"")</f>
        <v>66.099999999999994</v>
      </c>
      <c r="CB12" s="11">
        <f>IF(SUM(BR12,BV12)&gt;0,SUM(BR12,BV12),"")</f>
        <v>9.6000000000000014</v>
      </c>
      <c r="CC12" s="11">
        <f>IF(SUM(BQ12:BR12,BT12:BV12,BX12)-SUM(BS12,BW12)&gt;0,SUM(BQ12:BR12,BT12:BV12,BX12)-SUM(BS12,BW12),"")</f>
        <v>63.099999999999994</v>
      </c>
      <c r="CD12" s="11">
        <f>IF(SUM(CA12,CC12)&gt;0,SUM(CA12,CC12),"")</f>
        <v>129.19999999999999</v>
      </c>
      <c r="CE12" s="24"/>
      <c r="CF12" s="2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27.950000000000003</v>
      </c>
      <c r="LZ12" s="69">
        <f>IF($BY12="P",BJ12,(BJ12+AN12)/2)</f>
        <v>5.2</v>
      </c>
      <c r="MA12" s="69">
        <f>IF($BY12="P",BK12,(BK12+AO12)/2)</f>
        <v>0.45</v>
      </c>
      <c r="MB12" s="69">
        <f>IF($BY12="P",BL12,(BL12+AP12)/2)</f>
        <v>0</v>
      </c>
      <c r="MC12" s="69">
        <f>IF($BY12="P",BM12,(BM12+AQ12)/2)</f>
        <v>27.6</v>
      </c>
      <c r="MD12" s="69">
        <f>IF($BY12="P",BN12,(BN12+AR12)/2)</f>
        <v>5.4</v>
      </c>
      <c r="ME12" s="69">
        <f>IF($BY12="P",BO12,(BO12+AS12)/2)</f>
        <v>0</v>
      </c>
      <c r="MF12" s="69">
        <f>IF($BY12="P",BP12,(BP12+AT12)/2)</f>
        <v>0.25</v>
      </c>
      <c r="MG12" s="69">
        <f>IF($BY12="P",BQ12,(BQ12+AU12)/2)</f>
        <v>27.8</v>
      </c>
      <c r="MH12" s="69">
        <f>IF($BY12="P",BR12,(BR12+AV12)/2)</f>
        <v>4.5999999999999996</v>
      </c>
      <c r="MI12" s="69">
        <f>IF($BY12="P",BS12,(BS12+AW12)/2)</f>
        <v>0.75</v>
      </c>
      <c r="MJ12" s="69">
        <f>IF($BY12="P",BT12,(BT12+AX12)/2)</f>
        <v>0</v>
      </c>
      <c r="MK12" s="69">
        <f>IF($BY12="P",BU12,(BU12+AY12)/2)</f>
        <v>23.75</v>
      </c>
      <c r="ML12" s="69">
        <f>IF($BY12="P",BV12,(BV12+AZ12)/2)</f>
        <v>4</v>
      </c>
      <c r="MM12" s="69">
        <f>IF($BY12="P",BW12,(BW12+BA12)/2)</f>
        <v>0</v>
      </c>
      <c r="MN12" s="69">
        <f>IF($BY12="P",BX12,(BX12+BB12)/2)</f>
        <v>0</v>
      </c>
      <c r="MO12" s="80" t="s">
        <v>91</v>
      </c>
      <c r="MP12" s="11">
        <f>IF(SUM(LZ12,MD12)&gt;0,SUM(LZ12,MD12),"")</f>
        <v>10.600000000000001</v>
      </c>
      <c r="MQ12" s="11">
        <f>IF(SUM(LY12:LZ12,MB12:MD12,MF12)-SUM(MA12,ME12)&gt;0,SUM(LY12:LZ12,MB12:MD12,MF12)-SUM(MA12,ME12),"")</f>
        <v>65.95</v>
      </c>
      <c r="MR12" s="11">
        <f>IF(SUM(MH12,ML12)&gt;0,SUM(MH12,ML12),"")</f>
        <v>8.6</v>
      </c>
      <c r="MS12" s="11">
        <f>IF(SUM(MG12:MH12,MJ12:ML12,MN12)-SUM(MI12,MM12)&gt;0,SUM(MG12:MH12,MJ12:ML12,MN12)-SUM(MI12,MM12),"")</f>
        <v>59.4</v>
      </c>
      <c r="MT12" s="11">
        <f>IF(SUM(MQ12,MS12)&gt;0,SUM(MQ12,MS12),"")</f>
        <v>125.35</v>
      </c>
    </row>
    <row r="13" spans="1:358" x14ac:dyDescent="0.2">
      <c r="A13" s="5" t="str">
        <f>IF(AND(F13="P",G13="P"),SUMPRODUCT((F$4:F$15="P")*(G$4:G$15="P")*(E$4:E$15&gt;E13))+1,IF(G13="P",SUMPRODUCT((F$4:F$15="")*(G$4:G$15="P")*(E$4:E$15&gt;E13))+1+SUMPRODUCT((F$4:F$15="P")*(G$4:G$15="P")),""))</f>
        <v/>
      </c>
      <c r="B13" s="8" t="s">
        <v>181</v>
      </c>
      <c r="C13" s="4" t="s">
        <v>6</v>
      </c>
      <c r="D13" s="5">
        <v>2001</v>
      </c>
      <c r="E13" s="15">
        <f>SUM(J13:N13)</f>
        <v>192.7</v>
      </c>
      <c r="F13" s="3" t="str">
        <f>IF(OR(AND(AH13&gt;=AL$17,AI13&gt;=AL$21,AI13&lt;&gt;"",AG13=""),AND(BD13&gt;=BH$17,BE13&gt;=BH$21,BE13&lt;&gt;"",BC13=""),AND(BZ13&gt;=CD$17,CA13&gt;=CD$21,CA13&lt;&gt;"",BY13=""),AND(CW13&gt;=DA$17,CX13&gt;=DA$21,CX13&lt;&gt;""),AND(DR13&gt;=DV$17,DS13&gt;=DV$21,DS13&lt;&gt;""),AND(EM13&gt;=EQ$17,EN13&gt;=EQ$21,EN13&lt;&gt;""),AND(FH13&gt;=FL$17,FI13&gt;=FL$21,FI13&lt;&gt;""),AND(GC13&gt;=GG$17,GD13&gt;=GG$21,GD13&lt;&gt;""),AND(GX13&gt;=HB$17,GY13&gt;=HB$21,GY13&lt;&gt;""),AND(HS13&gt;=HW$17,HT13&gt;=HW$21,HT13&lt;&gt;""),AND(IN13&gt;=IR$17,IO13&gt;=IR$21,IO13&lt;&gt;""),AND(JI13&gt;=JM$17,JJ13&gt;=JM$21,JJ13&lt;&gt;""),AND(KD13&gt;=KH$17,KE13&gt;=KH$21,KE13&lt;&gt;""),AND(KY13&gt;=LC$17,KZ13&gt;=LC$21,KZ13&lt;&gt;""),AND(LT13&gt;=LX$17,LU13&gt;=LX$21,LU13&lt;&gt;"")),"P","")</f>
        <v/>
      </c>
      <c r="G13" s="3" t="str">
        <f>IF(OR(AND(AI13&gt;=AL$21,AI13&lt;&gt;"",AG13=""),AND(BE13&gt;=BH$21,BE13&lt;&gt;"",BC13=""),AND(CA13&gt;=CD$21,CA13&lt;&gt;"",BY13=""),AND(CX13&gt;=DA$21,CX13&lt;&gt;""),AND(DS13&gt;=DV$21,DS13&lt;&gt;""),AND(EN13&gt;=EQ$21,EN13&lt;&gt;""),AND(FI13&gt;=FL$21,FI13&lt;&gt;""),AND(GD13&gt;=GG$21,GD13&lt;&gt;""),AND(GY13&gt;=HB$21,GY13&lt;&gt;""),AND(HT13&gt;=HW$21,HT13&lt;&gt;""),AND(IO13&gt;=IR$21,IO13&lt;&gt;""),AND(JJ13&gt;=JM$21,JJ13&lt;&gt;""),AND(KE13&gt;=KH$21,KE13&lt;&gt;""),AND(KZ13&gt;=LC$21,KZ13&lt;&gt;""),AND(LU13&gt;=LX$21,LU13&lt;&gt;"")),"P","")</f>
        <v/>
      </c>
      <c r="H13" s="126" t="str">
        <f>IF(AND(G13="P",F13=""),"No DD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Merit",IF(OR(AND(AH13&gt;=AL$19,AH13&lt;&gt;"",AI13&gt;=AL$23,AI13&lt;&gt;"",AG13=""),AND(BD13&gt;=BH$19,BD13&lt;&gt;"",BE13&gt;=BH$23,BE13&lt;&gt;"",BC13=""),AND(BZ13&gt;=CD$19,BZ13&lt;&gt;"",CA13&gt;=CD$23,CA13&lt;&gt;"",BY13=""),AND(CW13&gt;=DA$19,CW13&lt;&gt;"",CX13&gt;=DA$23,CX13&lt;&gt;""),AND(DR13&gt;=DV$19,DR13&lt;&gt;"",DS13&gt;=DV$23,DS13&lt;&gt;""),AND(EM13&gt;=EQ$19,EM13&lt;&gt;"",EN13&gt;=EQ$23,EN13&lt;&gt;""),AND(FH13&gt;=FL$19,FH13&lt;&gt;"",FI13&gt;=FL$23,FI13&lt;&gt;""),AND(GC13&gt;=GG$19,GC13&lt;&gt;"",GD13&gt;=GG$23,GD13&lt;&gt;""),AND(GX13&gt;=HB$19,GX13&lt;&gt;"",GY13&gt;=HB$23,GY13&lt;&gt;""),AND(HS13&gt;=HW$19,HS13&lt;&gt;"",HT13&gt;=HW$23,HT13&lt;&gt;""),AND(IN13&gt;=IR$19,IN13&lt;&gt;"",IO13&gt;=IR$23,IO13&lt;&gt;""),AND(JI13&gt;=JM$19,JI13&lt;&gt;"",JJ13&gt;=JM$23,JJ13&lt;&gt;""),AND(KD13&gt;=KH$19,KD13&lt;&gt;"",KE13&gt;=KH$23,KE13&lt;&gt;""),AND(KY13&gt;=LC$19,KY13&lt;&gt;"",KZ13&gt;=LC$23,KZ13&lt;&gt;""),AND(LT13&gt;=LX$19,LT13&lt;&gt;"",LU13&gt;=LX$23,LU13&lt;&gt;"")),"Excellence",IF(OR(AND(AH13&gt;=AL$18,AH13&lt;&gt;"",AI13&gt;=AL$22,AI13&lt;&gt;"",AG13=""),AND(BD13&gt;=BH$18,BD13&lt;&gt;"",BE13&gt;=BH$22,BE13&lt;&gt;"",BC13=""),AND(BZ13&gt;=CD$18,BZ13&lt;&gt;"",CA13&gt;=CD$22,CA13&lt;&gt;"",BY13=""),AND(CW13&gt;=DA$18,CW13&lt;&gt;"",CX13&gt;=DA$22,CX13&lt;&gt;""),AND(DR13&gt;=DV$18,DR13&lt;&gt;"",DS13&gt;=DV$22,DS13&lt;&gt;""),AND(EM13&gt;=EQ$18,EM13&lt;&gt;"",EN13&gt;=EQ$22,EN13&lt;&gt;""),AND(FH13&gt;=FL$18,FH13&lt;&gt;"",FI13&gt;=FL$22,FI13&lt;&gt;""),AND(GC13&gt;=GG$18,GC13&lt;&gt;"",GD13&gt;=GG$22,GD13&lt;&gt;""),AND(GX13&gt;=HB$18,GX13&lt;&gt;"",GY13&gt;=HB$22,GY13&lt;&gt;""),AND(HS13&gt;=HW$18,HS13&lt;&gt;"",HT13&gt;=HW$22,HT13&lt;&gt;""),AND(IN13&gt;=IR$18,IN13&lt;&gt;"",IO13&gt;=IR$22,IO13&lt;&gt;""),AND(JI13&gt;=JM$18,JI13&lt;&gt;"",JJ13&gt;=JM$22,JJ13&lt;&gt;""),AND(KD13&gt;=KH$18,KD13&lt;&gt;"",KE13&gt;=KH$22,KE13&lt;&gt;""),AND(KY13&gt;=LC$18,KY13&lt;&gt;"",KZ13&gt;=LC$22,KZ13&lt;&gt;""),AND(LT13&gt;=LX$18,LT13&lt;&gt;"",LU13&gt;=LX$22,LU13&lt;&gt;"")),"Worlds Team",IF(OR(AND(AH13&gt;=AL$17,AH13&lt;&gt;"",AI13&gt;=AL$21,AI13&lt;&gt;"",AG13=""),AND(BD13&gt;=BH$17,BD13&lt;&gt;"",BE13&gt;=BH$21,BE13&lt;&gt;"",BC13=""),AND(BZ13&gt;=CD$17,BZ13&lt;&gt;"",CA13&gt;=CD$21,CA13&lt;&gt;"",BY13=""),AND(CW13&gt;=DA$17,CW13&lt;&gt;"",CX13&gt;=DA$21,CX13&lt;&gt;""),AND(DR13&gt;=DV$17,DR13&lt;&gt;"",DS13&gt;=DV$21,DS13&lt;&gt;""),AND(EM13&gt;=EQ$17,EM13&lt;&gt;"",EN13&gt;=EQ$21,EN13&lt;&gt;""),AND(FH13&gt;=FL$17,FH13&lt;&gt;"",FI13&gt;=FL$21,FI13&lt;&gt;""),AND(GC13&gt;=GG$17,GC13&lt;&gt;"",GD13&gt;=GG$21,GD13&lt;&gt;""),AND(GX13&gt;=HB$17,GX13&lt;&gt;"",GY13&gt;=HB$21,GY13&lt;&gt;""),AND(HS13&gt;=HW$17,HS13&lt;&gt;"",HT13&gt;=HW$21,HT13&lt;&gt;""),AND(IN13&gt;=IR$17,IN13&lt;&gt;"",IO13&gt;=IR$21,IO13&lt;&gt;""),AND(JI13&gt;=JM$17,JI13&lt;&gt;"",JJ13&gt;=JM$21,JJ13&lt;&gt;""),AND(KD13&gt;=KH$17,KD13&lt;&gt;"",KE13&gt;=KH$21,KE13&lt;&gt;""),AND(KY13&gt;=LC$17,KY13&lt;&gt;"",KZ13&gt;=LC$21,KZ13&lt;&gt;""),AND(LT13&gt;=LX$17,LT13&lt;&gt;"",LU13&gt;=LX$21,LU13&lt;&gt;"")),"National Team","")))))</f>
        <v/>
      </c>
      <c r="I13" s="3" t="str">
        <f>IF(OR(H13="Worlds Team",H13="Excellence",H13="Merit"),"P","")</f>
        <v/>
      </c>
      <c r="J13" s="14">
        <f>MAX(AL13,BH13,CD13)</f>
        <v>129.29999999999998</v>
      </c>
      <c r="K13" s="14" t="str">
        <f>IF(J13=0,"",IF(J13=CD13,$BI$1,IF(J13=BH13,$AM$1,IF(J13=AL13,$Q$1,""))))</f>
        <v>2019 Nationals</v>
      </c>
      <c r="L13" s="14">
        <f>IF(J13=AL13,MAX(BE13,BG13,CA13,CC13),IF(J13=BH13,MAX(AI13,AK13,CA13,CC13),MAX(AI13,AK13,BE13,BG13)))</f>
        <v>63.4</v>
      </c>
      <c r="M13" s="14" t="str">
        <f>IF(L13=0,"",IF(AND(J13&lt;&gt;CD13,OR(L13=CA13,L13=CC13)),$BI$1,IF(AND(J13&lt;&gt;BH13,OR(L13=BG13,L13=BE13)),$AM$1,IF(OR(L13=AK13,L13=AI13),$Q$1,""))))</f>
        <v>2019 Elite Canada</v>
      </c>
      <c r="N13" s="14" t="str">
        <f>IF(MAX(CE13:CF13)&gt;0,MAX(CE13:CF13),"")</f>
        <v/>
      </c>
      <c r="O13" s="25" t="str">
        <f>IF(N13="","",IF(N13=CE13,"(4 Pass)",IF(N13=CF13,"(2 Pass)")))</f>
        <v/>
      </c>
      <c r="P13" s="14" t="str">
        <f>IF(N13="","",IF(N13=CE13,IF(N13+IF(J13="",0,J13)=DA13,$CG$1,IF(N13+IF(J13="",0,J13)=DV13,$DB$1,IF(N13+IF(J13="",0,J13)=EQ13,$DW$1,IF(N13+IF(J13="",0,J13)=FL13,$ER$1,IF(N13+IF(J13="",0,J13)=GG13,$FM$1,IF(N13+IF(J13="",0,J13)=HB13,$GH$1,IF(N13+IF(J13="",0,J13)=HW13,$HC$1,IF(N13+IF(J13="",0,J13)=IR13,$HX$1,IF(N13+IF(J13="",0,J13)=JM13,$IS$1,IF(N13+IF(J13="",0,J13)=KH13,$JN$1,IF(N13+IF(J13="",0,J13)=LC13,$KI$1,IF(N13+IF(J13="",0,J13)=LX13,$LD$1)))))))))))),IF(N13=CF13,IF(OR(N13+IF(L13="",0,L13)=CX13,N13+IF(L13="",0,L13)=CZ13),$CG$1,IF(OR(N13+IF(L13="",0,L13)=DS13,N13+IF(L13="",0,L13)=DU13),$DB$1,IF(OR(N13+IF(L13="",0,L13)=EN13,N13+IF(L13="",0,L13)=EP13),$DW$1,IF(OR(N13+IF(L13="",0,L13)=FI13,N13+IF(L13="",0,L13)=FK13),$ER$1,IF(OR(N13+IF(L13="",0,L13)=GD13,N13+IF(L13="",0,L13)=GF13),$FM$1,IF(OR(N13+IF(L13="",0,L13)=GY13,N13+IF(L13="",0,L13)=HA13),$GH$1,IF(OR(N13+IF(L13="",0,L13)=HT13,N13+IF(L13="",0,L13)=HV13),$HC$1,IF(OR(N13+IF(L13="",0,L13)=IO13,N13+IF(L13="",0,L13)=IQ13),$HX$1,IF(OR(N13+IF(L13="",0,L13)=JJ13,N13+IF(L13="",0,L13)=JL13),$IS$1,IF(OR(N13+IF(L13="",0,L13)=KE13,N13+IF(L13="",0,L13)=KG13),$JN$1,IF(OR(N13+IF(L13="",0,L13)=KZ13,N13+IF(L13="",0,L13)=LB13),$KI$1,IF(OR(N13+IF(L13="",0,L13)=LU13,N13+IF(L13="",0,L13)=LW13),$LD$1)))))))))))))))</f>
        <v/>
      </c>
      <c r="Q13" s="69">
        <v>26.6</v>
      </c>
      <c r="R13" s="69">
        <v>4.8</v>
      </c>
      <c r="S13" s="69">
        <v>0.9</v>
      </c>
      <c r="T13" s="69">
        <v>0</v>
      </c>
      <c r="U13" s="69">
        <v>27.3</v>
      </c>
      <c r="V13" s="69">
        <v>5.6</v>
      </c>
      <c r="W13" s="69">
        <v>0</v>
      </c>
      <c r="X13" s="69">
        <v>0</v>
      </c>
      <c r="Y13" s="69">
        <v>27.9</v>
      </c>
      <c r="Z13" s="69">
        <v>3.7</v>
      </c>
      <c r="AA13" s="69">
        <v>1.2</v>
      </c>
      <c r="AB13" s="69">
        <v>0</v>
      </c>
      <c r="AC13" s="69">
        <v>27.7</v>
      </c>
      <c r="AD13" s="69">
        <v>4.8</v>
      </c>
      <c r="AE13" s="69">
        <v>0.9</v>
      </c>
      <c r="AF13" s="69">
        <v>0</v>
      </c>
      <c r="AG13" s="80"/>
      <c r="AH13" s="11">
        <f>IF(SUM(R13,V13)&gt;0,SUM(R13,V13),"")</f>
        <v>10.399999999999999</v>
      </c>
      <c r="AI13" s="11">
        <f>IF(SUM(Q13:R13,T13:V13,X13)-SUM(S13,W13)&gt;0,SUM(Q13:R13,T13:V13,X13)-SUM(S13,W13),"")</f>
        <v>63.4</v>
      </c>
      <c r="AJ13" s="11">
        <f>IF(SUM(Z13,AD13)&gt;0,SUM(Z13,AD13),"")</f>
        <v>8.5</v>
      </c>
      <c r="AK13" s="11">
        <f>IF(SUM(Y13:Z13,AB13:AD13,AF13)-SUM(AA13,AE13)&gt;0,SUM(Y13:Z13,AB13:AD13,AF13)-SUM(AA13,AE13),"")</f>
        <v>61.999999999999993</v>
      </c>
      <c r="AL13" s="11">
        <f>IF(SUM(AI13,AK13)&gt;0,SUM(AI13,AK13),"")</f>
        <v>125.39999999999999</v>
      </c>
      <c r="AM13" s="38">
        <v>27.4</v>
      </c>
      <c r="AN13" s="38">
        <v>4.8</v>
      </c>
      <c r="AO13" s="38">
        <v>0</v>
      </c>
      <c r="AP13" s="38">
        <v>0</v>
      </c>
      <c r="AQ13" s="38">
        <v>28.4</v>
      </c>
      <c r="AR13" s="38">
        <v>5.6</v>
      </c>
      <c r="AS13" s="38">
        <v>0</v>
      </c>
      <c r="AT13" s="38">
        <v>0</v>
      </c>
      <c r="AU13" s="38">
        <v>27.3</v>
      </c>
      <c r="AV13" s="38">
        <v>4.8</v>
      </c>
      <c r="AW13" s="38">
        <v>0.9</v>
      </c>
      <c r="AX13" s="38">
        <v>0</v>
      </c>
      <c r="AY13" s="38">
        <v>27</v>
      </c>
      <c r="AZ13" s="38">
        <v>5.2</v>
      </c>
      <c r="BA13" s="38">
        <v>0.3</v>
      </c>
      <c r="BB13" s="38">
        <v>0</v>
      </c>
      <c r="BC13" s="81"/>
      <c r="BD13" s="14">
        <f>IF(SUM(AN13,AR13)&gt;0,SUM(AN13,AR13),"")</f>
        <v>10.399999999999999</v>
      </c>
      <c r="BE13" s="14">
        <f>IF(SUM(AM13:AN13,AP13:AR13,AT13)-SUM(AO13,AS13)&gt;0,SUM(AM13:AN13,AP13:AR13,AT13)-SUM(AO13,AS13),"")</f>
        <v>66.199999999999989</v>
      </c>
      <c r="BF13" s="14">
        <f>IF(SUM(AV13,AZ13)&gt;0,SUM(AV13,AZ13),"")</f>
        <v>10</v>
      </c>
      <c r="BG13" s="14">
        <f>IF(SUM(AU13:AV13,AX13:AZ13,BB13)-SUM(AW13,BA13)&gt;0,SUM(AU13:AV13,AX13:AZ13,BB13)-SUM(AW13,BA13),"")</f>
        <v>63.099999999999994</v>
      </c>
      <c r="BH13" s="14">
        <f>IF(SUM(BE13,BG13)&gt;0,SUM(BE13,BG13),"")</f>
        <v>129.29999999999998</v>
      </c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80"/>
      <c r="BZ13" s="11" t="str">
        <f>IF(SUM(BJ13,BN13)&gt;0,SUM(BJ13,BN13),"")</f>
        <v/>
      </c>
      <c r="CA13" s="11" t="str">
        <f>IF(SUM(BI13:BJ13,BL13:BN13,BP13)-SUM(BK13,BO13)&gt;0,SUM(BI13:BJ13,BL13:BN13,BP13)-SUM(BK13,BO13),"")</f>
        <v/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 t="str">
        <f>IF(SUM(CA13,CC13)&gt;0,SUM(CA13,CC13),"")</f>
        <v/>
      </c>
      <c r="CE13" s="24" t="str">
        <f>IF(MAX(DA13,DV13,EQ13,FL13,GG13,HB13,HW13,IR13,JM13,KH13,LC13,LX13)-IF(J13="",0,J13)&gt;0.001,MAX(DA13,DV13,EQ13,FL13,GG13,HB13,HW13,IR13,JM13,KH13,LC13,LX13)-IF(J13="",0,J13),"")</f>
        <v/>
      </c>
      <c r="CF13" s="24" t="str">
        <f>IF(MAX(CX13,CZ13,DS13,DU13,EN13,EP13,FI13,FK13,GD13,GF13,GY13,HA13,HT13,HV13,IO13,IQ13,JJ13,JL13,KE13,KG13,KZ13,LB13,LU13,LW13)-IF(L13="",0,L13)&gt;0.001,MAX(CX13,CZ13,DS13,DU13,EN13,EP13,FI13,FK13,GD13,GF13,GY13,HA13,HT13,HV13,IO13,IQ13,JJ13,JL13,KE13,KG13,KZ13,LB13,LU13,LW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>
        <v>27.5</v>
      </c>
      <c r="DC13" s="43">
        <v>5.2</v>
      </c>
      <c r="DD13" s="43">
        <v>0</v>
      </c>
      <c r="DE13" s="43">
        <v>0</v>
      </c>
      <c r="DF13" s="43">
        <v>26.4</v>
      </c>
      <c r="DG13" s="43">
        <v>3.3</v>
      </c>
      <c r="DH13" s="43">
        <v>0.3</v>
      </c>
      <c r="DI13" s="43">
        <v>0</v>
      </c>
      <c r="DJ13" s="43"/>
      <c r="DK13" s="43"/>
      <c r="DL13" s="43"/>
      <c r="DM13" s="43"/>
      <c r="DN13" s="43"/>
      <c r="DO13" s="43"/>
      <c r="DP13" s="43"/>
      <c r="DQ13" s="43"/>
      <c r="DR13" s="14">
        <f>IF(SUM(DC13,DG13)&gt;0,SUM(DC13,DG13),"")</f>
        <v>8.5</v>
      </c>
      <c r="DS13" s="14">
        <f>IF(SUM(DB13:DC13,DE13:DG13,DI13)-SUM(DD13,DH13)&gt;0,SUM(DB13:DC13,DE13:DG13,DI13)-SUM(DD13,DH13),"")</f>
        <v>62.1</v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>
        <f>IF(SUM(DS13,DU13)&gt;0,SUM(DS13,DU13),"")</f>
        <v>62.1</v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13.7</v>
      </c>
      <c r="LZ13" s="69">
        <f>IF($BY13="P",BJ13,(BJ13+AN13)/2)</f>
        <v>2.4</v>
      </c>
      <c r="MA13" s="69">
        <f>IF($BY13="P",BK13,(BK13+AO13)/2)</f>
        <v>0</v>
      </c>
      <c r="MB13" s="69">
        <f>IF($BY13="P",BL13,(BL13+AP13)/2)</f>
        <v>0</v>
      </c>
      <c r="MC13" s="69">
        <f>IF($BY13="P",BM13,(BM13+AQ13)/2)</f>
        <v>14.2</v>
      </c>
      <c r="MD13" s="69">
        <f>IF($BY13="P",BN13,(BN13+AR13)/2)</f>
        <v>2.8</v>
      </c>
      <c r="ME13" s="69">
        <f>IF($BY13="P",BO13,(BO13+AS13)/2)</f>
        <v>0</v>
      </c>
      <c r="MF13" s="69">
        <f>IF($BY13="P",BP13,(BP13+AT13)/2)</f>
        <v>0</v>
      </c>
      <c r="MG13" s="69">
        <f>IF($BY13="P",BQ13,(BQ13+AU13)/2)</f>
        <v>13.65</v>
      </c>
      <c r="MH13" s="69">
        <f>IF($BY13="P",BR13,(BR13+AV13)/2)</f>
        <v>2.4</v>
      </c>
      <c r="MI13" s="69">
        <f>IF($BY13="P",BS13,(BS13+AW13)/2)</f>
        <v>0.45</v>
      </c>
      <c r="MJ13" s="69">
        <f>IF($BY13="P",BT13,(BT13+AX13)/2)</f>
        <v>0</v>
      </c>
      <c r="MK13" s="69">
        <f>IF($BY13="P",BU13,(BU13+AY13)/2)</f>
        <v>13.5</v>
      </c>
      <c r="ML13" s="69">
        <f>IF($BY13="P",BV13,(BV13+AZ13)/2)</f>
        <v>2.6</v>
      </c>
      <c r="MM13" s="69">
        <f>IF($BY13="P",BW13,(BW13+BA13)/2)</f>
        <v>0.15</v>
      </c>
      <c r="MN13" s="69">
        <f>IF($BY13="P",BX13,(BX13+BB13)/2)</f>
        <v>0</v>
      </c>
      <c r="MO13" s="80" t="s">
        <v>91</v>
      </c>
      <c r="MP13" s="11">
        <f>IF(SUM(LZ13,MD13)&gt;0,SUM(LZ13,MD13),"")</f>
        <v>5.1999999999999993</v>
      </c>
      <c r="MQ13" s="11">
        <f>IF(SUM(LY13:LZ13,MB13:MD13,MF13)-SUM(MA13,ME13)&gt;0,SUM(LY13:LZ13,MB13:MD13,MF13)-SUM(MA13,ME13),"")</f>
        <v>33.099999999999994</v>
      </c>
      <c r="MR13" s="11">
        <f>IF(SUM(MH13,ML13)&gt;0,SUM(MH13,ML13),"")</f>
        <v>5</v>
      </c>
      <c r="MS13" s="11">
        <f>IF(SUM(MG13:MH13,MJ13:ML13,MN13)-SUM(MI13,MM13)&gt;0,SUM(MG13:MH13,MJ13:ML13,MN13)-SUM(MI13,MM13),"")</f>
        <v>31.549999999999997</v>
      </c>
      <c r="MT13" s="11">
        <f>IF(SUM(MQ13,MS13)&gt;0,SUM(MQ13,MS13),"")</f>
        <v>64.649999999999991</v>
      </c>
    </row>
    <row r="14" spans="1:358" x14ac:dyDescent="0.2">
      <c r="A14" s="5" t="str">
        <f>IF(AND(F14="P",G14="P"),SUMPRODUCT((F$4:F$15="P")*(G$4:G$15="P")*(E$4:E$15&gt;E14))+1,IF(G14="P",SUMPRODUCT((F$4:F$15="")*(G$4:G$15="P")*(E$4:E$15&gt;E14))+1+SUMPRODUCT((F$4:F$15="P")*(G$4:G$15="P")),""))</f>
        <v/>
      </c>
      <c r="B14" s="8" t="s">
        <v>133</v>
      </c>
      <c r="C14" s="4" t="s">
        <v>5</v>
      </c>
      <c r="D14" s="5">
        <v>2000</v>
      </c>
      <c r="E14" s="15">
        <f>SUM(J14:N14)</f>
        <v>170.4</v>
      </c>
      <c r="F14" s="3" t="str">
        <f>IF(OR(AND(AH14&gt;=AL$17,AI14&gt;=AL$21,AI14&lt;&gt;"",AG14=""),AND(BD14&gt;=BH$17,BE14&gt;=BH$21,BE14&lt;&gt;"",BC14=""),AND(BZ14&gt;=CD$17,CA14&gt;=CD$21,CA14&lt;&gt;"",BY14=""),AND(CW14&gt;=DA$17,CX14&gt;=DA$21,CX14&lt;&gt;""),AND(DR14&gt;=DV$17,DS14&gt;=DV$21,DS14&lt;&gt;""),AND(EM14&gt;=EQ$17,EN14&gt;=EQ$21,EN14&lt;&gt;""),AND(FH14&gt;=FL$17,FI14&gt;=FL$21,FI14&lt;&gt;""),AND(GC14&gt;=GG$17,GD14&gt;=GG$21,GD14&lt;&gt;""),AND(GX14&gt;=HB$17,GY14&gt;=HB$21,GY14&lt;&gt;""),AND(HS14&gt;=HW$17,HT14&gt;=HW$21,HT14&lt;&gt;""),AND(IN14&gt;=IR$17,IO14&gt;=IR$21,IO14&lt;&gt;""),AND(JI14&gt;=JM$17,JJ14&gt;=JM$21,JJ14&lt;&gt;""),AND(KD14&gt;=KH$17,KE14&gt;=KH$21,KE14&lt;&gt;""),AND(KY14&gt;=LC$17,KZ14&gt;=LC$21,KZ14&lt;&gt;""),AND(LT14&gt;=LX$17,LU14&gt;=LX$21,LU14&lt;&gt;"")),"P","")</f>
        <v/>
      </c>
      <c r="G14" s="3" t="str">
        <f>IF(OR(AND(AI14&gt;=AL$21,AI14&lt;&gt;"",AG14=""),AND(BE14&gt;=BH$21,BE14&lt;&gt;"",BC14=""),AND(CA14&gt;=CD$21,CA14&lt;&gt;"",BY14=""),AND(CX14&gt;=DA$21,CX14&lt;&gt;""),AND(DS14&gt;=DV$21,DS14&lt;&gt;""),AND(EN14&gt;=EQ$21,EN14&lt;&gt;""),AND(FI14&gt;=FL$21,FI14&lt;&gt;""),AND(GD14&gt;=GG$21,GD14&lt;&gt;""),AND(GY14&gt;=HB$21,GY14&lt;&gt;""),AND(HT14&gt;=HW$21,HT14&lt;&gt;""),AND(IO14&gt;=IR$21,IO14&lt;&gt;""),AND(JJ14&gt;=JM$21,JJ14&lt;&gt;""),AND(KE14&gt;=KH$21,KE14&lt;&gt;""),AND(KZ14&gt;=LC$21,KZ14&lt;&gt;""),AND(LU14&gt;=LX$21,LU14&lt;&gt;"")),"P","")</f>
        <v/>
      </c>
      <c r="H14" s="126" t="str">
        <f>IF(AND(G14="P",F14=""),"No DD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Merit",IF(OR(AND(AH14&gt;=AL$19,AH14&lt;&gt;"",AI14&gt;=AL$23,AI14&lt;&gt;"",AG14=""),AND(BD14&gt;=BH$19,BD14&lt;&gt;"",BE14&gt;=BH$23,BE14&lt;&gt;"",BC14=""),AND(BZ14&gt;=CD$19,BZ14&lt;&gt;"",CA14&gt;=CD$23,CA14&lt;&gt;"",BY14=""),AND(CW14&gt;=DA$19,CW14&lt;&gt;"",CX14&gt;=DA$23,CX14&lt;&gt;""),AND(DR14&gt;=DV$19,DR14&lt;&gt;"",DS14&gt;=DV$23,DS14&lt;&gt;""),AND(EM14&gt;=EQ$19,EM14&lt;&gt;"",EN14&gt;=EQ$23,EN14&lt;&gt;""),AND(FH14&gt;=FL$19,FH14&lt;&gt;"",FI14&gt;=FL$23,FI14&lt;&gt;""),AND(GC14&gt;=GG$19,GC14&lt;&gt;"",GD14&gt;=GG$23,GD14&lt;&gt;""),AND(GX14&gt;=HB$19,GX14&lt;&gt;"",GY14&gt;=HB$23,GY14&lt;&gt;""),AND(HS14&gt;=HW$19,HS14&lt;&gt;"",HT14&gt;=HW$23,HT14&lt;&gt;""),AND(IN14&gt;=IR$19,IN14&lt;&gt;"",IO14&gt;=IR$23,IO14&lt;&gt;""),AND(JI14&gt;=JM$19,JI14&lt;&gt;"",JJ14&gt;=JM$23,JJ14&lt;&gt;""),AND(KD14&gt;=KH$19,KD14&lt;&gt;"",KE14&gt;=KH$23,KE14&lt;&gt;""),AND(KY14&gt;=LC$19,KY14&lt;&gt;"",KZ14&gt;=LC$23,KZ14&lt;&gt;""),AND(LT14&gt;=LX$19,LT14&lt;&gt;"",LU14&gt;=LX$23,LU14&lt;&gt;"")),"Excellence",IF(OR(AND(AH14&gt;=AL$18,AH14&lt;&gt;"",AI14&gt;=AL$22,AI14&lt;&gt;"",AG14=""),AND(BD14&gt;=BH$18,BD14&lt;&gt;"",BE14&gt;=BH$22,BE14&lt;&gt;"",BC14=""),AND(BZ14&gt;=CD$18,BZ14&lt;&gt;"",CA14&gt;=CD$22,CA14&lt;&gt;"",BY14=""),AND(CW14&gt;=DA$18,CW14&lt;&gt;"",CX14&gt;=DA$22,CX14&lt;&gt;""),AND(DR14&gt;=DV$18,DR14&lt;&gt;"",DS14&gt;=DV$22,DS14&lt;&gt;""),AND(EM14&gt;=EQ$18,EM14&lt;&gt;"",EN14&gt;=EQ$22,EN14&lt;&gt;""),AND(FH14&gt;=FL$18,FH14&lt;&gt;"",FI14&gt;=FL$22,FI14&lt;&gt;""),AND(GC14&gt;=GG$18,GC14&lt;&gt;"",GD14&gt;=GG$22,GD14&lt;&gt;""),AND(GX14&gt;=HB$18,GX14&lt;&gt;"",GY14&gt;=HB$22,GY14&lt;&gt;""),AND(HS14&gt;=HW$18,HS14&lt;&gt;"",HT14&gt;=HW$22,HT14&lt;&gt;""),AND(IN14&gt;=IR$18,IN14&lt;&gt;"",IO14&gt;=IR$22,IO14&lt;&gt;""),AND(JI14&gt;=JM$18,JI14&lt;&gt;"",JJ14&gt;=JM$22,JJ14&lt;&gt;""),AND(KD14&gt;=KH$18,KD14&lt;&gt;"",KE14&gt;=KH$22,KE14&lt;&gt;""),AND(KY14&gt;=LC$18,KY14&lt;&gt;"",KZ14&gt;=LC$22,KZ14&lt;&gt;""),AND(LT14&gt;=LX$18,LT14&lt;&gt;"",LU14&gt;=LX$22,LU14&lt;&gt;"")),"Worlds Team",IF(OR(AND(AH14&gt;=AL$17,AH14&lt;&gt;"",AI14&gt;=AL$21,AI14&lt;&gt;"",AG14=""),AND(BD14&gt;=BH$17,BD14&lt;&gt;"",BE14&gt;=BH$21,BE14&lt;&gt;"",BC14=""),AND(BZ14&gt;=CD$17,BZ14&lt;&gt;"",CA14&gt;=CD$21,CA14&lt;&gt;"",BY14=""),AND(CW14&gt;=DA$17,CW14&lt;&gt;"",CX14&gt;=DA$21,CX14&lt;&gt;""),AND(DR14&gt;=DV$17,DR14&lt;&gt;"",DS14&gt;=DV$21,DS14&lt;&gt;""),AND(EM14&gt;=EQ$17,EM14&lt;&gt;"",EN14&gt;=EQ$21,EN14&lt;&gt;""),AND(FH14&gt;=FL$17,FH14&lt;&gt;"",FI14&gt;=FL$21,FI14&lt;&gt;""),AND(GC14&gt;=GG$17,GC14&lt;&gt;"",GD14&gt;=GG$21,GD14&lt;&gt;""),AND(GX14&gt;=HB$17,GX14&lt;&gt;"",GY14&gt;=HB$21,GY14&lt;&gt;""),AND(HS14&gt;=HW$17,HS14&lt;&gt;"",HT14&gt;=HW$21,HT14&lt;&gt;""),AND(IN14&gt;=IR$17,IN14&lt;&gt;"",IO14&gt;=IR$21,IO14&lt;&gt;""),AND(JI14&gt;=JM$17,JI14&lt;&gt;"",JJ14&gt;=JM$21,JJ14&lt;&gt;""),AND(KD14&gt;=KH$17,KD14&lt;&gt;"",KE14&gt;=KH$21,KE14&lt;&gt;""),AND(KY14&gt;=LC$17,KY14&lt;&gt;"",KZ14&gt;=LC$21,KZ14&lt;&gt;""),AND(LT14&gt;=LX$17,LT14&lt;&gt;"",LU14&gt;=LX$21,LU14&lt;&gt;"")),"National Team","")))))</f>
        <v/>
      </c>
      <c r="I14" s="3" t="str">
        <f>IF(OR(H14="Worlds Team",H14="Excellence",H14="Merit"),"P","")</f>
        <v/>
      </c>
      <c r="J14" s="14">
        <f>MAX(AL14,BH14,CD14)</f>
        <v>113.9</v>
      </c>
      <c r="K14" s="14" t="str">
        <f>IF(J14=0,"",IF(J14=CD14,$BI$1,IF(J14=BH14,$AM$1,IF(J14=AL14,$Q$1,""))))</f>
        <v>2019 Nationals</v>
      </c>
      <c r="L14" s="14">
        <f>IF(J14=AL14,MAX(BE14,BG14,CA14,CC14),IF(J14=BH14,MAX(AI14,AK14,CA14,CC14),MAX(AI14,AK14,BE14,BG14)))</f>
        <v>56.499999999999993</v>
      </c>
      <c r="M14" s="14" t="str">
        <f>IF(L14=0,"",IF(AND(J14&lt;&gt;CD14,OR(L14=CA14,L14=CC14)),$BI$1,IF(AND(J14&lt;&gt;BH14,OR(L14=BG14,L14=BE14)),$AM$1,IF(OR(L14=AK14,L14=AI14),$Q$1,""))))</f>
        <v>2019 Elite Canada</v>
      </c>
      <c r="N14" s="14" t="str">
        <f>IF(MAX(CE14:CF14)&gt;0,MAX(CE14:CF14),"")</f>
        <v/>
      </c>
      <c r="O14" s="25" t="str">
        <f>IF(N14="","",IF(N14=CE14,"(4 Pass)",IF(N14=CF14,"(2 Pass)")))</f>
        <v/>
      </c>
      <c r="P14" s="14" t="str">
        <f>IF(N14="","",IF(N14=CE14,IF(N14+IF(J14="",0,J14)=DA14,$CG$1,IF(N14+IF(J14="",0,J14)=DV14,$DB$1,IF(N14+IF(J14="",0,J14)=EQ14,$DW$1,IF(N14+IF(J14="",0,J14)=FL14,$ER$1,IF(N14+IF(J14="",0,J14)=GG14,$FM$1,IF(N14+IF(J14="",0,J14)=HB14,$GH$1,IF(N14+IF(J14="",0,J14)=HW14,$HC$1,IF(N14+IF(J14="",0,J14)=IR14,$HX$1,IF(N14+IF(J14="",0,J14)=JM14,$IS$1,IF(N14+IF(J14="",0,J14)=KH14,$JN$1,IF(N14+IF(J14="",0,J14)=LC14,$KI$1,IF(N14+IF(J14="",0,J14)=LX14,$LD$1)))))))))))),IF(N14=CF14,IF(OR(N14+IF(L14="",0,L14)=CX14,N14+IF(L14="",0,L14)=CZ14),$CG$1,IF(OR(N14+IF(L14="",0,L14)=DS14,N14+IF(L14="",0,L14)=DU14),$DB$1,IF(OR(N14+IF(L14="",0,L14)=EN14,N14+IF(L14="",0,L14)=EP14),$DW$1,IF(OR(N14+IF(L14="",0,L14)=FI14,N14+IF(L14="",0,L14)=FK14),$ER$1,IF(OR(N14+IF(L14="",0,L14)=GD14,N14+IF(L14="",0,L14)=GF14),$FM$1,IF(OR(N14+IF(L14="",0,L14)=GY14,N14+IF(L14="",0,L14)=HA14),$GH$1,IF(OR(N14+IF(L14="",0,L14)=HT14,N14+IF(L14="",0,L14)=HV14),$HC$1,IF(OR(N14+IF(L14="",0,L14)=IO14,N14+IF(L14="",0,L14)=IQ14),$HX$1,IF(OR(N14+IF(L14="",0,L14)=JJ14,N14+IF(L14="",0,L14)=JL14),$IS$1,IF(OR(N14+IF(L14="",0,L14)=KE14,N14+IF(L14="",0,L14)=KG14),$JN$1,IF(OR(N14+IF(L14="",0,L14)=KZ14,N14+IF(L14="",0,L14)=LB14),$KI$1,IF(OR(N14+IF(L14="",0,L14)=LU14,N14+IF(L14="",0,L14)=LW14),$LD$1)))))))))))))))</f>
        <v/>
      </c>
      <c r="Q14" s="69">
        <v>24.4</v>
      </c>
      <c r="R14" s="69">
        <v>6</v>
      </c>
      <c r="S14" s="69">
        <v>1.2</v>
      </c>
      <c r="T14" s="69">
        <v>0</v>
      </c>
      <c r="U14" s="69">
        <v>26.5</v>
      </c>
      <c r="V14" s="69">
        <v>2.8</v>
      </c>
      <c r="W14" s="69">
        <v>2</v>
      </c>
      <c r="X14" s="69">
        <v>0</v>
      </c>
      <c r="Y14" s="69"/>
      <c r="Z14" s="69"/>
      <c r="AA14" s="69"/>
      <c r="AB14" s="69"/>
      <c r="AC14" s="69"/>
      <c r="AD14" s="69"/>
      <c r="AE14" s="69"/>
      <c r="AF14" s="69"/>
      <c r="AG14" s="80"/>
      <c r="AH14" s="11">
        <f>IF(SUM(R14,V14)&gt;0,SUM(R14,V14),"")</f>
        <v>8.8000000000000007</v>
      </c>
      <c r="AI14" s="11">
        <f>IF(SUM(Q14:R14,T14:V14,X14)-SUM(S14,W14)&gt;0,SUM(Q14:R14,T14:V14,X14)-SUM(S14,W14),"")</f>
        <v>56.499999999999993</v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>
        <f>IF(SUM(AI14,AK14)&gt;0,SUM(AI14,AK14),"")</f>
        <v>56.499999999999993</v>
      </c>
      <c r="AM14" s="38">
        <v>28.4</v>
      </c>
      <c r="AN14" s="38">
        <v>6</v>
      </c>
      <c r="AO14" s="38">
        <v>0</v>
      </c>
      <c r="AP14" s="38">
        <v>0</v>
      </c>
      <c r="AQ14" s="38">
        <v>27</v>
      </c>
      <c r="AR14" s="38">
        <v>5.6</v>
      </c>
      <c r="AS14" s="38">
        <v>0.3</v>
      </c>
      <c r="AT14" s="38">
        <v>0</v>
      </c>
      <c r="AU14" s="38">
        <v>19.8</v>
      </c>
      <c r="AV14" s="38">
        <v>2.4</v>
      </c>
      <c r="AW14" s="38">
        <v>0</v>
      </c>
      <c r="AX14" s="38">
        <v>0</v>
      </c>
      <c r="AY14" s="38">
        <v>27</v>
      </c>
      <c r="AZ14" s="38">
        <v>2</v>
      </c>
      <c r="BA14" s="38">
        <v>4</v>
      </c>
      <c r="BB14" s="38">
        <v>0</v>
      </c>
      <c r="BC14" s="81"/>
      <c r="BD14" s="14">
        <f>IF(SUM(AN14,AR14)&gt;0,SUM(AN14,AR14),"")</f>
        <v>11.6</v>
      </c>
      <c r="BE14" s="14">
        <f>IF(SUM(AM14:AN14,AP14:AR14,AT14)-SUM(AO14,AS14)&gt;0,SUM(AM14:AN14,AP14:AR14,AT14)-SUM(AO14,AS14),"")</f>
        <v>66.7</v>
      </c>
      <c r="BF14" s="14">
        <f>IF(SUM(AV14,AZ14)&gt;0,SUM(AV14,AZ14),"")</f>
        <v>4.4000000000000004</v>
      </c>
      <c r="BG14" s="14">
        <f>IF(SUM(AU14:AV14,AX14:AZ14,BB14)-SUM(AW14,BA14)&gt;0,SUM(AU14:AV14,AX14:AZ14,BB14)-SUM(AW14,BA14),"")</f>
        <v>47.2</v>
      </c>
      <c r="BH14" s="14">
        <f>IF(SUM(BE14,BG14)&gt;0,SUM(BE14,BG14),"")</f>
        <v>113.9</v>
      </c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80"/>
      <c r="BZ14" s="11" t="str">
        <f>IF(SUM(BJ14,BN14)&gt;0,SUM(BJ14,BN14),"")</f>
        <v/>
      </c>
      <c r="CA14" s="11" t="str">
        <f>IF(SUM(BI14:BJ14,BL14:BN14,BP14)-SUM(BK14,BO14)&gt;0,SUM(BI14:BJ14,BL14:BN14,BP14)-SUM(BK14,BO14),"")</f>
        <v/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 t="str">
        <f>IF(SUM(CA14,CC14)&gt;0,SUM(CA14,CC14),"")</f>
        <v/>
      </c>
      <c r="CE14" s="24"/>
      <c r="CF14" s="2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14.2</v>
      </c>
      <c r="LZ14" s="69">
        <f>IF($BY14="P",BJ14,(BJ14+AN14)/2)</f>
        <v>3</v>
      </c>
      <c r="MA14" s="69">
        <f>IF($BY14="P",BK14,(BK14+AO14)/2)</f>
        <v>0</v>
      </c>
      <c r="MB14" s="69">
        <f>IF($BY14="P",BL14,(BL14+AP14)/2)</f>
        <v>0</v>
      </c>
      <c r="MC14" s="69">
        <f>IF($BY14="P",BM14,(BM14+AQ14)/2)</f>
        <v>13.5</v>
      </c>
      <c r="MD14" s="69">
        <f>IF($BY14="P",BN14,(BN14+AR14)/2)</f>
        <v>2.8</v>
      </c>
      <c r="ME14" s="69">
        <f>IF($BY14="P",BO14,(BO14+AS14)/2)</f>
        <v>0.15</v>
      </c>
      <c r="MF14" s="69">
        <f>IF($BY14="P",BP14,(BP14+AT14)/2)</f>
        <v>0</v>
      </c>
      <c r="MG14" s="69">
        <f>IF($BY14="P",BQ14,(BQ14+AU14)/2)</f>
        <v>9.9</v>
      </c>
      <c r="MH14" s="69">
        <f>IF($BY14="P",BR14,(BR14+AV14)/2)</f>
        <v>1.2</v>
      </c>
      <c r="MI14" s="69">
        <f>IF($BY14="P",BS14,(BS14+AW14)/2)</f>
        <v>0</v>
      </c>
      <c r="MJ14" s="69">
        <f>IF($BY14="P",BT14,(BT14+AX14)/2)</f>
        <v>0</v>
      </c>
      <c r="MK14" s="69">
        <f>IF($BY14="P",BU14,(BU14+AY14)/2)</f>
        <v>13.5</v>
      </c>
      <c r="ML14" s="69">
        <f>IF($BY14="P",BV14,(BV14+AZ14)/2)</f>
        <v>1</v>
      </c>
      <c r="MM14" s="69">
        <f>IF($BY14="P",BW14,(BW14+BA14)/2)</f>
        <v>2</v>
      </c>
      <c r="MN14" s="69">
        <f>IF($BY14="P",BX14,(BX14+BB14)/2)</f>
        <v>0</v>
      </c>
      <c r="MO14" s="80" t="s">
        <v>91</v>
      </c>
      <c r="MP14" s="11">
        <f>IF(SUM(LZ14,MD14)&gt;0,SUM(LZ14,MD14),"")</f>
        <v>5.8</v>
      </c>
      <c r="MQ14" s="11">
        <f>IF(SUM(LY14:LZ14,MB14:MD14,MF14)-SUM(MA14,ME14)&gt;0,SUM(LY14:LZ14,MB14:MD14,MF14)-SUM(MA14,ME14),"")</f>
        <v>33.35</v>
      </c>
      <c r="MR14" s="11">
        <f>IF(SUM(MH14,ML14)&gt;0,SUM(MH14,ML14),"")</f>
        <v>2.2000000000000002</v>
      </c>
      <c r="MS14" s="11">
        <f>IF(SUM(MG14:MH14,MJ14:ML14,MN14)-SUM(MI14,MM14)&gt;0,SUM(MG14:MH14,MJ14:ML14,MN14)-SUM(MI14,MM14),"")</f>
        <v>23.6</v>
      </c>
      <c r="MT14" s="11">
        <f>IF(SUM(MQ14,MS14)&gt;0,SUM(MQ14,MS14),"")</f>
        <v>56.95</v>
      </c>
    </row>
    <row r="15" spans="1:358" s="53" customFormat="1" x14ac:dyDescent="0.2">
      <c r="A15" s="7"/>
      <c r="B15" s="8"/>
      <c r="C15" s="4"/>
      <c r="D15" s="7"/>
      <c r="E15" s="95"/>
      <c r="F15" s="96"/>
      <c r="G15" s="96"/>
      <c r="H15" s="132"/>
      <c r="I15" s="96"/>
      <c r="J15" s="54"/>
      <c r="K15" s="54"/>
      <c r="L15" s="54"/>
      <c r="M15" s="54"/>
      <c r="N15" s="54"/>
      <c r="O15" s="97"/>
      <c r="P15" s="54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9"/>
      <c r="AH15" s="54"/>
      <c r="AI15" s="54"/>
      <c r="AJ15" s="54"/>
      <c r="AK15" s="54"/>
      <c r="AL15" s="54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99"/>
      <c r="BD15" s="54"/>
      <c r="BE15" s="54"/>
      <c r="BF15" s="54"/>
      <c r="BG15" s="54"/>
      <c r="BH15" s="54"/>
      <c r="BI15" s="98"/>
      <c r="BJ15" s="98"/>
      <c r="BK15" s="98"/>
      <c r="BL15" s="98"/>
      <c r="BM15" s="98"/>
      <c r="BN15" s="98"/>
      <c r="BO15" s="98"/>
      <c r="BP15" s="98"/>
      <c r="BQ15" s="98"/>
      <c r="BR15" s="98"/>
      <c r="BS15" s="98"/>
      <c r="BT15" s="98"/>
      <c r="BU15" s="98"/>
      <c r="BV15" s="98"/>
      <c r="BW15" s="98"/>
      <c r="BX15" s="98"/>
      <c r="BY15" s="99"/>
      <c r="BZ15" s="54"/>
      <c r="CA15" s="54"/>
      <c r="CB15" s="54"/>
      <c r="CC15" s="54"/>
      <c r="CD15" s="54"/>
      <c r="CE15" s="54"/>
      <c r="CF15" s="54"/>
      <c r="CG15" s="101"/>
      <c r="CH15" s="101"/>
      <c r="CI15" s="101"/>
      <c r="CJ15" s="101"/>
      <c r="CK15" s="101"/>
      <c r="CL15" s="101"/>
      <c r="CM15" s="101"/>
      <c r="CN15" s="101"/>
      <c r="CO15" s="101"/>
      <c r="CP15" s="101"/>
      <c r="CQ15" s="101"/>
      <c r="CR15" s="101"/>
      <c r="CS15" s="101"/>
      <c r="CT15" s="101"/>
      <c r="CU15" s="101"/>
      <c r="CV15" s="101"/>
      <c r="CW15" s="54"/>
      <c r="CX15" s="54"/>
      <c r="CY15" s="54"/>
      <c r="CZ15" s="54"/>
      <c r="DA15" s="54"/>
      <c r="DB15" s="101"/>
      <c r="DC15" s="101"/>
      <c r="DD15" s="101"/>
      <c r="DE15" s="101"/>
      <c r="DF15" s="101"/>
      <c r="DG15" s="101"/>
      <c r="DH15" s="101"/>
      <c r="DI15" s="101"/>
      <c r="DJ15" s="101"/>
      <c r="DK15" s="101"/>
      <c r="DL15" s="101"/>
      <c r="DM15" s="101"/>
      <c r="DN15" s="101"/>
      <c r="DO15" s="101"/>
      <c r="DP15" s="101"/>
      <c r="DQ15" s="101"/>
      <c r="DR15" s="54"/>
      <c r="DS15" s="54"/>
      <c r="DT15" s="54"/>
      <c r="DU15" s="54"/>
      <c r="DV15" s="54"/>
      <c r="DW15" s="101"/>
      <c r="DX15" s="101"/>
      <c r="DY15" s="101"/>
      <c r="DZ15" s="101"/>
      <c r="EA15" s="101"/>
      <c r="EB15" s="101"/>
      <c r="EC15" s="101"/>
      <c r="ED15" s="101"/>
      <c r="EE15" s="101"/>
      <c r="EF15" s="101"/>
      <c r="EG15" s="101"/>
      <c r="EH15" s="101"/>
      <c r="EI15" s="101"/>
      <c r="EJ15" s="101"/>
      <c r="EK15" s="101"/>
      <c r="EL15" s="101"/>
      <c r="EM15" s="54"/>
      <c r="EN15" s="54"/>
      <c r="EO15" s="54"/>
      <c r="EP15" s="54"/>
      <c r="EQ15" s="54"/>
      <c r="ER15" s="101"/>
      <c r="ES15" s="101"/>
      <c r="ET15" s="101"/>
      <c r="EU15" s="101"/>
      <c r="EV15" s="101"/>
      <c r="EW15" s="101"/>
      <c r="EX15" s="101"/>
      <c r="EY15" s="101"/>
      <c r="EZ15" s="101"/>
      <c r="FA15" s="101"/>
      <c r="FB15" s="101"/>
      <c r="FC15" s="101"/>
      <c r="FD15" s="101"/>
      <c r="FE15" s="101"/>
      <c r="FF15" s="101"/>
      <c r="FG15" s="101"/>
      <c r="FH15" s="54"/>
      <c r="FI15" s="54"/>
      <c r="FJ15" s="54"/>
      <c r="FK15" s="54"/>
      <c r="FL15" s="54"/>
      <c r="FM15" s="101"/>
      <c r="FN15" s="101"/>
      <c r="FO15" s="101"/>
      <c r="FP15" s="101"/>
      <c r="FQ15" s="101"/>
      <c r="FR15" s="101"/>
      <c r="FS15" s="101"/>
      <c r="FT15" s="101"/>
      <c r="FU15" s="101"/>
      <c r="FV15" s="101"/>
      <c r="FW15" s="101"/>
      <c r="FX15" s="101"/>
      <c r="FY15" s="101"/>
      <c r="FZ15" s="101"/>
      <c r="GA15" s="101"/>
      <c r="GB15" s="101"/>
      <c r="GC15" s="54"/>
      <c r="GD15" s="54"/>
      <c r="GE15" s="54"/>
      <c r="GF15" s="54"/>
      <c r="GG15" s="54"/>
      <c r="GH15" s="101"/>
      <c r="GI15" s="101"/>
      <c r="GJ15" s="101"/>
      <c r="GK15" s="101"/>
      <c r="GL15" s="101"/>
      <c r="GM15" s="101"/>
      <c r="GN15" s="101"/>
      <c r="GO15" s="101"/>
      <c r="GP15" s="101"/>
      <c r="GQ15" s="101"/>
      <c r="GR15" s="101"/>
      <c r="GS15" s="101"/>
      <c r="GT15" s="101"/>
      <c r="GU15" s="101"/>
      <c r="GV15" s="101"/>
      <c r="GW15" s="101"/>
      <c r="GX15" s="54"/>
      <c r="GY15" s="54"/>
      <c r="GZ15" s="54"/>
      <c r="HA15" s="54"/>
      <c r="HB15" s="54"/>
      <c r="HC15" s="101"/>
      <c r="HD15" s="101"/>
      <c r="HE15" s="101"/>
      <c r="HF15" s="101"/>
      <c r="HG15" s="101"/>
      <c r="HH15" s="101"/>
      <c r="HI15" s="101"/>
      <c r="HJ15" s="101"/>
      <c r="HK15" s="101"/>
      <c r="HL15" s="101"/>
      <c r="HM15" s="101"/>
      <c r="HN15" s="101"/>
      <c r="HO15" s="101"/>
      <c r="HP15" s="101"/>
      <c r="HQ15" s="101"/>
      <c r="HR15" s="101"/>
      <c r="HS15" s="54"/>
      <c r="HT15" s="54"/>
      <c r="HU15" s="54"/>
      <c r="HV15" s="54"/>
      <c r="HW15" s="54"/>
      <c r="HX15" s="101"/>
      <c r="HY15" s="101"/>
      <c r="HZ15" s="101"/>
      <c r="IA15" s="101"/>
      <c r="IB15" s="101"/>
      <c r="IC15" s="101"/>
      <c r="ID15" s="101"/>
      <c r="IE15" s="101"/>
      <c r="IF15" s="101"/>
      <c r="IG15" s="101"/>
      <c r="IH15" s="101"/>
      <c r="II15" s="101"/>
      <c r="IJ15" s="101"/>
      <c r="IK15" s="101"/>
      <c r="IL15" s="101"/>
      <c r="IM15" s="101"/>
      <c r="IN15" s="54"/>
      <c r="IO15" s="54"/>
      <c r="IP15" s="54"/>
      <c r="IQ15" s="54"/>
      <c r="IR15" s="54"/>
      <c r="IS15" s="101"/>
      <c r="IT15" s="101"/>
      <c r="IU15" s="101"/>
      <c r="IV15" s="101"/>
      <c r="IW15" s="101"/>
      <c r="IX15" s="101"/>
      <c r="IY15" s="101"/>
      <c r="IZ15" s="101"/>
      <c r="JA15" s="101"/>
      <c r="JB15" s="101"/>
      <c r="JC15" s="101"/>
      <c r="JD15" s="101"/>
      <c r="JE15" s="101"/>
      <c r="JF15" s="101"/>
      <c r="JG15" s="101"/>
      <c r="JH15" s="101"/>
      <c r="JI15" s="54"/>
      <c r="JJ15" s="54"/>
      <c r="JK15" s="54"/>
      <c r="JL15" s="54"/>
      <c r="JM15" s="54"/>
      <c r="JN15" s="101"/>
      <c r="JO15" s="101"/>
      <c r="JP15" s="101"/>
      <c r="JQ15" s="101"/>
      <c r="JR15" s="101"/>
      <c r="JS15" s="101"/>
      <c r="JT15" s="101"/>
      <c r="JU15" s="101"/>
      <c r="JV15" s="101"/>
      <c r="JW15" s="101"/>
      <c r="JX15" s="101"/>
      <c r="JY15" s="101"/>
      <c r="JZ15" s="101"/>
      <c r="KA15" s="101"/>
      <c r="KB15" s="101"/>
      <c r="KC15" s="101"/>
      <c r="KD15" s="54"/>
      <c r="KE15" s="54"/>
      <c r="KF15" s="54"/>
      <c r="KG15" s="54"/>
      <c r="KH15" s="54"/>
      <c r="KI15" s="101"/>
      <c r="KJ15" s="101"/>
      <c r="KK15" s="101"/>
      <c r="KL15" s="101"/>
      <c r="KM15" s="101"/>
      <c r="KN15" s="101"/>
      <c r="KO15" s="101"/>
      <c r="KP15" s="101"/>
      <c r="KQ15" s="101"/>
      <c r="KR15" s="101"/>
      <c r="KS15" s="101"/>
      <c r="KT15" s="101"/>
      <c r="KU15" s="101"/>
      <c r="KV15" s="101"/>
      <c r="KW15" s="101"/>
      <c r="KX15" s="101"/>
      <c r="KY15" s="54"/>
      <c r="KZ15" s="54"/>
      <c r="LA15" s="54"/>
      <c r="LB15" s="54"/>
      <c r="LC15" s="54"/>
      <c r="LD15" s="101"/>
      <c r="LE15" s="101"/>
      <c r="LF15" s="101"/>
      <c r="LG15" s="101"/>
      <c r="LH15" s="101"/>
      <c r="LI15" s="101"/>
      <c r="LJ15" s="101"/>
      <c r="LK15" s="101"/>
      <c r="LL15" s="101"/>
      <c r="LM15" s="101"/>
      <c r="LN15" s="101"/>
      <c r="LO15" s="101"/>
      <c r="LP15" s="101"/>
      <c r="LQ15" s="101"/>
      <c r="LR15" s="101"/>
      <c r="LS15" s="101"/>
      <c r="LT15" s="54"/>
      <c r="LU15" s="54"/>
      <c r="LV15" s="54"/>
      <c r="LW15" s="54"/>
      <c r="LX15" s="54"/>
    </row>
    <row r="16" spans="1:358" x14ac:dyDescent="0.2">
      <c r="AH16" s="54"/>
      <c r="AJ16" s="54"/>
      <c r="BD16" s="54"/>
      <c r="BF16" s="54"/>
      <c r="BZ16" s="54"/>
      <c r="CB16" s="54"/>
      <c r="CW16" s="54"/>
      <c r="CY16" s="54"/>
      <c r="DR16" s="54"/>
      <c r="DT16" s="54"/>
      <c r="EM16" s="54"/>
      <c r="EO16" s="54"/>
      <c r="FH16" s="54"/>
      <c r="FJ16" s="54"/>
      <c r="GC16" s="54"/>
      <c r="GE16" s="54"/>
      <c r="GX16" s="54"/>
      <c r="GZ16" s="54"/>
      <c r="HS16" s="54"/>
      <c r="HU16" s="54"/>
      <c r="IN16" s="54"/>
      <c r="IP16" s="54"/>
      <c r="JI16" s="54"/>
      <c r="JK16" s="54"/>
      <c r="KD16" s="54"/>
      <c r="KF16" s="54"/>
      <c r="KY16" s="54"/>
      <c r="LA16" s="54"/>
      <c r="LT16" s="54"/>
      <c r="LV16" s="54"/>
    </row>
    <row r="17" spans="1:336" x14ac:dyDescent="0.2">
      <c r="B17" s="70" t="s">
        <v>79</v>
      </c>
      <c r="AH17" s="54"/>
      <c r="AJ17" s="54"/>
      <c r="AL17" s="64">
        <v>11.6</v>
      </c>
      <c r="BD17" s="54"/>
      <c r="BF17" s="54"/>
      <c r="BH17" s="64">
        <v>11.6</v>
      </c>
      <c r="BZ17" s="54"/>
      <c r="CB17" s="54"/>
      <c r="CD17" s="64">
        <v>10.8</v>
      </c>
      <c r="CW17" s="54"/>
      <c r="CY17" s="54"/>
      <c r="DA17" s="64">
        <v>11.6</v>
      </c>
      <c r="DR17" s="54"/>
      <c r="DT17" s="54"/>
      <c r="DV17" s="64">
        <v>11.6</v>
      </c>
      <c r="EM17" s="54"/>
      <c r="EO17" s="54"/>
      <c r="EQ17" s="64">
        <v>10.8</v>
      </c>
      <c r="FH17" s="54"/>
      <c r="FJ17" s="54"/>
      <c r="FL17" s="64">
        <v>10.8</v>
      </c>
      <c r="GC17" s="54"/>
      <c r="GE17" s="54"/>
      <c r="GG17" s="64">
        <v>10.8</v>
      </c>
      <c r="GX17" s="54"/>
      <c r="GZ17" s="54"/>
      <c r="HB17" s="64">
        <v>10.8</v>
      </c>
      <c r="HS17" s="54"/>
      <c r="HU17" s="54"/>
      <c r="HW17" s="64">
        <v>10.8</v>
      </c>
      <c r="IN17" s="54"/>
      <c r="IP17" s="54"/>
      <c r="IR17" s="64">
        <v>10.8</v>
      </c>
      <c r="JI17" s="54"/>
      <c r="JK17" s="54"/>
      <c r="JM17" s="64">
        <v>10.8</v>
      </c>
      <c r="KD17" s="54"/>
      <c r="KF17" s="54"/>
      <c r="KH17" s="64">
        <v>10.8</v>
      </c>
      <c r="KY17" s="54"/>
      <c r="LA17" s="54"/>
      <c r="LC17" s="64">
        <v>10.8</v>
      </c>
      <c r="LT17" s="54"/>
      <c r="LV17" s="54"/>
      <c r="LX17" s="64">
        <v>10.8</v>
      </c>
    </row>
    <row r="18" spans="1:336" x14ac:dyDescent="0.2">
      <c r="B18" s="91" t="s">
        <v>78</v>
      </c>
      <c r="AH18" s="54"/>
      <c r="AJ18" s="54"/>
      <c r="AL18" s="93">
        <v>11.6</v>
      </c>
      <c r="BD18" s="54"/>
      <c r="BF18" s="54"/>
      <c r="BH18" s="93">
        <v>13.200100000000001</v>
      </c>
      <c r="BZ18" s="54"/>
      <c r="CB18" s="54"/>
      <c r="CD18" s="93">
        <v>11.2</v>
      </c>
      <c r="CW18" s="54"/>
      <c r="CY18" s="54"/>
      <c r="DA18" s="93">
        <v>11.6</v>
      </c>
      <c r="DR18" s="54"/>
      <c r="DT18" s="54"/>
      <c r="DV18" s="93">
        <v>11.6</v>
      </c>
      <c r="EM18" s="54"/>
      <c r="EO18" s="54"/>
      <c r="EQ18" s="93">
        <v>11.2</v>
      </c>
      <c r="FH18" s="54"/>
      <c r="FJ18" s="54"/>
      <c r="FL18" s="93">
        <v>11.2</v>
      </c>
      <c r="GC18" s="54"/>
      <c r="GE18" s="54"/>
      <c r="GG18" s="93">
        <v>11.2</v>
      </c>
      <c r="GX18" s="54"/>
      <c r="GZ18" s="54"/>
      <c r="HB18" s="93">
        <v>11.2</v>
      </c>
      <c r="HS18" s="54"/>
      <c r="HU18" s="54"/>
      <c r="HW18" s="93">
        <v>11.2</v>
      </c>
      <c r="IN18" s="54"/>
      <c r="IP18" s="54"/>
      <c r="IR18" s="93">
        <v>11.2</v>
      </c>
      <c r="JI18" s="54"/>
      <c r="JK18" s="54"/>
      <c r="JM18" s="93">
        <v>11.2</v>
      </c>
      <c r="KD18" s="54"/>
      <c r="KF18" s="54"/>
      <c r="KH18" s="93">
        <v>11.2</v>
      </c>
      <c r="KY18" s="54"/>
      <c r="LA18" s="54"/>
      <c r="LC18" s="93">
        <v>11.2</v>
      </c>
      <c r="LT18" s="54"/>
      <c r="LV18" s="54"/>
      <c r="LX18" s="93">
        <v>11.2</v>
      </c>
    </row>
    <row r="19" spans="1:336" x14ac:dyDescent="0.2">
      <c r="A19" s="56"/>
      <c r="B19" s="92" t="s">
        <v>122</v>
      </c>
      <c r="C19" s="55"/>
      <c r="AL19" s="94">
        <v>22.8</v>
      </c>
      <c r="BG19" s="129" t="s">
        <v>196</v>
      </c>
      <c r="BH19" s="94">
        <v>13.200100000000001</v>
      </c>
      <c r="CD19" s="94">
        <v>11.6</v>
      </c>
      <c r="DA19" s="94">
        <v>22.8</v>
      </c>
      <c r="DU19" s="129"/>
      <c r="DV19" s="94">
        <v>22.8</v>
      </c>
      <c r="EQ19" s="94">
        <v>11.6</v>
      </c>
      <c r="FL19" s="94">
        <v>11.6</v>
      </c>
      <c r="GG19" s="94">
        <v>11.6</v>
      </c>
      <c r="HB19" s="94">
        <v>11.6</v>
      </c>
      <c r="HW19" s="94">
        <v>11.6</v>
      </c>
      <c r="IR19" s="94">
        <v>11.6</v>
      </c>
      <c r="JM19" s="94">
        <v>11.6</v>
      </c>
      <c r="KH19" s="94">
        <v>11.6</v>
      </c>
      <c r="LC19" s="94">
        <v>11.6</v>
      </c>
      <c r="LX19" s="94">
        <v>11.6</v>
      </c>
    </row>
    <row r="20" spans="1:336" x14ac:dyDescent="0.2">
      <c r="A20" s="56"/>
      <c r="B20" s="71" t="s">
        <v>188</v>
      </c>
      <c r="C20" s="55"/>
      <c r="AK20" s="129" t="s">
        <v>196</v>
      </c>
      <c r="AL20" s="65">
        <v>13.2</v>
      </c>
      <c r="BG20" s="129" t="s">
        <v>196</v>
      </c>
      <c r="BH20" s="65">
        <v>13.200100000000001</v>
      </c>
      <c r="CD20" s="65">
        <v>12</v>
      </c>
      <c r="DA20" s="65">
        <v>22.8</v>
      </c>
      <c r="DV20" s="65">
        <v>22.8</v>
      </c>
      <c r="EQ20" s="65">
        <v>12</v>
      </c>
      <c r="FL20" s="65">
        <v>12</v>
      </c>
      <c r="GG20" s="65">
        <v>12</v>
      </c>
      <c r="HB20" s="65">
        <v>12</v>
      </c>
      <c r="HW20" s="65">
        <v>12</v>
      </c>
      <c r="IR20" s="65">
        <v>12</v>
      </c>
      <c r="JM20" s="65">
        <v>12</v>
      </c>
      <c r="KH20" s="65">
        <v>12</v>
      </c>
      <c r="LC20" s="65">
        <v>12</v>
      </c>
      <c r="LX20" s="65">
        <v>12</v>
      </c>
    </row>
    <row r="21" spans="1:336" x14ac:dyDescent="0.2">
      <c r="A21" s="56"/>
      <c r="B21" s="73" t="s">
        <v>76</v>
      </c>
      <c r="C21" s="55"/>
      <c r="AH21" s="56"/>
      <c r="AJ21" s="56"/>
      <c r="AL21" s="67">
        <v>67</v>
      </c>
      <c r="BD21" s="56"/>
      <c r="BF21" s="56"/>
      <c r="BH21" s="67">
        <v>67</v>
      </c>
      <c r="BZ21" s="56"/>
      <c r="CB21" s="56"/>
      <c r="CD21" s="67">
        <v>66.599999999999994</v>
      </c>
      <c r="CW21" s="56"/>
      <c r="CY21" s="56"/>
      <c r="DA21" s="67">
        <v>67</v>
      </c>
      <c r="DR21" s="56"/>
      <c r="DT21" s="56"/>
      <c r="DV21" s="67">
        <v>67</v>
      </c>
      <c r="EM21" s="56"/>
      <c r="EO21" s="56"/>
      <c r="EQ21" s="67">
        <v>66.599999999999994</v>
      </c>
      <c r="FH21" s="56"/>
      <c r="FJ21" s="56"/>
      <c r="FL21" s="67">
        <v>66.599999999999994</v>
      </c>
      <c r="GC21" s="56"/>
      <c r="GE21" s="56"/>
      <c r="GG21" s="67">
        <v>66.599999999999994</v>
      </c>
      <c r="GX21" s="56"/>
      <c r="GZ21" s="56"/>
      <c r="HB21" s="67">
        <v>66.599999999999994</v>
      </c>
      <c r="HS21" s="56"/>
      <c r="HU21" s="56"/>
      <c r="HW21" s="67">
        <v>66.599999999999994</v>
      </c>
      <c r="IN21" s="56"/>
      <c r="IP21" s="56"/>
      <c r="IR21" s="67">
        <v>66.599999999999994</v>
      </c>
      <c r="JI21" s="56"/>
      <c r="JK21" s="56"/>
      <c r="JM21" s="67">
        <v>66.599999999999994</v>
      </c>
      <c r="KD21" s="56"/>
      <c r="KF21" s="56"/>
      <c r="KH21" s="67">
        <v>66.599999999999994</v>
      </c>
      <c r="KY21" s="56"/>
      <c r="LA21" s="56"/>
      <c r="LC21" s="67">
        <v>66.599999999999994</v>
      </c>
      <c r="LT21" s="56"/>
      <c r="LV21" s="56"/>
      <c r="LX21" s="67">
        <v>66.599999999999994</v>
      </c>
    </row>
    <row r="22" spans="1:336" x14ac:dyDescent="0.2">
      <c r="A22" s="56"/>
      <c r="B22" s="72" t="s">
        <v>77</v>
      </c>
      <c r="C22" s="55"/>
      <c r="AH22" s="56"/>
      <c r="AJ22" s="56"/>
      <c r="AL22" s="66">
        <v>68.2</v>
      </c>
      <c r="BD22" s="56"/>
      <c r="BF22" s="56"/>
      <c r="BH22" s="66">
        <v>67.2</v>
      </c>
      <c r="BZ22" s="56"/>
      <c r="CB22" s="56"/>
      <c r="CD22" s="66">
        <v>67.599999999999994</v>
      </c>
      <c r="CW22" s="56"/>
      <c r="CY22" s="56"/>
      <c r="DA22" s="66">
        <v>68.2</v>
      </c>
      <c r="DR22" s="56"/>
      <c r="DT22" s="56"/>
      <c r="DV22" s="66">
        <v>68.2</v>
      </c>
      <c r="EM22" s="56"/>
      <c r="EO22" s="56"/>
      <c r="EQ22" s="66">
        <v>67.599999999999994</v>
      </c>
      <c r="FH22" s="56"/>
      <c r="FJ22" s="56"/>
      <c r="FL22" s="66">
        <v>67.599999999999994</v>
      </c>
      <c r="GC22" s="56"/>
      <c r="GE22" s="56"/>
      <c r="GG22" s="66">
        <v>67.599999999999994</v>
      </c>
      <c r="GX22" s="56"/>
      <c r="GZ22" s="56"/>
      <c r="HB22" s="66">
        <v>67.599999999999994</v>
      </c>
      <c r="HS22" s="56"/>
      <c r="HU22" s="56"/>
      <c r="HW22" s="66">
        <v>67.599999999999994</v>
      </c>
      <c r="IN22" s="56"/>
      <c r="IP22" s="56"/>
      <c r="IR22" s="66">
        <v>67.599999999999994</v>
      </c>
      <c r="JI22" s="56"/>
      <c r="JK22" s="56"/>
      <c r="JM22" s="66">
        <v>67.599999999999994</v>
      </c>
      <c r="KD22" s="56"/>
      <c r="KF22" s="56"/>
      <c r="KH22" s="66">
        <v>67.599999999999994</v>
      </c>
      <c r="KY22" s="56"/>
      <c r="LA22" s="56"/>
      <c r="LC22" s="66">
        <v>67.599999999999994</v>
      </c>
      <c r="LT22" s="56"/>
      <c r="LV22" s="56"/>
      <c r="LX22" s="66">
        <v>67.599999999999994</v>
      </c>
    </row>
    <row r="23" spans="1:336" x14ac:dyDescent="0.2">
      <c r="A23" s="56"/>
      <c r="B23" s="116" t="s">
        <v>117</v>
      </c>
      <c r="C23" s="55"/>
      <c r="AH23" s="56"/>
      <c r="AJ23" s="56"/>
      <c r="AL23" s="117">
        <v>135.80000000000001</v>
      </c>
      <c r="BD23" s="56"/>
      <c r="BF23" s="56"/>
      <c r="BG23" s="129" t="s">
        <v>196</v>
      </c>
      <c r="BH23" s="117">
        <v>67.2</v>
      </c>
      <c r="BZ23" s="56"/>
      <c r="CB23" s="56"/>
      <c r="CD23" s="117">
        <v>68.900000000000006</v>
      </c>
      <c r="CW23" s="56"/>
      <c r="CY23" s="56"/>
      <c r="DA23" s="117">
        <v>135.80000000000001</v>
      </c>
      <c r="DR23" s="56"/>
      <c r="DT23" s="56"/>
      <c r="DU23" s="129"/>
      <c r="DV23" s="117">
        <v>135.80000000000001</v>
      </c>
      <c r="EM23" s="56"/>
      <c r="EO23" s="56"/>
      <c r="EQ23" s="117">
        <v>68.900000000000006</v>
      </c>
      <c r="FH23" s="56"/>
      <c r="FJ23" s="56"/>
      <c r="FL23" s="117">
        <v>68.900000000000006</v>
      </c>
      <c r="GC23" s="56"/>
      <c r="GE23" s="56"/>
      <c r="GG23" s="117">
        <v>68.900000000000006</v>
      </c>
      <c r="GX23" s="56"/>
      <c r="GZ23" s="56"/>
      <c r="HB23" s="117">
        <v>68.900000000000006</v>
      </c>
      <c r="HS23" s="56"/>
      <c r="HU23" s="56"/>
      <c r="HW23" s="117">
        <v>68.900000000000006</v>
      </c>
      <c r="IN23" s="56"/>
      <c r="IP23" s="56"/>
      <c r="IR23" s="117">
        <v>68.900000000000006</v>
      </c>
      <c r="JI23" s="56"/>
      <c r="JK23" s="56"/>
      <c r="JM23" s="117">
        <v>68.900000000000006</v>
      </c>
      <c r="KD23" s="56"/>
      <c r="KF23" s="56"/>
      <c r="KH23" s="117">
        <v>68.900000000000006</v>
      </c>
      <c r="KY23" s="56"/>
      <c r="LA23" s="56"/>
      <c r="LC23" s="117">
        <v>68.900000000000006</v>
      </c>
      <c r="LT23" s="56"/>
      <c r="LV23" s="56"/>
      <c r="LX23" s="117">
        <v>68.900000000000006</v>
      </c>
    </row>
    <row r="24" spans="1:336" x14ac:dyDescent="0.2">
      <c r="A24" s="56"/>
      <c r="B24" s="74" t="s">
        <v>58</v>
      </c>
      <c r="C24" s="55"/>
      <c r="AH24" s="56"/>
      <c r="AJ24" s="56"/>
      <c r="AK24" s="129" t="s">
        <v>196</v>
      </c>
      <c r="AL24" s="68">
        <v>69.3</v>
      </c>
      <c r="BD24" s="56"/>
      <c r="BF24" s="56"/>
      <c r="BG24" s="129" t="s">
        <v>196</v>
      </c>
      <c r="BH24" s="68">
        <v>71</v>
      </c>
      <c r="BZ24" s="56"/>
      <c r="CB24" s="56"/>
      <c r="CD24" s="68">
        <v>69.900000000000006</v>
      </c>
      <c r="CW24" s="56"/>
      <c r="CY24" s="56"/>
      <c r="DA24" s="68">
        <v>136.69999999999999</v>
      </c>
      <c r="DR24" s="56"/>
      <c r="DT24" s="56"/>
      <c r="DV24" s="68">
        <v>136.69999999999999</v>
      </c>
      <c r="EM24" s="56"/>
      <c r="EO24" s="56"/>
      <c r="EQ24" s="68">
        <v>69.900000000000006</v>
      </c>
      <c r="FH24" s="56"/>
      <c r="FJ24" s="56"/>
      <c r="FL24" s="68">
        <v>69.900000000000006</v>
      </c>
      <c r="GC24" s="56"/>
      <c r="GE24" s="56"/>
      <c r="GG24" s="68">
        <v>69.900000000000006</v>
      </c>
      <c r="GX24" s="56"/>
      <c r="GZ24" s="56"/>
      <c r="HB24" s="68">
        <v>69.900000000000006</v>
      </c>
      <c r="HS24" s="56"/>
      <c r="HU24" s="56"/>
      <c r="HW24" s="68">
        <v>69.900000000000006</v>
      </c>
      <c r="IN24" s="56"/>
      <c r="IP24" s="56"/>
      <c r="IR24" s="68">
        <v>69.900000000000006</v>
      </c>
      <c r="JI24" s="56"/>
      <c r="JK24" s="56"/>
      <c r="JM24" s="68">
        <v>69.900000000000006</v>
      </c>
      <c r="KD24" s="56"/>
      <c r="KF24" s="56"/>
      <c r="KH24" s="68">
        <v>69.900000000000006</v>
      </c>
      <c r="KY24" s="56"/>
      <c r="LA24" s="56"/>
      <c r="LC24" s="68">
        <v>69.900000000000006</v>
      </c>
      <c r="LT24" s="56"/>
      <c r="LV24" s="56"/>
      <c r="LX24" s="68">
        <v>69.900000000000006</v>
      </c>
    </row>
    <row r="25" spans="1:336" x14ac:dyDescent="0.2">
      <c r="B25" s="82" t="s">
        <v>92</v>
      </c>
      <c r="C25" s="2"/>
      <c r="AH25" s="56"/>
      <c r="AJ25" s="56"/>
      <c r="BD25" s="56"/>
      <c r="BF25" s="56"/>
      <c r="BZ25" s="56"/>
      <c r="CB25" s="56"/>
      <c r="CW25" s="56"/>
      <c r="CX25" s="6"/>
      <c r="CY25" s="56"/>
      <c r="DR25" s="56"/>
      <c r="DT25" s="56"/>
      <c r="EM25" s="56"/>
      <c r="EO25" s="56"/>
      <c r="FH25" s="56"/>
      <c r="FJ25" s="56"/>
      <c r="GC25" s="56"/>
      <c r="GE25" s="56"/>
      <c r="GX25" s="56"/>
      <c r="GZ25" s="56"/>
      <c r="HS25" s="56"/>
      <c r="HU25" s="56"/>
      <c r="IN25" s="56"/>
      <c r="IP25" s="56"/>
      <c r="JI25" s="56"/>
      <c r="JK25" s="56"/>
      <c r="KD25" s="56"/>
      <c r="KE25" s="6"/>
      <c r="KF25" s="56"/>
      <c r="KY25" s="56"/>
      <c r="LA25" s="56"/>
      <c r="LT25" s="56"/>
      <c r="LV25" s="56"/>
    </row>
    <row r="26" spans="1:336" x14ac:dyDescent="0.2">
      <c r="A26" s="56"/>
      <c r="B26" s="56"/>
      <c r="C26" s="55"/>
      <c r="AH26" s="56"/>
      <c r="AJ26" s="56"/>
      <c r="BD26" s="56"/>
      <c r="BF26" s="56"/>
      <c r="BZ26" s="56"/>
      <c r="CB26" s="56"/>
      <c r="CW26" s="56"/>
      <c r="CY26" s="56"/>
      <c r="DR26" s="56"/>
      <c r="DT26" s="56"/>
      <c r="EM26" s="56"/>
      <c r="EO26" s="56"/>
      <c r="FH26" s="56"/>
      <c r="FJ26" s="56"/>
      <c r="GC26" s="56"/>
      <c r="GE26" s="56"/>
      <c r="GX26" s="56"/>
      <c r="GZ26" s="56"/>
      <c r="HS26" s="56"/>
      <c r="HU26" s="56"/>
      <c r="IN26" s="56"/>
      <c r="IP26" s="56"/>
      <c r="JI26" s="56"/>
      <c r="JK26" s="56"/>
      <c r="KD26" s="56"/>
      <c r="KF26" s="56"/>
      <c r="KY26" s="56"/>
      <c r="LA26" s="56"/>
      <c r="LT26" s="56"/>
      <c r="LV26" s="56"/>
    </row>
    <row r="27" spans="1:336" x14ac:dyDescent="0.2">
      <c r="A27" s="56"/>
      <c r="B27" s="56"/>
      <c r="C27" s="55"/>
      <c r="AH27" s="56"/>
      <c r="AJ27" s="56"/>
      <c r="BD27" s="56"/>
      <c r="BF27" s="56"/>
      <c r="BZ27" s="56"/>
      <c r="CB27" s="56"/>
      <c r="CW27" s="56"/>
      <c r="CY27" s="56"/>
      <c r="DR27" s="56"/>
      <c r="DT27" s="56"/>
      <c r="EM27" s="56"/>
      <c r="EO27" s="56"/>
      <c r="FH27" s="56"/>
      <c r="FJ27" s="56"/>
      <c r="GC27" s="56"/>
      <c r="GE27" s="56"/>
      <c r="GX27" s="56"/>
      <c r="GZ27" s="56"/>
      <c r="HS27" s="56"/>
      <c r="HU27" s="56"/>
      <c r="IN27" s="56"/>
      <c r="IP27" s="56"/>
      <c r="JI27" s="56"/>
      <c r="JK27" s="56"/>
      <c r="KD27" s="56"/>
      <c r="KF27" s="56"/>
      <c r="KY27" s="56"/>
      <c r="LA27" s="56"/>
      <c r="LT27" s="56"/>
      <c r="LV27" s="56"/>
    </row>
    <row r="28" spans="1:336" x14ac:dyDescent="0.2">
      <c r="A28" s="56"/>
      <c r="B28" s="56"/>
      <c r="C28" s="55"/>
    </row>
  </sheetData>
  <sheetProtection sheet="1" formatCells="0" formatColumns="0" formatRows="0"/>
  <autoFilter ref="A1:MT12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4">
      <sortCondition descending="1" ref="F1:F15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14">
    <cfRule type="expression" dxfId="19" priority="2" stopIfTrue="1">
      <formula>IF($BC4&lt;&gt;"",1,0)</formula>
    </cfRule>
  </conditionalFormatting>
  <conditionalFormatting sqref="Q4:AL14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14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38460" operator="between">
      <formula>AL$20</formula>
      <formula>1000</formula>
    </cfRule>
    <cfRule type="cellIs" dxfId="6" priority="38461" operator="between">
      <formula>AL$19</formula>
      <formula>AL$20</formula>
    </cfRule>
    <cfRule type="cellIs" dxfId="5" priority="38462" operator="between">
      <formula>AL$18</formula>
      <formula>AL$19</formula>
    </cfRule>
    <cfRule type="cellIs" dxfId="4" priority="38463" operator="between">
      <formula>AL$17</formula>
      <formula>AL$18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38640" operator="between">
      <formula>AL$24</formula>
      <formula>1000</formula>
    </cfRule>
    <cfRule type="cellIs" dxfId="2" priority="38641" operator="between">
      <formula>AL$23</formula>
      <formula>AL$24</formula>
    </cfRule>
    <cfRule type="cellIs" dxfId="1" priority="38642" operator="between">
      <formula>AL$22</formula>
      <formula>AL$23</formula>
    </cfRule>
    <cfRule type="cellIs" dxfId="0" priority="38643" operator="between">
      <formula>AL$21</formula>
      <formula>AL$22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2021-03-17T18:25:10Z</dcterms:modified>
</cp:coreProperties>
</file>