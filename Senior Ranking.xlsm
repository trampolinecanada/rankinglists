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709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trevorstirling/Dropbox/Documents/Trampoline/Team Info/Team Canada/Ranking Lists/Senior/"/>
    </mc:Choice>
  </mc:AlternateContent>
  <xr:revisionPtr revIDLastSave="0" documentId="13_ncr:1_{72B62F81-B211-EC47-84CB-F0D63A7DABDD}" xr6:coauthVersionLast="34" xr6:coauthVersionMax="34" xr10:uidLastSave="{00000000-0000-0000-0000-000000000000}"/>
  <bookViews>
    <workbookView xWindow="0" yWindow="440" windowWidth="33600" windowHeight="20560" tabRatio="500" xr2:uid="{00000000-000D-0000-FFFF-FFFF00000000}"/>
  </bookViews>
  <sheets>
    <sheet name="Info" sheetId="11" r:id="rId1"/>
    <sheet name="TRA-M" sheetId="4" r:id="rId2"/>
    <sheet name="TRA-W" sheetId="2" r:id="rId3"/>
    <sheet name="SYN-M" sheetId="9" r:id="rId4"/>
    <sheet name="SYN-W" sheetId="10" r:id="rId5"/>
    <sheet name="TUM-M" sheetId="7" r:id="rId6"/>
    <sheet name="TUM-W" sheetId="8" r:id="rId7"/>
    <sheet name="DMT-M" sheetId="6" r:id="rId8"/>
    <sheet name="DMT-W" sheetId="5" r:id="rId9"/>
  </sheets>
  <definedNames>
    <definedName name="_xlnm._FilterDatabase" localSheetId="7" hidden="1">'DMT-M'!$A$1:$RE$1</definedName>
    <definedName name="_xlnm._FilterDatabase" localSheetId="8" hidden="1">'DMT-W'!$A$1:$RE$1</definedName>
    <definedName name="_xlnm._FilterDatabase" localSheetId="3" hidden="1">'SYN-M'!$A$1:$LZ$3</definedName>
    <definedName name="_xlnm._FilterDatabase" localSheetId="4" hidden="1">'SYN-W'!$A$1:$LZ$3</definedName>
    <definedName name="_xlnm._FilterDatabase" localSheetId="1" hidden="1">'TRA-M'!$A$1:$LZ$3</definedName>
    <definedName name="_xlnm._FilterDatabase" localSheetId="2" hidden="1">'TRA-W'!$A$1:$LZ$3</definedName>
    <definedName name="_xlnm._FilterDatabase" localSheetId="5" hidden="1">'TUM-M'!$A$1:$ND$3</definedName>
    <definedName name="_xlnm._FilterDatabase" localSheetId="6" hidden="1">'TUM-W'!$A$1:$ND$3</definedName>
  </definedNames>
  <calcPr calcId="179021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J9" i="10" l="1"/>
  <c r="AK9" i="10"/>
  <c r="AM9" i="10" s="1"/>
  <c r="AL9" i="10"/>
  <c r="AN9" i="10"/>
  <c r="BE9" i="10"/>
  <c r="BF9" i="10"/>
  <c r="BG9" i="10"/>
  <c r="BI9" i="10"/>
  <c r="BZ9" i="10"/>
  <c r="CA9" i="10"/>
  <c r="CB9" i="10"/>
  <c r="CD9" i="10"/>
  <c r="CX9" i="10"/>
  <c r="CY9" i="10"/>
  <c r="CZ9" i="10"/>
  <c r="DB9" i="10"/>
  <c r="DS9" i="10"/>
  <c r="DT9" i="10"/>
  <c r="DU9" i="10"/>
  <c r="DW9" i="10"/>
  <c r="EN9" i="10"/>
  <c r="EO9" i="10"/>
  <c r="EP9" i="10"/>
  <c r="EQ9" i="10"/>
  <c r="ES9" i="10" s="1"/>
  <c r="ER9" i="10"/>
  <c r="FI9" i="10"/>
  <c r="FJ9" i="10"/>
  <c r="FK9" i="10"/>
  <c r="FM9" i="10"/>
  <c r="GD9" i="10"/>
  <c r="GE9" i="10"/>
  <c r="GF9" i="10"/>
  <c r="GH9" i="10"/>
  <c r="GY9" i="10"/>
  <c r="GZ9" i="10"/>
  <c r="HA9" i="10"/>
  <c r="HB9" i="10"/>
  <c r="HC9" i="10"/>
  <c r="HT9" i="10"/>
  <c r="HU9" i="10"/>
  <c r="HV9" i="10"/>
  <c r="HX9" i="10"/>
  <c r="IO9" i="10"/>
  <c r="IP9" i="10"/>
  <c r="IQ9" i="10"/>
  <c r="IR9" i="10" s="1"/>
  <c r="IS9" i="10"/>
  <c r="JJ9" i="10"/>
  <c r="JK9" i="10"/>
  <c r="JM9" i="10" s="1"/>
  <c r="JO9" i="10" s="1"/>
  <c r="JL9" i="10"/>
  <c r="JN9" i="10"/>
  <c r="KE9" i="10"/>
  <c r="KF9" i="10"/>
  <c r="KG9" i="10"/>
  <c r="KH9" i="10" s="1"/>
  <c r="KI9" i="10"/>
  <c r="KZ9" i="10"/>
  <c r="LA9" i="10"/>
  <c r="LC9" i="10" s="1"/>
  <c r="LE9" i="10" s="1"/>
  <c r="LB9" i="10"/>
  <c r="LD9" i="10"/>
  <c r="LU9" i="10"/>
  <c r="LV9" i="10"/>
  <c r="LW9" i="10"/>
  <c r="LY9" i="10"/>
  <c r="AJ14" i="9"/>
  <c r="AK14" i="9"/>
  <c r="AL14" i="9"/>
  <c r="AM14" i="9"/>
  <c r="AN14" i="9"/>
  <c r="BE14" i="9"/>
  <c r="BF14" i="9"/>
  <c r="BG14" i="9"/>
  <c r="BH14" i="9" s="1"/>
  <c r="BI14" i="9"/>
  <c r="BZ14" i="9"/>
  <c r="CA14" i="9"/>
  <c r="CB14" i="9"/>
  <c r="CD14" i="9"/>
  <c r="CX14" i="9"/>
  <c r="CY14" i="9"/>
  <c r="CZ14" i="9"/>
  <c r="DB14" i="9"/>
  <c r="DS14" i="9"/>
  <c r="DT14" i="9"/>
  <c r="DU14" i="9"/>
  <c r="DW14" i="9"/>
  <c r="EN14" i="9"/>
  <c r="EO14" i="9"/>
  <c r="EP14" i="9"/>
  <c r="ER14" i="9"/>
  <c r="FI14" i="9"/>
  <c r="FJ14" i="9"/>
  <c r="FK14" i="9"/>
  <c r="FM14" i="9"/>
  <c r="GD14" i="9"/>
  <c r="GE14" i="9"/>
  <c r="GG14" i="9" s="1"/>
  <c r="GF14" i="9"/>
  <c r="GH14" i="9"/>
  <c r="GY14" i="9"/>
  <c r="GZ14" i="9"/>
  <c r="HA14" i="9"/>
  <c r="HC14" i="9"/>
  <c r="HT14" i="9"/>
  <c r="HU14" i="9"/>
  <c r="HV14" i="9"/>
  <c r="HW14" i="9"/>
  <c r="HX14" i="9"/>
  <c r="IO14" i="9"/>
  <c r="IP14" i="9"/>
  <c r="IQ14" i="9"/>
  <c r="IS14" i="9"/>
  <c r="JJ14" i="9"/>
  <c r="JK14" i="9"/>
  <c r="JL14" i="9"/>
  <c r="JN14" i="9"/>
  <c r="KE14" i="9"/>
  <c r="KF14" i="9"/>
  <c r="KG14" i="9"/>
  <c r="KI14" i="9"/>
  <c r="KZ14" i="9"/>
  <c r="LA14" i="9"/>
  <c r="LB14" i="9"/>
  <c r="LD14" i="9"/>
  <c r="LU14" i="9"/>
  <c r="LV14" i="9"/>
  <c r="LW14" i="9"/>
  <c r="LY14" i="9"/>
  <c r="HD9" i="10" l="1"/>
  <c r="KJ9" i="10"/>
  <c r="FL9" i="10"/>
  <c r="FN9" i="10" s="1"/>
  <c r="DV9" i="10"/>
  <c r="DX9" i="10" s="1"/>
  <c r="IT9" i="10"/>
  <c r="AO9" i="10"/>
  <c r="GG9" i="10"/>
  <c r="GI9" i="10" s="1"/>
  <c r="LX9" i="10"/>
  <c r="LZ9" i="10" s="1"/>
  <c r="DA9" i="10"/>
  <c r="DC9" i="10" s="1"/>
  <c r="BH9" i="10"/>
  <c r="J9" i="10" s="1"/>
  <c r="FL14" i="9"/>
  <c r="FN14" i="9" s="1"/>
  <c r="KH14" i="9"/>
  <c r="KJ14" i="9" s="1"/>
  <c r="HB14" i="9"/>
  <c r="HD14" i="9" s="1"/>
  <c r="LC14" i="9"/>
  <c r="LE14" i="9" s="1"/>
  <c r="GI14" i="9"/>
  <c r="AO14" i="9"/>
  <c r="DV14" i="9"/>
  <c r="DX14" i="9" s="1"/>
  <c r="HY14" i="9"/>
  <c r="LX14" i="9"/>
  <c r="LZ14" i="9" s="1"/>
  <c r="F14" i="9"/>
  <c r="IR14" i="9"/>
  <c r="IT14" i="9" s="1"/>
  <c r="DA14" i="9"/>
  <c r="DC14" i="9" s="1"/>
  <c r="JM14" i="9"/>
  <c r="JO14" i="9" s="1"/>
  <c r="HW9" i="10"/>
  <c r="HY9" i="10" s="1"/>
  <c r="CC9" i="10"/>
  <c r="CE9" i="10" s="1"/>
  <c r="P9" i="10"/>
  <c r="F9" i="10"/>
  <c r="H9" i="10"/>
  <c r="Q9" i="10"/>
  <c r="CH9" i="10"/>
  <c r="BJ9" i="10"/>
  <c r="G9" i="10"/>
  <c r="I9" i="10" s="1"/>
  <c r="EQ14" i="9"/>
  <c r="ES14" i="9" s="1"/>
  <c r="CC14" i="9"/>
  <c r="CE14" i="9" s="1"/>
  <c r="P14" i="9"/>
  <c r="Q14" i="9" s="1"/>
  <c r="BJ14" i="9"/>
  <c r="H14" i="9"/>
  <c r="A14" i="9" s="1"/>
  <c r="G14" i="9"/>
  <c r="I14" i="9" s="1"/>
  <c r="AK6" i="7"/>
  <c r="AL6" i="7"/>
  <c r="AM6" i="7"/>
  <c r="AN6" i="7"/>
  <c r="AP6" i="7"/>
  <c r="BH6" i="7"/>
  <c r="BI6" i="7"/>
  <c r="BJ6" i="7"/>
  <c r="BK6" i="7"/>
  <c r="BM6" i="7"/>
  <c r="CE6" i="7"/>
  <c r="CF6" i="7"/>
  <c r="CG6" i="7"/>
  <c r="CH6" i="7"/>
  <c r="CJ6" i="7"/>
  <c r="DE6" i="7"/>
  <c r="DF6" i="7"/>
  <c r="DG6" i="7"/>
  <c r="DH6" i="7"/>
  <c r="DJ6" i="7"/>
  <c r="EB6" i="7"/>
  <c r="EC6" i="7"/>
  <c r="ED6" i="7"/>
  <c r="EE6" i="7"/>
  <c r="EG6" i="7"/>
  <c r="EY6" i="7"/>
  <c r="EZ6" i="7"/>
  <c r="FA6" i="7"/>
  <c r="FB6" i="7"/>
  <c r="FD6" i="7"/>
  <c r="FV6" i="7"/>
  <c r="FW6" i="7"/>
  <c r="FX6" i="7"/>
  <c r="FY6" i="7"/>
  <c r="GA6" i="7"/>
  <c r="GS6" i="7"/>
  <c r="GT6" i="7"/>
  <c r="GU6" i="7"/>
  <c r="GV6" i="7"/>
  <c r="GX6" i="7"/>
  <c r="HP6" i="7"/>
  <c r="HQ6" i="7"/>
  <c r="HR6" i="7"/>
  <c r="HS6" i="7"/>
  <c r="HU6" i="7"/>
  <c r="IM6" i="7"/>
  <c r="IN6" i="7"/>
  <c r="IO6" i="7"/>
  <c r="IP6" i="7"/>
  <c r="IR6" i="7"/>
  <c r="JJ6" i="7"/>
  <c r="JK6" i="7"/>
  <c r="JL6" i="7"/>
  <c r="JM6" i="7"/>
  <c r="JO6" i="7"/>
  <c r="KG6" i="7"/>
  <c r="KH6" i="7"/>
  <c r="KI6" i="7"/>
  <c r="KJ6" i="7"/>
  <c r="KL6" i="7"/>
  <c r="LD6" i="7"/>
  <c r="LE6" i="7"/>
  <c r="LF6" i="7"/>
  <c r="LG6" i="7"/>
  <c r="LI6" i="7"/>
  <c r="MA6" i="7"/>
  <c r="MB6" i="7"/>
  <c r="MC6" i="7"/>
  <c r="MD6" i="7"/>
  <c r="MF6" i="7"/>
  <c r="MX6" i="7"/>
  <c r="MY6" i="7"/>
  <c r="MZ6" i="7"/>
  <c r="NA6" i="7"/>
  <c r="NC6" i="7"/>
  <c r="IQ6" i="7" l="1"/>
  <c r="CH14" i="9"/>
  <c r="L9" i="10"/>
  <c r="N9" i="10"/>
  <c r="K9" i="10"/>
  <c r="J14" i="9"/>
  <c r="L14" i="9" s="1"/>
  <c r="K14" i="9"/>
  <c r="N14" i="9"/>
  <c r="NB6" i="7"/>
  <c r="ND6" i="7" s="1"/>
  <c r="FZ6" i="7"/>
  <c r="GB6" i="7" s="1"/>
  <c r="AO6" i="7"/>
  <c r="AQ6" i="7" s="1"/>
  <c r="LH6" i="7"/>
  <c r="LJ6" i="7" s="1"/>
  <c r="ME6" i="7"/>
  <c r="MG6" i="7" s="1"/>
  <c r="KK6" i="7"/>
  <c r="KM6" i="7" s="1"/>
  <c r="JN6" i="7"/>
  <c r="JP6" i="7" s="1"/>
  <c r="HT6" i="7"/>
  <c r="HV6" i="7" s="1"/>
  <c r="DI6" i="7"/>
  <c r="DK6" i="7" s="1"/>
  <c r="GW6" i="7"/>
  <c r="GY6" i="7" s="1"/>
  <c r="EF6" i="7"/>
  <c r="EH6" i="7" s="1"/>
  <c r="IS6" i="7"/>
  <c r="FC6" i="7"/>
  <c r="FE6" i="7" s="1"/>
  <c r="BL6" i="7"/>
  <c r="CI6" i="7"/>
  <c r="CK6" i="7" s="1"/>
  <c r="P6" i="7"/>
  <c r="Q6" i="7" s="1"/>
  <c r="F6" i="7"/>
  <c r="G6" i="7"/>
  <c r="AJ8" i="10"/>
  <c r="AK8" i="10"/>
  <c r="AL8" i="10"/>
  <c r="AN8" i="10"/>
  <c r="BE8" i="10"/>
  <c r="BF8" i="10"/>
  <c r="BG8" i="10"/>
  <c r="BI8" i="10"/>
  <c r="BZ8" i="10"/>
  <c r="CA8" i="10"/>
  <c r="CB8" i="10"/>
  <c r="CD8" i="10"/>
  <c r="CX8" i="10"/>
  <c r="CY8" i="10"/>
  <c r="CZ8" i="10"/>
  <c r="DB8" i="10"/>
  <c r="DS8" i="10"/>
  <c r="DT8" i="10"/>
  <c r="DU8" i="10"/>
  <c r="DW8" i="10"/>
  <c r="EN8" i="10"/>
  <c r="EO8" i="10"/>
  <c r="EP8" i="10"/>
  <c r="ER8" i="10"/>
  <c r="FI8" i="10"/>
  <c r="FJ8" i="10"/>
  <c r="FK8" i="10"/>
  <c r="FM8" i="10"/>
  <c r="GD8" i="10"/>
  <c r="GE8" i="10"/>
  <c r="GF8" i="10"/>
  <c r="GH8" i="10"/>
  <c r="GY8" i="10"/>
  <c r="GZ8" i="10"/>
  <c r="HA8" i="10"/>
  <c r="HC8" i="10"/>
  <c r="HT8" i="10"/>
  <c r="HU8" i="10"/>
  <c r="HV8" i="10"/>
  <c r="HX8" i="10"/>
  <c r="IO8" i="10"/>
  <c r="IP8" i="10"/>
  <c r="IQ8" i="10"/>
  <c r="IS8" i="10"/>
  <c r="JJ8" i="10"/>
  <c r="JK8" i="10"/>
  <c r="JL8" i="10"/>
  <c r="JN8" i="10"/>
  <c r="KE8" i="10"/>
  <c r="KF8" i="10"/>
  <c r="KG8" i="10"/>
  <c r="KI8" i="10"/>
  <c r="KZ8" i="10"/>
  <c r="LA8" i="10"/>
  <c r="LB8" i="10"/>
  <c r="LD8" i="10"/>
  <c r="LU8" i="10"/>
  <c r="LV8" i="10"/>
  <c r="LW8" i="10"/>
  <c r="LY8" i="10"/>
  <c r="AJ13" i="9"/>
  <c r="AK13" i="9"/>
  <c r="AL13" i="9"/>
  <c r="AN13" i="9"/>
  <c r="BE13" i="9"/>
  <c r="BF13" i="9"/>
  <c r="BG13" i="9"/>
  <c r="BI13" i="9"/>
  <c r="BZ13" i="9"/>
  <c r="CA13" i="9"/>
  <c r="CB13" i="9"/>
  <c r="CD13" i="9"/>
  <c r="CX13" i="9"/>
  <c r="CY13" i="9"/>
  <c r="CZ13" i="9"/>
  <c r="DB13" i="9"/>
  <c r="DS13" i="9"/>
  <c r="DT13" i="9"/>
  <c r="DU13" i="9"/>
  <c r="DW13" i="9"/>
  <c r="EN13" i="9"/>
  <c r="EO13" i="9"/>
  <c r="EP13" i="9"/>
  <c r="ER13" i="9"/>
  <c r="FI13" i="9"/>
  <c r="FJ13" i="9"/>
  <c r="FK13" i="9"/>
  <c r="FM13" i="9"/>
  <c r="GD13" i="9"/>
  <c r="GE13" i="9"/>
  <c r="GF13" i="9"/>
  <c r="GH13" i="9"/>
  <c r="GY13" i="9"/>
  <c r="GZ13" i="9"/>
  <c r="HA13" i="9"/>
  <c r="HC13" i="9"/>
  <c r="HT13" i="9"/>
  <c r="HU13" i="9"/>
  <c r="HV13" i="9"/>
  <c r="HX13" i="9"/>
  <c r="IO13" i="9"/>
  <c r="IP13" i="9"/>
  <c r="IQ13" i="9"/>
  <c r="IS13" i="9"/>
  <c r="JJ13" i="9"/>
  <c r="JK13" i="9"/>
  <c r="JL13" i="9"/>
  <c r="JN13" i="9"/>
  <c r="KE13" i="9"/>
  <c r="KF13" i="9"/>
  <c r="KG13" i="9"/>
  <c r="KI13" i="9"/>
  <c r="KZ13" i="9"/>
  <c r="LA13" i="9"/>
  <c r="LB13" i="9"/>
  <c r="LD13" i="9"/>
  <c r="LU13" i="9"/>
  <c r="LV13" i="9"/>
  <c r="LW13" i="9"/>
  <c r="LY13" i="9"/>
  <c r="CG9" i="10" l="1"/>
  <c r="O9" i="10"/>
  <c r="M9" i="10"/>
  <c r="CF9" i="10"/>
  <c r="O14" i="9"/>
  <c r="CG14" i="9"/>
  <c r="M14" i="9"/>
  <c r="CF14" i="9"/>
  <c r="H6" i="7"/>
  <c r="CN6" i="7"/>
  <c r="BN6" i="7"/>
  <c r="J6" i="7"/>
  <c r="N6" i="7" s="1"/>
  <c r="I6" i="7"/>
  <c r="DV8" i="10"/>
  <c r="DX8" i="10" s="1"/>
  <c r="HW8" i="10"/>
  <c r="HY8" i="10" s="1"/>
  <c r="EQ8" i="10"/>
  <c r="ES8" i="10" s="1"/>
  <c r="CC8" i="10"/>
  <c r="CE8" i="10" s="1"/>
  <c r="EQ13" i="9"/>
  <c r="ES13" i="9" s="1"/>
  <c r="FL13" i="9"/>
  <c r="FN13" i="9" s="1"/>
  <c r="F13" i="9"/>
  <c r="HB13" i="9"/>
  <c r="HD13" i="9" s="1"/>
  <c r="KH13" i="9"/>
  <c r="KJ13" i="9" s="1"/>
  <c r="KH8" i="10"/>
  <c r="KJ8" i="10" s="1"/>
  <c r="DA8" i="10"/>
  <c r="DC8" i="10" s="1"/>
  <c r="BH8" i="10"/>
  <c r="BJ8" i="10" s="1"/>
  <c r="HB8" i="10"/>
  <c r="HD8" i="10" s="1"/>
  <c r="LC8" i="10"/>
  <c r="LE8" i="10" s="1"/>
  <c r="AM8" i="10"/>
  <c r="AO8" i="10" s="1"/>
  <c r="P8" i="10"/>
  <c r="Q8" i="10" s="1"/>
  <c r="LX8" i="10"/>
  <c r="LZ8" i="10" s="1"/>
  <c r="FL8" i="10"/>
  <c r="FN8" i="10" s="1"/>
  <c r="JM8" i="10"/>
  <c r="JO8" i="10" s="1"/>
  <c r="IR8" i="10"/>
  <c r="IT8" i="10" s="1"/>
  <c r="F8" i="10"/>
  <c r="HW13" i="9"/>
  <c r="HY13" i="9" s="1"/>
  <c r="BH13" i="9"/>
  <c r="BJ13" i="9" s="1"/>
  <c r="LC13" i="9"/>
  <c r="LE13" i="9" s="1"/>
  <c r="LX13" i="9"/>
  <c r="LZ13" i="9" s="1"/>
  <c r="CC13" i="9"/>
  <c r="CE13" i="9" s="1"/>
  <c r="AM13" i="9"/>
  <c r="IR13" i="9"/>
  <c r="IT13" i="9" s="1"/>
  <c r="DA13" i="9"/>
  <c r="DC13" i="9" s="1"/>
  <c r="P13" i="9"/>
  <c r="CH13" i="9" s="1"/>
  <c r="JM13" i="9"/>
  <c r="JO13" i="9" s="1"/>
  <c r="GG13" i="9"/>
  <c r="GI13" i="9" s="1"/>
  <c r="GG8" i="10"/>
  <c r="GI8" i="10" s="1"/>
  <c r="G8" i="10"/>
  <c r="DV13" i="9"/>
  <c r="DX13" i="9" s="1"/>
  <c r="G13" i="9"/>
  <c r="R9" i="10" l="1"/>
  <c r="E9" i="10" s="1"/>
  <c r="A9" i="10" s="1"/>
  <c r="R14" i="9"/>
  <c r="E14" i="9" s="1"/>
  <c r="K6" i="7"/>
  <c r="L6" i="7"/>
  <c r="M6" i="7" s="1"/>
  <c r="CH8" i="10"/>
  <c r="CM6" i="7"/>
  <c r="O6" i="7"/>
  <c r="Q13" i="9"/>
  <c r="J13" i="9"/>
  <c r="L13" i="9" s="1"/>
  <c r="J8" i="10"/>
  <c r="N8" i="10" s="1"/>
  <c r="H8" i="10"/>
  <c r="I8" i="10"/>
  <c r="I13" i="9"/>
  <c r="H13" i="9"/>
  <c r="A13" i="9" s="1"/>
  <c r="AO13" i="9"/>
  <c r="S9" i="10" l="1"/>
  <c r="T9" i="10"/>
  <c r="S14" i="9"/>
  <c r="T14" i="9"/>
  <c r="CL6" i="7"/>
  <c r="R6" i="7" s="1"/>
  <c r="E6" i="7" s="1"/>
  <c r="L8" i="10"/>
  <c r="M8" i="10" s="1"/>
  <c r="K8" i="10"/>
  <c r="K13" i="9"/>
  <c r="N13" i="9"/>
  <c r="O13" i="9" s="1"/>
  <c r="CG8" i="10"/>
  <c r="O8" i="10"/>
  <c r="M13" i="9"/>
  <c r="CF13" i="9"/>
  <c r="S6" i="7" l="1"/>
  <c r="T6" i="7"/>
  <c r="CF8" i="10"/>
  <c r="R8" i="10" s="1"/>
  <c r="E8" i="10" s="1"/>
  <c r="A8" i="10" s="1"/>
  <c r="CG13" i="9"/>
  <c r="R13" i="9" s="1"/>
  <c r="E13" i="9" s="1"/>
  <c r="S8" i="10" l="1"/>
  <c r="T8" i="10"/>
  <c r="S13" i="9"/>
  <c r="T13" i="9"/>
  <c r="AJ8" i="9" l="1"/>
  <c r="AK8" i="9"/>
  <c r="AL8" i="9"/>
  <c r="AN8" i="9"/>
  <c r="BE8" i="9"/>
  <c r="BF8" i="9"/>
  <c r="BG8" i="9"/>
  <c r="BI8" i="9"/>
  <c r="BZ8" i="9"/>
  <c r="CA8" i="9"/>
  <c r="CB8" i="9"/>
  <c r="CD8" i="9"/>
  <c r="CX8" i="9"/>
  <c r="CY8" i="9"/>
  <c r="CZ8" i="9"/>
  <c r="DB8" i="9"/>
  <c r="DS8" i="9"/>
  <c r="DT8" i="9"/>
  <c r="DU8" i="9"/>
  <c r="DW8" i="9"/>
  <c r="EN8" i="9"/>
  <c r="EO8" i="9"/>
  <c r="EP8" i="9"/>
  <c r="ER8" i="9"/>
  <c r="FI8" i="9"/>
  <c r="FJ8" i="9"/>
  <c r="FK8" i="9"/>
  <c r="FM8" i="9"/>
  <c r="GD8" i="9"/>
  <c r="GE8" i="9"/>
  <c r="GF8" i="9"/>
  <c r="GH8" i="9"/>
  <c r="GY8" i="9"/>
  <c r="GZ8" i="9"/>
  <c r="HA8" i="9"/>
  <c r="HC8" i="9"/>
  <c r="HT8" i="9"/>
  <c r="HU8" i="9"/>
  <c r="HV8" i="9"/>
  <c r="HX8" i="9"/>
  <c r="IO8" i="9"/>
  <c r="IP8" i="9"/>
  <c r="IQ8" i="9"/>
  <c r="IS8" i="9"/>
  <c r="JJ8" i="9"/>
  <c r="JK8" i="9"/>
  <c r="JL8" i="9"/>
  <c r="JN8" i="9"/>
  <c r="KE8" i="9"/>
  <c r="KF8" i="9"/>
  <c r="KG8" i="9"/>
  <c r="KI8" i="9"/>
  <c r="KZ8" i="9"/>
  <c r="LA8" i="9"/>
  <c r="LB8" i="9"/>
  <c r="LD8" i="9"/>
  <c r="LU8" i="9"/>
  <c r="LV8" i="9"/>
  <c r="LW8" i="9"/>
  <c r="LY8" i="9"/>
  <c r="AJ9" i="9"/>
  <c r="AK9" i="9"/>
  <c r="AL9" i="9"/>
  <c r="AN9" i="9"/>
  <c r="BE9" i="9"/>
  <c r="BF9" i="9"/>
  <c r="BG9" i="9"/>
  <c r="BI9" i="9"/>
  <c r="BZ9" i="9"/>
  <c r="CA9" i="9"/>
  <c r="CB9" i="9"/>
  <c r="CD9" i="9"/>
  <c r="CX9" i="9"/>
  <c r="CY9" i="9"/>
  <c r="CZ9" i="9"/>
  <c r="DB9" i="9"/>
  <c r="DS9" i="9"/>
  <c r="DT9" i="9"/>
  <c r="DU9" i="9"/>
  <c r="DW9" i="9"/>
  <c r="EN9" i="9"/>
  <c r="EO9" i="9"/>
  <c r="EP9" i="9"/>
  <c r="ER9" i="9"/>
  <c r="FI9" i="9"/>
  <c r="FJ9" i="9"/>
  <c r="FK9" i="9"/>
  <c r="FM9" i="9"/>
  <c r="GD9" i="9"/>
  <c r="GE9" i="9"/>
  <c r="GF9" i="9"/>
  <c r="GH9" i="9"/>
  <c r="GY9" i="9"/>
  <c r="GZ9" i="9"/>
  <c r="HA9" i="9"/>
  <c r="HC9" i="9"/>
  <c r="HT9" i="9"/>
  <c r="HU9" i="9"/>
  <c r="HV9" i="9"/>
  <c r="HX9" i="9"/>
  <c r="IO9" i="9"/>
  <c r="IP9" i="9"/>
  <c r="IQ9" i="9"/>
  <c r="IS9" i="9"/>
  <c r="JJ9" i="9"/>
  <c r="JK9" i="9"/>
  <c r="JL9" i="9"/>
  <c r="JN9" i="9"/>
  <c r="KE9" i="9"/>
  <c r="KF9" i="9"/>
  <c r="KG9" i="9"/>
  <c r="KI9" i="9"/>
  <c r="KZ9" i="9"/>
  <c r="LA9" i="9"/>
  <c r="LB9" i="9"/>
  <c r="LD9" i="9"/>
  <c r="LU9" i="9"/>
  <c r="LV9" i="9"/>
  <c r="LW9" i="9"/>
  <c r="LY9" i="9"/>
  <c r="GG9" i="9" l="1"/>
  <c r="AM8" i="9"/>
  <c r="AO8" i="9" s="1"/>
  <c r="HB9" i="9"/>
  <c r="HD9" i="9" s="1"/>
  <c r="AM9" i="9"/>
  <c r="JM9" i="9"/>
  <c r="JO9" i="9" s="1"/>
  <c r="DV9" i="9"/>
  <c r="DX9" i="9" s="1"/>
  <c r="LC9" i="9"/>
  <c r="LE9" i="9" s="1"/>
  <c r="KH8" i="9"/>
  <c r="KJ8" i="9" s="1"/>
  <c r="DV8" i="9"/>
  <c r="DX8" i="9" s="1"/>
  <c r="IR9" i="9"/>
  <c r="IT9" i="9" s="1"/>
  <c r="LC8" i="9"/>
  <c r="LE8" i="9" s="1"/>
  <c r="HW8" i="9"/>
  <c r="HY8" i="9" s="1"/>
  <c r="GG8" i="9"/>
  <c r="GI8" i="9" s="1"/>
  <c r="EQ8" i="9"/>
  <c r="ES8" i="9" s="1"/>
  <c r="DA9" i="9"/>
  <c r="DC9" i="9" s="1"/>
  <c r="KH9" i="9"/>
  <c r="KJ9" i="9" s="1"/>
  <c r="DA8" i="9"/>
  <c r="DC8" i="9" s="1"/>
  <c r="HW9" i="9"/>
  <c r="HY9" i="9" s="1"/>
  <c r="HB8" i="9"/>
  <c r="HD8" i="9" s="1"/>
  <c r="LX8" i="9"/>
  <c r="LZ8" i="9" s="1"/>
  <c r="P8" i="9"/>
  <c r="Q8" i="9" s="1"/>
  <c r="P9" i="9"/>
  <c r="Q9" i="9" s="1"/>
  <c r="FL8" i="9"/>
  <c r="FN8" i="9" s="1"/>
  <c r="FL9" i="9"/>
  <c r="FN9" i="9" s="1"/>
  <c r="EQ9" i="9"/>
  <c r="ES9" i="9" s="1"/>
  <c r="IR8" i="9"/>
  <c r="IT8" i="9" s="1"/>
  <c r="BH9" i="9"/>
  <c r="BJ9" i="9" s="1"/>
  <c r="JM8" i="9"/>
  <c r="JO8" i="9" s="1"/>
  <c r="LX9" i="9"/>
  <c r="LZ9" i="9" s="1"/>
  <c r="GI9" i="9"/>
  <c r="BH8" i="9"/>
  <c r="BJ8" i="9" s="1"/>
  <c r="CC9" i="9"/>
  <c r="CE9" i="9" s="1"/>
  <c r="F9" i="9"/>
  <c r="CC8" i="9"/>
  <c r="CE8" i="9" s="1"/>
  <c r="F8" i="9"/>
  <c r="AO9" i="9"/>
  <c r="G8" i="9"/>
  <c r="G9" i="9"/>
  <c r="AJ11" i="9"/>
  <c r="AK11" i="9"/>
  <c r="AL11" i="9"/>
  <c r="AN11" i="9"/>
  <c r="BE11" i="9"/>
  <c r="BF11" i="9"/>
  <c r="BG11" i="9"/>
  <c r="BI11" i="9"/>
  <c r="BZ11" i="9"/>
  <c r="CA11" i="9"/>
  <c r="CB11" i="9"/>
  <c r="CD11" i="9"/>
  <c r="CX11" i="9"/>
  <c r="CY11" i="9"/>
  <c r="CZ11" i="9"/>
  <c r="DB11" i="9"/>
  <c r="DS11" i="9"/>
  <c r="DT11" i="9"/>
  <c r="DU11" i="9"/>
  <c r="DW11" i="9"/>
  <c r="EN11" i="9"/>
  <c r="EO11" i="9"/>
  <c r="EP11" i="9"/>
  <c r="ER11" i="9"/>
  <c r="FI11" i="9"/>
  <c r="FJ11" i="9"/>
  <c r="FK11" i="9"/>
  <c r="FM11" i="9"/>
  <c r="GD11" i="9"/>
  <c r="GE11" i="9"/>
  <c r="GF11" i="9"/>
  <c r="GH11" i="9"/>
  <c r="GY11" i="9"/>
  <c r="GZ11" i="9"/>
  <c r="HA11" i="9"/>
  <c r="HC11" i="9"/>
  <c r="HT11" i="9"/>
  <c r="HU11" i="9"/>
  <c r="HV11" i="9"/>
  <c r="HX11" i="9"/>
  <c r="IO11" i="9"/>
  <c r="IP11" i="9"/>
  <c r="IQ11" i="9"/>
  <c r="IS11" i="9"/>
  <c r="JJ11" i="9"/>
  <c r="JK11" i="9"/>
  <c r="JL11" i="9"/>
  <c r="JN11" i="9"/>
  <c r="KE11" i="9"/>
  <c r="KF11" i="9"/>
  <c r="KG11" i="9"/>
  <c r="KI11" i="9"/>
  <c r="KZ11" i="9"/>
  <c r="LA11" i="9"/>
  <c r="LB11" i="9"/>
  <c r="LD11" i="9"/>
  <c r="LU11" i="9"/>
  <c r="LV11" i="9"/>
  <c r="LW11" i="9"/>
  <c r="LY11" i="9"/>
  <c r="CH9" i="9" l="1"/>
  <c r="CH8" i="9"/>
  <c r="J8" i="9"/>
  <c r="L8" i="9" s="1"/>
  <c r="I9" i="9"/>
  <c r="H9" i="9"/>
  <c r="A9" i="9" s="1"/>
  <c r="J9" i="9"/>
  <c r="N9" i="9" s="1"/>
  <c r="I8" i="9"/>
  <c r="H8" i="9"/>
  <c r="A8" i="9" s="1"/>
  <c r="IR11" i="9"/>
  <c r="IT11" i="9" s="1"/>
  <c r="FL11" i="9"/>
  <c r="FN11" i="9" s="1"/>
  <c r="LC11" i="9"/>
  <c r="LE11" i="9" s="1"/>
  <c r="DV11" i="9"/>
  <c r="DX11" i="9" s="1"/>
  <c r="KH11" i="9"/>
  <c r="KJ11" i="9" s="1"/>
  <c r="AM11" i="9"/>
  <c r="AO11" i="9" s="1"/>
  <c r="HW11" i="9"/>
  <c r="HY11" i="9" s="1"/>
  <c r="EQ11" i="9"/>
  <c r="ES11" i="9" s="1"/>
  <c r="JM11" i="9"/>
  <c r="JO11" i="9" s="1"/>
  <c r="HB11" i="9"/>
  <c r="HD11" i="9" s="1"/>
  <c r="LX11" i="9"/>
  <c r="LZ11" i="9" s="1"/>
  <c r="DA11" i="9"/>
  <c r="DC11" i="9" s="1"/>
  <c r="GG11" i="9"/>
  <c r="GI11" i="9" s="1"/>
  <c r="G11" i="9"/>
  <c r="P11" i="9"/>
  <c r="Q11" i="9" s="1"/>
  <c r="CC11" i="9"/>
  <c r="CE11" i="9" s="1"/>
  <c r="BH11" i="9"/>
  <c r="F11" i="9"/>
  <c r="LW9" i="2"/>
  <c r="K8" i="9" l="1"/>
  <c r="N8" i="9"/>
  <c r="O8" i="9" s="1"/>
  <c r="L9" i="9"/>
  <c r="M9" i="9" s="1"/>
  <c r="K9" i="9"/>
  <c r="CG8" i="9"/>
  <c r="O9" i="9"/>
  <c r="CG9" i="9"/>
  <c r="M8" i="9"/>
  <c r="CF8" i="9"/>
  <c r="I11" i="9"/>
  <c r="BJ11" i="9"/>
  <c r="J11" i="9"/>
  <c r="L11" i="9" s="1"/>
  <c r="CH11" i="9"/>
  <c r="H11" i="9"/>
  <c r="A11" i="9" s="1"/>
  <c r="LY6" i="9"/>
  <c r="LW6" i="9"/>
  <c r="LV6" i="9"/>
  <c r="LU6" i="9"/>
  <c r="LD6" i="9"/>
  <c r="LB6" i="9"/>
  <c r="LA6" i="9"/>
  <c r="KZ6" i="9"/>
  <c r="KI6" i="9"/>
  <c r="KG6" i="9"/>
  <c r="KF6" i="9"/>
  <c r="KE6" i="9"/>
  <c r="JN6" i="9"/>
  <c r="JL6" i="9"/>
  <c r="JK6" i="9"/>
  <c r="JJ6" i="9"/>
  <c r="IS6" i="9"/>
  <c r="IQ6" i="9"/>
  <c r="IP6" i="9"/>
  <c r="IO6" i="9"/>
  <c r="HX6" i="9"/>
  <c r="HV6" i="9"/>
  <c r="HU6" i="9"/>
  <c r="HT6" i="9"/>
  <c r="HC6" i="9"/>
  <c r="HA6" i="9"/>
  <c r="GZ6" i="9"/>
  <c r="GY6" i="9"/>
  <c r="GH6" i="9"/>
  <c r="GF6" i="9"/>
  <c r="GE6" i="9"/>
  <c r="GD6" i="9"/>
  <c r="FM6" i="9"/>
  <c r="FK6" i="9"/>
  <c r="FJ6" i="9"/>
  <c r="FI6" i="9"/>
  <c r="ER6" i="9"/>
  <c r="EP6" i="9"/>
  <c r="EO6" i="9"/>
  <c r="EN6" i="9"/>
  <c r="DW6" i="9"/>
  <c r="DU6" i="9"/>
  <c r="DT6" i="9"/>
  <c r="DS6" i="9"/>
  <c r="DB6" i="9"/>
  <c r="CZ6" i="9"/>
  <c r="CY6" i="9"/>
  <c r="CX6" i="9"/>
  <c r="CD6" i="9"/>
  <c r="CB6" i="9"/>
  <c r="CA6" i="9"/>
  <c r="BZ6" i="9"/>
  <c r="BI6" i="9"/>
  <c r="BG6" i="9"/>
  <c r="BF6" i="9"/>
  <c r="BE6" i="9"/>
  <c r="AN6" i="9"/>
  <c r="AL6" i="9"/>
  <c r="AK6" i="9"/>
  <c r="AJ6" i="9"/>
  <c r="CF9" i="9" l="1"/>
  <c r="R9" i="9" s="1"/>
  <c r="R8" i="9"/>
  <c r="AM6" i="9"/>
  <c r="AO6" i="9" s="1"/>
  <c r="N11" i="9"/>
  <c r="O11" i="9" s="1"/>
  <c r="BH6" i="9"/>
  <c r="BJ6" i="9" s="1"/>
  <c r="LC6" i="9"/>
  <c r="LE6" i="9" s="1"/>
  <c r="K11" i="9"/>
  <c r="M11" i="9"/>
  <c r="CF11" i="9"/>
  <c r="GG6" i="9"/>
  <c r="GI6" i="9" s="1"/>
  <c r="HW6" i="9"/>
  <c r="HY6" i="9" s="1"/>
  <c r="DA6" i="9"/>
  <c r="DC6" i="9" s="1"/>
  <c r="KH6" i="9"/>
  <c r="KJ6" i="9" s="1"/>
  <c r="EQ6" i="9"/>
  <c r="ES6" i="9" s="1"/>
  <c r="LX6" i="9"/>
  <c r="LZ6" i="9" s="1"/>
  <c r="P6" i="9"/>
  <c r="CH6" i="9" s="1"/>
  <c r="G6" i="9"/>
  <c r="DV6" i="9"/>
  <c r="DX6" i="9" s="1"/>
  <c r="FL6" i="9"/>
  <c r="FN6" i="9" s="1"/>
  <c r="HB6" i="9"/>
  <c r="HD6" i="9" s="1"/>
  <c r="IR6" i="9"/>
  <c r="IT6" i="9" s="1"/>
  <c r="JM6" i="9"/>
  <c r="JO6" i="9" s="1"/>
  <c r="CC6" i="9"/>
  <c r="CE6" i="9" s="1"/>
  <c r="F6" i="9"/>
  <c r="LY7" i="10"/>
  <c r="LW7" i="10"/>
  <c r="LV7" i="10"/>
  <c r="LU7" i="10"/>
  <c r="LD7" i="10"/>
  <c r="LB7" i="10"/>
  <c r="LA7" i="10"/>
  <c r="KZ7" i="10"/>
  <c r="KI7" i="10"/>
  <c r="KG7" i="10"/>
  <c r="KF7" i="10"/>
  <c r="KE7" i="10"/>
  <c r="JN7" i="10"/>
  <c r="JL7" i="10"/>
  <c r="JK7" i="10"/>
  <c r="JJ7" i="10"/>
  <c r="IS7" i="10"/>
  <c r="IQ7" i="10"/>
  <c r="IP7" i="10"/>
  <c r="IO7" i="10"/>
  <c r="HX7" i="10"/>
  <c r="HV7" i="10"/>
  <c r="HU7" i="10"/>
  <c r="HT7" i="10"/>
  <c r="HC7" i="10"/>
  <c r="HA7" i="10"/>
  <c r="GZ7" i="10"/>
  <c r="GY7" i="10"/>
  <c r="GH7" i="10"/>
  <c r="GF7" i="10"/>
  <c r="GE7" i="10"/>
  <c r="GD7" i="10"/>
  <c r="FM7" i="10"/>
  <c r="FK7" i="10"/>
  <c r="FJ7" i="10"/>
  <c r="FI7" i="10"/>
  <c r="ER7" i="10"/>
  <c r="EP7" i="10"/>
  <c r="EO7" i="10"/>
  <c r="EN7" i="10"/>
  <c r="DW7" i="10"/>
  <c r="DU7" i="10"/>
  <c r="DT7" i="10"/>
  <c r="DS7" i="10"/>
  <c r="DB7" i="10"/>
  <c r="CZ7" i="10"/>
  <c r="CY7" i="10"/>
  <c r="CX7" i="10"/>
  <c r="CD7" i="10"/>
  <c r="CB7" i="10"/>
  <c r="CA7" i="10"/>
  <c r="BZ7" i="10"/>
  <c r="BI7" i="10"/>
  <c r="BG7" i="10"/>
  <c r="BF7" i="10"/>
  <c r="BE7" i="10"/>
  <c r="AN7" i="10"/>
  <c r="AL7" i="10"/>
  <c r="AK7" i="10"/>
  <c r="AJ7" i="10"/>
  <c r="NC5" i="7"/>
  <c r="NA5" i="7"/>
  <c r="MZ5" i="7"/>
  <c r="MY5" i="7"/>
  <c r="MX5" i="7"/>
  <c r="MF5" i="7"/>
  <c r="MD5" i="7"/>
  <c r="MC5" i="7"/>
  <c r="MB5" i="7"/>
  <c r="MA5" i="7"/>
  <c r="LI5" i="7"/>
  <c r="LG5" i="7"/>
  <c r="LF5" i="7"/>
  <c r="LE5" i="7"/>
  <c r="LD5" i="7"/>
  <c r="KL5" i="7"/>
  <c r="KJ5" i="7"/>
  <c r="KI5" i="7"/>
  <c r="KH5" i="7"/>
  <c r="KG5" i="7"/>
  <c r="JO5" i="7"/>
  <c r="JM5" i="7"/>
  <c r="JL5" i="7"/>
  <c r="JK5" i="7"/>
  <c r="JJ5" i="7"/>
  <c r="IR5" i="7"/>
  <c r="IP5" i="7"/>
  <c r="IO5" i="7"/>
  <c r="IN5" i="7"/>
  <c r="IM5" i="7"/>
  <c r="HU5" i="7"/>
  <c r="HS5" i="7"/>
  <c r="HR5" i="7"/>
  <c r="HQ5" i="7"/>
  <c r="HP5" i="7"/>
  <c r="GX5" i="7"/>
  <c r="GV5" i="7"/>
  <c r="GU5" i="7"/>
  <c r="GT5" i="7"/>
  <c r="GS5" i="7"/>
  <c r="GA5" i="7"/>
  <c r="FY5" i="7"/>
  <c r="FX5" i="7"/>
  <c r="FW5" i="7"/>
  <c r="FV5" i="7"/>
  <c r="FD5" i="7"/>
  <c r="FB5" i="7"/>
  <c r="FA5" i="7"/>
  <c r="EZ5" i="7"/>
  <c r="EY5" i="7"/>
  <c r="EG5" i="7"/>
  <c r="EE5" i="7"/>
  <c r="ED5" i="7"/>
  <c r="EC5" i="7"/>
  <c r="EB5" i="7"/>
  <c r="DJ5" i="7"/>
  <c r="DH5" i="7"/>
  <c r="DG5" i="7"/>
  <c r="DF5" i="7"/>
  <c r="DE5" i="7"/>
  <c r="CJ5" i="7"/>
  <c r="CH5" i="7"/>
  <c r="CG5" i="7"/>
  <c r="CF5" i="7"/>
  <c r="CE5" i="7"/>
  <c r="BM5" i="7"/>
  <c r="BK5" i="7"/>
  <c r="BJ5" i="7"/>
  <c r="BI5" i="7"/>
  <c r="BH5" i="7"/>
  <c r="AP5" i="7"/>
  <c r="AN5" i="7"/>
  <c r="AM5" i="7"/>
  <c r="AL5" i="7"/>
  <c r="AK5" i="7"/>
  <c r="NC8" i="7"/>
  <c r="NA8" i="7"/>
  <c r="MZ8" i="7"/>
  <c r="MY8" i="7"/>
  <c r="MX8" i="7"/>
  <c r="MF8" i="7"/>
  <c r="MD8" i="7"/>
  <c r="MC8" i="7"/>
  <c r="MB8" i="7"/>
  <c r="MA8" i="7"/>
  <c r="LI8" i="7"/>
  <c r="LG8" i="7"/>
  <c r="LF8" i="7"/>
  <c r="LE8" i="7"/>
  <c r="LD8" i="7"/>
  <c r="KL8" i="7"/>
  <c r="KJ8" i="7"/>
  <c r="KI8" i="7"/>
  <c r="KH8" i="7"/>
  <c r="KG8" i="7"/>
  <c r="JO8" i="7"/>
  <c r="JM8" i="7"/>
  <c r="JL8" i="7"/>
  <c r="JK8" i="7"/>
  <c r="JJ8" i="7"/>
  <c r="IR8" i="7"/>
  <c r="IP8" i="7"/>
  <c r="IO8" i="7"/>
  <c r="IN8" i="7"/>
  <c r="IM8" i="7"/>
  <c r="HU8" i="7"/>
  <c r="HS8" i="7"/>
  <c r="HR8" i="7"/>
  <c r="HQ8" i="7"/>
  <c r="HP8" i="7"/>
  <c r="GX8" i="7"/>
  <c r="GV8" i="7"/>
  <c r="GU8" i="7"/>
  <c r="GT8" i="7"/>
  <c r="GS8" i="7"/>
  <c r="GA8" i="7"/>
  <c r="FY8" i="7"/>
  <c r="FX8" i="7"/>
  <c r="FW8" i="7"/>
  <c r="FV8" i="7"/>
  <c r="FD8" i="7"/>
  <c r="FB8" i="7"/>
  <c r="FA8" i="7"/>
  <c r="EZ8" i="7"/>
  <c r="EY8" i="7"/>
  <c r="EG8" i="7"/>
  <c r="EE8" i="7"/>
  <c r="ED8" i="7"/>
  <c r="EC8" i="7"/>
  <c r="EB8" i="7"/>
  <c r="DJ8" i="7"/>
  <c r="DH8" i="7"/>
  <c r="DG8" i="7"/>
  <c r="DF8" i="7"/>
  <c r="DE8" i="7"/>
  <c r="CJ8" i="7"/>
  <c r="CH8" i="7"/>
  <c r="CG8" i="7"/>
  <c r="CF8" i="7"/>
  <c r="CE8" i="7"/>
  <c r="BM8" i="7"/>
  <c r="BK8" i="7"/>
  <c r="BJ8" i="7"/>
  <c r="BI8" i="7"/>
  <c r="BH8" i="7"/>
  <c r="AP8" i="7"/>
  <c r="AN8" i="7"/>
  <c r="AM8" i="7"/>
  <c r="AL8" i="7"/>
  <c r="AK8" i="7"/>
  <c r="NC4" i="8"/>
  <c r="NA4" i="8"/>
  <c r="MZ4" i="8"/>
  <c r="MY4" i="8"/>
  <c r="MX4" i="8"/>
  <c r="MF4" i="8"/>
  <c r="MD4" i="8"/>
  <c r="MC4" i="8"/>
  <c r="MB4" i="8"/>
  <c r="MA4" i="8"/>
  <c r="LI4" i="8"/>
  <c r="LG4" i="8"/>
  <c r="LF4" i="8"/>
  <c r="LE4" i="8"/>
  <c r="LD4" i="8"/>
  <c r="KL4" i="8"/>
  <c r="KJ4" i="8"/>
  <c r="KI4" i="8"/>
  <c r="KH4" i="8"/>
  <c r="KG4" i="8"/>
  <c r="JO4" i="8"/>
  <c r="JM4" i="8"/>
  <c r="JL4" i="8"/>
  <c r="JK4" i="8"/>
  <c r="JJ4" i="8"/>
  <c r="IR4" i="8"/>
  <c r="IP4" i="8"/>
  <c r="IO4" i="8"/>
  <c r="IN4" i="8"/>
  <c r="IM4" i="8"/>
  <c r="HU4" i="8"/>
  <c r="HS4" i="8"/>
  <c r="HR4" i="8"/>
  <c r="HQ4" i="8"/>
  <c r="HP4" i="8"/>
  <c r="GX4" i="8"/>
  <c r="GV4" i="8"/>
  <c r="GU4" i="8"/>
  <c r="GT4" i="8"/>
  <c r="GS4" i="8"/>
  <c r="GA4" i="8"/>
  <c r="FY4" i="8"/>
  <c r="FX4" i="8"/>
  <c r="FW4" i="8"/>
  <c r="FV4" i="8"/>
  <c r="FD4" i="8"/>
  <c r="FB4" i="8"/>
  <c r="FA4" i="8"/>
  <c r="EZ4" i="8"/>
  <c r="EY4" i="8"/>
  <c r="EG4" i="8"/>
  <c r="EE4" i="8"/>
  <c r="ED4" i="8"/>
  <c r="EC4" i="8"/>
  <c r="EB4" i="8"/>
  <c r="DJ4" i="8"/>
  <c r="DH4" i="8"/>
  <c r="DG4" i="8"/>
  <c r="DF4" i="8"/>
  <c r="DE4" i="8"/>
  <c r="CJ4" i="8"/>
  <c r="CH4" i="8"/>
  <c r="CG4" i="8"/>
  <c r="CF4" i="8"/>
  <c r="CE4" i="8"/>
  <c r="BM4" i="8"/>
  <c r="BK4" i="8"/>
  <c r="BJ4" i="8"/>
  <c r="BI4" i="8"/>
  <c r="BH4" i="8"/>
  <c r="AP4" i="8"/>
  <c r="AN4" i="8"/>
  <c r="AM4" i="8"/>
  <c r="AL4" i="8"/>
  <c r="AK4" i="8"/>
  <c r="T8" i="9" l="1"/>
  <c r="S8" i="9"/>
  <c r="S9" i="9"/>
  <c r="T9" i="9"/>
  <c r="E9" i="9"/>
  <c r="E8" i="9"/>
  <c r="DI8" i="7"/>
  <c r="DK8" i="7" s="1"/>
  <c r="FZ8" i="7"/>
  <c r="GB8" i="7" s="1"/>
  <c r="EF5" i="7"/>
  <c r="EH5" i="7" s="1"/>
  <c r="LH5" i="7"/>
  <c r="LJ5" i="7" s="1"/>
  <c r="ME4" i="8"/>
  <c r="MG4" i="8" s="1"/>
  <c r="IQ4" i="8"/>
  <c r="IS4" i="8" s="1"/>
  <c r="DI5" i="7"/>
  <c r="DK5" i="7" s="1"/>
  <c r="KK5" i="7"/>
  <c r="KM5" i="7" s="1"/>
  <c r="NB8" i="7"/>
  <c r="ND8" i="7" s="1"/>
  <c r="I6" i="9"/>
  <c r="CG11" i="9"/>
  <c r="R11" i="9" s="1"/>
  <c r="BL4" i="8"/>
  <c r="BN4" i="8" s="1"/>
  <c r="GW5" i="7"/>
  <c r="GY5" i="7" s="1"/>
  <c r="EF4" i="8"/>
  <c r="EH4" i="8" s="1"/>
  <c r="LH4" i="8"/>
  <c r="LJ4" i="8" s="1"/>
  <c r="KK8" i="7"/>
  <c r="KM8" i="7" s="1"/>
  <c r="FC8" i="7"/>
  <c r="FE8" i="7" s="1"/>
  <c r="ME8" i="7"/>
  <c r="MG8" i="7" s="1"/>
  <c r="FZ5" i="7"/>
  <c r="GB5" i="7" s="1"/>
  <c r="NB5" i="7"/>
  <c r="ND5" i="7" s="1"/>
  <c r="DA7" i="10"/>
  <c r="DC7" i="10" s="1"/>
  <c r="EQ7" i="10"/>
  <c r="ES7" i="10" s="1"/>
  <c r="GG7" i="10"/>
  <c r="GI7" i="10" s="1"/>
  <c r="HW7" i="10"/>
  <c r="HY7" i="10" s="1"/>
  <c r="LC7" i="10"/>
  <c r="LE7" i="10" s="1"/>
  <c r="GW4" i="8"/>
  <c r="GY4" i="8" s="1"/>
  <c r="HT8" i="7"/>
  <c r="HV8" i="7" s="1"/>
  <c r="BL5" i="7"/>
  <c r="BN5" i="7" s="1"/>
  <c r="HT4" i="8"/>
  <c r="HV4" i="8" s="1"/>
  <c r="JM7" i="10"/>
  <c r="JO7" i="10" s="1"/>
  <c r="FL7" i="10"/>
  <c r="FN7" i="10" s="1"/>
  <c r="IR7" i="10"/>
  <c r="IT7" i="10" s="1"/>
  <c r="LX7" i="10"/>
  <c r="LZ7" i="10" s="1"/>
  <c r="Q6" i="9"/>
  <c r="FC4" i="8"/>
  <c r="FE4" i="8" s="1"/>
  <c r="EF8" i="7"/>
  <c r="EH8" i="7" s="1"/>
  <c r="FC5" i="7"/>
  <c r="FE5" i="7" s="1"/>
  <c r="IQ5" i="7"/>
  <c r="IS5" i="7" s="1"/>
  <c r="BL8" i="7"/>
  <c r="BN8" i="7" s="1"/>
  <c r="ME5" i="7"/>
  <c r="MG5" i="7" s="1"/>
  <c r="BH7" i="10"/>
  <c r="BJ7" i="10" s="1"/>
  <c r="G7" i="10"/>
  <c r="P7" i="10"/>
  <c r="CH7" i="10" s="1"/>
  <c r="DI4" i="8"/>
  <c r="DK4" i="8" s="1"/>
  <c r="KK4" i="8"/>
  <c r="KM4" i="8" s="1"/>
  <c r="FZ4" i="8"/>
  <c r="GB4" i="8" s="1"/>
  <c r="JN4" i="8"/>
  <c r="JP4" i="8" s="1"/>
  <c r="NB4" i="8"/>
  <c r="ND4" i="8" s="1"/>
  <c r="GW8" i="7"/>
  <c r="GY8" i="7" s="1"/>
  <c r="AO5" i="7"/>
  <c r="AQ5" i="7" s="1"/>
  <c r="P8" i="7"/>
  <c r="Q8" i="7" s="1"/>
  <c r="JN8" i="7"/>
  <c r="JP8" i="7" s="1"/>
  <c r="JN5" i="7"/>
  <c r="JP5" i="7" s="1"/>
  <c r="AO8" i="7"/>
  <c r="IQ8" i="7"/>
  <c r="IS8" i="7" s="1"/>
  <c r="LH8" i="7"/>
  <c r="LJ8" i="7" s="1"/>
  <c r="HT5" i="7"/>
  <c r="HV5" i="7" s="1"/>
  <c r="KH7" i="10"/>
  <c r="KJ7" i="10" s="1"/>
  <c r="DV7" i="10"/>
  <c r="DX7" i="10" s="1"/>
  <c r="HB7" i="10"/>
  <c r="HD7" i="10" s="1"/>
  <c r="J6" i="9"/>
  <c r="L6" i="9" s="1"/>
  <c r="H6" i="9"/>
  <c r="CC7" i="10"/>
  <c r="CE7" i="10" s="1"/>
  <c r="AM7" i="10"/>
  <c r="AO7" i="10" s="1"/>
  <c r="F7" i="10"/>
  <c r="CI4" i="8"/>
  <c r="CK4" i="8" s="1"/>
  <c r="CI8" i="7"/>
  <c r="CK8" i="7" s="1"/>
  <c r="CI5" i="7"/>
  <c r="CK5" i="7" s="1"/>
  <c r="AO4" i="8"/>
  <c r="G5" i="7"/>
  <c r="G8" i="7"/>
  <c r="P5" i="7"/>
  <c r="CN5" i="7" s="1"/>
  <c r="F5" i="7"/>
  <c r="F8" i="7"/>
  <c r="G4" i="8"/>
  <c r="P4" i="8"/>
  <c r="Q4" i="8" s="1"/>
  <c r="F4" i="8"/>
  <c r="RD11" i="6"/>
  <c r="RB11" i="6"/>
  <c r="RA11" i="6"/>
  <c r="RC11" i="6"/>
  <c r="QZ11" i="6"/>
  <c r="PZ11" i="6"/>
  <c r="PX11" i="6"/>
  <c r="PW11" i="6"/>
  <c r="PY11" i="6"/>
  <c r="PV11" i="6"/>
  <c r="OV11" i="6"/>
  <c r="OT11" i="6"/>
  <c r="OS11" i="6"/>
  <c r="OU11" i="6"/>
  <c r="OR11" i="6"/>
  <c r="NR11" i="6"/>
  <c r="NP11" i="6"/>
  <c r="NO11" i="6"/>
  <c r="NQ11" i="6"/>
  <c r="NN11" i="6"/>
  <c r="MN11" i="6"/>
  <c r="ML11" i="6"/>
  <c r="MK11" i="6"/>
  <c r="MM11" i="6"/>
  <c r="MJ11" i="6"/>
  <c r="LJ11" i="6"/>
  <c r="LH11" i="6"/>
  <c r="LG11" i="6"/>
  <c r="LI11" i="6"/>
  <c r="LF11" i="6"/>
  <c r="KF11" i="6"/>
  <c r="KD11" i="6"/>
  <c r="KC11" i="6"/>
  <c r="KE11" i="6"/>
  <c r="KB11" i="6"/>
  <c r="JB11" i="6"/>
  <c r="IZ11" i="6"/>
  <c r="IY11" i="6"/>
  <c r="JA11" i="6"/>
  <c r="IX11" i="6"/>
  <c r="HX11" i="6"/>
  <c r="HV11" i="6"/>
  <c r="HU11" i="6"/>
  <c r="HW11" i="6"/>
  <c r="HT11" i="6"/>
  <c r="GT11" i="6"/>
  <c r="GR11" i="6"/>
  <c r="GQ11" i="6"/>
  <c r="GS11" i="6"/>
  <c r="GP11" i="6"/>
  <c r="FP11" i="6"/>
  <c r="FN11" i="6"/>
  <c r="FM11" i="6"/>
  <c r="FO11" i="6"/>
  <c r="FL11" i="6"/>
  <c r="EL11" i="6"/>
  <c r="EJ11" i="6"/>
  <c r="EI11" i="6"/>
  <c r="EK11" i="6"/>
  <c r="EH11" i="6"/>
  <c r="DE11" i="6"/>
  <c r="DC11" i="6"/>
  <c r="DB11" i="6"/>
  <c r="DD11" i="6"/>
  <c r="DA11" i="6"/>
  <c r="CA11" i="6"/>
  <c r="BY11" i="6"/>
  <c r="BX11" i="6"/>
  <c r="BZ11" i="6"/>
  <c r="BW11" i="6"/>
  <c r="AW11" i="6"/>
  <c r="AU11" i="6"/>
  <c r="AT11" i="6"/>
  <c r="AV11" i="6"/>
  <c r="AS11" i="6"/>
  <c r="RD10" i="6"/>
  <c r="RB10" i="6"/>
  <c r="RA10" i="6"/>
  <c r="RC10" i="6"/>
  <c r="QZ10" i="6"/>
  <c r="PZ10" i="6"/>
  <c r="PX10" i="6"/>
  <c r="PW10" i="6"/>
  <c r="PY10" i="6"/>
  <c r="PV10" i="6"/>
  <c r="OV10" i="6"/>
  <c r="OT10" i="6"/>
  <c r="OS10" i="6"/>
  <c r="OU10" i="6"/>
  <c r="OR10" i="6"/>
  <c r="NR10" i="6"/>
  <c r="NP10" i="6"/>
  <c r="NO10" i="6"/>
  <c r="NQ10" i="6"/>
  <c r="NN10" i="6"/>
  <c r="MN10" i="6"/>
  <c r="ML10" i="6"/>
  <c r="MK10" i="6"/>
  <c r="MM10" i="6"/>
  <c r="MJ10" i="6"/>
  <c r="LJ10" i="6"/>
  <c r="LH10" i="6"/>
  <c r="LG10" i="6"/>
  <c r="LI10" i="6"/>
  <c r="LF10" i="6"/>
  <c r="KF10" i="6"/>
  <c r="KD10" i="6"/>
  <c r="KC10" i="6"/>
  <c r="KE10" i="6"/>
  <c r="KB10" i="6"/>
  <c r="JB10" i="6"/>
  <c r="IZ10" i="6"/>
  <c r="IY10" i="6"/>
  <c r="JA10" i="6"/>
  <c r="IX10" i="6"/>
  <c r="HX10" i="6"/>
  <c r="HV10" i="6"/>
  <c r="HU10" i="6"/>
  <c r="HW10" i="6"/>
  <c r="HT10" i="6"/>
  <c r="GT10" i="6"/>
  <c r="GR10" i="6"/>
  <c r="GQ10" i="6"/>
  <c r="GS10" i="6"/>
  <c r="GP10" i="6"/>
  <c r="FP10" i="6"/>
  <c r="FN10" i="6"/>
  <c r="FM10" i="6"/>
  <c r="FO10" i="6"/>
  <c r="FL10" i="6"/>
  <c r="EL10" i="6"/>
  <c r="EJ10" i="6"/>
  <c r="EI10" i="6"/>
  <c r="EK10" i="6"/>
  <c r="EH10" i="6"/>
  <c r="DE10" i="6"/>
  <c r="DC10" i="6"/>
  <c r="DB10" i="6"/>
  <c r="DD10" i="6"/>
  <c r="DA10" i="6"/>
  <c r="CA10" i="6"/>
  <c r="BY10" i="6"/>
  <c r="BX10" i="6"/>
  <c r="BZ10" i="6"/>
  <c r="BW10" i="6"/>
  <c r="AW10" i="6"/>
  <c r="AU10" i="6"/>
  <c r="AT10" i="6"/>
  <c r="AV10" i="6"/>
  <c r="AS10" i="6"/>
  <c r="RD10" i="5"/>
  <c r="RB10" i="5"/>
  <c r="RA10" i="5"/>
  <c r="RC10" i="5"/>
  <c r="QZ10" i="5"/>
  <c r="PZ10" i="5"/>
  <c r="PX10" i="5"/>
  <c r="PW10" i="5"/>
  <c r="PY10" i="5"/>
  <c r="PV10" i="5"/>
  <c r="OV10" i="5"/>
  <c r="OT10" i="5"/>
  <c r="OS10" i="5"/>
  <c r="OU10" i="5"/>
  <c r="OR10" i="5"/>
  <c r="NR10" i="5"/>
  <c r="NP10" i="5"/>
  <c r="NO10" i="5"/>
  <c r="NQ10" i="5"/>
  <c r="NN10" i="5"/>
  <c r="MN10" i="5"/>
  <c r="ML10" i="5"/>
  <c r="MK10" i="5"/>
  <c r="MM10" i="5"/>
  <c r="MJ10" i="5"/>
  <c r="LJ10" i="5"/>
  <c r="LH10" i="5"/>
  <c r="LG10" i="5"/>
  <c r="LI10" i="5"/>
  <c r="LF10" i="5"/>
  <c r="KF10" i="5"/>
  <c r="KD10" i="5"/>
  <c r="KC10" i="5"/>
  <c r="KE10" i="5"/>
  <c r="KB10" i="5"/>
  <c r="JB10" i="5"/>
  <c r="IZ10" i="5"/>
  <c r="IY10" i="5"/>
  <c r="JA10" i="5"/>
  <c r="IX10" i="5"/>
  <c r="HX10" i="5"/>
  <c r="HV10" i="5"/>
  <c r="HU10" i="5"/>
  <c r="HW10" i="5"/>
  <c r="HT10" i="5"/>
  <c r="GT10" i="5"/>
  <c r="GR10" i="5"/>
  <c r="GQ10" i="5"/>
  <c r="GS10" i="5"/>
  <c r="GP10" i="5"/>
  <c r="FP10" i="5"/>
  <c r="FN10" i="5"/>
  <c r="FM10" i="5"/>
  <c r="FO10" i="5"/>
  <c r="FL10" i="5"/>
  <c r="EL10" i="5"/>
  <c r="EJ10" i="5"/>
  <c r="EI10" i="5"/>
  <c r="EK10" i="5"/>
  <c r="EH10" i="5"/>
  <c r="DE10" i="5"/>
  <c r="DC10" i="5"/>
  <c r="DB10" i="5"/>
  <c r="DD10" i="5"/>
  <c r="DA10" i="5"/>
  <c r="CA10" i="5"/>
  <c r="BY10" i="5"/>
  <c r="BX10" i="5"/>
  <c r="BZ10" i="5"/>
  <c r="BW10" i="5"/>
  <c r="AW10" i="5"/>
  <c r="AU10" i="5"/>
  <c r="AT10" i="5"/>
  <c r="AV10" i="5"/>
  <c r="AS10" i="5"/>
  <c r="RD8" i="5"/>
  <c r="RB8" i="5"/>
  <c r="RA8" i="5"/>
  <c r="RC8" i="5"/>
  <c r="QZ8" i="5"/>
  <c r="PZ8" i="5"/>
  <c r="PX8" i="5"/>
  <c r="PW8" i="5"/>
  <c r="PY8" i="5"/>
  <c r="PV8" i="5"/>
  <c r="OV8" i="5"/>
  <c r="OT8" i="5"/>
  <c r="OS8" i="5"/>
  <c r="OU8" i="5"/>
  <c r="OR8" i="5"/>
  <c r="NR8" i="5"/>
  <c r="NP8" i="5"/>
  <c r="NO8" i="5"/>
  <c r="NQ8" i="5"/>
  <c r="NN8" i="5"/>
  <c r="MN8" i="5"/>
  <c r="ML8" i="5"/>
  <c r="MK8" i="5"/>
  <c r="MM8" i="5"/>
  <c r="MJ8" i="5"/>
  <c r="LJ8" i="5"/>
  <c r="LH8" i="5"/>
  <c r="LG8" i="5"/>
  <c r="LI8" i="5"/>
  <c r="LF8" i="5"/>
  <c r="KF8" i="5"/>
  <c r="KD8" i="5"/>
  <c r="KC8" i="5"/>
  <c r="KE8" i="5"/>
  <c r="KB8" i="5"/>
  <c r="JB8" i="5"/>
  <c r="IZ8" i="5"/>
  <c r="IY8" i="5"/>
  <c r="JA8" i="5"/>
  <c r="IX8" i="5"/>
  <c r="HX8" i="5"/>
  <c r="HV8" i="5"/>
  <c r="HU8" i="5"/>
  <c r="HW8" i="5"/>
  <c r="HT8" i="5"/>
  <c r="GT8" i="5"/>
  <c r="GR8" i="5"/>
  <c r="GQ8" i="5"/>
  <c r="GS8" i="5"/>
  <c r="GP8" i="5"/>
  <c r="FP8" i="5"/>
  <c r="FN8" i="5"/>
  <c r="FM8" i="5"/>
  <c r="FO8" i="5"/>
  <c r="FL8" i="5"/>
  <c r="EL8" i="5"/>
  <c r="EJ8" i="5"/>
  <c r="EI8" i="5"/>
  <c r="EK8" i="5"/>
  <c r="EH8" i="5"/>
  <c r="DE8" i="5"/>
  <c r="DC8" i="5"/>
  <c r="DB8" i="5"/>
  <c r="DD8" i="5"/>
  <c r="DA8" i="5"/>
  <c r="CA8" i="5"/>
  <c r="BY8" i="5"/>
  <c r="BX8" i="5"/>
  <c r="BZ8" i="5"/>
  <c r="BW8" i="5"/>
  <c r="AW8" i="5"/>
  <c r="AU8" i="5"/>
  <c r="AT8" i="5"/>
  <c r="AV8" i="5"/>
  <c r="AS8" i="5"/>
  <c r="RD5" i="5"/>
  <c r="RB5" i="5"/>
  <c r="RA5" i="5"/>
  <c r="RC5" i="5"/>
  <c r="QZ5" i="5"/>
  <c r="PZ5" i="5"/>
  <c r="PX5" i="5"/>
  <c r="PW5" i="5"/>
  <c r="PY5" i="5"/>
  <c r="PV5" i="5"/>
  <c r="OV5" i="5"/>
  <c r="OT5" i="5"/>
  <c r="OS5" i="5"/>
  <c r="OU5" i="5"/>
  <c r="OR5" i="5"/>
  <c r="NR5" i="5"/>
  <c r="NP5" i="5"/>
  <c r="NO5" i="5"/>
  <c r="NQ5" i="5"/>
  <c r="NN5" i="5"/>
  <c r="MN5" i="5"/>
  <c r="ML5" i="5"/>
  <c r="MK5" i="5"/>
  <c r="MM5" i="5"/>
  <c r="MJ5" i="5"/>
  <c r="LJ5" i="5"/>
  <c r="LH5" i="5"/>
  <c r="LG5" i="5"/>
  <c r="LI5" i="5"/>
  <c r="LF5" i="5"/>
  <c r="KF5" i="5"/>
  <c r="KD5" i="5"/>
  <c r="KC5" i="5"/>
  <c r="KE5" i="5"/>
  <c r="KB5" i="5"/>
  <c r="JB5" i="5"/>
  <c r="IZ5" i="5"/>
  <c r="IY5" i="5"/>
  <c r="JA5" i="5"/>
  <c r="IX5" i="5"/>
  <c r="HX5" i="5"/>
  <c r="HV5" i="5"/>
  <c r="HU5" i="5"/>
  <c r="HW5" i="5"/>
  <c r="HT5" i="5"/>
  <c r="GT5" i="5"/>
  <c r="GR5" i="5"/>
  <c r="GQ5" i="5"/>
  <c r="GS5" i="5"/>
  <c r="GP5" i="5"/>
  <c r="FP5" i="5"/>
  <c r="FN5" i="5"/>
  <c r="FM5" i="5"/>
  <c r="FO5" i="5"/>
  <c r="FL5" i="5"/>
  <c r="EL5" i="5"/>
  <c r="EJ5" i="5"/>
  <c r="EI5" i="5"/>
  <c r="EK5" i="5"/>
  <c r="EH5" i="5"/>
  <c r="DE5" i="5"/>
  <c r="DC5" i="5"/>
  <c r="DB5" i="5"/>
  <c r="DD5" i="5"/>
  <c r="DA5" i="5"/>
  <c r="CA5" i="5"/>
  <c r="BY5" i="5"/>
  <c r="BX5" i="5"/>
  <c r="BZ5" i="5"/>
  <c r="BW5" i="5"/>
  <c r="AW5" i="5"/>
  <c r="AU5" i="5"/>
  <c r="AT5" i="5"/>
  <c r="AV5" i="5"/>
  <c r="AS5" i="5"/>
  <c r="LY12" i="4"/>
  <c r="LW12" i="4"/>
  <c r="LV12" i="4"/>
  <c r="LU12" i="4"/>
  <c r="LD12" i="4"/>
  <c r="LB12" i="4"/>
  <c r="LA12" i="4"/>
  <c r="KZ12" i="4"/>
  <c r="KI12" i="4"/>
  <c r="KG12" i="4"/>
  <c r="KF12" i="4"/>
  <c r="KE12" i="4"/>
  <c r="JN12" i="4"/>
  <c r="JL12" i="4"/>
  <c r="JK12" i="4"/>
  <c r="JJ12" i="4"/>
  <c r="IS12" i="4"/>
  <c r="IQ12" i="4"/>
  <c r="IP12" i="4"/>
  <c r="IO12" i="4"/>
  <c r="HX12" i="4"/>
  <c r="HV12" i="4"/>
  <c r="HU12" i="4"/>
  <c r="HT12" i="4"/>
  <c r="HC12" i="4"/>
  <c r="HA12" i="4"/>
  <c r="GZ12" i="4"/>
  <c r="GY12" i="4"/>
  <c r="GH12" i="4"/>
  <c r="GF12" i="4"/>
  <c r="GE12" i="4"/>
  <c r="GD12" i="4"/>
  <c r="FM12" i="4"/>
  <c r="FK12" i="4"/>
  <c r="FJ12" i="4"/>
  <c r="FI12" i="4"/>
  <c r="ER12" i="4"/>
  <c r="EP12" i="4"/>
  <c r="EO12" i="4"/>
  <c r="EN12" i="4"/>
  <c r="DW12" i="4"/>
  <c r="DU12" i="4"/>
  <c r="DT12" i="4"/>
  <c r="DS12" i="4"/>
  <c r="DB12" i="4"/>
  <c r="CZ12" i="4"/>
  <c r="CY12" i="4"/>
  <c r="CX12" i="4"/>
  <c r="CD12" i="4"/>
  <c r="CB12" i="4"/>
  <c r="CA12" i="4"/>
  <c r="BZ12" i="4"/>
  <c r="BI12" i="4"/>
  <c r="BG12" i="4"/>
  <c r="BF12" i="4"/>
  <c r="BE12" i="4"/>
  <c r="AN12" i="4"/>
  <c r="AL12" i="4"/>
  <c r="AK12" i="4"/>
  <c r="AJ12" i="4"/>
  <c r="LY15" i="4"/>
  <c r="LW15" i="4"/>
  <c r="LV15" i="4"/>
  <c r="LU15" i="4"/>
  <c r="LD15" i="4"/>
  <c r="LB15" i="4"/>
  <c r="LA15" i="4"/>
  <c r="KZ15" i="4"/>
  <c r="KI15" i="4"/>
  <c r="KG15" i="4"/>
  <c r="KF15" i="4"/>
  <c r="KE15" i="4"/>
  <c r="JN15" i="4"/>
  <c r="JL15" i="4"/>
  <c r="JK15" i="4"/>
  <c r="JJ15" i="4"/>
  <c r="IS15" i="4"/>
  <c r="IQ15" i="4"/>
  <c r="IP15" i="4"/>
  <c r="IO15" i="4"/>
  <c r="HX15" i="4"/>
  <c r="HV15" i="4"/>
  <c r="HU15" i="4"/>
  <c r="HT15" i="4"/>
  <c r="HC15" i="4"/>
  <c r="HA15" i="4"/>
  <c r="GZ15" i="4"/>
  <c r="GY15" i="4"/>
  <c r="GH15" i="4"/>
  <c r="GF15" i="4"/>
  <c r="GE15" i="4"/>
  <c r="GD15" i="4"/>
  <c r="FM15" i="4"/>
  <c r="FK15" i="4"/>
  <c r="FJ15" i="4"/>
  <c r="FI15" i="4"/>
  <c r="ER15" i="4"/>
  <c r="EP15" i="4"/>
  <c r="EO15" i="4"/>
  <c r="EN15" i="4"/>
  <c r="DW15" i="4"/>
  <c r="DU15" i="4"/>
  <c r="DT15" i="4"/>
  <c r="DS15" i="4"/>
  <c r="DB15" i="4"/>
  <c r="CZ15" i="4"/>
  <c r="CY15" i="4"/>
  <c r="CX15" i="4"/>
  <c r="CD15" i="4"/>
  <c r="CB15" i="4"/>
  <c r="CA15" i="4"/>
  <c r="BZ15" i="4"/>
  <c r="BI15" i="4"/>
  <c r="BG15" i="4"/>
  <c r="BF15" i="4"/>
  <c r="BE15" i="4"/>
  <c r="AN15" i="4"/>
  <c r="AL15" i="4"/>
  <c r="AK15" i="4"/>
  <c r="AJ15" i="4"/>
  <c r="LY17" i="4"/>
  <c r="LW17" i="4"/>
  <c r="LV17" i="4"/>
  <c r="LU17" i="4"/>
  <c r="LD17" i="4"/>
  <c r="LB17" i="4"/>
  <c r="LA17" i="4"/>
  <c r="KZ17" i="4"/>
  <c r="KI17" i="4"/>
  <c r="KG17" i="4"/>
  <c r="KF17" i="4"/>
  <c r="KE17" i="4"/>
  <c r="JN17" i="4"/>
  <c r="JL17" i="4"/>
  <c r="JK17" i="4"/>
  <c r="JJ17" i="4"/>
  <c r="IS17" i="4"/>
  <c r="IQ17" i="4"/>
  <c r="IP17" i="4"/>
  <c r="IO17" i="4"/>
  <c r="HX17" i="4"/>
  <c r="HV17" i="4"/>
  <c r="HU17" i="4"/>
  <c r="HT17" i="4"/>
  <c r="HC17" i="4"/>
  <c r="HA17" i="4"/>
  <c r="GZ17" i="4"/>
  <c r="GY17" i="4"/>
  <c r="GH17" i="4"/>
  <c r="GF17" i="4"/>
  <c r="GE17" i="4"/>
  <c r="GD17" i="4"/>
  <c r="FM17" i="4"/>
  <c r="FK17" i="4"/>
  <c r="FJ17" i="4"/>
  <c r="FI17" i="4"/>
  <c r="ER17" i="4"/>
  <c r="EP17" i="4"/>
  <c r="EO17" i="4"/>
  <c r="EN17" i="4"/>
  <c r="DW17" i="4"/>
  <c r="DU17" i="4"/>
  <c r="DT17" i="4"/>
  <c r="DS17" i="4"/>
  <c r="DB17" i="4"/>
  <c r="CZ17" i="4"/>
  <c r="CY17" i="4"/>
  <c r="CX17" i="4"/>
  <c r="CD17" i="4"/>
  <c r="CB17" i="4"/>
  <c r="CA17" i="4"/>
  <c r="BZ17" i="4"/>
  <c r="BI17" i="4"/>
  <c r="BG17" i="4"/>
  <c r="BF17" i="4"/>
  <c r="BE17" i="4"/>
  <c r="AN17" i="4"/>
  <c r="AL17" i="4"/>
  <c r="AK17" i="4"/>
  <c r="AJ17" i="4"/>
  <c r="LY16" i="4"/>
  <c r="LW16" i="4"/>
  <c r="LV16" i="4"/>
  <c r="LU16" i="4"/>
  <c r="LD16" i="4"/>
  <c r="LB16" i="4"/>
  <c r="LA16" i="4"/>
  <c r="KZ16" i="4"/>
  <c r="KI16" i="4"/>
  <c r="KG16" i="4"/>
  <c r="KF16" i="4"/>
  <c r="KE16" i="4"/>
  <c r="JN16" i="4"/>
  <c r="JL16" i="4"/>
  <c r="JK16" i="4"/>
  <c r="JJ16" i="4"/>
  <c r="IS16" i="4"/>
  <c r="IQ16" i="4"/>
  <c r="IP16" i="4"/>
  <c r="IO16" i="4"/>
  <c r="HX16" i="4"/>
  <c r="HV16" i="4"/>
  <c r="HU16" i="4"/>
  <c r="HT16" i="4"/>
  <c r="HC16" i="4"/>
  <c r="HA16" i="4"/>
  <c r="GZ16" i="4"/>
  <c r="GY16" i="4"/>
  <c r="GH16" i="4"/>
  <c r="GF16" i="4"/>
  <c r="GE16" i="4"/>
  <c r="GD16" i="4"/>
  <c r="FM16" i="4"/>
  <c r="FK16" i="4"/>
  <c r="FJ16" i="4"/>
  <c r="FI16" i="4"/>
  <c r="ER16" i="4"/>
  <c r="EP16" i="4"/>
  <c r="EO16" i="4"/>
  <c r="EN16" i="4"/>
  <c r="DW16" i="4"/>
  <c r="DU16" i="4"/>
  <c r="DT16" i="4"/>
  <c r="DS16" i="4"/>
  <c r="DB16" i="4"/>
  <c r="CZ16" i="4"/>
  <c r="CY16" i="4"/>
  <c r="CX16" i="4"/>
  <c r="CD16" i="4"/>
  <c r="CB16" i="4"/>
  <c r="CA16" i="4"/>
  <c r="BZ16" i="4"/>
  <c r="BI16" i="4"/>
  <c r="BG16" i="4"/>
  <c r="BF16" i="4"/>
  <c r="BE16" i="4"/>
  <c r="AN16" i="4"/>
  <c r="AL16" i="4"/>
  <c r="AK16" i="4"/>
  <c r="AJ16" i="4"/>
  <c r="LY18" i="4"/>
  <c r="LW18" i="4"/>
  <c r="LV18" i="4"/>
  <c r="LU18" i="4"/>
  <c r="LD18" i="4"/>
  <c r="LB18" i="4"/>
  <c r="LA18" i="4"/>
  <c r="KZ18" i="4"/>
  <c r="KI18" i="4"/>
  <c r="KG18" i="4"/>
  <c r="KF18" i="4"/>
  <c r="KE18" i="4"/>
  <c r="JN18" i="4"/>
  <c r="JL18" i="4"/>
  <c r="JK18" i="4"/>
  <c r="JJ18" i="4"/>
  <c r="IS18" i="4"/>
  <c r="IQ18" i="4"/>
  <c r="IP18" i="4"/>
  <c r="IO18" i="4"/>
  <c r="HX18" i="4"/>
  <c r="HV18" i="4"/>
  <c r="HU18" i="4"/>
  <c r="HT18" i="4"/>
  <c r="HC18" i="4"/>
  <c r="HA18" i="4"/>
  <c r="GZ18" i="4"/>
  <c r="GY18" i="4"/>
  <c r="GH18" i="4"/>
  <c r="GF18" i="4"/>
  <c r="GE18" i="4"/>
  <c r="GD18" i="4"/>
  <c r="FM18" i="4"/>
  <c r="FK18" i="4"/>
  <c r="FJ18" i="4"/>
  <c r="FI18" i="4"/>
  <c r="ER18" i="4"/>
  <c r="EP18" i="4"/>
  <c r="EO18" i="4"/>
  <c r="EN18" i="4"/>
  <c r="DW18" i="4"/>
  <c r="DU18" i="4"/>
  <c r="DT18" i="4"/>
  <c r="DS18" i="4"/>
  <c r="DB18" i="4"/>
  <c r="CZ18" i="4"/>
  <c r="CY18" i="4"/>
  <c r="CX18" i="4"/>
  <c r="CD18" i="4"/>
  <c r="CB18" i="4"/>
  <c r="CA18" i="4"/>
  <c r="BZ18" i="4"/>
  <c r="BI18" i="4"/>
  <c r="BG18" i="4"/>
  <c r="BF18" i="4"/>
  <c r="BE18" i="4"/>
  <c r="AN18" i="4"/>
  <c r="AL18" i="4"/>
  <c r="AK18" i="4"/>
  <c r="AJ18" i="4"/>
  <c r="LY10" i="2"/>
  <c r="LW10" i="2"/>
  <c r="LV10" i="2"/>
  <c r="LU10" i="2"/>
  <c r="LD10" i="2"/>
  <c r="LB10" i="2"/>
  <c r="LA10" i="2"/>
  <c r="KZ10" i="2"/>
  <c r="KI10" i="2"/>
  <c r="KG10" i="2"/>
  <c r="KF10" i="2"/>
  <c r="KE10" i="2"/>
  <c r="JN10" i="2"/>
  <c r="JL10" i="2"/>
  <c r="JK10" i="2"/>
  <c r="JJ10" i="2"/>
  <c r="IS10" i="2"/>
  <c r="IQ10" i="2"/>
  <c r="IP10" i="2"/>
  <c r="IO10" i="2"/>
  <c r="HX10" i="2"/>
  <c r="HV10" i="2"/>
  <c r="HU10" i="2"/>
  <c r="HT10" i="2"/>
  <c r="HC10" i="2"/>
  <c r="HA10" i="2"/>
  <c r="GZ10" i="2"/>
  <c r="GY10" i="2"/>
  <c r="GH10" i="2"/>
  <c r="GF10" i="2"/>
  <c r="GE10" i="2"/>
  <c r="GD10" i="2"/>
  <c r="FM10" i="2"/>
  <c r="FK10" i="2"/>
  <c r="FJ10" i="2"/>
  <c r="FI10" i="2"/>
  <c r="ER10" i="2"/>
  <c r="EP10" i="2"/>
  <c r="EO10" i="2"/>
  <c r="EN10" i="2"/>
  <c r="DW10" i="2"/>
  <c r="DU10" i="2"/>
  <c r="DT10" i="2"/>
  <c r="DS10" i="2"/>
  <c r="DB10" i="2"/>
  <c r="CZ10" i="2"/>
  <c r="CY10" i="2"/>
  <c r="CX10" i="2"/>
  <c r="CD10" i="2"/>
  <c r="CB10" i="2"/>
  <c r="CA10" i="2"/>
  <c r="BZ10" i="2"/>
  <c r="BI10" i="2"/>
  <c r="BG10" i="2"/>
  <c r="BF10" i="2"/>
  <c r="BE10" i="2"/>
  <c r="AN10" i="2"/>
  <c r="AL10" i="2"/>
  <c r="AK10" i="2"/>
  <c r="AJ10" i="2"/>
  <c r="AM18" i="4" l="1"/>
  <c r="AO18" i="4" s="1"/>
  <c r="DV18" i="4"/>
  <c r="DX18" i="4" s="1"/>
  <c r="FL18" i="4"/>
  <c r="FN18" i="4" s="1"/>
  <c r="HB18" i="4"/>
  <c r="HD18" i="4" s="1"/>
  <c r="IR18" i="4"/>
  <c r="IT18" i="4" s="1"/>
  <c r="KH18" i="4"/>
  <c r="KJ18" i="4" s="1"/>
  <c r="LX18" i="4"/>
  <c r="LZ18" i="4" s="1"/>
  <c r="BH16" i="4"/>
  <c r="BJ16" i="4" s="1"/>
  <c r="DA16" i="4"/>
  <c r="DC16" i="4" s="1"/>
  <c r="EQ16" i="4"/>
  <c r="ES16" i="4" s="1"/>
  <c r="GG16" i="4"/>
  <c r="GI16" i="4" s="1"/>
  <c r="HW16" i="4"/>
  <c r="HY16" i="4" s="1"/>
  <c r="JM16" i="4"/>
  <c r="JO16" i="4" s="1"/>
  <c r="LC16" i="4"/>
  <c r="LE16" i="4" s="1"/>
  <c r="FL17" i="4"/>
  <c r="FN17" i="4" s="1"/>
  <c r="LC15" i="4"/>
  <c r="LE15" i="4" s="1"/>
  <c r="AM12" i="4"/>
  <c r="AO12" i="4" s="1"/>
  <c r="CC12" i="4"/>
  <c r="CE12" i="4" s="1"/>
  <c r="FL12" i="4"/>
  <c r="FN12" i="4" s="1"/>
  <c r="IR12" i="4"/>
  <c r="IT12" i="4" s="1"/>
  <c r="LX12" i="4"/>
  <c r="LZ12" i="4" s="1"/>
  <c r="E11" i="9"/>
  <c r="T11" i="9"/>
  <c r="S11" i="9"/>
  <c r="BH10" i="2"/>
  <c r="BJ10" i="2" s="1"/>
  <c r="DA10" i="2"/>
  <c r="DC10" i="2" s="1"/>
  <c r="EQ10" i="2"/>
  <c r="ES10" i="2" s="1"/>
  <c r="GG10" i="2"/>
  <c r="GI10" i="2" s="1"/>
  <c r="HW10" i="2"/>
  <c r="HY10" i="2" s="1"/>
  <c r="JM10" i="2"/>
  <c r="JO10" i="2" s="1"/>
  <c r="LC10" i="2"/>
  <c r="LE10" i="2" s="1"/>
  <c r="I7" i="10"/>
  <c r="IR17" i="4"/>
  <c r="IT17" i="4" s="1"/>
  <c r="LX17" i="4"/>
  <c r="LZ17" i="4" s="1"/>
  <c r="BH15" i="4"/>
  <c r="BJ15" i="4" s="1"/>
  <c r="DA15" i="4"/>
  <c r="DC15" i="4" s="1"/>
  <c r="EQ15" i="4"/>
  <c r="ES15" i="4" s="1"/>
  <c r="GG15" i="4"/>
  <c r="GI15" i="4" s="1"/>
  <c r="HW15" i="4"/>
  <c r="HY15" i="4" s="1"/>
  <c r="JM15" i="4"/>
  <c r="JO15" i="4" s="1"/>
  <c r="AM17" i="4"/>
  <c r="AO17" i="4" s="1"/>
  <c r="J4" i="8"/>
  <c r="K4" i="8" s="1"/>
  <c r="Q7" i="10"/>
  <c r="P15" i="4"/>
  <c r="Q15" i="4" s="1"/>
  <c r="P12" i="4"/>
  <c r="CH12" i="4" s="1"/>
  <c r="Q5" i="7"/>
  <c r="HY8" i="5"/>
  <c r="RE8" i="5"/>
  <c r="JC10" i="5"/>
  <c r="MO5" i="5"/>
  <c r="EM8" i="5"/>
  <c r="NS8" i="5"/>
  <c r="CB11" i="6"/>
  <c r="HY11" i="6"/>
  <c r="RE11" i="6"/>
  <c r="CN8" i="7"/>
  <c r="J5" i="7"/>
  <c r="K5" i="7" s="1"/>
  <c r="N6" i="9"/>
  <c r="CG6" i="9" s="1"/>
  <c r="H5" i="7"/>
  <c r="K6" i="9"/>
  <c r="F18" i="4"/>
  <c r="AQ4" i="8"/>
  <c r="H4" i="8"/>
  <c r="J8" i="7"/>
  <c r="N8" i="7" s="1"/>
  <c r="H8" i="7"/>
  <c r="A8" i="7" s="1"/>
  <c r="AQ8" i="7"/>
  <c r="J7" i="10"/>
  <c r="N7" i="10" s="1"/>
  <c r="H7" i="10"/>
  <c r="A7" i="10" s="1"/>
  <c r="M6" i="9"/>
  <c r="CF6" i="9"/>
  <c r="CN4" i="8"/>
  <c r="I5" i="7"/>
  <c r="I8" i="7"/>
  <c r="I4" i="8"/>
  <c r="LK10" i="5"/>
  <c r="GU8" i="5"/>
  <c r="QA8" i="5"/>
  <c r="LK5" i="5"/>
  <c r="CB8" i="5"/>
  <c r="MO10" i="5"/>
  <c r="DF11" i="6"/>
  <c r="MO11" i="6"/>
  <c r="HY10" i="6"/>
  <c r="RE10" i="6"/>
  <c r="JC11" i="6"/>
  <c r="KG11" i="6"/>
  <c r="G10" i="6"/>
  <c r="EM10" i="6"/>
  <c r="FQ10" i="6"/>
  <c r="NS10" i="6"/>
  <c r="OW10" i="6"/>
  <c r="GU11" i="6"/>
  <c r="QA11" i="6"/>
  <c r="AX11" i="6"/>
  <c r="J10" i="5"/>
  <c r="K10" i="5" s="1"/>
  <c r="AX10" i="5"/>
  <c r="JC5" i="5"/>
  <c r="AX8" i="5"/>
  <c r="AX5" i="5"/>
  <c r="FQ8" i="5"/>
  <c r="OW8" i="5"/>
  <c r="KG10" i="5"/>
  <c r="LK8" i="5"/>
  <c r="GU10" i="5"/>
  <c r="QA10" i="5"/>
  <c r="J5" i="5"/>
  <c r="L5" i="5" s="1"/>
  <c r="KG5" i="5"/>
  <c r="CB5" i="5"/>
  <c r="CB10" i="5"/>
  <c r="G8" i="5"/>
  <c r="HY5" i="5"/>
  <c r="RE5" i="5"/>
  <c r="P8" i="5"/>
  <c r="DI8" i="5" s="1"/>
  <c r="DF8" i="5"/>
  <c r="MO8" i="5"/>
  <c r="F10" i="5"/>
  <c r="HY10" i="5"/>
  <c r="RE10" i="5"/>
  <c r="P10" i="5"/>
  <c r="DI10" i="5" s="1"/>
  <c r="GU5" i="5"/>
  <c r="QA5" i="5"/>
  <c r="EM5" i="5"/>
  <c r="FQ5" i="5"/>
  <c r="NS5" i="5"/>
  <c r="OW5" i="5"/>
  <c r="JC8" i="5"/>
  <c r="KG8" i="5"/>
  <c r="EM10" i="5"/>
  <c r="FQ10" i="5"/>
  <c r="NS10" i="5"/>
  <c r="OW10" i="5"/>
  <c r="LK10" i="6"/>
  <c r="DF10" i="6"/>
  <c r="MO10" i="6"/>
  <c r="F11" i="6"/>
  <c r="KG10" i="6"/>
  <c r="NS11" i="6"/>
  <c r="FQ11" i="6"/>
  <c r="OW11" i="6"/>
  <c r="GU10" i="6"/>
  <c r="QA10" i="6"/>
  <c r="P11" i="6"/>
  <c r="DI11" i="6" s="1"/>
  <c r="LK11" i="6"/>
  <c r="AX10" i="6"/>
  <c r="JC10" i="6"/>
  <c r="EM11" i="6"/>
  <c r="CB10" i="6"/>
  <c r="AM10" i="2"/>
  <c r="FL10" i="2"/>
  <c r="FN10" i="2" s="1"/>
  <c r="IR10" i="2"/>
  <c r="IT10" i="2" s="1"/>
  <c r="LX10" i="2"/>
  <c r="LZ10" i="2" s="1"/>
  <c r="BH18" i="4"/>
  <c r="BJ18" i="4" s="1"/>
  <c r="DA18" i="4"/>
  <c r="DC18" i="4" s="1"/>
  <c r="EQ18" i="4"/>
  <c r="ES18" i="4" s="1"/>
  <c r="GG18" i="4"/>
  <c r="GI18" i="4" s="1"/>
  <c r="HW18" i="4"/>
  <c r="HY18" i="4" s="1"/>
  <c r="AM16" i="4"/>
  <c r="CC16" i="4"/>
  <c r="CE16" i="4" s="1"/>
  <c r="FL16" i="4"/>
  <c r="FN16" i="4" s="1"/>
  <c r="IR16" i="4"/>
  <c r="IT16" i="4" s="1"/>
  <c r="LX16" i="4"/>
  <c r="LZ16" i="4" s="1"/>
  <c r="BH17" i="4"/>
  <c r="BJ17" i="4" s="1"/>
  <c r="DA17" i="4"/>
  <c r="DC17" i="4" s="1"/>
  <c r="EQ17" i="4"/>
  <c r="ES17" i="4" s="1"/>
  <c r="GG17" i="4"/>
  <c r="GI17" i="4" s="1"/>
  <c r="HW17" i="4"/>
  <c r="HY17" i="4" s="1"/>
  <c r="JM17" i="4"/>
  <c r="JO17" i="4" s="1"/>
  <c r="LC17" i="4"/>
  <c r="LE17" i="4" s="1"/>
  <c r="AM15" i="4"/>
  <c r="AO15" i="4" s="1"/>
  <c r="FL15" i="4"/>
  <c r="FN15" i="4" s="1"/>
  <c r="IR15" i="4"/>
  <c r="IT15" i="4" s="1"/>
  <c r="LX15" i="4"/>
  <c r="LZ15" i="4" s="1"/>
  <c r="BH12" i="4"/>
  <c r="BJ12" i="4" s="1"/>
  <c r="DA12" i="4"/>
  <c r="DC12" i="4" s="1"/>
  <c r="EQ12" i="4"/>
  <c r="ES12" i="4" s="1"/>
  <c r="GG12" i="4"/>
  <c r="GI12" i="4" s="1"/>
  <c r="HW12" i="4"/>
  <c r="HY12" i="4" s="1"/>
  <c r="JM12" i="4"/>
  <c r="JO12" i="4" s="1"/>
  <c r="LC12" i="4"/>
  <c r="LE12" i="4" s="1"/>
  <c r="H11" i="6"/>
  <c r="G11" i="6"/>
  <c r="J11" i="6"/>
  <c r="H10" i="6"/>
  <c r="J10" i="6"/>
  <c r="N10" i="6" s="1"/>
  <c r="O10" i="6" s="1"/>
  <c r="P10" i="6"/>
  <c r="DI10" i="6" s="1"/>
  <c r="F10" i="6"/>
  <c r="H10" i="5"/>
  <c r="G10" i="5"/>
  <c r="DF10" i="5"/>
  <c r="H8" i="5"/>
  <c r="J8" i="5"/>
  <c r="F8" i="5"/>
  <c r="G5" i="5"/>
  <c r="H5" i="5"/>
  <c r="P5" i="5"/>
  <c r="Q5" i="5" s="1"/>
  <c r="DF5" i="5"/>
  <c r="F5" i="5"/>
  <c r="LC18" i="4"/>
  <c r="LE18" i="4" s="1"/>
  <c r="P18" i="4"/>
  <c r="Q18" i="4" s="1"/>
  <c r="DV16" i="4"/>
  <c r="DX16" i="4" s="1"/>
  <c r="HB15" i="4"/>
  <c r="HD15" i="4" s="1"/>
  <c r="KH16" i="4"/>
  <c r="KJ16" i="4" s="1"/>
  <c r="HB16" i="4"/>
  <c r="HD16" i="4" s="1"/>
  <c r="KH15" i="4"/>
  <c r="KJ15" i="4" s="1"/>
  <c r="DV15" i="4"/>
  <c r="DX15" i="4" s="1"/>
  <c r="DV12" i="4"/>
  <c r="DX12" i="4" s="1"/>
  <c r="HB12" i="4"/>
  <c r="HD12" i="4" s="1"/>
  <c r="KH12" i="4"/>
  <c r="KJ12" i="4" s="1"/>
  <c r="P16" i="4"/>
  <c r="Q16" i="4" s="1"/>
  <c r="JM18" i="4"/>
  <c r="JO18" i="4" s="1"/>
  <c r="G16" i="4"/>
  <c r="G15" i="4"/>
  <c r="G12" i="4"/>
  <c r="F12" i="4"/>
  <c r="P17" i="4"/>
  <c r="CH17" i="4" s="1"/>
  <c r="CC15" i="4"/>
  <c r="CE15" i="4" s="1"/>
  <c r="F15" i="4"/>
  <c r="DV17" i="4"/>
  <c r="DX17" i="4" s="1"/>
  <c r="HB17" i="4"/>
  <c r="HD17" i="4" s="1"/>
  <c r="KH17" i="4"/>
  <c r="KJ17" i="4" s="1"/>
  <c r="G17" i="4"/>
  <c r="CC17" i="4"/>
  <c r="CE17" i="4" s="1"/>
  <c r="F17" i="4"/>
  <c r="F16" i="4"/>
  <c r="CC18" i="4"/>
  <c r="CE18" i="4" s="1"/>
  <c r="G18" i="4"/>
  <c r="DV10" i="2"/>
  <c r="DX10" i="2" s="1"/>
  <c r="HB10" i="2"/>
  <c r="HD10" i="2" s="1"/>
  <c r="KH10" i="2"/>
  <c r="KJ10" i="2" s="1"/>
  <c r="P10" i="2"/>
  <c r="CH10" i="2" s="1"/>
  <c r="F10" i="2"/>
  <c r="CC10" i="2"/>
  <c r="CE10" i="2" s="1"/>
  <c r="G10" i="2"/>
  <c r="DI5" i="5" l="1"/>
  <c r="L4" i="8"/>
  <c r="CL4" i="8" s="1"/>
  <c r="N4" i="8"/>
  <c r="O4" i="8" s="1"/>
  <c r="CH15" i="4"/>
  <c r="N5" i="7"/>
  <c r="O5" i="7" s="1"/>
  <c r="L5" i="7"/>
  <c r="M5" i="7" s="1"/>
  <c r="Q12" i="4"/>
  <c r="O6" i="9"/>
  <c r="K8" i="7"/>
  <c r="L8" i="7"/>
  <c r="M8" i="7" s="1"/>
  <c r="L7" i="10"/>
  <c r="M7" i="10" s="1"/>
  <c r="K7" i="10"/>
  <c r="H18" i="4"/>
  <c r="L10" i="5"/>
  <c r="M10" i="5" s="1"/>
  <c r="Q10" i="5"/>
  <c r="N10" i="5"/>
  <c r="O10" i="5" s="1"/>
  <c r="DH10" i="6"/>
  <c r="J18" i="4"/>
  <c r="L18" i="4" s="1"/>
  <c r="CH16" i="4"/>
  <c r="R6" i="9"/>
  <c r="CG7" i="10"/>
  <c r="O7" i="10"/>
  <c r="O8" i="7"/>
  <c r="CM8" i="7"/>
  <c r="H10" i="2"/>
  <c r="Q10" i="6"/>
  <c r="I5" i="5"/>
  <c r="Q8" i="5"/>
  <c r="K5" i="5"/>
  <c r="N5" i="5"/>
  <c r="O5" i="5" s="1"/>
  <c r="I10" i="5"/>
  <c r="I11" i="6"/>
  <c r="Q11" i="6"/>
  <c r="I10" i="2"/>
  <c r="AO10" i="2"/>
  <c r="J10" i="2"/>
  <c r="N10" i="2" s="1"/>
  <c r="H16" i="4"/>
  <c r="A16" i="4" s="1"/>
  <c r="J16" i="4"/>
  <c r="L16" i="4" s="1"/>
  <c r="AO16" i="4"/>
  <c r="CH18" i="4"/>
  <c r="H12" i="4"/>
  <c r="A12" i="4" s="1"/>
  <c r="J12" i="4"/>
  <c r="K12" i="4" s="1"/>
  <c r="N11" i="6"/>
  <c r="L11" i="6"/>
  <c r="K11" i="6"/>
  <c r="I10" i="6"/>
  <c r="L10" i="6"/>
  <c r="DG10" i="6" s="1"/>
  <c r="K10" i="6"/>
  <c r="I8" i="5"/>
  <c r="N8" i="5"/>
  <c r="L8" i="5"/>
  <c r="K8" i="5"/>
  <c r="DG5" i="5"/>
  <c r="M5" i="5"/>
  <c r="Q17" i="4"/>
  <c r="I12" i="4"/>
  <c r="I18" i="4"/>
  <c r="J15" i="4"/>
  <c r="N15" i="4" s="1"/>
  <c r="H15" i="4"/>
  <c r="A15" i="4" s="1"/>
  <c r="I15" i="4"/>
  <c r="J17" i="4"/>
  <c r="L17" i="4" s="1"/>
  <c r="H17" i="4"/>
  <c r="A17" i="4" s="1"/>
  <c r="I17" i="4"/>
  <c r="I16" i="4"/>
  <c r="Q10" i="2"/>
  <c r="NQ13" i="5"/>
  <c r="NQ9" i="5"/>
  <c r="NQ6" i="5"/>
  <c r="NN13" i="5"/>
  <c r="NN9" i="5"/>
  <c r="M4" i="8" l="1"/>
  <c r="CM4" i="8"/>
  <c r="R4" i="8" s="1"/>
  <c r="T4" i="8" s="1"/>
  <c r="CM5" i="7"/>
  <c r="CL5" i="7"/>
  <c r="CL8" i="7"/>
  <c r="R8" i="7" s="1"/>
  <c r="E8" i="7" s="1"/>
  <c r="DH10" i="5"/>
  <c r="CF7" i="10"/>
  <c r="R7" i="10" s="1"/>
  <c r="E7" i="10" s="1"/>
  <c r="DG10" i="5"/>
  <c r="N18" i="4"/>
  <c r="CG18" i="4" s="1"/>
  <c r="R10" i="6"/>
  <c r="S10" i="6" s="1"/>
  <c r="K10" i="2"/>
  <c r="K18" i="4"/>
  <c r="N16" i="4"/>
  <c r="O16" i="4" s="1"/>
  <c r="K16" i="4"/>
  <c r="T6" i="9"/>
  <c r="S6" i="9"/>
  <c r="E6" i="9"/>
  <c r="A6" i="9" s="1"/>
  <c r="M10" i="6"/>
  <c r="DH5" i="5"/>
  <c r="R5" i="5" s="1"/>
  <c r="L10" i="2"/>
  <c r="CF10" i="2" s="1"/>
  <c r="L12" i="4"/>
  <c r="CF12" i="4" s="1"/>
  <c r="N12" i="4"/>
  <c r="O12" i="4" s="1"/>
  <c r="DG11" i="6"/>
  <c r="M11" i="6"/>
  <c r="DH11" i="6"/>
  <c r="O11" i="6"/>
  <c r="M8" i="5"/>
  <c r="DG8" i="5"/>
  <c r="DH8" i="5"/>
  <c r="O8" i="5"/>
  <c r="K15" i="4"/>
  <c r="L15" i="4"/>
  <c r="CF15" i="4" s="1"/>
  <c r="N17" i="4"/>
  <c r="O17" i="4" s="1"/>
  <c r="K17" i="4"/>
  <c r="CG15" i="4"/>
  <c r="O15" i="4"/>
  <c r="CF17" i="4"/>
  <c r="M17" i="4"/>
  <c r="CF16" i="4"/>
  <c r="M16" i="4"/>
  <c r="M18" i="4"/>
  <c r="CF18" i="4"/>
  <c r="CG10" i="2"/>
  <c r="O10" i="2"/>
  <c r="OU5" i="6"/>
  <c r="OU6" i="6"/>
  <c r="OU9" i="6"/>
  <c r="OU8" i="6"/>
  <c r="OR5" i="6"/>
  <c r="MB6" i="8"/>
  <c r="MA6" i="8"/>
  <c r="LD7" i="7"/>
  <c r="R5" i="7" l="1"/>
  <c r="E5" i="7" s="1"/>
  <c r="R10" i="5"/>
  <c r="E10" i="5" s="1"/>
  <c r="A10" i="5" s="1"/>
  <c r="O18" i="4"/>
  <c r="T7" i="10"/>
  <c r="S7" i="10"/>
  <c r="T10" i="6"/>
  <c r="CG16" i="4"/>
  <c r="R16" i="4" s="1"/>
  <c r="T16" i="4" s="1"/>
  <c r="E4" i="8"/>
  <c r="E10" i="6"/>
  <c r="S4" i="8"/>
  <c r="T8" i="7"/>
  <c r="M10" i="2"/>
  <c r="S8" i="7"/>
  <c r="T5" i="5"/>
  <c r="E5" i="5"/>
  <c r="M12" i="4"/>
  <c r="CG12" i="4"/>
  <c r="R12" i="4" s="1"/>
  <c r="S5" i="5"/>
  <c r="M15" i="4"/>
  <c r="R11" i="6"/>
  <c r="R8" i="5"/>
  <c r="CG17" i="4"/>
  <c r="R17" i="4" s="1"/>
  <c r="R15" i="4"/>
  <c r="R18" i="4"/>
  <c r="R10" i="2"/>
  <c r="CB12" i="9"/>
  <c r="BG10" i="9"/>
  <c r="HA7" i="9"/>
  <c r="KZ7" i="9"/>
  <c r="KZ10" i="9"/>
  <c r="KE4" i="9"/>
  <c r="KE7" i="9"/>
  <c r="KE10" i="9"/>
  <c r="KG7" i="9"/>
  <c r="HA7" i="2"/>
  <c r="LA8" i="4"/>
  <c r="LA9" i="4"/>
  <c r="LA19" i="4"/>
  <c r="LA7" i="4"/>
  <c r="LB7" i="4"/>
  <c r="KF9" i="4"/>
  <c r="KG19" i="4"/>
  <c r="KG7" i="4"/>
  <c r="LA4" i="2"/>
  <c r="LB4" i="2"/>
  <c r="LB6" i="2"/>
  <c r="BG9" i="2"/>
  <c r="KE6" i="2"/>
  <c r="JJ6" i="2"/>
  <c r="LU9" i="4"/>
  <c r="KZ9" i="4"/>
  <c r="KZ19" i="4"/>
  <c r="KE7" i="4"/>
  <c r="JJ5" i="4"/>
  <c r="AJ4" i="4"/>
  <c r="AV11" i="5"/>
  <c r="BZ11" i="5"/>
  <c r="DD11" i="5"/>
  <c r="AV4" i="5"/>
  <c r="BZ4" i="5"/>
  <c r="DD4" i="5"/>
  <c r="AV13" i="5"/>
  <c r="BZ13" i="5"/>
  <c r="DD13" i="5"/>
  <c r="AV6" i="5"/>
  <c r="BZ6" i="5"/>
  <c r="DD6" i="5"/>
  <c r="AV9" i="5"/>
  <c r="BZ9" i="5"/>
  <c r="DD9" i="5"/>
  <c r="AV12" i="5"/>
  <c r="BZ12" i="5"/>
  <c r="DD12" i="5"/>
  <c r="AV7" i="5"/>
  <c r="BZ7" i="5"/>
  <c r="DD7" i="5"/>
  <c r="AV14" i="5"/>
  <c r="BZ14" i="5"/>
  <c r="DD14" i="5"/>
  <c r="AV15" i="5"/>
  <c r="BZ15" i="5"/>
  <c r="DD15" i="5"/>
  <c r="AS11" i="5"/>
  <c r="BW11" i="5"/>
  <c r="DA11" i="5"/>
  <c r="AS4" i="5"/>
  <c r="BW4" i="5"/>
  <c r="DA4" i="5"/>
  <c r="AS13" i="5"/>
  <c r="BW13" i="5"/>
  <c r="DA13" i="5"/>
  <c r="AS6" i="5"/>
  <c r="BW6" i="5"/>
  <c r="DA6" i="5"/>
  <c r="AS9" i="5"/>
  <c r="BW9" i="5"/>
  <c r="DA9" i="5"/>
  <c r="AS12" i="5"/>
  <c r="BW12" i="5"/>
  <c r="DA12" i="5"/>
  <c r="AS7" i="5"/>
  <c r="BW7" i="5"/>
  <c r="DA7" i="5"/>
  <c r="AS14" i="5"/>
  <c r="BW14" i="5"/>
  <c r="DA14" i="5"/>
  <c r="AS15" i="5"/>
  <c r="BW15" i="5"/>
  <c r="DA15" i="5"/>
  <c r="AV4" i="6"/>
  <c r="BZ4" i="6"/>
  <c r="DD4" i="6"/>
  <c r="AV5" i="6"/>
  <c r="BZ5" i="6"/>
  <c r="DD5" i="6"/>
  <c r="AV6" i="6"/>
  <c r="BZ6" i="6"/>
  <c r="DD6" i="6"/>
  <c r="AV9" i="6"/>
  <c r="BZ9" i="6"/>
  <c r="DD9" i="6"/>
  <c r="AV8" i="6"/>
  <c r="BZ8" i="6"/>
  <c r="DD8" i="6"/>
  <c r="AV7" i="6"/>
  <c r="BZ7" i="6"/>
  <c r="DD7" i="6"/>
  <c r="AV13" i="6"/>
  <c r="BZ13" i="6"/>
  <c r="DD13" i="6"/>
  <c r="AV12" i="6"/>
  <c r="BZ12" i="6"/>
  <c r="DD12" i="6"/>
  <c r="AS4" i="6"/>
  <c r="BW4" i="6"/>
  <c r="DA4" i="6"/>
  <c r="AS5" i="6"/>
  <c r="BW5" i="6"/>
  <c r="DA5" i="6"/>
  <c r="AS6" i="6"/>
  <c r="BW6" i="6"/>
  <c r="DA6" i="6"/>
  <c r="AS9" i="6"/>
  <c r="BW9" i="6"/>
  <c r="DA9" i="6"/>
  <c r="AS8" i="6"/>
  <c r="BW8" i="6"/>
  <c r="DA8" i="6"/>
  <c r="AS7" i="6"/>
  <c r="BW7" i="6"/>
  <c r="DA7" i="6"/>
  <c r="AS13" i="6"/>
  <c r="BW13" i="6"/>
  <c r="DA13" i="6"/>
  <c r="AS12" i="6"/>
  <c r="BW12" i="6"/>
  <c r="DA12" i="6"/>
  <c r="AM7" i="8"/>
  <c r="AN7" i="8"/>
  <c r="BJ7" i="8"/>
  <c r="BK7" i="8"/>
  <c r="CG7" i="8"/>
  <c r="CH7" i="8"/>
  <c r="AM6" i="8"/>
  <c r="AN6" i="8"/>
  <c r="BJ6" i="8"/>
  <c r="BK6" i="8"/>
  <c r="CG6" i="8"/>
  <c r="CH6" i="8"/>
  <c r="AM5" i="8"/>
  <c r="AN5" i="8"/>
  <c r="BJ5" i="8"/>
  <c r="BK5" i="8"/>
  <c r="CG5" i="8"/>
  <c r="CH5" i="8"/>
  <c r="AM8" i="8"/>
  <c r="AN8" i="8"/>
  <c r="BJ8" i="8"/>
  <c r="BK8" i="8"/>
  <c r="CG8" i="8"/>
  <c r="CH8" i="8"/>
  <c r="AK7" i="8"/>
  <c r="AL7" i="8"/>
  <c r="BH7" i="8"/>
  <c r="BI7" i="8"/>
  <c r="CE7" i="8"/>
  <c r="CF7" i="8"/>
  <c r="AK6" i="8"/>
  <c r="AL6" i="8"/>
  <c r="BH6" i="8"/>
  <c r="BI6" i="8"/>
  <c r="CE6" i="8"/>
  <c r="CF6" i="8"/>
  <c r="AK5" i="8"/>
  <c r="AL5" i="8"/>
  <c r="BH5" i="8"/>
  <c r="BI5" i="8"/>
  <c r="CE5" i="8"/>
  <c r="CF5" i="8"/>
  <c r="AK8" i="8"/>
  <c r="AL8" i="8"/>
  <c r="BH8" i="8"/>
  <c r="BI8" i="8"/>
  <c r="CE8" i="8"/>
  <c r="CF8" i="8"/>
  <c r="AM4" i="7"/>
  <c r="AN4" i="7"/>
  <c r="BJ4" i="7"/>
  <c r="BK4" i="7"/>
  <c r="CG4" i="7"/>
  <c r="CH4" i="7"/>
  <c r="AM7" i="7"/>
  <c r="AN7" i="7"/>
  <c r="BJ7" i="7"/>
  <c r="BK7" i="7"/>
  <c r="CG7" i="7"/>
  <c r="CH7" i="7"/>
  <c r="AM9" i="7"/>
  <c r="AN9" i="7"/>
  <c r="BJ9" i="7"/>
  <c r="BK9" i="7"/>
  <c r="CG9" i="7"/>
  <c r="CH9" i="7"/>
  <c r="AM10" i="7"/>
  <c r="AN10" i="7"/>
  <c r="BJ10" i="7"/>
  <c r="BK10" i="7"/>
  <c r="CG10" i="7"/>
  <c r="CH10" i="7"/>
  <c r="AK4" i="7"/>
  <c r="AL4" i="7"/>
  <c r="BH4" i="7"/>
  <c r="BI4" i="7"/>
  <c r="CE4" i="7"/>
  <c r="CF4" i="7"/>
  <c r="AK7" i="7"/>
  <c r="AL7" i="7"/>
  <c r="BH7" i="7"/>
  <c r="BI7" i="7"/>
  <c r="CE7" i="7"/>
  <c r="CF7" i="7"/>
  <c r="AK9" i="7"/>
  <c r="AL9" i="7"/>
  <c r="BH9" i="7"/>
  <c r="BI9" i="7"/>
  <c r="CE9" i="7"/>
  <c r="CF9" i="7"/>
  <c r="AK10" i="7"/>
  <c r="AL10" i="7"/>
  <c r="BH10" i="7"/>
  <c r="BI10" i="7"/>
  <c r="CE10" i="7"/>
  <c r="CF10" i="7"/>
  <c r="AK4" i="10"/>
  <c r="AL4" i="10"/>
  <c r="BF4" i="10"/>
  <c r="BG4" i="10"/>
  <c r="CA4" i="10"/>
  <c r="CB4" i="10"/>
  <c r="AK5" i="10"/>
  <c r="AL5" i="10"/>
  <c r="BF5" i="10"/>
  <c r="BG5" i="10"/>
  <c r="CA5" i="10"/>
  <c r="CB5" i="10"/>
  <c r="AK6" i="10"/>
  <c r="AL6" i="10"/>
  <c r="BF6" i="10"/>
  <c r="BG6" i="10"/>
  <c r="CA6" i="10"/>
  <c r="CB6" i="10"/>
  <c r="AJ4" i="10"/>
  <c r="BE4" i="10"/>
  <c r="BZ4" i="10"/>
  <c r="AJ5" i="10"/>
  <c r="BE5" i="10"/>
  <c r="BZ5" i="10"/>
  <c r="AJ6" i="10"/>
  <c r="BE6" i="10"/>
  <c r="BZ6" i="10"/>
  <c r="AK4" i="9"/>
  <c r="AL4" i="9"/>
  <c r="BF4" i="9"/>
  <c r="BG4" i="9"/>
  <c r="CA4" i="9"/>
  <c r="CB4" i="9"/>
  <c r="AK7" i="9"/>
  <c r="AL7" i="9"/>
  <c r="BF7" i="9"/>
  <c r="BG7" i="9"/>
  <c r="CA7" i="9"/>
  <c r="CB7" i="9"/>
  <c r="AK10" i="9"/>
  <c r="AL10" i="9"/>
  <c r="BF10" i="9"/>
  <c r="CA10" i="9"/>
  <c r="CB10" i="9"/>
  <c r="AK5" i="9"/>
  <c r="AL5" i="9"/>
  <c r="BF5" i="9"/>
  <c r="BG5" i="9"/>
  <c r="CA5" i="9"/>
  <c r="CB5" i="9"/>
  <c r="AK12" i="9"/>
  <c r="AL12" i="9"/>
  <c r="BF12" i="9"/>
  <c r="BG12" i="9"/>
  <c r="CA12" i="9"/>
  <c r="AJ4" i="9"/>
  <c r="BE4" i="9"/>
  <c r="BZ4" i="9"/>
  <c r="AJ7" i="9"/>
  <c r="BE7" i="9"/>
  <c r="BZ7" i="9"/>
  <c r="AJ10" i="9"/>
  <c r="BE10" i="9"/>
  <c r="BZ10" i="9"/>
  <c r="AJ5" i="9"/>
  <c r="BE5" i="9"/>
  <c r="BZ5" i="9"/>
  <c r="AJ12" i="9"/>
  <c r="BE12" i="9"/>
  <c r="BZ12" i="9"/>
  <c r="AK5" i="2"/>
  <c r="AL5" i="2"/>
  <c r="BF5" i="2"/>
  <c r="BG5" i="2"/>
  <c r="CA5" i="2"/>
  <c r="CB5" i="2"/>
  <c r="AK6" i="2"/>
  <c r="AL6" i="2"/>
  <c r="BF6" i="2"/>
  <c r="BG6" i="2"/>
  <c r="CA6" i="2"/>
  <c r="CB6" i="2"/>
  <c r="AK4" i="2"/>
  <c r="AL4" i="2"/>
  <c r="BF4" i="2"/>
  <c r="BG4" i="2"/>
  <c r="CA4" i="2"/>
  <c r="CB4" i="2"/>
  <c r="AK8" i="2"/>
  <c r="AL8" i="2"/>
  <c r="BF8" i="2"/>
  <c r="BG8" i="2"/>
  <c r="CA8" i="2"/>
  <c r="CB8" i="2"/>
  <c r="AK7" i="2"/>
  <c r="AL7" i="2"/>
  <c r="BF7" i="2"/>
  <c r="BG7" i="2"/>
  <c r="CA7" i="2"/>
  <c r="CB7" i="2"/>
  <c r="AK9" i="2"/>
  <c r="AL9" i="2"/>
  <c r="BF9" i="2"/>
  <c r="CA9" i="2"/>
  <c r="CB9" i="2"/>
  <c r="AK13" i="2"/>
  <c r="AL13" i="2"/>
  <c r="BF13" i="2"/>
  <c r="BG13" i="2"/>
  <c r="CA13" i="2"/>
  <c r="CB13" i="2"/>
  <c r="AK11" i="2"/>
  <c r="AL11" i="2"/>
  <c r="BF11" i="2"/>
  <c r="BG11" i="2"/>
  <c r="CA11" i="2"/>
  <c r="CB11" i="2"/>
  <c r="AK12" i="2"/>
  <c r="AL12" i="2"/>
  <c r="BF12" i="2"/>
  <c r="BG12" i="2"/>
  <c r="CA12" i="2"/>
  <c r="CB12" i="2"/>
  <c r="AJ5" i="2"/>
  <c r="BE5" i="2"/>
  <c r="BZ5" i="2"/>
  <c r="AJ6" i="2"/>
  <c r="BE6" i="2"/>
  <c r="BZ6" i="2"/>
  <c r="AJ4" i="2"/>
  <c r="BE4" i="2"/>
  <c r="BZ4" i="2"/>
  <c r="AJ8" i="2"/>
  <c r="BE8" i="2"/>
  <c r="BZ8" i="2"/>
  <c r="AJ7" i="2"/>
  <c r="BE7" i="2"/>
  <c r="BZ7" i="2"/>
  <c r="AJ9" i="2"/>
  <c r="BE9" i="2"/>
  <c r="BZ9" i="2"/>
  <c r="AJ13" i="2"/>
  <c r="BE13" i="2"/>
  <c r="BZ13" i="2"/>
  <c r="AJ11" i="2"/>
  <c r="BE11" i="2"/>
  <c r="BZ11" i="2"/>
  <c r="AJ12" i="2"/>
  <c r="BE12" i="2"/>
  <c r="BZ12" i="2"/>
  <c r="AK5" i="4"/>
  <c r="AL5" i="4"/>
  <c r="BF5" i="4"/>
  <c r="BG5" i="4"/>
  <c r="CA5" i="4"/>
  <c r="CB5" i="4"/>
  <c r="AK8" i="4"/>
  <c r="AL8" i="4"/>
  <c r="BF8" i="4"/>
  <c r="BG8" i="4"/>
  <c r="CA8" i="4"/>
  <c r="CB8" i="4"/>
  <c r="AK9" i="4"/>
  <c r="AL9" i="4"/>
  <c r="BF9" i="4"/>
  <c r="BG9" i="4"/>
  <c r="CA9" i="4"/>
  <c r="CB9" i="4"/>
  <c r="AK19" i="4"/>
  <c r="AL19" i="4"/>
  <c r="BF19" i="4"/>
  <c r="BG19" i="4"/>
  <c r="CA19" i="4"/>
  <c r="CB19" i="4"/>
  <c r="AK6" i="4"/>
  <c r="AL6" i="4"/>
  <c r="BF6" i="4"/>
  <c r="BG6" i="4"/>
  <c r="CA6" i="4"/>
  <c r="CB6" i="4"/>
  <c r="AK10" i="4"/>
  <c r="AL10" i="4"/>
  <c r="BF10" i="4"/>
  <c r="BG10" i="4"/>
  <c r="CA10" i="4"/>
  <c r="CB10" i="4"/>
  <c r="AL4" i="4"/>
  <c r="BF4" i="4"/>
  <c r="BG4" i="4"/>
  <c r="CA4" i="4"/>
  <c r="CB4" i="4"/>
  <c r="AL7" i="4"/>
  <c r="BF7" i="4"/>
  <c r="BG7" i="4"/>
  <c r="CA7" i="4"/>
  <c r="CB7" i="4"/>
  <c r="AK11" i="4"/>
  <c r="AL11" i="4"/>
  <c r="BF11" i="4"/>
  <c r="BG11" i="4"/>
  <c r="CA11" i="4"/>
  <c r="CB11" i="4"/>
  <c r="AK20" i="4"/>
  <c r="AL20" i="4"/>
  <c r="BF20" i="4"/>
  <c r="BG20" i="4"/>
  <c r="CA20" i="4"/>
  <c r="CB20" i="4"/>
  <c r="AK13" i="4"/>
  <c r="AL13" i="4"/>
  <c r="BF13" i="4"/>
  <c r="BG13" i="4"/>
  <c r="CA13" i="4"/>
  <c r="CB13" i="4"/>
  <c r="AK21" i="4"/>
  <c r="AL21" i="4"/>
  <c r="BF21" i="4"/>
  <c r="BG21" i="4"/>
  <c r="CA21" i="4"/>
  <c r="CB21" i="4"/>
  <c r="AK23" i="4"/>
  <c r="AL23" i="4"/>
  <c r="BF23" i="4"/>
  <c r="BG23" i="4"/>
  <c r="CA23" i="4"/>
  <c r="CB23" i="4"/>
  <c r="AK24" i="4"/>
  <c r="AL24" i="4"/>
  <c r="BF24" i="4"/>
  <c r="BG24" i="4"/>
  <c r="CA24" i="4"/>
  <c r="CB24" i="4"/>
  <c r="AK22" i="4"/>
  <c r="AL22" i="4"/>
  <c r="BF22" i="4"/>
  <c r="BG22" i="4"/>
  <c r="CA22" i="4"/>
  <c r="CB22" i="4"/>
  <c r="AK14" i="4"/>
  <c r="AL14" i="4"/>
  <c r="BF14" i="4"/>
  <c r="BG14" i="4"/>
  <c r="CA14" i="4"/>
  <c r="CB14" i="4"/>
  <c r="AJ5" i="4"/>
  <c r="BE5" i="4"/>
  <c r="BZ5" i="4"/>
  <c r="AJ8" i="4"/>
  <c r="BE8" i="4"/>
  <c r="BZ8" i="4"/>
  <c r="AJ9" i="4"/>
  <c r="BE9" i="4"/>
  <c r="BZ9" i="4"/>
  <c r="AJ19" i="4"/>
  <c r="BE19" i="4"/>
  <c r="BZ19" i="4"/>
  <c r="AJ6" i="4"/>
  <c r="BE6" i="4"/>
  <c r="BZ6" i="4"/>
  <c r="AJ10" i="4"/>
  <c r="BE10" i="4"/>
  <c r="BZ10" i="4"/>
  <c r="BE4" i="4"/>
  <c r="BZ4" i="4"/>
  <c r="AJ7" i="4"/>
  <c r="BE7" i="4"/>
  <c r="BZ7" i="4"/>
  <c r="AJ11" i="4"/>
  <c r="BE11" i="4"/>
  <c r="BZ11" i="4"/>
  <c r="AJ20" i="4"/>
  <c r="BE20" i="4"/>
  <c r="BZ20" i="4"/>
  <c r="AJ13" i="4"/>
  <c r="BE13" i="4"/>
  <c r="BZ13" i="4"/>
  <c r="AJ21" i="4"/>
  <c r="BE21" i="4"/>
  <c r="BZ21" i="4"/>
  <c r="AJ23" i="4"/>
  <c r="BE23" i="4"/>
  <c r="BZ23" i="4"/>
  <c r="AJ24" i="4"/>
  <c r="BE24" i="4"/>
  <c r="BZ24" i="4"/>
  <c r="AJ22" i="4"/>
  <c r="BE22" i="4"/>
  <c r="BZ22" i="4"/>
  <c r="AJ14" i="4"/>
  <c r="BE14" i="4"/>
  <c r="BZ14" i="4"/>
  <c r="AK4" i="4"/>
  <c r="AK7" i="4"/>
  <c r="CY7" i="4"/>
  <c r="DT7" i="4"/>
  <c r="EO7" i="4"/>
  <c r="FJ7" i="4"/>
  <c r="GE7" i="4"/>
  <c r="GZ7" i="4"/>
  <c r="HU7" i="4"/>
  <c r="IP7" i="4"/>
  <c r="JK7" i="4"/>
  <c r="KF7" i="4"/>
  <c r="LV7" i="4"/>
  <c r="CZ7" i="4"/>
  <c r="DU7" i="4"/>
  <c r="EP7" i="4"/>
  <c r="FK7" i="4"/>
  <c r="GF7" i="4"/>
  <c r="HA7" i="4"/>
  <c r="HV7" i="4"/>
  <c r="IQ7" i="4"/>
  <c r="JL7" i="4"/>
  <c r="LW7" i="4"/>
  <c r="DB7" i="4"/>
  <c r="DW7" i="4"/>
  <c r="ER7" i="4"/>
  <c r="FM7" i="4"/>
  <c r="GH7" i="4"/>
  <c r="HC7" i="4"/>
  <c r="HX7" i="4"/>
  <c r="IS7" i="4"/>
  <c r="JN7" i="4"/>
  <c r="KI7" i="4"/>
  <c r="LD7" i="4"/>
  <c r="LY7" i="4"/>
  <c r="AN7" i="4"/>
  <c r="BI7" i="4"/>
  <c r="CD7" i="4"/>
  <c r="AN5" i="4"/>
  <c r="BI5" i="4"/>
  <c r="CD5" i="4"/>
  <c r="CY5" i="4"/>
  <c r="DT5" i="4"/>
  <c r="EO5" i="4"/>
  <c r="FJ5" i="4"/>
  <c r="GE5" i="4"/>
  <c r="GZ5" i="4"/>
  <c r="HU5" i="4"/>
  <c r="IP5" i="4"/>
  <c r="JK5" i="4"/>
  <c r="KF5" i="4"/>
  <c r="LA5" i="4"/>
  <c r="LV5" i="4"/>
  <c r="CZ5" i="4"/>
  <c r="DU5" i="4"/>
  <c r="EP5" i="4"/>
  <c r="FK5" i="4"/>
  <c r="GF5" i="4"/>
  <c r="HA5" i="4"/>
  <c r="HV5" i="4"/>
  <c r="IQ5" i="4"/>
  <c r="JL5" i="4"/>
  <c r="KG5" i="4"/>
  <c r="LB5" i="4"/>
  <c r="LW5" i="4"/>
  <c r="DB5" i="4"/>
  <c r="DW5" i="4"/>
  <c r="ER5" i="4"/>
  <c r="FM5" i="4"/>
  <c r="GH5" i="4"/>
  <c r="HC5" i="4"/>
  <c r="HX5" i="4"/>
  <c r="IS5" i="4"/>
  <c r="JN5" i="4"/>
  <c r="KI5" i="4"/>
  <c r="LD5" i="4"/>
  <c r="LY5" i="4"/>
  <c r="AN8" i="4"/>
  <c r="BI8" i="4"/>
  <c r="CD8" i="4"/>
  <c r="CY8" i="4"/>
  <c r="DT8" i="4"/>
  <c r="EO8" i="4"/>
  <c r="FJ8" i="4"/>
  <c r="GE8" i="4"/>
  <c r="GZ8" i="4"/>
  <c r="HU8" i="4"/>
  <c r="IP8" i="4"/>
  <c r="JK8" i="4"/>
  <c r="KF8" i="4"/>
  <c r="LV8" i="4"/>
  <c r="CZ8" i="4"/>
  <c r="DU8" i="4"/>
  <c r="EP8" i="4"/>
  <c r="FK8" i="4"/>
  <c r="GF8" i="4"/>
  <c r="HA8" i="4"/>
  <c r="HV8" i="4"/>
  <c r="IQ8" i="4"/>
  <c r="JL8" i="4"/>
  <c r="KG8" i="4"/>
  <c r="LB8" i="4"/>
  <c r="LW8" i="4"/>
  <c r="DB8" i="4"/>
  <c r="DW8" i="4"/>
  <c r="ER8" i="4"/>
  <c r="FM8" i="4"/>
  <c r="GH8" i="4"/>
  <c r="HC8" i="4"/>
  <c r="HX8" i="4"/>
  <c r="IS8" i="4"/>
  <c r="JN8" i="4"/>
  <c r="KI8" i="4"/>
  <c r="LD8" i="4"/>
  <c r="LY8" i="4"/>
  <c r="AN9" i="4"/>
  <c r="BI9" i="4"/>
  <c r="CD9" i="4"/>
  <c r="CY9" i="4"/>
  <c r="DT9" i="4"/>
  <c r="EO9" i="4"/>
  <c r="FJ9" i="4"/>
  <c r="GE9" i="4"/>
  <c r="GZ9" i="4"/>
  <c r="HU9" i="4"/>
  <c r="IP9" i="4"/>
  <c r="JK9" i="4"/>
  <c r="LV9" i="4"/>
  <c r="CZ9" i="4"/>
  <c r="DU9" i="4"/>
  <c r="EP9" i="4"/>
  <c r="FK9" i="4"/>
  <c r="GF9" i="4"/>
  <c r="HA9" i="4"/>
  <c r="HV9" i="4"/>
  <c r="IQ9" i="4"/>
  <c r="JL9" i="4"/>
  <c r="KG9" i="4"/>
  <c r="LB9" i="4"/>
  <c r="LW9" i="4"/>
  <c r="DB9" i="4"/>
  <c r="DW9" i="4"/>
  <c r="ER9" i="4"/>
  <c r="FM9" i="4"/>
  <c r="GH9" i="4"/>
  <c r="HC9" i="4"/>
  <c r="HX9" i="4"/>
  <c r="IS9" i="4"/>
  <c r="JN9" i="4"/>
  <c r="KI9" i="4"/>
  <c r="LD9" i="4"/>
  <c r="LY9" i="4"/>
  <c r="AN19" i="4"/>
  <c r="BI19" i="4"/>
  <c r="CD19" i="4"/>
  <c r="CY19" i="4"/>
  <c r="DT19" i="4"/>
  <c r="EO19" i="4"/>
  <c r="FJ19" i="4"/>
  <c r="GE19" i="4"/>
  <c r="GZ19" i="4"/>
  <c r="HU19" i="4"/>
  <c r="IP19" i="4"/>
  <c r="JK19" i="4"/>
  <c r="KF19" i="4"/>
  <c r="LV19" i="4"/>
  <c r="CZ19" i="4"/>
  <c r="DU19" i="4"/>
  <c r="EP19" i="4"/>
  <c r="FK19" i="4"/>
  <c r="GF19" i="4"/>
  <c r="HA19" i="4"/>
  <c r="HV19" i="4"/>
  <c r="IQ19" i="4"/>
  <c r="JL19" i="4"/>
  <c r="LB19" i="4"/>
  <c r="LW19" i="4"/>
  <c r="DB19" i="4"/>
  <c r="DW19" i="4"/>
  <c r="ER19" i="4"/>
  <c r="FM19" i="4"/>
  <c r="GH19" i="4"/>
  <c r="HC19" i="4"/>
  <c r="HX19" i="4"/>
  <c r="IS19" i="4"/>
  <c r="JN19" i="4"/>
  <c r="KI19" i="4"/>
  <c r="LD19" i="4"/>
  <c r="LY19" i="4"/>
  <c r="AN6" i="4"/>
  <c r="BI6" i="4"/>
  <c r="CD6" i="4"/>
  <c r="CY6" i="4"/>
  <c r="DT6" i="4"/>
  <c r="EO6" i="4"/>
  <c r="FJ6" i="4"/>
  <c r="GE6" i="4"/>
  <c r="GZ6" i="4"/>
  <c r="HU6" i="4"/>
  <c r="IP6" i="4"/>
  <c r="JK6" i="4"/>
  <c r="KF6" i="4"/>
  <c r="LA6" i="4"/>
  <c r="LV6" i="4"/>
  <c r="CZ6" i="4"/>
  <c r="DU6" i="4"/>
  <c r="EP6" i="4"/>
  <c r="FK6" i="4"/>
  <c r="GF6" i="4"/>
  <c r="HA6" i="4"/>
  <c r="HV6" i="4"/>
  <c r="IQ6" i="4"/>
  <c r="JL6" i="4"/>
  <c r="KG6" i="4"/>
  <c r="LB6" i="4"/>
  <c r="LW6" i="4"/>
  <c r="DB6" i="4"/>
  <c r="DW6" i="4"/>
  <c r="ER6" i="4"/>
  <c r="FM6" i="4"/>
  <c r="GH6" i="4"/>
  <c r="HC6" i="4"/>
  <c r="HX6" i="4"/>
  <c r="IS6" i="4"/>
  <c r="JN6" i="4"/>
  <c r="KI6" i="4"/>
  <c r="LD6" i="4"/>
  <c r="LY6" i="4"/>
  <c r="AN10" i="4"/>
  <c r="BI10" i="4"/>
  <c r="CD10" i="4"/>
  <c r="CY10" i="4"/>
  <c r="DT10" i="4"/>
  <c r="EO10" i="4"/>
  <c r="FJ10" i="4"/>
  <c r="GE10" i="4"/>
  <c r="GZ10" i="4"/>
  <c r="HU10" i="4"/>
  <c r="IP10" i="4"/>
  <c r="JK10" i="4"/>
  <c r="KF10" i="4"/>
  <c r="LA10" i="4"/>
  <c r="LV10" i="4"/>
  <c r="CZ10" i="4"/>
  <c r="DU10" i="4"/>
  <c r="EP10" i="4"/>
  <c r="FK10" i="4"/>
  <c r="GF10" i="4"/>
  <c r="HA10" i="4"/>
  <c r="HV10" i="4"/>
  <c r="IQ10" i="4"/>
  <c r="JL10" i="4"/>
  <c r="KG10" i="4"/>
  <c r="LB10" i="4"/>
  <c r="LW10" i="4"/>
  <c r="DB10" i="4"/>
  <c r="DW10" i="4"/>
  <c r="ER10" i="4"/>
  <c r="FM10" i="4"/>
  <c r="GH10" i="4"/>
  <c r="HC10" i="4"/>
  <c r="HX10" i="4"/>
  <c r="IS10" i="4"/>
  <c r="JN10" i="4"/>
  <c r="KI10" i="4"/>
  <c r="LD10" i="4"/>
  <c r="LY10" i="4"/>
  <c r="AN11" i="4"/>
  <c r="BI11" i="4"/>
  <c r="CD11" i="4"/>
  <c r="CY11" i="4"/>
  <c r="DT11" i="4"/>
  <c r="EO11" i="4"/>
  <c r="FJ11" i="4"/>
  <c r="GE11" i="4"/>
  <c r="GZ11" i="4"/>
  <c r="HU11" i="4"/>
  <c r="IP11" i="4"/>
  <c r="JK11" i="4"/>
  <c r="KF11" i="4"/>
  <c r="LA11" i="4"/>
  <c r="LV11" i="4"/>
  <c r="CZ11" i="4"/>
  <c r="DU11" i="4"/>
  <c r="EP11" i="4"/>
  <c r="FK11" i="4"/>
  <c r="GF11" i="4"/>
  <c r="HA11" i="4"/>
  <c r="HV11" i="4"/>
  <c r="IQ11" i="4"/>
  <c r="JL11" i="4"/>
  <c r="KG11" i="4"/>
  <c r="LB11" i="4"/>
  <c r="LW11" i="4"/>
  <c r="DB11" i="4"/>
  <c r="DW11" i="4"/>
  <c r="ER11" i="4"/>
  <c r="FM11" i="4"/>
  <c r="GH11" i="4"/>
  <c r="HC11" i="4"/>
  <c r="HX11" i="4"/>
  <c r="IS11" i="4"/>
  <c r="JN11" i="4"/>
  <c r="KI11" i="4"/>
  <c r="LD11" i="4"/>
  <c r="LY11" i="4"/>
  <c r="AN20" i="4"/>
  <c r="BI20" i="4"/>
  <c r="CD20" i="4"/>
  <c r="CY20" i="4"/>
  <c r="DT20" i="4"/>
  <c r="EO20" i="4"/>
  <c r="FJ20" i="4"/>
  <c r="GE20" i="4"/>
  <c r="GZ20" i="4"/>
  <c r="HU20" i="4"/>
  <c r="IP20" i="4"/>
  <c r="JK20" i="4"/>
  <c r="KF20" i="4"/>
  <c r="LA20" i="4"/>
  <c r="LV20" i="4"/>
  <c r="CZ20" i="4"/>
  <c r="DU20" i="4"/>
  <c r="EP20" i="4"/>
  <c r="FK20" i="4"/>
  <c r="GF20" i="4"/>
  <c r="HA20" i="4"/>
  <c r="HV20" i="4"/>
  <c r="IQ20" i="4"/>
  <c r="JL20" i="4"/>
  <c r="KG20" i="4"/>
  <c r="LB20" i="4"/>
  <c r="LW20" i="4"/>
  <c r="DB20" i="4"/>
  <c r="DW20" i="4"/>
  <c r="ER20" i="4"/>
  <c r="FM20" i="4"/>
  <c r="GH20" i="4"/>
  <c r="HC20" i="4"/>
  <c r="HX20" i="4"/>
  <c r="IS20" i="4"/>
  <c r="JN20" i="4"/>
  <c r="KI20" i="4"/>
  <c r="LD20" i="4"/>
  <c r="LY20" i="4"/>
  <c r="AN13" i="4"/>
  <c r="BI13" i="4"/>
  <c r="CD13" i="4"/>
  <c r="CY13" i="4"/>
  <c r="DT13" i="4"/>
  <c r="EO13" i="4"/>
  <c r="FJ13" i="4"/>
  <c r="GE13" i="4"/>
  <c r="GZ13" i="4"/>
  <c r="HU13" i="4"/>
  <c r="IP13" i="4"/>
  <c r="JK13" i="4"/>
  <c r="KF13" i="4"/>
  <c r="LA13" i="4"/>
  <c r="LV13" i="4"/>
  <c r="CZ13" i="4"/>
  <c r="DU13" i="4"/>
  <c r="EP13" i="4"/>
  <c r="FK13" i="4"/>
  <c r="GF13" i="4"/>
  <c r="HA13" i="4"/>
  <c r="HV13" i="4"/>
  <c r="IQ13" i="4"/>
  <c r="JL13" i="4"/>
  <c r="KG13" i="4"/>
  <c r="LB13" i="4"/>
  <c r="LW13" i="4"/>
  <c r="DB13" i="4"/>
  <c r="DW13" i="4"/>
  <c r="ER13" i="4"/>
  <c r="FM13" i="4"/>
  <c r="GH13" i="4"/>
  <c r="HC13" i="4"/>
  <c r="HX13" i="4"/>
  <c r="IS13" i="4"/>
  <c r="JN13" i="4"/>
  <c r="KI13" i="4"/>
  <c r="LD13" i="4"/>
  <c r="LY13" i="4"/>
  <c r="AN21" i="4"/>
  <c r="BI21" i="4"/>
  <c r="CD21" i="4"/>
  <c r="CY21" i="4"/>
  <c r="DT21" i="4"/>
  <c r="EO21" i="4"/>
  <c r="FJ21" i="4"/>
  <c r="GE21" i="4"/>
  <c r="GZ21" i="4"/>
  <c r="HU21" i="4"/>
  <c r="IP21" i="4"/>
  <c r="JK21" i="4"/>
  <c r="KF21" i="4"/>
  <c r="LA21" i="4"/>
  <c r="LV21" i="4"/>
  <c r="CZ21" i="4"/>
  <c r="DU21" i="4"/>
  <c r="EP21" i="4"/>
  <c r="FK21" i="4"/>
  <c r="GF21" i="4"/>
  <c r="HA21" i="4"/>
  <c r="HV21" i="4"/>
  <c r="IQ21" i="4"/>
  <c r="JL21" i="4"/>
  <c r="KG21" i="4"/>
  <c r="LB21" i="4"/>
  <c r="LW21" i="4"/>
  <c r="DB21" i="4"/>
  <c r="DW21" i="4"/>
  <c r="ER21" i="4"/>
  <c r="FM21" i="4"/>
  <c r="GH21" i="4"/>
  <c r="HC21" i="4"/>
  <c r="HX21" i="4"/>
  <c r="IS21" i="4"/>
  <c r="JN21" i="4"/>
  <c r="KI21" i="4"/>
  <c r="LD21" i="4"/>
  <c r="LY21" i="4"/>
  <c r="AN4" i="4"/>
  <c r="BI4" i="4"/>
  <c r="CD4" i="4"/>
  <c r="CY4" i="4"/>
  <c r="DT4" i="4"/>
  <c r="EO4" i="4"/>
  <c r="FJ4" i="4"/>
  <c r="GE4" i="4"/>
  <c r="GZ4" i="4"/>
  <c r="HU4" i="4"/>
  <c r="IP4" i="4"/>
  <c r="JK4" i="4"/>
  <c r="KF4" i="4"/>
  <c r="LA4" i="4"/>
  <c r="LV4" i="4"/>
  <c r="CZ4" i="4"/>
  <c r="DU4" i="4"/>
  <c r="EP4" i="4"/>
  <c r="FK4" i="4"/>
  <c r="GF4" i="4"/>
  <c r="HA4" i="4"/>
  <c r="HV4" i="4"/>
  <c r="IQ4" i="4"/>
  <c r="JL4" i="4"/>
  <c r="KG4" i="4"/>
  <c r="LB4" i="4"/>
  <c r="LW4" i="4"/>
  <c r="DB4" i="4"/>
  <c r="DW4" i="4"/>
  <c r="ER4" i="4"/>
  <c r="FM4" i="4"/>
  <c r="GH4" i="4"/>
  <c r="HC4" i="4"/>
  <c r="HX4" i="4"/>
  <c r="IS4" i="4"/>
  <c r="JN4" i="4"/>
  <c r="KI4" i="4"/>
  <c r="LD4" i="4"/>
  <c r="LY4" i="4"/>
  <c r="AN23" i="4"/>
  <c r="BI23" i="4"/>
  <c r="CD23" i="4"/>
  <c r="CY23" i="4"/>
  <c r="DT23" i="4"/>
  <c r="EO23" i="4"/>
  <c r="FJ23" i="4"/>
  <c r="GE23" i="4"/>
  <c r="GZ23" i="4"/>
  <c r="HU23" i="4"/>
  <c r="IP23" i="4"/>
  <c r="JK23" i="4"/>
  <c r="KF23" i="4"/>
  <c r="LA23" i="4"/>
  <c r="LV23" i="4"/>
  <c r="CZ23" i="4"/>
  <c r="DU23" i="4"/>
  <c r="EP23" i="4"/>
  <c r="FK23" i="4"/>
  <c r="GF23" i="4"/>
  <c r="HA23" i="4"/>
  <c r="HV23" i="4"/>
  <c r="IQ23" i="4"/>
  <c r="JL23" i="4"/>
  <c r="KG23" i="4"/>
  <c r="LB23" i="4"/>
  <c r="LW23" i="4"/>
  <c r="DB23" i="4"/>
  <c r="DW23" i="4"/>
  <c r="ER23" i="4"/>
  <c r="FM23" i="4"/>
  <c r="GH23" i="4"/>
  <c r="HC23" i="4"/>
  <c r="HX23" i="4"/>
  <c r="IS23" i="4"/>
  <c r="JN23" i="4"/>
  <c r="KI23" i="4"/>
  <c r="LD23" i="4"/>
  <c r="LY23" i="4"/>
  <c r="AN24" i="4"/>
  <c r="BI24" i="4"/>
  <c r="CD24" i="4"/>
  <c r="CY24" i="4"/>
  <c r="DT24" i="4"/>
  <c r="EO24" i="4"/>
  <c r="FJ24" i="4"/>
  <c r="GE24" i="4"/>
  <c r="GZ24" i="4"/>
  <c r="HU24" i="4"/>
  <c r="IP24" i="4"/>
  <c r="JK24" i="4"/>
  <c r="KF24" i="4"/>
  <c r="LA24" i="4"/>
  <c r="LV24" i="4"/>
  <c r="CZ24" i="4"/>
  <c r="DU24" i="4"/>
  <c r="EP24" i="4"/>
  <c r="FK24" i="4"/>
  <c r="GF24" i="4"/>
  <c r="HA24" i="4"/>
  <c r="HV24" i="4"/>
  <c r="IQ24" i="4"/>
  <c r="JL24" i="4"/>
  <c r="KG24" i="4"/>
  <c r="LB24" i="4"/>
  <c r="LW24" i="4"/>
  <c r="DB24" i="4"/>
  <c r="DW24" i="4"/>
  <c r="ER24" i="4"/>
  <c r="FM24" i="4"/>
  <c r="GH24" i="4"/>
  <c r="HC24" i="4"/>
  <c r="HX24" i="4"/>
  <c r="IS24" i="4"/>
  <c r="JN24" i="4"/>
  <c r="KI24" i="4"/>
  <c r="LD24" i="4"/>
  <c r="LY24" i="4"/>
  <c r="AN22" i="4"/>
  <c r="BI22" i="4"/>
  <c r="CD22" i="4"/>
  <c r="CY22" i="4"/>
  <c r="DT22" i="4"/>
  <c r="EO22" i="4"/>
  <c r="FJ22" i="4"/>
  <c r="GE22" i="4"/>
  <c r="GZ22" i="4"/>
  <c r="HU22" i="4"/>
  <c r="IP22" i="4"/>
  <c r="JK22" i="4"/>
  <c r="KF22" i="4"/>
  <c r="LA22" i="4"/>
  <c r="LV22" i="4"/>
  <c r="CZ22" i="4"/>
  <c r="DU22" i="4"/>
  <c r="EP22" i="4"/>
  <c r="FK22" i="4"/>
  <c r="GF22" i="4"/>
  <c r="HA22" i="4"/>
  <c r="HV22" i="4"/>
  <c r="IQ22" i="4"/>
  <c r="JL22" i="4"/>
  <c r="KG22" i="4"/>
  <c r="LB22" i="4"/>
  <c r="LW22" i="4"/>
  <c r="DB22" i="4"/>
  <c r="DW22" i="4"/>
  <c r="ER22" i="4"/>
  <c r="FM22" i="4"/>
  <c r="GH22" i="4"/>
  <c r="HC22" i="4"/>
  <c r="HX22" i="4"/>
  <c r="IS22" i="4"/>
  <c r="JN22" i="4"/>
  <c r="KI22" i="4"/>
  <c r="LD22" i="4"/>
  <c r="LY22" i="4"/>
  <c r="AN14" i="4"/>
  <c r="BI14" i="4"/>
  <c r="CD14" i="4"/>
  <c r="CY14" i="4"/>
  <c r="DT14" i="4"/>
  <c r="EO14" i="4"/>
  <c r="FJ14" i="4"/>
  <c r="GE14" i="4"/>
  <c r="GZ14" i="4"/>
  <c r="HU14" i="4"/>
  <c r="IP14" i="4"/>
  <c r="JK14" i="4"/>
  <c r="KF14" i="4"/>
  <c r="LA14" i="4"/>
  <c r="LV14" i="4"/>
  <c r="CZ14" i="4"/>
  <c r="DU14" i="4"/>
  <c r="EP14" i="4"/>
  <c r="FK14" i="4"/>
  <c r="GF14" i="4"/>
  <c r="HA14" i="4"/>
  <c r="HV14" i="4"/>
  <c r="IQ14" i="4"/>
  <c r="JL14" i="4"/>
  <c r="KG14" i="4"/>
  <c r="LB14" i="4"/>
  <c r="LW14" i="4"/>
  <c r="DB14" i="4"/>
  <c r="DW14" i="4"/>
  <c r="ER14" i="4"/>
  <c r="FM14" i="4"/>
  <c r="GH14" i="4"/>
  <c r="HC14" i="4"/>
  <c r="HX14" i="4"/>
  <c r="IS14" i="4"/>
  <c r="JN14" i="4"/>
  <c r="KI14" i="4"/>
  <c r="LD14" i="4"/>
  <c r="LY14" i="4"/>
  <c r="DB5" i="10"/>
  <c r="DW5" i="10"/>
  <c r="ER5" i="10"/>
  <c r="FM5" i="10"/>
  <c r="GH5" i="10"/>
  <c r="HC5" i="10"/>
  <c r="HX5" i="10"/>
  <c r="IS5" i="10"/>
  <c r="JN5" i="10"/>
  <c r="KI5" i="10"/>
  <c r="LD5" i="10"/>
  <c r="LY5" i="10"/>
  <c r="AN5" i="10"/>
  <c r="BI5" i="10"/>
  <c r="CD5" i="10"/>
  <c r="DB6" i="10"/>
  <c r="DW6" i="10"/>
  <c r="ER6" i="10"/>
  <c r="FM6" i="10"/>
  <c r="GH6" i="10"/>
  <c r="HC6" i="10"/>
  <c r="HX6" i="10"/>
  <c r="IS6" i="10"/>
  <c r="JN6" i="10"/>
  <c r="KI6" i="10"/>
  <c r="LD6" i="10"/>
  <c r="LY6" i="10"/>
  <c r="AN6" i="10"/>
  <c r="BI6" i="10"/>
  <c r="CD6" i="10"/>
  <c r="DB4" i="10"/>
  <c r="DW4" i="10"/>
  <c r="ER4" i="10"/>
  <c r="FM4" i="10"/>
  <c r="GH4" i="10"/>
  <c r="HC4" i="10"/>
  <c r="HX4" i="10"/>
  <c r="IS4" i="10"/>
  <c r="JN4" i="10"/>
  <c r="KI4" i="10"/>
  <c r="LD4" i="10"/>
  <c r="LY4" i="10"/>
  <c r="AN4" i="10"/>
  <c r="BI4" i="10"/>
  <c r="CD4" i="10"/>
  <c r="DB4" i="9"/>
  <c r="DW4" i="9"/>
  <c r="ER4" i="9"/>
  <c r="FM4" i="9"/>
  <c r="GH4" i="9"/>
  <c r="HC4" i="9"/>
  <c r="HX4" i="9"/>
  <c r="IS4" i="9"/>
  <c r="JN4" i="9"/>
  <c r="KI4" i="9"/>
  <c r="LD4" i="9"/>
  <c r="LY4" i="9"/>
  <c r="AN4" i="9"/>
  <c r="BI4" i="9"/>
  <c r="CD4" i="9"/>
  <c r="CY7" i="9"/>
  <c r="DT7" i="9"/>
  <c r="EO7" i="9"/>
  <c r="FJ7" i="9"/>
  <c r="GE7" i="9"/>
  <c r="GZ7" i="9"/>
  <c r="HU7" i="9"/>
  <c r="IP7" i="9"/>
  <c r="JK7" i="9"/>
  <c r="KF7" i="9"/>
  <c r="LA7" i="9"/>
  <c r="LV7" i="9"/>
  <c r="CZ7" i="9"/>
  <c r="DU7" i="9"/>
  <c r="EP7" i="9"/>
  <c r="FK7" i="9"/>
  <c r="GF7" i="9"/>
  <c r="HV7" i="9"/>
  <c r="IQ7" i="9"/>
  <c r="JL7" i="9"/>
  <c r="LB7" i="9"/>
  <c r="LW7" i="9"/>
  <c r="DB7" i="9"/>
  <c r="DW7" i="9"/>
  <c r="ER7" i="9"/>
  <c r="FM7" i="9"/>
  <c r="GH7" i="9"/>
  <c r="HC7" i="9"/>
  <c r="HX7" i="9"/>
  <c r="IS7" i="9"/>
  <c r="JN7" i="9"/>
  <c r="KI7" i="9"/>
  <c r="LD7" i="9"/>
  <c r="LY7" i="9"/>
  <c r="AN7" i="9"/>
  <c r="BI7" i="9"/>
  <c r="CD7" i="9"/>
  <c r="CY10" i="9"/>
  <c r="DT10" i="9"/>
  <c r="EO10" i="9"/>
  <c r="FJ10" i="9"/>
  <c r="GE10" i="9"/>
  <c r="GZ10" i="9"/>
  <c r="HU10" i="9"/>
  <c r="IP10" i="9"/>
  <c r="JK10" i="9"/>
  <c r="KF10" i="9"/>
  <c r="LA10" i="9"/>
  <c r="LV10" i="9"/>
  <c r="CZ10" i="9"/>
  <c r="DU10" i="9"/>
  <c r="EP10" i="9"/>
  <c r="FK10" i="9"/>
  <c r="GF10" i="9"/>
  <c r="HA10" i="9"/>
  <c r="HV10" i="9"/>
  <c r="IQ10" i="9"/>
  <c r="JL10" i="9"/>
  <c r="KG10" i="9"/>
  <c r="LB10" i="9"/>
  <c r="LW10" i="9"/>
  <c r="DB10" i="9"/>
  <c r="DW10" i="9"/>
  <c r="ER10" i="9"/>
  <c r="FM10" i="9"/>
  <c r="GH10" i="9"/>
  <c r="HC10" i="9"/>
  <c r="HX10" i="9"/>
  <c r="IS10" i="9"/>
  <c r="JN10" i="9"/>
  <c r="KI10" i="9"/>
  <c r="LD10" i="9"/>
  <c r="LY10" i="9"/>
  <c r="AN10" i="9"/>
  <c r="BI10" i="9"/>
  <c r="CD10" i="9"/>
  <c r="CY5" i="9"/>
  <c r="DT5" i="9"/>
  <c r="EO5" i="9"/>
  <c r="FJ5" i="9"/>
  <c r="GE5" i="9"/>
  <c r="GZ5" i="9"/>
  <c r="HU5" i="9"/>
  <c r="IP5" i="9"/>
  <c r="JK5" i="9"/>
  <c r="KF5" i="9"/>
  <c r="LA5" i="9"/>
  <c r="LV5" i="9"/>
  <c r="CZ5" i="9"/>
  <c r="DU5" i="9"/>
  <c r="EP5" i="9"/>
  <c r="FK5" i="9"/>
  <c r="GF5" i="9"/>
  <c r="HA5" i="9"/>
  <c r="HV5" i="9"/>
  <c r="IQ5" i="9"/>
  <c r="JL5" i="9"/>
  <c r="KG5" i="9"/>
  <c r="LB5" i="9"/>
  <c r="LW5" i="9"/>
  <c r="DB5" i="9"/>
  <c r="DW5" i="9"/>
  <c r="ER5" i="9"/>
  <c r="FM5" i="9"/>
  <c r="GH5" i="9"/>
  <c r="HC5" i="9"/>
  <c r="HX5" i="9"/>
  <c r="IS5" i="9"/>
  <c r="JN5" i="9"/>
  <c r="KI5" i="9"/>
  <c r="LD5" i="9"/>
  <c r="LY5" i="9"/>
  <c r="AN5" i="9"/>
  <c r="BI5" i="9"/>
  <c r="CD5" i="9"/>
  <c r="CY12" i="9"/>
  <c r="DT12" i="9"/>
  <c r="EO12" i="9"/>
  <c r="FJ12" i="9"/>
  <c r="GE12" i="9"/>
  <c r="GZ12" i="9"/>
  <c r="HU12" i="9"/>
  <c r="IP12" i="9"/>
  <c r="JK12" i="9"/>
  <c r="KF12" i="9"/>
  <c r="LA12" i="9"/>
  <c r="LV12" i="9"/>
  <c r="CZ12" i="9"/>
  <c r="DU12" i="9"/>
  <c r="EP12" i="9"/>
  <c r="FK12" i="9"/>
  <c r="GF12" i="9"/>
  <c r="HA12" i="9"/>
  <c r="HV12" i="9"/>
  <c r="IQ12" i="9"/>
  <c r="JL12" i="9"/>
  <c r="KG12" i="9"/>
  <c r="LB12" i="9"/>
  <c r="LW12" i="9"/>
  <c r="DB12" i="9"/>
  <c r="DW12" i="9"/>
  <c r="ER12" i="9"/>
  <c r="FM12" i="9"/>
  <c r="GH12" i="9"/>
  <c r="HC12" i="9"/>
  <c r="HX12" i="9"/>
  <c r="IS12" i="9"/>
  <c r="JN12" i="9"/>
  <c r="KI12" i="9"/>
  <c r="LD12" i="9"/>
  <c r="LY12" i="9"/>
  <c r="AN12" i="9"/>
  <c r="BI12" i="9"/>
  <c r="CD12" i="9"/>
  <c r="CZ4" i="9"/>
  <c r="DU4" i="9"/>
  <c r="EP4" i="9"/>
  <c r="FK4" i="9"/>
  <c r="GF4" i="9"/>
  <c r="HA4" i="9"/>
  <c r="HV4" i="9"/>
  <c r="IQ4" i="9"/>
  <c r="JL4" i="9"/>
  <c r="KG4" i="9"/>
  <c r="LB4" i="9"/>
  <c r="LW4" i="9"/>
  <c r="CY4" i="9"/>
  <c r="DT4" i="9"/>
  <c r="EO4" i="9"/>
  <c r="FJ4" i="9"/>
  <c r="GE4" i="9"/>
  <c r="GZ4" i="9"/>
  <c r="HU4" i="9"/>
  <c r="IP4" i="9"/>
  <c r="JK4" i="9"/>
  <c r="KF4" i="9"/>
  <c r="LA4" i="9"/>
  <c r="LV4" i="9"/>
  <c r="CY4" i="2"/>
  <c r="DT4" i="2"/>
  <c r="EO4" i="2"/>
  <c r="FJ4" i="2"/>
  <c r="GE4" i="2"/>
  <c r="GZ4" i="2"/>
  <c r="HU4" i="2"/>
  <c r="IP4" i="2"/>
  <c r="JK4" i="2"/>
  <c r="KF4" i="2"/>
  <c r="LV4" i="2"/>
  <c r="CZ4" i="2"/>
  <c r="DU4" i="2"/>
  <c r="EP4" i="2"/>
  <c r="FK4" i="2"/>
  <c r="GF4" i="2"/>
  <c r="HA4" i="2"/>
  <c r="HV4" i="2"/>
  <c r="IQ4" i="2"/>
  <c r="JL4" i="2"/>
  <c r="KG4" i="2"/>
  <c r="LW4" i="2"/>
  <c r="DB4" i="2"/>
  <c r="DW4" i="2"/>
  <c r="ER4" i="2"/>
  <c r="FM4" i="2"/>
  <c r="GH4" i="2"/>
  <c r="HC4" i="2"/>
  <c r="HX4" i="2"/>
  <c r="IS4" i="2"/>
  <c r="JN4" i="2"/>
  <c r="KI4" i="2"/>
  <c r="LD4" i="2"/>
  <c r="LY4" i="2"/>
  <c r="AN4" i="2"/>
  <c r="BI4" i="2"/>
  <c r="CD4" i="2"/>
  <c r="CY6" i="2"/>
  <c r="DT6" i="2"/>
  <c r="EO6" i="2"/>
  <c r="FJ6" i="2"/>
  <c r="GE6" i="2"/>
  <c r="GZ6" i="2"/>
  <c r="HU6" i="2"/>
  <c r="IP6" i="2"/>
  <c r="JK6" i="2"/>
  <c r="KF6" i="2"/>
  <c r="LA6" i="2"/>
  <c r="LV6" i="2"/>
  <c r="CZ6" i="2"/>
  <c r="DU6" i="2"/>
  <c r="EP6" i="2"/>
  <c r="FK6" i="2"/>
  <c r="GF6" i="2"/>
  <c r="HA6" i="2"/>
  <c r="HV6" i="2"/>
  <c r="IQ6" i="2"/>
  <c r="JL6" i="2"/>
  <c r="KG6" i="2"/>
  <c r="LW6" i="2"/>
  <c r="DB6" i="2"/>
  <c r="DW6" i="2"/>
  <c r="ER6" i="2"/>
  <c r="FM6" i="2"/>
  <c r="GH6" i="2"/>
  <c r="HC6" i="2"/>
  <c r="HX6" i="2"/>
  <c r="IS6" i="2"/>
  <c r="JN6" i="2"/>
  <c r="KI6" i="2"/>
  <c r="LD6" i="2"/>
  <c r="LY6" i="2"/>
  <c r="AN6" i="2"/>
  <c r="BI6" i="2"/>
  <c r="CD6" i="2"/>
  <c r="CY8" i="2"/>
  <c r="DT8" i="2"/>
  <c r="EO8" i="2"/>
  <c r="FJ8" i="2"/>
  <c r="GE8" i="2"/>
  <c r="GZ8" i="2"/>
  <c r="HU8" i="2"/>
  <c r="IP8" i="2"/>
  <c r="JK8" i="2"/>
  <c r="KF8" i="2"/>
  <c r="LA8" i="2"/>
  <c r="LV8" i="2"/>
  <c r="CZ8" i="2"/>
  <c r="DU8" i="2"/>
  <c r="EP8" i="2"/>
  <c r="FK8" i="2"/>
  <c r="GF8" i="2"/>
  <c r="HA8" i="2"/>
  <c r="HV8" i="2"/>
  <c r="IQ8" i="2"/>
  <c r="JL8" i="2"/>
  <c r="KG8" i="2"/>
  <c r="LB8" i="2"/>
  <c r="LW8" i="2"/>
  <c r="DB8" i="2"/>
  <c r="DW8" i="2"/>
  <c r="ER8" i="2"/>
  <c r="FM8" i="2"/>
  <c r="GH8" i="2"/>
  <c r="HC8" i="2"/>
  <c r="HX8" i="2"/>
  <c r="IS8" i="2"/>
  <c r="JN8" i="2"/>
  <c r="KI8" i="2"/>
  <c r="LD8" i="2"/>
  <c r="LY8" i="2"/>
  <c r="AN8" i="2"/>
  <c r="BI8" i="2"/>
  <c r="CD8" i="2"/>
  <c r="CY7" i="2"/>
  <c r="DT7" i="2"/>
  <c r="EO7" i="2"/>
  <c r="FJ7" i="2"/>
  <c r="GE7" i="2"/>
  <c r="GZ7" i="2"/>
  <c r="HU7" i="2"/>
  <c r="IP7" i="2"/>
  <c r="JK7" i="2"/>
  <c r="KF7" i="2"/>
  <c r="LA7" i="2"/>
  <c r="LV7" i="2"/>
  <c r="CZ7" i="2"/>
  <c r="DU7" i="2"/>
  <c r="EP7" i="2"/>
  <c r="FK7" i="2"/>
  <c r="GF7" i="2"/>
  <c r="HV7" i="2"/>
  <c r="IQ7" i="2"/>
  <c r="JL7" i="2"/>
  <c r="KG7" i="2"/>
  <c r="LB7" i="2"/>
  <c r="LW7" i="2"/>
  <c r="DB7" i="2"/>
  <c r="DW7" i="2"/>
  <c r="ER7" i="2"/>
  <c r="FM7" i="2"/>
  <c r="GH7" i="2"/>
  <c r="HC7" i="2"/>
  <c r="HX7" i="2"/>
  <c r="IS7" i="2"/>
  <c r="JN7" i="2"/>
  <c r="KI7" i="2"/>
  <c r="LD7" i="2"/>
  <c r="LY7" i="2"/>
  <c r="AN7" i="2"/>
  <c r="BI7" i="2"/>
  <c r="CD7" i="2"/>
  <c r="CY9" i="2"/>
  <c r="DT9" i="2"/>
  <c r="EO9" i="2"/>
  <c r="FJ9" i="2"/>
  <c r="GE9" i="2"/>
  <c r="GZ9" i="2"/>
  <c r="HU9" i="2"/>
  <c r="IP9" i="2"/>
  <c r="JK9" i="2"/>
  <c r="KF9" i="2"/>
  <c r="LA9" i="2"/>
  <c r="LV9" i="2"/>
  <c r="LX9" i="2" s="1"/>
  <c r="CZ9" i="2"/>
  <c r="DU9" i="2"/>
  <c r="EP9" i="2"/>
  <c r="FK9" i="2"/>
  <c r="GF9" i="2"/>
  <c r="HA9" i="2"/>
  <c r="HV9" i="2"/>
  <c r="IQ9" i="2"/>
  <c r="JL9" i="2"/>
  <c r="KG9" i="2"/>
  <c r="LB9" i="2"/>
  <c r="DB9" i="2"/>
  <c r="DW9" i="2"/>
  <c r="ER9" i="2"/>
  <c r="FM9" i="2"/>
  <c r="GH9" i="2"/>
  <c r="HC9" i="2"/>
  <c r="HX9" i="2"/>
  <c r="IS9" i="2"/>
  <c r="JN9" i="2"/>
  <c r="KI9" i="2"/>
  <c r="LD9" i="2"/>
  <c r="LY9" i="2"/>
  <c r="AN9" i="2"/>
  <c r="BI9" i="2"/>
  <c r="CD9" i="2"/>
  <c r="CY13" i="2"/>
  <c r="DT13" i="2"/>
  <c r="EO13" i="2"/>
  <c r="FJ13" i="2"/>
  <c r="GE13" i="2"/>
  <c r="GZ13" i="2"/>
  <c r="HU13" i="2"/>
  <c r="IP13" i="2"/>
  <c r="JK13" i="2"/>
  <c r="KF13" i="2"/>
  <c r="LA13" i="2"/>
  <c r="LV13" i="2"/>
  <c r="CZ13" i="2"/>
  <c r="DU13" i="2"/>
  <c r="EP13" i="2"/>
  <c r="FK13" i="2"/>
  <c r="GF13" i="2"/>
  <c r="HA13" i="2"/>
  <c r="HV13" i="2"/>
  <c r="IQ13" i="2"/>
  <c r="JL13" i="2"/>
  <c r="KG13" i="2"/>
  <c r="LB13" i="2"/>
  <c r="LW13" i="2"/>
  <c r="DB13" i="2"/>
  <c r="DW13" i="2"/>
  <c r="ER13" i="2"/>
  <c r="FM13" i="2"/>
  <c r="GH13" i="2"/>
  <c r="HC13" i="2"/>
  <c r="HX13" i="2"/>
  <c r="IS13" i="2"/>
  <c r="JN13" i="2"/>
  <c r="KI13" i="2"/>
  <c r="LD13" i="2"/>
  <c r="LY13" i="2"/>
  <c r="AN13" i="2"/>
  <c r="BI13" i="2"/>
  <c r="CD13" i="2"/>
  <c r="CY11" i="2"/>
  <c r="DT11" i="2"/>
  <c r="EO11" i="2"/>
  <c r="FJ11" i="2"/>
  <c r="GE11" i="2"/>
  <c r="GZ11" i="2"/>
  <c r="HU11" i="2"/>
  <c r="IP11" i="2"/>
  <c r="JK11" i="2"/>
  <c r="KF11" i="2"/>
  <c r="LA11" i="2"/>
  <c r="LV11" i="2"/>
  <c r="CZ11" i="2"/>
  <c r="DU11" i="2"/>
  <c r="EP11" i="2"/>
  <c r="FK11" i="2"/>
  <c r="GF11" i="2"/>
  <c r="HA11" i="2"/>
  <c r="HV11" i="2"/>
  <c r="IQ11" i="2"/>
  <c r="JL11" i="2"/>
  <c r="KG11" i="2"/>
  <c r="LB11" i="2"/>
  <c r="LW11" i="2"/>
  <c r="DB11" i="2"/>
  <c r="DW11" i="2"/>
  <c r="ER11" i="2"/>
  <c r="FM11" i="2"/>
  <c r="GH11" i="2"/>
  <c r="HC11" i="2"/>
  <c r="HX11" i="2"/>
  <c r="IS11" i="2"/>
  <c r="JN11" i="2"/>
  <c r="KI11" i="2"/>
  <c r="LD11" i="2"/>
  <c r="LY11" i="2"/>
  <c r="AN11" i="2"/>
  <c r="BI11" i="2"/>
  <c r="CD11" i="2"/>
  <c r="CY12" i="2"/>
  <c r="DT12" i="2"/>
  <c r="EO12" i="2"/>
  <c r="FJ12" i="2"/>
  <c r="GE12" i="2"/>
  <c r="GZ12" i="2"/>
  <c r="HU12" i="2"/>
  <c r="IP12" i="2"/>
  <c r="JK12" i="2"/>
  <c r="KF12" i="2"/>
  <c r="LA12" i="2"/>
  <c r="LV12" i="2"/>
  <c r="CZ12" i="2"/>
  <c r="DU12" i="2"/>
  <c r="EP12" i="2"/>
  <c r="FK12" i="2"/>
  <c r="GF12" i="2"/>
  <c r="HA12" i="2"/>
  <c r="HV12" i="2"/>
  <c r="IQ12" i="2"/>
  <c r="JL12" i="2"/>
  <c r="KG12" i="2"/>
  <c r="LB12" i="2"/>
  <c r="LW12" i="2"/>
  <c r="DB12" i="2"/>
  <c r="DW12" i="2"/>
  <c r="ER12" i="2"/>
  <c r="FM12" i="2"/>
  <c r="GH12" i="2"/>
  <c r="HC12" i="2"/>
  <c r="HX12" i="2"/>
  <c r="IS12" i="2"/>
  <c r="JN12" i="2"/>
  <c r="KI12" i="2"/>
  <c r="LD12" i="2"/>
  <c r="LY12" i="2"/>
  <c r="AN12" i="2"/>
  <c r="BI12" i="2"/>
  <c r="CD12" i="2"/>
  <c r="DB5" i="2"/>
  <c r="DW5" i="2"/>
  <c r="ER5" i="2"/>
  <c r="FM5" i="2"/>
  <c r="GH5" i="2"/>
  <c r="HC5" i="2"/>
  <c r="HX5" i="2"/>
  <c r="IS5" i="2"/>
  <c r="JN5" i="2"/>
  <c r="KI5" i="2"/>
  <c r="LD5" i="2"/>
  <c r="LY5" i="2"/>
  <c r="AN5" i="2"/>
  <c r="BI5" i="2"/>
  <c r="CD5" i="2"/>
  <c r="CZ5" i="2"/>
  <c r="DU5" i="2"/>
  <c r="EP5" i="2"/>
  <c r="FK5" i="2"/>
  <c r="GF5" i="2"/>
  <c r="HA5" i="2"/>
  <c r="HV5" i="2"/>
  <c r="IQ5" i="2"/>
  <c r="JL5" i="2"/>
  <c r="KG5" i="2"/>
  <c r="LB5" i="2"/>
  <c r="LW5" i="2"/>
  <c r="CY5" i="2"/>
  <c r="DT5" i="2"/>
  <c r="EO5" i="2"/>
  <c r="FJ5" i="2"/>
  <c r="GE5" i="2"/>
  <c r="GZ5" i="2"/>
  <c r="HU5" i="2"/>
  <c r="IP5" i="2"/>
  <c r="JK5" i="2"/>
  <c r="KF5" i="2"/>
  <c r="LA5" i="2"/>
  <c r="LV5" i="2"/>
  <c r="CY5" i="10"/>
  <c r="DT5" i="10"/>
  <c r="EO5" i="10"/>
  <c r="FJ5" i="10"/>
  <c r="GE5" i="10"/>
  <c r="GZ5" i="10"/>
  <c r="HU5" i="10"/>
  <c r="IP5" i="10"/>
  <c r="JK5" i="10"/>
  <c r="KF5" i="10"/>
  <c r="LA5" i="10"/>
  <c r="LV5" i="10"/>
  <c r="CZ5" i="10"/>
  <c r="DU5" i="10"/>
  <c r="EP5" i="10"/>
  <c r="FK5" i="10"/>
  <c r="GF5" i="10"/>
  <c r="HA5" i="10"/>
  <c r="HV5" i="10"/>
  <c r="IQ5" i="10"/>
  <c r="JL5" i="10"/>
  <c r="KG5" i="10"/>
  <c r="LB5" i="10"/>
  <c r="LW5" i="10"/>
  <c r="CY6" i="10"/>
  <c r="DT6" i="10"/>
  <c r="EO6" i="10"/>
  <c r="FJ6" i="10"/>
  <c r="GE6" i="10"/>
  <c r="GZ6" i="10"/>
  <c r="HU6" i="10"/>
  <c r="IP6" i="10"/>
  <c r="JK6" i="10"/>
  <c r="KF6" i="10"/>
  <c r="LA6" i="10"/>
  <c r="LV6" i="10"/>
  <c r="CZ6" i="10"/>
  <c r="DU6" i="10"/>
  <c r="EP6" i="10"/>
  <c r="FK6" i="10"/>
  <c r="GF6" i="10"/>
  <c r="HA6" i="10"/>
  <c r="HV6" i="10"/>
  <c r="IQ6" i="10"/>
  <c r="JL6" i="10"/>
  <c r="KG6" i="10"/>
  <c r="LB6" i="10"/>
  <c r="LW6" i="10"/>
  <c r="CZ4" i="10"/>
  <c r="DU4" i="10"/>
  <c r="EP4" i="10"/>
  <c r="FK4" i="10"/>
  <c r="GF4" i="10"/>
  <c r="HA4" i="10"/>
  <c r="HV4" i="10"/>
  <c r="IQ4" i="10"/>
  <c r="JL4" i="10"/>
  <c r="KG4" i="10"/>
  <c r="LB4" i="10"/>
  <c r="LW4" i="10"/>
  <c r="CY4" i="10"/>
  <c r="DT4" i="10"/>
  <c r="EO4" i="10"/>
  <c r="FJ4" i="10"/>
  <c r="GE4" i="10"/>
  <c r="GZ4" i="10"/>
  <c r="HU4" i="10"/>
  <c r="IP4" i="10"/>
  <c r="JK4" i="10"/>
  <c r="KF4" i="10"/>
  <c r="LA4" i="10"/>
  <c r="LV4" i="10"/>
  <c r="DG7" i="7"/>
  <c r="ED7" i="7"/>
  <c r="FA7" i="7"/>
  <c r="FX7" i="7"/>
  <c r="GU7" i="7"/>
  <c r="HR7" i="7"/>
  <c r="IO7" i="7"/>
  <c r="JL7" i="7"/>
  <c r="KI7" i="7"/>
  <c r="LF7" i="7"/>
  <c r="MC7" i="7"/>
  <c r="MZ7" i="7"/>
  <c r="DH7" i="7"/>
  <c r="EE7" i="7"/>
  <c r="FB7" i="7"/>
  <c r="FY7" i="7"/>
  <c r="GV7" i="7"/>
  <c r="HS7" i="7"/>
  <c r="IP7" i="7"/>
  <c r="JM7" i="7"/>
  <c r="KJ7" i="7"/>
  <c r="LG7" i="7"/>
  <c r="MD7" i="7"/>
  <c r="NA7" i="7"/>
  <c r="DJ7" i="7"/>
  <c r="EG7" i="7"/>
  <c r="FD7" i="7"/>
  <c r="GA7" i="7"/>
  <c r="GX7" i="7"/>
  <c r="HU7" i="7"/>
  <c r="IR7" i="7"/>
  <c r="JO7" i="7"/>
  <c r="KL7" i="7"/>
  <c r="LI7" i="7"/>
  <c r="MF7" i="7"/>
  <c r="NC7" i="7"/>
  <c r="AP7" i="7"/>
  <c r="BM7" i="7"/>
  <c r="CJ7" i="7"/>
  <c r="DG9" i="7"/>
  <c r="ED9" i="7"/>
  <c r="FA9" i="7"/>
  <c r="FX9" i="7"/>
  <c r="GU9" i="7"/>
  <c r="HR9" i="7"/>
  <c r="IO9" i="7"/>
  <c r="JL9" i="7"/>
  <c r="KI9" i="7"/>
  <c r="LF9" i="7"/>
  <c r="MC9" i="7"/>
  <c r="MZ9" i="7"/>
  <c r="DH9" i="7"/>
  <c r="EE9" i="7"/>
  <c r="FB9" i="7"/>
  <c r="FY9" i="7"/>
  <c r="GV9" i="7"/>
  <c r="HS9" i="7"/>
  <c r="IP9" i="7"/>
  <c r="JM9" i="7"/>
  <c r="KJ9" i="7"/>
  <c r="LG9" i="7"/>
  <c r="MD9" i="7"/>
  <c r="NA9" i="7"/>
  <c r="DJ9" i="7"/>
  <c r="EG9" i="7"/>
  <c r="FD9" i="7"/>
  <c r="GA9" i="7"/>
  <c r="GX9" i="7"/>
  <c r="HU9" i="7"/>
  <c r="IR9" i="7"/>
  <c r="JO9" i="7"/>
  <c r="KL9" i="7"/>
  <c r="LI9" i="7"/>
  <c r="MF9" i="7"/>
  <c r="NC9" i="7"/>
  <c r="AP9" i="7"/>
  <c r="BM9" i="7"/>
  <c r="CJ9" i="7"/>
  <c r="DG10" i="7"/>
  <c r="ED10" i="7"/>
  <c r="FA10" i="7"/>
  <c r="FX10" i="7"/>
  <c r="GU10" i="7"/>
  <c r="HR10" i="7"/>
  <c r="IO10" i="7"/>
  <c r="JL10" i="7"/>
  <c r="KI10" i="7"/>
  <c r="LF10" i="7"/>
  <c r="MC10" i="7"/>
  <c r="MZ10" i="7"/>
  <c r="DH10" i="7"/>
  <c r="EE10" i="7"/>
  <c r="FB10" i="7"/>
  <c r="FY10" i="7"/>
  <c r="GV10" i="7"/>
  <c r="HS10" i="7"/>
  <c r="IP10" i="7"/>
  <c r="JM10" i="7"/>
  <c r="KJ10" i="7"/>
  <c r="LG10" i="7"/>
  <c r="MD10" i="7"/>
  <c r="NA10" i="7"/>
  <c r="DJ10" i="7"/>
  <c r="EG10" i="7"/>
  <c r="FD10" i="7"/>
  <c r="GA10" i="7"/>
  <c r="GX10" i="7"/>
  <c r="HU10" i="7"/>
  <c r="IR10" i="7"/>
  <c r="JO10" i="7"/>
  <c r="KL10" i="7"/>
  <c r="LI10" i="7"/>
  <c r="MF10" i="7"/>
  <c r="NC10" i="7"/>
  <c r="AP10" i="7"/>
  <c r="BM10" i="7"/>
  <c r="CJ10" i="7"/>
  <c r="EG4" i="7"/>
  <c r="FD4" i="7"/>
  <c r="GA4" i="7"/>
  <c r="GX4" i="7"/>
  <c r="HU4" i="7"/>
  <c r="IR4" i="7"/>
  <c r="JO4" i="7"/>
  <c r="KL4" i="7"/>
  <c r="LI4" i="7"/>
  <c r="MF4" i="7"/>
  <c r="NC4" i="7"/>
  <c r="AP4" i="7"/>
  <c r="BM4" i="7"/>
  <c r="CJ4" i="7"/>
  <c r="DH4" i="7"/>
  <c r="EE4" i="7"/>
  <c r="FB4" i="7"/>
  <c r="FY4" i="7"/>
  <c r="GV4" i="7"/>
  <c r="HS4" i="7"/>
  <c r="IP4" i="7"/>
  <c r="JM4" i="7"/>
  <c r="KJ4" i="7"/>
  <c r="LG4" i="7"/>
  <c r="MD4" i="7"/>
  <c r="NA4" i="7"/>
  <c r="ED4" i="7"/>
  <c r="FA4" i="7"/>
  <c r="FX4" i="7"/>
  <c r="GU4" i="7"/>
  <c r="HR4" i="7"/>
  <c r="IO4" i="7"/>
  <c r="JL4" i="7"/>
  <c r="KI4" i="7"/>
  <c r="LF4" i="7"/>
  <c r="MC4" i="7"/>
  <c r="MZ4" i="7"/>
  <c r="DG6" i="8"/>
  <c r="ED6" i="8"/>
  <c r="FA6" i="8"/>
  <c r="FX6" i="8"/>
  <c r="GU6" i="8"/>
  <c r="HR6" i="8"/>
  <c r="IO6" i="8"/>
  <c r="JL6" i="8"/>
  <c r="KI6" i="8"/>
  <c r="LF6" i="8"/>
  <c r="MC6" i="8"/>
  <c r="MZ6" i="8"/>
  <c r="DH6" i="8"/>
  <c r="EE6" i="8"/>
  <c r="FB6" i="8"/>
  <c r="FY6" i="8"/>
  <c r="GV6" i="8"/>
  <c r="HS6" i="8"/>
  <c r="IP6" i="8"/>
  <c r="JM6" i="8"/>
  <c r="KJ6" i="8"/>
  <c r="LG6" i="8"/>
  <c r="MD6" i="8"/>
  <c r="NA6" i="8"/>
  <c r="DJ6" i="8"/>
  <c r="EG6" i="8"/>
  <c r="FD6" i="8"/>
  <c r="GA6" i="8"/>
  <c r="GX6" i="8"/>
  <c r="HU6" i="8"/>
  <c r="IR6" i="8"/>
  <c r="JO6" i="8"/>
  <c r="KL6" i="8"/>
  <c r="LI6" i="8"/>
  <c r="MF6" i="8"/>
  <c r="NC6" i="8"/>
  <c r="AP6" i="8"/>
  <c r="BM6" i="8"/>
  <c r="CJ6" i="8"/>
  <c r="DG5" i="8"/>
  <c r="ED5" i="8"/>
  <c r="FA5" i="8"/>
  <c r="FX5" i="8"/>
  <c r="GU5" i="8"/>
  <c r="HR5" i="8"/>
  <c r="IO5" i="8"/>
  <c r="JL5" i="8"/>
  <c r="KI5" i="8"/>
  <c r="LF5" i="8"/>
  <c r="MC5" i="8"/>
  <c r="MZ5" i="8"/>
  <c r="DH5" i="8"/>
  <c r="EE5" i="8"/>
  <c r="FB5" i="8"/>
  <c r="FY5" i="8"/>
  <c r="GV5" i="8"/>
  <c r="HS5" i="8"/>
  <c r="IP5" i="8"/>
  <c r="JM5" i="8"/>
  <c r="KJ5" i="8"/>
  <c r="LG5" i="8"/>
  <c r="MD5" i="8"/>
  <c r="NA5" i="8"/>
  <c r="DJ5" i="8"/>
  <c r="EG5" i="8"/>
  <c r="FD5" i="8"/>
  <c r="GA5" i="8"/>
  <c r="GX5" i="8"/>
  <c r="HU5" i="8"/>
  <c r="IR5" i="8"/>
  <c r="JO5" i="8"/>
  <c r="KL5" i="8"/>
  <c r="LI5" i="8"/>
  <c r="MF5" i="8"/>
  <c r="NC5" i="8"/>
  <c r="AP5" i="8"/>
  <c r="BM5" i="8"/>
  <c r="CJ5" i="8"/>
  <c r="DG8" i="8"/>
  <c r="ED8" i="8"/>
  <c r="FA8" i="8"/>
  <c r="FX8" i="8"/>
  <c r="GU8" i="8"/>
  <c r="HR8" i="8"/>
  <c r="IO8" i="8"/>
  <c r="JL8" i="8"/>
  <c r="KI8" i="8"/>
  <c r="LF8" i="8"/>
  <c r="MC8" i="8"/>
  <c r="MZ8" i="8"/>
  <c r="DH8" i="8"/>
  <c r="EE8" i="8"/>
  <c r="FB8" i="8"/>
  <c r="FY8" i="8"/>
  <c r="GV8" i="8"/>
  <c r="HS8" i="8"/>
  <c r="IP8" i="8"/>
  <c r="JM8" i="8"/>
  <c r="KJ8" i="8"/>
  <c r="LG8" i="8"/>
  <c r="MD8" i="8"/>
  <c r="NA8" i="8"/>
  <c r="DJ8" i="8"/>
  <c r="EG8" i="8"/>
  <c r="FD8" i="8"/>
  <c r="GA8" i="8"/>
  <c r="GX8" i="8"/>
  <c r="HU8" i="8"/>
  <c r="IR8" i="8"/>
  <c r="JO8" i="8"/>
  <c r="KL8" i="8"/>
  <c r="LI8" i="8"/>
  <c r="MF8" i="8"/>
  <c r="NC8" i="8"/>
  <c r="AP8" i="8"/>
  <c r="BM8" i="8"/>
  <c r="CJ8" i="8"/>
  <c r="DJ7" i="8"/>
  <c r="EG7" i="8"/>
  <c r="FD7" i="8"/>
  <c r="GA7" i="8"/>
  <c r="GX7" i="8"/>
  <c r="HU7" i="8"/>
  <c r="IR7" i="8"/>
  <c r="JO7" i="8"/>
  <c r="KL7" i="8"/>
  <c r="LI7" i="8"/>
  <c r="MF7" i="8"/>
  <c r="NC7" i="8"/>
  <c r="AP7" i="8"/>
  <c r="BM7" i="8"/>
  <c r="CJ7" i="8"/>
  <c r="DH7" i="8"/>
  <c r="EE7" i="8"/>
  <c r="FB7" i="8"/>
  <c r="FY7" i="8"/>
  <c r="GV7" i="8"/>
  <c r="HS7" i="8"/>
  <c r="IP7" i="8"/>
  <c r="JM7" i="8"/>
  <c r="KJ7" i="8"/>
  <c r="LG7" i="8"/>
  <c r="MD7" i="8"/>
  <c r="NA7" i="8"/>
  <c r="DG7" i="8"/>
  <c r="ED7" i="8"/>
  <c r="FA7" i="8"/>
  <c r="FX7" i="8"/>
  <c r="GU7" i="8"/>
  <c r="HR7" i="8"/>
  <c r="IO7" i="8"/>
  <c r="JL7" i="8"/>
  <c r="KI7" i="8"/>
  <c r="LF7" i="8"/>
  <c r="MC7" i="8"/>
  <c r="MZ7" i="8"/>
  <c r="EI5" i="6"/>
  <c r="FM5" i="6"/>
  <c r="GQ5" i="6"/>
  <c r="HU5" i="6"/>
  <c r="IY5" i="6"/>
  <c r="KC5" i="6"/>
  <c r="LG5" i="6"/>
  <c r="MK5" i="6"/>
  <c r="NO5" i="6"/>
  <c r="OS5" i="6"/>
  <c r="PW5" i="6"/>
  <c r="RA5" i="6"/>
  <c r="AT5" i="6"/>
  <c r="BX5" i="6"/>
  <c r="EJ5" i="6"/>
  <c r="FN5" i="6"/>
  <c r="GR5" i="6"/>
  <c r="HV5" i="6"/>
  <c r="IZ5" i="6"/>
  <c r="KD5" i="6"/>
  <c r="LH5" i="6"/>
  <c r="ML5" i="6"/>
  <c r="NP5" i="6"/>
  <c r="OT5" i="6"/>
  <c r="PX5" i="6"/>
  <c r="RB5" i="6"/>
  <c r="AU5" i="6"/>
  <c r="BY5" i="6"/>
  <c r="EL5" i="6"/>
  <c r="FP5" i="6"/>
  <c r="GT5" i="6"/>
  <c r="HX5" i="6"/>
  <c r="JB5" i="6"/>
  <c r="KF5" i="6"/>
  <c r="LJ5" i="6"/>
  <c r="MN5" i="6"/>
  <c r="OV5" i="6"/>
  <c r="OW5" i="6" s="1"/>
  <c r="PZ5" i="6"/>
  <c r="RD5" i="6"/>
  <c r="AW5" i="6"/>
  <c r="AX5" i="6" s="1"/>
  <c r="CA5" i="6"/>
  <c r="CB5" i="6" s="1"/>
  <c r="DE5" i="6"/>
  <c r="DF5" i="6" s="1"/>
  <c r="EI6" i="6"/>
  <c r="FM6" i="6"/>
  <c r="GQ6" i="6"/>
  <c r="HU6" i="6"/>
  <c r="IY6" i="6"/>
  <c r="KC6" i="6"/>
  <c r="LG6" i="6"/>
  <c r="MK6" i="6"/>
  <c r="NO6" i="6"/>
  <c r="OS6" i="6"/>
  <c r="PW6" i="6"/>
  <c r="RA6" i="6"/>
  <c r="AT6" i="6"/>
  <c r="DB6" i="6"/>
  <c r="EJ6" i="6"/>
  <c r="FN6" i="6"/>
  <c r="GR6" i="6"/>
  <c r="HV6" i="6"/>
  <c r="IZ6" i="6"/>
  <c r="KD6" i="6"/>
  <c r="LH6" i="6"/>
  <c r="ML6" i="6"/>
  <c r="NP6" i="6"/>
  <c r="OT6" i="6"/>
  <c r="PX6" i="6"/>
  <c r="RB6" i="6"/>
  <c r="AU6" i="6"/>
  <c r="DC6" i="6"/>
  <c r="EL6" i="6"/>
  <c r="FP6" i="6"/>
  <c r="GT6" i="6"/>
  <c r="HX6" i="6"/>
  <c r="JB6" i="6"/>
  <c r="KF6" i="6"/>
  <c r="LJ6" i="6"/>
  <c r="MN6" i="6"/>
  <c r="OV6" i="6"/>
  <c r="OW6" i="6" s="1"/>
  <c r="PZ6" i="6"/>
  <c r="RD6" i="6"/>
  <c r="AW6" i="6"/>
  <c r="CA6" i="6"/>
  <c r="DE6" i="6"/>
  <c r="EI9" i="6"/>
  <c r="FM9" i="6"/>
  <c r="GQ9" i="6"/>
  <c r="HU9" i="6"/>
  <c r="IY9" i="6"/>
  <c r="KC9" i="6"/>
  <c r="LG9" i="6"/>
  <c r="MK9" i="6"/>
  <c r="NO9" i="6"/>
  <c r="OS9" i="6"/>
  <c r="PW9" i="6"/>
  <c r="RA9" i="6"/>
  <c r="AT9" i="6"/>
  <c r="DB9" i="6"/>
  <c r="EJ9" i="6"/>
  <c r="FN9" i="6"/>
  <c r="GR9" i="6"/>
  <c r="HV9" i="6"/>
  <c r="IZ9" i="6"/>
  <c r="KD9" i="6"/>
  <c r="LH9" i="6"/>
  <c r="ML9" i="6"/>
  <c r="NP9" i="6"/>
  <c r="OT9" i="6"/>
  <c r="PX9" i="6"/>
  <c r="RB9" i="6"/>
  <c r="AU9" i="6"/>
  <c r="DC9" i="6"/>
  <c r="EL9" i="6"/>
  <c r="FP9" i="6"/>
  <c r="GT9" i="6"/>
  <c r="HX9" i="6"/>
  <c r="JB9" i="6"/>
  <c r="KF9" i="6"/>
  <c r="LJ9" i="6"/>
  <c r="MN9" i="6"/>
  <c r="OV9" i="6"/>
  <c r="PZ9" i="6"/>
  <c r="RD9" i="6"/>
  <c r="AW9" i="6"/>
  <c r="CA9" i="6"/>
  <c r="DE9" i="6"/>
  <c r="DF9" i="6" s="1"/>
  <c r="EI8" i="6"/>
  <c r="FM8" i="6"/>
  <c r="GQ8" i="6"/>
  <c r="HU8" i="6"/>
  <c r="IY8" i="6"/>
  <c r="KC8" i="6"/>
  <c r="LG8" i="6"/>
  <c r="MK8" i="6"/>
  <c r="NO8" i="6"/>
  <c r="OS8" i="6"/>
  <c r="PW8" i="6"/>
  <c r="RA8" i="6"/>
  <c r="AT8" i="6"/>
  <c r="DB8" i="6"/>
  <c r="EJ8" i="6"/>
  <c r="FN8" i="6"/>
  <c r="GR8" i="6"/>
  <c r="HV8" i="6"/>
  <c r="IZ8" i="6"/>
  <c r="KD8" i="6"/>
  <c r="LH8" i="6"/>
  <c r="ML8" i="6"/>
  <c r="NP8" i="6"/>
  <c r="OT8" i="6"/>
  <c r="PX8" i="6"/>
  <c r="RB8" i="6"/>
  <c r="AU8" i="6"/>
  <c r="DC8" i="6"/>
  <c r="EL8" i="6"/>
  <c r="FP8" i="6"/>
  <c r="GT8" i="6"/>
  <c r="HX8" i="6"/>
  <c r="JB8" i="6"/>
  <c r="KF8" i="6"/>
  <c r="LJ8" i="6"/>
  <c r="MN8" i="6"/>
  <c r="OV8" i="6"/>
  <c r="OW8" i="6" s="1"/>
  <c r="PZ8" i="6"/>
  <c r="RD8" i="6"/>
  <c r="AW8" i="6"/>
  <c r="AX8" i="6" s="1"/>
  <c r="CA8" i="6"/>
  <c r="CB8" i="6" s="1"/>
  <c r="DE8" i="6"/>
  <c r="EI7" i="6"/>
  <c r="FM7" i="6"/>
  <c r="GQ7" i="6"/>
  <c r="HU7" i="6"/>
  <c r="IY7" i="6"/>
  <c r="KC7" i="6"/>
  <c r="LG7" i="6"/>
  <c r="MK7" i="6"/>
  <c r="NO7" i="6"/>
  <c r="OS7" i="6"/>
  <c r="PW7" i="6"/>
  <c r="RA7" i="6"/>
  <c r="AT7" i="6"/>
  <c r="BX7" i="6"/>
  <c r="EJ7" i="6"/>
  <c r="FN7" i="6"/>
  <c r="GR7" i="6"/>
  <c r="HV7" i="6"/>
  <c r="IZ7" i="6"/>
  <c r="KD7" i="6"/>
  <c r="LH7" i="6"/>
  <c r="ML7" i="6"/>
  <c r="NP7" i="6"/>
  <c r="OT7" i="6"/>
  <c r="PX7" i="6"/>
  <c r="RB7" i="6"/>
  <c r="AU7" i="6"/>
  <c r="BY7" i="6"/>
  <c r="EL7" i="6"/>
  <c r="FP7" i="6"/>
  <c r="GT7" i="6"/>
  <c r="HX7" i="6"/>
  <c r="JB7" i="6"/>
  <c r="KF7" i="6"/>
  <c r="LJ7" i="6"/>
  <c r="MN7" i="6"/>
  <c r="OV7" i="6"/>
  <c r="PZ7" i="6"/>
  <c r="RD7" i="6"/>
  <c r="AW7" i="6"/>
  <c r="CA7" i="6"/>
  <c r="DE7" i="6"/>
  <c r="EI13" i="6"/>
  <c r="FM13" i="6"/>
  <c r="GQ13" i="6"/>
  <c r="HU13" i="6"/>
  <c r="IY13" i="6"/>
  <c r="KC13" i="6"/>
  <c r="LG13" i="6"/>
  <c r="MK13" i="6"/>
  <c r="NO13" i="6"/>
  <c r="OS13" i="6"/>
  <c r="PW13" i="6"/>
  <c r="RA13" i="6"/>
  <c r="AT13" i="6"/>
  <c r="DB13" i="6"/>
  <c r="EJ13" i="6"/>
  <c r="FN13" i="6"/>
  <c r="GR13" i="6"/>
  <c r="HV13" i="6"/>
  <c r="IZ13" i="6"/>
  <c r="KD13" i="6"/>
  <c r="LH13" i="6"/>
  <c r="ML13" i="6"/>
  <c r="NP13" i="6"/>
  <c r="OT13" i="6"/>
  <c r="PX13" i="6"/>
  <c r="RB13" i="6"/>
  <c r="AU13" i="6"/>
  <c r="DC13" i="6"/>
  <c r="EL13" i="6"/>
  <c r="FP13" i="6"/>
  <c r="GT13" i="6"/>
  <c r="HX13" i="6"/>
  <c r="JB13" i="6"/>
  <c r="KF13" i="6"/>
  <c r="LJ13" i="6"/>
  <c r="MN13" i="6"/>
  <c r="OV13" i="6"/>
  <c r="PZ13" i="6"/>
  <c r="RD13" i="6"/>
  <c r="AW13" i="6"/>
  <c r="CA13" i="6"/>
  <c r="DE13" i="6"/>
  <c r="EI12" i="6"/>
  <c r="FM12" i="6"/>
  <c r="GQ12" i="6"/>
  <c r="HU12" i="6"/>
  <c r="IY12" i="6"/>
  <c r="KC12" i="6"/>
  <c r="LG12" i="6"/>
  <c r="MK12" i="6"/>
  <c r="NO12" i="6"/>
  <c r="OS12" i="6"/>
  <c r="PW12" i="6"/>
  <c r="RA12" i="6"/>
  <c r="AT12" i="6"/>
  <c r="DB12" i="6"/>
  <c r="EJ12" i="6"/>
  <c r="FN12" i="6"/>
  <c r="GR12" i="6"/>
  <c r="HV12" i="6"/>
  <c r="IZ12" i="6"/>
  <c r="KD12" i="6"/>
  <c r="LH12" i="6"/>
  <c r="ML12" i="6"/>
  <c r="NP12" i="6"/>
  <c r="OT12" i="6"/>
  <c r="PX12" i="6"/>
  <c r="RB12" i="6"/>
  <c r="AU12" i="6"/>
  <c r="DC12" i="6"/>
  <c r="EL12" i="6"/>
  <c r="FP12" i="6"/>
  <c r="GT12" i="6"/>
  <c r="HX12" i="6"/>
  <c r="JB12" i="6"/>
  <c r="KF12" i="6"/>
  <c r="LJ12" i="6"/>
  <c r="MN12" i="6"/>
  <c r="OV12" i="6"/>
  <c r="PZ12" i="6"/>
  <c r="RD12" i="6"/>
  <c r="AW12" i="6"/>
  <c r="AX12" i="6" s="1"/>
  <c r="CA12" i="6"/>
  <c r="DE12" i="6"/>
  <c r="EL4" i="6"/>
  <c r="FP4" i="6"/>
  <c r="GT4" i="6"/>
  <c r="HX4" i="6"/>
  <c r="JB4" i="6"/>
  <c r="KF4" i="6"/>
  <c r="LJ4" i="6"/>
  <c r="MN4" i="6"/>
  <c r="OV4" i="6"/>
  <c r="PZ4" i="6"/>
  <c r="RD4" i="6"/>
  <c r="AW4" i="6"/>
  <c r="CA4" i="6"/>
  <c r="DE4" i="6"/>
  <c r="EJ4" i="6"/>
  <c r="FN4" i="6"/>
  <c r="GR4" i="6"/>
  <c r="HV4" i="6"/>
  <c r="IZ4" i="6"/>
  <c r="KD4" i="6"/>
  <c r="LH4" i="6"/>
  <c r="ML4" i="6"/>
  <c r="NP4" i="6"/>
  <c r="OT4" i="6"/>
  <c r="PX4" i="6"/>
  <c r="RB4" i="6"/>
  <c r="AU4" i="6"/>
  <c r="BY4" i="6"/>
  <c r="EI4" i="6"/>
  <c r="FM4" i="6"/>
  <c r="GQ4" i="6"/>
  <c r="HU4" i="6"/>
  <c r="IY4" i="6"/>
  <c r="KC4" i="6"/>
  <c r="LG4" i="6"/>
  <c r="MK4" i="6"/>
  <c r="NO4" i="6"/>
  <c r="OS4" i="6"/>
  <c r="PW4" i="6"/>
  <c r="RA4" i="6"/>
  <c r="AT4" i="6"/>
  <c r="BX4" i="6"/>
  <c r="EL4" i="5"/>
  <c r="FP4" i="5"/>
  <c r="GT4" i="5"/>
  <c r="HX4" i="5"/>
  <c r="JB4" i="5"/>
  <c r="KF4" i="5"/>
  <c r="LJ4" i="5"/>
  <c r="MN4" i="5"/>
  <c r="OV4" i="5"/>
  <c r="PZ4" i="5"/>
  <c r="RD4" i="5"/>
  <c r="AW4" i="5"/>
  <c r="CA4" i="5"/>
  <c r="DE4" i="5"/>
  <c r="EL13" i="5"/>
  <c r="FP13" i="5"/>
  <c r="GT13" i="5"/>
  <c r="HX13" i="5"/>
  <c r="JB13" i="5"/>
  <c r="KF13" i="5"/>
  <c r="LJ13" i="5"/>
  <c r="MN13" i="5"/>
  <c r="OV13" i="5"/>
  <c r="PZ13" i="5"/>
  <c r="RD13" i="5"/>
  <c r="AW13" i="5"/>
  <c r="CA13" i="5"/>
  <c r="DE13" i="5"/>
  <c r="EL9" i="5"/>
  <c r="FP9" i="5"/>
  <c r="GT9" i="5"/>
  <c r="HX9" i="5"/>
  <c r="JB9" i="5"/>
  <c r="KF9" i="5"/>
  <c r="LJ9" i="5"/>
  <c r="MN9" i="5"/>
  <c r="OV9" i="5"/>
  <c r="PZ9" i="5"/>
  <c r="RD9" i="5"/>
  <c r="AW9" i="5"/>
  <c r="CA9" i="5"/>
  <c r="CB9" i="5" s="1"/>
  <c r="DE9" i="5"/>
  <c r="EL6" i="5"/>
  <c r="FP6" i="5"/>
  <c r="GT6" i="5"/>
  <c r="HX6" i="5"/>
  <c r="JB6" i="5"/>
  <c r="KF6" i="5"/>
  <c r="LJ6" i="5"/>
  <c r="MN6" i="5"/>
  <c r="OV6" i="5"/>
  <c r="PZ6" i="5"/>
  <c r="RD6" i="5"/>
  <c r="AW6" i="5"/>
  <c r="CA6" i="5"/>
  <c r="DE6" i="5"/>
  <c r="EL12" i="5"/>
  <c r="FP12" i="5"/>
  <c r="GT12" i="5"/>
  <c r="HX12" i="5"/>
  <c r="JB12" i="5"/>
  <c r="KF12" i="5"/>
  <c r="LJ12" i="5"/>
  <c r="MN12" i="5"/>
  <c r="OV12" i="5"/>
  <c r="PZ12" i="5"/>
  <c r="RD12" i="5"/>
  <c r="AW12" i="5"/>
  <c r="CA12" i="5"/>
  <c r="DE12" i="5"/>
  <c r="EL7" i="5"/>
  <c r="FP7" i="5"/>
  <c r="GT7" i="5"/>
  <c r="HX7" i="5"/>
  <c r="JB7" i="5"/>
  <c r="KF7" i="5"/>
  <c r="LJ7" i="5"/>
  <c r="MN7" i="5"/>
  <c r="OV7" i="5"/>
  <c r="PZ7" i="5"/>
  <c r="RD7" i="5"/>
  <c r="AW7" i="5"/>
  <c r="AX7" i="5" s="1"/>
  <c r="CA7" i="5"/>
  <c r="DE7" i="5"/>
  <c r="DF7" i="5" s="1"/>
  <c r="EL14" i="5"/>
  <c r="FP14" i="5"/>
  <c r="GT14" i="5"/>
  <c r="HX14" i="5"/>
  <c r="JB14" i="5"/>
  <c r="KF14" i="5"/>
  <c r="LJ14" i="5"/>
  <c r="MN14" i="5"/>
  <c r="OV14" i="5"/>
  <c r="PZ14" i="5"/>
  <c r="RD14" i="5"/>
  <c r="AW14" i="5"/>
  <c r="AX14" i="5" s="1"/>
  <c r="CA14" i="5"/>
  <c r="DE14" i="5"/>
  <c r="EL15" i="5"/>
  <c r="FP15" i="5"/>
  <c r="GT15" i="5"/>
  <c r="HX15" i="5"/>
  <c r="JB15" i="5"/>
  <c r="KF15" i="5"/>
  <c r="LJ15" i="5"/>
  <c r="MN15" i="5"/>
  <c r="OV15" i="5"/>
  <c r="PZ15" i="5"/>
  <c r="RD15" i="5"/>
  <c r="AW15" i="5"/>
  <c r="CA15" i="5"/>
  <c r="DE15" i="5"/>
  <c r="DF15" i="5" s="1"/>
  <c r="EL11" i="5"/>
  <c r="FP11" i="5"/>
  <c r="GT11" i="5"/>
  <c r="HX11" i="5"/>
  <c r="JB11" i="5"/>
  <c r="KF11" i="5"/>
  <c r="LJ11" i="5"/>
  <c r="MN11" i="5"/>
  <c r="OV11" i="5"/>
  <c r="PZ11" i="5"/>
  <c r="RD11" i="5"/>
  <c r="AW11" i="5"/>
  <c r="CA11" i="5"/>
  <c r="DE11" i="5"/>
  <c r="EJ4" i="5"/>
  <c r="FN4" i="5"/>
  <c r="GR4" i="5"/>
  <c r="HV4" i="5"/>
  <c r="IZ4" i="5"/>
  <c r="KD4" i="5"/>
  <c r="LH4" i="5"/>
  <c r="ML4" i="5"/>
  <c r="NP4" i="5"/>
  <c r="OT4" i="5"/>
  <c r="PX4" i="5"/>
  <c r="RB4" i="5"/>
  <c r="BY4" i="5"/>
  <c r="DC4" i="5"/>
  <c r="EJ13" i="5"/>
  <c r="FN13" i="5"/>
  <c r="GR13" i="5"/>
  <c r="HV13" i="5"/>
  <c r="IZ13" i="5"/>
  <c r="KD13" i="5"/>
  <c r="LH13" i="5"/>
  <c r="ML13" i="5"/>
  <c r="NP13" i="5"/>
  <c r="OT13" i="5"/>
  <c r="PX13" i="5"/>
  <c r="RB13" i="5"/>
  <c r="BY13" i="5"/>
  <c r="DC13" i="5"/>
  <c r="EJ9" i="5"/>
  <c r="FN9" i="5"/>
  <c r="GR9" i="5"/>
  <c r="HV9" i="5"/>
  <c r="IZ9" i="5"/>
  <c r="KD9" i="5"/>
  <c r="LH9" i="5"/>
  <c r="ML9" i="5"/>
  <c r="NP9" i="5"/>
  <c r="OT9" i="5"/>
  <c r="PX9" i="5"/>
  <c r="RB9" i="5"/>
  <c r="AU9" i="5"/>
  <c r="BY9" i="5"/>
  <c r="EJ6" i="5"/>
  <c r="FN6" i="5"/>
  <c r="GR6" i="5"/>
  <c r="HV6" i="5"/>
  <c r="IZ6" i="5"/>
  <c r="KD6" i="5"/>
  <c r="LH6" i="5"/>
  <c r="ML6" i="5"/>
  <c r="NP6" i="5"/>
  <c r="OT6" i="5"/>
  <c r="PX6" i="5"/>
  <c r="RB6" i="5"/>
  <c r="AU6" i="5"/>
  <c r="BY6" i="5"/>
  <c r="EJ12" i="5"/>
  <c r="FN12" i="5"/>
  <c r="GR12" i="5"/>
  <c r="HV12" i="5"/>
  <c r="IZ12" i="5"/>
  <c r="KD12" i="5"/>
  <c r="LH12" i="5"/>
  <c r="ML12" i="5"/>
  <c r="NP12" i="5"/>
  <c r="OT12" i="5"/>
  <c r="PX12" i="5"/>
  <c r="RB12" i="5"/>
  <c r="AU12" i="5"/>
  <c r="DC12" i="5"/>
  <c r="EJ7" i="5"/>
  <c r="FN7" i="5"/>
  <c r="GR7" i="5"/>
  <c r="HV7" i="5"/>
  <c r="IZ7" i="5"/>
  <c r="KD7" i="5"/>
  <c r="LH7" i="5"/>
  <c r="ML7" i="5"/>
  <c r="NP7" i="5"/>
  <c r="OT7" i="5"/>
  <c r="PX7" i="5"/>
  <c r="RB7" i="5"/>
  <c r="AU7" i="5"/>
  <c r="BY7" i="5"/>
  <c r="EJ14" i="5"/>
  <c r="FN14" i="5"/>
  <c r="GR14" i="5"/>
  <c r="HV14" i="5"/>
  <c r="IZ14" i="5"/>
  <c r="KD14" i="5"/>
  <c r="LH14" i="5"/>
  <c r="ML14" i="5"/>
  <c r="NP14" i="5"/>
  <c r="OT14" i="5"/>
  <c r="PX14" i="5"/>
  <c r="RB14" i="5"/>
  <c r="AU14" i="5"/>
  <c r="DC14" i="5"/>
  <c r="EJ15" i="5"/>
  <c r="FN15" i="5"/>
  <c r="GR15" i="5"/>
  <c r="HV15" i="5"/>
  <c r="IZ15" i="5"/>
  <c r="KD15" i="5"/>
  <c r="LH15" i="5"/>
  <c r="ML15" i="5"/>
  <c r="NP15" i="5"/>
  <c r="OT15" i="5"/>
  <c r="PX15" i="5"/>
  <c r="RB15" i="5"/>
  <c r="AU15" i="5"/>
  <c r="DC15" i="5"/>
  <c r="EJ11" i="5"/>
  <c r="FN11" i="5"/>
  <c r="GR11" i="5"/>
  <c r="HV11" i="5"/>
  <c r="IZ11" i="5"/>
  <c r="KD11" i="5"/>
  <c r="LH11" i="5"/>
  <c r="ML11" i="5"/>
  <c r="NP11" i="5"/>
  <c r="OT11" i="5"/>
  <c r="PX11" i="5"/>
  <c r="RB11" i="5"/>
  <c r="BY11" i="5"/>
  <c r="DC11" i="5"/>
  <c r="EI4" i="5"/>
  <c r="FM4" i="5"/>
  <c r="GQ4" i="5"/>
  <c r="HU4" i="5"/>
  <c r="IY4" i="5"/>
  <c r="KC4" i="5"/>
  <c r="LG4" i="5"/>
  <c r="MK4" i="5"/>
  <c r="NO4" i="5"/>
  <c r="OS4" i="5"/>
  <c r="PW4" i="5"/>
  <c r="RA4" i="5"/>
  <c r="BX4" i="5"/>
  <c r="DB4" i="5"/>
  <c r="EI13" i="5"/>
  <c r="FM13" i="5"/>
  <c r="GQ13" i="5"/>
  <c r="HU13" i="5"/>
  <c r="IY13" i="5"/>
  <c r="KC13" i="5"/>
  <c r="LG13" i="5"/>
  <c r="MK13" i="5"/>
  <c r="NO13" i="5"/>
  <c r="OS13" i="5"/>
  <c r="PW13" i="5"/>
  <c r="RA13" i="5"/>
  <c r="BX13" i="5"/>
  <c r="DB13" i="5"/>
  <c r="EI9" i="5"/>
  <c r="FM9" i="5"/>
  <c r="GQ9" i="5"/>
  <c r="HU9" i="5"/>
  <c r="IY9" i="5"/>
  <c r="KC9" i="5"/>
  <c r="LG9" i="5"/>
  <c r="MK9" i="5"/>
  <c r="NO9" i="5"/>
  <c r="OS9" i="5"/>
  <c r="PW9" i="5"/>
  <c r="RA9" i="5"/>
  <c r="AT9" i="5"/>
  <c r="BX9" i="5"/>
  <c r="EI6" i="5"/>
  <c r="FM6" i="5"/>
  <c r="GQ6" i="5"/>
  <c r="HU6" i="5"/>
  <c r="IY6" i="5"/>
  <c r="KC6" i="5"/>
  <c r="LG6" i="5"/>
  <c r="MK6" i="5"/>
  <c r="NO6" i="5"/>
  <c r="OS6" i="5"/>
  <c r="PW6" i="5"/>
  <c r="RA6" i="5"/>
  <c r="AT6" i="5"/>
  <c r="BX6" i="5"/>
  <c r="EI12" i="5"/>
  <c r="FM12" i="5"/>
  <c r="GQ12" i="5"/>
  <c r="HU12" i="5"/>
  <c r="IY12" i="5"/>
  <c r="KC12" i="5"/>
  <c r="LG12" i="5"/>
  <c r="MK12" i="5"/>
  <c r="NO12" i="5"/>
  <c r="OS12" i="5"/>
  <c r="PW12" i="5"/>
  <c r="RA12" i="5"/>
  <c r="AT12" i="5"/>
  <c r="DB12" i="5"/>
  <c r="EI7" i="5"/>
  <c r="FM7" i="5"/>
  <c r="GQ7" i="5"/>
  <c r="HU7" i="5"/>
  <c r="IY7" i="5"/>
  <c r="KC7" i="5"/>
  <c r="LG7" i="5"/>
  <c r="MK7" i="5"/>
  <c r="NO7" i="5"/>
  <c r="OS7" i="5"/>
  <c r="PW7" i="5"/>
  <c r="RA7" i="5"/>
  <c r="AT7" i="5"/>
  <c r="BX7" i="5"/>
  <c r="EI14" i="5"/>
  <c r="FM14" i="5"/>
  <c r="GQ14" i="5"/>
  <c r="HU14" i="5"/>
  <c r="IY14" i="5"/>
  <c r="KC14" i="5"/>
  <c r="LG14" i="5"/>
  <c r="MK14" i="5"/>
  <c r="NO14" i="5"/>
  <c r="OS14" i="5"/>
  <c r="PW14" i="5"/>
  <c r="RA14" i="5"/>
  <c r="AT14" i="5"/>
  <c r="DB14" i="5"/>
  <c r="EI15" i="5"/>
  <c r="FM15" i="5"/>
  <c r="GQ15" i="5"/>
  <c r="HU15" i="5"/>
  <c r="IY15" i="5"/>
  <c r="KC15" i="5"/>
  <c r="LG15" i="5"/>
  <c r="MK15" i="5"/>
  <c r="NO15" i="5"/>
  <c r="OS15" i="5"/>
  <c r="PW15" i="5"/>
  <c r="RA15" i="5"/>
  <c r="AT15" i="5"/>
  <c r="DB15" i="5"/>
  <c r="EI11" i="5"/>
  <c r="FM11" i="5"/>
  <c r="GQ11" i="5"/>
  <c r="HU11" i="5"/>
  <c r="IY11" i="5"/>
  <c r="KC11" i="5"/>
  <c r="LG11" i="5"/>
  <c r="MK11" i="5"/>
  <c r="NO11" i="5"/>
  <c r="OS11" i="5"/>
  <c r="PW11" i="5"/>
  <c r="RA11" i="5"/>
  <c r="BX11" i="5"/>
  <c r="DB11" i="5"/>
  <c r="LU19" i="4"/>
  <c r="FI4" i="10"/>
  <c r="FI5" i="10"/>
  <c r="FI6" i="10"/>
  <c r="LU10" i="9"/>
  <c r="JJ10" i="9"/>
  <c r="IO10" i="9"/>
  <c r="HT10" i="9"/>
  <c r="GY10" i="9"/>
  <c r="GD10" i="9"/>
  <c r="FI10" i="9"/>
  <c r="EN10" i="9"/>
  <c r="DS10" i="9"/>
  <c r="CX10" i="9"/>
  <c r="RC7" i="5"/>
  <c r="QZ7" i="5"/>
  <c r="PY7" i="5"/>
  <c r="PV7" i="5"/>
  <c r="OU7" i="5"/>
  <c r="OR7" i="5"/>
  <c r="NQ7" i="5"/>
  <c r="NR7" i="5"/>
  <c r="NN7" i="5"/>
  <c r="MM7" i="5"/>
  <c r="MJ7" i="5"/>
  <c r="LI7" i="5"/>
  <c r="LF7" i="5"/>
  <c r="KE7" i="5"/>
  <c r="KB7" i="5"/>
  <c r="JA7" i="5"/>
  <c r="IX7" i="5"/>
  <c r="HW7" i="5"/>
  <c r="HT7" i="5"/>
  <c r="GS7" i="5"/>
  <c r="GU7" i="5" s="1"/>
  <c r="GP7" i="5"/>
  <c r="LU6" i="10"/>
  <c r="KZ6" i="10"/>
  <c r="KE6" i="10"/>
  <c r="JJ6" i="10"/>
  <c r="IO6" i="10"/>
  <c r="HT6" i="10"/>
  <c r="GY6" i="10"/>
  <c r="GD6" i="10"/>
  <c r="EN6" i="10"/>
  <c r="DS6" i="10"/>
  <c r="CX6" i="10"/>
  <c r="LI9" i="5"/>
  <c r="LI14" i="5"/>
  <c r="PY5" i="6"/>
  <c r="GY8" i="4"/>
  <c r="HT8" i="4"/>
  <c r="IO8" i="4"/>
  <c r="JJ8" i="4"/>
  <c r="KE8" i="4"/>
  <c r="KZ8" i="4"/>
  <c r="LU8" i="4"/>
  <c r="GY6" i="4"/>
  <c r="HT6" i="4"/>
  <c r="IO6" i="4"/>
  <c r="JJ6" i="4"/>
  <c r="KE6" i="4"/>
  <c r="KZ6" i="4"/>
  <c r="LU6" i="4"/>
  <c r="GY7" i="4"/>
  <c r="HT7" i="4"/>
  <c r="IO7" i="4"/>
  <c r="JJ7" i="4"/>
  <c r="KZ7" i="4"/>
  <c r="LU7" i="4"/>
  <c r="GY9" i="4"/>
  <c r="HT9" i="4"/>
  <c r="IO9" i="4"/>
  <c r="JJ9" i="4"/>
  <c r="KE9" i="4"/>
  <c r="GY10" i="4"/>
  <c r="HT10" i="4"/>
  <c r="IO10" i="4"/>
  <c r="JJ10" i="4"/>
  <c r="KE10" i="4"/>
  <c r="KZ10" i="4"/>
  <c r="LU10" i="4"/>
  <c r="GY19" i="4"/>
  <c r="HT19" i="4"/>
  <c r="IO19" i="4"/>
  <c r="JJ19" i="4"/>
  <c r="KE19" i="4"/>
  <c r="GY5" i="4"/>
  <c r="HT5" i="4"/>
  <c r="IO5" i="4"/>
  <c r="KE5" i="4"/>
  <c r="KZ5" i="4"/>
  <c r="LU5" i="4"/>
  <c r="GY11" i="4"/>
  <c r="HT11" i="4"/>
  <c r="IO11" i="4"/>
  <c r="JJ11" i="4"/>
  <c r="KE11" i="4"/>
  <c r="KZ11" i="4"/>
  <c r="LU11" i="4"/>
  <c r="GY20" i="4"/>
  <c r="HT20" i="4"/>
  <c r="IO20" i="4"/>
  <c r="JJ20" i="4"/>
  <c r="KE20" i="4"/>
  <c r="KZ20" i="4"/>
  <c r="LU20" i="4"/>
  <c r="GY13" i="4"/>
  <c r="HT13" i="4"/>
  <c r="IO13" i="4"/>
  <c r="JJ13" i="4"/>
  <c r="KE13" i="4"/>
  <c r="KZ13" i="4"/>
  <c r="LU13" i="4"/>
  <c r="GY22" i="4"/>
  <c r="HT22" i="4"/>
  <c r="IO22" i="4"/>
  <c r="JJ22" i="4"/>
  <c r="KE22" i="4"/>
  <c r="KZ22" i="4"/>
  <c r="LU22" i="4"/>
  <c r="GY24" i="4"/>
  <c r="HT24" i="4"/>
  <c r="IO24" i="4"/>
  <c r="JJ24" i="4"/>
  <c r="KE24" i="4"/>
  <c r="KZ24" i="4"/>
  <c r="LU24" i="4"/>
  <c r="GY21" i="4"/>
  <c r="HT21" i="4"/>
  <c r="IO21" i="4"/>
  <c r="JJ21" i="4"/>
  <c r="KE21" i="4"/>
  <c r="KZ21" i="4"/>
  <c r="LU21" i="4"/>
  <c r="GY23" i="4"/>
  <c r="HT23" i="4"/>
  <c r="IO23" i="4"/>
  <c r="JJ23" i="4"/>
  <c r="KE23" i="4"/>
  <c r="KZ23" i="4"/>
  <c r="LU23" i="4"/>
  <c r="GY14" i="4"/>
  <c r="HT14" i="4"/>
  <c r="IO14" i="4"/>
  <c r="JJ14" i="4"/>
  <c r="KE14" i="4"/>
  <c r="KZ14" i="4"/>
  <c r="LU14" i="4"/>
  <c r="LU4" i="4"/>
  <c r="KZ4" i="4"/>
  <c r="KE4" i="4"/>
  <c r="JJ4" i="4"/>
  <c r="IO4" i="4"/>
  <c r="HT4" i="4"/>
  <c r="GY4" i="4"/>
  <c r="DB7" i="5"/>
  <c r="DC7" i="5"/>
  <c r="DB9" i="5"/>
  <c r="DC9" i="5"/>
  <c r="BY12" i="5"/>
  <c r="BY15" i="5"/>
  <c r="BX14" i="5"/>
  <c r="BY14" i="5"/>
  <c r="DB6" i="5"/>
  <c r="DC6" i="5"/>
  <c r="RC16" i="5"/>
  <c r="RD16" i="5"/>
  <c r="RB16" i="5"/>
  <c r="RA16" i="5"/>
  <c r="QZ16" i="5"/>
  <c r="PY16" i="5"/>
  <c r="PZ16" i="5"/>
  <c r="PX16" i="5"/>
  <c r="PW16" i="5"/>
  <c r="PV16" i="5"/>
  <c r="RC15" i="5"/>
  <c r="QZ15" i="5"/>
  <c r="PY15" i="5"/>
  <c r="QA15" i="5" s="1"/>
  <c r="PV15" i="5"/>
  <c r="RC14" i="5"/>
  <c r="QZ14" i="5"/>
  <c r="PY14" i="5"/>
  <c r="PV14" i="5"/>
  <c r="RC12" i="5"/>
  <c r="QZ12" i="5"/>
  <c r="PY12" i="5"/>
  <c r="PV12" i="5"/>
  <c r="RC9" i="5"/>
  <c r="QZ9" i="5"/>
  <c r="PY9" i="5"/>
  <c r="PV9" i="5"/>
  <c r="RC6" i="5"/>
  <c r="QZ6" i="5"/>
  <c r="PY6" i="5"/>
  <c r="PV6" i="5"/>
  <c r="RC13" i="5"/>
  <c r="QZ13" i="5"/>
  <c r="PY13" i="5"/>
  <c r="PV13" i="5"/>
  <c r="RC4" i="5"/>
  <c r="QZ4" i="5"/>
  <c r="PY4" i="5"/>
  <c r="PV4" i="5"/>
  <c r="RC11" i="5"/>
  <c r="QZ11" i="5"/>
  <c r="PY11" i="5"/>
  <c r="PV11" i="5"/>
  <c r="OU16" i="5"/>
  <c r="OV16" i="5"/>
  <c r="OT16" i="5"/>
  <c r="OS16" i="5"/>
  <c r="OR16" i="5"/>
  <c r="NQ16" i="5"/>
  <c r="NR16" i="5"/>
  <c r="NP16" i="5"/>
  <c r="NO16" i="5"/>
  <c r="NN16" i="5"/>
  <c r="OU15" i="5"/>
  <c r="OR15" i="5"/>
  <c r="NQ15" i="5"/>
  <c r="NR15" i="5"/>
  <c r="NN15" i="5"/>
  <c r="OU14" i="5"/>
  <c r="OW14" i="5" s="1"/>
  <c r="OR14" i="5"/>
  <c r="NQ14" i="5"/>
  <c r="NR14" i="5"/>
  <c r="NN14" i="5"/>
  <c r="OU12" i="5"/>
  <c r="OR12" i="5"/>
  <c r="NQ12" i="5"/>
  <c r="NR12" i="5"/>
  <c r="NN12" i="5"/>
  <c r="OU9" i="5"/>
  <c r="OR9" i="5"/>
  <c r="NR9" i="5"/>
  <c r="OU6" i="5"/>
  <c r="OR6" i="5"/>
  <c r="NR6" i="5"/>
  <c r="NN6" i="5"/>
  <c r="OU13" i="5"/>
  <c r="OR13" i="5"/>
  <c r="NR13" i="5"/>
  <c r="OU4" i="5"/>
  <c r="OR4" i="5"/>
  <c r="NQ4" i="5"/>
  <c r="NR4" i="5"/>
  <c r="NN4" i="5"/>
  <c r="OU11" i="5"/>
  <c r="OR11" i="5"/>
  <c r="NQ11" i="5"/>
  <c r="NR11" i="5"/>
  <c r="NN11" i="5"/>
  <c r="MM16" i="5"/>
  <c r="MN16" i="5"/>
  <c r="ML16" i="5"/>
  <c r="MK16" i="5"/>
  <c r="MJ16" i="5"/>
  <c r="LI16" i="5"/>
  <c r="LJ16" i="5"/>
  <c r="LH16" i="5"/>
  <c r="LG16" i="5"/>
  <c r="LF16" i="5"/>
  <c r="MM15" i="5"/>
  <c r="MO15" i="5" s="1"/>
  <c r="MJ15" i="5"/>
  <c r="LI15" i="5"/>
  <c r="LF15" i="5"/>
  <c r="MM14" i="5"/>
  <c r="MJ14" i="5"/>
  <c r="LF14" i="5"/>
  <c r="MM12" i="5"/>
  <c r="MJ12" i="5"/>
  <c r="LI12" i="5"/>
  <c r="LF12" i="5"/>
  <c r="MM9" i="5"/>
  <c r="MJ9" i="5"/>
  <c r="LF9" i="5"/>
  <c r="MM6" i="5"/>
  <c r="MJ6" i="5"/>
  <c r="LI6" i="5"/>
  <c r="LF6" i="5"/>
  <c r="MM13" i="5"/>
  <c r="MJ13" i="5"/>
  <c r="LI13" i="5"/>
  <c r="LF13" i="5"/>
  <c r="MM4" i="5"/>
  <c r="MJ4" i="5"/>
  <c r="LI4" i="5"/>
  <c r="LF4" i="5"/>
  <c r="MM11" i="5"/>
  <c r="MJ11" i="5"/>
  <c r="LI11" i="5"/>
  <c r="LF11" i="5"/>
  <c r="KE4" i="5"/>
  <c r="KE13" i="5"/>
  <c r="KE6" i="5"/>
  <c r="KE9" i="5"/>
  <c r="KE12" i="5"/>
  <c r="KE14" i="5"/>
  <c r="KG14" i="5" s="1"/>
  <c r="KE15" i="5"/>
  <c r="KE16" i="5"/>
  <c r="KE11" i="5"/>
  <c r="JA4" i="5"/>
  <c r="JA13" i="5"/>
  <c r="JA6" i="5"/>
  <c r="JA9" i="5"/>
  <c r="JA12" i="5"/>
  <c r="JA14" i="5"/>
  <c r="JA15" i="5"/>
  <c r="JA16" i="5"/>
  <c r="JA11" i="5"/>
  <c r="HW4" i="5"/>
  <c r="HW13" i="5"/>
  <c r="HW6" i="5"/>
  <c r="HW9" i="5"/>
  <c r="HW12" i="5"/>
  <c r="HY12" i="5" s="1"/>
  <c r="HW14" i="5"/>
  <c r="HW15" i="5"/>
  <c r="HW16" i="5"/>
  <c r="HW11" i="5"/>
  <c r="GS12" i="5"/>
  <c r="GS15" i="5"/>
  <c r="GS11" i="5"/>
  <c r="GS14" i="5"/>
  <c r="GS4" i="5"/>
  <c r="GU4" i="5" s="1"/>
  <c r="GS13" i="5"/>
  <c r="GS6" i="5"/>
  <c r="GU6" i="5" s="1"/>
  <c r="GS9" i="5"/>
  <c r="FO4" i="5"/>
  <c r="FO13" i="5"/>
  <c r="FO14" i="5"/>
  <c r="FO15" i="5"/>
  <c r="FO12" i="5"/>
  <c r="FO7" i="5"/>
  <c r="FO6" i="5"/>
  <c r="FO9" i="5"/>
  <c r="FO11" i="5"/>
  <c r="EK4" i="5"/>
  <c r="EK13" i="5"/>
  <c r="EK14" i="5"/>
  <c r="EK15" i="5"/>
  <c r="EK12" i="5"/>
  <c r="EM12" i="5" s="1"/>
  <c r="EK7" i="5"/>
  <c r="EK6" i="5"/>
  <c r="EK9" i="5"/>
  <c r="EK11" i="5"/>
  <c r="RC8" i="6"/>
  <c r="QZ8" i="6"/>
  <c r="PY8" i="6"/>
  <c r="PV8" i="6"/>
  <c r="RC7" i="6"/>
  <c r="QZ7" i="6"/>
  <c r="PY7" i="6"/>
  <c r="PV7" i="6"/>
  <c r="RC6" i="6"/>
  <c r="QZ6" i="6"/>
  <c r="PY6" i="6"/>
  <c r="PV6" i="6"/>
  <c r="RC13" i="6"/>
  <c r="QZ13" i="6"/>
  <c r="PY13" i="6"/>
  <c r="PV13" i="6"/>
  <c r="RC12" i="6"/>
  <c r="QZ12" i="6"/>
  <c r="PY12" i="6"/>
  <c r="PV12" i="6"/>
  <c r="RC9" i="6"/>
  <c r="QZ9" i="6"/>
  <c r="PY9" i="6"/>
  <c r="PV9" i="6"/>
  <c r="RC5" i="6"/>
  <c r="QZ5" i="6"/>
  <c r="PV5" i="6"/>
  <c r="RC4" i="6"/>
  <c r="QZ4" i="6"/>
  <c r="PY4" i="6"/>
  <c r="PV4" i="6"/>
  <c r="OR8" i="6"/>
  <c r="NQ8" i="6"/>
  <c r="NR8" i="6"/>
  <c r="NN8" i="6"/>
  <c r="OU7" i="6"/>
  <c r="OR7" i="6"/>
  <c r="NQ7" i="6"/>
  <c r="NR7" i="6"/>
  <c r="NN7" i="6"/>
  <c r="OR6" i="6"/>
  <c r="NQ6" i="6"/>
  <c r="NR6" i="6"/>
  <c r="NN6" i="6"/>
  <c r="OU13" i="6"/>
  <c r="OR13" i="6"/>
  <c r="NQ13" i="6"/>
  <c r="NR13" i="6"/>
  <c r="NN13" i="6"/>
  <c r="OU12" i="6"/>
  <c r="OR12" i="6"/>
  <c r="NQ12" i="6"/>
  <c r="NR12" i="6"/>
  <c r="NN12" i="6"/>
  <c r="OR9" i="6"/>
  <c r="NQ9" i="6"/>
  <c r="NR9" i="6"/>
  <c r="NN9" i="6"/>
  <c r="NQ5" i="6"/>
  <c r="NR5" i="6"/>
  <c r="NN5" i="6"/>
  <c r="OU4" i="6"/>
  <c r="OR4" i="6"/>
  <c r="NQ4" i="6"/>
  <c r="NR4" i="6"/>
  <c r="NN4" i="6"/>
  <c r="MM8" i="6"/>
  <c r="MJ8" i="6"/>
  <c r="LI8" i="6"/>
  <c r="LF8" i="6"/>
  <c r="MM7" i="6"/>
  <c r="MJ7" i="6"/>
  <c r="LI7" i="6"/>
  <c r="LF7" i="6"/>
  <c r="MM6" i="6"/>
  <c r="MJ6" i="6"/>
  <c r="LI6" i="6"/>
  <c r="LF6" i="6"/>
  <c r="MM13" i="6"/>
  <c r="MJ13" i="6"/>
  <c r="LI13" i="6"/>
  <c r="LF13" i="6"/>
  <c r="MM12" i="6"/>
  <c r="MJ12" i="6"/>
  <c r="LI12" i="6"/>
  <c r="LF12" i="6"/>
  <c r="MM9" i="6"/>
  <c r="MJ9" i="6"/>
  <c r="LI9" i="6"/>
  <c r="LF9" i="6"/>
  <c r="MM5" i="6"/>
  <c r="MJ5" i="6"/>
  <c r="LI5" i="6"/>
  <c r="LF5" i="6"/>
  <c r="MM4" i="6"/>
  <c r="MJ4" i="6"/>
  <c r="LI4" i="6"/>
  <c r="LF4" i="6"/>
  <c r="KE5" i="6"/>
  <c r="KE9" i="6"/>
  <c r="KE12" i="6"/>
  <c r="KE13" i="6"/>
  <c r="KE6" i="6"/>
  <c r="KE7" i="6"/>
  <c r="KE8" i="6"/>
  <c r="KE4" i="6"/>
  <c r="JA5" i="6"/>
  <c r="JA9" i="6"/>
  <c r="JA12" i="6"/>
  <c r="JA13" i="6"/>
  <c r="JA6" i="6"/>
  <c r="JA7" i="6"/>
  <c r="JA8" i="6"/>
  <c r="JA4" i="6"/>
  <c r="HW5" i="6"/>
  <c r="HW9" i="6"/>
  <c r="HW12" i="6"/>
  <c r="HY12" i="6" s="1"/>
  <c r="HW13" i="6"/>
  <c r="HW6" i="6"/>
  <c r="HW7" i="6"/>
  <c r="HW8" i="6"/>
  <c r="HW4" i="6"/>
  <c r="GS5" i="6"/>
  <c r="GS9" i="6"/>
  <c r="GS12" i="6"/>
  <c r="GS13" i="6"/>
  <c r="GS6" i="6"/>
  <c r="GS7" i="6"/>
  <c r="GS8" i="6"/>
  <c r="GS4" i="6"/>
  <c r="FO5" i="6"/>
  <c r="FO9" i="6"/>
  <c r="FO12" i="6"/>
  <c r="FO13" i="6"/>
  <c r="FO6" i="6"/>
  <c r="FO7" i="6"/>
  <c r="FO8" i="6"/>
  <c r="FO4" i="6"/>
  <c r="EK5" i="6"/>
  <c r="EK9" i="6"/>
  <c r="EK12" i="6"/>
  <c r="EK13" i="6"/>
  <c r="EK6" i="6"/>
  <c r="EK7" i="6"/>
  <c r="EK8" i="6"/>
  <c r="EK4" i="6"/>
  <c r="MY8" i="8"/>
  <c r="MX8" i="8"/>
  <c r="MB8" i="8"/>
  <c r="MA8" i="8"/>
  <c r="MY5" i="8"/>
  <c r="MX5" i="8"/>
  <c r="MB5" i="8"/>
  <c r="MA5" i="8"/>
  <c r="MY6" i="8"/>
  <c r="MX6" i="8"/>
  <c r="MY7" i="8"/>
  <c r="MX7" i="8"/>
  <c r="MB7" i="8"/>
  <c r="MA7" i="8"/>
  <c r="LE8" i="8"/>
  <c r="LD8" i="8"/>
  <c r="KH8" i="8"/>
  <c r="KG8" i="8"/>
  <c r="LE5" i="8"/>
  <c r="LD5" i="8"/>
  <c r="KH5" i="8"/>
  <c r="KG5" i="8"/>
  <c r="LE6" i="8"/>
  <c r="LD6" i="8"/>
  <c r="KH6" i="8"/>
  <c r="KG6" i="8"/>
  <c r="LE7" i="8"/>
  <c r="LD7" i="8"/>
  <c r="KH7" i="8"/>
  <c r="KG7" i="8"/>
  <c r="JK8" i="8"/>
  <c r="JJ8" i="8"/>
  <c r="IN8" i="8"/>
  <c r="IM8" i="8"/>
  <c r="JK5" i="8"/>
  <c r="JJ5" i="8"/>
  <c r="IN5" i="8"/>
  <c r="IM5" i="8"/>
  <c r="JK6" i="8"/>
  <c r="JJ6" i="8"/>
  <c r="IN6" i="8"/>
  <c r="IM6" i="8"/>
  <c r="JK7" i="8"/>
  <c r="JJ7" i="8"/>
  <c r="IN7" i="8"/>
  <c r="IM7" i="8"/>
  <c r="HQ8" i="8"/>
  <c r="HP8" i="8"/>
  <c r="GT8" i="8"/>
  <c r="GS8" i="8"/>
  <c r="HQ5" i="8"/>
  <c r="HP5" i="8"/>
  <c r="GT5" i="8"/>
  <c r="GS5" i="8"/>
  <c r="HQ6" i="8"/>
  <c r="HP6" i="8"/>
  <c r="GT6" i="8"/>
  <c r="GS6" i="8"/>
  <c r="HQ7" i="8"/>
  <c r="HP7" i="8"/>
  <c r="GT7" i="8"/>
  <c r="GS7" i="8"/>
  <c r="EY7" i="7"/>
  <c r="EZ7" i="7"/>
  <c r="FV7" i="7"/>
  <c r="FW7" i="7"/>
  <c r="GS7" i="7"/>
  <c r="GT7" i="7"/>
  <c r="HP7" i="7"/>
  <c r="HQ7" i="7"/>
  <c r="IM7" i="7"/>
  <c r="IN7" i="7"/>
  <c r="JJ7" i="7"/>
  <c r="JK7" i="7"/>
  <c r="KG7" i="7"/>
  <c r="KH7" i="7"/>
  <c r="LE7" i="7"/>
  <c r="MA7" i="7"/>
  <c r="MB7" i="7"/>
  <c r="MX7" i="7"/>
  <c r="MY7" i="7"/>
  <c r="EY9" i="7"/>
  <c r="EZ9" i="7"/>
  <c r="FV9" i="7"/>
  <c r="FW9" i="7"/>
  <c r="GS9" i="7"/>
  <c r="GT9" i="7"/>
  <c r="HP9" i="7"/>
  <c r="HQ9" i="7"/>
  <c r="IM9" i="7"/>
  <c r="IN9" i="7"/>
  <c r="JJ9" i="7"/>
  <c r="JK9" i="7"/>
  <c r="KG9" i="7"/>
  <c r="KH9" i="7"/>
  <c r="LD9" i="7"/>
  <c r="LE9" i="7"/>
  <c r="MA9" i="7"/>
  <c r="MB9" i="7"/>
  <c r="MX9" i="7"/>
  <c r="MY9" i="7"/>
  <c r="EY10" i="7"/>
  <c r="EZ10" i="7"/>
  <c r="FV10" i="7"/>
  <c r="FW10" i="7"/>
  <c r="GS10" i="7"/>
  <c r="GT10" i="7"/>
  <c r="HP10" i="7"/>
  <c r="HQ10" i="7"/>
  <c r="IM10" i="7"/>
  <c r="IN10" i="7"/>
  <c r="JJ10" i="7"/>
  <c r="JK10" i="7"/>
  <c r="KG10" i="7"/>
  <c r="KH10" i="7"/>
  <c r="LD10" i="7"/>
  <c r="LE10" i="7"/>
  <c r="MA10" i="7"/>
  <c r="MB10" i="7"/>
  <c r="MX10" i="7"/>
  <c r="MY10" i="7"/>
  <c r="MY4" i="7"/>
  <c r="MX4" i="7"/>
  <c r="MB4" i="7"/>
  <c r="MA4" i="7"/>
  <c r="LE4" i="7"/>
  <c r="LD4" i="7"/>
  <c r="KH4" i="7"/>
  <c r="KG4" i="7"/>
  <c r="JK4" i="7"/>
  <c r="JJ4" i="7"/>
  <c r="IN4" i="7"/>
  <c r="IM4" i="7"/>
  <c r="HQ4" i="7"/>
  <c r="HP4" i="7"/>
  <c r="GT4" i="7"/>
  <c r="GS4" i="7"/>
  <c r="DG4" i="7"/>
  <c r="DS7" i="9"/>
  <c r="EN7" i="9"/>
  <c r="FI7" i="9"/>
  <c r="GD7" i="9"/>
  <c r="GY7" i="9"/>
  <c r="HT7" i="9"/>
  <c r="IO7" i="9"/>
  <c r="JJ7" i="9"/>
  <c r="LU7" i="9"/>
  <c r="DS5" i="9"/>
  <c r="EN5" i="9"/>
  <c r="FI5" i="9"/>
  <c r="GD5" i="9"/>
  <c r="GY5" i="9"/>
  <c r="HT5" i="9"/>
  <c r="IO5" i="9"/>
  <c r="JJ5" i="9"/>
  <c r="KE5" i="9"/>
  <c r="KZ5" i="9"/>
  <c r="LU5" i="9"/>
  <c r="DS12" i="9"/>
  <c r="EN12" i="9"/>
  <c r="FI12" i="9"/>
  <c r="GD12" i="9"/>
  <c r="GY12" i="9"/>
  <c r="HT12" i="9"/>
  <c r="IO12" i="9"/>
  <c r="JJ12" i="9"/>
  <c r="KE12" i="9"/>
  <c r="KZ12" i="9"/>
  <c r="LU12" i="9"/>
  <c r="LU4" i="9"/>
  <c r="KZ4" i="9"/>
  <c r="JJ4" i="9"/>
  <c r="IO4" i="9"/>
  <c r="GY4" i="9"/>
  <c r="HT4" i="9"/>
  <c r="GD4" i="9"/>
  <c r="BX15" i="5"/>
  <c r="DB5" i="6"/>
  <c r="DC5" i="6"/>
  <c r="BX12" i="6"/>
  <c r="BY12" i="6"/>
  <c r="DB7" i="6"/>
  <c r="DC7" i="6"/>
  <c r="DB4" i="6"/>
  <c r="DC4" i="6"/>
  <c r="DJ4" i="7"/>
  <c r="HT4" i="5"/>
  <c r="IX4" i="5"/>
  <c r="KB4" i="5"/>
  <c r="HT13" i="5"/>
  <c r="IX13" i="5"/>
  <c r="KB13" i="5"/>
  <c r="HT6" i="5"/>
  <c r="IX6" i="5"/>
  <c r="KB6" i="5"/>
  <c r="HT9" i="5"/>
  <c r="IX9" i="5"/>
  <c r="KB9" i="5"/>
  <c r="HT12" i="5"/>
  <c r="IX12" i="5"/>
  <c r="KB12" i="5"/>
  <c r="HT14" i="5"/>
  <c r="IX14" i="5"/>
  <c r="KB14" i="5"/>
  <c r="HT15" i="5"/>
  <c r="IX15" i="5"/>
  <c r="KB15" i="5"/>
  <c r="HT16" i="5"/>
  <c r="HU16" i="5"/>
  <c r="HV16" i="5"/>
  <c r="HX16" i="5"/>
  <c r="IX16" i="5"/>
  <c r="IY16" i="5"/>
  <c r="IZ16" i="5"/>
  <c r="JB16" i="5"/>
  <c r="KB16" i="5"/>
  <c r="KC16" i="5"/>
  <c r="KD16" i="5"/>
  <c r="KF16" i="5"/>
  <c r="KB11" i="5"/>
  <c r="IX11" i="5"/>
  <c r="HT11" i="5"/>
  <c r="GP12" i="5"/>
  <c r="GP15" i="5"/>
  <c r="GP11" i="5"/>
  <c r="GP14" i="5"/>
  <c r="GP4" i="5"/>
  <c r="GP13" i="5"/>
  <c r="GP6" i="5"/>
  <c r="GP9" i="5"/>
  <c r="FL4" i="5"/>
  <c r="FL13" i="5"/>
  <c r="FL14" i="5"/>
  <c r="FL15" i="5"/>
  <c r="FL12" i="5"/>
  <c r="FL7" i="5"/>
  <c r="FL6" i="5"/>
  <c r="FL9" i="5"/>
  <c r="FL11" i="5"/>
  <c r="EH4" i="5"/>
  <c r="EH13" i="5"/>
  <c r="EH14" i="5"/>
  <c r="EH15" i="5"/>
  <c r="EH12" i="5"/>
  <c r="EH7" i="5"/>
  <c r="EH6" i="5"/>
  <c r="EH9" i="5"/>
  <c r="EH11" i="5"/>
  <c r="HT5" i="6"/>
  <c r="IX5" i="6"/>
  <c r="KB5" i="6"/>
  <c r="HT9" i="6"/>
  <c r="IX9" i="6"/>
  <c r="KB9" i="6"/>
  <c r="HT12" i="6"/>
  <c r="IX12" i="6"/>
  <c r="KB12" i="6"/>
  <c r="HT13" i="6"/>
  <c r="IX13" i="6"/>
  <c r="KB13" i="6"/>
  <c r="HT6" i="6"/>
  <c r="IX6" i="6"/>
  <c r="KB6" i="6"/>
  <c r="HT7" i="6"/>
  <c r="IX7" i="6"/>
  <c r="KB7" i="6"/>
  <c r="HT8" i="6"/>
  <c r="IX8" i="6"/>
  <c r="KB8" i="6"/>
  <c r="KB4" i="6"/>
  <c r="IX4" i="6"/>
  <c r="HT4" i="6"/>
  <c r="GP5" i="6"/>
  <c r="GP9" i="6"/>
  <c r="GP12" i="6"/>
  <c r="GP13" i="6"/>
  <c r="GP6" i="6"/>
  <c r="GP7" i="6"/>
  <c r="GP8" i="6"/>
  <c r="GP4" i="6"/>
  <c r="FL5" i="6"/>
  <c r="FL9" i="6"/>
  <c r="FL12" i="6"/>
  <c r="FL13" i="6"/>
  <c r="FL6" i="6"/>
  <c r="FL7" i="6"/>
  <c r="FL8" i="6"/>
  <c r="FL4" i="6"/>
  <c r="EH5" i="6"/>
  <c r="EH9" i="6"/>
  <c r="EH12" i="6"/>
  <c r="EH13" i="6"/>
  <c r="EH6" i="6"/>
  <c r="EH7" i="6"/>
  <c r="EH8" i="6"/>
  <c r="EH4" i="6"/>
  <c r="EN5" i="10"/>
  <c r="GD5" i="10"/>
  <c r="GY5" i="10"/>
  <c r="HT5" i="10"/>
  <c r="IO5" i="10"/>
  <c r="JJ5" i="10"/>
  <c r="KE5" i="10"/>
  <c r="KZ5" i="10"/>
  <c r="LU5" i="10"/>
  <c r="DS5" i="10"/>
  <c r="LU4" i="10"/>
  <c r="KZ4" i="10"/>
  <c r="KE4" i="10"/>
  <c r="JJ4" i="10"/>
  <c r="IO4" i="10"/>
  <c r="HT4" i="10"/>
  <c r="GY4" i="10"/>
  <c r="GD4" i="10"/>
  <c r="EN4" i="10"/>
  <c r="CX4" i="10"/>
  <c r="DS4" i="10"/>
  <c r="CX5" i="10"/>
  <c r="CX7" i="9"/>
  <c r="CX5" i="9"/>
  <c r="CX12" i="9"/>
  <c r="FI4" i="9"/>
  <c r="EN4" i="9"/>
  <c r="DS4" i="9"/>
  <c r="CX4" i="9"/>
  <c r="FI8" i="4"/>
  <c r="GD8" i="4"/>
  <c r="FI6" i="4"/>
  <c r="GD6" i="4"/>
  <c r="FI7" i="4"/>
  <c r="GD7" i="4"/>
  <c r="FI9" i="4"/>
  <c r="GD9" i="4"/>
  <c r="FI10" i="4"/>
  <c r="GD10" i="4"/>
  <c r="FI19" i="4"/>
  <c r="GD19" i="4"/>
  <c r="FI5" i="4"/>
  <c r="GD5" i="4"/>
  <c r="FI11" i="4"/>
  <c r="GD11" i="4"/>
  <c r="FI20" i="4"/>
  <c r="GD20" i="4"/>
  <c r="FI13" i="4"/>
  <c r="GD13" i="4"/>
  <c r="FI22" i="4"/>
  <c r="GD22" i="4"/>
  <c r="FI24" i="4"/>
  <c r="GD24" i="4"/>
  <c r="FI21" i="4"/>
  <c r="GD21" i="4"/>
  <c r="FI23" i="4"/>
  <c r="GD23" i="4"/>
  <c r="FI14" i="4"/>
  <c r="GD14" i="4"/>
  <c r="GD4" i="4"/>
  <c r="FI4" i="4"/>
  <c r="EN8" i="4"/>
  <c r="EN6" i="4"/>
  <c r="EN7" i="4"/>
  <c r="EN9" i="4"/>
  <c r="EN10" i="4"/>
  <c r="EN19" i="4"/>
  <c r="EN5" i="4"/>
  <c r="EN11" i="4"/>
  <c r="EN20" i="4"/>
  <c r="EN13" i="4"/>
  <c r="EN22" i="4"/>
  <c r="EN24" i="4"/>
  <c r="EN21" i="4"/>
  <c r="EN23" i="4"/>
  <c r="EN14" i="4"/>
  <c r="EN4" i="4"/>
  <c r="DS8" i="4"/>
  <c r="DS6" i="4"/>
  <c r="DS7" i="4"/>
  <c r="DS9" i="4"/>
  <c r="DS10" i="4"/>
  <c r="DS19" i="4"/>
  <c r="DS5" i="4"/>
  <c r="DS11" i="4"/>
  <c r="DS20" i="4"/>
  <c r="DS13" i="4"/>
  <c r="DS22" i="4"/>
  <c r="DS24" i="4"/>
  <c r="DS21" i="4"/>
  <c r="DS23" i="4"/>
  <c r="DS14" i="4"/>
  <c r="DS4" i="4"/>
  <c r="CX8" i="4"/>
  <c r="CX6" i="4"/>
  <c r="CX7" i="4"/>
  <c r="CX9" i="4"/>
  <c r="CX10" i="4"/>
  <c r="CX19" i="4"/>
  <c r="CX5" i="4"/>
  <c r="CX11" i="4"/>
  <c r="CX20" i="4"/>
  <c r="CX13" i="4"/>
  <c r="CX22" i="4"/>
  <c r="CX24" i="4"/>
  <c r="CX21" i="4"/>
  <c r="CX23" i="4"/>
  <c r="CX14" i="4"/>
  <c r="CX4" i="4"/>
  <c r="GD4" i="2"/>
  <c r="GY4" i="2"/>
  <c r="HT4" i="2"/>
  <c r="IO4" i="2"/>
  <c r="JJ4" i="2"/>
  <c r="KE4" i="2"/>
  <c r="KZ4" i="2"/>
  <c r="LU4" i="2"/>
  <c r="GD8" i="2"/>
  <c r="GY8" i="2"/>
  <c r="HT8" i="2"/>
  <c r="IO8" i="2"/>
  <c r="JJ8" i="2"/>
  <c r="KE8" i="2"/>
  <c r="KZ8" i="2"/>
  <c r="LU8" i="2"/>
  <c r="GD6" i="2"/>
  <c r="GY6" i="2"/>
  <c r="HT6" i="2"/>
  <c r="IO6" i="2"/>
  <c r="KZ6" i="2"/>
  <c r="LU6" i="2"/>
  <c r="GD7" i="2"/>
  <c r="GY7" i="2"/>
  <c r="HT7" i="2"/>
  <c r="IO7" i="2"/>
  <c r="JJ7" i="2"/>
  <c r="KE7" i="2"/>
  <c r="KZ7" i="2"/>
  <c r="LU7" i="2"/>
  <c r="GD9" i="2"/>
  <c r="GY9" i="2"/>
  <c r="HT9" i="2"/>
  <c r="IO9" i="2"/>
  <c r="JJ9" i="2"/>
  <c r="KE9" i="2"/>
  <c r="KZ9" i="2"/>
  <c r="LU9" i="2"/>
  <c r="GD11" i="2"/>
  <c r="GY11" i="2"/>
  <c r="HT11" i="2"/>
  <c r="IO11" i="2"/>
  <c r="JJ11" i="2"/>
  <c r="KE11" i="2"/>
  <c r="KZ11" i="2"/>
  <c r="LU11" i="2"/>
  <c r="GD12" i="2"/>
  <c r="GY12" i="2"/>
  <c r="HT12" i="2"/>
  <c r="IO12" i="2"/>
  <c r="JJ12" i="2"/>
  <c r="KE12" i="2"/>
  <c r="KZ12" i="2"/>
  <c r="LU12" i="2"/>
  <c r="GD13" i="2"/>
  <c r="GY13" i="2"/>
  <c r="HT13" i="2"/>
  <c r="IO13" i="2"/>
  <c r="JJ13" i="2"/>
  <c r="KE13" i="2"/>
  <c r="KZ13" i="2"/>
  <c r="LU13" i="2"/>
  <c r="FI4" i="2"/>
  <c r="FI8" i="2"/>
  <c r="FI6" i="2"/>
  <c r="FI7" i="2"/>
  <c r="FI9" i="2"/>
  <c r="FI11" i="2"/>
  <c r="FI12" i="2"/>
  <c r="FI13" i="2"/>
  <c r="EN4" i="2"/>
  <c r="EN8" i="2"/>
  <c r="EN6" i="2"/>
  <c r="EN7" i="2"/>
  <c r="EN9" i="2"/>
  <c r="EN11" i="2"/>
  <c r="EN12" i="2"/>
  <c r="EN13" i="2"/>
  <c r="DS4" i="2"/>
  <c r="DS8" i="2"/>
  <c r="DS6" i="2"/>
  <c r="DS7" i="2"/>
  <c r="DS9" i="2"/>
  <c r="DS11" i="2"/>
  <c r="DS12" i="2"/>
  <c r="DS13" i="2"/>
  <c r="CX4" i="2"/>
  <c r="CX8" i="2"/>
  <c r="CX6" i="2"/>
  <c r="CX7" i="2"/>
  <c r="CX9" i="2"/>
  <c r="CX11" i="2"/>
  <c r="CX12" i="2"/>
  <c r="CX13" i="2"/>
  <c r="LU5" i="2"/>
  <c r="KZ5" i="2"/>
  <c r="KE5" i="2"/>
  <c r="JJ5" i="2"/>
  <c r="IO5" i="2"/>
  <c r="HT5" i="2"/>
  <c r="GY5" i="2"/>
  <c r="GD5" i="2"/>
  <c r="FI5" i="2"/>
  <c r="EN5" i="2"/>
  <c r="DS5" i="2"/>
  <c r="CX5" i="2"/>
  <c r="EY6" i="8"/>
  <c r="EZ6" i="8"/>
  <c r="FV6" i="8"/>
  <c r="FW6" i="8"/>
  <c r="EY5" i="8"/>
  <c r="EZ5" i="8"/>
  <c r="FV5" i="8"/>
  <c r="FW5" i="8"/>
  <c r="EY8" i="8"/>
  <c r="EZ8" i="8"/>
  <c r="FV8" i="8"/>
  <c r="FW8" i="8"/>
  <c r="FW7" i="8"/>
  <c r="FV7" i="8"/>
  <c r="EZ7" i="8"/>
  <c r="EY7" i="8"/>
  <c r="BX12" i="5"/>
  <c r="AT4" i="5"/>
  <c r="AU4" i="5"/>
  <c r="AT13" i="5"/>
  <c r="AU13" i="5"/>
  <c r="AU11" i="5"/>
  <c r="AT11" i="5"/>
  <c r="FW4" i="7"/>
  <c r="FV4" i="7"/>
  <c r="EZ4" i="7"/>
  <c r="EY4" i="7"/>
  <c r="BX9" i="6"/>
  <c r="BY9" i="6"/>
  <c r="BX13" i="6"/>
  <c r="BY13" i="6"/>
  <c r="BX6" i="6"/>
  <c r="BY6" i="6"/>
  <c r="BX8" i="6"/>
  <c r="BY8" i="6"/>
  <c r="DE7" i="8"/>
  <c r="EC8" i="8"/>
  <c r="EB8" i="8"/>
  <c r="EC5" i="8"/>
  <c r="EB5" i="8"/>
  <c r="EC6" i="8"/>
  <c r="EB6" i="8"/>
  <c r="EC7" i="8"/>
  <c r="EB7" i="8"/>
  <c r="EC10" i="7"/>
  <c r="EB10" i="7"/>
  <c r="EC9" i="7"/>
  <c r="EB9" i="7"/>
  <c r="EC7" i="7"/>
  <c r="EB7" i="7"/>
  <c r="EC4" i="7"/>
  <c r="EB4" i="7"/>
  <c r="DF8" i="8"/>
  <c r="DE8" i="8"/>
  <c r="DF5" i="8"/>
  <c r="DE5" i="8"/>
  <c r="DF6" i="8"/>
  <c r="DE6" i="8"/>
  <c r="DF7" i="8"/>
  <c r="DF10" i="7"/>
  <c r="DE10" i="7"/>
  <c r="DF9" i="7"/>
  <c r="DE9" i="7"/>
  <c r="DF7" i="7"/>
  <c r="DE7" i="7"/>
  <c r="DF4" i="7"/>
  <c r="DE4" i="7"/>
  <c r="CB7" i="6" l="1"/>
  <c r="QA6" i="6"/>
  <c r="KG8" i="6"/>
  <c r="HY8" i="6"/>
  <c r="FQ7" i="6"/>
  <c r="HY5" i="6"/>
  <c r="FQ6" i="6"/>
  <c r="MO9" i="6"/>
  <c r="QA7" i="6"/>
  <c r="DF7" i="6"/>
  <c r="AX11" i="5"/>
  <c r="LC7" i="4"/>
  <c r="S10" i="5"/>
  <c r="QA7" i="5"/>
  <c r="MO12" i="5"/>
  <c r="FQ7" i="5"/>
  <c r="KG13" i="6"/>
  <c r="MO13" i="6"/>
  <c r="AX12" i="5"/>
  <c r="GU9" i="5"/>
  <c r="CB13" i="5"/>
  <c r="HY15" i="5"/>
  <c r="CB4" i="6"/>
  <c r="AX9" i="6"/>
  <c r="DF4" i="6"/>
  <c r="T10" i="5"/>
  <c r="DF4" i="5"/>
  <c r="FQ12" i="5"/>
  <c r="KG6" i="5"/>
  <c r="QA13" i="5"/>
  <c r="QA12" i="5"/>
  <c r="FQ13" i="5"/>
  <c r="MO4" i="5"/>
  <c r="DF9" i="5"/>
  <c r="AX13" i="5"/>
  <c r="HY9" i="5"/>
  <c r="CB7" i="5"/>
  <c r="AX7" i="6"/>
  <c r="CB9" i="6"/>
  <c r="E18" i="4"/>
  <c r="A18" i="4" s="1"/>
  <c r="S5" i="7"/>
  <c r="T5" i="7"/>
  <c r="CB13" i="6"/>
  <c r="AX13" i="6"/>
  <c r="AX6" i="5"/>
  <c r="QA11" i="5"/>
  <c r="FQ11" i="5"/>
  <c r="HY7" i="5"/>
  <c r="QA9" i="5"/>
  <c r="FQ9" i="5"/>
  <c r="HY6" i="5"/>
  <c r="MO11" i="5"/>
  <c r="MO13" i="5"/>
  <c r="CB6" i="5"/>
  <c r="DF11" i="5"/>
  <c r="FQ14" i="5"/>
  <c r="KG11" i="5"/>
  <c r="KG13" i="5"/>
  <c r="FQ6" i="5"/>
  <c r="KG12" i="5"/>
  <c r="MO9" i="5"/>
  <c r="QA6" i="5"/>
  <c r="QA14" i="5"/>
  <c r="HY4" i="5"/>
  <c r="MO7" i="5"/>
  <c r="JC4" i="5"/>
  <c r="DF12" i="5"/>
  <c r="AX9" i="5"/>
  <c r="CB4" i="5"/>
  <c r="JC15" i="5"/>
  <c r="OW9" i="5"/>
  <c r="EM7" i="5"/>
  <c r="LK12" i="5"/>
  <c r="OW7" i="5"/>
  <c r="EM9" i="5"/>
  <c r="LK11" i="5"/>
  <c r="LK13" i="5"/>
  <c r="GU14" i="5"/>
  <c r="RE6" i="5"/>
  <c r="RE14" i="5"/>
  <c r="CB15" i="5"/>
  <c r="EM6" i="5"/>
  <c r="RE15" i="5"/>
  <c r="LK7" i="5"/>
  <c r="JC12" i="5"/>
  <c r="GU15" i="5"/>
  <c r="EM14" i="5"/>
  <c r="JC11" i="5"/>
  <c r="JC13" i="5"/>
  <c r="OW6" i="5"/>
  <c r="RE4" i="5"/>
  <c r="LK9" i="5"/>
  <c r="LK4" i="5"/>
  <c r="LK15" i="5"/>
  <c r="OW11" i="5"/>
  <c r="OW13" i="5"/>
  <c r="OW12" i="5"/>
  <c r="RE9" i="5"/>
  <c r="RE7" i="5"/>
  <c r="FQ15" i="5"/>
  <c r="MO14" i="5"/>
  <c r="MO6" i="5"/>
  <c r="KG7" i="5"/>
  <c r="FQ4" i="5"/>
  <c r="HY11" i="5"/>
  <c r="HY13" i="5"/>
  <c r="QA4" i="5"/>
  <c r="KG9" i="5"/>
  <c r="HY9" i="6"/>
  <c r="FQ8" i="6"/>
  <c r="MO5" i="6"/>
  <c r="KG6" i="6"/>
  <c r="HY13" i="6"/>
  <c r="FQ12" i="6"/>
  <c r="KG4" i="6"/>
  <c r="EM6" i="6"/>
  <c r="FQ5" i="6"/>
  <c r="MO6" i="6"/>
  <c r="JC4" i="6"/>
  <c r="RE5" i="6"/>
  <c r="AX4" i="6"/>
  <c r="JC8" i="6"/>
  <c r="LK13" i="6"/>
  <c r="AX6" i="6"/>
  <c r="EM7" i="6"/>
  <c r="GU12" i="6"/>
  <c r="GU5" i="6"/>
  <c r="LK9" i="6"/>
  <c r="OW7" i="6"/>
  <c r="CB12" i="6"/>
  <c r="LK12" i="6"/>
  <c r="LZ9" i="2"/>
  <c r="G13" i="2"/>
  <c r="LX10" i="4"/>
  <c r="LZ10" i="4" s="1"/>
  <c r="LX4" i="2"/>
  <c r="LZ4" i="2" s="1"/>
  <c r="GU8" i="6"/>
  <c r="JC13" i="6"/>
  <c r="LK7" i="6"/>
  <c r="RE12" i="6"/>
  <c r="LC6" i="2"/>
  <c r="LE6" i="2" s="1"/>
  <c r="JC12" i="6"/>
  <c r="DI7" i="7"/>
  <c r="DK7" i="7" s="1"/>
  <c r="GG4" i="2"/>
  <c r="GI4" i="2" s="1"/>
  <c r="S18" i="4"/>
  <c r="T17" i="4"/>
  <c r="E17" i="4"/>
  <c r="DF6" i="5"/>
  <c r="DF14" i="5"/>
  <c r="DF13" i="6"/>
  <c r="HY4" i="6"/>
  <c r="MO7" i="6"/>
  <c r="KG9" i="6"/>
  <c r="QA5" i="6"/>
  <c r="GU4" i="6"/>
  <c r="DF6" i="6"/>
  <c r="EM12" i="6"/>
  <c r="DF8" i="6"/>
  <c r="RE8" i="6"/>
  <c r="CB6" i="6"/>
  <c r="JC9" i="6"/>
  <c r="EM5" i="6"/>
  <c r="LK6" i="6"/>
  <c r="HB7" i="9"/>
  <c r="HD7" i="9" s="1"/>
  <c r="S17" i="4"/>
  <c r="DF12" i="6"/>
  <c r="S11" i="6"/>
  <c r="T11" i="6"/>
  <c r="E11" i="6"/>
  <c r="A11" i="6" s="1"/>
  <c r="S8" i="5"/>
  <c r="T8" i="5"/>
  <c r="E8" i="5"/>
  <c r="GU11" i="5"/>
  <c r="LC7" i="2"/>
  <c r="LE7" i="2" s="1"/>
  <c r="G12" i="2"/>
  <c r="E16" i="4"/>
  <c r="S16" i="4"/>
  <c r="KH7" i="4"/>
  <c r="KJ7" i="4" s="1"/>
  <c r="T12" i="4"/>
  <c r="S12" i="4"/>
  <c r="E12" i="4"/>
  <c r="T15" i="4"/>
  <c r="S15" i="4"/>
  <c r="E15" i="4"/>
  <c r="T18" i="4"/>
  <c r="ME6" i="8"/>
  <c r="MG6" i="8" s="1"/>
  <c r="IR7" i="9"/>
  <c r="IT7" i="9" s="1"/>
  <c r="HW8" i="2"/>
  <c r="HY8" i="2" s="1"/>
  <c r="DA6" i="2"/>
  <c r="DC6" i="2" s="1"/>
  <c r="DV13" i="2"/>
  <c r="DX13" i="2" s="1"/>
  <c r="JM9" i="2"/>
  <c r="JO9" i="2" s="1"/>
  <c r="EQ7" i="2"/>
  <c r="ES7" i="2" s="1"/>
  <c r="EQ4" i="4"/>
  <c r="ES4" i="4" s="1"/>
  <c r="FL20" i="4"/>
  <c r="FN20" i="4" s="1"/>
  <c r="EQ11" i="4"/>
  <c r="ES11" i="4" s="1"/>
  <c r="T10" i="2"/>
  <c r="S10" i="2"/>
  <c r="E10" i="2"/>
  <c r="DI8" i="8"/>
  <c r="DK8" i="8" s="1"/>
  <c r="JM13" i="2"/>
  <c r="JO13" i="2" s="1"/>
  <c r="IR9" i="2"/>
  <c r="IT9" i="2" s="1"/>
  <c r="CB14" i="5"/>
  <c r="CB11" i="5"/>
  <c r="DF13" i="5"/>
  <c r="EM4" i="6"/>
  <c r="GU13" i="6"/>
  <c r="ME9" i="7"/>
  <c r="MG9" i="7" s="1"/>
  <c r="HW19" i="4"/>
  <c r="HY19" i="4" s="1"/>
  <c r="KG4" i="5"/>
  <c r="KG15" i="5"/>
  <c r="JC6" i="5"/>
  <c r="JC14" i="5"/>
  <c r="HY14" i="5"/>
  <c r="EM11" i="5"/>
  <c r="EM13" i="5"/>
  <c r="J11" i="5"/>
  <c r="K11" i="5" s="1"/>
  <c r="EF7" i="7"/>
  <c r="EH7" i="7" s="1"/>
  <c r="G11" i="2"/>
  <c r="G10" i="4"/>
  <c r="CB12" i="5"/>
  <c r="JC7" i="6"/>
  <c r="JC6" i="6"/>
  <c r="GU9" i="6"/>
  <c r="RE9" i="6"/>
  <c r="EM8" i="6"/>
  <c r="LK5" i="6"/>
  <c r="KG12" i="6"/>
  <c r="FQ13" i="6"/>
  <c r="JN9" i="7"/>
  <c r="JP9" i="7" s="1"/>
  <c r="F9" i="7"/>
  <c r="F4" i="10"/>
  <c r="G6" i="10"/>
  <c r="G10" i="9"/>
  <c r="G7" i="9"/>
  <c r="F11" i="2"/>
  <c r="F7" i="2"/>
  <c r="F6" i="2"/>
  <c r="JM5" i="2"/>
  <c r="JO5" i="2" s="1"/>
  <c r="G22" i="4"/>
  <c r="G23" i="4"/>
  <c r="G8" i="4"/>
  <c r="F14" i="4"/>
  <c r="G14" i="4"/>
  <c r="G11" i="4"/>
  <c r="F10" i="4"/>
  <c r="JC9" i="5"/>
  <c r="H15" i="5"/>
  <c r="F9" i="5"/>
  <c r="G9" i="5"/>
  <c r="H12" i="5"/>
  <c r="H4" i="5"/>
  <c r="GU12" i="5"/>
  <c r="NS15" i="5"/>
  <c r="RE11" i="5"/>
  <c r="RE13" i="5"/>
  <c r="RE12" i="5"/>
  <c r="F15" i="5"/>
  <c r="G15" i="5"/>
  <c r="F4" i="5"/>
  <c r="G4" i="5"/>
  <c r="I4" i="5" s="1"/>
  <c r="H6" i="5"/>
  <c r="F12" i="5"/>
  <c r="G12" i="5"/>
  <c r="H14" i="5"/>
  <c r="EM15" i="5"/>
  <c r="OW15" i="5"/>
  <c r="F6" i="5"/>
  <c r="G6" i="5"/>
  <c r="I6" i="5" s="1"/>
  <c r="H11" i="5"/>
  <c r="F7" i="5"/>
  <c r="G7" i="5"/>
  <c r="AX4" i="5"/>
  <c r="AX15" i="5"/>
  <c r="GU13" i="5"/>
  <c r="F14" i="5"/>
  <c r="G14" i="5"/>
  <c r="F11" i="5"/>
  <c r="G11" i="5"/>
  <c r="H13" i="5"/>
  <c r="LK6" i="5"/>
  <c r="LK14" i="5"/>
  <c r="H7" i="5"/>
  <c r="EM4" i="5"/>
  <c r="OW4" i="5"/>
  <c r="F13" i="5"/>
  <c r="G13" i="5"/>
  <c r="J9" i="5"/>
  <c r="L9" i="5" s="1"/>
  <c r="H9" i="5"/>
  <c r="KG5" i="6"/>
  <c r="MO8" i="6"/>
  <c r="QA9" i="6"/>
  <c r="MO4" i="6"/>
  <c r="QA13" i="6"/>
  <c r="HY7" i="6"/>
  <c r="HY6" i="6"/>
  <c r="FQ9" i="6"/>
  <c r="G9" i="6"/>
  <c r="F9" i="6"/>
  <c r="G4" i="6"/>
  <c r="I4" i="6" s="1"/>
  <c r="F4" i="6"/>
  <c r="H6" i="6"/>
  <c r="H13" i="6"/>
  <c r="G6" i="6"/>
  <c r="F6" i="6"/>
  <c r="H8" i="6"/>
  <c r="RE4" i="6"/>
  <c r="GU7" i="6"/>
  <c r="GU6" i="6"/>
  <c r="F13" i="6"/>
  <c r="G13" i="6"/>
  <c r="H12" i="6"/>
  <c r="H5" i="6"/>
  <c r="G8" i="6"/>
  <c r="F8" i="6"/>
  <c r="H7" i="6"/>
  <c r="G12" i="6"/>
  <c r="F12" i="6"/>
  <c r="G5" i="6"/>
  <c r="I5" i="6" s="1"/>
  <c r="F5" i="6"/>
  <c r="H9" i="6"/>
  <c r="OW12" i="6"/>
  <c r="F7" i="6"/>
  <c r="G7" i="6"/>
  <c r="H4" i="6"/>
  <c r="CI6" i="8"/>
  <c r="CK6" i="8" s="1"/>
  <c r="BL7" i="8"/>
  <c r="BN7" i="8" s="1"/>
  <c r="F10" i="7"/>
  <c r="F7" i="7"/>
  <c r="F4" i="7"/>
  <c r="AO7" i="7"/>
  <c r="AQ7" i="7" s="1"/>
  <c r="ME7" i="7"/>
  <c r="MG7" i="7" s="1"/>
  <c r="G7" i="7"/>
  <c r="G4" i="7"/>
  <c r="G10" i="7"/>
  <c r="G9" i="7"/>
  <c r="DI9" i="7"/>
  <c r="DK9" i="7" s="1"/>
  <c r="NB7" i="7"/>
  <c r="ND7" i="7" s="1"/>
  <c r="F6" i="10"/>
  <c r="G5" i="10"/>
  <c r="G4" i="10"/>
  <c r="F5" i="10"/>
  <c r="F12" i="9"/>
  <c r="F7" i="9"/>
  <c r="G5" i="9"/>
  <c r="F5" i="9"/>
  <c r="F4" i="9"/>
  <c r="G4" i="9"/>
  <c r="FL10" i="9"/>
  <c r="FN10" i="9" s="1"/>
  <c r="F10" i="9"/>
  <c r="LX10" i="9"/>
  <c r="LZ10" i="9" s="1"/>
  <c r="G12" i="9"/>
  <c r="LX5" i="9"/>
  <c r="LZ5" i="9" s="1"/>
  <c r="FL5" i="9"/>
  <c r="FN5" i="9" s="1"/>
  <c r="HW10" i="9"/>
  <c r="HY10" i="9" s="1"/>
  <c r="JM4" i="9"/>
  <c r="JO4" i="9" s="1"/>
  <c r="DA4" i="9"/>
  <c r="DC4" i="9" s="1"/>
  <c r="LX12" i="9"/>
  <c r="LZ12" i="9" s="1"/>
  <c r="G8" i="2"/>
  <c r="F12" i="2"/>
  <c r="F9" i="2"/>
  <c r="G5" i="2"/>
  <c r="G9" i="2"/>
  <c r="G4" i="2"/>
  <c r="KH4" i="2"/>
  <c r="KJ4" i="2" s="1"/>
  <c r="G7" i="2"/>
  <c r="G6" i="2"/>
  <c r="F13" i="2"/>
  <c r="CC12" i="2"/>
  <c r="CE12" i="2" s="1"/>
  <c r="F8" i="2"/>
  <c r="JM4" i="2"/>
  <c r="JO4" i="2" s="1"/>
  <c r="DA4" i="2"/>
  <c r="DC4" i="2" s="1"/>
  <c r="F5" i="2"/>
  <c r="F4" i="2"/>
  <c r="HB6" i="2"/>
  <c r="HD6" i="2" s="1"/>
  <c r="IR7" i="2"/>
  <c r="IT7" i="2" s="1"/>
  <c r="LC8" i="2"/>
  <c r="LE8" i="2" s="1"/>
  <c r="G20" i="4"/>
  <c r="G4" i="4"/>
  <c r="G19" i="4"/>
  <c r="G21" i="4"/>
  <c r="G5" i="4"/>
  <c r="F11" i="4"/>
  <c r="EQ7" i="4"/>
  <c r="ES7" i="4" s="1"/>
  <c r="G24" i="4"/>
  <c r="G9" i="4"/>
  <c r="FL8" i="4"/>
  <c r="FN8" i="4" s="1"/>
  <c r="EQ5" i="4"/>
  <c r="ES5" i="4" s="1"/>
  <c r="G13" i="4"/>
  <c r="GG9" i="4"/>
  <c r="GI9" i="4" s="1"/>
  <c r="DV5" i="4"/>
  <c r="DX5" i="4" s="1"/>
  <c r="G7" i="4"/>
  <c r="G6" i="4"/>
  <c r="F22" i="4"/>
  <c r="F6" i="4"/>
  <c r="F24" i="4"/>
  <c r="F7" i="4"/>
  <c r="DA22" i="4"/>
  <c r="DC22" i="4" s="1"/>
  <c r="IR24" i="4"/>
  <c r="IT24" i="4" s="1"/>
  <c r="KH11" i="4"/>
  <c r="KJ11" i="4" s="1"/>
  <c r="GG19" i="4"/>
  <c r="GI19" i="4" s="1"/>
  <c r="F23" i="4"/>
  <c r="F19" i="4"/>
  <c r="KH23" i="4"/>
  <c r="KJ23" i="4" s="1"/>
  <c r="F21" i="4"/>
  <c r="F9" i="4"/>
  <c r="JM23" i="4"/>
  <c r="JO23" i="4" s="1"/>
  <c r="HW21" i="4"/>
  <c r="HY21" i="4" s="1"/>
  <c r="FL11" i="4"/>
  <c r="FN11" i="4" s="1"/>
  <c r="HB6" i="4"/>
  <c r="HD6" i="4" s="1"/>
  <c r="DV7" i="4"/>
  <c r="DX7" i="4" s="1"/>
  <c r="F4" i="4"/>
  <c r="F13" i="4"/>
  <c r="F8" i="4"/>
  <c r="FL7" i="4"/>
  <c r="FN7" i="4" s="1"/>
  <c r="F20" i="4"/>
  <c r="F5" i="4"/>
  <c r="G5" i="8"/>
  <c r="F5" i="8"/>
  <c r="EF6" i="8"/>
  <c r="EH6" i="8" s="1"/>
  <c r="G8" i="8"/>
  <c r="F8" i="8"/>
  <c r="GW7" i="8"/>
  <c r="GY7" i="8" s="1"/>
  <c r="F6" i="8"/>
  <c r="G6" i="8"/>
  <c r="NB6" i="8"/>
  <c r="ND6" i="8" s="1"/>
  <c r="G7" i="8"/>
  <c r="F7" i="8"/>
  <c r="JC16" i="5"/>
  <c r="JC5" i="6"/>
  <c r="LK8" i="6"/>
  <c r="OW13" i="6"/>
  <c r="OW9" i="6"/>
  <c r="RE6" i="6"/>
  <c r="EM13" i="6"/>
  <c r="LK4" i="6"/>
  <c r="RE7" i="6"/>
  <c r="EM9" i="6"/>
  <c r="FZ10" i="7"/>
  <c r="GB10" i="7" s="1"/>
  <c r="HT9" i="7"/>
  <c r="HV9" i="7" s="1"/>
  <c r="KK7" i="7"/>
  <c r="KM7" i="7" s="1"/>
  <c r="GW7" i="7"/>
  <c r="GY7" i="7" s="1"/>
  <c r="IR22" i="4"/>
  <c r="IT22" i="4" s="1"/>
  <c r="HB23" i="4"/>
  <c r="HD23" i="4" s="1"/>
  <c r="DV23" i="4"/>
  <c r="DX23" i="4" s="1"/>
  <c r="GG4" i="4"/>
  <c r="GI4" i="4" s="1"/>
  <c r="JM4" i="4"/>
  <c r="JO4" i="4" s="1"/>
  <c r="DA4" i="4"/>
  <c r="DC4" i="4" s="1"/>
  <c r="FL21" i="4"/>
  <c r="FN21" i="4" s="1"/>
  <c r="HW13" i="4"/>
  <c r="HY13" i="4" s="1"/>
  <c r="HB20" i="4"/>
  <c r="HD20" i="4" s="1"/>
  <c r="DA11" i="4"/>
  <c r="DC11" i="4" s="1"/>
  <c r="LC6" i="4"/>
  <c r="LE6" i="4" s="1"/>
  <c r="KG7" i="6"/>
  <c r="MO12" i="6"/>
  <c r="QA8" i="6"/>
  <c r="FQ4" i="6"/>
  <c r="DI7" i="8"/>
  <c r="DK7" i="8" s="1"/>
  <c r="LH8" i="8"/>
  <c r="LJ8" i="8" s="1"/>
  <c r="KK5" i="8"/>
  <c r="KM5" i="8" s="1"/>
  <c r="FC6" i="8"/>
  <c r="FE6" i="8" s="1"/>
  <c r="AO10" i="7"/>
  <c r="BL4" i="7"/>
  <c r="BN4" i="7" s="1"/>
  <c r="ME10" i="7"/>
  <c r="MG10" i="7" s="1"/>
  <c r="HT4" i="7"/>
  <c r="HV4" i="7" s="1"/>
  <c r="KK4" i="7"/>
  <c r="KM4" i="7" s="1"/>
  <c r="FZ4" i="7"/>
  <c r="GB4" i="7" s="1"/>
  <c r="FL6" i="10"/>
  <c r="FN6" i="10" s="1"/>
  <c r="CC5" i="10"/>
  <c r="CE5" i="10" s="1"/>
  <c r="BH4" i="10"/>
  <c r="BJ4" i="10" s="1"/>
  <c r="HW4" i="10"/>
  <c r="HY4" i="10" s="1"/>
  <c r="LC6" i="10"/>
  <c r="LE6" i="10" s="1"/>
  <c r="EQ6" i="10"/>
  <c r="ES6" i="10" s="1"/>
  <c r="LC5" i="10"/>
  <c r="LE5" i="10" s="1"/>
  <c r="EQ5" i="10"/>
  <c r="ES5" i="10" s="1"/>
  <c r="HB4" i="10"/>
  <c r="HD4" i="10" s="1"/>
  <c r="KH4" i="10"/>
  <c r="KJ4" i="10" s="1"/>
  <c r="DV4" i="10"/>
  <c r="DX4" i="10" s="1"/>
  <c r="HB6" i="10"/>
  <c r="HD6" i="10" s="1"/>
  <c r="KH6" i="10"/>
  <c r="KJ6" i="10" s="1"/>
  <c r="DV6" i="10"/>
  <c r="DX6" i="10" s="1"/>
  <c r="HB5" i="10"/>
  <c r="HD5" i="10" s="1"/>
  <c r="KH5" i="10"/>
  <c r="KJ5" i="10" s="1"/>
  <c r="DV5" i="10"/>
  <c r="DX5" i="10" s="1"/>
  <c r="CC7" i="9"/>
  <c r="CE7" i="9" s="1"/>
  <c r="HB4" i="9"/>
  <c r="HD4" i="9" s="1"/>
  <c r="JM12" i="9"/>
  <c r="JO12" i="9" s="1"/>
  <c r="DA12" i="9"/>
  <c r="DC12" i="9" s="1"/>
  <c r="IR5" i="9"/>
  <c r="IT5" i="9" s="1"/>
  <c r="BH4" i="9"/>
  <c r="BJ4" i="9" s="1"/>
  <c r="GG4" i="9"/>
  <c r="GI4" i="9" s="1"/>
  <c r="FL12" i="9"/>
  <c r="FN12" i="9" s="1"/>
  <c r="IR12" i="9"/>
  <c r="IT12" i="9" s="1"/>
  <c r="LC5" i="9"/>
  <c r="LE5" i="9" s="1"/>
  <c r="EQ5" i="9"/>
  <c r="ES5" i="9" s="1"/>
  <c r="HW5" i="9"/>
  <c r="HY5" i="9" s="1"/>
  <c r="KH10" i="9"/>
  <c r="KJ10" i="9" s="1"/>
  <c r="DV10" i="9"/>
  <c r="DX10" i="9" s="1"/>
  <c r="HB10" i="9"/>
  <c r="HD10" i="9" s="1"/>
  <c r="GG7" i="9"/>
  <c r="GI7" i="9" s="1"/>
  <c r="LX4" i="9"/>
  <c r="LZ4" i="9" s="1"/>
  <c r="FL4" i="9"/>
  <c r="FN4" i="9" s="1"/>
  <c r="IR4" i="9"/>
  <c r="IT4" i="9" s="1"/>
  <c r="LC12" i="9"/>
  <c r="LE12" i="9" s="1"/>
  <c r="EQ12" i="9"/>
  <c r="ES12" i="9" s="1"/>
  <c r="HW12" i="9"/>
  <c r="HY12" i="9" s="1"/>
  <c r="KH5" i="9"/>
  <c r="KJ5" i="9" s="1"/>
  <c r="DV5" i="9"/>
  <c r="DX5" i="9" s="1"/>
  <c r="HB5" i="9"/>
  <c r="HD5" i="9" s="1"/>
  <c r="JM10" i="9"/>
  <c r="JO10" i="9" s="1"/>
  <c r="DA10" i="9"/>
  <c r="DC10" i="9" s="1"/>
  <c r="GG10" i="9"/>
  <c r="GI10" i="9" s="1"/>
  <c r="LX7" i="9"/>
  <c r="LZ7" i="9" s="1"/>
  <c r="FL7" i="9"/>
  <c r="FN7" i="9" s="1"/>
  <c r="P11" i="2"/>
  <c r="Q11" i="2" s="1"/>
  <c r="FL5" i="2"/>
  <c r="FN5" i="2" s="1"/>
  <c r="JM12" i="2"/>
  <c r="JO12" i="2" s="1"/>
  <c r="DA12" i="2"/>
  <c r="DC12" i="2" s="1"/>
  <c r="P8" i="2"/>
  <c r="CH8" i="2" s="1"/>
  <c r="CC9" i="2"/>
  <c r="CE9" i="2" s="1"/>
  <c r="BH7" i="2"/>
  <c r="BJ7" i="2" s="1"/>
  <c r="CC6" i="2"/>
  <c r="CE6" i="2" s="1"/>
  <c r="BH5" i="2"/>
  <c r="BJ5" i="2" s="1"/>
  <c r="FL12" i="2"/>
  <c r="FN12" i="2" s="1"/>
  <c r="KH6" i="2"/>
  <c r="KJ6" i="2" s="1"/>
  <c r="DV6" i="2"/>
  <c r="DX6" i="2" s="1"/>
  <c r="HB11" i="2"/>
  <c r="HD11" i="2" s="1"/>
  <c r="HB8" i="2"/>
  <c r="HD8" i="2" s="1"/>
  <c r="KH8" i="2"/>
  <c r="KJ8" i="2" s="1"/>
  <c r="DV8" i="2"/>
  <c r="DX8" i="2" s="1"/>
  <c r="GG6" i="2"/>
  <c r="GI6" i="2" s="1"/>
  <c r="JM6" i="2"/>
  <c r="JO6" i="2" s="1"/>
  <c r="FL4" i="2"/>
  <c r="FN4" i="2" s="1"/>
  <c r="IR4" i="2"/>
  <c r="IT4" i="2" s="1"/>
  <c r="AM7" i="2"/>
  <c r="GG5" i="2"/>
  <c r="GI5" i="2" s="1"/>
  <c r="DA5" i="2"/>
  <c r="DC5" i="2" s="1"/>
  <c r="KH12" i="2"/>
  <c r="KJ12" i="2" s="1"/>
  <c r="HB12" i="2"/>
  <c r="HD12" i="2" s="1"/>
  <c r="JM11" i="2"/>
  <c r="JO11" i="2" s="1"/>
  <c r="DA11" i="2"/>
  <c r="DC11" i="2" s="1"/>
  <c r="GG11" i="2"/>
  <c r="GI11" i="2" s="1"/>
  <c r="IR13" i="2"/>
  <c r="IT13" i="2" s="1"/>
  <c r="LX13" i="2"/>
  <c r="LZ13" i="2" s="1"/>
  <c r="FL13" i="2"/>
  <c r="FN13" i="2" s="1"/>
  <c r="HW9" i="2"/>
  <c r="HY9" i="2" s="1"/>
  <c r="LC9" i="2"/>
  <c r="LE9" i="2" s="1"/>
  <c r="EQ9" i="2"/>
  <c r="ES9" i="2" s="1"/>
  <c r="HB7" i="2"/>
  <c r="HD7" i="2" s="1"/>
  <c r="KH7" i="2"/>
  <c r="KJ7" i="2" s="1"/>
  <c r="DV7" i="2"/>
  <c r="DX7" i="2" s="1"/>
  <c r="GG8" i="2"/>
  <c r="GI8" i="2" s="1"/>
  <c r="JM8" i="2"/>
  <c r="JO8" i="2" s="1"/>
  <c r="DA8" i="2"/>
  <c r="DC8" i="2" s="1"/>
  <c r="LX6" i="2"/>
  <c r="LZ6" i="2" s="1"/>
  <c r="FL6" i="2"/>
  <c r="FN6" i="2" s="1"/>
  <c r="IR6" i="2"/>
  <c r="IT6" i="2" s="1"/>
  <c r="LC4" i="2"/>
  <c r="LE4" i="2" s="1"/>
  <c r="EQ4" i="2"/>
  <c r="ES4" i="2" s="1"/>
  <c r="HW4" i="2"/>
  <c r="HY4" i="2" s="1"/>
  <c r="GG12" i="2"/>
  <c r="GI12" i="2" s="1"/>
  <c r="IR11" i="2"/>
  <c r="IT11" i="2" s="1"/>
  <c r="LX11" i="2"/>
  <c r="LZ11" i="2" s="1"/>
  <c r="FL11" i="2"/>
  <c r="FN11" i="2" s="1"/>
  <c r="HW13" i="2"/>
  <c r="HY13" i="2" s="1"/>
  <c r="LC13" i="2"/>
  <c r="LE13" i="2" s="1"/>
  <c r="EQ13" i="2"/>
  <c r="ES13" i="2" s="1"/>
  <c r="HB9" i="2"/>
  <c r="HD9" i="2" s="1"/>
  <c r="KH9" i="2"/>
  <c r="KJ9" i="2" s="1"/>
  <c r="DV9" i="2"/>
  <c r="DX9" i="2" s="1"/>
  <c r="GG7" i="2"/>
  <c r="GI7" i="2" s="1"/>
  <c r="JM7" i="2"/>
  <c r="JO7" i="2" s="1"/>
  <c r="DA7" i="2"/>
  <c r="DC7" i="2" s="1"/>
  <c r="AM20" i="4"/>
  <c r="AO20" i="4" s="1"/>
  <c r="P8" i="4"/>
  <c r="Q8" i="4" s="1"/>
  <c r="CC20" i="4"/>
  <c r="CE20" i="4" s="1"/>
  <c r="BH11" i="4"/>
  <c r="BJ11" i="4" s="1"/>
  <c r="AM6" i="4"/>
  <c r="CC9" i="4"/>
  <c r="CE9" i="4" s="1"/>
  <c r="BH8" i="4"/>
  <c r="BJ8" i="4" s="1"/>
  <c r="AM5" i="4"/>
  <c r="AO5" i="4" s="1"/>
  <c r="GG23" i="4"/>
  <c r="GI23" i="4" s="1"/>
  <c r="DA23" i="4"/>
  <c r="DC23" i="4" s="1"/>
  <c r="HB13" i="4"/>
  <c r="HD13" i="4" s="1"/>
  <c r="HB22" i="4"/>
  <c r="HD22" i="4" s="1"/>
  <c r="KH22" i="4"/>
  <c r="KJ22" i="4" s="1"/>
  <c r="DV22" i="4"/>
  <c r="DX22" i="4" s="1"/>
  <c r="GG24" i="4"/>
  <c r="GI24" i="4" s="1"/>
  <c r="JM24" i="4"/>
  <c r="JO24" i="4" s="1"/>
  <c r="DA24" i="4"/>
  <c r="DC24" i="4" s="1"/>
  <c r="GG22" i="4"/>
  <c r="GI22" i="4" s="1"/>
  <c r="JM22" i="4"/>
  <c r="JO22" i="4" s="1"/>
  <c r="LX24" i="4"/>
  <c r="LZ24" i="4" s="1"/>
  <c r="FL24" i="4"/>
  <c r="FN24" i="4" s="1"/>
  <c r="P24" i="4"/>
  <c r="Q24" i="4" s="1"/>
  <c r="HW23" i="4"/>
  <c r="HY23" i="4" s="1"/>
  <c r="FL13" i="4"/>
  <c r="FN13" i="4" s="1"/>
  <c r="JM10" i="4"/>
  <c r="JO10" i="4" s="1"/>
  <c r="LC19" i="4"/>
  <c r="LE19" i="4" s="1"/>
  <c r="HB9" i="4"/>
  <c r="HD9" i="4" s="1"/>
  <c r="GG8" i="4"/>
  <c r="GI8" i="4" s="1"/>
  <c r="HB7" i="4"/>
  <c r="HD7" i="4" s="1"/>
  <c r="J12" i="5"/>
  <c r="L12" i="5" s="1"/>
  <c r="M12" i="5" s="1"/>
  <c r="RE16" i="5"/>
  <c r="HY16" i="5"/>
  <c r="P9" i="6"/>
  <c r="Q9" i="6" s="1"/>
  <c r="J13" i="6"/>
  <c r="K13" i="6" s="1"/>
  <c r="J12" i="6"/>
  <c r="P13" i="6"/>
  <c r="Q13" i="6" s="1"/>
  <c r="LH7" i="8"/>
  <c r="LJ7" i="8" s="1"/>
  <c r="EF7" i="8"/>
  <c r="EH7" i="8" s="1"/>
  <c r="NB8" i="8"/>
  <c r="ND8" i="8" s="1"/>
  <c r="FZ8" i="8"/>
  <c r="GB8" i="8" s="1"/>
  <c r="IQ5" i="8"/>
  <c r="IS5" i="8" s="1"/>
  <c r="ME5" i="8"/>
  <c r="MG5" i="8" s="1"/>
  <c r="FC5" i="8"/>
  <c r="FE5" i="8" s="1"/>
  <c r="KK7" i="8"/>
  <c r="KM7" i="8" s="1"/>
  <c r="IQ8" i="8"/>
  <c r="IS8" i="8" s="1"/>
  <c r="GW6" i="8"/>
  <c r="GY6" i="8" s="1"/>
  <c r="P8" i="8"/>
  <c r="CN8" i="8" s="1"/>
  <c r="ME8" i="8"/>
  <c r="MG8" i="8" s="1"/>
  <c r="FC8" i="8"/>
  <c r="FE8" i="8" s="1"/>
  <c r="EF5" i="8"/>
  <c r="EH5" i="8" s="1"/>
  <c r="JN7" i="8"/>
  <c r="JP7" i="8" s="1"/>
  <c r="NB7" i="8"/>
  <c r="ND7" i="8" s="1"/>
  <c r="FZ7" i="8"/>
  <c r="GB7" i="8" s="1"/>
  <c r="HT8" i="8"/>
  <c r="HV8" i="8" s="1"/>
  <c r="EF8" i="8"/>
  <c r="EH8" i="8" s="1"/>
  <c r="GW5" i="8"/>
  <c r="GY5" i="8" s="1"/>
  <c r="JN6" i="8"/>
  <c r="JP6" i="8" s="1"/>
  <c r="BL5" i="8"/>
  <c r="BN5" i="8" s="1"/>
  <c r="AO7" i="8"/>
  <c r="IQ7" i="8"/>
  <c r="IS7" i="8" s="1"/>
  <c r="FC7" i="8"/>
  <c r="FE7" i="8" s="1"/>
  <c r="AO6" i="8"/>
  <c r="JN8" i="8"/>
  <c r="JP8" i="8" s="1"/>
  <c r="BL8" i="8"/>
  <c r="BN8" i="8" s="1"/>
  <c r="AO5" i="8"/>
  <c r="CI9" i="7"/>
  <c r="CK9" i="7" s="1"/>
  <c r="IQ4" i="7"/>
  <c r="IS4" i="7" s="1"/>
  <c r="JN10" i="7"/>
  <c r="JP10" i="7" s="1"/>
  <c r="NB10" i="7"/>
  <c r="ND10" i="7" s="1"/>
  <c r="LH9" i="7"/>
  <c r="LJ9" i="7" s="1"/>
  <c r="EF9" i="7"/>
  <c r="EH9" i="7" s="1"/>
  <c r="ME4" i="7"/>
  <c r="MG4" i="7" s="1"/>
  <c r="FC4" i="7"/>
  <c r="FE4" i="7" s="1"/>
  <c r="IQ10" i="7"/>
  <c r="IS10" i="7" s="1"/>
  <c r="FC10" i="7"/>
  <c r="FE10" i="7" s="1"/>
  <c r="GW9" i="7"/>
  <c r="GY9" i="7" s="1"/>
  <c r="KK9" i="7"/>
  <c r="KM9" i="7" s="1"/>
  <c r="LH4" i="7"/>
  <c r="LJ4" i="7" s="1"/>
  <c r="EF4" i="7"/>
  <c r="EH4" i="7" s="1"/>
  <c r="LH10" i="7"/>
  <c r="LJ10" i="7" s="1"/>
  <c r="EF10" i="7"/>
  <c r="EH10" i="7" s="1"/>
  <c r="FZ9" i="7"/>
  <c r="GB9" i="7" s="1"/>
  <c r="IQ7" i="7"/>
  <c r="IS7" i="7" s="1"/>
  <c r="KK10" i="7"/>
  <c r="KM10" i="7" s="1"/>
  <c r="DI10" i="7"/>
  <c r="DK10" i="7" s="1"/>
  <c r="CI7" i="7"/>
  <c r="CK7" i="7" s="1"/>
  <c r="GG4" i="10"/>
  <c r="GI4" i="10" s="1"/>
  <c r="JM4" i="10"/>
  <c r="JO4" i="10" s="1"/>
  <c r="DA4" i="10"/>
  <c r="DC4" i="10" s="1"/>
  <c r="GG6" i="10"/>
  <c r="GI6" i="10" s="1"/>
  <c r="JM6" i="10"/>
  <c r="JO6" i="10" s="1"/>
  <c r="DA6" i="10"/>
  <c r="DC6" i="10" s="1"/>
  <c r="GG5" i="10"/>
  <c r="GI5" i="10" s="1"/>
  <c r="JM5" i="10"/>
  <c r="JO5" i="10" s="1"/>
  <c r="DA5" i="10"/>
  <c r="DC5" i="10" s="1"/>
  <c r="BH5" i="10"/>
  <c r="BJ5" i="10" s="1"/>
  <c r="AM4" i="10"/>
  <c r="LX4" i="10"/>
  <c r="LZ4" i="10" s="1"/>
  <c r="FL4" i="10"/>
  <c r="FN4" i="10" s="1"/>
  <c r="IR4" i="10"/>
  <c r="IT4" i="10" s="1"/>
  <c r="LX6" i="10"/>
  <c r="LZ6" i="10" s="1"/>
  <c r="IR5" i="10"/>
  <c r="IT5" i="10" s="1"/>
  <c r="HW6" i="10"/>
  <c r="HY6" i="10" s="1"/>
  <c r="HW5" i="10"/>
  <c r="HY5" i="10" s="1"/>
  <c r="P5" i="9"/>
  <c r="CH5" i="9" s="1"/>
  <c r="AM7" i="9"/>
  <c r="LC4" i="9"/>
  <c r="LE4" i="9" s="1"/>
  <c r="EQ4" i="9"/>
  <c r="ES4" i="9" s="1"/>
  <c r="HW4" i="9"/>
  <c r="HY4" i="9" s="1"/>
  <c r="KH12" i="9"/>
  <c r="KJ12" i="9" s="1"/>
  <c r="DV12" i="9"/>
  <c r="DX12" i="9" s="1"/>
  <c r="HB12" i="9"/>
  <c r="HD12" i="9" s="1"/>
  <c r="JM5" i="9"/>
  <c r="JO5" i="9" s="1"/>
  <c r="DA5" i="9"/>
  <c r="DC5" i="9" s="1"/>
  <c r="GG5" i="9"/>
  <c r="GI5" i="9" s="1"/>
  <c r="CC12" i="9"/>
  <c r="CE12" i="9" s="1"/>
  <c r="BH5" i="9"/>
  <c r="BJ5" i="9" s="1"/>
  <c r="AM10" i="9"/>
  <c r="AO10" i="9" s="1"/>
  <c r="KH7" i="9"/>
  <c r="KJ7" i="9" s="1"/>
  <c r="DV7" i="9"/>
  <c r="DX7" i="9" s="1"/>
  <c r="P13" i="2"/>
  <c r="Q13" i="2" s="1"/>
  <c r="LC5" i="2"/>
  <c r="LE5" i="2" s="1"/>
  <c r="HW5" i="2"/>
  <c r="HY5" i="2" s="1"/>
  <c r="IR12" i="2"/>
  <c r="IT12" i="2" s="1"/>
  <c r="LX12" i="2"/>
  <c r="LZ12" i="2" s="1"/>
  <c r="HW11" i="2"/>
  <c r="HY11" i="2" s="1"/>
  <c r="LC11" i="2"/>
  <c r="LE11" i="2" s="1"/>
  <c r="EQ11" i="2"/>
  <c r="ES11" i="2" s="1"/>
  <c r="KH13" i="2"/>
  <c r="KJ13" i="2" s="1"/>
  <c r="DA9" i="2"/>
  <c r="DC9" i="2" s="1"/>
  <c r="LX7" i="2"/>
  <c r="LZ7" i="2" s="1"/>
  <c r="LX8" i="2"/>
  <c r="LZ8" i="2" s="1"/>
  <c r="IR8" i="2"/>
  <c r="IT8" i="2" s="1"/>
  <c r="HW6" i="2"/>
  <c r="HY6" i="2" s="1"/>
  <c r="HB4" i="2"/>
  <c r="HD4" i="2" s="1"/>
  <c r="BH13" i="2"/>
  <c r="BJ13" i="2" s="1"/>
  <c r="HW12" i="2"/>
  <c r="HY12" i="2" s="1"/>
  <c r="LC12" i="2"/>
  <c r="LE12" i="2" s="1"/>
  <c r="EQ12" i="2"/>
  <c r="ES12" i="2" s="1"/>
  <c r="KH11" i="2"/>
  <c r="KJ11" i="2" s="1"/>
  <c r="DV11" i="2"/>
  <c r="DX11" i="2" s="1"/>
  <c r="HW7" i="2"/>
  <c r="HY7" i="2" s="1"/>
  <c r="AM4" i="2"/>
  <c r="CC5" i="2"/>
  <c r="CE5" i="2" s="1"/>
  <c r="HB14" i="4"/>
  <c r="HD14" i="4" s="1"/>
  <c r="KH14" i="4"/>
  <c r="KJ14" i="4" s="1"/>
  <c r="DV14" i="4"/>
  <c r="DX14" i="4" s="1"/>
  <c r="GG14" i="4"/>
  <c r="GI14" i="4" s="1"/>
  <c r="JM14" i="4"/>
  <c r="JO14" i="4" s="1"/>
  <c r="DA14" i="4"/>
  <c r="DC14" i="4" s="1"/>
  <c r="KH24" i="4"/>
  <c r="KJ24" i="4" s="1"/>
  <c r="CC14" i="4"/>
  <c r="CE14" i="4" s="1"/>
  <c r="CC4" i="4"/>
  <c r="CE4" i="4" s="1"/>
  <c r="CC22" i="4"/>
  <c r="CE22" i="4" s="1"/>
  <c r="BH24" i="4"/>
  <c r="BJ24" i="4" s="1"/>
  <c r="AM23" i="4"/>
  <c r="CC13" i="4"/>
  <c r="CE13" i="4" s="1"/>
  <c r="BH20" i="4"/>
  <c r="BJ20" i="4" s="1"/>
  <c r="AM11" i="4"/>
  <c r="IR10" i="4"/>
  <c r="IT10" i="4" s="1"/>
  <c r="HW6" i="4"/>
  <c r="HY6" i="4" s="1"/>
  <c r="JM7" i="4"/>
  <c r="JO7" i="4" s="1"/>
  <c r="DA7" i="4"/>
  <c r="DC7" i="4" s="1"/>
  <c r="GG7" i="4"/>
  <c r="GI7" i="4" s="1"/>
  <c r="BH22" i="4"/>
  <c r="BJ22" i="4" s="1"/>
  <c r="IR4" i="4"/>
  <c r="IT4" i="4" s="1"/>
  <c r="LX4" i="4"/>
  <c r="LZ4" i="4" s="1"/>
  <c r="FL4" i="4"/>
  <c r="FN4" i="4" s="1"/>
  <c r="LC21" i="4"/>
  <c r="LE21" i="4" s="1"/>
  <c r="EQ21" i="4"/>
  <c r="ES21" i="4" s="1"/>
  <c r="DV6" i="4"/>
  <c r="DX6" i="4" s="1"/>
  <c r="P6" i="4"/>
  <c r="Q6" i="4" s="1"/>
  <c r="IR9" i="4"/>
  <c r="IT9" i="4" s="1"/>
  <c r="HW8" i="4"/>
  <c r="HY8" i="4" s="1"/>
  <c r="HB5" i="4"/>
  <c r="HD5" i="4" s="1"/>
  <c r="IR7" i="4"/>
  <c r="IT7" i="4" s="1"/>
  <c r="LX7" i="4"/>
  <c r="LZ7" i="4" s="1"/>
  <c r="LX14" i="4"/>
  <c r="LZ14" i="4" s="1"/>
  <c r="FL14" i="4"/>
  <c r="FN14" i="4" s="1"/>
  <c r="LX22" i="4"/>
  <c r="LZ22" i="4" s="1"/>
  <c r="FL22" i="4"/>
  <c r="FN22" i="4" s="1"/>
  <c r="HW24" i="4"/>
  <c r="HY24" i="4" s="1"/>
  <c r="LC24" i="4"/>
  <c r="LE24" i="4" s="1"/>
  <c r="EQ24" i="4"/>
  <c r="ES24" i="4" s="1"/>
  <c r="IR23" i="4"/>
  <c r="IT23" i="4" s="1"/>
  <c r="LX23" i="4"/>
  <c r="LZ23" i="4" s="1"/>
  <c r="FL23" i="4"/>
  <c r="FN23" i="4" s="1"/>
  <c r="HW4" i="4"/>
  <c r="HY4" i="4" s="1"/>
  <c r="LC4" i="4"/>
  <c r="LE4" i="4" s="1"/>
  <c r="HB21" i="4"/>
  <c r="HD21" i="4" s="1"/>
  <c r="KH21" i="4"/>
  <c r="KJ21" i="4" s="1"/>
  <c r="DV21" i="4"/>
  <c r="DX21" i="4" s="1"/>
  <c r="HB10" i="4"/>
  <c r="HD10" i="4" s="1"/>
  <c r="JM6" i="4"/>
  <c r="JO6" i="4" s="1"/>
  <c r="IR19" i="4"/>
  <c r="IT19" i="4" s="1"/>
  <c r="EQ9" i="4"/>
  <c r="ES9" i="4" s="1"/>
  <c r="DV8" i="4"/>
  <c r="DX8" i="4" s="1"/>
  <c r="GG5" i="4"/>
  <c r="GI5" i="4" s="1"/>
  <c r="JM5" i="4"/>
  <c r="JO5" i="4" s="1"/>
  <c r="DA5" i="4"/>
  <c r="DC5" i="4" s="1"/>
  <c r="BH5" i="4"/>
  <c r="BJ5" i="4" s="1"/>
  <c r="HW14" i="4"/>
  <c r="HY14" i="4" s="1"/>
  <c r="LC14" i="4"/>
  <c r="LE14" i="4" s="1"/>
  <c r="EQ14" i="4"/>
  <c r="ES14" i="4" s="1"/>
  <c r="HW22" i="4"/>
  <c r="HY22" i="4" s="1"/>
  <c r="LC22" i="4"/>
  <c r="LE22" i="4" s="1"/>
  <c r="EQ22" i="4"/>
  <c r="ES22" i="4" s="1"/>
  <c r="HB24" i="4"/>
  <c r="HD24" i="4" s="1"/>
  <c r="DV24" i="4"/>
  <c r="DX24" i="4" s="1"/>
  <c r="LC23" i="4"/>
  <c r="LE23" i="4" s="1"/>
  <c r="EQ23" i="4"/>
  <c r="ES23" i="4" s="1"/>
  <c r="HB4" i="4"/>
  <c r="HD4" i="4" s="1"/>
  <c r="KH4" i="4"/>
  <c r="KJ4" i="4" s="1"/>
  <c r="DV4" i="4"/>
  <c r="DX4" i="4" s="1"/>
  <c r="GG21" i="4"/>
  <c r="GI21" i="4" s="1"/>
  <c r="JM21" i="4"/>
  <c r="JO21" i="4" s="1"/>
  <c r="DA21" i="4"/>
  <c r="DC21" i="4" s="1"/>
  <c r="EQ20" i="4"/>
  <c r="ES20" i="4" s="1"/>
  <c r="HW20" i="4"/>
  <c r="HY20" i="4" s="1"/>
  <c r="P11" i="4"/>
  <c r="Q11" i="4" s="1"/>
  <c r="GG10" i="4"/>
  <c r="GI10" i="4" s="1"/>
  <c r="LX6" i="4"/>
  <c r="LZ6" i="4" s="1"/>
  <c r="NS14" i="5"/>
  <c r="J4" i="5"/>
  <c r="N4" i="5" s="1"/>
  <c r="NS7" i="5"/>
  <c r="J7" i="5"/>
  <c r="L7" i="5" s="1"/>
  <c r="LK16" i="5"/>
  <c r="NS11" i="5"/>
  <c r="NS16" i="5"/>
  <c r="J15" i="5"/>
  <c r="N15" i="5" s="1"/>
  <c r="NS13" i="5"/>
  <c r="QA16" i="5"/>
  <c r="NS9" i="5"/>
  <c r="NS6" i="5"/>
  <c r="P7" i="5"/>
  <c r="P9" i="5"/>
  <c r="KG16" i="5"/>
  <c r="NS12" i="5"/>
  <c r="OW16" i="5"/>
  <c r="J13" i="5"/>
  <c r="L13" i="5" s="1"/>
  <c r="M13" i="5" s="1"/>
  <c r="JC7" i="5"/>
  <c r="MO16" i="5"/>
  <c r="NS4" i="5"/>
  <c r="J14" i="5"/>
  <c r="N14" i="5" s="1"/>
  <c r="DH14" i="5" s="1"/>
  <c r="J6" i="5"/>
  <c r="N6" i="5" s="1"/>
  <c r="O6" i="5" s="1"/>
  <c r="NS12" i="6"/>
  <c r="J8" i="6"/>
  <c r="L8" i="6" s="1"/>
  <c r="J5" i="6"/>
  <c r="L5" i="6" s="1"/>
  <c r="RE13" i="6"/>
  <c r="QA12" i="6"/>
  <c r="OW4" i="6"/>
  <c r="NS13" i="6"/>
  <c r="NS6" i="6"/>
  <c r="NS5" i="6"/>
  <c r="NS7" i="6"/>
  <c r="NS4" i="6"/>
  <c r="QA4" i="6"/>
  <c r="J9" i="6"/>
  <c r="L9" i="6" s="1"/>
  <c r="J4" i="6"/>
  <c r="N4" i="6" s="1"/>
  <c r="NS8" i="6"/>
  <c r="J6" i="6"/>
  <c r="NS9" i="6"/>
  <c r="J7" i="6"/>
  <c r="HT7" i="8"/>
  <c r="HV7" i="8" s="1"/>
  <c r="LH6" i="8"/>
  <c r="LJ6" i="8" s="1"/>
  <c r="HT6" i="8"/>
  <c r="HV6" i="8" s="1"/>
  <c r="AO8" i="8"/>
  <c r="LH5" i="8"/>
  <c r="LJ5" i="8" s="1"/>
  <c r="HT5" i="8"/>
  <c r="HV5" i="8" s="1"/>
  <c r="P6" i="8"/>
  <c r="Q6" i="8" s="1"/>
  <c r="KK6" i="8"/>
  <c r="KM6" i="8" s="1"/>
  <c r="DI6" i="8"/>
  <c r="DK6" i="8" s="1"/>
  <c r="DI5" i="8"/>
  <c r="DK5" i="8" s="1"/>
  <c r="FZ6" i="8"/>
  <c r="GB6" i="8" s="1"/>
  <c r="ME7" i="8"/>
  <c r="MG7" i="8" s="1"/>
  <c r="KK8" i="8"/>
  <c r="KM8" i="8" s="1"/>
  <c r="GW8" i="8"/>
  <c r="GY8" i="8" s="1"/>
  <c r="JN5" i="8"/>
  <c r="JP5" i="8" s="1"/>
  <c r="NB5" i="8"/>
  <c r="ND5" i="8" s="1"/>
  <c r="FZ5" i="8"/>
  <c r="GB5" i="8" s="1"/>
  <c r="CI5" i="8"/>
  <c r="CK5" i="8" s="1"/>
  <c r="CI8" i="8"/>
  <c r="CK8" i="8" s="1"/>
  <c r="IQ6" i="8"/>
  <c r="IS6" i="8" s="1"/>
  <c r="CI7" i="8"/>
  <c r="CK7" i="8" s="1"/>
  <c r="P7" i="8"/>
  <c r="BL6" i="8"/>
  <c r="BN6" i="8" s="1"/>
  <c r="BL7" i="7"/>
  <c r="BN7" i="7" s="1"/>
  <c r="JN7" i="7"/>
  <c r="JP7" i="7" s="1"/>
  <c r="FZ7" i="7"/>
  <c r="GB7" i="7" s="1"/>
  <c r="HT10" i="7"/>
  <c r="HV10" i="7" s="1"/>
  <c r="NB9" i="7"/>
  <c r="ND9" i="7" s="1"/>
  <c r="FC7" i="7"/>
  <c r="FE7" i="7" s="1"/>
  <c r="CI10" i="7"/>
  <c r="CK10" i="7" s="1"/>
  <c r="GW4" i="7"/>
  <c r="GY4" i="7" s="1"/>
  <c r="JN4" i="7"/>
  <c r="JP4" i="7" s="1"/>
  <c r="GW10" i="7"/>
  <c r="GY10" i="7" s="1"/>
  <c r="IQ9" i="7"/>
  <c r="IS9" i="7" s="1"/>
  <c r="FC9" i="7"/>
  <c r="FE9" i="7" s="1"/>
  <c r="HT7" i="7"/>
  <c r="HV7" i="7" s="1"/>
  <c r="LH7" i="7"/>
  <c r="LJ7" i="7" s="1"/>
  <c r="NB4" i="7"/>
  <c r="ND4" i="7" s="1"/>
  <c r="BL9" i="7"/>
  <c r="BN9" i="7" s="1"/>
  <c r="AO4" i="7"/>
  <c r="BL10" i="7"/>
  <c r="BN10" i="7" s="1"/>
  <c r="P7" i="7"/>
  <c r="Q7" i="7" s="1"/>
  <c r="AO9" i="7"/>
  <c r="DI4" i="7"/>
  <c r="DK4" i="7" s="1"/>
  <c r="CI4" i="7"/>
  <c r="CK4" i="7" s="1"/>
  <c r="P10" i="7"/>
  <c r="BH6" i="10"/>
  <c r="BJ6" i="10" s="1"/>
  <c r="LC4" i="10"/>
  <c r="LE4" i="10" s="1"/>
  <c r="P6" i="10"/>
  <c r="Q6" i="10" s="1"/>
  <c r="AM5" i="10"/>
  <c r="IR6" i="10"/>
  <c r="IT6" i="10" s="1"/>
  <c r="LX5" i="10"/>
  <c r="LZ5" i="10" s="1"/>
  <c r="FL5" i="10"/>
  <c r="FN5" i="10" s="1"/>
  <c r="P4" i="10"/>
  <c r="Q4" i="10" s="1"/>
  <c r="P5" i="10"/>
  <c r="AM6" i="10"/>
  <c r="CC4" i="10"/>
  <c r="CE4" i="10" s="1"/>
  <c r="CC6" i="10"/>
  <c r="CE6" i="10" s="1"/>
  <c r="EQ4" i="10"/>
  <c r="ES4" i="10" s="1"/>
  <c r="P7" i="9"/>
  <c r="CH7" i="9" s="1"/>
  <c r="BH10" i="9"/>
  <c r="KH4" i="9"/>
  <c r="KJ4" i="9" s="1"/>
  <c r="GG12" i="9"/>
  <c r="GI12" i="9" s="1"/>
  <c r="LC10" i="9"/>
  <c r="LE10" i="9" s="1"/>
  <c r="EQ10" i="9"/>
  <c r="ES10" i="9" s="1"/>
  <c r="JM7" i="9"/>
  <c r="JO7" i="9" s="1"/>
  <c r="DA7" i="9"/>
  <c r="DC7" i="9" s="1"/>
  <c r="BH12" i="9"/>
  <c r="BJ12" i="9" s="1"/>
  <c r="AM5" i="9"/>
  <c r="DV4" i="9"/>
  <c r="DX4" i="9" s="1"/>
  <c r="IR10" i="9"/>
  <c r="IT10" i="9" s="1"/>
  <c r="LC7" i="9"/>
  <c r="LE7" i="9" s="1"/>
  <c r="EQ7" i="9"/>
  <c r="ES7" i="9" s="1"/>
  <c r="P4" i="9"/>
  <c r="CH4" i="9" s="1"/>
  <c r="AM4" i="9"/>
  <c r="HW7" i="9"/>
  <c r="HY7" i="9" s="1"/>
  <c r="P12" i="9"/>
  <c r="P10" i="9"/>
  <c r="CC10" i="9"/>
  <c r="CE10" i="9" s="1"/>
  <c r="AM12" i="9"/>
  <c r="CC4" i="9"/>
  <c r="CE4" i="9" s="1"/>
  <c r="CC5" i="9"/>
  <c r="CE5" i="9" s="1"/>
  <c r="BH7" i="9"/>
  <c r="BJ7" i="9" s="1"/>
  <c r="DV12" i="2"/>
  <c r="DX12" i="2" s="1"/>
  <c r="CC8" i="2"/>
  <c r="CE8" i="2" s="1"/>
  <c r="IR5" i="2"/>
  <c r="IT5" i="2" s="1"/>
  <c r="LX5" i="2"/>
  <c r="LZ5" i="2" s="1"/>
  <c r="AM11" i="2"/>
  <c r="P5" i="2"/>
  <c r="Q5" i="2" s="1"/>
  <c r="AM9" i="2"/>
  <c r="AO9" i="2" s="1"/>
  <c r="BH6" i="2"/>
  <c r="BJ6" i="2" s="1"/>
  <c r="EQ5" i="2"/>
  <c r="ES5" i="2" s="1"/>
  <c r="HB13" i="2"/>
  <c r="HD13" i="2" s="1"/>
  <c r="GG9" i="2"/>
  <c r="GI9" i="2" s="1"/>
  <c r="FL7" i="2"/>
  <c r="FN7" i="2" s="1"/>
  <c r="FL8" i="2"/>
  <c r="FN8" i="2" s="1"/>
  <c r="EQ6" i="2"/>
  <c r="ES6" i="2" s="1"/>
  <c r="DV4" i="2"/>
  <c r="DX4" i="2" s="1"/>
  <c r="HB5" i="2"/>
  <c r="HD5" i="2" s="1"/>
  <c r="KH5" i="2"/>
  <c r="KJ5" i="2" s="1"/>
  <c r="DV5" i="2"/>
  <c r="DX5" i="2" s="1"/>
  <c r="DA13" i="2"/>
  <c r="DC13" i="2" s="1"/>
  <c r="GG13" i="2"/>
  <c r="GI13" i="2" s="1"/>
  <c r="FL9" i="2"/>
  <c r="FN9" i="2" s="1"/>
  <c r="EQ8" i="2"/>
  <c r="ES8" i="2" s="1"/>
  <c r="BH12" i="2"/>
  <c r="BJ12" i="2" s="1"/>
  <c r="AM13" i="2"/>
  <c r="CC4" i="2"/>
  <c r="CE4" i="2" s="1"/>
  <c r="AM12" i="2"/>
  <c r="CC7" i="2"/>
  <c r="CE7" i="2" s="1"/>
  <c r="BH4" i="2"/>
  <c r="BJ4" i="2" s="1"/>
  <c r="CC13" i="2"/>
  <c r="CE13" i="2" s="1"/>
  <c r="AM5" i="2"/>
  <c r="P4" i="2"/>
  <c r="CC11" i="2"/>
  <c r="CE11" i="2" s="1"/>
  <c r="BH8" i="2"/>
  <c r="BJ8" i="2" s="1"/>
  <c r="AM6" i="2"/>
  <c r="P7" i="2"/>
  <c r="P6" i="2"/>
  <c r="BH9" i="2"/>
  <c r="P12" i="2"/>
  <c r="BH11" i="2"/>
  <c r="BJ11" i="2" s="1"/>
  <c r="AM8" i="2"/>
  <c r="BH10" i="4"/>
  <c r="BJ10" i="4" s="1"/>
  <c r="GG20" i="4"/>
  <c r="GI20" i="4" s="1"/>
  <c r="LX11" i="4"/>
  <c r="LZ11" i="4" s="1"/>
  <c r="FL10" i="4"/>
  <c r="FN10" i="4" s="1"/>
  <c r="P21" i="4"/>
  <c r="Q21" i="4" s="1"/>
  <c r="JM13" i="4"/>
  <c r="JO13" i="4" s="1"/>
  <c r="DA13" i="4"/>
  <c r="DC13" i="4" s="1"/>
  <c r="GG13" i="4"/>
  <c r="GI13" i="4" s="1"/>
  <c r="IR20" i="4"/>
  <c r="IT20" i="4" s="1"/>
  <c r="LX20" i="4"/>
  <c r="LZ20" i="4" s="1"/>
  <c r="HW11" i="4"/>
  <c r="HY11" i="4" s="1"/>
  <c r="LC11" i="4"/>
  <c r="LE11" i="4" s="1"/>
  <c r="HW10" i="4"/>
  <c r="HY10" i="4" s="1"/>
  <c r="LC10" i="4"/>
  <c r="LE10" i="4" s="1"/>
  <c r="EQ10" i="4"/>
  <c r="ES10" i="4" s="1"/>
  <c r="KH6" i="4"/>
  <c r="KJ6" i="4" s="1"/>
  <c r="HB19" i="4"/>
  <c r="HD19" i="4" s="1"/>
  <c r="KH19" i="4"/>
  <c r="KJ19" i="4" s="1"/>
  <c r="DV19" i="4"/>
  <c r="DX19" i="4" s="1"/>
  <c r="JM9" i="4"/>
  <c r="JO9" i="4" s="1"/>
  <c r="DA9" i="4"/>
  <c r="DC9" i="4" s="1"/>
  <c r="LX8" i="4"/>
  <c r="LZ8" i="4" s="1"/>
  <c r="IR8" i="4"/>
  <c r="IT8" i="4" s="1"/>
  <c r="LC5" i="4"/>
  <c r="LE5" i="4" s="1"/>
  <c r="HW5" i="4"/>
  <c r="HY5" i="4" s="1"/>
  <c r="BH14" i="4"/>
  <c r="BJ14" i="4" s="1"/>
  <c r="CC23" i="4"/>
  <c r="CE23" i="4" s="1"/>
  <c r="CC7" i="4"/>
  <c r="CE7" i="4" s="1"/>
  <c r="EQ19" i="4"/>
  <c r="ES19" i="4" s="1"/>
  <c r="KH9" i="4"/>
  <c r="KJ9" i="4" s="1"/>
  <c r="DA8" i="4"/>
  <c r="DC8" i="4" s="1"/>
  <c r="FL5" i="4"/>
  <c r="FN5" i="4" s="1"/>
  <c r="AM22" i="4"/>
  <c r="CC21" i="4"/>
  <c r="CE21" i="4" s="1"/>
  <c r="BH13" i="4"/>
  <c r="BJ13" i="4" s="1"/>
  <c r="CC19" i="4"/>
  <c r="CE19" i="4" s="1"/>
  <c r="IR13" i="4"/>
  <c r="IT13" i="4" s="1"/>
  <c r="LX13" i="4"/>
  <c r="LZ13" i="4" s="1"/>
  <c r="LC20" i="4"/>
  <c r="LE20" i="4" s="1"/>
  <c r="HB11" i="4"/>
  <c r="HD11" i="4" s="1"/>
  <c r="DV11" i="4"/>
  <c r="DX11" i="4" s="1"/>
  <c r="KH10" i="4"/>
  <c r="KJ10" i="4" s="1"/>
  <c r="DV10" i="4"/>
  <c r="DX10" i="4" s="1"/>
  <c r="GG6" i="4"/>
  <c r="GI6" i="4" s="1"/>
  <c r="DA6" i="4"/>
  <c r="DC6" i="4" s="1"/>
  <c r="JM19" i="4"/>
  <c r="JO19" i="4" s="1"/>
  <c r="DA19" i="4"/>
  <c r="DC19" i="4" s="1"/>
  <c r="LX9" i="4"/>
  <c r="LZ9" i="4" s="1"/>
  <c r="FL9" i="4"/>
  <c r="FN9" i="4" s="1"/>
  <c r="LC8" i="4"/>
  <c r="LE8" i="4" s="1"/>
  <c r="EQ8" i="4"/>
  <c r="ES8" i="4" s="1"/>
  <c r="CC11" i="4"/>
  <c r="CE11" i="4" s="1"/>
  <c r="EQ6" i="4"/>
  <c r="ES6" i="4" s="1"/>
  <c r="DV9" i="4"/>
  <c r="DX9" i="4" s="1"/>
  <c r="JM8" i="4"/>
  <c r="JO8" i="4" s="1"/>
  <c r="LX5" i="4"/>
  <c r="LZ5" i="4" s="1"/>
  <c r="IR5" i="4"/>
  <c r="IT5" i="4" s="1"/>
  <c r="BH9" i="4"/>
  <c r="BJ9" i="4" s="1"/>
  <c r="P23" i="4"/>
  <c r="Q23" i="4" s="1"/>
  <c r="IR21" i="4"/>
  <c r="IT21" i="4" s="1"/>
  <c r="LX21" i="4"/>
  <c r="LZ21" i="4" s="1"/>
  <c r="LC13" i="4"/>
  <c r="LE13" i="4" s="1"/>
  <c r="EQ13" i="4"/>
  <c r="ES13" i="4" s="1"/>
  <c r="KH20" i="4"/>
  <c r="KJ20" i="4" s="1"/>
  <c r="DV20" i="4"/>
  <c r="DX20" i="4" s="1"/>
  <c r="GG11" i="4"/>
  <c r="GI11" i="4" s="1"/>
  <c r="JM11" i="4"/>
  <c r="JO11" i="4" s="1"/>
  <c r="DA10" i="4"/>
  <c r="DC10" i="4" s="1"/>
  <c r="IR6" i="4"/>
  <c r="IT6" i="4" s="1"/>
  <c r="FL19" i="4"/>
  <c r="FN19" i="4" s="1"/>
  <c r="HW9" i="4"/>
  <c r="HY9" i="4" s="1"/>
  <c r="HB8" i="4"/>
  <c r="HD8" i="4" s="1"/>
  <c r="AM4" i="4"/>
  <c r="LE7" i="4"/>
  <c r="P5" i="4"/>
  <c r="CH5" i="4" s="1"/>
  <c r="BH21" i="4"/>
  <c r="BJ21" i="4" s="1"/>
  <c r="AM8" i="4"/>
  <c r="KH13" i="4"/>
  <c r="KJ13" i="4" s="1"/>
  <c r="DV13" i="4"/>
  <c r="DX13" i="4" s="1"/>
  <c r="JM20" i="4"/>
  <c r="JO20" i="4" s="1"/>
  <c r="DA20" i="4"/>
  <c r="DC20" i="4" s="1"/>
  <c r="IR11" i="4"/>
  <c r="IT11" i="4" s="1"/>
  <c r="HW7" i="4"/>
  <c r="HY7" i="4" s="1"/>
  <c r="BH23" i="4"/>
  <c r="BJ23" i="4" s="1"/>
  <c r="CC6" i="4"/>
  <c r="CE6" i="4" s="1"/>
  <c r="BH19" i="4"/>
  <c r="BJ19" i="4" s="1"/>
  <c r="AM9" i="4"/>
  <c r="IR14" i="4"/>
  <c r="IT14" i="4" s="1"/>
  <c r="P7" i="4"/>
  <c r="BH6" i="4"/>
  <c r="BJ6" i="4" s="1"/>
  <c r="FL6" i="4"/>
  <c r="FN6" i="4" s="1"/>
  <c r="LX19" i="4"/>
  <c r="LZ19" i="4" s="1"/>
  <c r="LC9" i="4"/>
  <c r="LE9" i="4" s="1"/>
  <c r="KH8" i="4"/>
  <c r="KJ8" i="4" s="1"/>
  <c r="KH5" i="4"/>
  <c r="KJ5" i="4" s="1"/>
  <c r="P10" i="4"/>
  <c r="CH10" i="4" s="1"/>
  <c r="AM14" i="4"/>
  <c r="BH7" i="4"/>
  <c r="BJ7" i="4" s="1"/>
  <c r="CC10" i="4"/>
  <c r="CE10" i="4" s="1"/>
  <c r="P9" i="4"/>
  <c r="CH9" i="4" s="1"/>
  <c r="AM21" i="4"/>
  <c r="AM13" i="4"/>
  <c r="AM19" i="4"/>
  <c r="CC5" i="4"/>
  <c r="CE5" i="4" s="1"/>
  <c r="P14" i="4"/>
  <c r="CH14" i="4" s="1"/>
  <c r="P22" i="4"/>
  <c r="CH22" i="4" s="1"/>
  <c r="P4" i="4"/>
  <c r="Q4" i="4" s="1"/>
  <c r="P20" i="4"/>
  <c r="CH20" i="4" s="1"/>
  <c r="P19" i="4"/>
  <c r="Q19" i="4" s="1"/>
  <c r="AM24" i="4"/>
  <c r="AM10" i="4"/>
  <c r="CC8" i="4"/>
  <c r="CE8" i="4" s="1"/>
  <c r="P14" i="5"/>
  <c r="P6" i="5"/>
  <c r="P7" i="6"/>
  <c r="P6" i="6"/>
  <c r="P4" i="7"/>
  <c r="P9" i="7"/>
  <c r="P9" i="2"/>
  <c r="P15" i="5"/>
  <c r="P4" i="5"/>
  <c r="P12" i="6"/>
  <c r="P5" i="6"/>
  <c r="P5" i="8"/>
  <c r="P11" i="5"/>
  <c r="P12" i="5"/>
  <c r="P13" i="5"/>
  <c r="P4" i="6"/>
  <c r="P8" i="6"/>
  <c r="AM7" i="4"/>
  <c r="BH4" i="4"/>
  <c r="BJ4" i="4" s="1"/>
  <c r="P13" i="4"/>
  <c r="CC24" i="4"/>
  <c r="CE24" i="4" s="1"/>
  <c r="I11" i="5" l="1"/>
  <c r="I6" i="10"/>
  <c r="I13" i="5"/>
  <c r="I4" i="10"/>
  <c r="I5" i="10"/>
  <c r="I4" i="9"/>
  <c r="I12" i="9"/>
  <c r="I7" i="9"/>
  <c r="I5" i="9"/>
  <c r="I10" i="9"/>
  <c r="H13" i="2"/>
  <c r="A13" i="2" s="1"/>
  <c r="H14" i="4"/>
  <c r="A14" i="4" s="1"/>
  <c r="A13" i="6"/>
  <c r="I14" i="5"/>
  <c r="I12" i="5"/>
  <c r="CH8" i="4"/>
  <c r="I9" i="5"/>
  <c r="N11" i="5"/>
  <c r="L11" i="5"/>
  <c r="M11" i="5" s="1"/>
  <c r="CH13" i="2"/>
  <c r="I11" i="2"/>
  <c r="A12" i="5"/>
  <c r="I7" i="6"/>
  <c r="A12" i="6"/>
  <c r="I9" i="2"/>
  <c r="CH11" i="4"/>
  <c r="A15" i="5"/>
  <c r="I7" i="5"/>
  <c r="I15" i="5"/>
  <c r="I6" i="6"/>
  <c r="I12" i="6"/>
  <c r="I9" i="6"/>
  <c r="I8" i="6"/>
  <c r="I13" i="6"/>
  <c r="I8" i="8"/>
  <c r="I5" i="8"/>
  <c r="I6" i="8"/>
  <c r="I7" i="8"/>
  <c r="I10" i="7"/>
  <c r="I4" i="7"/>
  <c r="I7" i="7"/>
  <c r="I9" i="7"/>
  <c r="I13" i="2"/>
  <c r="I4" i="2"/>
  <c r="I12" i="2"/>
  <c r="I5" i="2"/>
  <c r="I6" i="2"/>
  <c r="H12" i="2"/>
  <c r="A12" i="2" s="1"/>
  <c r="I7" i="2"/>
  <c r="I8" i="2"/>
  <c r="I9" i="4"/>
  <c r="I10" i="4"/>
  <c r="I20" i="4"/>
  <c r="I11" i="4"/>
  <c r="I24" i="4"/>
  <c r="I14" i="4"/>
  <c r="I13" i="4"/>
  <c r="I5" i="4"/>
  <c r="I8" i="4"/>
  <c r="H21" i="4"/>
  <c r="A21" i="4" s="1"/>
  <c r="I21" i="4"/>
  <c r="I23" i="4"/>
  <c r="CH6" i="4"/>
  <c r="H9" i="4"/>
  <c r="A9" i="4" s="1"/>
  <c r="I6" i="4"/>
  <c r="I19" i="4"/>
  <c r="I22" i="4"/>
  <c r="H8" i="4"/>
  <c r="I7" i="4"/>
  <c r="I4" i="4"/>
  <c r="N9" i="5"/>
  <c r="DH9" i="5" s="1"/>
  <c r="K9" i="5"/>
  <c r="DG9" i="5"/>
  <c r="M9" i="5"/>
  <c r="L15" i="5"/>
  <c r="M15" i="5" s="1"/>
  <c r="N13" i="5"/>
  <c r="DH13" i="5" s="1"/>
  <c r="N13" i="6"/>
  <c r="DH13" i="6" s="1"/>
  <c r="AQ9" i="7"/>
  <c r="H9" i="7"/>
  <c r="H10" i="7"/>
  <c r="A10" i="7" s="1"/>
  <c r="AQ10" i="7"/>
  <c r="H4" i="7"/>
  <c r="H7" i="7"/>
  <c r="H6" i="10"/>
  <c r="AO4" i="10"/>
  <c r="H4" i="10"/>
  <c r="AO5" i="10"/>
  <c r="H5" i="10"/>
  <c r="AO5" i="9"/>
  <c r="H5" i="9"/>
  <c r="AO7" i="9"/>
  <c r="H7" i="9"/>
  <c r="A7" i="9" s="1"/>
  <c r="AO4" i="9"/>
  <c r="H4" i="9"/>
  <c r="J10" i="9"/>
  <c r="L10" i="9" s="1"/>
  <c r="CF10" i="9" s="1"/>
  <c r="H5" i="2"/>
  <c r="AO7" i="2"/>
  <c r="H7" i="2"/>
  <c r="AO8" i="2"/>
  <c r="H8" i="2"/>
  <c r="AO6" i="2"/>
  <c r="H6" i="2"/>
  <c r="AO13" i="2"/>
  <c r="AO4" i="2"/>
  <c r="H4" i="2"/>
  <c r="AO11" i="2"/>
  <c r="H11" i="2"/>
  <c r="Q8" i="2"/>
  <c r="AO4" i="4"/>
  <c r="H4" i="4"/>
  <c r="AO22" i="4"/>
  <c r="H22" i="4"/>
  <c r="A22" i="4" s="1"/>
  <c r="AO23" i="4"/>
  <c r="H23" i="4"/>
  <c r="A23" i="4" s="1"/>
  <c r="AO6" i="4"/>
  <c r="H6" i="4"/>
  <c r="H10" i="4"/>
  <c r="A10" i="4" s="1"/>
  <c r="CH24" i="4"/>
  <c r="H24" i="4"/>
  <c r="A24" i="4" s="1"/>
  <c r="H19" i="4"/>
  <c r="A19" i="4" s="1"/>
  <c r="H7" i="4"/>
  <c r="A7" i="4" s="1"/>
  <c r="H13" i="4"/>
  <c r="A13" i="4" s="1"/>
  <c r="AO11" i="4"/>
  <c r="H11" i="4"/>
  <c r="A11" i="4" s="1"/>
  <c r="H5" i="4"/>
  <c r="H20" i="4"/>
  <c r="A20" i="4" s="1"/>
  <c r="AQ8" i="8"/>
  <c r="H8" i="8"/>
  <c r="AQ7" i="8"/>
  <c r="H7" i="8"/>
  <c r="AQ6" i="8"/>
  <c r="H6" i="8"/>
  <c r="AQ5" i="8"/>
  <c r="H5" i="8"/>
  <c r="H12" i="9"/>
  <c r="A12" i="9" s="1"/>
  <c r="BJ10" i="9"/>
  <c r="H10" i="9"/>
  <c r="A10" i="9" s="1"/>
  <c r="BJ9" i="2"/>
  <c r="H9" i="2"/>
  <c r="N12" i="5"/>
  <c r="K12" i="5"/>
  <c r="DI9" i="6"/>
  <c r="L13" i="6"/>
  <c r="DG13" i="6" s="1"/>
  <c r="Q8" i="8"/>
  <c r="CH4" i="10"/>
  <c r="CH11" i="2"/>
  <c r="N7" i="5"/>
  <c r="K15" i="5"/>
  <c r="N9" i="6"/>
  <c r="O9" i="6" s="1"/>
  <c r="L4" i="6"/>
  <c r="DG4" i="6" s="1"/>
  <c r="L12" i="6"/>
  <c r="M12" i="6" s="1"/>
  <c r="CN6" i="8"/>
  <c r="Q5" i="9"/>
  <c r="J20" i="4"/>
  <c r="N20" i="4" s="1"/>
  <c r="CG20" i="4" s="1"/>
  <c r="CH21" i="4"/>
  <c r="O15" i="5"/>
  <c r="DH15" i="5"/>
  <c r="DG13" i="5"/>
  <c r="DG12" i="5"/>
  <c r="DG7" i="5"/>
  <c r="M7" i="5"/>
  <c r="N5" i="6"/>
  <c r="DH5" i="6" s="1"/>
  <c r="K12" i="6"/>
  <c r="K5" i="6"/>
  <c r="K8" i="6"/>
  <c r="N8" i="6"/>
  <c r="DH8" i="6" s="1"/>
  <c r="DI13" i="6"/>
  <c r="N12" i="6"/>
  <c r="DH12" i="6" s="1"/>
  <c r="J7" i="8"/>
  <c r="N7" i="8" s="1"/>
  <c r="J8" i="8"/>
  <c r="L8" i="8" s="1"/>
  <c r="CN7" i="7"/>
  <c r="J7" i="7"/>
  <c r="J5" i="10"/>
  <c r="K5" i="10" s="1"/>
  <c r="J5" i="9"/>
  <c r="Q7" i="9"/>
  <c r="CH5" i="2"/>
  <c r="J4" i="2"/>
  <c r="L4" i="2" s="1"/>
  <c r="CH19" i="4"/>
  <c r="Q20" i="4"/>
  <c r="CH23" i="4"/>
  <c r="Q5" i="4"/>
  <c r="Q9" i="4"/>
  <c r="J14" i="4"/>
  <c r="N14" i="4" s="1"/>
  <c r="J19" i="4"/>
  <c r="N19" i="4" s="1"/>
  <c r="O4" i="5"/>
  <c r="DH4" i="5"/>
  <c r="K4" i="5"/>
  <c r="L4" i="5"/>
  <c r="DG4" i="5" s="1"/>
  <c r="K7" i="5"/>
  <c r="DH6" i="5"/>
  <c r="DI9" i="5"/>
  <c r="Q9" i="5"/>
  <c r="DI7" i="5"/>
  <c r="Q7" i="5"/>
  <c r="K6" i="5"/>
  <c r="O14" i="5"/>
  <c r="L6" i="5"/>
  <c r="K14" i="5"/>
  <c r="K13" i="5"/>
  <c r="L14" i="5"/>
  <c r="K7" i="6"/>
  <c r="DH4" i="6"/>
  <c r="O4" i="6"/>
  <c r="K6" i="6"/>
  <c r="L6" i="6"/>
  <c r="DG6" i="6" s="1"/>
  <c r="K4" i="6"/>
  <c r="DG5" i="6"/>
  <c r="M5" i="6"/>
  <c r="N6" i="6"/>
  <c r="L7" i="6"/>
  <c r="M7" i="6" s="1"/>
  <c r="K9" i="6"/>
  <c r="DG8" i="6"/>
  <c r="M8" i="6"/>
  <c r="N7" i="6"/>
  <c r="J5" i="8"/>
  <c r="CN7" i="8"/>
  <c r="Q7" i="8"/>
  <c r="J6" i="8"/>
  <c r="J9" i="7"/>
  <c r="CN10" i="7"/>
  <c r="Q10" i="7"/>
  <c r="J4" i="7"/>
  <c r="AQ4" i="7"/>
  <c r="J10" i="7"/>
  <c r="K10" i="7" s="1"/>
  <c r="CH6" i="10"/>
  <c r="J6" i="10"/>
  <c r="AO6" i="10"/>
  <c r="J4" i="10"/>
  <c r="CH5" i="10"/>
  <c r="Q5" i="10"/>
  <c r="Q4" i="9"/>
  <c r="CH10" i="9"/>
  <c r="Q10" i="9"/>
  <c r="J7" i="9"/>
  <c r="CH12" i="9"/>
  <c r="Q12" i="9"/>
  <c r="J4" i="9"/>
  <c r="L4" i="9" s="1"/>
  <c r="J12" i="9"/>
  <c r="AO12" i="9"/>
  <c r="J9" i="2"/>
  <c r="J13" i="2"/>
  <c r="K13" i="2" s="1"/>
  <c r="CH12" i="2"/>
  <c r="Q12" i="2"/>
  <c r="CH4" i="2"/>
  <c r="Q4" i="2"/>
  <c r="J12" i="2"/>
  <c r="AO12" i="2"/>
  <c r="J11" i="2"/>
  <c r="CH6" i="2"/>
  <c r="Q6" i="2"/>
  <c r="J5" i="2"/>
  <c r="AO5" i="2"/>
  <c r="J7" i="2"/>
  <c r="N7" i="2" s="1"/>
  <c r="J8" i="2"/>
  <c r="L8" i="2" s="1"/>
  <c r="J6" i="2"/>
  <c r="CH7" i="2"/>
  <c r="Q7" i="2"/>
  <c r="J22" i="4"/>
  <c r="J5" i="4"/>
  <c r="J10" i="4"/>
  <c r="K10" i="4" s="1"/>
  <c r="Q10" i="4"/>
  <c r="J8" i="4"/>
  <c r="N8" i="4" s="1"/>
  <c r="Q14" i="4"/>
  <c r="J11" i="4"/>
  <c r="J21" i="4"/>
  <c r="AO21" i="4"/>
  <c r="J23" i="4"/>
  <c r="Q7" i="4"/>
  <c r="CH7" i="4"/>
  <c r="AO10" i="4"/>
  <c r="AO8" i="4"/>
  <c r="AO24" i="4"/>
  <c r="J6" i="4"/>
  <c r="L6" i="4" s="1"/>
  <c r="AO19" i="4"/>
  <c r="J9" i="4"/>
  <c r="AO9" i="4"/>
  <c r="Q22" i="4"/>
  <c r="CH4" i="4"/>
  <c r="J13" i="4"/>
  <c r="AO13" i="4"/>
  <c r="AO14" i="4"/>
  <c r="J4" i="4"/>
  <c r="DI14" i="5"/>
  <c r="Q14" i="5"/>
  <c r="DI8" i="6"/>
  <c r="Q8" i="6"/>
  <c r="DI12" i="6"/>
  <c r="Q12" i="6"/>
  <c r="CN5" i="8"/>
  <c r="Q5" i="8"/>
  <c r="DI4" i="5"/>
  <c r="Q4" i="5"/>
  <c r="J7" i="4"/>
  <c r="AO7" i="4"/>
  <c r="J24" i="4"/>
  <c r="DI4" i="6"/>
  <c r="Q4" i="6"/>
  <c r="CH9" i="2"/>
  <c r="Q9" i="2"/>
  <c r="DI13" i="5"/>
  <c r="Q13" i="5"/>
  <c r="DI15" i="5"/>
  <c r="Q15" i="5"/>
  <c r="CN9" i="7"/>
  <c r="Q9" i="7"/>
  <c r="CH13" i="4"/>
  <c r="Q13" i="4"/>
  <c r="DI12" i="5"/>
  <c r="Q12" i="5"/>
  <c r="CN4" i="7"/>
  <c r="Q4" i="7"/>
  <c r="DI6" i="6"/>
  <c r="Q6" i="6"/>
  <c r="DI11" i="5"/>
  <c r="Q11" i="5"/>
  <c r="DG9" i="6"/>
  <c r="M9" i="6"/>
  <c r="DI7" i="6"/>
  <c r="Q7" i="6"/>
  <c r="DI5" i="6"/>
  <c r="Q5" i="6"/>
  <c r="DI6" i="5"/>
  <c r="Q6" i="5"/>
  <c r="A9" i="7" l="1"/>
  <c r="DG11" i="5"/>
  <c r="O8" i="6"/>
  <c r="O11" i="5"/>
  <c r="DH11" i="5"/>
  <c r="DG15" i="5"/>
  <c r="R15" i="5" s="1"/>
  <c r="M4" i="6"/>
  <c r="O13" i="6"/>
  <c r="DH9" i="6"/>
  <c r="R9" i="6" s="1"/>
  <c r="E9" i="6" s="1"/>
  <c r="O9" i="5"/>
  <c r="R13" i="5"/>
  <c r="S13" i="5" s="1"/>
  <c r="O5" i="6"/>
  <c r="M13" i="6"/>
  <c r="K10" i="9"/>
  <c r="N10" i="9"/>
  <c r="CG10" i="9" s="1"/>
  <c r="R10" i="9" s="1"/>
  <c r="M10" i="9"/>
  <c r="N4" i="2"/>
  <c r="O4" i="2" s="1"/>
  <c r="L14" i="4"/>
  <c r="M14" i="4" s="1"/>
  <c r="K14" i="4"/>
  <c r="K19" i="4"/>
  <c r="O20" i="4"/>
  <c r="K20" i="4"/>
  <c r="L20" i="4"/>
  <c r="O13" i="5"/>
  <c r="R9" i="5"/>
  <c r="S9" i="5" s="1"/>
  <c r="DG12" i="6"/>
  <c r="R12" i="6" s="1"/>
  <c r="S12" i="6" s="1"/>
  <c r="K8" i="8"/>
  <c r="N8" i="8"/>
  <c r="O8" i="8" s="1"/>
  <c r="N5" i="10"/>
  <c r="CG5" i="10" s="1"/>
  <c r="L5" i="10"/>
  <c r="M5" i="10" s="1"/>
  <c r="N13" i="2"/>
  <c r="CG13" i="2" s="1"/>
  <c r="N10" i="4"/>
  <c r="CG10" i="4" s="1"/>
  <c r="L10" i="4"/>
  <c r="M10" i="4" s="1"/>
  <c r="O12" i="5"/>
  <c r="DH12" i="5"/>
  <c r="R12" i="5" s="1"/>
  <c r="K7" i="8"/>
  <c r="L7" i="8"/>
  <c r="CL7" i="8" s="1"/>
  <c r="L7" i="7"/>
  <c r="M7" i="7" s="1"/>
  <c r="L9" i="2"/>
  <c r="CF9" i="2" s="1"/>
  <c r="L19" i="4"/>
  <c r="M19" i="4" s="1"/>
  <c r="R4" i="5"/>
  <c r="S4" i="5" s="1"/>
  <c r="DH7" i="5"/>
  <c r="R7" i="5" s="1"/>
  <c r="O7" i="5"/>
  <c r="R4" i="6"/>
  <c r="N5" i="8"/>
  <c r="O5" i="8" s="1"/>
  <c r="K5" i="8"/>
  <c r="K7" i="7"/>
  <c r="K5" i="9"/>
  <c r="N5" i="9"/>
  <c r="CG5" i="9" s="1"/>
  <c r="L5" i="9"/>
  <c r="CF5" i="9" s="1"/>
  <c r="K6" i="2"/>
  <c r="L6" i="2"/>
  <c r="CF6" i="2" s="1"/>
  <c r="K4" i="2"/>
  <c r="N6" i="2"/>
  <c r="O6" i="2" s="1"/>
  <c r="K6" i="4"/>
  <c r="M6" i="6"/>
  <c r="O12" i="6"/>
  <c r="DG7" i="6"/>
  <c r="N7" i="7"/>
  <c r="CM7" i="7" s="1"/>
  <c r="K9" i="7"/>
  <c r="N9" i="7"/>
  <c r="CM9" i="7" s="1"/>
  <c r="L9" i="7"/>
  <c r="M9" i="7" s="1"/>
  <c r="K4" i="9"/>
  <c r="N4" i="9"/>
  <c r="CG4" i="9" s="1"/>
  <c r="K9" i="2"/>
  <c r="K7" i="2"/>
  <c r="N9" i="2"/>
  <c r="CG9" i="2" s="1"/>
  <c r="L7" i="2"/>
  <c r="CF7" i="2" s="1"/>
  <c r="K8" i="2"/>
  <c r="L13" i="2"/>
  <c r="CF13" i="2" s="1"/>
  <c r="L8" i="4"/>
  <c r="CF8" i="4" s="1"/>
  <c r="K8" i="4"/>
  <c r="N6" i="4"/>
  <c r="CG6" i="4" s="1"/>
  <c r="M4" i="5"/>
  <c r="DG6" i="5"/>
  <c r="R6" i="5" s="1"/>
  <c r="M6" i="5"/>
  <c r="DG14" i="5"/>
  <c r="R14" i="5" s="1"/>
  <c r="S14" i="5" s="1"/>
  <c r="M14" i="5"/>
  <c r="DH7" i="6"/>
  <c r="O7" i="6"/>
  <c r="DH6" i="6"/>
  <c r="R6" i="6" s="1"/>
  <c r="O6" i="6"/>
  <c r="R8" i="6"/>
  <c r="T8" i="6" s="1"/>
  <c r="R5" i="6"/>
  <c r="S5" i="6" s="1"/>
  <c r="L5" i="8"/>
  <c r="M5" i="8" s="1"/>
  <c r="N6" i="8"/>
  <c r="K6" i="8"/>
  <c r="L6" i="8"/>
  <c r="L10" i="7"/>
  <c r="CL10" i="7" s="1"/>
  <c r="N10" i="7"/>
  <c r="CM10" i="7" s="1"/>
  <c r="L4" i="7"/>
  <c r="K4" i="7"/>
  <c r="N4" i="7"/>
  <c r="N4" i="10"/>
  <c r="K4" i="10"/>
  <c r="L4" i="10"/>
  <c r="K6" i="10"/>
  <c r="N6" i="10"/>
  <c r="L6" i="10"/>
  <c r="L7" i="9"/>
  <c r="K7" i="9"/>
  <c r="N7" i="9"/>
  <c r="K12" i="9"/>
  <c r="L12" i="9"/>
  <c r="N12" i="9"/>
  <c r="N8" i="2"/>
  <c r="O8" i="2" s="1"/>
  <c r="K5" i="2"/>
  <c r="L5" i="2"/>
  <c r="N5" i="2"/>
  <c r="N11" i="2"/>
  <c r="K11" i="2"/>
  <c r="L11" i="2"/>
  <c r="K12" i="2"/>
  <c r="N12" i="2"/>
  <c r="L12" i="2"/>
  <c r="N5" i="4"/>
  <c r="K5" i="4"/>
  <c r="K11" i="4"/>
  <c r="N11" i="4"/>
  <c r="L11" i="4"/>
  <c r="L5" i="4"/>
  <c r="M5" i="4" s="1"/>
  <c r="L22" i="4"/>
  <c r="N22" i="4"/>
  <c r="K22" i="4"/>
  <c r="L13" i="4"/>
  <c r="N13" i="4"/>
  <c r="K13" i="4"/>
  <c r="K23" i="4"/>
  <c r="L23" i="4"/>
  <c r="N23" i="4"/>
  <c r="L9" i="4"/>
  <c r="N9" i="4"/>
  <c r="K9" i="4"/>
  <c r="N21" i="4"/>
  <c r="K21" i="4"/>
  <c r="L21" i="4"/>
  <c r="O8" i="4"/>
  <c r="CG8" i="4"/>
  <c r="O14" i="4"/>
  <c r="CG14" i="4"/>
  <c r="O19" i="4"/>
  <c r="CG19" i="4"/>
  <c r="M4" i="2"/>
  <c r="CF4" i="2"/>
  <c r="CM7" i="8"/>
  <c r="O7" i="8"/>
  <c r="N24" i="4"/>
  <c r="K24" i="4"/>
  <c r="L24" i="4"/>
  <c r="CL8" i="8"/>
  <c r="M8" i="8"/>
  <c r="CF6" i="4"/>
  <c r="M6" i="4"/>
  <c r="R13" i="6"/>
  <c r="CG7" i="2"/>
  <c r="O7" i="2"/>
  <c r="CF8" i="2"/>
  <c r="M8" i="2"/>
  <c r="CF4" i="9"/>
  <c r="M4" i="9"/>
  <c r="N7" i="4"/>
  <c r="K7" i="4"/>
  <c r="L7" i="4"/>
  <c r="L4" i="4"/>
  <c r="N4" i="4"/>
  <c r="K4" i="4"/>
  <c r="R11" i="5" l="1"/>
  <c r="E11" i="5" s="1"/>
  <c r="E4" i="6"/>
  <c r="CL7" i="7"/>
  <c r="R7" i="7" s="1"/>
  <c r="S7" i="7" s="1"/>
  <c r="CG4" i="2"/>
  <c r="R4" i="2" s="1"/>
  <c r="S4" i="2" s="1"/>
  <c r="CF14" i="4"/>
  <c r="R14" i="4" s="1"/>
  <c r="S11" i="5"/>
  <c r="T15" i="5"/>
  <c r="S15" i="5"/>
  <c r="E15" i="5"/>
  <c r="E4" i="5"/>
  <c r="E9" i="5"/>
  <c r="E13" i="5"/>
  <c r="T9" i="5"/>
  <c r="T13" i="5"/>
  <c r="T9" i="6"/>
  <c r="S9" i="6"/>
  <c r="E13" i="6"/>
  <c r="CM8" i="8"/>
  <c r="R8" i="8" s="1"/>
  <c r="S8" i="8" s="1"/>
  <c r="O5" i="10"/>
  <c r="M5" i="9"/>
  <c r="O10" i="9"/>
  <c r="E10" i="9" s="1"/>
  <c r="O4" i="9"/>
  <c r="O13" i="2"/>
  <c r="M6" i="2"/>
  <c r="R7" i="6"/>
  <c r="E7" i="6" s="1"/>
  <c r="CF5" i="10"/>
  <c r="R5" i="10" s="1"/>
  <c r="S5" i="10" s="1"/>
  <c r="CF19" i="4"/>
  <c r="R19" i="4" s="1"/>
  <c r="T19" i="4" s="1"/>
  <c r="M20" i="4"/>
  <c r="CF20" i="4"/>
  <c r="R20" i="4" s="1"/>
  <c r="T20" i="4" s="1"/>
  <c r="CF10" i="4"/>
  <c r="R10" i="4" s="1"/>
  <c r="O10" i="4"/>
  <c r="T4" i="5"/>
  <c r="T4" i="6"/>
  <c r="S4" i="6"/>
  <c r="T5" i="6"/>
  <c r="O10" i="7"/>
  <c r="O7" i="7"/>
  <c r="CL9" i="7"/>
  <c r="R9" i="7" s="1"/>
  <c r="O5" i="9"/>
  <c r="O9" i="2"/>
  <c r="M7" i="2"/>
  <c r="CM5" i="8"/>
  <c r="M7" i="8"/>
  <c r="M9" i="2"/>
  <c r="T12" i="5"/>
  <c r="S12" i="5"/>
  <c r="E12" i="5"/>
  <c r="E12" i="6"/>
  <c r="O9" i="7"/>
  <c r="R5" i="9"/>
  <c r="S5" i="9" s="1"/>
  <c r="M13" i="2"/>
  <c r="M8" i="4"/>
  <c r="T6" i="5"/>
  <c r="S6" i="5"/>
  <c r="S7" i="5"/>
  <c r="T7" i="5"/>
  <c r="E7" i="5"/>
  <c r="E14" i="5"/>
  <c r="CL5" i="8"/>
  <c r="CG6" i="2"/>
  <c r="R6" i="2" s="1"/>
  <c r="O6" i="4"/>
  <c r="E6" i="5"/>
  <c r="T12" i="6"/>
  <c r="M10" i="7"/>
  <c r="CG8" i="2"/>
  <c r="R8" i="2" s="1"/>
  <c r="T14" i="5"/>
  <c r="S8" i="6"/>
  <c r="E8" i="6"/>
  <c r="A8" i="6" s="1"/>
  <c r="E5" i="6"/>
  <c r="M6" i="8"/>
  <c r="CL6" i="8"/>
  <c r="O6" i="8"/>
  <c r="CM6" i="8"/>
  <c r="O4" i="7"/>
  <c r="CM4" i="7"/>
  <c r="CL4" i="7"/>
  <c r="M4" i="7"/>
  <c r="R10" i="7"/>
  <c r="S10" i="7" s="1"/>
  <c r="M4" i="10"/>
  <c r="CF4" i="10"/>
  <c r="CF6" i="10"/>
  <c r="M6" i="10"/>
  <c r="CG4" i="10"/>
  <c r="O4" i="10"/>
  <c r="CG6" i="10"/>
  <c r="O6" i="10"/>
  <c r="CF12" i="9"/>
  <c r="M12" i="9"/>
  <c r="CG7" i="9"/>
  <c r="O7" i="9"/>
  <c r="M7" i="9"/>
  <c r="CF7" i="9"/>
  <c r="CG12" i="9"/>
  <c r="O12" i="9"/>
  <c r="R13" i="2"/>
  <c r="R7" i="2"/>
  <c r="CG5" i="2"/>
  <c r="O5" i="2"/>
  <c r="M12" i="2"/>
  <c r="CF12" i="2"/>
  <c r="O12" i="2"/>
  <c r="CG12" i="2"/>
  <c r="CF11" i="2"/>
  <c r="M11" i="2"/>
  <c r="CF5" i="2"/>
  <c r="M5" i="2"/>
  <c r="O11" i="2"/>
  <c r="CG11" i="2"/>
  <c r="M11" i="4"/>
  <c r="CF11" i="4"/>
  <c r="O22" i="4"/>
  <c r="CG22" i="4"/>
  <c r="CF22" i="4"/>
  <c r="M22" i="4"/>
  <c r="CG11" i="4"/>
  <c r="O11" i="4"/>
  <c r="CF5" i="4"/>
  <c r="O5" i="4"/>
  <c r="CG5" i="4"/>
  <c r="CG23" i="4"/>
  <c r="O23" i="4"/>
  <c r="R6" i="4"/>
  <c r="T6" i="4" s="1"/>
  <c r="O9" i="4"/>
  <c r="CG9" i="4"/>
  <c r="M9" i="4"/>
  <c r="CF9" i="4"/>
  <c r="O13" i="4"/>
  <c r="CG13" i="4"/>
  <c r="CF21" i="4"/>
  <c r="M21" i="4"/>
  <c r="M23" i="4"/>
  <c r="CF23" i="4"/>
  <c r="M13" i="4"/>
  <c r="CF13" i="4"/>
  <c r="O21" i="4"/>
  <c r="CG21" i="4"/>
  <c r="M4" i="4"/>
  <c r="CF4" i="4"/>
  <c r="M24" i="4"/>
  <c r="CF24" i="4"/>
  <c r="T10" i="9"/>
  <c r="S10" i="9"/>
  <c r="M7" i="4"/>
  <c r="CF7" i="4"/>
  <c r="T6" i="6"/>
  <c r="S6" i="6"/>
  <c r="E6" i="6"/>
  <c r="R9" i="2"/>
  <c r="R7" i="8"/>
  <c r="R8" i="4"/>
  <c r="S13" i="6"/>
  <c r="T13" i="6"/>
  <c r="CG24" i="4"/>
  <c r="O24" i="4"/>
  <c r="CG4" i="4"/>
  <c r="O4" i="4"/>
  <c r="O7" i="4"/>
  <c r="CG7" i="4"/>
  <c r="R4" i="9"/>
  <c r="T11" i="5" l="1"/>
  <c r="A7" i="6"/>
  <c r="A9" i="5"/>
  <c r="R5" i="8"/>
  <c r="S5" i="8" s="1"/>
  <c r="T7" i="6"/>
  <c r="A10" i="6"/>
  <c r="A6" i="6"/>
  <c r="A9" i="6"/>
  <c r="A8" i="5"/>
  <c r="A14" i="5"/>
  <c r="A5" i="5"/>
  <c r="A7" i="5"/>
  <c r="S7" i="6"/>
  <c r="E6" i="2"/>
  <c r="R4" i="7"/>
  <c r="E4" i="7" s="1"/>
  <c r="E7" i="2"/>
  <c r="E20" i="4"/>
  <c r="A11" i="5"/>
  <c r="A6" i="5"/>
  <c r="A4" i="5"/>
  <c r="A13" i="5"/>
  <c r="A4" i="6"/>
  <c r="A5" i="6"/>
  <c r="T5" i="10"/>
  <c r="E5" i="10"/>
  <c r="S20" i="4"/>
  <c r="E7" i="8"/>
  <c r="S9" i="7"/>
  <c r="T9" i="7"/>
  <c r="E9" i="7"/>
  <c r="T7" i="7"/>
  <c r="E5" i="9"/>
  <c r="T5" i="9"/>
  <c r="E13" i="2"/>
  <c r="S6" i="2"/>
  <c r="T6" i="2"/>
  <c r="E10" i="7"/>
  <c r="T10" i="7"/>
  <c r="S13" i="2"/>
  <c r="S8" i="2"/>
  <c r="E8" i="2"/>
  <c r="T8" i="2"/>
  <c r="S7" i="2"/>
  <c r="E7" i="7"/>
  <c r="T4" i="2"/>
  <c r="R12" i="2"/>
  <c r="S12" i="2" s="1"/>
  <c r="R21" i="4"/>
  <c r="S21" i="4" s="1"/>
  <c r="R22" i="4"/>
  <c r="E22" i="4" s="1"/>
  <c r="E6" i="4"/>
  <c r="T8" i="8"/>
  <c r="E8" i="8"/>
  <c r="R6" i="8"/>
  <c r="R6" i="10"/>
  <c r="E6" i="10" s="1"/>
  <c r="R4" i="10"/>
  <c r="R7" i="9"/>
  <c r="R12" i="9"/>
  <c r="T7" i="2"/>
  <c r="E4" i="2"/>
  <c r="T13" i="2"/>
  <c r="R11" i="2"/>
  <c r="E11" i="2" s="1"/>
  <c r="A11" i="2" s="1"/>
  <c r="R5" i="2"/>
  <c r="E5" i="2" s="1"/>
  <c r="S19" i="4"/>
  <c r="R9" i="4"/>
  <c r="E9" i="4" s="1"/>
  <c r="E19" i="4"/>
  <c r="R11" i="4"/>
  <c r="S6" i="4"/>
  <c r="R23" i="4"/>
  <c r="S23" i="4" s="1"/>
  <c r="R5" i="4"/>
  <c r="R13" i="4"/>
  <c r="T14" i="4"/>
  <c r="S14" i="4"/>
  <c r="E14" i="4"/>
  <c r="R24" i="4"/>
  <c r="E24" i="4" s="1"/>
  <c r="R4" i="4"/>
  <c r="E4" i="4" s="1"/>
  <c r="S9" i="2"/>
  <c r="T9" i="2"/>
  <c r="E9" i="2"/>
  <c r="T8" i="4"/>
  <c r="S8" i="4"/>
  <c r="S10" i="4"/>
  <c r="T10" i="4"/>
  <c r="E10" i="4"/>
  <c r="T4" i="9"/>
  <c r="S4" i="9"/>
  <c r="R7" i="4"/>
  <c r="E7" i="4" s="1"/>
  <c r="T7" i="8"/>
  <c r="S7" i="8"/>
  <c r="E4" i="9"/>
  <c r="E8" i="4"/>
  <c r="A6" i="7" l="1"/>
  <c r="E5" i="8"/>
  <c r="T5" i="8"/>
  <c r="A5" i="7"/>
  <c r="S4" i="7"/>
  <c r="T4" i="7"/>
  <c r="S6" i="10"/>
  <c r="A7" i="7"/>
  <c r="A4" i="7"/>
  <c r="T6" i="10"/>
  <c r="S9" i="4"/>
  <c r="T9" i="4"/>
  <c r="C50" i="11"/>
  <c r="D52" i="11"/>
  <c r="D53" i="11"/>
  <c r="C55" i="11"/>
  <c r="C56" i="11"/>
  <c r="C53" i="11"/>
  <c r="D56" i="11"/>
  <c r="C51" i="11"/>
  <c r="D54" i="11"/>
  <c r="D57" i="11"/>
  <c r="C57" i="11"/>
  <c r="D51" i="11"/>
  <c r="C52" i="11"/>
  <c r="D50" i="11"/>
  <c r="D55" i="11"/>
  <c r="C54" i="11"/>
  <c r="E21" i="4"/>
  <c r="T21" i="4"/>
  <c r="D44" i="11"/>
  <c r="E12" i="2"/>
  <c r="A10" i="2" s="1"/>
  <c r="T12" i="2"/>
  <c r="S22" i="4"/>
  <c r="T22" i="4"/>
  <c r="S6" i="8"/>
  <c r="T6" i="8"/>
  <c r="E6" i="8"/>
  <c r="A8" i="8" s="1"/>
  <c r="T4" i="10"/>
  <c r="S4" i="10"/>
  <c r="E4" i="10"/>
  <c r="A6" i="10" s="1"/>
  <c r="S12" i="9"/>
  <c r="T12" i="9"/>
  <c r="S7" i="9"/>
  <c r="T7" i="9"/>
  <c r="E7" i="9"/>
  <c r="E12" i="9"/>
  <c r="S5" i="2"/>
  <c r="T5" i="2"/>
  <c r="S11" i="2"/>
  <c r="T11" i="2"/>
  <c r="E5" i="4"/>
  <c r="T5" i="4"/>
  <c r="S5" i="4"/>
  <c r="E11" i="4"/>
  <c r="T11" i="4"/>
  <c r="S11" i="4"/>
  <c r="T23" i="4"/>
  <c r="E23" i="4"/>
  <c r="S13" i="4"/>
  <c r="T13" i="4"/>
  <c r="E13" i="4"/>
  <c r="D43" i="11"/>
  <c r="C47" i="11"/>
  <c r="D47" i="11"/>
  <c r="D45" i="11"/>
  <c r="C46" i="11"/>
  <c r="D42" i="11"/>
  <c r="C49" i="11"/>
  <c r="D49" i="11"/>
  <c r="C43" i="11"/>
  <c r="C42" i="11"/>
  <c r="C44" i="11"/>
  <c r="C48" i="11"/>
  <c r="C45" i="11"/>
  <c r="D48" i="11"/>
  <c r="D46" i="11"/>
  <c r="S24" i="4"/>
  <c r="T24" i="4"/>
  <c r="T4" i="4"/>
  <c r="S4" i="4"/>
  <c r="S7" i="4"/>
  <c r="T7" i="4"/>
  <c r="A5" i="8" l="1"/>
  <c r="A6" i="2"/>
  <c r="A5" i="9"/>
  <c r="A7" i="8"/>
  <c r="A6" i="8"/>
  <c r="A4" i="8"/>
  <c r="A6" i="4"/>
  <c r="A4" i="2"/>
  <c r="A4" i="4"/>
  <c r="A4" i="9"/>
  <c r="A5" i="10"/>
  <c r="A4" i="10"/>
  <c r="A5" i="2"/>
  <c r="A7" i="2"/>
  <c r="A8" i="2"/>
  <c r="A9" i="2"/>
  <c r="A5" i="4"/>
  <c r="A8" i="4"/>
  <c r="C26" i="11"/>
  <c r="C30" i="11"/>
  <c r="D29" i="11"/>
  <c r="D31" i="11"/>
  <c r="D28" i="11"/>
  <c r="D27" i="11"/>
  <c r="C28" i="11"/>
  <c r="C31" i="11"/>
  <c r="D32" i="11"/>
  <c r="D30" i="11"/>
  <c r="D26" i="11"/>
  <c r="C29" i="11"/>
  <c r="D33" i="11"/>
  <c r="C32" i="11"/>
  <c r="C27" i="11"/>
  <c r="C33" i="11"/>
  <c r="D19" i="11" l="1"/>
  <c r="D40" i="11"/>
  <c r="D36" i="11"/>
  <c r="D37" i="11"/>
  <c r="D39" i="11"/>
  <c r="C37" i="11"/>
  <c r="C35" i="11"/>
  <c r="D35" i="11"/>
  <c r="C40" i="11"/>
  <c r="C36" i="11"/>
  <c r="D34" i="11"/>
  <c r="D38" i="11"/>
  <c r="C39" i="11"/>
  <c r="C34" i="11"/>
  <c r="C41" i="11"/>
  <c r="C38" i="11"/>
  <c r="D41" i="11"/>
  <c r="D20" i="11"/>
  <c r="D18" i="11"/>
  <c r="D21" i="11"/>
  <c r="C20" i="11"/>
  <c r="C21" i="11"/>
  <c r="C19" i="11"/>
  <c r="C18" i="11"/>
  <c r="C15" i="11"/>
  <c r="D16" i="11"/>
  <c r="C16" i="11"/>
  <c r="D14" i="11"/>
  <c r="C14" i="11"/>
  <c r="D11" i="11"/>
  <c r="C12" i="11"/>
  <c r="D15" i="11"/>
  <c r="D10" i="11"/>
  <c r="D12" i="11"/>
  <c r="C13" i="11"/>
  <c r="D17" i="11"/>
  <c r="C10" i="11"/>
  <c r="D13" i="11"/>
  <c r="C17" i="11"/>
  <c r="C11" i="11"/>
  <c r="C24" i="11"/>
  <c r="D22" i="11"/>
  <c r="D25" i="11"/>
  <c r="C25" i="11"/>
  <c r="D23" i="11"/>
  <c r="C22" i="11"/>
  <c r="D24" i="11"/>
  <c r="C23" i="11"/>
  <c r="C3" i="11"/>
  <c r="D8" i="11"/>
  <c r="C4" i="11"/>
  <c r="D7" i="11"/>
  <c r="C6" i="11"/>
  <c r="D2" i="11"/>
  <c r="C5" i="11"/>
  <c r="D6" i="11"/>
  <c r="C9" i="11"/>
  <c r="C8" i="11"/>
  <c r="D5" i="11"/>
  <c r="D4" i="11"/>
  <c r="D3" i="11"/>
  <c r="C7" i="11"/>
  <c r="C2" i="11"/>
  <c r="D9" i="11"/>
</calcChain>
</file>

<file path=xl/sharedStrings.xml><?xml version="1.0" encoding="utf-8"?>
<sst xmlns="http://schemas.openxmlformats.org/spreadsheetml/2006/main" count="3853" uniqueCount="163">
  <si>
    <t>Province</t>
  </si>
  <si>
    <t>First Year in Senior</t>
  </si>
  <si>
    <t>Rank</t>
  </si>
  <si>
    <t>Total Points</t>
  </si>
  <si>
    <t>ON</t>
  </si>
  <si>
    <t>SOEHN, Keegan</t>
  </si>
  <si>
    <t>AB</t>
  </si>
  <si>
    <t>SOEHN, Kyle</t>
  </si>
  <si>
    <t>BC</t>
  </si>
  <si>
    <t>GEREIN, Curtis</t>
  </si>
  <si>
    <t>CRANHAM, Jacob</t>
  </si>
  <si>
    <t>SHUH, Nathan</t>
  </si>
  <si>
    <t>DAGENAIS, Frédéric</t>
  </si>
  <si>
    <t>QC</t>
  </si>
  <si>
    <t>ARMSTRONG, Mark</t>
  </si>
  <si>
    <t>MASSÉ, Gabriel</t>
  </si>
  <si>
    <t>CARISSE, Jesse</t>
  </si>
  <si>
    <t>TYO, Benjamin</t>
  </si>
  <si>
    <t>BRUNO, Mario</t>
  </si>
  <si>
    <t>NG, Vincent</t>
  </si>
  <si>
    <t>MARTIN, Andrew</t>
  </si>
  <si>
    <t>DD</t>
  </si>
  <si>
    <t>Team Score</t>
  </si>
  <si>
    <t>Standing</t>
  </si>
  <si>
    <t>Best Prelim</t>
  </si>
  <si>
    <t>Best Vol 1</t>
  </si>
  <si>
    <t>Best Vol 2</t>
  </si>
  <si>
    <t>Best Final</t>
  </si>
  <si>
    <t>Best International Difference</t>
  </si>
  <si>
    <t>EX</t>
  </si>
  <si>
    <t>HD</t>
  </si>
  <si>
    <t>TOF</t>
  </si>
  <si>
    <t>Total</t>
  </si>
  <si>
    <t>Voluntary 1</t>
  </si>
  <si>
    <t>Voluntary 2</t>
  </si>
  <si>
    <t>Vol 1</t>
  </si>
  <si>
    <t>Vol 2</t>
  </si>
  <si>
    <t>Final</t>
  </si>
  <si>
    <t>Prelim</t>
  </si>
  <si>
    <t>Funding Score</t>
  </si>
  <si>
    <t>Prelim DD</t>
  </si>
  <si>
    <t>LAPIERRE, Kyle</t>
  </si>
  <si>
    <t>MÉTHOT, Sophiane</t>
  </si>
  <si>
    <t>MILETTE, Sarah</t>
  </si>
  <si>
    <t>SMITH, Samantha</t>
  </si>
  <si>
    <t>DUNDAS, Bronte</t>
  </si>
  <si>
    <t>TAM, Rachel</t>
  </si>
  <si>
    <t>MacLENNAN, Rosannagh</t>
  </si>
  <si>
    <t>ROUX, Laurence</t>
  </si>
  <si>
    <t>DUFOUR, Karine</t>
  </si>
  <si>
    <t>THOMPSON, Taysia</t>
  </si>
  <si>
    <t>Athlete</t>
  </si>
  <si>
    <t>BURNETT, Jason</t>
  </si>
  <si>
    <t>STIRLING, Trevor</t>
  </si>
  <si>
    <t>Best Pass 1-2</t>
  </si>
  <si>
    <t>Best Pass 3-4</t>
  </si>
  <si>
    <t>Pass 1</t>
  </si>
  <si>
    <t>Penalty</t>
  </si>
  <si>
    <t>Bonus</t>
  </si>
  <si>
    <t>Pass 2</t>
  </si>
  <si>
    <t>Pass 3</t>
  </si>
  <si>
    <t>Pass 4</t>
  </si>
  <si>
    <t>Pass 5</t>
  </si>
  <si>
    <t>Pass 6</t>
  </si>
  <si>
    <t>O'BRIEN, Tamara</t>
  </si>
  <si>
    <t>MILLER-BURKO, Jordyn</t>
  </si>
  <si>
    <t>WHEATLEY, Sarah</t>
  </si>
  <si>
    <t>OH, Arden</t>
  </si>
  <si>
    <t>PRCIC, Beatrice</t>
  </si>
  <si>
    <t>Pass 1-2</t>
  </si>
  <si>
    <t>Pass 3-4</t>
  </si>
  <si>
    <t>SCHWAIGER, Jonathon</t>
  </si>
  <si>
    <t>SUNDQUIST, Callum</t>
  </si>
  <si>
    <t>CREMER, Loic</t>
  </si>
  <si>
    <t>LEFAIVRE, Justin</t>
  </si>
  <si>
    <t>TOMALTY, Connar</t>
  </si>
  <si>
    <t>SHEEHAN, Ryan</t>
  </si>
  <si>
    <t>Best Pass 1</t>
  </si>
  <si>
    <t>Best Pass 2</t>
  </si>
  <si>
    <t>CHAVES, Michael</t>
  </si>
  <si>
    <t>RYANE, Casey</t>
  </si>
  <si>
    <t>Final DD</t>
  </si>
  <si>
    <t>SUGRIM, Jordan</t>
  </si>
  <si>
    <t>ABOURAJA, Nora</t>
  </si>
  <si>
    <t>McNUTT, Catherine</t>
  </si>
  <si>
    <t>Synchro</t>
  </si>
  <si>
    <t>MÉTHOT &amp; MILETTE</t>
  </si>
  <si>
    <t>Location</t>
  </si>
  <si>
    <t>2017 World Cup BLR (Aug)</t>
  </si>
  <si>
    <t>2017 World Games (Jul)</t>
  </si>
  <si>
    <t>Routine</t>
  </si>
  <si>
    <t>Merit Score</t>
  </si>
  <si>
    <t>2017 3rd Domestic Trial</t>
  </si>
  <si>
    <t>Show data entry cells</t>
  </si>
  <si>
    <t>Hide data entry cells</t>
  </si>
  <si>
    <t>Sort names into correct order</t>
  </si>
  <si>
    <t>GRIEVE, Danielle</t>
  </si>
  <si>
    <t>SK</t>
  </si>
  <si>
    <t>NAKONECHNI, Haley</t>
  </si>
  <si>
    <t>CRANHAM &amp; NG</t>
  </si>
  <si>
    <t>SMITH &amp; TAM</t>
  </si>
  <si>
    <t>SOEHN &amp; SOEHN</t>
  </si>
  <si>
    <t>2017 World Cup POR (Sept)</t>
  </si>
  <si>
    <t>2017 World Cup ESP (Oct)</t>
  </si>
  <si>
    <t>Team Members:</t>
  </si>
  <si>
    <t>TRA-M</t>
  </si>
  <si>
    <t>Member</t>
  </si>
  <si>
    <t>Last Updated:</t>
  </si>
  <si>
    <t>Ciudad de Valladolid (Oct)</t>
  </si>
  <si>
    <t>TRA-W</t>
  </si>
  <si>
    <t>SYN-M</t>
  </si>
  <si>
    <t>SYN-W</t>
  </si>
  <si>
    <t>TUM-M</t>
  </si>
  <si>
    <t>TUM-W</t>
  </si>
  <si>
    <t>DMT-M</t>
  </si>
  <si>
    <t>DMT-W</t>
  </si>
  <si>
    <t>2017 World Championships (Nov)</t>
  </si>
  <si>
    <t>2017 World Championships Semi-Finals (Nov)</t>
  </si>
  <si>
    <t>2017 World Championships Team Finals (Nov)</t>
  </si>
  <si>
    <t>2017 World Age Group Championships (Nov)</t>
  </si>
  <si>
    <t>National Team Score</t>
  </si>
  <si>
    <t>Worlds Team Score</t>
  </si>
  <si>
    <t>Worlds Team DD</t>
  </si>
  <si>
    <t>National Team DD</t>
  </si>
  <si>
    <t>2018 Canada Cup</t>
  </si>
  <si>
    <t>CIRONE, Domenica</t>
  </si>
  <si>
    <t>SOEHN, Kalena</t>
  </si>
  <si>
    <t>LALUMIÈRE, HUGO</t>
  </si>
  <si>
    <t>CHAMPAGNE, Tyler</t>
  </si>
  <si>
    <t>LAGACÉ, Benjamin</t>
  </si>
  <si>
    <t>BLAKELY, Zachary</t>
  </si>
  <si>
    <t>FOREST, Alexandra</t>
  </si>
  <si>
    <t>HESMERT, Tiana</t>
  </si>
  <si>
    <t>MCINTYRE, Clay</t>
  </si>
  <si>
    <t>HIPEL, Zoe</t>
  </si>
  <si>
    <t>ZEUNER, Michael</t>
  </si>
  <si>
    <t>BERTHIAUME &amp; BERTHIAUME</t>
  </si>
  <si>
    <t>CHARTIER &amp; LAGACÉ</t>
  </si>
  <si>
    <t>2018 World Cup ITA (Apr)</t>
  </si>
  <si>
    <t>2018 Pacific Rim (Apr)</t>
  </si>
  <si>
    <t>CRANHAM &amp; MARTIN</t>
  </si>
  <si>
    <t>***2017 SCORES***</t>
  </si>
  <si>
    <t>2018 Nationals</t>
  </si>
  <si>
    <t>WOOLEY, Steven</t>
  </si>
  <si>
    <t>BURNETT &amp; CRANHAM</t>
  </si>
  <si>
    <t>DWYER &amp; MCLEAN</t>
  </si>
  <si>
    <t>SHUH &amp; STIRLING</t>
  </si>
  <si>
    <t>NS/BC</t>
  </si>
  <si>
    <t>CARLSON &amp; CHAMPAGNE</t>
  </si>
  <si>
    <t>BLAKELY &amp; HENFRY</t>
  </si>
  <si>
    <t>AUBIN &amp; SEROUART</t>
  </si>
  <si>
    <t>MACLENNAN &amp; TAM</t>
  </si>
  <si>
    <t>2018 Pacific Rim Team Finals (Apr)</t>
  </si>
  <si>
    <t>ON/BC</t>
  </si>
  <si>
    <t>ROUX &amp; SOEHN</t>
  </si>
  <si>
    <t>REDILLAS, Damien</t>
  </si>
  <si>
    <t>HAIMES, Devon</t>
  </si>
  <si>
    <t>Nationals</t>
  </si>
  <si>
    <t>Junior Pan Ams</t>
  </si>
  <si>
    <t>2018 Junior Pan Am Championships (June)</t>
  </si>
  <si>
    <t>CHARTIER &amp; PEDERSEN</t>
  </si>
  <si>
    <t>QC/BC</t>
  </si>
  <si>
    <t>BERTHIAUME &amp; BONHAM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</si>
</sst>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[$-F800]dddd\,\ mmmm\ dd\,\ yyyy"/>
  </numFmts>
  <fonts count="21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name val="Calibri"/>
      <family val="2"/>
      <scheme val="minor"/>
    </font>
    <font>
      <sz val="12"/>
      <color theme="1"/>
      <name val="Wingdings 2"/>
      <charset val="2"/>
    </font>
    <font>
      <sz val="12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B050"/>
      <name val="Calibri"/>
      <family val="2"/>
      <scheme val="minor"/>
    </font>
    <font>
      <sz val="12"/>
      <color rgb="FF00B0F0"/>
      <name val="Calibri"/>
      <family val="2"/>
      <scheme val="minor"/>
    </font>
    <font>
      <sz val="12"/>
      <color rgb="FF7030A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3"/>
      <color rgb="FF333333"/>
      <name val="Verdana"/>
      <family val="2"/>
    </font>
    <font>
      <sz val="10"/>
      <color rgb="FF000000"/>
      <name val="Helvetica"/>
      <family val="2"/>
    </font>
    <font>
      <sz val="12"/>
      <color rgb="FF000000"/>
      <name val="Calibri"/>
      <family val="2"/>
    </font>
    <font>
      <sz val="12"/>
      <color rgb="FFC00000"/>
      <name val="Calibri"/>
      <family val="2"/>
      <scheme val="minor"/>
    </font>
    <font>
      <sz val="12"/>
      <color rgb="FFFFB000"/>
      <name val="Calibri"/>
      <family val="2"/>
      <scheme val="minor"/>
    </font>
    <font>
      <sz val="12"/>
      <color rgb="FFFF00FC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D3D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E5C6FA"/>
        <bgColor indexed="64"/>
      </patternFill>
    </fill>
    <fill>
      <patternFill patternType="solid">
        <fgColor rgb="FFE7E6E6"/>
        <bgColor rgb="FF000000"/>
      </patternFill>
    </fill>
    <fill>
      <patternFill patternType="solid">
        <fgColor theme="0"/>
        <bgColor rgb="FF000000"/>
      </patternFill>
    </fill>
    <fill>
      <patternFill patternType="solid">
        <fgColor theme="2"/>
        <bgColor rgb="FF000000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FFBFFF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</borders>
  <cellStyleXfs count="50">
    <xf numFmtId="0" fontId="0" fillId="0" borderId="0"/>
    <xf numFmtId="0" fontId="2" fillId="2" borderId="0" applyNumberFormat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</cellStyleXfs>
  <cellXfs count="112">
    <xf numFmtId="0" fontId="0" fillId="0" borderId="0" xfId="0"/>
    <xf numFmtId="0" fontId="5" fillId="0" borderId="0" xfId="0" applyFont="1" applyBorder="1" applyAlignment="1">
      <alignment horizontal="center"/>
    </xf>
    <xf numFmtId="14" fontId="0" fillId="0" borderId="0" xfId="0" applyNumberFormat="1"/>
    <xf numFmtId="164" fontId="0" fillId="0" borderId="0" xfId="0" applyNumberFormat="1"/>
    <xf numFmtId="0" fontId="6" fillId="0" borderId="0" xfId="0" applyFont="1" applyAlignment="1">
      <alignment horizontal="center"/>
    </xf>
    <xf numFmtId="0" fontId="7" fillId="0" borderId="0" xfId="0" applyFont="1" applyFill="1" applyBorder="1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 applyFill="1"/>
    <xf numFmtId="0" fontId="7" fillId="0" borderId="0" xfId="0" applyFont="1" applyFill="1" applyAlignment="1">
      <alignment horizontal="center"/>
    </xf>
    <xf numFmtId="0" fontId="7" fillId="0" borderId="0" xfId="0" applyFont="1" applyFill="1" applyBorder="1"/>
    <xf numFmtId="0" fontId="0" fillId="3" borderId="0" xfId="0" applyFill="1" applyAlignment="1">
      <alignment horizontal="center"/>
    </xf>
    <xf numFmtId="0" fontId="0" fillId="3" borderId="0" xfId="0" applyFill="1" applyAlignment="1"/>
    <xf numFmtId="0" fontId="0" fillId="3" borderId="0" xfId="0" applyFill="1"/>
    <xf numFmtId="164" fontId="0" fillId="3" borderId="0" xfId="0" applyNumberFormat="1" applyFill="1"/>
    <xf numFmtId="0" fontId="0" fillId="4" borderId="0" xfId="0" applyFill="1" applyAlignment="1"/>
    <xf numFmtId="0" fontId="0" fillId="4" borderId="0" xfId="0" applyFill="1"/>
    <xf numFmtId="164" fontId="0" fillId="4" borderId="0" xfId="0" applyNumberFormat="1" applyFill="1"/>
    <xf numFmtId="164" fontId="4" fillId="0" borderId="0" xfId="0" applyNumberFormat="1" applyFont="1"/>
    <xf numFmtId="0" fontId="0" fillId="3" borderId="0" xfId="0" applyFill="1" applyAlignment="1">
      <alignment horizontal="center"/>
    </xf>
    <xf numFmtId="0" fontId="13" fillId="11" borderId="0" xfId="0" applyFont="1" applyFill="1"/>
    <xf numFmtId="0" fontId="13" fillId="12" borderId="0" xfId="0" applyFont="1" applyFill="1"/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15" fillId="0" borderId="0" xfId="0" applyFont="1"/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13" fillId="11" borderId="0" xfId="0" applyFont="1" applyFill="1" applyAlignment="1">
      <alignment horizontal="center"/>
    </xf>
    <xf numFmtId="0" fontId="13" fillId="12" borderId="0" xfId="0" applyFont="1" applyFill="1" applyAlignment="1">
      <alignment horizontal="center"/>
    </xf>
    <xf numFmtId="0" fontId="0" fillId="13" borderId="0" xfId="0" applyFill="1" applyAlignment="1"/>
    <xf numFmtId="0" fontId="0" fillId="13" borderId="0" xfId="0" applyFill="1"/>
    <xf numFmtId="164" fontId="0" fillId="13" borderId="0" xfId="0" applyNumberFormat="1" applyFill="1"/>
    <xf numFmtId="164" fontId="0" fillId="4" borderId="0" xfId="0" applyNumberFormat="1" applyFill="1" applyAlignment="1">
      <alignment horizontal="center"/>
    </xf>
    <xf numFmtId="0" fontId="0" fillId="0" borderId="0" xfId="0" applyAlignment="1">
      <alignment horizontal="left"/>
    </xf>
    <xf numFmtId="0" fontId="7" fillId="0" borderId="0" xfId="0" applyFont="1" applyBorder="1" applyAlignment="1">
      <alignment horizontal="center"/>
    </xf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13" fillId="3" borderId="0" xfId="0" applyFont="1" applyFill="1" applyAlignment="1">
      <alignment horizontal="center"/>
    </xf>
    <xf numFmtId="0" fontId="13" fillId="4" borderId="0" xfId="0" applyFont="1" applyFill="1" applyAlignment="1">
      <alignment horizontal="center"/>
    </xf>
    <xf numFmtId="0" fontId="13" fillId="10" borderId="0" xfId="0" applyFont="1" applyFill="1" applyAlignment="1">
      <alignment horizontal="center"/>
    </xf>
    <xf numFmtId="0" fontId="13" fillId="11" borderId="0" xfId="0" applyFont="1" applyFill="1" applyAlignment="1">
      <alignment horizontal="center"/>
    </xf>
    <xf numFmtId="0" fontId="13" fillId="12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0" borderId="0" xfId="0" applyFill="1" applyBorder="1"/>
    <xf numFmtId="164" fontId="13" fillId="0" borderId="0" xfId="0" applyNumberFormat="1" applyFont="1" applyFill="1" applyBorder="1"/>
    <xf numFmtId="164" fontId="0" fillId="0" borderId="0" xfId="0" applyNumberFormat="1" applyFill="1" applyBorder="1"/>
    <xf numFmtId="164" fontId="13" fillId="0" borderId="2" xfId="0" applyNumberFormat="1" applyFont="1" applyFill="1" applyBorder="1"/>
    <xf numFmtId="164" fontId="0" fillId="3" borderId="1" xfId="0" applyNumberFormat="1" applyFill="1" applyBorder="1" applyProtection="1">
      <protection locked="0"/>
    </xf>
    <xf numFmtId="164" fontId="0" fillId="4" borderId="1" xfId="0" applyNumberFormat="1" applyFill="1" applyBorder="1" applyProtection="1">
      <protection locked="0"/>
    </xf>
    <xf numFmtId="164" fontId="0" fillId="3" borderId="1" xfId="0" applyNumberFormat="1" applyFont="1" applyFill="1" applyBorder="1" applyProtection="1">
      <protection locked="0"/>
    </xf>
    <xf numFmtId="164" fontId="0" fillId="4" borderId="1" xfId="0" applyNumberFormat="1" applyFont="1" applyFill="1" applyBorder="1" applyProtection="1">
      <protection locked="0"/>
    </xf>
    <xf numFmtId="164" fontId="0" fillId="3" borderId="1" xfId="0" applyNumberFormat="1" applyFill="1" applyBorder="1" applyAlignment="1" applyProtection="1">
      <alignment horizontal="left"/>
      <protection locked="0"/>
    </xf>
    <xf numFmtId="0" fontId="0" fillId="0" borderId="0" xfId="0" applyProtection="1"/>
    <xf numFmtId="164" fontId="13" fillId="11" borderId="1" xfId="0" applyNumberFormat="1" applyFont="1" applyFill="1" applyBorder="1" applyProtection="1">
      <protection locked="0"/>
    </xf>
    <xf numFmtId="164" fontId="13" fillId="12" borderId="1" xfId="0" applyNumberFormat="1" applyFont="1" applyFill="1" applyBorder="1" applyProtection="1">
      <protection locked="0"/>
    </xf>
    <xf numFmtId="164" fontId="7" fillId="3" borderId="1" xfId="1" applyNumberFormat="1" applyFont="1" applyFill="1" applyBorder="1" applyProtection="1">
      <protection locked="0"/>
    </xf>
    <xf numFmtId="164" fontId="18" fillId="3" borderId="1" xfId="1" applyNumberFormat="1" applyFont="1" applyFill="1" applyBorder="1" applyProtection="1">
      <protection locked="0"/>
    </xf>
    <xf numFmtId="164" fontId="18" fillId="4" borderId="1" xfId="1" applyNumberFormat="1" applyFont="1" applyFill="1" applyBorder="1" applyProtection="1">
      <protection locked="0"/>
    </xf>
    <xf numFmtId="164" fontId="18" fillId="4" borderId="1" xfId="0" applyNumberFormat="1" applyFont="1" applyFill="1" applyBorder="1" applyProtection="1">
      <protection locked="0"/>
    </xf>
    <xf numFmtId="164" fontId="18" fillId="3" borderId="1" xfId="0" applyNumberFormat="1" applyFont="1" applyFill="1" applyBorder="1" applyProtection="1">
      <protection locked="0"/>
    </xf>
    <xf numFmtId="164" fontId="1" fillId="3" borderId="1" xfId="1" applyNumberFormat="1" applyFont="1" applyFill="1" applyBorder="1" applyProtection="1">
      <protection locked="0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13" fillId="10" borderId="0" xfId="0" applyFont="1" applyFill="1" applyAlignment="1">
      <alignment horizontal="center"/>
    </xf>
    <xf numFmtId="0" fontId="13" fillId="12" borderId="0" xfId="0" applyFont="1" applyFill="1" applyAlignment="1">
      <alignment horizontal="center"/>
    </xf>
    <xf numFmtId="0" fontId="13" fillId="11" borderId="0" xfId="0" applyFont="1" applyFill="1" applyAlignment="1">
      <alignment horizontal="center"/>
    </xf>
    <xf numFmtId="0" fontId="13" fillId="14" borderId="0" xfId="0" applyFont="1" applyFill="1" applyAlignment="1">
      <alignment horizontal="center"/>
    </xf>
    <xf numFmtId="0" fontId="0" fillId="0" borderId="0" xfId="0" applyAlignment="1"/>
    <xf numFmtId="0" fontId="0" fillId="0" borderId="0" xfId="0" applyFill="1"/>
    <xf numFmtId="164" fontId="0" fillId="0" borderId="0" xfId="0" applyNumberFormat="1" applyFill="1"/>
    <xf numFmtId="164" fontId="7" fillId="0" borderId="0" xfId="0" applyNumberFormat="1" applyFont="1" applyFill="1"/>
    <xf numFmtId="0" fontId="7" fillId="0" borderId="0" xfId="0" applyFont="1" applyFill="1" applyAlignment="1"/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13" fillId="4" borderId="0" xfId="0" applyFont="1" applyFill="1" applyAlignment="1">
      <alignment horizontal="center"/>
    </xf>
    <xf numFmtId="0" fontId="13" fillId="3" borderId="0" xfId="0" applyFont="1" applyFill="1" applyAlignment="1">
      <alignment horizontal="center"/>
    </xf>
    <xf numFmtId="0" fontId="13" fillId="12" borderId="0" xfId="0" applyFont="1" applyFill="1" applyAlignment="1">
      <alignment horizontal="center"/>
    </xf>
    <xf numFmtId="0" fontId="13" fillId="11" borderId="0" xfId="0" applyFont="1" applyFill="1" applyAlignment="1">
      <alignment horizontal="center"/>
    </xf>
    <xf numFmtId="164" fontId="18" fillId="3" borderId="1" xfId="1" applyNumberFormat="1" applyFont="1" applyFill="1" applyBorder="1" applyAlignment="1" applyProtection="1">
      <alignment horizontal="left"/>
      <protection locked="0"/>
    </xf>
    <xf numFmtId="164" fontId="7" fillId="4" borderId="1" xfId="1" applyNumberFormat="1" applyFont="1" applyFill="1" applyBorder="1" applyProtection="1">
      <protection locked="0"/>
    </xf>
    <xf numFmtId="164" fontId="19" fillId="7" borderId="0" xfId="0" applyNumberFormat="1" applyFont="1" applyFill="1" applyProtection="1">
      <protection locked="0"/>
    </xf>
    <xf numFmtId="164" fontId="3" fillId="5" borderId="0" xfId="0" applyNumberFormat="1" applyFont="1" applyFill="1" applyProtection="1">
      <protection locked="0"/>
    </xf>
    <xf numFmtId="164" fontId="20" fillId="15" borderId="0" xfId="0" applyNumberFormat="1" applyFont="1" applyFill="1" applyProtection="1">
      <protection locked="0"/>
    </xf>
    <xf numFmtId="164" fontId="11" fillId="8" borderId="0" xfId="0" applyNumberFormat="1" applyFont="1" applyFill="1" applyProtection="1">
      <protection locked="0"/>
    </xf>
    <xf numFmtId="164" fontId="10" fillId="6" borderId="0" xfId="0" applyNumberFormat="1" applyFont="1" applyFill="1" applyProtection="1">
      <protection locked="0"/>
    </xf>
    <xf numFmtId="164" fontId="12" fillId="9" borderId="0" xfId="0" applyNumberFormat="1" applyFont="1" applyFill="1" applyProtection="1">
      <protection locked="0"/>
    </xf>
    <xf numFmtId="164" fontId="7" fillId="3" borderId="1" xfId="0" applyNumberFormat="1" applyFont="1" applyFill="1" applyBorder="1" applyProtection="1">
      <protection locked="0"/>
    </xf>
    <xf numFmtId="164" fontId="0" fillId="3" borderId="1" xfId="1" applyNumberFormat="1" applyFont="1" applyFill="1" applyBorder="1" applyProtection="1">
      <protection locked="0"/>
    </xf>
    <xf numFmtId="0" fontId="19" fillId="7" borderId="0" xfId="0" applyFont="1" applyFill="1" applyAlignment="1"/>
    <xf numFmtId="0" fontId="3" fillId="5" borderId="0" xfId="0" applyFont="1" applyFill="1" applyAlignment="1"/>
    <xf numFmtId="0" fontId="20" fillId="15" borderId="0" xfId="0" applyFont="1" applyFill="1" applyAlignment="1"/>
    <xf numFmtId="0" fontId="11" fillId="8" borderId="0" xfId="0" applyFont="1" applyFill="1" applyAlignment="1"/>
    <xf numFmtId="0" fontId="10" fillId="6" borderId="0" xfId="0" applyFont="1" applyFill="1" applyAlignment="1"/>
    <xf numFmtId="0" fontId="12" fillId="9" borderId="0" xfId="0" applyFont="1" applyFill="1" applyAlignment="1"/>
    <xf numFmtId="164" fontId="7" fillId="4" borderId="1" xfId="0" applyNumberFormat="1" applyFont="1" applyFill="1" applyBorder="1" applyProtection="1">
      <protection locked="0"/>
    </xf>
    <xf numFmtId="165" fontId="0" fillId="0" borderId="0" xfId="0" applyNumberFormat="1" applyAlignment="1">
      <alignment horizontal="left"/>
    </xf>
    <xf numFmtId="0" fontId="4" fillId="4" borderId="0" xfId="0" applyFont="1" applyFill="1" applyAlignment="1" applyProtection="1">
      <alignment horizontal="center"/>
      <protection locked="0"/>
    </xf>
    <xf numFmtId="0" fontId="4" fillId="3" borderId="0" xfId="0" applyFont="1" applyFill="1" applyAlignment="1" applyProtection="1">
      <alignment horizontal="center"/>
      <protection locked="0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4" fillId="13" borderId="0" xfId="0" applyFont="1" applyFill="1" applyAlignment="1" applyProtection="1">
      <alignment horizontal="center"/>
      <protection locked="0"/>
    </xf>
    <xf numFmtId="0" fontId="4" fillId="0" borderId="0" xfId="0" applyFont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4" fillId="4" borderId="0" xfId="0" applyFont="1" applyFill="1" applyAlignment="1">
      <alignment vertical="center"/>
    </xf>
    <xf numFmtId="0" fontId="4" fillId="0" borderId="0" xfId="0" applyFont="1" applyAlignment="1">
      <alignment vertical="center"/>
    </xf>
    <xf numFmtId="0" fontId="13" fillId="3" borderId="0" xfId="0" applyFont="1" applyFill="1" applyAlignment="1">
      <alignment horizontal="center"/>
    </xf>
    <xf numFmtId="0" fontId="13" fillId="4" borderId="0" xfId="0" applyFont="1" applyFill="1" applyAlignment="1">
      <alignment horizontal="center"/>
    </xf>
    <xf numFmtId="0" fontId="13" fillId="12" borderId="0" xfId="0" applyFont="1" applyFill="1" applyAlignment="1">
      <alignment horizontal="center"/>
    </xf>
    <xf numFmtId="0" fontId="13" fillId="10" borderId="0" xfId="0" applyFont="1" applyFill="1" applyAlignment="1">
      <alignment horizontal="center"/>
    </xf>
    <xf numFmtId="0" fontId="14" fillId="11" borderId="0" xfId="0" applyFont="1" applyFill="1" applyAlignment="1" applyProtection="1">
      <alignment horizontal="center"/>
      <protection locked="0"/>
    </xf>
    <xf numFmtId="0" fontId="13" fillId="11" borderId="0" xfId="0" applyFont="1" applyFill="1" applyAlignment="1">
      <alignment horizontal="center"/>
    </xf>
    <xf numFmtId="0" fontId="14" fillId="12" borderId="0" xfId="0" applyFont="1" applyFill="1" applyAlignment="1" applyProtection="1">
      <alignment horizontal="center"/>
      <protection locked="0"/>
    </xf>
  </cellXfs>
  <cellStyles count="50">
    <cellStyle name="Bad" xfId="1" builtinId="27"/>
    <cellStyle name="Followed Hyperlink" xfId="3" builtinId="9" hidden="1"/>
    <cellStyle name="Followed Hyperlink" xfId="5" builtinId="9" hidden="1"/>
    <cellStyle name="Followed Hyperlink" xfId="7" builtinId="9" hidden="1"/>
    <cellStyle name="Followed Hyperlink" xfId="9" builtinId="9" hidden="1"/>
    <cellStyle name="Followed Hyperlink" xfId="11" builtinId="9" hidden="1"/>
    <cellStyle name="Followed Hyperlink" xfId="13" builtinId="9" hidden="1"/>
    <cellStyle name="Followed Hyperlink" xfId="15" builtinId="9" hidden="1"/>
    <cellStyle name="Followed Hyperlink" xfId="17" builtinId="9" hidden="1"/>
    <cellStyle name="Followed Hyperlink" xfId="19" builtinId="9" hidden="1"/>
    <cellStyle name="Followed Hyperlink" xfId="21" builtinId="9" hidden="1"/>
    <cellStyle name="Followed Hyperlink" xfId="23" builtinId="9" hidden="1"/>
    <cellStyle name="Followed Hyperlink" xfId="25" builtinId="9" hidden="1"/>
    <cellStyle name="Followed Hyperlink" xfId="27" builtinId="9" hidden="1"/>
    <cellStyle name="Followed Hyperlink" xfId="29" builtinId="9" hidden="1"/>
    <cellStyle name="Followed Hyperlink" xfId="31" builtinId="9" hidden="1"/>
    <cellStyle name="Followed Hyperlink" xfId="33" builtinId="9" hidden="1"/>
    <cellStyle name="Followed Hyperlink" xfId="35" builtinId="9" hidden="1"/>
    <cellStyle name="Followed Hyperlink" xfId="37" builtinId="9" hidden="1"/>
    <cellStyle name="Followed Hyperlink" xfId="39" builtinId="9" hidden="1"/>
    <cellStyle name="Followed Hyperlink" xfId="41" builtinId="9" hidden="1"/>
    <cellStyle name="Followed Hyperlink" xfId="43" builtinId="9" hidden="1"/>
    <cellStyle name="Followed Hyperlink" xfId="45" builtinId="9" hidden="1"/>
    <cellStyle name="Followed Hyperlink" xfId="47" builtinId="9" hidden="1"/>
    <cellStyle name="Followed Hyperlink" xfId="49" builtinId="9" hidden="1"/>
    <cellStyle name="Hyperlink" xfId="2" builtinId="8" hidden="1"/>
    <cellStyle name="Hyperlink" xfId="4" builtinId="8" hidden="1"/>
    <cellStyle name="Hyperlink" xfId="6" builtinId="8" hidden="1"/>
    <cellStyle name="Hyperlink" xfId="8" builtinId="8" hidden="1"/>
    <cellStyle name="Hyperlink" xfId="10" builtinId="8" hidden="1"/>
    <cellStyle name="Hyperlink" xfId="12" builtinId="8" hidden="1"/>
    <cellStyle name="Hyperlink" xfId="14" builtinId="8" hidden="1"/>
    <cellStyle name="Hyperlink" xfId="16" builtinId="8" hidden="1"/>
    <cellStyle name="Hyperlink" xfId="18" builtinId="8" hidden="1"/>
    <cellStyle name="Hyperlink" xfId="20" builtinId="8" hidden="1"/>
    <cellStyle name="Hyperlink" xfId="22" builtinId="8" hidden="1"/>
    <cellStyle name="Hyperlink" xfId="24" builtinId="8" hidden="1"/>
    <cellStyle name="Hyperlink" xfId="26" builtinId="8" hidden="1"/>
    <cellStyle name="Hyperlink" xfId="28" builtinId="8" hidden="1"/>
    <cellStyle name="Hyperlink" xfId="30" builtinId="8" hidden="1"/>
    <cellStyle name="Hyperlink" xfId="32" builtinId="8" hidden="1"/>
    <cellStyle name="Hyperlink" xfId="34" builtinId="8" hidden="1"/>
    <cellStyle name="Hyperlink" xfId="36" builtinId="8" hidden="1"/>
    <cellStyle name="Hyperlink" xfId="38" builtinId="8" hidden="1"/>
    <cellStyle name="Hyperlink" xfId="40" builtinId="8" hidden="1"/>
    <cellStyle name="Hyperlink" xfId="42" builtinId="8" hidden="1"/>
    <cellStyle name="Hyperlink" xfId="44" builtinId="8" hidden="1"/>
    <cellStyle name="Hyperlink" xfId="46" builtinId="8" hidden="1"/>
    <cellStyle name="Hyperlink" xfId="48" builtinId="8" hidden="1"/>
    <cellStyle name="Normal" xfId="0" builtinId="0"/>
  </cellStyles>
  <dxfs count="167"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rgb="FFFFD3D3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rgb="FFFFD3D3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u val="none"/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rgb="FFFFD3D3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B000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solid">
          <bgColor rgb="FFFFD3D3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B000"/>
      </font>
      <fill>
        <patternFill>
          <bgColor theme="7" tint="0.79998168889431442"/>
        </patternFill>
      </fill>
    </dxf>
    <dxf>
      <font>
        <color rgb="FFFF0000"/>
      </font>
      <fill>
        <patternFill patternType="solid">
          <bgColor rgb="FFFFD3D3"/>
        </patternFill>
      </fill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 patternType="solid">
          <bgColor theme="8" tint="0.79998168889431442"/>
        </patternFill>
      </fill>
    </dxf>
    <dxf>
      <font>
        <color rgb="FF00B050"/>
      </font>
      <fill>
        <patternFill patternType="solid"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0000"/>
      </font>
      <fill>
        <patternFill patternType="solid">
          <bgColor rgb="FFFFD3D3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rgb="FFFFD3D3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>
          <bgColor rgb="FFE5C6FA"/>
        </patternFill>
      </fill>
    </dxf>
    <dxf>
      <font>
        <u val="none"/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C000"/>
      </font>
      <fill>
        <patternFill>
          <bgColor theme="7" tint="0.79998168889431442"/>
        </patternFill>
      </fill>
    </dxf>
    <dxf>
      <font>
        <color rgb="FFFF0000"/>
      </font>
      <fill>
        <patternFill patternType="solid">
          <bgColor rgb="FFFFD3D3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D3D3"/>
        </patternFill>
      </fill>
    </dxf>
  </dxfs>
  <tableStyles count="0" defaultTableStyle="TableStyleMedium9" defaultPivotStyle="PivotStyleMedium7"/>
  <colors>
    <mruColors>
      <color rgb="FFFFD3D3"/>
      <color rgb="FFFFA300"/>
      <color rgb="FFE5C6FA"/>
      <color rgb="FFFFBFFF"/>
      <color rgb="FFFF00FC"/>
      <color rgb="FFFF6D7C"/>
      <color rgb="FFFFB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58</xdr:row>
          <xdr:rowOff>38100</xdr:rowOff>
        </xdr:from>
        <xdr:to>
          <xdr:col>0</xdr:col>
          <xdr:colOff>812800</xdr:colOff>
          <xdr:row>58</xdr:row>
          <xdr:rowOff>190500</xdr:rowOff>
        </xdr:to>
        <xdr:sp macro="" textlink="">
          <xdr:nvSpPr>
            <xdr:cNvPr id="2049" name="Sort Names" descr="Sort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Sort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59</xdr:row>
          <xdr:rowOff>25400</xdr:rowOff>
        </xdr:from>
        <xdr:to>
          <xdr:col>0</xdr:col>
          <xdr:colOff>800100</xdr:colOff>
          <xdr:row>59</xdr:row>
          <xdr:rowOff>190500</xdr:rowOff>
        </xdr:to>
        <xdr:sp macro="" textlink="">
          <xdr:nvSpPr>
            <xdr:cNvPr id="2050" name="Show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Show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60</xdr:row>
          <xdr:rowOff>38100</xdr:rowOff>
        </xdr:from>
        <xdr:to>
          <xdr:col>0</xdr:col>
          <xdr:colOff>800100</xdr:colOff>
          <xdr:row>60</xdr:row>
          <xdr:rowOff>190500</xdr:rowOff>
        </xdr:to>
        <xdr:sp macro="" textlink="">
          <xdr:nvSpPr>
            <xdr:cNvPr id="2051" name="Button 3" descr="Hide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Hide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9"/>
  <dimension ref="A1:L67"/>
  <sheetViews>
    <sheetView tabSelected="1" workbookViewId="0"/>
  </sheetViews>
  <sheetFormatPr baseColWidth="10" defaultRowHeight="16" x14ac:dyDescent="0.2"/>
  <cols>
    <col min="1" max="1" width="14.5" bestFit="1" customWidth="1"/>
    <col min="2" max="2" width="5.6640625" customWidth="1"/>
    <col min="3" max="3" width="35" bestFit="1" customWidth="1"/>
    <col min="4" max="4" width="13.33203125" bestFit="1" customWidth="1"/>
    <col min="5" max="5" width="6.6640625" bestFit="1" customWidth="1"/>
    <col min="6" max="6" width="21.33203125" bestFit="1" customWidth="1"/>
    <col min="7" max="7" width="25.1640625" bestFit="1" customWidth="1"/>
    <col min="8" max="8" width="35" bestFit="1" customWidth="1"/>
    <col min="9" max="9" width="14.83203125" bestFit="1" customWidth="1"/>
    <col min="10" max="10" width="8.1640625" bestFit="1" customWidth="1"/>
    <col min="11" max="11" width="6.6640625" bestFit="1" customWidth="1"/>
    <col min="12" max="12" width="17.5" bestFit="1" customWidth="1"/>
    <col min="13" max="13" width="8.1640625" bestFit="1" customWidth="1"/>
    <col min="14" max="14" width="7.33203125" bestFit="1" customWidth="1"/>
    <col min="15" max="15" width="19.5" bestFit="1" customWidth="1"/>
    <col min="16" max="16" width="8.1640625" bestFit="1" customWidth="1"/>
    <col min="17" max="17" width="7.5" bestFit="1" customWidth="1"/>
    <col min="18" max="18" width="14.1640625" bestFit="1" customWidth="1"/>
    <col min="20" max="20" width="7.33203125" customWidth="1"/>
    <col min="21" max="21" width="16.83203125" customWidth="1"/>
    <col min="22" max="22" width="8.1640625" customWidth="1"/>
    <col min="23" max="23" width="7.33203125" customWidth="1"/>
    <col min="24" max="24" width="16.83203125" customWidth="1"/>
    <col min="25" max="25" width="11" customWidth="1"/>
    <col min="26" max="34" width="10.83203125" customWidth="1"/>
    <col min="41" max="55" width="10.83203125" customWidth="1"/>
    <col min="62" max="76" width="10.83203125" customWidth="1"/>
    <col min="86" max="100" width="10.83203125" customWidth="1"/>
    <col min="107" max="121" width="10.83203125" customWidth="1"/>
    <col min="128" max="142" width="10.83203125" customWidth="1"/>
    <col min="149" max="163" width="10.83203125" customWidth="1"/>
    <col min="170" max="184" width="10.83203125" customWidth="1"/>
    <col min="191" max="205" width="10.83203125" customWidth="1"/>
    <col min="212" max="226" width="10.83203125" customWidth="1"/>
    <col min="233" max="247" width="10.83203125" customWidth="1"/>
    <col min="254" max="268" width="10.83203125" customWidth="1"/>
    <col min="275" max="289" width="10.83203125" customWidth="1"/>
    <col min="296" max="310" width="10.83203125" customWidth="1"/>
    <col min="317" max="331" width="10.83203125" customWidth="1"/>
  </cols>
  <sheetData>
    <row r="1" spans="1:12" x14ac:dyDescent="0.2">
      <c r="A1" t="s">
        <v>104</v>
      </c>
      <c r="B1" t="s">
        <v>2</v>
      </c>
      <c r="C1" t="s">
        <v>106</v>
      </c>
      <c r="D1" t="s">
        <v>23</v>
      </c>
      <c r="E1" s="67"/>
      <c r="F1" s="67"/>
      <c r="J1" s="67"/>
      <c r="K1" s="67"/>
      <c r="L1" s="67"/>
    </row>
    <row r="2" spans="1:12" x14ac:dyDescent="0.2">
      <c r="A2" s="12" t="s">
        <v>105</v>
      </c>
      <c r="B2" s="12">
        <v>1</v>
      </c>
      <c r="C2" s="12" t="str">
        <f>IF(B2&gt;MAX('TRA-M'!A:A),"",INDEX('TRA-M'!B:B,MATCH(B2,'TRA-M'!A:A)))</f>
        <v>BURNETT, Jason</v>
      </c>
      <c r="D2" s="12" t="str">
        <f>IF(B2&gt;MAX('TRA-M'!A:A),"",IF(INDEX('TRA-M'!I:I,MATCH(B2,'TRA-M'!A:A))="","No DD",INDEX('TRA-M'!I:I,MATCH(B2,'TRA-M'!A:A))))</f>
        <v>Worlds Team</v>
      </c>
      <c r="E2" s="32"/>
      <c r="F2" s="32"/>
    </row>
    <row r="3" spans="1:12" x14ac:dyDescent="0.2">
      <c r="A3" s="12"/>
      <c r="B3" s="12">
        <v>2</v>
      </c>
      <c r="C3" s="12" t="str">
        <f>IF(B3&gt;MAX('TRA-M'!A:A),"",INDEX('TRA-M'!B:B,MATCH(B3,'TRA-M'!A:A)))</f>
        <v>SOEHN, Keegan</v>
      </c>
      <c r="D3" s="12" t="str">
        <f>IF(B3&gt;MAX('TRA-M'!A:A),"",IF(INDEX('TRA-M'!I:I,MATCH(B3,'TRA-M'!A:A))="","No DD",INDEX('TRA-M'!I:I,MATCH(B3,'TRA-M'!A:A))))</f>
        <v>Worlds Team</v>
      </c>
      <c r="E3" s="32"/>
      <c r="F3" s="32"/>
    </row>
    <row r="4" spans="1:12" x14ac:dyDescent="0.2">
      <c r="A4" s="12"/>
      <c r="B4" s="12">
        <v>3</v>
      </c>
      <c r="C4" s="12" t="str">
        <f>IF(B4&gt;MAX('TRA-M'!A:A),"",INDEX('TRA-M'!B:B,MATCH(B4,'TRA-M'!A:A)))</f>
        <v>CRANHAM, Jacob</v>
      </c>
      <c r="D4" s="12" t="str">
        <f>IF(B4&gt;MAX('TRA-M'!A:A),"",IF(INDEX('TRA-M'!I:I,MATCH(B4,'TRA-M'!A:A))="","No DD",INDEX('TRA-M'!I:I,MATCH(B4,'TRA-M'!A:A))))</f>
        <v>Worlds Team</v>
      </c>
      <c r="E4" s="32"/>
      <c r="F4" s="32"/>
    </row>
    <row r="5" spans="1:12" x14ac:dyDescent="0.2">
      <c r="A5" s="12"/>
      <c r="B5" s="12">
        <v>4</v>
      </c>
      <c r="C5" s="12" t="str">
        <f>IF(B5&gt;MAX('TRA-M'!A:A),"",INDEX('TRA-M'!B:B,MATCH(B5,'TRA-M'!A:A)))</f>
        <v>SOEHN, Kyle</v>
      </c>
      <c r="D5" s="12" t="str">
        <f>IF(B5&gt;MAX('TRA-M'!A:A),"",IF(INDEX('TRA-M'!I:I,MATCH(B5,'TRA-M'!A:A))="","No DD",INDEX('TRA-M'!I:I,MATCH(B5,'TRA-M'!A:A))))</f>
        <v>National Team</v>
      </c>
    </row>
    <row r="6" spans="1:12" hidden="1" x14ac:dyDescent="0.2">
      <c r="A6" s="12"/>
      <c r="B6" s="12">
        <v>5</v>
      </c>
      <c r="C6" s="12" t="str">
        <f>IF(B6&gt;MAX('TRA-M'!A:A),"",INDEX('TRA-M'!B:B,MATCH(B6,'TRA-M'!A:A)))</f>
        <v/>
      </c>
      <c r="D6" s="12" t="str">
        <f>IF(B6&gt;MAX('TRA-M'!A:A),"",IF(INDEX('TRA-M'!I:I,MATCH(B6,'TRA-M'!A:A))="","No DD",INDEX('TRA-M'!I:I,MATCH(B6,'TRA-M'!A:A))))</f>
        <v/>
      </c>
    </row>
    <row r="7" spans="1:12" hidden="1" x14ac:dyDescent="0.2">
      <c r="A7" s="12"/>
      <c r="B7" s="12">
        <v>6</v>
      </c>
      <c r="C7" s="12" t="str">
        <f>IF(B7&gt;MAX('TRA-M'!A:A),"",INDEX('TRA-M'!B:B,MATCH(B7,'TRA-M'!A:A)))</f>
        <v/>
      </c>
      <c r="D7" s="12" t="str">
        <f>IF(B7&gt;MAX('TRA-M'!A:A),"",IF(INDEX('TRA-M'!I:I,MATCH(B7,'TRA-M'!A:A))="","No DD",INDEX('TRA-M'!I:I,MATCH(B7,'TRA-M'!A:A))))</f>
        <v/>
      </c>
      <c r="G7" s="68"/>
    </row>
    <row r="8" spans="1:12" hidden="1" x14ac:dyDescent="0.2">
      <c r="A8" s="12"/>
      <c r="B8" s="12">
        <v>7</v>
      </c>
      <c r="C8" s="12" t="str">
        <f>IF(B8&gt;MAX('TRA-M'!A:A),"",INDEX('TRA-M'!B:B,MATCH(B8,'TRA-M'!A:A)))</f>
        <v/>
      </c>
      <c r="D8" s="12" t="str">
        <f>IF(B8&gt;MAX('TRA-M'!A:A),"",IF(INDEX('TRA-M'!I:I,MATCH(B8,'TRA-M'!A:A))="","No DD",INDEX('TRA-M'!I:I,MATCH(B8,'TRA-M'!A:A))))</f>
        <v/>
      </c>
      <c r="G8" s="68"/>
    </row>
    <row r="9" spans="1:12" hidden="1" x14ac:dyDescent="0.2">
      <c r="A9" s="12"/>
      <c r="B9" s="12">
        <v>8</v>
      </c>
      <c r="C9" s="12" t="str">
        <f>IF(B9&gt;MAX('TRA-M'!A:A),"",INDEX('TRA-M'!B:B,MATCH(B9,'TRA-M'!A:A)))</f>
        <v/>
      </c>
      <c r="D9" s="12" t="str">
        <f>IF(B9&gt;MAX('TRA-M'!A:A),"",IF(INDEX('TRA-M'!I:I,MATCH(B9,'TRA-M'!A:A))="","No DD",INDEX('TRA-M'!I:I,MATCH(B9,'TRA-M'!A:A))))</f>
        <v/>
      </c>
    </row>
    <row r="10" spans="1:12" x14ac:dyDescent="0.2">
      <c r="A10" s="15" t="s">
        <v>109</v>
      </c>
      <c r="B10" s="15">
        <v>1</v>
      </c>
      <c r="C10" s="15" t="str">
        <f>IF(B2&gt;MAX('TRA-W'!A:A),"",INDEX('TRA-W'!B:B,MATCH(B2,'TRA-W'!A:A)))</f>
        <v>MILETTE, Sarah</v>
      </c>
      <c r="D10" s="15" t="str">
        <f>IF(B2&gt;MAX('TRA-W'!A:A),"",IF(INDEX('TRA-W'!I:I,MATCH(B2,'TRA-W'!A:A))="","No DD",INDEX('TRA-W'!I:I,MATCH(B2,'TRA-W'!A:A))))</f>
        <v>Merit</v>
      </c>
    </row>
    <row r="11" spans="1:12" x14ac:dyDescent="0.2">
      <c r="A11" s="15"/>
      <c r="B11" s="15">
        <v>2</v>
      </c>
      <c r="C11" s="15" t="str">
        <f>IF(B3&gt;MAX('TRA-W'!A:A),"",INDEX('TRA-W'!B:B,MATCH(B3,'TRA-W'!A:A)))</f>
        <v>MÉTHOT, Sophiane</v>
      </c>
      <c r="D11" s="15" t="str">
        <f>IF(B3&gt;MAX('TRA-W'!A:A),"",IF(INDEX('TRA-W'!I:I,MATCH(B3,'TRA-W'!A:A))="","No DD",INDEX('TRA-W'!I:I,MATCH(B3,'TRA-W'!A:A))))</f>
        <v>Merit</v>
      </c>
    </row>
    <row r="12" spans="1:12" x14ac:dyDescent="0.2">
      <c r="A12" s="15"/>
      <c r="B12" s="15">
        <v>3</v>
      </c>
      <c r="C12" s="15" t="str">
        <f>IF(B4&gt;MAX('TRA-W'!A:A),"",INDEX('TRA-W'!B:B,MATCH(B4,'TRA-W'!A:A)))</f>
        <v>SMITH, Samantha</v>
      </c>
      <c r="D12" s="15" t="str">
        <f>IF(B4&gt;MAX('TRA-W'!A:A),"",IF(INDEX('TRA-W'!I:I,MATCH(B4,'TRA-W'!A:A))="","No DD",INDEX('TRA-W'!I:I,MATCH(B4,'TRA-W'!A:A))))</f>
        <v>Funding</v>
      </c>
    </row>
    <row r="13" spans="1:12" x14ac:dyDescent="0.2">
      <c r="A13" s="15"/>
      <c r="B13" s="15">
        <v>4</v>
      </c>
      <c r="C13" s="15" t="str">
        <f>IF(B5&gt;MAX('TRA-W'!A:A),"",INDEX('TRA-W'!B:B,MATCH(B5,'TRA-W'!A:A)))</f>
        <v>TAM, Rachel</v>
      </c>
      <c r="D13" s="15" t="str">
        <f>IF(B5&gt;MAX('TRA-W'!A:A),"",IF(INDEX('TRA-W'!I:I,MATCH(B5,'TRA-W'!A:A))="","No DD",INDEX('TRA-W'!I:I,MATCH(B5,'TRA-W'!A:A))))</f>
        <v>Funding</v>
      </c>
    </row>
    <row r="14" spans="1:12" x14ac:dyDescent="0.2">
      <c r="A14" s="15"/>
      <c r="B14" s="15">
        <v>5</v>
      </c>
      <c r="C14" s="15" t="str">
        <f>IF(B6&gt;MAX('TRA-W'!A:A),"",INDEX('TRA-W'!B:B,MATCH(B6,'TRA-W'!A:A)))</f>
        <v>DUNDAS, Bronte</v>
      </c>
      <c r="D14" s="15" t="str">
        <f>IF(B6&gt;MAX('TRA-W'!A:A),"",IF(INDEX('TRA-W'!I:I,MATCH(B6,'TRA-W'!A:A))="","No DD",INDEX('TRA-W'!I:I,MATCH(B6,'TRA-W'!A:A))))</f>
        <v>Worlds Team</v>
      </c>
    </row>
    <row r="15" spans="1:12" x14ac:dyDescent="0.2">
      <c r="A15" s="15"/>
      <c r="B15" s="15">
        <v>6</v>
      </c>
      <c r="C15" s="15" t="str">
        <f>IF(B7&gt;MAX('TRA-W'!A:A),"",INDEX('TRA-W'!B:B,MATCH(B7,'TRA-W'!A:A)))</f>
        <v>MacLENNAN, Rosannagh</v>
      </c>
      <c r="D15" s="15" t="str">
        <f>IF(B7&gt;MAX('TRA-W'!A:A),"",IF(INDEX('TRA-W'!I:I,MATCH(B7,'TRA-W'!A:A))="","No DD",INDEX('TRA-W'!I:I,MATCH(B7,'TRA-W'!A:A))))</f>
        <v>Funding</v>
      </c>
    </row>
    <row r="16" spans="1:12" x14ac:dyDescent="0.2">
      <c r="A16" s="15"/>
      <c r="B16" s="15">
        <v>7</v>
      </c>
      <c r="C16" s="15" t="str">
        <f>IF(B8&gt;MAX('TRA-W'!A:A),"",INDEX('TRA-W'!B:B,MATCH(B8,'TRA-W'!A:A)))</f>
        <v>CIRONE, Domenica</v>
      </c>
      <c r="D16" s="15" t="str">
        <f>IF(B8&gt;MAX('TRA-W'!A:A),"",IF(INDEX('TRA-W'!I:I,MATCH(B8,'TRA-W'!A:A))="","No DD",INDEX('TRA-W'!I:I,MATCH(B8,'TRA-W'!A:A))))</f>
        <v>Worlds Team</v>
      </c>
      <c r="J16" s="67"/>
    </row>
    <row r="17" spans="1:10" hidden="1" x14ac:dyDescent="0.2">
      <c r="A17" s="15"/>
      <c r="B17" s="15">
        <v>8</v>
      </c>
      <c r="C17" s="15" t="str">
        <f>IF(B9&gt;MAX('TRA-W'!A:A),"",INDEX('TRA-W'!B:B,MATCH(B9,'TRA-W'!A:A)))</f>
        <v/>
      </c>
      <c r="D17" s="15" t="str">
        <f>IF(B9&gt;MAX('TRA-W'!A:A),"",IF(INDEX('TRA-W'!I:I,MATCH(B9,'TRA-W'!A:A))="","No DD",INDEX('TRA-W'!I:I,MATCH(B9,'TRA-W'!A:A))))</f>
        <v/>
      </c>
      <c r="J17" s="67"/>
    </row>
    <row r="18" spans="1:10" x14ac:dyDescent="0.2">
      <c r="A18" s="12" t="s">
        <v>110</v>
      </c>
      <c r="B18" s="12">
        <v>1</v>
      </c>
      <c r="C18" s="12" t="str">
        <f>IF(B2&gt;MAX('SYN-M'!A:A),"",INDEX('SYN-M'!B:B,MATCH(B2,'SYN-M'!A:A)))</f>
        <v>SOEHN &amp; SOEHN</v>
      </c>
      <c r="D18" s="12" t="str">
        <f>IF(B2&gt;MAX('SYN-M'!A:A),"",IF(INDEX('SYN-M'!I:I,MATCH(B2,'SYN-M'!A:A))="","No DD",INDEX('SYN-M'!I:I,MATCH(B2,'SYN-M'!A:A))))</f>
        <v>Funding</v>
      </c>
      <c r="J18" s="67"/>
    </row>
    <row r="19" spans="1:10" x14ac:dyDescent="0.2">
      <c r="A19" s="12"/>
      <c r="B19" s="12">
        <v>2</v>
      </c>
      <c r="C19" s="12" t="str">
        <f>IF(B3&gt;MAX('SYN-M'!A:A),"",INDEX('SYN-M'!B:B,MATCH(B3,'SYN-M'!A:A)))</f>
        <v>BURNETT &amp; CRANHAM</v>
      </c>
      <c r="D19" s="12" t="str">
        <f>IF(B3&gt;MAX('SYN-M'!A:A),"",IF(INDEX('SYN-M'!I:I,MATCH(B3,'SYN-M'!A:A))="","No DD",INDEX('SYN-M'!I:I,MATCH(B3,'SYN-M'!A:A))))</f>
        <v>Worlds Team</v>
      </c>
      <c r="J19" s="67"/>
    </row>
    <row r="20" spans="1:10" hidden="1" x14ac:dyDescent="0.2">
      <c r="A20" s="12"/>
      <c r="B20" s="12">
        <v>3</v>
      </c>
      <c r="C20" s="12" t="str">
        <f>IF(B4&gt;MAX('SYN-M'!A:A),"",INDEX('SYN-M'!B:B,MATCH(B4,'SYN-M'!A:A)))</f>
        <v/>
      </c>
      <c r="D20" s="12" t="str">
        <f>IF(B4&gt;MAX('SYN-M'!A:A),"",IF(INDEX('SYN-M'!I:I,MATCH(B4,'SYN-M'!A:A))="","No DD",INDEX('SYN-M'!I:I,MATCH(B4,'SYN-M'!A:A))))</f>
        <v/>
      </c>
    </row>
    <row r="21" spans="1:10" hidden="1" x14ac:dyDescent="0.2">
      <c r="A21" s="12"/>
      <c r="B21" s="12">
        <v>4</v>
      </c>
      <c r="C21" s="12" t="str">
        <f>IF(B5&gt;MAX('SYN-M'!A:A),"",INDEX('SYN-M'!B:B,MATCH(B5,'SYN-M'!A:A)))</f>
        <v/>
      </c>
      <c r="D21" s="12" t="str">
        <f>IF(B5&gt;MAX('SYN-M'!A:A),"",IF(INDEX('SYN-M'!I:I,MATCH(B5,'SYN-M'!A:A))="","No DD",INDEX('SYN-M'!I:I,MATCH(B5,'SYN-M'!A:A))))</f>
        <v/>
      </c>
    </row>
    <row r="22" spans="1:10" x14ac:dyDescent="0.2">
      <c r="A22" s="15" t="s">
        <v>111</v>
      </c>
      <c r="B22" s="15">
        <v>1</v>
      </c>
      <c r="C22" s="15" t="str">
        <f>IF(B2&gt;MAX('SYN-W'!A:A),"",INDEX('SYN-W'!B:B,MATCH(B2,'SYN-W'!A:A)))</f>
        <v>MÉTHOT &amp; MILETTE</v>
      </c>
      <c r="D22" s="15" t="str">
        <f>IF(B2&gt;MAX('SYN-W'!A:A),"",IF(INDEX('SYN-W'!I:I,MATCH(B2,'SYN-W'!A:A))="","No DD",INDEX('SYN-W'!I:I,MATCH(B2,'SYN-W'!A:A))))</f>
        <v>Merit</v>
      </c>
    </row>
    <row r="23" spans="1:10" x14ac:dyDescent="0.2">
      <c r="A23" s="15"/>
      <c r="B23" s="15">
        <v>2</v>
      </c>
      <c r="C23" s="15" t="str">
        <f>IF(B3&gt;MAX('SYN-W'!A:A),"",INDEX('SYN-W'!B:B,MATCH(B3,'SYN-W'!A:A)))</f>
        <v>SMITH &amp; TAM</v>
      </c>
      <c r="D23" s="15" t="str">
        <f>IF(B3&gt;MAX('SYN-W'!A:A),"",IF(INDEX('SYN-W'!I:I,MATCH(B3,'SYN-W'!A:A))="","No DD",INDEX('SYN-W'!I:I,MATCH(B3,'SYN-W'!A:A))))</f>
        <v>Funding</v>
      </c>
    </row>
    <row r="24" spans="1:10" x14ac:dyDescent="0.2">
      <c r="A24" s="15"/>
      <c r="B24" s="15">
        <v>3</v>
      </c>
      <c r="C24" s="15" t="str">
        <f>IF(B4&gt;MAX('SYN-W'!A:A),"",INDEX('SYN-W'!B:B,MATCH(B4,'SYN-W'!A:A)))</f>
        <v>MACLENNAN &amp; TAM</v>
      </c>
      <c r="D24" s="15" t="str">
        <f>IF(B4&gt;MAX('SYN-W'!A:A),"",IF(INDEX('SYN-W'!I:I,MATCH(B4,'SYN-W'!A:A))="","No DD",INDEX('SYN-W'!I:I,MATCH(B4,'SYN-W'!A:A))))</f>
        <v>Merit</v>
      </c>
    </row>
    <row r="25" spans="1:10" hidden="1" x14ac:dyDescent="0.2">
      <c r="A25" s="15"/>
      <c r="B25" s="15">
        <v>4</v>
      </c>
      <c r="C25" s="15" t="str">
        <f>IF(B5&gt;MAX('SYN-W'!A:A),"",INDEX('SYN-W'!B:B,MATCH(B5,'SYN-W'!A:A)))</f>
        <v/>
      </c>
      <c r="D25" s="15" t="str">
        <f>IF(B5&gt;MAX('SYN-W'!A:A),"",IF(INDEX('SYN-W'!I:I,MATCH(B5,'SYN-W'!A:A))="","No DD",INDEX('SYN-W'!I:I,MATCH(B5,'SYN-W'!A:A))))</f>
        <v/>
      </c>
    </row>
    <row r="26" spans="1:10" x14ac:dyDescent="0.2">
      <c r="A26" s="12" t="s">
        <v>112</v>
      </c>
      <c r="B26" s="12">
        <v>1</v>
      </c>
      <c r="C26" s="12" t="str">
        <f>IF(B2&gt;MAX('TUM-M'!A:A),"",INDEX('TUM-M'!B:B,MATCH(B2,'TUM-M'!A:A)))</f>
        <v>SCHWAIGER, Jonathon</v>
      </c>
      <c r="D26" s="12" t="str">
        <f>IF(B2&gt;MAX('TUM-M'!A:A),"",IF(INDEX('TUM-M'!I:I,MATCH(B2,'TUM-M'!A:A))="","No DD",INDEX('TUM-M'!I:I,MATCH(B2,'TUM-M'!A:A))))</f>
        <v>Merit</v>
      </c>
    </row>
    <row r="27" spans="1:10" x14ac:dyDescent="0.2">
      <c r="A27" s="12"/>
      <c r="B27" s="12">
        <v>2</v>
      </c>
      <c r="C27" s="12" t="str">
        <f>IF(B3&gt;MAX('TUM-M'!A:A),"",INDEX('TUM-M'!B:B,MATCH(B3,'TUM-M'!A:A)))</f>
        <v>SUNDQUIST, Callum</v>
      </c>
      <c r="D27" s="12" t="str">
        <f>IF(B3&gt;MAX('TUM-M'!A:A),"",IF(INDEX('TUM-M'!I:I,MATCH(B3,'TUM-M'!A:A))="","No DD",INDEX('TUM-M'!I:I,MATCH(B3,'TUM-M'!A:A))))</f>
        <v>Worlds Team</v>
      </c>
    </row>
    <row r="28" spans="1:10" x14ac:dyDescent="0.2">
      <c r="A28" s="12"/>
      <c r="B28" s="12">
        <v>3</v>
      </c>
      <c r="C28" s="12" t="str">
        <f>IF(B4&gt;MAX('TUM-M'!A:A),"",INDEX('TUM-M'!B:B,MATCH(B4,'TUM-M'!A:A)))</f>
        <v>REDILLAS, Damien</v>
      </c>
      <c r="D28" s="12" t="str">
        <f>IF(B4&gt;MAX('TUM-M'!A:A),"",IF(INDEX('TUM-M'!I:I,MATCH(B4,'TUM-M'!A:A))="","No DD",INDEX('TUM-M'!I:I,MATCH(B4,'TUM-M'!A:A))))</f>
        <v>Worlds Team</v>
      </c>
    </row>
    <row r="29" spans="1:10" x14ac:dyDescent="0.2">
      <c r="A29" s="12"/>
      <c r="B29" s="12">
        <v>4</v>
      </c>
      <c r="C29" s="12" t="str">
        <f>IF(B5&gt;MAX('TUM-M'!A:A),"",INDEX('TUM-M'!B:B,MATCH(B5,'TUM-M'!A:A)))</f>
        <v>CHAVES, Michael</v>
      </c>
      <c r="D29" s="12" t="str">
        <f>IF(B5&gt;MAX('TUM-M'!A:A),"",IF(INDEX('TUM-M'!I:I,MATCH(B5,'TUM-M'!A:A))="","No DD",INDEX('TUM-M'!I:I,MATCH(B5,'TUM-M'!A:A))))</f>
        <v>Worlds Team</v>
      </c>
    </row>
    <row r="30" spans="1:10" hidden="1" x14ac:dyDescent="0.2">
      <c r="A30" s="12"/>
      <c r="B30" s="12">
        <v>5</v>
      </c>
      <c r="C30" s="12" t="str">
        <f>IF(B6&gt;MAX('TUM-M'!A:A),"",INDEX('TUM-M'!B:B,MATCH(B6,'TUM-M'!A:A)))</f>
        <v/>
      </c>
      <c r="D30" s="12" t="str">
        <f>IF(B6&gt;MAX('TUM-M'!A:A),"",IF(INDEX('TUM-M'!I:I,MATCH(B6,'TUM-M'!A:A))="","No DD",INDEX('TUM-M'!I:I,MATCH(B6,'TUM-M'!A:A))))</f>
        <v/>
      </c>
    </row>
    <row r="31" spans="1:10" hidden="1" x14ac:dyDescent="0.2">
      <c r="A31" s="12"/>
      <c r="B31" s="12">
        <v>6</v>
      </c>
      <c r="C31" s="12" t="str">
        <f>IF(B7&gt;MAX('TUM-M'!A:A),"",INDEX('TUM-M'!B:B,MATCH(B7,'TUM-M'!A:A)))</f>
        <v/>
      </c>
      <c r="D31" s="12" t="str">
        <f>IF(B7&gt;MAX('TUM-M'!A:A),"",IF(INDEX('TUM-M'!I:I,MATCH(B7,'TUM-M'!A:A))="","No DD",INDEX('TUM-M'!I:I,MATCH(B7,'TUM-M'!A:A))))</f>
        <v/>
      </c>
    </row>
    <row r="32" spans="1:10" hidden="1" x14ac:dyDescent="0.2">
      <c r="A32" s="12"/>
      <c r="B32" s="12">
        <v>7</v>
      </c>
      <c r="C32" s="12" t="str">
        <f>IF(B8&gt;MAX('TUM-M'!A:A),"",INDEX('TUM-M'!B:B,MATCH(B8,'TUM-M'!A:A)))</f>
        <v/>
      </c>
      <c r="D32" s="12" t="str">
        <f>IF(B8&gt;MAX('TUM-M'!A:A),"",IF(INDEX('TUM-M'!I:I,MATCH(B8,'TUM-M'!A:A))="","No DD",INDEX('TUM-M'!I:I,MATCH(B8,'TUM-M'!A:A))))</f>
        <v/>
      </c>
    </row>
    <row r="33" spans="1:4" hidden="1" x14ac:dyDescent="0.2">
      <c r="A33" s="12"/>
      <c r="B33" s="12">
        <v>8</v>
      </c>
      <c r="C33" s="12" t="str">
        <f>IF(B9&gt;MAX('TUM-M'!A:A),"",INDEX('TUM-M'!B:B,MATCH(B9,'TUM-M'!A:A)))</f>
        <v/>
      </c>
      <c r="D33" s="12" t="str">
        <f>IF(B9&gt;MAX('TUM-M'!A:A),"",IF(INDEX('TUM-M'!I:I,MATCH(B9,'TUM-M'!A:A))="","No DD",INDEX('TUM-M'!I:I,MATCH(B9,'TUM-M'!A:A))))</f>
        <v/>
      </c>
    </row>
    <row r="34" spans="1:4" x14ac:dyDescent="0.2">
      <c r="A34" s="15" t="s">
        <v>113</v>
      </c>
      <c r="B34" s="15">
        <v>1</v>
      </c>
      <c r="C34" s="15" t="str">
        <f>IF(B2&gt;MAX('TUM-W'!A:A),"",INDEX('TUM-W'!B:B,MATCH(B2,'TUM-W'!A:A)))</f>
        <v>HIPEL, Zoe</v>
      </c>
      <c r="D34" s="15" t="str">
        <f>IF(B2&gt;MAX('TUM-W'!A:A),"",IF(INDEX('TUM-W'!I:I,MATCH(B2,'TUM-W'!A:A))="","No DD",INDEX('TUM-W'!I:I,MATCH(B2,'TUM-W'!A:A))))</f>
        <v>Funding</v>
      </c>
    </row>
    <row r="35" spans="1:4" x14ac:dyDescent="0.2">
      <c r="A35" s="15"/>
      <c r="B35" s="15">
        <v>2</v>
      </c>
      <c r="C35" s="15" t="str">
        <f>IF(B3&gt;MAX('TUM-W'!A:A),"",INDEX('TUM-W'!B:B,MATCH(B3,'TUM-W'!A:A)))</f>
        <v>McNUTT, Catherine</v>
      </c>
      <c r="D35" s="15" t="str">
        <f>IF(B3&gt;MAX('TUM-W'!A:A),"",IF(INDEX('TUM-W'!I:I,MATCH(B3,'TUM-W'!A:A))="","No DD",INDEX('TUM-W'!I:I,MATCH(B3,'TUM-W'!A:A))))</f>
        <v>Worlds Team</v>
      </c>
    </row>
    <row r="36" spans="1:4" x14ac:dyDescent="0.2">
      <c r="A36" s="15"/>
      <c r="B36" s="15">
        <v>3</v>
      </c>
      <c r="C36" s="15" t="str">
        <f>IF(B4&gt;MAX('TUM-W'!A:A),"",INDEX('TUM-W'!B:B,MATCH(B4,'TUM-W'!A:A)))</f>
        <v>ABOURAJA, Nora</v>
      </c>
      <c r="D36" s="15" t="str">
        <f>IF(B4&gt;MAX('TUM-W'!A:A),"",IF(INDEX('TUM-W'!I:I,MATCH(B4,'TUM-W'!A:A))="","No DD",INDEX('TUM-W'!I:I,MATCH(B4,'TUM-W'!A:A))))</f>
        <v>No DD</v>
      </c>
    </row>
    <row r="37" spans="1:4" x14ac:dyDescent="0.2">
      <c r="A37" s="15"/>
      <c r="B37" s="15">
        <v>4</v>
      </c>
      <c r="C37" s="15" t="str">
        <f>IF(B5&gt;MAX('TUM-W'!A:A),"",INDEX('TUM-W'!B:B,MATCH(B5,'TUM-W'!A:A)))</f>
        <v>SUGRIM, Jordan</v>
      </c>
      <c r="D37" s="15" t="str">
        <f>IF(B5&gt;MAX('TUM-W'!A:A),"",IF(INDEX('TUM-W'!I:I,MATCH(B5,'TUM-W'!A:A))="","No DD",INDEX('TUM-W'!I:I,MATCH(B5,'TUM-W'!A:A))))</f>
        <v>No DD</v>
      </c>
    </row>
    <row r="38" spans="1:4" x14ac:dyDescent="0.2">
      <c r="A38" s="15"/>
      <c r="B38" s="15">
        <v>5</v>
      </c>
      <c r="C38" s="15" t="str">
        <f>IF(B6&gt;MAX('TUM-W'!A:A),"",INDEX('TUM-W'!B:B,MATCH(B6,'TUM-W'!A:A)))</f>
        <v>HAIMES, Devon</v>
      </c>
      <c r="D38" s="15" t="str">
        <f>IF(B6&gt;MAX('TUM-W'!A:A),"",IF(INDEX('TUM-W'!I:I,MATCH(B6,'TUM-W'!A:A))="","No DD",INDEX('TUM-W'!I:I,MATCH(B6,'TUM-W'!A:A))))</f>
        <v>No DD</v>
      </c>
    </row>
    <row r="39" spans="1:4" hidden="1" x14ac:dyDescent="0.2">
      <c r="A39" s="15"/>
      <c r="B39" s="15">
        <v>6</v>
      </c>
      <c r="C39" s="15" t="str">
        <f>IF(B7&gt;MAX('TUM-W'!A:A),"",INDEX('TUM-W'!B:B,MATCH(B7,'TUM-W'!A:A)))</f>
        <v/>
      </c>
      <c r="D39" s="15" t="str">
        <f>IF(B7&gt;MAX('TUM-W'!A:A),"",IF(INDEX('TUM-W'!I:I,MATCH(B7,'TUM-W'!A:A))="","No DD",INDEX('TUM-W'!I:I,MATCH(B7,'TUM-W'!A:A))))</f>
        <v/>
      </c>
    </row>
    <row r="40" spans="1:4" hidden="1" x14ac:dyDescent="0.2">
      <c r="A40" s="15"/>
      <c r="B40" s="15">
        <v>7</v>
      </c>
      <c r="C40" s="15" t="str">
        <f>IF(B8&gt;MAX('TUM-W'!A:A),"",INDEX('TUM-W'!B:B,MATCH(B8,'TUM-W'!A:A)))</f>
        <v/>
      </c>
      <c r="D40" s="15" t="str">
        <f>IF(B8&gt;MAX('TUM-W'!A:A),"",IF(INDEX('TUM-W'!I:I,MATCH(B8,'TUM-W'!A:A))="","No DD",INDEX('TUM-W'!I:I,MATCH(B8,'TUM-W'!A:A))))</f>
        <v/>
      </c>
    </row>
    <row r="41" spans="1:4" hidden="1" x14ac:dyDescent="0.2">
      <c r="A41" s="15"/>
      <c r="B41" s="15">
        <v>8</v>
      </c>
      <c r="C41" s="15" t="str">
        <f>IF(B9&gt;MAX('TUM-W'!A:A),"",INDEX('TUM-W'!B:B,MATCH(B9,'TUM-W'!A:A)))</f>
        <v/>
      </c>
      <c r="D41" s="15" t="str">
        <f>IF(B9&gt;MAX('TUM-W'!A:A),"",IF(INDEX('TUM-W'!I:I,MATCH(B9,'TUM-W'!A:A))="","No DD",INDEX('TUM-W'!I:I,MATCH(B9,'TUM-W'!A:A))))</f>
        <v/>
      </c>
    </row>
    <row r="42" spans="1:4" x14ac:dyDescent="0.2">
      <c r="A42" s="12" t="s">
        <v>114</v>
      </c>
      <c r="B42" s="12">
        <v>1</v>
      </c>
      <c r="C42" s="12" t="str">
        <f>IF(B2&gt;MAX('DMT-M'!A:A),"",INDEX('DMT-M'!B:B,MATCH(B2,'DMT-M'!A:A)))</f>
        <v>SCHWAIGER, Jonathon</v>
      </c>
      <c r="D42" s="12" t="str">
        <f>IF(B2&gt;MAX('DMT-M'!A:A),"",IF(INDEX('DMT-M'!I:I,MATCH(B2,'DMT-M'!A:A))="","No DD",INDEX('DMT-M'!I:I,MATCH(B2,'DMT-M'!A:A))))</f>
        <v>Funding</v>
      </c>
    </row>
    <row r="43" spans="1:4" x14ac:dyDescent="0.2">
      <c r="A43" s="12"/>
      <c r="B43" s="12">
        <v>2</v>
      </c>
      <c r="C43" s="12" t="str">
        <f>IF(B3&gt;MAX('DMT-M'!A:A),"",INDEX('DMT-M'!B:B,MATCH(B3,'DMT-M'!A:A)))</f>
        <v>ARMSTRONG, Mark</v>
      </c>
      <c r="D43" s="12" t="str">
        <f>IF(B3&gt;MAX('DMT-M'!A:A),"",IF(INDEX('DMT-M'!I:I,MATCH(B3,'DMT-M'!A:A))="","No DD",INDEX('DMT-M'!I:I,MATCH(B3,'DMT-M'!A:A))))</f>
        <v>Worlds Team</v>
      </c>
    </row>
    <row r="44" spans="1:4" x14ac:dyDescent="0.2">
      <c r="A44" s="12"/>
      <c r="B44" s="12">
        <v>3</v>
      </c>
      <c r="C44" s="12" t="str">
        <f>IF(B4&gt;MAX('DMT-M'!A:A),"",INDEX('DMT-M'!B:B,MATCH(B4,'DMT-M'!A:A)))</f>
        <v>SHEEHAN, Ryan</v>
      </c>
      <c r="D44" s="12" t="str">
        <f>IF(B4&gt;MAX('DMT-M'!A:A),"",IF(INDEX('DMT-M'!I:I,MATCH(B4,'DMT-M'!A:A))="","No DD",INDEX('DMT-M'!I:I,MATCH(B4,'DMT-M'!A:A))))</f>
        <v>Worlds Team</v>
      </c>
    </row>
    <row r="45" spans="1:4" x14ac:dyDescent="0.2">
      <c r="A45" s="12"/>
      <c r="B45" s="12">
        <v>4</v>
      </c>
      <c r="C45" s="12" t="str">
        <f>IF(B5&gt;MAX('DMT-M'!A:A),"",INDEX('DMT-M'!B:B,MATCH(B5,'DMT-M'!A:A)))</f>
        <v>TOMALTY, Connar</v>
      </c>
      <c r="D45" s="12" t="str">
        <f>IF(B5&gt;MAX('DMT-M'!A:A),"",IF(INDEX('DMT-M'!I:I,MATCH(B5,'DMT-M'!A:A))="","No DD",INDEX('DMT-M'!I:I,MATCH(B5,'DMT-M'!A:A))))</f>
        <v>National Team</v>
      </c>
    </row>
    <row r="46" spans="1:4" x14ac:dyDescent="0.2">
      <c r="A46" s="12"/>
      <c r="B46" s="12">
        <v>5</v>
      </c>
      <c r="C46" s="12" t="str">
        <f>IF(B6&gt;MAX('DMT-M'!A:A),"",INDEX('DMT-M'!B:B,MATCH(B6,'DMT-M'!A:A)))</f>
        <v>SUNDQUIST, Callum</v>
      </c>
      <c r="D46" s="12" t="str">
        <f>IF(B6&gt;MAX('DMT-M'!A:A),"",IF(INDEX('DMT-M'!I:I,MATCH(B6,'DMT-M'!A:A))="","No DD",INDEX('DMT-M'!I:I,MATCH(B6,'DMT-M'!A:A))))</f>
        <v>National Team</v>
      </c>
    </row>
    <row r="47" spans="1:4" x14ac:dyDescent="0.2">
      <c r="A47" s="12"/>
      <c r="B47" s="12">
        <v>6</v>
      </c>
      <c r="C47" s="12" t="str">
        <f>IF(B7&gt;MAX('DMT-M'!A:A),"",INDEX('DMT-M'!B:B,MATCH(B7,'DMT-M'!A:A)))</f>
        <v>BLAKELY, Zachary</v>
      </c>
      <c r="D47" s="12" t="str">
        <f>IF(B7&gt;MAX('DMT-M'!A:A),"",IF(INDEX('DMT-M'!I:I,MATCH(B7,'DMT-M'!A:A))="","No DD",INDEX('DMT-M'!I:I,MATCH(B7,'DMT-M'!A:A))))</f>
        <v>No DD</v>
      </c>
    </row>
    <row r="48" spans="1:4" hidden="1" x14ac:dyDescent="0.2">
      <c r="A48" s="12"/>
      <c r="B48" s="12">
        <v>7</v>
      </c>
      <c r="C48" s="12" t="str">
        <f>IF(B8&gt;MAX('DMT-M'!A:A),"",INDEX('DMT-M'!B:B,MATCH(B8,'DMT-M'!A:A)))</f>
        <v/>
      </c>
      <c r="D48" s="12" t="str">
        <f>IF(B8&gt;MAX('DMT-M'!A:A),"",IF(INDEX('DMT-M'!I:I,MATCH(B8,'DMT-M'!A:A))="","No DD",INDEX('DMT-M'!I:I,MATCH(B8,'DMT-M'!A:A))))</f>
        <v/>
      </c>
    </row>
    <row r="49" spans="1:4" hidden="1" x14ac:dyDescent="0.2">
      <c r="A49" s="12"/>
      <c r="B49" s="12">
        <v>8</v>
      </c>
      <c r="C49" s="12" t="str">
        <f>IF(B9&gt;MAX('DMT-M'!A:A),"",INDEX('DMT-M'!B:B,MATCH(B9,'DMT-M'!A:A)))</f>
        <v/>
      </c>
      <c r="D49" s="12" t="str">
        <f>IF(B9&gt;MAX('DMT-M'!A:A),"",IF(INDEX('DMT-M'!I:I,MATCH(B9,'DMT-M'!A:A))="","No DD",INDEX('DMT-M'!I:I,MATCH(B9,'DMT-M'!A:A))))</f>
        <v/>
      </c>
    </row>
    <row r="50" spans="1:4" x14ac:dyDescent="0.2">
      <c r="A50" s="15" t="s">
        <v>115</v>
      </c>
      <c r="B50" s="15">
        <v>1</v>
      </c>
      <c r="C50" s="15" t="str">
        <f>IF(B2&gt;MAX('DMT-W'!A:A),"",INDEX('DMT-W'!B:B,MATCH(B2,'DMT-W'!A:A)))</f>
        <v>MILLER-BURKO, Jordyn</v>
      </c>
      <c r="D50" s="15" t="str">
        <f>IF(B2&gt;MAX('DMT-W'!A:A),"",IF(INDEX('DMT-W'!I:I,MATCH(B2,'DMT-W'!A:A))="","No DD",INDEX('DMT-W'!I:I,MATCH(B2,'DMT-W'!A:A))))</f>
        <v>Merit</v>
      </c>
    </row>
    <row r="51" spans="1:4" x14ac:dyDescent="0.2">
      <c r="A51" s="15"/>
      <c r="B51" s="15">
        <v>2</v>
      </c>
      <c r="C51" s="15" t="str">
        <f>IF(B3&gt;MAX('DMT-W'!A:A),"",INDEX('DMT-W'!B:B,MATCH(B3,'DMT-W'!A:A)))</f>
        <v>SOEHN, Kalena</v>
      </c>
      <c r="D51" s="15" t="str">
        <f>IF(B3&gt;MAX('DMT-W'!A:A),"",IF(INDEX('DMT-W'!I:I,MATCH(B3,'DMT-W'!A:A))="","No DD",INDEX('DMT-W'!I:I,MATCH(B3,'DMT-W'!A:A))))</f>
        <v>Merit</v>
      </c>
    </row>
    <row r="52" spans="1:4" x14ac:dyDescent="0.2">
      <c r="A52" s="15"/>
      <c r="B52" s="15">
        <v>3</v>
      </c>
      <c r="C52" s="15" t="str">
        <f>IF(B4&gt;MAX('DMT-W'!A:A),"",INDEX('DMT-W'!B:B,MATCH(B4,'DMT-W'!A:A)))</f>
        <v>GRIEVE, Danielle</v>
      </c>
      <c r="D52" s="15" t="str">
        <f>IF(B4&gt;MAX('DMT-W'!A:A),"",IF(INDEX('DMT-W'!I:I,MATCH(B4,'DMT-W'!A:A))="","No DD",INDEX('DMT-W'!I:I,MATCH(B4,'DMT-W'!A:A))))</f>
        <v>Worlds Team</v>
      </c>
    </row>
    <row r="53" spans="1:4" x14ac:dyDescent="0.2">
      <c r="A53" s="15"/>
      <c r="B53" s="15">
        <v>4</v>
      </c>
      <c r="C53" s="15" t="str">
        <f>IF(B5&gt;MAX('DMT-W'!A:A),"",INDEX('DMT-W'!B:B,MATCH(B5,'DMT-W'!A:A)))</f>
        <v>ROUX, Laurence</v>
      </c>
      <c r="D53" s="15" t="str">
        <f>IF(B5&gt;MAX('DMT-W'!A:A),"",IF(INDEX('DMT-W'!I:I,MATCH(B5,'DMT-W'!A:A))="","No DD",INDEX('DMT-W'!I:I,MATCH(B5,'DMT-W'!A:A))))</f>
        <v>Funding</v>
      </c>
    </row>
    <row r="54" spans="1:4" x14ac:dyDescent="0.2">
      <c r="A54" s="15"/>
      <c r="B54" s="15">
        <v>5</v>
      </c>
      <c r="C54" s="15" t="str">
        <f>IF(B6&gt;MAX('DMT-W'!A:A),"",INDEX('DMT-W'!B:B,MATCH(B6,'DMT-W'!A:A)))</f>
        <v>FOREST, Alexandra</v>
      </c>
      <c r="D54" s="15" t="str">
        <f>IF(B6&gt;MAX('DMT-W'!A:A),"",IF(INDEX('DMT-W'!I:I,MATCH(B6,'DMT-W'!A:A))="","No DD",INDEX('DMT-W'!I:I,MATCH(B6,'DMT-W'!A:A))))</f>
        <v>Funding</v>
      </c>
    </row>
    <row r="55" spans="1:4" x14ac:dyDescent="0.2">
      <c r="A55" s="15"/>
      <c r="B55" s="15">
        <v>6</v>
      </c>
      <c r="C55" s="15" t="str">
        <f>IF(B7&gt;MAX('DMT-W'!A:A),"",INDEX('DMT-W'!B:B,MATCH(B7,'DMT-W'!A:A)))</f>
        <v>NAKONECHNI, Haley</v>
      </c>
      <c r="D55" s="15" t="str">
        <f>IF(B7&gt;MAX('DMT-W'!A:A),"",IF(INDEX('DMT-W'!I:I,MATCH(B7,'DMT-W'!A:A))="","No DD",INDEX('DMT-W'!I:I,MATCH(B7,'DMT-W'!A:A))))</f>
        <v>National Team</v>
      </c>
    </row>
    <row r="56" spans="1:4" x14ac:dyDescent="0.2">
      <c r="A56" s="15"/>
      <c r="B56" s="15">
        <v>7</v>
      </c>
      <c r="C56" s="15" t="str">
        <f>IF(B8&gt;MAX('DMT-W'!A:A),"",INDEX('DMT-W'!B:B,MATCH(B8,'DMT-W'!A:A)))</f>
        <v>O'BRIEN, Tamara</v>
      </c>
      <c r="D56" s="15" t="str">
        <f>IF(B8&gt;MAX('DMT-W'!A:A),"",IF(INDEX('DMT-W'!I:I,MATCH(B8,'DMT-W'!A:A))="","No DD",INDEX('DMT-W'!I:I,MATCH(B8,'DMT-W'!A:A))))</f>
        <v>No DD</v>
      </c>
    </row>
    <row r="57" spans="1:4" hidden="1" x14ac:dyDescent="0.2">
      <c r="A57" s="15"/>
      <c r="B57" s="15">
        <v>8</v>
      </c>
      <c r="C57" s="15" t="str">
        <f>IF(B9&gt;MAX('DMT-W'!A:A),"",INDEX('DMT-W'!B:B,MATCH(B9,'DMT-W'!A:A)))</f>
        <v/>
      </c>
      <c r="D57" s="15" t="str">
        <f>IF(B9&gt;MAX('DMT-W'!A:A),"",IF(INDEX('DMT-W'!I:I,MATCH(B9,'DMT-W'!A:A))="","No DD",INDEX('DMT-W'!I:I,MATCH(B9,'DMT-W'!A:A))))</f>
        <v/>
      </c>
    </row>
    <row r="59" spans="1:4" x14ac:dyDescent="0.2">
      <c r="B59" s="67" t="s">
        <v>95</v>
      </c>
    </row>
    <row r="60" spans="1:4" x14ac:dyDescent="0.2">
      <c r="B60" s="67" t="s">
        <v>93</v>
      </c>
    </row>
    <row r="61" spans="1:4" x14ac:dyDescent="0.2">
      <c r="B61" s="67" t="s">
        <v>94</v>
      </c>
    </row>
    <row r="62" spans="1:4" x14ac:dyDescent="0.2">
      <c r="A62" t="s">
        <v>107</v>
      </c>
      <c r="B62" s="95">
        <v>43294</v>
      </c>
      <c r="C62" s="95"/>
    </row>
    <row r="63" spans="1:4" x14ac:dyDescent="0.2">
      <c r="B63" s="67" t="s">
        <v>158</v>
      </c>
    </row>
    <row r="64" spans="1:4" x14ac:dyDescent="0.2">
      <c r="B64" s="67" t="s">
        <v>157</v>
      </c>
    </row>
    <row r="65" spans="2:2" x14ac:dyDescent="0.2">
      <c r="B65" s="67"/>
    </row>
    <row r="66" spans="2:2" x14ac:dyDescent="0.2">
      <c r="B66" s="67"/>
    </row>
    <row r="67" spans="2:2" x14ac:dyDescent="0.2">
      <c r="B67" s="67"/>
    </row>
  </sheetData>
  <sheetProtection formatCells="0" formatColumns="0" formatRows="0"/>
  <mergeCells count="1">
    <mergeCell ref="B62:C62"/>
  </mergeCells>
  <conditionalFormatting sqref="D2:D57">
    <cfRule type="containsText" dxfId="166" priority="1" operator="containsText" text="No DD">
      <formula>NOT(ISERROR(SEARCH("No DD",D2)))</formula>
    </cfRule>
    <cfRule type="containsText" dxfId="165" priority="4" operator="containsText" text="Merit">
      <formula>NOT(ISERROR(SEARCH("Merit",D2)))</formula>
    </cfRule>
    <cfRule type="containsText" dxfId="164" priority="5" operator="containsText" text="Funding">
      <formula>NOT(ISERROR(SEARCH("Funding",D2)))</formula>
    </cfRule>
    <cfRule type="containsText" dxfId="163" priority="6" operator="containsText" text="Worlds Team">
      <formula>NOT(ISERROR(SEARCH("Worlds Team",D2)))</formula>
    </cfRule>
    <cfRule type="containsText" dxfId="162" priority="7" operator="containsText" text="National Team">
      <formula>NOT(ISERROR(SEARCH("National Team",D2)))</formula>
    </cfRule>
  </conditionalFormatting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Sort Names">
              <controlPr defaultSize="0" autoFill="0" autoPict="0" macro="[0]!_xludf.Sort" altText="Sort">
                <anchor moveWithCells="1" sizeWithCells="1">
                  <from>
                    <xdr:col>0</xdr:col>
                    <xdr:colOff>25400</xdr:colOff>
                    <xdr:row>58</xdr:row>
                    <xdr:rowOff>38100</xdr:rowOff>
                  </from>
                  <to>
                    <xdr:col>0</xdr:col>
                    <xdr:colOff>812800</xdr:colOff>
                    <xdr:row>58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Show">
              <controlPr defaultSize="0" autoFill="0" autoPict="0" macro="[0]!Show_All" altText="">
                <anchor moveWithCells="1" sizeWithCells="1">
                  <from>
                    <xdr:col>0</xdr:col>
                    <xdr:colOff>12700</xdr:colOff>
                    <xdr:row>59</xdr:row>
                    <xdr:rowOff>25400</xdr:rowOff>
                  </from>
                  <to>
                    <xdr:col>0</xdr:col>
                    <xdr:colOff>800100</xdr:colOff>
                    <xdr:row>59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autoFill="0" autoPict="0" macro="[0]!_xludf.Hide" altText="Hide">
                <anchor moveWithCells="1" sizeWithCells="1">
                  <from>
                    <xdr:col>0</xdr:col>
                    <xdr:colOff>25400</xdr:colOff>
                    <xdr:row>60</xdr:row>
                    <xdr:rowOff>38100</xdr:rowOff>
                  </from>
                  <to>
                    <xdr:col>0</xdr:col>
                    <xdr:colOff>800100</xdr:colOff>
                    <xdr:row>60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LZ54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6.33203125" customWidth="1"/>
    <col min="6" max="6" width="16" customWidth="1"/>
    <col min="7" max="7" width="14.6640625" customWidth="1"/>
    <col min="9" max="9" width="13.33203125" bestFit="1" customWidth="1"/>
    <col min="10" max="10" width="10.83203125" customWidth="1"/>
    <col min="11" max="11" width="20.5" bestFit="1" customWidth="1"/>
    <col min="13" max="13" width="20.5" bestFit="1" customWidth="1"/>
    <col min="15" max="15" width="20.5" bestFit="1" customWidth="1"/>
    <col min="17" max="17" width="20.5" bestFit="1" customWidth="1"/>
    <col min="18" max="18" width="24.6640625" bestFit="1" customWidth="1"/>
    <col min="19" max="19" width="13" bestFit="1" customWidth="1"/>
    <col min="20" max="20" width="39.5" customWidth="1"/>
    <col min="21" max="35" width="10.83203125" hidden="1" customWidth="1"/>
    <col min="36" max="41" width="10.83203125" customWidth="1"/>
    <col min="42" max="56" width="10.83203125" hidden="1" customWidth="1"/>
    <col min="57" max="62" width="10.83203125" customWidth="1"/>
    <col min="63" max="77" width="10.83203125" hidden="1" customWidth="1"/>
    <col min="78" max="83" width="10.83203125" customWidth="1"/>
    <col min="86" max="86" width="10.83203125" customWidth="1"/>
    <col min="87" max="101" width="10.83203125" hidden="1" customWidth="1"/>
    <col min="102" max="107" width="10.83203125" customWidth="1"/>
    <col min="108" max="122" width="10.83203125" hidden="1" customWidth="1"/>
    <col min="123" max="128" width="10.83203125" customWidth="1"/>
    <col min="129" max="143" width="10.83203125" hidden="1" customWidth="1"/>
    <col min="144" max="149" width="10.83203125" customWidth="1"/>
    <col min="150" max="164" width="10.83203125" hidden="1" customWidth="1"/>
    <col min="165" max="170" width="10.83203125" customWidth="1"/>
    <col min="171" max="185" width="10.83203125" hidden="1" customWidth="1"/>
    <col min="186" max="191" width="10.83203125" customWidth="1"/>
    <col min="192" max="206" width="10.83203125" hidden="1" customWidth="1"/>
    <col min="207" max="212" width="10.83203125" customWidth="1"/>
    <col min="213" max="227" width="10.83203125" hidden="1" customWidth="1"/>
    <col min="228" max="233" width="10.83203125" customWidth="1"/>
    <col min="234" max="248" width="10.83203125" hidden="1" customWidth="1"/>
    <col min="249" max="254" width="10.83203125" customWidth="1"/>
    <col min="255" max="269" width="10.83203125" hidden="1" customWidth="1"/>
    <col min="270" max="275" width="10.83203125" customWidth="1"/>
    <col min="276" max="290" width="10.83203125" hidden="1" customWidth="1"/>
    <col min="291" max="296" width="10.83203125" customWidth="1"/>
    <col min="297" max="311" width="10.83203125" hidden="1" customWidth="1"/>
    <col min="312" max="317" width="10.83203125" customWidth="1"/>
    <col min="318" max="332" width="10.83203125" hidden="1" customWidth="1"/>
    <col min="333" max="338" width="10.83203125" customWidth="1"/>
  </cols>
  <sheetData>
    <row r="1" spans="1:338" x14ac:dyDescent="0.2">
      <c r="A1" s="101" t="s">
        <v>2</v>
      </c>
      <c r="B1" s="101" t="s">
        <v>51</v>
      </c>
      <c r="C1" s="101" t="s">
        <v>0</v>
      </c>
      <c r="D1" s="101" t="s">
        <v>1</v>
      </c>
      <c r="E1" s="101" t="s">
        <v>3</v>
      </c>
      <c r="F1" s="104" t="s">
        <v>123</v>
      </c>
      <c r="G1" s="104" t="s">
        <v>122</v>
      </c>
      <c r="H1" s="101" t="s">
        <v>22</v>
      </c>
      <c r="I1" s="101" t="s">
        <v>23</v>
      </c>
      <c r="J1" s="102" t="s">
        <v>24</v>
      </c>
      <c r="K1" s="102" t="s">
        <v>87</v>
      </c>
      <c r="L1" s="102" t="s">
        <v>25</v>
      </c>
      <c r="M1" s="102" t="s">
        <v>87</v>
      </c>
      <c r="N1" s="102" t="s">
        <v>26</v>
      </c>
      <c r="O1" s="102" t="s">
        <v>87</v>
      </c>
      <c r="P1" s="102" t="s">
        <v>27</v>
      </c>
      <c r="Q1" s="102" t="s">
        <v>87</v>
      </c>
      <c r="R1" s="103" t="s">
        <v>28</v>
      </c>
      <c r="S1" s="102" t="s">
        <v>90</v>
      </c>
      <c r="T1" s="102" t="s">
        <v>87</v>
      </c>
      <c r="U1" s="97" t="s">
        <v>92</v>
      </c>
      <c r="V1" s="97"/>
      <c r="W1" s="97"/>
      <c r="X1" s="97"/>
      <c r="Y1" s="97"/>
      <c r="Z1" s="97"/>
      <c r="AA1" s="97"/>
      <c r="AB1" s="97"/>
      <c r="AC1" s="97"/>
      <c r="AD1" s="97"/>
      <c r="AE1" s="97"/>
      <c r="AF1" s="97"/>
      <c r="AG1" s="97"/>
      <c r="AH1" s="97"/>
      <c r="AI1" s="97"/>
      <c r="AJ1" s="97"/>
      <c r="AK1" s="97"/>
      <c r="AL1" s="97"/>
      <c r="AM1" s="97"/>
      <c r="AN1" s="97"/>
      <c r="AO1" s="97"/>
      <c r="AP1" s="96" t="s">
        <v>124</v>
      </c>
      <c r="AQ1" s="96"/>
      <c r="AR1" s="96"/>
      <c r="AS1" s="96"/>
      <c r="AT1" s="96"/>
      <c r="AU1" s="96"/>
      <c r="AV1" s="96"/>
      <c r="AW1" s="96"/>
      <c r="AX1" s="96"/>
      <c r="AY1" s="96"/>
      <c r="AZ1" s="96"/>
      <c r="BA1" s="96"/>
      <c r="BB1" s="96"/>
      <c r="BC1" s="96"/>
      <c r="BD1" s="96"/>
      <c r="BE1" s="96"/>
      <c r="BF1" s="96"/>
      <c r="BG1" s="96"/>
      <c r="BH1" s="96"/>
      <c r="BI1" s="96"/>
      <c r="BJ1" s="96"/>
      <c r="BK1" s="97" t="s">
        <v>142</v>
      </c>
      <c r="BL1" s="97"/>
      <c r="BM1" s="97"/>
      <c r="BN1" s="97"/>
      <c r="BO1" s="97"/>
      <c r="BP1" s="97"/>
      <c r="BQ1" s="97"/>
      <c r="BR1" s="97"/>
      <c r="BS1" s="97"/>
      <c r="BT1" s="97"/>
      <c r="BU1" s="97"/>
      <c r="BV1" s="97"/>
      <c r="BW1" s="97"/>
      <c r="BX1" s="97"/>
      <c r="BY1" s="97"/>
      <c r="BZ1" s="97"/>
      <c r="CA1" s="97"/>
      <c r="CB1" s="97"/>
      <c r="CC1" s="97"/>
      <c r="CD1" s="97"/>
      <c r="CE1" s="97"/>
      <c r="CF1" s="100" t="s">
        <v>28</v>
      </c>
      <c r="CG1" s="100"/>
      <c r="CH1" s="100"/>
      <c r="CI1" s="97" t="s">
        <v>103</v>
      </c>
      <c r="CJ1" s="97"/>
      <c r="CK1" s="97"/>
      <c r="CL1" s="97"/>
      <c r="CM1" s="97"/>
      <c r="CN1" s="97"/>
      <c r="CO1" s="97"/>
      <c r="CP1" s="97"/>
      <c r="CQ1" s="97"/>
      <c r="CR1" s="97"/>
      <c r="CS1" s="97"/>
      <c r="CT1" s="97"/>
      <c r="CU1" s="97"/>
      <c r="CV1" s="97"/>
      <c r="CW1" s="97"/>
      <c r="CX1" s="97"/>
      <c r="CY1" s="97"/>
      <c r="CZ1" s="97"/>
      <c r="DA1" s="97"/>
      <c r="DB1" s="97"/>
      <c r="DC1" s="97"/>
      <c r="DD1" s="96" t="s">
        <v>116</v>
      </c>
      <c r="DE1" s="96"/>
      <c r="DF1" s="96"/>
      <c r="DG1" s="96"/>
      <c r="DH1" s="96"/>
      <c r="DI1" s="96"/>
      <c r="DJ1" s="96"/>
      <c r="DK1" s="96"/>
      <c r="DL1" s="96"/>
      <c r="DM1" s="96"/>
      <c r="DN1" s="96"/>
      <c r="DO1" s="96"/>
      <c r="DP1" s="96"/>
      <c r="DQ1" s="96"/>
      <c r="DR1" s="96"/>
      <c r="DS1" s="96"/>
      <c r="DT1" s="96"/>
      <c r="DU1" s="96"/>
      <c r="DV1" s="96"/>
      <c r="DW1" s="96"/>
      <c r="DX1" s="96"/>
      <c r="DY1" s="97" t="s">
        <v>139</v>
      </c>
      <c r="DZ1" s="97"/>
      <c r="EA1" s="97"/>
      <c r="EB1" s="97"/>
      <c r="EC1" s="97"/>
      <c r="ED1" s="97"/>
      <c r="EE1" s="97"/>
      <c r="EF1" s="97"/>
      <c r="EG1" s="97"/>
      <c r="EH1" s="97"/>
      <c r="EI1" s="97"/>
      <c r="EJ1" s="97"/>
      <c r="EK1" s="97"/>
      <c r="EL1" s="97"/>
      <c r="EM1" s="97"/>
      <c r="EN1" s="97"/>
      <c r="EO1" s="97"/>
      <c r="EP1" s="97"/>
      <c r="EQ1" s="97"/>
      <c r="ER1" s="97"/>
      <c r="ES1" s="97"/>
      <c r="ET1" s="96" t="s">
        <v>152</v>
      </c>
      <c r="EU1" s="96"/>
      <c r="EV1" s="96"/>
      <c r="EW1" s="96"/>
      <c r="EX1" s="96"/>
      <c r="EY1" s="96"/>
      <c r="EZ1" s="96"/>
      <c r="FA1" s="96"/>
      <c r="FB1" s="96"/>
      <c r="FC1" s="96"/>
      <c r="FD1" s="96"/>
      <c r="FE1" s="96"/>
      <c r="FF1" s="96"/>
      <c r="FG1" s="96"/>
      <c r="FH1" s="96"/>
      <c r="FI1" s="96"/>
      <c r="FJ1" s="96"/>
      <c r="FK1" s="96"/>
      <c r="FL1" s="96"/>
      <c r="FM1" s="96"/>
      <c r="FN1" s="96"/>
      <c r="FO1" s="97" t="s">
        <v>138</v>
      </c>
      <c r="FP1" s="97"/>
      <c r="FQ1" s="97"/>
      <c r="FR1" s="97"/>
      <c r="FS1" s="97"/>
      <c r="FT1" s="97"/>
      <c r="FU1" s="97"/>
      <c r="FV1" s="97"/>
      <c r="FW1" s="97"/>
      <c r="FX1" s="97"/>
      <c r="FY1" s="97"/>
      <c r="FZ1" s="97"/>
      <c r="GA1" s="97"/>
      <c r="GB1" s="97"/>
      <c r="GC1" s="97"/>
      <c r="GD1" s="97"/>
      <c r="GE1" s="97"/>
      <c r="GF1" s="97"/>
      <c r="GG1" s="97"/>
      <c r="GH1" s="97"/>
      <c r="GI1" s="97"/>
      <c r="GJ1" s="96"/>
      <c r="GK1" s="96"/>
      <c r="GL1" s="96"/>
      <c r="GM1" s="96"/>
      <c r="GN1" s="96"/>
      <c r="GO1" s="96"/>
      <c r="GP1" s="96"/>
      <c r="GQ1" s="96"/>
      <c r="GR1" s="96"/>
      <c r="GS1" s="96"/>
      <c r="GT1" s="96"/>
      <c r="GU1" s="96"/>
      <c r="GV1" s="96"/>
      <c r="GW1" s="96"/>
      <c r="GX1" s="96"/>
      <c r="GY1" s="96"/>
      <c r="GZ1" s="96"/>
      <c r="HA1" s="96"/>
      <c r="HB1" s="96"/>
      <c r="HC1" s="96"/>
      <c r="HD1" s="96"/>
      <c r="HE1" s="97"/>
      <c r="HF1" s="97"/>
      <c r="HG1" s="97"/>
      <c r="HH1" s="97"/>
      <c r="HI1" s="97"/>
      <c r="HJ1" s="97"/>
      <c r="HK1" s="97"/>
      <c r="HL1" s="97"/>
      <c r="HM1" s="97"/>
      <c r="HN1" s="97"/>
      <c r="HO1" s="97"/>
      <c r="HP1" s="97"/>
      <c r="HQ1" s="97"/>
      <c r="HR1" s="97"/>
      <c r="HS1" s="97"/>
      <c r="HT1" s="97"/>
      <c r="HU1" s="97"/>
      <c r="HV1" s="97"/>
      <c r="HW1" s="97"/>
      <c r="HX1" s="97"/>
      <c r="HY1" s="97"/>
      <c r="HZ1" s="96"/>
      <c r="IA1" s="96"/>
      <c r="IB1" s="96"/>
      <c r="IC1" s="96"/>
      <c r="ID1" s="96"/>
      <c r="IE1" s="96"/>
      <c r="IF1" s="96"/>
      <c r="IG1" s="96"/>
      <c r="IH1" s="96"/>
      <c r="II1" s="96"/>
      <c r="IJ1" s="96"/>
      <c r="IK1" s="96"/>
      <c r="IL1" s="96"/>
      <c r="IM1" s="96"/>
      <c r="IN1" s="96"/>
      <c r="IO1" s="96"/>
      <c r="IP1" s="96"/>
      <c r="IQ1" s="96"/>
      <c r="IR1" s="96"/>
      <c r="IS1" s="96"/>
      <c r="IT1" s="96"/>
      <c r="IU1" s="97"/>
      <c r="IV1" s="97"/>
      <c r="IW1" s="97"/>
      <c r="IX1" s="97"/>
      <c r="IY1" s="97"/>
      <c r="IZ1" s="97"/>
      <c r="JA1" s="97"/>
      <c r="JB1" s="97"/>
      <c r="JC1" s="97"/>
      <c r="JD1" s="97"/>
      <c r="JE1" s="97"/>
      <c r="JF1" s="97"/>
      <c r="JG1" s="97"/>
      <c r="JH1" s="97"/>
      <c r="JI1" s="97"/>
      <c r="JJ1" s="97"/>
      <c r="JK1" s="97"/>
      <c r="JL1" s="97"/>
      <c r="JM1" s="97"/>
      <c r="JN1" s="97"/>
      <c r="JO1" s="97"/>
      <c r="JP1" s="96"/>
      <c r="JQ1" s="96"/>
      <c r="JR1" s="96"/>
      <c r="JS1" s="96"/>
      <c r="JT1" s="96"/>
      <c r="JU1" s="96"/>
      <c r="JV1" s="96"/>
      <c r="JW1" s="96"/>
      <c r="JX1" s="96"/>
      <c r="JY1" s="96"/>
      <c r="JZ1" s="96"/>
      <c r="KA1" s="96"/>
      <c r="KB1" s="96"/>
      <c r="KC1" s="96"/>
      <c r="KD1" s="96"/>
      <c r="KE1" s="96"/>
      <c r="KF1" s="96"/>
      <c r="KG1" s="96"/>
      <c r="KH1" s="96"/>
      <c r="KI1" s="96"/>
      <c r="KJ1" s="96"/>
      <c r="KK1" s="97"/>
      <c r="KL1" s="97"/>
      <c r="KM1" s="97"/>
      <c r="KN1" s="97"/>
      <c r="KO1" s="97"/>
      <c r="KP1" s="97"/>
      <c r="KQ1" s="97"/>
      <c r="KR1" s="97"/>
      <c r="KS1" s="97"/>
      <c r="KT1" s="97"/>
      <c r="KU1" s="97"/>
      <c r="KV1" s="97"/>
      <c r="KW1" s="97"/>
      <c r="KX1" s="97"/>
      <c r="KY1" s="97"/>
      <c r="KZ1" s="97"/>
      <c r="LA1" s="97"/>
      <c r="LB1" s="97"/>
      <c r="LC1" s="97"/>
      <c r="LD1" s="97"/>
      <c r="LE1" s="97"/>
      <c r="LF1" s="96"/>
      <c r="LG1" s="96"/>
      <c r="LH1" s="96"/>
      <c r="LI1" s="96"/>
      <c r="LJ1" s="96"/>
      <c r="LK1" s="96"/>
      <c r="LL1" s="96"/>
      <c r="LM1" s="96"/>
      <c r="LN1" s="96"/>
      <c r="LO1" s="96"/>
      <c r="LP1" s="96"/>
      <c r="LQ1" s="96"/>
      <c r="LR1" s="96"/>
      <c r="LS1" s="96"/>
      <c r="LT1" s="96"/>
      <c r="LU1" s="96"/>
      <c r="LV1" s="96"/>
      <c r="LW1" s="96"/>
      <c r="LX1" s="96"/>
      <c r="LY1" s="96"/>
      <c r="LZ1" s="96"/>
    </row>
    <row r="2" spans="1:338" x14ac:dyDescent="0.2">
      <c r="A2" s="101"/>
      <c r="B2" s="101"/>
      <c r="C2" s="101"/>
      <c r="D2" s="101"/>
      <c r="E2" s="101"/>
      <c r="F2" s="104"/>
      <c r="G2" s="104"/>
      <c r="H2" s="101"/>
      <c r="I2" s="101"/>
      <c r="J2" s="102"/>
      <c r="K2" s="102"/>
      <c r="L2" s="102"/>
      <c r="M2" s="102"/>
      <c r="N2" s="102"/>
      <c r="O2" s="102"/>
      <c r="P2" s="102"/>
      <c r="Q2" s="102"/>
      <c r="R2" s="103"/>
      <c r="S2" s="102"/>
      <c r="T2" s="102"/>
      <c r="U2" s="98" t="s">
        <v>33</v>
      </c>
      <c r="V2" s="98"/>
      <c r="W2" s="98"/>
      <c r="X2" s="98"/>
      <c r="Y2" s="98"/>
      <c r="Z2" s="98" t="s">
        <v>34</v>
      </c>
      <c r="AA2" s="98"/>
      <c r="AB2" s="98"/>
      <c r="AC2" s="98"/>
      <c r="AD2" s="98"/>
      <c r="AE2" s="98" t="s">
        <v>37</v>
      </c>
      <c r="AF2" s="98"/>
      <c r="AG2" s="98"/>
      <c r="AH2" s="98"/>
      <c r="AI2" s="98"/>
      <c r="AJ2" s="41" t="s">
        <v>40</v>
      </c>
      <c r="AK2" s="11" t="s">
        <v>35</v>
      </c>
      <c r="AL2" s="11" t="s">
        <v>36</v>
      </c>
      <c r="AM2" s="11" t="s">
        <v>38</v>
      </c>
      <c r="AN2" s="11" t="s">
        <v>37</v>
      </c>
      <c r="AO2" s="11" t="s">
        <v>32</v>
      </c>
      <c r="AP2" s="99" t="s">
        <v>33</v>
      </c>
      <c r="AQ2" s="99"/>
      <c r="AR2" s="99"/>
      <c r="AS2" s="99"/>
      <c r="AT2" s="99"/>
      <c r="AU2" s="99" t="s">
        <v>34</v>
      </c>
      <c r="AV2" s="99"/>
      <c r="AW2" s="99"/>
      <c r="AX2" s="99"/>
      <c r="AY2" s="99"/>
      <c r="AZ2" s="99" t="s">
        <v>37</v>
      </c>
      <c r="BA2" s="99"/>
      <c r="BB2" s="99"/>
      <c r="BC2" s="99"/>
      <c r="BD2" s="99"/>
      <c r="BE2" s="42" t="s">
        <v>40</v>
      </c>
      <c r="BF2" s="14" t="s">
        <v>35</v>
      </c>
      <c r="BG2" s="14" t="s">
        <v>36</v>
      </c>
      <c r="BH2" s="14" t="s">
        <v>38</v>
      </c>
      <c r="BI2" s="14" t="s">
        <v>37</v>
      </c>
      <c r="BJ2" s="14" t="s">
        <v>32</v>
      </c>
      <c r="BK2" s="98" t="s">
        <v>33</v>
      </c>
      <c r="BL2" s="98"/>
      <c r="BM2" s="98"/>
      <c r="BN2" s="98"/>
      <c r="BO2" s="98"/>
      <c r="BP2" s="98" t="s">
        <v>34</v>
      </c>
      <c r="BQ2" s="98"/>
      <c r="BR2" s="98"/>
      <c r="BS2" s="98"/>
      <c r="BT2" s="98"/>
      <c r="BU2" s="98" t="s">
        <v>37</v>
      </c>
      <c r="BV2" s="98"/>
      <c r="BW2" s="98"/>
      <c r="BX2" s="98"/>
      <c r="BY2" s="98"/>
      <c r="BZ2" s="41" t="s">
        <v>40</v>
      </c>
      <c r="CA2" s="11" t="s">
        <v>35</v>
      </c>
      <c r="CB2" s="11" t="s">
        <v>36</v>
      </c>
      <c r="CC2" s="11" t="s">
        <v>38</v>
      </c>
      <c r="CD2" s="11" t="s">
        <v>37</v>
      </c>
      <c r="CE2" s="11" t="s">
        <v>32</v>
      </c>
      <c r="CF2" s="28" t="s">
        <v>35</v>
      </c>
      <c r="CG2" s="28" t="s">
        <v>36</v>
      </c>
      <c r="CH2" s="28" t="s">
        <v>37</v>
      </c>
      <c r="CI2" s="98" t="s">
        <v>33</v>
      </c>
      <c r="CJ2" s="98"/>
      <c r="CK2" s="98"/>
      <c r="CL2" s="98"/>
      <c r="CM2" s="98"/>
      <c r="CN2" s="98" t="s">
        <v>34</v>
      </c>
      <c r="CO2" s="98"/>
      <c r="CP2" s="98"/>
      <c r="CQ2" s="98"/>
      <c r="CR2" s="98"/>
      <c r="CS2" s="98" t="s">
        <v>37</v>
      </c>
      <c r="CT2" s="98"/>
      <c r="CU2" s="98"/>
      <c r="CV2" s="98"/>
      <c r="CW2" s="98"/>
      <c r="CX2" s="41" t="s">
        <v>40</v>
      </c>
      <c r="CY2" s="11" t="s">
        <v>35</v>
      </c>
      <c r="CZ2" s="11" t="s">
        <v>36</v>
      </c>
      <c r="DA2" s="11" t="s">
        <v>38</v>
      </c>
      <c r="DB2" s="11" t="s">
        <v>37</v>
      </c>
      <c r="DC2" s="11" t="s">
        <v>32</v>
      </c>
      <c r="DD2" s="99" t="s">
        <v>33</v>
      </c>
      <c r="DE2" s="99"/>
      <c r="DF2" s="99"/>
      <c r="DG2" s="99"/>
      <c r="DH2" s="99"/>
      <c r="DI2" s="99" t="s">
        <v>34</v>
      </c>
      <c r="DJ2" s="99"/>
      <c r="DK2" s="99"/>
      <c r="DL2" s="99"/>
      <c r="DM2" s="99"/>
      <c r="DN2" s="99" t="s">
        <v>37</v>
      </c>
      <c r="DO2" s="99"/>
      <c r="DP2" s="99"/>
      <c r="DQ2" s="99"/>
      <c r="DR2" s="99"/>
      <c r="DS2" s="42" t="s">
        <v>40</v>
      </c>
      <c r="DT2" s="14" t="s">
        <v>35</v>
      </c>
      <c r="DU2" s="14" t="s">
        <v>36</v>
      </c>
      <c r="DV2" s="14" t="s">
        <v>38</v>
      </c>
      <c r="DW2" s="14" t="s">
        <v>37</v>
      </c>
      <c r="DX2" s="14" t="s">
        <v>32</v>
      </c>
      <c r="DY2" s="98" t="s">
        <v>33</v>
      </c>
      <c r="DZ2" s="98"/>
      <c r="EA2" s="98"/>
      <c r="EB2" s="98"/>
      <c r="EC2" s="98"/>
      <c r="ED2" s="98" t="s">
        <v>34</v>
      </c>
      <c r="EE2" s="98"/>
      <c r="EF2" s="98"/>
      <c r="EG2" s="98"/>
      <c r="EH2" s="98"/>
      <c r="EI2" s="98" t="s">
        <v>37</v>
      </c>
      <c r="EJ2" s="98"/>
      <c r="EK2" s="98"/>
      <c r="EL2" s="98"/>
      <c r="EM2" s="98"/>
      <c r="EN2" s="41" t="s">
        <v>40</v>
      </c>
      <c r="EO2" s="11" t="s">
        <v>35</v>
      </c>
      <c r="EP2" s="11" t="s">
        <v>36</v>
      </c>
      <c r="EQ2" s="11" t="s">
        <v>38</v>
      </c>
      <c r="ER2" s="11" t="s">
        <v>37</v>
      </c>
      <c r="ES2" s="11" t="s">
        <v>32</v>
      </c>
      <c r="ET2" s="99" t="s">
        <v>33</v>
      </c>
      <c r="EU2" s="99"/>
      <c r="EV2" s="99"/>
      <c r="EW2" s="99"/>
      <c r="EX2" s="99"/>
      <c r="EY2" s="99" t="s">
        <v>34</v>
      </c>
      <c r="EZ2" s="99"/>
      <c r="FA2" s="99"/>
      <c r="FB2" s="99"/>
      <c r="FC2" s="99"/>
      <c r="FD2" s="99" t="s">
        <v>37</v>
      </c>
      <c r="FE2" s="99"/>
      <c r="FF2" s="99"/>
      <c r="FG2" s="99"/>
      <c r="FH2" s="99"/>
      <c r="FI2" s="42" t="s">
        <v>40</v>
      </c>
      <c r="FJ2" s="14" t="s">
        <v>35</v>
      </c>
      <c r="FK2" s="14" t="s">
        <v>36</v>
      </c>
      <c r="FL2" s="14" t="s">
        <v>38</v>
      </c>
      <c r="FM2" s="14" t="s">
        <v>37</v>
      </c>
      <c r="FN2" s="14" t="s">
        <v>32</v>
      </c>
      <c r="FO2" s="98" t="s">
        <v>33</v>
      </c>
      <c r="FP2" s="98"/>
      <c r="FQ2" s="98"/>
      <c r="FR2" s="98"/>
      <c r="FS2" s="98"/>
      <c r="FT2" s="98" t="s">
        <v>34</v>
      </c>
      <c r="FU2" s="98"/>
      <c r="FV2" s="98"/>
      <c r="FW2" s="98"/>
      <c r="FX2" s="98"/>
      <c r="FY2" s="98" t="s">
        <v>37</v>
      </c>
      <c r="FZ2" s="98"/>
      <c r="GA2" s="98"/>
      <c r="GB2" s="98"/>
      <c r="GC2" s="98"/>
      <c r="GD2" s="41" t="s">
        <v>40</v>
      </c>
      <c r="GE2" s="11" t="s">
        <v>35</v>
      </c>
      <c r="GF2" s="11" t="s">
        <v>36</v>
      </c>
      <c r="GG2" s="11" t="s">
        <v>38</v>
      </c>
      <c r="GH2" s="11" t="s">
        <v>37</v>
      </c>
      <c r="GI2" s="11" t="s">
        <v>32</v>
      </c>
      <c r="GJ2" s="99" t="s">
        <v>33</v>
      </c>
      <c r="GK2" s="99"/>
      <c r="GL2" s="99"/>
      <c r="GM2" s="99"/>
      <c r="GN2" s="99"/>
      <c r="GO2" s="99" t="s">
        <v>34</v>
      </c>
      <c r="GP2" s="99"/>
      <c r="GQ2" s="99"/>
      <c r="GR2" s="99"/>
      <c r="GS2" s="99"/>
      <c r="GT2" s="99" t="s">
        <v>37</v>
      </c>
      <c r="GU2" s="99"/>
      <c r="GV2" s="99"/>
      <c r="GW2" s="99"/>
      <c r="GX2" s="99"/>
      <c r="GY2" s="42" t="s">
        <v>40</v>
      </c>
      <c r="GZ2" s="14" t="s">
        <v>35</v>
      </c>
      <c r="HA2" s="14" t="s">
        <v>36</v>
      </c>
      <c r="HB2" s="14" t="s">
        <v>38</v>
      </c>
      <c r="HC2" s="14" t="s">
        <v>37</v>
      </c>
      <c r="HD2" s="14" t="s">
        <v>32</v>
      </c>
      <c r="HE2" s="98" t="s">
        <v>33</v>
      </c>
      <c r="HF2" s="98"/>
      <c r="HG2" s="98"/>
      <c r="HH2" s="98"/>
      <c r="HI2" s="98"/>
      <c r="HJ2" s="98" t="s">
        <v>34</v>
      </c>
      <c r="HK2" s="98"/>
      <c r="HL2" s="98"/>
      <c r="HM2" s="98"/>
      <c r="HN2" s="98"/>
      <c r="HO2" s="98" t="s">
        <v>37</v>
      </c>
      <c r="HP2" s="98"/>
      <c r="HQ2" s="98"/>
      <c r="HR2" s="98"/>
      <c r="HS2" s="98"/>
      <c r="HT2" s="41" t="s">
        <v>40</v>
      </c>
      <c r="HU2" s="11" t="s">
        <v>35</v>
      </c>
      <c r="HV2" s="11" t="s">
        <v>36</v>
      </c>
      <c r="HW2" s="11" t="s">
        <v>38</v>
      </c>
      <c r="HX2" s="11" t="s">
        <v>37</v>
      </c>
      <c r="HY2" s="11" t="s">
        <v>32</v>
      </c>
      <c r="HZ2" s="99" t="s">
        <v>33</v>
      </c>
      <c r="IA2" s="99"/>
      <c r="IB2" s="99"/>
      <c r="IC2" s="99"/>
      <c r="ID2" s="99"/>
      <c r="IE2" s="99" t="s">
        <v>34</v>
      </c>
      <c r="IF2" s="99"/>
      <c r="IG2" s="99"/>
      <c r="IH2" s="99"/>
      <c r="II2" s="99"/>
      <c r="IJ2" s="99" t="s">
        <v>37</v>
      </c>
      <c r="IK2" s="99"/>
      <c r="IL2" s="99"/>
      <c r="IM2" s="99"/>
      <c r="IN2" s="99"/>
      <c r="IO2" s="42" t="s">
        <v>40</v>
      </c>
      <c r="IP2" s="14" t="s">
        <v>35</v>
      </c>
      <c r="IQ2" s="14" t="s">
        <v>36</v>
      </c>
      <c r="IR2" s="14" t="s">
        <v>38</v>
      </c>
      <c r="IS2" s="14" t="s">
        <v>37</v>
      </c>
      <c r="IT2" s="14" t="s">
        <v>32</v>
      </c>
      <c r="IU2" s="98" t="s">
        <v>33</v>
      </c>
      <c r="IV2" s="98"/>
      <c r="IW2" s="98"/>
      <c r="IX2" s="98"/>
      <c r="IY2" s="98"/>
      <c r="IZ2" s="98" t="s">
        <v>34</v>
      </c>
      <c r="JA2" s="98"/>
      <c r="JB2" s="98"/>
      <c r="JC2" s="98"/>
      <c r="JD2" s="98"/>
      <c r="JE2" s="98" t="s">
        <v>37</v>
      </c>
      <c r="JF2" s="98"/>
      <c r="JG2" s="98"/>
      <c r="JH2" s="98"/>
      <c r="JI2" s="98"/>
      <c r="JJ2" s="41" t="s">
        <v>40</v>
      </c>
      <c r="JK2" s="11" t="s">
        <v>35</v>
      </c>
      <c r="JL2" s="11" t="s">
        <v>36</v>
      </c>
      <c r="JM2" s="11" t="s">
        <v>38</v>
      </c>
      <c r="JN2" s="11" t="s">
        <v>37</v>
      </c>
      <c r="JO2" s="11" t="s">
        <v>32</v>
      </c>
      <c r="JP2" s="99" t="s">
        <v>33</v>
      </c>
      <c r="JQ2" s="99"/>
      <c r="JR2" s="99"/>
      <c r="JS2" s="99"/>
      <c r="JT2" s="99"/>
      <c r="JU2" s="99" t="s">
        <v>34</v>
      </c>
      <c r="JV2" s="99"/>
      <c r="JW2" s="99"/>
      <c r="JX2" s="99"/>
      <c r="JY2" s="99"/>
      <c r="JZ2" s="99" t="s">
        <v>37</v>
      </c>
      <c r="KA2" s="99"/>
      <c r="KB2" s="99"/>
      <c r="KC2" s="99"/>
      <c r="KD2" s="99"/>
      <c r="KE2" s="42" t="s">
        <v>40</v>
      </c>
      <c r="KF2" s="14" t="s">
        <v>35</v>
      </c>
      <c r="KG2" s="14" t="s">
        <v>36</v>
      </c>
      <c r="KH2" s="14" t="s">
        <v>38</v>
      </c>
      <c r="KI2" s="14" t="s">
        <v>37</v>
      </c>
      <c r="KJ2" s="14" t="s">
        <v>32</v>
      </c>
      <c r="KK2" s="98" t="s">
        <v>33</v>
      </c>
      <c r="KL2" s="98"/>
      <c r="KM2" s="98"/>
      <c r="KN2" s="98"/>
      <c r="KO2" s="98"/>
      <c r="KP2" s="98" t="s">
        <v>34</v>
      </c>
      <c r="KQ2" s="98"/>
      <c r="KR2" s="98"/>
      <c r="KS2" s="98"/>
      <c r="KT2" s="98"/>
      <c r="KU2" s="98" t="s">
        <v>37</v>
      </c>
      <c r="KV2" s="98"/>
      <c r="KW2" s="98"/>
      <c r="KX2" s="98"/>
      <c r="KY2" s="98"/>
      <c r="KZ2" s="41" t="s">
        <v>40</v>
      </c>
      <c r="LA2" s="11" t="s">
        <v>35</v>
      </c>
      <c r="LB2" s="11" t="s">
        <v>36</v>
      </c>
      <c r="LC2" s="11" t="s">
        <v>38</v>
      </c>
      <c r="LD2" s="11" t="s">
        <v>37</v>
      </c>
      <c r="LE2" s="11" t="s">
        <v>32</v>
      </c>
      <c r="LF2" s="99" t="s">
        <v>33</v>
      </c>
      <c r="LG2" s="99"/>
      <c r="LH2" s="99"/>
      <c r="LI2" s="99"/>
      <c r="LJ2" s="99"/>
      <c r="LK2" s="99" t="s">
        <v>34</v>
      </c>
      <c r="LL2" s="99"/>
      <c r="LM2" s="99"/>
      <c r="LN2" s="99"/>
      <c r="LO2" s="99"/>
      <c r="LP2" s="99" t="s">
        <v>37</v>
      </c>
      <c r="LQ2" s="99"/>
      <c r="LR2" s="99"/>
      <c r="LS2" s="99"/>
      <c r="LT2" s="99"/>
      <c r="LU2" s="42" t="s">
        <v>40</v>
      </c>
      <c r="LV2" s="14" t="s">
        <v>35</v>
      </c>
      <c r="LW2" s="14" t="s">
        <v>36</v>
      </c>
      <c r="LX2" s="14" t="s">
        <v>38</v>
      </c>
      <c r="LY2" s="14" t="s">
        <v>37</v>
      </c>
      <c r="LZ2" s="14" t="s">
        <v>32</v>
      </c>
    </row>
    <row r="3" spans="1:338" x14ac:dyDescent="0.2">
      <c r="A3" s="101"/>
      <c r="B3" s="101"/>
      <c r="C3" s="101"/>
      <c r="D3" s="101"/>
      <c r="E3" s="101"/>
      <c r="F3" s="104"/>
      <c r="G3" s="104"/>
      <c r="H3" s="101"/>
      <c r="I3" s="101"/>
      <c r="J3" s="102"/>
      <c r="K3" s="102"/>
      <c r="L3" s="102"/>
      <c r="M3" s="102"/>
      <c r="N3" s="102"/>
      <c r="O3" s="102"/>
      <c r="P3" s="102"/>
      <c r="Q3" s="102"/>
      <c r="R3" s="103"/>
      <c r="S3" s="102"/>
      <c r="T3" s="102"/>
      <c r="U3" s="41" t="s">
        <v>29</v>
      </c>
      <c r="V3" s="41" t="s">
        <v>30</v>
      </c>
      <c r="W3" s="41" t="s">
        <v>21</v>
      </c>
      <c r="X3" s="41" t="s">
        <v>31</v>
      </c>
      <c r="Y3" s="61" t="s">
        <v>57</v>
      </c>
      <c r="Z3" s="41" t="s">
        <v>29</v>
      </c>
      <c r="AA3" s="41" t="s">
        <v>30</v>
      </c>
      <c r="AB3" s="41" t="s">
        <v>21</v>
      </c>
      <c r="AC3" s="41" t="s">
        <v>31</v>
      </c>
      <c r="AD3" s="61" t="s">
        <v>57</v>
      </c>
      <c r="AE3" s="41" t="s">
        <v>29</v>
      </c>
      <c r="AF3" s="41" t="s">
        <v>30</v>
      </c>
      <c r="AG3" s="41" t="s">
        <v>21</v>
      </c>
      <c r="AH3" s="41" t="s">
        <v>31</v>
      </c>
      <c r="AI3" s="61" t="s">
        <v>57</v>
      </c>
      <c r="AJ3" s="12"/>
      <c r="AK3" s="11"/>
      <c r="AL3" s="11"/>
      <c r="AM3" s="11"/>
      <c r="AN3" s="12"/>
      <c r="AO3" s="12"/>
      <c r="AP3" s="42" t="s">
        <v>29</v>
      </c>
      <c r="AQ3" s="42" t="s">
        <v>30</v>
      </c>
      <c r="AR3" s="42" t="s">
        <v>21</v>
      </c>
      <c r="AS3" s="42" t="s">
        <v>31</v>
      </c>
      <c r="AT3" s="62" t="s">
        <v>57</v>
      </c>
      <c r="AU3" s="42" t="s">
        <v>29</v>
      </c>
      <c r="AV3" s="42" t="s">
        <v>30</v>
      </c>
      <c r="AW3" s="42" t="s">
        <v>21</v>
      </c>
      <c r="AX3" s="42" t="s">
        <v>31</v>
      </c>
      <c r="AY3" s="62" t="s">
        <v>57</v>
      </c>
      <c r="AZ3" s="42" t="s">
        <v>29</v>
      </c>
      <c r="BA3" s="42" t="s">
        <v>30</v>
      </c>
      <c r="BB3" s="42" t="s">
        <v>21</v>
      </c>
      <c r="BC3" s="62" t="s">
        <v>31</v>
      </c>
      <c r="BD3" s="42" t="s">
        <v>57</v>
      </c>
      <c r="BE3" s="15"/>
      <c r="BF3" s="14"/>
      <c r="BG3" s="14"/>
      <c r="BH3" s="14"/>
      <c r="BI3" s="15"/>
      <c r="BJ3" s="15"/>
      <c r="BK3" s="41" t="s">
        <v>29</v>
      </c>
      <c r="BL3" s="41" t="s">
        <v>30</v>
      </c>
      <c r="BM3" s="41" t="s">
        <v>21</v>
      </c>
      <c r="BN3" s="41" t="s">
        <v>31</v>
      </c>
      <c r="BO3" s="61" t="s">
        <v>57</v>
      </c>
      <c r="BP3" s="41" t="s">
        <v>29</v>
      </c>
      <c r="BQ3" s="41" t="s">
        <v>30</v>
      </c>
      <c r="BR3" s="41" t="s">
        <v>21</v>
      </c>
      <c r="BS3" s="41" t="s">
        <v>31</v>
      </c>
      <c r="BT3" s="61" t="s">
        <v>57</v>
      </c>
      <c r="BU3" s="41" t="s">
        <v>29</v>
      </c>
      <c r="BV3" s="41" t="s">
        <v>30</v>
      </c>
      <c r="BW3" s="41" t="s">
        <v>21</v>
      </c>
      <c r="BX3" s="41" t="s">
        <v>31</v>
      </c>
      <c r="BY3" s="61" t="s">
        <v>57</v>
      </c>
      <c r="BZ3" s="12"/>
      <c r="CA3" s="11"/>
      <c r="CB3" s="11"/>
      <c r="CC3" s="11"/>
      <c r="CD3" s="12"/>
      <c r="CE3" s="12"/>
      <c r="CF3" s="29"/>
      <c r="CG3" s="29"/>
      <c r="CH3" s="29"/>
      <c r="CI3" s="41" t="s">
        <v>29</v>
      </c>
      <c r="CJ3" s="41" t="s">
        <v>30</v>
      </c>
      <c r="CK3" s="41" t="s">
        <v>21</v>
      </c>
      <c r="CL3" s="41" t="s">
        <v>31</v>
      </c>
      <c r="CM3" s="61" t="s">
        <v>57</v>
      </c>
      <c r="CN3" s="41" t="s">
        <v>29</v>
      </c>
      <c r="CO3" s="41" t="s">
        <v>30</v>
      </c>
      <c r="CP3" s="41" t="s">
        <v>21</v>
      </c>
      <c r="CQ3" s="41" t="s">
        <v>31</v>
      </c>
      <c r="CR3" s="61" t="s">
        <v>57</v>
      </c>
      <c r="CS3" s="41" t="s">
        <v>29</v>
      </c>
      <c r="CT3" s="41" t="s">
        <v>30</v>
      </c>
      <c r="CU3" s="41" t="s">
        <v>21</v>
      </c>
      <c r="CV3" s="41" t="s">
        <v>31</v>
      </c>
      <c r="CW3" s="61" t="s">
        <v>57</v>
      </c>
      <c r="CX3" s="12"/>
      <c r="CY3" s="11"/>
      <c r="CZ3" s="11"/>
      <c r="DA3" s="11"/>
      <c r="DB3" s="12"/>
      <c r="DC3" s="12"/>
      <c r="DD3" s="42" t="s">
        <v>29</v>
      </c>
      <c r="DE3" s="42" t="s">
        <v>30</v>
      </c>
      <c r="DF3" s="42" t="s">
        <v>21</v>
      </c>
      <c r="DG3" s="42" t="s">
        <v>31</v>
      </c>
      <c r="DH3" s="62" t="s">
        <v>57</v>
      </c>
      <c r="DI3" s="42" t="s">
        <v>29</v>
      </c>
      <c r="DJ3" s="42" t="s">
        <v>30</v>
      </c>
      <c r="DK3" s="42" t="s">
        <v>21</v>
      </c>
      <c r="DL3" s="42" t="s">
        <v>31</v>
      </c>
      <c r="DM3" s="62" t="s">
        <v>57</v>
      </c>
      <c r="DN3" s="42" t="s">
        <v>29</v>
      </c>
      <c r="DO3" s="42" t="s">
        <v>30</v>
      </c>
      <c r="DP3" s="42" t="s">
        <v>21</v>
      </c>
      <c r="DQ3" s="42" t="s">
        <v>31</v>
      </c>
      <c r="DR3" s="66" t="s">
        <v>57</v>
      </c>
      <c r="DS3" s="15"/>
      <c r="DT3" s="14"/>
      <c r="DU3" s="14"/>
      <c r="DV3" s="14"/>
      <c r="DW3" s="15"/>
      <c r="DX3" s="15"/>
      <c r="DY3" s="41" t="s">
        <v>29</v>
      </c>
      <c r="DZ3" s="41" t="s">
        <v>30</v>
      </c>
      <c r="EA3" s="41" t="s">
        <v>21</v>
      </c>
      <c r="EB3" s="41" t="s">
        <v>31</v>
      </c>
      <c r="EC3" s="61" t="s">
        <v>57</v>
      </c>
      <c r="ED3" s="41" t="s">
        <v>29</v>
      </c>
      <c r="EE3" s="41" t="s">
        <v>30</v>
      </c>
      <c r="EF3" s="41" t="s">
        <v>21</v>
      </c>
      <c r="EG3" s="41" t="s">
        <v>31</v>
      </c>
      <c r="EH3" s="61" t="s">
        <v>57</v>
      </c>
      <c r="EI3" s="41" t="s">
        <v>29</v>
      </c>
      <c r="EJ3" s="41" t="s">
        <v>30</v>
      </c>
      <c r="EK3" s="41" t="s">
        <v>21</v>
      </c>
      <c r="EL3" s="41" t="s">
        <v>31</v>
      </c>
      <c r="EM3" s="61" t="s">
        <v>57</v>
      </c>
      <c r="EN3" s="12"/>
      <c r="EO3" s="11"/>
      <c r="EP3" s="11"/>
      <c r="EQ3" s="11"/>
      <c r="ER3" s="12"/>
      <c r="ES3" s="12"/>
      <c r="ET3" s="42" t="s">
        <v>29</v>
      </c>
      <c r="EU3" s="42" t="s">
        <v>30</v>
      </c>
      <c r="EV3" s="42" t="s">
        <v>21</v>
      </c>
      <c r="EW3" s="42" t="s">
        <v>31</v>
      </c>
      <c r="EX3" s="62" t="s">
        <v>57</v>
      </c>
      <c r="EY3" s="42" t="s">
        <v>29</v>
      </c>
      <c r="EZ3" s="42" t="s">
        <v>30</v>
      </c>
      <c r="FA3" s="42" t="s">
        <v>21</v>
      </c>
      <c r="FB3" s="42" t="s">
        <v>31</v>
      </c>
      <c r="FC3" s="62" t="s">
        <v>57</v>
      </c>
      <c r="FD3" s="42" t="s">
        <v>29</v>
      </c>
      <c r="FE3" s="42" t="s">
        <v>30</v>
      </c>
      <c r="FF3" s="42" t="s">
        <v>21</v>
      </c>
      <c r="FG3" s="42" t="s">
        <v>31</v>
      </c>
      <c r="FH3" s="62" t="s">
        <v>57</v>
      </c>
      <c r="FI3" s="15"/>
      <c r="FJ3" s="14"/>
      <c r="FK3" s="14"/>
      <c r="FL3" s="14"/>
      <c r="FM3" s="15"/>
      <c r="FN3" s="15"/>
      <c r="FO3" s="41" t="s">
        <v>29</v>
      </c>
      <c r="FP3" s="41" t="s">
        <v>30</v>
      </c>
      <c r="FQ3" s="41" t="s">
        <v>21</v>
      </c>
      <c r="FR3" s="41" t="s">
        <v>31</v>
      </c>
      <c r="FS3" s="61" t="s">
        <v>57</v>
      </c>
      <c r="FT3" s="41" t="s">
        <v>29</v>
      </c>
      <c r="FU3" s="41" t="s">
        <v>30</v>
      </c>
      <c r="FV3" s="41" t="s">
        <v>21</v>
      </c>
      <c r="FW3" s="41" t="s">
        <v>31</v>
      </c>
      <c r="FX3" s="61" t="s">
        <v>57</v>
      </c>
      <c r="FY3" s="41" t="s">
        <v>29</v>
      </c>
      <c r="FZ3" s="41" t="s">
        <v>30</v>
      </c>
      <c r="GA3" s="41" t="s">
        <v>21</v>
      </c>
      <c r="GB3" s="41" t="s">
        <v>31</v>
      </c>
      <c r="GC3" s="61" t="s">
        <v>57</v>
      </c>
      <c r="GD3" s="12"/>
      <c r="GE3" s="11"/>
      <c r="GF3" s="11"/>
      <c r="GG3" s="11"/>
      <c r="GH3" s="12"/>
      <c r="GI3" s="12"/>
      <c r="GJ3" s="42" t="s">
        <v>29</v>
      </c>
      <c r="GK3" s="42" t="s">
        <v>30</v>
      </c>
      <c r="GL3" s="42" t="s">
        <v>21</v>
      </c>
      <c r="GM3" s="42" t="s">
        <v>31</v>
      </c>
      <c r="GN3" s="62" t="s">
        <v>57</v>
      </c>
      <c r="GO3" s="42" t="s">
        <v>29</v>
      </c>
      <c r="GP3" s="42" t="s">
        <v>30</v>
      </c>
      <c r="GQ3" s="42" t="s">
        <v>21</v>
      </c>
      <c r="GR3" s="42" t="s">
        <v>31</v>
      </c>
      <c r="GS3" s="62" t="s">
        <v>57</v>
      </c>
      <c r="GT3" s="42" t="s">
        <v>29</v>
      </c>
      <c r="GU3" s="42" t="s">
        <v>30</v>
      </c>
      <c r="GV3" s="42" t="s">
        <v>21</v>
      </c>
      <c r="GW3" s="42" t="s">
        <v>31</v>
      </c>
      <c r="GX3" s="62" t="s">
        <v>57</v>
      </c>
      <c r="GY3" s="15"/>
      <c r="GZ3" s="14"/>
      <c r="HA3" s="14"/>
      <c r="HB3" s="14"/>
      <c r="HC3" s="15"/>
      <c r="HD3" s="15"/>
      <c r="HE3" s="41" t="s">
        <v>29</v>
      </c>
      <c r="HF3" s="41" t="s">
        <v>30</v>
      </c>
      <c r="HG3" s="41" t="s">
        <v>21</v>
      </c>
      <c r="HH3" s="41" t="s">
        <v>31</v>
      </c>
      <c r="HI3" s="61" t="s">
        <v>57</v>
      </c>
      <c r="HJ3" s="41" t="s">
        <v>29</v>
      </c>
      <c r="HK3" s="41" t="s">
        <v>30</v>
      </c>
      <c r="HL3" s="41" t="s">
        <v>21</v>
      </c>
      <c r="HM3" s="41" t="s">
        <v>31</v>
      </c>
      <c r="HN3" s="61" t="s">
        <v>57</v>
      </c>
      <c r="HO3" s="41" t="s">
        <v>29</v>
      </c>
      <c r="HP3" s="41" t="s">
        <v>30</v>
      </c>
      <c r="HQ3" s="41" t="s">
        <v>21</v>
      </c>
      <c r="HR3" s="41" t="s">
        <v>31</v>
      </c>
      <c r="HS3" s="61" t="s">
        <v>57</v>
      </c>
      <c r="HT3" s="12"/>
      <c r="HU3" s="11"/>
      <c r="HV3" s="11"/>
      <c r="HW3" s="11"/>
      <c r="HX3" s="12"/>
      <c r="HY3" s="12"/>
      <c r="HZ3" s="42" t="s">
        <v>29</v>
      </c>
      <c r="IA3" s="42" t="s">
        <v>30</v>
      </c>
      <c r="IB3" s="42" t="s">
        <v>21</v>
      </c>
      <c r="IC3" s="42" t="s">
        <v>31</v>
      </c>
      <c r="ID3" s="62" t="s">
        <v>57</v>
      </c>
      <c r="IE3" s="42" t="s">
        <v>29</v>
      </c>
      <c r="IF3" s="42" t="s">
        <v>30</v>
      </c>
      <c r="IG3" s="42" t="s">
        <v>21</v>
      </c>
      <c r="IH3" s="42" t="s">
        <v>31</v>
      </c>
      <c r="II3" s="62" t="s">
        <v>57</v>
      </c>
      <c r="IJ3" s="42" t="s">
        <v>29</v>
      </c>
      <c r="IK3" s="42" t="s">
        <v>30</v>
      </c>
      <c r="IL3" s="42" t="s">
        <v>21</v>
      </c>
      <c r="IM3" s="42" t="s">
        <v>31</v>
      </c>
      <c r="IN3" s="62" t="s">
        <v>57</v>
      </c>
      <c r="IO3" s="15"/>
      <c r="IP3" s="14"/>
      <c r="IQ3" s="14"/>
      <c r="IR3" s="14"/>
      <c r="IS3" s="15"/>
      <c r="IT3" s="15"/>
      <c r="IU3" s="41" t="s">
        <v>29</v>
      </c>
      <c r="IV3" s="41" t="s">
        <v>30</v>
      </c>
      <c r="IW3" s="41" t="s">
        <v>21</v>
      </c>
      <c r="IX3" s="41" t="s">
        <v>31</v>
      </c>
      <c r="IY3" s="61" t="s">
        <v>57</v>
      </c>
      <c r="IZ3" s="41" t="s">
        <v>29</v>
      </c>
      <c r="JA3" s="41" t="s">
        <v>30</v>
      </c>
      <c r="JB3" s="41" t="s">
        <v>21</v>
      </c>
      <c r="JC3" s="41" t="s">
        <v>31</v>
      </c>
      <c r="JD3" s="61" t="s">
        <v>57</v>
      </c>
      <c r="JE3" s="41" t="s">
        <v>29</v>
      </c>
      <c r="JF3" s="41" t="s">
        <v>30</v>
      </c>
      <c r="JG3" s="41" t="s">
        <v>21</v>
      </c>
      <c r="JH3" s="41" t="s">
        <v>31</v>
      </c>
      <c r="JI3" s="61" t="s">
        <v>57</v>
      </c>
      <c r="JJ3" s="12"/>
      <c r="JK3" s="11"/>
      <c r="JL3" s="11"/>
      <c r="JM3" s="11"/>
      <c r="JN3" s="12"/>
      <c r="JO3" s="12"/>
      <c r="JP3" s="42" t="s">
        <v>29</v>
      </c>
      <c r="JQ3" s="42" t="s">
        <v>30</v>
      </c>
      <c r="JR3" s="42" t="s">
        <v>21</v>
      </c>
      <c r="JS3" s="42" t="s">
        <v>31</v>
      </c>
      <c r="JT3" s="62" t="s">
        <v>57</v>
      </c>
      <c r="JU3" s="42" t="s">
        <v>29</v>
      </c>
      <c r="JV3" s="42" t="s">
        <v>30</v>
      </c>
      <c r="JW3" s="42" t="s">
        <v>21</v>
      </c>
      <c r="JX3" s="42" t="s">
        <v>31</v>
      </c>
      <c r="JY3" s="62" t="s">
        <v>57</v>
      </c>
      <c r="JZ3" s="42" t="s">
        <v>29</v>
      </c>
      <c r="KA3" s="42" t="s">
        <v>30</v>
      </c>
      <c r="KB3" s="42" t="s">
        <v>21</v>
      </c>
      <c r="KC3" s="42" t="s">
        <v>31</v>
      </c>
      <c r="KD3" s="62" t="s">
        <v>57</v>
      </c>
      <c r="KE3" s="15"/>
      <c r="KF3" s="14"/>
      <c r="KG3" s="14"/>
      <c r="KH3" s="14"/>
      <c r="KI3" s="15"/>
      <c r="KJ3" s="15"/>
      <c r="KK3" s="41" t="s">
        <v>29</v>
      </c>
      <c r="KL3" s="41" t="s">
        <v>30</v>
      </c>
      <c r="KM3" s="41" t="s">
        <v>21</v>
      </c>
      <c r="KN3" s="41" t="s">
        <v>31</v>
      </c>
      <c r="KO3" s="61" t="s">
        <v>57</v>
      </c>
      <c r="KP3" s="41" t="s">
        <v>29</v>
      </c>
      <c r="KQ3" s="41" t="s">
        <v>30</v>
      </c>
      <c r="KR3" s="41" t="s">
        <v>21</v>
      </c>
      <c r="KS3" s="41" t="s">
        <v>31</v>
      </c>
      <c r="KT3" s="61" t="s">
        <v>57</v>
      </c>
      <c r="KU3" s="41" t="s">
        <v>29</v>
      </c>
      <c r="KV3" s="41" t="s">
        <v>30</v>
      </c>
      <c r="KW3" s="41" t="s">
        <v>21</v>
      </c>
      <c r="KX3" s="41" t="s">
        <v>31</v>
      </c>
      <c r="KY3" s="61" t="s">
        <v>57</v>
      </c>
      <c r="KZ3" s="12"/>
      <c r="LA3" s="11"/>
      <c r="LB3" s="11"/>
      <c r="LC3" s="11"/>
      <c r="LD3" s="12"/>
      <c r="LE3" s="12"/>
      <c r="LF3" s="42" t="s">
        <v>29</v>
      </c>
      <c r="LG3" s="42" t="s">
        <v>30</v>
      </c>
      <c r="LH3" s="42" t="s">
        <v>21</v>
      </c>
      <c r="LI3" s="42" t="s">
        <v>31</v>
      </c>
      <c r="LJ3" s="62" t="s">
        <v>57</v>
      </c>
      <c r="LK3" s="42" t="s">
        <v>29</v>
      </c>
      <c r="LL3" s="42" t="s">
        <v>30</v>
      </c>
      <c r="LM3" s="42" t="s">
        <v>21</v>
      </c>
      <c r="LN3" s="42" t="s">
        <v>31</v>
      </c>
      <c r="LO3" s="62" t="s">
        <v>57</v>
      </c>
      <c r="LP3" s="42" t="s">
        <v>29</v>
      </c>
      <c r="LQ3" s="42" t="s">
        <v>30</v>
      </c>
      <c r="LR3" s="42" t="s">
        <v>21</v>
      </c>
      <c r="LS3" s="42" t="s">
        <v>31</v>
      </c>
      <c r="LT3" s="62" t="s">
        <v>57</v>
      </c>
      <c r="LU3" s="15"/>
      <c r="LV3" s="14"/>
      <c r="LW3" s="14"/>
      <c r="LX3" s="14"/>
      <c r="LY3" s="15"/>
      <c r="LZ3" s="15"/>
    </row>
    <row r="4" spans="1:338" x14ac:dyDescent="0.2">
      <c r="A4" s="6">
        <f t="shared" ref="A4:A24" si="0">IF(AND(F4="P",H4="P"),SUMPRODUCT((F$4:F$24="P")*(H$4:H$24="P")*(E$4:E$24&gt;E4))+1,IF(H4="P",SUMPRODUCT((F$4:F$24="")*(H$4:H$24="P")*(E$4:E$24&gt;E4))+1+SUMPRODUCT((F$4:F$24="P")*(H$4:H$24="P")),""))</f>
        <v>1</v>
      </c>
      <c r="B4" s="9" t="s">
        <v>52</v>
      </c>
      <c r="C4" s="5" t="s">
        <v>4</v>
      </c>
      <c r="D4" s="6">
        <v>2004</v>
      </c>
      <c r="E4" s="17">
        <f t="shared" ref="E4:E24" si="1">SUM(J4:R4)</f>
        <v>275.2471875</v>
      </c>
      <c r="F4" s="4" t="str">
        <f t="shared" ref="F4:F24" si="2">IF(OR(AND($AJ4&gt;=$AK$27,NOT($AJ4="")),AND($BE4&gt;=$BF$27,NOT($BE4="")),AND($BZ4&gt;=$CA$27,NOT($BZ4=""))),"P","")</f>
        <v>P</v>
      </c>
      <c r="G4" s="4" t="str">
        <f t="shared" ref="G4:G24" si="3">IF(OR(AND($AJ4&gt;=$AK$28,NOT($AJ4="")),AND($BE4&gt;=$BF$28,NOT($BE4="")),AND($BZ4&gt;=$CA$28,NOT($BZ4=""))),"P","")</f>
        <v>P</v>
      </c>
      <c r="H4" s="4" t="str">
        <f t="shared" ref="H4:H24" si="4">IF(OR(AND($AM4&gt;=$AK$29,NOT($AM4="")),AND($BH4&gt;=$BF$29,NOT($BH4="")),AND($CC4&gt;=$CA$29,NOT($CC4=""))),"P","")</f>
        <v>P</v>
      </c>
      <c r="I4" t="str">
        <f t="shared" ref="I4:I24" si="5">IF(AND(G4="P",OR(AND($AL4&gt;$AK$32,NOT($AL4="")),AND($AN4&gt;$AK$32,NOT($AN4="")),AND($BG4&gt;$BF$32,NOT($BG4="")),AND($BI4&gt;$BF$32,NOT($BI4="")),AND($CB4&gt;$CA$32,NOT($CB4="")),AND($CD4&gt;$CA$32,NOT($CD4="")))),"Merit",IF(AND(G4="P",OR(AND($AM4&gt;$AK$31,NOT($AM4="")),AND($BH4&gt;$BF$31,NOT($BH4="")),AND($CC4&gt;$CA$31,NOT($CC4="")))),"Funding",IF(AND(G4="P",OR(AND($AM4&gt;$AK$30,NOT($AM4="")),AND($BH4&gt;$BF$30,NOT($BH4="")),AND($CC4&gt;$CA$30,NOT($CC4="")))),"Worlds Team",IF(AND(F4="P",OR(AND($AM4&gt;$AK$29,NOT($AM4="")),AND($BH4&gt;$BF$29,NOT($BH4="")),AND($CC4&gt;$CA$29,NOT($CC4="")))),"National Team",""))))</f>
        <v>Worlds Team</v>
      </c>
      <c r="J4" s="16">
        <f t="shared" ref="J4:J24" si="6">MAX(AM4,BH4,CC4)</f>
        <v>108.06218749999999</v>
      </c>
      <c r="K4" s="16" t="str">
        <f t="shared" ref="K4:K24" si="7">IF(J4=CC4,$BK$1,IF(J4=BH4,$AP$1,IF(J4=AM4,$U$1,"")))</f>
        <v>2017 3rd Domestic Trial</v>
      </c>
      <c r="L4" s="16">
        <f t="shared" ref="L4:L24" si="8">IF($J4=$AM4,MAX(BF4,CA4),IF($J4=$BH4,MAX(AK4,CA4),MAX(AK4,BF4)))</f>
        <v>51.589999999999996</v>
      </c>
      <c r="M4" s="16" t="str">
        <f t="shared" ref="M4:M24" si="9">IF(L4=CA4,$BK$1,IF(L4=BF4,$AP$1,IF(L4=AK4,$U$1,"")))</f>
        <v>2018 Nationals</v>
      </c>
      <c r="N4" s="16">
        <f t="shared" ref="N4:N24" si="10">IF($J4=$AM4,MAX(BG4,CB4),IF($J4=$BH4,MAX(AL4,CB4),MAX(AL4,BG4)))</f>
        <v>56.444999999999993</v>
      </c>
      <c r="O4" s="16" t="str">
        <f t="shared" ref="O4:O24" si="11">IF(N4=CB4,$BK$1,IF(N4=BG4,$AP$1,IF(N4=AL4,$U$1,"")))</f>
        <v>2018 Nationals</v>
      </c>
      <c r="P4" s="16">
        <f t="shared" ref="P4:P24" si="12">MAX(AN4,BI4,CD4)</f>
        <v>59.15</v>
      </c>
      <c r="Q4" s="16" t="str">
        <f t="shared" ref="Q4:Q24" si="13">IF(P4=CD4,$BK$1,IF(P4=BI4,$AP$1,IF(P4=AN4,$U$1,"")))</f>
        <v>2018 Nationals</v>
      </c>
      <c r="R4" s="16" t="str">
        <f t="shared" ref="R4:R24" si="14">IF(MAX(CF4,CG4,CH4)&gt;0,MAX(CF4,CG4,CH4),"")</f>
        <v/>
      </c>
      <c r="S4" s="31" t="str">
        <f t="shared" ref="S4:S24" si="15">IF(R4="","",IF(R4=CF4,"(Vol 1)",IF(R4=CG4,"(Vol 2)",IF(R4=CH4,"(Final)"))))</f>
        <v/>
      </c>
      <c r="T4" s="16" t="str">
        <f t="shared" ref="T4:T24" si="16">IF(R4="","",IF(R4=CF4,IF(R4+L4=LV4,$LF$1,IF(R4+L4=LA4,$KK$1,IF(R4+L4=KF4,$JP$1,IF(R4+L4=JK4,$IU$1,IF(R4+L4=IP4,$HZ$1,IF(R4+L4=HU4,$HE$1,IF(R4+L4=GZ4,$GJ$1,IF(R4+L4=GE4,$FO$1,IF(R4+L4=FJ4,$ET$1,IF(R4+L4=EO4,$DY$1,IF(R4+L4=DT4,$DD$1,IF(R4+L4=CY4,$CI$1)))))))))))),IF(R4=CG4,IF(R4+N4=LW4,$LF$1,IF(R4+N4=LB4,$KK$1,IF(R4+N4=KG4,$JP$1,IF(R4+N4=JL4,$IU$1,IF(R4+N4=IQ4,$HZ$1,IF(R4+N4=HV4,$HE$1,IF(R4+N4=HA4,$GJ$1,IF(R4+N4=GF4,$FO$1,IF(R4+N4=FK4,$ET$1,IF(R4+N4=EP4,$DY$1,IF(R4+N4=DU4,$DD$1,IF(R4+N4=CZ4,$CI$1)))))))))))),IF(R4=CH4,IF(R4+P4=LY4,$LF$1,IF(R4+P4=LD4,$KK$1,IF(R4+P4=KI4,$JP$1,IF(R4+P4=JN4,$IU$1,IF(R4+P4=IS4,$HZ$1,IF(R4+P4=HX4,$HE$1,IF(R4+P4=HC4,$GJ$1,IF(R4+P4=GH4,$FO$1,IF(R4+P4=FM4,$ET$1,IF(R4+P4=ER4,$DY$1,IF(R4+P4=DW4,$DD$1,IF(R4+P4=DB4,$CI$1))))))))))))))))</f>
        <v/>
      </c>
      <c r="U4" s="59">
        <v>27.274999999999999</v>
      </c>
      <c r="V4" s="59">
        <v>3</v>
      </c>
      <c r="W4" s="59">
        <v>3.1</v>
      </c>
      <c r="X4" s="59">
        <v>17.258749999999999</v>
      </c>
      <c r="Y4" s="59">
        <v>0</v>
      </c>
      <c r="Z4" s="59">
        <v>22.393750000000001</v>
      </c>
      <c r="AA4" s="59">
        <v>1</v>
      </c>
      <c r="AB4" s="59">
        <v>17.7</v>
      </c>
      <c r="AC4" s="59">
        <v>16.334687500000001</v>
      </c>
      <c r="AD4" s="59">
        <v>0</v>
      </c>
      <c r="AE4" s="59">
        <v>25.587499999999999</v>
      </c>
      <c r="AF4" s="59">
        <v>1</v>
      </c>
      <c r="AG4" s="59">
        <v>15.3125</v>
      </c>
      <c r="AH4" s="59">
        <v>16.301875000000003</v>
      </c>
      <c r="AI4" s="59">
        <v>0</v>
      </c>
      <c r="AJ4" s="13">
        <f t="shared" ref="AJ4:AJ24" si="17">IF(SUM(W4,AB4)&gt;0,SUM(W4,AB4),"")</f>
        <v>20.8</v>
      </c>
      <c r="AK4" s="13">
        <f t="shared" ref="AK4:AK24" si="18">IF(SUM(U4:X4)-Y4&gt;0,SUM(U4:X4)-Y4,"")</f>
        <v>50.633749999999999</v>
      </c>
      <c r="AL4" s="13">
        <f t="shared" ref="AL4:AL24" si="19">IF(SUM(Z4:AC4)-AD4&gt;0,SUM(Z4:AC4)-AD4,"")</f>
        <v>57.428437500000001</v>
      </c>
      <c r="AM4" s="13">
        <f t="shared" ref="AM4:AM24" si="20">IF(SUM(AK4:AL4)&gt;0,SUM(AK4:AL4),"")</f>
        <v>108.06218749999999</v>
      </c>
      <c r="AN4" s="13">
        <f t="shared" ref="AN4:AN24" si="21">IF(SUM(AE4:AH4)-AI4&gt;0,SUM(AE4:AH4)-AI4,"")</f>
        <v>58.201875000000001</v>
      </c>
      <c r="AO4" s="13">
        <f t="shared" ref="AO4:AO24" si="22">IF(SUM(AM4,AN4)&gt;0,SUM(AM4,AN4),"")</f>
        <v>166.26406249999999</v>
      </c>
      <c r="AP4" s="79">
        <v>18.2</v>
      </c>
      <c r="AQ4" s="79">
        <v>9.4</v>
      </c>
      <c r="AR4" s="79">
        <v>5.4</v>
      </c>
      <c r="AS4" s="79">
        <v>17.46</v>
      </c>
      <c r="AT4" s="79">
        <v>0</v>
      </c>
      <c r="AU4" s="79">
        <v>16.899999999999999</v>
      </c>
      <c r="AV4" s="79">
        <v>9.4499999999999993</v>
      </c>
      <c r="AW4" s="79">
        <v>13.6</v>
      </c>
      <c r="AX4" s="79">
        <v>16.344999999999999</v>
      </c>
      <c r="AY4" s="79">
        <v>0</v>
      </c>
      <c r="AZ4" s="79">
        <v>18</v>
      </c>
      <c r="BA4" s="79">
        <v>9.6</v>
      </c>
      <c r="BB4" s="79">
        <v>14</v>
      </c>
      <c r="BC4" s="79">
        <v>16.5</v>
      </c>
      <c r="BD4" s="79">
        <v>0</v>
      </c>
      <c r="BE4" s="16">
        <f t="shared" ref="BE4:BE24" si="23">IF(SUM(AR4,AW4)&gt;0,SUM(AR4,AW4),"")</f>
        <v>19</v>
      </c>
      <c r="BF4" s="16">
        <f t="shared" ref="BF4:BF24" si="24">IF(SUM(AP4:AS4)-AT4&gt;0,SUM(AP4:AS4)-AT4,"")</f>
        <v>50.46</v>
      </c>
      <c r="BG4" s="16">
        <f t="shared" ref="BG4:BG24" si="25">IF(SUM(AU4:AX4)-AY4&gt;0,SUM(AU4:AX4)-AY4,"")</f>
        <v>56.294999999999995</v>
      </c>
      <c r="BH4" s="16">
        <f t="shared" ref="BH4:BH24" si="26">IF(SUM(BF4:BG4)&gt;0,SUM(BF4:BG4),"")</f>
        <v>106.755</v>
      </c>
      <c r="BI4" s="16">
        <f t="shared" ref="BI4:BI24" si="27">IF(SUM(AZ4:BC4)-BD4&gt;0,SUM(AZ4:BC4)-BD4,"")</f>
        <v>58.1</v>
      </c>
      <c r="BJ4" s="16">
        <f t="shared" ref="BJ4:BJ24" si="28">IF(SUM(BH4,BI4)&gt;0,SUM(BH4,BI4),"")</f>
        <v>164.85499999999999</v>
      </c>
      <c r="BK4" s="55">
        <v>18.7</v>
      </c>
      <c r="BL4" s="55">
        <v>9.5500000000000007</v>
      </c>
      <c r="BM4" s="55">
        <v>5.8</v>
      </c>
      <c r="BN4" s="55">
        <v>17.54</v>
      </c>
      <c r="BO4" s="55">
        <v>0</v>
      </c>
      <c r="BP4" s="55">
        <v>16.399999999999999</v>
      </c>
      <c r="BQ4" s="55">
        <v>8.75</v>
      </c>
      <c r="BR4" s="55">
        <v>15.2</v>
      </c>
      <c r="BS4" s="55">
        <v>16.094999999999999</v>
      </c>
      <c r="BT4" s="55">
        <v>0</v>
      </c>
      <c r="BU4" s="55">
        <v>18.2</v>
      </c>
      <c r="BV4" s="55">
        <v>9.4499999999999993</v>
      </c>
      <c r="BW4" s="55">
        <v>15</v>
      </c>
      <c r="BX4" s="55">
        <v>16.5</v>
      </c>
      <c r="BY4" s="55">
        <v>0</v>
      </c>
      <c r="BZ4" s="13">
        <f t="shared" ref="BZ4:BZ24" si="29">IF(SUM(BM4,BR4)&gt;0,SUM(BM4,BR4),"")</f>
        <v>21</v>
      </c>
      <c r="CA4" s="13">
        <f t="shared" ref="CA4:CA24" si="30">IF(SUM(BK4:BN4)-BO4&gt;0,SUM(BK4:BN4)-BO4,"")</f>
        <v>51.589999999999996</v>
      </c>
      <c r="CB4" s="13">
        <f t="shared" ref="CB4:CB24" si="31">IF(SUM(BP4:BS4)-BT4&gt;0,SUM(BP4:BS4)-BT4,"")</f>
        <v>56.444999999999993</v>
      </c>
      <c r="CC4" s="13">
        <f t="shared" ref="CC4:CC24" si="32">IF(SUM(CA4:CB4)&gt;0,SUM(CA4:CB4),"")</f>
        <v>108.035</v>
      </c>
      <c r="CD4" s="13">
        <f t="shared" ref="CD4:CD24" si="33">IF(SUM(BU4:BX4)-BY4&gt;0,SUM(BU4:BX4)-BY4,"")</f>
        <v>59.15</v>
      </c>
      <c r="CE4" s="13">
        <f t="shared" ref="CE4:CE24" si="34">IF(SUM(CC4,CD4)&gt;0,SUM(CC4,CD4),"")</f>
        <v>167.185</v>
      </c>
      <c r="CF4" s="30" t="str">
        <f t="shared" ref="CF4:CF24" si="35">IF(MAX(CY4,DT4,EO4,FJ4,GE4,GZ4,HU4,IP4,JK4,KF4,LA4,LV4)-L4&gt;0.001,MAX(CY4,DT4,EO4,FJ4,GE4,GZ4,HU4,IP4,JK4,KF4,LA4,LV4)-L4,"")</f>
        <v/>
      </c>
      <c r="CG4" s="30" t="str">
        <f t="shared" ref="CG4:CG24" si="36">IF(MAX(CZ4,DU4,EP4,FK4,GF4,HA4,HV4,IQ4,JL4,KG4,LB4,LW4)-N4&gt;0.001,MAX(CZ4,DU4,EP4,FK4,GF4,HA4,HV4,IQ4,JL4,KG4,LB4,LW4)-N4,"")</f>
        <v/>
      </c>
      <c r="CH4" s="30" t="str">
        <f t="shared" ref="CH4:CH24" si="37">IF(MAX(DB4,DW4,ER4,FM4,GH4,HC4,HX4,IS4,JN4,KI4,LD4,LY4)-P4&gt;0.001,MAX(DB4,DW4,ER4,FM4,GH4,HC4,HX4,IS4,JN4,KI4,LD4,LY4)-P4,"")</f>
        <v/>
      </c>
      <c r="CI4" s="47"/>
      <c r="CJ4" s="47"/>
      <c r="CK4" s="47"/>
      <c r="CL4" s="47"/>
      <c r="CM4" s="47"/>
      <c r="CN4" s="47"/>
      <c r="CO4" s="47"/>
      <c r="CP4" s="47"/>
      <c r="CQ4" s="47"/>
      <c r="CR4" s="47"/>
      <c r="CS4" s="47"/>
      <c r="CT4" s="47"/>
      <c r="CU4" s="47"/>
      <c r="CV4" s="47"/>
      <c r="CW4" s="47"/>
      <c r="CX4" s="13" t="str">
        <f t="shared" ref="CX4:CX24" si="38">IF(SUM(CK4,CP4)&gt;0,SUM(CK4,CP4),"")</f>
        <v/>
      </c>
      <c r="CY4" s="13" t="str">
        <f t="shared" ref="CY4:CY24" si="39">IF(SUM(CI4:CL4)-CM4&gt;0,SUM(CI4:CL4)-CM4,"")</f>
        <v/>
      </c>
      <c r="CZ4" s="13" t="str">
        <f t="shared" ref="CZ4:CZ24" si="40">IF(SUM(CN4:CQ4)-CR4&gt;0,SUM(CN4:CQ4)-CR4,"")</f>
        <v/>
      </c>
      <c r="DA4" s="13" t="str">
        <f t="shared" ref="DA4:DA24" si="41">IF(SUM(CY4:CZ4)&gt;0,SUM(CY4:CZ4),"")</f>
        <v/>
      </c>
      <c r="DB4" s="13" t="str">
        <f t="shared" ref="DB4:DB24" si="42">IF(SUM(CS4:CV4)-CW4&gt;0,SUM(CS4:CV4)-CW4,"")</f>
        <v/>
      </c>
      <c r="DC4" s="13" t="str">
        <f t="shared" ref="DC4:DC24" si="43">IF(SUM(DA4,DB4)&gt;0,SUM(DA4,DB4),"")</f>
        <v/>
      </c>
      <c r="DD4" s="48"/>
      <c r="DE4" s="48"/>
      <c r="DF4" s="48"/>
      <c r="DG4" s="48"/>
      <c r="DH4" s="48"/>
      <c r="DI4" s="48"/>
      <c r="DJ4" s="48"/>
      <c r="DK4" s="48"/>
      <c r="DL4" s="48"/>
      <c r="DM4" s="48"/>
      <c r="DN4" s="48"/>
      <c r="DO4" s="48"/>
      <c r="DP4" s="48"/>
      <c r="DQ4" s="48"/>
      <c r="DR4" s="48"/>
      <c r="DS4" s="16" t="str">
        <f t="shared" ref="DS4:DS24" si="44">IF(SUM(DF4,DK4)&gt;0,SUM(DF4,DK4),"")</f>
        <v/>
      </c>
      <c r="DT4" s="16" t="str">
        <f t="shared" ref="DT4:DT24" si="45">IF(SUM(DD4:DG4)-DH4&gt;0,SUM(DD4:DG4)-DH4,"")</f>
        <v/>
      </c>
      <c r="DU4" s="16" t="str">
        <f t="shared" ref="DU4:DU24" si="46">IF(SUM(DI4:DL4)-DM4&gt;0,SUM(DI4:DL4)-DM4,"")</f>
        <v/>
      </c>
      <c r="DV4" s="16" t="str">
        <f t="shared" ref="DV4:DV24" si="47">IF(SUM(DT4:DU4)&gt;0,SUM(DT4:DU4),"")</f>
        <v/>
      </c>
      <c r="DW4" s="16" t="str">
        <f t="shared" ref="DW4:DW24" si="48">IF(SUM(DN4:DQ4)-DR4&gt;0,SUM(DN4:DQ4)-DR4,"")</f>
        <v/>
      </c>
      <c r="DX4" s="16" t="str">
        <f t="shared" ref="DX4:DX24" si="49">IF(SUM(DV4,DW4)&gt;0,SUM(DV4,DW4),"")</f>
        <v/>
      </c>
      <c r="DY4" s="47"/>
      <c r="DZ4" s="47"/>
      <c r="EA4" s="47"/>
      <c r="EB4" s="47"/>
      <c r="EC4" s="47"/>
      <c r="ED4" s="47"/>
      <c r="EE4" s="47"/>
      <c r="EF4" s="47"/>
      <c r="EG4" s="47"/>
      <c r="EH4" s="47"/>
      <c r="EI4" s="47"/>
      <c r="EJ4" s="47"/>
      <c r="EK4" s="47"/>
      <c r="EL4" s="47"/>
      <c r="EM4" s="47"/>
      <c r="EN4" s="13" t="str">
        <f t="shared" ref="EN4:EN24" si="50">IF(SUM(EA4,EF4)&gt;0,SUM(EA4,EF4),"")</f>
        <v/>
      </c>
      <c r="EO4" s="13" t="str">
        <f t="shared" ref="EO4:EO24" si="51">IF(SUM(DY4:EB4)-EC4&gt;0,SUM(DY4:EB4)-EC4,"")</f>
        <v/>
      </c>
      <c r="EP4" s="13" t="str">
        <f t="shared" ref="EP4:EP24" si="52">IF(SUM(ED4:EG4)-EH4&gt;0,SUM(ED4:EG4)-EH4,"")</f>
        <v/>
      </c>
      <c r="EQ4" s="13" t="str">
        <f t="shared" ref="EQ4:EQ24" si="53">IF(SUM(EO4:EP4)&gt;0,SUM(EO4:EP4),"")</f>
        <v/>
      </c>
      <c r="ER4" s="13" t="str">
        <f t="shared" ref="ER4:ER24" si="54">IF(SUM(EI4:EL4)-EM4&gt;0,SUM(EI4:EL4)-EM4,"")</f>
        <v/>
      </c>
      <c r="ES4" s="13" t="str">
        <f t="shared" ref="ES4:ES24" si="55">IF(SUM(EQ4,ER4)&gt;0,SUM(EQ4,ER4),"")</f>
        <v/>
      </c>
      <c r="ET4" s="48"/>
      <c r="EU4" s="48"/>
      <c r="EV4" s="48"/>
      <c r="EW4" s="48"/>
      <c r="EX4" s="48"/>
      <c r="EY4" s="48"/>
      <c r="EZ4" s="48"/>
      <c r="FA4" s="48"/>
      <c r="FB4" s="48"/>
      <c r="FC4" s="48"/>
      <c r="FD4" s="48"/>
      <c r="FE4" s="48"/>
      <c r="FF4" s="48"/>
      <c r="FG4" s="48"/>
      <c r="FH4" s="48"/>
      <c r="FI4" s="16" t="str">
        <f t="shared" ref="FI4:FI24" si="56">IF(SUM(EV4,FA4)&gt;0,SUM(EV4,FA4),"")</f>
        <v/>
      </c>
      <c r="FJ4" s="16" t="str">
        <f t="shared" ref="FJ4:FJ24" si="57">IF(SUM(ET4:EW4)-EX4&gt;0,SUM(ET4:EW4)-EX4,"")</f>
        <v/>
      </c>
      <c r="FK4" s="16" t="str">
        <f t="shared" ref="FK4:FK24" si="58">IF(SUM(EY4:FB4)-FC4&gt;0,SUM(EY4:FB4)-FC4,"")</f>
        <v/>
      </c>
      <c r="FL4" s="16" t="str">
        <f t="shared" ref="FL4:FL24" si="59">IF(SUM(FJ4:FK4)&gt;0,SUM(FJ4:FK4),"")</f>
        <v/>
      </c>
      <c r="FM4" s="16" t="str">
        <f t="shared" ref="FM4:FM24" si="60">IF(SUM(FD4:FG4)-FH4&gt;0,SUM(FD4:FG4)-FH4,"")</f>
        <v/>
      </c>
      <c r="FN4" s="16" t="str">
        <f t="shared" ref="FN4:FN24" si="61">IF(SUM(FL4,FM4)&gt;0,SUM(FL4,FM4),"")</f>
        <v/>
      </c>
      <c r="FO4" s="47"/>
      <c r="FP4" s="47"/>
      <c r="FQ4" s="47"/>
      <c r="FR4" s="47"/>
      <c r="FS4" s="47"/>
      <c r="FT4" s="47"/>
      <c r="FU4" s="47"/>
      <c r="FV4" s="47"/>
      <c r="FW4" s="47"/>
      <c r="FX4" s="47"/>
      <c r="FY4" s="47"/>
      <c r="FZ4" s="47"/>
      <c r="GA4" s="47"/>
      <c r="GB4" s="47"/>
      <c r="GC4" s="47"/>
      <c r="GD4" s="13" t="str">
        <f t="shared" ref="GD4:GD24" si="62">IF(SUM(FQ4,FV4)&gt;0,SUM(FQ4,FV4),"")</f>
        <v/>
      </c>
      <c r="GE4" s="13" t="str">
        <f t="shared" ref="GE4:GE24" si="63">IF(SUM(FO4:FR4)-FS4&gt;0,SUM(FO4:FR4)-FS4,"")</f>
        <v/>
      </c>
      <c r="GF4" s="13" t="str">
        <f t="shared" ref="GF4:GF24" si="64">IF(SUM(FT4:FW4)-FX4&gt;0,SUM(FT4:FW4)-FX4,"")</f>
        <v/>
      </c>
      <c r="GG4" s="13" t="str">
        <f t="shared" ref="GG4:GG24" si="65">IF(SUM(GE4:GF4)&gt;0,SUM(GE4:GF4),"")</f>
        <v/>
      </c>
      <c r="GH4" s="13" t="str">
        <f t="shared" ref="GH4:GH24" si="66">IF(SUM(FY4:GB4)-GC4&gt;0,SUM(FY4:GB4)-GC4,"")</f>
        <v/>
      </c>
      <c r="GI4" s="13" t="str">
        <f t="shared" ref="GI4:GI24" si="67">IF(SUM(GG4,GH4)&gt;0,SUM(GG4,GH4),"")</f>
        <v/>
      </c>
      <c r="GJ4" s="48"/>
      <c r="GK4" s="48"/>
      <c r="GL4" s="48"/>
      <c r="GM4" s="48"/>
      <c r="GN4" s="48"/>
      <c r="GO4" s="48"/>
      <c r="GP4" s="48"/>
      <c r="GQ4" s="48"/>
      <c r="GR4" s="48"/>
      <c r="GS4" s="48"/>
      <c r="GT4" s="48"/>
      <c r="GU4" s="48"/>
      <c r="GV4" s="48"/>
      <c r="GW4" s="48"/>
      <c r="GX4" s="48"/>
      <c r="GY4" s="16" t="str">
        <f t="shared" ref="GY4:GY24" si="68">IF(SUM(GL4,GQ4)&gt;0,SUM(GL4,GQ4),"")</f>
        <v/>
      </c>
      <c r="GZ4" s="16" t="str">
        <f t="shared" ref="GZ4:GZ24" si="69">IF(SUM(GJ4:GM4)-GN4&gt;0,SUM(GJ4:GM4)-GN4,"")</f>
        <v/>
      </c>
      <c r="HA4" s="16" t="str">
        <f t="shared" ref="HA4:HA24" si="70">IF(SUM(GO4:GR4)-GS4&gt;0,SUM(GO4:GR4)-GS4,"")</f>
        <v/>
      </c>
      <c r="HB4" s="16" t="str">
        <f t="shared" ref="HB4:HB24" si="71">IF(SUM(GZ4:HA4)&gt;0,SUM(GZ4:HA4),"")</f>
        <v/>
      </c>
      <c r="HC4" s="16" t="str">
        <f t="shared" ref="HC4:HC24" si="72">IF(SUM(GT4:GW4)-GX4&gt;0,SUM(GT4:GW4)-GX4,"")</f>
        <v/>
      </c>
      <c r="HD4" s="16" t="str">
        <f t="shared" ref="HD4:HD24" si="73">IF(SUM(HB4,HC4)&gt;0,SUM(HB4,HC4),"")</f>
        <v/>
      </c>
      <c r="HE4" s="47"/>
      <c r="HF4" s="47"/>
      <c r="HG4" s="47"/>
      <c r="HH4" s="47"/>
      <c r="HI4" s="47"/>
      <c r="HJ4" s="47"/>
      <c r="HK4" s="47"/>
      <c r="HL4" s="47"/>
      <c r="HM4" s="47"/>
      <c r="HN4" s="47"/>
      <c r="HO4" s="47"/>
      <c r="HP4" s="47"/>
      <c r="HQ4" s="47"/>
      <c r="HR4" s="47"/>
      <c r="HS4" s="47"/>
      <c r="HT4" s="13" t="str">
        <f t="shared" ref="HT4:HT24" si="74">IF(SUM(HG4,HL4)&gt;0,SUM(HG4,HL4),"")</f>
        <v/>
      </c>
      <c r="HU4" s="13" t="str">
        <f t="shared" ref="HU4:HU24" si="75">IF(SUM(HE4:HH4)-HI4&gt;0,SUM(HE4:HH4)-HI4,"")</f>
        <v/>
      </c>
      <c r="HV4" s="13" t="str">
        <f t="shared" ref="HV4:HV24" si="76">IF(SUM(HJ4:HM4)-HN4&gt;0,SUM(HJ4:HM4)-HN4,"")</f>
        <v/>
      </c>
      <c r="HW4" s="13" t="str">
        <f t="shared" ref="HW4:HW24" si="77">IF(SUM(HU4:HV4)&gt;0,SUM(HU4:HV4),"")</f>
        <v/>
      </c>
      <c r="HX4" s="13" t="str">
        <f t="shared" ref="HX4:HX24" si="78">IF(SUM(HO4:HR4)-HS4&gt;0,SUM(HO4:HR4)-HS4,"")</f>
        <v/>
      </c>
      <c r="HY4" s="13" t="str">
        <f t="shared" ref="HY4:HY24" si="79">IF(SUM(HW4,HX4)&gt;0,SUM(HW4,HX4),"")</f>
        <v/>
      </c>
      <c r="HZ4" s="48"/>
      <c r="IA4" s="48"/>
      <c r="IB4" s="48"/>
      <c r="IC4" s="48"/>
      <c r="ID4" s="48"/>
      <c r="IE4" s="48"/>
      <c r="IF4" s="48"/>
      <c r="IG4" s="48"/>
      <c r="IH4" s="48"/>
      <c r="II4" s="48"/>
      <c r="IJ4" s="48"/>
      <c r="IK4" s="48"/>
      <c r="IL4" s="48"/>
      <c r="IM4" s="48"/>
      <c r="IN4" s="48"/>
      <c r="IO4" s="16" t="str">
        <f t="shared" ref="IO4:IO24" si="80">IF(SUM(IB4,IG4)&gt;0,SUM(IB4,IG4),"")</f>
        <v/>
      </c>
      <c r="IP4" s="16" t="str">
        <f t="shared" ref="IP4:IP24" si="81">IF(SUM(HZ4:IC4)-ID4&gt;0,SUM(HZ4:IC4)-ID4,"")</f>
        <v/>
      </c>
      <c r="IQ4" s="16" t="str">
        <f t="shared" ref="IQ4:IQ24" si="82">IF(SUM(IE4:IH4)-II4&gt;0,SUM(IE4:IH4)-II4,"")</f>
        <v/>
      </c>
      <c r="IR4" s="16" t="str">
        <f t="shared" ref="IR4:IR24" si="83">IF(SUM(IP4:IQ4)&gt;0,SUM(IP4:IQ4),"")</f>
        <v/>
      </c>
      <c r="IS4" s="16" t="str">
        <f t="shared" ref="IS4:IS24" si="84">IF(SUM(IJ4:IM4)-IN4&gt;0,SUM(IJ4:IM4)-IN4,"")</f>
        <v/>
      </c>
      <c r="IT4" s="16" t="str">
        <f t="shared" ref="IT4:IT24" si="85">IF(SUM(IR4,IS4)&gt;0,SUM(IR4,IS4),"")</f>
        <v/>
      </c>
      <c r="IU4" s="47"/>
      <c r="IV4" s="47"/>
      <c r="IW4" s="47"/>
      <c r="IX4" s="47"/>
      <c r="IY4" s="47"/>
      <c r="IZ4" s="47"/>
      <c r="JA4" s="47"/>
      <c r="JB4" s="47"/>
      <c r="JC4" s="47"/>
      <c r="JD4" s="47"/>
      <c r="JE4" s="47"/>
      <c r="JF4" s="47"/>
      <c r="JG4" s="47"/>
      <c r="JH4" s="47"/>
      <c r="JI4" s="47"/>
      <c r="JJ4" s="13" t="str">
        <f t="shared" ref="JJ4:JJ24" si="86">IF(SUM(IW4,JB4)&gt;0,SUM(IW4,JB4),"")</f>
        <v/>
      </c>
      <c r="JK4" s="13" t="str">
        <f t="shared" ref="JK4:JK24" si="87">IF(SUM(IU4:IX4)-IY4&gt;0,SUM(IU4:IX4)-IY4,"")</f>
        <v/>
      </c>
      <c r="JL4" s="13" t="str">
        <f t="shared" ref="JL4:JL24" si="88">IF(SUM(IZ4:JC4)-JD4&gt;0,SUM(IZ4:JC4)-JD4,"")</f>
        <v/>
      </c>
      <c r="JM4" s="13" t="str">
        <f t="shared" ref="JM4:JM24" si="89">IF(SUM(JK4:JL4)&gt;0,SUM(JK4:JL4),"")</f>
        <v/>
      </c>
      <c r="JN4" s="13" t="str">
        <f t="shared" ref="JN4:JN24" si="90">IF(SUM(JE4:JH4)-JI4&gt;0,SUM(JE4:JH4)-JI4,"")</f>
        <v/>
      </c>
      <c r="JO4" s="13" t="str">
        <f t="shared" ref="JO4:JO24" si="91">IF(SUM(JM4,JN4)&gt;0,SUM(JM4,JN4),"")</f>
        <v/>
      </c>
      <c r="JP4" s="48"/>
      <c r="JQ4" s="48"/>
      <c r="JR4" s="48"/>
      <c r="JS4" s="48"/>
      <c r="JT4" s="48"/>
      <c r="JU4" s="48"/>
      <c r="JV4" s="48"/>
      <c r="JW4" s="48"/>
      <c r="JX4" s="48"/>
      <c r="JY4" s="48"/>
      <c r="JZ4" s="48"/>
      <c r="KA4" s="48"/>
      <c r="KB4" s="48"/>
      <c r="KC4" s="48"/>
      <c r="KD4" s="48"/>
      <c r="KE4" s="16" t="str">
        <f t="shared" ref="KE4:KE24" si="92">IF(SUM(JR4,JW4)&gt;0,SUM(JR4,JW4),"")</f>
        <v/>
      </c>
      <c r="KF4" s="16" t="str">
        <f t="shared" ref="KF4:KF24" si="93">IF(SUM(JP4:JS4)-JT4&gt;0,SUM(JP4:JS4)-JT4,"")</f>
        <v/>
      </c>
      <c r="KG4" s="16" t="str">
        <f t="shared" ref="KG4:KG24" si="94">IF(SUM(JU4:JX4)-JY4&gt;0,SUM(JU4:JX4)-JY4,"")</f>
        <v/>
      </c>
      <c r="KH4" s="16" t="str">
        <f t="shared" ref="KH4:KH24" si="95">IF(SUM(KF4:KG4)&gt;0,SUM(KF4:KG4),"")</f>
        <v/>
      </c>
      <c r="KI4" s="16" t="str">
        <f t="shared" ref="KI4:KI24" si="96">IF(SUM(JZ4:KC4)-KD4&gt;0,SUM(JZ4:KC4)-KD4,"")</f>
        <v/>
      </c>
      <c r="KJ4" s="16" t="str">
        <f t="shared" ref="KJ4:KJ24" si="97">IF(SUM(KH4,KI4)&gt;0,SUM(KH4,KI4),"")</f>
        <v/>
      </c>
      <c r="KK4" s="47"/>
      <c r="KL4" s="47"/>
      <c r="KM4" s="47"/>
      <c r="KN4" s="47"/>
      <c r="KO4" s="47"/>
      <c r="KP4" s="47"/>
      <c r="KQ4" s="47"/>
      <c r="KR4" s="47"/>
      <c r="KS4" s="47"/>
      <c r="KT4" s="47"/>
      <c r="KU4" s="47"/>
      <c r="KV4" s="47"/>
      <c r="KW4" s="47"/>
      <c r="KX4" s="47"/>
      <c r="KY4" s="47"/>
      <c r="KZ4" s="13" t="str">
        <f t="shared" ref="KZ4:KZ24" si="98">IF(SUM(KM4,KR4)&gt;0,SUM(KM4,KR4),"")</f>
        <v/>
      </c>
      <c r="LA4" s="13" t="str">
        <f t="shared" ref="LA4:LA24" si="99">IF(SUM(KK4:KN4)-KO4&gt;0,SUM(KK4:KN4)-KO4,"")</f>
        <v/>
      </c>
      <c r="LB4" s="13" t="str">
        <f t="shared" ref="LB4:LB24" si="100">IF(SUM(KP4:KS4)-KT4&gt;0,SUM(KP4:KS4)-KT4,"")</f>
        <v/>
      </c>
      <c r="LC4" s="13" t="str">
        <f t="shared" ref="LC4:LC24" si="101">IF(SUM(LA4:LB4)&gt;0,SUM(LA4:LB4),"")</f>
        <v/>
      </c>
      <c r="LD4" s="13" t="str">
        <f t="shared" ref="LD4:LD24" si="102">IF(SUM(KU4:KX4)-KY4&gt;0,SUM(KU4:KX4)-KY4,"")</f>
        <v/>
      </c>
      <c r="LE4" s="13" t="str">
        <f t="shared" ref="LE4:LE24" si="103">IF(SUM(LC4,LD4)&gt;0,SUM(LC4,LD4),"")</f>
        <v/>
      </c>
      <c r="LF4" s="48"/>
      <c r="LG4" s="48"/>
      <c r="LH4" s="48"/>
      <c r="LI4" s="48"/>
      <c r="LJ4" s="48"/>
      <c r="LK4" s="48"/>
      <c r="LL4" s="48"/>
      <c r="LM4" s="48"/>
      <c r="LN4" s="48"/>
      <c r="LO4" s="48"/>
      <c r="LP4" s="48"/>
      <c r="LQ4" s="48"/>
      <c r="LR4" s="48"/>
      <c r="LS4" s="48"/>
      <c r="LT4" s="48"/>
      <c r="LU4" s="16" t="str">
        <f t="shared" ref="LU4:LU24" si="104">IF(SUM(LH4,LM4)&gt;0,SUM(LH4,LM4),"")</f>
        <v/>
      </c>
      <c r="LV4" s="16" t="str">
        <f t="shared" ref="LV4:LV24" si="105">IF(SUM(LF4:LI4)-LJ4&gt;0,SUM(LF4:LI4)-LJ4,"")</f>
        <v/>
      </c>
      <c r="LW4" s="16" t="str">
        <f t="shared" ref="LW4:LW24" si="106">IF(SUM(LK4:LN4)-LO4&gt;0,SUM(LK4:LN4)-LO4,"")</f>
        <v/>
      </c>
      <c r="LX4" s="16" t="str">
        <f t="shared" ref="LX4:LX24" si="107">IF(SUM(LV4:LW4)&gt;0,SUM(LV4:LW4),"")</f>
        <v/>
      </c>
      <c r="LY4" s="16" t="str">
        <f t="shared" ref="LY4:LY24" si="108">IF(SUM(LP4:LS4)-LT4&gt;0,SUM(LP4:LS4)-LT4,"")</f>
        <v/>
      </c>
      <c r="LZ4" s="16" t="str">
        <f t="shared" ref="LZ4:LZ24" si="109">IF(SUM(LX4,LY4)&gt;0,SUM(LX4,LY4),"")</f>
        <v/>
      </c>
    </row>
    <row r="5" spans="1:338" x14ac:dyDescent="0.2">
      <c r="A5" s="6">
        <f t="shared" si="0"/>
        <v>2</v>
      </c>
      <c r="B5" s="9" t="s">
        <v>5</v>
      </c>
      <c r="C5" s="5" t="s">
        <v>6</v>
      </c>
      <c r="D5" s="6">
        <v>2010</v>
      </c>
      <c r="E5" s="17">
        <f t="shared" si="1"/>
        <v>274.82499999999999</v>
      </c>
      <c r="F5" s="4" t="str">
        <f t="shared" si="2"/>
        <v>P</v>
      </c>
      <c r="G5" s="4" t="str">
        <f t="shared" si="3"/>
        <v>P</v>
      </c>
      <c r="H5" s="4" t="str">
        <f t="shared" si="4"/>
        <v>P</v>
      </c>
      <c r="I5" t="str">
        <f t="shared" si="5"/>
        <v>Worlds Team</v>
      </c>
      <c r="J5" s="16">
        <f t="shared" si="6"/>
        <v>106.61</v>
      </c>
      <c r="K5" s="16" t="str">
        <f t="shared" si="7"/>
        <v>2017 3rd Domestic Trial</v>
      </c>
      <c r="L5" s="16">
        <f t="shared" si="8"/>
        <v>51.234999999999999</v>
      </c>
      <c r="M5" s="16" t="str">
        <f t="shared" si="9"/>
        <v>2018 Nationals</v>
      </c>
      <c r="N5" s="16">
        <f t="shared" si="10"/>
        <v>54.775000000000006</v>
      </c>
      <c r="O5" s="16" t="str">
        <f t="shared" si="11"/>
        <v>2018 Nationals</v>
      </c>
      <c r="P5" s="16">
        <f t="shared" si="12"/>
        <v>59.370000000000005</v>
      </c>
      <c r="Q5" s="16" t="str">
        <f t="shared" si="13"/>
        <v>2018 Nationals</v>
      </c>
      <c r="R5" s="16">
        <f t="shared" si="14"/>
        <v>2.8349999999999937</v>
      </c>
      <c r="S5" s="31" t="str">
        <f t="shared" si="15"/>
        <v>(Vol 2)</v>
      </c>
      <c r="T5" s="16" t="str">
        <f t="shared" si="16"/>
        <v>2017 World Championships (Nov)</v>
      </c>
      <c r="U5" s="86">
        <v>18.3</v>
      </c>
      <c r="V5" s="86">
        <v>9.1</v>
      </c>
      <c r="W5" s="86">
        <v>5.8</v>
      </c>
      <c r="X5" s="86">
        <v>16.975000000000001</v>
      </c>
      <c r="Y5" s="86">
        <v>0</v>
      </c>
      <c r="Z5" s="86">
        <v>16.600000000000001</v>
      </c>
      <c r="AA5" s="86">
        <v>8.9</v>
      </c>
      <c r="AB5" s="86">
        <v>15</v>
      </c>
      <c r="AC5" s="86">
        <v>15.935</v>
      </c>
      <c r="AD5" s="86">
        <v>0</v>
      </c>
      <c r="AE5" s="86">
        <v>17.100000000000001</v>
      </c>
      <c r="AF5" s="86">
        <v>9.1</v>
      </c>
      <c r="AG5" s="86">
        <v>15</v>
      </c>
      <c r="AH5" s="86">
        <v>16.399999999999999</v>
      </c>
      <c r="AI5" s="86">
        <v>0</v>
      </c>
      <c r="AJ5" s="13">
        <f t="shared" si="17"/>
        <v>20.8</v>
      </c>
      <c r="AK5" s="13">
        <f t="shared" si="18"/>
        <v>50.174999999999997</v>
      </c>
      <c r="AL5" s="13">
        <f t="shared" si="19"/>
        <v>56.435000000000002</v>
      </c>
      <c r="AM5" s="13">
        <f t="shared" si="20"/>
        <v>106.61</v>
      </c>
      <c r="AN5" s="13">
        <f t="shared" si="21"/>
        <v>57.6</v>
      </c>
      <c r="AO5" s="13">
        <f t="shared" si="22"/>
        <v>164.21</v>
      </c>
      <c r="AP5" s="94">
        <v>17.5</v>
      </c>
      <c r="AQ5" s="94">
        <v>9.35</v>
      </c>
      <c r="AR5" s="94">
        <v>5.8</v>
      </c>
      <c r="AS5" s="94">
        <v>17.855</v>
      </c>
      <c r="AT5" s="94">
        <v>0</v>
      </c>
      <c r="AU5" s="94">
        <v>1.6</v>
      </c>
      <c r="AV5" s="94">
        <v>0.9</v>
      </c>
      <c r="AW5" s="94">
        <v>2.2000000000000002</v>
      </c>
      <c r="AX5" s="94">
        <v>1.845</v>
      </c>
      <c r="AY5" s="94">
        <v>0</v>
      </c>
      <c r="AZ5" s="94"/>
      <c r="BA5" s="94"/>
      <c r="BB5" s="94"/>
      <c r="BC5" s="94"/>
      <c r="BD5" s="94"/>
      <c r="BE5" s="16">
        <f t="shared" si="23"/>
        <v>8</v>
      </c>
      <c r="BF5" s="16">
        <f t="shared" si="24"/>
        <v>50.504999999999995</v>
      </c>
      <c r="BG5" s="16">
        <f t="shared" si="25"/>
        <v>6.5449999999999999</v>
      </c>
      <c r="BH5" s="16">
        <f t="shared" si="26"/>
        <v>57.05</v>
      </c>
      <c r="BI5" s="16" t="str">
        <f t="shared" si="27"/>
        <v/>
      </c>
      <c r="BJ5" s="16">
        <f t="shared" si="28"/>
        <v>57.05</v>
      </c>
      <c r="BK5" s="86">
        <v>18.600000000000001</v>
      </c>
      <c r="BL5" s="86">
        <v>9.1999999999999993</v>
      </c>
      <c r="BM5" s="86">
        <v>6.1</v>
      </c>
      <c r="BN5" s="86">
        <v>17.335000000000001</v>
      </c>
      <c r="BO5" s="86">
        <v>0</v>
      </c>
      <c r="BP5" s="86">
        <v>15.6</v>
      </c>
      <c r="BQ5" s="86">
        <v>9</v>
      </c>
      <c r="BR5" s="86">
        <v>13.8</v>
      </c>
      <c r="BS5" s="86">
        <v>16.375</v>
      </c>
      <c r="BT5" s="86">
        <v>0</v>
      </c>
      <c r="BU5" s="86">
        <v>17.100000000000001</v>
      </c>
      <c r="BV5" s="86">
        <v>9.75</v>
      </c>
      <c r="BW5" s="86">
        <v>15.8</v>
      </c>
      <c r="BX5" s="86">
        <v>16.72</v>
      </c>
      <c r="BY5" s="86">
        <v>0</v>
      </c>
      <c r="BZ5" s="13">
        <f t="shared" si="29"/>
        <v>19.899999999999999</v>
      </c>
      <c r="CA5" s="13">
        <f t="shared" si="30"/>
        <v>51.234999999999999</v>
      </c>
      <c r="CB5" s="13">
        <f t="shared" si="31"/>
        <v>54.775000000000006</v>
      </c>
      <c r="CC5" s="13">
        <f t="shared" si="32"/>
        <v>106.01</v>
      </c>
      <c r="CD5" s="13">
        <f t="shared" si="33"/>
        <v>59.370000000000005</v>
      </c>
      <c r="CE5" s="13">
        <f t="shared" si="34"/>
        <v>165.38</v>
      </c>
      <c r="CF5" s="30" t="str">
        <f t="shared" si="35"/>
        <v/>
      </c>
      <c r="CG5" s="30">
        <f t="shared" si="36"/>
        <v>2.8349999999999937</v>
      </c>
      <c r="CH5" s="30" t="str">
        <f t="shared" si="37"/>
        <v/>
      </c>
      <c r="CI5" s="47">
        <v>16.3</v>
      </c>
      <c r="CJ5" s="47">
        <v>8.9499999999999993</v>
      </c>
      <c r="CK5" s="47">
        <v>6.7</v>
      </c>
      <c r="CL5" s="47">
        <v>16.77</v>
      </c>
      <c r="CM5" s="47">
        <v>0</v>
      </c>
      <c r="CN5" s="47">
        <v>14.3</v>
      </c>
      <c r="CO5" s="47">
        <v>8.75</v>
      </c>
      <c r="CP5" s="47">
        <v>15.1</v>
      </c>
      <c r="CQ5" s="47">
        <v>16.170000000000002</v>
      </c>
      <c r="CR5" s="47">
        <v>0</v>
      </c>
      <c r="CS5" s="47"/>
      <c r="CT5" s="47"/>
      <c r="CU5" s="47"/>
      <c r="CV5" s="47"/>
      <c r="CW5" s="47"/>
      <c r="CX5" s="13">
        <f t="shared" si="38"/>
        <v>21.8</v>
      </c>
      <c r="CY5" s="13">
        <f t="shared" si="39"/>
        <v>48.72</v>
      </c>
      <c r="CZ5" s="13">
        <f t="shared" si="40"/>
        <v>54.32</v>
      </c>
      <c r="DA5" s="13">
        <f t="shared" si="41"/>
        <v>103.03999999999999</v>
      </c>
      <c r="DB5" s="13" t="str">
        <f t="shared" si="42"/>
        <v/>
      </c>
      <c r="DC5" s="13">
        <f t="shared" si="43"/>
        <v>103.03999999999999</v>
      </c>
      <c r="DD5" s="48">
        <v>17.8</v>
      </c>
      <c r="DE5" s="48">
        <v>9.5</v>
      </c>
      <c r="DF5" s="48">
        <v>5.4</v>
      </c>
      <c r="DG5" s="48">
        <v>17.78</v>
      </c>
      <c r="DH5" s="48">
        <v>0</v>
      </c>
      <c r="DI5" s="48">
        <v>14.5</v>
      </c>
      <c r="DJ5" s="48">
        <v>9.6</v>
      </c>
      <c r="DK5" s="48">
        <v>16.899999999999999</v>
      </c>
      <c r="DL5" s="48">
        <v>16.61</v>
      </c>
      <c r="DM5" s="48">
        <v>0</v>
      </c>
      <c r="DN5" s="48"/>
      <c r="DO5" s="48"/>
      <c r="DP5" s="48"/>
      <c r="DQ5" s="48"/>
      <c r="DR5" s="48"/>
      <c r="DS5" s="16">
        <f t="shared" si="44"/>
        <v>22.299999999999997</v>
      </c>
      <c r="DT5" s="16">
        <f t="shared" si="45"/>
        <v>50.480000000000004</v>
      </c>
      <c r="DU5" s="16">
        <f t="shared" si="46"/>
        <v>57.61</v>
      </c>
      <c r="DV5" s="16">
        <f t="shared" si="47"/>
        <v>108.09</v>
      </c>
      <c r="DW5" s="16" t="str">
        <f t="shared" si="48"/>
        <v/>
      </c>
      <c r="DX5" s="16">
        <f t="shared" si="49"/>
        <v>108.09</v>
      </c>
      <c r="DY5" s="47"/>
      <c r="DZ5" s="47"/>
      <c r="EA5" s="47"/>
      <c r="EB5" s="47"/>
      <c r="EC5" s="47"/>
      <c r="ED5" s="47"/>
      <c r="EE5" s="47"/>
      <c r="EF5" s="47"/>
      <c r="EG5" s="47"/>
      <c r="EH5" s="47"/>
      <c r="EI5" s="47"/>
      <c r="EJ5" s="47"/>
      <c r="EK5" s="47"/>
      <c r="EL5" s="47"/>
      <c r="EM5" s="47"/>
      <c r="EN5" s="13" t="str">
        <f t="shared" si="50"/>
        <v/>
      </c>
      <c r="EO5" s="13" t="str">
        <f t="shared" si="51"/>
        <v/>
      </c>
      <c r="EP5" s="13" t="str">
        <f t="shared" si="52"/>
        <v/>
      </c>
      <c r="EQ5" s="13" t="str">
        <f t="shared" si="53"/>
        <v/>
      </c>
      <c r="ER5" s="13" t="str">
        <f t="shared" si="54"/>
        <v/>
      </c>
      <c r="ES5" s="13" t="str">
        <f t="shared" si="55"/>
        <v/>
      </c>
      <c r="ET5" s="48"/>
      <c r="EU5" s="48"/>
      <c r="EV5" s="48"/>
      <c r="EW5" s="48"/>
      <c r="EX5" s="48"/>
      <c r="EY5" s="48"/>
      <c r="EZ5" s="48"/>
      <c r="FA5" s="48"/>
      <c r="FB5" s="48"/>
      <c r="FC5" s="48"/>
      <c r="FD5" s="48"/>
      <c r="FE5" s="48"/>
      <c r="FF5" s="48"/>
      <c r="FG5" s="48"/>
      <c r="FH5" s="48"/>
      <c r="FI5" s="16" t="str">
        <f t="shared" si="56"/>
        <v/>
      </c>
      <c r="FJ5" s="16" t="str">
        <f t="shared" si="57"/>
        <v/>
      </c>
      <c r="FK5" s="16" t="str">
        <f t="shared" si="58"/>
        <v/>
      </c>
      <c r="FL5" s="16" t="str">
        <f t="shared" si="59"/>
        <v/>
      </c>
      <c r="FM5" s="16" t="str">
        <f t="shared" si="60"/>
        <v/>
      </c>
      <c r="FN5" s="16" t="str">
        <f t="shared" si="61"/>
        <v/>
      </c>
      <c r="FO5" s="47">
        <v>17.899999999999999</v>
      </c>
      <c r="FP5" s="47">
        <v>9.15</v>
      </c>
      <c r="FQ5" s="47">
        <v>6.1</v>
      </c>
      <c r="FR5" s="47">
        <v>17.98</v>
      </c>
      <c r="FS5" s="47">
        <v>0</v>
      </c>
      <c r="FT5" s="47">
        <v>1.6</v>
      </c>
      <c r="FU5" s="47">
        <v>0.9</v>
      </c>
      <c r="FV5" s="47">
        <v>2.2000000000000002</v>
      </c>
      <c r="FW5" s="47">
        <v>1.855</v>
      </c>
      <c r="FX5" s="47">
        <v>0</v>
      </c>
      <c r="FY5" s="47"/>
      <c r="FZ5" s="47"/>
      <c r="GA5" s="47"/>
      <c r="GB5" s="47"/>
      <c r="GC5" s="47"/>
      <c r="GD5" s="13">
        <f t="shared" si="62"/>
        <v>8.3000000000000007</v>
      </c>
      <c r="GE5" s="13">
        <f t="shared" si="63"/>
        <v>51.129999999999995</v>
      </c>
      <c r="GF5" s="13">
        <f t="shared" si="64"/>
        <v>6.5549999999999997</v>
      </c>
      <c r="GG5" s="13">
        <f t="shared" si="65"/>
        <v>57.684999999999995</v>
      </c>
      <c r="GH5" s="13" t="str">
        <f t="shared" si="66"/>
        <v/>
      </c>
      <c r="GI5" s="13">
        <f t="shared" si="67"/>
        <v>57.684999999999995</v>
      </c>
      <c r="GJ5" s="48"/>
      <c r="GK5" s="48"/>
      <c r="GL5" s="48"/>
      <c r="GM5" s="48"/>
      <c r="GN5" s="48"/>
      <c r="GO5" s="48"/>
      <c r="GP5" s="48"/>
      <c r="GQ5" s="48"/>
      <c r="GR5" s="48"/>
      <c r="GS5" s="48"/>
      <c r="GT5" s="48"/>
      <c r="GU5" s="48"/>
      <c r="GV5" s="48"/>
      <c r="GW5" s="48"/>
      <c r="GX5" s="48"/>
      <c r="GY5" s="16" t="str">
        <f t="shared" si="68"/>
        <v/>
      </c>
      <c r="GZ5" s="16" t="str">
        <f t="shared" si="69"/>
        <v/>
      </c>
      <c r="HA5" s="16" t="str">
        <f t="shared" si="70"/>
        <v/>
      </c>
      <c r="HB5" s="16" t="str">
        <f t="shared" si="71"/>
        <v/>
      </c>
      <c r="HC5" s="16" t="str">
        <f t="shared" si="72"/>
        <v/>
      </c>
      <c r="HD5" s="16" t="str">
        <f t="shared" si="73"/>
        <v/>
      </c>
      <c r="HE5" s="47"/>
      <c r="HF5" s="47"/>
      <c r="HG5" s="47"/>
      <c r="HH5" s="47"/>
      <c r="HI5" s="47"/>
      <c r="HJ5" s="47"/>
      <c r="HK5" s="47"/>
      <c r="HL5" s="47"/>
      <c r="HM5" s="47"/>
      <c r="HN5" s="47"/>
      <c r="HO5" s="47"/>
      <c r="HP5" s="47"/>
      <c r="HQ5" s="47"/>
      <c r="HR5" s="47"/>
      <c r="HS5" s="47"/>
      <c r="HT5" s="13" t="str">
        <f t="shared" si="74"/>
        <v/>
      </c>
      <c r="HU5" s="13" t="str">
        <f t="shared" si="75"/>
        <v/>
      </c>
      <c r="HV5" s="13" t="str">
        <f t="shared" si="76"/>
        <v/>
      </c>
      <c r="HW5" s="13" t="str">
        <f t="shared" si="77"/>
        <v/>
      </c>
      <c r="HX5" s="13" t="str">
        <f t="shared" si="78"/>
        <v/>
      </c>
      <c r="HY5" s="13" t="str">
        <f t="shared" si="79"/>
        <v/>
      </c>
      <c r="HZ5" s="48"/>
      <c r="IA5" s="48"/>
      <c r="IB5" s="48"/>
      <c r="IC5" s="48"/>
      <c r="ID5" s="48"/>
      <c r="IE5" s="48"/>
      <c r="IF5" s="48"/>
      <c r="IG5" s="48"/>
      <c r="IH5" s="48"/>
      <c r="II5" s="48"/>
      <c r="IJ5" s="48"/>
      <c r="IK5" s="48"/>
      <c r="IL5" s="48"/>
      <c r="IM5" s="48"/>
      <c r="IN5" s="48"/>
      <c r="IO5" s="16" t="str">
        <f t="shared" si="80"/>
        <v/>
      </c>
      <c r="IP5" s="16" t="str">
        <f t="shared" si="81"/>
        <v/>
      </c>
      <c r="IQ5" s="16" t="str">
        <f t="shared" si="82"/>
        <v/>
      </c>
      <c r="IR5" s="16" t="str">
        <f t="shared" si="83"/>
        <v/>
      </c>
      <c r="IS5" s="16" t="str">
        <f t="shared" si="84"/>
        <v/>
      </c>
      <c r="IT5" s="16" t="str">
        <f t="shared" si="85"/>
        <v/>
      </c>
      <c r="IU5" s="47"/>
      <c r="IV5" s="47"/>
      <c r="IW5" s="47"/>
      <c r="IX5" s="47"/>
      <c r="IY5" s="47"/>
      <c r="IZ5" s="47"/>
      <c r="JA5" s="47"/>
      <c r="JB5" s="47"/>
      <c r="JC5" s="47"/>
      <c r="JD5" s="47"/>
      <c r="JE5" s="47"/>
      <c r="JF5" s="47"/>
      <c r="JG5" s="47"/>
      <c r="JH5" s="47"/>
      <c r="JI5" s="47"/>
      <c r="JJ5" s="13" t="str">
        <f t="shared" si="86"/>
        <v/>
      </c>
      <c r="JK5" s="13" t="str">
        <f t="shared" si="87"/>
        <v/>
      </c>
      <c r="JL5" s="13" t="str">
        <f t="shared" si="88"/>
        <v/>
      </c>
      <c r="JM5" s="13" t="str">
        <f t="shared" si="89"/>
        <v/>
      </c>
      <c r="JN5" s="13" t="str">
        <f t="shared" si="90"/>
        <v/>
      </c>
      <c r="JO5" s="13" t="str">
        <f t="shared" si="91"/>
        <v/>
      </c>
      <c r="JP5" s="48"/>
      <c r="JQ5" s="48"/>
      <c r="JR5" s="48"/>
      <c r="JS5" s="48"/>
      <c r="JT5" s="48"/>
      <c r="JU5" s="48"/>
      <c r="JV5" s="48"/>
      <c r="JW5" s="48"/>
      <c r="JX5" s="48"/>
      <c r="JY5" s="48"/>
      <c r="JZ5" s="48"/>
      <c r="KA5" s="48"/>
      <c r="KB5" s="48"/>
      <c r="KC5" s="48"/>
      <c r="KD5" s="48"/>
      <c r="KE5" s="16" t="str">
        <f t="shared" si="92"/>
        <v/>
      </c>
      <c r="KF5" s="16" t="str">
        <f t="shared" si="93"/>
        <v/>
      </c>
      <c r="KG5" s="16" t="str">
        <f t="shared" si="94"/>
        <v/>
      </c>
      <c r="KH5" s="16" t="str">
        <f t="shared" si="95"/>
        <v/>
      </c>
      <c r="KI5" s="16" t="str">
        <f t="shared" si="96"/>
        <v/>
      </c>
      <c r="KJ5" s="16" t="str">
        <f t="shared" si="97"/>
        <v/>
      </c>
      <c r="KK5" s="47"/>
      <c r="KL5" s="47"/>
      <c r="KM5" s="47"/>
      <c r="KN5" s="47"/>
      <c r="KO5" s="47"/>
      <c r="KP5" s="47"/>
      <c r="KQ5" s="47"/>
      <c r="KR5" s="47"/>
      <c r="KS5" s="47"/>
      <c r="KT5" s="47"/>
      <c r="KU5" s="47"/>
      <c r="KV5" s="47"/>
      <c r="KW5" s="47"/>
      <c r="KX5" s="47"/>
      <c r="KY5" s="47"/>
      <c r="KZ5" s="13" t="str">
        <f t="shared" si="98"/>
        <v/>
      </c>
      <c r="LA5" s="13" t="str">
        <f t="shared" si="99"/>
        <v/>
      </c>
      <c r="LB5" s="13" t="str">
        <f t="shared" si="100"/>
        <v/>
      </c>
      <c r="LC5" s="13" t="str">
        <f t="shared" si="101"/>
        <v/>
      </c>
      <c r="LD5" s="13" t="str">
        <f t="shared" si="102"/>
        <v/>
      </c>
      <c r="LE5" s="13" t="str">
        <f t="shared" si="103"/>
        <v/>
      </c>
      <c r="LF5" s="48"/>
      <c r="LG5" s="48"/>
      <c r="LH5" s="48"/>
      <c r="LI5" s="48"/>
      <c r="LJ5" s="48"/>
      <c r="LK5" s="48"/>
      <c r="LL5" s="48"/>
      <c r="LM5" s="48"/>
      <c r="LN5" s="48"/>
      <c r="LO5" s="48"/>
      <c r="LP5" s="48"/>
      <c r="LQ5" s="48"/>
      <c r="LR5" s="48"/>
      <c r="LS5" s="48"/>
      <c r="LT5" s="48"/>
      <c r="LU5" s="16" t="str">
        <f t="shared" si="104"/>
        <v/>
      </c>
      <c r="LV5" s="16" t="str">
        <f t="shared" si="105"/>
        <v/>
      </c>
      <c r="LW5" s="16" t="str">
        <f t="shared" si="106"/>
        <v/>
      </c>
      <c r="LX5" s="16" t="str">
        <f t="shared" si="107"/>
        <v/>
      </c>
      <c r="LY5" s="16" t="str">
        <f t="shared" si="108"/>
        <v/>
      </c>
      <c r="LZ5" s="16" t="str">
        <f t="shared" si="109"/>
        <v/>
      </c>
    </row>
    <row r="6" spans="1:338" x14ac:dyDescent="0.2">
      <c r="A6" s="6">
        <f t="shared" si="0"/>
        <v>3</v>
      </c>
      <c r="B6" s="7" t="s">
        <v>10</v>
      </c>
      <c r="C6" s="8" t="s">
        <v>4</v>
      </c>
      <c r="D6" s="6">
        <v>2012</v>
      </c>
      <c r="E6" s="17">
        <f t="shared" si="1"/>
        <v>271.58999999999997</v>
      </c>
      <c r="F6" s="4" t="str">
        <f t="shared" si="2"/>
        <v>P</v>
      </c>
      <c r="G6" s="4" t="str">
        <f t="shared" si="3"/>
        <v>P</v>
      </c>
      <c r="H6" s="4" t="str">
        <f t="shared" si="4"/>
        <v>P</v>
      </c>
      <c r="I6" t="str">
        <f t="shared" si="5"/>
        <v>Worlds Team</v>
      </c>
      <c r="J6" s="16">
        <f t="shared" si="6"/>
        <v>107.235</v>
      </c>
      <c r="K6" s="16" t="str">
        <f t="shared" si="7"/>
        <v>2018 Nationals</v>
      </c>
      <c r="L6" s="16">
        <f t="shared" si="8"/>
        <v>50.25</v>
      </c>
      <c r="M6" s="16" t="str">
        <f t="shared" si="9"/>
        <v>2018 Canada Cup</v>
      </c>
      <c r="N6" s="16">
        <f t="shared" si="10"/>
        <v>56.769999999999996</v>
      </c>
      <c r="O6" s="16" t="str">
        <f t="shared" si="11"/>
        <v>2018 Canada Cup</v>
      </c>
      <c r="P6" s="16">
        <f t="shared" si="12"/>
        <v>56.83</v>
      </c>
      <c r="Q6" s="16" t="str">
        <f t="shared" si="13"/>
        <v>2018 Canada Cup</v>
      </c>
      <c r="R6" s="16">
        <f t="shared" si="14"/>
        <v>0.50500000000000966</v>
      </c>
      <c r="S6" s="31" t="str">
        <f t="shared" si="15"/>
        <v>(Vol 2)</v>
      </c>
      <c r="T6" s="16" t="str">
        <f t="shared" si="16"/>
        <v>2018 Pacific Rim (Apr)</v>
      </c>
      <c r="U6" s="86">
        <v>17.399999999999999</v>
      </c>
      <c r="V6" s="86">
        <v>9</v>
      </c>
      <c r="W6" s="86">
        <v>5.6</v>
      </c>
      <c r="X6" s="86">
        <v>17.114999999999998</v>
      </c>
      <c r="Y6" s="86">
        <v>0</v>
      </c>
      <c r="Z6" s="86">
        <v>9.8000000000000007</v>
      </c>
      <c r="AA6" s="86">
        <v>5.4</v>
      </c>
      <c r="AB6" s="86">
        <v>9.8000000000000007</v>
      </c>
      <c r="AC6" s="86">
        <v>10.095000000000001</v>
      </c>
      <c r="AD6" s="86">
        <v>0.2</v>
      </c>
      <c r="AE6" s="86">
        <v>13.7</v>
      </c>
      <c r="AF6" s="86">
        <v>8.9</v>
      </c>
      <c r="AG6" s="86">
        <v>15.4</v>
      </c>
      <c r="AH6" s="86">
        <v>15.565</v>
      </c>
      <c r="AI6" s="86">
        <v>0</v>
      </c>
      <c r="AJ6" s="13">
        <f t="shared" si="17"/>
        <v>15.4</v>
      </c>
      <c r="AK6" s="13">
        <f t="shared" si="18"/>
        <v>49.114999999999995</v>
      </c>
      <c r="AL6" s="13">
        <f t="shared" si="19"/>
        <v>34.894999999999996</v>
      </c>
      <c r="AM6" s="13">
        <f t="shared" si="20"/>
        <v>84.009999999999991</v>
      </c>
      <c r="AN6" s="13">
        <f t="shared" si="21"/>
        <v>53.564999999999998</v>
      </c>
      <c r="AO6" s="13">
        <f t="shared" si="22"/>
        <v>137.57499999999999</v>
      </c>
      <c r="AP6" s="94">
        <v>18</v>
      </c>
      <c r="AQ6" s="94">
        <v>9.4499999999999993</v>
      </c>
      <c r="AR6" s="94">
        <v>5.4</v>
      </c>
      <c r="AS6" s="94">
        <v>17.399999999999999</v>
      </c>
      <c r="AT6" s="94">
        <v>0</v>
      </c>
      <c r="AU6" s="94">
        <v>15.6</v>
      </c>
      <c r="AV6" s="94">
        <v>8.9499999999999993</v>
      </c>
      <c r="AW6" s="94">
        <v>16</v>
      </c>
      <c r="AX6" s="94">
        <v>16.22</v>
      </c>
      <c r="AY6" s="94">
        <v>0</v>
      </c>
      <c r="AZ6" s="94">
        <v>15.6</v>
      </c>
      <c r="BA6" s="94">
        <v>9.1</v>
      </c>
      <c r="BB6" s="94">
        <v>16.100000000000001</v>
      </c>
      <c r="BC6" s="94">
        <v>16.03</v>
      </c>
      <c r="BD6" s="94">
        <v>0</v>
      </c>
      <c r="BE6" s="16">
        <f t="shared" si="23"/>
        <v>21.4</v>
      </c>
      <c r="BF6" s="16">
        <f t="shared" si="24"/>
        <v>50.25</v>
      </c>
      <c r="BG6" s="16">
        <f t="shared" si="25"/>
        <v>56.769999999999996</v>
      </c>
      <c r="BH6" s="16">
        <f t="shared" si="26"/>
        <v>107.02</v>
      </c>
      <c r="BI6" s="16">
        <f t="shared" si="27"/>
        <v>56.83</v>
      </c>
      <c r="BJ6" s="16">
        <f t="shared" si="28"/>
        <v>163.85</v>
      </c>
      <c r="BK6" s="47">
        <v>18.100000000000001</v>
      </c>
      <c r="BL6" s="47">
        <v>9.4</v>
      </c>
      <c r="BM6" s="47">
        <v>5.4</v>
      </c>
      <c r="BN6" s="47">
        <v>17.71</v>
      </c>
      <c r="BO6" s="47">
        <v>0</v>
      </c>
      <c r="BP6" s="47">
        <v>15.9</v>
      </c>
      <c r="BQ6" s="47">
        <v>8.8000000000000007</v>
      </c>
      <c r="BR6" s="47">
        <v>16.100000000000001</v>
      </c>
      <c r="BS6" s="47">
        <v>15.824999999999999</v>
      </c>
      <c r="BT6" s="47">
        <v>0</v>
      </c>
      <c r="BU6" s="47">
        <v>7.2</v>
      </c>
      <c r="BV6" s="47">
        <v>3.55</v>
      </c>
      <c r="BW6" s="47">
        <v>6.7</v>
      </c>
      <c r="BX6" s="47">
        <v>6.7249999999999996</v>
      </c>
      <c r="BY6" s="47">
        <v>0.2</v>
      </c>
      <c r="BZ6" s="13">
        <f t="shared" si="29"/>
        <v>21.5</v>
      </c>
      <c r="CA6" s="13">
        <f t="shared" si="30"/>
        <v>50.61</v>
      </c>
      <c r="CB6" s="13">
        <f t="shared" si="31"/>
        <v>56.625</v>
      </c>
      <c r="CC6" s="13">
        <f t="shared" si="32"/>
        <v>107.235</v>
      </c>
      <c r="CD6" s="13">
        <f t="shared" si="33"/>
        <v>23.974999999999998</v>
      </c>
      <c r="CE6" s="13">
        <f t="shared" si="34"/>
        <v>131.21</v>
      </c>
      <c r="CF6" s="30" t="str">
        <f t="shared" si="35"/>
        <v/>
      </c>
      <c r="CG6" s="30">
        <f t="shared" si="36"/>
        <v>0.50500000000000966</v>
      </c>
      <c r="CH6" s="30">
        <f t="shared" si="37"/>
        <v>0.37000000000000455</v>
      </c>
      <c r="CI6" s="47">
        <v>15.9</v>
      </c>
      <c r="CJ6" s="47">
        <v>8.6999999999999993</v>
      </c>
      <c r="CK6" s="47">
        <v>6.2</v>
      </c>
      <c r="CL6" s="47">
        <v>16.954999999999998</v>
      </c>
      <c r="CM6" s="47">
        <v>0</v>
      </c>
      <c r="CN6" s="47">
        <v>13.1</v>
      </c>
      <c r="CO6" s="47">
        <v>8.6</v>
      </c>
      <c r="CP6" s="47">
        <v>9.1999999999999993</v>
      </c>
      <c r="CQ6" s="47">
        <v>14.975</v>
      </c>
      <c r="CR6" s="47">
        <v>0</v>
      </c>
      <c r="CS6" s="47"/>
      <c r="CT6" s="47"/>
      <c r="CU6" s="47"/>
      <c r="CV6" s="47"/>
      <c r="CW6" s="47"/>
      <c r="CX6" s="13">
        <f t="shared" si="38"/>
        <v>15.399999999999999</v>
      </c>
      <c r="CY6" s="13">
        <f t="shared" si="39"/>
        <v>47.754999999999995</v>
      </c>
      <c r="CZ6" s="13">
        <f t="shared" si="40"/>
        <v>45.875</v>
      </c>
      <c r="DA6" s="13">
        <f t="shared" si="41"/>
        <v>93.63</v>
      </c>
      <c r="DB6" s="13" t="str">
        <f t="shared" si="42"/>
        <v/>
      </c>
      <c r="DC6" s="13">
        <f t="shared" si="43"/>
        <v>93.63</v>
      </c>
      <c r="DD6" s="48"/>
      <c r="DE6" s="48"/>
      <c r="DF6" s="48"/>
      <c r="DG6" s="48"/>
      <c r="DH6" s="48"/>
      <c r="DI6" s="48"/>
      <c r="DJ6" s="48"/>
      <c r="DK6" s="48"/>
      <c r="DL6" s="48"/>
      <c r="DM6" s="48"/>
      <c r="DN6" s="48"/>
      <c r="DO6" s="48"/>
      <c r="DP6" s="48"/>
      <c r="DQ6" s="48"/>
      <c r="DR6" s="48"/>
      <c r="DS6" s="16" t="str">
        <f t="shared" si="44"/>
        <v/>
      </c>
      <c r="DT6" s="16" t="str">
        <f t="shared" si="45"/>
        <v/>
      </c>
      <c r="DU6" s="16" t="str">
        <f t="shared" si="46"/>
        <v/>
      </c>
      <c r="DV6" s="16" t="str">
        <f t="shared" si="47"/>
        <v/>
      </c>
      <c r="DW6" s="16" t="str">
        <f t="shared" si="48"/>
        <v/>
      </c>
      <c r="DX6" s="16" t="str">
        <f t="shared" si="49"/>
        <v/>
      </c>
      <c r="DY6" s="47">
        <v>17.8</v>
      </c>
      <c r="DZ6" s="47">
        <v>5.4</v>
      </c>
      <c r="EA6" s="47">
        <v>9.15</v>
      </c>
      <c r="EB6" s="47">
        <v>17.48</v>
      </c>
      <c r="EC6" s="47">
        <v>0</v>
      </c>
      <c r="ED6" s="47">
        <v>15.5</v>
      </c>
      <c r="EE6" s="47">
        <v>16</v>
      </c>
      <c r="EF6" s="47">
        <v>9.35</v>
      </c>
      <c r="EG6" s="47">
        <v>16.425000000000001</v>
      </c>
      <c r="EH6" s="47">
        <v>0</v>
      </c>
      <c r="EI6" s="47">
        <v>15.5</v>
      </c>
      <c r="EJ6" s="47">
        <v>8.9499999999999993</v>
      </c>
      <c r="EK6" s="47">
        <v>16.2</v>
      </c>
      <c r="EL6" s="47">
        <v>16.55</v>
      </c>
      <c r="EM6" s="47">
        <v>0</v>
      </c>
      <c r="EN6" s="13">
        <f t="shared" si="50"/>
        <v>18.5</v>
      </c>
      <c r="EO6" s="13">
        <f t="shared" si="51"/>
        <v>49.83</v>
      </c>
      <c r="EP6" s="13">
        <f t="shared" si="52"/>
        <v>57.275000000000006</v>
      </c>
      <c r="EQ6" s="13">
        <f t="shared" si="53"/>
        <v>107.105</v>
      </c>
      <c r="ER6" s="13">
        <f t="shared" si="54"/>
        <v>57.2</v>
      </c>
      <c r="ES6" s="13">
        <f t="shared" si="55"/>
        <v>164.30500000000001</v>
      </c>
      <c r="ET6" s="48"/>
      <c r="EU6" s="48"/>
      <c r="EV6" s="48"/>
      <c r="EW6" s="48"/>
      <c r="EX6" s="48"/>
      <c r="EY6" s="48"/>
      <c r="EZ6" s="48"/>
      <c r="FA6" s="48"/>
      <c r="FB6" s="48"/>
      <c r="FC6" s="48"/>
      <c r="FD6" s="48">
        <v>14.9</v>
      </c>
      <c r="FE6" s="48">
        <v>9.35</v>
      </c>
      <c r="FF6" s="48">
        <v>16</v>
      </c>
      <c r="FG6" s="48">
        <v>16.16</v>
      </c>
      <c r="FH6" s="48">
        <v>0</v>
      </c>
      <c r="FI6" s="16" t="str">
        <f t="shared" si="56"/>
        <v/>
      </c>
      <c r="FJ6" s="16" t="str">
        <f t="shared" si="57"/>
        <v/>
      </c>
      <c r="FK6" s="16" t="str">
        <f t="shared" si="58"/>
        <v/>
      </c>
      <c r="FL6" s="16" t="str">
        <f t="shared" si="59"/>
        <v/>
      </c>
      <c r="FM6" s="16">
        <f t="shared" si="60"/>
        <v>56.41</v>
      </c>
      <c r="FN6" s="16">
        <f t="shared" si="61"/>
        <v>56.41</v>
      </c>
      <c r="FO6" s="47"/>
      <c r="FP6" s="47"/>
      <c r="FQ6" s="47"/>
      <c r="FR6" s="47"/>
      <c r="FS6" s="47"/>
      <c r="FT6" s="47"/>
      <c r="FU6" s="47"/>
      <c r="FV6" s="47"/>
      <c r="FW6" s="47"/>
      <c r="FX6" s="47"/>
      <c r="FY6" s="47"/>
      <c r="FZ6" s="47"/>
      <c r="GA6" s="47"/>
      <c r="GB6" s="47"/>
      <c r="GC6" s="47"/>
      <c r="GD6" s="13" t="str">
        <f t="shared" si="62"/>
        <v/>
      </c>
      <c r="GE6" s="13" t="str">
        <f t="shared" si="63"/>
        <v/>
      </c>
      <c r="GF6" s="13" t="str">
        <f t="shared" si="64"/>
        <v/>
      </c>
      <c r="GG6" s="13" t="str">
        <f t="shared" si="65"/>
        <v/>
      </c>
      <c r="GH6" s="13" t="str">
        <f t="shared" si="66"/>
        <v/>
      </c>
      <c r="GI6" s="13" t="str">
        <f t="shared" si="67"/>
        <v/>
      </c>
      <c r="GJ6" s="48"/>
      <c r="GK6" s="48"/>
      <c r="GL6" s="48"/>
      <c r="GM6" s="48"/>
      <c r="GN6" s="48"/>
      <c r="GO6" s="48"/>
      <c r="GP6" s="48"/>
      <c r="GQ6" s="48"/>
      <c r="GR6" s="48"/>
      <c r="GS6" s="48"/>
      <c r="GT6" s="48"/>
      <c r="GU6" s="48"/>
      <c r="GV6" s="48"/>
      <c r="GW6" s="48"/>
      <c r="GX6" s="48"/>
      <c r="GY6" s="16" t="str">
        <f t="shared" si="68"/>
        <v/>
      </c>
      <c r="GZ6" s="16" t="str">
        <f t="shared" si="69"/>
        <v/>
      </c>
      <c r="HA6" s="16" t="str">
        <f t="shared" si="70"/>
        <v/>
      </c>
      <c r="HB6" s="16" t="str">
        <f t="shared" si="71"/>
        <v/>
      </c>
      <c r="HC6" s="16" t="str">
        <f t="shared" si="72"/>
        <v/>
      </c>
      <c r="HD6" s="16" t="str">
        <f t="shared" si="73"/>
        <v/>
      </c>
      <c r="HE6" s="47"/>
      <c r="HF6" s="47"/>
      <c r="HG6" s="47"/>
      <c r="HH6" s="47"/>
      <c r="HI6" s="47"/>
      <c r="HJ6" s="47"/>
      <c r="HK6" s="47"/>
      <c r="HL6" s="47"/>
      <c r="HM6" s="47"/>
      <c r="HN6" s="47"/>
      <c r="HO6" s="47"/>
      <c r="HP6" s="47"/>
      <c r="HQ6" s="47"/>
      <c r="HR6" s="47"/>
      <c r="HS6" s="47"/>
      <c r="HT6" s="13" t="str">
        <f t="shared" si="74"/>
        <v/>
      </c>
      <c r="HU6" s="13" t="str">
        <f t="shared" si="75"/>
        <v/>
      </c>
      <c r="HV6" s="13" t="str">
        <f t="shared" si="76"/>
        <v/>
      </c>
      <c r="HW6" s="13" t="str">
        <f t="shared" si="77"/>
        <v/>
      </c>
      <c r="HX6" s="13" t="str">
        <f t="shared" si="78"/>
        <v/>
      </c>
      <c r="HY6" s="13" t="str">
        <f t="shared" si="79"/>
        <v/>
      </c>
      <c r="HZ6" s="48"/>
      <c r="IA6" s="48"/>
      <c r="IB6" s="48"/>
      <c r="IC6" s="48"/>
      <c r="ID6" s="48"/>
      <c r="IE6" s="48"/>
      <c r="IF6" s="48"/>
      <c r="IG6" s="48"/>
      <c r="IH6" s="48"/>
      <c r="II6" s="48"/>
      <c r="IJ6" s="48"/>
      <c r="IK6" s="48"/>
      <c r="IL6" s="48"/>
      <c r="IM6" s="48"/>
      <c r="IN6" s="48"/>
      <c r="IO6" s="16" t="str">
        <f t="shared" si="80"/>
        <v/>
      </c>
      <c r="IP6" s="16" t="str">
        <f t="shared" si="81"/>
        <v/>
      </c>
      <c r="IQ6" s="16" t="str">
        <f t="shared" si="82"/>
        <v/>
      </c>
      <c r="IR6" s="16" t="str">
        <f t="shared" si="83"/>
        <v/>
      </c>
      <c r="IS6" s="16" t="str">
        <f t="shared" si="84"/>
        <v/>
      </c>
      <c r="IT6" s="16" t="str">
        <f t="shared" si="85"/>
        <v/>
      </c>
      <c r="IU6" s="47"/>
      <c r="IV6" s="47"/>
      <c r="IW6" s="47"/>
      <c r="IX6" s="47"/>
      <c r="IY6" s="47"/>
      <c r="IZ6" s="47"/>
      <c r="JA6" s="47"/>
      <c r="JB6" s="47"/>
      <c r="JC6" s="47"/>
      <c r="JD6" s="47"/>
      <c r="JE6" s="47"/>
      <c r="JF6" s="47"/>
      <c r="JG6" s="47"/>
      <c r="JH6" s="47"/>
      <c r="JI6" s="47"/>
      <c r="JJ6" s="13" t="str">
        <f t="shared" si="86"/>
        <v/>
      </c>
      <c r="JK6" s="13" t="str">
        <f t="shared" si="87"/>
        <v/>
      </c>
      <c r="JL6" s="13" t="str">
        <f t="shared" si="88"/>
        <v/>
      </c>
      <c r="JM6" s="13" t="str">
        <f t="shared" si="89"/>
        <v/>
      </c>
      <c r="JN6" s="13" t="str">
        <f t="shared" si="90"/>
        <v/>
      </c>
      <c r="JO6" s="13" t="str">
        <f t="shared" si="91"/>
        <v/>
      </c>
      <c r="JP6" s="48"/>
      <c r="JQ6" s="48"/>
      <c r="JR6" s="48"/>
      <c r="JS6" s="48"/>
      <c r="JT6" s="48"/>
      <c r="JU6" s="48"/>
      <c r="JV6" s="48"/>
      <c r="JW6" s="48"/>
      <c r="JX6" s="48"/>
      <c r="JY6" s="48"/>
      <c r="JZ6" s="48"/>
      <c r="KA6" s="48"/>
      <c r="KB6" s="48"/>
      <c r="KC6" s="48"/>
      <c r="KD6" s="48"/>
      <c r="KE6" s="16" t="str">
        <f t="shared" si="92"/>
        <v/>
      </c>
      <c r="KF6" s="16" t="str">
        <f t="shared" si="93"/>
        <v/>
      </c>
      <c r="KG6" s="16" t="str">
        <f t="shared" si="94"/>
        <v/>
      </c>
      <c r="KH6" s="16" t="str">
        <f t="shared" si="95"/>
        <v/>
      </c>
      <c r="KI6" s="16" t="str">
        <f t="shared" si="96"/>
        <v/>
      </c>
      <c r="KJ6" s="16" t="str">
        <f t="shared" si="97"/>
        <v/>
      </c>
      <c r="KK6" s="47"/>
      <c r="KL6" s="47"/>
      <c r="KM6" s="47"/>
      <c r="KN6" s="47"/>
      <c r="KO6" s="47"/>
      <c r="KP6" s="47"/>
      <c r="KQ6" s="47"/>
      <c r="KR6" s="47"/>
      <c r="KS6" s="47"/>
      <c r="KT6" s="47"/>
      <c r="KU6" s="47"/>
      <c r="KV6" s="47"/>
      <c r="KW6" s="47"/>
      <c r="KX6" s="47"/>
      <c r="KY6" s="47"/>
      <c r="KZ6" s="13" t="str">
        <f t="shared" si="98"/>
        <v/>
      </c>
      <c r="LA6" s="13" t="str">
        <f t="shared" si="99"/>
        <v/>
      </c>
      <c r="LB6" s="13" t="str">
        <f t="shared" si="100"/>
        <v/>
      </c>
      <c r="LC6" s="13" t="str">
        <f t="shared" si="101"/>
        <v/>
      </c>
      <c r="LD6" s="13" t="str">
        <f t="shared" si="102"/>
        <v/>
      </c>
      <c r="LE6" s="13" t="str">
        <f t="shared" si="103"/>
        <v/>
      </c>
      <c r="LF6" s="48"/>
      <c r="LG6" s="48"/>
      <c r="LH6" s="48"/>
      <c r="LI6" s="48"/>
      <c r="LJ6" s="48"/>
      <c r="LK6" s="48"/>
      <c r="LL6" s="48"/>
      <c r="LM6" s="48"/>
      <c r="LN6" s="48"/>
      <c r="LO6" s="48"/>
      <c r="LP6" s="48"/>
      <c r="LQ6" s="48"/>
      <c r="LR6" s="48"/>
      <c r="LS6" s="48"/>
      <c r="LT6" s="48"/>
      <c r="LU6" s="16" t="str">
        <f t="shared" si="104"/>
        <v/>
      </c>
      <c r="LV6" s="16" t="str">
        <f t="shared" si="105"/>
        <v/>
      </c>
      <c r="LW6" s="16" t="str">
        <f t="shared" si="106"/>
        <v/>
      </c>
      <c r="LX6" s="16" t="str">
        <f t="shared" si="107"/>
        <v/>
      </c>
      <c r="LY6" s="16" t="str">
        <f t="shared" si="108"/>
        <v/>
      </c>
      <c r="LZ6" s="16" t="str">
        <f t="shared" si="109"/>
        <v/>
      </c>
    </row>
    <row r="7" spans="1:338" x14ac:dyDescent="0.2">
      <c r="A7" s="6" t="str">
        <f t="shared" si="0"/>
        <v/>
      </c>
      <c r="B7" s="9" t="s">
        <v>53</v>
      </c>
      <c r="C7" s="5" t="s">
        <v>8</v>
      </c>
      <c r="D7" s="8">
        <v>2014</v>
      </c>
      <c r="E7" s="17">
        <f t="shared" si="1"/>
        <v>262.03968750000001</v>
      </c>
      <c r="F7" s="4" t="str">
        <f t="shared" si="2"/>
        <v>P</v>
      </c>
      <c r="G7" s="4" t="str">
        <f t="shared" si="3"/>
        <v>P</v>
      </c>
      <c r="H7" s="4" t="str">
        <f t="shared" si="4"/>
        <v/>
      </c>
      <c r="I7" t="str">
        <f t="shared" si="5"/>
        <v/>
      </c>
      <c r="J7" s="16">
        <f t="shared" si="6"/>
        <v>102.9</v>
      </c>
      <c r="K7" s="16" t="str">
        <f t="shared" si="7"/>
        <v>2018 Canada Cup</v>
      </c>
      <c r="L7" s="16">
        <f t="shared" si="8"/>
        <v>50.373125000000002</v>
      </c>
      <c r="M7" s="16" t="str">
        <f t="shared" si="9"/>
        <v>2017 3rd Domestic Trial</v>
      </c>
      <c r="N7" s="16">
        <f t="shared" si="10"/>
        <v>53.574999999999996</v>
      </c>
      <c r="O7" s="16" t="str">
        <f t="shared" si="11"/>
        <v>2018 Nationals</v>
      </c>
      <c r="P7" s="16">
        <f t="shared" si="12"/>
        <v>55.191562500000003</v>
      </c>
      <c r="Q7" s="16" t="str">
        <f t="shared" si="13"/>
        <v>2017 3rd Domestic Trial</v>
      </c>
      <c r="R7" s="16" t="str">
        <f t="shared" si="14"/>
        <v/>
      </c>
      <c r="S7" s="31" t="str">
        <f t="shared" si="15"/>
        <v/>
      </c>
      <c r="T7" s="16" t="str">
        <f t="shared" si="16"/>
        <v/>
      </c>
      <c r="U7" s="59">
        <v>27.324999999999996</v>
      </c>
      <c r="V7" s="59">
        <v>3</v>
      </c>
      <c r="W7" s="59">
        <v>2.7</v>
      </c>
      <c r="X7" s="59">
        <v>17.348125000000003</v>
      </c>
      <c r="Y7" s="59">
        <v>0</v>
      </c>
      <c r="Z7" s="59">
        <v>14.90625</v>
      </c>
      <c r="AA7" s="59">
        <v>0.875</v>
      </c>
      <c r="AB7" s="59">
        <v>18.100000000000001</v>
      </c>
      <c r="AC7" s="59">
        <v>14.600937499999999</v>
      </c>
      <c r="AD7" s="59">
        <v>0</v>
      </c>
      <c r="AE7" s="59">
        <v>21.931249999999999</v>
      </c>
      <c r="AF7" s="59">
        <v>1</v>
      </c>
      <c r="AG7" s="59">
        <v>15.725</v>
      </c>
      <c r="AH7" s="59">
        <v>16.5353125</v>
      </c>
      <c r="AI7" s="59">
        <v>0</v>
      </c>
      <c r="AJ7" s="13">
        <f t="shared" si="17"/>
        <v>20.8</v>
      </c>
      <c r="AK7" s="13">
        <f t="shared" si="18"/>
        <v>50.373125000000002</v>
      </c>
      <c r="AL7" s="13">
        <f t="shared" si="19"/>
        <v>48.482187500000002</v>
      </c>
      <c r="AM7" s="13">
        <f t="shared" si="20"/>
        <v>98.855312499999997</v>
      </c>
      <c r="AN7" s="13">
        <f t="shared" si="21"/>
        <v>55.191562500000003</v>
      </c>
      <c r="AO7" s="13">
        <f t="shared" si="22"/>
        <v>154.046875</v>
      </c>
      <c r="AP7" s="79">
        <v>17.8</v>
      </c>
      <c r="AQ7" s="79">
        <v>9.35</v>
      </c>
      <c r="AR7" s="79">
        <v>5.2</v>
      </c>
      <c r="AS7" s="79">
        <v>16.38</v>
      </c>
      <c r="AT7" s="79">
        <v>0</v>
      </c>
      <c r="AU7" s="79">
        <v>15.3</v>
      </c>
      <c r="AV7" s="79">
        <v>9.1999999999999993</v>
      </c>
      <c r="AW7" s="79">
        <v>14.1</v>
      </c>
      <c r="AX7" s="79">
        <v>15.57</v>
      </c>
      <c r="AY7" s="79">
        <v>0</v>
      </c>
      <c r="AZ7" s="79">
        <v>15.2</v>
      </c>
      <c r="BA7" s="79">
        <v>9</v>
      </c>
      <c r="BB7" s="79">
        <v>14.1</v>
      </c>
      <c r="BC7" s="79">
        <v>15.345000000000001</v>
      </c>
      <c r="BD7" s="79">
        <v>0</v>
      </c>
      <c r="BE7" s="16">
        <f t="shared" si="23"/>
        <v>19.3</v>
      </c>
      <c r="BF7" s="16">
        <f t="shared" si="24"/>
        <v>48.730000000000004</v>
      </c>
      <c r="BG7" s="16">
        <f t="shared" si="25"/>
        <v>54.17</v>
      </c>
      <c r="BH7" s="16">
        <f t="shared" si="26"/>
        <v>102.9</v>
      </c>
      <c r="BI7" s="16">
        <f t="shared" si="27"/>
        <v>53.644999999999996</v>
      </c>
      <c r="BJ7" s="16">
        <f t="shared" si="28"/>
        <v>156.54500000000002</v>
      </c>
      <c r="BK7" s="55">
        <v>17.5</v>
      </c>
      <c r="BL7" s="55">
        <v>9.4</v>
      </c>
      <c r="BM7" s="55">
        <v>5.8</v>
      </c>
      <c r="BN7" s="55">
        <v>16.38</v>
      </c>
      <c r="BO7" s="55">
        <v>0</v>
      </c>
      <c r="BP7" s="55">
        <v>14.2</v>
      </c>
      <c r="BQ7" s="55">
        <v>9.15</v>
      </c>
      <c r="BR7" s="55">
        <v>14.7</v>
      </c>
      <c r="BS7" s="55">
        <v>15.525</v>
      </c>
      <c r="BT7" s="55">
        <v>0</v>
      </c>
      <c r="BU7" s="55">
        <v>1.7</v>
      </c>
      <c r="BV7" s="55">
        <v>0.9</v>
      </c>
      <c r="BW7" s="55">
        <v>1.7</v>
      </c>
      <c r="BX7" s="55">
        <v>1.7250000000000001</v>
      </c>
      <c r="BY7" s="55">
        <v>0</v>
      </c>
      <c r="BZ7" s="13">
        <f t="shared" si="29"/>
        <v>20.5</v>
      </c>
      <c r="CA7" s="13">
        <f t="shared" si="30"/>
        <v>49.08</v>
      </c>
      <c r="CB7" s="13">
        <f t="shared" si="31"/>
        <v>53.574999999999996</v>
      </c>
      <c r="CC7" s="13">
        <f t="shared" si="32"/>
        <v>102.655</v>
      </c>
      <c r="CD7" s="13">
        <f t="shared" si="33"/>
        <v>6.0250000000000004</v>
      </c>
      <c r="CE7" s="13">
        <f t="shared" si="34"/>
        <v>108.68</v>
      </c>
      <c r="CF7" s="30" t="str">
        <f t="shared" si="35"/>
        <v/>
      </c>
      <c r="CG7" s="30" t="str">
        <f t="shared" si="36"/>
        <v/>
      </c>
      <c r="CH7" s="30" t="str">
        <f t="shared" si="37"/>
        <v/>
      </c>
      <c r="CI7" s="47"/>
      <c r="CJ7" s="47"/>
      <c r="CK7" s="47"/>
      <c r="CL7" s="47"/>
      <c r="CM7" s="47"/>
      <c r="CN7" s="47"/>
      <c r="CO7" s="47"/>
      <c r="CP7" s="47"/>
      <c r="CQ7" s="47"/>
      <c r="CR7" s="47"/>
      <c r="CS7" s="47"/>
      <c r="CT7" s="47"/>
      <c r="CU7" s="47"/>
      <c r="CV7" s="47"/>
      <c r="CW7" s="47"/>
      <c r="CX7" s="13" t="str">
        <f t="shared" si="38"/>
        <v/>
      </c>
      <c r="CY7" s="13" t="str">
        <f t="shared" si="39"/>
        <v/>
      </c>
      <c r="CZ7" s="13" t="str">
        <f t="shared" si="40"/>
        <v/>
      </c>
      <c r="DA7" s="13" t="str">
        <f t="shared" si="41"/>
        <v/>
      </c>
      <c r="DB7" s="13" t="str">
        <f t="shared" si="42"/>
        <v/>
      </c>
      <c r="DC7" s="13" t="str">
        <f t="shared" si="43"/>
        <v/>
      </c>
      <c r="DD7" s="48"/>
      <c r="DE7" s="48"/>
      <c r="DF7" s="48"/>
      <c r="DG7" s="48"/>
      <c r="DH7" s="48"/>
      <c r="DI7" s="48"/>
      <c r="DJ7" s="48"/>
      <c r="DK7" s="48"/>
      <c r="DL7" s="48"/>
      <c r="DM7" s="48"/>
      <c r="DN7" s="48"/>
      <c r="DO7" s="48"/>
      <c r="DP7" s="48"/>
      <c r="DQ7" s="48"/>
      <c r="DR7" s="48"/>
      <c r="DS7" s="16" t="str">
        <f t="shared" si="44"/>
        <v/>
      </c>
      <c r="DT7" s="16" t="str">
        <f t="shared" si="45"/>
        <v/>
      </c>
      <c r="DU7" s="16" t="str">
        <f t="shared" si="46"/>
        <v/>
      </c>
      <c r="DV7" s="16" t="str">
        <f t="shared" si="47"/>
        <v/>
      </c>
      <c r="DW7" s="16" t="str">
        <f t="shared" si="48"/>
        <v/>
      </c>
      <c r="DX7" s="16" t="str">
        <f t="shared" si="49"/>
        <v/>
      </c>
      <c r="DY7" s="47"/>
      <c r="DZ7" s="47"/>
      <c r="EA7" s="47"/>
      <c r="EB7" s="47"/>
      <c r="EC7" s="47"/>
      <c r="ED7" s="47"/>
      <c r="EE7" s="47"/>
      <c r="EF7" s="47"/>
      <c r="EG7" s="47"/>
      <c r="EH7" s="47"/>
      <c r="EI7" s="47"/>
      <c r="EJ7" s="47"/>
      <c r="EK7" s="47"/>
      <c r="EL7" s="47"/>
      <c r="EM7" s="47"/>
      <c r="EN7" s="13" t="str">
        <f t="shared" si="50"/>
        <v/>
      </c>
      <c r="EO7" s="13" t="str">
        <f t="shared" si="51"/>
        <v/>
      </c>
      <c r="EP7" s="13" t="str">
        <f t="shared" si="52"/>
        <v/>
      </c>
      <c r="EQ7" s="13" t="str">
        <f t="shared" si="53"/>
        <v/>
      </c>
      <c r="ER7" s="13" t="str">
        <f t="shared" si="54"/>
        <v/>
      </c>
      <c r="ES7" s="13" t="str">
        <f t="shared" si="55"/>
        <v/>
      </c>
      <c r="ET7" s="48"/>
      <c r="EU7" s="48"/>
      <c r="EV7" s="48"/>
      <c r="EW7" s="48"/>
      <c r="EX7" s="48"/>
      <c r="EY7" s="48"/>
      <c r="EZ7" s="48"/>
      <c r="FA7" s="48"/>
      <c r="FB7" s="48"/>
      <c r="FC7" s="48"/>
      <c r="FD7" s="48"/>
      <c r="FE7" s="48"/>
      <c r="FF7" s="48"/>
      <c r="FG7" s="48"/>
      <c r="FH7" s="48"/>
      <c r="FI7" s="16" t="str">
        <f t="shared" si="56"/>
        <v/>
      </c>
      <c r="FJ7" s="16" t="str">
        <f t="shared" si="57"/>
        <v/>
      </c>
      <c r="FK7" s="16" t="str">
        <f t="shared" si="58"/>
        <v/>
      </c>
      <c r="FL7" s="16" t="str">
        <f t="shared" si="59"/>
        <v/>
      </c>
      <c r="FM7" s="16" t="str">
        <f t="shared" si="60"/>
        <v/>
      </c>
      <c r="FN7" s="16" t="str">
        <f t="shared" si="61"/>
        <v/>
      </c>
      <c r="FO7" s="47"/>
      <c r="FP7" s="47"/>
      <c r="FQ7" s="47"/>
      <c r="FR7" s="47"/>
      <c r="FS7" s="47"/>
      <c r="FT7" s="47"/>
      <c r="FU7" s="47"/>
      <c r="FV7" s="47"/>
      <c r="FW7" s="47"/>
      <c r="FX7" s="47"/>
      <c r="FY7" s="47"/>
      <c r="FZ7" s="47"/>
      <c r="GA7" s="47"/>
      <c r="GB7" s="47"/>
      <c r="GC7" s="47"/>
      <c r="GD7" s="13" t="str">
        <f t="shared" si="62"/>
        <v/>
      </c>
      <c r="GE7" s="13" t="str">
        <f t="shared" si="63"/>
        <v/>
      </c>
      <c r="GF7" s="13" t="str">
        <f t="shared" si="64"/>
        <v/>
      </c>
      <c r="GG7" s="13" t="str">
        <f t="shared" si="65"/>
        <v/>
      </c>
      <c r="GH7" s="13" t="str">
        <f t="shared" si="66"/>
        <v/>
      </c>
      <c r="GI7" s="13" t="str">
        <f t="shared" si="67"/>
        <v/>
      </c>
      <c r="GJ7" s="48"/>
      <c r="GK7" s="48"/>
      <c r="GL7" s="48"/>
      <c r="GM7" s="48"/>
      <c r="GN7" s="48"/>
      <c r="GO7" s="48"/>
      <c r="GP7" s="48"/>
      <c r="GQ7" s="48"/>
      <c r="GR7" s="48"/>
      <c r="GS7" s="48"/>
      <c r="GT7" s="48"/>
      <c r="GU7" s="48"/>
      <c r="GV7" s="48"/>
      <c r="GW7" s="48"/>
      <c r="GX7" s="48"/>
      <c r="GY7" s="16" t="str">
        <f t="shared" si="68"/>
        <v/>
      </c>
      <c r="GZ7" s="16" t="str">
        <f t="shared" si="69"/>
        <v/>
      </c>
      <c r="HA7" s="16" t="str">
        <f t="shared" si="70"/>
        <v/>
      </c>
      <c r="HB7" s="16" t="str">
        <f t="shared" si="71"/>
        <v/>
      </c>
      <c r="HC7" s="16" t="str">
        <f t="shared" si="72"/>
        <v/>
      </c>
      <c r="HD7" s="16" t="str">
        <f t="shared" si="73"/>
        <v/>
      </c>
      <c r="HE7" s="47"/>
      <c r="HF7" s="47"/>
      <c r="HG7" s="47"/>
      <c r="HH7" s="47"/>
      <c r="HI7" s="47"/>
      <c r="HJ7" s="47"/>
      <c r="HK7" s="47"/>
      <c r="HL7" s="47"/>
      <c r="HM7" s="47"/>
      <c r="HN7" s="47"/>
      <c r="HO7" s="47"/>
      <c r="HP7" s="47"/>
      <c r="HQ7" s="47"/>
      <c r="HR7" s="47"/>
      <c r="HS7" s="47"/>
      <c r="HT7" s="13" t="str">
        <f t="shared" si="74"/>
        <v/>
      </c>
      <c r="HU7" s="13" t="str">
        <f t="shared" si="75"/>
        <v/>
      </c>
      <c r="HV7" s="13" t="str">
        <f t="shared" si="76"/>
        <v/>
      </c>
      <c r="HW7" s="13" t="str">
        <f t="shared" si="77"/>
        <v/>
      </c>
      <c r="HX7" s="13" t="str">
        <f t="shared" si="78"/>
        <v/>
      </c>
      <c r="HY7" s="13" t="str">
        <f t="shared" si="79"/>
        <v/>
      </c>
      <c r="HZ7" s="48"/>
      <c r="IA7" s="48"/>
      <c r="IB7" s="48"/>
      <c r="IC7" s="48"/>
      <c r="ID7" s="48"/>
      <c r="IE7" s="48"/>
      <c r="IF7" s="48"/>
      <c r="IG7" s="48"/>
      <c r="IH7" s="48"/>
      <c r="II7" s="48"/>
      <c r="IJ7" s="48"/>
      <c r="IK7" s="48"/>
      <c r="IL7" s="48"/>
      <c r="IM7" s="48"/>
      <c r="IN7" s="48"/>
      <c r="IO7" s="16" t="str">
        <f t="shared" si="80"/>
        <v/>
      </c>
      <c r="IP7" s="16" t="str">
        <f t="shared" si="81"/>
        <v/>
      </c>
      <c r="IQ7" s="16" t="str">
        <f t="shared" si="82"/>
        <v/>
      </c>
      <c r="IR7" s="16" t="str">
        <f t="shared" si="83"/>
        <v/>
      </c>
      <c r="IS7" s="16" t="str">
        <f t="shared" si="84"/>
        <v/>
      </c>
      <c r="IT7" s="16" t="str">
        <f t="shared" si="85"/>
        <v/>
      </c>
      <c r="IU7" s="47"/>
      <c r="IV7" s="47"/>
      <c r="IW7" s="47"/>
      <c r="IX7" s="47"/>
      <c r="IY7" s="47"/>
      <c r="IZ7" s="47"/>
      <c r="JA7" s="47"/>
      <c r="JB7" s="47"/>
      <c r="JC7" s="47"/>
      <c r="JD7" s="47"/>
      <c r="JE7" s="47"/>
      <c r="JF7" s="47"/>
      <c r="JG7" s="47"/>
      <c r="JH7" s="47"/>
      <c r="JI7" s="47"/>
      <c r="JJ7" s="13" t="str">
        <f t="shared" si="86"/>
        <v/>
      </c>
      <c r="JK7" s="13" t="str">
        <f t="shared" si="87"/>
        <v/>
      </c>
      <c r="JL7" s="13" t="str">
        <f t="shared" si="88"/>
        <v/>
      </c>
      <c r="JM7" s="13" t="str">
        <f t="shared" si="89"/>
        <v/>
      </c>
      <c r="JN7" s="13" t="str">
        <f t="shared" si="90"/>
        <v/>
      </c>
      <c r="JO7" s="13" t="str">
        <f t="shared" si="91"/>
        <v/>
      </c>
      <c r="JP7" s="48"/>
      <c r="JQ7" s="48"/>
      <c r="JR7" s="48"/>
      <c r="JS7" s="48"/>
      <c r="JT7" s="48"/>
      <c r="JU7" s="48"/>
      <c r="JV7" s="48"/>
      <c r="JW7" s="48"/>
      <c r="JX7" s="48"/>
      <c r="JY7" s="48"/>
      <c r="JZ7" s="48"/>
      <c r="KA7" s="48"/>
      <c r="KB7" s="48"/>
      <c r="KC7" s="48"/>
      <c r="KD7" s="48"/>
      <c r="KE7" s="16" t="str">
        <f t="shared" si="92"/>
        <v/>
      </c>
      <c r="KF7" s="16" t="str">
        <f t="shared" si="93"/>
        <v/>
      </c>
      <c r="KG7" s="16" t="str">
        <f t="shared" si="94"/>
        <v/>
      </c>
      <c r="KH7" s="16" t="str">
        <f t="shared" si="95"/>
        <v/>
      </c>
      <c r="KI7" s="16" t="str">
        <f t="shared" si="96"/>
        <v/>
      </c>
      <c r="KJ7" s="16" t="str">
        <f t="shared" si="97"/>
        <v/>
      </c>
      <c r="KK7" s="47"/>
      <c r="KL7" s="47"/>
      <c r="KM7" s="47"/>
      <c r="KN7" s="47"/>
      <c r="KO7" s="47"/>
      <c r="KP7" s="47"/>
      <c r="KQ7" s="47"/>
      <c r="KR7" s="47"/>
      <c r="KS7" s="47"/>
      <c r="KT7" s="47"/>
      <c r="KU7" s="47"/>
      <c r="KV7" s="47"/>
      <c r="KW7" s="47"/>
      <c r="KX7" s="47"/>
      <c r="KY7" s="47"/>
      <c r="KZ7" s="13" t="str">
        <f t="shared" si="98"/>
        <v/>
      </c>
      <c r="LA7" s="13" t="str">
        <f t="shared" si="99"/>
        <v/>
      </c>
      <c r="LB7" s="13" t="str">
        <f t="shared" si="100"/>
        <v/>
      </c>
      <c r="LC7" s="13" t="str">
        <f t="shared" si="101"/>
        <v/>
      </c>
      <c r="LD7" s="13" t="str">
        <f t="shared" si="102"/>
        <v/>
      </c>
      <c r="LE7" s="13" t="str">
        <f t="shared" si="103"/>
        <v/>
      </c>
      <c r="LF7" s="48"/>
      <c r="LG7" s="48"/>
      <c r="LH7" s="48"/>
      <c r="LI7" s="48"/>
      <c r="LJ7" s="48"/>
      <c r="LK7" s="48"/>
      <c r="LL7" s="48"/>
      <c r="LM7" s="48"/>
      <c r="LN7" s="48"/>
      <c r="LO7" s="48"/>
      <c r="LP7" s="48"/>
      <c r="LQ7" s="48"/>
      <c r="LR7" s="48"/>
      <c r="LS7" s="48"/>
      <c r="LT7" s="48"/>
      <c r="LU7" s="16" t="str">
        <f t="shared" si="104"/>
        <v/>
      </c>
      <c r="LV7" s="16" t="str">
        <f t="shared" si="105"/>
        <v/>
      </c>
      <c r="LW7" s="16" t="str">
        <f t="shared" si="106"/>
        <v/>
      </c>
      <c r="LX7" s="16" t="str">
        <f t="shared" si="107"/>
        <v/>
      </c>
      <c r="LY7" s="16" t="str">
        <f t="shared" si="108"/>
        <v/>
      </c>
      <c r="LZ7" s="16" t="str">
        <f t="shared" si="109"/>
        <v/>
      </c>
    </row>
    <row r="8" spans="1:338" x14ac:dyDescent="0.2">
      <c r="A8" s="6">
        <f t="shared" si="0"/>
        <v>4</v>
      </c>
      <c r="B8" s="9" t="s">
        <v>7</v>
      </c>
      <c r="C8" s="5" t="s">
        <v>6</v>
      </c>
      <c r="D8" s="33">
        <v>2007</v>
      </c>
      <c r="E8" s="17">
        <f t="shared" si="1"/>
        <v>260.98</v>
      </c>
      <c r="F8" s="4" t="str">
        <f t="shared" si="2"/>
        <v>P</v>
      </c>
      <c r="G8" s="4" t="str">
        <f t="shared" si="3"/>
        <v>P</v>
      </c>
      <c r="H8" s="4" t="str">
        <f t="shared" si="4"/>
        <v>P</v>
      </c>
      <c r="I8" t="str">
        <f t="shared" si="5"/>
        <v>National Team</v>
      </c>
      <c r="J8" s="16">
        <f t="shared" si="6"/>
        <v>104.56</v>
      </c>
      <c r="K8" s="16" t="str">
        <f t="shared" si="7"/>
        <v>2018 Nationals</v>
      </c>
      <c r="L8" s="16">
        <f t="shared" si="8"/>
        <v>48.370000000000005</v>
      </c>
      <c r="M8" s="16" t="str">
        <f t="shared" si="9"/>
        <v>2017 3rd Domestic Trial</v>
      </c>
      <c r="N8" s="16">
        <f t="shared" si="10"/>
        <v>52.774999999999999</v>
      </c>
      <c r="O8" s="16" t="str">
        <f t="shared" si="11"/>
        <v>2017 3rd Domestic Trial</v>
      </c>
      <c r="P8" s="16">
        <f t="shared" si="12"/>
        <v>55.275000000000006</v>
      </c>
      <c r="Q8" s="16" t="str">
        <f t="shared" si="13"/>
        <v>2018 Nationals</v>
      </c>
      <c r="R8" s="16" t="str">
        <f t="shared" si="14"/>
        <v/>
      </c>
      <c r="S8" s="31" t="str">
        <f t="shared" si="15"/>
        <v/>
      </c>
      <c r="T8" s="16" t="str">
        <f t="shared" si="16"/>
        <v/>
      </c>
      <c r="U8" s="86">
        <v>17.100000000000001</v>
      </c>
      <c r="V8" s="86">
        <v>8.9</v>
      </c>
      <c r="W8" s="86">
        <v>5.8</v>
      </c>
      <c r="X8" s="86">
        <v>16.57</v>
      </c>
      <c r="Y8" s="86">
        <v>0</v>
      </c>
      <c r="Z8" s="86">
        <v>12.5</v>
      </c>
      <c r="AA8" s="86">
        <v>9.5</v>
      </c>
      <c r="AB8" s="86">
        <v>15</v>
      </c>
      <c r="AC8" s="86">
        <v>15.775</v>
      </c>
      <c r="AD8" s="86">
        <v>0</v>
      </c>
      <c r="AE8" s="86">
        <v>15.3</v>
      </c>
      <c r="AF8" s="86">
        <v>9.1999999999999993</v>
      </c>
      <c r="AG8" s="86">
        <v>13.5</v>
      </c>
      <c r="AH8" s="86">
        <v>15.75</v>
      </c>
      <c r="AI8" s="86">
        <v>0</v>
      </c>
      <c r="AJ8" s="13">
        <f t="shared" si="17"/>
        <v>20.8</v>
      </c>
      <c r="AK8" s="13">
        <f t="shared" si="18"/>
        <v>48.370000000000005</v>
      </c>
      <c r="AL8" s="13">
        <f t="shared" si="19"/>
        <v>52.774999999999999</v>
      </c>
      <c r="AM8" s="13">
        <f t="shared" si="20"/>
        <v>101.14500000000001</v>
      </c>
      <c r="AN8" s="13">
        <f t="shared" si="21"/>
        <v>53.75</v>
      </c>
      <c r="AO8" s="13">
        <f t="shared" si="22"/>
        <v>154.89500000000001</v>
      </c>
      <c r="AP8" s="94"/>
      <c r="AQ8" s="94"/>
      <c r="AR8" s="94"/>
      <c r="AS8" s="94"/>
      <c r="AT8" s="94"/>
      <c r="AU8" s="94"/>
      <c r="AV8" s="94"/>
      <c r="AW8" s="94"/>
      <c r="AX8" s="94"/>
      <c r="AY8" s="94"/>
      <c r="AZ8" s="94"/>
      <c r="BA8" s="94"/>
      <c r="BB8" s="94"/>
      <c r="BC8" s="94"/>
      <c r="BD8" s="94"/>
      <c r="BE8" s="16" t="str">
        <f t="shared" si="23"/>
        <v/>
      </c>
      <c r="BF8" s="16" t="str">
        <f t="shared" si="24"/>
        <v/>
      </c>
      <c r="BG8" s="16" t="str">
        <f t="shared" si="25"/>
        <v/>
      </c>
      <c r="BH8" s="16" t="str">
        <f t="shared" si="26"/>
        <v/>
      </c>
      <c r="BI8" s="16" t="str">
        <f t="shared" si="27"/>
        <v/>
      </c>
      <c r="BJ8" s="16" t="str">
        <f t="shared" si="28"/>
        <v/>
      </c>
      <c r="BK8" s="47">
        <v>17.100000000000001</v>
      </c>
      <c r="BL8" s="47">
        <v>9.4</v>
      </c>
      <c r="BM8" s="47">
        <v>5.8</v>
      </c>
      <c r="BN8" s="47">
        <v>16.594999999999999</v>
      </c>
      <c r="BO8" s="47">
        <v>0</v>
      </c>
      <c r="BP8" s="47">
        <v>17.100000000000001</v>
      </c>
      <c r="BQ8" s="47">
        <v>9.1</v>
      </c>
      <c r="BR8" s="47">
        <v>13.1</v>
      </c>
      <c r="BS8" s="47">
        <v>16.364999999999998</v>
      </c>
      <c r="BT8" s="47">
        <v>0</v>
      </c>
      <c r="BU8" s="47">
        <v>16.8</v>
      </c>
      <c r="BV8" s="47">
        <v>8.9</v>
      </c>
      <c r="BW8" s="47">
        <v>13.1</v>
      </c>
      <c r="BX8" s="47">
        <v>16.475000000000001</v>
      </c>
      <c r="BY8" s="47">
        <v>0</v>
      </c>
      <c r="BZ8" s="13">
        <f t="shared" si="29"/>
        <v>18.899999999999999</v>
      </c>
      <c r="CA8" s="13">
        <f t="shared" si="30"/>
        <v>48.894999999999996</v>
      </c>
      <c r="CB8" s="13">
        <f t="shared" si="31"/>
        <v>55.665000000000006</v>
      </c>
      <c r="CC8" s="13">
        <f t="shared" si="32"/>
        <v>104.56</v>
      </c>
      <c r="CD8" s="13">
        <f t="shared" si="33"/>
        <v>55.275000000000006</v>
      </c>
      <c r="CE8" s="13">
        <f t="shared" si="34"/>
        <v>159.83500000000001</v>
      </c>
      <c r="CF8" s="30" t="str">
        <f t="shared" si="35"/>
        <v/>
      </c>
      <c r="CG8" s="30" t="str">
        <f t="shared" si="36"/>
        <v/>
      </c>
      <c r="CH8" s="30" t="str">
        <f t="shared" si="37"/>
        <v/>
      </c>
      <c r="CI8" s="47">
        <v>16</v>
      </c>
      <c r="CJ8" s="47">
        <v>8.9499999999999993</v>
      </c>
      <c r="CK8" s="47">
        <v>5.8</v>
      </c>
      <c r="CL8" s="47">
        <v>17.21</v>
      </c>
      <c r="CM8" s="47">
        <v>0</v>
      </c>
      <c r="CN8" s="47">
        <v>4.5999999999999996</v>
      </c>
      <c r="CO8" s="47">
        <v>2.4</v>
      </c>
      <c r="CP8" s="47">
        <v>5.0999999999999996</v>
      </c>
      <c r="CQ8" s="47">
        <v>5.1449999999999996</v>
      </c>
      <c r="CR8" s="47">
        <v>0</v>
      </c>
      <c r="CS8" s="47"/>
      <c r="CT8" s="47"/>
      <c r="CU8" s="47"/>
      <c r="CV8" s="47"/>
      <c r="CW8" s="47"/>
      <c r="CX8" s="13">
        <f t="shared" si="38"/>
        <v>10.899999999999999</v>
      </c>
      <c r="CY8" s="13">
        <f t="shared" si="39"/>
        <v>47.96</v>
      </c>
      <c r="CZ8" s="13">
        <f t="shared" si="40"/>
        <v>17.244999999999997</v>
      </c>
      <c r="DA8" s="13">
        <f t="shared" si="41"/>
        <v>65.204999999999998</v>
      </c>
      <c r="DB8" s="13" t="str">
        <f t="shared" si="42"/>
        <v/>
      </c>
      <c r="DC8" s="13">
        <f t="shared" si="43"/>
        <v>65.204999999999998</v>
      </c>
      <c r="DD8" s="48"/>
      <c r="DE8" s="48"/>
      <c r="DF8" s="48"/>
      <c r="DG8" s="48"/>
      <c r="DH8" s="48"/>
      <c r="DI8" s="48"/>
      <c r="DJ8" s="48"/>
      <c r="DK8" s="48"/>
      <c r="DL8" s="48"/>
      <c r="DM8" s="48"/>
      <c r="DN8" s="48"/>
      <c r="DO8" s="48"/>
      <c r="DP8" s="48"/>
      <c r="DQ8" s="48"/>
      <c r="DR8" s="48"/>
      <c r="DS8" s="16" t="str">
        <f t="shared" si="44"/>
        <v/>
      </c>
      <c r="DT8" s="16" t="str">
        <f t="shared" si="45"/>
        <v/>
      </c>
      <c r="DU8" s="16" t="str">
        <f t="shared" si="46"/>
        <v/>
      </c>
      <c r="DV8" s="16" t="str">
        <f t="shared" si="47"/>
        <v/>
      </c>
      <c r="DW8" s="16" t="str">
        <f t="shared" si="48"/>
        <v/>
      </c>
      <c r="DX8" s="16" t="str">
        <f t="shared" si="49"/>
        <v/>
      </c>
      <c r="DY8" s="47"/>
      <c r="DZ8" s="47"/>
      <c r="EA8" s="47"/>
      <c r="EB8" s="47"/>
      <c r="EC8" s="47"/>
      <c r="ED8" s="47"/>
      <c r="EE8" s="47"/>
      <c r="EF8" s="47"/>
      <c r="EG8" s="47"/>
      <c r="EH8" s="47"/>
      <c r="EI8" s="47"/>
      <c r="EJ8" s="47"/>
      <c r="EK8" s="47"/>
      <c r="EL8" s="47"/>
      <c r="EM8" s="47"/>
      <c r="EN8" s="13" t="str">
        <f t="shared" si="50"/>
        <v/>
      </c>
      <c r="EO8" s="13" t="str">
        <f t="shared" si="51"/>
        <v/>
      </c>
      <c r="EP8" s="13" t="str">
        <f t="shared" si="52"/>
        <v/>
      </c>
      <c r="EQ8" s="13" t="str">
        <f t="shared" si="53"/>
        <v/>
      </c>
      <c r="ER8" s="13" t="str">
        <f t="shared" si="54"/>
        <v/>
      </c>
      <c r="ES8" s="13" t="str">
        <f t="shared" si="55"/>
        <v/>
      </c>
      <c r="ET8" s="48"/>
      <c r="EU8" s="48"/>
      <c r="EV8" s="48"/>
      <c r="EW8" s="48"/>
      <c r="EX8" s="48"/>
      <c r="EY8" s="48"/>
      <c r="EZ8" s="48"/>
      <c r="FA8" s="48"/>
      <c r="FB8" s="48"/>
      <c r="FC8" s="48"/>
      <c r="FD8" s="48"/>
      <c r="FE8" s="48"/>
      <c r="FF8" s="48"/>
      <c r="FG8" s="48"/>
      <c r="FH8" s="48"/>
      <c r="FI8" s="16" t="str">
        <f t="shared" si="56"/>
        <v/>
      </c>
      <c r="FJ8" s="16" t="str">
        <f t="shared" si="57"/>
        <v/>
      </c>
      <c r="FK8" s="16" t="str">
        <f t="shared" si="58"/>
        <v/>
      </c>
      <c r="FL8" s="16" t="str">
        <f t="shared" si="59"/>
        <v/>
      </c>
      <c r="FM8" s="16" t="str">
        <f t="shared" si="60"/>
        <v/>
      </c>
      <c r="FN8" s="16" t="str">
        <f t="shared" si="61"/>
        <v/>
      </c>
      <c r="FO8" s="47"/>
      <c r="FP8" s="47"/>
      <c r="FQ8" s="47"/>
      <c r="FR8" s="47"/>
      <c r="FS8" s="47"/>
      <c r="FT8" s="47"/>
      <c r="FU8" s="47"/>
      <c r="FV8" s="47"/>
      <c r="FW8" s="47"/>
      <c r="FX8" s="47"/>
      <c r="FY8" s="47"/>
      <c r="FZ8" s="47"/>
      <c r="GA8" s="47"/>
      <c r="GB8" s="47"/>
      <c r="GC8" s="47"/>
      <c r="GD8" s="13" t="str">
        <f t="shared" si="62"/>
        <v/>
      </c>
      <c r="GE8" s="13" t="str">
        <f t="shared" si="63"/>
        <v/>
      </c>
      <c r="GF8" s="13" t="str">
        <f t="shared" si="64"/>
        <v/>
      </c>
      <c r="GG8" s="13" t="str">
        <f t="shared" si="65"/>
        <v/>
      </c>
      <c r="GH8" s="13" t="str">
        <f t="shared" si="66"/>
        <v/>
      </c>
      <c r="GI8" s="13" t="str">
        <f t="shared" si="67"/>
        <v/>
      </c>
      <c r="GJ8" s="48"/>
      <c r="GK8" s="48"/>
      <c r="GL8" s="48"/>
      <c r="GM8" s="48"/>
      <c r="GN8" s="48"/>
      <c r="GO8" s="48"/>
      <c r="GP8" s="48"/>
      <c r="GQ8" s="48"/>
      <c r="GR8" s="48"/>
      <c r="GS8" s="48"/>
      <c r="GT8" s="48"/>
      <c r="GU8" s="48"/>
      <c r="GV8" s="48"/>
      <c r="GW8" s="48"/>
      <c r="GX8" s="48"/>
      <c r="GY8" s="16" t="str">
        <f t="shared" si="68"/>
        <v/>
      </c>
      <c r="GZ8" s="16" t="str">
        <f t="shared" si="69"/>
        <v/>
      </c>
      <c r="HA8" s="16" t="str">
        <f t="shared" si="70"/>
        <v/>
      </c>
      <c r="HB8" s="16" t="str">
        <f t="shared" si="71"/>
        <v/>
      </c>
      <c r="HC8" s="16" t="str">
        <f t="shared" si="72"/>
        <v/>
      </c>
      <c r="HD8" s="16" t="str">
        <f t="shared" si="73"/>
        <v/>
      </c>
      <c r="HE8" s="47"/>
      <c r="HF8" s="47"/>
      <c r="HG8" s="47"/>
      <c r="HH8" s="47"/>
      <c r="HI8" s="47"/>
      <c r="HJ8" s="47"/>
      <c r="HK8" s="47"/>
      <c r="HL8" s="47"/>
      <c r="HM8" s="47"/>
      <c r="HN8" s="47"/>
      <c r="HO8" s="47"/>
      <c r="HP8" s="47"/>
      <c r="HQ8" s="47"/>
      <c r="HR8" s="47"/>
      <c r="HS8" s="47"/>
      <c r="HT8" s="13" t="str">
        <f t="shared" si="74"/>
        <v/>
      </c>
      <c r="HU8" s="13" t="str">
        <f t="shared" si="75"/>
        <v/>
      </c>
      <c r="HV8" s="13" t="str">
        <f t="shared" si="76"/>
        <v/>
      </c>
      <c r="HW8" s="13" t="str">
        <f t="shared" si="77"/>
        <v/>
      </c>
      <c r="HX8" s="13" t="str">
        <f t="shared" si="78"/>
        <v/>
      </c>
      <c r="HY8" s="13" t="str">
        <f t="shared" si="79"/>
        <v/>
      </c>
      <c r="HZ8" s="48"/>
      <c r="IA8" s="48"/>
      <c r="IB8" s="48"/>
      <c r="IC8" s="48"/>
      <c r="ID8" s="48"/>
      <c r="IE8" s="48"/>
      <c r="IF8" s="48"/>
      <c r="IG8" s="48"/>
      <c r="IH8" s="48"/>
      <c r="II8" s="48"/>
      <c r="IJ8" s="48"/>
      <c r="IK8" s="48"/>
      <c r="IL8" s="48"/>
      <c r="IM8" s="48"/>
      <c r="IN8" s="48"/>
      <c r="IO8" s="16" t="str">
        <f t="shared" si="80"/>
        <v/>
      </c>
      <c r="IP8" s="16" t="str">
        <f t="shared" si="81"/>
        <v/>
      </c>
      <c r="IQ8" s="16" t="str">
        <f t="shared" si="82"/>
        <v/>
      </c>
      <c r="IR8" s="16" t="str">
        <f t="shared" si="83"/>
        <v/>
      </c>
      <c r="IS8" s="16" t="str">
        <f t="shared" si="84"/>
        <v/>
      </c>
      <c r="IT8" s="16" t="str">
        <f t="shared" si="85"/>
        <v/>
      </c>
      <c r="IU8" s="47"/>
      <c r="IV8" s="47"/>
      <c r="IW8" s="47"/>
      <c r="IX8" s="47"/>
      <c r="IY8" s="47"/>
      <c r="IZ8" s="47"/>
      <c r="JA8" s="47"/>
      <c r="JB8" s="47"/>
      <c r="JC8" s="47"/>
      <c r="JD8" s="47"/>
      <c r="JE8" s="47"/>
      <c r="JF8" s="47"/>
      <c r="JG8" s="47"/>
      <c r="JH8" s="47"/>
      <c r="JI8" s="47"/>
      <c r="JJ8" s="13" t="str">
        <f t="shared" si="86"/>
        <v/>
      </c>
      <c r="JK8" s="13" t="str">
        <f t="shared" si="87"/>
        <v/>
      </c>
      <c r="JL8" s="13" t="str">
        <f t="shared" si="88"/>
        <v/>
      </c>
      <c r="JM8" s="13" t="str">
        <f t="shared" si="89"/>
        <v/>
      </c>
      <c r="JN8" s="13" t="str">
        <f t="shared" si="90"/>
        <v/>
      </c>
      <c r="JO8" s="13" t="str">
        <f t="shared" si="91"/>
        <v/>
      </c>
      <c r="JP8" s="48"/>
      <c r="JQ8" s="48"/>
      <c r="JR8" s="48"/>
      <c r="JS8" s="48"/>
      <c r="JT8" s="48"/>
      <c r="JU8" s="48"/>
      <c r="JV8" s="48"/>
      <c r="JW8" s="48"/>
      <c r="JX8" s="48"/>
      <c r="JY8" s="48"/>
      <c r="JZ8" s="48"/>
      <c r="KA8" s="48"/>
      <c r="KB8" s="48"/>
      <c r="KC8" s="48"/>
      <c r="KD8" s="48"/>
      <c r="KE8" s="16" t="str">
        <f t="shared" si="92"/>
        <v/>
      </c>
      <c r="KF8" s="16" t="str">
        <f t="shared" si="93"/>
        <v/>
      </c>
      <c r="KG8" s="16" t="str">
        <f t="shared" si="94"/>
        <v/>
      </c>
      <c r="KH8" s="16" t="str">
        <f t="shared" si="95"/>
        <v/>
      </c>
      <c r="KI8" s="16" t="str">
        <f t="shared" si="96"/>
        <v/>
      </c>
      <c r="KJ8" s="16" t="str">
        <f t="shared" si="97"/>
        <v/>
      </c>
      <c r="KK8" s="47"/>
      <c r="KL8" s="47"/>
      <c r="KM8" s="47"/>
      <c r="KN8" s="47"/>
      <c r="KO8" s="47"/>
      <c r="KP8" s="47"/>
      <c r="KQ8" s="47"/>
      <c r="KR8" s="47"/>
      <c r="KS8" s="47"/>
      <c r="KT8" s="47"/>
      <c r="KU8" s="47"/>
      <c r="KV8" s="47"/>
      <c r="KW8" s="47"/>
      <c r="KX8" s="47"/>
      <c r="KY8" s="47"/>
      <c r="KZ8" s="13" t="str">
        <f t="shared" si="98"/>
        <v/>
      </c>
      <c r="LA8" s="13" t="str">
        <f t="shared" si="99"/>
        <v/>
      </c>
      <c r="LB8" s="13" t="str">
        <f t="shared" si="100"/>
        <v/>
      </c>
      <c r="LC8" s="13" t="str">
        <f t="shared" si="101"/>
        <v/>
      </c>
      <c r="LD8" s="13" t="str">
        <f t="shared" si="102"/>
        <v/>
      </c>
      <c r="LE8" s="13" t="str">
        <f t="shared" si="103"/>
        <v/>
      </c>
      <c r="LF8" s="48"/>
      <c r="LG8" s="48"/>
      <c r="LH8" s="48"/>
      <c r="LI8" s="48"/>
      <c r="LJ8" s="48"/>
      <c r="LK8" s="48"/>
      <c r="LL8" s="48"/>
      <c r="LM8" s="48"/>
      <c r="LN8" s="48"/>
      <c r="LO8" s="48"/>
      <c r="LP8" s="48"/>
      <c r="LQ8" s="48"/>
      <c r="LR8" s="48"/>
      <c r="LS8" s="48"/>
      <c r="LT8" s="48"/>
      <c r="LU8" s="16" t="str">
        <f t="shared" si="104"/>
        <v/>
      </c>
      <c r="LV8" s="16" t="str">
        <f t="shared" si="105"/>
        <v/>
      </c>
      <c r="LW8" s="16" t="str">
        <f t="shared" si="106"/>
        <v/>
      </c>
      <c r="LX8" s="16" t="str">
        <f t="shared" si="107"/>
        <v/>
      </c>
      <c r="LY8" s="16" t="str">
        <f t="shared" si="108"/>
        <v/>
      </c>
      <c r="LZ8" s="16" t="str">
        <f t="shared" si="109"/>
        <v/>
      </c>
    </row>
    <row r="9" spans="1:338" x14ac:dyDescent="0.2">
      <c r="A9" s="6" t="str">
        <f t="shared" si="0"/>
        <v/>
      </c>
      <c r="B9" s="9" t="s">
        <v>20</v>
      </c>
      <c r="C9" s="5" t="s">
        <v>8</v>
      </c>
      <c r="D9" s="33">
        <v>2015</v>
      </c>
      <c r="E9" s="17">
        <f t="shared" si="1"/>
        <v>258.74</v>
      </c>
      <c r="F9" s="4" t="str">
        <f t="shared" si="2"/>
        <v>P</v>
      </c>
      <c r="G9" s="4" t="str">
        <f t="shared" si="3"/>
        <v/>
      </c>
      <c r="H9" s="4" t="str">
        <f t="shared" si="4"/>
        <v/>
      </c>
      <c r="I9" t="str">
        <f t="shared" si="5"/>
        <v/>
      </c>
      <c r="J9" s="16">
        <f t="shared" si="6"/>
        <v>103.175</v>
      </c>
      <c r="K9" s="16" t="str">
        <f t="shared" si="7"/>
        <v>2017 3rd Domestic Trial</v>
      </c>
      <c r="L9" s="16">
        <f t="shared" si="8"/>
        <v>47.480000000000004</v>
      </c>
      <c r="M9" s="16" t="str">
        <f t="shared" si="9"/>
        <v>2018 Nationals</v>
      </c>
      <c r="N9" s="16">
        <f t="shared" si="10"/>
        <v>52.145000000000003</v>
      </c>
      <c r="O9" s="16" t="str">
        <f t="shared" si="11"/>
        <v>2018 Nationals</v>
      </c>
      <c r="P9" s="16">
        <f t="shared" si="12"/>
        <v>54.715000000000003</v>
      </c>
      <c r="Q9" s="16" t="str">
        <f t="shared" si="13"/>
        <v>2017 3rd Domestic Trial</v>
      </c>
      <c r="R9" s="16">
        <f t="shared" si="14"/>
        <v>1.2249999999999943</v>
      </c>
      <c r="S9" s="31" t="str">
        <f t="shared" si="15"/>
        <v>(Vol 2)</v>
      </c>
      <c r="T9" s="16" t="str">
        <f t="shared" si="16"/>
        <v>2017 World Cup ESP (Oct)</v>
      </c>
      <c r="U9" s="86">
        <v>16.899999999999999</v>
      </c>
      <c r="V9" s="86">
        <v>9.1999999999999993</v>
      </c>
      <c r="W9" s="86">
        <v>5.2</v>
      </c>
      <c r="X9" s="86">
        <v>17.010000000000002</v>
      </c>
      <c r="Y9" s="86">
        <v>0</v>
      </c>
      <c r="Z9" s="86">
        <v>14.4</v>
      </c>
      <c r="AA9" s="86">
        <v>9.4</v>
      </c>
      <c r="AB9" s="86">
        <v>15</v>
      </c>
      <c r="AC9" s="86">
        <v>16.065000000000001</v>
      </c>
      <c r="AD9" s="86">
        <v>0</v>
      </c>
      <c r="AE9" s="86">
        <v>13.6</v>
      </c>
      <c r="AF9" s="86">
        <v>9.3000000000000007</v>
      </c>
      <c r="AG9" s="86">
        <v>16.100000000000001</v>
      </c>
      <c r="AH9" s="86">
        <v>15.715</v>
      </c>
      <c r="AI9" s="86">
        <v>0</v>
      </c>
      <c r="AJ9" s="13">
        <f t="shared" si="17"/>
        <v>20.2</v>
      </c>
      <c r="AK9" s="13">
        <f t="shared" si="18"/>
        <v>48.31</v>
      </c>
      <c r="AL9" s="13">
        <f t="shared" si="19"/>
        <v>54.864999999999995</v>
      </c>
      <c r="AM9" s="13">
        <f t="shared" si="20"/>
        <v>103.175</v>
      </c>
      <c r="AN9" s="13">
        <f t="shared" si="21"/>
        <v>54.715000000000003</v>
      </c>
      <c r="AO9" s="13">
        <f t="shared" si="22"/>
        <v>157.88999999999999</v>
      </c>
      <c r="AP9" s="94">
        <v>16.399999999999999</v>
      </c>
      <c r="AQ9" s="94">
        <v>4.75</v>
      </c>
      <c r="AR9" s="94">
        <v>5.4</v>
      </c>
      <c r="AS9" s="94">
        <v>16.899999999999999</v>
      </c>
      <c r="AT9" s="94">
        <v>0</v>
      </c>
      <c r="AU9" s="94">
        <v>2.5</v>
      </c>
      <c r="AV9" s="94">
        <v>1.7</v>
      </c>
      <c r="AW9" s="94">
        <v>3.8</v>
      </c>
      <c r="AX9" s="94">
        <v>3.5049999999999999</v>
      </c>
      <c r="AY9" s="94">
        <v>0</v>
      </c>
      <c r="AZ9" s="94"/>
      <c r="BA9" s="94"/>
      <c r="BB9" s="94"/>
      <c r="BC9" s="94"/>
      <c r="BD9" s="94"/>
      <c r="BE9" s="16">
        <f t="shared" si="23"/>
        <v>9.1999999999999993</v>
      </c>
      <c r="BF9" s="16">
        <f t="shared" si="24"/>
        <v>43.449999999999996</v>
      </c>
      <c r="BG9" s="16">
        <f t="shared" si="25"/>
        <v>11.504999999999999</v>
      </c>
      <c r="BH9" s="16">
        <f t="shared" si="26"/>
        <v>54.954999999999998</v>
      </c>
      <c r="BI9" s="16" t="str">
        <f t="shared" si="27"/>
        <v/>
      </c>
      <c r="BJ9" s="16">
        <f t="shared" si="28"/>
        <v>54.954999999999998</v>
      </c>
      <c r="BK9" s="47">
        <v>16.5</v>
      </c>
      <c r="BL9" s="47">
        <v>9.15</v>
      </c>
      <c r="BM9" s="47">
        <v>5.8</v>
      </c>
      <c r="BN9" s="47">
        <v>16.03</v>
      </c>
      <c r="BO9" s="47">
        <v>0</v>
      </c>
      <c r="BP9" s="47">
        <v>13.9</v>
      </c>
      <c r="BQ9" s="47">
        <v>8.8000000000000007</v>
      </c>
      <c r="BR9" s="47">
        <v>14.4</v>
      </c>
      <c r="BS9" s="47">
        <v>15.045</v>
      </c>
      <c r="BT9" s="47">
        <v>0</v>
      </c>
      <c r="BU9" s="47">
        <v>14.4</v>
      </c>
      <c r="BV9" s="47">
        <v>9</v>
      </c>
      <c r="BW9" s="47">
        <v>15.4</v>
      </c>
      <c r="BX9" s="47">
        <v>14.96</v>
      </c>
      <c r="BY9" s="47">
        <v>0</v>
      </c>
      <c r="BZ9" s="13">
        <f t="shared" si="29"/>
        <v>20.2</v>
      </c>
      <c r="CA9" s="13">
        <f t="shared" si="30"/>
        <v>47.480000000000004</v>
      </c>
      <c r="CB9" s="13">
        <f t="shared" si="31"/>
        <v>52.145000000000003</v>
      </c>
      <c r="CC9" s="13">
        <f t="shared" si="32"/>
        <v>99.625</v>
      </c>
      <c r="CD9" s="13">
        <f t="shared" si="33"/>
        <v>53.76</v>
      </c>
      <c r="CE9" s="13">
        <f t="shared" si="34"/>
        <v>153.38499999999999</v>
      </c>
      <c r="CF9" s="30" t="str">
        <f t="shared" si="35"/>
        <v/>
      </c>
      <c r="CG9" s="30">
        <f t="shared" si="36"/>
        <v>1.2249999999999943</v>
      </c>
      <c r="CH9" s="30" t="str">
        <f t="shared" si="37"/>
        <v/>
      </c>
      <c r="CI9" s="47">
        <v>14.6</v>
      </c>
      <c r="CJ9" s="47">
        <v>9.1</v>
      </c>
      <c r="CK9" s="47">
        <v>5.6</v>
      </c>
      <c r="CL9" s="47">
        <v>16.664999999999999</v>
      </c>
      <c r="CM9" s="47">
        <v>0</v>
      </c>
      <c r="CN9" s="47">
        <v>13.5</v>
      </c>
      <c r="CO9" s="47">
        <v>9.0500000000000007</v>
      </c>
      <c r="CP9" s="47">
        <v>15.2</v>
      </c>
      <c r="CQ9" s="47">
        <v>15.62</v>
      </c>
      <c r="CR9" s="47">
        <v>0</v>
      </c>
      <c r="CS9" s="47"/>
      <c r="CT9" s="47"/>
      <c r="CU9" s="47"/>
      <c r="CV9" s="47"/>
      <c r="CW9" s="47"/>
      <c r="CX9" s="13">
        <f t="shared" si="38"/>
        <v>20.799999999999997</v>
      </c>
      <c r="CY9" s="13">
        <f t="shared" si="39"/>
        <v>45.964999999999996</v>
      </c>
      <c r="CZ9" s="13">
        <f t="shared" si="40"/>
        <v>53.37</v>
      </c>
      <c r="DA9" s="13">
        <f t="shared" si="41"/>
        <v>99.334999999999994</v>
      </c>
      <c r="DB9" s="13" t="str">
        <f t="shared" si="42"/>
        <v/>
      </c>
      <c r="DC9" s="13">
        <f t="shared" si="43"/>
        <v>99.334999999999994</v>
      </c>
      <c r="DD9" s="48"/>
      <c r="DE9" s="48"/>
      <c r="DF9" s="48"/>
      <c r="DG9" s="48"/>
      <c r="DH9" s="48"/>
      <c r="DI9" s="48"/>
      <c r="DJ9" s="48"/>
      <c r="DK9" s="48"/>
      <c r="DL9" s="48"/>
      <c r="DM9" s="48"/>
      <c r="DN9" s="48"/>
      <c r="DO9" s="48"/>
      <c r="DP9" s="48"/>
      <c r="DQ9" s="48"/>
      <c r="DR9" s="48"/>
      <c r="DS9" s="16" t="str">
        <f t="shared" si="44"/>
        <v/>
      </c>
      <c r="DT9" s="16" t="str">
        <f t="shared" si="45"/>
        <v/>
      </c>
      <c r="DU9" s="16" t="str">
        <f t="shared" si="46"/>
        <v/>
      </c>
      <c r="DV9" s="16" t="str">
        <f t="shared" si="47"/>
        <v/>
      </c>
      <c r="DW9" s="16" t="str">
        <f t="shared" si="48"/>
        <v/>
      </c>
      <c r="DX9" s="16" t="str">
        <f t="shared" si="49"/>
        <v/>
      </c>
      <c r="DY9" s="47">
        <v>16.399999999999999</v>
      </c>
      <c r="DZ9" s="47">
        <v>4.8</v>
      </c>
      <c r="EA9" s="47">
        <v>9.4499999999999993</v>
      </c>
      <c r="EB9" s="47">
        <v>16.02</v>
      </c>
      <c r="EC9" s="47">
        <v>0</v>
      </c>
      <c r="ED9" s="47">
        <v>16.100000000000001</v>
      </c>
      <c r="EE9" s="47">
        <v>10.3</v>
      </c>
      <c r="EF9" s="47">
        <v>9.6999999999999993</v>
      </c>
      <c r="EG9" s="47">
        <v>15.38</v>
      </c>
      <c r="EH9" s="47">
        <v>0</v>
      </c>
      <c r="EI9" s="47">
        <v>16.100000000000001</v>
      </c>
      <c r="EJ9" s="47">
        <v>9.4499999999999993</v>
      </c>
      <c r="EK9" s="47">
        <v>10.3</v>
      </c>
      <c r="EL9" s="47">
        <v>15.47</v>
      </c>
      <c r="EM9" s="47">
        <v>0</v>
      </c>
      <c r="EN9" s="13">
        <f t="shared" si="50"/>
        <v>19.149999999999999</v>
      </c>
      <c r="EO9" s="13">
        <f t="shared" si="51"/>
        <v>46.67</v>
      </c>
      <c r="EP9" s="13">
        <f t="shared" si="52"/>
        <v>51.480000000000004</v>
      </c>
      <c r="EQ9" s="13">
        <f t="shared" si="53"/>
        <v>98.15</v>
      </c>
      <c r="ER9" s="13">
        <f t="shared" si="54"/>
        <v>51.32</v>
      </c>
      <c r="ES9" s="13">
        <f t="shared" si="55"/>
        <v>149.47</v>
      </c>
      <c r="ET9" s="48"/>
      <c r="EU9" s="48"/>
      <c r="EV9" s="48"/>
      <c r="EW9" s="48"/>
      <c r="EX9" s="48"/>
      <c r="EY9" s="48"/>
      <c r="EZ9" s="48"/>
      <c r="FA9" s="48"/>
      <c r="FB9" s="48"/>
      <c r="FC9" s="48"/>
      <c r="FD9" s="48">
        <v>16.2</v>
      </c>
      <c r="FE9" s="48">
        <v>9.5500000000000007</v>
      </c>
      <c r="FF9" s="48">
        <v>10.3</v>
      </c>
      <c r="FG9" s="48">
        <v>15.25</v>
      </c>
      <c r="FH9" s="48">
        <v>0</v>
      </c>
      <c r="FI9" s="16" t="str">
        <f t="shared" si="56"/>
        <v/>
      </c>
      <c r="FJ9" s="16" t="str">
        <f t="shared" si="57"/>
        <v/>
      </c>
      <c r="FK9" s="16" t="str">
        <f t="shared" si="58"/>
        <v/>
      </c>
      <c r="FL9" s="16" t="str">
        <f t="shared" si="59"/>
        <v/>
      </c>
      <c r="FM9" s="16">
        <f t="shared" si="60"/>
        <v>51.3</v>
      </c>
      <c r="FN9" s="16">
        <f t="shared" si="61"/>
        <v>51.3</v>
      </c>
      <c r="FO9" s="47"/>
      <c r="FP9" s="47"/>
      <c r="FQ9" s="47"/>
      <c r="FR9" s="47"/>
      <c r="FS9" s="47"/>
      <c r="FT9" s="47"/>
      <c r="FU9" s="47"/>
      <c r="FV9" s="47"/>
      <c r="FW9" s="47"/>
      <c r="FX9" s="47"/>
      <c r="FY9" s="47"/>
      <c r="FZ9" s="47"/>
      <c r="GA9" s="47"/>
      <c r="GB9" s="47"/>
      <c r="GC9" s="47"/>
      <c r="GD9" s="13" t="str">
        <f t="shared" si="62"/>
        <v/>
      </c>
      <c r="GE9" s="13" t="str">
        <f t="shared" si="63"/>
        <v/>
      </c>
      <c r="GF9" s="13" t="str">
        <f t="shared" si="64"/>
        <v/>
      </c>
      <c r="GG9" s="13" t="str">
        <f t="shared" si="65"/>
        <v/>
      </c>
      <c r="GH9" s="13" t="str">
        <f t="shared" si="66"/>
        <v/>
      </c>
      <c r="GI9" s="13" t="str">
        <f t="shared" si="67"/>
        <v/>
      </c>
      <c r="GJ9" s="48"/>
      <c r="GK9" s="48"/>
      <c r="GL9" s="48"/>
      <c r="GM9" s="48"/>
      <c r="GN9" s="48"/>
      <c r="GO9" s="48"/>
      <c r="GP9" s="48"/>
      <c r="GQ9" s="48"/>
      <c r="GR9" s="48"/>
      <c r="GS9" s="48"/>
      <c r="GT9" s="48"/>
      <c r="GU9" s="48"/>
      <c r="GV9" s="48"/>
      <c r="GW9" s="48"/>
      <c r="GX9" s="48"/>
      <c r="GY9" s="16" t="str">
        <f t="shared" si="68"/>
        <v/>
      </c>
      <c r="GZ9" s="16" t="str">
        <f t="shared" si="69"/>
        <v/>
      </c>
      <c r="HA9" s="16" t="str">
        <f t="shared" si="70"/>
        <v/>
      </c>
      <c r="HB9" s="16" t="str">
        <f t="shared" si="71"/>
        <v/>
      </c>
      <c r="HC9" s="16" t="str">
        <f t="shared" si="72"/>
        <v/>
      </c>
      <c r="HD9" s="16" t="str">
        <f t="shared" si="73"/>
        <v/>
      </c>
      <c r="HE9" s="47"/>
      <c r="HF9" s="47"/>
      <c r="HG9" s="47"/>
      <c r="HH9" s="47"/>
      <c r="HI9" s="47"/>
      <c r="HJ9" s="47"/>
      <c r="HK9" s="47"/>
      <c r="HL9" s="47"/>
      <c r="HM9" s="47"/>
      <c r="HN9" s="47"/>
      <c r="HO9" s="47"/>
      <c r="HP9" s="47"/>
      <c r="HQ9" s="47"/>
      <c r="HR9" s="47"/>
      <c r="HS9" s="47"/>
      <c r="HT9" s="13" t="str">
        <f t="shared" si="74"/>
        <v/>
      </c>
      <c r="HU9" s="13" t="str">
        <f t="shared" si="75"/>
        <v/>
      </c>
      <c r="HV9" s="13" t="str">
        <f t="shared" si="76"/>
        <v/>
      </c>
      <c r="HW9" s="13" t="str">
        <f t="shared" si="77"/>
        <v/>
      </c>
      <c r="HX9" s="13" t="str">
        <f t="shared" si="78"/>
        <v/>
      </c>
      <c r="HY9" s="13" t="str">
        <f t="shared" si="79"/>
        <v/>
      </c>
      <c r="HZ9" s="48"/>
      <c r="IA9" s="48"/>
      <c r="IB9" s="48"/>
      <c r="IC9" s="48"/>
      <c r="ID9" s="48"/>
      <c r="IE9" s="48"/>
      <c r="IF9" s="48"/>
      <c r="IG9" s="48"/>
      <c r="IH9" s="48"/>
      <c r="II9" s="48"/>
      <c r="IJ9" s="48"/>
      <c r="IK9" s="48"/>
      <c r="IL9" s="48"/>
      <c r="IM9" s="48"/>
      <c r="IN9" s="48"/>
      <c r="IO9" s="16" t="str">
        <f t="shared" si="80"/>
        <v/>
      </c>
      <c r="IP9" s="16" t="str">
        <f t="shared" si="81"/>
        <v/>
      </c>
      <c r="IQ9" s="16" t="str">
        <f t="shared" si="82"/>
        <v/>
      </c>
      <c r="IR9" s="16" t="str">
        <f t="shared" si="83"/>
        <v/>
      </c>
      <c r="IS9" s="16" t="str">
        <f t="shared" si="84"/>
        <v/>
      </c>
      <c r="IT9" s="16" t="str">
        <f t="shared" si="85"/>
        <v/>
      </c>
      <c r="IU9" s="47"/>
      <c r="IV9" s="47"/>
      <c r="IW9" s="47"/>
      <c r="IX9" s="47"/>
      <c r="IY9" s="47"/>
      <c r="IZ9" s="47"/>
      <c r="JA9" s="47"/>
      <c r="JB9" s="47"/>
      <c r="JC9" s="47"/>
      <c r="JD9" s="47"/>
      <c r="JE9" s="47"/>
      <c r="JF9" s="47"/>
      <c r="JG9" s="47"/>
      <c r="JH9" s="47"/>
      <c r="JI9" s="47"/>
      <c r="JJ9" s="13" t="str">
        <f t="shared" si="86"/>
        <v/>
      </c>
      <c r="JK9" s="13" t="str">
        <f t="shared" si="87"/>
        <v/>
      </c>
      <c r="JL9" s="13" t="str">
        <f t="shared" si="88"/>
        <v/>
      </c>
      <c r="JM9" s="13" t="str">
        <f t="shared" si="89"/>
        <v/>
      </c>
      <c r="JN9" s="13" t="str">
        <f t="shared" si="90"/>
        <v/>
      </c>
      <c r="JO9" s="13" t="str">
        <f t="shared" si="91"/>
        <v/>
      </c>
      <c r="JP9" s="48"/>
      <c r="JQ9" s="48"/>
      <c r="JR9" s="48"/>
      <c r="JS9" s="48"/>
      <c r="JT9" s="48"/>
      <c r="JU9" s="48"/>
      <c r="JV9" s="48"/>
      <c r="JW9" s="48"/>
      <c r="JX9" s="48"/>
      <c r="JY9" s="48"/>
      <c r="JZ9" s="48"/>
      <c r="KA9" s="48"/>
      <c r="KB9" s="48"/>
      <c r="KC9" s="48"/>
      <c r="KD9" s="48"/>
      <c r="KE9" s="16" t="str">
        <f t="shared" si="92"/>
        <v/>
      </c>
      <c r="KF9" s="16" t="str">
        <f t="shared" si="93"/>
        <v/>
      </c>
      <c r="KG9" s="16" t="str">
        <f t="shared" si="94"/>
        <v/>
      </c>
      <c r="KH9" s="16" t="str">
        <f t="shared" si="95"/>
        <v/>
      </c>
      <c r="KI9" s="16" t="str">
        <f t="shared" si="96"/>
        <v/>
      </c>
      <c r="KJ9" s="16" t="str">
        <f t="shared" si="97"/>
        <v/>
      </c>
      <c r="KK9" s="47"/>
      <c r="KL9" s="47"/>
      <c r="KM9" s="47"/>
      <c r="KN9" s="47"/>
      <c r="KO9" s="47"/>
      <c r="KP9" s="47"/>
      <c r="KQ9" s="47"/>
      <c r="KR9" s="47"/>
      <c r="KS9" s="47"/>
      <c r="KT9" s="47"/>
      <c r="KU9" s="47"/>
      <c r="KV9" s="47"/>
      <c r="KW9" s="47"/>
      <c r="KX9" s="47"/>
      <c r="KY9" s="47"/>
      <c r="KZ9" s="13" t="str">
        <f t="shared" si="98"/>
        <v/>
      </c>
      <c r="LA9" s="13" t="str">
        <f t="shared" si="99"/>
        <v/>
      </c>
      <c r="LB9" s="13" t="str">
        <f t="shared" si="100"/>
        <v/>
      </c>
      <c r="LC9" s="13" t="str">
        <f t="shared" si="101"/>
        <v/>
      </c>
      <c r="LD9" s="13" t="str">
        <f t="shared" si="102"/>
        <v/>
      </c>
      <c r="LE9" s="13" t="str">
        <f t="shared" si="103"/>
        <v/>
      </c>
      <c r="LF9" s="48"/>
      <c r="LG9" s="48"/>
      <c r="LH9" s="48"/>
      <c r="LI9" s="48"/>
      <c r="LJ9" s="48"/>
      <c r="LK9" s="48"/>
      <c r="LL9" s="48"/>
      <c r="LM9" s="48"/>
      <c r="LN9" s="48"/>
      <c r="LO9" s="48"/>
      <c r="LP9" s="48"/>
      <c r="LQ9" s="48"/>
      <c r="LR9" s="48"/>
      <c r="LS9" s="48"/>
      <c r="LT9" s="48"/>
      <c r="LU9" s="16" t="str">
        <f t="shared" si="104"/>
        <v/>
      </c>
      <c r="LV9" s="16" t="str">
        <f t="shared" si="105"/>
        <v/>
      </c>
      <c r="LW9" s="16" t="str">
        <f t="shared" si="106"/>
        <v/>
      </c>
      <c r="LX9" s="16" t="str">
        <f t="shared" si="107"/>
        <v/>
      </c>
      <c r="LY9" s="16" t="str">
        <f t="shared" si="108"/>
        <v/>
      </c>
      <c r="LZ9" s="16" t="str">
        <f t="shared" si="109"/>
        <v/>
      </c>
    </row>
    <row r="10" spans="1:338" x14ac:dyDescent="0.2">
      <c r="A10" s="6" t="str">
        <f t="shared" si="0"/>
        <v/>
      </c>
      <c r="B10" s="7" t="s">
        <v>16</v>
      </c>
      <c r="C10" s="8" t="s">
        <v>4</v>
      </c>
      <c r="D10" s="6">
        <v>2006</v>
      </c>
      <c r="E10" s="17">
        <f t="shared" si="1"/>
        <v>255.92000000000002</v>
      </c>
      <c r="F10" s="4" t="str">
        <f t="shared" si="2"/>
        <v>P</v>
      </c>
      <c r="G10" s="4" t="str">
        <f t="shared" si="3"/>
        <v>P</v>
      </c>
      <c r="H10" s="4" t="str">
        <f t="shared" si="4"/>
        <v/>
      </c>
      <c r="I10" t="str">
        <f t="shared" si="5"/>
        <v/>
      </c>
      <c r="J10" s="16">
        <f t="shared" si="6"/>
        <v>101.94499999999999</v>
      </c>
      <c r="K10" s="16" t="str">
        <f t="shared" si="7"/>
        <v>2018 Nationals</v>
      </c>
      <c r="L10" s="16">
        <f t="shared" si="8"/>
        <v>48.484999999999999</v>
      </c>
      <c r="M10" s="16" t="str">
        <f t="shared" si="9"/>
        <v>2017 3rd Domestic Trial</v>
      </c>
      <c r="N10" s="16">
        <f t="shared" si="10"/>
        <v>52.849999999999994</v>
      </c>
      <c r="O10" s="16" t="str">
        <f t="shared" si="11"/>
        <v>2018 Canada Cup</v>
      </c>
      <c r="P10" s="16">
        <f t="shared" si="12"/>
        <v>52.64</v>
      </c>
      <c r="Q10" s="16" t="str">
        <f t="shared" si="13"/>
        <v>2017 3rd Domestic Trial</v>
      </c>
      <c r="R10" s="16" t="str">
        <f t="shared" si="14"/>
        <v/>
      </c>
      <c r="S10" s="31" t="str">
        <f t="shared" si="15"/>
        <v/>
      </c>
      <c r="T10" s="16" t="str">
        <f t="shared" si="16"/>
        <v/>
      </c>
      <c r="U10" s="86">
        <v>17.399999999999999</v>
      </c>
      <c r="V10" s="86">
        <v>9.5</v>
      </c>
      <c r="W10" s="86">
        <v>5.4</v>
      </c>
      <c r="X10" s="86">
        <v>16.184999999999999</v>
      </c>
      <c r="Y10" s="86">
        <v>0</v>
      </c>
      <c r="Z10" s="86">
        <v>12</v>
      </c>
      <c r="AA10" s="86">
        <v>8.8000000000000007</v>
      </c>
      <c r="AB10" s="86">
        <v>15</v>
      </c>
      <c r="AC10" s="86">
        <v>14.47</v>
      </c>
      <c r="AD10" s="86">
        <v>0.2</v>
      </c>
      <c r="AE10" s="86">
        <v>13.5</v>
      </c>
      <c r="AF10" s="86">
        <v>9.4</v>
      </c>
      <c r="AG10" s="86">
        <v>15</v>
      </c>
      <c r="AH10" s="86">
        <v>14.74</v>
      </c>
      <c r="AI10" s="86">
        <v>0</v>
      </c>
      <c r="AJ10" s="13">
        <f t="shared" si="17"/>
        <v>20.399999999999999</v>
      </c>
      <c r="AK10" s="13">
        <f t="shared" si="18"/>
        <v>48.484999999999999</v>
      </c>
      <c r="AL10" s="13">
        <f t="shared" si="19"/>
        <v>50.069999999999993</v>
      </c>
      <c r="AM10" s="13">
        <f t="shared" si="20"/>
        <v>98.554999999999993</v>
      </c>
      <c r="AN10" s="13">
        <f t="shared" si="21"/>
        <v>52.64</v>
      </c>
      <c r="AO10" s="13">
        <f t="shared" si="22"/>
        <v>151.19499999999999</v>
      </c>
      <c r="AP10" s="94">
        <v>16.5</v>
      </c>
      <c r="AQ10" s="94">
        <v>8.5</v>
      </c>
      <c r="AR10" s="94">
        <v>5.6</v>
      </c>
      <c r="AS10" s="94">
        <v>16.215</v>
      </c>
      <c r="AT10" s="94">
        <v>0</v>
      </c>
      <c r="AU10" s="94">
        <v>14.1</v>
      </c>
      <c r="AV10" s="94">
        <v>8.6</v>
      </c>
      <c r="AW10" s="94">
        <v>15.2</v>
      </c>
      <c r="AX10" s="94">
        <v>14.95</v>
      </c>
      <c r="AY10" s="94">
        <v>0</v>
      </c>
      <c r="AZ10" s="94">
        <v>4.5999999999999996</v>
      </c>
      <c r="BA10" s="94">
        <v>2.7</v>
      </c>
      <c r="BB10" s="94">
        <v>5.0999999999999996</v>
      </c>
      <c r="BC10" s="94">
        <v>4.8</v>
      </c>
      <c r="BD10" s="94">
        <v>0</v>
      </c>
      <c r="BE10" s="16">
        <f t="shared" si="23"/>
        <v>20.799999999999997</v>
      </c>
      <c r="BF10" s="16">
        <f t="shared" si="24"/>
        <v>46.814999999999998</v>
      </c>
      <c r="BG10" s="16">
        <f t="shared" si="25"/>
        <v>52.849999999999994</v>
      </c>
      <c r="BH10" s="16">
        <f t="shared" si="26"/>
        <v>99.664999999999992</v>
      </c>
      <c r="BI10" s="16">
        <f t="shared" si="27"/>
        <v>17.2</v>
      </c>
      <c r="BJ10" s="16">
        <f t="shared" si="28"/>
        <v>116.86499999999999</v>
      </c>
      <c r="BK10" s="47">
        <v>17</v>
      </c>
      <c r="BL10" s="47">
        <v>9.3000000000000007</v>
      </c>
      <c r="BM10" s="47">
        <v>5.2</v>
      </c>
      <c r="BN10" s="47">
        <v>16.734999999999999</v>
      </c>
      <c r="BO10" s="47">
        <v>0</v>
      </c>
      <c r="BP10" s="47">
        <v>14.6</v>
      </c>
      <c r="BQ10" s="47">
        <v>8.5500000000000007</v>
      </c>
      <c r="BR10" s="47">
        <v>15.2</v>
      </c>
      <c r="BS10" s="47">
        <v>15.36</v>
      </c>
      <c r="BT10" s="47">
        <v>0</v>
      </c>
      <c r="BU10" s="47"/>
      <c r="BV10" s="47"/>
      <c r="BW10" s="47"/>
      <c r="BX10" s="47"/>
      <c r="BY10" s="47"/>
      <c r="BZ10" s="13">
        <f t="shared" si="29"/>
        <v>20.399999999999999</v>
      </c>
      <c r="CA10" s="13">
        <f t="shared" si="30"/>
        <v>48.234999999999999</v>
      </c>
      <c r="CB10" s="13">
        <f t="shared" si="31"/>
        <v>53.709999999999994</v>
      </c>
      <c r="CC10" s="13">
        <f t="shared" si="32"/>
        <v>101.94499999999999</v>
      </c>
      <c r="CD10" s="13" t="str">
        <f t="shared" si="33"/>
        <v/>
      </c>
      <c r="CE10" s="13">
        <f t="shared" si="34"/>
        <v>101.94499999999999</v>
      </c>
      <c r="CF10" s="30" t="str">
        <f t="shared" si="35"/>
        <v/>
      </c>
      <c r="CG10" s="30" t="str">
        <f t="shared" si="36"/>
        <v/>
      </c>
      <c r="CH10" s="30" t="str">
        <f t="shared" si="37"/>
        <v/>
      </c>
      <c r="CI10" s="47"/>
      <c r="CJ10" s="47"/>
      <c r="CK10" s="47"/>
      <c r="CL10" s="47"/>
      <c r="CM10" s="47"/>
      <c r="CN10" s="47"/>
      <c r="CO10" s="47"/>
      <c r="CP10" s="47"/>
      <c r="CQ10" s="47"/>
      <c r="CR10" s="47"/>
      <c r="CS10" s="47"/>
      <c r="CT10" s="47"/>
      <c r="CU10" s="47"/>
      <c r="CV10" s="47"/>
      <c r="CW10" s="47"/>
      <c r="CX10" s="13" t="str">
        <f t="shared" si="38"/>
        <v/>
      </c>
      <c r="CY10" s="13" t="str">
        <f t="shared" si="39"/>
        <v/>
      </c>
      <c r="CZ10" s="13" t="str">
        <f t="shared" si="40"/>
        <v/>
      </c>
      <c r="DA10" s="13" t="str">
        <f t="shared" si="41"/>
        <v/>
      </c>
      <c r="DB10" s="13" t="str">
        <f t="shared" si="42"/>
        <v/>
      </c>
      <c r="DC10" s="13" t="str">
        <f t="shared" si="43"/>
        <v/>
      </c>
      <c r="DD10" s="48"/>
      <c r="DE10" s="48"/>
      <c r="DF10" s="48"/>
      <c r="DG10" s="48"/>
      <c r="DH10" s="48"/>
      <c r="DI10" s="48"/>
      <c r="DJ10" s="48"/>
      <c r="DK10" s="48"/>
      <c r="DL10" s="48"/>
      <c r="DM10" s="48"/>
      <c r="DN10" s="48"/>
      <c r="DO10" s="48"/>
      <c r="DP10" s="48"/>
      <c r="DQ10" s="48"/>
      <c r="DR10" s="48"/>
      <c r="DS10" s="16" t="str">
        <f t="shared" si="44"/>
        <v/>
      </c>
      <c r="DT10" s="16" t="str">
        <f t="shared" si="45"/>
        <v/>
      </c>
      <c r="DU10" s="16" t="str">
        <f t="shared" si="46"/>
        <v/>
      </c>
      <c r="DV10" s="16" t="str">
        <f t="shared" si="47"/>
        <v/>
      </c>
      <c r="DW10" s="16" t="str">
        <f t="shared" si="48"/>
        <v/>
      </c>
      <c r="DX10" s="16" t="str">
        <f t="shared" si="49"/>
        <v/>
      </c>
      <c r="DY10" s="47"/>
      <c r="DZ10" s="47"/>
      <c r="EA10" s="47"/>
      <c r="EB10" s="47"/>
      <c r="EC10" s="47"/>
      <c r="ED10" s="47"/>
      <c r="EE10" s="47"/>
      <c r="EF10" s="47"/>
      <c r="EG10" s="47"/>
      <c r="EH10" s="47"/>
      <c r="EI10" s="47"/>
      <c r="EJ10" s="47"/>
      <c r="EK10" s="47"/>
      <c r="EL10" s="47"/>
      <c r="EM10" s="47"/>
      <c r="EN10" s="13" t="str">
        <f t="shared" si="50"/>
        <v/>
      </c>
      <c r="EO10" s="13" t="str">
        <f t="shared" si="51"/>
        <v/>
      </c>
      <c r="EP10" s="13" t="str">
        <f t="shared" si="52"/>
        <v/>
      </c>
      <c r="EQ10" s="13" t="str">
        <f t="shared" si="53"/>
        <v/>
      </c>
      <c r="ER10" s="13" t="str">
        <f t="shared" si="54"/>
        <v/>
      </c>
      <c r="ES10" s="13" t="str">
        <f t="shared" si="55"/>
        <v/>
      </c>
      <c r="ET10" s="48"/>
      <c r="EU10" s="48"/>
      <c r="EV10" s="48"/>
      <c r="EW10" s="48"/>
      <c r="EX10" s="48"/>
      <c r="EY10" s="48"/>
      <c r="EZ10" s="48"/>
      <c r="FA10" s="48"/>
      <c r="FB10" s="48"/>
      <c r="FC10" s="48"/>
      <c r="FD10" s="48"/>
      <c r="FE10" s="48"/>
      <c r="FF10" s="48"/>
      <c r="FG10" s="48"/>
      <c r="FH10" s="48"/>
      <c r="FI10" s="16" t="str">
        <f t="shared" si="56"/>
        <v/>
      </c>
      <c r="FJ10" s="16" t="str">
        <f t="shared" si="57"/>
        <v/>
      </c>
      <c r="FK10" s="16" t="str">
        <f t="shared" si="58"/>
        <v/>
      </c>
      <c r="FL10" s="16" t="str">
        <f t="shared" si="59"/>
        <v/>
      </c>
      <c r="FM10" s="16" t="str">
        <f t="shared" si="60"/>
        <v/>
      </c>
      <c r="FN10" s="16" t="str">
        <f t="shared" si="61"/>
        <v/>
      </c>
      <c r="FO10" s="47"/>
      <c r="FP10" s="47"/>
      <c r="FQ10" s="47"/>
      <c r="FR10" s="47"/>
      <c r="FS10" s="47"/>
      <c r="FT10" s="47"/>
      <c r="FU10" s="47"/>
      <c r="FV10" s="47"/>
      <c r="FW10" s="47"/>
      <c r="FX10" s="47"/>
      <c r="FY10" s="47"/>
      <c r="FZ10" s="47"/>
      <c r="GA10" s="47"/>
      <c r="GB10" s="47"/>
      <c r="GC10" s="47"/>
      <c r="GD10" s="13" t="str">
        <f t="shared" si="62"/>
        <v/>
      </c>
      <c r="GE10" s="13" t="str">
        <f t="shared" si="63"/>
        <v/>
      </c>
      <c r="GF10" s="13" t="str">
        <f t="shared" si="64"/>
        <v/>
      </c>
      <c r="GG10" s="13" t="str">
        <f t="shared" si="65"/>
        <v/>
      </c>
      <c r="GH10" s="13" t="str">
        <f t="shared" si="66"/>
        <v/>
      </c>
      <c r="GI10" s="13" t="str">
        <f t="shared" si="67"/>
        <v/>
      </c>
      <c r="GJ10" s="48"/>
      <c r="GK10" s="48"/>
      <c r="GL10" s="48"/>
      <c r="GM10" s="48"/>
      <c r="GN10" s="48"/>
      <c r="GO10" s="48"/>
      <c r="GP10" s="48"/>
      <c r="GQ10" s="48"/>
      <c r="GR10" s="48"/>
      <c r="GS10" s="48"/>
      <c r="GT10" s="48"/>
      <c r="GU10" s="48"/>
      <c r="GV10" s="48"/>
      <c r="GW10" s="48"/>
      <c r="GX10" s="48"/>
      <c r="GY10" s="16" t="str">
        <f t="shared" si="68"/>
        <v/>
      </c>
      <c r="GZ10" s="16" t="str">
        <f t="shared" si="69"/>
        <v/>
      </c>
      <c r="HA10" s="16" t="str">
        <f t="shared" si="70"/>
        <v/>
      </c>
      <c r="HB10" s="16" t="str">
        <f t="shared" si="71"/>
        <v/>
      </c>
      <c r="HC10" s="16" t="str">
        <f t="shared" si="72"/>
        <v/>
      </c>
      <c r="HD10" s="16" t="str">
        <f t="shared" si="73"/>
        <v/>
      </c>
      <c r="HE10" s="47"/>
      <c r="HF10" s="47"/>
      <c r="HG10" s="47"/>
      <c r="HH10" s="47"/>
      <c r="HI10" s="47"/>
      <c r="HJ10" s="47"/>
      <c r="HK10" s="47"/>
      <c r="HL10" s="47"/>
      <c r="HM10" s="47"/>
      <c r="HN10" s="47"/>
      <c r="HO10" s="47"/>
      <c r="HP10" s="47"/>
      <c r="HQ10" s="47"/>
      <c r="HR10" s="47"/>
      <c r="HS10" s="47"/>
      <c r="HT10" s="13" t="str">
        <f t="shared" si="74"/>
        <v/>
      </c>
      <c r="HU10" s="13" t="str">
        <f t="shared" si="75"/>
        <v/>
      </c>
      <c r="HV10" s="13" t="str">
        <f t="shared" si="76"/>
        <v/>
      </c>
      <c r="HW10" s="13" t="str">
        <f t="shared" si="77"/>
        <v/>
      </c>
      <c r="HX10" s="13" t="str">
        <f t="shared" si="78"/>
        <v/>
      </c>
      <c r="HY10" s="13" t="str">
        <f t="shared" si="79"/>
        <v/>
      </c>
      <c r="HZ10" s="48"/>
      <c r="IA10" s="48"/>
      <c r="IB10" s="48"/>
      <c r="IC10" s="48"/>
      <c r="ID10" s="48"/>
      <c r="IE10" s="48"/>
      <c r="IF10" s="48"/>
      <c r="IG10" s="48"/>
      <c r="IH10" s="48"/>
      <c r="II10" s="48"/>
      <c r="IJ10" s="48"/>
      <c r="IK10" s="48"/>
      <c r="IL10" s="48"/>
      <c r="IM10" s="48"/>
      <c r="IN10" s="48"/>
      <c r="IO10" s="16" t="str">
        <f t="shared" si="80"/>
        <v/>
      </c>
      <c r="IP10" s="16" t="str">
        <f t="shared" si="81"/>
        <v/>
      </c>
      <c r="IQ10" s="16" t="str">
        <f t="shared" si="82"/>
        <v/>
      </c>
      <c r="IR10" s="16" t="str">
        <f t="shared" si="83"/>
        <v/>
      </c>
      <c r="IS10" s="16" t="str">
        <f t="shared" si="84"/>
        <v/>
      </c>
      <c r="IT10" s="16" t="str">
        <f t="shared" si="85"/>
        <v/>
      </c>
      <c r="IU10" s="47"/>
      <c r="IV10" s="47"/>
      <c r="IW10" s="47"/>
      <c r="IX10" s="47"/>
      <c r="IY10" s="47"/>
      <c r="IZ10" s="47"/>
      <c r="JA10" s="47"/>
      <c r="JB10" s="47"/>
      <c r="JC10" s="47"/>
      <c r="JD10" s="47"/>
      <c r="JE10" s="47"/>
      <c r="JF10" s="47"/>
      <c r="JG10" s="47"/>
      <c r="JH10" s="47"/>
      <c r="JI10" s="47"/>
      <c r="JJ10" s="13" t="str">
        <f t="shared" si="86"/>
        <v/>
      </c>
      <c r="JK10" s="13" t="str">
        <f t="shared" si="87"/>
        <v/>
      </c>
      <c r="JL10" s="13" t="str">
        <f t="shared" si="88"/>
        <v/>
      </c>
      <c r="JM10" s="13" t="str">
        <f t="shared" si="89"/>
        <v/>
      </c>
      <c r="JN10" s="13" t="str">
        <f t="shared" si="90"/>
        <v/>
      </c>
      <c r="JO10" s="13" t="str">
        <f t="shared" si="91"/>
        <v/>
      </c>
      <c r="JP10" s="48"/>
      <c r="JQ10" s="48"/>
      <c r="JR10" s="48"/>
      <c r="JS10" s="48"/>
      <c r="JT10" s="48"/>
      <c r="JU10" s="48"/>
      <c r="JV10" s="48"/>
      <c r="JW10" s="48"/>
      <c r="JX10" s="48"/>
      <c r="JY10" s="48"/>
      <c r="JZ10" s="48"/>
      <c r="KA10" s="48"/>
      <c r="KB10" s="48"/>
      <c r="KC10" s="48"/>
      <c r="KD10" s="48"/>
      <c r="KE10" s="16" t="str">
        <f t="shared" si="92"/>
        <v/>
      </c>
      <c r="KF10" s="16" t="str">
        <f t="shared" si="93"/>
        <v/>
      </c>
      <c r="KG10" s="16" t="str">
        <f t="shared" si="94"/>
        <v/>
      </c>
      <c r="KH10" s="16" t="str">
        <f t="shared" si="95"/>
        <v/>
      </c>
      <c r="KI10" s="16" t="str">
        <f t="shared" si="96"/>
        <v/>
      </c>
      <c r="KJ10" s="16" t="str">
        <f t="shared" si="97"/>
        <v/>
      </c>
      <c r="KK10" s="47"/>
      <c r="KL10" s="47"/>
      <c r="KM10" s="47"/>
      <c r="KN10" s="47"/>
      <c r="KO10" s="47"/>
      <c r="KP10" s="47"/>
      <c r="KQ10" s="47"/>
      <c r="KR10" s="47"/>
      <c r="KS10" s="47"/>
      <c r="KT10" s="47"/>
      <c r="KU10" s="47"/>
      <c r="KV10" s="47"/>
      <c r="KW10" s="47"/>
      <c r="KX10" s="47"/>
      <c r="KY10" s="47"/>
      <c r="KZ10" s="13" t="str">
        <f t="shared" si="98"/>
        <v/>
      </c>
      <c r="LA10" s="13" t="str">
        <f t="shared" si="99"/>
        <v/>
      </c>
      <c r="LB10" s="13" t="str">
        <f t="shared" si="100"/>
        <v/>
      </c>
      <c r="LC10" s="13" t="str">
        <f t="shared" si="101"/>
        <v/>
      </c>
      <c r="LD10" s="13" t="str">
        <f t="shared" si="102"/>
        <v/>
      </c>
      <c r="LE10" s="13" t="str">
        <f t="shared" si="103"/>
        <v/>
      </c>
      <c r="LF10" s="48"/>
      <c r="LG10" s="48"/>
      <c r="LH10" s="48"/>
      <c r="LI10" s="48"/>
      <c r="LJ10" s="48"/>
      <c r="LK10" s="48"/>
      <c r="LL10" s="48"/>
      <c r="LM10" s="48"/>
      <c r="LN10" s="48"/>
      <c r="LO10" s="48"/>
      <c r="LP10" s="48"/>
      <c r="LQ10" s="48"/>
      <c r="LR10" s="48"/>
      <c r="LS10" s="48"/>
      <c r="LT10" s="48"/>
      <c r="LU10" s="16" t="str">
        <f t="shared" si="104"/>
        <v/>
      </c>
      <c r="LV10" s="16" t="str">
        <f t="shared" si="105"/>
        <v/>
      </c>
      <c r="LW10" s="16" t="str">
        <f t="shared" si="106"/>
        <v/>
      </c>
      <c r="LX10" s="16" t="str">
        <f t="shared" si="107"/>
        <v/>
      </c>
      <c r="LY10" s="16" t="str">
        <f t="shared" si="108"/>
        <v/>
      </c>
      <c r="LZ10" s="16" t="str">
        <f t="shared" si="109"/>
        <v/>
      </c>
    </row>
    <row r="11" spans="1:338" x14ac:dyDescent="0.2">
      <c r="A11" s="6" t="str">
        <f t="shared" si="0"/>
        <v/>
      </c>
      <c r="B11" s="9" t="s">
        <v>9</v>
      </c>
      <c r="C11" s="5" t="s">
        <v>6</v>
      </c>
      <c r="D11" s="33">
        <v>2011</v>
      </c>
      <c r="E11" s="17">
        <f t="shared" si="1"/>
        <v>248.76500000000001</v>
      </c>
      <c r="F11" s="4" t="str">
        <f t="shared" si="2"/>
        <v>P</v>
      </c>
      <c r="G11" s="4" t="str">
        <f t="shared" si="3"/>
        <v/>
      </c>
      <c r="H11" s="4" t="str">
        <f t="shared" si="4"/>
        <v/>
      </c>
      <c r="I11" t="str">
        <f t="shared" si="5"/>
        <v/>
      </c>
      <c r="J11" s="16">
        <f t="shared" si="6"/>
        <v>98.60499999999999</v>
      </c>
      <c r="K11" s="16" t="str">
        <f t="shared" si="7"/>
        <v>2018 Nationals</v>
      </c>
      <c r="L11" s="16">
        <f t="shared" si="8"/>
        <v>46.644999999999996</v>
      </c>
      <c r="M11" s="16" t="str">
        <f t="shared" si="9"/>
        <v>2018 Canada Cup</v>
      </c>
      <c r="N11" s="16">
        <f t="shared" si="10"/>
        <v>51.179999999999993</v>
      </c>
      <c r="O11" s="16" t="str">
        <f t="shared" si="11"/>
        <v>2018 Canada Cup</v>
      </c>
      <c r="P11" s="16">
        <f t="shared" si="12"/>
        <v>52.335000000000001</v>
      </c>
      <c r="Q11" s="16" t="str">
        <f t="shared" si="13"/>
        <v>2018 Canada Cup</v>
      </c>
      <c r="R11" s="16" t="str">
        <f t="shared" si="14"/>
        <v/>
      </c>
      <c r="S11" s="31" t="str">
        <f t="shared" si="15"/>
        <v/>
      </c>
      <c r="T11" s="16" t="str">
        <f t="shared" si="16"/>
        <v/>
      </c>
      <c r="U11" s="86"/>
      <c r="V11" s="86"/>
      <c r="W11" s="86"/>
      <c r="X11" s="86"/>
      <c r="Y11" s="86"/>
      <c r="Z11" s="86"/>
      <c r="AA11" s="86"/>
      <c r="AB11" s="86"/>
      <c r="AC11" s="86"/>
      <c r="AD11" s="86"/>
      <c r="AE11" s="86"/>
      <c r="AF11" s="86"/>
      <c r="AG11" s="86"/>
      <c r="AH11" s="86"/>
      <c r="AI11" s="86"/>
      <c r="AJ11" s="13" t="str">
        <f t="shared" si="17"/>
        <v/>
      </c>
      <c r="AK11" s="13" t="str">
        <f t="shared" si="18"/>
        <v/>
      </c>
      <c r="AL11" s="13" t="str">
        <f t="shared" si="19"/>
        <v/>
      </c>
      <c r="AM11" s="13" t="str">
        <f t="shared" si="20"/>
        <v/>
      </c>
      <c r="AN11" s="13" t="str">
        <f t="shared" si="21"/>
        <v/>
      </c>
      <c r="AO11" s="13" t="str">
        <f t="shared" si="22"/>
        <v/>
      </c>
      <c r="AP11" s="94">
        <v>15.3</v>
      </c>
      <c r="AQ11" s="94">
        <v>9.1</v>
      </c>
      <c r="AR11" s="94">
        <v>6</v>
      </c>
      <c r="AS11" s="94">
        <v>16.245000000000001</v>
      </c>
      <c r="AT11" s="94">
        <v>0</v>
      </c>
      <c r="AU11" s="94">
        <v>13.1</v>
      </c>
      <c r="AV11" s="94">
        <v>9.0500000000000007</v>
      </c>
      <c r="AW11" s="94">
        <v>14.2</v>
      </c>
      <c r="AX11" s="94">
        <v>14.83</v>
      </c>
      <c r="AY11" s="94">
        <v>0</v>
      </c>
      <c r="AZ11" s="94">
        <v>13.8</v>
      </c>
      <c r="BA11" s="94">
        <v>9.0500000000000007</v>
      </c>
      <c r="BB11" s="94">
        <v>14</v>
      </c>
      <c r="BC11" s="94">
        <v>15.484999999999999</v>
      </c>
      <c r="BD11" s="94">
        <v>0</v>
      </c>
      <c r="BE11" s="16">
        <f t="shared" si="23"/>
        <v>20.2</v>
      </c>
      <c r="BF11" s="16">
        <f t="shared" si="24"/>
        <v>46.644999999999996</v>
      </c>
      <c r="BG11" s="16">
        <f t="shared" si="25"/>
        <v>51.179999999999993</v>
      </c>
      <c r="BH11" s="16">
        <f t="shared" si="26"/>
        <v>97.824999999999989</v>
      </c>
      <c r="BI11" s="16">
        <f t="shared" si="27"/>
        <v>52.335000000000001</v>
      </c>
      <c r="BJ11" s="16">
        <f t="shared" si="28"/>
        <v>150.16</v>
      </c>
      <c r="BK11" s="47">
        <v>17</v>
      </c>
      <c r="BL11" s="47">
        <v>9.1999999999999993</v>
      </c>
      <c r="BM11" s="47">
        <v>5</v>
      </c>
      <c r="BN11" s="47">
        <v>16.68</v>
      </c>
      <c r="BO11" s="47">
        <v>0</v>
      </c>
      <c r="BP11" s="47">
        <v>13.3</v>
      </c>
      <c r="BQ11" s="47">
        <v>8.9499999999999993</v>
      </c>
      <c r="BR11" s="47">
        <v>13.1</v>
      </c>
      <c r="BS11" s="47">
        <v>15.375</v>
      </c>
      <c r="BT11" s="47">
        <v>0</v>
      </c>
      <c r="BU11" s="47"/>
      <c r="BV11" s="47"/>
      <c r="BW11" s="47"/>
      <c r="BX11" s="47"/>
      <c r="BY11" s="47"/>
      <c r="BZ11" s="13">
        <f t="shared" si="29"/>
        <v>18.100000000000001</v>
      </c>
      <c r="CA11" s="13">
        <f t="shared" si="30"/>
        <v>47.879999999999995</v>
      </c>
      <c r="CB11" s="13">
        <f t="shared" si="31"/>
        <v>50.725000000000001</v>
      </c>
      <c r="CC11" s="13">
        <f t="shared" si="32"/>
        <v>98.60499999999999</v>
      </c>
      <c r="CD11" s="13" t="str">
        <f t="shared" si="33"/>
        <v/>
      </c>
      <c r="CE11" s="13">
        <f t="shared" si="34"/>
        <v>98.60499999999999</v>
      </c>
      <c r="CF11" s="30" t="str">
        <f t="shared" si="35"/>
        <v/>
      </c>
      <c r="CG11" s="30" t="str">
        <f t="shared" si="36"/>
        <v/>
      </c>
      <c r="CH11" s="30" t="str">
        <f t="shared" si="37"/>
        <v/>
      </c>
      <c r="CI11" s="47"/>
      <c r="CJ11" s="47"/>
      <c r="CK11" s="47"/>
      <c r="CL11" s="47"/>
      <c r="CM11" s="47"/>
      <c r="CN11" s="47"/>
      <c r="CO11" s="47"/>
      <c r="CP11" s="47"/>
      <c r="CQ11" s="47"/>
      <c r="CR11" s="47"/>
      <c r="CS11" s="47"/>
      <c r="CT11" s="47"/>
      <c r="CU11" s="47"/>
      <c r="CV11" s="47"/>
      <c r="CW11" s="47"/>
      <c r="CX11" s="13" t="str">
        <f t="shared" si="38"/>
        <v/>
      </c>
      <c r="CY11" s="13" t="str">
        <f t="shared" si="39"/>
        <v/>
      </c>
      <c r="CZ11" s="13" t="str">
        <f t="shared" si="40"/>
        <v/>
      </c>
      <c r="DA11" s="13" t="str">
        <f t="shared" si="41"/>
        <v/>
      </c>
      <c r="DB11" s="13" t="str">
        <f t="shared" si="42"/>
        <v/>
      </c>
      <c r="DC11" s="13" t="str">
        <f t="shared" si="43"/>
        <v/>
      </c>
      <c r="DD11" s="48"/>
      <c r="DE11" s="48"/>
      <c r="DF11" s="48"/>
      <c r="DG11" s="48"/>
      <c r="DH11" s="48"/>
      <c r="DI11" s="48"/>
      <c r="DJ11" s="48"/>
      <c r="DK11" s="48"/>
      <c r="DL11" s="48"/>
      <c r="DM11" s="48"/>
      <c r="DN11" s="48"/>
      <c r="DO11" s="48"/>
      <c r="DP11" s="48"/>
      <c r="DQ11" s="48"/>
      <c r="DR11" s="48"/>
      <c r="DS11" s="16" t="str">
        <f t="shared" si="44"/>
        <v/>
      </c>
      <c r="DT11" s="16" t="str">
        <f t="shared" si="45"/>
        <v/>
      </c>
      <c r="DU11" s="16" t="str">
        <f t="shared" si="46"/>
        <v/>
      </c>
      <c r="DV11" s="16" t="str">
        <f t="shared" si="47"/>
        <v/>
      </c>
      <c r="DW11" s="16" t="str">
        <f t="shared" si="48"/>
        <v/>
      </c>
      <c r="DX11" s="16" t="str">
        <f t="shared" si="49"/>
        <v/>
      </c>
      <c r="DY11" s="47"/>
      <c r="DZ11" s="47"/>
      <c r="EA11" s="47"/>
      <c r="EB11" s="47"/>
      <c r="EC11" s="47"/>
      <c r="ED11" s="47"/>
      <c r="EE11" s="47"/>
      <c r="EF11" s="47"/>
      <c r="EG11" s="47"/>
      <c r="EH11" s="47"/>
      <c r="EI11" s="47"/>
      <c r="EJ11" s="47"/>
      <c r="EK11" s="47"/>
      <c r="EL11" s="47"/>
      <c r="EM11" s="47"/>
      <c r="EN11" s="13" t="str">
        <f t="shared" si="50"/>
        <v/>
      </c>
      <c r="EO11" s="13" t="str">
        <f t="shared" si="51"/>
        <v/>
      </c>
      <c r="EP11" s="13" t="str">
        <f t="shared" si="52"/>
        <v/>
      </c>
      <c r="EQ11" s="13" t="str">
        <f t="shared" si="53"/>
        <v/>
      </c>
      <c r="ER11" s="13" t="str">
        <f t="shared" si="54"/>
        <v/>
      </c>
      <c r="ES11" s="13" t="str">
        <f t="shared" si="55"/>
        <v/>
      </c>
      <c r="ET11" s="48"/>
      <c r="EU11" s="48"/>
      <c r="EV11" s="48"/>
      <c r="EW11" s="48"/>
      <c r="EX11" s="48"/>
      <c r="EY11" s="48"/>
      <c r="EZ11" s="48"/>
      <c r="FA11" s="48"/>
      <c r="FB11" s="48"/>
      <c r="FC11" s="48"/>
      <c r="FD11" s="48"/>
      <c r="FE11" s="48"/>
      <c r="FF11" s="48"/>
      <c r="FG11" s="48"/>
      <c r="FH11" s="48"/>
      <c r="FI11" s="16" t="str">
        <f t="shared" si="56"/>
        <v/>
      </c>
      <c r="FJ11" s="16" t="str">
        <f t="shared" si="57"/>
        <v/>
      </c>
      <c r="FK11" s="16" t="str">
        <f t="shared" si="58"/>
        <v/>
      </c>
      <c r="FL11" s="16" t="str">
        <f t="shared" si="59"/>
        <v/>
      </c>
      <c r="FM11" s="16" t="str">
        <f t="shared" si="60"/>
        <v/>
      </c>
      <c r="FN11" s="16" t="str">
        <f t="shared" si="61"/>
        <v/>
      </c>
      <c r="FO11" s="47"/>
      <c r="FP11" s="47"/>
      <c r="FQ11" s="47"/>
      <c r="FR11" s="47"/>
      <c r="FS11" s="47"/>
      <c r="FT11" s="47"/>
      <c r="FU11" s="47"/>
      <c r="FV11" s="47"/>
      <c r="FW11" s="47"/>
      <c r="FX11" s="47"/>
      <c r="FY11" s="47"/>
      <c r="FZ11" s="47"/>
      <c r="GA11" s="47"/>
      <c r="GB11" s="47"/>
      <c r="GC11" s="47"/>
      <c r="GD11" s="13" t="str">
        <f t="shared" si="62"/>
        <v/>
      </c>
      <c r="GE11" s="13" t="str">
        <f t="shared" si="63"/>
        <v/>
      </c>
      <c r="GF11" s="13" t="str">
        <f t="shared" si="64"/>
        <v/>
      </c>
      <c r="GG11" s="13" t="str">
        <f t="shared" si="65"/>
        <v/>
      </c>
      <c r="GH11" s="13" t="str">
        <f t="shared" si="66"/>
        <v/>
      </c>
      <c r="GI11" s="13" t="str">
        <f t="shared" si="67"/>
        <v/>
      </c>
      <c r="GJ11" s="48"/>
      <c r="GK11" s="48"/>
      <c r="GL11" s="48"/>
      <c r="GM11" s="48"/>
      <c r="GN11" s="48"/>
      <c r="GO11" s="48"/>
      <c r="GP11" s="48"/>
      <c r="GQ11" s="48"/>
      <c r="GR11" s="48"/>
      <c r="GS11" s="48"/>
      <c r="GT11" s="48"/>
      <c r="GU11" s="48"/>
      <c r="GV11" s="48"/>
      <c r="GW11" s="48"/>
      <c r="GX11" s="48"/>
      <c r="GY11" s="16" t="str">
        <f t="shared" si="68"/>
        <v/>
      </c>
      <c r="GZ11" s="16" t="str">
        <f t="shared" si="69"/>
        <v/>
      </c>
      <c r="HA11" s="16" t="str">
        <f t="shared" si="70"/>
        <v/>
      </c>
      <c r="HB11" s="16" t="str">
        <f t="shared" si="71"/>
        <v/>
      </c>
      <c r="HC11" s="16" t="str">
        <f t="shared" si="72"/>
        <v/>
      </c>
      <c r="HD11" s="16" t="str">
        <f t="shared" si="73"/>
        <v/>
      </c>
      <c r="HE11" s="47"/>
      <c r="HF11" s="47"/>
      <c r="HG11" s="47"/>
      <c r="HH11" s="47"/>
      <c r="HI11" s="47"/>
      <c r="HJ11" s="47"/>
      <c r="HK11" s="47"/>
      <c r="HL11" s="47"/>
      <c r="HM11" s="47"/>
      <c r="HN11" s="47"/>
      <c r="HO11" s="47"/>
      <c r="HP11" s="47"/>
      <c r="HQ11" s="47"/>
      <c r="HR11" s="47"/>
      <c r="HS11" s="47"/>
      <c r="HT11" s="13" t="str">
        <f t="shared" si="74"/>
        <v/>
      </c>
      <c r="HU11" s="13" t="str">
        <f t="shared" si="75"/>
        <v/>
      </c>
      <c r="HV11" s="13" t="str">
        <f t="shared" si="76"/>
        <v/>
      </c>
      <c r="HW11" s="13" t="str">
        <f t="shared" si="77"/>
        <v/>
      </c>
      <c r="HX11" s="13" t="str">
        <f t="shared" si="78"/>
        <v/>
      </c>
      <c r="HY11" s="13" t="str">
        <f t="shared" si="79"/>
        <v/>
      </c>
      <c r="HZ11" s="48"/>
      <c r="IA11" s="48"/>
      <c r="IB11" s="48"/>
      <c r="IC11" s="48"/>
      <c r="ID11" s="48"/>
      <c r="IE11" s="48"/>
      <c r="IF11" s="48"/>
      <c r="IG11" s="48"/>
      <c r="IH11" s="48"/>
      <c r="II11" s="48"/>
      <c r="IJ11" s="48"/>
      <c r="IK11" s="48"/>
      <c r="IL11" s="48"/>
      <c r="IM11" s="48"/>
      <c r="IN11" s="48"/>
      <c r="IO11" s="16" t="str">
        <f t="shared" si="80"/>
        <v/>
      </c>
      <c r="IP11" s="16" t="str">
        <f t="shared" si="81"/>
        <v/>
      </c>
      <c r="IQ11" s="16" t="str">
        <f t="shared" si="82"/>
        <v/>
      </c>
      <c r="IR11" s="16" t="str">
        <f t="shared" si="83"/>
        <v/>
      </c>
      <c r="IS11" s="16" t="str">
        <f t="shared" si="84"/>
        <v/>
      </c>
      <c r="IT11" s="16" t="str">
        <f t="shared" si="85"/>
        <v/>
      </c>
      <c r="IU11" s="47"/>
      <c r="IV11" s="47"/>
      <c r="IW11" s="47"/>
      <c r="IX11" s="47"/>
      <c r="IY11" s="47"/>
      <c r="IZ11" s="47"/>
      <c r="JA11" s="47"/>
      <c r="JB11" s="47"/>
      <c r="JC11" s="47"/>
      <c r="JD11" s="47"/>
      <c r="JE11" s="47"/>
      <c r="JF11" s="47"/>
      <c r="JG11" s="47"/>
      <c r="JH11" s="47"/>
      <c r="JI11" s="47"/>
      <c r="JJ11" s="13" t="str">
        <f t="shared" si="86"/>
        <v/>
      </c>
      <c r="JK11" s="13" t="str">
        <f t="shared" si="87"/>
        <v/>
      </c>
      <c r="JL11" s="13" t="str">
        <f t="shared" si="88"/>
        <v/>
      </c>
      <c r="JM11" s="13" t="str">
        <f t="shared" si="89"/>
        <v/>
      </c>
      <c r="JN11" s="13" t="str">
        <f t="shared" si="90"/>
        <v/>
      </c>
      <c r="JO11" s="13" t="str">
        <f t="shared" si="91"/>
        <v/>
      </c>
      <c r="JP11" s="48"/>
      <c r="JQ11" s="48"/>
      <c r="JR11" s="48"/>
      <c r="JS11" s="48"/>
      <c r="JT11" s="48"/>
      <c r="JU11" s="48"/>
      <c r="JV11" s="48"/>
      <c r="JW11" s="48"/>
      <c r="JX11" s="48"/>
      <c r="JY11" s="48"/>
      <c r="JZ11" s="48"/>
      <c r="KA11" s="48"/>
      <c r="KB11" s="48"/>
      <c r="KC11" s="48"/>
      <c r="KD11" s="48"/>
      <c r="KE11" s="16" t="str">
        <f t="shared" si="92"/>
        <v/>
      </c>
      <c r="KF11" s="16" t="str">
        <f t="shared" si="93"/>
        <v/>
      </c>
      <c r="KG11" s="16" t="str">
        <f t="shared" si="94"/>
        <v/>
      </c>
      <c r="KH11" s="16" t="str">
        <f t="shared" si="95"/>
        <v/>
      </c>
      <c r="KI11" s="16" t="str">
        <f t="shared" si="96"/>
        <v/>
      </c>
      <c r="KJ11" s="16" t="str">
        <f t="shared" si="97"/>
        <v/>
      </c>
      <c r="KK11" s="47"/>
      <c r="KL11" s="47"/>
      <c r="KM11" s="47"/>
      <c r="KN11" s="47"/>
      <c r="KO11" s="47"/>
      <c r="KP11" s="47"/>
      <c r="KQ11" s="47"/>
      <c r="KR11" s="47"/>
      <c r="KS11" s="47"/>
      <c r="KT11" s="47"/>
      <c r="KU11" s="47"/>
      <c r="KV11" s="47"/>
      <c r="KW11" s="47"/>
      <c r="KX11" s="47"/>
      <c r="KY11" s="47"/>
      <c r="KZ11" s="13" t="str">
        <f t="shared" si="98"/>
        <v/>
      </c>
      <c r="LA11" s="13" t="str">
        <f t="shared" si="99"/>
        <v/>
      </c>
      <c r="LB11" s="13" t="str">
        <f t="shared" si="100"/>
        <v/>
      </c>
      <c r="LC11" s="13" t="str">
        <f t="shared" si="101"/>
        <v/>
      </c>
      <c r="LD11" s="13" t="str">
        <f t="shared" si="102"/>
        <v/>
      </c>
      <c r="LE11" s="13" t="str">
        <f t="shared" si="103"/>
        <v/>
      </c>
      <c r="LF11" s="48"/>
      <c r="LG11" s="48"/>
      <c r="LH11" s="48"/>
      <c r="LI11" s="48"/>
      <c r="LJ11" s="48"/>
      <c r="LK11" s="48"/>
      <c r="LL11" s="48"/>
      <c r="LM11" s="48"/>
      <c r="LN11" s="48"/>
      <c r="LO11" s="48"/>
      <c r="LP11" s="48"/>
      <c r="LQ11" s="48"/>
      <c r="LR11" s="48"/>
      <c r="LS11" s="48"/>
      <c r="LT11" s="48"/>
      <c r="LU11" s="16" t="str">
        <f t="shared" si="104"/>
        <v/>
      </c>
      <c r="LV11" s="16" t="str">
        <f t="shared" si="105"/>
        <v/>
      </c>
      <c r="LW11" s="16" t="str">
        <f t="shared" si="106"/>
        <v/>
      </c>
      <c r="LX11" s="16" t="str">
        <f t="shared" si="107"/>
        <v/>
      </c>
      <c r="LY11" s="16" t="str">
        <f t="shared" si="108"/>
        <v/>
      </c>
      <c r="LZ11" s="16" t="str">
        <f t="shared" si="109"/>
        <v/>
      </c>
    </row>
    <row r="12" spans="1:338" x14ac:dyDescent="0.2">
      <c r="A12" s="6" t="str">
        <f t="shared" si="0"/>
        <v/>
      </c>
      <c r="B12" s="7" t="s">
        <v>130</v>
      </c>
      <c r="C12" s="8" t="s">
        <v>6</v>
      </c>
      <c r="D12" s="33">
        <v>2018</v>
      </c>
      <c r="E12" s="17">
        <f t="shared" si="1"/>
        <v>217.85000000000002</v>
      </c>
      <c r="F12" s="4" t="str">
        <f t="shared" si="2"/>
        <v>P</v>
      </c>
      <c r="G12" s="4" t="str">
        <f t="shared" si="3"/>
        <v>P</v>
      </c>
      <c r="H12" s="4" t="str">
        <f t="shared" si="4"/>
        <v/>
      </c>
      <c r="I12" t="str">
        <f t="shared" si="5"/>
        <v/>
      </c>
      <c r="J12" s="16">
        <f t="shared" si="6"/>
        <v>102.38500000000001</v>
      </c>
      <c r="K12" s="16" t="str">
        <f t="shared" si="7"/>
        <v>2018 Nationals</v>
      </c>
      <c r="L12" s="16">
        <f t="shared" si="8"/>
        <v>46.324999999999996</v>
      </c>
      <c r="M12" s="16" t="str">
        <f t="shared" si="9"/>
        <v>2018 Canada Cup</v>
      </c>
      <c r="N12" s="16">
        <f t="shared" si="10"/>
        <v>16.87</v>
      </c>
      <c r="O12" s="16" t="str">
        <f t="shared" si="11"/>
        <v>2018 Canada Cup</v>
      </c>
      <c r="P12" s="16">
        <f t="shared" si="12"/>
        <v>52.27</v>
      </c>
      <c r="Q12" s="16" t="str">
        <f t="shared" si="13"/>
        <v>2018 Nationals</v>
      </c>
      <c r="R12" s="16" t="str">
        <f t="shared" si="14"/>
        <v/>
      </c>
      <c r="S12" s="31" t="str">
        <f t="shared" si="15"/>
        <v/>
      </c>
      <c r="T12" s="16" t="str">
        <f t="shared" si="16"/>
        <v/>
      </c>
      <c r="U12" s="86"/>
      <c r="V12" s="86"/>
      <c r="W12" s="86"/>
      <c r="X12" s="86"/>
      <c r="Y12" s="86"/>
      <c r="Z12" s="86"/>
      <c r="AA12" s="86"/>
      <c r="AB12" s="86"/>
      <c r="AC12" s="86"/>
      <c r="AD12" s="86"/>
      <c r="AE12" s="86"/>
      <c r="AF12" s="86"/>
      <c r="AG12" s="86"/>
      <c r="AH12" s="86"/>
      <c r="AI12" s="86"/>
      <c r="AJ12" s="13" t="str">
        <f t="shared" si="17"/>
        <v/>
      </c>
      <c r="AK12" s="13" t="str">
        <f t="shared" si="18"/>
        <v/>
      </c>
      <c r="AL12" s="13" t="str">
        <f t="shared" si="19"/>
        <v/>
      </c>
      <c r="AM12" s="13" t="str">
        <f t="shared" si="20"/>
        <v/>
      </c>
      <c r="AN12" s="13" t="str">
        <f t="shared" si="21"/>
        <v/>
      </c>
      <c r="AO12" s="13" t="str">
        <f t="shared" si="22"/>
        <v/>
      </c>
      <c r="AP12" s="94">
        <v>15.8</v>
      </c>
      <c r="AQ12" s="94">
        <v>8.85</v>
      </c>
      <c r="AR12" s="94">
        <v>5.4</v>
      </c>
      <c r="AS12" s="94">
        <v>16.274999999999999</v>
      </c>
      <c r="AT12" s="94">
        <v>0</v>
      </c>
      <c r="AU12" s="94">
        <v>4.4000000000000004</v>
      </c>
      <c r="AV12" s="94">
        <v>2.5</v>
      </c>
      <c r="AW12" s="94">
        <v>4.9000000000000004</v>
      </c>
      <c r="AX12" s="94">
        <v>5.07</v>
      </c>
      <c r="AY12" s="94">
        <v>0</v>
      </c>
      <c r="AZ12" s="94"/>
      <c r="BA12" s="94"/>
      <c r="BB12" s="94"/>
      <c r="BC12" s="94"/>
      <c r="BD12" s="94"/>
      <c r="BE12" s="16">
        <f t="shared" si="23"/>
        <v>10.3</v>
      </c>
      <c r="BF12" s="16">
        <f t="shared" si="24"/>
        <v>46.324999999999996</v>
      </c>
      <c r="BG12" s="16">
        <f t="shared" si="25"/>
        <v>16.87</v>
      </c>
      <c r="BH12" s="16">
        <f t="shared" si="26"/>
        <v>63.194999999999993</v>
      </c>
      <c r="BI12" s="16" t="str">
        <f t="shared" si="27"/>
        <v/>
      </c>
      <c r="BJ12" s="16">
        <f t="shared" si="28"/>
        <v>63.194999999999993</v>
      </c>
      <c r="BK12" s="47">
        <v>17</v>
      </c>
      <c r="BL12" s="47">
        <v>9.35</v>
      </c>
      <c r="BM12" s="47">
        <v>5.4</v>
      </c>
      <c r="BN12" s="47">
        <v>16.45</v>
      </c>
      <c r="BO12" s="47">
        <v>0</v>
      </c>
      <c r="BP12" s="47">
        <v>14.8</v>
      </c>
      <c r="BQ12" s="47">
        <v>8.65</v>
      </c>
      <c r="BR12" s="47">
        <v>15.2</v>
      </c>
      <c r="BS12" s="47">
        <v>15.535</v>
      </c>
      <c r="BT12" s="47">
        <v>0</v>
      </c>
      <c r="BU12" s="47">
        <v>13.1</v>
      </c>
      <c r="BV12" s="47">
        <v>9.1</v>
      </c>
      <c r="BW12" s="47">
        <v>15</v>
      </c>
      <c r="BX12" s="47">
        <v>15.07</v>
      </c>
      <c r="BY12" s="47">
        <v>0</v>
      </c>
      <c r="BZ12" s="13">
        <f t="shared" si="29"/>
        <v>20.6</v>
      </c>
      <c r="CA12" s="13">
        <f t="shared" si="30"/>
        <v>48.2</v>
      </c>
      <c r="CB12" s="13">
        <f t="shared" si="31"/>
        <v>54.185000000000002</v>
      </c>
      <c r="CC12" s="13">
        <f t="shared" si="32"/>
        <v>102.38500000000001</v>
      </c>
      <c r="CD12" s="13">
        <f t="shared" si="33"/>
        <v>52.27</v>
      </c>
      <c r="CE12" s="13">
        <f t="shared" si="34"/>
        <v>154.655</v>
      </c>
      <c r="CF12" s="30" t="str">
        <f t="shared" si="35"/>
        <v/>
      </c>
      <c r="CG12" s="30" t="str">
        <f t="shared" si="36"/>
        <v/>
      </c>
      <c r="CH12" s="30" t="str">
        <f t="shared" si="37"/>
        <v/>
      </c>
      <c r="CI12" s="47"/>
      <c r="CJ12" s="47"/>
      <c r="CK12" s="47"/>
      <c r="CL12" s="47"/>
      <c r="CM12" s="47"/>
      <c r="CN12" s="47"/>
      <c r="CO12" s="47"/>
      <c r="CP12" s="47"/>
      <c r="CQ12" s="47"/>
      <c r="CR12" s="47"/>
      <c r="CS12" s="47"/>
      <c r="CT12" s="47"/>
      <c r="CU12" s="47"/>
      <c r="CV12" s="47"/>
      <c r="CW12" s="47"/>
      <c r="CX12" s="13" t="str">
        <f t="shared" si="38"/>
        <v/>
      </c>
      <c r="CY12" s="13" t="str">
        <f t="shared" si="39"/>
        <v/>
      </c>
      <c r="CZ12" s="13" t="str">
        <f t="shared" si="40"/>
        <v/>
      </c>
      <c r="DA12" s="13" t="str">
        <f t="shared" si="41"/>
        <v/>
      </c>
      <c r="DB12" s="13" t="str">
        <f t="shared" si="42"/>
        <v/>
      </c>
      <c r="DC12" s="13" t="str">
        <f t="shared" si="43"/>
        <v/>
      </c>
      <c r="DD12" s="48"/>
      <c r="DE12" s="48"/>
      <c r="DF12" s="48"/>
      <c r="DG12" s="48"/>
      <c r="DH12" s="48"/>
      <c r="DI12" s="48"/>
      <c r="DJ12" s="48"/>
      <c r="DK12" s="48"/>
      <c r="DL12" s="48"/>
      <c r="DM12" s="48"/>
      <c r="DN12" s="48"/>
      <c r="DO12" s="48"/>
      <c r="DP12" s="48"/>
      <c r="DQ12" s="48"/>
      <c r="DR12" s="48"/>
      <c r="DS12" s="16" t="str">
        <f t="shared" si="44"/>
        <v/>
      </c>
      <c r="DT12" s="16" t="str">
        <f t="shared" si="45"/>
        <v/>
      </c>
      <c r="DU12" s="16" t="str">
        <f t="shared" si="46"/>
        <v/>
      </c>
      <c r="DV12" s="16" t="str">
        <f t="shared" si="47"/>
        <v/>
      </c>
      <c r="DW12" s="16" t="str">
        <f t="shared" si="48"/>
        <v/>
      </c>
      <c r="DX12" s="16" t="str">
        <f t="shared" si="49"/>
        <v/>
      </c>
      <c r="DY12" s="47"/>
      <c r="DZ12" s="47"/>
      <c r="EA12" s="47"/>
      <c r="EB12" s="47"/>
      <c r="EC12" s="47"/>
      <c r="ED12" s="47"/>
      <c r="EE12" s="47"/>
      <c r="EF12" s="47"/>
      <c r="EG12" s="47"/>
      <c r="EH12" s="47"/>
      <c r="EI12" s="47"/>
      <c r="EJ12" s="47"/>
      <c r="EK12" s="47"/>
      <c r="EL12" s="47"/>
      <c r="EM12" s="47"/>
      <c r="EN12" s="13" t="str">
        <f t="shared" si="50"/>
        <v/>
      </c>
      <c r="EO12" s="13" t="str">
        <f t="shared" si="51"/>
        <v/>
      </c>
      <c r="EP12" s="13" t="str">
        <f t="shared" si="52"/>
        <v/>
      </c>
      <c r="EQ12" s="13" t="str">
        <f t="shared" si="53"/>
        <v/>
      </c>
      <c r="ER12" s="13" t="str">
        <f t="shared" si="54"/>
        <v/>
      </c>
      <c r="ES12" s="13" t="str">
        <f t="shared" si="55"/>
        <v/>
      </c>
      <c r="ET12" s="48"/>
      <c r="EU12" s="48"/>
      <c r="EV12" s="48"/>
      <c r="EW12" s="48"/>
      <c r="EX12" s="48"/>
      <c r="EY12" s="48"/>
      <c r="EZ12" s="48"/>
      <c r="FA12" s="48"/>
      <c r="FB12" s="48"/>
      <c r="FC12" s="48"/>
      <c r="FD12" s="48"/>
      <c r="FE12" s="48"/>
      <c r="FF12" s="48"/>
      <c r="FG12" s="48"/>
      <c r="FH12" s="48"/>
      <c r="FI12" s="16" t="str">
        <f t="shared" si="56"/>
        <v/>
      </c>
      <c r="FJ12" s="16" t="str">
        <f t="shared" si="57"/>
        <v/>
      </c>
      <c r="FK12" s="16" t="str">
        <f t="shared" si="58"/>
        <v/>
      </c>
      <c r="FL12" s="16" t="str">
        <f t="shared" si="59"/>
        <v/>
      </c>
      <c r="FM12" s="16" t="str">
        <f t="shared" si="60"/>
        <v/>
      </c>
      <c r="FN12" s="16" t="str">
        <f t="shared" si="61"/>
        <v/>
      </c>
      <c r="FO12" s="47"/>
      <c r="FP12" s="47"/>
      <c r="FQ12" s="47"/>
      <c r="FR12" s="47"/>
      <c r="FS12" s="47"/>
      <c r="FT12" s="47"/>
      <c r="FU12" s="47"/>
      <c r="FV12" s="47"/>
      <c r="FW12" s="47"/>
      <c r="FX12" s="47"/>
      <c r="FY12" s="47"/>
      <c r="FZ12" s="47"/>
      <c r="GA12" s="47"/>
      <c r="GB12" s="47"/>
      <c r="GC12" s="47"/>
      <c r="GD12" s="13" t="str">
        <f t="shared" si="62"/>
        <v/>
      </c>
      <c r="GE12" s="13" t="str">
        <f t="shared" si="63"/>
        <v/>
      </c>
      <c r="GF12" s="13" t="str">
        <f t="shared" si="64"/>
        <v/>
      </c>
      <c r="GG12" s="13" t="str">
        <f t="shared" si="65"/>
        <v/>
      </c>
      <c r="GH12" s="13" t="str">
        <f t="shared" si="66"/>
        <v/>
      </c>
      <c r="GI12" s="13" t="str">
        <f t="shared" si="67"/>
        <v/>
      </c>
      <c r="GJ12" s="48"/>
      <c r="GK12" s="48"/>
      <c r="GL12" s="48"/>
      <c r="GM12" s="48"/>
      <c r="GN12" s="48"/>
      <c r="GO12" s="48"/>
      <c r="GP12" s="48"/>
      <c r="GQ12" s="48"/>
      <c r="GR12" s="48"/>
      <c r="GS12" s="48"/>
      <c r="GT12" s="48"/>
      <c r="GU12" s="48"/>
      <c r="GV12" s="48"/>
      <c r="GW12" s="48"/>
      <c r="GX12" s="48"/>
      <c r="GY12" s="16" t="str">
        <f t="shared" si="68"/>
        <v/>
      </c>
      <c r="GZ12" s="16" t="str">
        <f t="shared" si="69"/>
        <v/>
      </c>
      <c r="HA12" s="16" t="str">
        <f t="shared" si="70"/>
        <v/>
      </c>
      <c r="HB12" s="16" t="str">
        <f t="shared" si="71"/>
        <v/>
      </c>
      <c r="HC12" s="16" t="str">
        <f t="shared" si="72"/>
        <v/>
      </c>
      <c r="HD12" s="16" t="str">
        <f t="shared" si="73"/>
        <v/>
      </c>
      <c r="HE12" s="47"/>
      <c r="HF12" s="47"/>
      <c r="HG12" s="47"/>
      <c r="HH12" s="47"/>
      <c r="HI12" s="47"/>
      <c r="HJ12" s="47"/>
      <c r="HK12" s="47"/>
      <c r="HL12" s="47"/>
      <c r="HM12" s="47"/>
      <c r="HN12" s="47"/>
      <c r="HO12" s="47"/>
      <c r="HP12" s="47"/>
      <c r="HQ12" s="47"/>
      <c r="HR12" s="47"/>
      <c r="HS12" s="47"/>
      <c r="HT12" s="13" t="str">
        <f t="shared" si="74"/>
        <v/>
      </c>
      <c r="HU12" s="13" t="str">
        <f t="shared" si="75"/>
        <v/>
      </c>
      <c r="HV12" s="13" t="str">
        <f t="shared" si="76"/>
        <v/>
      </c>
      <c r="HW12" s="13" t="str">
        <f t="shared" si="77"/>
        <v/>
      </c>
      <c r="HX12" s="13" t="str">
        <f t="shared" si="78"/>
        <v/>
      </c>
      <c r="HY12" s="13" t="str">
        <f t="shared" si="79"/>
        <v/>
      </c>
      <c r="HZ12" s="48"/>
      <c r="IA12" s="48"/>
      <c r="IB12" s="48"/>
      <c r="IC12" s="48"/>
      <c r="ID12" s="48"/>
      <c r="IE12" s="48"/>
      <c r="IF12" s="48"/>
      <c r="IG12" s="48"/>
      <c r="IH12" s="48"/>
      <c r="II12" s="48"/>
      <c r="IJ12" s="48"/>
      <c r="IK12" s="48"/>
      <c r="IL12" s="48"/>
      <c r="IM12" s="48"/>
      <c r="IN12" s="48"/>
      <c r="IO12" s="16" t="str">
        <f t="shared" si="80"/>
        <v/>
      </c>
      <c r="IP12" s="16" t="str">
        <f t="shared" si="81"/>
        <v/>
      </c>
      <c r="IQ12" s="16" t="str">
        <f t="shared" si="82"/>
        <v/>
      </c>
      <c r="IR12" s="16" t="str">
        <f t="shared" si="83"/>
        <v/>
      </c>
      <c r="IS12" s="16" t="str">
        <f t="shared" si="84"/>
        <v/>
      </c>
      <c r="IT12" s="16" t="str">
        <f t="shared" si="85"/>
        <v/>
      </c>
      <c r="IU12" s="47"/>
      <c r="IV12" s="47"/>
      <c r="IW12" s="47"/>
      <c r="IX12" s="47"/>
      <c r="IY12" s="47"/>
      <c r="IZ12" s="47"/>
      <c r="JA12" s="47"/>
      <c r="JB12" s="47"/>
      <c r="JC12" s="47"/>
      <c r="JD12" s="47"/>
      <c r="JE12" s="47"/>
      <c r="JF12" s="47"/>
      <c r="JG12" s="47"/>
      <c r="JH12" s="47"/>
      <c r="JI12" s="47"/>
      <c r="JJ12" s="13" t="str">
        <f t="shared" si="86"/>
        <v/>
      </c>
      <c r="JK12" s="13" t="str">
        <f t="shared" si="87"/>
        <v/>
      </c>
      <c r="JL12" s="13" t="str">
        <f t="shared" si="88"/>
        <v/>
      </c>
      <c r="JM12" s="13" t="str">
        <f t="shared" si="89"/>
        <v/>
      </c>
      <c r="JN12" s="13" t="str">
        <f t="shared" si="90"/>
        <v/>
      </c>
      <c r="JO12" s="13" t="str">
        <f t="shared" si="91"/>
        <v/>
      </c>
      <c r="JP12" s="48"/>
      <c r="JQ12" s="48"/>
      <c r="JR12" s="48"/>
      <c r="JS12" s="48"/>
      <c r="JT12" s="48"/>
      <c r="JU12" s="48"/>
      <c r="JV12" s="48"/>
      <c r="JW12" s="48"/>
      <c r="JX12" s="48"/>
      <c r="JY12" s="48"/>
      <c r="JZ12" s="48"/>
      <c r="KA12" s="48"/>
      <c r="KB12" s="48"/>
      <c r="KC12" s="48"/>
      <c r="KD12" s="48"/>
      <c r="KE12" s="16" t="str">
        <f t="shared" si="92"/>
        <v/>
      </c>
      <c r="KF12" s="16" t="str">
        <f t="shared" si="93"/>
        <v/>
      </c>
      <c r="KG12" s="16" t="str">
        <f t="shared" si="94"/>
        <v/>
      </c>
      <c r="KH12" s="16" t="str">
        <f t="shared" si="95"/>
        <v/>
      </c>
      <c r="KI12" s="16" t="str">
        <f t="shared" si="96"/>
        <v/>
      </c>
      <c r="KJ12" s="16" t="str">
        <f t="shared" si="97"/>
        <v/>
      </c>
      <c r="KK12" s="47"/>
      <c r="KL12" s="47"/>
      <c r="KM12" s="47"/>
      <c r="KN12" s="47"/>
      <c r="KO12" s="47"/>
      <c r="KP12" s="47"/>
      <c r="KQ12" s="47"/>
      <c r="KR12" s="47"/>
      <c r="KS12" s="47"/>
      <c r="KT12" s="47"/>
      <c r="KU12" s="47"/>
      <c r="KV12" s="47"/>
      <c r="KW12" s="47"/>
      <c r="KX12" s="47"/>
      <c r="KY12" s="47"/>
      <c r="KZ12" s="13" t="str">
        <f t="shared" si="98"/>
        <v/>
      </c>
      <c r="LA12" s="13" t="str">
        <f t="shared" si="99"/>
        <v/>
      </c>
      <c r="LB12" s="13" t="str">
        <f t="shared" si="100"/>
        <v/>
      </c>
      <c r="LC12" s="13" t="str">
        <f t="shared" si="101"/>
        <v/>
      </c>
      <c r="LD12" s="13" t="str">
        <f t="shared" si="102"/>
        <v/>
      </c>
      <c r="LE12" s="13" t="str">
        <f t="shared" si="103"/>
        <v/>
      </c>
      <c r="LF12" s="48"/>
      <c r="LG12" s="48"/>
      <c r="LH12" s="48"/>
      <c r="LI12" s="48"/>
      <c r="LJ12" s="48"/>
      <c r="LK12" s="48"/>
      <c r="LL12" s="48"/>
      <c r="LM12" s="48"/>
      <c r="LN12" s="48"/>
      <c r="LO12" s="48"/>
      <c r="LP12" s="48"/>
      <c r="LQ12" s="48"/>
      <c r="LR12" s="48"/>
      <c r="LS12" s="48"/>
      <c r="LT12" s="48"/>
      <c r="LU12" s="16" t="str">
        <f t="shared" si="104"/>
        <v/>
      </c>
      <c r="LV12" s="16" t="str">
        <f t="shared" si="105"/>
        <v/>
      </c>
      <c r="LW12" s="16" t="str">
        <f t="shared" si="106"/>
        <v/>
      </c>
      <c r="LX12" s="16" t="str">
        <f t="shared" si="107"/>
        <v/>
      </c>
      <c r="LY12" s="16" t="str">
        <f t="shared" si="108"/>
        <v/>
      </c>
      <c r="LZ12" s="16" t="str">
        <f t="shared" si="109"/>
        <v/>
      </c>
    </row>
    <row r="13" spans="1:338" x14ac:dyDescent="0.2">
      <c r="A13" s="6" t="str">
        <f t="shared" si="0"/>
        <v/>
      </c>
      <c r="B13" s="7" t="s">
        <v>11</v>
      </c>
      <c r="C13" s="8" t="s">
        <v>4</v>
      </c>
      <c r="D13" s="33">
        <v>2016</v>
      </c>
      <c r="E13" s="17">
        <f t="shared" si="1"/>
        <v>252.4</v>
      </c>
      <c r="F13" s="4" t="str">
        <f t="shared" si="2"/>
        <v/>
      </c>
      <c r="G13" s="4" t="str">
        <f t="shared" si="3"/>
        <v/>
      </c>
      <c r="H13" s="4" t="str">
        <f t="shared" si="4"/>
        <v/>
      </c>
      <c r="I13" t="str">
        <f t="shared" si="5"/>
        <v/>
      </c>
      <c r="J13" s="16">
        <f t="shared" si="6"/>
        <v>90.73</v>
      </c>
      <c r="K13" s="16" t="str">
        <f t="shared" si="7"/>
        <v>2018 Canada Cup</v>
      </c>
      <c r="L13" s="16">
        <f t="shared" si="8"/>
        <v>49.070000000000007</v>
      </c>
      <c r="M13" s="16" t="str">
        <f t="shared" si="9"/>
        <v>2018 Nationals</v>
      </c>
      <c r="N13" s="16">
        <f t="shared" si="10"/>
        <v>55.010000000000005</v>
      </c>
      <c r="O13" s="16" t="str">
        <f t="shared" si="11"/>
        <v>2017 3rd Domestic Trial</v>
      </c>
      <c r="P13" s="16">
        <f t="shared" si="12"/>
        <v>57.59</v>
      </c>
      <c r="Q13" s="16" t="str">
        <f t="shared" si="13"/>
        <v>2018 Canada Cup</v>
      </c>
      <c r="R13" s="16" t="str">
        <f t="shared" si="14"/>
        <v/>
      </c>
      <c r="S13" s="31" t="str">
        <f t="shared" si="15"/>
        <v/>
      </c>
      <c r="T13" s="16" t="str">
        <f t="shared" si="16"/>
        <v/>
      </c>
      <c r="U13" s="86">
        <v>1.8</v>
      </c>
      <c r="V13" s="86">
        <v>0.9</v>
      </c>
      <c r="W13" s="86">
        <v>1.1000000000000001</v>
      </c>
      <c r="X13" s="86">
        <v>1.7949999999999999</v>
      </c>
      <c r="Y13" s="86">
        <v>0</v>
      </c>
      <c r="Z13" s="86">
        <v>14.8</v>
      </c>
      <c r="AA13" s="86">
        <v>9.5</v>
      </c>
      <c r="AB13" s="86">
        <v>14.8</v>
      </c>
      <c r="AC13" s="86">
        <v>15.91</v>
      </c>
      <c r="AD13" s="86">
        <v>0</v>
      </c>
      <c r="AE13" s="86"/>
      <c r="AF13" s="86"/>
      <c r="AG13" s="86"/>
      <c r="AH13" s="86"/>
      <c r="AI13" s="86"/>
      <c r="AJ13" s="13">
        <f t="shared" si="17"/>
        <v>15.9</v>
      </c>
      <c r="AK13" s="13">
        <f t="shared" si="18"/>
        <v>5.5950000000000006</v>
      </c>
      <c r="AL13" s="13">
        <f t="shared" si="19"/>
        <v>55.010000000000005</v>
      </c>
      <c r="AM13" s="13">
        <f t="shared" si="20"/>
        <v>60.605000000000004</v>
      </c>
      <c r="AN13" s="13" t="str">
        <f t="shared" si="21"/>
        <v/>
      </c>
      <c r="AO13" s="13">
        <f t="shared" si="22"/>
        <v>60.605000000000004</v>
      </c>
      <c r="AP13" s="94">
        <v>13.7</v>
      </c>
      <c r="AQ13" s="94">
        <v>7.15</v>
      </c>
      <c r="AR13" s="94">
        <v>2.2999999999999998</v>
      </c>
      <c r="AS13" s="94">
        <v>13.84</v>
      </c>
      <c r="AT13" s="94">
        <v>0</v>
      </c>
      <c r="AU13" s="94">
        <v>13.9</v>
      </c>
      <c r="AV13" s="94">
        <v>9.1</v>
      </c>
      <c r="AW13" s="94">
        <v>14.6</v>
      </c>
      <c r="AX13" s="94">
        <v>16.14</v>
      </c>
      <c r="AY13" s="94">
        <v>0</v>
      </c>
      <c r="AZ13" s="94">
        <v>15.5</v>
      </c>
      <c r="BA13" s="94">
        <v>9.4499999999999993</v>
      </c>
      <c r="BB13" s="94">
        <v>16.2</v>
      </c>
      <c r="BC13" s="94">
        <v>16.440000000000001</v>
      </c>
      <c r="BD13" s="94">
        <v>0</v>
      </c>
      <c r="BE13" s="16">
        <f t="shared" si="23"/>
        <v>16.899999999999999</v>
      </c>
      <c r="BF13" s="16">
        <f t="shared" si="24"/>
        <v>36.99</v>
      </c>
      <c r="BG13" s="16">
        <f t="shared" si="25"/>
        <v>53.74</v>
      </c>
      <c r="BH13" s="16">
        <f t="shared" si="26"/>
        <v>90.73</v>
      </c>
      <c r="BI13" s="16">
        <f t="shared" si="27"/>
        <v>57.59</v>
      </c>
      <c r="BJ13" s="16">
        <f t="shared" si="28"/>
        <v>148.32</v>
      </c>
      <c r="BK13" s="47">
        <v>17.7</v>
      </c>
      <c r="BL13" s="47">
        <v>9.3000000000000007</v>
      </c>
      <c r="BM13" s="47">
        <v>5.2</v>
      </c>
      <c r="BN13" s="47">
        <v>16.87</v>
      </c>
      <c r="BO13" s="47">
        <v>0</v>
      </c>
      <c r="BP13" s="47">
        <v>2.7</v>
      </c>
      <c r="BQ13" s="47">
        <v>1.7</v>
      </c>
      <c r="BR13" s="47">
        <v>3.8</v>
      </c>
      <c r="BS13" s="47">
        <v>3.5449999999999999</v>
      </c>
      <c r="BT13" s="47">
        <v>0.4</v>
      </c>
      <c r="BU13" s="47"/>
      <c r="BV13" s="47"/>
      <c r="BW13" s="47"/>
      <c r="BX13" s="47"/>
      <c r="BY13" s="47"/>
      <c r="BZ13" s="13">
        <f t="shared" si="29"/>
        <v>9</v>
      </c>
      <c r="CA13" s="13">
        <f t="shared" si="30"/>
        <v>49.070000000000007</v>
      </c>
      <c r="CB13" s="13">
        <f t="shared" si="31"/>
        <v>11.344999999999999</v>
      </c>
      <c r="CC13" s="13">
        <f t="shared" si="32"/>
        <v>60.415000000000006</v>
      </c>
      <c r="CD13" s="13" t="str">
        <f t="shared" si="33"/>
        <v/>
      </c>
      <c r="CE13" s="13">
        <f t="shared" si="34"/>
        <v>60.415000000000006</v>
      </c>
      <c r="CF13" s="30" t="str">
        <f t="shared" si="35"/>
        <v/>
      </c>
      <c r="CG13" s="30" t="str">
        <f t="shared" si="36"/>
        <v/>
      </c>
      <c r="CH13" s="30" t="str">
        <f t="shared" si="37"/>
        <v/>
      </c>
      <c r="CI13" s="47"/>
      <c r="CJ13" s="47"/>
      <c r="CK13" s="47"/>
      <c r="CL13" s="47"/>
      <c r="CM13" s="47"/>
      <c r="CN13" s="47"/>
      <c r="CO13" s="47"/>
      <c r="CP13" s="47"/>
      <c r="CQ13" s="47"/>
      <c r="CR13" s="47"/>
      <c r="CS13" s="47"/>
      <c r="CT13" s="47"/>
      <c r="CU13" s="47"/>
      <c r="CV13" s="47"/>
      <c r="CW13" s="47"/>
      <c r="CX13" s="13" t="str">
        <f t="shared" si="38"/>
        <v/>
      </c>
      <c r="CY13" s="13" t="str">
        <f t="shared" si="39"/>
        <v/>
      </c>
      <c r="CZ13" s="13" t="str">
        <f t="shared" si="40"/>
        <v/>
      </c>
      <c r="DA13" s="13" t="str">
        <f t="shared" si="41"/>
        <v/>
      </c>
      <c r="DB13" s="13" t="str">
        <f t="shared" si="42"/>
        <v/>
      </c>
      <c r="DC13" s="13" t="str">
        <f t="shared" si="43"/>
        <v/>
      </c>
      <c r="DD13" s="48"/>
      <c r="DE13" s="48"/>
      <c r="DF13" s="48"/>
      <c r="DG13" s="48"/>
      <c r="DH13" s="48"/>
      <c r="DI13" s="48"/>
      <c r="DJ13" s="48"/>
      <c r="DK13" s="48"/>
      <c r="DL13" s="48"/>
      <c r="DM13" s="48"/>
      <c r="DN13" s="48"/>
      <c r="DO13" s="48"/>
      <c r="DP13" s="48"/>
      <c r="DQ13" s="48"/>
      <c r="DR13" s="48"/>
      <c r="DS13" s="16" t="str">
        <f t="shared" si="44"/>
        <v/>
      </c>
      <c r="DT13" s="16" t="str">
        <f t="shared" si="45"/>
        <v/>
      </c>
      <c r="DU13" s="16" t="str">
        <f t="shared" si="46"/>
        <v/>
      </c>
      <c r="DV13" s="16" t="str">
        <f t="shared" si="47"/>
        <v/>
      </c>
      <c r="DW13" s="16" t="str">
        <f t="shared" si="48"/>
        <v/>
      </c>
      <c r="DX13" s="16" t="str">
        <f t="shared" si="49"/>
        <v/>
      </c>
      <c r="DY13" s="47"/>
      <c r="DZ13" s="47"/>
      <c r="EA13" s="47"/>
      <c r="EB13" s="47"/>
      <c r="EC13" s="47"/>
      <c r="ED13" s="47"/>
      <c r="EE13" s="47"/>
      <c r="EF13" s="47"/>
      <c r="EG13" s="47"/>
      <c r="EH13" s="47"/>
      <c r="EI13" s="47"/>
      <c r="EJ13" s="47"/>
      <c r="EK13" s="47"/>
      <c r="EL13" s="47"/>
      <c r="EM13" s="47"/>
      <c r="EN13" s="13" t="str">
        <f t="shared" si="50"/>
        <v/>
      </c>
      <c r="EO13" s="13" t="str">
        <f t="shared" si="51"/>
        <v/>
      </c>
      <c r="EP13" s="13" t="str">
        <f t="shared" si="52"/>
        <v/>
      </c>
      <c r="EQ13" s="13" t="str">
        <f t="shared" si="53"/>
        <v/>
      </c>
      <c r="ER13" s="13" t="str">
        <f t="shared" si="54"/>
        <v/>
      </c>
      <c r="ES13" s="13" t="str">
        <f t="shared" si="55"/>
        <v/>
      </c>
      <c r="ET13" s="48"/>
      <c r="EU13" s="48"/>
      <c r="EV13" s="48"/>
      <c r="EW13" s="48"/>
      <c r="EX13" s="48"/>
      <c r="EY13" s="48"/>
      <c r="EZ13" s="48"/>
      <c r="FA13" s="48"/>
      <c r="FB13" s="48"/>
      <c r="FC13" s="48"/>
      <c r="FD13" s="48"/>
      <c r="FE13" s="48"/>
      <c r="FF13" s="48"/>
      <c r="FG13" s="48"/>
      <c r="FH13" s="48"/>
      <c r="FI13" s="16" t="str">
        <f t="shared" si="56"/>
        <v/>
      </c>
      <c r="FJ13" s="16" t="str">
        <f t="shared" si="57"/>
        <v/>
      </c>
      <c r="FK13" s="16" t="str">
        <f t="shared" si="58"/>
        <v/>
      </c>
      <c r="FL13" s="16" t="str">
        <f t="shared" si="59"/>
        <v/>
      </c>
      <c r="FM13" s="16" t="str">
        <f t="shared" si="60"/>
        <v/>
      </c>
      <c r="FN13" s="16" t="str">
        <f t="shared" si="61"/>
        <v/>
      </c>
      <c r="FO13" s="47"/>
      <c r="FP13" s="47"/>
      <c r="FQ13" s="47"/>
      <c r="FR13" s="47"/>
      <c r="FS13" s="47"/>
      <c r="FT13" s="47"/>
      <c r="FU13" s="47"/>
      <c r="FV13" s="47"/>
      <c r="FW13" s="47"/>
      <c r="FX13" s="47"/>
      <c r="FY13" s="47"/>
      <c r="FZ13" s="47"/>
      <c r="GA13" s="47"/>
      <c r="GB13" s="47"/>
      <c r="GC13" s="47"/>
      <c r="GD13" s="13" t="str">
        <f t="shared" si="62"/>
        <v/>
      </c>
      <c r="GE13" s="13" t="str">
        <f t="shared" si="63"/>
        <v/>
      </c>
      <c r="GF13" s="13" t="str">
        <f t="shared" si="64"/>
        <v/>
      </c>
      <c r="GG13" s="13" t="str">
        <f t="shared" si="65"/>
        <v/>
      </c>
      <c r="GH13" s="13" t="str">
        <f t="shared" si="66"/>
        <v/>
      </c>
      <c r="GI13" s="13" t="str">
        <f t="shared" si="67"/>
        <v/>
      </c>
      <c r="GJ13" s="48"/>
      <c r="GK13" s="48"/>
      <c r="GL13" s="48"/>
      <c r="GM13" s="48"/>
      <c r="GN13" s="48"/>
      <c r="GO13" s="48"/>
      <c r="GP13" s="48"/>
      <c r="GQ13" s="48"/>
      <c r="GR13" s="48"/>
      <c r="GS13" s="48"/>
      <c r="GT13" s="48"/>
      <c r="GU13" s="48"/>
      <c r="GV13" s="48"/>
      <c r="GW13" s="48"/>
      <c r="GX13" s="48"/>
      <c r="GY13" s="16" t="str">
        <f t="shared" si="68"/>
        <v/>
      </c>
      <c r="GZ13" s="16" t="str">
        <f t="shared" si="69"/>
        <v/>
      </c>
      <c r="HA13" s="16" t="str">
        <f t="shared" si="70"/>
        <v/>
      </c>
      <c r="HB13" s="16" t="str">
        <f t="shared" si="71"/>
        <v/>
      </c>
      <c r="HC13" s="16" t="str">
        <f t="shared" si="72"/>
        <v/>
      </c>
      <c r="HD13" s="16" t="str">
        <f t="shared" si="73"/>
        <v/>
      </c>
      <c r="HE13" s="47"/>
      <c r="HF13" s="47"/>
      <c r="HG13" s="47"/>
      <c r="HH13" s="47"/>
      <c r="HI13" s="47"/>
      <c r="HJ13" s="47"/>
      <c r="HK13" s="47"/>
      <c r="HL13" s="47"/>
      <c r="HM13" s="47"/>
      <c r="HN13" s="47"/>
      <c r="HO13" s="47"/>
      <c r="HP13" s="47"/>
      <c r="HQ13" s="47"/>
      <c r="HR13" s="47"/>
      <c r="HS13" s="47"/>
      <c r="HT13" s="13" t="str">
        <f t="shared" si="74"/>
        <v/>
      </c>
      <c r="HU13" s="13" t="str">
        <f t="shared" si="75"/>
        <v/>
      </c>
      <c r="HV13" s="13" t="str">
        <f t="shared" si="76"/>
        <v/>
      </c>
      <c r="HW13" s="13" t="str">
        <f t="shared" si="77"/>
        <v/>
      </c>
      <c r="HX13" s="13" t="str">
        <f t="shared" si="78"/>
        <v/>
      </c>
      <c r="HY13" s="13" t="str">
        <f t="shared" si="79"/>
        <v/>
      </c>
      <c r="HZ13" s="48"/>
      <c r="IA13" s="48"/>
      <c r="IB13" s="48"/>
      <c r="IC13" s="48"/>
      <c r="ID13" s="48"/>
      <c r="IE13" s="48"/>
      <c r="IF13" s="48"/>
      <c r="IG13" s="48"/>
      <c r="IH13" s="48"/>
      <c r="II13" s="48"/>
      <c r="IJ13" s="48"/>
      <c r="IK13" s="48"/>
      <c r="IL13" s="48"/>
      <c r="IM13" s="48"/>
      <c r="IN13" s="48"/>
      <c r="IO13" s="16" t="str">
        <f t="shared" si="80"/>
        <v/>
      </c>
      <c r="IP13" s="16" t="str">
        <f t="shared" si="81"/>
        <v/>
      </c>
      <c r="IQ13" s="16" t="str">
        <f t="shared" si="82"/>
        <v/>
      </c>
      <c r="IR13" s="16" t="str">
        <f t="shared" si="83"/>
        <v/>
      </c>
      <c r="IS13" s="16" t="str">
        <f t="shared" si="84"/>
        <v/>
      </c>
      <c r="IT13" s="16" t="str">
        <f t="shared" si="85"/>
        <v/>
      </c>
      <c r="IU13" s="47"/>
      <c r="IV13" s="47"/>
      <c r="IW13" s="47"/>
      <c r="IX13" s="47"/>
      <c r="IY13" s="47"/>
      <c r="IZ13" s="47"/>
      <c r="JA13" s="47"/>
      <c r="JB13" s="47"/>
      <c r="JC13" s="47"/>
      <c r="JD13" s="47"/>
      <c r="JE13" s="47"/>
      <c r="JF13" s="47"/>
      <c r="JG13" s="47"/>
      <c r="JH13" s="47"/>
      <c r="JI13" s="47"/>
      <c r="JJ13" s="13" t="str">
        <f t="shared" si="86"/>
        <v/>
      </c>
      <c r="JK13" s="13" t="str">
        <f t="shared" si="87"/>
        <v/>
      </c>
      <c r="JL13" s="13" t="str">
        <f t="shared" si="88"/>
        <v/>
      </c>
      <c r="JM13" s="13" t="str">
        <f t="shared" si="89"/>
        <v/>
      </c>
      <c r="JN13" s="13" t="str">
        <f t="shared" si="90"/>
        <v/>
      </c>
      <c r="JO13" s="13" t="str">
        <f t="shared" si="91"/>
        <v/>
      </c>
      <c r="JP13" s="48"/>
      <c r="JQ13" s="48"/>
      <c r="JR13" s="48"/>
      <c r="JS13" s="48"/>
      <c r="JT13" s="48"/>
      <c r="JU13" s="48"/>
      <c r="JV13" s="48"/>
      <c r="JW13" s="48"/>
      <c r="JX13" s="48"/>
      <c r="JY13" s="48"/>
      <c r="JZ13" s="48"/>
      <c r="KA13" s="48"/>
      <c r="KB13" s="48"/>
      <c r="KC13" s="48"/>
      <c r="KD13" s="48"/>
      <c r="KE13" s="16" t="str">
        <f t="shared" si="92"/>
        <v/>
      </c>
      <c r="KF13" s="16" t="str">
        <f t="shared" si="93"/>
        <v/>
      </c>
      <c r="KG13" s="16" t="str">
        <f t="shared" si="94"/>
        <v/>
      </c>
      <c r="KH13" s="16" t="str">
        <f t="shared" si="95"/>
        <v/>
      </c>
      <c r="KI13" s="16" t="str">
        <f t="shared" si="96"/>
        <v/>
      </c>
      <c r="KJ13" s="16" t="str">
        <f t="shared" si="97"/>
        <v/>
      </c>
      <c r="KK13" s="47"/>
      <c r="KL13" s="47"/>
      <c r="KM13" s="47"/>
      <c r="KN13" s="47"/>
      <c r="KO13" s="47"/>
      <c r="KP13" s="47"/>
      <c r="KQ13" s="47"/>
      <c r="KR13" s="47"/>
      <c r="KS13" s="47"/>
      <c r="KT13" s="47"/>
      <c r="KU13" s="47"/>
      <c r="KV13" s="47"/>
      <c r="KW13" s="47"/>
      <c r="KX13" s="47"/>
      <c r="KY13" s="47"/>
      <c r="KZ13" s="13" t="str">
        <f t="shared" si="98"/>
        <v/>
      </c>
      <c r="LA13" s="13" t="str">
        <f t="shared" si="99"/>
        <v/>
      </c>
      <c r="LB13" s="13" t="str">
        <f t="shared" si="100"/>
        <v/>
      </c>
      <c r="LC13" s="13" t="str">
        <f t="shared" si="101"/>
        <v/>
      </c>
      <c r="LD13" s="13" t="str">
        <f t="shared" si="102"/>
        <v/>
      </c>
      <c r="LE13" s="13" t="str">
        <f t="shared" si="103"/>
        <v/>
      </c>
      <c r="LF13" s="48"/>
      <c r="LG13" s="48"/>
      <c r="LH13" s="48"/>
      <c r="LI13" s="48"/>
      <c r="LJ13" s="48"/>
      <c r="LK13" s="48"/>
      <c r="LL13" s="48"/>
      <c r="LM13" s="48"/>
      <c r="LN13" s="48"/>
      <c r="LO13" s="48"/>
      <c r="LP13" s="48"/>
      <c r="LQ13" s="48"/>
      <c r="LR13" s="48"/>
      <c r="LS13" s="48"/>
      <c r="LT13" s="48"/>
      <c r="LU13" s="16" t="str">
        <f t="shared" si="104"/>
        <v/>
      </c>
      <c r="LV13" s="16" t="str">
        <f t="shared" si="105"/>
        <v/>
      </c>
      <c r="LW13" s="16" t="str">
        <f t="shared" si="106"/>
        <v/>
      </c>
      <c r="LX13" s="16" t="str">
        <f t="shared" si="107"/>
        <v/>
      </c>
      <c r="LY13" s="16" t="str">
        <f t="shared" si="108"/>
        <v/>
      </c>
      <c r="LZ13" s="16" t="str">
        <f t="shared" si="109"/>
        <v/>
      </c>
    </row>
    <row r="14" spans="1:338" x14ac:dyDescent="0.2">
      <c r="A14" s="6" t="str">
        <f t="shared" si="0"/>
        <v/>
      </c>
      <c r="B14" s="9" t="s">
        <v>18</v>
      </c>
      <c r="C14" s="5" t="s">
        <v>8</v>
      </c>
      <c r="D14" s="8">
        <v>2015</v>
      </c>
      <c r="E14" s="17">
        <f t="shared" si="1"/>
        <v>240.38</v>
      </c>
      <c r="F14" s="4" t="str">
        <f t="shared" si="2"/>
        <v/>
      </c>
      <c r="G14" s="4" t="str">
        <f t="shared" si="3"/>
        <v/>
      </c>
      <c r="H14" s="4" t="str">
        <f t="shared" si="4"/>
        <v/>
      </c>
      <c r="I14" t="str">
        <f t="shared" si="5"/>
        <v/>
      </c>
      <c r="J14" s="16">
        <f t="shared" si="6"/>
        <v>101.13000000000001</v>
      </c>
      <c r="K14" s="16" t="str">
        <f t="shared" si="7"/>
        <v>2018 Nationals</v>
      </c>
      <c r="L14" s="16">
        <f t="shared" si="8"/>
        <v>36.774999999999999</v>
      </c>
      <c r="M14" s="16" t="str">
        <f t="shared" si="9"/>
        <v>2018 Canada Cup</v>
      </c>
      <c r="N14" s="16">
        <f t="shared" si="10"/>
        <v>50.525000000000006</v>
      </c>
      <c r="O14" s="16" t="str">
        <f t="shared" si="11"/>
        <v>2018 Canada Cup</v>
      </c>
      <c r="P14" s="16">
        <f t="shared" si="12"/>
        <v>51.95</v>
      </c>
      <c r="Q14" s="16" t="str">
        <f t="shared" si="13"/>
        <v>2018 Nationals</v>
      </c>
      <c r="R14" s="16" t="str">
        <f t="shared" si="14"/>
        <v/>
      </c>
      <c r="S14" s="31" t="str">
        <f t="shared" si="15"/>
        <v/>
      </c>
      <c r="T14" s="16" t="str">
        <f t="shared" si="16"/>
        <v/>
      </c>
      <c r="U14" s="86"/>
      <c r="V14" s="86"/>
      <c r="W14" s="86"/>
      <c r="X14" s="86"/>
      <c r="Y14" s="86"/>
      <c r="Z14" s="86"/>
      <c r="AA14" s="86"/>
      <c r="AB14" s="86"/>
      <c r="AC14" s="86"/>
      <c r="AD14" s="86"/>
      <c r="AE14" s="86"/>
      <c r="AF14" s="86"/>
      <c r="AG14" s="86"/>
      <c r="AH14" s="86"/>
      <c r="AI14" s="86"/>
      <c r="AJ14" s="13" t="str">
        <f t="shared" si="17"/>
        <v/>
      </c>
      <c r="AK14" s="13" t="str">
        <f t="shared" si="18"/>
        <v/>
      </c>
      <c r="AL14" s="13" t="str">
        <f t="shared" si="19"/>
        <v/>
      </c>
      <c r="AM14" s="13" t="str">
        <f t="shared" si="20"/>
        <v/>
      </c>
      <c r="AN14" s="13" t="str">
        <f t="shared" si="21"/>
        <v/>
      </c>
      <c r="AO14" s="13" t="str">
        <f t="shared" si="22"/>
        <v/>
      </c>
      <c r="AP14" s="94">
        <v>13.8</v>
      </c>
      <c r="AQ14" s="94">
        <v>7.05</v>
      </c>
      <c r="AR14" s="94">
        <v>2.7</v>
      </c>
      <c r="AS14" s="94">
        <v>13.225</v>
      </c>
      <c r="AT14" s="94">
        <v>0</v>
      </c>
      <c r="AU14" s="94">
        <v>12.2</v>
      </c>
      <c r="AV14" s="94">
        <v>8.5</v>
      </c>
      <c r="AW14" s="94">
        <v>14.4</v>
      </c>
      <c r="AX14" s="94">
        <v>15.425000000000001</v>
      </c>
      <c r="AY14" s="94">
        <v>0</v>
      </c>
      <c r="AZ14" s="94">
        <v>8.6999999999999993</v>
      </c>
      <c r="BA14" s="94">
        <v>5.55</v>
      </c>
      <c r="BB14" s="94">
        <v>9.1999999999999993</v>
      </c>
      <c r="BC14" s="94">
        <v>9.8699999999999992</v>
      </c>
      <c r="BD14" s="94">
        <v>0</v>
      </c>
      <c r="BE14" s="16">
        <f t="shared" si="23"/>
        <v>17.100000000000001</v>
      </c>
      <c r="BF14" s="16">
        <f t="shared" si="24"/>
        <v>36.774999999999999</v>
      </c>
      <c r="BG14" s="16">
        <f t="shared" si="25"/>
        <v>50.525000000000006</v>
      </c>
      <c r="BH14" s="16">
        <f t="shared" si="26"/>
        <v>87.300000000000011</v>
      </c>
      <c r="BI14" s="16">
        <f t="shared" si="27"/>
        <v>33.32</v>
      </c>
      <c r="BJ14" s="16">
        <f t="shared" si="28"/>
        <v>120.62</v>
      </c>
      <c r="BK14" s="47">
        <v>17.600000000000001</v>
      </c>
      <c r="BL14" s="47">
        <v>8.6</v>
      </c>
      <c r="BM14" s="47">
        <v>5.0999999999999996</v>
      </c>
      <c r="BN14" s="47">
        <v>16.315000000000001</v>
      </c>
      <c r="BO14" s="47">
        <v>0</v>
      </c>
      <c r="BP14" s="47">
        <v>14.2</v>
      </c>
      <c r="BQ14" s="47">
        <v>8.9499999999999993</v>
      </c>
      <c r="BR14" s="47">
        <v>15</v>
      </c>
      <c r="BS14" s="47">
        <v>15.765000000000001</v>
      </c>
      <c r="BT14" s="47">
        <v>0.4</v>
      </c>
      <c r="BU14" s="47">
        <v>13.6</v>
      </c>
      <c r="BV14" s="47">
        <v>8.9</v>
      </c>
      <c r="BW14" s="47">
        <v>13.6</v>
      </c>
      <c r="BX14" s="47">
        <v>15.85</v>
      </c>
      <c r="BY14" s="47">
        <v>0</v>
      </c>
      <c r="BZ14" s="13">
        <f t="shared" si="29"/>
        <v>20.100000000000001</v>
      </c>
      <c r="CA14" s="13">
        <f t="shared" si="30"/>
        <v>47.615000000000009</v>
      </c>
      <c r="CB14" s="13">
        <f t="shared" si="31"/>
        <v>53.515000000000001</v>
      </c>
      <c r="CC14" s="13">
        <f t="shared" si="32"/>
        <v>101.13000000000001</v>
      </c>
      <c r="CD14" s="13">
        <f t="shared" si="33"/>
        <v>51.95</v>
      </c>
      <c r="CE14" s="13">
        <f t="shared" si="34"/>
        <v>153.08000000000001</v>
      </c>
      <c r="CF14" s="30" t="str">
        <f t="shared" si="35"/>
        <v/>
      </c>
      <c r="CG14" s="30" t="str">
        <f t="shared" si="36"/>
        <v/>
      </c>
      <c r="CH14" s="30" t="str">
        <f t="shared" si="37"/>
        <v/>
      </c>
      <c r="CI14" s="47"/>
      <c r="CJ14" s="47"/>
      <c r="CK14" s="47"/>
      <c r="CL14" s="47"/>
      <c r="CM14" s="47"/>
      <c r="CN14" s="47"/>
      <c r="CO14" s="47"/>
      <c r="CP14" s="47"/>
      <c r="CQ14" s="47"/>
      <c r="CR14" s="47"/>
      <c r="CS14" s="47"/>
      <c r="CT14" s="47"/>
      <c r="CU14" s="47"/>
      <c r="CV14" s="47"/>
      <c r="CW14" s="47"/>
      <c r="CX14" s="13" t="str">
        <f t="shared" si="38"/>
        <v/>
      </c>
      <c r="CY14" s="13" t="str">
        <f t="shared" si="39"/>
        <v/>
      </c>
      <c r="CZ14" s="13" t="str">
        <f t="shared" si="40"/>
        <v/>
      </c>
      <c r="DA14" s="13" t="str">
        <f t="shared" si="41"/>
        <v/>
      </c>
      <c r="DB14" s="13" t="str">
        <f t="shared" si="42"/>
        <v/>
      </c>
      <c r="DC14" s="13" t="str">
        <f t="shared" si="43"/>
        <v/>
      </c>
      <c r="DD14" s="48"/>
      <c r="DE14" s="48"/>
      <c r="DF14" s="48"/>
      <c r="DG14" s="48"/>
      <c r="DH14" s="48"/>
      <c r="DI14" s="48"/>
      <c r="DJ14" s="48"/>
      <c r="DK14" s="48"/>
      <c r="DL14" s="48"/>
      <c r="DM14" s="48"/>
      <c r="DN14" s="48"/>
      <c r="DO14" s="48"/>
      <c r="DP14" s="48"/>
      <c r="DQ14" s="48"/>
      <c r="DR14" s="48"/>
      <c r="DS14" s="16" t="str">
        <f t="shared" si="44"/>
        <v/>
      </c>
      <c r="DT14" s="16" t="str">
        <f t="shared" si="45"/>
        <v/>
      </c>
      <c r="DU14" s="16" t="str">
        <f t="shared" si="46"/>
        <v/>
      </c>
      <c r="DV14" s="16" t="str">
        <f t="shared" si="47"/>
        <v/>
      </c>
      <c r="DW14" s="16" t="str">
        <f t="shared" si="48"/>
        <v/>
      </c>
      <c r="DX14" s="16" t="str">
        <f t="shared" si="49"/>
        <v/>
      </c>
      <c r="DY14" s="47"/>
      <c r="DZ14" s="47"/>
      <c r="EA14" s="47"/>
      <c r="EB14" s="47"/>
      <c r="EC14" s="47"/>
      <c r="ED14" s="47"/>
      <c r="EE14" s="47"/>
      <c r="EF14" s="47"/>
      <c r="EG14" s="47"/>
      <c r="EH14" s="47"/>
      <c r="EI14" s="47"/>
      <c r="EJ14" s="47"/>
      <c r="EK14" s="47"/>
      <c r="EL14" s="47"/>
      <c r="EM14" s="47"/>
      <c r="EN14" s="13" t="str">
        <f t="shared" si="50"/>
        <v/>
      </c>
      <c r="EO14" s="13" t="str">
        <f t="shared" si="51"/>
        <v/>
      </c>
      <c r="EP14" s="13" t="str">
        <f t="shared" si="52"/>
        <v/>
      </c>
      <c r="EQ14" s="13" t="str">
        <f t="shared" si="53"/>
        <v/>
      </c>
      <c r="ER14" s="13" t="str">
        <f t="shared" si="54"/>
        <v/>
      </c>
      <c r="ES14" s="13" t="str">
        <f t="shared" si="55"/>
        <v/>
      </c>
      <c r="ET14" s="48"/>
      <c r="EU14" s="48"/>
      <c r="EV14" s="48"/>
      <c r="EW14" s="48"/>
      <c r="EX14" s="48"/>
      <c r="EY14" s="48"/>
      <c r="EZ14" s="48"/>
      <c r="FA14" s="48"/>
      <c r="FB14" s="48"/>
      <c r="FC14" s="48"/>
      <c r="FD14" s="48"/>
      <c r="FE14" s="48"/>
      <c r="FF14" s="48"/>
      <c r="FG14" s="48"/>
      <c r="FH14" s="48"/>
      <c r="FI14" s="16" t="str">
        <f t="shared" si="56"/>
        <v/>
      </c>
      <c r="FJ14" s="16" t="str">
        <f t="shared" si="57"/>
        <v/>
      </c>
      <c r="FK14" s="16" t="str">
        <f t="shared" si="58"/>
        <v/>
      </c>
      <c r="FL14" s="16" t="str">
        <f t="shared" si="59"/>
        <v/>
      </c>
      <c r="FM14" s="16" t="str">
        <f t="shared" si="60"/>
        <v/>
      </c>
      <c r="FN14" s="16" t="str">
        <f t="shared" si="61"/>
        <v/>
      </c>
      <c r="FO14" s="47"/>
      <c r="FP14" s="47"/>
      <c r="FQ14" s="47"/>
      <c r="FR14" s="47"/>
      <c r="FS14" s="47"/>
      <c r="FT14" s="47"/>
      <c r="FU14" s="47"/>
      <c r="FV14" s="47"/>
      <c r="FW14" s="47"/>
      <c r="FX14" s="47"/>
      <c r="FY14" s="47"/>
      <c r="FZ14" s="47"/>
      <c r="GA14" s="47"/>
      <c r="GB14" s="47"/>
      <c r="GC14" s="47"/>
      <c r="GD14" s="13" t="str">
        <f t="shared" si="62"/>
        <v/>
      </c>
      <c r="GE14" s="13" t="str">
        <f t="shared" si="63"/>
        <v/>
      </c>
      <c r="GF14" s="13" t="str">
        <f t="shared" si="64"/>
        <v/>
      </c>
      <c r="GG14" s="13" t="str">
        <f t="shared" si="65"/>
        <v/>
      </c>
      <c r="GH14" s="13" t="str">
        <f t="shared" si="66"/>
        <v/>
      </c>
      <c r="GI14" s="13" t="str">
        <f t="shared" si="67"/>
        <v/>
      </c>
      <c r="GJ14" s="48"/>
      <c r="GK14" s="48"/>
      <c r="GL14" s="48"/>
      <c r="GM14" s="48"/>
      <c r="GN14" s="48"/>
      <c r="GO14" s="48"/>
      <c r="GP14" s="48"/>
      <c r="GQ14" s="48"/>
      <c r="GR14" s="48"/>
      <c r="GS14" s="48"/>
      <c r="GT14" s="48"/>
      <c r="GU14" s="48"/>
      <c r="GV14" s="48"/>
      <c r="GW14" s="48"/>
      <c r="GX14" s="48"/>
      <c r="GY14" s="16" t="str">
        <f t="shared" si="68"/>
        <v/>
      </c>
      <c r="GZ14" s="16" t="str">
        <f t="shared" si="69"/>
        <v/>
      </c>
      <c r="HA14" s="16" t="str">
        <f t="shared" si="70"/>
        <v/>
      </c>
      <c r="HB14" s="16" t="str">
        <f t="shared" si="71"/>
        <v/>
      </c>
      <c r="HC14" s="16" t="str">
        <f t="shared" si="72"/>
        <v/>
      </c>
      <c r="HD14" s="16" t="str">
        <f t="shared" si="73"/>
        <v/>
      </c>
      <c r="HE14" s="47"/>
      <c r="HF14" s="47"/>
      <c r="HG14" s="47"/>
      <c r="HH14" s="47"/>
      <c r="HI14" s="47"/>
      <c r="HJ14" s="47"/>
      <c r="HK14" s="47"/>
      <c r="HL14" s="47"/>
      <c r="HM14" s="47"/>
      <c r="HN14" s="47"/>
      <c r="HO14" s="47"/>
      <c r="HP14" s="47"/>
      <c r="HQ14" s="47"/>
      <c r="HR14" s="47"/>
      <c r="HS14" s="47"/>
      <c r="HT14" s="13" t="str">
        <f t="shared" si="74"/>
        <v/>
      </c>
      <c r="HU14" s="13" t="str">
        <f t="shared" si="75"/>
        <v/>
      </c>
      <c r="HV14" s="13" t="str">
        <f t="shared" si="76"/>
        <v/>
      </c>
      <c r="HW14" s="13" t="str">
        <f t="shared" si="77"/>
        <v/>
      </c>
      <c r="HX14" s="13" t="str">
        <f t="shared" si="78"/>
        <v/>
      </c>
      <c r="HY14" s="13" t="str">
        <f t="shared" si="79"/>
        <v/>
      </c>
      <c r="HZ14" s="48"/>
      <c r="IA14" s="48"/>
      <c r="IB14" s="48"/>
      <c r="IC14" s="48"/>
      <c r="ID14" s="48"/>
      <c r="IE14" s="48"/>
      <c r="IF14" s="48"/>
      <c r="IG14" s="48"/>
      <c r="IH14" s="48"/>
      <c r="II14" s="48"/>
      <c r="IJ14" s="48"/>
      <c r="IK14" s="48"/>
      <c r="IL14" s="48"/>
      <c r="IM14" s="48"/>
      <c r="IN14" s="48"/>
      <c r="IO14" s="16" t="str">
        <f t="shared" si="80"/>
        <v/>
      </c>
      <c r="IP14" s="16" t="str">
        <f t="shared" si="81"/>
        <v/>
      </c>
      <c r="IQ14" s="16" t="str">
        <f t="shared" si="82"/>
        <v/>
      </c>
      <c r="IR14" s="16" t="str">
        <f t="shared" si="83"/>
        <v/>
      </c>
      <c r="IS14" s="16" t="str">
        <f t="shared" si="84"/>
        <v/>
      </c>
      <c r="IT14" s="16" t="str">
        <f t="shared" si="85"/>
        <v/>
      </c>
      <c r="IU14" s="47"/>
      <c r="IV14" s="47"/>
      <c r="IW14" s="47"/>
      <c r="IX14" s="47"/>
      <c r="IY14" s="47"/>
      <c r="IZ14" s="47"/>
      <c r="JA14" s="47"/>
      <c r="JB14" s="47"/>
      <c r="JC14" s="47"/>
      <c r="JD14" s="47"/>
      <c r="JE14" s="47"/>
      <c r="JF14" s="47"/>
      <c r="JG14" s="47"/>
      <c r="JH14" s="47"/>
      <c r="JI14" s="47"/>
      <c r="JJ14" s="13" t="str">
        <f t="shared" si="86"/>
        <v/>
      </c>
      <c r="JK14" s="13" t="str">
        <f t="shared" si="87"/>
        <v/>
      </c>
      <c r="JL14" s="13" t="str">
        <f t="shared" si="88"/>
        <v/>
      </c>
      <c r="JM14" s="13" t="str">
        <f t="shared" si="89"/>
        <v/>
      </c>
      <c r="JN14" s="13" t="str">
        <f t="shared" si="90"/>
        <v/>
      </c>
      <c r="JO14" s="13" t="str">
        <f t="shared" si="91"/>
        <v/>
      </c>
      <c r="JP14" s="48"/>
      <c r="JQ14" s="48"/>
      <c r="JR14" s="48"/>
      <c r="JS14" s="48"/>
      <c r="JT14" s="48"/>
      <c r="JU14" s="48"/>
      <c r="JV14" s="48"/>
      <c r="JW14" s="48"/>
      <c r="JX14" s="48"/>
      <c r="JY14" s="48"/>
      <c r="JZ14" s="48"/>
      <c r="KA14" s="48"/>
      <c r="KB14" s="48"/>
      <c r="KC14" s="48"/>
      <c r="KD14" s="48"/>
      <c r="KE14" s="16" t="str">
        <f t="shared" si="92"/>
        <v/>
      </c>
      <c r="KF14" s="16" t="str">
        <f t="shared" si="93"/>
        <v/>
      </c>
      <c r="KG14" s="16" t="str">
        <f t="shared" si="94"/>
        <v/>
      </c>
      <c r="KH14" s="16" t="str">
        <f t="shared" si="95"/>
        <v/>
      </c>
      <c r="KI14" s="16" t="str">
        <f t="shared" si="96"/>
        <v/>
      </c>
      <c r="KJ14" s="16" t="str">
        <f t="shared" si="97"/>
        <v/>
      </c>
      <c r="KK14" s="47"/>
      <c r="KL14" s="47"/>
      <c r="KM14" s="47"/>
      <c r="KN14" s="47"/>
      <c r="KO14" s="47"/>
      <c r="KP14" s="47"/>
      <c r="KQ14" s="47"/>
      <c r="KR14" s="47"/>
      <c r="KS14" s="47"/>
      <c r="KT14" s="47"/>
      <c r="KU14" s="47"/>
      <c r="KV14" s="47"/>
      <c r="KW14" s="47"/>
      <c r="KX14" s="47"/>
      <c r="KY14" s="47"/>
      <c r="KZ14" s="13" t="str">
        <f t="shared" si="98"/>
        <v/>
      </c>
      <c r="LA14" s="13" t="str">
        <f t="shared" si="99"/>
        <v/>
      </c>
      <c r="LB14" s="13" t="str">
        <f t="shared" si="100"/>
        <v/>
      </c>
      <c r="LC14" s="13" t="str">
        <f t="shared" si="101"/>
        <v/>
      </c>
      <c r="LD14" s="13" t="str">
        <f t="shared" si="102"/>
        <v/>
      </c>
      <c r="LE14" s="13" t="str">
        <f t="shared" si="103"/>
        <v/>
      </c>
      <c r="LF14" s="48"/>
      <c r="LG14" s="48"/>
      <c r="LH14" s="48"/>
      <c r="LI14" s="48"/>
      <c r="LJ14" s="48"/>
      <c r="LK14" s="48"/>
      <c r="LL14" s="48"/>
      <c r="LM14" s="48"/>
      <c r="LN14" s="48"/>
      <c r="LO14" s="48"/>
      <c r="LP14" s="48"/>
      <c r="LQ14" s="48"/>
      <c r="LR14" s="48"/>
      <c r="LS14" s="48"/>
      <c r="LT14" s="48"/>
      <c r="LU14" s="16" t="str">
        <f t="shared" si="104"/>
        <v/>
      </c>
      <c r="LV14" s="16" t="str">
        <f t="shared" si="105"/>
        <v/>
      </c>
      <c r="LW14" s="16" t="str">
        <f t="shared" si="106"/>
        <v/>
      </c>
      <c r="LX14" s="16" t="str">
        <f t="shared" si="107"/>
        <v/>
      </c>
      <c r="LY14" s="16" t="str">
        <f t="shared" si="108"/>
        <v/>
      </c>
      <c r="LZ14" s="16" t="str">
        <f t="shared" si="109"/>
        <v/>
      </c>
    </row>
    <row r="15" spans="1:338" x14ac:dyDescent="0.2">
      <c r="A15" s="6" t="str">
        <f t="shared" si="0"/>
        <v/>
      </c>
      <c r="B15" s="7" t="s">
        <v>129</v>
      </c>
      <c r="C15" s="8" t="s">
        <v>13</v>
      </c>
      <c r="D15" s="33">
        <v>2018</v>
      </c>
      <c r="E15" s="17">
        <f t="shared" si="1"/>
        <v>229.28499999999997</v>
      </c>
      <c r="F15" s="4" t="str">
        <f t="shared" si="2"/>
        <v/>
      </c>
      <c r="G15" s="4" t="str">
        <f t="shared" si="3"/>
        <v/>
      </c>
      <c r="H15" s="4" t="str">
        <f t="shared" si="4"/>
        <v/>
      </c>
      <c r="I15" t="str">
        <f t="shared" si="5"/>
        <v/>
      </c>
      <c r="J15" s="16">
        <f t="shared" si="6"/>
        <v>102.55</v>
      </c>
      <c r="K15" s="16" t="str">
        <f t="shared" si="7"/>
        <v>2018 Nationals</v>
      </c>
      <c r="L15" s="16">
        <f t="shared" si="8"/>
        <v>45.024999999999999</v>
      </c>
      <c r="M15" s="16" t="str">
        <f t="shared" si="9"/>
        <v>2018 Canada Cup</v>
      </c>
      <c r="N15" s="16">
        <f t="shared" si="10"/>
        <v>27.73</v>
      </c>
      <c r="O15" s="16" t="str">
        <f t="shared" si="11"/>
        <v>2018 Canada Cup</v>
      </c>
      <c r="P15" s="16">
        <f t="shared" si="12"/>
        <v>53.98</v>
      </c>
      <c r="Q15" s="16" t="str">
        <f t="shared" si="13"/>
        <v>2018 Nationals</v>
      </c>
      <c r="R15" s="16" t="str">
        <f t="shared" si="14"/>
        <v/>
      </c>
      <c r="S15" s="31" t="str">
        <f t="shared" si="15"/>
        <v/>
      </c>
      <c r="T15" s="16" t="str">
        <f t="shared" si="16"/>
        <v/>
      </c>
      <c r="U15" s="86"/>
      <c r="V15" s="86"/>
      <c r="W15" s="86"/>
      <c r="X15" s="86"/>
      <c r="Y15" s="86"/>
      <c r="Z15" s="86"/>
      <c r="AA15" s="86"/>
      <c r="AB15" s="86"/>
      <c r="AC15" s="86"/>
      <c r="AD15" s="86"/>
      <c r="AE15" s="86"/>
      <c r="AF15" s="86"/>
      <c r="AG15" s="86"/>
      <c r="AH15" s="86"/>
      <c r="AI15" s="86"/>
      <c r="AJ15" s="13" t="str">
        <f t="shared" si="17"/>
        <v/>
      </c>
      <c r="AK15" s="13" t="str">
        <f t="shared" si="18"/>
        <v/>
      </c>
      <c r="AL15" s="13" t="str">
        <f t="shared" si="19"/>
        <v/>
      </c>
      <c r="AM15" s="13" t="str">
        <f t="shared" si="20"/>
        <v/>
      </c>
      <c r="AN15" s="13" t="str">
        <f t="shared" si="21"/>
        <v/>
      </c>
      <c r="AO15" s="13" t="str">
        <f t="shared" si="22"/>
        <v/>
      </c>
      <c r="AP15" s="94">
        <v>15.5</v>
      </c>
      <c r="AQ15" s="94">
        <v>8.6999999999999993</v>
      </c>
      <c r="AR15" s="94">
        <v>6</v>
      </c>
      <c r="AS15" s="94">
        <v>16.824999999999999</v>
      </c>
      <c r="AT15" s="94">
        <v>2</v>
      </c>
      <c r="AU15" s="94">
        <v>8</v>
      </c>
      <c r="AV15" s="94">
        <v>4.3</v>
      </c>
      <c r="AW15" s="94">
        <v>7.6</v>
      </c>
      <c r="AX15" s="94">
        <v>8.23</v>
      </c>
      <c r="AY15" s="94">
        <v>0.4</v>
      </c>
      <c r="AZ15" s="94"/>
      <c r="BA15" s="94"/>
      <c r="BB15" s="94"/>
      <c r="BC15" s="94"/>
      <c r="BD15" s="94"/>
      <c r="BE15" s="16">
        <f t="shared" si="23"/>
        <v>13.6</v>
      </c>
      <c r="BF15" s="16">
        <f t="shared" si="24"/>
        <v>45.024999999999999</v>
      </c>
      <c r="BG15" s="16">
        <f t="shared" si="25"/>
        <v>27.73</v>
      </c>
      <c r="BH15" s="16">
        <f t="shared" si="26"/>
        <v>72.754999999999995</v>
      </c>
      <c r="BI15" s="16" t="str">
        <f t="shared" si="27"/>
        <v/>
      </c>
      <c r="BJ15" s="16">
        <f t="shared" si="28"/>
        <v>72.754999999999995</v>
      </c>
      <c r="BK15" s="47">
        <v>17.399999999999999</v>
      </c>
      <c r="BL15" s="47">
        <v>8.8000000000000007</v>
      </c>
      <c r="BM15" s="47">
        <v>5</v>
      </c>
      <c r="BN15" s="47">
        <v>17.045000000000002</v>
      </c>
      <c r="BO15" s="47">
        <v>0</v>
      </c>
      <c r="BP15" s="47">
        <v>16.399999999999999</v>
      </c>
      <c r="BQ15" s="47">
        <v>8.6</v>
      </c>
      <c r="BR15" s="47">
        <v>13.3</v>
      </c>
      <c r="BS15" s="47">
        <v>16.004999999999999</v>
      </c>
      <c r="BT15" s="47">
        <v>0</v>
      </c>
      <c r="BU15" s="47">
        <v>15.7</v>
      </c>
      <c r="BV15" s="47">
        <v>9.0500000000000007</v>
      </c>
      <c r="BW15" s="47">
        <v>13.3</v>
      </c>
      <c r="BX15" s="47">
        <v>15.93</v>
      </c>
      <c r="BY15" s="47">
        <v>0</v>
      </c>
      <c r="BZ15" s="13">
        <f t="shared" si="29"/>
        <v>18.3</v>
      </c>
      <c r="CA15" s="13">
        <f t="shared" si="30"/>
        <v>48.245000000000005</v>
      </c>
      <c r="CB15" s="13">
        <f t="shared" si="31"/>
        <v>54.304999999999993</v>
      </c>
      <c r="CC15" s="13">
        <f t="shared" si="32"/>
        <v>102.55</v>
      </c>
      <c r="CD15" s="13">
        <f t="shared" si="33"/>
        <v>53.98</v>
      </c>
      <c r="CE15" s="13">
        <f t="shared" si="34"/>
        <v>156.53</v>
      </c>
      <c r="CF15" s="30" t="str">
        <f t="shared" si="35"/>
        <v/>
      </c>
      <c r="CG15" s="30" t="str">
        <f t="shared" si="36"/>
        <v/>
      </c>
      <c r="CH15" s="30" t="str">
        <f t="shared" si="37"/>
        <v/>
      </c>
      <c r="CI15" s="47"/>
      <c r="CJ15" s="47"/>
      <c r="CK15" s="47"/>
      <c r="CL15" s="47"/>
      <c r="CM15" s="47"/>
      <c r="CN15" s="47"/>
      <c r="CO15" s="47"/>
      <c r="CP15" s="47"/>
      <c r="CQ15" s="47"/>
      <c r="CR15" s="47"/>
      <c r="CS15" s="47"/>
      <c r="CT15" s="47"/>
      <c r="CU15" s="47"/>
      <c r="CV15" s="47"/>
      <c r="CW15" s="47"/>
      <c r="CX15" s="13" t="str">
        <f t="shared" si="38"/>
        <v/>
      </c>
      <c r="CY15" s="13" t="str">
        <f t="shared" si="39"/>
        <v/>
      </c>
      <c r="CZ15" s="13" t="str">
        <f t="shared" si="40"/>
        <v/>
      </c>
      <c r="DA15" s="13" t="str">
        <f t="shared" si="41"/>
        <v/>
      </c>
      <c r="DB15" s="13" t="str">
        <f t="shared" si="42"/>
        <v/>
      </c>
      <c r="DC15" s="13" t="str">
        <f t="shared" si="43"/>
        <v/>
      </c>
      <c r="DD15" s="48"/>
      <c r="DE15" s="48"/>
      <c r="DF15" s="48"/>
      <c r="DG15" s="48"/>
      <c r="DH15" s="48"/>
      <c r="DI15" s="48"/>
      <c r="DJ15" s="48"/>
      <c r="DK15" s="48"/>
      <c r="DL15" s="48"/>
      <c r="DM15" s="48"/>
      <c r="DN15" s="48"/>
      <c r="DO15" s="48"/>
      <c r="DP15" s="48"/>
      <c r="DQ15" s="48"/>
      <c r="DR15" s="48"/>
      <c r="DS15" s="16" t="str">
        <f t="shared" si="44"/>
        <v/>
      </c>
      <c r="DT15" s="16" t="str">
        <f t="shared" si="45"/>
        <v/>
      </c>
      <c r="DU15" s="16" t="str">
        <f t="shared" si="46"/>
        <v/>
      </c>
      <c r="DV15" s="16" t="str">
        <f t="shared" si="47"/>
        <v/>
      </c>
      <c r="DW15" s="16" t="str">
        <f t="shared" si="48"/>
        <v/>
      </c>
      <c r="DX15" s="16" t="str">
        <f t="shared" si="49"/>
        <v/>
      </c>
      <c r="DY15" s="47"/>
      <c r="DZ15" s="47"/>
      <c r="EA15" s="47"/>
      <c r="EB15" s="47"/>
      <c r="EC15" s="47"/>
      <c r="ED15" s="47"/>
      <c r="EE15" s="47"/>
      <c r="EF15" s="47"/>
      <c r="EG15" s="47"/>
      <c r="EH15" s="47"/>
      <c r="EI15" s="47"/>
      <c r="EJ15" s="47"/>
      <c r="EK15" s="47"/>
      <c r="EL15" s="47"/>
      <c r="EM15" s="47"/>
      <c r="EN15" s="13" t="str">
        <f t="shared" si="50"/>
        <v/>
      </c>
      <c r="EO15" s="13" t="str">
        <f t="shared" si="51"/>
        <v/>
      </c>
      <c r="EP15" s="13" t="str">
        <f t="shared" si="52"/>
        <v/>
      </c>
      <c r="EQ15" s="13" t="str">
        <f t="shared" si="53"/>
        <v/>
      </c>
      <c r="ER15" s="13" t="str">
        <f t="shared" si="54"/>
        <v/>
      </c>
      <c r="ES15" s="13" t="str">
        <f t="shared" si="55"/>
        <v/>
      </c>
      <c r="ET15" s="48"/>
      <c r="EU15" s="48"/>
      <c r="EV15" s="48"/>
      <c r="EW15" s="48"/>
      <c r="EX15" s="48"/>
      <c r="EY15" s="48"/>
      <c r="EZ15" s="48"/>
      <c r="FA15" s="48"/>
      <c r="FB15" s="48"/>
      <c r="FC15" s="48"/>
      <c r="FD15" s="48"/>
      <c r="FE15" s="48"/>
      <c r="FF15" s="48"/>
      <c r="FG15" s="48"/>
      <c r="FH15" s="48"/>
      <c r="FI15" s="16" t="str">
        <f t="shared" si="56"/>
        <v/>
      </c>
      <c r="FJ15" s="16" t="str">
        <f t="shared" si="57"/>
        <v/>
      </c>
      <c r="FK15" s="16" t="str">
        <f t="shared" si="58"/>
        <v/>
      </c>
      <c r="FL15" s="16" t="str">
        <f t="shared" si="59"/>
        <v/>
      </c>
      <c r="FM15" s="16" t="str">
        <f t="shared" si="60"/>
        <v/>
      </c>
      <c r="FN15" s="16" t="str">
        <f t="shared" si="61"/>
        <v/>
      </c>
      <c r="FO15" s="47"/>
      <c r="FP15" s="47"/>
      <c r="FQ15" s="47"/>
      <c r="FR15" s="47"/>
      <c r="FS15" s="47"/>
      <c r="FT15" s="47"/>
      <c r="FU15" s="47"/>
      <c r="FV15" s="47"/>
      <c r="FW15" s="47"/>
      <c r="FX15" s="47"/>
      <c r="FY15" s="47"/>
      <c r="FZ15" s="47"/>
      <c r="GA15" s="47"/>
      <c r="GB15" s="47"/>
      <c r="GC15" s="47"/>
      <c r="GD15" s="13" t="str">
        <f t="shared" si="62"/>
        <v/>
      </c>
      <c r="GE15" s="13" t="str">
        <f t="shared" si="63"/>
        <v/>
      </c>
      <c r="GF15" s="13" t="str">
        <f t="shared" si="64"/>
        <v/>
      </c>
      <c r="GG15" s="13" t="str">
        <f t="shared" si="65"/>
        <v/>
      </c>
      <c r="GH15" s="13" t="str">
        <f t="shared" si="66"/>
        <v/>
      </c>
      <c r="GI15" s="13" t="str">
        <f t="shared" si="67"/>
        <v/>
      </c>
      <c r="GJ15" s="48"/>
      <c r="GK15" s="48"/>
      <c r="GL15" s="48"/>
      <c r="GM15" s="48"/>
      <c r="GN15" s="48"/>
      <c r="GO15" s="48"/>
      <c r="GP15" s="48"/>
      <c r="GQ15" s="48"/>
      <c r="GR15" s="48"/>
      <c r="GS15" s="48"/>
      <c r="GT15" s="48"/>
      <c r="GU15" s="48"/>
      <c r="GV15" s="48"/>
      <c r="GW15" s="48"/>
      <c r="GX15" s="48"/>
      <c r="GY15" s="16" t="str">
        <f t="shared" si="68"/>
        <v/>
      </c>
      <c r="GZ15" s="16" t="str">
        <f t="shared" si="69"/>
        <v/>
      </c>
      <c r="HA15" s="16" t="str">
        <f t="shared" si="70"/>
        <v/>
      </c>
      <c r="HB15" s="16" t="str">
        <f t="shared" si="71"/>
        <v/>
      </c>
      <c r="HC15" s="16" t="str">
        <f t="shared" si="72"/>
        <v/>
      </c>
      <c r="HD15" s="16" t="str">
        <f t="shared" si="73"/>
        <v/>
      </c>
      <c r="HE15" s="47"/>
      <c r="HF15" s="47"/>
      <c r="HG15" s="47"/>
      <c r="HH15" s="47"/>
      <c r="HI15" s="47"/>
      <c r="HJ15" s="47"/>
      <c r="HK15" s="47"/>
      <c r="HL15" s="47"/>
      <c r="HM15" s="47"/>
      <c r="HN15" s="47"/>
      <c r="HO15" s="47"/>
      <c r="HP15" s="47"/>
      <c r="HQ15" s="47"/>
      <c r="HR15" s="47"/>
      <c r="HS15" s="47"/>
      <c r="HT15" s="13" t="str">
        <f t="shared" si="74"/>
        <v/>
      </c>
      <c r="HU15" s="13" t="str">
        <f t="shared" si="75"/>
        <v/>
      </c>
      <c r="HV15" s="13" t="str">
        <f t="shared" si="76"/>
        <v/>
      </c>
      <c r="HW15" s="13" t="str">
        <f t="shared" si="77"/>
        <v/>
      </c>
      <c r="HX15" s="13" t="str">
        <f t="shared" si="78"/>
        <v/>
      </c>
      <c r="HY15" s="13" t="str">
        <f t="shared" si="79"/>
        <v/>
      </c>
      <c r="HZ15" s="48"/>
      <c r="IA15" s="48"/>
      <c r="IB15" s="48"/>
      <c r="IC15" s="48"/>
      <c r="ID15" s="48"/>
      <c r="IE15" s="48"/>
      <c r="IF15" s="48"/>
      <c r="IG15" s="48"/>
      <c r="IH15" s="48"/>
      <c r="II15" s="48"/>
      <c r="IJ15" s="48"/>
      <c r="IK15" s="48"/>
      <c r="IL15" s="48"/>
      <c r="IM15" s="48"/>
      <c r="IN15" s="48"/>
      <c r="IO15" s="16" t="str">
        <f t="shared" si="80"/>
        <v/>
      </c>
      <c r="IP15" s="16" t="str">
        <f t="shared" si="81"/>
        <v/>
      </c>
      <c r="IQ15" s="16" t="str">
        <f t="shared" si="82"/>
        <v/>
      </c>
      <c r="IR15" s="16" t="str">
        <f t="shared" si="83"/>
        <v/>
      </c>
      <c r="IS15" s="16" t="str">
        <f t="shared" si="84"/>
        <v/>
      </c>
      <c r="IT15" s="16" t="str">
        <f t="shared" si="85"/>
        <v/>
      </c>
      <c r="IU15" s="47"/>
      <c r="IV15" s="47"/>
      <c r="IW15" s="47"/>
      <c r="IX15" s="47"/>
      <c r="IY15" s="47"/>
      <c r="IZ15" s="47"/>
      <c r="JA15" s="47"/>
      <c r="JB15" s="47"/>
      <c r="JC15" s="47"/>
      <c r="JD15" s="47"/>
      <c r="JE15" s="47"/>
      <c r="JF15" s="47"/>
      <c r="JG15" s="47"/>
      <c r="JH15" s="47"/>
      <c r="JI15" s="47"/>
      <c r="JJ15" s="13" t="str">
        <f t="shared" si="86"/>
        <v/>
      </c>
      <c r="JK15" s="13" t="str">
        <f t="shared" si="87"/>
        <v/>
      </c>
      <c r="JL15" s="13" t="str">
        <f t="shared" si="88"/>
        <v/>
      </c>
      <c r="JM15" s="13" t="str">
        <f t="shared" si="89"/>
        <v/>
      </c>
      <c r="JN15" s="13" t="str">
        <f t="shared" si="90"/>
        <v/>
      </c>
      <c r="JO15" s="13" t="str">
        <f t="shared" si="91"/>
        <v/>
      </c>
      <c r="JP15" s="48"/>
      <c r="JQ15" s="48"/>
      <c r="JR15" s="48"/>
      <c r="JS15" s="48"/>
      <c r="JT15" s="48"/>
      <c r="JU15" s="48"/>
      <c r="JV15" s="48"/>
      <c r="JW15" s="48"/>
      <c r="JX15" s="48"/>
      <c r="JY15" s="48"/>
      <c r="JZ15" s="48"/>
      <c r="KA15" s="48"/>
      <c r="KB15" s="48"/>
      <c r="KC15" s="48"/>
      <c r="KD15" s="48"/>
      <c r="KE15" s="16" t="str">
        <f t="shared" si="92"/>
        <v/>
      </c>
      <c r="KF15" s="16" t="str">
        <f t="shared" si="93"/>
        <v/>
      </c>
      <c r="KG15" s="16" t="str">
        <f t="shared" si="94"/>
        <v/>
      </c>
      <c r="KH15" s="16" t="str">
        <f t="shared" si="95"/>
        <v/>
      </c>
      <c r="KI15" s="16" t="str">
        <f t="shared" si="96"/>
        <v/>
      </c>
      <c r="KJ15" s="16" t="str">
        <f t="shared" si="97"/>
        <v/>
      </c>
      <c r="KK15" s="47"/>
      <c r="KL15" s="47"/>
      <c r="KM15" s="47"/>
      <c r="KN15" s="47"/>
      <c r="KO15" s="47"/>
      <c r="KP15" s="47"/>
      <c r="KQ15" s="47"/>
      <c r="KR15" s="47"/>
      <c r="KS15" s="47"/>
      <c r="KT15" s="47"/>
      <c r="KU15" s="47"/>
      <c r="KV15" s="47"/>
      <c r="KW15" s="47"/>
      <c r="KX15" s="47"/>
      <c r="KY15" s="47"/>
      <c r="KZ15" s="13" t="str">
        <f t="shared" si="98"/>
        <v/>
      </c>
      <c r="LA15" s="13" t="str">
        <f t="shared" si="99"/>
        <v/>
      </c>
      <c r="LB15" s="13" t="str">
        <f t="shared" si="100"/>
        <v/>
      </c>
      <c r="LC15" s="13" t="str">
        <f t="shared" si="101"/>
        <v/>
      </c>
      <c r="LD15" s="13" t="str">
        <f t="shared" si="102"/>
        <v/>
      </c>
      <c r="LE15" s="13" t="str">
        <f t="shared" si="103"/>
        <v/>
      </c>
      <c r="LF15" s="48"/>
      <c r="LG15" s="48"/>
      <c r="LH15" s="48"/>
      <c r="LI15" s="48"/>
      <c r="LJ15" s="48"/>
      <c r="LK15" s="48"/>
      <c r="LL15" s="48"/>
      <c r="LM15" s="48"/>
      <c r="LN15" s="48"/>
      <c r="LO15" s="48"/>
      <c r="LP15" s="48"/>
      <c r="LQ15" s="48"/>
      <c r="LR15" s="48"/>
      <c r="LS15" s="48"/>
      <c r="LT15" s="48"/>
      <c r="LU15" s="16" t="str">
        <f t="shared" si="104"/>
        <v/>
      </c>
      <c r="LV15" s="16" t="str">
        <f t="shared" si="105"/>
        <v/>
      </c>
      <c r="LW15" s="16" t="str">
        <f t="shared" si="106"/>
        <v/>
      </c>
      <c r="LX15" s="16" t="str">
        <f t="shared" si="107"/>
        <v/>
      </c>
      <c r="LY15" s="16" t="str">
        <f t="shared" si="108"/>
        <v/>
      </c>
      <c r="LZ15" s="16" t="str">
        <f t="shared" si="109"/>
        <v/>
      </c>
    </row>
    <row r="16" spans="1:338" x14ac:dyDescent="0.2">
      <c r="A16" s="6" t="str">
        <f t="shared" si="0"/>
        <v/>
      </c>
      <c r="B16" s="7" t="s">
        <v>127</v>
      </c>
      <c r="C16" s="8" t="s">
        <v>13</v>
      </c>
      <c r="D16" s="33">
        <v>2018</v>
      </c>
      <c r="E16" s="17">
        <f t="shared" si="1"/>
        <v>197.785</v>
      </c>
      <c r="F16" s="4" t="str">
        <f t="shared" si="2"/>
        <v/>
      </c>
      <c r="G16" s="4" t="str">
        <f t="shared" si="3"/>
        <v/>
      </c>
      <c r="H16" s="4" t="str">
        <f t="shared" si="4"/>
        <v/>
      </c>
      <c r="I16" t="str">
        <f t="shared" si="5"/>
        <v/>
      </c>
      <c r="J16" s="16">
        <f t="shared" si="6"/>
        <v>93.07</v>
      </c>
      <c r="K16" s="16" t="str">
        <f t="shared" si="7"/>
        <v>2018 Canada Cup</v>
      </c>
      <c r="L16" s="16">
        <f t="shared" si="8"/>
        <v>46.6</v>
      </c>
      <c r="M16" s="16" t="str">
        <f t="shared" si="9"/>
        <v>2018 Nationals</v>
      </c>
      <c r="N16" s="16">
        <f t="shared" si="10"/>
        <v>10.615</v>
      </c>
      <c r="O16" s="16" t="str">
        <f t="shared" si="11"/>
        <v>2018 Nationals</v>
      </c>
      <c r="P16" s="16">
        <f t="shared" si="12"/>
        <v>47.5</v>
      </c>
      <c r="Q16" s="16" t="str">
        <f t="shared" si="13"/>
        <v>2018 Canada Cup</v>
      </c>
      <c r="R16" s="16" t="str">
        <f t="shared" si="14"/>
        <v/>
      </c>
      <c r="S16" s="31" t="str">
        <f t="shared" si="15"/>
        <v/>
      </c>
      <c r="T16" s="16" t="str">
        <f t="shared" si="16"/>
        <v/>
      </c>
      <c r="U16" s="86"/>
      <c r="V16" s="86"/>
      <c r="W16" s="86"/>
      <c r="X16" s="86"/>
      <c r="Y16" s="86"/>
      <c r="Z16" s="86"/>
      <c r="AA16" s="86"/>
      <c r="AB16" s="86"/>
      <c r="AC16" s="86"/>
      <c r="AD16" s="86"/>
      <c r="AE16" s="86"/>
      <c r="AF16" s="86"/>
      <c r="AG16" s="86"/>
      <c r="AH16" s="86"/>
      <c r="AI16" s="86"/>
      <c r="AJ16" s="13" t="str">
        <f t="shared" si="17"/>
        <v/>
      </c>
      <c r="AK16" s="13" t="str">
        <f t="shared" si="18"/>
        <v/>
      </c>
      <c r="AL16" s="13" t="str">
        <f t="shared" si="19"/>
        <v/>
      </c>
      <c r="AM16" s="13" t="str">
        <f t="shared" si="20"/>
        <v/>
      </c>
      <c r="AN16" s="13" t="str">
        <f t="shared" si="21"/>
        <v/>
      </c>
      <c r="AO16" s="13" t="str">
        <f t="shared" si="22"/>
        <v/>
      </c>
      <c r="AP16" s="94">
        <v>15.5</v>
      </c>
      <c r="AQ16" s="94">
        <v>8.15</v>
      </c>
      <c r="AR16" s="94">
        <v>4.8</v>
      </c>
      <c r="AS16" s="94">
        <v>15.33</v>
      </c>
      <c r="AT16" s="94">
        <v>0</v>
      </c>
      <c r="AU16" s="94">
        <v>14.8</v>
      </c>
      <c r="AV16" s="94">
        <v>8.75</v>
      </c>
      <c r="AW16" s="94">
        <v>10.199999999999999</v>
      </c>
      <c r="AX16" s="94">
        <v>15.54</v>
      </c>
      <c r="AY16" s="94">
        <v>0</v>
      </c>
      <c r="AZ16" s="94">
        <v>13.7</v>
      </c>
      <c r="BA16" s="94">
        <v>8.65</v>
      </c>
      <c r="BB16" s="94">
        <v>10.199999999999999</v>
      </c>
      <c r="BC16" s="94">
        <v>14.95</v>
      </c>
      <c r="BD16" s="94">
        <v>0</v>
      </c>
      <c r="BE16" s="16">
        <f t="shared" si="23"/>
        <v>15</v>
      </c>
      <c r="BF16" s="16">
        <f t="shared" si="24"/>
        <v>43.78</v>
      </c>
      <c r="BG16" s="16">
        <f t="shared" si="25"/>
        <v>49.29</v>
      </c>
      <c r="BH16" s="16">
        <f t="shared" si="26"/>
        <v>93.07</v>
      </c>
      <c r="BI16" s="16">
        <f t="shared" si="27"/>
        <v>47.5</v>
      </c>
      <c r="BJ16" s="16">
        <f t="shared" si="28"/>
        <v>140.57</v>
      </c>
      <c r="BK16" s="47">
        <v>16.600000000000001</v>
      </c>
      <c r="BL16" s="47">
        <v>9</v>
      </c>
      <c r="BM16" s="47">
        <v>4.8</v>
      </c>
      <c r="BN16" s="47">
        <v>16.2</v>
      </c>
      <c r="BO16" s="47">
        <v>0</v>
      </c>
      <c r="BP16" s="47">
        <v>3</v>
      </c>
      <c r="BQ16" s="47">
        <v>1.5</v>
      </c>
      <c r="BR16" s="47">
        <v>2.9</v>
      </c>
      <c r="BS16" s="47">
        <v>3.2149999999999999</v>
      </c>
      <c r="BT16" s="47">
        <v>0</v>
      </c>
      <c r="BU16" s="47"/>
      <c r="BV16" s="47"/>
      <c r="BW16" s="47"/>
      <c r="BX16" s="47"/>
      <c r="BY16" s="47"/>
      <c r="BZ16" s="13">
        <f t="shared" si="29"/>
        <v>7.6999999999999993</v>
      </c>
      <c r="CA16" s="13">
        <f t="shared" si="30"/>
        <v>46.6</v>
      </c>
      <c r="CB16" s="13">
        <f t="shared" si="31"/>
        <v>10.615</v>
      </c>
      <c r="CC16" s="13">
        <f t="shared" si="32"/>
        <v>57.215000000000003</v>
      </c>
      <c r="CD16" s="13" t="str">
        <f t="shared" si="33"/>
        <v/>
      </c>
      <c r="CE16" s="13">
        <f t="shared" si="34"/>
        <v>57.215000000000003</v>
      </c>
      <c r="CF16" s="30" t="str">
        <f t="shared" si="35"/>
        <v/>
      </c>
      <c r="CG16" s="30" t="str">
        <f t="shared" si="36"/>
        <v/>
      </c>
      <c r="CH16" s="30" t="str">
        <f t="shared" si="37"/>
        <v/>
      </c>
      <c r="CI16" s="47"/>
      <c r="CJ16" s="47"/>
      <c r="CK16" s="47"/>
      <c r="CL16" s="47"/>
      <c r="CM16" s="47"/>
      <c r="CN16" s="47"/>
      <c r="CO16" s="47"/>
      <c r="CP16" s="47"/>
      <c r="CQ16" s="47"/>
      <c r="CR16" s="47"/>
      <c r="CS16" s="47"/>
      <c r="CT16" s="47"/>
      <c r="CU16" s="47"/>
      <c r="CV16" s="47"/>
      <c r="CW16" s="47"/>
      <c r="CX16" s="13" t="str">
        <f t="shared" si="38"/>
        <v/>
      </c>
      <c r="CY16" s="13" t="str">
        <f t="shared" si="39"/>
        <v/>
      </c>
      <c r="CZ16" s="13" t="str">
        <f t="shared" si="40"/>
        <v/>
      </c>
      <c r="DA16" s="13" t="str">
        <f t="shared" si="41"/>
        <v/>
      </c>
      <c r="DB16" s="13" t="str">
        <f t="shared" si="42"/>
        <v/>
      </c>
      <c r="DC16" s="13" t="str">
        <f t="shared" si="43"/>
        <v/>
      </c>
      <c r="DD16" s="48"/>
      <c r="DE16" s="48"/>
      <c r="DF16" s="48"/>
      <c r="DG16" s="48"/>
      <c r="DH16" s="48"/>
      <c r="DI16" s="48"/>
      <c r="DJ16" s="48"/>
      <c r="DK16" s="48"/>
      <c r="DL16" s="48"/>
      <c r="DM16" s="48"/>
      <c r="DN16" s="48"/>
      <c r="DO16" s="48"/>
      <c r="DP16" s="48"/>
      <c r="DQ16" s="48"/>
      <c r="DR16" s="48"/>
      <c r="DS16" s="16" t="str">
        <f t="shared" si="44"/>
        <v/>
      </c>
      <c r="DT16" s="16" t="str">
        <f t="shared" si="45"/>
        <v/>
      </c>
      <c r="DU16" s="16" t="str">
        <f t="shared" si="46"/>
        <v/>
      </c>
      <c r="DV16" s="16" t="str">
        <f t="shared" si="47"/>
        <v/>
      </c>
      <c r="DW16" s="16" t="str">
        <f t="shared" si="48"/>
        <v/>
      </c>
      <c r="DX16" s="16" t="str">
        <f t="shared" si="49"/>
        <v/>
      </c>
      <c r="DY16" s="47"/>
      <c r="DZ16" s="47"/>
      <c r="EA16" s="47"/>
      <c r="EB16" s="47"/>
      <c r="EC16" s="47"/>
      <c r="ED16" s="47"/>
      <c r="EE16" s="47"/>
      <c r="EF16" s="47"/>
      <c r="EG16" s="47"/>
      <c r="EH16" s="47"/>
      <c r="EI16" s="47"/>
      <c r="EJ16" s="47"/>
      <c r="EK16" s="47"/>
      <c r="EL16" s="47"/>
      <c r="EM16" s="47"/>
      <c r="EN16" s="13" t="str">
        <f t="shared" si="50"/>
        <v/>
      </c>
      <c r="EO16" s="13" t="str">
        <f t="shared" si="51"/>
        <v/>
      </c>
      <c r="EP16" s="13" t="str">
        <f t="shared" si="52"/>
        <v/>
      </c>
      <c r="EQ16" s="13" t="str">
        <f t="shared" si="53"/>
        <v/>
      </c>
      <c r="ER16" s="13" t="str">
        <f t="shared" si="54"/>
        <v/>
      </c>
      <c r="ES16" s="13" t="str">
        <f t="shared" si="55"/>
        <v/>
      </c>
      <c r="ET16" s="48"/>
      <c r="EU16" s="48"/>
      <c r="EV16" s="48"/>
      <c r="EW16" s="48"/>
      <c r="EX16" s="48"/>
      <c r="EY16" s="48"/>
      <c r="EZ16" s="48"/>
      <c r="FA16" s="48"/>
      <c r="FB16" s="48"/>
      <c r="FC16" s="48"/>
      <c r="FD16" s="48"/>
      <c r="FE16" s="48"/>
      <c r="FF16" s="48"/>
      <c r="FG16" s="48"/>
      <c r="FH16" s="48"/>
      <c r="FI16" s="16" t="str">
        <f t="shared" si="56"/>
        <v/>
      </c>
      <c r="FJ16" s="16" t="str">
        <f t="shared" si="57"/>
        <v/>
      </c>
      <c r="FK16" s="16" t="str">
        <f t="shared" si="58"/>
        <v/>
      </c>
      <c r="FL16" s="16" t="str">
        <f t="shared" si="59"/>
        <v/>
      </c>
      <c r="FM16" s="16" t="str">
        <f t="shared" si="60"/>
        <v/>
      </c>
      <c r="FN16" s="16" t="str">
        <f t="shared" si="61"/>
        <v/>
      </c>
      <c r="FO16" s="47"/>
      <c r="FP16" s="47"/>
      <c r="FQ16" s="47"/>
      <c r="FR16" s="47"/>
      <c r="FS16" s="47"/>
      <c r="FT16" s="47"/>
      <c r="FU16" s="47"/>
      <c r="FV16" s="47"/>
      <c r="FW16" s="47"/>
      <c r="FX16" s="47"/>
      <c r="FY16" s="47"/>
      <c r="FZ16" s="47"/>
      <c r="GA16" s="47"/>
      <c r="GB16" s="47"/>
      <c r="GC16" s="47"/>
      <c r="GD16" s="13" t="str">
        <f t="shared" si="62"/>
        <v/>
      </c>
      <c r="GE16" s="13" t="str">
        <f t="shared" si="63"/>
        <v/>
      </c>
      <c r="GF16" s="13" t="str">
        <f t="shared" si="64"/>
        <v/>
      </c>
      <c r="GG16" s="13" t="str">
        <f t="shared" si="65"/>
        <v/>
      </c>
      <c r="GH16" s="13" t="str">
        <f t="shared" si="66"/>
        <v/>
      </c>
      <c r="GI16" s="13" t="str">
        <f t="shared" si="67"/>
        <v/>
      </c>
      <c r="GJ16" s="48"/>
      <c r="GK16" s="48"/>
      <c r="GL16" s="48"/>
      <c r="GM16" s="48"/>
      <c r="GN16" s="48"/>
      <c r="GO16" s="48"/>
      <c r="GP16" s="48"/>
      <c r="GQ16" s="48"/>
      <c r="GR16" s="48"/>
      <c r="GS16" s="48"/>
      <c r="GT16" s="48"/>
      <c r="GU16" s="48"/>
      <c r="GV16" s="48"/>
      <c r="GW16" s="48"/>
      <c r="GX16" s="48"/>
      <c r="GY16" s="16" t="str">
        <f t="shared" si="68"/>
        <v/>
      </c>
      <c r="GZ16" s="16" t="str">
        <f t="shared" si="69"/>
        <v/>
      </c>
      <c r="HA16" s="16" t="str">
        <f t="shared" si="70"/>
        <v/>
      </c>
      <c r="HB16" s="16" t="str">
        <f t="shared" si="71"/>
        <v/>
      </c>
      <c r="HC16" s="16" t="str">
        <f t="shared" si="72"/>
        <v/>
      </c>
      <c r="HD16" s="16" t="str">
        <f t="shared" si="73"/>
        <v/>
      </c>
      <c r="HE16" s="47"/>
      <c r="HF16" s="47"/>
      <c r="HG16" s="47"/>
      <c r="HH16" s="47"/>
      <c r="HI16" s="47"/>
      <c r="HJ16" s="47"/>
      <c r="HK16" s="47"/>
      <c r="HL16" s="47"/>
      <c r="HM16" s="47"/>
      <c r="HN16" s="47"/>
      <c r="HO16" s="47"/>
      <c r="HP16" s="47"/>
      <c r="HQ16" s="47"/>
      <c r="HR16" s="47"/>
      <c r="HS16" s="47"/>
      <c r="HT16" s="13" t="str">
        <f t="shared" si="74"/>
        <v/>
      </c>
      <c r="HU16" s="13" t="str">
        <f t="shared" si="75"/>
        <v/>
      </c>
      <c r="HV16" s="13" t="str">
        <f t="shared" si="76"/>
        <v/>
      </c>
      <c r="HW16" s="13" t="str">
        <f t="shared" si="77"/>
        <v/>
      </c>
      <c r="HX16" s="13" t="str">
        <f t="shared" si="78"/>
        <v/>
      </c>
      <c r="HY16" s="13" t="str">
        <f t="shared" si="79"/>
        <v/>
      </c>
      <c r="HZ16" s="48"/>
      <c r="IA16" s="48"/>
      <c r="IB16" s="48"/>
      <c r="IC16" s="48"/>
      <c r="ID16" s="48"/>
      <c r="IE16" s="48"/>
      <c r="IF16" s="48"/>
      <c r="IG16" s="48"/>
      <c r="IH16" s="48"/>
      <c r="II16" s="48"/>
      <c r="IJ16" s="48"/>
      <c r="IK16" s="48"/>
      <c r="IL16" s="48"/>
      <c r="IM16" s="48"/>
      <c r="IN16" s="48"/>
      <c r="IO16" s="16" t="str">
        <f t="shared" si="80"/>
        <v/>
      </c>
      <c r="IP16" s="16" t="str">
        <f t="shared" si="81"/>
        <v/>
      </c>
      <c r="IQ16" s="16" t="str">
        <f t="shared" si="82"/>
        <v/>
      </c>
      <c r="IR16" s="16" t="str">
        <f t="shared" si="83"/>
        <v/>
      </c>
      <c r="IS16" s="16" t="str">
        <f t="shared" si="84"/>
        <v/>
      </c>
      <c r="IT16" s="16" t="str">
        <f t="shared" si="85"/>
        <v/>
      </c>
      <c r="IU16" s="47"/>
      <c r="IV16" s="47"/>
      <c r="IW16" s="47"/>
      <c r="IX16" s="47"/>
      <c r="IY16" s="47"/>
      <c r="IZ16" s="47"/>
      <c r="JA16" s="47"/>
      <c r="JB16" s="47"/>
      <c r="JC16" s="47"/>
      <c r="JD16" s="47"/>
      <c r="JE16" s="47"/>
      <c r="JF16" s="47"/>
      <c r="JG16" s="47"/>
      <c r="JH16" s="47"/>
      <c r="JI16" s="47"/>
      <c r="JJ16" s="13" t="str">
        <f t="shared" si="86"/>
        <v/>
      </c>
      <c r="JK16" s="13" t="str">
        <f t="shared" si="87"/>
        <v/>
      </c>
      <c r="JL16" s="13" t="str">
        <f t="shared" si="88"/>
        <v/>
      </c>
      <c r="JM16" s="13" t="str">
        <f t="shared" si="89"/>
        <v/>
      </c>
      <c r="JN16" s="13" t="str">
        <f t="shared" si="90"/>
        <v/>
      </c>
      <c r="JO16" s="13" t="str">
        <f t="shared" si="91"/>
        <v/>
      </c>
      <c r="JP16" s="48"/>
      <c r="JQ16" s="48"/>
      <c r="JR16" s="48"/>
      <c r="JS16" s="48"/>
      <c r="JT16" s="48"/>
      <c r="JU16" s="48"/>
      <c r="JV16" s="48"/>
      <c r="JW16" s="48"/>
      <c r="JX16" s="48"/>
      <c r="JY16" s="48"/>
      <c r="JZ16" s="48"/>
      <c r="KA16" s="48"/>
      <c r="KB16" s="48"/>
      <c r="KC16" s="48"/>
      <c r="KD16" s="48"/>
      <c r="KE16" s="16" t="str">
        <f t="shared" si="92"/>
        <v/>
      </c>
      <c r="KF16" s="16" t="str">
        <f t="shared" si="93"/>
        <v/>
      </c>
      <c r="KG16" s="16" t="str">
        <f t="shared" si="94"/>
        <v/>
      </c>
      <c r="KH16" s="16" t="str">
        <f t="shared" si="95"/>
        <v/>
      </c>
      <c r="KI16" s="16" t="str">
        <f t="shared" si="96"/>
        <v/>
      </c>
      <c r="KJ16" s="16" t="str">
        <f t="shared" si="97"/>
        <v/>
      </c>
      <c r="KK16" s="47"/>
      <c r="KL16" s="47"/>
      <c r="KM16" s="47"/>
      <c r="KN16" s="47"/>
      <c r="KO16" s="47"/>
      <c r="KP16" s="47"/>
      <c r="KQ16" s="47"/>
      <c r="KR16" s="47"/>
      <c r="KS16" s="47"/>
      <c r="KT16" s="47"/>
      <c r="KU16" s="47"/>
      <c r="KV16" s="47"/>
      <c r="KW16" s="47"/>
      <c r="KX16" s="47"/>
      <c r="KY16" s="47"/>
      <c r="KZ16" s="13" t="str">
        <f t="shared" si="98"/>
        <v/>
      </c>
      <c r="LA16" s="13" t="str">
        <f t="shared" si="99"/>
        <v/>
      </c>
      <c r="LB16" s="13" t="str">
        <f t="shared" si="100"/>
        <v/>
      </c>
      <c r="LC16" s="13" t="str">
        <f t="shared" si="101"/>
        <v/>
      </c>
      <c r="LD16" s="13" t="str">
        <f t="shared" si="102"/>
        <v/>
      </c>
      <c r="LE16" s="13" t="str">
        <f t="shared" si="103"/>
        <v/>
      </c>
      <c r="LF16" s="48"/>
      <c r="LG16" s="48"/>
      <c r="LH16" s="48"/>
      <c r="LI16" s="48"/>
      <c r="LJ16" s="48"/>
      <c r="LK16" s="48"/>
      <c r="LL16" s="48"/>
      <c r="LM16" s="48"/>
      <c r="LN16" s="48"/>
      <c r="LO16" s="48"/>
      <c r="LP16" s="48"/>
      <c r="LQ16" s="48"/>
      <c r="LR16" s="48"/>
      <c r="LS16" s="48"/>
      <c r="LT16" s="48"/>
      <c r="LU16" s="16" t="str">
        <f t="shared" si="104"/>
        <v/>
      </c>
      <c r="LV16" s="16" t="str">
        <f t="shared" si="105"/>
        <v/>
      </c>
      <c r="LW16" s="16" t="str">
        <f t="shared" si="106"/>
        <v/>
      </c>
      <c r="LX16" s="16" t="str">
        <f t="shared" si="107"/>
        <v/>
      </c>
      <c r="LY16" s="16" t="str">
        <f t="shared" si="108"/>
        <v/>
      </c>
      <c r="LZ16" s="16" t="str">
        <f t="shared" si="109"/>
        <v/>
      </c>
    </row>
    <row r="17" spans="1:338" x14ac:dyDescent="0.2">
      <c r="A17" s="6" t="str">
        <f t="shared" si="0"/>
        <v/>
      </c>
      <c r="B17" s="7" t="s">
        <v>128</v>
      </c>
      <c r="C17" s="8" t="s">
        <v>6</v>
      </c>
      <c r="D17" s="33">
        <v>2018</v>
      </c>
      <c r="E17" s="17">
        <f t="shared" si="1"/>
        <v>194.745</v>
      </c>
      <c r="F17" s="4" t="str">
        <f t="shared" si="2"/>
        <v/>
      </c>
      <c r="G17" s="4" t="str">
        <f t="shared" si="3"/>
        <v/>
      </c>
      <c r="H17" s="4" t="str">
        <f t="shared" si="4"/>
        <v/>
      </c>
      <c r="I17" t="str">
        <f t="shared" si="5"/>
        <v/>
      </c>
      <c r="J17" s="16">
        <f t="shared" si="6"/>
        <v>90.800000000000011</v>
      </c>
      <c r="K17" s="16" t="str">
        <f t="shared" si="7"/>
        <v>2018 Canada Cup</v>
      </c>
      <c r="L17" s="16">
        <f t="shared" si="8"/>
        <v>18.265000000000001</v>
      </c>
      <c r="M17" s="16" t="str">
        <f t="shared" si="9"/>
        <v>2018 Nationals</v>
      </c>
      <c r="N17" s="16">
        <f t="shared" si="10"/>
        <v>50.075000000000003</v>
      </c>
      <c r="O17" s="16" t="str">
        <f t="shared" si="11"/>
        <v>2018 Nationals</v>
      </c>
      <c r="P17" s="16">
        <f t="shared" si="12"/>
        <v>35.605000000000004</v>
      </c>
      <c r="Q17" s="16" t="str">
        <f t="shared" si="13"/>
        <v>2018 Canada Cup</v>
      </c>
      <c r="R17" s="16" t="str">
        <f t="shared" si="14"/>
        <v/>
      </c>
      <c r="S17" s="31" t="str">
        <f t="shared" si="15"/>
        <v/>
      </c>
      <c r="T17" s="16" t="str">
        <f t="shared" si="16"/>
        <v/>
      </c>
      <c r="U17" s="86"/>
      <c r="V17" s="86"/>
      <c r="W17" s="86"/>
      <c r="X17" s="86"/>
      <c r="Y17" s="86"/>
      <c r="Z17" s="86"/>
      <c r="AA17" s="86"/>
      <c r="AB17" s="86"/>
      <c r="AC17" s="86"/>
      <c r="AD17" s="86"/>
      <c r="AE17" s="86"/>
      <c r="AF17" s="86"/>
      <c r="AG17" s="86"/>
      <c r="AH17" s="86"/>
      <c r="AI17" s="86"/>
      <c r="AJ17" s="13" t="str">
        <f t="shared" si="17"/>
        <v/>
      </c>
      <c r="AK17" s="13" t="str">
        <f t="shared" si="18"/>
        <v/>
      </c>
      <c r="AL17" s="13" t="str">
        <f t="shared" si="19"/>
        <v/>
      </c>
      <c r="AM17" s="13" t="str">
        <f t="shared" si="20"/>
        <v/>
      </c>
      <c r="AN17" s="13" t="str">
        <f t="shared" si="21"/>
        <v/>
      </c>
      <c r="AO17" s="13" t="str">
        <f t="shared" si="22"/>
        <v/>
      </c>
      <c r="AP17" s="94">
        <v>16.2</v>
      </c>
      <c r="AQ17" s="94">
        <v>8.9499999999999993</v>
      </c>
      <c r="AR17" s="94">
        <v>4.5999999999999996</v>
      </c>
      <c r="AS17" s="94">
        <v>15.515000000000001</v>
      </c>
      <c r="AT17" s="94">
        <v>0</v>
      </c>
      <c r="AU17" s="94">
        <v>13</v>
      </c>
      <c r="AV17" s="94">
        <v>7.55</v>
      </c>
      <c r="AW17" s="94">
        <v>11.3</v>
      </c>
      <c r="AX17" s="94">
        <v>13.685</v>
      </c>
      <c r="AY17" s="94">
        <v>0</v>
      </c>
      <c r="AZ17" s="94">
        <v>11.2</v>
      </c>
      <c r="BA17" s="94">
        <v>6</v>
      </c>
      <c r="BB17" s="94">
        <v>7.9</v>
      </c>
      <c r="BC17" s="94">
        <v>10.505000000000001</v>
      </c>
      <c r="BD17" s="94">
        <v>0</v>
      </c>
      <c r="BE17" s="16">
        <f t="shared" si="23"/>
        <v>15.9</v>
      </c>
      <c r="BF17" s="16">
        <f t="shared" si="24"/>
        <v>45.265000000000001</v>
      </c>
      <c r="BG17" s="16">
        <f t="shared" si="25"/>
        <v>45.535000000000004</v>
      </c>
      <c r="BH17" s="16">
        <f t="shared" si="26"/>
        <v>90.800000000000011</v>
      </c>
      <c r="BI17" s="16">
        <f t="shared" si="27"/>
        <v>35.605000000000004</v>
      </c>
      <c r="BJ17" s="16">
        <f t="shared" si="28"/>
        <v>126.40500000000002</v>
      </c>
      <c r="BK17" s="47">
        <v>7.3</v>
      </c>
      <c r="BL17" s="47">
        <v>3.65</v>
      </c>
      <c r="BM17" s="47">
        <v>0.6</v>
      </c>
      <c r="BN17" s="47">
        <v>6.7149999999999999</v>
      </c>
      <c r="BO17" s="47">
        <v>0</v>
      </c>
      <c r="BP17" s="47">
        <v>14.1</v>
      </c>
      <c r="BQ17" s="47">
        <v>8.75</v>
      </c>
      <c r="BR17" s="47">
        <v>12.3</v>
      </c>
      <c r="BS17" s="47">
        <v>14.925000000000001</v>
      </c>
      <c r="BT17" s="47">
        <v>0</v>
      </c>
      <c r="BU17" s="47"/>
      <c r="BV17" s="47"/>
      <c r="BW17" s="47"/>
      <c r="BX17" s="47"/>
      <c r="BY17" s="47"/>
      <c r="BZ17" s="13">
        <f t="shared" si="29"/>
        <v>12.9</v>
      </c>
      <c r="CA17" s="13">
        <f t="shared" si="30"/>
        <v>18.265000000000001</v>
      </c>
      <c r="CB17" s="13">
        <f t="shared" si="31"/>
        <v>50.075000000000003</v>
      </c>
      <c r="CC17" s="13">
        <f t="shared" si="32"/>
        <v>68.34</v>
      </c>
      <c r="CD17" s="13" t="str">
        <f t="shared" si="33"/>
        <v/>
      </c>
      <c r="CE17" s="13">
        <f t="shared" si="34"/>
        <v>68.34</v>
      </c>
      <c r="CF17" s="30" t="str">
        <f t="shared" si="35"/>
        <v/>
      </c>
      <c r="CG17" s="30" t="str">
        <f t="shared" si="36"/>
        <v/>
      </c>
      <c r="CH17" s="30" t="str">
        <f t="shared" si="37"/>
        <v/>
      </c>
      <c r="CI17" s="47"/>
      <c r="CJ17" s="47"/>
      <c r="CK17" s="47"/>
      <c r="CL17" s="47"/>
      <c r="CM17" s="47"/>
      <c r="CN17" s="47"/>
      <c r="CO17" s="47"/>
      <c r="CP17" s="47"/>
      <c r="CQ17" s="47"/>
      <c r="CR17" s="47"/>
      <c r="CS17" s="47"/>
      <c r="CT17" s="47"/>
      <c r="CU17" s="47"/>
      <c r="CV17" s="47"/>
      <c r="CW17" s="47"/>
      <c r="CX17" s="13" t="str">
        <f t="shared" si="38"/>
        <v/>
      </c>
      <c r="CY17" s="13" t="str">
        <f t="shared" si="39"/>
        <v/>
      </c>
      <c r="CZ17" s="13" t="str">
        <f t="shared" si="40"/>
        <v/>
      </c>
      <c r="DA17" s="13" t="str">
        <f t="shared" si="41"/>
        <v/>
      </c>
      <c r="DB17" s="13" t="str">
        <f t="shared" si="42"/>
        <v/>
      </c>
      <c r="DC17" s="13" t="str">
        <f t="shared" si="43"/>
        <v/>
      </c>
      <c r="DD17" s="48"/>
      <c r="DE17" s="48"/>
      <c r="DF17" s="48"/>
      <c r="DG17" s="48"/>
      <c r="DH17" s="48"/>
      <c r="DI17" s="48"/>
      <c r="DJ17" s="48"/>
      <c r="DK17" s="48"/>
      <c r="DL17" s="48"/>
      <c r="DM17" s="48"/>
      <c r="DN17" s="48"/>
      <c r="DO17" s="48"/>
      <c r="DP17" s="48"/>
      <c r="DQ17" s="48"/>
      <c r="DR17" s="48"/>
      <c r="DS17" s="16" t="str">
        <f t="shared" si="44"/>
        <v/>
      </c>
      <c r="DT17" s="16" t="str">
        <f t="shared" si="45"/>
        <v/>
      </c>
      <c r="DU17" s="16" t="str">
        <f t="shared" si="46"/>
        <v/>
      </c>
      <c r="DV17" s="16" t="str">
        <f t="shared" si="47"/>
        <v/>
      </c>
      <c r="DW17" s="16" t="str">
        <f t="shared" si="48"/>
        <v/>
      </c>
      <c r="DX17" s="16" t="str">
        <f t="shared" si="49"/>
        <v/>
      </c>
      <c r="DY17" s="47"/>
      <c r="DZ17" s="47"/>
      <c r="EA17" s="47"/>
      <c r="EB17" s="47"/>
      <c r="EC17" s="47"/>
      <c r="ED17" s="47"/>
      <c r="EE17" s="47"/>
      <c r="EF17" s="47"/>
      <c r="EG17" s="47"/>
      <c r="EH17" s="47"/>
      <c r="EI17" s="47"/>
      <c r="EJ17" s="47"/>
      <c r="EK17" s="47"/>
      <c r="EL17" s="47"/>
      <c r="EM17" s="47"/>
      <c r="EN17" s="13" t="str">
        <f t="shared" si="50"/>
        <v/>
      </c>
      <c r="EO17" s="13" t="str">
        <f t="shared" si="51"/>
        <v/>
      </c>
      <c r="EP17" s="13" t="str">
        <f t="shared" si="52"/>
        <v/>
      </c>
      <c r="EQ17" s="13" t="str">
        <f t="shared" si="53"/>
        <v/>
      </c>
      <c r="ER17" s="13" t="str">
        <f t="shared" si="54"/>
        <v/>
      </c>
      <c r="ES17" s="13" t="str">
        <f t="shared" si="55"/>
        <v/>
      </c>
      <c r="ET17" s="48"/>
      <c r="EU17" s="48"/>
      <c r="EV17" s="48"/>
      <c r="EW17" s="48"/>
      <c r="EX17" s="48"/>
      <c r="EY17" s="48"/>
      <c r="EZ17" s="48"/>
      <c r="FA17" s="48"/>
      <c r="FB17" s="48"/>
      <c r="FC17" s="48"/>
      <c r="FD17" s="48"/>
      <c r="FE17" s="48"/>
      <c r="FF17" s="48"/>
      <c r="FG17" s="48"/>
      <c r="FH17" s="48"/>
      <c r="FI17" s="16" t="str">
        <f t="shared" si="56"/>
        <v/>
      </c>
      <c r="FJ17" s="16" t="str">
        <f t="shared" si="57"/>
        <v/>
      </c>
      <c r="FK17" s="16" t="str">
        <f t="shared" si="58"/>
        <v/>
      </c>
      <c r="FL17" s="16" t="str">
        <f t="shared" si="59"/>
        <v/>
      </c>
      <c r="FM17" s="16" t="str">
        <f t="shared" si="60"/>
        <v/>
      </c>
      <c r="FN17" s="16" t="str">
        <f t="shared" si="61"/>
        <v/>
      </c>
      <c r="FO17" s="47"/>
      <c r="FP17" s="47"/>
      <c r="FQ17" s="47"/>
      <c r="FR17" s="47"/>
      <c r="FS17" s="47"/>
      <c r="FT17" s="47"/>
      <c r="FU17" s="47"/>
      <c r="FV17" s="47"/>
      <c r="FW17" s="47"/>
      <c r="FX17" s="47"/>
      <c r="FY17" s="47"/>
      <c r="FZ17" s="47"/>
      <c r="GA17" s="47"/>
      <c r="GB17" s="47"/>
      <c r="GC17" s="47"/>
      <c r="GD17" s="13" t="str">
        <f t="shared" si="62"/>
        <v/>
      </c>
      <c r="GE17" s="13" t="str">
        <f t="shared" si="63"/>
        <v/>
      </c>
      <c r="GF17" s="13" t="str">
        <f t="shared" si="64"/>
        <v/>
      </c>
      <c r="GG17" s="13" t="str">
        <f t="shared" si="65"/>
        <v/>
      </c>
      <c r="GH17" s="13" t="str">
        <f t="shared" si="66"/>
        <v/>
      </c>
      <c r="GI17" s="13" t="str">
        <f t="shared" si="67"/>
        <v/>
      </c>
      <c r="GJ17" s="48"/>
      <c r="GK17" s="48"/>
      <c r="GL17" s="48"/>
      <c r="GM17" s="48"/>
      <c r="GN17" s="48"/>
      <c r="GO17" s="48"/>
      <c r="GP17" s="48"/>
      <c r="GQ17" s="48"/>
      <c r="GR17" s="48"/>
      <c r="GS17" s="48"/>
      <c r="GT17" s="48"/>
      <c r="GU17" s="48"/>
      <c r="GV17" s="48"/>
      <c r="GW17" s="48"/>
      <c r="GX17" s="48"/>
      <c r="GY17" s="16" t="str">
        <f t="shared" si="68"/>
        <v/>
      </c>
      <c r="GZ17" s="16" t="str">
        <f t="shared" si="69"/>
        <v/>
      </c>
      <c r="HA17" s="16" t="str">
        <f t="shared" si="70"/>
        <v/>
      </c>
      <c r="HB17" s="16" t="str">
        <f t="shared" si="71"/>
        <v/>
      </c>
      <c r="HC17" s="16" t="str">
        <f t="shared" si="72"/>
        <v/>
      </c>
      <c r="HD17" s="16" t="str">
        <f t="shared" si="73"/>
        <v/>
      </c>
      <c r="HE17" s="47"/>
      <c r="HF17" s="47"/>
      <c r="HG17" s="47"/>
      <c r="HH17" s="47"/>
      <c r="HI17" s="47"/>
      <c r="HJ17" s="47"/>
      <c r="HK17" s="47"/>
      <c r="HL17" s="47"/>
      <c r="HM17" s="47"/>
      <c r="HN17" s="47"/>
      <c r="HO17" s="47"/>
      <c r="HP17" s="47"/>
      <c r="HQ17" s="47"/>
      <c r="HR17" s="47"/>
      <c r="HS17" s="47"/>
      <c r="HT17" s="13" t="str">
        <f t="shared" si="74"/>
        <v/>
      </c>
      <c r="HU17" s="13" t="str">
        <f t="shared" si="75"/>
        <v/>
      </c>
      <c r="HV17" s="13" t="str">
        <f t="shared" si="76"/>
        <v/>
      </c>
      <c r="HW17" s="13" t="str">
        <f t="shared" si="77"/>
        <v/>
      </c>
      <c r="HX17" s="13" t="str">
        <f t="shared" si="78"/>
        <v/>
      </c>
      <c r="HY17" s="13" t="str">
        <f t="shared" si="79"/>
        <v/>
      </c>
      <c r="HZ17" s="48"/>
      <c r="IA17" s="48"/>
      <c r="IB17" s="48"/>
      <c r="IC17" s="48"/>
      <c r="ID17" s="48"/>
      <c r="IE17" s="48"/>
      <c r="IF17" s="48"/>
      <c r="IG17" s="48"/>
      <c r="IH17" s="48"/>
      <c r="II17" s="48"/>
      <c r="IJ17" s="48"/>
      <c r="IK17" s="48"/>
      <c r="IL17" s="48"/>
      <c r="IM17" s="48"/>
      <c r="IN17" s="48"/>
      <c r="IO17" s="16" t="str">
        <f t="shared" si="80"/>
        <v/>
      </c>
      <c r="IP17" s="16" t="str">
        <f t="shared" si="81"/>
        <v/>
      </c>
      <c r="IQ17" s="16" t="str">
        <f t="shared" si="82"/>
        <v/>
      </c>
      <c r="IR17" s="16" t="str">
        <f t="shared" si="83"/>
        <v/>
      </c>
      <c r="IS17" s="16" t="str">
        <f t="shared" si="84"/>
        <v/>
      </c>
      <c r="IT17" s="16" t="str">
        <f t="shared" si="85"/>
        <v/>
      </c>
      <c r="IU17" s="47"/>
      <c r="IV17" s="47"/>
      <c r="IW17" s="47"/>
      <c r="IX17" s="47"/>
      <c r="IY17" s="47"/>
      <c r="IZ17" s="47"/>
      <c r="JA17" s="47"/>
      <c r="JB17" s="47"/>
      <c r="JC17" s="47"/>
      <c r="JD17" s="47"/>
      <c r="JE17" s="47"/>
      <c r="JF17" s="47"/>
      <c r="JG17" s="47"/>
      <c r="JH17" s="47"/>
      <c r="JI17" s="47"/>
      <c r="JJ17" s="13" t="str">
        <f t="shared" si="86"/>
        <v/>
      </c>
      <c r="JK17" s="13" t="str">
        <f t="shared" si="87"/>
        <v/>
      </c>
      <c r="JL17" s="13" t="str">
        <f t="shared" si="88"/>
        <v/>
      </c>
      <c r="JM17" s="13" t="str">
        <f t="shared" si="89"/>
        <v/>
      </c>
      <c r="JN17" s="13" t="str">
        <f t="shared" si="90"/>
        <v/>
      </c>
      <c r="JO17" s="13" t="str">
        <f t="shared" si="91"/>
        <v/>
      </c>
      <c r="JP17" s="48"/>
      <c r="JQ17" s="48"/>
      <c r="JR17" s="48"/>
      <c r="JS17" s="48"/>
      <c r="JT17" s="48"/>
      <c r="JU17" s="48"/>
      <c r="JV17" s="48"/>
      <c r="JW17" s="48"/>
      <c r="JX17" s="48"/>
      <c r="JY17" s="48"/>
      <c r="JZ17" s="48"/>
      <c r="KA17" s="48"/>
      <c r="KB17" s="48"/>
      <c r="KC17" s="48"/>
      <c r="KD17" s="48"/>
      <c r="KE17" s="16" t="str">
        <f t="shared" si="92"/>
        <v/>
      </c>
      <c r="KF17" s="16" t="str">
        <f t="shared" si="93"/>
        <v/>
      </c>
      <c r="KG17" s="16" t="str">
        <f t="shared" si="94"/>
        <v/>
      </c>
      <c r="KH17" s="16" t="str">
        <f t="shared" si="95"/>
        <v/>
      </c>
      <c r="KI17" s="16" t="str">
        <f t="shared" si="96"/>
        <v/>
      </c>
      <c r="KJ17" s="16" t="str">
        <f t="shared" si="97"/>
        <v/>
      </c>
      <c r="KK17" s="47"/>
      <c r="KL17" s="47"/>
      <c r="KM17" s="47"/>
      <c r="KN17" s="47"/>
      <c r="KO17" s="47"/>
      <c r="KP17" s="47"/>
      <c r="KQ17" s="47"/>
      <c r="KR17" s="47"/>
      <c r="KS17" s="47"/>
      <c r="KT17" s="47"/>
      <c r="KU17" s="47"/>
      <c r="KV17" s="47"/>
      <c r="KW17" s="47"/>
      <c r="KX17" s="47"/>
      <c r="KY17" s="47"/>
      <c r="KZ17" s="13" t="str">
        <f t="shared" si="98"/>
        <v/>
      </c>
      <c r="LA17" s="13" t="str">
        <f t="shared" si="99"/>
        <v/>
      </c>
      <c r="LB17" s="13" t="str">
        <f t="shared" si="100"/>
        <v/>
      </c>
      <c r="LC17" s="13" t="str">
        <f t="shared" si="101"/>
        <v/>
      </c>
      <c r="LD17" s="13" t="str">
        <f t="shared" si="102"/>
        <v/>
      </c>
      <c r="LE17" s="13" t="str">
        <f t="shared" si="103"/>
        <v/>
      </c>
      <c r="LF17" s="48"/>
      <c r="LG17" s="48"/>
      <c r="LH17" s="48"/>
      <c r="LI17" s="48"/>
      <c r="LJ17" s="48"/>
      <c r="LK17" s="48"/>
      <c r="LL17" s="48"/>
      <c r="LM17" s="48"/>
      <c r="LN17" s="48"/>
      <c r="LO17" s="48"/>
      <c r="LP17" s="48"/>
      <c r="LQ17" s="48"/>
      <c r="LR17" s="48"/>
      <c r="LS17" s="48"/>
      <c r="LT17" s="48"/>
      <c r="LU17" s="16" t="str">
        <f t="shared" si="104"/>
        <v/>
      </c>
      <c r="LV17" s="16" t="str">
        <f t="shared" si="105"/>
        <v/>
      </c>
      <c r="LW17" s="16" t="str">
        <f t="shared" si="106"/>
        <v/>
      </c>
      <c r="LX17" s="16" t="str">
        <f t="shared" si="107"/>
        <v/>
      </c>
      <c r="LY17" s="16" t="str">
        <f t="shared" si="108"/>
        <v/>
      </c>
      <c r="LZ17" s="16" t="str">
        <f t="shared" si="109"/>
        <v/>
      </c>
    </row>
    <row r="18" spans="1:338" x14ac:dyDescent="0.2">
      <c r="A18" s="6" t="str">
        <f t="shared" si="0"/>
        <v/>
      </c>
      <c r="B18" s="7" t="s">
        <v>74</v>
      </c>
      <c r="C18" s="8" t="s">
        <v>13</v>
      </c>
      <c r="D18" s="33">
        <v>2018</v>
      </c>
      <c r="E18" s="17">
        <f t="shared" si="1"/>
        <v>166.70999999999998</v>
      </c>
      <c r="F18" s="4" t="str">
        <f t="shared" si="2"/>
        <v/>
      </c>
      <c r="G18" s="4" t="str">
        <f t="shared" si="3"/>
        <v/>
      </c>
      <c r="H18" s="4" t="str">
        <f t="shared" si="4"/>
        <v/>
      </c>
      <c r="I18" t="str">
        <f t="shared" si="5"/>
        <v/>
      </c>
      <c r="J18" s="16">
        <f t="shared" si="6"/>
        <v>97.11</v>
      </c>
      <c r="K18" s="16" t="str">
        <f t="shared" si="7"/>
        <v>2018 Canada Cup</v>
      </c>
      <c r="L18" s="16">
        <f t="shared" si="8"/>
        <v>47.769999999999996</v>
      </c>
      <c r="M18" s="16" t="str">
        <f t="shared" si="9"/>
        <v>2018 Nationals</v>
      </c>
      <c r="N18" s="16">
        <f t="shared" si="10"/>
        <v>10.824999999999999</v>
      </c>
      <c r="O18" s="16" t="str">
        <f t="shared" si="11"/>
        <v>2018 Nationals</v>
      </c>
      <c r="P18" s="16">
        <f t="shared" si="12"/>
        <v>11.005000000000001</v>
      </c>
      <c r="Q18" s="16" t="str">
        <f t="shared" si="13"/>
        <v>2018 Canada Cup</v>
      </c>
      <c r="R18" s="16" t="str">
        <f t="shared" si="14"/>
        <v/>
      </c>
      <c r="S18" s="31" t="str">
        <f t="shared" si="15"/>
        <v/>
      </c>
      <c r="T18" s="16" t="str">
        <f t="shared" si="16"/>
        <v/>
      </c>
      <c r="U18" s="86"/>
      <c r="V18" s="86"/>
      <c r="W18" s="86"/>
      <c r="X18" s="86"/>
      <c r="Y18" s="86"/>
      <c r="Z18" s="86"/>
      <c r="AA18" s="86"/>
      <c r="AB18" s="86"/>
      <c r="AC18" s="86"/>
      <c r="AD18" s="86"/>
      <c r="AE18" s="86"/>
      <c r="AF18" s="86"/>
      <c r="AG18" s="86"/>
      <c r="AH18" s="86"/>
      <c r="AI18" s="86"/>
      <c r="AJ18" s="13" t="str">
        <f t="shared" si="17"/>
        <v/>
      </c>
      <c r="AK18" s="13" t="str">
        <f t="shared" si="18"/>
        <v/>
      </c>
      <c r="AL18" s="13" t="str">
        <f t="shared" si="19"/>
        <v/>
      </c>
      <c r="AM18" s="13" t="str">
        <f t="shared" si="20"/>
        <v/>
      </c>
      <c r="AN18" s="13" t="str">
        <f t="shared" si="21"/>
        <v/>
      </c>
      <c r="AO18" s="13" t="str">
        <f t="shared" si="22"/>
        <v/>
      </c>
      <c r="AP18" s="94">
        <v>16.600000000000001</v>
      </c>
      <c r="AQ18" s="94">
        <v>9.25</v>
      </c>
      <c r="AR18" s="94">
        <v>3.9</v>
      </c>
      <c r="AS18" s="94">
        <v>16.170000000000002</v>
      </c>
      <c r="AT18" s="94">
        <v>0</v>
      </c>
      <c r="AU18" s="94">
        <v>15.2</v>
      </c>
      <c r="AV18" s="94">
        <v>8.9</v>
      </c>
      <c r="AW18" s="94">
        <v>11.4</v>
      </c>
      <c r="AX18" s="94">
        <v>15.69</v>
      </c>
      <c r="AY18" s="94">
        <v>0</v>
      </c>
      <c r="AZ18" s="94">
        <v>3.4</v>
      </c>
      <c r="BA18" s="94">
        <v>1.75</v>
      </c>
      <c r="BB18" s="94">
        <v>2.5</v>
      </c>
      <c r="BC18" s="94">
        <v>3.355</v>
      </c>
      <c r="BD18" s="94">
        <v>0</v>
      </c>
      <c r="BE18" s="16">
        <f t="shared" si="23"/>
        <v>15.3</v>
      </c>
      <c r="BF18" s="16">
        <f t="shared" si="24"/>
        <v>45.92</v>
      </c>
      <c r="BG18" s="16">
        <f t="shared" si="25"/>
        <v>51.19</v>
      </c>
      <c r="BH18" s="16">
        <f t="shared" si="26"/>
        <v>97.11</v>
      </c>
      <c r="BI18" s="16">
        <f t="shared" si="27"/>
        <v>11.005000000000001</v>
      </c>
      <c r="BJ18" s="16">
        <f t="shared" si="28"/>
        <v>108.11499999999999</v>
      </c>
      <c r="BK18" s="47">
        <v>17.899999999999999</v>
      </c>
      <c r="BL18" s="47">
        <v>9.35</v>
      </c>
      <c r="BM18" s="47">
        <v>3.9</v>
      </c>
      <c r="BN18" s="47">
        <v>16.62</v>
      </c>
      <c r="BO18" s="47">
        <v>0</v>
      </c>
      <c r="BP18" s="47">
        <v>3.2</v>
      </c>
      <c r="BQ18" s="47">
        <v>1.75</v>
      </c>
      <c r="BR18" s="47">
        <v>2.5</v>
      </c>
      <c r="BS18" s="47">
        <v>3.375</v>
      </c>
      <c r="BT18" s="47">
        <v>0</v>
      </c>
      <c r="BU18" s="47"/>
      <c r="BV18" s="47"/>
      <c r="BW18" s="47"/>
      <c r="BX18" s="47"/>
      <c r="BY18" s="47"/>
      <c r="BZ18" s="13">
        <f t="shared" si="29"/>
        <v>6.4</v>
      </c>
      <c r="CA18" s="13">
        <f t="shared" si="30"/>
        <v>47.769999999999996</v>
      </c>
      <c r="CB18" s="13">
        <f t="shared" si="31"/>
        <v>10.824999999999999</v>
      </c>
      <c r="CC18" s="13">
        <f t="shared" si="32"/>
        <v>58.594999999999999</v>
      </c>
      <c r="CD18" s="13" t="str">
        <f t="shared" si="33"/>
        <v/>
      </c>
      <c r="CE18" s="13">
        <f t="shared" si="34"/>
        <v>58.594999999999999</v>
      </c>
      <c r="CF18" s="30" t="str">
        <f t="shared" si="35"/>
        <v/>
      </c>
      <c r="CG18" s="30" t="str">
        <f t="shared" si="36"/>
        <v/>
      </c>
      <c r="CH18" s="30" t="str">
        <f t="shared" si="37"/>
        <v/>
      </c>
      <c r="CI18" s="47"/>
      <c r="CJ18" s="47"/>
      <c r="CK18" s="47"/>
      <c r="CL18" s="47"/>
      <c r="CM18" s="47"/>
      <c r="CN18" s="47"/>
      <c r="CO18" s="47"/>
      <c r="CP18" s="47"/>
      <c r="CQ18" s="47"/>
      <c r="CR18" s="47"/>
      <c r="CS18" s="47"/>
      <c r="CT18" s="47"/>
      <c r="CU18" s="47"/>
      <c r="CV18" s="47"/>
      <c r="CW18" s="47"/>
      <c r="CX18" s="13" t="str">
        <f t="shared" si="38"/>
        <v/>
      </c>
      <c r="CY18" s="13" t="str">
        <f t="shared" si="39"/>
        <v/>
      </c>
      <c r="CZ18" s="13" t="str">
        <f t="shared" si="40"/>
        <v/>
      </c>
      <c r="DA18" s="13" t="str">
        <f t="shared" si="41"/>
        <v/>
      </c>
      <c r="DB18" s="13" t="str">
        <f t="shared" si="42"/>
        <v/>
      </c>
      <c r="DC18" s="13" t="str">
        <f t="shared" si="43"/>
        <v/>
      </c>
      <c r="DD18" s="48"/>
      <c r="DE18" s="48"/>
      <c r="DF18" s="48"/>
      <c r="DG18" s="48"/>
      <c r="DH18" s="48"/>
      <c r="DI18" s="48"/>
      <c r="DJ18" s="48"/>
      <c r="DK18" s="48"/>
      <c r="DL18" s="48"/>
      <c r="DM18" s="48"/>
      <c r="DN18" s="48"/>
      <c r="DO18" s="48"/>
      <c r="DP18" s="48"/>
      <c r="DQ18" s="48"/>
      <c r="DR18" s="48"/>
      <c r="DS18" s="16" t="str">
        <f t="shared" si="44"/>
        <v/>
      </c>
      <c r="DT18" s="16" t="str">
        <f t="shared" si="45"/>
        <v/>
      </c>
      <c r="DU18" s="16" t="str">
        <f t="shared" si="46"/>
        <v/>
      </c>
      <c r="DV18" s="16" t="str">
        <f t="shared" si="47"/>
        <v/>
      </c>
      <c r="DW18" s="16" t="str">
        <f t="shared" si="48"/>
        <v/>
      </c>
      <c r="DX18" s="16" t="str">
        <f t="shared" si="49"/>
        <v/>
      </c>
      <c r="DY18" s="47"/>
      <c r="DZ18" s="47"/>
      <c r="EA18" s="47"/>
      <c r="EB18" s="47"/>
      <c r="EC18" s="47"/>
      <c r="ED18" s="47"/>
      <c r="EE18" s="47"/>
      <c r="EF18" s="47"/>
      <c r="EG18" s="47"/>
      <c r="EH18" s="47"/>
      <c r="EI18" s="47"/>
      <c r="EJ18" s="47"/>
      <c r="EK18" s="47"/>
      <c r="EL18" s="47"/>
      <c r="EM18" s="47"/>
      <c r="EN18" s="13" t="str">
        <f t="shared" si="50"/>
        <v/>
      </c>
      <c r="EO18" s="13" t="str">
        <f t="shared" si="51"/>
        <v/>
      </c>
      <c r="EP18" s="13" t="str">
        <f t="shared" si="52"/>
        <v/>
      </c>
      <c r="EQ18" s="13" t="str">
        <f t="shared" si="53"/>
        <v/>
      </c>
      <c r="ER18" s="13" t="str">
        <f t="shared" si="54"/>
        <v/>
      </c>
      <c r="ES18" s="13" t="str">
        <f t="shared" si="55"/>
        <v/>
      </c>
      <c r="ET18" s="48"/>
      <c r="EU18" s="48"/>
      <c r="EV18" s="48"/>
      <c r="EW18" s="48"/>
      <c r="EX18" s="48"/>
      <c r="EY18" s="48"/>
      <c r="EZ18" s="48"/>
      <c r="FA18" s="48"/>
      <c r="FB18" s="48"/>
      <c r="FC18" s="48"/>
      <c r="FD18" s="48"/>
      <c r="FE18" s="48"/>
      <c r="FF18" s="48"/>
      <c r="FG18" s="48"/>
      <c r="FH18" s="48"/>
      <c r="FI18" s="16" t="str">
        <f t="shared" si="56"/>
        <v/>
      </c>
      <c r="FJ18" s="16" t="str">
        <f t="shared" si="57"/>
        <v/>
      </c>
      <c r="FK18" s="16" t="str">
        <f t="shared" si="58"/>
        <v/>
      </c>
      <c r="FL18" s="16" t="str">
        <f t="shared" si="59"/>
        <v/>
      </c>
      <c r="FM18" s="16" t="str">
        <f t="shared" si="60"/>
        <v/>
      </c>
      <c r="FN18" s="16" t="str">
        <f t="shared" si="61"/>
        <v/>
      </c>
      <c r="FO18" s="47"/>
      <c r="FP18" s="47"/>
      <c r="FQ18" s="47"/>
      <c r="FR18" s="47"/>
      <c r="FS18" s="47"/>
      <c r="FT18" s="47"/>
      <c r="FU18" s="47"/>
      <c r="FV18" s="47"/>
      <c r="FW18" s="47"/>
      <c r="FX18" s="47"/>
      <c r="FY18" s="47"/>
      <c r="FZ18" s="47"/>
      <c r="GA18" s="47"/>
      <c r="GB18" s="47"/>
      <c r="GC18" s="47"/>
      <c r="GD18" s="13" t="str">
        <f t="shared" si="62"/>
        <v/>
      </c>
      <c r="GE18" s="13" t="str">
        <f t="shared" si="63"/>
        <v/>
      </c>
      <c r="GF18" s="13" t="str">
        <f t="shared" si="64"/>
        <v/>
      </c>
      <c r="GG18" s="13" t="str">
        <f t="shared" si="65"/>
        <v/>
      </c>
      <c r="GH18" s="13" t="str">
        <f t="shared" si="66"/>
        <v/>
      </c>
      <c r="GI18" s="13" t="str">
        <f t="shared" si="67"/>
        <v/>
      </c>
      <c r="GJ18" s="48"/>
      <c r="GK18" s="48"/>
      <c r="GL18" s="48"/>
      <c r="GM18" s="48"/>
      <c r="GN18" s="48"/>
      <c r="GO18" s="48"/>
      <c r="GP18" s="48"/>
      <c r="GQ18" s="48"/>
      <c r="GR18" s="48"/>
      <c r="GS18" s="48"/>
      <c r="GT18" s="48"/>
      <c r="GU18" s="48"/>
      <c r="GV18" s="48"/>
      <c r="GW18" s="48"/>
      <c r="GX18" s="48"/>
      <c r="GY18" s="16" t="str">
        <f t="shared" si="68"/>
        <v/>
      </c>
      <c r="GZ18" s="16" t="str">
        <f t="shared" si="69"/>
        <v/>
      </c>
      <c r="HA18" s="16" t="str">
        <f t="shared" si="70"/>
        <v/>
      </c>
      <c r="HB18" s="16" t="str">
        <f t="shared" si="71"/>
        <v/>
      </c>
      <c r="HC18" s="16" t="str">
        <f t="shared" si="72"/>
        <v/>
      </c>
      <c r="HD18" s="16" t="str">
        <f t="shared" si="73"/>
        <v/>
      </c>
      <c r="HE18" s="47"/>
      <c r="HF18" s="47"/>
      <c r="HG18" s="47"/>
      <c r="HH18" s="47"/>
      <c r="HI18" s="47"/>
      <c r="HJ18" s="47"/>
      <c r="HK18" s="47"/>
      <c r="HL18" s="47"/>
      <c r="HM18" s="47"/>
      <c r="HN18" s="47"/>
      <c r="HO18" s="47"/>
      <c r="HP18" s="47"/>
      <c r="HQ18" s="47"/>
      <c r="HR18" s="47"/>
      <c r="HS18" s="47"/>
      <c r="HT18" s="13" t="str">
        <f t="shared" si="74"/>
        <v/>
      </c>
      <c r="HU18" s="13" t="str">
        <f t="shared" si="75"/>
        <v/>
      </c>
      <c r="HV18" s="13" t="str">
        <f t="shared" si="76"/>
        <v/>
      </c>
      <c r="HW18" s="13" t="str">
        <f t="shared" si="77"/>
        <v/>
      </c>
      <c r="HX18" s="13" t="str">
        <f t="shared" si="78"/>
        <v/>
      </c>
      <c r="HY18" s="13" t="str">
        <f t="shared" si="79"/>
        <v/>
      </c>
      <c r="HZ18" s="48"/>
      <c r="IA18" s="48"/>
      <c r="IB18" s="48"/>
      <c r="IC18" s="48"/>
      <c r="ID18" s="48"/>
      <c r="IE18" s="48"/>
      <c r="IF18" s="48"/>
      <c r="IG18" s="48"/>
      <c r="IH18" s="48"/>
      <c r="II18" s="48"/>
      <c r="IJ18" s="48"/>
      <c r="IK18" s="48"/>
      <c r="IL18" s="48"/>
      <c r="IM18" s="48"/>
      <c r="IN18" s="48"/>
      <c r="IO18" s="16" t="str">
        <f t="shared" si="80"/>
        <v/>
      </c>
      <c r="IP18" s="16" t="str">
        <f t="shared" si="81"/>
        <v/>
      </c>
      <c r="IQ18" s="16" t="str">
        <f t="shared" si="82"/>
        <v/>
      </c>
      <c r="IR18" s="16" t="str">
        <f t="shared" si="83"/>
        <v/>
      </c>
      <c r="IS18" s="16" t="str">
        <f t="shared" si="84"/>
        <v/>
      </c>
      <c r="IT18" s="16" t="str">
        <f t="shared" si="85"/>
        <v/>
      </c>
      <c r="IU18" s="47"/>
      <c r="IV18" s="47"/>
      <c r="IW18" s="47"/>
      <c r="IX18" s="47"/>
      <c r="IY18" s="47"/>
      <c r="IZ18" s="47"/>
      <c r="JA18" s="47"/>
      <c r="JB18" s="47"/>
      <c r="JC18" s="47"/>
      <c r="JD18" s="47"/>
      <c r="JE18" s="47"/>
      <c r="JF18" s="47"/>
      <c r="JG18" s="47"/>
      <c r="JH18" s="47"/>
      <c r="JI18" s="47"/>
      <c r="JJ18" s="13" t="str">
        <f t="shared" si="86"/>
        <v/>
      </c>
      <c r="JK18" s="13" t="str">
        <f t="shared" si="87"/>
        <v/>
      </c>
      <c r="JL18" s="13" t="str">
        <f t="shared" si="88"/>
        <v/>
      </c>
      <c r="JM18" s="13" t="str">
        <f t="shared" si="89"/>
        <v/>
      </c>
      <c r="JN18" s="13" t="str">
        <f t="shared" si="90"/>
        <v/>
      </c>
      <c r="JO18" s="13" t="str">
        <f t="shared" si="91"/>
        <v/>
      </c>
      <c r="JP18" s="48"/>
      <c r="JQ18" s="48"/>
      <c r="JR18" s="48"/>
      <c r="JS18" s="48"/>
      <c r="JT18" s="48"/>
      <c r="JU18" s="48"/>
      <c r="JV18" s="48"/>
      <c r="JW18" s="48"/>
      <c r="JX18" s="48"/>
      <c r="JY18" s="48"/>
      <c r="JZ18" s="48"/>
      <c r="KA18" s="48"/>
      <c r="KB18" s="48"/>
      <c r="KC18" s="48"/>
      <c r="KD18" s="48"/>
      <c r="KE18" s="16" t="str">
        <f t="shared" si="92"/>
        <v/>
      </c>
      <c r="KF18" s="16" t="str">
        <f t="shared" si="93"/>
        <v/>
      </c>
      <c r="KG18" s="16" t="str">
        <f t="shared" si="94"/>
        <v/>
      </c>
      <c r="KH18" s="16" t="str">
        <f t="shared" si="95"/>
        <v/>
      </c>
      <c r="KI18" s="16" t="str">
        <f t="shared" si="96"/>
        <v/>
      </c>
      <c r="KJ18" s="16" t="str">
        <f t="shared" si="97"/>
        <v/>
      </c>
      <c r="KK18" s="47"/>
      <c r="KL18" s="47"/>
      <c r="KM18" s="47"/>
      <c r="KN18" s="47"/>
      <c r="KO18" s="47"/>
      <c r="KP18" s="47"/>
      <c r="KQ18" s="47"/>
      <c r="KR18" s="47"/>
      <c r="KS18" s="47"/>
      <c r="KT18" s="47"/>
      <c r="KU18" s="47"/>
      <c r="KV18" s="47"/>
      <c r="KW18" s="47"/>
      <c r="KX18" s="47"/>
      <c r="KY18" s="47"/>
      <c r="KZ18" s="13" t="str">
        <f t="shared" si="98"/>
        <v/>
      </c>
      <c r="LA18" s="13" t="str">
        <f t="shared" si="99"/>
        <v/>
      </c>
      <c r="LB18" s="13" t="str">
        <f t="shared" si="100"/>
        <v/>
      </c>
      <c r="LC18" s="13" t="str">
        <f t="shared" si="101"/>
        <v/>
      </c>
      <c r="LD18" s="13" t="str">
        <f t="shared" si="102"/>
        <v/>
      </c>
      <c r="LE18" s="13" t="str">
        <f t="shared" si="103"/>
        <v/>
      </c>
      <c r="LF18" s="48"/>
      <c r="LG18" s="48"/>
      <c r="LH18" s="48"/>
      <c r="LI18" s="48"/>
      <c r="LJ18" s="48"/>
      <c r="LK18" s="48"/>
      <c r="LL18" s="48"/>
      <c r="LM18" s="48"/>
      <c r="LN18" s="48"/>
      <c r="LO18" s="48"/>
      <c r="LP18" s="48"/>
      <c r="LQ18" s="48"/>
      <c r="LR18" s="48"/>
      <c r="LS18" s="48"/>
      <c r="LT18" s="48"/>
      <c r="LU18" s="16" t="str">
        <f t="shared" si="104"/>
        <v/>
      </c>
      <c r="LV18" s="16" t="str">
        <f t="shared" si="105"/>
        <v/>
      </c>
      <c r="LW18" s="16" t="str">
        <f t="shared" si="106"/>
        <v/>
      </c>
      <c r="LX18" s="16" t="str">
        <f t="shared" si="107"/>
        <v/>
      </c>
      <c r="LY18" s="16" t="str">
        <f t="shared" si="108"/>
        <v/>
      </c>
      <c r="LZ18" s="16" t="str">
        <f t="shared" si="109"/>
        <v/>
      </c>
    </row>
    <row r="19" spans="1:338" x14ac:dyDescent="0.2">
      <c r="A19" s="6" t="str">
        <f t="shared" si="0"/>
        <v/>
      </c>
      <c r="B19" s="9" t="s">
        <v>19</v>
      </c>
      <c r="C19" s="5" t="s">
        <v>4</v>
      </c>
      <c r="D19" s="33">
        <v>2006</v>
      </c>
      <c r="E19" s="17">
        <f t="shared" si="1"/>
        <v>153.495</v>
      </c>
      <c r="F19" s="4" t="str">
        <f t="shared" si="2"/>
        <v/>
      </c>
      <c r="G19" s="4" t="str">
        <f t="shared" si="3"/>
        <v/>
      </c>
      <c r="H19" s="4" t="str">
        <f t="shared" si="4"/>
        <v/>
      </c>
      <c r="I19" t="str">
        <f t="shared" si="5"/>
        <v/>
      </c>
      <c r="J19" s="16">
        <f t="shared" si="6"/>
        <v>99.545000000000016</v>
      </c>
      <c r="K19" s="16" t="str">
        <f t="shared" si="7"/>
        <v>2017 3rd Domestic Trial</v>
      </c>
      <c r="L19" s="16">
        <f t="shared" si="8"/>
        <v>0</v>
      </c>
      <c r="M19" s="16" t="str">
        <f t="shared" si="9"/>
        <v/>
      </c>
      <c r="N19" s="16">
        <f t="shared" si="10"/>
        <v>0</v>
      </c>
      <c r="O19" s="16" t="str">
        <f t="shared" si="11"/>
        <v/>
      </c>
      <c r="P19" s="16">
        <f t="shared" si="12"/>
        <v>53.949999999999996</v>
      </c>
      <c r="Q19" s="16" t="str">
        <f t="shared" si="13"/>
        <v>2017 3rd Domestic Trial</v>
      </c>
      <c r="R19" s="16" t="str">
        <f t="shared" si="14"/>
        <v/>
      </c>
      <c r="S19" s="31" t="str">
        <f t="shared" si="15"/>
        <v/>
      </c>
      <c r="T19" s="16" t="str">
        <f t="shared" si="16"/>
        <v/>
      </c>
      <c r="U19" s="86">
        <v>16.399999999999999</v>
      </c>
      <c r="V19" s="86">
        <v>8.3000000000000007</v>
      </c>
      <c r="W19" s="86">
        <v>5.9</v>
      </c>
      <c r="X19" s="86">
        <v>15.935</v>
      </c>
      <c r="Y19" s="86">
        <v>0</v>
      </c>
      <c r="Z19" s="86">
        <v>15.2</v>
      </c>
      <c r="AA19" s="86">
        <v>8.9</v>
      </c>
      <c r="AB19" s="86">
        <v>13.5</v>
      </c>
      <c r="AC19" s="86">
        <v>15.41</v>
      </c>
      <c r="AD19" s="86">
        <v>0</v>
      </c>
      <c r="AE19" s="86">
        <v>15.1</v>
      </c>
      <c r="AF19" s="86">
        <v>8.9</v>
      </c>
      <c r="AG19" s="86">
        <v>14.3</v>
      </c>
      <c r="AH19" s="86">
        <v>15.65</v>
      </c>
      <c r="AI19" s="86">
        <v>0</v>
      </c>
      <c r="AJ19" s="13">
        <f t="shared" si="17"/>
        <v>19.399999999999999</v>
      </c>
      <c r="AK19" s="13">
        <f t="shared" si="18"/>
        <v>46.535000000000004</v>
      </c>
      <c r="AL19" s="13">
        <f t="shared" si="19"/>
        <v>53.010000000000005</v>
      </c>
      <c r="AM19" s="13">
        <f t="shared" si="20"/>
        <v>99.545000000000016</v>
      </c>
      <c r="AN19" s="13">
        <f t="shared" si="21"/>
        <v>53.949999999999996</v>
      </c>
      <c r="AO19" s="13">
        <f t="shared" si="22"/>
        <v>153.495</v>
      </c>
      <c r="AP19" s="94"/>
      <c r="AQ19" s="94"/>
      <c r="AR19" s="94"/>
      <c r="AS19" s="94"/>
      <c r="AT19" s="94"/>
      <c r="AU19" s="94"/>
      <c r="AV19" s="94"/>
      <c r="AW19" s="94"/>
      <c r="AX19" s="94"/>
      <c r="AY19" s="94"/>
      <c r="AZ19" s="94"/>
      <c r="BA19" s="94"/>
      <c r="BB19" s="94"/>
      <c r="BC19" s="94"/>
      <c r="BD19" s="94"/>
      <c r="BE19" s="16" t="str">
        <f t="shared" si="23"/>
        <v/>
      </c>
      <c r="BF19" s="16" t="str">
        <f t="shared" si="24"/>
        <v/>
      </c>
      <c r="BG19" s="16" t="str">
        <f t="shared" si="25"/>
        <v/>
      </c>
      <c r="BH19" s="16" t="str">
        <f t="shared" si="26"/>
        <v/>
      </c>
      <c r="BI19" s="16" t="str">
        <f t="shared" si="27"/>
        <v/>
      </c>
      <c r="BJ19" s="16" t="str">
        <f t="shared" si="28"/>
        <v/>
      </c>
      <c r="BK19" s="47"/>
      <c r="BL19" s="47"/>
      <c r="BM19" s="47"/>
      <c r="BN19" s="47"/>
      <c r="BO19" s="47"/>
      <c r="BP19" s="47"/>
      <c r="BQ19" s="47"/>
      <c r="BR19" s="47"/>
      <c r="BS19" s="47"/>
      <c r="BT19" s="47"/>
      <c r="BU19" s="47"/>
      <c r="BV19" s="47"/>
      <c r="BW19" s="47"/>
      <c r="BX19" s="47"/>
      <c r="BY19" s="47"/>
      <c r="BZ19" s="13" t="str">
        <f t="shared" si="29"/>
        <v/>
      </c>
      <c r="CA19" s="13" t="str">
        <f t="shared" si="30"/>
        <v/>
      </c>
      <c r="CB19" s="13" t="str">
        <f t="shared" si="31"/>
        <v/>
      </c>
      <c r="CC19" s="13" t="str">
        <f t="shared" si="32"/>
        <v/>
      </c>
      <c r="CD19" s="13" t="str">
        <f t="shared" si="33"/>
        <v/>
      </c>
      <c r="CE19" s="13" t="str">
        <f t="shared" si="34"/>
        <v/>
      </c>
      <c r="CF19" s="30" t="str">
        <f t="shared" si="35"/>
        <v/>
      </c>
      <c r="CG19" s="30" t="str">
        <f t="shared" si="36"/>
        <v/>
      </c>
      <c r="CH19" s="30" t="str">
        <f t="shared" si="37"/>
        <v/>
      </c>
      <c r="CI19" s="47"/>
      <c r="CJ19" s="47"/>
      <c r="CK19" s="47"/>
      <c r="CL19" s="47"/>
      <c r="CM19" s="47"/>
      <c r="CN19" s="47"/>
      <c r="CO19" s="47"/>
      <c r="CP19" s="47"/>
      <c r="CQ19" s="47"/>
      <c r="CR19" s="47"/>
      <c r="CS19" s="47"/>
      <c r="CT19" s="47"/>
      <c r="CU19" s="47"/>
      <c r="CV19" s="47"/>
      <c r="CW19" s="47"/>
      <c r="CX19" s="13" t="str">
        <f t="shared" si="38"/>
        <v/>
      </c>
      <c r="CY19" s="13" t="str">
        <f t="shared" si="39"/>
        <v/>
      </c>
      <c r="CZ19" s="13" t="str">
        <f t="shared" si="40"/>
        <v/>
      </c>
      <c r="DA19" s="13" t="str">
        <f t="shared" si="41"/>
        <v/>
      </c>
      <c r="DB19" s="13" t="str">
        <f t="shared" si="42"/>
        <v/>
      </c>
      <c r="DC19" s="13" t="str">
        <f t="shared" si="43"/>
        <v/>
      </c>
      <c r="DD19" s="48"/>
      <c r="DE19" s="48"/>
      <c r="DF19" s="48"/>
      <c r="DG19" s="48"/>
      <c r="DH19" s="48"/>
      <c r="DI19" s="48"/>
      <c r="DJ19" s="48"/>
      <c r="DK19" s="48"/>
      <c r="DL19" s="48"/>
      <c r="DM19" s="48"/>
      <c r="DN19" s="48"/>
      <c r="DO19" s="48"/>
      <c r="DP19" s="48"/>
      <c r="DQ19" s="48"/>
      <c r="DR19" s="48"/>
      <c r="DS19" s="16" t="str">
        <f t="shared" si="44"/>
        <v/>
      </c>
      <c r="DT19" s="16" t="str">
        <f t="shared" si="45"/>
        <v/>
      </c>
      <c r="DU19" s="16" t="str">
        <f t="shared" si="46"/>
        <v/>
      </c>
      <c r="DV19" s="16" t="str">
        <f t="shared" si="47"/>
        <v/>
      </c>
      <c r="DW19" s="16" t="str">
        <f t="shared" si="48"/>
        <v/>
      </c>
      <c r="DX19" s="16" t="str">
        <f t="shared" si="49"/>
        <v/>
      </c>
      <c r="DY19" s="47"/>
      <c r="DZ19" s="47"/>
      <c r="EA19" s="47"/>
      <c r="EB19" s="47"/>
      <c r="EC19" s="47"/>
      <c r="ED19" s="47"/>
      <c r="EE19" s="47"/>
      <c r="EF19" s="47"/>
      <c r="EG19" s="47"/>
      <c r="EH19" s="47"/>
      <c r="EI19" s="47"/>
      <c r="EJ19" s="47"/>
      <c r="EK19" s="47"/>
      <c r="EL19" s="47"/>
      <c r="EM19" s="47"/>
      <c r="EN19" s="13" t="str">
        <f t="shared" si="50"/>
        <v/>
      </c>
      <c r="EO19" s="13" t="str">
        <f t="shared" si="51"/>
        <v/>
      </c>
      <c r="EP19" s="13" t="str">
        <f t="shared" si="52"/>
        <v/>
      </c>
      <c r="EQ19" s="13" t="str">
        <f t="shared" si="53"/>
        <v/>
      </c>
      <c r="ER19" s="13" t="str">
        <f t="shared" si="54"/>
        <v/>
      </c>
      <c r="ES19" s="13" t="str">
        <f t="shared" si="55"/>
        <v/>
      </c>
      <c r="ET19" s="48"/>
      <c r="EU19" s="48"/>
      <c r="EV19" s="48"/>
      <c r="EW19" s="48"/>
      <c r="EX19" s="48"/>
      <c r="EY19" s="48"/>
      <c r="EZ19" s="48"/>
      <c r="FA19" s="48"/>
      <c r="FB19" s="48"/>
      <c r="FC19" s="48"/>
      <c r="FD19" s="48"/>
      <c r="FE19" s="48"/>
      <c r="FF19" s="48"/>
      <c r="FG19" s="48"/>
      <c r="FH19" s="48"/>
      <c r="FI19" s="16" t="str">
        <f t="shared" si="56"/>
        <v/>
      </c>
      <c r="FJ19" s="16" t="str">
        <f t="shared" si="57"/>
        <v/>
      </c>
      <c r="FK19" s="16" t="str">
        <f t="shared" si="58"/>
        <v/>
      </c>
      <c r="FL19" s="16" t="str">
        <f t="shared" si="59"/>
        <v/>
      </c>
      <c r="FM19" s="16" t="str">
        <f t="shared" si="60"/>
        <v/>
      </c>
      <c r="FN19" s="16" t="str">
        <f t="shared" si="61"/>
        <v/>
      </c>
      <c r="FO19" s="47"/>
      <c r="FP19" s="47"/>
      <c r="FQ19" s="47"/>
      <c r="FR19" s="47"/>
      <c r="FS19" s="47"/>
      <c r="FT19" s="47"/>
      <c r="FU19" s="47"/>
      <c r="FV19" s="47"/>
      <c r="FW19" s="47"/>
      <c r="FX19" s="47"/>
      <c r="FY19" s="47"/>
      <c r="FZ19" s="47"/>
      <c r="GA19" s="47"/>
      <c r="GB19" s="47"/>
      <c r="GC19" s="47"/>
      <c r="GD19" s="13" t="str">
        <f t="shared" si="62"/>
        <v/>
      </c>
      <c r="GE19" s="13" t="str">
        <f t="shared" si="63"/>
        <v/>
      </c>
      <c r="GF19" s="13" t="str">
        <f t="shared" si="64"/>
        <v/>
      </c>
      <c r="GG19" s="13" t="str">
        <f t="shared" si="65"/>
        <v/>
      </c>
      <c r="GH19" s="13" t="str">
        <f t="shared" si="66"/>
        <v/>
      </c>
      <c r="GI19" s="13" t="str">
        <f t="shared" si="67"/>
        <v/>
      </c>
      <c r="GJ19" s="48"/>
      <c r="GK19" s="48"/>
      <c r="GL19" s="48"/>
      <c r="GM19" s="48"/>
      <c r="GN19" s="48"/>
      <c r="GO19" s="48"/>
      <c r="GP19" s="48"/>
      <c r="GQ19" s="48"/>
      <c r="GR19" s="48"/>
      <c r="GS19" s="48"/>
      <c r="GT19" s="48"/>
      <c r="GU19" s="48"/>
      <c r="GV19" s="48"/>
      <c r="GW19" s="48"/>
      <c r="GX19" s="48"/>
      <c r="GY19" s="16" t="str">
        <f t="shared" si="68"/>
        <v/>
      </c>
      <c r="GZ19" s="16" t="str">
        <f t="shared" si="69"/>
        <v/>
      </c>
      <c r="HA19" s="16" t="str">
        <f t="shared" si="70"/>
        <v/>
      </c>
      <c r="HB19" s="16" t="str">
        <f t="shared" si="71"/>
        <v/>
      </c>
      <c r="HC19" s="16" t="str">
        <f t="shared" si="72"/>
        <v/>
      </c>
      <c r="HD19" s="16" t="str">
        <f t="shared" si="73"/>
        <v/>
      </c>
      <c r="HE19" s="47"/>
      <c r="HF19" s="47"/>
      <c r="HG19" s="47"/>
      <c r="HH19" s="47"/>
      <c r="HI19" s="47"/>
      <c r="HJ19" s="47"/>
      <c r="HK19" s="47"/>
      <c r="HL19" s="47"/>
      <c r="HM19" s="47"/>
      <c r="HN19" s="47"/>
      <c r="HO19" s="47"/>
      <c r="HP19" s="47"/>
      <c r="HQ19" s="47"/>
      <c r="HR19" s="47"/>
      <c r="HS19" s="47"/>
      <c r="HT19" s="13" t="str">
        <f t="shared" si="74"/>
        <v/>
      </c>
      <c r="HU19" s="13" t="str">
        <f t="shared" si="75"/>
        <v/>
      </c>
      <c r="HV19" s="13" t="str">
        <f t="shared" si="76"/>
        <v/>
      </c>
      <c r="HW19" s="13" t="str">
        <f t="shared" si="77"/>
        <v/>
      </c>
      <c r="HX19" s="13" t="str">
        <f t="shared" si="78"/>
        <v/>
      </c>
      <c r="HY19" s="13" t="str">
        <f t="shared" si="79"/>
        <v/>
      </c>
      <c r="HZ19" s="48"/>
      <c r="IA19" s="48"/>
      <c r="IB19" s="48"/>
      <c r="IC19" s="48"/>
      <c r="ID19" s="48"/>
      <c r="IE19" s="48"/>
      <c r="IF19" s="48"/>
      <c r="IG19" s="48"/>
      <c r="IH19" s="48"/>
      <c r="II19" s="48"/>
      <c r="IJ19" s="48"/>
      <c r="IK19" s="48"/>
      <c r="IL19" s="48"/>
      <c r="IM19" s="48"/>
      <c r="IN19" s="48"/>
      <c r="IO19" s="16" t="str">
        <f t="shared" si="80"/>
        <v/>
      </c>
      <c r="IP19" s="16" t="str">
        <f t="shared" si="81"/>
        <v/>
      </c>
      <c r="IQ19" s="16" t="str">
        <f t="shared" si="82"/>
        <v/>
      </c>
      <c r="IR19" s="16" t="str">
        <f t="shared" si="83"/>
        <v/>
      </c>
      <c r="IS19" s="16" t="str">
        <f t="shared" si="84"/>
        <v/>
      </c>
      <c r="IT19" s="16" t="str">
        <f t="shared" si="85"/>
        <v/>
      </c>
      <c r="IU19" s="47"/>
      <c r="IV19" s="47"/>
      <c r="IW19" s="47"/>
      <c r="IX19" s="47"/>
      <c r="IY19" s="47"/>
      <c r="IZ19" s="47"/>
      <c r="JA19" s="47"/>
      <c r="JB19" s="47"/>
      <c r="JC19" s="47"/>
      <c r="JD19" s="47"/>
      <c r="JE19" s="47"/>
      <c r="JF19" s="47"/>
      <c r="JG19" s="47"/>
      <c r="JH19" s="47"/>
      <c r="JI19" s="47"/>
      <c r="JJ19" s="13" t="str">
        <f t="shared" si="86"/>
        <v/>
      </c>
      <c r="JK19" s="13" t="str">
        <f t="shared" si="87"/>
        <v/>
      </c>
      <c r="JL19" s="13" t="str">
        <f t="shared" si="88"/>
        <v/>
      </c>
      <c r="JM19" s="13" t="str">
        <f t="shared" si="89"/>
        <v/>
      </c>
      <c r="JN19" s="13" t="str">
        <f t="shared" si="90"/>
        <v/>
      </c>
      <c r="JO19" s="13" t="str">
        <f t="shared" si="91"/>
        <v/>
      </c>
      <c r="JP19" s="48"/>
      <c r="JQ19" s="48"/>
      <c r="JR19" s="48"/>
      <c r="JS19" s="48"/>
      <c r="JT19" s="48"/>
      <c r="JU19" s="48"/>
      <c r="JV19" s="48"/>
      <c r="JW19" s="48"/>
      <c r="JX19" s="48"/>
      <c r="JY19" s="48"/>
      <c r="JZ19" s="48"/>
      <c r="KA19" s="48"/>
      <c r="KB19" s="48"/>
      <c r="KC19" s="48"/>
      <c r="KD19" s="48"/>
      <c r="KE19" s="16" t="str">
        <f t="shared" si="92"/>
        <v/>
      </c>
      <c r="KF19" s="16" t="str">
        <f t="shared" si="93"/>
        <v/>
      </c>
      <c r="KG19" s="16" t="str">
        <f t="shared" si="94"/>
        <v/>
      </c>
      <c r="KH19" s="16" t="str">
        <f t="shared" si="95"/>
        <v/>
      </c>
      <c r="KI19" s="16" t="str">
        <f t="shared" si="96"/>
        <v/>
      </c>
      <c r="KJ19" s="16" t="str">
        <f t="shared" si="97"/>
        <v/>
      </c>
      <c r="KK19" s="47"/>
      <c r="KL19" s="47"/>
      <c r="KM19" s="47"/>
      <c r="KN19" s="47"/>
      <c r="KO19" s="47"/>
      <c r="KP19" s="47"/>
      <c r="KQ19" s="47"/>
      <c r="KR19" s="47"/>
      <c r="KS19" s="47"/>
      <c r="KT19" s="47"/>
      <c r="KU19" s="47"/>
      <c r="KV19" s="47"/>
      <c r="KW19" s="47"/>
      <c r="KX19" s="47"/>
      <c r="KY19" s="47"/>
      <c r="KZ19" s="13" t="str">
        <f t="shared" si="98"/>
        <v/>
      </c>
      <c r="LA19" s="13" t="str">
        <f t="shared" si="99"/>
        <v/>
      </c>
      <c r="LB19" s="13" t="str">
        <f t="shared" si="100"/>
        <v/>
      </c>
      <c r="LC19" s="13" t="str">
        <f t="shared" si="101"/>
        <v/>
      </c>
      <c r="LD19" s="13" t="str">
        <f t="shared" si="102"/>
        <v/>
      </c>
      <c r="LE19" s="13" t="str">
        <f t="shared" si="103"/>
        <v/>
      </c>
      <c r="LF19" s="48"/>
      <c r="LG19" s="48"/>
      <c r="LH19" s="48"/>
      <c r="LI19" s="48"/>
      <c r="LJ19" s="48"/>
      <c r="LK19" s="48"/>
      <c r="LL19" s="48"/>
      <c r="LM19" s="48"/>
      <c r="LN19" s="48"/>
      <c r="LO19" s="48"/>
      <c r="LP19" s="48"/>
      <c r="LQ19" s="48"/>
      <c r="LR19" s="48"/>
      <c r="LS19" s="48"/>
      <c r="LT19" s="48"/>
      <c r="LU19" s="16" t="str">
        <f t="shared" si="104"/>
        <v/>
      </c>
      <c r="LV19" s="16" t="str">
        <f t="shared" si="105"/>
        <v/>
      </c>
      <c r="LW19" s="16" t="str">
        <f t="shared" si="106"/>
        <v/>
      </c>
      <c r="LX19" s="16" t="str">
        <f t="shared" si="107"/>
        <v/>
      </c>
      <c r="LY19" s="16" t="str">
        <f t="shared" si="108"/>
        <v/>
      </c>
      <c r="LZ19" s="16" t="str">
        <f t="shared" si="109"/>
        <v/>
      </c>
    </row>
    <row r="20" spans="1:338" x14ac:dyDescent="0.2">
      <c r="A20" s="6" t="str">
        <f t="shared" si="0"/>
        <v/>
      </c>
      <c r="B20" s="7" t="s">
        <v>17</v>
      </c>
      <c r="C20" s="8" t="s">
        <v>13</v>
      </c>
      <c r="D20" s="33">
        <v>2016</v>
      </c>
      <c r="E20" s="17">
        <f t="shared" si="1"/>
        <v>148.41</v>
      </c>
      <c r="F20" s="4" t="str">
        <f t="shared" si="2"/>
        <v/>
      </c>
      <c r="G20" s="4" t="str">
        <f t="shared" si="3"/>
        <v/>
      </c>
      <c r="H20" s="4" t="str">
        <f t="shared" si="4"/>
        <v/>
      </c>
      <c r="I20" t="str">
        <f t="shared" si="5"/>
        <v/>
      </c>
      <c r="J20" s="16">
        <f t="shared" si="6"/>
        <v>98.405000000000001</v>
      </c>
      <c r="K20" s="16" t="str">
        <f t="shared" si="7"/>
        <v>2017 3rd Domestic Trial</v>
      </c>
      <c r="L20" s="16">
        <f t="shared" si="8"/>
        <v>0</v>
      </c>
      <c r="M20" s="16" t="str">
        <f t="shared" si="9"/>
        <v/>
      </c>
      <c r="N20" s="16">
        <f t="shared" si="10"/>
        <v>0</v>
      </c>
      <c r="O20" s="16" t="str">
        <f t="shared" si="11"/>
        <v/>
      </c>
      <c r="P20" s="16">
        <f t="shared" si="12"/>
        <v>50.005000000000003</v>
      </c>
      <c r="Q20" s="16" t="str">
        <f t="shared" si="13"/>
        <v>2017 3rd Domestic Trial</v>
      </c>
      <c r="R20" s="16" t="str">
        <f t="shared" si="14"/>
        <v/>
      </c>
      <c r="S20" s="31" t="str">
        <f t="shared" si="15"/>
        <v/>
      </c>
      <c r="T20" s="16" t="str">
        <f t="shared" si="16"/>
        <v/>
      </c>
      <c r="U20" s="86">
        <v>17.600000000000001</v>
      </c>
      <c r="V20" s="86">
        <v>9.3000000000000007</v>
      </c>
      <c r="W20" s="86">
        <v>3.3</v>
      </c>
      <c r="X20" s="86">
        <v>16.715</v>
      </c>
      <c r="Y20" s="86">
        <v>0</v>
      </c>
      <c r="Z20" s="86">
        <v>14.8</v>
      </c>
      <c r="AA20" s="86">
        <v>9.5</v>
      </c>
      <c r="AB20" s="86">
        <v>11.5</v>
      </c>
      <c r="AC20" s="86">
        <v>15.69</v>
      </c>
      <c r="AD20" s="86">
        <v>0</v>
      </c>
      <c r="AE20" s="86">
        <v>13.9</v>
      </c>
      <c r="AF20" s="86">
        <v>8.9</v>
      </c>
      <c r="AG20" s="86">
        <v>12.3</v>
      </c>
      <c r="AH20" s="86">
        <v>15.505000000000001</v>
      </c>
      <c r="AI20" s="86">
        <v>0.6</v>
      </c>
      <c r="AJ20" s="13">
        <f t="shared" si="17"/>
        <v>14.8</v>
      </c>
      <c r="AK20" s="13">
        <f t="shared" si="18"/>
        <v>46.915000000000006</v>
      </c>
      <c r="AL20" s="13">
        <f t="shared" si="19"/>
        <v>51.489999999999995</v>
      </c>
      <c r="AM20" s="13">
        <f t="shared" si="20"/>
        <v>98.405000000000001</v>
      </c>
      <c r="AN20" s="13">
        <f t="shared" si="21"/>
        <v>50.005000000000003</v>
      </c>
      <c r="AO20" s="13">
        <f t="shared" si="22"/>
        <v>148.41</v>
      </c>
      <c r="AP20" s="94"/>
      <c r="AQ20" s="94"/>
      <c r="AR20" s="94"/>
      <c r="AS20" s="94"/>
      <c r="AT20" s="94"/>
      <c r="AU20" s="94"/>
      <c r="AV20" s="94"/>
      <c r="AW20" s="94"/>
      <c r="AX20" s="94"/>
      <c r="AY20" s="94"/>
      <c r="AZ20" s="94"/>
      <c r="BA20" s="94"/>
      <c r="BB20" s="94"/>
      <c r="BC20" s="94"/>
      <c r="BD20" s="94"/>
      <c r="BE20" s="16" t="str">
        <f t="shared" si="23"/>
        <v/>
      </c>
      <c r="BF20" s="16" t="str">
        <f t="shared" si="24"/>
        <v/>
      </c>
      <c r="BG20" s="16" t="str">
        <f t="shared" si="25"/>
        <v/>
      </c>
      <c r="BH20" s="16" t="str">
        <f t="shared" si="26"/>
        <v/>
      </c>
      <c r="BI20" s="16" t="str">
        <f t="shared" si="27"/>
        <v/>
      </c>
      <c r="BJ20" s="16" t="str">
        <f t="shared" si="28"/>
        <v/>
      </c>
      <c r="BK20" s="47"/>
      <c r="BL20" s="47"/>
      <c r="BM20" s="47"/>
      <c r="BN20" s="47"/>
      <c r="BO20" s="47"/>
      <c r="BP20" s="47"/>
      <c r="BQ20" s="47"/>
      <c r="BR20" s="47"/>
      <c r="BS20" s="47"/>
      <c r="BT20" s="47"/>
      <c r="BU20" s="47"/>
      <c r="BV20" s="47"/>
      <c r="BW20" s="47"/>
      <c r="BX20" s="47"/>
      <c r="BY20" s="47"/>
      <c r="BZ20" s="13" t="str">
        <f t="shared" si="29"/>
        <v/>
      </c>
      <c r="CA20" s="13" t="str">
        <f t="shared" si="30"/>
        <v/>
      </c>
      <c r="CB20" s="13" t="str">
        <f t="shared" si="31"/>
        <v/>
      </c>
      <c r="CC20" s="13" t="str">
        <f t="shared" si="32"/>
        <v/>
      </c>
      <c r="CD20" s="13" t="str">
        <f t="shared" si="33"/>
        <v/>
      </c>
      <c r="CE20" s="13" t="str">
        <f t="shared" si="34"/>
        <v/>
      </c>
      <c r="CF20" s="30" t="str">
        <f t="shared" si="35"/>
        <v/>
      </c>
      <c r="CG20" s="30" t="str">
        <f t="shared" si="36"/>
        <v/>
      </c>
      <c r="CH20" s="30" t="str">
        <f t="shared" si="37"/>
        <v/>
      </c>
      <c r="CI20" s="47"/>
      <c r="CJ20" s="47"/>
      <c r="CK20" s="47"/>
      <c r="CL20" s="47"/>
      <c r="CM20" s="47"/>
      <c r="CN20" s="47"/>
      <c r="CO20" s="47"/>
      <c r="CP20" s="47"/>
      <c r="CQ20" s="47"/>
      <c r="CR20" s="47"/>
      <c r="CS20" s="47"/>
      <c r="CT20" s="47"/>
      <c r="CU20" s="47"/>
      <c r="CV20" s="47"/>
      <c r="CW20" s="47"/>
      <c r="CX20" s="13" t="str">
        <f t="shared" si="38"/>
        <v/>
      </c>
      <c r="CY20" s="13" t="str">
        <f t="shared" si="39"/>
        <v/>
      </c>
      <c r="CZ20" s="13" t="str">
        <f t="shared" si="40"/>
        <v/>
      </c>
      <c r="DA20" s="13" t="str">
        <f t="shared" si="41"/>
        <v/>
      </c>
      <c r="DB20" s="13" t="str">
        <f t="shared" si="42"/>
        <v/>
      </c>
      <c r="DC20" s="13" t="str">
        <f t="shared" si="43"/>
        <v/>
      </c>
      <c r="DD20" s="48"/>
      <c r="DE20" s="48"/>
      <c r="DF20" s="48"/>
      <c r="DG20" s="48"/>
      <c r="DH20" s="48"/>
      <c r="DI20" s="48"/>
      <c r="DJ20" s="48"/>
      <c r="DK20" s="48"/>
      <c r="DL20" s="48"/>
      <c r="DM20" s="48"/>
      <c r="DN20" s="48"/>
      <c r="DO20" s="48"/>
      <c r="DP20" s="48"/>
      <c r="DQ20" s="48"/>
      <c r="DR20" s="48"/>
      <c r="DS20" s="16" t="str">
        <f t="shared" si="44"/>
        <v/>
      </c>
      <c r="DT20" s="16" t="str">
        <f t="shared" si="45"/>
        <v/>
      </c>
      <c r="DU20" s="16" t="str">
        <f t="shared" si="46"/>
        <v/>
      </c>
      <c r="DV20" s="16" t="str">
        <f t="shared" si="47"/>
        <v/>
      </c>
      <c r="DW20" s="16" t="str">
        <f t="shared" si="48"/>
        <v/>
      </c>
      <c r="DX20" s="16" t="str">
        <f t="shared" si="49"/>
        <v/>
      </c>
      <c r="DY20" s="47"/>
      <c r="DZ20" s="47"/>
      <c r="EA20" s="47"/>
      <c r="EB20" s="47"/>
      <c r="EC20" s="47"/>
      <c r="ED20" s="47"/>
      <c r="EE20" s="47"/>
      <c r="EF20" s="47"/>
      <c r="EG20" s="47"/>
      <c r="EH20" s="47"/>
      <c r="EI20" s="47"/>
      <c r="EJ20" s="47"/>
      <c r="EK20" s="47"/>
      <c r="EL20" s="47"/>
      <c r="EM20" s="47"/>
      <c r="EN20" s="13" t="str">
        <f t="shared" si="50"/>
        <v/>
      </c>
      <c r="EO20" s="13" t="str">
        <f t="shared" si="51"/>
        <v/>
      </c>
      <c r="EP20" s="13" t="str">
        <f t="shared" si="52"/>
        <v/>
      </c>
      <c r="EQ20" s="13" t="str">
        <f t="shared" si="53"/>
        <v/>
      </c>
      <c r="ER20" s="13" t="str">
        <f t="shared" si="54"/>
        <v/>
      </c>
      <c r="ES20" s="13" t="str">
        <f t="shared" si="55"/>
        <v/>
      </c>
      <c r="ET20" s="48"/>
      <c r="EU20" s="48"/>
      <c r="EV20" s="48"/>
      <c r="EW20" s="48"/>
      <c r="EX20" s="48"/>
      <c r="EY20" s="48"/>
      <c r="EZ20" s="48"/>
      <c r="FA20" s="48"/>
      <c r="FB20" s="48"/>
      <c r="FC20" s="48"/>
      <c r="FD20" s="48"/>
      <c r="FE20" s="48"/>
      <c r="FF20" s="48"/>
      <c r="FG20" s="48"/>
      <c r="FH20" s="48"/>
      <c r="FI20" s="16" t="str">
        <f t="shared" si="56"/>
        <v/>
      </c>
      <c r="FJ20" s="16" t="str">
        <f t="shared" si="57"/>
        <v/>
      </c>
      <c r="FK20" s="16" t="str">
        <f t="shared" si="58"/>
        <v/>
      </c>
      <c r="FL20" s="16" t="str">
        <f t="shared" si="59"/>
        <v/>
      </c>
      <c r="FM20" s="16" t="str">
        <f t="shared" si="60"/>
        <v/>
      </c>
      <c r="FN20" s="16" t="str">
        <f t="shared" si="61"/>
        <v/>
      </c>
      <c r="FO20" s="47"/>
      <c r="FP20" s="47"/>
      <c r="FQ20" s="47"/>
      <c r="FR20" s="47"/>
      <c r="FS20" s="47"/>
      <c r="FT20" s="47"/>
      <c r="FU20" s="47"/>
      <c r="FV20" s="47"/>
      <c r="FW20" s="47"/>
      <c r="FX20" s="47"/>
      <c r="FY20" s="47"/>
      <c r="FZ20" s="47"/>
      <c r="GA20" s="47"/>
      <c r="GB20" s="47"/>
      <c r="GC20" s="47"/>
      <c r="GD20" s="13" t="str">
        <f t="shared" si="62"/>
        <v/>
      </c>
      <c r="GE20" s="13" t="str">
        <f t="shared" si="63"/>
        <v/>
      </c>
      <c r="GF20" s="13" t="str">
        <f t="shared" si="64"/>
        <v/>
      </c>
      <c r="GG20" s="13" t="str">
        <f t="shared" si="65"/>
        <v/>
      </c>
      <c r="GH20" s="13" t="str">
        <f t="shared" si="66"/>
        <v/>
      </c>
      <c r="GI20" s="13" t="str">
        <f t="shared" si="67"/>
        <v/>
      </c>
      <c r="GJ20" s="48"/>
      <c r="GK20" s="48"/>
      <c r="GL20" s="48"/>
      <c r="GM20" s="48"/>
      <c r="GN20" s="48"/>
      <c r="GO20" s="48"/>
      <c r="GP20" s="48"/>
      <c r="GQ20" s="48"/>
      <c r="GR20" s="48"/>
      <c r="GS20" s="48"/>
      <c r="GT20" s="48"/>
      <c r="GU20" s="48"/>
      <c r="GV20" s="48"/>
      <c r="GW20" s="48"/>
      <c r="GX20" s="48"/>
      <c r="GY20" s="16" t="str">
        <f t="shared" si="68"/>
        <v/>
      </c>
      <c r="GZ20" s="16" t="str">
        <f t="shared" si="69"/>
        <v/>
      </c>
      <c r="HA20" s="16" t="str">
        <f t="shared" si="70"/>
        <v/>
      </c>
      <c r="HB20" s="16" t="str">
        <f t="shared" si="71"/>
        <v/>
      </c>
      <c r="HC20" s="16" t="str">
        <f t="shared" si="72"/>
        <v/>
      </c>
      <c r="HD20" s="16" t="str">
        <f t="shared" si="73"/>
        <v/>
      </c>
      <c r="HE20" s="47"/>
      <c r="HF20" s="47"/>
      <c r="HG20" s="47"/>
      <c r="HH20" s="47"/>
      <c r="HI20" s="47"/>
      <c r="HJ20" s="47"/>
      <c r="HK20" s="47"/>
      <c r="HL20" s="47"/>
      <c r="HM20" s="47"/>
      <c r="HN20" s="47"/>
      <c r="HO20" s="47"/>
      <c r="HP20" s="47"/>
      <c r="HQ20" s="47"/>
      <c r="HR20" s="47"/>
      <c r="HS20" s="47"/>
      <c r="HT20" s="13" t="str">
        <f t="shared" si="74"/>
        <v/>
      </c>
      <c r="HU20" s="13" t="str">
        <f t="shared" si="75"/>
        <v/>
      </c>
      <c r="HV20" s="13" t="str">
        <f t="shared" si="76"/>
        <v/>
      </c>
      <c r="HW20" s="13" t="str">
        <f t="shared" si="77"/>
        <v/>
      </c>
      <c r="HX20" s="13" t="str">
        <f t="shared" si="78"/>
        <v/>
      </c>
      <c r="HY20" s="13" t="str">
        <f t="shared" si="79"/>
        <v/>
      </c>
      <c r="HZ20" s="48"/>
      <c r="IA20" s="48"/>
      <c r="IB20" s="48"/>
      <c r="IC20" s="48"/>
      <c r="ID20" s="48"/>
      <c r="IE20" s="48"/>
      <c r="IF20" s="48"/>
      <c r="IG20" s="48"/>
      <c r="IH20" s="48"/>
      <c r="II20" s="48"/>
      <c r="IJ20" s="48"/>
      <c r="IK20" s="48"/>
      <c r="IL20" s="48"/>
      <c r="IM20" s="48"/>
      <c r="IN20" s="48"/>
      <c r="IO20" s="16" t="str">
        <f t="shared" si="80"/>
        <v/>
      </c>
      <c r="IP20" s="16" t="str">
        <f t="shared" si="81"/>
        <v/>
      </c>
      <c r="IQ20" s="16" t="str">
        <f t="shared" si="82"/>
        <v/>
      </c>
      <c r="IR20" s="16" t="str">
        <f t="shared" si="83"/>
        <v/>
      </c>
      <c r="IS20" s="16" t="str">
        <f t="shared" si="84"/>
        <v/>
      </c>
      <c r="IT20" s="16" t="str">
        <f t="shared" si="85"/>
        <v/>
      </c>
      <c r="IU20" s="47"/>
      <c r="IV20" s="47"/>
      <c r="IW20" s="47"/>
      <c r="IX20" s="47"/>
      <c r="IY20" s="47"/>
      <c r="IZ20" s="47"/>
      <c r="JA20" s="47"/>
      <c r="JB20" s="47"/>
      <c r="JC20" s="47"/>
      <c r="JD20" s="47"/>
      <c r="JE20" s="47"/>
      <c r="JF20" s="47"/>
      <c r="JG20" s="47"/>
      <c r="JH20" s="47"/>
      <c r="JI20" s="47"/>
      <c r="JJ20" s="13" t="str">
        <f t="shared" si="86"/>
        <v/>
      </c>
      <c r="JK20" s="13" t="str">
        <f t="shared" si="87"/>
        <v/>
      </c>
      <c r="JL20" s="13" t="str">
        <f t="shared" si="88"/>
        <v/>
      </c>
      <c r="JM20" s="13" t="str">
        <f t="shared" si="89"/>
        <v/>
      </c>
      <c r="JN20" s="13" t="str">
        <f t="shared" si="90"/>
        <v/>
      </c>
      <c r="JO20" s="13" t="str">
        <f t="shared" si="91"/>
        <v/>
      </c>
      <c r="JP20" s="48"/>
      <c r="JQ20" s="48"/>
      <c r="JR20" s="48"/>
      <c r="JS20" s="48"/>
      <c r="JT20" s="48"/>
      <c r="JU20" s="48"/>
      <c r="JV20" s="48"/>
      <c r="JW20" s="48"/>
      <c r="JX20" s="48"/>
      <c r="JY20" s="48"/>
      <c r="JZ20" s="48"/>
      <c r="KA20" s="48"/>
      <c r="KB20" s="48"/>
      <c r="KC20" s="48"/>
      <c r="KD20" s="48"/>
      <c r="KE20" s="16" t="str">
        <f t="shared" si="92"/>
        <v/>
      </c>
      <c r="KF20" s="16" t="str">
        <f t="shared" si="93"/>
        <v/>
      </c>
      <c r="KG20" s="16" t="str">
        <f t="shared" si="94"/>
        <v/>
      </c>
      <c r="KH20" s="16" t="str">
        <f t="shared" si="95"/>
        <v/>
      </c>
      <c r="KI20" s="16" t="str">
        <f t="shared" si="96"/>
        <v/>
      </c>
      <c r="KJ20" s="16" t="str">
        <f t="shared" si="97"/>
        <v/>
      </c>
      <c r="KK20" s="47"/>
      <c r="KL20" s="47"/>
      <c r="KM20" s="47"/>
      <c r="KN20" s="47"/>
      <c r="KO20" s="47"/>
      <c r="KP20" s="47"/>
      <c r="KQ20" s="47"/>
      <c r="KR20" s="47"/>
      <c r="KS20" s="47"/>
      <c r="KT20" s="47"/>
      <c r="KU20" s="47"/>
      <c r="KV20" s="47"/>
      <c r="KW20" s="47"/>
      <c r="KX20" s="47"/>
      <c r="KY20" s="47"/>
      <c r="KZ20" s="13" t="str">
        <f t="shared" si="98"/>
        <v/>
      </c>
      <c r="LA20" s="13" t="str">
        <f t="shared" si="99"/>
        <v/>
      </c>
      <c r="LB20" s="13" t="str">
        <f t="shared" si="100"/>
        <v/>
      </c>
      <c r="LC20" s="13" t="str">
        <f t="shared" si="101"/>
        <v/>
      </c>
      <c r="LD20" s="13" t="str">
        <f t="shared" si="102"/>
        <v/>
      </c>
      <c r="LE20" s="13" t="str">
        <f t="shared" si="103"/>
        <v/>
      </c>
      <c r="LF20" s="48"/>
      <c r="LG20" s="48"/>
      <c r="LH20" s="48"/>
      <c r="LI20" s="48"/>
      <c r="LJ20" s="48"/>
      <c r="LK20" s="48"/>
      <c r="LL20" s="48"/>
      <c r="LM20" s="48"/>
      <c r="LN20" s="48"/>
      <c r="LO20" s="48"/>
      <c r="LP20" s="48"/>
      <c r="LQ20" s="48"/>
      <c r="LR20" s="48"/>
      <c r="LS20" s="48"/>
      <c r="LT20" s="48"/>
      <c r="LU20" s="16" t="str">
        <f t="shared" si="104"/>
        <v/>
      </c>
      <c r="LV20" s="16" t="str">
        <f t="shared" si="105"/>
        <v/>
      </c>
      <c r="LW20" s="16" t="str">
        <f t="shared" si="106"/>
        <v/>
      </c>
      <c r="LX20" s="16" t="str">
        <f t="shared" si="107"/>
        <v/>
      </c>
      <c r="LY20" s="16" t="str">
        <f t="shared" si="108"/>
        <v/>
      </c>
      <c r="LZ20" s="16" t="str">
        <f t="shared" si="109"/>
        <v/>
      </c>
    </row>
    <row r="21" spans="1:338" x14ac:dyDescent="0.2">
      <c r="A21" s="6" t="str">
        <f t="shared" si="0"/>
        <v/>
      </c>
      <c r="B21" s="7" t="s">
        <v>143</v>
      </c>
      <c r="C21" s="8" t="s">
        <v>4</v>
      </c>
      <c r="D21" s="33">
        <v>2018</v>
      </c>
      <c r="E21" s="17">
        <f t="shared" si="1"/>
        <v>134.97</v>
      </c>
      <c r="F21" s="4" t="str">
        <f t="shared" si="2"/>
        <v/>
      </c>
      <c r="G21" s="4" t="str">
        <f t="shared" si="3"/>
        <v/>
      </c>
      <c r="H21" s="4" t="str">
        <f t="shared" si="4"/>
        <v/>
      </c>
      <c r="I21" t="str">
        <f t="shared" si="5"/>
        <v/>
      </c>
      <c r="J21" s="16">
        <f t="shared" si="6"/>
        <v>99.515000000000001</v>
      </c>
      <c r="K21" s="16" t="str">
        <f t="shared" si="7"/>
        <v>2018 Nationals</v>
      </c>
      <c r="L21" s="16">
        <f t="shared" si="8"/>
        <v>0</v>
      </c>
      <c r="M21" s="16" t="str">
        <f t="shared" si="9"/>
        <v/>
      </c>
      <c r="N21" s="16">
        <f t="shared" si="10"/>
        <v>0</v>
      </c>
      <c r="O21" s="16" t="str">
        <f t="shared" si="11"/>
        <v/>
      </c>
      <c r="P21" s="16">
        <f t="shared" si="12"/>
        <v>35.454999999999998</v>
      </c>
      <c r="Q21" s="16" t="str">
        <f t="shared" si="13"/>
        <v>2018 Nationals</v>
      </c>
      <c r="R21" s="16" t="str">
        <f t="shared" si="14"/>
        <v/>
      </c>
      <c r="S21" s="31" t="str">
        <f t="shared" si="15"/>
        <v/>
      </c>
      <c r="T21" s="16" t="str">
        <f t="shared" si="16"/>
        <v/>
      </c>
      <c r="U21" s="86"/>
      <c r="V21" s="86"/>
      <c r="W21" s="86"/>
      <c r="X21" s="86"/>
      <c r="Y21" s="86"/>
      <c r="Z21" s="86"/>
      <c r="AA21" s="86"/>
      <c r="AB21" s="86"/>
      <c r="AC21" s="86"/>
      <c r="AD21" s="86"/>
      <c r="AE21" s="86"/>
      <c r="AF21" s="86"/>
      <c r="AG21" s="86"/>
      <c r="AH21" s="86"/>
      <c r="AI21" s="86"/>
      <c r="AJ21" s="13" t="str">
        <f t="shared" si="17"/>
        <v/>
      </c>
      <c r="AK21" s="13" t="str">
        <f t="shared" si="18"/>
        <v/>
      </c>
      <c r="AL21" s="13" t="str">
        <f t="shared" si="19"/>
        <v/>
      </c>
      <c r="AM21" s="13" t="str">
        <f t="shared" si="20"/>
        <v/>
      </c>
      <c r="AN21" s="13" t="str">
        <f t="shared" si="21"/>
        <v/>
      </c>
      <c r="AO21" s="13" t="str">
        <f t="shared" si="22"/>
        <v/>
      </c>
      <c r="AP21" s="94"/>
      <c r="AQ21" s="94"/>
      <c r="AR21" s="94"/>
      <c r="AS21" s="94"/>
      <c r="AT21" s="94"/>
      <c r="AU21" s="94"/>
      <c r="AV21" s="94"/>
      <c r="AW21" s="94"/>
      <c r="AX21" s="94"/>
      <c r="AY21" s="94"/>
      <c r="AZ21" s="94"/>
      <c r="BA21" s="94"/>
      <c r="BB21" s="94"/>
      <c r="BC21" s="94"/>
      <c r="BD21" s="94"/>
      <c r="BE21" s="16" t="str">
        <f t="shared" si="23"/>
        <v/>
      </c>
      <c r="BF21" s="16" t="str">
        <f t="shared" si="24"/>
        <v/>
      </c>
      <c r="BG21" s="16" t="str">
        <f t="shared" si="25"/>
        <v/>
      </c>
      <c r="BH21" s="16" t="str">
        <f t="shared" si="26"/>
        <v/>
      </c>
      <c r="BI21" s="16" t="str">
        <f t="shared" si="27"/>
        <v/>
      </c>
      <c r="BJ21" s="16" t="str">
        <f t="shared" si="28"/>
        <v/>
      </c>
      <c r="BK21" s="47">
        <v>16.399999999999999</v>
      </c>
      <c r="BL21" s="47">
        <v>8.65</v>
      </c>
      <c r="BM21" s="47">
        <v>5.2</v>
      </c>
      <c r="BN21" s="47">
        <v>16.704999999999998</v>
      </c>
      <c r="BO21" s="47">
        <v>0</v>
      </c>
      <c r="BP21" s="47">
        <v>14.2</v>
      </c>
      <c r="BQ21" s="47">
        <v>8.25</v>
      </c>
      <c r="BR21" s="47">
        <v>14.4</v>
      </c>
      <c r="BS21" s="47">
        <v>15.71</v>
      </c>
      <c r="BT21" s="47">
        <v>0</v>
      </c>
      <c r="BU21" s="47">
        <v>8.3000000000000007</v>
      </c>
      <c r="BV21" s="47">
        <v>6</v>
      </c>
      <c r="BW21" s="47">
        <v>10.3</v>
      </c>
      <c r="BX21" s="47">
        <v>10.855</v>
      </c>
      <c r="BY21" s="47">
        <v>0</v>
      </c>
      <c r="BZ21" s="13">
        <f t="shared" si="29"/>
        <v>19.600000000000001</v>
      </c>
      <c r="CA21" s="13">
        <f t="shared" si="30"/>
        <v>46.954999999999998</v>
      </c>
      <c r="CB21" s="13">
        <f t="shared" si="31"/>
        <v>52.56</v>
      </c>
      <c r="CC21" s="13">
        <f t="shared" si="32"/>
        <v>99.515000000000001</v>
      </c>
      <c r="CD21" s="13">
        <f t="shared" si="33"/>
        <v>35.454999999999998</v>
      </c>
      <c r="CE21" s="13">
        <f t="shared" si="34"/>
        <v>134.97</v>
      </c>
      <c r="CF21" s="30" t="str">
        <f t="shared" si="35"/>
        <v/>
      </c>
      <c r="CG21" s="30" t="str">
        <f t="shared" si="36"/>
        <v/>
      </c>
      <c r="CH21" s="30" t="str">
        <f t="shared" si="37"/>
        <v/>
      </c>
      <c r="CI21" s="47"/>
      <c r="CJ21" s="47"/>
      <c r="CK21" s="47"/>
      <c r="CL21" s="47"/>
      <c r="CM21" s="47"/>
      <c r="CN21" s="47"/>
      <c r="CO21" s="47"/>
      <c r="CP21" s="47"/>
      <c r="CQ21" s="47"/>
      <c r="CR21" s="47"/>
      <c r="CS21" s="47"/>
      <c r="CT21" s="47"/>
      <c r="CU21" s="47"/>
      <c r="CV21" s="47"/>
      <c r="CW21" s="47"/>
      <c r="CX21" s="13" t="str">
        <f t="shared" si="38"/>
        <v/>
      </c>
      <c r="CY21" s="13" t="str">
        <f t="shared" si="39"/>
        <v/>
      </c>
      <c r="CZ21" s="13" t="str">
        <f t="shared" si="40"/>
        <v/>
      </c>
      <c r="DA21" s="13" t="str">
        <f t="shared" si="41"/>
        <v/>
      </c>
      <c r="DB21" s="13" t="str">
        <f t="shared" si="42"/>
        <v/>
      </c>
      <c r="DC21" s="13" t="str">
        <f t="shared" si="43"/>
        <v/>
      </c>
      <c r="DD21" s="48"/>
      <c r="DE21" s="48"/>
      <c r="DF21" s="48"/>
      <c r="DG21" s="48"/>
      <c r="DH21" s="48"/>
      <c r="DI21" s="48"/>
      <c r="DJ21" s="48"/>
      <c r="DK21" s="48"/>
      <c r="DL21" s="48"/>
      <c r="DM21" s="48"/>
      <c r="DN21" s="48"/>
      <c r="DO21" s="48"/>
      <c r="DP21" s="48"/>
      <c r="DQ21" s="48"/>
      <c r="DR21" s="48"/>
      <c r="DS21" s="16" t="str">
        <f t="shared" si="44"/>
        <v/>
      </c>
      <c r="DT21" s="16" t="str">
        <f t="shared" si="45"/>
        <v/>
      </c>
      <c r="DU21" s="16" t="str">
        <f t="shared" si="46"/>
        <v/>
      </c>
      <c r="DV21" s="16" t="str">
        <f t="shared" si="47"/>
        <v/>
      </c>
      <c r="DW21" s="16" t="str">
        <f t="shared" si="48"/>
        <v/>
      </c>
      <c r="DX21" s="16" t="str">
        <f t="shared" si="49"/>
        <v/>
      </c>
      <c r="DY21" s="47"/>
      <c r="DZ21" s="47"/>
      <c r="EA21" s="47"/>
      <c r="EB21" s="47"/>
      <c r="EC21" s="47"/>
      <c r="ED21" s="47"/>
      <c r="EE21" s="47"/>
      <c r="EF21" s="47"/>
      <c r="EG21" s="47"/>
      <c r="EH21" s="47"/>
      <c r="EI21" s="47"/>
      <c r="EJ21" s="47"/>
      <c r="EK21" s="47"/>
      <c r="EL21" s="47"/>
      <c r="EM21" s="47"/>
      <c r="EN21" s="13" t="str">
        <f t="shared" si="50"/>
        <v/>
      </c>
      <c r="EO21" s="13" t="str">
        <f t="shared" si="51"/>
        <v/>
      </c>
      <c r="EP21" s="13" t="str">
        <f t="shared" si="52"/>
        <v/>
      </c>
      <c r="EQ21" s="13" t="str">
        <f t="shared" si="53"/>
        <v/>
      </c>
      <c r="ER21" s="13" t="str">
        <f t="shared" si="54"/>
        <v/>
      </c>
      <c r="ES21" s="13" t="str">
        <f t="shared" si="55"/>
        <v/>
      </c>
      <c r="ET21" s="48"/>
      <c r="EU21" s="48"/>
      <c r="EV21" s="48"/>
      <c r="EW21" s="48"/>
      <c r="EX21" s="48"/>
      <c r="EY21" s="48"/>
      <c r="EZ21" s="48"/>
      <c r="FA21" s="48"/>
      <c r="FB21" s="48"/>
      <c r="FC21" s="48"/>
      <c r="FD21" s="48"/>
      <c r="FE21" s="48"/>
      <c r="FF21" s="48"/>
      <c r="FG21" s="48"/>
      <c r="FH21" s="48"/>
      <c r="FI21" s="16" t="str">
        <f t="shared" si="56"/>
        <v/>
      </c>
      <c r="FJ21" s="16" t="str">
        <f t="shared" si="57"/>
        <v/>
      </c>
      <c r="FK21" s="16" t="str">
        <f t="shared" si="58"/>
        <v/>
      </c>
      <c r="FL21" s="16" t="str">
        <f t="shared" si="59"/>
        <v/>
      </c>
      <c r="FM21" s="16" t="str">
        <f t="shared" si="60"/>
        <v/>
      </c>
      <c r="FN21" s="16" t="str">
        <f t="shared" si="61"/>
        <v/>
      </c>
      <c r="FO21" s="47"/>
      <c r="FP21" s="47"/>
      <c r="FQ21" s="47"/>
      <c r="FR21" s="47"/>
      <c r="FS21" s="47"/>
      <c r="FT21" s="47"/>
      <c r="FU21" s="47"/>
      <c r="FV21" s="47"/>
      <c r="FW21" s="47"/>
      <c r="FX21" s="47"/>
      <c r="FY21" s="47"/>
      <c r="FZ21" s="47"/>
      <c r="GA21" s="47"/>
      <c r="GB21" s="47"/>
      <c r="GC21" s="47"/>
      <c r="GD21" s="13" t="str">
        <f t="shared" si="62"/>
        <v/>
      </c>
      <c r="GE21" s="13" t="str">
        <f t="shared" si="63"/>
        <v/>
      </c>
      <c r="GF21" s="13" t="str">
        <f t="shared" si="64"/>
        <v/>
      </c>
      <c r="GG21" s="13" t="str">
        <f t="shared" si="65"/>
        <v/>
      </c>
      <c r="GH21" s="13" t="str">
        <f t="shared" si="66"/>
        <v/>
      </c>
      <c r="GI21" s="13" t="str">
        <f t="shared" si="67"/>
        <v/>
      </c>
      <c r="GJ21" s="48"/>
      <c r="GK21" s="48"/>
      <c r="GL21" s="48"/>
      <c r="GM21" s="48"/>
      <c r="GN21" s="48"/>
      <c r="GO21" s="48"/>
      <c r="GP21" s="48"/>
      <c r="GQ21" s="48"/>
      <c r="GR21" s="48"/>
      <c r="GS21" s="48"/>
      <c r="GT21" s="48"/>
      <c r="GU21" s="48"/>
      <c r="GV21" s="48"/>
      <c r="GW21" s="48"/>
      <c r="GX21" s="48"/>
      <c r="GY21" s="16" t="str">
        <f t="shared" si="68"/>
        <v/>
      </c>
      <c r="GZ21" s="16" t="str">
        <f t="shared" si="69"/>
        <v/>
      </c>
      <c r="HA21" s="16" t="str">
        <f t="shared" si="70"/>
        <v/>
      </c>
      <c r="HB21" s="16" t="str">
        <f t="shared" si="71"/>
        <v/>
      </c>
      <c r="HC21" s="16" t="str">
        <f t="shared" si="72"/>
        <v/>
      </c>
      <c r="HD21" s="16" t="str">
        <f t="shared" si="73"/>
        <v/>
      </c>
      <c r="HE21" s="47"/>
      <c r="HF21" s="47"/>
      <c r="HG21" s="47"/>
      <c r="HH21" s="47"/>
      <c r="HI21" s="47"/>
      <c r="HJ21" s="47"/>
      <c r="HK21" s="47"/>
      <c r="HL21" s="47"/>
      <c r="HM21" s="47"/>
      <c r="HN21" s="47"/>
      <c r="HO21" s="47"/>
      <c r="HP21" s="47"/>
      <c r="HQ21" s="47"/>
      <c r="HR21" s="47"/>
      <c r="HS21" s="47"/>
      <c r="HT21" s="13" t="str">
        <f t="shared" si="74"/>
        <v/>
      </c>
      <c r="HU21" s="13" t="str">
        <f t="shared" si="75"/>
        <v/>
      </c>
      <c r="HV21" s="13" t="str">
        <f t="shared" si="76"/>
        <v/>
      </c>
      <c r="HW21" s="13" t="str">
        <f t="shared" si="77"/>
        <v/>
      </c>
      <c r="HX21" s="13" t="str">
        <f t="shared" si="78"/>
        <v/>
      </c>
      <c r="HY21" s="13" t="str">
        <f t="shared" si="79"/>
        <v/>
      </c>
      <c r="HZ21" s="48"/>
      <c r="IA21" s="48"/>
      <c r="IB21" s="48"/>
      <c r="IC21" s="48"/>
      <c r="ID21" s="48"/>
      <c r="IE21" s="48"/>
      <c r="IF21" s="48"/>
      <c r="IG21" s="48"/>
      <c r="IH21" s="48"/>
      <c r="II21" s="48"/>
      <c r="IJ21" s="48"/>
      <c r="IK21" s="48"/>
      <c r="IL21" s="48"/>
      <c r="IM21" s="48"/>
      <c r="IN21" s="48"/>
      <c r="IO21" s="16" t="str">
        <f t="shared" si="80"/>
        <v/>
      </c>
      <c r="IP21" s="16" t="str">
        <f t="shared" si="81"/>
        <v/>
      </c>
      <c r="IQ21" s="16" t="str">
        <f t="shared" si="82"/>
        <v/>
      </c>
      <c r="IR21" s="16" t="str">
        <f t="shared" si="83"/>
        <v/>
      </c>
      <c r="IS21" s="16" t="str">
        <f t="shared" si="84"/>
        <v/>
      </c>
      <c r="IT21" s="16" t="str">
        <f t="shared" si="85"/>
        <v/>
      </c>
      <c r="IU21" s="47"/>
      <c r="IV21" s="47"/>
      <c r="IW21" s="47"/>
      <c r="IX21" s="47"/>
      <c r="IY21" s="47"/>
      <c r="IZ21" s="47"/>
      <c r="JA21" s="47"/>
      <c r="JB21" s="47"/>
      <c r="JC21" s="47"/>
      <c r="JD21" s="47"/>
      <c r="JE21" s="47"/>
      <c r="JF21" s="47"/>
      <c r="JG21" s="47"/>
      <c r="JH21" s="47"/>
      <c r="JI21" s="47"/>
      <c r="JJ21" s="13" t="str">
        <f t="shared" si="86"/>
        <v/>
      </c>
      <c r="JK21" s="13" t="str">
        <f t="shared" si="87"/>
        <v/>
      </c>
      <c r="JL21" s="13" t="str">
        <f t="shared" si="88"/>
        <v/>
      </c>
      <c r="JM21" s="13" t="str">
        <f t="shared" si="89"/>
        <v/>
      </c>
      <c r="JN21" s="13" t="str">
        <f t="shared" si="90"/>
        <v/>
      </c>
      <c r="JO21" s="13" t="str">
        <f t="shared" si="91"/>
        <v/>
      </c>
      <c r="JP21" s="48"/>
      <c r="JQ21" s="48"/>
      <c r="JR21" s="48"/>
      <c r="JS21" s="48"/>
      <c r="JT21" s="48"/>
      <c r="JU21" s="48"/>
      <c r="JV21" s="48"/>
      <c r="JW21" s="48"/>
      <c r="JX21" s="48"/>
      <c r="JY21" s="48"/>
      <c r="JZ21" s="48"/>
      <c r="KA21" s="48"/>
      <c r="KB21" s="48"/>
      <c r="KC21" s="48"/>
      <c r="KD21" s="48"/>
      <c r="KE21" s="16" t="str">
        <f t="shared" si="92"/>
        <v/>
      </c>
      <c r="KF21" s="16" t="str">
        <f t="shared" si="93"/>
        <v/>
      </c>
      <c r="KG21" s="16" t="str">
        <f t="shared" si="94"/>
        <v/>
      </c>
      <c r="KH21" s="16" t="str">
        <f t="shared" si="95"/>
        <v/>
      </c>
      <c r="KI21" s="16" t="str">
        <f t="shared" si="96"/>
        <v/>
      </c>
      <c r="KJ21" s="16" t="str">
        <f t="shared" si="97"/>
        <v/>
      </c>
      <c r="KK21" s="47"/>
      <c r="KL21" s="47"/>
      <c r="KM21" s="47"/>
      <c r="KN21" s="47"/>
      <c r="KO21" s="47"/>
      <c r="KP21" s="47"/>
      <c r="KQ21" s="47"/>
      <c r="KR21" s="47"/>
      <c r="KS21" s="47"/>
      <c r="KT21" s="47"/>
      <c r="KU21" s="47"/>
      <c r="KV21" s="47"/>
      <c r="KW21" s="47"/>
      <c r="KX21" s="47"/>
      <c r="KY21" s="47"/>
      <c r="KZ21" s="13" t="str">
        <f t="shared" si="98"/>
        <v/>
      </c>
      <c r="LA21" s="13" t="str">
        <f t="shared" si="99"/>
        <v/>
      </c>
      <c r="LB21" s="13" t="str">
        <f t="shared" si="100"/>
        <v/>
      </c>
      <c r="LC21" s="13" t="str">
        <f t="shared" si="101"/>
        <v/>
      </c>
      <c r="LD21" s="13" t="str">
        <f t="shared" si="102"/>
        <v/>
      </c>
      <c r="LE21" s="13" t="str">
        <f t="shared" si="103"/>
        <v/>
      </c>
      <c r="LF21" s="48"/>
      <c r="LG21" s="48"/>
      <c r="LH21" s="48"/>
      <c r="LI21" s="48"/>
      <c r="LJ21" s="48"/>
      <c r="LK21" s="48"/>
      <c r="LL21" s="48"/>
      <c r="LM21" s="48"/>
      <c r="LN21" s="48"/>
      <c r="LO21" s="48"/>
      <c r="LP21" s="48"/>
      <c r="LQ21" s="48"/>
      <c r="LR21" s="48"/>
      <c r="LS21" s="48"/>
      <c r="LT21" s="48"/>
      <c r="LU21" s="16" t="str">
        <f t="shared" si="104"/>
        <v/>
      </c>
      <c r="LV21" s="16" t="str">
        <f t="shared" si="105"/>
        <v/>
      </c>
      <c r="LW21" s="16" t="str">
        <f t="shared" si="106"/>
        <v/>
      </c>
      <c r="LX21" s="16" t="str">
        <f t="shared" si="107"/>
        <v/>
      </c>
      <c r="LY21" s="16" t="str">
        <f t="shared" si="108"/>
        <v/>
      </c>
      <c r="LZ21" s="16" t="str">
        <f t="shared" si="109"/>
        <v/>
      </c>
    </row>
    <row r="22" spans="1:338" x14ac:dyDescent="0.2">
      <c r="A22" s="6" t="str">
        <f t="shared" si="0"/>
        <v/>
      </c>
      <c r="B22" s="7" t="s">
        <v>15</v>
      </c>
      <c r="C22" s="8" t="s">
        <v>13</v>
      </c>
      <c r="D22" s="6">
        <v>2016</v>
      </c>
      <c r="E22" s="17">
        <f t="shared" si="1"/>
        <v>122.655</v>
      </c>
      <c r="F22" s="4" t="str">
        <f t="shared" si="2"/>
        <v/>
      </c>
      <c r="G22" s="4" t="str">
        <f t="shared" si="3"/>
        <v/>
      </c>
      <c r="H22" s="4" t="str">
        <f t="shared" si="4"/>
        <v/>
      </c>
      <c r="I22" t="str">
        <f t="shared" si="5"/>
        <v/>
      </c>
      <c r="J22" s="16">
        <f t="shared" si="6"/>
        <v>78.490000000000009</v>
      </c>
      <c r="K22" s="16" t="str">
        <f t="shared" si="7"/>
        <v>2018 Nationals</v>
      </c>
      <c r="L22" s="16">
        <f t="shared" si="8"/>
        <v>44.164999999999999</v>
      </c>
      <c r="M22" s="16" t="str">
        <f t="shared" si="9"/>
        <v>2018 Canada Cup</v>
      </c>
      <c r="N22" s="16">
        <f t="shared" si="10"/>
        <v>0</v>
      </c>
      <c r="O22" s="16" t="str">
        <f t="shared" si="11"/>
        <v/>
      </c>
      <c r="P22" s="16">
        <f t="shared" si="12"/>
        <v>0</v>
      </c>
      <c r="Q22" s="16" t="str">
        <f t="shared" si="13"/>
        <v/>
      </c>
      <c r="R22" s="16" t="str">
        <f t="shared" si="14"/>
        <v/>
      </c>
      <c r="S22" s="31" t="str">
        <f t="shared" si="15"/>
        <v/>
      </c>
      <c r="T22" s="16" t="str">
        <f t="shared" si="16"/>
        <v/>
      </c>
      <c r="U22" s="86"/>
      <c r="V22" s="86"/>
      <c r="W22" s="86"/>
      <c r="X22" s="86"/>
      <c r="Y22" s="86"/>
      <c r="Z22" s="86"/>
      <c r="AA22" s="86"/>
      <c r="AB22" s="86"/>
      <c r="AC22" s="86"/>
      <c r="AD22" s="86"/>
      <c r="AE22" s="86"/>
      <c r="AF22" s="86"/>
      <c r="AG22" s="86"/>
      <c r="AH22" s="86"/>
      <c r="AI22" s="86"/>
      <c r="AJ22" s="13" t="str">
        <f t="shared" si="17"/>
        <v/>
      </c>
      <c r="AK22" s="13" t="str">
        <f t="shared" si="18"/>
        <v/>
      </c>
      <c r="AL22" s="13" t="str">
        <f t="shared" si="19"/>
        <v/>
      </c>
      <c r="AM22" s="13" t="str">
        <f t="shared" si="20"/>
        <v/>
      </c>
      <c r="AN22" s="13" t="str">
        <f t="shared" si="21"/>
        <v/>
      </c>
      <c r="AO22" s="13" t="str">
        <f t="shared" si="22"/>
        <v/>
      </c>
      <c r="AP22" s="94">
        <v>15.9</v>
      </c>
      <c r="AQ22" s="94">
        <v>9.4</v>
      </c>
      <c r="AR22" s="94">
        <v>3</v>
      </c>
      <c r="AS22" s="94">
        <v>15.865</v>
      </c>
      <c r="AT22" s="94">
        <v>0</v>
      </c>
      <c r="AU22" s="94">
        <v>0</v>
      </c>
      <c r="AV22" s="94">
        <v>0</v>
      </c>
      <c r="AW22" s="94">
        <v>0</v>
      </c>
      <c r="AX22" s="94">
        <v>0</v>
      </c>
      <c r="AY22" s="94">
        <v>0</v>
      </c>
      <c r="AZ22" s="94"/>
      <c r="BA22" s="94"/>
      <c r="BB22" s="94"/>
      <c r="BC22" s="94"/>
      <c r="BD22" s="94"/>
      <c r="BE22" s="16">
        <f t="shared" si="23"/>
        <v>3</v>
      </c>
      <c r="BF22" s="16">
        <f t="shared" si="24"/>
        <v>44.164999999999999</v>
      </c>
      <c r="BG22" s="16" t="str">
        <f t="shared" si="25"/>
        <v/>
      </c>
      <c r="BH22" s="16">
        <f t="shared" si="26"/>
        <v>44.164999999999999</v>
      </c>
      <c r="BI22" s="16" t="str">
        <f t="shared" si="27"/>
        <v/>
      </c>
      <c r="BJ22" s="16">
        <f t="shared" si="28"/>
        <v>44.164999999999999</v>
      </c>
      <c r="BK22" s="47">
        <v>16.5</v>
      </c>
      <c r="BL22" s="47">
        <v>9.3000000000000007</v>
      </c>
      <c r="BM22" s="47">
        <v>3.3</v>
      </c>
      <c r="BN22" s="47">
        <v>15.36</v>
      </c>
      <c r="BO22" s="47">
        <v>0</v>
      </c>
      <c r="BP22" s="47">
        <v>9.9</v>
      </c>
      <c r="BQ22" s="47">
        <v>6.35</v>
      </c>
      <c r="BR22" s="47">
        <v>7.5</v>
      </c>
      <c r="BS22" s="47">
        <v>10.48</v>
      </c>
      <c r="BT22" s="47">
        <v>0.2</v>
      </c>
      <c r="BU22" s="47"/>
      <c r="BV22" s="47"/>
      <c r="BW22" s="47"/>
      <c r="BX22" s="47"/>
      <c r="BY22" s="47"/>
      <c r="BZ22" s="13">
        <f t="shared" si="29"/>
        <v>10.8</v>
      </c>
      <c r="CA22" s="13">
        <f t="shared" si="30"/>
        <v>44.46</v>
      </c>
      <c r="CB22" s="13">
        <f t="shared" si="31"/>
        <v>34.03</v>
      </c>
      <c r="CC22" s="13">
        <f t="shared" si="32"/>
        <v>78.490000000000009</v>
      </c>
      <c r="CD22" s="13" t="str">
        <f t="shared" si="33"/>
        <v/>
      </c>
      <c r="CE22" s="13">
        <f t="shared" si="34"/>
        <v>78.490000000000009</v>
      </c>
      <c r="CF22" s="30" t="str">
        <f t="shared" si="35"/>
        <v/>
      </c>
      <c r="CG22" s="30" t="str">
        <f t="shared" si="36"/>
        <v/>
      </c>
      <c r="CH22" s="30" t="str">
        <f t="shared" si="37"/>
        <v/>
      </c>
      <c r="CI22" s="47"/>
      <c r="CJ22" s="47"/>
      <c r="CK22" s="47"/>
      <c r="CL22" s="47"/>
      <c r="CM22" s="47"/>
      <c r="CN22" s="47"/>
      <c r="CO22" s="47"/>
      <c r="CP22" s="47"/>
      <c r="CQ22" s="47"/>
      <c r="CR22" s="47"/>
      <c r="CS22" s="47"/>
      <c r="CT22" s="47"/>
      <c r="CU22" s="47"/>
      <c r="CV22" s="47"/>
      <c r="CW22" s="47"/>
      <c r="CX22" s="13" t="str">
        <f t="shared" si="38"/>
        <v/>
      </c>
      <c r="CY22" s="13" t="str">
        <f t="shared" si="39"/>
        <v/>
      </c>
      <c r="CZ22" s="13" t="str">
        <f t="shared" si="40"/>
        <v/>
      </c>
      <c r="DA22" s="13" t="str">
        <f t="shared" si="41"/>
        <v/>
      </c>
      <c r="DB22" s="13" t="str">
        <f t="shared" si="42"/>
        <v/>
      </c>
      <c r="DC22" s="13" t="str">
        <f t="shared" si="43"/>
        <v/>
      </c>
      <c r="DD22" s="48"/>
      <c r="DE22" s="48"/>
      <c r="DF22" s="48"/>
      <c r="DG22" s="48"/>
      <c r="DH22" s="48"/>
      <c r="DI22" s="48"/>
      <c r="DJ22" s="48"/>
      <c r="DK22" s="48"/>
      <c r="DL22" s="48"/>
      <c r="DM22" s="48"/>
      <c r="DN22" s="48"/>
      <c r="DO22" s="48"/>
      <c r="DP22" s="48"/>
      <c r="DQ22" s="48"/>
      <c r="DR22" s="48"/>
      <c r="DS22" s="16" t="str">
        <f t="shared" si="44"/>
        <v/>
      </c>
      <c r="DT22" s="16" t="str">
        <f t="shared" si="45"/>
        <v/>
      </c>
      <c r="DU22" s="16" t="str">
        <f t="shared" si="46"/>
        <v/>
      </c>
      <c r="DV22" s="16" t="str">
        <f t="shared" si="47"/>
        <v/>
      </c>
      <c r="DW22" s="16" t="str">
        <f t="shared" si="48"/>
        <v/>
      </c>
      <c r="DX22" s="16" t="str">
        <f t="shared" si="49"/>
        <v/>
      </c>
      <c r="DY22" s="47"/>
      <c r="DZ22" s="47"/>
      <c r="EA22" s="47"/>
      <c r="EB22" s="47"/>
      <c r="EC22" s="47"/>
      <c r="ED22" s="47"/>
      <c r="EE22" s="47"/>
      <c r="EF22" s="47"/>
      <c r="EG22" s="47"/>
      <c r="EH22" s="47"/>
      <c r="EI22" s="47"/>
      <c r="EJ22" s="47"/>
      <c r="EK22" s="47"/>
      <c r="EL22" s="47"/>
      <c r="EM22" s="47"/>
      <c r="EN22" s="13" t="str">
        <f t="shared" si="50"/>
        <v/>
      </c>
      <c r="EO22" s="13" t="str">
        <f t="shared" si="51"/>
        <v/>
      </c>
      <c r="EP22" s="13" t="str">
        <f t="shared" si="52"/>
        <v/>
      </c>
      <c r="EQ22" s="13" t="str">
        <f t="shared" si="53"/>
        <v/>
      </c>
      <c r="ER22" s="13" t="str">
        <f t="shared" si="54"/>
        <v/>
      </c>
      <c r="ES22" s="13" t="str">
        <f t="shared" si="55"/>
        <v/>
      </c>
      <c r="ET22" s="48"/>
      <c r="EU22" s="48"/>
      <c r="EV22" s="48"/>
      <c r="EW22" s="48"/>
      <c r="EX22" s="48"/>
      <c r="EY22" s="48"/>
      <c r="EZ22" s="48"/>
      <c r="FA22" s="48"/>
      <c r="FB22" s="48"/>
      <c r="FC22" s="48"/>
      <c r="FD22" s="48"/>
      <c r="FE22" s="48"/>
      <c r="FF22" s="48"/>
      <c r="FG22" s="48"/>
      <c r="FH22" s="48"/>
      <c r="FI22" s="16" t="str">
        <f t="shared" si="56"/>
        <v/>
      </c>
      <c r="FJ22" s="16" t="str">
        <f t="shared" si="57"/>
        <v/>
      </c>
      <c r="FK22" s="16" t="str">
        <f t="shared" si="58"/>
        <v/>
      </c>
      <c r="FL22" s="16" t="str">
        <f t="shared" si="59"/>
        <v/>
      </c>
      <c r="FM22" s="16" t="str">
        <f t="shared" si="60"/>
        <v/>
      </c>
      <c r="FN22" s="16" t="str">
        <f t="shared" si="61"/>
        <v/>
      </c>
      <c r="FO22" s="47"/>
      <c r="FP22" s="47"/>
      <c r="FQ22" s="47"/>
      <c r="FR22" s="47"/>
      <c r="FS22" s="47"/>
      <c r="FT22" s="47"/>
      <c r="FU22" s="47"/>
      <c r="FV22" s="47"/>
      <c r="FW22" s="47"/>
      <c r="FX22" s="47"/>
      <c r="FY22" s="47"/>
      <c r="FZ22" s="47"/>
      <c r="GA22" s="47"/>
      <c r="GB22" s="47"/>
      <c r="GC22" s="47"/>
      <c r="GD22" s="13" t="str">
        <f t="shared" si="62"/>
        <v/>
      </c>
      <c r="GE22" s="13" t="str">
        <f t="shared" si="63"/>
        <v/>
      </c>
      <c r="GF22" s="13" t="str">
        <f t="shared" si="64"/>
        <v/>
      </c>
      <c r="GG22" s="13" t="str">
        <f t="shared" si="65"/>
        <v/>
      </c>
      <c r="GH22" s="13" t="str">
        <f t="shared" si="66"/>
        <v/>
      </c>
      <c r="GI22" s="13" t="str">
        <f t="shared" si="67"/>
        <v/>
      </c>
      <c r="GJ22" s="48"/>
      <c r="GK22" s="48"/>
      <c r="GL22" s="48"/>
      <c r="GM22" s="48"/>
      <c r="GN22" s="48"/>
      <c r="GO22" s="48"/>
      <c r="GP22" s="48"/>
      <c r="GQ22" s="48"/>
      <c r="GR22" s="48"/>
      <c r="GS22" s="48"/>
      <c r="GT22" s="48"/>
      <c r="GU22" s="48"/>
      <c r="GV22" s="48"/>
      <c r="GW22" s="48"/>
      <c r="GX22" s="48"/>
      <c r="GY22" s="16" t="str">
        <f t="shared" si="68"/>
        <v/>
      </c>
      <c r="GZ22" s="16" t="str">
        <f t="shared" si="69"/>
        <v/>
      </c>
      <c r="HA22" s="16" t="str">
        <f t="shared" si="70"/>
        <v/>
      </c>
      <c r="HB22" s="16" t="str">
        <f t="shared" si="71"/>
        <v/>
      </c>
      <c r="HC22" s="16" t="str">
        <f t="shared" si="72"/>
        <v/>
      </c>
      <c r="HD22" s="16" t="str">
        <f t="shared" si="73"/>
        <v/>
      </c>
      <c r="HE22" s="47"/>
      <c r="HF22" s="47"/>
      <c r="HG22" s="47"/>
      <c r="HH22" s="47"/>
      <c r="HI22" s="47"/>
      <c r="HJ22" s="47"/>
      <c r="HK22" s="47"/>
      <c r="HL22" s="47"/>
      <c r="HM22" s="47"/>
      <c r="HN22" s="47"/>
      <c r="HO22" s="47"/>
      <c r="HP22" s="47"/>
      <c r="HQ22" s="47"/>
      <c r="HR22" s="47"/>
      <c r="HS22" s="47"/>
      <c r="HT22" s="13" t="str">
        <f t="shared" si="74"/>
        <v/>
      </c>
      <c r="HU22" s="13" t="str">
        <f t="shared" si="75"/>
        <v/>
      </c>
      <c r="HV22" s="13" t="str">
        <f t="shared" si="76"/>
        <v/>
      </c>
      <c r="HW22" s="13" t="str">
        <f t="shared" si="77"/>
        <v/>
      </c>
      <c r="HX22" s="13" t="str">
        <f t="shared" si="78"/>
        <v/>
      </c>
      <c r="HY22" s="13" t="str">
        <f t="shared" si="79"/>
        <v/>
      </c>
      <c r="HZ22" s="48"/>
      <c r="IA22" s="48"/>
      <c r="IB22" s="48"/>
      <c r="IC22" s="48"/>
      <c r="ID22" s="48"/>
      <c r="IE22" s="48"/>
      <c r="IF22" s="48"/>
      <c r="IG22" s="48"/>
      <c r="IH22" s="48"/>
      <c r="II22" s="48"/>
      <c r="IJ22" s="48"/>
      <c r="IK22" s="48"/>
      <c r="IL22" s="48"/>
      <c r="IM22" s="48"/>
      <c r="IN22" s="48"/>
      <c r="IO22" s="16" t="str">
        <f t="shared" si="80"/>
        <v/>
      </c>
      <c r="IP22" s="16" t="str">
        <f t="shared" si="81"/>
        <v/>
      </c>
      <c r="IQ22" s="16" t="str">
        <f t="shared" si="82"/>
        <v/>
      </c>
      <c r="IR22" s="16" t="str">
        <f t="shared" si="83"/>
        <v/>
      </c>
      <c r="IS22" s="16" t="str">
        <f t="shared" si="84"/>
        <v/>
      </c>
      <c r="IT22" s="16" t="str">
        <f t="shared" si="85"/>
        <v/>
      </c>
      <c r="IU22" s="47"/>
      <c r="IV22" s="47"/>
      <c r="IW22" s="47"/>
      <c r="IX22" s="47"/>
      <c r="IY22" s="47"/>
      <c r="IZ22" s="47"/>
      <c r="JA22" s="47"/>
      <c r="JB22" s="47"/>
      <c r="JC22" s="47"/>
      <c r="JD22" s="47"/>
      <c r="JE22" s="47"/>
      <c r="JF22" s="47"/>
      <c r="JG22" s="47"/>
      <c r="JH22" s="47"/>
      <c r="JI22" s="47"/>
      <c r="JJ22" s="13" t="str">
        <f t="shared" si="86"/>
        <v/>
      </c>
      <c r="JK22" s="13" t="str">
        <f t="shared" si="87"/>
        <v/>
      </c>
      <c r="JL22" s="13" t="str">
        <f t="shared" si="88"/>
        <v/>
      </c>
      <c r="JM22" s="13" t="str">
        <f t="shared" si="89"/>
        <v/>
      </c>
      <c r="JN22" s="13" t="str">
        <f t="shared" si="90"/>
        <v/>
      </c>
      <c r="JO22" s="13" t="str">
        <f t="shared" si="91"/>
        <v/>
      </c>
      <c r="JP22" s="48"/>
      <c r="JQ22" s="48"/>
      <c r="JR22" s="48"/>
      <c r="JS22" s="48"/>
      <c r="JT22" s="48"/>
      <c r="JU22" s="48"/>
      <c r="JV22" s="48"/>
      <c r="JW22" s="48"/>
      <c r="JX22" s="48"/>
      <c r="JY22" s="48"/>
      <c r="JZ22" s="48"/>
      <c r="KA22" s="48"/>
      <c r="KB22" s="48"/>
      <c r="KC22" s="48"/>
      <c r="KD22" s="48"/>
      <c r="KE22" s="16" t="str">
        <f t="shared" si="92"/>
        <v/>
      </c>
      <c r="KF22" s="16" t="str">
        <f t="shared" si="93"/>
        <v/>
      </c>
      <c r="KG22" s="16" t="str">
        <f t="shared" si="94"/>
        <v/>
      </c>
      <c r="KH22" s="16" t="str">
        <f t="shared" si="95"/>
        <v/>
      </c>
      <c r="KI22" s="16" t="str">
        <f t="shared" si="96"/>
        <v/>
      </c>
      <c r="KJ22" s="16" t="str">
        <f t="shared" si="97"/>
        <v/>
      </c>
      <c r="KK22" s="47"/>
      <c r="KL22" s="47"/>
      <c r="KM22" s="47"/>
      <c r="KN22" s="47"/>
      <c r="KO22" s="47"/>
      <c r="KP22" s="47"/>
      <c r="KQ22" s="47"/>
      <c r="KR22" s="47"/>
      <c r="KS22" s="47"/>
      <c r="KT22" s="47"/>
      <c r="KU22" s="47"/>
      <c r="KV22" s="47"/>
      <c r="KW22" s="47"/>
      <c r="KX22" s="47"/>
      <c r="KY22" s="47"/>
      <c r="KZ22" s="13" t="str">
        <f t="shared" si="98"/>
        <v/>
      </c>
      <c r="LA22" s="13" t="str">
        <f t="shared" si="99"/>
        <v/>
      </c>
      <c r="LB22" s="13" t="str">
        <f t="shared" si="100"/>
        <v/>
      </c>
      <c r="LC22" s="13" t="str">
        <f t="shared" si="101"/>
        <v/>
      </c>
      <c r="LD22" s="13" t="str">
        <f t="shared" si="102"/>
        <v/>
      </c>
      <c r="LE22" s="13" t="str">
        <f t="shared" si="103"/>
        <v/>
      </c>
      <c r="LF22" s="48"/>
      <c r="LG22" s="48"/>
      <c r="LH22" s="48"/>
      <c r="LI22" s="48"/>
      <c r="LJ22" s="48"/>
      <c r="LK22" s="48"/>
      <c r="LL22" s="48"/>
      <c r="LM22" s="48"/>
      <c r="LN22" s="48"/>
      <c r="LO22" s="48"/>
      <c r="LP22" s="48"/>
      <c r="LQ22" s="48"/>
      <c r="LR22" s="48"/>
      <c r="LS22" s="48"/>
      <c r="LT22" s="48"/>
      <c r="LU22" s="16" t="str">
        <f t="shared" si="104"/>
        <v/>
      </c>
      <c r="LV22" s="16" t="str">
        <f t="shared" si="105"/>
        <v/>
      </c>
      <c r="LW22" s="16" t="str">
        <f t="shared" si="106"/>
        <v/>
      </c>
      <c r="LX22" s="16" t="str">
        <f t="shared" si="107"/>
        <v/>
      </c>
      <c r="LY22" s="16" t="str">
        <f t="shared" si="108"/>
        <v/>
      </c>
      <c r="LZ22" s="16" t="str">
        <f t="shared" si="109"/>
        <v/>
      </c>
    </row>
    <row r="23" spans="1:338" x14ac:dyDescent="0.2">
      <c r="A23" s="6" t="str">
        <f t="shared" si="0"/>
        <v/>
      </c>
      <c r="B23" s="9" t="s">
        <v>41</v>
      </c>
      <c r="C23" s="5" t="s">
        <v>4</v>
      </c>
      <c r="D23" s="33">
        <v>2017</v>
      </c>
      <c r="E23" s="17">
        <f t="shared" si="1"/>
        <v>58.42</v>
      </c>
      <c r="F23" s="4" t="str">
        <f t="shared" si="2"/>
        <v/>
      </c>
      <c r="G23" s="4" t="str">
        <f t="shared" si="3"/>
        <v/>
      </c>
      <c r="H23" s="4" t="str">
        <f t="shared" si="4"/>
        <v/>
      </c>
      <c r="I23" t="str">
        <f t="shared" si="5"/>
        <v/>
      </c>
      <c r="J23" s="16">
        <f t="shared" si="6"/>
        <v>58.42</v>
      </c>
      <c r="K23" s="16" t="str">
        <f t="shared" si="7"/>
        <v>2017 3rd Domestic Trial</v>
      </c>
      <c r="L23" s="16">
        <f t="shared" si="8"/>
        <v>0</v>
      </c>
      <c r="M23" s="16" t="str">
        <f t="shared" si="9"/>
        <v/>
      </c>
      <c r="N23" s="16">
        <f t="shared" si="10"/>
        <v>0</v>
      </c>
      <c r="O23" s="16" t="str">
        <f t="shared" si="11"/>
        <v/>
      </c>
      <c r="P23" s="16">
        <f t="shared" si="12"/>
        <v>0</v>
      </c>
      <c r="Q23" s="16" t="str">
        <f t="shared" si="13"/>
        <v/>
      </c>
      <c r="R23" s="16" t="str">
        <f t="shared" si="14"/>
        <v/>
      </c>
      <c r="S23" s="31" t="str">
        <f t="shared" si="15"/>
        <v/>
      </c>
      <c r="T23" s="16" t="str">
        <f t="shared" si="16"/>
        <v/>
      </c>
      <c r="U23" s="86">
        <v>15.2</v>
      </c>
      <c r="V23" s="86">
        <v>8.8000000000000007</v>
      </c>
      <c r="W23" s="86">
        <v>3.3</v>
      </c>
      <c r="X23" s="86">
        <v>15.295</v>
      </c>
      <c r="Y23" s="86">
        <v>2</v>
      </c>
      <c r="Z23" s="86">
        <v>4.2</v>
      </c>
      <c r="AA23" s="86">
        <v>2.9</v>
      </c>
      <c r="AB23" s="86">
        <v>5.9</v>
      </c>
      <c r="AC23" s="86">
        <v>4.8250000000000002</v>
      </c>
      <c r="AD23" s="86">
        <v>0</v>
      </c>
      <c r="AE23" s="86"/>
      <c r="AF23" s="86"/>
      <c r="AG23" s="86"/>
      <c r="AH23" s="86"/>
      <c r="AI23" s="86"/>
      <c r="AJ23" s="13">
        <f t="shared" si="17"/>
        <v>9.1999999999999993</v>
      </c>
      <c r="AK23" s="13">
        <f t="shared" si="18"/>
        <v>40.594999999999999</v>
      </c>
      <c r="AL23" s="13">
        <f t="shared" si="19"/>
        <v>17.824999999999999</v>
      </c>
      <c r="AM23" s="13">
        <f t="shared" si="20"/>
        <v>58.42</v>
      </c>
      <c r="AN23" s="13" t="str">
        <f t="shared" si="21"/>
        <v/>
      </c>
      <c r="AO23" s="13">
        <f t="shared" si="22"/>
        <v>58.42</v>
      </c>
      <c r="AP23" s="94"/>
      <c r="AQ23" s="94"/>
      <c r="AR23" s="94"/>
      <c r="AS23" s="94"/>
      <c r="AT23" s="94"/>
      <c r="AU23" s="94"/>
      <c r="AV23" s="94"/>
      <c r="AW23" s="94"/>
      <c r="AX23" s="94"/>
      <c r="AY23" s="94"/>
      <c r="AZ23" s="94"/>
      <c r="BA23" s="94"/>
      <c r="BB23" s="94"/>
      <c r="BC23" s="94"/>
      <c r="BD23" s="94"/>
      <c r="BE23" s="16" t="str">
        <f t="shared" si="23"/>
        <v/>
      </c>
      <c r="BF23" s="16" t="str">
        <f t="shared" si="24"/>
        <v/>
      </c>
      <c r="BG23" s="16" t="str">
        <f t="shared" si="25"/>
        <v/>
      </c>
      <c r="BH23" s="16" t="str">
        <f t="shared" si="26"/>
        <v/>
      </c>
      <c r="BI23" s="16" t="str">
        <f t="shared" si="27"/>
        <v/>
      </c>
      <c r="BJ23" s="16" t="str">
        <f t="shared" si="28"/>
        <v/>
      </c>
      <c r="BK23" s="47"/>
      <c r="BL23" s="47"/>
      <c r="BM23" s="47"/>
      <c r="BN23" s="47"/>
      <c r="BO23" s="47"/>
      <c r="BP23" s="47"/>
      <c r="BQ23" s="47"/>
      <c r="BR23" s="47"/>
      <c r="BS23" s="47"/>
      <c r="BT23" s="47"/>
      <c r="BU23" s="47"/>
      <c r="BV23" s="47"/>
      <c r="BW23" s="47"/>
      <c r="BX23" s="47"/>
      <c r="BY23" s="47"/>
      <c r="BZ23" s="13" t="str">
        <f t="shared" si="29"/>
        <v/>
      </c>
      <c r="CA23" s="13" t="str">
        <f t="shared" si="30"/>
        <v/>
      </c>
      <c r="CB23" s="13" t="str">
        <f t="shared" si="31"/>
        <v/>
      </c>
      <c r="CC23" s="13" t="str">
        <f t="shared" si="32"/>
        <v/>
      </c>
      <c r="CD23" s="13" t="str">
        <f t="shared" si="33"/>
        <v/>
      </c>
      <c r="CE23" s="13" t="str">
        <f t="shared" si="34"/>
        <v/>
      </c>
      <c r="CF23" s="30" t="str">
        <f t="shared" si="35"/>
        <v/>
      </c>
      <c r="CG23" s="30" t="str">
        <f t="shared" si="36"/>
        <v/>
      </c>
      <c r="CH23" s="30" t="str">
        <f t="shared" si="37"/>
        <v/>
      </c>
      <c r="CI23" s="47"/>
      <c r="CJ23" s="47"/>
      <c r="CK23" s="47"/>
      <c r="CL23" s="47"/>
      <c r="CM23" s="47"/>
      <c r="CN23" s="47"/>
      <c r="CO23" s="47"/>
      <c r="CP23" s="47"/>
      <c r="CQ23" s="47"/>
      <c r="CR23" s="47"/>
      <c r="CS23" s="47"/>
      <c r="CT23" s="47"/>
      <c r="CU23" s="47"/>
      <c r="CV23" s="47"/>
      <c r="CW23" s="47"/>
      <c r="CX23" s="13" t="str">
        <f t="shared" si="38"/>
        <v/>
      </c>
      <c r="CY23" s="13" t="str">
        <f t="shared" si="39"/>
        <v/>
      </c>
      <c r="CZ23" s="13" t="str">
        <f t="shared" si="40"/>
        <v/>
      </c>
      <c r="DA23" s="13" t="str">
        <f t="shared" si="41"/>
        <v/>
      </c>
      <c r="DB23" s="13" t="str">
        <f t="shared" si="42"/>
        <v/>
      </c>
      <c r="DC23" s="13" t="str">
        <f t="shared" si="43"/>
        <v/>
      </c>
      <c r="DD23" s="48"/>
      <c r="DE23" s="48"/>
      <c r="DF23" s="48"/>
      <c r="DG23" s="48"/>
      <c r="DH23" s="48"/>
      <c r="DI23" s="48"/>
      <c r="DJ23" s="48"/>
      <c r="DK23" s="48"/>
      <c r="DL23" s="48"/>
      <c r="DM23" s="48"/>
      <c r="DN23" s="48"/>
      <c r="DO23" s="48"/>
      <c r="DP23" s="48"/>
      <c r="DQ23" s="48"/>
      <c r="DR23" s="48"/>
      <c r="DS23" s="16" t="str">
        <f t="shared" si="44"/>
        <v/>
      </c>
      <c r="DT23" s="16" t="str">
        <f t="shared" si="45"/>
        <v/>
      </c>
      <c r="DU23" s="16" t="str">
        <f t="shared" si="46"/>
        <v/>
      </c>
      <c r="DV23" s="16" t="str">
        <f t="shared" si="47"/>
        <v/>
      </c>
      <c r="DW23" s="16" t="str">
        <f t="shared" si="48"/>
        <v/>
      </c>
      <c r="DX23" s="16" t="str">
        <f t="shared" si="49"/>
        <v/>
      </c>
      <c r="DY23" s="47"/>
      <c r="DZ23" s="47"/>
      <c r="EA23" s="47"/>
      <c r="EB23" s="47"/>
      <c r="EC23" s="47"/>
      <c r="ED23" s="47"/>
      <c r="EE23" s="47"/>
      <c r="EF23" s="47"/>
      <c r="EG23" s="47"/>
      <c r="EH23" s="47"/>
      <c r="EI23" s="47"/>
      <c r="EJ23" s="47"/>
      <c r="EK23" s="47"/>
      <c r="EL23" s="47"/>
      <c r="EM23" s="47"/>
      <c r="EN23" s="13" t="str">
        <f t="shared" si="50"/>
        <v/>
      </c>
      <c r="EO23" s="13" t="str">
        <f t="shared" si="51"/>
        <v/>
      </c>
      <c r="EP23" s="13" t="str">
        <f t="shared" si="52"/>
        <v/>
      </c>
      <c r="EQ23" s="13" t="str">
        <f t="shared" si="53"/>
        <v/>
      </c>
      <c r="ER23" s="13" t="str">
        <f t="shared" si="54"/>
        <v/>
      </c>
      <c r="ES23" s="13" t="str">
        <f t="shared" si="55"/>
        <v/>
      </c>
      <c r="ET23" s="48"/>
      <c r="EU23" s="48"/>
      <c r="EV23" s="48"/>
      <c r="EW23" s="48"/>
      <c r="EX23" s="48"/>
      <c r="EY23" s="48"/>
      <c r="EZ23" s="48"/>
      <c r="FA23" s="48"/>
      <c r="FB23" s="48"/>
      <c r="FC23" s="48"/>
      <c r="FD23" s="48"/>
      <c r="FE23" s="48"/>
      <c r="FF23" s="48"/>
      <c r="FG23" s="48"/>
      <c r="FH23" s="48"/>
      <c r="FI23" s="16" t="str">
        <f t="shared" si="56"/>
        <v/>
      </c>
      <c r="FJ23" s="16" t="str">
        <f t="shared" si="57"/>
        <v/>
      </c>
      <c r="FK23" s="16" t="str">
        <f t="shared" si="58"/>
        <v/>
      </c>
      <c r="FL23" s="16" t="str">
        <f t="shared" si="59"/>
        <v/>
      </c>
      <c r="FM23" s="16" t="str">
        <f t="shared" si="60"/>
        <v/>
      </c>
      <c r="FN23" s="16" t="str">
        <f t="shared" si="61"/>
        <v/>
      </c>
      <c r="FO23" s="47"/>
      <c r="FP23" s="47"/>
      <c r="FQ23" s="47"/>
      <c r="FR23" s="47"/>
      <c r="FS23" s="47"/>
      <c r="FT23" s="47"/>
      <c r="FU23" s="47"/>
      <c r="FV23" s="47"/>
      <c r="FW23" s="47"/>
      <c r="FX23" s="47"/>
      <c r="FY23" s="47"/>
      <c r="FZ23" s="47"/>
      <c r="GA23" s="47"/>
      <c r="GB23" s="47"/>
      <c r="GC23" s="47"/>
      <c r="GD23" s="13" t="str">
        <f t="shared" si="62"/>
        <v/>
      </c>
      <c r="GE23" s="13" t="str">
        <f t="shared" si="63"/>
        <v/>
      </c>
      <c r="GF23" s="13" t="str">
        <f t="shared" si="64"/>
        <v/>
      </c>
      <c r="GG23" s="13" t="str">
        <f t="shared" si="65"/>
        <v/>
      </c>
      <c r="GH23" s="13" t="str">
        <f t="shared" si="66"/>
        <v/>
      </c>
      <c r="GI23" s="13" t="str">
        <f t="shared" si="67"/>
        <v/>
      </c>
      <c r="GJ23" s="48"/>
      <c r="GK23" s="48"/>
      <c r="GL23" s="48"/>
      <c r="GM23" s="48"/>
      <c r="GN23" s="48"/>
      <c r="GO23" s="48"/>
      <c r="GP23" s="48"/>
      <c r="GQ23" s="48"/>
      <c r="GR23" s="48"/>
      <c r="GS23" s="48"/>
      <c r="GT23" s="48"/>
      <c r="GU23" s="48"/>
      <c r="GV23" s="48"/>
      <c r="GW23" s="48"/>
      <c r="GX23" s="48"/>
      <c r="GY23" s="16" t="str">
        <f t="shared" si="68"/>
        <v/>
      </c>
      <c r="GZ23" s="16" t="str">
        <f t="shared" si="69"/>
        <v/>
      </c>
      <c r="HA23" s="16" t="str">
        <f t="shared" si="70"/>
        <v/>
      </c>
      <c r="HB23" s="16" t="str">
        <f t="shared" si="71"/>
        <v/>
      </c>
      <c r="HC23" s="16" t="str">
        <f t="shared" si="72"/>
        <v/>
      </c>
      <c r="HD23" s="16" t="str">
        <f t="shared" si="73"/>
        <v/>
      </c>
      <c r="HE23" s="47"/>
      <c r="HF23" s="47"/>
      <c r="HG23" s="47"/>
      <c r="HH23" s="47"/>
      <c r="HI23" s="47"/>
      <c r="HJ23" s="47"/>
      <c r="HK23" s="47"/>
      <c r="HL23" s="47"/>
      <c r="HM23" s="47"/>
      <c r="HN23" s="47"/>
      <c r="HO23" s="47"/>
      <c r="HP23" s="47"/>
      <c r="HQ23" s="47"/>
      <c r="HR23" s="47"/>
      <c r="HS23" s="47"/>
      <c r="HT23" s="13" t="str">
        <f t="shared" si="74"/>
        <v/>
      </c>
      <c r="HU23" s="13" t="str">
        <f t="shared" si="75"/>
        <v/>
      </c>
      <c r="HV23" s="13" t="str">
        <f t="shared" si="76"/>
        <v/>
      </c>
      <c r="HW23" s="13" t="str">
        <f t="shared" si="77"/>
        <v/>
      </c>
      <c r="HX23" s="13" t="str">
        <f t="shared" si="78"/>
        <v/>
      </c>
      <c r="HY23" s="13" t="str">
        <f t="shared" si="79"/>
        <v/>
      </c>
      <c r="HZ23" s="48"/>
      <c r="IA23" s="48"/>
      <c r="IB23" s="48"/>
      <c r="IC23" s="48"/>
      <c r="ID23" s="48"/>
      <c r="IE23" s="48"/>
      <c r="IF23" s="48"/>
      <c r="IG23" s="48"/>
      <c r="IH23" s="48"/>
      <c r="II23" s="48"/>
      <c r="IJ23" s="48"/>
      <c r="IK23" s="48"/>
      <c r="IL23" s="48"/>
      <c r="IM23" s="48"/>
      <c r="IN23" s="48"/>
      <c r="IO23" s="16" t="str">
        <f t="shared" si="80"/>
        <v/>
      </c>
      <c r="IP23" s="16" t="str">
        <f t="shared" si="81"/>
        <v/>
      </c>
      <c r="IQ23" s="16" t="str">
        <f t="shared" si="82"/>
        <v/>
      </c>
      <c r="IR23" s="16" t="str">
        <f t="shared" si="83"/>
        <v/>
      </c>
      <c r="IS23" s="16" t="str">
        <f t="shared" si="84"/>
        <v/>
      </c>
      <c r="IT23" s="16" t="str">
        <f t="shared" si="85"/>
        <v/>
      </c>
      <c r="IU23" s="47"/>
      <c r="IV23" s="47"/>
      <c r="IW23" s="47"/>
      <c r="IX23" s="47"/>
      <c r="IY23" s="47"/>
      <c r="IZ23" s="47"/>
      <c r="JA23" s="47"/>
      <c r="JB23" s="47"/>
      <c r="JC23" s="47"/>
      <c r="JD23" s="47"/>
      <c r="JE23" s="47"/>
      <c r="JF23" s="47"/>
      <c r="JG23" s="47"/>
      <c r="JH23" s="47"/>
      <c r="JI23" s="47"/>
      <c r="JJ23" s="13" t="str">
        <f t="shared" si="86"/>
        <v/>
      </c>
      <c r="JK23" s="13" t="str">
        <f t="shared" si="87"/>
        <v/>
      </c>
      <c r="JL23" s="13" t="str">
        <f t="shared" si="88"/>
        <v/>
      </c>
      <c r="JM23" s="13" t="str">
        <f t="shared" si="89"/>
        <v/>
      </c>
      <c r="JN23" s="13" t="str">
        <f t="shared" si="90"/>
        <v/>
      </c>
      <c r="JO23" s="13" t="str">
        <f t="shared" si="91"/>
        <v/>
      </c>
      <c r="JP23" s="48"/>
      <c r="JQ23" s="48"/>
      <c r="JR23" s="48"/>
      <c r="JS23" s="48"/>
      <c r="JT23" s="48"/>
      <c r="JU23" s="48"/>
      <c r="JV23" s="48"/>
      <c r="JW23" s="48"/>
      <c r="JX23" s="48"/>
      <c r="JY23" s="48"/>
      <c r="JZ23" s="48"/>
      <c r="KA23" s="48"/>
      <c r="KB23" s="48"/>
      <c r="KC23" s="48"/>
      <c r="KD23" s="48"/>
      <c r="KE23" s="16" t="str">
        <f t="shared" si="92"/>
        <v/>
      </c>
      <c r="KF23" s="16" t="str">
        <f t="shared" si="93"/>
        <v/>
      </c>
      <c r="KG23" s="16" t="str">
        <f t="shared" si="94"/>
        <v/>
      </c>
      <c r="KH23" s="16" t="str">
        <f t="shared" si="95"/>
        <v/>
      </c>
      <c r="KI23" s="16" t="str">
        <f t="shared" si="96"/>
        <v/>
      </c>
      <c r="KJ23" s="16" t="str">
        <f t="shared" si="97"/>
        <v/>
      </c>
      <c r="KK23" s="47"/>
      <c r="KL23" s="47"/>
      <c r="KM23" s="47"/>
      <c r="KN23" s="47"/>
      <c r="KO23" s="47"/>
      <c r="KP23" s="47"/>
      <c r="KQ23" s="47"/>
      <c r="KR23" s="47"/>
      <c r="KS23" s="47"/>
      <c r="KT23" s="47"/>
      <c r="KU23" s="47"/>
      <c r="KV23" s="47"/>
      <c r="KW23" s="47"/>
      <c r="KX23" s="47"/>
      <c r="KY23" s="47"/>
      <c r="KZ23" s="13" t="str">
        <f t="shared" si="98"/>
        <v/>
      </c>
      <c r="LA23" s="13" t="str">
        <f t="shared" si="99"/>
        <v/>
      </c>
      <c r="LB23" s="13" t="str">
        <f t="shared" si="100"/>
        <v/>
      </c>
      <c r="LC23" s="13" t="str">
        <f t="shared" si="101"/>
        <v/>
      </c>
      <c r="LD23" s="13" t="str">
        <f t="shared" si="102"/>
        <v/>
      </c>
      <c r="LE23" s="13" t="str">
        <f t="shared" si="103"/>
        <v/>
      </c>
      <c r="LF23" s="48"/>
      <c r="LG23" s="48"/>
      <c r="LH23" s="48"/>
      <c r="LI23" s="48"/>
      <c r="LJ23" s="48"/>
      <c r="LK23" s="48"/>
      <c r="LL23" s="48"/>
      <c r="LM23" s="48"/>
      <c r="LN23" s="48"/>
      <c r="LO23" s="48"/>
      <c r="LP23" s="48"/>
      <c r="LQ23" s="48"/>
      <c r="LR23" s="48"/>
      <c r="LS23" s="48"/>
      <c r="LT23" s="48"/>
      <c r="LU23" s="16" t="str">
        <f t="shared" si="104"/>
        <v/>
      </c>
      <c r="LV23" s="16" t="str">
        <f t="shared" si="105"/>
        <v/>
      </c>
      <c r="LW23" s="16" t="str">
        <f t="shared" si="106"/>
        <v/>
      </c>
      <c r="LX23" s="16" t="str">
        <f t="shared" si="107"/>
        <v/>
      </c>
      <c r="LY23" s="16" t="str">
        <f t="shared" si="108"/>
        <v/>
      </c>
      <c r="LZ23" s="16" t="str">
        <f t="shared" si="109"/>
        <v/>
      </c>
    </row>
    <row r="24" spans="1:338" x14ac:dyDescent="0.2">
      <c r="A24" s="6" t="str">
        <f t="shared" si="0"/>
        <v/>
      </c>
      <c r="B24" s="7" t="s">
        <v>12</v>
      </c>
      <c r="C24" s="8" t="s">
        <v>13</v>
      </c>
      <c r="D24" s="8">
        <v>2016</v>
      </c>
      <c r="E24" s="17">
        <f t="shared" si="1"/>
        <v>33.075000000000003</v>
      </c>
      <c r="F24" s="4" t="str">
        <f t="shared" si="2"/>
        <v/>
      </c>
      <c r="G24" s="4" t="str">
        <f t="shared" si="3"/>
        <v/>
      </c>
      <c r="H24" s="4" t="str">
        <f t="shared" si="4"/>
        <v/>
      </c>
      <c r="I24" t="str">
        <f t="shared" si="5"/>
        <v/>
      </c>
      <c r="J24" s="16">
        <f t="shared" si="6"/>
        <v>33.075000000000003</v>
      </c>
      <c r="K24" s="16" t="str">
        <f t="shared" si="7"/>
        <v>2017 3rd Domestic Trial</v>
      </c>
      <c r="L24" s="16">
        <f t="shared" si="8"/>
        <v>0</v>
      </c>
      <c r="M24" s="16" t="str">
        <f t="shared" si="9"/>
        <v/>
      </c>
      <c r="N24" s="16">
        <f t="shared" si="10"/>
        <v>0</v>
      </c>
      <c r="O24" s="16" t="str">
        <f t="shared" si="11"/>
        <v/>
      </c>
      <c r="P24" s="16">
        <f t="shared" si="12"/>
        <v>0</v>
      </c>
      <c r="Q24" s="16" t="str">
        <f t="shared" si="13"/>
        <v/>
      </c>
      <c r="R24" s="16" t="str">
        <f t="shared" si="14"/>
        <v/>
      </c>
      <c r="S24" s="31" t="str">
        <f t="shared" si="15"/>
        <v/>
      </c>
      <c r="T24" s="16" t="str">
        <f t="shared" si="16"/>
        <v/>
      </c>
      <c r="U24" s="86">
        <v>7.5</v>
      </c>
      <c r="V24" s="86">
        <v>4.5</v>
      </c>
      <c r="W24" s="86">
        <v>2.1</v>
      </c>
      <c r="X24" s="86">
        <v>8.1</v>
      </c>
      <c r="Y24" s="86">
        <v>0</v>
      </c>
      <c r="Z24" s="86">
        <v>2.8</v>
      </c>
      <c r="AA24" s="86">
        <v>1.7</v>
      </c>
      <c r="AB24" s="86">
        <v>3.2</v>
      </c>
      <c r="AC24" s="86">
        <v>3.1749999999999998</v>
      </c>
      <c r="AD24" s="86">
        <v>0</v>
      </c>
      <c r="AE24" s="86"/>
      <c r="AF24" s="86"/>
      <c r="AG24" s="86"/>
      <c r="AH24" s="86"/>
      <c r="AI24" s="86"/>
      <c r="AJ24" s="13">
        <f t="shared" si="17"/>
        <v>5.3000000000000007</v>
      </c>
      <c r="AK24" s="13">
        <f t="shared" si="18"/>
        <v>22.2</v>
      </c>
      <c r="AL24" s="13">
        <f t="shared" si="19"/>
        <v>10.875</v>
      </c>
      <c r="AM24" s="13">
        <f t="shared" si="20"/>
        <v>33.075000000000003</v>
      </c>
      <c r="AN24" s="13" t="str">
        <f t="shared" si="21"/>
        <v/>
      </c>
      <c r="AO24" s="13">
        <f t="shared" si="22"/>
        <v>33.075000000000003</v>
      </c>
      <c r="AP24" s="94"/>
      <c r="AQ24" s="94"/>
      <c r="AR24" s="94"/>
      <c r="AS24" s="94"/>
      <c r="AT24" s="94"/>
      <c r="AU24" s="94"/>
      <c r="AV24" s="94"/>
      <c r="AW24" s="94"/>
      <c r="AX24" s="94"/>
      <c r="AY24" s="94"/>
      <c r="AZ24" s="94"/>
      <c r="BA24" s="94"/>
      <c r="BB24" s="94"/>
      <c r="BC24" s="94"/>
      <c r="BD24" s="94"/>
      <c r="BE24" s="16" t="str">
        <f t="shared" si="23"/>
        <v/>
      </c>
      <c r="BF24" s="16" t="str">
        <f t="shared" si="24"/>
        <v/>
      </c>
      <c r="BG24" s="16" t="str">
        <f t="shared" si="25"/>
        <v/>
      </c>
      <c r="BH24" s="16" t="str">
        <f t="shared" si="26"/>
        <v/>
      </c>
      <c r="BI24" s="16" t="str">
        <f t="shared" si="27"/>
        <v/>
      </c>
      <c r="BJ24" s="16" t="str">
        <f t="shared" si="28"/>
        <v/>
      </c>
      <c r="BK24" s="47"/>
      <c r="BL24" s="47"/>
      <c r="BM24" s="47"/>
      <c r="BN24" s="47"/>
      <c r="BO24" s="47"/>
      <c r="BP24" s="47"/>
      <c r="BQ24" s="47"/>
      <c r="BR24" s="47"/>
      <c r="BS24" s="47"/>
      <c r="BT24" s="47"/>
      <c r="BU24" s="47"/>
      <c r="BV24" s="47"/>
      <c r="BW24" s="47"/>
      <c r="BX24" s="47"/>
      <c r="BY24" s="47"/>
      <c r="BZ24" s="13" t="str">
        <f t="shared" si="29"/>
        <v/>
      </c>
      <c r="CA24" s="13" t="str">
        <f t="shared" si="30"/>
        <v/>
      </c>
      <c r="CB24" s="13" t="str">
        <f t="shared" si="31"/>
        <v/>
      </c>
      <c r="CC24" s="13" t="str">
        <f t="shared" si="32"/>
        <v/>
      </c>
      <c r="CD24" s="13" t="str">
        <f t="shared" si="33"/>
        <v/>
      </c>
      <c r="CE24" s="13" t="str">
        <f t="shared" si="34"/>
        <v/>
      </c>
      <c r="CF24" s="30" t="str">
        <f t="shared" si="35"/>
        <v/>
      </c>
      <c r="CG24" s="30" t="str">
        <f t="shared" si="36"/>
        <v/>
      </c>
      <c r="CH24" s="30" t="str">
        <f t="shared" si="37"/>
        <v/>
      </c>
      <c r="CI24" s="47"/>
      <c r="CJ24" s="47"/>
      <c r="CK24" s="47"/>
      <c r="CL24" s="47"/>
      <c r="CM24" s="47"/>
      <c r="CN24" s="47"/>
      <c r="CO24" s="47"/>
      <c r="CP24" s="47"/>
      <c r="CQ24" s="47"/>
      <c r="CR24" s="47"/>
      <c r="CS24" s="47"/>
      <c r="CT24" s="47"/>
      <c r="CU24" s="47"/>
      <c r="CV24" s="47"/>
      <c r="CW24" s="47"/>
      <c r="CX24" s="13" t="str">
        <f t="shared" si="38"/>
        <v/>
      </c>
      <c r="CY24" s="13" t="str">
        <f t="shared" si="39"/>
        <v/>
      </c>
      <c r="CZ24" s="13" t="str">
        <f t="shared" si="40"/>
        <v/>
      </c>
      <c r="DA24" s="13" t="str">
        <f t="shared" si="41"/>
        <v/>
      </c>
      <c r="DB24" s="13" t="str">
        <f t="shared" si="42"/>
        <v/>
      </c>
      <c r="DC24" s="13" t="str">
        <f t="shared" si="43"/>
        <v/>
      </c>
      <c r="DD24" s="48"/>
      <c r="DE24" s="48"/>
      <c r="DF24" s="48"/>
      <c r="DG24" s="48"/>
      <c r="DH24" s="48"/>
      <c r="DI24" s="48"/>
      <c r="DJ24" s="48"/>
      <c r="DK24" s="48"/>
      <c r="DL24" s="48"/>
      <c r="DM24" s="48"/>
      <c r="DN24" s="48"/>
      <c r="DO24" s="48"/>
      <c r="DP24" s="48"/>
      <c r="DQ24" s="48"/>
      <c r="DR24" s="48"/>
      <c r="DS24" s="16" t="str">
        <f t="shared" si="44"/>
        <v/>
      </c>
      <c r="DT24" s="16" t="str">
        <f t="shared" si="45"/>
        <v/>
      </c>
      <c r="DU24" s="16" t="str">
        <f t="shared" si="46"/>
        <v/>
      </c>
      <c r="DV24" s="16" t="str">
        <f t="shared" si="47"/>
        <v/>
      </c>
      <c r="DW24" s="16" t="str">
        <f t="shared" si="48"/>
        <v/>
      </c>
      <c r="DX24" s="16" t="str">
        <f t="shared" si="49"/>
        <v/>
      </c>
      <c r="DY24" s="47"/>
      <c r="DZ24" s="47"/>
      <c r="EA24" s="47"/>
      <c r="EB24" s="47"/>
      <c r="EC24" s="47"/>
      <c r="ED24" s="47"/>
      <c r="EE24" s="47"/>
      <c r="EF24" s="47"/>
      <c r="EG24" s="47"/>
      <c r="EH24" s="47"/>
      <c r="EI24" s="47"/>
      <c r="EJ24" s="47"/>
      <c r="EK24" s="47"/>
      <c r="EL24" s="47"/>
      <c r="EM24" s="47"/>
      <c r="EN24" s="13" t="str">
        <f t="shared" si="50"/>
        <v/>
      </c>
      <c r="EO24" s="13" t="str">
        <f t="shared" si="51"/>
        <v/>
      </c>
      <c r="EP24" s="13" t="str">
        <f t="shared" si="52"/>
        <v/>
      </c>
      <c r="EQ24" s="13" t="str">
        <f t="shared" si="53"/>
        <v/>
      </c>
      <c r="ER24" s="13" t="str">
        <f t="shared" si="54"/>
        <v/>
      </c>
      <c r="ES24" s="13" t="str">
        <f t="shared" si="55"/>
        <v/>
      </c>
      <c r="ET24" s="48"/>
      <c r="EU24" s="48"/>
      <c r="EV24" s="48"/>
      <c r="EW24" s="48"/>
      <c r="EX24" s="48"/>
      <c r="EY24" s="48"/>
      <c r="EZ24" s="48"/>
      <c r="FA24" s="48"/>
      <c r="FB24" s="48"/>
      <c r="FC24" s="48"/>
      <c r="FD24" s="48"/>
      <c r="FE24" s="48"/>
      <c r="FF24" s="48"/>
      <c r="FG24" s="48"/>
      <c r="FH24" s="48"/>
      <c r="FI24" s="16" t="str">
        <f t="shared" si="56"/>
        <v/>
      </c>
      <c r="FJ24" s="16" t="str">
        <f t="shared" si="57"/>
        <v/>
      </c>
      <c r="FK24" s="16" t="str">
        <f t="shared" si="58"/>
        <v/>
      </c>
      <c r="FL24" s="16" t="str">
        <f t="shared" si="59"/>
        <v/>
      </c>
      <c r="FM24" s="16" t="str">
        <f t="shared" si="60"/>
        <v/>
      </c>
      <c r="FN24" s="16" t="str">
        <f t="shared" si="61"/>
        <v/>
      </c>
      <c r="FO24" s="47"/>
      <c r="FP24" s="47"/>
      <c r="FQ24" s="47"/>
      <c r="FR24" s="47"/>
      <c r="FS24" s="47"/>
      <c r="FT24" s="47"/>
      <c r="FU24" s="47"/>
      <c r="FV24" s="47"/>
      <c r="FW24" s="47"/>
      <c r="FX24" s="47"/>
      <c r="FY24" s="47"/>
      <c r="FZ24" s="47"/>
      <c r="GA24" s="47"/>
      <c r="GB24" s="47"/>
      <c r="GC24" s="47"/>
      <c r="GD24" s="13" t="str">
        <f t="shared" si="62"/>
        <v/>
      </c>
      <c r="GE24" s="13" t="str">
        <f t="shared" si="63"/>
        <v/>
      </c>
      <c r="GF24" s="13" t="str">
        <f t="shared" si="64"/>
        <v/>
      </c>
      <c r="GG24" s="13" t="str">
        <f t="shared" si="65"/>
        <v/>
      </c>
      <c r="GH24" s="13" t="str">
        <f t="shared" si="66"/>
        <v/>
      </c>
      <c r="GI24" s="13" t="str">
        <f t="shared" si="67"/>
        <v/>
      </c>
      <c r="GJ24" s="48"/>
      <c r="GK24" s="48"/>
      <c r="GL24" s="48"/>
      <c r="GM24" s="48"/>
      <c r="GN24" s="48"/>
      <c r="GO24" s="48"/>
      <c r="GP24" s="48"/>
      <c r="GQ24" s="48"/>
      <c r="GR24" s="48"/>
      <c r="GS24" s="48"/>
      <c r="GT24" s="48"/>
      <c r="GU24" s="48"/>
      <c r="GV24" s="48"/>
      <c r="GW24" s="48"/>
      <c r="GX24" s="48"/>
      <c r="GY24" s="16" t="str">
        <f t="shared" si="68"/>
        <v/>
      </c>
      <c r="GZ24" s="16" t="str">
        <f t="shared" si="69"/>
        <v/>
      </c>
      <c r="HA24" s="16" t="str">
        <f t="shared" si="70"/>
        <v/>
      </c>
      <c r="HB24" s="16" t="str">
        <f t="shared" si="71"/>
        <v/>
      </c>
      <c r="HC24" s="16" t="str">
        <f t="shared" si="72"/>
        <v/>
      </c>
      <c r="HD24" s="16" t="str">
        <f t="shared" si="73"/>
        <v/>
      </c>
      <c r="HE24" s="47"/>
      <c r="HF24" s="47"/>
      <c r="HG24" s="47"/>
      <c r="HH24" s="47"/>
      <c r="HI24" s="47"/>
      <c r="HJ24" s="47"/>
      <c r="HK24" s="47"/>
      <c r="HL24" s="47"/>
      <c r="HM24" s="47"/>
      <c r="HN24" s="47"/>
      <c r="HO24" s="47"/>
      <c r="HP24" s="47"/>
      <c r="HQ24" s="47"/>
      <c r="HR24" s="47"/>
      <c r="HS24" s="47"/>
      <c r="HT24" s="13" t="str">
        <f t="shared" si="74"/>
        <v/>
      </c>
      <c r="HU24" s="13" t="str">
        <f t="shared" si="75"/>
        <v/>
      </c>
      <c r="HV24" s="13" t="str">
        <f t="shared" si="76"/>
        <v/>
      </c>
      <c r="HW24" s="13" t="str">
        <f t="shared" si="77"/>
        <v/>
      </c>
      <c r="HX24" s="13" t="str">
        <f t="shared" si="78"/>
        <v/>
      </c>
      <c r="HY24" s="13" t="str">
        <f t="shared" si="79"/>
        <v/>
      </c>
      <c r="HZ24" s="48"/>
      <c r="IA24" s="48"/>
      <c r="IB24" s="48"/>
      <c r="IC24" s="48"/>
      <c r="ID24" s="48"/>
      <c r="IE24" s="48"/>
      <c r="IF24" s="48"/>
      <c r="IG24" s="48"/>
      <c r="IH24" s="48"/>
      <c r="II24" s="48"/>
      <c r="IJ24" s="48"/>
      <c r="IK24" s="48"/>
      <c r="IL24" s="48"/>
      <c r="IM24" s="48"/>
      <c r="IN24" s="48"/>
      <c r="IO24" s="16" t="str">
        <f t="shared" si="80"/>
        <v/>
      </c>
      <c r="IP24" s="16" t="str">
        <f t="shared" si="81"/>
        <v/>
      </c>
      <c r="IQ24" s="16" t="str">
        <f t="shared" si="82"/>
        <v/>
      </c>
      <c r="IR24" s="16" t="str">
        <f t="shared" si="83"/>
        <v/>
      </c>
      <c r="IS24" s="16" t="str">
        <f t="shared" si="84"/>
        <v/>
      </c>
      <c r="IT24" s="16" t="str">
        <f t="shared" si="85"/>
        <v/>
      </c>
      <c r="IU24" s="47"/>
      <c r="IV24" s="47"/>
      <c r="IW24" s="47"/>
      <c r="IX24" s="47"/>
      <c r="IY24" s="47"/>
      <c r="IZ24" s="47"/>
      <c r="JA24" s="47"/>
      <c r="JB24" s="47"/>
      <c r="JC24" s="47"/>
      <c r="JD24" s="47"/>
      <c r="JE24" s="47"/>
      <c r="JF24" s="47"/>
      <c r="JG24" s="47"/>
      <c r="JH24" s="47"/>
      <c r="JI24" s="47"/>
      <c r="JJ24" s="13" t="str">
        <f t="shared" si="86"/>
        <v/>
      </c>
      <c r="JK24" s="13" t="str">
        <f t="shared" si="87"/>
        <v/>
      </c>
      <c r="JL24" s="13" t="str">
        <f t="shared" si="88"/>
        <v/>
      </c>
      <c r="JM24" s="13" t="str">
        <f t="shared" si="89"/>
        <v/>
      </c>
      <c r="JN24" s="13" t="str">
        <f t="shared" si="90"/>
        <v/>
      </c>
      <c r="JO24" s="13" t="str">
        <f t="shared" si="91"/>
        <v/>
      </c>
      <c r="JP24" s="48"/>
      <c r="JQ24" s="48"/>
      <c r="JR24" s="48"/>
      <c r="JS24" s="48"/>
      <c r="JT24" s="48"/>
      <c r="JU24" s="48"/>
      <c r="JV24" s="48"/>
      <c r="JW24" s="48"/>
      <c r="JX24" s="48"/>
      <c r="JY24" s="48"/>
      <c r="JZ24" s="48"/>
      <c r="KA24" s="48"/>
      <c r="KB24" s="48"/>
      <c r="KC24" s="48"/>
      <c r="KD24" s="48"/>
      <c r="KE24" s="16" t="str">
        <f t="shared" si="92"/>
        <v/>
      </c>
      <c r="KF24" s="16" t="str">
        <f t="shared" si="93"/>
        <v/>
      </c>
      <c r="KG24" s="16" t="str">
        <f t="shared" si="94"/>
        <v/>
      </c>
      <c r="KH24" s="16" t="str">
        <f t="shared" si="95"/>
        <v/>
      </c>
      <c r="KI24" s="16" t="str">
        <f t="shared" si="96"/>
        <v/>
      </c>
      <c r="KJ24" s="16" t="str">
        <f t="shared" si="97"/>
        <v/>
      </c>
      <c r="KK24" s="47"/>
      <c r="KL24" s="47"/>
      <c r="KM24" s="47"/>
      <c r="KN24" s="47"/>
      <c r="KO24" s="47"/>
      <c r="KP24" s="47"/>
      <c r="KQ24" s="47"/>
      <c r="KR24" s="47"/>
      <c r="KS24" s="47"/>
      <c r="KT24" s="47"/>
      <c r="KU24" s="47"/>
      <c r="KV24" s="47"/>
      <c r="KW24" s="47"/>
      <c r="KX24" s="47"/>
      <c r="KY24" s="47"/>
      <c r="KZ24" s="13" t="str">
        <f t="shared" si="98"/>
        <v/>
      </c>
      <c r="LA24" s="13" t="str">
        <f t="shared" si="99"/>
        <v/>
      </c>
      <c r="LB24" s="13" t="str">
        <f t="shared" si="100"/>
        <v/>
      </c>
      <c r="LC24" s="13" t="str">
        <f t="shared" si="101"/>
        <v/>
      </c>
      <c r="LD24" s="13" t="str">
        <f t="shared" si="102"/>
        <v/>
      </c>
      <c r="LE24" s="13" t="str">
        <f t="shared" si="103"/>
        <v/>
      </c>
      <c r="LF24" s="48"/>
      <c r="LG24" s="48"/>
      <c r="LH24" s="48"/>
      <c r="LI24" s="48"/>
      <c r="LJ24" s="48"/>
      <c r="LK24" s="48"/>
      <c r="LL24" s="48"/>
      <c r="LM24" s="48"/>
      <c r="LN24" s="48"/>
      <c r="LO24" s="48"/>
      <c r="LP24" s="48"/>
      <c r="LQ24" s="48"/>
      <c r="LR24" s="48"/>
      <c r="LS24" s="48"/>
      <c r="LT24" s="48"/>
      <c r="LU24" s="16" t="str">
        <f t="shared" si="104"/>
        <v/>
      </c>
      <c r="LV24" s="16" t="str">
        <f t="shared" si="105"/>
        <v/>
      </c>
      <c r="LW24" s="16" t="str">
        <f t="shared" si="106"/>
        <v/>
      </c>
      <c r="LX24" s="16" t="str">
        <f t="shared" si="107"/>
        <v/>
      </c>
      <c r="LY24" s="16" t="str">
        <f t="shared" si="108"/>
        <v/>
      </c>
      <c r="LZ24" s="16" t="str">
        <f t="shared" si="109"/>
        <v/>
      </c>
    </row>
    <row r="25" spans="1:338" x14ac:dyDescent="0.2">
      <c r="D25" s="1"/>
    </row>
    <row r="27" spans="1:338" x14ac:dyDescent="0.2">
      <c r="B27" s="88" t="s">
        <v>123</v>
      </c>
      <c r="C27" s="71"/>
      <c r="AK27" s="80">
        <v>20.8</v>
      </c>
      <c r="BE27" s="71"/>
      <c r="BF27" s="80">
        <v>20.2</v>
      </c>
      <c r="BZ27" s="71"/>
      <c r="CA27" s="80">
        <v>20.2</v>
      </c>
      <c r="CX27" s="71"/>
      <c r="CY27" s="80">
        <v>20.8</v>
      </c>
      <c r="DS27" s="71"/>
      <c r="DT27" s="80">
        <v>20.8</v>
      </c>
      <c r="EN27" s="71"/>
      <c r="EO27" s="80">
        <v>20.2</v>
      </c>
      <c r="FI27" s="71"/>
      <c r="FJ27" s="80">
        <v>20.2</v>
      </c>
      <c r="GD27" s="71"/>
      <c r="GE27" s="80">
        <v>20.2</v>
      </c>
      <c r="GY27" s="71"/>
      <c r="GZ27" s="80">
        <v>20.2</v>
      </c>
      <c r="HT27" s="71"/>
      <c r="HU27" s="80">
        <v>20.2</v>
      </c>
      <c r="IO27" s="71"/>
      <c r="IP27" s="80">
        <v>20.2</v>
      </c>
      <c r="JJ27" s="71"/>
      <c r="JK27" s="80">
        <v>20.2</v>
      </c>
      <c r="KE27" s="71"/>
      <c r="KF27" s="80">
        <v>20.2</v>
      </c>
      <c r="KZ27" s="71"/>
      <c r="LA27" s="80">
        <v>20.2</v>
      </c>
      <c r="LU27" s="71"/>
      <c r="LV27" s="80">
        <v>20.2</v>
      </c>
    </row>
    <row r="28" spans="1:338" x14ac:dyDescent="0.2">
      <c r="A28" s="71"/>
      <c r="B28" s="89" t="s">
        <v>122</v>
      </c>
      <c r="C28" s="71"/>
      <c r="AK28" s="81">
        <v>20.8</v>
      </c>
      <c r="AM28" s="69"/>
      <c r="AN28" s="69"/>
      <c r="BE28" s="71"/>
      <c r="BF28" s="81">
        <v>20.6</v>
      </c>
      <c r="BZ28" s="71"/>
      <c r="CA28" s="81">
        <v>20.6</v>
      </c>
      <c r="CX28" s="71"/>
      <c r="CY28" s="81">
        <v>20.8</v>
      </c>
      <c r="DS28" s="71"/>
      <c r="DT28" s="81">
        <v>20.8</v>
      </c>
      <c r="EN28" s="71"/>
      <c r="EO28" s="81">
        <v>20.6</v>
      </c>
      <c r="FI28" s="71"/>
      <c r="FJ28" s="81">
        <v>20.6</v>
      </c>
      <c r="GD28" s="71"/>
      <c r="GE28" s="81">
        <v>20.6</v>
      </c>
      <c r="GY28" s="71"/>
      <c r="GZ28" s="81">
        <v>20.6</v>
      </c>
      <c r="HT28" s="71"/>
      <c r="HU28" s="81">
        <v>20.6</v>
      </c>
      <c r="IO28" s="71"/>
      <c r="IP28" s="81">
        <v>20.6</v>
      </c>
      <c r="JJ28" s="71"/>
      <c r="JK28" s="81">
        <v>20.6</v>
      </c>
      <c r="KE28" s="71"/>
      <c r="KF28" s="81">
        <v>20.6</v>
      </c>
      <c r="KZ28" s="71"/>
      <c r="LA28" s="81">
        <v>20.6</v>
      </c>
      <c r="LU28" s="71"/>
      <c r="LV28" s="81">
        <v>20.6</v>
      </c>
    </row>
    <row r="29" spans="1:338" x14ac:dyDescent="0.2">
      <c r="A29" s="71"/>
      <c r="B29" s="90" t="s">
        <v>120</v>
      </c>
      <c r="C29" s="71"/>
      <c r="AK29" s="82">
        <v>104.9</v>
      </c>
      <c r="AM29" s="69"/>
      <c r="AN29" s="69"/>
      <c r="BE29" s="71"/>
      <c r="BF29" s="82">
        <v>103</v>
      </c>
      <c r="BZ29" s="71"/>
      <c r="CA29" s="82">
        <v>103</v>
      </c>
      <c r="CX29" s="71"/>
      <c r="CY29" s="82">
        <v>104.9</v>
      </c>
      <c r="DS29" s="71"/>
      <c r="DT29" s="82">
        <v>104.9</v>
      </c>
      <c r="EN29" s="71"/>
      <c r="EO29" s="82">
        <v>103</v>
      </c>
      <c r="FI29" s="71"/>
      <c r="FJ29" s="82">
        <v>103</v>
      </c>
      <c r="GD29" s="71"/>
      <c r="GE29" s="82">
        <v>103</v>
      </c>
      <c r="GY29" s="71"/>
      <c r="GZ29" s="82">
        <v>103</v>
      </c>
      <c r="HT29" s="71"/>
      <c r="HU29" s="82">
        <v>103</v>
      </c>
      <c r="IO29" s="71"/>
      <c r="IP29" s="82">
        <v>103</v>
      </c>
      <c r="JJ29" s="71"/>
      <c r="JK29" s="82">
        <v>103</v>
      </c>
      <c r="KE29" s="71"/>
      <c r="KF29" s="82">
        <v>103</v>
      </c>
      <c r="KZ29" s="71"/>
      <c r="LA29" s="82">
        <v>103</v>
      </c>
      <c r="LU29" s="71"/>
      <c r="LV29" s="82">
        <v>103</v>
      </c>
    </row>
    <row r="30" spans="1:338" x14ac:dyDescent="0.2">
      <c r="A30" s="71"/>
      <c r="B30" s="91" t="s">
        <v>121</v>
      </c>
      <c r="C30" s="71"/>
      <c r="AK30" s="83">
        <v>104.9</v>
      </c>
      <c r="AM30" s="69"/>
      <c r="AN30" s="69"/>
      <c r="BE30" s="71"/>
      <c r="BF30" s="83">
        <v>105</v>
      </c>
      <c r="BZ30" s="71"/>
      <c r="CA30" s="83">
        <v>105</v>
      </c>
      <c r="CX30" s="71"/>
      <c r="CY30" s="83">
        <v>104.9</v>
      </c>
      <c r="DS30" s="71"/>
      <c r="DT30" s="83">
        <v>104.9</v>
      </c>
      <c r="EN30" s="71"/>
      <c r="EO30" s="83">
        <v>105</v>
      </c>
      <c r="FI30" s="71"/>
      <c r="FJ30" s="83">
        <v>105</v>
      </c>
      <c r="GD30" s="71"/>
      <c r="GE30" s="83">
        <v>105</v>
      </c>
      <c r="GY30" s="71"/>
      <c r="GZ30" s="83">
        <v>105</v>
      </c>
      <c r="HT30" s="71"/>
      <c r="HU30" s="83">
        <v>105</v>
      </c>
      <c r="IO30" s="71"/>
      <c r="IP30" s="83">
        <v>105</v>
      </c>
      <c r="JJ30" s="71"/>
      <c r="JK30" s="83">
        <v>105</v>
      </c>
      <c r="KE30" s="71"/>
      <c r="KF30" s="83">
        <v>105</v>
      </c>
      <c r="KZ30" s="71"/>
      <c r="LA30" s="83">
        <v>105</v>
      </c>
      <c r="LU30" s="71"/>
      <c r="LV30" s="83">
        <v>105</v>
      </c>
    </row>
    <row r="31" spans="1:338" x14ac:dyDescent="0.2">
      <c r="A31" s="71"/>
      <c r="B31" s="92" t="s">
        <v>39</v>
      </c>
      <c r="C31" s="71"/>
      <c r="AK31" s="84">
        <v>108.1</v>
      </c>
      <c r="AM31" s="69"/>
      <c r="AN31" s="69"/>
      <c r="BE31" s="71"/>
      <c r="BF31" s="84">
        <v>108.5</v>
      </c>
      <c r="BZ31" s="71"/>
      <c r="CA31" s="84">
        <v>108.5</v>
      </c>
      <c r="CX31" s="71"/>
      <c r="CY31" s="84">
        <v>108.1</v>
      </c>
      <c r="DS31" s="71"/>
      <c r="DT31" s="84">
        <v>108.1</v>
      </c>
      <c r="EN31" s="71"/>
      <c r="EO31" s="84">
        <v>108.5</v>
      </c>
      <c r="FI31" s="71"/>
      <c r="FJ31" s="84">
        <v>108.5</v>
      </c>
      <c r="GD31" s="71"/>
      <c r="GE31" s="84">
        <v>108.5</v>
      </c>
      <c r="GY31" s="71"/>
      <c r="GZ31" s="84">
        <v>108.5</v>
      </c>
      <c r="HT31" s="71"/>
      <c r="HU31" s="84">
        <v>108.5</v>
      </c>
      <c r="IO31" s="71"/>
      <c r="IP31" s="84">
        <v>108.5</v>
      </c>
      <c r="JJ31" s="71"/>
      <c r="JK31" s="84">
        <v>108.5</v>
      </c>
      <c r="KE31" s="71"/>
      <c r="KF31" s="84">
        <v>108.5</v>
      </c>
      <c r="KZ31" s="71"/>
      <c r="LA31" s="84">
        <v>108.5</v>
      </c>
      <c r="LU31" s="71"/>
      <c r="LV31" s="84">
        <v>108.5</v>
      </c>
    </row>
    <row r="32" spans="1:338" x14ac:dyDescent="0.2">
      <c r="A32" s="71"/>
      <c r="B32" s="93" t="s">
        <v>91</v>
      </c>
      <c r="C32" s="71"/>
      <c r="AK32" s="85">
        <v>112.7</v>
      </c>
      <c r="AM32" s="69"/>
      <c r="AN32" s="69"/>
      <c r="BE32" s="71"/>
      <c r="BF32" s="85">
        <v>60</v>
      </c>
      <c r="BZ32" s="71"/>
      <c r="CA32" s="85">
        <v>60</v>
      </c>
      <c r="CX32" s="71"/>
      <c r="CY32" s="85">
        <v>112.7</v>
      </c>
      <c r="DS32" s="71"/>
      <c r="DT32" s="85">
        <v>112.7</v>
      </c>
      <c r="EN32" s="71"/>
      <c r="EO32" s="85">
        <v>60</v>
      </c>
      <c r="FI32" s="71"/>
      <c r="FJ32" s="85">
        <v>60</v>
      </c>
      <c r="GD32" s="71"/>
      <c r="GE32" s="85">
        <v>60</v>
      </c>
      <c r="GY32" s="71"/>
      <c r="GZ32" s="85">
        <v>60</v>
      </c>
      <c r="HT32" s="71"/>
      <c r="HU32" s="85">
        <v>60</v>
      </c>
      <c r="IO32" s="71"/>
      <c r="IP32" s="85">
        <v>60</v>
      </c>
      <c r="JJ32" s="71"/>
      <c r="JK32" s="85">
        <v>60</v>
      </c>
      <c r="KE32" s="71"/>
      <c r="KF32" s="85">
        <v>60</v>
      </c>
      <c r="KZ32" s="71"/>
      <c r="LA32" s="85">
        <v>60</v>
      </c>
      <c r="LU32" s="71"/>
      <c r="LV32" s="85">
        <v>60</v>
      </c>
    </row>
    <row r="33" spans="1:124" x14ac:dyDescent="0.2">
      <c r="C33" s="3"/>
      <c r="AK33" s="69" t="s">
        <v>141</v>
      </c>
      <c r="AL33" s="69"/>
      <c r="AM33" s="69"/>
      <c r="AN33" s="69"/>
      <c r="BF33" s="69"/>
      <c r="CY33" s="69" t="s">
        <v>141</v>
      </c>
      <c r="DT33" s="69" t="s">
        <v>141</v>
      </c>
    </row>
    <row r="34" spans="1:124" x14ac:dyDescent="0.2">
      <c r="A34" s="71"/>
      <c r="B34" s="71"/>
      <c r="C34" s="70"/>
      <c r="AK34" s="69"/>
      <c r="AL34" s="69"/>
      <c r="AM34" s="69"/>
      <c r="AN34" s="69"/>
    </row>
    <row r="35" spans="1:124" ht="17" x14ac:dyDescent="0.2">
      <c r="A35" s="71"/>
      <c r="B35" s="71"/>
      <c r="C35" s="70"/>
      <c r="R35" s="23"/>
      <c r="S35" s="23"/>
      <c r="AK35" s="69"/>
      <c r="AL35" s="69"/>
      <c r="AM35" s="69"/>
      <c r="AN35" s="69"/>
    </row>
    <row r="36" spans="1:124" ht="17" x14ac:dyDescent="0.2">
      <c r="A36" s="71"/>
      <c r="B36" s="71"/>
      <c r="C36" s="70"/>
      <c r="R36" s="23"/>
      <c r="AK36" s="69"/>
      <c r="AL36" s="69"/>
      <c r="AM36" s="69"/>
      <c r="AN36" s="69"/>
    </row>
    <row r="37" spans="1:124" ht="17" x14ac:dyDescent="0.2">
      <c r="R37" s="23"/>
      <c r="S37" s="23"/>
      <c r="AK37" s="69"/>
      <c r="AL37" s="69"/>
      <c r="AM37" s="69"/>
      <c r="AN37" s="69"/>
    </row>
    <row r="38" spans="1:124" ht="17" x14ac:dyDescent="0.2">
      <c r="R38" s="23"/>
      <c r="S38" s="23"/>
      <c r="AK38" s="69"/>
      <c r="AL38" s="69"/>
      <c r="AM38" s="69"/>
      <c r="AN38" s="69"/>
    </row>
    <row r="39" spans="1:124" ht="17" x14ac:dyDescent="0.2">
      <c r="R39" s="23"/>
      <c r="S39" s="23"/>
      <c r="AK39" s="69"/>
      <c r="AL39" s="69"/>
      <c r="AM39" s="69"/>
      <c r="AN39" s="69"/>
    </row>
    <row r="40" spans="1:124" ht="17" x14ac:dyDescent="0.2">
      <c r="R40" s="23"/>
      <c r="S40" s="23"/>
      <c r="T40" s="23"/>
    </row>
    <row r="41" spans="1:124" ht="17" x14ac:dyDescent="0.2">
      <c r="R41" s="23"/>
      <c r="S41" s="23"/>
      <c r="T41" s="23"/>
    </row>
    <row r="42" spans="1:124" ht="17" x14ac:dyDescent="0.2">
      <c r="R42" s="23"/>
      <c r="S42" s="23"/>
      <c r="T42" s="23"/>
    </row>
    <row r="43" spans="1:124" ht="17" x14ac:dyDescent="0.2">
      <c r="R43" s="23"/>
      <c r="S43" s="23"/>
      <c r="T43" s="23"/>
    </row>
    <row r="44" spans="1:124" ht="17" x14ac:dyDescent="0.2">
      <c r="R44" s="23"/>
      <c r="S44" s="23"/>
      <c r="T44" s="23"/>
    </row>
    <row r="45" spans="1:124" ht="17" x14ac:dyDescent="0.2">
      <c r="R45" s="23"/>
      <c r="S45" s="23"/>
      <c r="T45" s="23"/>
    </row>
    <row r="46" spans="1:124" ht="17" x14ac:dyDescent="0.2">
      <c r="R46" s="23"/>
      <c r="S46" s="23"/>
      <c r="T46" s="23"/>
    </row>
    <row r="47" spans="1:124" ht="17" x14ac:dyDescent="0.2">
      <c r="R47" s="23"/>
      <c r="S47" s="23"/>
      <c r="T47" s="23"/>
    </row>
    <row r="48" spans="1:124" ht="17" x14ac:dyDescent="0.2">
      <c r="R48" s="23"/>
      <c r="S48" s="23"/>
      <c r="T48" s="23"/>
    </row>
    <row r="49" spans="18:20" ht="17" x14ac:dyDescent="0.2">
      <c r="R49" s="23"/>
      <c r="S49" s="23"/>
      <c r="T49" s="23"/>
    </row>
    <row r="50" spans="18:20" ht="17" x14ac:dyDescent="0.2">
      <c r="R50" s="23"/>
      <c r="S50" s="23"/>
      <c r="T50" s="23"/>
    </row>
    <row r="51" spans="18:20" ht="17" x14ac:dyDescent="0.2">
      <c r="R51" s="23"/>
      <c r="S51" s="23"/>
      <c r="T51" s="23"/>
    </row>
    <row r="52" spans="18:20" ht="17" x14ac:dyDescent="0.2">
      <c r="R52" s="23"/>
      <c r="S52" s="23"/>
      <c r="T52" s="23"/>
    </row>
    <row r="53" spans="18:20" ht="17" x14ac:dyDescent="0.2">
      <c r="R53" s="23"/>
      <c r="S53" s="23"/>
      <c r="T53" s="23"/>
    </row>
    <row r="54" spans="18:20" ht="17" x14ac:dyDescent="0.2">
      <c r="R54" s="23"/>
      <c r="S54" s="23"/>
      <c r="T54" s="23"/>
    </row>
  </sheetData>
  <sheetProtection sheet="1" objects="1" scenarios="1" formatCells="0" formatColumns="0" formatRows="0"/>
  <autoFilter ref="A1:LZ3" xr:uid="{00000000-0009-0000-0000-000001000000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sortState ref="A6:LZ24">
      <sortCondition descending="1" ref="F1:F21"/>
    </sortState>
  </autoFilter>
  <sortState ref="A1:O3">
    <sortCondition ref="A1"/>
  </sortState>
  <mergeCells count="81">
    <mergeCell ref="EY2:FC2"/>
    <mergeCell ref="ET2:EX2"/>
    <mergeCell ref="EI2:EM2"/>
    <mergeCell ref="ED2:EH2"/>
    <mergeCell ref="DI2:DM2"/>
    <mergeCell ref="IU2:IY2"/>
    <mergeCell ref="IJ2:IN2"/>
    <mergeCell ref="IE2:II2"/>
    <mergeCell ref="HZ2:ID2"/>
    <mergeCell ref="FD2:FH2"/>
    <mergeCell ref="A1:A3"/>
    <mergeCell ref="B1:B3"/>
    <mergeCell ref="C1:C3"/>
    <mergeCell ref="E1:E3"/>
    <mergeCell ref="G1:G3"/>
    <mergeCell ref="D1:D3"/>
    <mergeCell ref="F1:F3"/>
    <mergeCell ref="O1:O3"/>
    <mergeCell ref="Q1:Q3"/>
    <mergeCell ref="U1:AO1"/>
    <mergeCell ref="Z2:AD2"/>
    <mergeCell ref="AE2:AI2"/>
    <mergeCell ref="P1:P3"/>
    <mergeCell ref="R1:R3"/>
    <mergeCell ref="T1:T3"/>
    <mergeCell ref="S1:S3"/>
    <mergeCell ref="U2:Y2"/>
    <mergeCell ref="H1:H3"/>
    <mergeCell ref="I1:I3"/>
    <mergeCell ref="J1:J3"/>
    <mergeCell ref="L1:L3"/>
    <mergeCell ref="N1:N3"/>
    <mergeCell ref="K1:K3"/>
    <mergeCell ref="M1:M3"/>
    <mergeCell ref="DY1:ES1"/>
    <mergeCell ref="DD2:DH2"/>
    <mergeCell ref="AP1:BJ1"/>
    <mergeCell ref="BK1:CE1"/>
    <mergeCell ref="AP2:AT2"/>
    <mergeCell ref="AU2:AY2"/>
    <mergeCell ref="BK2:BO2"/>
    <mergeCell ref="BP2:BT2"/>
    <mergeCell ref="CS2:CW2"/>
    <mergeCell ref="CN2:CR2"/>
    <mergeCell ref="CI1:DC1"/>
    <mergeCell ref="BU2:BY2"/>
    <mergeCell ref="AZ2:BD2"/>
    <mergeCell ref="CI2:CM2"/>
    <mergeCell ref="CF1:CH1"/>
    <mergeCell ref="ET1:FN1"/>
    <mergeCell ref="DD1:DX1"/>
    <mergeCell ref="HE1:HY1"/>
    <mergeCell ref="HO2:HS2"/>
    <mergeCell ref="HJ2:HN2"/>
    <mergeCell ref="HE2:HI2"/>
    <mergeCell ref="FO1:GI1"/>
    <mergeCell ref="GJ1:HD1"/>
    <mergeCell ref="GO2:GS2"/>
    <mergeCell ref="GJ2:GN2"/>
    <mergeCell ref="FY2:GC2"/>
    <mergeCell ref="FT2:FX2"/>
    <mergeCell ref="FO2:FS2"/>
    <mergeCell ref="GT2:GX2"/>
    <mergeCell ref="DN2:DR2"/>
    <mergeCell ref="DY2:EC2"/>
    <mergeCell ref="HZ1:IT1"/>
    <mergeCell ref="IU1:JO1"/>
    <mergeCell ref="KK2:KO2"/>
    <mergeCell ref="JZ2:KD2"/>
    <mergeCell ref="LF1:LZ1"/>
    <mergeCell ref="JP1:KJ1"/>
    <mergeCell ref="KK1:LE1"/>
    <mergeCell ref="LP2:LT2"/>
    <mergeCell ref="LK2:LO2"/>
    <mergeCell ref="LF2:LJ2"/>
    <mergeCell ref="KU2:KY2"/>
    <mergeCell ref="KP2:KT2"/>
    <mergeCell ref="JU2:JY2"/>
    <mergeCell ref="JP2:JT2"/>
    <mergeCell ref="JE2:JI2"/>
    <mergeCell ref="IZ2:JD2"/>
  </mergeCells>
  <conditionalFormatting sqref="A1:A1048576">
    <cfRule type="expression" dxfId="161" priority="237">
      <formula>AND(H1="P",F1="")</formula>
    </cfRule>
  </conditionalFormatting>
  <conditionalFormatting sqref="I1:I1048576">
    <cfRule type="containsText" dxfId="160" priority="238" operator="containsText" text="Merit">
      <formula>NOT(ISERROR(SEARCH("Merit",I1)))</formula>
    </cfRule>
    <cfRule type="containsText" dxfId="159" priority="239" operator="containsText" text="Funding">
      <formula>NOT(ISERROR(SEARCH("Funding",I1)))</formula>
    </cfRule>
    <cfRule type="containsText" dxfId="158" priority="240" operator="containsText" text="Worlds Team">
      <formula>NOT(ISERROR(SEARCH("Worlds Team",I1)))</formula>
    </cfRule>
    <cfRule type="containsText" dxfId="157" priority="788" operator="containsText" text="National Team">
      <formula>NOT(ISERROR(SEARCH("National Team",I1)))</formula>
    </cfRule>
  </conditionalFormatting>
  <conditionalFormatting sqref="K1:K1048576">
    <cfRule type="expression" dxfId="156" priority="789">
      <formula>IF(J1=CC1,1,0)</formula>
    </cfRule>
    <cfRule type="expression" dxfId="155" priority="931">
      <formula>IF(J1=BH1,1,0)</formula>
    </cfRule>
    <cfRule type="expression" dxfId="154" priority="940">
      <formula>IF(J1=AM1,1,0)</formula>
    </cfRule>
  </conditionalFormatting>
  <conditionalFormatting sqref="M1:M1048576">
    <cfRule type="expression" dxfId="153" priority="960">
      <formula>IF(L1=CA1,1,0)</formula>
    </cfRule>
    <cfRule type="expression" dxfId="152" priority="975">
      <formula>IF(L1=BF1,1,0)</formula>
    </cfRule>
    <cfRule type="expression" dxfId="151" priority="977">
      <formula>IF(L1=AK1,1,0)</formula>
    </cfRule>
  </conditionalFormatting>
  <conditionalFormatting sqref="O1:O1048576 Q1:Q1048576">
    <cfRule type="expression" dxfId="150" priority="979">
      <formula>IF(N1=CB1,1,0)</formula>
    </cfRule>
    <cfRule type="expression" dxfId="149" priority="980">
      <formula>IF(N1=BG1,1,0)</formula>
    </cfRule>
    <cfRule type="expression" dxfId="148" priority="981">
      <formula>IF(N1=AL1,1,0)</formula>
    </cfRule>
  </conditionalFormatting>
  <conditionalFormatting sqref="LW1:LW1048576 LB1:LB1048576 KG1:KG1048576 JL1:JL1048576 IQ1:IQ1048576 HV1:HV1048576 HA1:HA1048576 GF1:GF1048576 FK1:FK1048576 EP1:EP1048576 DU1:DU1048576 CZ1:CZ1048576 CB1:CB1048576 BG1:BG1048576 AL1:AL1048576">
    <cfRule type="cellIs" dxfId="147" priority="1609" operator="between">
      <formula>AK$32</formula>
      <formula>1000</formula>
    </cfRule>
  </conditionalFormatting>
  <conditionalFormatting sqref="AJ1:AJ1048576 BE1:BE1048576 BZ1:BZ1048576">
    <cfRule type="cellIs" dxfId="146" priority="1654" operator="between">
      <formula>AK$28</formula>
      <formula>100</formula>
    </cfRule>
    <cfRule type="cellIs" dxfId="145" priority="1655" operator="between">
      <formula>AK$27</formula>
      <formula>AK$28</formula>
    </cfRule>
  </conditionalFormatting>
  <conditionalFormatting sqref="AM1:AM1048576 BH1:BH1048576 CC1:CC1048576 DA1:DA1048576 DV1:DV1048576 EQ1:EQ1048576 FL1:FL1048576 GG1:GG1048576 HB1:HB1048576 HW1:HW1048576 IR1:IR1048576 JM1:JM1048576 KH1:KH1048576 LC1:LC1048576 LX1:LX1048576">
    <cfRule type="cellIs" dxfId="144" priority="1672" operator="between">
      <formula>AK$31</formula>
      <formula>1000</formula>
    </cfRule>
    <cfRule type="cellIs" dxfId="143" priority="1673" operator="between">
      <formula>AK$30</formula>
      <formula>AK$31</formula>
    </cfRule>
    <cfRule type="cellIs" dxfId="142" priority="1674" operator="between">
      <formula>AK$29</formula>
      <formula>AK$30</formula>
    </cfRule>
  </conditionalFormatting>
  <conditionalFormatting sqref="AN1:AN1048576 BI1:BI1048576 CD1:CD1048576 DB1:DB1048576 DW1:DW1048576 ER1:ER1048576 FM1:FM1048576 GH1:GH1048576 HC1:HC1048576 HX1:HX1048576 IS1:IS1048576 JN1:JN1048576 KI1:KI1048576 LD1:LD1048576 LY1:LY1048576">
    <cfRule type="cellIs" dxfId="141" priority="1807" operator="between">
      <formula>AK$32</formula>
      <formula>1000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LZ25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6.33203125" customWidth="1"/>
    <col min="6" max="6" width="16" customWidth="1"/>
    <col min="7" max="7" width="15" customWidth="1"/>
    <col min="9" max="9" width="13.33203125" bestFit="1" customWidth="1"/>
    <col min="11" max="11" width="20.5" bestFit="1" customWidth="1"/>
    <col min="13" max="13" width="20.5" bestFit="1" customWidth="1"/>
    <col min="15" max="15" width="20.5" bestFit="1" customWidth="1"/>
    <col min="17" max="17" width="20.5" bestFit="1" customWidth="1"/>
    <col min="18" max="18" width="24.6640625" bestFit="1" customWidth="1"/>
    <col min="19" max="19" width="13" bestFit="1" customWidth="1"/>
    <col min="20" max="20" width="38.5" bestFit="1" customWidth="1"/>
    <col min="21" max="35" width="10.83203125" hidden="1" customWidth="1"/>
    <col min="36" max="41" width="10.83203125" customWidth="1"/>
    <col min="42" max="56" width="10.83203125" hidden="1" customWidth="1"/>
    <col min="57" max="62" width="10.83203125" customWidth="1"/>
    <col min="63" max="77" width="10.83203125" hidden="1" customWidth="1"/>
    <col min="78" max="83" width="10.83203125" customWidth="1"/>
    <col min="87" max="101" width="10.83203125" hidden="1" customWidth="1"/>
    <col min="102" max="107" width="10.83203125" customWidth="1"/>
    <col min="108" max="122" width="10.83203125" hidden="1" customWidth="1"/>
    <col min="123" max="128" width="10.83203125" customWidth="1"/>
    <col min="129" max="143" width="10.83203125" hidden="1" customWidth="1"/>
    <col min="144" max="149" width="10.83203125" customWidth="1"/>
    <col min="150" max="164" width="10.83203125" hidden="1" customWidth="1"/>
    <col min="165" max="170" width="10.83203125" customWidth="1"/>
    <col min="171" max="185" width="10.83203125" hidden="1" customWidth="1"/>
    <col min="186" max="191" width="10.83203125" customWidth="1"/>
    <col min="192" max="206" width="10.83203125" hidden="1" customWidth="1"/>
    <col min="207" max="212" width="10.83203125" customWidth="1"/>
    <col min="213" max="227" width="10.83203125" hidden="1" customWidth="1"/>
    <col min="228" max="233" width="10.83203125" customWidth="1"/>
    <col min="234" max="248" width="10.83203125" hidden="1" customWidth="1"/>
    <col min="249" max="254" width="10.83203125" customWidth="1"/>
    <col min="255" max="269" width="10.83203125" hidden="1" customWidth="1"/>
    <col min="270" max="275" width="10.83203125" customWidth="1"/>
    <col min="276" max="290" width="10.83203125" hidden="1" customWidth="1"/>
    <col min="291" max="296" width="10.83203125" customWidth="1"/>
    <col min="297" max="311" width="10.83203125" hidden="1" customWidth="1"/>
    <col min="312" max="317" width="10.83203125" customWidth="1"/>
    <col min="318" max="332" width="10.83203125" hidden="1" customWidth="1"/>
    <col min="333" max="350" width="10.83203125" customWidth="1"/>
  </cols>
  <sheetData>
    <row r="1" spans="1:338" x14ac:dyDescent="0.2">
      <c r="A1" s="101" t="s">
        <v>2</v>
      </c>
      <c r="B1" s="101" t="s">
        <v>51</v>
      </c>
      <c r="C1" s="101" t="s">
        <v>0</v>
      </c>
      <c r="D1" s="101" t="s">
        <v>1</v>
      </c>
      <c r="E1" s="101" t="s">
        <v>3</v>
      </c>
      <c r="F1" s="104" t="s">
        <v>123</v>
      </c>
      <c r="G1" s="104" t="s">
        <v>122</v>
      </c>
      <c r="H1" s="101" t="s">
        <v>22</v>
      </c>
      <c r="I1" s="101" t="s">
        <v>23</v>
      </c>
      <c r="J1" s="102" t="s">
        <v>24</v>
      </c>
      <c r="K1" s="102" t="s">
        <v>87</v>
      </c>
      <c r="L1" s="102" t="s">
        <v>25</v>
      </c>
      <c r="M1" s="102" t="s">
        <v>87</v>
      </c>
      <c r="N1" s="102" t="s">
        <v>26</v>
      </c>
      <c r="O1" s="102" t="s">
        <v>87</v>
      </c>
      <c r="P1" s="102" t="s">
        <v>27</v>
      </c>
      <c r="Q1" s="102" t="s">
        <v>87</v>
      </c>
      <c r="R1" s="103" t="s">
        <v>28</v>
      </c>
      <c r="S1" s="102" t="s">
        <v>90</v>
      </c>
      <c r="T1" s="102" t="s">
        <v>87</v>
      </c>
      <c r="U1" s="97" t="s">
        <v>92</v>
      </c>
      <c r="V1" s="97"/>
      <c r="W1" s="97"/>
      <c r="X1" s="97"/>
      <c r="Y1" s="97"/>
      <c r="Z1" s="97"/>
      <c r="AA1" s="97"/>
      <c r="AB1" s="97"/>
      <c r="AC1" s="97"/>
      <c r="AD1" s="97"/>
      <c r="AE1" s="97"/>
      <c r="AF1" s="97"/>
      <c r="AG1" s="97"/>
      <c r="AH1" s="97"/>
      <c r="AI1" s="97"/>
      <c r="AJ1" s="97"/>
      <c r="AK1" s="97"/>
      <c r="AL1" s="97"/>
      <c r="AM1" s="97"/>
      <c r="AN1" s="97"/>
      <c r="AO1" s="97"/>
      <c r="AP1" s="96" t="s">
        <v>124</v>
      </c>
      <c r="AQ1" s="96"/>
      <c r="AR1" s="96"/>
      <c r="AS1" s="96"/>
      <c r="AT1" s="96"/>
      <c r="AU1" s="96"/>
      <c r="AV1" s="96"/>
      <c r="AW1" s="96"/>
      <c r="AX1" s="96"/>
      <c r="AY1" s="96"/>
      <c r="AZ1" s="96"/>
      <c r="BA1" s="96"/>
      <c r="BB1" s="96"/>
      <c r="BC1" s="96"/>
      <c r="BD1" s="96"/>
      <c r="BE1" s="96"/>
      <c r="BF1" s="96"/>
      <c r="BG1" s="96"/>
      <c r="BH1" s="96"/>
      <c r="BI1" s="96"/>
      <c r="BJ1" s="96"/>
      <c r="BK1" s="97" t="s">
        <v>142</v>
      </c>
      <c r="BL1" s="97"/>
      <c r="BM1" s="97"/>
      <c r="BN1" s="97"/>
      <c r="BO1" s="97"/>
      <c r="BP1" s="97"/>
      <c r="BQ1" s="97"/>
      <c r="BR1" s="97"/>
      <c r="BS1" s="97"/>
      <c r="BT1" s="97"/>
      <c r="BU1" s="97"/>
      <c r="BV1" s="97"/>
      <c r="BW1" s="97"/>
      <c r="BX1" s="97"/>
      <c r="BY1" s="97"/>
      <c r="BZ1" s="97"/>
      <c r="CA1" s="97"/>
      <c r="CB1" s="97"/>
      <c r="CC1" s="97"/>
      <c r="CD1" s="97"/>
      <c r="CE1" s="97"/>
      <c r="CF1" s="100" t="s">
        <v>28</v>
      </c>
      <c r="CG1" s="100"/>
      <c r="CH1" s="100"/>
      <c r="CI1" s="97" t="s">
        <v>88</v>
      </c>
      <c r="CJ1" s="97"/>
      <c r="CK1" s="97"/>
      <c r="CL1" s="97"/>
      <c r="CM1" s="97"/>
      <c r="CN1" s="97"/>
      <c r="CO1" s="97"/>
      <c r="CP1" s="97"/>
      <c r="CQ1" s="97"/>
      <c r="CR1" s="97"/>
      <c r="CS1" s="97"/>
      <c r="CT1" s="97"/>
      <c r="CU1" s="97"/>
      <c r="CV1" s="97"/>
      <c r="CW1" s="97"/>
      <c r="CX1" s="97"/>
      <c r="CY1" s="97"/>
      <c r="CZ1" s="97"/>
      <c r="DA1" s="97"/>
      <c r="DB1" s="97"/>
      <c r="DC1" s="97"/>
      <c r="DD1" s="96" t="s">
        <v>102</v>
      </c>
      <c r="DE1" s="96"/>
      <c r="DF1" s="96"/>
      <c r="DG1" s="96"/>
      <c r="DH1" s="96"/>
      <c r="DI1" s="96"/>
      <c r="DJ1" s="96"/>
      <c r="DK1" s="96"/>
      <c r="DL1" s="96"/>
      <c r="DM1" s="96"/>
      <c r="DN1" s="96"/>
      <c r="DO1" s="96"/>
      <c r="DP1" s="96"/>
      <c r="DQ1" s="96"/>
      <c r="DR1" s="96"/>
      <c r="DS1" s="96"/>
      <c r="DT1" s="96"/>
      <c r="DU1" s="96"/>
      <c r="DV1" s="96"/>
      <c r="DW1" s="96"/>
      <c r="DX1" s="96"/>
      <c r="DY1" s="97" t="s">
        <v>103</v>
      </c>
      <c r="DZ1" s="97"/>
      <c r="EA1" s="97"/>
      <c r="EB1" s="97"/>
      <c r="EC1" s="97"/>
      <c r="ED1" s="97"/>
      <c r="EE1" s="97"/>
      <c r="EF1" s="97"/>
      <c r="EG1" s="97"/>
      <c r="EH1" s="97"/>
      <c r="EI1" s="97"/>
      <c r="EJ1" s="97"/>
      <c r="EK1" s="97"/>
      <c r="EL1" s="97"/>
      <c r="EM1" s="97"/>
      <c r="EN1" s="97"/>
      <c r="EO1" s="97"/>
      <c r="EP1" s="97"/>
      <c r="EQ1" s="97"/>
      <c r="ER1" s="97"/>
      <c r="ES1" s="97"/>
      <c r="ET1" s="96" t="s">
        <v>116</v>
      </c>
      <c r="EU1" s="96"/>
      <c r="EV1" s="96"/>
      <c r="EW1" s="96"/>
      <c r="EX1" s="96"/>
      <c r="EY1" s="96"/>
      <c r="EZ1" s="96"/>
      <c r="FA1" s="96"/>
      <c r="FB1" s="96"/>
      <c r="FC1" s="96"/>
      <c r="FD1" s="96"/>
      <c r="FE1" s="96"/>
      <c r="FF1" s="96"/>
      <c r="FG1" s="96"/>
      <c r="FH1" s="96"/>
      <c r="FI1" s="96"/>
      <c r="FJ1" s="96"/>
      <c r="FK1" s="96"/>
      <c r="FL1" s="96"/>
      <c r="FM1" s="96"/>
      <c r="FN1" s="96"/>
      <c r="FO1" s="97" t="s">
        <v>117</v>
      </c>
      <c r="FP1" s="97"/>
      <c r="FQ1" s="97"/>
      <c r="FR1" s="97"/>
      <c r="FS1" s="97"/>
      <c r="FT1" s="97"/>
      <c r="FU1" s="97"/>
      <c r="FV1" s="97"/>
      <c r="FW1" s="97"/>
      <c r="FX1" s="97"/>
      <c r="FY1" s="97"/>
      <c r="FZ1" s="97"/>
      <c r="GA1" s="97"/>
      <c r="GB1" s="97"/>
      <c r="GC1" s="97"/>
      <c r="GD1" s="97"/>
      <c r="GE1" s="97"/>
      <c r="GF1" s="97"/>
      <c r="GG1" s="97"/>
      <c r="GH1" s="97"/>
      <c r="GI1" s="97"/>
      <c r="GJ1" s="96" t="s">
        <v>118</v>
      </c>
      <c r="GK1" s="96"/>
      <c r="GL1" s="96"/>
      <c r="GM1" s="96"/>
      <c r="GN1" s="96"/>
      <c r="GO1" s="96"/>
      <c r="GP1" s="96"/>
      <c r="GQ1" s="96"/>
      <c r="GR1" s="96"/>
      <c r="GS1" s="96"/>
      <c r="GT1" s="96"/>
      <c r="GU1" s="96"/>
      <c r="GV1" s="96"/>
      <c r="GW1" s="96"/>
      <c r="GX1" s="96"/>
      <c r="GY1" s="96"/>
      <c r="GZ1" s="96"/>
      <c r="HA1" s="96"/>
      <c r="HB1" s="96"/>
      <c r="HC1" s="96"/>
      <c r="HD1" s="96"/>
      <c r="HE1" s="97" t="s">
        <v>119</v>
      </c>
      <c r="HF1" s="97"/>
      <c r="HG1" s="97"/>
      <c r="HH1" s="97"/>
      <c r="HI1" s="97"/>
      <c r="HJ1" s="97"/>
      <c r="HK1" s="97"/>
      <c r="HL1" s="97"/>
      <c r="HM1" s="97"/>
      <c r="HN1" s="97"/>
      <c r="HO1" s="97"/>
      <c r="HP1" s="97"/>
      <c r="HQ1" s="97"/>
      <c r="HR1" s="97"/>
      <c r="HS1" s="97"/>
      <c r="HT1" s="97"/>
      <c r="HU1" s="97"/>
      <c r="HV1" s="97"/>
      <c r="HW1" s="97"/>
      <c r="HX1" s="97"/>
      <c r="HY1" s="97"/>
      <c r="HZ1" s="96" t="s">
        <v>139</v>
      </c>
      <c r="IA1" s="96"/>
      <c r="IB1" s="96"/>
      <c r="IC1" s="96"/>
      <c r="ID1" s="96"/>
      <c r="IE1" s="96"/>
      <c r="IF1" s="96"/>
      <c r="IG1" s="96"/>
      <c r="IH1" s="96"/>
      <c r="II1" s="96"/>
      <c r="IJ1" s="96"/>
      <c r="IK1" s="96"/>
      <c r="IL1" s="96"/>
      <c r="IM1" s="96"/>
      <c r="IN1" s="96"/>
      <c r="IO1" s="96"/>
      <c r="IP1" s="96"/>
      <c r="IQ1" s="96"/>
      <c r="IR1" s="96"/>
      <c r="IS1" s="96"/>
      <c r="IT1" s="96"/>
      <c r="IU1" s="97" t="s">
        <v>152</v>
      </c>
      <c r="IV1" s="97"/>
      <c r="IW1" s="97"/>
      <c r="IX1" s="97"/>
      <c r="IY1" s="97"/>
      <c r="IZ1" s="97"/>
      <c r="JA1" s="97"/>
      <c r="JB1" s="97"/>
      <c r="JC1" s="97"/>
      <c r="JD1" s="97"/>
      <c r="JE1" s="97"/>
      <c r="JF1" s="97"/>
      <c r="JG1" s="97"/>
      <c r="JH1" s="97"/>
      <c r="JI1" s="97"/>
      <c r="JJ1" s="97"/>
      <c r="JK1" s="97"/>
      <c r="JL1" s="97"/>
      <c r="JM1" s="97"/>
      <c r="JN1" s="97"/>
      <c r="JO1" s="97"/>
      <c r="JP1" s="96" t="s">
        <v>138</v>
      </c>
      <c r="JQ1" s="96"/>
      <c r="JR1" s="96"/>
      <c r="JS1" s="96"/>
      <c r="JT1" s="96"/>
      <c r="JU1" s="96"/>
      <c r="JV1" s="96"/>
      <c r="JW1" s="96"/>
      <c r="JX1" s="96"/>
      <c r="JY1" s="96"/>
      <c r="JZ1" s="96"/>
      <c r="KA1" s="96"/>
      <c r="KB1" s="96"/>
      <c r="KC1" s="96"/>
      <c r="KD1" s="96"/>
      <c r="KE1" s="96"/>
      <c r="KF1" s="96"/>
      <c r="KG1" s="96"/>
      <c r="KH1" s="96"/>
      <c r="KI1" s="96"/>
      <c r="KJ1" s="96"/>
      <c r="KK1" s="97"/>
      <c r="KL1" s="97"/>
      <c r="KM1" s="97"/>
      <c r="KN1" s="97"/>
      <c r="KO1" s="97"/>
      <c r="KP1" s="97"/>
      <c r="KQ1" s="97"/>
      <c r="KR1" s="97"/>
      <c r="KS1" s="97"/>
      <c r="KT1" s="97"/>
      <c r="KU1" s="97"/>
      <c r="KV1" s="97"/>
      <c r="KW1" s="97"/>
      <c r="KX1" s="97"/>
      <c r="KY1" s="97"/>
      <c r="KZ1" s="97"/>
      <c r="LA1" s="97"/>
      <c r="LB1" s="97"/>
      <c r="LC1" s="97"/>
      <c r="LD1" s="97"/>
      <c r="LE1" s="97"/>
      <c r="LF1" s="96"/>
      <c r="LG1" s="96"/>
      <c r="LH1" s="96"/>
      <c r="LI1" s="96"/>
      <c r="LJ1" s="96"/>
      <c r="LK1" s="96"/>
      <c r="LL1" s="96"/>
      <c r="LM1" s="96"/>
      <c r="LN1" s="96"/>
      <c r="LO1" s="96"/>
      <c r="LP1" s="96"/>
      <c r="LQ1" s="96"/>
      <c r="LR1" s="96"/>
      <c r="LS1" s="96"/>
      <c r="LT1" s="96"/>
      <c r="LU1" s="96"/>
      <c r="LV1" s="96"/>
      <c r="LW1" s="96"/>
      <c r="LX1" s="96"/>
      <c r="LY1" s="96"/>
      <c r="LZ1" s="96"/>
    </row>
    <row r="2" spans="1:338" x14ac:dyDescent="0.2">
      <c r="A2" s="101"/>
      <c r="B2" s="101"/>
      <c r="C2" s="101"/>
      <c r="D2" s="101"/>
      <c r="E2" s="101"/>
      <c r="F2" s="104"/>
      <c r="G2" s="104"/>
      <c r="H2" s="101"/>
      <c r="I2" s="101"/>
      <c r="J2" s="102"/>
      <c r="K2" s="102"/>
      <c r="L2" s="102"/>
      <c r="M2" s="102"/>
      <c r="N2" s="102"/>
      <c r="O2" s="102"/>
      <c r="P2" s="102"/>
      <c r="Q2" s="102"/>
      <c r="R2" s="103"/>
      <c r="S2" s="102"/>
      <c r="T2" s="102"/>
      <c r="U2" s="98" t="s">
        <v>33</v>
      </c>
      <c r="V2" s="98"/>
      <c r="W2" s="98"/>
      <c r="X2" s="98"/>
      <c r="Y2" s="98"/>
      <c r="Z2" s="98" t="s">
        <v>34</v>
      </c>
      <c r="AA2" s="98"/>
      <c r="AB2" s="98"/>
      <c r="AC2" s="98"/>
      <c r="AD2" s="98"/>
      <c r="AE2" s="98" t="s">
        <v>37</v>
      </c>
      <c r="AF2" s="98"/>
      <c r="AG2" s="98"/>
      <c r="AH2" s="98"/>
      <c r="AI2" s="98"/>
      <c r="AJ2" s="73" t="s">
        <v>40</v>
      </c>
      <c r="AK2" s="11" t="s">
        <v>35</v>
      </c>
      <c r="AL2" s="11" t="s">
        <v>36</v>
      </c>
      <c r="AM2" s="11" t="s">
        <v>38</v>
      </c>
      <c r="AN2" s="11" t="s">
        <v>37</v>
      </c>
      <c r="AO2" s="11" t="s">
        <v>32</v>
      </c>
      <c r="AP2" s="99" t="s">
        <v>33</v>
      </c>
      <c r="AQ2" s="99"/>
      <c r="AR2" s="99"/>
      <c r="AS2" s="99"/>
      <c r="AT2" s="99"/>
      <c r="AU2" s="99" t="s">
        <v>34</v>
      </c>
      <c r="AV2" s="99"/>
      <c r="AW2" s="99"/>
      <c r="AX2" s="99"/>
      <c r="AY2" s="99"/>
      <c r="AZ2" s="99" t="s">
        <v>37</v>
      </c>
      <c r="BA2" s="99"/>
      <c r="BB2" s="99"/>
      <c r="BC2" s="99"/>
      <c r="BD2" s="99"/>
      <c r="BE2" s="72" t="s">
        <v>40</v>
      </c>
      <c r="BF2" s="14" t="s">
        <v>35</v>
      </c>
      <c r="BG2" s="14" t="s">
        <v>36</v>
      </c>
      <c r="BH2" s="14" t="s">
        <v>38</v>
      </c>
      <c r="BI2" s="14" t="s">
        <v>37</v>
      </c>
      <c r="BJ2" s="14" t="s">
        <v>32</v>
      </c>
      <c r="BK2" s="98" t="s">
        <v>33</v>
      </c>
      <c r="BL2" s="98"/>
      <c r="BM2" s="98"/>
      <c r="BN2" s="98"/>
      <c r="BO2" s="98"/>
      <c r="BP2" s="98" t="s">
        <v>34</v>
      </c>
      <c r="BQ2" s="98"/>
      <c r="BR2" s="98"/>
      <c r="BS2" s="98"/>
      <c r="BT2" s="98"/>
      <c r="BU2" s="98" t="s">
        <v>37</v>
      </c>
      <c r="BV2" s="98"/>
      <c r="BW2" s="98"/>
      <c r="BX2" s="98"/>
      <c r="BY2" s="98"/>
      <c r="BZ2" s="10" t="s">
        <v>40</v>
      </c>
      <c r="CA2" s="11" t="s">
        <v>35</v>
      </c>
      <c r="CB2" s="11" t="s">
        <v>36</v>
      </c>
      <c r="CC2" s="11" t="s">
        <v>38</v>
      </c>
      <c r="CD2" s="11" t="s">
        <v>37</v>
      </c>
      <c r="CE2" s="11" t="s">
        <v>32</v>
      </c>
      <c r="CF2" s="28" t="s">
        <v>35</v>
      </c>
      <c r="CG2" s="28" t="s">
        <v>36</v>
      </c>
      <c r="CH2" s="28" t="s">
        <v>37</v>
      </c>
      <c r="CI2" s="98" t="s">
        <v>33</v>
      </c>
      <c r="CJ2" s="98"/>
      <c r="CK2" s="98"/>
      <c r="CL2" s="98"/>
      <c r="CM2" s="98"/>
      <c r="CN2" s="98" t="s">
        <v>34</v>
      </c>
      <c r="CO2" s="98"/>
      <c r="CP2" s="98"/>
      <c r="CQ2" s="98"/>
      <c r="CR2" s="98"/>
      <c r="CS2" s="98" t="s">
        <v>37</v>
      </c>
      <c r="CT2" s="98"/>
      <c r="CU2" s="98"/>
      <c r="CV2" s="98"/>
      <c r="CW2" s="98"/>
      <c r="CX2" s="73" t="s">
        <v>40</v>
      </c>
      <c r="CY2" s="11" t="s">
        <v>35</v>
      </c>
      <c r="CZ2" s="11" t="s">
        <v>36</v>
      </c>
      <c r="DA2" s="11" t="s">
        <v>38</v>
      </c>
      <c r="DB2" s="11" t="s">
        <v>37</v>
      </c>
      <c r="DC2" s="11" t="s">
        <v>32</v>
      </c>
      <c r="DD2" s="99" t="s">
        <v>33</v>
      </c>
      <c r="DE2" s="99"/>
      <c r="DF2" s="99"/>
      <c r="DG2" s="99"/>
      <c r="DH2" s="99"/>
      <c r="DI2" s="99" t="s">
        <v>34</v>
      </c>
      <c r="DJ2" s="99"/>
      <c r="DK2" s="99"/>
      <c r="DL2" s="99"/>
      <c r="DM2" s="99"/>
      <c r="DN2" s="99" t="s">
        <v>37</v>
      </c>
      <c r="DO2" s="99"/>
      <c r="DP2" s="99"/>
      <c r="DQ2" s="99"/>
      <c r="DR2" s="99"/>
      <c r="DS2" s="72" t="s">
        <v>40</v>
      </c>
      <c r="DT2" s="14" t="s">
        <v>35</v>
      </c>
      <c r="DU2" s="14" t="s">
        <v>36</v>
      </c>
      <c r="DV2" s="14" t="s">
        <v>38</v>
      </c>
      <c r="DW2" s="14" t="s">
        <v>37</v>
      </c>
      <c r="DX2" s="14" t="s">
        <v>32</v>
      </c>
      <c r="DY2" s="98" t="s">
        <v>33</v>
      </c>
      <c r="DZ2" s="98"/>
      <c r="EA2" s="98"/>
      <c r="EB2" s="98"/>
      <c r="EC2" s="98"/>
      <c r="ED2" s="98" t="s">
        <v>34</v>
      </c>
      <c r="EE2" s="98"/>
      <c r="EF2" s="98"/>
      <c r="EG2" s="98"/>
      <c r="EH2" s="98"/>
      <c r="EI2" s="98" t="s">
        <v>37</v>
      </c>
      <c r="EJ2" s="98"/>
      <c r="EK2" s="98"/>
      <c r="EL2" s="98"/>
      <c r="EM2" s="98"/>
      <c r="EN2" s="73" t="s">
        <v>40</v>
      </c>
      <c r="EO2" s="11" t="s">
        <v>35</v>
      </c>
      <c r="EP2" s="11" t="s">
        <v>36</v>
      </c>
      <c r="EQ2" s="11" t="s">
        <v>38</v>
      </c>
      <c r="ER2" s="11" t="s">
        <v>37</v>
      </c>
      <c r="ES2" s="11" t="s">
        <v>32</v>
      </c>
      <c r="ET2" s="99" t="s">
        <v>33</v>
      </c>
      <c r="EU2" s="99"/>
      <c r="EV2" s="99"/>
      <c r="EW2" s="99"/>
      <c r="EX2" s="99"/>
      <c r="EY2" s="99" t="s">
        <v>34</v>
      </c>
      <c r="EZ2" s="99"/>
      <c r="FA2" s="99"/>
      <c r="FB2" s="99"/>
      <c r="FC2" s="99"/>
      <c r="FD2" s="99" t="s">
        <v>37</v>
      </c>
      <c r="FE2" s="99"/>
      <c r="FF2" s="99"/>
      <c r="FG2" s="99"/>
      <c r="FH2" s="99"/>
      <c r="FI2" s="72" t="s">
        <v>40</v>
      </c>
      <c r="FJ2" s="14" t="s">
        <v>35</v>
      </c>
      <c r="FK2" s="14" t="s">
        <v>36</v>
      </c>
      <c r="FL2" s="14" t="s">
        <v>38</v>
      </c>
      <c r="FM2" s="14" t="s">
        <v>37</v>
      </c>
      <c r="FN2" s="14" t="s">
        <v>32</v>
      </c>
      <c r="FO2" s="98" t="s">
        <v>33</v>
      </c>
      <c r="FP2" s="98"/>
      <c r="FQ2" s="98"/>
      <c r="FR2" s="98"/>
      <c r="FS2" s="98"/>
      <c r="FT2" s="98" t="s">
        <v>34</v>
      </c>
      <c r="FU2" s="98"/>
      <c r="FV2" s="98"/>
      <c r="FW2" s="98"/>
      <c r="FX2" s="98"/>
      <c r="FY2" s="98" t="s">
        <v>37</v>
      </c>
      <c r="FZ2" s="98"/>
      <c r="GA2" s="98"/>
      <c r="GB2" s="98"/>
      <c r="GC2" s="98"/>
      <c r="GD2" s="73" t="s">
        <v>40</v>
      </c>
      <c r="GE2" s="11" t="s">
        <v>35</v>
      </c>
      <c r="GF2" s="11" t="s">
        <v>36</v>
      </c>
      <c r="GG2" s="11" t="s">
        <v>38</v>
      </c>
      <c r="GH2" s="11" t="s">
        <v>37</v>
      </c>
      <c r="GI2" s="11" t="s">
        <v>32</v>
      </c>
      <c r="GJ2" s="99" t="s">
        <v>33</v>
      </c>
      <c r="GK2" s="99"/>
      <c r="GL2" s="99"/>
      <c r="GM2" s="99"/>
      <c r="GN2" s="99"/>
      <c r="GO2" s="99" t="s">
        <v>34</v>
      </c>
      <c r="GP2" s="99"/>
      <c r="GQ2" s="99"/>
      <c r="GR2" s="99"/>
      <c r="GS2" s="99"/>
      <c r="GT2" s="99" t="s">
        <v>37</v>
      </c>
      <c r="GU2" s="99"/>
      <c r="GV2" s="99"/>
      <c r="GW2" s="99"/>
      <c r="GX2" s="99"/>
      <c r="GY2" s="72" t="s">
        <v>40</v>
      </c>
      <c r="GZ2" s="14" t="s">
        <v>35</v>
      </c>
      <c r="HA2" s="14" t="s">
        <v>36</v>
      </c>
      <c r="HB2" s="14" t="s">
        <v>38</v>
      </c>
      <c r="HC2" s="14" t="s">
        <v>37</v>
      </c>
      <c r="HD2" s="14" t="s">
        <v>32</v>
      </c>
      <c r="HE2" s="98" t="s">
        <v>33</v>
      </c>
      <c r="HF2" s="98"/>
      <c r="HG2" s="98"/>
      <c r="HH2" s="98"/>
      <c r="HI2" s="98"/>
      <c r="HJ2" s="98" t="s">
        <v>34</v>
      </c>
      <c r="HK2" s="98"/>
      <c r="HL2" s="98"/>
      <c r="HM2" s="98"/>
      <c r="HN2" s="98"/>
      <c r="HO2" s="98" t="s">
        <v>37</v>
      </c>
      <c r="HP2" s="98"/>
      <c r="HQ2" s="98"/>
      <c r="HR2" s="98"/>
      <c r="HS2" s="98"/>
      <c r="HT2" s="25" t="s">
        <v>40</v>
      </c>
      <c r="HU2" s="11" t="s">
        <v>35</v>
      </c>
      <c r="HV2" s="11" t="s">
        <v>36</v>
      </c>
      <c r="HW2" s="11" t="s">
        <v>38</v>
      </c>
      <c r="HX2" s="11" t="s">
        <v>37</v>
      </c>
      <c r="HY2" s="11" t="s">
        <v>32</v>
      </c>
      <c r="HZ2" s="99" t="s">
        <v>33</v>
      </c>
      <c r="IA2" s="99"/>
      <c r="IB2" s="99"/>
      <c r="IC2" s="99"/>
      <c r="ID2" s="99"/>
      <c r="IE2" s="99" t="s">
        <v>34</v>
      </c>
      <c r="IF2" s="99"/>
      <c r="IG2" s="99"/>
      <c r="IH2" s="99"/>
      <c r="II2" s="99"/>
      <c r="IJ2" s="99" t="s">
        <v>37</v>
      </c>
      <c r="IK2" s="99"/>
      <c r="IL2" s="99"/>
      <c r="IM2" s="99"/>
      <c r="IN2" s="99"/>
      <c r="IO2" s="72" t="s">
        <v>40</v>
      </c>
      <c r="IP2" s="14" t="s">
        <v>35</v>
      </c>
      <c r="IQ2" s="14" t="s">
        <v>36</v>
      </c>
      <c r="IR2" s="14" t="s">
        <v>38</v>
      </c>
      <c r="IS2" s="14" t="s">
        <v>37</v>
      </c>
      <c r="IT2" s="14" t="s">
        <v>32</v>
      </c>
      <c r="IU2" s="98" t="s">
        <v>33</v>
      </c>
      <c r="IV2" s="98"/>
      <c r="IW2" s="98"/>
      <c r="IX2" s="98"/>
      <c r="IY2" s="98"/>
      <c r="IZ2" s="98" t="s">
        <v>34</v>
      </c>
      <c r="JA2" s="98"/>
      <c r="JB2" s="98"/>
      <c r="JC2" s="98"/>
      <c r="JD2" s="98"/>
      <c r="JE2" s="98" t="s">
        <v>37</v>
      </c>
      <c r="JF2" s="98"/>
      <c r="JG2" s="98"/>
      <c r="JH2" s="98"/>
      <c r="JI2" s="98"/>
      <c r="JJ2" s="25" t="s">
        <v>40</v>
      </c>
      <c r="JK2" s="11" t="s">
        <v>35</v>
      </c>
      <c r="JL2" s="11" t="s">
        <v>36</v>
      </c>
      <c r="JM2" s="11" t="s">
        <v>38</v>
      </c>
      <c r="JN2" s="11" t="s">
        <v>37</v>
      </c>
      <c r="JO2" s="11" t="s">
        <v>32</v>
      </c>
      <c r="JP2" s="99" t="s">
        <v>33</v>
      </c>
      <c r="JQ2" s="99"/>
      <c r="JR2" s="99"/>
      <c r="JS2" s="99"/>
      <c r="JT2" s="99"/>
      <c r="JU2" s="99" t="s">
        <v>34</v>
      </c>
      <c r="JV2" s="99"/>
      <c r="JW2" s="99"/>
      <c r="JX2" s="99"/>
      <c r="JY2" s="99"/>
      <c r="JZ2" s="99" t="s">
        <v>37</v>
      </c>
      <c r="KA2" s="99"/>
      <c r="KB2" s="99"/>
      <c r="KC2" s="99"/>
      <c r="KD2" s="99"/>
      <c r="KE2" s="24" t="s">
        <v>40</v>
      </c>
      <c r="KF2" s="14" t="s">
        <v>35</v>
      </c>
      <c r="KG2" s="14" t="s">
        <v>36</v>
      </c>
      <c r="KH2" s="14" t="s">
        <v>38</v>
      </c>
      <c r="KI2" s="14" t="s">
        <v>37</v>
      </c>
      <c r="KJ2" s="14" t="s">
        <v>32</v>
      </c>
      <c r="KK2" s="98" t="s">
        <v>33</v>
      </c>
      <c r="KL2" s="98"/>
      <c r="KM2" s="98"/>
      <c r="KN2" s="98"/>
      <c r="KO2" s="98"/>
      <c r="KP2" s="98" t="s">
        <v>34</v>
      </c>
      <c r="KQ2" s="98"/>
      <c r="KR2" s="98"/>
      <c r="KS2" s="98"/>
      <c r="KT2" s="98"/>
      <c r="KU2" s="98" t="s">
        <v>37</v>
      </c>
      <c r="KV2" s="98"/>
      <c r="KW2" s="98"/>
      <c r="KX2" s="98"/>
      <c r="KY2" s="98"/>
      <c r="KZ2" s="25" t="s">
        <v>40</v>
      </c>
      <c r="LA2" s="11" t="s">
        <v>35</v>
      </c>
      <c r="LB2" s="11" t="s">
        <v>36</v>
      </c>
      <c r="LC2" s="11" t="s">
        <v>38</v>
      </c>
      <c r="LD2" s="11" t="s">
        <v>37</v>
      </c>
      <c r="LE2" s="11" t="s">
        <v>32</v>
      </c>
      <c r="LF2" s="99" t="s">
        <v>33</v>
      </c>
      <c r="LG2" s="99"/>
      <c r="LH2" s="99"/>
      <c r="LI2" s="99"/>
      <c r="LJ2" s="99"/>
      <c r="LK2" s="99" t="s">
        <v>34</v>
      </c>
      <c r="LL2" s="99"/>
      <c r="LM2" s="99"/>
      <c r="LN2" s="99"/>
      <c r="LO2" s="99"/>
      <c r="LP2" s="99" t="s">
        <v>37</v>
      </c>
      <c r="LQ2" s="99"/>
      <c r="LR2" s="99"/>
      <c r="LS2" s="99"/>
      <c r="LT2" s="99"/>
      <c r="LU2" s="24" t="s">
        <v>40</v>
      </c>
      <c r="LV2" s="14" t="s">
        <v>35</v>
      </c>
      <c r="LW2" s="14" t="s">
        <v>36</v>
      </c>
      <c r="LX2" s="14" t="s">
        <v>38</v>
      </c>
      <c r="LY2" s="14" t="s">
        <v>37</v>
      </c>
      <c r="LZ2" s="14" t="s">
        <v>32</v>
      </c>
    </row>
    <row r="3" spans="1:338" x14ac:dyDescent="0.2">
      <c r="A3" s="101"/>
      <c r="B3" s="101"/>
      <c r="C3" s="101"/>
      <c r="D3" s="101"/>
      <c r="E3" s="101"/>
      <c r="F3" s="104"/>
      <c r="G3" s="104"/>
      <c r="H3" s="101"/>
      <c r="I3" s="101"/>
      <c r="J3" s="102"/>
      <c r="K3" s="102"/>
      <c r="L3" s="102"/>
      <c r="M3" s="102"/>
      <c r="N3" s="102"/>
      <c r="O3" s="102"/>
      <c r="P3" s="102"/>
      <c r="Q3" s="102"/>
      <c r="R3" s="103"/>
      <c r="S3" s="102"/>
      <c r="T3" s="102"/>
      <c r="U3" s="73" t="s">
        <v>29</v>
      </c>
      <c r="V3" s="73" t="s">
        <v>30</v>
      </c>
      <c r="W3" s="73" t="s">
        <v>21</v>
      </c>
      <c r="X3" s="73" t="s">
        <v>31</v>
      </c>
      <c r="Y3" s="73" t="s">
        <v>57</v>
      </c>
      <c r="Z3" s="73" t="s">
        <v>29</v>
      </c>
      <c r="AA3" s="73" t="s">
        <v>30</v>
      </c>
      <c r="AB3" s="73" t="s">
        <v>21</v>
      </c>
      <c r="AC3" s="73" t="s">
        <v>31</v>
      </c>
      <c r="AD3" s="73" t="s">
        <v>57</v>
      </c>
      <c r="AE3" s="73" t="s">
        <v>29</v>
      </c>
      <c r="AF3" s="73" t="s">
        <v>30</v>
      </c>
      <c r="AG3" s="73" t="s">
        <v>21</v>
      </c>
      <c r="AH3" s="73" t="s">
        <v>31</v>
      </c>
      <c r="AI3" s="73" t="s">
        <v>57</v>
      </c>
      <c r="AJ3" s="12"/>
      <c r="AK3" s="11"/>
      <c r="AL3" s="11"/>
      <c r="AM3" s="11"/>
      <c r="AN3" s="12"/>
      <c r="AO3" s="12"/>
      <c r="AP3" s="72" t="s">
        <v>29</v>
      </c>
      <c r="AQ3" s="72" t="s">
        <v>30</v>
      </c>
      <c r="AR3" s="72" t="s">
        <v>21</v>
      </c>
      <c r="AS3" s="72" t="s">
        <v>31</v>
      </c>
      <c r="AT3" s="72" t="s">
        <v>57</v>
      </c>
      <c r="AU3" s="72" t="s">
        <v>29</v>
      </c>
      <c r="AV3" s="72" t="s">
        <v>30</v>
      </c>
      <c r="AW3" s="72" t="s">
        <v>21</v>
      </c>
      <c r="AX3" s="72" t="s">
        <v>31</v>
      </c>
      <c r="AY3" s="72" t="s">
        <v>57</v>
      </c>
      <c r="AZ3" s="72" t="s">
        <v>29</v>
      </c>
      <c r="BA3" s="72" t="s">
        <v>30</v>
      </c>
      <c r="BB3" s="72" t="s">
        <v>21</v>
      </c>
      <c r="BC3" s="72" t="s">
        <v>31</v>
      </c>
      <c r="BD3" s="72" t="s">
        <v>57</v>
      </c>
      <c r="BE3" s="15"/>
      <c r="BF3" s="14"/>
      <c r="BG3" s="14"/>
      <c r="BH3" s="14"/>
      <c r="BI3" s="15"/>
      <c r="BJ3" s="15"/>
      <c r="BK3" s="35" t="s">
        <v>29</v>
      </c>
      <c r="BL3" s="35" t="s">
        <v>30</v>
      </c>
      <c r="BM3" s="35" t="s">
        <v>21</v>
      </c>
      <c r="BN3" s="35" t="s">
        <v>31</v>
      </c>
      <c r="BO3" s="61" t="s">
        <v>57</v>
      </c>
      <c r="BP3" s="35" t="s">
        <v>29</v>
      </c>
      <c r="BQ3" s="35" t="s">
        <v>30</v>
      </c>
      <c r="BR3" s="35" t="s">
        <v>21</v>
      </c>
      <c r="BS3" s="35" t="s">
        <v>31</v>
      </c>
      <c r="BT3" s="61" t="s">
        <v>57</v>
      </c>
      <c r="BU3" s="35" t="s">
        <v>29</v>
      </c>
      <c r="BV3" s="35" t="s">
        <v>30</v>
      </c>
      <c r="BW3" s="35" t="s">
        <v>21</v>
      </c>
      <c r="BX3" s="35" t="s">
        <v>31</v>
      </c>
      <c r="BY3" s="61" t="s">
        <v>57</v>
      </c>
      <c r="BZ3" s="12"/>
      <c r="CA3" s="11"/>
      <c r="CB3" s="11"/>
      <c r="CC3" s="11"/>
      <c r="CD3" s="12"/>
      <c r="CE3" s="12"/>
      <c r="CF3" s="29"/>
      <c r="CG3" s="29"/>
      <c r="CH3" s="29"/>
      <c r="CI3" s="73" t="s">
        <v>29</v>
      </c>
      <c r="CJ3" s="73" t="s">
        <v>30</v>
      </c>
      <c r="CK3" s="73" t="s">
        <v>21</v>
      </c>
      <c r="CL3" s="73" t="s">
        <v>31</v>
      </c>
      <c r="CM3" s="73" t="s">
        <v>57</v>
      </c>
      <c r="CN3" s="73" t="s">
        <v>29</v>
      </c>
      <c r="CO3" s="73" t="s">
        <v>30</v>
      </c>
      <c r="CP3" s="73" t="s">
        <v>21</v>
      </c>
      <c r="CQ3" s="73" t="s">
        <v>31</v>
      </c>
      <c r="CR3" s="73" t="s">
        <v>57</v>
      </c>
      <c r="CS3" s="73" t="s">
        <v>29</v>
      </c>
      <c r="CT3" s="73" t="s">
        <v>30</v>
      </c>
      <c r="CU3" s="73" t="s">
        <v>21</v>
      </c>
      <c r="CV3" s="73" t="s">
        <v>31</v>
      </c>
      <c r="CW3" s="73" t="s">
        <v>57</v>
      </c>
      <c r="CX3" s="12"/>
      <c r="CY3" s="11"/>
      <c r="CZ3" s="11"/>
      <c r="DA3" s="11"/>
      <c r="DB3" s="12"/>
      <c r="DC3" s="12"/>
      <c r="DD3" s="72" t="s">
        <v>29</v>
      </c>
      <c r="DE3" s="72" t="s">
        <v>30</v>
      </c>
      <c r="DF3" s="72" t="s">
        <v>21</v>
      </c>
      <c r="DG3" s="72" t="s">
        <v>31</v>
      </c>
      <c r="DH3" s="72" t="s">
        <v>57</v>
      </c>
      <c r="DI3" s="72" t="s">
        <v>29</v>
      </c>
      <c r="DJ3" s="72" t="s">
        <v>30</v>
      </c>
      <c r="DK3" s="72" t="s">
        <v>21</v>
      </c>
      <c r="DL3" s="72" t="s">
        <v>31</v>
      </c>
      <c r="DM3" s="72" t="s">
        <v>57</v>
      </c>
      <c r="DN3" s="72" t="s">
        <v>29</v>
      </c>
      <c r="DO3" s="72" t="s">
        <v>30</v>
      </c>
      <c r="DP3" s="72" t="s">
        <v>21</v>
      </c>
      <c r="DQ3" s="72" t="s">
        <v>31</v>
      </c>
      <c r="DR3" s="72" t="s">
        <v>57</v>
      </c>
      <c r="DS3" s="15"/>
      <c r="DT3" s="14"/>
      <c r="DU3" s="14"/>
      <c r="DV3" s="14"/>
      <c r="DW3" s="15"/>
      <c r="DX3" s="15"/>
      <c r="DY3" s="73" t="s">
        <v>29</v>
      </c>
      <c r="DZ3" s="73" t="s">
        <v>30</v>
      </c>
      <c r="EA3" s="73" t="s">
        <v>21</v>
      </c>
      <c r="EB3" s="73" t="s">
        <v>31</v>
      </c>
      <c r="EC3" s="73" t="s">
        <v>57</v>
      </c>
      <c r="ED3" s="73" t="s">
        <v>29</v>
      </c>
      <c r="EE3" s="73" t="s">
        <v>30</v>
      </c>
      <c r="EF3" s="73" t="s">
        <v>21</v>
      </c>
      <c r="EG3" s="73" t="s">
        <v>31</v>
      </c>
      <c r="EH3" s="73" t="s">
        <v>57</v>
      </c>
      <c r="EI3" s="73" t="s">
        <v>29</v>
      </c>
      <c r="EJ3" s="73" t="s">
        <v>30</v>
      </c>
      <c r="EK3" s="73" t="s">
        <v>21</v>
      </c>
      <c r="EL3" s="73" t="s">
        <v>31</v>
      </c>
      <c r="EM3" s="73" t="s">
        <v>57</v>
      </c>
      <c r="EN3" s="12"/>
      <c r="EO3" s="11"/>
      <c r="EP3" s="11"/>
      <c r="EQ3" s="11"/>
      <c r="ER3" s="12"/>
      <c r="ES3" s="12"/>
      <c r="ET3" s="72" t="s">
        <v>29</v>
      </c>
      <c r="EU3" s="72" t="s">
        <v>30</v>
      </c>
      <c r="EV3" s="72" t="s">
        <v>21</v>
      </c>
      <c r="EW3" s="72" t="s">
        <v>31</v>
      </c>
      <c r="EX3" s="72" t="s">
        <v>57</v>
      </c>
      <c r="EY3" s="72" t="s">
        <v>29</v>
      </c>
      <c r="EZ3" s="72" t="s">
        <v>30</v>
      </c>
      <c r="FA3" s="72" t="s">
        <v>21</v>
      </c>
      <c r="FB3" s="72" t="s">
        <v>31</v>
      </c>
      <c r="FC3" s="72" t="s">
        <v>57</v>
      </c>
      <c r="FD3" s="72" t="s">
        <v>29</v>
      </c>
      <c r="FE3" s="72" t="s">
        <v>30</v>
      </c>
      <c r="FF3" s="72" t="s">
        <v>21</v>
      </c>
      <c r="FG3" s="72" t="s">
        <v>31</v>
      </c>
      <c r="FH3" s="72" t="s">
        <v>57</v>
      </c>
      <c r="FI3" s="15"/>
      <c r="FJ3" s="14"/>
      <c r="FK3" s="14"/>
      <c r="FL3" s="14"/>
      <c r="FM3" s="15"/>
      <c r="FN3" s="15"/>
      <c r="FO3" s="73" t="s">
        <v>29</v>
      </c>
      <c r="FP3" s="73" t="s">
        <v>30</v>
      </c>
      <c r="FQ3" s="73" t="s">
        <v>21</v>
      </c>
      <c r="FR3" s="73" t="s">
        <v>31</v>
      </c>
      <c r="FS3" s="73" t="s">
        <v>57</v>
      </c>
      <c r="FT3" s="73" t="s">
        <v>29</v>
      </c>
      <c r="FU3" s="73" t="s">
        <v>30</v>
      </c>
      <c r="FV3" s="73" t="s">
        <v>21</v>
      </c>
      <c r="FW3" s="73" t="s">
        <v>31</v>
      </c>
      <c r="FX3" s="73" t="s">
        <v>57</v>
      </c>
      <c r="FY3" s="73" t="s">
        <v>29</v>
      </c>
      <c r="FZ3" s="73" t="s">
        <v>30</v>
      </c>
      <c r="GA3" s="73" t="s">
        <v>21</v>
      </c>
      <c r="GB3" s="73" t="s">
        <v>31</v>
      </c>
      <c r="GC3" s="73" t="s">
        <v>57</v>
      </c>
      <c r="GD3" s="12"/>
      <c r="GE3" s="11"/>
      <c r="GF3" s="11"/>
      <c r="GG3" s="11"/>
      <c r="GH3" s="12"/>
      <c r="GI3" s="12"/>
      <c r="GJ3" s="72" t="s">
        <v>29</v>
      </c>
      <c r="GK3" s="72" t="s">
        <v>30</v>
      </c>
      <c r="GL3" s="72" t="s">
        <v>21</v>
      </c>
      <c r="GM3" s="72" t="s">
        <v>31</v>
      </c>
      <c r="GN3" s="72" t="s">
        <v>57</v>
      </c>
      <c r="GO3" s="72" t="s">
        <v>29</v>
      </c>
      <c r="GP3" s="72" t="s">
        <v>30</v>
      </c>
      <c r="GQ3" s="72" t="s">
        <v>21</v>
      </c>
      <c r="GR3" s="72" t="s">
        <v>31</v>
      </c>
      <c r="GS3" s="72" t="s">
        <v>57</v>
      </c>
      <c r="GT3" s="72" t="s">
        <v>29</v>
      </c>
      <c r="GU3" s="72" t="s">
        <v>30</v>
      </c>
      <c r="GV3" s="72" t="s">
        <v>21</v>
      </c>
      <c r="GW3" s="72" t="s">
        <v>31</v>
      </c>
      <c r="GX3" s="72" t="s">
        <v>57</v>
      </c>
      <c r="GY3" s="15"/>
      <c r="GZ3" s="14"/>
      <c r="HA3" s="14"/>
      <c r="HB3" s="14"/>
      <c r="HC3" s="15"/>
      <c r="HD3" s="15"/>
      <c r="HE3" s="35" t="s">
        <v>29</v>
      </c>
      <c r="HF3" s="35" t="s">
        <v>30</v>
      </c>
      <c r="HG3" s="35" t="s">
        <v>21</v>
      </c>
      <c r="HH3" s="35" t="s">
        <v>31</v>
      </c>
      <c r="HI3" s="61" t="s">
        <v>57</v>
      </c>
      <c r="HJ3" s="35" t="s">
        <v>29</v>
      </c>
      <c r="HK3" s="35" t="s">
        <v>30</v>
      </c>
      <c r="HL3" s="35" t="s">
        <v>21</v>
      </c>
      <c r="HM3" s="35" t="s">
        <v>31</v>
      </c>
      <c r="HN3" s="61" t="s">
        <v>57</v>
      </c>
      <c r="HO3" s="35" t="s">
        <v>29</v>
      </c>
      <c r="HP3" s="35" t="s">
        <v>30</v>
      </c>
      <c r="HQ3" s="35" t="s">
        <v>21</v>
      </c>
      <c r="HR3" s="35" t="s">
        <v>31</v>
      </c>
      <c r="HS3" s="61" t="s">
        <v>57</v>
      </c>
      <c r="HT3" s="12"/>
      <c r="HU3" s="11"/>
      <c r="HV3" s="11"/>
      <c r="HW3" s="11"/>
      <c r="HX3" s="12"/>
      <c r="HY3" s="12"/>
      <c r="HZ3" s="72" t="s">
        <v>29</v>
      </c>
      <c r="IA3" s="72" t="s">
        <v>30</v>
      </c>
      <c r="IB3" s="72" t="s">
        <v>21</v>
      </c>
      <c r="IC3" s="72" t="s">
        <v>31</v>
      </c>
      <c r="ID3" s="72" t="s">
        <v>57</v>
      </c>
      <c r="IE3" s="72" t="s">
        <v>29</v>
      </c>
      <c r="IF3" s="72" t="s">
        <v>30</v>
      </c>
      <c r="IG3" s="72" t="s">
        <v>21</v>
      </c>
      <c r="IH3" s="72" t="s">
        <v>31</v>
      </c>
      <c r="II3" s="72" t="s">
        <v>57</v>
      </c>
      <c r="IJ3" s="72" t="s">
        <v>29</v>
      </c>
      <c r="IK3" s="72" t="s">
        <v>30</v>
      </c>
      <c r="IL3" s="72" t="s">
        <v>21</v>
      </c>
      <c r="IM3" s="72" t="s">
        <v>31</v>
      </c>
      <c r="IN3" s="72" t="s">
        <v>57</v>
      </c>
      <c r="IO3" s="15"/>
      <c r="IP3" s="14"/>
      <c r="IQ3" s="14"/>
      <c r="IR3" s="14"/>
      <c r="IS3" s="15"/>
      <c r="IT3" s="15"/>
      <c r="IU3" s="35" t="s">
        <v>29</v>
      </c>
      <c r="IV3" s="35" t="s">
        <v>30</v>
      </c>
      <c r="IW3" s="35" t="s">
        <v>21</v>
      </c>
      <c r="IX3" s="35" t="s">
        <v>31</v>
      </c>
      <c r="IY3" s="61" t="s">
        <v>57</v>
      </c>
      <c r="IZ3" s="35" t="s">
        <v>29</v>
      </c>
      <c r="JA3" s="35" t="s">
        <v>30</v>
      </c>
      <c r="JB3" s="35" t="s">
        <v>21</v>
      </c>
      <c r="JC3" s="35" t="s">
        <v>31</v>
      </c>
      <c r="JD3" s="61" t="s">
        <v>57</v>
      </c>
      <c r="JE3" s="35" t="s">
        <v>29</v>
      </c>
      <c r="JF3" s="35" t="s">
        <v>30</v>
      </c>
      <c r="JG3" s="35" t="s">
        <v>21</v>
      </c>
      <c r="JH3" s="35" t="s">
        <v>31</v>
      </c>
      <c r="JI3" s="61" t="s">
        <v>57</v>
      </c>
      <c r="JJ3" s="12"/>
      <c r="JK3" s="11"/>
      <c r="JL3" s="11"/>
      <c r="JM3" s="11"/>
      <c r="JN3" s="12"/>
      <c r="JO3" s="12"/>
      <c r="JP3" s="34" t="s">
        <v>29</v>
      </c>
      <c r="JQ3" s="34" t="s">
        <v>30</v>
      </c>
      <c r="JR3" s="34" t="s">
        <v>21</v>
      </c>
      <c r="JS3" s="34" t="s">
        <v>31</v>
      </c>
      <c r="JT3" s="62" t="s">
        <v>57</v>
      </c>
      <c r="JU3" s="34" t="s">
        <v>29</v>
      </c>
      <c r="JV3" s="34" t="s">
        <v>30</v>
      </c>
      <c r="JW3" s="34" t="s">
        <v>21</v>
      </c>
      <c r="JX3" s="34" t="s">
        <v>31</v>
      </c>
      <c r="JY3" s="62" t="s">
        <v>57</v>
      </c>
      <c r="JZ3" s="34" t="s">
        <v>29</v>
      </c>
      <c r="KA3" s="34" t="s">
        <v>30</v>
      </c>
      <c r="KB3" s="34" t="s">
        <v>21</v>
      </c>
      <c r="KC3" s="34" t="s">
        <v>31</v>
      </c>
      <c r="KD3" s="62" t="s">
        <v>57</v>
      </c>
      <c r="KE3" s="15"/>
      <c r="KF3" s="14"/>
      <c r="KG3" s="14"/>
      <c r="KH3" s="14"/>
      <c r="KI3" s="15"/>
      <c r="KJ3" s="15"/>
      <c r="KK3" s="35" t="s">
        <v>29</v>
      </c>
      <c r="KL3" s="35" t="s">
        <v>30</v>
      </c>
      <c r="KM3" s="35" t="s">
        <v>21</v>
      </c>
      <c r="KN3" s="35" t="s">
        <v>31</v>
      </c>
      <c r="KO3" s="61" t="s">
        <v>57</v>
      </c>
      <c r="KP3" s="35" t="s">
        <v>29</v>
      </c>
      <c r="KQ3" s="35" t="s">
        <v>30</v>
      </c>
      <c r="KR3" s="35" t="s">
        <v>21</v>
      </c>
      <c r="KS3" s="35" t="s">
        <v>31</v>
      </c>
      <c r="KT3" s="61" t="s">
        <v>57</v>
      </c>
      <c r="KU3" s="35" t="s">
        <v>29</v>
      </c>
      <c r="KV3" s="35" t="s">
        <v>30</v>
      </c>
      <c r="KW3" s="35" t="s">
        <v>21</v>
      </c>
      <c r="KX3" s="35" t="s">
        <v>31</v>
      </c>
      <c r="KY3" s="61" t="s">
        <v>57</v>
      </c>
      <c r="KZ3" s="12"/>
      <c r="LA3" s="11"/>
      <c r="LB3" s="11"/>
      <c r="LC3" s="11"/>
      <c r="LD3" s="12"/>
      <c r="LE3" s="12"/>
      <c r="LF3" s="34" t="s">
        <v>29</v>
      </c>
      <c r="LG3" s="34" t="s">
        <v>30</v>
      </c>
      <c r="LH3" s="34" t="s">
        <v>21</v>
      </c>
      <c r="LI3" s="34" t="s">
        <v>31</v>
      </c>
      <c r="LJ3" s="62" t="s">
        <v>57</v>
      </c>
      <c r="LK3" s="62" t="s">
        <v>29</v>
      </c>
      <c r="LL3" s="34" t="s">
        <v>30</v>
      </c>
      <c r="LM3" s="34" t="s">
        <v>21</v>
      </c>
      <c r="LN3" s="34" t="s">
        <v>31</v>
      </c>
      <c r="LO3" s="62" t="s">
        <v>57</v>
      </c>
      <c r="LP3" s="34" t="s">
        <v>29</v>
      </c>
      <c r="LQ3" s="34" t="s">
        <v>30</v>
      </c>
      <c r="LR3" s="34" t="s">
        <v>21</v>
      </c>
      <c r="LS3" s="34" t="s">
        <v>31</v>
      </c>
      <c r="LT3" s="62" t="s">
        <v>57</v>
      </c>
      <c r="LU3" s="15"/>
      <c r="LV3" s="14"/>
      <c r="LW3" s="14"/>
      <c r="LX3" s="14"/>
      <c r="LY3" s="15"/>
      <c r="LZ3" s="15"/>
    </row>
    <row r="4" spans="1:338" x14ac:dyDescent="0.2">
      <c r="A4" s="6">
        <f t="shared" ref="A4:A13" si="0">IF(AND(F4="P",H4="P"),SUMPRODUCT((F$4:F$13="P")*(H$4:H$13="P")*(E$4:E$13&gt;E4))+1,IF(H4="P",SUMPRODUCT((F$4:F$13="")*(H$4:H$13="P")*(E$4:E$13&gt;E4))+1+SUMPRODUCT((F$4:F$13="P")*(H$4:H$13="P")),""))</f>
        <v>1</v>
      </c>
      <c r="B4" s="9" t="s">
        <v>43</v>
      </c>
      <c r="C4" s="5" t="s">
        <v>13</v>
      </c>
      <c r="D4" s="33">
        <v>2016</v>
      </c>
      <c r="E4" s="17">
        <f t="shared" ref="E4:E13" si="1">SUM(J4:R4)</f>
        <v>261.755</v>
      </c>
      <c r="F4" s="4" t="str">
        <f t="shared" ref="F4:F13" si="2">IF(OR(AND($AJ4&gt;=$AK$16,NOT($AJ4="")),AND($BE4&gt;=$BF$16,NOT($BE4="")),AND($BZ4&gt;=$CA$16,NOT($BZ4=""))),"P","")</f>
        <v>P</v>
      </c>
      <c r="G4" s="4" t="str">
        <f t="shared" ref="G4:G13" si="3">IF(OR(AND($AJ4&gt;=$AK$17,NOT($AJ4="")),AND($BE4&gt;=$BF$17,NOT($BE4="")),AND($BZ4&gt;=$CA$17,NOT($BZ4=""))),"P","")</f>
        <v>P</v>
      </c>
      <c r="H4" s="4" t="str">
        <f t="shared" ref="H4:H13" si="4">IF(OR(AND($AM4&gt;=$AK$18,NOT($AM4="")),AND($BH4&gt;=$BF$18,NOT($BH4="")),AND($CC4&gt;=$CA$18,NOT($CC4=""))),"P","")</f>
        <v>P</v>
      </c>
      <c r="I4" t="str">
        <f t="shared" ref="I4:I13" si="5">IF(AND(G4="P",OR(AND($AL4&gt;=$AK$21,NOT($AL4="")),AND($AN4&gt;=$AK$21,NOT($AN4="")),AND($BG4&gt;=$BF$21,NOT($BG4="")),AND($BI4&gt;=$BF$21,NOT($BI4="")),AND($CB4&gt;=$CA$21,NOT($CB4="")),AND($CD4&gt;=$CA$21,NOT($CD4="")))),"Merit",IF(AND(G4="P",OR(AND($AM4&gt;=$AK$20,NOT($AM4="")),AND($BH4&gt;=$BF$20,NOT($BH4="")),AND($CC4&gt;=$CA$20,NOT($CC4="")))),"Funding",IF(AND(G4="P",OR(AND($AM4&gt;=$AK$19,NOT($AM4="")),AND($BH4&gt;=$BF$19,NOT($BH4="")),AND($CC4&gt;=$CA$19,NOT($CC4="")))),"Worlds Team",IF(AND(F4="P",OR(AND($AM4&gt;=$AK$18,NOT($AM4="")),AND($BH4&gt;=$BF$18,NOT($BH4="")),AND($CC4&gt;=$CA$18,NOT($CC4="")))),"National Team",""))))</f>
        <v>Merit</v>
      </c>
      <c r="J4" s="16">
        <f t="shared" ref="J4:J13" si="6">MAX(AM4,BH4,CC4)</f>
        <v>104.09</v>
      </c>
      <c r="K4" s="16" t="str">
        <f t="shared" ref="K4:K13" si="7">IF(J4=CC4,$BK$1,IF(J4=BH4,$AP$1,IF(J4=AM4,$U$1,"")))</f>
        <v>2018 Canada Cup</v>
      </c>
      <c r="L4" s="16">
        <f t="shared" ref="L4:L13" si="8">IF($J4=$AM4,MAX(BF4,CA4),IF($J4=$BH4,MAX(AK4,CA4),MAX(AK4,BF4)))</f>
        <v>48.339999999999996</v>
      </c>
      <c r="M4" s="16" t="str">
        <f t="shared" ref="M4:M13" si="9">IF(L4=CA4,$BK$1,IF(L4=BF4,$AP$1,IF(L4=AK4,$U$1,"")))</f>
        <v>2018 Nationals</v>
      </c>
      <c r="N4" s="16">
        <f t="shared" ref="N4:N13" si="10">IF($J4=$AM4,MAX(BG4,CB4),IF($J4=$BH4,MAX(AL4,CB4),MAX(AL4,BG4)))</f>
        <v>52.87</v>
      </c>
      <c r="O4" s="16" t="str">
        <f t="shared" ref="O4:O13" si="11">IF(N4=CB4,$BK$1,IF(N4=BG4,$AP$1,IF(N4=AL4,$U$1,"")))</f>
        <v>2017 3rd Domestic Trial</v>
      </c>
      <c r="P4" s="16">
        <f t="shared" ref="P4:P13" si="12">MAX(AN4,BI4,CD4)</f>
        <v>55.695</v>
      </c>
      <c r="Q4" s="16" t="str">
        <f t="shared" ref="Q4:Q13" si="13">IF(P4=CD4,$BK$1,IF(P4=BI4,$AP$1,IF(P4=AN4,$U$1,"")))</f>
        <v>2018 Canada Cup</v>
      </c>
      <c r="R4" s="16">
        <f t="shared" ref="R4:R13" si="14">IF(MAX(CF4:CH4)&gt;0,MAX(CF4:CH4),"")</f>
        <v>0.75999999999999801</v>
      </c>
      <c r="S4" s="31" t="str">
        <f t="shared" ref="S4:S13" si="15">IF(R4="","",IF(R4=CF4,"(Vol 1)",IF(R4=CG4,"(Vol 2)",IF(R4=CH4,"(Final)"))))</f>
        <v>(Vol 2)</v>
      </c>
      <c r="T4" s="16" t="str">
        <f t="shared" ref="T4:T13" si="16">IF(R4="","",IF(R4=CF4,IF(R4+L4=LV4,$LF$1,IF(R4+L4=LA4,$KK$1,IF(R4+L4=KF4,$JP$1,IF(R4+L4=JK4,$IU$1,IF(R4+L4=IP4,$HZ$1,IF(R4+L4=HU4,$HE$1,IF(R4+L4=GZ4,$GJ$1,IF(R4+L4=GE4,$FO$1,IF(R4+L4=FJ4,$ET$1,IF(R4+L4=EO4,$DY$1,IF(R4+L4=DT4,$DD$1,IF(R4+L4=CY4,$CI$1)))))))))))),IF(R4=CG4,IF(R4+N4=LW4,$LF$1,IF(R4+N4=LB4,$KK$1,IF(R4+N4=KG4,$JP$1,IF(R4+N4=JL4,$IU$1,IF(R4+N4=IQ4,$HZ$1,IF(R4+N4=HV4,$HE$1,IF(R4+N4=HA4,$GJ$1,IF(R4+N4=GF4,$FO$1,IF(R4+N4=FK4,$ET$1,IF(R4+N4=EP4,$DY$1,IF(R4+N4=DU4,$DD$1,IF(R4+N4=CZ4,$CI$1)))))))))))),IF(R4=CH4,IF(R4+P4=LY4,$LF$1,IF(R4+P4=LD4,$KK$1,IF(R4+P4=KI4,$JP$1,IF(R4+P4=JN4,$IU$1,IF(R4+P4=IS4,$HZ$1,IF(R4+P4=HX4,$HE$1,IF(R4+P4=HC4,$GJ$1,IF(R4+P4=GH4,$FO$1,IF(R4+P4=FM4,$ET$1,IF(R4+P4=ER4,$DY$1,IF(R4+P4=DW4,$DD$1,IF(R4+P4=DB4,$CI$1))))))))))))))))</f>
        <v>2017 World Cup POR (Sept)</v>
      </c>
      <c r="U4" s="47">
        <v>13.1</v>
      </c>
      <c r="V4" s="47">
        <v>6.7</v>
      </c>
      <c r="W4" s="47">
        <v>1.9</v>
      </c>
      <c r="X4" s="47">
        <v>11.87</v>
      </c>
      <c r="Y4" s="47">
        <v>0</v>
      </c>
      <c r="Z4" s="47">
        <v>15.6</v>
      </c>
      <c r="AA4" s="47">
        <v>8.9</v>
      </c>
      <c r="AB4" s="47">
        <v>12.8</v>
      </c>
      <c r="AC4" s="47">
        <v>15.57</v>
      </c>
      <c r="AD4" s="47">
        <v>0</v>
      </c>
      <c r="AE4" s="47">
        <v>16.100000000000001</v>
      </c>
      <c r="AF4" s="47">
        <v>8.9</v>
      </c>
      <c r="AG4" s="47">
        <v>13.8</v>
      </c>
      <c r="AH4" s="47">
        <v>15.265000000000001</v>
      </c>
      <c r="AI4" s="47">
        <v>0</v>
      </c>
      <c r="AJ4" s="13">
        <f t="shared" ref="AJ4:AJ13" si="17">IF(SUM(W4,AB4)&gt;0,SUM(W4,AB4),"")</f>
        <v>14.700000000000001</v>
      </c>
      <c r="AK4" s="13">
        <f t="shared" ref="AK4:AK13" si="18">IF(SUM(U4:X4)-Y4&gt;0,SUM(U4:X4)-Y4,"")</f>
        <v>33.57</v>
      </c>
      <c r="AL4" s="13">
        <f t="shared" ref="AL4:AL13" si="19">IF(SUM(Z4:AC4)-AD4&gt;0,SUM(Z4:AC4)-AD4,"")</f>
        <v>52.87</v>
      </c>
      <c r="AM4" s="13">
        <f t="shared" ref="AM4:AM13" si="20">IF(SUM(AK4:AL4)&gt;0,SUM(AK4:AL4),"")</f>
        <v>86.44</v>
      </c>
      <c r="AN4" s="13">
        <f t="shared" ref="AN4:AN13" si="21">IF(SUM(AE4:AH4)-AI4&gt;0,SUM(AE4:AH4)-AI4,"")</f>
        <v>54.064999999999998</v>
      </c>
      <c r="AO4" s="13">
        <f t="shared" ref="AO4:AO13" si="22">IF(SUM(AM4,AN4)&gt;0,SUM(AM4,AN4),"")</f>
        <v>140.505</v>
      </c>
      <c r="AP4" s="94">
        <v>17.600000000000001</v>
      </c>
      <c r="AQ4" s="94">
        <v>9.1999999999999993</v>
      </c>
      <c r="AR4" s="94">
        <v>4.9000000000000004</v>
      </c>
      <c r="AS4" s="94">
        <v>16.734999999999999</v>
      </c>
      <c r="AT4" s="94">
        <v>0</v>
      </c>
      <c r="AU4" s="94">
        <v>16.399999999999999</v>
      </c>
      <c r="AV4" s="94">
        <v>9.4</v>
      </c>
      <c r="AW4" s="94">
        <v>13.8</v>
      </c>
      <c r="AX4" s="94">
        <v>16.055</v>
      </c>
      <c r="AY4" s="94">
        <v>0</v>
      </c>
      <c r="AZ4" s="94">
        <v>17</v>
      </c>
      <c r="BA4" s="94">
        <v>8.9</v>
      </c>
      <c r="BB4" s="94">
        <v>13.8</v>
      </c>
      <c r="BC4" s="94">
        <v>15.994999999999999</v>
      </c>
      <c r="BD4" s="94">
        <v>0</v>
      </c>
      <c r="BE4" s="16">
        <f t="shared" ref="BE4:BE13" si="23">IF(SUM(AR4,AW4)&gt;0,SUM(AR4,AW4),"")</f>
        <v>18.700000000000003</v>
      </c>
      <c r="BF4" s="16">
        <f t="shared" ref="BF4:BF13" si="24">IF(SUM(AP4:AS4)-AT4&gt;0,SUM(AP4:AS4)-AT4,"")</f>
        <v>48.435000000000002</v>
      </c>
      <c r="BG4" s="16">
        <f t="shared" ref="BG4:BG13" si="25">IF(SUM(AU4:AX4)-AY4&gt;0,SUM(AU4:AX4)-AY4,"")</f>
        <v>55.654999999999994</v>
      </c>
      <c r="BH4" s="16">
        <f t="shared" ref="BH4:BH13" si="26">IF(SUM(BF4:BG4)&gt;0,SUM(BF4:BG4),"")</f>
        <v>104.09</v>
      </c>
      <c r="BI4" s="16">
        <f t="shared" ref="BI4:BI13" si="27">IF(SUM(AZ4:BC4)-BD4&gt;0,SUM(AZ4:BC4)-BD4,"")</f>
        <v>55.695</v>
      </c>
      <c r="BJ4" s="16">
        <f t="shared" ref="BJ4:BJ13" si="28">IF(SUM(BH4,BI4)&gt;0,SUM(BH4,BI4),"")</f>
        <v>159.785</v>
      </c>
      <c r="BK4" s="47">
        <v>17.399999999999999</v>
      </c>
      <c r="BL4" s="47">
        <v>9.25</v>
      </c>
      <c r="BM4" s="47">
        <v>4.9000000000000004</v>
      </c>
      <c r="BN4" s="47">
        <v>16.79</v>
      </c>
      <c r="BO4" s="47">
        <v>0</v>
      </c>
      <c r="BP4" s="47">
        <v>3.4</v>
      </c>
      <c r="BQ4" s="47">
        <v>1.85</v>
      </c>
      <c r="BR4" s="47">
        <v>3.2</v>
      </c>
      <c r="BS4" s="47">
        <v>3.39</v>
      </c>
      <c r="BT4" s="47">
        <v>0</v>
      </c>
      <c r="BU4" s="47">
        <v>16.3</v>
      </c>
      <c r="BV4" s="47">
        <v>8.9499999999999993</v>
      </c>
      <c r="BW4" s="47">
        <v>13.8</v>
      </c>
      <c r="BX4" s="47">
        <v>15.69</v>
      </c>
      <c r="BY4" s="47">
        <v>0</v>
      </c>
      <c r="BZ4" s="13">
        <f t="shared" ref="BZ4:BZ13" si="29">IF(SUM(BM4,BR4)&gt;0,SUM(BM4,BR4),"")</f>
        <v>8.1000000000000014</v>
      </c>
      <c r="CA4" s="13">
        <f t="shared" ref="CA4:CA13" si="30">IF(SUM(BK4:BN4)-BO4&gt;0,SUM(BK4:BN4)-BO4,"")</f>
        <v>48.339999999999996</v>
      </c>
      <c r="CB4" s="13">
        <f t="shared" ref="CB4:CB13" si="31">IF(SUM(BP4:BS4)-BT4&gt;0,SUM(BP4:BS4)-BT4,"")</f>
        <v>11.84</v>
      </c>
      <c r="CC4" s="13">
        <f t="shared" ref="CC4:CC13" si="32">IF(SUM(CA4:CB4)&gt;0,SUM(CA4:CB4),"")</f>
        <v>60.179999999999993</v>
      </c>
      <c r="CD4" s="13">
        <f t="shared" ref="CD4:CD13" si="33">IF(SUM(BU4:BX4)-BY4&gt;0,SUM(BU4:BX4)-BY4,"")</f>
        <v>54.739999999999995</v>
      </c>
      <c r="CE4" s="13">
        <f t="shared" ref="CE4:CE13" si="34">IF(SUM(CC4,CD4)&gt;0,SUM(CC4,CD4),"")</f>
        <v>114.91999999999999</v>
      </c>
      <c r="CF4" s="30" t="str">
        <f t="shared" ref="CF4:CF13" si="35">IF(MAX(CY4,DT4,EO4,FJ4,GE4,GZ4,HU4,IP4,JK4,KF4,LA4,LV4)-L4&gt;0.001,MAX(CY4,DT4,EO4,FJ4,GE4,GZ4,HU4,IP4,JK4,KF4,LA4,LV4)-L4,"")</f>
        <v/>
      </c>
      <c r="CG4" s="30">
        <f t="shared" ref="CG4:CG13" si="36">IF(MAX(CZ4,DU4,EP4,FK4,GF4,HA4,HV4,IQ4,JL4,KG4,LB4,LW4)-N4&gt;0.001,MAX(CZ4,DU4,EP4,FK4,GF4,HA4,HV4,IQ4,JL4,KG4,LB4,LW4)-N4,"")</f>
        <v>0.75999999999999801</v>
      </c>
      <c r="CH4" s="30" t="str">
        <f t="shared" ref="CH4:CH13" si="37">IF(MAX(DB4,DW4,ER4,FM4,GH4,HC4,HX4,IS4,JN4,KI4,LD4,LY4)-P4&gt;0.001,MAX(DB4,DW4,ER4,FM4,GH4,HC4,HX4,IS4,JN4,KI4,LD4,LY4)-P4,"")</f>
        <v/>
      </c>
      <c r="CI4" s="47">
        <v>17.5</v>
      </c>
      <c r="CJ4" s="47">
        <v>9.5500000000000007</v>
      </c>
      <c r="CK4" s="47">
        <v>4.0999999999999996</v>
      </c>
      <c r="CL4" s="47">
        <v>16.399999999999999</v>
      </c>
      <c r="CM4" s="47">
        <v>0</v>
      </c>
      <c r="CN4" s="47">
        <v>14.6</v>
      </c>
      <c r="CO4" s="47">
        <v>9.35</v>
      </c>
      <c r="CP4" s="47">
        <v>13.8</v>
      </c>
      <c r="CQ4" s="47">
        <v>15.04</v>
      </c>
      <c r="CR4" s="47">
        <v>0</v>
      </c>
      <c r="CS4" s="47"/>
      <c r="CT4" s="47"/>
      <c r="CU4" s="47"/>
      <c r="CV4" s="47"/>
      <c r="CW4" s="47"/>
      <c r="CX4" s="13">
        <f t="shared" ref="CX4:CX13" si="38">IF(SUM(CK4,CP4)&gt;0,SUM(CK4,CP4),"")</f>
        <v>17.899999999999999</v>
      </c>
      <c r="CY4" s="13">
        <f t="shared" ref="CY4:CY13" si="39">IF(SUM(CI4:CL4)-CM4&gt;0,SUM(CI4:CL4)-CM4,"")</f>
        <v>47.55</v>
      </c>
      <c r="CZ4" s="13">
        <f t="shared" ref="CZ4:CZ13" si="40">IF(SUM(CN4:CQ4)-CR4&gt;0,SUM(CN4:CQ4)-CR4,"")</f>
        <v>52.79</v>
      </c>
      <c r="DA4" s="13">
        <f t="shared" ref="DA4:DA13" si="41">IF(SUM(CY4:CZ4)&gt;0,SUM(CY4:CZ4),"")</f>
        <v>100.34</v>
      </c>
      <c r="DB4" s="13" t="str">
        <f t="shared" ref="DB4:DB13" si="42">IF(SUM(CS4:CV4)-CW4&gt;0,SUM(CS4:CV4)-CW4,"")</f>
        <v/>
      </c>
      <c r="DC4" s="13">
        <f t="shared" ref="DC4:DC13" si="43">IF(SUM(DA4,DB4)&gt;0,SUM(DA4,DB4),"")</f>
        <v>100.34</v>
      </c>
      <c r="DD4" s="48">
        <v>16</v>
      </c>
      <c r="DE4" s="48">
        <v>4.0999999999999996</v>
      </c>
      <c r="DF4" s="48">
        <v>9.15</v>
      </c>
      <c r="DG4" s="48">
        <v>15.904999999999999</v>
      </c>
      <c r="DH4" s="48">
        <v>0</v>
      </c>
      <c r="DI4" s="48">
        <v>15.2</v>
      </c>
      <c r="DJ4" s="48">
        <v>9.3000000000000007</v>
      </c>
      <c r="DK4" s="48">
        <v>13.8</v>
      </c>
      <c r="DL4" s="48">
        <v>15.33</v>
      </c>
      <c r="DM4" s="48">
        <v>0</v>
      </c>
      <c r="DN4" s="48"/>
      <c r="DO4" s="48"/>
      <c r="DP4" s="48"/>
      <c r="DQ4" s="48"/>
      <c r="DR4" s="48"/>
      <c r="DS4" s="16">
        <f t="shared" ref="DS4:DS13" si="44">IF(SUM(DF4,DK4)&gt;0,SUM(DF4,DK4),"")</f>
        <v>22.950000000000003</v>
      </c>
      <c r="DT4" s="16">
        <f t="shared" ref="DT4:DT13" si="45">IF(SUM(DD4:DG4)-DH4&gt;0,SUM(DD4:DG4)-DH4,"")</f>
        <v>45.155000000000001</v>
      </c>
      <c r="DU4" s="16">
        <f t="shared" ref="DU4:DU13" si="46">IF(SUM(DI4:DL4)-DM4&gt;0,SUM(DI4:DL4)-DM4,"")</f>
        <v>53.629999999999995</v>
      </c>
      <c r="DV4" s="16">
        <f t="shared" ref="DV4:DV13" si="47">IF(SUM(DT4:DU4)&gt;0,SUM(DT4:DU4),"")</f>
        <v>98.784999999999997</v>
      </c>
      <c r="DW4" s="16" t="str">
        <f t="shared" ref="DW4:DW13" si="48">IF(SUM(DN4:DQ4)-DR4&gt;0,SUM(DN4:DQ4)-DR4,"")</f>
        <v/>
      </c>
      <c r="DX4" s="16">
        <f t="shared" ref="DX4:DX13" si="49">IF(SUM(DV4,DW4)&gt;0,SUM(DV4,DW4),"")</f>
        <v>98.784999999999997</v>
      </c>
      <c r="DY4" s="47">
        <v>15.6</v>
      </c>
      <c r="DZ4" s="47">
        <v>9.0500000000000007</v>
      </c>
      <c r="EA4" s="47">
        <v>4.8</v>
      </c>
      <c r="EB4" s="47">
        <v>16.59</v>
      </c>
      <c r="EC4" s="47">
        <v>0</v>
      </c>
      <c r="ED4" s="47">
        <v>15</v>
      </c>
      <c r="EE4" s="47">
        <v>8.75</v>
      </c>
      <c r="EF4" s="47">
        <v>13.8</v>
      </c>
      <c r="EG4" s="47">
        <v>15.535</v>
      </c>
      <c r="EH4" s="47">
        <v>0</v>
      </c>
      <c r="EI4" s="47"/>
      <c r="EJ4" s="47"/>
      <c r="EK4" s="47"/>
      <c r="EL4" s="47"/>
      <c r="EM4" s="47"/>
      <c r="EN4" s="13">
        <f t="shared" ref="EN4:EN13" si="50">IF(SUM(EA4,EF4)&gt;0,SUM(EA4,EF4),"")</f>
        <v>18.600000000000001</v>
      </c>
      <c r="EO4" s="13">
        <f t="shared" ref="EO4:EO13" si="51">IF(SUM(DY4:EB4)-EC4&gt;0,SUM(DY4:EB4)-EC4,"")</f>
        <v>46.04</v>
      </c>
      <c r="EP4" s="13">
        <f t="shared" ref="EP4:EP13" si="52">IF(SUM(ED4:EG4)-EH4&gt;0,SUM(ED4:EG4)-EH4,"")</f>
        <v>53.084999999999994</v>
      </c>
      <c r="EQ4" s="13">
        <f t="shared" ref="EQ4:EQ13" si="53">IF(SUM(EO4:EP4)&gt;0,SUM(EO4:EP4),"")</f>
        <v>99.125</v>
      </c>
      <c r="ER4" s="13" t="str">
        <f t="shared" ref="ER4:ER13" si="54">IF(SUM(EI4:EL4)-EM4&gt;0,SUM(EI4:EL4)-EM4,"")</f>
        <v/>
      </c>
      <c r="ES4" s="13">
        <f t="shared" ref="ES4:ES13" si="55">IF(SUM(EQ4,ER4)&gt;0,SUM(EQ4,ER4),"")</f>
        <v>99.125</v>
      </c>
      <c r="ET4" s="48">
        <v>16.100000000000001</v>
      </c>
      <c r="EU4" s="48">
        <v>8.9499999999999993</v>
      </c>
      <c r="EV4" s="48">
        <v>4.8</v>
      </c>
      <c r="EW4" s="48">
        <v>16.18</v>
      </c>
      <c r="EX4" s="48">
        <v>0</v>
      </c>
      <c r="EY4" s="48">
        <v>15.3</v>
      </c>
      <c r="EZ4" s="48">
        <v>8.9</v>
      </c>
      <c r="FA4" s="48">
        <v>12.9</v>
      </c>
      <c r="FB4" s="48">
        <v>15.395</v>
      </c>
      <c r="FC4" s="48">
        <v>0</v>
      </c>
      <c r="FD4" s="48"/>
      <c r="FE4" s="48"/>
      <c r="FF4" s="48"/>
      <c r="FG4" s="48"/>
      <c r="FH4" s="48"/>
      <c r="FI4" s="16">
        <f t="shared" ref="FI4:FI13" si="56">IF(SUM(EV4,FA4)&gt;0,SUM(EV4,FA4),"")</f>
        <v>17.7</v>
      </c>
      <c r="FJ4" s="16">
        <f t="shared" ref="FJ4:FJ13" si="57">IF(SUM(ET4:EW4)-EX4&gt;0,SUM(ET4:EW4)-EX4,"")</f>
        <v>46.03</v>
      </c>
      <c r="FK4" s="16">
        <f t="shared" ref="FK4:FK13" si="58">IF(SUM(EY4:FB4)-FC4&gt;0,SUM(EY4:FB4)-FC4,"")</f>
        <v>52.495000000000005</v>
      </c>
      <c r="FL4" s="16">
        <f t="shared" ref="FL4:FL13" si="59">IF(SUM(FJ4:FK4)&gt;0,SUM(FJ4:FK4),"")</f>
        <v>98.525000000000006</v>
      </c>
      <c r="FM4" s="16" t="str">
        <f t="shared" ref="FM4:FM13" si="60">IF(SUM(FD4:FG4)-FH4&gt;0,SUM(FD4:FG4)-FH4,"")</f>
        <v/>
      </c>
      <c r="FN4" s="16">
        <f t="shared" ref="FN4:FN13" si="61">IF(SUM(FL4,FM4)&gt;0,SUM(FL4,FM4),"")</f>
        <v>98.525000000000006</v>
      </c>
      <c r="FO4" s="47"/>
      <c r="FP4" s="47"/>
      <c r="FQ4" s="47"/>
      <c r="FR4" s="47"/>
      <c r="FS4" s="47"/>
      <c r="FT4" s="47"/>
      <c r="FU4" s="47"/>
      <c r="FV4" s="47"/>
      <c r="FW4" s="47"/>
      <c r="FX4" s="47"/>
      <c r="FY4" s="47"/>
      <c r="FZ4" s="47"/>
      <c r="GA4" s="47"/>
      <c r="GB4" s="47"/>
      <c r="GC4" s="47"/>
      <c r="GD4" s="13" t="str">
        <f t="shared" ref="GD4:GD13" si="62">IF(SUM(FQ4,FV4)&gt;0,SUM(FQ4,FV4),"")</f>
        <v/>
      </c>
      <c r="GE4" s="13" t="str">
        <f t="shared" ref="GE4:GE13" si="63">IF(SUM(FO4:FR4)-FS4&gt;0,SUM(FO4:FR4)-FS4,"")</f>
        <v/>
      </c>
      <c r="GF4" s="13" t="str">
        <f t="shared" ref="GF4:GF13" si="64">IF(SUM(FT4:FW4)-FX4&gt;0,SUM(FT4:FW4)-FX4,"")</f>
        <v/>
      </c>
      <c r="GG4" s="13" t="str">
        <f t="shared" ref="GG4:GG13" si="65">IF(SUM(GE4:GF4)&gt;0,SUM(GE4:GF4),"")</f>
        <v/>
      </c>
      <c r="GH4" s="13" t="str">
        <f t="shared" ref="GH4:GH13" si="66">IF(SUM(FY4:GB4)-GC4&gt;0,SUM(FY4:GB4)-GC4,"")</f>
        <v/>
      </c>
      <c r="GI4" s="13" t="str">
        <f t="shared" ref="GI4:GI13" si="67">IF(SUM(GG4,GH4)&gt;0,SUM(GG4,GH4),"")</f>
        <v/>
      </c>
      <c r="GJ4" s="48"/>
      <c r="GK4" s="48"/>
      <c r="GL4" s="48"/>
      <c r="GM4" s="48"/>
      <c r="GN4" s="48"/>
      <c r="GO4" s="48"/>
      <c r="GP4" s="48"/>
      <c r="GQ4" s="48"/>
      <c r="GR4" s="48"/>
      <c r="GS4" s="48"/>
      <c r="GT4" s="48">
        <v>50.79</v>
      </c>
      <c r="GU4" s="48"/>
      <c r="GV4" s="48"/>
      <c r="GW4" s="48"/>
      <c r="GX4" s="48"/>
      <c r="GY4" s="16" t="str">
        <f t="shared" ref="GY4:GY13" si="68">IF(SUM(GL4,GQ4)&gt;0,SUM(GL4,GQ4),"")</f>
        <v/>
      </c>
      <c r="GZ4" s="16" t="str">
        <f t="shared" ref="GZ4:GZ13" si="69">IF(SUM(GJ4:GM4)-GN4&gt;0,SUM(GJ4:GM4)-GN4,"")</f>
        <v/>
      </c>
      <c r="HA4" s="16" t="str">
        <f t="shared" ref="HA4:HA13" si="70">IF(SUM(GO4:GR4)-GS4&gt;0,SUM(GO4:GR4)-GS4,"")</f>
        <v/>
      </c>
      <c r="HB4" s="16" t="str">
        <f t="shared" ref="HB4:HB13" si="71">IF(SUM(GZ4:HA4)&gt;0,SUM(GZ4:HA4),"")</f>
        <v/>
      </c>
      <c r="HC4" s="16">
        <f t="shared" ref="HC4:HC13" si="72">IF(SUM(GT4:GW4)-GX4&gt;0,SUM(GT4:GW4)-GX4,"")</f>
        <v>50.79</v>
      </c>
      <c r="HD4" s="16">
        <f t="shared" ref="HD4:HD13" si="73">IF(SUM(HB4,HC4)&gt;0,SUM(HB4,HC4),"")</f>
        <v>50.79</v>
      </c>
      <c r="HE4" s="47"/>
      <c r="HF4" s="47"/>
      <c r="HG4" s="47"/>
      <c r="HH4" s="47"/>
      <c r="HI4" s="47"/>
      <c r="HJ4" s="47"/>
      <c r="HK4" s="47"/>
      <c r="HL4" s="47"/>
      <c r="HM4" s="47"/>
      <c r="HN4" s="47"/>
      <c r="HO4" s="47"/>
      <c r="HP4" s="47"/>
      <c r="HQ4" s="47"/>
      <c r="HR4" s="47"/>
      <c r="HS4" s="47"/>
      <c r="HT4" s="13" t="str">
        <f t="shared" ref="HT4:HT13" si="74">IF(SUM(HG4,HL4)&gt;0,SUM(HG4,HL4),"")</f>
        <v/>
      </c>
      <c r="HU4" s="13" t="str">
        <f t="shared" ref="HU4:HU13" si="75">IF(SUM(HE4:HH4)-HI4&gt;0,SUM(HE4:HH4)-HI4,"")</f>
        <v/>
      </c>
      <c r="HV4" s="13" t="str">
        <f t="shared" ref="HV4:HV13" si="76">IF(SUM(HJ4:HM4)-HN4&gt;0,SUM(HJ4:HM4)-HN4,"")</f>
        <v/>
      </c>
      <c r="HW4" s="13" t="str">
        <f t="shared" ref="HW4:HW13" si="77">IF(SUM(HU4:HV4)&gt;0,SUM(HU4:HV4),"")</f>
        <v/>
      </c>
      <c r="HX4" s="13" t="str">
        <f t="shared" ref="HX4:HX13" si="78">IF(SUM(HO4:HR4)-HS4&gt;0,SUM(HO4:HR4)-HS4,"")</f>
        <v/>
      </c>
      <c r="HY4" s="13" t="str">
        <f t="shared" ref="HY4:HY13" si="79">IF(SUM(HW4,HX4)&gt;0,SUM(HW4,HX4),"")</f>
        <v/>
      </c>
      <c r="HZ4" s="48"/>
      <c r="IA4" s="48"/>
      <c r="IB4" s="48"/>
      <c r="IC4" s="48"/>
      <c r="ID4" s="48"/>
      <c r="IE4" s="48"/>
      <c r="IF4" s="48"/>
      <c r="IG4" s="48"/>
      <c r="IH4" s="48"/>
      <c r="II4" s="48"/>
      <c r="IJ4" s="48"/>
      <c r="IK4" s="48"/>
      <c r="IL4" s="48"/>
      <c r="IM4" s="48"/>
      <c r="IN4" s="48"/>
      <c r="IO4" s="16" t="str">
        <f t="shared" ref="IO4:IO13" si="80">IF(SUM(IB4,IG4)&gt;0,SUM(IB4,IG4),"")</f>
        <v/>
      </c>
      <c r="IP4" s="16" t="str">
        <f t="shared" ref="IP4:IP13" si="81">IF(SUM(HZ4:IC4)-ID4&gt;0,SUM(HZ4:IC4)-ID4,"")</f>
        <v/>
      </c>
      <c r="IQ4" s="16" t="str">
        <f t="shared" ref="IQ4:IQ13" si="82">IF(SUM(IE4:IH4)-II4&gt;0,SUM(IE4:IH4)-II4,"")</f>
        <v/>
      </c>
      <c r="IR4" s="16" t="str">
        <f t="shared" ref="IR4:IR13" si="83">IF(SUM(IP4:IQ4)&gt;0,SUM(IP4:IQ4),"")</f>
        <v/>
      </c>
      <c r="IS4" s="16" t="str">
        <f t="shared" ref="IS4:IS13" si="84">IF(SUM(IJ4:IM4)-IN4&gt;0,SUM(IJ4:IM4)-IN4,"")</f>
        <v/>
      </c>
      <c r="IT4" s="16" t="str">
        <f t="shared" ref="IT4:IT13" si="85">IF(SUM(IR4,IS4)&gt;0,SUM(IR4,IS4),"")</f>
        <v/>
      </c>
      <c r="IU4" s="47"/>
      <c r="IV4" s="47"/>
      <c r="IW4" s="47"/>
      <c r="IX4" s="47"/>
      <c r="IY4" s="47"/>
      <c r="IZ4" s="47"/>
      <c r="JA4" s="47"/>
      <c r="JB4" s="47"/>
      <c r="JC4" s="47"/>
      <c r="JD4" s="47"/>
      <c r="JE4" s="47"/>
      <c r="JF4" s="47"/>
      <c r="JG4" s="47"/>
      <c r="JH4" s="47"/>
      <c r="JI4" s="47"/>
      <c r="JJ4" s="13" t="str">
        <f t="shared" ref="JJ4:JJ13" si="86">IF(SUM(IW4,JB4)&gt;0,SUM(IW4,JB4),"")</f>
        <v/>
      </c>
      <c r="JK4" s="13" t="str">
        <f t="shared" ref="JK4:JK13" si="87">IF(SUM(IU4:IX4)-IY4&gt;0,SUM(IU4:IX4)-IY4,"")</f>
        <v/>
      </c>
      <c r="JL4" s="13" t="str">
        <f t="shared" ref="JL4:JL13" si="88">IF(SUM(IZ4:JC4)-JD4&gt;0,SUM(IZ4:JC4)-JD4,"")</f>
        <v/>
      </c>
      <c r="JM4" s="13" t="str">
        <f t="shared" ref="JM4:JM13" si="89">IF(SUM(JK4:JL4)&gt;0,SUM(JK4:JL4),"")</f>
        <v/>
      </c>
      <c r="JN4" s="13" t="str">
        <f t="shared" ref="JN4:JN13" si="90">IF(SUM(JE4:JH4)-JI4&gt;0,SUM(JE4:JH4)-JI4,"")</f>
        <v/>
      </c>
      <c r="JO4" s="13" t="str">
        <f t="shared" ref="JO4:JO13" si="91">IF(SUM(JM4,JN4)&gt;0,SUM(JM4,JN4),"")</f>
        <v/>
      </c>
      <c r="JP4" s="48">
        <v>16.5</v>
      </c>
      <c r="JQ4" s="48">
        <v>9.5500000000000007</v>
      </c>
      <c r="JR4" s="48">
        <v>4.9000000000000004</v>
      </c>
      <c r="JS4" s="48">
        <v>16.600000000000001</v>
      </c>
      <c r="JT4" s="48">
        <v>0</v>
      </c>
      <c r="JU4" s="48">
        <v>14.8</v>
      </c>
      <c r="JV4" s="48">
        <v>8.5500000000000007</v>
      </c>
      <c r="JW4" s="48">
        <v>10.7</v>
      </c>
      <c r="JX4" s="48">
        <v>15.605</v>
      </c>
      <c r="JY4" s="48">
        <v>0</v>
      </c>
      <c r="JZ4" s="48"/>
      <c r="KA4" s="48"/>
      <c r="KB4" s="48"/>
      <c r="KC4" s="48"/>
      <c r="KD4" s="48"/>
      <c r="KE4" s="16">
        <f t="shared" ref="KE4:KE13" si="92">IF(SUM(JR4,JW4)&gt;0,SUM(JR4,JW4),"")</f>
        <v>15.6</v>
      </c>
      <c r="KF4" s="16">
        <f t="shared" ref="KF4:KF13" si="93">IF(SUM(JP4:JS4)-JT4&gt;0,SUM(JP4:JS4)-JT4,"")</f>
        <v>47.550000000000004</v>
      </c>
      <c r="KG4" s="16">
        <f t="shared" ref="KG4:KG13" si="94">IF(SUM(JU4:JX4)-JY4&gt;0,SUM(JU4:JX4)-JY4,"")</f>
        <v>49.655000000000001</v>
      </c>
      <c r="KH4" s="16">
        <f t="shared" ref="KH4:KH13" si="95">IF(SUM(KF4:KG4)&gt;0,SUM(KF4:KG4),"")</f>
        <v>97.205000000000013</v>
      </c>
      <c r="KI4" s="16" t="str">
        <f t="shared" ref="KI4:KI13" si="96">IF(SUM(JZ4:KC4)-KD4&gt;0,SUM(JZ4:KC4)-KD4,"")</f>
        <v/>
      </c>
      <c r="KJ4" s="16">
        <f t="shared" ref="KJ4:KJ13" si="97">IF(SUM(KH4,KI4)&gt;0,SUM(KH4,KI4),"")</f>
        <v>97.205000000000013</v>
      </c>
      <c r="KK4" s="47"/>
      <c r="KL4" s="47"/>
      <c r="KM4" s="47"/>
      <c r="KN4" s="47"/>
      <c r="KO4" s="47"/>
      <c r="KP4" s="47"/>
      <c r="KQ4" s="47"/>
      <c r="KR4" s="47"/>
      <c r="KS4" s="47"/>
      <c r="KT4" s="47"/>
      <c r="KU4" s="47"/>
      <c r="KV4" s="47"/>
      <c r="KW4" s="47"/>
      <c r="KX4" s="47"/>
      <c r="KY4" s="47"/>
      <c r="KZ4" s="13" t="str">
        <f t="shared" ref="KZ4:KZ13" si="98">IF(SUM(KM4,KR4)&gt;0,SUM(KM4,KR4),"")</f>
        <v/>
      </c>
      <c r="LA4" s="13" t="str">
        <f t="shared" ref="LA4:LA13" si="99">IF(SUM(KK4:KN4)-KO4&gt;0,SUM(KK4:KN4)-KO4,"")</f>
        <v/>
      </c>
      <c r="LB4" s="13" t="str">
        <f t="shared" ref="LB4:LB13" si="100">IF(SUM(KP4:KS4)-KT4&gt;0,SUM(KP4:KS4)-KT4,"")</f>
        <v/>
      </c>
      <c r="LC4" s="13" t="str">
        <f t="shared" ref="LC4:LC13" si="101">IF(SUM(LA4:LB4)&gt;0,SUM(LA4:LB4),"")</f>
        <v/>
      </c>
      <c r="LD4" s="13" t="str">
        <f t="shared" ref="LD4:LD13" si="102">IF(SUM(KU4:KX4)-KY4&gt;0,SUM(KU4:KX4)-KY4,"")</f>
        <v/>
      </c>
      <c r="LE4" s="13" t="str">
        <f t="shared" ref="LE4:LE13" si="103">IF(SUM(LC4,LD4)&gt;0,SUM(LC4,LD4),"")</f>
        <v/>
      </c>
      <c r="LF4" s="48"/>
      <c r="LG4" s="48"/>
      <c r="LH4" s="48"/>
      <c r="LI4" s="48"/>
      <c r="LJ4" s="48"/>
      <c r="LK4" s="48"/>
      <c r="LL4" s="48"/>
      <c r="LM4" s="48"/>
      <c r="LN4" s="48"/>
      <c r="LO4" s="48"/>
      <c r="LP4" s="48"/>
      <c r="LQ4" s="48"/>
      <c r="LR4" s="48"/>
      <c r="LS4" s="48"/>
      <c r="LT4" s="48"/>
      <c r="LU4" s="16" t="str">
        <f t="shared" ref="LU4:LU13" si="104">IF(SUM(LH4,LM4)&gt;0,SUM(LH4,LM4),"")</f>
        <v/>
      </c>
      <c r="LV4" s="16" t="str">
        <f t="shared" ref="LV4:LV13" si="105">IF(SUM(LF4:LI4)-LJ4&gt;0,SUM(LF4:LI4)-LJ4,"")</f>
        <v/>
      </c>
      <c r="LW4" s="16" t="str">
        <f t="shared" ref="LW4:LW13" si="106">IF(SUM(LK4:LN4)-LO4&gt;0,SUM(LK4:LN4)-LO4,"")</f>
        <v/>
      </c>
      <c r="LX4" s="16" t="str">
        <f t="shared" ref="LX4:LX13" si="107">IF(SUM(LV4:LW4)&gt;0,SUM(LV4:LW4),"")</f>
        <v/>
      </c>
      <c r="LY4" s="16" t="str">
        <f t="shared" ref="LY4:LY13" si="108">IF(SUM(LP4:LS4)-LT4&gt;0,SUM(LP4:LS4)-LT4,"")</f>
        <v/>
      </c>
      <c r="LZ4" s="16" t="str">
        <f t="shared" ref="LZ4:LZ13" si="109">IF(SUM(LX4,LY4)&gt;0,SUM(LX4,LY4),"")</f>
        <v/>
      </c>
    </row>
    <row r="5" spans="1:338" x14ac:dyDescent="0.2">
      <c r="A5" s="6">
        <f t="shared" si="0"/>
        <v>2</v>
      </c>
      <c r="B5" s="9" t="s">
        <v>42</v>
      </c>
      <c r="C5" s="5" t="s">
        <v>13</v>
      </c>
      <c r="D5" s="33">
        <v>2016</v>
      </c>
      <c r="E5" s="17">
        <f t="shared" si="1"/>
        <v>261.16500000000002</v>
      </c>
      <c r="F5" s="4" t="str">
        <f t="shared" si="2"/>
        <v>P</v>
      </c>
      <c r="G5" s="4" t="str">
        <f t="shared" si="3"/>
        <v>P</v>
      </c>
      <c r="H5" s="4" t="str">
        <f t="shared" si="4"/>
        <v>P</v>
      </c>
      <c r="I5" t="str">
        <f t="shared" si="5"/>
        <v>Merit</v>
      </c>
      <c r="J5" s="16">
        <f t="shared" si="6"/>
        <v>103.27</v>
      </c>
      <c r="K5" s="16" t="str">
        <f t="shared" si="7"/>
        <v>2018 Nationals</v>
      </c>
      <c r="L5" s="16">
        <f t="shared" si="8"/>
        <v>47.160000000000004</v>
      </c>
      <c r="M5" s="16" t="str">
        <f t="shared" si="9"/>
        <v>2017 3rd Domestic Trial</v>
      </c>
      <c r="N5" s="16">
        <f t="shared" si="10"/>
        <v>55.245000000000005</v>
      </c>
      <c r="O5" s="16" t="str">
        <f t="shared" si="11"/>
        <v>2018 Canada Cup</v>
      </c>
      <c r="P5" s="16">
        <f t="shared" si="12"/>
        <v>54.42</v>
      </c>
      <c r="Q5" s="16" t="str">
        <f t="shared" si="13"/>
        <v>2018 Canada Cup</v>
      </c>
      <c r="R5" s="16">
        <f t="shared" si="14"/>
        <v>1.0700000000000003</v>
      </c>
      <c r="S5" s="31" t="str">
        <f t="shared" si="15"/>
        <v>(Final)</v>
      </c>
      <c r="T5" s="16" t="str">
        <f t="shared" si="16"/>
        <v>2017 World Championships (Nov)</v>
      </c>
      <c r="U5" s="47">
        <v>18.100000000000001</v>
      </c>
      <c r="V5" s="47">
        <v>9.1</v>
      </c>
      <c r="W5" s="47">
        <v>4.0999999999999996</v>
      </c>
      <c r="X5" s="47">
        <v>15.86</v>
      </c>
      <c r="Y5" s="47">
        <v>0</v>
      </c>
      <c r="Z5" s="47">
        <v>8.6</v>
      </c>
      <c r="AA5" s="47">
        <v>4.7</v>
      </c>
      <c r="AB5" s="47">
        <v>6.9</v>
      </c>
      <c r="AC5" s="47">
        <v>7.7</v>
      </c>
      <c r="AD5" s="47">
        <v>0</v>
      </c>
      <c r="AE5" s="47">
        <v>17.399999999999999</v>
      </c>
      <c r="AF5" s="47">
        <v>9.1</v>
      </c>
      <c r="AG5" s="47">
        <v>12</v>
      </c>
      <c r="AH5" s="47">
        <v>14.815</v>
      </c>
      <c r="AI5" s="47">
        <v>0</v>
      </c>
      <c r="AJ5" s="13">
        <f t="shared" si="17"/>
        <v>11</v>
      </c>
      <c r="AK5" s="13">
        <f t="shared" si="18"/>
        <v>47.160000000000004</v>
      </c>
      <c r="AL5" s="13">
        <f t="shared" si="19"/>
        <v>27.900000000000002</v>
      </c>
      <c r="AM5" s="13">
        <f t="shared" si="20"/>
        <v>75.06</v>
      </c>
      <c r="AN5" s="13">
        <f t="shared" si="21"/>
        <v>53.314999999999998</v>
      </c>
      <c r="AO5" s="13">
        <f t="shared" si="22"/>
        <v>128.375</v>
      </c>
      <c r="AP5" s="94">
        <v>18.100000000000001</v>
      </c>
      <c r="AQ5" s="94">
        <v>9.25</v>
      </c>
      <c r="AR5" s="94">
        <v>4</v>
      </c>
      <c r="AS5" s="94">
        <v>15.685</v>
      </c>
      <c r="AT5" s="94">
        <v>0</v>
      </c>
      <c r="AU5" s="94">
        <v>17.100000000000001</v>
      </c>
      <c r="AV5" s="94">
        <v>9.8000000000000007</v>
      </c>
      <c r="AW5" s="94">
        <v>13.3</v>
      </c>
      <c r="AX5" s="94">
        <v>15.045</v>
      </c>
      <c r="AY5" s="94">
        <v>0</v>
      </c>
      <c r="AZ5" s="94">
        <v>17.2</v>
      </c>
      <c r="BA5" s="94">
        <v>8.9499999999999993</v>
      </c>
      <c r="BB5" s="94">
        <v>13.3</v>
      </c>
      <c r="BC5" s="94">
        <v>14.97</v>
      </c>
      <c r="BD5" s="94">
        <v>0</v>
      </c>
      <c r="BE5" s="16">
        <f t="shared" si="23"/>
        <v>17.3</v>
      </c>
      <c r="BF5" s="16">
        <f t="shared" si="24"/>
        <v>47.035000000000004</v>
      </c>
      <c r="BG5" s="16">
        <f t="shared" si="25"/>
        <v>55.245000000000005</v>
      </c>
      <c r="BH5" s="16">
        <f t="shared" si="26"/>
        <v>102.28</v>
      </c>
      <c r="BI5" s="16">
        <f t="shared" si="27"/>
        <v>54.42</v>
      </c>
      <c r="BJ5" s="16">
        <f t="shared" si="28"/>
        <v>156.69999999999999</v>
      </c>
      <c r="BK5" s="47">
        <v>17.899999999999999</v>
      </c>
      <c r="BL5" s="47">
        <v>8.9</v>
      </c>
      <c r="BM5" s="47">
        <v>5.5</v>
      </c>
      <c r="BN5" s="47">
        <v>15.81</v>
      </c>
      <c r="BO5" s="47">
        <v>0.2</v>
      </c>
      <c r="BP5" s="47">
        <v>17.100000000000001</v>
      </c>
      <c r="BQ5" s="47">
        <v>9.5</v>
      </c>
      <c r="BR5" s="47">
        <v>13.6</v>
      </c>
      <c r="BS5" s="47">
        <v>15.16</v>
      </c>
      <c r="BT5" s="47">
        <v>0</v>
      </c>
      <c r="BU5" s="47">
        <v>16.399999999999999</v>
      </c>
      <c r="BV5" s="47">
        <v>8.65</v>
      </c>
      <c r="BW5" s="47">
        <v>13.6</v>
      </c>
      <c r="BX5" s="47">
        <v>15.164999999999999</v>
      </c>
      <c r="BY5" s="47">
        <v>0</v>
      </c>
      <c r="BZ5" s="13">
        <f t="shared" si="29"/>
        <v>19.100000000000001</v>
      </c>
      <c r="CA5" s="13">
        <f t="shared" si="30"/>
        <v>47.91</v>
      </c>
      <c r="CB5" s="13">
        <f t="shared" si="31"/>
        <v>55.36</v>
      </c>
      <c r="CC5" s="13">
        <f t="shared" si="32"/>
        <v>103.27</v>
      </c>
      <c r="CD5" s="13">
        <f t="shared" si="33"/>
        <v>53.814999999999998</v>
      </c>
      <c r="CE5" s="13">
        <f t="shared" si="34"/>
        <v>157.08499999999998</v>
      </c>
      <c r="CF5" s="30">
        <f t="shared" si="35"/>
        <v>0.60999999999999233</v>
      </c>
      <c r="CG5" s="30" t="str">
        <f t="shared" si="36"/>
        <v/>
      </c>
      <c r="CH5" s="30">
        <f t="shared" si="37"/>
        <v>1.0700000000000003</v>
      </c>
      <c r="CI5" s="47">
        <v>18.2</v>
      </c>
      <c r="CJ5" s="47">
        <v>9.6</v>
      </c>
      <c r="CK5" s="47">
        <v>4.0999999999999996</v>
      </c>
      <c r="CL5" s="47">
        <v>15.64</v>
      </c>
      <c r="CM5" s="47">
        <v>0</v>
      </c>
      <c r="CN5" s="47">
        <v>15.5</v>
      </c>
      <c r="CO5" s="47">
        <v>9.1</v>
      </c>
      <c r="CP5" s="47">
        <v>13.8</v>
      </c>
      <c r="CQ5" s="47">
        <v>14.33</v>
      </c>
      <c r="CR5" s="47">
        <v>0</v>
      </c>
      <c r="CS5" s="47"/>
      <c r="CT5" s="47"/>
      <c r="CU5" s="47"/>
      <c r="CV5" s="47"/>
      <c r="CW5" s="47"/>
      <c r="CX5" s="13">
        <f t="shared" si="38"/>
        <v>17.899999999999999</v>
      </c>
      <c r="CY5" s="13">
        <f t="shared" si="39"/>
        <v>47.54</v>
      </c>
      <c r="CZ5" s="13">
        <f t="shared" si="40"/>
        <v>52.730000000000004</v>
      </c>
      <c r="DA5" s="13">
        <f t="shared" si="41"/>
        <v>100.27000000000001</v>
      </c>
      <c r="DB5" s="13" t="str">
        <f t="shared" si="42"/>
        <v/>
      </c>
      <c r="DC5" s="13">
        <f t="shared" si="43"/>
        <v>100.27000000000001</v>
      </c>
      <c r="DD5" s="48">
        <v>16.3</v>
      </c>
      <c r="DE5" s="48">
        <v>8.5</v>
      </c>
      <c r="DF5" s="48">
        <v>4.8</v>
      </c>
      <c r="DG5" s="48">
        <v>15.685</v>
      </c>
      <c r="DH5" s="48">
        <v>0</v>
      </c>
      <c r="DI5" s="48">
        <v>16.5</v>
      </c>
      <c r="DJ5" s="48">
        <v>9.0500000000000007</v>
      </c>
      <c r="DK5" s="48">
        <v>13.5</v>
      </c>
      <c r="DL5" s="48">
        <v>14.994999999999999</v>
      </c>
      <c r="DM5" s="48">
        <v>0</v>
      </c>
      <c r="DN5" s="48"/>
      <c r="DO5" s="48"/>
      <c r="DP5" s="48"/>
      <c r="DQ5" s="48"/>
      <c r="DR5" s="48"/>
      <c r="DS5" s="16">
        <f t="shared" si="44"/>
        <v>18.3</v>
      </c>
      <c r="DT5" s="16">
        <f t="shared" si="45"/>
        <v>45.285000000000004</v>
      </c>
      <c r="DU5" s="16">
        <f t="shared" si="46"/>
        <v>54.044999999999995</v>
      </c>
      <c r="DV5" s="16">
        <f t="shared" si="47"/>
        <v>99.33</v>
      </c>
      <c r="DW5" s="16" t="str">
        <f t="shared" si="48"/>
        <v/>
      </c>
      <c r="DX5" s="16">
        <f t="shared" si="49"/>
        <v>99.33</v>
      </c>
      <c r="DY5" s="47">
        <v>13.2</v>
      </c>
      <c r="DZ5" s="47">
        <v>6.65</v>
      </c>
      <c r="EA5" s="47">
        <v>1.9</v>
      </c>
      <c r="EB5" s="47">
        <v>11.52</v>
      </c>
      <c r="EC5" s="47">
        <v>0</v>
      </c>
      <c r="ED5" s="47">
        <v>16</v>
      </c>
      <c r="EE5" s="47">
        <v>9.35</v>
      </c>
      <c r="EF5" s="47">
        <v>13.5</v>
      </c>
      <c r="EG5" s="47">
        <v>15.435</v>
      </c>
      <c r="EH5" s="47">
        <v>0</v>
      </c>
      <c r="EI5" s="47"/>
      <c r="EJ5" s="47"/>
      <c r="EK5" s="47"/>
      <c r="EL5" s="47"/>
      <c r="EM5" s="47"/>
      <c r="EN5" s="13">
        <f t="shared" si="50"/>
        <v>15.4</v>
      </c>
      <c r="EO5" s="13">
        <f t="shared" si="51"/>
        <v>33.269999999999996</v>
      </c>
      <c r="EP5" s="13">
        <f t="shared" si="52"/>
        <v>54.285000000000004</v>
      </c>
      <c r="EQ5" s="13">
        <f t="shared" si="53"/>
        <v>87.555000000000007</v>
      </c>
      <c r="ER5" s="13" t="str">
        <f t="shared" si="54"/>
        <v/>
      </c>
      <c r="ES5" s="13">
        <f t="shared" si="55"/>
        <v>87.555000000000007</v>
      </c>
      <c r="ET5" s="48">
        <v>18.399999999999999</v>
      </c>
      <c r="EU5" s="48">
        <v>9.25</v>
      </c>
      <c r="EV5" s="48">
        <v>4.0999999999999996</v>
      </c>
      <c r="EW5" s="48">
        <v>16.02</v>
      </c>
      <c r="EX5" s="48">
        <v>0</v>
      </c>
      <c r="EY5" s="48">
        <v>16.2</v>
      </c>
      <c r="EZ5" s="48">
        <v>9.1999999999999993</v>
      </c>
      <c r="FA5" s="48">
        <v>13.5</v>
      </c>
      <c r="FB5" s="48">
        <v>15.28</v>
      </c>
      <c r="FC5" s="48">
        <v>0.2</v>
      </c>
      <c r="FD5" s="48">
        <v>17</v>
      </c>
      <c r="FE5" s="48">
        <v>9.1999999999999993</v>
      </c>
      <c r="FF5" s="48">
        <v>13.8</v>
      </c>
      <c r="FG5" s="48">
        <v>15.49</v>
      </c>
      <c r="FH5" s="48">
        <v>0</v>
      </c>
      <c r="FI5" s="16">
        <f t="shared" si="56"/>
        <v>17.600000000000001</v>
      </c>
      <c r="FJ5" s="16">
        <f t="shared" si="57"/>
        <v>47.769999999999996</v>
      </c>
      <c r="FK5" s="16">
        <f t="shared" si="58"/>
        <v>53.98</v>
      </c>
      <c r="FL5" s="16">
        <f t="shared" si="59"/>
        <v>101.75</v>
      </c>
      <c r="FM5" s="16">
        <f t="shared" si="60"/>
        <v>55.49</v>
      </c>
      <c r="FN5" s="16">
        <f t="shared" si="61"/>
        <v>157.24</v>
      </c>
      <c r="FO5" s="47"/>
      <c r="FP5" s="47"/>
      <c r="FQ5" s="47"/>
      <c r="FR5" s="47"/>
      <c r="FS5" s="47"/>
      <c r="FT5" s="47"/>
      <c r="FU5" s="47"/>
      <c r="FV5" s="47"/>
      <c r="FW5" s="47"/>
      <c r="FX5" s="47"/>
      <c r="FY5" s="47">
        <v>16.600000000000001</v>
      </c>
      <c r="FZ5" s="47">
        <v>9.3000000000000007</v>
      </c>
      <c r="GA5" s="47">
        <v>13.8</v>
      </c>
      <c r="GB5" s="47">
        <v>15.22</v>
      </c>
      <c r="GC5" s="47">
        <v>0.2</v>
      </c>
      <c r="GD5" s="13" t="str">
        <f t="shared" si="62"/>
        <v/>
      </c>
      <c r="GE5" s="13" t="str">
        <f t="shared" si="63"/>
        <v/>
      </c>
      <c r="GF5" s="13" t="str">
        <f t="shared" si="64"/>
        <v/>
      </c>
      <c r="GG5" s="13" t="str">
        <f t="shared" si="65"/>
        <v/>
      </c>
      <c r="GH5" s="13">
        <f t="shared" si="66"/>
        <v>54.72</v>
      </c>
      <c r="GI5" s="13">
        <f t="shared" si="67"/>
        <v>54.72</v>
      </c>
      <c r="GJ5" s="48"/>
      <c r="GK5" s="48"/>
      <c r="GL5" s="48"/>
      <c r="GM5" s="48"/>
      <c r="GN5" s="48"/>
      <c r="GO5" s="48"/>
      <c r="GP5" s="48"/>
      <c r="GQ5" s="48"/>
      <c r="GR5" s="48"/>
      <c r="GS5" s="48"/>
      <c r="GT5" s="48">
        <v>53.44</v>
      </c>
      <c r="GU5" s="48"/>
      <c r="GV5" s="48"/>
      <c r="GW5" s="48"/>
      <c r="GX5" s="48"/>
      <c r="GY5" s="16" t="str">
        <f t="shared" si="68"/>
        <v/>
      </c>
      <c r="GZ5" s="16" t="str">
        <f t="shared" si="69"/>
        <v/>
      </c>
      <c r="HA5" s="16" t="str">
        <f t="shared" si="70"/>
        <v/>
      </c>
      <c r="HB5" s="16" t="str">
        <f t="shared" si="71"/>
        <v/>
      </c>
      <c r="HC5" s="16">
        <f t="shared" si="72"/>
        <v>53.44</v>
      </c>
      <c r="HD5" s="16">
        <f t="shared" si="73"/>
        <v>53.44</v>
      </c>
      <c r="HE5" s="47"/>
      <c r="HF5" s="47"/>
      <c r="HG5" s="47"/>
      <c r="HH5" s="47"/>
      <c r="HI5" s="47"/>
      <c r="HJ5" s="47"/>
      <c r="HK5" s="47"/>
      <c r="HL5" s="47"/>
      <c r="HM5" s="47"/>
      <c r="HN5" s="47"/>
      <c r="HO5" s="47"/>
      <c r="HP5" s="47"/>
      <c r="HQ5" s="47"/>
      <c r="HR5" s="47"/>
      <c r="HS5" s="47"/>
      <c r="HT5" s="13" t="str">
        <f t="shared" si="74"/>
        <v/>
      </c>
      <c r="HU5" s="13" t="str">
        <f t="shared" si="75"/>
        <v/>
      </c>
      <c r="HV5" s="13" t="str">
        <f t="shared" si="76"/>
        <v/>
      </c>
      <c r="HW5" s="13" t="str">
        <f t="shared" si="77"/>
        <v/>
      </c>
      <c r="HX5" s="13" t="str">
        <f t="shared" si="78"/>
        <v/>
      </c>
      <c r="HY5" s="13" t="str">
        <f t="shared" si="79"/>
        <v/>
      </c>
      <c r="HZ5" s="48"/>
      <c r="IA5" s="48"/>
      <c r="IB5" s="48"/>
      <c r="IC5" s="48"/>
      <c r="ID5" s="48"/>
      <c r="IE5" s="48"/>
      <c r="IF5" s="48"/>
      <c r="IG5" s="48"/>
      <c r="IH5" s="48"/>
      <c r="II5" s="48"/>
      <c r="IJ5" s="48"/>
      <c r="IK5" s="48"/>
      <c r="IL5" s="48"/>
      <c r="IM5" s="48"/>
      <c r="IN5" s="48"/>
      <c r="IO5" s="16" t="str">
        <f t="shared" si="80"/>
        <v/>
      </c>
      <c r="IP5" s="16" t="str">
        <f t="shared" si="81"/>
        <v/>
      </c>
      <c r="IQ5" s="16" t="str">
        <f t="shared" si="82"/>
        <v/>
      </c>
      <c r="IR5" s="16" t="str">
        <f t="shared" si="83"/>
        <v/>
      </c>
      <c r="IS5" s="16" t="str">
        <f t="shared" si="84"/>
        <v/>
      </c>
      <c r="IT5" s="16" t="str">
        <f t="shared" si="85"/>
        <v/>
      </c>
      <c r="IU5" s="47"/>
      <c r="IV5" s="47"/>
      <c r="IW5" s="47"/>
      <c r="IX5" s="47"/>
      <c r="IY5" s="47"/>
      <c r="IZ5" s="47"/>
      <c r="JA5" s="47"/>
      <c r="JB5" s="47"/>
      <c r="JC5" s="47"/>
      <c r="JD5" s="47"/>
      <c r="JE5" s="47"/>
      <c r="JF5" s="47"/>
      <c r="JG5" s="47"/>
      <c r="JH5" s="47"/>
      <c r="JI5" s="47"/>
      <c r="JJ5" s="13" t="str">
        <f t="shared" si="86"/>
        <v/>
      </c>
      <c r="JK5" s="13" t="str">
        <f t="shared" si="87"/>
        <v/>
      </c>
      <c r="JL5" s="13" t="str">
        <f t="shared" si="88"/>
        <v/>
      </c>
      <c r="JM5" s="13" t="str">
        <f t="shared" si="89"/>
        <v/>
      </c>
      <c r="JN5" s="13" t="str">
        <f t="shared" si="90"/>
        <v/>
      </c>
      <c r="JO5" s="13" t="str">
        <f t="shared" si="91"/>
        <v/>
      </c>
      <c r="JP5" s="48">
        <v>18.2</v>
      </c>
      <c r="JQ5" s="48">
        <v>9.35</v>
      </c>
      <c r="JR5" s="48">
        <v>4.3</v>
      </c>
      <c r="JS5" s="48">
        <v>15.92</v>
      </c>
      <c r="JT5" s="48">
        <v>0</v>
      </c>
      <c r="JU5" s="48">
        <v>16.399999999999999</v>
      </c>
      <c r="JV5" s="48">
        <v>9.6</v>
      </c>
      <c r="JW5" s="48">
        <v>13.3</v>
      </c>
      <c r="JX5" s="48">
        <v>15.175000000000001</v>
      </c>
      <c r="JY5" s="48">
        <v>0</v>
      </c>
      <c r="JZ5" s="48"/>
      <c r="KA5" s="48"/>
      <c r="KB5" s="48"/>
      <c r="KC5" s="48"/>
      <c r="KD5" s="48"/>
      <c r="KE5" s="16">
        <f t="shared" si="92"/>
        <v>17.600000000000001</v>
      </c>
      <c r="KF5" s="16">
        <f t="shared" si="93"/>
        <v>47.769999999999996</v>
      </c>
      <c r="KG5" s="16">
        <f t="shared" si="94"/>
        <v>54.474999999999994</v>
      </c>
      <c r="KH5" s="16">
        <f t="shared" si="95"/>
        <v>102.24499999999999</v>
      </c>
      <c r="KI5" s="16" t="str">
        <f t="shared" si="96"/>
        <v/>
      </c>
      <c r="KJ5" s="16">
        <f t="shared" si="97"/>
        <v>102.24499999999999</v>
      </c>
      <c r="KK5" s="47"/>
      <c r="KL5" s="47"/>
      <c r="KM5" s="47"/>
      <c r="KN5" s="47"/>
      <c r="KO5" s="47"/>
      <c r="KP5" s="47"/>
      <c r="KQ5" s="47"/>
      <c r="KR5" s="47"/>
      <c r="KS5" s="47"/>
      <c r="KT5" s="47"/>
      <c r="KU5" s="47"/>
      <c r="KV5" s="47"/>
      <c r="KW5" s="47"/>
      <c r="KX5" s="47"/>
      <c r="KY5" s="47"/>
      <c r="KZ5" s="13" t="str">
        <f t="shared" si="98"/>
        <v/>
      </c>
      <c r="LA5" s="13" t="str">
        <f t="shared" si="99"/>
        <v/>
      </c>
      <c r="LB5" s="13" t="str">
        <f t="shared" si="100"/>
        <v/>
      </c>
      <c r="LC5" s="13" t="str">
        <f t="shared" si="101"/>
        <v/>
      </c>
      <c r="LD5" s="13" t="str">
        <f t="shared" si="102"/>
        <v/>
      </c>
      <c r="LE5" s="13" t="str">
        <f t="shared" si="103"/>
        <v/>
      </c>
      <c r="LF5" s="48"/>
      <c r="LG5" s="48"/>
      <c r="LH5" s="48"/>
      <c r="LI5" s="48"/>
      <c r="LJ5" s="48"/>
      <c r="LK5" s="48"/>
      <c r="LL5" s="48"/>
      <c r="LM5" s="48"/>
      <c r="LN5" s="48"/>
      <c r="LO5" s="48"/>
      <c r="LP5" s="48"/>
      <c r="LQ5" s="48"/>
      <c r="LR5" s="48"/>
      <c r="LS5" s="48"/>
      <c r="LT5" s="48"/>
      <c r="LU5" s="16" t="str">
        <f t="shared" si="104"/>
        <v/>
      </c>
      <c r="LV5" s="16" t="str">
        <f t="shared" si="105"/>
        <v/>
      </c>
      <c r="LW5" s="16" t="str">
        <f t="shared" si="106"/>
        <v/>
      </c>
      <c r="LX5" s="16" t="str">
        <f t="shared" si="107"/>
        <v/>
      </c>
      <c r="LY5" s="16" t="str">
        <f t="shared" si="108"/>
        <v/>
      </c>
      <c r="LZ5" s="16" t="str">
        <f t="shared" si="109"/>
        <v/>
      </c>
    </row>
    <row r="6" spans="1:338" x14ac:dyDescent="0.2">
      <c r="A6" s="6">
        <f t="shared" si="0"/>
        <v>3</v>
      </c>
      <c r="B6" s="9" t="s">
        <v>44</v>
      </c>
      <c r="C6" s="5" t="s">
        <v>8</v>
      </c>
      <c r="D6" s="33">
        <v>2010</v>
      </c>
      <c r="E6" s="17">
        <f t="shared" si="1"/>
        <v>259.54499999999996</v>
      </c>
      <c r="F6" s="4" t="str">
        <f t="shared" si="2"/>
        <v>P</v>
      </c>
      <c r="G6" s="4" t="str">
        <f t="shared" si="3"/>
        <v>P</v>
      </c>
      <c r="H6" s="4" t="str">
        <f t="shared" si="4"/>
        <v>P</v>
      </c>
      <c r="I6" t="str">
        <f t="shared" si="5"/>
        <v>Funding</v>
      </c>
      <c r="J6" s="16">
        <f t="shared" si="6"/>
        <v>101.97</v>
      </c>
      <c r="K6" s="16" t="str">
        <f t="shared" si="7"/>
        <v>2017 3rd Domestic Trial</v>
      </c>
      <c r="L6" s="16">
        <f t="shared" si="8"/>
        <v>48.06</v>
      </c>
      <c r="M6" s="16" t="str">
        <f t="shared" si="9"/>
        <v>2018 Canada Cup</v>
      </c>
      <c r="N6" s="16">
        <f t="shared" si="10"/>
        <v>53.55</v>
      </c>
      <c r="O6" s="16" t="str">
        <f t="shared" si="11"/>
        <v>2018 Canada Cup</v>
      </c>
      <c r="P6" s="16">
        <f t="shared" si="12"/>
        <v>54.384999999999998</v>
      </c>
      <c r="Q6" s="16" t="str">
        <f t="shared" si="13"/>
        <v>2018 Canada Cup</v>
      </c>
      <c r="R6" s="16">
        <f t="shared" si="14"/>
        <v>1.5799999999999983</v>
      </c>
      <c r="S6" s="31" t="str">
        <f t="shared" si="15"/>
        <v>(Vol 2)</v>
      </c>
      <c r="T6" s="16" t="str">
        <f t="shared" si="16"/>
        <v>2018 World Cup ITA (Apr)</v>
      </c>
      <c r="U6" s="47">
        <v>17.7</v>
      </c>
      <c r="V6" s="47">
        <v>9.3000000000000007</v>
      </c>
      <c r="W6" s="47">
        <v>5.4</v>
      </c>
      <c r="X6" s="47">
        <v>15.625</v>
      </c>
      <c r="Y6" s="47">
        <v>0</v>
      </c>
      <c r="Z6" s="47">
        <v>15.4</v>
      </c>
      <c r="AA6" s="47">
        <v>9.3000000000000007</v>
      </c>
      <c r="AB6" s="47">
        <v>14.4</v>
      </c>
      <c r="AC6" s="47">
        <v>14.845000000000001</v>
      </c>
      <c r="AD6" s="47">
        <v>0</v>
      </c>
      <c r="AE6" s="47">
        <v>15.1</v>
      </c>
      <c r="AF6" s="47">
        <v>9.3000000000000007</v>
      </c>
      <c r="AG6" s="47">
        <v>15</v>
      </c>
      <c r="AH6" s="47">
        <v>14.73</v>
      </c>
      <c r="AI6" s="47">
        <v>0</v>
      </c>
      <c r="AJ6" s="13">
        <f t="shared" si="17"/>
        <v>19.8</v>
      </c>
      <c r="AK6" s="13">
        <f t="shared" si="18"/>
        <v>48.024999999999999</v>
      </c>
      <c r="AL6" s="13">
        <f t="shared" si="19"/>
        <v>53.945</v>
      </c>
      <c r="AM6" s="13">
        <f t="shared" si="20"/>
        <v>101.97</v>
      </c>
      <c r="AN6" s="13">
        <f t="shared" si="21"/>
        <v>54.129999999999995</v>
      </c>
      <c r="AO6" s="13">
        <f t="shared" si="22"/>
        <v>156.1</v>
      </c>
      <c r="AP6" s="94">
        <v>17.3</v>
      </c>
      <c r="AQ6" s="94">
        <v>9.65</v>
      </c>
      <c r="AR6" s="94">
        <v>5.4</v>
      </c>
      <c r="AS6" s="94">
        <v>15.71</v>
      </c>
      <c r="AT6" s="94">
        <v>0</v>
      </c>
      <c r="AU6" s="94">
        <v>14.8</v>
      </c>
      <c r="AV6" s="94">
        <v>9.35</v>
      </c>
      <c r="AW6" s="94">
        <v>14.4</v>
      </c>
      <c r="AX6" s="94">
        <v>15</v>
      </c>
      <c r="AY6" s="94">
        <v>0</v>
      </c>
      <c r="AZ6" s="94">
        <v>15.4</v>
      </c>
      <c r="BA6" s="94">
        <v>9.4499999999999993</v>
      </c>
      <c r="BB6" s="94">
        <v>14.4</v>
      </c>
      <c r="BC6" s="94">
        <v>15.135</v>
      </c>
      <c r="BD6" s="94">
        <v>0</v>
      </c>
      <c r="BE6" s="16">
        <f t="shared" si="23"/>
        <v>19.8</v>
      </c>
      <c r="BF6" s="16">
        <f t="shared" si="24"/>
        <v>48.06</v>
      </c>
      <c r="BG6" s="16">
        <f t="shared" si="25"/>
        <v>53.55</v>
      </c>
      <c r="BH6" s="16">
        <f t="shared" si="26"/>
        <v>101.61</v>
      </c>
      <c r="BI6" s="16">
        <f t="shared" si="27"/>
        <v>54.384999999999998</v>
      </c>
      <c r="BJ6" s="16">
        <f t="shared" si="28"/>
        <v>155.995</v>
      </c>
      <c r="BK6" s="47">
        <v>16.399999999999999</v>
      </c>
      <c r="BL6" s="47">
        <v>8.85</v>
      </c>
      <c r="BM6" s="47">
        <v>5.4</v>
      </c>
      <c r="BN6" s="47">
        <v>15.975</v>
      </c>
      <c r="BO6" s="47">
        <v>0</v>
      </c>
      <c r="BP6" s="47">
        <v>14.9</v>
      </c>
      <c r="BQ6" s="47">
        <v>8.6</v>
      </c>
      <c r="BR6" s="47">
        <v>14.4</v>
      </c>
      <c r="BS6" s="47">
        <v>15.074999999999999</v>
      </c>
      <c r="BT6" s="47">
        <v>0</v>
      </c>
      <c r="BU6" s="47">
        <v>15.2</v>
      </c>
      <c r="BV6" s="47">
        <v>8.9499999999999993</v>
      </c>
      <c r="BW6" s="47">
        <v>15</v>
      </c>
      <c r="BX6" s="47">
        <v>15.13</v>
      </c>
      <c r="BY6" s="47">
        <v>0</v>
      </c>
      <c r="BZ6" s="13">
        <f t="shared" si="29"/>
        <v>19.8</v>
      </c>
      <c r="CA6" s="13">
        <f t="shared" si="30"/>
        <v>46.625</v>
      </c>
      <c r="CB6" s="13">
        <f t="shared" si="31"/>
        <v>52.974999999999994</v>
      </c>
      <c r="CC6" s="13">
        <f t="shared" si="32"/>
        <v>99.6</v>
      </c>
      <c r="CD6" s="13">
        <f t="shared" si="33"/>
        <v>54.28</v>
      </c>
      <c r="CE6" s="13">
        <f t="shared" si="34"/>
        <v>153.88</v>
      </c>
      <c r="CF6" s="30">
        <f t="shared" si="35"/>
        <v>1.0149999999999935</v>
      </c>
      <c r="CG6" s="30">
        <f t="shared" si="36"/>
        <v>1.5799999999999983</v>
      </c>
      <c r="CH6" s="30">
        <f t="shared" si="37"/>
        <v>1.0350000000000037</v>
      </c>
      <c r="CI6" s="47"/>
      <c r="CJ6" s="47"/>
      <c r="CK6" s="47"/>
      <c r="CL6" s="47"/>
      <c r="CM6" s="47"/>
      <c r="CN6" s="47"/>
      <c r="CO6" s="47"/>
      <c r="CP6" s="47"/>
      <c r="CQ6" s="47"/>
      <c r="CR6" s="47"/>
      <c r="CS6" s="47"/>
      <c r="CT6" s="47"/>
      <c r="CU6" s="47"/>
      <c r="CV6" s="47"/>
      <c r="CW6" s="47"/>
      <c r="CX6" s="13" t="str">
        <f t="shared" si="38"/>
        <v/>
      </c>
      <c r="CY6" s="13" t="str">
        <f t="shared" si="39"/>
        <v/>
      </c>
      <c r="CZ6" s="13" t="str">
        <f t="shared" si="40"/>
        <v/>
      </c>
      <c r="DA6" s="13" t="str">
        <f t="shared" si="41"/>
        <v/>
      </c>
      <c r="DB6" s="13" t="str">
        <f t="shared" si="42"/>
        <v/>
      </c>
      <c r="DC6" s="13" t="str">
        <f t="shared" si="43"/>
        <v/>
      </c>
      <c r="DD6" s="48">
        <v>16.899999999999999</v>
      </c>
      <c r="DE6" s="48">
        <v>9.1</v>
      </c>
      <c r="DF6" s="48">
        <v>5.4</v>
      </c>
      <c r="DG6" s="48">
        <v>15.49</v>
      </c>
      <c r="DH6" s="48">
        <v>0</v>
      </c>
      <c r="DI6" s="48">
        <v>14.9</v>
      </c>
      <c r="DJ6" s="48">
        <v>9.4</v>
      </c>
      <c r="DK6" s="48">
        <v>14.4</v>
      </c>
      <c r="DL6" s="48">
        <v>14.885</v>
      </c>
      <c r="DM6" s="48">
        <v>0</v>
      </c>
      <c r="DN6" s="48">
        <v>15</v>
      </c>
      <c r="DO6" s="48">
        <v>9.0500000000000007</v>
      </c>
      <c r="DP6" s="48">
        <v>14.4</v>
      </c>
      <c r="DQ6" s="48">
        <v>15.074999999999999</v>
      </c>
      <c r="DR6" s="48">
        <v>0</v>
      </c>
      <c r="DS6" s="16">
        <f t="shared" si="44"/>
        <v>19.8</v>
      </c>
      <c r="DT6" s="16">
        <f t="shared" si="45"/>
        <v>46.89</v>
      </c>
      <c r="DU6" s="16">
        <f t="shared" si="46"/>
        <v>53.585000000000001</v>
      </c>
      <c r="DV6" s="16">
        <f t="shared" si="47"/>
        <v>100.47499999999999</v>
      </c>
      <c r="DW6" s="16">
        <f t="shared" si="48"/>
        <v>53.525000000000006</v>
      </c>
      <c r="DX6" s="16">
        <f t="shared" si="49"/>
        <v>154</v>
      </c>
      <c r="DY6" s="47"/>
      <c r="DZ6" s="47"/>
      <c r="EA6" s="47"/>
      <c r="EB6" s="47"/>
      <c r="EC6" s="47"/>
      <c r="ED6" s="47"/>
      <c r="EE6" s="47"/>
      <c r="EF6" s="47"/>
      <c r="EG6" s="47"/>
      <c r="EH6" s="47"/>
      <c r="EI6" s="47"/>
      <c r="EJ6" s="47"/>
      <c r="EK6" s="47"/>
      <c r="EL6" s="47"/>
      <c r="EM6" s="47"/>
      <c r="EN6" s="13" t="str">
        <f t="shared" si="50"/>
        <v/>
      </c>
      <c r="EO6" s="13" t="str">
        <f t="shared" si="51"/>
        <v/>
      </c>
      <c r="EP6" s="13" t="str">
        <f t="shared" si="52"/>
        <v/>
      </c>
      <c r="EQ6" s="13" t="str">
        <f t="shared" si="53"/>
        <v/>
      </c>
      <c r="ER6" s="13" t="str">
        <f t="shared" si="54"/>
        <v/>
      </c>
      <c r="ES6" s="13" t="str">
        <f t="shared" si="55"/>
        <v/>
      </c>
      <c r="ET6" s="48">
        <v>16.899999999999999</v>
      </c>
      <c r="EU6" s="48">
        <v>9.1</v>
      </c>
      <c r="EV6" s="48">
        <v>5.4</v>
      </c>
      <c r="EW6" s="48">
        <v>16.14</v>
      </c>
      <c r="EX6" s="48">
        <v>0</v>
      </c>
      <c r="EY6" s="48">
        <v>15.4</v>
      </c>
      <c r="EZ6" s="48">
        <v>9.5</v>
      </c>
      <c r="FA6" s="48">
        <v>14.4</v>
      </c>
      <c r="FB6" s="48">
        <v>15.365</v>
      </c>
      <c r="FC6" s="48">
        <v>0</v>
      </c>
      <c r="FD6" s="48"/>
      <c r="FE6" s="48"/>
      <c r="FF6" s="48"/>
      <c r="FG6" s="48"/>
      <c r="FH6" s="48"/>
      <c r="FI6" s="16">
        <f t="shared" si="56"/>
        <v>19.8</v>
      </c>
      <c r="FJ6" s="16">
        <f t="shared" si="57"/>
        <v>47.54</v>
      </c>
      <c r="FK6" s="16">
        <f t="shared" si="58"/>
        <v>54.664999999999999</v>
      </c>
      <c r="FL6" s="16">
        <f t="shared" si="59"/>
        <v>102.205</v>
      </c>
      <c r="FM6" s="16" t="str">
        <f t="shared" si="60"/>
        <v/>
      </c>
      <c r="FN6" s="16">
        <f t="shared" si="61"/>
        <v>102.205</v>
      </c>
      <c r="FO6" s="47"/>
      <c r="FP6" s="47"/>
      <c r="FQ6" s="47"/>
      <c r="FR6" s="47"/>
      <c r="FS6" s="47"/>
      <c r="FT6" s="47"/>
      <c r="FU6" s="47"/>
      <c r="FV6" s="47"/>
      <c r="FW6" s="47"/>
      <c r="FX6" s="47"/>
      <c r="FY6" s="47">
        <v>14.8</v>
      </c>
      <c r="FZ6" s="47">
        <v>8.9499999999999993</v>
      </c>
      <c r="GA6" s="47">
        <v>14.2</v>
      </c>
      <c r="GB6" s="47">
        <v>15.32</v>
      </c>
      <c r="GC6" s="47">
        <v>0</v>
      </c>
      <c r="GD6" s="13" t="str">
        <f t="shared" si="62"/>
        <v/>
      </c>
      <c r="GE6" s="13" t="str">
        <f t="shared" si="63"/>
        <v/>
      </c>
      <c r="GF6" s="13" t="str">
        <f t="shared" si="64"/>
        <v/>
      </c>
      <c r="GG6" s="13" t="str">
        <f t="shared" si="65"/>
        <v/>
      </c>
      <c r="GH6" s="13">
        <f t="shared" si="66"/>
        <v>53.27</v>
      </c>
      <c r="GI6" s="13">
        <f t="shared" si="67"/>
        <v>53.27</v>
      </c>
      <c r="GJ6" s="48"/>
      <c r="GK6" s="48"/>
      <c r="GL6" s="48"/>
      <c r="GM6" s="48"/>
      <c r="GN6" s="48"/>
      <c r="GO6" s="48"/>
      <c r="GP6" s="48"/>
      <c r="GQ6" s="48"/>
      <c r="GR6" s="48"/>
      <c r="GS6" s="48"/>
      <c r="GT6" s="48">
        <v>55.42</v>
      </c>
      <c r="GU6" s="48"/>
      <c r="GV6" s="48"/>
      <c r="GW6" s="48"/>
      <c r="GX6" s="48"/>
      <c r="GY6" s="16" t="str">
        <f t="shared" si="68"/>
        <v/>
      </c>
      <c r="GZ6" s="16" t="str">
        <f t="shared" si="69"/>
        <v/>
      </c>
      <c r="HA6" s="16" t="str">
        <f t="shared" si="70"/>
        <v/>
      </c>
      <c r="HB6" s="16" t="str">
        <f t="shared" si="71"/>
        <v/>
      </c>
      <c r="HC6" s="16">
        <f t="shared" si="72"/>
        <v>55.42</v>
      </c>
      <c r="HD6" s="16">
        <f t="shared" si="73"/>
        <v>55.42</v>
      </c>
      <c r="HE6" s="47"/>
      <c r="HF6" s="47"/>
      <c r="HG6" s="47"/>
      <c r="HH6" s="47"/>
      <c r="HI6" s="47"/>
      <c r="HJ6" s="47"/>
      <c r="HK6" s="47"/>
      <c r="HL6" s="47"/>
      <c r="HM6" s="47"/>
      <c r="HN6" s="47"/>
      <c r="HO6" s="47"/>
      <c r="HP6" s="47"/>
      <c r="HQ6" s="47"/>
      <c r="HR6" s="47"/>
      <c r="HS6" s="47"/>
      <c r="HT6" s="13" t="str">
        <f t="shared" si="74"/>
        <v/>
      </c>
      <c r="HU6" s="13" t="str">
        <f t="shared" si="75"/>
        <v/>
      </c>
      <c r="HV6" s="13" t="str">
        <f t="shared" si="76"/>
        <v/>
      </c>
      <c r="HW6" s="13" t="str">
        <f t="shared" si="77"/>
        <v/>
      </c>
      <c r="HX6" s="13" t="str">
        <f t="shared" si="78"/>
        <v/>
      </c>
      <c r="HY6" s="13" t="str">
        <f t="shared" si="79"/>
        <v/>
      </c>
      <c r="HZ6" s="48"/>
      <c r="IA6" s="48"/>
      <c r="IB6" s="48"/>
      <c r="IC6" s="48"/>
      <c r="ID6" s="48"/>
      <c r="IE6" s="48"/>
      <c r="IF6" s="48"/>
      <c r="IG6" s="48"/>
      <c r="IH6" s="48"/>
      <c r="II6" s="48"/>
      <c r="IJ6" s="48"/>
      <c r="IK6" s="48"/>
      <c r="IL6" s="48"/>
      <c r="IM6" s="48"/>
      <c r="IN6" s="48"/>
      <c r="IO6" s="16" t="str">
        <f t="shared" si="80"/>
        <v/>
      </c>
      <c r="IP6" s="16" t="str">
        <f t="shared" si="81"/>
        <v/>
      </c>
      <c r="IQ6" s="16" t="str">
        <f t="shared" si="82"/>
        <v/>
      </c>
      <c r="IR6" s="16" t="str">
        <f t="shared" si="83"/>
        <v/>
      </c>
      <c r="IS6" s="16" t="str">
        <f t="shared" si="84"/>
        <v/>
      </c>
      <c r="IT6" s="16" t="str">
        <f t="shared" si="85"/>
        <v/>
      </c>
      <c r="IU6" s="47"/>
      <c r="IV6" s="47"/>
      <c r="IW6" s="47"/>
      <c r="IX6" s="47"/>
      <c r="IY6" s="47"/>
      <c r="IZ6" s="47"/>
      <c r="JA6" s="47"/>
      <c r="JB6" s="47"/>
      <c r="JC6" s="47"/>
      <c r="JD6" s="47"/>
      <c r="JE6" s="47"/>
      <c r="JF6" s="47"/>
      <c r="JG6" s="47"/>
      <c r="JH6" s="47"/>
      <c r="JI6" s="47"/>
      <c r="JJ6" s="13" t="str">
        <f t="shared" si="86"/>
        <v/>
      </c>
      <c r="JK6" s="13" t="str">
        <f t="shared" si="87"/>
        <v/>
      </c>
      <c r="JL6" s="13" t="str">
        <f t="shared" si="88"/>
        <v/>
      </c>
      <c r="JM6" s="13" t="str">
        <f t="shared" si="89"/>
        <v/>
      </c>
      <c r="JN6" s="13" t="str">
        <f t="shared" si="90"/>
        <v/>
      </c>
      <c r="JO6" s="13" t="str">
        <f t="shared" si="91"/>
        <v/>
      </c>
      <c r="JP6" s="48">
        <v>17.3</v>
      </c>
      <c r="JQ6" s="48">
        <v>9.85</v>
      </c>
      <c r="JR6" s="48">
        <v>5.8</v>
      </c>
      <c r="JS6" s="48">
        <v>16.125</v>
      </c>
      <c r="JT6" s="48">
        <v>0</v>
      </c>
      <c r="JU6" s="48">
        <v>15.8</v>
      </c>
      <c r="JV6" s="48">
        <v>9.6</v>
      </c>
      <c r="JW6" s="48">
        <v>14.4</v>
      </c>
      <c r="JX6" s="48">
        <v>15.33</v>
      </c>
      <c r="JY6" s="48">
        <v>0</v>
      </c>
      <c r="JZ6" s="48">
        <v>14.7</v>
      </c>
      <c r="KA6" s="48">
        <v>9.15</v>
      </c>
      <c r="KB6" s="48">
        <v>14.2</v>
      </c>
      <c r="KC6" s="48">
        <v>15.015000000000001</v>
      </c>
      <c r="KD6" s="48">
        <v>0</v>
      </c>
      <c r="KE6" s="16">
        <f t="shared" si="92"/>
        <v>20.2</v>
      </c>
      <c r="KF6" s="16">
        <f t="shared" si="93"/>
        <v>49.074999999999996</v>
      </c>
      <c r="KG6" s="16">
        <f t="shared" si="94"/>
        <v>55.129999999999995</v>
      </c>
      <c r="KH6" s="16">
        <f t="shared" si="95"/>
        <v>104.20499999999998</v>
      </c>
      <c r="KI6" s="16">
        <f t="shared" si="96"/>
        <v>53.064999999999998</v>
      </c>
      <c r="KJ6" s="16">
        <f t="shared" si="97"/>
        <v>157.26999999999998</v>
      </c>
      <c r="KK6" s="47"/>
      <c r="KL6" s="47"/>
      <c r="KM6" s="47"/>
      <c r="KN6" s="47"/>
      <c r="KO6" s="47"/>
      <c r="KP6" s="47"/>
      <c r="KQ6" s="47"/>
      <c r="KR6" s="47"/>
      <c r="KS6" s="47"/>
      <c r="KT6" s="47"/>
      <c r="KU6" s="47"/>
      <c r="KV6" s="47"/>
      <c r="KW6" s="47"/>
      <c r="KX6" s="47"/>
      <c r="KY6" s="47"/>
      <c r="KZ6" s="13" t="str">
        <f t="shared" si="98"/>
        <v/>
      </c>
      <c r="LA6" s="13" t="str">
        <f t="shared" si="99"/>
        <v/>
      </c>
      <c r="LB6" s="13" t="str">
        <f t="shared" si="100"/>
        <v/>
      </c>
      <c r="LC6" s="13" t="str">
        <f t="shared" si="101"/>
        <v/>
      </c>
      <c r="LD6" s="13" t="str">
        <f t="shared" si="102"/>
        <v/>
      </c>
      <c r="LE6" s="13" t="str">
        <f t="shared" si="103"/>
        <v/>
      </c>
      <c r="LF6" s="48"/>
      <c r="LG6" s="48"/>
      <c r="LH6" s="48"/>
      <c r="LI6" s="48"/>
      <c r="LJ6" s="48"/>
      <c r="LK6" s="48"/>
      <c r="LL6" s="48"/>
      <c r="LM6" s="48"/>
      <c r="LN6" s="48"/>
      <c r="LO6" s="48"/>
      <c r="LP6" s="48"/>
      <c r="LQ6" s="48"/>
      <c r="LR6" s="48"/>
      <c r="LS6" s="48"/>
      <c r="LT6" s="48"/>
      <c r="LU6" s="16" t="str">
        <f t="shared" si="104"/>
        <v/>
      </c>
      <c r="LV6" s="16" t="str">
        <f t="shared" si="105"/>
        <v/>
      </c>
      <c r="LW6" s="16" t="str">
        <f t="shared" si="106"/>
        <v/>
      </c>
      <c r="LX6" s="16" t="str">
        <f t="shared" si="107"/>
        <v/>
      </c>
      <c r="LY6" s="16" t="str">
        <f t="shared" si="108"/>
        <v/>
      </c>
      <c r="LZ6" s="16" t="str">
        <f t="shared" si="109"/>
        <v/>
      </c>
    </row>
    <row r="7" spans="1:338" x14ac:dyDescent="0.2">
      <c r="A7" s="6">
        <f t="shared" si="0"/>
        <v>4</v>
      </c>
      <c r="B7" s="9" t="s">
        <v>46</v>
      </c>
      <c r="C7" s="5" t="s">
        <v>4</v>
      </c>
      <c r="D7" s="33">
        <v>2016</v>
      </c>
      <c r="E7" s="17">
        <f t="shared" si="1"/>
        <v>256.935</v>
      </c>
      <c r="F7" s="4" t="str">
        <f t="shared" si="2"/>
        <v>P</v>
      </c>
      <c r="G7" s="4" t="str">
        <f t="shared" si="3"/>
        <v>P</v>
      </c>
      <c r="H7" s="4" t="str">
        <f t="shared" si="4"/>
        <v>P</v>
      </c>
      <c r="I7" t="str">
        <f t="shared" si="5"/>
        <v>Funding</v>
      </c>
      <c r="J7" s="16">
        <f t="shared" si="6"/>
        <v>101.21</v>
      </c>
      <c r="K7" s="16" t="str">
        <f t="shared" si="7"/>
        <v>2017 3rd Domestic Trial</v>
      </c>
      <c r="L7" s="16">
        <f t="shared" si="8"/>
        <v>47.984999999999999</v>
      </c>
      <c r="M7" s="16" t="str">
        <f t="shared" si="9"/>
        <v>2018 Canada Cup</v>
      </c>
      <c r="N7" s="16">
        <f t="shared" si="10"/>
        <v>51.225000000000001</v>
      </c>
      <c r="O7" s="16" t="str">
        <f t="shared" si="11"/>
        <v>2018 Canada Cup</v>
      </c>
      <c r="P7" s="16">
        <f t="shared" si="12"/>
        <v>53.835000000000001</v>
      </c>
      <c r="Q7" s="16" t="str">
        <f t="shared" si="13"/>
        <v>2017 3rd Domestic Trial</v>
      </c>
      <c r="R7" s="16">
        <f t="shared" si="14"/>
        <v>2.6800000000000068</v>
      </c>
      <c r="S7" s="31" t="str">
        <f t="shared" si="15"/>
        <v>(Vol 2)</v>
      </c>
      <c r="T7" s="16" t="str">
        <f t="shared" si="16"/>
        <v>2017 World Cup BLR (Aug)</v>
      </c>
      <c r="U7" s="47">
        <v>16.7</v>
      </c>
      <c r="V7" s="47">
        <v>9.1</v>
      </c>
      <c r="W7" s="47">
        <v>5.8</v>
      </c>
      <c r="X7" s="47">
        <v>15.475</v>
      </c>
      <c r="Y7" s="47">
        <v>0</v>
      </c>
      <c r="Z7" s="47">
        <v>15.9</v>
      </c>
      <c r="AA7" s="47">
        <v>9.3000000000000007</v>
      </c>
      <c r="AB7" s="47">
        <v>13.8</v>
      </c>
      <c r="AC7" s="47">
        <v>15.135</v>
      </c>
      <c r="AD7" s="47">
        <v>0</v>
      </c>
      <c r="AE7" s="47">
        <v>16.100000000000001</v>
      </c>
      <c r="AF7" s="47">
        <v>9.1</v>
      </c>
      <c r="AG7" s="47">
        <v>13.8</v>
      </c>
      <c r="AH7" s="47">
        <v>14.835000000000001</v>
      </c>
      <c r="AI7" s="47">
        <v>0</v>
      </c>
      <c r="AJ7" s="13">
        <f t="shared" si="17"/>
        <v>19.600000000000001</v>
      </c>
      <c r="AK7" s="13">
        <f t="shared" si="18"/>
        <v>47.074999999999996</v>
      </c>
      <c r="AL7" s="13">
        <f t="shared" si="19"/>
        <v>54.134999999999998</v>
      </c>
      <c r="AM7" s="13">
        <f t="shared" si="20"/>
        <v>101.21</v>
      </c>
      <c r="AN7" s="13">
        <f t="shared" si="21"/>
        <v>53.835000000000001</v>
      </c>
      <c r="AO7" s="13">
        <f t="shared" si="22"/>
        <v>155.04499999999999</v>
      </c>
      <c r="AP7" s="94">
        <v>17.899999999999999</v>
      </c>
      <c r="AQ7" s="94">
        <v>9.5500000000000007</v>
      </c>
      <c r="AR7" s="94">
        <v>4.9000000000000004</v>
      </c>
      <c r="AS7" s="94">
        <v>15.635</v>
      </c>
      <c r="AT7" s="94">
        <v>0</v>
      </c>
      <c r="AU7" s="94">
        <v>13.7</v>
      </c>
      <c r="AV7" s="94">
        <v>9</v>
      </c>
      <c r="AW7" s="94">
        <v>14</v>
      </c>
      <c r="AX7" s="94">
        <v>14.525</v>
      </c>
      <c r="AY7" s="94">
        <v>0</v>
      </c>
      <c r="AZ7" s="94">
        <v>14.4</v>
      </c>
      <c r="BA7" s="94">
        <v>9.1</v>
      </c>
      <c r="BB7" s="94">
        <v>13.8</v>
      </c>
      <c r="BC7" s="94">
        <v>14.515000000000001</v>
      </c>
      <c r="BD7" s="94">
        <v>0</v>
      </c>
      <c r="BE7" s="16">
        <f t="shared" si="23"/>
        <v>18.899999999999999</v>
      </c>
      <c r="BF7" s="16">
        <f t="shared" si="24"/>
        <v>47.984999999999999</v>
      </c>
      <c r="BG7" s="16">
        <f t="shared" si="25"/>
        <v>51.225000000000001</v>
      </c>
      <c r="BH7" s="16">
        <f t="shared" si="26"/>
        <v>99.210000000000008</v>
      </c>
      <c r="BI7" s="16">
        <f t="shared" si="27"/>
        <v>51.814999999999998</v>
      </c>
      <c r="BJ7" s="16">
        <f t="shared" si="28"/>
        <v>151.02500000000001</v>
      </c>
      <c r="BK7" s="47">
        <v>17.8</v>
      </c>
      <c r="BL7" s="47">
        <v>9.6</v>
      </c>
      <c r="BM7" s="47">
        <v>4.7</v>
      </c>
      <c r="BN7" s="47">
        <v>15.69</v>
      </c>
      <c r="BO7" s="47">
        <v>0</v>
      </c>
      <c r="BP7" s="47">
        <v>8.1</v>
      </c>
      <c r="BQ7" s="47">
        <v>4.5</v>
      </c>
      <c r="BR7" s="47">
        <v>7.2</v>
      </c>
      <c r="BS7" s="47">
        <v>7.87</v>
      </c>
      <c r="BT7" s="47">
        <v>0</v>
      </c>
      <c r="BU7" s="47">
        <v>16</v>
      </c>
      <c r="BV7" s="47">
        <v>8.8000000000000007</v>
      </c>
      <c r="BW7" s="47">
        <v>13.8</v>
      </c>
      <c r="BX7" s="47">
        <v>14.925000000000001</v>
      </c>
      <c r="BY7" s="47">
        <v>0</v>
      </c>
      <c r="BZ7" s="13">
        <f t="shared" si="29"/>
        <v>11.9</v>
      </c>
      <c r="CA7" s="13">
        <f t="shared" si="30"/>
        <v>47.79</v>
      </c>
      <c r="CB7" s="13">
        <f t="shared" si="31"/>
        <v>27.67</v>
      </c>
      <c r="CC7" s="13">
        <f t="shared" si="32"/>
        <v>75.460000000000008</v>
      </c>
      <c r="CD7" s="13">
        <f t="shared" si="33"/>
        <v>53.525000000000006</v>
      </c>
      <c r="CE7" s="13">
        <f t="shared" si="34"/>
        <v>128.98500000000001</v>
      </c>
      <c r="CF7" s="30" t="str">
        <f t="shared" si="35"/>
        <v/>
      </c>
      <c r="CG7" s="30">
        <f t="shared" si="36"/>
        <v>2.6800000000000068</v>
      </c>
      <c r="CH7" s="30" t="str">
        <f t="shared" si="37"/>
        <v/>
      </c>
      <c r="CI7" s="47">
        <v>4.8</v>
      </c>
      <c r="CJ7" s="47">
        <v>2.7</v>
      </c>
      <c r="CK7" s="47">
        <v>1.7</v>
      </c>
      <c r="CL7" s="47">
        <v>4.6050000000000004</v>
      </c>
      <c r="CM7" s="47">
        <v>0</v>
      </c>
      <c r="CN7" s="47">
        <v>16</v>
      </c>
      <c r="CO7" s="47">
        <v>9.1</v>
      </c>
      <c r="CP7" s="47">
        <v>13.8</v>
      </c>
      <c r="CQ7" s="47">
        <v>15.005000000000001</v>
      </c>
      <c r="CR7" s="47">
        <v>0</v>
      </c>
      <c r="CS7" s="47"/>
      <c r="CT7" s="47"/>
      <c r="CU7" s="47"/>
      <c r="CV7" s="47"/>
      <c r="CW7" s="47"/>
      <c r="CX7" s="13">
        <f t="shared" si="38"/>
        <v>15.5</v>
      </c>
      <c r="CY7" s="13">
        <f t="shared" si="39"/>
        <v>13.805</v>
      </c>
      <c r="CZ7" s="13">
        <f t="shared" si="40"/>
        <v>53.905000000000008</v>
      </c>
      <c r="DA7" s="13">
        <f t="shared" si="41"/>
        <v>67.710000000000008</v>
      </c>
      <c r="DB7" s="13" t="str">
        <f t="shared" si="42"/>
        <v/>
      </c>
      <c r="DC7" s="13">
        <f t="shared" si="43"/>
        <v>67.710000000000008</v>
      </c>
      <c r="DD7" s="48">
        <v>14.2</v>
      </c>
      <c r="DE7" s="48">
        <v>9.4499999999999993</v>
      </c>
      <c r="DF7" s="48">
        <v>5.8</v>
      </c>
      <c r="DG7" s="48">
        <v>15.195</v>
      </c>
      <c r="DH7" s="48">
        <v>0</v>
      </c>
      <c r="DI7" s="48">
        <v>14.2</v>
      </c>
      <c r="DJ7" s="48">
        <v>8.8000000000000007</v>
      </c>
      <c r="DK7" s="48">
        <v>13.8</v>
      </c>
      <c r="DL7" s="48">
        <v>14.765000000000001</v>
      </c>
      <c r="DM7" s="48">
        <v>0</v>
      </c>
      <c r="DN7" s="48"/>
      <c r="DO7" s="48"/>
      <c r="DP7" s="48"/>
      <c r="DQ7" s="48"/>
      <c r="DR7" s="48"/>
      <c r="DS7" s="16">
        <f t="shared" si="44"/>
        <v>19.600000000000001</v>
      </c>
      <c r="DT7" s="16">
        <f t="shared" si="45"/>
        <v>44.644999999999996</v>
      </c>
      <c r="DU7" s="16">
        <f t="shared" si="46"/>
        <v>51.564999999999998</v>
      </c>
      <c r="DV7" s="16">
        <f t="shared" si="47"/>
        <v>96.21</v>
      </c>
      <c r="DW7" s="16" t="str">
        <f t="shared" si="48"/>
        <v/>
      </c>
      <c r="DX7" s="16">
        <f t="shared" si="49"/>
        <v>96.21</v>
      </c>
      <c r="DY7" s="47"/>
      <c r="DZ7" s="47"/>
      <c r="EA7" s="47"/>
      <c r="EB7" s="47"/>
      <c r="EC7" s="47"/>
      <c r="ED7" s="47"/>
      <c r="EE7" s="47"/>
      <c r="EF7" s="47"/>
      <c r="EG7" s="47"/>
      <c r="EH7" s="47"/>
      <c r="EI7" s="47"/>
      <c r="EJ7" s="47"/>
      <c r="EK7" s="47"/>
      <c r="EL7" s="47"/>
      <c r="EM7" s="47"/>
      <c r="EN7" s="13" t="str">
        <f t="shared" si="50"/>
        <v/>
      </c>
      <c r="EO7" s="13" t="str">
        <f t="shared" si="51"/>
        <v/>
      </c>
      <c r="EP7" s="13" t="str">
        <f t="shared" si="52"/>
        <v/>
      </c>
      <c r="EQ7" s="13" t="str">
        <f t="shared" si="53"/>
        <v/>
      </c>
      <c r="ER7" s="13" t="str">
        <f t="shared" si="54"/>
        <v/>
      </c>
      <c r="ES7" s="13" t="str">
        <f t="shared" si="55"/>
        <v/>
      </c>
      <c r="ET7" s="48"/>
      <c r="EU7" s="48"/>
      <c r="EV7" s="48"/>
      <c r="EW7" s="48"/>
      <c r="EX7" s="48"/>
      <c r="EY7" s="48"/>
      <c r="EZ7" s="48"/>
      <c r="FA7" s="48"/>
      <c r="FB7" s="48"/>
      <c r="FC7" s="48"/>
      <c r="FD7" s="48"/>
      <c r="FE7" s="48"/>
      <c r="FF7" s="48"/>
      <c r="FG7" s="48"/>
      <c r="FH7" s="48"/>
      <c r="FI7" s="16" t="str">
        <f t="shared" si="56"/>
        <v/>
      </c>
      <c r="FJ7" s="16" t="str">
        <f t="shared" si="57"/>
        <v/>
      </c>
      <c r="FK7" s="16" t="str">
        <f t="shared" si="58"/>
        <v/>
      </c>
      <c r="FL7" s="16" t="str">
        <f t="shared" si="59"/>
        <v/>
      </c>
      <c r="FM7" s="16" t="str">
        <f t="shared" si="60"/>
        <v/>
      </c>
      <c r="FN7" s="16" t="str">
        <f t="shared" si="61"/>
        <v/>
      </c>
      <c r="FO7" s="47"/>
      <c r="FP7" s="47"/>
      <c r="FQ7" s="47"/>
      <c r="FR7" s="47"/>
      <c r="FS7" s="47"/>
      <c r="FT7" s="47"/>
      <c r="FU7" s="47"/>
      <c r="FV7" s="47"/>
      <c r="FW7" s="47"/>
      <c r="FX7" s="47"/>
      <c r="FY7" s="47"/>
      <c r="FZ7" s="47"/>
      <c r="GA7" s="47"/>
      <c r="GB7" s="47"/>
      <c r="GC7" s="47"/>
      <c r="GD7" s="13" t="str">
        <f t="shared" si="62"/>
        <v/>
      </c>
      <c r="GE7" s="13" t="str">
        <f t="shared" si="63"/>
        <v/>
      </c>
      <c r="GF7" s="13" t="str">
        <f t="shared" si="64"/>
        <v/>
      </c>
      <c r="GG7" s="13" t="str">
        <f t="shared" si="65"/>
        <v/>
      </c>
      <c r="GH7" s="13" t="str">
        <f t="shared" si="66"/>
        <v/>
      </c>
      <c r="GI7" s="13" t="str">
        <f t="shared" si="67"/>
        <v/>
      </c>
      <c r="GJ7" s="48"/>
      <c r="GK7" s="48"/>
      <c r="GL7" s="48"/>
      <c r="GM7" s="48"/>
      <c r="GN7" s="48"/>
      <c r="GO7" s="48"/>
      <c r="GP7" s="48"/>
      <c r="GQ7" s="48"/>
      <c r="GR7" s="48"/>
      <c r="GS7" s="48"/>
      <c r="GT7" s="48"/>
      <c r="GU7" s="48"/>
      <c r="GV7" s="48"/>
      <c r="GW7" s="48"/>
      <c r="GX7" s="48"/>
      <c r="GY7" s="16" t="str">
        <f t="shared" si="68"/>
        <v/>
      </c>
      <c r="GZ7" s="16" t="str">
        <f t="shared" si="69"/>
        <v/>
      </c>
      <c r="HA7" s="16" t="str">
        <f t="shared" si="70"/>
        <v/>
      </c>
      <c r="HB7" s="16" t="str">
        <f t="shared" si="71"/>
        <v/>
      </c>
      <c r="HC7" s="16" t="str">
        <f t="shared" si="72"/>
        <v/>
      </c>
      <c r="HD7" s="16" t="str">
        <f t="shared" si="73"/>
        <v/>
      </c>
      <c r="HE7" s="47">
        <v>17.899999999999999</v>
      </c>
      <c r="HF7" s="47">
        <v>9</v>
      </c>
      <c r="HG7" s="47">
        <v>0</v>
      </c>
      <c r="HH7" s="47">
        <v>16.125</v>
      </c>
      <c r="HI7" s="47">
        <v>0</v>
      </c>
      <c r="HJ7" s="47">
        <v>14.8</v>
      </c>
      <c r="HK7" s="47">
        <v>9.5</v>
      </c>
      <c r="HL7" s="47">
        <v>13.6</v>
      </c>
      <c r="HM7" s="47">
        <v>15.145</v>
      </c>
      <c r="HN7" s="47">
        <v>0</v>
      </c>
      <c r="HO7" s="47">
        <v>13.9</v>
      </c>
      <c r="HP7" s="47">
        <v>8.8000000000000007</v>
      </c>
      <c r="HQ7" s="47">
        <v>13.6</v>
      </c>
      <c r="HR7" s="47">
        <v>14.92</v>
      </c>
      <c r="HS7" s="47">
        <v>0</v>
      </c>
      <c r="HT7" s="13">
        <f t="shared" si="74"/>
        <v>13.6</v>
      </c>
      <c r="HU7" s="13">
        <f t="shared" si="75"/>
        <v>43.024999999999999</v>
      </c>
      <c r="HV7" s="13">
        <f t="shared" si="76"/>
        <v>53.045000000000002</v>
      </c>
      <c r="HW7" s="13">
        <f t="shared" si="77"/>
        <v>96.07</v>
      </c>
      <c r="HX7" s="13">
        <f t="shared" si="78"/>
        <v>51.220000000000006</v>
      </c>
      <c r="HY7" s="13">
        <f t="shared" si="79"/>
        <v>147.29</v>
      </c>
      <c r="HZ7" s="48"/>
      <c r="IA7" s="48"/>
      <c r="IB7" s="48"/>
      <c r="IC7" s="48"/>
      <c r="ID7" s="48"/>
      <c r="IE7" s="48"/>
      <c r="IF7" s="48"/>
      <c r="IG7" s="48"/>
      <c r="IH7" s="48"/>
      <c r="II7" s="48"/>
      <c r="IJ7" s="48"/>
      <c r="IK7" s="48"/>
      <c r="IL7" s="48"/>
      <c r="IM7" s="48"/>
      <c r="IN7" s="48"/>
      <c r="IO7" s="16" t="str">
        <f t="shared" si="80"/>
        <v/>
      </c>
      <c r="IP7" s="16" t="str">
        <f t="shared" si="81"/>
        <v/>
      </c>
      <c r="IQ7" s="16" t="str">
        <f t="shared" si="82"/>
        <v/>
      </c>
      <c r="IR7" s="16" t="str">
        <f t="shared" si="83"/>
        <v/>
      </c>
      <c r="IS7" s="16" t="str">
        <f t="shared" si="84"/>
        <v/>
      </c>
      <c r="IT7" s="16" t="str">
        <f t="shared" si="85"/>
        <v/>
      </c>
      <c r="IU7" s="47"/>
      <c r="IV7" s="47"/>
      <c r="IW7" s="47"/>
      <c r="IX7" s="47"/>
      <c r="IY7" s="47"/>
      <c r="IZ7" s="47"/>
      <c r="JA7" s="47"/>
      <c r="JB7" s="47"/>
      <c r="JC7" s="47"/>
      <c r="JD7" s="47"/>
      <c r="JE7" s="47"/>
      <c r="JF7" s="47"/>
      <c r="JG7" s="47"/>
      <c r="JH7" s="47"/>
      <c r="JI7" s="47"/>
      <c r="JJ7" s="13" t="str">
        <f t="shared" si="86"/>
        <v/>
      </c>
      <c r="JK7" s="13" t="str">
        <f t="shared" si="87"/>
        <v/>
      </c>
      <c r="JL7" s="13" t="str">
        <f t="shared" si="88"/>
        <v/>
      </c>
      <c r="JM7" s="13" t="str">
        <f t="shared" si="89"/>
        <v/>
      </c>
      <c r="JN7" s="13" t="str">
        <f t="shared" si="90"/>
        <v/>
      </c>
      <c r="JO7" s="13" t="str">
        <f t="shared" si="91"/>
        <v/>
      </c>
      <c r="JP7" s="48"/>
      <c r="JQ7" s="48"/>
      <c r="JR7" s="48"/>
      <c r="JS7" s="48"/>
      <c r="JT7" s="48"/>
      <c r="JU7" s="48"/>
      <c r="JV7" s="48"/>
      <c r="JW7" s="48"/>
      <c r="JX7" s="48"/>
      <c r="JY7" s="48"/>
      <c r="JZ7" s="48"/>
      <c r="KA7" s="48"/>
      <c r="KB7" s="48"/>
      <c r="KC7" s="48"/>
      <c r="KD7" s="48"/>
      <c r="KE7" s="16" t="str">
        <f t="shared" si="92"/>
        <v/>
      </c>
      <c r="KF7" s="16" t="str">
        <f t="shared" si="93"/>
        <v/>
      </c>
      <c r="KG7" s="16" t="str">
        <f t="shared" si="94"/>
        <v/>
      </c>
      <c r="KH7" s="16" t="str">
        <f t="shared" si="95"/>
        <v/>
      </c>
      <c r="KI7" s="16" t="str">
        <f t="shared" si="96"/>
        <v/>
      </c>
      <c r="KJ7" s="16" t="str">
        <f t="shared" si="97"/>
        <v/>
      </c>
      <c r="KK7" s="47"/>
      <c r="KL7" s="47"/>
      <c r="KM7" s="47"/>
      <c r="KN7" s="47"/>
      <c r="KO7" s="47"/>
      <c r="KP7" s="47"/>
      <c r="KQ7" s="47"/>
      <c r="KR7" s="47"/>
      <c r="KS7" s="47"/>
      <c r="KT7" s="47"/>
      <c r="KU7" s="47"/>
      <c r="KV7" s="47"/>
      <c r="KW7" s="47"/>
      <c r="KX7" s="47"/>
      <c r="KY7" s="47"/>
      <c r="KZ7" s="13" t="str">
        <f t="shared" si="98"/>
        <v/>
      </c>
      <c r="LA7" s="13" t="str">
        <f t="shared" si="99"/>
        <v/>
      </c>
      <c r="LB7" s="13" t="str">
        <f t="shared" si="100"/>
        <v/>
      </c>
      <c r="LC7" s="13" t="str">
        <f t="shared" si="101"/>
        <v/>
      </c>
      <c r="LD7" s="13" t="str">
        <f t="shared" si="102"/>
        <v/>
      </c>
      <c r="LE7" s="13" t="str">
        <f t="shared" si="103"/>
        <v/>
      </c>
      <c r="LF7" s="48"/>
      <c r="LG7" s="48"/>
      <c r="LH7" s="48"/>
      <c r="LI7" s="48"/>
      <c r="LJ7" s="48"/>
      <c r="LK7" s="48"/>
      <c r="LL7" s="48"/>
      <c r="LM7" s="48"/>
      <c r="LN7" s="48"/>
      <c r="LO7" s="48"/>
      <c r="LP7" s="48"/>
      <c r="LQ7" s="48"/>
      <c r="LR7" s="48"/>
      <c r="LS7" s="48"/>
      <c r="LT7" s="48"/>
      <c r="LU7" s="16" t="str">
        <f t="shared" si="104"/>
        <v/>
      </c>
      <c r="LV7" s="16" t="str">
        <f t="shared" si="105"/>
        <v/>
      </c>
      <c r="LW7" s="16" t="str">
        <f t="shared" si="106"/>
        <v/>
      </c>
      <c r="LX7" s="16" t="str">
        <f t="shared" si="107"/>
        <v/>
      </c>
      <c r="LY7" s="16" t="str">
        <f t="shared" si="108"/>
        <v/>
      </c>
      <c r="LZ7" s="16" t="str">
        <f t="shared" si="109"/>
        <v/>
      </c>
    </row>
    <row r="8" spans="1:338" x14ac:dyDescent="0.2">
      <c r="A8" s="6">
        <f t="shared" si="0"/>
        <v>5</v>
      </c>
      <c r="B8" s="9" t="s">
        <v>45</v>
      </c>
      <c r="C8" s="5" t="s">
        <v>4</v>
      </c>
      <c r="D8" s="33">
        <v>2014</v>
      </c>
      <c r="E8" s="17">
        <f t="shared" si="1"/>
        <v>253.5575</v>
      </c>
      <c r="F8" s="4" t="str">
        <f t="shared" si="2"/>
        <v>P</v>
      </c>
      <c r="G8" s="4" t="str">
        <f t="shared" si="3"/>
        <v>P</v>
      </c>
      <c r="H8" s="4" t="str">
        <f t="shared" si="4"/>
        <v>P</v>
      </c>
      <c r="I8" t="str">
        <f t="shared" si="5"/>
        <v>Worlds Team</v>
      </c>
      <c r="J8" s="16">
        <f t="shared" si="6"/>
        <v>99.715000000000003</v>
      </c>
      <c r="K8" s="16" t="str">
        <f t="shared" si="7"/>
        <v>2018 Nationals</v>
      </c>
      <c r="L8" s="16">
        <f t="shared" si="8"/>
        <v>45.015000000000001</v>
      </c>
      <c r="M8" s="16" t="str">
        <f t="shared" si="9"/>
        <v>2018 Canada Cup</v>
      </c>
      <c r="N8" s="16">
        <f t="shared" si="10"/>
        <v>53.157499999999999</v>
      </c>
      <c r="O8" s="16" t="str">
        <f t="shared" si="11"/>
        <v>2017 3rd Domestic Trial</v>
      </c>
      <c r="P8" s="16">
        <f t="shared" si="12"/>
        <v>52.755000000000003</v>
      </c>
      <c r="Q8" s="16" t="str">
        <f t="shared" si="13"/>
        <v>2017 3rd Domestic Trial</v>
      </c>
      <c r="R8" s="16">
        <f t="shared" si="14"/>
        <v>2.914999999999992</v>
      </c>
      <c r="S8" s="31" t="str">
        <f t="shared" si="15"/>
        <v>(Vol 1)</v>
      </c>
      <c r="T8" s="16" t="str">
        <f t="shared" si="16"/>
        <v>2017 World Cup ESP (Oct)</v>
      </c>
      <c r="U8" s="47">
        <v>13.525</v>
      </c>
      <c r="V8" s="47">
        <v>14</v>
      </c>
      <c r="W8" s="47">
        <v>7.7</v>
      </c>
      <c r="X8" s="47">
        <v>1.3</v>
      </c>
      <c r="Y8" s="47">
        <v>0</v>
      </c>
      <c r="Z8" s="59">
        <v>53.157499999999999</v>
      </c>
      <c r="AA8" s="59">
        <v>0</v>
      </c>
      <c r="AB8" s="59">
        <v>0</v>
      </c>
      <c r="AC8" s="59">
        <v>0</v>
      </c>
      <c r="AD8" s="59">
        <v>0</v>
      </c>
      <c r="AE8" s="59">
        <v>52.755000000000003</v>
      </c>
      <c r="AF8" s="59">
        <v>0</v>
      </c>
      <c r="AG8" s="59">
        <v>0</v>
      </c>
      <c r="AH8" s="59">
        <v>0</v>
      </c>
      <c r="AI8" s="59">
        <v>0</v>
      </c>
      <c r="AJ8" s="13">
        <f t="shared" si="17"/>
        <v>7.7</v>
      </c>
      <c r="AK8" s="13">
        <f t="shared" si="18"/>
        <v>36.524999999999999</v>
      </c>
      <c r="AL8" s="13">
        <f t="shared" si="19"/>
        <v>53.157499999999999</v>
      </c>
      <c r="AM8" s="13">
        <f t="shared" si="20"/>
        <v>89.682500000000005</v>
      </c>
      <c r="AN8" s="13">
        <f t="shared" si="21"/>
        <v>52.755000000000003</v>
      </c>
      <c r="AO8" s="13">
        <f t="shared" si="22"/>
        <v>142.4375</v>
      </c>
      <c r="AP8" s="94">
        <v>15.3</v>
      </c>
      <c r="AQ8" s="94">
        <v>9.4</v>
      </c>
      <c r="AR8" s="94">
        <v>4</v>
      </c>
      <c r="AS8" s="94">
        <v>16.315000000000001</v>
      </c>
      <c r="AT8" s="94">
        <v>0</v>
      </c>
      <c r="AU8" s="94">
        <v>13.8</v>
      </c>
      <c r="AV8" s="94">
        <v>9.1</v>
      </c>
      <c r="AW8" s="94">
        <v>11.9</v>
      </c>
      <c r="AX8" s="94">
        <v>15.275</v>
      </c>
      <c r="AY8" s="94">
        <v>0</v>
      </c>
      <c r="AZ8" s="94">
        <v>10.3</v>
      </c>
      <c r="BA8" s="94">
        <v>6.25</v>
      </c>
      <c r="BB8" s="94">
        <v>8.8000000000000007</v>
      </c>
      <c r="BC8" s="94">
        <v>10.994999999999999</v>
      </c>
      <c r="BD8" s="94">
        <v>0</v>
      </c>
      <c r="BE8" s="16">
        <f t="shared" si="23"/>
        <v>15.9</v>
      </c>
      <c r="BF8" s="16">
        <f t="shared" si="24"/>
        <v>45.015000000000001</v>
      </c>
      <c r="BG8" s="16">
        <f t="shared" si="25"/>
        <v>50.074999999999996</v>
      </c>
      <c r="BH8" s="16">
        <f t="shared" si="26"/>
        <v>95.09</v>
      </c>
      <c r="BI8" s="16">
        <f t="shared" si="27"/>
        <v>36.344999999999999</v>
      </c>
      <c r="BJ8" s="16">
        <f t="shared" si="28"/>
        <v>131.435</v>
      </c>
      <c r="BK8" s="47">
        <v>16.899999999999999</v>
      </c>
      <c r="BL8" s="47">
        <v>9.5500000000000007</v>
      </c>
      <c r="BM8" s="47">
        <v>4.7</v>
      </c>
      <c r="BN8" s="47">
        <v>16.25</v>
      </c>
      <c r="BO8" s="47">
        <v>0</v>
      </c>
      <c r="BP8" s="47">
        <v>15.3</v>
      </c>
      <c r="BQ8" s="47">
        <v>8.9</v>
      </c>
      <c r="BR8" s="47">
        <v>12.7</v>
      </c>
      <c r="BS8" s="47">
        <v>15.414999999999999</v>
      </c>
      <c r="BT8" s="47">
        <v>0</v>
      </c>
      <c r="BU8" s="47">
        <v>14.7</v>
      </c>
      <c r="BV8" s="47">
        <v>9.1</v>
      </c>
      <c r="BW8" s="47">
        <v>12.6</v>
      </c>
      <c r="BX8" s="47">
        <v>15.095000000000001</v>
      </c>
      <c r="BY8" s="47">
        <v>0</v>
      </c>
      <c r="BZ8" s="13">
        <f t="shared" si="29"/>
        <v>17.399999999999999</v>
      </c>
      <c r="CA8" s="13">
        <f t="shared" si="30"/>
        <v>47.4</v>
      </c>
      <c r="CB8" s="13">
        <f t="shared" si="31"/>
        <v>52.315000000000005</v>
      </c>
      <c r="CC8" s="13">
        <f t="shared" si="32"/>
        <v>99.715000000000003</v>
      </c>
      <c r="CD8" s="13">
        <f t="shared" si="33"/>
        <v>51.494999999999997</v>
      </c>
      <c r="CE8" s="13">
        <f t="shared" si="34"/>
        <v>151.21</v>
      </c>
      <c r="CF8" s="30">
        <f t="shared" si="35"/>
        <v>2.914999999999992</v>
      </c>
      <c r="CG8" s="30">
        <f t="shared" si="36"/>
        <v>1.2674999999999983</v>
      </c>
      <c r="CH8" s="30">
        <f t="shared" si="37"/>
        <v>2.4999999999998579E-2</v>
      </c>
      <c r="CI8" s="47">
        <v>16.2</v>
      </c>
      <c r="CJ8" s="47">
        <v>9.6999999999999993</v>
      </c>
      <c r="CK8" s="47">
        <v>5</v>
      </c>
      <c r="CL8" s="47">
        <v>16.504999999999999</v>
      </c>
      <c r="CM8" s="47">
        <v>0</v>
      </c>
      <c r="CN8" s="47">
        <v>15.4</v>
      </c>
      <c r="CO8" s="47">
        <v>9.65</v>
      </c>
      <c r="CP8" s="47">
        <v>13.5</v>
      </c>
      <c r="CQ8" s="47">
        <v>15.875</v>
      </c>
      <c r="CR8" s="47">
        <v>0</v>
      </c>
      <c r="CS8" s="47">
        <v>15.2</v>
      </c>
      <c r="CT8" s="47">
        <v>8.9499999999999993</v>
      </c>
      <c r="CU8" s="47">
        <v>12.6</v>
      </c>
      <c r="CV8" s="47">
        <v>16.03</v>
      </c>
      <c r="CW8" s="47">
        <v>0</v>
      </c>
      <c r="CX8" s="13">
        <f t="shared" si="38"/>
        <v>18.5</v>
      </c>
      <c r="CY8" s="13">
        <f t="shared" si="39"/>
        <v>47.405000000000001</v>
      </c>
      <c r="CZ8" s="13">
        <f t="shared" si="40"/>
        <v>54.424999999999997</v>
      </c>
      <c r="DA8" s="13">
        <f t="shared" si="41"/>
        <v>101.83</v>
      </c>
      <c r="DB8" s="13">
        <f t="shared" si="42"/>
        <v>52.78</v>
      </c>
      <c r="DC8" s="13">
        <f t="shared" si="43"/>
        <v>154.61000000000001</v>
      </c>
      <c r="DD8" s="48"/>
      <c r="DE8" s="48"/>
      <c r="DF8" s="48"/>
      <c r="DG8" s="48"/>
      <c r="DH8" s="48"/>
      <c r="DI8" s="48"/>
      <c r="DJ8" s="48"/>
      <c r="DK8" s="48"/>
      <c r="DL8" s="48"/>
      <c r="DM8" s="48"/>
      <c r="DN8" s="48"/>
      <c r="DO8" s="48"/>
      <c r="DP8" s="48"/>
      <c r="DQ8" s="48"/>
      <c r="DR8" s="48"/>
      <c r="DS8" s="16" t="str">
        <f t="shared" si="44"/>
        <v/>
      </c>
      <c r="DT8" s="16" t="str">
        <f t="shared" si="45"/>
        <v/>
      </c>
      <c r="DU8" s="16" t="str">
        <f t="shared" si="46"/>
        <v/>
      </c>
      <c r="DV8" s="16" t="str">
        <f t="shared" si="47"/>
        <v/>
      </c>
      <c r="DW8" s="16" t="str">
        <f t="shared" si="48"/>
        <v/>
      </c>
      <c r="DX8" s="16" t="str">
        <f t="shared" si="49"/>
        <v/>
      </c>
      <c r="DY8" s="47">
        <v>16.899999999999999</v>
      </c>
      <c r="DZ8" s="47">
        <v>9.4</v>
      </c>
      <c r="EA8" s="47">
        <v>4.8</v>
      </c>
      <c r="EB8" s="47">
        <v>16.829999999999998</v>
      </c>
      <c r="EC8" s="47">
        <v>0</v>
      </c>
      <c r="ED8" s="47">
        <v>14.8</v>
      </c>
      <c r="EE8" s="47">
        <v>8.9</v>
      </c>
      <c r="EF8" s="47">
        <v>11.9</v>
      </c>
      <c r="EG8" s="47">
        <v>15.895</v>
      </c>
      <c r="EH8" s="47">
        <v>0</v>
      </c>
      <c r="EI8" s="47"/>
      <c r="EJ8" s="47"/>
      <c r="EK8" s="47"/>
      <c r="EL8" s="47"/>
      <c r="EM8" s="47"/>
      <c r="EN8" s="13">
        <f t="shared" si="50"/>
        <v>16.7</v>
      </c>
      <c r="EO8" s="13">
        <f t="shared" si="51"/>
        <v>47.929999999999993</v>
      </c>
      <c r="EP8" s="13">
        <f t="shared" si="52"/>
        <v>51.495000000000005</v>
      </c>
      <c r="EQ8" s="13">
        <f t="shared" si="53"/>
        <v>99.424999999999997</v>
      </c>
      <c r="ER8" s="13" t="str">
        <f t="shared" si="54"/>
        <v/>
      </c>
      <c r="ES8" s="13">
        <f t="shared" si="55"/>
        <v>99.424999999999997</v>
      </c>
      <c r="ET8" s="48">
        <v>1.6</v>
      </c>
      <c r="EU8" s="48">
        <v>0.8</v>
      </c>
      <c r="EV8" s="48">
        <v>1.3</v>
      </c>
      <c r="EW8" s="48">
        <v>1.74</v>
      </c>
      <c r="EX8" s="48">
        <v>0</v>
      </c>
      <c r="EY8" s="48">
        <v>14.4</v>
      </c>
      <c r="EZ8" s="48">
        <v>9</v>
      </c>
      <c r="FA8" s="48">
        <v>13.5</v>
      </c>
      <c r="FB8" s="48">
        <v>15.555</v>
      </c>
      <c r="FC8" s="48">
        <v>0</v>
      </c>
      <c r="FD8" s="48"/>
      <c r="FE8" s="48"/>
      <c r="FF8" s="48"/>
      <c r="FG8" s="48"/>
      <c r="FH8" s="48"/>
      <c r="FI8" s="16">
        <f t="shared" si="56"/>
        <v>14.8</v>
      </c>
      <c r="FJ8" s="16">
        <f t="shared" si="57"/>
        <v>5.44</v>
      </c>
      <c r="FK8" s="16">
        <f t="shared" si="58"/>
        <v>52.454999999999998</v>
      </c>
      <c r="FL8" s="16">
        <f t="shared" si="59"/>
        <v>57.894999999999996</v>
      </c>
      <c r="FM8" s="16" t="str">
        <f t="shared" si="60"/>
        <v/>
      </c>
      <c r="FN8" s="16">
        <f t="shared" si="61"/>
        <v>57.894999999999996</v>
      </c>
      <c r="FO8" s="47"/>
      <c r="FP8" s="47"/>
      <c r="FQ8" s="47"/>
      <c r="FR8" s="47"/>
      <c r="FS8" s="47"/>
      <c r="FT8" s="47"/>
      <c r="FU8" s="47"/>
      <c r="FV8" s="47"/>
      <c r="FW8" s="47"/>
      <c r="FX8" s="47"/>
      <c r="FY8" s="47"/>
      <c r="FZ8" s="47"/>
      <c r="GA8" s="47"/>
      <c r="GB8" s="47"/>
      <c r="GC8" s="47"/>
      <c r="GD8" s="13" t="str">
        <f t="shared" si="62"/>
        <v/>
      </c>
      <c r="GE8" s="13" t="str">
        <f t="shared" si="63"/>
        <v/>
      </c>
      <c r="GF8" s="13" t="str">
        <f t="shared" si="64"/>
        <v/>
      </c>
      <c r="GG8" s="13" t="str">
        <f t="shared" si="65"/>
        <v/>
      </c>
      <c r="GH8" s="13" t="str">
        <f t="shared" si="66"/>
        <v/>
      </c>
      <c r="GI8" s="13" t="str">
        <f t="shared" si="67"/>
        <v/>
      </c>
      <c r="GJ8" s="48"/>
      <c r="GK8" s="48"/>
      <c r="GL8" s="48"/>
      <c r="GM8" s="48"/>
      <c r="GN8" s="48"/>
      <c r="GO8" s="48"/>
      <c r="GP8" s="48"/>
      <c r="GQ8" s="48"/>
      <c r="GR8" s="48"/>
      <c r="GS8" s="48"/>
      <c r="GT8" s="48"/>
      <c r="GU8" s="48"/>
      <c r="GV8" s="48"/>
      <c r="GW8" s="48"/>
      <c r="GX8" s="48"/>
      <c r="GY8" s="16" t="str">
        <f t="shared" si="68"/>
        <v/>
      </c>
      <c r="GZ8" s="16" t="str">
        <f t="shared" si="69"/>
        <v/>
      </c>
      <c r="HA8" s="16" t="str">
        <f t="shared" si="70"/>
        <v/>
      </c>
      <c r="HB8" s="16" t="str">
        <f t="shared" si="71"/>
        <v/>
      </c>
      <c r="HC8" s="16" t="str">
        <f t="shared" si="72"/>
        <v/>
      </c>
      <c r="HD8" s="16" t="str">
        <f t="shared" si="73"/>
        <v/>
      </c>
      <c r="HE8" s="47"/>
      <c r="HF8" s="47"/>
      <c r="HG8" s="47"/>
      <c r="HH8" s="47"/>
      <c r="HI8" s="47"/>
      <c r="HJ8" s="47"/>
      <c r="HK8" s="47"/>
      <c r="HL8" s="47"/>
      <c r="HM8" s="47"/>
      <c r="HN8" s="47"/>
      <c r="HO8" s="47"/>
      <c r="HP8" s="47"/>
      <c r="HQ8" s="47"/>
      <c r="HR8" s="47"/>
      <c r="HS8" s="47"/>
      <c r="HT8" s="13" t="str">
        <f t="shared" si="74"/>
        <v/>
      </c>
      <c r="HU8" s="13" t="str">
        <f t="shared" si="75"/>
        <v/>
      </c>
      <c r="HV8" s="13" t="str">
        <f t="shared" si="76"/>
        <v/>
      </c>
      <c r="HW8" s="13" t="str">
        <f t="shared" si="77"/>
        <v/>
      </c>
      <c r="HX8" s="13" t="str">
        <f t="shared" si="78"/>
        <v/>
      </c>
      <c r="HY8" s="13" t="str">
        <f t="shared" si="79"/>
        <v/>
      </c>
      <c r="HZ8" s="48"/>
      <c r="IA8" s="48"/>
      <c r="IB8" s="48"/>
      <c r="IC8" s="48"/>
      <c r="ID8" s="48"/>
      <c r="IE8" s="48"/>
      <c r="IF8" s="48"/>
      <c r="IG8" s="48"/>
      <c r="IH8" s="48"/>
      <c r="II8" s="48"/>
      <c r="IJ8" s="48"/>
      <c r="IK8" s="48"/>
      <c r="IL8" s="48"/>
      <c r="IM8" s="48"/>
      <c r="IN8" s="48"/>
      <c r="IO8" s="16" t="str">
        <f t="shared" si="80"/>
        <v/>
      </c>
      <c r="IP8" s="16" t="str">
        <f t="shared" si="81"/>
        <v/>
      </c>
      <c r="IQ8" s="16" t="str">
        <f t="shared" si="82"/>
        <v/>
      </c>
      <c r="IR8" s="16" t="str">
        <f t="shared" si="83"/>
        <v/>
      </c>
      <c r="IS8" s="16" t="str">
        <f t="shared" si="84"/>
        <v/>
      </c>
      <c r="IT8" s="16" t="str">
        <f t="shared" si="85"/>
        <v/>
      </c>
      <c r="IU8" s="47"/>
      <c r="IV8" s="47"/>
      <c r="IW8" s="47"/>
      <c r="IX8" s="47"/>
      <c r="IY8" s="47"/>
      <c r="IZ8" s="47"/>
      <c r="JA8" s="47"/>
      <c r="JB8" s="47"/>
      <c r="JC8" s="47"/>
      <c r="JD8" s="47"/>
      <c r="JE8" s="47"/>
      <c r="JF8" s="47"/>
      <c r="JG8" s="47"/>
      <c r="JH8" s="47"/>
      <c r="JI8" s="47"/>
      <c r="JJ8" s="13" t="str">
        <f t="shared" si="86"/>
        <v/>
      </c>
      <c r="JK8" s="13" t="str">
        <f t="shared" si="87"/>
        <v/>
      </c>
      <c r="JL8" s="13" t="str">
        <f t="shared" si="88"/>
        <v/>
      </c>
      <c r="JM8" s="13" t="str">
        <f t="shared" si="89"/>
        <v/>
      </c>
      <c r="JN8" s="13" t="str">
        <f t="shared" si="90"/>
        <v/>
      </c>
      <c r="JO8" s="13" t="str">
        <f t="shared" si="91"/>
        <v/>
      </c>
      <c r="JP8" s="48">
        <v>16.8</v>
      </c>
      <c r="JQ8" s="48">
        <v>9.6999999999999993</v>
      </c>
      <c r="JR8" s="48">
        <v>4.5</v>
      </c>
      <c r="JS8" s="48">
        <v>16.295000000000002</v>
      </c>
      <c r="JT8" s="48">
        <v>0</v>
      </c>
      <c r="JU8" s="48">
        <v>14.8</v>
      </c>
      <c r="JV8" s="48">
        <v>12.7</v>
      </c>
      <c r="JW8" s="48">
        <v>9.5500000000000007</v>
      </c>
      <c r="JX8" s="48">
        <v>15.404999999999999</v>
      </c>
      <c r="JY8" s="48">
        <v>0</v>
      </c>
      <c r="JZ8" s="48"/>
      <c r="KA8" s="48"/>
      <c r="KB8" s="48"/>
      <c r="KC8" s="48"/>
      <c r="KD8" s="48"/>
      <c r="KE8" s="16">
        <f t="shared" si="92"/>
        <v>14.05</v>
      </c>
      <c r="KF8" s="16">
        <f t="shared" si="93"/>
        <v>47.295000000000002</v>
      </c>
      <c r="KG8" s="16">
        <f t="shared" si="94"/>
        <v>52.454999999999998</v>
      </c>
      <c r="KH8" s="16">
        <f t="shared" si="95"/>
        <v>99.75</v>
      </c>
      <c r="KI8" s="16" t="str">
        <f t="shared" si="96"/>
        <v/>
      </c>
      <c r="KJ8" s="16">
        <f t="shared" si="97"/>
        <v>99.75</v>
      </c>
      <c r="KK8" s="47"/>
      <c r="KL8" s="47"/>
      <c r="KM8" s="47"/>
      <c r="KN8" s="47"/>
      <c r="KO8" s="47"/>
      <c r="KP8" s="47"/>
      <c r="KQ8" s="47"/>
      <c r="KR8" s="47"/>
      <c r="KS8" s="47"/>
      <c r="KT8" s="47"/>
      <c r="KU8" s="47"/>
      <c r="KV8" s="47"/>
      <c r="KW8" s="47"/>
      <c r="KX8" s="47"/>
      <c r="KY8" s="47"/>
      <c r="KZ8" s="13" t="str">
        <f t="shared" si="98"/>
        <v/>
      </c>
      <c r="LA8" s="13" t="str">
        <f t="shared" si="99"/>
        <v/>
      </c>
      <c r="LB8" s="13" t="str">
        <f t="shared" si="100"/>
        <v/>
      </c>
      <c r="LC8" s="13" t="str">
        <f t="shared" si="101"/>
        <v/>
      </c>
      <c r="LD8" s="13" t="str">
        <f t="shared" si="102"/>
        <v/>
      </c>
      <c r="LE8" s="13" t="str">
        <f t="shared" si="103"/>
        <v/>
      </c>
      <c r="LF8" s="48"/>
      <c r="LG8" s="48"/>
      <c r="LH8" s="48"/>
      <c r="LI8" s="48"/>
      <c r="LJ8" s="48"/>
      <c r="LK8" s="48"/>
      <c r="LL8" s="48"/>
      <c r="LM8" s="48"/>
      <c r="LN8" s="48"/>
      <c r="LO8" s="48"/>
      <c r="LP8" s="48"/>
      <c r="LQ8" s="48"/>
      <c r="LR8" s="48"/>
      <c r="LS8" s="48"/>
      <c r="LT8" s="48"/>
      <c r="LU8" s="16" t="str">
        <f t="shared" si="104"/>
        <v/>
      </c>
      <c r="LV8" s="16" t="str">
        <f t="shared" si="105"/>
        <v/>
      </c>
      <c r="LW8" s="16" t="str">
        <f t="shared" si="106"/>
        <v/>
      </c>
      <c r="LX8" s="16" t="str">
        <f t="shared" si="107"/>
        <v/>
      </c>
      <c r="LY8" s="16" t="str">
        <f t="shared" si="108"/>
        <v/>
      </c>
      <c r="LZ8" s="16" t="str">
        <f t="shared" si="109"/>
        <v/>
      </c>
    </row>
    <row r="9" spans="1:338" x14ac:dyDescent="0.2">
      <c r="A9" s="6">
        <f t="shared" si="0"/>
        <v>6</v>
      </c>
      <c r="B9" s="7" t="s">
        <v>47</v>
      </c>
      <c r="C9" s="8" t="s">
        <v>4</v>
      </c>
      <c r="D9" s="6">
        <v>2004</v>
      </c>
      <c r="E9" s="17">
        <f t="shared" si="1"/>
        <v>252.35499999999999</v>
      </c>
      <c r="F9" s="4" t="str">
        <f t="shared" si="2"/>
        <v>P</v>
      </c>
      <c r="G9" s="4" t="str">
        <f t="shared" si="3"/>
        <v>P</v>
      </c>
      <c r="H9" s="4" t="str">
        <f t="shared" si="4"/>
        <v>P</v>
      </c>
      <c r="I9" t="str">
        <f t="shared" si="5"/>
        <v>Funding</v>
      </c>
      <c r="J9" s="16">
        <f t="shared" si="6"/>
        <v>103.69999999999999</v>
      </c>
      <c r="K9" s="16" t="str">
        <f t="shared" si="7"/>
        <v>2018 Canada Cup</v>
      </c>
      <c r="L9" s="16">
        <f t="shared" si="8"/>
        <v>49.085000000000001</v>
      </c>
      <c r="M9" s="16" t="str">
        <f t="shared" si="9"/>
        <v>2018 Nationals</v>
      </c>
      <c r="N9" s="16">
        <f t="shared" si="10"/>
        <v>54.36</v>
      </c>
      <c r="O9" s="16" t="str">
        <f t="shared" si="11"/>
        <v>2018 Nationals</v>
      </c>
      <c r="P9" s="16">
        <f t="shared" si="12"/>
        <v>44.8</v>
      </c>
      <c r="Q9" s="16" t="str">
        <f t="shared" si="13"/>
        <v>2018 Canada Cup</v>
      </c>
      <c r="R9" s="16">
        <f t="shared" si="14"/>
        <v>0.41000000000000369</v>
      </c>
      <c r="S9" s="31" t="str">
        <f t="shared" si="15"/>
        <v>(Vol 2)</v>
      </c>
      <c r="T9" s="16" t="str">
        <f t="shared" si="16"/>
        <v>2017 World Cup ESP (Oct)</v>
      </c>
      <c r="U9" s="59">
        <v>24.49</v>
      </c>
      <c r="V9" s="59">
        <v>0</v>
      </c>
      <c r="W9" s="59">
        <v>0</v>
      </c>
      <c r="X9" s="59">
        <v>0</v>
      </c>
      <c r="Y9" s="59">
        <v>0</v>
      </c>
      <c r="Z9" s="59">
        <v>28.518000000000001</v>
      </c>
      <c r="AA9" s="59">
        <v>0</v>
      </c>
      <c r="AB9" s="59">
        <v>0</v>
      </c>
      <c r="AC9" s="59">
        <v>0</v>
      </c>
      <c r="AD9" s="59">
        <v>0</v>
      </c>
      <c r="AE9" s="59">
        <v>26.36</v>
      </c>
      <c r="AF9" s="59">
        <v>0</v>
      </c>
      <c r="AG9" s="59">
        <v>0</v>
      </c>
      <c r="AH9" s="59">
        <v>0</v>
      </c>
      <c r="AI9" s="59">
        <v>0</v>
      </c>
      <c r="AJ9" s="13" t="str">
        <f t="shared" si="17"/>
        <v/>
      </c>
      <c r="AK9" s="13">
        <f t="shared" si="18"/>
        <v>24.49</v>
      </c>
      <c r="AL9" s="13">
        <f t="shared" si="19"/>
        <v>28.518000000000001</v>
      </c>
      <c r="AM9" s="13">
        <f t="shared" si="20"/>
        <v>53.007999999999996</v>
      </c>
      <c r="AN9" s="13">
        <f t="shared" si="21"/>
        <v>26.36</v>
      </c>
      <c r="AO9" s="13">
        <f t="shared" si="22"/>
        <v>79.367999999999995</v>
      </c>
      <c r="AP9" s="94">
        <v>18.399999999999999</v>
      </c>
      <c r="AQ9" s="94">
        <v>9.4</v>
      </c>
      <c r="AR9" s="94">
        <v>4.4000000000000004</v>
      </c>
      <c r="AS9" s="94">
        <v>16.515000000000001</v>
      </c>
      <c r="AT9" s="94">
        <v>0</v>
      </c>
      <c r="AU9" s="94">
        <v>16</v>
      </c>
      <c r="AV9" s="94">
        <v>9.5</v>
      </c>
      <c r="AW9" s="94">
        <v>13.5</v>
      </c>
      <c r="AX9" s="94">
        <v>15.984999999999999</v>
      </c>
      <c r="AY9" s="94">
        <v>0</v>
      </c>
      <c r="AZ9" s="94">
        <v>14</v>
      </c>
      <c r="BA9" s="94">
        <v>7.45</v>
      </c>
      <c r="BB9" s="94">
        <v>10.4</v>
      </c>
      <c r="BC9" s="94">
        <v>12.95</v>
      </c>
      <c r="BD9" s="94">
        <v>0</v>
      </c>
      <c r="BE9" s="16">
        <f t="shared" si="23"/>
        <v>17.899999999999999</v>
      </c>
      <c r="BF9" s="16">
        <f t="shared" si="24"/>
        <v>48.714999999999996</v>
      </c>
      <c r="BG9" s="16">
        <f t="shared" si="25"/>
        <v>54.984999999999999</v>
      </c>
      <c r="BH9" s="16">
        <f t="shared" si="26"/>
        <v>103.69999999999999</v>
      </c>
      <c r="BI9" s="16">
        <f t="shared" si="27"/>
        <v>44.8</v>
      </c>
      <c r="BJ9" s="16">
        <f t="shared" si="28"/>
        <v>148.5</v>
      </c>
      <c r="BK9" s="47">
        <v>18.8</v>
      </c>
      <c r="BL9" s="47">
        <v>9.4</v>
      </c>
      <c r="BM9" s="47">
        <v>4.4000000000000004</v>
      </c>
      <c r="BN9" s="47">
        <v>16.484999999999999</v>
      </c>
      <c r="BO9" s="47">
        <v>0</v>
      </c>
      <c r="BP9" s="47">
        <v>16.5</v>
      </c>
      <c r="BQ9" s="47">
        <v>9.0500000000000007</v>
      </c>
      <c r="BR9" s="47">
        <v>13.3</v>
      </c>
      <c r="BS9" s="47">
        <v>15.51</v>
      </c>
      <c r="BT9" s="47">
        <v>0</v>
      </c>
      <c r="BU9" s="47">
        <v>3.2</v>
      </c>
      <c r="BV9" s="47">
        <v>1.5</v>
      </c>
      <c r="BW9" s="47">
        <v>2.5</v>
      </c>
      <c r="BX9" s="47">
        <v>3.43</v>
      </c>
      <c r="BY9" s="47">
        <v>0</v>
      </c>
      <c r="BZ9" s="13">
        <f t="shared" si="29"/>
        <v>17.700000000000003</v>
      </c>
      <c r="CA9" s="13">
        <f t="shared" si="30"/>
        <v>49.085000000000001</v>
      </c>
      <c r="CB9" s="13">
        <f t="shared" si="31"/>
        <v>54.36</v>
      </c>
      <c r="CC9" s="13">
        <f t="shared" si="32"/>
        <v>103.44499999999999</v>
      </c>
      <c r="CD9" s="13">
        <f t="shared" si="33"/>
        <v>10.63</v>
      </c>
      <c r="CE9" s="13">
        <f t="shared" si="34"/>
        <v>114.07499999999999</v>
      </c>
      <c r="CF9" s="30" t="str">
        <f t="shared" si="35"/>
        <v/>
      </c>
      <c r="CG9" s="30">
        <f t="shared" si="36"/>
        <v>0.41000000000000369</v>
      </c>
      <c r="CH9" s="30" t="str">
        <f t="shared" si="37"/>
        <v/>
      </c>
      <c r="CI9" s="47"/>
      <c r="CJ9" s="47"/>
      <c r="CK9" s="47"/>
      <c r="CL9" s="47"/>
      <c r="CM9" s="47"/>
      <c r="CN9" s="47"/>
      <c r="CO9" s="47"/>
      <c r="CP9" s="47"/>
      <c r="CQ9" s="47"/>
      <c r="CR9" s="47"/>
      <c r="CS9" s="47"/>
      <c r="CT9" s="47"/>
      <c r="CU9" s="47"/>
      <c r="CV9" s="47"/>
      <c r="CW9" s="47"/>
      <c r="CX9" s="13" t="str">
        <f t="shared" si="38"/>
        <v/>
      </c>
      <c r="CY9" s="13" t="str">
        <f t="shared" si="39"/>
        <v/>
      </c>
      <c r="CZ9" s="13" t="str">
        <f t="shared" si="40"/>
        <v/>
      </c>
      <c r="DA9" s="13" t="str">
        <f t="shared" si="41"/>
        <v/>
      </c>
      <c r="DB9" s="13" t="str">
        <f t="shared" si="42"/>
        <v/>
      </c>
      <c r="DC9" s="13" t="str">
        <f t="shared" si="43"/>
        <v/>
      </c>
      <c r="DD9" s="48"/>
      <c r="DE9" s="48"/>
      <c r="DF9" s="48"/>
      <c r="DG9" s="48"/>
      <c r="DH9" s="48"/>
      <c r="DI9" s="48"/>
      <c r="DJ9" s="48"/>
      <c r="DK9" s="48"/>
      <c r="DL9" s="48"/>
      <c r="DM9" s="48"/>
      <c r="DN9" s="48"/>
      <c r="DO9" s="48"/>
      <c r="DP9" s="48"/>
      <c r="DQ9" s="48"/>
      <c r="DR9" s="48"/>
      <c r="DS9" s="16" t="str">
        <f t="shared" si="44"/>
        <v/>
      </c>
      <c r="DT9" s="16" t="str">
        <f t="shared" si="45"/>
        <v/>
      </c>
      <c r="DU9" s="16" t="str">
        <f t="shared" si="46"/>
        <v/>
      </c>
      <c r="DV9" s="16" t="str">
        <f t="shared" si="47"/>
        <v/>
      </c>
      <c r="DW9" s="16" t="str">
        <f t="shared" si="48"/>
        <v/>
      </c>
      <c r="DX9" s="16" t="str">
        <f t="shared" si="49"/>
        <v/>
      </c>
      <c r="DY9" s="47">
        <v>18.399999999999999</v>
      </c>
      <c r="DZ9" s="47">
        <v>9.4499999999999993</v>
      </c>
      <c r="EA9" s="47">
        <v>4.3</v>
      </c>
      <c r="EB9" s="47">
        <v>16.61</v>
      </c>
      <c r="EC9" s="47">
        <v>0</v>
      </c>
      <c r="ED9" s="47">
        <v>15.8</v>
      </c>
      <c r="EE9" s="47">
        <v>8.65</v>
      </c>
      <c r="EF9" s="47">
        <v>14.6</v>
      </c>
      <c r="EG9" s="47">
        <v>15.72</v>
      </c>
      <c r="EH9" s="47">
        <v>0</v>
      </c>
      <c r="EI9" s="47"/>
      <c r="EJ9" s="47"/>
      <c r="EK9" s="47"/>
      <c r="EL9" s="47"/>
      <c r="EM9" s="47"/>
      <c r="EN9" s="13">
        <f t="shared" si="50"/>
        <v>18.899999999999999</v>
      </c>
      <c r="EO9" s="13">
        <f t="shared" si="51"/>
        <v>48.76</v>
      </c>
      <c r="EP9" s="13">
        <f t="shared" si="52"/>
        <v>54.77</v>
      </c>
      <c r="EQ9" s="13">
        <f t="shared" si="53"/>
        <v>103.53</v>
      </c>
      <c r="ER9" s="13" t="str">
        <f t="shared" si="54"/>
        <v/>
      </c>
      <c r="ES9" s="13">
        <f t="shared" si="55"/>
        <v>103.53</v>
      </c>
      <c r="ET9" s="48"/>
      <c r="EU9" s="48"/>
      <c r="EV9" s="48"/>
      <c r="EW9" s="48"/>
      <c r="EX9" s="48"/>
      <c r="EY9" s="48"/>
      <c r="EZ9" s="48"/>
      <c r="FA9" s="48"/>
      <c r="FB9" s="48"/>
      <c r="FC9" s="48"/>
      <c r="FD9" s="48"/>
      <c r="FE9" s="48"/>
      <c r="FF9" s="48"/>
      <c r="FG9" s="48"/>
      <c r="FH9" s="48"/>
      <c r="FI9" s="16" t="str">
        <f t="shared" si="56"/>
        <v/>
      </c>
      <c r="FJ9" s="16" t="str">
        <f t="shared" si="57"/>
        <v/>
      </c>
      <c r="FK9" s="16" t="str">
        <f t="shared" si="58"/>
        <v/>
      </c>
      <c r="FL9" s="16" t="str">
        <f t="shared" si="59"/>
        <v/>
      </c>
      <c r="FM9" s="16" t="str">
        <f t="shared" si="60"/>
        <v/>
      </c>
      <c r="FN9" s="16" t="str">
        <f t="shared" si="61"/>
        <v/>
      </c>
      <c r="FO9" s="47"/>
      <c r="FP9" s="47"/>
      <c r="FQ9" s="47"/>
      <c r="FR9" s="47"/>
      <c r="FS9" s="47"/>
      <c r="FT9" s="47"/>
      <c r="FU9" s="47"/>
      <c r="FV9" s="47"/>
      <c r="FW9" s="47"/>
      <c r="FX9" s="47"/>
      <c r="FY9" s="47"/>
      <c r="FZ9" s="47"/>
      <c r="GA9" s="47"/>
      <c r="GB9" s="47"/>
      <c r="GC9" s="47"/>
      <c r="GD9" s="13" t="str">
        <f t="shared" si="62"/>
        <v/>
      </c>
      <c r="GE9" s="13" t="str">
        <f t="shared" si="63"/>
        <v/>
      </c>
      <c r="GF9" s="13" t="str">
        <f t="shared" si="64"/>
        <v/>
      </c>
      <c r="GG9" s="13" t="str">
        <f t="shared" si="65"/>
        <v/>
      </c>
      <c r="GH9" s="13" t="str">
        <f t="shared" si="66"/>
        <v/>
      </c>
      <c r="GI9" s="13" t="str">
        <f t="shared" si="67"/>
        <v/>
      </c>
      <c r="GJ9" s="48"/>
      <c r="GK9" s="48"/>
      <c r="GL9" s="48"/>
      <c r="GM9" s="48"/>
      <c r="GN9" s="48"/>
      <c r="GO9" s="48"/>
      <c r="GP9" s="48"/>
      <c r="GQ9" s="48"/>
      <c r="GR9" s="48"/>
      <c r="GS9" s="48"/>
      <c r="GT9" s="48"/>
      <c r="GU9" s="48"/>
      <c r="GV9" s="48"/>
      <c r="GW9" s="48"/>
      <c r="GX9" s="48"/>
      <c r="GY9" s="16" t="str">
        <f t="shared" si="68"/>
        <v/>
      </c>
      <c r="GZ9" s="16" t="str">
        <f t="shared" si="69"/>
        <v/>
      </c>
      <c r="HA9" s="16" t="str">
        <f t="shared" si="70"/>
        <v/>
      </c>
      <c r="HB9" s="16" t="str">
        <f t="shared" si="71"/>
        <v/>
      </c>
      <c r="HC9" s="16" t="str">
        <f t="shared" si="72"/>
        <v/>
      </c>
      <c r="HD9" s="16" t="str">
        <f t="shared" si="73"/>
        <v/>
      </c>
      <c r="HE9" s="47"/>
      <c r="HF9" s="47"/>
      <c r="HG9" s="47"/>
      <c r="HH9" s="47"/>
      <c r="HI9" s="47"/>
      <c r="HJ9" s="47"/>
      <c r="HK9" s="47"/>
      <c r="HL9" s="47"/>
      <c r="HM9" s="47"/>
      <c r="HN9" s="47"/>
      <c r="HO9" s="47"/>
      <c r="HP9" s="47"/>
      <c r="HQ9" s="47"/>
      <c r="HR9" s="47"/>
      <c r="HS9" s="47"/>
      <c r="HT9" s="13" t="str">
        <f t="shared" si="74"/>
        <v/>
      </c>
      <c r="HU9" s="13" t="str">
        <f t="shared" si="75"/>
        <v/>
      </c>
      <c r="HV9" s="13" t="str">
        <f t="shared" si="76"/>
        <v/>
      </c>
      <c r="HW9" s="13" t="str">
        <f t="shared" si="77"/>
        <v/>
      </c>
      <c r="HX9" s="13" t="str">
        <f t="shared" si="78"/>
        <v/>
      </c>
      <c r="HY9" s="13" t="str">
        <f t="shared" si="79"/>
        <v/>
      </c>
      <c r="HZ9" s="48"/>
      <c r="IA9" s="48"/>
      <c r="IB9" s="48"/>
      <c r="IC9" s="48"/>
      <c r="ID9" s="48"/>
      <c r="IE9" s="48"/>
      <c r="IF9" s="48"/>
      <c r="IG9" s="48"/>
      <c r="IH9" s="48"/>
      <c r="II9" s="48"/>
      <c r="IJ9" s="48"/>
      <c r="IK9" s="48"/>
      <c r="IL9" s="48"/>
      <c r="IM9" s="48"/>
      <c r="IN9" s="48"/>
      <c r="IO9" s="16" t="str">
        <f t="shared" si="80"/>
        <v/>
      </c>
      <c r="IP9" s="16" t="str">
        <f t="shared" si="81"/>
        <v/>
      </c>
      <c r="IQ9" s="16" t="str">
        <f t="shared" si="82"/>
        <v/>
      </c>
      <c r="IR9" s="16" t="str">
        <f t="shared" si="83"/>
        <v/>
      </c>
      <c r="IS9" s="16" t="str">
        <f t="shared" si="84"/>
        <v/>
      </c>
      <c r="IT9" s="16" t="str">
        <f t="shared" si="85"/>
        <v/>
      </c>
      <c r="IU9" s="47"/>
      <c r="IV9" s="47"/>
      <c r="IW9" s="47"/>
      <c r="IX9" s="47"/>
      <c r="IY9" s="47"/>
      <c r="IZ9" s="47"/>
      <c r="JA9" s="47"/>
      <c r="JB9" s="47"/>
      <c r="JC9" s="47"/>
      <c r="JD9" s="47"/>
      <c r="JE9" s="47"/>
      <c r="JF9" s="47"/>
      <c r="JG9" s="47"/>
      <c r="JH9" s="47"/>
      <c r="JI9" s="47"/>
      <c r="JJ9" s="13" t="str">
        <f t="shared" si="86"/>
        <v/>
      </c>
      <c r="JK9" s="13" t="str">
        <f t="shared" si="87"/>
        <v/>
      </c>
      <c r="JL9" s="13" t="str">
        <f t="shared" si="88"/>
        <v/>
      </c>
      <c r="JM9" s="13" t="str">
        <f t="shared" si="89"/>
        <v/>
      </c>
      <c r="JN9" s="13" t="str">
        <f t="shared" si="90"/>
        <v/>
      </c>
      <c r="JO9" s="13" t="str">
        <f t="shared" si="91"/>
        <v/>
      </c>
      <c r="JP9" s="48"/>
      <c r="JQ9" s="48"/>
      <c r="JR9" s="48"/>
      <c r="JS9" s="48"/>
      <c r="JT9" s="48"/>
      <c r="JU9" s="48"/>
      <c r="JV9" s="48"/>
      <c r="JW9" s="48"/>
      <c r="JX9" s="48"/>
      <c r="JY9" s="48"/>
      <c r="JZ9" s="48"/>
      <c r="KA9" s="48"/>
      <c r="KB9" s="48"/>
      <c r="KC9" s="48"/>
      <c r="KD9" s="48"/>
      <c r="KE9" s="16" t="str">
        <f t="shared" si="92"/>
        <v/>
      </c>
      <c r="KF9" s="16" t="str">
        <f t="shared" si="93"/>
        <v/>
      </c>
      <c r="KG9" s="16" t="str">
        <f t="shared" si="94"/>
        <v/>
      </c>
      <c r="KH9" s="16" t="str">
        <f t="shared" si="95"/>
        <v/>
      </c>
      <c r="KI9" s="16" t="str">
        <f t="shared" si="96"/>
        <v/>
      </c>
      <c r="KJ9" s="16" t="str">
        <f t="shared" si="97"/>
        <v/>
      </c>
      <c r="KK9" s="47"/>
      <c r="KL9" s="47"/>
      <c r="KM9" s="47"/>
      <c r="KN9" s="47"/>
      <c r="KO9" s="47"/>
      <c r="KP9" s="47"/>
      <c r="KQ9" s="47"/>
      <c r="KR9" s="47"/>
      <c r="KS9" s="47"/>
      <c r="KT9" s="47"/>
      <c r="KU9" s="47"/>
      <c r="KV9" s="47"/>
      <c r="KW9" s="47"/>
      <c r="KX9" s="47"/>
      <c r="KY9" s="47"/>
      <c r="KZ9" s="13" t="str">
        <f t="shared" si="98"/>
        <v/>
      </c>
      <c r="LA9" s="13" t="str">
        <f t="shared" si="99"/>
        <v/>
      </c>
      <c r="LB9" s="13" t="str">
        <f t="shared" si="100"/>
        <v/>
      </c>
      <c r="LC9" s="13" t="str">
        <f t="shared" si="101"/>
        <v/>
      </c>
      <c r="LD9" s="13" t="str">
        <f t="shared" si="102"/>
        <v/>
      </c>
      <c r="LE9" s="13" t="str">
        <f t="shared" si="103"/>
        <v/>
      </c>
      <c r="LF9" s="48"/>
      <c r="LG9" s="48"/>
      <c r="LH9" s="48"/>
      <c r="LI9" s="48"/>
      <c r="LJ9" s="48"/>
      <c r="LK9" s="48"/>
      <c r="LL9" s="48"/>
      <c r="LM9" s="48"/>
      <c r="LN9" s="48"/>
      <c r="LO9" s="48"/>
      <c r="LP9" s="48"/>
      <c r="LQ9" s="48"/>
      <c r="LR9" s="48"/>
      <c r="LS9" s="48"/>
      <c r="LT9" s="48"/>
      <c r="LU9" s="16" t="str">
        <f t="shared" si="104"/>
        <v/>
      </c>
      <c r="LV9" s="16" t="str">
        <f t="shared" si="105"/>
        <v/>
      </c>
      <c r="LW9" s="16" t="str">
        <f t="shared" si="106"/>
        <v/>
      </c>
      <c r="LX9" s="16" t="str">
        <f t="shared" si="107"/>
        <v/>
      </c>
      <c r="LY9" s="16" t="str">
        <f t="shared" si="108"/>
        <v/>
      </c>
      <c r="LZ9" s="16" t="str">
        <f t="shared" si="109"/>
        <v/>
      </c>
    </row>
    <row r="10" spans="1:338" x14ac:dyDescent="0.2">
      <c r="A10" s="6">
        <f t="shared" si="0"/>
        <v>7</v>
      </c>
      <c r="B10" s="9" t="s">
        <v>125</v>
      </c>
      <c r="C10" s="5" t="s">
        <v>4</v>
      </c>
      <c r="D10" s="33">
        <v>2018</v>
      </c>
      <c r="E10" s="17">
        <f t="shared" si="1"/>
        <v>245.65</v>
      </c>
      <c r="F10" s="4" t="str">
        <f t="shared" si="2"/>
        <v>P</v>
      </c>
      <c r="G10" s="4" t="str">
        <f t="shared" si="3"/>
        <v>P</v>
      </c>
      <c r="H10" s="4" t="str">
        <f t="shared" si="4"/>
        <v>P</v>
      </c>
      <c r="I10" t="str">
        <f t="shared" si="5"/>
        <v>Worlds Team</v>
      </c>
      <c r="J10" s="16">
        <f t="shared" si="6"/>
        <v>98.419999999999987</v>
      </c>
      <c r="K10" s="16" t="str">
        <f t="shared" si="7"/>
        <v>2018 Nationals</v>
      </c>
      <c r="L10" s="16">
        <f t="shared" si="8"/>
        <v>46.305</v>
      </c>
      <c r="M10" s="16" t="str">
        <f t="shared" si="9"/>
        <v>2018 Canada Cup</v>
      </c>
      <c r="N10" s="16">
        <f t="shared" si="10"/>
        <v>48.71</v>
      </c>
      <c r="O10" s="16" t="str">
        <f t="shared" si="11"/>
        <v>2018 Canada Cup</v>
      </c>
      <c r="P10" s="16">
        <f t="shared" si="12"/>
        <v>52.214999999999996</v>
      </c>
      <c r="Q10" s="16" t="str">
        <f t="shared" si="13"/>
        <v>2018 Canada Cup</v>
      </c>
      <c r="R10" s="16" t="str">
        <f t="shared" si="14"/>
        <v/>
      </c>
      <c r="S10" s="31" t="str">
        <f t="shared" si="15"/>
        <v/>
      </c>
      <c r="T10" s="16" t="str">
        <f t="shared" si="16"/>
        <v/>
      </c>
      <c r="U10" s="47"/>
      <c r="V10" s="47"/>
      <c r="W10" s="47"/>
      <c r="X10" s="47"/>
      <c r="Y10" s="47"/>
      <c r="Z10" s="47"/>
      <c r="AA10" s="47"/>
      <c r="AB10" s="47"/>
      <c r="AC10" s="47"/>
      <c r="AD10" s="47"/>
      <c r="AE10" s="47"/>
      <c r="AF10" s="47"/>
      <c r="AG10" s="47"/>
      <c r="AH10" s="47"/>
      <c r="AI10" s="47"/>
      <c r="AJ10" s="13" t="str">
        <f t="shared" si="17"/>
        <v/>
      </c>
      <c r="AK10" s="13" t="str">
        <f t="shared" si="18"/>
        <v/>
      </c>
      <c r="AL10" s="13" t="str">
        <f t="shared" si="19"/>
        <v/>
      </c>
      <c r="AM10" s="13" t="str">
        <f t="shared" si="20"/>
        <v/>
      </c>
      <c r="AN10" s="13" t="str">
        <f t="shared" si="21"/>
        <v/>
      </c>
      <c r="AO10" s="13" t="str">
        <f t="shared" si="22"/>
        <v/>
      </c>
      <c r="AP10" s="94">
        <v>16.8</v>
      </c>
      <c r="AQ10" s="94">
        <v>9.6</v>
      </c>
      <c r="AR10" s="94">
        <v>4.5999999999999996</v>
      </c>
      <c r="AS10" s="94">
        <v>15.305</v>
      </c>
      <c r="AT10" s="94">
        <v>0</v>
      </c>
      <c r="AU10" s="94">
        <v>13.6</v>
      </c>
      <c r="AV10" s="94">
        <v>8.5</v>
      </c>
      <c r="AW10" s="94">
        <v>12.4</v>
      </c>
      <c r="AX10" s="94">
        <v>14.21</v>
      </c>
      <c r="AY10" s="94">
        <v>0</v>
      </c>
      <c r="AZ10" s="94">
        <v>14.8</v>
      </c>
      <c r="BA10" s="94">
        <v>9.25</v>
      </c>
      <c r="BB10" s="94">
        <v>13.5</v>
      </c>
      <c r="BC10" s="94">
        <v>14.664999999999999</v>
      </c>
      <c r="BD10" s="94">
        <v>0</v>
      </c>
      <c r="BE10" s="16">
        <f t="shared" si="23"/>
        <v>17</v>
      </c>
      <c r="BF10" s="16">
        <f t="shared" si="24"/>
        <v>46.305</v>
      </c>
      <c r="BG10" s="16">
        <f t="shared" si="25"/>
        <v>48.71</v>
      </c>
      <c r="BH10" s="16">
        <f t="shared" si="26"/>
        <v>95.015000000000001</v>
      </c>
      <c r="BI10" s="16">
        <f t="shared" si="27"/>
        <v>52.214999999999996</v>
      </c>
      <c r="BJ10" s="16">
        <f t="shared" si="28"/>
        <v>147.22999999999999</v>
      </c>
      <c r="BK10" s="47">
        <v>17.2</v>
      </c>
      <c r="BL10" s="47">
        <v>9.5</v>
      </c>
      <c r="BM10" s="47">
        <v>4.5999999999999996</v>
      </c>
      <c r="BN10" s="47">
        <v>15.52</v>
      </c>
      <c r="BO10" s="47">
        <v>0</v>
      </c>
      <c r="BP10" s="47">
        <v>15.4</v>
      </c>
      <c r="BQ10" s="47">
        <v>9.5</v>
      </c>
      <c r="BR10" s="47">
        <v>11.8</v>
      </c>
      <c r="BS10" s="47">
        <v>14.9</v>
      </c>
      <c r="BT10" s="47">
        <v>0</v>
      </c>
      <c r="BU10" s="47">
        <v>1.6</v>
      </c>
      <c r="BV10" s="47">
        <v>0.9</v>
      </c>
      <c r="BW10" s="47">
        <v>2</v>
      </c>
      <c r="BX10" s="47">
        <v>1.635</v>
      </c>
      <c r="BY10" s="47">
        <v>0</v>
      </c>
      <c r="BZ10" s="13">
        <f t="shared" si="29"/>
        <v>16.399999999999999</v>
      </c>
      <c r="CA10" s="13">
        <f t="shared" si="30"/>
        <v>46.819999999999993</v>
      </c>
      <c r="CB10" s="13">
        <f t="shared" si="31"/>
        <v>51.6</v>
      </c>
      <c r="CC10" s="13">
        <f t="shared" si="32"/>
        <v>98.419999999999987</v>
      </c>
      <c r="CD10" s="13">
        <f t="shared" si="33"/>
        <v>6.1349999999999998</v>
      </c>
      <c r="CE10" s="13">
        <f t="shared" si="34"/>
        <v>104.55499999999999</v>
      </c>
      <c r="CF10" s="30" t="str">
        <f t="shared" si="35"/>
        <v/>
      </c>
      <c r="CG10" s="30" t="str">
        <f t="shared" si="36"/>
        <v/>
      </c>
      <c r="CH10" s="30" t="str">
        <f t="shared" si="37"/>
        <v/>
      </c>
      <c r="CI10" s="47"/>
      <c r="CJ10" s="47"/>
      <c r="CK10" s="47"/>
      <c r="CL10" s="47"/>
      <c r="CM10" s="47"/>
      <c r="CN10" s="47"/>
      <c r="CO10" s="47"/>
      <c r="CP10" s="47"/>
      <c r="CQ10" s="47"/>
      <c r="CR10" s="47"/>
      <c r="CS10" s="47"/>
      <c r="CT10" s="47"/>
      <c r="CU10" s="47"/>
      <c r="CV10" s="47"/>
      <c r="CW10" s="47"/>
      <c r="CX10" s="13" t="str">
        <f t="shared" si="38"/>
        <v/>
      </c>
      <c r="CY10" s="13" t="str">
        <f t="shared" si="39"/>
        <v/>
      </c>
      <c r="CZ10" s="13" t="str">
        <f t="shared" si="40"/>
        <v/>
      </c>
      <c r="DA10" s="13" t="str">
        <f t="shared" si="41"/>
        <v/>
      </c>
      <c r="DB10" s="13" t="str">
        <f t="shared" si="42"/>
        <v/>
      </c>
      <c r="DC10" s="13" t="str">
        <f t="shared" si="43"/>
        <v/>
      </c>
      <c r="DD10" s="48"/>
      <c r="DE10" s="48"/>
      <c r="DF10" s="48"/>
      <c r="DG10" s="48"/>
      <c r="DH10" s="48"/>
      <c r="DI10" s="48"/>
      <c r="DJ10" s="48"/>
      <c r="DK10" s="48"/>
      <c r="DL10" s="48"/>
      <c r="DM10" s="48"/>
      <c r="DN10" s="48"/>
      <c r="DO10" s="48"/>
      <c r="DP10" s="48"/>
      <c r="DQ10" s="48"/>
      <c r="DR10" s="48"/>
      <c r="DS10" s="16" t="str">
        <f t="shared" si="44"/>
        <v/>
      </c>
      <c r="DT10" s="16" t="str">
        <f t="shared" si="45"/>
        <v/>
      </c>
      <c r="DU10" s="16" t="str">
        <f t="shared" si="46"/>
        <v/>
      </c>
      <c r="DV10" s="16" t="str">
        <f t="shared" si="47"/>
        <v/>
      </c>
      <c r="DW10" s="16" t="str">
        <f t="shared" si="48"/>
        <v/>
      </c>
      <c r="DX10" s="16" t="str">
        <f t="shared" si="49"/>
        <v/>
      </c>
      <c r="DY10" s="47"/>
      <c r="DZ10" s="47"/>
      <c r="EA10" s="47"/>
      <c r="EB10" s="47"/>
      <c r="EC10" s="47"/>
      <c r="ED10" s="47"/>
      <c r="EE10" s="47"/>
      <c r="EF10" s="47"/>
      <c r="EG10" s="47"/>
      <c r="EH10" s="47"/>
      <c r="EI10" s="47"/>
      <c r="EJ10" s="47"/>
      <c r="EK10" s="47"/>
      <c r="EL10" s="47"/>
      <c r="EM10" s="47"/>
      <c r="EN10" s="13" t="str">
        <f t="shared" si="50"/>
        <v/>
      </c>
      <c r="EO10" s="13" t="str">
        <f t="shared" si="51"/>
        <v/>
      </c>
      <c r="EP10" s="13" t="str">
        <f t="shared" si="52"/>
        <v/>
      </c>
      <c r="EQ10" s="13" t="str">
        <f t="shared" si="53"/>
        <v/>
      </c>
      <c r="ER10" s="13" t="str">
        <f t="shared" si="54"/>
        <v/>
      </c>
      <c r="ES10" s="13" t="str">
        <f t="shared" si="55"/>
        <v/>
      </c>
      <c r="ET10" s="48"/>
      <c r="EU10" s="48"/>
      <c r="EV10" s="48"/>
      <c r="EW10" s="48"/>
      <c r="EX10" s="48"/>
      <c r="EY10" s="48"/>
      <c r="EZ10" s="48"/>
      <c r="FA10" s="48"/>
      <c r="FB10" s="48"/>
      <c r="FC10" s="48"/>
      <c r="FD10" s="48"/>
      <c r="FE10" s="48"/>
      <c r="FF10" s="48"/>
      <c r="FG10" s="48"/>
      <c r="FH10" s="48"/>
      <c r="FI10" s="16" t="str">
        <f t="shared" si="56"/>
        <v/>
      </c>
      <c r="FJ10" s="16" t="str">
        <f t="shared" si="57"/>
        <v/>
      </c>
      <c r="FK10" s="16" t="str">
        <f t="shared" si="58"/>
        <v/>
      </c>
      <c r="FL10" s="16" t="str">
        <f t="shared" si="59"/>
        <v/>
      </c>
      <c r="FM10" s="16" t="str">
        <f t="shared" si="60"/>
        <v/>
      </c>
      <c r="FN10" s="16" t="str">
        <f t="shared" si="61"/>
        <v/>
      </c>
      <c r="FO10" s="47"/>
      <c r="FP10" s="47"/>
      <c r="FQ10" s="47"/>
      <c r="FR10" s="47"/>
      <c r="FS10" s="47"/>
      <c r="FT10" s="47"/>
      <c r="FU10" s="47"/>
      <c r="FV10" s="47"/>
      <c r="FW10" s="47"/>
      <c r="FX10" s="47"/>
      <c r="FY10" s="47"/>
      <c r="FZ10" s="47"/>
      <c r="GA10" s="47"/>
      <c r="GB10" s="47"/>
      <c r="GC10" s="47"/>
      <c r="GD10" s="13" t="str">
        <f t="shared" si="62"/>
        <v/>
      </c>
      <c r="GE10" s="13" t="str">
        <f t="shared" si="63"/>
        <v/>
      </c>
      <c r="GF10" s="13" t="str">
        <f t="shared" si="64"/>
        <v/>
      </c>
      <c r="GG10" s="13" t="str">
        <f t="shared" si="65"/>
        <v/>
      </c>
      <c r="GH10" s="13" t="str">
        <f t="shared" si="66"/>
        <v/>
      </c>
      <c r="GI10" s="13" t="str">
        <f t="shared" si="67"/>
        <v/>
      </c>
      <c r="GJ10" s="48"/>
      <c r="GK10" s="48"/>
      <c r="GL10" s="48"/>
      <c r="GM10" s="48"/>
      <c r="GN10" s="48"/>
      <c r="GO10" s="48"/>
      <c r="GP10" s="48"/>
      <c r="GQ10" s="48"/>
      <c r="GR10" s="48"/>
      <c r="GS10" s="48"/>
      <c r="GT10" s="48"/>
      <c r="GU10" s="48"/>
      <c r="GV10" s="48"/>
      <c r="GW10" s="48"/>
      <c r="GX10" s="48"/>
      <c r="GY10" s="16" t="str">
        <f t="shared" si="68"/>
        <v/>
      </c>
      <c r="GZ10" s="16" t="str">
        <f t="shared" si="69"/>
        <v/>
      </c>
      <c r="HA10" s="16" t="str">
        <f t="shared" si="70"/>
        <v/>
      </c>
      <c r="HB10" s="16" t="str">
        <f t="shared" si="71"/>
        <v/>
      </c>
      <c r="HC10" s="16" t="str">
        <f t="shared" si="72"/>
        <v/>
      </c>
      <c r="HD10" s="16" t="str">
        <f t="shared" si="73"/>
        <v/>
      </c>
      <c r="HE10" s="47"/>
      <c r="HF10" s="47"/>
      <c r="HG10" s="47"/>
      <c r="HH10" s="47"/>
      <c r="HI10" s="47"/>
      <c r="HJ10" s="47"/>
      <c r="HK10" s="47"/>
      <c r="HL10" s="47"/>
      <c r="HM10" s="47"/>
      <c r="HN10" s="47"/>
      <c r="HO10" s="47"/>
      <c r="HP10" s="47"/>
      <c r="HQ10" s="47"/>
      <c r="HR10" s="47"/>
      <c r="HS10" s="47"/>
      <c r="HT10" s="13" t="str">
        <f t="shared" si="74"/>
        <v/>
      </c>
      <c r="HU10" s="13" t="str">
        <f t="shared" si="75"/>
        <v/>
      </c>
      <c r="HV10" s="13" t="str">
        <f t="shared" si="76"/>
        <v/>
      </c>
      <c r="HW10" s="13" t="str">
        <f t="shared" si="77"/>
        <v/>
      </c>
      <c r="HX10" s="13" t="str">
        <f t="shared" si="78"/>
        <v/>
      </c>
      <c r="HY10" s="13" t="str">
        <f t="shared" si="79"/>
        <v/>
      </c>
      <c r="HZ10" s="48"/>
      <c r="IA10" s="48"/>
      <c r="IB10" s="48"/>
      <c r="IC10" s="48"/>
      <c r="ID10" s="48"/>
      <c r="IE10" s="48"/>
      <c r="IF10" s="48"/>
      <c r="IG10" s="48"/>
      <c r="IH10" s="48"/>
      <c r="II10" s="48"/>
      <c r="IJ10" s="48"/>
      <c r="IK10" s="48"/>
      <c r="IL10" s="48"/>
      <c r="IM10" s="48"/>
      <c r="IN10" s="48"/>
      <c r="IO10" s="16" t="str">
        <f t="shared" si="80"/>
        <v/>
      </c>
      <c r="IP10" s="16" t="str">
        <f t="shared" si="81"/>
        <v/>
      </c>
      <c r="IQ10" s="16" t="str">
        <f t="shared" si="82"/>
        <v/>
      </c>
      <c r="IR10" s="16" t="str">
        <f t="shared" si="83"/>
        <v/>
      </c>
      <c r="IS10" s="16" t="str">
        <f t="shared" si="84"/>
        <v/>
      </c>
      <c r="IT10" s="16" t="str">
        <f t="shared" si="85"/>
        <v/>
      </c>
      <c r="IU10" s="47"/>
      <c r="IV10" s="47"/>
      <c r="IW10" s="47"/>
      <c r="IX10" s="47"/>
      <c r="IY10" s="47"/>
      <c r="IZ10" s="47"/>
      <c r="JA10" s="47"/>
      <c r="JB10" s="47"/>
      <c r="JC10" s="47"/>
      <c r="JD10" s="47"/>
      <c r="JE10" s="47"/>
      <c r="JF10" s="47"/>
      <c r="JG10" s="47"/>
      <c r="JH10" s="47"/>
      <c r="JI10" s="47"/>
      <c r="JJ10" s="13" t="str">
        <f t="shared" si="86"/>
        <v/>
      </c>
      <c r="JK10" s="13" t="str">
        <f t="shared" si="87"/>
        <v/>
      </c>
      <c r="JL10" s="13" t="str">
        <f t="shared" si="88"/>
        <v/>
      </c>
      <c r="JM10" s="13" t="str">
        <f t="shared" si="89"/>
        <v/>
      </c>
      <c r="JN10" s="13" t="str">
        <f t="shared" si="90"/>
        <v/>
      </c>
      <c r="JO10" s="13" t="str">
        <f t="shared" si="91"/>
        <v/>
      </c>
      <c r="JP10" s="48"/>
      <c r="JQ10" s="48"/>
      <c r="JR10" s="48"/>
      <c r="JS10" s="48"/>
      <c r="JT10" s="48"/>
      <c r="JU10" s="48"/>
      <c r="JV10" s="48"/>
      <c r="JW10" s="48"/>
      <c r="JX10" s="48"/>
      <c r="JY10" s="48"/>
      <c r="JZ10" s="48"/>
      <c r="KA10" s="48"/>
      <c r="KB10" s="48"/>
      <c r="KC10" s="48"/>
      <c r="KD10" s="48"/>
      <c r="KE10" s="16" t="str">
        <f t="shared" si="92"/>
        <v/>
      </c>
      <c r="KF10" s="16" t="str">
        <f t="shared" si="93"/>
        <v/>
      </c>
      <c r="KG10" s="16" t="str">
        <f t="shared" si="94"/>
        <v/>
      </c>
      <c r="KH10" s="16" t="str">
        <f t="shared" si="95"/>
        <v/>
      </c>
      <c r="KI10" s="16" t="str">
        <f t="shared" si="96"/>
        <v/>
      </c>
      <c r="KJ10" s="16" t="str">
        <f t="shared" si="97"/>
        <v/>
      </c>
      <c r="KK10" s="47"/>
      <c r="KL10" s="47"/>
      <c r="KM10" s="47"/>
      <c r="KN10" s="47"/>
      <c r="KO10" s="47"/>
      <c r="KP10" s="47"/>
      <c r="KQ10" s="47"/>
      <c r="KR10" s="47"/>
      <c r="KS10" s="47"/>
      <c r="KT10" s="47"/>
      <c r="KU10" s="47"/>
      <c r="KV10" s="47"/>
      <c r="KW10" s="47"/>
      <c r="KX10" s="47"/>
      <c r="KY10" s="47"/>
      <c r="KZ10" s="13" t="str">
        <f t="shared" si="98"/>
        <v/>
      </c>
      <c r="LA10" s="13" t="str">
        <f t="shared" si="99"/>
        <v/>
      </c>
      <c r="LB10" s="13" t="str">
        <f t="shared" si="100"/>
        <v/>
      </c>
      <c r="LC10" s="13" t="str">
        <f t="shared" si="101"/>
        <v/>
      </c>
      <c r="LD10" s="13" t="str">
        <f t="shared" si="102"/>
        <v/>
      </c>
      <c r="LE10" s="13" t="str">
        <f t="shared" si="103"/>
        <v/>
      </c>
      <c r="LF10" s="48"/>
      <c r="LG10" s="48"/>
      <c r="LH10" s="48"/>
      <c r="LI10" s="48"/>
      <c r="LJ10" s="48"/>
      <c r="LK10" s="48"/>
      <c r="LL10" s="48"/>
      <c r="LM10" s="48"/>
      <c r="LN10" s="48"/>
      <c r="LO10" s="48"/>
      <c r="LP10" s="48"/>
      <c r="LQ10" s="48"/>
      <c r="LR10" s="48"/>
      <c r="LS10" s="48"/>
      <c r="LT10" s="48"/>
      <c r="LU10" s="16" t="str">
        <f t="shared" si="104"/>
        <v/>
      </c>
      <c r="LV10" s="16" t="str">
        <f t="shared" si="105"/>
        <v/>
      </c>
      <c r="LW10" s="16" t="str">
        <f t="shared" si="106"/>
        <v/>
      </c>
      <c r="LX10" s="16" t="str">
        <f t="shared" si="107"/>
        <v/>
      </c>
      <c r="LY10" s="16" t="str">
        <f t="shared" si="108"/>
        <v/>
      </c>
      <c r="LZ10" s="16" t="str">
        <f t="shared" si="109"/>
        <v/>
      </c>
    </row>
    <row r="11" spans="1:338" x14ac:dyDescent="0.2">
      <c r="A11" s="6" t="str">
        <f t="shared" si="0"/>
        <v/>
      </c>
      <c r="B11" s="9" t="s">
        <v>126</v>
      </c>
      <c r="C11" s="5" t="s">
        <v>6</v>
      </c>
      <c r="D11" s="33">
        <v>2018</v>
      </c>
      <c r="E11" s="17">
        <f t="shared" si="1"/>
        <v>238.78500000000003</v>
      </c>
      <c r="F11" s="4" t="str">
        <f t="shared" si="2"/>
        <v/>
      </c>
      <c r="G11" s="4" t="str">
        <f t="shared" si="3"/>
        <v/>
      </c>
      <c r="H11" s="4" t="str">
        <f t="shared" si="4"/>
        <v/>
      </c>
      <c r="I11" t="str">
        <f t="shared" si="5"/>
        <v/>
      </c>
      <c r="J11" s="16">
        <f t="shared" si="6"/>
        <v>92.474999999999994</v>
      </c>
      <c r="K11" s="16" t="str">
        <f t="shared" si="7"/>
        <v>2018 Canada Cup</v>
      </c>
      <c r="L11" s="16">
        <f t="shared" si="8"/>
        <v>43.34</v>
      </c>
      <c r="M11" s="16" t="str">
        <f t="shared" si="9"/>
        <v>2018 Nationals</v>
      </c>
      <c r="N11" s="16">
        <f t="shared" si="10"/>
        <v>48.174999999999997</v>
      </c>
      <c r="O11" s="16" t="str">
        <f t="shared" si="11"/>
        <v>2018 Nationals</v>
      </c>
      <c r="P11" s="16">
        <f t="shared" si="12"/>
        <v>51.43</v>
      </c>
      <c r="Q11" s="16" t="str">
        <f t="shared" si="13"/>
        <v>2018 Nationals</v>
      </c>
      <c r="R11" s="16">
        <f t="shared" si="14"/>
        <v>3.3649999999999949</v>
      </c>
      <c r="S11" s="31" t="str">
        <f t="shared" si="15"/>
        <v>(Vol 1)</v>
      </c>
      <c r="T11" s="16" t="str">
        <f t="shared" si="16"/>
        <v>2018 Pacific Rim (Apr)</v>
      </c>
      <c r="U11" s="47"/>
      <c r="V11" s="47"/>
      <c r="W11" s="47"/>
      <c r="X11" s="47"/>
      <c r="Y11" s="47"/>
      <c r="Z11" s="47"/>
      <c r="AA11" s="47"/>
      <c r="AB11" s="47"/>
      <c r="AC11" s="47"/>
      <c r="AD11" s="47"/>
      <c r="AE11" s="47"/>
      <c r="AF11" s="47"/>
      <c r="AG11" s="47"/>
      <c r="AH11" s="47"/>
      <c r="AI11" s="47"/>
      <c r="AJ11" s="13" t="str">
        <f t="shared" si="17"/>
        <v/>
      </c>
      <c r="AK11" s="13" t="str">
        <f t="shared" si="18"/>
        <v/>
      </c>
      <c r="AL11" s="13" t="str">
        <f t="shared" si="19"/>
        <v/>
      </c>
      <c r="AM11" s="13" t="str">
        <f t="shared" si="20"/>
        <v/>
      </c>
      <c r="AN11" s="13" t="str">
        <f t="shared" si="21"/>
        <v/>
      </c>
      <c r="AO11" s="13" t="str">
        <f t="shared" si="22"/>
        <v/>
      </c>
      <c r="AP11" s="94">
        <v>16.600000000000001</v>
      </c>
      <c r="AQ11" s="94">
        <v>9.25</v>
      </c>
      <c r="AR11" s="94">
        <v>4.2</v>
      </c>
      <c r="AS11" s="94">
        <v>16.015000000000001</v>
      </c>
      <c r="AT11" s="94">
        <v>0</v>
      </c>
      <c r="AU11" s="94">
        <v>13.7</v>
      </c>
      <c r="AV11" s="94">
        <v>8.1</v>
      </c>
      <c r="AW11" s="94">
        <v>11</v>
      </c>
      <c r="AX11" s="94">
        <v>13.61</v>
      </c>
      <c r="AY11" s="94">
        <v>0</v>
      </c>
      <c r="AZ11" s="94">
        <v>15.2</v>
      </c>
      <c r="BA11" s="94">
        <v>8.6999999999999993</v>
      </c>
      <c r="BB11" s="94">
        <v>11.4</v>
      </c>
      <c r="BC11" s="94">
        <v>14.835000000000001</v>
      </c>
      <c r="BD11" s="94">
        <v>0</v>
      </c>
      <c r="BE11" s="16">
        <f t="shared" si="23"/>
        <v>15.2</v>
      </c>
      <c r="BF11" s="16">
        <f t="shared" si="24"/>
        <v>46.064999999999998</v>
      </c>
      <c r="BG11" s="16">
        <f t="shared" si="25"/>
        <v>46.41</v>
      </c>
      <c r="BH11" s="16">
        <f t="shared" si="26"/>
        <v>92.474999999999994</v>
      </c>
      <c r="BI11" s="16">
        <f t="shared" si="27"/>
        <v>50.134999999999998</v>
      </c>
      <c r="BJ11" s="16">
        <f t="shared" si="28"/>
        <v>142.60999999999999</v>
      </c>
      <c r="BK11" s="47">
        <v>18.100000000000001</v>
      </c>
      <c r="BL11" s="47">
        <v>8.15</v>
      </c>
      <c r="BM11" s="47">
        <v>2.6</v>
      </c>
      <c r="BN11" s="47">
        <v>14.49</v>
      </c>
      <c r="BO11" s="47">
        <v>0</v>
      </c>
      <c r="BP11" s="47">
        <v>13.7</v>
      </c>
      <c r="BQ11" s="47">
        <v>9.0500000000000007</v>
      </c>
      <c r="BR11" s="47">
        <v>11.5</v>
      </c>
      <c r="BS11" s="47">
        <v>13.925000000000001</v>
      </c>
      <c r="BT11" s="47">
        <v>0</v>
      </c>
      <c r="BU11" s="47">
        <v>15.2</v>
      </c>
      <c r="BV11" s="47">
        <v>9.1</v>
      </c>
      <c r="BW11" s="47">
        <v>12.6</v>
      </c>
      <c r="BX11" s="47">
        <v>14.53</v>
      </c>
      <c r="BY11" s="47">
        <v>0</v>
      </c>
      <c r="BZ11" s="13">
        <f t="shared" si="29"/>
        <v>14.1</v>
      </c>
      <c r="CA11" s="13">
        <f t="shared" si="30"/>
        <v>43.34</v>
      </c>
      <c r="CB11" s="13">
        <f t="shared" si="31"/>
        <v>48.174999999999997</v>
      </c>
      <c r="CC11" s="13">
        <f t="shared" si="32"/>
        <v>91.515000000000001</v>
      </c>
      <c r="CD11" s="13">
        <f t="shared" si="33"/>
        <v>51.43</v>
      </c>
      <c r="CE11" s="13">
        <f t="shared" si="34"/>
        <v>142.94499999999999</v>
      </c>
      <c r="CF11" s="30">
        <f t="shared" si="35"/>
        <v>3.3649999999999949</v>
      </c>
      <c r="CG11" s="30" t="str">
        <f t="shared" si="36"/>
        <v/>
      </c>
      <c r="CH11" s="30" t="str">
        <f t="shared" si="37"/>
        <v/>
      </c>
      <c r="CI11" s="47"/>
      <c r="CJ11" s="47"/>
      <c r="CK11" s="47"/>
      <c r="CL11" s="47"/>
      <c r="CM11" s="47"/>
      <c r="CN11" s="47"/>
      <c r="CO11" s="47"/>
      <c r="CP11" s="47"/>
      <c r="CQ11" s="47"/>
      <c r="CR11" s="47"/>
      <c r="CS11" s="47"/>
      <c r="CT11" s="47"/>
      <c r="CU11" s="47"/>
      <c r="CV11" s="47"/>
      <c r="CW11" s="47"/>
      <c r="CX11" s="13" t="str">
        <f t="shared" si="38"/>
        <v/>
      </c>
      <c r="CY11" s="13" t="str">
        <f t="shared" si="39"/>
        <v/>
      </c>
      <c r="CZ11" s="13" t="str">
        <f t="shared" si="40"/>
        <v/>
      </c>
      <c r="DA11" s="13" t="str">
        <f t="shared" si="41"/>
        <v/>
      </c>
      <c r="DB11" s="13" t="str">
        <f t="shared" si="42"/>
        <v/>
      </c>
      <c r="DC11" s="13" t="str">
        <f t="shared" si="43"/>
        <v/>
      </c>
      <c r="DD11" s="48"/>
      <c r="DE11" s="48"/>
      <c r="DF11" s="48"/>
      <c r="DG11" s="48"/>
      <c r="DH11" s="48"/>
      <c r="DI11" s="48"/>
      <c r="DJ11" s="48"/>
      <c r="DK11" s="48"/>
      <c r="DL11" s="48"/>
      <c r="DM11" s="48"/>
      <c r="DN11" s="48"/>
      <c r="DO11" s="48"/>
      <c r="DP11" s="48"/>
      <c r="DQ11" s="48"/>
      <c r="DR11" s="48"/>
      <c r="DS11" s="16" t="str">
        <f t="shared" si="44"/>
        <v/>
      </c>
      <c r="DT11" s="16" t="str">
        <f t="shared" si="45"/>
        <v/>
      </c>
      <c r="DU11" s="16" t="str">
        <f t="shared" si="46"/>
        <v/>
      </c>
      <c r="DV11" s="16" t="str">
        <f t="shared" si="47"/>
        <v/>
      </c>
      <c r="DW11" s="16" t="str">
        <f t="shared" si="48"/>
        <v/>
      </c>
      <c r="DX11" s="16" t="str">
        <f t="shared" si="49"/>
        <v/>
      </c>
      <c r="DY11" s="47"/>
      <c r="DZ11" s="47"/>
      <c r="EA11" s="47"/>
      <c r="EB11" s="47"/>
      <c r="EC11" s="47"/>
      <c r="ED11" s="47"/>
      <c r="EE11" s="47"/>
      <c r="EF11" s="47"/>
      <c r="EG11" s="47"/>
      <c r="EH11" s="47"/>
      <c r="EI11" s="47"/>
      <c r="EJ11" s="47"/>
      <c r="EK11" s="47"/>
      <c r="EL11" s="47"/>
      <c r="EM11" s="47"/>
      <c r="EN11" s="13" t="str">
        <f t="shared" si="50"/>
        <v/>
      </c>
      <c r="EO11" s="13" t="str">
        <f t="shared" si="51"/>
        <v/>
      </c>
      <c r="EP11" s="13" t="str">
        <f t="shared" si="52"/>
        <v/>
      </c>
      <c r="EQ11" s="13" t="str">
        <f t="shared" si="53"/>
        <v/>
      </c>
      <c r="ER11" s="13" t="str">
        <f t="shared" si="54"/>
        <v/>
      </c>
      <c r="ES11" s="13" t="str">
        <f t="shared" si="55"/>
        <v/>
      </c>
      <c r="ET11" s="48"/>
      <c r="EU11" s="48"/>
      <c r="EV11" s="48"/>
      <c r="EW11" s="48"/>
      <c r="EX11" s="48"/>
      <c r="EY11" s="48"/>
      <c r="EZ11" s="48"/>
      <c r="FA11" s="48"/>
      <c r="FB11" s="48"/>
      <c r="FC11" s="48"/>
      <c r="FD11" s="48"/>
      <c r="FE11" s="48"/>
      <c r="FF11" s="48"/>
      <c r="FG11" s="48"/>
      <c r="FH11" s="48"/>
      <c r="FI11" s="16" t="str">
        <f t="shared" si="56"/>
        <v/>
      </c>
      <c r="FJ11" s="16" t="str">
        <f t="shared" si="57"/>
        <v/>
      </c>
      <c r="FK11" s="16" t="str">
        <f t="shared" si="58"/>
        <v/>
      </c>
      <c r="FL11" s="16" t="str">
        <f t="shared" si="59"/>
        <v/>
      </c>
      <c r="FM11" s="16" t="str">
        <f t="shared" si="60"/>
        <v/>
      </c>
      <c r="FN11" s="16" t="str">
        <f t="shared" si="61"/>
        <v/>
      </c>
      <c r="FO11" s="47"/>
      <c r="FP11" s="47"/>
      <c r="FQ11" s="47"/>
      <c r="FR11" s="47"/>
      <c r="FS11" s="47"/>
      <c r="FT11" s="47"/>
      <c r="FU11" s="47"/>
      <c r="FV11" s="47"/>
      <c r="FW11" s="47"/>
      <c r="FX11" s="47"/>
      <c r="FY11" s="47"/>
      <c r="FZ11" s="47"/>
      <c r="GA11" s="47"/>
      <c r="GB11" s="47"/>
      <c r="GC11" s="47"/>
      <c r="GD11" s="13" t="str">
        <f t="shared" si="62"/>
        <v/>
      </c>
      <c r="GE11" s="13" t="str">
        <f t="shared" si="63"/>
        <v/>
      </c>
      <c r="GF11" s="13" t="str">
        <f t="shared" si="64"/>
        <v/>
      </c>
      <c r="GG11" s="13" t="str">
        <f t="shared" si="65"/>
        <v/>
      </c>
      <c r="GH11" s="13" t="str">
        <f t="shared" si="66"/>
        <v/>
      </c>
      <c r="GI11" s="13" t="str">
        <f t="shared" si="67"/>
        <v/>
      </c>
      <c r="GJ11" s="48"/>
      <c r="GK11" s="48"/>
      <c r="GL11" s="48"/>
      <c r="GM11" s="48"/>
      <c r="GN11" s="48"/>
      <c r="GO11" s="48"/>
      <c r="GP11" s="48"/>
      <c r="GQ11" s="48"/>
      <c r="GR11" s="48"/>
      <c r="GS11" s="48"/>
      <c r="GT11" s="48"/>
      <c r="GU11" s="48"/>
      <c r="GV11" s="48"/>
      <c r="GW11" s="48"/>
      <c r="GX11" s="48"/>
      <c r="GY11" s="16" t="str">
        <f t="shared" si="68"/>
        <v/>
      </c>
      <c r="GZ11" s="16" t="str">
        <f t="shared" si="69"/>
        <v/>
      </c>
      <c r="HA11" s="16" t="str">
        <f t="shared" si="70"/>
        <v/>
      </c>
      <c r="HB11" s="16" t="str">
        <f t="shared" si="71"/>
        <v/>
      </c>
      <c r="HC11" s="16" t="str">
        <f t="shared" si="72"/>
        <v/>
      </c>
      <c r="HD11" s="16" t="str">
        <f t="shared" si="73"/>
        <v/>
      </c>
      <c r="HE11" s="47"/>
      <c r="HF11" s="47"/>
      <c r="HG11" s="47"/>
      <c r="HH11" s="47"/>
      <c r="HI11" s="47"/>
      <c r="HJ11" s="47"/>
      <c r="HK11" s="47"/>
      <c r="HL11" s="47"/>
      <c r="HM11" s="47"/>
      <c r="HN11" s="47"/>
      <c r="HO11" s="47"/>
      <c r="HP11" s="47"/>
      <c r="HQ11" s="47"/>
      <c r="HR11" s="47"/>
      <c r="HS11" s="47"/>
      <c r="HT11" s="13" t="str">
        <f t="shared" si="74"/>
        <v/>
      </c>
      <c r="HU11" s="13" t="str">
        <f t="shared" si="75"/>
        <v/>
      </c>
      <c r="HV11" s="13" t="str">
        <f t="shared" si="76"/>
        <v/>
      </c>
      <c r="HW11" s="13" t="str">
        <f t="shared" si="77"/>
        <v/>
      </c>
      <c r="HX11" s="13" t="str">
        <f t="shared" si="78"/>
        <v/>
      </c>
      <c r="HY11" s="13" t="str">
        <f t="shared" si="79"/>
        <v/>
      </c>
      <c r="HZ11" s="48">
        <v>17.100000000000001</v>
      </c>
      <c r="IA11" s="48">
        <v>9.4</v>
      </c>
      <c r="IB11" s="48">
        <v>4.2</v>
      </c>
      <c r="IC11" s="48">
        <v>16.004999999999999</v>
      </c>
      <c r="ID11" s="48">
        <v>0</v>
      </c>
      <c r="IE11" s="48">
        <v>12.2</v>
      </c>
      <c r="IF11" s="48">
        <v>6.9</v>
      </c>
      <c r="IG11" s="48">
        <v>10.4</v>
      </c>
      <c r="IH11" s="48">
        <v>12.074999999999999</v>
      </c>
      <c r="II11" s="48">
        <v>0</v>
      </c>
      <c r="IJ11" s="48"/>
      <c r="IK11" s="48"/>
      <c r="IL11" s="48"/>
      <c r="IM11" s="48"/>
      <c r="IN11" s="48"/>
      <c r="IO11" s="16">
        <f t="shared" si="80"/>
        <v>14.600000000000001</v>
      </c>
      <c r="IP11" s="16">
        <f t="shared" si="81"/>
        <v>46.704999999999998</v>
      </c>
      <c r="IQ11" s="16">
        <f t="shared" si="82"/>
        <v>41.575000000000003</v>
      </c>
      <c r="IR11" s="16">
        <f t="shared" si="83"/>
        <v>88.28</v>
      </c>
      <c r="IS11" s="16" t="str">
        <f t="shared" si="84"/>
        <v/>
      </c>
      <c r="IT11" s="16">
        <f t="shared" si="85"/>
        <v>88.28</v>
      </c>
      <c r="IU11" s="47"/>
      <c r="IV11" s="47"/>
      <c r="IW11" s="47"/>
      <c r="IX11" s="47"/>
      <c r="IY11" s="47"/>
      <c r="IZ11" s="47"/>
      <c r="JA11" s="47"/>
      <c r="JB11" s="47"/>
      <c r="JC11" s="47"/>
      <c r="JD11" s="47"/>
      <c r="JE11" s="47">
        <v>15.5</v>
      </c>
      <c r="JF11" s="47">
        <v>8.8000000000000007</v>
      </c>
      <c r="JG11" s="47">
        <v>12.2</v>
      </c>
      <c r="JH11" s="47">
        <v>14.765000000000001</v>
      </c>
      <c r="JI11" s="47">
        <v>0</v>
      </c>
      <c r="JJ11" s="13" t="str">
        <f t="shared" si="86"/>
        <v/>
      </c>
      <c r="JK11" s="13" t="str">
        <f t="shared" si="87"/>
        <v/>
      </c>
      <c r="JL11" s="13" t="str">
        <f t="shared" si="88"/>
        <v/>
      </c>
      <c r="JM11" s="13" t="str">
        <f t="shared" si="89"/>
        <v/>
      </c>
      <c r="JN11" s="13">
        <f t="shared" si="90"/>
        <v>51.265000000000001</v>
      </c>
      <c r="JO11" s="13">
        <f t="shared" si="91"/>
        <v>51.265000000000001</v>
      </c>
      <c r="JP11" s="48"/>
      <c r="JQ11" s="48"/>
      <c r="JR11" s="48"/>
      <c r="JS11" s="48"/>
      <c r="JT11" s="48"/>
      <c r="JU11" s="48"/>
      <c r="JV11" s="48"/>
      <c r="JW11" s="48"/>
      <c r="JX11" s="48"/>
      <c r="JY11" s="48"/>
      <c r="JZ11" s="48"/>
      <c r="KA11" s="48"/>
      <c r="KB11" s="48"/>
      <c r="KC11" s="48"/>
      <c r="KD11" s="48"/>
      <c r="KE11" s="16" t="str">
        <f t="shared" si="92"/>
        <v/>
      </c>
      <c r="KF11" s="16" t="str">
        <f t="shared" si="93"/>
        <v/>
      </c>
      <c r="KG11" s="16" t="str">
        <f t="shared" si="94"/>
        <v/>
      </c>
      <c r="KH11" s="16" t="str">
        <f t="shared" si="95"/>
        <v/>
      </c>
      <c r="KI11" s="16" t="str">
        <f t="shared" si="96"/>
        <v/>
      </c>
      <c r="KJ11" s="16" t="str">
        <f t="shared" si="97"/>
        <v/>
      </c>
      <c r="KK11" s="47"/>
      <c r="KL11" s="47"/>
      <c r="KM11" s="47"/>
      <c r="KN11" s="47"/>
      <c r="KO11" s="47"/>
      <c r="KP11" s="47"/>
      <c r="KQ11" s="47"/>
      <c r="KR11" s="47"/>
      <c r="KS11" s="47"/>
      <c r="KT11" s="47"/>
      <c r="KU11" s="47"/>
      <c r="KV11" s="47"/>
      <c r="KW11" s="47"/>
      <c r="KX11" s="47"/>
      <c r="KY11" s="47"/>
      <c r="KZ11" s="13" t="str">
        <f t="shared" si="98"/>
        <v/>
      </c>
      <c r="LA11" s="13" t="str">
        <f t="shared" si="99"/>
        <v/>
      </c>
      <c r="LB11" s="13" t="str">
        <f t="shared" si="100"/>
        <v/>
      </c>
      <c r="LC11" s="13" t="str">
        <f t="shared" si="101"/>
        <v/>
      </c>
      <c r="LD11" s="13" t="str">
        <f t="shared" si="102"/>
        <v/>
      </c>
      <c r="LE11" s="13" t="str">
        <f t="shared" si="103"/>
        <v/>
      </c>
      <c r="LF11" s="48"/>
      <c r="LG11" s="48"/>
      <c r="LH11" s="48"/>
      <c r="LI11" s="48"/>
      <c r="LJ11" s="48"/>
      <c r="LK11" s="48"/>
      <c r="LL11" s="48"/>
      <c r="LM11" s="48"/>
      <c r="LN11" s="48"/>
      <c r="LO11" s="48"/>
      <c r="LP11" s="48"/>
      <c r="LQ11" s="48"/>
      <c r="LR11" s="48"/>
      <c r="LS11" s="48"/>
      <c r="LT11" s="48"/>
      <c r="LU11" s="16" t="str">
        <f t="shared" si="104"/>
        <v/>
      </c>
      <c r="LV11" s="16" t="str">
        <f t="shared" si="105"/>
        <v/>
      </c>
      <c r="LW11" s="16" t="str">
        <f t="shared" si="106"/>
        <v/>
      </c>
      <c r="LX11" s="16" t="str">
        <f t="shared" si="107"/>
        <v/>
      </c>
      <c r="LY11" s="16" t="str">
        <f t="shared" si="108"/>
        <v/>
      </c>
      <c r="LZ11" s="16" t="str">
        <f t="shared" si="109"/>
        <v/>
      </c>
    </row>
    <row r="12" spans="1:338" x14ac:dyDescent="0.2">
      <c r="A12" s="6" t="str">
        <f t="shared" si="0"/>
        <v/>
      </c>
      <c r="B12" s="9" t="s">
        <v>48</v>
      </c>
      <c r="C12" s="5" t="s">
        <v>13</v>
      </c>
      <c r="D12" s="33">
        <v>2016</v>
      </c>
      <c r="E12" s="17">
        <f t="shared" si="1"/>
        <v>217.3125</v>
      </c>
      <c r="F12" s="4" t="str">
        <f t="shared" si="2"/>
        <v/>
      </c>
      <c r="G12" s="4" t="str">
        <f t="shared" si="3"/>
        <v/>
      </c>
      <c r="H12" s="4" t="str">
        <f t="shared" si="4"/>
        <v/>
      </c>
      <c r="I12" t="str">
        <f t="shared" si="5"/>
        <v/>
      </c>
      <c r="J12" s="16">
        <f t="shared" si="6"/>
        <v>94.53</v>
      </c>
      <c r="K12" s="16" t="str">
        <f t="shared" si="7"/>
        <v>2017 3rd Domestic Trial</v>
      </c>
      <c r="L12" s="16">
        <f t="shared" si="8"/>
        <v>44.362500000000004</v>
      </c>
      <c r="M12" s="16" t="str">
        <f t="shared" si="9"/>
        <v>2018 Nationals</v>
      </c>
      <c r="N12" s="16">
        <f t="shared" si="10"/>
        <v>27.795000000000002</v>
      </c>
      <c r="O12" s="16" t="str">
        <f t="shared" si="11"/>
        <v>2018 Nationals</v>
      </c>
      <c r="P12" s="16">
        <f t="shared" si="12"/>
        <v>16.015000000000001</v>
      </c>
      <c r="Q12" s="16" t="str">
        <f t="shared" si="13"/>
        <v>2018 Nationals</v>
      </c>
      <c r="R12" s="16">
        <f t="shared" si="14"/>
        <v>34.61</v>
      </c>
      <c r="S12" s="31" t="str">
        <f t="shared" si="15"/>
        <v>(Final)</v>
      </c>
      <c r="T12" s="16" t="str">
        <f t="shared" si="16"/>
        <v>2018 Pacific Rim Team Finals (Apr)</v>
      </c>
      <c r="U12" s="47">
        <v>15.9</v>
      </c>
      <c r="V12" s="47">
        <v>9.3000000000000007</v>
      </c>
      <c r="W12" s="47">
        <v>3.7</v>
      </c>
      <c r="X12" s="47">
        <v>15.595000000000001</v>
      </c>
      <c r="Y12" s="47">
        <v>0</v>
      </c>
      <c r="Z12" s="47">
        <v>15.1</v>
      </c>
      <c r="AA12" s="47">
        <v>9.3000000000000007</v>
      </c>
      <c r="AB12" s="47">
        <v>11</v>
      </c>
      <c r="AC12" s="47">
        <v>14.635</v>
      </c>
      <c r="AD12" s="47">
        <v>0</v>
      </c>
      <c r="AE12" s="47">
        <v>4.7</v>
      </c>
      <c r="AF12" s="47">
        <v>2.8</v>
      </c>
      <c r="AG12" s="47">
        <v>4.2</v>
      </c>
      <c r="AH12" s="47">
        <v>4.3150000000000004</v>
      </c>
      <c r="AI12" s="47">
        <v>0</v>
      </c>
      <c r="AJ12" s="13">
        <f t="shared" si="17"/>
        <v>14.7</v>
      </c>
      <c r="AK12" s="13">
        <f t="shared" si="18"/>
        <v>44.495000000000005</v>
      </c>
      <c r="AL12" s="13">
        <f t="shared" si="19"/>
        <v>50.034999999999997</v>
      </c>
      <c r="AM12" s="13">
        <f t="shared" si="20"/>
        <v>94.53</v>
      </c>
      <c r="AN12" s="13">
        <f t="shared" si="21"/>
        <v>16.015000000000001</v>
      </c>
      <c r="AO12" s="13">
        <f t="shared" si="22"/>
        <v>110.545</v>
      </c>
      <c r="AP12" s="94">
        <v>15.5</v>
      </c>
      <c r="AQ12" s="94">
        <v>9</v>
      </c>
      <c r="AR12" s="94">
        <v>4.4000000000000004</v>
      </c>
      <c r="AS12" s="94">
        <v>15.33</v>
      </c>
      <c r="AT12" s="94">
        <v>0</v>
      </c>
      <c r="AU12" s="94">
        <v>1.6</v>
      </c>
      <c r="AV12" s="94">
        <v>1</v>
      </c>
      <c r="AW12" s="94">
        <v>1.5</v>
      </c>
      <c r="AX12" s="94">
        <v>1.4550000000000001</v>
      </c>
      <c r="AY12" s="94">
        <v>0</v>
      </c>
      <c r="AZ12" s="94"/>
      <c r="BA12" s="94"/>
      <c r="BB12" s="94"/>
      <c r="BC12" s="94"/>
      <c r="BD12" s="94"/>
      <c r="BE12" s="16">
        <f t="shared" si="23"/>
        <v>5.9</v>
      </c>
      <c r="BF12" s="16">
        <f t="shared" si="24"/>
        <v>44.23</v>
      </c>
      <c r="BG12" s="16">
        <f t="shared" si="25"/>
        <v>5.5549999999999997</v>
      </c>
      <c r="BH12" s="16">
        <f t="shared" si="26"/>
        <v>49.784999999999997</v>
      </c>
      <c r="BI12" s="16" t="str">
        <f t="shared" si="27"/>
        <v/>
      </c>
      <c r="BJ12" s="16">
        <f t="shared" si="28"/>
        <v>49.784999999999997</v>
      </c>
      <c r="BK12" s="59">
        <v>15.7</v>
      </c>
      <c r="BL12" s="59">
        <v>9.15</v>
      </c>
      <c r="BM12" s="59">
        <v>4.0500000000000007</v>
      </c>
      <c r="BN12" s="59">
        <v>15.4625</v>
      </c>
      <c r="BO12" s="59">
        <v>0</v>
      </c>
      <c r="BP12" s="59">
        <v>8.35</v>
      </c>
      <c r="BQ12" s="59">
        <v>5.15</v>
      </c>
      <c r="BR12" s="59">
        <v>6.25</v>
      </c>
      <c r="BS12" s="59">
        <v>8.0449999999999999</v>
      </c>
      <c r="BT12" s="59">
        <v>0</v>
      </c>
      <c r="BU12" s="59">
        <v>4.7</v>
      </c>
      <c r="BV12" s="59">
        <v>2.8</v>
      </c>
      <c r="BW12" s="59">
        <v>4.2</v>
      </c>
      <c r="BX12" s="59">
        <v>4.3150000000000004</v>
      </c>
      <c r="BY12" s="59">
        <v>0</v>
      </c>
      <c r="BZ12" s="13">
        <f t="shared" si="29"/>
        <v>10.3</v>
      </c>
      <c r="CA12" s="13">
        <f t="shared" si="30"/>
        <v>44.362500000000004</v>
      </c>
      <c r="CB12" s="13">
        <f t="shared" si="31"/>
        <v>27.795000000000002</v>
      </c>
      <c r="CC12" s="13">
        <f t="shared" si="32"/>
        <v>72.157499999999999</v>
      </c>
      <c r="CD12" s="13">
        <f t="shared" si="33"/>
        <v>16.015000000000001</v>
      </c>
      <c r="CE12" s="13">
        <f t="shared" si="34"/>
        <v>88.172499999999999</v>
      </c>
      <c r="CF12" s="30" t="str">
        <f t="shared" si="35"/>
        <v/>
      </c>
      <c r="CG12" s="30">
        <f t="shared" si="36"/>
        <v>22.810000000000002</v>
      </c>
      <c r="CH12" s="30">
        <f t="shared" si="37"/>
        <v>34.61</v>
      </c>
      <c r="CI12" s="47"/>
      <c r="CJ12" s="47"/>
      <c r="CK12" s="47"/>
      <c r="CL12" s="47"/>
      <c r="CM12" s="47"/>
      <c r="CN12" s="47"/>
      <c r="CO12" s="47"/>
      <c r="CP12" s="47"/>
      <c r="CQ12" s="47"/>
      <c r="CR12" s="47"/>
      <c r="CS12" s="47"/>
      <c r="CT12" s="47"/>
      <c r="CU12" s="47"/>
      <c r="CV12" s="47"/>
      <c r="CW12" s="47"/>
      <c r="CX12" s="13" t="str">
        <f t="shared" si="38"/>
        <v/>
      </c>
      <c r="CY12" s="13" t="str">
        <f t="shared" si="39"/>
        <v/>
      </c>
      <c r="CZ12" s="13" t="str">
        <f t="shared" si="40"/>
        <v/>
      </c>
      <c r="DA12" s="13" t="str">
        <f t="shared" si="41"/>
        <v/>
      </c>
      <c r="DB12" s="13" t="str">
        <f t="shared" si="42"/>
        <v/>
      </c>
      <c r="DC12" s="13" t="str">
        <f t="shared" si="43"/>
        <v/>
      </c>
      <c r="DD12" s="48"/>
      <c r="DE12" s="48"/>
      <c r="DF12" s="48"/>
      <c r="DG12" s="48"/>
      <c r="DH12" s="48"/>
      <c r="DI12" s="48"/>
      <c r="DJ12" s="48"/>
      <c r="DK12" s="48"/>
      <c r="DL12" s="48"/>
      <c r="DM12" s="48"/>
      <c r="DN12" s="48"/>
      <c r="DO12" s="48"/>
      <c r="DP12" s="48"/>
      <c r="DQ12" s="48"/>
      <c r="DR12" s="48"/>
      <c r="DS12" s="16" t="str">
        <f t="shared" si="44"/>
        <v/>
      </c>
      <c r="DT12" s="16" t="str">
        <f t="shared" si="45"/>
        <v/>
      </c>
      <c r="DU12" s="16" t="str">
        <f t="shared" si="46"/>
        <v/>
      </c>
      <c r="DV12" s="16" t="str">
        <f t="shared" si="47"/>
        <v/>
      </c>
      <c r="DW12" s="16" t="str">
        <f t="shared" si="48"/>
        <v/>
      </c>
      <c r="DX12" s="16" t="str">
        <f t="shared" si="49"/>
        <v/>
      </c>
      <c r="DY12" s="47"/>
      <c r="DZ12" s="47"/>
      <c r="EA12" s="47"/>
      <c r="EB12" s="47"/>
      <c r="EC12" s="47"/>
      <c r="ED12" s="47"/>
      <c r="EE12" s="47"/>
      <c r="EF12" s="47"/>
      <c r="EG12" s="47"/>
      <c r="EH12" s="47"/>
      <c r="EI12" s="47"/>
      <c r="EJ12" s="47"/>
      <c r="EK12" s="47"/>
      <c r="EL12" s="47"/>
      <c r="EM12" s="47"/>
      <c r="EN12" s="13" t="str">
        <f t="shared" si="50"/>
        <v/>
      </c>
      <c r="EO12" s="13" t="str">
        <f t="shared" si="51"/>
        <v/>
      </c>
      <c r="EP12" s="13" t="str">
        <f t="shared" si="52"/>
        <v/>
      </c>
      <c r="EQ12" s="13" t="str">
        <f t="shared" si="53"/>
        <v/>
      </c>
      <c r="ER12" s="13" t="str">
        <f t="shared" si="54"/>
        <v/>
      </c>
      <c r="ES12" s="13" t="str">
        <f t="shared" si="55"/>
        <v/>
      </c>
      <c r="ET12" s="48"/>
      <c r="EU12" s="48"/>
      <c r="EV12" s="48"/>
      <c r="EW12" s="48"/>
      <c r="EX12" s="48"/>
      <c r="EY12" s="48"/>
      <c r="EZ12" s="48"/>
      <c r="FA12" s="48"/>
      <c r="FB12" s="48"/>
      <c r="FC12" s="48"/>
      <c r="FD12" s="48"/>
      <c r="FE12" s="48"/>
      <c r="FF12" s="48"/>
      <c r="FG12" s="48"/>
      <c r="FH12" s="48"/>
      <c r="FI12" s="16" t="str">
        <f t="shared" si="56"/>
        <v/>
      </c>
      <c r="FJ12" s="16" t="str">
        <f t="shared" si="57"/>
        <v/>
      </c>
      <c r="FK12" s="16" t="str">
        <f t="shared" si="58"/>
        <v/>
      </c>
      <c r="FL12" s="16" t="str">
        <f t="shared" si="59"/>
        <v/>
      </c>
      <c r="FM12" s="16" t="str">
        <f t="shared" si="60"/>
        <v/>
      </c>
      <c r="FN12" s="16" t="str">
        <f t="shared" si="61"/>
        <v/>
      </c>
      <c r="FO12" s="47"/>
      <c r="FP12" s="47"/>
      <c r="FQ12" s="47"/>
      <c r="FR12" s="47"/>
      <c r="FS12" s="47"/>
      <c r="FT12" s="47"/>
      <c r="FU12" s="47"/>
      <c r="FV12" s="47"/>
      <c r="FW12" s="47"/>
      <c r="FX12" s="47"/>
      <c r="FY12" s="47"/>
      <c r="FZ12" s="47"/>
      <c r="GA12" s="47"/>
      <c r="GB12" s="47"/>
      <c r="GC12" s="47"/>
      <c r="GD12" s="13" t="str">
        <f t="shared" si="62"/>
        <v/>
      </c>
      <c r="GE12" s="13" t="str">
        <f t="shared" si="63"/>
        <v/>
      </c>
      <c r="GF12" s="13" t="str">
        <f t="shared" si="64"/>
        <v/>
      </c>
      <c r="GG12" s="13" t="str">
        <f t="shared" si="65"/>
        <v/>
      </c>
      <c r="GH12" s="13" t="str">
        <f t="shared" si="66"/>
        <v/>
      </c>
      <c r="GI12" s="13" t="str">
        <f t="shared" si="67"/>
        <v/>
      </c>
      <c r="GJ12" s="48"/>
      <c r="GK12" s="48"/>
      <c r="GL12" s="48"/>
      <c r="GM12" s="48"/>
      <c r="GN12" s="48"/>
      <c r="GO12" s="48"/>
      <c r="GP12" s="48"/>
      <c r="GQ12" s="48"/>
      <c r="GR12" s="48"/>
      <c r="GS12" s="48"/>
      <c r="GT12" s="48"/>
      <c r="GU12" s="48"/>
      <c r="GV12" s="48"/>
      <c r="GW12" s="48"/>
      <c r="GX12" s="48"/>
      <c r="GY12" s="16" t="str">
        <f t="shared" si="68"/>
        <v/>
      </c>
      <c r="GZ12" s="16" t="str">
        <f t="shared" si="69"/>
        <v/>
      </c>
      <c r="HA12" s="16" t="str">
        <f t="shared" si="70"/>
        <v/>
      </c>
      <c r="HB12" s="16" t="str">
        <f t="shared" si="71"/>
        <v/>
      </c>
      <c r="HC12" s="16" t="str">
        <f t="shared" si="72"/>
        <v/>
      </c>
      <c r="HD12" s="16" t="str">
        <f t="shared" si="73"/>
        <v/>
      </c>
      <c r="HE12" s="47"/>
      <c r="HF12" s="47"/>
      <c r="HG12" s="47"/>
      <c r="HH12" s="47"/>
      <c r="HI12" s="47"/>
      <c r="HJ12" s="47"/>
      <c r="HK12" s="47"/>
      <c r="HL12" s="47"/>
      <c r="HM12" s="47"/>
      <c r="HN12" s="47"/>
      <c r="HO12" s="47"/>
      <c r="HP12" s="47"/>
      <c r="HQ12" s="47"/>
      <c r="HR12" s="47"/>
      <c r="HS12" s="47"/>
      <c r="HT12" s="13" t="str">
        <f t="shared" si="74"/>
        <v/>
      </c>
      <c r="HU12" s="13" t="str">
        <f t="shared" si="75"/>
        <v/>
      </c>
      <c r="HV12" s="13" t="str">
        <f t="shared" si="76"/>
        <v/>
      </c>
      <c r="HW12" s="13" t="str">
        <f t="shared" si="77"/>
        <v/>
      </c>
      <c r="HX12" s="13" t="str">
        <f t="shared" si="78"/>
        <v/>
      </c>
      <c r="HY12" s="13" t="str">
        <f t="shared" si="79"/>
        <v/>
      </c>
      <c r="HZ12" s="48">
        <v>13.9</v>
      </c>
      <c r="IA12" s="48">
        <v>8.15</v>
      </c>
      <c r="IB12" s="48">
        <v>3.2</v>
      </c>
      <c r="IC12" s="48">
        <v>14.045</v>
      </c>
      <c r="ID12" s="48">
        <v>0</v>
      </c>
      <c r="IE12" s="48">
        <v>15.5</v>
      </c>
      <c r="IF12" s="48">
        <v>9.3000000000000007</v>
      </c>
      <c r="IG12" s="48">
        <v>10.7</v>
      </c>
      <c r="IH12" s="48">
        <v>15.105</v>
      </c>
      <c r="II12" s="48">
        <v>0</v>
      </c>
      <c r="IJ12" s="48">
        <v>13.8</v>
      </c>
      <c r="IK12" s="48">
        <v>8.6</v>
      </c>
      <c r="IL12" s="48">
        <v>10.7</v>
      </c>
      <c r="IM12" s="48">
        <v>14.79</v>
      </c>
      <c r="IN12" s="48">
        <v>0</v>
      </c>
      <c r="IO12" s="16">
        <f t="shared" si="80"/>
        <v>13.899999999999999</v>
      </c>
      <c r="IP12" s="16">
        <f t="shared" si="81"/>
        <v>39.295000000000002</v>
      </c>
      <c r="IQ12" s="16">
        <f t="shared" si="82"/>
        <v>50.605000000000004</v>
      </c>
      <c r="IR12" s="16">
        <f t="shared" si="83"/>
        <v>89.9</v>
      </c>
      <c r="IS12" s="16">
        <f t="shared" si="84"/>
        <v>47.889999999999993</v>
      </c>
      <c r="IT12" s="16">
        <f t="shared" si="85"/>
        <v>137.79</v>
      </c>
      <c r="IU12" s="47"/>
      <c r="IV12" s="47"/>
      <c r="IW12" s="47"/>
      <c r="IX12" s="47"/>
      <c r="IY12" s="47"/>
      <c r="IZ12" s="47"/>
      <c r="JA12" s="47"/>
      <c r="JB12" s="47"/>
      <c r="JC12" s="47"/>
      <c r="JD12" s="47"/>
      <c r="JE12" s="47">
        <v>16.100000000000001</v>
      </c>
      <c r="JF12" s="47">
        <v>9.1</v>
      </c>
      <c r="JG12" s="47">
        <v>10.5</v>
      </c>
      <c r="JH12" s="47">
        <v>14.925000000000001</v>
      </c>
      <c r="JI12" s="47">
        <v>0</v>
      </c>
      <c r="JJ12" s="13" t="str">
        <f t="shared" si="86"/>
        <v/>
      </c>
      <c r="JK12" s="13" t="str">
        <f t="shared" si="87"/>
        <v/>
      </c>
      <c r="JL12" s="13" t="str">
        <f t="shared" si="88"/>
        <v/>
      </c>
      <c r="JM12" s="13" t="str">
        <f t="shared" si="89"/>
        <v/>
      </c>
      <c r="JN12" s="13">
        <f t="shared" si="90"/>
        <v>50.625</v>
      </c>
      <c r="JO12" s="13">
        <f t="shared" si="91"/>
        <v>50.625</v>
      </c>
      <c r="JP12" s="48"/>
      <c r="JQ12" s="48"/>
      <c r="JR12" s="48"/>
      <c r="JS12" s="48"/>
      <c r="JT12" s="48"/>
      <c r="JU12" s="48"/>
      <c r="JV12" s="48"/>
      <c r="JW12" s="48"/>
      <c r="JX12" s="48"/>
      <c r="JY12" s="48"/>
      <c r="JZ12" s="48"/>
      <c r="KA12" s="48"/>
      <c r="KB12" s="48"/>
      <c r="KC12" s="48"/>
      <c r="KD12" s="48"/>
      <c r="KE12" s="16" t="str">
        <f t="shared" si="92"/>
        <v/>
      </c>
      <c r="KF12" s="16" t="str">
        <f t="shared" si="93"/>
        <v/>
      </c>
      <c r="KG12" s="16" t="str">
        <f t="shared" si="94"/>
        <v/>
      </c>
      <c r="KH12" s="16" t="str">
        <f t="shared" si="95"/>
        <v/>
      </c>
      <c r="KI12" s="16" t="str">
        <f t="shared" si="96"/>
        <v/>
      </c>
      <c r="KJ12" s="16" t="str">
        <f t="shared" si="97"/>
        <v/>
      </c>
      <c r="KK12" s="47"/>
      <c r="KL12" s="47"/>
      <c r="KM12" s="47"/>
      <c r="KN12" s="47"/>
      <c r="KO12" s="47"/>
      <c r="KP12" s="47"/>
      <c r="KQ12" s="47"/>
      <c r="KR12" s="47"/>
      <c r="KS12" s="47"/>
      <c r="KT12" s="47"/>
      <c r="KU12" s="47"/>
      <c r="KV12" s="47"/>
      <c r="KW12" s="47"/>
      <c r="KX12" s="47"/>
      <c r="KY12" s="47"/>
      <c r="KZ12" s="13" t="str">
        <f t="shared" si="98"/>
        <v/>
      </c>
      <c r="LA12" s="13" t="str">
        <f t="shared" si="99"/>
        <v/>
      </c>
      <c r="LB12" s="13" t="str">
        <f t="shared" si="100"/>
        <v/>
      </c>
      <c r="LC12" s="13" t="str">
        <f t="shared" si="101"/>
        <v/>
      </c>
      <c r="LD12" s="13" t="str">
        <f t="shared" si="102"/>
        <v/>
      </c>
      <c r="LE12" s="13" t="str">
        <f t="shared" si="103"/>
        <v/>
      </c>
      <c r="LF12" s="48"/>
      <c r="LG12" s="48"/>
      <c r="LH12" s="48"/>
      <c r="LI12" s="48"/>
      <c r="LJ12" s="48"/>
      <c r="LK12" s="48"/>
      <c r="LL12" s="48"/>
      <c r="LM12" s="48"/>
      <c r="LN12" s="48"/>
      <c r="LO12" s="48"/>
      <c r="LP12" s="48"/>
      <c r="LQ12" s="48"/>
      <c r="LR12" s="48"/>
      <c r="LS12" s="48"/>
      <c r="LT12" s="48"/>
      <c r="LU12" s="16" t="str">
        <f t="shared" si="104"/>
        <v/>
      </c>
      <c r="LV12" s="16" t="str">
        <f t="shared" si="105"/>
        <v/>
      </c>
      <c r="LW12" s="16" t="str">
        <f t="shared" si="106"/>
        <v/>
      </c>
      <c r="LX12" s="16" t="str">
        <f t="shared" si="107"/>
        <v/>
      </c>
      <c r="LY12" s="16" t="str">
        <f t="shared" si="108"/>
        <v/>
      </c>
      <c r="LZ12" s="16" t="str">
        <f t="shared" si="109"/>
        <v/>
      </c>
    </row>
    <row r="13" spans="1:338" x14ac:dyDescent="0.2">
      <c r="A13" s="6" t="str">
        <f t="shared" si="0"/>
        <v/>
      </c>
      <c r="B13" s="9" t="s">
        <v>50</v>
      </c>
      <c r="C13" s="5" t="s">
        <v>13</v>
      </c>
      <c r="D13" s="33">
        <v>2017</v>
      </c>
      <c r="E13" s="17">
        <f t="shared" si="1"/>
        <v>182.965</v>
      </c>
      <c r="F13" s="4" t="str">
        <f t="shared" si="2"/>
        <v/>
      </c>
      <c r="G13" s="4" t="str">
        <f t="shared" si="3"/>
        <v/>
      </c>
      <c r="H13" s="4" t="str">
        <f t="shared" si="4"/>
        <v/>
      </c>
      <c r="I13" t="str">
        <f t="shared" si="5"/>
        <v/>
      </c>
      <c r="J13" s="16">
        <f t="shared" si="6"/>
        <v>87.36</v>
      </c>
      <c r="K13" s="16" t="str">
        <f t="shared" si="7"/>
        <v>2018 Canada Cup</v>
      </c>
      <c r="L13" s="16">
        <f t="shared" si="8"/>
        <v>43.325000000000003</v>
      </c>
      <c r="M13" s="16" t="str">
        <f t="shared" si="9"/>
        <v>2018 Nationals</v>
      </c>
      <c r="N13" s="16">
        <f t="shared" si="10"/>
        <v>46.875</v>
      </c>
      <c r="O13" s="16" t="str">
        <f t="shared" si="11"/>
        <v>2017 3rd Domestic Trial</v>
      </c>
      <c r="P13" s="16">
        <f t="shared" si="12"/>
        <v>5.4049999999999994</v>
      </c>
      <c r="Q13" s="16" t="str">
        <f t="shared" si="13"/>
        <v>2018 Canada Cup</v>
      </c>
      <c r="R13" s="16" t="str">
        <f t="shared" si="14"/>
        <v/>
      </c>
      <c r="S13" s="31" t="str">
        <f t="shared" si="15"/>
        <v/>
      </c>
      <c r="T13" s="16" t="str">
        <f t="shared" si="16"/>
        <v/>
      </c>
      <c r="U13" s="47">
        <v>1.4</v>
      </c>
      <c r="V13" s="47">
        <v>1</v>
      </c>
      <c r="W13" s="47">
        <v>2</v>
      </c>
      <c r="X13" s="47">
        <v>1.5449999999999999</v>
      </c>
      <c r="Y13" s="47">
        <v>0</v>
      </c>
      <c r="Z13" s="47">
        <v>13.1</v>
      </c>
      <c r="AA13" s="47">
        <v>9.1999999999999993</v>
      </c>
      <c r="AB13" s="47">
        <v>10.5</v>
      </c>
      <c r="AC13" s="47">
        <v>14.074999999999999</v>
      </c>
      <c r="AD13" s="47">
        <v>0</v>
      </c>
      <c r="AE13" s="47"/>
      <c r="AF13" s="47"/>
      <c r="AG13" s="47"/>
      <c r="AH13" s="47"/>
      <c r="AI13" s="47"/>
      <c r="AJ13" s="13">
        <f t="shared" si="17"/>
        <v>12.5</v>
      </c>
      <c r="AK13" s="13">
        <f t="shared" si="18"/>
        <v>5.9450000000000003</v>
      </c>
      <c r="AL13" s="13">
        <f t="shared" si="19"/>
        <v>46.875</v>
      </c>
      <c r="AM13" s="13">
        <f t="shared" si="20"/>
        <v>52.82</v>
      </c>
      <c r="AN13" s="13" t="str">
        <f t="shared" si="21"/>
        <v/>
      </c>
      <c r="AO13" s="13">
        <f t="shared" si="22"/>
        <v>52.82</v>
      </c>
      <c r="AP13" s="94">
        <v>15.7</v>
      </c>
      <c r="AQ13" s="94">
        <v>9.15</v>
      </c>
      <c r="AR13" s="94">
        <v>4.2</v>
      </c>
      <c r="AS13" s="94">
        <v>14.855</v>
      </c>
      <c r="AT13" s="94">
        <v>0</v>
      </c>
      <c r="AU13" s="94">
        <v>12.1</v>
      </c>
      <c r="AV13" s="94">
        <v>8.1</v>
      </c>
      <c r="AW13" s="94">
        <v>10.199999999999999</v>
      </c>
      <c r="AX13" s="94">
        <v>13.055</v>
      </c>
      <c r="AY13" s="94">
        <v>0</v>
      </c>
      <c r="AZ13" s="94">
        <v>1.3</v>
      </c>
      <c r="BA13" s="94">
        <v>0.8</v>
      </c>
      <c r="BB13" s="94">
        <v>1.7</v>
      </c>
      <c r="BC13" s="94">
        <v>1.605</v>
      </c>
      <c r="BD13" s="94">
        <v>0</v>
      </c>
      <c r="BE13" s="16">
        <f t="shared" si="23"/>
        <v>14.399999999999999</v>
      </c>
      <c r="BF13" s="16">
        <f t="shared" si="24"/>
        <v>43.905000000000001</v>
      </c>
      <c r="BG13" s="16">
        <f t="shared" si="25"/>
        <v>43.454999999999998</v>
      </c>
      <c r="BH13" s="16">
        <f t="shared" si="26"/>
        <v>87.36</v>
      </c>
      <c r="BI13" s="16">
        <f t="shared" si="27"/>
        <v>5.4049999999999994</v>
      </c>
      <c r="BJ13" s="16">
        <f t="shared" si="28"/>
        <v>92.765000000000001</v>
      </c>
      <c r="BK13" s="47">
        <v>15.7</v>
      </c>
      <c r="BL13" s="47">
        <v>8.75</v>
      </c>
      <c r="BM13" s="47">
        <v>3.7</v>
      </c>
      <c r="BN13" s="47">
        <v>15.175000000000001</v>
      </c>
      <c r="BO13" s="47">
        <v>0</v>
      </c>
      <c r="BP13" s="47">
        <v>1.2</v>
      </c>
      <c r="BQ13" s="47">
        <v>0.8</v>
      </c>
      <c r="BR13" s="47">
        <v>2</v>
      </c>
      <c r="BS13" s="47">
        <v>1.585</v>
      </c>
      <c r="BT13" s="47">
        <v>0</v>
      </c>
      <c r="BU13" s="47"/>
      <c r="BV13" s="47"/>
      <c r="BW13" s="47"/>
      <c r="BX13" s="47"/>
      <c r="BY13" s="47"/>
      <c r="BZ13" s="13">
        <f t="shared" si="29"/>
        <v>5.7</v>
      </c>
      <c r="CA13" s="13">
        <f t="shared" si="30"/>
        <v>43.325000000000003</v>
      </c>
      <c r="CB13" s="13">
        <f t="shared" si="31"/>
        <v>5.585</v>
      </c>
      <c r="CC13" s="13">
        <f t="shared" si="32"/>
        <v>48.910000000000004</v>
      </c>
      <c r="CD13" s="13" t="str">
        <f t="shared" si="33"/>
        <v/>
      </c>
      <c r="CE13" s="13">
        <f t="shared" si="34"/>
        <v>48.910000000000004</v>
      </c>
      <c r="CF13" s="30" t="str">
        <f t="shared" si="35"/>
        <v/>
      </c>
      <c r="CG13" s="30" t="str">
        <f t="shared" si="36"/>
        <v/>
      </c>
      <c r="CH13" s="30" t="str">
        <f t="shared" si="37"/>
        <v/>
      </c>
      <c r="CI13" s="47"/>
      <c r="CJ13" s="47"/>
      <c r="CK13" s="47"/>
      <c r="CL13" s="47"/>
      <c r="CM13" s="47"/>
      <c r="CN13" s="47"/>
      <c r="CO13" s="47"/>
      <c r="CP13" s="47"/>
      <c r="CQ13" s="47"/>
      <c r="CR13" s="47"/>
      <c r="CS13" s="47"/>
      <c r="CT13" s="47"/>
      <c r="CU13" s="47"/>
      <c r="CV13" s="47"/>
      <c r="CW13" s="47"/>
      <c r="CX13" s="13" t="str">
        <f t="shared" si="38"/>
        <v/>
      </c>
      <c r="CY13" s="13" t="str">
        <f t="shared" si="39"/>
        <v/>
      </c>
      <c r="CZ13" s="13" t="str">
        <f t="shared" si="40"/>
        <v/>
      </c>
      <c r="DA13" s="13" t="str">
        <f t="shared" si="41"/>
        <v/>
      </c>
      <c r="DB13" s="13" t="str">
        <f t="shared" si="42"/>
        <v/>
      </c>
      <c r="DC13" s="13" t="str">
        <f t="shared" si="43"/>
        <v/>
      </c>
      <c r="DD13" s="48"/>
      <c r="DE13" s="48"/>
      <c r="DF13" s="48"/>
      <c r="DG13" s="48"/>
      <c r="DH13" s="48"/>
      <c r="DI13" s="48"/>
      <c r="DJ13" s="48"/>
      <c r="DK13" s="48"/>
      <c r="DL13" s="48"/>
      <c r="DM13" s="48"/>
      <c r="DN13" s="48"/>
      <c r="DO13" s="48"/>
      <c r="DP13" s="48"/>
      <c r="DQ13" s="48"/>
      <c r="DR13" s="48"/>
      <c r="DS13" s="16" t="str">
        <f t="shared" si="44"/>
        <v/>
      </c>
      <c r="DT13" s="16" t="str">
        <f t="shared" si="45"/>
        <v/>
      </c>
      <c r="DU13" s="16" t="str">
        <f t="shared" si="46"/>
        <v/>
      </c>
      <c r="DV13" s="16" t="str">
        <f t="shared" si="47"/>
        <v/>
      </c>
      <c r="DW13" s="16" t="str">
        <f t="shared" si="48"/>
        <v/>
      </c>
      <c r="DX13" s="16" t="str">
        <f t="shared" si="49"/>
        <v/>
      </c>
      <c r="DY13" s="47"/>
      <c r="DZ13" s="47"/>
      <c r="EA13" s="47"/>
      <c r="EB13" s="47"/>
      <c r="EC13" s="47"/>
      <c r="ED13" s="47"/>
      <c r="EE13" s="47"/>
      <c r="EF13" s="47"/>
      <c r="EG13" s="47"/>
      <c r="EH13" s="47"/>
      <c r="EI13" s="47"/>
      <c r="EJ13" s="47"/>
      <c r="EK13" s="47"/>
      <c r="EL13" s="47"/>
      <c r="EM13" s="47"/>
      <c r="EN13" s="13" t="str">
        <f t="shared" si="50"/>
        <v/>
      </c>
      <c r="EO13" s="13" t="str">
        <f t="shared" si="51"/>
        <v/>
      </c>
      <c r="EP13" s="13" t="str">
        <f t="shared" si="52"/>
        <v/>
      </c>
      <c r="EQ13" s="13" t="str">
        <f t="shared" si="53"/>
        <v/>
      </c>
      <c r="ER13" s="13" t="str">
        <f t="shared" si="54"/>
        <v/>
      </c>
      <c r="ES13" s="13" t="str">
        <f t="shared" si="55"/>
        <v/>
      </c>
      <c r="ET13" s="48"/>
      <c r="EU13" s="48"/>
      <c r="EV13" s="48"/>
      <c r="EW13" s="48"/>
      <c r="EX13" s="48"/>
      <c r="EY13" s="48"/>
      <c r="EZ13" s="48"/>
      <c r="FA13" s="48"/>
      <c r="FB13" s="48"/>
      <c r="FC13" s="48"/>
      <c r="FD13" s="48"/>
      <c r="FE13" s="48"/>
      <c r="FF13" s="48"/>
      <c r="FG13" s="48"/>
      <c r="FH13" s="48"/>
      <c r="FI13" s="16" t="str">
        <f t="shared" si="56"/>
        <v/>
      </c>
      <c r="FJ13" s="16" t="str">
        <f t="shared" si="57"/>
        <v/>
      </c>
      <c r="FK13" s="16" t="str">
        <f t="shared" si="58"/>
        <v/>
      </c>
      <c r="FL13" s="16" t="str">
        <f t="shared" si="59"/>
        <v/>
      </c>
      <c r="FM13" s="16" t="str">
        <f t="shared" si="60"/>
        <v/>
      </c>
      <c r="FN13" s="16" t="str">
        <f t="shared" si="61"/>
        <v/>
      </c>
      <c r="FO13" s="47"/>
      <c r="FP13" s="47"/>
      <c r="FQ13" s="47"/>
      <c r="FR13" s="47"/>
      <c r="FS13" s="47"/>
      <c r="FT13" s="47"/>
      <c r="FU13" s="47"/>
      <c r="FV13" s="47"/>
      <c r="FW13" s="47"/>
      <c r="FX13" s="47"/>
      <c r="FY13" s="47"/>
      <c r="FZ13" s="47"/>
      <c r="GA13" s="47"/>
      <c r="GB13" s="47"/>
      <c r="GC13" s="47"/>
      <c r="GD13" s="13" t="str">
        <f t="shared" si="62"/>
        <v/>
      </c>
      <c r="GE13" s="13" t="str">
        <f t="shared" si="63"/>
        <v/>
      </c>
      <c r="GF13" s="13" t="str">
        <f t="shared" si="64"/>
        <v/>
      </c>
      <c r="GG13" s="13" t="str">
        <f t="shared" si="65"/>
        <v/>
      </c>
      <c r="GH13" s="13" t="str">
        <f t="shared" si="66"/>
        <v/>
      </c>
      <c r="GI13" s="13" t="str">
        <f t="shared" si="67"/>
        <v/>
      </c>
      <c r="GJ13" s="48"/>
      <c r="GK13" s="48"/>
      <c r="GL13" s="48"/>
      <c r="GM13" s="48"/>
      <c r="GN13" s="48"/>
      <c r="GO13" s="48"/>
      <c r="GP13" s="48"/>
      <c r="GQ13" s="48"/>
      <c r="GR13" s="48"/>
      <c r="GS13" s="48"/>
      <c r="GT13" s="48"/>
      <c r="GU13" s="48"/>
      <c r="GV13" s="48"/>
      <c r="GW13" s="48"/>
      <c r="GX13" s="48"/>
      <c r="GY13" s="16" t="str">
        <f t="shared" si="68"/>
        <v/>
      </c>
      <c r="GZ13" s="16" t="str">
        <f t="shared" si="69"/>
        <v/>
      </c>
      <c r="HA13" s="16" t="str">
        <f t="shared" si="70"/>
        <v/>
      </c>
      <c r="HB13" s="16" t="str">
        <f t="shared" si="71"/>
        <v/>
      </c>
      <c r="HC13" s="16" t="str">
        <f t="shared" si="72"/>
        <v/>
      </c>
      <c r="HD13" s="16" t="str">
        <f t="shared" si="73"/>
        <v/>
      </c>
      <c r="HE13" s="47"/>
      <c r="HF13" s="47"/>
      <c r="HG13" s="47"/>
      <c r="HH13" s="47"/>
      <c r="HI13" s="47"/>
      <c r="HJ13" s="47"/>
      <c r="HK13" s="47"/>
      <c r="HL13" s="47"/>
      <c r="HM13" s="47"/>
      <c r="HN13" s="47"/>
      <c r="HO13" s="47"/>
      <c r="HP13" s="47"/>
      <c r="HQ13" s="47"/>
      <c r="HR13" s="47"/>
      <c r="HS13" s="47"/>
      <c r="HT13" s="13" t="str">
        <f t="shared" si="74"/>
        <v/>
      </c>
      <c r="HU13" s="13" t="str">
        <f t="shared" si="75"/>
        <v/>
      </c>
      <c r="HV13" s="13" t="str">
        <f t="shared" si="76"/>
        <v/>
      </c>
      <c r="HW13" s="13" t="str">
        <f t="shared" si="77"/>
        <v/>
      </c>
      <c r="HX13" s="13" t="str">
        <f t="shared" si="78"/>
        <v/>
      </c>
      <c r="HY13" s="13" t="str">
        <f t="shared" si="79"/>
        <v/>
      </c>
      <c r="HZ13" s="48"/>
      <c r="IA13" s="48"/>
      <c r="IB13" s="48"/>
      <c r="IC13" s="48"/>
      <c r="ID13" s="48"/>
      <c r="IE13" s="48"/>
      <c r="IF13" s="48"/>
      <c r="IG13" s="48"/>
      <c r="IH13" s="48"/>
      <c r="II13" s="48"/>
      <c r="IJ13" s="48"/>
      <c r="IK13" s="48"/>
      <c r="IL13" s="48"/>
      <c r="IM13" s="48"/>
      <c r="IN13" s="48"/>
      <c r="IO13" s="16" t="str">
        <f t="shared" si="80"/>
        <v/>
      </c>
      <c r="IP13" s="16" t="str">
        <f t="shared" si="81"/>
        <v/>
      </c>
      <c r="IQ13" s="16" t="str">
        <f t="shared" si="82"/>
        <v/>
      </c>
      <c r="IR13" s="16" t="str">
        <f t="shared" si="83"/>
        <v/>
      </c>
      <c r="IS13" s="16" t="str">
        <f t="shared" si="84"/>
        <v/>
      </c>
      <c r="IT13" s="16" t="str">
        <f t="shared" si="85"/>
        <v/>
      </c>
      <c r="IU13" s="47"/>
      <c r="IV13" s="47"/>
      <c r="IW13" s="47"/>
      <c r="IX13" s="47"/>
      <c r="IY13" s="47"/>
      <c r="IZ13" s="47"/>
      <c r="JA13" s="47"/>
      <c r="JB13" s="47"/>
      <c r="JC13" s="47"/>
      <c r="JD13" s="47"/>
      <c r="JE13" s="47"/>
      <c r="JF13" s="47"/>
      <c r="JG13" s="47"/>
      <c r="JH13" s="47"/>
      <c r="JI13" s="47"/>
      <c r="JJ13" s="13" t="str">
        <f t="shared" si="86"/>
        <v/>
      </c>
      <c r="JK13" s="13" t="str">
        <f t="shared" si="87"/>
        <v/>
      </c>
      <c r="JL13" s="13" t="str">
        <f t="shared" si="88"/>
        <v/>
      </c>
      <c r="JM13" s="13" t="str">
        <f t="shared" si="89"/>
        <v/>
      </c>
      <c r="JN13" s="13" t="str">
        <f t="shared" si="90"/>
        <v/>
      </c>
      <c r="JO13" s="13" t="str">
        <f t="shared" si="91"/>
        <v/>
      </c>
      <c r="JP13" s="48"/>
      <c r="JQ13" s="48"/>
      <c r="JR13" s="48"/>
      <c r="JS13" s="48"/>
      <c r="JT13" s="48"/>
      <c r="JU13" s="48"/>
      <c r="JV13" s="48"/>
      <c r="JW13" s="48"/>
      <c r="JX13" s="48"/>
      <c r="JY13" s="48"/>
      <c r="JZ13" s="48"/>
      <c r="KA13" s="48"/>
      <c r="KB13" s="48"/>
      <c r="KC13" s="48"/>
      <c r="KD13" s="48"/>
      <c r="KE13" s="16" t="str">
        <f t="shared" si="92"/>
        <v/>
      </c>
      <c r="KF13" s="16" t="str">
        <f t="shared" si="93"/>
        <v/>
      </c>
      <c r="KG13" s="16" t="str">
        <f t="shared" si="94"/>
        <v/>
      </c>
      <c r="KH13" s="16" t="str">
        <f t="shared" si="95"/>
        <v/>
      </c>
      <c r="KI13" s="16" t="str">
        <f t="shared" si="96"/>
        <v/>
      </c>
      <c r="KJ13" s="16" t="str">
        <f t="shared" si="97"/>
        <v/>
      </c>
      <c r="KK13" s="47"/>
      <c r="KL13" s="47"/>
      <c r="KM13" s="47"/>
      <c r="KN13" s="47"/>
      <c r="KO13" s="47"/>
      <c r="KP13" s="47"/>
      <c r="KQ13" s="47"/>
      <c r="KR13" s="47"/>
      <c r="KS13" s="47"/>
      <c r="KT13" s="47"/>
      <c r="KU13" s="47"/>
      <c r="KV13" s="47"/>
      <c r="KW13" s="47"/>
      <c r="KX13" s="47"/>
      <c r="KY13" s="47"/>
      <c r="KZ13" s="13" t="str">
        <f t="shared" si="98"/>
        <v/>
      </c>
      <c r="LA13" s="13" t="str">
        <f t="shared" si="99"/>
        <v/>
      </c>
      <c r="LB13" s="13" t="str">
        <f t="shared" si="100"/>
        <v/>
      </c>
      <c r="LC13" s="13" t="str">
        <f t="shared" si="101"/>
        <v/>
      </c>
      <c r="LD13" s="13" t="str">
        <f t="shared" si="102"/>
        <v/>
      </c>
      <c r="LE13" s="13" t="str">
        <f t="shared" si="103"/>
        <v/>
      </c>
      <c r="LF13" s="48"/>
      <c r="LG13" s="48"/>
      <c r="LH13" s="48"/>
      <c r="LI13" s="48"/>
      <c r="LJ13" s="48"/>
      <c r="LK13" s="48"/>
      <c r="LL13" s="48"/>
      <c r="LM13" s="48"/>
      <c r="LN13" s="48"/>
      <c r="LO13" s="48"/>
      <c r="LP13" s="48"/>
      <c r="LQ13" s="48"/>
      <c r="LR13" s="48"/>
      <c r="LS13" s="48"/>
      <c r="LT13" s="48"/>
      <c r="LU13" s="16" t="str">
        <f t="shared" si="104"/>
        <v/>
      </c>
      <c r="LV13" s="16" t="str">
        <f t="shared" si="105"/>
        <v/>
      </c>
      <c r="LW13" s="16" t="str">
        <f t="shared" si="106"/>
        <v/>
      </c>
      <c r="LX13" s="16" t="str">
        <f t="shared" si="107"/>
        <v/>
      </c>
      <c r="LY13" s="16" t="str">
        <f t="shared" si="108"/>
        <v/>
      </c>
      <c r="LZ13" s="16" t="str">
        <f t="shared" si="109"/>
        <v/>
      </c>
    </row>
    <row r="16" spans="1:338" x14ac:dyDescent="0.2">
      <c r="B16" s="88" t="s">
        <v>123</v>
      </c>
      <c r="AJ16" s="71"/>
      <c r="AK16" s="80">
        <v>17.2</v>
      </c>
      <c r="BE16" s="71"/>
      <c r="BF16" s="80">
        <v>16.7</v>
      </c>
      <c r="BZ16" s="71"/>
      <c r="CA16" s="80">
        <v>16.7</v>
      </c>
      <c r="CX16" s="71"/>
      <c r="CY16" s="80">
        <v>17.2</v>
      </c>
      <c r="DS16" s="71"/>
      <c r="DT16" s="80">
        <v>17.2</v>
      </c>
      <c r="EN16" s="71"/>
      <c r="EO16" s="80">
        <v>17.2</v>
      </c>
      <c r="FI16" s="71"/>
      <c r="FJ16" s="80">
        <v>17.2</v>
      </c>
      <c r="GD16" s="71"/>
      <c r="GE16" s="80">
        <v>17.2</v>
      </c>
      <c r="GY16" s="71"/>
      <c r="GZ16" s="80">
        <v>17.2</v>
      </c>
      <c r="HT16" s="71"/>
      <c r="HU16" s="80">
        <v>17.2</v>
      </c>
      <c r="IO16" s="71"/>
      <c r="IP16" s="80">
        <v>16.7</v>
      </c>
      <c r="JJ16" s="71"/>
      <c r="JK16" s="80">
        <v>16.7</v>
      </c>
      <c r="KE16" s="71"/>
      <c r="KF16" s="80">
        <v>16.7</v>
      </c>
      <c r="KZ16" s="71"/>
      <c r="LA16" s="80">
        <v>16.7</v>
      </c>
      <c r="LU16" s="71"/>
      <c r="LV16" s="80">
        <v>16.7</v>
      </c>
    </row>
    <row r="17" spans="1:334" x14ac:dyDescent="0.2">
      <c r="A17" s="71"/>
      <c r="B17" s="89" t="s">
        <v>122</v>
      </c>
      <c r="C17" s="70"/>
      <c r="AJ17" s="71"/>
      <c r="AK17" s="81">
        <v>17.2</v>
      </c>
      <c r="BE17" s="71"/>
      <c r="BF17" s="81">
        <v>17</v>
      </c>
      <c r="BZ17" s="71"/>
      <c r="CA17" s="81">
        <v>17</v>
      </c>
      <c r="CX17" s="71"/>
      <c r="CY17" s="81">
        <v>17.2</v>
      </c>
      <c r="DS17" s="71"/>
      <c r="DT17" s="81">
        <v>17.2</v>
      </c>
      <c r="EN17" s="71"/>
      <c r="EO17" s="81">
        <v>17.2</v>
      </c>
      <c r="FI17" s="71"/>
      <c r="FJ17" s="81">
        <v>17.2</v>
      </c>
      <c r="GD17" s="71"/>
      <c r="GE17" s="81">
        <v>17.2</v>
      </c>
      <c r="GY17" s="71"/>
      <c r="GZ17" s="81">
        <v>17.2</v>
      </c>
      <c r="HT17" s="71"/>
      <c r="HU17" s="81">
        <v>17.2</v>
      </c>
      <c r="IO17" s="71"/>
      <c r="IP17" s="81">
        <v>17</v>
      </c>
      <c r="JJ17" s="71"/>
      <c r="JK17" s="81">
        <v>17</v>
      </c>
      <c r="KE17" s="71"/>
      <c r="KF17" s="81">
        <v>17</v>
      </c>
      <c r="KZ17" s="71"/>
      <c r="LA17" s="81">
        <v>17</v>
      </c>
      <c r="LU17" s="71"/>
      <c r="LV17" s="81">
        <v>17</v>
      </c>
    </row>
    <row r="18" spans="1:334" x14ac:dyDescent="0.2">
      <c r="A18" s="71"/>
      <c r="B18" s="90" t="s">
        <v>120</v>
      </c>
      <c r="C18" s="70"/>
      <c r="AJ18" s="71"/>
      <c r="AK18" s="82">
        <v>98.3</v>
      </c>
      <c r="BE18" s="71"/>
      <c r="BF18" s="82">
        <v>96.3</v>
      </c>
      <c r="BZ18" s="71"/>
      <c r="CA18" s="82">
        <v>96.3</v>
      </c>
      <c r="CX18" s="71"/>
      <c r="CY18" s="82">
        <v>98.3</v>
      </c>
      <c r="DS18" s="71"/>
      <c r="DT18" s="82">
        <v>98.3</v>
      </c>
      <c r="EN18" s="71"/>
      <c r="EO18" s="82">
        <v>98.3</v>
      </c>
      <c r="FI18" s="71"/>
      <c r="FJ18" s="82">
        <v>98.3</v>
      </c>
      <c r="GD18" s="71"/>
      <c r="GE18" s="82">
        <v>98.3</v>
      </c>
      <c r="GY18" s="71"/>
      <c r="GZ18" s="82">
        <v>98.3</v>
      </c>
      <c r="HT18" s="71"/>
      <c r="HU18" s="82">
        <v>98.3</v>
      </c>
      <c r="IO18" s="71"/>
      <c r="IP18" s="82">
        <v>96.3</v>
      </c>
      <c r="JJ18" s="71"/>
      <c r="JK18" s="82">
        <v>96.3</v>
      </c>
      <c r="KE18" s="71"/>
      <c r="KF18" s="82">
        <v>96.3</v>
      </c>
      <c r="KZ18" s="71"/>
      <c r="LA18" s="82">
        <v>96.3</v>
      </c>
      <c r="LU18" s="71"/>
      <c r="LV18" s="82">
        <v>96.3</v>
      </c>
    </row>
    <row r="19" spans="1:334" x14ac:dyDescent="0.2">
      <c r="A19" s="71"/>
      <c r="B19" s="91" t="s">
        <v>121</v>
      </c>
      <c r="C19" s="70"/>
      <c r="AJ19" s="71"/>
      <c r="AK19" s="83">
        <v>98.3</v>
      </c>
      <c r="BE19" s="71"/>
      <c r="BF19" s="83">
        <v>98.3</v>
      </c>
      <c r="BZ19" s="71"/>
      <c r="CA19" s="83">
        <v>98.3</v>
      </c>
      <c r="CX19" s="71"/>
      <c r="CY19" s="83">
        <v>98.3</v>
      </c>
      <c r="DS19" s="71"/>
      <c r="DT19" s="83">
        <v>98.3</v>
      </c>
      <c r="EN19" s="71"/>
      <c r="EO19" s="83">
        <v>98.3</v>
      </c>
      <c r="FI19" s="71"/>
      <c r="FJ19" s="83">
        <v>98.3</v>
      </c>
      <c r="GD19" s="71"/>
      <c r="GE19" s="83">
        <v>98.3</v>
      </c>
      <c r="GY19" s="71"/>
      <c r="GZ19" s="83">
        <v>98.3</v>
      </c>
      <c r="HT19" s="71"/>
      <c r="HU19" s="83">
        <v>98.3</v>
      </c>
      <c r="IO19" s="71"/>
      <c r="IP19" s="83">
        <v>98.3</v>
      </c>
      <c r="JJ19" s="71"/>
      <c r="JK19" s="83">
        <v>98.3</v>
      </c>
      <c r="KE19" s="71"/>
      <c r="KF19" s="83">
        <v>98.3</v>
      </c>
      <c r="KZ19" s="71"/>
      <c r="LA19" s="83">
        <v>98.3</v>
      </c>
      <c r="LU19" s="71"/>
      <c r="LV19" s="83">
        <v>98.3</v>
      </c>
    </row>
    <row r="20" spans="1:334" x14ac:dyDescent="0.2">
      <c r="A20" s="71"/>
      <c r="B20" s="92" t="s">
        <v>39</v>
      </c>
      <c r="C20" s="70"/>
      <c r="AJ20" s="71"/>
      <c r="AK20" s="84">
        <v>101.1</v>
      </c>
      <c r="BE20" s="71"/>
      <c r="BF20" s="84">
        <v>101.2</v>
      </c>
      <c r="BZ20" s="71"/>
      <c r="CA20" s="84">
        <v>101.2</v>
      </c>
      <c r="CX20" s="71"/>
      <c r="CY20" s="84">
        <v>101.1</v>
      </c>
      <c r="DS20" s="71"/>
      <c r="DT20" s="84">
        <v>101.1</v>
      </c>
      <c r="EN20" s="71"/>
      <c r="EO20" s="84">
        <v>101.1</v>
      </c>
      <c r="FI20" s="71"/>
      <c r="FJ20" s="84">
        <v>101.1</v>
      </c>
      <c r="GD20" s="71"/>
      <c r="GE20" s="84">
        <v>101.1</v>
      </c>
      <c r="GY20" s="71"/>
      <c r="GZ20" s="84">
        <v>101.1</v>
      </c>
      <c r="HT20" s="71"/>
      <c r="HU20" s="84">
        <v>101.1</v>
      </c>
      <c r="IO20" s="71"/>
      <c r="IP20" s="84">
        <v>101.2</v>
      </c>
      <c r="JJ20" s="71"/>
      <c r="JK20" s="84">
        <v>101.2</v>
      </c>
      <c r="KE20" s="71"/>
      <c r="KF20" s="84">
        <v>101.2</v>
      </c>
      <c r="KZ20" s="71"/>
      <c r="LA20" s="84">
        <v>101.2</v>
      </c>
      <c r="LU20" s="71"/>
      <c r="LV20" s="84">
        <v>101.2</v>
      </c>
    </row>
    <row r="21" spans="1:334" x14ac:dyDescent="0.2">
      <c r="A21" s="71"/>
      <c r="B21" s="93" t="s">
        <v>91</v>
      </c>
      <c r="C21" s="70"/>
      <c r="L21" s="2"/>
      <c r="AJ21" s="71"/>
      <c r="AK21" s="85">
        <v>104.2</v>
      </c>
      <c r="BE21" s="71"/>
      <c r="BF21" s="85">
        <v>55.1</v>
      </c>
      <c r="BZ21" s="71"/>
      <c r="CA21" s="85">
        <v>55.1</v>
      </c>
      <c r="CX21" s="71"/>
      <c r="CY21" s="85">
        <v>104.2</v>
      </c>
      <c r="DS21" s="71"/>
      <c r="DT21" s="85">
        <v>104.2</v>
      </c>
      <c r="EN21" s="71"/>
      <c r="EO21" s="85">
        <v>104.2</v>
      </c>
      <c r="FI21" s="71"/>
      <c r="FJ21" s="85">
        <v>104.2</v>
      </c>
      <c r="GD21" s="71"/>
      <c r="GE21" s="85">
        <v>104.2</v>
      </c>
      <c r="GY21" s="71"/>
      <c r="GZ21" s="85">
        <v>104.2</v>
      </c>
      <c r="HT21" s="71"/>
      <c r="HU21" s="85">
        <v>104.2</v>
      </c>
      <c r="IO21" s="71"/>
      <c r="IP21" s="85">
        <v>55.1</v>
      </c>
      <c r="JJ21" s="71"/>
      <c r="JK21" s="85">
        <v>55.1</v>
      </c>
      <c r="KE21" s="71"/>
      <c r="KF21" s="85">
        <v>55.1</v>
      </c>
      <c r="KZ21" s="71"/>
      <c r="LA21" s="85">
        <v>55.1</v>
      </c>
      <c r="LU21" s="71"/>
      <c r="LV21" s="85">
        <v>55.1</v>
      </c>
    </row>
    <row r="22" spans="1:334" x14ac:dyDescent="0.2">
      <c r="A22" s="7"/>
      <c r="B22" s="7"/>
      <c r="C22" s="70"/>
      <c r="AJ22" s="69" t="s">
        <v>141</v>
      </c>
      <c r="BF22" s="69"/>
      <c r="CY22" s="69" t="s">
        <v>141</v>
      </c>
      <c r="DT22" s="69" t="s">
        <v>141</v>
      </c>
      <c r="EO22" s="69" t="s">
        <v>141</v>
      </c>
      <c r="FJ22" s="69" t="s">
        <v>141</v>
      </c>
      <c r="GE22" s="69" t="s">
        <v>141</v>
      </c>
      <c r="GZ22" s="69" t="s">
        <v>141</v>
      </c>
      <c r="HU22" s="69" t="s">
        <v>141</v>
      </c>
    </row>
    <row r="23" spans="1:334" x14ac:dyDescent="0.2">
      <c r="A23" s="71"/>
      <c r="B23" s="71"/>
      <c r="C23" s="70"/>
    </row>
    <row r="24" spans="1:334" x14ac:dyDescent="0.2">
      <c r="A24" s="71"/>
      <c r="B24" s="71"/>
      <c r="C24" s="70"/>
    </row>
    <row r="25" spans="1:334" x14ac:dyDescent="0.2">
      <c r="A25" s="71"/>
      <c r="B25" s="71"/>
      <c r="C25" s="70"/>
    </row>
  </sheetData>
  <sheetProtection sheet="1" objects="1" scenarios="1" formatCells="0" formatColumns="0" formatRows="0"/>
  <autoFilter ref="A1:LZ3" xr:uid="{00000000-0009-0000-0000-000002000000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3" showButton="0"/>
    <filterColumn colId="84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sortState ref="A6:LZ13">
      <sortCondition descending="1" ref="F1:F13"/>
    </sortState>
  </autoFilter>
  <mergeCells count="81">
    <mergeCell ref="AP2:AT2"/>
    <mergeCell ref="BK2:BO2"/>
    <mergeCell ref="BP2:BT2"/>
    <mergeCell ref="BU2:BY2"/>
    <mergeCell ref="AU2:AY2"/>
    <mergeCell ref="AZ2:BD2"/>
    <mergeCell ref="H1:H3"/>
    <mergeCell ref="I1:I3"/>
    <mergeCell ref="IZ2:JD2"/>
    <mergeCell ref="JE2:JI2"/>
    <mergeCell ref="JP2:JT2"/>
    <mergeCell ref="GT2:GX2"/>
    <mergeCell ref="HE2:HI2"/>
    <mergeCell ref="HJ2:HN2"/>
    <mergeCell ref="HO2:HS2"/>
    <mergeCell ref="HZ2:ID2"/>
    <mergeCell ref="IE2:II2"/>
    <mergeCell ref="IJ2:IN2"/>
    <mergeCell ref="IU2:IY2"/>
    <mergeCell ref="ET2:EX2"/>
    <mergeCell ref="EY2:FC2"/>
    <mergeCell ref="AP1:BJ1"/>
    <mergeCell ref="A1:A3"/>
    <mergeCell ref="B1:B3"/>
    <mergeCell ref="C1:C3"/>
    <mergeCell ref="E1:E3"/>
    <mergeCell ref="G1:G3"/>
    <mergeCell ref="F1:F3"/>
    <mergeCell ref="D1:D3"/>
    <mergeCell ref="EI2:EM2"/>
    <mergeCell ref="CI1:DC1"/>
    <mergeCell ref="CI2:CM2"/>
    <mergeCell ref="CN2:CR2"/>
    <mergeCell ref="CS2:CW2"/>
    <mergeCell ref="DD1:DX1"/>
    <mergeCell ref="DY1:ES1"/>
    <mergeCell ref="DD2:DH2"/>
    <mergeCell ref="DI2:DM2"/>
    <mergeCell ref="DN2:DR2"/>
    <mergeCell ref="DY2:EC2"/>
    <mergeCell ref="ED2:EH2"/>
    <mergeCell ref="U2:Y2"/>
    <mergeCell ref="Z2:AD2"/>
    <mergeCell ref="U1:AO1"/>
    <mergeCell ref="AE2:AI2"/>
    <mergeCell ref="S1:S3"/>
    <mergeCell ref="T1:T3"/>
    <mergeCell ref="R1:R3"/>
    <mergeCell ref="J1:J3"/>
    <mergeCell ref="L1:L3"/>
    <mergeCell ref="N1:N3"/>
    <mergeCell ref="P1:P3"/>
    <mergeCell ref="K1:K3"/>
    <mergeCell ref="M1:M3"/>
    <mergeCell ref="O1:O3"/>
    <mergeCell ref="Q1:Q3"/>
    <mergeCell ref="CF1:CH1"/>
    <mergeCell ref="BK1:CE1"/>
    <mergeCell ref="KK1:LE1"/>
    <mergeCell ref="LF1:LZ1"/>
    <mergeCell ref="FO1:GI1"/>
    <mergeCell ref="GJ1:HD1"/>
    <mergeCell ref="JP1:KJ1"/>
    <mergeCell ref="HE1:HY1"/>
    <mergeCell ref="HZ1:IT1"/>
    <mergeCell ref="IU1:JO1"/>
    <mergeCell ref="ET1:FN1"/>
    <mergeCell ref="LF2:LJ2"/>
    <mergeCell ref="LK2:LO2"/>
    <mergeCell ref="LP2:LT2"/>
    <mergeCell ref="JU2:JY2"/>
    <mergeCell ref="JZ2:KD2"/>
    <mergeCell ref="KK2:KO2"/>
    <mergeCell ref="KP2:KT2"/>
    <mergeCell ref="KU2:KY2"/>
    <mergeCell ref="GO2:GS2"/>
    <mergeCell ref="FD2:FH2"/>
    <mergeCell ref="FO2:FS2"/>
    <mergeCell ref="FT2:FX2"/>
    <mergeCell ref="FY2:GC2"/>
    <mergeCell ref="GJ2:GN2"/>
  </mergeCells>
  <conditionalFormatting sqref="A1:A1048576">
    <cfRule type="expression" dxfId="140" priority="67">
      <formula>AND(H1="P",F1="")</formula>
    </cfRule>
  </conditionalFormatting>
  <conditionalFormatting sqref="I1:I1048576">
    <cfRule type="containsText" dxfId="139" priority="68" operator="containsText" text="Merit">
      <formula>NOT(ISERROR(SEARCH("Merit",I1)))</formula>
    </cfRule>
    <cfRule type="containsText" dxfId="138" priority="69" operator="containsText" text="Funding">
      <formula>NOT(ISERROR(SEARCH("Funding",I1)))</formula>
    </cfRule>
    <cfRule type="containsText" dxfId="137" priority="70" operator="containsText" text="Worlds Team">
      <formula>NOT(ISERROR(SEARCH("Worlds Team",I1)))</formula>
    </cfRule>
    <cfRule type="containsText" dxfId="136" priority="351" operator="containsText" text="National Team">
      <formula>NOT(ISERROR(SEARCH("National Team",I1)))</formula>
    </cfRule>
  </conditionalFormatting>
  <conditionalFormatting sqref="K1:K1048576">
    <cfRule type="expression" dxfId="135" priority="352">
      <formula>IF(J1=CC1,1,0)</formula>
    </cfRule>
    <cfRule type="expression" dxfId="134" priority="353">
      <formula>IF(J1=BH1,1,0)</formula>
    </cfRule>
    <cfRule type="expression" dxfId="133" priority="354">
      <formula>IF(J1=AM1,1,0)</formula>
    </cfRule>
  </conditionalFormatting>
  <conditionalFormatting sqref="M1:M1048576">
    <cfRule type="expression" dxfId="132" priority="355">
      <formula>IF(L1=CA1,1,0)</formula>
    </cfRule>
    <cfRule type="expression" dxfId="131" priority="356">
      <formula>IF(L1=BF1,1,0)</formula>
    </cfRule>
    <cfRule type="expression" dxfId="130" priority="357">
      <formula>IF(L1=AK1,1,0)</formula>
    </cfRule>
  </conditionalFormatting>
  <conditionalFormatting sqref="O1:O1048576 Q1:Q1048576">
    <cfRule type="expression" dxfId="129" priority="358">
      <formula>IF(N1=CB1,1,0)</formula>
    </cfRule>
    <cfRule type="expression" dxfId="128" priority="359">
      <formula>IF(N1=BG1,1,0)</formula>
    </cfRule>
    <cfRule type="expression" dxfId="127" priority="361">
      <formula>IF(N1=AL1,1,0)</formula>
    </cfRule>
  </conditionalFormatting>
  <conditionalFormatting sqref="AJ26:AJ1048576 AJ1:AJ24 BE1:BE1048576 BZ1:BZ1048576 CX1:CX1048576 DS1:DS1048576 EN1:EN1048576 FI1:FI1048576 GD1:GD1048576 GY1:GY1048576 HT1:HT1048576 IO1:IO1048576 JJ1:JJ1048576 KE1:KE1048576 KZ1:KZ1048576 LU1:LU1048576">
    <cfRule type="cellIs" dxfId="126" priority="1041" operator="between">
      <formula>AK$17</formula>
      <formula>1000</formula>
    </cfRule>
    <cfRule type="cellIs" dxfId="125" priority="1042" operator="between">
      <formula>AK$16</formula>
      <formula>AK$17</formula>
    </cfRule>
  </conditionalFormatting>
  <conditionalFormatting sqref="AL1:AL1048576 BG1:BG1048576 CB1:CB1048576 CZ1:CZ1048576 DU1:DU1048576 EP1:EP1048576 FK1:FK1048576 GF1:GF1048576 HA1:HA1048576 HV1:HV1048576 IQ1:IQ1048576 JL1:JL1048576 KG1:KG1048576 LB1:LB1048576 LW1:LW1048576">
    <cfRule type="cellIs" dxfId="124" priority="1811" operator="between">
      <formula>AK$21</formula>
      <formula>1000</formula>
    </cfRule>
  </conditionalFormatting>
  <conditionalFormatting sqref="AN1:AN1048576 BI1:BI1048576 CD1:CD1048576 DB1:DB1048576 DW1:DW1048576 ER1:ER1048576 FM1:FM1048576 GH1:GH1048576 HC1:HC1048576 HX1:HX1048576 IS1:IS1048576 JN1:JN1048576 KI1:KI1048576 LD1:LD1048576 LY1:LY1048576">
    <cfRule type="cellIs" dxfId="123" priority="1856" operator="between">
      <formula>AK$21</formula>
      <formula>1000</formula>
    </cfRule>
  </conditionalFormatting>
  <conditionalFormatting sqref="AM1:AM1048576 BH1:BH1048576 CC1:CC1048576 DA1:DA1048576 DV1:DV1048576 EQ1:EQ1048576 FL1:FL1048576 GG1:GG1048576 HB1:HB1048576 HW1:HW1048576 IR1:IR1048576 JM1:JM1048576 KH1:KH1048576 LC1:LC1048576 LX1:LX1048576">
    <cfRule type="cellIs" dxfId="122" priority="2037" operator="between">
      <formula>AK$20</formula>
      <formula>1000</formula>
    </cfRule>
    <cfRule type="cellIs" dxfId="121" priority="2038" operator="between">
      <formula>AK$19</formula>
      <formula>AK$20</formula>
    </cfRule>
    <cfRule type="cellIs" dxfId="120" priority="2039" operator="between">
      <formula>AK$18</formula>
      <formula>AK$19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LZ44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2.5" bestFit="1" customWidth="1"/>
    <col min="3" max="3" width="8.1640625" bestFit="1" customWidth="1"/>
    <col min="4" max="4" width="16.33203125" customWidth="1"/>
    <col min="6" max="6" width="16" customWidth="1"/>
    <col min="7" max="7" width="14.83203125" customWidth="1"/>
    <col min="9" max="9" width="13.33203125" bestFit="1" customWidth="1"/>
    <col min="11" max="11" width="20.5" bestFit="1" customWidth="1"/>
    <col min="13" max="13" width="20.5" bestFit="1" customWidth="1"/>
    <col min="15" max="15" width="20.5" bestFit="1" customWidth="1"/>
    <col min="17" max="17" width="20.5" bestFit="1" customWidth="1"/>
    <col min="18" max="18" width="24.6640625" customWidth="1"/>
    <col min="19" max="19" width="13" bestFit="1" customWidth="1"/>
    <col min="20" max="20" width="51.1640625" bestFit="1" customWidth="1"/>
    <col min="21" max="35" width="10.83203125" hidden="1" customWidth="1"/>
    <col min="36" max="41" width="10.83203125" customWidth="1"/>
    <col min="42" max="56" width="10.83203125" hidden="1" customWidth="1"/>
    <col min="57" max="62" width="10.83203125" customWidth="1"/>
    <col min="63" max="77" width="10.83203125" hidden="1" customWidth="1"/>
    <col min="78" max="83" width="10.83203125" customWidth="1"/>
    <col min="87" max="101" width="10.83203125" hidden="1" customWidth="1"/>
    <col min="102" max="107" width="10.83203125" customWidth="1"/>
    <col min="108" max="122" width="10.83203125" hidden="1" customWidth="1"/>
    <col min="123" max="128" width="10.83203125" customWidth="1"/>
    <col min="129" max="143" width="10.83203125" hidden="1" customWidth="1"/>
    <col min="144" max="149" width="10.83203125" customWidth="1"/>
    <col min="150" max="164" width="10.83203125" hidden="1" customWidth="1"/>
    <col min="165" max="170" width="10.83203125" customWidth="1"/>
    <col min="171" max="185" width="10.83203125" hidden="1" customWidth="1"/>
    <col min="186" max="191" width="10.83203125" customWidth="1"/>
    <col min="192" max="206" width="10.83203125" hidden="1" customWidth="1"/>
    <col min="207" max="212" width="10.83203125" customWidth="1"/>
    <col min="213" max="227" width="10.83203125" hidden="1" customWidth="1"/>
    <col min="228" max="233" width="10.83203125" customWidth="1"/>
    <col min="234" max="248" width="10.83203125" hidden="1" customWidth="1"/>
    <col min="249" max="254" width="10.83203125" customWidth="1"/>
    <col min="255" max="269" width="10.83203125" hidden="1" customWidth="1"/>
    <col min="270" max="275" width="10.83203125" customWidth="1"/>
    <col min="276" max="290" width="10.83203125" hidden="1" customWidth="1"/>
    <col min="291" max="296" width="10.83203125" customWidth="1"/>
    <col min="297" max="311" width="10.83203125" hidden="1" customWidth="1"/>
    <col min="312" max="317" width="10.83203125" customWidth="1"/>
    <col min="318" max="332" width="10.83203125" hidden="1" customWidth="1"/>
    <col min="333" max="338" width="10.83203125" customWidth="1"/>
  </cols>
  <sheetData>
    <row r="1" spans="1:338" x14ac:dyDescent="0.2">
      <c r="A1" s="101" t="s">
        <v>2</v>
      </c>
      <c r="B1" s="101" t="s">
        <v>51</v>
      </c>
      <c r="C1" s="101" t="s">
        <v>0</v>
      </c>
      <c r="D1" s="101" t="s">
        <v>1</v>
      </c>
      <c r="E1" s="101" t="s">
        <v>3</v>
      </c>
      <c r="F1" s="104" t="s">
        <v>123</v>
      </c>
      <c r="G1" s="104" t="s">
        <v>122</v>
      </c>
      <c r="H1" s="101" t="s">
        <v>22</v>
      </c>
      <c r="I1" s="101" t="s">
        <v>23</v>
      </c>
      <c r="J1" s="102" t="s">
        <v>24</v>
      </c>
      <c r="K1" s="102" t="s">
        <v>87</v>
      </c>
      <c r="L1" s="102" t="s">
        <v>25</v>
      </c>
      <c r="M1" s="102" t="s">
        <v>87</v>
      </c>
      <c r="N1" s="102" t="s">
        <v>26</v>
      </c>
      <c r="O1" s="102" t="s">
        <v>87</v>
      </c>
      <c r="P1" s="102" t="s">
        <v>27</v>
      </c>
      <c r="Q1" s="102" t="s">
        <v>87</v>
      </c>
      <c r="R1" s="103" t="s">
        <v>28</v>
      </c>
      <c r="S1" s="102" t="s">
        <v>90</v>
      </c>
      <c r="T1" s="102" t="s">
        <v>87</v>
      </c>
      <c r="U1" s="97" t="s">
        <v>92</v>
      </c>
      <c r="V1" s="97"/>
      <c r="W1" s="97"/>
      <c r="X1" s="97"/>
      <c r="Y1" s="97"/>
      <c r="Z1" s="97"/>
      <c r="AA1" s="97"/>
      <c r="AB1" s="97"/>
      <c r="AC1" s="97"/>
      <c r="AD1" s="97"/>
      <c r="AE1" s="97"/>
      <c r="AF1" s="97"/>
      <c r="AG1" s="97"/>
      <c r="AH1" s="97"/>
      <c r="AI1" s="97"/>
      <c r="AJ1" s="97"/>
      <c r="AK1" s="97"/>
      <c r="AL1" s="97"/>
      <c r="AM1" s="97"/>
      <c r="AN1" s="97"/>
      <c r="AO1" s="97"/>
      <c r="AP1" s="96" t="s">
        <v>124</v>
      </c>
      <c r="AQ1" s="96"/>
      <c r="AR1" s="96"/>
      <c r="AS1" s="96"/>
      <c r="AT1" s="96"/>
      <c r="AU1" s="96"/>
      <c r="AV1" s="96"/>
      <c r="AW1" s="96"/>
      <c r="AX1" s="96"/>
      <c r="AY1" s="96"/>
      <c r="AZ1" s="96"/>
      <c r="BA1" s="96"/>
      <c r="BB1" s="96"/>
      <c r="BC1" s="96"/>
      <c r="BD1" s="96"/>
      <c r="BE1" s="96"/>
      <c r="BF1" s="96"/>
      <c r="BG1" s="96"/>
      <c r="BH1" s="96"/>
      <c r="BI1" s="96"/>
      <c r="BJ1" s="96"/>
      <c r="BK1" s="97" t="s">
        <v>142</v>
      </c>
      <c r="BL1" s="97"/>
      <c r="BM1" s="97"/>
      <c r="BN1" s="97"/>
      <c r="BO1" s="97"/>
      <c r="BP1" s="97"/>
      <c r="BQ1" s="97"/>
      <c r="BR1" s="97"/>
      <c r="BS1" s="97"/>
      <c r="BT1" s="97"/>
      <c r="BU1" s="97"/>
      <c r="BV1" s="97"/>
      <c r="BW1" s="97"/>
      <c r="BX1" s="97"/>
      <c r="BY1" s="97"/>
      <c r="BZ1" s="97"/>
      <c r="CA1" s="97"/>
      <c r="CB1" s="97"/>
      <c r="CC1" s="97"/>
      <c r="CD1" s="97"/>
      <c r="CE1" s="97"/>
      <c r="CF1" s="100" t="s">
        <v>28</v>
      </c>
      <c r="CG1" s="100"/>
      <c r="CH1" s="100"/>
      <c r="CI1" s="97" t="s">
        <v>103</v>
      </c>
      <c r="CJ1" s="97"/>
      <c r="CK1" s="97"/>
      <c r="CL1" s="97"/>
      <c r="CM1" s="97"/>
      <c r="CN1" s="97"/>
      <c r="CO1" s="97"/>
      <c r="CP1" s="97"/>
      <c r="CQ1" s="97"/>
      <c r="CR1" s="97"/>
      <c r="CS1" s="97"/>
      <c r="CT1" s="97"/>
      <c r="CU1" s="97"/>
      <c r="CV1" s="97"/>
      <c r="CW1" s="97"/>
      <c r="CX1" s="97"/>
      <c r="CY1" s="97"/>
      <c r="CZ1" s="97"/>
      <c r="DA1" s="97"/>
      <c r="DB1" s="97"/>
      <c r="DC1" s="97"/>
      <c r="DD1" s="96" t="s">
        <v>139</v>
      </c>
      <c r="DE1" s="96"/>
      <c r="DF1" s="96"/>
      <c r="DG1" s="96"/>
      <c r="DH1" s="96"/>
      <c r="DI1" s="96"/>
      <c r="DJ1" s="96"/>
      <c r="DK1" s="96"/>
      <c r="DL1" s="96"/>
      <c r="DM1" s="96"/>
      <c r="DN1" s="96"/>
      <c r="DO1" s="96"/>
      <c r="DP1" s="96"/>
      <c r="DQ1" s="96"/>
      <c r="DR1" s="96"/>
      <c r="DS1" s="96"/>
      <c r="DT1" s="96"/>
      <c r="DU1" s="96"/>
      <c r="DV1" s="96"/>
      <c r="DW1" s="96"/>
      <c r="DX1" s="96"/>
      <c r="DY1" s="97" t="s">
        <v>159</v>
      </c>
      <c r="DZ1" s="97"/>
      <c r="EA1" s="97"/>
      <c r="EB1" s="97"/>
      <c r="EC1" s="97"/>
      <c r="ED1" s="97"/>
      <c r="EE1" s="97"/>
      <c r="EF1" s="97"/>
      <c r="EG1" s="97"/>
      <c r="EH1" s="97"/>
      <c r="EI1" s="97"/>
      <c r="EJ1" s="97"/>
      <c r="EK1" s="97"/>
      <c r="EL1" s="97"/>
      <c r="EM1" s="97"/>
      <c r="EN1" s="97"/>
      <c r="EO1" s="97"/>
      <c r="EP1" s="97"/>
      <c r="EQ1" s="97"/>
      <c r="ER1" s="97"/>
      <c r="ES1" s="97"/>
      <c r="ET1" s="96"/>
      <c r="EU1" s="96"/>
      <c r="EV1" s="96"/>
      <c r="EW1" s="96"/>
      <c r="EX1" s="96"/>
      <c r="EY1" s="96"/>
      <c r="EZ1" s="96"/>
      <c r="FA1" s="96"/>
      <c r="FB1" s="96"/>
      <c r="FC1" s="96"/>
      <c r="FD1" s="96"/>
      <c r="FE1" s="96"/>
      <c r="FF1" s="96"/>
      <c r="FG1" s="96"/>
      <c r="FH1" s="96"/>
      <c r="FI1" s="96"/>
      <c r="FJ1" s="96"/>
      <c r="FK1" s="96"/>
      <c r="FL1" s="96"/>
      <c r="FM1" s="96"/>
      <c r="FN1" s="96"/>
      <c r="FO1" s="97"/>
      <c r="FP1" s="97"/>
      <c r="FQ1" s="97"/>
      <c r="FR1" s="97"/>
      <c r="FS1" s="97"/>
      <c r="FT1" s="97"/>
      <c r="FU1" s="97"/>
      <c r="FV1" s="97"/>
      <c r="FW1" s="97"/>
      <c r="FX1" s="97"/>
      <c r="FY1" s="97"/>
      <c r="FZ1" s="97"/>
      <c r="GA1" s="97"/>
      <c r="GB1" s="97"/>
      <c r="GC1" s="97"/>
      <c r="GD1" s="97"/>
      <c r="GE1" s="97"/>
      <c r="GF1" s="97"/>
      <c r="GG1" s="97"/>
      <c r="GH1" s="97"/>
      <c r="GI1" s="97"/>
      <c r="GJ1" s="96"/>
      <c r="GK1" s="96"/>
      <c r="GL1" s="96"/>
      <c r="GM1" s="96"/>
      <c r="GN1" s="96"/>
      <c r="GO1" s="96"/>
      <c r="GP1" s="96"/>
      <c r="GQ1" s="96"/>
      <c r="GR1" s="96"/>
      <c r="GS1" s="96"/>
      <c r="GT1" s="96"/>
      <c r="GU1" s="96"/>
      <c r="GV1" s="96"/>
      <c r="GW1" s="96"/>
      <c r="GX1" s="96"/>
      <c r="GY1" s="96"/>
      <c r="GZ1" s="96"/>
      <c r="HA1" s="96"/>
      <c r="HB1" s="96"/>
      <c r="HC1" s="96"/>
      <c r="HD1" s="96"/>
      <c r="HE1" s="97"/>
      <c r="HF1" s="97"/>
      <c r="HG1" s="97"/>
      <c r="HH1" s="97"/>
      <c r="HI1" s="97"/>
      <c r="HJ1" s="97"/>
      <c r="HK1" s="97"/>
      <c r="HL1" s="97"/>
      <c r="HM1" s="97"/>
      <c r="HN1" s="97"/>
      <c r="HO1" s="97"/>
      <c r="HP1" s="97"/>
      <c r="HQ1" s="97"/>
      <c r="HR1" s="97"/>
      <c r="HS1" s="97"/>
      <c r="HT1" s="97"/>
      <c r="HU1" s="97"/>
      <c r="HV1" s="97"/>
      <c r="HW1" s="97"/>
      <c r="HX1" s="97"/>
      <c r="HY1" s="97"/>
      <c r="HZ1" s="96"/>
      <c r="IA1" s="96"/>
      <c r="IB1" s="96"/>
      <c r="IC1" s="96"/>
      <c r="ID1" s="96"/>
      <c r="IE1" s="96"/>
      <c r="IF1" s="96"/>
      <c r="IG1" s="96"/>
      <c r="IH1" s="96"/>
      <c r="II1" s="96"/>
      <c r="IJ1" s="96"/>
      <c r="IK1" s="96"/>
      <c r="IL1" s="96"/>
      <c r="IM1" s="96"/>
      <c r="IN1" s="96"/>
      <c r="IO1" s="96"/>
      <c r="IP1" s="96"/>
      <c r="IQ1" s="96"/>
      <c r="IR1" s="96"/>
      <c r="IS1" s="96"/>
      <c r="IT1" s="96"/>
      <c r="IU1" s="97"/>
      <c r="IV1" s="97"/>
      <c r="IW1" s="97"/>
      <c r="IX1" s="97"/>
      <c r="IY1" s="97"/>
      <c r="IZ1" s="97"/>
      <c r="JA1" s="97"/>
      <c r="JB1" s="97"/>
      <c r="JC1" s="97"/>
      <c r="JD1" s="97"/>
      <c r="JE1" s="97"/>
      <c r="JF1" s="97"/>
      <c r="JG1" s="97"/>
      <c r="JH1" s="97"/>
      <c r="JI1" s="97"/>
      <c r="JJ1" s="97"/>
      <c r="JK1" s="97"/>
      <c r="JL1" s="97"/>
      <c r="JM1" s="97"/>
      <c r="JN1" s="97"/>
      <c r="JO1" s="97"/>
      <c r="JP1" s="96"/>
      <c r="JQ1" s="96"/>
      <c r="JR1" s="96"/>
      <c r="JS1" s="96"/>
      <c r="JT1" s="96"/>
      <c r="JU1" s="96"/>
      <c r="JV1" s="96"/>
      <c r="JW1" s="96"/>
      <c r="JX1" s="96"/>
      <c r="JY1" s="96"/>
      <c r="JZ1" s="96"/>
      <c r="KA1" s="96"/>
      <c r="KB1" s="96"/>
      <c r="KC1" s="96"/>
      <c r="KD1" s="96"/>
      <c r="KE1" s="96"/>
      <c r="KF1" s="96"/>
      <c r="KG1" s="96"/>
      <c r="KH1" s="96"/>
      <c r="KI1" s="96"/>
      <c r="KJ1" s="96"/>
      <c r="KK1" s="97"/>
      <c r="KL1" s="97"/>
      <c r="KM1" s="97"/>
      <c r="KN1" s="97"/>
      <c r="KO1" s="97"/>
      <c r="KP1" s="97"/>
      <c r="KQ1" s="97"/>
      <c r="KR1" s="97"/>
      <c r="KS1" s="97"/>
      <c r="KT1" s="97"/>
      <c r="KU1" s="97"/>
      <c r="KV1" s="97"/>
      <c r="KW1" s="97"/>
      <c r="KX1" s="97"/>
      <c r="KY1" s="97"/>
      <c r="KZ1" s="97"/>
      <c r="LA1" s="97"/>
      <c r="LB1" s="97"/>
      <c r="LC1" s="97"/>
      <c r="LD1" s="97"/>
      <c r="LE1" s="97"/>
      <c r="LF1" s="96"/>
      <c r="LG1" s="96"/>
      <c r="LH1" s="96"/>
      <c r="LI1" s="96"/>
      <c r="LJ1" s="96"/>
      <c r="LK1" s="96"/>
      <c r="LL1" s="96"/>
      <c r="LM1" s="96"/>
      <c r="LN1" s="96"/>
      <c r="LO1" s="96"/>
      <c r="LP1" s="96"/>
      <c r="LQ1" s="96"/>
      <c r="LR1" s="96"/>
      <c r="LS1" s="96"/>
      <c r="LT1" s="96"/>
      <c r="LU1" s="96"/>
      <c r="LV1" s="96"/>
      <c r="LW1" s="96"/>
      <c r="LX1" s="96"/>
      <c r="LY1" s="96"/>
      <c r="LZ1" s="96"/>
    </row>
    <row r="2" spans="1:338" x14ac:dyDescent="0.2">
      <c r="A2" s="101"/>
      <c r="B2" s="101"/>
      <c r="C2" s="101"/>
      <c r="D2" s="101"/>
      <c r="E2" s="101"/>
      <c r="F2" s="104"/>
      <c r="G2" s="104"/>
      <c r="H2" s="101"/>
      <c r="I2" s="101"/>
      <c r="J2" s="102"/>
      <c r="K2" s="102"/>
      <c r="L2" s="102"/>
      <c r="M2" s="102"/>
      <c r="N2" s="102"/>
      <c r="O2" s="102"/>
      <c r="P2" s="102"/>
      <c r="Q2" s="102"/>
      <c r="R2" s="103"/>
      <c r="S2" s="102"/>
      <c r="T2" s="102"/>
      <c r="U2" s="98" t="s">
        <v>33</v>
      </c>
      <c r="V2" s="98"/>
      <c r="W2" s="98"/>
      <c r="X2" s="98"/>
      <c r="Y2" s="98"/>
      <c r="Z2" s="98" t="s">
        <v>34</v>
      </c>
      <c r="AA2" s="98"/>
      <c r="AB2" s="98"/>
      <c r="AC2" s="98"/>
      <c r="AD2" s="98"/>
      <c r="AE2" s="98" t="s">
        <v>37</v>
      </c>
      <c r="AF2" s="98"/>
      <c r="AG2" s="98"/>
      <c r="AH2" s="98"/>
      <c r="AI2" s="98"/>
      <c r="AJ2" s="73" t="s">
        <v>40</v>
      </c>
      <c r="AK2" s="11" t="s">
        <v>35</v>
      </c>
      <c r="AL2" s="11" t="s">
        <v>36</v>
      </c>
      <c r="AM2" s="11" t="s">
        <v>38</v>
      </c>
      <c r="AN2" s="11" t="s">
        <v>37</v>
      </c>
      <c r="AO2" s="11" t="s">
        <v>32</v>
      </c>
      <c r="AP2" s="99" t="s">
        <v>33</v>
      </c>
      <c r="AQ2" s="99"/>
      <c r="AR2" s="99"/>
      <c r="AS2" s="99"/>
      <c r="AT2" s="99"/>
      <c r="AU2" s="99" t="s">
        <v>34</v>
      </c>
      <c r="AV2" s="99"/>
      <c r="AW2" s="99"/>
      <c r="AX2" s="99"/>
      <c r="AY2" s="99"/>
      <c r="AZ2" s="99" t="s">
        <v>37</v>
      </c>
      <c r="BA2" s="99"/>
      <c r="BB2" s="99"/>
      <c r="BC2" s="99"/>
      <c r="BD2" s="99"/>
      <c r="BE2" s="72" t="s">
        <v>40</v>
      </c>
      <c r="BF2" s="14" t="s">
        <v>35</v>
      </c>
      <c r="BG2" s="14" t="s">
        <v>36</v>
      </c>
      <c r="BH2" s="14" t="s">
        <v>38</v>
      </c>
      <c r="BI2" s="14" t="s">
        <v>37</v>
      </c>
      <c r="BJ2" s="14" t="s">
        <v>32</v>
      </c>
      <c r="BK2" s="98" t="s">
        <v>33</v>
      </c>
      <c r="BL2" s="98"/>
      <c r="BM2" s="98"/>
      <c r="BN2" s="98"/>
      <c r="BO2" s="98"/>
      <c r="BP2" s="98" t="s">
        <v>34</v>
      </c>
      <c r="BQ2" s="98"/>
      <c r="BR2" s="98"/>
      <c r="BS2" s="98"/>
      <c r="BT2" s="98"/>
      <c r="BU2" s="98" t="s">
        <v>37</v>
      </c>
      <c r="BV2" s="98"/>
      <c r="BW2" s="98"/>
      <c r="BX2" s="98"/>
      <c r="BY2" s="98"/>
      <c r="BZ2" s="22" t="s">
        <v>40</v>
      </c>
      <c r="CA2" s="11" t="s">
        <v>35</v>
      </c>
      <c r="CB2" s="11" t="s">
        <v>36</v>
      </c>
      <c r="CC2" s="11" t="s">
        <v>38</v>
      </c>
      <c r="CD2" s="11" t="s">
        <v>37</v>
      </c>
      <c r="CE2" s="11" t="s">
        <v>32</v>
      </c>
      <c r="CF2" s="28" t="s">
        <v>35</v>
      </c>
      <c r="CG2" s="28" t="s">
        <v>36</v>
      </c>
      <c r="CH2" s="28" t="s">
        <v>37</v>
      </c>
      <c r="CI2" s="98" t="s">
        <v>33</v>
      </c>
      <c r="CJ2" s="98"/>
      <c r="CK2" s="98"/>
      <c r="CL2" s="98"/>
      <c r="CM2" s="98"/>
      <c r="CN2" s="98" t="s">
        <v>34</v>
      </c>
      <c r="CO2" s="98"/>
      <c r="CP2" s="98"/>
      <c r="CQ2" s="98"/>
      <c r="CR2" s="98"/>
      <c r="CS2" s="98" t="s">
        <v>37</v>
      </c>
      <c r="CT2" s="98"/>
      <c r="CU2" s="98"/>
      <c r="CV2" s="98"/>
      <c r="CW2" s="98"/>
      <c r="CX2" s="22" t="s">
        <v>40</v>
      </c>
      <c r="CY2" s="11" t="s">
        <v>35</v>
      </c>
      <c r="CZ2" s="11" t="s">
        <v>36</v>
      </c>
      <c r="DA2" s="11" t="s">
        <v>38</v>
      </c>
      <c r="DB2" s="11" t="s">
        <v>37</v>
      </c>
      <c r="DC2" s="11" t="s">
        <v>32</v>
      </c>
      <c r="DD2" s="99" t="s">
        <v>33</v>
      </c>
      <c r="DE2" s="99"/>
      <c r="DF2" s="99"/>
      <c r="DG2" s="99"/>
      <c r="DH2" s="99"/>
      <c r="DI2" s="99" t="s">
        <v>34</v>
      </c>
      <c r="DJ2" s="99"/>
      <c r="DK2" s="99"/>
      <c r="DL2" s="99"/>
      <c r="DM2" s="99"/>
      <c r="DN2" s="99" t="s">
        <v>37</v>
      </c>
      <c r="DO2" s="99"/>
      <c r="DP2" s="99"/>
      <c r="DQ2" s="99"/>
      <c r="DR2" s="99"/>
      <c r="DS2" s="24" t="s">
        <v>40</v>
      </c>
      <c r="DT2" s="14" t="s">
        <v>35</v>
      </c>
      <c r="DU2" s="14" t="s">
        <v>36</v>
      </c>
      <c r="DV2" s="14" t="s">
        <v>38</v>
      </c>
      <c r="DW2" s="14" t="s">
        <v>37</v>
      </c>
      <c r="DX2" s="14" t="s">
        <v>32</v>
      </c>
      <c r="DY2" s="98" t="s">
        <v>33</v>
      </c>
      <c r="DZ2" s="98"/>
      <c r="EA2" s="98"/>
      <c r="EB2" s="98"/>
      <c r="EC2" s="98"/>
      <c r="ED2" s="98" t="s">
        <v>34</v>
      </c>
      <c r="EE2" s="98"/>
      <c r="EF2" s="98"/>
      <c r="EG2" s="98"/>
      <c r="EH2" s="98"/>
      <c r="EI2" s="98" t="s">
        <v>37</v>
      </c>
      <c r="EJ2" s="98"/>
      <c r="EK2" s="98"/>
      <c r="EL2" s="98"/>
      <c r="EM2" s="98"/>
      <c r="EN2" s="25" t="s">
        <v>40</v>
      </c>
      <c r="EO2" s="11" t="s">
        <v>35</v>
      </c>
      <c r="EP2" s="11" t="s">
        <v>36</v>
      </c>
      <c r="EQ2" s="11" t="s">
        <v>38</v>
      </c>
      <c r="ER2" s="11" t="s">
        <v>37</v>
      </c>
      <c r="ES2" s="11" t="s">
        <v>32</v>
      </c>
      <c r="ET2" s="99" t="s">
        <v>33</v>
      </c>
      <c r="EU2" s="99"/>
      <c r="EV2" s="99"/>
      <c r="EW2" s="99"/>
      <c r="EX2" s="99"/>
      <c r="EY2" s="99" t="s">
        <v>34</v>
      </c>
      <c r="EZ2" s="99"/>
      <c r="FA2" s="99"/>
      <c r="FB2" s="99"/>
      <c r="FC2" s="99"/>
      <c r="FD2" s="99" t="s">
        <v>37</v>
      </c>
      <c r="FE2" s="99"/>
      <c r="FF2" s="99"/>
      <c r="FG2" s="99"/>
      <c r="FH2" s="99"/>
      <c r="FI2" s="24" t="s">
        <v>40</v>
      </c>
      <c r="FJ2" s="14" t="s">
        <v>35</v>
      </c>
      <c r="FK2" s="14" t="s">
        <v>36</v>
      </c>
      <c r="FL2" s="14" t="s">
        <v>38</v>
      </c>
      <c r="FM2" s="14" t="s">
        <v>37</v>
      </c>
      <c r="FN2" s="14" t="s">
        <v>32</v>
      </c>
      <c r="FO2" s="98" t="s">
        <v>33</v>
      </c>
      <c r="FP2" s="98"/>
      <c r="FQ2" s="98"/>
      <c r="FR2" s="98"/>
      <c r="FS2" s="98"/>
      <c r="FT2" s="98" t="s">
        <v>34</v>
      </c>
      <c r="FU2" s="98"/>
      <c r="FV2" s="98"/>
      <c r="FW2" s="98"/>
      <c r="FX2" s="98"/>
      <c r="FY2" s="98" t="s">
        <v>37</v>
      </c>
      <c r="FZ2" s="98"/>
      <c r="GA2" s="98"/>
      <c r="GB2" s="98"/>
      <c r="GC2" s="98"/>
      <c r="GD2" s="25" t="s">
        <v>40</v>
      </c>
      <c r="GE2" s="11" t="s">
        <v>35</v>
      </c>
      <c r="GF2" s="11" t="s">
        <v>36</v>
      </c>
      <c r="GG2" s="11" t="s">
        <v>38</v>
      </c>
      <c r="GH2" s="11" t="s">
        <v>37</v>
      </c>
      <c r="GI2" s="11" t="s">
        <v>32</v>
      </c>
      <c r="GJ2" s="99" t="s">
        <v>33</v>
      </c>
      <c r="GK2" s="99"/>
      <c r="GL2" s="99"/>
      <c r="GM2" s="99"/>
      <c r="GN2" s="99"/>
      <c r="GO2" s="99" t="s">
        <v>34</v>
      </c>
      <c r="GP2" s="99"/>
      <c r="GQ2" s="99"/>
      <c r="GR2" s="99"/>
      <c r="GS2" s="99"/>
      <c r="GT2" s="99" t="s">
        <v>37</v>
      </c>
      <c r="GU2" s="99"/>
      <c r="GV2" s="99"/>
      <c r="GW2" s="99"/>
      <c r="GX2" s="99"/>
      <c r="GY2" s="24" t="s">
        <v>40</v>
      </c>
      <c r="GZ2" s="14" t="s">
        <v>35</v>
      </c>
      <c r="HA2" s="14" t="s">
        <v>36</v>
      </c>
      <c r="HB2" s="14" t="s">
        <v>38</v>
      </c>
      <c r="HC2" s="14" t="s">
        <v>37</v>
      </c>
      <c r="HD2" s="14" t="s">
        <v>32</v>
      </c>
      <c r="HE2" s="98" t="s">
        <v>33</v>
      </c>
      <c r="HF2" s="98"/>
      <c r="HG2" s="98"/>
      <c r="HH2" s="98"/>
      <c r="HI2" s="98"/>
      <c r="HJ2" s="98" t="s">
        <v>34</v>
      </c>
      <c r="HK2" s="98"/>
      <c r="HL2" s="98"/>
      <c r="HM2" s="98"/>
      <c r="HN2" s="98"/>
      <c r="HO2" s="98" t="s">
        <v>37</v>
      </c>
      <c r="HP2" s="98"/>
      <c r="HQ2" s="98"/>
      <c r="HR2" s="98"/>
      <c r="HS2" s="98"/>
      <c r="HT2" s="25" t="s">
        <v>40</v>
      </c>
      <c r="HU2" s="11" t="s">
        <v>35</v>
      </c>
      <c r="HV2" s="11" t="s">
        <v>36</v>
      </c>
      <c r="HW2" s="11" t="s">
        <v>38</v>
      </c>
      <c r="HX2" s="11" t="s">
        <v>37</v>
      </c>
      <c r="HY2" s="11" t="s">
        <v>32</v>
      </c>
      <c r="HZ2" s="99" t="s">
        <v>33</v>
      </c>
      <c r="IA2" s="99"/>
      <c r="IB2" s="99"/>
      <c r="IC2" s="99"/>
      <c r="ID2" s="99"/>
      <c r="IE2" s="99" t="s">
        <v>34</v>
      </c>
      <c r="IF2" s="99"/>
      <c r="IG2" s="99"/>
      <c r="IH2" s="99"/>
      <c r="II2" s="99"/>
      <c r="IJ2" s="99" t="s">
        <v>37</v>
      </c>
      <c r="IK2" s="99"/>
      <c r="IL2" s="99"/>
      <c r="IM2" s="99"/>
      <c r="IN2" s="99"/>
      <c r="IO2" s="24" t="s">
        <v>40</v>
      </c>
      <c r="IP2" s="14" t="s">
        <v>35</v>
      </c>
      <c r="IQ2" s="14" t="s">
        <v>36</v>
      </c>
      <c r="IR2" s="14" t="s">
        <v>38</v>
      </c>
      <c r="IS2" s="14" t="s">
        <v>37</v>
      </c>
      <c r="IT2" s="14" t="s">
        <v>32</v>
      </c>
      <c r="IU2" s="98" t="s">
        <v>33</v>
      </c>
      <c r="IV2" s="98"/>
      <c r="IW2" s="98"/>
      <c r="IX2" s="98"/>
      <c r="IY2" s="98"/>
      <c r="IZ2" s="98" t="s">
        <v>34</v>
      </c>
      <c r="JA2" s="98"/>
      <c r="JB2" s="98"/>
      <c r="JC2" s="98"/>
      <c r="JD2" s="98"/>
      <c r="JE2" s="98" t="s">
        <v>37</v>
      </c>
      <c r="JF2" s="98"/>
      <c r="JG2" s="98"/>
      <c r="JH2" s="98"/>
      <c r="JI2" s="98"/>
      <c r="JJ2" s="25" t="s">
        <v>40</v>
      </c>
      <c r="JK2" s="11" t="s">
        <v>35</v>
      </c>
      <c r="JL2" s="11" t="s">
        <v>36</v>
      </c>
      <c r="JM2" s="11" t="s">
        <v>38</v>
      </c>
      <c r="JN2" s="11" t="s">
        <v>37</v>
      </c>
      <c r="JO2" s="11" t="s">
        <v>32</v>
      </c>
      <c r="JP2" s="99" t="s">
        <v>33</v>
      </c>
      <c r="JQ2" s="99"/>
      <c r="JR2" s="99"/>
      <c r="JS2" s="99"/>
      <c r="JT2" s="99"/>
      <c r="JU2" s="99" t="s">
        <v>34</v>
      </c>
      <c r="JV2" s="99"/>
      <c r="JW2" s="99"/>
      <c r="JX2" s="99"/>
      <c r="JY2" s="99"/>
      <c r="JZ2" s="99" t="s">
        <v>37</v>
      </c>
      <c r="KA2" s="99"/>
      <c r="KB2" s="99"/>
      <c r="KC2" s="99"/>
      <c r="KD2" s="99"/>
      <c r="KE2" s="24" t="s">
        <v>40</v>
      </c>
      <c r="KF2" s="14" t="s">
        <v>35</v>
      </c>
      <c r="KG2" s="14" t="s">
        <v>36</v>
      </c>
      <c r="KH2" s="14" t="s">
        <v>38</v>
      </c>
      <c r="KI2" s="14" t="s">
        <v>37</v>
      </c>
      <c r="KJ2" s="14" t="s">
        <v>32</v>
      </c>
      <c r="KK2" s="98" t="s">
        <v>33</v>
      </c>
      <c r="KL2" s="98"/>
      <c r="KM2" s="98"/>
      <c r="KN2" s="98"/>
      <c r="KO2" s="98"/>
      <c r="KP2" s="98" t="s">
        <v>34</v>
      </c>
      <c r="KQ2" s="98"/>
      <c r="KR2" s="98"/>
      <c r="KS2" s="98"/>
      <c r="KT2" s="98"/>
      <c r="KU2" s="98" t="s">
        <v>37</v>
      </c>
      <c r="KV2" s="98"/>
      <c r="KW2" s="98"/>
      <c r="KX2" s="98"/>
      <c r="KY2" s="98"/>
      <c r="KZ2" s="25" t="s">
        <v>40</v>
      </c>
      <c r="LA2" s="11" t="s">
        <v>35</v>
      </c>
      <c r="LB2" s="11" t="s">
        <v>36</v>
      </c>
      <c r="LC2" s="11" t="s">
        <v>38</v>
      </c>
      <c r="LD2" s="11" t="s">
        <v>37</v>
      </c>
      <c r="LE2" s="11" t="s">
        <v>32</v>
      </c>
      <c r="LF2" s="99" t="s">
        <v>33</v>
      </c>
      <c r="LG2" s="99"/>
      <c r="LH2" s="99"/>
      <c r="LI2" s="99"/>
      <c r="LJ2" s="99"/>
      <c r="LK2" s="99" t="s">
        <v>34</v>
      </c>
      <c r="LL2" s="99"/>
      <c r="LM2" s="99"/>
      <c r="LN2" s="99"/>
      <c r="LO2" s="99"/>
      <c r="LP2" s="99" t="s">
        <v>37</v>
      </c>
      <c r="LQ2" s="99"/>
      <c r="LR2" s="99"/>
      <c r="LS2" s="99"/>
      <c r="LT2" s="99"/>
      <c r="LU2" s="24" t="s">
        <v>40</v>
      </c>
      <c r="LV2" s="14" t="s">
        <v>35</v>
      </c>
      <c r="LW2" s="14" t="s">
        <v>36</v>
      </c>
      <c r="LX2" s="14" t="s">
        <v>38</v>
      </c>
      <c r="LY2" s="14" t="s">
        <v>37</v>
      </c>
      <c r="LZ2" s="14" t="s">
        <v>32</v>
      </c>
    </row>
    <row r="3" spans="1:338" x14ac:dyDescent="0.2">
      <c r="A3" s="101"/>
      <c r="B3" s="101"/>
      <c r="C3" s="101"/>
      <c r="D3" s="101"/>
      <c r="E3" s="101"/>
      <c r="F3" s="104"/>
      <c r="G3" s="104"/>
      <c r="H3" s="101"/>
      <c r="I3" s="101"/>
      <c r="J3" s="102"/>
      <c r="K3" s="102"/>
      <c r="L3" s="102"/>
      <c r="M3" s="102"/>
      <c r="N3" s="102"/>
      <c r="O3" s="102"/>
      <c r="P3" s="102"/>
      <c r="Q3" s="102"/>
      <c r="R3" s="103"/>
      <c r="S3" s="102"/>
      <c r="T3" s="102"/>
      <c r="U3" s="73" t="s">
        <v>29</v>
      </c>
      <c r="V3" s="73" t="s">
        <v>30</v>
      </c>
      <c r="W3" s="73" t="s">
        <v>21</v>
      </c>
      <c r="X3" s="73" t="s">
        <v>85</v>
      </c>
      <c r="Y3" s="73" t="s">
        <v>57</v>
      </c>
      <c r="Z3" s="73" t="s">
        <v>29</v>
      </c>
      <c r="AA3" s="73" t="s">
        <v>30</v>
      </c>
      <c r="AB3" s="73" t="s">
        <v>21</v>
      </c>
      <c r="AC3" s="73" t="s">
        <v>85</v>
      </c>
      <c r="AD3" s="73" t="s">
        <v>57</v>
      </c>
      <c r="AE3" s="73" t="s">
        <v>29</v>
      </c>
      <c r="AF3" s="73" t="s">
        <v>30</v>
      </c>
      <c r="AG3" s="73" t="s">
        <v>21</v>
      </c>
      <c r="AH3" s="73" t="s">
        <v>85</v>
      </c>
      <c r="AI3" s="73" t="s">
        <v>57</v>
      </c>
      <c r="AJ3" s="12"/>
      <c r="AK3" s="11"/>
      <c r="AL3" s="11"/>
      <c r="AM3" s="11"/>
      <c r="AN3" s="12"/>
      <c r="AO3" s="12"/>
      <c r="AP3" s="72" t="s">
        <v>29</v>
      </c>
      <c r="AQ3" s="72" t="s">
        <v>30</v>
      </c>
      <c r="AR3" s="72" t="s">
        <v>21</v>
      </c>
      <c r="AS3" s="72" t="s">
        <v>85</v>
      </c>
      <c r="AT3" s="72" t="s">
        <v>57</v>
      </c>
      <c r="AU3" s="72" t="s">
        <v>29</v>
      </c>
      <c r="AV3" s="72" t="s">
        <v>30</v>
      </c>
      <c r="AW3" s="72" t="s">
        <v>21</v>
      </c>
      <c r="AX3" s="72" t="s">
        <v>85</v>
      </c>
      <c r="AY3" s="72" t="s">
        <v>57</v>
      </c>
      <c r="AZ3" s="72" t="s">
        <v>29</v>
      </c>
      <c r="BA3" s="72" t="s">
        <v>30</v>
      </c>
      <c r="BB3" s="72" t="s">
        <v>21</v>
      </c>
      <c r="BC3" s="72" t="s">
        <v>85</v>
      </c>
      <c r="BD3" s="72" t="s">
        <v>57</v>
      </c>
      <c r="BE3" s="15"/>
      <c r="BF3" s="14"/>
      <c r="BG3" s="14"/>
      <c r="BH3" s="14"/>
      <c r="BI3" s="15"/>
      <c r="BJ3" s="15"/>
      <c r="BK3" s="35" t="s">
        <v>29</v>
      </c>
      <c r="BL3" s="35" t="s">
        <v>30</v>
      </c>
      <c r="BM3" s="35" t="s">
        <v>21</v>
      </c>
      <c r="BN3" s="35" t="s">
        <v>85</v>
      </c>
      <c r="BO3" s="61" t="s">
        <v>57</v>
      </c>
      <c r="BP3" s="35" t="s">
        <v>29</v>
      </c>
      <c r="BQ3" s="35" t="s">
        <v>30</v>
      </c>
      <c r="BR3" s="35" t="s">
        <v>21</v>
      </c>
      <c r="BS3" s="35" t="s">
        <v>85</v>
      </c>
      <c r="BT3" s="61" t="s">
        <v>57</v>
      </c>
      <c r="BU3" s="35" t="s">
        <v>29</v>
      </c>
      <c r="BV3" s="35" t="s">
        <v>30</v>
      </c>
      <c r="BW3" s="35" t="s">
        <v>21</v>
      </c>
      <c r="BX3" s="35" t="s">
        <v>85</v>
      </c>
      <c r="BY3" s="61" t="s">
        <v>57</v>
      </c>
      <c r="BZ3" s="12"/>
      <c r="CA3" s="11"/>
      <c r="CB3" s="11"/>
      <c r="CC3" s="11"/>
      <c r="CD3" s="12"/>
      <c r="CE3" s="12"/>
      <c r="CF3" s="29"/>
      <c r="CG3" s="29"/>
      <c r="CH3" s="29"/>
      <c r="CI3" s="35" t="s">
        <v>29</v>
      </c>
      <c r="CJ3" s="35" t="s">
        <v>30</v>
      </c>
      <c r="CK3" s="35" t="s">
        <v>21</v>
      </c>
      <c r="CL3" s="38" t="s">
        <v>85</v>
      </c>
      <c r="CM3" s="63" t="s">
        <v>57</v>
      </c>
      <c r="CN3" s="35" t="s">
        <v>29</v>
      </c>
      <c r="CO3" s="35" t="s">
        <v>30</v>
      </c>
      <c r="CP3" s="35" t="s">
        <v>21</v>
      </c>
      <c r="CQ3" s="38" t="s">
        <v>85</v>
      </c>
      <c r="CR3" s="63" t="s">
        <v>57</v>
      </c>
      <c r="CS3" s="35" t="s">
        <v>29</v>
      </c>
      <c r="CT3" s="35" t="s">
        <v>30</v>
      </c>
      <c r="CU3" s="35" t="s">
        <v>21</v>
      </c>
      <c r="CV3" s="38" t="s">
        <v>85</v>
      </c>
      <c r="CW3" s="63" t="s">
        <v>57</v>
      </c>
      <c r="CX3" s="12"/>
      <c r="CY3" s="11"/>
      <c r="CZ3" s="11"/>
      <c r="DA3" s="11"/>
      <c r="DB3" s="12"/>
      <c r="DC3" s="12"/>
      <c r="DD3" s="34" t="s">
        <v>29</v>
      </c>
      <c r="DE3" s="34" t="s">
        <v>30</v>
      </c>
      <c r="DF3" s="34" t="s">
        <v>21</v>
      </c>
      <c r="DG3" s="39" t="s">
        <v>85</v>
      </c>
      <c r="DH3" s="65" t="s">
        <v>57</v>
      </c>
      <c r="DI3" s="34" t="s">
        <v>29</v>
      </c>
      <c r="DJ3" s="34" t="s">
        <v>30</v>
      </c>
      <c r="DK3" s="34" t="s">
        <v>21</v>
      </c>
      <c r="DL3" s="39" t="s">
        <v>85</v>
      </c>
      <c r="DM3" s="65" t="s">
        <v>57</v>
      </c>
      <c r="DN3" s="34" t="s">
        <v>29</v>
      </c>
      <c r="DO3" s="34" t="s">
        <v>30</v>
      </c>
      <c r="DP3" s="34" t="s">
        <v>21</v>
      </c>
      <c r="DQ3" s="39" t="s">
        <v>85</v>
      </c>
      <c r="DR3" s="65" t="s">
        <v>57</v>
      </c>
      <c r="DS3" s="15"/>
      <c r="DT3" s="14"/>
      <c r="DU3" s="14"/>
      <c r="DV3" s="14"/>
      <c r="DW3" s="15"/>
      <c r="DX3" s="15"/>
      <c r="DY3" s="35" t="s">
        <v>29</v>
      </c>
      <c r="DZ3" s="35" t="s">
        <v>30</v>
      </c>
      <c r="EA3" s="35" t="s">
        <v>21</v>
      </c>
      <c r="EB3" s="40" t="s">
        <v>85</v>
      </c>
      <c r="EC3" s="64" t="s">
        <v>57</v>
      </c>
      <c r="ED3" s="35" t="s">
        <v>29</v>
      </c>
      <c r="EE3" s="35" t="s">
        <v>30</v>
      </c>
      <c r="EF3" s="35" t="s">
        <v>21</v>
      </c>
      <c r="EG3" s="40" t="s">
        <v>85</v>
      </c>
      <c r="EH3" s="64" t="s">
        <v>57</v>
      </c>
      <c r="EI3" s="35" t="s">
        <v>29</v>
      </c>
      <c r="EJ3" s="35" t="s">
        <v>30</v>
      </c>
      <c r="EK3" s="35" t="s">
        <v>21</v>
      </c>
      <c r="EL3" s="40" t="s">
        <v>85</v>
      </c>
      <c r="EM3" s="64" t="s">
        <v>57</v>
      </c>
      <c r="EN3" s="12"/>
      <c r="EO3" s="11"/>
      <c r="EP3" s="11"/>
      <c r="EQ3" s="11"/>
      <c r="ER3" s="12"/>
      <c r="ES3" s="12"/>
      <c r="ET3" s="34" t="s">
        <v>29</v>
      </c>
      <c r="EU3" s="34" t="s">
        <v>30</v>
      </c>
      <c r="EV3" s="34" t="s">
        <v>21</v>
      </c>
      <c r="EW3" s="39" t="s">
        <v>85</v>
      </c>
      <c r="EX3" s="65" t="s">
        <v>57</v>
      </c>
      <c r="EY3" s="34" t="s">
        <v>29</v>
      </c>
      <c r="EZ3" s="34" t="s">
        <v>30</v>
      </c>
      <c r="FA3" s="34" t="s">
        <v>21</v>
      </c>
      <c r="FB3" s="39" t="s">
        <v>85</v>
      </c>
      <c r="FC3" s="65" t="s">
        <v>57</v>
      </c>
      <c r="FD3" s="34" t="s">
        <v>29</v>
      </c>
      <c r="FE3" s="34" t="s">
        <v>30</v>
      </c>
      <c r="FF3" s="34" t="s">
        <v>21</v>
      </c>
      <c r="FG3" s="39" t="s">
        <v>85</v>
      </c>
      <c r="FH3" s="65" t="s">
        <v>57</v>
      </c>
      <c r="FI3" s="15"/>
      <c r="FJ3" s="14"/>
      <c r="FK3" s="14"/>
      <c r="FL3" s="14"/>
      <c r="FM3" s="15"/>
      <c r="FN3" s="15"/>
      <c r="FO3" s="35" t="s">
        <v>29</v>
      </c>
      <c r="FP3" s="35" t="s">
        <v>30</v>
      </c>
      <c r="FQ3" s="35" t="s">
        <v>21</v>
      </c>
      <c r="FR3" s="40" t="s">
        <v>85</v>
      </c>
      <c r="FS3" s="64" t="s">
        <v>57</v>
      </c>
      <c r="FT3" s="35" t="s">
        <v>29</v>
      </c>
      <c r="FU3" s="35" t="s">
        <v>30</v>
      </c>
      <c r="FV3" s="35" t="s">
        <v>21</v>
      </c>
      <c r="FW3" s="40" t="s">
        <v>85</v>
      </c>
      <c r="FX3" s="64" t="s">
        <v>57</v>
      </c>
      <c r="FY3" s="35" t="s">
        <v>29</v>
      </c>
      <c r="FZ3" s="35" t="s">
        <v>30</v>
      </c>
      <c r="GA3" s="35" t="s">
        <v>21</v>
      </c>
      <c r="GB3" s="40" t="s">
        <v>85</v>
      </c>
      <c r="GC3" s="64" t="s">
        <v>57</v>
      </c>
      <c r="GD3" s="12"/>
      <c r="GE3" s="11"/>
      <c r="GF3" s="11"/>
      <c r="GG3" s="11"/>
      <c r="GH3" s="12"/>
      <c r="GI3" s="12"/>
      <c r="GJ3" s="34" t="s">
        <v>29</v>
      </c>
      <c r="GK3" s="34" t="s">
        <v>30</v>
      </c>
      <c r="GL3" s="34" t="s">
        <v>21</v>
      </c>
      <c r="GM3" s="39" t="s">
        <v>85</v>
      </c>
      <c r="GN3" s="65" t="s">
        <v>57</v>
      </c>
      <c r="GO3" s="34" t="s">
        <v>29</v>
      </c>
      <c r="GP3" s="34" t="s">
        <v>30</v>
      </c>
      <c r="GQ3" s="34" t="s">
        <v>21</v>
      </c>
      <c r="GR3" s="39" t="s">
        <v>85</v>
      </c>
      <c r="GS3" s="65" t="s">
        <v>57</v>
      </c>
      <c r="GT3" s="34" t="s">
        <v>29</v>
      </c>
      <c r="GU3" s="34" t="s">
        <v>30</v>
      </c>
      <c r="GV3" s="34" t="s">
        <v>21</v>
      </c>
      <c r="GW3" s="39" t="s">
        <v>85</v>
      </c>
      <c r="GX3" s="65" t="s">
        <v>57</v>
      </c>
      <c r="GY3" s="15"/>
      <c r="GZ3" s="14"/>
      <c r="HA3" s="14"/>
      <c r="HB3" s="14"/>
      <c r="HC3" s="15"/>
      <c r="HD3" s="15"/>
      <c r="HE3" s="35" t="s">
        <v>29</v>
      </c>
      <c r="HF3" s="35" t="s">
        <v>30</v>
      </c>
      <c r="HG3" s="35" t="s">
        <v>21</v>
      </c>
      <c r="HH3" s="40" t="s">
        <v>85</v>
      </c>
      <c r="HI3" s="64" t="s">
        <v>57</v>
      </c>
      <c r="HJ3" s="35" t="s">
        <v>29</v>
      </c>
      <c r="HK3" s="35" t="s">
        <v>30</v>
      </c>
      <c r="HL3" s="35" t="s">
        <v>21</v>
      </c>
      <c r="HM3" s="40" t="s">
        <v>85</v>
      </c>
      <c r="HN3" s="64" t="s">
        <v>57</v>
      </c>
      <c r="HO3" s="35" t="s">
        <v>29</v>
      </c>
      <c r="HP3" s="35" t="s">
        <v>30</v>
      </c>
      <c r="HQ3" s="35" t="s">
        <v>21</v>
      </c>
      <c r="HR3" s="40" t="s">
        <v>85</v>
      </c>
      <c r="HS3" s="64" t="s">
        <v>57</v>
      </c>
      <c r="HT3" s="12"/>
      <c r="HU3" s="11"/>
      <c r="HV3" s="11"/>
      <c r="HW3" s="11"/>
      <c r="HX3" s="12"/>
      <c r="HY3" s="12"/>
      <c r="HZ3" s="34" t="s">
        <v>29</v>
      </c>
      <c r="IA3" s="34" t="s">
        <v>30</v>
      </c>
      <c r="IB3" s="34" t="s">
        <v>21</v>
      </c>
      <c r="IC3" s="39" t="s">
        <v>85</v>
      </c>
      <c r="ID3" s="65" t="s">
        <v>57</v>
      </c>
      <c r="IE3" s="34" t="s">
        <v>29</v>
      </c>
      <c r="IF3" s="34" t="s">
        <v>30</v>
      </c>
      <c r="IG3" s="34" t="s">
        <v>21</v>
      </c>
      <c r="IH3" s="39" t="s">
        <v>85</v>
      </c>
      <c r="II3" s="65" t="s">
        <v>57</v>
      </c>
      <c r="IJ3" s="34" t="s">
        <v>29</v>
      </c>
      <c r="IK3" s="34" t="s">
        <v>30</v>
      </c>
      <c r="IL3" s="34" t="s">
        <v>21</v>
      </c>
      <c r="IM3" s="39" t="s">
        <v>85</v>
      </c>
      <c r="IN3" s="65" t="s">
        <v>57</v>
      </c>
      <c r="IO3" s="15"/>
      <c r="IP3" s="14"/>
      <c r="IQ3" s="14"/>
      <c r="IR3" s="14"/>
      <c r="IS3" s="15"/>
      <c r="IT3" s="15"/>
      <c r="IU3" s="35" t="s">
        <v>29</v>
      </c>
      <c r="IV3" s="35" t="s">
        <v>30</v>
      </c>
      <c r="IW3" s="35" t="s">
        <v>21</v>
      </c>
      <c r="IX3" s="40" t="s">
        <v>85</v>
      </c>
      <c r="IY3" s="64" t="s">
        <v>57</v>
      </c>
      <c r="IZ3" s="35" t="s">
        <v>29</v>
      </c>
      <c r="JA3" s="35" t="s">
        <v>30</v>
      </c>
      <c r="JB3" s="35" t="s">
        <v>21</v>
      </c>
      <c r="JC3" s="40" t="s">
        <v>85</v>
      </c>
      <c r="JD3" s="64" t="s">
        <v>57</v>
      </c>
      <c r="JE3" s="35" t="s">
        <v>29</v>
      </c>
      <c r="JF3" s="35" t="s">
        <v>30</v>
      </c>
      <c r="JG3" s="35" t="s">
        <v>21</v>
      </c>
      <c r="JH3" s="40" t="s">
        <v>85</v>
      </c>
      <c r="JI3" s="64" t="s">
        <v>57</v>
      </c>
      <c r="JJ3" s="12"/>
      <c r="JK3" s="11"/>
      <c r="JL3" s="11"/>
      <c r="JM3" s="11"/>
      <c r="JN3" s="12"/>
      <c r="JO3" s="12"/>
      <c r="JP3" s="34" t="s">
        <v>29</v>
      </c>
      <c r="JQ3" s="34" t="s">
        <v>30</v>
      </c>
      <c r="JR3" s="34" t="s">
        <v>21</v>
      </c>
      <c r="JS3" s="39" t="s">
        <v>85</v>
      </c>
      <c r="JT3" s="65" t="s">
        <v>57</v>
      </c>
      <c r="JU3" s="34" t="s">
        <v>29</v>
      </c>
      <c r="JV3" s="34" t="s">
        <v>30</v>
      </c>
      <c r="JW3" s="34" t="s">
        <v>21</v>
      </c>
      <c r="JX3" s="39" t="s">
        <v>85</v>
      </c>
      <c r="JY3" s="65" t="s">
        <v>57</v>
      </c>
      <c r="JZ3" s="34" t="s">
        <v>29</v>
      </c>
      <c r="KA3" s="34" t="s">
        <v>30</v>
      </c>
      <c r="KB3" s="34" t="s">
        <v>21</v>
      </c>
      <c r="KC3" s="39" t="s">
        <v>85</v>
      </c>
      <c r="KD3" s="65" t="s">
        <v>57</v>
      </c>
      <c r="KE3" s="15"/>
      <c r="KF3" s="14"/>
      <c r="KG3" s="14"/>
      <c r="KH3" s="14"/>
      <c r="KI3" s="15"/>
      <c r="KJ3" s="15"/>
      <c r="KK3" s="35" t="s">
        <v>29</v>
      </c>
      <c r="KL3" s="35" t="s">
        <v>30</v>
      </c>
      <c r="KM3" s="35" t="s">
        <v>21</v>
      </c>
      <c r="KN3" s="40" t="s">
        <v>85</v>
      </c>
      <c r="KO3" s="64" t="s">
        <v>57</v>
      </c>
      <c r="KP3" s="35" t="s">
        <v>29</v>
      </c>
      <c r="KQ3" s="35" t="s">
        <v>30</v>
      </c>
      <c r="KR3" s="35" t="s">
        <v>21</v>
      </c>
      <c r="KS3" s="40" t="s">
        <v>85</v>
      </c>
      <c r="KT3" s="64" t="s">
        <v>57</v>
      </c>
      <c r="KU3" s="35" t="s">
        <v>29</v>
      </c>
      <c r="KV3" s="35" t="s">
        <v>30</v>
      </c>
      <c r="KW3" s="35" t="s">
        <v>21</v>
      </c>
      <c r="KX3" s="40" t="s">
        <v>85</v>
      </c>
      <c r="KY3" s="64" t="s">
        <v>57</v>
      </c>
      <c r="KZ3" s="12"/>
      <c r="LA3" s="11"/>
      <c r="LB3" s="11"/>
      <c r="LC3" s="11"/>
      <c r="LD3" s="12"/>
      <c r="LE3" s="12"/>
      <c r="LF3" s="34" t="s">
        <v>29</v>
      </c>
      <c r="LG3" s="34" t="s">
        <v>30</v>
      </c>
      <c r="LH3" s="34" t="s">
        <v>21</v>
      </c>
      <c r="LI3" s="39" t="s">
        <v>85</v>
      </c>
      <c r="LJ3" s="65" t="s">
        <v>57</v>
      </c>
      <c r="LK3" s="62" t="s">
        <v>29</v>
      </c>
      <c r="LL3" s="34" t="s">
        <v>30</v>
      </c>
      <c r="LM3" s="34" t="s">
        <v>21</v>
      </c>
      <c r="LN3" s="39" t="s">
        <v>85</v>
      </c>
      <c r="LO3" s="65" t="s">
        <v>57</v>
      </c>
      <c r="LP3" s="34" t="s">
        <v>29</v>
      </c>
      <c r="LQ3" s="34" t="s">
        <v>30</v>
      </c>
      <c r="LR3" s="34" t="s">
        <v>21</v>
      </c>
      <c r="LS3" s="39" t="s">
        <v>85</v>
      </c>
      <c r="LT3" s="65" t="s">
        <v>57</v>
      </c>
      <c r="LU3" s="15"/>
      <c r="LV3" s="14"/>
      <c r="LW3" s="14"/>
      <c r="LX3" s="14"/>
      <c r="LY3" s="15"/>
      <c r="LZ3" s="15"/>
    </row>
    <row r="4" spans="1:338" x14ac:dyDescent="0.2">
      <c r="A4" s="6">
        <f t="shared" ref="A4:A14" si="0">IF(AND(F4="P",H4="P"),SUMPRODUCT((F$4:F$14="P")*(H$4:H$14="P")*(E$4:E$14&gt;E4))+1,IF(H4="P",SUMPRODUCT((F$4:F$14="")*(H$4:H$14="P")*(E$4:E$14&gt;E4))+1+SUMPRODUCT((F$4:F$14="P")*(H$4:H$14="P")),""))</f>
        <v>1</v>
      </c>
      <c r="B4" s="9" t="s">
        <v>101</v>
      </c>
      <c r="C4" s="5" t="s">
        <v>6</v>
      </c>
      <c r="D4" s="33">
        <v>2007</v>
      </c>
      <c r="E4" s="17">
        <f t="shared" ref="E4:E14" si="1">SUM(J4:R4)</f>
        <v>224.35500000000002</v>
      </c>
      <c r="F4" s="4" t="str">
        <f t="shared" ref="F4:F14" si="2">IF(OR(AND($AJ4&gt;=$AK$17,NOT($AJ4="")),AND($BE4&gt;=$BF$17,NOT($BE4="")),AND($BZ4&gt;=$CA$17,NOT($BZ4=""))),"P","")</f>
        <v>P</v>
      </c>
      <c r="G4" s="4" t="str">
        <f t="shared" ref="G4:G14" si="3">IF(OR(AND($AJ4&gt;=$AK$18,NOT($AJ4="")),AND($BE4&gt;=$BF$18,NOT($BE4="")),AND($BZ4&gt;=$CA$18,NOT($BZ4=""))),"P","")</f>
        <v>P</v>
      </c>
      <c r="H4" s="4" t="str">
        <f t="shared" ref="H4:H14" si="4">IF(OR(AND($AM4&gt;=$AK$19,NOT($AM4="")),AND($BH4&gt;=$BF$19,NOT($BH4="")),AND($CC4&gt;=$CA$19,NOT($CC4=""))),"P","")</f>
        <v>P</v>
      </c>
      <c r="I4" t="str">
        <f t="shared" ref="I4:I14" si="5">IF(AND(G4="P",OR(AND($BAM4&gt;=$AK$22,NOT($AM4="")),AND($BH4&gt;=$BF$22,NOT($BH4="")),AND($CC4&gt;=$CA$22,NOT($CC4="")))),"Merit",IF(AND(G4="P",OR(AND($AM4&gt;=$AK$21,NOT($AM4="")),AND($BH4&gt;=$BF$21,NOT($BH4="")),AND($CC4&gt;=$CA$21,NOT($CC4="")))),"Funding",IF(AND(G4="P",OR(AND($AM4&gt;=$AK$20,NOT($AM4="")),AND($BH4&gt;=$BF$20,NOT($BH4="")),AND($CC4&gt;=$CA$20,NOT($CC4="")))),"Worlds Team",IF(AND(F4="P",OR(AND($AM4&gt;=$AK$19,NOT($AM4="")),AND($BH4&gt;=$BF$19,NOT($BH4="")),AND($CC4&gt;=$CA$19,NOT($CC4="")))),"National Team",""))))</f>
        <v>Funding</v>
      </c>
      <c r="J4" s="16">
        <f t="shared" ref="J4:J14" si="6">MAX(AM4,BH4,CC4)</f>
        <v>90.8</v>
      </c>
      <c r="K4" s="16" t="str">
        <f t="shared" ref="K4:K14" si="7">IF(J4=CC4,$BK$1,IF(J4=BH4,$AP$1,IF(J4=AM4,$U$1,"")))</f>
        <v>2017 3rd Domestic Trial</v>
      </c>
      <c r="L4" s="16">
        <f t="shared" ref="L4:L14" si="8">IF($J4=$AM4,MAX(BF4,CA4),IF($J4=$BH4,MAX(AK4,CA4),MAX(AK4,BF4)))</f>
        <v>40.71</v>
      </c>
      <c r="M4" s="16" t="str">
        <f t="shared" ref="M4:M14" si="9">IF(L4=CA4,$BK$1,IF(L4=BF4,$AP$1,IF(L4=AK4,$U$1,"")))</f>
        <v>2018 Nationals</v>
      </c>
      <c r="N4" s="16">
        <f t="shared" ref="N4:N14" si="10">IF($J4=$AM4,MAX(BG4,CB4),IF($J4=$BH4,MAX(AL4,CB4),MAX(AL4,BG4)))</f>
        <v>41.045000000000002</v>
      </c>
      <c r="O4" s="16" t="str">
        <f t="shared" ref="O4:O14" si="11">IF(N4=CB4,$BK$1,IF(N4=BG4,$AP$1,IF(N4=AL4,$U$1,"")))</f>
        <v>2018 Nationals</v>
      </c>
      <c r="P4" s="16">
        <f t="shared" ref="P4:P14" si="12">MAX(AN4,BI4,CD4)</f>
        <v>51.8</v>
      </c>
      <c r="Q4" s="16" t="str">
        <f t="shared" ref="Q4:Q14" si="13">IF(P4=CD4,$BK$1,IF(P4=BI4,$AP$1,IF(P4=AN4,$U$1,"")))</f>
        <v>2017 3rd Domestic Trial</v>
      </c>
      <c r="R4" s="16" t="str">
        <f t="shared" ref="R4:R14" si="14">IF(MAX(CF4:CH4)&gt;0,MAX(CF4:CH4),"")</f>
        <v/>
      </c>
      <c r="S4" s="31" t="str">
        <f t="shared" ref="S4:S14" si="15">IF(R4="","",IF(R4=CF4,"(Vol 1)",IF(R4=CG4,"(Vol 2)",IF(R4=CH4,"(Final)"))))</f>
        <v/>
      </c>
      <c r="T4" s="16" t="str">
        <f t="shared" ref="T4:T14" si="16">IF(R4="","",IF(R4=CF4,IF(R4+L4=LV4,$LF$1,IF(R4+L4=LA4,$KK$1,IF(R4+L4=KF4,$JP$1,IF(R4+L4=JK4,$IU$1,IF(R4+L4=IP4,$HZ$1,IF(R4+L4=HU4,$HE$1,IF(R4+L4=GZ4,$GJ$1,IF(R4+L4=GE4,$FO$1,IF(R4+L4=FJ4,$ET$1,IF(R4+L4=EO4,$DY$1,IF(R4+L4=DT4,$DD$1,IF(R4+L4=CY4,$CI$1)))))))))))),IF(R4=CG4,IF(R4+N4=LW4,$LF$1,IF(R4+N4=LB4,$KK$1,IF(R4+N4=KG4,$JP$1,IF(R4+N4=JL4,$IU$1,IF(R4+N4=IQ4,$HZ$1,IF(R4+N4=HV4,$HE$1,IF(R4+N4=HA4,$GJ$1,IF(R4+N4=GF4,$FO$1,IF(R4+N4=FK4,$ET$1,IF(R4+N4=EP4,$DY$1,IF(R4+N4=DU4,$DD$1,IF(R4+N4=CZ4,$CI$1)))))))))))),IF(R4=CH4,IF(R4+P4=LY4,$LF$1,IF(R4+P4=LD4,$KK$1,IF(R4+P4=KI4,$JP$1,IF(R4+P4=JN4,$IU$1,IF(R4+P4=IS4,$HZ$1,IF(R4+P4=HX4,$HE$1,IF(R4+P4=HC4,$GJ$1,IF(R4+P4=GH4,$FO$1,IF(R4+P4=FM4,$ET$1,IF(R4+P4=ER4,$DY$1,IF(R4+P4=DW4,$DD$1,IF(R4+P4=DB4,$CI$1))))))))))))))))</f>
        <v/>
      </c>
      <c r="U4" s="49">
        <v>9.1999999999999993</v>
      </c>
      <c r="V4" s="49">
        <v>9.4499999999999993</v>
      </c>
      <c r="W4" s="49">
        <v>4</v>
      </c>
      <c r="X4" s="49">
        <v>18.8</v>
      </c>
      <c r="Y4" s="49">
        <v>0</v>
      </c>
      <c r="Z4" s="49">
        <v>7.75</v>
      </c>
      <c r="AA4" s="49">
        <v>9.1999999999999993</v>
      </c>
      <c r="AB4" s="49">
        <v>15</v>
      </c>
      <c r="AC4" s="49">
        <v>17.399999999999999</v>
      </c>
      <c r="AD4" s="49">
        <v>0</v>
      </c>
      <c r="AE4" s="49">
        <v>8.35</v>
      </c>
      <c r="AF4" s="49">
        <v>9.25</v>
      </c>
      <c r="AG4" s="49">
        <v>15</v>
      </c>
      <c r="AH4" s="49">
        <v>19.2</v>
      </c>
      <c r="AI4" s="49">
        <v>0</v>
      </c>
      <c r="AJ4" s="13">
        <f t="shared" ref="AJ4:AJ14" si="17">IF(SUM(W4,AB4)&gt;0,SUM(W4,AB4),"")</f>
        <v>19</v>
      </c>
      <c r="AK4" s="13">
        <f t="shared" ref="AK4:AK14" si="18">IF(SUM(U4:X4)-Y4&gt;0,SUM(U4:X4)-Y4,"")</f>
        <v>41.45</v>
      </c>
      <c r="AL4" s="13">
        <f t="shared" ref="AL4:AL14" si="19">IF(SUM(Z4:AC4)-AD4&gt;0,SUM(Z4:AC4)-AD4,"")</f>
        <v>49.349999999999994</v>
      </c>
      <c r="AM4" s="13">
        <f t="shared" ref="AM4:AM14" si="20">IF(SUM(AK4:AL4)&gt;0,SUM(AK4:AL4),"")</f>
        <v>90.8</v>
      </c>
      <c r="AN4" s="13">
        <f t="shared" ref="AN4:AN14" si="21">IF(SUM(AE4:AH4)-AI4&gt;0,SUM(AE4:AH4)-AI4,"")</f>
        <v>51.8</v>
      </c>
      <c r="AO4" s="13">
        <f t="shared" ref="AO4:AO14" si="22">IF(SUM(AM4,AN4)&gt;0,SUM(AM4,AN4),"")</f>
        <v>142.6</v>
      </c>
      <c r="AP4" s="50"/>
      <c r="AQ4" s="50"/>
      <c r="AR4" s="50"/>
      <c r="AS4" s="50"/>
      <c r="AT4" s="50"/>
      <c r="AU4" s="50"/>
      <c r="AV4" s="50"/>
      <c r="AW4" s="50"/>
      <c r="AX4" s="50"/>
      <c r="AY4" s="50"/>
      <c r="AZ4" s="50"/>
      <c r="BA4" s="50"/>
      <c r="BB4" s="50"/>
      <c r="BC4" s="50"/>
      <c r="BD4" s="50"/>
      <c r="BE4" s="16" t="str">
        <f t="shared" ref="BE4:BE14" si="23">IF(SUM(AR4,AW4)&gt;0,SUM(AR4,AW4),"")</f>
        <v/>
      </c>
      <c r="BF4" s="16" t="str">
        <f t="shared" ref="BF4:BF14" si="24">IF(SUM(AP4:AS4)-AT4&gt;0,SUM(AP4:AS4)-AT4,"")</f>
        <v/>
      </c>
      <c r="BG4" s="16" t="str">
        <f t="shared" ref="BG4:BG14" si="25">IF(SUM(AU4:AX4)-AY4&gt;0,SUM(AU4:AX4)-AY4,"")</f>
        <v/>
      </c>
      <c r="BH4" s="16" t="str">
        <f t="shared" ref="BH4:BH14" si="26">IF(SUM(BF4:BG4)&gt;0,SUM(BF4:BG4),"")</f>
        <v/>
      </c>
      <c r="BI4" s="16" t="str">
        <f t="shared" ref="BI4:BI14" si="27">IF(SUM(AZ4:BC4)-BD4&gt;0,SUM(AZ4:BC4)-BD4,"")</f>
        <v/>
      </c>
      <c r="BJ4" s="16" t="str">
        <f t="shared" ref="BJ4:BJ14" si="28">IF(SUM(BH4,BI4)&gt;0,SUM(BH4,BI4),"")</f>
        <v/>
      </c>
      <c r="BK4" s="47">
        <v>9.25</v>
      </c>
      <c r="BL4" s="47">
        <v>9.6</v>
      </c>
      <c r="BM4" s="47">
        <v>4.2</v>
      </c>
      <c r="BN4" s="47">
        <v>17.66</v>
      </c>
      <c r="BO4" s="47">
        <v>0</v>
      </c>
      <c r="BP4" s="47">
        <v>7.7249999999999996</v>
      </c>
      <c r="BQ4" s="47">
        <v>8.3000000000000007</v>
      </c>
      <c r="BR4" s="47">
        <v>11.3</v>
      </c>
      <c r="BS4" s="47">
        <v>13.72</v>
      </c>
      <c r="BT4" s="47">
        <v>0</v>
      </c>
      <c r="BU4" s="47">
        <v>0.82499999999999996</v>
      </c>
      <c r="BV4" s="47">
        <v>0.95</v>
      </c>
      <c r="BW4" s="47">
        <v>1.74</v>
      </c>
      <c r="BX4" s="47">
        <v>2</v>
      </c>
      <c r="BY4" s="47">
        <v>0</v>
      </c>
      <c r="BZ4" s="13">
        <f t="shared" ref="BZ4:BZ14" si="29">IF(SUM(BM4,BR4)&gt;0,SUM(BM4,BR4),"")</f>
        <v>15.5</v>
      </c>
      <c r="CA4" s="13">
        <f t="shared" ref="CA4:CA14" si="30">IF(SUM(BK4:BN4)-BO4&gt;0,SUM(BK4:BN4)-BO4,"")</f>
        <v>40.71</v>
      </c>
      <c r="CB4" s="13">
        <f t="shared" ref="CB4:CB14" si="31">IF(SUM(BP4:BS4)-BT4&gt;0,SUM(BP4:BS4)-BT4,"")</f>
        <v>41.045000000000002</v>
      </c>
      <c r="CC4" s="13">
        <f t="shared" ref="CC4:CC14" si="32">IF(SUM(CA4:CB4)&gt;0,SUM(CA4:CB4),"")</f>
        <v>81.754999999999995</v>
      </c>
      <c r="CD4" s="13">
        <f t="shared" ref="CD4:CD14" si="33">IF(SUM(BU4:BX4)-BY4&gt;0,SUM(BU4:BX4)-BY4,"")</f>
        <v>5.5149999999999997</v>
      </c>
      <c r="CE4" s="13">
        <f t="shared" ref="CE4:CE14" si="34">IF(SUM(CC4,CD4)&gt;0,SUM(CC4,CD4),"")</f>
        <v>87.27</v>
      </c>
      <c r="CF4" s="30" t="str">
        <f t="shared" ref="CF4:CF14" si="35">IF(MAX(CY4,DT4,EO4,FJ4,GE4,GZ4,HU4,IP4,JK4,KF4,LA4,LV4)-L4&gt;0.001,MAX(CY4,DT4,EO4,FJ4,GE4,GZ4,HU4,IP4,JK4,KF4,LA4,LV4)-L4,"")</f>
        <v/>
      </c>
      <c r="CG4" s="30" t="str">
        <f t="shared" ref="CG4:CG14" si="36">IF(MAX(CZ4,DU4,EP4,FK4,GF4,HA4,HV4,IQ4,JL4,KG4,LB4,LW4)-N4&gt;0.001,MAX(CZ4,DU4,EP4,FK4,GF4,HA4,HV4,IQ4,JL4,KG4,LB4,LW4)-N4,"")</f>
        <v/>
      </c>
      <c r="CH4" s="30" t="str">
        <f t="shared" ref="CH4:CH14" si="37">IF(MAX(DB4,DW4,ER4,FM4,GH4,HC4,HX4,IS4,JN4,KI4,LD4,LY4)-P4&gt;0.001,MAX(DB4,DW4,ER4,FM4,GH4,HC4,HX4,IS4,JN4,KI4,LD4,LY4)-P4,"")</f>
        <v/>
      </c>
      <c r="CI4" s="47">
        <v>8.65</v>
      </c>
      <c r="CJ4" s="47">
        <v>9.25</v>
      </c>
      <c r="CK4" s="47">
        <v>4</v>
      </c>
      <c r="CL4" s="47">
        <v>16.8</v>
      </c>
      <c r="CM4" s="47">
        <v>0</v>
      </c>
      <c r="CN4" s="47">
        <v>5.25</v>
      </c>
      <c r="CO4" s="47">
        <v>6.15</v>
      </c>
      <c r="CP4" s="47">
        <v>10.3</v>
      </c>
      <c r="CQ4" s="47">
        <v>11.6</v>
      </c>
      <c r="CR4" s="47"/>
      <c r="CS4" s="47"/>
      <c r="CT4" s="47"/>
      <c r="CU4" s="47"/>
      <c r="CV4" s="47"/>
      <c r="CW4" s="47"/>
      <c r="CX4" s="13">
        <f t="shared" ref="CX4:CX14" si="38">IF(SUM(CK4,CP4)&gt;0,SUM(CK4,CP4),"")</f>
        <v>14.3</v>
      </c>
      <c r="CY4" s="13">
        <f t="shared" ref="CY4:CY14" si="39">IF(SUM(CI4:CL4)-CM4&gt;0,SUM(CI4:CL4)-CM4,"")</f>
        <v>38.700000000000003</v>
      </c>
      <c r="CZ4" s="13">
        <f t="shared" ref="CZ4:CZ14" si="40">IF(SUM(CN4:CQ4)-CR4&gt;0,SUM(CN4:CQ4)-CR4,"")</f>
        <v>33.300000000000004</v>
      </c>
      <c r="DA4" s="13">
        <f t="shared" ref="DA4:DA14" si="41">IF(SUM(CY4:CZ4)&gt;0,SUM(CY4:CZ4),"")</f>
        <v>72</v>
      </c>
      <c r="DB4" s="13" t="str">
        <f t="shared" ref="DB4:DB14" si="42">IF(SUM(CS4:CV4)-CW4&gt;0,SUM(CS4:CV4)-CW4,"")</f>
        <v/>
      </c>
      <c r="DC4" s="13">
        <f t="shared" ref="DC4:DC14" si="43">IF(SUM(DA4,DB4)&gt;0,SUM(DA4,DB4),"")</f>
        <v>72</v>
      </c>
      <c r="DD4" s="48"/>
      <c r="DE4" s="48"/>
      <c r="DF4" s="48"/>
      <c r="DG4" s="48"/>
      <c r="DH4" s="48"/>
      <c r="DI4" s="48"/>
      <c r="DJ4" s="48"/>
      <c r="DK4" s="48"/>
      <c r="DL4" s="48"/>
      <c r="DM4" s="48"/>
      <c r="DN4" s="48"/>
      <c r="DO4" s="48"/>
      <c r="DP4" s="48"/>
      <c r="DQ4" s="48"/>
      <c r="DR4" s="48"/>
      <c r="DS4" s="16" t="str">
        <f t="shared" ref="DS4:DS14" si="44">IF(SUM(DF4,DK4)&gt;0,SUM(DF4,DK4),"")</f>
        <v/>
      </c>
      <c r="DT4" s="16" t="str">
        <f t="shared" ref="DT4:DT14" si="45">IF(SUM(DD4:DG4)-DH4&gt;0,SUM(DD4:DG4)-DH4,"")</f>
        <v/>
      </c>
      <c r="DU4" s="16" t="str">
        <f t="shared" ref="DU4:DU14" si="46">IF(SUM(DI4:DL4)-DM4&gt;0,SUM(DI4:DL4)-DM4,"")</f>
        <v/>
      </c>
      <c r="DV4" s="16" t="str">
        <f t="shared" ref="DV4:DV14" si="47">IF(SUM(DT4:DU4)&gt;0,SUM(DT4:DU4),"")</f>
        <v/>
      </c>
      <c r="DW4" s="16" t="str">
        <f t="shared" ref="DW4:DW14" si="48">IF(SUM(DN4:DQ4)-DR4&gt;0,SUM(DN4:DQ4)-DR4,"")</f>
        <v/>
      </c>
      <c r="DX4" s="16" t="str">
        <f t="shared" ref="DX4:DX14" si="49">IF(SUM(DV4,DW4)&gt;0,SUM(DV4,DW4),"")</f>
        <v/>
      </c>
      <c r="DY4" s="47"/>
      <c r="DZ4" s="47"/>
      <c r="EA4" s="47"/>
      <c r="EB4" s="47"/>
      <c r="EC4" s="47"/>
      <c r="ED4" s="47"/>
      <c r="EE4" s="47"/>
      <c r="EF4" s="47"/>
      <c r="EG4" s="47"/>
      <c r="EH4" s="47"/>
      <c r="EI4" s="47"/>
      <c r="EJ4" s="47"/>
      <c r="EK4" s="47"/>
      <c r="EL4" s="47"/>
      <c r="EM4" s="47"/>
      <c r="EN4" s="13" t="str">
        <f t="shared" ref="EN4:EN14" si="50">IF(SUM(EA4,EF4)&gt;0,SUM(EA4,EF4),"")</f>
        <v/>
      </c>
      <c r="EO4" s="13" t="str">
        <f t="shared" ref="EO4:EO14" si="51">IF(SUM(DY4:EB4)-EC4&gt;0,SUM(DY4:EB4)-EC4,"")</f>
        <v/>
      </c>
      <c r="EP4" s="13" t="str">
        <f t="shared" ref="EP4:EP14" si="52">IF(SUM(ED4:EG4)-EH4&gt;0,SUM(ED4:EG4)-EH4,"")</f>
        <v/>
      </c>
      <c r="EQ4" s="13" t="str">
        <f t="shared" ref="EQ4:EQ14" si="53">IF(SUM(EO4:EP4)&gt;0,SUM(EO4:EP4),"")</f>
        <v/>
      </c>
      <c r="ER4" s="13" t="str">
        <f t="shared" ref="ER4:ER14" si="54">IF(SUM(EI4:EL4)-EM4&gt;0,SUM(EI4:EL4)-EM4,"")</f>
        <v/>
      </c>
      <c r="ES4" s="13" t="str">
        <f t="shared" ref="ES4:ES14" si="55">IF(SUM(EQ4,ER4)&gt;0,SUM(EQ4,ER4),"")</f>
        <v/>
      </c>
      <c r="ET4" s="48"/>
      <c r="EU4" s="48"/>
      <c r="EV4" s="48"/>
      <c r="EW4" s="48"/>
      <c r="EX4" s="48"/>
      <c r="EY4" s="48"/>
      <c r="EZ4" s="48"/>
      <c r="FA4" s="48"/>
      <c r="FB4" s="48"/>
      <c r="FC4" s="48"/>
      <c r="FD4" s="48"/>
      <c r="FE4" s="48"/>
      <c r="FF4" s="48"/>
      <c r="FG4" s="48"/>
      <c r="FH4" s="48"/>
      <c r="FI4" s="16" t="str">
        <f t="shared" ref="FI4:FI14" si="56">IF(SUM(EV4,FA4)&gt;0,SUM(EV4,FA4),"")</f>
        <v/>
      </c>
      <c r="FJ4" s="16" t="str">
        <f t="shared" ref="FJ4:FJ14" si="57">IF(SUM(ET4:EW4)-EX4&gt;0,SUM(ET4:EW4)-EX4,"")</f>
        <v/>
      </c>
      <c r="FK4" s="16" t="str">
        <f t="shared" ref="FK4:FK14" si="58">IF(SUM(EY4:FB4)-FC4&gt;0,SUM(EY4:FB4)-FC4,"")</f>
        <v/>
      </c>
      <c r="FL4" s="16" t="str">
        <f t="shared" ref="FL4:FL14" si="59">IF(SUM(FJ4:FK4)&gt;0,SUM(FJ4:FK4),"")</f>
        <v/>
      </c>
      <c r="FM4" s="16" t="str">
        <f t="shared" ref="FM4:FM14" si="60">IF(SUM(FD4:FG4)-FH4&gt;0,SUM(FD4:FG4)-FH4,"")</f>
        <v/>
      </c>
      <c r="FN4" s="16" t="str">
        <f t="shared" ref="FN4:FN14" si="61">IF(SUM(FL4,FM4)&gt;0,SUM(FL4,FM4),"")</f>
        <v/>
      </c>
      <c r="FO4" s="47"/>
      <c r="FP4" s="47"/>
      <c r="FQ4" s="47"/>
      <c r="FR4" s="47"/>
      <c r="FS4" s="47"/>
      <c r="FT4" s="47"/>
      <c r="FU4" s="47"/>
      <c r="FV4" s="47"/>
      <c r="FW4" s="47"/>
      <c r="FX4" s="47"/>
      <c r="FY4" s="47"/>
      <c r="FZ4" s="47"/>
      <c r="GA4" s="47"/>
      <c r="GB4" s="47"/>
      <c r="GC4" s="47"/>
      <c r="GD4" s="13" t="str">
        <f t="shared" ref="GD4:GD14" si="62">IF(SUM(FQ4,FV4)&gt;0,SUM(FQ4,FV4),"")</f>
        <v/>
      </c>
      <c r="GE4" s="13" t="str">
        <f t="shared" ref="GE4:GE14" si="63">IF(SUM(FO4:FR4)-FS4&gt;0,SUM(FO4:FR4)-FS4,"")</f>
        <v/>
      </c>
      <c r="GF4" s="13" t="str">
        <f t="shared" ref="GF4:GF14" si="64">IF(SUM(FT4:FW4)-FX4&gt;0,SUM(FT4:FW4)-FX4,"")</f>
        <v/>
      </c>
      <c r="GG4" s="13" t="str">
        <f t="shared" ref="GG4:GG14" si="65">IF(SUM(GE4:GF4)&gt;0,SUM(GE4:GF4),"")</f>
        <v/>
      </c>
      <c r="GH4" s="13" t="str">
        <f t="shared" ref="GH4:GH14" si="66">IF(SUM(FY4:GB4)-GC4&gt;0,SUM(FY4:GB4)-GC4,"")</f>
        <v/>
      </c>
      <c r="GI4" s="13" t="str">
        <f t="shared" ref="GI4:GI14" si="67">IF(SUM(GG4,GH4)&gt;0,SUM(GG4,GH4),"")</f>
        <v/>
      </c>
      <c r="GJ4" s="48"/>
      <c r="GK4" s="48"/>
      <c r="GL4" s="48"/>
      <c r="GM4" s="48"/>
      <c r="GN4" s="48"/>
      <c r="GO4" s="48"/>
      <c r="GP4" s="48"/>
      <c r="GQ4" s="48"/>
      <c r="GR4" s="48"/>
      <c r="GS4" s="48"/>
      <c r="GT4" s="48"/>
      <c r="GU4" s="48"/>
      <c r="GV4" s="48"/>
      <c r="GW4" s="48"/>
      <c r="GX4" s="48"/>
      <c r="GY4" s="16" t="str">
        <f t="shared" ref="GY4:GY14" si="68">IF(SUM(GL4,GQ4)&gt;0,SUM(GL4,GQ4),"")</f>
        <v/>
      </c>
      <c r="GZ4" s="16" t="str">
        <f t="shared" ref="GZ4:GZ14" si="69">IF(SUM(GJ4:GM4)-GN4&gt;0,SUM(GJ4:GM4)-GN4,"")</f>
        <v/>
      </c>
      <c r="HA4" s="16" t="str">
        <f t="shared" ref="HA4:HA14" si="70">IF(SUM(GO4:GR4)-GS4&gt;0,SUM(GO4:GR4)-GS4,"")</f>
        <v/>
      </c>
      <c r="HB4" s="16" t="str">
        <f t="shared" ref="HB4:HB14" si="71">IF(SUM(GZ4:HA4)&gt;0,SUM(GZ4:HA4),"")</f>
        <v/>
      </c>
      <c r="HC4" s="16" t="str">
        <f t="shared" ref="HC4:HC14" si="72">IF(SUM(GT4:GW4)-GX4&gt;0,SUM(GT4:GW4)-GX4,"")</f>
        <v/>
      </c>
      <c r="HD4" s="16" t="str">
        <f t="shared" ref="HD4:HD14" si="73">IF(SUM(HB4,HC4)&gt;0,SUM(HB4,HC4),"")</f>
        <v/>
      </c>
      <c r="HE4" s="47"/>
      <c r="HF4" s="47"/>
      <c r="HG4" s="47"/>
      <c r="HH4" s="47"/>
      <c r="HI4" s="47"/>
      <c r="HJ4" s="47"/>
      <c r="HK4" s="47"/>
      <c r="HL4" s="47"/>
      <c r="HM4" s="47"/>
      <c r="HN4" s="47"/>
      <c r="HO4" s="47"/>
      <c r="HP4" s="47"/>
      <c r="HQ4" s="47"/>
      <c r="HR4" s="47"/>
      <c r="HS4" s="47"/>
      <c r="HT4" s="13" t="str">
        <f t="shared" ref="HT4:HT14" si="74">IF(SUM(HG4,HL4)&gt;0,SUM(HG4,HL4),"")</f>
        <v/>
      </c>
      <c r="HU4" s="13" t="str">
        <f t="shared" ref="HU4:HU14" si="75">IF(SUM(HE4:HH4)-HI4&gt;0,SUM(HE4:HH4)-HI4,"")</f>
        <v/>
      </c>
      <c r="HV4" s="13" t="str">
        <f t="shared" ref="HV4:HV14" si="76">IF(SUM(HJ4:HM4)-HN4&gt;0,SUM(HJ4:HM4)-HN4,"")</f>
        <v/>
      </c>
      <c r="HW4" s="13" t="str">
        <f t="shared" ref="HW4:HW14" si="77">IF(SUM(HU4:HV4)&gt;0,SUM(HU4:HV4),"")</f>
        <v/>
      </c>
      <c r="HX4" s="13" t="str">
        <f t="shared" ref="HX4:HX14" si="78">IF(SUM(HO4:HR4)-HS4&gt;0,SUM(HO4:HR4)-HS4,"")</f>
        <v/>
      </c>
      <c r="HY4" s="13" t="str">
        <f t="shared" ref="HY4:HY14" si="79">IF(SUM(HW4,HX4)&gt;0,SUM(HW4,HX4),"")</f>
        <v/>
      </c>
      <c r="HZ4" s="48"/>
      <c r="IA4" s="48"/>
      <c r="IB4" s="48"/>
      <c r="IC4" s="48"/>
      <c r="ID4" s="48"/>
      <c r="IE4" s="48"/>
      <c r="IF4" s="48"/>
      <c r="IG4" s="48"/>
      <c r="IH4" s="48"/>
      <c r="II4" s="48"/>
      <c r="IJ4" s="48"/>
      <c r="IK4" s="48"/>
      <c r="IL4" s="48"/>
      <c r="IM4" s="48"/>
      <c r="IN4" s="48"/>
      <c r="IO4" s="16" t="str">
        <f t="shared" ref="IO4:IO14" si="80">IF(SUM(IB4,IG4)&gt;0,SUM(IB4,IG4),"")</f>
        <v/>
      </c>
      <c r="IP4" s="16" t="str">
        <f t="shared" ref="IP4:IP14" si="81">IF(SUM(HZ4:IC4)-ID4&gt;0,SUM(HZ4:IC4)-ID4,"")</f>
        <v/>
      </c>
      <c r="IQ4" s="16" t="str">
        <f t="shared" ref="IQ4:IQ14" si="82">IF(SUM(IE4:IH4)-II4&gt;0,SUM(IE4:IH4)-II4,"")</f>
        <v/>
      </c>
      <c r="IR4" s="16" t="str">
        <f t="shared" ref="IR4:IR14" si="83">IF(SUM(IP4:IQ4)&gt;0,SUM(IP4:IQ4),"")</f>
        <v/>
      </c>
      <c r="IS4" s="16" t="str">
        <f t="shared" ref="IS4:IS14" si="84">IF(SUM(IJ4:IM4)-IN4&gt;0,SUM(IJ4:IM4)-IN4,"")</f>
        <v/>
      </c>
      <c r="IT4" s="16" t="str">
        <f t="shared" ref="IT4:IT14" si="85">IF(SUM(IR4,IS4)&gt;0,SUM(IR4,IS4),"")</f>
        <v/>
      </c>
      <c r="IU4" s="47"/>
      <c r="IV4" s="47"/>
      <c r="IW4" s="47"/>
      <c r="IX4" s="47"/>
      <c r="IY4" s="47"/>
      <c r="IZ4" s="47"/>
      <c r="JA4" s="47"/>
      <c r="JB4" s="47"/>
      <c r="JC4" s="47"/>
      <c r="JD4" s="47"/>
      <c r="JE4" s="47"/>
      <c r="JF4" s="47"/>
      <c r="JG4" s="47"/>
      <c r="JH4" s="47"/>
      <c r="JI4" s="47"/>
      <c r="JJ4" s="13" t="str">
        <f t="shared" ref="JJ4:JJ14" si="86">IF(SUM(IW4,JB4)&gt;0,SUM(IW4,JB4),"")</f>
        <v/>
      </c>
      <c r="JK4" s="13" t="str">
        <f t="shared" ref="JK4:JK14" si="87">IF(SUM(IU4:IX4)-IY4&gt;0,SUM(IU4:IX4)-IY4,"")</f>
        <v/>
      </c>
      <c r="JL4" s="13" t="str">
        <f t="shared" ref="JL4:JL14" si="88">IF(SUM(IZ4:JC4)-JD4&gt;0,SUM(IZ4:JC4)-JD4,"")</f>
        <v/>
      </c>
      <c r="JM4" s="13" t="str">
        <f t="shared" ref="JM4:JM14" si="89">IF(SUM(JK4:JL4)&gt;0,SUM(JK4:JL4),"")</f>
        <v/>
      </c>
      <c r="JN4" s="13" t="str">
        <f t="shared" ref="JN4:JN14" si="90">IF(SUM(JE4:JH4)-JI4&gt;0,SUM(JE4:JH4)-JI4,"")</f>
        <v/>
      </c>
      <c r="JO4" s="13" t="str">
        <f t="shared" ref="JO4:JO14" si="91">IF(SUM(JM4,JN4)&gt;0,SUM(JM4,JN4),"")</f>
        <v/>
      </c>
      <c r="JP4" s="48"/>
      <c r="JQ4" s="48"/>
      <c r="JR4" s="48"/>
      <c r="JS4" s="48"/>
      <c r="JT4" s="48"/>
      <c r="JU4" s="48"/>
      <c r="JV4" s="48"/>
      <c r="JW4" s="48"/>
      <c r="JX4" s="48"/>
      <c r="JY4" s="48"/>
      <c r="JZ4" s="48"/>
      <c r="KA4" s="48"/>
      <c r="KB4" s="48"/>
      <c r="KC4" s="48"/>
      <c r="KD4" s="48"/>
      <c r="KE4" s="16" t="str">
        <f t="shared" ref="KE4:KE14" si="92">IF(SUM(JR4,JW4)&gt;0,SUM(JR4,JW4),"")</f>
        <v/>
      </c>
      <c r="KF4" s="16" t="str">
        <f t="shared" ref="KF4:KF14" si="93">IF(SUM(JP4:JS4)-JT4&gt;0,SUM(JP4:JS4)-JT4,"")</f>
        <v/>
      </c>
      <c r="KG4" s="16" t="str">
        <f t="shared" ref="KG4:KG14" si="94">IF(SUM(JU4:JX4)-JY4&gt;0,SUM(JU4:JX4)-JY4,"")</f>
        <v/>
      </c>
      <c r="KH4" s="16" t="str">
        <f t="shared" ref="KH4:KH14" si="95">IF(SUM(KF4:KG4)&gt;0,SUM(KF4:KG4),"")</f>
        <v/>
      </c>
      <c r="KI4" s="16" t="str">
        <f t="shared" ref="KI4:KI14" si="96">IF(SUM(JZ4:KC4)-KD4&gt;0,SUM(JZ4:KC4)-KD4,"")</f>
        <v/>
      </c>
      <c r="KJ4" s="16" t="str">
        <f t="shared" ref="KJ4:KJ14" si="97">IF(SUM(KH4,KI4)&gt;0,SUM(KH4,KI4),"")</f>
        <v/>
      </c>
      <c r="KK4" s="47"/>
      <c r="KL4" s="47"/>
      <c r="KM4" s="47"/>
      <c r="KN4" s="47"/>
      <c r="KO4" s="47"/>
      <c r="KP4" s="47"/>
      <c r="KQ4" s="47"/>
      <c r="KR4" s="47"/>
      <c r="KS4" s="47"/>
      <c r="KT4" s="47"/>
      <c r="KU4" s="47"/>
      <c r="KV4" s="47"/>
      <c r="KW4" s="47"/>
      <c r="KX4" s="47"/>
      <c r="KY4" s="47"/>
      <c r="KZ4" s="13" t="str">
        <f t="shared" ref="KZ4:KZ14" si="98">IF(SUM(KM4,KR4)&gt;0,SUM(KM4,KR4),"")</f>
        <v/>
      </c>
      <c r="LA4" s="13" t="str">
        <f t="shared" ref="LA4:LA14" si="99">IF(SUM(KK4:KN4)-KO4&gt;0,SUM(KK4:KN4)-KO4,"")</f>
        <v/>
      </c>
      <c r="LB4" s="13" t="str">
        <f t="shared" ref="LB4:LB14" si="100">IF(SUM(KP4:KS4)-KT4&gt;0,SUM(KP4:KS4)-KT4,"")</f>
        <v/>
      </c>
      <c r="LC4" s="13" t="str">
        <f t="shared" ref="LC4:LC14" si="101">IF(SUM(LA4:LB4)&gt;0,SUM(LA4:LB4),"")</f>
        <v/>
      </c>
      <c r="LD4" s="13" t="str">
        <f t="shared" ref="LD4:LD14" si="102">IF(SUM(KU4:KX4)-KY4&gt;0,SUM(KU4:KX4)-KY4,"")</f>
        <v/>
      </c>
      <c r="LE4" s="13" t="str">
        <f t="shared" ref="LE4:LE14" si="103">IF(SUM(LC4,LD4)&gt;0,SUM(LC4,LD4),"")</f>
        <v/>
      </c>
      <c r="LF4" s="48"/>
      <c r="LG4" s="48"/>
      <c r="LH4" s="48"/>
      <c r="LI4" s="48"/>
      <c r="LJ4" s="48"/>
      <c r="LK4" s="48"/>
      <c r="LL4" s="48"/>
      <c r="LM4" s="48"/>
      <c r="LN4" s="48"/>
      <c r="LO4" s="48"/>
      <c r="LP4" s="48"/>
      <c r="LQ4" s="48"/>
      <c r="LR4" s="48"/>
      <c r="LS4" s="48"/>
      <c r="LT4" s="48"/>
      <c r="LU4" s="16" t="str">
        <f t="shared" ref="LU4:LU14" si="104">IF(SUM(LH4,LM4)&gt;0,SUM(LH4,LM4),"")</f>
        <v/>
      </c>
      <c r="LV4" s="16" t="str">
        <f t="shared" ref="LV4:LV14" si="105">IF(SUM(LF4:LI4)-LJ4&gt;0,SUM(LF4:LI4)-LJ4,"")</f>
        <v/>
      </c>
      <c r="LW4" s="16" t="str">
        <f t="shared" ref="LW4:LW14" si="106">IF(SUM(LK4:LN4)-LO4&gt;0,SUM(LK4:LN4)-LO4,"")</f>
        <v/>
      </c>
      <c r="LX4" s="16" t="str">
        <f t="shared" ref="LX4:LX14" si="107">IF(SUM(LV4:LW4)&gt;0,SUM(LV4:LW4),"")</f>
        <v/>
      </c>
      <c r="LY4" s="16" t="str">
        <f t="shared" ref="LY4:LY14" si="108">IF(SUM(LP4:LS4)-LT4&gt;0,SUM(LP4:LS4)-LT4,"")</f>
        <v/>
      </c>
      <c r="LZ4" s="16" t="str">
        <f t="shared" ref="LZ4:LZ14" si="109">IF(SUM(LX4,LY4)&gt;0,SUM(LX4,LY4),"")</f>
        <v/>
      </c>
    </row>
    <row r="5" spans="1:338" x14ac:dyDescent="0.2">
      <c r="A5" s="6">
        <f t="shared" si="0"/>
        <v>2</v>
      </c>
      <c r="B5" s="7" t="s">
        <v>144</v>
      </c>
      <c r="C5" s="8" t="s">
        <v>4</v>
      </c>
      <c r="D5" s="33"/>
      <c r="E5" s="17">
        <f t="shared" si="1"/>
        <v>137.86000000000001</v>
      </c>
      <c r="F5" s="4" t="str">
        <f t="shared" si="2"/>
        <v>P</v>
      </c>
      <c r="G5" s="4" t="str">
        <f t="shared" si="3"/>
        <v>P</v>
      </c>
      <c r="H5" s="4" t="str">
        <f t="shared" si="4"/>
        <v>P</v>
      </c>
      <c r="I5" t="str">
        <f t="shared" si="5"/>
        <v>Worlds Team</v>
      </c>
      <c r="J5" s="16">
        <f t="shared" si="6"/>
        <v>88.745000000000005</v>
      </c>
      <c r="K5" s="16" t="str">
        <f t="shared" si="7"/>
        <v>2018 Nationals</v>
      </c>
      <c r="L5" s="16">
        <f t="shared" si="8"/>
        <v>0</v>
      </c>
      <c r="M5" s="16" t="str">
        <f t="shared" si="9"/>
        <v/>
      </c>
      <c r="N5" s="16">
        <f t="shared" si="10"/>
        <v>0</v>
      </c>
      <c r="O5" s="16" t="str">
        <f t="shared" si="11"/>
        <v/>
      </c>
      <c r="P5" s="16">
        <f t="shared" si="12"/>
        <v>49.115000000000002</v>
      </c>
      <c r="Q5" s="16" t="str">
        <f t="shared" si="13"/>
        <v>2018 Nationals</v>
      </c>
      <c r="R5" s="16" t="str">
        <f t="shared" si="14"/>
        <v/>
      </c>
      <c r="S5" s="31" t="str">
        <f t="shared" si="15"/>
        <v/>
      </c>
      <c r="T5" s="16" t="str">
        <f t="shared" si="16"/>
        <v/>
      </c>
      <c r="U5" s="49"/>
      <c r="V5" s="49"/>
      <c r="W5" s="49"/>
      <c r="X5" s="49"/>
      <c r="Y5" s="49"/>
      <c r="Z5" s="49"/>
      <c r="AA5" s="49"/>
      <c r="AB5" s="49"/>
      <c r="AC5" s="49"/>
      <c r="AD5" s="49"/>
      <c r="AE5" s="49"/>
      <c r="AF5" s="49"/>
      <c r="AG5" s="49"/>
      <c r="AH5" s="49"/>
      <c r="AI5" s="49"/>
      <c r="AJ5" s="13" t="str">
        <f t="shared" si="17"/>
        <v/>
      </c>
      <c r="AK5" s="13" t="str">
        <f t="shared" si="18"/>
        <v/>
      </c>
      <c r="AL5" s="13" t="str">
        <f t="shared" si="19"/>
        <v/>
      </c>
      <c r="AM5" s="13" t="str">
        <f t="shared" si="20"/>
        <v/>
      </c>
      <c r="AN5" s="13" t="str">
        <f t="shared" si="21"/>
        <v/>
      </c>
      <c r="AO5" s="13" t="str">
        <f t="shared" si="22"/>
        <v/>
      </c>
      <c r="AP5" s="50"/>
      <c r="AQ5" s="50"/>
      <c r="AR5" s="50"/>
      <c r="AS5" s="50"/>
      <c r="AT5" s="50"/>
      <c r="AU5" s="50"/>
      <c r="AV5" s="50"/>
      <c r="AW5" s="50"/>
      <c r="AX5" s="50"/>
      <c r="AY5" s="50"/>
      <c r="AZ5" s="50"/>
      <c r="BA5" s="50"/>
      <c r="BB5" s="50"/>
      <c r="BC5" s="50"/>
      <c r="BD5" s="50"/>
      <c r="BE5" s="16" t="str">
        <f t="shared" si="23"/>
        <v/>
      </c>
      <c r="BF5" s="16" t="str">
        <f t="shared" si="24"/>
        <v/>
      </c>
      <c r="BG5" s="16" t="str">
        <f t="shared" si="25"/>
        <v/>
      </c>
      <c r="BH5" s="16" t="str">
        <f t="shared" si="26"/>
        <v/>
      </c>
      <c r="BI5" s="16" t="str">
        <f t="shared" si="27"/>
        <v/>
      </c>
      <c r="BJ5" s="16" t="str">
        <f t="shared" si="28"/>
        <v/>
      </c>
      <c r="BK5" s="47">
        <v>9.0749999999999993</v>
      </c>
      <c r="BL5" s="47">
        <v>9.5500000000000007</v>
      </c>
      <c r="BM5" s="47">
        <v>5.8</v>
      </c>
      <c r="BN5" s="47">
        <v>18.899999999999999</v>
      </c>
      <c r="BO5" s="47">
        <v>0</v>
      </c>
      <c r="BP5" s="47">
        <v>7.4</v>
      </c>
      <c r="BQ5" s="47">
        <v>9.1999999999999993</v>
      </c>
      <c r="BR5" s="47">
        <v>15.2</v>
      </c>
      <c r="BS5" s="47">
        <v>13.62</v>
      </c>
      <c r="BT5" s="47">
        <v>0</v>
      </c>
      <c r="BU5" s="47">
        <v>7.4249999999999998</v>
      </c>
      <c r="BV5" s="47">
        <v>8.85</v>
      </c>
      <c r="BW5" s="47">
        <v>17.239999999999998</v>
      </c>
      <c r="BX5" s="47">
        <v>15.6</v>
      </c>
      <c r="BY5" s="47">
        <v>0</v>
      </c>
      <c r="BZ5" s="13">
        <f t="shared" si="29"/>
        <v>21</v>
      </c>
      <c r="CA5" s="13">
        <f t="shared" si="30"/>
        <v>43.325000000000003</v>
      </c>
      <c r="CB5" s="13">
        <f t="shared" si="31"/>
        <v>45.42</v>
      </c>
      <c r="CC5" s="13">
        <f t="shared" si="32"/>
        <v>88.745000000000005</v>
      </c>
      <c r="CD5" s="13">
        <f t="shared" si="33"/>
        <v>49.115000000000002</v>
      </c>
      <c r="CE5" s="13">
        <f t="shared" si="34"/>
        <v>137.86000000000001</v>
      </c>
      <c r="CF5" s="30" t="str">
        <f t="shared" si="35"/>
        <v/>
      </c>
      <c r="CG5" s="30" t="str">
        <f t="shared" si="36"/>
        <v/>
      </c>
      <c r="CH5" s="30" t="str">
        <f t="shared" si="37"/>
        <v/>
      </c>
      <c r="CI5" s="47"/>
      <c r="CJ5" s="47"/>
      <c r="CK5" s="47"/>
      <c r="CL5" s="47"/>
      <c r="CM5" s="47"/>
      <c r="CN5" s="47"/>
      <c r="CO5" s="47"/>
      <c r="CP5" s="47"/>
      <c r="CQ5" s="47"/>
      <c r="CR5" s="47"/>
      <c r="CS5" s="47"/>
      <c r="CT5" s="47"/>
      <c r="CU5" s="47"/>
      <c r="CV5" s="47"/>
      <c r="CW5" s="47"/>
      <c r="CX5" s="13" t="str">
        <f t="shared" si="38"/>
        <v/>
      </c>
      <c r="CY5" s="13" t="str">
        <f t="shared" si="39"/>
        <v/>
      </c>
      <c r="CZ5" s="13" t="str">
        <f t="shared" si="40"/>
        <v/>
      </c>
      <c r="DA5" s="13" t="str">
        <f t="shared" si="41"/>
        <v/>
      </c>
      <c r="DB5" s="13" t="str">
        <f t="shared" si="42"/>
        <v/>
      </c>
      <c r="DC5" s="13" t="str">
        <f t="shared" si="43"/>
        <v/>
      </c>
      <c r="DD5" s="48"/>
      <c r="DE5" s="48"/>
      <c r="DF5" s="48"/>
      <c r="DG5" s="48"/>
      <c r="DH5" s="48"/>
      <c r="DI5" s="48"/>
      <c r="DJ5" s="48"/>
      <c r="DK5" s="48"/>
      <c r="DL5" s="48"/>
      <c r="DM5" s="48"/>
      <c r="DN5" s="48"/>
      <c r="DO5" s="48"/>
      <c r="DP5" s="48"/>
      <c r="DQ5" s="48"/>
      <c r="DR5" s="48"/>
      <c r="DS5" s="16" t="str">
        <f t="shared" si="44"/>
        <v/>
      </c>
      <c r="DT5" s="16" t="str">
        <f t="shared" si="45"/>
        <v/>
      </c>
      <c r="DU5" s="16" t="str">
        <f t="shared" si="46"/>
        <v/>
      </c>
      <c r="DV5" s="16" t="str">
        <f t="shared" si="47"/>
        <v/>
      </c>
      <c r="DW5" s="16" t="str">
        <f t="shared" si="48"/>
        <v/>
      </c>
      <c r="DX5" s="16" t="str">
        <f t="shared" si="49"/>
        <v/>
      </c>
      <c r="DY5" s="47"/>
      <c r="DZ5" s="47"/>
      <c r="EA5" s="47"/>
      <c r="EB5" s="47"/>
      <c r="EC5" s="47"/>
      <c r="ED5" s="47"/>
      <c r="EE5" s="47"/>
      <c r="EF5" s="47"/>
      <c r="EG5" s="47"/>
      <c r="EH5" s="47"/>
      <c r="EI5" s="47"/>
      <c r="EJ5" s="47"/>
      <c r="EK5" s="47"/>
      <c r="EL5" s="47"/>
      <c r="EM5" s="47"/>
      <c r="EN5" s="13" t="str">
        <f t="shared" si="50"/>
        <v/>
      </c>
      <c r="EO5" s="13" t="str">
        <f t="shared" si="51"/>
        <v/>
      </c>
      <c r="EP5" s="13" t="str">
        <f t="shared" si="52"/>
        <v/>
      </c>
      <c r="EQ5" s="13" t="str">
        <f t="shared" si="53"/>
        <v/>
      </c>
      <c r="ER5" s="13" t="str">
        <f t="shared" si="54"/>
        <v/>
      </c>
      <c r="ES5" s="13" t="str">
        <f t="shared" si="55"/>
        <v/>
      </c>
      <c r="ET5" s="48"/>
      <c r="EU5" s="48"/>
      <c r="EV5" s="48"/>
      <c r="EW5" s="48"/>
      <c r="EX5" s="48"/>
      <c r="EY5" s="48"/>
      <c r="EZ5" s="48"/>
      <c r="FA5" s="48"/>
      <c r="FB5" s="48"/>
      <c r="FC5" s="48"/>
      <c r="FD5" s="48"/>
      <c r="FE5" s="48"/>
      <c r="FF5" s="48"/>
      <c r="FG5" s="48"/>
      <c r="FH5" s="48"/>
      <c r="FI5" s="16" t="str">
        <f t="shared" si="56"/>
        <v/>
      </c>
      <c r="FJ5" s="16" t="str">
        <f t="shared" si="57"/>
        <v/>
      </c>
      <c r="FK5" s="16" t="str">
        <f t="shared" si="58"/>
        <v/>
      </c>
      <c r="FL5" s="16" t="str">
        <f t="shared" si="59"/>
        <v/>
      </c>
      <c r="FM5" s="16" t="str">
        <f t="shared" si="60"/>
        <v/>
      </c>
      <c r="FN5" s="16" t="str">
        <f t="shared" si="61"/>
        <v/>
      </c>
      <c r="FO5" s="47"/>
      <c r="FP5" s="47"/>
      <c r="FQ5" s="47"/>
      <c r="FR5" s="47"/>
      <c r="FS5" s="47"/>
      <c r="FT5" s="47"/>
      <c r="FU5" s="47"/>
      <c r="FV5" s="47"/>
      <c r="FW5" s="47"/>
      <c r="FX5" s="47"/>
      <c r="FY5" s="47"/>
      <c r="FZ5" s="47"/>
      <c r="GA5" s="47"/>
      <c r="GB5" s="47"/>
      <c r="GC5" s="47"/>
      <c r="GD5" s="13" t="str">
        <f t="shared" si="62"/>
        <v/>
      </c>
      <c r="GE5" s="13" t="str">
        <f t="shared" si="63"/>
        <v/>
      </c>
      <c r="GF5" s="13" t="str">
        <f t="shared" si="64"/>
        <v/>
      </c>
      <c r="GG5" s="13" t="str">
        <f t="shared" si="65"/>
        <v/>
      </c>
      <c r="GH5" s="13" t="str">
        <f t="shared" si="66"/>
        <v/>
      </c>
      <c r="GI5" s="13" t="str">
        <f t="shared" si="67"/>
        <v/>
      </c>
      <c r="GJ5" s="48"/>
      <c r="GK5" s="48"/>
      <c r="GL5" s="48"/>
      <c r="GM5" s="48"/>
      <c r="GN5" s="48"/>
      <c r="GO5" s="48"/>
      <c r="GP5" s="48"/>
      <c r="GQ5" s="48"/>
      <c r="GR5" s="48"/>
      <c r="GS5" s="48"/>
      <c r="GT5" s="48"/>
      <c r="GU5" s="48"/>
      <c r="GV5" s="48"/>
      <c r="GW5" s="48"/>
      <c r="GX5" s="48"/>
      <c r="GY5" s="16" t="str">
        <f t="shared" si="68"/>
        <v/>
      </c>
      <c r="GZ5" s="16" t="str">
        <f t="shared" si="69"/>
        <v/>
      </c>
      <c r="HA5" s="16" t="str">
        <f t="shared" si="70"/>
        <v/>
      </c>
      <c r="HB5" s="16" t="str">
        <f t="shared" si="71"/>
        <v/>
      </c>
      <c r="HC5" s="16" t="str">
        <f t="shared" si="72"/>
        <v/>
      </c>
      <c r="HD5" s="16" t="str">
        <f t="shared" si="73"/>
        <v/>
      </c>
      <c r="HE5" s="47"/>
      <c r="HF5" s="47"/>
      <c r="HG5" s="47"/>
      <c r="HH5" s="47"/>
      <c r="HI5" s="47"/>
      <c r="HJ5" s="47"/>
      <c r="HK5" s="47"/>
      <c r="HL5" s="47"/>
      <c r="HM5" s="47"/>
      <c r="HN5" s="47"/>
      <c r="HO5" s="47"/>
      <c r="HP5" s="47"/>
      <c r="HQ5" s="47"/>
      <c r="HR5" s="47"/>
      <c r="HS5" s="47"/>
      <c r="HT5" s="13" t="str">
        <f t="shared" si="74"/>
        <v/>
      </c>
      <c r="HU5" s="13" t="str">
        <f t="shared" si="75"/>
        <v/>
      </c>
      <c r="HV5" s="13" t="str">
        <f t="shared" si="76"/>
        <v/>
      </c>
      <c r="HW5" s="13" t="str">
        <f t="shared" si="77"/>
        <v/>
      </c>
      <c r="HX5" s="13" t="str">
        <f t="shared" si="78"/>
        <v/>
      </c>
      <c r="HY5" s="13" t="str">
        <f t="shared" si="79"/>
        <v/>
      </c>
      <c r="HZ5" s="48"/>
      <c r="IA5" s="48"/>
      <c r="IB5" s="48"/>
      <c r="IC5" s="48"/>
      <c r="ID5" s="48"/>
      <c r="IE5" s="48"/>
      <c r="IF5" s="48"/>
      <c r="IG5" s="48"/>
      <c r="IH5" s="48"/>
      <c r="II5" s="48"/>
      <c r="IJ5" s="48"/>
      <c r="IK5" s="48"/>
      <c r="IL5" s="48"/>
      <c r="IM5" s="48"/>
      <c r="IN5" s="48"/>
      <c r="IO5" s="16" t="str">
        <f t="shared" si="80"/>
        <v/>
      </c>
      <c r="IP5" s="16" t="str">
        <f t="shared" si="81"/>
        <v/>
      </c>
      <c r="IQ5" s="16" t="str">
        <f t="shared" si="82"/>
        <v/>
      </c>
      <c r="IR5" s="16" t="str">
        <f t="shared" si="83"/>
        <v/>
      </c>
      <c r="IS5" s="16" t="str">
        <f t="shared" si="84"/>
        <v/>
      </c>
      <c r="IT5" s="16" t="str">
        <f t="shared" si="85"/>
        <v/>
      </c>
      <c r="IU5" s="47"/>
      <c r="IV5" s="47"/>
      <c r="IW5" s="47"/>
      <c r="IX5" s="47"/>
      <c r="IY5" s="47"/>
      <c r="IZ5" s="47"/>
      <c r="JA5" s="47"/>
      <c r="JB5" s="47"/>
      <c r="JC5" s="47"/>
      <c r="JD5" s="47"/>
      <c r="JE5" s="47"/>
      <c r="JF5" s="47"/>
      <c r="JG5" s="47"/>
      <c r="JH5" s="47"/>
      <c r="JI5" s="47"/>
      <c r="JJ5" s="13" t="str">
        <f t="shared" si="86"/>
        <v/>
      </c>
      <c r="JK5" s="13" t="str">
        <f t="shared" si="87"/>
        <v/>
      </c>
      <c r="JL5" s="13" t="str">
        <f t="shared" si="88"/>
        <v/>
      </c>
      <c r="JM5" s="13" t="str">
        <f t="shared" si="89"/>
        <v/>
      </c>
      <c r="JN5" s="13" t="str">
        <f t="shared" si="90"/>
        <v/>
      </c>
      <c r="JO5" s="13" t="str">
        <f t="shared" si="91"/>
        <v/>
      </c>
      <c r="JP5" s="48"/>
      <c r="JQ5" s="48"/>
      <c r="JR5" s="48"/>
      <c r="JS5" s="48"/>
      <c r="JT5" s="48"/>
      <c r="JU5" s="48"/>
      <c r="JV5" s="48"/>
      <c r="JW5" s="48"/>
      <c r="JX5" s="48"/>
      <c r="JY5" s="48"/>
      <c r="JZ5" s="48"/>
      <c r="KA5" s="48"/>
      <c r="KB5" s="48"/>
      <c r="KC5" s="48"/>
      <c r="KD5" s="48"/>
      <c r="KE5" s="16" t="str">
        <f t="shared" si="92"/>
        <v/>
      </c>
      <c r="KF5" s="16" t="str">
        <f t="shared" si="93"/>
        <v/>
      </c>
      <c r="KG5" s="16" t="str">
        <f t="shared" si="94"/>
        <v/>
      </c>
      <c r="KH5" s="16" t="str">
        <f t="shared" si="95"/>
        <v/>
      </c>
      <c r="KI5" s="16" t="str">
        <f t="shared" si="96"/>
        <v/>
      </c>
      <c r="KJ5" s="16" t="str">
        <f t="shared" si="97"/>
        <v/>
      </c>
      <c r="KK5" s="47"/>
      <c r="KL5" s="47"/>
      <c r="KM5" s="47"/>
      <c r="KN5" s="47"/>
      <c r="KO5" s="47"/>
      <c r="KP5" s="47"/>
      <c r="KQ5" s="47"/>
      <c r="KR5" s="47"/>
      <c r="KS5" s="47"/>
      <c r="KT5" s="47"/>
      <c r="KU5" s="47"/>
      <c r="KV5" s="47"/>
      <c r="KW5" s="47"/>
      <c r="KX5" s="47"/>
      <c r="KY5" s="47"/>
      <c r="KZ5" s="13" t="str">
        <f t="shared" si="98"/>
        <v/>
      </c>
      <c r="LA5" s="13" t="str">
        <f t="shared" si="99"/>
        <v/>
      </c>
      <c r="LB5" s="13" t="str">
        <f t="shared" si="100"/>
        <v/>
      </c>
      <c r="LC5" s="13" t="str">
        <f t="shared" si="101"/>
        <v/>
      </c>
      <c r="LD5" s="13" t="str">
        <f t="shared" si="102"/>
        <v/>
      </c>
      <c r="LE5" s="13" t="str">
        <f t="shared" si="103"/>
        <v/>
      </c>
      <c r="LF5" s="48"/>
      <c r="LG5" s="48"/>
      <c r="LH5" s="48"/>
      <c r="LI5" s="48"/>
      <c r="LJ5" s="48"/>
      <c r="LK5" s="48"/>
      <c r="LL5" s="48"/>
      <c r="LM5" s="48"/>
      <c r="LN5" s="48"/>
      <c r="LO5" s="48"/>
      <c r="LP5" s="48"/>
      <c r="LQ5" s="48"/>
      <c r="LR5" s="48"/>
      <c r="LS5" s="48"/>
      <c r="LT5" s="48"/>
      <c r="LU5" s="16" t="str">
        <f t="shared" si="104"/>
        <v/>
      </c>
      <c r="LV5" s="16" t="str">
        <f t="shared" si="105"/>
        <v/>
      </c>
      <c r="LW5" s="16" t="str">
        <f t="shared" si="106"/>
        <v/>
      </c>
      <c r="LX5" s="16" t="str">
        <f t="shared" si="107"/>
        <v/>
      </c>
      <c r="LY5" s="16" t="str">
        <f t="shared" si="108"/>
        <v/>
      </c>
      <c r="LZ5" s="16" t="str">
        <f t="shared" si="109"/>
        <v/>
      </c>
    </row>
    <row r="6" spans="1:338" x14ac:dyDescent="0.2">
      <c r="A6" s="6" t="str">
        <f t="shared" si="0"/>
        <v/>
      </c>
      <c r="B6" s="7" t="s">
        <v>137</v>
      </c>
      <c r="C6" s="8" t="s">
        <v>13</v>
      </c>
      <c r="D6" s="6">
        <v>2018</v>
      </c>
      <c r="E6" s="17">
        <f t="shared" si="1"/>
        <v>193.36500000000001</v>
      </c>
      <c r="F6" s="4" t="str">
        <f t="shared" si="2"/>
        <v/>
      </c>
      <c r="G6" s="4" t="str">
        <f t="shared" si="3"/>
        <v/>
      </c>
      <c r="H6" s="4" t="str">
        <f t="shared" si="4"/>
        <v/>
      </c>
      <c r="I6" t="str">
        <f t="shared" si="5"/>
        <v/>
      </c>
      <c r="J6" s="16">
        <f t="shared" si="6"/>
        <v>84.625</v>
      </c>
      <c r="K6" s="16" t="str">
        <f t="shared" si="7"/>
        <v>2018 Canada Cup</v>
      </c>
      <c r="L6" s="16">
        <f t="shared" si="8"/>
        <v>30.235000000000003</v>
      </c>
      <c r="M6" s="16" t="str">
        <f t="shared" si="9"/>
        <v>2018 Nationals</v>
      </c>
      <c r="N6" s="16">
        <f t="shared" si="10"/>
        <v>46.475000000000001</v>
      </c>
      <c r="O6" s="16" t="str">
        <f t="shared" si="11"/>
        <v>2018 Nationals</v>
      </c>
      <c r="P6" s="16">
        <f t="shared" si="12"/>
        <v>32.03</v>
      </c>
      <c r="Q6" s="16" t="str">
        <f t="shared" si="13"/>
        <v>2018 Nationals</v>
      </c>
      <c r="R6" s="16" t="str">
        <f t="shared" si="14"/>
        <v/>
      </c>
      <c r="S6" s="31" t="str">
        <f t="shared" si="15"/>
        <v/>
      </c>
      <c r="T6" s="16" t="str">
        <f t="shared" si="16"/>
        <v/>
      </c>
      <c r="U6" s="49"/>
      <c r="V6" s="49"/>
      <c r="W6" s="49"/>
      <c r="X6" s="49"/>
      <c r="Y6" s="49"/>
      <c r="Z6" s="49"/>
      <c r="AA6" s="49"/>
      <c r="AB6" s="49"/>
      <c r="AC6" s="49"/>
      <c r="AD6" s="49"/>
      <c r="AE6" s="49"/>
      <c r="AF6" s="49"/>
      <c r="AG6" s="49"/>
      <c r="AH6" s="49"/>
      <c r="AI6" s="49"/>
      <c r="AJ6" s="13" t="str">
        <f t="shared" si="17"/>
        <v/>
      </c>
      <c r="AK6" s="13" t="str">
        <f t="shared" si="18"/>
        <v/>
      </c>
      <c r="AL6" s="13" t="str">
        <f t="shared" si="19"/>
        <v/>
      </c>
      <c r="AM6" s="13" t="str">
        <f t="shared" si="20"/>
        <v/>
      </c>
      <c r="AN6" s="13" t="str">
        <f t="shared" si="21"/>
        <v/>
      </c>
      <c r="AO6" s="13" t="str">
        <f t="shared" si="22"/>
        <v/>
      </c>
      <c r="AP6" s="50">
        <v>8.125</v>
      </c>
      <c r="AQ6" s="50">
        <v>8.3000000000000007</v>
      </c>
      <c r="AR6" s="50">
        <v>3.4</v>
      </c>
      <c r="AS6" s="50">
        <v>16.8</v>
      </c>
      <c r="AT6" s="50">
        <v>0</v>
      </c>
      <c r="AU6" s="50">
        <v>8.4</v>
      </c>
      <c r="AV6" s="50">
        <v>8.8000000000000007</v>
      </c>
      <c r="AW6" s="50">
        <v>13.4</v>
      </c>
      <c r="AX6" s="50">
        <v>17.8</v>
      </c>
      <c r="AY6" s="50">
        <v>0.4</v>
      </c>
      <c r="AZ6" s="50">
        <v>1.825</v>
      </c>
      <c r="BA6" s="50">
        <v>1.8</v>
      </c>
      <c r="BB6" s="50">
        <v>3.4</v>
      </c>
      <c r="BC6" s="50">
        <v>2.66</v>
      </c>
      <c r="BD6" s="50">
        <v>0</v>
      </c>
      <c r="BE6" s="16">
        <f t="shared" si="23"/>
        <v>16.8</v>
      </c>
      <c r="BF6" s="16">
        <f t="shared" si="24"/>
        <v>36.625</v>
      </c>
      <c r="BG6" s="16">
        <f t="shared" si="25"/>
        <v>48.000000000000007</v>
      </c>
      <c r="BH6" s="16">
        <f t="shared" si="26"/>
        <v>84.625</v>
      </c>
      <c r="BI6" s="16">
        <f t="shared" si="27"/>
        <v>9.6850000000000005</v>
      </c>
      <c r="BJ6" s="16">
        <f t="shared" si="28"/>
        <v>94.31</v>
      </c>
      <c r="BK6" s="47">
        <v>7.5250000000000004</v>
      </c>
      <c r="BL6" s="47">
        <v>7.55</v>
      </c>
      <c r="BM6" s="47">
        <v>1.8</v>
      </c>
      <c r="BN6" s="47">
        <v>13.56</v>
      </c>
      <c r="BO6" s="47">
        <v>0.2</v>
      </c>
      <c r="BP6" s="47">
        <v>7.9249999999999998</v>
      </c>
      <c r="BQ6" s="47">
        <v>8.75</v>
      </c>
      <c r="BR6" s="47">
        <v>13.3</v>
      </c>
      <c r="BS6" s="47">
        <v>16.5</v>
      </c>
      <c r="BT6" s="47">
        <v>0</v>
      </c>
      <c r="BU6" s="47">
        <v>5.75</v>
      </c>
      <c r="BV6" s="47">
        <v>6.3</v>
      </c>
      <c r="BW6" s="47">
        <v>10.78</v>
      </c>
      <c r="BX6" s="47">
        <v>9.1999999999999993</v>
      </c>
      <c r="BY6" s="47">
        <v>0</v>
      </c>
      <c r="BZ6" s="13">
        <f t="shared" si="29"/>
        <v>15.100000000000001</v>
      </c>
      <c r="CA6" s="13">
        <f t="shared" si="30"/>
        <v>30.235000000000003</v>
      </c>
      <c r="CB6" s="13">
        <f t="shared" si="31"/>
        <v>46.475000000000001</v>
      </c>
      <c r="CC6" s="13">
        <f t="shared" si="32"/>
        <v>76.710000000000008</v>
      </c>
      <c r="CD6" s="13">
        <f t="shared" si="33"/>
        <v>32.03</v>
      </c>
      <c r="CE6" s="13">
        <f t="shared" si="34"/>
        <v>108.74000000000001</v>
      </c>
      <c r="CF6" s="30" t="str">
        <f t="shared" si="35"/>
        <v/>
      </c>
      <c r="CG6" s="30" t="str">
        <f t="shared" si="36"/>
        <v/>
      </c>
      <c r="CH6" s="30" t="str">
        <f t="shared" si="37"/>
        <v/>
      </c>
      <c r="CI6" s="47"/>
      <c r="CJ6" s="47"/>
      <c r="CK6" s="47"/>
      <c r="CL6" s="47"/>
      <c r="CM6" s="47"/>
      <c r="CN6" s="47"/>
      <c r="CO6" s="47"/>
      <c r="CP6" s="47"/>
      <c r="CQ6" s="47"/>
      <c r="CR6" s="47"/>
      <c r="CS6" s="47"/>
      <c r="CT6" s="47"/>
      <c r="CU6" s="47"/>
      <c r="CV6" s="47"/>
      <c r="CW6" s="47"/>
      <c r="CX6" s="13" t="str">
        <f t="shared" si="38"/>
        <v/>
      </c>
      <c r="CY6" s="13" t="str">
        <f t="shared" si="39"/>
        <v/>
      </c>
      <c r="CZ6" s="13" t="str">
        <f t="shared" si="40"/>
        <v/>
      </c>
      <c r="DA6" s="13" t="str">
        <f t="shared" si="41"/>
        <v/>
      </c>
      <c r="DB6" s="13" t="str">
        <f t="shared" si="42"/>
        <v/>
      </c>
      <c r="DC6" s="13" t="str">
        <f t="shared" si="43"/>
        <v/>
      </c>
      <c r="DD6" s="48"/>
      <c r="DE6" s="48"/>
      <c r="DF6" s="48"/>
      <c r="DG6" s="48"/>
      <c r="DH6" s="48"/>
      <c r="DI6" s="48"/>
      <c r="DJ6" s="48"/>
      <c r="DK6" s="48"/>
      <c r="DL6" s="48"/>
      <c r="DM6" s="48"/>
      <c r="DN6" s="48"/>
      <c r="DO6" s="48"/>
      <c r="DP6" s="48"/>
      <c r="DQ6" s="48"/>
      <c r="DR6" s="48"/>
      <c r="DS6" s="16" t="str">
        <f t="shared" si="44"/>
        <v/>
      </c>
      <c r="DT6" s="16" t="str">
        <f t="shared" si="45"/>
        <v/>
      </c>
      <c r="DU6" s="16" t="str">
        <f t="shared" si="46"/>
        <v/>
      </c>
      <c r="DV6" s="16" t="str">
        <f t="shared" si="47"/>
        <v/>
      </c>
      <c r="DW6" s="16" t="str">
        <f t="shared" si="48"/>
        <v/>
      </c>
      <c r="DX6" s="16" t="str">
        <f t="shared" si="49"/>
        <v/>
      </c>
      <c r="DY6" s="47"/>
      <c r="DZ6" s="47"/>
      <c r="EA6" s="47"/>
      <c r="EB6" s="47"/>
      <c r="EC6" s="47"/>
      <c r="ED6" s="47"/>
      <c r="EE6" s="47"/>
      <c r="EF6" s="47"/>
      <c r="EG6" s="47"/>
      <c r="EH6" s="47"/>
      <c r="EI6" s="47"/>
      <c r="EJ6" s="47"/>
      <c r="EK6" s="47"/>
      <c r="EL6" s="47"/>
      <c r="EM6" s="47"/>
      <c r="EN6" s="13" t="str">
        <f t="shared" si="50"/>
        <v/>
      </c>
      <c r="EO6" s="13" t="str">
        <f t="shared" si="51"/>
        <v/>
      </c>
      <c r="EP6" s="13" t="str">
        <f t="shared" si="52"/>
        <v/>
      </c>
      <c r="EQ6" s="13" t="str">
        <f t="shared" si="53"/>
        <v/>
      </c>
      <c r="ER6" s="13" t="str">
        <f t="shared" si="54"/>
        <v/>
      </c>
      <c r="ES6" s="13" t="str">
        <f t="shared" si="55"/>
        <v/>
      </c>
      <c r="ET6" s="48"/>
      <c r="EU6" s="48"/>
      <c r="EV6" s="48"/>
      <c r="EW6" s="48"/>
      <c r="EX6" s="48"/>
      <c r="EY6" s="48"/>
      <c r="EZ6" s="48"/>
      <c r="FA6" s="48"/>
      <c r="FB6" s="48"/>
      <c r="FC6" s="48"/>
      <c r="FD6" s="48"/>
      <c r="FE6" s="48"/>
      <c r="FF6" s="48"/>
      <c r="FG6" s="48"/>
      <c r="FH6" s="48"/>
      <c r="FI6" s="16" t="str">
        <f t="shared" si="56"/>
        <v/>
      </c>
      <c r="FJ6" s="16" t="str">
        <f t="shared" si="57"/>
        <v/>
      </c>
      <c r="FK6" s="16" t="str">
        <f t="shared" si="58"/>
        <v/>
      </c>
      <c r="FL6" s="16" t="str">
        <f t="shared" si="59"/>
        <v/>
      </c>
      <c r="FM6" s="16" t="str">
        <f t="shared" si="60"/>
        <v/>
      </c>
      <c r="FN6" s="16" t="str">
        <f t="shared" si="61"/>
        <v/>
      </c>
      <c r="FO6" s="47"/>
      <c r="FP6" s="47"/>
      <c r="FQ6" s="47"/>
      <c r="FR6" s="47"/>
      <c r="FS6" s="47"/>
      <c r="FT6" s="47"/>
      <c r="FU6" s="47"/>
      <c r="FV6" s="47"/>
      <c r="FW6" s="47"/>
      <c r="FX6" s="47"/>
      <c r="FY6" s="47"/>
      <c r="FZ6" s="47"/>
      <c r="GA6" s="47"/>
      <c r="GB6" s="47"/>
      <c r="GC6" s="47"/>
      <c r="GD6" s="13" t="str">
        <f t="shared" si="62"/>
        <v/>
      </c>
      <c r="GE6" s="13" t="str">
        <f t="shared" si="63"/>
        <v/>
      </c>
      <c r="GF6" s="13" t="str">
        <f t="shared" si="64"/>
        <v/>
      </c>
      <c r="GG6" s="13" t="str">
        <f t="shared" si="65"/>
        <v/>
      </c>
      <c r="GH6" s="13" t="str">
        <f t="shared" si="66"/>
        <v/>
      </c>
      <c r="GI6" s="13" t="str">
        <f t="shared" si="67"/>
        <v/>
      </c>
      <c r="GJ6" s="48"/>
      <c r="GK6" s="48"/>
      <c r="GL6" s="48"/>
      <c r="GM6" s="48"/>
      <c r="GN6" s="48"/>
      <c r="GO6" s="48"/>
      <c r="GP6" s="48"/>
      <c r="GQ6" s="48"/>
      <c r="GR6" s="48"/>
      <c r="GS6" s="48"/>
      <c r="GT6" s="48"/>
      <c r="GU6" s="48"/>
      <c r="GV6" s="48"/>
      <c r="GW6" s="48"/>
      <c r="GX6" s="48"/>
      <c r="GY6" s="16" t="str">
        <f t="shared" si="68"/>
        <v/>
      </c>
      <c r="GZ6" s="16" t="str">
        <f t="shared" si="69"/>
        <v/>
      </c>
      <c r="HA6" s="16" t="str">
        <f t="shared" si="70"/>
        <v/>
      </c>
      <c r="HB6" s="16" t="str">
        <f t="shared" si="71"/>
        <v/>
      </c>
      <c r="HC6" s="16" t="str">
        <f t="shared" si="72"/>
        <v/>
      </c>
      <c r="HD6" s="16" t="str">
        <f t="shared" si="73"/>
        <v/>
      </c>
      <c r="HE6" s="47"/>
      <c r="HF6" s="47"/>
      <c r="HG6" s="47"/>
      <c r="HH6" s="47"/>
      <c r="HI6" s="47"/>
      <c r="HJ6" s="47"/>
      <c r="HK6" s="47"/>
      <c r="HL6" s="47"/>
      <c r="HM6" s="47"/>
      <c r="HN6" s="47"/>
      <c r="HO6" s="47"/>
      <c r="HP6" s="47"/>
      <c r="HQ6" s="47"/>
      <c r="HR6" s="47"/>
      <c r="HS6" s="47"/>
      <c r="HT6" s="13" t="str">
        <f t="shared" si="74"/>
        <v/>
      </c>
      <c r="HU6" s="13" t="str">
        <f t="shared" si="75"/>
        <v/>
      </c>
      <c r="HV6" s="13" t="str">
        <f t="shared" si="76"/>
        <v/>
      </c>
      <c r="HW6" s="13" t="str">
        <f t="shared" si="77"/>
        <v/>
      </c>
      <c r="HX6" s="13" t="str">
        <f t="shared" si="78"/>
        <v/>
      </c>
      <c r="HY6" s="13" t="str">
        <f t="shared" si="79"/>
        <v/>
      </c>
      <c r="HZ6" s="48"/>
      <c r="IA6" s="48"/>
      <c r="IB6" s="48"/>
      <c r="IC6" s="48"/>
      <c r="ID6" s="48"/>
      <c r="IE6" s="48"/>
      <c r="IF6" s="48"/>
      <c r="IG6" s="48"/>
      <c r="IH6" s="48"/>
      <c r="II6" s="48"/>
      <c r="IJ6" s="48"/>
      <c r="IK6" s="48"/>
      <c r="IL6" s="48"/>
      <c r="IM6" s="48"/>
      <c r="IN6" s="48"/>
      <c r="IO6" s="16" t="str">
        <f t="shared" si="80"/>
        <v/>
      </c>
      <c r="IP6" s="16" t="str">
        <f t="shared" si="81"/>
        <v/>
      </c>
      <c r="IQ6" s="16" t="str">
        <f t="shared" si="82"/>
        <v/>
      </c>
      <c r="IR6" s="16" t="str">
        <f t="shared" si="83"/>
        <v/>
      </c>
      <c r="IS6" s="16" t="str">
        <f t="shared" si="84"/>
        <v/>
      </c>
      <c r="IT6" s="16" t="str">
        <f t="shared" si="85"/>
        <v/>
      </c>
      <c r="IU6" s="47"/>
      <c r="IV6" s="47"/>
      <c r="IW6" s="47"/>
      <c r="IX6" s="47"/>
      <c r="IY6" s="47"/>
      <c r="IZ6" s="47"/>
      <c r="JA6" s="47"/>
      <c r="JB6" s="47"/>
      <c r="JC6" s="47"/>
      <c r="JD6" s="47"/>
      <c r="JE6" s="47"/>
      <c r="JF6" s="47"/>
      <c r="JG6" s="47"/>
      <c r="JH6" s="47"/>
      <c r="JI6" s="47"/>
      <c r="JJ6" s="13" t="str">
        <f t="shared" si="86"/>
        <v/>
      </c>
      <c r="JK6" s="13" t="str">
        <f t="shared" si="87"/>
        <v/>
      </c>
      <c r="JL6" s="13" t="str">
        <f t="shared" si="88"/>
        <v/>
      </c>
      <c r="JM6" s="13" t="str">
        <f t="shared" si="89"/>
        <v/>
      </c>
      <c r="JN6" s="13" t="str">
        <f t="shared" si="90"/>
        <v/>
      </c>
      <c r="JO6" s="13" t="str">
        <f t="shared" si="91"/>
        <v/>
      </c>
      <c r="JP6" s="48"/>
      <c r="JQ6" s="48"/>
      <c r="JR6" s="48"/>
      <c r="JS6" s="48"/>
      <c r="JT6" s="48"/>
      <c r="JU6" s="48"/>
      <c r="JV6" s="48"/>
      <c r="JW6" s="48"/>
      <c r="JX6" s="48"/>
      <c r="JY6" s="48"/>
      <c r="JZ6" s="48"/>
      <c r="KA6" s="48"/>
      <c r="KB6" s="48"/>
      <c r="KC6" s="48"/>
      <c r="KD6" s="48"/>
      <c r="KE6" s="16" t="str">
        <f t="shared" si="92"/>
        <v/>
      </c>
      <c r="KF6" s="16" t="str">
        <f t="shared" si="93"/>
        <v/>
      </c>
      <c r="KG6" s="16" t="str">
        <f t="shared" si="94"/>
        <v/>
      </c>
      <c r="KH6" s="16" t="str">
        <f t="shared" si="95"/>
        <v/>
      </c>
      <c r="KI6" s="16" t="str">
        <f t="shared" si="96"/>
        <v/>
      </c>
      <c r="KJ6" s="16" t="str">
        <f t="shared" si="97"/>
        <v/>
      </c>
      <c r="KK6" s="47"/>
      <c r="KL6" s="47"/>
      <c r="KM6" s="47"/>
      <c r="KN6" s="47"/>
      <c r="KO6" s="47"/>
      <c r="KP6" s="47"/>
      <c r="KQ6" s="47"/>
      <c r="KR6" s="47"/>
      <c r="KS6" s="47"/>
      <c r="KT6" s="47"/>
      <c r="KU6" s="47"/>
      <c r="KV6" s="47"/>
      <c r="KW6" s="47"/>
      <c r="KX6" s="47"/>
      <c r="KY6" s="47"/>
      <c r="KZ6" s="13" t="str">
        <f t="shared" si="98"/>
        <v/>
      </c>
      <c r="LA6" s="13" t="str">
        <f t="shared" si="99"/>
        <v/>
      </c>
      <c r="LB6" s="13" t="str">
        <f t="shared" si="100"/>
        <v/>
      </c>
      <c r="LC6" s="13" t="str">
        <f t="shared" si="101"/>
        <v/>
      </c>
      <c r="LD6" s="13" t="str">
        <f t="shared" si="102"/>
        <v/>
      </c>
      <c r="LE6" s="13" t="str">
        <f t="shared" si="103"/>
        <v/>
      </c>
      <c r="LF6" s="48"/>
      <c r="LG6" s="48"/>
      <c r="LH6" s="48"/>
      <c r="LI6" s="48"/>
      <c r="LJ6" s="48"/>
      <c r="LK6" s="48"/>
      <c r="LL6" s="48"/>
      <c r="LM6" s="48"/>
      <c r="LN6" s="48"/>
      <c r="LO6" s="48"/>
      <c r="LP6" s="48"/>
      <c r="LQ6" s="48"/>
      <c r="LR6" s="48"/>
      <c r="LS6" s="48"/>
      <c r="LT6" s="48"/>
      <c r="LU6" s="16" t="str">
        <f t="shared" si="104"/>
        <v/>
      </c>
      <c r="LV6" s="16" t="str">
        <f t="shared" si="105"/>
        <v/>
      </c>
      <c r="LW6" s="16" t="str">
        <f t="shared" si="106"/>
        <v/>
      </c>
      <c r="LX6" s="16" t="str">
        <f t="shared" si="107"/>
        <v/>
      </c>
      <c r="LY6" s="16" t="str">
        <f t="shared" si="108"/>
        <v/>
      </c>
      <c r="LZ6" s="16" t="str">
        <f t="shared" si="109"/>
        <v/>
      </c>
    </row>
    <row r="7" spans="1:338" x14ac:dyDescent="0.2">
      <c r="A7" s="6" t="str">
        <f t="shared" si="0"/>
        <v/>
      </c>
      <c r="B7" s="7" t="s">
        <v>145</v>
      </c>
      <c r="C7" s="8" t="s">
        <v>147</v>
      </c>
      <c r="D7" s="6"/>
      <c r="E7" s="17">
        <f t="shared" si="1"/>
        <v>175.93</v>
      </c>
      <c r="F7" s="4" t="str">
        <f t="shared" si="2"/>
        <v/>
      </c>
      <c r="G7" s="4" t="str">
        <f t="shared" si="3"/>
        <v/>
      </c>
      <c r="H7" s="4" t="str">
        <f t="shared" si="4"/>
        <v/>
      </c>
      <c r="I7" t="str">
        <f t="shared" si="5"/>
        <v/>
      </c>
      <c r="J7" s="16">
        <f t="shared" si="6"/>
        <v>84.22999999999999</v>
      </c>
      <c r="K7" s="16" t="str">
        <f t="shared" si="7"/>
        <v>2018 Nationals</v>
      </c>
      <c r="L7" s="16">
        <f t="shared" si="8"/>
        <v>0</v>
      </c>
      <c r="M7" s="16" t="str">
        <f t="shared" si="9"/>
        <v/>
      </c>
      <c r="N7" s="16">
        <f t="shared" si="10"/>
        <v>0</v>
      </c>
      <c r="O7" s="16" t="str">
        <f t="shared" si="11"/>
        <v/>
      </c>
      <c r="P7" s="16">
        <f t="shared" si="12"/>
        <v>44.45</v>
      </c>
      <c r="Q7" s="16" t="str">
        <f t="shared" si="13"/>
        <v>2018 Nationals</v>
      </c>
      <c r="R7" s="16">
        <f t="shared" si="14"/>
        <v>47.25</v>
      </c>
      <c r="S7" s="31" t="str">
        <f t="shared" si="15"/>
        <v>(Vol 2)</v>
      </c>
      <c r="T7" s="16" t="str">
        <f t="shared" si="16"/>
        <v>2018 Junior Pan Am Championships (June)</v>
      </c>
      <c r="U7" s="49"/>
      <c r="V7" s="49"/>
      <c r="W7" s="49"/>
      <c r="X7" s="49"/>
      <c r="Y7" s="49"/>
      <c r="Z7" s="49"/>
      <c r="AA7" s="49"/>
      <c r="AB7" s="49"/>
      <c r="AC7" s="49"/>
      <c r="AD7" s="49"/>
      <c r="AE7" s="49"/>
      <c r="AF7" s="49"/>
      <c r="AG7" s="49"/>
      <c r="AH7" s="49"/>
      <c r="AI7" s="49"/>
      <c r="AJ7" s="13" t="str">
        <f t="shared" si="17"/>
        <v/>
      </c>
      <c r="AK7" s="13" t="str">
        <f t="shared" si="18"/>
        <v/>
      </c>
      <c r="AL7" s="13" t="str">
        <f t="shared" si="19"/>
        <v/>
      </c>
      <c r="AM7" s="13" t="str">
        <f t="shared" si="20"/>
        <v/>
      </c>
      <c r="AN7" s="13" t="str">
        <f t="shared" si="21"/>
        <v/>
      </c>
      <c r="AO7" s="13" t="str">
        <f t="shared" si="22"/>
        <v/>
      </c>
      <c r="AP7" s="50"/>
      <c r="AQ7" s="50"/>
      <c r="AR7" s="50"/>
      <c r="AS7" s="50"/>
      <c r="AT7" s="50"/>
      <c r="AU7" s="50"/>
      <c r="AV7" s="50"/>
      <c r="AW7" s="50"/>
      <c r="AX7" s="50"/>
      <c r="AY7" s="50"/>
      <c r="AZ7" s="50"/>
      <c r="BA7" s="50"/>
      <c r="BB7" s="50"/>
      <c r="BC7" s="50"/>
      <c r="BD7" s="50"/>
      <c r="BE7" s="16" t="str">
        <f t="shared" si="23"/>
        <v/>
      </c>
      <c r="BF7" s="16" t="str">
        <f t="shared" si="24"/>
        <v/>
      </c>
      <c r="BG7" s="16" t="str">
        <f t="shared" si="25"/>
        <v/>
      </c>
      <c r="BH7" s="16" t="str">
        <f t="shared" si="26"/>
        <v/>
      </c>
      <c r="BI7" s="16" t="str">
        <f t="shared" si="27"/>
        <v/>
      </c>
      <c r="BJ7" s="16" t="str">
        <f t="shared" si="28"/>
        <v/>
      </c>
      <c r="BK7" s="47">
        <v>7.95</v>
      </c>
      <c r="BL7" s="47">
        <v>9.1</v>
      </c>
      <c r="BM7" s="47">
        <v>4.0999999999999996</v>
      </c>
      <c r="BN7" s="47">
        <v>18.059999999999999</v>
      </c>
      <c r="BO7" s="47">
        <v>0</v>
      </c>
      <c r="BP7" s="47">
        <v>6.85</v>
      </c>
      <c r="BQ7" s="47">
        <v>8.9499999999999993</v>
      </c>
      <c r="BR7" s="47">
        <v>12</v>
      </c>
      <c r="BS7" s="47">
        <v>17.420000000000002</v>
      </c>
      <c r="BT7" s="47">
        <v>0.2</v>
      </c>
      <c r="BU7" s="47">
        <v>7.2</v>
      </c>
      <c r="BV7" s="47">
        <v>9.15</v>
      </c>
      <c r="BW7" s="47">
        <v>16.100000000000001</v>
      </c>
      <c r="BX7" s="47">
        <v>12</v>
      </c>
      <c r="BY7" s="47">
        <v>0</v>
      </c>
      <c r="BZ7" s="13">
        <f t="shared" si="29"/>
        <v>16.100000000000001</v>
      </c>
      <c r="CA7" s="13">
        <f t="shared" si="30"/>
        <v>39.209999999999994</v>
      </c>
      <c r="CB7" s="13">
        <f t="shared" si="31"/>
        <v>45.019999999999996</v>
      </c>
      <c r="CC7" s="13">
        <f t="shared" si="32"/>
        <v>84.22999999999999</v>
      </c>
      <c r="CD7" s="13">
        <f t="shared" si="33"/>
        <v>44.45</v>
      </c>
      <c r="CE7" s="13">
        <f t="shared" si="34"/>
        <v>128.68</v>
      </c>
      <c r="CF7" s="30">
        <f t="shared" si="35"/>
        <v>35.4</v>
      </c>
      <c r="CG7" s="30">
        <f t="shared" si="36"/>
        <v>47.25</v>
      </c>
      <c r="CH7" s="30" t="str">
        <f t="shared" si="37"/>
        <v/>
      </c>
      <c r="CI7" s="47"/>
      <c r="CJ7" s="47"/>
      <c r="CK7" s="47"/>
      <c r="CL7" s="47"/>
      <c r="CM7" s="47"/>
      <c r="CN7" s="47"/>
      <c r="CO7" s="47"/>
      <c r="CP7" s="47"/>
      <c r="CQ7" s="47"/>
      <c r="CR7" s="47"/>
      <c r="CS7" s="47"/>
      <c r="CT7" s="47"/>
      <c r="CU7" s="47"/>
      <c r="CV7" s="47"/>
      <c r="CW7" s="47"/>
      <c r="CX7" s="13" t="str">
        <f t="shared" si="38"/>
        <v/>
      </c>
      <c r="CY7" s="13" t="str">
        <f t="shared" si="39"/>
        <v/>
      </c>
      <c r="CZ7" s="13" t="str">
        <f t="shared" si="40"/>
        <v/>
      </c>
      <c r="DA7" s="13" t="str">
        <f t="shared" si="41"/>
        <v/>
      </c>
      <c r="DB7" s="13" t="str">
        <f t="shared" si="42"/>
        <v/>
      </c>
      <c r="DC7" s="13" t="str">
        <f t="shared" si="43"/>
        <v/>
      </c>
      <c r="DD7" s="48">
        <v>8.1999999999999993</v>
      </c>
      <c r="DE7" s="48">
        <v>9.4499999999999993</v>
      </c>
      <c r="DF7" s="48">
        <v>0</v>
      </c>
      <c r="DG7" s="48">
        <v>16.46</v>
      </c>
      <c r="DH7" s="48">
        <v>0</v>
      </c>
      <c r="DI7" s="48">
        <v>7.1</v>
      </c>
      <c r="DJ7" s="48">
        <v>9.4499999999999993</v>
      </c>
      <c r="DK7" s="48">
        <v>12</v>
      </c>
      <c r="DL7" s="48">
        <v>15.06</v>
      </c>
      <c r="DM7" s="48">
        <v>0</v>
      </c>
      <c r="DN7" s="48"/>
      <c r="DO7" s="48"/>
      <c r="DP7" s="48"/>
      <c r="DQ7" s="48"/>
      <c r="DR7" s="48"/>
      <c r="DS7" s="16">
        <f t="shared" si="44"/>
        <v>12</v>
      </c>
      <c r="DT7" s="16">
        <f t="shared" si="45"/>
        <v>34.11</v>
      </c>
      <c r="DU7" s="16">
        <f t="shared" si="46"/>
        <v>43.61</v>
      </c>
      <c r="DV7" s="16">
        <f t="shared" si="47"/>
        <v>77.72</v>
      </c>
      <c r="DW7" s="16" t="str">
        <f t="shared" si="48"/>
        <v/>
      </c>
      <c r="DX7" s="16">
        <f t="shared" si="49"/>
        <v>77.72</v>
      </c>
      <c r="DY7" s="47">
        <v>7.85</v>
      </c>
      <c r="DZ7" s="47">
        <v>9.35</v>
      </c>
      <c r="EA7" s="47">
        <v>0</v>
      </c>
      <c r="EB7" s="47">
        <v>18.600000000000001</v>
      </c>
      <c r="EC7" s="47">
        <v>0.4</v>
      </c>
      <c r="ED7" s="47">
        <v>7</v>
      </c>
      <c r="EE7" s="47">
        <v>9.25</v>
      </c>
      <c r="EF7" s="47">
        <v>12</v>
      </c>
      <c r="EG7" s="47">
        <v>19</v>
      </c>
      <c r="EH7" s="47">
        <v>0</v>
      </c>
      <c r="EI7" s="47">
        <v>1.375</v>
      </c>
      <c r="EJ7" s="47">
        <v>1.85</v>
      </c>
      <c r="EK7" s="47">
        <v>2.9</v>
      </c>
      <c r="EL7" s="47">
        <v>3.4</v>
      </c>
      <c r="EM7" s="47">
        <v>0</v>
      </c>
      <c r="EN7" s="13">
        <f t="shared" si="50"/>
        <v>12</v>
      </c>
      <c r="EO7" s="13">
        <f t="shared" si="51"/>
        <v>35.4</v>
      </c>
      <c r="EP7" s="13">
        <f t="shared" si="52"/>
        <v>47.25</v>
      </c>
      <c r="EQ7" s="13">
        <f t="shared" si="53"/>
        <v>82.65</v>
      </c>
      <c r="ER7" s="13">
        <f t="shared" si="54"/>
        <v>9.5250000000000004</v>
      </c>
      <c r="ES7" s="13">
        <f t="shared" si="55"/>
        <v>92.175000000000011</v>
      </c>
      <c r="ET7" s="48"/>
      <c r="EU7" s="48"/>
      <c r="EV7" s="48"/>
      <c r="EW7" s="48"/>
      <c r="EX7" s="48"/>
      <c r="EY7" s="48"/>
      <c r="EZ7" s="48"/>
      <c r="FA7" s="48"/>
      <c r="FB7" s="48"/>
      <c r="FC7" s="48"/>
      <c r="FD7" s="48"/>
      <c r="FE7" s="48"/>
      <c r="FF7" s="48"/>
      <c r="FG7" s="48"/>
      <c r="FH7" s="48"/>
      <c r="FI7" s="16" t="str">
        <f t="shared" si="56"/>
        <v/>
      </c>
      <c r="FJ7" s="16" t="str">
        <f t="shared" si="57"/>
        <v/>
      </c>
      <c r="FK7" s="16" t="str">
        <f t="shared" si="58"/>
        <v/>
      </c>
      <c r="FL7" s="16" t="str">
        <f t="shared" si="59"/>
        <v/>
      </c>
      <c r="FM7" s="16" t="str">
        <f t="shared" si="60"/>
        <v/>
      </c>
      <c r="FN7" s="16" t="str">
        <f t="shared" si="61"/>
        <v/>
      </c>
      <c r="FO7" s="47"/>
      <c r="FP7" s="47"/>
      <c r="FQ7" s="47"/>
      <c r="FR7" s="47"/>
      <c r="FS7" s="47"/>
      <c r="FT7" s="47"/>
      <c r="FU7" s="47"/>
      <c r="FV7" s="47"/>
      <c r="FW7" s="47"/>
      <c r="FX7" s="47"/>
      <c r="FY7" s="47"/>
      <c r="FZ7" s="47"/>
      <c r="GA7" s="47"/>
      <c r="GB7" s="47"/>
      <c r="GC7" s="47"/>
      <c r="GD7" s="13" t="str">
        <f t="shared" si="62"/>
        <v/>
      </c>
      <c r="GE7" s="13" t="str">
        <f t="shared" si="63"/>
        <v/>
      </c>
      <c r="GF7" s="13" t="str">
        <f t="shared" si="64"/>
        <v/>
      </c>
      <c r="GG7" s="13" t="str">
        <f t="shared" si="65"/>
        <v/>
      </c>
      <c r="GH7" s="13" t="str">
        <f t="shared" si="66"/>
        <v/>
      </c>
      <c r="GI7" s="13" t="str">
        <f t="shared" si="67"/>
        <v/>
      </c>
      <c r="GJ7" s="48"/>
      <c r="GK7" s="48"/>
      <c r="GL7" s="48"/>
      <c r="GM7" s="48"/>
      <c r="GN7" s="48"/>
      <c r="GO7" s="48"/>
      <c r="GP7" s="48"/>
      <c r="GQ7" s="48"/>
      <c r="GR7" s="48"/>
      <c r="GS7" s="48"/>
      <c r="GT7" s="48"/>
      <c r="GU7" s="48"/>
      <c r="GV7" s="48"/>
      <c r="GW7" s="48"/>
      <c r="GX7" s="48"/>
      <c r="GY7" s="16" t="str">
        <f t="shared" si="68"/>
        <v/>
      </c>
      <c r="GZ7" s="16" t="str">
        <f t="shared" si="69"/>
        <v/>
      </c>
      <c r="HA7" s="16" t="str">
        <f t="shared" si="70"/>
        <v/>
      </c>
      <c r="HB7" s="16" t="str">
        <f t="shared" si="71"/>
        <v/>
      </c>
      <c r="HC7" s="16" t="str">
        <f t="shared" si="72"/>
        <v/>
      </c>
      <c r="HD7" s="16" t="str">
        <f t="shared" si="73"/>
        <v/>
      </c>
      <c r="HE7" s="47"/>
      <c r="HF7" s="47"/>
      <c r="HG7" s="47"/>
      <c r="HH7" s="47"/>
      <c r="HI7" s="47"/>
      <c r="HJ7" s="47"/>
      <c r="HK7" s="47"/>
      <c r="HL7" s="47"/>
      <c r="HM7" s="47"/>
      <c r="HN7" s="47"/>
      <c r="HO7" s="47"/>
      <c r="HP7" s="47"/>
      <c r="HQ7" s="47"/>
      <c r="HR7" s="47"/>
      <c r="HS7" s="47"/>
      <c r="HT7" s="13" t="str">
        <f t="shared" si="74"/>
        <v/>
      </c>
      <c r="HU7" s="13" t="str">
        <f t="shared" si="75"/>
        <v/>
      </c>
      <c r="HV7" s="13" t="str">
        <f t="shared" si="76"/>
        <v/>
      </c>
      <c r="HW7" s="13" t="str">
        <f t="shared" si="77"/>
        <v/>
      </c>
      <c r="HX7" s="13" t="str">
        <f t="shared" si="78"/>
        <v/>
      </c>
      <c r="HY7" s="13" t="str">
        <f t="shared" si="79"/>
        <v/>
      </c>
      <c r="HZ7" s="48"/>
      <c r="IA7" s="48"/>
      <c r="IB7" s="48"/>
      <c r="IC7" s="48"/>
      <c r="ID7" s="48"/>
      <c r="IE7" s="48"/>
      <c r="IF7" s="48"/>
      <c r="IG7" s="48"/>
      <c r="IH7" s="48"/>
      <c r="II7" s="48"/>
      <c r="IJ7" s="48"/>
      <c r="IK7" s="48"/>
      <c r="IL7" s="48"/>
      <c r="IM7" s="48"/>
      <c r="IN7" s="48"/>
      <c r="IO7" s="16" t="str">
        <f t="shared" si="80"/>
        <v/>
      </c>
      <c r="IP7" s="16" t="str">
        <f t="shared" si="81"/>
        <v/>
      </c>
      <c r="IQ7" s="16" t="str">
        <f t="shared" si="82"/>
        <v/>
      </c>
      <c r="IR7" s="16" t="str">
        <f t="shared" si="83"/>
        <v/>
      </c>
      <c r="IS7" s="16" t="str">
        <f t="shared" si="84"/>
        <v/>
      </c>
      <c r="IT7" s="16" t="str">
        <f t="shared" si="85"/>
        <v/>
      </c>
      <c r="IU7" s="47"/>
      <c r="IV7" s="47"/>
      <c r="IW7" s="47"/>
      <c r="IX7" s="47"/>
      <c r="IY7" s="47"/>
      <c r="IZ7" s="47"/>
      <c r="JA7" s="47"/>
      <c r="JB7" s="47"/>
      <c r="JC7" s="47"/>
      <c r="JD7" s="47"/>
      <c r="JE7" s="47"/>
      <c r="JF7" s="47"/>
      <c r="JG7" s="47"/>
      <c r="JH7" s="47"/>
      <c r="JI7" s="47"/>
      <c r="JJ7" s="13" t="str">
        <f t="shared" si="86"/>
        <v/>
      </c>
      <c r="JK7" s="13" t="str">
        <f t="shared" si="87"/>
        <v/>
      </c>
      <c r="JL7" s="13" t="str">
        <f t="shared" si="88"/>
        <v/>
      </c>
      <c r="JM7" s="13" t="str">
        <f t="shared" si="89"/>
        <v/>
      </c>
      <c r="JN7" s="13" t="str">
        <f t="shared" si="90"/>
        <v/>
      </c>
      <c r="JO7" s="13" t="str">
        <f t="shared" si="91"/>
        <v/>
      </c>
      <c r="JP7" s="48"/>
      <c r="JQ7" s="48"/>
      <c r="JR7" s="48"/>
      <c r="JS7" s="48"/>
      <c r="JT7" s="48"/>
      <c r="JU7" s="48"/>
      <c r="JV7" s="48"/>
      <c r="JW7" s="48"/>
      <c r="JX7" s="48"/>
      <c r="JY7" s="48"/>
      <c r="JZ7" s="48"/>
      <c r="KA7" s="48"/>
      <c r="KB7" s="48"/>
      <c r="KC7" s="48"/>
      <c r="KD7" s="48"/>
      <c r="KE7" s="16" t="str">
        <f t="shared" si="92"/>
        <v/>
      </c>
      <c r="KF7" s="16" t="str">
        <f t="shared" si="93"/>
        <v/>
      </c>
      <c r="KG7" s="16" t="str">
        <f t="shared" si="94"/>
        <v/>
      </c>
      <c r="KH7" s="16" t="str">
        <f t="shared" si="95"/>
        <v/>
      </c>
      <c r="KI7" s="16" t="str">
        <f t="shared" si="96"/>
        <v/>
      </c>
      <c r="KJ7" s="16" t="str">
        <f t="shared" si="97"/>
        <v/>
      </c>
      <c r="KK7" s="47"/>
      <c r="KL7" s="47"/>
      <c r="KM7" s="47"/>
      <c r="KN7" s="47"/>
      <c r="KO7" s="47"/>
      <c r="KP7" s="47"/>
      <c r="KQ7" s="47"/>
      <c r="KR7" s="47"/>
      <c r="KS7" s="47"/>
      <c r="KT7" s="47"/>
      <c r="KU7" s="47"/>
      <c r="KV7" s="47"/>
      <c r="KW7" s="47"/>
      <c r="KX7" s="47"/>
      <c r="KY7" s="47"/>
      <c r="KZ7" s="13" t="str">
        <f t="shared" si="98"/>
        <v/>
      </c>
      <c r="LA7" s="13" t="str">
        <f t="shared" si="99"/>
        <v/>
      </c>
      <c r="LB7" s="13" t="str">
        <f t="shared" si="100"/>
        <v/>
      </c>
      <c r="LC7" s="13" t="str">
        <f t="shared" si="101"/>
        <v/>
      </c>
      <c r="LD7" s="13" t="str">
        <f t="shared" si="102"/>
        <v/>
      </c>
      <c r="LE7" s="13" t="str">
        <f t="shared" si="103"/>
        <v/>
      </c>
      <c r="LF7" s="48"/>
      <c r="LG7" s="48"/>
      <c r="LH7" s="48"/>
      <c r="LI7" s="48"/>
      <c r="LJ7" s="48"/>
      <c r="LK7" s="48"/>
      <c r="LL7" s="48"/>
      <c r="LM7" s="48"/>
      <c r="LN7" s="48"/>
      <c r="LO7" s="48"/>
      <c r="LP7" s="48"/>
      <c r="LQ7" s="48"/>
      <c r="LR7" s="48"/>
      <c r="LS7" s="48"/>
      <c r="LT7" s="48"/>
      <c r="LU7" s="16" t="str">
        <f t="shared" si="104"/>
        <v/>
      </c>
      <c r="LV7" s="16" t="str">
        <f t="shared" si="105"/>
        <v/>
      </c>
      <c r="LW7" s="16" t="str">
        <f t="shared" si="106"/>
        <v/>
      </c>
      <c r="LX7" s="16" t="str">
        <f t="shared" si="107"/>
        <v/>
      </c>
      <c r="LY7" s="16" t="str">
        <f t="shared" si="108"/>
        <v/>
      </c>
      <c r="LZ7" s="16" t="str">
        <f t="shared" si="109"/>
        <v/>
      </c>
    </row>
    <row r="8" spans="1:338" x14ac:dyDescent="0.2">
      <c r="A8" s="6" t="str">
        <f t="shared" si="0"/>
        <v/>
      </c>
      <c r="B8" s="9" t="s">
        <v>149</v>
      </c>
      <c r="C8" s="5" t="s">
        <v>6</v>
      </c>
      <c r="D8" s="33"/>
      <c r="E8" s="17">
        <f t="shared" si="1"/>
        <v>123.97</v>
      </c>
      <c r="F8" s="4" t="str">
        <f t="shared" si="2"/>
        <v/>
      </c>
      <c r="G8" s="4" t="str">
        <f t="shared" si="3"/>
        <v/>
      </c>
      <c r="H8" s="4" t="str">
        <f t="shared" si="4"/>
        <v/>
      </c>
      <c r="I8" t="str">
        <f t="shared" si="5"/>
        <v/>
      </c>
      <c r="J8" s="16">
        <f t="shared" si="6"/>
        <v>79.28</v>
      </c>
      <c r="K8" s="16" t="str">
        <f t="shared" si="7"/>
        <v>2018 Nationals</v>
      </c>
      <c r="L8" s="16">
        <f t="shared" si="8"/>
        <v>0</v>
      </c>
      <c r="M8" s="16" t="str">
        <f t="shared" si="9"/>
        <v/>
      </c>
      <c r="N8" s="16">
        <f t="shared" si="10"/>
        <v>0</v>
      </c>
      <c r="O8" s="16" t="str">
        <f t="shared" si="11"/>
        <v/>
      </c>
      <c r="P8" s="16">
        <f t="shared" si="12"/>
        <v>44.69</v>
      </c>
      <c r="Q8" s="16" t="str">
        <f t="shared" si="13"/>
        <v>2018 Nationals</v>
      </c>
      <c r="R8" s="16" t="str">
        <f t="shared" si="14"/>
        <v/>
      </c>
      <c r="S8" s="31" t="str">
        <f t="shared" si="15"/>
        <v/>
      </c>
      <c r="T8" s="16" t="str">
        <f t="shared" si="16"/>
        <v/>
      </c>
      <c r="U8" s="49"/>
      <c r="V8" s="49"/>
      <c r="W8" s="49"/>
      <c r="X8" s="49"/>
      <c r="Y8" s="49"/>
      <c r="Z8" s="49"/>
      <c r="AA8" s="49"/>
      <c r="AB8" s="49"/>
      <c r="AC8" s="49"/>
      <c r="AD8" s="49"/>
      <c r="AE8" s="49"/>
      <c r="AF8" s="49"/>
      <c r="AG8" s="49"/>
      <c r="AH8" s="49"/>
      <c r="AI8" s="49"/>
      <c r="AJ8" s="13" t="str">
        <f t="shared" si="17"/>
        <v/>
      </c>
      <c r="AK8" s="13" t="str">
        <f t="shared" si="18"/>
        <v/>
      </c>
      <c r="AL8" s="13" t="str">
        <f t="shared" si="19"/>
        <v/>
      </c>
      <c r="AM8" s="13" t="str">
        <f t="shared" si="20"/>
        <v/>
      </c>
      <c r="AN8" s="13" t="str">
        <f t="shared" si="21"/>
        <v/>
      </c>
      <c r="AO8" s="13" t="str">
        <f t="shared" si="22"/>
        <v/>
      </c>
      <c r="AP8" s="50"/>
      <c r="AQ8" s="50"/>
      <c r="AR8" s="50"/>
      <c r="AS8" s="50"/>
      <c r="AT8" s="50"/>
      <c r="AU8" s="50"/>
      <c r="AV8" s="50"/>
      <c r="AW8" s="50"/>
      <c r="AX8" s="50"/>
      <c r="AY8" s="50"/>
      <c r="AZ8" s="50"/>
      <c r="BA8" s="50"/>
      <c r="BB8" s="50"/>
      <c r="BC8" s="50"/>
      <c r="BD8" s="50"/>
      <c r="BE8" s="16" t="str">
        <f t="shared" si="23"/>
        <v/>
      </c>
      <c r="BF8" s="16" t="str">
        <f t="shared" si="24"/>
        <v/>
      </c>
      <c r="BG8" s="16" t="str">
        <f t="shared" si="25"/>
        <v/>
      </c>
      <c r="BH8" s="16" t="str">
        <f t="shared" si="26"/>
        <v/>
      </c>
      <c r="BI8" s="16" t="str">
        <f t="shared" si="27"/>
        <v/>
      </c>
      <c r="BJ8" s="16" t="str">
        <f t="shared" si="28"/>
        <v/>
      </c>
      <c r="BK8" s="47">
        <v>7.55</v>
      </c>
      <c r="BL8" s="47">
        <v>9.1999999999999993</v>
      </c>
      <c r="BM8" s="47">
        <v>3</v>
      </c>
      <c r="BN8" s="47">
        <v>17.12</v>
      </c>
      <c r="BO8" s="47">
        <v>0</v>
      </c>
      <c r="BP8" s="47">
        <v>6.95</v>
      </c>
      <c r="BQ8" s="47">
        <v>8.5</v>
      </c>
      <c r="BR8" s="47">
        <v>10.6</v>
      </c>
      <c r="BS8" s="47">
        <v>16.36</v>
      </c>
      <c r="BT8" s="47">
        <v>0</v>
      </c>
      <c r="BU8" s="47">
        <v>7.55</v>
      </c>
      <c r="BV8" s="47">
        <v>9</v>
      </c>
      <c r="BW8" s="47">
        <v>16.14</v>
      </c>
      <c r="BX8" s="47">
        <v>12</v>
      </c>
      <c r="BY8" s="47">
        <v>0</v>
      </c>
      <c r="BZ8" s="13">
        <f t="shared" si="29"/>
        <v>13.6</v>
      </c>
      <c r="CA8" s="13">
        <f t="shared" si="30"/>
        <v>36.870000000000005</v>
      </c>
      <c r="CB8" s="13">
        <f t="shared" si="31"/>
        <v>42.41</v>
      </c>
      <c r="CC8" s="13">
        <f t="shared" si="32"/>
        <v>79.28</v>
      </c>
      <c r="CD8" s="13">
        <f t="shared" si="33"/>
        <v>44.69</v>
      </c>
      <c r="CE8" s="13">
        <f t="shared" si="34"/>
        <v>123.97</v>
      </c>
      <c r="CF8" s="30" t="str">
        <f t="shared" si="35"/>
        <v/>
      </c>
      <c r="CG8" s="30" t="str">
        <f t="shared" si="36"/>
        <v/>
      </c>
      <c r="CH8" s="30" t="str">
        <f t="shared" si="37"/>
        <v/>
      </c>
      <c r="CI8" s="47"/>
      <c r="CJ8" s="47"/>
      <c r="CK8" s="47"/>
      <c r="CL8" s="47"/>
      <c r="CM8" s="47"/>
      <c r="CN8" s="47"/>
      <c r="CO8" s="47"/>
      <c r="CP8" s="47"/>
      <c r="CQ8" s="47"/>
      <c r="CR8" s="47"/>
      <c r="CS8" s="47"/>
      <c r="CT8" s="47"/>
      <c r="CU8" s="47"/>
      <c r="CV8" s="47"/>
      <c r="CW8" s="47"/>
      <c r="CX8" s="13" t="str">
        <f t="shared" si="38"/>
        <v/>
      </c>
      <c r="CY8" s="13" t="str">
        <f t="shared" si="39"/>
        <v/>
      </c>
      <c r="CZ8" s="13" t="str">
        <f t="shared" si="40"/>
        <v/>
      </c>
      <c r="DA8" s="13" t="str">
        <f t="shared" si="41"/>
        <v/>
      </c>
      <c r="DB8" s="13" t="str">
        <f t="shared" si="42"/>
        <v/>
      </c>
      <c r="DC8" s="13" t="str">
        <f t="shared" si="43"/>
        <v/>
      </c>
      <c r="DD8" s="48"/>
      <c r="DE8" s="48"/>
      <c r="DF8" s="48"/>
      <c r="DG8" s="48"/>
      <c r="DH8" s="48"/>
      <c r="DI8" s="48"/>
      <c r="DJ8" s="48"/>
      <c r="DK8" s="48"/>
      <c r="DL8" s="48"/>
      <c r="DM8" s="48"/>
      <c r="DN8" s="48"/>
      <c r="DO8" s="48"/>
      <c r="DP8" s="48"/>
      <c r="DQ8" s="48"/>
      <c r="DR8" s="48"/>
      <c r="DS8" s="16" t="str">
        <f t="shared" si="44"/>
        <v/>
      </c>
      <c r="DT8" s="16" t="str">
        <f t="shared" si="45"/>
        <v/>
      </c>
      <c r="DU8" s="16" t="str">
        <f t="shared" si="46"/>
        <v/>
      </c>
      <c r="DV8" s="16" t="str">
        <f t="shared" si="47"/>
        <v/>
      </c>
      <c r="DW8" s="16" t="str">
        <f t="shared" si="48"/>
        <v/>
      </c>
      <c r="DX8" s="16" t="str">
        <f t="shared" si="49"/>
        <v/>
      </c>
      <c r="DY8" s="47"/>
      <c r="DZ8" s="47"/>
      <c r="EA8" s="47"/>
      <c r="EB8" s="47"/>
      <c r="EC8" s="47"/>
      <c r="ED8" s="47"/>
      <c r="EE8" s="47"/>
      <c r="EF8" s="47"/>
      <c r="EG8" s="47"/>
      <c r="EH8" s="47"/>
      <c r="EI8" s="47"/>
      <c r="EJ8" s="47"/>
      <c r="EK8" s="47"/>
      <c r="EL8" s="47"/>
      <c r="EM8" s="47"/>
      <c r="EN8" s="13" t="str">
        <f t="shared" si="50"/>
        <v/>
      </c>
      <c r="EO8" s="13" t="str">
        <f t="shared" si="51"/>
        <v/>
      </c>
      <c r="EP8" s="13" t="str">
        <f t="shared" si="52"/>
        <v/>
      </c>
      <c r="EQ8" s="13" t="str">
        <f t="shared" si="53"/>
        <v/>
      </c>
      <c r="ER8" s="13" t="str">
        <f t="shared" si="54"/>
        <v/>
      </c>
      <c r="ES8" s="13" t="str">
        <f t="shared" si="55"/>
        <v/>
      </c>
      <c r="ET8" s="48"/>
      <c r="EU8" s="48"/>
      <c r="EV8" s="48"/>
      <c r="EW8" s="48"/>
      <c r="EX8" s="48"/>
      <c r="EY8" s="48"/>
      <c r="EZ8" s="48"/>
      <c r="FA8" s="48"/>
      <c r="FB8" s="48"/>
      <c r="FC8" s="48"/>
      <c r="FD8" s="48"/>
      <c r="FE8" s="48"/>
      <c r="FF8" s="48"/>
      <c r="FG8" s="48"/>
      <c r="FH8" s="48"/>
      <c r="FI8" s="16" t="str">
        <f t="shared" si="56"/>
        <v/>
      </c>
      <c r="FJ8" s="16" t="str">
        <f t="shared" si="57"/>
        <v/>
      </c>
      <c r="FK8" s="16" t="str">
        <f t="shared" si="58"/>
        <v/>
      </c>
      <c r="FL8" s="16" t="str">
        <f t="shared" si="59"/>
        <v/>
      </c>
      <c r="FM8" s="16" t="str">
        <f t="shared" si="60"/>
        <v/>
      </c>
      <c r="FN8" s="16" t="str">
        <f t="shared" si="61"/>
        <v/>
      </c>
      <c r="FO8" s="47"/>
      <c r="FP8" s="47"/>
      <c r="FQ8" s="47"/>
      <c r="FR8" s="47"/>
      <c r="FS8" s="47"/>
      <c r="FT8" s="47"/>
      <c r="FU8" s="47"/>
      <c r="FV8" s="47"/>
      <c r="FW8" s="47"/>
      <c r="FX8" s="47"/>
      <c r="FY8" s="47"/>
      <c r="FZ8" s="47"/>
      <c r="GA8" s="47"/>
      <c r="GB8" s="47"/>
      <c r="GC8" s="47"/>
      <c r="GD8" s="13" t="str">
        <f t="shared" si="62"/>
        <v/>
      </c>
      <c r="GE8" s="13" t="str">
        <f t="shared" si="63"/>
        <v/>
      </c>
      <c r="GF8" s="13" t="str">
        <f t="shared" si="64"/>
        <v/>
      </c>
      <c r="GG8" s="13" t="str">
        <f t="shared" si="65"/>
        <v/>
      </c>
      <c r="GH8" s="13" t="str">
        <f t="shared" si="66"/>
        <v/>
      </c>
      <c r="GI8" s="13" t="str">
        <f t="shared" si="67"/>
        <v/>
      </c>
      <c r="GJ8" s="48"/>
      <c r="GK8" s="48"/>
      <c r="GL8" s="48"/>
      <c r="GM8" s="48"/>
      <c r="GN8" s="48"/>
      <c r="GO8" s="48"/>
      <c r="GP8" s="48"/>
      <c r="GQ8" s="48"/>
      <c r="GR8" s="48"/>
      <c r="GS8" s="48"/>
      <c r="GT8" s="48"/>
      <c r="GU8" s="48"/>
      <c r="GV8" s="48"/>
      <c r="GW8" s="48"/>
      <c r="GX8" s="48"/>
      <c r="GY8" s="16" t="str">
        <f t="shared" si="68"/>
        <v/>
      </c>
      <c r="GZ8" s="16" t="str">
        <f t="shared" si="69"/>
        <v/>
      </c>
      <c r="HA8" s="16" t="str">
        <f t="shared" si="70"/>
        <v/>
      </c>
      <c r="HB8" s="16" t="str">
        <f t="shared" si="71"/>
        <v/>
      </c>
      <c r="HC8" s="16" t="str">
        <f t="shared" si="72"/>
        <v/>
      </c>
      <c r="HD8" s="16" t="str">
        <f t="shared" si="73"/>
        <v/>
      </c>
      <c r="HE8" s="47"/>
      <c r="HF8" s="47"/>
      <c r="HG8" s="47"/>
      <c r="HH8" s="47"/>
      <c r="HI8" s="47"/>
      <c r="HJ8" s="47"/>
      <c r="HK8" s="47"/>
      <c r="HL8" s="47"/>
      <c r="HM8" s="47"/>
      <c r="HN8" s="47"/>
      <c r="HO8" s="47"/>
      <c r="HP8" s="47"/>
      <c r="HQ8" s="47"/>
      <c r="HR8" s="47"/>
      <c r="HS8" s="47"/>
      <c r="HT8" s="13" t="str">
        <f t="shared" si="74"/>
        <v/>
      </c>
      <c r="HU8" s="13" t="str">
        <f t="shared" si="75"/>
        <v/>
      </c>
      <c r="HV8" s="13" t="str">
        <f t="shared" si="76"/>
        <v/>
      </c>
      <c r="HW8" s="13" t="str">
        <f t="shared" si="77"/>
        <v/>
      </c>
      <c r="HX8" s="13" t="str">
        <f t="shared" si="78"/>
        <v/>
      </c>
      <c r="HY8" s="13" t="str">
        <f t="shared" si="79"/>
        <v/>
      </c>
      <c r="HZ8" s="48"/>
      <c r="IA8" s="48"/>
      <c r="IB8" s="48"/>
      <c r="IC8" s="48"/>
      <c r="ID8" s="48"/>
      <c r="IE8" s="48"/>
      <c r="IF8" s="48"/>
      <c r="IG8" s="48"/>
      <c r="IH8" s="48"/>
      <c r="II8" s="48"/>
      <c r="IJ8" s="48"/>
      <c r="IK8" s="48"/>
      <c r="IL8" s="48"/>
      <c r="IM8" s="48"/>
      <c r="IN8" s="48"/>
      <c r="IO8" s="16" t="str">
        <f t="shared" si="80"/>
        <v/>
      </c>
      <c r="IP8" s="16" t="str">
        <f t="shared" si="81"/>
        <v/>
      </c>
      <c r="IQ8" s="16" t="str">
        <f t="shared" si="82"/>
        <v/>
      </c>
      <c r="IR8" s="16" t="str">
        <f t="shared" si="83"/>
        <v/>
      </c>
      <c r="IS8" s="16" t="str">
        <f t="shared" si="84"/>
        <v/>
      </c>
      <c r="IT8" s="16" t="str">
        <f t="shared" si="85"/>
        <v/>
      </c>
      <c r="IU8" s="47"/>
      <c r="IV8" s="47"/>
      <c r="IW8" s="47"/>
      <c r="IX8" s="47"/>
      <c r="IY8" s="47"/>
      <c r="IZ8" s="47"/>
      <c r="JA8" s="47"/>
      <c r="JB8" s="47"/>
      <c r="JC8" s="47"/>
      <c r="JD8" s="47"/>
      <c r="JE8" s="47"/>
      <c r="JF8" s="47"/>
      <c r="JG8" s="47"/>
      <c r="JH8" s="47"/>
      <c r="JI8" s="47"/>
      <c r="JJ8" s="13" t="str">
        <f t="shared" si="86"/>
        <v/>
      </c>
      <c r="JK8" s="13" t="str">
        <f t="shared" si="87"/>
        <v/>
      </c>
      <c r="JL8" s="13" t="str">
        <f t="shared" si="88"/>
        <v/>
      </c>
      <c r="JM8" s="13" t="str">
        <f t="shared" si="89"/>
        <v/>
      </c>
      <c r="JN8" s="13" t="str">
        <f t="shared" si="90"/>
        <v/>
      </c>
      <c r="JO8" s="13" t="str">
        <f t="shared" si="91"/>
        <v/>
      </c>
      <c r="JP8" s="48"/>
      <c r="JQ8" s="48"/>
      <c r="JR8" s="48"/>
      <c r="JS8" s="48"/>
      <c r="JT8" s="48"/>
      <c r="JU8" s="48"/>
      <c r="JV8" s="48"/>
      <c r="JW8" s="48"/>
      <c r="JX8" s="48"/>
      <c r="JY8" s="48"/>
      <c r="JZ8" s="48"/>
      <c r="KA8" s="48"/>
      <c r="KB8" s="48"/>
      <c r="KC8" s="48"/>
      <c r="KD8" s="48"/>
      <c r="KE8" s="16" t="str">
        <f t="shared" si="92"/>
        <v/>
      </c>
      <c r="KF8" s="16" t="str">
        <f t="shared" si="93"/>
        <v/>
      </c>
      <c r="KG8" s="16" t="str">
        <f t="shared" si="94"/>
        <v/>
      </c>
      <c r="KH8" s="16" t="str">
        <f t="shared" si="95"/>
        <v/>
      </c>
      <c r="KI8" s="16" t="str">
        <f t="shared" si="96"/>
        <v/>
      </c>
      <c r="KJ8" s="16" t="str">
        <f t="shared" si="97"/>
        <v/>
      </c>
      <c r="KK8" s="47"/>
      <c r="KL8" s="47"/>
      <c r="KM8" s="47"/>
      <c r="KN8" s="47"/>
      <c r="KO8" s="47"/>
      <c r="KP8" s="47"/>
      <c r="KQ8" s="47"/>
      <c r="KR8" s="47"/>
      <c r="KS8" s="47"/>
      <c r="KT8" s="47"/>
      <c r="KU8" s="47"/>
      <c r="KV8" s="47"/>
      <c r="KW8" s="47"/>
      <c r="KX8" s="47"/>
      <c r="KY8" s="47"/>
      <c r="KZ8" s="13" t="str">
        <f t="shared" si="98"/>
        <v/>
      </c>
      <c r="LA8" s="13" t="str">
        <f t="shared" si="99"/>
        <v/>
      </c>
      <c r="LB8" s="13" t="str">
        <f t="shared" si="100"/>
        <v/>
      </c>
      <c r="LC8" s="13" t="str">
        <f t="shared" si="101"/>
        <v/>
      </c>
      <c r="LD8" s="13" t="str">
        <f t="shared" si="102"/>
        <v/>
      </c>
      <c r="LE8" s="13" t="str">
        <f t="shared" si="103"/>
        <v/>
      </c>
      <c r="LF8" s="48"/>
      <c r="LG8" s="48"/>
      <c r="LH8" s="48"/>
      <c r="LI8" s="48"/>
      <c r="LJ8" s="48"/>
      <c r="LK8" s="48"/>
      <c r="LL8" s="48"/>
      <c r="LM8" s="48"/>
      <c r="LN8" s="48"/>
      <c r="LO8" s="48"/>
      <c r="LP8" s="48"/>
      <c r="LQ8" s="48"/>
      <c r="LR8" s="48"/>
      <c r="LS8" s="48"/>
      <c r="LT8" s="48"/>
      <c r="LU8" s="16" t="str">
        <f t="shared" si="104"/>
        <v/>
      </c>
      <c r="LV8" s="16" t="str">
        <f t="shared" si="105"/>
        <v/>
      </c>
      <c r="LW8" s="16" t="str">
        <f t="shared" si="106"/>
        <v/>
      </c>
      <c r="LX8" s="16" t="str">
        <f t="shared" si="107"/>
        <v/>
      </c>
      <c r="LY8" s="16" t="str">
        <f t="shared" si="108"/>
        <v/>
      </c>
      <c r="LZ8" s="16" t="str">
        <f t="shared" si="109"/>
        <v/>
      </c>
    </row>
    <row r="9" spans="1:338" x14ac:dyDescent="0.2">
      <c r="A9" s="6" t="str">
        <f t="shared" si="0"/>
        <v/>
      </c>
      <c r="B9" s="9" t="s">
        <v>150</v>
      </c>
      <c r="C9" s="5" t="s">
        <v>13</v>
      </c>
      <c r="D9" s="33"/>
      <c r="E9" s="17">
        <f t="shared" si="1"/>
        <v>92.954999999999998</v>
      </c>
      <c r="F9" s="4" t="str">
        <f t="shared" si="2"/>
        <v/>
      </c>
      <c r="G9" s="4" t="str">
        <f t="shared" si="3"/>
        <v/>
      </c>
      <c r="H9" s="4" t="str">
        <f t="shared" si="4"/>
        <v/>
      </c>
      <c r="I9" t="str">
        <f t="shared" si="5"/>
        <v/>
      </c>
      <c r="J9" s="16">
        <f t="shared" si="6"/>
        <v>53.284999999999997</v>
      </c>
      <c r="K9" s="16" t="str">
        <f t="shared" si="7"/>
        <v>2018 Nationals</v>
      </c>
      <c r="L9" s="16">
        <f t="shared" si="8"/>
        <v>0</v>
      </c>
      <c r="M9" s="16" t="str">
        <f t="shared" si="9"/>
        <v/>
      </c>
      <c r="N9" s="16">
        <f t="shared" si="10"/>
        <v>0</v>
      </c>
      <c r="O9" s="16" t="str">
        <f t="shared" si="11"/>
        <v/>
      </c>
      <c r="P9" s="16">
        <f t="shared" si="12"/>
        <v>39.67</v>
      </c>
      <c r="Q9" s="16" t="str">
        <f t="shared" si="13"/>
        <v>2018 Nationals</v>
      </c>
      <c r="R9" s="16" t="str">
        <f t="shared" si="14"/>
        <v/>
      </c>
      <c r="S9" s="31" t="str">
        <f t="shared" si="15"/>
        <v/>
      </c>
      <c r="T9" s="16" t="str">
        <f t="shared" si="16"/>
        <v/>
      </c>
      <c r="U9" s="49"/>
      <c r="V9" s="49"/>
      <c r="W9" s="49"/>
      <c r="X9" s="49"/>
      <c r="Y9" s="49"/>
      <c r="Z9" s="49"/>
      <c r="AA9" s="49"/>
      <c r="AB9" s="49"/>
      <c r="AC9" s="49"/>
      <c r="AD9" s="49"/>
      <c r="AE9" s="49"/>
      <c r="AF9" s="49"/>
      <c r="AG9" s="49"/>
      <c r="AH9" s="49"/>
      <c r="AI9" s="49"/>
      <c r="AJ9" s="13" t="str">
        <f t="shared" si="17"/>
        <v/>
      </c>
      <c r="AK9" s="13" t="str">
        <f t="shared" si="18"/>
        <v/>
      </c>
      <c r="AL9" s="13" t="str">
        <f t="shared" si="19"/>
        <v/>
      </c>
      <c r="AM9" s="13" t="str">
        <f t="shared" si="20"/>
        <v/>
      </c>
      <c r="AN9" s="13" t="str">
        <f t="shared" si="21"/>
        <v/>
      </c>
      <c r="AO9" s="13" t="str">
        <f t="shared" si="22"/>
        <v/>
      </c>
      <c r="AP9" s="50"/>
      <c r="AQ9" s="50"/>
      <c r="AR9" s="50"/>
      <c r="AS9" s="50"/>
      <c r="AT9" s="50"/>
      <c r="AU9" s="50"/>
      <c r="AV9" s="50"/>
      <c r="AW9" s="50"/>
      <c r="AX9" s="50"/>
      <c r="AY9" s="50"/>
      <c r="AZ9" s="50"/>
      <c r="BA9" s="50"/>
      <c r="BB9" s="50"/>
      <c r="BC9" s="50"/>
      <c r="BD9" s="50"/>
      <c r="BE9" s="16" t="str">
        <f t="shared" si="23"/>
        <v/>
      </c>
      <c r="BF9" s="16" t="str">
        <f t="shared" si="24"/>
        <v/>
      </c>
      <c r="BG9" s="16" t="str">
        <f t="shared" si="25"/>
        <v/>
      </c>
      <c r="BH9" s="16" t="str">
        <f t="shared" si="26"/>
        <v/>
      </c>
      <c r="BI9" s="16" t="str">
        <f t="shared" si="27"/>
        <v/>
      </c>
      <c r="BJ9" s="16" t="str">
        <f t="shared" si="28"/>
        <v/>
      </c>
      <c r="BK9" s="47">
        <v>5.8</v>
      </c>
      <c r="BL9" s="47">
        <v>9.32</v>
      </c>
      <c r="BM9" s="47">
        <v>1.2</v>
      </c>
      <c r="BN9" s="47">
        <v>6.7</v>
      </c>
      <c r="BO9" s="47">
        <v>0</v>
      </c>
      <c r="BP9" s="47">
        <v>5.0750000000000002</v>
      </c>
      <c r="BQ9" s="47">
        <v>5.95</v>
      </c>
      <c r="BR9" s="47">
        <v>7.9</v>
      </c>
      <c r="BS9" s="47">
        <v>11.34</v>
      </c>
      <c r="BT9" s="47">
        <v>0</v>
      </c>
      <c r="BU9" s="47">
        <v>7.75</v>
      </c>
      <c r="BV9" s="47">
        <v>9.1</v>
      </c>
      <c r="BW9" s="47">
        <v>14.62</v>
      </c>
      <c r="BX9" s="47">
        <v>8.1999999999999993</v>
      </c>
      <c r="BY9" s="47">
        <v>0</v>
      </c>
      <c r="BZ9" s="13">
        <f t="shared" si="29"/>
        <v>9.1</v>
      </c>
      <c r="CA9" s="13">
        <f t="shared" si="30"/>
        <v>23.02</v>
      </c>
      <c r="CB9" s="13">
        <f t="shared" si="31"/>
        <v>30.265000000000001</v>
      </c>
      <c r="CC9" s="13">
        <f t="shared" si="32"/>
        <v>53.284999999999997</v>
      </c>
      <c r="CD9" s="13">
        <f t="shared" si="33"/>
        <v>39.67</v>
      </c>
      <c r="CE9" s="13">
        <f t="shared" si="34"/>
        <v>92.954999999999998</v>
      </c>
      <c r="CF9" s="30" t="str">
        <f t="shared" si="35"/>
        <v/>
      </c>
      <c r="CG9" s="30" t="str">
        <f t="shared" si="36"/>
        <v/>
      </c>
      <c r="CH9" s="30" t="str">
        <f t="shared" si="37"/>
        <v/>
      </c>
      <c r="CI9" s="47"/>
      <c r="CJ9" s="47"/>
      <c r="CK9" s="47"/>
      <c r="CL9" s="47"/>
      <c r="CM9" s="47"/>
      <c r="CN9" s="47"/>
      <c r="CO9" s="47"/>
      <c r="CP9" s="47"/>
      <c r="CQ9" s="47"/>
      <c r="CR9" s="47"/>
      <c r="CS9" s="47"/>
      <c r="CT9" s="47"/>
      <c r="CU9" s="47"/>
      <c r="CV9" s="47"/>
      <c r="CW9" s="47"/>
      <c r="CX9" s="13" t="str">
        <f t="shared" si="38"/>
        <v/>
      </c>
      <c r="CY9" s="13" t="str">
        <f t="shared" si="39"/>
        <v/>
      </c>
      <c r="CZ9" s="13" t="str">
        <f t="shared" si="40"/>
        <v/>
      </c>
      <c r="DA9" s="13" t="str">
        <f t="shared" si="41"/>
        <v/>
      </c>
      <c r="DB9" s="13" t="str">
        <f t="shared" si="42"/>
        <v/>
      </c>
      <c r="DC9" s="13" t="str">
        <f t="shared" si="43"/>
        <v/>
      </c>
      <c r="DD9" s="48"/>
      <c r="DE9" s="48"/>
      <c r="DF9" s="48"/>
      <c r="DG9" s="48"/>
      <c r="DH9" s="48"/>
      <c r="DI9" s="48"/>
      <c r="DJ9" s="48"/>
      <c r="DK9" s="48"/>
      <c r="DL9" s="48"/>
      <c r="DM9" s="48"/>
      <c r="DN9" s="48"/>
      <c r="DO9" s="48"/>
      <c r="DP9" s="48"/>
      <c r="DQ9" s="48"/>
      <c r="DR9" s="48"/>
      <c r="DS9" s="16" t="str">
        <f t="shared" si="44"/>
        <v/>
      </c>
      <c r="DT9" s="16" t="str">
        <f t="shared" si="45"/>
        <v/>
      </c>
      <c r="DU9" s="16" t="str">
        <f t="shared" si="46"/>
        <v/>
      </c>
      <c r="DV9" s="16" t="str">
        <f t="shared" si="47"/>
        <v/>
      </c>
      <c r="DW9" s="16" t="str">
        <f t="shared" si="48"/>
        <v/>
      </c>
      <c r="DX9" s="16" t="str">
        <f t="shared" si="49"/>
        <v/>
      </c>
      <c r="DY9" s="47"/>
      <c r="DZ9" s="47"/>
      <c r="EA9" s="47"/>
      <c r="EB9" s="47"/>
      <c r="EC9" s="47"/>
      <c r="ED9" s="47"/>
      <c r="EE9" s="47"/>
      <c r="EF9" s="47"/>
      <c r="EG9" s="47"/>
      <c r="EH9" s="47"/>
      <c r="EI9" s="47"/>
      <c r="EJ9" s="47"/>
      <c r="EK9" s="47"/>
      <c r="EL9" s="47"/>
      <c r="EM9" s="47"/>
      <c r="EN9" s="13" t="str">
        <f t="shared" si="50"/>
        <v/>
      </c>
      <c r="EO9" s="13" t="str">
        <f t="shared" si="51"/>
        <v/>
      </c>
      <c r="EP9" s="13" t="str">
        <f t="shared" si="52"/>
        <v/>
      </c>
      <c r="EQ9" s="13" t="str">
        <f t="shared" si="53"/>
        <v/>
      </c>
      <c r="ER9" s="13" t="str">
        <f t="shared" si="54"/>
        <v/>
      </c>
      <c r="ES9" s="13" t="str">
        <f t="shared" si="55"/>
        <v/>
      </c>
      <c r="ET9" s="48"/>
      <c r="EU9" s="48"/>
      <c r="EV9" s="48"/>
      <c r="EW9" s="48"/>
      <c r="EX9" s="48"/>
      <c r="EY9" s="48"/>
      <c r="EZ9" s="48"/>
      <c r="FA9" s="48"/>
      <c r="FB9" s="48"/>
      <c r="FC9" s="48"/>
      <c r="FD9" s="48"/>
      <c r="FE9" s="48"/>
      <c r="FF9" s="48"/>
      <c r="FG9" s="48"/>
      <c r="FH9" s="48"/>
      <c r="FI9" s="16" t="str">
        <f t="shared" si="56"/>
        <v/>
      </c>
      <c r="FJ9" s="16" t="str">
        <f t="shared" si="57"/>
        <v/>
      </c>
      <c r="FK9" s="16" t="str">
        <f t="shared" si="58"/>
        <v/>
      </c>
      <c r="FL9" s="16" t="str">
        <f t="shared" si="59"/>
        <v/>
      </c>
      <c r="FM9" s="16" t="str">
        <f t="shared" si="60"/>
        <v/>
      </c>
      <c r="FN9" s="16" t="str">
        <f t="shared" si="61"/>
        <v/>
      </c>
      <c r="FO9" s="47"/>
      <c r="FP9" s="47"/>
      <c r="FQ9" s="47"/>
      <c r="FR9" s="47"/>
      <c r="FS9" s="47"/>
      <c r="FT9" s="47"/>
      <c r="FU9" s="47"/>
      <c r="FV9" s="47"/>
      <c r="FW9" s="47"/>
      <c r="FX9" s="47"/>
      <c r="FY9" s="47"/>
      <c r="FZ9" s="47"/>
      <c r="GA9" s="47"/>
      <c r="GB9" s="47"/>
      <c r="GC9" s="47"/>
      <c r="GD9" s="13" t="str">
        <f t="shared" si="62"/>
        <v/>
      </c>
      <c r="GE9" s="13" t="str">
        <f t="shared" si="63"/>
        <v/>
      </c>
      <c r="GF9" s="13" t="str">
        <f t="shared" si="64"/>
        <v/>
      </c>
      <c r="GG9" s="13" t="str">
        <f t="shared" si="65"/>
        <v/>
      </c>
      <c r="GH9" s="13" t="str">
        <f t="shared" si="66"/>
        <v/>
      </c>
      <c r="GI9" s="13" t="str">
        <f t="shared" si="67"/>
        <v/>
      </c>
      <c r="GJ9" s="48"/>
      <c r="GK9" s="48"/>
      <c r="GL9" s="48"/>
      <c r="GM9" s="48"/>
      <c r="GN9" s="48"/>
      <c r="GO9" s="48"/>
      <c r="GP9" s="48"/>
      <c r="GQ9" s="48"/>
      <c r="GR9" s="48"/>
      <c r="GS9" s="48"/>
      <c r="GT9" s="48"/>
      <c r="GU9" s="48"/>
      <c r="GV9" s="48"/>
      <c r="GW9" s="48"/>
      <c r="GX9" s="48"/>
      <c r="GY9" s="16" t="str">
        <f t="shared" si="68"/>
        <v/>
      </c>
      <c r="GZ9" s="16" t="str">
        <f t="shared" si="69"/>
        <v/>
      </c>
      <c r="HA9" s="16" t="str">
        <f t="shared" si="70"/>
        <v/>
      </c>
      <c r="HB9" s="16" t="str">
        <f t="shared" si="71"/>
        <v/>
      </c>
      <c r="HC9" s="16" t="str">
        <f t="shared" si="72"/>
        <v/>
      </c>
      <c r="HD9" s="16" t="str">
        <f t="shared" si="73"/>
        <v/>
      </c>
      <c r="HE9" s="47"/>
      <c r="HF9" s="47"/>
      <c r="HG9" s="47"/>
      <c r="HH9" s="47"/>
      <c r="HI9" s="47"/>
      <c r="HJ9" s="47"/>
      <c r="HK9" s="47"/>
      <c r="HL9" s="47"/>
      <c r="HM9" s="47"/>
      <c r="HN9" s="47"/>
      <c r="HO9" s="47"/>
      <c r="HP9" s="47"/>
      <c r="HQ9" s="47"/>
      <c r="HR9" s="47"/>
      <c r="HS9" s="47"/>
      <c r="HT9" s="13" t="str">
        <f t="shared" si="74"/>
        <v/>
      </c>
      <c r="HU9" s="13" t="str">
        <f t="shared" si="75"/>
        <v/>
      </c>
      <c r="HV9" s="13" t="str">
        <f t="shared" si="76"/>
        <v/>
      </c>
      <c r="HW9" s="13" t="str">
        <f t="shared" si="77"/>
        <v/>
      </c>
      <c r="HX9" s="13" t="str">
        <f t="shared" si="78"/>
        <v/>
      </c>
      <c r="HY9" s="13" t="str">
        <f t="shared" si="79"/>
        <v/>
      </c>
      <c r="HZ9" s="48"/>
      <c r="IA9" s="48"/>
      <c r="IB9" s="48"/>
      <c r="IC9" s="48"/>
      <c r="ID9" s="48"/>
      <c r="IE9" s="48"/>
      <c r="IF9" s="48"/>
      <c r="IG9" s="48"/>
      <c r="IH9" s="48"/>
      <c r="II9" s="48"/>
      <c r="IJ9" s="48"/>
      <c r="IK9" s="48"/>
      <c r="IL9" s="48"/>
      <c r="IM9" s="48"/>
      <c r="IN9" s="48"/>
      <c r="IO9" s="16" t="str">
        <f t="shared" si="80"/>
        <v/>
      </c>
      <c r="IP9" s="16" t="str">
        <f t="shared" si="81"/>
        <v/>
      </c>
      <c r="IQ9" s="16" t="str">
        <f t="shared" si="82"/>
        <v/>
      </c>
      <c r="IR9" s="16" t="str">
        <f t="shared" si="83"/>
        <v/>
      </c>
      <c r="IS9" s="16" t="str">
        <f t="shared" si="84"/>
        <v/>
      </c>
      <c r="IT9" s="16" t="str">
        <f t="shared" si="85"/>
        <v/>
      </c>
      <c r="IU9" s="47"/>
      <c r="IV9" s="47"/>
      <c r="IW9" s="47"/>
      <c r="IX9" s="47"/>
      <c r="IY9" s="47"/>
      <c r="IZ9" s="47"/>
      <c r="JA9" s="47"/>
      <c r="JB9" s="47"/>
      <c r="JC9" s="47"/>
      <c r="JD9" s="47"/>
      <c r="JE9" s="47"/>
      <c r="JF9" s="47"/>
      <c r="JG9" s="47"/>
      <c r="JH9" s="47"/>
      <c r="JI9" s="47"/>
      <c r="JJ9" s="13" t="str">
        <f t="shared" si="86"/>
        <v/>
      </c>
      <c r="JK9" s="13" t="str">
        <f t="shared" si="87"/>
        <v/>
      </c>
      <c r="JL9" s="13" t="str">
        <f t="shared" si="88"/>
        <v/>
      </c>
      <c r="JM9" s="13" t="str">
        <f t="shared" si="89"/>
        <v/>
      </c>
      <c r="JN9" s="13" t="str">
        <f t="shared" si="90"/>
        <v/>
      </c>
      <c r="JO9" s="13" t="str">
        <f t="shared" si="91"/>
        <v/>
      </c>
      <c r="JP9" s="48"/>
      <c r="JQ9" s="48"/>
      <c r="JR9" s="48"/>
      <c r="JS9" s="48"/>
      <c r="JT9" s="48"/>
      <c r="JU9" s="48"/>
      <c r="JV9" s="48"/>
      <c r="JW9" s="48"/>
      <c r="JX9" s="48"/>
      <c r="JY9" s="48"/>
      <c r="JZ9" s="48"/>
      <c r="KA9" s="48"/>
      <c r="KB9" s="48"/>
      <c r="KC9" s="48"/>
      <c r="KD9" s="48"/>
      <c r="KE9" s="16" t="str">
        <f t="shared" si="92"/>
        <v/>
      </c>
      <c r="KF9" s="16" t="str">
        <f t="shared" si="93"/>
        <v/>
      </c>
      <c r="KG9" s="16" t="str">
        <f t="shared" si="94"/>
        <v/>
      </c>
      <c r="KH9" s="16" t="str">
        <f t="shared" si="95"/>
        <v/>
      </c>
      <c r="KI9" s="16" t="str">
        <f t="shared" si="96"/>
        <v/>
      </c>
      <c r="KJ9" s="16" t="str">
        <f t="shared" si="97"/>
        <v/>
      </c>
      <c r="KK9" s="47"/>
      <c r="KL9" s="47"/>
      <c r="KM9" s="47"/>
      <c r="KN9" s="47"/>
      <c r="KO9" s="47"/>
      <c r="KP9" s="47"/>
      <c r="KQ9" s="47"/>
      <c r="KR9" s="47"/>
      <c r="KS9" s="47"/>
      <c r="KT9" s="47"/>
      <c r="KU9" s="47"/>
      <c r="KV9" s="47"/>
      <c r="KW9" s="47"/>
      <c r="KX9" s="47"/>
      <c r="KY9" s="47"/>
      <c r="KZ9" s="13" t="str">
        <f t="shared" si="98"/>
        <v/>
      </c>
      <c r="LA9" s="13" t="str">
        <f t="shared" si="99"/>
        <v/>
      </c>
      <c r="LB9" s="13" t="str">
        <f t="shared" si="100"/>
        <v/>
      </c>
      <c r="LC9" s="13" t="str">
        <f t="shared" si="101"/>
        <v/>
      </c>
      <c r="LD9" s="13" t="str">
        <f t="shared" si="102"/>
        <v/>
      </c>
      <c r="LE9" s="13" t="str">
        <f t="shared" si="103"/>
        <v/>
      </c>
      <c r="LF9" s="48"/>
      <c r="LG9" s="48"/>
      <c r="LH9" s="48"/>
      <c r="LI9" s="48"/>
      <c r="LJ9" s="48"/>
      <c r="LK9" s="48"/>
      <c r="LL9" s="48"/>
      <c r="LM9" s="48"/>
      <c r="LN9" s="48"/>
      <c r="LO9" s="48"/>
      <c r="LP9" s="48"/>
      <c r="LQ9" s="48"/>
      <c r="LR9" s="48"/>
      <c r="LS9" s="48"/>
      <c r="LT9" s="48"/>
      <c r="LU9" s="16" t="str">
        <f t="shared" si="104"/>
        <v/>
      </c>
      <c r="LV9" s="16" t="str">
        <f t="shared" si="105"/>
        <v/>
      </c>
      <c r="LW9" s="16" t="str">
        <f t="shared" si="106"/>
        <v/>
      </c>
      <c r="LX9" s="16" t="str">
        <f t="shared" si="107"/>
        <v/>
      </c>
      <c r="LY9" s="16" t="str">
        <f t="shared" si="108"/>
        <v/>
      </c>
      <c r="LZ9" s="16" t="str">
        <f t="shared" si="109"/>
        <v/>
      </c>
    </row>
    <row r="10" spans="1:338" x14ac:dyDescent="0.2">
      <c r="A10" s="6" t="str">
        <f t="shared" si="0"/>
        <v/>
      </c>
      <c r="B10" s="7" t="s">
        <v>99</v>
      </c>
      <c r="C10" s="8" t="s">
        <v>4</v>
      </c>
      <c r="D10" s="33">
        <v>2006</v>
      </c>
      <c r="E10" s="17">
        <f t="shared" si="1"/>
        <v>90.300000000000011</v>
      </c>
      <c r="F10" s="4" t="str">
        <f t="shared" si="2"/>
        <v/>
      </c>
      <c r="G10" s="4" t="str">
        <f t="shared" si="3"/>
        <v/>
      </c>
      <c r="H10" s="4" t="str">
        <f t="shared" si="4"/>
        <v/>
      </c>
      <c r="I10" t="str">
        <f t="shared" si="5"/>
        <v/>
      </c>
      <c r="J10" s="16">
        <f t="shared" si="6"/>
        <v>80.800000000000011</v>
      </c>
      <c r="K10" s="16" t="str">
        <f t="shared" si="7"/>
        <v>2017 3rd Domestic Trial</v>
      </c>
      <c r="L10" s="16">
        <f t="shared" si="8"/>
        <v>0</v>
      </c>
      <c r="M10" s="16" t="str">
        <f t="shared" si="9"/>
        <v/>
      </c>
      <c r="N10" s="16">
        <f t="shared" si="10"/>
        <v>0</v>
      </c>
      <c r="O10" s="16" t="str">
        <f t="shared" si="11"/>
        <v/>
      </c>
      <c r="P10" s="16">
        <f t="shared" si="12"/>
        <v>9.5</v>
      </c>
      <c r="Q10" s="16" t="str">
        <f t="shared" si="13"/>
        <v>2017 3rd Domestic Trial</v>
      </c>
      <c r="R10" s="16" t="str">
        <f t="shared" si="14"/>
        <v/>
      </c>
      <c r="S10" s="31" t="str">
        <f t="shared" si="15"/>
        <v/>
      </c>
      <c r="T10" s="16" t="str">
        <f t="shared" si="16"/>
        <v/>
      </c>
      <c r="U10" s="49">
        <v>8.4499999999999993</v>
      </c>
      <c r="V10" s="49">
        <v>9.3000000000000007</v>
      </c>
      <c r="W10" s="49">
        <v>5.2</v>
      </c>
      <c r="X10" s="49">
        <v>16.8</v>
      </c>
      <c r="Y10" s="49">
        <v>0</v>
      </c>
      <c r="Z10" s="49">
        <v>5.95</v>
      </c>
      <c r="AA10" s="49">
        <v>7.7</v>
      </c>
      <c r="AB10" s="49">
        <v>10.8</v>
      </c>
      <c r="AC10" s="49">
        <v>16.600000000000001</v>
      </c>
      <c r="AD10" s="49">
        <v>0</v>
      </c>
      <c r="AE10" s="49">
        <v>1.35</v>
      </c>
      <c r="AF10" s="49">
        <v>1.65</v>
      </c>
      <c r="AG10" s="49">
        <v>3.1</v>
      </c>
      <c r="AH10" s="49">
        <v>3.4</v>
      </c>
      <c r="AI10" s="49">
        <v>0</v>
      </c>
      <c r="AJ10" s="13">
        <f t="shared" si="17"/>
        <v>16</v>
      </c>
      <c r="AK10" s="13">
        <f t="shared" si="18"/>
        <v>39.75</v>
      </c>
      <c r="AL10" s="13">
        <f t="shared" si="19"/>
        <v>41.050000000000004</v>
      </c>
      <c r="AM10" s="13">
        <f t="shared" si="20"/>
        <v>80.800000000000011</v>
      </c>
      <c r="AN10" s="13">
        <f t="shared" si="21"/>
        <v>9.5</v>
      </c>
      <c r="AO10" s="13">
        <f t="shared" si="22"/>
        <v>90.300000000000011</v>
      </c>
      <c r="AP10" s="50"/>
      <c r="AQ10" s="50"/>
      <c r="AR10" s="50"/>
      <c r="AS10" s="50"/>
      <c r="AT10" s="50"/>
      <c r="AU10" s="50"/>
      <c r="AV10" s="50"/>
      <c r="AW10" s="50"/>
      <c r="AX10" s="50"/>
      <c r="AY10" s="50"/>
      <c r="AZ10" s="50"/>
      <c r="BA10" s="50"/>
      <c r="BB10" s="50"/>
      <c r="BC10" s="50"/>
      <c r="BD10" s="50"/>
      <c r="BE10" s="16" t="str">
        <f t="shared" si="23"/>
        <v/>
      </c>
      <c r="BF10" s="16" t="str">
        <f t="shared" si="24"/>
        <v/>
      </c>
      <c r="BG10" s="16" t="str">
        <f t="shared" si="25"/>
        <v/>
      </c>
      <c r="BH10" s="16" t="str">
        <f t="shared" si="26"/>
        <v/>
      </c>
      <c r="BI10" s="16" t="str">
        <f t="shared" si="27"/>
        <v/>
      </c>
      <c r="BJ10" s="16" t="str">
        <f t="shared" si="28"/>
        <v/>
      </c>
      <c r="BK10" s="47"/>
      <c r="BL10" s="47"/>
      <c r="BM10" s="47"/>
      <c r="BN10" s="47"/>
      <c r="BO10" s="47"/>
      <c r="BP10" s="47"/>
      <c r="BQ10" s="47"/>
      <c r="BR10" s="47"/>
      <c r="BS10" s="47"/>
      <c r="BT10" s="47"/>
      <c r="BU10" s="47"/>
      <c r="BV10" s="47"/>
      <c r="BW10" s="47"/>
      <c r="BX10" s="47"/>
      <c r="BY10" s="47"/>
      <c r="BZ10" s="13" t="str">
        <f t="shared" si="29"/>
        <v/>
      </c>
      <c r="CA10" s="13" t="str">
        <f t="shared" si="30"/>
        <v/>
      </c>
      <c r="CB10" s="13" t="str">
        <f t="shared" si="31"/>
        <v/>
      </c>
      <c r="CC10" s="13" t="str">
        <f t="shared" si="32"/>
        <v/>
      </c>
      <c r="CD10" s="13" t="str">
        <f t="shared" si="33"/>
        <v/>
      </c>
      <c r="CE10" s="13" t="str">
        <f t="shared" si="34"/>
        <v/>
      </c>
      <c r="CF10" s="30" t="str">
        <f t="shared" si="35"/>
        <v/>
      </c>
      <c r="CG10" s="30" t="str">
        <f t="shared" si="36"/>
        <v/>
      </c>
      <c r="CH10" s="30" t="str">
        <f t="shared" si="37"/>
        <v/>
      </c>
      <c r="CI10" s="47"/>
      <c r="CJ10" s="47"/>
      <c r="CK10" s="47"/>
      <c r="CL10" s="47"/>
      <c r="CM10" s="47"/>
      <c r="CN10" s="47"/>
      <c r="CO10" s="47"/>
      <c r="CP10" s="47"/>
      <c r="CQ10" s="47"/>
      <c r="CR10" s="47"/>
      <c r="CS10" s="47"/>
      <c r="CT10" s="47"/>
      <c r="CU10" s="47"/>
      <c r="CV10" s="47"/>
      <c r="CW10" s="47"/>
      <c r="CX10" s="13" t="str">
        <f t="shared" si="38"/>
        <v/>
      </c>
      <c r="CY10" s="13" t="str">
        <f t="shared" si="39"/>
        <v/>
      </c>
      <c r="CZ10" s="13" t="str">
        <f t="shared" si="40"/>
        <v/>
      </c>
      <c r="DA10" s="13" t="str">
        <f t="shared" si="41"/>
        <v/>
      </c>
      <c r="DB10" s="13" t="str">
        <f t="shared" si="42"/>
        <v/>
      </c>
      <c r="DC10" s="13" t="str">
        <f t="shared" si="43"/>
        <v/>
      </c>
      <c r="DD10" s="48"/>
      <c r="DE10" s="48"/>
      <c r="DF10" s="48"/>
      <c r="DG10" s="48"/>
      <c r="DH10" s="48"/>
      <c r="DI10" s="48"/>
      <c r="DJ10" s="48"/>
      <c r="DK10" s="48"/>
      <c r="DL10" s="48"/>
      <c r="DM10" s="48"/>
      <c r="DN10" s="48"/>
      <c r="DO10" s="48"/>
      <c r="DP10" s="48"/>
      <c r="DQ10" s="48"/>
      <c r="DR10" s="48"/>
      <c r="DS10" s="16" t="str">
        <f t="shared" si="44"/>
        <v/>
      </c>
      <c r="DT10" s="16" t="str">
        <f t="shared" si="45"/>
        <v/>
      </c>
      <c r="DU10" s="16" t="str">
        <f t="shared" si="46"/>
        <v/>
      </c>
      <c r="DV10" s="16" t="str">
        <f t="shared" si="47"/>
        <v/>
      </c>
      <c r="DW10" s="16" t="str">
        <f t="shared" si="48"/>
        <v/>
      </c>
      <c r="DX10" s="16" t="str">
        <f t="shared" si="49"/>
        <v/>
      </c>
      <c r="DY10" s="47"/>
      <c r="DZ10" s="47"/>
      <c r="EA10" s="47"/>
      <c r="EB10" s="47"/>
      <c r="EC10" s="47"/>
      <c r="ED10" s="47"/>
      <c r="EE10" s="47"/>
      <c r="EF10" s="47"/>
      <c r="EG10" s="47"/>
      <c r="EH10" s="47"/>
      <c r="EI10" s="47"/>
      <c r="EJ10" s="47"/>
      <c r="EK10" s="47"/>
      <c r="EL10" s="47"/>
      <c r="EM10" s="47"/>
      <c r="EN10" s="13" t="str">
        <f t="shared" si="50"/>
        <v/>
      </c>
      <c r="EO10" s="13" t="str">
        <f t="shared" si="51"/>
        <v/>
      </c>
      <c r="EP10" s="13" t="str">
        <f t="shared" si="52"/>
        <v/>
      </c>
      <c r="EQ10" s="13" t="str">
        <f t="shared" si="53"/>
        <v/>
      </c>
      <c r="ER10" s="13" t="str">
        <f t="shared" si="54"/>
        <v/>
      </c>
      <c r="ES10" s="13" t="str">
        <f t="shared" si="55"/>
        <v/>
      </c>
      <c r="ET10" s="48"/>
      <c r="EU10" s="48"/>
      <c r="EV10" s="48"/>
      <c r="EW10" s="48"/>
      <c r="EX10" s="48"/>
      <c r="EY10" s="48"/>
      <c r="EZ10" s="48"/>
      <c r="FA10" s="48"/>
      <c r="FB10" s="48"/>
      <c r="FC10" s="48"/>
      <c r="FD10" s="48"/>
      <c r="FE10" s="48"/>
      <c r="FF10" s="48"/>
      <c r="FG10" s="48"/>
      <c r="FH10" s="48"/>
      <c r="FI10" s="16" t="str">
        <f t="shared" si="56"/>
        <v/>
      </c>
      <c r="FJ10" s="16" t="str">
        <f t="shared" si="57"/>
        <v/>
      </c>
      <c r="FK10" s="16" t="str">
        <f t="shared" si="58"/>
        <v/>
      </c>
      <c r="FL10" s="16" t="str">
        <f t="shared" si="59"/>
        <v/>
      </c>
      <c r="FM10" s="16" t="str">
        <f t="shared" si="60"/>
        <v/>
      </c>
      <c r="FN10" s="16" t="str">
        <f t="shared" si="61"/>
        <v/>
      </c>
      <c r="FO10" s="47"/>
      <c r="FP10" s="47"/>
      <c r="FQ10" s="47"/>
      <c r="FR10" s="47"/>
      <c r="FS10" s="47"/>
      <c r="FT10" s="47"/>
      <c r="FU10" s="47"/>
      <c r="FV10" s="47"/>
      <c r="FW10" s="47"/>
      <c r="FX10" s="47"/>
      <c r="FY10" s="47"/>
      <c r="FZ10" s="47"/>
      <c r="GA10" s="47"/>
      <c r="GB10" s="47"/>
      <c r="GC10" s="47"/>
      <c r="GD10" s="13" t="str">
        <f t="shared" si="62"/>
        <v/>
      </c>
      <c r="GE10" s="13" t="str">
        <f t="shared" si="63"/>
        <v/>
      </c>
      <c r="GF10" s="13" t="str">
        <f t="shared" si="64"/>
        <v/>
      </c>
      <c r="GG10" s="13" t="str">
        <f t="shared" si="65"/>
        <v/>
      </c>
      <c r="GH10" s="13" t="str">
        <f t="shared" si="66"/>
        <v/>
      </c>
      <c r="GI10" s="13" t="str">
        <f t="shared" si="67"/>
        <v/>
      </c>
      <c r="GJ10" s="48"/>
      <c r="GK10" s="48"/>
      <c r="GL10" s="48"/>
      <c r="GM10" s="48"/>
      <c r="GN10" s="48"/>
      <c r="GO10" s="48"/>
      <c r="GP10" s="48"/>
      <c r="GQ10" s="48"/>
      <c r="GR10" s="48"/>
      <c r="GS10" s="48"/>
      <c r="GT10" s="48"/>
      <c r="GU10" s="48"/>
      <c r="GV10" s="48"/>
      <c r="GW10" s="48"/>
      <c r="GX10" s="48"/>
      <c r="GY10" s="16" t="str">
        <f t="shared" si="68"/>
        <v/>
      </c>
      <c r="GZ10" s="16" t="str">
        <f t="shared" si="69"/>
        <v/>
      </c>
      <c r="HA10" s="16" t="str">
        <f t="shared" si="70"/>
        <v/>
      </c>
      <c r="HB10" s="16" t="str">
        <f t="shared" si="71"/>
        <v/>
      </c>
      <c r="HC10" s="16" t="str">
        <f t="shared" si="72"/>
        <v/>
      </c>
      <c r="HD10" s="16" t="str">
        <f t="shared" si="73"/>
        <v/>
      </c>
      <c r="HE10" s="47"/>
      <c r="HF10" s="47"/>
      <c r="HG10" s="47"/>
      <c r="HH10" s="47"/>
      <c r="HI10" s="47"/>
      <c r="HJ10" s="47"/>
      <c r="HK10" s="47"/>
      <c r="HL10" s="47"/>
      <c r="HM10" s="47"/>
      <c r="HN10" s="47"/>
      <c r="HO10" s="47"/>
      <c r="HP10" s="47"/>
      <c r="HQ10" s="47"/>
      <c r="HR10" s="47"/>
      <c r="HS10" s="47"/>
      <c r="HT10" s="13" t="str">
        <f t="shared" si="74"/>
        <v/>
      </c>
      <c r="HU10" s="13" t="str">
        <f t="shared" si="75"/>
        <v/>
      </c>
      <c r="HV10" s="13" t="str">
        <f t="shared" si="76"/>
        <v/>
      </c>
      <c r="HW10" s="13" t="str">
        <f t="shared" si="77"/>
        <v/>
      </c>
      <c r="HX10" s="13" t="str">
        <f t="shared" si="78"/>
        <v/>
      </c>
      <c r="HY10" s="13" t="str">
        <f t="shared" si="79"/>
        <v/>
      </c>
      <c r="HZ10" s="48"/>
      <c r="IA10" s="48"/>
      <c r="IB10" s="48"/>
      <c r="IC10" s="48"/>
      <c r="ID10" s="48"/>
      <c r="IE10" s="48"/>
      <c r="IF10" s="48"/>
      <c r="IG10" s="48"/>
      <c r="IH10" s="48"/>
      <c r="II10" s="48"/>
      <c r="IJ10" s="48"/>
      <c r="IK10" s="48"/>
      <c r="IL10" s="48"/>
      <c r="IM10" s="48"/>
      <c r="IN10" s="48"/>
      <c r="IO10" s="16" t="str">
        <f t="shared" si="80"/>
        <v/>
      </c>
      <c r="IP10" s="16" t="str">
        <f t="shared" si="81"/>
        <v/>
      </c>
      <c r="IQ10" s="16" t="str">
        <f t="shared" si="82"/>
        <v/>
      </c>
      <c r="IR10" s="16" t="str">
        <f t="shared" si="83"/>
        <v/>
      </c>
      <c r="IS10" s="16" t="str">
        <f t="shared" si="84"/>
        <v/>
      </c>
      <c r="IT10" s="16" t="str">
        <f t="shared" si="85"/>
        <v/>
      </c>
      <c r="IU10" s="47"/>
      <c r="IV10" s="47"/>
      <c r="IW10" s="47"/>
      <c r="IX10" s="47"/>
      <c r="IY10" s="47"/>
      <c r="IZ10" s="47"/>
      <c r="JA10" s="47"/>
      <c r="JB10" s="47"/>
      <c r="JC10" s="47"/>
      <c r="JD10" s="47"/>
      <c r="JE10" s="47"/>
      <c r="JF10" s="47"/>
      <c r="JG10" s="47"/>
      <c r="JH10" s="47"/>
      <c r="JI10" s="47"/>
      <c r="JJ10" s="13" t="str">
        <f t="shared" si="86"/>
        <v/>
      </c>
      <c r="JK10" s="13" t="str">
        <f t="shared" si="87"/>
        <v/>
      </c>
      <c r="JL10" s="13" t="str">
        <f t="shared" si="88"/>
        <v/>
      </c>
      <c r="JM10" s="13" t="str">
        <f t="shared" si="89"/>
        <v/>
      </c>
      <c r="JN10" s="13" t="str">
        <f t="shared" si="90"/>
        <v/>
      </c>
      <c r="JO10" s="13" t="str">
        <f t="shared" si="91"/>
        <v/>
      </c>
      <c r="JP10" s="48"/>
      <c r="JQ10" s="48"/>
      <c r="JR10" s="48"/>
      <c r="JS10" s="48"/>
      <c r="JT10" s="48"/>
      <c r="JU10" s="48"/>
      <c r="JV10" s="48"/>
      <c r="JW10" s="48"/>
      <c r="JX10" s="48"/>
      <c r="JY10" s="48"/>
      <c r="JZ10" s="48"/>
      <c r="KA10" s="48"/>
      <c r="KB10" s="48"/>
      <c r="KC10" s="48"/>
      <c r="KD10" s="48"/>
      <c r="KE10" s="16" t="str">
        <f t="shared" si="92"/>
        <v/>
      </c>
      <c r="KF10" s="16" t="str">
        <f t="shared" si="93"/>
        <v/>
      </c>
      <c r="KG10" s="16" t="str">
        <f t="shared" si="94"/>
        <v/>
      </c>
      <c r="KH10" s="16" t="str">
        <f t="shared" si="95"/>
        <v/>
      </c>
      <c r="KI10" s="16" t="str">
        <f t="shared" si="96"/>
        <v/>
      </c>
      <c r="KJ10" s="16" t="str">
        <f t="shared" si="97"/>
        <v/>
      </c>
      <c r="KK10" s="47"/>
      <c r="KL10" s="47"/>
      <c r="KM10" s="47"/>
      <c r="KN10" s="47"/>
      <c r="KO10" s="47"/>
      <c r="KP10" s="47"/>
      <c r="KQ10" s="47"/>
      <c r="KR10" s="47"/>
      <c r="KS10" s="47"/>
      <c r="KT10" s="47"/>
      <c r="KU10" s="47"/>
      <c r="KV10" s="47"/>
      <c r="KW10" s="47"/>
      <c r="KX10" s="47"/>
      <c r="KY10" s="47"/>
      <c r="KZ10" s="13" t="str">
        <f t="shared" si="98"/>
        <v/>
      </c>
      <c r="LA10" s="13" t="str">
        <f t="shared" si="99"/>
        <v/>
      </c>
      <c r="LB10" s="13" t="str">
        <f t="shared" si="100"/>
        <v/>
      </c>
      <c r="LC10" s="13" t="str">
        <f t="shared" si="101"/>
        <v/>
      </c>
      <c r="LD10" s="13" t="str">
        <f t="shared" si="102"/>
        <v/>
      </c>
      <c r="LE10" s="13" t="str">
        <f t="shared" si="103"/>
        <v/>
      </c>
      <c r="LF10" s="48"/>
      <c r="LG10" s="48"/>
      <c r="LH10" s="48"/>
      <c r="LI10" s="48"/>
      <c r="LJ10" s="48"/>
      <c r="LK10" s="48"/>
      <c r="LL10" s="48"/>
      <c r="LM10" s="48"/>
      <c r="LN10" s="48"/>
      <c r="LO10" s="48"/>
      <c r="LP10" s="48"/>
      <c r="LQ10" s="48"/>
      <c r="LR10" s="48"/>
      <c r="LS10" s="48"/>
      <c r="LT10" s="48"/>
      <c r="LU10" s="16" t="str">
        <f t="shared" si="104"/>
        <v/>
      </c>
      <c r="LV10" s="16" t="str">
        <f t="shared" si="105"/>
        <v/>
      </c>
      <c r="LW10" s="16" t="str">
        <f t="shared" si="106"/>
        <v/>
      </c>
      <c r="LX10" s="16" t="str">
        <f t="shared" si="107"/>
        <v/>
      </c>
      <c r="LY10" s="16" t="str">
        <f t="shared" si="108"/>
        <v/>
      </c>
      <c r="LZ10" s="16" t="str">
        <f t="shared" si="109"/>
        <v/>
      </c>
    </row>
    <row r="11" spans="1:338" x14ac:dyDescent="0.2">
      <c r="A11" s="6" t="str">
        <f t="shared" si="0"/>
        <v/>
      </c>
      <c r="B11" s="7" t="s">
        <v>148</v>
      </c>
      <c r="C11" s="8" t="s">
        <v>4</v>
      </c>
      <c r="D11" s="33"/>
      <c r="E11" s="17">
        <f t="shared" si="1"/>
        <v>85.945000000000007</v>
      </c>
      <c r="F11" s="4" t="str">
        <f t="shared" si="2"/>
        <v/>
      </c>
      <c r="G11" s="4" t="str">
        <f t="shared" si="3"/>
        <v/>
      </c>
      <c r="H11" s="4" t="str">
        <f t="shared" si="4"/>
        <v/>
      </c>
      <c r="I11" t="str">
        <f t="shared" si="5"/>
        <v/>
      </c>
      <c r="J11" s="16">
        <f t="shared" si="6"/>
        <v>80.795000000000002</v>
      </c>
      <c r="K11" s="16" t="str">
        <f t="shared" si="7"/>
        <v>2018 Nationals</v>
      </c>
      <c r="L11" s="16">
        <f t="shared" si="8"/>
        <v>0</v>
      </c>
      <c r="M11" s="16" t="str">
        <f t="shared" si="9"/>
        <v/>
      </c>
      <c r="N11" s="16">
        <f t="shared" si="10"/>
        <v>0</v>
      </c>
      <c r="O11" s="16" t="str">
        <f t="shared" si="11"/>
        <v/>
      </c>
      <c r="P11" s="16">
        <f t="shared" si="12"/>
        <v>5.15</v>
      </c>
      <c r="Q11" s="16" t="str">
        <f t="shared" si="13"/>
        <v>2018 Nationals</v>
      </c>
      <c r="R11" s="16" t="str">
        <f t="shared" si="14"/>
        <v/>
      </c>
      <c r="S11" s="31" t="str">
        <f t="shared" si="15"/>
        <v/>
      </c>
      <c r="T11" s="16" t="str">
        <f t="shared" si="16"/>
        <v/>
      </c>
      <c r="U11" s="49"/>
      <c r="V11" s="49"/>
      <c r="W11" s="49"/>
      <c r="X11" s="49"/>
      <c r="Y11" s="49"/>
      <c r="Z11" s="49"/>
      <c r="AA11" s="49"/>
      <c r="AB11" s="49"/>
      <c r="AC11" s="49"/>
      <c r="AD11" s="49"/>
      <c r="AE11" s="49"/>
      <c r="AF11" s="49"/>
      <c r="AG11" s="49"/>
      <c r="AH11" s="49"/>
      <c r="AI11" s="49"/>
      <c r="AJ11" s="13" t="str">
        <f t="shared" si="17"/>
        <v/>
      </c>
      <c r="AK11" s="13" t="str">
        <f t="shared" si="18"/>
        <v/>
      </c>
      <c r="AL11" s="13" t="str">
        <f t="shared" si="19"/>
        <v/>
      </c>
      <c r="AM11" s="13" t="str">
        <f t="shared" si="20"/>
        <v/>
      </c>
      <c r="AN11" s="13" t="str">
        <f t="shared" si="21"/>
        <v/>
      </c>
      <c r="AO11" s="13" t="str">
        <f t="shared" si="22"/>
        <v/>
      </c>
      <c r="AP11" s="50"/>
      <c r="AQ11" s="50"/>
      <c r="AR11" s="50"/>
      <c r="AS11" s="50"/>
      <c r="AT11" s="50"/>
      <c r="AU11" s="50"/>
      <c r="AV11" s="50"/>
      <c r="AW11" s="50"/>
      <c r="AX11" s="50"/>
      <c r="AY11" s="50"/>
      <c r="AZ11" s="50"/>
      <c r="BA11" s="50"/>
      <c r="BB11" s="50"/>
      <c r="BC11" s="50"/>
      <c r="BD11" s="50"/>
      <c r="BE11" s="16" t="str">
        <f t="shared" si="23"/>
        <v/>
      </c>
      <c r="BF11" s="16" t="str">
        <f t="shared" si="24"/>
        <v/>
      </c>
      <c r="BG11" s="16" t="str">
        <f t="shared" si="25"/>
        <v/>
      </c>
      <c r="BH11" s="16" t="str">
        <f t="shared" si="26"/>
        <v/>
      </c>
      <c r="BI11" s="16" t="str">
        <f t="shared" si="27"/>
        <v/>
      </c>
      <c r="BJ11" s="16" t="str">
        <f t="shared" si="28"/>
        <v/>
      </c>
      <c r="BK11" s="47">
        <v>8.4</v>
      </c>
      <c r="BL11" s="47">
        <v>9.1</v>
      </c>
      <c r="BM11" s="47">
        <v>3.1</v>
      </c>
      <c r="BN11" s="47">
        <v>16.02</v>
      </c>
      <c r="BO11" s="47">
        <v>0.2</v>
      </c>
      <c r="BP11" s="47">
        <v>7.5750000000000002</v>
      </c>
      <c r="BQ11" s="47">
        <v>8.9</v>
      </c>
      <c r="BR11" s="47">
        <v>10.5</v>
      </c>
      <c r="BS11" s="47">
        <v>17.399999999999999</v>
      </c>
      <c r="BT11" s="47">
        <v>0</v>
      </c>
      <c r="BU11" s="47">
        <v>0.85</v>
      </c>
      <c r="BV11" s="47">
        <v>0.8</v>
      </c>
      <c r="BW11" s="47">
        <v>2</v>
      </c>
      <c r="BX11" s="47">
        <v>1.5</v>
      </c>
      <c r="BY11" s="47">
        <v>0</v>
      </c>
      <c r="BZ11" s="13">
        <f t="shared" si="29"/>
        <v>13.6</v>
      </c>
      <c r="CA11" s="13">
        <f t="shared" si="30"/>
        <v>36.42</v>
      </c>
      <c r="CB11" s="13">
        <f t="shared" si="31"/>
        <v>44.375</v>
      </c>
      <c r="CC11" s="13">
        <f t="shared" si="32"/>
        <v>80.795000000000002</v>
      </c>
      <c r="CD11" s="13">
        <f t="shared" si="33"/>
        <v>5.15</v>
      </c>
      <c r="CE11" s="13">
        <f t="shared" si="34"/>
        <v>85.945000000000007</v>
      </c>
      <c r="CF11" s="30" t="str">
        <f t="shared" si="35"/>
        <v/>
      </c>
      <c r="CG11" s="30" t="str">
        <f t="shared" si="36"/>
        <v/>
      </c>
      <c r="CH11" s="30" t="str">
        <f t="shared" si="37"/>
        <v/>
      </c>
      <c r="CI11" s="47"/>
      <c r="CJ11" s="47"/>
      <c r="CK11" s="47"/>
      <c r="CL11" s="47"/>
      <c r="CM11" s="47"/>
      <c r="CN11" s="47"/>
      <c r="CO11" s="47"/>
      <c r="CP11" s="47"/>
      <c r="CQ11" s="47"/>
      <c r="CR11" s="47"/>
      <c r="CS11" s="47"/>
      <c r="CT11" s="47"/>
      <c r="CU11" s="47"/>
      <c r="CV11" s="47"/>
      <c r="CW11" s="47"/>
      <c r="CX11" s="13" t="str">
        <f t="shared" si="38"/>
        <v/>
      </c>
      <c r="CY11" s="13" t="str">
        <f t="shared" si="39"/>
        <v/>
      </c>
      <c r="CZ11" s="13" t="str">
        <f t="shared" si="40"/>
        <v/>
      </c>
      <c r="DA11" s="13" t="str">
        <f t="shared" si="41"/>
        <v/>
      </c>
      <c r="DB11" s="13" t="str">
        <f t="shared" si="42"/>
        <v/>
      </c>
      <c r="DC11" s="13" t="str">
        <f t="shared" si="43"/>
        <v/>
      </c>
      <c r="DD11" s="48"/>
      <c r="DE11" s="48"/>
      <c r="DF11" s="48"/>
      <c r="DG11" s="48"/>
      <c r="DH11" s="48"/>
      <c r="DI11" s="48"/>
      <c r="DJ11" s="48"/>
      <c r="DK11" s="48"/>
      <c r="DL11" s="48"/>
      <c r="DM11" s="48"/>
      <c r="DN11" s="48"/>
      <c r="DO11" s="48"/>
      <c r="DP11" s="48"/>
      <c r="DQ11" s="48"/>
      <c r="DR11" s="48"/>
      <c r="DS11" s="16" t="str">
        <f t="shared" si="44"/>
        <v/>
      </c>
      <c r="DT11" s="16" t="str">
        <f t="shared" si="45"/>
        <v/>
      </c>
      <c r="DU11" s="16" t="str">
        <f t="shared" si="46"/>
        <v/>
      </c>
      <c r="DV11" s="16" t="str">
        <f t="shared" si="47"/>
        <v/>
      </c>
      <c r="DW11" s="16" t="str">
        <f t="shared" si="48"/>
        <v/>
      </c>
      <c r="DX11" s="16" t="str">
        <f t="shared" si="49"/>
        <v/>
      </c>
      <c r="DY11" s="47"/>
      <c r="DZ11" s="47"/>
      <c r="EA11" s="47"/>
      <c r="EB11" s="47"/>
      <c r="EC11" s="47"/>
      <c r="ED11" s="47"/>
      <c r="EE11" s="47"/>
      <c r="EF11" s="47"/>
      <c r="EG11" s="47"/>
      <c r="EH11" s="47"/>
      <c r="EI11" s="47"/>
      <c r="EJ11" s="47"/>
      <c r="EK11" s="47"/>
      <c r="EL11" s="47"/>
      <c r="EM11" s="47"/>
      <c r="EN11" s="13" t="str">
        <f t="shared" si="50"/>
        <v/>
      </c>
      <c r="EO11" s="13" t="str">
        <f t="shared" si="51"/>
        <v/>
      </c>
      <c r="EP11" s="13" t="str">
        <f t="shared" si="52"/>
        <v/>
      </c>
      <c r="EQ11" s="13" t="str">
        <f t="shared" si="53"/>
        <v/>
      </c>
      <c r="ER11" s="13" t="str">
        <f t="shared" si="54"/>
        <v/>
      </c>
      <c r="ES11" s="13" t="str">
        <f t="shared" si="55"/>
        <v/>
      </c>
      <c r="ET11" s="48"/>
      <c r="EU11" s="48"/>
      <c r="EV11" s="48"/>
      <c r="EW11" s="48"/>
      <c r="EX11" s="48"/>
      <c r="EY11" s="48"/>
      <c r="EZ11" s="48"/>
      <c r="FA11" s="48"/>
      <c r="FB11" s="48"/>
      <c r="FC11" s="48"/>
      <c r="FD11" s="48"/>
      <c r="FE11" s="48"/>
      <c r="FF11" s="48"/>
      <c r="FG11" s="48"/>
      <c r="FH11" s="48"/>
      <c r="FI11" s="16" t="str">
        <f t="shared" si="56"/>
        <v/>
      </c>
      <c r="FJ11" s="16" t="str">
        <f t="shared" si="57"/>
        <v/>
      </c>
      <c r="FK11" s="16" t="str">
        <f t="shared" si="58"/>
        <v/>
      </c>
      <c r="FL11" s="16" t="str">
        <f t="shared" si="59"/>
        <v/>
      </c>
      <c r="FM11" s="16" t="str">
        <f t="shared" si="60"/>
        <v/>
      </c>
      <c r="FN11" s="16" t="str">
        <f t="shared" si="61"/>
        <v/>
      </c>
      <c r="FO11" s="47"/>
      <c r="FP11" s="47"/>
      <c r="FQ11" s="47"/>
      <c r="FR11" s="47"/>
      <c r="FS11" s="47"/>
      <c r="FT11" s="47"/>
      <c r="FU11" s="47"/>
      <c r="FV11" s="47"/>
      <c r="FW11" s="47"/>
      <c r="FX11" s="47"/>
      <c r="FY11" s="47"/>
      <c r="FZ11" s="47"/>
      <c r="GA11" s="47"/>
      <c r="GB11" s="47"/>
      <c r="GC11" s="47"/>
      <c r="GD11" s="13" t="str">
        <f t="shared" si="62"/>
        <v/>
      </c>
      <c r="GE11" s="13" t="str">
        <f t="shared" si="63"/>
        <v/>
      </c>
      <c r="GF11" s="13" t="str">
        <f t="shared" si="64"/>
        <v/>
      </c>
      <c r="GG11" s="13" t="str">
        <f t="shared" si="65"/>
        <v/>
      </c>
      <c r="GH11" s="13" t="str">
        <f t="shared" si="66"/>
        <v/>
      </c>
      <c r="GI11" s="13" t="str">
        <f t="shared" si="67"/>
        <v/>
      </c>
      <c r="GJ11" s="48"/>
      <c r="GK11" s="48"/>
      <c r="GL11" s="48"/>
      <c r="GM11" s="48"/>
      <c r="GN11" s="48"/>
      <c r="GO11" s="48"/>
      <c r="GP11" s="48"/>
      <c r="GQ11" s="48"/>
      <c r="GR11" s="48"/>
      <c r="GS11" s="48"/>
      <c r="GT11" s="48"/>
      <c r="GU11" s="48"/>
      <c r="GV11" s="48"/>
      <c r="GW11" s="48"/>
      <c r="GX11" s="48"/>
      <c r="GY11" s="16" t="str">
        <f t="shared" si="68"/>
        <v/>
      </c>
      <c r="GZ11" s="16" t="str">
        <f t="shared" si="69"/>
        <v/>
      </c>
      <c r="HA11" s="16" t="str">
        <f t="shared" si="70"/>
        <v/>
      </c>
      <c r="HB11" s="16" t="str">
        <f t="shared" si="71"/>
        <v/>
      </c>
      <c r="HC11" s="16" t="str">
        <f t="shared" si="72"/>
        <v/>
      </c>
      <c r="HD11" s="16" t="str">
        <f t="shared" si="73"/>
        <v/>
      </c>
      <c r="HE11" s="47"/>
      <c r="HF11" s="47"/>
      <c r="HG11" s="47"/>
      <c r="HH11" s="47"/>
      <c r="HI11" s="47"/>
      <c r="HJ11" s="47"/>
      <c r="HK11" s="47"/>
      <c r="HL11" s="47"/>
      <c r="HM11" s="47"/>
      <c r="HN11" s="47"/>
      <c r="HO11" s="47"/>
      <c r="HP11" s="47"/>
      <c r="HQ11" s="47"/>
      <c r="HR11" s="47"/>
      <c r="HS11" s="47"/>
      <c r="HT11" s="13" t="str">
        <f t="shared" si="74"/>
        <v/>
      </c>
      <c r="HU11" s="13" t="str">
        <f t="shared" si="75"/>
        <v/>
      </c>
      <c r="HV11" s="13" t="str">
        <f t="shared" si="76"/>
        <v/>
      </c>
      <c r="HW11" s="13" t="str">
        <f t="shared" si="77"/>
        <v/>
      </c>
      <c r="HX11" s="13" t="str">
        <f t="shared" si="78"/>
        <v/>
      </c>
      <c r="HY11" s="13" t="str">
        <f t="shared" si="79"/>
        <v/>
      </c>
      <c r="HZ11" s="48"/>
      <c r="IA11" s="48"/>
      <c r="IB11" s="48"/>
      <c r="IC11" s="48"/>
      <c r="ID11" s="48"/>
      <c r="IE11" s="48"/>
      <c r="IF11" s="48"/>
      <c r="IG11" s="48"/>
      <c r="IH11" s="48"/>
      <c r="II11" s="48"/>
      <c r="IJ11" s="48"/>
      <c r="IK11" s="48"/>
      <c r="IL11" s="48"/>
      <c r="IM11" s="48"/>
      <c r="IN11" s="48"/>
      <c r="IO11" s="16" t="str">
        <f t="shared" si="80"/>
        <v/>
      </c>
      <c r="IP11" s="16" t="str">
        <f t="shared" si="81"/>
        <v/>
      </c>
      <c r="IQ11" s="16" t="str">
        <f t="shared" si="82"/>
        <v/>
      </c>
      <c r="IR11" s="16" t="str">
        <f t="shared" si="83"/>
        <v/>
      </c>
      <c r="IS11" s="16" t="str">
        <f t="shared" si="84"/>
        <v/>
      </c>
      <c r="IT11" s="16" t="str">
        <f t="shared" si="85"/>
        <v/>
      </c>
      <c r="IU11" s="47"/>
      <c r="IV11" s="47"/>
      <c r="IW11" s="47"/>
      <c r="IX11" s="47"/>
      <c r="IY11" s="47"/>
      <c r="IZ11" s="47"/>
      <c r="JA11" s="47"/>
      <c r="JB11" s="47"/>
      <c r="JC11" s="47"/>
      <c r="JD11" s="47"/>
      <c r="JE11" s="47"/>
      <c r="JF11" s="47"/>
      <c r="JG11" s="47"/>
      <c r="JH11" s="47"/>
      <c r="JI11" s="47"/>
      <c r="JJ11" s="13" t="str">
        <f t="shared" si="86"/>
        <v/>
      </c>
      <c r="JK11" s="13" t="str">
        <f t="shared" si="87"/>
        <v/>
      </c>
      <c r="JL11" s="13" t="str">
        <f t="shared" si="88"/>
        <v/>
      </c>
      <c r="JM11" s="13" t="str">
        <f t="shared" si="89"/>
        <v/>
      </c>
      <c r="JN11" s="13" t="str">
        <f t="shared" si="90"/>
        <v/>
      </c>
      <c r="JO11" s="13" t="str">
        <f t="shared" si="91"/>
        <v/>
      </c>
      <c r="JP11" s="48"/>
      <c r="JQ11" s="48"/>
      <c r="JR11" s="48"/>
      <c r="JS11" s="48"/>
      <c r="JT11" s="48"/>
      <c r="JU11" s="48"/>
      <c r="JV11" s="48"/>
      <c r="JW11" s="48"/>
      <c r="JX11" s="48"/>
      <c r="JY11" s="48"/>
      <c r="JZ11" s="48"/>
      <c r="KA11" s="48"/>
      <c r="KB11" s="48"/>
      <c r="KC11" s="48"/>
      <c r="KD11" s="48"/>
      <c r="KE11" s="16" t="str">
        <f t="shared" si="92"/>
        <v/>
      </c>
      <c r="KF11" s="16" t="str">
        <f t="shared" si="93"/>
        <v/>
      </c>
      <c r="KG11" s="16" t="str">
        <f t="shared" si="94"/>
        <v/>
      </c>
      <c r="KH11" s="16" t="str">
        <f t="shared" si="95"/>
        <v/>
      </c>
      <c r="KI11" s="16" t="str">
        <f t="shared" si="96"/>
        <v/>
      </c>
      <c r="KJ11" s="16" t="str">
        <f t="shared" si="97"/>
        <v/>
      </c>
      <c r="KK11" s="47"/>
      <c r="KL11" s="47"/>
      <c r="KM11" s="47"/>
      <c r="KN11" s="47"/>
      <c r="KO11" s="47"/>
      <c r="KP11" s="47"/>
      <c r="KQ11" s="47"/>
      <c r="KR11" s="47"/>
      <c r="KS11" s="47"/>
      <c r="KT11" s="47"/>
      <c r="KU11" s="47"/>
      <c r="KV11" s="47"/>
      <c r="KW11" s="47"/>
      <c r="KX11" s="47"/>
      <c r="KY11" s="47"/>
      <c r="KZ11" s="13" t="str">
        <f t="shared" si="98"/>
        <v/>
      </c>
      <c r="LA11" s="13" t="str">
        <f t="shared" si="99"/>
        <v/>
      </c>
      <c r="LB11" s="13" t="str">
        <f t="shared" si="100"/>
        <v/>
      </c>
      <c r="LC11" s="13" t="str">
        <f t="shared" si="101"/>
        <v/>
      </c>
      <c r="LD11" s="13" t="str">
        <f t="shared" si="102"/>
        <v/>
      </c>
      <c r="LE11" s="13" t="str">
        <f t="shared" si="103"/>
        <v/>
      </c>
      <c r="LF11" s="48"/>
      <c r="LG11" s="48"/>
      <c r="LH11" s="48"/>
      <c r="LI11" s="48"/>
      <c r="LJ11" s="48"/>
      <c r="LK11" s="48"/>
      <c r="LL11" s="48"/>
      <c r="LM11" s="48"/>
      <c r="LN11" s="48"/>
      <c r="LO11" s="48"/>
      <c r="LP11" s="48"/>
      <c r="LQ11" s="48"/>
      <c r="LR11" s="48"/>
      <c r="LS11" s="48"/>
      <c r="LT11" s="48"/>
      <c r="LU11" s="16" t="str">
        <f t="shared" si="104"/>
        <v/>
      </c>
      <c r="LV11" s="16" t="str">
        <f t="shared" si="105"/>
        <v/>
      </c>
      <c r="LW11" s="16" t="str">
        <f t="shared" si="106"/>
        <v/>
      </c>
      <c r="LX11" s="16" t="str">
        <f t="shared" si="107"/>
        <v/>
      </c>
      <c r="LY11" s="16" t="str">
        <f t="shared" si="108"/>
        <v/>
      </c>
      <c r="LZ11" s="16" t="str">
        <f t="shared" si="109"/>
        <v/>
      </c>
    </row>
    <row r="12" spans="1:338" x14ac:dyDescent="0.2">
      <c r="A12" s="6" t="str">
        <f t="shared" si="0"/>
        <v/>
      </c>
      <c r="B12" s="9" t="s">
        <v>146</v>
      </c>
      <c r="C12" s="5" t="s">
        <v>4</v>
      </c>
      <c r="D12" s="33"/>
      <c r="E12" s="17">
        <f t="shared" si="1"/>
        <v>81.405000000000001</v>
      </c>
      <c r="F12" s="4" t="str">
        <f t="shared" si="2"/>
        <v/>
      </c>
      <c r="G12" s="4" t="str">
        <f t="shared" si="3"/>
        <v/>
      </c>
      <c r="H12" s="4" t="str">
        <f t="shared" si="4"/>
        <v/>
      </c>
      <c r="I12" t="str">
        <f t="shared" si="5"/>
        <v/>
      </c>
      <c r="J12" s="16">
        <f t="shared" si="6"/>
        <v>81.405000000000001</v>
      </c>
      <c r="K12" s="16" t="str">
        <f t="shared" si="7"/>
        <v>2018 Nationals</v>
      </c>
      <c r="L12" s="16">
        <f t="shared" si="8"/>
        <v>0</v>
      </c>
      <c r="M12" s="16" t="str">
        <f t="shared" si="9"/>
        <v/>
      </c>
      <c r="N12" s="16">
        <f t="shared" si="10"/>
        <v>0</v>
      </c>
      <c r="O12" s="16" t="str">
        <f t="shared" si="11"/>
        <v/>
      </c>
      <c r="P12" s="16">
        <f t="shared" si="12"/>
        <v>0</v>
      </c>
      <c r="Q12" s="16" t="str">
        <f t="shared" si="13"/>
        <v/>
      </c>
      <c r="R12" s="16" t="str">
        <f t="shared" si="14"/>
        <v/>
      </c>
      <c r="S12" s="31" t="str">
        <f t="shared" si="15"/>
        <v/>
      </c>
      <c r="T12" s="16" t="str">
        <f t="shared" si="16"/>
        <v/>
      </c>
      <c r="U12" s="49"/>
      <c r="V12" s="49"/>
      <c r="W12" s="49"/>
      <c r="X12" s="49"/>
      <c r="Y12" s="49"/>
      <c r="Z12" s="49"/>
      <c r="AA12" s="49"/>
      <c r="AB12" s="49"/>
      <c r="AC12" s="49"/>
      <c r="AD12" s="49"/>
      <c r="AE12" s="49"/>
      <c r="AF12" s="49"/>
      <c r="AG12" s="49"/>
      <c r="AH12" s="49"/>
      <c r="AI12" s="49"/>
      <c r="AJ12" s="13" t="str">
        <f t="shared" si="17"/>
        <v/>
      </c>
      <c r="AK12" s="13" t="str">
        <f t="shared" si="18"/>
        <v/>
      </c>
      <c r="AL12" s="13" t="str">
        <f t="shared" si="19"/>
        <v/>
      </c>
      <c r="AM12" s="13" t="str">
        <f t="shared" si="20"/>
        <v/>
      </c>
      <c r="AN12" s="13" t="str">
        <f t="shared" si="21"/>
        <v/>
      </c>
      <c r="AO12" s="13" t="str">
        <f t="shared" si="22"/>
        <v/>
      </c>
      <c r="AP12" s="50"/>
      <c r="AQ12" s="50"/>
      <c r="AR12" s="50"/>
      <c r="AS12" s="50"/>
      <c r="AT12" s="50"/>
      <c r="AU12" s="50"/>
      <c r="AV12" s="50"/>
      <c r="AW12" s="50"/>
      <c r="AX12" s="50"/>
      <c r="AY12" s="50"/>
      <c r="AZ12" s="50"/>
      <c r="BA12" s="50"/>
      <c r="BB12" s="50"/>
      <c r="BC12" s="50"/>
      <c r="BD12" s="50"/>
      <c r="BE12" s="16" t="str">
        <f t="shared" si="23"/>
        <v/>
      </c>
      <c r="BF12" s="16" t="str">
        <f t="shared" si="24"/>
        <v/>
      </c>
      <c r="BG12" s="16" t="str">
        <f t="shared" si="25"/>
        <v/>
      </c>
      <c r="BH12" s="16" t="str">
        <f t="shared" si="26"/>
        <v/>
      </c>
      <c r="BI12" s="16" t="str">
        <f t="shared" si="27"/>
        <v/>
      </c>
      <c r="BJ12" s="16" t="str">
        <f t="shared" si="28"/>
        <v/>
      </c>
      <c r="BK12" s="47">
        <v>8.7249999999999996</v>
      </c>
      <c r="BL12" s="47">
        <v>9.35</v>
      </c>
      <c r="BM12" s="47">
        <v>4.0999999999999996</v>
      </c>
      <c r="BN12" s="47">
        <v>15.58</v>
      </c>
      <c r="BO12" s="47">
        <v>0</v>
      </c>
      <c r="BP12" s="47">
        <v>6.65</v>
      </c>
      <c r="BQ12" s="47">
        <v>8.9</v>
      </c>
      <c r="BR12" s="47">
        <v>13.5</v>
      </c>
      <c r="BS12" s="47">
        <v>14.6</v>
      </c>
      <c r="BT12" s="47">
        <v>0</v>
      </c>
      <c r="BU12" s="47"/>
      <c r="BV12" s="47"/>
      <c r="BW12" s="47"/>
      <c r="BX12" s="47"/>
      <c r="BY12" s="47"/>
      <c r="BZ12" s="13">
        <f t="shared" si="29"/>
        <v>17.600000000000001</v>
      </c>
      <c r="CA12" s="13">
        <f t="shared" si="30"/>
        <v>37.754999999999995</v>
      </c>
      <c r="CB12" s="13">
        <f t="shared" si="31"/>
        <v>43.65</v>
      </c>
      <c r="CC12" s="13">
        <f t="shared" si="32"/>
        <v>81.405000000000001</v>
      </c>
      <c r="CD12" s="13" t="str">
        <f t="shared" si="33"/>
        <v/>
      </c>
      <c r="CE12" s="13">
        <f t="shared" si="34"/>
        <v>81.405000000000001</v>
      </c>
      <c r="CF12" s="30" t="str">
        <f t="shared" si="35"/>
        <v/>
      </c>
      <c r="CG12" s="30" t="str">
        <f t="shared" si="36"/>
        <v/>
      </c>
      <c r="CH12" s="30" t="str">
        <f t="shared" si="37"/>
        <v/>
      </c>
      <c r="CI12" s="47"/>
      <c r="CJ12" s="47"/>
      <c r="CK12" s="47"/>
      <c r="CL12" s="47"/>
      <c r="CM12" s="47"/>
      <c r="CN12" s="47"/>
      <c r="CO12" s="47"/>
      <c r="CP12" s="47"/>
      <c r="CQ12" s="47"/>
      <c r="CR12" s="47"/>
      <c r="CS12" s="47"/>
      <c r="CT12" s="47"/>
      <c r="CU12" s="47"/>
      <c r="CV12" s="47"/>
      <c r="CW12" s="47"/>
      <c r="CX12" s="13" t="str">
        <f t="shared" si="38"/>
        <v/>
      </c>
      <c r="CY12" s="13" t="str">
        <f t="shared" si="39"/>
        <v/>
      </c>
      <c r="CZ12" s="13" t="str">
        <f t="shared" si="40"/>
        <v/>
      </c>
      <c r="DA12" s="13" t="str">
        <f t="shared" si="41"/>
        <v/>
      </c>
      <c r="DB12" s="13" t="str">
        <f t="shared" si="42"/>
        <v/>
      </c>
      <c r="DC12" s="13" t="str">
        <f t="shared" si="43"/>
        <v/>
      </c>
      <c r="DD12" s="48"/>
      <c r="DE12" s="48"/>
      <c r="DF12" s="48"/>
      <c r="DG12" s="48"/>
      <c r="DH12" s="48"/>
      <c r="DI12" s="48"/>
      <c r="DJ12" s="48"/>
      <c r="DK12" s="48"/>
      <c r="DL12" s="48"/>
      <c r="DM12" s="48"/>
      <c r="DN12" s="48"/>
      <c r="DO12" s="48"/>
      <c r="DP12" s="48"/>
      <c r="DQ12" s="48"/>
      <c r="DR12" s="48"/>
      <c r="DS12" s="16" t="str">
        <f t="shared" si="44"/>
        <v/>
      </c>
      <c r="DT12" s="16" t="str">
        <f t="shared" si="45"/>
        <v/>
      </c>
      <c r="DU12" s="16" t="str">
        <f t="shared" si="46"/>
        <v/>
      </c>
      <c r="DV12" s="16" t="str">
        <f t="shared" si="47"/>
        <v/>
      </c>
      <c r="DW12" s="16" t="str">
        <f t="shared" si="48"/>
        <v/>
      </c>
      <c r="DX12" s="16" t="str">
        <f t="shared" si="49"/>
        <v/>
      </c>
      <c r="DY12" s="47"/>
      <c r="DZ12" s="47"/>
      <c r="EA12" s="47"/>
      <c r="EB12" s="47"/>
      <c r="EC12" s="47"/>
      <c r="ED12" s="47"/>
      <c r="EE12" s="47"/>
      <c r="EF12" s="47"/>
      <c r="EG12" s="47"/>
      <c r="EH12" s="47"/>
      <c r="EI12" s="47"/>
      <c r="EJ12" s="47"/>
      <c r="EK12" s="47"/>
      <c r="EL12" s="47"/>
      <c r="EM12" s="47"/>
      <c r="EN12" s="13" t="str">
        <f t="shared" si="50"/>
        <v/>
      </c>
      <c r="EO12" s="13" t="str">
        <f t="shared" si="51"/>
        <v/>
      </c>
      <c r="EP12" s="13" t="str">
        <f t="shared" si="52"/>
        <v/>
      </c>
      <c r="EQ12" s="13" t="str">
        <f t="shared" si="53"/>
        <v/>
      </c>
      <c r="ER12" s="13" t="str">
        <f t="shared" si="54"/>
        <v/>
      </c>
      <c r="ES12" s="13" t="str">
        <f t="shared" si="55"/>
        <v/>
      </c>
      <c r="ET12" s="48"/>
      <c r="EU12" s="48"/>
      <c r="EV12" s="48"/>
      <c r="EW12" s="48"/>
      <c r="EX12" s="48"/>
      <c r="EY12" s="48"/>
      <c r="EZ12" s="48"/>
      <c r="FA12" s="48"/>
      <c r="FB12" s="48"/>
      <c r="FC12" s="48"/>
      <c r="FD12" s="48"/>
      <c r="FE12" s="48"/>
      <c r="FF12" s="48"/>
      <c r="FG12" s="48"/>
      <c r="FH12" s="48"/>
      <c r="FI12" s="16" t="str">
        <f t="shared" si="56"/>
        <v/>
      </c>
      <c r="FJ12" s="16" t="str">
        <f t="shared" si="57"/>
        <v/>
      </c>
      <c r="FK12" s="16" t="str">
        <f t="shared" si="58"/>
        <v/>
      </c>
      <c r="FL12" s="16" t="str">
        <f t="shared" si="59"/>
        <v/>
      </c>
      <c r="FM12" s="16" t="str">
        <f t="shared" si="60"/>
        <v/>
      </c>
      <c r="FN12" s="16" t="str">
        <f t="shared" si="61"/>
        <v/>
      </c>
      <c r="FO12" s="47"/>
      <c r="FP12" s="47"/>
      <c r="FQ12" s="47"/>
      <c r="FR12" s="47"/>
      <c r="FS12" s="47"/>
      <c r="FT12" s="47"/>
      <c r="FU12" s="47"/>
      <c r="FV12" s="47"/>
      <c r="FW12" s="47"/>
      <c r="FX12" s="47"/>
      <c r="FY12" s="47"/>
      <c r="FZ12" s="47"/>
      <c r="GA12" s="47"/>
      <c r="GB12" s="47"/>
      <c r="GC12" s="47"/>
      <c r="GD12" s="13" t="str">
        <f t="shared" si="62"/>
        <v/>
      </c>
      <c r="GE12" s="13" t="str">
        <f t="shared" si="63"/>
        <v/>
      </c>
      <c r="GF12" s="13" t="str">
        <f t="shared" si="64"/>
        <v/>
      </c>
      <c r="GG12" s="13" t="str">
        <f t="shared" si="65"/>
        <v/>
      </c>
      <c r="GH12" s="13" t="str">
        <f t="shared" si="66"/>
        <v/>
      </c>
      <c r="GI12" s="13" t="str">
        <f t="shared" si="67"/>
        <v/>
      </c>
      <c r="GJ12" s="48"/>
      <c r="GK12" s="48"/>
      <c r="GL12" s="48"/>
      <c r="GM12" s="48"/>
      <c r="GN12" s="48"/>
      <c r="GO12" s="48"/>
      <c r="GP12" s="48"/>
      <c r="GQ12" s="48"/>
      <c r="GR12" s="48"/>
      <c r="GS12" s="48"/>
      <c r="GT12" s="48"/>
      <c r="GU12" s="48"/>
      <c r="GV12" s="48"/>
      <c r="GW12" s="48"/>
      <c r="GX12" s="48"/>
      <c r="GY12" s="16" t="str">
        <f t="shared" si="68"/>
        <v/>
      </c>
      <c r="GZ12" s="16" t="str">
        <f t="shared" si="69"/>
        <v/>
      </c>
      <c r="HA12" s="16" t="str">
        <f t="shared" si="70"/>
        <v/>
      </c>
      <c r="HB12" s="16" t="str">
        <f t="shared" si="71"/>
        <v/>
      </c>
      <c r="HC12" s="16" t="str">
        <f t="shared" si="72"/>
        <v/>
      </c>
      <c r="HD12" s="16" t="str">
        <f t="shared" si="73"/>
        <v/>
      </c>
      <c r="HE12" s="47"/>
      <c r="HF12" s="47"/>
      <c r="HG12" s="47"/>
      <c r="HH12" s="47"/>
      <c r="HI12" s="47"/>
      <c r="HJ12" s="47"/>
      <c r="HK12" s="47"/>
      <c r="HL12" s="47"/>
      <c r="HM12" s="47"/>
      <c r="HN12" s="47"/>
      <c r="HO12" s="47"/>
      <c r="HP12" s="47"/>
      <c r="HQ12" s="47"/>
      <c r="HR12" s="47"/>
      <c r="HS12" s="47"/>
      <c r="HT12" s="13" t="str">
        <f t="shared" si="74"/>
        <v/>
      </c>
      <c r="HU12" s="13" t="str">
        <f t="shared" si="75"/>
        <v/>
      </c>
      <c r="HV12" s="13" t="str">
        <f t="shared" si="76"/>
        <v/>
      </c>
      <c r="HW12" s="13" t="str">
        <f t="shared" si="77"/>
        <v/>
      </c>
      <c r="HX12" s="13" t="str">
        <f t="shared" si="78"/>
        <v/>
      </c>
      <c r="HY12" s="13" t="str">
        <f t="shared" si="79"/>
        <v/>
      </c>
      <c r="HZ12" s="48"/>
      <c r="IA12" s="48"/>
      <c r="IB12" s="48"/>
      <c r="IC12" s="48"/>
      <c r="ID12" s="48"/>
      <c r="IE12" s="48"/>
      <c r="IF12" s="48"/>
      <c r="IG12" s="48"/>
      <c r="IH12" s="48"/>
      <c r="II12" s="48"/>
      <c r="IJ12" s="48"/>
      <c r="IK12" s="48"/>
      <c r="IL12" s="48"/>
      <c r="IM12" s="48"/>
      <c r="IN12" s="48"/>
      <c r="IO12" s="16" t="str">
        <f t="shared" si="80"/>
        <v/>
      </c>
      <c r="IP12" s="16" t="str">
        <f t="shared" si="81"/>
        <v/>
      </c>
      <c r="IQ12" s="16" t="str">
        <f t="shared" si="82"/>
        <v/>
      </c>
      <c r="IR12" s="16" t="str">
        <f t="shared" si="83"/>
        <v/>
      </c>
      <c r="IS12" s="16" t="str">
        <f t="shared" si="84"/>
        <v/>
      </c>
      <c r="IT12" s="16" t="str">
        <f t="shared" si="85"/>
        <v/>
      </c>
      <c r="IU12" s="47"/>
      <c r="IV12" s="47"/>
      <c r="IW12" s="47"/>
      <c r="IX12" s="47"/>
      <c r="IY12" s="47"/>
      <c r="IZ12" s="47"/>
      <c r="JA12" s="47"/>
      <c r="JB12" s="47"/>
      <c r="JC12" s="47"/>
      <c r="JD12" s="47"/>
      <c r="JE12" s="47"/>
      <c r="JF12" s="47"/>
      <c r="JG12" s="47"/>
      <c r="JH12" s="47"/>
      <c r="JI12" s="47"/>
      <c r="JJ12" s="13" t="str">
        <f t="shared" si="86"/>
        <v/>
      </c>
      <c r="JK12" s="13" t="str">
        <f t="shared" si="87"/>
        <v/>
      </c>
      <c r="JL12" s="13" t="str">
        <f t="shared" si="88"/>
        <v/>
      </c>
      <c r="JM12" s="13" t="str">
        <f t="shared" si="89"/>
        <v/>
      </c>
      <c r="JN12" s="13" t="str">
        <f t="shared" si="90"/>
        <v/>
      </c>
      <c r="JO12" s="13" t="str">
        <f t="shared" si="91"/>
        <v/>
      </c>
      <c r="JP12" s="48"/>
      <c r="JQ12" s="48"/>
      <c r="JR12" s="48"/>
      <c r="JS12" s="48"/>
      <c r="JT12" s="48"/>
      <c r="JU12" s="48"/>
      <c r="JV12" s="48"/>
      <c r="JW12" s="48"/>
      <c r="JX12" s="48"/>
      <c r="JY12" s="48"/>
      <c r="JZ12" s="48"/>
      <c r="KA12" s="48"/>
      <c r="KB12" s="48"/>
      <c r="KC12" s="48"/>
      <c r="KD12" s="48"/>
      <c r="KE12" s="16" t="str">
        <f t="shared" si="92"/>
        <v/>
      </c>
      <c r="KF12" s="16" t="str">
        <f t="shared" si="93"/>
        <v/>
      </c>
      <c r="KG12" s="16" t="str">
        <f t="shared" si="94"/>
        <v/>
      </c>
      <c r="KH12" s="16" t="str">
        <f t="shared" si="95"/>
        <v/>
      </c>
      <c r="KI12" s="16" t="str">
        <f t="shared" si="96"/>
        <v/>
      </c>
      <c r="KJ12" s="16" t="str">
        <f t="shared" si="97"/>
        <v/>
      </c>
      <c r="KK12" s="47"/>
      <c r="KL12" s="47"/>
      <c r="KM12" s="47"/>
      <c r="KN12" s="47"/>
      <c r="KO12" s="47"/>
      <c r="KP12" s="47"/>
      <c r="KQ12" s="47"/>
      <c r="KR12" s="47"/>
      <c r="KS12" s="47"/>
      <c r="KT12" s="47"/>
      <c r="KU12" s="47"/>
      <c r="KV12" s="47"/>
      <c r="KW12" s="47"/>
      <c r="KX12" s="47"/>
      <c r="KY12" s="47"/>
      <c r="KZ12" s="13" t="str">
        <f t="shared" si="98"/>
        <v/>
      </c>
      <c r="LA12" s="13" t="str">
        <f t="shared" si="99"/>
        <v/>
      </c>
      <c r="LB12" s="13" t="str">
        <f t="shared" si="100"/>
        <v/>
      </c>
      <c r="LC12" s="13" t="str">
        <f t="shared" si="101"/>
        <v/>
      </c>
      <c r="LD12" s="13" t="str">
        <f t="shared" si="102"/>
        <v/>
      </c>
      <c r="LE12" s="13" t="str">
        <f t="shared" si="103"/>
        <v/>
      </c>
      <c r="LF12" s="48"/>
      <c r="LG12" s="48"/>
      <c r="LH12" s="48"/>
      <c r="LI12" s="48"/>
      <c r="LJ12" s="48"/>
      <c r="LK12" s="48"/>
      <c r="LL12" s="48"/>
      <c r="LM12" s="48"/>
      <c r="LN12" s="48"/>
      <c r="LO12" s="48"/>
      <c r="LP12" s="48"/>
      <c r="LQ12" s="48"/>
      <c r="LR12" s="48"/>
      <c r="LS12" s="48"/>
      <c r="LT12" s="48"/>
      <c r="LU12" s="16" t="str">
        <f t="shared" si="104"/>
        <v/>
      </c>
      <c r="LV12" s="16" t="str">
        <f t="shared" si="105"/>
        <v/>
      </c>
      <c r="LW12" s="16" t="str">
        <f t="shared" si="106"/>
        <v/>
      </c>
      <c r="LX12" s="16" t="str">
        <f t="shared" si="107"/>
        <v/>
      </c>
      <c r="LY12" s="16" t="str">
        <f t="shared" si="108"/>
        <v/>
      </c>
      <c r="LZ12" s="16" t="str">
        <f t="shared" si="109"/>
        <v/>
      </c>
    </row>
    <row r="13" spans="1:338" x14ac:dyDescent="0.2">
      <c r="A13" s="6" t="str">
        <f t="shared" si="0"/>
        <v/>
      </c>
      <c r="B13" s="9" t="s">
        <v>140</v>
      </c>
      <c r="C13" s="5" t="s">
        <v>153</v>
      </c>
      <c r="D13" s="33"/>
      <c r="E13" s="17">
        <f t="shared" si="1"/>
        <v>44.55</v>
      </c>
      <c r="F13" s="4" t="str">
        <f t="shared" si="2"/>
        <v/>
      </c>
      <c r="G13" s="4" t="str">
        <f t="shared" si="3"/>
        <v/>
      </c>
      <c r="H13" s="4" t="str">
        <f t="shared" si="4"/>
        <v/>
      </c>
      <c r="I13" t="str">
        <f t="shared" si="5"/>
        <v/>
      </c>
      <c r="J13" s="16">
        <f t="shared" si="6"/>
        <v>0</v>
      </c>
      <c r="K13" s="16" t="str">
        <f t="shared" si="7"/>
        <v/>
      </c>
      <c r="L13" s="16">
        <f t="shared" si="8"/>
        <v>0</v>
      </c>
      <c r="M13" s="16" t="str">
        <f t="shared" si="9"/>
        <v/>
      </c>
      <c r="N13" s="16">
        <f t="shared" si="10"/>
        <v>0</v>
      </c>
      <c r="O13" s="16" t="str">
        <f t="shared" si="11"/>
        <v/>
      </c>
      <c r="P13" s="16">
        <f t="shared" si="12"/>
        <v>0</v>
      </c>
      <c r="Q13" s="16" t="str">
        <f t="shared" si="13"/>
        <v/>
      </c>
      <c r="R13" s="16">
        <f t="shared" si="14"/>
        <v>44.55</v>
      </c>
      <c r="S13" s="31" t="str">
        <f t="shared" si="15"/>
        <v>(Vol 2)</v>
      </c>
      <c r="T13" s="16" t="str">
        <f t="shared" si="16"/>
        <v>2018 Pacific Rim (Apr)</v>
      </c>
      <c r="U13" s="49"/>
      <c r="V13" s="49"/>
      <c r="W13" s="49"/>
      <c r="X13" s="49"/>
      <c r="Y13" s="49"/>
      <c r="Z13" s="49"/>
      <c r="AA13" s="49"/>
      <c r="AB13" s="49"/>
      <c r="AC13" s="49"/>
      <c r="AD13" s="49"/>
      <c r="AE13" s="49"/>
      <c r="AF13" s="49"/>
      <c r="AG13" s="49"/>
      <c r="AH13" s="49"/>
      <c r="AI13" s="49"/>
      <c r="AJ13" s="13" t="str">
        <f t="shared" si="17"/>
        <v/>
      </c>
      <c r="AK13" s="13" t="str">
        <f t="shared" si="18"/>
        <v/>
      </c>
      <c r="AL13" s="13" t="str">
        <f t="shared" si="19"/>
        <v/>
      </c>
      <c r="AM13" s="13" t="str">
        <f t="shared" si="20"/>
        <v/>
      </c>
      <c r="AN13" s="13" t="str">
        <f t="shared" si="21"/>
        <v/>
      </c>
      <c r="AO13" s="13" t="str">
        <f t="shared" si="22"/>
        <v/>
      </c>
      <c r="AP13" s="50"/>
      <c r="AQ13" s="50"/>
      <c r="AR13" s="50"/>
      <c r="AS13" s="50"/>
      <c r="AT13" s="50"/>
      <c r="AU13" s="50"/>
      <c r="AV13" s="50"/>
      <c r="AW13" s="50"/>
      <c r="AX13" s="50"/>
      <c r="AY13" s="50"/>
      <c r="AZ13" s="50"/>
      <c r="BA13" s="50"/>
      <c r="BB13" s="50"/>
      <c r="BC13" s="50"/>
      <c r="BD13" s="50"/>
      <c r="BE13" s="16" t="str">
        <f t="shared" si="23"/>
        <v/>
      </c>
      <c r="BF13" s="16" t="str">
        <f t="shared" si="24"/>
        <v/>
      </c>
      <c r="BG13" s="16" t="str">
        <f t="shared" si="25"/>
        <v/>
      </c>
      <c r="BH13" s="16" t="str">
        <f t="shared" si="26"/>
        <v/>
      </c>
      <c r="BI13" s="16" t="str">
        <f t="shared" si="27"/>
        <v/>
      </c>
      <c r="BJ13" s="16" t="str">
        <f t="shared" si="28"/>
        <v/>
      </c>
      <c r="BK13" s="47"/>
      <c r="BL13" s="47"/>
      <c r="BM13" s="47"/>
      <c r="BN13" s="47"/>
      <c r="BO13" s="47"/>
      <c r="BP13" s="47"/>
      <c r="BQ13" s="47"/>
      <c r="BR13" s="47"/>
      <c r="BS13" s="47"/>
      <c r="BT13" s="47"/>
      <c r="BU13" s="47"/>
      <c r="BV13" s="47"/>
      <c r="BW13" s="47"/>
      <c r="BX13" s="47"/>
      <c r="BY13" s="47"/>
      <c r="BZ13" s="13" t="str">
        <f t="shared" si="29"/>
        <v/>
      </c>
      <c r="CA13" s="13" t="str">
        <f t="shared" si="30"/>
        <v/>
      </c>
      <c r="CB13" s="13" t="str">
        <f t="shared" si="31"/>
        <v/>
      </c>
      <c r="CC13" s="13" t="str">
        <f t="shared" si="32"/>
        <v/>
      </c>
      <c r="CD13" s="13" t="str">
        <f t="shared" si="33"/>
        <v/>
      </c>
      <c r="CE13" s="13" t="str">
        <f t="shared" si="34"/>
        <v/>
      </c>
      <c r="CF13" s="30">
        <f t="shared" si="35"/>
        <v>14.280000000000001</v>
      </c>
      <c r="CG13" s="30">
        <f t="shared" si="36"/>
        <v>44.55</v>
      </c>
      <c r="CH13" s="30" t="str">
        <f t="shared" si="37"/>
        <v/>
      </c>
      <c r="CI13" s="47"/>
      <c r="CJ13" s="47"/>
      <c r="CK13" s="47"/>
      <c r="CL13" s="47"/>
      <c r="CM13" s="47"/>
      <c r="CN13" s="47"/>
      <c r="CO13" s="47"/>
      <c r="CP13" s="47"/>
      <c r="CQ13" s="47"/>
      <c r="CR13" s="47"/>
      <c r="CS13" s="47"/>
      <c r="CT13" s="47"/>
      <c r="CU13" s="47"/>
      <c r="CV13" s="47"/>
      <c r="CW13" s="47"/>
      <c r="CX13" s="13" t="str">
        <f t="shared" si="38"/>
        <v/>
      </c>
      <c r="CY13" s="13" t="str">
        <f t="shared" si="39"/>
        <v/>
      </c>
      <c r="CZ13" s="13" t="str">
        <f t="shared" si="40"/>
        <v/>
      </c>
      <c r="DA13" s="13" t="str">
        <f t="shared" si="41"/>
        <v/>
      </c>
      <c r="DB13" s="13" t="str">
        <f t="shared" si="42"/>
        <v/>
      </c>
      <c r="DC13" s="13" t="str">
        <f t="shared" si="43"/>
        <v/>
      </c>
      <c r="DD13" s="48">
        <v>3.45</v>
      </c>
      <c r="DE13" s="48">
        <v>3.85</v>
      </c>
      <c r="DF13" s="48">
        <v>0</v>
      </c>
      <c r="DG13" s="48">
        <v>6.98</v>
      </c>
      <c r="DH13" s="48">
        <v>0</v>
      </c>
      <c r="DI13" s="48">
        <v>8.25</v>
      </c>
      <c r="DJ13" s="48">
        <v>9.4</v>
      </c>
      <c r="DK13" s="48">
        <v>10.3</v>
      </c>
      <c r="DL13" s="48">
        <v>16.600000000000001</v>
      </c>
      <c r="DM13" s="48">
        <v>0</v>
      </c>
      <c r="DN13" s="48"/>
      <c r="DO13" s="48"/>
      <c r="DP13" s="48"/>
      <c r="DQ13" s="48"/>
      <c r="DR13" s="48"/>
      <c r="DS13" s="16">
        <f t="shared" si="44"/>
        <v>10.3</v>
      </c>
      <c r="DT13" s="16">
        <f t="shared" si="45"/>
        <v>14.280000000000001</v>
      </c>
      <c r="DU13" s="16">
        <f t="shared" si="46"/>
        <v>44.55</v>
      </c>
      <c r="DV13" s="16">
        <f t="shared" si="47"/>
        <v>58.83</v>
      </c>
      <c r="DW13" s="16" t="str">
        <f t="shared" si="48"/>
        <v/>
      </c>
      <c r="DX13" s="16">
        <f t="shared" si="49"/>
        <v>58.83</v>
      </c>
      <c r="DY13" s="47"/>
      <c r="DZ13" s="47"/>
      <c r="EA13" s="47"/>
      <c r="EB13" s="47"/>
      <c r="EC13" s="47"/>
      <c r="ED13" s="47"/>
      <c r="EE13" s="47"/>
      <c r="EF13" s="47"/>
      <c r="EG13" s="47"/>
      <c r="EH13" s="47"/>
      <c r="EI13" s="47"/>
      <c r="EJ13" s="47"/>
      <c r="EK13" s="47"/>
      <c r="EL13" s="47"/>
      <c r="EM13" s="47"/>
      <c r="EN13" s="13" t="str">
        <f t="shared" si="50"/>
        <v/>
      </c>
      <c r="EO13" s="13" t="str">
        <f t="shared" si="51"/>
        <v/>
      </c>
      <c r="EP13" s="13" t="str">
        <f t="shared" si="52"/>
        <v/>
      </c>
      <c r="EQ13" s="13" t="str">
        <f t="shared" si="53"/>
        <v/>
      </c>
      <c r="ER13" s="13" t="str">
        <f t="shared" si="54"/>
        <v/>
      </c>
      <c r="ES13" s="13" t="str">
        <f t="shared" si="55"/>
        <v/>
      </c>
      <c r="ET13" s="48"/>
      <c r="EU13" s="48"/>
      <c r="EV13" s="48"/>
      <c r="EW13" s="48"/>
      <c r="EX13" s="48"/>
      <c r="EY13" s="48"/>
      <c r="EZ13" s="48"/>
      <c r="FA13" s="48"/>
      <c r="FB13" s="48"/>
      <c r="FC13" s="48"/>
      <c r="FD13" s="48"/>
      <c r="FE13" s="48"/>
      <c r="FF13" s="48"/>
      <c r="FG13" s="48"/>
      <c r="FH13" s="48"/>
      <c r="FI13" s="16" t="str">
        <f t="shared" si="56"/>
        <v/>
      </c>
      <c r="FJ13" s="16" t="str">
        <f t="shared" si="57"/>
        <v/>
      </c>
      <c r="FK13" s="16" t="str">
        <f t="shared" si="58"/>
        <v/>
      </c>
      <c r="FL13" s="16" t="str">
        <f t="shared" si="59"/>
        <v/>
      </c>
      <c r="FM13" s="16" t="str">
        <f t="shared" si="60"/>
        <v/>
      </c>
      <c r="FN13" s="16" t="str">
        <f t="shared" si="61"/>
        <v/>
      </c>
      <c r="FO13" s="47"/>
      <c r="FP13" s="47"/>
      <c r="FQ13" s="47"/>
      <c r="FR13" s="47"/>
      <c r="FS13" s="47"/>
      <c r="FT13" s="47"/>
      <c r="FU13" s="47"/>
      <c r="FV13" s="47"/>
      <c r="FW13" s="47"/>
      <c r="FX13" s="47"/>
      <c r="FY13" s="47"/>
      <c r="FZ13" s="47"/>
      <c r="GA13" s="47"/>
      <c r="GB13" s="47"/>
      <c r="GC13" s="47"/>
      <c r="GD13" s="13" t="str">
        <f t="shared" si="62"/>
        <v/>
      </c>
      <c r="GE13" s="13" t="str">
        <f t="shared" si="63"/>
        <v/>
      </c>
      <c r="GF13" s="13" t="str">
        <f t="shared" si="64"/>
        <v/>
      </c>
      <c r="GG13" s="13" t="str">
        <f t="shared" si="65"/>
        <v/>
      </c>
      <c r="GH13" s="13" t="str">
        <f t="shared" si="66"/>
        <v/>
      </c>
      <c r="GI13" s="13" t="str">
        <f t="shared" si="67"/>
        <v/>
      </c>
      <c r="GJ13" s="48"/>
      <c r="GK13" s="48"/>
      <c r="GL13" s="48"/>
      <c r="GM13" s="48"/>
      <c r="GN13" s="48"/>
      <c r="GO13" s="48"/>
      <c r="GP13" s="48"/>
      <c r="GQ13" s="48"/>
      <c r="GR13" s="48"/>
      <c r="GS13" s="48"/>
      <c r="GT13" s="48"/>
      <c r="GU13" s="48"/>
      <c r="GV13" s="48"/>
      <c r="GW13" s="48"/>
      <c r="GX13" s="48"/>
      <c r="GY13" s="16" t="str">
        <f t="shared" si="68"/>
        <v/>
      </c>
      <c r="GZ13" s="16" t="str">
        <f t="shared" si="69"/>
        <v/>
      </c>
      <c r="HA13" s="16" t="str">
        <f t="shared" si="70"/>
        <v/>
      </c>
      <c r="HB13" s="16" t="str">
        <f t="shared" si="71"/>
        <v/>
      </c>
      <c r="HC13" s="16" t="str">
        <f t="shared" si="72"/>
        <v/>
      </c>
      <c r="HD13" s="16" t="str">
        <f t="shared" si="73"/>
        <v/>
      </c>
      <c r="HE13" s="47"/>
      <c r="HF13" s="47"/>
      <c r="HG13" s="47"/>
      <c r="HH13" s="47"/>
      <c r="HI13" s="47"/>
      <c r="HJ13" s="47"/>
      <c r="HK13" s="47"/>
      <c r="HL13" s="47"/>
      <c r="HM13" s="47"/>
      <c r="HN13" s="47"/>
      <c r="HO13" s="47"/>
      <c r="HP13" s="47"/>
      <c r="HQ13" s="47"/>
      <c r="HR13" s="47"/>
      <c r="HS13" s="47"/>
      <c r="HT13" s="13" t="str">
        <f t="shared" si="74"/>
        <v/>
      </c>
      <c r="HU13" s="13" t="str">
        <f t="shared" si="75"/>
        <v/>
      </c>
      <c r="HV13" s="13" t="str">
        <f t="shared" si="76"/>
        <v/>
      </c>
      <c r="HW13" s="13" t="str">
        <f t="shared" si="77"/>
        <v/>
      </c>
      <c r="HX13" s="13" t="str">
        <f t="shared" si="78"/>
        <v/>
      </c>
      <c r="HY13" s="13" t="str">
        <f t="shared" si="79"/>
        <v/>
      </c>
      <c r="HZ13" s="48"/>
      <c r="IA13" s="48"/>
      <c r="IB13" s="48"/>
      <c r="IC13" s="48"/>
      <c r="ID13" s="48"/>
      <c r="IE13" s="48"/>
      <c r="IF13" s="48"/>
      <c r="IG13" s="48"/>
      <c r="IH13" s="48"/>
      <c r="II13" s="48"/>
      <c r="IJ13" s="48"/>
      <c r="IK13" s="48"/>
      <c r="IL13" s="48"/>
      <c r="IM13" s="48"/>
      <c r="IN13" s="48"/>
      <c r="IO13" s="16" t="str">
        <f t="shared" si="80"/>
        <v/>
      </c>
      <c r="IP13" s="16" t="str">
        <f t="shared" si="81"/>
        <v/>
      </c>
      <c r="IQ13" s="16" t="str">
        <f t="shared" si="82"/>
        <v/>
      </c>
      <c r="IR13" s="16" t="str">
        <f t="shared" si="83"/>
        <v/>
      </c>
      <c r="IS13" s="16" t="str">
        <f t="shared" si="84"/>
        <v/>
      </c>
      <c r="IT13" s="16" t="str">
        <f t="shared" si="85"/>
        <v/>
      </c>
      <c r="IU13" s="47"/>
      <c r="IV13" s="47"/>
      <c r="IW13" s="47"/>
      <c r="IX13" s="47"/>
      <c r="IY13" s="47"/>
      <c r="IZ13" s="47"/>
      <c r="JA13" s="47"/>
      <c r="JB13" s="47"/>
      <c r="JC13" s="47"/>
      <c r="JD13" s="47"/>
      <c r="JE13" s="47"/>
      <c r="JF13" s="47"/>
      <c r="JG13" s="47"/>
      <c r="JH13" s="47"/>
      <c r="JI13" s="47"/>
      <c r="JJ13" s="13" t="str">
        <f t="shared" si="86"/>
        <v/>
      </c>
      <c r="JK13" s="13" t="str">
        <f t="shared" si="87"/>
        <v/>
      </c>
      <c r="JL13" s="13" t="str">
        <f t="shared" si="88"/>
        <v/>
      </c>
      <c r="JM13" s="13" t="str">
        <f t="shared" si="89"/>
        <v/>
      </c>
      <c r="JN13" s="13" t="str">
        <f t="shared" si="90"/>
        <v/>
      </c>
      <c r="JO13" s="13" t="str">
        <f t="shared" si="91"/>
        <v/>
      </c>
      <c r="JP13" s="48"/>
      <c r="JQ13" s="48"/>
      <c r="JR13" s="48"/>
      <c r="JS13" s="48"/>
      <c r="JT13" s="48"/>
      <c r="JU13" s="48"/>
      <c r="JV13" s="48"/>
      <c r="JW13" s="48"/>
      <c r="JX13" s="48"/>
      <c r="JY13" s="48"/>
      <c r="JZ13" s="48"/>
      <c r="KA13" s="48"/>
      <c r="KB13" s="48"/>
      <c r="KC13" s="48"/>
      <c r="KD13" s="48"/>
      <c r="KE13" s="16" t="str">
        <f t="shared" si="92"/>
        <v/>
      </c>
      <c r="KF13" s="16" t="str">
        <f t="shared" si="93"/>
        <v/>
      </c>
      <c r="KG13" s="16" t="str">
        <f t="shared" si="94"/>
        <v/>
      </c>
      <c r="KH13" s="16" t="str">
        <f t="shared" si="95"/>
        <v/>
      </c>
      <c r="KI13" s="16" t="str">
        <f t="shared" si="96"/>
        <v/>
      </c>
      <c r="KJ13" s="16" t="str">
        <f t="shared" si="97"/>
        <v/>
      </c>
      <c r="KK13" s="47"/>
      <c r="KL13" s="47"/>
      <c r="KM13" s="47"/>
      <c r="KN13" s="47"/>
      <c r="KO13" s="47"/>
      <c r="KP13" s="47"/>
      <c r="KQ13" s="47"/>
      <c r="KR13" s="47"/>
      <c r="KS13" s="47"/>
      <c r="KT13" s="47"/>
      <c r="KU13" s="47"/>
      <c r="KV13" s="47"/>
      <c r="KW13" s="47"/>
      <c r="KX13" s="47"/>
      <c r="KY13" s="47"/>
      <c r="KZ13" s="13" t="str">
        <f t="shared" si="98"/>
        <v/>
      </c>
      <c r="LA13" s="13" t="str">
        <f t="shared" si="99"/>
        <v/>
      </c>
      <c r="LB13" s="13" t="str">
        <f t="shared" si="100"/>
        <v/>
      </c>
      <c r="LC13" s="13" t="str">
        <f t="shared" si="101"/>
        <v/>
      </c>
      <c r="LD13" s="13" t="str">
        <f t="shared" si="102"/>
        <v/>
      </c>
      <c r="LE13" s="13" t="str">
        <f t="shared" si="103"/>
        <v/>
      </c>
      <c r="LF13" s="48"/>
      <c r="LG13" s="48"/>
      <c r="LH13" s="48"/>
      <c r="LI13" s="48"/>
      <c r="LJ13" s="48"/>
      <c r="LK13" s="48"/>
      <c r="LL13" s="48"/>
      <c r="LM13" s="48"/>
      <c r="LN13" s="48"/>
      <c r="LO13" s="48"/>
      <c r="LP13" s="48"/>
      <c r="LQ13" s="48"/>
      <c r="LR13" s="48"/>
      <c r="LS13" s="48"/>
      <c r="LT13" s="48"/>
      <c r="LU13" s="16" t="str">
        <f t="shared" si="104"/>
        <v/>
      </c>
      <c r="LV13" s="16" t="str">
        <f t="shared" si="105"/>
        <v/>
      </c>
      <c r="LW13" s="16" t="str">
        <f t="shared" si="106"/>
        <v/>
      </c>
      <c r="LX13" s="16" t="str">
        <f t="shared" si="107"/>
        <v/>
      </c>
      <c r="LY13" s="16" t="str">
        <f t="shared" si="108"/>
        <v/>
      </c>
      <c r="LZ13" s="16" t="str">
        <f t="shared" si="109"/>
        <v/>
      </c>
    </row>
    <row r="14" spans="1:338" x14ac:dyDescent="0.2">
      <c r="A14" s="6" t="str">
        <f t="shared" si="0"/>
        <v/>
      </c>
      <c r="B14" s="9" t="s">
        <v>160</v>
      </c>
      <c r="C14" s="5" t="s">
        <v>13</v>
      </c>
      <c r="D14" s="33"/>
      <c r="E14" s="17">
        <f t="shared" si="1"/>
        <v>35.849999999999994</v>
      </c>
      <c r="F14" s="4" t="str">
        <f t="shared" si="2"/>
        <v/>
      </c>
      <c r="G14" s="4" t="str">
        <f t="shared" si="3"/>
        <v/>
      </c>
      <c r="H14" s="4" t="str">
        <f t="shared" si="4"/>
        <v/>
      </c>
      <c r="I14" t="str">
        <f t="shared" si="5"/>
        <v/>
      </c>
      <c r="J14" s="16">
        <f t="shared" si="6"/>
        <v>0</v>
      </c>
      <c r="K14" s="16" t="str">
        <f t="shared" si="7"/>
        <v/>
      </c>
      <c r="L14" s="16">
        <f t="shared" si="8"/>
        <v>0</v>
      </c>
      <c r="M14" s="16" t="str">
        <f t="shared" si="9"/>
        <v/>
      </c>
      <c r="N14" s="16">
        <f t="shared" si="10"/>
        <v>0</v>
      </c>
      <c r="O14" s="16" t="str">
        <f t="shared" si="11"/>
        <v/>
      </c>
      <c r="P14" s="16">
        <f t="shared" si="12"/>
        <v>0</v>
      </c>
      <c r="Q14" s="16" t="str">
        <f t="shared" si="13"/>
        <v/>
      </c>
      <c r="R14" s="16">
        <f t="shared" si="14"/>
        <v>35.849999999999994</v>
      </c>
      <c r="S14" s="31" t="str">
        <f t="shared" si="15"/>
        <v>(Vol 2)</v>
      </c>
      <c r="T14" s="16" t="str">
        <f t="shared" si="16"/>
        <v>2018 Junior Pan Am Championships (June)</v>
      </c>
      <c r="U14" s="49"/>
      <c r="V14" s="49"/>
      <c r="W14" s="49"/>
      <c r="X14" s="49"/>
      <c r="Y14" s="49"/>
      <c r="Z14" s="49"/>
      <c r="AA14" s="49"/>
      <c r="AB14" s="49"/>
      <c r="AC14" s="49"/>
      <c r="AD14" s="49"/>
      <c r="AE14" s="49"/>
      <c r="AF14" s="49"/>
      <c r="AG14" s="49"/>
      <c r="AH14" s="49"/>
      <c r="AI14" s="49"/>
      <c r="AJ14" s="13" t="str">
        <f t="shared" si="17"/>
        <v/>
      </c>
      <c r="AK14" s="13" t="str">
        <f t="shared" si="18"/>
        <v/>
      </c>
      <c r="AL14" s="13" t="str">
        <f t="shared" si="19"/>
        <v/>
      </c>
      <c r="AM14" s="13" t="str">
        <f t="shared" si="20"/>
        <v/>
      </c>
      <c r="AN14" s="13" t="str">
        <f t="shared" si="21"/>
        <v/>
      </c>
      <c r="AO14" s="13" t="str">
        <f t="shared" si="22"/>
        <v/>
      </c>
      <c r="AP14" s="50"/>
      <c r="AQ14" s="50"/>
      <c r="AR14" s="50"/>
      <c r="AS14" s="50"/>
      <c r="AT14" s="50"/>
      <c r="AU14" s="50"/>
      <c r="AV14" s="50"/>
      <c r="AW14" s="50"/>
      <c r="AX14" s="50"/>
      <c r="AY14" s="50"/>
      <c r="AZ14" s="50"/>
      <c r="BA14" s="50"/>
      <c r="BB14" s="50"/>
      <c r="BC14" s="50"/>
      <c r="BD14" s="50"/>
      <c r="BE14" s="16" t="str">
        <f t="shared" si="23"/>
        <v/>
      </c>
      <c r="BF14" s="16" t="str">
        <f t="shared" si="24"/>
        <v/>
      </c>
      <c r="BG14" s="16" t="str">
        <f t="shared" si="25"/>
        <v/>
      </c>
      <c r="BH14" s="16" t="str">
        <f t="shared" si="26"/>
        <v/>
      </c>
      <c r="BI14" s="16" t="str">
        <f t="shared" si="27"/>
        <v/>
      </c>
      <c r="BJ14" s="16" t="str">
        <f t="shared" si="28"/>
        <v/>
      </c>
      <c r="BK14" s="47"/>
      <c r="BL14" s="47"/>
      <c r="BM14" s="47"/>
      <c r="BN14" s="47"/>
      <c r="BO14" s="47"/>
      <c r="BP14" s="47"/>
      <c r="BQ14" s="47"/>
      <c r="BR14" s="47"/>
      <c r="BS14" s="47"/>
      <c r="BT14" s="47"/>
      <c r="BU14" s="47"/>
      <c r="BV14" s="47"/>
      <c r="BW14" s="47"/>
      <c r="BX14" s="47"/>
      <c r="BY14" s="47"/>
      <c r="BZ14" s="13" t="str">
        <f t="shared" si="29"/>
        <v/>
      </c>
      <c r="CA14" s="13" t="str">
        <f t="shared" si="30"/>
        <v/>
      </c>
      <c r="CB14" s="13" t="str">
        <f t="shared" si="31"/>
        <v/>
      </c>
      <c r="CC14" s="13" t="str">
        <f t="shared" si="32"/>
        <v/>
      </c>
      <c r="CD14" s="13" t="str">
        <f t="shared" si="33"/>
        <v/>
      </c>
      <c r="CE14" s="13" t="str">
        <f t="shared" si="34"/>
        <v/>
      </c>
      <c r="CF14" s="30">
        <f t="shared" si="35"/>
        <v>34.4</v>
      </c>
      <c r="CG14" s="30">
        <f t="shared" si="36"/>
        <v>35.849999999999994</v>
      </c>
      <c r="CH14" s="30" t="str">
        <f t="shared" si="37"/>
        <v/>
      </c>
      <c r="CI14" s="47"/>
      <c r="CJ14" s="47"/>
      <c r="CK14" s="47"/>
      <c r="CL14" s="47"/>
      <c r="CM14" s="47"/>
      <c r="CN14" s="47"/>
      <c r="CO14" s="47"/>
      <c r="CP14" s="47"/>
      <c r="CQ14" s="47"/>
      <c r="CR14" s="47"/>
      <c r="CS14" s="47"/>
      <c r="CT14" s="47"/>
      <c r="CU14" s="47"/>
      <c r="CV14" s="47"/>
      <c r="CW14" s="47"/>
      <c r="CX14" s="13" t="str">
        <f t="shared" si="38"/>
        <v/>
      </c>
      <c r="CY14" s="13" t="str">
        <f t="shared" si="39"/>
        <v/>
      </c>
      <c r="CZ14" s="13" t="str">
        <f t="shared" si="40"/>
        <v/>
      </c>
      <c r="DA14" s="13" t="str">
        <f t="shared" si="41"/>
        <v/>
      </c>
      <c r="DB14" s="13" t="str">
        <f t="shared" si="42"/>
        <v/>
      </c>
      <c r="DC14" s="13" t="str">
        <f t="shared" si="43"/>
        <v/>
      </c>
      <c r="DD14" s="48"/>
      <c r="DE14" s="48"/>
      <c r="DF14" s="48"/>
      <c r="DG14" s="48"/>
      <c r="DH14" s="48"/>
      <c r="DI14" s="48"/>
      <c r="DJ14" s="48"/>
      <c r="DK14" s="48"/>
      <c r="DL14" s="48"/>
      <c r="DM14" s="48"/>
      <c r="DN14" s="48"/>
      <c r="DO14" s="48"/>
      <c r="DP14" s="48"/>
      <c r="DQ14" s="48"/>
      <c r="DR14" s="48"/>
      <c r="DS14" s="16" t="str">
        <f t="shared" si="44"/>
        <v/>
      </c>
      <c r="DT14" s="16" t="str">
        <f t="shared" si="45"/>
        <v/>
      </c>
      <c r="DU14" s="16" t="str">
        <f t="shared" si="46"/>
        <v/>
      </c>
      <c r="DV14" s="16" t="str">
        <f t="shared" si="47"/>
        <v/>
      </c>
      <c r="DW14" s="16" t="str">
        <f t="shared" si="48"/>
        <v/>
      </c>
      <c r="DX14" s="16" t="str">
        <f t="shared" si="49"/>
        <v/>
      </c>
      <c r="DY14" s="47">
        <v>8.1999999999999993</v>
      </c>
      <c r="DZ14" s="47">
        <v>9.1999999999999993</v>
      </c>
      <c r="EA14" s="47">
        <v>0</v>
      </c>
      <c r="EB14" s="47">
        <v>17</v>
      </c>
      <c r="EC14" s="47">
        <v>0</v>
      </c>
      <c r="ED14" s="47">
        <v>6.35</v>
      </c>
      <c r="EE14" s="47">
        <v>7.6</v>
      </c>
      <c r="EF14" s="47">
        <v>8.6999999999999993</v>
      </c>
      <c r="EG14" s="47">
        <v>13.2</v>
      </c>
      <c r="EH14" s="47">
        <v>0</v>
      </c>
      <c r="EI14" s="47"/>
      <c r="EJ14" s="47"/>
      <c r="EK14" s="47"/>
      <c r="EL14" s="47"/>
      <c r="EM14" s="47"/>
      <c r="EN14" s="13">
        <f t="shared" si="50"/>
        <v>8.6999999999999993</v>
      </c>
      <c r="EO14" s="13">
        <f t="shared" si="51"/>
        <v>34.4</v>
      </c>
      <c r="EP14" s="13">
        <f t="shared" si="52"/>
        <v>35.849999999999994</v>
      </c>
      <c r="EQ14" s="13">
        <f t="shared" si="53"/>
        <v>70.25</v>
      </c>
      <c r="ER14" s="13" t="str">
        <f t="shared" si="54"/>
        <v/>
      </c>
      <c r="ES14" s="13">
        <f t="shared" si="55"/>
        <v>70.25</v>
      </c>
      <c r="ET14" s="48"/>
      <c r="EU14" s="48"/>
      <c r="EV14" s="48"/>
      <c r="EW14" s="48"/>
      <c r="EX14" s="48"/>
      <c r="EY14" s="48"/>
      <c r="EZ14" s="48"/>
      <c r="FA14" s="48"/>
      <c r="FB14" s="48"/>
      <c r="FC14" s="48"/>
      <c r="FD14" s="48"/>
      <c r="FE14" s="48"/>
      <c r="FF14" s="48"/>
      <c r="FG14" s="48"/>
      <c r="FH14" s="48"/>
      <c r="FI14" s="16" t="str">
        <f t="shared" si="56"/>
        <v/>
      </c>
      <c r="FJ14" s="16" t="str">
        <f t="shared" si="57"/>
        <v/>
      </c>
      <c r="FK14" s="16" t="str">
        <f t="shared" si="58"/>
        <v/>
      </c>
      <c r="FL14" s="16" t="str">
        <f t="shared" si="59"/>
        <v/>
      </c>
      <c r="FM14" s="16" t="str">
        <f t="shared" si="60"/>
        <v/>
      </c>
      <c r="FN14" s="16" t="str">
        <f t="shared" si="61"/>
        <v/>
      </c>
      <c r="FO14" s="47"/>
      <c r="FP14" s="47"/>
      <c r="FQ14" s="47"/>
      <c r="FR14" s="47"/>
      <c r="FS14" s="47"/>
      <c r="FT14" s="47"/>
      <c r="FU14" s="47"/>
      <c r="FV14" s="47"/>
      <c r="FW14" s="47"/>
      <c r="FX14" s="47"/>
      <c r="FY14" s="47"/>
      <c r="FZ14" s="47"/>
      <c r="GA14" s="47"/>
      <c r="GB14" s="47"/>
      <c r="GC14" s="47"/>
      <c r="GD14" s="13" t="str">
        <f t="shared" si="62"/>
        <v/>
      </c>
      <c r="GE14" s="13" t="str">
        <f t="shared" si="63"/>
        <v/>
      </c>
      <c r="GF14" s="13" t="str">
        <f t="shared" si="64"/>
        <v/>
      </c>
      <c r="GG14" s="13" t="str">
        <f t="shared" si="65"/>
        <v/>
      </c>
      <c r="GH14" s="13" t="str">
        <f t="shared" si="66"/>
        <v/>
      </c>
      <c r="GI14" s="13" t="str">
        <f t="shared" si="67"/>
        <v/>
      </c>
      <c r="GJ14" s="48"/>
      <c r="GK14" s="48"/>
      <c r="GL14" s="48"/>
      <c r="GM14" s="48"/>
      <c r="GN14" s="48"/>
      <c r="GO14" s="48"/>
      <c r="GP14" s="48"/>
      <c r="GQ14" s="48"/>
      <c r="GR14" s="48"/>
      <c r="GS14" s="48"/>
      <c r="GT14" s="48"/>
      <c r="GU14" s="48"/>
      <c r="GV14" s="48"/>
      <c r="GW14" s="48"/>
      <c r="GX14" s="48"/>
      <c r="GY14" s="16" t="str">
        <f t="shared" si="68"/>
        <v/>
      </c>
      <c r="GZ14" s="16" t="str">
        <f t="shared" si="69"/>
        <v/>
      </c>
      <c r="HA14" s="16" t="str">
        <f t="shared" si="70"/>
        <v/>
      </c>
      <c r="HB14" s="16" t="str">
        <f t="shared" si="71"/>
        <v/>
      </c>
      <c r="HC14" s="16" t="str">
        <f t="shared" si="72"/>
        <v/>
      </c>
      <c r="HD14" s="16" t="str">
        <f t="shared" si="73"/>
        <v/>
      </c>
      <c r="HE14" s="47"/>
      <c r="HF14" s="47"/>
      <c r="HG14" s="47"/>
      <c r="HH14" s="47"/>
      <c r="HI14" s="47"/>
      <c r="HJ14" s="47"/>
      <c r="HK14" s="47"/>
      <c r="HL14" s="47"/>
      <c r="HM14" s="47"/>
      <c r="HN14" s="47"/>
      <c r="HO14" s="47"/>
      <c r="HP14" s="47"/>
      <c r="HQ14" s="47"/>
      <c r="HR14" s="47"/>
      <c r="HS14" s="47"/>
      <c r="HT14" s="13" t="str">
        <f t="shared" si="74"/>
        <v/>
      </c>
      <c r="HU14" s="13" t="str">
        <f t="shared" si="75"/>
        <v/>
      </c>
      <c r="HV14" s="13" t="str">
        <f t="shared" si="76"/>
        <v/>
      </c>
      <c r="HW14" s="13" t="str">
        <f t="shared" si="77"/>
        <v/>
      </c>
      <c r="HX14" s="13" t="str">
        <f t="shared" si="78"/>
        <v/>
      </c>
      <c r="HY14" s="13" t="str">
        <f t="shared" si="79"/>
        <v/>
      </c>
      <c r="HZ14" s="48"/>
      <c r="IA14" s="48"/>
      <c r="IB14" s="48"/>
      <c r="IC14" s="48"/>
      <c r="ID14" s="48"/>
      <c r="IE14" s="48"/>
      <c r="IF14" s="48"/>
      <c r="IG14" s="48"/>
      <c r="IH14" s="48"/>
      <c r="II14" s="48"/>
      <c r="IJ14" s="48"/>
      <c r="IK14" s="48"/>
      <c r="IL14" s="48"/>
      <c r="IM14" s="48"/>
      <c r="IN14" s="48"/>
      <c r="IO14" s="16" t="str">
        <f t="shared" si="80"/>
        <v/>
      </c>
      <c r="IP14" s="16" t="str">
        <f t="shared" si="81"/>
        <v/>
      </c>
      <c r="IQ14" s="16" t="str">
        <f t="shared" si="82"/>
        <v/>
      </c>
      <c r="IR14" s="16" t="str">
        <f t="shared" si="83"/>
        <v/>
      </c>
      <c r="IS14" s="16" t="str">
        <f t="shared" si="84"/>
        <v/>
      </c>
      <c r="IT14" s="16" t="str">
        <f t="shared" si="85"/>
        <v/>
      </c>
      <c r="IU14" s="47"/>
      <c r="IV14" s="47"/>
      <c r="IW14" s="47"/>
      <c r="IX14" s="47"/>
      <c r="IY14" s="47"/>
      <c r="IZ14" s="47"/>
      <c r="JA14" s="47"/>
      <c r="JB14" s="47"/>
      <c r="JC14" s="47"/>
      <c r="JD14" s="47"/>
      <c r="JE14" s="47"/>
      <c r="JF14" s="47"/>
      <c r="JG14" s="47"/>
      <c r="JH14" s="47"/>
      <c r="JI14" s="47"/>
      <c r="JJ14" s="13" t="str">
        <f t="shared" si="86"/>
        <v/>
      </c>
      <c r="JK14" s="13" t="str">
        <f t="shared" si="87"/>
        <v/>
      </c>
      <c r="JL14" s="13" t="str">
        <f t="shared" si="88"/>
        <v/>
      </c>
      <c r="JM14" s="13" t="str">
        <f t="shared" si="89"/>
        <v/>
      </c>
      <c r="JN14" s="13" t="str">
        <f t="shared" si="90"/>
        <v/>
      </c>
      <c r="JO14" s="13" t="str">
        <f t="shared" si="91"/>
        <v/>
      </c>
      <c r="JP14" s="48"/>
      <c r="JQ14" s="48"/>
      <c r="JR14" s="48"/>
      <c r="JS14" s="48"/>
      <c r="JT14" s="48"/>
      <c r="JU14" s="48"/>
      <c r="JV14" s="48"/>
      <c r="JW14" s="48"/>
      <c r="JX14" s="48"/>
      <c r="JY14" s="48"/>
      <c r="JZ14" s="48"/>
      <c r="KA14" s="48"/>
      <c r="KB14" s="48"/>
      <c r="KC14" s="48"/>
      <c r="KD14" s="48"/>
      <c r="KE14" s="16" t="str">
        <f t="shared" si="92"/>
        <v/>
      </c>
      <c r="KF14" s="16" t="str">
        <f t="shared" si="93"/>
        <v/>
      </c>
      <c r="KG14" s="16" t="str">
        <f t="shared" si="94"/>
        <v/>
      </c>
      <c r="KH14" s="16" t="str">
        <f t="shared" si="95"/>
        <v/>
      </c>
      <c r="KI14" s="16" t="str">
        <f t="shared" si="96"/>
        <v/>
      </c>
      <c r="KJ14" s="16" t="str">
        <f t="shared" si="97"/>
        <v/>
      </c>
      <c r="KK14" s="47"/>
      <c r="KL14" s="47"/>
      <c r="KM14" s="47"/>
      <c r="KN14" s="47"/>
      <c r="KO14" s="47"/>
      <c r="KP14" s="47"/>
      <c r="KQ14" s="47"/>
      <c r="KR14" s="47"/>
      <c r="KS14" s="47"/>
      <c r="KT14" s="47"/>
      <c r="KU14" s="47"/>
      <c r="KV14" s="47"/>
      <c r="KW14" s="47"/>
      <c r="KX14" s="47"/>
      <c r="KY14" s="47"/>
      <c r="KZ14" s="13" t="str">
        <f t="shared" si="98"/>
        <v/>
      </c>
      <c r="LA14" s="13" t="str">
        <f t="shared" si="99"/>
        <v/>
      </c>
      <c r="LB14" s="13" t="str">
        <f t="shared" si="100"/>
        <v/>
      </c>
      <c r="LC14" s="13" t="str">
        <f t="shared" si="101"/>
        <v/>
      </c>
      <c r="LD14" s="13" t="str">
        <f t="shared" si="102"/>
        <v/>
      </c>
      <c r="LE14" s="13" t="str">
        <f t="shared" si="103"/>
        <v/>
      </c>
      <c r="LF14" s="48"/>
      <c r="LG14" s="48"/>
      <c r="LH14" s="48"/>
      <c r="LI14" s="48"/>
      <c r="LJ14" s="48"/>
      <c r="LK14" s="48"/>
      <c r="LL14" s="48"/>
      <c r="LM14" s="48"/>
      <c r="LN14" s="48"/>
      <c r="LO14" s="48"/>
      <c r="LP14" s="48"/>
      <c r="LQ14" s="48"/>
      <c r="LR14" s="48"/>
      <c r="LS14" s="48"/>
      <c r="LT14" s="48"/>
      <c r="LU14" s="16" t="str">
        <f t="shared" si="104"/>
        <v/>
      </c>
      <c r="LV14" s="16" t="str">
        <f t="shared" si="105"/>
        <v/>
      </c>
      <c r="LW14" s="16" t="str">
        <f t="shared" si="106"/>
        <v/>
      </c>
      <c r="LX14" s="16" t="str">
        <f t="shared" si="107"/>
        <v/>
      </c>
      <c r="LY14" s="16" t="str">
        <f t="shared" si="108"/>
        <v/>
      </c>
      <c r="LZ14" s="16" t="str">
        <f t="shared" si="109"/>
        <v/>
      </c>
    </row>
    <row r="15" spans="1:338" x14ac:dyDescent="0.2">
      <c r="D15" s="1"/>
      <c r="S15" s="32"/>
    </row>
    <row r="17" spans="1:334" x14ac:dyDescent="0.2">
      <c r="B17" s="88" t="s">
        <v>123</v>
      </c>
      <c r="AJ17" s="71"/>
      <c r="AK17" s="80">
        <v>18</v>
      </c>
      <c r="BE17" s="71"/>
      <c r="BF17" s="80">
        <v>17.7</v>
      </c>
      <c r="BZ17" s="71"/>
      <c r="CA17" s="80">
        <v>17.7</v>
      </c>
      <c r="CX17" s="71"/>
      <c r="CY17" s="80">
        <v>18</v>
      </c>
      <c r="DS17" s="71"/>
      <c r="DT17" s="80">
        <v>17.7</v>
      </c>
      <c r="EN17" s="71"/>
      <c r="EO17" s="80">
        <v>17.7</v>
      </c>
      <c r="FI17" s="71"/>
      <c r="FJ17" s="80">
        <v>17.7</v>
      </c>
      <c r="GD17" s="71"/>
      <c r="GE17" s="80">
        <v>17.7</v>
      </c>
      <c r="GY17" s="71"/>
      <c r="GZ17" s="80">
        <v>17.7</v>
      </c>
      <c r="HT17" s="71"/>
      <c r="HU17" s="80">
        <v>17.7</v>
      </c>
      <c r="IO17" s="71"/>
      <c r="IP17" s="80">
        <v>17.7</v>
      </c>
      <c r="JJ17" s="71"/>
      <c r="JK17" s="80">
        <v>17.7</v>
      </c>
      <c r="KE17" s="71"/>
      <c r="KF17" s="80">
        <v>17.7</v>
      </c>
      <c r="KZ17" s="71"/>
      <c r="LA17" s="80">
        <v>17.7</v>
      </c>
      <c r="LU17" s="71"/>
      <c r="LV17" s="80">
        <v>17.7</v>
      </c>
    </row>
    <row r="18" spans="1:334" x14ac:dyDescent="0.2">
      <c r="A18" s="71"/>
      <c r="B18" s="89" t="s">
        <v>122</v>
      </c>
      <c r="C18" s="70"/>
      <c r="AJ18" s="71"/>
      <c r="AK18" s="81">
        <v>18</v>
      </c>
      <c r="BE18" s="71"/>
      <c r="BF18" s="81">
        <v>18.2</v>
      </c>
      <c r="BZ18" s="71"/>
      <c r="CA18" s="81">
        <v>18.2</v>
      </c>
      <c r="CX18" s="71"/>
      <c r="CY18" s="81">
        <v>18</v>
      </c>
      <c r="DS18" s="71"/>
      <c r="DT18" s="81">
        <v>18.2</v>
      </c>
      <c r="EN18" s="71"/>
      <c r="EO18" s="81">
        <v>18.2</v>
      </c>
      <c r="FI18" s="71"/>
      <c r="FJ18" s="81">
        <v>18.2</v>
      </c>
      <c r="GD18" s="71"/>
      <c r="GE18" s="81">
        <v>18.2</v>
      </c>
      <c r="GY18" s="71"/>
      <c r="GZ18" s="81">
        <v>18.2</v>
      </c>
      <c r="HT18" s="71"/>
      <c r="HU18" s="81">
        <v>18.2</v>
      </c>
      <c r="IO18" s="71"/>
      <c r="IP18" s="81">
        <v>18.2</v>
      </c>
      <c r="JJ18" s="71"/>
      <c r="JK18" s="81">
        <v>18.2</v>
      </c>
      <c r="KE18" s="71"/>
      <c r="KF18" s="81">
        <v>18.2</v>
      </c>
      <c r="KZ18" s="71"/>
      <c r="LA18" s="81">
        <v>18.2</v>
      </c>
      <c r="LU18" s="71"/>
      <c r="LV18" s="81">
        <v>18.2</v>
      </c>
    </row>
    <row r="19" spans="1:334" x14ac:dyDescent="0.2">
      <c r="A19" s="71"/>
      <c r="B19" s="90" t="s">
        <v>120</v>
      </c>
      <c r="C19" s="70"/>
      <c r="AJ19" s="71"/>
      <c r="AK19" s="82">
        <v>88.1</v>
      </c>
      <c r="BE19" s="71"/>
      <c r="BF19" s="82">
        <v>86.1</v>
      </c>
      <c r="BZ19" s="71"/>
      <c r="CA19" s="82">
        <v>86.1</v>
      </c>
      <c r="CX19" s="71"/>
      <c r="CY19" s="82">
        <v>88.1</v>
      </c>
      <c r="DS19" s="71"/>
      <c r="DT19" s="82">
        <v>86.1</v>
      </c>
      <c r="EN19" s="71"/>
      <c r="EO19" s="82">
        <v>86.1</v>
      </c>
      <c r="FI19" s="71"/>
      <c r="FJ19" s="82">
        <v>86.1</v>
      </c>
      <c r="GD19" s="71"/>
      <c r="GE19" s="82">
        <v>86.1</v>
      </c>
      <c r="GY19" s="71"/>
      <c r="GZ19" s="82">
        <v>86.1</v>
      </c>
      <c r="HT19" s="71"/>
      <c r="HU19" s="82">
        <v>86.1</v>
      </c>
      <c r="IO19" s="71"/>
      <c r="IP19" s="82">
        <v>86.1</v>
      </c>
      <c r="JJ19" s="71"/>
      <c r="JK19" s="82">
        <v>86.1</v>
      </c>
      <c r="KE19" s="71"/>
      <c r="KF19" s="82">
        <v>86.1</v>
      </c>
      <c r="KZ19" s="71"/>
      <c r="LA19" s="82">
        <v>86.1</v>
      </c>
      <c r="LU19" s="71"/>
      <c r="LV19" s="82">
        <v>86.1</v>
      </c>
    </row>
    <row r="20" spans="1:334" x14ac:dyDescent="0.2">
      <c r="A20" s="71"/>
      <c r="B20" s="91" t="s">
        <v>121</v>
      </c>
      <c r="C20" s="70"/>
      <c r="AJ20" s="71"/>
      <c r="AK20" s="83">
        <v>88.1</v>
      </c>
      <c r="BE20" s="71"/>
      <c r="BF20" s="83">
        <v>88.1</v>
      </c>
      <c r="BZ20" s="71"/>
      <c r="CA20" s="83">
        <v>88.1</v>
      </c>
      <c r="CX20" s="71"/>
      <c r="CY20" s="83">
        <v>88.1</v>
      </c>
      <c r="DS20" s="71"/>
      <c r="DT20" s="83">
        <v>88.1</v>
      </c>
      <c r="EN20" s="71"/>
      <c r="EO20" s="83">
        <v>88.1</v>
      </c>
      <c r="FI20" s="71"/>
      <c r="FJ20" s="83">
        <v>88.1</v>
      </c>
      <c r="GD20" s="71"/>
      <c r="GE20" s="83">
        <v>88.1</v>
      </c>
      <c r="GY20" s="71"/>
      <c r="GZ20" s="83">
        <v>88.1</v>
      </c>
      <c r="HT20" s="71"/>
      <c r="HU20" s="83">
        <v>88.1</v>
      </c>
      <c r="IO20" s="71"/>
      <c r="IP20" s="83">
        <v>88.1</v>
      </c>
      <c r="JJ20" s="71"/>
      <c r="JK20" s="83">
        <v>88.1</v>
      </c>
      <c r="KE20" s="71"/>
      <c r="KF20" s="83">
        <v>88.1</v>
      </c>
      <c r="KZ20" s="71"/>
      <c r="LA20" s="83">
        <v>88.1</v>
      </c>
      <c r="LU20" s="71"/>
      <c r="LV20" s="83">
        <v>88.1</v>
      </c>
    </row>
    <row r="21" spans="1:334" x14ac:dyDescent="0.2">
      <c r="A21" s="71"/>
      <c r="B21" s="92" t="s">
        <v>39</v>
      </c>
      <c r="C21" s="70"/>
      <c r="AJ21" s="71"/>
      <c r="AK21" s="84">
        <v>90.5</v>
      </c>
      <c r="BE21" s="71"/>
      <c r="BF21" s="84">
        <v>89.2</v>
      </c>
      <c r="BZ21" s="71"/>
      <c r="CA21" s="84">
        <v>89.2</v>
      </c>
      <c r="CX21" s="71"/>
      <c r="CY21" s="84">
        <v>90.5</v>
      </c>
      <c r="DS21" s="71"/>
      <c r="DT21" s="84">
        <v>89.2</v>
      </c>
      <c r="EN21" s="71"/>
      <c r="EO21" s="84">
        <v>89.2</v>
      </c>
      <c r="FI21" s="71"/>
      <c r="FJ21" s="84">
        <v>89.2</v>
      </c>
      <c r="GD21" s="71"/>
      <c r="GE21" s="84">
        <v>89.2</v>
      </c>
      <c r="GY21" s="71"/>
      <c r="GZ21" s="84">
        <v>89.2</v>
      </c>
      <c r="HT21" s="71"/>
      <c r="HU21" s="84">
        <v>89.2</v>
      </c>
      <c r="IO21" s="71"/>
      <c r="IP21" s="84">
        <v>89.2</v>
      </c>
      <c r="JJ21" s="71"/>
      <c r="JK21" s="84">
        <v>89.2</v>
      </c>
      <c r="KE21" s="71"/>
      <c r="KF21" s="84">
        <v>89.2</v>
      </c>
      <c r="KZ21" s="71"/>
      <c r="LA21" s="84">
        <v>89.2</v>
      </c>
      <c r="LU21" s="71"/>
      <c r="LV21" s="84">
        <v>89.2</v>
      </c>
    </row>
    <row r="22" spans="1:334" x14ac:dyDescent="0.2">
      <c r="A22" s="71"/>
      <c r="B22" s="93" t="s">
        <v>91</v>
      </c>
      <c r="C22" s="70"/>
      <c r="AJ22" s="71"/>
      <c r="AK22" s="85">
        <v>93.2</v>
      </c>
      <c r="BE22" s="71"/>
      <c r="BF22" s="85">
        <v>91</v>
      </c>
      <c r="BZ22" s="71"/>
      <c r="CA22" s="85">
        <v>91</v>
      </c>
      <c r="CX22" s="71"/>
      <c r="CY22" s="85">
        <v>93.2</v>
      </c>
      <c r="DS22" s="71"/>
      <c r="DT22" s="85">
        <v>91</v>
      </c>
      <c r="EN22" s="71"/>
      <c r="EO22" s="85">
        <v>91</v>
      </c>
      <c r="FI22" s="71"/>
      <c r="FJ22" s="85">
        <v>91</v>
      </c>
      <c r="GD22" s="71"/>
      <c r="GE22" s="85">
        <v>91</v>
      </c>
      <c r="GY22" s="71"/>
      <c r="GZ22" s="85">
        <v>91</v>
      </c>
      <c r="HT22" s="71"/>
      <c r="HU22" s="85">
        <v>91</v>
      </c>
      <c r="IO22" s="71"/>
      <c r="IP22" s="85">
        <v>91</v>
      </c>
      <c r="JJ22" s="71"/>
      <c r="JK22" s="85">
        <v>91</v>
      </c>
      <c r="KE22" s="71"/>
      <c r="KF22" s="85">
        <v>91</v>
      </c>
      <c r="KZ22" s="71"/>
      <c r="LA22" s="85">
        <v>91</v>
      </c>
      <c r="LU22" s="71"/>
      <c r="LV22" s="85">
        <v>91</v>
      </c>
    </row>
    <row r="23" spans="1:334" x14ac:dyDescent="0.2">
      <c r="C23" s="3"/>
      <c r="AK23" s="69" t="s">
        <v>141</v>
      </c>
      <c r="BF23" s="69"/>
      <c r="CY23" s="69" t="s">
        <v>141</v>
      </c>
    </row>
    <row r="24" spans="1:334" x14ac:dyDescent="0.2">
      <c r="A24" s="71"/>
      <c r="B24" s="71"/>
      <c r="C24" s="70"/>
    </row>
    <row r="25" spans="1:334" ht="17" x14ac:dyDescent="0.2">
      <c r="A25" s="71"/>
      <c r="B25" s="71"/>
      <c r="C25" s="70"/>
      <c r="R25" s="23"/>
      <c r="S25" s="23"/>
      <c r="T25" s="23"/>
    </row>
    <row r="26" spans="1:334" ht="17" x14ac:dyDescent="0.2">
      <c r="A26" s="71"/>
      <c r="B26" s="71"/>
      <c r="C26" s="70"/>
      <c r="R26" s="23"/>
      <c r="S26" s="23"/>
      <c r="T26" s="23"/>
    </row>
    <row r="27" spans="1:334" ht="17" x14ac:dyDescent="0.2">
      <c r="R27" s="23"/>
      <c r="S27" s="23"/>
      <c r="T27" s="23"/>
    </row>
    <row r="28" spans="1:334" ht="17" x14ac:dyDescent="0.2">
      <c r="R28" s="23"/>
      <c r="S28" s="23"/>
      <c r="T28" s="23"/>
    </row>
    <row r="29" spans="1:334" ht="17" x14ac:dyDescent="0.2">
      <c r="R29" s="23"/>
      <c r="S29" s="23"/>
      <c r="T29" s="23"/>
    </row>
    <row r="30" spans="1:334" ht="17" x14ac:dyDescent="0.2">
      <c r="R30" s="23"/>
      <c r="S30" s="23"/>
      <c r="T30" s="23"/>
    </row>
    <row r="31" spans="1:334" ht="17" x14ac:dyDescent="0.2">
      <c r="R31" s="23"/>
      <c r="S31" s="23"/>
      <c r="T31" s="23"/>
    </row>
    <row r="32" spans="1:334" ht="17" x14ac:dyDescent="0.2">
      <c r="R32" s="23"/>
      <c r="S32" s="23"/>
      <c r="T32" s="23"/>
    </row>
    <row r="33" spans="18:20" ht="17" x14ac:dyDescent="0.2">
      <c r="R33" s="23"/>
      <c r="S33" s="23"/>
      <c r="T33" s="23"/>
    </row>
    <row r="34" spans="18:20" ht="17" x14ac:dyDescent="0.2">
      <c r="R34" s="23"/>
      <c r="S34" s="23"/>
      <c r="T34" s="23"/>
    </row>
    <row r="35" spans="18:20" ht="17" x14ac:dyDescent="0.2">
      <c r="R35" s="23"/>
      <c r="S35" s="23"/>
      <c r="T35" s="23"/>
    </row>
    <row r="36" spans="18:20" ht="17" x14ac:dyDescent="0.2">
      <c r="R36" s="23"/>
      <c r="S36" s="23"/>
      <c r="T36" s="23"/>
    </row>
    <row r="37" spans="18:20" ht="17" x14ac:dyDescent="0.2">
      <c r="R37" s="23"/>
      <c r="S37" s="23"/>
      <c r="T37" s="23"/>
    </row>
    <row r="38" spans="18:20" ht="17" x14ac:dyDescent="0.2">
      <c r="R38" s="23"/>
      <c r="S38" s="23"/>
      <c r="T38" s="23"/>
    </row>
    <row r="39" spans="18:20" ht="17" x14ac:dyDescent="0.2">
      <c r="R39" s="23"/>
      <c r="S39" s="23"/>
      <c r="T39" s="23"/>
    </row>
    <row r="40" spans="18:20" ht="17" x14ac:dyDescent="0.2">
      <c r="R40" s="23"/>
      <c r="S40" s="23"/>
      <c r="T40" s="23"/>
    </row>
    <row r="41" spans="18:20" ht="17" x14ac:dyDescent="0.2">
      <c r="R41" s="23"/>
      <c r="S41" s="23"/>
      <c r="T41" s="23"/>
    </row>
    <row r="42" spans="18:20" ht="17" x14ac:dyDescent="0.2">
      <c r="R42" s="23"/>
      <c r="S42" s="23"/>
      <c r="T42" s="23"/>
    </row>
    <row r="43" spans="18:20" ht="17" x14ac:dyDescent="0.2">
      <c r="R43" s="23"/>
      <c r="S43" s="23"/>
      <c r="T43" s="23"/>
    </row>
    <row r="44" spans="18:20" ht="17" x14ac:dyDescent="0.2">
      <c r="R44" s="23"/>
      <c r="S44" s="23"/>
      <c r="T44" s="23"/>
    </row>
  </sheetData>
  <sheetProtection sheet="1" formatCells="0" formatColumns="0" formatRows="0"/>
  <autoFilter ref="A1:LZ3" xr:uid="{00000000-0009-0000-0000-000003000000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3" showButton="0"/>
    <filterColumn colId="84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sortState ref="A6:LZ14">
      <sortCondition descending="1" ref="F1:F8"/>
    </sortState>
  </autoFilter>
  <mergeCells count="81">
    <mergeCell ref="O1:O3"/>
    <mergeCell ref="A1:A3"/>
    <mergeCell ref="B1:B3"/>
    <mergeCell ref="C1:C3"/>
    <mergeCell ref="D1:D3"/>
    <mergeCell ref="E1:E3"/>
    <mergeCell ref="F1:F3"/>
    <mergeCell ref="G1:G3"/>
    <mergeCell ref="H1:H3"/>
    <mergeCell ref="I1:I3"/>
    <mergeCell ref="J1:J3"/>
    <mergeCell ref="N1:N3"/>
    <mergeCell ref="M1:M3"/>
    <mergeCell ref="K1:K3"/>
    <mergeCell ref="L1:L3"/>
    <mergeCell ref="DD1:DX1"/>
    <mergeCell ref="CF1:CH1"/>
    <mergeCell ref="CI1:DC1"/>
    <mergeCell ref="S1:S3"/>
    <mergeCell ref="T1:T3"/>
    <mergeCell ref="U1:AO1"/>
    <mergeCell ref="Z2:AD2"/>
    <mergeCell ref="U2:Y2"/>
    <mergeCell ref="DN2:DR2"/>
    <mergeCell ref="DI2:DM2"/>
    <mergeCell ref="DD2:DH2"/>
    <mergeCell ref="CS2:CW2"/>
    <mergeCell ref="CN2:CR2"/>
    <mergeCell ref="CI2:CM2"/>
    <mergeCell ref="AU2:AY2"/>
    <mergeCell ref="AP2:AT2"/>
    <mergeCell ref="Q1:Q3"/>
    <mergeCell ref="P1:P3"/>
    <mergeCell ref="R1:R3"/>
    <mergeCell ref="BK1:CE1"/>
    <mergeCell ref="AP1:BJ1"/>
    <mergeCell ref="AE2:AI2"/>
    <mergeCell ref="BU2:BY2"/>
    <mergeCell ref="BP2:BT2"/>
    <mergeCell ref="BK2:BO2"/>
    <mergeCell ref="AZ2:BD2"/>
    <mergeCell ref="DY1:ES1"/>
    <mergeCell ref="ET1:FN1"/>
    <mergeCell ref="FD2:FH2"/>
    <mergeCell ref="EY2:FC2"/>
    <mergeCell ref="ET2:EX2"/>
    <mergeCell ref="EI2:EM2"/>
    <mergeCell ref="ED2:EH2"/>
    <mergeCell ref="DY2:EC2"/>
    <mergeCell ref="FO1:GI1"/>
    <mergeCell ref="GJ1:HD1"/>
    <mergeCell ref="GT2:GX2"/>
    <mergeCell ref="GO2:GS2"/>
    <mergeCell ref="GJ2:GN2"/>
    <mergeCell ref="FY2:GC2"/>
    <mergeCell ref="FT2:FX2"/>
    <mergeCell ref="FO2:FS2"/>
    <mergeCell ref="HE1:HY1"/>
    <mergeCell ref="HZ1:IT1"/>
    <mergeCell ref="IJ2:IN2"/>
    <mergeCell ref="IE2:II2"/>
    <mergeCell ref="HZ2:ID2"/>
    <mergeCell ref="HO2:HS2"/>
    <mergeCell ref="HJ2:HN2"/>
    <mergeCell ref="HE2:HI2"/>
    <mergeCell ref="LF1:LZ1"/>
    <mergeCell ref="LP2:LT2"/>
    <mergeCell ref="LK2:LO2"/>
    <mergeCell ref="LF2:LJ2"/>
    <mergeCell ref="KU2:KY2"/>
    <mergeCell ref="KP2:KT2"/>
    <mergeCell ref="KK2:KO2"/>
    <mergeCell ref="IU1:JO1"/>
    <mergeCell ref="JP1:KJ1"/>
    <mergeCell ref="JZ2:KD2"/>
    <mergeCell ref="JU2:JY2"/>
    <mergeCell ref="JP2:JT2"/>
    <mergeCell ref="JE2:JI2"/>
    <mergeCell ref="IZ2:JD2"/>
    <mergeCell ref="IU2:IY2"/>
    <mergeCell ref="KK1:LE1"/>
  </mergeCells>
  <conditionalFormatting sqref="A1:A1048576">
    <cfRule type="expression" dxfId="119" priority="49">
      <formula>AND(H1="P",G1="")</formula>
    </cfRule>
  </conditionalFormatting>
  <conditionalFormatting sqref="I1:I1048576">
    <cfRule type="containsText" dxfId="118" priority="50" operator="containsText" text="Merit">
      <formula>NOT(ISERROR(SEARCH("Merit",I1)))</formula>
    </cfRule>
    <cfRule type="containsText" dxfId="117" priority="51" operator="containsText" text="Funding">
      <formula>NOT(ISERROR(SEARCH("Funding",I1)))</formula>
    </cfRule>
    <cfRule type="containsText" dxfId="116" priority="52" operator="containsText" text="Worlds Team">
      <formula>NOT(ISERROR(SEARCH("Worlds Team",I1)))</formula>
    </cfRule>
    <cfRule type="containsText" dxfId="115" priority="413" operator="containsText" text="National Team">
      <formula>NOT(ISERROR(SEARCH("National Team",I1)))</formula>
    </cfRule>
  </conditionalFormatting>
  <conditionalFormatting sqref="K1:K1048576">
    <cfRule type="expression" dxfId="114" priority="414">
      <formula>IF(J1=CC1,1,0)</formula>
    </cfRule>
    <cfRule type="expression" dxfId="113" priority="415">
      <formula>IF(J1=BH1,1,0)</formula>
    </cfRule>
    <cfRule type="expression" dxfId="112" priority="416">
      <formula>IF(J1=AM1,1,0)</formula>
    </cfRule>
  </conditionalFormatting>
  <conditionalFormatting sqref="M1:M1048576">
    <cfRule type="expression" dxfId="111" priority="417">
      <formula>IF(L1=CA1,1,0)</formula>
    </cfRule>
    <cfRule type="expression" dxfId="110" priority="418">
      <formula>IF(L1=BF1,1,0)</formula>
    </cfRule>
    <cfRule type="expression" dxfId="109" priority="582">
      <formula>IF(L1=AK1,1,0)</formula>
    </cfRule>
  </conditionalFormatting>
  <conditionalFormatting sqref="Q1:Q1048576 O1:O1048576">
    <cfRule type="expression" dxfId="108" priority="777">
      <formula>IF(N1=CB1,1,0)</formula>
    </cfRule>
    <cfRule type="expression" dxfId="107" priority="778">
      <formula>IF(N1=BG1,1,0)</formula>
    </cfRule>
    <cfRule type="expression" dxfId="106" priority="779">
      <formula>IF(N1=AL1,1,0)</formula>
    </cfRule>
  </conditionalFormatting>
  <conditionalFormatting sqref="LU1:LU1048576 KZ1:KZ1048576 KE1:KE1048576 JJ1:JJ1048576 IO1:IO1048576 HT1:HT1048576 GY1:GY1048576 GD1:GD1048576 FI1:FI1048576 EN1:EN1048576 DS1:DS1048576 CX1:CX1048576 BZ1:BZ1048576 BE1:BE1048576 AJ1:AJ1048576">
    <cfRule type="cellIs" dxfId="105" priority="1082" operator="between">
      <formula>AK$18</formula>
      <formula>100</formula>
    </cfRule>
    <cfRule type="cellIs" dxfId="104" priority="1083" operator="between">
      <formula>AK$17</formula>
      <formula>AK$18</formula>
    </cfRule>
  </conditionalFormatting>
  <conditionalFormatting sqref="LX1:LX1048576 LC1:LC1048576 KH1:KH1048576 JM1:JM1048576 IR1:IR1048576 HW1:HW1048576 HB1:HB1048576 GG1:GG1048576 FL1:FL1048576 EQ1:EQ1048576 DV1:DV1048576 DA1:DA1048576 CC1:CC1048576 BH1:BH1048576 AM1:AM1048576">
    <cfRule type="cellIs" dxfId="103" priority="1084" operator="between">
      <formula>AK$22</formula>
      <formula>1000</formula>
    </cfRule>
    <cfRule type="cellIs" dxfId="102" priority="1085" operator="between">
      <formula>AK$21</formula>
      <formula>AK$22</formula>
    </cfRule>
    <cfRule type="cellIs" dxfId="101" priority="1086" operator="between">
      <formula>AK$20</formula>
      <formula>AK$21</formula>
    </cfRule>
    <cfRule type="cellIs" dxfId="100" priority="1087" operator="between">
      <formula>AK$19</formula>
      <formula>AK$20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LZ39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6.1640625" bestFit="1" customWidth="1"/>
    <col min="3" max="3" width="8.1640625" bestFit="1" customWidth="1"/>
    <col min="4" max="4" width="16.33203125" customWidth="1"/>
    <col min="6" max="6" width="16.5" customWidth="1"/>
    <col min="7" max="7" width="15.33203125" customWidth="1"/>
    <col min="9" max="9" width="13.33203125" bestFit="1" customWidth="1"/>
    <col min="11" max="11" width="20.5" bestFit="1" customWidth="1"/>
    <col min="13" max="13" width="20.5" bestFit="1" customWidth="1"/>
    <col min="15" max="15" width="20.5" bestFit="1" customWidth="1"/>
    <col min="17" max="17" width="20.5" bestFit="1" customWidth="1"/>
    <col min="18" max="18" width="24.6640625" bestFit="1" customWidth="1"/>
    <col min="19" max="19" width="24.6640625" customWidth="1"/>
    <col min="20" max="20" width="28.33203125" bestFit="1" customWidth="1"/>
    <col min="21" max="35" width="10.83203125" hidden="1" customWidth="1"/>
    <col min="36" max="41" width="10.83203125" customWidth="1"/>
    <col min="42" max="56" width="10.83203125" hidden="1" customWidth="1"/>
    <col min="57" max="62" width="10.83203125" customWidth="1"/>
    <col min="63" max="77" width="10.83203125" hidden="1" customWidth="1"/>
    <col min="78" max="83" width="10.83203125" customWidth="1"/>
    <col min="87" max="101" width="10.83203125" hidden="1" customWidth="1"/>
    <col min="102" max="107" width="10.83203125" customWidth="1"/>
    <col min="108" max="122" width="10.83203125" hidden="1" customWidth="1"/>
    <col min="123" max="128" width="10.83203125" customWidth="1"/>
    <col min="129" max="143" width="10.83203125" hidden="1" customWidth="1"/>
    <col min="144" max="149" width="10.83203125" customWidth="1"/>
    <col min="150" max="164" width="10.83203125" hidden="1" customWidth="1"/>
    <col min="165" max="170" width="10.83203125" customWidth="1"/>
    <col min="171" max="185" width="10.83203125" hidden="1" customWidth="1"/>
    <col min="186" max="191" width="10.83203125" customWidth="1"/>
    <col min="192" max="206" width="10.83203125" hidden="1" customWidth="1"/>
    <col min="207" max="212" width="10.83203125" customWidth="1"/>
    <col min="213" max="227" width="10.83203125" hidden="1" customWidth="1"/>
    <col min="228" max="233" width="10.83203125" customWidth="1"/>
    <col min="234" max="248" width="10.83203125" hidden="1" customWidth="1"/>
    <col min="249" max="254" width="10.83203125" customWidth="1"/>
    <col min="255" max="269" width="10.83203125" hidden="1" customWidth="1"/>
    <col min="270" max="275" width="10.83203125" customWidth="1"/>
    <col min="276" max="290" width="10.83203125" hidden="1" customWidth="1"/>
    <col min="291" max="296" width="10.83203125" customWidth="1"/>
    <col min="297" max="311" width="10.83203125" hidden="1" customWidth="1"/>
    <col min="312" max="317" width="10.83203125" customWidth="1"/>
    <col min="318" max="332" width="10.83203125" hidden="1" customWidth="1"/>
    <col min="333" max="338" width="10.83203125" customWidth="1"/>
  </cols>
  <sheetData>
    <row r="1" spans="1:338" x14ac:dyDescent="0.2">
      <c r="A1" s="101" t="s">
        <v>2</v>
      </c>
      <c r="B1" s="101" t="s">
        <v>51</v>
      </c>
      <c r="C1" s="101" t="s">
        <v>0</v>
      </c>
      <c r="D1" s="101" t="s">
        <v>1</v>
      </c>
      <c r="E1" s="101" t="s">
        <v>3</v>
      </c>
      <c r="F1" s="104" t="s">
        <v>123</v>
      </c>
      <c r="G1" s="104" t="s">
        <v>122</v>
      </c>
      <c r="H1" s="101" t="s">
        <v>22</v>
      </c>
      <c r="I1" s="101" t="s">
        <v>23</v>
      </c>
      <c r="J1" s="102" t="s">
        <v>24</v>
      </c>
      <c r="K1" s="102" t="s">
        <v>87</v>
      </c>
      <c r="L1" s="102" t="s">
        <v>25</v>
      </c>
      <c r="M1" s="102" t="s">
        <v>87</v>
      </c>
      <c r="N1" s="102" t="s">
        <v>26</v>
      </c>
      <c r="O1" s="102" t="s">
        <v>87</v>
      </c>
      <c r="P1" s="102" t="s">
        <v>27</v>
      </c>
      <c r="Q1" s="102" t="s">
        <v>87</v>
      </c>
      <c r="R1" s="103" t="s">
        <v>28</v>
      </c>
      <c r="S1" s="102" t="s">
        <v>90</v>
      </c>
      <c r="T1" s="102" t="s">
        <v>87</v>
      </c>
      <c r="U1" s="97" t="s">
        <v>92</v>
      </c>
      <c r="V1" s="97"/>
      <c r="W1" s="97"/>
      <c r="X1" s="97"/>
      <c r="Y1" s="97"/>
      <c r="Z1" s="97"/>
      <c r="AA1" s="97"/>
      <c r="AB1" s="97"/>
      <c r="AC1" s="97"/>
      <c r="AD1" s="97"/>
      <c r="AE1" s="97"/>
      <c r="AF1" s="97"/>
      <c r="AG1" s="97"/>
      <c r="AH1" s="97"/>
      <c r="AI1" s="97"/>
      <c r="AJ1" s="97"/>
      <c r="AK1" s="97"/>
      <c r="AL1" s="97"/>
      <c r="AM1" s="97"/>
      <c r="AN1" s="97"/>
      <c r="AO1" s="97"/>
      <c r="AP1" s="96" t="s">
        <v>124</v>
      </c>
      <c r="AQ1" s="96"/>
      <c r="AR1" s="96"/>
      <c r="AS1" s="96"/>
      <c r="AT1" s="96"/>
      <c r="AU1" s="96"/>
      <c r="AV1" s="96"/>
      <c r="AW1" s="96"/>
      <c r="AX1" s="96"/>
      <c r="AY1" s="96"/>
      <c r="AZ1" s="96"/>
      <c r="BA1" s="96"/>
      <c r="BB1" s="96"/>
      <c r="BC1" s="96"/>
      <c r="BD1" s="96"/>
      <c r="BE1" s="96"/>
      <c r="BF1" s="96"/>
      <c r="BG1" s="96"/>
      <c r="BH1" s="96"/>
      <c r="BI1" s="96"/>
      <c r="BJ1" s="96"/>
      <c r="BK1" s="97" t="s">
        <v>142</v>
      </c>
      <c r="BL1" s="97"/>
      <c r="BM1" s="97"/>
      <c r="BN1" s="97"/>
      <c r="BO1" s="97"/>
      <c r="BP1" s="97"/>
      <c r="BQ1" s="97"/>
      <c r="BR1" s="97"/>
      <c r="BS1" s="97"/>
      <c r="BT1" s="97"/>
      <c r="BU1" s="97"/>
      <c r="BV1" s="97"/>
      <c r="BW1" s="97"/>
      <c r="BX1" s="97"/>
      <c r="BY1" s="97"/>
      <c r="BZ1" s="97"/>
      <c r="CA1" s="97"/>
      <c r="CB1" s="97"/>
      <c r="CC1" s="97"/>
      <c r="CD1" s="97"/>
      <c r="CE1" s="97"/>
      <c r="CF1" s="100" t="s">
        <v>28</v>
      </c>
      <c r="CG1" s="100"/>
      <c r="CH1" s="100"/>
      <c r="CI1" s="97" t="s">
        <v>88</v>
      </c>
      <c r="CJ1" s="97"/>
      <c r="CK1" s="97"/>
      <c r="CL1" s="97"/>
      <c r="CM1" s="97"/>
      <c r="CN1" s="97"/>
      <c r="CO1" s="97"/>
      <c r="CP1" s="97"/>
      <c r="CQ1" s="97"/>
      <c r="CR1" s="97"/>
      <c r="CS1" s="97"/>
      <c r="CT1" s="97"/>
      <c r="CU1" s="97"/>
      <c r="CV1" s="97"/>
      <c r="CW1" s="97"/>
      <c r="CX1" s="97"/>
      <c r="CY1" s="97"/>
      <c r="CZ1" s="97"/>
      <c r="DA1" s="97"/>
      <c r="DB1" s="97"/>
      <c r="DC1" s="97"/>
      <c r="DD1" s="96" t="s">
        <v>102</v>
      </c>
      <c r="DE1" s="96"/>
      <c r="DF1" s="96"/>
      <c r="DG1" s="96"/>
      <c r="DH1" s="96"/>
      <c r="DI1" s="96"/>
      <c r="DJ1" s="96"/>
      <c r="DK1" s="96"/>
      <c r="DL1" s="96"/>
      <c r="DM1" s="96"/>
      <c r="DN1" s="96"/>
      <c r="DO1" s="96"/>
      <c r="DP1" s="96"/>
      <c r="DQ1" s="96"/>
      <c r="DR1" s="96"/>
      <c r="DS1" s="96"/>
      <c r="DT1" s="96"/>
      <c r="DU1" s="96"/>
      <c r="DV1" s="96"/>
      <c r="DW1" s="96"/>
      <c r="DX1" s="96"/>
      <c r="DY1" s="97" t="s">
        <v>103</v>
      </c>
      <c r="DZ1" s="97"/>
      <c r="EA1" s="97"/>
      <c r="EB1" s="97"/>
      <c r="EC1" s="97"/>
      <c r="ED1" s="97"/>
      <c r="EE1" s="97"/>
      <c r="EF1" s="97"/>
      <c r="EG1" s="97"/>
      <c r="EH1" s="97"/>
      <c r="EI1" s="97"/>
      <c r="EJ1" s="97"/>
      <c r="EK1" s="97"/>
      <c r="EL1" s="97"/>
      <c r="EM1" s="97"/>
      <c r="EN1" s="97"/>
      <c r="EO1" s="97"/>
      <c r="EP1" s="97"/>
      <c r="EQ1" s="97"/>
      <c r="ER1" s="97"/>
      <c r="ES1" s="97"/>
      <c r="ET1" s="96" t="s">
        <v>116</v>
      </c>
      <c r="EU1" s="96"/>
      <c r="EV1" s="96"/>
      <c r="EW1" s="96"/>
      <c r="EX1" s="96"/>
      <c r="EY1" s="96"/>
      <c r="EZ1" s="96"/>
      <c r="FA1" s="96"/>
      <c r="FB1" s="96"/>
      <c r="FC1" s="96"/>
      <c r="FD1" s="96"/>
      <c r="FE1" s="96"/>
      <c r="FF1" s="96"/>
      <c r="FG1" s="96"/>
      <c r="FH1" s="96"/>
      <c r="FI1" s="96"/>
      <c r="FJ1" s="96"/>
      <c r="FK1" s="96"/>
      <c r="FL1" s="96"/>
      <c r="FM1" s="96"/>
      <c r="FN1" s="96"/>
      <c r="FO1" s="97" t="s">
        <v>139</v>
      </c>
      <c r="FP1" s="97"/>
      <c r="FQ1" s="97"/>
      <c r="FR1" s="97"/>
      <c r="FS1" s="97"/>
      <c r="FT1" s="97"/>
      <c r="FU1" s="97"/>
      <c r="FV1" s="97"/>
      <c r="FW1" s="97"/>
      <c r="FX1" s="97"/>
      <c r="FY1" s="97"/>
      <c r="FZ1" s="97"/>
      <c r="GA1" s="97"/>
      <c r="GB1" s="97"/>
      <c r="GC1" s="97"/>
      <c r="GD1" s="97"/>
      <c r="GE1" s="97"/>
      <c r="GF1" s="97"/>
      <c r="GG1" s="97"/>
      <c r="GH1" s="97"/>
      <c r="GI1" s="97"/>
      <c r="GJ1" s="96" t="s">
        <v>138</v>
      </c>
      <c r="GK1" s="96"/>
      <c r="GL1" s="96"/>
      <c r="GM1" s="96"/>
      <c r="GN1" s="96"/>
      <c r="GO1" s="96"/>
      <c r="GP1" s="96"/>
      <c r="GQ1" s="96"/>
      <c r="GR1" s="96"/>
      <c r="GS1" s="96"/>
      <c r="GT1" s="96"/>
      <c r="GU1" s="96"/>
      <c r="GV1" s="96"/>
      <c r="GW1" s="96"/>
      <c r="GX1" s="96"/>
      <c r="GY1" s="96"/>
      <c r="GZ1" s="96"/>
      <c r="HA1" s="96"/>
      <c r="HB1" s="96"/>
      <c r="HC1" s="96"/>
      <c r="HD1" s="96"/>
      <c r="HE1" s="97" t="s">
        <v>159</v>
      </c>
      <c r="HF1" s="97"/>
      <c r="HG1" s="97"/>
      <c r="HH1" s="97"/>
      <c r="HI1" s="97"/>
      <c r="HJ1" s="97"/>
      <c r="HK1" s="97"/>
      <c r="HL1" s="97"/>
      <c r="HM1" s="97"/>
      <c r="HN1" s="97"/>
      <c r="HO1" s="97"/>
      <c r="HP1" s="97"/>
      <c r="HQ1" s="97"/>
      <c r="HR1" s="97"/>
      <c r="HS1" s="97"/>
      <c r="HT1" s="97"/>
      <c r="HU1" s="97"/>
      <c r="HV1" s="97"/>
      <c r="HW1" s="97"/>
      <c r="HX1" s="97"/>
      <c r="HY1" s="97"/>
      <c r="HZ1" s="96"/>
      <c r="IA1" s="96"/>
      <c r="IB1" s="96"/>
      <c r="IC1" s="96"/>
      <c r="ID1" s="96"/>
      <c r="IE1" s="96"/>
      <c r="IF1" s="96"/>
      <c r="IG1" s="96"/>
      <c r="IH1" s="96"/>
      <c r="II1" s="96"/>
      <c r="IJ1" s="96"/>
      <c r="IK1" s="96"/>
      <c r="IL1" s="96"/>
      <c r="IM1" s="96"/>
      <c r="IN1" s="96"/>
      <c r="IO1" s="96"/>
      <c r="IP1" s="96"/>
      <c r="IQ1" s="96"/>
      <c r="IR1" s="96"/>
      <c r="IS1" s="96"/>
      <c r="IT1" s="96"/>
      <c r="IU1" s="97"/>
      <c r="IV1" s="97"/>
      <c r="IW1" s="97"/>
      <c r="IX1" s="97"/>
      <c r="IY1" s="97"/>
      <c r="IZ1" s="97"/>
      <c r="JA1" s="97"/>
      <c r="JB1" s="97"/>
      <c r="JC1" s="97"/>
      <c r="JD1" s="97"/>
      <c r="JE1" s="97"/>
      <c r="JF1" s="97"/>
      <c r="JG1" s="97"/>
      <c r="JH1" s="97"/>
      <c r="JI1" s="97"/>
      <c r="JJ1" s="97"/>
      <c r="JK1" s="97"/>
      <c r="JL1" s="97"/>
      <c r="JM1" s="97"/>
      <c r="JN1" s="97"/>
      <c r="JO1" s="97"/>
      <c r="JP1" s="96"/>
      <c r="JQ1" s="96"/>
      <c r="JR1" s="96"/>
      <c r="JS1" s="96"/>
      <c r="JT1" s="96"/>
      <c r="JU1" s="96"/>
      <c r="JV1" s="96"/>
      <c r="JW1" s="96"/>
      <c r="JX1" s="96"/>
      <c r="JY1" s="96"/>
      <c r="JZ1" s="96"/>
      <c r="KA1" s="96"/>
      <c r="KB1" s="96"/>
      <c r="KC1" s="96"/>
      <c r="KD1" s="96"/>
      <c r="KE1" s="96"/>
      <c r="KF1" s="96"/>
      <c r="KG1" s="96"/>
      <c r="KH1" s="96"/>
      <c r="KI1" s="96"/>
      <c r="KJ1" s="96"/>
      <c r="KK1" s="97"/>
      <c r="KL1" s="97"/>
      <c r="KM1" s="97"/>
      <c r="KN1" s="97"/>
      <c r="KO1" s="97"/>
      <c r="KP1" s="97"/>
      <c r="KQ1" s="97"/>
      <c r="KR1" s="97"/>
      <c r="KS1" s="97"/>
      <c r="KT1" s="97"/>
      <c r="KU1" s="97"/>
      <c r="KV1" s="97"/>
      <c r="KW1" s="97"/>
      <c r="KX1" s="97"/>
      <c r="KY1" s="97"/>
      <c r="KZ1" s="97"/>
      <c r="LA1" s="97"/>
      <c r="LB1" s="97"/>
      <c r="LC1" s="97"/>
      <c r="LD1" s="97"/>
      <c r="LE1" s="97"/>
      <c r="LF1" s="96"/>
      <c r="LG1" s="96"/>
      <c r="LH1" s="96"/>
      <c r="LI1" s="96"/>
      <c r="LJ1" s="96"/>
      <c r="LK1" s="96"/>
      <c r="LL1" s="96"/>
      <c r="LM1" s="96"/>
      <c r="LN1" s="96"/>
      <c r="LO1" s="96"/>
      <c r="LP1" s="96"/>
      <c r="LQ1" s="96"/>
      <c r="LR1" s="96"/>
      <c r="LS1" s="96"/>
      <c r="LT1" s="96"/>
      <c r="LU1" s="96"/>
      <c r="LV1" s="96"/>
      <c r="LW1" s="96"/>
      <c r="LX1" s="96"/>
      <c r="LY1" s="96"/>
      <c r="LZ1" s="96"/>
    </row>
    <row r="2" spans="1:338" x14ac:dyDescent="0.2">
      <c r="A2" s="101"/>
      <c r="B2" s="101"/>
      <c r="C2" s="101"/>
      <c r="D2" s="101"/>
      <c r="E2" s="101"/>
      <c r="F2" s="104"/>
      <c r="G2" s="104"/>
      <c r="H2" s="101"/>
      <c r="I2" s="101"/>
      <c r="J2" s="102"/>
      <c r="K2" s="102"/>
      <c r="L2" s="102"/>
      <c r="M2" s="102"/>
      <c r="N2" s="102"/>
      <c r="O2" s="102"/>
      <c r="P2" s="102"/>
      <c r="Q2" s="102"/>
      <c r="R2" s="103"/>
      <c r="S2" s="102"/>
      <c r="T2" s="102"/>
      <c r="U2" s="98" t="s">
        <v>33</v>
      </c>
      <c r="V2" s="98"/>
      <c r="W2" s="98"/>
      <c r="X2" s="98"/>
      <c r="Y2" s="98"/>
      <c r="Z2" s="98" t="s">
        <v>34</v>
      </c>
      <c r="AA2" s="98"/>
      <c r="AB2" s="98"/>
      <c r="AC2" s="98"/>
      <c r="AD2" s="98"/>
      <c r="AE2" s="98" t="s">
        <v>37</v>
      </c>
      <c r="AF2" s="98"/>
      <c r="AG2" s="98"/>
      <c r="AH2" s="98"/>
      <c r="AI2" s="98"/>
      <c r="AJ2" s="22" t="s">
        <v>40</v>
      </c>
      <c r="AK2" s="11" t="s">
        <v>35</v>
      </c>
      <c r="AL2" s="11" t="s">
        <v>36</v>
      </c>
      <c r="AM2" s="11" t="s">
        <v>38</v>
      </c>
      <c r="AN2" s="11" t="s">
        <v>37</v>
      </c>
      <c r="AO2" s="11" t="s">
        <v>32</v>
      </c>
      <c r="AP2" s="99" t="s">
        <v>33</v>
      </c>
      <c r="AQ2" s="99"/>
      <c r="AR2" s="99"/>
      <c r="AS2" s="99"/>
      <c r="AT2" s="99"/>
      <c r="AU2" s="99" t="s">
        <v>34</v>
      </c>
      <c r="AV2" s="99"/>
      <c r="AW2" s="99"/>
      <c r="AX2" s="99"/>
      <c r="AY2" s="99"/>
      <c r="AZ2" s="99" t="s">
        <v>37</v>
      </c>
      <c r="BA2" s="99"/>
      <c r="BB2" s="99"/>
      <c r="BC2" s="99"/>
      <c r="BD2" s="99"/>
      <c r="BE2" s="21" t="s">
        <v>40</v>
      </c>
      <c r="BF2" s="14" t="s">
        <v>35</v>
      </c>
      <c r="BG2" s="14" t="s">
        <v>36</v>
      </c>
      <c r="BH2" s="14" t="s">
        <v>38</v>
      </c>
      <c r="BI2" s="14" t="s">
        <v>37</v>
      </c>
      <c r="BJ2" s="14" t="s">
        <v>32</v>
      </c>
      <c r="BK2" s="98" t="s">
        <v>33</v>
      </c>
      <c r="BL2" s="98"/>
      <c r="BM2" s="98"/>
      <c r="BN2" s="98"/>
      <c r="BO2" s="98"/>
      <c r="BP2" s="98" t="s">
        <v>34</v>
      </c>
      <c r="BQ2" s="98"/>
      <c r="BR2" s="98"/>
      <c r="BS2" s="98"/>
      <c r="BT2" s="98"/>
      <c r="BU2" s="98" t="s">
        <v>37</v>
      </c>
      <c r="BV2" s="98"/>
      <c r="BW2" s="98"/>
      <c r="BX2" s="98"/>
      <c r="BY2" s="98"/>
      <c r="BZ2" s="22" t="s">
        <v>40</v>
      </c>
      <c r="CA2" s="11" t="s">
        <v>35</v>
      </c>
      <c r="CB2" s="11" t="s">
        <v>36</v>
      </c>
      <c r="CC2" s="11" t="s">
        <v>38</v>
      </c>
      <c r="CD2" s="11" t="s">
        <v>37</v>
      </c>
      <c r="CE2" s="11" t="s">
        <v>32</v>
      </c>
      <c r="CF2" s="28" t="s">
        <v>35</v>
      </c>
      <c r="CG2" s="28" t="s">
        <v>36</v>
      </c>
      <c r="CH2" s="28" t="s">
        <v>37</v>
      </c>
      <c r="CI2" s="98" t="s">
        <v>33</v>
      </c>
      <c r="CJ2" s="98"/>
      <c r="CK2" s="98"/>
      <c r="CL2" s="98"/>
      <c r="CM2" s="98"/>
      <c r="CN2" s="98" t="s">
        <v>34</v>
      </c>
      <c r="CO2" s="98"/>
      <c r="CP2" s="98"/>
      <c r="CQ2" s="98"/>
      <c r="CR2" s="98"/>
      <c r="CS2" s="98" t="s">
        <v>37</v>
      </c>
      <c r="CT2" s="98"/>
      <c r="CU2" s="98"/>
      <c r="CV2" s="98"/>
      <c r="CW2" s="98"/>
      <c r="CX2" s="73" t="s">
        <v>40</v>
      </c>
      <c r="CY2" s="11" t="s">
        <v>35</v>
      </c>
      <c r="CZ2" s="11" t="s">
        <v>36</v>
      </c>
      <c r="DA2" s="11" t="s">
        <v>38</v>
      </c>
      <c r="DB2" s="11" t="s">
        <v>37</v>
      </c>
      <c r="DC2" s="11" t="s">
        <v>32</v>
      </c>
      <c r="DD2" s="99" t="s">
        <v>33</v>
      </c>
      <c r="DE2" s="99"/>
      <c r="DF2" s="99"/>
      <c r="DG2" s="99"/>
      <c r="DH2" s="99"/>
      <c r="DI2" s="99" t="s">
        <v>34</v>
      </c>
      <c r="DJ2" s="99"/>
      <c r="DK2" s="99"/>
      <c r="DL2" s="99"/>
      <c r="DM2" s="99"/>
      <c r="DN2" s="99" t="s">
        <v>37</v>
      </c>
      <c r="DO2" s="99"/>
      <c r="DP2" s="99"/>
      <c r="DQ2" s="99"/>
      <c r="DR2" s="99"/>
      <c r="DS2" s="72" t="s">
        <v>40</v>
      </c>
      <c r="DT2" s="14" t="s">
        <v>35</v>
      </c>
      <c r="DU2" s="14" t="s">
        <v>36</v>
      </c>
      <c r="DV2" s="14" t="s">
        <v>38</v>
      </c>
      <c r="DW2" s="14" t="s">
        <v>37</v>
      </c>
      <c r="DX2" s="14" t="s">
        <v>32</v>
      </c>
      <c r="DY2" s="98" t="s">
        <v>33</v>
      </c>
      <c r="DZ2" s="98"/>
      <c r="EA2" s="98"/>
      <c r="EB2" s="98"/>
      <c r="EC2" s="98"/>
      <c r="ED2" s="98" t="s">
        <v>34</v>
      </c>
      <c r="EE2" s="98"/>
      <c r="EF2" s="98"/>
      <c r="EG2" s="98"/>
      <c r="EH2" s="98"/>
      <c r="EI2" s="98" t="s">
        <v>37</v>
      </c>
      <c r="EJ2" s="98"/>
      <c r="EK2" s="98"/>
      <c r="EL2" s="98"/>
      <c r="EM2" s="98"/>
      <c r="EN2" s="73" t="s">
        <v>40</v>
      </c>
      <c r="EO2" s="11" t="s">
        <v>35</v>
      </c>
      <c r="EP2" s="11" t="s">
        <v>36</v>
      </c>
      <c r="EQ2" s="11" t="s">
        <v>38</v>
      </c>
      <c r="ER2" s="11" t="s">
        <v>37</v>
      </c>
      <c r="ES2" s="11" t="s">
        <v>32</v>
      </c>
      <c r="ET2" s="99" t="s">
        <v>33</v>
      </c>
      <c r="EU2" s="99"/>
      <c r="EV2" s="99"/>
      <c r="EW2" s="99"/>
      <c r="EX2" s="99"/>
      <c r="EY2" s="99" t="s">
        <v>34</v>
      </c>
      <c r="EZ2" s="99"/>
      <c r="FA2" s="99"/>
      <c r="FB2" s="99"/>
      <c r="FC2" s="99"/>
      <c r="FD2" s="99" t="s">
        <v>37</v>
      </c>
      <c r="FE2" s="99"/>
      <c r="FF2" s="99"/>
      <c r="FG2" s="99"/>
      <c r="FH2" s="99"/>
      <c r="FI2" s="72" t="s">
        <v>40</v>
      </c>
      <c r="FJ2" s="14" t="s">
        <v>35</v>
      </c>
      <c r="FK2" s="14" t="s">
        <v>36</v>
      </c>
      <c r="FL2" s="14" t="s">
        <v>38</v>
      </c>
      <c r="FM2" s="14" t="s">
        <v>37</v>
      </c>
      <c r="FN2" s="14" t="s">
        <v>32</v>
      </c>
      <c r="FO2" s="98" t="s">
        <v>33</v>
      </c>
      <c r="FP2" s="98"/>
      <c r="FQ2" s="98"/>
      <c r="FR2" s="98"/>
      <c r="FS2" s="98"/>
      <c r="FT2" s="98" t="s">
        <v>34</v>
      </c>
      <c r="FU2" s="98"/>
      <c r="FV2" s="98"/>
      <c r="FW2" s="98"/>
      <c r="FX2" s="98"/>
      <c r="FY2" s="98" t="s">
        <v>37</v>
      </c>
      <c r="FZ2" s="98"/>
      <c r="GA2" s="98"/>
      <c r="GB2" s="98"/>
      <c r="GC2" s="98"/>
      <c r="GD2" s="25" t="s">
        <v>40</v>
      </c>
      <c r="GE2" s="11" t="s">
        <v>35</v>
      </c>
      <c r="GF2" s="11" t="s">
        <v>36</v>
      </c>
      <c r="GG2" s="11" t="s">
        <v>38</v>
      </c>
      <c r="GH2" s="11" t="s">
        <v>37</v>
      </c>
      <c r="GI2" s="11" t="s">
        <v>32</v>
      </c>
      <c r="GJ2" s="99" t="s">
        <v>33</v>
      </c>
      <c r="GK2" s="99"/>
      <c r="GL2" s="99"/>
      <c r="GM2" s="99"/>
      <c r="GN2" s="99"/>
      <c r="GO2" s="99" t="s">
        <v>34</v>
      </c>
      <c r="GP2" s="99"/>
      <c r="GQ2" s="99"/>
      <c r="GR2" s="99"/>
      <c r="GS2" s="99"/>
      <c r="GT2" s="99" t="s">
        <v>37</v>
      </c>
      <c r="GU2" s="99"/>
      <c r="GV2" s="99"/>
      <c r="GW2" s="99"/>
      <c r="GX2" s="99"/>
      <c r="GY2" s="24" t="s">
        <v>40</v>
      </c>
      <c r="GZ2" s="14" t="s">
        <v>35</v>
      </c>
      <c r="HA2" s="14" t="s">
        <v>36</v>
      </c>
      <c r="HB2" s="14" t="s">
        <v>38</v>
      </c>
      <c r="HC2" s="14" t="s">
        <v>37</v>
      </c>
      <c r="HD2" s="14" t="s">
        <v>32</v>
      </c>
      <c r="HE2" s="98" t="s">
        <v>33</v>
      </c>
      <c r="HF2" s="98"/>
      <c r="HG2" s="98"/>
      <c r="HH2" s="98"/>
      <c r="HI2" s="98"/>
      <c r="HJ2" s="98" t="s">
        <v>34</v>
      </c>
      <c r="HK2" s="98"/>
      <c r="HL2" s="98"/>
      <c r="HM2" s="98"/>
      <c r="HN2" s="98"/>
      <c r="HO2" s="98" t="s">
        <v>37</v>
      </c>
      <c r="HP2" s="98"/>
      <c r="HQ2" s="98"/>
      <c r="HR2" s="98"/>
      <c r="HS2" s="98"/>
      <c r="HT2" s="25" t="s">
        <v>40</v>
      </c>
      <c r="HU2" s="11" t="s">
        <v>35</v>
      </c>
      <c r="HV2" s="11" t="s">
        <v>36</v>
      </c>
      <c r="HW2" s="11" t="s">
        <v>38</v>
      </c>
      <c r="HX2" s="11" t="s">
        <v>37</v>
      </c>
      <c r="HY2" s="11" t="s">
        <v>32</v>
      </c>
      <c r="HZ2" s="99" t="s">
        <v>33</v>
      </c>
      <c r="IA2" s="99"/>
      <c r="IB2" s="99"/>
      <c r="IC2" s="99"/>
      <c r="ID2" s="99"/>
      <c r="IE2" s="99" t="s">
        <v>34</v>
      </c>
      <c r="IF2" s="99"/>
      <c r="IG2" s="99"/>
      <c r="IH2" s="99"/>
      <c r="II2" s="99"/>
      <c r="IJ2" s="99" t="s">
        <v>37</v>
      </c>
      <c r="IK2" s="99"/>
      <c r="IL2" s="99"/>
      <c r="IM2" s="99"/>
      <c r="IN2" s="99"/>
      <c r="IO2" s="24" t="s">
        <v>40</v>
      </c>
      <c r="IP2" s="14" t="s">
        <v>35</v>
      </c>
      <c r="IQ2" s="14" t="s">
        <v>36</v>
      </c>
      <c r="IR2" s="14" t="s">
        <v>38</v>
      </c>
      <c r="IS2" s="14" t="s">
        <v>37</v>
      </c>
      <c r="IT2" s="14" t="s">
        <v>32</v>
      </c>
      <c r="IU2" s="98" t="s">
        <v>33</v>
      </c>
      <c r="IV2" s="98"/>
      <c r="IW2" s="98"/>
      <c r="IX2" s="98"/>
      <c r="IY2" s="98"/>
      <c r="IZ2" s="98" t="s">
        <v>34</v>
      </c>
      <c r="JA2" s="98"/>
      <c r="JB2" s="98"/>
      <c r="JC2" s="98"/>
      <c r="JD2" s="98"/>
      <c r="JE2" s="98" t="s">
        <v>37</v>
      </c>
      <c r="JF2" s="98"/>
      <c r="JG2" s="98"/>
      <c r="JH2" s="98"/>
      <c r="JI2" s="98"/>
      <c r="JJ2" s="25" t="s">
        <v>40</v>
      </c>
      <c r="JK2" s="11" t="s">
        <v>35</v>
      </c>
      <c r="JL2" s="11" t="s">
        <v>36</v>
      </c>
      <c r="JM2" s="11" t="s">
        <v>38</v>
      </c>
      <c r="JN2" s="11" t="s">
        <v>37</v>
      </c>
      <c r="JO2" s="11" t="s">
        <v>32</v>
      </c>
      <c r="JP2" s="99" t="s">
        <v>33</v>
      </c>
      <c r="JQ2" s="99"/>
      <c r="JR2" s="99"/>
      <c r="JS2" s="99"/>
      <c r="JT2" s="99"/>
      <c r="JU2" s="99" t="s">
        <v>34</v>
      </c>
      <c r="JV2" s="99"/>
      <c r="JW2" s="99"/>
      <c r="JX2" s="99"/>
      <c r="JY2" s="99"/>
      <c r="JZ2" s="99" t="s">
        <v>37</v>
      </c>
      <c r="KA2" s="99"/>
      <c r="KB2" s="99"/>
      <c r="KC2" s="99"/>
      <c r="KD2" s="99"/>
      <c r="KE2" s="24" t="s">
        <v>40</v>
      </c>
      <c r="KF2" s="14" t="s">
        <v>35</v>
      </c>
      <c r="KG2" s="14" t="s">
        <v>36</v>
      </c>
      <c r="KH2" s="14" t="s">
        <v>38</v>
      </c>
      <c r="KI2" s="14" t="s">
        <v>37</v>
      </c>
      <c r="KJ2" s="14" t="s">
        <v>32</v>
      </c>
      <c r="KK2" s="98" t="s">
        <v>33</v>
      </c>
      <c r="KL2" s="98"/>
      <c r="KM2" s="98"/>
      <c r="KN2" s="98"/>
      <c r="KO2" s="98"/>
      <c r="KP2" s="98" t="s">
        <v>34</v>
      </c>
      <c r="KQ2" s="98"/>
      <c r="KR2" s="98"/>
      <c r="KS2" s="98"/>
      <c r="KT2" s="98"/>
      <c r="KU2" s="98" t="s">
        <v>37</v>
      </c>
      <c r="KV2" s="98"/>
      <c r="KW2" s="98"/>
      <c r="KX2" s="98"/>
      <c r="KY2" s="98"/>
      <c r="KZ2" s="25" t="s">
        <v>40</v>
      </c>
      <c r="LA2" s="11" t="s">
        <v>35</v>
      </c>
      <c r="LB2" s="11" t="s">
        <v>36</v>
      </c>
      <c r="LC2" s="11" t="s">
        <v>38</v>
      </c>
      <c r="LD2" s="11" t="s">
        <v>37</v>
      </c>
      <c r="LE2" s="11" t="s">
        <v>32</v>
      </c>
      <c r="LF2" s="99" t="s">
        <v>33</v>
      </c>
      <c r="LG2" s="99"/>
      <c r="LH2" s="99"/>
      <c r="LI2" s="99"/>
      <c r="LJ2" s="99"/>
      <c r="LK2" s="99" t="s">
        <v>34</v>
      </c>
      <c r="LL2" s="99"/>
      <c r="LM2" s="99"/>
      <c r="LN2" s="99"/>
      <c r="LO2" s="99"/>
      <c r="LP2" s="99" t="s">
        <v>37</v>
      </c>
      <c r="LQ2" s="99"/>
      <c r="LR2" s="99"/>
      <c r="LS2" s="99"/>
      <c r="LT2" s="99"/>
      <c r="LU2" s="24" t="s">
        <v>40</v>
      </c>
      <c r="LV2" s="14" t="s">
        <v>35</v>
      </c>
      <c r="LW2" s="14" t="s">
        <v>36</v>
      </c>
      <c r="LX2" s="14" t="s">
        <v>38</v>
      </c>
      <c r="LY2" s="14" t="s">
        <v>37</v>
      </c>
      <c r="LZ2" s="14" t="s">
        <v>32</v>
      </c>
    </row>
    <row r="3" spans="1:338" x14ac:dyDescent="0.2">
      <c r="A3" s="101"/>
      <c r="B3" s="101"/>
      <c r="C3" s="101"/>
      <c r="D3" s="101"/>
      <c r="E3" s="101"/>
      <c r="F3" s="104"/>
      <c r="G3" s="104"/>
      <c r="H3" s="101"/>
      <c r="I3" s="101"/>
      <c r="J3" s="102"/>
      <c r="K3" s="102"/>
      <c r="L3" s="102"/>
      <c r="M3" s="102"/>
      <c r="N3" s="102"/>
      <c r="O3" s="102"/>
      <c r="P3" s="102"/>
      <c r="Q3" s="102"/>
      <c r="R3" s="103"/>
      <c r="S3" s="102"/>
      <c r="T3" s="102"/>
      <c r="U3" s="35" t="s">
        <v>29</v>
      </c>
      <c r="V3" s="35" t="s">
        <v>30</v>
      </c>
      <c r="W3" s="35" t="s">
        <v>21</v>
      </c>
      <c r="X3" s="35" t="s">
        <v>85</v>
      </c>
      <c r="Y3" s="61" t="s">
        <v>57</v>
      </c>
      <c r="Z3" s="35" t="s">
        <v>29</v>
      </c>
      <c r="AA3" s="35" t="s">
        <v>30</v>
      </c>
      <c r="AB3" s="35" t="s">
        <v>21</v>
      </c>
      <c r="AC3" s="35" t="s">
        <v>85</v>
      </c>
      <c r="AD3" s="61" t="s">
        <v>57</v>
      </c>
      <c r="AE3" s="35" t="s">
        <v>29</v>
      </c>
      <c r="AF3" s="35" t="s">
        <v>30</v>
      </c>
      <c r="AG3" s="35" t="s">
        <v>21</v>
      </c>
      <c r="AH3" s="35" t="s">
        <v>85</v>
      </c>
      <c r="AI3" s="61" t="s">
        <v>57</v>
      </c>
      <c r="AJ3" s="12"/>
      <c r="AK3" s="11"/>
      <c r="AL3" s="11"/>
      <c r="AM3" s="11"/>
      <c r="AN3" s="12"/>
      <c r="AO3" s="12"/>
      <c r="AP3" s="34" t="s">
        <v>29</v>
      </c>
      <c r="AQ3" s="34" t="s">
        <v>30</v>
      </c>
      <c r="AR3" s="34" t="s">
        <v>21</v>
      </c>
      <c r="AS3" s="34" t="s">
        <v>85</v>
      </c>
      <c r="AT3" s="62" t="s">
        <v>57</v>
      </c>
      <c r="AU3" s="34" t="s">
        <v>29</v>
      </c>
      <c r="AV3" s="34" t="s">
        <v>30</v>
      </c>
      <c r="AW3" s="34" t="s">
        <v>21</v>
      </c>
      <c r="AX3" s="34" t="s">
        <v>85</v>
      </c>
      <c r="AY3" s="62" t="s">
        <v>57</v>
      </c>
      <c r="AZ3" s="34" t="s">
        <v>29</v>
      </c>
      <c r="BA3" s="34" t="s">
        <v>30</v>
      </c>
      <c r="BB3" s="34" t="s">
        <v>21</v>
      </c>
      <c r="BC3" s="34" t="s">
        <v>85</v>
      </c>
      <c r="BD3" s="62" t="s">
        <v>57</v>
      </c>
      <c r="BE3" s="15"/>
      <c r="BF3" s="14"/>
      <c r="BG3" s="14"/>
      <c r="BH3" s="14"/>
      <c r="BI3" s="15"/>
      <c r="BJ3" s="15"/>
      <c r="BK3" s="35" t="s">
        <v>29</v>
      </c>
      <c r="BL3" s="35" t="s">
        <v>30</v>
      </c>
      <c r="BM3" s="35" t="s">
        <v>21</v>
      </c>
      <c r="BN3" s="35" t="s">
        <v>85</v>
      </c>
      <c r="BO3" s="61" t="s">
        <v>57</v>
      </c>
      <c r="BP3" s="35" t="s">
        <v>29</v>
      </c>
      <c r="BQ3" s="35" t="s">
        <v>30</v>
      </c>
      <c r="BR3" s="35" t="s">
        <v>21</v>
      </c>
      <c r="BS3" s="35" t="s">
        <v>85</v>
      </c>
      <c r="BT3" s="61" t="s">
        <v>57</v>
      </c>
      <c r="BU3" s="35" t="s">
        <v>29</v>
      </c>
      <c r="BV3" s="35" t="s">
        <v>30</v>
      </c>
      <c r="BW3" s="35" t="s">
        <v>21</v>
      </c>
      <c r="BX3" s="35" t="s">
        <v>85</v>
      </c>
      <c r="BY3" s="61" t="s">
        <v>57</v>
      </c>
      <c r="BZ3" s="12"/>
      <c r="CA3" s="11"/>
      <c r="CB3" s="11"/>
      <c r="CC3" s="11"/>
      <c r="CD3" s="12"/>
      <c r="CE3" s="12"/>
      <c r="CF3" s="29"/>
      <c r="CG3" s="29"/>
      <c r="CH3" s="29"/>
      <c r="CI3" s="73" t="s">
        <v>29</v>
      </c>
      <c r="CJ3" s="73" t="s">
        <v>30</v>
      </c>
      <c r="CK3" s="73" t="s">
        <v>21</v>
      </c>
      <c r="CL3" s="76" t="s">
        <v>85</v>
      </c>
      <c r="CM3" s="76" t="s">
        <v>57</v>
      </c>
      <c r="CN3" s="73" t="s">
        <v>29</v>
      </c>
      <c r="CO3" s="73" t="s">
        <v>30</v>
      </c>
      <c r="CP3" s="73" t="s">
        <v>21</v>
      </c>
      <c r="CQ3" s="76" t="s">
        <v>85</v>
      </c>
      <c r="CR3" s="76" t="s">
        <v>57</v>
      </c>
      <c r="CS3" s="73" t="s">
        <v>29</v>
      </c>
      <c r="CT3" s="73" t="s">
        <v>30</v>
      </c>
      <c r="CU3" s="73" t="s">
        <v>21</v>
      </c>
      <c r="CV3" s="76" t="s">
        <v>85</v>
      </c>
      <c r="CW3" s="76" t="s">
        <v>57</v>
      </c>
      <c r="CX3" s="12"/>
      <c r="CY3" s="11"/>
      <c r="CZ3" s="11"/>
      <c r="DA3" s="11"/>
      <c r="DB3" s="12"/>
      <c r="DC3" s="12"/>
      <c r="DD3" s="72" t="s">
        <v>29</v>
      </c>
      <c r="DE3" s="72" t="s">
        <v>30</v>
      </c>
      <c r="DF3" s="72" t="s">
        <v>21</v>
      </c>
      <c r="DG3" s="72" t="s">
        <v>85</v>
      </c>
      <c r="DH3" s="72" t="s">
        <v>57</v>
      </c>
      <c r="DI3" s="72" t="s">
        <v>29</v>
      </c>
      <c r="DJ3" s="72" t="s">
        <v>30</v>
      </c>
      <c r="DK3" s="72" t="s">
        <v>21</v>
      </c>
      <c r="DL3" s="72" t="s">
        <v>85</v>
      </c>
      <c r="DM3" s="72" t="s">
        <v>57</v>
      </c>
      <c r="DN3" s="72" t="s">
        <v>29</v>
      </c>
      <c r="DO3" s="72" t="s">
        <v>30</v>
      </c>
      <c r="DP3" s="72" t="s">
        <v>21</v>
      </c>
      <c r="DQ3" s="72" t="s">
        <v>85</v>
      </c>
      <c r="DR3" s="72" t="s">
        <v>57</v>
      </c>
      <c r="DS3" s="15"/>
      <c r="DT3" s="14"/>
      <c r="DU3" s="14"/>
      <c r="DV3" s="14"/>
      <c r="DW3" s="15"/>
      <c r="DX3" s="15"/>
      <c r="DY3" s="73" t="s">
        <v>29</v>
      </c>
      <c r="DZ3" s="73" t="s">
        <v>30</v>
      </c>
      <c r="EA3" s="73" t="s">
        <v>21</v>
      </c>
      <c r="EB3" s="76" t="s">
        <v>85</v>
      </c>
      <c r="EC3" s="76" t="s">
        <v>57</v>
      </c>
      <c r="ED3" s="73" t="s">
        <v>29</v>
      </c>
      <c r="EE3" s="73" t="s">
        <v>30</v>
      </c>
      <c r="EF3" s="73" t="s">
        <v>21</v>
      </c>
      <c r="EG3" s="76" t="s">
        <v>85</v>
      </c>
      <c r="EH3" s="76" t="s">
        <v>57</v>
      </c>
      <c r="EI3" s="73" t="s">
        <v>29</v>
      </c>
      <c r="EJ3" s="73" t="s">
        <v>30</v>
      </c>
      <c r="EK3" s="73" t="s">
        <v>21</v>
      </c>
      <c r="EL3" s="76" t="s">
        <v>85</v>
      </c>
      <c r="EM3" s="76" t="s">
        <v>57</v>
      </c>
      <c r="EN3" s="12"/>
      <c r="EO3" s="11"/>
      <c r="EP3" s="11"/>
      <c r="EQ3" s="11"/>
      <c r="ER3" s="12"/>
      <c r="ES3" s="12"/>
      <c r="ET3" s="72" t="s">
        <v>29</v>
      </c>
      <c r="EU3" s="72" t="s">
        <v>30</v>
      </c>
      <c r="EV3" s="72" t="s">
        <v>21</v>
      </c>
      <c r="EW3" s="72" t="s">
        <v>85</v>
      </c>
      <c r="EX3" s="72" t="s">
        <v>57</v>
      </c>
      <c r="EY3" s="72" t="s">
        <v>29</v>
      </c>
      <c r="EZ3" s="72" t="s">
        <v>30</v>
      </c>
      <c r="FA3" s="72" t="s">
        <v>21</v>
      </c>
      <c r="FB3" s="72" t="s">
        <v>85</v>
      </c>
      <c r="FC3" s="72" t="s">
        <v>57</v>
      </c>
      <c r="FD3" s="72" t="s">
        <v>29</v>
      </c>
      <c r="FE3" s="72" t="s">
        <v>30</v>
      </c>
      <c r="FF3" s="72" t="s">
        <v>21</v>
      </c>
      <c r="FG3" s="72" t="s">
        <v>85</v>
      </c>
      <c r="FH3" s="72" t="s">
        <v>57</v>
      </c>
      <c r="FI3" s="15"/>
      <c r="FJ3" s="14"/>
      <c r="FK3" s="14"/>
      <c r="FL3" s="14"/>
      <c r="FM3" s="15"/>
      <c r="FN3" s="15"/>
      <c r="FO3" s="35" t="s">
        <v>29</v>
      </c>
      <c r="FP3" s="35" t="s">
        <v>30</v>
      </c>
      <c r="FQ3" s="35" t="s">
        <v>21</v>
      </c>
      <c r="FR3" s="38" t="s">
        <v>85</v>
      </c>
      <c r="FS3" s="63" t="s">
        <v>57</v>
      </c>
      <c r="FT3" s="35" t="s">
        <v>29</v>
      </c>
      <c r="FU3" s="35" t="s">
        <v>30</v>
      </c>
      <c r="FV3" s="35" t="s">
        <v>21</v>
      </c>
      <c r="FW3" s="38" t="s">
        <v>85</v>
      </c>
      <c r="FX3" s="63" t="s">
        <v>57</v>
      </c>
      <c r="FY3" s="35" t="s">
        <v>29</v>
      </c>
      <c r="FZ3" s="35" t="s">
        <v>30</v>
      </c>
      <c r="GA3" s="35" t="s">
        <v>21</v>
      </c>
      <c r="GB3" s="38" t="s">
        <v>85</v>
      </c>
      <c r="GC3" s="63" t="s">
        <v>57</v>
      </c>
      <c r="GD3" s="12"/>
      <c r="GE3" s="11"/>
      <c r="GF3" s="11"/>
      <c r="GG3" s="11"/>
      <c r="GH3" s="12"/>
      <c r="GI3" s="12"/>
      <c r="GJ3" s="34" t="s">
        <v>29</v>
      </c>
      <c r="GK3" s="34" t="s">
        <v>30</v>
      </c>
      <c r="GL3" s="34" t="s">
        <v>21</v>
      </c>
      <c r="GM3" s="34" t="s">
        <v>85</v>
      </c>
      <c r="GN3" s="62" t="s">
        <v>57</v>
      </c>
      <c r="GO3" s="34" t="s">
        <v>29</v>
      </c>
      <c r="GP3" s="34" t="s">
        <v>30</v>
      </c>
      <c r="GQ3" s="34" t="s">
        <v>21</v>
      </c>
      <c r="GR3" s="34" t="s">
        <v>85</v>
      </c>
      <c r="GS3" s="62" t="s">
        <v>57</v>
      </c>
      <c r="GT3" s="34" t="s">
        <v>29</v>
      </c>
      <c r="GU3" s="34" t="s">
        <v>30</v>
      </c>
      <c r="GV3" s="34" t="s">
        <v>21</v>
      </c>
      <c r="GW3" s="34" t="s">
        <v>85</v>
      </c>
      <c r="GX3" s="62" t="s">
        <v>57</v>
      </c>
      <c r="GY3" s="15"/>
      <c r="GZ3" s="14"/>
      <c r="HA3" s="14"/>
      <c r="HB3" s="14"/>
      <c r="HC3" s="15"/>
      <c r="HD3" s="15"/>
      <c r="HE3" s="35" t="s">
        <v>29</v>
      </c>
      <c r="HF3" s="35" t="s">
        <v>30</v>
      </c>
      <c r="HG3" s="35" t="s">
        <v>21</v>
      </c>
      <c r="HH3" s="38" t="s">
        <v>85</v>
      </c>
      <c r="HI3" s="63" t="s">
        <v>57</v>
      </c>
      <c r="HJ3" s="35" t="s">
        <v>29</v>
      </c>
      <c r="HK3" s="35" t="s">
        <v>30</v>
      </c>
      <c r="HL3" s="35" t="s">
        <v>21</v>
      </c>
      <c r="HM3" s="38" t="s">
        <v>85</v>
      </c>
      <c r="HN3" s="63" t="s">
        <v>57</v>
      </c>
      <c r="HO3" s="35" t="s">
        <v>29</v>
      </c>
      <c r="HP3" s="35" t="s">
        <v>30</v>
      </c>
      <c r="HQ3" s="35" t="s">
        <v>21</v>
      </c>
      <c r="HR3" s="38" t="s">
        <v>85</v>
      </c>
      <c r="HS3" s="63" t="s">
        <v>57</v>
      </c>
      <c r="HT3" s="12"/>
      <c r="HU3" s="11"/>
      <c r="HV3" s="11"/>
      <c r="HW3" s="11"/>
      <c r="HX3" s="12"/>
      <c r="HY3" s="12"/>
      <c r="HZ3" s="34" t="s">
        <v>29</v>
      </c>
      <c r="IA3" s="34" t="s">
        <v>30</v>
      </c>
      <c r="IB3" s="34" t="s">
        <v>21</v>
      </c>
      <c r="IC3" s="34" t="s">
        <v>85</v>
      </c>
      <c r="ID3" s="62" t="s">
        <v>57</v>
      </c>
      <c r="IE3" s="34" t="s">
        <v>29</v>
      </c>
      <c r="IF3" s="34" t="s">
        <v>30</v>
      </c>
      <c r="IG3" s="34" t="s">
        <v>21</v>
      </c>
      <c r="IH3" s="34" t="s">
        <v>85</v>
      </c>
      <c r="II3" s="62" t="s">
        <v>57</v>
      </c>
      <c r="IJ3" s="34" t="s">
        <v>29</v>
      </c>
      <c r="IK3" s="34" t="s">
        <v>30</v>
      </c>
      <c r="IL3" s="34" t="s">
        <v>21</v>
      </c>
      <c r="IM3" s="34" t="s">
        <v>85</v>
      </c>
      <c r="IN3" s="62" t="s">
        <v>57</v>
      </c>
      <c r="IO3" s="15"/>
      <c r="IP3" s="14"/>
      <c r="IQ3" s="14"/>
      <c r="IR3" s="14"/>
      <c r="IS3" s="15"/>
      <c r="IT3" s="15"/>
      <c r="IU3" s="35" t="s">
        <v>29</v>
      </c>
      <c r="IV3" s="35" t="s">
        <v>30</v>
      </c>
      <c r="IW3" s="35" t="s">
        <v>21</v>
      </c>
      <c r="IX3" s="38" t="s">
        <v>85</v>
      </c>
      <c r="IY3" s="63" t="s">
        <v>57</v>
      </c>
      <c r="IZ3" s="35" t="s">
        <v>29</v>
      </c>
      <c r="JA3" s="35" t="s">
        <v>30</v>
      </c>
      <c r="JB3" s="35" t="s">
        <v>21</v>
      </c>
      <c r="JC3" s="38" t="s">
        <v>85</v>
      </c>
      <c r="JD3" s="63" t="s">
        <v>57</v>
      </c>
      <c r="JE3" s="35" t="s">
        <v>29</v>
      </c>
      <c r="JF3" s="35" t="s">
        <v>30</v>
      </c>
      <c r="JG3" s="35" t="s">
        <v>21</v>
      </c>
      <c r="JH3" s="38" t="s">
        <v>85</v>
      </c>
      <c r="JI3" s="63" t="s">
        <v>57</v>
      </c>
      <c r="JJ3" s="12"/>
      <c r="JK3" s="11"/>
      <c r="JL3" s="11"/>
      <c r="JM3" s="11"/>
      <c r="JN3" s="12"/>
      <c r="JO3" s="12"/>
      <c r="JP3" s="34" t="s">
        <v>29</v>
      </c>
      <c r="JQ3" s="34" t="s">
        <v>30</v>
      </c>
      <c r="JR3" s="34" t="s">
        <v>21</v>
      </c>
      <c r="JS3" s="34" t="s">
        <v>85</v>
      </c>
      <c r="JT3" s="62" t="s">
        <v>57</v>
      </c>
      <c r="JU3" s="34" t="s">
        <v>29</v>
      </c>
      <c r="JV3" s="34" t="s">
        <v>30</v>
      </c>
      <c r="JW3" s="34" t="s">
        <v>21</v>
      </c>
      <c r="JX3" s="34" t="s">
        <v>85</v>
      </c>
      <c r="JY3" s="62" t="s">
        <v>57</v>
      </c>
      <c r="JZ3" s="34" t="s">
        <v>29</v>
      </c>
      <c r="KA3" s="34" t="s">
        <v>30</v>
      </c>
      <c r="KB3" s="34" t="s">
        <v>21</v>
      </c>
      <c r="KC3" s="34" t="s">
        <v>85</v>
      </c>
      <c r="KD3" s="62" t="s">
        <v>57</v>
      </c>
      <c r="KE3" s="15"/>
      <c r="KF3" s="14"/>
      <c r="KG3" s="14"/>
      <c r="KH3" s="14"/>
      <c r="KI3" s="15"/>
      <c r="KJ3" s="15"/>
      <c r="KK3" s="35" t="s">
        <v>29</v>
      </c>
      <c r="KL3" s="35" t="s">
        <v>30</v>
      </c>
      <c r="KM3" s="35" t="s">
        <v>21</v>
      </c>
      <c r="KN3" s="38" t="s">
        <v>85</v>
      </c>
      <c r="KO3" s="63" t="s">
        <v>57</v>
      </c>
      <c r="KP3" s="35" t="s">
        <v>29</v>
      </c>
      <c r="KQ3" s="35" t="s">
        <v>30</v>
      </c>
      <c r="KR3" s="35" t="s">
        <v>21</v>
      </c>
      <c r="KS3" s="38" t="s">
        <v>85</v>
      </c>
      <c r="KT3" s="63" t="s">
        <v>57</v>
      </c>
      <c r="KU3" s="35" t="s">
        <v>29</v>
      </c>
      <c r="KV3" s="35" t="s">
        <v>30</v>
      </c>
      <c r="KW3" s="35" t="s">
        <v>21</v>
      </c>
      <c r="KX3" s="38" t="s">
        <v>85</v>
      </c>
      <c r="KY3" s="63" t="s">
        <v>57</v>
      </c>
      <c r="KZ3" s="12"/>
      <c r="LA3" s="11"/>
      <c r="LB3" s="11"/>
      <c r="LC3" s="11"/>
      <c r="LD3" s="12"/>
      <c r="LE3" s="12"/>
      <c r="LF3" s="34" t="s">
        <v>29</v>
      </c>
      <c r="LG3" s="34" t="s">
        <v>30</v>
      </c>
      <c r="LH3" s="34" t="s">
        <v>21</v>
      </c>
      <c r="LI3" s="34" t="s">
        <v>85</v>
      </c>
      <c r="LJ3" s="62" t="s">
        <v>57</v>
      </c>
      <c r="LK3" s="34" t="s">
        <v>29</v>
      </c>
      <c r="LL3" s="34" t="s">
        <v>30</v>
      </c>
      <c r="LM3" s="34" t="s">
        <v>21</v>
      </c>
      <c r="LN3" s="34" t="s">
        <v>85</v>
      </c>
      <c r="LO3" s="62" t="s">
        <v>57</v>
      </c>
      <c r="LP3" s="34" t="s">
        <v>29</v>
      </c>
      <c r="LQ3" s="34" t="s">
        <v>30</v>
      </c>
      <c r="LR3" s="34" t="s">
        <v>21</v>
      </c>
      <c r="LS3" s="34" t="s">
        <v>85</v>
      </c>
      <c r="LT3" s="62" t="s">
        <v>57</v>
      </c>
      <c r="LU3" s="15"/>
      <c r="LV3" s="14"/>
      <c r="LW3" s="14"/>
      <c r="LX3" s="14"/>
      <c r="LY3" s="15"/>
      <c r="LZ3" s="15"/>
    </row>
    <row r="4" spans="1:338" x14ac:dyDescent="0.2">
      <c r="A4" s="6">
        <f t="shared" ref="A4:A9" si="0">IF(AND(F4="P",H4="P"),SUMPRODUCT((F$4:F$9="P")*(H$4:H$9="P")*(E$4:E$9&gt;E4))+1,IF(H4="P",SUMPRODUCT((F$4:F$9="")*(H$4:H$9="P")*(E$4:E$9&gt;E4))+1+SUMPRODUCT((F$4:F$9="P")*(H$4:H$9="P")),""))</f>
        <v>1</v>
      </c>
      <c r="B4" s="9" t="s">
        <v>86</v>
      </c>
      <c r="C4" s="5" t="s">
        <v>13</v>
      </c>
      <c r="D4" s="33">
        <v>2014</v>
      </c>
      <c r="E4" s="17">
        <f t="shared" ref="E4:E9" si="1">SUM(J4:R4)</f>
        <v>220.97500000000002</v>
      </c>
      <c r="F4" s="4" t="str">
        <f t="shared" ref="F4:F9" si="2">IF(OR(AND($AJ4&gt;=$AK$12,NOT($AJ4="")),AND($BE4&gt;=$BF$12,NOT($BE4="")),AND($BZ4&gt;=$CA$12,NOT($BZ4=""))),"P","")</f>
        <v>P</v>
      </c>
      <c r="G4" s="4" t="str">
        <f t="shared" ref="G4:G9" si="3">IF(OR(AND($AJ4&gt;=$AK$13,NOT($AJ4="")),AND($BE4&gt;=$BF$13,NOT($BE4="")),AND($BZ4&gt;=$CA$13,NOT($BZ4=""))),"P","")</f>
        <v>P</v>
      </c>
      <c r="H4" s="4" t="str">
        <f t="shared" ref="H4:H9" si="4">IF(OR(AND($AM4&gt;=$AK$14,NOT($AM4="")),AND($BH4&gt;=$BF$14,NOT($BH4="")),AND($CC4&gt;=$CA$14,NOT($CC4=""))),"P","")</f>
        <v>P</v>
      </c>
      <c r="I4" t="str">
        <f t="shared" ref="I4:I9" si="5">IF(AND(G4="P",OR(AND($AM4&gt;=$AK$17,NOT($AM4="")),AND($BH4&gt;=$BF$17,NOT($BH4="")),AND($CC4&gt;=$CA$17,NOT($CC4="")))),"Merit",IF(AND(G4="P",OR(AND($AM4&gt;=$AK$16,NOT($AM4="")),AND($BH4&gt;=$BF$16,NOT($BH4="")),AND($CC4&gt;=$CA$16,NOT($CC4="")))),"Funding",IF(AND(G4="P",OR(AND($AM4&gt;=$AK$15,NOT($AM4="")),AND($BH4&gt;=$BF$15,NOT($BH4="")),AND($CC4&gt;=$CA$15,NOT($CC4="")))),"Worlds Team",IF(AND(F4="P",OR(AND($AM4&gt;=$AK$14,NOT($AM4="")),AND($BH4&gt;=$BF$14,NOT($BH4="")),AND($CC4&gt;=$CA$14,NOT($CC4="")))),"National Team",""))))</f>
        <v>Merit</v>
      </c>
      <c r="J4" s="16">
        <f t="shared" ref="J4:J9" si="6">MAX(AM4,BH4,CC4)</f>
        <v>86.875</v>
      </c>
      <c r="K4" s="16" t="str">
        <f t="shared" ref="K4:K9" si="7">IF(J4=CC4,$BK$1,IF(J4=BH4,$AP$1,IF(J4=AM4,$U$1,"")))</f>
        <v>2018 Canada Cup</v>
      </c>
      <c r="L4" s="16">
        <f t="shared" ref="L4:L9" si="8">IF($J4=$AM4,MAX(BF4,CA4),IF($J4=$BH4,MAX(AK4,CA4),MAX(AK4,BF4)))</f>
        <v>40</v>
      </c>
      <c r="M4" s="16" t="str">
        <f t="shared" ref="M4:M9" si="9">IF(L4=CA4,$BK$1,IF(L4=BF4,$AP$1,IF(L4=AK4,$U$1,"")))</f>
        <v>2017 3rd Domestic Trial</v>
      </c>
      <c r="N4" s="16">
        <f t="shared" ref="N4:N9" si="10">IF($J4=$AM4,MAX(BG4,CB4),IF($J4=$BH4,MAX(AL4,CB4),MAX(AL4,BG4)))</f>
        <v>45.449999999999996</v>
      </c>
      <c r="O4" s="16" t="str">
        <f t="shared" ref="O4:O9" si="11">IF(N4=CB4,$BK$1,IF(N4=BG4,$AP$1,IF(N4=AL4,$U$1,"")))</f>
        <v>2017 3rd Domestic Trial</v>
      </c>
      <c r="P4" s="16">
        <f t="shared" ref="P4:P9" si="12">MAX(AN4,BI4,CD4)</f>
        <v>46.550000000000004</v>
      </c>
      <c r="Q4" s="16" t="str">
        <f t="shared" ref="Q4:Q9" si="13">IF(P4=CD4,$BK$1,IF(P4=BI4,$AP$1,IF(P4=AN4,$U$1,"")))</f>
        <v>2017 3rd Domestic Trial</v>
      </c>
      <c r="R4" s="16">
        <f t="shared" ref="R4:R9" si="14">IF(MAX(CF4:CH4)&gt;0,MAX(CF4:CH4),"")</f>
        <v>2.1000000000000085</v>
      </c>
      <c r="S4" s="31" t="str">
        <f t="shared" ref="S4:S9" si="15">IF(R4="","",IF(R4=CF4,"(Vol 1)",IF(R4=CG4,"(Vol 2)",IF(R4=CH4,"(Final)"))))</f>
        <v>(Vol 2)</v>
      </c>
      <c r="T4" s="16" t="str">
        <f t="shared" ref="T4:T9" si="16">IF(R4="","",IF(R4=CF4,IF(R4+L4=LV4,$LF$1,IF(R4+L4=LA4,$KK$1,IF(R4+L4=KF4,$JP$1,IF(R4+L4=JK4,$IU$1,IF(R4+L4=IP4,$HZ$1,IF(R4+L4=HU4,$HE$1,IF(R4+L4=GZ4,$GJ$1,IF(R4+L4=GE4,$FO$1,IF(R4+L4=FJ4,$ET$1,IF(R4+L4=EO4,$DY$1,IF(R4+L4=DT4,$DD$1,IF(R4+L4=CY4,$CI$1)))))))))))),IF(R4=CG4,IF(R4+N4=LW4,$LF$1,IF(R4+N4=LB4,$KK$1,IF(R4+N4=KG4,$JP$1,IF(R4+N4=JL4,$IU$1,IF(R4+N4=IQ4,$HZ$1,IF(R4+N4=HV4,$HE$1,IF(R4+N4=HA4,$GJ$1,IF(R4+N4=GF4,$FO$1,IF(R4+N4=FK4,$ET$1,IF(R4+N4=EP4,$DY$1,IF(R4+N4=DU4,$DD$1,IF(R4+N4=CZ4,$CI$1)))))))))))),IF(R4=CH4,IF(R4+P4=LY4,$LF$1,IF(R4+P4=LD4,$KK$1,IF(R4+P4=KI4,$JP$1,IF(R4+P4=JN4,$IU$1,IF(R4+P4=IS4,$HZ$1,IF(R4+P4=HX4,$HE$1,IF(R4+P4=HC4,$GJ$1,IF(R4+P4=GH4,$FO$1,IF(R4+P4=FM4,$ET$1,IF(R4+P4=ER4,$DY$1,IF(R4+P4=DW4,$DD$1,IF(R4+P4=DB4,$CI$1))))))))))))))))</f>
        <v>2017 World Championships (Nov)</v>
      </c>
      <c r="U4" s="47">
        <v>9.1999999999999993</v>
      </c>
      <c r="V4" s="47">
        <v>9</v>
      </c>
      <c r="W4" s="47">
        <v>3.4</v>
      </c>
      <c r="X4" s="47">
        <v>18.399999999999999</v>
      </c>
      <c r="Y4" s="47">
        <v>0</v>
      </c>
      <c r="Z4" s="47">
        <v>8.6</v>
      </c>
      <c r="AA4" s="47">
        <v>9.4499999999999993</v>
      </c>
      <c r="AB4" s="47">
        <v>11.8</v>
      </c>
      <c r="AC4" s="47">
        <v>15.6</v>
      </c>
      <c r="AD4" s="47">
        <v>0</v>
      </c>
      <c r="AE4" s="47">
        <v>8.65</v>
      </c>
      <c r="AF4" s="47">
        <v>9.3000000000000007</v>
      </c>
      <c r="AG4" s="47">
        <v>11.8</v>
      </c>
      <c r="AH4" s="47">
        <v>16.8</v>
      </c>
      <c r="AI4" s="47">
        <v>0</v>
      </c>
      <c r="AJ4" s="13">
        <f t="shared" ref="AJ4:AJ9" si="17">IF(SUM(W4,AB4)&gt;0,SUM(W4,AB4),"")</f>
        <v>15.200000000000001</v>
      </c>
      <c r="AK4" s="13">
        <f t="shared" ref="AK4:AK9" si="18">IF(SUM(U4:X4)-Y4&gt;0,SUM(U4:X4)-Y4,"")</f>
        <v>40</v>
      </c>
      <c r="AL4" s="13">
        <f t="shared" ref="AL4:AL9" si="19">IF(SUM(Z4:AC4)-AD4&gt;0,SUM(Z4:AC4)-AD4,"")</f>
        <v>45.449999999999996</v>
      </c>
      <c r="AM4" s="13">
        <f t="shared" ref="AM4:AM9" si="20">IF(SUM(AK4:AL4)&gt;0,SUM(AK4:AL4),"")</f>
        <v>85.449999999999989</v>
      </c>
      <c r="AN4" s="13">
        <f t="shared" ref="AN4:AN9" si="21">IF(SUM(AE4:AH4)-AI4&gt;0,SUM(AE4:AH4)-AI4,"")</f>
        <v>46.550000000000004</v>
      </c>
      <c r="AO4" s="13">
        <f t="shared" ref="AO4:AO9" si="22">IF(SUM(AM4,AN4)&gt;0,SUM(AM4,AN4),"")</f>
        <v>132</v>
      </c>
      <c r="AP4" s="48">
        <v>9.35</v>
      </c>
      <c r="AQ4" s="48">
        <v>9.6</v>
      </c>
      <c r="AR4" s="48">
        <v>3.4</v>
      </c>
      <c r="AS4" s="48">
        <v>17.2</v>
      </c>
      <c r="AT4" s="48">
        <v>0</v>
      </c>
      <c r="AU4" s="48">
        <v>8.4749999999999996</v>
      </c>
      <c r="AV4" s="48">
        <v>8.85</v>
      </c>
      <c r="AW4" s="48">
        <v>11.6</v>
      </c>
      <c r="AX4" s="48">
        <v>18.399999999999999</v>
      </c>
      <c r="AY4" s="48">
        <v>0</v>
      </c>
      <c r="AZ4" s="48">
        <v>8.5749999999999993</v>
      </c>
      <c r="BA4" s="48">
        <v>9.4</v>
      </c>
      <c r="BB4" s="48">
        <v>11.6</v>
      </c>
      <c r="BC4" s="48">
        <v>13.64</v>
      </c>
      <c r="BD4" s="48">
        <v>0</v>
      </c>
      <c r="BE4" s="16">
        <f t="shared" ref="BE4:BE9" si="23">IF(SUM(AR4,AW4)&gt;0,SUM(AR4,AW4),"")</f>
        <v>15</v>
      </c>
      <c r="BF4" s="16">
        <f t="shared" ref="BF4:BF9" si="24">IF(SUM(AP4:AS4)-AT4&gt;0,SUM(AP4:AS4)-AT4,"")</f>
        <v>39.549999999999997</v>
      </c>
      <c r="BG4" s="16">
        <f t="shared" ref="BG4:BG9" si="25">IF(SUM(AU4:AX4)-AY4&gt;0,SUM(AU4:AX4)-AY4,"")</f>
        <v>47.324999999999996</v>
      </c>
      <c r="BH4" s="16">
        <f t="shared" ref="BH4:BH9" si="26">IF(SUM(BF4:BG4)&gt;0,SUM(BF4:BG4),"")</f>
        <v>86.875</v>
      </c>
      <c r="BI4" s="16">
        <f t="shared" ref="BI4:BI9" si="27">IF(SUM(AZ4:BC4)-BD4&gt;0,SUM(AZ4:BC4)-BD4,"")</f>
        <v>43.215000000000003</v>
      </c>
      <c r="BJ4" s="16">
        <f t="shared" ref="BJ4:BJ9" si="28">IF(SUM(BH4,BI4)&gt;0,SUM(BH4,BI4),"")</f>
        <v>130.09</v>
      </c>
      <c r="BK4" s="47">
        <v>9.1999999999999993</v>
      </c>
      <c r="BL4" s="47">
        <v>9.5</v>
      </c>
      <c r="BM4" s="47">
        <v>3.4</v>
      </c>
      <c r="BN4" s="47">
        <v>16.22</v>
      </c>
      <c r="BO4" s="47">
        <v>0</v>
      </c>
      <c r="BP4" s="47">
        <v>8.3000000000000007</v>
      </c>
      <c r="BQ4" s="47">
        <v>9.35</v>
      </c>
      <c r="BR4" s="47">
        <v>11.6</v>
      </c>
      <c r="BS4" s="47">
        <v>12.6</v>
      </c>
      <c r="BT4" s="47">
        <v>0</v>
      </c>
      <c r="BU4" s="47">
        <v>8.65</v>
      </c>
      <c r="BV4" s="47">
        <v>9.4</v>
      </c>
      <c r="BW4" s="47">
        <v>11.6</v>
      </c>
      <c r="BX4" s="47">
        <v>16.079999999999998</v>
      </c>
      <c r="BY4" s="47">
        <v>0</v>
      </c>
      <c r="BZ4" s="13">
        <f t="shared" ref="BZ4:BZ9" si="29">IF(SUM(BM4,BR4)&gt;0,SUM(BM4,BR4),"")</f>
        <v>15</v>
      </c>
      <c r="CA4" s="13">
        <f t="shared" ref="CA4:CA9" si="30">IF(SUM(BK4:BN4)-BO4&gt;0,SUM(BK4:BN4)-BO4,"")</f>
        <v>38.319999999999993</v>
      </c>
      <c r="CB4" s="13">
        <f t="shared" ref="CB4:CB9" si="31">IF(SUM(BP4:BS4)-BT4&gt;0,SUM(BP4:BS4)-BT4,"")</f>
        <v>41.85</v>
      </c>
      <c r="CC4" s="13">
        <f t="shared" ref="CC4:CC9" si="32">IF(SUM(CA4:CB4)&gt;0,SUM(CA4:CB4),"")</f>
        <v>80.169999999999987</v>
      </c>
      <c r="CD4" s="13">
        <f t="shared" ref="CD4:CD9" si="33">IF(SUM(BU4:BX4)-BY4&gt;0,SUM(BU4:BX4)-BY4,"")</f>
        <v>45.73</v>
      </c>
      <c r="CE4" s="13">
        <f t="shared" ref="CE4:CE9" si="34">IF(SUM(CC4,CD4)&gt;0,SUM(CC4,CD4),"")</f>
        <v>125.89999999999998</v>
      </c>
      <c r="CF4" s="30">
        <f t="shared" ref="CF4:CF9" si="35">IF(MAX(CY4,DT4,EO4,FJ4,GE4,GZ4,HU4,IP4,JK4,KF4,LA4,LV4)-L4&gt;0.001,MAX(CY4,DT4,EO4,FJ4,GE4,GZ4,HU4,IP4,JK4,KF4,LA4,LV4)-L4,"")</f>
        <v>1.0499999999999972</v>
      </c>
      <c r="CG4" s="30">
        <f t="shared" ref="CG4:CG9" si="36">IF(MAX(CZ4,DU4,EP4,FK4,GF4,HA4,HV4,IQ4,JL4,KG4,LB4,LW4)-N4&gt;0.001,MAX(CZ4,DU4,EP4,FK4,GF4,HA4,HV4,IQ4,JL4,KG4,LB4,LW4)-N4,"")</f>
        <v>2.1000000000000085</v>
      </c>
      <c r="CH4" s="30">
        <f t="shared" ref="CH4:CH9" si="37">IF(MAX(DB4,DW4,ER4,FM4,GH4,HC4,HX4,IS4,JN4,KI4,LD4,LY4)-P4&gt;0.001,MAX(DB4,DW4,ER4,FM4,GH4,HC4,HX4,IS4,JN4,KI4,LD4,LY4)-P4,"")</f>
        <v>0.36500000000000199</v>
      </c>
      <c r="CI4" s="47">
        <v>8.5</v>
      </c>
      <c r="CJ4" s="47">
        <v>9.5500000000000007</v>
      </c>
      <c r="CK4" s="47">
        <v>3.4</v>
      </c>
      <c r="CL4" s="47">
        <v>16.600000000000001</v>
      </c>
      <c r="CM4" s="47">
        <v>0</v>
      </c>
      <c r="CN4" s="47">
        <v>8.15</v>
      </c>
      <c r="CO4" s="47">
        <v>9.35</v>
      </c>
      <c r="CP4" s="47">
        <v>11.8</v>
      </c>
      <c r="CQ4" s="47">
        <v>17.36</v>
      </c>
      <c r="CR4" s="47">
        <v>0</v>
      </c>
      <c r="CS4" s="47">
        <v>8.0500000000000007</v>
      </c>
      <c r="CT4" s="47">
        <v>8.9</v>
      </c>
      <c r="CU4" s="47">
        <v>11.8</v>
      </c>
      <c r="CV4" s="47">
        <v>17.66</v>
      </c>
      <c r="CW4" s="47">
        <v>0</v>
      </c>
      <c r="CX4" s="13">
        <f t="shared" ref="CX4:CX9" si="38">IF(SUM(CK4,CP4)&gt;0,SUM(CK4,CP4),"")</f>
        <v>15.200000000000001</v>
      </c>
      <c r="CY4" s="13">
        <f t="shared" ref="CY4:CY9" si="39">IF(SUM(CI4:CL4)-CM4&gt;0,SUM(CI4:CL4)-CM4,"")</f>
        <v>38.049999999999997</v>
      </c>
      <c r="CZ4" s="13">
        <f t="shared" ref="CZ4:CZ9" si="40">IF(SUM(CN4:CQ4)-CR4&gt;0,SUM(CN4:CQ4)-CR4,"")</f>
        <v>46.66</v>
      </c>
      <c r="DA4" s="13">
        <f t="shared" ref="DA4:DA9" si="41">IF(SUM(CY4:CZ4)&gt;0,SUM(CY4:CZ4),"")</f>
        <v>84.71</v>
      </c>
      <c r="DB4" s="13">
        <f t="shared" ref="DB4:DB9" si="42">IF(SUM(CS4:CV4)-CW4&gt;0,SUM(CS4:CV4)-CW4,"")</f>
        <v>46.410000000000004</v>
      </c>
      <c r="DC4" s="13">
        <f t="shared" ref="DC4:DC9" si="43">IF(SUM(DA4,DB4)&gt;0,SUM(DA4,DB4),"")</f>
        <v>131.12</v>
      </c>
      <c r="DD4" s="48"/>
      <c r="DE4" s="48"/>
      <c r="DF4" s="48"/>
      <c r="DG4" s="48"/>
      <c r="DH4" s="48"/>
      <c r="DI4" s="48"/>
      <c r="DJ4" s="48"/>
      <c r="DK4" s="48"/>
      <c r="DL4" s="48"/>
      <c r="DM4" s="48"/>
      <c r="DN4" s="48"/>
      <c r="DO4" s="48"/>
      <c r="DP4" s="48"/>
      <c r="DQ4" s="48"/>
      <c r="DR4" s="48"/>
      <c r="DS4" s="16" t="str">
        <f t="shared" ref="DS4:DS9" si="44">IF(SUM(DF4,DK4)&gt;0,SUM(DF4,DK4),"")</f>
        <v/>
      </c>
      <c r="DT4" s="16" t="str">
        <f t="shared" ref="DT4:DT9" si="45">IF(SUM(DD4:DG4)-DH4&gt;0,SUM(DD4:DG4)-DH4,"")</f>
        <v/>
      </c>
      <c r="DU4" s="16" t="str">
        <f t="shared" ref="DU4:DU9" si="46">IF(SUM(DI4:DL4)-DM4&gt;0,SUM(DI4:DL4)-DM4,"")</f>
        <v/>
      </c>
      <c r="DV4" s="16" t="str">
        <f t="shared" ref="DV4:DV9" si="47">IF(SUM(DT4:DU4)&gt;0,SUM(DT4:DU4),"")</f>
        <v/>
      </c>
      <c r="DW4" s="16" t="str">
        <f t="shared" ref="DW4:DW9" si="48">IF(SUM(DN4:DQ4)-DR4&gt;0,SUM(DN4:DQ4)-DR4,"")</f>
        <v/>
      </c>
      <c r="DX4" s="16" t="str">
        <f t="shared" ref="DX4:DX9" si="49">IF(SUM(DV4,DW4)&gt;0,SUM(DV4,DW4),"")</f>
        <v/>
      </c>
      <c r="DY4" s="47">
        <v>9.1999999999999993</v>
      </c>
      <c r="DZ4" s="47">
        <v>9.65</v>
      </c>
      <c r="EA4" s="47">
        <v>3.4</v>
      </c>
      <c r="EB4" s="47">
        <v>18.8</v>
      </c>
      <c r="EC4" s="47">
        <v>0</v>
      </c>
      <c r="ED4" s="47">
        <v>8.35</v>
      </c>
      <c r="EE4" s="47">
        <v>9.1999999999999993</v>
      </c>
      <c r="EF4" s="47">
        <v>10.6</v>
      </c>
      <c r="EG4" s="47">
        <v>12.4</v>
      </c>
      <c r="EH4" s="47">
        <v>0</v>
      </c>
      <c r="EI4" s="47"/>
      <c r="EJ4" s="47"/>
      <c r="EK4" s="47"/>
      <c r="EL4" s="47"/>
      <c r="EM4" s="47"/>
      <c r="EN4" s="13">
        <f t="shared" ref="EN4:EN9" si="50">IF(SUM(EA4,EF4)&gt;0,SUM(EA4,EF4),"")</f>
        <v>14</v>
      </c>
      <c r="EO4" s="13">
        <f t="shared" ref="EO4:EO9" si="51">IF(SUM(DY4:EB4)-EC4&gt;0,SUM(DY4:EB4)-EC4,"")</f>
        <v>41.05</v>
      </c>
      <c r="EP4" s="13">
        <f t="shared" ref="EP4:EP9" si="52">IF(SUM(ED4:EG4)-EH4&gt;0,SUM(ED4:EG4)-EH4,"")</f>
        <v>40.549999999999997</v>
      </c>
      <c r="EQ4" s="13">
        <f t="shared" ref="EQ4:EQ9" si="53">IF(SUM(EO4:EP4)&gt;0,SUM(EO4:EP4),"")</f>
        <v>81.599999999999994</v>
      </c>
      <c r="ER4" s="13" t="str">
        <f t="shared" ref="ER4:ER9" si="54">IF(SUM(EI4:EL4)-EM4&gt;0,SUM(EI4:EL4)-EM4,"")</f>
        <v/>
      </c>
      <c r="ES4" s="13">
        <f t="shared" ref="ES4:ES9" si="55">IF(SUM(EQ4,ER4)&gt;0,SUM(EQ4,ER4),"")</f>
        <v>81.599999999999994</v>
      </c>
      <c r="ET4" s="48">
        <v>8.8000000000000007</v>
      </c>
      <c r="EU4" s="48">
        <v>9.5500000000000007</v>
      </c>
      <c r="EV4" s="48">
        <v>3.4</v>
      </c>
      <c r="EW4" s="48">
        <v>17</v>
      </c>
      <c r="EX4" s="48">
        <v>0</v>
      </c>
      <c r="EY4" s="48">
        <v>8.1</v>
      </c>
      <c r="EZ4" s="48">
        <v>9.25</v>
      </c>
      <c r="FA4" s="48">
        <v>11.6</v>
      </c>
      <c r="FB4" s="48">
        <v>18.600000000000001</v>
      </c>
      <c r="FC4" s="48">
        <v>0</v>
      </c>
      <c r="FD4" s="48">
        <v>8.1999999999999993</v>
      </c>
      <c r="FE4" s="48">
        <v>9.3000000000000007</v>
      </c>
      <c r="FF4" s="48">
        <v>11.6</v>
      </c>
      <c r="FG4" s="48">
        <v>17.8</v>
      </c>
      <c r="FH4" s="48">
        <v>0</v>
      </c>
      <c r="FI4" s="16">
        <f t="shared" ref="FI4:FI9" si="56">IF(SUM(EV4,FA4)&gt;0,SUM(EV4,FA4),"")</f>
        <v>15</v>
      </c>
      <c r="FJ4" s="16">
        <f t="shared" ref="FJ4:FJ9" si="57">IF(SUM(ET4:EW4)-EX4&gt;0,SUM(ET4:EW4)-EX4,"")</f>
        <v>38.75</v>
      </c>
      <c r="FK4" s="16">
        <f t="shared" ref="FK4:FK9" si="58">IF(SUM(EY4:FB4)-FC4&gt;0,SUM(EY4:FB4)-FC4,"")</f>
        <v>47.550000000000004</v>
      </c>
      <c r="FL4" s="16">
        <f t="shared" ref="FL4:FL9" si="59">IF(SUM(FJ4:FK4)&gt;0,SUM(FJ4:FK4),"")</f>
        <v>86.300000000000011</v>
      </c>
      <c r="FM4" s="16">
        <f t="shared" ref="FM4:FM9" si="60">IF(SUM(FD4:FG4)-FH4&gt;0,SUM(FD4:FG4)-FH4,"")</f>
        <v>46.900000000000006</v>
      </c>
      <c r="FN4" s="16">
        <f t="shared" ref="FN4:FN9" si="61">IF(SUM(FL4,FM4)&gt;0,SUM(FL4,FM4),"")</f>
        <v>133.20000000000002</v>
      </c>
      <c r="FO4" s="47"/>
      <c r="FP4" s="47"/>
      <c r="FQ4" s="47"/>
      <c r="FR4" s="47"/>
      <c r="FS4" s="47"/>
      <c r="FT4" s="47"/>
      <c r="FU4" s="47"/>
      <c r="FV4" s="47"/>
      <c r="FW4" s="47"/>
      <c r="FX4" s="47"/>
      <c r="FY4" s="47"/>
      <c r="FZ4" s="47"/>
      <c r="GA4" s="47"/>
      <c r="GB4" s="47"/>
      <c r="GC4" s="47"/>
      <c r="GD4" s="13" t="str">
        <f t="shared" ref="GD4:GD9" si="62">IF(SUM(FQ4,FV4)&gt;0,SUM(FQ4,FV4),"")</f>
        <v/>
      </c>
      <c r="GE4" s="13" t="str">
        <f t="shared" ref="GE4:GE9" si="63">IF(SUM(FO4:FR4)-FS4&gt;0,SUM(FO4:FR4)-FS4,"")</f>
        <v/>
      </c>
      <c r="GF4" s="13" t="str">
        <f t="shared" ref="GF4:GF9" si="64">IF(SUM(FT4:FW4)-FX4&gt;0,SUM(FT4:FW4)-FX4,"")</f>
        <v/>
      </c>
      <c r="GG4" s="13" t="str">
        <f t="shared" ref="GG4:GG9" si="65">IF(SUM(GE4:GF4)&gt;0,SUM(GE4:GF4),"")</f>
        <v/>
      </c>
      <c r="GH4" s="13" t="str">
        <f t="shared" ref="GH4:GH9" si="66">IF(SUM(FY4:GB4)-GC4&gt;0,SUM(FY4:GB4)-GC4,"")</f>
        <v/>
      </c>
      <c r="GI4" s="13" t="str">
        <f t="shared" ref="GI4:GI9" si="67">IF(SUM(GG4,GH4)&gt;0,SUM(GG4,GH4),"")</f>
        <v/>
      </c>
      <c r="GJ4" s="48">
        <v>9.1</v>
      </c>
      <c r="GK4" s="48">
        <v>9.5</v>
      </c>
      <c r="GL4" s="48">
        <v>3.4</v>
      </c>
      <c r="GM4" s="48">
        <v>18.64</v>
      </c>
      <c r="GN4" s="48">
        <v>0</v>
      </c>
      <c r="GO4" s="48">
        <v>8.1999999999999993</v>
      </c>
      <c r="GP4" s="48">
        <v>9.5</v>
      </c>
      <c r="GQ4" s="48">
        <v>11.6</v>
      </c>
      <c r="GR4" s="48">
        <v>17.059999999999999</v>
      </c>
      <c r="GS4" s="48">
        <v>0</v>
      </c>
      <c r="GT4" s="48">
        <v>8.4749999999999996</v>
      </c>
      <c r="GU4" s="48">
        <v>9.4</v>
      </c>
      <c r="GV4" s="48">
        <v>11.6</v>
      </c>
      <c r="GW4" s="48">
        <v>17.440000000000001</v>
      </c>
      <c r="GX4" s="48">
        <v>0</v>
      </c>
      <c r="GY4" s="16">
        <f t="shared" ref="GY4:GY9" si="68">IF(SUM(GL4,GQ4)&gt;0,SUM(GL4,GQ4),"")</f>
        <v>15</v>
      </c>
      <c r="GZ4" s="16">
        <f t="shared" ref="GZ4:GZ9" si="69">IF(SUM(GJ4:GM4)-GN4&gt;0,SUM(GJ4:GM4)-GN4,"")</f>
        <v>40.64</v>
      </c>
      <c r="HA4" s="16">
        <f t="shared" ref="HA4:HA9" si="70">IF(SUM(GO4:GR4)-GS4&gt;0,SUM(GO4:GR4)-GS4,"")</f>
        <v>46.36</v>
      </c>
      <c r="HB4" s="16">
        <f t="shared" ref="HB4:HB9" si="71">IF(SUM(GZ4:HA4)&gt;0,SUM(GZ4:HA4),"")</f>
        <v>87</v>
      </c>
      <c r="HC4" s="16">
        <f t="shared" ref="HC4:HC9" si="72">IF(SUM(GT4:GW4)-GX4&gt;0,SUM(GT4:GW4)-GX4,"")</f>
        <v>46.915000000000006</v>
      </c>
      <c r="HD4" s="16">
        <f t="shared" ref="HD4:HD9" si="73">IF(SUM(HB4,HC4)&gt;0,SUM(HB4,HC4),"")</f>
        <v>133.91500000000002</v>
      </c>
      <c r="HE4" s="47"/>
      <c r="HF4" s="47"/>
      <c r="HG4" s="47"/>
      <c r="HH4" s="47"/>
      <c r="HI4" s="47"/>
      <c r="HJ4" s="47"/>
      <c r="HK4" s="47"/>
      <c r="HL4" s="47"/>
      <c r="HM4" s="47"/>
      <c r="HN4" s="47"/>
      <c r="HO4" s="47"/>
      <c r="HP4" s="47"/>
      <c r="HQ4" s="47"/>
      <c r="HR4" s="47"/>
      <c r="HS4" s="47"/>
      <c r="HT4" s="13" t="str">
        <f t="shared" ref="HT4:HT9" si="74">IF(SUM(HG4,HL4)&gt;0,SUM(HG4,HL4),"")</f>
        <v/>
      </c>
      <c r="HU4" s="13" t="str">
        <f t="shared" ref="HU4:HU9" si="75">IF(SUM(HE4:HH4)-HI4&gt;0,SUM(HE4:HH4)-HI4,"")</f>
        <v/>
      </c>
      <c r="HV4" s="13" t="str">
        <f t="shared" ref="HV4:HV9" si="76">IF(SUM(HJ4:HM4)-HN4&gt;0,SUM(HJ4:HM4)-HN4,"")</f>
        <v/>
      </c>
      <c r="HW4" s="13" t="str">
        <f t="shared" ref="HW4:HW9" si="77">IF(SUM(HU4:HV4)&gt;0,SUM(HU4:HV4),"")</f>
        <v/>
      </c>
      <c r="HX4" s="13" t="str">
        <f t="shared" ref="HX4:HX9" si="78">IF(SUM(HO4:HR4)-HS4&gt;0,SUM(HO4:HR4)-HS4,"")</f>
        <v/>
      </c>
      <c r="HY4" s="13" t="str">
        <f t="shared" ref="HY4:HY9" si="79">IF(SUM(HW4,HX4)&gt;0,SUM(HW4,HX4),"")</f>
        <v/>
      </c>
      <c r="HZ4" s="48"/>
      <c r="IA4" s="48"/>
      <c r="IB4" s="48"/>
      <c r="IC4" s="48"/>
      <c r="ID4" s="48"/>
      <c r="IE4" s="48"/>
      <c r="IF4" s="48"/>
      <c r="IG4" s="48"/>
      <c r="IH4" s="48"/>
      <c r="II4" s="48"/>
      <c r="IJ4" s="48"/>
      <c r="IK4" s="48"/>
      <c r="IL4" s="48"/>
      <c r="IM4" s="48"/>
      <c r="IN4" s="48"/>
      <c r="IO4" s="16" t="str">
        <f t="shared" ref="IO4:IO9" si="80">IF(SUM(IB4,IG4)&gt;0,SUM(IB4,IG4),"")</f>
        <v/>
      </c>
      <c r="IP4" s="16" t="str">
        <f t="shared" ref="IP4:IP9" si="81">IF(SUM(HZ4:IC4)-ID4&gt;0,SUM(HZ4:IC4)-ID4,"")</f>
        <v/>
      </c>
      <c r="IQ4" s="16" t="str">
        <f t="shared" ref="IQ4:IQ9" si="82">IF(SUM(IE4:IH4)-II4&gt;0,SUM(IE4:IH4)-II4,"")</f>
        <v/>
      </c>
      <c r="IR4" s="16" t="str">
        <f t="shared" ref="IR4:IR9" si="83">IF(SUM(IP4:IQ4)&gt;0,SUM(IP4:IQ4),"")</f>
        <v/>
      </c>
      <c r="IS4" s="16" t="str">
        <f t="shared" ref="IS4:IS9" si="84">IF(SUM(IJ4:IM4)-IN4&gt;0,SUM(IJ4:IM4)-IN4,"")</f>
        <v/>
      </c>
      <c r="IT4" s="16" t="str">
        <f t="shared" ref="IT4:IT9" si="85">IF(SUM(IR4,IS4)&gt;0,SUM(IR4,IS4),"")</f>
        <v/>
      </c>
      <c r="IU4" s="47"/>
      <c r="IV4" s="47"/>
      <c r="IW4" s="47"/>
      <c r="IX4" s="47"/>
      <c r="IY4" s="47"/>
      <c r="IZ4" s="47"/>
      <c r="JA4" s="47"/>
      <c r="JB4" s="47"/>
      <c r="JC4" s="47"/>
      <c r="JD4" s="47"/>
      <c r="JE4" s="47"/>
      <c r="JF4" s="47"/>
      <c r="JG4" s="47"/>
      <c r="JH4" s="47"/>
      <c r="JI4" s="47"/>
      <c r="JJ4" s="13" t="str">
        <f t="shared" ref="JJ4:JJ9" si="86">IF(SUM(IW4,JB4)&gt;0,SUM(IW4,JB4),"")</f>
        <v/>
      </c>
      <c r="JK4" s="13" t="str">
        <f t="shared" ref="JK4:JK9" si="87">IF(SUM(IU4:IX4)-IY4&gt;0,SUM(IU4:IX4)-IY4,"")</f>
        <v/>
      </c>
      <c r="JL4" s="13" t="str">
        <f t="shared" ref="JL4:JL9" si="88">IF(SUM(IZ4:JC4)-JD4&gt;0,SUM(IZ4:JC4)-JD4,"")</f>
        <v/>
      </c>
      <c r="JM4" s="13" t="str">
        <f t="shared" ref="JM4:JM9" si="89">IF(SUM(JK4:JL4)&gt;0,SUM(JK4:JL4),"")</f>
        <v/>
      </c>
      <c r="JN4" s="13" t="str">
        <f t="shared" ref="JN4:JN9" si="90">IF(SUM(JE4:JH4)-JI4&gt;0,SUM(JE4:JH4)-JI4,"")</f>
        <v/>
      </c>
      <c r="JO4" s="13" t="str">
        <f t="shared" ref="JO4:JO9" si="91">IF(SUM(JM4,JN4)&gt;0,SUM(JM4,JN4),"")</f>
        <v/>
      </c>
      <c r="JP4" s="48"/>
      <c r="JQ4" s="48"/>
      <c r="JR4" s="48"/>
      <c r="JS4" s="48"/>
      <c r="JT4" s="48"/>
      <c r="JU4" s="48"/>
      <c r="JV4" s="48"/>
      <c r="JW4" s="48"/>
      <c r="JX4" s="48"/>
      <c r="JY4" s="48"/>
      <c r="JZ4" s="48"/>
      <c r="KA4" s="48"/>
      <c r="KB4" s="48"/>
      <c r="KC4" s="48"/>
      <c r="KD4" s="48"/>
      <c r="KE4" s="16" t="str">
        <f t="shared" ref="KE4:KE9" si="92">IF(SUM(JR4,JW4)&gt;0,SUM(JR4,JW4),"")</f>
        <v/>
      </c>
      <c r="KF4" s="16" t="str">
        <f t="shared" ref="KF4:KF9" si="93">IF(SUM(JP4:JS4)-JT4&gt;0,SUM(JP4:JS4)-JT4,"")</f>
        <v/>
      </c>
      <c r="KG4" s="16" t="str">
        <f t="shared" ref="KG4:KG9" si="94">IF(SUM(JU4:JX4)-JY4&gt;0,SUM(JU4:JX4)-JY4,"")</f>
        <v/>
      </c>
      <c r="KH4" s="16" t="str">
        <f t="shared" ref="KH4:KH9" si="95">IF(SUM(KF4:KG4)&gt;0,SUM(KF4:KG4),"")</f>
        <v/>
      </c>
      <c r="KI4" s="16" t="str">
        <f t="shared" ref="KI4:KI9" si="96">IF(SUM(JZ4:KC4)-KD4&gt;0,SUM(JZ4:KC4)-KD4,"")</f>
        <v/>
      </c>
      <c r="KJ4" s="16" t="str">
        <f t="shared" ref="KJ4:KJ9" si="97">IF(SUM(KH4,KI4)&gt;0,SUM(KH4,KI4),"")</f>
        <v/>
      </c>
      <c r="KK4" s="47"/>
      <c r="KL4" s="47"/>
      <c r="KM4" s="47"/>
      <c r="KN4" s="47"/>
      <c r="KO4" s="47"/>
      <c r="KP4" s="47"/>
      <c r="KQ4" s="47"/>
      <c r="KR4" s="47"/>
      <c r="KS4" s="47"/>
      <c r="KT4" s="47"/>
      <c r="KU4" s="47"/>
      <c r="KV4" s="47"/>
      <c r="KW4" s="47"/>
      <c r="KX4" s="47"/>
      <c r="KY4" s="47"/>
      <c r="KZ4" s="13" t="str">
        <f t="shared" ref="KZ4:KZ9" si="98">IF(SUM(KM4,KR4)&gt;0,SUM(KM4,KR4),"")</f>
        <v/>
      </c>
      <c r="LA4" s="13" t="str">
        <f t="shared" ref="LA4:LA9" si="99">IF(SUM(KK4:KN4)-KO4&gt;0,SUM(KK4:KN4)-KO4,"")</f>
        <v/>
      </c>
      <c r="LB4" s="13" t="str">
        <f t="shared" ref="LB4:LB9" si="100">IF(SUM(KP4:KS4)-KT4&gt;0,SUM(KP4:KS4)-KT4,"")</f>
        <v/>
      </c>
      <c r="LC4" s="13" t="str">
        <f t="shared" ref="LC4:LC9" si="101">IF(SUM(LA4:LB4)&gt;0,SUM(LA4:LB4),"")</f>
        <v/>
      </c>
      <c r="LD4" s="13" t="str">
        <f t="shared" ref="LD4:LD9" si="102">IF(SUM(KU4:KX4)-KY4&gt;0,SUM(KU4:KX4)-KY4,"")</f>
        <v/>
      </c>
      <c r="LE4" s="13" t="str">
        <f t="shared" ref="LE4:LE9" si="103">IF(SUM(LC4,LD4)&gt;0,SUM(LC4,LD4),"")</f>
        <v/>
      </c>
      <c r="LF4" s="48"/>
      <c r="LG4" s="48"/>
      <c r="LH4" s="48"/>
      <c r="LI4" s="48"/>
      <c r="LJ4" s="48"/>
      <c r="LK4" s="48"/>
      <c r="LL4" s="48"/>
      <c r="LM4" s="48"/>
      <c r="LN4" s="48"/>
      <c r="LO4" s="48"/>
      <c r="LP4" s="48"/>
      <c r="LQ4" s="48"/>
      <c r="LR4" s="48"/>
      <c r="LS4" s="48"/>
      <c r="LT4" s="48"/>
      <c r="LU4" s="16" t="str">
        <f t="shared" ref="LU4:LU9" si="104">IF(SUM(LH4,LM4)&gt;0,SUM(LH4,LM4),"")</f>
        <v/>
      </c>
      <c r="LV4" s="16" t="str">
        <f t="shared" ref="LV4:LV9" si="105">IF(SUM(LF4:LI4)-LJ4&gt;0,SUM(LF4:LI4)-LJ4,"")</f>
        <v/>
      </c>
      <c r="LW4" s="16" t="str">
        <f t="shared" ref="LW4:LW9" si="106">IF(SUM(LK4:LN4)-LO4&gt;0,SUM(LK4:LN4)-LO4,"")</f>
        <v/>
      </c>
      <c r="LX4" s="16" t="str">
        <f t="shared" ref="LX4:LX9" si="107">IF(SUM(LV4:LW4)&gt;0,SUM(LV4:LW4),"")</f>
        <v/>
      </c>
      <c r="LY4" s="16" t="str">
        <f t="shared" ref="LY4:LY9" si="108">IF(SUM(LP4:LS4)-LT4&gt;0,SUM(LP4:LS4)-LT4,"")</f>
        <v/>
      </c>
      <c r="LZ4" s="16" t="str">
        <f t="shared" ref="LZ4:LZ9" si="109">IF(SUM(LX4,LY4)&gt;0,SUM(LX4,LY4),"")</f>
        <v/>
      </c>
    </row>
    <row r="5" spans="1:338" x14ac:dyDescent="0.2">
      <c r="A5" s="6">
        <f t="shared" si="0"/>
        <v>2</v>
      </c>
      <c r="B5" s="7" t="s">
        <v>100</v>
      </c>
      <c r="C5" s="8" t="s">
        <v>4</v>
      </c>
      <c r="D5" s="6">
        <v>2014</v>
      </c>
      <c r="E5" s="17">
        <f t="shared" si="1"/>
        <v>180.85</v>
      </c>
      <c r="F5" s="4" t="str">
        <f t="shared" si="2"/>
        <v>P</v>
      </c>
      <c r="G5" s="4" t="str">
        <f t="shared" si="3"/>
        <v>P</v>
      </c>
      <c r="H5" s="4" t="str">
        <f t="shared" si="4"/>
        <v>P</v>
      </c>
      <c r="I5" t="str">
        <f t="shared" si="5"/>
        <v>Funding</v>
      </c>
      <c r="J5" s="16">
        <f t="shared" si="6"/>
        <v>89.199999999999989</v>
      </c>
      <c r="K5" s="16" t="str">
        <f t="shared" si="7"/>
        <v>2017 3rd Domestic Trial</v>
      </c>
      <c r="L5" s="16">
        <f t="shared" si="8"/>
        <v>0</v>
      </c>
      <c r="M5" s="16" t="str">
        <f t="shared" si="9"/>
        <v/>
      </c>
      <c r="N5" s="16">
        <f t="shared" si="10"/>
        <v>0</v>
      </c>
      <c r="O5" s="16" t="str">
        <f t="shared" si="11"/>
        <v/>
      </c>
      <c r="P5" s="16">
        <f t="shared" si="12"/>
        <v>47.55</v>
      </c>
      <c r="Q5" s="16" t="str">
        <f t="shared" si="13"/>
        <v>2017 3rd Domestic Trial</v>
      </c>
      <c r="R5" s="16">
        <f t="shared" si="14"/>
        <v>44.099999999999994</v>
      </c>
      <c r="S5" s="31" t="str">
        <f t="shared" si="15"/>
        <v>(Vol 2)</v>
      </c>
      <c r="T5" s="16" t="str">
        <f t="shared" si="16"/>
        <v>2017 World Cup POR (Sept)</v>
      </c>
      <c r="U5" s="47">
        <v>8.4</v>
      </c>
      <c r="V5" s="47">
        <v>9.5</v>
      </c>
      <c r="W5" s="47">
        <v>3.9</v>
      </c>
      <c r="X5" s="47">
        <v>18.600000000000001</v>
      </c>
      <c r="Y5" s="47">
        <v>0</v>
      </c>
      <c r="Z5" s="47">
        <v>8.0500000000000007</v>
      </c>
      <c r="AA5" s="47">
        <v>9.35</v>
      </c>
      <c r="AB5" s="47">
        <v>12.4</v>
      </c>
      <c r="AC5" s="47">
        <v>19</v>
      </c>
      <c r="AD5" s="47">
        <v>0</v>
      </c>
      <c r="AE5" s="47">
        <v>7.7</v>
      </c>
      <c r="AF5" s="47">
        <v>9.4499999999999993</v>
      </c>
      <c r="AG5" s="47">
        <v>12.4</v>
      </c>
      <c r="AH5" s="47">
        <v>18</v>
      </c>
      <c r="AI5" s="47">
        <v>0</v>
      </c>
      <c r="AJ5" s="13">
        <f t="shared" si="17"/>
        <v>16.3</v>
      </c>
      <c r="AK5" s="13">
        <f t="shared" si="18"/>
        <v>40.4</v>
      </c>
      <c r="AL5" s="13">
        <f t="shared" si="19"/>
        <v>48.8</v>
      </c>
      <c r="AM5" s="13">
        <f t="shared" si="20"/>
        <v>89.199999999999989</v>
      </c>
      <c r="AN5" s="13">
        <f t="shared" si="21"/>
        <v>47.55</v>
      </c>
      <c r="AO5" s="13">
        <f t="shared" si="22"/>
        <v>136.75</v>
      </c>
      <c r="AP5" s="48"/>
      <c r="AQ5" s="48"/>
      <c r="AR5" s="48"/>
      <c r="AS5" s="48"/>
      <c r="AT5" s="48"/>
      <c r="AU5" s="48"/>
      <c r="AV5" s="48"/>
      <c r="AW5" s="48"/>
      <c r="AX5" s="48"/>
      <c r="AY5" s="48"/>
      <c r="AZ5" s="48"/>
      <c r="BA5" s="48"/>
      <c r="BB5" s="48"/>
      <c r="BC5" s="48"/>
      <c r="BD5" s="48"/>
      <c r="BE5" s="16" t="str">
        <f t="shared" si="23"/>
        <v/>
      </c>
      <c r="BF5" s="16" t="str">
        <f t="shared" si="24"/>
        <v/>
      </c>
      <c r="BG5" s="16" t="str">
        <f t="shared" si="25"/>
        <v/>
      </c>
      <c r="BH5" s="16" t="str">
        <f t="shared" si="26"/>
        <v/>
      </c>
      <c r="BI5" s="16" t="str">
        <f t="shared" si="27"/>
        <v/>
      </c>
      <c r="BJ5" s="16" t="str">
        <f t="shared" si="28"/>
        <v/>
      </c>
      <c r="BK5" s="47"/>
      <c r="BL5" s="47"/>
      <c r="BM5" s="47"/>
      <c r="BN5" s="47"/>
      <c r="BO5" s="47"/>
      <c r="BP5" s="47"/>
      <c r="BQ5" s="47"/>
      <c r="BR5" s="47"/>
      <c r="BS5" s="47"/>
      <c r="BT5" s="47"/>
      <c r="BU5" s="47"/>
      <c r="BV5" s="47"/>
      <c r="BW5" s="47"/>
      <c r="BX5" s="47"/>
      <c r="BY5" s="47"/>
      <c r="BZ5" s="13" t="str">
        <f t="shared" si="29"/>
        <v/>
      </c>
      <c r="CA5" s="13" t="str">
        <f t="shared" si="30"/>
        <v/>
      </c>
      <c r="CB5" s="13" t="str">
        <f t="shared" si="31"/>
        <v/>
      </c>
      <c r="CC5" s="13" t="str">
        <f t="shared" si="32"/>
        <v/>
      </c>
      <c r="CD5" s="13" t="str">
        <f t="shared" si="33"/>
        <v/>
      </c>
      <c r="CE5" s="13" t="str">
        <f t="shared" si="34"/>
        <v/>
      </c>
      <c r="CF5" s="30">
        <f t="shared" si="35"/>
        <v>39.61</v>
      </c>
      <c r="CG5" s="30">
        <f t="shared" si="36"/>
        <v>44.099999999999994</v>
      </c>
      <c r="CH5" s="30" t="str">
        <f t="shared" si="37"/>
        <v/>
      </c>
      <c r="CI5" s="47"/>
      <c r="CJ5" s="47"/>
      <c r="CK5" s="47"/>
      <c r="CL5" s="47"/>
      <c r="CM5" s="47"/>
      <c r="CN5" s="47"/>
      <c r="CO5" s="47"/>
      <c r="CP5" s="47"/>
      <c r="CQ5" s="47"/>
      <c r="CR5" s="47"/>
      <c r="CS5" s="47"/>
      <c r="CT5" s="47"/>
      <c r="CU5" s="47"/>
      <c r="CV5" s="47"/>
      <c r="CW5" s="47"/>
      <c r="CX5" s="13" t="str">
        <f t="shared" si="38"/>
        <v/>
      </c>
      <c r="CY5" s="13" t="str">
        <f t="shared" si="39"/>
        <v/>
      </c>
      <c r="CZ5" s="13" t="str">
        <f t="shared" si="40"/>
        <v/>
      </c>
      <c r="DA5" s="13" t="str">
        <f t="shared" si="41"/>
        <v/>
      </c>
      <c r="DB5" s="13" t="str">
        <f t="shared" si="42"/>
        <v/>
      </c>
      <c r="DC5" s="13" t="str">
        <f t="shared" si="43"/>
        <v/>
      </c>
      <c r="DD5" s="48">
        <v>8.75</v>
      </c>
      <c r="DE5" s="48">
        <v>9.1999999999999993</v>
      </c>
      <c r="DF5" s="48">
        <v>3.9</v>
      </c>
      <c r="DG5" s="48">
        <v>17.760000000000002</v>
      </c>
      <c r="DH5" s="48">
        <v>0</v>
      </c>
      <c r="DI5" s="48">
        <v>8.5</v>
      </c>
      <c r="DJ5" s="48">
        <v>9.4</v>
      </c>
      <c r="DK5" s="48">
        <v>12.4</v>
      </c>
      <c r="DL5" s="48">
        <v>13.8</v>
      </c>
      <c r="DM5" s="48">
        <v>0</v>
      </c>
      <c r="DN5" s="48"/>
      <c r="DO5" s="48"/>
      <c r="DP5" s="48"/>
      <c r="DQ5" s="48"/>
      <c r="DR5" s="48"/>
      <c r="DS5" s="16">
        <f t="shared" si="44"/>
        <v>16.3</v>
      </c>
      <c r="DT5" s="16">
        <f t="shared" si="45"/>
        <v>39.61</v>
      </c>
      <c r="DU5" s="16">
        <f t="shared" si="46"/>
        <v>44.099999999999994</v>
      </c>
      <c r="DV5" s="16">
        <f t="shared" si="47"/>
        <v>83.71</v>
      </c>
      <c r="DW5" s="16" t="str">
        <f t="shared" si="48"/>
        <v/>
      </c>
      <c r="DX5" s="16">
        <f t="shared" si="49"/>
        <v>83.71</v>
      </c>
      <c r="DY5" s="47"/>
      <c r="DZ5" s="47"/>
      <c r="EA5" s="47"/>
      <c r="EB5" s="47"/>
      <c r="EC5" s="47"/>
      <c r="ED5" s="47"/>
      <c r="EE5" s="47"/>
      <c r="EF5" s="47"/>
      <c r="EG5" s="47"/>
      <c r="EH5" s="47"/>
      <c r="EI5" s="47"/>
      <c r="EJ5" s="47"/>
      <c r="EK5" s="47"/>
      <c r="EL5" s="47"/>
      <c r="EM5" s="47"/>
      <c r="EN5" s="13" t="str">
        <f t="shared" si="50"/>
        <v/>
      </c>
      <c r="EO5" s="13" t="str">
        <f t="shared" si="51"/>
        <v/>
      </c>
      <c r="EP5" s="13" t="str">
        <f t="shared" si="52"/>
        <v/>
      </c>
      <c r="EQ5" s="13" t="str">
        <f t="shared" si="53"/>
        <v/>
      </c>
      <c r="ER5" s="13" t="str">
        <f t="shared" si="54"/>
        <v/>
      </c>
      <c r="ES5" s="13" t="str">
        <f t="shared" si="55"/>
        <v/>
      </c>
      <c r="ET5" s="48"/>
      <c r="EU5" s="48"/>
      <c r="EV5" s="48"/>
      <c r="EW5" s="48"/>
      <c r="EX5" s="48"/>
      <c r="EY5" s="48"/>
      <c r="EZ5" s="48"/>
      <c r="FA5" s="48"/>
      <c r="FB5" s="48"/>
      <c r="FC5" s="48"/>
      <c r="FD5" s="48"/>
      <c r="FE5" s="48"/>
      <c r="FF5" s="48"/>
      <c r="FG5" s="48"/>
      <c r="FH5" s="48"/>
      <c r="FI5" s="16" t="str">
        <f t="shared" si="56"/>
        <v/>
      </c>
      <c r="FJ5" s="16" t="str">
        <f t="shared" si="57"/>
        <v/>
      </c>
      <c r="FK5" s="16" t="str">
        <f t="shared" si="58"/>
        <v/>
      </c>
      <c r="FL5" s="16" t="str">
        <f t="shared" si="59"/>
        <v/>
      </c>
      <c r="FM5" s="16" t="str">
        <f t="shared" si="60"/>
        <v/>
      </c>
      <c r="FN5" s="16" t="str">
        <f t="shared" si="61"/>
        <v/>
      </c>
      <c r="FO5" s="47"/>
      <c r="FP5" s="47"/>
      <c r="FQ5" s="47"/>
      <c r="FR5" s="47"/>
      <c r="FS5" s="47"/>
      <c r="FT5" s="47"/>
      <c r="FU5" s="47"/>
      <c r="FV5" s="47"/>
      <c r="FW5" s="47"/>
      <c r="FX5" s="47"/>
      <c r="FY5" s="47"/>
      <c r="FZ5" s="47"/>
      <c r="GA5" s="47"/>
      <c r="GB5" s="47"/>
      <c r="GC5" s="47"/>
      <c r="GD5" s="13" t="str">
        <f t="shared" si="62"/>
        <v/>
      </c>
      <c r="GE5" s="13" t="str">
        <f t="shared" si="63"/>
        <v/>
      </c>
      <c r="GF5" s="13" t="str">
        <f t="shared" si="64"/>
        <v/>
      </c>
      <c r="GG5" s="13" t="str">
        <f t="shared" si="65"/>
        <v/>
      </c>
      <c r="GH5" s="13" t="str">
        <f t="shared" si="66"/>
        <v/>
      </c>
      <c r="GI5" s="13" t="str">
        <f t="shared" si="67"/>
        <v/>
      </c>
      <c r="GJ5" s="48"/>
      <c r="GK5" s="48"/>
      <c r="GL5" s="48"/>
      <c r="GM5" s="48"/>
      <c r="GN5" s="48"/>
      <c r="GO5" s="48"/>
      <c r="GP5" s="48"/>
      <c r="GQ5" s="48"/>
      <c r="GR5" s="48"/>
      <c r="GS5" s="48"/>
      <c r="GT5" s="48"/>
      <c r="GU5" s="48"/>
      <c r="GV5" s="48"/>
      <c r="GW5" s="48"/>
      <c r="GX5" s="48"/>
      <c r="GY5" s="16" t="str">
        <f t="shared" si="68"/>
        <v/>
      </c>
      <c r="GZ5" s="16" t="str">
        <f t="shared" si="69"/>
        <v/>
      </c>
      <c r="HA5" s="16" t="str">
        <f t="shared" si="70"/>
        <v/>
      </c>
      <c r="HB5" s="16" t="str">
        <f t="shared" si="71"/>
        <v/>
      </c>
      <c r="HC5" s="16" t="str">
        <f t="shared" si="72"/>
        <v/>
      </c>
      <c r="HD5" s="16" t="str">
        <f t="shared" si="73"/>
        <v/>
      </c>
      <c r="HE5" s="47"/>
      <c r="HF5" s="47"/>
      <c r="HG5" s="47"/>
      <c r="HH5" s="47"/>
      <c r="HI5" s="47"/>
      <c r="HJ5" s="47"/>
      <c r="HK5" s="47"/>
      <c r="HL5" s="47"/>
      <c r="HM5" s="47"/>
      <c r="HN5" s="47"/>
      <c r="HO5" s="47"/>
      <c r="HP5" s="47"/>
      <c r="HQ5" s="47"/>
      <c r="HR5" s="47"/>
      <c r="HS5" s="47"/>
      <c r="HT5" s="13" t="str">
        <f t="shared" si="74"/>
        <v/>
      </c>
      <c r="HU5" s="13" t="str">
        <f t="shared" si="75"/>
        <v/>
      </c>
      <c r="HV5" s="13" t="str">
        <f t="shared" si="76"/>
        <v/>
      </c>
      <c r="HW5" s="13" t="str">
        <f t="shared" si="77"/>
        <v/>
      </c>
      <c r="HX5" s="13" t="str">
        <f t="shared" si="78"/>
        <v/>
      </c>
      <c r="HY5" s="13" t="str">
        <f t="shared" si="79"/>
        <v/>
      </c>
      <c r="HZ5" s="48"/>
      <c r="IA5" s="48"/>
      <c r="IB5" s="48"/>
      <c r="IC5" s="48"/>
      <c r="ID5" s="48"/>
      <c r="IE5" s="48"/>
      <c r="IF5" s="48"/>
      <c r="IG5" s="48"/>
      <c r="IH5" s="48"/>
      <c r="II5" s="48"/>
      <c r="IJ5" s="48"/>
      <c r="IK5" s="48"/>
      <c r="IL5" s="48"/>
      <c r="IM5" s="48"/>
      <c r="IN5" s="48"/>
      <c r="IO5" s="16" t="str">
        <f t="shared" si="80"/>
        <v/>
      </c>
      <c r="IP5" s="16" t="str">
        <f t="shared" si="81"/>
        <v/>
      </c>
      <c r="IQ5" s="16" t="str">
        <f t="shared" si="82"/>
        <v/>
      </c>
      <c r="IR5" s="16" t="str">
        <f t="shared" si="83"/>
        <v/>
      </c>
      <c r="IS5" s="16" t="str">
        <f t="shared" si="84"/>
        <v/>
      </c>
      <c r="IT5" s="16" t="str">
        <f t="shared" si="85"/>
        <v/>
      </c>
      <c r="IU5" s="47"/>
      <c r="IV5" s="47"/>
      <c r="IW5" s="47"/>
      <c r="IX5" s="47"/>
      <c r="IY5" s="47"/>
      <c r="IZ5" s="47"/>
      <c r="JA5" s="47"/>
      <c r="JB5" s="47"/>
      <c r="JC5" s="47"/>
      <c r="JD5" s="47"/>
      <c r="JE5" s="47"/>
      <c r="JF5" s="47"/>
      <c r="JG5" s="47"/>
      <c r="JH5" s="47"/>
      <c r="JI5" s="47"/>
      <c r="JJ5" s="13" t="str">
        <f t="shared" si="86"/>
        <v/>
      </c>
      <c r="JK5" s="13" t="str">
        <f t="shared" si="87"/>
        <v/>
      </c>
      <c r="JL5" s="13" t="str">
        <f t="shared" si="88"/>
        <v/>
      </c>
      <c r="JM5" s="13" t="str">
        <f t="shared" si="89"/>
        <v/>
      </c>
      <c r="JN5" s="13" t="str">
        <f t="shared" si="90"/>
        <v/>
      </c>
      <c r="JO5" s="13" t="str">
        <f t="shared" si="91"/>
        <v/>
      </c>
      <c r="JP5" s="48"/>
      <c r="JQ5" s="48"/>
      <c r="JR5" s="48"/>
      <c r="JS5" s="48"/>
      <c r="JT5" s="48"/>
      <c r="JU5" s="48"/>
      <c r="JV5" s="48"/>
      <c r="JW5" s="48"/>
      <c r="JX5" s="48"/>
      <c r="JY5" s="48"/>
      <c r="JZ5" s="48"/>
      <c r="KA5" s="48"/>
      <c r="KB5" s="48"/>
      <c r="KC5" s="48"/>
      <c r="KD5" s="48"/>
      <c r="KE5" s="16" t="str">
        <f t="shared" si="92"/>
        <v/>
      </c>
      <c r="KF5" s="16" t="str">
        <f t="shared" si="93"/>
        <v/>
      </c>
      <c r="KG5" s="16" t="str">
        <f t="shared" si="94"/>
        <v/>
      </c>
      <c r="KH5" s="16" t="str">
        <f t="shared" si="95"/>
        <v/>
      </c>
      <c r="KI5" s="16" t="str">
        <f t="shared" si="96"/>
        <v/>
      </c>
      <c r="KJ5" s="16" t="str">
        <f t="shared" si="97"/>
        <v/>
      </c>
      <c r="KK5" s="47"/>
      <c r="KL5" s="47"/>
      <c r="KM5" s="47"/>
      <c r="KN5" s="47"/>
      <c r="KO5" s="47"/>
      <c r="KP5" s="47"/>
      <c r="KQ5" s="47"/>
      <c r="KR5" s="47"/>
      <c r="KS5" s="47"/>
      <c r="KT5" s="47"/>
      <c r="KU5" s="47"/>
      <c r="KV5" s="47"/>
      <c r="KW5" s="47"/>
      <c r="KX5" s="47"/>
      <c r="KY5" s="47"/>
      <c r="KZ5" s="13" t="str">
        <f t="shared" si="98"/>
        <v/>
      </c>
      <c r="LA5" s="13" t="str">
        <f t="shared" si="99"/>
        <v/>
      </c>
      <c r="LB5" s="13" t="str">
        <f t="shared" si="100"/>
        <v/>
      </c>
      <c r="LC5" s="13" t="str">
        <f t="shared" si="101"/>
        <v/>
      </c>
      <c r="LD5" s="13" t="str">
        <f t="shared" si="102"/>
        <v/>
      </c>
      <c r="LE5" s="13" t="str">
        <f t="shared" si="103"/>
        <v/>
      </c>
      <c r="LF5" s="48"/>
      <c r="LG5" s="48"/>
      <c r="LH5" s="48"/>
      <c r="LI5" s="48"/>
      <c r="LJ5" s="48"/>
      <c r="LK5" s="48"/>
      <c r="LL5" s="48"/>
      <c r="LM5" s="48"/>
      <c r="LN5" s="48"/>
      <c r="LO5" s="48"/>
      <c r="LP5" s="48"/>
      <c r="LQ5" s="48"/>
      <c r="LR5" s="48"/>
      <c r="LS5" s="48"/>
      <c r="LT5" s="48"/>
      <c r="LU5" s="16" t="str">
        <f t="shared" si="104"/>
        <v/>
      </c>
      <c r="LV5" s="16" t="str">
        <f t="shared" si="105"/>
        <v/>
      </c>
      <c r="LW5" s="16" t="str">
        <f t="shared" si="106"/>
        <v/>
      </c>
      <c r="LX5" s="16" t="str">
        <f t="shared" si="107"/>
        <v/>
      </c>
      <c r="LY5" s="16" t="str">
        <f t="shared" si="108"/>
        <v/>
      </c>
      <c r="LZ5" s="16" t="str">
        <f t="shared" si="109"/>
        <v/>
      </c>
    </row>
    <row r="6" spans="1:338" x14ac:dyDescent="0.2">
      <c r="A6" s="6">
        <f t="shared" si="0"/>
        <v>3</v>
      </c>
      <c r="B6" s="7" t="s">
        <v>151</v>
      </c>
      <c r="C6" s="8" t="s">
        <v>13</v>
      </c>
      <c r="D6" s="6">
        <v>2014</v>
      </c>
      <c r="E6" s="17">
        <f t="shared" si="1"/>
        <v>107.53999999999999</v>
      </c>
      <c r="F6" s="4" t="str">
        <f t="shared" si="2"/>
        <v>P</v>
      </c>
      <c r="G6" s="4" t="str">
        <f t="shared" si="3"/>
        <v>P</v>
      </c>
      <c r="H6" s="4" t="str">
        <f t="shared" si="4"/>
        <v>P</v>
      </c>
      <c r="I6" t="str">
        <f t="shared" si="5"/>
        <v>Merit</v>
      </c>
      <c r="J6" s="16">
        <f t="shared" si="6"/>
        <v>88.35499999999999</v>
      </c>
      <c r="K6" s="16" t="str">
        <f t="shared" si="7"/>
        <v>2018 Nationals</v>
      </c>
      <c r="L6" s="16">
        <f t="shared" si="8"/>
        <v>0</v>
      </c>
      <c r="M6" s="16" t="str">
        <f t="shared" si="9"/>
        <v/>
      </c>
      <c r="N6" s="16">
        <f t="shared" si="10"/>
        <v>0</v>
      </c>
      <c r="O6" s="16" t="str">
        <f t="shared" si="11"/>
        <v/>
      </c>
      <c r="P6" s="16">
        <f t="shared" si="12"/>
        <v>19.184999999999999</v>
      </c>
      <c r="Q6" s="16" t="str">
        <f t="shared" si="13"/>
        <v>2018 Nationals</v>
      </c>
      <c r="R6" s="16" t="str">
        <f t="shared" si="14"/>
        <v/>
      </c>
      <c r="S6" s="31" t="str">
        <f t="shared" si="15"/>
        <v/>
      </c>
      <c r="T6" s="16" t="str">
        <f t="shared" si="16"/>
        <v/>
      </c>
      <c r="U6" s="47"/>
      <c r="V6" s="47"/>
      <c r="W6" s="47"/>
      <c r="X6" s="47"/>
      <c r="Y6" s="47"/>
      <c r="Z6" s="47"/>
      <c r="AA6" s="47"/>
      <c r="AB6" s="47"/>
      <c r="AC6" s="47"/>
      <c r="AD6" s="47"/>
      <c r="AE6" s="47"/>
      <c r="AF6" s="47"/>
      <c r="AG6" s="47"/>
      <c r="AH6" s="47"/>
      <c r="AI6" s="47"/>
      <c r="AJ6" s="13" t="str">
        <f t="shared" si="17"/>
        <v/>
      </c>
      <c r="AK6" s="13" t="str">
        <f t="shared" si="18"/>
        <v/>
      </c>
      <c r="AL6" s="13" t="str">
        <f t="shared" si="19"/>
        <v/>
      </c>
      <c r="AM6" s="13" t="str">
        <f t="shared" si="20"/>
        <v/>
      </c>
      <c r="AN6" s="13" t="str">
        <f t="shared" si="21"/>
        <v/>
      </c>
      <c r="AO6" s="13" t="str">
        <f t="shared" si="22"/>
        <v/>
      </c>
      <c r="AP6" s="48"/>
      <c r="AQ6" s="48"/>
      <c r="AR6" s="48"/>
      <c r="AS6" s="48"/>
      <c r="AT6" s="48"/>
      <c r="AU6" s="48"/>
      <c r="AV6" s="48"/>
      <c r="AW6" s="48"/>
      <c r="AX6" s="48"/>
      <c r="AY6" s="48"/>
      <c r="AZ6" s="48"/>
      <c r="BA6" s="48"/>
      <c r="BB6" s="48"/>
      <c r="BC6" s="48"/>
      <c r="BD6" s="48"/>
      <c r="BE6" s="16" t="str">
        <f t="shared" si="23"/>
        <v/>
      </c>
      <c r="BF6" s="16" t="str">
        <f t="shared" si="24"/>
        <v/>
      </c>
      <c r="BG6" s="16" t="str">
        <f t="shared" si="25"/>
        <v/>
      </c>
      <c r="BH6" s="16" t="str">
        <f t="shared" si="26"/>
        <v/>
      </c>
      <c r="BI6" s="16" t="str">
        <f t="shared" si="27"/>
        <v/>
      </c>
      <c r="BJ6" s="16" t="str">
        <f t="shared" si="28"/>
        <v/>
      </c>
      <c r="BK6" s="47">
        <v>9.0250000000000004</v>
      </c>
      <c r="BL6" s="47">
        <v>9.25</v>
      </c>
      <c r="BM6" s="47">
        <v>4.4000000000000004</v>
      </c>
      <c r="BN6" s="47">
        <v>18.940000000000001</v>
      </c>
      <c r="BO6" s="47">
        <v>0</v>
      </c>
      <c r="BP6" s="47">
        <v>8.4499999999999993</v>
      </c>
      <c r="BQ6" s="47">
        <v>9.25</v>
      </c>
      <c r="BR6" s="47">
        <v>11.1</v>
      </c>
      <c r="BS6" s="47">
        <v>17.940000000000001</v>
      </c>
      <c r="BT6" s="47">
        <v>0</v>
      </c>
      <c r="BU6" s="47">
        <v>3.2250000000000001</v>
      </c>
      <c r="BV6" s="47">
        <v>3.5</v>
      </c>
      <c r="BW6" s="47">
        <v>5.4</v>
      </c>
      <c r="BX6" s="47">
        <v>7.06</v>
      </c>
      <c r="BY6" s="47">
        <v>0</v>
      </c>
      <c r="BZ6" s="13">
        <f t="shared" si="29"/>
        <v>15.5</v>
      </c>
      <c r="CA6" s="13">
        <f t="shared" si="30"/>
        <v>41.614999999999995</v>
      </c>
      <c r="CB6" s="13">
        <f t="shared" si="31"/>
        <v>46.739999999999995</v>
      </c>
      <c r="CC6" s="13">
        <f t="shared" si="32"/>
        <v>88.35499999999999</v>
      </c>
      <c r="CD6" s="13">
        <f t="shared" si="33"/>
        <v>19.184999999999999</v>
      </c>
      <c r="CE6" s="13">
        <f t="shared" si="34"/>
        <v>107.53999999999999</v>
      </c>
      <c r="CF6" s="30" t="str">
        <f t="shared" si="35"/>
        <v/>
      </c>
      <c r="CG6" s="30" t="str">
        <f t="shared" si="36"/>
        <v/>
      </c>
      <c r="CH6" s="30" t="str">
        <f t="shared" si="37"/>
        <v/>
      </c>
      <c r="CI6" s="47"/>
      <c r="CJ6" s="47"/>
      <c r="CK6" s="47"/>
      <c r="CL6" s="47"/>
      <c r="CM6" s="47"/>
      <c r="CN6" s="47"/>
      <c r="CO6" s="47"/>
      <c r="CP6" s="47"/>
      <c r="CQ6" s="47"/>
      <c r="CR6" s="47"/>
      <c r="CS6" s="47"/>
      <c r="CT6" s="47"/>
      <c r="CU6" s="47"/>
      <c r="CV6" s="47"/>
      <c r="CW6" s="47"/>
      <c r="CX6" s="13" t="str">
        <f t="shared" si="38"/>
        <v/>
      </c>
      <c r="CY6" s="13" t="str">
        <f t="shared" si="39"/>
        <v/>
      </c>
      <c r="CZ6" s="13" t="str">
        <f t="shared" si="40"/>
        <v/>
      </c>
      <c r="DA6" s="13" t="str">
        <f t="shared" si="41"/>
        <v/>
      </c>
      <c r="DB6" s="13" t="str">
        <f t="shared" si="42"/>
        <v/>
      </c>
      <c r="DC6" s="13" t="str">
        <f t="shared" si="43"/>
        <v/>
      </c>
      <c r="DD6" s="48"/>
      <c r="DE6" s="48"/>
      <c r="DF6" s="48"/>
      <c r="DG6" s="48"/>
      <c r="DH6" s="48"/>
      <c r="DI6" s="48"/>
      <c r="DJ6" s="48"/>
      <c r="DK6" s="48"/>
      <c r="DL6" s="48"/>
      <c r="DM6" s="48"/>
      <c r="DN6" s="48"/>
      <c r="DO6" s="48"/>
      <c r="DP6" s="48"/>
      <c r="DQ6" s="48"/>
      <c r="DR6" s="48"/>
      <c r="DS6" s="16" t="str">
        <f t="shared" si="44"/>
        <v/>
      </c>
      <c r="DT6" s="16" t="str">
        <f t="shared" si="45"/>
        <v/>
      </c>
      <c r="DU6" s="16" t="str">
        <f t="shared" si="46"/>
        <v/>
      </c>
      <c r="DV6" s="16" t="str">
        <f t="shared" si="47"/>
        <v/>
      </c>
      <c r="DW6" s="16" t="str">
        <f t="shared" si="48"/>
        <v/>
      </c>
      <c r="DX6" s="16" t="str">
        <f t="shared" si="49"/>
        <v/>
      </c>
      <c r="DY6" s="47"/>
      <c r="DZ6" s="47"/>
      <c r="EA6" s="47"/>
      <c r="EB6" s="47"/>
      <c r="EC6" s="47"/>
      <c r="ED6" s="47"/>
      <c r="EE6" s="47"/>
      <c r="EF6" s="47"/>
      <c r="EG6" s="47"/>
      <c r="EH6" s="47"/>
      <c r="EI6" s="47"/>
      <c r="EJ6" s="47"/>
      <c r="EK6" s="47"/>
      <c r="EL6" s="47"/>
      <c r="EM6" s="47"/>
      <c r="EN6" s="13" t="str">
        <f t="shared" si="50"/>
        <v/>
      </c>
      <c r="EO6" s="13" t="str">
        <f t="shared" si="51"/>
        <v/>
      </c>
      <c r="EP6" s="13" t="str">
        <f t="shared" si="52"/>
        <v/>
      </c>
      <c r="EQ6" s="13" t="str">
        <f t="shared" si="53"/>
        <v/>
      </c>
      <c r="ER6" s="13" t="str">
        <f t="shared" si="54"/>
        <v/>
      </c>
      <c r="ES6" s="13" t="str">
        <f t="shared" si="55"/>
        <v/>
      </c>
      <c r="ET6" s="48"/>
      <c r="EU6" s="48"/>
      <c r="EV6" s="48"/>
      <c r="EW6" s="48"/>
      <c r="EX6" s="48"/>
      <c r="EY6" s="48"/>
      <c r="EZ6" s="48"/>
      <c r="FA6" s="48"/>
      <c r="FB6" s="48"/>
      <c r="FC6" s="48"/>
      <c r="FD6" s="48"/>
      <c r="FE6" s="48"/>
      <c r="FF6" s="48"/>
      <c r="FG6" s="48"/>
      <c r="FH6" s="48"/>
      <c r="FI6" s="16" t="str">
        <f t="shared" si="56"/>
        <v/>
      </c>
      <c r="FJ6" s="16" t="str">
        <f t="shared" si="57"/>
        <v/>
      </c>
      <c r="FK6" s="16" t="str">
        <f t="shared" si="58"/>
        <v/>
      </c>
      <c r="FL6" s="16" t="str">
        <f t="shared" si="59"/>
        <v/>
      </c>
      <c r="FM6" s="16" t="str">
        <f t="shared" si="60"/>
        <v/>
      </c>
      <c r="FN6" s="16" t="str">
        <f t="shared" si="61"/>
        <v/>
      </c>
      <c r="FO6" s="47"/>
      <c r="FP6" s="47"/>
      <c r="FQ6" s="47"/>
      <c r="FR6" s="47"/>
      <c r="FS6" s="47"/>
      <c r="FT6" s="47"/>
      <c r="FU6" s="47"/>
      <c r="FV6" s="47"/>
      <c r="FW6" s="47"/>
      <c r="FX6" s="47"/>
      <c r="FY6" s="47"/>
      <c r="FZ6" s="47"/>
      <c r="GA6" s="47"/>
      <c r="GB6" s="47"/>
      <c r="GC6" s="47"/>
      <c r="GD6" s="13" t="str">
        <f t="shared" si="62"/>
        <v/>
      </c>
      <c r="GE6" s="13" t="str">
        <f t="shared" si="63"/>
        <v/>
      </c>
      <c r="GF6" s="13" t="str">
        <f t="shared" si="64"/>
        <v/>
      </c>
      <c r="GG6" s="13" t="str">
        <f t="shared" si="65"/>
        <v/>
      </c>
      <c r="GH6" s="13" t="str">
        <f t="shared" si="66"/>
        <v/>
      </c>
      <c r="GI6" s="13" t="str">
        <f t="shared" si="67"/>
        <v/>
      </c>
      <c r="GJ6" s="48"/>
      <c r="GK6" s="48"/>
      <c r="GL6" s="48"/>
      <c r="GM6" s="48"/>
      <c r="GN6" s="48"/>
      <c r="GO6" s="48"/>
      <c r="GP6" s="48"/>
      <c r="GQ6" s="48"/>
      <c r="GR6" s="48"/>
      <c r="GS6" s="48"/>
      <c r="GT6" s="48"/>
      <c r="GU6" s="48"/>
      <c r="GV6" s="48"/>
      <c r="GW6" s="48"/>
      <c r="GX6" s="48"/>
      <c r="GY6" s="16" t="str">
        <f t="shared" si="68"/>
        <v/>
      </c>
      <c r="GZ6" s="16" t="str">
        <f t="shared" si="69"/>
        <v/>
      </c>
      <c r="HA6" s="16" t="str">
        <f t="shared" si="70"/>
        <v/>
      </c>
      <c r="HB6" s="16" t="str">
        <f t="shared" si="71"/>
        <v/>
      </c>
      <c r="HC6" s="16" t="str">
        <f t="shared" si="72"/>
        <v/>
      </c>
      <c r="HD6" s="16" t="str">
        <f t="shared" si="73"/>
        <v/>
      </c>
      <c r="HE6" s="47"/>
      <c r="HF6" s="47"/>
      <c r="HG6" s="47"/>
      <c r="HH6" s="47"/>
      <c r="HI6" s="47"/>
      <c r="HJ6" s="47"/>
      <c r="HK6" s="47"/>
      <c r="HL6" s="47"/>
      <c r="HM6" s="47"/>
      <c r="HN6" s="47"/>
      <c r="HO6" s="47"/>
      <c r="HP6" s="47"/>
      <c r="HQ6" s="47"/>
      <c r="HR6" s="47"/>
      <c r="HS6" s="47"/>
      <c r="HT6" s="13" t="str">
        <f t="shared" si="74"/>
        <v/>
      </c>
      <c r="HU6" s="13" t="str">
        <f t="shared" si="75"/>
        <v/>
      </c>
      <c r="HV6" s="13" t="str">
        <f t="shared" si="76"/>
        <v/>
      </c>
      <c r="HW6" s="13" t="str">
        <f t="shared" si="77"/>
        <v/>
      </c>
      <c r="HX6" s="13" t="str">
        <f t="shared" si="78"/>
        <v/>
      </c>
      <c r="HY6" s="13" t="str">
        <f t="shared" si="79"/>
        <v/>
      </c>
      <c r="HZ6" s="48"/>
      <c r="IA6" s="48"/>
      <c r="IB6" s="48"/>
      <c r="IC6" s="48"/>
      <c r="ID6" s="48"/>
      <c r="IE6" s="48"/>
      <c r="IF6" s="48"/>
      <c r="IG6" s="48"/>
      <c r="IH6" s="48"/>
      <c r="II6" s="48"/>
      <c r="IJ6" s="48"/>
      <c r="IK6" s="48"/>
      <c r="IL6" s="48"/>
      <c r="IM6" s="48"/>
      <c r="IN6" s="48"/>
      <c r="IO6" s="16" t="str">
        <f t="shared" si="80"/>
        <v/>
      </c>
      <c r="IP6" s="16" t="str">
        <f t="shared" si="81"/>
        <v/>
      </c>
      <c r="IQ6" s="16" t="str">
        <f t="shared" si="82"/>
        <v/>
      </c>
      <c r="IR6" s="16" t="str">
        <f t="shared" si="83"/>
        <v/>
      </c>
      <c r="IS6" s="16" t="str">
        <f t="shared" si="84"/>
        <v/>
      </c>
      <c r="IT6" s="16" t="str">
        <f t="shared" si="85"/>
        <v/>
      </c>
      <c r="IU6" s="47"/>
      <c r="IV6" s="47"/>
      <c r="IW6" s="47"/>
      <c r="IX6" s="47"/>
      <c r="IY6" s="47"/>
      <c r="IZ6" s="47"/>
      <c r="JA6" s="47"/>
      <c r="JB6" s="47"/>
      <c r="JC6" s="47"/>
      <c r="JD6" s="47"/>
      <c r="JE6" s="47"/>
      <c r="JF6" s="47"/>
      <c r="JG6" s="47"/>
      <c r="JH6" s="47"/>
      <c r="JI6" s="47"/>
      <c r="JJ6" s="13" t="str">
        <f t="shared" si="86"/>
        <v/>
      </c>
      <c r="JK6" s="13" t="str">
        <f t="shared" si="87"/>
        <v/>
      </c>
      <c r="JL6" s="13" t="str">
        <f t="shared" si="88"/>
        <v/>
      </c>
      <c r="JM6" s="13" t="str">
        <f t="shared" si="89"/>
        <v/>
      </c>
      <c r="JN6" s="13" t="str">
        <f t="shared" si="90"/>
        <v/>
      </c>
      <c r="JO6" s="13" t="str">
        <f t="shared" si="91"/>
        <v/>
      </c>
      <c r="JP6" s="48"/>
      <c r="JQ6" s="48"/>
      <c r="JR6" s="48"/>
      <c r="JS6" s="48"/>
      <c r="JT6" s="48"/>
      <c r="JU6" s="48"/>
      <c r="JV6" s="48"/>
      <c r="JW6" s="48"/>
      <c r="JX6" s="48"/>
      <c r="JY6" s="48"/>
      <c r="JZ6" s="48"/>
      <c r="KA6" s="48"/>
      <c r="KB6" s="48"/>
      <c r="KC6" s="48"/>
      <c r="KD6" s="48"/>
      <c r="KE6" s="16" t="str">
        <f t="shared" si="92"/>
        <v/>
      </c>
      <c r="KF6" s="16" t="str">
        <f t="shared" si="93"/>
        <v/>
      </c>
      <c r="KG6" s="16" t="str">
        <f t="shared" si="94"/>
        <v/>
      </c>
      <c r="KH6" s="16" t="str">
        <f t="shared" si="95"/>
        <v/>
      </c>
      <c r="KI6" s="16" t="str">
        <f t="shared" si="96"/>
        <v/>
      </c>
      <c r="KJ6" s="16" t="str">
        <f t="shared" si="97"/>
        <v/>
      </c>
      <c r="KK6" s="47"/>
      <c r="KL6" s="47"/>
      <c r="KM6" s="47"/>
      <c r="KN6" s="47"/>
      <c r="KO6" s="47"/>
      <c r="KP6" s="47"/>
      <c r="KQ6" s="47"/>
      <c r="KR6" s="47"/>
      <c r="KS6" s="47"/>
      <c r="KT6" s="47"/>
      <c r="KU6" s="47"/>
      <c r="KV6" s="47"/>
      <c r="KW6" s="47"/>
      <c r="KX6" s="47"/>
      <c r="KY6" s="47"/>
      <c r="KZ6" s="13" t="str">
        <f t="shared" si="98"/>
        <v/>
      </c>
      <c r="LA6" s="13" t="str">
        <f t="shared" si="99"/>
        <v/>
      </c>
      <c r="LB6" s="13" t="str">
        <f t="shared" si="100"/>
        <v/>
      </c>
      <c r="LC6" s="13" t="str">
        <f t="shared" si="101"/>
        <v/>
      </c>
      <c r="LD6" s="13" t="str">
        <f t="shared" si="102"/>
        <v/>
      </c>
      <c r="LE6" s="13" t="str">
        <f t="shared" si="103"/>
        <v/>
      </c>
      <c r="LF6" s="48"/>
      <c r="LG6" s="48"/>
      <c r="LH6" s="48"/>
      <c r="LI6" s="48"/>
      <c r="LJ6" s="48"/>
      <c r="LK6" s="48"/>
      <c r="LL6" s="48"/>
      <c r="LM6" s="48"/>
      <c r="LN6" s="48"/>
      <c r="LO6" s="48"/>
      <c r="LP6" s="48"/>
      <c r="LQ6" s="48"/>
      <c r="LR6" s="48"/>
      <c r="LS6" s="48"/>
      <c r="LT6" s="48"/>
      <c r="LU6" s="16" t="str">
        <f t="shared" si="104"/>
        <v/>
      </c>
      <c r="LV6" s="16" t="str">
        <f t="shared" si="105"/>
        <v/>
      </c>
      <c r="LW6" s="16" t="str">
        <f t="shared" si="106"/>
        <v/>
      </c>
      <c r="LX6" s="16" t="str">
        <f t="shared" si="107"/>
        <v/>
      </c>
      <c r="LY6" s="16" t="str">
        <f t="shared" si="108"/>
        <v/>
      </c>
      <c r="LZ6" s="16" t="str">
        <f t="shared" si="109"/>
        <v/>
      </c>
    </row>
    <row r="7" spans="1:338" x14ac:dyDescent="0.2">
      <c r="A7" s="6" t="str">
        <f t="shared" si="0"/>
        <v/>
      </c>
      <c r="B7" s="7" t="s">
        <v>136</v>
      </c>
      <c r="C7" s="8" t="s">
        <v>13</v>
      </c>
      <c r="D7" s="6">
        <v>2018</v>
      </c>
      <c r="E7" s="17">
        <f t="shared" si="1"/>
        <v>174.59</v>
      </c>
      <c r="F7" s="4" t="str">
        <f t="shared" si="2"/>
        <v/>
      </c>
      <c r="G7" s="4" t="str">
        <f t="shared" si="3"/>
        <v/>
      </c>
      <c r="H7" s="4" t="str">
        <f t="shared" si="4"/>
        <v/>
      </c>
      <c r="I7" t="str">
        <f t="shared" si="5"/>
        <v/>
      </c>
      <c r="J7" s="16">
        <f t="shared" si="6"/>
        <v>71.58</v>
      </c>
      <c r="K7" s="16" t="str">
        <f t="shared" si="7"/>
        <v>2018 Nationals</v>
      </c>
      <c r="L7" s="16">
        <f t="shared" si="8"/>
        <v>39.974999999999994</v>
      </c>
      <c r="M7" s="16" t="str">
        <f t="shared" si="9"/>
        <v>2018 Canada Cup</v>
      </c>
      <c r="N7" s="16">
        <f t="shared" si="10"/>
        <v>18.099999999999998</v>
      </c>
      <c r="O7" s="16" t="str">
        <f t="shared" si="11"/>
        <v>2018 Canada Cup</v>
      </c>
      <c r="P7" s="16">
        <f t="shared" si="12"/>
        <v>44.935000000000002</v>
      </c>
      <c r="Q7" s="16" t="str">
        <f t="shared" si="13"/>
        <v>2018 Canada Cup</v>
      </c>
      <c r="R7" s="16" t="str">
        <f t="shared" si="14"/>
        <v/>
      </c>
      <c r="S7" s="31" t="str">
        <f t="shared" si="15"/>
        <v/>
      </c>
      <c r="T7" s="16" t="str">
        <f t="shared" si="16"/>
        <v/>
      </c>
      <c r="U7" s="47"/>
      <c r="V7" s="47"/>
      <c r="W7" s="47"/>
      <c r="X7" s="47"/>
      <c r="Y7" s="47"/>
      <c r="Z7" s="47"/>
      <c r="AA7" s="47"/>
      <c r="AB7" s="47"/>
      <c r="AC7" s="47"/>
      <c r="AD7" s="47"/>
      <c r="AE7" s="47"/>
      <c r="AF7" s="47"/>
      <c r="AG7" s="47"/>
      <c r="AH7" s="47"/>
      <c r="AI7" s="47"/>
      <c r="AJ7" s="13" t="str">
        <f t="shared" si="17"/>
        <v/>
      </c>
      <c r="AK7" s="13" t="str">
        <f t="shared" si="18"/>
        <v/>
      </c>
      <c r="AL7" s="13" t="str">
        <f t="shared" si="19"/>
        <v/>
      </c>
      <c r="AM7" s="13" t="str">
        <f t="shared" si="20"/>
        <v/>
      </c>
      <c r="AN7" s="13" t="str">
        <f t="shared" si="21"/>
        <v/>
      </c>
      <c r="AO7" s="13" t="str">
        <f t="shared" si="22"/>
        <v/>
      </c>
      <c r="AP7" s="48">
        <v>8.4749999999999996</v>
      </c>
      <c r="AQ7" s="48">
        <v>9.1999999999999993</v>
      </c>
      <c r="AR7" s="48">
        <v>3.5</v>
      </c>
      <c r="AS7" s="48">
        <v>18.8</v>
      </c>
      <c r="AT7" s="48">
        <v>0</v>
      </c>
      <c r="AU7" s="48">
        <v>2.9</v>
      </c>
      <c r="AV7" s="48">
        <v>3.8</v>
      </c>
      <c r="AW7" s="48">
        <v>4.5999999999999996</v>
      </c>
      <c r="AX7" s="48">
        <v>6.8</v>
      </c>
      <c r="AY7" s="48">
        <v>0</v>
      </c>
      <c r="AZ7" s="48">
        <v>7.5750000000000002</v>
      </c>
      <c r="BA7" s="48">
        <v>8.9</v>
      </c>
      <c r="BB7" s="48">
        <v>10</v>
      </c>
      <c r="BC7" s="48">
        <v>18.46</v>
      </c>
      <c r="BD7" s="48">
        <v>0</v>
      </c>
      <c r="BE7" s="16">
        <f t="shared" si="23"/>
        <v>8.1</v>
      </c>
      <c r="BF7" s="16">
        <f t="shared" si="24"/>
        <v>39.974999999999994</v>
      </c>
      <c r="BG7" s="16">
        <f t="shared" si="25"/>
        <v>18.099999999999998</v>
      </c>
      <c r="BH7" s="16">
        <f t="shared" si="26"/>
        <v>58.074999999999989</v>
      </c>
      <c r="BI7" s="16">
        <f t="shared" si="27"/>
        <v>44.935000000000002</v>
      </c>
      <c r="BJ7" s="16">
        <f t="shared" si="28"/>
        <v>103.00999999999999</v>
      </c>
      <c r="BK7" s="47">
        <v>8</v>
      </c>
      <c r="BL7" s="47">
        <v>7.25</v>
      </c>
      <c r="BM7" s="47">
        <v>2.4</v>
      </c>
      <c r="BN7" s="47">
        <v>13.36</v>
      </c>
      <c r="BO7" s="47">
        <v>0</v>
      </c>
      <c r="BP7" s="47">
        <v>8</v>
      </c>
      <c r="BQ7" s="47">
        <v>9.25</v>
      </c>
      <c r="BR7" s="47">
        <v>6.9</v>
      </c>
      <c r="BS7" s="47">
        <v>16.420000000000002</v>
      </c>
      <c r="BT7" s="47">
        <v>0</v>
      </c>
      <c r="BU7" s="47">
        <v>7.9</v>
      </c>
      <c r="BV7" s="47">
        <v>9.35</v>
      </c>
      <c r="BW7" s="47">
        <v>7.7</v>
      </c>
      <c r="BX7" s="47">
        <v>16.079999999999998</v>
      </c>
      <c r="BY7" s="47">
        <v>0</v>
      </c>
      <c r="BZ7" s="13">
        <f t="shared" si="29"/>
        <v>9.3000000000000007</v>
      </c>
      <c r="CA7" s="13">
        <f t="shared" si="30"/>
        <v>31.009999999999998</v>
      </c>
      <c r="CB7" s="13">
        <f t="shared" si="31"/>
        <v>40.57</v>
      </c>
      <c r="CC7" s="13">
        <f t="shared" si="32"/>
        <v>71.58</v>
      </c>
      <c r="CD7" s="13">
        <f t="shared" si="33"/>
        <v>41.03</v>
      </c>
      <c r="CE7" s="13">
        <f t="shared" si="34"/>
        <v>112.61</v>
      </c>
      <c r="CF7" s="30" t="str">
        <f t="shared" si="35"/>
        <v/>
      </c>
      <c r="CG7" s="30" t="str">
        <f t="shared" si="36"/>
        <v/>
      </c>
      <c r="CH7" s="30" t="str">
        <f t="shared" si="37"/>
        <v/>
      </c>
      <c r="CI7" s="47"/>
      <c r="CJ7" s="47"/>
      <c r="CK7" s="47"/>
      <c r="CL7" s="47"/>
      <c r="CM7" s="47"/>
      <c r="CN7" s="47"/>
      <c r="CO7" s="47"/>
      <c r="CP7" s="47"/>
      <c r="CQ7" s="47"/>
      <c r="CR7" s="47"/>
      <c r="CS7" s="47"/>
      <c r="CT7" s="47"/>
      <c r="CU7" s="47"/>
      <c r="CV7" s="47"/>
      <c r="CW7" s="47"/>
      <c r="CX7" s="13" t="str">
        <f t="shared" si="38"/>
        <v/>
      </c>
      <c r="CY7" s="13" t="str">
        <f t="shared" si="39"/>
        <v/>
      </c>
      <c r="CZ7" s="13" t="str">
        <f t="shared" si="40"/>
        <v/>
      </c>
      <c r="DA7" s="13" t="str">
        <f t="shared" si="41"/>
        <v/>
      </c>
      <c r="DB7" s="13" t="str">
        <f t="shared" si="42"/>
        <v/>
      </c>
      <c r="DC7" s="13" t="str">
        <f t="shared" si="43"/>
        <v/>
      </c>
      <c r="DD7" s="48"/>
      <c r="DE7" s="48"/>
      <c r="DF7" s="48"/>
      <c r="DG7" s="48"/>
      <c r="DH7" s="48"/>
      <c r="DI7" s="48"/>
      <c r="DJ7" s="48"/>
      <c r="DK7" s="48"/>
      <c r="DL7" s="48"/>
      <c r="DM7" s="48"/>
      <c r="DN7" s="48"/>
      <c r="DO7" s="48"/>
      <c r="DP7" s="48"/>
      <c r="DQ7" s="48"/>
      <c r="DR7" s="48"/>
      <c r="DS7" s="16" t="str">
        <f t="shared" si="44"/>
        <v/>
      </c>
      <c r="DT7" s="16" t="str">
        <f t="shared" si="45"/>
        <v/>
      </c>
      <c r="DU7" s="16" t="str">
        <f t="shared" si="46"/>
        <v/>
      </c>
      <c r="DV7" s="16" t="str">
        <f t="shared" si="47"/>
        <v/>
      </c>
      <c r="DW7" s="16" t="str">
        <f t="shared" si="48"/>
        <v/>
      </c>
      <c r="DX7" s="16" t="str">
        <f t="shared" si="49"/>
        <v/>
      </c>
      <c r="DY7" s="47"/>
      <c r="DZ7" s="47"/>
      <c r="EA7" s="47"/>
      <c r="EB7" s="47"/>
      <c r="EC7" s="47"/>
      <c r="ED7" s="47"/>
      <c r="EE7" s="47"/>
      <c r="EF7" s="47"/>
      <c r="EG7" s="47"/>
      <c r="EH7" s="47"/>
      <c r="EI7" s="47"/>
      <c r="EJ7" s="47"/>
      <c r="EK7" s="47"/>
      <c r="EL7" s="47"/>
      <c r="EM7" s="47"/>
      <c r="EN7" s="13" t="str">
        <f t="shared" si="50"/>
        <v/>
      </c>
      <c r="EO7" s="13" t="str">
        <f t="shared" si="51"/>
        <v/>
      </c>
      <c r="EP7" s="13" t="str">
        <f t="shared" si="52"/>
        <v/>
      </c>
      <c r="EQ7" s="13" t="str">
        <f t="shared" si="53"/>
        <v/>
      </c>
      <c r="ER7" s="13" t="str">
        <f t="shared" si="54"/>
        <v/>
      </c>
      <c r="ES7" s="13" t="str">
        <f t="shared" si="55"/>
        <v/>
      </c>
      <c r="ET7" s="48"/>
      <c r="EU7" s="48"/>
      <c r="EV7" s="48"/>
      <c r="EW7" s="48"/>
      <c r="EX7" s="48"/>
      <c r="EY7" s="48"/>
      <c r="EZ7" s="48"/>
      <c r="FA7" s="48"/>
      <c r="FB7" s="48"/>
      <c r="FC7" s="48"/>
      <c r="FD7" s="48"/>
      <c r="FE7" s="48"/>
      <c r="FF7" s="48"/>
      <c r="FG7" s="48"/>
      <c r="FH7" s="48"/>
      <c r="FI7" s="16" t="str">
        <f t="shared" si="56"/>
        <v/>
      </c>
      <c r="FJ7" s="16" t="str">
        <f t="shared" si="57"/>
        <v/>
      </c>
      <c r="FK7" s="16" t="str">
        <f t="shared" si="58"/>
        <v/>
      </c>
      <c r="FL7" s="16" t="str">
        <f t="shared" si="59"/>
        <v/>
      </c>
      <c r="FM7" s="16" t="str">
        <f t="shared" si="60"/>
        <v/>
      </c>
      <c r="FN7" s="16" t="str">
        <f t="shared" si="61"/>
        <v/>
      </c>
      <c r="FO7" s="47"/>
      <c r="FP7" s="47"/>
      <c r="FQ7" s="47"/>
      <c r="FR7" s="47"/>
      <c r="FS7" s="47"/>
      <c r="FT7" s="47"/>
      <c r="FU7" s="47"/>
      <c r="FV7" s="47"/>
      <c r="FW7" s="47"/>
      <c r="FX7" s="47"/>
      <c r="FY7" s="47"/>
      <c r="FZ7" s="47"/>
      <c r="GA7" s="47"/>
      <c r="GB7" s="47"/>
      <c r="GC7" s="47"/>
      <c r="GD7" s="13" t="str">
        <f t="shared" si="62"/>
        <v/>
      </c>
      <c r="GE7" s="13" t="str">
        <f t="shared" si="63"/>
        <v/>
      </c>
      <c r="GF7" s="13" t="str">
        <f t="shared" si="64"/>
        <v/>
      </c>
      <c r="GG7" s="13" t="str">
        <f t="shared" si="65"/>
        <v/>
      </c>
      <c r="GH7" s="13" t="str">
        <f t="shared" si="66"/>
        <v/>
      </c>
      <c r="GI7" s="13" t="str">
        <f t="shared" si="67"/>
        <v/>
      </c>
      <c r="GJ7" s="48"/>
      <c r="GK7" s="48"/>
      <c r="GL7" s="48"/>
      <c r="GM7" s="48"/>
      <c r="GN7" s="48"/>
      <c r="GO7" s="48"/>
      <c r="GP7" s="48"/>
      <c r="GQ7" s="48"/>
      <c r="GR7" s="48"/>
      <c r="GS7" s="48"/>
      <c r="GT7" s="48"/>
      <c r="GU7" s="48"/>
      <c r="GV7" s="48"/>
      <c r="GW7" s="48"/>
      <c r="GX7" s="48"/>
      <c r="GY7" s="16" t="str">
        <f t="shared" si="68"/>
        <v/>
      </c>
      <c r="GZ7" s="16" t="str">
        <f t="shared" si="69"/>
        <v/>
      </c>
      <c r="HA7" s="16" t="str">
        <f t="shared" si="70"/>
        <v/>
      </c>
      <c r="HB7" s="16" t="str">
        <f t="shared" si="71"/>
        <v/>
      </c>
      <c r="HC7" s="16" t="str">
        <f t="shared" si="72"/>
        <v/>
      </c>
      <c r="HD7" s="16" t="str">
        <f t="shared" si="73"/>
        <v/>
      </c>
      <c r="HE7" s="47"/>
      <c r="HF7" s="47"/>
      <c r="HG7" s="47"/>
      <c r="HH7" s="47"/>
      <c r="HI7" s="47"/>
      <c r="HJ7" s="47"/>
      <c r="HK7" s="47"/>
      <c r="HL7" s="47"/>
      <c r="HM7" s="47"/>
      <c r="HN7" s="47"/>
      <c r="HO7" s="47"/>
      <c r="HP7" s="47"/>
      <c r="HQ7" s="47"/>
      <c r="HR7" s="47"/>
      <c r="HS7" s="47"/>
      <c r="HT7" s="13" t="str">
        <f t="shared" si="74"/>
        <v/>
      </c>
      <c r="HU7" s="13" t="str">
        <f t="shared" si="75"/>
        <v/>
      </c>
      <c r="HV7" s="13" t="str">
        <f t="shared" si="76"/>
        <v/>
      </c>
      <c r="HW7" s="13" t="str">
        <f t="shared" si="77"/>
        <v/>
      </c>
      <c r="HX7" s="13" t="str">
        <f t="shared" si="78"/>
        <v/>
      </c>
      <c r="HY7" s="13" t="str">
        <f t="shared" si="79"/>
        <v/>
      </c>
      <c r="HZ7" s="48"/>
      <c r="IA7" s="48"/>
      <c r="IB7" s="48"/>
      <c r="IC7" s="48"/>
      <c r="ID7" s="48"/>
      <c r="IE7" s="48"/>
      <c r="IF7" s="48"/>
      <c r="IG7" s="48"/>
      <c r="IH7" s="48"/>
      <c r="II7" s="48"/>
      <c r="IJ7" s="48"/>
      <c r="IK7" s="48"/>
      <c r="IL7" s="48"/>
      <c r="IM7" s="48"/>
      <c r="IN7" s="48"/>
      <c r="IO7" s="16" t="str">
        <f t="shared" si="80"/>
        <v/>
      </c>
      <c r="IP7" s="16" t="str">
        <f t="shared" si="81"/>
        <v/>
      </c>
      <c r="IQ7" s="16" t="str">
        <f t="shared" si="82"/>
        <v/>
      </c>
      <c r="IR7" s="16" t="str">
        <f t="shared" si="83"/>
        <v/>
      </c>
      <c r="IS7" s="16" t="str">
        <f t="shared" si="84"/>
        <v/>
      </c>
      <c r="IT7" s="16" t="str">
        <f t="shared" si="85"/>
        <v/>
      </c>
      <c r="IU7" s="47"/>
      <c r="IV7" s="47"/>
      <c r="IW7" s="47"/>
      <c r="IX7" s="47"/>
      <c r="IY7" s="47"/>
      <c r="IZ7" s="47"/>
      <c r="JA7" s="47"/>
      <c r="JB7" s="47"/>
      <c r="JC7" s="47"/>
      <c r="JD7" s="47"/>
      <c r="JE7" s="47"/>
      <c r="JF7" s="47"/>
      <c r="JG7" s="47"/>
      <c r="JH7" s="47"/>
      <c r="JI7" s="47"/>
      <c r="JJ7" s="13" t="str">
        <f t="shared" si="86"/>
        <v/>
      </c>
      <c r="JK7" s="13" t="str">
        <f t="shared" si="87"/>
        <v/>
      </c>
      <c r="JL7" s="13" t="str">
        <f t="shared" si="88"/>
        <v/>
      </c>
      <c r="JM7" s="13" t="str">
        <f t="shared" si="89"/>
        <v/>
      </c>
      <c r="JN7" s="13" t="str">
        <f t="shared" si="90"/>
        <v/>
      </c>
      <c r="JO7" s="13" t="str">
        <f t="shared" si="91"/>
        <v/>
      </c>
      <c r="JP7" s="48"/>
      <c r="JQ7" s="48"/>
      <c r="JR7" s="48"/>
      <c r="JS7" s="48"/>
      <c r="JT7" s="48"/>
      <c r="JU7" s="48"/>
      <c r="JV7" s="48"/>
      <c r="JW7" s="48"/>
      <c r="JX7" s="48"/>
      <c r="JY7" s="48"/>
      <c r="JZ7" s="48"/>
      <c r="KA7" s="48"/>
      <c r="KB7" s="48"/>
      <c r="KC7" s="48"/>
      <c r="KD7" s="48"/>
      <c r="KE7" s="16" t="str">
        <f t="shared" si="92"/>
        <v/>
      </c>
      <c r="KF7" s="16" t="str">
        <f t="shared" si="93"/>
        <v/>
      </c>
      <c r="KG7" s="16" t="str">
        <f t="shared" si="94"/>
        <v/>
      </c>
      <c r="KH7" s="16" t="str">
        <f t="shared" si="95"/>
        <v/>
      </c>
      <c r="KI7" s="16" t="str">
        <f t="shared" si="96"/>
        <v/>
      </c>
      <c r="KJ7" s="16" t="str">
        <f t="shared" si="97"/>
        <v/>
      </c>
      <c r="KK7" s="47"/>
      <c r="KL7" s="47"/>
      <c r="KM7" s="47"/>
      <c r="KN7" s="47"/>
      <c r="KO7" s="47"/>
      <c r="KP7" s="47"/>
      <c r="KQ7" s="47"/>
      <c r="KR7" s="47"/>
      <c r="KS7" s="47"/>
      <c r="KT7" s="47"/>
      <c r="KU7" s="47"/>
      <c r="KV7" s="47"/>
      <c r="KW7" s="47"/>
      <c r="KX7" s="47"/>
      <c r="KY7" s="47"/>
      <c r="KZ7" s="13" t="str">
        <f t="shared" si="98"/>
        <v/>
      </c>
      <c r="LA7" s="13" t="str">
        <f t="shared" si="99"/>
        <v/>
      </c>
      <c r="LB7" s="13" t="str">
        <f t="shared" si="100"/>
        <v/>
      </c>
      <c r="LC7" s="13" t="str">
        <f t="shared" si="101"/>
        <v/>
      </c>
      <c r="LD7" s="13" t="str">
        <f t="shared" si="102"/>
        <v/>
      </c>
      <c r="LE7" s="13" t="str">
        <f t="shared" si="103"/>
        <v/>
      </c>
      <c r="LF7" s="48"/>
      <c r="LG7" s="48"/>
      <c r="LH7" s="48"/>
      <c r="LI7" s="48"/>
      <c r="LJ7" s="48"/>
      <c r="LK7" s="48"/>
      <c r="LL7" s="48"/>
      <c r="LM7" s="48"/>
      <c r="LN7" s="48"/>
      <c r="LO7" s="48"/>
      <c r="LP7" s="48"/>
      <c r="LQ7" s="48"/>
      <c r="LR7" s="48"/>
      <c r="LS7" s="48"/>
      <c r="LT7" s="48"/>
      <c r="LU7" s="16" t="str">
        <f t="shared" si="104"/>
        <v/>
      </c>
      <c r="LV7" s="16" t="str">
        <f t="shared" si="105"/>
        <v/>
      </c>
      <c r="LW7" s="16" t="str">
        <f t="shared" si="106"/>
        <v/>
      </c>
      <c r="LX7" s="16" t="str">
        <f t="shared" si="107"/>
        <v/>
      </c>
      <c r="LY7" s="16" t="str">
        <f t="shared" si="108"/>
        <v/>
      </c>
      <c r="LZ7" s="16" t="str">
        <f t="shared" si="109"/>
        <v/>
      </c>
    </row>
    <row r="8" spans="1:338" x14ac:dyDescent="0.2">
      <c r="A8" s="6" t="str">
        <f t="shared" si="0"/>
        <v/>
      </c>
      <c r="B8" s="7" t="s">
        <v>154</v>
      </c>
      <c r="C8" s="8" t="s">
        <v>13</v>
      </c>
      <c r="D8" s="6">
        <v>2015</v>
      </c>
      <c r="E8" s="17">
        <f t="shared" si="1"/>
        <v>44.019999999999996</v>
      </c>
      <c r="F8" s="4" t="str">
        <f t="shared" si="2"/>
        <v/>
      </c>
      <c r="G8" s="4" t="str">
        <f t="shared" si="3"/>
        <v/>
      </c>
      <c r="H8" s="4" t="str">
        <f t="shared" si="4"/>
        <v/>
      </c>
      <c r="I8" t="str">
        <f t="shared" si="5"/>
        <v/>
      </c>
      <c r="J8" s="16">
        <f t="shared" si="6"/>
        <v>0</v>
      </c>
      <c r="K8" s="16" t="str">
        <f t="shared" si="7"/>
        <v/>
      </c>
      <c r="L8" s="16">
        <f t="shared" si="8"/>
        <v>0</v>
      </c>
      <c r="M8" s="16" t="str">
        <f t="shared" si="9"/>
        <v/>
      </c>
      <c r="N8" s="16">
        <f t="shared" si="10"/>
        <v>0</v>
      </c>
      <c r="O8" s="16" t="str">
        <f t="shared" si="11"/>
        <v/>
      </c>
      <c r="P8" s="16">
        <f t="shared" si="12"/>
        <v>0</v>
      </c>
      <c r="Q8" s="16" t="str">
        <f t="shared" si="13"/>
        <v/>
      </c>
      <c r="R8" s="16">
        <f t="shared" si="14"/>
        <v>44.019999999999996</v>
      </c>
      <c r="S8" s="31" t="str">
        <f t="shared" si="15"/>
        <v>(Vol 2)</v>
      </c>
      <c r="T8" s="16" t="str">
        <f t="shared" si="16"/>
        <v>2018 Pacific Rim (Apr)</v>
      </c>
      <c r="U8" s="47"/>
      <c r="V8" s="47"/>
      <c r="W8" s="47"/>
      <c r="X8" s="47"/>
      <c r="Y8" s="47"/>
      <c r="Z8" s="47"/>
      <c r="AA8" s="47"/>
      <c r="AB8" s="47"/>
      <c r="AC8" s="47"/>
      <c r="AD8" s="47"/>
      <c r="AE8" s="47"/>
      <c r="AF8" s="47"/>
      <c r="AG8" s="47"/>
      <c r="AH8" s="47"/>
      <c r="AI8" s="47"/>
      <c r="AJ8" s="13" t="str">
        <f t="shared" si="17"/>
        <v/>
      </c>
      <c r="AK8" s="13" t="str">
        <f t="shared" si="18"/>
        <v/>
      </c>
      <c r="AL8" s="13" t="str">
        <f t="shared" si="19"/>
        <v/>
      </c>
      <c r="AM8" s="13" t="str">
        <f t="shared" si="20"/>
        <v/>
      </c>
      <c r="AN8" s="13" t="str">
        <f t="shared" si="21"/>
        <v/>
      </c>
      <c r="AO8" s="13" t="str">
        <f t="shared" si="22"/>
        <v/>
      </c>
      <c r="AP8" s="48"/>
      <c r="AQ8" s="48"/>
      <c r="AR8" s="48"/>
      <c r="AS8" s="48"/>
      <c r="AT8" s="48"/>
      <c r="AU8" s="48"/>
      <c r="AV8" s="48"/>
      <c r="AW8" s="48"/>
      <c r="AX8" s="48"/>
      <c r="AY8" s="48"/>
      <c r="AZ8" s="48"/>
      <c r="BA8" s="48"/>
      <c r="BB8" s="48"/>
      <c r="BC8" s="48"/>
      <c r="BD8" s="48"/>
      <c r="BE8" s="16" t="str">
        <f t="shared" si="23"/>
        <v/>
      </c>
      <c r="BF8" s="16" t="str">
        <f t="shared" si="24"/>
        <v/>
      </c>
      <c r="BG8" s="16" t="str">
        <f t="shared" si="25"/>
        <v/>
      </c>
      <c r="BH8" s="16" t="str">
        <f t="shared" si="26"/>
        <v/>
      </c>
      <c r="BI8" s="16" t="str">
        <f t="shared" si="27"/>
        <v/>
      </c>
      <c r="BJ8" s="16" t="str">
        <f t="shared" si="28"/>
        <v/>
      </c>
      <c r="BK8" s="47"/>
      <c r="BL8" s="47"/>
      <c r="BM8" s="47"/>
      <c r="BN8" s="47"/>
      <c r="BO8" s="47"/>
      <c r="BP8" s="47"/>
      <c r="BQ8" s="47"/>
      <c r="BR8" s="47"/>
      <c r="BS8" s="47"/>
      <c r="BT8" s="47"/>
      <c r="BU8" s="47"/>
      <c r="BV8" s="47"/>
      <c r="BW8" s="47"/>
      <c r="BX8" s="47"/>
      <c r="BY8" s="47"/>
      <c r="BZ8" s="13" t="str">
        <f t="shared" si="29"/>
        <v/>
      </c>
      <c r="CA8" s="13" t="str">
        <f t="shared" si="30"/>
        <v/>
      </c>
      <c r="CB8" s="13" t="str">
        <f t="shared" si="31"/>
        <v/>
      </c>
      <c r="CC8" s="13" t="str">
        <f t="shared" si="32"/>
        <v/>
      </c>
      <c r="CD8" s="13" t="str">
        <f t="shared" si="33"/>
        <v/>
      </c>
      <c r="CE8" s="13" t="str">
        <f t="shared" si="34"/>
        <v/>
      </c>
      <c r="CF8" s="30">
        <f t="shared" si="35"/>
        <v>39.825000000000003</v>
      </c>
      <c r="CG8" s="30">
        <f t="shared" si="36"/>
        <v>44.019999999999996</v>
      </c>
      <c r="CH8" s="30" t="str">
        <f t="shared" si="37"/>
        <v/>
      </c>
      <c r="CI8" s="47"/>
      <c r="CJ8" s="47"/>
      <c r="CK8" s="47"/>
      <c r="CL8" s="47"/>
      <c r="CM8" s="47"/>
      <c r="CN8" s="47"/>
      <c r="CO8" s="47"/>
      <c r="CP8" s="47"/>
      <c r="CQ8" s="47"/>
      <c r="CR8" s="47"/>
      <c r="CS8" s="47"/>
      <c r="CT8" s="47"/>
      <c r="CU8" s="47"/>
      <c r="CV8" s="47"/>
      <c r="CW8" s="47"/>
      <c r="CX8" s="13" t="str">
        <f t="shared" si="38"/>
        <v/>
      </c>
      <c r="CY8" s="13" t="str">
        <f t="shared" si="39"/>
        <v/>
      </c>
      <c r="CZ8" s="13" t="str">
        <f t="shared" si="40"/>
        <v/>
      </c>
      <c r="DA8" s="13" t="str">
        <f t="shared" si="41"/>
        <v/>
      </c>
      <c r="DB8" s="13" t="str">
        <f t="shared" si="42"/>
        <v/>
      </c>
      <c r="DC8" s="13" t="str">
        <f t="shared" si="43"/>
        <v/>
      </c>
      <c r="DD8" s="48"/>
      <c r="DE8" s="48"/>
      <c r="DF8" s="48"/>
      <c r="DG8" s="48"/>
      <c r="DH8" s="48"/>
      <c r="DI8" s="48"/>
      <c r="DJ8" s="48"/>
      <c r="DK8" s="48"/>
      <c r="DL8" s="48"/>
      <c r="DM8" s="48"/>
      <c r="DN8" s="48"/>
      <c r="DO8" s="48"/>
      <c r="DP8" s="48"/>
      <c r="DQ8" s="48"/>
      <c r="DR8" s="48"/>
      <c r="DS8" s="16" t="str">
        <f t="shared" si="44"/>
        <v/>
      </c>
      <c r="DT8" s="16" t="str">
        <f t="shared" si="45"/>
        <v/>
      </c>
      <c r="DU8" s="16" t="str">
        <f t="shared" si="46"/>
        <v/>
      </c>
      <c r="DV8" s="16" t="str">
        <f t="shared" si="47"/>
        <v/>
      </c>
      <c r="DW8" s="16" t="str">
        <f t="shared" si="48"/>
        <v/>
      </c>
      <c r="DX8" s="16" t="str">
        <f t="shared" si="49"/>
        <v/>
      </c>
      <c r="DY8" s="47"/>
      <c r="DZ8" s="47"/>
      <c r="EA8" s="47"/>
      <c r="EB8" s="47"/>
      <c r="EC8" s="47"/>
      <c r="ED8" s="47"/>
      <c r="EE8" s="47"/>
      <c r="EF8" s="47"/>
      <c r="EG8" s="47"/>
      <c r="EH8" s="47"/>
      <c r="EI8" s="47"/>
      <c r="EJ8" s="47"/>
      <c r="EK8" s="47"/>
      <c r="EL8" s="47"/>
      <c r="EM8" s="47"/>
      <c r="EN8" s="13" t="str">
        <f t="shared" si="50"/>
        <v/>
      </c>
      <c r="EO8" s="13" t="str">
        <f t="shared" si="51"/>
        <v/>
      </c>
      <c r="EP8" s="13" t="str">
        <f t="shared" si="52"/>
        <v/>
      </c>
      <c r="EQ8" s="13" t="str">
        <f t="shared" si="53"/>
        <v/>
      </c>
      <c r="ER8" s="13" t="str">
        <f t="shared" si="54"/>
        <v/>
      </c>
      <c r="ES8" s="13" t="str">
        <f t="shared" si="55"/>
        <v/>
      </c>
      <c r="ET8" s="48"/>
      <c r="EU8" s="48"/>
      <c r="EV8" s="48"/>
      <c r="EW8" s="48"/>
      <c r="EX8" s="48"/>
      <c r="EY8" s="48"/>
      <c r="EZ8" s="48"/>
      <c r="FA8" s="48"/>
      <c r="FB8" s="48"/>
      <c r="FC8" s="48"/>
      <c r="FD8" s="48"/>
      <c r="FE8" s="48"/>
      <c r="FF8" s="48"/>
      <c r="FG8" s="48"/>
      <c r="FH8" s="48"/>
      <c r="FI8" s="16" t="str">
        <f t="shared" si="56"/>
        <v/>
      </c>
      <c r="FJ8" s="16" t="str">
        <f t="shared" si="57"/>
        <v/>
      </c>
      <c r="FK8" s="16" t="str">
        <f t="shared" si="58"/>
        <v/>
      </c>
      <c r="FL8" s="16" t="str">
        <f t="shared" si="59"/>
        <v/>
      </c>
      <c r="FM8" s="16" t="str">
        <f t="shared" si="60"/>
        <v/>
      </c>
      <c r="FN8" s="16" t="str">
        <f t="shared" si="61"/>
        <v/>
      </c>
      <c r="FO8" s="47">
        <v>8.3249999999999993</v>
      </c>
      <c r="FP8" s="47">
        <v>9.5</v>
      </c>
      <c r="FQ8" s="47">
        <v>3.9</v>
      </c>
      <c r="FR8" s="47">
        <v>18.100000000000001</v>
      </c>
      <c r="FS8" s="47">
        <v>0</v>
      </c>
      <c r="FT8" s="47">
        <v>7.8</v>
      </c>
      <c r="FU8" s="47">
        <v>9.1999999999999993</v>
      </c>
      <c r="FV8" s="47">
        <v>9.6999999999999993</v>
      </c>
      <c r="FW8" s="47">
        <v>17.32</v>
      </c>
      <c r="FX8" s="47">
        <v>0</v>
      </c>
      <c r="FY8" s="47"/>
      <c r="FZ8" s="47"/>
      <c r="GA8" s="47"/>
      <c r="GB8" s="47"/>
      <c r="GC8" s="47"/>
      <c r="GD8" s="13">
        <f t="shared" si="62"/>
        <v>13.6</v>
      </c>
      <c r="GE8" s="13">
        <f t="shared" si="63"/>
        <v>39.825000000000003</v>
      </c>
      <c r="GF8" s="13">
        <f t="shared" si="64"/>
        <v>44.019999999999996</v>
      </c>
      <c r="GG8" s="13">
        <f t="shared" si="65"/>
        <v>83.844999999999999</v>
      </c>
      <c r="GH8" s="13" t="str">
        <f t="shared" si="66"/>
        <v/>
      </c>
      <c r="GI8" s="13">
        <f t="shared" si="67"/>
        <v>83.844999999999999</v>
      </c>
      <c r="GJ8" s="48"/>
      <c r="GK8" s="48"/>
      <c r="GL8" s="48"/>
      <c r="GM8" s="48"/>
      <c r="GN8" s="48"/>
      <c r="GO8" s="48"/>
      <c r="GP8" s="48"/>
      <c r="GQ8" s="48"/>
      <c r="GR8" s="48"/>
      <c r="GS8" s="48"/>
      <c r="GT8" s="48"/>
      <c r="GU8" s="48"/>
      <c r="GV8" s="48"/>
      <c r="GW8" s="48"/>
      <c r="GX8" s="48"/>
      <c r="GY8" s="16" t="str">
        <f t="shared" si="68"/>
        <v/>
      </c>
      <c r="GZ8" s="16" t="str">
        <f t="shared" si="69"/>
        <v/>
      </c>
      <c r="HA8" s="16" t="str">
        <f t="shared" si="70"/>
        <v/>
      </c>
      <c r="HB8" s="16" t="str">
        <f t="shared" si="71"/>
        <v/>
      </c>
      <c r="HC8" s="16" t="str">
        <f t="shared" si="72"/>
        <v/>
      </c>
      <c r="HD8" s="16" t="str">
        <f t="shared" si="73"/>
        <v/>
      </c>
      <c r="HE8" s="47"/>
      <c r="HF8" s="47"/>
      <c r="HG8" s="47"/>
      <c r="HH8" s="47"/>
      <c r="HI8" s="47"/>
      <c r="HJ8" s="47"/>
      <c r="HK8" s="47"/>
      <c r="HL8" s="47"/>
      <c r="HM8" s="47"/>
      <c r="HN8" s="47"/>
      <c r="HO8" s="47"/>
      <c r="HP8" s="47"/>
      <c r="HQ8" s="47"/>
      <c r="HR8" s="47"/>
      <c r="HS8" s="47"/>
      <c r="HT8" s="13" t="str">
        <f t="shared" si="74"/>
        <v/>
      </c>
      <c r="HU8" s="13" t="str">
        <f t="shared" si="75"/>
        <v/>
      </c>
      <c r="HV8" s="13" t="str">
        <f t="shared" si="76"/>
        <v/>
      </c>
      <c r="HW8" s="13" t="str">
        <f t="shared" si="77"/>
        <v/>
      </c>
      <c r="HX8" s="13" t="str">
        <f t="shared" si="78"/>
        <v/>
      </c>
      <c r="HY8" s="13" t="str">
        <f t="shared" si="79"/>
        <v/>
      </c>
      <c r="HZ8" s="48"/>
      <c r="IA8" s="48"/>
      <c r="IB8" s="48"/>
      <c r="IC8" s="48"/>
      <c r="ID8" s="48"/>
      <c r="IE8" s="48"/>
      <c r="IF8" s="48"/>
      <c r="IG8" s="48"/>
      <c r="IH8" s="48"/>
      <c r="II8" s="48"/>
      <c r="IJ8" s="48"/>
      <c r="IK8" s="48"/>
      <c r="IL8" s="48"/>
      <c r="IM8" s="48"/>
      <c r="IN8" s="48"/>
      <c r="IO8" s="16" t="str">
        <f t="shared" si="80"/>
        <v/>
      </c>
      <c r="IP8" s="16" t="str">
        <f t="shared" si="81"/>
        <v/>
      </c>
      <c r="IQ8" s="16" t="str">
        <f t="shared" si="82"/>
        <v/>
      </c>
      <c r="IR8" s="16" t="str">
        <f t="shared" si="83"/>
        <v/>
      </c>
      <c r="IS8" s="16" t="str">
        <f t="shared" si="84"/>
        <v/>
      </c>
      <c r="IT8" s="16" t="str">
        <f t="shared" si="85"/>
        <v/>
      </c>
      <c r="IU8" s="47"/>
      <c r="IV8" s="47"/>
      <c r="IW8" s="47"/>
      <c r="IX8" s="47"/>
      <c r="IY8" s="47"/>
      <c r="IZ8" s="47"/>
      <c r="JA8" s="47"/>
      <c r="JB8" s="47"/>
      <c r="JC8" s="47"/>
      <c r="JD8" s="47"/>
      <c r="JE8" s="47"/>
      <c r="JF8" s="47"/>
      <c r="JG8" s="47"/>
      <c r="JH8" s="47"/>
      <c r="JI8" s="47"/>
      <c r="JJ8" s="13" t="str">
        <f t="shared" si="86"/>
        <v/>
      </c>
      <c r="JK8" s="13" t="str">
        <f t="shared" si="87"/>
        <v/>
      </c>
      <c r="JL8" s="13" t="str">
        <f t="shared" si="88"/>
        <v/>
      </c>
      <c r="JM8" s="13" t="str">
        <f t="shared" si="89"/>
        <v/>
      </c>
      <c r="JN8" s="13" t="str">
        <f t="shared" si="90"/>
        <v/>
      </c>
      <c r="JO8" s="13" t="str">
        <f t="shared" si="91"/>
        <v/>
      </c>
      <c r="JP8" s="48"/>
      <c r="JQ8" s="48"/>
      <c r="JR8" s="48"/>
      <c r="JS8" s="48"/>
      <c r="JT8" s="48"/>
      <c r="JU8" s="48"/>
      <c r="JV8" s="48"/>
      <c r="JW8" s="48"/>
      <c r="JX8" s="48"/>
      <c r="JY8" s="48"/>
      <c r="JZ8" s="48"/>
      <c r="KA8" s="48"/>
      <c r="KB8" s="48"/>
      <c r="KC8" s="48"/>
      <c r="KD8" s="48"/>
      <c r="KE8" s="16" t="str">
        <f t="shared" si="92"/>
        <v/>
      </c>
      <c r="KF8" s="16" t="str">
        <f t="shared" si="93"/>
        <v/>
      </c>
      <c r="KG8" s="16" t="str">
        <f t="shared" si="94"/>
        <v/>
      </c>
      <c r="KH8" s="16" t="str">
        <f t="shared" si="95"/>
        <v/>
      </c>
      <c r="KI8" s="16" t="str">
        <f t="shared" si="96"/>
        <v/>
      </c>
      <c r="KJ8" s="16" t="str">
        <f t="shared" si="97"/>
        <v/>
      </c>
      <c r="KK8" s="47"/>
      <c r="KL8" s="47"/>
      <c r="KM8" s="47"/>
      <c r="KN8" s="47"/>
      <c r="KO8" s="47"/>
      <c r="KP8" s="47"/>
      <c r="KQ8" s="47"/>
      <c r="KR8" s="47"/>
      <c r="KS8" s="47"/>
      <c r="KT8" s="47"/>
      <c r="KU8" s="47"/>
      <c r="KV8" s="47"/>
      <c r="KW8" s="47"/>
      <c r="KX8" s="47"/>
      <c r="KY8" s="47"/>
      <c r="KZ8" s="13" t="str">
        <f t="shared" si="98"/>
        <v/>
      </c>
      <c r="LA8" s="13" t="str">
        <f t="shared" si="99"/>
        <v/>
      </c>
      <c r="LB8" s="13" t="str">
        <f t="shared" si="100"/>
        <v/>
      </c>
      <c r="LC8" s="13" t="str">
        <f t="shared" si="101"/>
        <v/>
      </c>
      <c r="LD8" s="13" t="str">
        <f t="shared" si="102"/>
        <v/>
      </c>
      <c r="LE8" s="13" t="str">
        <f t="shared" si="103"/>
        <v/>
      </c>
      <c r="LF8" s="48"/>
      <c r="LG8" s="48"/>
      <c r="LH8" s="48"/>
      <c r="LI8" s="48"/>
      <c r="LJ8" s="48"/>
      <c r="LK8" s="48"/>
      <c r="LL8" s="48"/>
      <c r="LM8" s="48"/>
      <c r="LN8" s="48"/>
      <c r="LO8" s="48"/>
      <c r="LP8" s="48"/>
      <c r="LQ8" s="48"/>
      <c r="LR8" s="48"/>
      <c r="LS8" s="48"/>
      <c r="LT8" s="48"/>
      <c r="LU8" s="16" t="str">
        <f t="shared" si="104"/>
        <v/>
      </c>
      <c r="LV8" s="16" t="str">
        <f t="shared" si="105"/>
        <v/>
      </c>
      <c r="LW8" s="16" t="str">
        <f t="shared" si="106"/>
        <v/>
      </c>
      <c r="LX8" s="16" t="str">
        <f t="shared" si="107"/>
        <v/>
      </c>
      <c r="LY8" s="16" t="str">
        <f t="shared" si="108"/>
        <v/>
      </c>
      <c r="LZ8" s="16" t="str">
        <f t="shared" si="109"/>
        <v/>
      </c>
    </row>
    <row r="9" spans="1:338" x14ac:dyDescent="0.2">
      <c r="A9" s="6" t="str">
        <f t="shared" si="0"/>
        <v/>
      </c>
      <c r="B9" s="7" t="s">
        <v>162</v>
      </c>
      <c r="C9" s="8" t="s">
        <v>161</v>
      </c>
      <c r="D9" s="6"/>
      <c r="E9" s="17">
        <f t="shared" si="1"/>
        <v>39.950000000000003</v>
      </c>
      <c r="F9" s="4" t="str">
        <f t="shared" si="2"/>
        <v/>
      </c>
      <c r="G9" s="4" t="str">
        <f t="shared" si="3"/>
        <v/>
      </c>
      <c r="H9" s="4" t="str">
        <f t="shared" si="4"/>
        <v/>
      </c>
      <c r="I9" t="str">
        <f t="shared" si="5"/>
        <v/>
      </c>
      <c r="J9" s="16">
        <f t="shared" si="6"/>
        <v>0</v>
      </c>
      <c r="K9" s="16" t="str">
        <f t="shared" si="7"/>
        <v/>
      </c>
      <c r="L9" s="16">
        <f t="shared" si="8"/>
        <v>0</v>
      </c>
      <c r="M9" s="16" t="str">
        <f t="shared" si="9"/>
        <v/>
      </c>
      <c r="N9" s="16">
        <f t="shared" si="10"/>
        <v>0</v>
      </c>
      <c r="O9" s="16" t="str">
        <f t="shared" si="11"/>
        <v/>
      </c>
      <c r="P9" s="16">
        <f t="shared" si="12"/>
        <v>0</v>
      </c>
      <c r="Q9" s="16" t="str">
        <f t="shared" si="13"/>
        <v/>
      </c>
      <c r="R9" s="16">
        <f t="shared" si="14"/>
        <v>39.950000000000003</v>
      </c>
      <c r="S9" s="31" t="str">
        <f t="shared" si="15"/>
        <v>(Vol 2)</v>
      </c>
      <c r="T9" s="16" t="str">
        <f t="shared" si="16"/>
        <v>2018 Junior Pan Am Championships (June)</v>
      </c>
      <c r="U9" s="47"/>
      <c r="V9" s="47"/>
      <c r="W9" s="47"/>
      <c r="X9" s="47"/>
      <c r="Y9" s="47"/>
      <c r="Z9" s="47"/>
      <c r="AA9" s="47"/>
      <c r="AB9" s="47"/>
      <c r="AC9" s="47"/>
      <c r="AD9" s="47"/>
      <c r="AE9" s="47"/>
      <c r="AF9" s="47"/>
      <c r="AG9" s="47"/>
      <c r="AH9" s="47"/>
      <c r="AI9" s="47"/>
      <c r="AJ9" s="13" t="str">
        <f t="shared" si="17"/>
        <v/>
      </c>
      <c r="AK9" s="13" t="str">
        <f t="shared" si="18"/>
        <v/>
      </c>
      <c r="AL9" s="13" t="str">
        <f t="shared" si="19"/>
        <v/>
      </c>
      <c r="AM9" s="13" t="str">
        <f t="shared" si="20"/>
        <v/>
      </c>
      <c r="AN9" s="13" t="str">
        <f t="shared" si="21"/>
        <v/>
      </c>
      <c r="AO9" s="13" t="str">
        <f t="shared" si="22"/>
        <v/>
      </c>
      <c r="AP9" s="48"/>
      <c r="AQ9" s="48"/>
      <c r="AR9" s="48"/>
      <c r="AS9" s="48"/>
      <c r="AT9" s="48"/>
      <c r="AU9" s="48"/>
      <c r="AV9" s="48"/>
      <c r="AW9" s="48"/>
      <c r="AX9" s="48"/>
      <c r="AY9" s="48"/>
      <c r="AZ9" s="48"/>
      <c r="BA9" s="48"/>
      <c r="BB9" s="48"/>
      <c r="BC9" s="48"/>
      <c r="BD9" s="48"/>
      <c r="BE9" s="16" t="str">
        <f t="shared" si="23"/>
        <v/>
      </c>
      <c r="BF9" s="16" t="str">
        <f t="shared" si="24"/>
        <v/>
      </c>
      <c r="BG9" s="16" t="str">
        <f t="shared" si="25"/>
        <v/>
      </c>
      <c r="BH9" s="16" t="str">
        <f t="shared" si="26"/>
        <v/>
      </c>
      <c r="BI9" s="16" t="str">
        <f t="shared" si="27"/>
        <v/>
      </c>
      <c r="BJ9" s="16" t="str">
        <f t="shared" si="28"/>
        <v/>
      </c>
      <c r="BK9" s="47"/>
      <c r="BL9" s="47"/>
      <c r="BM9" s="47"/>
      <c r="BN9" s="47"/>
      <c r="BO9" s="47"/>
      <c r="BP9" s="47"/>
      <c r="BQ9" s="47"/>
      <c r="BR9" s="47"/>
      <c r="BS9" s="47"/>
      <c r="BT9" s="47"/>
      <c r="BU9" s="47"/>
      <c r="BV9" s="47"/>
      <c r="BW9" s="47"/>
      <c r="BX9" s="47"/>
      <c r="BY9" s="47"/>
      <c r="BZ9" s="13" t="str">
        <f t="shared" si="29"/>
        <v/>
      </c>
      <c r="CA9" s="13" t="str">
        <f t="shared" si="30"/>
        <v/>
      </c>
      <c r="CB9" s="13" t="str">
        <f t="shared" si="31"/>
        <v/>
      </c>
      <c r="CC9" s="13" t="str">
        <f t="shared" si="32"/>
        <v/>
      </c>
      <c r="CD9" s="13" t="str">
        <f t="shared" si="33"/>
        <v/>
      </c>
      <c r="CE9" s="13" t="str">
        <f t="shared" si="34"/>
        <v/>
      </c>
      <c r="CF9" s="30">
        <f t="shared" si="35"/>
        <v>31.024999999999999</v>
      </c>
      <c r="CG9" s="30">
        <f t="shared" si="36"/>
        <v>39.950000000000003</v>
      </c>
      <c r="CH9" s="30" t="str">
        <f t="shared" si="37"/>
        <v/>
      </c>
      <c r="CI9" s="47"/>
      <c r="CJ9" s="47"/>
      <c r="CK9" s="47"/>
      <c r="CL9" s="47"/>
      <c r="CM9" s="47"/>
      <c r="CN9" s="47"/>
      <c r="CO9" s="47"/>
      <c r="CP9" s="47"/>
      <c r="CQ9" s="47"/>
      <c r="CR9" s="47"/>
      <c r="CS9" s="47"/>
      <c r="CT9" s="47"/>
      <c r="CU9" s="47"/>
      <c r="CV9" s="47"/>
      <c r="CW9" s="47"/>
      <c r="CX9" s="13" t="str">
        <f t="shared" si="38"/>
        <v/>
      </c>
      <c r="CY9" s="13" t="str">
        <f t="shared" si="39"/>
        <v/>
      </c>
      <c r="CZ9" s="13" t="str">
        <f t="shared" si="40"/>
        <v/>
      </c>
      <c r="DA9" s="13" t="str">
        <f t="shared" si="41"/>
        <v/>
      </c>
      <c r="DB9" s="13" t="str">
        <f t="shared" si="42"/>
        <v/>
      </c>
      <c r="DC9" s="13" t="str">
        <f t="shared" si="43"/>
        <v/>
      </c>
      <c r="DD9" s="48"/>
      <c r="DE9" s="48"/>
      <c r="DF9" s="48"/>
      <c r="DG9" s="48"/>
      <c r="DH9" s="48"/>
      <c r="DI9" s="48"/>
      <c r="DJ9" s="48"/>
      <c r="DK9" s="48"/>
      <c r="DL9" s="48"/>
      <c r="DM9" s="48"/>
      <c r="DN9" s="48"/>
      <c r="DO9" s="48"/>
      <c r="DP9" s="48"/>
      <c r="DQ9" s="48"/>
      <c r="DR9" s="48"/>
      <c r="DS9" s="16" t="str">
        <f t="shared" si="44"/>
        <v/>
      </c>
      <c r="DT9" s="16" t="str">
        <f t="shared" si="45"/>
        <v/>
      </c>
      <c r="DU9" s="16" t="str">
        <f t="shared" si="46"/>
        <v/>
      </c>
      <c r="DV9" s="16" t="str">
        <f t="shared" si="47"/>
        <v/>
      </c>
      <c r="DW9" s="16" t="str">
        <f t="shared" si="48"/>
        <v/>
      </c>
      <c r="DX9" s="16" t="str">
        <f t="shared" si="49"/>
        <v/>
      </c>
      <c r="DY9" s="47"/>
      <c r="DZ9" s="47"/>
      <c r="EA9" s="47"/>
      <c r="EB9" s="47"/>
      <c r="EC9" s="47"/>
      <c r="ED9" s="47"/>
      <c r="EE9" s="47"/>
      <c r="EF9" s="47"/>
      <c r="EG9" s="47"/>
      <c r="EH9" s="47"/>
      <c r="EI9" s="47"/>
      <c r="EJ9" s="47"/>
      <c r="EK9" s="47"/>
      <c r="EL9" s="47"/>
      <c r="EM9" s="47"/>
      <c r="EN9" s="13" t="str">
        <f t="shared" si="50"/>
        <v/>
      </c>
      <c r="EO9" s="13" t="str">
        <f t="shared" si="51"/>
        <v/>
      </c>
      <c r="EP9" s="13" t="str">
        <f t="shared" si="52"/>
        <v/>
      </c>
      <c r="EQ9" s="13" t="str">
        <f t="shared" si="53"/>
        <v/>
      </c>
      <c r="ER9" s="13" t="str">
        <f t="shared" si="54"/>
        <v/>
      </c>
      <c r="ES9" s="13" t="str">
        <f t="shared" si="55"/>
        <v/>
      </c>
      <c r="ET9" s="48"/>
      <c r="EU9" s="48"/>
      <c r="EV9" s="48"/>
      <c r="EW9" s="48"/>
      <c r="EX9" s="48"/>
      <c r="EY9" s="48"/>
      <c r="EZ9" s="48"/>
      <c r="FA9" s="48"/>
      <c r="FB9" s="48"/>
      <c r="FC9" s="48"/>
      <c r="FD9" s="48"/>
      <c r="FE9" s="48"/>
      <c r="FF9" s="48"/>
      <c r="FG9" s="48"/>
      <c r="FH9" s="48"/>
      <c r="FI9" s="16" t="str">
        <f t="shared" si="56"/>
        <v/>
      </c>
      <c r="FJ9" s="16" t="str">
        <f t="shared" si="57"/>
        <v/>
      </c>
      <c r="FK9" s="16" t="str">
        <f t="shared" si="58"/>
        <v/>
      </c>
      <c r="FL9" s="16" t="str">
        <f t="shared" si="59"/>
        <v/>
      </c>
      <c r="FM9" s="16" t="str">
        <f t="shared" si="60"/>
        <v/>
      </c>
      <c r="FN9" s="16" t="str">
        <f t="shared" si="61"/>
        <v/>
      </c>
      <c r="FO9" s="47"/>
      <c r="FP9" s="47"/>
      <c r="FQ9" s="47"/>
      <c r="FR9" s="47"/>
      <c r="FS9" s="47"/>
      <c r="FT9" s="47"/>
      <c r="FU9" s="47"/>
      <c r="FV9" s="47"/>
      <c r="FW9" s="47"/>
      <c r="FX9" s="47"/>
      <c r="FY9" s="47"/>
      <c r="FZ9" s="47"/>
      <c r="GA9" s="47"/>
      <c r="GB9" s="47"/>
      <c r="GC9" s="47"/>
      <c r="GD9" s="13" t="str">
        <f t="shared" si="62"/>
        <v/>
      </c>
      <c r="GE9" s="13" t="str">
        <f t="shared" si="63"/>
        <v/>
      </c>
      <c r="GF9" s="13" t="str">
        <f t="shared" si="64"/>
        <v/>
      </c>
      <c r="GG9" s="13" t="str">
        <f t="shared" si="65"/>
        <v/>
      </c>
      <c r="GH9" s="13" t="str">
        <f t="shared" si="66"/>
        <v/>
      </c>
      <c r="GI9" s="13" t="str">
        <f t="shared" si="67"/>
        <v/>
      </c>
      <c r="GJ9" s="48"/>
      <c r="GK9" s="48"/>
      <c r="GL9" s="48"/>
      <c r="GM9" s="48"/>
      <c r="GN9" s="48"/>
      <c r="GO9" s="48"/>
      <c r="GP9" s="48"/>
      <c r="GQ9" s="48"/>
      <c r="GR9" s="48"/>
      <c r="GS9" s="48"/>
      <c r="GT9" s="48"/>
      <c r="GU9" s="48"/>
      <c r="GV9" s="48"/>
      <c r="GW9" s="48"/>
      <c r="GX9" s="48"/>
      <c r="GY9" s="16" t="str">
        <f t="shared" si="68"/>
        <v/>
      </c>
      <c r="GZ9" s="16" t="str">
        <f t="shared" si="69"/>
        <v/>
      </c>
      <c r="HA9" s="16" t="str">
        <f t="shared" si="70"/>
        <v/>
      </c>
      <c r="HB9" s="16" t="str">
        <f t="shared" si="71"/>
        <v/>
      </c>
      <c r="HC9" s="16" t="str">
        <f t="shared" si="72"/>
        <v/>
      </c>
      <c r="HD9" s="16" t="str">
        <f t="shared" si="73"/>
        <v/>
      </c>
      <c r="HE9" s="47">
        <v>8.5250000000000004</v>
      </c>
      <c r="HF9" s="47">
        <v>9.5</v>
      </c>
      <c r="HG9" s="47">
        <v>0</v>
      </c>
      <c r="HH9" s="47">
        <v>17</v>
      </c>
      <c r="HI9" s="47">
        <v>4</v>
      </c>
      <c r="HJ9" s="47">
        <v>8.5500000000000007</v>
      </c>
      <c r="HK9" s="47">
        <v>9.6</v>
      </c>
      <c r="HL9" s="47">
        <v>4.5999999999999996</v>
      </c>
      <c r="HM9" s="47">
        <v>17.2</v>
      </c>
      <c r="HN9" s="47"/>
      <c r="HO9" s="47"/>
      <c r="HP9" s="47"/>
      <c r="HQ9" s="47"/>
      <c r="HR9" s="47"/>
      <c r="HS9" s="47"/>
      <c r="HT9" s="13">
        <f t="shared" si="74"/>
        <v>4.5999999999999996</v>
      </c>
      <c r="HU9" s="13">
        <f t="shared" si="75"/>
        <v>31.024999999999999</v>
      </c>
      <c r="HV9" s="13">
        <f t="shared" si="76"/>
        <v>39.950000000000003</v>
      </c>
      <c r="HW9" s="13">
        <f t="shared" si="77"/>
        <v>70.974999999999994</v>
      </c>
      <c r="HX9" s="13" t="str">
        <f t="shared" si="78"/>
        <v/>
      </c>
      <c r="HY9" s="13">
        <f t="shared" si="79"/>
        <v>70.974999999999994</v>
      </c>
      <c r="HZ9" s="48"/>
      <c r="IA9" s="48"/>
      <c r="IB9" s="48"/>
      <c r="IC9" s="48"/>
      <c r="ID9" s="48"/>
      <c r="IE9" s="48"/>
      <c r="IF9" s="48"/>
      <c r="IG9" s="48"/>
      <c r="IH9" s="48"/>
      <c r="II9" s="48"/>
      <c r="IJ9" s="48"/>
      <c r="IK9" s="48"/>
      <c r="IL9" s="48"/>
      <c r="IM9" s="48"/>
      <c r="IN9" s="48"/>
      <c r="IO9" s="16" t="str">
        <f t="shared" si="80"/>
        <v/>
      </c>
      <c r="IP9" s="16" t="str">
        <f t="shared" si="81"/>
        <v/>
      </c>
      <c r="IQ9" s="16" t="str">
        <f t="shared" si="82"/>
        <v/>
      </c>
      <c r="IR9" s="16" t="str">
        <f t="shared" si="83"/>
        <v/>
      </c>
      <c r="IS9" s="16" t="str">
        <f t="shared" si="84"/>
        <v/>
      </c>
      <c r="IT9" s="16" t="str">
        <f t="shared" si="85"/>
        <v/>
      </c>
      <c r="IU9" s="47"/>
      <c r="IV9" s="47"/>
      <c r="IW9" s="47"/>
      <c r="IX9" s="47"/>
      <c r="IY9" s="47"/>
      <c r="IZ9" s="47"/>
      <c r="JA9" s="47"/>
      <c r="JB9" s="47"/>
      <c r="JC9" s="47"/>
      <c r="JD9" s="47"/>
      <c r="JE9" s="47"/>
      <c r="JF9" s="47"/>
      <c r="JG9" s="47"/>
      <c r="JH9" s="47"/>
      <c r="JI9" s="47"/>
      <c r="JJ9" s="13" t="str">
        <f t="shared" si="86"/>
        <v/>
      </c>
      <c r="JK9" s="13" t="str">
        <f t="shared" si="87"/>
        <v/>
      </c>
      <c r="JL9" s="13" t="str">
        <f t="shared" si="88"/>
        <v/>
      </c>
      <c r="JM9" s="13" t="str">
        <f t="shared" si="89"/>
        <v/>
      </c>
      <c r="JN9" s="13" t="str">
        <f t="shared" si="90"/>
        <v/>
      </c>
      <c r="JO9" s="13" t="str">
        <f t="shared" si="91"/>
        <v/>
      </c>
      <c r="JP9" s="48"/>
      <c r="JQ9" s="48"/>
      <c r="JR9" s="48"/>
      <c r="JS9" s="48"/>
      <c r="JT9" s="48"/>
      <c r="JU9" s="48"/>
      <c r="JV9" s="48"/>
      <c r="JW9" s="48"/>
      <c r="JX9" s="48"/>
      <c r="JY9" s="48"/>
      <c r="JZ9" s="48"/>
      <c r="KA9" s="48"/>
      <c r="KB9" s="48"/>
      <c r="KC9" s="48"/>
      <c r="KD9" s="48"/>
      <c r="KE9" s="16" t="str">
        <f t="shared" si="92"/>
        <v/>
      </c>
      <c r="KF9" s="16" t="str">
        <f t="shared" si="93"/>
        <v/>
      </c>
      <c r="KG9" s="16" t="str">
        <f t="shared" si="94"/>
        <v/>
      </c>
      <c r="KH9" s="16" t="str">
        <f t="shared" si="95"/>
        <v/>
      </c>
      <c r="KI9" s="16" t="str">
        <f t="shared" si="96"/>
        <v/>
      </c>
      <c r="KJ9" s="16" t="str">
        <f t="shared" si="97"/>
        <v/>
      </c>
      <c r="KK9" s="47"/>
      <c r="KL9" s="47"/>
      <c r="KM9" s="47"/>
      <c r="KN9" s="47"/>
      <c r="KO9" s="47"/>
      <c r="KP9" s="47"/>
      <c r="KQ9" s="47"/>
      <c r="KR9" s="47"/>
      <c r="KS9" s="47"/>
      <c r="KT9" s="47"/>
      <c r="KU9" s="47"/>
      <c r="KV9" s="47"/>
      <c r="KW9" s="47"/>
      <c r="KX9" s="47"/>
      <c r="KY9" s="47"/>
      <c r="KZ9" s="13" t="str">
        <f t="shared" si="98"/>
        <v/>
      </c>
      <c r="LA9" s="13" t="str">
        <f t="shared" si="99"/>
        <v/>
      </c>
      <c r="LB9" s="13" t="str">
        <f t="shared" si="100"/>
        <v/>
      </c>
      <c r="LC9" s="13" t="str">
        <f t="shared" si="101"/>
        <v/>
      </c>
      <c r="LD9" s="13" t="str">
        <f t="shared" si="102"/>
        <v/>
      </c>
      <c r="LE9" s="13" t="str">
        <f t="shared" si="103"/>
        <v/>
      </c>
      <c r="LF9" s="48"/>
      <c r="LG9" s="48"/>
      <c r="LH9" s="48"/>
      <c r="LI9" s="48"/>
      <c r="LJ9" s="48"/>
      <c r="LK9" s="48"/>
      <c r="LL9" s="48"/>
      <c r="LM9" s="48"/>
      <c r="LN9" s="48"/>
      <c r="LO9" s="48"/>
      <c r="LP9" s="48"/>
      <c r="LQ9" s="48"/>
      <c r="LR9" s="48"/>
      <c r="LS9" s="48"/>
      <c r="LT9" s="48"/>
      <c r="LU9" s="16" t="str">
        <f t="shared" si="104"/>
        <v/>
      </c>
      <c r="LV9" s="16" t="str">
        <f t="shared" si="105"/>
        <v/>
      </c>
      <c r="LW9" s="16" t="str">
        <f t="shared" si="106"/>
        <v/>
      </c>
      <c r="LX9" s="16" t="str">
        <f t="shared" si="107"/>
        <v/>
      </c>
      <c r="LY9" s="16" t="str">
        <f t="shared" si="108"/>
        <v/>
      </c>
      <c r="LZ9" s="16" t="str">
        <f t="shared" si="109"/>
        <v/>
      </c>
    </row>
    <row r="10" spans="1:338" x14ac:dyDescent="0.2">
      <c r="D10" s="1"/>
    </row>
    <row r="11" spans="1:338" x14ac:dyDescent="0.2">
      <c r="GY11" s="7"/>
      <c r="GZ11" s="7"/>
    </row>
    <row r="12" spans="1:338" x14ac:dyDescent="0.2">
      <c r="B12" s="88" t="s">
        <v>123</v>
      </c>
      <c r="AJ12" s="71"/>
      <c r="AK12" s="80">
        <v>14.3</v>
      </c>
      <c r="BE12" s="71"/>
      <c r="BF12" s="80">
        <v>13.6</v>
      </c>
      <c r="BZ12" s="71"/>
      <c r="CA12" s="80">
        <v>13.6</v>
      </c>
      <c r="CX12" s="71"/>
      <c r="CY12" s="80">
        <v>14.3</v>
      </c>
      <c r="DS12" s="71"/>
      <c r="DT12" s="80">
        <v>14.3</v>
      </c>
      <c r="EN12" s="71"/>
      <c r="EO12" s="80">
        <v>14.3</v>
      </c>
      <c r="FI12" s="71"/>
      <c r="FJ12" s="80">
        <v>14.3</v>
      </c>
      <c r="GD12" s="71"/>
      <c r="GE12" s="80">
        <v>13.6</v>
      </c>
      <c r="GY12" s="71"/>
      <c r="GZ12" s="80">
        <v>13.6</v>
      </c>
      <c r="HT12" s="71"/>
      <c r="HU12" s="80">
        <v>13.6</v>
      </c>
      <c r="IO12" s="71"/>
      <c r="IP12" s="80">
        <v>13.6</v>
      </c>
      <c r="JJ12" s="71"/>
      <c r="JK12" s="80">
        <v>13.6</v>
      </c>
      <c r="KE12" s="71"/>
      <c r="KF12" s="80">
        <v>13.6</v>
      </c>
      <c r="KZ12" s="71"/>
      <c r="LA12" s="80">
        <v>13.6</v>
      </c>
      <c r="LU12" s="71"/>
      <c r="LV12" s="80">
        <v>13.6</v>
      </c>
    </row>
    <row r="13" spans="1:338" x14ac:dyDescent="0.2">
      <c r="A13" s="71"/>
      <c r="B13" s="89" t="s">
        <v>122</v>
      </c>
      <c r="C13" s="70"/>
      <c r="AJ13" s="71"/>
      <c r="AK13" s="81">
        <v>14.3</v>
      </c>
      <c r="BE13" s="71"/>
      <c r="BF13" s="81">
        <v>14</v>
      </c>
      <c r="BZ13" s="71"/>
      <c r="CA13" s="81">
        <v>14</v>
      </c>
      <c r="CX13" s="71"/>
      <c r="CY13" s="81">
        <v>14.3</v>
      </c>
      <c r="DS13" s="71"/>
      <c r="DT13" s="81">
        <v>14.3</v>
      </c>
      <c r="EN13" s="71"/>
      <c r="EO13" s="81">
        <v>14.3</v>
      </c>
      <c r="FI13" s="71"/>
      <c r="FJ13" s="81">
        <v>14.3</v>
      </c>
      <c r="GD13" s="71"/>
      <c r="GE13" s="81">
        <v>14</v>
      </c>
      <c r="GY13" s="71"/>
      <c r="GZ13" s="81">
        <v>14</v>
      </c>
      <c r="HT13" s="71"/>
      <c r="HU13" s="81">
        <v>14</v>
      </c>
      <c r="IO13" s="71"/>
      <c r="IP13" s="81">
        <v>14</v>
      </c>
      <c r="JJ13" s="71"/>
      <c r="JK13" s="81">
        <v>14</v>
      </c>
      <c r="KE13" s="71"/>
      <c r="KF13" s="81">
        <v>14</v>
      </c>
      <c r="KZ13" s="71"/>
      <c r="LA13" s="81">
        <v>14</v>
      </c>
      <c r="LU13" s="71"/>
      <c r="LV13" s="81">
        <v>14</v>
      </c>
    </row>
    <row r="14" spans="1:338" x14ac:dyDescent="0.2">
      <c r="A14" s="71"/>
      <c r="B14" s="90" t="s">
        <v>120</v>
      </c>
      <c r="C14" s="70"/>
      <c r="AJ14" s="71"/>
      <c r="AK14" s="82">
        <v>84.4</v>
      </c>
      <c r="BE14" s="71"/>
      <c r="BF14" s="82">
        <v>81.2</v>
      </c>
      <c r="BZ14" s="71"/>
      <c r="CA14" s="82">
        <v>81.2</v>
      </c>
      <c r="CX14" s="71"/>
      <c r="CY14" s="82">
        <v>84.4</v>
      </c>
      <c r="DS14" s="71"/>
      <c r="DT14" s="82">
        <v>84.4</v>
      </c>
      <c r="EN14" s="71"/>
      <c r="EO14" s="82">
        <v>84.4</v>
      </c>
      <c r="FI14" s="71"/>
      <c r="FJ14" s="82">
        <v>84.4</v>
      </c>
      <c r="GD14" s="71"/>
      <c r="GE14" s="82">
        <v>81.2</v>
      </c>
      <c r="GY14" s="71"/>
      <c r="GZ14" s="82">
        <v>81.2</v>
      </c>
      <c r="HT14" s="71"/>
      <c r="HU14" s="82">
        <v>81.2</v>
      </c>
      <c r="IO14" s="71"/>
      <c r="IP14" s="82">
        <v>81.2</v>
      </c>
      <c r="JJ14" s="71"/>
      <c r="JK14" s="82">
        <v>81.2</v>
      </c>
      <c r="KE14" s="71"/>
      <c r="KF14" s="82">
        <v>81.2</v>
      </c>
      <c r="KZ14" s="71"/>
      <c r="LA14" s="82">
        <v>81.2</v>
      </c>
      <c r="LU14" s="71"/>
      <c r="LV14" s="82">
        <v>81.2</v>
      </c>
    </row>
    <row r="15" spans="1:338" x14ac:dyDescent="0.2">
      <c r="A15" s="71"/>
      <c r="B15" s="91" t="s">
        <v>121</v>
      </c>
      <c r="C15" s="70"/>
      <c r="AJ15" s="71"/>
      <c r="AK15" s="83">
        <v>84.4</v>
      </c>
      <c r="BE15" s="71"/>
      <c r="BF15" s="83">
        <v>83.2</v>
      </c>
      <c r="BZ15" s="71"/>
      <c r="CA15" s="83">
        <v>83.2</v>
      </c>
      <c r="CX15" s="71"/>
      <c r="CY15" s="83">
        <v>84.4</v>
      </c>
      <c r="DS15" s="71"/>
      <c r="DT15" s="83">
        <v>84.4</v>
      </c>
      <c r="EN15" s="71"/>
      <c r="EO15" s="83">
        <v>84.4</v>
      </c>
      <c r="FI15" s="71"/>
      <c r="FJ15" s="83">
        <v>84.4</v>
      </c>
      <c r="GD15" s="71"/>
      <c r="GE15" s="83">
        <v>83.2</v>
      </c>
      <c r="GY15" s="71"/>
      <c r="GZ15" s="83">
        <v>83.2</v>
      </c>
      <c r="HT15" s="71"/>
      <c r="HU15" s="83">
        <v>83.2</v>
      </c>
      <c r="IO15" s="71"/>
      <c r="IP15" s="83">
        <v>83.2</v>
      </c>
      <c r="JJ15" s="71"/>
      <c r="JK15" s="83">
        <v>83.2</v>
      </c>
      <c r="KE15" s="71"/>
      <c r="KF15" s="83">
        <v>83.2</v>
      </c>
      <c r="KZ15" s="71"/>
      <c r="LA15" s="83">
        <v>83.2</v>
      </c>
      <c r="LU15" s="71"/>
      <c r="LV15" s="83">
        <v>83.2</v>
      </c>
    </row>
    <row r="16" spans="1:338" x14ac:dyDescent="0.2">
      <c r="A16" s="71"/>
      <c r="B16" s="92" t="s">
        <v>39</v>
      </c>
      <c r="C16" s="70"/>
      <c r="AJ16" s="71"/>
      <c r="AK16" s="84">
        <v>86.6</v>
      </c>
      <c r="BE16" s="71"/>
      <c r="BF16" s="84">
        <v>85.1</v>
      </c>
      <c r="BZ16" s="71"/>
      <c r="CA16" s="84">
        <v>85.1</v>
      </c>
      <c r="CX16" s="71"/>
      <c r="CY16" s="84">
        <v>86.6</v>
      </c>
      <c r="DS16" s="71"/>
      <c r="DT16" s="84">
        <v>86.6</v>
      </c>
      <c r="EN16" s="71"/>
      <c r="EO16" s="84">
        <v>86.6</v>
      </c>
      <c r="FI16" s="71"/>
      <c r="FJ16" s="84">
        <v>86.6</v>
      </c>
      <c r="GD16" s="71"/>
      <c r="GE16" s="84">
        <v>85.1</v>
      </c>
      <c r="GY16" s="71"/>
      <c r="GZ16" s="84">
        <v>85.1</v>
      </c>
      <c r="HT16" s="71"/>
      <c r="HU16" s="84">
        <v>85.1</v>
      </c>
      <c r="IO16" s="71"/>
      <c r="IP16" s="84">
        <v>85.1</v>
      </c>
      <c r="JJ16" s="71"/>
      <c r="JK16" s="84">
        <v>85.1</v>
      </c>
      <c r="KE16" s="71"/>
      <c r="KF16" s="84">
        <v>85.1</v>
      </c>
      <c r="KZ16" s="71"/>
      <c r="LA16" s="84">
        <v>85.1</v>
      </c>
      <c r="LU16" s="71"/>
      <c r="LV16" s="84">
        <v>85.1</v>
      </c>
    </row>
    <row r="17" spans="1:334" x14ac:dyDescent="0.2">
      <c r="A17" s="71"/>
      <c r="B17" s="93" t="s">
        <v>91</v>
      </c>
      <c r="C17" s="70"/>
      <c r="AJ17" s="71"/>
      <c r="AK17" s="85">
        <v>89.6</v>
      </c>
      <c r="BE17" s="71"/>
      <c r="BF17" s="85">
        <v>86.3</v>
      </c>
      <c r="BZ17" s="71"/>
      <c r="CA17" s="85">
        <v>86.3</v>
      </c>
      <c r="CX17" s="71"/>
      <c r="CY17" s="85">
        <v>89.6</v>
      </c>
      <c r="DS17" s="71"/>
      <c r="DT17" s="85">
        <v>89.6</v>
      </c>
      <c r="EN17" s="71"/>
      <c r="EO17" s="85">
        <v>89.6</v>
      </c>
      <c r="FI17" s="71"/>
      <c r="FJ17" s="85">
        <v>89.6</v>
      </c>
      <c r="GD17" s="71"/>
      <c r="GE17" s="85">
        <v>86.3</v>
      </c>
      <c r="GY17" s="71"/>
      <c r="GZ17" s="85">
        <v>86.3</v>
      </c>
      <c r="HT17" s="71"/>
      <c r="HU17" s="85">
        <v>86.3</v>
      </c>
      <c r="IO17" s="71"/>
      <c r="IP17" s="85">
        <v>86.3</v>
      </c>
      <c r="JJ17" s="71"/>
      <c r="JK17" s="85">
        <v>86.3</v>
      </c>
      <c r="KE17" s="71"/>
      <c r="KF17" s="85">
        <v>86.3</v>
      </c>
      <c r="KZ17" s="71"/>
      <c r="LA17" s="85">
        <v>86.3</v>
      </c>
      <c r="LU17" s="71"/>
      <c r="LV17" s="85">
        <v>86.3</v>
      </c>
    </row>
    <row r="18" spans="1:334" x14ac:dyDescent="0.2">
      <c r="C18" s="3"/>
      <c r="AK18" s="69" t="s">
        <v>141</v>
      </c>
      <c r="BF18" s="69"/>
      <c r="CY18" s="69" t="s">
        <v>141</v>
      </c>
      <c r="DT18" s="69" t="s">
        <v>141</v>
      </c>
      <c r="EO18" s="69" t="s">
        <v>141</v>
      </c>
      <c r="FJ18" s="69" t="s">
        <v>141</v>
      </c>
    </row>
    <row r="19" spans="1:334" x14ac:dyDescent="0.2">
      <c r="A19" s="71"/>
      <c r="B19" s="71"/>
      <c r="C19" s="70"/>
    </row>
    <row r="20" spans="1:334" ht="17" x14ac:dyDescent="0.2">
      <c r="A20" s="71"/>
      <c r="B20" s="71"/>
      <c r="C20" s="70"/>
      <c r="R20" s="23"/>
      <c r="S20" s="23"/>
      <c r="T20" s="23"/>
    </row>
    <row r="21" spans="1:334" ht="17" x14ac:dyDescent="0.2">
      <c r="A21" s="71"/>
      <c r="B21" s="71"/>
      <c r="C21" s="70"/>
      <c r="R21" s="23"/>
      <c r="S21" s="23"/>
      <c r="T21" s="23"/>
    </row>
    <row r="22" spans="1:334" ht="17" x14ac:dyDescent="0.2">
      <c r="R22" s="23"/>
      <c r="S22" s="23"/>
      <c r="T22" s="23"/>
    </row>
    <row r="23" spans="1:334" ht="17" x14ac:dyDescent="0.2">
      <c r="R23" s="23"/>
      <c r="S23" s="23"/>
      <c r="T23" s="23"/>
    </row>
    <row r="24" spans="1:334" ht="17" x14ac:dyDescent="0.2">
      <c r="R24" s="23"/>
      <c r="S24" s="23"/>
      <c r="T24" s="23"/>
    </row>
    <row r="25" spans="1:334" ht="17" x14ac:dyDescent="0.2">
      <c r="R25" s="23"/>
      <c r="S25" s="23"/>
      <c r="T25" s="23"/>
    </row>
    <row r="26" spans="1:334" ht="17" x14ac:dyDescent="0.2">
      <c r="R26" s="23"/>
      <c r="S26" s="23"/>
      <c r="T26" s="23"/>
    </row>
    <row r="27" spans="1:334" ht="17" x14ac:dyDescent="0.2">
      <c r="R27" s="23"/>
      <c r="S27" s="23"/>
      <c r="T27" s="23"/>
    </row>
    <row r="28" spans="1:334" ht="17" x14ac:dyDescent="0.2">
      <c r="R28" s="23"/>
      <c r="S28" s="23"/>
      <c r="T28" s="23"/>
    </row>
    <row r="29" spans="1:334" ht="17" x14ac:dyDescent="0.2">
      <c r="R29" s="23"/>
      <c r="S29" s="23"/>
      <c r="T29" s="23"/>
    </row>
    <row r="30" spans="1:334" ht="17" x14ac:dyDescent="0.2">
      <c r="R30" s="23"/>
      <c r="S30" s="23"/>
      <c r="T30" s="23"/>
    </row>
    <row r="31" spans="1:334" ht="17" x14ac:dyDescent="0.2">
      <c r="R31" s="23"/>
      <c r="S31" s="23"/>
      <c r="T31" s="23"/>
    </row>
    <row r="32" spans="1:334" ht="17" x14ac:dyDescent="0.2">
      <c r="R32" s="23"/>
      <c r="S32" s="23"/>
      <c r="T32" s="23"/>
    </row>
    <row r="33" spans="18:20" ht="17" x14ac:dyDescent="0.2">
      <c r="R33" s="23"/>
      <c r="S33" s="23"/>
      <c r="T33" s="23"/>
    </row>
    <row r="34" spans="18:20" ht="17" x14ac:dyDescent="0.2">
      <c r="R34" s="23"/>
      <c r="S34" s="23"/>
      <c r="T34" s="23"/>
    </row>
    <row r="35" spans="18:20" ht="17" x14ac:dyDescent="0.2">
      <c r="R35" s="23"/>
      <c r="S35" s="23"/>
      <c r="T35" s="23"/>
    </row>
    <row r="36" spans="18:20" ht="17" x14ac:dyDescent="0.2">
      <c r="R36" s="23"/>
      <c r="S36" s="23"/>
      <c r="T36" s="23"/>
    </row>
    <row r="37" spans="18:20" ht="17" x14ac:dyDescent="0.2">
      <c r="R37" s="23"/>
      <c r="S37" s="23"/>
      <c r="T37" s="23"/>
    </row>
    <row r="38" spans="18:20" ht="17" x14ac:dyDescent="0.2">
      <c r="R38" s="23"/>
      <c r="S38" s="23"/>
      <c r="T38" s="23"/>
    </row>
    <row r="39" spans="18:20" ht="17" x14ac:dyDescent="0.2">
      <c r="R39" s="23"/>
      <c r="S39" s="23"/>
      <c r="T39" s="23"/>
    </row>
  </sheetData>
  <sheetProtection sheet="1" formatCells="0" formatColumns="0" formatRows="0"/>
  <autoFilter ref="A1:LZ3" xr:uid="{00000000-0009-0000-0000-000004000000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3" showButton="0"/>
    <filterColumn colId="84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sortState ref="A6:LZ9">
      <sortCondition descending="1" ref="F1:F5"/>
    </sortState>
  </autoFilter>
  <mergeCells count="81">
    <mergeCell ref="DD1:DX1"/>
    <mergeCell ref="CS2:CW2"/>
    <mergeCell ref="DD2:DH2"/>
    <mergeCell ref="DI2:DM2"/>
    <mergeCell ref="DN2:DR2"/>
    <mergeCell ref="CF1:CH1"/>
    <mergeCell ref="CI1:DC1"/>
    <mergeCell ref="N1:N3"/>
    <mergeCell ref="P1:P3"/>
    <mergeCell ref="R1:R3"/>
    <mergeCell ref="U1:AO1"/>
    <mergeCell ref="AP1:BJ1"/>
    <mergeCell ref="BK1:CE1"/>
    <mergeCell ref="BK2:BO2"/>
    <mergeCell ref="BP2:BT2"/>
    <mergeCell ref="BU2:BY2"/>
    <mergeCell ref="CI2:CM2"/>
    <mergeCell ref="CN2:CR2"/>
    <mergeCell ref="Z2:AD2"/>
    <mergeCell ref="AE2:AI2"/>
    <mergeCell ref="AP2:AT2"/>
    <mergeCell ref="T1:T3"/>
    <mergeCell ref="U2:Y2"/>
    <mergeCell ref="M1:M3"/>
    <mergeCell ref="K1:K3"/>
    <mergeCell ref="O1:O3"/>
    <mergeCell ref="Q1:Q3"/>
    <mergeCell ref="S1:S3"/>
    <mergeCell ref="E1:E3"/>
    <mergeCell ref="A1:A3"/>
    <mergeCell ref="B1:B3"/>
    <mergeCell ref="C1:C3"/>
    <mergeCell ref="D1:D3"/>
    <mergeCell ref="F1:F3"/>
    <mergeCell ref="DY1:ES1"/>
    <mergeCell ref="ET1:FN1"/>
    <mergeCell ref="DY2:EC2"/>
    <mergeCell ref="ED2:EH2"/>
    <mergeCell ref="EI2:EM2"/>
    <mergeCell ref="ET2:EX2"/>
    <mergeCell ref="EY2:FC2"/>
    <mergeCell ref="FD2:FH2"/>
    <mergeCell ref="AU2:AY2"/>
    <mergeCell ref="AZ2:BD2"/>
    <mergeCell ref="G1:G3"/>
    <mergeCell ref="H1:H3"/>
    <mergeCell ref="I1:I3"/>
    <mergeCell ref="J1:J3"/>
    <mergeCell ref="L1:L3"/>
    <mergeCell ref="FO1:GI1"/>
    <mergeCell ref="GJ1:HD1"/>
    <mergeCell ref="FO2:FS2"/>
    <mergeCell ref="FT2:FX2"/>
    <mergeCell ref="FY2:GC2"/>
    <mergeCell ref="GJ2:GN2"/>
    <mergeCell ref="GO2:GS2"/>
    <mergeCell ref="GT2:GX2"/>
    <mergeCell ref="HE1:HY1"/>
    <mergeCell ref="HZ1:IT1"/>
    <mergeCell ref="HE2:HI2"/>
    <mergeCell ref="HJ2:HN2"/>
    <mergeCell ref="HO2:HS2"/>
    <mergeCell ref="HZ2:ID2"/>
    <mergeCell ref="IE2:II2"/>
    <mergeCell ref="IJ2:IN2"/>
    <mergeCell ref="LF1:LZ1"/>
    <mergeCell ref="KK2:KO2"/>
    <mergeCell ref="KP2:KT2"/>
    <mergeCell ref="KU2:KY2"/>
    <mergeCell ref="LF2:LJ2"/>
    <mergeCell ref="LK2:LO2"/>
    <mergeCell ref="LP2:LT2"/>
    <mergeCell ref="KK1:LE1"/>
    <mergeCell ref="IU1:JO1"/>
    <mergeCell ref="JP1:KJ1"/>
    <mergeCell ref="IU2:IY2"/>
    <mergeCell ref="IZ2:JD2"/>
    <mergeCell ref="JE2:JI2"/>
    <mergeCell ref="JP2:JT2"/>
    <mergeCell ref="JU2:JY2"/>
    <mergeCell ref="JZ2:KD2"/>
  </mergeCells>
  <conditionalFormatting sqref="A1:A1048576">
    <cfRule type="expression" dxfId="99" priority="29">
      <formula>AND(H1="P",F1="")</formula>
    </cfRule>
  </conditionalFormatting>
  <conditionalFormatting sqref="I1:I1048576">
    <cfRule type="containsText" dxfId="98" priority="30" operator="containsText" text="Merit">
      <formula>NOT(ISERROR(SEARCH("Merit",I1)))</formula>
    </cfRule>
    <cfRule type="containsText" dxfId="97" priority="31" operator="containsText" text="Funding">
      <formula>NOT(ISERROR(SEARCH("Funding",I1)))</formula>
    </cfRule>
    <cfRule type="containsText" dxfId="96" priority="32" operator="containsText" text="Worlds Team">
      <formula>NOT(ISERROR(SEARCH("Worlds Team",I1)))</formula>
    </cfRule>
    <cfRule type="containsText" dxfId="95" priority="171" operator="containsText" text="National Team">
      <formula>NOT(ISERROR(SEARCH("National Team",I1)))</formula>
    </cfRule>
  </conditionalFormatting>
  <conditionalFormatting sqref="K1:K1048576">
    <cfRule type="expression" dxfId="94" priority="331">
      <formula>IF(J1=CC1,1,0)</formula>
    </cfRule>
    <cfRule type="expression" dxfId="93" priority="332">
      <formula>IF(J1=BH1,1,0)</formula>
    </cfRule>
    <cfRule type="expression" dxfId="92" priority="333">
      <formula>IF(J1=AM1,1,0)</formula>
    </cfRule>
  </conditionalFormatting>
  <conditionalFormatting sqref="M1:M1048576">
    <cfRule type="expression" dxfId="91" priority="334">
      <formula>IF(L1=CA1,1,0)</formula>
    </cfRule>
    <cfRule type="expression" dxfId="90" priority="335">
      <formula>IF(L1=BF1,1,0)</formula>
    </cfRule>
    <cfRule type="expression" dxfId="89" priority="336">
      <formula>IF(L1=AK1,1,0)</formula>
    </cfRule>
  </conditionalFormatting>
  <conditionalFormatting sqref="Q1:Q1048576 O1:O1048576">
    <cfRule type="expression" dxfId="88" priority="337">
      <formula>IF(N1=CB1,1,0)</formula>
    </cfRule>
    <cfRule type="expression" dxfId="87" priority="338">
      <formula>IF(N1=BG1,1,0)</formula>
    </cfRule>
    <cfRule type="expression" dxfId="86" priority="525">
      <formula>IF(N1=AL1,1,0)</formula>
    </cfRule>
  </conditionalFormatting>
  <conditionalFormatting sqref="AM1:AM1048576 BH1:BH1048576 CC1:CC1048576 DA1:DA1048576 DV1:DV1048576 EQ1:EQ1048576 FL1:FL1048576 GG1:GG1048576 HB1:HB1048576 HW1:HW1048576 IR1:IR1048576 JM1:JM1048576 KH1:KH1048576 LC1:LC1048576 LX1:LX1048576">
    <cfRule type="cellIs" dxfId="85" priority="2043" operator="between">
      <formula>AK$17</formula>
      <formula>1000</formula>
    </cfRule>
    <cfRule type="cellIs" dxfId="84" priority="2044" operator="between">
      <formula>AK$16</formula>
      <formula>AK$17</formula>
    </cfRule>
    <cfRule type="cellIs" dxfId="83" priority="2045" operator="between">
      <formula>AK$15</formula>
      <formula>AK$16</formula>
    </cfRule>
    <cfRule type="cellIs" dxfId="82" priority="2046" operator="between">
      <formula>AK$14</formula>
      <formula>AK$15</formula>
    </cfRule>
  </conditionalFormatting>
  <conditionalFormatting sqref="LU1:LU1048576 KZ1:KZ1048576 KE1:KE1048576 JJ1:JJ1048576 IO1:IO1048576 HT1:HT1048576 GY1:GY1048576 GD1:GD1048576 FI1:FI1048576 EN1:EN1048576 DS1:DS1048576 CX1:CX1048576 BZ1:BZ1048576 BE1:BE1048576 AJ1:AJ1048576">
    <cfRule type="cellIs" dxfId="81" priority="2271" operator="between">
      <formula>AK$13</formula>
      <formula>100</formula>
    </cfRule>
    <cfRule type="cellIs" dxfId="80" priority="2272" operator="between">
      <formula>AK$12</formula>
      <formula>AK$13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ND40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6.33203125" customWidth="1"/>
    <col min="6" max="6" width="16.1640625" customWidth="1"/>
    <col min="7" max="7" width="15.1640625" customWidth="1"/>
    <col min="9" max="9" width="13.33203125" bestFit="1" customWidth="1"/>
    <col min="11" max="11" width="20.5" bestFit="1" customWidth="1"/>
    <col min="13" max="13" width="20.5" bestFit="1" customWidth="1"/>
    <col min="15" max="15" width="20.5" bestFit="1" customWidth="1"/>
    <col min="17" max="17" width="20.5" bestFit="1" customWidth="1"/>
    <col min="18" max="18" width="24.6640625" bestFit="1" customWidth="1"/>
    <col min="19" max="19" width="13" bestFit="1" customWidth="1"/>
    <col min="20" max="20" width="29.5" bestFit="1" customWidth="1"/>
    <col min="21" max="36" width="10.83203125" hidden="1" customWidth="1"/>
    <col min="37" max="43" width="10.83203125" customWidth="1"/>
    <col min="44" max="59" width="10.83203125" hidden="1" customWidth="1"/>
    <col min="60" max="66" width="10.83203125" customWidth="1"/>
    <col min="67" max="82" width="10.83203125" hidden="1" customWidth="1"/>
    <col min="83" max="89" width="10.83203125" customWidth="1"/>
    <col min="93" max="108" width="10.83203125" hidden="1" customWidth="1"/>
    <col min="109" max="115" width="10.83203125" customWidth="1"/>
    <col min="116" max="131" width="10.83203125" hidden="1" customWidth="1"/>
    <col min="132" max="138" width="10.83203125" customWidth="1"/>
    <col min="139" max="154" width="10.83203125" hidden="1" customWidth="1"/>
    <col min="155" max="161" width="10.83203125" customWidth="1"/>
    <col min="162" max="177" width="10.83203125" hidden="1" customWidth="1"/>
    <col min="178" max="184" width="10.83203125" customWidth="1"/>
    <col min="185" max="200" width="10.83203125" hidden="1" customWidth="1"/>
    <col min="201" max="207" width="10.83203125" customWidth="1"/>
    <col min="208" max="223" width="10.83203125" hidden="1" customWidth="1"/>
    <col min="224" max="230" width="10.83203125" customWidth="1"/>
    <col min="231" max="246" width="10.83203125" hidden="1" customWidth="1"/>
    <col min="247" max="253" width="10.83203125" customWidth="1"/>
    <col min="254" max="269" width="10.83203125" hidden="1" customWidth="1"/>
    <col min="270" max="276" width="10.83203125" customWidth="1"/>
    <col min="277" max="292" width="10.83203125" hidden="1" customWidth="1"/>
    <col min="293" max="299" width="10.83203125" customWidth="1"/>
    <col min="300" max="315" width="10.83203125" hidden="1" customWidth="1"/>
    <col min="316" max="322" width="10.83203125" customWidth="1"/>
    <col min="323" max="338" width="10.83203125" hidden="1" customWidth="1"/>
    <col min="339" max="345" width="10.83203125" customWidth="1"/>
    <col min="346" max="361" width="10.83203125" hidden="1" customWidth="1"/>
    <col min="362" max="368" width="10.83203125" customWidth="1"/>
  </cols>
  <sheetData>
    <row r="1" spans="1:368" x14ac:dyDescent="0.2">
      <c r="A1" s="101" t="s">
        <v>2</v>
      </c>
      <c r="B1" s="101" t="s">
        <v>51</v>
      </c>
      <c r="C1" s="101" t="s">
        <v>0</v>
      </c>
      <c r="D1" s="101" t="s">
        <v>1</v>
      </c>
      <c r="E1" s="101" t="s">
        <v>3</v>
      </c>
      <c r="F1" s="104" t="s">
        <v>123</v>
      </c>
      <c r="G1" s="104" t="s">
        <v>122</v>
      </c>
      <c r="H1" s="101" t="s">
        <v>22</v>
      </c>
      <c r="I1" s="101" t="s">
        <v>23</v>
      </c>
      <c r="J1" s="102" t="s">
        <v>24</v>
      </c>
      <c r="K1" s="102" t="s">
        <v>87</v>
      </c>
      <c r="L1" s="102" t="s">
        <v>77</v>
      </c>
      <c r="M1" s="102" t="s">
        <v>87</v>
      </c>
      <c r="N1" s="102" t="s">
        <v>78</v>
      </c>
      <c r="O1" s="102" t="s">
        <v>87</v>
      </c>
      <c r="P1" s="102" t="s">
        <v>27</v>
      </c>
      <c r="Q1" s="102" t="s">
        <v>87</v>
      </c>
      <c r="R1" s="103" t="s">
        <v>28</v>
      </c>
      <c r="S1" s="102" t="s">
        <v>90</v>
      </c>
      <c r="T1" s="102" t="s">
        <v>87</v>
      </c>
      <c r="U1" s="97" t="s">
        <v>92</v>
      </c>
      <c r="V1" s="97"/>
      <c r="W1" s="97"/>
      <c r="X1" s="97"/>
      <c r="Y1" s="97"/>
      <c r="Z1" s="97"/>
      <c r="AA1" s="97"/>
      <c r="AB1" s="97"/>
      <c r="AC1" s="97"/>
      <c r="AD1" s="97"/>
      <c r="AE1" s="97"/>
      <c r="AF1" s="97"/>
      <c r="AG1" s="97"/>
      <c r="AH1" s="97"/>
      <c r="AI1" s="97"/>
      <c r="AJ1" s="97"/>
      <c r="AK1" s="97"/>
      <c r="AL1" s="97"/>
      <c r="AM1" s="97"/>
      <c r="AN1" s="97"/>
      <c r="AO1" s="97"/>
      <c r="AP1" s="97"/>
      <c r="AQ1" s="97"/>
      <c r="AR1" s="96" t="s">
        <v>124</v>
      </c>
      <c r="AS1" s="96"/>
      <c r="AT1" s="96"/>
      <c r="AU1" s="96"/>
      <c r="AV1" s="96"/>
      <c r="AW1" s="96"/>
      <c r="AX1" s="96"/>
      <c r="AY1" s="96"/>
      <c r="AZ1" s="96"/>
      <c r="BA1" s="96"/>
      <c r="BB1" s="96"/>
      <c r="BC1" s="96"/>
      <c r="BD1" s="96"/>
      <c r="BE1" s="96"/>
      <c r="BF1" s="96"/>
      <c r="BG1" s="96"/>
      <c r="BH1" s="96"/>
      <c r="BI1" s="96"/>
      <c r="BJ1" s="96"/>
      <c r="BK1" s="96"/>
      <c r="BL1" s="96"/>
      <c r="BM1" s="96"/>
      <c r="BN1" s="96"/>
      <c r="BO1" s="97" t="s">
        <v>142</v>
      </c>
      <c r="BP1" s="97"/>
      <c r="BQ1" s="97"/>
      <c r="BR1" s="97"/>
      <c r="BS1" s="97"/>
      <c r="BT1" s="97"/>
      <c r="BU1" s="97"/>
      <c r="BV1" s="97"/>
      <c r="BW1" s="97"/>
      <c r="BX1" s="97"/>
      <c r="BY1" s="97"/>
      <c r="BZ1" s="97"/>
      <c r="CA1" s="97"/>
      <c r="CB1" s="97"/>
      <c r="CC1" s="97"/>
      <c r="CD1" s="97"/>
      <c r="CE1" s="97"/>
      <c r="CF1" s="97"/>
      <c r="CG1" s="97"/>
      <c r="CH1" s="97"/>
      <c r="CI1" s="97"/>
      <c r="CJ1" s="97"/>
      <c r="CK1" s="97"/>
      <c r="CL1" s="100" t="s">
        <v>28</v>
      </c>
      <c r="CM1" s="100"/>
      <c r="CN1" s="100"/>
      <c r="CO1" s="97" t="s">
        <v>89</v>
      </c>
      <c r="CP1" s="97"/>
      <c r="CQ1" s="97"/>
      <c r="CR1" s="97"/>
      <c r="CS1" s="97"/>
      <c r="CT1" s="97"/>
      <c r="CU1" s="97"/>
      <c r="CV1" s="97"/>
      <c r="CW1" s="97"/>
      <c r="CX1" s="97"/>
      <c r="CY1" s="97"/>
      <c r="CZ1" s="97"/>
      <c r="DA1" s="97"/>
      <c r="DB1" s="97"/>
      <c r="DC1" s="97"/>
      <c r="DD1" s="97"/>
      <c r="DE1" s="97"/>
      <c r="DF1" s="97"/>
      <c r="DG1" s="97"/>
      <c r="DH1" s="97"/>
      <c r="DI1" s="97"/>
      <c r="DJ1" s="97"/>
      <c r="DK1" s="97"/>
      <c r="DL1" s="96" t="s">
        <v>102</v>
      </c>
      <c r="DM1" s="96"/>
      <c r="DN1" s="96"/>
      <c r="DO1" s="96"/>
      <c r="DP1" s="96"/>
      <c r="DQ1" s="96"/>
      <c r="DR1" s="96"/>
      <c r="DS1" s="96"/>
      <c r="DT1" s="96"/>
      <c r="DU1" s="96"/>
      <c r="DV1" s="96"/>
      <c r="DW1" s="96"/>
      <c r="DX1" s="96"/>
      <c r="DY1" s="96"/>
      <c r="DZ1" s="96"/>
      <c r="EA1" s="96"/>
      <c r="EB1" s="96"/>
      <c r="EC1" s="96"/>
      <c r="ED1" s="96"/>
      <c r="EE1" s="96"/>
      <c r="EF1" s="96"/>
      <c r="EG1" s="96"/>
      <c r="EH1" s="96"/>
      <c r="EI1" s="97" t="s">
        <v>116</v>
      </c>
      <c r="EJ1" s="97"/>
      <c r="EK1" s="97"/>
      <c r="EL1" s="97"/>
      <c r="EM1" s="97"/>
      <c r="EN1" s="97"/>
      <c r="EO1" s="97"/>
      <c r="EP1" s="97"/>
      <c r="EQ1" s="97"/>
      <c r="ER1" s="97"/>
      <c r="ES1" s="97"/>
      <c r="ET1" s="97"/>
      <c r="EU1" s="97"/>
      <c r="EV1" s="97"/>
      <c r="EW1" s="97"/>
      <c r="EX1" s="97"/>
      <c r="EY1" s="97"/>
      <c r="EZ1" s="97"/>
      <c r="FA1" s="97"/>
      <c r="FB1" s="97"/>
      <c r="FC1" s="97"/>
      <c r="FD1" s="97"/>
      <c r="FE1" s="97"/>
      <c r="FF1" s="96"/>
      <c r="FG1" s="96"/>
      <c r="FH1" s="96"/>
      <c r="FI1" s="96"/>
      <c r="FJ1" s="96"/>
      <c r="FK1" s="96"/>
      <c r="FL1" s="96"/>
      <c r="FM1" s="96"/>
      <c r="FN1" s="96"/>
      <c r="FO1" s="96"/>
      <c r="FP1" s="96"/>
      <c r="FQ1" s="96"/>
      <c r="FR1" s="96"/>
      <c r="FS1" s="96"/>
      <c r="FT1" s="96"/>
      <c r="FU1" s="96"/>
      <c r="FV1" s="96"/>
      <c r="FW1" s="96"/>
      <c r="FX1" s="96"/>
      <c r="FY1" s="96"/>
      <c r="FZ1" s="96"/>
      <c r="GA1" s="96"/>
      <c r="GB1" s="96"/>
      <c r="GC1" s="97"/>
      <c r="GD1" s="97"/>
      <c r="GE1" s="97"/>
      <c r="GF1" s="97"/>
      <c r="GG1" s="97"/>
      <c r="GH1" s="97"/>
      <c r="GI1" s="97"/>
      <c r="GJ1" s="97"/>
      <c r="GK1" s="97"/>
      <c r="GL1" s="97"/>
      <c r="GM1" s="97"/>
      <c r="GN1" s="97"/>
      <c r="GO1" s="97"/>
      <c r="GP1" s="97"/>
      <c r="GQ1" s="97"/>
      <c r="GR1" s="97"/>
      <c r="GS1" s="97"/>
      <c r="GT1" s="97"/>
      <c r="GU1" s="97"/>
      <c r="GV1" s="97"/>
      <c r="GW1" s="97"/>
      <c r="GX1" s="97"/>
      <c r="GY1" s="97"/>
      <c r="GZ1" s="96"/>
      <c r="HA1" s="96"/>
      <c r="HB1" s="96"/>
      <c r="HC1" s="96"/>
      <c r="HD1" s="96"/>
      <c r="HE1" s="96"/>
      <c r="HF1" s="96"/>
      <c r="HG1" s="96"/>
      <c r="HH1" s="96"/>
      <c r="HI1" s="96"/>
      <c r="HJ1" s="96"/>
      <c r="HK1" s="96"/>
      <c r="HL1" s="96"/>
      <c r="HM1" s="96"/>
      <c r="HN1" s="96"/>
      <c r="HO1" s="96"/>
      <c r="HP1" s="96"/>
      <c r="HQ1" s="96"/>
      <c r="HR1" s="96"/>
      <c r="HS1" s="96"/>
      <c r="HT1" s="96"/>
      <c r="HU1" s="96"/>
      <c r="HV1" s="96"/>
      <c r="HW1" s="97"/>
      <c r="HX1" s="97"/>
      <c r="HY1" s="97"/>
      <c r="HZ1" s="97"/>
      <c r="IA1" s="97"/>
      <c r="IB1" s="97"/>
      <c r="IC1" s="97"/>
      <c r="ID1" s="97"/>
      <c r="IE1" s="97"/>
      <c r="IF1" s="97"/>
      <c r="IG1" s="97"/>
      <c r="IH1" s="97"/>
      <c r="II1" s="97"/>
      <c r="IJ1" s="97"/>
      <c r="IK1" s="97"/>
      <c r="IL1" s="97"/>
      <c r="IM1" s="97"/>
      <c r="IN1" s="97"/>
      <c r="IO1" s="97"/>
      <c r="IP1" s="97"/>
      <c r="IQ1" s="97"/>
      <c r="IR1" s="97"/>
      <c r="IS1" s="97"/>
      <c r="IT1" s="96"/>
      <c r="IU1" s="96"/>
      <c r="IV1" s="96"/>
      <c r="IW1" s="96"/>
      <c r="IX1" s="96"/>
      <c r="IY1" s="96"/>
      <c r="IZ1" s="96"/>
      <c r="JA1" s="96"/>
      <c r="JB1" s="96"/>
      <c r="JC1" s="96"/>
      <c r="JD1" s="96"/>
      <c r="JE1" s="96"/>
      <c r="JF1" s="96"/>
      <c r="JG1" s="96"/>
      <c r="JH1" s="96"/>
      <c r="JI1" s="96"/>
      <c r="JJ1" s="96"/>
      <c r="JK1" s="96"/>
      <c r="JL1" s="96"/>
      <c r="JM1" s="96"/>
      <c r="JN1" s="96"/>
      <c r="JO1" s="96"/>
      <c r="JP1" s="96"/>
      <c r="JQ1" s="97"/>
      <c r="JR1" s="97"/>
      <c r="JS1" s="97"/>
      <c r="JT1" s="97"/>
      <c r="JU1" s="97"/>
      <c r="JV1" s="97"/>
      <c r="JW1" s="97"/>
      <c r="JX1" s="97"/>
      <c r="JY1" s="97"/>
      <c r="JZ1" s="97"/>
      <c r="KA1" s="97"/>
      <c r="KB1" s="97"/>
      <c r="KC1" s="97"/>
      <c r="KD1" s="97"/>
      <c r="KE1" s="97"/>
      <c r="KF1" s="97"/>
      <c r="KG1" s="97"/>
      <c r="KH1" s="97"/>
      <c r="KI1" s="97"/>
      <c r="KJ1" s="97"/>
      <c r="KK1" s="97"/>
      <c r="KL1" s="97"/>
      <c r="KM1" s="97"/>
      <c r="KN1" s="96"/>
      <c r="KO1" s="96"/>
      <c r="KP1" s="96"/>
      <c r="KQ1" s="96"/>
      <c r="KR1" s="96"/>
      <c r="KS1" s="96"/>
      <c r="KT1" s="96"/>
      <c r="KU1" s="96"/>
      <c r="KV1" s="96"/>
      <c r="KW1" s="96"/>
      <c r="KX1" s="96"/>
      <c r="KY1" s="96"/>
      <c r="KZ1" s="96"/>
      <c r="LA1" s="96"/>
      <c r="LB1" s="96"/>
      <c r="LC1" s="96"/>
      <c r="LD1" s="96"/>
      <c r="LE1" s="96"/>
      <c r="LF1" s="96"/>
      <c r="LG1" s="96"/>
      <c r="LH1" s="96"/>
      <c r="LI1" s="96"/>
      <c r="LJ1" s="96"/>
      <c r="LK1" s="97"/>
      <c r="LL1" s="97"/>
      <c r="LM1" s="97"/>
      <c r="LN1" s="97"/>
      <c r="LO1" s="97"/>
      <c r="LP1" s="97"/>
      <c r="LQ1" s="97"/>
      <c r="LR1" s="97"/>
      <c r="LS1" s="97"/>
      <c r="LT1" s="97"/>
      <c r="LU1" s="97"/>
      <c r="LV1" s="97"/>
      <c r="LW1" s="97"/>
      <c r="LX1" s="97"/>
      <c r="LY1" s="97"/>
      <c r="LZ1" s="97"/>
      <c r="MA1" s="97"/>
      <c r="MB1" s="97"/>
      <c r="MC1" s="97"/>
      <c r="MD1" s="97"/>
      <c r="ME1" s="97"/>
      <c r="MF1" s="97"/>
      <c r="MG1" s="97"/>
      <c r="MH1" s="96"/>
      <c r="MI1" s="96"/>
      <c r="MJ1" s="96"/>
      <c r="MK1" s="96"/>
      <c r="ML1" s="96"/>
      <c r="MM1" s="96"/>
      <c r="MN1" s="96"/>
      <c r="MO1" s="96"/>
      <c r="MP1" s="96"/>
      <c r="MQ1" s="96"/>
      <c r="MR1" s="96"/>
      <c r="MS1" s="96"/>
      <c r="MT1" s="96"/>
      <c r="MU1" s="96"/>
      <c r="MV1" s="96"/>
      <c r="MW1" s="96"/>
      <c r="MX1" s="96"/>
      <c r="MY1" s="96"/>
      <c r="MZ1" s="96"/>
      <c r="NA1" s="96"/>
      <c r="NB1" s="96"/>
      <c r="NC1" s="96"/>
      <c r="ND1" s="96"/>
    </row>
    <row r="2" spans="1:368" x14ac:dyDescent="0.2">
      <c r="A2" s="101"/>
      <c r="B2" s="101"/>
      <c r="C2" s="101"/>
      <c r="D2" s="101"/>
      <c r="E2" s="101"/>
      <c r="F2" s="104"/>
      <c r="G2" s="104"/>
      <c r="H2" s="101"/>
      <c r="I2" s="101"/>
      <c r="J2" s="102"/>
      <c r="K2" s="102"/>
      <c r="L2" s="102"/>
      <c r="M2" s="102"/>
      <c r="N2" s="102"/>
      <c r="O2" s="102"/>
      <c r="P2" s="102"/>
      <c r="Q2" s="102"/>
      <c r="R2" s="103"/>
      <c r="S2" s="102"/>
      <c r="T2" s="102"/>
      <c r="U2" s="98" t="s">
        <v>56</v>
      </c>
      <c r="V2" s="98"/>
      <c r="W2" s="98"/>
      <c r="X2" s="98"/>
      <c r="Y2" s="98" t="s">
        <v>59</v>
      </c>
      <c r="Z2" s="98"/>
      <c r="AA2" s="98"/>
      <c r="AB2" s="98"/>
      <c r="AC2" s="98" t="s">
        <v>60</v>
      </c>
      <c r="AD2" s="98"/>
      <c r="AE2" s="98"/>
      <c r="AF2" s="98"/>
      <c r="AG2" s="107" t="s">
        <v>61</v>
      </c>
      <c r="AH2" s="107"/>
      <c r="AI2" s="107"/>
      <c r="AJ2" s="107"/>
      <c r="AK2" s="73" t="s">
        <v>40</v>
      </c>
      <c r="AL2" s="73" t="s">
        <v>81</v>
      </c>
      <c r="AM2" s="11" t="s">
        <v>56</v>
      </c>
      <c r="AN2" s="11" t="s">
        <v>59</v>
      </c>
      <c r="AO2" s="11" t="s">
        <v>38</v>
      </c>
      <c r="AP2" s="11" t="s">
        <v>37</v>
      </c>
      <c r="AQ2" s="11" t="s">
        <v>32</v>
      </c>
      <c r="AR2" s="99" t="s">
        <v>56</v>
      </c>
      <c r="AS2" s="99"/>
      <c r="AT2" s="99"/>
      <c r="AU2" s="99"/>
      <c r="AV2" s="99" t="s">
        <v>59</v>
      </c>
      <c r="AW2" s="99"/>
      <c r="AX2" s="99"/>
      <c r="AY2" s="99"/>
      <c r="AZ2" s="99" t="s">
        <v>60</v>
      </c>
      <c r="BA2" s="99"/>
      <c r="BB2" s="99"/>
      <c r="BC2" s="99"/>
      <c r="BD2" s="106" t="s">
        <v>61</v>
      </c>
      <c r="BE2" s="106"/>
      <c r="BF2" s="106"/>
      <c r="BG2" s="106"/>
      <c r="BH2" s="72" t="s">
        <v>40</v>
      </c>
      <c r="BI2" s="72" t="s">
        <v>81</v>
      </c>
      <c r="BJ2" s="14" t="s">
        <v>56</v>
      </c>
      <c r="BK2" s="14" t="s">
        <v>59</v>
      </c>
      <c r="BL2" s="14" t="s">
        <v>38</v>
      </c>
      <c r="BM2" s="14" t="s">
        <v>37</v>
      </c>
      <c r="BN2" s="14" t="s">
        <v>32</v>
      </c>
      <c r="BO2" s="98" t="s">
        <v>56</v>
      </c>
      <c r="BP2" s="98"/>
      <c r="BQ2" s="98"/>
      <c r="BR2" s="98"/>
      <c r="BS2" s="98" t="s">
        <v>59</v>
      </c>
      <c r="BT2" s="98"/>
      <c r="BU2" s="98"/>
      <c r="BV2" s="98"/>
      <c r="BW2" s="98" t="s">
        <v>60</v>
      </c>
      <c r="BX2" s="98"/>
      <c r="BY2" s="98"/>
      <c r="BZ2" s="98"/>
      <c r="CA2" s="108" t="s">
        <v>61</v>
      </c>
      <c r="CB2" s="108"/>
      <c r="CC2" s="108"/>
      <c r="CD2" s="108"/>
      <c r="CE2" s="22" t="s">
        <v>40</v>
      </c>
      <c r="CF2" s="22" t="s">
        <v>81</v>
      </c>
      <c r="CG2" s="11" t="s">
        <v>56</v>
      </c>
      <c r="CH2" s="11" t="s">
        <v>59</v>
      </c>
      <c r="CI2" s="11" t="s">
        <v>38</v>
      </c>
      <c r="CJ2" s="11" t="s">
        <v>37</v>
      </c>
      <c r="CK2" s="11" t="s">
        <v>32</v>
      </c>
      <c r="CL2" s="28" t="s">
        <v>56</v>
      </c>
      <c r="CM2" s="28" t="s">
        <v>59</v>
      </c>
      <c r="CN2" s="28" t="s">
        <v>37</v>
      </c>
      <c r="CO2" s="98" t="s">
        <v>56</v>
      </c>
      <c r="CP2" s="98"/>
      <c r="CQ2" s="98"/>
      <c r="CR2" s="98"/>
      <c r="CS2" s="98" t="s">
        <v>59</v>
      </c>
      <c r="CT2" s="98"/>
      <c r="CU2" s="98"/>
      <c r="CV2" s="98"/>
      <c r="CW2" s="98" t="s">
        <v>60</v>
      </c>
      <c r="CX2" s="98"/>
      <c r="CY2" s="98"/>
      <c r="CZ2" s="98"/>
      <c r="DA2" s="105" t="s">
        <v>61</v>
      </c>
      <c r="DB2" s="105"/>
      <c r="DC2" s="105"/>
      <c r="DD2" s="105"/>
      <c r="DE2" s="73" t="s">
        <v>40</v>
      </c>
      <c r="DF2" s="73" t="s">
        <v>81</v>
      </c>
      <c r="DG2" s="11" t="s">
        <v>56</v>
      </c>
      <c r="DH2" s="11" t="s">
        <v>59</v>
      </c>
      <c r="DI2" s="11" t="s">
        <v>38</v>
      </c>
      <c r="DJ2" s="11" t="s">
        <v>37</v>
      </c>
      <c r="DK2" s="11" t="s">
        <v>32</v>
      </c>
      <c r="DL2" s="99" t="s">
        <v>56</v>
      </c>
      <c r="DM2" s="99"/>
      <c r="DN2" s="99"/>
      <c r="DO2" s="99"/>
      <c r="DP2" s="99" t="s">
        <v>59</v>
      </c>
      <c r="DQ2" s="99"/>
      <c r="DR2" s="99"/>
      <c r="DS2" s="99"/>
      <c r="DT2" s="99" t="s">
        <v>60</v>
      </c>
      <c r="DU2" s="99"/>
      <c r="DV2" s="99"/>
      <c r="DW2" s="99"/>
      <c r="DX2" s="106" t="s">
        <v>61</v>
      </c>
      <c r="DY2" s="106"/>
      <c r="DZ2" s="106"/>
      <c r="EA2" s="106"/>
      <c r="EB2" s="72" t="s">
        <v>40</v>
      </c>
      <c r="EC2" s="72" t="s">
        <v>81</v>
      </c>
      <c r="ED2" s="14" t="s">
        <v>56</v>
      </c>
      <c r="EE2" s="14" t="s">
        <v>59</v>
      </c>
      <c r="EF2" s="14" t="s">
        <v>38</v>
      </c>
      <c r="EG2" s="14" t="s">
        <v>37</v>
      </c>
      <c r="EH2" s="14" t="s">
        <v>32</v>
      </c>
      <c r="EI2" s="98" t="s">
        <v>56</v>
      </c>
      <c r="EJ2" s="98"/>
      <c r="EK2" s="98"/>
      <c r="EL2" s="98"/>
      <c r="EM2" s="98" t="s">
        <v>59</v>
      </c>
      <c r="EN2" s="98"/>
      <c r="EO2" s="98"/>
      <c r="EP2" s="98"/>
      <c r="EQ2" s="98" t="s">
        <v>60</v>
      </c>
      <c r="ER2" s="98"/>
      <c r="ES2" s="98"/>
      <c r="ET2" s="98"/>
      <c r="EU2" s="105" t="s">
        <v>61</v>
      </c>
      <c r="EV2" s="105"/>
      <c r="EW2" s="105"/>
      <c r="EX2" s="105"/>
      <c r="EY2" s="73" t="s">
        <v>40</v>
      </c>
      <c r="EZ2" s="73" t="s">
        <v>81</v>
      </c>
      <c r="FA2" s="11" t="s">
        <v>56</v>
      </c>
      <c r="FB2" s="11" t="s">
        <v>59</v>
      </c>
      <c r="FC2" s="11" t="s">
        <v>38</v>
      </c>
      <c r="FD2" s="11" t="s">
        <v>37</v>
      </c>
      <c r="FE2" s="11" t="s">
        <v>32</v>
      </c>
      <c r="FF2" s="99" t="s">
        <v>56</v>
      </c>
      <c r="FG2" s="99"/>
      <c r="FH2" s="99"/>
      <c r="FI2" s="99"/>
      <c r="FJ2" s="99" t="s">
        <v>59</v>
      </c>
      <c r="FK2" s="99"/>
      <c r="FL2" s="99"/>
      <c r="FM2" s="99"/>
      <c r="FN2" s="99" t="s">
        <v>60</v>
      </c>
      <c r="FO2" s="99"/>
      <c r="FP2" s="99"/>
      <c r="FQ2" s="99"/>
      <c r="FR2" s="106" t="s">
        <v>61</v>
      </c>
      <c r="FS2" s="106"/>
      <c r="FT2" s="106"/>
      <c r="FU2" s="106"/>
      <c r="FV2" s="24" t="s">
        <v>40</v>
      </c>
      <c r="FW2" s="24" t="s">
        <v>81</v>
      </c>
      <c r="FX2" s="14" t="s">
        <v>56</v>
      </c>
      <c r="FY2" s="14" t="s">
        <v>59</v>
      </c>
      <c r="FZ2" s="14" t="s">
        <v>38</v>
      </c>
      <c r="GA2" s="14" t="s">
        <v>37</v>
      </c>
      <c r="GB2" s="14" t="s">
        <v>32</v>
      </c>
      <c r="GC2" s="98" t="s">
        <v>56</v>
      </c>
      <c r="GD2" s="98"/>
      <c r="GE2" s="98"/>
      <c r="GF2" s="98"/>
      <c r="GG2" s="98" t="s">
        <v>59</v>
      </c>
      <c r="GH2" s="98"/>
      <c r="GI2" s="98"/>
      <c r="GJ2" s="98"/>
      <c r="GK2" s="98" t="s">
        <v>60</v>
      </c>
      <c r="GL2" s="98"/>
      <c r="GM2" s="98"/>
      <c r="GN2" s="98"/>
      <c r="GO2" s="105" t="s">
        <v>61</v>
      </c>
      <c r="GP2" s="105"/>
      <c r="GQ2" s="105"/>
      <c r="GR2" s="105"/>
      <c r="GS2" s="25" t="s">
        <v>40</v>
      </c>
      <c r="GT2" s="25" t="s">
        <v>81</v>
      </c>
      <c r="GU2" s="11" t="s">
        <v>56</v>
      </c>
      <c r="GV2" s="11" t="s">
        <v>59</v>
      </c>
      <c r="GW2" s="11" t="s">
        <v>38</v>
      </c>
      <c r="GX2" s="11" t="s">
        <v>37</v>
      </c>
      <c r="GY2" s="11" t="s">
        <v>32</v>
      </c>
      <c r="GZ2" s="99" t="s">
        <v>56</v>
      </c>
      <c r="HA2" s="99"/>
      <c r="HB2" s="99"/>
      <c r="HC2" s="99"/>
      <c r="HD2" s="99" t="s">
        <v>59</v>
      </c>
      <c r="HE2" s="99"/>
      <c r="HF2" s="99"/>
      <c r="HG2" s="99"/>
      <c r="HH2" s="99" t="s">
        <v>60</v>
      </c>
      <c r="HI2" s="99"/>
      <c r="HJ2" s="99"/>
      <c r="HK2" s="99"/>
      <c r="HL2" s="106" t="s">
        <v>61</v>
      </c>
      <c r="HM2" s="106"/>
      <c r="HN2" s="106"/>
      <c r="HO2" s="106"/>
      <c r="HP2" s="24" t="s">
        <v>40</v>
      </c>
      <c r="HQ2" s="24" t="s">
        <v>81</v>
      </c>
      <c r="HR2" s="14" t="s">
        <v>56</v>
      </c>
      <c r="HS2" s="14" t="s">
        <v>59</v>
      </c>
      <c r="HT2" s="14" t="s">
        <v>38</v>
      </c>
      <c r="HU2" s="14" t="s">
        <v>37</v>
      </c>
      <c r="HV2" s="14" t="s">
        <v>32</v>
      </c>
      <c r="HW2" s="98" t="s">
        <v>56</v>
      </c>
      <c r="HX2" s="98"/>
      <c r="HY2" s="98"/>
      <c r="HZ2" s="98"/>
      <c r="IA2" s="98" t="s">
        <v>59</v>
      </c>
      <c r="IB2" s="98"/>
      <c r="IC2" s="98"/>
      <c r="ID2" s="98"/>
      <c r="IE2" s="98" t="s">
        <v>60</v>
      </c>
      <c r="IF2" s="98"/>
      <c r="IG2" s="98"/>
      <c r="IH2" s="98"/>
      <c r="II2" s="105" t="s">
        <v>61</v>
      </c>
      <c r="IJ2" s="105"/>
      <c r="IK2" s="105"/>
      <c r="IL2" s="105"/>
      <c r="IM2" s="25" t="s">
        <v>40</v>
      </c>
      <c r="IN2" s="25" t="s">
        <v>81</v>
      </c>
      <c r="IO2" s="11" t="s">
        <v>56</v>
      </c>
      <c r="IP2" s="11" t="s">
        <v>59</v>
      </c>
      <c r="IQ2" s="11" t="s">
        <v>38</v>
      </c>
      <c r="IR2" s="11" t="s">
        <v>37</v>
      </c>
      <c r="IS2" s="11" t="s">
        <v>32</v>
      </c>
      <c r="IT2" s="99" t="s">
        <v>56</v>
      </c>
      <c r="IU2" s="99"/>
      <c r="IV2" s="99"/>
      <c r="IW2" s="99"/>
      <c r="IX2" s="99" t="s">
        <v>59</v>
      </c>
      <c r="IY2" s="99"/>
      <c r="IZ2" s="99"/>
      <c r="JA2" s="99"/>
      <c r="JB2" s="99" t="s">
        <v>60</v>
      </c>
      <c r="JC2" s="99"/>
      <c r="JD2" s="99"/>
      <c r="JE2" s="99"/>
      <c r="JF2" s="106" t="s">
        <v>61</v>
      </c>
      <c r="JG2" s="106"/>
      <c r="JH2" s="106"/>
      <c r="JI2" s="106"/>
      <c r="JJ2" s="24" t="s">
        <v>40</v>
      </c>
      <c r="JK2" s="24" t="s">
        <v>81</v>
      </c>
      <c r="JL2" s="14" t="s">
        <v>56</v>
      </c>
      <c r="JM2" s="14" t="s">
        <v>59</v>
      </c>
      <c r="JN2" s="14" t="s">
        <v>38</v>
      </c>
      <c r="JO2" s="14" t="s">
        <v>37</v>
      </c>
      <c r="JP2" s="14" t="s">
        <v>32</v>
      </c>
      <c r="JQ2" s="98" t="s">
        <v>56</v>
      </c>
      <c r="JR2" s="98"/>
      <c r="JS2" s="98"/>
      <c r="JT2" s="98"/>
      <c r="JU2" s="98" t="s">
        <v>59</v>
      </c>
      <c r="JV2" s="98"/>
      <c r="JW2" s="98"/>
      <c r="JX2" s="98"/>
      <c r="JY2" s="98" t="s">
        <v>60</v>
      </c>
      <c r="JZ2" s="98"/>
      <c r="KA2" s="98"/>
      <c r="KB2" s="98"/>
      <c r="KC2" s="105" t="s">
        <v>61</v>
      </c>
      <c r="KD2" s="105"/>
      <c r="KE2" s="105"/>
      <c r="KF2" s="105"/>
      <c r="KG2" s="25" t="s">
        <v>40</v>
      </c>
      <c r="KH2" s="25" t="s">
        <v>81</v>
      </c>
      <c r="KI2" s="11" t="s">
        <v>56</v>
      </c>
      <c r="KJ2" s="11" t="s">
        <v>59</v>
      </c>
      <c r="KK2" s="11" t="s">
        <v>38</v>
      </c>
      <c r="KL2" s="11" t="s">
        <v>37</v>
      </c>
      <c r="KM2" s="11" t="s">
        <v>32</v>
      </c>
      <c r="KN2" s="99" t="s">
        <v>56</v>
      </c>
      <c r="KO2" s="99"/>
      <c r="KP2" s="99"/>
      <c r="KQ2" s="99"/>
      <c r="KR2" s="99" t="s">
        <v>59</v>
      </c>
      <c r="KS2" s="99"/>
      <c r="KT2" s="99"/>
      <c r="KU2" s="99"/>
      <c r="KV2" s="99" t="s">
        <v>60</v>
      </c>
      <c r="KW2" s="99"/>
      <c r="KX2" s="99"/>
      <c r="KY2" s="99"/>
      <c r="KZ2" s="106" t="s">
        <v>61</v>
      </c>
      <c r="LA2" s="106"/>
      <c r="LB2" s="106"/>
      <c r="LC2" s="106"/>
      <c r="LD2" s="24" t="s">
        <v>40</v>
      </c>
      <c r="LE2" s="24" t="s">
        <v>81</v>
      </c>
      <c r="LF2" s="14" t="s">
        <v>56</v>
      </c>
      <c r="LG2" s="14" t="s">
        <v>59</v>
      </c>
      <c r="LH2" s="14" t="s">
        <v>38</v>
      </c>
      <c r="LI2" s="14" t="s">
        <v>37</v>
      </c>
      <c r="LJ2" s="14" t="s">
        <v>32</v>
      </c>
      <c r="LK2" s="98" t="s">
        <v>56</v>
      </c>
      <c r="LL2" s="98"/>
      <c r="LM2" s="98"/>
      <c r="LN2" s="98"/>
      <c r="LO2" s="98" t="s">
        <v>59</v>
      </c>
      <c r="LP2" s="98"/>
      <c r="LQ2" s="98"/>
      <c r="LR2" s="98"/>
      <c r="LS2" s="98" t="s">
        <v>60</v>
      </c>
      <c r="LT2" s="98"/>
      <c r="LU2" s="98"/>
      <c r="LV2" s="98"/>
      <c r="LW2" s="105" t="s">
        <v>61</v>
      </c>
      <c r="LX2" s="105"/>
      <c r="LY2" s="105"/>
      <c r="LZ2" s="105"/>
      <c r="MA2" s="25" t="s">
        <v>40</v>
      </c>
      <c r="MB2" s="25" t="s">
        <v>81</v>
      </c>
      <c r="MC2" s="11" t="s">
        <v>56</v>
      </c>
      <c r="MD2" s="11" t="s">
        <v>59</v>
      </c>
      <c r="ME2" s="11" t="s">
        <v>38</v>
      </c>
      <c r="MF2" s="11" t="s">
        <v>37</v>
      </c>
      <c r="MG2" s="11" t="s">
        <v>32</v>
      </c>
      <c r="MH2" s="99" t="s">
        <v>56</v>
      </c>
      <c r="MI2" s="99"/>
      <c r="MJ2" s="99"/>
      <c r="MK2" s="99"/>
      <c r="ML2" s="99" t="s">
        <v>59</v>
      </c>
      <c r="MM2" s="99"/>
      <c r="MN2" s="99"/>
      <c r="MO2" s="99"/>
      <c r="MP2" s="99" t="s">
        <v>60</v>
      </c>
      <c r="MQ2" s="99"/>
      <c r="MR2" s="99"/>
      <c r="MS2" s="99"/>
      <c r="MT2" s="106" t="s">
        <v>61</v>
      </c>
      <c r="MU2" s="106"/>
      <c r="MV2" s="106"/>
      <c r="MW2" s="106"/>
      <c r="MX2" s="24" t="s">
        <v>40</v>
      </c>
      <c r="MY2" s="24" t="s">
        <v>81</v>
      </c>
      <c r="MZ2" s="14" t="s">
        <v>56</v>
      </c>
      <c r="NA2" s="14" t="s">
        <v>59</v>
      </c>
      <c r="NB2" s="14" t="s">
        <v>38</v>
      </c>
      <c r="NC2" s="14" t="s">
        <v>37</v>
      </c>
      <c r="ND2" s="14" t="s">
        <v>32</v>
      </c>
    </row>
    <row r="3" spans="1:368" x14ac:dyDescent="0.2">
      <c r="A3" s="101"/>
      <c r="B3" s="101"/>
      <c r="C3" s="101"/>
      <c r="D3" s="101"/>
      <c r="E3" s="101"/>
      <c r="F3" s="104"/>
      <c r="G3" s="104"/>
      <c r="H3" s="101"/>
      <c r="I3" s="101"/>
      <c r="J3" s="102"/>
      <c r="K3" s="102"/>
      <c r="L3" s="102"/>
      <c r="M3" s="102"/>
      <c r="N3" s="102"/>
      <c r="O3" s="102"/>
      <c r="P3" s="102"/>
      <c r="Q3" s="102"/>
      <c r="R3" s="103"/>
      <c r="S3" s="102"/>
      <c r="T3" s="102"/>
      <c r="U3" s="73" t="s">
        <v>29</v>
      </c>
      <c r="V3" s="73" t="s">
        <v>21</v>
      </c>
      <c r="W3" s="73" t="s">
        <v>57</v>
      </c>
      <c r="X3" s="73" t="s">
        <v>58</v>
      </c>
      <c r="Y3" s="73" t="s">
        <v>29</v>
      </c>
      <c r="Z3" s="73" t="s">
        <v>21</v>
      </c>
      <c r="AA3" s="73" t="s">
        <v>57</v>
      </c>
      <c r="AB3" s="73" t="s">
        <v>58</v>
      </c>
      <c r="AC3" s="73" t="s">
        <v>29</v>
      </c>
      <c r="AD3" s="73" t="s">
        <v>21</v>
      </c>
      <c r="AE3" s="73" t="s">
        <v>57</v>
      </c>
      <c r="AF3" s="73" t="s">
        <v>58</v>
      </c>
      <c r="AG3" s="76" t="s">
        <v>29</v>
      </c>
      <c r="AH3" s="76" t="s">
        <v>21</v>
      </c>
      <c r="AI3" s="76" t="s">
        <v>57</v>
      </c>
      <c r="AJ3" s="76" t="s">
        <v>58</v>
      </c>
      <c r="AK3" s="12"/>
      <c r="AL3" s="12"/>
      <c r="AM3" s="11"/>
      <c r="AN3" s="11"/>
      <c r="AO3" s="11"/>
      <c r="AP3" s="12"/>
      <c r="AQ3" s="12"/>
      <c r="AR3" s="72" t="s">
        <v>29</v>
      </c>
      <c r="AS3" s="72" t="s">
        <v>21</v>
      </c>
      <c r="AT3" s="72" t="s">
        <v>57</v>
      </c>
      <c r="AU3" s="72" t="s">
        <v>58</v>
      </c>
      <c r="AV3" s="72" t="s">
        <v>29</v>
      </c>
      <c r="AW3" s="72" t="s">
        <v>21</v>
      </c>
      <c r="AX3" s="72" t="s">
        <v>57</v>
      </c>
      <c r="AY3" s="72" t="s">
        <v>58</v>
      </c>
      <c r="AZ3" s="72" t="s">
        <v>29</v>
      </c>
      <c r="BA3" s="72" t="s">
        <v>21</v>
      </c>
      <c r="BB3" s="72" t="s">
        <v>57</v>
      </c>
      <c r="BC3" s="72" t="s">
        <v>58</v>
      </c>
      <c r="BD3" s="74" t="s">
        <v>29</v>
      </c>
      <c r="BE3" s="74" t="s">
        <v>21</v>
      </c>
      <c r="BF3" s="74" t="s">
        <v>57</v>
      </c>
      <c r="BG3" s="74" t="s">
        <v>58</v>
      </c>
      <c r="BH3" s="15"/>
      <c r="BI3" s="15"/>
      <c r="BJ3" s="14"/>
      <c r="BK3" s="14"/>
      <c r="BL3" s="14"/>
      <c r="BM3" s="15"/>
      <c r="BN3" s="15"/>
      <c r="BO3" s="35" t="s">
        <v>29</v>
      </c>
      <c r="BP3" s="35" t="s">
        <v>21</v>
      </c>
      <c r="BQ3" s="35" t="s">
        <v>57</v>
      </c>
      <c r="BR3" s="35" t="s">
        <v>58</v>
      </c>
      <c r="BS3" s="35" t="s">
        <v>29</v>
      </c>
      <c r="BT3" s="35" t="s">
        <v>21</v>
      </c>
      <c r="BU3" s="35" t="s">
        <v>57</v>
      </c>
      <c r="BV3" s="35" t="s">
        <v>58</v>
      </c>
      <c r="BW3" s="35" t="s">
        <v>29</v>
      </c>
      <c r="BX3" s="35" t="s">
        <v>21</v>
      </c>
      <c r="BY3" s="35" t="s">
        <v>57</v>
      </c>
      <c r="BZ3" s="35" t="s">
        <v>58</v>
      </c>
      <c r="CA3" s="38" t="s">
        <v>29</v>
      </c>
      <c r="CB3" s="38" t="s">
        <v>21</v>
      </c>
      <c r="CC3" s="38" t="s">
        <v>57</v>
      </c>
      <c r="CD3" s="38" t="s">
        <v>58</v>
      </c>
      <c r="CE3" s="12"/>
      <c r="CF3" s="12"/>
      <c r="CG3" s="11"/>
      <c r="CH3" s="11"/>
      <c r="CI3" s="11"/>
      <c r="CJ3" s="12"/>
      <c r="CK3" s="12"/>
      <c r="CL3" s="29"/>
      <c r="CM3" s="29"/>
      <c r="CN3" s="29"/>
      <c r="CO3" s="73" t="s">
        <v>29</v>
      </c>
      <c r="CP3" s="73" t="s">
        <v>21</v>
      </c>
      <c r="CQ3" s="73" t="s">
        <v>57</v>
      </c>
      <c r="CR3" s="73" t="s">
        <v>58</v>
      </c>
      <c r="CS3" s="73" t="s">
        <v>29</v>
      </c>
      <c r="CT3" s="73" t="s">
        <v>21</v>
      </c>
      <c r="CU3" s="73" t="s">
        <v>57</v>
      </c>
      <c r="CV3" s="73" t="s">
        <v>58</v>
      </c>
      <c r="CW3" s="73" t="s">
        <v>29</v>
      </c>
      <c r="CX3" s="73" t="s">
        <v>21</v>
      </c>
      <c r="CY3" s="73" t="s">
        <v>57</v>
      </c>
      <c r="CZ3" s="73" t="s">
        <v>58</v>
      </c>
      <c r="DA3" s="75" t="s">
        <v>29</v>
      </c>
      <c r="DB3" s="75" t="s">
        <v>21</v>
      </c>
      <c r="DC3" s="75" t="s">
        <v>57</v>
      </c>
      <c r="DD3" s="75" t="s">
        <v>58</v>
      </c>
      <c r="DE3" s="12"/>
      <c r="DF3" s="12"/>
      <c r="DG3" s="11"/>
      <c r="DH3" s="11"/>
      <c r="DI3" s="11"/>
      <c r="DJ3" s="12"/>
      <c r="DK3" s="12"/>
      <c r="DL3" s="72" t="s">
        <v>29</v>
      </c>
      <c r="DM3" s="72" t="s">
        <v>21</v>
      </c>
      <c r="DN3" s="72" t="s">
        <v>57</v>
      </c>
      <c r="DO3" s="72" t="s">
        <v>58</v>
      </c>
      <c r="DP3" s="72" t="s">
        <v>29</v>
      </c>
      <c r="DQ3" s="72" t="s">
        <v>21</v>
      </c>
      <c r="DR3" s="72" t="s">
        <v>57</v>
      </c>
      <c r="DS3" s="72" t="s">
        <v>58</v>
      </c>
      <c r="DT3" s="72" t="s">
        <v>29</v>
      </c>
      <c r="DU3" s="72" t="s">
        <v>21</v>
      </c>
      <c r="DV3" s="72" t="s">
        <v>57</v>
      </c>
      <c r="DW3" s="72" t="s">
        <v>58</v>
      </c>
      <c r="DX3" s="74" t="s">
        <v>29</v>
      </c>
      <c r="DY3" s="74" t="s">
        <v>21</v>
      </c>
      <c r="DZ3" s="74" t="s">
        <v>57</v>
      </c>
      <c r="EA3" s="74" t="s">
        <v>58</v>
      </c>
      <c r="EB3" s="15"/>
      <c r="EC3" s="15"/>
      <c r="ED3" s="14"/>
      <c r="EE3" s="14"/>
      <c r="EF3" s="14"/>
      <c r="EG3" s="15"/>
      <c r="EH3" s="15"/>
      <c r="EI3" s="73" t="s">
        <v>29</v>
      </c>
      <c r="EJ3" s="73" t="s">
        <v>21</v>
      </c>
      <c r="EK3" s="73" t="s">
        <v>57</v>
      </c>
      <c r="EL3" s="73" t="s">
        <v>58</v>
      </c>
      <c r="EM3" s="73" t="s">
        <v>29</v>
      </c>
      <c r="EN3" s="73" t="s">
        <v>21</v>
      </c>
      <c r="EO3" s="73" t="s">
        <v>57</v>
      </c>
      <c r="EP3" s="73" t="s">
        <v>58</v>
      </c>
      <c r="EQ3" s="73" t="s">
        <v>29</v>
      </c>
      <c r="ER3" s="73" t="s">
        <v>21</v>
      </c>
      <c r="ES3" s="73" t="s">
        <v>57</v>
      </c>
      <c r="ET3" s="73" t="s">
        <v>58</v>
      </c>
      <c r="EU3" s="75" t="s">
        <v>29</v>
      </c>
      <c r="EV3" s="75" t="s">
        <v>21</v>
      </c>
      <c r="EW3" s="75" t="s">
        <v>57</v>
      </c>
      <c r="EX3" s="75" t="s">
        <v>58</v>
      </c>
      <c r="EY3" s="12"/>
      <c r="EZ3" s="12"/>
      <c r="FA3" s="11"/>
      <c r="FB3" s="11"/>
      <c r="FC3" s="11"/>
      <c r="FD3" s="12"/>
      <c r="FE3" s="12"/>
      <c r="FF3" s="34" t="s">
        <v>29</v>
      </c>
      <c r="FG3" s="34" t="s">
        <v>21</v>
      </c>
      <c r="FH3" s="34" t="s">
        <v>57</v>
      </c>
      <c r="FI3" s="34" t="s">
        <v>58</v>
      </c>
      <c r="FJ3" s="34" t="s">
        <v>29</v>
      </c>
      <c r="FK3" s="34" t="s">
        <v>21</v>
      </c>
      <c r="FL3" s="34" t="s">
        <v>57</v>
      </c>
      <c r="FM3" s="34" t="s">
        <v>58</v>
      </c>
      <c r="FN3" s="34" t="s">
        <v>29</v>
      </c>
      <c r="FO3" s="34" t="s">
        <v>21</v>
      </c>
      <c r="FP3" s="34" t="s">
        <v>57</v>
      </c>
      <c r="FQ3" s="34" t="s">
        <v>58</v>
      </c>
      <c r="FR3" s="37" t="s">
        <v>29</v>
      </c>
      <c r="FS3" s="37" t="s">
        <v>21</v>
      </c>
      <c r="FT3" s="37" t="s">
        <v>57</v>
      </c>
      <c r="FU3" s="37" t="s">
        <v>58</v>
      </c>
      <c r="FV3" s="15"/>
      <c r="FW3" s="15"/>
      <c r="FX3" s="14"/>
      <c r="FY3" s="14"/>
      <c r="FZ3" s="14"/>
      <c r="GA3" s="15"/>
      <c r="GB3" s="15"/>
      <c r="GC3" s="35" t="s">
        <v>29</v>
      </c>
      <c r="GD3" s="35" t="s">
        <v>21</v>
      </c>
      <c r="GE3" s="35" t="s">
        <v>57</v>
      </c>
      <c r="GF3" s="35" t="s">
        <v>58</v>
      </c>
      <c r="GG3" s="35" t="s">
        <v>29</v>
      </c>
      <c r="GH3" s="35" t="s">
        <v>21</v>
      </c>
      <c r="GI3" s="35" t="s">
        <v>57</v>
      </c>
      <c r="GJ3" s="35" t="s">
        <v>58</v>
      </c>
      <c r="GK3" s="35" t="s">
        <v>29</v>
      </c>
      <c r="GL3" s="35" t="s">
        <v>21</v>
      </c>
      <c r="GM3" s="35" t="s">
        <v>57</v>
      </c>
      <c r="GN3" s="35" t="s">
        <v>58</v>
      </c>
      <c r="GO3" s="36" t="s">
        <v>29</v>
      </c>
      <c r="GP3" s="36" t="s">
        <v>21</v>
      </c>
      <c r="GQ3" s="36" t="s">
        <v>57</v>
      </c>
      <c r="GR3" s="36" t="s">
        <v>58</v>
      </c>
      <c r="GS3" s="12"/>
      <c r="GT3" s="12"/>
      <c r="GU3" s="11"/>
      <c r="GV3" s="11"/>
      <c r="GW3" s="11"/>
      <c r="GX3" s="12"/>
      <c r="GY3" s="12"/>
      <c r="GZ3" s="34" t="s">
        <v>29</v>
      </c>
      <c r="HA3" s="34" t="s">
        <v>21</v>
      </c>
      <c r="HB3" s="34" t="s">
        <v>57</v>
      </c>
      <c r="HC3" s="34" t="s">
        <v>58</v>
      </c>
      <c r="HD3" s="34" t="s">
        <v>29</v>
      </c>
      <c r="HE3" s="34" t="s">
        <v>21</v>
      </c>
      <c r="HF3" s="34" t="s">
        <v>57</v>
      </c>
      <c r="HG3" s="34" t="s">
        <v>58</v>
      </c>
      <c r="HH3" s="34" t="s">
        <v>29</v>
      </c>
      <c r="HI3" s="34" t="s">
        <v>21</v>
      </c>
      <c r="HJ3" s="34" t="s">
        <v>57</v>
      </c>
      <c r="HK3" s="34" t="s">
        <v>58</v>
      </c>
      <c r="HL3" s="37" t="s">
        <v>29</v>
      </c>
      <c r="HM3" s="37" t="s">
        <v>21</v>
      </c>
      <c r="HN3" s="37" t="s">
        <v>57</v>
      </c>
      <c r="HO3" s="37" t="s">
        <v>58</v>
      </c>
      <c r="HP3" s="15"/>
      <c r="HQ3" s="15"/>
      <c r="HR3" s="14"/>
      <c r="HS3" s="14"/>
      <c r="HT3" s="14"/>
      <c r="HU3" s="15"/>
      <c r="HV3" s="15"/>
      <c r="HW3" s="35" t="s">
        <v>29</v>
      </c>
      <c r="HX3" s="35" t="s">
        <v>21</v>
      </c>
      <c r="HY3" s="35" t="s">
        <v>57</v>
      </c>
      <c r="HZ3" s="35" t="s">
        <v>58</v>
      </c>
      <c r="IA3" s="35" t="s">
        <v>29</v>
      </c>
      <c r="IB3" s="35" t="s">
        <v>21</v>
      </c>
      <c r="IC3" s="35" t="s">
        <v>57</v>
      </c>
      <c r="ID3" s="35" t="s">
        <v>58</v>
      </c>
      <c r="IE3" s="35" t="s">
        <v>29</v>
      </c>
      <c r="IF3" s="35" t="s">
        <v>21</v>
      </c>
      <c r="IG3" s="35" t="s">
        <v>57</v>
      </c>
      <c r="IH3" s="35" t="s">
        <v>58</v>
      </c>
      <c r="II3" s="36" t="s">
        <v>29</v>
      </c>
      <c r="IJ3" s="36" t="s">
        <v>21</v>
      </c>
      <c r="IK3" s="36" t="s">
        <v>57</v>
      </c>
      <c r="IL3" s="36" t="s">
        <v>58</v>
      </c>
      <c r="IM3" s="12"/>
      <c r="IN3" s="12"/>
      <c r="IO3" s="11"/>
      <c r="IP3" s="11"/>
      <c r="IQ3" s="11"/>
      <c r="IR3" s="12"/>
      <c r="IS3" s="12"/>
      <c r="IT3" s="34" t="s">
        <v>29</v>
      </c>
      <c r="IU3" s="34" t="s">
        <v>21</v>
      </c>
      <c r="IV3" s="34" t="s">
        <v>57</v>
      </c>
      <c r="IW3" s="34" t="s">
        <v>58</v>
      </c>
      <c r="IX3" s="34" t="s">
        <v>29</v>
      </c>
      <c r="IY3" s="34" t="s">
        <v>21</v>
      </c>
      <c r="IZ3" s="34" t="s">
        <v>57</v>
      </c>
      <c r="JA3" s="34" t="s">
        <v>58</v>
      </c>
      <c r="JB3" s="34" t="s">
        <v>29</v>
      </c>
      <c r="JC3" s="34" t="s">
        <v>21</v>
      </c>
      <c r="JD3" s="34" t="s">
        <v>57</v>
      </c>
      <c r="JE3" s="34" t="s">
        <v>58</v>
      </c>
      <c r="JF3" s="37" t="s">
        <v>29</v>
      </c>
      <c r="JG3" s="37" t="s">
        <v>21</v>
      </c>
      <c r="JH3" s="37" t="s">
        <v>57</v>
      </c>
      <c r="JI3" s="37" t="s">
        <v>58</v>
      </c>
      <c r="JJ3" s="15"/>
      <c r="JK3" s="15"/>
      <c r="JL3" s="14"/>
      <c r="JM3" s="14"/>
      <c r="JN3" s="14"/>
      <c r="JO3" s="15"/>
      <c r="JP3" s="15"/>
      <c r="JQ3" s="35" t="s">
        <v>29</v>
      </c>
      <c r="JR3" s="35" t="s">
        <v>21</v>
      </c>
      <c r="JS3" s="35" t="s">
        <v>57</v>
      </c>
      <c r="JT3" s="35" t="s">
        <v>58</v>
      </c>
      <c r="JU3" s="35" t="s">
        <v>29</v>
      </c>
      <c r="JV3" s="35" t="s">
        <v>21</v>
      </c>
      <c r="JW3" s="35" t="s">
        <v>57</v>
      </c>
      <c r="JX3" s="35" t="s">
        <v>58</v>
      </c>
      <c r="JY3" s="35" t="s">
        <v>29</v>
      </c>
      <c r="JZ3" s="35" t="s">
        <v>21</v>
      </c>
      <c r="KA3" s="35" t="s">
        <v>57</v>
      </c>
      <c r="KB3" s="35" t="s">
        <v>58</v>
      </c>
      <c r="KC3" s="36" t="s">
        <v>29</v>
      </c>
      <c r="KD3" s="36" t="s">
        <v>21</v>
      </c>
      <c r="KE3" s="36" t="s">
        <v>57</v>
      </c>
      <c r="KF3" s="36" t="s">
        <v>58</v>
      </c>
      <c r="KG3" s="12"/>
      <c r="KH3" s="12"/>
      <c r="KI3" s="11"/>
      <c r="KJ3" s="11"/>
      <c r="KK3" s="11"/>
      <c r="KL3" s="12"/>
      <c r="KM3" s="12"/>
      <c r="KN3" s="34" t="s">
        <v>29</v>
      </c>
      <c r="KO3" s="34" t="s">
        <v>21</v>
      </c>
      <c r="KP3" s="34" t="s">
        <v>57</v>
      </c>
      <c r="KQ3" s="34" t="s">
        <v>58</v>
      </c>
      <c r="KR3" s="34" t="s">
        <v>29</v>
      </c>
      <c r="KS3" s="34" t="s">
        <v>21</v>
      </c>
      <c r="KT3" s="34" t="s">
        <v>57</v>
      </c>
      <c r="KU3" s="34" t="s">
        <v>58</v>
      </c>
      <c r="KV3" s="34" t="s">
        <v>29</v>
      </c>
      <c r="KW3" s="34" t="s">
        <v>21</v>
      </c>
      <c r="KX3" s="34" t="s">
        <v>57</v>
      </c>
      <c r="KY3" s="34" t="s">
        <v>58</v>
      </c>
      <c r="KZ3" s="37" t="s">
        <v>29</v>
      </c>
      <c r="LA3" s="37" t="s">
        <v>21</v>
      </c>
      <c r="LB3" s="37" t="s">
        <v>57</v>
      </c>
      <c r="LC3" s="37" t="s">
        <v>58</v>
      </c>
      <c r="LD3" s="15"/>
      <c r="LE3" s="15"/>
      <c r="LF3" s="14"/>
      <c r="LG3" s="14"/>
      <c r="LH3" s="14"/>
      <c r="LI3" s="15"/>
      <c r="LJ3" s="15"/>
      <c r="LK3" s="35" t="s">
        <v>29</v>
      </c>
      <c r="LL3" s="35" t="s">
        <v>21</v>
      </c>
      <c r="LM3" s="35" t="s">
        <v>57</v>
      </c>
      <c r="LN3" s="35" t="s">
        <v>58</v>
      </c>
      <c r="LO3" s="35" t="s">
        <v>29</v>
      </c>
      <c r="LP3" s="35" t="s">
        <v>21</v>
      </c>
      <c r="LQ3" s="35" t="s">
        <v>57</v>
      </c>
      <c r="LR3" s="35" t="s">
        <v>58</v>
      </c>
      <c r="LS3" s="35" t="s">
        <v>29</v>
      </c>
      <c r="LT3" s="35" t="s">
        <v>21</v>
      </c>
      <c r="LU3" s="35" t="s">
        <v>57</v>
      </c>
      <c r="LV3" s="35" t="s">
        <v>58</v>
      </c>
      <c r="LW3" s="36" t="s">
        <v>29</v>
      </c>
      <c r="LX3" s="36" t="s">
        <v>21</v>
      </c>
      <c r="LY3" s="36" t="s">
        <v>57</v>
      </c>
      <c r="LZ3" s="36" t="s">
        <v>58</v>
      </c>
      <c r="MA3" s="12"/>
      <c r="MB3" s="12"/>
      <c r="MC3" s="11"/>
      <c r="MD3" s="11"/>
      <c r="ME3" s="11"/>
      <c r="MF3" s="12"/>
      <c r="MG3" s="12"/>
      <c r="MH3" s="34" t="s">
        <v>29</v>
      </c>
      <c r="MI3" s="34" t="s">
        <v>21</v>
      </c>
      <c r="MJ3" s="34" t="s">
        <v>57</v>
      </c>
      <c r="MK3" s="34" t="s">
        <v>58</v>
      </c>
      <c r="ML3" s="34" t="s">
        <v>29</v>
      </c>
      <c r="MM3" s="34" t="s">
        <v>21</v>
      </c>
      <c r="MN3" s="34" t="s">
        <v>57</v>
      </c>
      <c r="MO3" s="34" t="s">
        <v>58</v>
      </c>
      <c r="MP3" s="34" t="s">
        <v>29</v>
      </c>
      <c r="MQ3" s="34" t="s">
        <v>21</v>
      </c>
      <c r="MR3" s="34" t="s">
        <v>57</v>
      </c>
      <c r="MS3" s="34" t="s">
        <v>58</v>
      </c>
      <c r="MT3" s="37" t="s">
        <v>29</v>
      </c>
      <c r="MU3" s="37" t="s">
        <v>21</v>
      </c>
      <c r="MV3" s="37" t="s">
        <v>57</v>
      </c>
      <c r="MW3" s="37" t="s">
        <v>58</v>
      </c>
      <c r="MX3" s="15"/>
      <c r="MY3" s="15"/>
      <c r="MZ3" s="14"/>
      <c r="NA3" s="14"/>
      <c r="NB3" s="14"/>
      <c r="NC3" s="15"/>
      <c r="ND3" s="15"/>
    </row>
    <row r="4" spans="1:368" x14ac:dyDescent="0.2">
      <c r="A4" s="6">
        <f t="shared" ref="A4:A10" si="0">IF(AND(F4="P",H4="P"),SUMPRODUCT((F$4:F$10="P")*(H$4:H$10="P")*(E$4:E$10&gt;E4))+1,IF(H4="P",SUMPRODUCT((F$4:F$10="")*(H$4:H$10="P")*(E$4:E$10&gt;E4))+1+SUMPRODUCT((F$4:F$10="P")*(H$4:H$10="P")),""))</f>
        <v>1</v>
      </c>
      <c r="B4" s="9" t="s">
        <v>71</v>
      </c>
      <c r="C4" s="5" t="s">
        <v>4</v>
      </c>
      <c r="D4" s="33">
        <v>2010</v>
      </c>
      <c r="E4" s="17">
        <f t="shared" ref="E4:E10" si="1">SUM(J4:R4)</f>
        <v>222.4</v>
      </c>
      <c r="F4" s="4" t="str">
        <f t="shared" ref="F4:F10" si="2">IF(OR(AND($AK4&gt;=$AL$13,NOT($AK4="")),AND($BH4&gt;=$BI$13,NOT($BH4="")),AND($CE4&gt;=$CF$13,NOT($CE4=""))),"P","")</f>
        <v>P</v>
      </c>
      <c r="G4" s="4" t="str">
        <f t="shared" ref="G4:G10" si="3">IF(OR(AND($AK4&gt;=$AL$14,NOT($AK4="")),AND($BH4&gt;=$BI$14,NOT($BH4="")),AND($CE4&gt;=$CF$14,NOT($CE4=""))),"P","")</f>
        <v>P</v>
      </c>
      <c r="H4" s="4" t="str">
        <f t="shared" ref="H4:H10" si="4">IF(OR(AND($AO4&gt;=$AL$15,NOT($AO4="")),AND($BL4&gt;=$BI$15,NOT($BL4="")),AND($CI4&gt;=$CF$15,NOT($CI4=""))),"P","")</f>
        <v>P</v>
      </c>
      <c r="I4" t="str">
        <f t="shared" ref="I4:I10" si="5">IF(AND(G4="P",OR(AND($AO4&gt;=$AL$18,NOT($AO4="")),AND($BL4&gt;=$BI$18,NOT($BL4="")),AND($CI4&gt;=$CF$18,NOT($CI4="")))),"Merit",IF(AND(G4="P",OR(AND($AO4&gt;=$AL$17,NOT($AO4="")),AND($BL4&gt;=$BI$17,NOT($BL4="")),AND($CI4&gt;=$CF$17,NOT($CI4="")))),"Funding",IF(AND(G4="P",OR(AND($AO4&gt;=$AL$16,NOT($AO4="")),AND($BL4&gt;=$BI$16,NOT($BL4="")),AND($CI4&gt;=$CF$16,NOT($CI4="")))),"Worlds Team",IF(AND(F4="P",OR(AND($AO4&gt;=$AL$15,NOT($AO4="")),AND($BL4&gt;=$BI$15,NOT($BL4="")),AND($CI4&gt;=$CF$15,NOT($CI4="")))),"National Team",""))))</f>
        <v>Merit</v>
      </c>
      <c r="J4" s="16">
        <f t="shared" ref="J4:J10" si="6">MAX(AO4,BL4,CI4)</f>
        <v>73.800000000000011</v>
      </c>
      <c r="K4" s="16" t="str">
        <f t="shared" ref="K4:K10" si="7">IF(J4=CI4,$BO$1,IF(J4=BL4,$AR$1,IF(J4=AO4,$U$1,"")))</f>
        <v>2018 Nationals</v>
      </c>
      <c r="L4" s="16">
        <f t="shared" ref="L4:L10" si="8">IF($J4=$AO4,MAX(BJ4,CG4),IF($J4=$BL4,MAX(AM4,CG4),MAX(AM4,BJ4)))</f>
        <v>35.5</v>
      </c>
      <c r="M4" s="16" t="str">
        <f t="shared" ref="M4:M10" si="9">IF(L4=CG4,$BO$1,IF(L4=BJ4,$AR$1,IF(L4=AM4,$U$1,"")))</f>
        <v>2017 3rd Domestic Trial</v>
      </c>
      <c r="N4" s="16">
        <f t="shared" ref="N4:N10" si="10">IF($J4=$AO4,MAX(BK4,CH4),IF($J4=$BL4,MAX(AN4,CH4),MAX(AN4,BK4)))</f>
        <v>38</v>
      </c>
      <c r="O4" s="16" t="str">
        <f t="shared" ref="O4:O10" si="11">IF(N4=CH4,$BO$1,IF(N4=BK4,$AR$1,IF(N4=AN4,$U$1,"")))</f>
        <v>2018 Canada Cup</v>
      </c>
      <c r="P4" s="16">
        <f t="shared" ref="P4:P10" si="12">MAX(AP4,BM4,CJ4)</f>
        <v>75.099999999999994</v>
      </c>
      <c r="Q4" s="16" t="str">
        <f t="shared" ref="Q4:Q10" si="13">IF(P4=CJ4,$BO$1,IF(P4=BM4,$AR$1,IF(P4=AP4,$U$1,"")))</f>
        <v>2018 Nationals</v>
      </c>
      <c r="R4" s="16" t="str">
        <f t="shared" ref="R4:R10" si="14">IF(MAX(CL4:CN4)&gt;0,MAX(CL4:CN4),"")</f>
        <v/>
      </c>
      <c r="S4" s="31" t="str">
        <f t="shared" ref="S4:S10" si="15">IF(R4="","",IF(R4=CL4,"(Pass 1)",IF(R4=CM4,"(Pass 2)",IF(R4=CN4,"(Final)"))))</f>
        <v/>
      </c>
      <c r="T4" s="16" t="str">
        <f t="shared" ref="T4:T10" si="16">IF(R4="","",IF(R4=CL4,IF(R4+L4=MZ4,$MH$1,IF(R4+L4=MC4,$LK$1,IF(R4+L4=LF4,$KN$1,IF(R4+L4=KI4,$JQ$1,IF(R4+L4=JL4,$IT$1,IF(R4+L4=IO4,$HW$1,IF(R4+L4=HR4,$GZ$1,IF(R4+L4=GU4,$GC$1,IF(R4+L4=FX4,$FF$1,IF(R4+L4=FA4,$EI$1,IF(R4+L4=ED4,$DL$1,IF(R4+L4=DG4,$CO$1)))))))))))),IF(R4=CM4,IF(R4+N4=NA4,$MH$1,IF(R4+N4=MD4,$LK$1,IF(R4+N4=LG4,$KN$1,IF(R4+N4=KJ4,$JQ$1,IF(R4+N4=JM4,$IT$1,IF(R4+N4=IP4,$HW$1,IF(R4+N4=HS4,$GZ$1,IF(R4+N4=GV4,$GC$1,IF(R4+N4=FY4,$FF$1,IF(R4+N4=FB4,$EI$1,IF(R4+N4=EE4,$DL$1,IF(R4+N4=DH4,$CO$1)))))))))))),IF(R4=CN4,IF(R4+P4=NC4,$MH$1,IF(R4+P4=MF4,$LK$1,IF(R4+P4=LI4,$KN$1,IF(R4+P4=KL4,$JQ$1,IF(R4+P4=JO4,$IT$1,IF(R4+P4=IR4,$HW$1,IF(R4+P4=HU4,$GZ$1,IF(R4+P4=GX4,$GC$1,IF(R4+P4=GA4,$FF$1,IF(R4+P4=FD4,$EI$1,IF(R4+P4=EG4,$DL$1,IF(R4+P4=DJ4,$CO$1))))))))))))))))</f>
        <v/>
      </c>
      <c r="U4" s="47">
        <v>27.5</v>
      </c>
      <c r="V4" s="47">
        <v>8</v>
      </c>
      <c r="W4" s="47">
        <v>0</v>
      </c>
      <c r="X4" s="47">
        <v>0</v>
      </c>
      <c r="Y4" s="47">
        <v>27.1</v>
      </c>
      <c r="Z4" s="47">
        <v>9.3000000000000007</v>
      </c>
      <c r="AA4" s="47">
        <v>0</v>
      </c>
      <c r="AB4" s="47">
        <v>0</v>
      </c>
      <c r="AC4" s="47">
        <v>27.4</v>
      </c>
      <c r="AD4" s="47">
        <v>8.1</v>
      </c>
      <c r="AE4" s="47">
        <v>0</v>
      </c>
      <c r="AF4" s="47">
        <v>0</v>
      </c>
      <c r="AG4" s="47">
        <v>27.3</v>
      </c>
      <c r="AH4" s="47">
        <v>7.7</v>
      </c>
      <c r="AI4" s="47">
        <v>0</v>
      </c>
      <c r="AJ4" s="47">
        <v>0</v>
      </c>
      <c r="AK4" s="13">
        <f t="shared" ref="AK4:AK10" si="17">IF(SUM(V4,Z4)&gt;0,SUM(V4,Z4),"")</f>
        <v>17.3</v>
      </c>
      <c r="AL4" s="13">
        <f t="shared" ref="AL4:AL10" si="18">IF(SUM(AD4,AH4)&gt;0,SUM(AD4,AH4),"")</f>
        <v>15.8</v>
      </c>
      <c r="AM4" s="13">
        <f t="shared" ref="AM4:AM10" si="19">IF(SUM(U4:V4,X4)-W4&gt;0,SUM(U4:V4,X4)-W4,"")</f>
        <v>35.5</v>
      </c>
      <c r="AN4" s="13">
        <f t="shared" ref="AN4:AN10" si="20">IF(SUM(Y4:Z4,AB4)-AA4&gt;0,SUM(Y4:Z4,AB4)-AA4,"")</f>
        <v>36.400000000000006</v>
      </c>
      <c r="AO4" s="13">
        <f t="shared" ref="AO4:AO10" si="21">IF(SUM(AM4:AN4)&gt;0,SUM(AM4:AN4),"")</f>
        <v>71.900000000000006</v>
      </c>
      <c r="AP4" s="13">
        <f t="shared" ref="AP4:AP10" si="22">IF(SUM(AC4:AD4,AF4:AH4,AJ4)-SUM(AE4,AI4)&gt;0,SUM(AC4:AD4,AF4:AH4,AJ4)-SUM(AE4,AI4),"")</f>
        <v>70.5</v>
      </c>
      <c r="AQ4" s="13">
        <f t="shared" ref="AQ4:AQ10" si="23">IF(SUM(AO4,AP4)&gt;0,SUM(AO4,AP4),"")</f>
        <v>142.4</v>
      </c>
      <c r="AR4" s="48">
        <v>25.1</v>
      </c>
      <c r="AS4" s="48">
        <v>3.3</v>
      </c>
      <c r="AT4" s="48">
        <v>0</v>
      </c>
      <c r="AU4" s="48">
        <v>0</v>
      </c>
      <c r="AV4" s="48">
        <v>27.1</v>
      </c>
      <c r="AW4" s="48">
        <v>9.9</v>
      </c>
      <c r="AX4" s="48">
        <v>0</v>
      </c>
      <c r="AY4" s="48">
        <v>1</v>
      </c>
      <c r="AZ4" s="48">
        <v>28.5</v>
      </c>
      <c r="BA4" s="48">
        <v>8.1</v>
      </c>
      <c r="BB4" s="48">
        <v>0</v>
      </c>
      <c r="BC4" s="48">
        <v>0</v>
      </c>
      <c r="BD4" s="48">
        <v>27.3</v>
      </c>
      <c r="BE4" s="48">
        <v>10.4</v>
      </c>
      <c r="BF4" s="48">
        <v>0</v>
      </c>
      <c r="BG4" s="48">
        <v>0</v>
      </c>
      <c r="BH4" s="16">
        <f t="shared" ref="BH4:BH10" si="24">IF(SUM(AS4,AW4)&gt;0,SUM(AS4,AW4),"")</f>
        <v>13.2</v>
      </c>
      <c r="BI4" s="16">
        <f t="shared" ref="BI4:BI10" si="25">IF(SUM(BA4,BE4)&gt;0,SUM(BA4,BE4),"")</f>
        <v>18.5</v>
      </c>
      <c r="BJ4" s="16">
        <f t="shared" ref="BJ4:BJ10" si="26">IF(SUM(AR4:AS4,AU4)-AT4&gt;0,SUM(AR4:AS4,AU4)-AT4,"")</f>
        <v>28.400000000000002</v>
      </c>
      <c r="BK4" s="16">
        <f t="shared" ref="BK4:BK10" si="27">IF(SUM(AV4:AW4,AY4)-AX4&gt;0,SUM(AV4:AW4,AY4)-AX4,"")</f>
        <v>38</v>
      </c>
      <c r="BL4" s="16">
        <f t="shared" ref="BL4:BL10" si="28">IF(SUM(BJ4:BK4)&gt;0,SUM(BJ4:BK4),"")</f>
        <v>66.400000000000006</v>
      </c>
      <c r="BM4" s="16">
        <f t="shared" ref="BM4:BM10" si="29">IF(SUM(AZ4:BA4,BC4:BE4,BG4)-SUM(BB4,BF4)&gt;0,SUM(AZ4:BA4,BC4:BE4,BG4)-SUM(BB4,BF4),"")</f>
        <v>74.300000000000011</v>
      </c>
      <c r="BN4" s="16">
        <f t="shared" ref="BN4:BN10" si="30">IF(SUM(BL4,BM4)&gt;0,SUM(BL4,BM4),"")</f>
        <v>140.70000000000002</v>
      </c>
      <c r="BO4" s="47">
        <v>27.2</v>
      </c>
      <c r="BP4" s="47">
        <v>8.5</v>
      </c>
      <c r="BQ4" s="47">
        <v>0</v>
      </c>
      <c r="BR4" s="47">
        <v>1</v>
      </c>
      <c r="BS4" s="47">
        <v>26.2</v>
      </c>
      <c r="BT4" s="47">
        <v>9.9</v>
      </c>
      <c r="BU4" s="47">
        <v>0</v>
      </c>
      <c r="BV4" s="47">
        <v>1</v>
      </c>
      <c r="BW4" s="47">
        <v>28</v>
      </c>
      <c r="BX4" s="47">
        <v>8.8000000000000007</v>
      </c>
      <c r="BY4" s="47">
        <v>0</v>
      </c>
      <c r="BZ4" s="47">
        <v>0</v>
      </c>
      <c r="CA4" s="47">
        <v>27.4</v>
      </c>
      <c r="CB4" s="47">
        <v>9.9</v>
      </c>
      <c r="CC4" s="47">
        <v>0</v>
      </c>
      <c r="CD4" s="47">
        <v>1</v>
      </c>
      <c r="CE4" s="13">
        <f t="shared" ref="CE4:CE10" si="31">IF(SUM(BP4,BT4)&gt;0,SUM(BP4,BT4),"")</f>
        <v>18.399999999999999</v>
      </c>
      <c r="CF4" s="13">
        <f t="shared" ref="CF4:CF10" si="32">IF(SUM(BX4,CB4)&gt;0,SUM(BX4,CB4),"")</f>
        <v>18.700000000000003</v>
      </c>
      <c r="CG4" s="13">
        <f t="shared" ref="CG4:CG10" si="33">IF(SUM(BO4:BP4,BR4)-BQ4&gt;0,SUM(BO4:BP4,BR4)-BQ4,"")</f>
        <v>36.700000000000003</v>
      </c>
      <c r="CH4" s="13">
        <f t="shared" ref="CH4:CH10" si="34">IF(SUM(BS4:BT4,BV4)-BU4&gt;0,SUM(BS4:BT4,BV4)-BU4,"")</f>
        <v>37.1</v>
      </c>
      <c r="CI4" s="13">
        <f t="shared" ref="CI4:CI10" si="35">IF(SUM(CG4:CH4)&gt;0,SUM(CG4:CH4),"")</f>
        <v>73.800000000000011</v>
      </c>
      <c r="CJ4" s="13">
        <f t="shared" ref="CJ4:CJ10" si="36">IF(SUM(BW4:BX4,BZ4:CB4,CD4)-SUM(BY4,CC4)&gt;0,SUM(BW4:BX4,BZ4:CB4,CD4)-SUM(BY4,CC4),"")</f>
        <v>75.099999999999994</v>
      </c>
      <c r="CK4" s="13">
        <f t="shared" ref="CK4:CK10" si="37">IF(SUM(CI4,CJ4)&gt;0,SUM(CI4,CJ4),"")</f>
        <v>148.9</v>
      </c>
      <c r="CL4" s="30" t="str">
        <f t="shared" ref="CL4:CL10" si="38">IF(MAX(DG4,ED4,FA4,FX4,GU4,HR4,IO4,JL4,KI4,LF4,MC4,MZ4)-L4&gt;0.001,MAX(DG4,ED4,FA4,FX4,GU4,HR4,IO4,JL4,KI4,LF4,MC4,MZ4)-L4,"")</f>
        <v/>
      </c>
      <c r="CM4" s="30" t="str">
        <f t="shared" ref="CM4:CM10" si="39">IF(MAX(DH4,EE4,FB4,FY4,GV4,HS4,IP4,JM4,KJ4,LG4,MD4,NA4)-N4&gt;0.001,MAX(DH4,EE4,FB4,FY4,GV4,HS4,IP4,JM4,KJ4,LG4,MD4,NA4)-N4,"")</f>
        <v/>
      </c>
      <c r="CN4" s="30" t="str">
        <f t="shared" ref="CN4:CN10" si="40">IF(MAX(DJ4,EG4,FD4,GA4,GX4,HU4,IR4,JO4,KL4,LI4,MF4,NC4)-P4&gt;0.001,MAX(DJ4,EG4,FD4,GA4,GX4,HU4,IR4,JO4,KL4,LI4,MF4,NC4)-P4,"")</f>
        <v/>
      </c>
      <c r="CO4" s="47">
        <v>26.5</v>
      </c>
      <c r="CP4" s="47">
        <v>8</v>
      </c>
      <c r="CQ4" s="47">
        <v>0</v>
      </c>
      <c r="CR4" s="47">
        <v>0</v>
      </c>
      <c r="CS4" s="47">
        <v>24.9</v>
      </c>
      <c r="CT4" s="47">
        <v>9.5</v>
      </c>
      <c r="CU4" s="47">
        <v>0</v>
      </c>
      <c r="CV4" s="47">
        <v>0</v>
      </c>
      <c r="CW4" s="47">
        <v>26.2</v>
      </c>
      <c r="CX4" s="47">
        <v>10.3</v>
      </c>
      <c r="CY4" s="47">
        <v>0</v>
      </c>
      <c r="CZ4" s="47">
        <v>0</v>
      </c>
      <c r="DA4" s="47">
        <v>26.2</v>
      </c>
      <c r="DB4" s="47">
        <v>9.5</v>
      </c>
      <c r="DC4" s="47">
        <v>0</v>
      </c>
      <c r="DD4" s="47">
        <v>0</v>
      </c>
      <c r="DE4" s="13">
        <f t="shared" ref="DE4:DE10" si="41">IF(SUM(CP4,CT4)&gt;0,SUM(CP4,CT4),"")</f>
        <v>17.5</v>
      </c>
      <c r="DF4" s="13">
        <f t="shared" ref="DF4:DF10" si="42">IF(SUM(CX4,DB4)&gt;0,SUM(CX4,DB4),"")</f>
        <v>19.8</v>
      </c>
      <c r="DG4" s="13">
        <f t="shared" ref="DG4:DG10" si="43">IF(SUM(CO4:CP4,CR4)-CQ4&gt;0,SUM(CO4:CP4,CR4)-CQ4,"")</f>
        <v>34.5</v>
      </c>
      <c r="DH4" s="13">
        <f t="shared" ref="DH4:DH10" si="44">IF(SUM(CS4:CT4,CV4)-CU4&gt;0,SUM(CS4:CT4,CV4)-CU4,"")</f>
        <v>34.4</v>
      </c>
      <c r="DI4" s="13">
        <f t="shared" ref="DI4:DI10" si="45">IF(SUM(DG4:DH4)&gt;0,SUM(DG4:DH4),"")</f>
        <v>68.900000000000006</v>
      </c>
      <c r="DJ4" s="13">
        <f t="shared" ref="DJ4:DJ10" si="46">IF(SUM(CW4:CX4,CZ4:DB4,DD4)-SUM(CY4,DC4)&gt;0,SUM(CW4:CX4,CZ4:DB4,DD4)-SUM(CY4,DC4),"")</f>
        <v>72.2</v>
      </c>
      <c r="DK4" s="13">
        <f t="shared" ref="DK4:DK10" si="47">IF(SUM(DI4,DJ4)&gt;0,SUM(DI4,DJ4),"")</f>
        <v>141.10000000000002</v>
      </c>
      <c r="DL4" s="48">
        <v>26.1</v>
      </c>
      <c r="DM4" s="48">
        <v>8</v>
      </c>
      <c r="DN4" s="48">
        <v>0</v>
      </c>
      <c r="DO4" s="48">
        <v>0</v>
      </c>
      <c r="DP4" s="48">
        <v>25.2</v>
      </c>
      <c r="DQ4" s="48">
        <v>9.3000000000000007</v>
      </c>
      <c r="DR4" s="48">
        <v>0</v>
      </c>
      <c r="DS4" s="48">
        <v>0</v>
      </c>
      <c r="DT4" s="48">
        <v>25.9</v>
      </c>
      <c r="DU4" s="48">
        <v>8.6999999999999993</v>
      </c>
      <c r="DV4" s="48">
        <v>0</v>
      </c>
      <c r="DW4" s="48">
        <v>0</v>
      </c>
      <c r="DX4" s="48">
        <v>25.7</v>
      </c>
      <c r="DY4" s="48">
        <v>9.3000000000000007</v>
      </c>
      <c r="DZ4" s="48">
        <v>0</v>
      </c>
      <c r="EA4" s="48">
        <v>0</v>
      </c>
      <c r="EB4" s="16">
        <f t="shared" ref="EB4:EB10" si="48">IF(SUM(DM4,DQ4)&gt;0,SUM(DM4,DQ4),"")</f>
        <v>17.3</v>
      </c>
      <c r="EC4" s="16">
        <f t="shared" ref="EC4:EC10" si="49">IF(SUM(DU4,DY4)&gt;0,SUM(DU4,DY4),"")</f>
        <v>18</v>
      </c>
      <c r="ED4" s="16">
        <f t="shared" ref="ED4:ED10" si="50">IF(SUM(DL4:DM4,DO4)-DN4&gt;0,SUM(DL4:DM4,DO4)-DN4,"")</f>
        <v>34.1</v>
      </c>
      <c r="EE4" s="16">
        <f t="shared" ref="EE4:EE10" si="51">IF(SUM(DP4:DQ4,DS4)-DR4&gt;0,SUM(DP4:DQ4,DS4)-DR4,"")</f>
        <v>34.5</v>
      </c>
      <c r="EF4" s="16">
        <f t="shared" ref="EF4:EF10" si="52">IF(SUM(ED4:EE4)&gt;0,SUM(ED4:EE4),"")</f>
        <v>68.599999999999994</v>
      </c>
      <c r="EG4" s="16">
        <f t="shared" ref="EG4:EG10" si="53">IF(SUM(DT4:DU4,DW4:DY4,EA4)-SUM(DV4,DZ4)&gt;0,SUM(DT4:DU4,DW4:DY4,EA4)-SUM(DV4,DZ4),"")</f>
        <v>69.599999999999994</v>
      </c>
      <c r="EH4" s="16">
        <f t="shared" ref="EH4:EH10" si="54">IF(SUM(EF4,EG4)&gt;0,SUM(EF4,EG4),"")</f>
        <v>138.19999999999999</v>
      </c>
      <c r="EI4" s="47">
        <v>26.2</v>
      </c>
      <c r="EJ4" s="47">
        <v>8</v>
      </c>
      <c r="EK4" s="47">
        <v>0</v>
      </c>
      <c r="EL4" s="47">
        <v>0</v>
      </c>
      <c r="EM4" s="47">
        <v>24.8</v>
      </c>
      <c r="EN4" s="47">
        <v>9.9</v>
      </c>
      <c r="EO4" s="47">
        <v>0</v>
      </c>
      <c r="EP4" s="47">
        <v>0</v>
      </c>
      <c r="EQ4" s="47"/>
      <c r="ER4" s="47"/>
      <c r="ES4" s="47"/>
      <c r="ET4" s="47"/>
      <c r="EU4" s="47"/>
      <c r="EV4" s="47"/>
      <c r="EW4" s="47"/>
      <c r="EX4" s="47"/>
      <c r="EY4" s="13">
        <f t="shared" ref="EY4:EY10" si="55">IF(SUM(EJ4,EN4)&gt;0,SUM(EJ4,EN4),"")</f>
        <v>17.899999999999999</v>
      </c>
      <c r="EZ4" s="13" t="str">
        <f t="shared" ref="EZ4:EZ10" si="56">IF(SUM(ER4,EV4)&gt;0,SUM(ER4,EV4),"")</f>
        <v/>
      </c>
      <c r="FA4" s="13">
        <f t="shared" ref="FA4:FA10" si="57">IF(SUM(EI4:EJ4,EL4)-EK4&gt;0,SUM(EI4:EJ4,EL4)-EK4,"")</f>
        <v>34.200000000000003</v>
      </c>
      <c r="FB4" s="13">
        <f t="shared" ref="FB4:FB10" si="58">IF(SUM(EM4:EN4,EP4)-EO4&gt;0,SUM(EM4:EN4,EP4)-EO4,"")</f>
        <v>34.700000000000003</v>
      </c>
      <c r="FC4" s="13">
        <f t="shared" ref="FC4:FC10" si="59">IF(SUM(FA4:FB4)&gt;0,SUM(FA4:FB4),"")</f>
        <v>68.900000000000006</v>
      </c>
      <c r="FD4" s="13" t="str">
        <f t="shared" ref="FD4:FD10" si="60">IF(SUM(EQ4:ER4,ET4:EV4,EX4)-SUM(ES4,EW4)&gt;0,SUM(EQ4:ER4,ET4:EV4,EX4)-SUM(ES4,EW4),"")</f>
        <v/>
      </c>
      <c r="FE4" s="13">
        <f t="shared" ref="FE4:FE10" si="61">IF(SUM(FC4,FD4)&gt;0,SUM(FC4,FD4),"")</f>
        <v>68.900000000000006</v>
      </c>
      <c r="FF4" s="48"/>
      <c r="FG4" s="48"/>
      <c r="FH4" s="48"/>
      <c r="FI4" s="48"/>
      <c r="FJ4" s="48"/>
      <c r="FK4" s="48"/>
      <c r="FL4" s="48"/>
      <c r="FM4" s="48"/>
      <c r="FN4" s="48"/>
      <c r="FO4" s="48"/>
      <c r="FP4" s="48"/>
      <c r="FQ4" s="48"/>
      <c r="FR4" s="48"/>
      <c r="FS4" s="48"/>
      <c r="FT4" s="48"/>
      <c r="FU4" s="48"/>
      <c r="FV4" s="16" t="str">
        <f t="shared" ref="FV4:FV10" si="62">IF(SUM(FG4,FK4)&gt;0,SUM(FG4,FK4),"")</f>
        <v/>
      </c>
      <c r="FW4" s="16" t="str">
        <f t="shared" ref="FW4:FW10" si="63">IF(SUM(FO4,FS4)&gt;0,SUM(FO4,FS4),"")</f>
        <v/>
      </c>
      <c r="FX4" s="16" t="str">
        <f t="shared" ref="FX4:FX10" si="64">IF(SUM(FF4:FG4,FI4)-FH4&gt;0,SUM(FF4:FG4,FI4)-FH4,"")</f>
        <v/>
      </c>
      <c r="FY4" s="16" t="str">
        <f t="shared" ref="FY4:FY10" si="65">IF(SUM(FJ4:FK4,FM4)-FL4&gt;0,SUM(FJ4:FK4,FM4)-FL4,"")</f>
        <v/>
      </c>
      <c r="FZ4" s="16" t="str">
        <f t="shared" ref="FZ4:FZ10" si="66">IF(SUM(FX4:FY4)&gt;0,SUM(FX4:FY4),"")</f>
        <v/>
      </c>
      <c r="GA4" s="16" t="str">
        <f t="shared" ref="GA4:GA10" si="67">IF(SUM(FN4:FO4,FQ4:FS4,FU4)-SUM(FP4,FT4)&gt;0,SUM(FN4:FO4,FQ4:FS4,FU4)-SUM(FP4,FT4),"")</f>
        <v/>
      </c>
      <c r="GB4" s="16" t="str">
        <f t="shared" ref="GB4:GB10" si="68">IF(SUM(FZ4,GA4)&gt;0,SUM(FZ4,GA4),"")</f>
        <v/>
      </c>
      <c r="GC4" s="47"/>
      <c r="GD4" s="47"/>
      <c r="GE4" s="47"/>
      <c r="GF4" s="47"/>
      <c r="GG4" s="47"/>
      <c r="GH4" s="47"/>
      <c r="GI4" s="47"/>
      <c r="GJ4" s="47"/>
      <c r="GK4" s="47"/>
      <c r="GL4" s="47"/>
      <c r="GM4" s="47"/>
      <c r="GN4" s="47"/>
      <c r="GO4" s="47"/>
      <c r="GP4" s="47"/>
      <c r="GQ4" s="47"/>
      <c r="GR4" s="47"/>
      <c r="GS4" s="13" t="str">
        <f t="shared" ref="GS4:GS10" si="69">IF(SUM(GD4,GH4)&gt;0,SUM(GD4,GH4),"")</f>
        <v/>
      </c>
      <c r="GT4" s="13" t="str">
        <f t="shared" ref="GT4:GT10" si="70">IF(SUM(GL4,GP4)&gt;0,SUM(GL4,GP4),"")</f>
        <v/>
      </c>
      <c r="GU4" s="13" t="str">
        <f t="shared" ref="GU4:GU10" si="71">IF(SUM(GC4:GD4,GF4)-GE4&gt;0,SUM(GC4:GD4,GF4)-GE4,"")</f>
        <v/>
      </c>
      <c r="GV4" s="13" t="str">
        <f t="shared" ref="GV4:GV10" si="72">IF(SUM(GG4:GH4,GJ4)-GI4&gt;0,SUM(GG4:GH4,GJ4)-GI4,"")</f>
        <v/>
      </c>
      <c r="GW4" s="13" t="str">
        <f t="shared" ref="GW4:GW10" si="73">IF(SUM(GU4:GV4)&gt;0,SUM(GU4:GV4),"")</f>
        <v/>
      </c>
      <c r="GX4" s="13" t="str">
        <f t="shared" ref="GX4:GX10" si="74">IF(SUM(GK4:GL4,GN4:GP4,GR4)-SUM(GM4,GQ4)&gt;0,SUM(GK4:GL4,GN4:GP4,GR4)-SUM(GM4,GQ4),"")</f>
        <v/>
      </c>
      <c r="GY4" s="13" t="str">
        <f t="shared" ref="GY4:GY10" si="75">IF(SUM(GW4,GX4)&gt;0,SUM(GW4,GX4),"")</f>
        <v/>
      </c>
      <c r="GZ4" s="48"/>
      <c r="HA4" s="48"/>
      <c r="HB4" s="48"/>
      <c r="HC4" s="48"/>
      <c r="HD4" s="48"/>
      <c r="HE4" s="48"/>
      <c r="HF4" s="48"/>
      <c r="HG4" s="48"/>
      <c r="HH4" s="48"/>
      <c r="HI4" s="48"/>
      <c r="HJ4" s="48"/>
      <c r="HK4" s="48"/>
      <c r="HL4" s="48"/>
      <c r="HM4" s="48"/>
      <c r="HN4" s="48"/>
      <c r="HO4" s="48"/>
      <c r="HP4" s="16" t="str">
        <f t="shared" ref="HP4:HP10" si="76">IF(SUM(HA4,HE4)&gt;0,SUM(HA4,HE4),"")</f>
        <v/>
      </c>
      <c r="HQ4" s="16" t="str">
        <f t="shared" ref="HQ4:HQ10" si="77">IF(SUM(HI4,HM4)&gt;0,SUM(HI4,HM4),"")</f>
        <v/>
      </c>
      <c r="HR4" s="16" t="str">
        <f t="shared" ref="HR4:HR10" si="78">IF(SUM(GZ4:HA4,HC4)-HB4&gt;0,SUM(GZ4:HA4,HC4)-HB4,"")</f>
        <v/>
      </c>
      <c r="HS4" s="16" t="str">
        <f t="shared" ref="HS4:HS10" si="79">IF(SUM(HD4:HE4,HG4)-HF4&gt;0,SUM(HD4:HE4,HG4)-HF4,"")</f>
        <v/>
      </c>
      <c r="HT4" s="16" t="str">
        <f t="shared" ref="HT4:HT10" si="80">IF(SUM(HR4:HS4)&gt;0,SUM(HR4:HS4),"")</f>
        <v/>
      </c>
      <c r="HU4" s="16" t="str">
        <f t="shared" ref="HU4:HU10" si="81">IF(SUM(HH4:HI4,HK4:HM4,HO4)-SUM(HJ4,HN4)&gt;0,SUM(HH4:HI4,HK4:HM4,HO4)-SUM(HJ4,HN4),"")</f>
        <v/>
      </c>
      <c r="HV4" s="16" t="str">
        <f t="shared" ref="HV4:HV10" si="82">IF(SUM(HT4,HU4)&gt;0,SUM(HT4,HU4),"")</f>
        <v/>
      </c>
      <c r="HW4" s="47"/>
      <c r="HX4" s="47"/>
      <c r="HY4" s="47"/>
      <c r="HZ4" s="47"/>
      <c r="IA4" s="47"/>
      <c r="IB4" s="47"/>
      <c r="IC4" s="47"/>
      <c r="ID4" s="47"/>
      <c r="IE4" s="47"/>
      <c r="IF4" s="47"/>
      <c r="IG4" s="47"/>
      <c r="IH4" s="47"/>
      <c r="II4" s="47"/>
      <c r="IJ4" s="47"/>
      <c r="IK4" s="47"/>
      <c r="IL4" s="47"/>
      <c r="IM4" s="13" t="str">
        <f t="shared" ref="IM4:IM10" si="83">IF(SUM(HX4,IB4)&gt;0,SUM(HX4,IB4),"")</f>
        <v/>
      </c>
      <c r="IN4" s="13" t="str">
        <f t="shared" ref="IN4:IN10" si="84">IF(SUM(IF4,IJ4)&gt;0,SUM(IF4,IJ4),"")</f>
        <v/>
      </c>
      <c r="IO4" s="13" t="str">
        <f t="shared" ref="IO4:IO10" si="85">IF(SUM(HW4:HX4,HZ4)-HY4&gt;0,SUM(HW4:HX4,HZ4)-HY4,"")</f>
        <v/>
      </c>
      <c r="IP4" s="13" t="str">
        <f t="shared" ref="IP4:IP10" si="86">IF(SUM(IA4:IB4,ID4)-IC4&gt;0,SUM(IA4:IB4,ID4)-IC4,"")</f>
        <v/>
      </c>
      <c r="IQ4" s="13" t="str">
        <f t="shared" ref="IQ4:IQ10" si="87">IF(SUM(IO4:IP4)&gt;0,SUM(IO4:IP4),"")</f>
        <v/>
      </c>
      <c r="IR4" s="13" t="str">
        <f t="shared" ref="IR4:IR10" si="88">IF(SUM(IE4:IF4,IH4:IJ4,IL4)-SUM(IG4,IK4)&gt;0,SUM(IE4:IF4,IH4:IJ4,IL4)-SUM(IG4,IK4),"")</f>
        <v/>
      </c>
      <c r="IS4" s="13" t="str">
        <f t="shared" ref="IS4:IS10" si="89">IF(SUM(IQ4,IR4)&gt;0,SUM(IQ4,IR4),"")</f>
        <v/>
      </c>
      <c r="IT4" s="48"/>
      <c r="IU4" s="48"/>
      <c r="IV4" s="48"/>
      <c r="IW4" s="48"/>
      <c r="IX4" s="48"/>
      <c r="IY4" s="48"/>
      <c r="IZ4" s="48"/>
      <c r="JA4" s="48"/>
      <c r="JB4" s="48"/>
      <c r="JC4" s="48"/>
      <c r="JD4" s="48"/>
      <c r="JE4" s="48"/>
      <c r="JF4" s="48"/>
      <c r="JG4" s="48"/>
      <c r="JH4" s="48"/>
      <c r="JI4" s="48"/>
      <c r="JJ4" s="16" t="str">
        <f t="shared" ref="JJ4:JJ10" si="90">IF(SUM(IU4,IY4)&gt;0,SUM(IU4,IY4),"")</f>
        <v/>
      </c>
      <c r="JK4" s="16" t="str">
        <f t="shared" ref="JK4:JK10" si="91">IF(SUM(JC4,JG4)&gt;0,SUM(JC4,JG4),"")</f>
        <v/>
      </c>
      <c r="JL4" s="16" t="str">
        <f t="shared" ref="JL4:JL10" si="92">IF(SUM(IT4:IU4,IW4)-IV4&gt;0,SUM(IT4:IU4,IW4)-IV4,"")</f>
        <v/>
      </c>
      <c r="JM4" s="16" t="str">
        <f t="shared" ref="JM4:JM10" si="93">IF(SUM(IX4:IY4,JA4)-IZ4&gt;0,SUM(IX4:IY4,JA4)-IZ4,"")</f>
        <v/>
      </c>
      <c r="JN4" s="16" t="str">
        <f t="shared" ref="JN4:JN10" si="94">IF(SUM(JL4:JM4)&gt;0,SUM(JL4:JM4),"")</f>
        <v/>
      </c>
      <c r="JO4" s="16" t="str">
        <f t="shared" ref="JO4:JO10" si="95">IF(SUM(JB4:JC4,JE4:JG4,JI4)-SUM(JD4,JH4)&gt;0,SUM(JB4:JC4,JE4:JG4,JI4)-SUM(JD4,JH4),"")</f>
        <v/>
      </c>
      <c r="JP4" s="16" t="str">
        <f t="shared" ref="JP4:JP10" si="96">IF(SUM(JN4,JO4)&gt;0,SUM(JN4,JO4),"")</f>
        <v/>
      </c>
      <c r="JQ4" s="47"/>
      <c r="JR4" s="47"/>
      <c r="JS4" s="47"/>
      <c r="JT4" s="47"/>
      <c r="JU4" s="47"/>
      <c r="JV4" s="47"/>
      <c r="JW4" s="47"/>
      <c r="JX4" s="47"/>
      <c r="JY4" s="47"/>
      <c r="JZ4" s="47"/>
      <c r="KA4" s="47"/>
      <c r="KB4" s="47"/>
      <c r="KC4" s="47"/>
      <c r="KD4" s="47"/>
      <c r="KE4" s="47"/>
      <c r="KF4" s="47"/>
      <c r="KG4" s="13" t="str">
        <f t="shared" ref="KG4:KG10" si="97">IF(SUM(JR4,JV4)&gt;0,SUM(JR4,JV4),"")</f>
        <v/>
      </c>
      <c r="KH4" s="13" t="str">
        <f t="shared" ref="KH4:KH10" si="98">IF(SUM(JZ4,KD4)&gt;0,SUM(JZ4,KD4),"")</f>
        <v/>
      </c>
      <c r="KI4" s="13" t="str">
        <f t="shared" ref="KI4:KI10" si="99">IF(SUM(JQ4:JR4,JT4)-JS4&gt;0,SUM(JQ4:JR4,JT4)-JS4,"")</f>
        <v/>
      </c>
      <c r="KJ4" s="13" t="str">
        <f t="shared" ref="KJ4:KJ10" si="100">IF(SUM(JU4:JV4,JX4)-JW4&gt;0,SUM(JU4:JV4,JX4)-JW4,"")</f>
        <v/>
      </c>
      <c r="KK4" s="13" t="str">
        <f t="shared" ref="KK4:KK10" si="101">IF(SUM(KI4:KJ4)&gt;0,SUM(KI4:KJ4),"")</f>
        <v/>
      </c>
      <c r="KL4" s="13" t="str">
        <f t="shared" ref="KL4:KL10" si="102">IF(SUM(JY4:JZ4,KB4:KD4,KF4)-SUM(KA4,KE4)&gt;0,SUM(JY4:JZ4,KB4:KD4,KF4)-SUM(KA4,KE4),"")</f>
        <v/>
      </c>
      <c r="KM4" s="13" t="str">
        <f t="shared" ref="KM4:KM10" si="103">IF(SUM(KK4,KL4)&gt;0,SUM(KK4,KL4),"")</f>
        <v/>
      </c>
      <c r="KN4" s="48"/>
      <c r="KO4" s="48"/>
      <c r="KP4" s="48"/>
      <c r="KQ4" s="48"/>
      <c r="KR4" s="48"/>
      <c r="KS4" s="48"/>
      <c r="KT4" s="48"/>
      <c r="KU4" s="48"/>
      <c r="KV4" s="48"/>
      <c r="KW4" s="48"/>
      <c r="KX4" s="48"/>
      <c r="KY4" s="48"/>
      <c r="KZ4" s="48"/>
      <c r="LA4" s="48"/>
      <c r="LB4" s="48"/>
      <c r="LC4" s="48"/>
      <c r="LD4" s="16" t="str">
        <f t="shared" ref="LD4:LD10" si="104">IF(SUM(KO4,KS4)&gt;0,SUM(KO4,KS4),"")</f>
        <v/>
      </c>
      <c r="LE4" s="16" t="str">
        <f t="shared" ref="LE4:LE10" si="105">IF(SUM(KW4,LA4)&gt;0,SUM(KW4,LA4),"")</f>
        <v/>
      </c>
      <c r="LF4" s="16" t="str">
        <f t="shared" ref="LF4:LF10" si="106">IF(SUM(KN4:KO4,KQ4)-KP4&gt;0,SUM(KN4:KO4,KQ4)-KP4,"")</f>
        <v/>
      </c>
      <c r="LG4" s="16" t="str">
        <f t="shared" ref="LG4:LG10" si="107">IF(SUM(KR4:KS4,KU4)-KT4&gt;0,SUM(KR4:KS4,KU4)-KT4,"")</f>
        <v/>
      </c>
      <c r="LH4" s="16" t="str">
        <f t="shared" ref="LH4:LH10" si="108">IF(SUM(LF4:LG4)&gt;0,SUM(LF4:LG4),"")</f>
        <v/>
      </c>
      <c r="LI4" s="16" t="str">
        <f t="shared" ref="LI4:LI10" si="109">IF(SUM(KV4:KW4,KY4:LA4,LC4)-SUM(KX4,LB4)&gt;0,SUM(KV4:KW4,KY4:LA4,LC4)-SUM(KX4,LB4),"")</f>
        <v/>
      </c>
      <c r="LJ4" s="16" t="str">
        <f t="shared" ref="LJ4:LJ10" si="110">IF(SUM(LH4,LI4)&gt;0,SUM(LH4,LI4),"")</f>
        <v/>
      </c>
      <c r="LK4" s="47"/>
      <c r="LL4" s="47"/>
      <c r="LM4" s="47"/>
      <c r="LN4" s="47"/>
      <c r="LO4" s="47"/>
      <c r="LP4" s="47"/>
      <c r="LQ4" s="47"/>
      <c r="LR4" s="47"/>
      <c r="LS4" s="47"/>
      <c r="LT4" s="47"/>
      <c r="LU4" s="47"/>
      <c r="LV4" s="47"/>
      <c r="LW4" s="47"/>
      <c r="LX4" s="47"/>
      <c r="LY4" s="47"/>
      <c r="LZ4" s="47"/>
      <c r="MA4" s="13" t="str">
        <f t="shared" ref="MA4:MA10" si="111">IF(SUM(LL4,LP4)&gt;0,SUM(LL4,LP4),"")</f>
        <v/>
      </c>
      <c r="MB4" s="13" t="str">
        <f t="shared" ref="MB4:MB10" si="112">IF(SUM(LT4,LX4)&gt;0,SUM(LT4,LX4),"")</f>
        <v/>
      </c>
      <c r="MC4" s="13" t="str">
        <f t="shared" ref="MC4:MC10" si="113">IF(SUM(LK4:LL4,LN4)-LM4&gt;0,SUM(LK4:LL4,LN4)-LM4,"")</f>
        <v/>
      </c>
      <c r="MD4" s="13" t="str">
        <f t="shared" ref="MD4:MD10" si="114">IF(SUM(LO4:LP4,LR4)-LQ4&gt;0,SUM(LO4:LP4,LR4)-LQ4,"")</f>
        <v/>
      </c>
      <c r="ME4" s="13" t="str">
        <f t="shared" ref="ME4:ME10" si="115">IF(SUM(MC4:MD4)&gt;0,SUM(MC4:MD4),"")</f>
        <v/>
      </c>
      <c r="MF4" s="13" t="str">
        <f t="shared" ref="MF4:MF10" si="116">IF(SUM(LS4:LT4,LV4:LX4,LZ4)-SUM(LU4,LY4)&gt;0,SUM(LS4:LT4,LV4:LX4,LZ4)-SUM(LU4,LY4),"")</f>
        <v/>
      </c>
      <c r="MG4" s="13" t="str">
        <f t="shared" ref="MG4:MG10" si="117">IF(SUM(ME4,MF4)&gt;0,SUM(ME4,MF4),"")</f>
        <v/>
      </c>
      <c r="MH4" s="48"/>
      <c r="MI4" s="48"/>
      <c r="MJ4" s="48"/>
      <c r="MK4" s="48"/>
      <c r="ML4" s="48"/>
      <c r="MM4" s="48"/>
      <c r="MN4" s="48"/>
      <c r="MO4" s="48"/>
      <c r="MP4" s="48"/>
      <c r="MQ4" s="48"/>
      <c r="MR4" s="48"/>
      <c r="MS4" s="48"/>
      <c r="MT4" s="48"/>
      <c r="MU4" s="48"/>
      <c r="MV4" s="48"/>
      <c r="MW4" s="48"/>
      <c r="MX4" s="16" t="str">
        <f t="shared" ref="MX4:MX10" si="118">IF(SUM(MI4,MM4)&gt;0,SUM(MI4,MM4),"")</f>
        <v/>
      </c>
      <c r="MY4" s="16" t="str">
        <f t="shared" ref="MY4:MY10" si="119">IF(SUM(MQ4,MU4)&gt;0,SUM(MQ4,MU4),"")</f>
        <v/>
      </c>
      <c r="MZ4" s="16" t="str">
        <f t="shared" ref="MZ4:MZ10" si="120">IF(SUM(MH4:MI4,MK4)-MJ4&gt;0,SUM(MH4:MI4,MK4)-MJ4,"")</f>
        <v/>
      </c>
      <c r="NA4" s="16" t="str">
        <f t="shared" ref="NA4:NA10" si="121">IF(SUM(ML4:MM4,MO4)-MN4&gt;0,SUM(ML4:MM4,MO4)-MN4,"")</f>
        <v/>
      </c>
      <c r="NB4" s="16" t="str">
        <f t="shared" ref="NB4:NB10" si="122">IF(SUM(MZ4:NA4)&gt;0,SUM(MZ4:NA4),"")</f>
        <v/>
      </c>
      <c r="NC4" s="16" t="str">
        <f t="shared" ref="NC4:NC10" si="123">IF(SUM(MP4:MQ4,MS4:MU4,MW4)-SUM(MR4,MV4)&gt;0,SUM(MP4:MQ4,MS4:MU4,MW4)-SUM(MR4,MV4),"")</f>
        <v/>
      </c>
      <c r="ND4" s="16" t="str">
        <f t="shared" ref="ND4:ND10" si="124">IF(SUM(NB4,NC4)&gt;0,SUM(NB4,NC4),"")</f>
        <v/>
      </c>
    </row>
    <row r="5" spans="1:368" x14ac:dyDescent="0.2">
      <c r="A5" s="6">
        <f t="shared" si="0"/>
        <v>2</v>
      </c>
      <c r="B5" s="9" t="s">
        <v>72</v>
      </c>
      <c r="C5" s="5" t="s">
        <v>6</v>
      </c>
      <c r="D5" s="33">
        <v>2018</v>
      </c>
      <c r="E5" s="17">
        <f t="shared" si="1"/>
        <v>192.20000000000002</v>
      </c>
      <c r="F5" s="4" t="str">
        <f t="shared" si="2"/>
        <v>P</v>
      </c>
      <c r="G5" s="4" t="str">
        <f t="shared" si="3"/>
        <v>P</v>
      </c>
      <c r="H5" s="4" t="str">
        <f t="shared" si="4"/>
        <v>P</v>
      </c>
      <c r="I5" t="str">
        <f t="shared" si="5"/>
        <v>Worlds Team</v>
      </c>
      <c r="J5" s="16">
        <f t="shared" si="6"/>
        <v>65.900000000000006</v>
      </c>
      <c r="K5" s="16" t="str">
        <f t="shared" si="7"/>
        <v>2018 Nationals</v>
      </c>
      <c r="L5" s="16">
        <f t="shared" si="8"/>
        <v>29.299999999999997</v>
      </c>
      <c r="M5" s="16" t="str">
        <f t="shared" si="9"/>
        <v>2018 Canada Cup</v>
      </c>
      <c r="N5" s="16">
        <f t="shared" si="10"/>
        <v>33.700000000000003</v>
      </c>
      <c r="O5" s="16" t="str">
        <f t="shared" si="11"/>
        <v>2018 Canada Cup</v>
      </c>
      <c r="P5" s="16">
        <f t="shared" si="12"/>
        <v>63.300000000000004</v>
      </c>
      <c r="Q5" s="16" t="str">
        <f t="shared" si="13"/>
        <v>2018 Canada Cup</v>
      </c>
      <c r="R5" s="16" t="str">
        <f t="shared" si="14"/>
        <v/>
      </c>
      <c r="S5" s="31" t="str">
        <f t="shared" si="15"/>
        <v/>
      </c>
      <c r="T5" s="16" t="str">
        <f t="shared" si="16"/>
        <v/>
      </c>
      <c r="U5" s="86"/>
      <c r="V5" s="86"/>
      <c r="W5" s="86"/>
      <c r="X5" s="86"/>
      <c r="Y5" s="86"/>
      <c r="Z5" s="86"/>
      <c r="AA5" s="86"/>
      <c r="AB5" s="86"/>
      <c r="AC5" s="86"/>
      <c r="AD5" s="86"/>
      <c r="AE5" s="86"/>
      <c r="AF5" s="86"/>
      <c r="AG5" s="86"/>
      <c r="AH5" s="86"/>
      <c r="AI5" s="86"/>
      <c r="AJ5" s="86"/>
      <c r="AK5" s="13" t="str">
        <f t="shared" si="17"/>
        <v/>
      </c>
      <c r="AL5" s="13" t="str">
        <f t="shared" si="18"/>
        <v/>
      </c>
      <c r="AM5" s="13" t="str">
        <f t="shared" si="19"/>
        <v/>
      </c>
      <c r="AN5" s="13" t="str">
        <f t="shared" si="20"/>
        <v/>
      </c>
      <c r="AO5" s="13" t="str">
        <f t="shared" si="21"/>
        <v/>
      </c>
      <c r="AP5" s="13" t="str">
        <f t="shared" si="22"/>
        <v/>
      </c>
      <c r="AQ5" s="13" t="str">
        <f t="shared" si="23"/>
        <v/>
      </c>
      <c r="AR5" s="48">
        <v>24.2</v>
      </c>
      <c r="AS5" s="48">
        <v>4.7</v>
      </c>
      <c r="AT5" s="48">
        <v>0.6</v>
      </c>
      <c r="AU5" s="48">
        <v>1</v>
      </c>
      <c r="AV5" s="48">
        <v>26.8</v>
      </c>
      <c r="AW5" s="48">
        <v>6.9</v>
      </c>
      <c r="AX5" s="48">
        <v>0</v>
      </c>
      <c r="AY5" s="48">
        <v>0</v>
      </c>
      <c r="AZ5" s="48">
        <v>23.7</v>
      </c>
      <c r="BA5" s="48">
        <v>6.9</v>
      </c>
      <c r="BB5" s="48">
        <v>0</v>
      </c>
      <c r="BC5" s="48">
        <v>0</v>
      </c>
      <c r="BD5" s="48">
        <v>25.8</v>
      </c>
      <c r="BE5" s="48">
        <v>6.9</v>
      </c>
      <c r="BF5" s="48">
        <v>0</v>
      </c>
      <c r="BG5" s="48">
        <v>0</v>
      </c>
      <c r="BH5" s="16">
        <f t="shared" si="24"/>
        <v>11.600000000000001</v>
      </c>
      <c r="BI5" s="16">
        <f t="shared" si="25"/>
        <v>13.8</v>
      </c>
      <c r="BJ5" s="16">
        <f t="shared" si="26"/>
        <v>29.299999999999997</v>
      </c>
      <c r="BK5" s="16">
        <f t="shared" si="27"/>
        <v>33.700000000000003</v>
      </c>
      <c r="BL5" s="16">
        <f t="shared" si="28"/>
        <v>63</v>
      </c>
      <c r="BM5" s="16">
        <f t="shared" si="29"/>
        <v>63.300000000000004</v>
      </c>
      <c r="BN5" s="16">
        <f t="shared" si="30"/>
        <v>126.30000000000001</v>
      </c>
      <c r="BO5" s="47">
        <v>25</v>
      </c>
      <c r="BP5" s="47">
        <v>6.9</v>
      </c>
      <c r="BQ5" s="47">
        <v>0</v>
      </c>
      <c r="BR5" s="47">
        <v>1</v>
      </c>
      <c r="BS5" s="47">
        <v>26.4</v>
      </c>
      <c r="BT5" s="47">
        <v>6.9</v>
      </c>
      <c r="BU5" s="47">
        <v>0.3</v>
      </c>
      <c r="BV5" s="47">
        <v>0</v>
      </c>
      <c r="BW5" s="47">
        <v>25.9</v>
      </c>
      <c r="BX5" s="47">
        <v>7.3</v>
      </c>
      <c r="BY5" s="47">
        <v>0</v>
      </c>
      <c r="BZ5" s="47">
        <v>1</v>
      </c>
      <c r="CA5" s="47">
        <v>25.2</v>
      </c>
      <c r="CB5" s="47">
        <v>3.7</v>
      </c>
      <c r="CC5" s="47">
        <v>0</v>
      </c>
      <c r="CD5" s="47">
        <v>0</v>
      </c>
      <c r="CE5" s="13">
        <f t="shared" si="31"/>
        <v>13.8</v>
      </c>
      <c r="CF5" s="13">
        <f t="shared" si="32"/>
        <v>11</v>
      </c>
      <c r="CG5" s="13">
        <f t="shared" si="33"/>
        <v>32.9</v>
      </c>
      <c r="CH5" s="13">
        <f t="shared" si="34"/>
        <v>33</v>
      </c>
      <c r="CI5" s="13">
        <f t="shared" si="35"/>
        <v>65.900000000000006</v>
      </c>
      <c r="CJ5" s="13">
        <f t="shared" si="36"/>
        <v>63.099999999999994</v>
      </c>
      <c r="CK5" s="13">
        <f t="shared" si="37"/>
        <v>129</v>
      </c>
      <c r="CL5" s="30" t="str">
        <f t="shared" si="38"/>
        <v/>
      </c>
      <c r="CM5" s="30" t="str">
        <f t="shared" si="39"/>
        <v/>
      </c>
      <c r="CN5" s="30" t="str">
        <f t="shared" si="40"/>
        <v/>
      </c>
      <c r="CO5" s="47"/>
      <c r="CP5" s="47"/>
      <c r="CQ5" s="47"/>
      <c r="CR5" s="47"/>
      <c r="CS5" s="47"/>
      <c r="CT5" s="47"/>
      <c r="CU5" s="47"/>
      <c r="CV5" s="47"/>
      <c r="CW5" s="47"/>
      <c r="CX5" s="47"/>
      <c r="CY5" s="47"/>
      <c r="CZ5" s="47"/>
      <c r="DA5" s="47"/>
      <c r="DB5" s="47"/>
      <c r="DC5" s="47"/>
      <c r="DD5" s="47"/>
      <c r="DE5" s="13" t="str">
        <f t="shared" si="41"/>
        <v/>
      </c>
      <c r="DF5" s="13" t="str">
        <f t="shared" si="42"/>
        <v/>
      </c>
      <c r="DG5" s="13" t="str">
        <f t="shared" si="43"/>
        <v/>
      </c>
      <c r="DH5" s="13" t="str">
        <f t="shared" si="44"/>
        <v/>
      </c>
      <c r="DI5" s="13" t="str">
        <f t="shared" si="45"/>
        <v/>
      </c>
      <c r="DJ5" s="13" t="str">
        <f t="shared" si="46"/>
        <v/>
      </c>
      <c r="DK5" s="13" t="str">
        <f t="shared" si="47"/>
        <v/>
      </c>
      <c r="DL5" s="48"/>
      <c r="DM5" s="48"/>
      <c r="DN5" s="48"/>
      <c r="DO5" s="48"/>
      <c r="DP5" s="48"/>
      <c r="DQ5" s="48"/>
      <c r="DR5" s="48"/>
      <c r="DS5" s="48"/>
      <c r="DT5" s="48"/>
      <c r="DU5" s="48"/>
      <c r="DV5" s="48"/>
      <c r="DW5" s="48"/>
      <c r="DX5" s="48"/>
      <c r="DY5" s="48"/>
      <c r="DZ5" s="48"/>
      <c r="EA5" s="48"/>
      <c r="EB5" s="16" t="str">
        <f t="shared" si="48"/>
        <v/>
      </c>
      <c r="EC5" s="16" t="str">
        <f t="shared" si="49"/>
        <v/>
      </c>
      <c r="ED5" s="16" t="str">
        <f t="shared" si="50"/>
        <v/>
      </c>
      <c r="EE5" s="16" t="str">
        <f t="shared" si="51"/>
        <v/>
      </c>
      <c r="EF5" s="16" t="str">
        <f t="shared" si="52"/>
        <v/>
      </c>
      <c r="EG5" s="16" t="str">
        <f t="shared" si="53"/>
        <v/>
      </c>
      <c r="EH5" s="16" t="str">
        <f t="shared" si="54"/>
        <v/>
      </c>
      <c r="EI5" s="47"/>
      <c r="EJ5" s="47"/>
      <c r="EK5" s="47"/>
      <c r="EL5" s="47"/>
      <c r="EM5" s="47"/>
      <c r="EN5" s="47"/>
      <c r="EO5" s="47"/>
      <c r="EP5" s="47"/>
      <c r="EQ5" s="47"/>
      <c r="ER5" s="47"/>
      <c r="ES5" s="47"/>
      <c r="ET5" s="47"/>
      <c r="EU5" s="47"/>
      <c r="EV5" s="47"/>
      <c r="EW5" s="47"/>
      <c r="EX5" s="47"/>
      <c r="EY5" s="13" t="str">
        <f t="shared" si="55"/>
        <v/>
      </c>
      <c r="EZ5" s="13" t="str">
        <f t="shared" si="56"/>
        <v/>
      </c>
      <c r="FA5" s="13" t="str">
        <f t="shared" si="57"/>
        <v/>
      </c>
      <c r="FB5" s="13" t="str">
        <f t="shared" si="58"/>
        <v/>
      </c>
      <c r="FC5" s="13" t="str">
        <f t="shared" si="59"/>
        <v/>
      </c>
      <c r="FD5" s="13" t="str">
        <f t="shared" si="60"/>
        <v/>
      </c>
      <c r="FE5" s="13" t="str">
        <f t="shared" si="61"/>
        <v/>
      </c>
      <c r="FF5" s="48"/>
      <c r="FG5" s="48"/>
      <c r="FH5" s="48"/>
      <c r="FI5" s="48"/>
      <c r="FJ5" s="48"/>
      <c r="FK5" s="48"/>
      <c r="FL5" s="48"/>
      <c r="FM5" s="48"/>
      <c r="FN5" s="48"/>
      <c r="FO5" s="48"/>
      <c r="FP5" s="48"/>
      <c r="FQ5" s="48"/>
      <c r="FR5" s="48"/>
      <c r="FS5" s="48"/>
      <c r="FT5" s="48"/>
      <c r="FU5" s="48"/>
      <c r="FV5" s="16" t="str">
        <f t="shared" si="62"/>
        <v/>
      </c>
      <c r="FW5" s="16" t="str">
        <f t="shared" si="63"/>
        <v/>
      </c>
      <c r="FX5" s="16" t="str">
        <f t="shared" si="64"/>
        <v/>
      </c>
      <c r="FY5" s="16" t="str">
        <f t="shared" si="65"/>
        <v/>
      </c>
      <c r="FZ5" s="16" t="str">
        <f t="shared" si="66"/>
        <v/>
      </c>
      <c r="GA5" s="16" t="str">
        <f t="shared" si="67"/>
        <v/>
      </c>
      <c r="GB5" s="16" t="str">
        <f t="shared" si="68"/>
        <v/>
      </c>
      <c r="GC5" s="47"/>
      <c r="GD5" s="47"/>
      <c r="GE5" s="47"/>
      <c r="GF5" s="47"/>
      <c r="GG5" s="47"/>
      <c r="GH5" s="47"/>
      <c r="GI5" s="47"/>
      <c r="GJ5" s="47"/>
      <c r="GK5" s="47"/>
      <c r="GL5" s="47"/>
      <c r="GM5" s="47"/>
      <c r="GN5" s="47"/>
      <c r="GO5" s="47"/>
      <c r="GP5" s="47"/>
      <c r="GQ5" s="47"/>
      <c r="GR5" s="47"/>
      <c r="GS5" s="13" t="str">
        <f t="shared" si="69"/>
        <v/>
      </c>
      <c r="GT5" s="13" t="str">
        <f t="shared" si="70"/>
        <v/>
      </c>
      <c r="GU5" s="13" t="str">
        <f t="shared" si="71"/>
        <v/>
      </c>
      <c r="GV5" s="13" t="str">
        <f t="shared" si="72"/>
        <v/>
      </c>
      <c r="GW5" s="13" t="str">
        <f t="shared" si="73"/>
        <v/>
      </c>
      <c r="GX5" s="13" t="str">
        <f t="shared" si="74"/>
        <v/>
      </c>
      <c r="GY5" s="13" t="str">
        <f t="shared" si="75"/>
        <v/>
      </c>
      <c r="GZ5" s="48"/>
      <c r="HA5" s="48"/>
      <c r="HB5" s="48"/>
      <c r="HC5" s="48"/>
      <c r="HD5" s="48"/>
      <c r="HE5" s="48"/>
      <c r="HF5" s="48"/>
      <c r="HG5" s="48"/>
      <c r="HH5" s="48"/>
      <c r="HI5" s="48"/>
      <c r="HJ5" s="48"/>
      <c r="HK5" s="48"/>
      <c r="HL5" s="48"/>
      <c r="HM5" s="48"/>
      <c r="HN5" s="48"/>
      <c r="HO5" s="48"/>
      <c r="HP5" s="16" t="str">
        <f t="shared" si="76"/>
        <v/>
      </c>
      <c r="HQ5" s="16" t="str">
        <f t="shared" si="77"/>
        <v/>
      </c>
      <c r="HR5" s="16" t="str">
        <f t="shared" si="78"/>
        <v/>
      </c>
      <c r="HS5" s="16" t="str">
        <f t="shared" si="79"/>
        <v/>
      </c>
      <c r="HT5" s="16" t="str">
        <f t="shared" si="80"/>
        <v/>
      </c>
      <c r="HU5" s="16" t="str">
        <f t="shared" si="81"/>
        <v/>
      </c>
      <c r="HV5" s="16" t="str">
        <f t="shared" si="82"/>
        <v/>
      </c>
      <c r="HW5" s="47"/>
      <c r="HX5" s="47"/>
      <c r="HY5" s="47"/>
      <c r="HZ5" s="47"/>
      <c r="IA5" s="47"/>
      <c r="IB5" s="47"/>
      <c r="IC5" s="47"/>
      <c r="ID5" s="47"/>
      <c r="IE5" s="47"/>
      <c r="IF5" s="47"/>
      <c r="IG5" s="47"/>
      <c r="IH5" s="47"/>
      <c r="II5" s="47"/>
      <c r="IJ5" s="47"/>
      <c r="IK5" s="47"/>
      <c r="IL5" s="47"/>
      <c r="IM5" s="13" t="str">
        <f t="shared" si="83"/>
        <v/>
      </c>
      <c r="IN5" s="13" t="str">
        <f t="shared" si="84"/>
        <v/>
      </c>
      <c r="IO5" s="13" t="str">
        <f t="shared" si="85"/>
        <v/>
      </c>
      <c r="IP5" s="13" t="str">
        <f t="shared" si="86"/>
        <v/>
      </c>
      <c r="IQ5" s="13" t="str">
        <f t="shared" si="87"/>
        <v/>
      </c>
      <c r="IR5" s="13" t="str">
        <f t="shared" si="88"/>
        <v/>
      </c>
      <c r="IS5" s="13" t="str">
        <f t="shared" si="89"/>
        <v/>
      </c>
      <c r="IT5" s="48"/>
      <c r="IU5" s="48"/>
      <c r="IV5" s="48"/>
      <c r="IW5" s="48"/>
      <c r="IX5" s="48"/>
      <c r="IY5" s="48"/>
      <c r="IZ5" s="48"/>
      <c r="JA5" s="48"/>
      <c r="JB5" s="48"/>
      <c r="JC5" s="48"/>
      <c r="JD5" s="48"/>
      <c r="JE5" s="48"/>
      <c r="JF5" s="48"/>
      <c r="JG5" s="48"/>
      <c r="JH5" s="48"/>
      <c r="JI5" s="48"/>
      <c r="JJ5" s="16" t="str">
        <f t="shared" si="90"/>
        <v/>
      </c>
      <c r="JK5" s="16" t="str">
        <f t="shared" si="91"/>
        <v/>
      </c>
      <c r="JL5" s="16" t="str">
        <f t="shared" si="92"/>
        <v/>
      </c>
      <c r="JM5" s="16" t="str">
        <f t="shared" si="93"/>
        <v/>
      </c>
      <c r="JN5" s="16" t="str">
        <f t="shared" si="94"/>
        <v/>
      </c>
      <c r="JO5" s="16" t="str">
        <f t="shared" si="95"/>
        <v/>
      </c>
      <c r="JP5" s="16" t="str">
        <f t="shared" si="96"/>
        <v/>
      </c>
      <c r="JQ5" s="47"/>
      <c r="JR5" s="47"/>
      <c r="JS5" s="47"/>
      <c r="JT5" s="47"/>
      <c r="JU5" s="47"/>
      <c r="JV5" s="47"/>
      <c r="JW5" s="47"/>
      <c r="JX5" s="47"/>
      <c r="JY5" s="47"/>
      <c r="JZ5" s="47"/>
      <c r="KA5" s="47"/>
      <c r="KB5" s="47"/>
      <c r="KC5" s="47"/>
      <c r="KD5" s="47"/>
      <c r="KE5" s="47"/>
      <c r="KF5" s="47"/>
      <c r="KG5" s="13" t="str">
        <f t="shared" si="97"/>
        <v/>
      </c>
      <c r="KH5" s="13" t="str">
        <f t="shared" si="98"/>
        <v/>
      </c>
      <c r="KI5" s="13" t="str">
        <f t="shared" si="99"/>
        <v/>
      </c>
      <c r="KJ5" s="13" t="str">
        <f t="shared" si="100"/>
        <v/>
      </c>
      <c r="KK5" s="13" t="str">
        <f t="shared" si="101"/>
        <v/>
      </c>
      <c r="KL5" s="13" t="str">
        <f t="shared" si="102"/>
        <v/>
      </c>
      <c r="KM5" s="13" t="str">
        <f t="shared" si="103"/>
        <v/>
      </c>
      <c r="KN5" s="48"/>
      <c r="KO5" s="48"/>
      <c r="KP5" s="48"/>
      <c r="KQ5" s="48"/>
      <c r="KR5" s="48"/>
      <c r="KS5" s="48"/>
      <c r="KT5" s="48"/>
      <c r="KU5" s="48"/>
      <c r="KV5" s="48"/>
      <c r="KW5" s="48"/>
      <c r="KX5" s="48"/>
      <c r="KY5" s="48"/>
      <c r="KZ5" s="48"/>
      <c r="LA5" s="48"/>
      <c r="LB5" s="48"/>
      <c r="LC5" s="48"/>
      <c r="LD5" s="16" t="str">
        <f t="shared" si="104"/>
        <v/>
      </c>
      <c r="LE5" s="16" t="str">
        <f t="shared" si="105"/>
        <v/>
      </c>
      <c r="LF5" s="16" t="str">
        <f t="shared" si="106"/>
        <v/>
      </c>
      <c r="LG5" s="16" t="str">
        <f t="shared" si="107"/>
        <v/>
      </c>
      <c r="LH5" s="16" t="str">
        <f t="shared" si="108"/>
        <v/>
      </c>
      <c r="LI5" s="16" t="str">
        <f t="shared" si="109"/>
        <v/>
      </c>
      <c r="LJ5" s="16" t="str">
        <f t="shared" si="110"/>
        <v/>
      </c>
      <c r="LK5" s="47"/>
      <c r="LL5" s="47"/>
      <c r="LM5" s="47"/>
      <c r="LN5" s="47"/>
      <c r="LO5" s="47"/>
      <c r="LP5" s="47"/>
      <c r="LQ5" s="47"/>
      <c r="LR5" s="47"/>
      <c r="LS5" s="47"/>
      <c r="LT5" s="47"/>
      <c r="LU5" s="47"/>
      <c r="LV5" s="47"/>
      <c r="LW5" s="47"/>
      <c r="LX5" s="47"/>
      <c r="LY5" s="47"/>
      <c r="LZ5" s="47"/>
      <c r="MA5" s="13" t="str">
        <f t="shared" si="111"/>
        <v/>
      </c>
      <c r="MB5" s="13" t="str">
        <f t="shared" si="112"/>
        <v/>
      </c>
      <c r="MC5" s="13" t="str">
        <f t="shared" si="113"/>
        <v/>
      </c>
      <c r="MD5" s="13" t="str">
        <f t="shared" si="114"/>
        <v/>
      </c>
      <c r="ME5" s="13" t="str">
        <f t="shared" si="115"/>
        <v/>
      </c>
      <c r="MF5" s="13" t="str">
        <f t="shared" si="116"/>
        <v/>
      </c>
      <c r="MG5" s="13" t="str">
        <f t="shared" si="117"/>
        <v/>
      </c>
      <c r="MH5" s="48"/>
      <c r="MI5" s="48"/>
      <c r="MJ5" s="48"/>
      <c r="MK5" s="48"/>
      <c r="ML5" s="48"/>
      <c r="MM5" s="48"/>
      <c r="MN5" s="48"/>
      <c r="MO5" s="48"/>
      <c r="MP5" s="48"/>
      <c r="MQ5" s="48"/>
      <c r="MR5" s="48"/>
      <c r="MS5" s="48"/>
      <c r="MT5" s="48"/>
      <c r="MU5" s="48"/>
      <c r="MV5" s="48"/>
      <c r="MW5" s="48"/>
      <c r="MX5" s="16" t="str">
        <f t="shared" si="118"/>
        <v/>
      </c>
      <c r="MY5" s="16" t="str">
        <f t="shared" si="119"/>
        <v/>
      </c>
      <c r="MZ5" s="16" t="str">
        <f t="shared" si="120"/>
        <v/>
      </c>
      <c r="NA5" s="16" t="str">
        <f t="shared" si="121"/>
        <v/>
      </c>
      <c r="NB5" s="16" t="str">
        <f t="shared" si="122"/>
        <v/>
      </c>
      <c r="NC5" s="16" t="str">
        <f t="shared" si="123"/>
        <v/>
      </c>
      <c r="ND5" s="16" t="str">
        <f t="shared" si="124"/>
        <v/>
      </c>
    </row>
    <row r="6" spans="1:368" x14ac:dyDescent="0.2">
      <c r="A6" s="6">
        <f t="shared" si="0"/>
        <v>3</v>
      </c>
      <c r="B6" s="7" t="s">
        <v>155</v>
      </c>
      <c r="C6" s="8" t="s">
        <v>4</v>
      </c>
      <c r="D6" s="33">
        <v>2018</v>
      </c>
      <c r="E6" s="17">
        <f t="shared" si="1"/>
        <v>192</v>
      </c>
      <c r="F6" s="4" t="str">
        <f t="shared" si="2"/>
        <v>P</v>
      </c>
      <c r="G6" s="4" t="str">
        <f t="shared" si="3"/>
        <v>P</v>
      </c>
      <c r="H6" s="4" t="str">
        <f t="shared" si="4"/>
        <v>P</v>
      </c>
      <c r="I6" t="str">
        <f t="shared" si="5"/>
        <v>Worlds Team</v>
      </c>
      <c r="J6" s="16">
        <f t="shared" si="6"/>
        <v>65.599999999999994</v>
      </c>
      <c r="K6" s="16" t="str">
        <f t="shared" si="7"/>
        <v>2018 Canada Cup</v>
      </c>
      <c r="L6" s="16">
        <f t="shared" si="8"/>
        <v>31</v>
      </c>
      <c r="M6" s="16" t="str">
        <f t="shared" si="9"/>
        <v>2018 Nationals</v>
      </c>
      <c r="N6" s="16">
        <f t="shared" si="10"/>
        <v>28.4</v>
      </c>
      <c r="O6" s="16" t="str">
        <f t="shared" si="11"/>
        <v>2018 Nationals</v>
      </c>
      <c r="P6" s="16">
        <f t="shared" si="12"/>
        <v>67</v>
      </c>
      <c r="Q6" s="16" t="str">
        <f t="shared" si="13"/>
        <v>2018 Canada Cup</v>
      </c>
      <c r="R6" s="16" t="str">
        <f t="shared" si="14"/>
        <v/>
      </c>
      <c r="S6" s="31" t="str">
        <f t="shared" si="15"/>
        <v/>
      </c>
      <c r="T6" s="16" t="str">
        <f t="shared" si="16"/>
        <v/>
      </c>
      <c r="U6" s="56"/>
      <c r="V6" s="56"/>
      <c r="W6" s="56"/>
      <c r="X6" s="56"/>
      <c r="Y6" s="56"/>
      <c r="Z6" s="56"/>
      <c r="AA6" s="56"/>
      <c r="AB6" s="56"/>
      <c r="AC6" s="56"/>
      <c r="AD6" s="56"/>
      <c r="AE6" s="56"/>
      <c r="AF6" s="56"/>
      <c r="AG6" s="56"/>
      <c r="AH6" s="56"/>
      <c r="AI6" s="56"/>
      <c r="AJ6" s="56"/>
      <c r="AK6" s="13" t="str">
        <f t="shared" si="17"/>
        <v/>
      </c>
      <c r="AL6" s="13" t="str">
        <f t="shared" si="18"/>
        <v/>
      </c>
      <c r="AM6" s="13" t="str">
        <f t="shared" si="19"/>
        <v/>
      </c>
      <c r="AN6" s="13" t="str">
        <f t="shared" si="20"/>
        <v/>
      </c>
      <c r="AO6" s="13" t="str">
        <f t="shared" si="21"/>
        <v/>
      </c>
      <c r="AP6" s="13" t="str">
        <f t="shared" si="22"/>
        <v/>
      </c>
      <c r="AQ6" s="13" t="str">
        <f t="shared" si="23"/>
        <v/>
      </c>
      <c r="AR6" s="48">
        <v>24.9</v>
      </c>
      <c r="AS6" s="48">
        <v>5.6</v>
      </c>
      <c r="AT6" s="48">
        <v>0</v>
      </c>
      <c r="AU6" s="48">
        <v>0</v>
      </c>
      <c r="AV6" s="48">
        <v>26.8</v>
      </c>
      <c r="AW6" s="48">
        <v>7.3</v>
      </c>
      <c r="AX6" s="48">
        <v>0</v>
      </c>
      <c r="AY6" s="48">
        <v>1</v>
      </c>
      <c r="AZ6" s="48">
        <v>27.1</v>
      </c>
      <c r="BA6" s="48">
        <v>5.8</v>
      </c>
      <c r="BB6" s="48">
        <v>0</v>
      </c>
      <c r="BC6" s="48">
        <v>0</v>
      </c>
      <c r="BD6" s="48">
        <v>26.8</v>
      </c>
      <c r="BE6" s="48">
        <v>7.3</v>
      </c>
      <c r="BF6" s="48">
        <v>0</v>
      </c>
      <c r="BG6" s="48">
        <v>0</v>
      </c>
      <c r="BH6" s="16">
        <f t="shared" si="24"/>
        <v>12.899999999999999</v>
      </c>
      <c r="BI6" s="16">
        <f t="shared" si="25"/>
        <v>13.1</v>
      </c>
      <c r="BJ6" s="16">
        <f t="shared" si="26"/>
        <v>30.5</v>
      </c>
      <c r="BK6" s="16">
        <f t="shared" si="27"/>
        <v>35.1</v>
      </c>
      <c r="BL6" s="16">
        <f t="shared" si="28"/>
        <v>65.599999999999994</v>
      </c>
      <c r="BM6" s="16">
        <f t="shared" si="29"/>
        <v>67</v>
      </c>
      <c r="BN6" s="16">
        <f t="shared" si="30"/>
        <v>132.6</v>
      </c>
      <c r="BO6" s="47">
        <v>25.2</v>
      </c>
      <c r="BP6" s="47">
        <v>5.8</v>
      </c>
      <c r="BQ6" s="47">
        <v>0</v>
      </c>
      <c r="BR6" s="47">
        <v>0</v>
      </c>
      <c r="BS6" s="47">
        <v>24.7</v>
      </c>
      <c r="BT6" s="47">
        <v>3.7</v>
      </c>
      <c r="BU6" s="47">
        <v>0</v>
      </c>
      <c r="BV6" s="47">
        <v>0</v>
      </c>
      <c r="BW6" s="47"/>
      <c r="BX6" s="47"/>
      <c r="BY6" s="47"/>
      <c r="BZ6" s="47"/>
      <c r="CA6" s="47"/>
      <c r="CB6" s="47"/>
      <c r="CC6" s="47"/>
      <c r="CD6" s="47"/>
      <c r="CE6" s="13">
        <f t="shared" si="31"/>
        <v>9.5</v>
      </c>
      <c r="CF6" s="13" t="str">
        <f t="shared" si="32"/>
        <v/>
      </c>
      <c r="CG6" s="13">
        <f t="shared" si="33"/>
        <v>31</v>
      </c>
      <c r="CH6" s="13">
        <f t="shared" si="34"/>
        <v>28.4</v>
      </c>
      <c r="CI6" s="13">
        <f t="shared" si="35"/>
        <v>59.4</v>
      </c>
      <c r="CJ6" s="13" t="str">
        <f t="shared" si="36"/>
        <v/>
      </c>
      <c r="CK6" s="13">
        <f t="shared" si="37"/>
        <v>59.4</v>
      </c>
      <c r="CL6" s="30" t="str">
        <f t="shared" si="38"/>
        <v/>
      </c>
      <c r="CM6" s="30" t="str">
        <f t="shared" si="39"/>
        <v/>
      </c>
      <c r="CN6" s="30" t="str">
        <f t="shared" si="40"/>
        <v/>
      </c>
      <c r="CO6" s="47"/>
      <c r="CP6" s="47"/>
      <c r="CQ6" s="47"/>
      <c r="CR6" s="47"/>
      <c r="CS6" s="47"/>
      <c r="CT6" s="47"/>
      <c r="CU6" s="47"/>
      <c r="CV6" s="47"/>
      <c r="CW6" s="47"/>
      <c r="CX6" s="47"/>
      <c r="CY6" s="47"/>
      <c r="CZ6" s="47"/>
      <c r="DA6" s="47"/>
      <c r="DB6" s="47"/>
      <c r="DC6" s="47"/>
      <c r="DD6" s="47"/>
      <c r="DE6" s="13" t="str">
        <f t="shared" si="41"/>
        <v/>
      </c>
      <c r="DF6" s="13" t="str">
        <f t="shared" si="42"/>
        <v/>
      </c>
      <c r="DG6" s="13" t="str">
        <f t="shared" si="43"/>
        <v/>
      </c>
      <c r="DH6" s="13" t="str">
        <f t="shared" si="44"/>
        <v/>
      </c>
      <c r="DI6" s="13" t="str">
        <f t="shared" si="45"/>
        <v/>
      </c>
      <c r="DJ6" s="13" t="str">
        <f t="shared" si="46"/>
        <v/>
      </c>
      <c r="DK6" s="13" t="str">
        <f t="shared" si="47"/>
        <v/>
      </c>
      <c r="DL6" s="48"/>
      <c r="DM6" s="48"/>
      <c r="DN6" s="48"/>
      <c r="DO6" s="48"/>
      <c r="DP6" s="48"/>
      <c r="DQ6" s="48"/>
      <c r="DR6" s="48"/>
      <c r="DS6" s="48"/>
      <c r="DT6" s="48"/>
      <c r="DU6" s="48"/>
      <c r="DV6" s="48"/>
      <c r="DW6" s="48"/>
      <c r="DX6" s="48"/>
      <c r="DY6" s="48"/>
      <c r="DZ6" s="48"/>
      <c r="EA6" s="48"/>
      <c r="EB6" s="16" t="str">
        <f t="shared" si="48"/>
        <v/>
      </c>
      <c r="EC6" s="16" t="str">
        <f t="shared" si="49"/>
        <v/>
      </c>
      <c r="ED6" s="16" t="str">
        <f t="shared" si="50"/>
        <v/>
      </c>
      <c r="EE6" s="16" t="str">
        <f t="shared" si="51"/>
        <v/>
      </c>
      <c r="EF6" s="16" t="str">
        <f t="shared" si="52"/>
        <v/>
      </c>
      <c r="EG6" s="16" t="str">
        <f t="shared" si="53"/>
        <v/>
      </c>
      <c r="EH6" s="16" t="str">
        <f t="shared" si="54"/>
        <v/>
      </c>
      <c r="EI6" s="47"/>
      <c r="EJ6" s="47"/>
      <c r="EK6" s="47"/>
      <c r="EL6" s="47"/>
      <c r="EM6" s="47"/>
      <c r="EN6" s="47"/>
      <c r="EO6" s="47"/>
      <c r="EP6" s="47"/>
      <c r="EQ6" s="47"/>
      <c r="ER6" s="47"/>
      <c r="ES6" s="47"/>
      <c r="ET6" s="47"/>
      <c r="EU6" s="47"/>
      <c r="EV6" s="47"/>
      <c r="EW6" s="47"/>
      <c r="EX6" s="47"/>
      <c r="EY6" s="13" t="str">
        <f t="shared" si="55"/>
        <v/>
      </c>
      <c r="EZ6" s="13" t="str">
        <f t="shared" si="56"/>
        <v/>
      </c>
      <c r="FA6" s="13" t="str">
        <f t="shared" si="57"/>
        <v/>
      </c>
      <c r="FB6" s="13" t="str">
        <f t="shared" si="58"/>
        <v/>
      </c>
      <c r="FC6" s="13" t="str">
        <f t="shared" si="59"/>
        <v/>
      </c>
      <c r="FD6" s="13" t="str">
        <f t="shared" si="60"/>
        <v/>
      </c>
      <c r="FE6" s="13" t="str">
        <f t="shared" si="61"/>
        <v/>
      </c>
      <c r="FF6" s="48"/>
      <c r="FG6" s="48"/>
      <c r="FH6" s="48"/>
      <c r="FI6" s="48"/>
      <c r="FJ6" s="48"/>
      <c r="FK6" s="48"/>
      <c r="FL6" s="48"/>
      <c r="FM6" s="48"/>
      <c r="FN6" s="48"/>
      <c r="FO6" s="48"/>
      <c r="FP6" s="48"/>
      <c r="FQ6" s="48"/>
      <c r="FR6" s="48"/>
      <c r="FS6" s="48"/>
      <c r="FT6" s="48"/>
      <c r="FU6" s="48"/>
      <c r="FV6" s="16" t="str">
        <f t="shared" si="62"/>
        <v/>
      </c>
      <c r="FW6" s="16" t="str">
        <f t="shared" si="63"/>
        <v/>
      </c>
      <c r="FX6" s="16" t="str">
        <f t="shared" si="64"/>
        <v/>
      </c>
      <c r="FY6" s="16" t="str">
        <f t="shared" si="65"/>
        <v/>
      </c>
      <c r="FZ6" s="16" t="str">
        <f t="shared" si="66"/>
        <v/>
      </c>
      <c r="GA6" s="16" t="str">
        <f t="shared" si="67"/>
        <v/>
      </c>
      <c r="GB6" s="16" t="str">
        <f t="shared" si="68"/>
        <v/>
      </c>
      <c r="GC6" s="47"/>
      <c r="GD6" s="47"/>
      <c r="GE6" s="47"/>
      <c r="GF6" s="47"/>
      <c r="GG6" s="47"/>
      <c r="GH6" s="47"/>
      <c r="GI6" s="47"/>
      <c r="GJ6" s="47"/>
      <c r="GK6" s="47"/>
      <c r="GL6" s="47"/>
      <c r="GM6" s="47"/>
      <c r="GN6" s="47"/>
      <c r="GO6" s="47"/>
      <c r="GP6" s="47"/>
      <c r="GQ6" s="47"/>
      <c r="GR6" s="47"/>
      <c r="GS6" s="13" t="str">
        <f t="shared" si="69"/>
        <v/>
      </c>
      <c r="GT6" s="13" t="str">
        <f t="shared" si="70"/>
        <v/>
      </c>
      <c r="GU6" s="13" t="str">
        <f t="shared" si="71"/>
        <v/>
      </c>
      <c r="GV6" s="13" t="str">
        <f t="shared" si="72"/>
        <v/>
      </c>
      <c r="GW6" s="13" t="str">
        <f t="shared" si="73"/>
        <v/>
      </c>
      <c r="GX6" s="13" t="str">
        <f t="shared" si="74"/>
        <v/>
      </c>
      <c r="GY6" s="13" t="str">
        <f t="shared" si="75"/>
        <v/>
      </c>
      <c r="GZ6" s="48"/>
      <c r="HA6" s="48"/>
      <c r="HB6" s="48"/>
      <c r="HC6" s="48"/>
      <c r="HD6" s="48"/>
      <c r="HE6" s="48"/>
      <c r="HF6" s="48"/>
      <c r="HG6" s="48"/>
      <c r="HH6" s="48"/>
      <c r="HI6" s="48"/>
      <c r="HJ6" s="48"/>
      <c r="HK6" s="48"/>
      <c r="HL6" s="48"/>
      <c r="HM6" s="48"/>
      <c r="HN6" s="48"/>
      <c r="HO6" s="48"/>
      <c r="HP6" s="16" t="str">
        <f t="shared" si="76"/>
        <v/>
      </c>
      <c r="HQ6" s="16" t="str">
        <f t="shared" si="77"/>
        <v/>
      </c>
      <c r="HR6" s="16" t="str">
        <f t="shared" si="78"/>
        <v/>
      </c>
      <c r="HS6" s="16" t="str">
        <f t="shared" si="79"/>
        <v/>
      </c>
      <c r="HT6" s="16" t="str">
        <f t="shared" si="80"/>
        <v/>
      </c>
      <c r="HU6" s="16" t="str">
        <f t="shared" si="81"/>
        <v/>
      </c>
      <c r="HV6" s="16" t="str">
        <f t="shared" si="82"/>
        <v/>
      </c>
      <c r="HW6" s="47"/>
      <c r="HX6" s="47"/>
      <c r="HY6" s="47"/>
      <c r="HZ6" s="47"/>
      <c r="IA6" s="47"/>
      <c r="IB6" s="47"/>
      <c r="IC6" s="47"/>
      <c r="ID6" s="47"/>
      <c r="IE6" s="47"/>
      <c r="IF6" s="47"/>
      <c r="IG6" s="47"/>
      <c r="IH6" s="47"/>
      <c r="II6" s="47"/>
      <c r="IJ6" s="47"/>
      <c r="IK6" s="47"/>
      <c r="IL6" s="47"/>
      <c r="IM6" s="13" t="str">
        <f t="shared" si="83"/>
        <v/>
      </c>
      <c r="IN6" s="13" t="str">
        <f t="shared" si="84"/>
        <v/>
      </c>
      <c r="IO6" s="13" t="str">
        <f t="shared" si="85"/>
        <v/>
      </c>
      <c r="IP6" s="13" t="str">
        <f t="shared" si="86"/>
        <v/>
      </c>
      <c r="IQ6" s="13" t="str">
        <f t="shared" si="87"/>
        <v/>
      </c>
      <c r="IR6" s="13" t="str">
        <f t="shared" si="88"/>
        <v/>
      </c>
      <c r="IS6" s="13" t="str">
        <f t="shared" si="89"/>
        <v/>
      </c>
      <c r="IT6" s="48"/>
      <c r="IU6" s="48"/>
      <c r="IV6" s="48"/>
      <c r="IW6" s="48"/>
      <c r="IX6" s="48"/>
      <c r="IY6" s="48"/>
      <c r="IZ6" s="48"/>
      <c r="JA6" s="48"/>
      <c r="JB6" s="48"/>
      <c r="JC6" s="48"/>
      <c r="JD6" s="48"/>
      <c r="JE6" s="48"/>
      <c r="JF6" s="48"/>
      <c r="JG6" s="48"/>
      <c r="JH6" s="48"/>
      <c r="JI6" s="48"/>
      <c r="JJ6" s="16" t="str">
        <f t="shared" si="90"/>
        <v/>
      </c>
      <c r="JK6" s="16" t="str">
        <f t="shared" si="91"/>
        <v/>
      </c>
      <c r="JL6" s="16" t="str">
        <f t="shared" si="92"/>
        <v/>
      </c>
      <c r="JM6" s="16" t="str">
        <f t="shared" si="93"/>
        <v/>
      </c>
      <c r="JN6" s="16" t="str">
        <f t="shared" si="94"/>
        <v/>
      </c>
      <c r="JO6" s="16" t="str">
        <f t="shared" si="95"/>
        <v/>
      </c>
      <c r="JP6" s="16" t="str">
        <f t="shared" si="96"/>
        <v/>
      </c>
      <c r="JQ6" s="47"/>
      <c r="JR6" s="47"/>
      <c r="JS6" s="47"/>
      <c r="JT6" s="47"/>
      <c r="JU6" s="47"/>
      <c r="JV6" s="47"/>
      <c r="JW6" s="47"/>
      <c r="JX6" s="47"/>
      <c r="JY6" s="47"/>
      <c r="JZ6" s="47"/>
      <c r="KA6" s="47"/>
      <c r="KB6" s="47"/>
      <c r="KC6" s="47"/>
      <c r="KD6" s="47"/>
      <c r="KE6" s="47"/>
      <c r="KF6" s="47"/>
      <c r="KG6" s="13" t="str">
        <f t="shared" si="97"/>
        <v/>
      </c>
      <c r="KH6" s="13" t="str">
        <f t="shared" si="98"/>
        <v/>
      </c>
      <c r="KI6" s="13" t="str">
        <f t="shared" si="99"/>
        <v/>
      </c>
      <c r="KJ6" s="13" t="str">
        <f t="shared" si="100"/>
        <v/>
      </c>
      <c r="KK6" s="13" t="str">
        <f t="shared" si="101"/>
        <v/>
      </c>
      <c r="KL6" s="13" t="str">
        <f t="shared" si="102"/>
        <v/>
      </c>
      <c r="KM6" s="13" t="str">
        <f t="shared" si="103"/>
        <v/>
      </c>
      <c r="KN6" s="48"/>
      <c r="KO6" s="48"/>
      <c r="KP6" s="48"/>
      <c r="KQ6" s="48"/>
      <c r="KR6" s="48"/>
      <c r="KS6" s="48"/>
      <c r="KT6" s="48"/>
      <c r="KU6" s="48"/>
      <c r="KV6" s="48"/>
      <c r="KW6" s="48"/>
      <c r="KX6" s="48"/>
      <c r="KY6" s="48"/>
      <c r="KZ6" s="48"/>
      <c r="LA6" s="48"/>
      <c r="LB6" s="48"/>
      <c r="LC6" s="48"/>
      <c r="LD6" s="16" t="str">
        <f t="shared" si="104"/>
        <v/>
      </c>
      <c r="LE6" s="16" t="str">
        <f t="shared" si="105"/>
        <v/>
      </c>
      <c r="LF6" s="16" t="str">
        <f t="shared" si="106"/>
        <v/>
      </c>
      <c r="LG6" s="16" t="str">
        <f t="shared" si="107"/>
        <v/>
      </c>
      <c r="LH6" s="16" t="str">
        <f t="shared" si="108"/>
        <v/>
      </c>
      <c r="LI6" s="16" t="str">
        <f t="shared" si="109"/>
        <v/>
      </c>
      <c r="LJ6" s="16" t="str">
        <f t="shared" si="110"/>
        <v/>
      </c>
      <c r="LK6" s="47"/>
      <c r="LL6" s="47"/>
      <c r="LM6" s="47"/>
      <c r="LN6" s="47"/>
      <c r="LO6" s="47"/>
      <c r="LP6" s="47"/>
      <c r="LQ6" s="47"/>
      <c r="LR6" s="47"/>
      <c r="LS6" s="47"/>
      <c r="LT6" s="47"/>
      <c r="LU6" s="47"/>
      <c r="LV6" s="47"/>
      <c r="LW6" s="47"/>
      <c r="LX6" s="47"/>
      <c r="LY6" s="47"/>
      <c r="LZ6" s="47"/>
      <c r="MA6" s="13" t="str">
        <f t="shared" si="111"/>
        <v/>
      </c>
      <c r="MB6" s="13" t="str">
        <f t="shared" si="112"/>
        <v/>
      </c>
      <c r="MC6" s="13" t="str">
        <f t="shared" si="113"/>
        <v/>
      </c>
      <c r="MD6" s="13" t="str">
        <f t="shared" si="114"/>
        <v/>
      </c>
      <c r="ME6" s="13" t="str">
        <f t="shared" si="115"/>
        <v/>
      </c>
      <c r="MF6" s="13" t="str">
        <f t="shared" si="116"/>
        <v/>
      </c>
      <c r="MG6" s="13" t="str">
        <f t="shared" si="117"/>
        <v/>
      </c>
      <c r="MH6" s="48"/>
      <c r="MI6" s="48"/>
      <c r="MJ6" s="48"/>
      <c r="MK6" s="48"/>
      <c r="ML6" s="48"/>
      <c r="MM6" s="48"/>
      <c r="MN6" s="48"/>
      <c r="MO6" s="48"/>
      <c r="MP6" s="48"/>
      <c r="MQ6" s="48"/>
      <c r="MR6" s="48"/>
      <c r="MS6" s="48"/>
      <c r="MT6" s="48"/>
      <c r="MU6" s="48"/>
      <c r="MV6" s="48"/>
      <c r="MW6" s="48"/>
      <c r="MX6" s="16" t="str">
        <f t="shared" si="118"/>
        <v/>
      </c>
      <c r="MY6" s="16" t="str">
        <f t="shared" si="119"/>
        <v/>
      </c>
      <c r="MZ6" s="16" t="str">
        <f t="shared" si="120"/>
        <v/>
      </c>
      <c r="NA6" s="16" t="str">
        <f t="shared" si="121"/>
        <v/>
      </c>
      <c r="NB6" s="16" t="str">
        <f t="shared" si="122"/>
        <v/>
      </c>
      <c r="NC6" s="16" t="str">
        <f t="shared" si="123"/>
        <v/>
      </c>
      <c r="ND6" s="16" t="str">
        <f t="shared" si="124"/>
        <v/>
      </c>
    </row>
    <row r="7" spans="1:368" x14ac:dyDescent="0.2">
      <c r="A7" s="6">
        <f t="shared" si="0"/>
        <v>4</v>
      </c>
      <c r="B7" s="7" t="s">
        <v>79</v>
      </c>
      <c r="C7" s="8" t="s">
        <v>4</v>
      </c>
      <c r="D7" s="6">
        <v>2012</v>
      </c>
      <c r="E7" s="17">
        <f t="shared" si="1"/>
        <v>136.60000000000002</v>
      </c>
      <c r="F7" s="4" t="str">
        <f t="shared" si="2"/>
        <v>P</v>
      </c>
      <c r="G7" s="4" t="str">
        <f t="shared" si="3"/>
        <v>P</v>
      </c>
      <c r="H7" s="4" t="str">
        <f t="shared" si="4"/>
        <v>P</v>
      </c>
      <c r="I7" t="str">
        <f t="shared" si="5"/>
        <v>Worlds Team</v>
      </c>
      <c r="J7" s="16">
        <f t="shared" si="6"/>
        <v>67.3</v>
      </c>
      <c r="K7" s="16" t="str">
        <f t="shared" si="7"/>
        <v>2018 Canada Cup</v>
      </c>
      <c r="L7" s="16">
        <f t="shared" si="8"/>
        <v>0</v>
      </c>
      <c r="M7" s="16" t="str">
        <f t="shared" si="9"/>
        <v/>
      </c>
      <c r="N7" s="16">
        <f t="shared" si="10"/>
        <v>0</v>
      </c>
      <c r="O7" s="16" t="str">
        <f t="shared" si="11"/>
        <v/>
      </c>
      <c r="P7" s="16">
        <f t="shared" si="12"/>
        <v>69.300000000000011</v>
      </c>
      <c r="Q7" s="16" t="str">
        <f t="shared" si="13"/>
        <v>2018 Canada Cup</v>
      </c>
      <c r="R7" s="16" t="str">
        <f t="shared" si="14"/>
        <v/>
      </c>
      <c r="S7" s="31" t="str">
        <f t="shared" si="15"/>
        <v/>
      </c>
      <c r="T7" s="16" t="str">
        <f t="shared" si="16"/>
        <v/>
      </c>
      <c r="U7" s="47"/>
      <c r="V7" s="47"/>
      <c r="W7" s="47"/>
      <c r="X7" s="47"/>
      <c r="Y7" s="47"/>
      <c r="Z7" s="47"/>
      <c r="AA7" s="47"/>
      <c r="AB7" s="47"/>
      <c r="AC7" s="47"/>
      <c r="AD7" s="47"/>
      <c r="AE7" s="47"/>
      <c r="AF7" s="47"/>
      <c r="AG7" s="47"/>
      <c r="AH7" s="47"/>
      <c r="AI7" s="47"/>
      <c r="AJ7" s="47"/>
      <c r="AK7" s="13" t="str">
        <f t="shared" si="17"/>
        <v/>
      </c>
      <c r="AL7" s="13" t="str">
        <f t="shared" si="18"/>
        <v/>
      </c>
      <c r="AM7" s="13" t="str">
        <f t="shared" si="19"/>
        <v/>
      </c>
      <c r="AN7" s="13" t="str">
        <f t="shared" si="20"/>
        <v/>
      </c>
      <c r="AO7" s="13" t="str">
        <f t="shared" si="21"/>
        <v/>
      </c>
      <c r="AP7" s="13" t="str">
        <f t="shared" si="22"/>
        <v/>
      </c>
      <c r="AQ7" s="13" t="str">
        <f t="shared" si="23"/>
        <v/>
      </c>
      <c r="AR7" s="48">
        <v>27.1</v>
      </c>
      <c r="AS7" s="48">
        <v>5.5</v>
      </c>
      <c r="AT7" s="48">
        <v>0</v>
      </c>
      <c r="AU7" s="48">
        <v>0</v>
      </c>
      <c r="AV7" s="48">
        <v>27.4</v>
      </c>
      <c r="AW7" s="48">
        <v>7.3</v>
      </c>
      <c r="AX7" s="48">
        <v>0</v>
      </c>
      <c r="AY7" s="48">
        <v>0</v>
      </c>
      <c r="AZ7" s="48">
        <v>27.3</v>
      </c>
      <c r="BA7" s="48">
        <v>6.9</v>
      </c>
      <c r="BB7" s="48">
        <v>0</v>
      </c>
      <c r="BC7" s="48">
        <v>0</v>
      </c>
      <c r="BD7" s="48">
        <v>28.2</v>
      </c>
      <c r="BE7" s="48">
        <v>6.9</v>
      </c>
      <c r="BF7" s="48">
        <v>0</v>
      </c>
      <c r="BG7" s="48">
        <v>0</v>
      </c>
      <c r="BH7" s="16">
        <f t="shared" si="24"/>
        <v>12.8</v>
      </c>
      <c r="BI7" s="16">
        <f t="shared" si="25"/>
        <v>13.8</v>
      </c>
      <c r="BJ7" s="16">
        <f t="shared" si="26"/>
        <v>32.6</v>
      </c>
      <c r="BK7" s="16">
        <f t="shared" si="27"/>
        <v>34.699999999999996</v>
      </c>
      <c r="BL7" s="16">
        <f t="shared" si="28"/>
        <v>67.3</v>
      </c>
      <c r="BM7" s="16">
        <f t="shared" si="29"/>
        <v>69.300000000000011</v>
      </c>
      <c r="BN7" s="16">
        <f t="shared" si="30"/>
        <v>136.60000000000002</v>
      </c>
      <c r="BO7" s="47"/>
      <c r="BP7" s="47"/>
      <c r="BQ7" s="47"/>
      <c r="BR7" s="47"/>
      <c r="BS7" s="47"/>
      <c r="BT7" s="47"/>
      <c r="BU7" s="47"/>
      <c r="BV7" s="47"/>
      <c r="BW7" s="47"/>
      <c r="BX7" s="47"/>
      <c r="BY7" s="47"/>
      <c r="BZ7" s="47"/>
      <c r="CA7" s="47"/>
      <c r="CB7" s="47"/>
      <c r="CC7" s="47"/>
      <c r="CD7" s="47"/>
      <c r="CE7" s="13" t="str">
        <f t="shared" si="31"/>
        <v/>
      </c>
      <c r="CF7" s="13" t="str">
        <f t="shared" si="32"/>
        <v/>
      </c>
      <c r="CG7" s="13" t="str">
        <f t="shared" si="33"/>
        <v/>
      </c>
      <c r="CH7" s="13" t="str">
        <f t="shared" si="34"/>
        <v/>
      </c>
      <c r="CI7" s="13" t="str">
        <f t="shared" si="35"/>
        <v/>
      </c>
      <c r="CJ7" s="13" t="str">
        <f t="shared" si="36"/>
        <v/>
      </c>
      <c r="CK7" s="13" t="str">
        <f t="shared" si="37"/>
        <v/>
      </c>
      <c r="CL7" s="30" t="str">
        <f t="shared" si="38"/>
        <v/>
      </c>
      <c r="CM7" s="30" t="str">
        <f t="shared" si="39"/>
        <v/>
      </c>
      <c r="CN7" s="30" t="str">
        <f t="shared" si="40"/>
        <v/>
      </c>
      <c r="CO7" s="47"/>
      <c r="CP7" s="47"/>
      <c r="CQ7" s="47"/>
      <c r="CR7" s="47"/>
      <c r="CS7" s="47"/>
      <c r="CT7" s="47"/>
      <c r="CU7" s="47"/>
      <c r="CV7" s="47"/>
      <c r="CW7" s="47"/>
      <c r="CX7" s="47"/>
      <c r="CY7" s="47"/>
      <c r="CZ7" s="47"/>
      <c r="DA7" s="47"/>
      <c r="DB7" s="47"/>
      <c r="DC7" s="47"/>
      <c r="DD7" s="47"/>
      <c r="DE7" s="13" t="str">
        <f t="shared" si="41"/>
        <v/>
      </c>
      <c r="DF7" s="13" t="str">
        <f t="shared" si="42"/>
        <v/>
      </c>
      <c r="DG7" s="13" t="str">
        <f t="shared" si="43"/>
        <v/>
      </c>
      <c r="DH7" s="13" t="str">
        <f t="shared" si="44"/>
        <v/>
      </c>
      <c r="DI7" s="13" t="str">
        <f t="shared" si="45"/>
        <v/>
      </c>
      <c r="DJ7" s="13" t="str">
        <f t="shared" si="46"/>
        <v/>
      </c>
      <c r="DK7" s="13" t="str">
        <f t="shared" si="47"/>
        <v/>
      </c>
      <c r="DL7" s="48"/>
      <c r="DM7" s="48"/>
      <c r="DN7" s="48"/>
      <c r="DO7" s="48"/>
      <c r="DP7" s="48"/>
      <c r="DQ7" s="48"/>
      <c r="DR7" s="48"/>
      <c r="DS7" s="48"/>
      <c r="DT7" s="48"/>
      <c r="DU7" s="48"/>
      <c r="DV7" s="48"/>
      <c r="DW7" s="48"/>
      <c r="DX7" s="48"/>
      <c r="DY7" s="48"/>
      <c r="DZ7" s="48"/>
      <c r="EA7" s="48"/>
      <c r="EB7" s="16" t="str">
        <f t="shared" si="48"/>
        <v/>
      </c>
      <c r="EC7" s="16" t="str">
        <f t="shared" si="49"/>
        <v/>
      </c>
      <c r="ED7" s="16" t="str">
        <f t="shared" si="50"/>
        <v/>
      </c>
      <c r="EE7" s="16" t="str">
        <f t="shared" si="51"/>
        <v/>
      </c>
      <c r="EF7" s="16" t="str">
        <f t="shared" si="52"/>
        <v/>
      </c>
      <c r="EG7" s="16" t="str">
        <f t="shared" si="53"/>
        <v/>
      </c>
      <c r="EH7" s="16" t="str">
        <f t="shared" si="54"/>
        <v/>
      </c>
      <c r="EI7" s="47"/>
      <c r="EJ7" s="47"/>
      <c r="EK7" s="47"/>
      <c r="EL7" s="47"/>
      <c r="EM7" s="47"/>
      <c r="EN7" s="47"/>
      <c r="EO7" s="47"/>
      <c r="EP7" s="47"/>
      <c r="EQ7" s="47"/>
      <c r="ER7" s="47"/>
      <c r="ES7" s="47"/>
      <c r="ET7" s="47"/>
      <c r="EU7" s="47"/>
      <c r="EV7" s="47"/>
      <c r="EW7" s="47"/>
      <c r="EX7" s="47"/>
      <c r="EY7" s="13" t="str">
        <f t="shared" si="55"/>
        <v/>
      </c>
      <c r="EZ7" s="13" t="str">
        <f t="shared" si="56"/>
        <v/>
      </c>
      <c r="FA7" s="13" t="str">
        <f t="shared" si="57"/>
        <v/>
      </c>
      <c r="FB7" s="13" t="str">
        <f t="shared" si="58"/>
        <v/>
      </c>
      <c r="FC7" s="13" t="str">
        <f t="shared" si="59"/>
        <v/>
      </c>
      <c r="FD7" s="13" t="str">
        <f t="shared" si="60"/>
        <v/>
      </c>
      <c r="FE7" s="13" t="str">
        <f t="shared" si="61"/>
        <v/>
      </c>
      <c r="FF7" s="48"/>
      <c r="FG7" s="48"/>
      <c r="FH7" s="48"/>
      <c r="FI7" s="48"/>
      <c r="FJ7" s="48"/>
      <c r="FK7" s="48"/>
      <c r="FL7" s="48"/>
      <c r="FM7" s="48"/>
      <c r="FN7" s="48"/>
      <c r="FO7" s="48"/>
      <c r="FP7" s="48"/>
      <c r="FQ7" s="48"/>
      <c r="FR7" s="48"/>
      <c r="FS7" s="48"/>
      <c r="FT7" s="48"/>
      <c r="FU7" s="48"/>
      <c r="FV7" s="16" t="str">
        <f t="shared" si="62"/>
        <v/>
      </c>
      <c r="FW7" s="16" t="str">
        <f t="shared" si="63"/>
        <v/>
      </c>
      <c r="FX7" s="16" t="str">
        <f t="shared" si="64"/>
        <v/>
      </c>
      <c r="FY7" s="16" t="str">
        <f t="shared" si="65"/>
        <v/>
      </c>
      <c r="FZ7" s="16" t="str">
        <f t="shared" si="66"/>
        <v/>
      </c>
      <c r="GA7" s="16" t="str">
        <f t="shared" si="67"/>
        <v/>
      </c>
      <c r="GB7" s="16" t="str">
        <f t="shared" si="68"/>
        <v/>
      </c>
      <c r="GC7" s="47"/>
      <c r="GD7" s="47"/>
      <c r="GE7" s="47"/>
      <c r="GF7" s="47"/>
      <c r="GG7" s="47"/>
      <c r="GH7" s="47"/>
      <c r="GI7" s="47"/>
      <c r="GJ7" s="47"/>
      <c r="GK7" s="47"/>
      <c r="GL7" s="47"/>
      <c r="GM7" s="47"/>
      <c r="GN7" s="47"/>
      <c r="GO7" s="47"/>
      <c r="GP7" s="47"/>
      <c r="GQ7" s="47"/>
      <c r="GR7" s="47"/>
      <c r="GS7" s="13" t="str">
        <f t="shared" si="69"/>
        <v/>
      </c>
      <c r="GT7" s="13" t="str">
        <f t="shared" si="70"/>
        <v/>
      </c>
      <c r="GU7" s="13" t="str">
        <f t="shared" si="71"/>
        <v/>
      </c>
      <c r="GV7" s="13" t="str">
        <f t="shared" si="72"/>
        <v/>
      </c>
      <c r="GW7" s="13" t="str">
        <f t="shared" si="73"/>
        <v/>
      </c>
      <c r="GX7" s="13" t="str">
        <f t="shared" si="74"/>
        <v/>
      </c>
      <c r="GY7" s="13" t="str">
        <f t="shared" si="75"/>
        <v/>
      </c>
      <c r="GZ7" s="48"/>
      <c r="HA7" s="48"/>
      <c r="HB7" s="48"/>
      <c r="HC7" s="48"/>
      <c r="HD7" s="48"/>
      <c r="HE7" s="48"/>
      <c r="HF7" s="48"/>
      <c r="HG7" s="48"/>
      <c r="HH7" s="48"/>
      <c r="HI7" s="48"/>
      <c r="HJ7" s="48"/>
      <c r="HK7" s="48"/>
      <c r="HL7" s="48"/>
      <c r="HM7" s="48"/>
      <c r="HN7" s="48"/>
      <c r="HO7" s="48"/>
      <c r="HP7" s="16" t="str">
        <f t="shared" si="76"/>
        <v/>
      </c>
      <c r="HQ7" s="16" t="str">
        <f t="shared" si="77"/>
        <v/>
      </c>
      <c r="HR7" s="16" t="str">
        <f t="shared" si="78"/>
        <v/>
      </c>
      <c r="HS7" s="16" t="str">
        <f t="shared" si="79"/>
        <v/>
      </c>
      <c r="HT7" s="16" t="str">
        <f t="shared" si="80"/>
        <v/>
      </c>
      <c r="HU7" s="16" t="str">
        <f t="shared" si="81"/>
        <v/>
      </c>
      <c r="HV7" s="16" t="str">
        <f t="shared" si="82"/>
        <v/>
      </c>
      <c r="HW7" s="47"/>
      <c r="HX7" s="47"/>
      <c r="HY7" s="47"/>
      <c r="HZ7" s="47"/>
      <c r="IA7" s="47"/>
      <c r="IB7" s="47"/>
      <c r="IC7" s="47"/>
      <c r="ID7" s="47"/>
      <c r="IE7" s="47"/>
      <c r="IF7" s="47"/>
      <c r="IG7" s="47"/>
      <c r="IH7" s="47"/>
      <c r="II7" s="47"/>
      <c r="IJ7" s="47"/>
      <c r="IK7" s="47"/>
      <c r="IL7" s="47"/>
      <c r="IM7" s="13" t="str">
        <f t="shared" si="83"/>
        <v/>
      </c>
      <c r="IN7" s="13" t="str">
        <f t="shared" si="84"/>
        <v/>
      </c>
      <c r="IO7" s="13" t="str">
        <f t="shared" si="85"/>
        <v/>
      </c>
      <c r="IP7" s="13" t="str">
        <f t="shared" si="86"/>
        <v/>
      </c>
      <c r="IQ7" s="13" t="str">
        <f t="shared" si="87"/>
        <v/>
      </c>
      <c r="IR7" s="13" t="str">
        <f t="shared" si="88"/>
        <v/>
      </c>
      <c r="IS7" s="13" t="str">
        <f t="shared" si="89"/>
        <v/>
      </c>
      <c r="IT7" s="48"/>
      <c r="IU7" s="48"/>
      <c r="IV7" s="48"/>
      <c r="IW7" s="48"/>
      <c r="IX7" s="48"/>
      <c r="IY7" s="48"/>
      <c r="IZ7" s="48"/>
      <c r="JA7" s="48"/>
      <c r="JB7" s="48"/>
      <c r="JC7" s="48"/>
      <c r="JD7" s="48"/>
      <c r="JE7" s="48"/>
      <c r="JF7" s="48"/>
      <c r="JG7" s="48"/>
      <c r="JH7" s="48"/>
      <c r="JI7" s="48"/>
      <c r="JJ7" s="16" t="str">
        <f t="shared" si="90"/>
        <v/>
      </c>
      <c r="JK7" s="16" t="str">
        <f t="shared" si="91"/>
        <v/>
      </c>
      <c r="JL7" s="16" t="str">
        <f t="shared" si="92"/>
        <v/>
      </c>
      <c r="JM7" s="16" t="str">
        <f t="shared" si="93"/>
        <v/>
      </c>
      <c r="JN7" s="16" t="str">
        <f t="shared" si="94"/>
        <v/>
      </c>
      <c r="JO7" s="16" t="str">
        <f t="shared" si="95"/>
        <v/>
      </c>
      <c r="JP7" s="16" t="str">
        <f t="shared" si="96"/>
        <v/>
      </c>
      <c r="JQ7" s="47"/>
      <c r="JR7" s="47"/>
      <c r="JS7" s="47"/>
      <c r="JT7" s="47"/>
      <c r="JU7" s="47"/>
      <c r="JV7" s="47"/>
      <c r="JW7" s="47"/>
      <c r="JX7" s="47"/>
      <c r="JY7" s="47"/>
      <c r="JZ7" s="47"/>
      <c r="KA7" s="47"/>
      <c r="KB7" s="47"/>
      <c r="KC7" s="47"/>
      <c r="KD7" s="47"/>
      <c r="KE7" s="47"/>
      <c r="KF7" s="47"/>
      <c r="KG7" s="13" t="str">
        <f t="shared" si="97"/>
        <v/>
      </c>
      <c r="KH7" s="13" t="str">
        <f t="shared" si="98"/>
        <v/>
      </c>
      <c r="KI7" s="13" t="str">
        <f t="shared" si="99"/>
        <v/>
      </c>
      <c r="KJ7" s="13" t="str">
        <f t="shared" si="100"/>
        <v/>
      </c>
      <c r="KK7" s="13" t="str">
        <f t="shared" si="101"/>
        <v/>
      </c>
      <c r="KL7" s="13" t="str">
        <f t="shared" si="102"/>
        <v/>
      </c>
      <c r="KM7" s="13" t="str">
        <f t="shared" si="103"/>
        <v/>
      </c>
      <c r="KN7" s="48"/>
      <c r="KO7" s="48"/>
      <c r="KP7" s="48"/>
      <c r="KQ7" s="48"/>
      <c r="KR7" s="48"/>
      <c r="KS7" s="48"/>
      <c r="KT7" s="48"/>
      <c r="KU7" s="48"/>
      <c r="KV7" s="48"/>
      <c r="KW7" s="48"/>
      <c r="KX7" s="48"/>
      <c r="KY7" s="48"/>
      <c r="KZ7" s="48"/>
      <c r="LA7" s="48"/>
      <c r="LB7" s="48"/>
      <c r="LC7" s="48"/>
      <c r="LD7" s="16" t="str">
        <f t="shared" si="104"/>
        <v/>
      </c>
      <c r="LE7" s="16" t="str">
        <f t="shared" si="105"/>
        <v/>
      </c>
      <c r="LF7" s="16" t="str">
        <f t="shared" si="106"/>
        <v/>
      </c>
      <c r="LG7" s="16" t="str">
        <f t="shared" si="107"/>
        <v/>
      </c>
      <c r="LH7" s="16" t="str">
        <f t="shared" si="108"/>
        <v/>
      </c>
      <c r="LI7" s="16" t="str">
        <f t="shared" si="109"/>
        <v/>
      </c>
      <c r="LJ7" s="16" t="str">
        <f t="shared" si="110"/>
        <v/>
      </c>
      <c r="LK7" s="47"/>
      <c r="LL7" s="47"/>
      <c r="LM7" s="47"/>
      <c r="LN7" s="47"/>
      <c r="LO7" s="47"/>
      <c r="LP7" s="47"/>
      <c r="LQ7" s="47"/>
      <c r="LR7" s="47"/>
      <c r="LS7" s="47"/>
      <c r="LT7" s="47"/>
      <c r="LU7" s="47"/>
      <c r="LV7" s="47"/>
      <c r="LW7" s="47"/>
      <c r="LX7" s="47"/>
      <c r="LY7" s="47"/>
      <c r="LZ7" s="47"/>
      <c r="MA7" s="13" t="str">
        <f t="shared" si="111"/>
        <v/>
      </c>
      <c r="MB7" s="13" t="str">
        <f t="shared" si="112"/>
        <v/>
      </c>
      <c r="MC7" s="13" t="str">
        <f t="shared" si="113"/>
        <v/>
      </c>
      <c r="MD7" s="13" t="str">
        <f t="shared" si="114"/>
        <v/>
      </c>
      <c r="ME7" s="13" t="str">
        <f t="shared" si="115"/>
        <v/>
      </c>
      <c r="MF7" s="13" t="str">
        <f t="shared" si="116"/>
        <v/>
      </c>
      <c r="MG7" s="13" t="str">
        <f t="shared" si="117"/>
        <v/>
      </c>
      <c r="MH7" s="48"/>
      <c r="MI7" s="48"/>
      <c r="MJ7" s="48"/>
      <c r="MK7" s="48"/>
      <c r="ML7" s="48"/>
      <c r="MM7" s="48"/>
      <c r="MN7" s="48"/>
      <c r="MO7" s="48"/>
      <c r="MP7" s="48"/>
      <c r="MQ7" s="48"/>
      <c r="MR7" s="48"/>
      <c r="MS7" s="48"/>
      <c r="MT7" s="48"/>
      <c r="MU7" s="48"/>
      <c r="MV7" s="48"/>
      <c r="MW7" s="48"/>
      <c r="MX7" s="16" t="str">
        <f t="shared" si="118"/>
        <v/>
      </c>
      <c r="MY7" s="16" t="str">
        <f t="shared" si="119"/>
        <v/>
      </c>
      <c r="MZ7" s="16" t="str">
        <f t="shared" si="120"/>
        <v/>
      </c>
      <c r="NA7" s="16" t="str">
        <f t="shared" si="121"/>
        <v/>
      </c>
      <c r="NB7" s="16" t="str">
        <f t="shared" si="122"/>
        <v/>
      </c>
      <c r="NC7" s="16" t="str">
        <f t="shared" si="123"/>
        <v/>
      </c>
      <c r="ND7" s="16" t="str">
        <f t="shared" si="124"/>
        <v/>
      </c>
    </row>
    <row r="8" spans="1:368" x14ac:dyDescent="0.2">
      <c r="A8" s="6" t="str">
        <f t="shared" si="0"/>
        <v/>
      </c>
      <c r="B8" s="9" t="s">
        <v>135</v>
      </c>
      <c r="C8" s="5" t="s">
        <v>4</v>
      </c>
      <c r="D8" s="33">
        <v>2018</v>
      </c>
      <c r="E8" s="17">
        <f t="shared" si="1"/>
        <v>179.3</v>
      </c>
      <c r="F8" s="4" t="str">
        <f t="shared" si="2"/>
        <v/>
      </c>
      <c r="G8" s="4" t="str">
        <f t="shared" si="3"/>
        <v/>
      </c>
      <c r="H8" s="4" t="str">
        <f t="shared" si="4"/>
        <v/>
      </c>
      <c r="I8" t="str">
        <f t="shared" si="5"/>
        <v/>
      </c>
      <c r="J8" s="16">
        <f t="shared" si="6"/>
        <v>59.400000000000006</v>
      </c>
      <c r="K8" s="16" t="str">
        <f t="shared" si="7"/>
        <v>2018 Nationals</v>
      </c>
      <c r="L8" s="16">
        <f t="shared" si="8"/>
        <v>27.3</v>
      </c>
      <c r="M8" s="16" t="str">
        <f t="shared" si="9"/>
        <v>2018 Canada Cup</v>
      </c>
      <c r="N8" s="16">
        <f t="shared" si="10"/>
        <v>27.9</v>
      </c>
      <c r="O8" s="16" t="str">
        <f t="shared" si="11"/>
        <v>2018 Canada Cup</v>
      </c>
      <c r="P8" s="16">
        <f t="shared" si="12"/>
        <v>64.7</v>
      </c>
      <c r="Q8" s="16" t="str">
        <f t="shared" si="13"/>
        <v>2018 Nationals</v>
      </c>
      <c r="R8" s="16" t="str">
        <f t="shared" si="14"/>
        <v/>
      </c>
      <c r="S8" s="31" t="str">
        <f t="shared" si="15"/>
        <v/>
      </c>
      <c r="T8" s="16" t="str">
        <f t="shared" si="16"/>
        <v/>
      </c>
      <c r="U8" s="86"/>
      <c r="V8" s="86"/>
      <c r="W8" s="86"/>
      <c r="X8" s="86"/>
      <c r="Y8" s="86"/>
      <c r="Z8" s="86"/>
      <c r="AA8" s="86"/>
      <c r="AB8" s="86"/>
      <c r="AC8" s="86"/>
      <c r="AD8" s="86"/>
      <c r="AE8" s="86"/>
      <c r="AF8" s="86"/>
      <c r="AG8" s="86"/>
      <c r="AH8" s="86"/>
      <c r="AI8" s="86"/>
      <c r="AJ8" s="86"/>
      <c r="AK8" s="13" t="str">
        <f t="shared" si="17"/>
        <v/>
      </c>
      <c r="AL8" s="13" t="str">
        <f t="shared" si="18"/>
        <v/>
      </c>
      <c r="AM8" s="13" t="str">
        <f t="shared" si="19"/>
        <v/>
      </c>
      <c r="AN8" s="13" t="str">
        <f t="shared" si="20"/>
        <v/>
      </c>
      <c r="AO8" s="13" t="str">
        <f t="shared" si="21"/>
        <v/>
      </c>
      <c r="AP8" s="13" t="str">
        <f t="shared" si="22"/>
        <v/>
      </c>
      <c r="AQ8" s="13" t="str">
        <f t="shared" si="23"/>
        <v/>
      </c>
      <c r="AR8" s="48">
        <v>21.3</v>
      </c>
      <c r="AS8" s="48">
        <v>5</v>
      </c>
      <c r="AT8" s="48">
        <v>0</v>
      </c>
      <c r="AU8" s="48">
        <v>1</v>
      </c>
      <c r="AV8" s="48">
        <v>23.3</v>
      </c>
      <c r="AW8" s="48">
        <v>4.5999999999999996</v>
      </c>
      <c r="AX8" s="48">
        <v>0</v>
      </c>
      <c r="AY8" s="48">
        <v>0</v>
      </c>
      <c r="AZ8" s="48">
        <v>22.3</v>
      </c>
      <c r="BA8" s="48">
        <v>7</v>
      </c>
      <c r="BB8" s="48">
        <v>0</v>
      </c>
      <c r="BC8" s="48">
        <v>0</v>
      </c>
      <c r="BD8" s="48">
        <v>24.2</v>
      </c>
      <c r="BE8" s="48">
        <v>5.9</v>
      </c>
      <c r="BF8" s="48">
        <v>0</v>
      </c>
      <c r="BG8" s="48">
        <v>0</v>
      </c>
      <c r="BH8" s="16">
        <f t="shared" si="24"/>
        <v>9.6</v>
      </c>
      <c r="BI8" s="16">
        <f t="shared" si="25"/>
        <v>12.9</v>
      </c>
      <c r="BJ8" s="16">
        <f t="shared" si="26"/>
        <v>27.3</v>
      </c>
      <c r="BK8" s="16">
        <f t="shared" si="27"/>
        <v>27.9</v>
      </c>
      <c r="BL8" s="16">
        <f t="shared" si="28"/>
        <v>55.2</v>
      </c>
      <c r="BM8" s="16">
        <f t="shared" si="29"/>
        <v>59.4</v>
      </c>
      <c r="BN8" s="16">
        <f t="shared" si="30"/>
        <v>114.6</v>
      </c>
      <c r="BO8" s="47">
        <v>22.9</v>
      </c>
      <c r="BP8" s="47">
        <v>4.8</v>
      </c>
      <c r="BQ8" s="47">
        <v>0</v>
      </c>
      <c r="BR8" s="47">
        <v>1</v>
      </c>
      <c r="BS8" s="47">
        <v>24.8</v>
      </c>
      <c r="BT8" s="47">
        <v>5.9</v>
      </c>
      <c r="BU8" s="47">
        <v>0</v>
      </c>
      <c r="BV8" s="47">
        <v>0</v>
      </c>
      <c r="BW8" s="47">
        <v>25.2</v>
      </c>
      <c r="BX8" s="47">
        <v>7</v>
      </c>
      <c r="BY8" s="47">
        <v>0</v>
      </c>
      <c r="BZ8" s="47">
        <v>1</v>
      </c>
      <c r="CA8" s="47">
        <v>25.6</v>
      </c>
      <c r="CB8" s="47">
        <v>5.9</v>
      </c>
      <c r="CC8" s="47">
        <v>0</v>
      </c>
      <c r="CD8" s="47">
        <v>0</v>
      </c>
      <c r="CE8" s="13">
        <f t="shared" si="31"/>
        <v>10.7</v>
      </c>
      <c r="CF8" s="13">
        <f t="shared" si="32"/>
        <v>12.9</v>
      </c>
      <c r="CG8" s="13">
        <f t="shared" si="33"/>
        <v>28.7</v>
      </c>
      <c r="CH8" s="13">
        <f t="shared" si="34"/>
        <v>30.700000000000003</v>
      </c>
      <c r="CI8" s="13">
        <f t="shared" si="35"/>
        <v>59.400000000000006</v>
      </c>
      <c r="CJ8" s="13">
        <f t="shared" si="36"/>
        <v>64.7</v>
      </c>
      <c r="CK8" s="13">
        <f t="shared" si="37"/>
        <v>124.10000000000001</v>
      </c>
      <c r="CL8" s="30" t="str">
        <f t="shared" si="38"/>
        <v/>
      </c>
      <c r="CM8" s="30" t="str">
        <f t="shared" si="39"/>
        <v/>
      </c>
      <c r="CN8" s="30" t="str">
        <f t="shared" si="40"/>
        <v/>
      </c>
      <c r="CO8" s="47"/>
      <c r="CP8" s="47"/>
      <c r="CQ8" s="47"/>
      <c r="CR8" s="47"/>
      <c r="CS8" s="47"/>
      <c r="CT8" s="47"/>
      <c r="CU8" s="47"/>
      <c r="CV8" s="47"/>
      <c r="CW8" s="47"/>
      <c r="CX8" s="47"/>
      <c r="CY8" s="47"/>
      <c r="CZ8" s="47"/>
      <c r="DA8" s="47"/>
      <c r="DB8" s="47"/>
      <c r="DC8" s="47"/>
      <c r="DD8" s="47"/>
      <c r="DE8" s="13" t="str">
        <f t="shared" si="41"/>
        <v/>
      </c>
      <c r="DF8" s="13" t="str">
        <f t="shared" si="42"/>
        <v/>
      </c>
      <c r="DG8" s="13" t="str">
        <f t="shared" si="43"/>
        <v/>
      </c>
      <c r="DH8" s="13" t="str">
        <f t="shared" si="44"/>
        <v/>
      </c>
      <c r="DI8" s="13" t="str">
        <f t="shared" si="45"/>
        <v/>
      </c>
      <c r="DJ8" s="13" t="str">
        <f t="shared" si="46"/>
        <v/>
      </c>
      <c r="DK8" s="13" t="str">
        <f t="shared" si="47"/>
        <v/>
      </c>
      <c r="DL8" s="48"/>
      <c r="DM8" s="48"/>
      <c r="DN8" s="48"/>
      <c r="DO8" s="48"/>
      <c r="DP8" s="48"/>
      <c r="DQ8" s="48"/>
      <c r="DR8" s="48"/>
      <c r="DS8" s="48"/>
      <c r="DT8" s="48"/>
      <c r="DU8" s="48"/>
      <c r="DV8" s="48"/>
      <c r="DW8" s="48"/>
      <c r="DX8" s="48"/>
      <c r="DY8" s="48"/>
      <c r="DZ8" s="48"/>
      <c r="EA8" s="48"/>
      <c r="EB8" s="16" t="str">
        <f t="shared" si="48"/>
        <v/>
      </c>
      <c r="EC8" s="16" t="str">
        <f t="shared" si="49"/>
        <v/>
      </c>
      <c r="ED8" s="16" t="str">
        <f t="shared" si="50"/>
        <v/>
      </c>
      <c r="EE8" s="16" t="str">
        <f t="shared" si="51"/>
        <v/>
      </c>
      <c r="EF8" s="16" t="str">
        <f t="shared" si="52"/>
        <v/>
      </c>
      <c r="EG8" s="16" t="str">
        <f t="shared" si="53"/>
        <v/>
      </c>
      <c r="EH8" s="16" t="str">
        <f t="shared" si="54"/>
        <v/>
      </c>
      <c r="EI8" s="47"/>
      <c r="EJ8" s="47"/>
      <c r="EK8" s="47"/>
      <c r="EL8" s="47"/>
      <c r="EM8" s="47"/>
      <c r="EN8" s="47"/>
      <c r="EO8" s="47"/>
      <c r="EP8" s="47"/>
      <c r="EQ8" s="47"/>
      <c r="ER8" s="47"/>
      <c r="ES8" s="47"/>
      <c r="ET8" s="47"/>
      <c r="EU8" s="47"/>
      <c r="EV8" s="47"/>
      <c r="EW8" s="47"/>
      <c r="EX8" s="47"/>
      <c r="EY8" s="13" t="str">
        <f t="shared" si="55"/>
        <v/>
      </c>
      <c r="EZ8" s="13" t="str">
        <f t="shared" si="56"/>
        <v/>
      </c>
      <c r="FA8" s="13" t="str">
        <f t="shared" si="57"/>
        <v/>
      </c>
      <c r="FB8" s="13" t="str">
        <f t="shared" si="58"/>
        <v/>
      </c>
      <c r="FC8" s="13" t="str">
        <f t="shared" si="59"/>
        <v/>
      </c>
      <c r="FD8" s="13" t="str">
        <f t="shared" si="60"/>
        <v/>
      </c>
      <c r="FE8" s="13" t="str">
        <f t="shared" si="61"/>
        <v/>
      </c>
      <c r="FF8" s="48"/>
      <c r="FG8" s="48"/>
      <c r="FH8" s="48"/>
      <c r="FI8" s="48"/>
      <c r="FJ8" s="48"/>
      <c r="FK8" s="48"/>
      <c r="FL8" s="48"/>
      <c r="FM8" s="48"/>
      <c r="FN8" s="48"/>
      <c r="FO8" s="48"/>
      <c r="FP8" s="48"/>
      <c r="FQ8" s="48"/>
      <c r="FR8" s="48"/>
      <c r="FS8" s="48"/>
      <c r="FT8" s="48"/>
      <c r="FU8" s="48"/>
      <c r="FV8" s="16" t="str">
        <f t="shared" si="62"/>
        <v/>
      </c>
      <c r="FW8" s="16" t="str">
        <f t="shared" si="63"/>
        <v/>
      </c>
      <c r="FX8" s="16" t="str">
        <f t="shared" si="64"/>
        <v/>
      </c>
      <c r="FY8" s="16" t="str">
        <f t="shared" si="65"/>
        <v/>
      </c>
      <c r="FZ8" s="16" t="str">
        <f t="shared" si="66"/>
        <v/>
      </c>
      <c r="GA8" s="16" t="str">
        <f t="shared" si="67"/>
        <v/>
      </c>
      <c r="GB8" s="16" t="str">
        <f t="shared" si="68"/>
        <v/>
      </c>
      <c r="GC8" s="47"/>
      <c r="GD8" s="47"/>
      <c r="GE8" s="47"/>
      <c r="GF8" s="47"/>
      <c r="GG8" s="47"/>
      <c r="GH8" s="47"/>
      <c r="GI8" s="47"/>
      <c r="GJ8" s="47"/>
      <c r="GK8" s="47"/>
      <c r="GL8" s="47"/>
      <c r="GM8" s="47"/>
      <c r="GN8" s="47"/>
      <c r="GO8" s="47"/>
      <c r="GP8" s="47"/>
      <c r="GQ8" s="47"/>
      <c r="GR8" s="47"/>
      <c r="GS8" s="13" t="str">
        <f t="shared" si="69"/>
        <v/>
      </c>
      <c r="GT8" s="13" t="str">
        <f t="shared" si="70"/>
        <v/>
      </c>
      <c r="GU8" s="13" t="str">
        <f t="shared" si="71"/>
        <v/>
      </c>
      <c r="GV8" s="13" t="str">
        <f t="shared" si="72"/>
        <v/>
      </c>
      <c r="GW8" s="13" t="str">
        <f t="shared" si="73"/>
        <v/>
      </c>
      <c r="GX8" s="13" t="str">
        <f t="shared" si="74"/>
        <v/>
      </c>
      <c r="GY8" s="13" t="str">
        <f t="shared" si="75"/>
        <v/>
      </c>
      <c r="GZ8" s="48"/>
      <c r="HA8" s="48"/>
      <c r="HB8" s="48"/>
      <c r="HC8" s="48"/>
      <c r="HD8" s="48"/>
      <c r="HE8" s="48"/>
      <c r="HF8" s="48"/>
      <c r="HG8" s="48"/>
      <c r="HH8" s="48"/>
      <c r="HI8" s="48"/>
      <c r="HJ8" s="48"/>
      <c r="HK8" s="48"/>
      <c r="HL8" s="48"/>
      <c r="HM8" s="48"/>
      <c r="HN8" s="48"/>
      <c r="HO8" s="48"/>
      <c r="HP8" s="16" t="str">
        <f t="shared" si="76"/>
        <v/>
      </c>
      <c r="HQ8" s="16" t="str">
        <f t="shared" si="77"/>
        <v/>
      </c>
      <c r="HR8" s="16" t="str">
        <f t="shared" si="78"/>
        <v/>
      </c>
      <c r="HS8" s="16" t="str">
        <f t="shared" si="79"/>
        <v/>
      </c>
      <c r="HT8" s="16" t="str">
        <f t="shared" si="80"/>
        <v/>
      </c>
      <c r="HU8" s="16" t="str">
        <f t="shared" si="81"/>
        <v/>
      </c>
      <c r="HV8" s="16" t="str">
        <f t="shared" si="82"/>
        <v/>
      </c>
      <c r="HW8" s="47"/>
      <c r="HX8" s="47"/>
      <c r="HY8" s="47"/>
      <c r="HZ8" s="47"/>
      <c r="IA8" s="47"/>
      <c r="IB8" s="47"/>
      <c r="IC8" s="47"/>
      <c r="ID8" s="47"/>
      <c r="IE8" s="47"/>
      <c r="IF8" s="47"/>
      <c r="IG8" s="47"/>
      <c r="IH8" s="47"/>
      <c r="II8" s="47"/>
      <c r="IJ8" s="47"/>
      <c r="IK8" s="47"/>
      <c r="IL8" s="47"/>
      <c r="IM8" s="13" t="str">
        <f t="shared" si="83"/>
        <v/>
      </c>
      <c r="IN8" s="13" t="str">
        <f t="shared" si="84"/>
        <v/>
      </c>
      <c r="IO8" s="13" t="str">
        <f t="shared" si="85"/>
        <v/>
      </c>
      <c r="IP8" s="13" t="str">
        <f t="shared" si="86"/>
        <v/>
      </c>
      <c r="IQ8" s="13" t="str">
        <f t="shared" si="87"/>
        <v/>
      </c>
      <c r="IR8" s="13" t="str">
        <f t="shared" si="88"/>
        <v/>
      </c>
      <c r="IS8" s="13" t="str">
        <f t="shared" si="89"/>
        <v/>
      </c>
      <c r="IT8" s="48"/>
      <c r="IU8" s="48"/>
      <c r="IV8" s="48"/>
      <c r="IW8" s="48"/>
      <c r="IX8" s="48"/>
      <c r="IY8" s="48"/>
      <c r="IZ8" s="48"/>
      <c r="JA8" s="48"/>
      <c r="JB8" s="48"/>
      <c r="JC8" s="48"/>
      <c r="JD8" s="48"/>
      <c r="JE8" s="48"/>
      <c r="JF8" s="48"/>
      <c r="JG8" s="48"/>
      <c r="JH8" s="48"/>
      <c r="JI8" s="48"/>
      <c r="JJ8" s="16" t="str">
        <f t="shared" si="90"/>
        <v/>
      </c>
      <c r="JK8" s="16" t="str">
        <f t="shared" si="91"/>
        <v/>
      </c>
      <c r="JL8" s="16" t="str">
        <f t="shared" si="92"/>
        <v/>
      </c>
      <c r="JM8" s="16" t="str">
        <f t="shared" si="93"/>
        <v/>
      </c>
      <c r="JN8" s="16" t="str">
        <f t="shared" si="94"/>
        <v/>
      </c>
      <c r="JO8" s="16" t="str">
        <f t="shared" si="95"/>
        <v/>
      </c>
      <c r="JP8" s="16" t="str">
        <f t="shared" si="96"/>
        <v/>
      </c>
      <c r="JQ8" s="47"/>
      <c r="JR8" s="47"/>
      <c r="JS8" s="47"/>
      <c r="JT8" s="47"/>
      <c r="JU8" s="47"/>
      <c r="JV8" s="47"/>
      <c r="JW8" s="47"/>
      <c r="JX8" s="47"/>
      <c r="JY8" s="47"/>
      <c r="JZ8" s="47"/>
      <c r="KA8" s="47"/>
      <c r="KB8" s="47"/>
      <c r="KC8" s="47"/>
      <c r="KD8" s="47"/>
      <c r="KE8" s="47"/>
      <c r="KF8" s="47"/>
      <c r="KG8" s="13" t="str">
        <f t="shared" si="97"/>
        <v/>
      </c>
      <c r="KH8" s="13" t="str">
        <f t="shared" si="98"/>
        <v/>
      </c>
      <c r="KI8" s="13" t="str">
        <f t="shared" si="99"/>
        <v/>
      </c>
      <c r="KJ8" s="13" t="str">
        <f t="shared" si="100"/>
        <v/>
      </c>
      <c r="KK8" s="13" t="str">
        <f t="shared" si="101"/>
        <v/>
      </c>
      <c r="KL8" s="13" t="str">
        <f t="shared" si="102"/>
        <v/>
      </c>
      <c r="KM8" s="13" t="str">
        <f t="shared" si="103"/>
        <v/>
      </c>
      <c r="KN8" s="48"/>
      <c r="KO8" s="48"/>
      <c r="KP8" s="48"/>
      <c r="KQ8" s="48"/>
      <c r="KR8" s="48"/>
      <c r="KS8" s="48"/>
      <c r="KT8" s="48"/>
      <c r="KU8" s="48"/>
      <c r="KV8" s="48"/>
      <c r="KW8" s="48"/>
      <c r="KX8" s="48"/>
      <c r="KY8" s="48"/>
      <c r="KZ8" s="48"/>
      <c r="LA8" s="48"/>
      <c r="LB8" s="48"/>
      <c r="LC8" s="48"/>
      <c r="LD8" s="16" t="str">
        <f t="shared" si="104"/>
        <v/>
      </c>
      <c r="LE8" s="16" t="str">
        <f t="shared" si="105"/>
        <v/>
      </c>
      <c r="LF8" s="16" t="str">
        <f t="shared" si="106"/>
        <v/>
      </c>
      <c r="LG8" s="16" t="str">
        <f t="shared" si="107"/>
        <v/>
      </c>
      <c r="LH8" s="16" t="str">
        <f t="shared" si="108"/>
        <v/>
      </c>
      <c r="LI8" s="16" t="str">
        <f t="shared" si="109"/>
        <v/>
      </c>
      <c r="LJ8" s="16" t="str">
        <f t="shared" si="110"/>
        <v/>
      </c>
      <c r="LK8" s="47"/>
      <c r="LL8" s="47"/>
      <c r="LM8" s="47"/>
      <c r="LN8" s="47"/>
      <c r="LO8" s="47"/>
      <c r="LP8" s="47"/>
      <c r="LQ8" s="47"/>
      <c r="LR8" s="47"/>
      <c r="LS8" s="47"/>
      <c r="LT8" s="47"/>
      <c r="LU8" s="47"/>
      <c r="LV8" s="47"/>
      <c r="LW8" s="47"/>
      <c r="LX8" s="47"/>
      <c r="LY8" s="47"/>
      <c r="LZ8" s="47"/>
      <c r="MA8" s="13" t="str">
        <f t="shared" si="111"/>
        <v/>
      </c>
      <c r="MB8" s="13" t="str">
        <f t="shared" si="112"/>
        <v/>
      </c>
      <c r="MC8" s="13" t="str">
        <f t="shared" si="113"/>
        <v/>
      </c>
      <c r="MD8" s="13" t="str">
        <f t="shared" si="114"/>
        <v/>
      </c>
      <c r="ME8" s="13" t="str">
        <f t="shared" si="115"/>
        <v/>
      </c>
      <c r="MF8" s="13" t="str">
        <f t="shared" si="116"/>
        <v/>
      </c>
      <c r="MG8" s="13" t="str">
        <f t="shared" si="117"/>
        <v/>
      </c>
      <c r="MH8" s="48"/>
      <c r="MI8" s="48"/>
      <c r="MJ8" s="48"/>
      <c r="MK8" s="48"/>
      <c r="ML8" s="48"/>
      <c r="MM8" s="48"/>
      <c r="MN8" s="48"/>
      <c r="MO8" s="48"/>
      <c r="MP8" s="48"/>
      <c r="MQ8" s="48"/>
      <c r="MR8" s="48"/>
      <c r="MS8" s="48"/>
      <c r="MT8" s="48"/>
      <c r="MU8" s="48"/>
      <c r="MV8" s="48"/>
      <c r="MW8" s="48"/>
      <c r="MX8" s="16" t="str">
        <f t="shared" si="118"/>
        <v/>
      </c>
      <c r="MY8" s="16" t="str">
        <f t="shared" si="119"/>
        <v/>
      </c>
      <c r="MZ8" s="16" t="str">
        <f t="shared" si="120"/>
        <v/>
      </c>
      <c r="NA8" s="16" t="str">
        <f t="shared" si="121"/>
        <v/>
      </c>
      <c r="NB8" s="16" t="str">
        <f t="shared" si="122"/>
        <v/>
      </c>
      <c r="NC8" s="16" t="str">
        <f t="shared" si="123"/>
        <v/>
      </c>
      <c r="ND8" s="16" t="str">
        <f t="shared" si="124"/>
        <v/>
      </c>
    </row>
    <row r="9" spans="1:368" x14ac:dyDescent="0.2">
      <c r="A9" s="6" t="str">
        <f t="shared" si="0"/>
        <v/>
      </c>
      <c r="B9" s="7" t="s">
        <v>80</v>
      </c>
      <c r="C9" s="8" t="s">
        <v>6</v>
      </c>
      <c r="D9" s="33">
        <v>2017</v>
      </c>
      <c r="E9" s="17">
        <f t="shared" si="1"/>
        <v>177.4</v>
      </c>
      <c r="F9" s="4" t="str">
        <f t="shared" si="2"/>
        <v/>
      </c>
      <c r="G9" s="4" t="str">
        <f t="shared" si="3"/>
        <v/>
      </c>
      <c r="H9" s="4" t="str">
        <f t="shared" si="4"/>
        <v/>
      </c>
      <c r="I9" t="str">
        <f t="shared" si="5"/>
        <v/>
      </c>
      <c r="J9" s="16">
        <f t="shared" si="6"/>
        <v>61.5</v>
      </c>
      <c r="K9" s="16" t="str">
        <f t="shared" si="7"/>
        <v>2018 Nationals</v>
      </c>
      <c r="L9" s="16">
        <f t="shared" si="8"/>
        <v>31.4</v>
      </c>
      <c r="M9" s="16" t="str">
        <f t="shared" si="9"/>
        <v>2018 Canada Cup</v>
      </c>
      <c r="N9" s="16">
        <f t="shared" si="10"/>
        <v>23.7</v>
      </c>
      <c r="O9" s="16" t="str">
        <f t="shared" si="11"/>
        <v>2018 Canada Cup</v>
      </c>
      <c r="P9" s="16">
        <f t="shared" si="12"/>
        <v>60.800000000000004</v>
      </c>
      <c r="Q9" s="16" t="str">
        <f t="shared" si="13"/>
        <v>2018 Nationals</v>
      </c>
      <c r="R9" s="16" t="str">
        <f t="shared" si="14"/>
        <v/>
      </c>
      <c r="S9" s="31" t="str">
        <f t="shared" si="15"/>
        <v/>
      </c>
      <c r="T9" s="16" t="str">
        <f t="shared" si="16"/>
        <v/>
      </c>
      <c r="U9" s="56"/>
      <c r="V9" s="56"/>
      <c r="W9" s="56"/>
      <c r="X9" s="56"/>
      <c r="Y9" s="56"/>
      <c r="Z9" s="56"/>
      <c r="AA9" s="56"/>
      <c r="AB9" s="56"/>
      <c r="AC9" s="56"/>
      <c r="AD9" s="56"/>
      <c r="AE9" s="56"/>
      <c r="AF9" s="56"/>
      <c r="AG9" s="56"/>
      <c r="AH9" s="56"/>
      <c r="AI9" s="56"/>
      <c r="AJ9" s="56"/>
      <c r="AK9" s="13" t="str">
        <f t="shared" si="17"/>
        <v/>
      </c>
      <c r="AL9" s="13" t="str">
        <f t="shared" si="18"/>
        <v/>
      </c>
      <c r="AM9" s="13" t="str">
        <f t="shared" si="19"/>
        <v/>
      </c>
      <c r="AN9" s="13" t="str">
        <f t="shared" si="20"/>
        <v/>
      </c>
      <c r="AO9" s="13" t="str">
        <f t="shared" si="21"/>
        <v/>
      </c>
      <c r="AP9" s="13" t="str">
        <f t="shared" si="22"/>
        <v/>
      </c>
      <c r="AQ9" s="13" t="str">
        <f t="shared" si="23"/>
        <v/>
      </c>
      <c r="AR9" s="48">
        <v>23.5</v>
      </c>
      <c r="AS9" s="48">
        <v>6.9</v>
      </c>
      <c r="AT9" s="48">
        <v>0</v>
      </c>
      <c r="AU9" s="48">
        <v>1</v>
      </c>
      <c r="AV9" s="48">
        <v>20.2</v>
      </c>
      <c r="AW9" s="48">
        <v>3.5</v>
      </c>
      <c r="AX9" s="48">
        <v>0</v>
      </c>
      <c r="AY9" s="48">
        <v>0</v>
      </c>
      <c r="AZ9" s="48">
        <v>20.5</v>
      </c>
      <c r="BA9" s="48">
        <v>6.9</v>
      </c>
      <c r="BB9" s="48">
        <v>0</v>
      </c>
      <c r="BC9" s="48">
        <v>0</v>
      </c>
      <c r="BD9" s="48">
        <v>24.4</v>
      </c>
      <c r="BE9" s="48">
        <v>6.1</v>
      </c>
      <c r="BF9" s="48">
        <v>0.3</v>
      </c>
      <c r="BG9" s="48">
        <v>0</v>
      </c>
      <c r="BH9" s="16">
        <f t="shared" si="24"/>
        <v>10.4</v>
      </c>
      <c r="BI9" s="16">
        <f t="shared" si="25"/>
        <v>13</v>
      </c>
      <c r="BJ9" s="16">
        <f t="shared" si="26"/>
        <v>31.4</v>
      </c>
      <c r="BK9" s="16">
        <f t="shared" si="27"/>
        <v>23.7</v>
      </c>
      <c r="BL9" s="16">
        <f t="shared" si="28"/>
        <v>55.099999999999994</v>
      </c>
      <c r="BM9" s="16">
        <f t="shared" si="29"/>
        <v>57.6</v>
      </c>
      <c r="BN9" s="16">
        <f t="shared" si="30"/>
        <v>112.69999999999999</v>
      </c>
      <c r="BO9" s="47">
        <v>24.4</v>
      </c>
      <c r="BP9" s="47">
        <v>4.9000000000000004</v>
      </c>
      <c r="BQ9" s="47">
        <v>0</v>
      </c>
      <c r="BR9" s="47">
        <v>0</v>
      </c>
      <c r="BS9" s="47">
        <v>26.1</v>
      </c>
      <c r="BT9" s="47">
        <v>6.1</v>
      </c>
      <c r="BU9" s="47">
        <v>0</v>
      </c>
      <c r="BV9" s="47">
        <v>0</v>
      </c>
      <c r="BW9" s="47">
        <v>24.8</v>
      </c>
      <c r="BX9" s="47">
        <v>6.9</v>
      </c>
      <c r="BY9" s="47">
        <v>0</v>
      </c>
      <c r="BZ9" s="47">
        <v>1</v>
      </c>
      <c r="CA9" s="47">
        <v>24.4</v>
      </c>
      <c r="CB9" s="47">
        <v>3.7</v>
      </c>
      <c r="CC9" s="47">
        <v>0</v>
      </c>
      <c r="CD9" s="47">
        <v>0</v>
      </c>
      <c r="CE9" s="13">
        <f t="shared" si="31"/>
        <v>11</v>
      </c>
      <c r="CF9" s="13">
        <f t="shared" si="32"/>
        <v>10.600000000000001</v>
      </c>
      <c r="CG9" s="13">
        <f t="shared" si="33"/>
        <v>29.299999999999997</v>
      </c>
      <c r="CH9" s="13">
        <f t="shared" si="34"/>
        <v>32.200000000000003</v>
      </c>
      <c r="CI9" s="13">
        <f t="shared" si="35"/>
        <v>61.5</v>
      </c>
      <c r="CJ9" s="13">
        <f t="shared" si="36"/>
        <v>60.800000000000004</v>
      </c>
      <c r="CK9" s="13">
        <f t="shared" si="37"/>
        <v>122.30000000000001</v>
      </c>
      <c r="CL9" s="30" t="str">
        <f t="shared" si="38"/>
        <v/>
      </c>
      <c r="CM9" s="30" t="str">
        <f t="shared" si="39"/>
        <v/>
      </c>
      <c r="CN9" s="30" t="str">
        <f t="shared" si="40"/>
        <v/>
      </c>
      <c r="CO9" s="47"/>
      <c r="CP9" s="47"/>
      <c r="CQ9" s="47"/>
      <c r="CR9" s="47"/>
      <c r="CS9" s="47"/>
      <c r="CT9" s="47"/>
      <c r="CU9" s="47"/>
      <c r="CV9" s="47"/>
      <c r="CW9" s="47"/>
      <c r="CX9" s="47"/>
      <c r="CY9" s="47"/>
      <c r="CZ9" s="47"/>
      <c r="DA9" s="47"/>
      <c r="DB9" s="47"/>
      <c r="DC9" s="47"/>
      <c r="DD9" s="47"/>
      <c r="DE9" s="13" t="str">
        <f t="shared" si="41"/>
        <v/>
      </c>
      <c r="DF9" s="13" t="str">
        <f t="shared" si="42"/>
        <v/>
      </c>
      <c r="DG9" s="13" t="str">
        <f t="shared" si="43"/>
        <v/>
      </c>
      <c r="DH9" s="13" t="str">
        <f t="shared" si="44"/>
        <v/>
      </c>
      <c r="DI9" s="13" t="str">
        <f t="shared" si="45"/>
        <v/>
      </c>
      <c r="DJ9" s="13" t="str">
        <f t="shared" si="46"/>
        <v/>
      </c>
      <c r="DK9" s="13" t="str">
        <f t="shared" si="47"/>
        <v/>
      </c>
      <c r="DL9" s="48"/>
      <c r="DM9" s="48"/>
      <c r="DN9" s="48"/>
      <c r="DO9" s="48"/>
      <c r="DP9" s="48"/>
      <c r="DQ9" s="48"/>
      <c r="DR9" s="48"/>
      <c r="DS9" s="48"/>
      <c r="DT9" s="48"/>
      <c r="DU9" s="48"/>
      <c r="DV9" s="48"/>
      <c r="DW9" s="48"/>
      <c r="DX9" s="48"/>
      <c r="DY9" s="48"/>
      <c r="DZ9" s="48"/>
      <c r="EA9" s="48"/>
      <c r="EB9" s="16" t="str">
        <f t="shared" si="48"/>
        <v/>
      </c>
      <c r="EC9" s="16" t="str">
        <f t="shared" si="49"/>
        <v/>
      </c>
      <c r="ED9" s="16" t="str">
        <f t="shared" si="50"/>
        <v/>
      </c>
      <c r="EE9" s="16" t="str">
        <f t="shared" si="51"/>
        <v/>
      </c>
      <c r="EF9" s="16" t="str">
        <f t="shared" si="52"/>
        <v/>
      </c>
      <c r="EG9" s="16" t="str">
        <f t="shared" si="53"/>
        <v/>
      </c>
      <c r="EH9" s="16" t="str">
        <f t="shared" si="54"/>
        <v/>
      </c>
      <c r="EI9" s="47"/>
      <c r="EJ9" s="47"/>
      <c r="EK9" s="47"/>
      <c r="EL9" s="47"/>
      <c r="EM9" s="47"/>
      <c r="EN9" s="47"/>
      <c r="EO9" s="47"/>
      <c r="EP9" s="47"/>
      <c r="EQ9" s="47"/>
      <c r="ER9" s="47"/>
      <c r="ES9" s="47"/>
      <c r="ET9" s="47"/>
      <c r="EU9" s="47"/>
      <c r="EV9" s="47"/>
      <c r="EW9" s="47"/>
      <c r="EX9" s="47"/>
      <c r="EY9" s="13" t="str">
        <f t="shared" si="55"/>
        <v/>
      </c>
      <c r="EZ9" s="13" t="str">
        <f t="shared" si="56"/>
        <v/>
      </c>
      <c r="FA9" s="13" t="str">
        <f t="shared" si="57"/>
        <v/>
      </c>
      <c r="FB9" s="13" t="str">
        <f t="shared" si="58"/>
        <v/>
      </c>
      <c r="FC9" s="13" t="str">
        <f t="shared" si="59"/>
        <v/>
      </c>
      <c r="FD9" s="13" t="str">
        <f t="shared" si="60"/>
        <v/>
      </c>
      <c r="FE9" s="13" t="str">
        <f t="shared" si="61"/>
        <v/>
      </c>
      <c r="FF9" s="48"/>
      <c r="FG9" s="48"/>
      <c r="FH9" s="48"/>
      <c r="FI9" s="48"/>
      <c r="FJ9" s="48"/>
      <c r="FK9" s="48"/>
      <c r="FL9" s="48"/>
      <c r="FM9" s="48"/>
      <c r="FN9" s="48"/>
      <c r="FO9" s="48"/>
      <c r="FP9" s="48"/>
      <c r="FQ9" s="48"/>
      <c r="FR9" s="48"/>
      <c r="FS9" s="48"/>
      <c r="FT9" s="48"/>
      <c r="FU9" s="48"/>
      <c r="FV9" s="16" t="str">
        <f t="shared" si="62"/>
        <v/>
      </c>
      <c r="FW9" s="16" t="str">
        <f t="shared" si="63"/>
        <v/>
      </c>
      <c r="FX9" s="16" t="str">
        <f t="shared" si="64"/>
        <v/>
      </c>
      <c r="FY9" s="16" t="str">
        <f t="shared" si="65"/>
        <v/>
      </c>
      <c r="FZ9" s="16" t="str">
        <f t="shared" si="66"/>
        <v/>
      </c>
      <c r="GA9" s="16" t="str">
        <f t="shared" si="67"/>
        <v/>
      </c>
      <c r="GB9" s="16" t="str">
        <f t="shared" si="68"/>
        <v/>
      </c>
      <c r="GC9" s="47"/>
      <c r="GD9" s="47"/>
      <c r="GE9" s="47"/>
      <c r="GF9" s="47"/>
      <c r="GG9" s="47"/>
      <c r="GH9" s="47"/>
      <c r="GI9" s="47"/>
      <c r="GJ9" s="47"/>
      <c r="GK9" s="47"/>
      <c r="GL9" s="47"/>
      <c r="GM9" s="47"/>
      <c r="GN9" s="47"/>
      <c r="GO9" s="47"/>
      <c r="GP9" s="47"/>
      <c r="GQ9" s="47"/>
      <c r="GR9" s="47"/>
      <c r="GS9" s="13" t="str">
        <f t="shared" si="69"/>
        <v/>
      </c>
      <c r="GT9" s="13" t="str">
        <f t="shared" si="70"/>
        <v/>
      </c>
      <c r="GU9" s="13" t="str">
        <f t="shared" si="71"/>
        <v/>
      </c>
      <c r="GV9" s="13" t="str">
        <f t="shared" si="72"/>
        <v/>
      </c>
      <c r="GW9" s="13" t="str">
        <f t="shared" si="73"/>
        <v/>
      </c>
      <c r="GX9" s="13" t="str">
        <f t="shared" si="74"/>
        <v/>
      </c>
      <c r="GY9" s="13" t="str">
        <f t="shared" si="75"/>
        <v/>
      </c>
      <c r="GZ9" s="48"/>
      <c r="HA9" s="48"/>
      <c r="HB9" s="48"/>
      <c r="HC9" s="48"/>
      <c r="HD9" s="48"/>
      <c r="HE9" s="48"/>
      <c r="HF9" s="48"/>
      <c r="HG9" s="48"/>
      <c r="HH9" s="48"/>
      <c r="HI9" s="48"/>
      <c r="HJ9" s="48"/>
      <c r="HK9" s="48"/>
      <c r="HL9" s="48"/>
      <c r="HM9" s="48"/>
      <c r="HN9" s="48"/>
      <c r="HO9" s="48"/>
      <c r="HP9" s="16" t="str">
        <f t="shared" si="76"/>
        <v/>
      </c>
      <c r="HQ9" s="16" t="str">
        <f t="shared" si="77"/>
        <v/>
      </c>
      <c r="HR9" s="16" t="str">
        <f t="shared" si="78"/>
        <v/>
      </c>
      <c r="HS9" s="16" t="str">
        <f t="shared" si="79"/>
        <v/>
      </c>
      <c r="HT9" s="16" t="str">
        <f t="shared" si="80"/>
        <v/>
      </c>
      <c r="HU9" s="16" t="str">
        <f t="shared" si="81"/>
        <v/>
      </c>
      <c r="HV9" s="16" t="str">
        <f t="shared" si="82"/>
        <v/>
      </c>
      <c r="HW9" s="47"/>
      <c r="HX9" s="47"/>
      <c r="HY9" s="47"/>
      <c r="HZ9" s="47"/>
      <c r="IA9" s="47"/>
      <c r="IB9" s="47"/>
      <c r="IC9" s="47"/>
      <c r="ID9" s="47"/>
      <c r="IE9" s="47"/>
      <c r="IF9" s="47"/>
      <c r="IG9" s="47"/>
      <c r="IH9" s="47"/>
      <c r="II9" s="47"/>
      <c r="IJ9" s="47"/>
      <c r="IK9" s="47"/>
      <c r="IL9" s="47"/>
      <c r="IM9" s="13" t="str">
        <f t="shared" si="83"/>
        <v/>
      </c>
      <c r="IN9" s="13" t="str">
        <f t="shared" si="84"/>
        <v/>
      </c>
      <c r="IO9" s="13" t="str">
        <f t="shared" si="85"/>
        <v/>
      </c>
      <c r="IP9" s="13" t="str">
        <f t="shared" si="86"/>
        <v/>
      </c>
      <c r="IQ9" s="13" t="str">
        <f t="shared" si="87"/>
        <v/>
      </c>
      <c r="IR9" s="13" t="str">
        <f t="shared" si="88"/>
        <v/>
      </c>
      <c r="IS9" s="13" t="str">
        <f t="shared" si="89"/>
        <v/>
      </c>
      <c r="IT9" s="48"/>
      <c r="IU9" s="48"/>
      <c r="IV9" s="48"/>
      <c r="IW9" s="48"/>
      <c r="IX9" s="48"/>
      <c r="IY9" s="48"/>
      <c r="IZ9" s="48"/>
      <c r="JA9" s="48"/>
      <c r="JB9" s="48"/>
      <c r="JC9" s="48"/>
      <c r="JD9" s="48"/>
      <c r="JE9" s="48"/>
      <c r="JF9" s="48"/>
      <c r="JG9" s="48"/>
      <c r="JH9" s="48"/>
      <c r="JI9" s="48"/>
      <c r="JJ9" s="16" t="str">
        <f t="shared" si="90"/>
        <v/>
      </c>
      <c r="JK9" s="16" t="str">
        <f t="shared" si="91"/>
        <v/>
      </c>
      <c r="JL9" s="16" t="str">
        <f t="shared" si="92"/>
        <v/>
      </c>
      <c r="JM9" s="16" t="str">
        <f t="shared" si="93"/>
        <v/>
      </c>
      <c r="JN9" s="16" t="str">
        <f t="shared" si="94"/>
        <v/>
      </c>
      <c r="JO9" s="16" t="str">
        <f t="shared" si="95"/>
        <v/>
      </c>
      <c r="JP9" s="16" t="str">
        <f t="shared" si="96"/>
        <v/>
      </c>
      <c r="JQ9" s="47"/>
      <c r="JR9" s="47"/>
      <c r="JS9" s="47"/>
      <c r="JT9" s="47"/>
      <c r="JU9" s="47"/>
      <c r="JV9" s="47"/>
      <c r="JW9" s="47"/>
      <c r="JX9" s="47"/>
      <c r="JY9" s="47"/>
      <c r="JZ9" s="47"/>
      <c r="KA9" s="47"/>
      <c r="KB9" s="47"/>
      <c r="KC9" s="47"/>
      <c r="KD9" s="47"/>
      <c r="KE9" s="47"/>
      <c r="KF9" s="47"/>
      <c r="KG9" s="13" t="str">
        <f t="shared" si="97"/>
        <v/>
      </c>
      <c r="KH9" s="13" t="str">
        <f t="shared" si="98"/>
        <v/>
      </c>
      <c r="KI9" s="13" t="str">
        <f t="shared" si="99"/>
        <v/>
      </c>
      <c r="KJ9" s="13" t="str">
        <f t="shared" si="100"/>
        <v/>
      </c>
      <c r="KK9" s="13" t="str">
        <f t="shared" si="101"/>
        <v/>
      </c>
      <c r="KL9" s="13" t="str">
        <f t="shared" si="102"/>
        <v/>
      </c>
      <c r="KM9" s="13" t="str">
        <f t="shared" si="103"/>
        <v/>
      </c>
      <c r="KN9" s="48"/>
      <c r="KO9" s="48"/>
      <c r="KP9" s="48"/>
      <c r="KQ9" s="48"/>
      <c r="KR9" s="48"/>
      <c r="KS9" s="48"/>
      <c r="KT9" s="48"/>
      <c r="KU9" s="48"/>
      <c r="KV9" s="48"/>
      <c r="KW9" s="48"/>
      <c r="KX9" s="48"/>
      <c r="KY9" s="48"/>
      <c r="KZ9" s="48"/>
      <c r="LA9" s="48"/>
      <c r="LB9" s="48"/>
      <c r="LC9" s="48"/>
      <c r="LD9" s="16" t="str">
        <f t="shared" si="104"/>
        <v/>
      </c>
      <c r="LE9" s="16" t="str">
        <f t="shared" si="105"/>
        <v/>
      </c>
      <c r="LF9" s="16" t="str">
        <f t="shared" si="106"/>
        <v/>
      </c>
      <c r="LG9" s="16" t="str">
        <f t="shared" si="107"/>
        <v/>
      </c>
      <c r="LH9" s="16" t="str">
        <f t="shared" si="108"/>
        <v/>
      </c>
      <c r="LI9" s="16" t="str">
        <f t="shared" si="109"/>
        <v/>
      </c>
      <c r="LJ9" s="16" t="str">
        <f t="shared" si="110"/>
        <v/>
      </c>
      <c r="LK9" s="47"/>
      <c r="LL9" s="47"/>
      <c r="LM9" s="47"/>
      <c r="LN9" s="47"/>
      <c r="LO9" s="47"/>
      <c r="LP9" s="47"/>
      <c r="LQ9" s="47"/>
      <c r="LR9" s="47"/>
      <c r="LS9" s="47"/>
      <c r="LT9" s="47"/>
      <c r="LU9" s="47"/>
      <c r="LV9" s="47"/>
      <c r="LW9" s="47"/>
      <c r="LX9" s="47"/>
      <c r="LY9" s="47"/>
      <c r="LZ9" s="47"/>
      <c r="MA9" s="13" t="str">
        <f t="shared" si="111"/>
        <v/>
      </c>
      <c r="MB9" s="13" t="str">
        <f t="shared" si="112"/>
        <v/>
      </c>
      <c r="MC9" s="13" t="str">
        <f t="shared" si="113"/>
        <v/>
      </c>
      <c r="MD9" s="13" t="str">
        <f t="shared" si="114"/>
        <v/>
      </c>
      <c r="ME9" s="13" t="str">
        <f t="shared" si="115"/>
        <v/>
      </c>
      <c r="MF9" s="13" t="str">
        <f t="shared" si="116"/>
        <v/>
      </c>
      <c r="MG9" s="13" t="str">
        <f t="shared" si="117"/>
        <v/>
      </c>
      <c r="MH9" s="48"/>
      <c r="MI9" s="48"/>
      <c r="MJ9" s="48"/>
      <c r="MK9" s="48"/>
      <c r="ML9" s="48"/>
      <c r="MM9" s="48"/>
      <c r="MN9" s="48"/>
      <c r="MO9" s="48"/>
      <c r="MP9" s="48"/>
      <c r="MQ9" s="48"/>
      <c r="MR9" s="48"/>
      <c r="MS9" s="48"/>
      <c r="MT9" s="48"/>
      <c r="MU9" s="48"/>
      <c r="MV9" s="48"/>
      <c r="MW9" s="48"/>
      <c r="MX9" s="16" t="str">
        <f t="shared" si="118"/>
        <v/>
      </c>
      <c r="MY9" s="16" t="str">
        <f t="shared" si="119"/>
        <v/>
      </c>
      <c r="MZ9" s="16" t="str">
        <f t="shared" si="120"/>
        <v/>
      </c>
      <c r="NA9" s="16" t="str">
        <f t="shared" si="121"/>
        <v/>
      </c>
      <c r="NB9" s="16" t="str">
        <f t="shared" si="122"/>
        <v/>
      </c>
      <c r="NC9" s="16" t="str">
        <f t="shared" si="123"/>
        <v/>
      </c>
      <c r="ND9" s="16" t="str">
        <f t="shared" si="124"/>
        <v/>
      </c>
    </row>
    <row r="10" spans="1:368" x14ac:dyDescent="0.2">
      <c r="A10" s="6" t="str">
        <f t="shared" si="0"/>
        <v/>
      </c>
      <c r="B10" s="9" t="s">
        <v>76</v>
      </c>
      <c r="C10" s="5" t="s">
        <v>6</v>
      </c>
      <c r="D10" s="33">
        <v>2017</v>
      </c>
      <c r="E10" s="17">
        <f t="shared" si="1"/>
        <v>40.799999999999997</v>
      </c>
      <c r="F10" s="4" t="str">
        <f t="shared" si="2"/>
        <v/>
      </c>
      <c r="G10" s="4" t="str">
        <f t="shared" si="3"/>
        <v/>
      </c>
      <c r="H10" s="4" t="str">
        <f t="shared" si="4"/>
        <v/>
      </c>
      <c r="I10" t="str">
        <f t="shared" si="5"/>
        <v/>
      </c>
      <c r="J10" s="16">
        <f t="shared" si="6"/>
        <v>40.799999999999997</v>
      </c>
      <c r="K10" s="16" t="str">
        <f t="shared" si="7"/>
        <v>2017 3rd Domestic Trial</v>
      </c>
      <c r="L10" s="16">
        <f t="shared" si="8"/>
        <v>0</v>
      </c>
      <c r="M10" s="16" t="str">
        <f t="shared" si="9"/>
        <v/>
      </c>
      <c r="N10" s="16">
        <f t="shared" si="10"/>
        <v>0</v>
      </c>
      <c r="O10" s="16" t="str">
        <f t="shared" si="11"/>
        <v/>
      </c>
      <c r="P10" s="16">
        <f t="shared" si="12"/>
        <v>0</v>
      </c>
      <c r="Q10" s="16" t="str">
        <f t="shared" si="13"/>
        <v/>
      </c>
      <c r="R10" s="16" t="str">
        <f t="shared" si="14"/>
        <v/>
      </c>
      <c r="S10" s="31" t="str">
        <f t="shared" si="15"/>
        <v/>
      </c>
      <c r="T10" s="16" t="str">
        <f t="shared" si="16"/>
        <v/>
      </c>
      <c r="U10" s="47">
        <v>19.100000000000001</v>
      </c>
      <c r="V10" s="47">
        <v>3.2</v>
      </c>
      <c r="W10" s="47">
        <v>0</v>
      </c>
      <c r="X10" s="47">
        <v>0</v>
      </c>
      <c r="Y10" s="47">
        <v>25.9</v>
      </c>
      <c r="Z10" s="47">
        <v>1.6</v>
      </c>
      <c r="AA10" s="47">
        <v>9</v>
      </c>
      <c r="AB10" s="47">
        <v>0</v>
      </c>
      <c r="AC10" s="47"/>
      <c r="AD10" s="47"/>
      <c r="AE10" s="47"/>
      <c r="AF10" s="47"/>
      <c r="AG10" s="47"/>
      <c r="AH10" s="47"/>
      <c r="AI10" s="47"/>
      <c r="AJ10" s="47"/>
      <c r="AK10" s="13">
        <f t="shared" si="17"/>
        <v>4.8000000000000007</v>
      </c>
      <c r="AL10" s="13" t="str">
        <f t="shared" si="18"/>
        <v/>
      </c>
      <c r="AM10" s="13">
        <f t="shared" si="19"/>
        <v>22.3</v>
      </c>
      <c r="AN10" s="13">
        <f t="shared" si="20"/>
        <v>18.5</v>
      </c>
      <c r="AO10" s="13">
        <f t="shared" si="21"/>
        <v>40.799999999999997</v>
      </c>
      <c r="AP10" s="13" t="str">
        <f t="shared" si="22"/>
        <v/>
      </c>
      <c r="AQ10" s="13">
        <f t="shared" si="23"/>
        <v>40.799999999999997</v>
      </c>
      <c r="AR10" s="48"/>
      <c r="AS10" s="48"/>
      <c r="AT10" s="48"/>
      <c r="AU10" s="48"/>
      <c r="AV10" s="48"/>
      <c r="AW10" s="48"/>
      <c r="AX10" s="48"/>
      <c r="AY10" s="48"/>
      <c r="AZ10" s="48"/>
      <c r="BA10" s="48"/>
      <c r="BB10" s="48"/>
      <c r="BC10" s="48"/>
      <c r="BD10" s="48"/>
      <c r="BE10" s="48"/>
      <c r="BF10" s="48"/>
      <c r="BG10" s="48"/>
      <c r="BH10" s="16" t="str">
        <f t="shared" si="24"/>
        <v/>
      </c>
      <c r="BI10" s="16" t="str">
        <f t="shared" si="25"/>
        <v/>
      </c>
      <c r="BJ10" s="16" t="str">
        <f t="shared" si="26"/>
        <v/>
      </c>
      <c r="BK10" s="16" t="str">
        <f t="shared" si="27"/>
        <v/>
      </c>
      <c r="BL10" s="16" t="str">
        <f t="shared" si="28"/>
        <v/>
      </c>
      <c r="BM10" s="16" t="str">
        <f t="shared" si="29"/>
        <v/>
      </c>
      <c r="BN10" s="16" t="str">
        <f t="shared" si="30"/>
        <v/>
      </c>
      <c r="BO10" s="47"/>
      <c r="BP10" s="47"/>
      <c r="BQ10" s="47"/>
      <c r="BR10" s="47"/>
      <c r="BS10" s="47"/>
      <c r="BT10" s="47"/>
      <c r="BU10" s="47"/>
      <c r="BV10" s="47"/>
      <c r="BW10" s="47"/>
      <c r="BX10" s="47"/>
      <c r="BY10" s="47"/>
      <c r="BZ10" s="47"/>
      <c r="CA10" s="47"/>
      <c r="CB10" s="47"/>
      <c r="CC10" s="47"/>
      <c r="CD10" s="47"/>
      <c r="CE10" s="13" t="str">
        <f t="shared" si="31"/>
        <v/>
      </c>
      <c r="CF10" s="13" t="str">
        <f t="shared" si="32"/>
        <v/>
      </c>
      <c r="CG10" s="13" t="str">
        <f t="shared" si="33"/>
        <v/>
      </c>
      <c r="CH10" s="13" t="str">
        <f t="shared" si="34"/>
        <v/>
      </c>
      <c r="CI10" s="13" t="str">
        <f t="shared" si="35"/>
        <v/>
      </c>
      <c r="CJ10" s="13" t="str">
        <f t="shared" si="36"/>
        <v/>
      </c>
      <c r="CK10" s="13" t="str">
        <f t="shared" si="37"/>
        <v/>
      </c>
      <c r="CL10" s="30" t="str">
        <f t="shared" si="38"/>
        <v/>
      </c>
      <c r="CM10" s="30" t="str">
        <f t="shared" si="39"/>
        <v/>
      </c>
      <c r="CN10" s="30" t="str">
        <f t="shared" si="40"/>
        <v/>
      </c>
      <c r="CO10" s="47"/>
      <c r="CP10" s="47"/>
      <c r="CQ10" s="47"/>
      <c r="CR10" s="47"/>
      <c r="CS10" s="47"/>
      <c r="CT10" s="47"/>
      <c r="CU10" s="47"/>
      <c r="CV10" s="47"/>
      <c r="CW10" s="47"/>
      <c r="CX10" s="47"/>
      <c r="CY10" s="47"/>
      <c r="CZ10" s="47"/>
      <c r="DA10" s="47"/>
      <c r="DB10" s="47"/>
      <c r="DC10" s="47"/>
      <c r="DD10" s="47"/>
      <c r="DE10" s="13" t="str">
        <f t="shared" si="41"/>
        <v/>
      </c>
      <c r="DF10" s="13" t="str">
        <f t="shared" si="42"/>
        <v/>
      </c>
      <c r="DG10" s="13" t="str">
        <f t="shared" si="43"/>
        <v/>
      </c>
      <c r="DH10" s="13" t="str">
        <f t="shared" si="44"/>
        <v/>
      </c>
      <c r="DI10" s="13" t="str">
        <f t="shared" si="45"/>
        <v/>
      </c>
      <c r="DJ10" s="13" t="str">
        <f t="shared" si="46"/>
        <v/>
      </c>
      <c r="DK10" s="13" t="str">
        <f t="shared" si="47"/>
        <v/>
      </c>
      <c r="DL10" s="48"/>
      <c r="DM10" s="48"/>
      <c r="DN10" s="48"/>
      <c r="DO10" s="48"/>
      <c r="DP10" s="48"/>
      <c r="DQ10" s="48"/>
      <c r="DR10" s="48"/>
      <c r="DS10" s="48"/>
      <c r="DT10" s="48"/>
      <c r="DU10" s="48"/>
      <c r="DV10" s="48"/>
      <c r="DW10" s="48"/>
      <c r="DX10" s="48"/>
      <c r="DY10" s="48"/>
      <c r="DZ10" s="48"/>
      <c r="EA10" s="48"/>
      <c r="EB10" s="16" t="str">
        <f t="shared" si="48"/>
        <v/>
      </c>
      <c r="EC10" s="16" t="str">
        <f t="shared" si="49"/>
        <v/>
      </c>
      <c r="ED10" s="16" t="str">
        <f t="shared" si="50"/>
        <v/>
      </c>
      <c r="EE10" s="16" t="str">
        <f t="shared" si="51"/>
        <v/>
      </c>
      <c r="EF10" s="16" t="str">
        <f t="shared" si="52"/>
        <v/>
      </c>
      <c r="EG10" s="16" t="str">
        <f t="shared" si="53"/>
        <v/>
      </c>
      <c r="EH10" s="16" t="str">
        <f t="shared" si="54"/>
        <v/>
      </c>
      <c r="EI10" s="47"/>
      <c r="EJ10" s="47"/>
      <c r="EK10" s="47"/>
      <c r="EL10" s="47"/>
      <c r="EM10" s="47"/>
      <c r="EN10" s="47"/>
      <c r="EO10" s="47"/>
      <c r="EP10" s="47"/>
      <c r="EQ10" s="47"/>
      <c r="ER10" s="47"/>
      <c r="ES10" s="47"/>
      <c r="ET10" s="47"/>
      <c r="EU10" s="47"/>
      <c r="EV10" s="47"/>
      <c r="EW10" s="47"/>
      <c r="EX10" s="47"/>
      <c r="EY10" s="13" t="str">
        <f t="shared" si="55"/>
        <v/>
      </c>
      <c r="EZ10" s="13" t="str">
        <f t="shared" si="56"/>
        <v/>
      </c>
      <c r="FA10" s="13" t="str">
        <f t="shared" si="57"/>
        <v/>
      </c>
      <c r="FB10" s="13" t="str">
        <f t="shared" si="58"/>
        <v/>
      </c>
      <c r="FC10" s="13" t="str">
        <f t="shared" si="59"/>
        <v/>
      </c>
      <c r="FD10" s="13" t="str">
        <f t="shared" si="60"/>
        <v/>
      </c>
      <c r="FE10" s="13" t="str">
        <f t="shared" si="61"/>
        <v/>
      </c>
      <c r="FF10" s="48"/>
      <c r="FG10" s="48"/>
      <c r="FH10" s="48"/>
      <c r="FI10" s="48"/>
      <c r="FJ10" s="48"/>
      <c r="FK10" s="48"/>
      <c r="FL10" s="48"/>
      <c r="FM10" s="48"/>
      <c r="FN10" s="48"/>
      <c r="FO10" s="48"/>
      <c r="FP10" s="48"/>
      <c r="FQ10" s="48"/>
      <c r="FR10" s="48"/>
      <c r="FS10" s="48"/>
      <c r="FT10" s="48"/>
      <c r="FU10" s="48"/>
      <c r="FV10" s="16" t="str">
        <f t="shared" si="62"/>
        <v/>
      </c>
      <c r="FW10" s="16" t="str">
        <f t="shared" si="63"/>
        <v/>
      </c>
      <c r="FX10" s="16" t="str">
        <f t="shared" si="64"/>
        <v/>
      </c>
      <c r="FY10" s="16" t="str">
        <f t="shared" si="65"/>
        <v/>
      </c>
      <c r="FZ10" s="16" t="str">
        <f t="shared" si="66"/>
        <v/>
      </c>
      <c r="GA10" s="16" t="str">
        <f t="shared" si="67"/>
        <v/>
      </c>
      <c r="GB10" s="16" t="str">
        <f t="shared" si="68"/>
        <v/>
      </c>
      <c r="GC10" s="47"/>
      <c r="GD10" s="47"/>
      <c r="GE10" s="47"/>
      <c r="GF10" s="47"/>
      <c r="GG10" s="47"/>
      <c r="GH10" s="47"/>
      <c r="GI10" s="47"/>
      <c r="GJ10" s="47"/>
      <c r="GK10" s="47"/>
      <c r="GL10" s="47"/>
      <c r="GM10" s="47"/>
      <c r="GN10" s="47"/>
      <c r="GO10" s="47"/>
      <c r="GP10" s="47"/>
      <c r="GQ10" s="47"/>
      <c r="GR10" s="47"/>
      <c r="GS10" s="13" t="str">
        <f t="shared" si="69"/>
        <v/>
      </c>
      <c r="GT10" s="13" t="str">
        <f t="shared" si="70"/>
        <v/>
      </c>
      <c r="GU10" s="13" t="str">
        <f t="shared" si="71"/>
        <v/>
      </c>
      <c r="GV10" s="13" t="str">
        <f t="shared" si="72"/>
        <v/>
      </c>
      <c r="GW10" s="13" t="str">
        <f t="shared" si="73"/>
        <v/>
      </c>
      <c r="GX10" s="13" t="str">
        <f t="shared" si="74"/>
        <v/>
      </c>
      <c r="GY10" s="13" t="str">
        <f t="shared" si="75"/>
        <v/>
      </c>
      <c r="GZ10" s="48"/>
      <c r="HA10" s="48"/>
      <c r="HB10" s="48"/>
      <c r="HC10" s="48"/>
      <c r="HD10" s="48"/>
      <c r="HE10" s="48"/>
      <c r="HF10" s="48"/>
      <c r="HG10" s="48"/>
      <c r="HH10" s="48"/>
      <c r="HI10" s="48"/>
      <c r="HJ10" s="48"/>
      <c r="HK10" s="48"/>
      <c r="HL10" s="48"/>
      <c r="HM10" s="48"/>
      <c r="HN10" s="48"/>
      <c r="HO10" s="48"/>
      <c r="HP10" s="16" t="str">
        <f t="shared" si="76"/>
        <v/>
      </c>
      <c r="HQ10" s="16" t="str">
        <f t="shared" si="77"/>
        <v/>
      </c>
      <c r="HR10" s="16" t="str">
        <f t="shared" si="78"/>
        <v/>
      </c>
      <c r="HS10" s="16" t="str">
        <f t="shared" si="79"/>
        <v/>
      </c>
      <c r="HT10" s="16" t="str">
        <f t="shared" si="80"/>
        <v/>
      </c>
      <c r="HU10" s="16" t="str">
        <f t="shared" si="81"/>
        <v/>
      </c>
      <c r="HV10" s="16" t="str">
        <f t="shared" si="82"/>
        <v/>
      </c>
      <c r="HW10" s="47"/>
      <c r="HX10" s="47"/>
      <c r="HY10" s="47"/>
      <c r="HZ10" s="47"/>
      <c r="IA10" s="47"/>
      <c r="IB10" s="47"/>
      <c r="IC10" s="47"/>
      <c r="ID10" s="47"/>
      <c r="IE10" s="47"/>
      <c r="IF10" s="47"/>
      <c r="IG10" s="47"/>
      <c r="IH10" s="47"/>
      <c r="II10" s="47"/>
      <c r="IJ10" s="47"/>
      <c r="IK10" s="47"/>
      <c r="IL10" s="47"/>
      <c r="IM10" s="13" t="str">
        <f t="shared" si="83"/>
        <v/>
      </c>
      <c r="IN10" s="13" t="str">
        <f t="shared" si="84"/>
        <v/>
      </c>
      <c r="IO10" s="13" t="str">
        <f t="shared" si="85"/>
        <v/>
      </c>
      <c r="IP10" s="13" t="str">
        <f t="shared" si="86"/>
        <v/>
      </c>
      <c r="IQ10" s="13" t="str">
        <f t="shared" si="87"/>
        <v/>
      </c>
      <c r="IR10" s="13" t="str">
        <f t="shared" si="88"/>
        <v/>
      </c>
      <c r="IS10" s="13" t="str">
        <f t="shared" si="89"/>
        <v/>
      </c>
      <c r="IT10" s="48"/>
      <c r="IU10" s="48"/>
      <c r="IV10" s="48"/>
      <c r="IW10" s="48"/>
      <c r="IX10" s="48"/>
      <c r="IY10" s="48"/>
      <c r="IZ10" s="48"/>
      <c r="JA10" s="48"/>
      <c r="JB10" s="48"/>
      <c r="JC10" s="48"/>
      <c r="JD10" s="48"/>
      <c r="JE10" s="48"/>
      <c r="JF10" s="48"/>
      <c r="JG10" s="48"/>
      <c r="JH10" s="48"/>
      <c r="JI10" s="48"/>
      <c r="JJ10" s="16" t="str">
        <f t="shared" si="90"/>
        <v/>
      </c>
      <c r="JK10" s="16" t="str">
        <f t="shared" si="91"/>
        <v/>
      </c>
      <c r="JL10" s="16" t="str">
        <f t="shared" si="92"/>
        <v/>
      </c>
      <c r="JM10" s="16" t="str">
        <f t="shared" si="93"/>
        <v/>
      </c>
      <c r="JN10" s="16" t="str">
        <f t="shared" si="94"/>
        <v/>
      </c>
      <c r="JO10" s="16" t="str">
        <f t="shared" si="95"/>
        <v/>
      </c>
      <c r="JP10" s="16" t="str">
        <f t="shared" si="96"/>
        <v/>
      </c>
      <c r="JQ10" s="47"/>
      <c r="JR10" s="47"/>
      <c r="JS10" s="47"/>
      <c r="JT10" s="47"/>
      <c r="JU10" s="47"/>
      <c r="JV10" s="47"/>
      <c r="JW10" s="47"/>
      <c r="JX10" s="47"/>
      <c r="JY10" s="47"/>
      <c r="JZ10" s="47"/>
      <c r="KA10" s="47"/>
      <c r="KB10" s="47"/>
      <c r="KC10" s="47"/>
      <c r="KD10" s="47"/>
      <c r="KE10" s="47"/>
      <c r="KF10" s="47"/>
      <c r="KG10" s="13" t="str">
        <f t="shared" si="97"/>
        <v/>
      </c>
      <c r="KH10" s="13" t="str">
        <f t="shared" si="98"/>
        <v/>
      </c>
      <c r="KI10" s="13" t="str">
        <f t="shared" si="99"/>
        <v/>
      </c>
      <c r="KJ10" s="13" t="str">
        <f t="shared" si="100"/>
        <v/>
      </c>
      <c r="KK10" s="13" t="str">
        <f t="shared" si="101"/>
        <v/>
      </c>
      <c r="KL10" s="13" t="str">
        <f t="shared" si="102"/>
        <v/>
      </c>
      <c r="KM10" s="13" t="str">
        <f t="shared" si="103"/>
        <v/>
      </c>
      <c r="KN10" s="48"/>
      <c r="KO10" s="48"/>
      <c r="KP10" s="48"/>
      <c r="KQ10" s="48"/>
      <c r="KR10" s="48"/>
      <c r="KS10" s="48"/>
      <c r="KT10" s="48"/>
      <c r="KU10" s="48"/>
      <c r="KV10" s="48"/>
      <c r="KW10" s="48"/>
      <c r="KX10" s="48"/>
      <c r="KY10" s="48"/>
      <c r="KZ10" s="48"/>
      <c r="LA10" s="48"/>
      <c r="LB10" s="48"/>
      <c r="LC10" s="48"/>
      <c r="LD10" s="16" t="str">
        <f t="shared" si="104"/>
        <v/>
      </c>
      <c r="LE10" s="16" t="str">
        <f t="shared" si="105"/>
        <v/>
      </c>
      <c r="LF10" s="16" t="str">
        <f t="shared" si="106"/>
        <v/>
      </c>
      <c r="LG10" s="16" t="str">
        <f t="shared" si="107"/>
        <v/>
      </c>
      <c r="LH10" s="16" t="str">
        <f t="shared" si="108"/>
        <v/>
      </c>
      <c r="LI10" s="16" t="str">
        <f t="shared" si="109"/>
        <v/>
      </c>
      <c r="LJ10" s="16" t="str">
        <f t="shared" si="110"/>
        <v/>
      </c>
      <c r="LK10" s="47"/>
      <c r="LL10" s="47"/>
      <c r="LM10" s="47"/>
      <c r="LN10" s="47"/>
      <c r="LO10" s="47"/>
      <c r="LP10" s="47"/>
      <c r="LQ10" s="47"/>
      <c r="LR10" s="47"/>
      <c r="LS10" s="47"/>
      <c r="LT10" s="47"/>
      <c r="LU10" s="47"/>
      <c r="LV10" s="47"/>
      <c r="LW10" s="47"/>
      <c r="LX10" s="47"/>
      <c r="LY10" s="47"/>
      <c r="LZ10" s="47"/>
      <c r="MA10" s="13" t="str">
        <f t="shared" si="111"/>
        <v/>
      </c>
      <c r="MB10" s="13" t="str">
        <f t="shared" si="112"/>
        <v/>
      </c>
      <c r="MC10" s="13" t="str">
        <f t="shared" si="113"/>
        <v/>
      </c>
      <c r="MD10" s="13" t="str">
        <f t="shared" si="114"/>
        <v/>
      </c>
      <c r="ME10" s="13" t="str">
        <f t="shared" si="115"/>
        <v/>
      </c>
      <c r="MF10" s="13" t="str">
        <f t="shared" si="116"/>
        <v/>
      </c>
      <c r="MG10" s="13" t="str">
        <f t="shared" si="117"/>
        <v/>
      </c>
      <c r="MH10" s="48"/>
      <c r="MI10" s="48"/>
      <c r="MJ10" s="48"/>
      <c r="MK10" s="48"/>
      <c r="ML10" s="48"/>
      <c r="MM10" s="48"/>
      <c r="MN10" s="48"/>
      <c r="MO10" s="48"/>
      <c r="MP10" s="48"/>
      <c r="MQ10" s="48"/>
      <c r="MR10" s="48"/>
      <c r="MS10" s="48"/>
      <c r="MT10" s="48"/>
      <c r="MU10" s="48"/>
      <c r="MV10" s="48"/>
      <c r="MW10" s="48"/>
      <c r="MX10" s="16" t="str">
        <f t="shared" si="118"/>
        <v/>
      </c>
      <c r="MY10" s="16" t="str">
        <f t="shared" si="119"/>
        <v/>
      </c>
      <c r="MZ10" s="16" t="str">
        <f t="shared" si="120"/>
        <v/>
      </c>
      <c r="NA10" s="16" t="str">
        <f t="shared" si="121"/>
        <v/>
      </c>
      <c r="NB10" s="16" t="str">
        <f t="shared" si="122"/>
        <v/>
      </c>
      <c r="NC10" s="16" t="str">
        <f t="shared" si="123"/>
        <v/>
      </c>
      <c r="ND10" s="16" t="str">
        <f t="shared" si="124"/>
        <v/>
      </c>
    </row>
    <row r="11" spans="1:368" x14ac:dyDescent="0.2">
      <c r="D11" s="1"/>
    </row>
    <row r="13" spans="1:368" x14ac:dyDescent="0.2">
      <c r="B13" s="88" t="s">
        <v>123</v>
      </c>
      <c r="AK13" s="71"/>
      <c r="AL13" s="80">
        <v>13.7</v>
      </c>
      <c r="BH13" s="71"/>
      <c r="BI13" s="80">
        <v>11.8</v>
      </c>
      <c r="CE13" s="71"/>
      <c r="CF13" s="80">
        <v>11.8</v>
      </c>
      <c r="DE13" s="71"/>
      <c r="DF13" s="80">
        <v>13.7</v>
      </c>
      <c r="EB13" s="71"/>
      <c r="EC13" s="80">
        <v>13.7</v>
      </c>
      <c r="EY13" s="71"/>
      <c r="EZ13" s="80">
        <v>13.7</v>
      </c>
      <c r="FV13" s="71"/>
      <c r="FW13" s="80">
        <v>11.8</v>
      </c>
      <c r="GS13" s="71"/>
      <c r="GT13" s="80">
        <v>11.8</v>
      </c>
      <c r="HP13" s="71"/>
      <c r="HQ13" s="80">
        <v>11.8</v>
      </c>
      <c r="IM13" s="71"/>
      <c r="IN13" s="80">
        <v>11.8</v>
      </c>
      <c r="JJ13" s="71"/>
      <c r="JK13" s="80">
        <v>11.8</v>
      </c>
      <c r="KG13" s="71"/>
      <c r="KH13" s="80">
        <v>11.8</v>
      </c>
      <c r="LD13" s="71"/>
      <c r="LE13" s="80">
        <v>11.8</v>
      </c>
      <c r="MA13" s="71"/>
      <c r="MB13" s="80">
        <v>11.8</v>
      </c>
      <c r="MX13" s="71"/>
      <c r="MY13" s="80">
        <v>11.8</v>
      </c>
    </row>
    <row r="14" spans="1:368" x14ac:dyDescent="0.2">
      <c r="A14" s="71"/>
      <c r="B14" s="89" t="s">
        <v>122</v>
      </c>
      <c r="C14" s="70"/>
      <c r="AK14" s="71"/>
      <c r="AL14" s="81">
        <v>13.7</v>
      </c>
      <c r="BH14" s="71"/>
      <c r="BI14" s="81">
        <v>11.8</v>
      </c>
      <c r="CE14" s="71"/>
      <c r="CF14" s="81">
        <v>11.8</v>
      </c>
      <c r="DE14" s="71"/>
      <c r="DF14" s="81">
        <v>13.7</v>
      </c>
      <c r="EB14" s="71"/>
      <c r="EC14" s="81">
        <v>13.7</v>
      </c>
      <c r="EY14" s="71"/>
      <c r="EZ14" s="81">
        <v>13.7</v>
      </c>
      <c r="FV14" s="71"/>
      <c r="FW14" s="81">
        <v>11.8</v>
      </c>
      <c r="GS14" s="71"/>
      <c r="GT14" s="81">
        <v>11.8</v>
      </c>
      <c r="HP14" s="71"/>
      <c r="HQ14" s="81">
        <v>11.8</v>
      </c>
      <c r="IM14" s="71"/>
      <c r="IN14" s="81">
        <v>11.8</v>
      </c>
      <c r="JJ14" s="71"/>
      <c r="JK14" s="81">
        <v>11.8</v>
      </c>
      <c r="KG14" s="71"/>
      <c r="KH14" s="81">
        <v>11.8</v>
      </c>
      <c r="LD14" s="71"/>
      <c r="LE14" s="81">
        <v>11.8</v>
      </c>
      <c r="MA14" s="71"/>
      <c r="MB14" s="81">
        <v>11.8</v>
      </c>
      <c r="MX14" s="71"/>
      <c r="MY14" s="81">
        <v>11.8</v>
      </c>
    </row>
    <row r="15" spans="1:368" x14ac:dyDescent="0.2">
      <c r="A15" s="71"/>
      <c r="B15" s="90" t="s">
        <v>120</v>
      </c>
      <c r="C15" s="70"/>
      <c r="AK15" s="71"/>
      <c r="AL15" s="82">
        <v>64.7</v>
      </c>
      <c r="BH15" s="71"/>
      <c r="BI15" s="82">
        <v>62.8</v>
      </c>
      <c r="CE15" s="71"/>
      <c r="CF15" s="82">
        <v>62.8</v>
      </c>
      <c r="DE15" s="71"/>
      <c r="DF15" s="82">
        <v>64.7</v>
      </c>
      <c r="EB15" s="71"/>
      <c r="EC15" s="82">
        <v>64.7</v>
      </c>
      <c r="EY15" s="71"/>
      <c r="EZ15" s="82">
        <v>64.7</v>
      </c>
      <c r="FV15" s="71"/>
      <c r="FW15" s="82">
        <v>62.8</v>
      </c>
      <c r="GS15" s="71"/>
      <c r="GT15" s="82">
        <v>62.8</v>
      </c>
      <c r="HP15" s="71"/>
      <c r="HQ15" s="82">
        <v>62.8</v>
      </c>
      <c r="IM15" s="71"/>
      <c r="IN15" s="82">
        <v>62.8</v>
      </c>
      <c r="JJ15" s="71"/>
      <c r="JK15" s="82">
        <v>62.8</v>
      </c>
      <c r="KG15" s="71"/>
      <c r="KH15" s="82">
        <v>62.8</v>
      </c>
      <c r="LD15" s="71"/>
      <c r="LE15" s="82">
        <v>62.8</v>
      </c>
      <c r="MA15" s="71"/>
      <c r="MB15" s="82">
        <v>62.8</v>
      </c>
      <c r="MX15" s="71"/>
      <c r="MY15" s="82">
        <v>62.8</v>
      </c>
    </row>
    <row r="16" spans="1:368" x14ac:dyDescent="0.2">
      <c r="A16" s="71"/>
      <c r="B16" s="91" t="s">
        <v>121</v>
      </c>
      <c r="C16" s="70"/>
      <c r="AK16" s="71"/>
      <c r="AL16" s="83">
        <v>64.7</v>
      </c>
      <c r="BH16" s="71"/>
      <c r="BI16" s="83">
        <v>64.599999999999994</v>
      </c>
      <c r="CE16" s="71"/>
      <c r="CF16" s="83">
        <v>64.599999999999994</v>
      </c>
      <c r="DE16" s="71"/>
      <c r="DF16" s="83">
        <v>64.7</v>
      </c>
      <c r="EB16" s="71"/>
      <c r="EC16" s="83">
        <v>64.7</v>
      </c>
      <c r="EY16" s="71"/>
      <c r="EZ16" s="83">
        <v>64.7</v>
      </c>
      <c r="FV16" s="71"/>
      <c r="FW16" s="83">
        <v>64.599999999999994</v>
      </c>
      <c r="GS16" s="71"/>
      <c r="GT16" s="83">
        <v>64.599999999999994</v>
      </c>
      <c r="HP16" s="71"/>
      <c r="HQ16" s="83">
        <v>64.599999999999994</v>
      </c>
      <c r="IM16" s="71"/>
      <c r="IN16" s="83">
        <v>64.599999999999994</v>
      </c>
      <c r="JJ16" s="71"/>
      <c r="JK16" s="83">
        <v>64.599999999999994</v>
      </c>
      <c r="KG16" s="71"/>
      <c r="KH16" s="83">
        <v>64.599999999999994</v>
      </c>
      <c r="LD16" s="71"/>
      <c r="LE16" s="83">
        <v>64.599999999999994</v>
      </c>
      <c r="MA16" s="71"/>
      <c r="MB16" s="83">
        <v>64.599999999999994</v>
      </c>
      <c r="MX16" s="71"/>
      <c r="MY16" s="83">
        <v>64.599999999999994</v>
      </c>
    </row>
    <row r="17" spans="1:363" x14ac:dyDescent="0.2">
      <c r="A17" s="71"/>
      <c r="B17" s="92" t="s">
        <v>39</v>
      </c>
      <c r="C17" s="70"/>
      <c r="AK17" s="71"/>
      <c r="AL17" s="84">
        <v>67.2</v>
      </c>
      <c r="BH17" s="71"/>
      <c r="BI17" s="84">
        <v>68.2</v>
      </c>
      <c r="CE17" s="71"/>
      <c r="CF17" s="84">
        <v>68.2</v>
      </c>
      <c r="DE17" s="71"/>
      <c r="DF17" s="84">
        <v>67.2</v>
      </c>
      <c r="EB17" s="71"/>
      <c r="EC17" s="84">
        <v>67.2</v>
      </c>
      <c r="EY17" s="71"/>
      <c r="EZ17" s="84">
        <v>67.2</v>
      </c>
      <c r="FV17" s="71"/>
      <c r="FW17" s="84">
        <v>68.2</v>
      </c>
      <c r="GS17" s="71"/>
      <c r="GT17" s="84">
        <v>68.2</v>
      </c>
      <c r="HP17" s="71"/>
      <c r="HQ17" s="84">
        <v>68.2</v>
      </c>
      <c r="IM17" s="71"/>
      <c r="IN17" s="84">
        <v>68.2</v>
      </c>
      <c r="JJ17" s="71"/>
      <c r="JK17" s="84">
        <v>68.2</v>
      </c>
      <c r="KG17" s="71"/>
      <c r="KH17" s="84">
        <v>68.2</v>
      </c>
      <c r="LD17" s="71"/>
      <c r="LE17" s="84">
        <v>68.2</v>
      </c>
      <c r="MA17" s="71"/>
      <c r="MB17" s="84">
        <v>68.2</v>
      </c>
      <c r="MX17" s="71"/>
      <c r="MY17" s="84">
        <v>68.2</v>
      </c>
    </row>
    <row r="18" spans="1:363" x14ac:dyDescent="0.2">
      <c r="A18" s="71"/>
      <c r="B18" s="93" t="s">
        <v>91</v>
      </c>
      <c r="C18" s="70"/>
      <c r="AK18" s="71"/>
      <c r="AL18" s="85">
        <v>71.900000000000006</v>
      </c>
      <c r="BH18" s="71"/>
      <c r="BI18" s="85">
        <v>72.400000000000006</v>
      </c>
      <c r="CE18" s="71"/>
      <c r="CF18" s="85">
        <v>72.400000000000006</v>
      </c>
      <c r="DE18" s="71"/>
      <c r="DF18" s="85">
        <v>71.900000000000006</v>
      </c>
      <c r="EB18" s="71"/>
      <c r="EC18" s="85">
        <v>71.900000000000006</v>
      </c>
      <c r="EY18" s="71"/>
      <c r="EZ18" s="85">
        <v>71.900000000000006</v>
      </c>
      <c r="FV18" s="71"/>
      <c r="FW18" s="85">
        <v>72.400000000000006</v>
      </c>
      <c r="GS18" s="71"/>
      <c r="GT18" s="85">
        <v>72.400000000000006</v>
      </c>
      <c r="HP18" s="71"/>
      <c r="HQ18" s="85">
        <v>72.400000000000006</v>
      </c>
      <c r="IM18" s="71"/>
      <c r="IN18" s="85">
        <v>72.400000000000006</v>
      </c>
      <c r="JJ18" s="71"/>
      <c r="JK18" s="85">
        <v>72.400000000000006</v>
      </c>
      <c r="KG18" s="71"/>
      <c r="KH18" s="85">
        <v>72.400000000000006</v>
      </c>
      <c r="LD18" s="71"/>
      <c r="LE18" s="85">
        <v>72.400000000000006</v>
      </c>
      <c r="MA18" s="71"/>
      <c r="MB18" s="85">
        <v>72.400000000000006</v>
      </c>
      <c r="MX18" s="71"/>
      <c r="MY18" s="85">
        <v>72.400000000000006</v>
      </c>
    </row>
    <row r="19" spans="1:363" x14ac:dyDescent="0.2">
      <c r="C19" s="3"/>
      <c r="AL19" s="69" t="s">
        <v>141</v>
      </c>
      <c r="BI19" s="69"/>
      <c r="DF19" s="69" t="s">
        <v>141</v>
      </c>
      <c r="EC19" s="69" t="s">
        <v>141</v>
      </c>
      <c r="EZ19" s="69" t="s">
        <v>141</v>
      </c>
    </row>
    <row r="20" spans="1:363" x14ac:dyDescent="0.2">
      <c r="A20" s="71"/>
      <c r="B20" s="71"/>
      <c r="C20" s="70"/>
    </row>
    <row r="21" spans="1:363" ht="17" x14ac:dyDescent="0.2">
      <c r="A21" s="71"/>
      <c r="B21" s="71"/>
      <c r="C21" s="70"/>
      <c r="R21" s="23"/>
      <c r="S21" s="23"/>
      <c r="T21" s="23"/>
    </row>
    <row r="22" spans="1:363" ht="17" x14ac:dyDescent="0.2">
      <c r="A22" s="71"/>
      <c r="B22" s="71"/>
      <c r="C22" s="70"/>
      <c r="R22" s="23"/>
      <c r="S22" s="23"/>
      <c r="T22" s="23"/>
    </row>
    <row r="23" spans="1:363" ht="17" x14ac:dyDescent="0.2">
      <c r="R23" s="23"/>
      <c r="S23" s="23"/>
      <c r="T23" s="23"/>
    </row>
    <row r="24" spans="1:363" ht="17" x14ac:dyDescent="0.2">
      <c r="R24" s="23"/>
      <c r="S24" s="23"/>
      <c r="T24" s="23"/>
    </row>
    <row r="25" spans="1:363" ht="17" x14ac:dyDescent="0.2">
      <c r="R25" s="23"/>
      <c r="S25" s="23"/>
      <c r="T25" s="23"/>
    </row>
    <row r="26" spans="1:363" ht="17" x14ac:dyDescent="0.2">
      <c r="R26" s="23"/>
      <c r="S26" s="23"/>
      <c r="T26" s="23"/>
    </row>
    <row r="27" spans="1:363" ht="17" x14ac:dyDescent="0.2">
      <c r="R27" s="23"/>
      <c r="S27" s="23"/>
      <c r="T27" s="23"/>
    </row>
    <row r="28" spans="1:363" ht="17" x14ac:dyDescent="0.2">
      <c r="R28" s="23"/>
      <c r="S28" s="23"/>
      <c r="T28" s="23"/>
    </row>
    <row r="29" spans="1:363" ht="17" x14ac:dyDescent="0.2">
      <c r="R29" s="23"/>
      <c r="S29" s="23"/>
      <c r="T29" s="23"/>
    </row>
    <row r="30" spans="1:363" ht="17" x14ac:dyDescent="0.2">
      <c r="R30" s="23"/>
      <c r="S30" s="23"/>
      <c r="T30" s="23"/>
    </row>
    <row r="31" spans="1:363" ht="17" x14ac:dyDescent="0.2">
      <c r="R31" s="23"/>
      <c r="S31" s="23"/>
      <c r="T31" s="23"/>
    </row>
    <row r="32" spans="1:363" ht="17" x14ac:dyDescent="0.2">
      <c r="R32" s="23"/>
      <c r="S32" s="23"/>
      <c r="T32" s="23"/>
    </row>
    <row r="33" spans="18:20" ht="17" x14ac:dyDescent="0.2">
      <c r="R33" s="23"/>
      <c r="S33" s="23"/>
      <c r="T33" s="23"/>
    </row>
    <row r="34" spans="18:20" ht="17" x14ac:dyDescent="0.2">
      <c r="R34" s="23"/>
      <c r="S34" s="23"/>
      <c r="T34" s="23"/>
    </row>
    <row r="35" spans="18:20" ht="17" x14ac:dyDescent="0.2">
      <c r="R35" s="23"/>
      <c r="S35" s="23"/>
      <c r="T35" s="23"/>
    </row>
    <row r="36" spans="18:20" ht="17" x14ac:dyDescent="0.2">
      <c r="R36" s="23"/>
      <c r="S36" s="23"/>
      <c r="T36" s="23"/>
    </row>
    <row r="37" spans="18:20" ht="17" x14ac:dyDescent="0.2">
      <c r="R37" s="23"/>
      <c r="S37" s="23"/>
      <c r="T37" s="23"/>
    </row>
    <row r="38" spans="18:20" ht="17" x14ac:dyDescent="0.2">
      <c r="R38" s="23"/>
      <c r="S38" s="23"/>
      <c r="T38" s="23"/>
    </row>
    <row r="39" spans="18:20" ht="17" x14ac:dyDescent="0.2">
      <c r="R39" s="23"/>
      <c r="S39" s="23"/>
      <c r="T39" s="23"/>
    </row>
    <row r="40" spans="18:20" ht="17" x14ac:dyDescent="0.2">
      <c r="R40" s="23"/>
      <c r="S40" s="23"/>
      <c r="T40" s="23"/>
    </row>
  </sheetData>
  <sheetProtection sheet="1" formatCells="0" formatColumns="0" formatRows="0"/>
  <autoFilter ref="A1:ND3" xr:uid="{00000000-0009-0000-0000-000005000000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9" showButton="0"/>
    <filterColumn colId="90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sortState ref="A6:ND10">
      <sortCondition descending="1" ref="F1:F8"/>
    </sortState>
  </autoFilter>
  <mergeCells count="96">
    <mergeCell ref="CO1:DK1"/>
    <mergeCell ref="CO2:CR2"/>
    <mergeCell ref="CS2:CV2"/>
    <mergeCell ref="CW2:CZ2"/>
    <mergeCell ref="DA2:DD2"/>
    <mergeCell ref="BW2:BZ2"/>
    <mergeCell ref="CA2:CD2"/>
    <mergeCell ref="CL1:CN1"/>
    <mergeCell ref="BO1:CK1"/>
    <mergeCell ref="BO2:BR2"/>
    <mergeCell ref="BS2:BV2"/>
    <mergeCell ref="DL1:EH1"/>
    <mergeCell ref="DL2:DO2"/>
    <mergeCell ref="DP2:DS2"/>
    <mergeCell ref="DT2:DW2"/>
    <mergeCell ref="DX2:EA2"/>
    <mergeCell ref="T1:T3"/>
    <mergeCell ref="M1:M3"/>
    <mergeCell ref="K1:K3"/>
    <mergeCell ref="L1:L3"/>
    <mergeCell ref="A1:A3"/>
    <mergeCell ref="B1:B3"/>
    <mergeCell ref="C1:C3"/>
    <mergeCell ref="D1:D3"/>
    <mergeCell ref="E1:E3"/>
    <mergeCell ref="G1:G3"/>
    <mergeCell ref="H1:H3"/>
    <mergeCell ref="I1:I3"/>
    <mergeCell ref="J1:J3"/>
    <mergeCell ref="F1:F3"/>
    <mergeCell ref="N1:N3"/>
    <mergeCell ref="P1:P3"/>
    <mergeCell ref="BD2:BG2"/>
    <mergeCell ref="U2:X2"/>
    <mergeCell ref="Y2:AB2"/>
    <mergeCell ref="AG2:AJ2"/>
    <mergeCell ref="AR2:AU2"/>
    <mergeCell ref="AV2:AY2"/>
    <mergeCell ref="AC2:AF2"/>
    <mergeCell ref="AZ2:BC2"/>
    <mergeCell ref="O1:O3"/>
    <mergeCell ref="Q1:Q3"/>
    <mergeCell ref="S1:S3"/>
    <mergeCell ref="FF1:GB1"/>
    <mergeCell ref="EI2:EL2"/>
    <mergeCell ref="EM2:EP2"/>
    <mergeCell ref="EQ2:ET2"/>
    <mergeCell ref="EU2:EX2"/>
    <mergeCell ref="FF2:FI2"/>
    <mergeCell ref="FJ2:FM2"/>
    <mergeCell ref="FN2:FQ2"/>
    <mergeCell ref="FR2:FU2"/>
    <mergeCell ref="EI1:FE1"/>
    <mergeCell ref="R1:R3"/>
    <mergeCell ref="U1:AQ1"/>
    <mergeCell ref="AR1:BN1"/>
    <mergeCell ref="GC1:GY1"/>
    <mergeCell ref="GZ1:HV1"/>
    <mergeCell ref="GC2:GF2"/>
    <mergeCell ref="GG2:GJ2"/>
    <mergeCell ref="GK2:GN2"/>
    <mergeCell ref="GO2:GR2"/>
    <mergeCell ref="GZ2:HC2"/>
    <mergeCell ref="HD2:HG2"/>
    <mergeCell ref="HH2:HK2"/>
    <mergeCell ref="HL2:HO2"/>
    <mergeCell ref="HW1:IS1"/>
    <mergeCell ref="IT1:JP1"/>
    <mergeCell ref="HW2:HZ2"/>
    <mergeCell ref="IA2:ID2"/>
    <mergeCell ref="IE2:IH2"/>
    <mergeCell ref="II2:IL2"/>
    <mergeCell ref="IT2:IW2"/>
    <mergeCell ref="IX2:JA2"/>
    <mergeCell ref="JB2:JE2"/>
    <mergeCell ref="JF2:JI2"/>
    <mergeCell ref="JQ1:KM1"/>
    <mergeCell ref="KN1:LJ1"/>
    <mergeCell ref="JQ2:JT2"/>
    <mergeCell ref="JU2:JX2"/>
    <mergeCell ref="JY2:KB2"/>
    <mergeCell ref="KC2:KF2"/>
    <mergeCell ref="KN2:KQ2"/>
    <mergeCell ref="KR2:KU2"/>
    <mergeCell ref="KV2:KY2"/>
    <mergeCell ref="KZ2:LC2"/>
    <mergeCell ref="LK1:MG1"/>
    <mergeCell ref="MH1:ND1"/>
    <mergeCell ref="LK2:LN2"/>
    <mergeCell ref="LO2:LR2"/>
    <mergeCell ref="LS2:LV2"/>
    <mergeCell ref="LW2:LZ2"/>
    <mergeCell ref="MH2:MK2"/>
    <mergeCell ref="ML2:MO2"/>
    <mergeCell ref="MP2:MS2"/>
    <mergeCell ref="MT2:MW2"/>
  </mergeCells>
  <conditionalFormatting sqref="A1:A1048576">
    <cfRule type="expression" dxfId="79" priority="57">
      <formula>AND(H1="P",F1="")</formula>
    </cfRule>
  </conditionalFormatting>
  <conditionalFormatting sqref="I1:I1048576">
    <cfRule type="containsText" dxfId="78" priority="58" operator="containsText" text="Merit">
      <formula>NOT(ISERROR(SEARCH("Merit",I1)))</formula>
    </cfRule>
    <cfRule type="containsText" dxfId="77" priority="59" operator="containsText" text="Funding">
      <formula>NOT(ISERROR(SEARCH("Funding",I1)))</formula>
    </cfRule>
    <cfRule type="containsText" dxfId="76" priority="60" operator="containsText" text="Worlds Team">
      <formula>NOT(ISERROR(SEARCH("Worlds Team",I1)))</formula>
    </cfRule>
    <cfRule type="containsText" dxfId="75" priority="178" operator="containsText" text="National Team">
      <formula>NOT(ISERROR(SEARCH("National Team",I1)))</formula>
    </cfRule>
  </conditionalFormatting>
  <conditionalFormatting sqref="K1:K1048576">
    <cfRule type="expression" dxfId="74" priority="179">
      <formula>IF(J1=CI1,1,0)</formula>
    </cfRule>
    <cfRule type="expression" dxfId="73" priority="180">
      <formula>IF(J1=BL1,1,0)</formula>
    </cfRule>
    <cfRule type="expression" dxfId="72" priority="181">
      <formula>IF(J1=AO1,1,0)</formula>
    </cfRule>
  </conditionalFormatting>
  <conditionalFormatting sqref="M1:M1048576">
    <cfRule type="expression" dxfId="71" priority="182">
      <formula>IF(L1=CG1,1,0)</formula>
    </cfRule>
    <cfRule type="expression" dxfId="70" priority="183">
      <formula>IF(L1=BJ1,1,0)</formula>
    </cfRule>
    <cfRule type="expression" dxfId="69" priority="184">
      <formula>IF(L1=AM1,1,0)</formula>
    </cfRule>
  </conditionalFormatting>
  <conditionalFormatting sqref="O1:O1048576 Q1:Q1048576">
    <cfRule type="expression" dxfId="68" priority="185">
      <formula>IF(N1=CH1,1,0)</formula>
    </cfRule>
    <cfRule type="expression" dxfId="67" priority="186">
      <formula>IF(N1=BK1,1,0)</formula>
    </cfRule>
    <cfRule type="expression" dxfId="66" priority="337">
      <formula>IF(N1=AN1,1,0)</formula>
    </cfRule>
  </conditionalFormatting>
  <conditionalFormatting sqref="AK1:AK1048576 BH1:BH1048576 CE1:CE1048576 DE1:DE1048576 EB1:EB1048576 EY1:EY1048576 FV1:FV1048576 GS1:GS1048576 HP1:HP1048576 IM1:IM1048576 JJ1:JJ1048576 KG1:KG1048576 LD1:LD1048576 MA1:MA1048576 MX1:MX1048576">
    <cfRule type="cellIs" dxfId="65" priority="1491" operator="between">
      <formula>AL$14</formula>
      <formula>100</formula>
    </cfRule>
    <cfRule type="cellIs" dxfId="64" priority="1492" operator="between">
      <formula>AL$13</formula>
      <formula>AL$14</formula>
    </cfRule>
  </conditionalFormatting>
  <conditionalFormatting sqref="AO1:AO1048576 BL1:BL1048576 CI1:CI1048576 DI1:DI1048576 EF1:EF1048576 FC1:FC1048576 FZ1:FZ1048576 GW1:GW1048576 HT1:HT1048576 IQ1:IQ1048576 JN1:JN1048576 KK1:KK1048576 LH1:LH1048576 ME1:ME1048576 NB1:NB1048576">
    <cfRule type="cellIs" dxfId="63" priority="1581" operator="between">
      <formula>AL$18</formula>
      <formula>1000</formula>
    </cfRule>
    <cfRule type="cellIs" dxfId="62" priority="1582" operator="between">
      <formula>AL$17</formula>
      <formula>AL$18</formula>
    </cfRule>
    <cfRule type="cellIs" dxfId="61" priority="1583" operator="between">
      <formula>AL$16</formula>
      <formula>AL$17</formula>
    </cfRule>
    <cfRule type="cellIs" dxfId="60" priority="1584" operator="between">
      <formula>AL$15</formula>
      <formula>AL$16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1:ND21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6.33203125" customWidth="1"/>
    <col min="6" max="6" width="16.33203125" customWidth="1"/>
    <col min="7" max="7" width="15.33203125" customWidth="1"/>
    <col min="9" max="9" width="13.33203125" bestFit="1" customWidth="1"/>
    <col min="11" max="11" width="20.5" bestFit="1" customWidth="1"/>
    <col min="13" max="13" width="20.5" bestFit="1" customWidth="1"/>
    <col min="15" max="15" width="20.5" bestFit="1" customWidth="1"/>
    <col min="17" max="17" width="20.5" bestFit="1" customWidth="1"/>
    <col min="18" max="18" width="24.6640625" bestFit="1" customWidth="1"/>
    <col min="19" max="19" width="13" bestFit="1" customWidth="1"/>
    <col min="20" max="20" width="29.5" bestFit="1" customWidth="1"/>
    <col min="21" max="36" width="10.83203125" hidden="1" customWidth="1"/>
    <col min="37" max="43" width="10.83203125" customWidth="1"/>
    <col min="44" max="59" width="10.83203125" hidden="1" customWidth="1"/>
    <col min="60" max="66" width="10.83203125" customWidth="1"/>
    <col min="67" max="82" width="10.83203125" hidden="1" customWidth="1"/>
    <col min="83" max="89" width="10.83203125" customWidth="1"/>
    <col min="93" max="108" width="10.83203125" hidden="1" customWidth="1"/>
    <col min="109" max="115" width="10.83203125" customWidth="1"/>
    <col min="116" max="131" width="10.83203125" hidden="1" customWidth="1"/>
    <col min="132" max="138" width="10.83203125" customWidth="1"/>
    <col min="139" max="154" width="10.83203125" hidden="1" customWidth="1"/>
    <col min="155" max="161" width="10.83203125" customWidth="1"/>
    <col min="162" max="177" width="10.83203125" hidden="1" customWidth="1"/>
    <col min="178" max="184" width="10.83203125" customWidth="1"/>
    <col min="185" max="200" width="10.83203125" hidden="1" customWidth="1"/>
    <col min="201" max="207" width="10.83203125" customWidth="1"/>
    <col min="208" max="223" width="10.83203125" hidden="1" customWidth="1"/>
    <col min="224" max="230" width="10.83203125" customWidth="1"/>
    <col min="231" max="246" width="10.83203125" hidden="1" customWidth="1"/>
    <col min="247" max="253" width="10.83203125" customWidth="1"/>
    <col min="254" max="269" width="10.83203125" hidden="1" customWidth="1"/>
    <col min="270" max="276" width="10.83203125" customWidth="1"/>
    <col min="277" max="292" width="10.83203125" hidden="1" customWidth="1"/>
    <col min="293" max="299" width="10.83203125" customWidth="1"/>
    <col min="300" max="315" width="10.83203125" hidden="1" customWidth="1"/>
    <col min="316" max="322" width="10.83203125" customWidth="1"/>
    <col min="323" max="338" width="10.83203125" hidden="1" customWidth="1"/>
    <col min="339" max="345" width="10.83203125" customWidth="1"/>
    <col min="346" max="361" width="10.83203125" hidden="1" customWidth="1"/>
    <col min="362" max="368" width="10.83203125" customWidth="1"/>
  </cols>
  <sheetData>
    <row r="1" spans="1:368" x14ac:dyDescent="0.2">
      <c r="A1" s="101" t="s">
        <v>2</v>
      </c>
      <c r="B1" s="101" t="s">
        <v>51</v>
      </c>
      <c r="C1" s="101" t="s">
        <v>0</v>
      </c>
      <c r="D1" s="101" t="s">
        <v>1</v>
      </c>
      <c r="E1" s="101" t="s">
        <v>3</v>
      </c>
      <c r="F1" s="104" t="s">
        <v>123</v>
      </c>
      <c r="G1" s="104" t="s">
        <v>122</v>
      </c>
      <c r="H1" s="101" t="s">
        <v>22</v>
      </c>
      <c r="I1" s="101" t="s">
        <v>23</v>
      </c>
      <c r="J1" s="102" t="s">
        <v>24</v>
      </c>
      <c r="K1" s="102" t="s">
        <v>87</v>
      </c>
      <c r="L1" s="102" t="s">
        <v>77</v>
      </c>
      <c r="M1" s="102" t="s">
        <v>87</v>
      </c>
      <c r="N1" s="102" t="s">
        <v>78</v>
      </c>
      <c r="O1" s="102" t="s">
        <v>87</v>
      </c>
      <c r="P1" s="102" t="s">
        <v>27</v>
      </c>
      <c r="Q1" s="102" t="s">
        <v>87</v>
      </c>
      <c r="R1" s="103" t="s">
        <v>28</v>
      </c>
      <c r="S1" s="102" t="s">
        <v>90</v>
      </c>
      <c r="T1" s="102" t="s">
        <v>87</v>
      </c>
      <c r="U1" s="97" t="s">
        <v>92</v>
      </c>
      <c r="V1" s="97"/>
      <c r="W1" s="97"/>
      <c r="X1" s="97"/>
      <c r="Y1" s="97"/>
      <c r="Z1" s="97"/>
      <c r="AA1" s="97"/>
      <c r="AB1" s="97"/>
      <c r="AC1" s="97"/>
      <c r="AD1" s="97"/>
      <c r="AE1" s="97"/>
      <c r="AF1" s="97"/>
      <c r="AG1" s="97"/>
      <c r="AH1" s="97"/>
      <c r="AI1" s="97"/>
      <c r="AJ1" s="97"/>
      <c r="AK1" s="97"/>
      <c r="AL1" s="97"/>
      <c r="AM1" s="97"/>
      <c r="AN1" s="97"/>
      <c r="AO1" s="97"/>
      <c r="AP1" s="97"/>
      <c r="AQ1" s="97"/>
      <c r="AR1" s="96" t="s">
        <v>124</v>
      </c>
      <c r="AS1" s="96"/>
      <c r="AT1" s="96"/>
      <c r="AU1" s="96"/>
      <c r="AV1" s="96"/>
      <c r="AW1" s="96"/>
      <c r="AX1" s="96"/>
      <c r="AY1" s="96"/>
      <c r="AZ1" s="96"/>
      <c r="BA1" s="96"/>
      <c r="BB1" s="96"/>
      <c r="BC1" s="96"/>
      <c r="BD1" s="96"/>
      <c r="BE1" s="96"/>
      <c r="BF1" s="96"/>
      <c r="BG1" s="96"/>
      <c r="BH1" s="96"/>
      <c r="BI1" s="96"/>
      <c r="BJ1" s="96"/>
      <c r="BK1" s="96"/>
      <c r="BL1" s="96"/>
      <c r="BM1" s="96"/>
      <c r="BN1" s="96"/>
      <c r="BO1" s="97" t="s">
        <v>142</v>
      </c>
      <c r="BP1" s="97"/>
      <c r="BQ1" s="97"/>
      <c r="BR1" s="97"/>
      <c r="BS1" s="97"/>
      <c r="BT1" s="97"/>
      <c r="BU1" s="97"/>
      <c r="BV1" s="97"/>
      <c r="BW1" s="97"/>
      <c r="BX1" s="97"/>
      <c r="BY1" s="97"/>
      <c r="BZ1" s="97"/>
      <c r="CA1" s="97"/>
      <c r="CB1" s="97"/>
      <c r="CC1" s="97"/>
      <c r="CD1" s="97"/>
      <c r="CE1" s="97"/>
      <c r="CF1" s="97"/>
      <c r="CG1" s="97"/>
      <c r="CH1" s="97"/>
      <c r="CI1" s="97"/>
      <c r="CJ1" s="97"/>
      <c r="CK1" s="97"/>
      <c r="CL1" s="100" t="s">
        <v>28</v>
      </c>
      <c r="CM1" s="100"/>
      <c r="CN1" s="100"/>
      <c r="CO1" s="97" t="s">
        <v>89</v>
      </c>
      <c r="CP1" s="97"/>
      <c r="CQ1" s="97"/>
      <c r="CR1" s="97"/>
      <c r="CS1" s="97"/>
      <c r="CT1" s="97"/>
      <c r="CU1" s="97"/>
      <c r="CV1" s="97"/>
      <c r="CW1" s="97"/>
      <c r="CX1" s="97"/>
      <c r="CY1" s="97"/>
      <c r="CZ1" s="97"/>
      <c r="DA1" s="97"/>
      <c r="DB1" s="97"/>
      <c r="DC1" s="97"/>
      <c r="DD1" s="97"/>
      <c r="DE1" s="97"/>
      <c r="DF1" s="97"/>
      <c r="DG1" s="97"/>
      <c r="DH1" s="97"/>
      <c r="DI1" s="97"/>
      <c r="DJ1" s="97"/>
      <c r="DK1" s="97"/>
      <c r="DL1" s="96" t="s">
        <v>102</v>
      </c>
      <c r="DM1" s="96"/>
      <c r="DN1" s="96"/>
      <c r="DO1" s="96"/>
      <c r="DP1" s="96"/>
      <c r="DQ1" s="96"/>
      <c r="DR1" s="96"/>
      <c r="DS1" s="96"/>
      <c r="DT1" s="96"/>
      <c r="DU1" s="96"/>
      <c r="DV1" s="96"/>
      <c r="DW1" s="96"/>
      <c r="DX1" s="96"/>
      <c r="DY1" s="96"/>
      <c r="DZ1" s="96"/>
      <c r="EA1" s="96"/>
      <c r="EB1" s="96"/>
      <c r="EC1" s="96"/>
      <c r="ED1" s="96"/>
      <c r="EE1" s="96"/>
      <c r="EF1" s="96"/>
      <c r="EG1" s="96"/>
      <c r="EH1" s="96"/>
      <c r="EI1" s="97" t="s">
        <v>116</v>
      </c>
      <c r="EJ1" s="97"/>
      <c r="EK1" s="97"/>
      <c r="EL1" s="97"/>
      <c r="EM1" s="97"/>
      <c r="EN1" s="97"/>
      <c r="EO1" s="97"/>
      <c r="EP1" s="97"/>
      <c r="EQ1" s="97"/>
      <c r="ER1" s="97"/>
      <c r="ES1" s="97"/>
      <c r="ET1" s="97"/>
      <c r="EU1" s="97"/>
      <c r="EV1" s="97"/>
      <c r="EW1" s="97"/>
      <c r="EX1" s="97"/>
      <c r="EY1" s="97"/>
      <c r="EZ1" s="97"/>
      <c r="FA1" s="97"/>
      <c r="FB1" s="97"/>
      <c r="FC1" s="97"/>
      <c r="FD1" s="97"/>
      <c r="FE1" s="97"/>
      <c r="FF1" s="96"/>
      <c r="FG1" s="96"/>
      <c r="FH1" s="96"/>
      <c r="FI1" s="96"/>
      <c r="FJ1" s="96"/>
      <c r="FK1" s="96"/>
      <c r="FL1" s="96"/>
      <c r="FM1" s="96"/>
      <c r="FN1" s="96"/>
      <c r="FO1" s="96"/>
      <c r="FP1" s="96"/>
      <c r="FQ1" s="96"/>
      <c r="FR1" s="96"/>
      <c r="FS1" s="96"/>
      <c r="FT1" s="96"/>
      <c r="FU1" s="96"/>
      <c r="FV1" s="96"/>
      <c r="FW1" s="96"/>
      <c r="FX1" s="96"/>
      <c r="FY1" s="96"/>
      <c r="FZ1" s="96"/>
      <c r="GA1" s="96"/>
      <c r="GB1" s="96"/>
      <c r="GC1" s="97"/>
      <c r="GD1" s="97"/>
      <c r="GE1" s="97"/>
      <c r="GF1" s="97"/>
      <c r="GG1" s="97"/>
      <c r="GH1" s="97"/>
      <c r="GI1" s="97"/>
      <c r="GJ1" s="97"/>
      <c r="GK1" s="97"/>
      <c r="GL1" s="97"/>
      <c r="GM1" s="97"/>
      <c r="GN1" s="97"/>
      <c r="GO1" s="97"/>
      <c r="GP1" s="97"/>
      <c r="GQ1" s="97"/>
      <c r="GR1" s="97"/>
      <c r="GS1" s="97"/>
      <c r="GT1" s="97"/>
      <c r="GU1" s="97"/>
      <c r="GV1" s="97"/>
      <c r="GW1" s="97"/>
      <c r="GX1" s="97"/>
      <c r="GY1" s="97"/>
      <c r="GZ1" s="96"/>
      <c r="HA1" s="96"/>
      <c r="HB1" s="96"/>
      <c r="HC1" s="96"/>
      <c r="HD1" s="96"/>
      <c r="HE1" s="96"/>
      <c r="HF1" s="96"/>
      <c r="HG1" s="96"/>
      <c r="HH1" s="96"/>
      <c r="HI1" s="96"/>
      <c r="HJ1" s="96"/>
      <c r="HK1" s="96"/>
      <c r="HL1" s="96"/>
      <c r="HM1" s="96"/>
      <c r="HN1" s="96"/>
      <c r="HO1" s="96"/>
      <c r="HP1" s="96"/>
      <c r="HQ1" s="96"/>
      <c r="HR1" s="96"/>
      <c r="HS1" s="96"/>
      <c r="HT1" s="96"/>
      <c r="HU1" s="96"/>
      <c r="HV1" s="96"/>
      <c r="HW1" s="97"/>
      <c r="HX1" s="97"/>
      <c r="HY1" s="97"/>
      <c r="HZ1" s="97"/>
      <c r="IA1" s="97"/>
      <c r="IB1" s="97"/>
      <c r="IC1" s="97"/>
      <c r="ID1" s="97"/>
      <c r="IE1" s="97"/>
      <c r="IF1" s="97"/>
      <c r="IG1" s="97"/>
      <c r="IH1" s="97"/>
      <c r="II1" s="97"/>
      <c r="IJ1" s="97"/>
      <c r="IK1" s="97"/>
      <c r="IL1" s="97"/>
      <c r="IM1" s="97"/>
      <c r="IN1" s="97"/>
      <c r="IO1" s="97"/>
      <c r="IP1" s="97"/>
      <c r="IQ1" s="97"/>
      <c r="IR1" s="97"/>
      <c r="IS1" s="97"/>
      <c r="IT1" s="96"/>
      <c r="IU1" s="96"/>
      <c r="IV1" s="96"/>
      <c r="IW1" s="96"/>
      <c r="IX1" s="96"/>
      <c r="IY1" s="96"/>
      <c r="IZ1" s="96"/>
      <c r="JA1" s="96"/>
      <c r="JB1" s="96"/>
      <c r="JC1" s="96"/>
      <c r="JD1" s="96"/>
      <c r="JE1" s="96"/>
      <c r="JF1" s="96"/>
      <c r="JG1" s="96"/>
      <c r="JH1" s="96"/>
      <c r="JI1" s="96"/>
      <c r="JJ1" s="96"/>
      <c r="JK1" s="96"/>
      <c r="JL1" s="96"/>
      <c r="JM1" s="96"/>
      <c r="JN1" s="96"/>
      <c r="JO1" s="96"/>
      <c r="JP1" s="96"/>
      <c r="JQ1" s="97"/>
      <c r="JR1" s="97"/>
      <c r="JS1" s="97"/>
      <c r="JT1" s="97"/>
      <c r="JU1" s="97"/>
      <c r="JV1" s="97"/>
      <c r="JW1" s="97"/>
      <c r="JX1" s="97"/>
      <c r="JY1" s="97"/>
      <c r="JZ1" s="97"/>
      <c r="KA1" s="97"/>
      <c r="KB1" s="97"/>
      <c r="KC1" s="97"/>
      <c r="KD1" s="97"/>
      <c r="KE1" s="97"/>
      <c r="KF1" s="97"/>
      <c r="KG1" s="97"/>
      <c r="KH1" s="97"/>
      <c r="KI1" s="97"/>
      <c r="KJ1" s="97"/>
      <c r="KK1" s="97"/>
      <c r="KL1" s="97"/>
      <c r="KM1" s="97"/>
      <c r="KN1" s="96"/>
      <c r="KO1" s="96"/>
      <c r="KP1" s="96"/>
      <c r="KQ1" s="96"/>
      <c r="KR1" s="96"/>
      <c r="KS1" s="96"/>
      <c r="KT1" s="96"/>
      <c r="KU1" s="96"/>
      <c r="KV1" s="96"/>
      <c r="KW1" s="96"/>
      <c r="KX1" s="96"/>
      <c r="KY1" s="96"/>
      <c r="KZ1" s="96"/>
      <c r="LA1" s="96"/>
      <c r="LB1" s="96"/>
      <c r="LC1" s="96"/>
      <c r="LD1" s="96"/>
      <c r="LE1" s="96"/>
      <c r="LF1" s="96"/>
      <c r="LG1" s="96"/>
      <c r="LH1" s="96"/>
      <c r="LI1" s="96"/>
      <c r="LJ1" s="96"/>
      <c r="LK1" s="97"/>
      <c r="LL1" s="97"/>
      <c r="LM1" s="97"/>
      <c r="LN1" s="97"/>
      <c r="LO1" s="97"/>
      <c r="LP1" s="97"/>
      <c r="LQ1" s="97"/>
      <c r="LR1" s="97"/>
      <c r="LS1" s="97"/>
      <c r="LT1" s="97"/>
      <c r="LU1" s="97"/>
      <c r="LV1" s="97"/>
      <c r="LW1" s="97"/>
      <c r="LX1" s="97"/>
      <c r="LY1" s="97"/>
      <c r="LZ1" s="97"/>
      <c r="MA1" s="97"/>
      <c r="MB1" s="97"/>
      <c r="MC1" s="97"/>
      <c r="MD1" s="97"/>
      <c r="ME1" s="97"/>
      <c r="MF1" s="97"/>
      <c r="MG1" s="97"/>
      <c r="MH1" s="96"/>
      <c r="MI1" s="96"/>
      <c r="MJ1" s="96"/>
      <c r="MK1" s="96"/>
      <c r="ML1" s="96"/>
      <c r="MM1" s="96"/>
      <c r="MN1" s="96"/>
      <c r="MO1" s="96"/>
      <c r="MP1" s="96"/>
      <c r="MQ1" s="96"/>
      <c r="MR1" s="96"/>
      <c r="MS1" s="96"/>
      <c r="MT1" s="96"/>
      <c r="MU1" s="96"/>
      <c r="MV1" s="96"/>
      <c r="MW1" s="96"/>
      <c r="MX1" s="96"/>
      <c r="MY1" s="96"/>
      <c r="MZ1" s="96"/>
      <c r="NA1" s="96"/>
      <c r="NB1" s="96"/>
      <c r="NC1" s="96"/>
      <c r="ND1" s="96"/>
    </row>
    <row r="2" spans="1:368" x14ac:dyDescent="0.2">
      <c r="A2" s="101"/>
      <c r="B2" s="101"/>
      <c r="C2" s="101"/>
      <c r="D2" s="101"/>
      <c r="E2" s="101"/>
      <c r="F2" s="104"/>
      <c r="G2" s="104"/>
      <c r="H2" s="101"/>
      <c r="I2" s="101"/>
      <c r="J2" s="102"/>
      <c r="K2" s="102"/>
      <c r="L2" s="102"/>
      <c r="M2" s="102"/>
      <c r="N2" s="102"/>
      <c r="O2" s="102"/>
      <c r="P2" s="102"/>
      <c r="Q2" s="102"/>
      <c r="R2" s="103"/>
      <c r="S2" s="102"/>
      <c r="T2" s="102"/>
      <c r="U2" s="98" t="s">
        <v>56</v>
      </c>
      <c r="V2" s="98"/>
      <c r="W2" s="98"/>
      <c r="X2" s="98"/>
      <c r="Y2" s="98" t="s">
        <v>59</v>
      </c>
      <c r="Z2" s="98"/>
      <c r="AA2" s="98"/>
      <c r="AB2" s="98"/>
      <c r="AC2" s="98" t="s">
        <v>60</v>
      </c>
      <c r="AD2" s="98"/>
      <c r="AE2" s="98"/>
      <c r="AF2" s="98"/>
      <c r="AG2" s="107" t="s">
        <v>61</v>
      </c>
      <c r="AH2" s="107"/>
      <c r="AI2" s="107"/>
      <c r="AJ2" s="107"/>
      <c r="AK2" s="73" t="s">
        <v>40</v>
      </c>
      <c r="AL2" s="73" t="s">
        <v>81</v>
      </c>
      <c r="AM2" s="11" t="s">
        <v>56</v>
      </c>
      <c r="AN2" s="11" t="s">
        <v>59</v>
      </c>
      <c r="AO2" s="11" t="s">
        <v>38</v>
      </c>
      <c r="AP2" s="11" t="s">
        <v>37</v>
      </c>
      <c r="AQ2" s="11" t="s">
        <v>32</v>
      </c>
      <c r="AR2" s="99" t="s">
        <v>56</v>
      </c>
      <c r="AS2" s="99"/>
      <c r="AT2" s="99"/>
      <c r="AU2" s="99"/>
      <c r="AV2" s="99" t="s">
        <v>59</v>
      </c>
      <c r="AW2" s="99"/>
      <c r="AX2" s="99"/>
      <c r="AY2" s="99"/>
      <c r="AZ2" s="99" t="s">
        <v>60</v>
      </c>
      <c r="BA2" s="99"/>
      <c r="BB2" s="99"/>
      <c r="BC2" s="99"/>
      <c r="BD2" s="106" t="s">
        <v>61</v>
      </c>
      <c r="BE2" s="106"/>
      <c r="BF2" s="106"/>
      <c r="BG2" s="106"/>
      <c r="BH2" s="72" t="s">
        <v>40</v>
      </c>
      <c r="BI2" s="72" t="s">
        <v>81</v>
      </c>
      <c r="BJ2" s="14" t="s">
        <v>56</v>
      </c>
      <c r="BK2" s="14" t="s">
        <v>59</v>
      </c>
      <c r="BL2" s="14" t="s">
        <v>38</v>
      </c>
      <c r="BM2" s="14" t="s">
        <v>37</v>
      </c>
      <c r="BN2" s="14" t="s">
        <v>32</v>
      </c>
      <c r="BO2" s="98" t="s">
        <v>56</v>
      </c>
      <c r="BP2" s="98"/>
      <c r="BQ2" s="98"/>
      <c r="BR2" s="98"/>
      <c r="BS2" s="98" t="s">
        <v>59</v>
      </c>
      <c r="BT2" s="98"/>
      <c r="BU2" s="98"/>
      <c r="BV2" s="98"/>
      <c r="BW2" s="98" t="s">
        <v>60</v>
      </c>
      <c r="BX2" s="98"/>
      <c r="BY2" s="98"/>
      <c r="BZ2" s="98"/>
      <c r="CA2" s="108" t="s">
        <v>61</v>
      </c>
      <c r="CB2" s="108"/>
      <c r="CC2" s="108"/>
      <c r="CD2" s="108"/>
      <c r="CE2" s="22" t="s">
        <v>40</v>
      </c>
      <c r="CF2" s="22" t="s">
        <v>81</v>
      </c>
      <c r="CG2" s="11" t="s">
        <v>56</v>
      </c>
      <c r="CH2" s="11" t="s">
        <v>59</v>
      </c>
      <c r="CI2" s="11" t="s">
        <v>38</v>
      </c>
      <c r="CJ2" s="11" t="s">
        <v>37</v>
      </c>
      <c r="CK2" s="11" t="s">
        <v>32</v>
      </c>
      <c r="CL2" s="28" t="s">
        <v>56</v>
      </c>
      <c r="CM2" s="28" t="s">
        <v>59</v>
      </c>
      <c r="CN2" s="28" t="s">
        <v>37</v>
      </c>
      <c r="CO2" s="98" t="s">
        <v>56</v>
      </c>
      <c r="CP2" s="98"/>
      <c r="CQ2" s="98"/>
      <c r="CR2" s="98"/>
      <c r="CS2" s="98" t="s">
        <v>59</v>
      </c>
      <c r="CT2" s="98"/>
      <c r="CU2" s="98"/>
      <c r="CV2" s="98"/>
      <c r="CW2" s="98" t="s">
        <v>60</v>
      </c>
      <c r="CX2" s="98"/>
      <c r="CY2" s="98"/>
      <c r="CZ2" s="98"/>
      <c r="DA2" s="105" t="s">
        <v>61</v>
      </c>
      <c r="DB2" s="105"/>
      <c r="DC2" s="105"/>
      <c r="DD2" s="105"/>
      <c r="DE2" s="73" t="s">
        <v>40</v>
      </c>
      <c r="DF2" s="73" t="s">
        <v>81</v>
      </c>
      <c r="DG2" s="11" t="s">
        <v>56</v>
      </c>
      <c r="DH2" s="11" t="s">
        <v>59</v>
      </c>
      <c r="DI2" s="11" t="s">
        <v>38</v>
      </c>
      <c r="DJ2" s="11" t="s">
        <v>37</v>
      </c>
      <c r="DK2" s="11" t="s">
        <v>32</v>
      </c>
      <c r="DL2" s="99" t="s">
        <v>56</v>
      </c>
      <c r="DM2" s="99"/>
      <c r="DN2" s="99"/>
      <c r="DO2" s="99"/>
      <c r="DP2" s="99" t="s">
        <v>59</v>
      </c>
      <c r="DQ2" s="99"/>
      <c r="DR2" s="99"/>
      <c r="DS2" s="99"/>
      <c r="DT2" s="99" t="s">
        <v>60</v>
      </c>
      <c r="DU2" s="99"/>
      <c r="DV2" s="99"/>
      <c r="DW2" s="99"/>
      <c r="DX2" s="106" t="s">
        <v>61</v>
      </c>
      <c r="DY2" s="106"/>
      <c r="DZ2" s="106"/>
      <c r="EA2" s="106"/>
      <c r="EB2" s="72" t="s">
        <v>40</v>
      </c>
      <c r="EC2" s="72" t="s">
        <v>81</v>
      </c>
      <c r="ED2" s="14" t="s">
        <v>56</v>
      </c>
      <c r="EE2" s="14" t="s">
        <v>59</v>
      </c>
      <c r="EF2" s="14" t="s">
        <v>38</v>
      </c>
      <c r="EG2" s="14" t="s">
        <v>37</v>
      </c>
      <c r="EH2" s="14" t="s">
        <v>32</v>
      </c>
      <c r="EI2" s="98" t="s">
        <v>56</v>
      </c>
      <c r="EJ2" s="98"/>
      <c r="EK2" s="98"/>
      <c r="EL2" s="98"/>
      <c r="EM2" s="98" t="s">
        <v>59</v>
      </c>
      <c r="EN2" s="98"/>
      <c r="EO2" s="98"/>
      <c r="EP2" s="98"/>
      <c r="EQ2" s="98" t="s">
        <v>60</v>
      </c>
      <c r="ER2" s="98"/>
      <c r="ES2" s="98"/>
      <c r="ET2" s="98"/>
      <c r="EU2" s="105" t="s">
        <v>61</v>
      </c>
      <c r="EV2" s="105"/>
      <c r="EW2" s="105"/>
      <c r="EX2" s="105"/>
      <c r="EY2" s="73" t="s">
        <v>40</v>
      </c>
      <c r="EZ2" s="73" t="s">
        <v>81</v>
      </c>
      <c r="FA2" s="11" t="s">
        <v>56</v>
      </c>
      <c r="FB2" s="11" t="s">
        <v>59</v>
      </c>
      <c r="FC2" s="11" t="s">
        <v>38</v>
      </c>
      <c r="FD2" s="11" t="s">
        <v>37</v>
      </c>
      <c r="FE2" s="11" t="s">
        <v>32</v>
      </c>
      <c r="FF2" s="99" t="s">
        <v>56</v>
      </c>
      <c r="FG2" s="99"/>
      <c r="FH2" s="99"/>
      <c r="FI2" s="99"/>
      <c r="FJ2" s="99" t="s">
        <v>59</v>
      </c>
      <c r="FK2" s="99"/>
      <c r="FL2" s="99"/>
      <c r="FM2" s="99"/>
      <c r="FN2" s="99" t="s">
        <v>60</v>
      </c>
      <c r="FO2" s="99"/>
      <c r="FP2" s="99"/>
      <c r="FQ2" s="99"/>
      <c r="FR2" s="106" t="s">
        <v>61</v>
      </c>
      <c r="FS2" s="106"/>
      <c r="FT2" s="106"/>
      <c r="FU2" s="106"/>
      <c r="FV2" s="24" t="s">
        <v>40</v>
      </c>
      <c r="FW2" s="24" t="s">
        <v>81</v>
      </c>
      <c r="FX2" s="14" t="s">
        <v>56</v>
      </c>
      <c r="FY2" s="14" t="s">
        <v>59</v>
      </c>
      <c r="FZ2" s="14" t="s">
        <v>38</v>
      </c>
      <c r="GA2" s="14" t="s">
        <v>37</v>
      </c>
      <c r="GB2" s="14" t="s">
        <v>32</v>
      </c>
      <c r="GC2" s="98" t="s">
        <v>56</v>
      </c>
      <c r="GD2" s="98"/>
      <c r="GE2" s="98"/>
      <c r="GF2" s="98"/>
      <c r="GG2" s="98" t="s">
        <v>59</v>
      </c>
      <c r="GH2" s="98"/>
      <c r="GI2" s="98"/>
      <c r="GJ2" s="98"/>
      <c r="GK2" s="98" t="s">
        <v>60</v>
      </c>
      <c r="GL2" s="98"/>
      <c r="GM2" s="98"/>
      <c r="GN2" s="98"/>
      <c r="GO2" s="105" t="s">
        <v>61</v>
      </c>
      <c r="GP2" s="105"/>
      <c r="GQ2" s="105"/>
      <c r="GR2" s="105"/>
      <c r="GS2" s="25" t="s">
        <v>40</v>
      </c>
      <c r="GT2" s="25" t="s">
        <v>81</v>
      </c>
      <c r="GU2" s="11" t="s">
        <v>56</v>
      </c>
      <c r="GV2" s="11" t="s">
        <v>59</v>
      </c>
      <c r="GW2" s="11" t="s">
        <v>38</v>
      </c>
      <c r="GX2" s="11" t="s">
        <v>37</v>
      </c>
      <c r="GY2" s="11" t="s">
        <v>32</v>
      </c>
      <c r="GZ2" s="99" t="s">
        <v>56</v>
      </c>
      <c r="HA2" s="99"/>
      <c r="HB2" s="99"/>
      <c r="HC2" s="99"/>
      <c r="HD2" s="99" t="s">
        <v>59</v>
      </c>
      <c r="HE2" s="99"/>
      <c r="HF2" s="99"/>
      <c r="HG2" s="99"/>
      <c r="HH2" s="99" t="s">
        <v>60</v>
      </c>
      <c r="HI2" s="99"/>
      <c r="HJ2" s="99"/>
      <c r="HK2" s="99"/>
      <c r="HL2" s="106" t="s">
        <v>61</v>
      </c>
      <c r="HM2" s="106"/>
      <c r="HN2" s="106"/>
      <c r="HO2" s="106"/>
      <c r="HP2" s="24" t="s">
        <v>40</v>
      </c>
      <c r="HQ2" s="24" t="s">
        <v>81</v>
      </c>
      <c r="HR2" s="14" t="s">
        <v>56</v>
      </c>
      <c r="HS2" s="14" t="s">
        <v>59</v>
      </c>
      <c r="HT2" s="14" t="s">
        <v>38</v>
      </c>
      <c r="HU2" s="14" t="s">
        <v>37</v>
      </c>
      <c r="HV2" s="14" t="s">
        <v>32</v>
      </c>
      <c r="HW2" s="98" t="s">
        <v>56</v>
      </c>
      <c r="HX2" s="98"/>
      <c r="HY2" s="98"/>
      <c r="HZ2" s="98"/>
      <c r="IA2" s="98" t="s">
        <v>59</v>
      </c>
      <c r="IB2" s="98"/>
      <c r="IC2" s="98"/>
      <c r="ID2" s="98"/>
      <c r="IE2" s="98" t="s">
        <v>60</v>
      </c>
      <c r="IF2" s="98"/>
      <c r="IG2" s="98"/>
      <c r="IH2" s="98"/>
      <c r="II2" s="105" t="s">
        <v>61</v>
      </c>
      <c r="IJ2" s="105"/>
      <c r="IK2" s="105"/>
      <c r="IL2" s="105"/>
      <c r="IM2" s="25" t="s">
        <v>40</v>
      </c>
      <c r="IN2" s="25" t="s">
        <v>81</v>
      </c>
      <c r="IO2" s="11" t="s">
        <v>56</v>
      </c>
      <c r="IP2" s="11" t="s">
        <v>59</v>
      </c>
      <c r="IQ2" s="11" t="s">
        <v>38</v>
      </c>
      <c r="IR2" s="11" t="s">
        <v>37</v>
      </c>
      <c r="IS2" s="11" t="s">
        <v>32</v>
      </c>
      <c r="IT2" s="99" t="s">
        <v>56</v>
      </c>
      <c r="IU2" s="99"/>
      <c r="IV2" s="99"/>
      <c r="IW2" s="99"/>
      <c r="IX2" s="99" t="s">
        <v>59</v>
      </c>
      <c r="IY2" s="99"/>
      <c r="IZ2" s="99"/>
      <c r="JA2" s="99"/>
      <c r="JB2" s="99" t="s">
        <v>60</v>
      </c>
      <c r="JC2" s="99"/>
      <c r="JD2" s="99"/>
      <c r="JE2" s="99"/>
      <c r="JF2" s="106" t="s">
        <v>61</v>
      </c>
      <c r="JG2" s="106"/>
      <c r="JH2" s="106"/>
      <c r="JI2" s="106"/>
      <c r="JJ2" s="24" t="s">
        <v>40</v>
      </c>
      <c r="JK2" s="24" t="s">
        <v>81</v>
      </c>
      <c r="JL2" s="14" t="s">
        <v>56</v>
      </c>
      <c r="JM2" s="14" t="s">
        <v>59</v>
      </c>
      <c r="JN2" s="14" t="s">
        <v>38</v>
      </c>
      <c r="JO2" s="14" t="s">
        <v>37</v>
      </c>
      <c r="JP2" s="14" t="s">
        <v>32</v>
      </c>
      <c r="JQ2" s="98" t="s">
        <v>56</v>
      </c>
      <c r="JR2" s="98"/>
      <c r="JS2" s="98"/>
      <c r="JT2" s="98"/>
      <c r="JU2" s="98" t="s">
        <v>59</v>
      </c>
      <c r="JV2" s="98"/>
      <c r="JW2" s="98"/>
      <c r="JX2" s="98"/>
      <c r="JY2" s="98" t="s">
        <v>60</v>
      </c>
      <c r="JZ2" s="98"/>
      <c r="KA2" s="98"/>
      <c r="KB2" s="98"/>
      <c r="KC2" s="105" t="s">
        <v>61</v>
      </c>
      <c r="KD2" s="105"/>
      <c r="KE2" s="105"/>
      <c r="KF2" s="105"/>
      <c r="KG2" s="25" t="s">
        <v>40</v>
      </c>
      <c r="KH2" s="25" t="s">
        <v>81</v>
      </c>
      <c r="KI2" s="11" t="s">
        <v>56</v>
      </c>
      <c r="KJ2" s="11" t="s">
        <v>59</v>
      </c>
      <c r="KK2" s="11" t="s">
        <v>38</v>
      </c>
      <c r="KL2" s="11" t="s">
        <v>37</v>
      </c>
      <c r="KM2" s="11" t="s">
        <v>32</v>
      </c>
      <c r="KN2" s="99" t="s">
        <v>56</v>
      </c>
      <c r="KO2" s="99"/>
      <c r="KP2" s="99"/>
      <c r="KQ2" s="99"/>
      <c r="KR2" s="99" t="s">
        <v>59</v>
      </c>
      <c r="KS2" s="99"/>
      <c r="KT2" s="99"/>
      <c r="KU2" s="99"/>
      <c r="KV2" s="99" t="s">
        <v>60</v>
      </c>
      <c r="KW2" s="99"/>
      <c r="KX2" s="99"/>
      <c r="KY2" s="99"/>
      <c r="KZ2" s="106" t="s">
        <v>61</v>
      </c>
      <c r="LA2" s="106"/>
      <c r="LB2" s="106"/>
      <c r="LC2" s="106"/>
      <c r="LD2" s="24" t="s">
        <v>40</v>
      </c>
      <c r="LE2" s="24" t="s">
        <v>81</v>
      </c>
      <c r="LF2" s="14" t="s">
        <v>56</v>
      </c>
      <c r="LG2" s="14" t="s">
        <v>59</v>
      </c>
      <c r="LH2" s="14" t="s">
        <v>38</v>
      </c>
      <c r="LI2" s="14" t="s">
        <v>37</v>
      </c>
      <c r="LJ2" s="14" t="s">
        <v>32</v>
      </c>
      <c r="LK2" s="98" t="s">
        <v>56</v>
      </c>
      <c r="LL2" s="98"/>
      <c r="LM2" s="98"/>
      <c r="LN2" s="98"/>
      <c r="LO2" s="98" t="s">
        <v>59</v>
      </c>
      <c r="LP2" s="98"/>
      <c r="LQ2" s="98"/>
      <c r="LR2" s="98"/>
      <c r="LS2" s="98" t="s">
        <v>60</v>
      </c>
      <c r="LT2" s="98"/>
      <c r="LU2" s="98"/>
      <c r="LV2" s="98"/>
      <c r="LW2" s="105" t="s">
        <v>61</v>
      </c>
      <c r="LX2" s="105"/>
      <c r="LY2" s="105"/>
      <c r="LZ2" s="105"/>
      <c r="MA2" s="25" t="s">
        <v>40</v>
      </c>
      <c r="MB2" s="25" t="s">
        <v>81</v>
      </c>
      <c r="MC2" s="11" t="s">
        <v>56</v>
      </c>
      <c r="MD2" s="11" t="s">
        <v>59</v>
      </c>
      <c r="ME2" s="11" t="s">
        <v>38</v>
      </c>
      <c r="MF2" s="11" t="s">
        <v>37</v>
      </c>
      <c r="MG2" s="11" t="s">
        <v>32</v>
      </c>
      <c r="MH2" s="99" t="s">
        <v>56</v>
      </c>
      <c r="MI2" s="99"/>
      <c r="MJ2" s="99"/>
      <c r="MK2" s="99"/>
      <c r="ML2" s="99" t="s">
        <v>59</v>
      </c>
      <c r="MM2" s="99"/>
      <c r="MN2" s="99"/>
      <c r="MO2" s="99"/>
      <c r="MP2" s="99" t="s">
        <v>60</v>
      </c>
      <c r="MQ2" s="99"/>
      <c r="MR2" s="99"/>
      <c r="MS2" s="99"/>
      <c r="MT2" s="106" t="s">
        <v>61</v>
      </c>
      <c r="MU2" s="106"/>
      <c r="MV2" s="106"/>
      <c r="MW2" s="106"/>
      <c r="MX2" s="24" t="s">
        <v>40</v>
      </c>
      <c r="MY2" s="24" t="s">
        <v>81</v>
      </c>
      <c r="MZ2" s="14" t="s">
        <v>56</v>
      </c>
      <c r="NA2" s="14" t="s">
        <v>59</v>
      </c>
      <c r="NB2" s="14" t="s">
        <v>38</v>
      </c>
      <c r="NC2" s="14" t="s">
        <v>37</v>
      </c>
      <c r="ND2" s="14" t="s">
        <v>32</v>
      </c>
    </row>
    <row r="3" spans="1:368" x14ac:dyDescent="0.2">
      <c r="A3" s="101"/>
      <c r="B3" s="101"/>
      <c r="C3" s="101"/>
      <c r="D3" s="101"/>
      <c r="E3" s="101"/>
      <c r="F3" s="104"/>
      <c r="G3" s="104"/>
      <c r="H3" s="101"/>
      <c r="I3" s="101"/>
      <c r="J3" s="102"/>
      <c r="K3" s="102"/>
      <c r="L3" s="102"/>
      <c r="M3" s="102"/>
      <c r="N3" s="102"/>
      <c r="O3" s="102"/>
      <c r="P3" s="102"/>
      <c r="Q3" s="102"/>
      <c r="R3" s="103"/>
      <c r="S3" s="102"/>
      <c r="T3" s="102"/>
      <c r="U3" s="73" t="s">
        <v>29</v>
      </c>
      <c r="V3" s="73" t="s">
        <v>21</v>
      </c>
      <c r="W3" s="73" t="s">
        <v>57</v>
      </c>
      <c r="X3" s="73" t="s">
        <v>58</v>
      </c>
      <c r="Y3" s="73" t="s">
        <v>29</v>
      </c>
      <c r="Z3" s="73" t="s">
        <v>21</v>
      </c>
      <c r="AA3" s="73" t="s">
        <v>57</v>
      </c>
      <c r="AB3" s="73" t="s">
        <v>58</v>
      </c>
      <c r="AC3" s="73" t="s">
        <v>29</v>
      </c>
      <c r="AD3" s="73" t="s">
        <v>21</v>
      </c>
      <c r="AE3" s="73" t="s">
        <v>57</v>
      </c>
      <c r="AF3" s="73" t="s">
        <v>58</v>
      </c>
      <c r="AG3" s="76" t="s">
        <v>29</v>
      </c>
      <c r="AH3" s="76" t="s">
        <v>21</v>
      </c>
      <c r="AI3" s="76" t="s">
        <v>57</v>
      </c>
      <c r="AJ3" s="76" t="s">
        <v>58</v>
      </c>
      <c r="AK3" s="12"/>
      <c r="AL3" s="12"/>
      <c r="AM3" s="11"/>
      <c r="AN3" s="11"/>
      <c r="AO3" s="11"/>
      <c r="AP3" s="12"/>
      <c r="AQ3" s="12"/>
      <c r="AR3" s="72" t="s">
        <v>29</v>
      </c>
      <c r="AS3" s="72" t="s">
        <v>21</v>
      </c>
      <c r="AT3" s="72" t="s">
        <v>57</v>
      </c>
      <c r="AU3" s="72" t="s">
        <v>58</v>
      </c>
      <c r="AV3" s="72" t="s">
        <v>29</v>
      </c>
      <c r="AW3" s="72" t="s">
        <v>21</v>
      </c>
      <c r="AX3" s="72" t="s">
        <v>57</v>
      </c>
      <c r="AY3" s="72" t="s">
        <v>58</v>
      </c>
      <c r="AZ3" s="72" t="s">
        <v>29</v>
      </c>
      <c r="BA3" s="72" t="s">
        <v>21</v>
      </c>
      <c r="BB3" s="72" t="s">
        <v>57</v>
      </c>
      <c r="BC3" s="72" t="s">
        <v>58</v>
      </c>
      <c r="BD3" s="74" t="s">
        <v>29</v>
      </c>
      <c r="BE3" s="74" t="s">
        <v>21</v>
      </c>
      <c r="BF3" s="74" t="s">
        <v>57</v>
      </c>
      <c r="BG3" s="74" t="s">
        <v>58</v>
      </c>
      <c r="BH3" s="15"/>
      <c r="BI3" s="15"/>
      <c r="BJ3" s="14"/>
      <c r="BK3" s="14"/>
      <c r="BL3" s="14"/>
      <c r="BM3" s="15"/>
      <c r="BN3" s="15"/>
      <c r="BO3" s="35" t="s">
        <v>29</v>
      </c>
      <c r="BP3" s="35" t="s">
        <v>21</v>
      </c>
      <c r="BQ3" s="35" t="s">
        <v>57</v>
      </c>
      <c r="BR3" s="35" t="s">
        <v>58</v>
      </c>
      <c r="BS3" s="35" t="s">
        <v>29</v>
      </c>
      <c r="BT3" s="35" t="s">
        <v>21</v>
      </c>
      <c r="BU3" s="35" t="s">
        <v>57</v>
      </c>
      <c r="BV3" s="35" t="s">
        <v>58</v>
      </c>
      <c r="BW3" s="35" t="s">
        <v>29</v>
      </c>
      <c r="BX3" s="35" t="s">
        <v>21</v>
      </c>
      <c r="BY3" s="35" t="s">
        <v>57</v>
      </c>
      <c r="BZ3" s="35" t="s">
        <v>58</v>
      </c>
      <c r="CA3" s="38" t="s">
        <v>29</v>
      </c>
      <c r="CB3" s="38" t="s">
        <v>21</v>
      </c>
      <c r="CC3" s="38" t="s">
        <v>57</v>
      </c>
      <c r="CD3" s="38" t="s">
        <v>58</v>
      </c>
      <c r="CE3" s="12"/>
      <c r="CF3" s="12"/>
      <c r="CG3" s="11"/>
      <c r="CH3" s="11"/>
      <c r="CI3" s="11"/>
      <c r="CJ3" s="12"/>
      <c r="CK3" s="12"/>
      <c r="CL3" s="29"/>
      <c r="CM3" s="29"/>
      <c r="CN3" s="29"/>
      <c r="CO3" s="73" t="s">
        <v>29</v>
      </c>
      <c r="CP3" s="73" t="s">
        <v>21</v>
      </c>
      <c r="CQ3" s="73" t="s">
        <v>57</v>
      </c>
      <c r="CR3" s="73" t="s">
        <v>58</v>
      </c>
      <c r="CS3" s="73" t="s">
        <v>29</v>
      </c>
      <c r="CT3" s="73" t="s">
        <v>21</v>
      </c>
      <c r="CU3" s="73" t="s">
        <v>57</v>
      </c>
      <c r="CV3" s="73" t="s">
        <v>58</v>
      </c>
      <c r="CW3" s="73" t="s">
        <v>29</v>
      </c>
      <c r="CX3" s="73" t="s">
        <v>21</v>
      </c>
      <c r="CY3" s="73" t="s">
        <v>57</v>
      </c>
      <c r="CZ3" s="73" t="s">
        <v>58</v>
      </c>
      <c r="DA3" s="75" t="s">
        <v>29</v>
      </c>
      <c r="DB3" s="75" t="s">
        <v>21</v>
      </c>
      <c r="DC3" s="75" t="s">
        <v>57</v>
      </c>
      <c r="DD3" s="75" t="s">
        <v>58</v>
      </c>
      <c r="DE3" s="12"/>
      <c r="DF3" s="12"/>
      <c r="DG3" s="11"/>
      <c r="DH3" s="11"/>
      <c r="DI3" s="11"/>
      <c r="DJ3" s="12"/>
      <c r="DK3" s="12"/>
      <c r="DL3" s="72" t="s">
        <v>29</v>
      </c>
      <c r="DM3" s="72" t="s">
        <v>21</v>
      </c>
      <c r="DN3" s="72" t="s">
        <v>57</v>
      </c>
      <c r="DO3" s="72" t="s">
        <v>58</v>
      </c>
      <c r="DP3" s="72" t="s">
        <v>29</v>
      </c>
      <c r="DQ3" s="72" t="s">
        <v>21</v>
      </c>
      <c r="DR3" s="72" t="s">
        <v>57</v>
      </c>
      <c r="DS3" s="72" t="s">
        <v>58</v>
      </c>
      <c r="DT3" s="72" t="s">
        <v>29</v>
      </c>
      <c r="DU3" s="72" t="s">
        <v>21</v>
      </c>
      <c r="DV3" s="72" t="s">
        <v>57</v>
      </c>
      <c r="DW3" s="72" t="s">
        <v>58</v>
      </c>
      <c r="DX3" s="74" t="s">
        <v>29</v>
      </c>
      <c r="DY3" s="74" t="s">
        <v>21</v>
      </c>
      <c r="DZ3" s="74" t="s">
        <v>57</v>
      </c>
      <c r="EA3" s="74" t="s">
        <v>58</v>
      </c>
      <c r="EB3" s="15"/>
      <c r="EC3" s="15"/>
      <c r="ED3" s="14"/>
      <c r="EE3" s="14"/>
      <c r="EF3" s="14"/>
      <c r="EG3" s="15"/>
      <c r="EH3" s="15"/>
      <c r="EI3" s="73" t="s">
        <v>29</v>
      </c>
      <c r="EJ3" s="73" t="s">
        <v>21</v>
      </c>
      <c r="EK3" s="73" t="s">
        <v>57</v>
      </c>
      <c r="EL3" s="73" t="s">
        <v>58</v>
      </c>
      <c r="EM3" s="73" t="s">
        <v>29</v>
      </c>
      <c r="EN3" s="73" t="s">
        <v>21</v>
      </c>
      <c r="EO3" s="73" t="s">
        <v>57</v>
      </c>
      <c r="EP3" s="73" t="s">
        <v>58</v>
      </c>
      <c r="EQ3" s="73" t="s">
        <v>29</v>
      </c>
      <c r="ER3" s="73" t="s">
        <v>21</v>
      </c>
      <c r="ES3" s="73" t="s">
        <v>57</v>
      </c>
      <c r="ET3" s="73" t="s">
        <v>58</v>
      </c>
      <c r="EU3" s="75" t="s">
        <v>29</v>
      </c>
      <c r="EV3" s="75" t="s">
        <v>21</v>
      </c>
      <c r="EW3" s="75" t="s">
        <v>57</v>
      </c>
      <c r="EX3" s="75" t="s">
        <v>58</v>
      </c>
      <c r="EY3" s="12"/>
      <c r="EZ3" s="12"/>
      <c r="FA3" s="11"/>
      <c r="FB3" s="11"/>
      <c r="FC3" s="11"/>
      <c r="FD3" s="12"/>
      <c r="FE3" s="12"/>
      <c r="FF3" s="34" t="s">
        <v>29</v>
      </c>
      <c r="FG3" s="34" t="s">
        <v>21</v>
      </c>
      <c r="FH3" s="34" t="s">
        <v>57</v>
      </c>
      <c r="FI3" s="34" t="s">
        <v>58</v>
      </c>
      <c r="FJ3" s="34" t="s">
        <v>29</v>
      </c>
      <c r="FK3" s="34" t="s">
        <v>21</v>
      </c>
      <c r="FL3" s="34" t="s">
        <v>57</v>
      </c>
      <c r="FM3" s="34" t="s">
        <v>58</v>
      </c>
      <c r="FN3" s="34" t="s">
        <v>29</v>
      </c>
      <c r="FO3" s="34" t="s">
        <v>21</v>
      </c>
      <c r="FP3" s="34" t="s">
        <v>57</v>
      </c>
      <c r="FQ3" s="34" t="s">
        <v>58</v>
      </c>
      <c r="FR3" s="37" t="s">
        <v>29</v>
      </c>
      <c r="FS3" s="37" t="s">
        <v>21</v>
      </c>
      <c r="FT3" s="37" t="s">
        <v>57</v>
      </c>
      <c r="FU3" s="37" t="s">
        <v>58</v>
      </c>
      <c r="FV3" s="15"/>
      <c r="FW3" s="15"/>
      <c r="FX3" s="14"/>
      <c r="FY3" s="14"/>
      <c r="FZ3" s="14"/>
      <c r="GA3" s="15"/>
      <c r="GB3" s="15"/>
      <c r="GC3" s="35" t="s">
        <v>29</v>
      </c>
      <c r="GD3" s="35" t="s">
        <v>21</v>
      </c>
      <c r="GE3" s="35" t="s">
        <v>57</v>
      </c>
      <c r="GF3" s="35" t="s">
        <v>58</v>
      </c>
      <c r="GG3" s="35" t="s">
        <v>29</v>
      </c>
      <c r="GH3" s="35" t="s">
        <v>21</v>
      </c>
      <c r="GI3" s="35" t="s">
        <v>57</v>
      </c>
      <c r="GJ3" s="35" t="s">
        <v>58</v>
      </c>
      <c r="GK3" s="35" t="s">
        <v>29</v>
      </c>
      <c r="GL3" s="35" t="s">
        <v>21</v>
      </c>
      <c r="GM3" s="35" t="s">
        <v>57</v>
      </c>
      <c r="GN3" s="35" t="s">
        <v>58</v>
      </c>
      <c r="GO3" s="36" t="s">
        <v>29</v>
      </c>
      <c r="GP3" s="36" t="s">
        <v>21</v>
      </c>
      <c r="GQ3" s="36" t="s">
        <v>57</v>
      </c>
      <c r="GR3" s="36" t="s">
        <v>58</v>
      </c>
      <c r="GS3" s="12"/>
      <c r="GT3" s="12"/>
      <c r="GU3" s="11"/>
      <c r="GV3" s="11"/>
      <c r="GW3" s="11"/>
      <c r="GX3" s="12"/>
      <c r="GY3" s="12"/>
      <c r="GZ3" s="34" t="s">
        <v>29</v>
      </c>
      <c r="HA3" s="34" t="s">
        <v>21</v>
      </c>
      <c r="HB3" s="34" t="s">
        <v>57</v>
      </c>
      <c r="HC3" s="34" t="s">
        <v>58</v>
      </c>
      <c r="HD3" s="34" t="s">
        <v>29</v>
      </c>
      <c r="HE3" s="34" t="s">
        <v>21</v>
      </c>
      <c r="HF3" s="34" t="s">
        <v>57</v>
      </c>
      <c r="HG3" s="34" t="s">
        <v>58</v>
      </c>
      <c r="HH3" s="34" t="s">
        <v>29</v>
      </c>
      <c r="HI3" s="34" t="s">
        <v>21</v>
      </c>
      <c r="HJ3" s="34" t="s">
        <v>57</v>
      </c>
      <c r="HK3" s="34" t="s">
        <v>58</v>
      </c>
      <c r="HL3" s="37" t="s">
        <v>29</v>
      </c>
      <c r="HM3" s="37" t="s">
        <v>21</v>
      </c>
      <c r="HN3" s="37" t="s">
        <v>57</v>
      </c>
      <c r="HO3" s="37" t="s">
        <v>58</v>
      </c>
      <c r="HP3" s="15"/>
      <c r="HQ3" s="15"/>
      <c r="HR3" s="14"/>
      <c r="HS3" s="14"/>
      <c r="HT3" s="14"/>
      <c r="HU3" s="15"/>
      <c r="HV3" s="15"/>
      <c r="HW3" s="35" t="s">
        <v>29</v>
      </c>
      <c r="HX3" s="35" t="s">
        <v>21</v>
      </c>
      <c r="HY3" s="35" t="s">
        <v>57</v>
      </c>
      <c r="HZ3" s="35" t="s">
        <v>58</v>
      </c>
      <c r="IA3" s="35" t="s">
        <v>29</v>
      </c>
      <c r="IB3" s="35" t="s">
        <v>21</v>
      </c>
      <c r="IC3" s="35" t="s">
        <v>57</v>
      </c>
      <c r="ID3" s="35" t="s">
        <v>58</v>
      </c>
      <c r="IE3" s="35" t="s">
        <v>29</v>
      </c>
      <c r="IF3" s="35" t="s">
        <v>21</v>
      </c>
      <c r="IG3" s="35" t="s">
        <v>57</v>
      </c>
      <c r="IH3" s="35" t="s">
        <v>58</v>
      </c>
      <c r="II3" s="36" t="s">
        <v>29</v>
      </c>
      <c r="IJ3" s="36" t="s">
        <v>21</v>
      </c>
      <c r="IK3" s="36" t="s">
        <v>57</v>
      </c>
      <c r="IL3" s="36" t="s">
        <v>58</v>
      </c>
      <c r="IM3" s="12"/>
      <c r="IN3" s="12"/>
      <c r="IO3" s="11"/>
      <c r="IP3" s="11"/>
      <c r="IQ3" s="11"/>
      <c r="IR3" s="12"/>
      <c r="IS3" s="12"/>
      <c r="IT3" s="34" t="s">
        <v>29</v>
      </c>
      <c r="IU3" s="34" t="s">
        <v>21</v>
      </c>
      <c r="IV3" s="34" t="s">
        <v>57</v>
      </c>
      <c r="IW3" s="34" t="s">
        <v>58</v>
      </c>
      <c r="IX3" s="34" t="s">
        <v>29</v>
      </c>
      <c r="IY3" s="34" t="s">
        <v>21</v>
      </c>
      <c r="IZ3" s="34" t="s">
        <v>57</v>
      </c>
      <c r="JA3" s="34" t="s">
        <v>58</v>
      </c>
      <c r="JB3" s="34" t="s">
        <v>29</v>
      </c>
      <c r="JC3" s="34" t="s">
        <v>21</v>
      </c>
      <c r="JD3" s="34" t="s">
        <v>57</v>
      </c>
      <c r="JE3" s="34" t="s">
        <v>58</v>
      </c>
      <c r="JF3" s="37" t="s">
        <v>29</v>
      </c>
      <c r="JG3" s="37" t="s">
        <v>21</v>
      </c>
      <c r="JH3" s="37" t="s">
        <v>57</v>
      </c>
      <c r="JI3" s="37" t="s">
        <v>58</v>
      </c>
      <c r="JJ3" s="15"/>
      <c r="JK3" s="15"/>
      <c r="JL3" s="14"/>
      <c r="JM3" s="14"/>
      <c r="JN3" s="14"/>
      <c r="JO3" s="15"/>
      <c r="JP3" s="15"/>
      <c r="JQ3" s="35" t="s">
        <v>29</v>
      </c>
      <c r="JR3" s="35" t="s">
        <v>21</v>
      </c>
      <c r="JS3" s="35" t="s">
        <v>57</v>
      </c>
      <c r="JT3" s="35" t="s">
        <v>58</v>
      </c>
      <c r="JU3" s="35" t="s">
        <v>29</v>
      </c>
      <c r="JV3" s="35" t="s">
        <v>21</v>
      </c>
      <c r="JW3" s="35" t="s">
        <v>57</v>
      </c>
      <c r="JX3" s="35" t="s">
        <v>58</v>
      </c>
      <c r="JY3" s="35" t="s">
        <v>29</v>
      </c>
      <c r="JZ3" s="35" t="s">
        <v>21</v>
      </c>
      <c r="KA3" s="35" t="s">
        <v>57</v>
      </c>
      <c r="KB3" s="35" t="s">
        <v>58</v>
      </c>
      <c r="KC3" s="36" t="s">
        <v>29</v>
      </c>
      <c r="KD3" s="36" t="s">
        <v>21</v>
      </c>
      <c r="KE3" s="36" t="s">
        <v>57</v>
      </c>
      <c r="KF3" s="36" t="s">
        <v>58</v>
      </c>
      <c r="KG3" s="12"/>
      <c r="KH3" s="12"/>
      <c r="KI3" s="11"/>
      <c r="KJ3" s="11"/>
      <c r="KK3" s="11"/>
      <c r="KL3" s="12"/>
      <c r="KM3" s="12"/>
      <c r="KN3" s="34" t="s">
        <v>29</v>
      </c>
      <c r="KO3" s="34" t="s">
        <v>21</v>
      </c>
      <c r="KP3" s="34" t="s">
        <v>57</v>
      </c>
      <c r="KQ3" s="34" t="s">
        <v>58</v>
      </c>
      <c r="KR3" s="34" t="s">
        <v>29</v>
      </c>
      <c r="KS3" s="34" t="s">
        <v>21</v>
      </c>
      <c r="KT3" s="34" t="s">
        <v>57</v>
      </c>
      <c r="KU3" s="34" t="s">
        <v>58</v>
      </c>
      <c r="KV3" s="34" t="s">
        <v>29</v>
      </c>
      <c r="KW3" s="34" t="s">
        <v>21</v>
      </c>
      <c r="KX3" s="34" t="s">
        <v>57</v>
      </c>
      <c r="KY3" s="34" t="s">
        <v>58</v>
      </c>
      <c r="KZ3" s="37" t="s">
        <v>29</v>
      </c>
      <c r="LA3" s="37" t="s">
        <v>21</v>
      </c>
      <c r="LB3" s="37" t="s">
        <v>57</v>
      </c>
      <c r="LC3" s="37" t="s">
        <v>58</v>
      </c>
      <c r="LD3" s="15"/>
      <c r="LE3" s="15"/>
      <c r="LF3" s="14"/>
      <c r="LG3" s="14"/>
      <c r="LH3" s="14"/>
      <c r="LI3" s="15"/>
      <c r="LJ3" s="15"/>
      <c r="LK3" s="35" t="s">
        <v>29</v>
      </c>
      <c r="LL3" s="35" t="s">
        <v>21</v>
      </c>
      <c r="LM3" s="35" t="s">
        <v>57</v>
      </c>
      <c r="LN3" s="35" t="s">
        <v>58</v>
      </c>
      <c r="LO3" s="35" t="s">
        <v>29</v>
      </c>
      <c r="LP3" s="35" t="s">
        <v>21</v>
      </c>
      <c r="LQ3" s="35" t="s">
        <v>57</v>
      </c>
      <c r="LR3" s="35" t="s">
        <v>58</v>
      </c>
      <c r="LS3" s="35" t="s">
        <v>29</v>
      </c>
      <c r="LT3" s="35" t="s">
        <v>21</v>
      </c>
      <c r="LU3" s="35" t="s">
        <v>57</v>
      </c>
      <c r="LV3" s="35" t="s">
        <v>58</v>
      </c>
      <c r="LW3" s="36" t="s">
        <v>29</v>
      </c>
      <c r="LX3" s="36" t="s">
        <v>21</v>
      </c>
      <c r="LY3" s="36" t="s">
        <v>57</v>
      </c>
      <c r="LZ3" s="36" t="s">
        <v>58</v>
      </c>
      <c r="MA3" s="12"/>
      <c r="MB3" s="12"/>
      <c r="MC3" s="11"/>
      <c r="MD3" s="11"/>
      <c r="ME3" s="11"/>
      <c r="MF3" s="12"/>
      <c r="MG3" s="12"/>
      <c r="MH3" s="34" t="s">
        <v>29</v>
      </c>
      <c r="MI3" s="34" t="s">
        <v>21</v>
      </c>
      <c r="MJ3" s="34" t="s">
        <v>57</v>
      </c>
      <c r="MK3" s="34" t="s">
        <v>58</v>
      </c>
      <c r="ML3" s="34" t="s">
        <v>29</v>
      </c>
      <c r="MM3" s="34" t="s">
        <v>21</v>
      </c>
      <c r="MN3" s="34" t="s">
        <v>57</v>
      </c>
      <c r="MO3" s="34" t="s">
        <v>58</v>
      </c>
      <c r="MP3" s="34" t="s">
        <v>29</v>
      </c>
      <c r="MQ3" s="34" t="s">
        <v>21</v>
      </c>
      <c r="MR3" s="34" t="s">
        <v>57</v>
      </c>
      <c r="MS3" s="34" t="s">
        <v>58</v>
      </c>
      <c r="MT3" s="37" t="s">
        <v>29</v>
      </c>
      <c r="MU3" s="37" t="s">
        <v>21</v>
      </c>
      <c r="MV3" s="37" t="s">
        <v>57</v>
      </c>
      <c r="MW3" s="37" t="s">
        <v>58</v>
      </c>
      <c r="MX3" s="15"/>
      <c r="MY3" s="15"/>
      <c r="MZ3" s="14"/>
      <c r="NA3" s="14"/>
      <c r="NB3" s="14"/>
      <c r="NC3" s="15"/>
      <c r="ND3" s="15"/>
    </row>
    <row r="4" spans="1:368" x14ac:dyDescent="0.2">
      <c r="A4" s="6">
        <f>IF(AND(F4="P",H4="P"),SUMPRODUCT((F$4:F$8="P")*(H$4:H$8="P")*(E$4:E$8&gt;E4))+1,IF(H4="P",SUMPRODUCT((F$4:F$8="")*(H$4:H$8="P")*(E$4:E$8&gt;E4))+1+SUMPRODUCT((F$4:F$8="P")*(H$4:H$8="P")),""))</f>
        <v>1</v>
      </c>
      <c r="B4" s="7" t="s">
        <v>134</v>
      </c>
      <c r="C4" s="8" t="s">
        <v>4</v>
      </c>
      <c r="D4" s="33">
        <v>2018</v>
      </c>
      <c r="E4" s="17">
        <f>SUM(J4:R4)</f>
        <v>190.2</v>
      </c>
      <c r="F4" s="4" t="str">
        <f>IF(OR(AND($AK4&gt;=$AL$11,NOT($AK4="")),AND($BH4&gt;=$BI$11,NOT($BH4="")),AND($CE4&gt;=$CF$11,NOT($CE4=""))),"P","")</f>
        <v>P</v>
      </c>
      <c r="G4" s="4" t="str">
        <f>IF(OR(AND($AK4&gt;=$AL$12,NOT($AK4="")),AND($BH4&gt;=$BI$12,NOT($BH4="")),AND($CE4&gt;=$CF$12,NOT($CE4=""))),"P","")</f>
        <v>P</v>
      </c>
      <c r="H4" s="4" t="str">
        <f>IF(OR(AND($AO4&gt;=$AL$13,NOT($AO4="")),AND($BL4&gt;=$BI$13,NOT($BL4="")),AND($CI4&gt;=$CF$13,NOT($CI4=""))),"P","")</f>
        <v>P</v>
      </c>
      <c r="I4" t="str">
        <f>IF(AND(G4="P",OR(AND($AO4&gt;=$AL$16,NOT($AO4="")),AND($BL4&gt;=$BI$16,NOT($BL4="")),AND($CI4&gt;=$CF$16,NOT($CI4="")))),"Merit",IF(AND(G4="P",OR(AND($AO4&gt;=$AL$15,NOT($AO4="")),AND($BL4&gt;=$BI$15,NOT($BL4="")),AND($CI4&gt;=$CF$15,NOT($CI4="")))),"Funding",IF(AND(G4="P",OR(AND($AO4&gt;=$AL$14,NOT($AO4="")),AND($BL4&gt;=$BI$14,NOT($BL4="")),AND($CI4&gt;=$CF$14,NOT($CI4="")))),"Worlds Team",IF(AND(F4="P",OR(AND($AO4&gt;=$AL$13,NOT($AO4="")),AND($BL4&gt;=$BI$13,NOT($BL4="")),AND($CI4&gt;=$CF$13,NOT($CI4="")))),"National Team",""))))</f>
        <v>Funding</v>
      </c>
      <c r="J4" s="16">
        <f>MAX(AO4,BL4,CI4)</f>
        <v>64.699999999999989</v>
      </c>
      <c r="K4" s="16" t="str">
        <f>IF(J4=CI4,$BO$1,IF(J4=BL4,$AR$1,IF(J4=AO4,$U$1,"")))</f>
        <v>2018 Nationals</v>
      </c>
      <c r="L4" s="16">
        <f>IF($J4=$AO4,MAX(BJ4,CG4),IF($J4=$BL4,MAX(AM4,CG4),MAX(AM4,BJ4)))</f>
        <v>28.5</v>
      </c>
      <c r="M4" s="16" t="str">
        <f>IF(L4=CG4,$BO$1,IF(L4=BJ4,$AR$1,IF(L4=AM4,$U$1,"")))</f>
        <v>2018 Canada Cup</v>
      </c>
      <c r="N4" s="16">
        <f>IF($J4=$AO4,MAX(BK4,CH4),IF($J4=$BL4,MAX(AN4,CH4),MAX(AN4,BK4)))</f>
        <v>32.5</v>
      </c>
      <c r="O4" s="16" t="str">
        <f>IF(N4=CH4,$BO$1,IF(N4=BK4,$AR$1,IF(N4=AN4,$U$1,"")))</f>
        <v>2018 Canada Cup</v>
      </c>
      <c r="P4" s="16">
        <f>MAX(AP4,BM4,CJ4)</f>
        <v>64.5</v>
      </c>
      <c r="Q4" s="16" t="str">
        <f>IF(P4=CJ4,$BO$1,IF(P4=BM4,$AR$1,IF(P4=AP4,$U$1,"")))</f>
        <v>2018 Nationals</v>
      </c>
      <c r="R4" s="16" t="str">
        <f>IF(MAX(CL4:CN4)&gt;0,MAX(CL4:CN4),"")</f>
        <v/>
      </c>
      <c r="S4" s="31" t="str">
        <f>IF(R4="","",IF(R4=CL4,"(Pass 1)",IF(R4=CM4,"(Pass 2)",IF(R4=CN4,"(Final)"))))</f>
        <v/>
      </c>
      <c r="T4" s="16" t="str">
        <f>IF(R4="","",IF(R4=CL4,IF(R4+L4=MZ4,$MH$1,IF(R4+L4=MC4,$LK$1,IF(R4+L4=LF4,$KN$1,IF(R4+L4=KI4,$JQ$1,IF(R4+L4=JL4,$IT$1,IF(R4+L4=IO4,$HW$1,IF(R4+L4=HR4,$GZ$1,IF(R4+L4=GU4,$GC$1,IF(R4+L4=FX4,$FF$1,IF(R4+L4=FA4,$EI$1,IF(R4+L4=ED4,$DL$1,IF(R4+L4=DG4,$CO$1)))))))))))),IF(R4=CM4,IF(R4+N4=NA4,$MH$1,IF(R4+N4=MD4,$LK$1,IF(R4+N4=LG4,$KN$1,IF(R4+N4=KJ4,$JQ$1,IF(R4+N4=JM4,$IT$1,IF(R4+N4=IP4,$HW$1,IF(R4+N4=HS4,$GZ$1,IF(R4+N4=GV4,$GC$1,IF(R4+N4=FY4,$FF$1,IF(R4+N4=FB4,$EI$1,IF(R4+N4=EE4,$DL$1,IF(R4+N4=DH4,$CO$1)))))))))))),IF(R4=CN4,IF(R4+P4=NC4,$MH$1,IF(R4+P4=MF4,$LK$1,IF(R4+P4=LI4,$KN$1,IF(R4+P4=KL4,$JQ$1,IF(R4+P4=JO4,$IT$1,IF(R4+P4=IR4,$HW$1,IF(R4+P4=HU4,$GZ$1,IF(R4+P4=GX4,$GC$1,IF(R4+P4=GA4,$FF$1,IF(R4+P4=FD4,$EI$1,IF(R4+P4=EG4,$DL$1,IF(R4+P4=DJ4,$CO$1))))))))))))))))</f>
        <v/>
      </c>
      <c r="U4" s="51"/>
      <c r="V4" s="51"/>
      <c r="W4" s="51"/>
      <c r="X4" s="51"/>
      <c r="Y4" s="51"/>
      <c r="Z4" s="51"/>
      <c r="AA4" s="51"/>
      <c r="AB4" s="51"/>
      <c r="AC4" s="51"/>
      <c r="AD4" s="51"/>
      <c r="AE4" s="51"/>
      <c r="AF4" s="51"/>
      <c r="AG4" s="51"/>
      <c r="AH4" s="51"/>
      <c r="AI4" s="51"/>
      <c r="AJ4" s="51"/>
      <c r="AK4" s="13" t="str">
        <f>IF(SUM(V4,Z4)&gt;0,SUM(V4,Z4),"")</f>
        <v/>
      </c>
      <c r="AL4" s="13" t="str">
        <f>IF(SUM(AD4,AH4)&gt;0,SUM(AD4,AH4),"")</f>
        <v/>
      </c>
      <c r="AM4" s="13" t="str">
        <f>IF(SUM(U4:V4,X4)-W4&gt;0,SUM(U4:V4,X4)-W4,"")</f>
        <v/>
      </c>
      <c r="AN4" s="13" t="str">
        <f>IF(SUM(Y4:Z4,AB4)-AA4&gt;0,SUM(Y4:Z4,AB4)-AA4,"")</f>
        <v/>
      </c>
      <c r="AO4" s="13" t="str">
        <f>IF(SUM(AM4:AN4)&gt;0,SUM(AM4:AN4),"")</f>
        <v/>
      </c>
      <c r="AP4" s="13" t="str">
        <f>IF(SUM(AC4:AD4,AF4:AH4,AJ4)-SUM(AE4,AI4)&gt;0,SUM(AC4:AD4,AF4:AH4,AJ4)-SUM(AE4,AI4),"")</f>
        <v/>
      </c>
      <c r="AQ4" s="13" t="str">
        <f>IF(SUM(AO4,AP4)&gt;0,SUM(AO4,AP4),"")</f>
        <v/>
      </c>
      <c r="AR4" s="48">
        <v>21.4</v>
      </c>
      <c r="AS4" s="48">
        <v>6.1</v>
      </c>
      <c r="AT4" s="48">
        <v>0</v>
      </c>
      <c r="AU4" s="48">
        <v>1</v>
      </c>
      <c r="AV4" s="48">
        <v>28</v>
      </c>
      <c r="AW4" s="48">
        <v>4.5</v>
      </c>
      <c r="AX4" s="48">
        <v>0</v>
      </c>
      <c r="AY4" s="48">
        <v>0</v>
      </c>
      <c r="AZ4" s="48">
        <v>25</v>
      </c>
      <c r="BA4" s="48">
        <v>3.5</v>
      </c>
      <c r="BB4" s="48">
        <v>0</v>
      </c>
      <c r="BC4" s="48">
        <v>0</v>
      </c>
      <c r="BD4" s="48">
        <v>27.8</v>
      </c>
      <c r="BE4" s="48">
        <v>4.5</v>
      </c>
      <c r="BF4" s="48">
        <v>0</v>
      </c>
      <c r="BG4" s="48">
        <v>0</v>
      </c>
      <c r="BH4" s="16">
        <f>IF(SUM(AS4,AW4)&gt;0,SUM(AS4,AW4),"")</f>
        <v>10.6</v>
      </c>
      <c r="BI4" s="16">
        <f>IF(SUM(BA4,BE4)&gt;0,SUM(BA4,BE4),"")</f>
        <v>8</v>
      </c>
      <c r="BJ4" s="16">
        <f>IF(SUM(AR4:AS4,AU4)-AT4&gt;0,SUM(AR4:AS4,AU4)-AT4,"")</f>
        <v>28.5</v>
      </c>
      <c r="BK4" s="16">
        <f>IF(SUM(AV4:AW4,AY4)-AX4&gt;0,SUM(AV4:AW4,AY4)-AX4,"")</f>
        <v>32.5</v>
      </c>
      <c r="BL4" s="16">
        <f>IF(SUM(BJ4:BK4)&gt;0,SUM(BJ4:BK4),"")</f>
        <v>61</v>
      </c>
      <c r="BM4" s="16">
        <f>IF(SUM(AZ4:BA4,BC4:BE4,BG4)-SUM(BB4,BF4)&gt;0,SUM(AZ4:BA4,BC4:BE4,BG4)-SUM(BB4,BF4),"")</f>
        <v>60.8</v>
      </c>
      <c r="BN4" s="16">
        <f>IF(SUM(BL4,BM4)&gt;0,SUM(BL4,BM4),"")</f>
        <v>121.8</v>
      </c>
      <c r="BO4" s="47">
        <v>28.8</v>
      </c>
      <c r="BP4" s="47">
        <v>3.6</v>
      </c>
      <c r="BQ4" s="47">
        <v>0</v>
      </c>
      <c r="BR4" s="47">
        <v>0</v>
      </c>
      <c r="BS4" s="47">
        <v>27.8</v>
      </c>
      <c r="BT4" s="47">
        <v>4.5</v>
      </c>
      <c r="BU4" s="47">
        <v>0</v>
      </c>
      <c r="BV4" s="47">
        <v>0</v>
      </c>
      <c r="BW4" s="47">
        <v>28.2</v>
      </c>
      <c r="BX4" s="47">
        <v>3.6</v>
      </c>
      <c r="BY4" s="47">
        <v>0</v>
      </c>
      <c r="BZ4" s="47">
        <v>0</v>
      </c>
      <c r="CA4" s="47">
        <v>28.2</v>
      </c>
      <c r="CB4" s="47">
        <v>4.5</v>
      </c>
      <c r="CC4" s="47">
        <v>0</v>
      </c>
      <c r="CD4" s="47">
        <v>0</v>
      </c>
      <c r="CE4" s="13">
        <f>IF(SUM(BP4,BT4)&gt;0,SUM(BP4,BT4),"")</f>
        <v>8.1</v>
      </c>
      <c r="CF4" s="13">
        <f>IF(SUM(BX4,CB4)&gt;0,SUM(BX4,CB4),"")</f>
        <v>8.1</v>
      </c>
      <c r="CG4" s="13">
        <f>IF(SUM(BO4:BP4,BR4)-BQ4&gt;0,SUM(BO4:BP4,BR4)-BQ4,"")</f>
        <v>32.4</v>
      </c>
      <c r="CH4" s="13">
        <f>IF(SUM(BS4:BT4,BV4)-BU4&gt;0,SUM(BS4:BT4,BV4)-BU4,"")</f>
        <v>32.299999999999997</v>
      </c>
      <c r="CI4" s="13">
        <f>IF(SUM(CG4:CH4)&gt;0,SUM(CG4:CH4),"")</f>
        <v>64.699999999999989</v>
      </c>
      <c r="CJ4" s="13">
        <f>IF(SUM(BW4:BX4,BZ4:CB4,CD4)-SUM(BY4,CC4)&gt;0,SUM(BW4:BX4,BZ4:CB4,CD4)-SUM(BY4,CC4),"")</f>
        <v>64.5</v>
      </c>
      <c r="CK4" s="13">
        <f>IF(SUM(CI4,CJ4)&gt;0,SUM(CI4,CJ4),"")</f>
        <v>129.19999999999999</v>
      </c>
      <c r="CL4" s="30" t="str">
        <f>IF(MAX(DG4,ED4,FA4,FX4,GU4,HR4,IO4,JL4,KI4,LF4,MC4,MZ4)-L4&gt;0.001,MAX(DG4,ED4,FA4,FX4,GU4,HR4,IO4,JL4,KI4,LF4,MC4,MZ4)-L4,"")</f>
        <v/>
      </c>
      <c r="CM4" s="30" t="str">
        <f>IF(MAX(DH4,EE4,FB4,FY4,GV4,HS4,IP4,JM4,KJ4,LG4,MD4,NA4)-N4&gt;0.001,MAX(DH4,EE4,FB4,FY4,GV4,HS4,IP4,JM4,KJ4,LG4,MD4,NA4)-N4,"")</f>
        <v/>
      </c>
      <c r="CN4" s="30" t="str">
        <f>IF(MAX(DJ4,EG4,FD4,GA4,GX4,HU4,IR4,JO4,KL4,LI4,MF4,NC4)-P4&gt;0.001,MAX(DJ4,EG4,FD4,GA4,GX4,HU4,IR4,JO4,KL4,LI4,MF4,NC4)-P4,"")</f>
        <v/>
      </c>
      <c r="CO4" s="47"/>
      <c r="CP4" s="47"/>
      <c r="CQ4" s="47"/>
      <c r="CR4" s="47"/>
      <c r="CS4" s="47"/>
      <c r="CT4" s="47"/>
      <c r="CU4" s="47"/>
      <c r="CV4" s="47"/>
      <c r="CW4" s="47"/>
      <c r="CX4" s="47"/>
      <c r="CY4" s="47"/>
      <c r="CZ4" s="47"/>
      <c r="DA4" s="47"/>
      <c r="DB4" s="47"/>
      <c r="DC4" s="47"/>
      <c r="DD4" s="47"/>
      <c r="DE4" s="13" t="str">
        <f>IF(SUM(CP4,CT4)&gt;0,SUM(CP4,CT4),"")</f>
        <v/>
      </c>
      <c r="DF4" s="13" t="str">
        <f>IF(SUM(CX4,DB4)&gt;0,SUM(CX4,DB4),"")</f>
        <v/>
      </c>
      <c r="DG4" s="13" t="str">
        <f>IF(SUM(CO4:CP4,CR4)-CQ4&gt;0,SUM(CO4:CP4,CR4)-CQ4,"")</f>
        <v/>
      </c>
      <c r="DH4" s="13" t="str">
        <f>IF(SUM(CS4:CT4,CV4)-CU4&gt;0,SUM(CS4:CT4,CV4)-CU4,"")</f>
        <v/>
      </c>
      <c r="DI4" s="13" t="str">
        <f>IF(SUM(DG4:DH4)&gt;0,SUM(DG4:DH4),"")</f>
        <v/>
      </c>
      <c r="DJ4" s="13" t="str">
        <f>IF(SUM(CW4:CX4,CZ4:DB4,DD4)-SUM(CY4,DC4)&gt;0,SUM(CW4:CX4,CZ4:DB4,DD4)-SUM(CY4,DC4),"")</f>
        <v/>
      </c>
      <c r="DK4" s="13" t="str">
        <f>IF(SUM(DI4,DJ4)&gt;0,SUM(DI4,DJ4),"")</f>
        <v/>
      </c>
      <c r="DL4" s="48"/>
      <c r="DM4" s="48"/>
      <c r="DN4" s="48"/>
      <c r="DO4" s="48"/>
      <c r="DP4" s="48"/>
      <c r="DQ4" s="48"/>
      <c r="DR4" s="48"/>
      <c r="DS4" s="48"/>
      <c r="DT4" s="48"/>
      <c r="DU4" s="48"/>
      <c r="DV4" s="48"/>
      <c r="DW4" s="48"/>
      <c r="DX4" s="48"/>
      <c r="DY4" s="48"/>
      <c r="DZ4" s="48"/>
      <c r="EA4" s="48"/>
      <c r="EB4" s="16" t="str">
        <f>IF(SUM(DM4,DQ4)&gt;0,SUM(DM4,DQ4),"")</f>
        <v/>
      </c>
      <c r="EC4" s="16" t="str">
        <f>IF(SUM(DU4,DY4)&gt;0,SUM(DU4,DY4),"")</f>
        <v/>
      </c>
      <c r="ED4" s="16" t="str">
        <f>IF(SUM(DL4:DM4,DO4)-DN4&gt;0,SUM(DL4:DM4,DO4)-DN4,"")</f>
        <v/>
      </c>
      <c r="EE4" s="16" t="str">
        <f>IF(SUM(DP4:DQ4,DS4)-DR4&gt;0,SUM(DP4:DQ4,DS4)-DR4,"")</f>
        <v/>
      </c>
      <c r="EF4" s="16" t="str">
        <f>IF(SUM(ED4:EE4)&gt;0,SUM(ED4:EE4),"")</f>
        <v/>
      </c>
      <c r="EG4" s="16" t="str">
        <f>IF(SUM(DT4:DU4,DW4:DY4,EA4)-SUM(DV4,DZ4)&gt;0,SUM(DT4:DU4,DW4:DY4,EA4)-SUM(DV4,DZ4),"")</f>
        <v/>
      </c>
      <c r="EH4" s="16" t="str">
        <f>IF(SUM(EF4,EG4)&gt;0,SUM(EF4,EG4),"")</f>
        <v/>
      </c>
      <c r="EI4" s="47"/>
      <c r="EJ4" s="47"/>
      <c r="EK4" s="47"/>
      <c r="EL4" s="47"/>
      <c r="EM4" s="47"/>
      <c r="EN4" s="47"/>
      <c r="EO4" s="47"/>
      <c r="EP4" s="47"/>
      <c r="EQ4" s="47"/>
      <c r="ER4" s="47"/>
      <c r="ES4" s="47"/>
      <c r="ET4" s="47"/>
      <c r="EU4" s="47"/>
      <c r="EV4" s="47"/>
      <c r="EW4" s="47"/>
      <c r="EX4" s="47"/>
      <c r="EY4" s="13" t="str">
        <f>IF(SUM(EJ4,EN4)&gt;0,SUM(EJ4,EN4),"")</f>
        <v/>
      </c>
      <c r="EZ4" s="13" t="str">
        <f>IF(SUM(ER4,EV4)&gt;0,SUM(ER4,EV4),"")</f>
        <v/>
      </c>
      <c r="FA4" s="13" t="str">
        <f>IF(SUM(EI4:EJ4,EL4)-EK4&gt;0,SUM(EI4:EJ4,EL4)-EK4,"")</f>
        <v/>
      </c>
      <c r="FB4" s="13" t="str">
        <f>IF(SUM(EM4:EN4,EP4)-EO4&gt;0,SUM(EM4:EN4,EP4)-EO4,"")</f>
        <v/>
      </c>
      <c r="FC4" s="13" t="str">
        <f>IF(SUM(FA4:FB4)&gt;0,SUM(FA4:FB4),"")</f>
        <v/>
      </c>
      <c r="FD4" s="13" t="str">
        <f>IF(SUM(EQ4:ER4,ET4:EV4,EX4)-SUM(ES4,EW4)&gt;0,SUM(EQ4:ER4,ET4:EV4,EX4)-SUM(ES4,EW4),"")</f>
        <v/>
      </c>
      <c r="FE4" s="13" t="str">
        <f>IF(SUM(FC4,FD4)&gt;0,SUM(FC4,FD4),"")</f>
        <v/>
      </c>
      <c r="FF4" s="48"/>
      <c r="FG4" s="48"/>
      <c r="FH4" s="48"/>
      <c r="FI4" s="48"/>
      <c r="FJ4" s="48"/>
      <c r="FK4" s="48"/>
      <c r="FL4" s="48"/>
      <c r="FM4" s="48"/>
      <c r="FN4" s="48"/>
      <c r="FO4" s="48"/>
      <c r="FP4" s="48"/>
      <c r="FQ4" s="48"/>
      <c r="FR4" s="48"/>
      <c r="FS4" s="48"/>
      <c r="FT4" s="48"/>
      <c r="FU4" s="48"/>
      <c r="FV4" s="16" t="str">
        <f>IF(SUM(FG4,FK4)&gt;0,SUM(FG4,FK4),"")</f>
        <v/>
      </c>
      <c r="FW4" s="16" t="str">
        <f>IF(SUM(FO4,FS4)&gt;0,SUM(FO4,FS4),"")</f>
        <v/>
      </c>
      <c r="FX4" s="16" t="str">
        <f>IF(SUM(FF4:FG4,FI4)-FH4&gt;0,SUM(FF4:FG4,FI4)-FH4,"")</f>
        <v/>
      </c>
      <c r="FY4" s="16" t="str">
        <f>IF(SUM(FJ4:FK4,FM4)-FL4&gt;0,SUM(FJ4:FK4,FM4)-FL4,"")</f>
        <v/>
      </c>
      <c r="FZ4" s="16" t="str">
        <f>IF(SUM(FX4:FY4)&gt;0,SUM(FX4:FY4),"")</f>
        <v/>
      </c>
      <c r="GA4" s="16" t="str">
        <f>IF(SUM(FN4:FO4,FQ4:FS4,FU4)-SUM(FP4,FT4)&gt;0,SUM(FN4:FO4,FQ4:FS4,FU4)-SUM(FP4,FT4),"")</f>
        <v/>
      </c>
      <c r="GB4" s="16" t="str">
        <f>IF(SUM(FZ4,GA4)&gt;0,SUM(FZ4,GA4),"")</f>
        <v/>
      </c>
      <c r="GC4" s="47"/>
      <c r="GD4" s="47"/>
      <c r="GE4" s="47"/>
      <c r="GF4" s="47"/>
      <c r="GG4" s="47"/>
      <c r="GH4" s="47"/>
      <c r="GI4" s="47"/>
      <c r="GJ4" s="47"/>
      <c r="GK4" s="47"/>
      <c r="GL4" s="47"/>
      <c r="GM4" s="47"/>
      <c r="GN4" s="47"/>
      <c r="GO4" s="47"/>
      <c r="GP4" s="47"/>
      <c r="GQ4" s="47"/>
      <c r="GR4" s="47"/>
      <c r="GS4" s="13" t="str">
        <f>IF(SUM(GD4,GH4)&gt;0,SUM(GD4,GH4),"")</f>
        <v/>
      </c>
      <c r="GT4" s="13" t="str">
        <f>IF(SUM(GL4,GP4)&gt;0,SUM(GL4,GP4),"")</f>
        <v/>
      </c>
      <c r="GU4" s="13" t="str">
        <f>IF(SUM(GC4:GD4,GF4)-GE4&gt;0,SUM(GC4:GD4,GF4)-GE4,"")</f>
        <v/>
      </c>
      <c r="GV4" s="13" t="str">
        <f>IF(SUM(GG4:GH4,GJ4)-GI4&gt;0,SUM(GG4:GH4,GJ4)-GI4,"")</f>
        <v/>
      </c>
      <c r="GW4" s="13" t="str">
        <f>IF(SUM(GU4:GV4)&gt;0,SUM(GU4:GV4),"")</f>
        <v/>
      </c>
      <c r="GX4" s="13" t="str">
        <f>IF(SUM(GK4:GL4,GN4:GP4,GR4)-SUM(GM4,GQ4)&gt;0,SUM(GK4:GL4,GN4:GP4,GR4)-SUM(GM4,GQ4),"")</f>
        <v/>
      </c>
      <c r="GY4" s="13" t="str">
        <f>IF(SUM(GW4,GX4)&gt;0,SUM(GW4,GX4),"")</f>
        <v/>
      </c>
      <c r="GZ4" s="48"/>
      <c r="HA4" s="48"/>
      <c r="HB4" s="48"/>
      <c r="HC4" s="48"/>
      <c r="HD4" s="48"/>
      <c r="HE4" s="48"/>
      <c r="HF4" s="48"/>
      <c r="HG4" s="48"/>
      <c r="HH4" s="48"/>
      <c r="HI4" s="48"/>
      <c r="HJ4" s="48"/>
      <c r="HK4" s="48"/>
      <c r="HL4" s="48"/>
      <c r="HM4" s="48"/>
      <c r="HN4" s="48"/>
      <c r="HO4" s="48"/>
      <c r="HP4" s="16" t="str">
        <f>IF(SUM(HA4,HE4)&gt;0,SUM(HA4,HE4),"")</f>
        <v/>
      </c>
      <c r="HQ4" s="16" t="str">
        <f>IF(SUM(HI4,HM4)&gt;0,SUM(HI4,HM4),"")</f>
        <v/>
      </c>
      <c r="HR4" s="16" t="str">
        <f>IF(SUM(GZ4:HA4,HC4)-HB4&gt;0,SUM(GZ4:HA4,HC4)-HB4,"")</f>
        <v/>
      </c>
      <c r="HS4" s="16" t="str">
        <f>IF(SUM(HD4:HE4,HG4)-HF4&gt;0,SUM(HD4:HE4,HG4)-HF4,"")</f>
        <v/>
      </c>
      <c r="HT4" s="16" t="str">
        <f>IF(SUM(HR4:HS4)&gt;0,SUM(HR4:HS4),"")</f>
        <v/>
      </c>
      <c r="HU4" s="16" t="str">
        <f>IF(SUM(HH4:HI4,HK4:HM4,HO4)-SUM(HJ4,HN4)&gt;0,SUM(HH4:HI4,HK4:HM4,HO4)-SUM(HJ4,HN4),"")</f>
        <v/>
      </c>
      <c r="HV4" s="16" t="str">
        <f>IF(SUM(HT4,HU4)&gt;0,SUM(HT4,HU4),"")</f>
        <v/>
      </c>
      <c r="HW4" s="47"/>
      <c r="HX4" s="47"/>
      <c r="HY4" s="47"/>
      <c r="HZ4" s="47"/>
      <c r="IA4" s="47"/>
      <c r="IB4" s="47"/>
      <c r="IC4" s="47"/>
      <c r="ID4" s="47"/>
      <c r="IE4" s="47"/>
      <c r="IF4" s="47"/>
      <c r="IG4" s="47"/>
      <c r="IH4" s="47"/>
      <c r="II4" s="47"/>
      <c r="IJ4" s="47"/>
      <c r="IK4" s="47"/>
      <c r="IL4" s="47"/>
      <c r="IM4" s="13" t="str">
        <f>IF(SUM(HX4,IB4)&gt;0,SUM(HX4,IB4),"")</f>
        <v/>
      </c>
      <c r="IN4" s="13" t="str">
        <f>IF(SUM(IF4,IJ4)&gt;0,SUM(IF4,IJ4),"")</f>
        <v/>
      </c>
      <c r="IO4" s="13" t="str">
        <f>IF(SUM(HW4:HX4,HZ4)-HY4&gt;0,SUM(HW4:HX4,HZ4)-HY4,"")</f>
        <v/>
      </c>
      <c r="IP4" s="13" t="str">
        <f>IF(SUM(IA4:IB4,ID4)-IC4&gt;0,SUM(IA4:IB4,ID4)-IC4,"")</f>
        <v/>
      </c>
      <c r="IQ4" s="13" t="str">
        <f>IF(SUM(IO4:IP4)&gt;0,SUM(IO4:IP4),"")</f>
        <v/>
      </c>
      <c r="IR4" s="13" t="str">
        <f>IF(SUM(IE4:IF4,IH4:IJ4,IL4)-SUM(IG4,IK4)&gt;0,SUM(IE4:IF4,IH4:IJ4,IL4)-SUM(IG4,IK4),"")</f>
        <v/>
      </c>
      <c r="IS4" s="13" t="str">
        <f>IF(SUM(IQ4,IR4)&gt;0,SUM(IQ4,IR4),"")</f>
        <v/>
      </c>
      <c r="IT4" s="48"/>
      <c r="IU4" s="48"/>
      <c r="IV4" s="48"/>
      <c r="IW4" s="48"/>
      <c r="IX4" s="48"/>
      <c r="IY4" s="48"/>
      <c r="IZ4" s="48"/>
      <c r="JA4" s="48"/>
      <c r="JB4" s="48"/>
      <c r="JC4" s="48"/>
      <c r="JD4" s="48"/>
      <c r="JE4" s="48"/>
      <c r="JF4" s="48"/>
      <c r="JG4" s="48"/>
      <c r="JH4" s="48"/>
      <c r="JI4" s="48"/>
      <c r="JJ4" s="16" t="str">
        <f>IF(SUM(IU4,IY4)&gt;0,SUM(IU4,IY4),"")</f>
        <v/>
      </c>
      <c r="JK4" s="16" t="str">
        <f>IF(SUM(JC4,JG4)&gt;0,SUM(JC4,JG4),"")</f>
        <v/>
      </c>
      <c r="JL4" s="16" t="str">
        <f>IF(SUM(IT4:IU4,IW4)-IV4&gt;0,SUM(IT4:IU4,IW4)-IV4,"")</f>
        <v/>
      </c>
      <c r="JM4" s="16" t="str">
        <f>IF(SUM(IX4:IY4,JA4)-IZ4&gt;0,SUM(IX4:IY4,JA4)-IZ4,"")</f>
        <v/>
      </c>
      <c r="JN4" s="16" t="str">
        <f>IF(SUM(JL4:JM4)&gt;0,SUM(JL4:JM4),"")</f>
        <v/>
      </c>
      <c r="JO4" s="16" t="str">
        <f>IF(SUM(JB4:JC4,JE4:JG4,JI4)-SUM(JD4,JH4)&gt;0,SUM(JB4:JC4,JE4:JG4,JI4)-SUM(JD4,JH4),"")</f>
        <v/>
      </c>
      <c r="JP4" s="16" t="str">
        <f>IF(SUM(JN4,JO4)&gt;0,SUM(JN4,JO4),"")</f>
        <v/>
      </c>
      <c r="JQ4" s="47"/>
      <c r="JR4" s="47"/>
      <c r="JS4" s="47"/>
      <c r="JT4" s="47"/>
      <c r="JU4" s="47"/>
      <c r="JV4" s="47"/>
      <c r="JW4" s="47"/>
      <c r="JX4" s="47"/>
      <c r="JY4" s="47"/>
      <c r="JZ4" s="47"/>
      <c r="KA4" s="47"/>
      <c r="KB4" s="47"/>
      <c r="KC4" s="47"/>
      <c r="KD4" s="47"/>
      <c r="KE4" s="47"/>
      <c r="KF4" s="47"/>
      <c r="KG4" s="13" t="str">
        <f>IF(SUM(JR4,JV4)&gt;0,SUM(JR4,JV4),"")</f>
        <v/>
      </c>
      <c r="KH4" s="13" t="str">
        <f>IF(SUM(JZ4,KD4)&gt;0,SUM(JZ4,KD4),"")</f>
        <v/>
      </c>
      <c r="KI4" s="13" t="str">
        <f>IF(SUM(JQ4:JR4,JT4)-JS4&gt;0,SUM(JQ4:JR4,JT4)-JS4,"")</f>
        <v/>
      </c>
      <c r="KJ4" s="13" t="str">
        <f>IF(SUM(JU4:JV4,JX4)-JW4&gt;0,SUM(JU4:JV4,JX4)-JW4,"")</f>
        <v/>
      </c>
      <c r="KK4" s="13" t="str">
        <f>IF(SUM(KI4:KJ4)&gt;0,SUM(KI4:KJ4),"")</f>
        <v/>
      </c>
      <c r="KL4" s="13" t="str">
        <f>IF(SUM(JY4:JZ4,KB4:KD4,KF4)-SUM(KA4,KE4)&gt;0,SUM(JY4:JZ4,KB4:KD4,KF4)-SUM(KA4,KE4),"")</f>
        <v/>
      </c>
      <c r="KM4" s="13" t="str">
        <f>IF(SUM(KK4,KL4)&gt;0,SUM(KK4,KL4),"")</f>
        <v/>
      </c>
      <c r="KN4" s="48"/>
      <c r="KO4" s="48"/>
      <c r="KP4" s="48"/>
      <c r="KQ4" s="48"/>
      <c r="KR4" s="48"/>
      <c r="KS4" s="48"/>
      <c r="KT4" s="48"/>
      <c r="KU4" s="48"/>
      <c r="KV4" s="48"/>
      <c r="KW4" s="48"/>
      <c r="KX4" s="48"/>
      <c r="KY4" s="48"/>
      <c r="KZ4" s="48"/>
      <c r="LA4" s="48"/>
      <c r="LB4" s="48"/>
      <c r="LC4" s="48"/>
      <c r="LD4" s="16" t="str">
        <f>IF(SUM(KO4,KS4)&gt;0,SUM(KO4,KS4),"")</f>
        <v/>
      </c>
      <c r="LE4" s="16" t="str">
        <f>IF(SUM(KW4,LA4)&gt;0,SUM(KW4,LA4),"")</f>
        <v/>
      </c>
      <c r="LF4" s="16" t="str">
        <f>IF(SUM(KN4:KO4,KQ4)-KP4&gt;0,SUM(KN4:KO4,KQ4)-KP4,"")</f>
        <v/>
      </c>
      <c r="LG4" s="16" t="str">
        <f>IF(SUM(KR4:KS4,KU4)-KT4&gt;0,SUM(KR4:KS4,KU4)-KT4,"")</f>
        <v/>
      </c>
      <c r="LH4" s="16" t="str">
        <f>IF(SUM(LF4:LG4)&gt;0,SUM(LF4:LG4),"")</f>
        <v/>
      </c>
      <c r="LI4" s="16" t="str">
        <f>IF(SUM(KV4:KW4,KY4:LA4,LC4)-SUM(KX4,LB4)&gt;0,SUM(KV4:KW4,KY4:LA4,LC4)-SUM(KX4,LB4),"")</f>
        <v/>
      </c>
      <c r="LJ4" s="16" t="str">
        <f>IF(SUM(LH4,LI4)&gt;0,SUM(LH4,LI4),"")</f>
        <v/>
      </c>
      <c r="LK4" s="47"/>
      <c r="LL4" s="47"/>
      <c r="LM4" s="47"/>
      <c r="LN4" s="47"/>
      <c r="LO4" s="47"/>
      <c r="LP4" s="47"/>
      <c r="LQ4" s="47"/>
      <c r="LR4" s="47"/>
      <c r="LS4" s="47"/>
      <c r="LT4" s="47"/>
      <c r="LU4" s="47"/>
      <c r="LV4" s="47"/>
      <c r="LW4" s="47"/>
      <c r="LX4" s="47"/>
      <c r="LY4" s="47"/>
      <c r="LZ4" s="47"/>
      <c r="MA4" s="13" t="str">
        <f>IF(SUM(LL4,LP4)&gt;0,SUM(LL4,LP4),"")</f>
        <v/>
      </c>
      <c r="MB4" s="13" t="str">
        <f>IF(SUM(LT4,LX4)&gt;0,SUM(LT4,LX4),"")</f>
        <v/>
      </c>
      <c r="MC4" s="13" t="str">
        <f>IF(SUM(LK4:LL4,LN4)-LM4&gt;0,SUM(LK4:LL4,LN4)-LM4,"")</f>
        <v/>
      </c>
      <c r="MD4" s="13" t="str">
        <f>IF(SUM(LO4:LP4,LR4)-LQ4&gt;0,SUM(LO4:LP4,LR4)-LQ4,"")</f>
        <v/>
      </c>
      <c r="ME4" s="13" t="str">
        <f>IF(SUM(MC4:MD4)&gt;0,SUM(MC4:MD4),"")</f>
        <v/>
      </c>
      <c r="MF4" s="13" t="str">
        <f>IF(SUM(LS4:LT4,LV4:LX4,LZ4)-SUM(LU4,LY4)&gt;0,SUM(LS4:LT4,LV4:LX4,LZ4)-SUM(LU4,LY4),"")</f>
        <v/>
      </c>
      <c r="MG4" s="13" t="str">
        <f>IF(SUM(ME4,MF4)&gt;0,SUM(ME4,MF4),"")</f>
        <v/>
      </c>
      <c r="MH4" s="48"/>
      <c r="MI4" s="48"/>
      <c r="MJ4" s="48"/>
      <c r="MK4" s="48"/>
      <c r="ML4" s="48"/>
      <c r="MM4" s="48"/>
      <c r="MN4" s="48"/>
      <c r="MO4" s="48"/>
      <c r="MP4" s="48"/>
      <c r="MQ4" s="48"/>
      <c r="MR4" s="48"/>
      <c r="MS4" s="48"/>
      <c r="MT4" s="48"/>
      <c r="MU4" s="48"/>
      <c r="MV4" s="48"/>
      <c r="MW4" s="48"/>
      <c r="MX4" s="16" t="str">
        <f>IF(SUM(MI4,MM4)&gt;0,SUM(MI4,MM4),"")</f>
        <v/>
      </c>
      <c r="MY4" s="16" t="str">
        <f>IF(SUM(MQ4,MU4)&gt;0,SUM(MQ4,MU4),"")</f>
        <v/>
      </c>
      <c r="MZ4" s="16" t="str">
        <f>IF(SUM(MH4:MI4,MK4)-MJ4&gt;0,SUM(MH4:MI4,MK4)-MJ4,"")</f>
        <v/>
      </c>
      <c r="NA4" s="16" t="str">
        <f>IF(SUM(ML4:MM4,MO4)-MN4&gt;0,SUM(ML4:MM4,MO4)-MN4,"")</f>
        <v/>
      </c>
      <c r="NB4" s="16" t="str">
        <f>IF(SUM(MZ4:NA4)&gt;0,SUM(MZ4:NA4),"")</f>
        <v/>
      </c>
      <c r="NC4" s="16" t="str">
        <f>IF(SUM(MP4:MQ4,MS4:MU4,MW4)-SUM(MR4,MV4)&gt;0,SUM(MP4:MQ4,MS4:MU4,MW4)-SUM(MR4,MV4),"")</f>
        <v/>
      </c>
      <c r="ND4" s="16" t="str">
        <f>IF(SUM(NB4,NC4)&gt;0,SUM(NB4,NC4),"")</f>
        <v/>
      </c>
    </row>
    <row r="5" spans="1:368" x14ac:dyDescent="0.2">
      <c r="A5" s="6">
        <f>IF(AND(F5="P",H5="P"),SUMPRODUCT((F$4:F$8="P")*(H$4:H$8="P")*(E$4:E$8&gt;E5))+1,IF(H5="P",SUMPRODUCT((F$4:F$8="")*(H$4:H$8="P")*(E$4:E$8&gt;E5))+1+SUMPRODUCT((F$4:F$8="P")*(H$4:H$8="P")),""))</f>
        <v>2</v>
      </c>
      <c r="B5" s="9" t="s">
        <v>84</v>
      </c>
      <c r="C5" s="5" t="s">
        <v>4</v>
      </c>
      <c r="D5" s="33"/>
      <c r="E5" s="17">
        <f>SUM(J5:R5)</f>
        <v>182.79999999999998</v>
      </c>
      <c r="F5" s="4" t="str">
        <f>IF(OR(AND($AK5&gt;=$AL$11,NOT($AK5="")),AND($BH5&gt;=$BI$11,NOT($BH5="")),AND($CE5&gt;=$CF$11,NOT($CE5=""))),"P","")</f>
        <v>P</v>
      </c>
      <c r="G5" s="4" t="str">
        <f>IF(OR(AND($AK5&gt;=$AL$12,NOT($AK5="")),AND($BH5&gt;=$BI$12,NOT($BH5="")),AND($CE5&gt;=$CF$12,NOT($CE5=""))),"P","")</f>
        <v>P</v>
      </c>
      <c r="H5" s="4" t="str">
        <f>IF(OR(AND($AO5&gt;=$AL$13,NOT($AO5="")),AND($BL5&gt;=$BI$13,NOT($BL5="")),AND($CI5&gt;=$CF$13,NOT($CI5=""))),"P","")</f>
        <v>P</v>
      </c>
      <c r="I5" t="str">
        <f>IF(AND(G5="P",OR(AND($AO5&gt;=$AL$16,NOT($AO5="")),AND($BL5&gt;=$BI$16,NOT($BL5="")),AND($CI5&gt;=$CF$16,NOT($CI5="")))),"Merit",IF(AND(G5="P",OR(AND($AO5&gt;=$AL$15,NOT($AO5="")),AND($BL5&gt;=$BI$15,NOT($BL5="")),AND($CI5&gt;=$CF$15,NOT($CI5="")))),"Funding",IF(AND(G5="P",OR(AND($AO5&gt;=$AL$14,NOT($AO5="")),AND($BL5&gt;=$BI$14,NOT($BL5="")),AND($CI5&gt;=$CF$14,NOT($CI5="")))),"Worlds Team",IF(AND(F5="P",OR(AND($AO5&gt;=$AL$13,NOT($AO5="")),AND($BL5&gt;=$BI$13,NOT($BL5="")),AND($CI5&gt;=$CF$13,NOT($CI5="")))),"National Team",""))))</f>
        <v>Worlds Team</v>
      </c>
      <c r="J5" s="16">
        <f>MAX(AO5,BL5,CI5)</f>
        <v>62.7</v>
      </c>
      <c r="K5" s="16" t="str">
        <f>IF(J5=CI5,$BO$1,IF(J5=BL5,$AR$1,IF(J5=AO5,$U$1,"")))</f>
        <v>2018 Nationals</v>
      </c>
      <c r="L5" s="16">
        <f>IF($J5=$AO5,MAX(BJ5,CG5),IF($J5=$BL5,MAX(AM5,CG5),MAX(AM5,BJ5)))</f>
        <v>31.8</v>
      </c>
      <c r="M5" s="16" t="str">
        <f>IF(L5=CG5,$BO$1,IF(L5=BJ5,$AR$1,IF(L5=AM5,$U$1,"")))</f>
        <v>2018 Canada Cup</v>
      </c>
      <c r="N5" s="16">
        <f>IF($J5=$AO5,MAX(BK5,CH5),IF($J5=$BL5,MAX(AN5,CH5),MAX(AN5,BK5)))</f>
        <v>27.3</v>
      </c>
      <c r="O5" s="16" t="str">
        <f>IF(N5=CH5,$BO$1,IF(N5=BK5,$AR$1,IF(N5=AN5,$U$1,"")))</f>
        <v>2017 3rd Domestic Trial</v>
      </c>
      <c r="P5" s="16">
        <f>MAX(AP5,BM5,CJ5)</f>
        <v>59.099999999999994</v>
      </c>
      <c r="Q5" s="16" t="str">
        <f>IF(P5=CJ5,$BO$1,IF(P5=BM5,$AR$1,IF(P5=AP5,$U$1,"")))</f>
        <v>2018 Canada Cup</v>
      </c>
      <c r="R5" s="16">
        <f>IF(MAX(CL5:CN5)&gt;0,MAX(CL5:CN5),"")</f>
        <v>1.8999999999999986</v>
      </c>
      <c r="S5" s="31" t="str">
        <f>IF(R5="","",IF(R5=CL5,"(Pass 1)",IF(R5=CM5,"(Pass 2)",IF(R5=CN5,"(Final)"))))</f>
        <v>(Pass 2)</v>
      </c>
      <c r="T5" s="16" t="str">
        <f>IF(R5="","",IF(R5=CL5,IF(R5+L5=MZ5,$MH$1,IF(R5+L5=MC5,$LK$1,IF(R5+L5=LF5,$KN$1,IF(R5+L5=KI5,$JQ$1,IF(R5+L5=JL5,$IT$1,IF(R5+L5=IO5,$HW$1,IF(R5+L5=HR5,$GZ$1,IF(R5+L5=GU5,$GC$1,IF(R5+L5=FX5,$FF$1,IF(R5+L5=FA5,$EI$1,IF(R5+L5=ED5,$DL$1,IF(R5+L5=DG5,$CO$1)))))))))))),IF(R5=CM5,IF(R5+N5=NA5,$MH$1,IF(R5+N5=MD5,$LK$1,IF(R5+N5=LG5,$KN$1,IF(R5+N5=KJ5,$JQ$1,IF(R5+N5=JM5,$IT$1,IF(R5+N5=IP5,$HW$1,IF(R5+N5=HS5,$GZ$1,IF(R5+N5=GV5,$GC$1,IF(R5+N5=FY5,$FF$1,IF(R5+N5=FB5,$EI$1,IF(R5+N5=EE5,$DL$1,IF(R5+N5=DH5,$CO$1)))))))))))),IF(R5=CN5,IF(R5+P5=NC5,$MH$1,IF(R5+P5=MF5,$LK$1,IF(R5+P5=LI5,$KN$1,IF(R5+P5=KL5,$JQ$1,IF(R5+P5=JO5,$IT$1,IF(R5+P5=IR5,$HW$1,IF(R5+P5=HU5,$GZ$1,IF(R5+P5=GX5,$GC$1,IF(R5+P5=GA5,$FF$1,IF(R5+P5=FD5,$EI$1,IF(R5+P5=EG5,$DL$1,IF(R5+P5=DJ5,$CO$1))))))))))))))))</f>
        <v>2017 World Cup POR (Sept)</v>
      </c>
      <c r="U5" s="51">
        <v>24.6</v>
      </c>
      <c r="V5" s="51">
        <v>5.0999999999999996</v>
      </c>
      <c r="W5" s="51">
        <v>0</v>
      </c>
      <c r="X5" s="51">
        <v>1</v>
      </c>
      <c r="Y5" s="51">
        <v>23.3</v>
      </c>
      <c r="Z5" s="51">
        <v>4.3</v>
      </c>
      <c r="AA5" s="51">
        <v>0.3</v>
      </c>
      <c r="AB5" s="51">
        <v>0</v>
      </c>
      <c r="AC5" s="51">
        <v>25.2</v>
      </c>
      <c r="AD5" s="51">
        <v>6.1</v>
      </c>
      <c r="AE5" s="51">
        <v>0</v>
      </c>
      <c r="AF5" s="51">
        <v>0</v>
      </c>
      <c r="AG5" s="51">
        <v>24.7</v>
      </c>
      <c r="AH5" s="51">
        <v>1.9</v>
      </c>
      <c r="AI5" s="51">
        <v>0</v>
      </c>
      <c r="AJ5" s="51">
        <v>0</v>
      </c>
      <c r="AK5" s="13">
        <f>IF(SUM(V5,Z5)&gt;0,SUM(V5,Z5),"")</f>
        <v>9.3999999999999986</v>
      </c>
      <c r="AL5" s="13">
        <f>IF(SUM(AD5,AH5)&gt;0,SUM(AD5,AH5),"")</f>
        <v>8</v>
      </c>
      <c r="AM5" s="13">
        <f>IF(SUM(U5:V5,X5)-W5&gt;0,SUM(U5:V5,X5)-W5,"")</f>
        <v>30.700000000000003</v>
      </c>
      <c r="AN5" s="13">
        <f>IF(SUM(Y5:Z5,AB5)-AA5&gt;0,SUM(Y5:Z5,AB5)-AA5,"")</f>
        <v>27.3</v>
      </c>
      <c r="AO5" s="13">
        <f>IF(SUM(AM5:AN5)&gt;0,SUM(AM5:AN5),"")</f>
        <v>58</v>
      </c>
      <c r="AP5" s="13">
        <f>IF(SUM(AC5:AD5,AF5:AH5,AJ5)-SUM(AE5,AI5)&gt;0,SUM(AC5:AD5,AF5:AH5,AJ5)-SUM(AE5,AI5),"")</f>
        <v>57.9</v>
      </c>
      <c r="AQ5" s="13">
        <f>IF(SUM(AO5,AP5)&gt;0,SUM(AO5,AP5),"")</f>
        <v>115.9</v>
      </c>
      <c r="AR5" s="48">
        <v>24.5</v>
      </c>
      <c r="AS5" s="48">
        <v>6.3</v>
      </c>
      <c r="AT5" s="48">
        <v>0</v>
      </c>
      <c r="AU5" s="48">
        <v>1</v>
      </c>
      <c r="AV5" s="48">
        <v>22.5</v>
      </c>
      <c r="AW5" s="48">
        <v>4.3</v>
      </c>
      <c r="AX5" s="48">
        <v>0.3</v>
      </c>
      <c r="AY5" s="48">
        <v>0</v>
      </c>
      <c r="AZ5" s="48">
        <v>25.5</v>
      </c>
      <c r="BA5" s="48">
        <v>6.5</v>
      </c>
      <c r="BB5" s="48">
        <v>0</v>
      </c>
      <c r="BC5" s="48">
        <v>0</v>
      </c>
      <c r="BD5" s="48">
        <v>22.8</v>
      </c>
      <c r="BE5" s="48">
        <v>4.3</v>
      </c>
      <c r="BF5" s="48">
        <v>0</v>
      </c>
      <c r="BG5" s="48">
        <v>0</v>
      </c>
      <c r="BH5" s="16">
        <f>IF(SUM(AS5,AW5)&gt;0,SUM(AS5,AW5),"")</f>
        <v>10.6</v>
      </c>
      <c r="BI5" s="16">
        <f>IF(SUM(BA5,BE5)&gt;0,SUM(BA5,BE5),"")</f>
        <v>10.8</v>
      </c>
      <c r="BJ5" s="16">
        <f>IF(SUM(AR5:AS5,AU5)-AT5&gt;0,SUM(AR5:AS5,AU5)-AT5,"")</f>
        <v>31.8</v>
      </c>
      <c r="BK5" s="16">
        <f>IF(SUM(AV5:AW5,AY5)-AX5&gt;0,SUM(AV5:AW5,AY5)-AX5,"")</f>
        <v>26.5</v>
      </c>
      <c r="BL5" s="16">
        <f>IF(SUM(BJ5:BK5)&gt;0,SUM(BJ5:BK5),"")</f>
        <v>58.3</v>
      </c>
      <c r="BM5" s="16">
        <f>IF(SUM(AZ5:BA5,BC5:BE5,BG5)-SUM(BB5,BF5)&gt;0,SUM(AZ5:BA5,BC5:BE5,BG5)-SUM(BB5,BF5),"")</f>
        <v>59.099999999999994</v>
      </c>
      <c r="BN5" s="16">
        <f>IF(SUM(BL5,BM5)&gt;0,SUM(BL5,BM5),"")</f>
        <v>117.39999999999999</v>
      </c>
      <c r="BO5" s="47">
        <v>25.6</v>
      </c>
      <c r="BP5" s="47">
        <v>6.5</v>
      </c>
      <c r="BQ5" s="47">
        <v>0</v>
      </c>
      <c r="BR5" s="47">
        <v>1</v>
      </c>
      <c r="BS5" s="47">
        <v>25.3</v>
      </c>
      <c r="BT5" s="47">
        <v>4.3</v>
      </c>
      <c r="BU5" s="47">
        <v>0</v>
      </c>
      <c r="BV5" s="47">
        <v>0</v>
      </c>
      <c r="BW5" s="47">
        <v>23.7</v>
      </c>
      <c r="BX5" s="47">
        <v>3.3</v>
      </c>
      <c r="BY5" s="47">
        <v>0</v>
      </c>
      <c r="BZ5" s="47">
        <v>1</v>
      </c>
      <c r="CA5" s="47">
        <v>25.6</v>
      </c>
      <c r="CB5" s="47">
        <v>1.5</v>
      </c>
      <c r="CC5" s="47">
        <v>0</v>
      </c>
      <c r="CD5" s="47">
        <v>0</v>
      </c>
      <c r="CE5" s="13">
        <f>IF(SUM(BP5,BT5)&gt;0,SUM(BP5,BT5),"")</f>
        <v>10.8</v>
      </c>
      <c r="CF5" s="13">
        <f>IF(SUM(BX5,CB5)&gt;0,SUM(BX5,CB5),"")</f>
        <v>4.8</v>
      </c>
      <c r="CG5" s="13">
        <f>IF(SUM(BO5:BP5,BR5)-BQ5&gt;0,SUM(BO5:BP5,BR5)-BQ5,"")</f>
        <v>33.1</v>
      </c>
      <c r="CH5" s="13">
        <f>IF(SUM(BS5:BT5,BV5)-BU5&gt;0,SUM(BS5:BT5,BV5)-BU5,"")</f>
        <v>29.6</v>
      </c>
      <c r="CI5" s="13">
        <f>IF(SUM(CG5:CH5)&gt;0,SUM(CG5:CH5),"")</f>
        <v>62.7</v>
      </c>
      <c r="CJ5" s="13">
        <f>IF(SUM(BW5:BX5,BZ5:CB5,CD5)-SUM(BY5,CC5)&gt;0,SUM(BW5:BX5,BZ5:CB5,CD5)-SUM(BY5,CC5),"")</f>
        <v>55.1</v>
      </c>
      <c r="CK5" s="13">
        <f>IF(SUM(CI5,CJ5)&gt;0,SUM(CI5,CJ5),"")</f>
        <v>117.80000000000001</v>
      </c>
      <c r="CL5" s="30" t="str">
        <f>IF(MAX(DG5,ED5,FA5,FX5,GU5,HR5,IO5,JL5,KI5,LF5,MC5,MZ5)-L5&gt;0.001,MAX(DG5,ED5,FA5,FX5,GU5,HR5,IO5,JL5,KI5,LF5,MC5,MZ5)-L5,"")</f>
        <v/>
      </c>
      <c r="CM5" s="30">
        <f>IF(MAX(DH5,EE5,FB5,FY5,GV5,HS5,IP5,JM5,KJ5,LG5,MD5,NA5)-N5&gt;0.001,MAX(DH5,EE5,FB5,FY5,GV5,HS5,IP5,JM5,KJ5,LG5,MD5,NA5)-N5,"")</f>
        <v>1.8999999999999986</v>
      </c>
      <c r="CN5" s="30" t="str">
        <f>IF(MAX(DJ5,EG5,FD5,GA5,GX5,HU5,IR5,JO5,KL5,LI5,MF5,NC5)-P5&gt;0.001,MAX(DJ5,EG5,FD5,GA5,GX5,HU5,IR5,JO5,KL5,LI5,MF5,NC5)-P5,"")</f>
        <v/>
      </c>
      <c r="CO5" s="47"/>
      <c r="CP5" s="47"/>
      <c r="CQ5" s="47"/>
      <c r="CR5" s="47"/>
      <c r="CS5" s="47"/>
      <c r="CT5" s="47"/>
      <c r="CU5" s="47"/>
      <c r="CV5" s="47"/>
      <c r="CW5" s="47"/>
      <c r="CX5" s="47"/>
      <c r="CY5" s="47"/>
      <c r="CZ5" s="47"/>
      <c r="DA5" s="47"/>
      <c r="DB5" s="47"/>
      <c r="DC5" s="47"/>
      <c r="DD5" s="47"/>
      <c r="DE5" s="13" t="str">
        <f>IF(SUM(CP5,CT5)&gt;0,SUM(CP5,CT5),"")</f>
        <v/>
      </c>
      <c r="DF5" s="13" t="str">
        <f>IF(SUM(CX5,DB5)&gt;0,SUM(CX5,DB5),"")</f>
        <v/>
      </c>
      <c r="DG5" s="13" t="str">
        <f>IF(SUM(CO5:CP5,CR5)-CQ5&gt;0,SUM(CO5:CP5,CR5)-CQ5,"")</f>
        <v/>
      </c>
      <c r="DH5" s="13" t="str">
        <f>IF(SUM(CS5:CT5,CV5)-CU5&gt;0,SUM(CS5:CT5,CV5)-CU5,"")</f>
        <v/>
      </c>
      <c r="DI5" s="13" t="str">
        <f>IF(SUM(DG5:DH5)&gt;0,SUM(DG5:DH5),"")</f>
        <v/>
      </c>
      <c r="DJ5" s="13" t="str">
        <f>IF(SUM(CW5:CX5,CZ5:DB5,DD5)-SUM(CY5,DC5)&gt;0,SUM(CW5:CX5,CZ5:DB5,DD5)-SUM(CY5,DC5),"")</f>
        <v/>
      </c>
      <c r="DK5" s="13" t="str">
        <f>IF(SUM(DI5,DJ5)&gt;0,SUM(DI5,DJ5),"")</f>
        <v/>
      </c>
      <c r="DL5" s="48">
        <v>23.4</v>
      </c>
      <c r="DM5" s="48">
        <v>6.5</v>
      </c>
      <c r="DN5" s="48">
        <v>0</v>
      </c>
      <c r="DO5" s="48">
        <v>0</v>
      </c>
      <c r="DP5" s="48">
        <v>24.9</v>
      </c>
      <c r="DQ5" s="48">
        <v>4.3</v>
      </c>
      <c r="DR5" s="48">
        <v>0</v>
      </c>
      <c r="DS5" s="48">
        <v>0</v>
      </c>
      <c r="DT5" s="48"/>
      <c r="DU5" s="48"/>
      <c r="DV5" s="48"/>
      <c r="DW5" s="48"/>
      <c r="DX5" s="48"/>
      <c r="DY5" s="48"/>
      <c r="DZ5" s="48"/>
      <c r="EA5" s="48"/>
      <c r="EB5" s="16">
        <f>IF(SUM(DM5,DQ5)&gt;0,SUM(DM5,DQ5),"")</f>
        <v>10.8</v>
      </c>
      <c r="EC5" s="16" t="str">
        <f>IF(SUM(DU5,DY5)&gt;0,SUM(DU5,DY5),"")</f>
        <v/>
      </c>
      <c r="ED5" s="16">
        <f>IF(SUM(DL5:DM5,DO5)-DN5&gt;0,SUM(DL5:DM5,DO5)-DN5,"")</f>
        <v>29.9</v>
      </c>
      <c r="EE5" s="16">
        <f>IF(SUM(DP5:DQ5,DS5)-DR5&gt;0,SUM(DP5:DQ5,DS5)-DR5,"")</f>
        <v>29.2</v>
      </c>
      <c r="EF5" s="16">
        <f>IF(SUM(ED5:EE5)&gt;0,SUM(ED5:EE5),"")</f>
        <v>59.099999999999994</v>
      </c>
      <c r="EG5" s="16" t="str">
        <f>IF(SUM(DT5:DU5,DW5:DY5,EA5)-SUM(DV5,DZ5)&gt;0,SUM(DT5:DU5,DW5:DY5,EA5)-SUM(DV5,DZ5),"")</f>
        <v/>
      </c>
      <c r="EH5" s="16">
        <f>IF(SUM(EF5,EG5)&gt;0,SUM(EF5,EG5),"")</f>
        <v>59.099999999999994</v>
      </c>
      <c r="EI5" s="47"/>
      <c r="EJ5" s="47"/>
      <c r="EK5" s="47"/>
      <c r="EL5" s="47"/>
      <c r="EM5" s="47"/>
      <c r="EN5" s="47"/>
      <c r="EO5" s="47"/>
      <c r="EP5" s="47"/>
      <c r="EQ5" s="47"/>
      <c r="ER5" s="47"/>
      <c r="ES5" s="47"/>
      <c r="ET5" s="47"/>
      <c r="EU5" s="47"/>
      <c r="EV5" s="47"/>
      <c r="EW5" s="47"/>
      <c r="EX5" s="47"/>
      <c r="EY5" s="13" t="str">
        <f>IF(SUM(EJ5,EN5)&gt;0,SUM(EJ5,EN5),"")</f>
        <v/>
      </c>
      <c r="EZ5" s="13" t="str">
        <f>IF(SUM(ER5,EV5)&gt;0,SUM(ER5,EV5),"")</f>
        <v/>
      </c>
      <c r="FA5" s="13" t="str">
        <f>IF(SUM(EI5:EJ5,EL5)-EK5&gt;0,SUM(EI5:EJ5,EL5)-EK5,"")</f>
        <v/>
      </c>
      <c r="FB5" s="13" t="str">
        <f>IF(SUM(EM5:EN5,EP5)-EO5&gt;0,SUM(EM5:EN5,EP5)-EO5,"")</f>
        <v/>
      </c>
      <c r="FC5" s="13" t="str">
        <f>IF(SUM(FA5:FB5)&gt;0,SUM(FA5:FB5),"")</f>
        <v/>
      </c>
      <c r="FD5" s="13" t="str">
        <f>IF(SUM(EQ5:ER5,ET5:EV5,EX5)-SUM(ES5,EW5)&gt;0,SUM(EQ5:ER5,ET5:EV5,EX5)-SUM(ES5,EW5),"")</f>
        <v/>
      </c>
      <c r="FE5" s="13" t="str">
        <f>IF(SUM(FC5,FD5)&gt;0,SUM(FC5,FD5),"")</f>
        <v/>
      </c>
      <c r="FF5" s="48"/>
      <c r="FG5" s="48"/>
      <c r="FH5" s="48"/>
      <c r="FI5" s="48"/>
      <c r="FJ5" s="48"/>
      <c r="FK5" s="48"/>
      <c r="FL5" s="48"/>
      <c r="FM5" s="48"/>
      <c r="FN5" s="48"/>
      <c r="FO5" s="48"/>
      <c r="FP5" s="48"/>
      <c r="FQ5" s="48"/>
      <c r="FR5" s="48"/>
      <c r="FS5" s="48"/>
      <c r="FT5" s="48"/>
      <c r="FU5" s="48"/>
      <c r="FV5" s="16" t="str">
        <f>IF(SUM(FG5,FK5)&gt;0,SUM(FG5,FK5),"")</f>
        <v/>
      </c>
      <c r="FW5" s="16" t="str">
        <f>IF(SUM(FO5,FS5)&gt;0,SUM(FO5,FS5),"")</f>
        <v/>
      </c>
      <c r="FX5" s="16" t="str">
        <f>IF(SUM(FF5:FG5,FI5)-FH5&gt;0,SUM(FF5:FG5,FI5)-FH5,"")</f>
        <v/>
      </c>
      <c r="FY5" s="16" t="str">
        <f>IF(SUM(FJ5:FK5,FM5)-FL5&gt;0,SUM(FJ5:FK5,FM5)-FL5,"")</f>
        <v/>
      </c>
      <c r="FZ5" s="16" t="str">
        <f>IF(SUM(FX5:FY5)&gt;0,SUM(FX5:FY5),"")</f>
        <v/>
      </c>
      <c r="GA5" s="16" t="str">
        <f>IF(SUM(FN5:FO5,FQ5:FS5,FU5)-SUM(FP5,FT5)&gt;0,SUM(FN5:FO5,FQ5:FS5,FU5)-SUM(FP5,FT5),"")</f>
        <v/>
      </c>
      <c r="GB5" s="16" t="str">
        <f>IF(SUM(FZ5,GA5)&gt;0,SUM(FZ5,GA5),"")</f>
        <v/>
      </c>
      <c r="GC5" s="47"/>
      <c r="GD5" s="47"/>
      <c r="GE5" s="47"/>
      <c r="GF5" s="47"/>
      <c r="GG5" s="47"/>
      <c r="GH5" s="47"/>
      <c r="GI5" s="47"/>
      <c r="GJ5" s="47"/>
      <c r="GK5" s="47"/>
      <c r="GL5" s="47"/>
      <c r="GM5" s="47"/>
      <c r="GN5" s="47"/>
      <c r="GO5" s="47"/>
      <c r="GP5" s="47"/>
      <c r="GQ5" s="47"/>
      <c r="GR5" s="47"/>
      <c r="GS5" s="13" t="str">
        <f>IF(SUM(GD5,GH5)&gt;0,SUM(GD5,GH5),"")</f>
        <v/>
      </c>
      <c r="GT5" s="13" t="str">
        <f>IF(SUM(GL5,GP5)&gt;0,SUM(GL5,GP5),"")</f>
        <v/>
      </c>
      <c r="GU5" s="13" t="str">
        <f>IF(SUM(GC5:GD5,GF5)-GE5&gt;0,SUM(GC5:GD5,GF5)-GE5,"")</f>
        <v/>
      </c>
      <c r="GV5" s="13" t="str">
        <f>IF(SUM(GG5:GH5,GJ5)-GI5&gt;0,SUM(GG5:GH5,GJ5)-GI5,"")</f>
        <v/>
      </c>
      <c r="GW5" s="13" t="str">
        <f>IF(SUM(GU5:GV5)&gt;0,SUM(GU5:GV5),"")</f>
        <v/>
      </c>
      <c r="GX5" s="13" t="str">
        <f>IF(SUM(GK5:GL5,GN5:GP5,GR5)-SUM(GM5,GQ5)&gt;0,SUM(GK5:GL5,GN5:GP5,GR5)-SUM(GM5,GQ5),"")</f>
        <v/>
      </c>
      <c r="GY5" s="13" t="str">
        <f>IF(SUM(GW5,GX5)&gt;0,SUM(GW5,GX5),"")</f>
        <v/>
      </c>
      <c r="GZ5" s="48"/>
      <c r="HA5" s="48"/>
      <c r="HB5" s="48"/>
      <c r="HC5" s="48"/>
      <c r="HD5" s="48"/>
      <c r="HE5" s="48"/>
      <c r="HF5" s="48"/>
      <c r="HG5" s="48"/>
      <c r="HH5" s="48"/>
      <c r="HI5" s="48"/>
      <c r="HJ5" s="48"/>
      <c r="HK5" s="48"/>
      <c r="HL5" s="48"/>
      <c r="HM5" s="48"/>
      <c r="HN5" s="48"/>
      <c r="HO5" s="48"/>
      <c r="HP5" s="16" t="str">
        <f>IF(SUM(HA5,HE5)&gt;0,SUM(HA5,HE5),"")</f>
        <v/>
      </c>
      <c r="HQ5" s="16" t="str">
        <f>IF(SUM(HI5,HM5)&gt;0,SUM(HI5,HM5),"")</f>
        <v/>
      </c>
      <c r="HR5" s="16" t="str">
        <f>IF(SUM(GZ5:HA5,HC5)-HB5&gt;0,SUM(GZ5:HA5,HC5)-HB5,"")</f>
        <v/>
      </c>
      <c r="HS5" s="16" t="str">
        <f>IF(SUM(HD5:HE5,HG5)-HF5&gt;0,SUM(HD5:HE5,HG5)-HF5,"")</f>
        <v/>
      </c>
      <c r="HT5" s="16" t="str">
        <f>IF(SUM(HR5:HS5)&gt;0,SUM(HR5:HS5),"")</f>
        <v/>
      </c>
      <c r="HU5" s="16" t="str">
        <f>IF(SUM(HH5:HI5,HK5:HM5,HO5)-SUM(HJ5,HN5)&gt;0,SUM(HH5:HI5,HK5:HM5,HO5)-SUM(HJ5,HN5),"")</f>
        <v/>
      </c>
      <c r="HV5" s="16" t="str">
        <f>IF(SUM(HT5,HU5)&gt;0,SUM(HT5,HU5),"")</f>
        <v/>
      </c>
      <c r="HW5" s="47"/>
      <c r="HX5" s="47"/>
      <c r="HY5" s="47"/>
      <c r="HZ5" s="47"/>
      <c r="IA5" s="47"/>
      <c r="IB5" s="47"/>
      <c r="IC5" s="47"/>
      <c r="ID5" s="47"/>
      <c r="IE5" s="47"/>
      <c r="IF5" s="47"/>
      <c r="IG5" s="47"/>
      <c r="IH5" s="47"/>
      <c r="II5" s="47"/>
      <c r="IJ5" s="47"/>
      <c r="IK5" s="47"/>
      <c r="IL5" s="47"/>
      <c r="IM5" s="13" t="str">
        <f>IF(SUM(HX5,IB5)&gt;0,SUM(HX5,IB5),"")</f>
        <v/>
      </c>
      <c r="IN5" s="13" t="str">
        <f>IF(SUM(IF5,IJ5)&gt;0,SUM(IF5,IJ5),"")</f>
        <v/>
      </c>
      <c r="IO5" s="13" t="str">
        <f>IF(SUM(HW5:HX5,HZ5)-HY5&gt;0,SUM(HW5:HX5,HZ5)-HY5,"")</f>
        <v/>
      </c>
      <c r="IP5" s="13" t="str">
        <f>IF(SUM(IA5:IB5,ID5)-IC5&gt;0,SUM(IA5:IB5,ID5)-IC5,"")</f>
        <v/>
      </c>
      <c r="IQ5" s="13" t="str">
        <f>IF(SUM(IO5:IP5)&gt;0,SUM(IO5:IP5),"")</f>
        <v/>
      </c>
      <c r="IR5" s="13" t="str">
        <f>IF(SUM(IE5:IF5,IH5:IJ5,IL5)-SUM(IG5,IK5)&gt;0,SUM(IE5:IF5,IH5:IJ5,IL5)-SUM(IG5,IK5),"")</f>
        <v/>
      </c>
      <c r="IS5" s="13" t="str">
        <f>IF(SUM(IQ5,IR5)&gt;0,SUM(IQ5,IR5),"")</f>
        <v/>
      </c>
      <c r="IT5" s="48"/>
      <c r="IU5" s="48"/>
      <c r="IV5" s="48"/>
      <c r="IW5" s="48"/>
      <c r="IX5" s="48"/>
      <c r="IY5" s="48"/>
      <c r="IZ5" s="48"/>
      <c r="JA5" s="48"/>
      <c r="JB5" s="48"/>
      <c r="JC5" s="48"/>
      <c r="JD5" s="48"/>
      <c r="JE5" s="48"/>
      <c r="JF5" s="48"/>
      <c r="JG5" s="48"/>
      <c r="JH5" s="48"/>
      <c r="JI5" s="48"/>
      <c r="JJ5" s="16" t="str">
        <f>IF(SUM(IU5,IY5)&gt;0,SUM(IU5,IY5),"")</f>
        <v/>
      </c>
      <c r="JK5" s="16" t="str">
        <f>IF(SUM(JC5,JG5)&gt;0,SUM(JC5,JG5),"")</f>
        <v/>
      </c>
      <c r="JL5" s="16" t="str">
        <f>IF(SUM(IT5:IU5,IW5)-IV5&gt;0,SUM(IT5:IU5,IW5)-IV5,"")</f>
        <v/>
      </c>
      <c r="JM5" s="16" t="str">
        <f>IF(SUM(IX5:IY5,JA5)-IZ5&gt;0,SUM(IX5:IY5,JA5)-IZ5,"")</f>
        <v/>
      </c>
      <c r="JN5" s="16" t="str">
        <f>IF(SUM(JL5:JM5)&gt;0,SUM(JL5:JM5),"")</f>
        <v/>
      </c>
      <c r="JO5" s="16" t="str">
        <f>IF(SUM(JB5:JC5,JE5:JG5,JI5)-SUM(JD5,JH5)&gt;0,SUM(JB5:JC5,JE5:JG5,JI5)-SUM(JD5,JH5),"")</f>
        <v/>
      </c>
      <c r="JP5" s="16" t="str">
        <f>IF(SUM(JN5,JO5)&gt;0,SUM(JN5,JO5),"")</f>
        <v/>
      </c>
      <c r="JQ5" s="47"/>
      <c r="JR5" s="47"/>
      <c r="JS5" s="47"/>
      <c r="JT5" s="47"/>
      <c r="JU5" s="47"/>
      <c r="JV5" s="47"/>
      <c r="JW5" s="47"/>
      <c r="JX5" s="47"/>
      <c r="JY5" s="47"/>
      <c r="JZ5" s="47"/>
      <c r="KA5" s="47"/>
      <c r="KB5" s="47"/>
      <c r="KC5" s="47"/>
      <c r="KD5" s="47"/>
      <c r="KE5" s="47"/>
      <c r="KF5" s="47"/>
      <c r="KG5" s="13" t="str">
        <f>IF(SUM(JR5,JV5)&gt;0,SUM(JR5,JV5),"")</f>
        <v/>
      </c>
      <c r="KH5" s="13" t="str">
        <f>IF(SUM(JZ5,KD5)&gt;0,SUM(JZ5,KD5),"")</f>
        <v/>
      </c>
      <c r="KI5" s="13" t="str">
        <f>IF(SUM(JQ5:JR5,JT5)-JS5&gt;0,SUM(JQ5:JR5,JT5)-JS5,"")</f>
        <v/>
      </c>
      <c r="KJ5" s="13" t="str">
        <f>IF(SUM(JU5:JV5,JX5)-JW5&gt;0,SUM(JU5:JV5,JX5)-JW5,"")</f>
        <v/>
      </c>
      <c r="KK5" s="13" t="str">
        <f>IF(SUM(KI5:KJ5)&gt;0,SUM(KI5:KJ5),"")</f>
        <v/>
      </c>
      <c r="KL5" s="13" t="str">
        <f>IF(SUM(JY5:JZ5,KB5:KD5,KF5)-SUM(KA5,KE5)&gt;0,SUM(JY5:JZ5,KB5:KD5,KF5)-SUM(KA5,KE5),"")</f>
        <v/>
      </c>
      <c r="KM5" s="13" t="str">
        <f>IF(SUM(KK5,KL5)&gt;0,SUM(KK5,KL5),"")</f>
        <v/>
      </c>
      <c r="KN5" s="48"/>
      <c r="KO5" s="48"/>
      <c r="KP5" s="48"/>
      <c r="KQ5" s="48"/>
      <c r="KR5" s="48"/>
      <c r="KS5" s="48"/>
      <c r="KT5" s="48"/>
      <c r="KU5" s="48"/>
      <c r="KV5" s="48"/>
      <c r="KW5" s="48"/>
      <c r="KX5" s="48"/>
      <c r="KY5" s="48"/>
      <c r="KZ5" s="48"/>
      <c r="LA5" s="48"/>
      <c r="LB5" s="48"/>
      <c r="LC5" s="48"/>
      <c r="LD5" s="16" t="str">
        <f>IF(SUM(KO5,KS5)&gt;0,SUM(KO5,KS5),"")</f>
        <v/>
      </c>
      <c r="LE5" s="16" t="str">
        <f>IF(SUM(KW5,LA5)&gt;0,SUM(KW5,LA5),"")</f>
        <v/>
      </c>
      <c r="LF5" s="16" t="str">
        <f>IF(SUM(KN5:KO5,KQ5)-KP5&gt;0,SUM(KN5:KO5,KQ5)-KP5,"")</f>
        <v/>
      </c>
      <c r="LG5" s="16" t="str">
        <f>IF(SUM(KR5:KS5,KU5)-KT5&gt;0,SUM(KR5:KS5,KU5)-KT5,"")</f>
        <v/>
      </c>
      <c r="LH5" s="16" t="str">
        <f>IF(SUM(LF5:LG5)&gt;0,SUM(LF5:LG5),"")</f>
        <v/>
      </c>
      <c r="LI5" s="16" t="str">
        <f>IF(SUM(KV5:KW5,KY5:LA5,LC5)-SUM(KX5,LB5)&gt;0,SUM(KV5:KW5,KY5:LA5,LC5)-SUM(KX5,LB5),"")</f>
        <v/>
      </c>
      <c r="LJ5" s="16" t="str">
        <f>IF(SUM(LH5,LI5)&gt;0,SUM(LH5,LI5),"")</f>
        <v/>
      </c>
      <c r="LK5" s="47"/>
      <c r="LL5" s="47"/>
      <c r="LM5" s="47"/>
      <c r="LN5" s="47"/>
      <c r="LO5" s="47"/>
      <c r="LP5" s="47"/>
      <c r="LQ5" s="47"/>
      <c r="LR5" s="47"/>
      <c r="LS5" s="47"/>
      <c r="LT5" s="47"/>
      <c r="LU5" s="47"/>
      <c r="LV5" s="47"/>
      <c r="LW5" s="47"/>
      <c r="LX5" s="47"/>
      <c r="LY5" s="47"/>
      <c r="LZ5" s="47"/>
      <c r="MA5" s="13" t="str">
        <f>IF(SUM(LL5,LP5)&gt;0,SUM(LL5,LP5),"")</f>
        <v/>
      </c>
      <c r="MB5" s="13" t="str">
        <f>IF(SUM(LT5,LX5)&gt;0,SUM(LT5,LX5),"")</f>
        <v/>
      </c>
      <c r="MC5" s="13" t="str">
        <f>IF(SUM(LK5:LL5,LN5)-LM5&gt;0,SUM(LK5:LL5,LN5)-LM5,"")</f>
        <v/>
      </c>
      <c r="MD5" s="13" t="str">
        <f>IF(SUM(LO5:LP5,LR5)-LQ5&gt;0,SUM(LO5:LP5,LR5)-LQ5,"")</f>
        <v/>
      </c>
      <c r="ME5" s="13" t="str">
        <f>IF(SUM(MC5:MD5)&gt;0,SUM(MC5:MD5),"")</f>
        <v/>
      </c>
      <c r="MF5" s="13" t="str">
        <f>IF(SUM(LS5:LT5,LV5:LX5,LZ5)-SUM(LU5,LY5)&gt;0,SUM(LS5:LT5,LV5:LX5,LZ5)-SUM(LU5,LY5),"")</f>
        <v/>
      </c>
      <c r="MG5" s="13" t="str">
        <f>IF(SUM(ME5,MF5)&gt;0,SUM(ME5,MF5),"")</f>
        <v/>
      </c>
      <c r="MH5" s="48"/>
      <c r="MI5" s="48"/>
      <c r="MJ5" s="48"/>
      <c r="MK5" s="48"/>
      <c r="ML5" s="48"/>
      <c r="MM5" s="48"/>
      <c r="MN5" s="48"/>
      <c r="MO5" s="48"/>
      <c r="MP5" s="48"/>
      <c r="MQ5" s="48"/>
      <c r="MR5" s="48"/>
      <c r="MS5" s="48"/>
      <c r="MT5" s="48"/>
      <c r="MU5" s="48"/>
      <c r="MV5" s="48"/>
      <c r="MW5" s="48"/>
      <c r="MX5" s="16" t="str">
        <f>IF(SUM(MI5,MM5)&gt;0,SUM(MI5,MM5),"")</f>
        <v/>
      </c>
      <c r="MY5" s="16" t="str">
        <f>IF(SUM(MQ5,MU5)&gt;0,SUM(MQ5,MU5),"")</f>
        <v/>
      </c>
      <c r="MZ5" s="16" t="str">
        <f>IF(SUM(MH5:MI5,MK5)-MJ5&gt;0,SUM(MH5:MI5,MK5)-MJ5,"")</f>
        <v/>
      </c>
      <c r="NA5" s="16" t="str">
        <f>IF(SUM(ML5:MM5,MO5)-MN5&gt;0,SUM(ML5:MM5,MO5)-MN5,"")</f>
        <v/>
      </c>
      <c r="NB5" s="16" t="str">
        <f>IF(SUM(MZ5:NA5)&gt;0,SUM(MZ5:NA5),"")</f>
        <v/>
      </c>
      <c r="NC5" s="16" t="str">
        <f>IF(SUM(MP5:MQ5,MS5:MU5,MW5)-SUM(MR5,MV5)&gt;0,SUM(MP5:MQ5,MS5:MU5,MW5)-SUM(MR5,MV5),"")</f>
        <v/>
      </c>
      <c r="ND5" s="16" t="str">
        <f>IF(SUM(NB5,NC5)&gt;0,SUM(NB5,NC5),"")</f>
        <v/>
      </c>
    </row>
    <row r="6" spans="1:368" x14ac:dyDescent="0.2">
      <c r="A6" s="6">
        <f>IF(AND(F6="P",H6="P"),SUMPRODUCT((F$4:F$8="P")*(H$4:H$8="P")*(E$4:E$8&gt;E6))+1,IF(H6="P",SUMPRODUCT((F$4:F$8="")*(H$4:H$8="P")*(E$4:E$8&gt;E6))+1+SUMPRODUCT((F$4:F$8="P")*(H$4:H$8="P")),""))</f>
        <v>3</v>
      </c>
      <c r="B6" s="7" t="s">
        <v>83</v>
      </c>
      <c r="C6" s="8" t="s">
        <v>13</v>
      </c>
      <c r="D6" s="33">
        <v>2016</v>
      </c>
      <c r="E6" s="17">
        <f>SUM(J6:R6)</f>
        <v>185.3</v>
      </c>
      <c r="F6" s="4" t="str">
        <f>IF(OR(AND($AK6&gt;=$AL$11,NOT($AK6="")),AND($BH6&gt;=$BI$11,NOT($BH6="")),AND($CE6&gt;=$CF$11,NOT($CE6=""))),"P","")</f>
        <v/>
      </c>
      <c r="G6" s="4" t="str">
        <f>IF(OR(AND($AK6&gt;=$AL$12,NOT($AK6="")),AND($BH6&gt;=$BI$12,NOT($BH6="")),AND($CE6&gt;=$CF$12,NOT($CE6=""))),"P","")</f>
        <v/>
      </c>
      <c r="H6" s="4" t="str">
        <f>IF(OR(AND($AO6&gt;=$AL$13,NOT($AO6="")),AND($BL6&gt;=$BI$13,NOT($BL6="")),AND($CI6&gt;=$CF$13,NOT($CI6=""))),"P","")</f>
        <v>P</v>
      </c>
      <c r="I6" t="str">
        <f>IF(AND(G6="P",OR(AND($AO6&gt;=$AL$16,NOT($AO6="")),AND($BL6&gt;=$BI$16,NOT($BL6="")),AND($CI6&gt;=$CF$16,NOT($CI6="")))),"Merit",IF(AND(G6="P",OR(AND($AO6&gt;=$AL$15,NOT($AO6="")),AND($BL6&gt;=$BI$15,NOT($BL6="")),AND($CI6&gt;=$CF$15,NOT($CI6="")))),"Funding",IF(AND(G6="P",OR(AND($AO6&gt;=$AL$14,NOT($AO6="")),AND($BL6&gt;=$BI$14,NOT($BL6="")),AND($CI6&gt;=$CF$14,NOT($CI6="")))),"Worlds Team",IF(AND(F6="P",OR(AND($AO6&gt;=$AL$13,NOT($AO6="")),AND($BL6&gt;=$BI$13,NOT($BL6="")),AND($CI6&gt;=$CF$13,NOT($CI6="")))),"National Team",""))))</f>
        <v/>
      </c>
      <c r="J6" s="16">
        <f>MAX(AO6,BL6,CI6)</f>
        <v>61.2</v>
      </c>
      <c r="K6" s="16" t="str">
        <f>IF(J6=CI6,$BO$1,IF(J6=BL6,$AR$1,IF(J6=AO6,$U$1,"")))</f>
        <v>2018 Nationals</v>
      </c>
      <c r="L6" s="16">
        <f>IF($J6=$AO6,MAX(BJ6,CG6),IF($J6=$BL6,MAX(AM6,CG6),MAX(AM6,BJ6)))</f>
        <v>32.4</v>
      </c>
      <c r="M6" s="16" t="str">
        <f>IF(L6=CG6,$BO$1,IF(L6=BJ6,$AR$1,IF(L6=AM6,$U$1,"")))</f>
        <v>2018 Canada Cup</v>
      </c>
      <c r="N6" s="16">
        <f>IF($J6=$AO6,MAX(BK6,CH6),IF($J6=$BL6,MAX(AN6,CH6),MAX(AN6,BK6)))</f>
        <v>29.900000000000002</v>
      </c>
      <c r="O6" s="16" t="str">
        <f>IF(N6=CH6,$BO$1,IF(N6=BK6,$AR$1,IF(N6=AN6,$U$1,"")))</f>
        <v>2017 3rd Domestic Trial</v>
      </c>
      <c r="P6" s="16">
        <f>MAX(AP6,BM6,CJ6)</f>
        <v>61.800000000000004</v>
      </c>
      <c r="Q6" s="16" t="str">
        <f>IF(P6=CJ6,$BO$1,IF(P6=BM6,$AR$1,IF(P6=AP6,$U$1,"")))</f>
        <v>2018 Canada Cup</v>
      </c>
      <c r="R6" s="16" t="str">
        <f>IF(MAX(CL6:CN6)&gt;0,MAX(CL6:CN6),"")</f>
        <v/>
      </c>
      <c r="S6" s="31" t="str">
        <f>IF(R6="","",IF(R6=CL6,"(Pass 1)",IF(R6=CM6,"(Pass 2)",IF(R6=CN6,"(Final)"))))</f>
        <v/>
      </c>
      <c r="T6" s="16" t="str">
        <f>IF(R6="","",IF(R6=CL6,IF(R6+L6=MZ6,$MH$1,IF(R6+L6=MC6,$LK$1,IF(R6+L6=LF6,$KN$1,IF(R6+L6=KI6,$JQ$1,IF(R6+L6=JL6,$IT$1,IF(R6+L6=IO6,$HW$1,IF(R6+L6=HR6,$GZ$1,IF(R6+L6=GU6,$GC$1,IF(R6+L6=FX6,$FF$1,IF(R6+L6=FA6,$EI$1,IF(R6+L6=ED6,$DL$1,IF(R6+L6=DG6,$CO$1)))))))))))),IF(R6=CM6,IF(R6+N6=NA6,$MH$1,IF(R6+N6=MD6,$LK$1,IF(R6+N6=LG6,$KN$1,IF(R6+N6=KJ6,$JQ$1,IF(R6+N6=JM6,$IT$1,IF(R6+N6=IP6,$HW$1,IF(R6+N6=HS6,$GZ$1,IF(R6+N6=GV6,$GC$1,IF(R6+N6=FY6,$FF$1,IF(R6+N6=FB6,$EI$1,IF(R6+N6=EE6,$DL$1,IF(R6+N6=DH6,$CO$1)))))))))))),IF(R6=CN6,IF(R6+P6=NC6,$MH$1,IF(R6+P6=MF6,$LK$1,IF(R6+P6=LI6,$KN$1,IF(R6+P6=KL6,$JQ$1,IF(R6+P6=JO6,$IT$1,IF(R6+P6=IR6,$HW$1,IF(R6+P6=HU6,$GZ$1,IF(R6+P6=GX6,$GC$1,IF(R6+P6=GA6,$FF$1,IF(R6+P6=FD6,$EI$1,IF(R6+P6=EG6,$DL$1,IF(R6+P6=DJ6,$CO$1))))))))))))))))</f>
        <v/>
      </c>
      <c r="U6" s="51">
        <v>17</v>
      </c>
      <c r="V6" s="51">
        <v>2.6</v>
      </c>
      <c r="W6" s="51">
        <v>0</v>
      </c>
      <c r="X6" s="51">
        <v>0</v>
      </c>
      <c r="Y6" s="51">
        <v>25.6</v>
      </c>
      <c r="Z6" s="51">
        <v>4.3</v>
      </c>
      <c r="AA6" s="51">
        <v>0</v>
      </c>
      <c r="AB6" s="51">
        <v>0</v>
      </c>
      <c r="AC6" s="51"/>
      <c r="AD6" s="51"/>
      <c r="AE6" s="51"/>
      <c r="AF6" s="51"/>
      <c r="AG6" s="51"/>
      <c r="AH6" s="51"/>
      <c r="AI6" s="51"/>
      <c r="AJ6" s="51"/>
      <c r="AK6" s="13">
        <f>IF(SUM(V6,Z6)&gt;0,SUM(V6,Z6),"")</f>
        <v>6.9</v>
      </c>
      <c r="AL6" s="13" t="str">
        <f>IF(SUM(AD6,AH6)&gt;0,SUM(AD6,AH6),"")</f>
        <v/>
      </c>
      <c r="AM6" s="13">
        <f>IF(SUM(U6:V6,X6)-W6&gt;0,SUM(U6:V6,X6)-W6,"")</f>
        <v>19.600000000000001</v>
      </c>
      <c r="AN6" s="13">
        <f>IF(SUM(Y6:Z6,AB6)-AA6&gt;0,SUM(Y6:Z6,AB6)-AA6,"")</f>
        <v>29.900000000000002</v>
      </c>
      <c r="AO6" s="13">
        <f>IF(SUM(AM6:AN6)&gt;0,SUM(AM6:AN6),"")</f>
        <v>49.5</v>
      </c>
      <c r="AP6" s="13" t="str">
        <f>IF(SUM(AC6:AD6,AF6:AH6,AJ6)-SUM(AE6,AI6)&gt;0,SUM(AC6:AD6,AF6:AH6,AJ6)-SUM(AE6,AI6),"")</f>
        <v/>
      </c>
      <c r="AQ6" s="13">
        <f>IF(SUM(AO6,AP6)&gt;0,SUM(AO6,AP6),"")</f>
        <v>49.5</v>
      </c>
      <c r="AR6" s="48">
        <v>28.8</v>
      </c>
      <c r="AS6" s="48">
        <v>3.6</v>
      </c>
      <c r="AT6" s="48">
        <v>0</v>
      </c>
      <c r="AU6" s="48">
        <v>0</v>
      </c>
      <c r="AV6" s="48">
        <v>26.4</v>
      </c>
      <c r="AW6" s="48">
        <v>1.9</v>
      </c>
      <c r="AX6" s="48">
        <v>3</v>
      </c>
      <c r="AY6" s="48">
        <v>0</v>
      </c>
      <c r="AZ6" s="48">
        <v>28</v>
      </c>
      <c r="BA6" s="48">
        <v>3.6</v>
      </c>
      <c r="BB6" s="48">
        <v>0</v>
      </c>
      <c r="BC6" s="48">
        <v>0</v>
      </c>
      <c r="BD6" s="48">
        <v>26.6</v>
      </c>
      <c r="BE6" s="48">
        <v>3.6</v>
      </c>
      <c r="BF6" s="48">
        <v>0</v>
      </c>
      <c r="BG6" s="48">
        <v>0</v>
      </c>
      <c r="BH6" s="16">
        <f>IF(SUM(AS6,AW6)&gt;0,SUM(AS6,AW6),"")</f>
        <v>5.5</v>
      </c>
      <c r="BI6" s="16">
        <f>IF(SUM(BA6,BE6)&gt;0,SUM(BA6,BE6),"")</f>
        <v>7.2</v>
      </c>
      <c r="BJ6" s="16">
        <f>IF(SUM(AR6:AS6,AU6)-AT6&gt;0,SUM(AR6:AS6,AU6)-AT6,"")</f>
        <v>32.4</v>
      </c>
      <c r="BK6" s="16">
        <f>IF(SUM(AV6:AW6,AY6)-AX6&gt;0,SUM(AV6:AW6,AY6)-AX6,"")</f>
        <v>25.299999999999997</v>
      </c>
      <c r="BL6" s="16">
        <f>IF(SUM(BJ6:BK6)&gt;0,SUM(BJ6:BK6),"")</f>
        <v>57.699999999999996</v>
      </c>
      <c r="BM6" s="16">
        <f>IF(SUM(AZ6:BA6,BC6:BE6,BG6)-SUM(BB6,BF6)&gt;0,SUM(AZ6:BA6,BC6:BE6,BG6)-SUM(BB6,BF6),"")</f>
        <v>61.800000000000004</v>
      </c>
      <c r="BN6" s="16">
        <f>IF(SUM(BL6,BM6)&gt;0,SUM(BL6,BM6),"")</f>
        <v>119.5</v>
      </c>
      <c r="BO6" s="47">
        <v>27.8</v>
      </c>
      <c r="BP6" s="47">
        <v>3.6</v>
      </c>
      <c r="BQ6" s="47">
        <v>0</v>
      </c>
      <c r="BR6" s="47">
        <v>0</v>
      </c>
      <c r="BS6" s="47">
        <v>25.8</v>
      </c>
      <c r="BT6" s="47">
        <v>4.3</v>
      </c>
      <c r="BU6" s="47">
        <v>0.3</v>
      </c>
      <c r="BV6" s="47">
        <v>0</v>
      </c>
      <c r="BW6" s="47"/>
      <c r="BX6" s="47"/>
      <c r="BY6" s="47"/>
      <c r="BZ6" s="47"/>
      <c r="CA6" s="47"/>
      <c r="CB6" s="47"/>
      <c r="CC6" s="47"/>
      <c r="CD6" s="47"/>
      <c r="CE6" s="13">
        <f>IF(SUM(BP6,BT6)&gt;0,SUM(BP6,BT6),"")</f>
        <v>7.9</v>
      </c>
      <c r="CF6" s="13" t="str">
        <f>IF(SUM(BX6,CB6)&gt;0,SUM(BX6,CB6),"")</f>
        <v/>
      </c>
      <c r="CG6" s="13">
        <f>IF(SUM(BO6:BP6,BR6)-BQ6&gt;0,SUM(BO6:BP6,BR6)-BQ6,"")</f>
        <v>31.400000000000002</v>
      </c>
      <c r="CH6" s="13">
        <f>IF(SUM(BS6:BT6,BV6)-BU6&gt;0,SUM(BS6:BT6,BV6)-BU6,"")</f>
        <v>29.8</v>
      </c>
      <c r="CI6" s="13">
        <f>IF(SUM(CG6:CH6)&gt;0,SUM(CG6:CH6),"")</f>
        <v>61.2</v>
      </c>
      <c r="CJ6" s="13" t="str">
        <f>IF(SUM(BW6:BX6,BZ6:CB6,CD6)-SUM(BY6,CC6)&gt;0,SUM(BW6:BX6,BZ6:CB6,CD6)-SUM(BY6,CC6),"")</f>
        <v/>
      </c>
      <c r="CK6" s="13">
        <f>IF(SUM(CI6,CJ6)&gt;0,SUM(CI6,CJ6),"")</f>
        <v>61.2</v>
      </c>
      <c r="CL6" s="30" t="str">
        <f>IF(MAX(DG6,ED6,FA6,FX6,GU6,HR6,IO6,JL6,KI6,LF6,MC6,MZ6)-L6&gt;0.001,MAX(DG6,ED6,FA6,FX6,GU6,HR6,IO6,JL6,KI6,LF6,MC6,MZ6)-L6,"")</f>
        <v/>
      </c>
      <c r="CM6" s="30" t="str">
        <f>IF(MAX(DH6,EE6,FB6,FY6,GV6,HS6,IP6,JM6,KJ6,LG6,MD6,NA6)-N6&gt;0.001,MAX(DH6,EE6,FB6,FY6,GV6,HS6,IP6,JM6,KJ6,LG6,MD6,NA6)-N6,"")</f>
        <v/>
      </c>
      <c r="CN6" s="30" t="str">
        <f>IF(MAX(DJ6,EG6,FD6,GA6,GX6,HU6,IR6,JO6,KL6,LI6,MF6,NC6)-P6&gt;0.001,MAX(DJ6,EG6,FD6,GA6,GX6,HU6,IR6,JO6,KL6,LI6,MF6,NC6)-P6,"")</f>
        <v/>
      </c>
      <c r="CO6" s="47"/>
      <c r="CP6" s="47"/>
      <c r="CQ6" s="47"/>
      <c r="CR6" s="47"/>
      <c r="CS6" s="47"/>
      <c r="CT6" s="47"/>
      <c r="CU6" s="47"/>
      <c r="CV6" s="47"/>
      <c r="CW6" s="47"/>
      <c r="CX6" s="47"/>
      <c r="CY6" s="47"/>
      <c r="CZ6" s="47"/>
      <c r="DA6" s="47"/>
      <c r="DB6" s="47"/>
      <c r="DC6" s="47"/>
      <c r="DD6" s="47"/>
      <c r="DE6" s="13" t="str">
        <f>IF(SUM(CP6,CT6)&gt;0,SUM(CP6,CT6),"")</f>
        <v/>
      </c>
      <c r="DF6" s="13" t="str">
        <f>IF(SUM(CX6,DB6)&gt;0,SUM(CX6,DB6),"")</f>
        <v/>
      </c>
      <c r="DG6" s="13" t="str">
        <f>IF(SUM(CO6:CP6,CR6)-CQ6&gt;0,SUM(CO6:CP6,CR6)-CQ6,"")</f>
        <v/>
      </c>
      <c r="DH6" s="13" t="str">
        <f>IF(SUM(CS6:CT6,CV6)-CU6&gt;0,SUM(CS6:CT6,CV6)-CU6,"")</f>
        <v/>
      </c>
      <c r="DI6" s="13" t="str">
        <f>IF(SUM(DG6:DH6)&gt;0,SUM(DG6:DH6),"")</f>
        <v/>
      </c>
      <c r="DJ6" s="13" t="str">
        <f>IF(SUM(CW6:CX6,CZ6:DB6,DD6)-SUM(CY6,DC6)&gt;0,SUM(CW6:CX6,CZ6:DB6,DD6)-SUM(CY6,DC6),"")</f>
        <v/>
      </c>
      <c r="DK6" s="13" t="str">
        <f>IF(SUM(DI6,DJ6)&gt;0,SUM(DI6,DJ6),"")</f>
        <v/>
      </c>
      <c r="DL6" s="48"/>
      <c r="DM6" s="48"/>
      <c r="DN6" s="48"/>
      <c r="DO6" s="48"/>
      <c r="DP6" s="48"/>
      <c r="DQ6" s="48"/>
      <c r="DR6" s="48"/>
      <c r="DS6" s="48"/>
      <c r="DT6" s="48"/>
      <c r="DU6" s="48"/>
      <c r="DV6" s="48"/>
      <c r="DW6" s="48"/>
      <c r="DX6" s="48"/>
      <c r="DY6" s="48"/>
      <c r="DZ6" s="48"/>
      <c r="EA6" s="48"/>
      <c r="EB6" s="16" t="str">
        <f>IF(SUM(DM6,DQ6)&gt;0,SUM(DM6,DQ6),"")</f>
        <v/>
      </c>
      <c r="EC6" s="16" t="str">
        <f>IF(SUM(DU6,DY6)&gt;0,SUM(DU6,DY6),"")</f>
        <v/>
      </c>
      <c r="ED6" s="16" t="str">
        <f>IF(SUM(DL6:DM6,DO6)-DN6&gt;0,SUM(DL6:DM6,DO6)-DN6,"")</f>
        <v/>
      </c>
      <c r="EE6" s="16" t="str">
        <f>IF(SUM(DP6:DQ6,DS6)-DR6&gt;0,SUM(DP6:DQ6,DS6)-DR6,"")</f>
        <v/>
      </c>
      <c r="EF6" s="16" t="str">
        <f>IF(SUM(ED6:EE6)&gt;0,SUM(ED6:EE6),"")</f>
        <v/>
      </c>
      <c r="EG6" s="16" t="str">
        <f>IF(SUM(DT6:DU6,DW6:DY6,EA6)-SUM(DV6,DZ6)&gt;0,SUM(DT6:DU6,DW6:DY6,EA6)-SUM(DV6,DZ6),"")</f>
        <v/>
      </c>
      <c r="EH6" s="16" t="str">
        <f>IF(SUM(EF6,EG6)&gt;0,SUM(EF6,EG6),"")</f>
        <v/>
      </c>
      <c r="EI6" s="47"/>
      <c r="EJ6" s="47"/>
      <c r="EK6" s="47"/>
      <c r="EL6" s="47"/>
      <c r="EM6" s="47"/>
      <c r="EN6" s="47"/>
      <c r="EO6" s="47"/>
      <c r="EP6" s="47"/>
      <c r="EQ6" s="47"/>
      <c r="ER6" s="47"/>
      <c r="ES6" s="47"/>
      <c r="ET6" s="47"/>
      <c r="EU6" s="47"/>
      <c r="EV6" s="47"/>
      <c r="EW6" s="47"/>
      <c r="EX6" s="47"/>
      <c r="EY6" s="13" t="str">
        <f>IF(SUM(EJ6,EN6)&gt;0,SUM(EJ6,EN6),"")</f>
        <v/>
      </c>
      <c r="EZ6" s="13" t="str">
        <f>IF(SUM(ER6,EV6)&gt;0,SUM(ER6,EV6),"")</f>
        <v/>
      </c>
      <c r="FA6" s="13" t="str">
        <f>IF(SUM(EI6:EJ6,EL6)-EK6&gt;0,SUM(EI6:EJ6,EL6)-EK6,"")</f>
        <v/>
      </c>
      <c r="FB6" s="13" t="str">
        <f>IF(SUM(EM6:EN6,EP6)-EO6&gt;0,SUM(EM6:EN6,EP6)-EO6,"")</f>
        <v/>
      </c>
      <c r="FC6" s="13" t="str">
        <f>IF(SUM(FA6:FB6)&gt;0,SUM(FA6:FB6),"")</f>
        <v/>
      </c>
      <c r="FD6" s="13" t="str">
        <f>IF(SUM(EQ6:ER6,ET6:EV6,EX6)-SUM(ES6,EW6)&gt;0,SUM(EQ6:ER6,ET6:EV6,EX6)-SUM(ES6,EW6),"")</f>
        <v/>
      </c>
      <c r="FE6" s="13" t="str">
        <f>IF(SUM(FC6,FD6)&gt;0,SUM(FC6,FD6),"")</f>
        <v/>
      </c>
      <c r="FF6" s="48"/>
      <c r="FG6" s="48"/>
      <c r="FH6" s="48"/>
      <c r="FI6" s="48"/>
      <c r="FJ6" s="48"/>
      <c r="FK6" s="48"/>
      <c r="FL6" s="48"/>
      <c r="FM6" s="48"/>
      <c r="FN6" s="48"/>
      <c r="FO6" s="48"/>
      <c r="FP6" s="48"/>
      <c r="FQ6" s="48"/>
      <c r="FR6" s="48"/>
      <c r="FS6" s="48"/>
      <c r="FT6" s="48"/>
      <c r="FU6" s="48"/>
      <c r="FV6" s="16" t="str">
        <f>IF(SUM(FG6,FK6)&gt;0,SUM(FG6,FK6),"")</f>
        <v/>
      </c>
      <c r="FW6" s="16" t="str">
        <f>IF(SUM(FO6,FS6)&gt;0,SUM(FO6,FS6),"")</f>
        <v/>
      </c>
      <c r="FX6" s="16" t="str">
        <f>IF(SUM(FF6:FG6,FI6)-FH6&gt;0,SUM(FF6:FG6,FI6)-FH6,"")</f>
        <v/>
      </c>
      <c r="FY6" s="16" t="str">
        <f>IF(SUM(FJ6:FK6,FM6)-FL6&gt;0,SUM(FJ6:FK6,FM6)-FL6,"")</f>
        <v/>
      </c>
      <c r="FZ6" s="16" t="str">
        <f>IF(SUM(FX6:FY6)&gt;0,SUM(FX6:FY6),"")</f>
        <v/>
      </c>
      <c r="GA6" s="16" t="str">
        <f>IF(SUM(FN6:FO6,FQ6:FS6,FU6)-SUM(FP6,FT6)&gt;0,SUM(FN6:FO6,FQ6:FS6,FU6)-SUM(FP6,FT6),"")</f>
        <v/>
      </c>
      <c r="GB6" s="16" t="str">
        <f>IF(SUM(FZ6,GA6)&gt;0,SUM(FZ6,GA6),"")</f>
        <v/>
      </c>
      <c r="GC6" s="47"/>
      <c r="GD6" s="47"/>
      <c r="GE6" s="47"/>
      <c r="GF6" s="47"/>
      <c r="GG6" s="47"/>
      <c r="GH6" s="47"/>
      <c r="GI6" s="47"/>
      <c r="GJ6" s="47"/>
      <c r="GK6" s="47"/>
      <c r="GL6" s="47"/>
      <c r="GM6" s="47"/>
      <c r="GN6" s="47"/>
      <c r="GO6" s="47"/>
      <c r="GP6" s="47"/>
      <c r="GQ6" s="47"/>
      <c r="GR6" s="47"/>
      <c r="GS6" s="13" t="str">
        <f>IF(SUM(GD6,GH6)&gt;0,SUM(GD6,GH6),"")</f>
        <v/>
      </c>
      <c r="GT6" s="13" t="str">
        <f>IF(SUM(GL6,GP6)&gt;0,SUM(GL6,GP6),"")</f>
        <v/>
      </c>
      <c r="GU6" s="13" t="str">
        <f>IF(SUM(GC6:GD6,GF6)-GE6&gt;0,SUM(GC6:GD6,GF6)-GE6,"")</f>
        <v/>
      </c>
      <c r="GV6" s="13" t="str">
        <f>IF(SUM(GG6:GH6,GJ6)-GI6&gt;0,SUM(GG6:GH6,GJ6)-GI6,"")</f>
        <v/>
      </c>
      <c r="GW6" s="13" t="str">
        <f>IF(SUM(GU6:GV6)&gt;0,SUM(GU6:GV6),"")</f>
        <v/>
      </c>
      <c r="GX6" s="13" t="str">
        <f>IF(SUM(GK6:GL6,GN6:GP6,GR6)-SUM(GM6,GQ6)&gt;0,SUM(GK6:GL6,GN6:GP6,GR6)-SUM(GM6,GQ6),"")</f>
        <v/>
      </c>
      <c r="GY6" s="13" t="str">
        <f>IF(SUM(GW6,GX6)&gt;0,SUM(GW6,GX6),"")</f>
        <v/>
      </c>
      <c r="GZ6" s="48"/>
      <c r="HA6" s="48"/>
      <c r="HB6" s="48"/>
      <c r="HC6" s="48"/>
      <c r="HD6" s="48"/>
      <c r="HE6" s="48"/>
      <c r="HF6" s="48"/>
      <c r="HG6" s="48"/>
      <c r="HH6" s="48"/>
      <c r="HI6" s="48"/>
      <c r="HJ6" s="48"/>
      <c r="HK6" s="48"/>
      <c r="HL6" s="48"/>
      <c r="HM6" s="48"/>
      <c r="HN6" s="48"/>
      <c r="HO6" s="48"/>
      <c r="HP6" s="16" t="str">
        <f>IF(SUM(HA6,HE6)&gt;0,SUM(HA6,HE6),"")</f>
        <v/>
      </c>
      <c r="HQ6" s="16" t="str">
        <f>IF(SUM(HI6,HM6)&gt;0,SUM(HI6,HM6),"")</f>
        <v/>
      </c>
      <c r="HR6" s="16" t="str">
        <f>IF(SUM(GZ6:HA6,HC6)-HB6&gt;0,SUM(GZ6:HA6,HC6)-HB6,"")</f>
        <v/>
      </c>
      <c r="HS6" s="16" t="str">
        <f>IF(SUM(HD6:HE6,HG6)-HF6&gt;0,SUM(HD6:HE6,HG6)-HF6,"")</f>
        <v/>
      </c>
      <c r="HT6" s="16" t="str">
        <f>IF(SUM(HR6:HS6)&gt;0,SUM(HR6:HS6),"")</f>
        <v/>
      </c>
      <c r="HU6" s="16" t="str">
        <f>IF(SUM(HH6:HI6,HK6:HM6,HO6)-SUM(HJ6,HN6)&gt;0,SUM(HH6:HI6,HK6:HM6,HO6)-SUM(HJ6,HN6),"")</f>
        <v/>
      </c>
      <c r="HV6" s="16" t="str">
        <f>IF(SUM(HT6,HU6)&gt;0,SUM(HT6,HU6),"")</f>
        <v/>
      </c>
      <c r="HW6" s="47"/>
      <c r="HX6" s="47"/>
      <c r="HY6" s="47"/>
      <c r="HZ6" s="47"/>
      <c r="IA6" s="47"/>
      <c r="IB6" s="47"/>
      <c r="IC6" s="47"/>
      <c r="ID6" s="47"/>
      <c r="IE6" s="47"/>
      <c r="IF6" s="47"/>
      <c r="IG6" s="47"/>
      <c r="IH6" s="47"/>
      <c r="II6" s="47"/>
      <c r="IJ6" s="47"/>
      <c r="IK6" s="47"/>
      <c r="IL6" s="47"/>
      <c r="IM6" s="13" t="str">
        <f>IF(SUM(HX6,IB6)&gt;0,SUM(HX6,IB6),"")</f>
        <v/>
      </c>
      <c r="IN6" s="13" t="str">
        <f>IF(SUM(IF6,IJ6)&gt;0,SUM(IF6,IJ6),"")</f>
        <v/>
      </c>
      <c r="IO6" s="13" t="str">
        <f>IF(SUM(HW6:HX6,HZ6)-HY6&gt;0,SUM(HW6:HX6,HZ6)-HY6,"")</f>
        <v/>
      </c>
      <c r="IP6" s="13" t="str">
        <f>IF(SUM(IA6:IB6,ID6)-IC6&gt;0,SUM(IA6:IB6,ID6)-IC6,"")</f>
        <v/>
      </c>
      <c r="IQ6" s="13" t="str">
        <f>IF(SUM(IO6:IP6)&gt;0,SUM(IO6:IP6),"")</f>
        <v/>
      </c>
      <c r="IR6" s="13" t="str">
        <f>IF(SUM(IE6:IF6,IH6:IJ6,IL6)-SUM(IG6,IK6)&gt;0,SUM(IE6:IF6,IH6:IJ6,IL6)-SUM(IG6,IK6),"")</f>
        <v/>
      </c>
      <c r="IS6" s="13" t="str">
        <f>IF(SUM(IQ6,IR6)&gt;0,SUM(IQ6,IR6),"")</f>
        <v/>
      </c>
      <c r="IT6" s="48"/>
      <c r="IU6" s="48"/>
      <c r="IV6" s="48"/>
      <c r="IW6" s="48"/>
      <c r="IX6" s="48"/>
      <c r="IY6" s="48"/>
      <c r="IZ6" s="48"/>
      <c r="JA6" s="48"/>
      <c r="JB6" s="48"/>
      <c r="JC6" s="48"/>
      <c r="JD6" s="48"/>
      <c r="JE6" s="48"/>
      <c r="JF6" s="48"/>
      <c r="JG6" s="48"/>
      <c r="JH6" s="48"/>
      <c r="JI6" s="48"/>
      <c r="JJ6" s="16" t="str">
        <f>IF(SUM(IU6,IY6)&gt;0,SUM(IU6,IY6),"")</f>
        <v/>
      </c>
      <c r="JK6" s="16" t="str">
        <f>IF(SUM(JC6,JG6)&gt;0,SUM(JC6,JG6),"")</f>
        <v/>
      </c>
      <c r="JL6" s="16" t="str">
        <f>IF(SUM(IT6:IU6,IW6)-IV6&gt;0,SUM(IT6:IU6,IW6)-IV6,"")</f>
        <v/>
      </c>
      <c r="JM6" s="16" t="str">
        <f>IF(SUM(IX6:IY6,JA6)-IZ6&gt;0,SUM(IX6:IY6,JA6)-IZ6,"")</f>
        <v/>
      </c>
      <c r="JN6" s="16" t="str">
        <f>IF(SUM(JL6:JM6)&gt;0,SUM(JL6:JM6),"")</f>
        <v/>
      </c>
      <c r="JO6" s="16" t="str">
        <f>IF(SUM(JB6:JC6,JE6:JG6,JI6)-SUM(JD6,JH6)&gt;0,SUM(JB6:JC6,JE6:JG6,JI6)-SUM(JD6,JH6),"")</f>
        <v/>
      </c>
      <c r="JP6" s="16" t="str">
        <f>IF(SUM(JN6,JO6)&gt;0,SUM(JN6,JO6),"")</f>
        <v/>
      </c>
      <c r="JQ6" s="47"/>
      <c r="JR6" s="47"/>
      <c r="JS6" s="47"/>
      <c r="JT6" s="47"/>
      <c r="JU6" s="47"/>
      <c r="JV6" s="47"/>
      <c r="JW6" s="47"/>
      <c r="JX6" s="47"/>
      <c r="JY6" s="47"/>
      <c r="JZ6" s="47"/>
      <c r="KA6" s="47"/>
      <c r="KB6" s="47"/>
      <c r="KC6" s="47"/>
      <c r="KD6" s="47"/>
      <c r="KE6" s="47"/>
      <c r="KF6" s="47"/>
      <c r="KG6" s="13" t="str">
        <f>IF(SUM(JR6,JV6)&gt;0,SUM(JR6,JV6),"")</f>
        <v/>
      </c>
      <c r="KH6" s="13" t="str">
        <f>IF(SUM(JZ6,KD6)&gt;0,SUM(JZ6,KD6),"")</f>
        <v/>
      </c>
      <c r="KI6" s="13" t="str">
        <f>IF(SUM(JQ6:JR6,JT6)-JS6&gt;0,SUM(JQ6:JR6,JT6)-JS6,"")</f>
        <v/>
      </c>
      <c r="KJ6" s="13" t="str">
        <f>IF(SUM(JU6:JV6,JX6)-JW6&gt;0,SUM(JU6:JV6,JX6)-JW6,"")</f>
        <v/>
      </c>
      <c r="KK6" s="13" t="str">
        <f>IF(SUM(KI6:KJ6)&gt;0,SUM(KI6:KJ6),"")</f>
        <v/>
      </c>
      <c r="KL6" s="13" t="str">
        <f>IF(SUM(JY6:JZ6,KB6:KD6,KF6)-SUM(KA6,KE6)&gt;0,SUM(JY6:JZ6,KB6:KD6,KF6)-SUM(KA6,KE6),"")</f>
        <v/>
      </c>
      <c r="KM6" s="13" t="str">
        <f>IF(SUM(KK6,KL6)&gt;0,SUM(KK6,KL6),"")</f>
        <v/>
      </c>
      <c r="KN6" s="48"/>
      <c r="KO6" s="48"/>
      <c r="KP6" s="48"/>
      <c r="KQ6" s="48"/>
      <c r="KR6" s="48"/>
      <c r="KS6" s="48"/>
      <c r="KT6" s="48"/>
      <c r="KU6" s="48"/>
      <c r="KV6" s="48"/>
      <c r="KW6" s="48"/>
      <c r="KX6" s="48"/>
      <c r="KY6" s="48"/>
      <c r="KZ6" s="48"/>
      <c r="LA6" s="48"/>
      <c r="LB6" s="48"/>
      <c r="LC6" s="48"/>
      <c r="LD6" s="16" t="str">
        <f>IF(SUM(KO6,KS6)&gt;0,SUM(KO6,KS6),"")</f>
        <v/>
      </c>
      <c r="LE6" s="16" t="str">
        <f>IF(SUM(KW6,LA6)&gt;0,SUM(KW6,LA6),"")</f>
        <v/>
      </c>
      <c r="LF6" s="16" t="str">
        <f>IF(SUM(KN6:KO6,KQ6)-KP6&gt;0,SUM(KN6:KO6,KQ6)-KP6,"")</f>
        <v/>
      </c>
      <c r="LG6" s="16" t="str">
        <f>IF(SUM(KR6:KS6,KU6)-KT6&gt;0,SUM(KR6:KS6,KU6)-KT6,"")</f>
        <v/>
      </c>
      <c r="LH6" s="16" t="str">
        <f>IF(SUM(LF6:LG6)&gt;0,SUM(LF6:LG6),"")</f>
        <v/>
      </c>
      <c r="LI6" s="16" t="str">
        <f>IF(SUM(KV6:KW6,KY6:LA6,LC6)-SUM(KX6,LB6)&gt;0,SUM(KV6:KW6,KY6:LA6,LC6)-SUM(KX6,LB6),"")</f>
        <v/>
      </c>
      <c r="LJ6" s="16" t="str">
        <f>IF(SUM(LH6,LI6)&gt;0,SUM(LH6,LI6),"")</f>
        <v/>
      </c>
      <c r="LK6" s="47"/>
      <c r="LL6" s="47"/>
      <c r="LM6" s="47"/>
      <c r="LN6" s="47"/>
      <c r="LO6" s="47"/>
      <c r="LP6" s="47"/>
      <c r="LQ6" s="47"/>
      <c r="LR6" s="47"/>
      <c r="LS6" s="47"/>
      <c r="LT6" s="47"/>
      <c r="LU6" s="47"/>
      <c r="LV6" s="47"/>
      <c r="LW6" s="47"/>
      <c r="LX6" s="47"/>
      <c r="LY6" s="47"/>
      <c r="LZ6" s="47"/>
      <c r="MA6" s="13" t="str">
        <f>IF(SUM(LL6,LP6)&gt;0,SUM(LL6,LP6),"")</f>
        <v/>
      </c>
      <c r="MB6" s="13" t="str">
        <f>IF(SUM(LT6,LX6)&gt;0,SUM(LT6,LX6),"")</f>
        <v/>
      </c>
      <c r="MC6" s="13" t="str">
        <f>IF(SUM(LK6:LL6,LN6)-LM6&gt;0,SUM(LK6:LL6,LN6)-LM6,"")</f>
        <v/>
      </c>
      <c r="MD6" s="13" t="str">
        <f>IF(SUM(LO6:LP6,LR6)-LQ6&gt;0,SUM(LO6:LP6,LR6)-LQ6,"")</f>
        <v/>
      </c>
      <c r="ME6" s="13" t="str">
        <f>IF(SUM(MC6:MD6)&gt;0,SUM(MC6:MD6),"")</f>
        <v/>
      </c>
      <c r="MF6" s="13" t="str">
        <f>IF(SUM(LS6:LT6,LV6:LX6,LZ6)-SUM(LU6,LY6)&gt;0,SUM(LS6:LT6,LV6:LX6,LZ6)-SUM(LU6,LY6),"")</f>
        <v/>
      </c>
      <c r="MG6" s="13" t="str">
        <f>IF(SUM(ME6,MF6)&gt;0,SUM(ME6,MF6),"")</f>
        <v/>
      </c>
      <c r="MH6" s="48"/>
      <c r="MI6" s="48"/>
      <c r="MJ6" s="48"/>
      <c r="MK6" s="48"/>
      <c r="ML6" s="48"/>
      <c r="MM6" s="48"/>
      <c r="MN6" s="48"/>
      <c r="MO6" s="48"/>
      <c r="MP6" s="48"/>
      <c r="MQ6" s="48"/>
      <c r="MR6" s="48"/>
      <c r="MS6" s="48"/>
      <c r="MT6" s="48"/>
      <c r="MU6" s="48"/>
      <c r="MV6" s="48"/>
      <c r="MW6" s="48"/>
      <c r="MX6" s="16" t="str">
        <f>IF(SUM(MI6,MM6)&gt;0,SUM(MI6,MM6),"")</f>
        <v/>
      </c>
      <c r="MY6" s="16" t="str">
        <f>IF(SUM(MQ6,MU6)&gt;0,SUM(MQ6,MU6),"")</f>
        <v/>
      </c>
      <c r="MZ6" s="16" t="str">
        <f>IF(SUM(MH6:MI6,MK6)-MJ6&gt;0,SUM(MH6:MI6,MK6)-MJ6,"")</f>
        <v/>
      </c>
      <c r="NA6" s="16" t="str">
        <f>IF(SUM(ML6:MM6,MO6)-MN6&gt;0,SUM(ML6:MM6,MO6)-MN6,"")</f>
        <v/>
      </c>
      <c r="NB6" s="16" t="str">
        <f>IF(SUM(MZ6:NA6)&gt;0,SUM(MZ6:NA6),"")</f>
        <v/>
      </c>
      <c r="NC6" s="16" t="str">
        <f>IF(SUM(MP6:MQ6,MS6:MU6,MW6)-SUM(MR6,MV6)&gt;0,SUM(MP6:MQ6,MS6:MU6,MW6)-SUM(MR6,MV6),"")</f>
        <v/>
      </c>
      <c r="ND6" s="16" t="str">
        <f>IF(SUM(NB6,NC6)&gt;0,SUM(NB6,NC6),"")</f>
        <v/>
      </c>
    </row>
    <row r="7" spans="1:368" x14ac:dyDescent="0.2">
      <c r="A7" s="6">
        <f>IF(AND(F7="P",H7="P"),SUMPRODUCT((F$4:F$8="P")*(H$4:H$8="P")*(E$4:E$8&gt;E7))+1,IF(H7="P",SUMPRODUCT((F$4:F$8="")*(H$4:H$8="P")*(E$4:E$8&gt;E7))+1+SUMPRODUCT((F$4:F$8="P")*(H$4:H$8="P")),""))</f>
        <v>4</v>
      </c>
      <c r="B7" s="9" t="s">
        <v>82</v>
      </c>
      <c r="C7" s="5" t="s">
        <v>4</v>
      </c>
      <c r="D7" s="33"/>
      <c r="E7" s="17">
        <f>SUM(J7:R7)</f>
        <v>160.4</v>
      </c>
      <c r="F7" s="4" t="str">
        <f>IF(OR(AND($AK7&gt;=$AL$11,NOT($AK7="")),AND($BH7&gt;=$BI$11,NOT($BH7="")),AND($CE7&gt;=$CF$11,NOT($CE7=""))),"P","")</f>
        <v/>
      </c>
      <c r="G7" s="4" t="str">
        <f>IF(OR(AND($AK7&gt;=$AL$12,NOT($AK7="")),AND($BH7&gt;=$BI$12,NOT($BH7="")),AND($CE7&gt;=$CF$12,NOT($CE7=""))),"P","")</f>
        <v/>
      </c>
      <c r="H7" s="4" t="str">
        <f>IF(OR(AND($AO7&gt;=$AL$13,NOT($AO7="")),AND($BL7&gt;=$BI$13,NOT($BL7="")),AND($CI7&gt;=$CF$13,NOT($CI7=""))),"P","")</f>
        <v>P</v>
      </c>
      <c r="I7" t="str">
        <f>IF(AND(G7="P",OR(AND($AO7&gt;=$AL$16,NOT($AO7="")),AND($BL7&gt;=$BI$16,NOT($BL7="")),AND($CI7&gt;=$CF$16,NOT($CI7="")))),"Merit",IF(AND(G7="P",OR(AND($AO7&gt;=$AL$15,NOT($AO7="")),AND($BL7&gt;=$BI$15,NOT($BL7="")),AND($CI7&gt;=$CF$15,NOT($CI7="")))),"Funding",IF(AND(G7="P",OR(AND($AO7&gt;=$AL$14,NOT($AO7="")),AND($BL7&gt;=$BI$14,NOT($BL7="")),AND($CI7&gt;=$CF$14,NOT($CI7="")))),"Worlds Team",IF(AND(F7="P",OR(AND($AO7&gt;=$AL$13,NOT($AO7="")),AND($BL7&gt;=$BI$13,NOT($BL7="")),AND($CI7&gt;=$CF$13,NOT($CI7="")))),"National Team",""))))</f>
        <v/>
      </c>
      <c r="J7" s="16">
        <f>MAX(AO7,BL7,CI7)</f>
        <v>62.900000000000006</v>
      </c>
      <c r="K7" s="16" t="str">
        <f>IF(J7=CI7,$BO$1,IF(J7=BL7,$AR$1,IF(J7=AO7,$U$1,"")))</f>
        <v>2018 Nationals</v>
      </c>
      <c r="L7" s="16">
        <f>IF($J7=$AO7,MAX(BJ7,CG7),IF($J7=$BL7,MAX(AM7,CG7),MAX(AM7,BJ7)))</f>
        <v>0</v>
      </c>
      <c r="M7" s="16" t="str">
        <f>IF(L7=CG7,$BO$1,IF(L7=BJ7,$AR$1,IF(L7=AM7,$U$1,"")))</f>
        <v/>
      </c>
      <c r="N7" s="16">
        <f>IF($J7=$AO7,MAX(BK7,CH7),IF($J7=$BL7,MAX(AN7,CH7),MAX(AN7,BK7)))</f>
        <v>0</v>
      </c>
      <c r="O7" s="16" t="str">
        <f>IF(N7=CH7,$BO$1,IF(N7=BK7,$AR$1,IF(N7=AN7,$U$1,"")))</f>
        <v/>
      </c>
      <c r="P7" s="16">
        <f>MAX(AP7,BM7,CJ7)</f>
        <v>65</v>
      </c>
      <c r="Q7" s="16" t="str">
        <f>IF(P7=CJ7,$BO$1,IF(P7=BM7,$AR$1,IF(P7=AP7,$U$1,"")))</f>
        <v>2018 Nationals</v>
      </c>
      <c r="R7" s="16">
        <f>IF(MAX(CL7:CN7)&gt;0,MAX(CL7:CN7),"")</f>
        <v>32.5</v>
      </c>
      <c r="S7" s="31" t="str">
        <f>IF(R7="","",IF(R7=CL7,"(Pass 1)",IF(R7=CM7,"(Pass 2)",IF(R7=CN7,"(Final)"))))</f>
        <v>(Pass 1)</v>
      </c>
      <c r="T7" s="16" t="str">
        <f>IF(R7="","",IF(R7=CL7,IF(R7+L7=MZ7,$MH$1,IF(R7+L7=MC7,$LK$1,IF(R7+L7=LF7,$KN$1,IF(R7+L7=KI7,$JQ$1,IF(R7+L7=JL7,$IT$1,IF(R7+L7=IO7,$HW$1,IF(R7+L7=HR7,$GZ$1,IF(R7+L7=GU7,$GC$1,IF(R7+L7=FX7,$FF$1,IF(R7+L7=FA7,$EI$1,IF(R7+L7=ED7,$DL$1,IF(R7+L7=DG7,$CO$1)))))))))))),IF(R7=CM7,IF(R7+N7=NA7,$MH$1,IF(R7+N7=MD7,$LK$1,IF(R7+N7=LG7,$KN$1,IF(R7+N7=KJ7,$JQ$1,IF(R7+N7=JM7,$IT$1,IF(R7+N7=IP7,$HW$1,IF(R7+N7=HS7,$GZ$1,IF(R7+N7=GV7,$GC$1,IF(R7+N7=FY7,$FF$1,IF(R7+N7=FB7,$EI$1,IF(R7+N7=EE7,$DL$1,IF(R7+N7=DH7,$CO$1)))))))))))),IF(R7=CN7,IF(R7+P7=NC7,$MH$1,IF(R7+P7=MF7,$LK$1,IF(R7+P7=LI7,$KN$1,IF(R7+P7=KL7,$JQ$1,IF(R7+P7=JO7,$IT$1,IF(R7+P7=IR7,$HW$1,IF(R7+P7=HU7,$GZ$1,IF(R7+P7=GX7,$GC$1,IF(R7+P7=GA7,$FF$1,IF(R7+P7=FD7,$EI$1,IF(R7+P7=EG7,$DL$1,IF(R7+P7=DJ7,$CO$1))))))))))))))))</f>
        <v>2017 World Games (Jul)</v>
      </c>
      <c r="U7" s="51"/>
      <c r="V7" s="51"/>
      <c r="W7" s="51"/>
      <c r="X7" s="51"/>
      <c r="Y7" s="51"/>
      <c r="Z7" s="51"/>
      <c r="AA7" s="51"/>
      <c r="AB7" s="51"/>
      <c r="AC7" s="51"/>
      <c r="AD7" s="51"/>
      <c r="AE7" s="51"/>
      <c r="AF7" s="51"/>
      <c r="AG7" s="51"/>
      <c r="AH7" s="51"/>
      <c r="AI7" s="51"/>
      <c r="AJ7" s="51"/>
      <c r="AK7" s="13" t="str">
        <f>IF(SUM(V7,Z7)&gt;0,SUM(V7,Z7),"")</f>
        <v/>
      </c>
      <c r="AL7" s="13" t="str">
        <f>IF(SUM(AD7,AH7)&gt;0,SUM(AD7,AH7),"")</f>
        <v/>
      </c>
      <c r="AM7" s="13" t="str">
        <f>IF(SUM(U7:V7,X7)-W7&gt;0,SUM(U7:V7,X7)-W7,"")</f>
        <v/>
      </c>
      <c r="AN7" s="13" t="str">
        <f>IF(SUM(Y7:Z7,AB7)-AA7&gt;0,SUM(Y7:Z7,AB7)-AA7,"")</f>
        <v/>
      </c>
      <c r="AO7" s="13" t="str">
        <f>IF(SUM(AM7:AN7)&gt;0,SUM(AM7:AN7),"")</f>
        <v/>
      </c>
      <c r="AP7" s="13" t="str">
        <f>IF(SUM(AC7:AD7,AF7:AH7,AJ7)-SUM(AE7,AI7)&gt;0,SUM(AC7:AD7,AF7:AH7,AJ7)-SUM(AE7,AI7),"")</f>
        <v/>
      </c>
      <c r="AQ7" s="13" t="str">
        <f>IF(SUM(AO7,AP7)&gt;0,SUM(AO7,AP7),"")</f>
        <v/>
      </c>
      <c r="AR7" s="48"/>
      <c r="AS7" s="48"/>
      <c r="AT7" s="48"/>
      <c r="AU7" s="48"/>
      <c r="AV7" s="48"/>
      <c r="AW7" s="48"/>
      <c r="AX7" s="48"/>
      <c r="AY7" s="48"/>
      <c r="AZ7" s="48"/>
      <c r="BA7" s="48"/>
      <c r="BB7" s="48"/>
      <c r="BC7" s="48"/>
      <c r="BD7" s="48"/>
      <c r="BE7" s="48"/>
      <c r="BF7" s="48"/>
      <c r="BG7" s="48"/>
      <c r="BH7" s="16" t="str">
        <f>IF(SUM(AS7,AW7)&gt;0,SUM(AS7,AW7),"")</f>
        <v/>
      </c>
      <c r="BI7" s="16" t="str">
        <f>IF(SUM(BA7,BE7)&gt;0,SUM(BA7,BE7),"")</f>
        <v/>
      </c>
      <c r="BJ7" s="16" t="str">
        <f>IF(SUM(AR7:AS7,AU7)-AT7&gt;0,SUM(AR7:AS7,AU7)-AT7,"")</f>
        <v/>
      </c>
      <c r="BK7" s="16" t="str">
        <f>IF(SUM(AV7:AW7,AY7)-AX7&gt;0,SUM(AV7:AW7,AY7)-AX7,"")</f>
        <v/>
      </c>
      <c r="BL7" s="16" t="str">
        <f>IF(SUM(BJ7:BK7)&gt;0,SUM(BJ7:BK7),"")</f>
        <v/>
      </c>
      <c r="BM7" s="16" t="str">
        <f>IF(SUM(AZ7:BA7,BC7:BE7,BG7)-SUM(BB7,BF7)&gt;0,SUM(AZ7:BA7,BC7:BE7,BG7)-SUM(BB7,BF7),"")</f>
        <v/>
      </c>
      <c r="BN7" s="16" t="str">
        <f>IF(SUM(BL7,BM7)&gt;0,SUM(BL7,BM7),"")</f>
        <v/>
      </c>
      <c r="BO7" s="47">
        <v>27.8</v>
      </c>
      <c r="BP7" s="47">
        <v>3.6</v>
      </c>
      <c r="BQ7" s="47">
        <v>0</v>
      </c>
      <c r="BR7" s="47">
        <v>0</v>
      </c>
      <c r="BS7" s="47">
        <v>27.2</v>
      </c>
      <c r="BT7" s="47">
        <v>4.3</v>
      </c>
      <c r="BU7" s="47">
        <v>0</v>
      </c>
      <c r="BV7" s="47">
        <v>0</v>
      </c>
      <c r="BW7" s="47">
        <v>28.6</v>
      </c>
      <c r="BX7" s="47">
        <v>4</v>
      </c>
      <c r="BY7" s="47">
        <v>0</v>
      </c>
      <c r="BZ7" s="47">
        <v>0</v>
      </c>
      <c r="CA7" s="47">
        <v>28.4</v>
      </c>
      <c r="CB7" s="47">
        <v>4</v>
      </c>
      <c r="CC7" s="47">
        <v>0</v>
      </c>
      <c r="CD7" s="47">
        <v>0</v>
      </c>
      <c r="CE7" s="13">
        <f>IF(SUM(BP7,BT7)&gt;0,SUM(BP7,BT7),"")</f>
        <v>7.9</v>
      </c>
      <c r="CF7" s="13">
        <f>IF(SUM(BX7,CB7)&gt;0,SUM(BX7,CB7),"")</f>
        <v>8</v>
      </c>
      <c r="CG7" s="13">
        <f>IF(SUM(BO7:BP7,BR7)-BQ7&gt;0,SUM(BO7:BP7,BR7)-BQ7,"")</f>
        <v>31.400000000000002</v>
      </c>
      <c r="CH7" s="13">
        <f>IF(SUM(BS7:BT7,BV7)-BU7&gt;0,SUM(BS7:BT7,BV7)-BU7,"")</f>
        <v>31.5</v>
      </c>
      <c r="CI7" s="13">
        <f>IF(SUM(CG7:CH7)&gt;0,SUM(CG7:CH7),"")</f>
        <v>62.900000000000006</v>
      </c>
      <c r="CJ7" s="13">
        <f>IF(SUM(BW7:BX7,BZ7:CB7,CD7)-SUM(BY7,CC7)&gt;0,SUM(BW7:BX7,BZ7:CB7,CD7)-SUM(BY7,CC7),"")</f>
        <v>65</v>
      </c>
      <c r="CK7" s="13">
        <f>IF(SUM(CI7,CJ7)&gt;0,SUM(CI7,CJ7),"")</f>
        <v>127.9</v>
      </c>
      <c r="CL7" s="30">
        <f>IF(MAX(DG7,ED7,FA7,FX7,GU7,HR7,IO7,JL7,KI7,LF7,MC7,MZ7)-L7&gt;0.001,MAX(DG7,ED7,FA7,FX7,GU7,HR7,IO7,JL7,KI7,LF7,MC7,MZ7)-L7,"")</f>
        <v>32.5</v>
      </c>
      <c r="CM7" s="30">
        <f>IF(MAX(DH7,EE7,FB7,FY7,GV7,HS7,IP7,JM7,KJ7,LG7,MD7,NA7)-N7&gt;0.001,MAX(DH7,EE7,FB7,FY7,GV7,HS7,IP7,JM7,KJ7,LG7,MD7,NA7)-N7,"")</f>
        <v>32</v>
      </c>
      <c r="CN7" s="30">
        <f>IF(MAX(DJ7,EG7,FD7,GA7,GX7,HU7,IR7,JO7,KL7,LI7,MF7,NC7)-P7&gt;0.001,MAX(DJ7,EG7,FD7,GA7,GX7,HU7,IR7,JO7,KL7,LI7,MF7,NC7)-P7,"")</f>
        <v>0.29999999999999716</v>
      </c>
      <c r="CO7" s="47">
        <v>26</v>
      </c>
      <c r="CP7" s="47">
        <v>6.5</v>
      </c>
      <c r="CQ7" s="47">
        <v>0</v>
      </c>
      <c r="CR7" s="47">
        <v>0</v>
      </c>
      <c r="CS7" s="47">
        <v>24.9</v>
      </c>
      <c r="CT7" s="47">
        <v>7.1</v>
      </c>
      <c r="CU7" s="47">
        <v>0</v>
      </c>
      <c r="CV7" s="47">
        <v>0</v>
      </c>
      <c r="CW7" s="47">
        <v>27</v>
      </c>
      <c r="CX7" s="47">
        <v>6.7</v>
      </c>
      <c r="CY7" s="47">
        <v>0</v>
      </c>
      <c r="CZ7" s="47">
        <v>0</v>
      </c>
      <c r="DA7" s="47">
        <v>24.9</v>
      </c>
      <c r="DB7" s="47">
        <v>6.7</v>
      </c>
      <c r="DC7" s="47">
        <v>0</v>
      </c>
      <c r="DD7" s="47">
        <v>0</v>
      </c>
      <c r="DE7" s="13">
        <f>IF(SUM(CP7,CT7)&gt;0,SUM(CP7,CT7),"")</f>
        <v>13.6</v>
      </c>
      <c r="DF7" s="13">
        <f>IF(SUM(CX7,DB7)&gt;0,SUM(CX7,DB7),"")</f>
        <v>13.4</v>
      </c>
      <c r="DG7" s="13">
        <f>IF(SUM(CO7:CP7,CR7)-CQ7&gt;0,SUM(CO7:CP7,CR7)-CQ7,"")</f>
        <v>32.5</v>
      </c>
      <c r="DH7" s="13">
        <f>IF(SUM(CS7:CT7,CV7)-CU7&gt;0,SUM(CS7:CT7,CV7)-CU7,"")</f>
        <v>32</v>
      </c>
      <c r="DI7" s="13">
        <f>IF(SUM(DG7:DH7)&gt;0,SUM(DG7:DH7),"")</f>
        <v>64.5</v>
      </c>
      <c r="DJ7" s="13">
        <f>IF(SUM(CW7:CX7,CZ7:DB7,DD7)-SUM(CY7,DC7)&gt;0,SUM(CW7:CX7,CZ7:DB7,DD7)-SUM(CY7,DC7),"")</f>
        <v>65.3</v>
      </c>
      <c r="DK7" s="13">
        <f>IF(SUM(DI7,DJ7)&gt;0,SUM(DI7,DJ7),"")</f>
        <v>129.80000000000001</v>
      </c>
      <c r="DL7" s="48">
        <v>24.1</v>
      </c>
      <c r="DM7" s="48">
        <v>6.5</v>
      </c>
      <c r="DN7" s="48">
        <v>0</v>
      </c>
      <c r="DO7" s="48">
        <v>0</v>
      </c>
      <c r="DP7" s="48">
        <v>25.8</v>
      </c>
      <c r="DQ7" s="48">
        <v>4.7</v>
      </c>
      <c r="DR7" s="48">
        <v>0</v>
      </c>
      <c r="DS7" s="48">
        <v>0</v>
      </c>
      <c r="DT7" s="48">
        <v>26</v>
      </c>
      <c r="DU7" s="48">
        <v>6.7</v>
      </c>
      <c r="DV7" s="48">
        <v>0</v>
      </c>
      <c r="DW7" s="48">
        <v>0</v>
      </c>
      <c r="DX7" s="48">
        <v>23.9</v>
      </c>
      <c r="DY7" s="48">
        <v>6.9</v>
      </c>
      <c r="DZ7" s="48">
        <v>0</v>
      </c>
      <c r="EA7" s="48">
        <v>0</v>
      </c>
      <c r="EB7" s="16">
        <f>IF(SUM(DM7,DQ7)&gt;0,SUM(DM7,DQ7),"")</f>
        <v>11.2</v>
      </c>
      <c r="EC7" s="16">
        <f>IF(SUM(DU7,DY7)&gt;0,SUM(DU7,DY7),"")</f>
        <v>13.600000000000001</v>
      </c>
      <c r="ED7" s="16">
        <f>IF(SUM(DL7:DM7,DO7)-DN7&gt;0,SUM(DL7:DM7,DO7)-DN7,"")</f>
        <v>30.6</v>
      </c>
      <c r="EE7" s="16">
        <f>IF(SUM(DP7:DQ7,DS7)-DR7&gt;0,SUM(DP7:DQ7,DS7)-DR7,"")</f>
        <v>30.5</v>
      </c>
      <c r="EF7" s="16">
        <f>IF(SUM(ED7:EE7)&gt;0,SUM(ED7:EE7),"")</f>
        <v>61.1</v>
      </c>
      <c r="EG7" s="16">
        <f>IF(SUM(DT7:DU7,DW7:DY7,EA7)-SUM(DV7,DZ7)&gt;0,SUM(DT7:DU7,DW7:DY7,EA7)-SUM(DV7,DZ7),"")</f>
        <v>63.5</v>
      </c>
      <c r="EH7" s="16">
        <f>IF(SUM(EF7,EG7)&gt;0,SUM(EF7,EG7),"")</f>
        <v>124.6</v>
      </c>
      <c r="EI7" s="47">
        <v>23.7</v>
      </c>
      <c r="EJ7" s="47">
        <v>6.5</v>
      </c>
      <c r="EK7" s="47">
        <v>0</v>
      </c>
      <c r="EL7" s="47">
        <v>0</v>
      </c>
      <c r="EM7" s="47">
        <v>24.6</v>
      </c>
      <c r="EN7" s="47">
        <v>4.5999999999999996</v>
      </c>
      <c r="EO7" s="47">
        <v>0</v>
      </c>
      <c r="EP7" s="47">
        <v>0</v>
      </c>
      <c r="EQ7" s="47"/>
      <c r="ER7" s="47"/>
      <c r="ES7" s="47"/>
      <c r="ET7" s="47"/>
      <c r="EU7" s="47"/>
      <c r="EV7" s="47"/>
      <c r="EW7" s="47"/>
      <c r="EX7" s="47"/>
      <c r="EY7" s="13">
        <f>IF(SUM(EJ7,EN7)&gt;0,SUM(EJ7,EN7),"")</f>
        <v>11.1</v>
      </c>
      <c r="EZ7" s="13" t="str">
        <f>IF(SUM(ER7,EV7)&gt;0,SUM(ER7,EV7),"")</f>
        <v/>
      </c>
      <c r="FA7" s="13">
        <f>IF(SUM(EI7:EJ7,EL7)-EK7&gt;0,SUM(EI7:EJ7,EL7)-EK7,"")</f>
        <v>30.2</v>
      </c>
      <c r="FB7" s="13">
        <f>IF(SUM(EM7:EN7,EP7)-EO7&gt;0,SUM(EM7:EN7,EP7)-EO7,"")</f>
        <v>29.200000000000003</v>
      </c>
      <c r="FC7" s="13">
        <f>IF(SUM(FA7:FB7)&gt;0,SUM(FA7:FB7),"")</f>
        <v>59.400000000000006</v>
      </c>
      <c r="FD7" s="13" t="str">
        <f>IF(SUM(EQ7:ER7,ET7:EV7,EX7)-SUM(ES7,EW7)&gt;0,SUM(EQ7:ER7,ET7:EV7,EX7)-SUM(ES7,EW7),"")</f>
        <v/>
      </c>
      <c r="FE7" s="13">
        <f>IF(SUM(FC7,FD7)&gt;0,SUM(FC7,FD7),"")</f>
        <v>59.400000000000006</v>
      </c>
      <c r="FF7" s="48"/>
      <c r="FG7" s="48"/>
      <c r="FH7" s="48"/>
      <c r="FI7" s="48"/>
      <c r="FJ7" s="48"/>
      <c r="FK7" s="48"/>
      <c r="FL7" s="48"/>
      <c r="FM7" s="48"/>
      <c r="FN7" s="48"/>
      <c r="FO7" s="48"/>
      <c r="FP7" s="48"/>
      <c r="FQ7" s="48"/>
      <c r="FR7" s="48"/>
      <c r="FS7" s="48"/>
      <c r="FT7" s="48"/>
      <c r="FU7" s="48"/>
      <c r="FV7" s="16" t="str">
        <f>IF(SUM(FG7,FK7)&gt;0,SUM(FG7,FK7),"")</f>
        <v/>
      </c>
      <c r="FW7" s="16" t="str">
        <f>IF(SUM(FO7,FS7)&gt;0,SUM(FO7,FS7),"")</f>
        <v/>
      </c>
      <c r="FX7" s="16" t="str">
        <f>IF(SUM(FF7:FG7,FI7)-FH7&gt;0,SUM(FF7:FG7,FI7)-FH7,"")</f>
        <v/>
      </c>
      <c r="FY7" s="16" t="str">
        <f>IF(SUM(FJ7:FK7,FM7)-FL7&gt;0,SUM(FJ7:FK7,FM7)-FL7,"")</f>
        <v/>
      </c>
      <c r="FZ7" s="16" t="str">
        <f>IF(SUM(FX7:FY7)&gt;0,SUM(FX7:FY7),"")</f>
        <v/>
      </c>
      <c r="GA7" s="16" t="str">
        <f>IF(SUM(FN7:FO7,FQ7:FS7,FU7)-SUM(FP7,FT7)&gt;0,SUM(FN7:FO7,FQ7:FS7,FU7)-SUM(FP7,FT7),"")</f>
        <v/>
      </c>
      <c r="GB7" s="16" t="str">
        <f>IF(SUM(FZ7,GA7)&gt;0,SUM(FZ7,GA7),"")</f>
        <v/>
      </c>
      <c r="GC7" s="47"/>
      <c r="GD7" s="47"/>
      <c r="GE7" s="47"/>
      <c r="GF7" s="47"/>
      <c r="GG7" s="47"/>
      <c r="GH7" s="47"/>
      <c r="GI7" s="47"/>
      <c r="GJ7" s="47"/>
      <c r="GK7" s="47"/>
      <c r="GL7" s="47"/>
      <c r="GM7" s="47"/>
      <c r="GN7" s="47"/>
      <c r="GO7" s="47"/>
      <c r="GP7" s="47"/>
      <c r="GQ7" s="47"/>
      <c r="GR7" s="47"/>
      <c r="GS7" s="13" t="str">
        <f>IF(SUM(GD7,GH7)&gt;0,SUM(GD7,GH7),"")</f>
        <v/>
      </c>
      <c r="GT7" s="13" t="str">
        <f>IF(SUM(GL7,GP7)&gt;0,SUM(GL7,GP7),"")</f>
        <v/>
      </c>
      <c r="GU7" s="13" t="str">
        <f>IF(SUM(GC7:GD7,GF7)-GE7&gt;0,SUM(GC7:GD7,GF7)-GE7,"")</f>
        <v/>
      </c>
      <c r="GV7" s="13" t="str">
        <f>IF(SUM(GG7:GH7,GJ7)-GI7&gt;0,SUM(GG7:GH7,GJ7)-GI7,"")</f>
        <v/>
      </c>
      <c r="GW7" s="13" t="str">
        <f>IF(SUM(GU7:GV7)&gt;0,SUM(GU7:GV7),"")</f>
        <v/>
      </c>
      <c r="GX7" s="13" t="str">
        <f>IF(SUM(GK7:GL7,GN7:GP7,GR7)-SUM(GM7,GQ7)&gt;0,SUM(GK7:GL7,GN7:GP7,GR7)-SUM(GM7,GQ7),"")</f>
        <v/>
      </c>
      <c r="GY7" s="13" t="str">
        <f>IF(SUM(GW7,GX7)&gt;0,SUM(GW7,GX7),"")</f>
        <v/>
      </c>
      <c r="GZ7" s="48"/>
      <c r="HA7" s="48"/>
      <c r="HB7" s="48"/>
      <c r="HC7" s="48"/>
      <c r="HD7" s="48"/>
      <c r="HE7" s="48"/>
      <c r="HF7" s="48"/>
      <c r="HG7" s="48"/>
      <c r="HH7" s="48"/>
      <c r="HI7" s="48"/>
      <c r="HJ7" s="48"/>
      <c r="HK7" s="48"/>
      <c r="HL7" s="48"/>
      <c r="HM7" s="48"/>
      <c r="HN7" s="48"/>
      <c r="HO7" s="48"/>
      <c r="HP7" s="16" t="str">
        <f>IF(SUM(HA7,HE7)&gt;0,SUM(HA7,HE7),"")</f>
        <v/>
      </c>
      <c r="HQ7" s="16" t="str">
        <f>IF(SUM(HI7,HM7)&gt;0,SUM(HI7,HM7),"")</f>
        <v/>
      </c>
      <c r="HR7" s="16" t="str">
        <f>IF(SUM(GZ7:HA7,HC7)-HB7&gt;0,SUM(GZ7:HA7,HC7)-HB7,"")</f>
        <v/>
      </c>
      <c r="HS7" s="16" t="str">
        <f>IF(SUM(HD7:HE7,HG7)-HF7&gt;0,SUM(HD7:HE7,HG7)-HF7,"")</f>
        <v/>
      </c>
      <c r="HT7" s="16" t="str">
        <f>IF(SUM(HR7:HS7)&gt;0,SUM(HR7:HS7),"")</f>
        <v/>
      </c>
      <c r="HU7" s="16" t="str">
        <f>IF(SUM(HH7:HI7,HK7:HM7,HO7)-SUM(HJ7,HN7)&gt;0,SUM(HH7:HI7,HK7:HM7,HO7)-SUM(HJ7,HN7),"")</f>
        <v/>
      </c>
      <c r="HV7" s="16" t="str">
        <f>IF(SUM(HT7,HU7)&gt;0,SUM(HT7,HU7),"")</f>
        <v/>
      </c>
      <c r="HW7" s="47"/>
      <c r="HX7" s="47"/>
      <c r="HY7" s="47"/>
      <c r="HZ7" s="47"/>
      <c r="IA7" s="47"/>
      <c r="IB7" s="47"/>
      <c r="IC7" s="47"/>
      <c r="ID7" s="47"/>
      <c r="IE7" s="47"/>
      <c r="IF7" s="47"/>
      <c r="IG7" s="47"/>
      <c r="IH7" s="47"/>
      <c r="II7" s="47"/>
      <c r="IJ7" s="47"/>
      <c r="IK7" s="47"/>
      <c r="IL7" s="47"/>
      <c r="IM7" s="13" t="str">
        <f>IF(SUM(HX7,IB7)&gt;0,SUM(HX7,IB7),"")</f>
        <v/>
      </c>
      <c r="IN7" s="13" t="str">
        <f>IF(SUM(IF7,IJ7)&gt;0,SUM(IF7,IJ7),"")</f>
        <v/>
      </c>
      <c r="IO7" s="13" t="str">
        <f>IF(SUM(HW7:HX7,HZ7)-HY7&gt;0,SUM(HW7:HX7,HZ7)-HY7,"")</f>
        <v/>
      </c>
      <c r="IP7" s="13" t="str">
        <f>IF(SUM(IA7:IB7,ID7)-IC7&gt;0,SUM(IA7:IB7,ID7)-IC7,"")</f>
        <v/>
      </c>
      <c r="IQ7" s="13" t="str">
        <f>IF(SUM(IO7:IP7)&gt;0,SUM(IO7:IP7),"")</f>
        <v/>
      </c>
      <c r="IR7" s="13" t="str">
        <f>IF(SUM(IE7:IF7,IH7:IJ7,IL7)-SUM(IG7,IK7)&gt;0,SUM(IE7:IF7,IH7:IJ7,IL7)-SUM(IG7,IK7),"")</f>
        <v/>
      </c>
      <c r="IS7" s="13" t="str">
        <f>IF(SUM(IQ7,IR7)&gt;0,SUM(IQ7,IR7),"")</f>
        <v/>
      </c>
      <c r="IT7" s="48"/>
      <c r="IU7" s="48"/>
      <c r="IV7" s="48"/>
      <c r="IW7" s="48"/>
      <c r="IX7" s="48"/>
      <c r="IY7" s="48"/>
      <c r="IZ7" s="48"/>
      <c r="JA7" s="48"/>
      <c r="JB7" s="48"/>
      <c r="JC7" s="48"/>
      <c r="JD7" s="48"/>
      <c r="JE7" s="48"/>
      <c r="JF7" s="48"/>
      <c r="JG7" s="48"/>
      <c r="JH7" s="48"/>
      <c r="JI7" s="48"/>
      <c r="JJ7" s="16" t="str">
        <f>IF(SUM(IU7,IY7)&gt;0,SUM(IU7,IY7),"")</f>
        <v/>
      </c>
      <c r="JK7" s="16" t="str">
        <f>IF(SUM(JC7,JG7)&gt;0,SUM(JC7,JG7),"")</f>
        <v/>
      </c>
      <c r="JL7" s="16" t="str">
        <f>IF(SUM(IT7:IU7,IW7)-IV7&gt;0,SUM(IT7:IU7,IW7)-IV7,"")</f>
        <v/>
      </c>
      <c r="JM7" s="16" t="str">
        <f>IF(SUM(IX7:IY7,JA7)-IZ7&gt;0,SUM(IX7:IY7,JA7)-IZ7,"")</f>
        <v/>
      </c>
      <c r="JN7" s="16" t="str">
        <f>IF(SUM(JL7:JM7)&gt;0,SUM(JL7:JM7),"")</f>
        <v/>
      </c>
      <c r="JO7" s="16" t="str">
        <f>IF(SUM(JB7:JC7,JE7:JG7,JI7)-SUM(JD7,JH7)&gt;0,SUM(JB7:JC7,JE7:JG7,JI7)-SUM(JD7,JH7),"")</f>
        <v/>
      </c>
      <c r="JP7" s="16" t="str">
        <f>IF(SUM(JN7,JO7)&gt;0,SUM(JN7,JO7),"")</f>
        <v/>
      </c>
      <c r="JQ7" s="47"/>
      <c r="JR7" s="47"/>
      <c r="JS7" s="47"/>
      <c r="JT7" s="47"/>
      <c r="JU7" s="47"/>
      <c r="JV7" s="47"/>
      <c r="JW7" s="47"/>
      <c r="JX7" s="47"/>
      <c r="JY7" s="47"/>
      <c r="JZ7" s="47"/>
      <c r="KA7" s="47"/>
      <c r="KB7" s="47"/>
      <c r="KC7" s="47"/>
      <c r="KD7" s="47"/>
      <c r="KE7" s="47"/>
      <c r="KF7" s="47"/>
      <c r="KG7" s="13" t="str">
        <f>IF(SUM(JR7,JV7)&gt;0,SUM(JR7,JV7),"")</f>
        <v/>
      </c>
      <c r="KH7" s="13" t="str">
        <f>IF(SUM(JZ7,KD7)&gt;0,SUM(JZ7,KD7),"")</f>
        <v/>
      </c>
      <c r="KI7" s="13" t="str">
        <f>IF(SUM(JQ7:JR7,JT7)-JS7&gt;0,SUM(JQ7:JR7,JT7)-JS7,"")</f>
        <v/>
      </c>
      <c r="KJ7" s="13" t="str">
        <f>IF(SUM(JU7:JV7,JX7)-JW7&gt;0,SUM(JU7:JV7,JX7)-JW7,"")</f>
        <v/>
      </c>
      <c r="KK7" s="13" t="str">
        <f>IF(SUM(KI7:KJ7)&gt;0,SUM(KI7:KJ7),"")</f>
        <v/>
      </c>
      <c r="KL7" s="13" t="str">
        <f>IF(SUM(JY7:JZ7,KB7:KD7,KF7)-SUM(KA7,KE7)&gt;0,SUM(JY7:JZ7,KB7:KD7,KF7)-SUM(KA7,KE7),"")</f>
        <v/>
      </c>
      <c r="KM7" s="13" t="str">
        <f>IF(SUM(KK7,KL7)&gt;0,SUM(KK7,KL7),"")</f>
        <v/>
      </c>
      <c r="KN7" s="48"/>
      <c r="KO7" s="48"/>
      <c r="KP7" s="48"/>
      <c r="KQ7" s="48"/>
      <c r="KR7" s="48"/>
      <c r="KS7" s="48"/>
      <c r="KT7" s="48"/>
      <c r="KU7" s="48"/>
      <c r="KV7" s="48"/>
      <c r="KW7" s="48"/>
      <c r="KX7" s="48"/>
      <c r="KY7" s="48"/>
      <c r="KZ7" s="48"/>
      <c r="LA7" s="48"/>
      <c r="LB7" s="48"/>
      <c r="LC7" s="48"/>
      <c r="LD7" s="16" t="str">
        <f>IF(SUM(KO7,KS7)&gt;0,SUM(KO7,KS7),"")</f>
        <v/>
      </c>
      <c r="LE7" s="16" t="str">
        <f>IF(SUM(KW7,LA7)&gt;0,SUM(KW7,LA7),"")</f>
        <v/>
      </c>
      <c r="LF7" s="16" t="str">
        <f>IF(SUM(KN7:KO7,KQ7)-KP7&gt;0,SUM(KN7:KO7,KQ7)-KP7,"")</f>
        <v/>
      </c>
      <c r="LG7" s="16" t="str">
        <f>IF(SUM(KR7:KS7,KU7)-KT7&gt;0,SUM(KR7:KS7,KU7)-KT7,"")</f>
        <v/>
      </c>
      <c r="LH7" s="16" t="str">
        <f>IF(SUM(LF7:LG7)&gt;0,SUM(LF7:LG7),"")</f>
        <v/>
      </c>
      <c r="LI7" s="16" t="str">
        <f>IF(SUM(KV7:KW7,KY7:LA7,LC7)-SUM(KX7,LB7)&gt;0,SUM(KV7:KW7,KY7:LA7,LC7)-SUM(KX7,LB7),"")</f>
        <v/>
      </c>
      <c r="LJ7" s="16" t="str">
        <f>IF(SUM(LH7,LI7)&gt;0,SUM(LH7,LI7),"")</f>
        <v/>
      </c>
      <c r="LK7" s="47"/>
      <c r="LL7" s="47"/>
      <c r="LM7" s="47"/>
      <c r="LN7" s="47"/>
      <c r="LO7" s="47"/>
      <c r="LP7" s="47"/>
      <c r="LQ7" s="47"/>
      <c r="LR7" s="47"/>
      <c r="LS7" s="47"/>
      <c r="LT7" s="47"/>
      <c r="LU7" s="47"/>
      <c r="LV7" s="47"/>
      <c r="LW7" s="47"/>
      <c r="LX7" s="47"/>
      <c r="LY7" s="47"/>
      <c r="LZ7" s="47"/>
      <c r="MA7" s="13" t="str">
        <f>IF(SUM(LL7,LP7)&gt;0,SUM(LL7,LP7),"")</f>
        <v/>
      </c>
      <c r="MB7" s="13" t="str">
        <f>IF(SUM(LT7,LX7)&gt;0,SUM(LT7,LX7),"")</f>
        <v/>
      </c>
      <c r="MC7" s="13" t="str">
        <f>IF(SUM(LK7:LL7,LN7)-LM7&gt;0,SUM(LK7:LL7,LN7)-LM7,"")</f>
        <v/>
      </c>
      <c r="MD7" s="13" t="str">
        <f>IF(SUM(LO7:LP7,LR7)-LQ7&gt;0,SUM(LO7:LP7,LR7)-LQ7,"")</f>
        <v/>
      </c>
      <c r="ME7" s="13" t="str">
        <f>IF(SUM(MC7:MD7)&gt;0,SUM(MC7:MD7),"")</f>
        <v/>
      </c>
      <c r="MF7" s="13" t="str">
        <f>IF(SUM(LS7:LT7,LV7:LX7,LZ7)-SUM(LU7,LY7)&gt;0,SUM(LS7:LT7,LV7:LX7,LZ7)-SUM(LU7,LY7),"")</f>
        <v/>
      </c>
      <c r="MG7" s="13" t="str">
        <f>IF(SUM(ME7,MF7)&gt;0,SUM(ME7,MF7),"")</f>
        <v/>
      </c>
      <c r="MH7" s="48"/>
      <c r="MI7" s="48"/>
      <c r="MJ7" s="48"/>
      <c r="MK7" s="48"/>
      <c r="ML7" s="48"/>
      <c r="MM7" s="48"/>
      <c r="MN7" s="48"/>
      <c r="MO7" s="48"/>
      <c r="MP7" s="48"/>
      <c r="MQ7" s="48"/>
      <c r="MR7" s="48"/>
      <c r="MS7" s="48"/>
      <c r="MT7" s="48"/>
      <c r="MU7" s="48"/>
      <c r="MV7" s="48"/>
      <c r="MW7" s="48"/>
      <c r="MX7" s="16" t="str">
        <f>IF(SUM(MI7,MM7)&gt;0,SUM(MI7,MM7),"")</f>
        <v/>
      </c>
      <c r="MY7" s="16" t="str">
        <f>IF(SUM(MQ7,MU7)&gt;0,SUM(MQ7,MU7),"")</f>
        <v/>
      </c>
      <c r="MZ7" s="16" t="str">
        <f>IF(SUM(MH7:MI7,MK7)-MJ7&gt;0,SUM(MH7:MI7,MK7)-MJ7,"")</f>
        <v/>
      </c>
      <c r="NA7" s="16" t="str">
        <f>IF(SUM(ML7:MM7,MO7)-MN7&gt;0,SUM(ML7:MM7,MO7)-MN7,"")</f>
        <v/>
      </c>
      <c r="NB7" s="16" t="str">
        <f>IF(SUM(MZ7:NA7)&gt;0,SUM(MZ7:NA7),"")</f>
        <v/>
      </c>
      <c r="NC7" s="16" t="str">
        <f>IF(SUM(MP7:MQ7,MS7:MU7,MW7)-SUM(MR7,MV7)&gt;0,SUM(MP7:MQ7,MS7:MU7,MW7)-SUM(MR7,MV7),"")</f>
        <v/>
      </c>
      <c r="ND7" s="16" t="str">
        <f>IF(SUM(NB7,NC7)&gt;0,SUM(NB7,NC7),"")</f>
        <v/>
      </c>
    </row>
    <row r="8" spans="1:368" x14ac:dyDescent="0.2">
      <c r="A8" s="6">
        <f>IF(AND(F8="P",H8="P"),SUMPRODUCT((F$4:F$8="P")*(H$4:H$8="P")*(E$4:E$8&gt;E8))+1,IF(H8="P",SUMPRODUCT((F$4:F$8="")*(H$4:H$8="P")*(E$4:E$8&gt;E8))+1+SUMPRODUCT((F$4:F$8="P")*(H$4:H$8="P")),""))</f>
        <v>5</v>
      </c>
      <c r="B8" s="7" t="s">
        <v>156</v>
      </c>
      <c r="C8" s="8" t="s">
        <v>4</v>
      </c>
      <c r="D8" s="6"/>
      <c r="E8" s="17">
        <f>SUM(J8:R8)</f>
        <v>121.9</v>
      </c>
      <c r="F8" s="4" t="str">
        <f>IF(OR(AND($AK8&gt;=$AL$11,NOT($AK8="")),AND($BH8&gt;=$BI$11,NOT($BH8="")),AND($CE8&gt;=$CF$11,NOT($CE8=""))),"P","")</f>
        <v/>
      </c>
      <c r="G8" s="4" t="str">
        <f>IF(OR(AND($AK8&gt;=$AL$12,NOT($AK8="")),AND($BH8&gt;=$BI$12,NOT($BH8="")),AND($CE8&gt;=$CF$12,NOT($CE8=""))),"P","")</f>
        <v/>
      </c>
      <c r="H8" s="4" t="str">
        <f>IF(OR(AND($AO8&gt;=$AL$13,NOT($AO8="")),AND($BL8&gt;=$BI$13,NOT($BL8="")),AND($CI8&gt;=$CF$13,NOT($CI8=""))),"P","")</f>
        <v>P</v>
      </c>
      <c r="I8" t="str">
        <f>IF(AND(G8="P",OR(AND($AO8&gt;=$AL$16,NOT($AO8="")),AND($BL8&gt;=$BI$16,NOT($BL8="")),AND($CI8&gt;=$CF$16,NOT($CI8="")))),"Merit",IF(AND(G8="P",OR(AND($AO8&gt;=$AL$15,NOT($AO8="")),AND($BL8&gt;=$BI$15,NOT($BL8="")),AND($CI8&gt;=$CF$15,NOT($CI8="")))),"Funding",IF(AND(G8="P",OR(AND($AO8&gt;=$AL$14,NOT($AO8="")),AND($BL8&gt;=$BI$14,NOT($BL8="")),AND($CI8&gt;=$CF$14,NOT($CI8="")))),"Worlds Team",IF(AND(F8="P",OR(AND($AO8&gt;=$AL$13,NOT($AO8="")),AND($BL8&gt;=$BI$13,NOT($BL8="")),AND($CI8&gt;=$CF$13,NOT($CI8="")))),"National Team",""))))</f>
        <v/>
      </c>
      <c r="J8" s="16">
        <f>MAX(AO8,BL8,CI8)</f>
        <v>61</v>
      </c>
      <c r="K8" s="16" t="str">
        <f>IF(J8=CI8,$BO$1,IF(J8=BL8,$AR$1,IF(J8=AO8,$U$1,"")))</f>
        <v>2018 Nationals</v>
      </c>
      <c r="L8" s="16">
        <f>IF($J8=$AO8,MAX(BJ8,CG8),IF($J8=$BL8,MAX(AM8,CG8),MAX(AM8,BJ8)))</f>
        <v>0</v>
      </c>
      <c r="M8" s="16" t="str">
        <f>IF(L8=CG8,$BO$1,IF(L8=BJ8,$AR$1,IF(L8=AM8,$U$1,"")))</f>
        <v/>
      </c>
      <c r="N8" s="16">
        <f>IF($J8=$AO8,MAX(BK8,CH8),IF($J8=$BL8,MAX(AN8,CH8),MAX(AN8,BK8)))</f>
        <v>0</v>
      </c>
      <c r="O8" s="16" t="str">
        <f>IF(N8=CH8,$BO$1,IF(N8=BK8,$AR$1,IF(N8=AN8,$U$1,"")))</f>
        <v/>
      </c>
      <c r="P8" s="16">
        <f>MAX(AP8,BM8,CJ8)</f>
        <v>60.9</v>
      </c>
      <c r="Q8" s="16" t="str">
        <f>IF(P8=CJ8,$BO$1,IF(P8=BM8,$AR$1,IF(P8=AP8,$U$1,"")))</f>
        <v>2018 Nationals</v>
      </c>
      <c r="R8" s="16" t="str">
        <f>IF(MAX(CL8:CN8)&gt;0,MAX(CL8:CN8),"")</f>
        <v/>
      </c>
      <c r="S8" s="31" t="str">
        <f>IF(R8="","",IF(R8=CL8,"(Pass 1)",IF(R8=CM8,"(Pass 2)",IF(R8=CN8,"(Final)"))))</f>
        <v/>
      </c>
      <c r="T8" s="16" t="str">
        <f>IF(R8="","",IF(R8=CL8,IF(R8+L8=MZ8,$MH$1,IF(R8+L8=MC8,$LK$1,IF(R8+L8=LF8,$KN$1,IF(R8+L8=KI8,$JQ$1,IF(R8+L8=JL8,$IT$1,IF(R8+L8=IO8,$HW$1,IF(R8+L8=HR8,$GZ$1,IF(R8+L8=GU8,$GC$1,IF(R8+L8=FX8,$FF$1,IF(R8+L8=FA8,$EI$1,IF(R8+L8=ED8,$DL$1,IF(R8+L8=DG8,$CO$1)))))))))))),IF(R8=CM8,IF(R8+N8=NA8,$MH$1,IF(R8+N8=MD8,$LK$1,IF(R8+N8=LG8,$KN$1,IF(R8+N8=KJ8,$JQ$1,IF(R8+N8=JM8,$IT$1,IF(R8+N8=IP8,$HW$1,IF(R8+N8=HS8,$GZ$1,IF(R8+N8=GV8,$GC$1,IF(R8+N8=FY8,$FF$1,IF(R8+N8=FB8,$EI$1,IF(R8+N8=EE8,$DL$1,IF(R8+N8=DH8,$CO$1)))))))))))),IF(R8=CN8,IF(R8+P8=NC8,$MH$1,IF(R8+P8=MF8,$LK$1,IF(R8+P8=LI8,$KN$1,IF(R8+P8=KL8,$JQ$1,IF(R8+P8=JO8,$IT$1,IF(R8+P8=IR8,$HW$1,IF(R8+P8=HU8,$GZ$1,IF(R8+P8=GX8,$GC$1,IF(R8+P8=GA8,$FF$1,IF(R8+P8=FD8,$EI$1,IF(R8+P8=EG8,$DL$1,IF(R8+P8=DJ8,$CO$1))))))))))))))))</f>
        <v/>
      </c>
      <c r="U8" s="78"/>
      <c r="V8" s="78"/>
      <c r="W8" s="78"/>
      <c r="X8" s="78"/>
      <c r="Y8" s="78"/>
      <c r="Z8" s="78"/>
      <c r="AA8" s="78"/>
      <c r="AB8" s="78"/>
      <c r="AC8" s="78"/>
      <c r="AD8" s="78"/>
      <c r="AE8" s="78"/>
      <c r="AF8" s="78"/>
      <c r="AG8" s="78"/>
      <c r="AH8" s="78"/>
      <c r="AI8" s="78"/>
      <c r="AJ8" s="78"/>
      <c r="AK8" s="13" t="str">
        <f>IF(SUM(V8,Z8)&gt;0,SUM(V8,Z8),"")</f>
        <v/>
      </c>
      <c r="AL8" s="13" t="str">
        <f>IF(SUM(AD8,AH8)&gt;0,SUM(AD8,AH8),"")</f>
        <v/>
      </c>
      <c r="AM8" s="13" t="str">
        <f>IF(SUM(U8:V8,X8)-W8&gt;0,SUM(U8:V8,X8)-W8,"")</f>
        <v/>
      </c>
      <c r="AN8" s="13" t="str">
        <f>IF(SUM(Y8:Z8,AB8)-AA8&gt;0,SUM(Y8:Z8,AB8)-AA8,"")</f>
        <v/>
      </c>
      <c r="AO8" s="13" t="str">
        <f>IF(SUM(AM8:AN8)&gt;0,SUM(AM8:AN8),"")</f>
        <v/>
      </c>
      <c r="AP8" s="13" t="str">
        <f>IF(SUM(AC8:AD8,AF8:AH8,AJ8)-SUM(AE8,AI8)&gt;0,SUM(AC8:AD8,AF8:AH8,AJ8)-SUM(AE8,AI8),"")</f>
        <v/>
      </c>
      <c r="AQ8" s="13" t="str">
        <f>IF(SUM(AO8,AP8)&gt;0,SUM(AO8,AP8),"")</f>
        <v/>
      </c>
      <c r="AR8" s="48"/>
      <c r="AS8" s="48"/>
      <c r="AT8" s="48"/>
      <c r="AU8" s="48"/>
      <c r="AV8" s="48"/>
      <c r="AW8" s="48"/>
      <c r="AX8" s="48"/>
      <c r="AY8" s="48"/>
      <c r="AZ8" s="48"/>
      <c r="BA8" s="48"/>
      <c r="BB8" s="48"/>
      <c r="BC8" s="48"/>
      <c r="BD8" s="48"/>
      <c r="BE8" s="48"/>
      <c r="BF8" s="48"/>
      <c r="BG8" s="48"/>
      <c r="BH8" s="16" t="str">
        <f>IF(SUM(AS8,AW8)&gt;0,SUM(AS8,AW8),"")</f>
        <v/>
      </c>
      <c r="BI8" s="16" t="str">
        <f>IF(SUM(BA8,BE8)&gt;0,SUM(BA8,BE8),"")</f>
        <v/>
      </c>
      <c r="BJ8" s="16" t="str">
        <f>IF(SUM(AR8:AS8,AU8)-AT8&gt;0,SUM(AR8:AS8,AU8)-AT8,"")</f>
        <v/>
      </c>
      <c r="BK8" s="16" t="str">
        <f>IF(SUM(AV8:AW8,AY8)-AX8&gt;0,SUM(AV8:AW8,AY8)-AX8,"")</f>
        <v/>
      </c>
      <c r="BL8" s="16" t="str">
        <f>IF(SUM(BJ8:BK8)&gt;0,SUM(BJ8:BK8),"")</f>
        <v/>
      </c>
      <c r="BM8" s="16" t="str">
        <f>IF(SUM(AZ8:BA8,BC8:BE8,BG8)-SUM(BB8,BF8)&gt;0,SUM(AZ8:BA8,BC8:BE8,BG8)-SUM(BB8,BF8),"")</f>
        <v/>
      </c>
      <c r="BN8" s="16" t="str">
        <f>IF(SUM(BL8,BM8)&gt;0,SUM(BL8,BM8),"")</f>
        <v/>
      </c>
      <c r="BO8" s="47">
        <v>27.1</v>
      </c>
      <c r="BP8" s="47">
        <v>3.6</v>
      </c>
      <c r="BQ8" s="47">
        <v>0</v>
      </c>
      <c r="BR8" s="47">
        <v>0</v>
      </c>
      <c r="BS8" s="47">
        <v>26</v>
      </c>
      <c r="BT8" s="47">
        <v>4.3</v>
      </c>
      <c r="BU8" s="47">
        <v>0</v>
      </c>
      <c r="BV8" s="47">
        <v>0</v>
      </c>
      <c r="BW8" s="47">
        <v>26.9</v>
      </c>
      <c r="BX8" s="47">
        <v>3.6</v>
      </c>
      <c r="BY8" s="47">
        <v>0</v>
      </c>
      <c r="BZ8" s="47">
        <v>0</v>
      </c>
      <c r="CA8" s="47">
        <v>26.8</v>
      </c>
      <c r="CB8" s="47">
        <v>3.6</v>
      </c>
      <c r="CC8" s="47">
        <v>0</v>
      </c>
      <c r="CD8" s="47">
        <v>0</v>
      </c>
      <c r="CE8" s="13">
        <f>IF(SUM(BP8,BT8)&gt;0,SUM(BP8,BT8),"")</f>
        <v>7.9</v>
      </c>
      <c r="CF8" s="13">
        <f>IF(SUM(BX8,CB8)&gt;0,SUM(BX8,CB8),"")</f>
        <v>7.2</v>
      </c>
      <c r="CG8" s="13">
        <f>IF(SUM(BO8:BP8,BR8)-BQ8&gt;0,SUM(BO8:BP8,BR8)-BQ8,"")</f>
        <v>30.700000000000003</v>
      </c>
      <c r="CH8" s="13">
        <f>IF(SUM(BS8:BT8,BV8)-BU8&gt;0,SUM(BS8:BT8,BV8)-BU8,"")</f>
        <v>30.3</v>
      </c>
      <c r="CI8" s="13">
        <f>IF(SUM(CG8:CH8)&gt;0,SUM(CG8:CH8),"")</f>
        <v>61</v>
      </c>
      <c r="CJ8" s="13">
        <f>IF(SUM(BW8:BX8,BZ8:CB8,CD8)-SUM(BY8,CC8)&gt;0,SUM(BW8:BX8,BZ8:CB8,CD8)-SUM(BY8,CC8),"")</f>
        <v>60.9</v>
      </c>
      <c r="CK8" s="13">
        <f>IF(SUM(CI8,CJ8)&gt;0,SUM(CI8,CJ8),"")</f>
        <v>121.9</v>
      </c>
      <c r="CL8" s="30" t="str">
        <f>IF(MAX(DG8,ED8,FA8,FX8,GU8,HR8,IO8,JL8,KI8,LF8,MC8,MZ8)-L8&gt;0.001,MAX(DG8,ED8,FA8,FX8,GU8,HR8,IO8,JL8,KI8,LF8,MC8,MZ8)-L8,"")</f>
        <v/>
      </c>
      <c r="CM8" s="30" t="str">
        <f>IF(MAX(DH8,EE8,FB8,FY8,GV8,HS8,IP8,JM8,KJ8,LG8,MD8,NA8)-N8&gt;0.001,MAX(DH8,EE8,FB8,FY8,GV8,HS8,IP8,JM8,KJ8,LG8,MD8,NA8)-N8,"")</f>
        <v/>
      </c>
      <c r="CN8" s="30" t="str">
        <f>IF(MAX(DJ8,EG8,FD8,GA8,GX8,HU8,IR8,JO8,KL8,LI8,MF8,NC8)-P8&gt;0.001,MAX(DJ8,EG8,FD8,GA8,GX8,HU8,IR8,JO8,KL8,LI8,MF8,NC8)-P8,"")</f>
        <v/>
      </c>
      <c r="CO8" s="47"/>
      <c r="CP8" s="47"/>
      <c r="CQ8" s="47"/>
      <c r="CR8" s="47"/>
      <c r="CS8" s="47"/>
      <c r="CT8" s="47"/>
      <c r="CU8" s="47"/>
      <c r="CV8" s="47"/>
      <c r="CW8" s="47"/>
      <c r="CX8" s="47"/>
      <c r="CY8" s="47"/>
      <c r="CZ8" s="47"/>
      <c r="DA8" s="47"/>
      <c r="DB8" s="47"/>
      <c r="DC8" s="47"/>
      <c r="DD8" s="47"/>
      <c r="DE8" s="13" t="str">
        <f>IF(SUM(CP8,CT8)&gt;0,SUM(CP8,CT8),"")</f>
        <v/>
      </c>
      <c r="DF8" s="13" t="str">
        <f>IF(SUM(CX8,DB8)&gt;0,SUM(CX8,DB8),"")</f>
        <v/>
      </c>
      <c r="DG8" s="13" t="str">
        <f>IF(SUM(CO8:CP8,CR8)-CQ8&gt;0,SUM(CO8:CP8,CR8)-CQ8,"")</f>
        <v/>
      </c>
      <c r="DH8" s="13" t="str">
        <f>IF(SUM(CS8:CT8,CV8)-CU8&gt;0,SUM(CS8:CT8,CV8)-CU8,"")</f>
        <v/>
      </c>
      <c r="DI8" s="13" t="str">
        <f>IF(SUM(DG8:DH8)&gt;0,SUM(DG8:DH8),"")</f>
        <v/>
      </c>
      <c r="DJ8" s="13" t="str">
        <f>IF(SUM(CW8:CX8,CZ8:DB8,DD8)-SUM(CY8,DC8)&gt;0,SUM(CW8:CX8,CZ8:DB8,DD8)-SUM(CY8,DC8),"")</f>
        <v/>
      </c>
      <c r="DK8" s="13" t="str">
        <f>IF(SUM(DI8,DJ8)&gt;0,SUM(DI8,DJ8),"")</f>
        <v/>
      </c>
      <c r="DL8" s="48"/>
      <c r="DM8" s="48"/>
      <c r="DN8" s="48"/>
      <c r="DO8" s="48"/>
      <c r="DP8" s="48"/>
      <c r="DQ8" s="48"/>
      <c r="DR8" s="48"/>
      <c r="DS8" s="48"/>
      <c r="DT8" s="48"/>
      <c r="DU8" s="48"/>
      <c r="DV8" s="48"/>
      <c r="DW8" s="48"/>
      <c r="DX8" s="48"/>
      <c r="DY8" s="48"/>
      <c r="DZ8" s="48"/>
      <c r="EA8" s="48"/>
      <c r="EB8" s="16" t="str">
        <f>IF(SUM(DM8,DQ8)&gt;0,SUM(DM8,DQ8),"")</f>
        <v/>
      </c>
      <c r="EC8" s="16" t="str">
        <f>IF(SUM(DU8,DY8)&gt;0,SUM(DU8,DY8),"")</f>
        <v/>
      </c>
      <c r="ED8" s="16" t="str">
        <f>IF(SUM(DL8:DM8,DO8)-DN8&gt;0,SUM(DL8:DM8,DO8)-DN8,"")</f>
        <v/>
      </c>
      <c r="EE8" s="16" t="str">
        <f>IF(SUM(DP8:DQ8,DS8)-DR8&gt;0,SUM(DP8:DQ8,DS8)-DR8,"")</f>
        <v/>
      </c>
      <c r="EF8" s="16" t="str">
        <f>IF(SUM(ED8:EE8)&gt;0,SUM(ED8:EE8),"")</f>
        <v/>
      </c>
      <c r="EG8" s="16" t="str">
        <f>IF(SUM(DT8:DU8,DW8:DY8,EA8)-SUM(DV8,DZ8)&gt;0,SUM(DT8:DU8,DW8:DY8,EA8)-SUM(DV8,DZ8),"")</f>
        <v/>
      </c>
      <c r="EH8" s="16" t="str">
        <f>IF(SUM(EF8,EG8)&gt;0,SUM(EF8,EG8),"")</f>
        <v/>
      </c>
      <c r="EI8" s="47"/>
      <c r="EJ8" s="47"/>
      <c r="EK8" s="47"/>
      <c r="EL8" s="47"/>
      <c r="EM8" s="47"/>
      <c r="EN8" s="47"/>
      <c r="EO8" s="47"/>
      <c r="EP8" s="47"/>
      <c r="EQ8" s="47"/>
      <c r="ER8" s="47"/>
      <c r="ES8" s="47"/>
      <c r="ET8" s="47"/>
      <c r="EU8" s="47"/>
      <c r="EV8" s="47"/>
      <c r="EW8" s="47"/>
      <c r="EX8" s="47"/>
      <c r="EY8" s="13" t="str">
        <f>IF(SUM(EJ8,EN8)&gt;0,SUM(EJ8,EN8),"")</f>
        <v/>
      </c>
      <c r="EZ8" s="13" t="str">
        <f>IF(SUM(ER8,EV8)&gt;0,SUM(ER8,EV8),"")</f>
        <v/>
      </c>
      <c r="FA8" s="13" t="str">
        <f>IF(SUM(EI8:EJ8,EL8)-EK8&gt;0,SUM(EI8:EJ8,EL8)-EK8,"")</f>
        <v/>
      </c>
      <c r="FB8" s="13" t="str">
        <f>IF(SUM(EM8:EN8,EP8)-EO8&gt;0,SUM(EM8:EN8,EP8)-EO8,"")</f>
        <v/>
      </c>
      <c r="FC8" s="13" t="str">
        <f>IF(SUM(FA8:FB8)&gt;0,SUM(FA8:FB8),"")</f>
        <v/>
      </c>
      <c r="FD8" s="13" t="str">
        <f>IF(SUM(EQ8:ER8,ET8:EV8,EX8)-SUM(ES8,EW8)&gt;0,SUM(EQ8:ER8,ET8:EV8,EX8)-SUM(ES8,EW8),"")</f>
        <v/>
      </c>
      <c r="FE8" s="13" t="str">
        <f>IF(SUM(FC8,FD8)&gt;0,SUM(FC8,FD8),"")</f>
        <v/>
      </c>
      <c r="FF8" s="48"/>
      <c r="FG8" s="48"/>
      <c r="FH8" s="48"/>
      <c r="FI8" s="48"/>
      <c r="FJ8" s="48"/>
      <c r="FK8" s="48"/>
      <c r="FL8" s="48"/>
      <c r="FM8" s="48"/>
      <c r="FN8" s="48"/>
      <c r="FO8" s="48"/>
      <c r="FP8" s="48"/>
      <c r="FQ8" s="48"/>
      <c r="FR8" s="48"/>
      <c r="FS8" s="48"/>
      <c r="FT8" s="48"/>
      <c r="FU8" s="48"/>
      <c r="FV8" s="16" t="str">
        <f>IF(SUM(FG8,FK8)&gt;0,SUM(FG8,FK8),"")</f>
        <v/>
      </c>
      <c r="FW8" s="16" t="str">
        <f>IF(SUM(FO8,FS8)&gt;0,SUM(FO8,FS8),"")</f>
        <v/>
      </c>
      <c r="FX8" s="16" t="str">
        <f>IF(SUM(FF8:FG8,FI8)-FH8&gt;0,SUM(FF8:FG8,FI8)-FH8,"")</f>
        <v/>
      </c>
      <c r="FY8" s="16" t="str">
        <f>IF(SUM(FJ8:FK8,FM8)-FL8&gt;0,SUM(FJ8:FK8,FM8)-FL8,"")</f>
        <v/>
      </c>
      <c r="FZ8" s="16" t="str">
        <f>IF(SUM(FX8:FY8)&gt;0,SUM(FX8:FY8),"")</f>
        <v/>
      </c>
      <c r="GA8" s="16" t="str">
        <f>IF(SUM(FN8:FO8,FQ8:FS8,FU8)-SUM(FP8,FT8)&gt;0,SUM(FN8:FO8,FQ8:FS8,FU8)-SUM(FP8,FT8),"")</f>
        <v/>
      </c>
      <c r="GB8" s="16" t="str">
        <f>IF(SUM(FZ8,GA8)&gt;0,SUM(FZ8,GA8),"")</f>
        <v/>
      </c>
      <c r="GC8" s="47"/>
      <c r="GD8" s="47"/>
      <c r="GE8" s="47"/>
      <c r="GF8" s="47"/>
      <c r="GG8" s="47"/>
      <c r="GH8" s="47"/>
      <c r="GI8" s="47"/>
      <c r="GJ8" s="47"/>
      <c r="GK8" s="47"/>
      <c r="GL8" s="47"/>
      <c r="GM8" s="47"/>
      <c r="GN8" s="47"/>
      <c r="GO8" s="47"/>
      <c r="GP8" s="47"/>
      <c r="GQ8" s="47"/>
      <c r="GR8" s="47"/>
      <c r="GS8" s="13" t="str">
        <f>IF(SUM(GD8,GH8)&gt;0,SUM(GD8,GH8),"")</f>
        <v/>
      </c>
      <c r="GT8" s="13" t="str">
        <f>IF(SUM(GL8,GP8)&gt;0,SUM(GL8,GP8),"")</f>
        <v/>
      </c>
      <c r="GU8" s="13" t="str">
        <f>IF(SUM(GC8:GD8,GF8)-GE8&gt;0,SUM(GC8:GD8,GF8)-GE8,"")</f>
        <v/>
      </c>
      <c r="GV8" s="13" t="str">
        <f>IF(SUM(GG8:GH8,GJ8)-GI8&gt;0,SUM(GG8:GH8,GJ8)-GI8,"")</f>
        <v/>
      </c>
      <c r="GW8" s="13" t="str">
        <f>IF(SUM(GU8:GV8)&gt;0,SUM(GU8:GV8),"")</f>
        <v/>
      </c>
      <c r="GX8" s="13" t="str">
        <f>IF(SUM(GK8:GL8,GN8:GP8,GR8)-SUM(GM8,GQ8)&gt;0,SUM(GK8:GL8,GN8:GP8,GR8)-SUM(GM8,GQ8),"")</f>
        <v/>
      </c>
      <c r="GY8" s="13" t="str">
        <f>IF(SUM(GW8,GX8)&gt;0,SUM(GW8,GX8),"")</f>
        <v/>
      </c>
      <c r="GZ8" s="48"/>
      <c r="HA8" s="48"/>
      <c r="HB8" s="48"/>
      <c r="HC8" s="48"/>
      <c r="HD8" s="48"/>
      <c r="HE8" s="48"/>
      <c r="HF8" s="48"/>
      <c r="HG8" s="48"/>
      <c r="HH8" s="48"/>
      <c r="HI8" s="48"/>
      <c r="HJ8" s="48"/>
      <c r="HK8" s="48"/>
      <c r="HL8" s="48"/>
      <c r="HM8" s="48"/>
      <c r="HN8" s="48"/>
      <c r="HO8" s="48"/>
      <c r="HP8" s="16" t="str">
        <f>IF(SUM(HA8,HE8)&gt;0,SUM(HA8,HE8),"")</f>
        <v/>
      </c>
      <c r="HQ8" s="16" t="str">
        <f>IF(SUM(HI8,HM8)&gt;0,SUM(HI8,HM8),"")</f>
        <v/>
      </c>
      <c r="HR8" s="16" t="str">
        <f>IF(SUM(GZ8:HA8,HC8)-HB8&gt;0,SUM(GZ8:HA8,HC8)-HB8,"")</f>
        <v/>
      </c>
      <c r="HS8" s="16" t="str">
        <f>IF(SUM(HD8:HE8,HG8)-HF8&gt;0,SUM(HD8:HE8,HG8)-HF8,"")</f>
        <v/>
      </c>
      <c r="HT8" s="16" t="str">
        <f>IF(SUM(HR8:HS8)&gt;0,SUM(HR8:HS8),"")</f>
        <v/>
      </c>
      <c r="HU8" s="16" t="str">
        <f>IF(SUM(HH8:HI8,HK8:HM8,HO8)-SUM(HJ8,HN8)&gt;0,SUM(HH8:HI8,HK8:HM8,HO8)-SUM(HJ8,HN8),"")</f>
        <v/>
      </c>
      <c r="HV8" s="16" t="str">
        <f>IF(SUM(HT8,HU8)&gt;0,SUM(HT8,HU8),"")</f>
        <v/>
      </c>
      <c r="HW8" s="47"/>
      <c r="HX8" s="47"/>
      <c r="HY8" s="47"/>
      <c r="HZ8" s="47"/>
      <c r="IA8" s="47"/>
      <c r="IB8" s="47"/>
      <c r="IC8" s="47"/>
      <c r="ID8" s="47"/>
      <c r="IE8" s="47"/>
      <c r="IF8" s="47"/>
      <c r="IG8" s="47"/>
      <c r="IH8" s="47"/>
      <c r="II8" s="47"/>
      <c r="IJ8" s="47"/>
      <c r="IK8" s="47"/>
      <c r="IL8" s="47"/>
      <c r="IM8" s="13" t="str">
        <f>IF(SUM(HX8,IB8)&gt;0,SUM(HX8,IB8),"")</f>
        <v/>
      </c>
      <c r="IN8" s="13" t="str">
        <f>IF(SUM(IF8,IJ8)&gt;0,SUM(IF8,IJ8),"")</f>
        <v/>
      </c>
      <c r="IO8" s="13" t="str">
        <f>IF(SUM(HW8:HX8,HZ8)-HY8&gt;0,SUM(HW8:HX8,HZ8)-HY8,"")</f>
        <v/>
      </c>
      <c r="IP8" s="13" t="str">
        <f>IF(SUM(IA8:IB8,ID8)-IC8&gt;0,SUM(IA8:IB8,ID8)-IC8,"")</f>
        <v/>
      </c>
      <c r="IQ8" s="13" t="str">
        <f>IF(SUM(IO8:IP8)&gt;0,SUM(IO8:IP8),"")</f>
        <v/>
      </c>
      <c r="IR8" s="13" t="str">
        <f>IF(SUM(IE8:IF8,IH8:IJ8,IL8)-SUM(IG8,IK8)&gt;0,SUM(IE8:IF8,IH8:IJ8,IL8)-SUM(IG8,IK8),"")</f>
        <v/>
      </c>
      <c r="IS8" s="13" t="str">
        <f>IF(SUM(IQ8,IR8)&gt;0,SUM(IQ8,IR8),"")</f>
        <v/>
      </c>
      <c r="IT8" s="48"/>
      <c r="IU8" s="48"/>
      <c r="IV8" s="48"/>
      <c r="IW8" s="48"/>
      <c r="IX8" s="48"/>
      <c r="IY8" s="48"/>
      <c r="IZ8" s="48"/>
      <c r="JA8" s="48"/>
      <c r="JB8" s="48"/>
      <c r="JC8" s="48"/>
      <c r="JD8" s="48"/>
      <c r="JE8" s="48"/>
      <c r="JF8" s="48"/>
      <c r="JG8" s="48"/>
      <c r="JH8" s="48"/>
      <c r="JI8" s="48"/>
      <c r="JJ8" s="16" t="str">
        <f>IF(SUM(IU8,IY8)&gt;0,SUM(IU8,IY8),"")</f>
        <v/>
      </c>
      <c r="JK8" s="16" t="str">
        <f>IF(SUM(JC8,JG8)&gt;0,SUM(JC8,JG8),"")</f>
        <v/>
      </c>
      <c r="JL8" s="16" t="str">
        <f>IF(SUM(IT8:IU8,IW8)-IV8&gt;0,SUM(IT8:IU8,IW8)-IV8,"")</f>
        <v/>
      </c>
      <c r="JM8" s="16" t="str">
        <f>IF(SUM(IX8:IY8,JA8)-IZ8&gt;0,SUM(IX8:IY8,JA8)-IZ8,"")</f>
        <v/>
      </c>
      <c r="JN8" s="16" t="str">
        <f>IF(SUM(JL8:JM8)&gt;0,SUM(JL8:JM8),"")</f>
        <v/>
      </c>
      <c r="JO8" s="16" t="str">
        <f>IF(SUM(JB8:JC8,JE8:JG8,JI8)-SUM(JD8,JH8)&gt;0,SUM(JB8:JC8,JE8:JG8,JI8)-SUM(JD8,JH8),"")</f>
        <v/>
      </c>
      <c r="JP8" s="16" t="str">
        <f>IF(SUM(JN8,JO8)&gt;0,SUM(JN8,JO8),"")</f>
        <v/>
      </c>
      <c r="JQ8" s="47"/>
      <c r="JR8" s="47"/>
      <c r="JS8" s="47"/>
      <c r="JT8" s="47"/>
      <c r="JU8" s="47"/>
      <c r="JV8" s="47"/>
      <c r="JW8" s="47"/>
      <c r="JX8" s="47"/>
      <c r="JY8" s="47"/>
      <c r="JZ8" s="47"/>
      <c r="KA8" s="47"/>
      <c r="KB8" s="47"/>
      <c r="KC8" s="47"/>
      <c r="KD8" s="47"/>
      <c r="KE8" s="47"/>
      <c r="KF8" s="47"/>
      <c r="KG8" s="13" t="str">
        <f>IF(SUM(JR8,JV8)&gt;0,SUM(JR8,JV8),"")</f>
        <v/>
      </c>
      <c r="KH8" s="13" t="str">
        <f>IF(SUM(JZ8,KD8)&gt;0,SUM(JZ8,KD8),"")</f>
        <v/>
      </c>
      <c r="KI8" s="13" t="str">
        <f>IF(SUM(JQ8:JR8,JT8)-JS8&gt;0,SUM(JQ8:JR8,JT8)-JS8,"")</f>
        <v/>
      </c>
      <c r="KJ8" s="13" t="str">
        <f>IF(SUM(JU8:JV8,JX8)-JW8&gt;0,SUM(JU8:JV8,JX8)-JW8,"")</f>
        <v/>
      </c>
      <c r="KK8" s="13" t="str">
        <f>IF(SUM(KI8:KJ8)&gt;0,SUM(KI8:KJ8),"")</f>
        <v/>
      </c>
      <c r="KL8" s="13" t="str">
        <f>IF(SUM(JY8:JZ8,KB8:KD8,KF8)-SUM(KA8,KE8)&gt;0,SUM(JY8:JZ8,KB8:KD8,KF8)-SUM(KA8,KE8),"")</f>
        <v/>
      </c>
      <c r="KM8" s="13" t="str">
        <f>IF(SUM(KK8,KL8)&gt;0,SUM(KK8,KL8),"")</f>
        <v/>
      </c>
      <c r="KN8" s="48"/>
      <c r="KO8" s="48"/>
      <c r="KP8" s="48"/>
      <c r="KQ8" s="48"/>
      <c r="KR8" s="48"/>
      <c r="KS8" s="48"/>
      <c r="KT8" s="48"/>
      <c r="KU8" s="48"/>
      <c r="KV8" s="48"/>
      <c r="KW8" s="48"/>
      <c r="KX8" s="48"/>
      <c r="KY8" s="48"/>
      <c r="KZ8" s="48"/>
      <c r="LA8" s="48"/>
      <c r="LB8" s="48"/>
      <c r="LC8" s="48"/>
      <c r="LD8" s="16" t="str">
        <f>IF(SUM(KO8,KS8)&gt;0,SUM(KO8,KS8),"")</f>
        <v/>
      </c>
      <c r="LE8" s="16" t="str">
        <f>IF(SUM(KW8,LA8)&gt;0,SUM(KW8,LA8),"")</f>
        <v/>
      </c>
      <c r="LF8" s="16" t="str">
        <f>IF(SUM(KN8:KO8,KQ8)-KP8&gt;0,SUM(KN8:KO8,KQ8)-KP8,"")</f>
        <v/>
      </c>
      <c r="LG8" s="16" t="str">
        <f>IF(SUM(KR8:KS8,KU8)-KT8&gt;0,SUM(KR8:KS8,KU8)-KT8,"")</f>
        <v/>
      </c>
      <c r="LH8" s="16" t="str">
        <f>IF(SUM(LF8:LG8)&gt;0,SUM(LF8:LG8),"")</f>
        <v/>
      </c>
      <c r="LI8" s="16" t="str">
        <f>IF(SUM(KV8:KW8,KY8:LA8,LC8)-SUM(KX8,LB8)&gt;0,SUM(KV8:KW8,KY8:LA8,LC8)-SUM(KX8,LB8),"")</f>
        <v/>
      </c>
      <c r="LJ8" s="16" t="str">
        <f>IF(SUM(LH8,LI8)&gt;0,SUM(LH8,LI8),"")</f>
        <v/>
      </c>
      <c r="LK8" s="47"/>
      <c r="LL8" s="47"/>
      <c r="LM8" s="47"/>
      <c r="LN8" s="47"/>
      <c r="LO8" s="47"/>
      <c r="LP8" s="47"/>
      <c r="LQ8" s="47"/>
      <c r="LR8" s="47"/>
      <c r="LS8" s="47"/>
      <c r="LT8" s="47"/>
      <c r="LU8" s="47"/>
      <c r="LV8" s="47"/>
      <c r="LW8" s="47"/>
      <c r="LX8" s="47"/>
      <c r="LY8" s="47"/>
      <c r="LZ8" s="47"/>
      <c r="MA8" s="13" t="str">
        <f>IF(SUM(LL8,LP8)&gt;0,SUM(LL8,LP8),"")</f>
        <v/>
      </c>
      <c r="MB8" s="13" t="str">
        <f>IF(SUM(LT8,LX8)&gt;0,SUM(LT8,LX8),"")</f>
        <v/>
      </c>
      <c r="MC8" s="13" t="str">
        <f>IF(SUM(LK8:LL8,LN8)-LM8&gt;0,SUM(LK8:LL8,LN8)-LM8,"")</f>
        <v/>
      </c>
      <c r="MD8" s="13" t="str">
        <f>IF(SUM(LO8:LP8,LR8)-LQ8&gt;0,SUM(LO8:LP8,LR8)-LQ8,"")</f>
        <v/>
      </c>
      <c r="ME8" s="13" t="str">
        <f>IF(SUM(MC8:MD8)&gt;0,SUM(MC8:MD8),"")</f>
        <v/>
      </c>
      <c r="MF8" s="13" t="str">
        <f>IF(SUM(LS8:LT8,LV8:LX8,LZ8)-SUM(LU8,LY8)&gt;0,SUM(LS8:LT8,LV8:LX8,LZ8)-SUM(LU8,LY8),"")</f>
        <v/>
      </c>
      <c r="MG8" s="13" t="str">
        <f>IF(SUM(ME8,MF8)&gt;0,SUM(ME8,MF8),"")</f>
        <v/>
      </c>
      <c r="MH8" s="48"/>
      <c r="MI8" s="48"/>
      <c r="MJ8" s="48"/>
      <c r="MK8" s="48"/>
      <c r="ML8" s="48"/>
      <c r="MM8" s="48"/>
      <c r="MN8" s="48"/>
      <c r="MO8" s="48"/>
      <c r="MP8" s="48"/>
      <c r="MQ8" s="48"/>
      <c r="MR8" s="48"/>
      <c r="MS8" s="48"/>
      <c r="MT8" s="48"/>
      <c r="MU8" s="48"/>
      <c r="MV8" s="48"/>
      <c r="MW8" s="48"/>
      <c r="MX8" s="16" t="str">
        <f>IF(SUM(MI8,MM8)&gt;0,SUM(MI8,MM8),"")</f>
        <v/>
      </c>
      <c r="MY8" s="16" t="str">
        <f>IF(SUM(MQ8,MU8)&gt;0,SUM(MQ8,MU8),"")</f>
        <v/>
      </c>
      <c r="MZ8" s="16" t="str">
        <f>IF(SUM(MH8:MI8,MK8)-MJ8&gt;0,SUM(MH8:MI8,MK8)-MJ8,"")</f>
        <v/>
      </c>
      <c r="NA8" s="16" t="str">
        <f>IF(SUM(ML8:MM8,MO8)-MN8&gt;0,SUM(ML8:MM8,MO8)-MN8,"")</f>
        <v/>
      </c>
      <c r="NB8" s="16" t="str">
        <f>IF(SUM(MZ8:NA8)&gt;0,SUM(MZ8:NA8),"")</f>
        <v/>
      </c>
      <c r="NC8" s="16" t="str">
        <f>IF(SUM(MP8:MQ8,MS8:MU8,MW8)-SUM(MR8,MV8)&gt;0,SUM(MP8:MQ8,MS8:MU8,MW8)-SUM(MR8,MV8),"")</f>
        <v/>
      </c>
      <c r="ND8" s="16" t="str">
        <f>IF(SUM(NB8,NC8)&gt;0,SUM(NB8,NC8),"")</f>
        <v/>
      </c>
    </row>
    <row r="9" spans="1:368" ht="17" x14ac:dyDescent="0.2">
      <c r="R9" s="23"/>
      <c r="S9" s="23"/>
      <c r="T9" s="23"/>
      <c r="KN9" s="52"/>
      <c r="KO9" s="52"/>
      <c r="KP9" s="52"/>
      <c r="KQ9" s="52"/>
      <c r="KR9" s="52"/>
      <c r="KS9" s="52"/>
      <c r="KT9" s="52"/>
      <c r="KU9" s="52"/>
      <c r="KV9" s="52"/>
      <c r="KW9" s="52"/>
      <c r="KX9" s="52"/>
      <c r="KY9" s="52"/>
      <c r="KZ9" s="52"/>
      <c r="LA9" s="52"/>
      <c r="LB9" s="52"/>
      <c r="LC9" s="52"/>
    </row>
    <row r="10" spans="1:368" ht="17" x14ac:dyDescent="0.2">
      <c r="R10" s="23"/>
      <c r="S10" s="23"/>
      <c r="T10" s="23"/>
    </row>
    <row r="11" spans="1:368" ht="17" x14ac:dyDescent="0.2">
      <c r="B11" s="88" t="s">
        <v>123</v>
      </c>
      <c r="R11" s="23"/>
      <c r="S11" s="23"/>
      <c r="T11" s="23"/>
      <c r="AK11" s="71"/>
      <c r="AL11" s="80">
        <v>9.6</v>
      </c>
      <c r="BH11" s="71"/>
      <c r="BI11" s="80">
        <v>8.1</v>
      </c>
      <c r="CE11" s="71"/>
      <c r="CF11" s="80">
        <v>8.1</v>
      </c>
      <c r="DE11" s="71"/>
      <c r="DF11" s="80">
        <v>9.6</v>
      </c>
      <c r="EB11" s="71"/>
      <c r="EC11" s="80">
        <v>9.6</v>
      </c>
      <c r="EY11" s="71"/>
      <c r="EZ11" s="80">
        <v>9.6</v>
      </c>
      <c r="FV11" s="71"/>
      <c r="FW11" s="80">
        <v>8.1</v>
      </c>
      <c r="GS11" s="71"/>
      <c r="GT11" s="80">
        <v>8.1</v>
      </c>
      <c r="HP11" s="71"/>
      <c r="HQ11" s="80">
        <v>8.1</v>
      </c>
      <c r="IM11" s="71"/>
      <c r="IN11" s="80">
        <v>8.1</v>
      </c>
      <c r="JJ11" s="71"/>
      <c r="JK11" s="80">
        <v>8.1</v>
      </c>
      <c r="KG11" s="71"/>
      <c r="KH11" s="80">
        <v>8.1</v>
      </c>
      <c r="LD11" s="71"/>
      <c r="LE11" s="80">
        <v>8.1</v>
      </c>
      <c r="MA11" s="71"/>
      <c r="MB11" s="80">
        <v>8.1</v>
      </c>
      <c r="MX11" s="71"/>
      <c r="MY11" s="80">
        <v>8.1</v>
      </c>
    </row>
    <row r="12" spans="1:368" ht="17" x14ac:dyDescent="0.2">
      <c r="A12" s="71"/>
      <c r="B12" s="89" t="s">
        <v>122</v>
      </c>
      <c r="C12" s="70"/>
      <c r="R12" s="23"/>
      <c r="S12" s="23"/>
      <c r="T12" s="23"/>
      <c r="AK12" s="71"/>
      <c r="AL12" s="81">
        <v>9.6</v>
      </c>
      <c r="BH12" s="71"/>
      <c r="BI12" s="81">
        <v>8.1</v>
      </c>
      <c r="CE12" s="71"/>
      <c r="CF12" s="81">
        <v>8.1</v>
      </c>
      <c r="DE12" s="71"/>
      <c r="DF12" s="81">
        <v>9.6</v>
      </c>
      <c r="EB12" s="71"/>
      <c r="EC12" s="81">
        <v>9.6</v>
      </c>
      <c r="EY12" s="71"/>
      <c r="EZ12" s="81">
        <v>9.6</v>
      </c>
      <c r="FV12" s="71"/>
      <c r="FW12" s="81">
        <v>8.1</v>
      </c>
      <c r="GS12" s="71"/>
      <c r="GT12" s="81">
        <v>8.1</v>
      </c>
      <c r="HP12" s="71"/>
      <c r="HQ12" s="81">
        <v>8.1</v>
      </c>
      <c r="IM12" s="71"/>
      <c r="IN12" s="81">
        <v>8.1</v>
      </c>
      <c r="JJ12" s="71"/>
      <c r="JK12" s="81">
        <v>8.1</v>
      </c>
      <c r="KG12" s="71"/>
      <c r="KH12" s="81">
        <v>8.1</v>
      </c>
      <c r="LD12" s="71"/>
      <c r="LE12" s="81">
        <v>8.1</v>
      </c>
      <c r="MA12" s="71"/>
      <c r="MB12" s="81">
        <v>8.1</v>
      </c>
      <c r="MX12" s="71"/>
      <c r="MY12" s="81">
        <v>8.1</v>
      </c>
    </row>
    <row r="13" spans="1:368" ht="17" x14ac:dyDescent="0.2">
      <c r="A13" s="71"/>
      <c r="B13" s="90" t="s">
        <v>120</v>
      </c>
      <c r="C13" s="70"/>
      <c r="R13" s="23"/>
      <c r="S13" s="23"/>
      <c r="T13" s="23"/>
      <c r="AK13" s="71"/>
      <c r="AL13" s="82">
        <v>61.6</v>
      </c>
      <c r="BH13" s="71"/>
      <c r="BI13" s="82">
        <v>60</v>
      </c>
      <c r="CE13" s="71"/>
      <c r="CF13" s="82">
        <v>60</v>
      </c>
      <c r="DE13" s="71"/>
      <c r="DF13" s="82">
        <v>61.6</v>
      </c>
      <c r="EB13" s="71"/>
      <c r="EC13" s="82">
        <v>61.6</v>
      </c>
      <c r="EY13" s="71"/>
      <c r="EZ13" s="82">
        <v>61.6</v>
      </c>
      <c r="FV13" s="71"/>
      <c r="FW13" s="82">
        <v>60</v>
      </c>
      <c r="GS13" s="71"/>
      <c r="GT13" s="82">
        <v>60</v>
      </c>
      <c r="HP13" s="71"/>
      <c r="HQ13" s="82">
        <v>60</v>
      </c>
      <c r="IM13" s="71"/>
      <c r="IN13" s="82">
        <v>60</v>
      </c>
      <c r="JJ13" s="71"/>
      <c r="JK13" s="82">
        <v>60</v>
      </c>
      <c r="KG13" s="71"/>
      <c r="KH13" s="82">
        <v>60</v>
      </c>
      <c r="LD13" s="71"/>
      <c r="LE13" s="82">
        <v>60</v>
      </c>
      <c r="MA13" s="71"/>
      <c r="MB13" s="82">
        <v>60</v>
      </c>
      <c r="MX13" s="71"/>
      <c r="MY13" s="82">
        <v>60</v>
      </c>
    </row>
    <row r="14" spans="1:368" ht="17" x14ac:dyDescent="0.2">
      <c r="A14" s="71"/>
      <c r="B14" s="91" t="s">
        <v>121</v>
      </c>
      <c r="C14" s="70"/>
      <c r="R14" s="23"/>
      <c r="S14" s="23"/>
      <c r="T14" s="23"/>
      <c r="AK14" s="71"/>
      <c r="AL14" s="83">
        <v>61.6</v>
      </c>
      <c r="BH14" s="71"/>
      <c r="BI14" s="83">
        <v>61.5</v>
      </c>
      <c r="CE14" s="71"/>
      <c r="CF14" s="83">
        <v>61.5</v>
      </c>
      <c r="DE14" s="71"/>
      <c r="DF14" s="83">
        <v>61.6</v>
      </c>
      <c r="EB14" s="71"/>
      <c r="EC14" s="83">
        <v>61.6</v>
      </c>
      <c r="EY14" s="71"/>
      <c r="EZ14" s="83">
        <v>61.6</v>
      </c>
      <c r="FV14" s="71"/>
      <c r="FW14" s="83">
        <v>61.5</v>
      </c>
      <c r="GS14" s="71"/>
      <c r="GT14" s="83">
        <v>61.5</v>
      </c>
      <c r="HP14" s="71"/>
      <c r="HQ14" s="83">
        <v>61.5</v>
      </c>
      <c r="IM14" s="71"/>
      <c r="IN14" s="83">
        <v>61.5</v>
      </c>
      <c r="JJ14" s="71"/>
      <c r="JK14" s="83">
        <v>61.5</v>
      </c>
      <c r="KG14" s="71"/>
      <c r="KH14" s="83">
        <v>61.5</v>
      </c>
      <c r="LD14" s="71"/>
      <c r="LE14" s="83">
        <v>61.5</v>
      </c>
      <c r="MA14" s="71"/>
      <c r="MB14" s="83">
        <v>61.5</v>
      </c>
      <c r="MX14" s="71"/>
      <c r="MY14" s="83">
        <v>61.5</v>
      </c>
    </row>
    <row r="15" spans="1:368" ht="17" x14ac:dyDescent="0.2">
      <c r="A15" s="71"/>
      <c r="B15" s="92" t="s">
        <v>39</v>
      </c>
      <c r="C15" s="70"/>
      <c r="R15" s="23"/>
      <c r="S15" s="23"/>
      <c r="T15" s="23"/>
      <c r="AK15" s="71"/>
      <c r="AL15" s="84">
        <v>66.5</v>
      </c>
      <c r="BH15" s="71"/>
      <c r="BI15" s="84">
        <v>64.099999999999994</v>
      </c>
      <c r="CE15" s="71"/>
      <c r="CF15" s="84">
        <v>64.099999999999994</v>
      </c>
      <c r="DE15" s="71"/>
      <c r="DF15" s="84">
        <v>66.5</v>
      </c>
      <c r="EB15" s="71"/>
      <c r="EC15" s="84">
        <v>66.5</v>
      </c>
      <c r="EY15" s="71"/>
      <c r="EZ15" s="84">
        <v>66.5</v>
      </c>
      <c r="FV15" s="71"/>
      <c r="FW15" s="84">
        <v>64.099999999999994</v>
      </c>
      <c r="GS15" s="71"/>
      <c r="GT15" s="84">
        <v>64.099999999999994</v>
      </c>
      <c r="HP15" s="71"/>
      <c r="HQ15" s="84">
        <v>64.099999999999994</v>
      </c>
      <c r="IM15" s="71"/>
      <c r="IN15" s="84">
        <v>64.099999999999994</v>
      </c>
      <c r="JJ15" s="71"/>
      <c r="JK15" s="84">
        <v>64.099999999999994</v>
      </c>
      <c r="KG15" s="71"/>
      <c r="KH15" s="84">
        <v>64.099999999999994</v>
      </c>
      <c r="LD15" s="71"/>
      <c r="LE15" s="84">
        <v>64.099999999999994</v>
      </c>
      <c r="MA15" s="71"/>
      <c r="MB15" s="84">
        <v>64.099999999999994</v>
      </c>
      <c r="MX15" s="71"/>
      <c r="MY15" s="84">
        <v>64.099999999999994</v>
      </c>
    </row>
    <row r="16" spans="1:368" ht="17" x14ac:dyDescent="0.2">
      <c r="A16" s="71"/>
      <c r="B16" s="93" t="s">
        <v>91</v>
      </c>
      <c r="C16" s="70"/>
      <c r="R16" s="23"/>
      <c r="S16" s="23"/>
      <c r="T16" s="23"/>
      <c r="AK16" s="71"/>
      <c r="AL16" s="85">
        <v>68.099999999999994</v>
      </c>
      <c r="BH16" s="71"/>
      <c r="BI16" s="85">
        <v>66.8</v>
      </c>
      <c r="CE16" s="71"/>
      <c r="CF16" s="85">
        <v>66.8</v>
      </c>
      <c r="DE16" s="71"/>
      <c r="DF16" s="85">
        <v>68.099999999999994</v>
      </c>
      <c r="EB16" s="71"/>
      <c r="EC16" s="85">
        <v>68.099999999999994</v>
      </c>
      <c r="EY16" s="71"/>
      <c r="EZ16" s="85">
        <v>68.099999999999994</v>
      </c>
      <c r="FV16" s="71"/>
      <c r="FW16" s="85">
        <v>66.8</v>
      </c>
      <c r="GS16" s="71"/>
      <c r="GT16" s="85">
        <v>66.8</v>
      </c>
      <c r="HP16" s="71"/>
      <c r="HQ16" s="85">
        <v>66.8</v>
      </c>
      <c r="IM16" s="71"/>
      <c r="IN16" s="85">
        <v>66.8</v>
      </c>
      <c r="JJ16" s="71"/>
      <c r="JK16" s="85">
        <v>66.8</v>
      </c>
      <c r="KG16" s="71"/>
      <c r="KH16" s="85">
        <v>66.8</v>
      </c>
      <c r="LD16" s="71"/>
      <c r="LE16" s="85">
        <v>66.8</v>
      </c>
      <c r="MA16" s="71"/>
      <c r="MB16" s="85">
        <v>66.8</v>
      </c>
      <c r="MX16" s="71"/>
      <c r="MY16" s="85">
        <v>66.8</v>
      </c>
    </row>
    <row r="17" spans="1:156" x14ac:dyDescent="0.2">
      <c r="C17" s="3"/>
      <c r="AL17" s="69" t="s">
        <v>141</v>
      </c>
      <c r="BI17" s="69"/>
      <c r="DF17" s="69" t="s">
        <v>141</v>
      </c>
      <c r="EC17" s="69" t="s">
        <v>141</v>
      </c>
      <c r="EZ17" s="69" t="s">
        <v>141</v>
      </c>
    </row>
    <row r="18" spans="1:156" x14ac:dyDescent="0.2">
      <c r="A18" s="71"/>
      <c r="B18" s="71"/>
      <c r="C18" s="70"/>
    </row>
    <row r="19" spans="1:156" x14ac:dyDescent="0.2">
      <c r="A19" s="71"/>
      <c r="B19" s="71"/>
      <c r="C19" s="70"/>
    </row>
    <row r="20" spans="1:156" x14ac:dyDescent="0.2">
      <c r="A20" s="71"/>
      <c r="B20" s="71"/>
      <c r="C20" s="70"/>
    </row>
    <row r="21" spans="1:156" x14ac:dyDescent="0.2">
      <c r="A21" s="7"/>
      <c r="B21" s="7"/>
      <c r="C21" s="7"/>
    </row>
  </sheetData>
  <sheetProtection sheet="1" formatCells="0" formatColumns="0" formatRows="0"/>
  <autoFilter ref="A1:ND3" xr:uid="{00000000-0009-0000-0000-000006000000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9" showButton="0"/>
    <filterColumn colId="90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sortState ref="A6:ND8">
      <sortCondition descending="1" ref="F1:F7"/>
    </sortState>
  </autoFilter>
  <mergeCells count="96">
    <mergeCell ref="A1:A3"/>
    <mergeCell ref="AZ2:BC2"/>
    <mergeCell ref="B1:B3"/>
    <mergeCell ref="C1:C3"/>
    <mergeCell ref="D1:D3"/>
    <mergeCell ref="E1:E3"/>
    <mergeCell ref="U2:X2"/>
    <mergeCell ref="K1:K3"/>
    <mergeCell ref="O1:O3"/>
    <mergeCell ref="Q1:Q3"/>
    <mergeCell ref="S1:S3"/>
    <mergeCell ref="T1:T3"/>
    <mergeCell ref="N1:N3"/>
    <mergeCell ref="P1:P3"/>
    <mergeCell ref="R1:R3"/>
    <mergeCell ref="G1:G3"/>
    <mergeCell ref="H1:H3"/>
    <mergeCell ref="I1:I3"/>
    <mergeCell ref="J1:J3"/>
    <mergeCell ref="L1:L3"/>
    <mergeCell ref="BD2:BG2"/>
    <mergeCell ref="U1:AQ1"/>
    <mergeCell ref="AR1:BN1"/>
    <mergeCell ref="DL1:EH1"/>
    <mergeCell ref="DL2:DO2"/>
    <mergeCell ref="DP2:DS2"/>
    <mergeCell ref="DT2:DW2"/>
    <mergeCell ref="DX2:EA2"/>
    <mergeCell ref="CA2:CD2"/>
    <mergeCell ref="BW2:BZ2"/>
    <mergeCell ref="Y2:AB2"/>
    <mergeCell ref="AC2:AF2"/>
    <mergeCell ref="AG2:AJ2"/>
    <mergeCell ref="AR2:AU2"/>
    <mergeCell ref="AV2:AY2"/>
    <mergeCell ref="HW2:HZ2"/>
    <mergeCell ref="IA2:ID2"/>
    <mergeCell ref="EI1:FE1"/>
    <mergeCell ref="BO2:BR2"/>
    <mergeCell ref="BS2:BV2"/>
    <mergeCell ref="CS2:CV2"/>
    <mergeCell ref="CW2:CZ2"/>
    <mergeCell ref="DA2:DD2"/>
    <mergeCell ref="CO2:CR2"/>
    <mergeCell ref="CL1:CN1"/>
    <mergeCell ref="CO1:DK1"/>
    <mergeCell ref="BO1:CK1"/>
    <mergeCell ref="GC2:GF2"/>
    <mergeCell ref="GZ2:HC2"/>
    <mergeCell ref="HD2:HG2"/>
    <mergeCell ref="HH2:HK2"/>
    <mergeCell ref="HL2:HO2"/>
    <mergeCell ref="EU2:EX2"/>
    <mergeCell ref="FF2:FI2"/>
    <mergeCell ref="FJ2:FM2"/>
    <mergeCell ref="FN2:FQ2"/>
    <mergeCell ref="FR2:FU2"/>
    <mergeCell ref="JQ1:KM1"/>
    <mergeCell ref="KN1:LJ1"/>
    <mergeCell ref="LK1:MG1"/>
    <mergeCell ref="MH1:ND1"/>
    <mergeCell ref="JB2:JE2"/>
    <mergeCell ref="JF2:JI2"/>
    <mergeCell ref="JQ2:JT2"/>
    <mergeCell ref="JU2:JX2"/>
    <mergeCell ref="JY2:KB2"/>
    <mergeCell ref="IT1:JP1"/>
    <mergeCell ref="KC2:KF2"/>
    <mergeCell ref="KN2:KQ2"/>
    <mergeCell ref="KR2:KU2"/>
    <mergeCell ref="KV2:KY2"/>
    <mergeCell ref="KZ2:LC2"/>
    <mergeCell ref="ML2:MO2"/>
    <mergeCell ref="MP2:MS2"/>
    <mergeCell ref="MT2:MW2"/>
    <mergeCell ref="LK2:LN2"/>
    <mergeCell ref="LO2:LR2"/>
    <mergeCell ref="LS2:LV2"/>
    <mergeCell ref="LW2:LZ2"/>
    <mergeCell ref="MH2:MK2"/>
    <mergeCell ref="F1:F3"/>
    <mergeCell ref="IE2:IH2"/>
    <mergeCell ref="II2:IL2"/>
    <mergeCell ref="IT2:IW2"/>
    <mergeCell ref="IX2:JA2"/>
    <mergeCell ref="GG2:GJ2"/>
    <mergeCell ref="GK2:GN2"/>
    <mergeCell ref="GO2:GR2"/>
    <mergeCell ref="FF1:GB1"/>
    <mergeCell ref="GC1:GY1"/>
    <mergeCell ref="GZ1:HV1"/>
    <mergeCell ref="HW1:IS1"/>
    <mergeCell ref="M1:M3"/>
    <mergeCell ref="EI2:EL2"/>
    <mergeCell ref="EM2:EP2"/>
    <mergeCell ref="EQ2:ET2"/>
  </mergeCells>
  <conditionalFormatting sqref="A1:A1048576">
    <cfRule type="expression" dxfId="59" priority="41">
      <formula>AND(H1="P",F1="")</formula>
    </cfRule>
  </conditionalFormatting>
  <conditionalFormatting sqref="I1:I1048576">
    <cfRule type="containsText" dxfId="58" priority="42" operator="containsText" text="Merit">
      <formula>NOT(ISERROR(SEARCH("Merit",I1)))</formula>
    </cfRule>
    <cfRule type="containsText" dxfId="57" priority="43" operator="containsText" text="Funding">
      <formula>NOT(ISERROR(SEARCH("Funding",I1)))</formula>
    </cfRule>
    <cfRule type="containsText" dxfId="56" priority="44" operator="containsText" text="Worlds Team">
      <formula>NOT(ISERROR(SEARCH("Worlds Team",I1)))</formula>
    </cfRule>
    <cfRule type="containsText" dxfId="55" priority="212" operator="containsText" text="National Team">
      <formula>NOT(ISERROR(SEARCH("National Team",I1)))</formula>
    </cfRule>
  </conditionalFormatting>
  <conditionalFormatting sqref="K1:K1048576">
    <cfRule type="expression" dxfId="54" priority="213">
      <formula>IF(J1=CI1,1,0)</formula>
    </cfRule>
    <cfRule type="expression" dxfId="53" priority="214">
      <formula>IF(J1=BL1,1,0)</formula>
    </cfRule>
    <cfRule type="expression" dxfId="52" priority="215">
      <formula>IF(J1=AO1,1,0)</formula>
    </cfRule>
  </conditionalFormatting>
  <conditionalFormatting sqref="M1:M1048576">
    <cfRule type="expression" dxfId="51" priority="216">
      <formula>IF(L1=CG1,1,0)</formula>
    </cfRule>
    <cfRule type="expression" dxfId="50" priority="217">
      <formula>IF(L1=BJ1,1,0)</formula>
    </cfRule>
    <cfRule type="expression" dxfId="49" priority="218">
      <formula>IF(L1=AM1,1,0)</formula>
    </cfRule>
  </conditionalFormatting>
  <conditionalFormatting sqref="O1:O1048576 Q1:Q1048576">
    <cfRule type="expression" dxfId="48" priority="219">
      <formula>IF(N1=CH1,1,0)</formula>
    </cfRule>
    <cfRule type="expression" dxfId="47" priority="220">
      <formula>IF(N1=BK1,1,0)</formula>
    </cfRule>
    <cfRule type="expression" dxfId="46" priority="423">
      <formula>IF(N1=AN1,1,0)</formula>
    </cfRule>
  </conditionalFormatting>
  <conditionalFormatting sqref="AK1:AK1048576 BH1:BH1048576 CE1:CE1048576 DE1:DE1048576 EB1:EB1048576 EY1:EY1048576 FV1:FV1048576 GS1:GS1048576 HP1:HP1048576 IM1:IM1048576 JJ1:JJ1048576 KG1:KG1048576 LD1:LD1048576 MA1:MA1048576 MX1:MX1048576">
    <cfRule type="cellIs" dxfId="45" priority="1095" operator="between">
      <formula>AL$12</formula>
      <formula>100</formula>
    </cfRule>
    <cfRule type="cellIs" dxfId="44" priority="1096" operator="between">
      <formula>AL$11</formula>
      <formula>AL$12</formula>
    </cfRule>
  </conditionalFormatting>
  <conditionalFormatting sqref="NB1:NB1048576 ME1:ME1048576 LH1:LH1048576 KK1:KK1048576 JN1:JN1048576 IQ1:IQ1048576 HT1:HT1048576 GW1:GW1048576 FZ1:FZ1048576 FC1:FC1048576 EF1:EF1048576 DI1:DI1048576 CI1:CI1048576 BL1:BL1048576 AO1:AO1048576">
    <cfRule type="cellIs" dxfId="43" priority="1107" operator="between">
      <formula>AL$16</formula>
      <formula>1000</formula>
    </cfRule>
    <cfRule type="cellIs" dxfId="42" priority="1108" operator="between">
      <formula>AL$15</formula>
      <formula>AL$16</formula>
    </cfRule>
    <cfRule type="cellIs" dxfId="41" priority="1109" operator="between">
      <formula>AL$14</formula>
      <formula>AL$15</formula>
    </cfRule>
    <cfRule type="cellIs" dxfId="40" priority="1110" operator="between">
      <formula>AL$13</formula>
      <formula>AL$14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RE25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6.33203125" customWidth="1"/>
    <col min="6" max="6" width="16.1640625" customWidth="1"/>
    <col min="7" max="7" width="14.83203125" customWidth="1"/>
    <col min="9" max="9" width="13.33203125" bestFit="1" customWidth="1"/>
    <col min="11" max="11" width="20.5" bestFit="1" customWidth="1"/>
    <col min="12" max="12" width="11.83203125" bestFit="1" customWidth="1"/>
    <col min="13" max="13" width="20.5" bestFit="1" customWidth="1"/>
    <col min="14" max="14" width="11.83203125" bestFit="1" customWidth="1"/>
    <col min="15" max="15" width="20.5" bestFit="1" customWidth="1"/>
    <col min="17" max="17" width="20.5" bestFit="1" customWidth="1"/>
    <col min="18" max="18" width="24.6640625" bestFit="1" customWidth="1"/>
    <col min="19" max="19" width="13" bestFit="1" customWidth="1"/>
    <col min="20" max="20" width="38.5" bestFit="1" customWidth="1"/>
    <col min="21" max="44" width="10.83203125" hidden="1" customWidth="1"/>
    <col min="45" max="47" width="10.83203125" customWidth="1"/>
    <col min="49" max="50" width="10.83203125" customWidth="1"/>
    <col min="51" max="74" width="10.83203125" hidden="1" customWidth="1"/>
    <col min="75" max="80" width="10.83203125" customWidth="1"/>
    <col min="81" max="104" width="10.83203125" hidden="1" customWidth="1"/>
    <col min="105" max="110" width="10.83203125" customWidth="1"/>
    <col min="114" max="137" width="10.83203125" hidden="1" customWidth="1"/>
    <col min="138" max="143" width="10.83203125" customWidth="1"/>
    <col min="144" max="167" width="10.83203125" hidden="1" customWidth="1"/>
    <col min="168" max="173" width="10.83203125" customWidth="1"/>
    <col min="174" max="197" width="10.83203125" hidden="1" customWidth="1"/>
    <col min="198" max="203" width="10.83203125" customWidth="1"/>
    <col min="204" max="227" width="10.83203125" hidden="1" customWidth="1"/>
    <col min="228" max="233" width="10.83203125" customWidth="1"/>
    <col min="234" max="257" width="10.83203125" hidden="1" customWidth="1"/>
    <col min="258" max="263" width="10.83203125" customWidth="1"/>
    <col min="264" max="287" width="10.83203125" hidden="1" customWidth="1"/>
    <col min="288" max="293" width="10.83203125" customWidth="1"/>
    <col min="294" max="317" width="10.83203125" hidden="1" customWidth="1"/>
    <col min="318" max="323" width="10.83203125" customWidth="1"/>
    <col min="324" max="347" width="10.83203125" hidden="1" customWidth="1"/>
    <col min="348" max="353" width="10.83203125" customWidth="1"/>
    <col min="354" max="377" width="10.83203125" hidden="1" customWidth="1"/>
    <col min="378" max="383" width="10.83203125" customWidth="1"/>
    <col min="384" max="407" width="10.83203125" hidden="1" customWidth="1"/>
    <col min="408" max="413" width="10.83203125" customWidth="1"/>
    <col min="414" max="437" width="10.83203125" hidden="1" customWidth="1"/>
    <col min="438" max="443" width="10.83203125" customWidth="1"/>
    <col min="444" max="467" width="10.83203125" hidden="1" customWidth="1"/>
    <col min="468" max="473" width="10.83203125" customWidth="1"/>
  </cols>
  <sheetData>
    <row r="1" spans="1:473" x14ac:dyDescent="0.2">
      <c r="A1" s="101" t="s">
        <v>2</v>
      </c>
      <c r="B1" s="101" t="s">
        <v>51</v>
      </c>
      <c r="C1" s="101" t="s">
        <v>0</v>
      </c>
      <c r="D1" s="101" t="s">
        <v>1</v>
      </c>
      <c r="E1" s="101" t="s">
        <v>3</v>
      </c>
      <c r="F1" s="104" t="s">
        <v>123</v>
      </c>
      <c r="G1" s="104" t="s">
        <v>122</v>
      </c>
      <c r="H1" s="101" t="s">
        <v>22</v>
      </c>
      <c r="I1" s="101" t="s">
        <v>23</v>
      </c>
      <c r="J1" s="102" t="s">
        <v>24</v>
      </c>
      <c r="K1" s="102" t="s">
        <v>87</v>
      </c>
      <c r="L1" s="102" t="s">
        <v>54</v>
      </c>
      <c r="M1" s="102" t="s">
        <v>87</v>
      </c>
      <c r="N1" s="102" t="s">
        <v>55</v>
      </c>
      <c r="O1" s="102" t="s">
        <v>87</v>
      </c>
      <c r="P1" s="102" t="s">
        <v>27</v>
      </c>
      <c r="Q1" s="102" t="s">
        <v>87</v>
      </c>
      <c r="R1" s="103" t="s">
        <v>28</v>
      </c>
      <c r="S1" s="102" t="s">
        <v>90</v>
      </c>
      <c r="T1" s="102" t="s">
        <v>87</v>
      </c>
      <c r="U1" s="97" t="s">
        <v>92</v>
      </c>
      <c r="V1" s="97"/>
      <c r="W1" s="97"/>
      <c r="X1" s="97"/>
      <c r="Y1" s="97"/>
      <c r="Z1" s="97"/>
      <c r="AA1" s="97"/>
      <c r="AB1" s="97"/>
      <c r="AC1" s="97"/>
      <c r="AD1" s="97"/>
      <c r="AE1" s="97"/>
      <c r="AF1" s="97"/>
      <c r="AG1" s="97"/>
      <c r="AH1" s="97"/>
      <c r="AI1" s="97"/>
      <c r="AJ1" s="97"/>
      <c r="AK1" s="97"/>
      <c r="AL1" s="97"/>
      <c r="AM1" s="97"/>
      <c r="AN1" s="97"/>
      <c r="AO1" s="97"/>
      <c r="AP1" s="97"/>
      <c r="AQ1" s="97"/>
      <c r="AR1" s="97"/>
      <c r="AS1" s="97"/>
      <c r="AT1" s="97"/>
      <c r="AU1" s="97"/>
      <c r="AV1" s="97"/>
      <c r="AW1" s="97"/>
      <c r="AX1" s="97"/>
      <c r="AY1" s="96" t="s">
        <v>124</v>
      </c>
      <c r="AZ1" s="96"/>
      <c r="BA1" s="96"/>
      <c r="BB1" s="96"/>
      <c r="BC1" s="96"/>
      <c r="BD1" s="96"/>
      <c r="BE1" s="96"/>
      <c r="BF1" s="96"/>
      <c r="BG1" s="96"/>
      <c r="BH1" s="96"/>
      <c r="BI1" s="96"/>
      <c r="BJ1" s="96"/>
      <c r="BK1" s="96"/>
      <c r="BL1" s="96"/>
      <c r="BM1" s="96"/>
      <c r="BN1" s="96"/>
      <c r="BO1" s="96"/>
      <c r="BP1" s="96"/>
      <c r="BQ1" s="96"/>
      <c r="BR1" s="96"/>
      <c r="BS1" s="96"/>
      <c r="BT1" s="96"/>
      <c r="BU1" s="96"/>
      <c r="BV1" s="96"/>
      <c r="BW1" s="96"/>
      <c r="BX1" s="96"/>
      <c r="BY1" s="96"/>
      <c r="BZ1" s="96"/>
      <c r="CA1" s="96"/>
      <c r="CB1" s="96"/>
      <c r="CC1" s="97" t="s">
        <v>142</v>
      </c>
      <c r="CD1" s="97"/>
      <c r="CE1" s="97"/>
      <c r="CF1" s="97"/>
      <c r="CG1" s="97"/>
      <c r="CH1" s="97"/>
      <c r="CI1" s="97"/>
      <c r="CJ1" s="97"/>
      <c r="CK1" s="97"/>
      <c r="CL1" s="97"/>
      <c r="CM1" s="97"/>
      <c r="CN1" s="97"/>
      <c r="CO1" s="97"/>
      <c r="CP1" s="97"/>
      <c r="CQ1" s="97"/>
      <c r="CR1" s="97"/>
      <c r="CS1" s="97"/>
      <c r="CT1" s="97"/>
      <c r="CU1" s="97"/>
      <c r="CV1" s="97"/>
      <c r="CW1" s="97"/>
      <c r="CX1" s="97"/>
      <c r="CY1" s="97"/>
      <c r="CZ1" s="97"/>
      <c r="DA1" s="97"/>
      <c r="DB1" s="97"/>
      <c r="DC1" s="97"/>
      <c r="DD1" s="97"/>
      <c r="DE1" s="97"/>
      <c r="DF1" s="97"/>
      <c r="DG1" s="100" t="s">
        <v>28</v>
      </c>
      <c r="DH1" s="100"/>
      <c r="DI1" s="100"/>
      <c r="DJ1" s="111" t="s">
        <v>89</v>
      </c>
      <c r="DK1" s="111"/>
      <c r="DL1" s="111"/>
      <c r="DM1" s="111"/>
      <c r="DN1" s="111"/>
      <c r="DO1" s="111"/>
      <c r="DP1" s="111"/>
      <c r="DQ1" s="111"/>
      <c r="DR1" s="111"/>
      <c r="DS1" s="111"/>
      <c r="DT1" s="111"/>
      <c r="DU1" s="111"/>
      <c r="DV1" s="111"/>
      <c r="DW1" s="111"/>
      <c r="DX1" s="111"/>
      <c r="DY1" s="111"/>
      <c r="DZ1" s="111"/>
      <c r="EA1" s="111"/>
      <c r="EB1" s="111"/>
      <c r="EC1" s="111"/>
      <c r="ED1" s="111"/>
      <c r="EE1" s="111"/>
      <c r="EF1" s="111"/>
      <c r="EG1" s="111"/>
      <c r="EH1" s="111"/>
      <c r="EI1" s="111"/>
      <c r="EJ1" s="111"/>
      <c r="EK1" s="111"/>
      <c r="EL1" s="111"/>
      <c r="EM1" s="111"/>
      <c r="EN1" s="109" t="s">
        <v>108</v>
      </c>
      <c r="EO1" s="109"/>
      <c r="EP1" s="109"/>
      <c r="EQ1" s="109"/>
      <c r="ER1" s="109"/>
      <c r="ES1" s="109"/>
      <c r="ET1" s="109"/>
      <c r="EU1" s="109"/>
      <c r="EV1" s="109"/>
      <c r="EW1" s="109"/>
      <c r="EX1" s="109"/>
      <c r="EY1" s="109"/>
      <c r="EZ1" s="109"/>
      <c r="FA1" s="109"/>
      <c r="FB1" s="109"/>
      <c r="FC1" s="109"/>
      <c r="FD1" s="109"/>
      <c r="FE1" s="109"/>
      <c r="FF1" s="109"/>
      <c r="FG1" s="109"/>
      <c r="FH1" s="109"/>
      <c r="FI1" s="109"/>
      <c r="FJ1" s="109"/>
      <c r="FK1" s="109"/>
      <c r="FL1" s="109"/>
      <c r="FM1" s="109"/>
      <c r="FN1" s="109"/>
      <c r="FO1" s="109"/>
      <c r="FP1" s="109"/>
      <c r="FQ1" s="109"/>
      <c r="FR1" s="111" t="s">
        <v>116</v>
      </c>
      <c r="FS1" s="111"/>
      <c r="FT1" s="111"/>
      <c r="FU1" s="111"/>
      <c r="FV1" s="111"/>
      <c r="FW1" s="111"/>
      <c r="FX1" s="111"/>
      <c r="FY1" s="111"/>
      <c r="FZ1" s="111"/>
      <c r="GA1" s="111"/>
      <c r="GB1" s="111"/>
      <c r="GC1" s="111"/>
      <c r="GD1" s="111"/>
      <c r="GE1" s="111"/>
      <c r="GF1" s="111"/>
      <c r="GG1" s="111"/>
      <c r="GH1" s="111"/>
      <c r="GI1" s="111"/>
      <c r="GJ1" s="111"/>
      <c r="GK1" s="111"/>
      <c r="GL1" s="111"/>
      <c r="GM1" s="111"/>
      <c r="GN1" s="111"/>
      <c r="GO1" s="111"/>
      <c r="GP1" s="111"/>
      <c r="GQ1" s="111"/>
      <c r="GR1" s="111"/>
      <c r="GS1" s="111"/>
      <c r="GT1" s="111"/>
      <c r="GU1" s="111"/>
      <c r="GV1" s="109" t="s">
        <v>119</v>
      </c>
      <c r="GW1" s="109"/>
      <c r="GX1" s="109"/>
      <c r="GY1" s="109"/>
      <c r="GZ1" s="109"/>
      <c r="HA1" s="109"/>
      <c r="HB1" s="109"/>
      <c r="HC1" s="109"/>
      <c r="HD1" s="109"/>
      <c r="HE1" s="109"/>
      <c r="HF1" s="109"/>
      <c r="HG1" s="109"/>
      <c r="HH1" s="109"/>
      <c r="HI1" s="109"/>
      <c r="HJ1" s="109"/>
      <c r="HK1" s="109"/>
      <c r="HL1" s="109"/>
      <c r="HM1" s="109"/>
      <c r="HN1" s="109"/>
      <c r="HO1" s="109"/>
      <c r="HP1" s="109"/>
      <c r="HQ1" s="109"/>
      <c r="HR1" s="109"/>
      <c r="HS1" s="109"/>
      <c r="HT1" s="109"/>
      <c r="HU1" s="109"/>
      <c r="HV1" s="109"/>
      <c r="HW1" s="109"/>
      <c r="HX1" s="109"/>
      <c r="HY1" s="109"/>
      <c r="HZ1" s="111"/>
      <c r="IA1" s="111"/>
      <c r="IB1" s="111"/>
      <c r="IC1" s="111"/>
      <c r="ID1" s="111"/>
      <c r="IE1" s="111"/>
      <c r="IF1" s="111"/>
      <c r="IG1" s="111"/>
      <c r="IH1" s="111"/>
      <c r="II1" s="111"/>
      <c r="IJ1" s="111"/>
      <c r="IK1" s="111"/>
      <c r="IL1" s="111"/>
      <c r="IM1" s="111"/>
      <c r="IN1" s="111"/>
      <c r="IO1" s="111"/>
      <c r="IP1" s="111"/>
      <c r="IQ1" s="111"/>
      <c r="IR1" s="111"/>
      <c r="IS1" s="111"/>
      <c r="IT1" s="111"/>
      <c r="IU1" s="111"/>
      <c r="IV1" s="111"/>
      <c r="IW1" s="111"/>
      <c r="IX1" s="111"/>
      <c r="IY1" s="111"/>
      <c r="IZ1" s="111"/>
      <c r="JA1" s="111"/>
      <c r="JB1" s="111"/>
      <c r="JC1" s="111"/>
      <c r="JD1" s="109"/>
      <c r="JE1" s="109"/>
      <c r="JF1" s="109"/>
      <c r="JG1" s="109"/>
      <c r="JH1" s="109"/>
      <c r="JI1" s="109"/>
      <c r="JJ1" s="109"/>
      <c r="JK1" s="109"/>
      <c r="JL1" s="109"/>
      <c r="JM1" s="109"/>
      <c r="JN1" s="109"/>
      <c r="JO1" s="109"/>
      <c r="JP1" s="109"/>
      <c r="JQ1" s="109"/>
      <c r="JR1" s="109"/>
      <c r="JS1" s="109"/>
      <c r="JT1" s="109"/>
      <c r="JU1" s="109"/>
      <c r="JV1" s="109"/>
      <c r="JW1" s="109"/>
      <c r="JX1" s="109"/>
      <c r="JY1" s="109"/>
      <c r="JZ1" s="109"/>
      <c r="KA1" s="109"/>
      <c r="KB1" s="109"/>
      <c r="KC1" s="109"/>
      <c r="KD1" s="109"/>
      <c r="KE1" s="109"/>
      <c r="KF1" s="109"/>
      <c r="KG1" s="109"/>
      <c r="KH1" s="111"/>
      <c r="KI1" s="111"/>
      <c r="KJ1" s="111"/>
      <c r="KK1" s="111"/>
      <c r="KL1" s="111"/>
      <c r="KM1" s="111"/>
      <c r="KN1" s="111"/>
      <c r="KO1" s="111"/>
      <c r="KP1" s="111"/>
      <c r="KQ1" s="111"/>
      <c r="KR1" s="111"/>
      <c r="KS1" s="111"/>
      <c r="KT1" s="111"/>
      <c r="KU1" s="111"/>
      <c r="KV1" s="111"/>
      <c r="KW1" s="111"/>
      <c r="KX1" s="111"/>
      <c r="KY1" s="111"/>
      <c r="KZ1" s="111"/>
      <c r="LA1" s="111"/>
      <c r="LB1" s="111"/>
      <c r="LC1" s="111"/>
      <c r="LD1" s="111"/>
      <c r="LE1" s="111"/>
      <c r="LF1" s="111"/>
      <c r="LG1" s="111"/>
      <c r="LH1" s="111"/>
      <c r="LI1" s="111"/>
      <c r="LJ1" s="111"/>
      <c r="LK1" s="111"/>
      <c r="LL1" s="109"/>
      <c r="LM1" s="109"/>
      <c r="LN1" s="109"/>
      <c r="LO1" s="109"/>
      <c r="LP1" s="109"/>
      <c r="LQ1" s="109"/>
      <c r="LR1" s="109"/>
      <c r="LS1" s="109"/>
      <c r="LT1" s="109"/>
      <c r="LU1" s="109"/>
      <c r="LV1" s="109"/>
      <c r="LW1" s="109"/>
      <c r="LX1" s="109"/>
      <c r="LY1" s="109"/>
      <c r="LZ1" s="109"/>
      <c r="MA1" s="109"/>
      <c r="MB1" s="109"/>
      <c r="MC1" s="109"/>
      <c r="MD1" s="109"/>
      <c r="ME1" s="109"/>
      <c r="MF1" s="109"/>
      <c r="MG1" s="109"/>
      <c r="MH1" s="109"/>
      <c r="MI1" s="109"/>
      <c r="MJ1" s="109"/>
      <c r="MK1" s="109"/>
      <c r="ML1" s="109"/>
      <c r="MM1" s="109"/>
      <c r="MN1" s="109"/>
      <c r="MO1" s="109"/>
      <c r="MP1" s="111"/>
      <c r="MQ1" s="111"/>
      <c r="MR1" s="111"/>
      <c r="MS1" s="111"/>
      <c r="MT1" s="111"/>
      <c r="MU1" s="111"/>
      <c r="MV1" s="111"/>
      <c r="MW1" s="111"/>
      <c r="MX1" s="111"/>
      <c r="MY1" s="111"/>
      <c r="MZ1" s="111"/>
      <c r="NA1" s="111"/>
      <c r="NB1" s="111"/>
      <c r="NC1" s="111"/>
      <c r="ND1" s="111"/>
      <c r="NE1" s="111"/>
      <c r="NF1" s="111"/>
      <c r="NG1" s="111"/>
      <c r="NH1" s="111"/>
      <c r="NI1" s="111"/>
      <c r="NJ1" s="111"/>
      <c r="NK1" s="111"/>
      <c r="NL1" s="111"/>
      <c r="NM1" s="111"/>
      <c r="NN1" s="111"/>
      <c r="NO1" s="111"/>
      <c r="NP1" s="111"/>
      <c r="NQ1" s="111"/>
      <c r="NR1" s="111"/>
      <c r="NS1" s="111"/>
      <c r="NT1" s="109"/>
      <c r="NU1" s="109"/>
      <c r="NV1" s="109"/>
      <c r="NW1" s="109"/>
      <c r="NX1" s="109"/>
      <c r="NY1" s="109"/>
      <c r="NZ1" s="109"/>
      <c r="OA1" s="109"/>
      <c r="OB1" s="109"/>
      <c r="OC1" s="109"/>
      <c r="OD1" s="109"/>
      <c r="OE1" s="109"/>
      <c r="OF1" s="109"/>
      <c r="OG1" s="109"/>
      <c r="OH1" s="109"/>
      <c r="OI1" s="109"/>
      <c r="OJ1" s="109"/>
      <c r="OK1" s="109"/>
      <c r="OL1" s="109"/>
      <c r="OM1" s="109"/>
      <c r="ON1" s="109"/>
      <c r="OO1" s="109"/>
      <c r="OP1" s="109"/>
      <c r="OQ1" s="109"/>
      <c r="OR1" s="109"/>
      <c r="OS1" s="109"/>
      <c r="OT1" s="109"/>
      <c r="OU1" s="109"/>
      <c r="OV1" s="109"/>
      <c r="OW1" s="109"/>
      <c r="OX1" s="111"/>
      <c r="OY1" s="111"/>
      <c r="OZ1" s="111"/>
      <c r="PA1" s="111"/>
      <c r="PB1" s="111"/>
      <c r="PC1" s="111"/>
      <c r="PD1" s="111"/>
      <c r="PE1" s="111"/>
      <c r="PF1" s="111"/>
      <c r="PG1" s="111"/>
      <c r="PH1" s="111"/>
      <c r="PI1" s="111"/>
      <c r="PJ1" s="111"/>
      <c r="PK1" s="111"/>
      <c r="PL1" s="111"/>
      <c r="PM1" s="111"/>
      <c r="PN1" s="111"/>
      <c r="PO1" s="111"/>
      <c r="PP1" s="111"/>
      <c r="PQ1" s="111"/>
      <c r="PR1" s="111"/>
      <c r="PS1" s="111"/>
      <c r="PT1" s="111"/>
      <c r="PU1" s="111"/>
      <c r="PV1" s="111"/>
      <c r="PW1" s="111"/>
      <c r="PX1" s="111"/>
      <c r="PY1" s="111"/>
      <c r="PZ1" s="111"/>
      <c r="QA1" s="111"/>
      <c r="QB1" s="109"/>
      <c r="QC1" s="109"/>
      <c r="QD1" s="109"/>
      <c r="QE1" s="109"/>
      <c r="QF1" s="109"/>
      <c r="QG1" s="109"/>
      <c r="QH1" s="109"/>
      <c r="QI1" s="109"/>
      <c r="QJ1" s="109"/>
      <c r="QK1" s="109"/>
      <c r="QL1" s="109"/>
      <c r="QM1" s="109"/>
      <c r="QN1" s="109"/>
      <c r="QO1" s="109"/>
      <c r="QP1" s="109"/>
      <c r="QQ1" s="109"/>
      <c r="QR1" s="109"/>
      <c r="QS1" s="109"/>
      <c r="QT1" s="109"/>
      <c r="QU1" s="109"/>
      <c r="QV1" s="109"/>
      <c r="QW1" s="109"/>
      <c r="QX1" s="109"/>
      <c r="QY1" s="109"/>
      <c r="QZ1" s="109"/>
      <c r="RA1" s="109"/>
      <c r="RB1" s="109"/>
      <c r="RC1" s="109"/>
      <c r="RD1" s="109"/>
      <c r="RE1" s="109"/>
    </row>
    <row r="2" spans="1:473" x14ac:dyDescent="0.2">
      <c r="A2" s="101"/>
      <c r="B2" s="101"/>
      <c r="C2" s="101"/>
      <c r="D2" s="101"/>
      <c r="E2" s="101"/>
      <c r="F2" s="104"/>
      <c r="G2" s="104"/>
      <c r="H2" s="101"/>
      <c r="I2" s="101"/>
      <c r="J2" s="102"/>
      <c r="K2" s="102"/>
      <c r="L2" s="102"/>
      <c r="M2" s="102"/>
      <c r="N2" s="102"/>
      <c r="O2" s="102"/>
      <c r="P2" s="102"/>
      <c r="Q2" s="102"/>
      <c r="R2" s="103"/>
      <c r="S2" s="102"/>
      <c r="T2" s="102"/>
      <c r="U2" s="98" t="s">
        <v>56</v>
      </c>
      <c r="V2" s="98"/>
      <c r="W2" s="98"/>
      <c r="X2" s="98"/>
      <c r="Y2" s="98" t="s">
        <v>59</v>
      </c>
      <c r="Z2" s="98"/>
      <c r="AA2" s="98"/>
      <c r="AB2" s="98"/>
      <c r="AC2" s="98" t="s">
        <v>60</v>
      </c>
      <c r="AD2" s="98"/>
      <c r="AE2" s="98"/>
      <c r="AF2" s="98"/>
      <c r="AG2" s="107" t="s">
        <v>61</v>
      </c>
      <c r="AH2" s="107"/>
      <c r="AI2" s="107"/>
      <c r="AJ2" s="107"/>
      <c r="AK2" s="107" t="s">
        <v>62</v>
      </c>
      <c r="AL2" s="107"/>
      <c r="AM2" s="107"/>
      <c r="AN2" s="107"/>
      <c r="AO2" s="107" t="s">
        <v>63</v>
      </c>
      <c r="AP2" s="107"/>
      <c r="AQ2" s="107"/>
      <c r="AR2" s="107"/>
      <c r="AS2" s="73" t="s">
        <v>40</v>
      </c>
      <c r="AT2" s="11" t="s">
        <v>69</v>
      </c>
      <c r="AU2" s="11" t="s">
        <v>70</v>
      </c>
      <c r="AV2" s="11" t="s">
        <v>38</v>
      </c>
      <c r="AW2" s="11" t="s">
        <v>37</v>
      </c>
      <c r="AX2" s="11" t="s">
        <v>32</v>
      </c>
      <c r="AY2" s="99" t="s">
        <v>56</v>
      </c>
      <c r="AZ2" s="99"/>
      <c r="BA2" s="99"/>
      <c r="BB2" s="99"/>
      <c r="BC2" s="99" t="s">
        <v>59</v>
      </c>
      <c r="BD2" s="99"/>
      <c r="BE2" s="99"/>
      <c r="BF2" s="99"/>
      <c r="BG2" s="99" t="s">
        <v>60</v>
      </c>
      <c r="BH2" s="99"/>
      <c r="BI2" s="99"/>
      <c r="BJ2" s="99"/>
      <c r="BK2" s="110" t="s">
        <v>61</v>
      </c>
      <c r="BL2" s="110"/>
      <c r="BM2" s="110"/>
      <c r="BN2" s="110"/>
      <c r="BO2" s="110" t="s">
        <v>62</v>
      </c>
      <c r="BP2" s="110"/>
      <c r="BQ2" s="110"/>
      <c r="BR2" s="110"/>
      <c r="BS2" s="110" t="s">
        <v>63</v>
      </c>
      <c r="BT2" s="110"/>
      <c r="BU2" s="110"/>
      <c r="BV2" s="110"/>
      <c r="BW2" s="72" t="s">
        <v>40</v>
      </c>
      <c r="BX2" s="14" t="s">
        <v>69</v>
      </c>
      <c r="BY2" s="14" t="s">
        <v>70</v>
      </c>
      <c r="BZ2" s="14" t="s">
        <v>38</v>
      </c>
      <c r="CA2" s="14" t="s">
        <v>37</v>
      </c>
      <c r="CB2" s="14" t="s">
        <v>32</v>
      </c>
      <c r="CC2" s="98" t="s">
        <v>56</v>
      </c>
      <c r="CD2" s="98"/>
      <c r="CE2" s="98"/>
      <c r="CF2" s="98"/>
      <c r="CG2" s="98" t="s">
        <v>59</v>
      </c>
      <c r="CH2" s="98"/>
      <c r="CI2" s="98"/>
      <c r="CJ2" s="98"/>
      <c r="CK2" s="98" t="s">
        <v>60</v>
      </c>
      <c r="CL2" s="98"/>
      <c r="CM2" s="98"/>
      <c r="CN2" s="98"/>
      <c r="CO2" s="107" t="s">
        <v>61</v>
      </c>
      <c r="CP2" s="107"/>
      <c r="CQ2" s="107"/>
      <c r="CR2" s="107"/>
      <c r="CS2" s="107" t="s">
        <v>62</v>
      </c>
      <c r="CT2" s="107"/>
      <c r="CU2" s="107"/>
      <c r="CV2" s="107"/>
      <c r="CW2" s="107" t="s">
        <v>63</v>
      </c>
      <c r="CX2" s="107"/>
      <c r="CY2" s="107"/>
      <c r="CZ2" s="107"/>
      <c r="DA2" s="18" t="s">
        <v>40</v>
      </c>
      <c r="DB2" s="11" t="s">
        <v>69</v>
      </c>
      <c r="DC2" s="11" t="s">
        <v>70</v>
      </c>
      <c r="DD2" s="11" t="s">
        <v>38</v>
      </c>
      <c r="DE2" s="11" t="s">
        <v>37</v>
      </c>
      <c r="DF2" s="11" t="s">
        <v>32</v>
      </c>
      <c r="DG2" s="28" t="s">
        <v>69</v>
      </c>
      <c r="DH2" s="28" t="s">
        <v>70</v>
      </c>
      <c r="DI2" s="28" t="s">
        <v>37</v>
      </c>
      <c r="DJ2" s="98" t="s">
        <v>56</v>
      </c>
      <c r="DK2" s="98"/>
      <c r="DL2" s="98"/>
      <c r="DM2" s="98"/>
      <c r="DN2" s="98" t="s">
        <v>59</v>
      </c>
      <c r="DO2" s="98"/>
      <c r="DP2" s="98"/>
      <c r="DQ2" s="98"/>
      <c r="DR2" s="98" t="s">
        <v>60</v>
      </c>
      <c r="DS2" s="98"/>
      <c r="DT2" s="98"/>
      <c r="DU2" s="98"/>
      <c r="DV2" s="107" t="s">
        <v>61</v>
      </c>
      <c r="DW2" s="107"/>
      <c r="DX2" s="107"/>
      <c r="DY2" s="107"/>
      <c r="DZ2" s="107" t="s">
        <v>62</v>
      </c>
      <c r="EA2" s="107"/>
      <c r="EB2" s="107"/>
      <c r="EC2" s="107"/>
      <c r="ED2" s="107" t="s">
        <v>63</v>
      </c>
      <c r="EE2" s="107"/>
      <c r="EF2" s="107"/>
      <c r="EG2" s="107"/>
      <c r="EH2" s="73" t="s">
        <v>40</v>
      </c>
      <c r="EI2" s="11" t="s">
        <v>69</v>
      </c>
      <c r="EJ2" s="11" t="s">
        <v>70</v>
      </c>
      <c r="EK2" s="11" t="s">
        <v>38</v>
      </c>
      <c r="EL2" s="11" t="s">
        <v>37</v>
      </c>
      <c r="EM2" s="11" t="s">
        <v>32</v>
      </c>
      <c r="EN2" s="110" t="s">
        <v>56</v>
      </c>
      <c r="EO2" s="110"/>
      <c r="EP2" s="110"/>
      <c r="EQ2" s="110"/>
      <c r="ER2" s="110" t="s">
        <v>59</v>
      </c>
      <c r="ES2" s="110"/>
      <c r="ET2" s="110"/>
      <c r="EU2" s="110"/>
      <c r="EV2" s="110" t="s">
        <v>60</v>
      </c>
      <c r="EW2" s="110"/>
      <c r="EX2" s="110"/>
      <c r="EY2" s="110"/>
      <c r="EZ2" s="110" t="s">
        <v>61</v>
      </c>
      <c r="FA2" s="110"/>
      <c r="FB2" s="110"/>
      <c r="FC2" s="110"/>
      <c r="FD2" s="110" t="s">
        <v>62</v>
      </c>
      <c r="FE2" s="110"/>
      <c r="FF2" s="110"/>
      <c r="FG2" s="110"/>
      <c r="FH2" s="110" t="s">
        <v>63</v>
      </c>
      <c r="FI2" s="110"/>
      <c r="FJ2" s="110"/>
      <c r="FK2" s="110"/>
      <c r="FL2" s="77" t="s">
        <v>40</v>
      </c>
      <c r="FM2" s="19" t="s">
        <v>69</v>
      </c>
      <c r="FN2" s="19" t="s">
        <v>70</v>
      </c>
      <c r="FO2" s="19" t="s">
        <v>38</v>
      </c>
      <c r="FP2" s="19" t="s">
        <v>37</v>
      </c>
      <c r="FQ2" s="19" t="s">
        <v>32</v>
      </c>
      <c r="FR2" s="107" t="s">
        <v>56</v>
      </c>
      <c r="FS2" s="107"/>
      <c r="FT2" s="107"/>
      <c r="FU2" s="107"/>
      <c r="FV2" s="107" t="s">
        <v>59</v>
      </c>
      <c r="FW2" s="107"/>
      <c r="FX2" s="107"/>
      <c r="FY2" s="107"/>
      <c r="FZ2" s="107" t="s">
        <v>60</v>
      </c>
      <c r="GA2" s="107"/>
      <c r="GB2" s="107"/>
      <c r="GC2" s="107"/>
      <c r="GD2" s="107" t="s">
        <v>61</v>
      </c>
      <c r="GE2" s="107"/>
      <c r="GF2" s="107"/>
      <c r="GG2" s="107"/>
      <c r="GH2" s="107" t="s">
        <v>62</v>
      </c>
      <c r="GI2" s="107"/>
      <c r="GJ2" s="107"/>
      <c r="GK2" s="107"/>
      <c r="GL2" s="107" t="s">
        <v>63</v>
      </c>
      <c r="GM2" s="107"/>
      <c r="GN2" s="107"/>
      <c r="GO2" s="107"/>
      <c r="GP2" s="76" t="s">
        <v>40</v>
      </c>
      <c r="GQ2" s="20" t="s">
        <v>69</v>
      </c>
      <c r="GR2" s="20" t="s">
        <v>70</v>
      </c>
      <c r="GS2" s="20" t="s">
        <v>38</v>
      </c>
      <c r="GT2" s="20" t="s">
        <v>37</v>
      </c>
      <c r="GU2" s="20" t="s">
        <v>32</v>
      </c>
      <c r="GV2" s="110" t="s">
        <v>56</v>
      </c>
      <c r="GW2" s="110"/>
      <c r="GX2" s="110"/>
      <c r="GY2" s="110"/>
      <c r="GZ2" s="110" t="s">
        <v>59</v>
      </c>
      <c r="HA2" s="110"/>
      <c r="HB2" s="110"/>
      <c r="HC2" s="110"/>
      <c r="HD2" s="110" t="s">
        <v>60</v>
      </c>
      <c r="HE2" s="110"/>
      <c r="HF2" s="110"/>
      <c r="HG2" s="110"/>
      <c r="HH2" s="110" t="s">
        <v>61</v>
      </c>
      <c r="HI2" s="110"/>
      <c r="HJ2" s="110"/>
      <c r="HK2" s="110"/>
      <c r="HL2" s="110" t="s">
        <v>62</v>
      </c>
      <c r="HM2" s="110"/>
      <c r="HN2" s="110"/>
      <c r="HO2" s="110"/>
      <c r="HP2" s="110" t="s">
        <v>63</v>
      </c>
      <c r="HQ2" s="110"/>
      <c r="HR2" s="110"/>
      <c r="HS2" s="110"/>
      <c r="HT2" s="77" t="s">
        <v>40</v>
      </c>
      <c r="HU2" s="19" t="s">
        <v>69</v>
      </c>
      <c r="HV2" s="19" t="s">
        <v>70</v>
      </c>
      <c r="HW2" s="19" t="s">
        <v>38</v>
      </c>
      <c r="HX2" s="19" t="s">
        <v>37</v>
      </c>
      <c r="HY2" s="19" t="s">
        <v>32</v>
      </c>
      <c r="HZ2" s="107" t="s">
        <v>56</v>
      </c>
      <c r="IA2" s="107"/>
      <c r="IB2" s="107"/>
      <c r="IC2" s="107"/>
      <c r="ID2" s="107" t="s">
        <v>59</v>
      </c>
      <c r="IE2" s="107"/>
      <c r="IF2" s="107"/>
      <c r="IG2" s="107"/>
      <c r="IH2" s="107" t="s">
        <v>60</v>
      </c>
      <c r="II2" s="107"/>
      <c r="IJ2" s="107"/>
      <c r="IK2" s="107"/>
      <c r="IL2" s="107" t="s">
        <v>61</v>
      </c>
      <c r="IM2" s="107"/>
      <c r="IN2" s="107"/>
      <c r="IO2" s="107"/>
      <c r="IP2" s="107" t="s">
        <v>62</v>
      </c>
      <c r="IQ2" s="107"/>
      <c r="IR2" s="107"/>
      <c r="IS2" s="107"/>
      <c r="IT2" s="107" t="s">
        <v>63</v>
      </c>
      <c r="IU2" s="107"/>
      <c r="IV2" s="107"/>
      <c r="IW2" s="107"/>
      <c r="IX2" s="27" t="s">
        <v>40</v>
      </c>
      <c r="IY2" s="20" t="s">
        <v>69</v>
      </c>
      <c r="IZ2" s="20" t="s">
        <v>70</v>
      </c>
      <c r="JA2" s="20" t="s">
        <v>38</v>
      </c>
      <c r="JB2" s="20" t="s">
        <v>37</v>
      </c>
      <c r="JC2" s="20" t="s">
        <v>32</v>
      </c>
      <c r="JD2" s="110" t="s">
        <v>56</v>
      </c>
      <c r="JE2" s="110"/>
      <c r="JF2" s="110"/>
      <c r="JG2" s="110"/>
      <c r="JH2" s="110" t="s">
        <v>59</v>
      </c>
      <c r="JI2" s="110"/>
      <c r="JJ2" s="110"/>
      <c r="JK2" s="110"/>
      <c r="JL2" s="110" t="s">
        <v>60</v>
      </c>
      <c r="JM2" s="110"/>
      <c r="JN2" s="110"/>
      <c r="JO2" s="110"/>
      <c r="JP2" s="110" t="s">
        <v>61</v>
      </c>
      <c r="JQ2" s="110"/>
      <c r="JR2" s="110"/>
      <c r="JS2" s="110"/>
      <c r="JT2" s="110" t="s">
        <v>62</v>
      </c>
      <c r="JU2" s="110"/>
      <c r="JV2" s="110"/>
      <c r="JW2" s="110"/>
      <c r="JX2" s="110" t="s">
        <v>63</v>
      </c>
      <c r="JY2" s="110"/>
      <c r="JZ2" s="110"/>
      <c r="KA2" s="110"/>
      <c r="KB2" s="26" t="s">
        <v>40</v>
      </c>
      <c r="KC2" s="19" t="s">
        <v>69</v>
      </c>
      <c r="KD2" s="19" t="s">
        <v>70</v>
      </c>
      <c r="KE2" s="19" t="s">
        <v>38</v>
      </c>
      <c r="KF2" s="19" t="s">
        <v>37</v>
      </c>
      <c r="KG2" s="19" t="s">
        <v>32</v>
      </c>
      <c r="KH2" s="107" t="s">
        <v>56</v>
      </c>
      <c r="KI2" s="107"/>
      <c r="KJ2" s="107"/>
      <c r="KK2" s="107"/>
      <c r="KL2" s="107" t="s">
        <v>59</v>
      </c>
      <c r="KM2" s="107"/>
      <c r="KN2" s="107"/>
      <c r="KO2" s="107"/>
      <c r="KP2" s="107" t="s">
        <v>60</v>
      </c>
      <c r="KQ2" s="107"/>
      <c r="KR2" s="107"/>
      <c r="KS2" s="107"/>
      <c r="KT2" s="107" t="s">
        <v>61</v>
      </c>
      <c r="KU2" s="107"/>
      <c r="KV2" s="107"/>
      <c r="KW2" s="107"/>
      <c r="KX2" s="107" t="s">
        <v>62</v>
      </c>
      <c r="KY2" s="107"/>
      <c r="KZ2" s="107"/>
      <c r="LA2" s="107"/>
      <c r="LB2" s="107" t="s">
        <v>63</v>
      </c>
      <c r="LC2" s="107"/>
      <c r="LD2" s="107"/>
      <c r="LE2" s="107"/>
      <c r="LF2" s="27" t="s">
        <v>40</v>
      </c>
      <c r="LG2" s="20" t="s">
        <v>69</v>
      </c>
      <c r="LH2" s="20" t="s">
        <v>70</v>
      </c>
      <c r="LI2" s="20" t="s">
        <v>38</v>
      </c>
      <c r="LJ2" s="20" t="s">
        <v>37</v>
      </c>
      <c r="LK2" s="20" t="s">
        <v>32</v>
      </c>
      <c r="LL2" s="110" t="s">
        <v>56</v>
      </c>
      <c r="LM2" s="110"/>
      <c r="LN2" s="110"/>
      <c r="LO2" s="110"/>
      <c r="LP2" s="110" t="s">
        <v>59</v>
      </c>
      <c r="LQ2" s="110"/>
      <c r="LR2" s="110"/>
      <c r="LS2" s="110"/>
      <c r="LT2" s="110" t="s">
        <v>60</v>
      </c>
      <c r="LU2" s="110"/>
      <c r="LV2" s="110"/>
      <c r="LW2" s="110"/>
      <c r="LX2" s="110" t="s">
        <v>61</v>
      </c>
      <c r="LY2" s="110"/>
      <c r="LZ2" s="110"/>
      <c r="MA2" s="110"/>
      <c r="MB2" s="110" t="s">
        <v>62</v>
      </c>
      <c r="MC2" s="110"/>
      <c r="MD2" s="110"/>
      <c r="ME2" s="110"/>
      <c r="MF2" s="110" t="s">
        <v>63</v>
      </c>
      <c r="MG2" s="110"/>
      <c r="MH2" s="110"/>
      <c r="MI2" s="110"/>
      <c r="MJ2" s="26" t="s">
        <v>40</v>
      </c>
      <c r="MK2" s="19" t="s">
        <v>69</v>
      </c>
      <c r="ML2" s="19" t="s">
        <v>70</v>
      </c>
      <c r="MM2" s="19" t="s">
        <v>38</v>
      </c>
      <c r="MN2" s="19" t="s">
        <v>37</v>
      </c>
      <c r="MO2" s="19" t="s">
        <v>32</v>
      </c>
      <c r="MP2" s="107" t="s">
        <v>56</v>
      </c>
      <c r="MQ2" s="107"/>
      <c r="MR2" s="107"/>
      <c r="MS2" s="107"/>
      <c r="MT2" s="107" t="s">
        <v>59</v>
      </c>
      <c r="MU2" s="107"/>
      <c r="MV2" s="107"/>
      <c r="MW2" s="107"/>
      <c r="MX2" s="107" t="s">
        <v>60</v>
      </c>
      <c r="MY2" s="107"/>
      <c r="MZ2" s="107"/>
      <c r="NA2" s="107"/>
      <c r="NB2" s="107" t="s">
        <v>61</v>
      </c>
      <c r="NC2" s="107"/>
      <c r="ND2" s="107"/>
      <c r="NE2" s="107"/>
      <c r="NF2" s="107" t="s">
        <v>62</v>
      </c>
      <c r="NG2" s="107"/>
      <c r="NH2" s="107"/>
      <c r="NI2" s="107"/>
      <c r="NJ2" s="107" t="s">
        <v>63</v>
      </c>
      <c r="NK2" s="107"/>
      <c r="NL2" s="107"/>
      <c r="NM2" s="107"/>
      <c r="NN2" s="27" t="s">
        <v>40</v>
      </c>
      <c r="NO2" s="20" t="s">
        <v>69</v>
      </c>
      <c r="NP2" s="20" t="s">
        <v>70</v>
      </c>
      <c r="NQ2" s="20" t="s">
        <v>38</v>
      </c>
      <c r="NR2" s="20" t="s">
        <v>37</v>
      </c>
      <c r="NS2" s="20" t="s">
        <v>32</v>
      </c>
      <c r="NT2" s="110" t="s">
        <v>56</v>
      </c>
      <c r="NU2" s="110"/>
      <c r="NV2" s="110"/>
      <c r="NW2" s="110"/>
      <c r="NX2" s="110" t="s">
        <v>59</v>
      </c>
      <c r="NY2" s="110"/>
      <c r="NZ2" s="110"/>
      <c r="OA2" s="110"/>
      <c r="OB2" s="110" t="s">
        <v>60</v>
      </c>
      <c r="OC2" s="110"/>
      <c r="OD2" s="110"/>
      <c r="OE2" s="110"/>
      <c r="OF2" s="110" t="s">
        <v>61</v>
      </c>
      <c r="OG2" s="110"/>
      <c r="OH2" s="110"/>
      <c r="OI2" s="110"/>
      <c r="OJ2" s="110" t="s">
        <v>62</v>
      </c>
      <c r="OK2" s="110"/>
      <c r="OL2" s="110"/>
      <c r="OM2" s="110"/>
      <c r="ON2" s="110" t="s">
        <v>63</v>
      </c>
      <c r="OO2" s="110"/>
      <c r="OP2" s="110"/>
      <c r="OQ2" s="110"/>
      <c r="OR2" s="26" t="s">
        <v>40</v>
      </c>
      <c r="OS2" s="19" t="s">
        <v>69</v>
      </c>
      <c r="OT2" s="19" t="s">
        <v>70</v>
      </c>
      <c r="OU2" s="19" t="s">
        <v>38</v>
      </c>
      <c r="OV2" s="19" t="s">
        <v>37</v>
      </c>
      <c r="OW2" s="19" t="s">
        <v>32</v>
      </c>
      <c r="OX2" s="107" t="s">
        <v>56</v>
      </c>
      <c r="OY2" s="107"/>
      <c r="OZ2" s="107"/>
      <c r="PA2" s="107"/>
      <c r="PB2" s="107" t="s">
        <v>59</v>
      </c>
      <c r="PC2" s="107"/>
      <c r="PD2" s="107"/>
      <c r="PE2" s="107"/>
      <c r="PF2" s="107" t="s">
        <v>60</v>
      </c>
      <c r="PG2" s="107"/>
      <c r="PH2" s="107"/>
      <c r="PI2" s="107"/>
      <c r="PJ2" s="107" t="s">
        <v>61</v>
      </c>
      <c r="PK2" s="107"/>
      <c r="PL2" s="107"/>
      <c r="PM2" s="107"/>
      <c r="PN2" s="107" t="s">
        <v>62</v>
      </c>
      <c r="PO2" s="107"/>
      <c r="PP2" s="107"/>
      <c r="PQ2" s="107"/>
      <c r="PR2" s="107" t="s">
        <v>63</v>
      </c>
      <c r="PS2" s="107"/>
      <c r="PT2" s="107"/>
      <c r="PU2" s="107"/>
      <c r="PV2" s="27" t="s">
        <v>40</v>
      </c>
      <c r="PW2" s="20" t="s">
        <v>69</v>
      </c>
      <c r="PX2" s="20" t="s">
        <v>70</v>
      </c>
      <c r="PY2" s="20" t="s">
        <v>38</v>
      </c>
      <c r="PZ2" s="20" t="s">
        <v>37</v>
      </c>
      <c r="QA2" s="20" t="s">
        <v>32</v>
      </c>
      <c r="QB2" s="110" t="s">
        <v>56</v>
      </c>
      <c r="QC2" s="110"/>
      <c r="QD2" s="110"/>
      <c r="QE2" s="110"/>
      <c r="QF2" s="110" t="s">
        <v>59</v>
      </c>
      <c r="QG2" s="110"/>
      <c r="QH2" s="110"/>
      <c r="QI2" s="110"/>
      <c r="QJ2" s="110" t="s">
        <v>60</v>
      </c>
      <c r="QK2" s="110"/>
      <c r="QL2" s="110"/>
      <c r="QM2" s="110"/>
      <c r="QN2" s="110" t="s">
        <v>61</v>
      </c>
      <c r="QO2" s="110"/>
      <c r="QP2" s="110"/>
      <c r="QQ2" s="110"/>
      <c r="QR2" s="110" t="s">
        <v>62</v>
      </c>
      <c r="QS2" s="110"/>
      <c r="QT2" s="110"/>
      <c r="QU2" s="110"/>
      <c r="QV2" s="110" t="s">
        <v>63</v>
      </c>
      <c r="QW2" s="110"/>
      <c r="QX2" s="110"/>
      <c r="QY2" s="110"/>
      <c r="QZ2" s="26" t="s">
        <v>40</v>
      </c>
      <c r="RA2" s="19" t="s">
        <v>69</v>
      </c>
      <c r="RB2" s="19" t="s">
        <v>70</v>
      </c>
      <c r="RC2" s="19" t="s">
        <v>38</v>
      </c>
      <c r="RD2" s="19" t="s">
        <v>37</v>
      </c>
      <c r="RE2" s="19" t="s">
        <v>32</v>
      </c>
    </row>
    <row r="3" spans="1:473" x14ac:dyDescent="0.2">
      <c r="A3" s="101"/>
      <c r="B3" s="101"/>
      <c r="C3" s="101"/>
      <c r="D3" s="101"/>
      <c r="E3" s="101"/>
      <c r="F3" s="104"/>
      <c r="G3" s="104"/>
      <c r="H3" s="101"/>
      <c r="I3" s="101"/>
      <c r="J3" s="102"/>
      <c r="K3" s="102"/>
      <c r="L3" s="102"/>
      <c r="M3" s="102"/>
      <c r="N3" s="102"/>
      <c r="O3" s="102"/>
      <c r="P3" s="102"/>
      <c r="Q3" s="102"/>
      <c r="R3" s="103"/>
      <c r="S3" s="102"/>
      <c r="T3" s="102"/>
      <c r="U3" s="73" t="s">
        <v>29</v>
      </c>
      <c r="V3" s="73" t="s">
        <v>21</v>
      </c>
      <c r="W3" s="73" t="s">
        <v>57</v>
      </c>
      <c r="X3" s="73" t="s">
        <v>58</v>
      </c>
      <c r="Y3" s="73" t="s">
        <v>29</v>
      </c>
      <c r="Z3" s="73" t="s">
        <v>21</v>
      </c>
      <c r="AA3" s="73" t="s">
        <v>57</v>
      </c>
      <c r="AB3" s="73" t="s">
        <v>58</v>
      </c>
      <c r="AC3" s="73" t="s">
        <v>29</v>
      </c>
      <c r="AD3" s="73" t="s">
        <v>21</v>
      </c>
      <c r="AE3" s="73" t="s">
        <v>57</v>
      </c>
      <c r="AF3" s="73" t="s">
        <v>58</v>
      </c>
      <c r="AG3" s="76" t="s">
        <v>29</v>
      </c>
      <c r="AH3" s="76" t="s">
        <v>21</v>
      </c>
      <c r="AI3" s="76" t="s">
        <v>57</v>
      </c>
      <c r="AJ3" s="76" t="s">
        <v>58</v>
      </c>
      <c r="AK3" s="76" t="s">
        <v>29</v>
      </c>
      <c r="AL3" s="76" t="s">
        <v>21</v>
      </c>
      <c r="AM3" s="76" t="s">
        <v>57</v>
      </c>
      <c r="AN3" s="76" t="s">
        <v>58</v>
      </c>
      <c r="AO3" s="76" t="s">
        <v>29</v>
      </c>
      <c r="AP3" s="76" t="s">
        <v>21</v>
      </c>
      <c r="AQ3" s="76" t="s">
        <v>57</v>
      </c>
      <c r="AR3" s="76" t="s">
        <v>58</v>
      </c>
      <c r="AS3" s="12"/>
      <c r="AT3" s="11"/>
      <c r="AU3" s="11"/>
      <c r="AV3" s="11"/>
      <c r="AW3" s="12"/>
      <c r="AX3" s="12"/>
      <c r="AY3" s="72" t="s">
        <v>29</v>
      </c>
      <c r="AZ3" s="72" t="s">
        <v>21</v>
      </c>
      <c r="BA3" s="72" t="s">
        <v>57</v>
      </c>
      <c r="BB3" s="72" t="s">
        <v>58</v>
      </c>
      <c r="BC3" s="72" t="s">
        <v>29</v>
      </c>
      <c r="BD3" s="72" t="s">
        <v>21</v>
      </c>
      <c r="BE3" s="72" t="s">
        <v>57</v>
      </c>
      <c r="BF3" s="72" t="s">
        <v>58</v>
      </c>
      <c r="BG3" s="72" t="s">
        <v>29</v>
      </c>
      <c r="BH3" s="72" t="s">
        <v>21</v>
      </c>
      <c r="BI3" s="72" t="s">
        <v>57</v>
      </c>
      <c r="BJ3" s="72" t="s">
        <v>58</v>
      </c>
      <c r="BK3" s="77" t="s">
        <v>29</v>
      </c>
      <c r="BL3" s="77" t="s">
        <v>21</v>
      </c>
      <c r="BM3" s="77" t="s">
        <v>57</v>
      </c>
      <c r="BN3" s="77" t="s">
        <v>58</v>
      </c>
      <c r="BO3" s="77" t="s">
        <v>29</v>
      </c>
      <c r="BP3" s="77" t="s">
        <v>21</v>
      </c>
      <c r="BQ3" s="77" t="s">
        <v>57</v>
      </c>
      <c r="BR3" s="77" t="s">
        <v>58</v>
      </c>
      <c r="BS3" s="77" t="s">
        <v>29</v>
      </c>
      <c r="BT3" s="77" t="s">
        <v>21</v>
      </c>
      <c r="BU3" s="77" t="s">
        <v>57</v>
      </c>
      <c r="BV3" s="77" t="s">
        <v>58</v>
      </c>
      <c r="BW3" s="15"/>
      <c r="BX3" s="14"/>
      <c r="BY3" s="14"/>
      <c r="BZ3" s="14"/>
      <c r="CA3" s="15"/>
      <c r="CB3" s="15"/>
      <c r="CC3" s="35" t="s">
        <v>29</v>
      </c>
      <c r="CD3" s="35" t="s">
        <v>21</v>
      </c>
      <c r="CE3" s="35" t="s">
        <v>57</v>
      </c>
      <c r="CF3" s="35" t="s">
        <v>58</v>
      </c>
      <c r="CG3" s="35" t="s">
        <v>29</v>
      </c>
      <c r="CH3" s="35" t="s">
        <v>21</v>
      </c>
      <c r="CI3" s="35" t="s">
        <v>57</v>
      </c>
      <c r="CJ3" s="35" t="s">
        <v>58</v>
      </c>
      <c r="CK3" s="35" t="s">
        <v>29</v>
      </c>
      <c r="CL3" s="35" t="s">
        <v>21</v>
      </c>
      <c r="CM3" s="35" t="s">
        <v>57</v>
      </c>
      <c r="CN3" s="35" t="s">
        <v>58</v>
      </c>
      <c r="CO3" s="40" t="s">
        <v>29</v>
      </c>
      <c r="CP3" s="40" t="s">
        <v>21</v>
      </c>
      <c r="CQ3" s="40" t="s">
        <v>57</v>
      </c>
      <c r="CR3" s="40" t="s">
        <v>58</v>
      </c>
      <c r="CS3" s="40" t="s">
        <v>29</v>
      </c>
      <c r="CT3" s="40" t="s">
        <v>21</v>
      </c>
      <c r="CU3" s="40" t="s">
        <v>57</v>
      </c>
      <c r="CV3" s="40" t="s">
        <v>58</v>
      </c>
      <c r="CW3" s="40" t="s">
        <v>29</v>
      </c>
      <c r="CX3" s="40" t="s">
        <v>21</v>
      </c>
      <c r="CY3" s="40" t="s">
        <v>57</v>
      </c>
      <c r="CZ3" s="40" t="s">
        <v>58</v>
      </c>
      <c r="DA3" s="12"/>
      <c r="DB3" s="11"/>
      <c r="DC3" s="11"/>
      <c r="DD3" s="11"/>
      <c r="DE3" s="12"/>
      <c r="DF3" s="12"/>
      <c r="DG3" s="29"/>
      <c r="DH3" s="29"/>
      <c r="DI3" s="29"/>
      <c r="DJ3" s="73" t="s">
        <v>29</v>
      </c>
      <c r="DK3" s="73" t="s">
        <v>21</v>
      </c>
      <c r="DL3" s="73" t="s">
        <v>57</v>
      </c>
      <c r="DM3" s="73" t="s">
        <v>58</v>
      </c>
      <c r="DN3" s="73" t="s">
        <v>29</v>
      </c>
      <c r="DO3" s="73" t="s">
        <v>21</v>
      </c>
      <c r="DP3" s="73" t="s">
        <v>57</v>
      </c>
      <c r="DQ3" s="73" t="s">
        <v>58</v>
      </c>
      <c r="DR3" s="73" t="s">
        <v>29</v>
      </c>
      <c r="DS3" s="73" t="s">
        <v>21</v>
      </c>
      <c r="DT3" s="73" t="s">
        <v>57</v>
      </c>
      <c r="DU3" s="73" t="s">
        <v>58</v>
      </c>
      <c r="DV3" s="76" t="s">
        <v>29</v>
      </c>
      <c r="DW3" s="76" t="s">
        <v>21</v>
      </c>
      <c r="DX3" s="76" t="s">
        <v>57</v>
      </c>
      <c r="DY3" s="76" t="s">
        <v>58</v>
      </c>
      <c r="DZ3" s="76" t="s">
        <v>29</v>
      </c>
      <c r="EA3" s="76" t="s">
        <v>21</v>
      </c>
      <c r="EB3" s="76" t="s">
        <v>57</v>
      </c>
      <c r="EC3" s="76" t="s">
        <v>58</v>
      </c>
      <c r="ED3" s="76" t="s">
        <v>29</v>
      </c>
      <c r="EE3" s="76" t="s">
        <v>21</v>
      </c>
      <c r="EF3" s="76" t="s">
        <v>57</v>
      </c>
      <c r="EG3" s="76" t="s">
        <v>58</v>
      </c>
      <c r="EH3" s="12"/>
      <c r="EI3" s="11"/>
      <c r="EJ3" s="11"/>
      <c r="EK3" s="11"/>
      <c r="EL3" s="12"/>
      <c r="EM3" s="12"/>
      <c r="EN3" s="77" t="s">
        <v>29</v>
      </c>
      <c r="EO3" s="77" t="s">
        <v>21</v>
      </c>
      <c r="EP3" s="77" t="s">
        <v>57</v>
      </c>
      <c r="EQ3" s="77" t="s">
        <v>58</v>
      </c>
      <c r="ER3" s="77" t="s">
        <v>29</v>
      </c>
      <c r="ES3" s="77" t="s">
        <v>21</v>
      </c>
      <c r="ET3" s="77" t="s">
        <v>57</v>
      </c>
      <c r="EU3" s="77" t="s">
        <v>58</v>
      </c>
      <c r="EV3" s="77" t="s">
        <v>29</v>
      </c>
      <c r="EW3" s="77" t="s">
        <v>21</v>
      </c>
      <c r="EX3" s="77" t="s">
        <v>57</v>
      </c>
      <c r="EY3" s="77" t="s">
        <v>58</v>
      </c>
      <c r="EZ3" s="77" t="s">
        <v>29</v>
      </c>
      <c r="FA3" s="77" t="s">
        <v>21</v>
      </c>
      <c r="FB3" s="77" t="s">
        <v>57</v>
      </c>
      <c r="FC3" s="77" t="s">
        <v>58</v>
      </c>
      <c r="FD3" s="77" t="s">
        <v>29</v>
      </c>
      <c r="FE3" s="77" t="s">
        <v>21</v>
      </c>
      <c r="FF3" s="77" t="s">
        <v>57</v>
      </c>
      <c r="FG3" s="77" t="s">
        <v>58</v>
      </c>
      <c r="FH3" s="77" t="s">
        <v>29</v>
      </c>
      <c r="FI3" s="77" t="s">
        <v>21</v>
      </c>
      <c r="FJ3" s="77" t="s">
        <v>57</v>
      </c>
      <c r="FK3" s="77" t="s">
        <v>58</v>
      </c>
      <c r="FL3" s="19"/>
      <c r="FM3" s="19"/>
      <c r="FN3" s="19"/>
      <c r="FO3" s="19"/>
      <c r="FP3" s="19"/>
      <c r="FQ3" s="19"/>
      <c r="FR3" s="76" t="s">
        <v>29</v>
      </c>
      <c r="FS3" s="76" t="s">
        <v>21</v>
      </c>
      <c r="FT3" s="76" t="s">
        <v>57</v>
      </c>
      <c r="FU3" s="76" t="s">
        <v>58</v>
      </c>
      <c r="FV3" s="76" t="s">
        <v>29</v>
      </c>
      <c r="FW3" s="76" t="s">
        <v>21</v>
      </c>
      <c r="FX3" s="76" t="s">
        <v>57</v>
      </c>
      <c r="FY3" s="76" t="s">
        <v>58</v>
      </c>
      <c r="FZ3" s="76" t="s">
        <v>29</v>
      </c>
      <c r="GA3" s="76" t="s">
        <v>21</v>
      </c>
      <c r="GB3" s="76" t="s">
        <v>57</v>
      </c>
      <c r="GC3" s="76" t="s">
        <v>58</v>
      </c>
      <c r="GD3" s="76" t="s">
        <v>29</v>
      </c>
      <c r="GE3" s="76" t="s">
        <v>21</v>
      </c>
      <c r="GF3" s="76" t="s">
        <v>57</v>
      </c>
      <c r="GG3" s="76" t="s">
        <v>58</v>
      </c>
      <c r="GH3" s="76" t="s">
        <v>29</v>
      </c>
      <c r="GI3" s="76" t="s">
        <v>21</v>
      </c>
      <c r="GJ3" s="76" t="s">
        <v>57</v>
      </c>
      <c r="GK3" s="76" t="s">
        <v>58</v>
      </c>
      <c r="GL3" s="76" t="s">
        <v>29</v>
      </c>
      <c r="GM3" s="76" t="s">
        <v>21</v>
      </c>
      <c r="GN3" s="76" t="s">
        <v>57</v>
      </c>
      <c r="GO3" s="76" t="s">
        <v>58</v>
      </c>
      <c r="GP3" s="20"/>
      <c r="GQ3" s="20"/>
      <c r="GR3" s="20"/>
      <c r="GS3" s="20"/>
      <c r="GT3" s="20"/>
      <c r="GU3" s="20"/>
      <c r="GV3" s="77" t="s">
        <v>29</v>
      </c>
      <c r="GW3" s="77" t="s">
        <v>21</v>
      </c>
      <c r="GX3" s="77" t="s">
        <v>57</v>
      </c>
      <c r="GY3" s="77" t="s">
        <v>58</v>
      </c>
      <c r="GZ3" s="77" t="s">
        <v>29</v>
      </c>
      <c r="HA3" s="77" t="s">
        <v>21</v>
      </c>
      <c r="HB3" s="77" t="s">
        <v>57</v>
      </c>
      <c r="HC3" s="77" t="s">
        <v>58</v>
      </c>
      <c r="HD3" s="77" t="s">
        <v>29</v>
      </c>
      <c r="HE3" s="77" t="s">
        <v>21</v>
      </c>
      <c r="HF3" s="77" t="s">
        <v>57</v>
      </c>
      <c r="HG3" s="77" t="s">
        <v>58</v>
      </c>
      <c r="HH3" s="77" t="s">
        <v>29</v>
      </c>
      <c r="HI3" s="77" t="s">
        <v>21</v>
      </c>
      <c r="HJ3" s="77" t="s">
        <v>57</v>
      </c>
      <c r="HK3" s="77" t="s">
        <v>58</v>
      </c>
      <c r="HL3" s="77" t="s">
        <v>29</v>
      </c>
      <c r="HM3" s="77" t="s">
        <v>21</v>
      </c>
      <c r="HN3" s="77" t="s">
        <v>57</v>
      </c>
      <c r="HO3" s="77" t="s">
        <v>58</v>
      </c>
      <c r="HP3" s="77" t="s">
        <v>29</v>
      </c>
      <c r="HQ3" s="77" t="s">
        <v>21</v>
      </c>
      <c r="HR3" s="77" t="s">
        <v>57</v>
      </c>
      <c r="HS3" s="77" t="s">
        <v>58</v>
      </c>
      <c r="HT3" s="19"/>
      <c r="HU3" s="19"/>
      <c r="HV3" s="19"/>
      <c r="HW3" s="19"/>
      <c r="HX3" s="19"/>
      <c r="HY3" s="19"/>
      <c r="HZ3" s="40" t="s">
        <v>29</v>
      </c>
      <c r="IA3" s="40" t="s">
        <v>21</v>
      </c>
      <c r="IB3" s="40" t="s">
        <v>57</v>
      </c>
      <c r="IC3" s="40" t="s">
        <v>58</v>
      </c>
      <c r="ID3" s="40" t="s">
        <v>29</v>
      </c>
      <c r="IE3" s="40" t="s">
        <v>21</v>
      </c>
      <c r="IF3" s="40" t="s">
        <v>57</v>
      </c>
      <c r="IG3" s="40" t="s">
        <v>58</v>
      </c>
      <c r="IH3" s="40" t="s">
        <v>29</v>
      </c>
      <c r="II3" s="40" t="s">
        <v>21</v>
      </c>
      <c r="IJ3" s="40" t="s">
        <v>57</v>
      </c>
      <c r="IK3" s="40" t="s">
        <v>58</v>
      </c>
      <c r="IL3" s="40" t="s">
        <v>29</v>
      </c>
      <c r="IM3" s="40" t="s">
        <v>21</v>
      </c>
      <c r="IN3" s="40" t="s">
        <v>57</v>
      </c>
      <c r="IO3" s="40" t="s">
        <v>58</v>
      </c>
      <c r="IP3" s="40" t="s">
        <v>29</v>
      </c>
      <c r="IQ3" s="40" t="s">
        <v>21</v>
      </c>
      <c r="IR3" s="40" t="s">
        <v>57</v>
      </c>
      <c r="IS3" s="40" t="s">
        <v>58</v>
      </c>
      <c r="IT3" s="40" t="s">
        <v>29</v>
      </c>
      <c r="IU3" s="40" t="s">
        <v>21</v>
      </c>
      <c r="IV3" s="40" t="s">
        <v>57</v>
      </c>
      <c r="IW3" s="40" t="s">
        <v>58</v>
      </c>
      <c r="IX3" s="20"/>
      <c r="IY3" s="20"/>
      <c r="IZ3" s="20"/>
      <c r="JA3" s="20"/>
      <c r="JB3" s="20"/>
      <c r="JC3" s="20"/>
      <c r="JD3" s="39" t="s">
        <v>29</v>
      </c>
      <c r="JE3" s="39" t="s">
        <v>21</v>
      </c>
      <c r="JF3" s="39" t="s">
        <v>57</v>
      </c>
      <c r="JG3" s="39" t="s">
        <v>58</v>
      </c>
      <c r="JH3" s="39" t="s">
        <v>29</v>
      </c>
      <c r="JI3" s="39" t="s">
        <v>21</v>
      </c>
      <c r="JJ3" s="39" t="s">
        <v>57</v>
      </c>
      <c r="JK3" s="39" t="s">
        <v>58</v>
      </c>
      <c r="JL3" s="39" t="s">
        <v>29</v>
      </c>
      <c r="JM3" s="39" t="s">
        <v>21</v>
      </c>
      <c r="JN3" s="39" t="s">
        <v>57</v>
      </c>
      <c r="JO3" s="39" t="s">
        <v>58</v>
      </c>
      <c r="JP3" s="39" t="s">
        <v>29</v>
      </c>
      <c r="JQ3" s="39" t="s">
        <v>21</v>
      </c>
      <c r="JR3" s="39" t="s">
        <v>57</v>
      </c>
      <c r="JS3" s="39" t="s">
        <v>58</v>
      </c>
      <c r="JT3" s="39" t="s">
        <v>29</v>
      </c>
      <c r="JU3" s="39" t="s">
        <v>21</v>
      </c>
      <c r="JV3" s="39" t="s">
        <v>57</v>
      </c>
      <c r="JW3" s="39" t="s">
        <v>58</v>
      </c>
      <c r="JX3" s="39" t="s">
        <v>29</v>
      </c>
      <c r="JY3" s="39" t="s">
        <v>21</v>
      </c>
      <c r="JZ3" s="39" t="s">
        <v>57</v>
      </c>
      <c r="KA3" s="39" t="s">
        <v>58</v>
      </c>
      <c r="KB3" s="19"/>
      <c r="KC3" s="19"/>
      <c r="KD3" s="19"/>
      <c r="KE3" s="19"/>
      <c r="KF3" s="19"/>
      <c r="KG3" s="19"/>
      <c r="KH3" s="40" t="s">
        <v>29</v>
      </c>
      <c r="KI3" s="40" t="s">
        <v>21</v>
      </c>
      <c r="KJ3" s="40" t="s">
        <v>57</v>
      </c>
      <c r="KK3" s="40" t="s">
        <v>58</v>
      </c>
      <c r="KL3" s="40" t="s">
        <v>29</v>
      </c>
      <c r="KM3" s="40" t="s">
        <v>21</v>
      </c>
      <c r="KN3" s="40" t="s">
        <v>57</v>
      </c>
      <c r="KO3" s="40" t="s">
        <v>58</v>
      </c>
      <c r="KP3" s="40" t="s">
        <v>29</v>
      </c>
      <c r="KQ3" s="40" t="s">
        <v>21</v>
      </c>
      <c r="KR3" s="40" t="s">
        <v>57</v>
      </c>
      <c r="KS3" s="40" t="s">
        <v>58</v>
      </c>
      <c r="KT3" s="40" t="s">
        <v>29</v>
      </c>
      <c r="KU3" s="40" t="s">
        <v>21</v>
      </c>
      <c r="KV3" s="40" t="s">
        <v>57</v>
      </c>
      <c r="KW3" s="40" t="s">
        <v>58</v>
      </c>
      <c r="KX3" s="40" t="s">
        <v>29</v>
      </c>
      <c r="KY3" s="40" t="s">
        <v>21</v>
      </c>
      <c r="KZ3" s="40" t="s">
        <v>57</v>
      </c>
      <c r="LA3" s="40" t="s">
        <v>58</v>
      </c>
      <c r="LB3" s="40" t="s">
        <v>29</v>
      </c>
      <c r="LC3" s="40" t="s">
        <v>21</v>
      </c>
      <c r="LD3" s="40" t="s">
        <v>57</v>
      </c>
      <c r="LE3" s="40" t="s">
        <v>58</v>
      </c>
      <c r="LF3" s="20"/>
      <c r="LG3" s="20"/>
      <c r="LH3" s="20"/>
      <c r="LI3" s="20"/>
      <c r="LJ3" s="20"/>
      <c r="LK3" s="20"/>
      <c r="LL3" s="39" t="s">
        <v>29</v>
      </c>
      <c r="LM3" s="39" t="s">
        <v>21</v>
      </c>
      <c r="LN3" s="39" t="s">
        <v>57</v>
      </c>
      <c r="LO3" s="39" t="s">
        <v>58</v>
      </c>
      <c r="LP3" s="39" t="s">
        <v>29</v>
      </c>
      <c r="LQ3" s="39" t="s">
        <v>21</v>
      </c>
      <c r="LR3" s="39" t="s">
        <v>57</v>
      </c>
      <c r="LS3" s="39" t="s">
        <v>58</v>
      </c>
      <c r="LT3" s="39" t="s">
        <v>29</v>
      </c>
      <c r="LU3" s="39" t="s">
        <v>21</v>
      </c>
      <c r="LV3" s="39" t="s">
        <v>57</v>
      </c>
      <c r="LW3" s="39" t="s">
        <v>58</v>
      </c>
      <c r="LX3" s="39" t="s">
        <v>29</v>
      </c>
      <c r="LY3" s="39" t="s">
        <v>21</v>
      </c>
      <c r="LZ3" s="39" t="s">
        <v>57</v>
      </c>
      <c r="MA3" s="39" t="s">
        <v>58</v>
      </c>
      <c r="MB3" s="39" t="s">
        <v>29</v>
      </c>
      <c r="MC3" s="39" t="s">
        <v>21</v>
      </c>
      <c r="MD3" s="39" t="s">
        <v>57</v>
      </c>
      <c r="ME3" s="39" t="s">
        <v>58</v>
      </c>
      <c r="MF3" s="39" t="s">
        <v>29</v>
      </c>
      <c r="MG3" s="39" t="s">
        <v>21</v>
      </c>
      <c r="MH3" s="39" t="s">
        <v>57</v>
      </c>
      <c r="MI3" s="39" t="s">
        <v>58</v>
      </c>
      <c r="MJ3" s="19"/>
      <c r="MK3" s="19"/>
      <c r="ML3" s="19"/>
      <c r="MM3" s="19"/>
      <c r="MN3" s="19"/>
      <c r="MO3" s="19"/>
      <c r="MP3" s="40" t="s">
        <v>29</v>
      </c>
      <c r="MQ3" s="40" t="s">
        <v>21</v>
      </c>
      <c r="MR3" s="40" t="s">
        <v>57</v>
      </c>
      <c r="MS3" s="40" t="s">
        <v>58</v>
      </c>
      <c r="MT3" s="40" t="s">
        <v>29</v>
      </c>
      <c r="MU3" s="40" t="s">
        <v>21</v>
      </c>
      <c r="MV3" s="40" t="s">
        <v>57</v>
      </c>
      <c r="MW3" s="40" t="s">
        <v>58</v>
      </c>
      <c r="MX3" s="40" t="s">
        <v>29</v>
      </c>
      <c r="MY3" s="40" t="s">
        <v>21</v>
      </c>
      <c r="MZ3" s="40" t="s">
        <v>57</v>
      </c>
      <c r="NA3" s="40" t="s">
        <v>58</v>
      </c>
      <c r="NB3" s="40" t="s">
        <v>29</v>
      </c>
      <c r="NC3" s="40" t="s">
        <v>21</v>
      </c>
      <c r="ND3" s="40" t="s">
        <v>57</v>
      </c>
      <c r="NE3" s="40" t="s">
        <v>58</v>
      </c>
      <c r="NF3" s="40" t="s">
        <v>29</v>
      </c>
      <c r="NG3" s="40" t="s">
        <v>21</v>
      </c>
      <c r="NH3" s="40" t="s">
        <v>57</v>
      </c>
      <c r="NI3" s="40" t="s">
        <v>58</v>
      </c>
      <c r="NJ3" s="40" t="s">
        <v>29</v>
      </c>
      <c r="NK3" s="40" t="s">
        <v>21</v>
      </c>
      <c r="NL3" s="40" t="s">
        <v>57</v>
      </c>
      <c r="NM3" s="40" t="s">
        <v>58</v>
      </c>
      <c r="NN3" s="20"/>
      <c r="NO3" s="20"/>
      <c r="NP3" s="20"/>
      <c r="NQ3" s="20"/>
      <c r="NR3" s="20"/>
      <c r="NS3" s="20"/>
      <c r="NT3" s="39" t="s">
        <v>29</v>
      </c>
      <c r="NU3" s="39" t="s">
        <v>21</v>
      </c>
      <c r="NV3" s="39" t="s">
        <v>57</v>
      </c>
      <c r="NW3" s="39" t="s">
        <v>58</v>
      </c>
      <c r="NX3" s="39" t="s">
        <v>29</v>
      </c>
      <c r="NY3" s="39" t="s">
        <v>21</v>
      </c>
      <c r="NZ3" s="39" t="s">
        <v>57</v>
      </c>
      <c r="OA3" s="39" t="s">
        <v>58</v>
      </c>
      <c r="OB3" s="39" t="s">
        <v>29</v>
      </c>
      <c r="OC3" s="39" t="s">
        <v>21</v>
      </c>
      <c r="OD3" s="39" t="s">
        <v>57</v>
      </c>
      <c r="OE3" s="39" t="s">
        <v>58</v>
      </c>
      <c r="OF3" s="39" t="s">
        <v>29</v>
      </c>
      <c r="OG3" s="39" t="s">
        <v>21</v>
      </c>
      <c r="OH3" s="39" t="s">
        <v>57</v>
      </c>
      <c r="OI3" s="39" t="s">
        <v>58</v>
      </c>
      <c r="OJ3" s="39" t="s">
        <v>29</v>
      </c>
      <c r="OK3" s="39" t="s">
        <v>21</v>
      </c>
      <c r="OL3" s="39" t="s">
        <v>57</v>
      </c>
      <c r="OM3" s="39" t="s">
        <v>58</v>
      </c>
      <c r="ON3" s="39" t="s">
        <v>29</v>
      </c>
      <c r="OO3" s="39" t="s">
        <v>21</v>
      </c>
      <c r="OP3" s="39" t="s">
        <v>57</v>
      </c>
      <c r="OQ3" s="39" t="s">
        <v>58</v>
      </c>
      <c r="OR3" s="19"/>
      <c r="OS3" s="19"/>
      <c r="OT3" s="19"/>
      <c r="OU3" s="19"/>
      <c r="OV3" s="19"/>
      <c r="OW3" s="19"/>
      <c r="OX3" s="40" t="s">
        <v>29</v>
      </c>
      <c r="OY3" s="40" t="s">
        <v>21</v>
      </c>
      <c r="OZ3" s="40" t="s">
        <v>57</v>
      </c>
      <c r="PA3" s="40" t="s">
        <v>58</v>
      </c>
      <c r="PB3" s="40" t="s">
        <v>29</v>
      </c>
      <c r="PC3" s="40" t="s">
        <v>21</v>
      </c>
      <c r="PD3" s="40" t="s">
        <v>57</v>
      </c>
      <c r="PE3" s="40" t="s">
        <v>58</v>
      </c>
      <c r="PF3" s="40" t="s">
        <v>29</v>
      </c>
      <c r="PG3" s="40" t="s">
        <v>21</v>
      </c>
      <c r="PH3" s="40" t="s">
        <v>57</v>
      </c>
      <c r="PI3" s="40" t="s">
        <v>58</v>
      </c>
      <c r="PJ3" s="40" t="s">
        <v>29</v>
      </c>
      <c r="PK3" s="40" t="s">
        <v>21</v>
      </c>
      <c r="PL3" s="40" t="s">
        <v>57</v>
      </c>
      <c r="PM3" s="40" t="s">
        <v>58</v>
      </c>
      <c r="PN3" s="40" t="s">
        <v>29</v>
      </c>
      <c r="PO3" s="40" t="s">
        <v>21</v>
      </c>
      <c r="PP3" s="40" t="s">
        <v>57</v>
      </c>
      <c r="PQ3" s="40" t="s">
        <v>58</v>
      </c>
      <c r="PR3" s="40" t="s">
        <v>29</v>
      </c>
      <c r="PS3" s="40" t="s">
        <v>21</v>
      </c>
      <c r="PT3" s="40" t="s">
        <v>57</v>
      </c>
      <c r="PU3" s="40" t="s">
        <v>58</v>
      </c>
      <c r="PV3" s="20"/>
      <c r="PW3" s="20"/>
      <c r="PX3" s="20"/>
      <c r="PY3" s="20"/>
      <c r="PZ3" s="20"/>
      <c r="QA3" s="20"/>
      <c r="QB3" s="39" t="s">
        <v>29</v>
      </c>
      <c r="QC3" s="39" t="s">
        <v>21</v>
      </c>
      <c r="QD3" s="39" t="s">
        <v>57</v>
      </c>
      <c r="QE3" s="39" t="s">
        <v>58</v>
      </c>
      <c r="QF3" s="39" t="s">
        <v>29</v>
      </c>
      <c r="QG3" s="39" t="s">
        <v>21</v>
      </c>
      <c r="QH3" s="39" t="s">
        <v>57</v>
      </c>
      <c r="QI3" s="39" t="s">
        <v>58</v>
      </c>
      <c r="QJ3" s="39" t="s">
        <v>29</v>
      </c>
      <c r="QK3" s="39" t="s">
        <v>21</v>
      </c>
      <c r="QL3" s="39" t="s">
        <v>57</v>
      </c>
      <c r="QM3" s="39" t="s">
        <v>58</v>
      </c>
      <c r="QN3" s="39" t="s">
        <v>29</v>
      </c>
      <c r="QO3" s="39" t="s">
        <v>21</v>
      </c>
      <c r="QP3" s="39" t="s">
        <v>57</v>
      </c>
      <c r="QQ3" s="39" t="s">
        <v>58</v>
      </c>
      <c r="QR3" s="39" t="s">
        <v>29</v>
      </c>
      <c r="QS3" s="39" t="s">
        <v>21</v>
      </c>
      <c r="QT3" s="39" t="s">
        <v>57</v>
      </c>
      <c r="QU3" s="39" t="s">
        <v>58</v>
      </c>
      <c r="QV3" s="39" t="s">
        <v>29</v>
      </c>
      <c r="QW3" s="39" t="s">
        <v>21</v>
      </c>
      <c r="QX3" s="39" t="s">
        <v>57</v>
      </c>
      <c r="QY3" s="39" t="s">
        <v>58</v>
      </c>
      <c r="QZ3" s="19"/>
      <c r="RA3" s="19"/>
      <c r="RB3" s="19"/>
      <c r="RC3" s="19"/>
      <c r="RD3" s="19"/>
      <c r="RE3" s="19"/>
    </row>
    <row r="4" spans="1:473" x14ac:dyDescent="0.2">
      <c r="A4" s="6">
        <f t="shared" ref="A4:A13" si="0">IF(AND(F4="P",H4="P"),SUMPRODUCT((F$4:F$13="P")*(H$4:H$13="P")*(E$4:E$13&gt;E4))+1,IF(H4="P",SUMPRODUCT((F$4:F$13="")*(H$4:H$13="P")*(E$4:E$13&gt;E4))+1+SUMPRODUCT((F$4:F$13="P")*(H$4:H$13="P")),""))</f>
        <v>1</v>
      </c>
      <c r="B4" s="9" t="s">
        <v>71</v>
      </c>
      <c r="C4" s="5" t="s">
        <v>4</v>
      </c>
      <c r="D4" s="6">
        <v>2010</v>
      </c>
      <c r="E4" s="17">
        <f t="shared" ref="E4:E13" si="1">SUM(J4:R4)</f>
        <v>365.70000000000005</v>
      </c>
      <c r="F4" s="4" t="str">
        <f t="shared" ref="F4:F13" si="2">IF(OR(AND($AS4&gt;=$AT$16,NOT($AS4="")),AND($BW4&gt;=$BX$16,NOT($BW4="")),AND($DA4&gt;=$DB$16,NOT($DA4=""))),"P","")</f>
        <v>P</v>
      </c>
      <c r="G4" s="4" t="str">
        <f t="shared" ref="G4:G13" si="3">IF(OR(AND($AS4&gt;=$AT$17,NOT($AS4="")),AND($BW4&gt;=$BX$17,NOT($BW4="")),AND($DA4&gt;=$DB$17,NOT($DA4=""))),"P","")</f>
        <v>P</v>
      </c>
      <c r="H4" s="4" t="str">
        <f t="shared" ref="H4:H13" si="4">IF(OR(AND($AV4&gt;=$AT$18,NOT($AV4="")),AND($BZ4&gt;=$BX$18,NOT($BZ4="")),AND($DD4&gt;=$DB$18,NOT($DD4=""))),"P","")</f>
        <v>P</v>
      </c>
      <c r="I4" t="str">
        <f t="shared" ref="I4:I13" si="5">IF(AND(G4="P",OR(AND($AV4&gt;=$AT$21,NOT($AV4="")),AND($BZ4&gt;=$BX$21,NOT($BZ4="")),AND($DD4&gt;=$DB$21,NOT($DD4="")))),"Merit",IF(AND(G4="P",OR(AND($AV4&gt;=$AT$20,NOT($AV4="")),AND($BZ4&gt;=$BX$20,NOT($BZ4="")),AND($DD4&gt;=$DB$20,NOT($DD4="")))),"Funding",IF(AND(G4="P",OR(AND($AV4&gt;=$AT$19,NOT($AV4="")),AND($BZ4&gt;=$BX$19,NOT($BZ4="")),AND($DD4&gt;=$DB$19,NOT($DD4="")))),"Worlds Team",IF(AND(F4="P",OR(AND($AV4&gt;=$AT$18,NOT($AV4="")),AND($BZ4&gt;=$BX$18,NOT($BZ4="")),AND($DD4&gt;=$DB$18,NOT($DD4="")))),"National Team",""))))</f>
        <v>Funding</v>
      </c>
      <c r="J4" s="16">
        <f t="shared" ref="J4:J13" si="6">MAX(AV4,BZ4,DD4)</f>
        <v>146</v>
      </c>
      <c r="K4" s="16" t="str">
        <f t="shared" ref="K4:K13" si="7">IF(J4=DD4,$CC$1,IF(J4=BZ4,$AY$1,IF(J4=AV4,$U$1,"")))</f>
        <v>2017 3rd Domestic Trial</v>
      </c>
      <c r="L4" s="16">
        <f t="shared" ref="L4:L13" si="8">IF($J4=$AV4,MAX(BX4,DB4),IF($J4=$BZ4,MAX(AT4,DB4),MAX(AT4,BX4)))</f>
        <v>72.699999999999989</v>
      </c>
      <c r="M4" s="16" t="str">
        <f t="shared" ref="M4:M13" si="9">IF(L4=DB4,$CC$1,IF(L4=BX4,$AY$1,IF(L4=AT4,$U$1,"")))</f>
        <v>2018 Nationals</v>
      </c>
      <c r="N4" s="16">
        <f t="shared" ref="N4:N13" si="10">IF($J4=$AV4,MAX(BY4,DC4),IF($J4=$BZ4,MAX(AU4,DC4),MAX(AU4,BY4)))</f>
        <v>73.600000000000009</v>
      </c>
      <c r="O4" s="16" t="str">
        <f t="shared" ref="O4:O13" si="11">IF(N4=DC4,$CC$1,IF(N4=BY4,$AY$1,IF(N4=AU4,$U$1,"")))</f>
        <v>2018 Canada Cup</v>
      </c>
      <c r="P4" s="16">
        <f t="shared" ref="P4:P13" si="12">MAX(AW4,CA4,DE4)</f>
        <v>73.400000000000006</v>
      </c>
      <c r="Q4" s="16" t="str">
        <f t="shared" ref="Q4:Q13" si="13">IF(P4=DE4,$CC$1,IF(P4=CA4,$AY$1,IF(P4=AW4,$U$1,"")))</f>
        <v>2018 Nationals</v>
      </c>
      <c r="R4" s="16" t="str">
        <f t="shared" ref="R4:R13" si="14">IF(MAX(DG4:DI4)&gt;0,MAX(DG4:DI4),"")</f>
        <v/>
      </c>
      <c r="S4" s="31" t="str">
        <f t="shared" ref="S4:S13" si="15">IF(R4="","",IF(R4=DG4,"(Pass 1-2)",IF(R4=DH4,"(Pass 3-4)",IF(R4=DI4,"(Final)"))))</f>
        <v/>
      </c>
      <c r="T4" s="16" t="str">
        <f t="shared" ref="T4:T13" si="16">IF(R4="","",IF(R4=DG4,IF(R4+L4=RA4,$QB$1,IF(R4+L4=PW4,$OX$1,IF(R4+L4=OS4,$NT$1,IF(R4+L4=NO4,$MP$1,IF(R4+L4=MK4,$LL$1,IF(R4+L4=LG4,$KH$1,IF(R4+L4=KC4,$JD$1,IF(R4+L4=IY4,$HZ$1,IF(R4+L4=HU4,$GV$1,IF(R4+L4=GQ4,$FR$1,IF(R4+L4=FM4,$EN$1,IF(R4+L4=EI4,$DJ$1)))))))))))),IF(R4=DH4,IF(R4+N4=RB4,$QB$1,IF(R4+N4=PX4,$OX$1,IF(R4+N4=OT4,$NT$1,IF(R4+N4=NP4,$MP$1,IF(R4+N4=ML4,$LL$1,IF(R4+N4=LH4,$KH$1,IF(R4+N4=KD4,$JD$1,IF(R4+N4=IZ4,$HZ$1,IF(R4+N4=HV4,$GV$1,IF(R4+N4=GR4,$FR$1,IF(R4+N4=FN4,$EN$1,IF(R4+N4=EJ4,$DJ$1)))))))))))),IF(R4=DI4,IF(R4+P4=RD4,$QB$1,IF(R4+P4=PZ4,$OX$1,IF(R4+P4=OV4,$NT$1,IF(R4+P4=NR4,$MP$1,IF(R4+P4=MN4,$LL$1,IF(R4+P4=LJ4,$KH$1,IF(R4+P4=KF4,$JD$1,IF(R4+P4=JB4,$HZ$1,IF(R4+P4=HX4,$GV$1,IF(R4+P4=GT4,$FR$1,IF(R4+P4=FP4,$EN$1,IF(R4+P4=EL4,$DJ$1))))))))))))))))</f>
        <v/>
      </c>
      <c r="U4" s="47">
        <v>28.1</v>
      </c>
      <c r="V4" s="47">
        <v>8.1</v>
      </c>
      <c r="W4" s="47">
        <v>0.3</v>
      </c>
      <c r="X4" s="47">
        <v>0</v>
      </c>
      <c r="Y4" s="47">
        <v>28.4</v>
      </c>
      <c r="Z4" s="47">
        <v>8</v>
      </c>
      <c r="AA4" s="47">
        <v>0</v>
      </c>
      <c r="AB4" s="47">
        <v>0</v>
      </c>
      <c r="AC4" s="47">
        <v>28.3</v>
      </c>
      <c r="AD4" s="47">
        <v>9.1999999999999993</v>
      </c>
      <c r="AE4" s="47">
        <v>0.3</v>
      </c>
      <c r="AF4" s="47">
        <v>0</v>
      </c>
      <c r="AG4" s="47">
        <v>28.1</v>
      </c>
      <c r="AH4" s="47">
        <v>8.4</v>
      </c>
      <c r="AI4" s="47">
        <v>0</v>
      </c>
      <c r="AJ4" s="47">
        <v>0</v>
      </c>
      <c r="AK4" s="47">
        <v>28.2</v>
      </c>
      <c r="AL4" s="47">
        <v>8</v>
      </c>
      <c r="AM4" s="47">
        <v>0.9</v>
      </c>
      <c r="AN4" s="47">
        <v>0</v>
      </c>
      <c r="AO4" s="47">
        <v>28.5</v>
      </c>
      <c r="AP4" s="47">
        <v>8.4</v>
      </c>
      <c r="AQ4" s="47">
        <v>0.9</v>
      </c>
      <c r="AR4" s="47">
        <v>0</v>
      </c>
      <c r="AS4" s="13">
        <f t="shared" ref="AS4:AS13" si="17">IF(SUM(V4,Z4,AD4,AH4)&gt;0,SUM(V4,Z4,AD4,AH4),"")</f>
        <v>33.700000000000003</v>
      </c>
      <c r="AT4" s="13">
        <f t="shared" ref="AT4:AT13" si="18">IF(SUM(U4:V4,X4:Z4,AB4)-SUM(W4,AA4)&gt;0,SUM(U4:V4,X4:Z4,AB4)-SUM(W4,AA4),"")</f>
        <v>72.3</v>
      </c>
      <c r="AU4" s="13">
        <f t="shared" ref="AU4:AU13" si="19">IF(SUM(AC4:AD4,AF4:AH4,AJ4)-SUM(AE4,AI4)&gt;0,SUM(AC4:AD4,AF4:AH4,AJ4)-SUM(AE4,AI4),"")</f>
        <v>73.7</v>
      </c>
      <c r="AV4" s="13">
        <f t="shared" ref="AV4:AV13" si="20">IF(SUM(U4:V4,X4:Z4,AB4:AD4,AF4:AH4,AJ4)-SUM(W4,AA4,AE4,AI4)&gt;0,SUM(U4:V4,X4:Z4,AB4:AD4,AF4:AH4,AJ4)-SUM(W4,AA4,AE4,AI4),"")</f>
        <v>146</v>
      </c>
      <c r="AW4" s="13">
        <f t="shared" ref="AW4:AW13" si="21">IF(SUM(AK4:AL4,AN4:AP4,AR4)-SUM(AM4,AQ4)&gt;0,SUM(AK4:AL4,AN4:AP4,AR4)-SUM(AM4,AQ4),"")</f>
        <v>71.300000000000011</v>
      </c>
      <c r="AX4" s="13">
        <f t="shared" ref="AX4:AX13" si="22">IF(SUM(AV4,AW4)&gt;0,SUM(AV4,AW4),"")</f>
        <v>217.3</v>
      </c>
      <c r="AY4" s="48">
        <v>28.2</v>
      </c>
      <c r="AZ4" s="48">
        <v>8</v>
      </c>
      <c r="BA4" s="48">
        <v>0.9</v>
      </c>
      <c r="BB4" s="48">
        <v>0</v>
      </c>
      <c r="BC4" s="48">
        <v>28.5</v>
      </c>
      <c r="BD4" s="48">
        <v>8</v>
      </c>
      <c r="BE4" s="48">
        <v>0.9</v>
      </c>
      <c r="BF4" s="48">
        <v>0</v>
      </c>
      <c r="BG4" s="48">
        <v>28.2</v>
      </c>
      <c r="BH4" s="48">
        <v>9.3000000000000007</v>
      </c>
      <c r="BI4" s="48">
        <v>0</v>
      </c>
      <c r="BJ4" s="48">
        <v>0</v>
      </c>
      <c r="BK4" s="48">
        <v>27.7</v>
      </c>
      <c r="BL4" s="48">
        <v>8.4</v>
      </c>
      <c r="BM4" s="48">
        <v>0</v>
      </c>
      <c r="BN4" s="48">
        <v>0</v>
      </c>
      <c r="BO4" s="48">
        <v>27.6</v>
      </c>
      <c r="BP4" s="48">
        <v>9.3000000000000007</v>
      </c>
      <c r="BQ4" s="48">
        <v>0.9</v>
      </c>
      <c r="BR4" s="48">
        <v>0</v>
      </c>
      <c r="BS4" s="48">
        <v>27.9</v>
      </c>
      <c r="BT4" s="48">
        <v>9.1999999999999993</v>
      </c>
      <c r="BU4" s="48">
        <v>0</v>
      </c>
      <c r="BV4" s="48">
        <v>0</v>
      </c>
      <c r="BW4" s="16">
        <f t="shared" ref="BW4:BW13" si="23">IF(SUM(AZ4,BD4,BH4,BL4)&gt;0,SUM(AZ4,BD4,BH4,BL4),"")</f>
        <v>33.700000000000003</v>
      </c>
      <c r="BX4" s="16">
        <f t="shared" ref="BX4:BX13" si="24">IF(SUM(AY4:AZ4,BB4:BD4,BF4)-SUM(BA4,BE4)&gt;0,SUM(AY4:AZ4,BB4:BD4,BF4)-SUM(BA4,BE4),"")</f>
        <v>70.900000000000006</v>
      </c>
      <c r="BY4" s="16">
        <f t="shared" ref="BY4:BY13" si="25">IF(SUM(BG4:BH4,BJ4:BL4,BN4)-SUM(BI4,BM4)&gt;0,SUM(BG4:BH4,BJ4:BL4,BN4)-SUM(BI4,BM4),"")</f>
        <v>73.600000000000009</v>
      </c>
      <c r="BZ4" s="16">
        <f t="shared" ref="BZ4:BZ13" si="26">IF(SUM(AY4:AZ4,BB4:BD4,BF4:BH4,BJ4:BL4,BN4)-SUM(BA4,BE4,BI4,BM4)&gt;0,SUM(AY4:AZ4,BB4:BD4,BF4:BH4,BJ4:BL4,BN4)-SUM(BA4,BE4,BI4,BM4),"")</f>
        <v>144.5</v>
      </c>
      <c r="CA4" s="16">
        <f t="shared" ref="CA4:CA13" si="27">IF(SUM(BO4:BP4,BR4:BT4,BV4)-SUM(BQ4,BU4)&gt;0,SUM(BO4:BP4,BR4:BT4,BV4)-SUM(BQ4,BU4),"")</f>
        <v>73.100000000000009</v>
      </c>
      <c r="CB4" s="16">
        <f t="shared" ref="CB4:CB13" si="28">IF(SUM(BZ4,CA4)&gt;0,SUM(BZ4,CA4),"")</f>
        <v>217.60000000000002</v>
      </c>
      <c r="CC4" s="47">
        <v>28.4</v>
      </c>
      <c r="CD4" s="47">
        <v>8</v>
      </c>
      <c r="CE4" s="47">
        <v>0.9</v>
      </c>
      <c r="CF4" s="47">
        <v>0</v>
      </c>
      <c r="CG4" s="47">
        <v>28.2</v>
      </c>
      <c r="CH4" s="47">
        <v>9.3000000000000007</v>
      </c>
      <c r="CI4" s="47">
        <v>0.3</v>
      </c>
      <c r="CJ4" s="47">
        <v>0</v>
      </c>
      <c r="CK4" s="47">
        <v>28.3</v>
      </c>
      <c r="CL4" s="47">
        <v>8</v>
      </c>
      <c r="CM4" s="47">
        <v>0.9</v>
      </c>
      <c r="CN4" s="47">
        <v>0</v>
      </c>
      <c r="CO4" s="47">
        <v>28.5</v>
      </c>
      <c r="CP4" s="47">
        <v>8.4</v>
      </c>
      <c r="CQ4" s="47">
        <v>0</v>
      </c>
      <c r="CR4" s="47">
        <v>0</v>
      </c>
      <c r="CS4" s="47">
        <v>28.2</v>
      </c>
      <c r="CT4" s="47">
        <v>9.3000000000000007</v>
      </c>
      <c r="CU4" s="47">
        <v>0.9</v>
      </c>
      <c r="CV4" s="47">
        <v>0</v>
      </c>
      <c r="CW4" s="47">
        <v>27.9</v>
      </c>
      <c r="CX4" s="47">
        <v>9.1999999999999993</v>
      </c>
      <c r="CY4" s="47">
        <v>0.3</v>
      </c>
      <c r="CZ4" s="47">
        <v>0</v>
      </c>
      <c r="DA4" s="13">
        <f t="shared" ref="DA4:DA13" si="29">IF(SUM(CD4,CH4,CL4,CP4)&gt;0,SUM(CD4,CH4,CL4,CP4),"")</f>
        <v>33.700000000000003</v>
      </c>
      <c r="DB4" s="13">
        <f t="shared" ref="DB4:DB13" si="30">IF(SUM(CC4:CD4,CF4:CH4,CJ4)-SUM(CE4,CI4)&gt;0,SUM(CC4:CD4,CF4:CH4,CJ4)-SUM(CE4,CI4),"")</f>
        <v>72.699999999999989</v>
      </c>
      <c r="DC4" s="13">
        <f t="shared" ref="DC4:DC13" si="31">IF(SUM(CK4:CL4,CN4:CP4,CR4)-SUM(CM4,CQ4)&gt;0,SUM(CK4:CL4,CN4:CP4,CR4)-SUM(CM4,CQ4),"")</f>
        <v>72.3</v>
      </c>
      <c r="DD4" s="13">
        <f t="shared" ref="DD4:DD13" si="32">IF(SUM(CC4:CD4,CF4:CH4,CJ4:CL4,CN4:CP4,CR4)-SUM(CE4,CI4,CM4,CQ4)&gt;0,SUM(CC4:CD4,CF4:CH4,CJ4:CL4,CN4:CP4,CR4)-SUM(CE4,CI4,CM4,CQ4),"")</f>
        <v>145</v>
      </c>
      <c r="DE4" s="13">
        <f t="shared" ref="DE4:DE13" si="33">IF(SUM(CS4:CT4,CV4:CX4,CZ4)-SUM(CU4,CY4)&gt;0,SUM(CS4:CT4,CV4:CX4,CZ4)-SUM(CU4,CY4),"")</f>
        <v>73.400000000000006</v>
      </c>
      <c r="DF4" s="13">
        <f t="shared" ref="DF4:DF13" si="34">IF(SUM(DD4,DE4)&gt;0,SUM(DD4,DE4),"")</f>
        <v>218.4</v>
      </c>
      <c r="DG4" s="30" t="str">
        <f t="shared" ref="DG4:DG13" si="35">IF(MAX(EI4,FM4,GQ4,HU4,IY4,KC4,LG4,MK4,NO4,OS4,PW4,RA4)-L4&gt;0.001,MAX(EI4,FM4,GQ4,HU4,IY4,KC4,LG4,MK4,NO4,OS4,PW4,RA4)-L4,"")</f>
        <v/>
      </c>
      <c r="DH4" s="30" t="str">
        <f t="shared" ref="DH4:DH13" si="36">IF(MAX(EJ4,FN4,GR4,HV4,IZ4,KD4,LH4,ML4,NP4,OT4,PX4,RB4)-N4&gt;0.001,MAX(EJ4,FN4,GR4,HV4,IZ4,KD4,LH4,ML4,NP4,OT4,PX4,RB4)-N4,"")</f>
        <v/>
      </c>
      <c r="DI4" s="30" t="str">
        <f t="shared" ref="DI4:DI13" si="37">IF(MAX(EL4,FP4,GT4,HX4,JB4,KF4,LJ4,MN4,OV4,PZ4,RD4)-P4&gt;0.001,MAX(EL4,FP4,GT4,HX4,JB4,KF4,LJ4,MN4,OV4,PZ4,RD4)-P4,"")</f>
        <v/>
      </c>
      <c r="DJ4" s="54">
        <v>27.5</v>
      </c>
      <c r="DK4" s="54">
        <v>5.6</v>
      </c>
      <c r="DL4" s="54">
        <v>1.5</v>
      </c>
      <c r="DM4" s="54">
        <v>0</v>
      </c>
      <c r="DN4" s="54">
        <v>26.1</v>
      </c>
      <c r="DO4" s="54">
        <v>8.6999999999999993</v>
      </c>
      <c r="DP4" s="54">
        <v>1.5</v>
      </c>
      <c r="DQ4" s="54">
        <v>0</v>
      </c>
      <c r="DR4" s="54"/>
      <c r="DS4" s="54"/>
      <c r="DT4" s="54"/>
      <c r="DU4" s="54"/>
      <c r="DV4" s="54"/>
      <c r="DW4" s="54"/>
      <c r="DX4" s="54"/>
      <c r="DY4" s="54"/>
      <c r="DZ4" s="54">
        <v>27.6</v>
      </c>
      <c r="EA4" s="54">
        <v>9.3000000000000007</v>
      </c>
      <c r="EB4" s="54">
        <v>1.5</v>
      </c>
      <c r="EC4" s="54">
        <v>0</v>
      </c>
      <c r="ED4" s="54">
        <v>28</v>
      </c>
      <c r="EE4" s="54">
        <v>9.1999999999999993</v>
      </c>
      <c r="EF4" s="54">
        <v>0</v>
      </c>
      <c r="EG4" s="54">
        <v>0</v>
      </c>
      <c r="EH4" s="13">
        <f t="shared" ref="EH4:EH13" si="38">IF(SUM(DK4,DO4,DS4,DW4)&gt;0,SUM(DK4,DO4,DS4,DW4),"")</f>
        <v>14.299999999999999</v>
      </c>
      <c r="EI4" s="13">
        <f t="shared" ref="EI4:EI13" si="39">IF(SUM(DJ4:DK4,DM4:DO4,DQ4)-SUM(DL4,DP4)&gt;0,SUM(DJ4:DK4,DM4:DO4,DQ4)-SUM(DL4,DP4),"")</f>
        <v>64.900000000000006</v>
      </c>
      <c r="EJ4" s="13" t="str">
        <f t="shared" ref="EJ4:EJ13" si="40">IF(SUM(DR4:DS4,DU4:DW4,DY4)-SUM(DT4,DX4)&gt;0,SUM(DR4:DS4,DU4:DW4,DY4)-SUM(DT4,DX4),"")</f>
        <v/>
      </c>
      <c r="EK4" s="13">
        <f t="shared" ref="EK4:EK13" si="41">IF(SUM(DJ4:DK4,DM4:DO4,DQ4:DS4,DU4:DW4,DY4)-SUM(DL4,DP4,DT4,DX4)&gt;0,SUM(DJ4:DK4,DM4:DO4,DQ4:DS4,DU4:DW4,DY4)-SUM(DL4,DP4,DT4,DX4),"")</f>
        <v>64.900000000000006</v>
      </c>
      <c r="EL4" s="13">
        <f t="shared" ref="EL4:EL13" si="42">IF(SUM(DZ4:EA4,EC4:EE4,EG4)-SUM(EB4,EF4)&gt;0,SUM(DZ4:EA4,EC4:EE4,EG4)-SUM(EB4,EF4),"")</f>
        <v>72.600000000000009</v>
      </c>
      <c r="EM4" s="13">
        <f t="shared" ref="EM4:EM13" si="43">IF(SUM(EK4,EL4)&gt;0,SUM(EK4,EL4),"")</f>
        <v>137.5</v>
      </c>
      <c r="EN4" s="53"/>
      <c r="EO4" s="53"/>
      <c r="EP4" s="53"/>
      <c r="EQ4" s="53"/>
      <c r="ER4" s="53"/>
      <c r="ES4" s="53"/>
      <c r="ET4" s="53"/>
      <c r="EU4" s="53"/>
      <c r="EV4" s="53"/>
      <c r="EW4" s="53"/>
      <c r="EX4" s="53"/>
      <c r="EY4" s="53"/>
      <c r="EZ4" s="53"/>
      <c r="FA4" s="53"/>
      <c r="FB4" s="53"/>
      <c r="FC4" s="53"/>
      <c r="FD4" s="53"/>
      <c r="FE4" s="53"/>
      <c r="FF4" s="53"/>
      <c r="FG4" s="53"/>
      <c r="FH4" s="53"/>
      <c r="FI4" s="53"/>
      <c r="FJ4" s="53"/>
      <c r="FK4" s="53"/>
      <c r="FL4" s="16" t="str">
        <f t="shared" ref="FL4:FL13" si="44">IF(SUM(EO4,ES4,EW4,FA4)&gt;0,SUM(EO4,ES4,EW4,FA4),"")</f>
        <v/>
      </c>
      <c r="FM4" s="16" t="str">
        <f t="shared" ref="FM4:FM13" si="45">IF(SUM(EN4:EO4,EQ4:ES4,EU4)-SUM(EP4,ET4)&gt;0,SUM(EN4:EO4,EQ4:ES4,EU4)-SUM(EP4,ET4),"")</f>
        <v/>
      </c>
      <c r="FN4" s="16" t="str">
        <f t="shared" ref="FN4:FN13" si="46">IF(SUM(EV4:EW4,EY4:FA4,FC4)-SUM(EX4,FB4)&gt;0,SUM(EV4:EW4,EY4:FA4,FC4)-SUM(EX4,FB4),"")</f>
        <v/>
      </c>
      <c r="FO4" s="16" t="str">
        <f t="shared" ref="FO4:FO13" si="47">IF(SUM(EN4:EO4,EQ4:ES4,EU4:EW4,EY4:FA4,FC4)-SUM(EP4,ET4,EX4,FB4)&gt;0,SUM(EN4:EO4,EQ4:ES4,EU4:EW4,EY4:FA4,FC4)-SUM(EP4,ET4,EX4,FB4),"")</f>
        <v/>
      </c>
      <c r="FP4" s="16" t="str">
        <f t="shared" ref="FP4:FP13" si="48">IF(SUM(FD4:FE4,FG4:FI4,FK4)-SUM(FF4,FJ4)&gt;0,SUM(FD4:FE4,FG4:FI4,FK4)-SUM(FF4,FJ4),"")</f>
        <v/>
      </c>
      <c r="FQ4" s="16" t="str">
        <f t="shared" ref="FQ4:FQ13" si="49">IF(SUM(FO4,FP4)&gt;0,SUM(FO4,FP4),"")</f>
        <v/>
      </c>
      <c r="FR4" s="54">
        <v>26.3</v>
      </c>
      <c r="FS4" s="54">
        <v>8.9</v>
      </c>
      <c r="FT4" s="54">
        <v>0.9</v>
      </c>
      <c r="FU4" s="54">
        <v>0</v>
      </c>
      <c r="FV4" s="54">
        <v>26.8</v>
      </c>
      <c r="FW4" s="54">
        <v>10</v>
      </c>
      <c r="FX4" s="54">
        <v>0</v>
      </c>
      <c r="FY4" s="54">
        <v>0</v>
      </c>
      <c r="FZ4" s="54"/>
      <c r="GA4" s="54"/>
      <c r="GB4" s="54"/>
      <c r="GC4" s="54"/>
      <c r="GD4" s="54"/>
      <c r="GE4" s="54"/>
      <c r="GF4" s="54"/>
      <c r="GG4" s="54"/>
      <c r="GH4" s="54"/>
      <c r="GI4" s="54"/>
      <c r="GJ4" s="54"/>
      <c r="GK4" s="54"/>
      <c r="GL4" s="54"/>
      <c r="GM4" s="54"/>
      <c r="GN4" s="54"/>
      <c r="GO4" s="54"/>
      <c r="GP4" s="13">
        <f t="shared" ref="GP4:GP13" si="50">IF(SUM(FS4,FW4,GA4,GE4)&gt;0,SUM(FS4,FW4,GA4,GE4),"")</f>
        <v>18.899999999999999</v>
      </c>
      <c r="GQ4" s="13">
        <f t="shared" ref="GQ4:GQ13" si="51">IF(SUM(FR4:FS4,FU4:FW4,FY4)-SUM(FT4,FX4)&gt;0,SUM(FR4:FS4,FU4:FW4,FY4)-SUM(FT4,FX4),"")</f>
        <v>71.099999999999994</v>
      </c>
      <c r="GR4" s="13" t="str">
        <f t="shared" ref="GR4:GR13" si="52">IF(SUM(FZ4:GA4,GC4:GE4,GG4)-SUM(GB4,GF4)&gt;0,SUM(FZ4:GA4,GC4:GE4,GG4)-SUM(GB4,GF4),"")</f>
        <v/>
      </c>
      <c r="GS4" s="13">
        <f t="shared" ref="GS4:GS13" si="53">IF(SUM(FR4:FS4,FU4:FW4,FY4:GA4,GC4:GE4,GG4)-SUM(FT4,FX4,GB4,GF4)&gt;0,SUM(FR4:FS4,FU4:FW4,FY4:GA4,GC4:GE4,GG4)-SUM(FT4,FX4,GB4,GF4),"")</f>
        <v>71.099999999999994</v>
      </c>
      <c r="GT4" s="13" t="str">
        <f t="shared" ref="GT4:GT13" si="54">IF(SUM(GH4:GI4,GK4:GM4,GO4)-SUM(GJ4,GN4)&gt;0,SUM(GH4:GI4,GK4:GM4,GO4)-SUM(GJ4,GN4),"")</f>
        <v/>
      </c>
      <c r="GU4" s="13">
        <f t="shared" ref="GU4:GU13" si="55">IF(SUM(GS4,GT4)&gt;0,SUM(GS4,GT4),"")</f>
        <v>71.099999999999994</v>
      </c>
      <c r="GV4" s="53"/>
      <c r="GW4" s="53"/>
      <c r="GX4" s="53"/>
      <c r="GY4" s="53"/>
      <c r="GZ4" s="53"/>
      <c r="HA4" s="53"/>
      <c r="HB4" s="53"/>
      <c r="HC4" s="53"/>
      <c r="HD4" s="53"/>
      <c r="HE4" s="53"/>
      <c r="HF4" s="53"/>
      <c r="HG4" s="53"/>
      <c r="HH4" s="53"/>
      <c r="HI4" s="53"/>
      <c r="HJ4" s="53"/>
      <c r="HK4" s="53"/>
      <c r="HL4" s="53"/>
      <c r="HM4" s="53"/>
      <c r="HN4" s="53"/>
      <c r="HO4" s="53"/>
      <c r="HP4" s="53"/>
      <c r="HQ4" s="53"/>
      <c r="HR4" s="53"/>
      <c r="HS4" s="53"/>
      <c r="HT4" s="16" t="str">
        <f t="shared" ref="HT4:HT13" si="56">IF(SUM(GW4,HA4,HE4,HI4)&gt;0,SUM(GW4,HA4,HE4,HI4),"")</f>
        <v/>
      </c>
      <c r="HU4" s="16" t="str">
        <f t="shared" ref="HU4:HU13" si="57">IF(SUM(GV4:GW4,GY4:HA4,HC4)-SUM(GX4,HB4)&gt;0,SUM(GV4:GW4,GY4:HA4,HC4)-SUM(GX4,HB4),"")</f>
        <v/>
      </c>
      <c r="HV4" s="16" t="str">
        <f t="shared" ref="HV4:HV13" si="58">IF(SUM(HD4:HE4,HG4:HI4,HK4)-SUM(HF4,HJ4)&gt;0,SUM(HD4:HE4,HG4:HI4,HK4)-SUM(HF4,HJ4),"")</f>
        <v/>
      </c>
      <c r="HW4" s="16" t="str">
        <f t="shared" ref="HW4:HW13" si="59">IF(SUM(GV4:GW4,GY4:HA4,HC4:HE4,HG4:HI4,HK4)-SUM(GX4,HB4,HF4,HJ4)&gt;0,SUM(GV4:GW4,GY4:HA4,HC4:HE4,HG4:HI4,HK4)-SUM(GX4,HB4,HF4,HJ4),"")</f>
        <v/>
      </c>
      <c r="HX4" s="16" t="str">
        <f t="shared" ref="HX4:HX13" si="60">IF(SUM(HL4:HM4,HO4:HQ4,HS4)-SUM(HN4,HR4)&gt;0,SUM(HL4:HM4,HO4:HQ4,HS4)-SUM(HN4,HR4),"")</f>
        <v/>
      </c>
      <c r="HY4" s="16" t="str">
        <f t="shared" ref="HY4:HY13" si="61">IF(SUM(HW4,HX4)&gt;0,SUM(HW4,HX4),"")</f>
        <v/>
      </c>
      <c r="HZ4" s="54"/>
      <c r="IA4" s="54"/>
      <c r="IB4" s="54"/>
      <c r="IC4" s="54"/>
      <c r="ID4" s="54"/>
      <c r="IE4" s="54"/>
      <c r="IF4" s="54"/>
      <c r="IG4" s="54"/>
      <c r="IH4" s="54"/>
      <c r="II4" s="54"/>
      <c r="IJ4" s="54"/>
      <c r="IK4" s="54"/>
      <c r="IL4" s="54"/>
      <c r="IM4" s="54"/>
      <c r="IN4" s="54"/>
      <c r="IO4" s="54"/>
      <c r="IP4" s="54"/>
      <c r="IQ4" s="54"/>
      <c r="IR4" s="54"/>
      <c r="IS4" s="54"/>
      <c r="IT4" s="54"/>
      <c r="IU4" s="54"/>
      <c r="IV4" s="54"/>
      <c r="IW4" s="54"/>
      <c r="IX4" s="13" t="str">
        <f t="shared" ref="IX4:IX13" si="62">IF(SUM(IA4,IE4,II4,IM4)&gt;0,SUM(IA4,IE4,II4,IM4),"")</f>
        <v/>
      </c>
      <c r="IY4" s="13" t="str">
        <f t="shared" ref="IY4:IY13" si="63">IF(SUM(HZ4:IA4,IC4:IE4,IG4)-SUM(IB4,IF4)&gt;0,SUM(HZ4:IA4,IC4:IE4,IG4)-SUM(IB4,IF4),"")</f>
        <v/>
      </c>
      <c r="IZ4" s="13" t="str">
        <f t="shared" ref="IZ4:IZ13" si="64">IF(SUM(IH4:II4,IK4:IM4,IO4)-SUM(IJ4,IN4)&gt;0,SUM(IH4:II4,IK4:IM4,IO4)-SUM(IJ4,IN4),"")</f>
        <v/>
      </c>
      <c r="JA4" s="13" t="str">
        <f t="shared" ref="JA4:JA13" si="65">IF(SUM(HZ4:IA4,IC4:IE4,IG4:II4,IK4:IM4,IO4)-SUM(IB4,IF4,IJ4,IN4)&gt;0,SUM(HZ4:IA4,IC4:IE4,IG4:II4,IK4:IM4,IO4)-SUM(IB4,IF4,IJ4,IN4),"")</f>
        <v/>
      </c>
      <c r="JB4" s="13" t="str">
        <f t="shared" ref="JB4:JB13" si="66">IF(SUM(IP4:IQ4,IS4:IU4,IW4)-SUM(IR4,IV4)&gt;0,SUM(IP4:IQ4,IS4:IU4,IW4)-SUM(IR4,IV4),"")</f>
        <v/>
      </c>
      <c r="JC4" s="13" t="str">
        <f t="shared" ref="JC4:JC13" si="67">IF(SUM(JA4,JB4)&gt;0,SUM(JA4,JB4),"")</f>
        <v/>
      </c>
      <c r="JD4" s="53"/>
      <c r="JE4" s="53"/>
      <c r="JF4" s="53"/>
      <c r="JG4" s="53"/>
      <c r="JH4" s="53"/>
      <c r="JI4" s="53"/>
      <c r="JJ4" s="53"/>
      <c r="JK4" s="53"/>
      <c r="JL4" s="53"/>
      <c r="JM4" s="53"/>
      <c r="JN4" s="53"/>
      <c r="JO4" s="53"/>
      <c r="JP4" s="53"/>
      <c r="JQ4" s="53"/>
      <c r="JR4" s="53"/>
      <c r="JS4" s="53"/>
      <c r="JT4" s="53"/>
      <c r="JU4" s="53"/>
      <c r="JV4" s="53"/>
      <c r="JW4" s="53"/>
      <c r="JX4" s="53"/>
      <c r="JY4" s="53"/>
      <c r="JZ4" s="53"/>
      <c r="KA4" s="53"/>
      <c r="KB4" s="16" t="str">
        <f t="shared" ref="KB4:KB13" si="68">IF(SUM(JE4,JI4,JM4,JQ4)&gt;0,SUM(JE4,JI4,JM4,JQ4),"")</f>
        <v/>
      </c>
      <c r="KC4" s="16" t="str">
        <f t="shared" ref="KC4:KC13" si="69">IF(SUM(JD4:JE4,JG4:JI4,JK4)-SUM(JF4,JJ4)&gt;0,SUM(JD4:JE4,JG4:JI4,JK4)-SUM(JF4,JJ4),"")</f>
        <v/>
      </c>
      <c r="KD4" s="16" t="str">
        <f t="shared" ref="KD4:KD13" si="70">IF(SUM(JL4:JM4,JO4:JQ4,JS4)-SUM(JN4,JR4)&gt;0,SUM(JL4:JM4,JO4:JQ4,JS4)-SUM(JN4,JR4),"")</f>
        <v/>
      </c>
      <c r="KE4" s="16" t="str">
        <f t="shared" ref="KE4:KE13" si="71">IF(SUM(JD4:JE4,JG4:JI4,JK4:JM4,JO4:JQ4,JS4)-SUM(JF4,JJ4,JN4,JR4)&gt;0,SUM(JD4:JE4,JG4:JI4,JK4:JM4,JO4:JQ4,JS4)-SUM(JF4,JJ4,JN4,JR4),"")</f>
        <v/>
      </c>
      <c r="KF4" s="16" t="str">
        <f t="shared" ref="KF4:KF13" si="72">IF(SUM(JT4:JU4,JW4:JY4,KA4)-SUM(JV4,JZ4)&gt;0,SUM(JT4:JU4,JW4:JY4,KA4)-SUM(JV4,JZ4),"")</f>
        <v/>
      </c>
      <c r="KG4" s="16" t="str">
        <f t="shared" ref="KG4:KG13" si="73">IF(SUM(KE4,KF4)&gt;0,SUM(KE4,KF4),"")</f>
        <v/>
      </c>
      <c r="KH4" s="54"/>
      <c r="KI4" s="54"/>
      <c r="KJ4" s="54"/>
      <c r="KK4" s="54"/>
      <c r="KL4" s="54"/>
      <c r="KM4" s="54"/>
      <c r="KN4" s="54"/>
      <c r="KO4" s="54"/>
      <c r="KP4" s="54"/>
      <c r="KQ4" s="54"/>
      <c r="KR4" s="54"/>
      <c r="KS4" s="54"/>
      <c r="KT4" s="54"/>
      <c r="KU4" s="54"/>
      <c r="KV4" s="54"/>
      <c r="KW4" s="54"/>
      <c r="KX4" s="54"/>
      <c r="KY4" s="54"/>
      <c r="KZ4" s="54"/>
      <c r="LA4" s="54"/>
      <c r="LB4" s="54"/>
      <c r="LC4" s="54"/>
      <c r="LD4" s="54"/>
      <c r="LE4" s="54"/>
      <c r="LF4" s="13" t="str">
        <f t="shared" ref="LF4:LF13" si="74">IF(SUM(KI4,KM4,KQ4,KU4)&gt;0,SUM(KI4,KM4,KQ4,KU4),"")</f>
        <v/>
      </c>
      <c r="LG4" s="13" t="str">
        <f t="shared" ref="LG4:LG13" si="75">IF(SUM(KH4:KI4,KK4:KM4,KO4)-SUM(KJ4,KN4)&gt;0,SUM(KH4:KI4,KK4:KM4,KO4)-SUM(KJ4,KN4),"")</f>
        <v/>
      </c>
      <c r="LH4" s="13" t="str">
        <f t="shared" ref="LH4:LH13" si="76">IF(SUM(KP4:KQ4,KS4:KU4,KW4)-SUM(KR4,KV4)&gt;0,SUM(KP4:KQ4,KS4:KU4,KW4)-SUM(KR4,KV4),"")</f>
        <v/>
      </c>
      <c r="LI4" s="13" t="str">
        <f t="shared" ref="LI4:LI13" si="77">IF(SUM(KH4:KI4,KK4:KM4,KO4:KQ4,KS4:KU4,KW4)-SUM(KJ4,KN4,KR4,KV4)&gt;0,SUM(KH4:KI4,KK4:KM4,KO4:KQ4,KS4:KU4,KW4)-SUM(KJ4,KN4,KR4,KV4),"")</f>
        <v/>
      </c>
      <c r="LJ4" s="13" t="str">
        <f t="shared" ref="LJ4:LJ13" si="78">IF(SUM(KX4:KY4,LA4:LC4,LE4)-SUM(KZ4,LD4)&gt;0,SUM(KX4:KY4,LA4:LC4,LE4)-SUM(KZ4,LD4),"")</f>
        <v/>
      </c>
      <c r="LK4" s="13" t="str">
        <f t="shared" ref="LK4:LK13" si="79">IF(SUM(LI4,LJ4)&gt;0,SUM(LI4,LJ4),"")</f>
        <v/>
      </c>
      <c r="LL4" s="53"/>
      <c r="LM4" s="53"/>
      <c r="LN4" s="53"/>
      <c r="LO4" s="53"/>
      <c r="LP4" s="53"/>
      <c r="LQ4" s="53"/>
      <c r="LR4" s="53"/>
      <c r="LS4" s="53"/>
      <c r="LT4" s="53"/>
      <c r="LU4" s="53"/>
      <c r="LV4" s="53"/>
      <c r="LW4" s="53"/>
      <c r="LX4" s="53"/>
      <c r="LY4" s="53"/>
      <c r="LZ4" s="53"/>
      <c r="MA4" s="53"/>
      <c r="MB4" s="53"/>
      <c r="MC4" s="53"/>
      <c r="MD4" s="53"/>
      <c r="ME4" s="53"/>
      <c r="MF4" s="53"/>
      <c r="MG4" s="53"/>
      <c r="MH4" s="53"/>
      <c r="MI4" s="53"/>
      <c r="MJ4" s="16" t="str">
        <f t="shared" ref="MJ4:MJ13" si="80">IF(SUM(LM4,LQ4,LU4,LY4)&gt;0,SUM(LM4,LQ4,LU4,LY4),"")</f>
        <v/>
      </c>
      <c r="MK4" s="16" t="str">
        <f t="shared" ref="MK4:MK13" si="81">IF(SUM(LL4:LM4,LO4:LQ4,LS4)-SUM(LN4,LR4)&gt;0,SUM(LL4:LM4,LO4:LQ4,LS4)-SUM(LN4,LR4),"")</f>
        <v/>
      </c>
      <c r="ML4" s="16" t="str">
        <f t="shared" ref="ML4:ML13" si="82">IF(SUM(LT4:LU4,LW4:LY4,MA4)-SUM(LV4,LZ4)&gt;0,SUM(LT4:LU4,LW4:LY4,MA4)-SUM(LV4,LZ4),"")</f>
        <v/>
      </c>
      <c r="MM4" s="16" t="str">
        <f t="shared" ref="MM4:MM13" si="83">IF(SUM(LL4:LM4,LO4:LQ4,LS4:LU4,LW4:LY4,MA4)-SUM(LN4,LR4,LV4,LZ4)&gt;0,SUM(LL4:LM4,LO4:LQ4,LS4:LU4,LW4:LY4,MA4)-SUM(LN4,LR4,LV4,LZ4),"")</f>
        <v/>
      </c>
      <c r="MN4" s="16" t="str">
        <f t="shared" ref="MN4:MN13" si="84">IF(SUM(MB4:MC4,ME4:MG4,MI4)-SUM(MD4,MH4)&gt;0,SUM(MB4:MC4,ME4:MG4,MI4)-SUM(MD4,MH4),"")</f>
        <v/>
      </c>
      <c r="MO4" s="16" t="str">
        <f t="shared" ref="MO4:MO13" si="85">IF(SUM(MM4,MN4)&gt;0,SUM(MM4,MN4),"")</f>
        <v/>
      </c>
      <c r="MP4" s="54"/>
      <c r="MQ4" s="54"/>
      <c r="MR4" s="54"/>
      <c r="MS4" s="54"/>
      <c r="MT4" s="54"/>
      <c r="MU4" s="54"/>
      <c r="MV4" s="54"/>
      <c r="MW4" s="54"/>
      <c r="MX4" s="54"/>
      <c r="MY4" s="54"/>
      <c r="MZ4" s="54"/>
      <c r="NA4" s="54"/>
      <c r="NB4" s="54"/>
      <c r="NC4" s="54"/>
      <c r="ND4" s="54"/>
      <c r="NE4" s="54"/>
      <c r="NF4" s="54"/>
      <c r="NG4" s="54"/>
      <c r="NH4" s="54"/>
      <c r="NI4" s="54"/>
      <c r="NJ4" s="54"/>
      <c r="NK4" s="54"/>
      <c r="NL4" s="54"/>
      <c r="NM4" s="54"/>
      <c r="NN4" s="13" t="str">
        <f t="shared" ref="NN4:NN13" si="86">IF(SUM(MQ4,MU4,MY4,NC4)&gt;0,SUM(MQ4,MU4,MY4,NC4),"")</f>
        <v/>
      </c>
      <c r="NO4" s="13" t="str">
        <f t="shared" ref="NO4:NO13" si="87">IF(SUM(MP4:MQ4,MS4:MU4,MW4)-SUM(MR4,MV4)&gt;0,SUM(MP4:MQ4,MS4:MU4,MW4)-SUM(MR4,MV4),"")</f>
        <v/>
      </c>
      <c r="NP4" s="13" t="str">
        <f t="shared" ref="NP4:NP13" si="88">IF(SUM(MX4:MY4,NA4:NC4,NE4)-SUM(MZ4,ND4)&gt;0,SUM(MX4:MY4,NA4:NC4,NE4)-SUM(MZ4,ND4),"")</f>
        <v/>
      </c>
      <c r="NQ4" s="13" t="str">
        <f t="shared" ref="NQ4:NQ13" si="89">IF(SUM(MP4:MQ4,MS4:MU4,MW4:MY4,NA4:NC4,NE4)-SUM(MR4,MV4,MZ4,ND4)&gt;0,SUM(MP4:MQ4,MS4:MU4,MW4:MY4,NA4:NC4,NE4)-SUM(MR4,MV4,MZ4,ND4),"")</f>
        <v/>
      </c>
      <c r="NR4" s="13" t="str">
        <f t="shared" ref="NR4:NR13" si="90">IF(SUM(NF4:NG4,NI4:NK4,NM4)-SUM(NH4,NL4)&gt;0,SUM(NF4:NG4,NI4:NK4,NM4)-SUM(NH4,NL4),"")</f>
        <v/>
      </c>
      <c r="NS4" s="13" t="str">
        <f t="shared" ref="NS4:NS13" si="91">IF(SUM(NQ4,NR4)&gt;0,SUM(NQ4,NR4),"")</f>
        <v/>
      </c>
      <c r="NT4" s="53"/>
      <c r="NU4" s="53"/>
      <c r="NV4" s="53"/>
      <c r="NW4" s="53"/>
      <c r="NX4" s="53"/>
      <c r="NY4" s="53"/>
      <c r="NZ4" s="53"/>
      <c r="OA4" s="53"/>
      <c r="OB4" s="53"/>
      <c r="OC4" s="53"/>
      <c r="OD4" s="53"/>
      <c r="OE4" s="53"/>
      <c r="OF4" s="53"/>
      <c r="OG4" s="53"/>
      <c r="OH4" s="53"/>
      <c r="OI4" s="53"/>
      <c r="OJ4" s="53"/>
      <c r="OK4" s="53"/>
      <c r="OL4" s="53"/>
      <c r="OM4" s="53"/>
      <c r="ON4" s="53"/>
      <c r="OO4" s="53"/>
      <c r="OP4" s="53"/>
      <c r="OQ4" s="53"/>
      <c r="OR4" s="16" t="str">
        <f t="shared" ref="OR4:OR13" si="92">IF(SUM(NU4,NY4,OC4,OG4)&gt;0,SUM(NU4,NY4,OC4,OG4),"")</f>
        <v/>
      </c>
      <c r="OS4" s="16" t="str">
        <f t="shared" ref="OS4:OS13" si="93">IF(SUM(NT4:NU4,NW4:NY4,OA4)-SUM(NV4,NZ4)&gt;0,SUM(NT4:NU4,NW4:NY4,OA4)-SUM(NV4,NZ4),"")</f>
        <v/>
      </c>
      <c r="OT4" s="16" t="str">
        <f t="shared" ref="OT4:OT13" si="94">IF(SUM(OB4:OC4,OE4:OG4,OI4)-SUM(OD4,OH4)&gt;0,SUM(OB4:OC4,OE4:OG4,OI4)-SUM(OD4,OH4),"")</f>
        <v/>
      </c>
      <c r="OU4" s="16" t="str">
        <f t="shared" ref="OU4:OU13" si="95">IF(SUM(NT4:NU4,NW4:NY4,OA4:OC4,OE4:OG4,OI4)-SUM(NV4,NZ4,OD4,OH4)&gt;0,SUM(NT4:NU4,NW4:NY4,OA4:OC4,OE4:OG4,OI4)-SUM(NV4,NZ4,OD4,OH4),"")</f>
        <v/>
      </c>
      <c r="OV4" s="16" t="str">
        <f t="shared" ref="OV4:OV13" si="96">IF(SUM(OJ4:OK4,OM4:OO4,OQ4)-SUM(OL4,OP4)&gt;0,SUM(OJ4:OK4,OM4:OO4,OQ4)-SUM(OL4,OP4),"")</f>
        <v/>
      </c>
      <c r="OW4" s="16" t="str">
        <f t="shared" ref="OW4:OW13" si="97">IF(SUM(OU4,OV4)&gt;0,SUM(OU4,OV4),"")</f>
        <v/>
      </c>
      <c r="OX4" s="54"/>
      <c r="OY4" s="54"/>
      <c r="OZ4" s="54"/>
      <c r="PA4" s="54"/>
      <c r="PB4" s="54"/>
      <c r="PC4" s="54"/>
      <c r="PD4" s="54"/>
      <c r="PE4" s="54"/>
      <c r="PF4" s="54"/>
      <c r="PG4" s="54"/>
      <c r="PH4" s="54"/>
      <c r="PI4" s="54"/>
      <c r="PJ4" s="54"/>
      <c r="PK4" s="54"/>
      <c r="PL4" s="54"/>
      <c r="PM4" s="54"/>
      <c r="PN4" s="54"/>
      <c r="PO4" s="54"/>
      <c r="PP4" s="54"/>
      <c r="PQ4" s="54"/>
      <c r="PR4" s="54"/>
      <c r="PS4" s="54"/>
      <c r="PT4" s="54"/>
      <c r="PU4" s="54"/>
      <c r="PV4" s="13" t="str">
        <f t="shared" ref="PV4:PV13" si="98">IF(SUM(OY4,PC4,PG4,PK4)&gt;0,SUM(OY4,PC4,PG4,PK4),"")</f>
        <v/>
      </c>
      <c r="PW4" s="13" t="str">
        <f t="shared" ref="PW4:PW13" si="99">IF(SUM(OX4:OY4,PA4:PC4,PE4)-SUM(OZ4,PD4)&gt;0,SUM(OX4:OY4,PA4:PC4,PE4)-SUM(OZ4,PD4),"")</f>
        <v/>
      </c>
      <c r="PX4" s="13" t="str">
        <f t="shared" ref="PX4:PX13" si="100">IF(SUM(PF4:PG4,PI4:PK4,PM4)-SUM(PH4,PL4)&gt;0,SUM(PF4:PG4,PI4:PK4,PM4)-SUM(PH4,PL4),"")</f>
        <v/>
      </c>
      <c r="PY4" s="13" t="str">
        <f t="shared" ref="PY4:PY13" si="101">IF(SUM(OX4:OY4,PA4:PC4,PE4:PG4,PI4:PK4,PM4)-SUM(OZ4,PD4,PH4,PL4)&gt;0,SUM(OX4:OY4,PA4:PC4,PE4:PG4,PI4:PK4,PM4)-SUM(OZ4,PD4,PH4,PL4),"")</f>
        <v/>
      </c>
      <c r="PZ4" s="13" t="str">
        <f t="shared" ref="PZ4:PZ13" si="102">IF(SUM(PN4:PO4,PQ4:PS4,PU4)-SUM(PP4,PT4)&gt;0,SUM(PN4:PO4,PQ4:PS4,PU4)-SUM(PP4,PT4),"")</f>
        <v/>
      </c>
      <c r="QA4" s="13" t="str">
        <f t="shared" ref="QA4:QA13" si="103">IF(SUM(PY4,PZ4)&gt;0,SUM(PY4,PZ4),"")</f>
        <v/>
      </c>
      <c r="QB4" s="53"/>
      <c r="QC4" s="53"/>
      <c r="QD4" s="53"/>
      <c r="QE4" s="53"/>
      <c r="QF4" s="53"/>
      <c r="QG4" s="53"/>
      <c r="QH4" s="53"/>
      <c r="QI4" s="53"/>
      <c r="QJ4" s="53"/>
      <c r="QK4" s="53"/>
      <c r="QL4" s="53"/>
      <c r="QM4" s="53"/>
      <c r="QN4" s="53"/>
      <c r="QO4" s="53"/>
      <c r="QP4" s="53"/>
      <c r="QQ4" s="53"/>
      <c r="QR4" s="53"/>
      <c r="QS4" s="53"/>
      <c r="QT4" s="53"/>
      <c r="QU4" s="53"/>
      <c r="QV4" s="53"/>
      <c r="QW4" s="53"/>
      <c r="QX4" s="53"/>
      <c r="QY4" s="53"/>
      <c r="QZ4" s="16" t="str">
        <f t="shared" ref="QZ4:QZ13" si="104">IF(SUM(QC4,QG4,QK4,QO4)&gt;0,SUM(QC4,QG4,QK4,QO4),"")</f>
        <v/>
      </c>
      <c r="RA4" s="16" t="str">
        <f t="shared" ref="RA4:RA13" si="105">IF(SUM(QB4:QC4,QE4:QG4,QI4)-SUM(QD4,QH4)&gt;0,SUM(QB4:QC4,QE4:QG4,QI4)-SUM(QD4,QH4),"")</f>
        <v/>
      </c>
      <c r="RB4" s="16" t="str">
        <f t="shared" ref="RB4:RB13" si="106">IF(SUM(QJ4:QK4,QM4:QO4,QQ4)-SUM(QL4,QP4)&gt;0,SUM(QJ4:QK4,QM4:QO4,QQ4)-SUM(QL4,QP4),"")</f>
        <v/>
      </c>
      <c r="RC4" s="16" t="str">
        <f t="shared" ref="RC4:RC13" si="107">IF(SUM(QB4:QC4,QE4:QG4,QI4:QK4,QM4:QO4,QQ4)-SUM(QD4,QH4,QL4,QP4)&gt;0,SUM(QB4:QC4,QE4:QG4,QI4:QK4,QM4:QO4,QQ4)-SUM(QD4,QH4,QL4,QP4),"")</f>
        <v/>
      </c>
      <c r="RD4" s="16" t="str">
        <f t="shared" ref="RD4:RD13" si="108">IF(SUM(QR4:QS4,QU4:QW4,QY4)-SUM(QT4,QX4)&gt;0,SUM(QR4:QS4,QU4:QW4,QY4)-SUM(QT4,QX4),"")</f>
        <v/>
      </c>
      <c r="RE4" s="16" t="str">
        <f t="shared" ref="RE4:RE13" si="109">IF(SUM(RC4,RD4)&gt;0,SUM(RC4,RD4),"")</f>
        <v/>
      </c>
    </row>
    <row r="5" spans="1:473" x14ac:dyDescent="0.2">
      <c r="A5" s="6">
        <f t="shared" si="0"/>
        <v>2</v>
      </c>
      <c r="B5" s="9" t="s">
        <v>14</v>
      </c>
      <c r="C5" s="5" t="s">
        <v>6</v>
      </c>
      <c r="D5" s="6">
        <v>2012</v>
      </c>
      <c r="E5" s="17">
        <f t="shared" si="1"/>
        <v>347.69999999999993</v>
      </c>
      <c r="F5" s="4" t="str">
        <f t="shared" si="2"/>
        <v>P</v>
      </c>
      <c r="G5" s="4" t="str">
        <f t="shared" si="3"/>
        <v>P</v>
      </c>
      <c r="H5" s="4" t="str">
        <f t="shared" si="4"/>
        <v>P</v>
      </c>
      <c r="I5" t="str">
        <f t="shared" si="5"/>
        <v>Worlds Team</v>
      </c>
      <c r="J5" s="16">
        <f t="shared" si="6"/>
        <v>140.59999999999997</v>
      </c>
      <c r="K5" s="16" t="str">
        <f t="shared" si="7"/>
        <v>2018 Canada Cup</v>
      </c>
      <c r="L5" s="16">
        <f t="shared" si="8"/>
        <v>67.5</v>
      </c>
      <c r="M5" s="16" t="str">
        <f t="shared" si="9"/>
        <v>2017 3rd Domestic Trial</v>
      </c>
      <c r="N5" s="16">
        <f t="shared" si="10"/>
        <v>71.599999999999994</v>
      </c>
      <c r="O5" s="16" t="str">
        <f t="shared" si="11"/>
        <v>2017 3rd Domestic Trial</v>
      </c>
      <c r="P5" s="16">
        <f t="shared" si="12"/>
        <v>67</v>
      </c>
      <c r="Q5" s="16" t="str">
        <f t="shared" si="13"/>
        <v>2018 Canada Cup</v>
      </c>
      <c r="R5" s="16">
        <f t="shared" si="14"/>
        <v>1</v>
      </c>
      <c r="S5" s="31" t="str">
        <f t="shared" si="15"/>
        <v>(Pass 1-2)</v>
      </c>
      <c r="T5" s="16" t="str">
        <f t="shared" si="16"/>
        <v>Ciudad de Valladolid (Oct)</v>
      </c>
      <c r="U5" s="47">
        <v>26.6</v>
      </c>
      <c r="V5" s="47">
        <v>7.3</v>
      </c>
      <c r="W5" s="47">
        <v>0.3</v>
      </c>
      <c r="X5" s="47">
        <v>0</v>
      </c>
      <c r="Y5" s="47">
        <v>27.6</v>
      </c>
      <c r="Z5" s="47">
        <v>7.2</v>
      </c>
      <c r="AA5" s="47">
        <v>0.9</v>
      </c>
      <c r="AB5" s="47">
        <v>0</v>
      </c>
      <c r="AC5" s="47">
        <v>28.4</v>
      </c>
      <c r="AD5" s="47">
        <v>7.6</v>
      </c>
      <c r="AE5" s="47">
        <v>0</v>
      </c>
      <c r="AF5" s="47">
        <v>0</v>
      </c>
      <c r="AG5" s="47">
        <v>28</v>
      </c>
      <c r="AH5" s="47">
        <v>7.6</v>
      </c>
      <c r="AI5" s="47">
        <v>0</v>
      </c>
      <c r="AJ5" s="47">
        <v>0</v>
      </c>
      <c r="AK5" s="47">
        <v>28.4</v>
      </c>
      <c r="AL5" s="47">
        <v>4.5</v>
      </c>
      <c r="AM5" s="47">
        <v>3.9</v>
      </c>
      <c r="AN5" s="47">
        <v>0</v>
      </c>
      <c r="AO5" s="47">
        <v>27.6</v>
      </c>
      <c r="AP5" s="47">
        <v>6.8</v>
      </c>
      <c r="AQ5" s="47">
        <v>0</v>
      </c>
      <c r="AR5" s="47">
        <v>0</v>
      </c>
      <c r="AS5" s="13">
        <f t="shared" si="17"/>
        <v>29.700000000000003</v>
      </c>
      <c r="AT5" s="13">
        <f t="shared" si="18"/>
        <v>67.5</v>
      </c>
      <c r="AU5" s="13">
        <f t="shared" si="19"/>
        <v>71.599999999999994</v>
      </c>
      <c r="AV5" s="13">
        <f t="shared" si="20"/>
        <v>139.1</v>
      </c>
      <c r="AW5" s="13">
        <f t="shared" si="21"/>
        <v>63.4</v>
      </c>
      <c r="AX5" s="13">
        <f t="shared" si="22"/>
        <v>202.5</v>
      </c>
      <c r="AY5" s="48">
        <v>28.1</v>
      </c>
      <c r="AZ5" s="48">
        <v>7.3</v>
      </c>
      <c r="BA5" s="48">
        <v>0</v>
      </c>
      <c r="BB5" s="48">
        <v>0</v>
      </c>
      <c r="BC5" s="48">
        <v>27.3</v>
      </c>
      <c r="BD5" s="48">
        <v>7.6</v>
      </c>
      <c r="BE5" s="48">
        <v>0.3</v>
      </c>
      <c r="BF5" s="48">
        <v>0</v>
      </c>
      <c r="BG5" s="48">
        <v>28.3</v>
      </c>
      <c r="BH5" s="48">
        <v>7.6</v>
      </c>
      <c r="BI5" s="48">
        <v>0.3</v>
      </c>
      <c r="BJ5" s="48">
        <v>0</v>
      </c>
      <c r="BK5" s="48">
        <v>27.7</v>
      </c>
      <c r="BL5" s="48">
        <v>7.6</v>
      </c>
      <c r="BM5" s="48">
        <v>0.3</v>
      </c>
      <c r="BN5" s="48">
        <v>0</v>
      </c>
      <c r="BO5" s="48">
        <v>28.2</v>
      </c>
      <c r="BP5" s="48">
        <v>7.2</v>
      </c>
      <c r="BQ5" s="48">
        <v>1.2</v>
      </c>
      <c r="BR5" s="48">
        <v>0</v>
      </c>
      <c r="BS5" s="48">
        <v>28</v>
      </c>
      <c r="BT5" s="48">
        <v>6</v>
      </c>
      <c r="BU5" s="48">
        <v>1.2</v>
      </c>
      <c r="BV5" s="48">
        <v>0</v>
      </c>
      <c r="BW5" s="16">
        <f t="shared" si="23"/>
        <v>30.1</v>
      </c>
      <c r="BX5" s="16">
        <f t="shared" si="24"/>
        <v>70</v>
      </c>
      <c r="BY5" s="16">
        <f t="shared" si="25"/>
        <v>70.599999999999994</v>
      </c>
      <c r="BZ5" s="16">
        <f t="shared" si="26"/>
        <v>140.59999999999997</v>
      </c>
      <c r="CA5" s="16">
        <f t="shared" si="27"/>
        <v>67</v>
      </c>
      <c r="CB5" s="16">
        <f t="shared" si="28"/>
        <v>207.59999999999997</v>
      </c>
      <c r="CC5" s="47">
        <v>28.1</v>
      </c>
      <c r="CD5" s="47">
        <v>7.3</v>
      </c>
      <c r="CE5" s="47">
        <v>0</v>
      </c>
      <c r="CF5" s="47">
        <v>0</v>
      </c>
      <c r="CG5" s="47">
        <v>20</v>
      </c>
      <c r="CH5" s="47">
        <v>3.6</v>
      </c>
      <c r="CI5" s="47">
        <v>0</v>
      </c>
      <c r="CJ5" s="47">
        <v>0</v>
      </c>
      <c r="CK5" s="47">
        <v>28.4</v>
      </c>
      <c r="CL5" s="47">
        <v>7.6</v>
      </c>
      <c r="CM5" s="47">
        <v>0</v>
      </c>
      <c r="CN5" s="47">
        <v>0</v>
      </c>
      <c r="CO5" s="47">
        <v>27.5</v>
      </c>
      <c r="CP5" s="47">
        <v>6.8</v>
      </c>
      <c r="CQ5" s="47">
        <v>0.9</v>
      </c>
      <c r="CR5" s="47">
        <v>0</v>
      </c>
      <c r="CS5" s="47">
        <v>0</v>
      </c>
      <c r="CT5" s="47">
        <v>0</v>
      </c>
      <c r="CU5" s="47">
        <v>0</v>
      </c>
      <c r="CV5" s="47">
        <v>0</v>
      </c>
      <c r="CW5" s="47">
        <v>28.8</v>
      </c>
      <c r="CX5" s="47">
        <v>7.6</v>
      </c>
      <c r="CY5" s="47">
        <v>0</v>
      </c>
      <c r="CZ5" s="47">
        <v>0</v>
      </c>
      <c r="DA5" s="13">
        <f t="shared" si="29"/>
        <v>25.3</v>
      </c>
      <c r="DB5" s="13">
        <f t="shared" si="30"/>
        <v>59</v>
      </c>
      <c r="DC5" s="13">
        <f t="shared" si="31"/>
        <v>69.399999999999991</v>
      </c>
      <c r="DD5" s="13">
        <f t="shared" si="32"/>
        <v>128.4</v>
      </c>
      <c r="DE5" s="13">
        <f t="shared" si="33"/>
        <v>36.4</v>
      </c>
      <c r="DF5" s="13">
        <f t="shared" si="34"/>
        <v>164.8</v>
      </c>
      <c r="DG5" s="30">
        <f t="shared" si="35"/>
        <v>1</v>
      </c>
      <c r="DH5" s="30" t="str">
        <f t="shared" si="36"/>
        <v/>
      </c>
      <c r="DI5" s="30" t="str">
        <f t="shared" si="37"/>
        <v/>
      </c>
      <c r="DJ5" s="54"/>
      <c r="DK5" s="54"/>
      <c r="DL5" s="54"/>
      <c r="DM5" s="54"/>
      <c r="DN5" s="54"/>
      <c r="DO5" s="54"/>
      <c r="DP5" s="54"/>
      <c r="DQ5" s="54"/>
      <c r="DR5" s="54"/>
      <c r="DS5" s="54"/>
      <c r="DT5" s="54"/>
      <c r="DU5" s="54"/>
      <c r="DV5" s="54"/>
      <c r="DW5" s="54"/>
      <c r="DX5" s="54"/>
      <c r="DY5" s="54"/>
      <c r="DZ5" s="54"/>
      <c r="EA5" s="54"/>
      <c r="EB5" s="54"/>
      <c r="EC5" s="54"/>
      <c r="ED5" s="54"/>
      <c r="EE5" s="54"/>
      <c r="EF5" s="54"/>
      <c r="EG5" s="54"/>
      <c r="EH5" s="13" t="str">
        <f t="shared" si="38"/>
        <v/>
      </c>
      <c r="EI5" s="13" t="str">
        <f t="shared" si="39"/>
        <v/>
      </c>
      <c r="EJ5" s="13" t="str">
        <f t="shared" si="40"/>
        <v/>
      </c>
      <c r="EK5" s="13" t="str">
        <f t="shared" si="41"/>
        <v/>
      </c>
      <c r="EL5" s="13" t="str">
        <f t="shared" si="42"/>
        <v/>
      </c>
      <c r="EM5" s="13" t="str">
        <f t="shared" si="43"/>
        <v/>
      </c>
      <c r="EN5" s="53">
        <v>27.3</v>
      </c>
      <c r="EO5" s="53">
        <v>6</v>
      </c>
      <c r="EP5" s="53">
        <v>0</v>
      </c>
      <c r="EQ5" s="53">
        <v>0</v>
      </c>
      <c r="ER5" s="53">
        <v>27.6</v>
      </c>
      <c r="ES5" s="53">
        <v>7.6</v>
      </c>
      <c r="ET5" s="53">
        <v>0</v>
      </c>
      <c r="EU5" s="53">
        <v>0</v>
      </c>
      <c r="EV5" s="53"/>
      <c r="EW5" s="53"/>
      <c r="EX5" s="53"/>
      <c r="EY5" s="53"/>
      <c r="EZ5" s="53"/>
      <c r="FA5" s="53"/>
      <c r="FB5" s="53"/>
      <c r="FC5" s="53"/>
      <c r="FD5" s="53">
        <v>28</v>
      </c>
      <c r="FE5" s="53">
        <v>7.2</v>
      </c>
      <c r="FF5" s="53">
        <v>0.9</v>
      </c>
      <c r="FG5" s="53">
        <v>0</v>
      </c>
      <c r="FH5" s="53">
        <v>27.6</v>
      </c>
      <c r="FI5" s="53">
        <v>3.7</v>
      </c>
      <c r="FJ5" s="53">
        <v>0</v>
      </c>
      <c r="FK5" s="53">
        <v>0</v>
      </c>
      <c r="FL5" s="16">
        <f t="shared" si="44"/>
        <v>13.6</v>
      </c>
      <c r="FM5" s="16">
        <f t="shared" si="45"/>
        <v>68.5</v>
      </c>
      <c r="FN5" s="16" t="str">
        <f t="shared" si="46"/>
        <v/>
      </c>
      <c r="FO5" s="16">
        <f t="shared" si="47"/>
        <v>68.5</v>
      </c>
      <c r="FP5" s="16">
        <f t="shared" si="48"/>
        <v>65.599999999999994</v>
      </c>
      <c r="FQ5" s="16">
        <f t="shared" si="49"/>
        <v>134.1</v>
      </c>
      <c r="FR5" s="54">
        <v>27.6</v>
      </c>
      <c r="FS5" s="54">
        <v>7.6</v>
      </c>
      <c r="FT5" s="54">
        <v>0.3</v>
      </c>
      <c r="FU5" s="54">
        <v>0</v>
      </c>
      <c r="FV5" s="54">
        <v>26.8</v>
      </c>
      <c r="FW5" s="54">
        <v>6.8</v>
      </c>
      <c r="FX5" s="54">
        <v>0.9</v>
      </c>
      <c r="FY5" s="54">
        <v>0</v>
      </c>
      <c r="FZ5" s="54"/>
      <c r="GA5" s="54"/>
      <c r="GB5" s="54"/>
      <c r="GC5" s="54"/>
      <c r="GD5" s="54"/>
      <c r="GE5" s="54"/>
      <c r="GF5" s="54"/>
      <c r="GG5" s="54"/>
      <c r="GH5" s="54"/>
      <c r="GI5" s="54"/>
      <c r="GJ5" s="54"/>
      <c r="GK5" s="54"/>
      <c r="GL5" s="54"/>
      <c r="GM5" s="54"/>
      <c r="GN5" s="54"/>
      <c r="GO5" s="54"/>
      <c r="GP5" s="13">
        <f t="shared" si="50"/>
        <v>14.399999999999999</v>
      </c>
      <c r="GQ5" s="13">
        <f t="shared" si="51"/>
        <v>67.599999999999994</v>
      </c>
      <c r="GR5" s="13" t="str">
        <f t="shared" si="52"/>
        <v/>
      </c>
      <c r="GS5" s="13">
        <f t="shared" si="53"/>
        <v>67.599999999999994</v>
      </c>
      <c r="GT5" s="13" t="str">
        <f t="shared" si="54"/>
        <v/>
      </c>
      <c r="GU5" s="13">
        <f t="shared" si="55"/>
        <v>67.599999999999994</v>
      </c>
      <c r="GV5" s="53"/>
      <c r="GW5" s="53"/>
      <c r="GX5" s="53"/>
      <c r="GY5" s="53"/>
      <c r="GZ5" s="53"/>
      <c r="HA5" s="53"/>
      <c r="HB5" s="53"/>
      <c r="HC5" s="53"/>
      <c r="HD5" s="53"/>
      <c r="HE5" s="53"/>
      <c r="HF5" s="53"/>
      <c r="HG5" s="53"/>
      <c r="HH5" s="53"/>
      <c r="HI5" s="53"/>
      <c r="HJ5" s="53"/>
      <c r="HK5" s="53"/>
      <c r="HL5" s="53"/>
      <c r="HM5" s="53"/>
      <c r="HN5" s="53"/>
      <c r="HO5" s="53"/>
      <c r="HP5" s="53"/>
      <c r="HQ5" s="53"/>
      <c r="HR5" s="53"/>
      <c r="HS5" s="53"/>
      <c r="HT5" s="16" t="str">
        <f t="shared" si="56"/>
        <v/>
      </c>
      <c r="HU5" s="16" t="str">
        <f t="shared" si="57"/>
        <v/>
      </c>
      <c r="HV5" s="16" t="str">
        <f t="shared" si="58"/>
        <v/>
      </c>
      <c r="HW5" s="16" t="str">
        <f t="shared" si="59"/>
        <v/>
      </c>
      <c r="HX5" s="16" t="str">
        <f t="shared" si="60"/>
        <v/>
      </c>
      <c r="HY5" s="16" t="str">
        <f t="shared" si="61"/>
        <v/>
      </c>
      <c r="HZ5" s="54"/>
      <c r="IA5" s="54"/>
      <c r="IB5" s="54"/>
      <c r="IC5" s="54"/>
      <c r="ID5" s="54"/>
      <c r="IE5" s="54"/>
      <c r="IF5" s="54"/>
      <c r="IG5" s="54"/>
      <c r="IH5" s="54"/>
      <c r="II5" s="54"/>
      <c r="IJ5" s="54"/>
      <c r="IK5" s="54"/>
      <c r="IL5" s="54"/>
      <c r="IM5" s="54"/>
      <c r="IN5" s="54"/>
      <c r="IO5" s="54"/>
      <c r="IP5" s="54"/>
      <c r="IQ5" s="54"/>
      <c r="IR5" s="54"/>
      <c r="IS5" s="54"/>
      <c r="IT5" s="54"/>
      <c r="IU5" s="54"/>
      <c r="IV5" s="54"/>
      <c r="IW5" s="54"/>
      <c r="IX5" s="13" t="str">
        <f t="shared" si="62"/>
        <v/>
      </c>
      <c r="IY5" s="13" t="str">
        <f t="shared" si="63"/>
        <v/>
      </c>
      <c r="IZ5" s="13" t="str">
        <f t="shared" si="64"/>
        <v/>
      </c>
      <c r="JA5" s="13" t="str">
        <f t="shared" si="65"/>
        <v/>
      </c>
      <c r="JB5" s="13" t="str">
        <f t="shared" si="66"/>
        <v/>
      </c>
      <c r="JC5" s="13" t="str">
        <f t="shared" si="67"/>
        <v/>
      </c>
      <c r="JD5" s="53"/>
      <c r="JE5" s="53"/>
      <c r="JF5" s="53"/>
      <c r="JG5" s="53"/>
      <c r="JH5" s="53"/>
      <c r="JI5" s="53"/>
      <c r="JJ5" s="53"/>
      <c r="JK5" s="53"/>
      <c r="JL5" s="53"/>
      <c r="JM5" s="53"/>
      <c r="JN5" s="53"/>
      <c r="JO5" s="53"/>
      <c r="JP5" s="53"/>
      <c r="JQ5" s="53"/>
      <c r="JR5" s="53"/>
      <c r="JS5" s="53"/>
      <c r="JT5" s="53"/>
      <c r="JU5" s="53"/>
      <c r="JV5" s="53"/>
      <c r="JW5" s="53"/>
      <c r="JX5" s="53"/>
      <c r="JY5" s="53"/>
      <c r="JZ5" s="53"/>
      <c r="KA5" s="53"/>
      <c r="KB5" s="16" t="str">
        <f t="shared" si="68"/>
        <v/>
      </c>
      <c r="KC5" s="16" t="str">
        <f t="shared" si="69"/>
        <v/>
      </c>
      <c r="KD5" s="16" t="str">
        <f t="shared" si="70"/>
        <v/>
      </c>
      <c r="KE5" s="16" t="str">
        <f t="shared" si="71"/>
        <v/>
      </c>
      <c r="KF5" s="16" t="str">
        <f t="shared" si="72"/>
        <v/>
      </c>
      <c r="KG5" s="16" t="str">
        <f t="shared" si="73"/>
        <v/>
      </c>
      <c r="KH5" s="54"/>
      <c r="KI5" s="54"/>
      <c r="KJ5" s="54"/>
      <c r="KK5" s="54"/>
      <c r="KL5" s="54"/>
      <c r="KM5" s="54"/>
      <c r="KN5" s="54"/>
      <c r="KO5" s="54"/>
      <c r="KP5" s="54"/>
      <c r="KQ5" s="54"/>
      <c r="KR5" s="54"/>
      <c r="KS5" s="54"/>
      <c r="KT5" s="54"/>
      <c r="KU5" s="54"/>
      <c r="KV5" s="54"/>
      <c r="KW5" s="54"/>
      <c r="KX5" s="54"/>
      <c r="KY5" s="54"/>
      <c r="KZ5" s="54"/>
      <c r="LA5" s="54"/>
      <c r="LB5" s="54"/>
      <c r="LC5" s="54"/>
      <c r="LD5" s="54"/>
      <c r="LE5" s="54"/>
      <c r="LF5" s="13" t="str">
        <f t="shared" si="74"/>
        <v/>
      </c>
      <c r="LG5" s="13" t="str">
        <f t="shared" si="75"/>
        <v/>
      </c>
      <c r="LH5" s="13" t="str">
        <f t="shared" si="76"/>
        <v/>
      </c>
      <c r="LI5" s="13" t="str">
        <f t="shared" si="77"/>
        <v/>
      </c>
      <c r="LJ5" s="13" t="str">
        <f t="shared" si="78"/>
        <v/>
      </c>
      <c r="LK5" s="13" t="str">
        <f t="shared" si="79"/>
        <v/>
      </c>
      <c r="LL5" s="53"/>
      <c r="LM5" s="53"/>
      <c r="LN5" s="53"/>
      <c r="LO5" s="53"/>
      <c r="LP5" s="53"/>
      <c r="LQ5" s="53"/>
      <c r="LR5" s="53"/>
      <c r="LS5" s="53"/>
      <c r="LT5" s="53"/>
      <c r="LU5" s="53"/>
      <c r="LV5" s="53"/>
      <c r="LW5" s="53"/>
      <c r="LX5" s="53"/>
      <c r="LY5" s="53"/>
      <c r="LZ5" s="53"/>
      <c r="MA5" s="53"/>
      <c r="MB5" s="53"/>
      <c r="MC5" s="53"/>
      <c r="MD5" s="53"/>
      <c r="ME5" s="53"/>
      <c r="MF5" s="53"/>
      <c r="MG5" s="53"/>
      <c r="MH5" s="53"/>
      <c r="MI5" s="53"/>
      <c r="MJ5" s="16" t="str">
        <f t="shared" si="80"/>
        <v/>
      </c>
      <c r="MK5" s="16" t="str">
        <f t="shared" si="81"/>
        <v/>
      </c>
      <c r="ML5" s="16" t="str">
        <f t="shared" si="82"/>
        <v/>
      </c>
      <c r="MM5" s="16" t="str">
        <f t="shared" si="83"/>
        <v/>
      </c>
      <c r="MN5" s="16" t="str">
        <f t="shared" si="84"/>
        <v/>
      </c>
      <c r="MO5" s="16" t="str">
        <f t="shared" si="85"/>
        <v/>
      </c>
      <c r="MP5" s="54"/>
      <c r="MQ5" s="54"/>
      <c r="MR5" s="54"/>
      <c r="MS5" s="54"/>
      <c r="MT5" s="54"/>
      <c r="MU5" s="54"/>
      <c r="MV5" s="54"/>
      <c r="MW5" s="54"/>
      <c r="MX5" s="54"/>
      <c r="MY5" s="54"/>
      <c r="MZ5" s="54"/>
      <c r="NA5" s="54"/>
      <c r="NB5" s="54"/>
      <c r="NC5" s="54"/>
      <c r="ND5" s="54"/>
      <c r="NE5" s="54"/>
      <c r="NF5" s="54"/>
      <c r="NG5" s="54"/>
      <c r="NH5" s="54"/>
      <c r="NI5" s="54"/>
      <c r="NJ5" s="54"/>
      <c r="NK5" s="54"/>
      <c r="NL5" s="54"/>
      <c r="NM5" s="54"/>
      <c r="NN5" s="13" t="str">
        <f t="shared" si="86"/>
        <v/>
      </c>
      <c r="NO5" s="13" t="str">
        <f t="shared" si="87"/>
        <v/>
      </c>
      <c r="NP5" s="13" t="str">
        <f t="shared" si="88"/>
        <v/>
      </c>
      <c r="NQ5" s="13" t="str">
        <f t="shared" si="89"/>
        <v/>
      </c>
      <c r="NR5" s="13" t="str">
        <f t="shared" si="90"/>
        <v/>
      </c>
      <c r="NS5" s="13" t="str">
        <f t="shared" si="91"/>
        <v/>
      </c>
      <c r="NT5" s="53"/>
      <c r="NU5" s="53"/>
      <c r="NV5" s="53"/>
      <c r="NW5" s="53"/>
      <c r="NX5" s="53"/>
      <c r="NY5" s="53"/>
      <c r="NZ5" s="53"/>
      <c r="OA5" s="53"/>
      <c r="OB5" s="53"/>
      <c r="OC5" s="53"/>
      <c r="OD5" s="53"/>
      <c r="OE5" s="53"/>
      <c r="OF5" s="53"/>
      <c r="OG5" s="53"/>
      <c r="OH5" s="53"/>
      <c r="OI5" s="53"/>
      <c r="OJ5" s="53"/>
      <c r="OK5" s="53"/>
      <c r="OL5" s="53"/>
      <c r="OM5" s="53"/>
      <c r="ON5" s="53"/>
      <c r="OO5" s="53"/>
      <c r="OP5" s="53"/>
      <c r="OQ5" s="53"/>
      <c r="OR5" s="16" t="str">
        <f t="shared" si="92"/>
        <v/>
      </c>
      <c r="OS5" s="16" t="str">
        <f t="shared" si="93"/>
        <v/>
      </c>
      <c r="OT5" s="16" t="str">
        <f t="shared" si="94"/>
        <v/>
      </c>
      <c r="OU5" s="16" t="str">
        <f t="shared" si="95"/>
        <v/>
      </c>
      <c r="OV5" s="16" t="str">
        <f t="shared" si="96"/>
        <v/>
      </c>
      <c r="OW5" s="16" t="str">
        <f t="shared" si="97"/>
        <v/>
      </c>
      <c r="OX5" s="54"/>
      <c r="OY5" s="54"/>
      <c r="OZ5" s="54"/>
      <c r="PA5" s="54"/>
      <c r="PB5" s="54"/>
      <c r="PC5" s="54"/>
      <c r="PD5" s="54"/>
      <c r="PE5" s="54"/>
      <c r="PF5" s="54"/>
      <c r="PG5" s="54"/>
      <c r="PH5" s="54"/>
      <c r="PI5" s="54"/>
      <c r="PJ5" s="54"/>
      <c r="PK5" s="54"/>
      <c r="PL5" s="54"/>
      <c r="PM5" s="54"/>
      <c r="PN5" s="54"/>
      <c r="PO5" s="54"/>
      <c r="PP5" s="54"/>
      <c r="PQ5" s="54"/>
      <c r="PR5" s="54"/>
      <c r="PS5" s="54"/>
      <c r="PT5" s="54"/>
      <c r="PU5" s="54"/>
      <c r="PV5" s="13" t="str">
        <f t="shared" si="98"/>
        <v/>
      </c>
      <c r="PW5" s="13" t="str">
        <f t="shared" si="99"/>
        <v/>
      </c>
      <c r="PX5" s="13" t="str">
        <f t="shared" si="100"/>
        <v/>
      </c>
      <c r="PY5" s="13" t="str">
        <f t="shared" si="101"/>
        <v/>
      </c>
      <c r="PZ5" s="13" t="str">
        <f t="shared" si="102"/>
        <v/>
      </c>
      <c r="QA5" s="13" t="str">
        <f t="shared" si="103"/>
        <v/>
      </c>
      <c r="QB5" s="53"/>
      <c r="QC5" s="53"/>
      <c r="QD5" s="53"/>
      <c r="QE5" s="53"/>
      <c r="QF5" s="53"/>
      <c r="QG5" s="53"/>
      <c r="QH5" s="53"/>
      <c r="QI5" s="53"/>
      <c r="QJ5" s="53"/>
      <c r="QK5" s="53"/>
      <c r="QL5" s="53"/>
      <c r="QM5" s="53"/>
      <c r="QN5" s="53"/>
      <c r="QO5" s="53"/>
      <c r="QP5" s="53"/>
      <c r="QQ5" s="53"/>
      <c r="QR5" s="53"/>
      <c r="QS5" s="53"/>
      <c r="QT5" s="53"/>
      <c r="QU5" s="53"/>
      <c r="QV5" s="53"/>
      <c r="QW5" s="53"/>
      <c r="QX5" s="53"/>
      <c r="QY5" s="53"/>
      <c r="QZ5" s="16" t="str">
        <f t="shared" si="104"/>
        <v/>
      </c>
      <c r="RA5" s="16" t="str">
        <f t="shared" si="105"/>
        <v/>
      </c>
      <c r="RB5" s="16" t="str">
        <f t="shared" si="106"/>
        <v/>
      </c>
      <c r="RC5" s="16" t="str">
        <f t="shared" si="107"/>
        <v/>
      </c>
      <c r="RD5" s="16" t="str">
        <f t="shared" si="108"/>
        <v/>
      </c>
      <c r="RE5" s="16" t="str">
        <f t="shared" si="109"/>
        <v/>
      </c>
    </row>
    <row r="6" spans="1:473" x14ac:dyDescent="0.2">
      <c r="A6" s="6">
        <f t="shared" si="0"/>
        <v>3</v>
      </c>
      <c r="B6" s="9" t="s">
        <v>76</v>
      </c>
      <c r="C6" s="5" t="s">
        <v>6</v>
      </c>
      <c r="D6" s="6">
        <v>2011</v>
      </c>
      <c r="E6" s="17">
        <f t="shared" si="1"/>
        <v>345.3</v>
      </c>
      <c r="F6" s="4" t="str">
        <f t="shared" si="2"/>
        <v>P</v>
      </c>
      <c r="G6" s="4" t="str">
        <f t="shared" si="3"/>
        <v>P</v>
      </c>
      <c r="H6" s="4" t="str">
        <f t="shared" si="4"/>
        <v>P</v>
      </c>
      <c r="I6" t="str">
        <f t="shared" si="5"/>
        <v>Worlds Team</v>
      </c>
      <c r="J6" s="16">
        <f t="shared" si="6"/>
        <v>138.30000000000001</v>
      </c>
      <c r="K6" s="16" t="str">
        <f t="shared" si="7"/>
        <v>2018 Nationals</v>
      </c>
      <c r="L6" s="16">
        <f t="shared" si="8"/>
        <v>68.2</v>
      </c>
      <c r="M6" s="16" t="str">
        <f t="shared" si="9"/>
        <v>2017 3rd Domestic Trial</v>
      </c>
      <c r="N6" s="16">
        <f t="shared" si="10"/>
        <v>68.5</v>
      </c>
      <c r="O6" s="16" t="str">
        <f t="shared" si="11"/>
        <v>2018 Canada Cup</v>
      </c>
      <c r="P6" s="16">
        <f t="shared" si="12"/>
        <v>70.300000000000011</v>
      </c>
      <c r="Q6" s="16" t="str">
        <f t="shared" si="13"/>
        <v>2017 3rd Domestic Trial</v>
      </c>
      <c r="R6" s="16" t="str">
        <f t="shared" si="14"/>
        <v/>
      </c>
      <c r="S6" s="31" t="str">
        <f t="shared" si="15"/>
        <v/>
      </c>
      <c r="T6" s="16" t="str">
        <f t="shared" si="16"/>
        <v/>
      </c>
      <c r="U6" s="47">
        <v>28.1</v>
      </c>
      <c r="V6" s="47">
        <v>7.2</v>
      </c>
      <c r="W6" s="47">
        <v>1.2</v>
      </c>
      <c r="X6" s="47">
        <v>0</v>
      </c>
      <c r="Y6" s="47">
        <v>27.2</v>
      </c>
      <c r="Z6" s="47">
        <v>7.2</v>
      </c>
      <c r="AA6" s="47">
        <v>0.3</v>
      </c>
      <c r="AB6" s="47">
        <v>0</v>
      </c>
      <c r="AC6" s="47">
        <v>28.2</v>
      </c>
      <c r="AD6" s="47">
        <v>7.6</v>
      </c>
      <c r="AE6" s="47">
        <v>0</v>
      </c>
      <c r="AF6" s="47">
        <v>0</v>
      </c>
      <c r="AG6" s="47">
        <v>24.8</v>
      </c>
      <c r="AH6" s="47">
        <v>7.2</v>
      </c>
      <c r="AI6" s="47">
        <v>1.2</v>
      </c>
      <c r="AJ6" s="47">
        <v>0</v>
      </c>
      <c r="AK6" s="47">
        <v>28.1</v>
      </c>
      <c r="AL6" s="47">
        <v>7.2</v>
      </c>
      <c r="AM6" s="47">
        <v>0.3</v>
      </c>
      <c r="AN6" s="47">
        <v>0</v>
      </c>
      <c r="AO6" s="47">
        <v>28.1</v>
      </c>
      <c r="AP6" s="47">
        <v>7.2</v>
      </c>
      <c r="AQ6" s="47">
        <v>0</v>
      </c>
      <c r="AR6" s="47">
        <v>0</v>
      </c>
      <c r="AS6" s="13">
        <f t="shared" si="17"/>
        <v>29.2</v>
      </c>
      <c r="AT6" s="13">
        <f t="shared" si="18"/>
        <v>68.2</v>
      </c>
      <c r="AU6" s="13">
        <f t="shared" si="19"/>
        <v>66.599999999999994</v>
      </c>
      <c r="AV6" s="13">
        <f t="shared" si="20"/>
        <v>134.80000000000001</v>
      </c>
      <c r="AW6" s="13">
        <f t="shared" si="21"/>
        <v>70.300000000000011</v>
      </c>
      <c r="AX6" s="13">
        <f t="shared" si="22"/>
        <v>205.10000000000002</v>
      </c>
      <c r="AY6" s="48">
        <v>28.2</v>
      </c>
      <c r="AZ6" s="48">
        <v>8.4</v>
      </c>
      <c r="BA6" s="48">
        <v>1.2</v>
      </c>
      <c r="BB6" s="48">
        <v>0</v>
      </c>
      <c r="BC6" s="48">
        <v>27.1</v>
      </c>
      <c r="BD6" s="48">
        <v>6.8</v>
      </c>
      <c r="BE6" s="48">
        <v>1.5</v>
      </c>
      <c r="BF6" s="48">
        <v>0</v>
      </c>
      <c r="BG6" s="48">
        <v>28.4</v>
      </c>
      <c r="BH6" s="48">
        <v>7.2</v>
      </c>
      <c r="BI6" s="48">
        <v>0.9</v>
      </c>
      <c r="BJ6" s="48">
        <v>0</v>
      </c>
      <c r="BK6" s="48">
        <v>28.6</v>
      </c>
      <c r="BL6" s="48">
        <v>5.2</v>
      </c>
      <c r="BM6" s="48">
        <v>0</v>
      </c>
      <c r="BN6" s="48">
        <v>0</v>
      </c>
      <c r="BO6" s="48">
        <v>25.2</v>
      </c>
      <c r="BP6" s="48">
        <v>7.2</v>
      </c>
      <c r="BQ6" s="48">
        <v>1.5</v>
      </c>
      <c r="BR6" s="48">
        <v>0</v>
      </c>
      <c r="BS6" s="48">
        <v>26.8</v>
      </c>
      <c r="BT6" s="48">
        <v>6.4</v>
      </c>
      <c r="BU6" s="48">
        <v>0.9</v>
      </c>
      <c r="BV6" s="48">
        <v>0</v>
      </c>
      <c r="BW6" s="16">
        <f t="shared" si="23"/>
        <v>27.599999999999998</v>
      </c>
      <c r="BX6" s="16">
        <f t="shared" si="24"/>
        <v>67.8</v>
      </c>
      <c r="BY6" s="16">
        <f t="shared" si="25"/>
        <v>68.5</v>
      </c>
      <c r="BZ6" s="16">
        <f t="shared" si="26"/>
        <v>136.30000000000001</v>
      </c>
      <c r="CA6" s="16">
        <f t="shared" si="27"/>
        <v>63.20000000000001</v>
      </c>
      <c r="CB6" s="16">
        <f t="shared" si="28"/>
        <v>199.50000000000003</v>
      </c>
      <c r="CC6" s="47">
        <v>28.7</v>
      </c>
      <c r="CD6" s="47">
        <v>7.6</v>
      </c>
      <c r="CE6" s="47">
        <v>0.9</v>
      </c>
      <c r="CF6" s="47">
        <v>0</v>
      </c>
      <c r="CG6" s="47">
        <v>27.4</v>
      </c>
      <c r="CH6" s="47">
        <v>7.6</v>
      </c>
      <c r="CI6" s="47">
        <v>0.9</v>
      </c>
      <c r="CJ6" s="47">
        <v>0</v>
      </c>
      <c r="CK6" s="47">
        <v>27.6</v>
      </c>
      <c r="CL6" s="47">
        <v>7.2</v>
      </c>
      <c r="CM6" s="47">
        <v>0.9</v>
      </c>
      <c r="CN6" s="47">
        <v>0</v>
      </c>
      <c r="CO6" s="47">
        <v>28.4</v>
      </c>
      <c r="CP6" s="47">
        <v>6.8</v>
      </c>
      <c r="CQ6" s="47">
        <v>0.3</v>
      </c>
      <c r="CR6" s="47">
        <v>0</v>
      </c>
      <c r="CS6" s="47">
        <v>28.8</v>
      </c>
      <c r="CT6" s="47">
        <v>7.6</v>
      </c>
      <c r="CU6" s="47">
        <v>0.9</v>
      </c>
      <c r="CV6" s="47">
        <v>0</v>
      </c>
      <c r="CW6" s="47">
        <v>28.3</v>
      </c>
      <c r="CX6" s="47">
        <v>7.2</v>
      </c>
      <c r="CY6" s="47">
        <v>1.2</v>
      </c>
      <c r="CZ6" s="47">
        <v>0</v>
      </c>
      <c r="DA6" s="13">
        <f t="shared" si="29"/>
        <v>29.2</v>
      </c>
      <c r="DB6" s="13">
        <f t="shared" si="30"/>
        <v>69.5</v>
      </c>
      <c r="DC6" s="13">
        <f t="shared" si="31"/>
        <v>68.8</v>
      </c>
      <c r="DD6" s="13">
        <f t="shared" si="32"/>
        <v>138.30000000000001</v>
      </c>
      <c r="DE6" s="13">
        <f t="shared" si="33"/>
        <v>69.800000000000011</v>
      </c>
      <c r="DF6" s="13">
        <f t="shared" si="34"/>
        <v>208.10000000000002</v>
      </c>
      <c r="DG6" s="30" t="str">
        <f t="shared" si="35"/>
        <v/>
      </c>
      <c r="DH6" s="30" t="str">
        <f t="shared" si="36"/>
        <v/>
      </c>
      <c r="DI6" s="30" t="str">
        <f t="shared" si="37"/>
        <v/>
      </c>
      <c r="DJ6" s="54"/>
      <c r="DK6" s="54"/>
      <c r="DL6" s="54"/>
      <c r="DM6" s="54"/>
      <c r="DN6" s="54"/>
      <c r="DO6" s="54"/>
      <c r="DP6" s="54"/>
      <c r="DQ6" s="54"/>
      <c r="DR6" s="54"/>
      <c r="DS6" s="54"/>
      <c r="DT6" s="54"/>
      <c r="DU6" s="54"/>
      <c r="DV6" s="54"/>
      <c r="DW6" s="54"/>
      <c r="DX6" s="54"/>
      <c r="DY6" s="54"/>
      <c r="DZ6" s="54"/>
      <c r="EA6" s="54"/>
      <c r="EB6" s="54"/>
      <c r="EC6" s="54"/>
      <c r="ED6" s="54"/>
      <c r="EE6" s="54"/>
      <c r="EF6" s="54"/>
      <c r="EG6" s="54"/>
      <c r="EH6" s="13" t="str">
        <f t="shared" si="38"/>
        <v/>
      </c>
      <c r="EI6" s="13" t="str">
        <f t="shared" si="39"/>
        <v/>
      </c>
      <c r="EJ6" s="13" t="str">
        <f t="shared" si="40"/>
        <v/>
      </c>
      <c r="EK6" s="13" t="str">
        <f t="shared" si="41"/>
        <v/>
      </c>
      <c r="EL6" s="13" t="str">
        <f t="shared" si="42"/>
        <v/>
      </c>
      <c r="EM6" s="13" t="str">
        <f t="shared" si="43"/>
        <v/>
      </c>
      <c r="EN6" s="53">
        <v>27.7</v>
      </c>
      <c r="EO6" s="53">
        <v>7.2</v>
      </c>
      <c r="EP6" s="53">
        <v>1.2</v>
      </c>
      <c r="EQ6" s="53">
        <v>0</v>
      </c>
      <c r="ER6" s="53">
        <v>27.4</v>
      </c>
      <c r="ES6" s="53">
        <v>6.4</v>
      </c>
      <c r="ET6" s="53">
        <v>1.2</v>
      </c>
      <c r="EU6" s="53">
        <v>0</v>
      </c>
      <c r="EV6" s="53"/>
      <c r="EW6" s="53"/>
      <c r="EX6" s="53"/>
      <c r="EY6" s="53"/>
      <c r="EZ6" s="53"/>
      <c r="FA6" s="53"/>
      <c r="FB6" s="53"/>
      <c r="FC6" s="53"/>
      <c r="FD6" s="53"/>
      <c r="FE6" s="53"/>
      <c r="FF6" s="53"/>
      <c r="FG6" s="53"/>
      <c r="FH6" s="53"/>
      <c r="FI6" s="53"/>
      <c r="FJ6" s="53"/>
      <c r="FK6" s="53"/>
      <c r="FL6" s="16">
        <f t="shared" si="44"/>
        <v>13.600000000000001</v>
      </c>
      <c r="FM6" s="16">
        <f t="shared" si="45"/>
        <v>66.3</v>
      </c>
      <c r="FN6" s="16" t="str">
        <f t="shared" si="46"/>
        <v/>
      </c>
      <c r="FO6" s="16">
        <f t="shared" si="47"/>
        <v>66.3</v>
      </c>
      <c r="FP6" s="16" t="str">
        <f t="shared" si="48"/>
        <v/>
      </c>
      <c r="FQ6" s="16">
        <f t="shared" si="49"/>
        <v>66.3</v>
      </c>
      <c r="FR6" s="54"/>
      <c r="FS6" s="54"/>
      <c r="FT6" s="54"/>
      <c r="FU6" s="54"/>
      <c r="FV6" s="54"/>
      <c r="FW6" s="54"/>
      <c r="FX6" s="54"/>
      <c r="FY6" s="54"/>
      <c r="FZ6" s="54"/>
      <c r="GA6" s="54"/>
      <c r="GB6" s="54"/>
      <c r="GC6" s="54"/>
      <c r="GD6" s="54"/>
      <c r="GE6" s="54"/>
      <c r="GF6" s="54"/>
      <c r="GG6" s="54"/>
      <c r="GH6" s="54"/>
      <c r="GI6" s="54"/>
      <c r="GJ6" s="54"/>
      <c r="GK6" s="54"/>
      <c r="GL6" s="54"/>
      <c r="GM6" s="54"/>
      <c r="GN6" s="54"/>
      <c r="GO6" s="54"/>
      <c r="GP6" s="13" t="str">
        <f t="shared" si="50"/>
        <v/>
      </c>
      <c r="GQ6" s="13" t="str">
        <f t="shared" si="51"/>
        <v/>
      </c>
      <c r="GR6" s="13" t="str">
        <f t="shared" si="52"/>
        <v/>
      </c>
      <c r="GS6" s="13" t="str">
        <f t="shared" si="53"/>
        <v/>
      </c>
      <c r="GT6" s="13" t="str">
        <f t="shared" si="54"/>
        <v/>
      </c>
      <c r="GU6" s="13" t="str">
        <f t="shared" si="55"/>
        <v/>
      </c>
      <c r="GV6" s="53"/>
      <c r="GW6" s="53"/>
      <c r="GX6" s="53"/>
      <c r="GY6" s="53"/>
      <c r="GZ6" s="53"/>
      <c r="HA6" s="53"/>
      <c r="HB6" s="53"/>
      <c r="HC6" s="53"/>
      <c r="HD6" s="53"/>
      <c r="HE6" s="53"/>
      <c r="HF6" s="53"/>
      <c r="HG6" s="53"/>
      <c r="HH6" s="53"/>
      <c r="HI6" s="53"/>
      <c r="HJ6" s="53"/>
      <c r="HK6" s="53"/>
      <c r="HL6" s="53"/>
      <c r="HM6" s="53"/>
      <c r="HN6" s="53"/>
      <c r="HO6" s="53"/>
      <c r="HP6" s="53"/>
      <c r="HQ6" s="53"/>
      <c r="HR6" s="53"/>
      <c r="HS6" s="53"/>
      <c r="HT6" s="16" t="str">
        <f t="shared" si="56"/>
        <v/>
      </c>
      <c r="HU6" s="16" t="str">
        <f t="shared" si="57"/>
        <v/>
      </c>
      <c r="HV6" s="16" t="str">
        <f t="shared" si="58"/>
        <v/>
      </c>
      <c r="HW6" s="16" t="str">
        <f t="shared" si="59"/>
        <v/>
      </c>
      <c r="HX6" s="16" t="str">
        <f t="shared" si="60"/>
        <v/>
      </c>
      <c r="HY6" s="16" t="str">
        <f t="shared" si="61"/>
        <v/>
      </c>
      <c r="HZ6" s="54"/>
      <c r="IA6" s="54"/>
      <c r="IB6" s="54"/>
      <c r="IC6" s="54"/>
      <c r="ID6" s="54"/>
      <c r="IE6" s="54"/>
      <c r="IF6" s="54"/>
      <c r="IG6" s="54"/>
      <c r="IH6" s="54"/>
      <c r="II6" s="54"/>
      <c r="IJ6" s="54"/>
      <c r="IK6" s="54"/>
      <c r="IL6" s="54"/>
      <c r="IM6" s="54"/>
      <c r="IN6" s="54"/>
      <c r="IO6" s="54"/>
      <c r="IP6" s="54"/>
      <c r="IQ6" s="54"/>
      <c r="IR6" s="54"/>
      <c r="IS6" s="54"/>
      <c r="IT6" s="54"/>
      <c r="IU6" s="54"/>
      <c r="IV6" s="54"/>
      <c r="IW6" s="54"/>
      <c r="IX6" s="13" t="str">
        <f t="shared" si="62"/>
        <v/>
      </c>
      <c r="IY6" s="13" t="str">
        <f t="shared" si="63"/>
        <v/>
      </c>
      <c r="IZ6" s="13" t="str">
        <f t="shared" si="64"/>
        <v/>
      </c>
      <c r="JA6" s="13" t="str">
        <f t="shared" si="65"/>
        <v/>
      </c>
      <c r="JB6" s="13" t="str">
        <f t="shared" si="66"/>
        <v/>
      </c>
      <c r="JC6" s="13" t="str">
        <f t="shared" si="67"/>
        <v/>
      </c>
      <c r="JD6" s="53"/>
      <c r="JE6" s="53"/>
      <c r="JF6" s="53"/>
      <c r="JG6" s="53"/>
      <c r="JH6" s="53"/>
      <c r="JI6" s="53"/>
      <c r="JJ6" s="53"/>
      <c r="JK6" s="53"/>
      <c r="JL6" s="53"/>
      <c r="JM6" s="53"/>
      <c r="JN6" s="53"/>
      <c r="JO6" s="53"/>
      <c r="JP6" s="53"/>
      <c r="JQ6" s="53"/>
      <c r="JR6" s="53"/>
      <c r="JS6" s="53"/>
      <c r="JT6" s="53"/>
      <c r="JU6" s="53"/>
      <c r="JV6" s="53"/>
      <c r="JW6" s="53"/>
      <c r="JX6" s="53"/>
      <c r="JY6" s="53"/>
      <c r="JZ6" s="53"/>
      <c r="KA6" s="53"/>
      <c r="KB6" s="16" t="str">
        <f t="shared" si="68"/>
        <v/>
      </c>
      <c r="KC6" s="16" t="str">
        <f t="shared" si="69"/>
        <v/>
      </c>
      <c r="KD6" s="16" t="str">
        <f t="shared" si="70"/>
        <v/>
      </c>
      <c r="KE6" s="16" t="str">
        <f t="shared" si="71"/>
        <v/>
      </c>
      <c r="KF6" s="16" t="str">
        <f t="shared" si="72"/>
        <v/>
      </c>
      <c r="KG6" s="16" t="str">
        <f t="shared" si="73"/>
        <v/>
      </c>
      <c r="KH6" s="54"/>
      <c r="KI6" s="54"/>
      <c r="KJ6" s="54"/>
      <c r="KK6" s="54"/>
      <c r="KL6" s="54"/>
      <c r="KM6" s="54"/>
      <c r="KN6" s="54"/>
      <c r="KO6" s="54"/>
      <c r="KP6" s="54"/>
      <c r="KQ6" s="54"/>
      <c r="KR6" s="54"/>
      <c r="KS6" s="54"/>
      <c r="KT6" s="54"/>
      <c r="KU6" s="54"/>
      <c r="KV6" s="54"/>
      <c r="KW6" s="54"/>
      <c r="KX6" s="54"/>
      <c r="KY6" s="54"/>
      <c r="KZ6" s="54"/>
      <c r="LA6" s="54"/>
      <c r="LB6" s="54"/>
      <c r="LC6" s="54"/>
      <c r="LD6" s="54"/>
      <c r="LE6" s="54"/>
      <c r="LF6" s="13" t="str">
        <f t="shared" si="74"/>
        <v/>
      </c>
      <c r="LG6" s="13" t="str">
        <f t="shared" si="75"/>
        <v/>
      </c>
      <c r="LH6" s="13" t="str">
        <f t="shared" si="76"/>
        <v/>
      </c>
      <c r="LI6" s="13" t="str">
        <f t="shared" si="77"/>
        <v/>
      </c>
      <c r="LJ6" s="13" t="str">
        <f t="shared" si="78"/>
        <v/>
      </c>
      <c r="LK6" s="13" t="str">
        <f t="shared" si="79"/>
        <v/>
      </c>
      <c r="LL6" s="53"/>
      <c r="LM6" s="53"/>
      <c r="LN6" s="53"/>
      <c r="LO6" s="53"/>
      <c r="LP6" s="53"/>
      <c r="LQ6" s="53"/>
      <c r="LR6" s="53"/>
      <c r="LS6" s="53"/>
      <c r="LT6" s="53"/>
      <c r="LU6" s="53"/>
      <c r="LV6" s="53"/>
      <c r="LW6" s="53"/>
      <c r="LX6" s="53"/>
      <c r="LY6" s="53"/>
      <c r="LZ6" s="53"/>
      <c r="MA6" s="53"/>
      <c r="MB6" s="53"/>
      <c r="MC6" s="53"/>
      <c r="MD6" s="53"/>
      <c r="ME6" s="53"/>
      <c r="MF6" s="53"/>
      <c r="MG6" s="53"/>
      <c r="MH6" s="53"/>
      <c r="MI6" s="53"/>
      <c r="MJ6" s="16" t="str">
        <f t="shared" si="80"/>
        <v/>
      </c>
      <c r="MK6" s="16" t="str">
        <f t="shared" si="81"/>
        <v/>
      </c>
      <c r="ML6" s="16" t="str">
        <f t="shared" si="82"/>
        <v/>
      </c>
      <c r="MM6" s="16" t="str">
        <f t="shared" si="83"/>
        <v/>
      </c>
      <c r="MN6" s="16" t="str">
        <f t="shared" si="84"/>
        <v/>
      </c>
      <c r="MO6" s="16" t="str">
        <f t="shared" si="85"/>
        <v/>
      </c>
      <c r="MP6" s="54"/>
      <c r="MQ6" s="54"/>
      <c r="MR6" s="54"/>
      <c r="MS6" s="54"/>
      <c r="MT6" s="54"/>
      <c r="MU6" s="54"/>
      <c r="MV6" s="54"/>
      <c r="MW6" s="54"/>
      <c r="MX6" s="54"/>
      <c r="MY6" s="54"/>
      <c r="MZ6" s="54"/>
      <c r="NA6" s="54"/>
      <c r="NB6" s="54"/>
      <c r="NC6" s="54"/>
      <c r="ND6" s="54"/>
      <c r="NE6" s="54"/>
      <c r="NF6" s="54"/>
      <c r="NG6" s="54"/>
      <c r="NH6" s="54"/>
      <c r="NI6" s="54"/>
      <c r="NJ6" s="54"/>
      <c r="NK6" s="54"/>
      <c r="NL6" s="54"/>
      <c r="NM6" s="54"/>
      <c r="NN6" s="13" t="str">
        <f t="shared" si="86"/>
        <v/>
      </c>
      <c r="NO6" s="13" t="str">
        <f t="shared" si="87"/>
        <v/>
      </c>
      <c r="NP6" s="13" t="str">
        <f t="shared" si="88"/>
        <v/>
      </c>
      <c r="NQ6" s="13" t="str">
        <f t="shared" si="89"/>
        <v/>
      </c>
      <c r="NR6" s="13" t="str">
        <f t="shared" si="90"/>
        <v/>
      </c>
      <c r="NS6" s="13" t="str">
        <f t="shared" si="91"/>
        <v/>
      </c>
      <c r="NT6" s="53"/>
      <c r="NU6" s="53"/>
      <c r="NV6" s="53"/>
      <c r="NW6" s="53"/>
      <c r="NX6" s="53"/>
      <c r="NY6" s="53"/>
      <c r="NZ6" s="53"/>
      <c r="OA6" s="53"/>
      <c r="OB6" s="53"/>
      <c r="OC6" s="53"/>
      <c r="OD6" s="53"/>
      <c r="OE6" s="53"/>
      <c r="OF6" s="53"/>
      <c r="OG6" s="53"/>
      <c r="OH6" s="53"/>
      <c r="OI6" s="53"/>
      <c r="OJ6" s="53"/>
      <c r="OK6" s="53"/>
      <c r="OL6" s="53"/>
      <c r="OM6" s="53"/>
      <c r="ON6" s="53"/>
      <c r="OO6" s="53"/>
      <c r="OP6" s="53"/>
      <c r="OQ6" s="53"/>
      <c r="OR6" s="16" t="str">
        <f t="shared" si="92"/>
        <v/>
      </c>
      <c r="OS6" s="16" t="str">
        <f t="shared" si="93"/>
        <v/>
      </c>
      <c r="OT6" s="16" t="str">
        <f t="shared" si="94"/>
        <v/>
      </c>
      <c r="OU6" s="16" t="str">
        <f t="shared" si="95"/>
        <v/>
      </c>
      <c r="OV6" s="16" t="str">
        <f t="shared" si="96"/>
        <v/>
      </c>
      <c r="OW6" s="16" t="str">
        <f t="shared" si="97"/>
        <v/>
      </c>
      <c r="OX6" s="54"/>
      <c r="OY6" s="54"/>
      <c r="OZ6" s="54"/>
      <c r="PA6" s="54"/>
      <c r="PB6" s="54"/>
      <c r="PC6" s="54"/>
      <c r="PD6" s="54"/>
      <c r="PE6" s="54"/>
      <c r="PF6" s="54"/>
      <c r="PG6" s="54"/>
      <c r="PH6" s="54"/>
      <c r="PI6" s="54"/>
      <c r="PJ6" s="54"/>
      <c r="PK6" s="54"/>
      <c r="PL6" s="54"/>
      <c r="PM6" s="54"/>
      <c r="PN6" s="54"/>
      <c r="PO6" s="54"/>
      <c r="PP6" s="54"/>
      <c r="PQ6" s="54"/>
      <c r="PR6" s="54"/>
      <c r="PS6" s="54"/>
      <c r="PT6" s="54"/>
      <c r="PU6" s="54"/>
      <c r="PV6" s="13" t="str">
        <f t="shared" si="98"/>
        <v/>
      </c>
      <c r="PW6" s="13" t="str">
        <f t="shared" si="99"/>
        <v/>
      </c>
      <c r="PX6" s="13" t="str">
        <f t="shared" si="100"/>
        <v/>
      </c>
      <c r="PY6" s="13" t="str">
        <f t="shared" si="101"/>
        <v/>
      </c>
      <c r="PZ6" s="13" t="str">
        <f t="shared" si="102"/>
        <v/>
      </c>
      <c r="QA6" s="13" t="str">
        <f t="shared" si="103"/>
        <v/>
      </c>
      <c r="QB6" s="53"/>
      <c r="QC6" s="53"/>
      <c r="QD6" s="53"/>
      <c r="QE6" s="53"/>
      <c r="QF6" s="53"/>
      <c r="QG6" s="53"/>
      <c r="QH6" s="53"/>
      <c r="QI6" s="53"/>
      <c r="QJ6" s="53"/>
      <c r="QK6" s="53"/>
      <c r="QL6" s="53"/>
      <c r="QM6" s="53"/>
      <c r="QN6" s="53"/>
      <c r="QO6" s="53"/>
      <c r="QP6" s="53"/>
      <c r="QQ6" s="53"/>
      <c r="QR6" s="53"/>
      <c r="QS6" s="53"/>
      <c r="QT6" s="53"/>
      <c r="QU6" s="53"/>
      <c r="QV6" s="53"/>
      <c r="QW6" s="53"/>
      <c r="QX6" s="53"/>
      <c r="QY6" s="53"/>
      <c r="QZ6" s="16" t="str">
        <f t="shared" si="104"/>
        <v/>
      </c>
      <c r="RA6" s="16" t="str">
        <f t="shared" si="105"/>
        <v/>
      </c>
      <c r="RB6" s="16" t="str">
        <f t="shared" si="106"/>
        <v/>
      </c>
      <c r="RC6" s="16" t="str">
        <f t="shared" si="107"/>
        <v/>
      </c>
      <c r="RD6" s="16" t="str">
        <f t="shared" si="108"/>
        <v/>
      </c>
      <c r="RE6" s="16" t="str">
        <f t="shared" si="109"/>
        <v/>
      </c>
    </row>
    <row r="7" spans="1:473" x14ac:dyDescent="0.2">
      <c r="A7" s="6">
        <f t="shared" si="0"/>
        <v>4</v>
      </c>
      <c r="B7" s="9" t="s">
        <v>75</v>
      </c>
      <c r="C7" s="5" t="s">
        <v>8</v>
      </c>
      <c r="D7" s="6">
        <v>2012</v>
      </c>
      <c r="E7" s="17">
        <f t="shared" si="1"/>
        <v>339.7</v>
      </c>
      <c r="F7" s="4" t="str">
        <f t="shared" si="2"/>
        <v>P</v>
      </c>
      <c r="G7" s="4" t="str">
        <f t="shared" si="3"/>
        <v>P</v>
      </c>
      <c r="H7" s="4" t="str">
        <f t="shared" si="4"/>
        <v>P</v>
      </c>
      <c r="I7" t="str">
        <f t="shared" si="5"/>
        <v>National Team</v>
      </c>
      <c r="J7" s="16">
        <f t="shared" si="6"/>
        <v>136.49999999999997</v>
      </c>
      <c r="K7" s="16" t="str">
        <f t="shared" si="7"/>
        <v>2018 Nationals</v>
      </c>
      <c r="L7" s="16">
        <f t="shared" si="8"/>
        <v>64.300000000000011</v>
      </c>
      <c r="M7" s="16" t="str">
        <f t="shared" si="9"/>
        <v>2018 Canada Cup</v>
      </c>
      <c r="N7" s="16">
        <f t="shared" si="10"/>
        <v>69.2</v>
      </c>
      <c r="O7" s="16" t="str">
        <f t="shared" si="11"/>
        <v>2018 Nationals</v>
      </c>
      <c r="P7" s="16">
        <f t="shared" si="12"/>
        <v>69.7</v>
      </c>
      <c r="Q7" s="16" t="str">
        <f t="shared" si="13"/>
        <v>2018 Canada Cup</v>
      </c>
      <c r="R7" s="16" t="str">
        <f t="shared" si="14"/>
        <v/>
      </c>
      <c r="S7" s="31" t="str">
        <f t="shared" si="15"/>
        <v/>
      </c>
      <c r="T7" s="16" t="str">
        <f t="shared" si="16"/>
        <v/>
      </c>
      <c r="U7" s="47">
        <v>27.8</v>
      </c>
      <c r="V7" s="47">
        <v>7.6</v>
      </c>
      <c r="W7" s="47">
        <v>0.9</v>
      </c>
      <c r="X7" s="47">
        <v>0</v>
      </c>
      <c r="Y7" s="47">
        <v>20.100000000000001</v>
      </c>
      <c r="Z7" s="47">
        <v>4</v>
      </c>
      <c r="AA7" s="47">
        <v>0</v>
      </c>
      <c r="AB7" s="47">
        <v>0</v>
      </c>
      <c r="AC7" s="47">
        <v>27.9</v>
      </c>
      <c r="AD7" s="47">
        <v>6.4</v>
      </c>
      <c r="AE7" s="47">
        <v>0.9</v>
      </c>
      <c r="AF7" s="47">
        <v>0</v>
      </c>
      <c r="AG7" s="47">
        <v>27.4</v>
      </c>
      <c r="AH7" s="47">
        <v>6</v>
      </c>
      <c r="AI7" s="47">
        <v>0.9</v>
      </c>
      <c r="AJ7" s="47">
        <v>0</v>
      </c>
      <c r="AK7" s="47">
        <v>28</v>
      </c>
      <c r="AL7" s="47">
        <v>7.6</v>
      </c>
      <c r="AM7" s="47">
        <v>0.9</v>
      </c>
      <c r="AN7" s="47">
        <v>0</v>
      </c>
      <c r="AO7" s="47">
        <v>27.8</v>
      </c>
      <c r="AP7" s="47">
        <v>6.4</v>
      </c>
      <c r="AQ7" s="47">
        <v>0</v>
      </c>
      <c r="AR7" s="47">
        <v>0</v>
      </c>
      <c r="AS7" s="13">
        <f t="shared" si="17"/>
        <v>24</v>
      </c>
      <c r="AT7" s="13">
        <f t="shared" si="18"/>
        <v>58.6</v>
      </c>
      <c r="AU7" s="13">
        <f t="shared" si="19"/>
        <v>65.899999999999991</v>
      </c>
      <c r="AV7" s="13">
        <f t="shared" si="20"/>
        <v>124.50000000000001</v>
      </c>
      <c r="AW7" s="13">
        <f t="shared" si="21"/>
        <v>68.900000000000006</v>
      </c>
      <c r="AX7" s="13">
        <f t="shared" si="22"/>
        <v>193.40000000000003</v>
      </c>
      <c r="AY7" s="48">
        <v>27.4</v>
      </c>
      <c r="AZ7" s="48">
        <v>7.2</v>
      </c>
      <c r="BA7" s="48">
        <v>0.9</v>
      </c>
      <c r="BB7" s="48">
        <v>0</v>
      </c>
      <c r="BC7" s="48">
        <v>24.6</v>
      </c>
      <c r="BD7" s="48">
        <v>7.2</v>
      </c>
      <c r="BE7" s="48">
        <v>1.2</v>
      </c>
      <c r="BF7" s="48">
        <v>0</v>
      </c>
      <c r="BG7" s="48">
        <v>27.6</v>
      </c>
      <c r="BH7" s="48">
        <v>7.6</v>
      </c>
      <c r="BI7" s="48">
        <v>0.3</v>
      </c>
      <c r="BJ7" s="48">
        <v>0</v>
      </c>
      <c r="BK7" s="48">
        <v>27</v>
      </c>
      <c r="BL7" s="48">
        <v>7.6</v>
      </c>
      <c r="BM7" s="48">
        <v>0.3</v>
      </c>
      <c r="BN7" s="48">
        <v>0</v>
      </c>
      <c r="BO7" s="48">
        <v>28.7</v>
      </c>
      <c r="BP7" s="48">
        <v>6.4</v>
      </c>
      <c r="BQ7" s="48">
        <v>0</v>
      </c>
      <c r="BR7" s="48">
        <v>0</v>
      </c>
      <c r="BS7" s="48">
        <v>27.8</v>
      </c>
      <c r="BT7" s="48">
        <v>6.8</v>
      </c>
      <c r="BU7" s="48">
        <v>0</v>
      </c>
      <c r="BV7" s="48">
        <v>0</v>
      </c>
      <c r="BW7" s="16">
        <f t="shared" si="23"/>
        <v>29.6</v>
      </c>
      <c r="BX7" s="16">
        <f t="shared" si="24"/>
        <v>64.300000000000011</v>
      </c>
      <c r="BY7" s="16">
        <f t="shared" si="25"/>
        <v>69.2</v>
      </c>
      <c r="BZ7" s="16">
        <f t="shared" si="26"/>
        <v>133.5</v>
      </c>
      <c r="CA7" s="16">
        <f t="shared" si="27"/>
        <v>69.7</v>
      </c>
      <c r="CB7" s="16">
        <f t="shared" si="28"/>
        <v>203.2</v>
      </c>
      <c r="CC7" s="47">
        <v>27.7</v>
      </c>
      <c r="CD7" s="47">
        <v>6</v>
      </c>
      <c r="CE7" s="47">
        <v>0</v>
      </c>
      <c r="CF7" s="47">
        <v>0</v>
      </c>
      <c r="CG7" s="47">
        <v>28.1</v>
      </c>
      <c r="CH7" s="47">
        <v>6.4</v>
      </c>
      <c r="CI7" s="47">
        <v>0.9</v>
      </c>
      <c r="CJ7" s="47">
        <v>0</v>
      </c>
      <c r="CK7" s="47">
        <v>27.7</v>
      </c>
      <c r="CL7" s="47">
        <v>6.8</v>
      </c>
      <c r="CM7" s="47">
        <v>0.9</v>
      </c>
      <c r="CN7" s="47">
        <v>0</v>
      </c>
      <c r="CO7" s="47">
        <v>28</v>
      </c>
      <c r="CP7" s="47">
        <v>7.6</v>
      </c>
      <c r="CQ7" s="47">
        <v>0</v>
      </c>
      <c r="CR7" s="47">
        <v>0</v>
      </c>
      <c r="CS7" s="47">
        <v>20</v>
      </c>
      <c r="CT7" s="47">
        <v>4</v>
      </c>
      <c r="CU7" s="47">
        <v>0</v>
      </c>
      <c r="CV7" s="47">
        <v>0</v>
      </c>
      <c r="CW7" s="47">
        <v>26.7</v>
      </c>
      <c r="CX7" s="47">
        <v>6.8</v>
      </c>
      <c r="CY7" s="47">
        <v>1.8</v>
      </c>
      <c r="CZ7" s="47">
        <v>0</v>
      </c>
      <c r="DA7" s="13">
        <f t="shared" si="29"/>
        <v>26.799999999999997</v>
      </c>
      <c r="DB7" s="13">
        <f t="shared" si="30"/>
        <v>67.3</v>
      </c>
      <c r="DC7" s="13">
        <f t="shared" si="31"/>
        <v>69.199999999999989</v>
      </c>
      <c r="DD7" s="13">
        <f t="shared" si="32"/>
        <v>136.49999999999997</v>
      </c>
      <c r="DE7" s="13">
        <f t="shared" si="33"/>
        <v>55.7</v>
      </c>
      <c r="DF7" s="13">
        <f t="shared" si="34"/>
        <v>192.2</v>
      </c>
      <c r="DG7" s="30" t="str">
        <f t="shared" si="35"/>
        <v/>
      </c>
      <c r="DH7" s="30" t="str">
        <f t="shared" si="36"/>
        <v/>
      </c>
      <c r="DI7" s="30" t="str">
        <f t="shared" si="37"/>
        <v/>
      </c>
      <c r="DJ7" s="54"/>
      <c r="DK7" s="54"/>
      <c r="DL7" s="54"/>
      <c r="DM7" s="54"/>
      <c r="DN7" s="54"/>
      <c r="DO7" s="54"/>
      <c r="DP7" s="54"/>
      <c r="DQ7" s="54"/>
      <c r="DR7" s="54"/>
      <c r="DS7" s="54"/>
      <c r="DT7" s="54"/>
      <c r="DU7" s="54"/>
      <c r="DV7" s="54"/>
      <c r="DW7" s="54"/>
      <c r="DX7" s="54"/>
      <c r="DY7" s="54"/>
      <c r="DZ7" s="54"/>
      <c r="EA7" s="54"/>
      <c r="EB7" s="54"/>
      <c r="EC7" s="54"/>
      <c r="ED7" s="54"/>
      <c r="EE7" s="54"/>
      <c r="EF7" s="54"/>
      <c r="EG7" s="54"/>
      <c r="EH7" s="13" t="str">
        <f t="shared" si="38"/>
        <v/>
      </c>
      <c r="EI7" s="13" t="str">
        <f t="shared" si="39"/>
        <v/>
      </c>
      <c r="EJ7" s="13" t="str">
        <f t="shared" si="40"/>
        <v/>
      </c>
      <c r="EK7" s="13" t="str">
        <f t="shared" si="41"/>
        <v/>
      </c>
      <c r="EL7" s="13" t="str">
        <f t="shared" si="42"/>
        <v/>
      </c>
      <c r="EM7" s="13" t="str">
        <f t="shared" si="43"/>
        <v/>
      </c>
      <c r="EN7" s="53">
        <v>27.3</v>
      </c>
      <c r="EO7" s="53">
        <v>7.6</v>
      </c>
      <c r="EP7" s="53">
        <v>0.9</v>
      </c>
      <c r="EQ7" s="53">
        <v>0</v>
      </c>
      <c r="ER7" s="53">
        <v>0</v>
      </c>
      <c r="ES7" s="53">
        <v>0</v>
      </c>
      <c r="ET7" s="53">
        <v>0</v>
      </c>
      <c r="EU7" s="53">
        <v>0</v>
      </c>
      <c r="EV7" s="53"/>
      <c r="EW7" s="53"/>
      <c r="EX7" s="53"/>
      <c r="EY7" s="53"/>
      <c r="EZ7" s="53"/>
      <c r="FA7" s="53"/>
      <c r="FB7" s="53"/>
      <c r="FC7" s="53"/>
      <c r="FD7" s="53"/>
      <c r="FE7" s="53"/>
      <c r="FF7" s="53"/>
      <c r="FG7" s="53"/>
      <c r="FH7" s="53"/>
      <c r="FI7" s="53"/>
      <c r="FJ7" s="53"/>
      <c r="FK7" s="53"/>
      <c r="FL7" s="16">
        <f t="shared" si="44"/>
        <v>7.6</v>
      </c>
      <c r="FM7" s="16">
        <f t="shared" si="45"/>
        <v>34</v>
      </c>
      <c r="FN7" s="16" t="str">
        <f t="shared" si="46"/>
        <v/>
      </c>
      <c r="FO7" s="16">
        <f t="shared" si="47"/>
        <v>34</v>
      </c>
      <c r="FP7" s="16" t="str">
        <f t="shared" si="48"/>
        <v/>
      </c>
      <c r="FQ7" s="16">
        <f t="shared" si="49"/>
        <v>34</v>
      </c>
      <c r="FR7" s="54"/>
      <c r="FS7" s="54"/>
      <c r="FT7" s="54"/>
      <c r="FU7" s="54"/>
      <c r="FV7" s="54"/>
      <c r="FW7" s="54"/>
      <c r="FX7" s="54"/>
      <c r="FY7" s="54"/>
      <c r="FZ7" s="54"/>
      <c r="GA7" s="54"/>
      <c r="GB7" s="54"/>
      <c r="GC7" s="54"/>
      <c r="GD7" s="54"/>
      <c r="GE7" s="54"/>
      <c r="GF7" s="54"/>
      <c r="GG7" s="54"/>
      <c r="GH7" s="54"/>
      <c r="GI7" s="54"/>
      <c r="GJ7" s="54"/>
      <c r="GK7" s="54"/>
      <c r="GL7" s="54"/>
      <c r="GM7" s="54"/>
      <c r="GN7" s="54"/>
      <c r="GO7" s="54"/>
      <c r="GP7" s="13" t="str">
        <f t="shared" si="50"/>
        <v/>
      </c>
      <c r="GQ7" s="13" t="str">
        <f t="shared" si="51"/>
        <v/>
      </c>
      <c r="GR7" s="13" t="str">
        <f t="shared" si="52"/>
        <v/>
      </c>
      <c r="GS7" s="13" t="str">
        <f t="shared" si="53"/>
        <v/>
      </c>
      <c r="GT7" s="13" t="str">
        <f t="shared" si="54"/>
        <v/>
      </c>
      <c r="GU7" s="13" t="str">
        <f t="shared" si="55"/>
        <v/>
      </c>
      <c r="GV7" s="53"/>
      <c r="GW7" s="53"/>
      <c r="GX7" s="53"/>
      <c r="GY7" s="53"/>
      <c r="GZ7" s="53"/>
      <c r="HA7" s="53"/>
      <c r="HB7" s="53"/>
      <c r="HC7" s="53"/>
      <c r="HD7" s="53"/>
      <c r="HE7" s="53"/>
      <c r="HF7" s="53"/>
      <c r="HG7" s="53"/>
      <c r="HH7" s="53"/>
      <c r="HI7" s="53"/>
      <c r="HJ7" s="53"/>
      <c r="HK7" s="53"/>
      <c r="HL7" s="53"/>
      <c r="HM7" s="53"/>
      <c r="HN7" s="53"/>
      <c r="HO7" s="53"/>
      <c r="HP7" s="53"/>
      <c r="HQ7" s="53"/>
      <c r="HR7" s="53"/>
      <c r="HS7" s="53"/>
      <c r="HT7" s="16" t="str">
        <f t="shared" si="56"/>
        <v/>
      </c>
      <c r="HU7" s="16" t="str">
        <f t="shared" si="57"/>
        <v/>
      </c>
      <c r="HV7" s="16" t="str">
        <f t="shared" si="58"/>
        <v/>
      </c>
      <c r="HW7" s="16" t="str">
        <f t="shared" si="59"/>
        <v/>
      </c>
      <c r="HX7" s="16" t="str">
        <f t="shared" si="60"/>
        <v/>
      </c>
      <c r="HY7" s="16" t="str">
        <f t="shared" si="61"/>
        <v/>
      </c>
      <c r="HZ7" s="54"/>
      <c r="IA7" s="54"/>
      <c r="IB7" s="54"/>
      <c r="IC7" s="54"/>
      <c r="ID7" s="54"/>
      <c r="IE7" s="54"/>
      <c r="IF7" s="54"/>
      <c r="IG7" s="54"/>
      <c r="IH7" s="54"/>
      <c r="II7" s="54"/>
      <c r="IJ7" s="54"/>
      <c r="IK7" s="54"/>
      <c r="IL7" s="54"/>
      <c r="IM7" s="54"/>
      <c r="IN7" s="54"/>
      <c r="IO7" s="54"/>
      <c r="IP7" s="54"/>
      <c r="IQ7" s="54"/>
      <c r="IR7" s="54"/>
      <c r="IS7" s="54"/>
      <c r="IT7" s="54"/>
      <c r="IU7" s="54"/>
      <c r="IV7" s="54"/>
      <c r="IW7" s="54"/>
      <c r="IX7" s="13" t="str">
        <f t="shared" si="62"/>
        <v/>
      </c>
      <c r="IY7" s="13" t="str">
        <f t="shared" si="63"/>
        <v/>
      </c>
      <c r="IZ7" s="13" t="str">
        <f t="shared" si="64"/>
        <v/>
      </c>
      <c r="JA7" s="13" t="str">
        <f t="shared" si="65"/>
        <v/>
      </c>
      <c r="JB7" s="13" t="str">
        <f t="shared" si="66"/>
        <v/>
      </c>
      <c r="JC7" s="13" t="str">
        <f t="shared" si="67"/>
        <v/>
      </c>
      <c r="JD7" s="53"/>
      <c r="JE7" s="53"/>
      <c r="JF7" s="53"/>
      <c r="JG7" s="53"/>
      <c r="JH7" s="53"/>
      <c r="JI7" s="53"/>
      <c r="JJ7" s="53"/>
      <c r="JK7" s="53"/>
      <c r="JL7" s="53"/>
      <c r="JM7" s="53"/>
      <c r="JN7" s="53"/>
      <c r="JO7" s="53"/>
      <c r="JP7" s="53"/>
      <c r="JQ7" s="53"/>
      <c r="JR7" s="53"/>
      <c r="JS7" s="53"/>
      <c r="JT7" s="53"/>
      <c r="JU7" s="53"/>
      <c r="JV7" s="53"/>
      <c r="JW7" s="53"/>
      <c r="JX7" s="53"/>
      <c r="JY7" s="53"/>
      <c r="JZ7" s="53"/>
      <c r="KA7" s="53"/>
      <c r="KB7" s="16" t="str">
        <f t="shared" si="68"/>
        <v/>
      </c>
      <c r="KC7" s="16" t="str">
        <f t="shared" si="69"/>
        <v/>
      </c>
      <c r="KD7" s="16" t="str">
        <f t="shared" si="70"/>
        <v/>
      </c>
      <c r="KE7" s="16" t="str">
        <f t="shared" si="71"/>
        <v/>
      </c>
      <c r="KF7" s="16" t="str">
        <f t="shared" si="72"/>
        <v/>
      </c>
      <c r="KG7" s="16" t="str">
        <f t="shared" si="73"/>
        <v/>
      </c>
      <c r="KH7" s="54"/>
      <c r="KI7" s="54"/>
      <c r="KJ7" s="54"/>
      <c r="KK7" s="54"/>
      <c r="KL7" s="54"/>
      <c r="KM7" s="54"/>
      <c r="KN7" s="54"/>
      <c r="KO7" s="54"/>
      <c r="KP7" s="54"/>
      <c r="KQ7" s="54"/>
      <c r="KR7" s="54"/>
      <c r="KS7" s="54"/>
      <c r="KT7" s="54"/>
      <c r="KU7" s="54"/>
      <c r="KV7" s="54"/>
      <c r="KW7" s="54"/>
      <c r="KX7" s="54"/>
      <c r="KY7" s="54"/>
      <c r="KZ7" s="54"/>
      <c r="LA7" s="54"/>
      <c r="LB7" s="54"/>
      <c r="LC7" s="54"/>
      <c r="LD7" s="54"/>
      <c r="LE7" s="54"/>
      <c r="LF7" s="13" t="str">
        <f t="shared" si="74"/>
        <v/>
      </c>
      <c r="LG7" s="13" t="str">
        <f t="shared" si="75"/>
        <v/>
      </c>
      <c r="LH7" s="13" t="str">
        <f t="shared" si="76"/>
        <v/>
      </c>
      <c r="LI7" s="13" t="str">
        <f t="shared" si="77"/>
        <v/>
      </c>
      <c r="LJ7" s="13" t="str">
        <f t="shared" si="78"/>
        <v/>
      </c>
      <c r="LK7" s="13" t="str">
        <f t="shared" si="79"/>
        <v/>
      </c>
      <c r="LL7" s="53"/>
      <c r="LM7" s="53"/>
      <c r="LN7" s="53"/>
      <c r="LO7" s="53"/>
      <c r="LP7" s="53"/>
      <c r="LQ7" s="53"/>
      <c r="LR7" s="53"/>
      <c r="LS7" s="53"/>
      <c r="LT7" s="53"/>
      <c r="LU7" s="53"/>
      <c r="LV7" s="53"/>
      <c r="LW7" s="53"/>
      <c r="LX7" s="53"/>
      <c r="LY7" s="53"/>
      <c r="LZ7" s="53"/>
      <c r="MA7" s="53"/>
      <c r="MB7" s="53"/>
      <c r="MC7" s="53"/>
      <c r="MD7" s="53"/>
      <c r="ME7" s="53"/>
      <c r="MF7" s="53"/>
      <c r="MG7" s="53"/>
      <c r="MH7" s="53"/>
      <c r="MI7" s="53"/>
      <c r="MJ7" s="16" t="str">
        <f t="shared" si="80"/>
        <v/>
      </c>
      <c r="MK7" s="16" t="str">
        <f t="shared" si="81"/>
        <v/>
      </c>
      <c r="ML7" s="16" t="str">
        <f t="shared" si="82"/>
        <v/>
      </c>
      <c r="MM7" s="16" t="str">
        <f t="shared" si="83"/>
        <v/>
      </c>
      <c r="MN7" s="16" t="str">
        <f t="shared" si="84"/>
        <v/>
      </c>
      <c r="MO7" s="16" t="str">
        <f t="shared" si="85"/>
        <v/>
      </c>
      <c r="MP7" s="54"/>
      <c r="MQ7" s="54"/>
      <c r="MR7" s="54"/>
      <c r="MS7" s="54"/>
      <c r="MT7" s="54"/>
      <c r="MU7" s="54"/>
      <c r="MV7" s="54"/>
      <c r="MW7" s="54"/>
      <c r="MX7" s="54"/>
      <c r="MY7" s="54"/>
      <c r="MZ7" s="54"/>
      <c r="NA7" s="54"/>
      <c r="NB7" s="54"/>
      <c r="NC7" s="54"/>
      <c r="ND7" s="54"/>
      <c r="NE7" s="54"/>
      <c r="NF7" s="54"/>
      <c r="NG7" s="54"/>
      <c r="NH7" s="54"/>
      <c r="NI7" s="54"/>
      <c r="NJ7" s="54"/>
      <c r="NK7" s="54"/>
      <c r="NL7" s="54"/>
      <c r="NM7" s="54"/>
      <c r="NN7" s="13" t="str">
        <f t="shared" si="86"/>
        <v/>
      </c>
      <c r="NO7" s="13" t="str">
        <f t="shared" si="87"/>
        <v/>
      </c>
      <c r="NP7" s="13" t="str">
        <f t="shared" si="88"/>
        <v/>
      </c>
      <c r="NQ7" s="13" t="str">
        <f t="shared" si="89"/>
        <v/>
      </c>
      <c r="NR7" s="13" t="str">
        <f t="shared" si="90"/>
        <v/>
      </c>
      <c r="NS7" s="13" t="str">
        <f t="shared" si="91"/>
        <v/>
      </c>
      <c r="NT7" s="53"/>
      <c r="NU7" s="53"/>
      <c r="NV7" s="53"/>
      <c r="NW7" s="53"/>
      <c r="NX7" s="53"/>
      <c r="NY7" s="53"/>
      <c r="NZ7" s="53"/>
      <c r="OA7" s="53"/>
      <c r="OB7" s="53"/>
      <c r="OC7" s="53"/>
      <c r="OD7" s="53"/>
      <c r="OE7" s="53"/>
      <c r="OF7" s="53"/>
      <c r="OG7" s="53"/>
      <c r="OH7" s="53"/>
      <c r="OI7" s="53"/>
      <c r="OJ7" s="53"/>
      <c r="OK7" s="53"/>
      <c r="OL7" s="53"/>
      <c r="OM7" s="53"/>
      <c r="ON7" s="53"/>
      <c r="OO7" s="53"/>
      <c r="OP7" s="53"/>
      <c r="OQ7" s="53"/>
      <c r="OR7" s="16" t="str">
        <f t="shared" si="92"/>
        <v/>
      </c>
      <c r="OS7" s="16" t="str">
        <f t="shared" si="93"/>
        <v/>
      </c>
      <c r="OT7" s="16" t="str">
        <f t="shared" si="94"/>
        <v/>
      </c>
      <c r="OU7" s="16" t="str">
        <f t="shared" si="95"/>
        <v/>
      </c>
      <c r="OV7" s="16" t="str">
        <f t="shared" si="96"/>
        <v/>
      </c>
      <c r="OW7" s="16" t="str">
        <f t="shared" si="97"/>
        <v/>
      </c>
      <c r="OX7" s="54"/>
      <c r="OY7" s="54"/>
      <c r="OZ7" s="54"/>
      <c r="PA7" s="54"/>
      <c r="PB7" s="54"/>
      <c r="PC7" s="54"/>
      <c r="PD7" s="54"/>
      <c r="PE7" s="54"/>
      <c r="PF7" s="54"/>
      <c r="PG7" s="54"/>
      <c r="PH7" s="54"/>
      <c r="PI7" s="54"/>
      <c r="PJ7" s="54"/>
      <c r="PK7" s="54"/>
      <c r="PL7" s="54"/>
      <c r="PM7" s="54"/>
      <c r="PN7" s="54"/>
      <c r="PO7" s="54"/>
      <c r="PP7" s="54"/>
      <c r="PQ7" s="54"/>
      <c r="PR7" s="54"/>
      <c r="PS7" s="54"/>
      <c r="PT7" s="54"/>
      <c r="PU7" s="54"/>
      <c r="PV7" s="13" t="str">
        <f t="shared" si="98"/>
        <v/>
      </c>
      <c r="PW7" s="13" t="str">
        <f t="shared" si="99"/>
        <v/>
      </c>
      <c r="PX7" s="13" t="str">
        <f t="shared" si="100"/>
        <v/>
      </c>
      <c r="PY7" s="13" t="str">
        <f t="shared" si="101"/>
        <v/>
      </c>
      <c r="PZ7" s="13" t="str">
        <f t="shared" si="102"/>
        <v/>
      </c>
      <c r="QA7" s="13" t="str">
        <f t="shared" si="103"/>
        <v/>
      </c>
      <c r="QB7" s="53"/>
      <c r="QC7" s="53"/>
      <c r="QD7" s="53"/>
      <c r="QE7" s="53"/>
      <c r="QF7" s="53"/>
      <c r="QG7" s="53"/>
      <c r="QH7" s="53"/>
      <c r="QI7" s="53"/>
      <c r="QJ7" s="53"/>
      <c r="QK7" s="53"/>
      <c r="QL7" s="53"/>
      <c r="QM7" s="53"/>
      <c r="QN7" s="53"/>
      <c r="QO7" s="53"/>
      <c r="QP7" s="53"/>
      <c r="QQ7" s="53"/>
      <c r="QR7" s="53"/>
      <c r="QS7" s="53"/>
      <c r="QT7" s="53"/>
      <c r="QU7" s="53"/>
      <c r="QV7" s="53"/>
      <c r="QW7" s="53"/>
      <c r="QX7" s="53"/>
      <c r="QY7" s="53"/>
      <c r="QZ7" s="16" t="str">
        <f t="shared" si="104"/>
        <v/>
      </c>
      <c r="RA7" s="16" t="str">
        <f t="shared" si="105"/>
        <v/>
      </c>
      <c r="RB7" s="16" t="str">
        <f t="shared" si="106"/>
        <v/>
      </c>
      <c r="RC7" s="16" t="str">
        <f t="shared" si="107"/>
        <v/>
      </c>
      <c r="RD7" s="16" t="str">
        <f t="shared" si="108"/>
        <v/>
      </c>
      <c r="RE7" s="16" t="str">
        <f t="shared" si="109"/>
        <v/>
      </c>
    </row>
    <row r="8" spans="1:473" x14ac:dyDescent="0.2">
      <c r="A8" s="6" t="str">
        <f t="shared" si="0"/>
        <v/>
      </c>
      <c r="B8" s="9" t="s">
        <v>18</v>
      </c>
      <c r="C8" s="5" t="s">
        <v>8</v>
      </c>
      <c r="D8" s="6">
        <v>2011</v>
      </c>
      <c r="E8" s="17">
        <f t="shared" si="1"/>
        <v>334.4</v>
      </c>
      <c r="F8" s="4" t="str">
        <f t="shared" si="2"/>
        <v>P</v>
      </c>
      <c r="G8" s="4" t="str">
        <f t="shared" si="3"/>
        <v>P</v>
      </c>
      <c r="H8" s="4" t="str">
        <f t="shared" si="4"/>
        <v/>
      </c>
      <c r="I8" t="str">
        <f t="shared" si="5"/>
        <v/>
      </c>
      <c r="J8" s="16">
        <f t="shared" si="6"/>
        <v>135.29999999999995</v>
      </c>
      <c r="K8" s="16" t="str">
        <f t="shared" si="7"/>
        <v>2018 Nationals</v>
      </c>
      <c r="L8" s="16">
        <f t="shared" si="8"/>
        <v>70.099999999999994</v>
      </c>
      <c r="M8" s="16" t="str">
        <f t="shared" si="9"/>
        <v>2017 3rd Domestic Trial</v>
      </c>
      <c r="N8" s="16">
        <f t="shared" si="10"/>
        <v>58.6</v>
      </c>
      <c r="O8" s="16" t="str">
        <f t="shared" si="11"/>
        <v>2018 Canada Cup</v>
      </c>
      <c r="P8" s="16">
        <f t="shared" si="12"/>
        <v>70.400000000000006</v>
      </c>
      <c r="Q8" s="16" t="str">
        <f t="shared" si="13"/>
        <v>2018 Nationals</v>
      </c>
      <c r="R8" s="16" t="str">
        <f t="shared" si="14"/>
        <v/>
      </c>
      <c r="S8" s="31" t="str">
        <f t="shared" si="15"/>
        <v/>
      </c>
      <c r="T8" s="16" t="str">
        <f t="shared" si="16"/>
        <v/>
      </c>
      <c r="U8" s="47">
        <v>28.3</v>
      </c>
      <c r="V8" s="47">
        <v>6.8</v>
      </c>
      <c r="W8" s="47">
        <v>0.9</v>
      </c>
      <c r="X8" s="47">
        <v>0</v>
      </c>
      <c r="Y8" s="47">
        <v>28.1</v>
      </c>
      <c r="Z8" s="47">
        <v>8.1</v>
      </c>
      <c r="AA8" s="47">
        <v>0.3</v>
      </c>
      <c r="AB8" s="47">
        <v>0</v>
      </c>
      <c r="AC8" s="47">
        <v>27.3</v>
      </c>
      <c r="AD8" s="47">
        <v>6.8</v>
      </c>
      <c r="AE8" s="47">
        <v>0.9</v>
      </c>
      <c r="AF8" s="47">
        <v>0</v>
      </c>
      <c r="AG8" s="47">
        <v>20</v>
      </c>
      <c r="AH8" s="47">
        <v>3.6</v>
      </c>
      <c r="AI8" s="47">
        <v>0</v>
      </c>
      <c r="AJ8" s="47">
        <v>0</v>
      </c>
      <c r="AK8" s="47">
        <v>28.6</v>
      </c>
      <c r="AL8" s="47">
        <v>6.8</v>
      </c>
      <c r="AM8" s="47">
        <v>0.9</v>
      </c>
      <c r="AN8" s="47">
        <v>0</v>
      </c>
      <c r="AO8" s="47">
        <v>28.8</v>
      </c>
      <c r="AP8" s="47">
        <v>6.4</v>
      </c>
      <c r="AQ8" s="47">
        <v>0</v>
      </c>
      <c r="AR8" s="47">
        <v>0</v>
      </c>
      <c r="AS8" s="13">
        <f t="shared" si="17"/>
        <v>25.3</v>
      </c>
      <c r="AT8" s="13">
        <f t="shared" si="18"/>
        <v>70.099999999999994</v>
      </c>
      <c r="AU8" s="13">
        <f t="shared" si="19"/>
        <v>56.800000000000004</v>
      </c>
      <c r="AV8" s="13">
        <f t="shared" si="20"/>
        <v>126.9</v>
      </c>
      <c r="AW8" s="13">
        <f t="shared" si="21"/>
        <v>69.7</v>
      </c>
      <c r="AX8" s="13">
        <f t="shared" si="22"/>
        <v>196.60000000000002</v>
      </c>
      <c r="AY8" s="48">
        <v>27.7</v>
      </c>
      <c r="AZ8" s="48">
        <v>6.8</v>
      </c>
      <c r="BA8" s="48">
        <v>0.9</v>
      </c>
      <c r="BB8" s="48">
        <v>0</v>
      </c>
      <c r="BC8" s="48">
        <v>26.2</v>
      </c>
      <c r="BD8" s="48">
        <v>7.7</v>
      </c>
      <c r="BE8" s="48">
        <v>1.5</v>
      </c>
      <c r="BF8" s="48">
        <v>0</v>
      </c>
      <c r="BG8" s="48">
        <v>28.7</v>
      </c>
      <c r="BH8" s="48">
        <v>7.2</v>
      </c>
      <c r="BI8" s="48">
        <v>0.9</v>
      </c>
      <c r="BJ8" s="48">
        <v>0</v>
      </c>
      <c r="BK8" s="48">
        <v>20</v>
      </c>
      <c r="BL8" s="48">
        <v>3.6</v>
      </c>
      <c r="BM8" s="48">
        <v>0</v>
      </c>
      <c r="BN8" s="48">
        <v>0</v>
      </c>
      <c r="BO8" s="48">
        <v>28.6</v>
      </c>
      <c r="BP8" s="48">
        <v>7.2</v>
      </c>
      <c r="BQ8" s="48">
        <v>0.9</v>
      </c>
      <c r="BR8" s="48">
        <v>0</v>
      </c>
      <c r="BS8" s="48">
        <v>19.8</v>
      </c>
      <c r="BT8" s="48">
        <v>3.2</v>
      </c>
      <c r="BU8" s="48">
        <v>0</v>
      </c>
      <c r="BV8" s="48">
        <v>0</v>
      </c>
      <c r="BW8" s="16">
        <f t="shared" si="23"/>
        <v>25.3</v>
      </c>
      <c r="BX8" s="16">
        <f t="shared" si="24"/>
        <v>66</v>
      </c>
      <c r="BY8" s="16">
        <f t="shared" si="25"/>
        <v>58.6</v>
      </c>
      <c r="BZ8" s="16">
        <f t="shared" si="26"/>
        <v>124.60000000000001</v>
      </c>
      <c r="CA8" s="16">
        <f t="shared" si="27"/>
        <v>57.900000000000013</v>
      </c>
      <c r="CB8" s="16">
        <f t="shared" si="28"/>
        <v>182.50000000000003</v>
      </c>
      <c r="CC8" s="47">
        <v>25.5</v>
      </c>
      <c r="CD8" s="47">
        <v>6.8</v>
      </c>
      <c r="CE8" s="47">
        <v>1.2</v>
      </c>
      <c r="CF8" s="47">
        <v>0</v>
      </c>
      <c r="CG8" s="47">
        <v>27.8</v>
      </c>
      <c r="CH8" s="47">
        <v>7.3</v>
      </c>
      <c r="CI8" s="47">
        <v>0.3</v>
      </c>
      <c r="CJ8" s="47">
        <v>0</v>
      </c>
      <c r="CK8" s="47">
        <v>28.2</v>
      </c>
      <c r="CL8" s="47">
        <v>7.6</v>
      </c>
      <c r="CM8" s="47">
        <v>0.9</v>
      </c>
      <c r="CN8" s="47">
        <v>0</v>
      </c>
      <c r="CO8" s="47">
        <v>28.2</v>
      </c>
      <c r="CP8" s="47">
        <v>7.2</v>
      </c>
      <c r="CQ8" s="47">
        <v>0.9</v>
      </c>
      <c r="CR8" s="47">
        <v>0</v>
      </c>
      <c r="CS8" s="47">
        <v>28.5</v>
      </c>
      <c r="CT8" s="47">
        <v>7.6</v>
      </c>
      <c r="CU8" s="47">
        <v>0.9</v>
      </c>
      <c r="CV8" s="47">
        <v>0</v>
      </c>
      <c r="CW8" s="47">
        <v>28.9</v>
      </c>
      <c r="CX8" s="47">
        <v>7.2</v>
      </c>
      <c r="CY8" s="47">
        <v>0.9</v>
      </c>
      <c r="CZ8" s="47">
        <v>0</v>
      </c>
      <c r="DA8" s="13">
        <f t="shared" si="29"/>
        <v>28.9</v>
      </c>
      <c r="DB8" s="13">
        <f t="shared" si="30"/>
        <v>65.899999999999991</v>
      </c>
      <c r="DC8" s="13">
        <f t="shared" si="31"/>
        <v>69.400000000000006</v>
      </c>
      <c r="DD8" s="13">
        <f t="shared" si="32"/>
        <v>135.29999999999995</v>
      </c>
      <c r="DE8" s="13">
        <f t="shared" si="33"/>
        <v>70.400000000000006</v>
      </c>
      <c r="DF8" s="13">
        <f t="shared" si="34"/>
        <v>205.69999999999996</v>
      </c>
      <c r="DG8" s="30" t="str">
        <f t="shared" si="35"/>
        <v/>
      </c>
      <c r="DH8" s="30" t="str">
        <f t="shared" si="36"/>
        <v/>
      </c>
      <c r="DI8" s="30" t="str">
        <f t="shared" si="37"/>
        <v/>
      </c>
      <c r="DJ8" s="54"/>
      <c r="DK8" s="54"/>
      <c r="DL8" s="54"/>
      <c r="DM8" s="54"/>
      <c r="DN8" s="54"/>
      <c r="DO8" s="54"/>
      <c r="DP8" s="54"/>
      <c r="DQ8" s="54"/>
      <c r="DR8" s="54"/>
      <c r="DS8" s="54"/>
      <c r="DT8" s="54"/>
      <c r="DU8" s="54"/>
      <c r="DV8" s="54"/>
      <c r="DW8" s="54"/>
      <c r="DX8" s="54"/>
      <c r="DY8" s="54"/>
      <c r="DZ8" s="54"/>
      <c r="EA8" s="54"/>
      <c r="EB8" s="54"/>
      <c r="EC8" s="54"/>
      <c r="ED8" s="54"/>
      <c r="EE8" s="54"/>
      <c r="EF8" s="54"/>
      <c r="EG8" s="54"/>
      <c r="EH8" s="13" t="str">
        <f t="shared" si="38"/>
        <v/>
      </c>
      <c r="EI8" s="13" t="str">
        <f t="shared" si="39"/>
        <v/>
      </c>
      <c r="EJ8" s="13" t="str">
        <f t="shared" si="40"/>
        <v/>
      </c>
      <c r="EK8" s="13" t="str">
        <f t="shared" si="41"/>
        <v/>
      </c>
      <c r="EL8" s="13" t="str">
        <f t="shared" si="42"/>
        <v/>
      </c>
      <c r="EM8" s="13" t="str">
        <f t="shared" si="43"/>
        <v/>
      </c>
      <c r="EN8" s="53">
        <v>28.1</v>
      </c>
      <c r="EO8" s="53">
        <v>6.8</v>
      </c>
      <c r="EP8" s="53">
        <v>0.9</v>
      </c>
      <c r="EQ8" s="53">
        <v>0</v>
      </c>
      <c r="ER8" s="53">
        <v>27.4</v>
      </c>
      <c r="ES8" s="53">
        <v>8.1</v>
      </c>
      <c r="ET8" s="53">
        <v>0</v>
      </c>
      <c r="EU8" s="53">
        <v>0</v>
      </c>
      <c r="EV8" s="53"/>
      <c r="EW8" s="53"/>
      <c r="EX8" s="53"/>
      <c r="EY8" s="53"/>
      <c r="EZ8" s="53"/>
      <c r="FA8" s="53"/>
      <c r="FB8" s="53"/>
      <c r="FC8" s="53"/>
      <c r="FD8" s="53">
        <v>27.9</v>
      </c>
      <c r="FE8" s="53">
        <v>6.8</v>
      </c>
      <c r="FF8" s="53">
        <v>0.3</v>
      </c>
      <c r="FG8" s="53">
        <v>0</v>
      </c>
      <c r="FH8" s="53">
        <v>27.8</v>
      </c>
      <c r="FI8" s="53">
        <v>8.1</v>
      </c>
      <c r="FJ8" s="53">
        <v>0.3</v>
      </c>
      <c r="FK8" s="53">
        <v>0</v>
      </c>
      <c r="FL8" s="16">
        <f t="shared" si="44"/>
        <v>14.899999999999999</v>
      </c>
      <c r="FM8" s="16">
        <f t="shared" si="45"/>
        <v>69.499999999999986</v>
      </c>
      <c r="FN8" s="16" t="str">
        <f t="shared" si="46"/>
        <v/>
      </c>
      <c r="FO8" s="16">
        <f t="shared" si="47"/>
        <v>69.499999999999986</v>
      </c>
      <c r="FP8" s="16">
        <f t="shared" si="48"/>
        <v>70</v>
      </c>
      <c r="FQ8" s="16">
        <f t="shared" si="49"/>
        <v>139.5</v>
      </c>
      <c r="FR8" s="54"/>
      <c r="FS8" s="54"/>
      <c r="FT8" s="54"/>
      <c r="FU8" s="54"/>
      <c r="FV8" s="54"/>
      <c r="FW8" s="54"/>
      <c r="FX8" s="54"/>
      <c r="FY8" s="54"/>
      <c r="FZ8" s="54"/>
      <c r="GA8" s="54"/>
      <c r="GB8" s="54"/>
      <c r="GC8" s="54"/>
      <c r="GD8" s="54"/>
      <c r="GE8" s="54"/>
      <c r="GF8" s="54"/>
      <c r="GG8" s="54"/>
      <c r="GH8" s="54"/>
      <c r="GI8" s="54"/>
      <c r="GJ8" s="54"/>
      <c r="GK8" s="54"/>
      <c r="GL8" s="54"/>
      <c r="GM8" s="54"/>
      <c r="GN8" s="54"/>
      <c r="GO8" s="54"/>
      <c r="GP8" s="13" t="str">
        <f t="shared" si="50"/>
        <v/>
      </c>
      <c r="GQ8" s="13" t="str">
        <f t="shared" si="51"/>
        <v/>
      </c>
      <c r="GR8" s="13" t="str">
        <f t="shared" si="52"/>
        <v/>
      </c>
      <c r="GS8" s="13" t="str">
        <f t="shared" si="53"/>
        <v/>
      </c>
      <c r="GT8" s="13" t="str">
        <f t="shared" si="54"/>
        <v/>
      </c>
      <c r="GU8" s="13" t="str">
        <f t="shared" si="55"/>
        <v/>
      </c>
      <c r="GV8" s="53"/>
      <c r="GW8" s="53"/>
      <c r="GX8" s="53"/>
      <c r="GY8" s="53"/>
      <c r="GZ8" s="53"/>
      <c r="HA8" s="53"/>
      <c r="HB8" s="53"/>
      <c r="HC8" s="53"/>
      <c r="HD8" s="53"/>
      <c r="HE8" s="53"/>
      <c r="HF8" s="53"/>
      <c r="HG8" s="53"/>
      <c r="HH8" s="53"/>
      <c r="HI8" s="53"/>
      <c r="HJ8" s="53"/>
      <c r="HK8" s="53"/>
      <c r="HL8" s="53"/>
      <c r="HM8" s="53"/>
      <c r="HN8" s="53"/>
      <c r="HO8" s="53"/>
      <c r="HP8" s="53"/>
      <c r="HQ8" s="53"/>
      <c r="HR8" s="53"/>
      <c r="HS8" s="53"/>
      <c r="HT8" s="16" t="str">
        <f t="shared" si="56"/>
        <v/>
      </c>
      <c r="HU8" s="16" t="str">
        <f t="shared" si="57"/>
        <v/>
      </c>
      <c r="HV8" s="16" t="str">
        <f t="shared" si="58"/>
        <v/>
      </c>
      <c r="HW8" s="16" t="str">
        <f t="shared" si="59"/>
        <v/>
      </c>
      <c r="HX8" s="16" t="str">
        <f t="shared" si="60"/>
        <v/>
      </c>
      <c r="HY8" s="16" t="str">
        <f t="shared" si="61"/>
        <v/>
      </c>
      <c r="HZ8" s="54"/>
      <c r="IA8" s="54"/>
      <c r="IB8" s="54"/>
      <c r="IC8" s="54"/>
      <c r="ID8" s="54"/>
      <c r="IE8" s="54"/>
      <c r="IF8" s="54"/>
      <c r="IG8" s="54"/>
      <c r="IH8" s="54"/>
      <c r="II8" s="54"/>
      <c r="IJ8" s="54"/>
      <c r="IK8" s="54"/>
      <c r="IL8" s="54"/>
      <c r="IM8" s="54"/>
      <c r="IN8" s="54"/>
      <c r="IO8" s="54"/>
      <c r="IP8" s="54"/>
      <c r="IQ8" s="54"/>
      <c r="IR8" s="54"/>
      <c r="IS8" s="54"/>
      <c r="IT8" s="54"/>
      <c r="IU8" s="54"/>
      <c r="IV8" s="54"/>
      <c r="IW8" s="54"/>
      <c r="IX8" s="13" t="str">
        <f t="shared" si="62"/>
        <v/>
      </c>
      <c r="IY8" s="13" t="str">
        <f t="shared" si="63"/>
        <v/>
      </c>
      <c r="IZ8" s="13" t="str">
        <f t="shared" si="64"/>
        <v/>
      </c>
      <c r="JA8" s="13" t="str">
        <f t="shared" si="65"/>
        <v/>
      </c>
      <c r="JB8" s="13" t="str">
        <f t="shared" si="66"/>
        <v/>
      </c>
      <c r="JC8" s="13" t="str">
        <f t="shared" si="67"/>
        <v/>
      </c>
      <c r="JD8" s="53"/>
      <c r="JE8" s="53"/>
      <c r="JF8" s="53"/>
      <c r="JG8" s="53"/>
      <c r="JH8" s="53"/>
      <c r="JI8" s="53"/>
      <c r="JJ8" s="53"/>
      <c r="JK8" s="53"/>
      <c r="JL8" s="53"/>
      <c r="JM8" s="53"/>
      <c r="JN8" s="53"/>
      <c r="JO8" s="53"/>
      <c r="JP8" s="53"/>
      <c r="JQ8" s="53"/>
      <c r="JR8" s="53"/>
      <c r="JS8" s="53"/>
      <c r="JT8" s="53"/>
      <c r="JU8" s="53"/>
      <c r="JV8" s="53"/>
      <c r="JW8" s="53"/>
      <c r="JX8" s="53"/>
      <c r="JY8" s="53"/>
      <c r="JZ8" s="53"/>
      <c r="KA8" s="53"/>
      <c r="KB8" s="16" t="str">
        <f t="shared" si="68"/>
        <v/>
      </c>
      <c r="KC8" s="16" t="str">
        <f t="shared" si="69"/>
        <v/>
      </c>
      <c r="KD8" s="16" t="str">
        <f t="shared" si="70"/>
        <v/>
      </c>
      <c r="KE8" s="16" t="str">
        <f t="shared" si="71"/>
        <v/>
      </c>
      <c r="KF8" s="16" t="str">
        <f t="shared" si="72"/>
        <v/>
      </c>
      <c r="KG8" s="16" t="str">
        <f t="shared" si="73"/>
        <v/>
      </c>
      <c r="KH8" s="54"/>
      <c r="KI8" s="54"/>
      <c r="KJ8" s="54"/>
      <c r="KK8" s="54"/>
      <c r="KL8" s="54"/>
      <c r="KM8" s="54"/>
      <c r="KN8" s="54"/>
      <c r="KO8" s="54"/>
      <c r="KP8" s="54"/>
      <c r="KQ8" s="54"/>
      <c r="KR8" s="54"/>
      <c r="KS8" s="54"/>
      <c r="KT8" s="54"/>
      <c r="KU8" s="54"/>
      <c r="KV8" s="54"/>
      <c r="KW8" s="54"/>
      <c r="KX8" s="54"/>
      <c r="KY8" s="54"/>
      <c r="KZ8" s="54"/>
      <c r="LA8" s="54"/>
      <c r="LB8" s="54"/>
      <c r="LC8" s="54"/>
      <c r="LD8" s="54"/>
      <c r="LE8" s="54"/>
      <c r="LF8" s="13" t="str">
        <f t="shared" si="74"/>
        <v/>
      </c>
      <c r="LG8" s="13" t="str">
        <f t="shared" si="75"/>
        <v/>
      </c>
      <c r="LH8" s="13" t="str">
        <f t="shared" si="76"/>
        <v/>
      </c>
      <c r="LI8" s="13" t="str">
        <f t="shared" si="77"/>
        <v/>
      </c>
      <c r="LJ8" s="13" t="str">
        <f t="shared" si="78"/>
        <v/>
      </c>
      <c r="LK8" s="13" t="str">
        <f t="shared" si="79"/>
        <v/>
      </c>
      <c r="LL8" s="53"/>
      <c r="LM8" s="53"/>
      <c r="LN8" s="53"/>
      <c r="LO8" s="53"/>
      <c r="LP8" s="53"/>
      <c r="LQ8" s="53"/>
      <c r="LR8" s="53"/>
      <c r="LS8" s="53"/>
      <c r="LT8" s="53"/>
      <c r="LU8" s="53"/>
      <c r="LV8" s="53"/>
      <c r="LW8" s="53"/>
      <c r="LX8" s="53"/>
      <c r="LY8" s="53"/>
      <c r="LZ8" s="53"/>
      <c r="MA8" s="53"/>
      <c r="MB8" s="53"/>
      <c r="MC8" s="53"/>
      <c r="MD8" s="53"/>
      <c r="ME8" s="53"/>
      <c r="MF8" s="53"/>
      <c r="MG8" s="53"/>
      <c r="MH8" s="53"/>
      <c r="MI8" s="53"/>
      <c r="MJ8" s="16" t="str">
        <f t="shared" si="80"/>
        <v/>
      </c>
      <c r="MK8" s="16" t="str">
        <f t="shared" si="81"/>
        <v/>
      </c>
      <c r="ML8" s="16" t="str">
        <f t="shared" si="82"/>
        <v/>
      </c>
      <c r="MM8" s="16" t="str">
        <f t="shared" si="83"/>
        <v/>
      </c>
      <c r="MN8" s="16" t="str">
        <f t="shared" si="84"/>
        <v/>
      </c>
      <c r="MO8" s="16" t="str">
        <f t="shared" si="85"/>
        <v/>
      </c>
      <c r="MP8" s="54"/>
      <c r="MQ8" s="54"/>
      <c r="MR8" s="54"/>
      <c r="MS8" s="54"/>
      <c r="MT8" s="54"/>
      <c r="MU8" s="54"/>
      <c r="MV8" s="54"/>
      <c r="MW8" s="54"/>
      <c r="MX8" s="54"/>
      <c r="MY8" s="54"/>
      <c r="MZ8" s="54"/>
      <c r="NA8" s="54"/>
      <c r="NB8" s="54"/>
      <c r="NC8" s="54"/>
      <c r="ND8" s="54"/>
      <c r="NE8" s="54"/>
      <c r="NF8" s="54"/>
      <c r="NG8" s="54"/>
      <c r="NH8" s="54"/>
      <c r="NI8" s="54"/>
      <c r="NJ8" s="54"/>
      <c r="NK8" s="54"/>
      <c r="NL8" s="54"/>
      <c r="NM8" s="54"/>
      <c r="NN8" s="13" t="str">
        <f t="shared" si="86"/>
        <v/>
      </c>
      <c r="NO8" s="13" t="str">
        <f t="shared" si="87"/>
        <v/>
      </c>
      <c r="NP8" s="13" t="str">
        <f t="shared" si="88"/>
        <v/>
      </c>
      <c r="NQ8" s="13" t="str">
        <f t="shared" si="89"/>
        <v/>
      </c>
      <c r="NR8" s="13" t="str">
        <f t="shared" si="90"/>
        <v/>
      </c>
      <c r="NS8" s="13" t="str">
        <f t="shared" si="91"/>
        <v/>
      </c>
      <c r="NT8" s="53"/>
      <c r="NU8" s="53"/>
      <c r="NV8" s="53"/>
      <c r="NW8" s="53"/>
      <c r="NX8" s="53"/>
      <c r="NY8" s="53"/>
      <c r="NZ8" s="53"/>
      <c r="OA8" s="53"/>
      <c r="OB8" s="53"/>
      <c r="OC8" s="53"/>
      <c r="OD8" s="53"/>
      <c r="OE8" s="53"/>
      <c r="OF8" s="53"/>
      <c r="OG8" s="53"/>
      <c r="OH8" s="53"/>
      <c r="OI8" s="53"/>
      <c r="OJ8" s="53"/>
      <c r="OK8" s="53"/>
      <c r="OL8" s="53"/>
      <c r="OM8" s="53"/>
      <c r="ON8" s="53"/>
      <c r="OO8" s="53"/>
      <c r="OP8" s="53"/>
      <c r="OQ8" s="53"/>
      <c r="OR8" s="16" t="str">
        <f t="shared" si="92"/>
        <v/>
      </c>
      <c r="OS8" s="16" t="str">
        <f t="shared" si="93"/>
        <v/>
      </c>
      <c r="OT8" s="16" t="str">
        <f t="shared" si="94"/>
        <v/>
      </c>
      <c r="OU8" s="16" t="str">
        <f t="shared" si="95"/>
        <v/>
      </c>
      <c r="OV8" s="16" t="str">
        <f t="shared" si="96"/>
        <v/>
      </c>
      <c r="OW8" s="16" t="str">
        <f t="shared" si="97"/>
        <v/>
      </c>
      <c r="OX8" s="54"/>
      <c r="OY8" s="54"/>
      <c r="OZ8" s="54"/>
      <c r="PA8" s="54"/>
      <c r="PB8" s="54"/>
      <c r="PC8" s="54"/>
      <c r="PD8" s="54"/>
      <c r="PE8" s="54"/>
      <c r="PF8" s="54"/>
      <c r="PG8" s="54"/>
      <c r="PH8" s="54"/>
      <c r="PI8" s="54"/>
      <c r="PJ8" s="54"/>
      <c r="PK8" s="54"/>
      <c r="PL8" s="54"/>
      <c r="PM8" s="54"/>
      <c r="PN8" s="54"/>
      <c r="PO8" s="54"/>
      <c r="PP8" s="54"/>
      <c r="PQ8" s="54"/>
      <c r="PR8" s="54"/>
      <c r="PS8" s="54"/>
      <c r="PT8" s="54"/>
      <c r="PU8" s="54"/>
      <c r="PV8" s="13" t="str">
        <f t="shared" si="98"/>
        <v/>
      </c>
      <c r="PW8" s="13" t="str">
        <f t="shared" si="99"/>
        <v/>
      </c>
      <c r="PX8" s="13" t="str">
        <f t="shared" si="100"/>
        <v/>
      </c>
      <c r="PY8" s="13" t="str">
        <f t="shared" si="101"/>
        <v/>
      </c>
      <c r="PZ8" s="13" t="str">
        <f t="shared" si="102"/>
        <v/>
      </c>
      <c r="QA8" s="13" t="str">
        <f t="shared" si="103"/>
        <v/>
      </c>
      <c r="QB8" s="53"/>
      <c r="QC8" s="53"/>
      <c r="QD8" s="53"/>
      <c r="QE8" s="53"/>
      <c r="QF8" s="53"/>
      <c r="QG8" s="53"/>
      <c r="QH8" s="53"/>
      <c r="QI8" s="53"/>
      <c r="QJ8" s="53"/>
      <c r="QK8" s="53"/>
      <c r="QL8" s="53"/>
      <c r="QM8" s="53"/>
      <c r="QN8" s="53"/>
      <c r="QO8" s="53"/>
      <c r="QP8" s="53"/>
      <c r="QQ8" s="53"/>
      <c r="QR8" s="53"/>
      <c r="QS8" s="53"/>
      <c r="QT8" s="53"/>
      <c r="QU8" s="53"/>
      <c r="QV8" s="53"/>
      <c r="QW8" s="53"/>
      <c r="QX8" s="53"/>
      <c r="QY8" s="53"/>
      <c r="QZ8" s="16" t="str">
        <f t="shared" si="104"/>
        <v/>
      </c>
      <c r="RA8" s="16" t="str">
        <f t="shared" si="105"/>
        <v/>
      </c>
      <c r="RB8" s="16" t="str">
        <f t="shared" si="106"/>
        <v/>
      </c>
      <c r="RC8" s="16" t="str">
        <f t="shared" si="107"/>
        <v/>
      </c>
      <c r="RD8" s="16" t="str">
        <f t="shared" si="108"/>
        <v/>
      </c>
      <c r="RE8" s="16" t="str">
        <f t="shared" si="109"/>
        <v/>
      </c>
    </row>
    <row r="9" spans="1:473" x14ac:dyDescent="0.2">
      <c r="A9" s="6">
        <f t="shared" si="0"/>
        <v>5</v>
      </c>
      <c r="B9" s="9" t="s">
        <v>72</v>
      </c>
      <c r="C9" s="5" t="s">
        <v>6</v>
      </c>
      <c r="D9" s="6">
        <v>2017</v>
      </c>
      <c r="E9" s="17">
        <f t="shared" si="1"/>
        <v>313.70000000000005</v>
      </c>
      <c r="F9" s="4" t="str">
        <f t="shared" si="2"/>
        <v>P</v>
      </c>
      <c r="G9" s="4" t="str">
        <f t="shared" si="3"/>
        <v>P</v>
      </c>
      <c r="H9" s="4" t="str">
        <f t="shared" si="4"/>
        <v>P</v>
      </c>
      <c r="I9" t="str">
        <f t="shared" si="5"/>
        <v>National Team</v>
      </c>
      <c r="J9" s="16">
        <f t="shared" si="6"/>
        <v>137</v>
      </c>
      <c r="K9" s="16" t="str">
        <f t="shared" si="7"/>
        <v>2018 Canada Cup</v>
      </c>
      <c r="L9" s="16">
        <f t="shared" si="8"/>
        <v>70.400000000000006</v>
      </c>
      <c r="M9" s="16" t="str">
        <f t="shared" si="9"/>
        <v>2018 Nationals</v>
      </c>
      <c r="N9" s="16">
        <f t="shared" si="10"/>
        <v>34.9</v>
      </c>
      <c r="O9" s="16" t="str">
        <f t="shared" si="11"/>
        <v>2018 Nationals</v>
      </c>
      <c r="P9" s="16">
        <f t="shared" si="12"/>
        <v>71.400000000000006</v>
      </c>
      <c r="Q9" s="16" t="str">
        <f t="shared" si="13"/>
        <v>2018 Nationals</v>
      </c>
      <c r="R9" s="16" t="str">
        <f t="shared" si="14"/>
        <v/>
      </c>
      <c r="S9" s="31" t="str">
        <f t="shared" si="15"/>
        <v/>
      </c>
      <c r="T9" s="16" t="str">
        <f t="shared" si="16"/>
        <v/>
      </c>
      <c r="U9" s="47"/>
      <c r="V9" s="47"/>
      <c r="W9" s="47"/>
      <c r="X9" s="47"/>
      <c r="Y9" s="47"/>
      <c r="Z9" s="47"/>
      <c r="AA9" s="47"/>
      <c r="AB9" s="47"/>
      <c r="AC9" s="47"/>
      <c r="AD9" s="47"/>
      <c r="AE9" s="47"/>
      <c r="AF9" s="47"/>
      <c r="AG9" s="47"/>
      <c r="AH9" s="47"/>
      <c r="AI9" s="47"/>
      <c r="AJ9" s="47"/>
      <c r="AK9" s="47"/>
      <c r="AL9" s="47"/>
      <c r="AM9" s="47"/>
      <c r="AN9" s="47"/>
      <c r="AO9" s="47"/>
      <c r="AP9" s="47"/>
      <c r="AQ9" s="47"/>
      <c r="AR9" s="47"/>
      <c r="AS9" s="13" t="str">
        <f t="shared" si="17"/>
        <v/>
      </c>
      <c r="AT9" s="13" t="str">
        <f t="shared" si="18"/>
        <v/>
      </c>
      <c r="AU9" s="13" t="str">
        <f t="shared" si="19"/>
        <v/>
      </c>
      <c r="AV9" s="13" t="str">
        <f t="shared" si="20"/>
        <v/>
      </c>
      <c r="AW9" s="13" t="str">
        <f t="shared" si="21"/>
        <v/>
      </c>
      <c r="AX9" s="13" t="str">
        <f t="shared" si="22"/>
        <v/>
      </c>
      <c r="AY9" s="48">
        <v>27.5</v>
      </c>
      <c r="AZ9" s="48">
        <v>8.4</v>
      </c>
      <c r="BA9" s="48">
        <v>0.9</v>
      </c>
      <c r="BB9" s="48">
        <v>0</v>
      </c>
      <c r="BC9" s="48">
        <v>27.4</v>
      </c>
      <c r="BD9" s="48">
        <v>8.1</v>
      </c>
      <c r="BE9" s="48">
        <v>1.2</v>
      </c>
      <c r="BF9" s="48">
        <v>0</v>
      </c>
      <c r="BG9" s="48">
        <v>27</v>
      </c>
      <c r="BH9" s="48">
        <v>8.4</v>
      </c>
      <c r="BI9" s="48">
        <v>1.2</v>
      </c>
      <c r="BJ9" s="48">
        <v>0</v>
      </c>
      <c r="BK9" s="48">
        <v>26.7</v>
      </c>
      <c r="BL9" s="48">
        <v>6.8</v>
      </c>
      <c r="BM9" s="48">
        <v>0</v>
      </c>
      <c r="BN9" s="48">
        <v>0</v>
      </c>
      <c r="BO9" s="48">
        <v>27.5</v>
      </c>
      <c r="BP9" s="48">
        <v>8.1</v>
      </c>
      <c r="BQ9" s="48">
        <v>0.9</v>
      </c>
      <c r="BR9" s="48">
        <v>0</v>
      </c>
      <c r="BS9" s="48">
        <v>27.7</v>
      </c>
      <c r="BT9" s="48">
        <v>8.4</v>
      </c>
      <c r="BU9" s="48">
        <v>0.3</v>
      </c>
      <c r="BV9" s="48">
        <v>0</v>
      </c>
      <c r="BW9" s="16">
        <f t="shared" si="23"/>
        <v>31.7</v>
      </c>
      <c r="BX9" s="16">
        <f t="shared" si="24"/>
        <v>69.3</v>
      </c>
      <c r="BY9" s="16">
        <f t="shared" si="25"/>
        <v>67.699999999999989</v>
      </c>
      <c r="BZ9" s="16">
        <f t="shared" si="26"/>
        <v>137</v>
      </c>
      <c r="CA9" s="16">
        <f t="shared" si="27"/>
        <v>70.5</v>
      </c>
      <c r="CB9" s="16">
        <f t="shared" si="28"/>
        <v>207.5</v>
      </c>
      <c r="CC9" s="47">
        <v>27.8</v>
      </c>
      <c r="CD9" s="47">
        <v>8.4</v>
      </c>
      <c r="CE9" s="47">
        <v>0.3</v>
      </c>
      <c r="CF9" s="47">
        <v>0</v>
      </c>
      <c r="CG9" s="47">
        <v>26.7</v>
      </c>
      <c r="CH9" s="47">
        <v>8.1</v>
      </c>
      <c r="CI9" s="47">
        <v>0.3</v>
      </c>
      <c r="CJ9" s="47">
        <v>0</v>
      </c>
      <c r="CK9" s="47">
        <v>0</v>
      </c>
      <c r="CL9" s="47">
        <v>0</v>
      </c>
      <c r="CM9" s="47">
        <v>0</v>
      </c>
      <c r="CN9" s="47">
        <v>0</v>
      </c>
      <c r="CO9" s="47">
        <v>28.1</v>
      </c>
      <c r="CP9" s="47">
        <v>6.8</v>
      </c>
      <c r="CQ9" s="47">
        <v>0</v>
      </c>
      <c r="CR9" s="47">
        <v>0</v>
      </c>
      <c r="CS9" s="47">
        <v>27.9</v>
      </c>
      <c r="CT9" s="47">
        <v>8.1</v>
      </c>
      <c r="CU9" s="47">
        <v>0</v>
      </c>
      <c r="CV9" s="47">
        <v>0</v>
      </c>
      <c r="CW9" s="47">
        <v>28.5</v>
      </c>
      <c r="CX9" s="47">
        <v>8.4</v>
      </c>
      <c r="CY9" s="47">
        <v>1.5</v>
      </c>
      <c r="CZ9" s="47">
        <v>0</v>
      </c>
      <c r="DA9" s="13">
        <f t="shared" si="29"/>
        <v>23.3</v>
      </c>
      <c r="DB9" s="13">
        <f t="shared" si="30"/>
        <v>70.400000000000006</v>
      </c>
      <c r="DC9" s="13">
        <f t="shared" si="31"/>
        <v>34.9</v>
      </c>
      <c r="DD9" s="13">
        <f t="shared" si="32"/>
        <v>105.3</v>
      </c>
      <c r="DE9" s="13">
        <f t="shared" si="33"/>
        <v>71.400000000000006</v>
      </c>
      <c r="DF9" s="13">
        <f t="shared" si="34"/>
        <v>176.7</v>
      </c>
      <c r="DG9" s="30" t="str">
        <f t="shared" si="35"/>
        <v/>
      </c>
      <c r="DH9" s="30" t="str">
        <f t="shared" si="36"/>
        <v/>
      </c>
      <c r="DI9" s="30" t="str">
        <f t="shared" si="37"/>
        <v/>
      </c>
      <c r="DJ9" s="54"/>
      <c r="DK9" s="54"/>
      <c r="DL9" s="54"/>
      <c r="DM9" s="54"/>
      <c r="DN9" s="54"/>
      <c r="DO9" s="54"/>
      <c r="DP9" s="54"/>
      <c r="DQ9" s="54"/>
      <c r="DR9" s="54"/>
      <c r="DS9" s="54"/>
      <c r="DT9" s="54"/>
      <c r="DU9" s="54"/>
      <c r="DV9" s="54"/>
      <c r="DW9" s="54"/>
      <c r="DX9" s="54"/>
      <c r="DY9" s="54"/>
      <c r="DZ9" s="54"/>
      <c r="EA9" s="54"/>
      <c r="EB9" s="54"/>
      <c r="EC9" s="54"/>
      <c r="ED9" s="54"/>
      <c r="EE9" s="54"/>
      <c r="EF9" s="54"/>
      <c r="EG9" s="54"/>
      <c r="EH9" s="13" t="str">
        <f t="shared" si="38"/>
        <v/>
      </c>
      <c r="EI9" s="13" t="str">
        <f t="shared" si="39"/>
        <v/>
      </c>
      <c r="EJ9" s="13" t="str">
        <f t="shared" si="40"/>
        <v/>
      </c>
      <c r="EK9" s="13" t="str">
        <f t="shared" si="41"/>
        <v/>
      </c>
      <c r="EL9" s="13" t="str">
        <f t="shared" si="42"/>
        <v/>
      </c>
      <c r="EM9" s="13" t="str">
        <f t="shared" si="43"/>
        <v/>
      </c>
      <c r="EN9" s="53"/>
      <c r="EO9" s="53"/>
      <c r="EP9" s="53"/>
      <c r="EQ9" s="53"/>
      <c r="ER9" s="53"/>
      <c r="ES9" s="53"/>
      <c r="ET9" s="53"/>
      <c r="EU9" s="53"/>
      <c r="EV9" s="53"/>
      <c r="EW9" s="53"/>
      <c r="EX9" s="53"/>
      <c r="EY9" s="53"/>
      <c r="EZ9" s="53"/>
      <c r="FA9" s="53"/>
      <c r="FB9" s="53"/>
      <c r="FC9" s="53"/>
      <c r="FD9" s="53"/>
      <c r="FE9" s="53"/>
      <c r="FF9" s="53"/>
      <c r="FG9" s="53"/>
      <c r="FH9" s="53"/>
      <c r="FI9" s="53"/>
      <c r="FJ9" s="53"/>
      <c r="FK9" s="53"/>
      <c r="FL9" s="16" t="str">
        <f t="shared" si="44"/>
        <v/>
      </c>
      <c r="FM9" s="16" t="str">
        <f t="shared" si="45"/>
        <v/>
      </c>
      <c r="FN9" s="16" t="str">
        <f t="shared" si="46"/>
        <v/>
      </c>
      <c r="FO9" s="16" t="str">
        <f t="shared" si="47"/>
        <v/>
      </c>
      <c r="FP9" s="16" t="str">
        <f t="shared" si="48"/>
        <v/>
      </c>
      <c r="FQ9" s="16" t="str">
        <f t="shared" si="49"/>
        <v/>
      </c>
      <c r="FR9" s="54"/>
      <c r="FS9" s="54"/>
      <c r="FT9" s="54"/>
      <c r="FU9" s="54"/>
      <c r="FV9" s="54"/>
      <c r="FW9" s="54"/>
      <c r="FX9" s="54"/>
      <c r="FY9" s="54"/>
      <c r="FZ9" s="54"/>
      <c r="GA9" s="54"/>
      <c r="GB9" s="54"/>
      <c r="GC9" s="54"/>
      <c r="GD9" s="54"/>
      <c r="GE9" s="54"/>
      <c r="GF9" s="54"/>
      <c r="GG9" s="54"/>
      <c r="GH9" s="54"/>
      <c r="GI9" s="54"/>
      <c r="GJ9" s="54"/>
      <c r="GK9" s="54"/>
      <c r="GL9" s="54"/>
      <c r="GM9" s="54"/>
      <c r="GN9" s="54"/>
      <c r="GO9" s="54"/>
      <c r="GP9" s="13" t="str">
        <f t="shared" si="50"/>
        <v/>
      </c>
      <c r="GQ9" s="13" t="str">
        <f t="shared" si="51"/>
        <v/>
      </c>
      <c r="GR9" s="13" t="str">
        <f t="shared" si="52"/>
        <v/>
      </c>
      <c r="GS9" s="13" t="str">
        <f t="shared" si="53"/>
        <v/>
      </c>
      <c r="GT9" s="13" t="str">
        <f t="shared" si="54"/>
        <v/>
      </c>
      <c r="GU9" s="13" t="str">
        <f t="shared" si="55"/>
        <v/>
      </c>
      <c r="GV9" s="53">
        <v>27.6</v>
      </c>
      <c r="GW9" s="53">
        <v>8.1</v>
      </c>
      <c r="GX9" s="53">
        <v>2.4</v>
      </c>
      <c r="GY9" s="53">
        <v>0</v>
      </c>
      <c r="GZ9" s="53">
        <v>20</v>
      </c>
      <c r="HA9" s="53">
        <v>4</v>
      </c>
      <c r="HB9" s="53">
        <v>0</v>
      </c>
      <c r="HC9" s="53">
        <v>0</v>
      </c>
      <c r="HD9" s="53"/>
      <c r="HE9" s="53"/>
      <c r="HF9" s="53"/>
      <c r="HG9" s="53"/>
      <c r="HH9" s="53"/>
      <c r="HI9" s="53"/>
      <c r="HJ9" s="53"/>
      <c r="HK9" s="53"/>
      <c r="HL9" s="53"/>
      <c r="HM9" s="53"/>
      <c r="HN9" s="53"/>
      <c r="HO9" s="53"/>
      <c r="HP9" s="53"/>
      <c r="HQ9" s="53"/>
      <c r="HR9" s="53"/>
      <c r="HS9" s="53"/>
      <c r="HT9" s="16">
        <f t="shared" si="56"/>
        <v>12.1</v>
      </c>
      <c r="HU9" s="16">
        <f t="shared" si="57"/>
        <v>57.300000000000004</v>
      </c>
      <c r="HV9" s="16" t="str">
        <f t="shared" si="58"/>
        <v/>
      </c>
      <c r="HW9" s="16">
        <f t="shared" si="59"/>
        <v>57.300000000000004</v>
      </c>
      <c r="HX9" s="16" t="str">
        <f t="shared" si="60"/>
        <v/>
      </c>
      <c r="HY9" s="16">
        <f t="shared" si="61"/>
        <v>57.300000000000004</v>
      </c>
      <c r="HZ9" s="54"/>
      <c r="IA9" s="54"/>
      <c r="IB9" s="54"/>
      <c r="IC9" s="54"/>
      <c r="ID9" s="54"/>
      <c r="IE9" s="54"/>
      <c r="IF9" s="54"/>
      <c r="IG9" s="54"/>
      <c r="IH9" s="54"/>
      <c r="II9" s="54"/>
      <c r="IJ9" s="54"/>
      <c r="IK9" s="54"/>
      <c r="IL9" s="54"/>
      <c r="IM9" s="54"/>
      <c r="IN9" s="54"/>
      <c r="IO9" s="54"/>
      <c r="IP9" s="54"/>
      <c r="IQ9" s="54"/>
      <c r="IR9" s="54"/>
      <c r="IS9" s="54"/>
      <c r="IT9" s="54"/>
      <c r="IU9" s="54"/>
      <c r="IV9" s="54"/>
      <c r="IW9" s="54"/>
      <c r="IX9" s="13" t="str">
        <f t="shared" si="62"/>
        <v/>
      </c>
      <c r="IY9" s="13" t="str">
        <f t="shared" si="63"/>
        <v/>
      </c>
      <c r="IZ9" s="13" t="str">
        <f t="shared" si="64"/>
        <v/>
      </c>
      <c r="JA9" s="13" t="str">
        <f t="shared" si="65"/>
        <v/>
      </c>
      <c r="JB9" s="13" t="str">
        <f t="shared" si="66"/>
        <v/>
      </c>
      <c r="JC9" s="13" t="str">
        <f t="shared" si="67"/>
        <v/>
      </c>
      <c r="JD9" s="53"/>
      <c r="JE9" s="53"/>
      <c r="JF9" s="53"/>
      <c r="JG9" s="53"/>
      <c r="JH9" s="53"/>
      <c r="JI9" s="53"/>
      <c r="JJ9" s="53"/>
      <c r="JK9" s="53"/>
      <c r="JL9" s="53"/>
      <c r="JM9" s="53"/>
      <c r="JN9" s="53"/>
      <c r="JO9" s="53"/>
      <c r="JP9" s="53"/>
      <c r="JQ9" s="53"/>
      <c r="JR9" s="53"/>
      <c r="JS9" s="53"/>
      <c r="JT9" s="53"/>
      <c r="JU9" s="53"/>
      <c r="JV9" s="53"/>
      <c r="JW9" s="53"/>
      <c r="JX9" s="53"/>
      <c r="JY9" s="53"/>
      <c r="JZ9" s="53"/>
      <c r="KA9" s="53"/>
      <c r="KB9" s="16" t="str">
        <f t="shared" si="68"/>
        <v/>
      </c>
      <c r="KC9" s="16" t="str">
        <f t="shared" si="69"/>
        <v/>
      </c>
      <c r="KD9" s="16" t="str">
        <f t="shared" si="70"/>
        <v/>
      </c>
      <c r="KE9" s="16" t="str">
        <f t="shared" si="71"/>
        <v/>
      </c>
      <c r="KF9" s="16" t="str">
        <f t="shared" si="72"/>
        <v/>
      </c>
      <c r="KG9" s="16" t="str">
        <f t="shared" si="73"/>
        <v/>
      </c>
      <c r="KH9" s="54"/>
      <c r="KI9" s="54"/>
      <c r="KJ9" s="54"/>
      <c r="KK9" s="54"/>
      <c r="KL9" s="54"/>
      <c r="KM9" s="54"/>
      <c r="KN9" s="54"/>
      <c r="KO9" s="54"/>
      <c r="KP9" s="54"/>
      <c r="KQ9" s="54"/>
      <c r="KR9" s="54"/>
      <c r="KS9" s="54"/>
      <c r="KT9" s="54"/>
      <c r="KU9" s="54"/>
      <c r="KV9" s="54"/>
      <c r="KW9" s="54"/>
      <c r="KX9" s="54"/>
      <c r="KY9" s="54"/>
      <c r="KZ9" s="54"/>
      <c r="LA9" s="54"/>
      <c r="LB9" s="54"/>
      <c r="LC9" s="54"/>
      <c r="LD9" s="54"/>
      <c r="LE9" s="54"/>
      <c r="LF9" s="13" t="str">
        <f t="shared" si="74"/>
        <v/>
      </c>
      <c r="LG9" s="13" t="str">
        <f t="shared" si="75"/>
        <v/>
      </c>
      <c r="LH9" s="13" t="str">
        <f t="shared" si="76"/>
        <v/>
      </c>
      <c r="LI9" s="13" t="str">
        <f t="shared" si="77"/>
        <v/>
      </c>
      <c r="LJ9" s="13" t="str">
        <f t="shared" si="78"/>
        <v/>
      </c>
      <c r="LK9" s="13" t="str">
        <f t="shared" si="79"/>
        <v/>
      </c>
      <c r="LL9" s="53"/>
      <c r="LM9" s="53"/>
      <c r="LN9" s="53"/>
      <c r="LO9" s="53"/>
      <c r="LP9" s="53"/>
      <c r="LQ9" s="53"/>
      <c r="LR9" s="53"/>
      <c r="LS9" s="53"/>
      <c r="LT9" s="53"/>
      <c r="LU9" s="53"/>
      <c r="LV9" s="53"/>
      <c r="LW9" s="53"/>
      <c r="LX9" s="53"/>
      <c r="LY9" s="53"/>
      <c r="LZ9" s="53"/>
      <c r="MA9" s="53"/>
      <c r="MB9" s="53"/>
      <c r="MC9" s="53"/>
      <c r="MD9" s="53"/>
      <c r="ME9" s="53"/>
      <c r="MF9" s="53"/>
      <c r="MG9" s="53"/>
      <c r="MH9" s="53"/>
      <c r="MI9" s="53"/>
      <c r="MJ9" s="16" t="str">
        <f t="shared" si="80"/>
        <v/>
      </c>
      <c r="MK9" s="16" t="str">
        <f t="shared" si="81"/>
        <v/>
      </c>
      <c r="ML9" s="16" t="str">
        <f t="shared" si="82"/>
        <v/>
      </c>
      <c r="MM9" s="16" t="str">
        <f t="shared" si="83"/>
        <v/>
      </c>
      <c r="MN9" s="16" t="str">
        <f t="shared" si="84"/>
        <v/>
      </c>
      <c r="MO9" s="16" t="str">
        <f t="shared" si="85"/>
        <v/>
      </c>
      <c r="MP9" s="54"/>
      <c r="MQ9" s="54"/>
      <c r="MR9" s="54"/>
      <c r="MS9" s="54"/>
      <c r="MT9" s="54"/>
      <c r="MU9" s="54"/>
      <c r="MV9" s="54"/>
      <c r="MW9" s="54"/>
      <c r="MX9" s="54"/>
      <c r="MY9" s="54"/>
      <c r="MZ9" s="54"/>
      <c r="NA9" s="54"/>
      <c r="NB9" s="54"/>
      <c r="NC9" s="54"/>
      <c r="ND9" s="54"/>
      <c r="NE9" s="54"/>
      <c r="NF9" s="54"/>
      <c r="NG9" s="54"/>
      <c r="NH9" s="54"/>
      <c r="NI9" s="54"/>
      <c r="NJ9" s="54"/>
      <c r="NK9" s="54"/>
      <c r="NL9" s="54"/>
      <c r="NM9" s="54"/>
      <c r="NN9" s="13" t="str">
        <f t="shared" si="86"/>
        <v/>
      </c>
      <c r="NO9" s="13" t="str">
        <f t="shared" si="87"/>
        <v/>
      </c>
      <c r="NP9" s="13" t="str">
        <f t="shared" si="88"/>
        <v/>
      </c>
      <c r="NQ9" s="13" t="str">
        <f t="shared" si="89"/>
        <v/>
      </c>
      <c r="NR9" s="13" t="str">
        <f t="shared" si="90"/>
        <v/>
      </c>
      <c r="NS9" s="13" t="str">
        <f t="shared" si="91"/>
        <v/>
      </c>
      <c r="NT9" s="53"/>
      <c r="NU9" s="53"/>
      <c r="NV9" s="53"/>
      <c r="NW9" s="53"/>
      <c r="NX9" s="53"/>
      <c r="NY9" s="53"/>
      <c r="NZ9" s="53"/>
      <c r="OA9" s="53"/>
      <c r="OB9" s="53"/>
      <c r="OC9" s="53"/>
      <c r="OD9" s="53"/>
      <c r="OE9" s="53"/>
      <c r="OF9" s="53"/>
      <c r="OG9" s="53"/>
      <c r="OH9" s="53"/>
      <c r="OI9" s="53"/>
      <c r="OJ9" s="53"/>
      <c r="OK9" s="53"/>
      <c r="OL9" s="53"/>
      <c r="OM9" s="53"/>
      <c r="ON9" s="53"/>
      <c r="OO9" s="53"/>
      <c r="OP9" s="53"/>
      <c r="OQ9" s="53"/>
      <c r="OR9" s="16" t="str">
        <f t="shared" si="92"/>
        <v/>
      </c>
      <c r="OS9" s="16" t="str">
        <f t="shared" si="93"/>
        <v/>
      </c>
      <c r="OT9" s="16" t="str">
        <f t="shared" si="94"/>
        <v/>
      </c>
      <c r="OU9" s="16" t="str">
        <f t="shared" si="95"/>
        <v/>
      </c>
      <c r="OV9" s="16" t="str">
        <f t="shared" si="96"/>
        <v/>
      </c>
      <c r="OW9" s="16" t="str">
        <f t="shared" si="97"/>
        <v/>
      </c>
      <c r="OX9" s="54"/>
      <c r="OY9" s="54"/>
      <c r="OZ9" s="54"/>
      <c r="PA9" s="54"/>
      <c r="PB9" s="54"/>
      <c r="PC9" s="54"/>
      <c r="PD9" s="54"/>
      <c r="PE9" s="54"/>
      <c r="PF9" s="54"/>
      <c r="PG9" s="54"/>
      <c r="PH9" s="54"/>
      <c r="PI9" s="54"/>
      <c r="PJ9" s="54"/>
      <c r="PK9" s="54"/>
      <c r="PL9" s="54"/>
      <c r="PM9" s="54"/>
      <c r="PN9" s="54"/>
      <c r="PO9" s="54"/>
      <c r="PP9" s="54"/>
      <c r="PQ9" s="54"/>
      <c r="PR9" s="54"/>
      <c r="PS9" s="54"/>
      <c r="PT9" s="54"/>
      <c r="PU9" s="54"/>
      <c r="PV9" s="13" t="str">
        <f t="shared" si="98"/>
        <v/>
      </c>
      <c r="PW9" s="13" t="str">
        <f t="shared" si="99"/>
        <v/>
      </c>
      <c r="PX9" s="13" t="str">
        <f t="shared" si="100"/>
        <v/>
      </c>
      <c r="PY9" s="13" t="str">
        <f t="shared" si="101"/>
        <v/>
      </c>
      <c r="PZ9" s="13" t="str">
        <f t="shared" si="102"/>
        <v/>
      </c>
      <c r="QA9" s="13" t="str">
        <f t="shared" si="103"/>
        <v/>
      </c>
      <c r="QB9" s="53"/>
      <c r="QC9" s="53"/>
      <c r="QD9" s="53"/>
      <c r="QE9" s="53"/>
      <c r="QF9" s="53"/>
      <c r="QG9" s="53"/>
      <c r="QH9" s="53"/>
      <c r="QI9" s="53"/>
      <c r="QJ9" s="53"/>
      <c r="QK9" s="53"/>
      <c r="QL9" s="53"/>
      <c r="QM9" s="53"/>
      <c r="QN9" s="53"/>
      <c r="QO9" s="53"/>
      <c r="QP9" s="53"/>
      <c r="QQ9" s="53"/>
      <c r="QR9" s="53"/>
      <c r="QS9" s="53"/>
      <c r="QT9" s="53"/>
      <c r="QU9" s="53"/>
      <c r="QV9" s="53"/>
      <c r="QW9" s="53"/>
      <c r="QX9" s="53"/>
      <c r="QY9" s="53"/>
      <c r="QZ9" s="16" t="str">
        <f t="shared" si="104"/>
        <v/>
      </c>
      <c r="RA9" s="16" t="str">
        <f t="shared" si="105"/>
        <v/>
      </c>
      <c r="RB9" s="16" t="str">
        <f t="shared" si="106"/>
        <v/>
      </c>
      <c r="RC9" s="16" t="str">
        <f t="shared" si="107"/>
        <v/>
      </c>
      <c r="RD9" s="16" t="str">
        <f t="shared" si="108"/>
        <v/>
      </c>
      <c r="RE9" s="16" t="str">
        <f t="shared" si="109"/>
        <v/>
      </c>
    </row>
    <row r="10" spans="1:473" x14ac:dyDescent="0.2">
      <c r="A10" s="6">
        <f t="shared" si="0"/>
        <v>6</v>
      </c>
      <c r="B10" s="9" t="s">
        <v>130</v>
      </c>
      <c r="C10" s="5" t="s">
        <v>6</v>
      </c>
      <c r="D10" s="6">
        <v>2018</v>
      </c>
      <c r="E10" s="17">
        <f t="shared" si="1"/>
        <v>333.40000000000003</v>
      </c>
      <c r="F10" s="4" t="str">
        <f t="shared" si="2"/>
        <v/>
      </c>
      <c r="G10" s="4" t="str">
        <f t="shared" si="3"/>
        <v/>
      </c>
      <c r="H10" s="4" t="str">
        <f t="shared" si="4"/>
        <v>P</v>
      </c>
      <c r="I10" t="str">
        <f t="shared" si="5"/>
        <v/>
      </c>
      <c r="J10" s="16">
        <f t="shared" si="6"/>
        <v>136.90000000000003</v>
      </c>
      <c r="K10" s="16" t="str">
        <f t="shared" si="7"/>
        <v>2018 Canada Cup</v>
      </c>
      <c r="L10" s="16">
        <f t="shared" si="8"/>
        <v>69.2</v>
      </c>
      <c r="M10" s="16" t="str">
        <f t="shared" si="9"/>
        <v>2018 Nationals</v>
      </c>
      <c r="N10" s="16">
        <f t="shared" si="10"/>
        <v>57.5</v>
      </c>
      <c r="O10" s="16" t="str">
        <f t="shared" si="11"/>
        <v>2018 Nationals</v>
      </c>
      <c r="P10" s="16">
        <f t="shared" si="12"/>
        <v>69.8</v>
      </c>
      <c r="Q10" s="16" t="str">
        <f t="shared" si="13"/>
        <v>2018 Canada Cup</v>
      </c>
      <c r="R10" s="16" t="str">
        <f t="shared" si="14"/>
        <v/>
      </c>
      <c r="S10" s="31" t="str">
        <f t="shared" si="15"/>
        <v/>
      </c>
      <c r="T10" s="16" t="str">
        <f t="shared" si="16"/>
        <v/>
      </c>
      <c r="U10" s="47"/>
      <c r="V10" s="47"/>
      <c r="W10" s="47"/>
      <c r="X10" s="47"/>
      <c r="Y10" s="47"/>
      <c r="Z10" s="47"/>
      <c r="AA10" s="47"/>
      <c r="AB10" s="47"/>
      <c r="AC10" s="47"/>
      <c r="AD10" s="47"/>
      <c r="AE10" s="47"/>
      <c r="AF10" s="47"/>
      <c r="AG10" s="47"/>
      <c r="AH10" s="47"/>
      <c r="AI10" s="47"/>
      <c r="AJ10" s="47"/>
      <c r="AK10" s="47"/>
      <c r="AL10" s="47"/>
      <c r="AM10" s="47"/>
      <c r="AN10" s="47"/>
      <c r="AO10" s="47"/>
      <c r="AP10" s="47"/>
      <c r="AQ10" s="47"/>
      <c r="AR10" s="47"/>
      <c r="AS10" s="13" t="str">
        <f t="shared" si="17"/>
        <v/>
      </c>
      <c r="AT10" s="13" t="str">
        <f t="shared" si="18"/>
        <v/>
      </c>
      <c r="AU10" s="13" t="str">
        <f t="shared" si="19"/>
        <v/>
      </c>
      <c r="AV10" s="13" t="str">
        <f t="shared" si="20"/>
        <v/>
      </c>
      <c r="AW10" s="13" t="str">
        <f t="shared" si="21"/>
        <v/>
      </c>
      <c r="AX10" s="13" t="str">
        <f t="shared" si="22"/>
        <v/>
      </c>
      <c r="AY10" s="48">
        <v>27.9</v>
      </c>
      <c r="AZ10" s="48">
        <v>7.2</v>
      </c>
      <c r="BA10" s="48">
        <v>0.3</v>
      </c>
      <c r="BB10" s="48">
        <v>0</v>
      </c>
      <c r="BC10" s="48">
        <v>27.9</v>
      </c>
      <c r="BD10" s="48">
        <v>6.4</v>
      </c>
      <c r="BE10" s="48">
        <v>0</v>
      </c>
      <c r="BF10" s="48">
        <v>0</v>
      </c>
      <c r="BG10" s="48">
        <v>27.4</v>
      </c>
      <c r="BH10" s="48">
        <v>6.8</v>
      </c>
      <c r="BI10" s="48">
        <v>0.9</v>
      </c>
      <c r="BJ10" s="48">
        <v>0</v>
      </c>
      <c r="BK10" s="48">
        <v>27.7</v>
      </c>
      <c r="BL10" s="48">
        <v>6.8</v>
      </c>
      <c r="BM10" s="48">
        <v>0</v>
      </c>
      <c r="BN10" s="48">
        <v>0</v>
      </c>
      <c r="BO10" s="48">
        <v>28.2</v>
      </c>
      <c r="BP10" s="48">
        <v>7.2</v>
      </c>
      <c r="BQ10" s="48">
        <v>0.3</v>
      </c>
      <c r="BR10" s="48">
        <v>0</v>
      </c>
      <c r="BS10" s="48">
        <v>27.5</v>
      </c>
      <c r="BT10" s="48">
        <v>7.2</v>
      </c>
      <c r="BU10" s="48">
        <v>0</v>
      </c>
      <c r="BV10" s="48">
        <v>0</v>
      </c>
      <c r="BW10" s="16">
        <f t="shared" si="23"/>
        <v>27.200000000000003</v>
      </c>
      <c r="BX10" s="16">
        <f t="shared" si="24"/>
        <v>69.100000000000009</v>
      </c>
      <c r="BY10" s="16">
        <f t="shared" si="25"/>
        <v>67.799999999999983</v>
      </c>
      <c r="BZ10" s="16">
        <f t="shared" si="26"/>
        <v>136.90000000000003</v>
      </c>
      <c r="CA10" s="16">
        <f t="shared" si="27"/>
        <v>69.8</v>
      </c>
      <c r="CB10" s="16">
        <f t="shared" si="28"/>
        <v>206.70000000000005</v>
      </c>
      <c r="CC10" s="47">
        <v>28.3</v>
      </c>
      <c r="CD10" s="47">
        <v>7.2</v>
      </c>
      <c r="CE10" s="47">
        <v>0</v>
      </c>
      <c r="CF10" s="47">
        <v>0</v>
      </c>
      <c r="CG10" s="47">
        <v>28.5</v>
      </c>
      <c r="CH10" s="47">
        <v>5.2</v>
      </c>
      <c r="CI10" s="47">
        <v>0</v>
      </c>
      <c r="CJ10" s="47">
        <v>0</v>
      </c>
      <c r="CK10" s="47">
        <v>27.5</v>
      </c>
      <c r="CL10" s="47">
        <v>7.2</v>
      </c>
      <c r="CM10" s="47">
        <v>0</v>
      </c>
      <c r="CN10" s="47">
        <v>0</v>
      </c>
      <c r="CO10" s="47">
        <v>20.399999999999999</v>
      </c>
      <c r="CP10" s="47">
        <v>2.4</v>
      </c>
      <c r="CQ10" s="47">
        <v>0</v>
      </c>
      <c r="CR10" s="47">
        <v>0</v>
      </c>
      <c r="CS10" s="47">
        <v>28.1</v>
      </c>
      <c r="CT10" s="47">
        <v>7.2</v>
      </c>
      <c r="CU10" s="47">
        <v>0.9</v>
      </c>
      <c r="CV10" s="47">
        <v>0</v>
      </c>
      <c r="CW10" s="47">
        <v>27.4</v>
      </c>
      <c r="CX10" s="47">
        <v>7.2</v>
      </c>
      <c r="CY10" s="47">
        <v>0.9</v>
      </c>
      <c r="CZ10" s="47">
        <v>0</v>
      </c>
      <c r="DA10" s="13">
        <f t="shared" si="29"/>
        <v>22</v>
      </c>
      <c r="DB10" s="13">
        <f t="shared" si="30"/>
        <v>69.2</v>
      </c>
      <c r="DC10" s="13">
        <f t="shared" si="31"/>
        <v>57.5</v>
      </c>
      <c r="DD10" s="13">
        <f t="shared" si="32"/>
        <v>126.70000000000002</v>
      </c>
      <c r="DE10" s="13">
        <f t="shared" si="33"/>
        <v>68.100000000000009</v>
      </c>
      <c r="DF10" s="13">
        <f t="shared" si="34"/>
        <v>194.8</v>
      </c>
      <c r="DG10" s="30" t="str">
        <f t="shared" si="35"/>
        <v/>
      </c>
      <c r="DH10" s="30" t="str">
        <f t="shared" si="36"/>
        <v/>
      </c>
      <c r="DI10" s="30" t="str">
        <f t="shared" si="37"/>
        <v/>
      </c>
      <c r="DJ10" s="54"/>
      <c r="DK10" s="54"/>
      <c r="DL10" s="54"/>
      <c r="DM10" s="54"/>
      <c r="DN10" s="54"/>
      <c r="DO10" s="54"/>
      <c r="DP10" s="54"/>
      <c r="DQ10" s="54"/>
      <c r="DR10" s="54"/>
      <c r="DS10" s="54"/>
      <c r="DT10" s="54"/>
      <c r="DU10" s="54"/>
      <c r="DV10" s="54"/>
      <c r="DW10" s="54"/>
      <c r="DX10" s="54"/>
      <c r="DY10" s="54"/>
      <c r="DZ10" s="54"/>
      <c r="EA10" s="54"/>
      <c r="EB10" s="54"/>
      <c r="EC10" s="54"/>
      <c r="ED10" s="54"/>
      <c r="EE10" s="54"/>
      <c r="EF10" s="54"/>
      <c r="EG10" s="54"/>
      <c r="EH10" s="13" t="str">
        <f t="shared" si="38"/>
        <v/>
      </c>
      <c r="EI10" s="13" t="str">
        <f t="shared" si="39"/>
        <v/>
      </c>
      <c r="EJ10" s="13" t="str">
        <f t="shared" si="40"/>
        <v/>
      </c>
      <c r="EK10" s="13" t="str">
        <f t="shared" si="41"/>
        <v/>
      </c>
      <c r="EL10" s="13" t="str">
        <f t="shared" si="42"/>
        <v/>
      </c>
      <c r="EM10" s="13" t="str">
        <f t="shared" si="43"/>
        <v/>
      </c>
      <c r="EN10" s="53"/>
      <c r="EO10" s="53"/>
      <c r="EP10" s="53"/>
      <c r="EQ10" s="53"/>
      <c r="ER10" s="53"/>
      <c r="ES10" s="53"/>
      <c r="ET10" s="53"/>
      <c r="EU10" s="53"/>
      <c r="EV10" s="53"/>
      <c r="EW10" s="53"/>
      <c r="EX10" s="53"/>
      <c r="EY10" s="53"/>
      <c r="EZ10" s="53"/>
      <c r="FA10" s="53"/>
      <c r="FB10" s="53"/>
      <c r="FC10" s="53"/>
      <c r="FD10" s="53"/>
      <c r="FE10" s="53"/>
      <c r="FF10" s="53"/>
      <c r="FG10" s="53"/>
      <c r="FH10" s="53"/>
      <c r="FI10" s="53"/>
      <c r="FJ10" s="53"/>
      <c r="FK10" s="53"/>
      <c r="FL10" s="16" t="str">
        <f t="shared" si="44"/>
        <v/>
      </c>
      <c r="FM10" s="16" t="str">
        <f t="shared" si="45"/>
        <v/>
      </c>
      <c r="FN10" s="16" t="str">
        <f t="shared" si="46"/>
        <v/>
      </c>
      <c r="FO10" s="16" t="str">
        <f t="shared" si="47"/>
        <v/>
      </c>
      <c r="FP10" s="16" t="str">
        <f t="shared" si="48"/>
        <v/>
      </c>
      <c r="FQ10" s="16" t="str">
        <f t="shared" si="49"/>
        <v/>
      </c>
      <c r="FR10" s="54"/>
      <c r="FS10" s="54"/>
      <c r="FT10" s="54"/>
      <c r="FU10" s="54"/>
      <c r="FV10" s="54"/>
      <c r="FW10" s="54"/>
      <c r="FX10" s="54"/>
      <c r="FY10" s="54"/>
      <c r="FZ10" s="54"/>
      <c r="GA10" s="54"/>
      <c r="GB10" s="54"/>
      <c r="GC10" s="54"/>
      <c r="GD10" s="54"/>
      <c r="GE10" s="54"/>
      <c r="GF10" s="54"/>
      <c r="GG10" s="54"/>
      <c r="GH10" s="54"/>
      <c r="GI10" s="54"/>
      <c r="GJ10" s="54"/>
      <c r="GK10" s="54"/>
      <c r="GL10" s="54"/>
      <c r="GM10" s="54"/>
      <c r="GN10" s="54"/>
      <c r="GO10" s="54"/>
      <c r="GP10" s="13" t="str">
        <f t="shared" si="50"/>
        <v/>
      </c>
      <c r="GQ10" s="13" t="str">
        <f t="shared" si="51"/>
        <v/>
      </c>
      <c r="GR10" s="13" t="str">
        <f t="shared" si="52"/>
        <v/>
      </c>
      <c r="GS10" s="13" t="str">
        <f t="shared" si="53"/>
        <v/>
      </c>
      <c r="GT10" s="13" t="str">
        <f t="shared" si="54"/>
        <v/>
      </c>
      <c r="GU10" s="13" t="str">
        <f t="shared" si="55"/>
        <v/>
      </c>
      <c r="GV10" s="53"/>
      <c r="GW10" s="53"/>
      <c r="GX10" s="53"/>
      <c r="GY10" s="53"/>
      <c r="GZ10" s="53"/>
      <c r="HA10" s="53"/>
      <c r="HB10" s="53"/>
      <c r="HC10" s="53"/>
      <c r="HD10" s="53"/>
      <c r="HE10" s="53"/>
      <c r="HF10" s="53"/>
      <c r="HG10" s="53"/>
      <c r="HH10" s="53"/>
      <c r="HI10" s="53"/>
      <c r="HJ10" s="53"/>
      <c r="HK10" s="53"/>
      <c r="HL10" s="53"/>
      <c r="HM10" s="53"/>
      <c r="HN10" s="53"/>
      <c r="HO10" s="53"/>
      <c r="HP10" s="53"/>
      <c r="HQ10" s="53"/>
      <c r="HR10" s="53"/>
      <c r="HS10" s="53"/>
      <c r="HT10" s="16" t="str">
        <f t="shared" si="56"/>
        <v/>
      </c>
      <c r="HU10" s="16" t="str">
        <f t="shared" si="57"/>
        <v/>
      </c>
      <c r="HV10" s="16" t="str">
        <f t="shared" si="58"/>
        <v/>
      </c>
      <c r="HW10" s="16" t="str">
        <f t="shared" si="59"/>
        <v/>
      </c>
      <c r="HX10" s="16" t="str">
        <f t="shared" si="60"/>
        <v/>
      </c>
      <c r="HY10" s="16" t="str">
        <f t="shared" si="61"/>
        <v/>
      </c>
      <c r="HZ10" s="54"/>
      <c r="IA10" s="54"/>
      <c r="IB10" s="54"/>
      <c r="IC10" s="54"/>
      <c r="ID10" s="54"/>
      <c r="IE10" s="54"/>
      <c r="IF10" s="54"/>
      <c r="IG10" s="54"/>
      <c r="IH10" s="54"/>
      <c r="II10" s="54"/>
      <c r="IJ10" s="54"/>
      <c r="IK10" s="54"/>
      <c r="IL10" s="54"/>
      <c r="IM10" s="54"/>
      <c r="IN10" s="54"/>
      <c r="IO10" s="54"/>
      <c r="IP10" s="54"/>
      <c r="IQ10" s="54"/>
      <c r="IR10" s="54"/>
      <c r="IS10" s="54"/>
      <c r="IT10" s="54"/>
      <c r="IU10" s="54"/>
      <c r="IV10" s="54"/>
      <c r="IW10" s="54"/>
      <c r="IX10" s="13" t="str">
        <f t="shared" si="62"/>
        <v/>
      </c>
      <c r="IY10" s="13" t="str">
        <f t="shared" si="63"/>
        <v/>
      </c>
      <c r="IZ10" s="13" t="str">
        <f t="shared" si="64"/>
        <v/>
      </c>
      <c r="JA10" s="13" t="str">
        <f t="shared" si="65"/>
        <v/>
      </c>
      <c r="JB10" s="13" t="str">
        <f t="shared" si="66"/>
        <v/>
      </c>
      <c r="JC10" s="13" t="str">
        <f t="shared" si="67"/>
        <v/>
      </c>
      <c r="JD10" s="53"/>
      <c r="JE10" s="53"/>
      <c r="JF10" s="53"/>
      <c r="JG10" s="53"/>
      <c r="JH10" s="53"/>
      <c r="JI10" s="53"/>
      <c r="JJ10" s="53"/>
      <c r="JK10" s="53"/>
      <c r="JL10" s="53"/>
      <c r="JM10" s="53"/>
      <c r="JN10" s="53"/>
      <c r="JO10" s="53"/>
      <c r="JP10" s="53"/>
      <c r="JQ10" s="53"/>
      <c r="JR10" s="53"/>
      <c r="JS10" s="53"/>
      <c r="JT10" s="53"/>
      <c r="JU10" s="53"/>
      <c r="JV10" s="53"/>
      <c r="JW10" s="53"/>
      <c r="JX10" s="53"/>
      <c r="JY10" s="53"/>
      <c r="JZ10" s="53"/>
      <c r="KA10" s="53"/>
      <c r="KB10" s="16" t="str">
        <f t="shared" si="68"/>
        <v/>
      </c>
      <c r="KC10" s="16" t="str">
        <f t="shared" si="69"/>
        <v/>
      </c>
      <c r="KD10" s="16" t="str">
        <f t="shared" si="70"/>
        <v/>
      </c>
      <c r="KE10" s="16" t="str">
        <f t="shared" si="71"/>
        <v/>
      </c>
      <c r="KF10" s="16" t="str">
        <f t="shared" si="72"/>
        <v/>
      </c>
      <c r="KG10" s="16" t="str">
        <f t="shared" si="73"/>
        <v/>
      </c>
      <c r="KH10" s="54"/>
      <c r="KI10" s="54"/>
      <c r="KJ10" s="54"/>
      <c r="KK10" s="54"/>
      <c r="KL10" s="54"/>
      <c r="KM10" s="54"/>
      <c r="KN10" s="54"/>
      <c r="KO10" s="54"/>
      <c r="KP10" s="54"/>
      <c r="KQ10" s="54"/>
      <c r="KR10" s="54"/>
      <c r="KS10" s="54"/>
      <c r="KT10" s="54"/>
      <c r="KU10" s="54"/>
      <c r="KV10" s="54"/>
      <c r="KW10" s="54"/>
      <c r="KX10" s="54"/>
      <c r="KY10" s="54"/>
      <c r="KZ10" s="54"/>
      <c r="LA10" s="54"/>
      <c r="LB10" s="54"/>
      <c r="LC10" s="54"/>
      <c r="LD10" s="54"/>
      <c r="LE10" s="54"/>
      <c r="LF10" s="13" t="str">
        <f t="shared" si="74"/>
        <v/>
      </c>
      <c r="LG10" s="13" t="str">
        <f t="shared" si="75"/>
        <v/>
      </c>
      <c r="LH10" s="13" t="str">
        <f t="shared" si="76"/>
        <v/>
      </c>
      <c r="LI10" s="13" t="str">
        <f t="shared" si="77"/>
        <v/>
      </c>
      <c r="LJ10" s="13" t="str">
        <f t="shared" si="78"/>
        <v/>
      </c>
      <c r="LK10" s="13" t="str">
        <f t="shared" si="79"/>
        <v/>
      </c>
      <c r="LL10" s="53"/>
      <c r="LM10" s="53"/>
      <c r="LN10" s="53"/>
      <c r="LO10" s="53"/>
      <c r="LP10" s="53"/>
      <c r="LQ10" s="53"/>
      <c r="LR10" s="53"/>
      <c r="LS10" s="53"/>
      <c r="LT10" s="53"/>
      <c r="LU10" s="53"/>
      <c r="LV10" s="53"/>
      <c r="LW10" s="53"/>
      <c r="LX10" s="53"/>
      <c r="LY10" s="53"/>
      <c r="LZ10" s="53"/>
      <c r="MA10" s="53"/>
      <c r="MB10" s="53"/>
      <c r="MC10" s="53"/>
      <c r="MD10" s="53"/>
      <c r="ME10" s="53"/>
      <c r="MF10" s="53"/>
      <c r="MG10" s="53"/>
      <c r="MH10" s="53"/>
      <c r="MI10" s="53"/>
      <c r="MJ10" s="16" t="str">
        <f t="shared" si="80"/>
        <v/>
      </c>
      <c r="MK10" s="16" t="str">
        <f t="shared" si="81"/>
        <v/>
      </c>
      <c r="ML10" s="16" t="str">
        <f t="shared" si="82"/>
        <v/>
      </c>
      <c r="MM10" s="16" t="str">
        <f t="shared" si="83"/>
        <v/>
      </c>
      <c r="MN10" s="16" t="str">
        <f t="shared" si="84"/>
        <v/>
      </c>
      <c r="MO10" s="16" t="str">
        <f t="shared" si="85"/>
        <v/>
      </c>
      <c r="MP10" s="54"/>
      <c r="MQ10" s="54"/>
      <c r="MR10" s="54"/>
      <c r="MS10" s="54"/>
      <c r="MT10" s="54"/>
      <c r="MU10" s="54"/>
      <c r="MV10" s="54"/>
      <c r="MW10" s="54"/>
      <c r="MX10" s="54"/>
      <c r="MY10" s="54"/>
      <c r="MZ10" s="54"/>
      <c r="NA10" s="54"/>
      <c r="NB10" s="54"/>
      <c r="NC10" s="54"/>
      <c r="ND10" s="54"/>
      <c r="NE10" s="54"/>
      <c r="NF10" s="54"/>
      <c r="NG10" s="54"/>
      <c r="NH10" s="54"/>
      <c r="NI10" s="54"/>
      <c r="NJ10" s="54"/>
      <c r="NK10" s="54"/>
      <c r="NL10" s="54"/>
      <c r="NM10" s="54"/>
      <c r="NN10" s="13" t="str">
        <f t="shared" si="86"/>
        <v/>
      </c>
      <c r="NO10" s="13" t="str">
        <f t="shared" si="87"/>
        <v/>
      </c>
      <c r="NP10" s="13" t="str">
        <f t="shared" si="88"/>
        <v/>
      </c>
      <c r="NQ10" s="13" t="str">
        <f t="shared" si="89"/>
        <v/>
      </c>
      <c r="NR10" s="13" t="str">
        <f t="shared" si="90"/>
        <v/>
      </c>
      <c r="NS10" s="13" t="str">
        <f t="shared" si="91"/>
        <v/>
      </c>
      <c r="NT10" s="53"/>
      <c r="NU10" s="53"/>
      <c r="NV10" s="53"/>
      <c r="NW10" s="53"/>
      <c r="NX10" s="53"/>
      <c r="NY10" s="53"/>
      <c r="NZ10" s="53"/>
      <c r="OA10" s="53"/>
      <c r="OB10" s="53"/>
      <c r="OC10" s="53"/>
      <c r="OD10" s="53"/>
      <c r="OE10" s="53"/>
      <c r="OF10" s="53"/>
      <c r="OG10" s="53"/>
      <c r="OH10" s="53"/>
      <c r="OI10" s="53"/>
      <c r="OJ10" s="53"/>
      <c r="OK10" s="53"/>
      <c r="OL10" s="53"/>
      <c r="OM10" s="53"/>
      <c r="ON10" s="53"/>
      <c r="OO10" s="53"/>
      <c r="OP10" s="53"/>
      <c r="OQ10" s="53"/>
      <c r="OR10" s="16" t="str">
        <f t="shared" si="92"/>
        <v/>
      </c>
      <c r="OS10" s="16" t="str">
        <f t="shared" si="93"/>
        <v/>
      </c>
      <c r="OT10" s="16" t="str">
        <f t="shared" si="94"/>
        <v/>
      </c>
      <c r="OU10" s="16" t="str">
        <f t="shared" si="95"/>
        <v/>
      </c>
      <c r="OV10" s="16" t="str">
        <f t="shared" si="96"/>
        <v/>
      </c>
      <c r="OW10" s="16" t="str">
        <f t="shared" si="97"/>
        <v/>
      </c>
      <c r="OX10" s="54"/>
      <c r="OY10" s="54"/>
      <c r="OZ10" s="54"/>
      <c r="PA10" s="54"/>
      <c r="PB10" s="54"/>
      <c r="PC10" s="54"/>
      <c r="PD10" s="54"/>
      <c r="PE10" s="54"/>
      <c r="PF10" s="54"/>
      <c r="PG10" s="54"/>
      <c r="PH10" s="54"/>
      <c r="PI10" s="54"/>
      <c r="PJ10" s="54"/>
      <c r="PK10" s="54"/>
      <c r="PL10" s="54"/>
      <c r="PM10" s="54"/>
      <c r="PN10" s="54"/>
      <c r="PO10" s="54"/>
      <c r="PP10" s="54"/>
      <c r="PQ10" s="54"/>
      <c r="PR10" s="54"/>
      <c r="PS10" s="54"/>
      <c r="PT10" s="54"/>
      <c r="PU10" s="54"/>
      <c r="PV10" s="13" t="str">
        <f t="shared" si="98"/>
        <v/>
      </c>
      <c r="PW10" s="13" t="str">
        <f t="shared" si="99"/>
        <v/>
      </c>
      <c r="PX10" s="13" t="str">
        <f t="shared" si="100"/>
        <v/>
      </c>
      <c r="PY10" s="13" t="str">
        <f t="shared" si="101"/>
        <v/>
      </c>
      <c r="PZ10" s="13" t="str">
        <f t="shared" si="102"/>
        <v/>
      </c>
      <c r="QA10" s="13" t="str">
        <f t="shared" si="103"/>
        <v/>
      </c>
      <c r="QB10" s="53"/>
      <c r="QC10" s="53"/>
      <c r="QD10" s="53"/>
      <c r="QE10" s="53"/>
      <c r="QF10" s="53"/>
      <c r="QG10" s="53"/>
      <c r="QH10" s="53"/>
      <c r="QI10" s="53"/>
      <c r="QJ10" s="53"/>
      <c r="QK10" s="53"/>
      <c r="QL10" s="53"/>
      <c r="QM10" s="53"/>
      <c r="QN10" s="53"/>
      <c r="QO10" s="53"/>
      <c r="QP10" s="53"/>
      <c r="QQ10" s="53"/>
      <c r="QR10" s="53"/>
      <c r="QS10" s="53"/>
      <c r="QT10" s="53"/>
      <c r="QU10" s="53"/>
      <c r="QV10" s="53"/>
      <c r="QW10" s="53"/>
      <c r="QX10" s="53"/>
      <c r="QY10" s="53"/>
      <c r="QZ10" s="16" t="str">
        <f t="shared" si="104"/>
        <v/>
      </c>
      <c r="RA10" s="16" t="str">
        <f t="shared" si="105"/>
        <v/>
      </c>
      <c r="RB10" s="16" t="str">
        <f t="shared" si="106"/>
        <v/>
      </c>
      <c r="RC10" s="16" t="str">
        <f t="shared" si="107"/>
        <v/>
      </c>
      <c r="RD10" s="16" t="str">
        <f t="shared" si="108"/>
        <v/>
      </c>
      <c r="RE10" s="16" t="str">
        <f t="shared" si="109"/>
        <v/>
      </c>
    </row>
    <row r="11" spans="1:473" x14ac:dyDescent="0.2">
      <c r="A11" s="6" t="str">
        <f t="shared" si="0"/>
        <v/>
      </c>
      <c r="B11" s="9" t="s">
        <v>133</v>
      </c>
      <c r="C11" s="5" t="s">
        <v>4</v>
      </c>
      <c r="D11" s="6">
        <v>2018</v>
      </c>
      <c r="E11" s="17">
        <f t="shared" si="1"/>
        <v>322.49999999999994</v>
      </c>
      <c r="F11" s="4" t="str">
        <f t="shared" si="2"/>
        <v/>
      </c>
      <c r="G11" s="4" t="str">
        <f t="shared" si="3"/>
        <v/>
      </c>
      <c r="H11" s="4" t="str">
        <f t="shared" si="4"/>
        <v/>
      </c>
      <c r="I11" t="str">
        <f t="shared" si="5"/>
        <v/>
      </c>
      <c r="J11" s="16">
        <f t="shared" si="6"/>
        <v>128.69999999999999</v>
      </c>
      <c r="K11" s="16" t="str">
        <f t="shared" si="7"/>
        <v>2018 Nationals</v>
      </c>
      <c r="L11" s="16">
        <f t="shared" si="8"/>
        <v>63.6</v>
      </c>
      <c r="M11" s="16" t="str">
        <f t="shared" si="9"/>
        <v>2018 Canada Cup</v>
      </c>
      <c r="N11" s="16">
        <f t="shared" si="10"/>
        <v>64</v>
      </c>
      <c r="O11" s="16" t="str">
        <f t="shared" si="11"/>
        <v>2018 Canada Cup</v>
      </c>
      <c r="P11" s="16">
        <f t="shared" si="12"/>
        <v>66.2</v>
      </c>
      <c r="Q11" s="16" t="str">
        <f t="shared" si="13"/>
        <v>2018 Nationals</v>
      </c>
      <c r="R11" s="16" t="str">
        <f t="shared" si="14"/>
        <v/>
      </c>
      <c r="S11" s="31" t="str">
        <f t="shared" si="15"/>
        <v/>
      </c>
      <c r="T11" s="16" t="str">
        <f t="shared" si="16"/>
        <v/>
      </c>
      <c r="U11" s="47"/>
      <c r="V11" s="47"/>
      <c r="W11" s="47"/>
      <c r="X11" s="47"/>
      <c r="Y11" s="47"/>
      <c r="Z11" s="47"/>
      <c r="AA11" s="47"/>
      <c r="AB11" s="47"/>
      <c r="AC11" s="47"/>
      <c r="AD11" s="47"/>
      <c r="AE11" s="47"/>
      <c r="AF11" s="47"/>
      <c r="AG11" s="47"/>
      <c r="AH11" s="47"/>
      <c r="AI11" s="47"/>
      <c r="AJ11" s="47"/>
      <c r="AK11" s="47"/>
      <c r="AL11" s="47"/>
      <c r="AM11" s="47"/>
      <c r="AN11" s="47"/>
      <c r="AO11" s="47"/>
      <c r="AP11" s="47"/>
      <c r="AQ11" s="47"/>
      <c r="AR11" s="47"/>
      <c r="AS11" s="13" t="str">
        <f t="shared" si="17"/>
        <v/>
      </c>
      <c r="AT11" s="13" t="str">
        <f t="shared" si="18"/>
        <v/>
      </c>
      <c r="AU11" s="13" t="str">
        <f t="shared" si="19"/>
        <v/>
      </c>
      <c r="AV11" s="13" t="str">
        <f t="shared" si="20"/>
        <v/>
      </c>
      <c r="AW11" s="13" t="str">
        <f t="shared" si="21"/>
        <v/>
      </c>
      <c r="AX11" s="13" t="str">
        <f t="shared" si="22"/>
        <v/>
      </c>
      <c r="AY11" s="48">
        <v>27.7</v>
      </c>
      <c r="AZ11" s="48">
        <v>6</v>
      </c>
      <c r="BA11" s="48">
        <v>1.5</v>
      </c>
      <c r="BB11" s="48">
        <v>0</v>
      </c>
      <c r="BC11" s="48">
        <v>27.5</v>
      </c>
      <c r="BD11" s="48">
        <v>4.8</v>
      </c>
      <c r="BE11" s="48">
        <v>0.9</v>
      </c>
      <c r="BF11" s="48">
        <v>0</v>
      </c>
      <c r="BG11" s="48">
        <v>26.9</v>
      </c>
      <c r="BH11" s="48">
        <v>6</v>
      </c>
      <c r="BI11" s="48">
        <v>0.3</v>
      </c>
      <c r="BJ11" s="48">
        <v>0</v>
      </c>
      <c r="BK11" s="48">
        <v>26.9</v>
      </c>
      <c r="BL11" s="48">
        <v>6</v>
      </c>
      <c r="BM11" s="48">
        <v>1.5</v>
      </c>
      <c r="BN11" s="48">
        <v>0</v>
      </c>
      <c r="BO11" s="48">
        <v>0</v>
      </c>
      <c r="BP11" s="48">
        <v>0</v>
      </c>
      <c r="BQ11" s="48">
        <v>0</v>
      </c>
      <c r="BR11" s="48">
        <v>0</v>
      </c>
      <c r="BS11" s="48">
        <v>0</v>
      </c>
      <c r="BT11" s="48">
        <v>0</v>
      </c>
      <c r="BU11" s="48">
        <v>0</v>
      </c>
      <c r="BV11" s="48">
        <v>0</v>
      </c>
      <c r="BW11" s="16">
        <f t="shared" si="23"/>
        <v>22.8</v>
      </c>
      <c r="BX11" s="16">
        <f t="shared" si="24"/>
        <v>63.6</v>
      </c>
      <c r="BY11" s="16">
        <f t="shared" si="25"/>
        <v>64</v>
      </c>
      <c r="BZ11" s="16">
        <f t="shared" si="26"/>
        <v>127.60000000000001</v>
      </c>
      <c r="CA11" s="16" t="str">
        <f t="shared" si="27"/>
        <v/>
      </c>
      <c r="CB11" s="16">
        <f t="shared" si="28"/>
        <v>127.60000000000001</v>
      </c>
      <c r="CC11" s="47">
        <v>27.7</v>
      </c>
      <c r="CD11" s="47">
        <v>6</v>
      </c>
      <c r="CE11" s="47">
        <v>0.9</v>
      </c>
      <c r="CF11" s="47">
        <v>0</v>
      </c>
      <c r="CG11" s="47">
        <v>27.7</v>
      </c>
      <c r="CH11" s="47">
        <v>5.6</v>
      </c>
      <c r="CI11" s="47">
        <v>0</v>
      </c>
      <c r="CJ11" s="47">
        <v>0</v>
      </c>
      <c r="CK11" s="47">
        <v>27.1</v>
      </c>
      <c r="CL11" s="47">
        <v>5.2</v>
      </c>
      <c r="CM11" s="47">
        <v>1.2</v>
      </c>
      <c r="CN11" s="47">
        <v>0</v>
      </c>
      <c r="CO11" s="47">
        <v>27.4</v>
      </c>
      <c r="CP11" s="47">
        <v>5.6</v>
      </c>
      <c r="CQ11" s="47">
        <v>1.5</v>
      </c>
      <c r="CR11" s="47">
        <v>0</v>
      </c>
      <c r="CS11" s="47">
        <v>28.2</v>
      </c>
      <c r="CT11" s="47">
        <v>5.6</v>
      </c>
      <c r="CU11" s="47">
        <v>1.2</v>
      </c>
      <c r="CV11" s="47">
        <v>0</v>
      </c>
      <c r="CW11" s="47">
        <v>28.9</v>
      </c>
      <c r="CX11" s="47">
        <v>5.6</v>
      </c>
      <c r="CY11" s="47">
        <v>0.9</v>
      </c>
      <c r="CZ11" s="47">
        <v>0</v>
      </c>
      <c r="DA11" s="13">
        <f t="shared" si="29"/>
        <v>22.4</v>
      </c>
      <c r="DB11" s="13">
        <f t="shared" si="30"/>
        <v>66.099999999999994</v>
      </c>
      <c r="DC11" s="13">
        <f t="shared" si="31"/>
        <v>62.599999999999994</v>
      </c>
      <c r="DD11" s="13">
        <f t="shared" si="32"/>
        <v>128.69999999999999</v>
      </c>
      <c r="DE11" s="13">
        <f t="shared" si="33"/>
        <v>66.2</v>
      </c>
      <c r="DF11" s="13">
        <f t="shared" si="34"/>
        <v>194.89999999999998</v>
      </c>
      <c r="DG11" s="30" t="str">
        <f t="shared" si="35"/>
        <v/>
      </c>
      <c r="DH11" s="30" t="str">
        <f t="shared" si="36"/>
        <v/>
      </c>
      <c r="DI11" s="30" t="str">
        <f t="shared" si="37"/>
        <v/>
      </c>
      <c r="DJ11" s="54"/>
      <c r="DK11" s="54"/>
      <c r="DL11" s="54"/>
      <c r="DM11" s="54"/>
      <c r="DN11" s="54"/>
      <c r="DO11" s="54"/>
      <c r="DP11" s="54"/>
      <c r="DQ11" s="54"/>
      <c r="DR11" s="54"/>
      <c r="DS11" s="54"/>
      <c r="DT11" s="54"/>
      <c r="DU11" s="54"/>
      <c r="DV11" s="54"/>
      <c r="DW11" s="54"/>
      <c r="DX11" s="54"/>
      <c r="DY11" s="54"/>
      <c r="DZ11" s="54"/>
      <c r="EA11" s="54"/>
      <c r="EB11" s="54"/>
      <c r="EC11" s="54"/>
      <c r="ED11" s="54"/>
      <c r="EE11" s="54"/>
      <c r="EF11" s="54"/>
      <c r="EG11" s="54"/>
      <c r="EH11" s="13" t="str">
        <f t="shared" si="38"/>
        <v/>
      </c>
      <c r="EI11" s="13" t="str">
        <f t="shared" si="39"/>
        <v/>
      </c>
      <c r="EJ11" s="13" t="str">
        <f t="shared" si="40"/>
        <v/>
      </c>
      <c r="EK11" s="13" t="str">
        <f t="shared" si="41"/>
        <v/>
      </c>
      <c r="EL11" s="13" t="str">
        <f t="shared" si="42"/>
        <v/>
      </c>
      <c r="EM11" s="13" t="str">
        <f t="shared" si="43"/>
        <v/>
      </c>
      <c r="EN11" s="53"/>
      <c r="EO11" s="53"/>
      <c r="EP11" s="53"/>
      <c r="EQ11" s="53"/>
      <c r="ER11" s="53"/>
      <c r="ES11" s="53"/>
      <c r="ET11" s="53"/>
      <c r="EU11" s="53"/>
      <c r="EV11" s="53"/>
      <c r="EW11" s="53"/>
      <c r="EX11" s="53"/>
      <c r="EY11" s="53"/>
      <c r="EZ11" s="53"/>
      <c r="FA11" s="53"/>
      <c r="FB11" s="53"/>
      <c r="FC11" s="53"/>
      <c r="FD11" s="53"/>
      <c r="FE11" s="53"/>
      <c r="FF11" s="53"/>
      <c r="FG11" s="53"/>
      <c r="FH11" s="53"/>
      <c r="FI11" s="53"/>
      <c r="FJ11" s="53"/>
      <c r="FK11" s="53"/>
      <c r="FL11" s="16" t="str">
        <f t="shared" si="44"/>
        <v/>
      </c>
      <c r="FM11" s="16" t="str">
        <f t="shared" si="45"/>
        <v/>
      </c>
      <c r="FN11" s="16" t="str">
        <f t="shared" si="46"/>
        <v/>
      </c>
      <c r="FO11" s="16" t="str">
        <f t="shared" si="47"/>
        <v/>
      </c>
      <c r="FP11" s="16" t="str">
        <f t="shared" si="48"/>
        <v/>
      </c>
      <c r="FQ11" s="16" t="str">
        <f t="shared" si="49"/>
        <v/>
      </c>
      <c r="FR11" s="54"/>
      <c r="FS11" s="54"/>
      <c r="FT11" s="54"/>
      <c r="FU11" s="54"/>
      <c r="FV11" s="54"/>
      <c r="FW11" s="54"/>
      <c r="FX11" s="54"/>
      <c r="FY11" s="54"/>
      <c r="FZ11" s="54"/>
      <c r="GA11" s="54"/>
      <c r="GB11" s="54"/>
      <c r="GC11" s="54"/>
      <c r="GD11" s="54"/>
      <c r="GE11" s="54"/>
      <c r="GF11" s="54"/>
      <c r="GG11" s="54"/>
      <c r="GH11" s="54"/>
      <c r="GI11" s="54"/>
      <c r="GJ11" s="54"/>
      <c r="GK11" s="54"/>
      <c r="GL11" s="54"/>
      <c r="GM11" s="54"/>
      <c r="GN11" s="54"/>
      <c r="GO11" s="54"/>
      <c r="GP11" s="13" t="str">
        <f t="shared" si="50"/>
        <v/>
      </c>
      <c r="GQ11" s="13" t="str">
        <f t="shared" si="51"/>
        <v/>
      </c>
      <c r="GR11" s="13" t="str">
        <f t="shared" si="52"/>
        <v/>
      </c>
      <c r="GS11" s="13" t="str">
        <f t="shared" si="53"/>
        <v/>
      </c>
      <c r="GT11" s="13" t="str">
        <f t="shared" si="54"/>
        <v/>
      </c>
      <c r="GU11" s="13" t="str">
        <f t="shared" si="55"/>
        <v/>
      </c>
      <c r="GV11" s="53"/>
      <c r="GW11" s="53"/>
      <c r="GX11" s="53"/>
      <c r="GY11" s="53"/>
      <c r="GZ11" s="53"/>
      <c r="HA11" s="53"/>
      <c r="HB11" s="53"/>
      <c r="HC11" s="53"/>
      <c r="HD11" s="53"/>
      <c r="HE11" s="53"/>
      <c r="HF11" s="53"/>
      <c r="HG11" s="53"/>
      <c r="HH11" s="53"/>
      <c r="HI11" s="53"/>
      <c r="HJ11" s="53"/>
      <c r="HK11" s="53"/>
      <c r="HL11" s="53"/>
      <c r="HM11" s="53"/>
      <c r="HN11" s="53"/>
      <c r="HO11" s="53"/>
      <c r="HP11" s="53"/>
      <c r="HQ11" s="53"/>
      <c r="HR11" s="53"/>
      <c r="HS11" s="53"/>
      <c r="HT11" s="16" t="str">
        <f t="shared" si="56"/>
        <v/>
      </c>
      <c r="HU11" s="16" t="str">
        <f t="shared" si="57"/>
        <v/>
      </c>
      <c r="HV11" s="16" t="str">
        <f t="shared" si="58"/>
        <v/>
      </c>
      <c r="HW11" s="16" t="str">
        <f t="shared" si="59"/>
        <v/>
      </c>
      <c r="HX11" s="16" t="str">
        <f t="shared" si="60"/>
        <v/>
      </c>
      <c r="HY11" s="16" t="str">
        <f t="shared" si="61"/>
        <v/>
      </c>
      <c r="HZ11" s="54"/>
      <c r="IA11" s="54"/>
      <c r="IB11" s="54"/>
      <c r="IC11" s="54"/>
      <c r="ID11" s="54"/>
      <c r="IE11" s="54"/>
      <c r="IF11" s="54"/>
      <c r="IG11" s="54"/>
      <c r="IH11" s="54"/>
      <c r="II11" s="54"/>
      <c r="IJ11" s="54"/>
      <c r="IK11" s="54"/>
      <c r="IL11" s="54"/>
      <c r="IM11" s="54"/>
      <c r="IN11" s="54"/>
      <c r="IO11" s="54"/>
      <c r="IP11" s="54"/>
      <c r="IQ11" s="54"/>
      <c r="IR11" s="54"/>
      <c r="IS11" s="54"/>
      <c r="IT11" s="54"/>
      <c r="IU11" s="54"/>
      <c r="IV11" s="54"/>
      <c r="IW11" s="54"/>
      <c r="IX11" s="13" t="str">
        <f t="shared" si="62"/>
        <v/>
      </c>
      <c r="IY11" s="13" t="str">
        <f t="shared" si="63"/>
        <v/>
      </c>
      <c r="IZ11" s="13" t="str">
        <f t="shared" si="64"/>
        <v/>
      </c>
      <c r="JA11" s="13" t="str">
        <f t="shared" si="65"/>
        <v/>
      </c>
      <c r="JB11" s="13" t="str">
        <f t="shared" si="66"/>
        <v/>
      </c>
      <c r="JC11" s="13" t="str">
        <f t="shared" si="67"/>
        <v/>
      </c>
      <c r="JD11" s="53"/>
      <c r="JE11" s="53"/>
      <c r="JF11" s="53"/>
      <c r="JG11" s="53"/>
      <c r="JH11" s="53"/>
      <c r="JI11" s="53"/>
      <c r="JJ11" s="53"/>
      <c r="JK11" s="53"/>
      <c r="JL11" s="53"/>
      <c r="JM11" s="53"/>
      <c r="JN11" s="53"/>
      <c r="JO11" s="53"/>
      <c r="JP11" s="53"/>
      <c r="JQ11" s="53"/>
      <c r="JR11" s="53"/>
      <c r="JS11" s="53"/>
      <c r="JT11" s="53"/>
      <c r="JU11" s="53"/>
      <c r="JV11" s="53"/>
      <c r="JW11" s="53"/>
      <c r="JX11" s="53"/>
      <c r="JY11" s="53"/>
      <c r="JZ11" s="53"/>
      <c r="KA11" s="53"/>
      <c r="KB11" s="16" t="str">
        <f t="shared" si="68"/>
        <v/>
      </c>
      <c r="KC11" s="16" t="str">
        <f t="shared" si="69"/>
        <v/>
      </c>
      <c r="KD11" s="16" t="str">
        <f t="shared" si="70"/>
        <v/>
      </c>
      <c r="KE11" s="16" t="str">
        <f t="shared" si="71"/>
        <v/>
      </c>
      <c r="KF11" s="16" t="str">
        <f t="shared" si="72"/>
        <v/>
      </c>
      <c r="KG11" s="16" t="str">
        <f t="shared" si="73"/>
        <v/>
      </c>
      <c r="KH11" s="54"/>
      <c r="KI11" s="54"/>
      <c r="KJ11" s="54"/>
      <c r="KK11" s="54"/>
      <c r="KL11" s="54"/>
      <c r="KM11" s="54"/>
      <c r="KN11" s="54"/>
      <c r="KO11" s="54"/>
      <c r="KP11" s="54"/>
      <c r="KQ11" s="54"/>
      <c r="KR11" s="54"/>
      <c r="KS11" s="54"/>
      <c r="KT11" s="54"/>
      <c r="KU11" s="54"/>
      <c r="KV11" s="54"/>
      <c r="KW11" s="54"/>
      <c r="KX11" s="54"/>
      <c r="KY11" s="54"/>
      <c r="KZ11" s="54"/>
      <c r="LA11" s="54"/>
      <c r="LB11" s="54"/>
      <c r="LC11" s="54"/>
      <c r="LD11" s="54"/>
      <c r="LE11" s="54"/>
      <c r="LF11" s="13" t="str">
        <f t="shared" si="74"/>
        <v/>
      </c>
      <c r="LG11" s="13" t="str">
        <f t="shared" si="75"/>
        <v/>
      </c>
      <c r="LH11" s="13" t="str">
        <f t="shared" si="76"/>
        <v/>
      </c>
      <c r="LI11" s="13" t="str">
        <f t="shared" si="77"/>
        <v/>
      </c>
      <c r="LJ11" s="13" t="str">
        <f t="shared" si="78"/>
        <v/>
      </c>
      <c r="LK11" s="13" t="str">
        <f t="shared" si="79"/>
        <v/>
      </c>
      <c r="LL11" s="53"/>
      <c r="LM11" s="53"/>
      <c r="LN11" s="53"/>
      <c r="LO11" s="53"/>
      <c r="LP11" s="53"/>
      <c r="LQ11" s="53"/>
      <c r="LR11" s="53"/>
      <c r="LS11" s="53"/>
      <c r="LT11" s="53"/>
      <c r="LU11" s="53"/>
      <c r="LV11" s="53"/>
      <c r="LW11" s="53"/>
      <c r="LX11" s="53"/>
      <c r="LY11" s="53"/>
      <c r="LZ11" s="53"/>
      <c r="MA11" s="53"/>
      <c r="MB11" s="53"/>
      <c r="MC11" s="53"/>
      <c r="MD11" s="53"/>
      <c r="ME11" s="53"/>
      <c r="MF11" s="53"/>
      <c r="MG11" s="53"/>
      <c r="MH11" s="53"/>
      <c r="MI11" s="53"/>
      <c r="MJ11" s="16" t="str">
        <f t="shared" si="80"/>
        <v/>
      </c>
      <c r="MK11" s="16" t="str">
        <f t="shared" si="81"/>
        <v/>
      </c>
      <c r="ML11" s="16" t="str">
        <f t="shared" si="82"/>
        <v/>
      </c>
      <c r="MM11" s="16" t="str">
        <f t="shared" si="83"/>
        <v/>
      </c>
      <c r="MN11" s="16" t="str">
        <f t="shared" si="84"/>
        <v/>
      </c>
      <c r="MO11" s="16" t="str">
        <f t="shared" si="85"/>
        <v/>
      </c>
      <c r="MP11" s="54"/>
      <c r="MQ11" s="54"/>
      <c r="MR11" s="54"/>
      <c r="MS11" s="54"/>
      <c r="MT11" s="54"/>
      <c r="MU11" s="54"/>
      <c r="MV11" s="54"/>
      <c r="MW11" s="54"/>
      <c r="MX11" s="54"/>
      <c r="MY11" s="54"/>
      <c r="MZ11" s="54"/>
      <c r="NA11" s="54"/>
      <c r="NB11" s="54"/>
      <c r="NC11" s="54"/>
      <c r="ND11" s="54"/>
      <c r="NE11" s="54"/>
      <c r="NF11" s="54"/>
      <c r="NG11" s="54"/>
      <c r="NH11" s="54"/>
      <c r="NI11" s="54"/>
      <c r="NJ11" s="54"/>
      <c r="NK11" s="54"/>
      <c r="NL11" s="54"/>
      <c r="NM11" s="54"/>
      <c r="NN11" s="13" t="str">
        <f t="shared" si="86"/>
        <v/>
      </c>
      <c r="NO11" s="13" t="str">
        <f t="shared" si="87"/>
        <v/>
      </c>
      <c r="NP11" s="13" t="str">
        <f t="shared" si="88"/>
        <v/>
      </c>
      <c r="NQ11" s="13" t="str">
        <f t="shared" si="89"/>
        <v/>
      </c>
      <c r="NR11" s="13" t="str">
        <f t="shared" si="90"/>
        <v/>
      </c>
      <c r="NS11" s="13" t="str">
        <f t="shared" si="91"/>
        <v/>
      </c>
      <c r="NT11" s="53"/>
      <c r="NU11" s="53"/>
      <c r="NV11" s="53"/>
      <c r="NW11" s="53"/>
      <c r="NX11" s="53"/>
      <c r="NY11" s="53"/>
      <c r="NZ11" s="53"/>
      <c r="OA11" s="53"/>
      <c r="OB11" s="53"/>
      <c r="OC11" s="53"/>
      <c r="OD11" s="53"/>
      <c r="OE11" s="53"/>
      <c r="OF11" s="53"/>
      <c r="OG11" s="53"/>
      <c r="OH11" s="53"/>
      <c r="OI11" s="53"/>
      <c r="OJ11" s="53"/>
      <c r="OK11" s="53"/>
      <c r="OL11" s="53"/>
      <c r="OM11" s="53"/>
      <c r="ON11" s="53"/>
      <c r="OO11" s="53"/>
      <c r="OP11" s="53"/>
      <c r="OQ11" s="53"/>
      <c r="OR11" s="16" t="str">
        <f t="shared" si="92"/>
        <v/>
      </c>
      <c r="OS11" s="16" t="str">
        <f t="shared" si="93"/>
        <v/>
      </c>
      <c r="OT11" s="16" t="str">
        <f t="shared" si="94"/>
        <v/>
      </c>
      <c r="OU11" s="16" t="str">
        <f t="shared" si="95"/>
        <v/>
      </c>
      <c r="OV11" s="16" t="str">
        <f t="shared" si="96"/>
        <v/>
      </c>
      <c r="OW11" s="16" t="str">
        <f t="shared" si="97"/>
        <v/>
      </c>
      <c r="OX11" s="54"/>
      <c r="OY11" s="54"/>
      <c r="OZ11" s="54"/>
      <c r="PA11" s="54"/>
      <c r="PB11" s="54"/>
      <c r="PC11" s="54"/>
      <c r="PD11" s="54"/>
      <c r="PE11" s="54"/>
      <c r="PF11" s="54"/>
      <c r="PG11" s="54"/>
      <c r="PH11" s="54"/>
      <c r="PI11" s="54"/>
      <c r="PJ11" s="54"/>
      <c r="PK11" s="54"/>
      <c r="PL11" s="54"/>
      <c r="PM11" s="54"/>
      <c r="PN11" s="54"/>
      <c r="PO11" s="54"/>
      <c r="PP11" s="54"/>
      <c r="PQ11" s="54"/>
      <c r="PR11" s="54"/>
      <c r="PS11" s="54"/>
      <c r="PT11" s="54"/>
      <c r="PU11" s="54"/>
      <c r="PV11" s="13" t="str">
        <f t="shared" si="98"/>
        <v/>
      </c>
      <c r="PW11" s="13" t="str">
        <f t="shared" si="99"/>
        <v/>
      </c>
      <c r="PX11" s="13" t="str">
        <f t="shared" si="100"/>
        <v/>
      </c>
      <c r="PY11" s="13" t="str">
        <f t="shared" si="101"/>
        <v/>
      </c>
      <c r="PZ11" s="13" t="str">
        <f t="shared" si="102"/>
        <v/>
      </c>
      <c r="QA11" s="13" t="str">
        <f t="shared" si="103"/>
        <v/>
      </c>
      <c r="QB11" s="53"/>
      <c r="QC11" s="53"/>
      <c r="QD11" s="53"/>
      <c r="QE11" s="53"/>
      <c r="QF11" s="53"/>
      <c r="QG11" s="53"/>
      <c r="QH11" s="53"/>
      <c r="QI11" s="53"/>
      <c r="QJ11" s="53"/>
      <c r="QK11" s="53"/>
      <c r="QL11" s="53"/>
      <c r="QM11" s="53"/>
      <c r="QN11" s="53"/>
      <c r="QO11" s="53"/>
      <c r="QP11" s="53"/>
      <c r="QQ11" s="53"/>
      <c r="QR11" s="53"/>
      <c r="QS11" s="53"/>
      <c r="QT11" s="53"/>
      <c r="QU11" s="53"/>
      <c r="QV11" s="53"/>
      <c r="QW11" s="53"/>
      <c r="QX11" s="53"/>
      <c r="QY11" s="53"/>
      <c r="QZ11" s="16" t="str">
        <f t="shared" si="104"/>
        <v/>
      </c>
      <c r="RA11" s="16" t="str">
        <f t="shared" si="105"/>
        <v/>
      </c>
      <c r="RB11" s="16" t="str">
        <f t="shared" si="106"/>
        <v/>
      </c>
      <c r="RC11" s="16" t="str">
        <f t="shared" si="107"/>
        <v/>
      </c>
      <c r="RD11" s="16" t="str">
        <f t="shared" si="108"/>
        <v/>
      </c>
      <c r="RE11" s="16" t="str">
        <f t="shared" si="109"/>
        <v/>
      </c>
    </row>
    <row r="12" spans="1:473" x14ac:dyDescent="0.2">
      <c r="A12" s="6" t="str">
        <f t="shared" si="0"/>
        <v/>
      </c>
      <c r="B12" s="9" t="s">
        <v>73</v>
      </c>
      <c r="C12" s="5" t="s">
        <v>6</v>
      </c>
      <c r="D12" s="6">
        <v>2016</v>
      </c>
      <c r="E12" s="17">
        <f t="shared" si="1"/>
        <v>317.60000000000002</v>
      </c>
      <c r="F12" s="4" t="str">
        <f t="shared" si="2"/>
        <v/>
      </c>
      <c r="G12" s="4" t="str">
        <f t="shared" si="3"/>
        <v/>
      </c>
      <c r="H12" s="4" t="str">
        <f t="shared" si="4"/>
        <v/>
      </c>
      <c r="I12" t="str">
        <f t="shared" si="5"/>
        <v/>
      </c>
      <c r="J12" s="16">
        <f t="shared" si="6"/>
        <v>128.9</v>
      </c>
      <c r="K12" s="16" t="str">
        <f t="shared" si="7"/>
        <v>2018 Nationals</v>
      </c>
      <c r="L12" s="16">
        <f t="shared" si="8"/>
        <v>63</v>
      </c>
      <c r="M12" s="16" t="str">
        <f t="shared" si="9"/>
        <v>2018 Canada Cup</v>
      </c>
      <c r="N12" s="16">
        <f t="shared" si="10"/>
        <v>62.2</v>
      </c>
      <c r="O12" s="16" t="str">
        <f t="shared" si="11"/>
        <v>2018 Canada Cup</v>
      </c>
      <c r="P12" s="16">
        <f t="shared" si="12"/>
        <v>63.5</v>
      </c>
      <c r="Q12" s="16" t="str">
        <f t="shared" si="13"/>
        <v>2018 Canada Cup</v>
      </c>
      <c r="R12" s="16" t="str">
        <f t="shared" si="14"/>
        <v/>
      </c>
      <c r="S12" s="31" t="str">
        <f t="shared" si="15"/>
        <v/>
      </c>
      <c r="T12" s="16" t="str">
        <f t="shared" si="16"/>
        <v/>
      </c>
      <c r="U12" s="47"/>
      <c r="V12" s="47"/>
      <c r="W12" s="47"/>
      <c r="X12" s="47"/>
      <c r="Y12" s="47"/>
      <c r="Z12" s="47"/>
      <c r="AA12" s="47"/>
      <c r="AB12" s="47"/>
      <c r="AC12" s="47"/>
      <c r="AD12" s="47"/>
      <c r="AE12" s="47"/>
      <c r="AF12" s="47"/>
      <c r="AG12" s="47"/>
      <c r="AH12" s="47"/>
      <c r="AI12" s="47"/>
      <c r="AJ12" s="47"/>
      <c r="AK12" s="47"/>
      <c r="AL12" s="47"/>
      <c r="AM12" s="47"/>
      <c r="AN12" s="47"/>
      <c r="AO12" s="47"/>
      <c r="AP12" s="47"/>
      <c r="AQ12" s="47"/>
      <c r="AR12" s="47"/>
      <c r="AS12" s="13" t="str">
        <f t="shared" si="17"/>
        <v/>
      </c>
      <c r="AT12" s="13" t="str">
        <f t="shared" si="18"/>
        <v/>
      </c>
      <c r="AU12" s="13" t="str">
        <f t="shared" si="19"/>
        <v/>
      </c>
      <c r="AV12" s="13" t="str">
        <f t="shared" si="20"/>
        <v/>
      </c>
      <c r="AW12" s="13" t="str">
        <f t="shared" si="21"/>
        <v/>
      </c>
      <c r="AX12" s="13" t="str">
        <f t="shared" si="22"/>
        <v/>
      </c>
      <c r="AY12" s="48">
        <v>26.9</v>
      </c>
      <c r="AZ12" s="48">
        <v>5.6</v>
      </c>
      <c r="BA12" s="48">
        <v>0.9</v>
      </c>
      <c r="BB12" s="48">
        <v>0</v>
      </c>
      <c r="BC12" s="48">
        <v>26.7</v>
      </c>
      <c r="BD12" s="48">
        <v>5.6</v>
      </c>
      <c r="BE12" s="48">
        <v>0.9</v>
      </c>
      <c r="BF12" s="48">
        <v>0</v>
      </c>
      <c r="BG12" s="48">
        <v>26.4</v>
      </c>
      <c r="BH12" s="48">
        <v>5.2</v>
      </c>
      <c r="BI12" s="48">
        <v>1.2</v>
      </c>
      <c r="BJ12" s="48">
        <v>0</v>
      </c>
      <c r="BK12" s="48">
        <v>26.9</v>
      </c>
      <c r="BL12" s="48">
        <v>5.2</v>
      </c>
      <c r="BM12" s="48">
        <v>0.3</v>
      </c>
      <c r="BN12" s="48">
        <v>0</v>
      </c>
      <c r="BO12" s="48">
        <v>27.2</v>
      </c>
      <c r="BP12" s="48">
        <v>5.6</v>
      </c>
      <c r="BQ12" s="48">
        <v>0.3</v>
      </c>
      <c r="BR12" s="48">
        <v>0</v>
      </c>
      <c r="BS12" s="48">
        <v>26.6</v>
      </c>
      <c r="BT12" s="48">
        <v>5.6</v>
      </c>
      <c r="BU12" s="48">
        <v>1.2</v>
      </c>
      <c r="BV12" s="48">
        <v>0</v>
      </c>
      <c r="BW12" s="16">
        <f t="shared" si="23"/>
        <v>21.599999999999998</v>
      </c>
      <c r="BX12" s="16">
        <f t="shared" si="24"/>
        <v>63</v>
      </c>
      <c r="BY12" s="16">
        <f t="shared" si="25"/>
        <v>62.2</v>
      </c>
      <c r="BZ12" s="16">
        <f t="shared" si="26"/>
        <v>125.19999999999997</v>
      </c>
      <c r="CA12" s="16">
        <f t="shared" si="27"/>
        <v>63.5</v>
      </c>
      <c r="CB12" s="16">
        <f t="shared" si="28"/>
        <v>188.7</v>
      </c>
      <c r="CC12" s="47">
        <v>27.6</v>
      </c>
      <c r="CD12" s="47">
        <v>5.6</v>
      </c>
      <c r="CE12" s="47">
        <v>0.3</v>
      </c>
      <c r="CF12" s="47">
        <v>0</v>
      </c>
      <c r="CG12" s="47">
        <v>27.6</v>
      </c>
      <c r="CH12" s="47">
        <v>5.6</v>
      </c>
      <c r="CI12" s="47">
        <v>0.3</v>
      </c>
      <c r="CJ12" s="47">
        <v>0</v>
      </c>
      <c r="CK12" s="47">
        <v>27.7</v>
      </c>
      <c r="CL12" s="47">
        <v>5.2</v>
      </c>
      <c r="CM12" s="47">
        <v>0</v>
      </c>
      <c r="CN12" s="47">
        <v>0</v>
      </c>
      <c r="CO12" s="47">
        <v>26.5</v>
      </c>
      <c r="CP12" s="47">
        <v>5.2</v>
      </c>
      <c r="CQ12" s="47">
        <v>1.5</v>
      </c>
      <c r="CR12" s="47">
        <v>0</v>
      </c>
      <c r="CS12" s="47">
        <v>27.6</v>
      </c>
      <c r="CT12" s="47">
        <v>5.6</v>
      </c>
      <c r="CU12" s="47">
        <v>0.9</v>
      </c>
      <c r="CV12" s="47">
        <v>0</v>
      </c>
      <c r="CW12" s="47">
        <v>27.8</v>
      </c>
      <c r="CX12" s="47">
        <v>2.4</v>
      </c>
      <c r="CY12" s="47">
        <v>0.9</v>
      </c>
      <c r="CZ12" s="47">
        <v>0</v>
      </c>
      <c r="DA12" s="13">
        <f t="shared" si="29"/>
        <v>21.599999999999998</v>
      </c>
      <c r="DB12" s="13">
        <f t="shared" si="30"/>
        <v>65.800000000000011</v>
      </c>
      <c r="DC12" s="13">
        <f t="shared" si="31"/>
        <v>63.099999999999994</v>
      </c>
      <c r="DD12" s="13">
        <f t="shared" si="32"/>
        <v>128.9</v>
      </c>
      <c r="DE12" s="13">
        <f t="shared" si="33"/>
        <v>61.6</v>
      </c>
      <c r="DF12" s="13">
        <f t="shared" si="34"/>
        <v>190.5</v>
      </c>
      <c r="DG12" s="30" t="str">
        <f t="shared" si="35"/>
        <v/>
      </c>
      <c r="DH12" s="30" t="str">
        <f t="shared" si="36"/>
        <v/>
      </c>
      <c r="DI12" s="30" t="str">
        <f t="shared" si="37"/>
        <v/>
      </c>
      <c r="DJ12" s="54"/>
      <c r="DK12" s="54"/>
      <c r="DL12" s="54"/>
      <c r="DM12" s="54"/>
      <c r="DN12" s="54"/>
      <c r="DO12" s="54"/>
      <c r="DP12" s="54"/>
      <c r="DQ12" s="54"/>
      <c r="DR12" s="54"/>
      <c r="DS12" s="54"/>
      <c r="DT12" s="54"/>
      <c r="DU12" s="54"/>
      <c r="DV12" s="54"/>
      <c r="DW12" s="54"/>
      <c r="DX12" s="54"/>
      <c r="DY12" s="54"/>
      <c r="DZ12" s="54"/>
      <c r="EA12" s="54"/>
      <c r="EB12" s="54"/>
      <c r="EC12" s="54"/>
      <c r="ED12" s="54"/>
      <c r="EE12" s="54"/>
      <c r="EF12" s="54"/>
      <c r="EG12" s="54"/>
      <c r="EH12" s="13" t="str">
        <f t="shared" si="38"/>
        <v/>
      </c>
      <c r="EI12" s="13" t="str">
        <f t="shared" si="39"/>
        <v/>
      </c>
      <c r="EJ12" s="13" t="str">
        <f t="shared" si="40"/>
        <v/>
      </c>
      <c r="EK12" s="13" t="str">
        <f t="shared" si="41"/>
        <v/>
      </c>
      <c r="EL12" s="13" t="str">
        <f t="shared" si="42"/>
        <v/>
      </c>
      <c r="EM12" s="13" t="str">
        <f t="shared" si="43"/>
        <v/>
      </c>
      <c r="EN12" s="53"/>
      <c r="EO12" s="53"/>
      <c r="EP12" s="53"/>
      <c r="EQ12" s="53"/>
      <c r="ER12" s="53"/>
      <c r="ES12" s="53"/>
      <c r="ET12" s="53"/>
      <c r="EU12" s="53"/>
      <c r="EV12" s="53"/>
      <c r="EW12" s="53"/>
      <c r="EX12" s="53"/>
      <c r="EY12" s="53"/>
      <c r="EZ12" s="53"/>
      <c r="FA12" s="53"/>
      <c r="FB12" s="53"/>
      <c r="FC12" s="53"/>
      <c r="FD12" s="53"/>
      <c r="FE12" s="53"/>
      <c r="FF12" s="53"/>
      <c r="FG12" s="53"/>
      <c r="FH12" s="53"/>
      <c r="FI12" s="53"/>
      <c r="FJ12" s="53"/>
      <c r="FK12" s="53"/>
      <c r="FL12" s="16" t="str">
        <f t="shared" si="44"/>
        <v/>
      </c>
      <c r="FM12" s="16" t="str">
        <f t="shared" si="45"/>
        <v/>
      </c>
      <c r="FN12" s="16" t="str">
        <f t="shared" si="46"/>
        <v/>
      </c>
      <c r="FO12" s="16" t="str">
        <f t="shared" si="47"/>
        <v/>
      </c>
      <c r="FP12" s="16" t="str">
        <f t="shared" si="48"/>
        <v/>
      </c>
      <c r="FQ12" s="16" t="str">
        <f t="shared" si="49"/>
        <v/>
      </c>
      <c r="FR12" s="54"/>
      <c r="FS12" s="54"/>
      <c r="FT12" s="54"/>
      <c r="FU12" s="54"/>
      <c r="FV12" s="54"/>
      <c r="FW12" s="54"/>
      <c r="FX12" s="54"/>
      <c r="FY12" s="54"/>
      <c r="FZ12" s="54"/>
      <c r="GA12" s="54"/>
      <c r="GB12" s="54"/>
      <c r="GC12" s="54"/>
      <c r="GD12" s="54"/>
      <c r="GE12" s="54"/>
      <c r="GF12" s="54"/>
      <c r="GG12" s="54"/>
      <c r="GH12" s="54"/>
      <c r="GI12" s="54"/>
      <c r="GJ12" s="54"/>
      <c r="GK12" s="54"/>
      <c r="GL12" s="54"/>
      <c r="GM12" s="54"/>
      <c r="GN12" s="54"/>
      <c r="GO12" s="54"/>
      <c r="GP12" s="13" t="str">
        <f t="shared" si="50"/>
        <v/>
      </c>
      <c r="GQ12" s="13" t="str">
        <f t="shared" si="51"/>
        <v/>
      </c>
      <c r="GR12" s="13" t="str">
        <f t="shared" si="52"/>
        <v/>
      </c>
      <c r="GS12" s="13" t="str">
        <f t="shared" si="53"/>
        <v/>
      </c>
      <c r="GT12" s="13" t="str">
        <f t="shared" si="54"/>
        <v/>
      </c>
      <c r="GU12" s="13" t="str">
        <f t="shared" si="55"/>
        <v/>
      </c>
      <c r="GV12" s="53"/>
      <c r="GW12" s="53"/>
      <c r="GX12" s="53"/>
      <c r="GY12" s="53"/>
      <c r="GZ12" s="53"/>
      <c r="HA12" s="53"/>
      <c r="HB12" s="53"/>
      <c r="HC12" s="53"/>
      <c r="HD12" s="53"/>
      <c r="HE12" s="53"/>
      <c r="HF12" s="53"/>
      <c r="HG12" s="53"/>
      <c r="HH12" s="53"/>
      <c r="HI12" s="53"/>
      <c r="HJ12" s="53"/>
      <c r="HK12" s="53"/>
      <c r="HL12" s="53"/>
      <c r="HM12" s="53"/>
      <c r="HN12" s="53"/>
      <c r="HO12" s="53"/>
      <c r="HP12" s="53"/>
      <c r="HQ12" s="53"/>
      <c r="HR12" s="53"/>
      <c r="HS12" s="53"/>
      <c r="HT12" s="16" t="str">
        <f t="shared" si="56"/>
        <v/>
      </c>
      <c r="HU12" s="16" t="str">
        <f t="shared" si="57"/>
        <v/>
      </c>
      <c r="HV12" s="16" t="str">
        <f t="shared" si="58"/>
        <v/>
      </c>
      <c r="HW12" s="16" t="str">
        <f t="shared" si="59"/>
        <v/>
      </c>
      <c r="HX12" s="16" t="str">
        <f t="shared" si="60"/>
        <v/>
      </c>
      <c r="HY12" s="16" t="str">
        <f t="shared" si="61"/>
        <v/>
      </c>
      <c r="HZ12" s="54"/>
      <c r="IA12" s="54"/>
      <c r="IB12" s="54"/>
      <c r="IC12" s="54"/>
      <c r="ID12" s="54"/>
      <c r="IE12" s="54"/>
      <c r="IF12" s="54"/>
      <c r="IG12" s="54"/>
      <c r="IH12" s="54"/>
      <c r="II12" s="54"/>
      <c r="IJ12" s="54"/>
      <c r="IK12" s="54"/>
      <c r="IL12" s="54"/>
      <c r="IM12" s="54"/>
      <c r="IN12" s="54"/>
      <c r="IO12" s="54"/>
      <c r="IP12" s="54"/>
      <c r="IQ12" s="54"/>
      <c r="IR12" s="54"/>
      <c r="IS12" s="54"/>
      <c r="IT12" s="54"/>
      <c r="IU12" s="54"/>
      <c r="IV12" s="54"/>
      <c r="IW12" s="54"/>
      <c r="IX12" s="13" t="str">
        <f t="shared" si="62"/>
        <v/>
      </c>
      <c r="IY12" s="13" t="str">
        <f t="shared" si="63"/>
        <v/>
      </c>
      <c r="IZ12" s="13" t="str">
        <f t="shared" si="64"/>
        <v/>
      </c>
      <c r="JA12" s="13" t="str">
        <f t="shared" si="65"/>
        <v/>
      </c>
      <c r="JB12" s="13" t="str">
        <f t="shared" si="66"/>
        <v/>
      </c>
      <c r="JC12" s="13" t="str">
        <f t="shared" si="67"/>
        <v/>
      </c>
      <c r="JD12" s="53"/>
      <c r="JE12" s="53"/>
      <c r="JF12" s="53"/>
      <c r="JG12" s="53"/>
      <c r="JH12" s="53"/>
      <c r="JI12" s="53"/>
      <c r="JJ12" s="53"/>
      <c r="JK12" s="53"/>
      <c r="JL12" s="53"/>
      <c r="JM12" s="53"/>
      <c r="JN12" s="53"/>
      <c r="JO12" s="53"/>
      <c r="JP12" s="53"/>
      <c r="JQ12" s="53"/>
      <c r="JR12" s="53"/>
      <c r="JS12" s="53"/>
      <c r="JT12" s="53"/>
      <c r="JU12" s="53"/>
      <c r="JV12" s="53"/>
      <c r="JW12" s="53"/>
      <c r="JX12" s="53"/>
      <c r="JY12" s="53"/>
      <c r="JZ12" s="53"/>
      <c r="KA12" s="53"/>
      <c r="KB12" s="16" t="str">
        <f t="shared" si="68"/>
        <v/>
      </c>
      <c r="KC12" s="16" t="str">
        <f t="shared" si="69"/>
        <v/>
      </c>
      <c r="KD12" s="16" t="str">
        <f t="shared" si="70"/>
        <v/>
      </c>
      <c r="KE12" s="16" t="str">
        <f t="shared" si="71"/>
        <v/>
      </c>
      <c r="KF12" s="16" t="str">
        <f t="shared" si="72"/>
        <v/>
      </c>
      <c r="KG12" s="16" t="str">
        <f t="shared" si="73"/>
        <v/>
      </c>
      <c r="KH12" s="54"/>
      <c r="KI12" s="54"/>
      <c r="KJ12" s="54"/>
      <c r="KK12" s="54"/>
      <c r="KL12" s="54"/>
      <c r="KM12" s="54"/>
      <c r="KN12" s="54"/>
      <c r="KO12" s="54"/>
      <c r="KP12" s="54"/>
      <c r="KQ12" s="54"/>
      <c r="KR12" s="54"/>
      <c r="KS12" s="54"/>
      <c r="KT12" s="54"/>
      <c r="KU12" s="54"/>
      <c r="KV12" s="54"/>
      <c r="KW12" s="54"/>
      <c r="KX12" s="54"/>
      <c r="KY12" s="54"/>
      <c r="KZ12" s="54"/>
      <c r="LA12" s="54"/>
      <c r="LB12" s="54"/>
      <c r="LC12" s="54"/>
      <c r="LD12" s="54"/>
      <c r="LE12" s="54"/>
      <c r="LF12" s="13" t="str">
        <f t="shared" si="74"/>
        <v/>
      </c>
      <c r="LG12" s="13" t="str">
        <f t="shared" si="75"/>
        <v/>
      </c>
      <c r="LH12" s="13" t="str">
        <f t="shared" si="76"/>
        <v/>
      </c>
      <c r="LI12" s="13" t="str">
        <f t="shared" si="77"/>
        <v/>
      </c>
      <c r="LJ12" s="13" t="str">
        <f t="shared" si="78"/>
        <v/>
      </c>
      <c r="LK12" s="13" t="str">
        <f t="shared" si="79"/>
        <v/>
      </c>
      <c r="LL12" s="53"/>
      <c r="LM12" s="53"/>
      <c r="LN12" s="53"/>
      <c r="LO12" s="53"/>
      <c r="LP12" s="53"/>
      <c r="LQ12" s="53"/>
      <c r="LR12" s="53"/>
      <c r="LS12" s="53"/>
      <c r="LT12" s="53"/>
      <c r="LU12" s="53"/>
      <c r="LV12" s="53"/>
      <c r="LW12" s="53"/>
      <c r="LX12" s="53"/>
      <c r="LY12" s="53"/>
      <c r="LZ12" s="53"/>
      <c r="MA12" s="53"/>
      <c r="MB12" s="53"/>
      <c r="MC12" s="53"/>
      <c r="MD12" s="53"/>
      <c r="ME12" s="53"/>
      <c r="MF12" s="53"/>
      <c r="MG12" s="53"/>
      <c r="MH12" s="53"/>
      <c r="MI12" s="53"/>
      <c r="MJ12" s="16" t="str">
        <f t="shared" si="80"/>
        <v/>
      </c>
      <c r="MK12" s="16" t="str">
        <f t="shared" si="81"/>
        <v/>
      </c>
      <c r="ML12" s="16" t="str">
        <f t="shared" si="82"/>
        <v/>
      </c>
      <c r="MM12" s="16" t="str">
        <f t="shared" si="83"/>
        <v/>
      </c>
      <c r="MN12" s="16" t="str">
        <f t="shared" si="84"/>
        <v/>
      </c>
      <c r="MO12" s="16" t="str">
        <f t="shared" si="85"/>
        <v/>
      </c>
      <c r="MP12" s="54"/>
      <c r="MQ12" s="54"/>
      <c r="MR12" s="54"/>
      <c r="MS12" s="54"/>
      <c r="MT12" s="54"/>
      <c r="MU12" s="54"/>
      <c r="MV12" s="54"/>
      <c r="MW12" s="54"/>
      <c r="MX12" s="54"/>
      <c r="MY12" s="54"/>
      <c r="MZ12" s="54"/>
      <c r="NA12" s="54"/>
      <c r="NB12" s="54"/>
      <c r="NC12" s="54"/>
      <c r="ND12" s="54"/>
      <c r="NE12" s="54"/>
      <c r="NF12" s="54"/>
      <c r="NG12" s="54"/>
      <c r="NH12" s="54"/>
      <c r="NI12" s="54"/>
      <c r="NJ12" s="54"/>
      <c r="NK12" s="54"/>
      <c r="NL12" s="54"/>
      <c r="NM12" s="54"/>
      <c r="NN12" s="13" t="str">
        <f t="shared" si="86"/>
        <v/>
      </c>
      <c r="NO12" s="13" t="str">
        <f t="shared" si="87"/>
        <v/>
      </c>
      <c r="NP12" s="13" t="str">
        <f t="shared" si="88"/>
        <v/>
      </c>
      <c r="NQ12" s="13" t="str">
        <f t="shared" si="89"/>
        <v/>
      </c>
      <c r="NR12" s="13" t="str">
        <f t="shared" si="90"/>
        <v/>
      </c>
      <c r="NS12" s="13" t="str">
        <f t="shared" si="91"/>
        <v/>
      </c>
      <c r="NT12" s="53"/>
      <c r="NU12" s="53"/>
      <c r="NV12" s="53"/>
      <c r="NW12" s="53"/>
      <c r="NX12" s="53"/>
      <c r="NY12" s="53"/>
      <c r="NZ12" s="53"/>
      <c r="OA12" s="53"/>
      <c r="OB12" s="53"/>
      <c r="OC12" s="53"/>
      <c r="OD12" s="53"/>
      <c r="OE12" s="53"/>
      <c r="OF12" s="53"/>
      <c r="OG12" s="53"/>
      <c r="OH12" s="53"/>
      <c r="OI12" s="53"/>
      <c r="OJ12" s="53"/>
      <c r="OK12" s="53"/>
      <c r="OL12" s="53"/>
      <c r="OM12" s="53"/>
      <c r="ON12" s="53"/>
      <c r="OO12" s="53"/>
      <c r="OP12" s="53"/>
      <c r="OQ12" s="53"/>
      <c r="OR12" s="16" t="str">
        <f t="shared" si="92"/>
        <v/>
      </c>
      <c r="OS12" s="16" t="str">
        <f t="shared" si="93"/>
        <v/>
      </c>
      <c r="OT12" s="16" t="str">
        <f t="shared" si="94"/>
        <v/>
      </c>
      <c r="OU12" s="16" t="str">
        <f t="shared" si="95"/>
        <v/>
      </c>
      <c r="OV12" s="16" t="str">
        <f t="shared" si="96"/>
        <v/>
      </c>
      <c r="OW12" s="16" t="str">
        <f t="shared" si="97"/>
        <v/>
      </c>
      <c r="OX12" s="54"/>
      <c r="OY12" s="54"/>
      <c r="OZ12" s="54"/>
      <c r="PA12" s="54"/>
      <c r="PB12" s="54"/>
      <c r="PC12" s="54"/>
      <c r="PD12" s="54"/>
      <c r="PE12" s="54"/>
      <c r="PF12" s="54"/>
      <c r="PG12" s="54"/>
      <c r="PH12" s="54"/>
      <c r="PI12" s="54"/>
      <c r="PJ12" s="54"/>
      <c r="PK12" s="54"/>
      <c r="PL12" s="54"/>
      <c r="PM12" s="54"/>
      <c r="PN12" s="54"/>
      <c r="PO12" s="54"/>
      <c r="PP12" s="54"/>
      <c r="PQ12" s="54"/>
      <c r="PR12" s="54"/>
      <c r="PS12" s="54"/>
      <c r="PT12" s="54"/>
      <c r="PU12" s="54"/>
      <c r="PV12" s="13" t="str">
        <f t="shared" si="98"/>
        <v/>
      </c>
      <c r="PW12" s="13" t="str">
        <f t="shared" si="99"/>
        <v/>
      </c>
      <c r="PX12" s="13" t="str">
        <f t="shared" si="100"/>
        <v/>
      </c>
      <c r="PY12" s="13" t="str">
        <f t="shared" si="101"/>
        <v/>
      </c>
      <c r="PZ12" s="13" t="str">
        <f t="shared" si="102"/>
        <v/>
      </c>
      <c r="QA12" s="13" t="str">
        <f t="shared" si="103"/>
        <v/>
      </c>
      <c r="QB12" s="53"/>
      <c r="QC12" s="53"/>
      <c r="QD12" s="53"/>
      <c r="QE12" s="53"/>
      <c r="QF12" s="53"/>
      <c r="QG12" s="53"/>
      <c r="QH12" s="53"/>
      <c r="QI12" s="53"/>
      <c r="QJ12" s="53"/>
      <c r="QK12" s="53"/>
      <c r="QL12" s="53"/>
      <c r="QM12" s="53"/>
      <c r="QN12" s="53"/>
      <c r="QO12" s="53"/>
      <c r="QP12" s="53"/>
      <c r="QQ12" s="53"/>
      <c r="QR12" s="53"/>
      <c r="QS12" s="53"/>
      <c r="QT12" s="53"/>
      <c r="QU12" s="53"/>
      <c r="QV12" s="53"/>
      <c r="QW12" s="53"/>
      <c r="QX12" s="53"/>
      <c r="QY12" s="53"/>
      <c r="QZ12" s="16" t="str">
        <f t="shared" si="104"/>
        <v/>
      </c>
      <c r="RA12" s="16" t="str">
        <f t="shared" si="105"/>
        <v/>
      </c>
      <c r="RB12" s="16" t="str">
        <f t="shared" si="106"/>
        <v/>
      </c>
      <c r="RC12" s="16" t="str">
        <f t="shared" si="107"/>
        <v/>
      </c>
      <c r="RD12" s="16" t="str">
        <f t="shared" si="108"/>
        <v/>
      </c>
      <c r="RE12" s="16" t="str">
        <f t="shared" si="109"/>
        <v/>
      </c>
    </row>
    <row r="13" spans="1:473" x14ac:dyDescent="0.2">
      <c r="A13" s="6" t="str">
        <f t="shared" si="0"/>
        <v/>
      </c>
      <c r="B13" s="9" t="s">
        <v>74</v>
      </c>
      <c r="C13" s="5" t="s">
        <v>13</v>
      </c>
      <c r="D13" s="6">
        <v>2017</v>
      </c>
      <c r="E13" s="17">
        <f t="shared" si="1"/>
        <v>316.2</v>
      </c>
      <c r="F13" s="4" t="str">
        <f t="shared" si="2"/>
        <v/>
      </c>
      <c r="G13" s="4" t="str">
        <f t="shared" si="3"/>
        <v/>
      </c>
      <c r="H13" s="4" t="str">
        <f t="shared" si="4"/>
        <v/>
      </c>
      <c r="I13" t="str">
        <f t="shared" si="5"/>
        <v/>
      </c>
      <c r="J13" s="16">
        <f t="shared" si="6"/>
        <v>127.00000000000001</v>
      </c>
      <c r="K13" s="16" t="str">
        <f t="shared" si="7"/>
        <v>2018 Canada Cup</v>
      </c>
      <c r="L13" s="16">
        <f t="shared" si="8"/>
        <v>66.5</v>
      </c>
      <c r="M13" s="16" t="str">
        <f t="shared" si="9"/>
        <v>2018 Nationals</v>
      </c>
      <c r="N13" s="16">
        <f t="shared" si="10"/>
        <v>56.7</v>
      </c>
      <c r="O13" s="16" t="str">
        <f t="shared" si="11"/>
        <v>2018 Nationals</v>
      </c>
      <c r="P13" s="16">
        <f t="shared" si="12"/>
        <v>66</v>
      </c>
      <c r="Q13" s="16" t="str">
        <f t="shared" si="13"/>
        <v>2018 Canada Cup</v>
      </c>
      <c r="R13" s="16" t="str">
        <f t="shared" si="14"/>
        <v/>
      </c>
      <c r="S13" s="31" t="str">
        <f t="shared" si="15"/>
        <v/>
      </c>
      <c r="T13" s="16" t="str">
        <f t="shared" si="16"/>
        <v/>
      </c>
      <c r="U13" s="47"/>
      <c r="V13" s="47"/>
      <c r="W13" s="47"/>
      <c r="X13" s="47"/>
      <c r="Y13" s="47"/>
      <c r="Z13" s="47"/>
      <c r="AA13" s="47"/>
      <c r="AB13" s="47"/>
      <c r="AC13" s="47"/>
      <c r="AD13" s="47"/>
      <c r="AE13" s="47"/>
      <c r="AF13" s="47"/>
      <c r="AG13" s="47"/>
      <c r="AH13" s="47"/>
      <c r="AI13" s="47"/>
      <c r="AJ13" s="47"/>
      <c r="AK13" s="47"/>
      <c r="AL13" s="47"/>
      <c r="AM13" s="47"/>
      <c r="AN13" s="47"/>
      <c r="AO13" s="47"/>
      <c r="AP13" s="47"/>
      <c r="AQ13" s="47"/>
      <c r="AR13" s="47"/>
      <c r="AS13" s="13" t="str">
        <f t="shared" si="17"/>
        <v/>
      </c>
      <c r="AT13" s="13" t="str">
        <f t="shared" si="18"/>
        <v/>
      </c>
      <c r="AU13" s="13" t="str">
        <f t="shared" si="19"/>
        <v/>
      </c>
      <c r="AV13" s="13" t="str">
        <f t="shared" si="20"/>
        <v/>
      </c>
      <c r="AW13" s="13" t="str">
        <f t="shared" si="21"/>
        <v/>
      </c>
      <c r="AX13" s="13" t="str">
        <f t="shared" si="22"/>
        <v/>
      </c>
      <c r="AY13" s="48">
        <v>27.7</v>
      </c>
      <c r="AZ13" s="48">
        <v>5.2</v>
      </c>
      <c r="BA13" s="48">
        <v>0.3</v>
      </c>
      <c r="BB13" s="48">
        <v>0</v>
      </c>
      <c r="BC13" s="48">
        <v>27.8</v>
      </c>
      <c r="BD13" s="48">
        <v>6</v>
      </c>
      <c r="BE13" s="48">
        <v>0</v>
      </c>
      <c r="BF13" s="48">
        <v>0</v>
      </c>
      <c r="BG13" s="48">
        <v>27.4</v>
      </c>
      <c r="BH13" s="48">
        <v>4.4000000000000004</v>
      </c>
      <c r="BI13" s="48">
        <v>0</v>
      </c>
      <c r="BJ13" s="48">
        <v>0</v>
      </c>
      <c r="BK13" s="48">
        <v>28.7</v>
      </c>
      <c r="BL13" s="48">
        <v>3.1</v>
      </c>
      <c r="BM13" s="48">
        <v>3</v>
      </c>
      <c r="BN13" s="48">
        <v>0</v>
      </c>
      <c r="BO13" s="48">
        <v>27.9</v>
      </c>
      <c r="BP13" s="48">
        <v>5.2</v>
      </c>
      <c r="BQ13" s="48">
        <v>0</v>
      </c>
      <c r="BR13" s="48">
        <v>0</v>
      </c>
      <c r="BS13" s="48">
        <v>27.8</v>
      </c>
      <c r="BT13" s="48">
        <v>6</v>
      </c>
      <c r="BU13" s="48">
        <v>0.9</v>
      </c>
      <c r="BV13" s="48">
        <v>0</v>
      </c>
      <c r="BW13" s="16">
        <f t="shared" si="23"/>
        <v>18.7</v>
      </c>
      <c r="BX13" s="16">
        <f t="shared" si="24"/>
        <v>66.400000000000006</v>
      </c>
      <c r="BY13" s="16">
        <f t="shared" si="25"/>
        <v>60.6</v>
      </c>
      <c r="BZ13" s="16">
        <f t="shared" si="26"/>
        <v>127.00000000000001</v>
      </c>
      <c r="CA13" s="16">
        <f t="shared" si="27"/>
        <v>66</v>
      </c>
      <c r="CB13" s="16">
        <f t="shared" si="28"/>
        <v>193</v>
      </c>
      <c r="CC13" s="47">
        <v>27.8</v>
      </c>
      <c r="CD13" s="47">
        <v>6</v>
      </c>
      <c r="CE13" s="47">
        <v>0</v>
      </c>
      <c r="CF13" s="47">
        <v>0</v>
      </c>
      <c r="CG13" s="47">
        <v>27.6</v>
      </c>
      <c r="CH13" s="47">
        <v>6</v>
      </c>
      <c r="CI13" s="47">
        <v>0.9</v>
      </c>
      <c r="CJ13" s="47">
        <v>0</v>
      </c>
      <c r="CK13" s="47">
        <v>27.5</v>
      </c>
      <c r="CL13" s="47">
        <v>5.2</v>
      </c>
      <c r="CM13" s="47">
        <v>1.2</v>
      </c>
      <c r="CN13" s="47">
        <v>0</v>
      </c>
      <c r="CO13" s="47">
        <v>27.6</v>
      </c>
      <c r="CP13" s="47">
        <v>0.6</v>
      </c>
      <c r="CQ13" s="47">
        <v>3</v>
      </c>
      <c r="CR13" s="47">
        <v>0</v>
      </c>
      <c r="CS13" s="47">
        <v>28</v>
      </c>
      <c r="CT13" s="47">
        <v>6</v>
      </c>
      <c r="CU13" s="47">
        <v>0.9</v>
      </c>
      <c r="CV13" s="47">
        <v>0</v>
      </c>
      <c r="CW13" s="47">
        <v>0</v>
      </c>
      <c r="CX13" s="47">
        <v>0</v>
      </c>
      <c r="CY13" s="47">
        <v>0</v>
      </c>
      <c r="CZ13" s="47">
        <v>0</v>
      </c>
      <c r="DA13" s="13">
        <f t="shared" si="29"/>
        <v>17.8</v>
      </c>
      <c r="DB13" s="13">
        <f t="shared" si="30"/>
        <v>66.5</v>
      </c>
      <c r="DC13" s="13">
        <f t="shared" si="31"/>
        <v>56.7</v>
      </c>
      <c r="DD13" s="13">
        <f t="shared" si="32"/>
        <v>123.20000000000002</v>
      </c>
      <c r="DE13" s="13">
        <f t="shared" si="33"/>
        <v>33.1</v>
      </c>
      <c r="DF13" s="13">
        <f t="shared" si="34"/>
        <v>156.30000000000001</v>
      </c>
      <c r="DG13" s="30" t="str">
        <f t="shared" si="35"/>
        <v/>
      </c>
      <c r="DH13" s="30" t="str">
        <f t="shared" si="36"/>
        <v/>
      </c>
      <c r="DI13" s="30" t="str">
        <f t="shared" si="37"/>
        <v/>
      </c>
      <c r="DJ13" s="54"/>
      <c r="DK13" s="54"/>
      <c r="DL13" s="54"/>
      <c r="DM13" s="54"/>
      <c r="DN13" s="54"/>
      <c r="DO13" s="54"/>
      <c r="DP13" s="54"/>
      <c r="DQ13" s="54"/>
      <c r="DR13" s="54"/>
      <c r="DS13" s="54"/>
      <c r="DT13" s="54"/>
      <c r="DU13" s="54"/>
      <c r="DV13" s="54"/>
      <c r="DW13" s="54"/>
      <c r="DX13" s="54"/>
      <c r="DY13" s="54"/>
      <c r="DZ13" s="54"/>
      <c r="EA13" s="54"/>
      <c r="EB13" s="54"/>
      <c r="EC13" s="54"/>
      <c r="ED13" s="54"/>
      <c r="EE13" s="54"/>
      <c r="EF13" s="54"/>
      <c r="EG13" s="54"/>
      <c r="EH13" s="13" t="str">
        <f t="shared" si="38"/>
        <v/>
      </c>
      <c r="EI13" s="13" t="str">
        <f t="shared" si="39"/>
        <v/>
      </c>
      <c r="EJ13" s="13" t="str">
        <f t="shared" si="40"/>
        <v/>
      </c>
      <c r="EK13" s="13" t="str">
        <f t="shared" si="41"/>
        <v/>
      </c>
      <c r="EL13" s="13" t="str">
        <f t="shared" si="42"/>
        <v/>
      </c>
      <c r="EM13" s="13" t="str">
        <f t="shared" si="43"/>
        <v/>
      </c>
      <c r="EN13" s="53"/>
      <c r="EO13" s="53"/>
      <c r="EP13" s="53"/>
      <c r="EQ13" s="53"/>
      <c r="ER13" s="53"/>
      <c r="ES13" s="53"/>
      <c r="ET13" s="53"/>
      <c r="EU13" s="53"/>
      <c r="EV13" s="53"/>
      <c r="EW13" s="53"/>
      <c r="EX13" s="53"/>
      <c r="EY13" s="53"/>
      <c r="EZ13" s="53"/>
      <c r="FA13" s="53"/>
      <c r="FB13" s="53"/>
      <c r="FC13" s="53"/>
      <c r="FD13" s="53"/>
      <c r="FE13" s="53"/>
      <c r="FF13" s="53"/>
      <c r="FG13" s="53"/>
      <c r="FH13" s="53"/>
      <c r="FI13" s="53"/>
      <c r="FJ13" s="53"/>
      <c r="FK13" s="53"/>
      <c r="FL13" s="16" t="str">
        <f t="shared" si="44"/>
        <v/>
      </c>
      <c r="FM13" s="16" t="str">
        <f t="shared" si="45"/>
        <v/>
      </c>
      <c r="FN13" s="16" t="str">
        <f t="shared" si="46"/>
        <v/>
      </c>
      <c r="FO13" s="16" t="str">
        <f t="shared" si="47"/>
        <v/>
      </c>
      <c r="FP13" s="16" t="str">
        <f t="shared" si="48"/>
        <v/>
      </c>
      <c r="FQ13" s="16" t="str">
        <f t="shared" si="49"/>
        <v/>
      </c>
      <c r="FR13" s="54"/>
      <c r="FS13" s="54"/>
      <c r="FT13" s="54"/>
      <c r="FU13" s="54"/>
      <c r="FV13" s="54"/>
      <c r="FW13" s="54"/>
      <c r="FX13" s="54"/>
      <c r="FY13" s="54"/>
      <c r="FZ13" s="54"/>
      <c r="GA13" s="54"/>
      <c r="GB13" s="54"/>
      <c r="GC13" s="54"/>
      <c r="GD13" s="54"/>
      <c r="GE13" s="54"/>
      <c r="GF13" s="54"/>
      <c r="GG13" s="54"/>
      <c r="GH13" s="54"/>
      <c r="GI13" s="54"/>
      <c r="GJ13" s="54"/>
      <c r="GK13" s="54"/>
      <c r="GL13" s="54"/>
      <c r="GM13" s="54"/>
      <c r="GN13" s="54"/>
      <c r="GO13" s="54"/>
      <c r="GP13" s="13" t="str">
        <f t="shared" si="50"/>
        <v/>
      </c>
      <c r="GQ13" s="13" t="str">
        <f t="shared" si="51"/>
        <v/>
      </c>
      <c r="GR13" s="13" t="str">
        <f t="shared" si="52"/>
        <v/>
      </c>
      <c r="GS13" s="13" t="str">
        <f t="shared" si="53"/>
        <v/>
      </c>
      <c r="GT13" s="13" t="str">
        <f t="shared" si="54"/>
        <v/>
      </c>
      <c r="GU13" s="13" t="str">
        <f t="shared" si="55"/>
        <v/>
      </c>
      <c r="GV13" s="53"/>
      <c r="GW13" s="53"/>
      <c r="GX13" s="53"/>
      <c r="GY13" s="53"/>
      <c r="GZ13" s="53"/>
      <c r="HA13" s="53"/>
      <c r="HB13" s="53"/>
      <c r="HC13" s="53"/>
      <c r="HD13" s="53"/>
      <c r="HE13" s="53"/>
      <c r="HF13" s="53"/>
      <c r="HG13" s="53"/>
      <c r="HH13" s="53"/>
      <c r="HI13" s="53"/>
      <c r="HJ13" s="53"/>
      <c r="HK13" s="53"/>
      <c r="HL13" s="53"/>
      <c r="HM13" s="53"/>
      <c r="HN13" s="53"/>
      <c r="HO13" s="53"/>
      <c r="HP13" s="53"/>
      <c r="HQ13" s="53"/>
      <c r="HR13" s="53"/>
      <c r="HS13" s="53"/>
      <c r="HT13" s="16" t="str">
        <f t="shared" si="56"/>
        <v/>
      </c>
      <c r="HU13" s="16" t="str">
        <f t="shared" si="57"/>
        <v/>
      </c>
      <c r="HV13" s="16" t="str">
        <f t="shared" si="58"/>
        <v/>
      </c>
      <c r="HW13" s="16" t="str">
        <f t="shared" si="59"/>
        <v/>
      </c>
      <c r="HX13" s="16" t="str">
        <f t="shared" si="60"/>
        <v/>
      </c>
      <c r="HY13" s="16" t="str">
        <f t="shared" si="61"/>
        <v/>
      </c>
      <c r="HZ13" s="54"/>
      <c r="IA13" s="54"/>
      <c r="IB13" s="54"/>
      <c r="IC13" s="54"/>
      <c r="ID13" s="54"/>
      <c r="IE13" s="54"/>
      <c r="IF13" s="54"/>
      <c r="IG13" s="54"/>
      <c r="IH13" s="54"/>
      <c r="II13" s="54"/>
      <c r="IJ13" s="54"/>
      <c r="IK13" s="54"/>
      <c r="IL13" s="54"/>
      <c r="IM13" s="54"/>
      <c r="IN13" s="54"/>
      <c r="IO13" s="54"/>
      <c r="IP13" s="54"/>
      <c r="IQ13" s="54"/>
      <c r="IR13" s="54"/>
      <c r="IS13" s="54"/>
      <c r="IT13" s="54"/>
      <c r="IU13" s="54"/>
      <c r="IV13" s="54"/>
      <c r="IW13" s="54"/>
      <c r="IX13" s="13" t="str">
        <f t="shared" si="62"/>
        <v/>
      </c>
      <c r="IY13" s="13" t="str">
        <f t="shared" si="63"/>
        <v/>
      </c>
      <c r="IZ13" s="13" t="str">
        <f t="shared" si="64"/>
        <v/>
      </c>
      <c r="JA13" s="13" t="str">
        <f t="shared" si="65"/>
        <v/>
      </c>
      <c r="JB13" s="13" t="str">
        <f t="shared" si="66"/>
        <v/>
      </c>
      <c r="JC13" s="13" t="str">
        <f t="shared" si="67"/>
        <v/>
      </c>
      <c r="JD13" s="53"/>
      <c r="JE13" s="53"/>
      <c r="JF13" s="53"/>
      <c r="JG13" s="53"/>
      <c r="JH13" s="53"/>
      <c r="JI13" s="53"/>
      <c r="JJ13" s="53"/>
      <c r="JK13" s="53"/>
      <c r="JL13" s="53"/>
      <c r="JM13" s="53"/>
      <c r="JN13" s="53"/>
      <c r="JO13" s="53"/>
      <c r="JP13" s="53"/>
      <c r="JQ13" s="53"/>
      <c r="JR13" s="53"/>
      <c r="JS13" s="53"/>
      <c r="JT13" s="53"/>
      <c r="JU13" s="53"/>
      <c r="JV13" s="53"/>
      <c r="JW13" s="53"/>
      <c r="JX13" s="53"/>
      <c r="JY13" s="53"/>
      <c r="JZ13" s="53"/>
      <c r="KA13" s="53"/>
      <c r="KB13" s="16" t="str">
        <f t="shared" si="68"/>
        <v/>
      </c>
      <c r="KC13" s="16" t="str">
        <f t="shared" si="69"/>
        <v/>
      </c>
      <c r="KD13" s="16" t="str">
        <f t="shared" si="70"/>
        <v/>
      </c>
      <c r="KE13" s="16" t="str">
        <f t="shared" si="71"/>
        <v/>
      </c>
      <c r="KF13" s="16" t="str">
        <f t="shared" si="72"/>
        <v/>
      </c>
      <c r="KG13" s="16" t="str">
        <f t="shared" si="73"/>
        <v/>
      </c>
      <c r="KH13" s="54"/>
      <c r="KI13" s="54"/>
      <c r="KJ13" s="54"/>
      <c r="KK13" s="54"/>
      <c r="KL13" s="54"/>
      <c r="KM13" s="54"/>
      <c r="KN13" s="54"/>
      <c r="KO13" s="54"/>
      <c r="KP13" s="54"/>
      <c r="KQ13" s="54"/>
      <c r="KR13" s="54"/>
      <c r="KS13" s="54"/>
      <c r="KT13" s="54"/>
      <c r="KU13" s="54"/>
      <c r="KV13" s="54"/>
      <c r="KW13" s="54"/>
      <c r="KX13" s="54"/>
      <c r="KY13" s="54"/>
      <c r="KZ13" s="54"/>
      <c r="LA13" s="54"/>
      <c r="LB13" s="54"/>
      <c r="LC13" s="54"/>
      <c r="LD13" s="54"/>
      <c r="LE13" s="54"/>
      <c r="LF13" s="13" t="str">
        <f t="shared" si="74"/>
        <v/>
      </c>
      <c r="LG13" s="13" t="str">
        <f t="shared" si="75"/>
        <v/>
      </c>
      <c r="LH13" s="13" t="str">
        <f t="shared" si="76"/>
        <v/>
      </c>
      <c r="LI13" s="13" t="str">
        <f t="shared" si="77"/>
        <v/>
      </c>
      <c r="LJ13" s="13" t="str">
        <f t="shared" si="78"/>
        <v/>
      </c>
      <c r="LK13" s="13" t="str">
        <f t="shared" si="79"/>
        <v/>
      </c>
      <c r="LL13" s="53"/>
      <c r="LM13" s="53"/>
      <c r="LN13" s="53"/>
      <c r="LO13" s="53"/>
      <c r="LP13" s="53"/>
      <c r="LQ13" s="53"/>
      <c r="LR13" s="53"/>
      <c r="LS13" s="53"/>
      <c r="LT13" s="53"/>
      <c r="LU13" s="53"/>
      <c r="LV13" s="53"/>
      <c r="LW13" s="53"/>
      <c r="LX13" s="53"/>
      <c r="LY13" s="53"/>
      <c r="LZ13" s="53"/>
      <c r="MA13" s="53"/>
      <c r="MB13" s="53"/>
      <c r="MC13" s="53"/>
      <c r="MD13" s="53"/>
      <c r="ME13" s="53"/>
      <c r="MF13" s="53"/>
      <c r="MG13" s="53"/>
      <c r="MH13" s="53"/>
      <c r="MI13" s="53"/>
      <c r="MJ13" s="16" t="str">
        <f t="shared" si="80"/>
        <v/>
      </c>
      <c r="MK13" s="16" t="str">
        <f t="shared" si="81"/>
        <v/>
      </c>
      <c r="ML13" s="16" t="str">
        <f t="shared" si="82"/>
        <v/>
      </c>
      <c r="MM13" s="16" t="str">
        <f t="shared" si="83"/>
        <v/>
      </c>
      <c r="MN13" s="16" t="str">
        <f t="shared" si="84"/>
        <v/>
      </c>
      <c r="MO13" s="16" t="str">
        <f t="shared" si="85"/>
        <v/>
      </c>
      <c r="MP13" s="54"/>
      <c r="MQ13" s="54"/>
      <c r="MR13" s="54"/>
      <c r="MS13" s="54"/>
      <c r="MT13" s="54"/>
      <c r="MU13" s="54"/>
      <c r="MV13" s="54"/>
      <c r="MW13" s="54"/>
      <c r="MX13" s="54"/>
      <c r="MY13" s="54"/>
      <c r="MZ13" s="54"/>
      <c r="NA13" s="54"/>
      <c r="NB13" s="54"/>
      <c r="NC13" s="54"/>
      <c r="ND13" s="54"/>
      <c r="NE13" s="54"/>
      <c r="NF13" s="54"/>
      <c r="NG13" s="54"/>
      <c r="NH13" s="54"/>
      <c r="NI13" s="54"/>
      <c r="NJ13" s="54"/>
      <c r="NK13" s="54"/>
      <c r="NL13" s="54"/>
      <c r="NM13" s="54"/>
      <c r="NN13" s="13" t="str">
        <f t="shared" si="86"/>
        <v/>
      </c>
      <c r="NO13" s="13" t="str">
        <f t="shared" si="87"/>
        <v/>
      </c>
      <c r="NP13" s="13" t="str">
        <f t="shared" si="88"/>
        <v/>
      </c>
      <c r="NQ13" s="13" t="str">
        <f t="shared" si="89"/>
        <v/>
      </c>
      <c r="NR13" s="13" t="str">
        <f t="shared" si="90"/>
        <v/>
      </c>
      <c r="NS13" s="13" t="str">
        <f t="shared" si="91"/>
        <v/>
      </c>
      <c r="NT13" s="53"/>
      <c r="NU13" s="53"/>
      <c r="NV13" s="53"/>
      <c r="NW13" s="53"/>
      <c r="NX13" s="53"/>
      <c r="NY13" s="53"/>
      <c r="NZ13" s="53"/>
      <c r="OA13" s="53"/>
      <c r="OB13" s="53"/>
      <c r="OC13" s="53"/>
      <c r="OD13" s="53"/>
      <c r="OE13" s="53"/>
      <c r="OF13" s="53"/>
      <c r="OG13" s="53"/>
      <c r="OH13" s="53"/>
      <c r="OI13" s="53"/>
      <c r="OJ13" s="53"/>
      <c r="OK13" s="53"/>
      <c r="OL13" s="53"/>
      <c r="OM13" s="53"/>
      <c r="ON13" s="53"/>
      <c r="OO13" s="53"/>
      <c r="OP13" s="53"/>
      <c r="OQ13" s="53"/>
      <c r="OR13" s="16" t="str">
        <f t="shared" si="92"/>
        <v/>
      </c>
      <c r="OS13" s="16" t="str">
        <f t="shared" si="93"/>
        <v/>
      </c>
      <c r="OT13" s="16" t="str">
        <f t="shared" si="94"/>
        <v/>
      </c>
      <c r="OU13" s="16" t="str">
        <f t="shared" si="95"/>
        <v/>
      </c>
      <c r="OV13" s="16" t="str">
        <f t="shared" si="96"/>
        <v/>
      </c>
      <c r="OW13" s="16" t="str">
        <f t="shared" si="97"/>
        <v/>
      </c>
      <c r="OX13" s="54"/>
      <c r="OY13" s="54"/>
      <c r="OZ13" s="54"/>
      <c r="PA13" s="54"/>
      <c r="PB13" s="54"/>
      <c r="PC13" s="54"/>
      <c r="PD13" s="54"/>
      <c r="PE13" s="54"/>
      <c r="PF13" s="54"/>
      <c r="PG13" s="54"/>
      <c r="PH13" s="54"/>
      <c r="PI13" s="54"/>
      <c r="PJ13" s="54"/>
      <c r="PK13" s="54"/>
      <c r="PL13" s="54"/>
      <c r="PM13" s="54"/>
      <c r="PN13" s="54"/>
      <c r="PO13" s="54"/>
      <c r="PP13" s="54"/>
      <c r="PQ13" s="54"/>
      <c r="PR13" s="54"/>
      <c r="PS13" s="54"/>
      <c r="PT13" s="54"/>
      <c r="PU13" s="54"/>
      <c r="PV13" s="13" t="str">
        <f t="shared" si="98"/>
        <v/>
      </c>
      <c r="PW13" s="13" t="str">
        <f t="shared" si="99"/>
        <v/>
      </c>
      <c r="PX13" s="13" t="str">
        <f t="shared" si="100"/>
        <v/>
      </c>
      <c r="PY13" s="13" t="str">
        <f t="shared" si="101"/>
        <v/>
      </c>
      <c r="PZ13" s="13" t="str">
        <f t="shared" si="102"/>
        <v/>
      </c>
      <c r="QA13" s="13" t="str">
        <f t="shared" si="103"/>
        <v/>
      </c>
      <c r="QB13" s="53"/>
      <c r="QC13" s="53"/>
      <c r="QD13" s="53"/>
      <c r="QE13" s="53"/>
      <c r="QF13" s="53"/>
      <c r="QG13" s="53"/>
      <c r="QH13" s="53"/>
      <c r="QI13" s="53"/>
      <c r="QJ13" s="53"/>
      <c r="QK13" s="53"/>
      <c r="QL13" s="53"/>
      <c r="QM13" s="53"/>
      <c r="QN13" s="53"/>
      <c r="QO13" s="53"/>
      <c r="QP13" s="53"/>
      <c r="QQ13" s="53"/>
      <c r="QR13" s="53"/>
      <c r="QS13" s="53"/>
      <c r="QT13" s="53"/>
      <c r="QU13" s="53"/>
      <c r="QV13" s="53"/>
      <c r="QW13" s="53"/>
      <c r="QX13" s="53"/>
      <c r="QY13" s="53"/>
      <c r="QZ13" s="16" t="str">
        <f t="shared" si="104"/>
        <v/>
      </c>
      <c r="RA13" s="16" t="str">
        <f t="shared" si="105"/>
        <v/>
      </c>
      <c r="RB13" s="16" t="str">
        <f t="shared" si="106"/>
        <v/>
      </c>
      <c r="RC13" s="16" t="str">
        <f t="shared" si="107"/>
        <v/>
      </c>
      <c r="RD13" s="16" t="str">
        <f t="shared" si="108"/>
        <v/>
      </c>
      <c r="RE13" s="16" t="str">
        <f t="shared" si="109"/>
        <v/>
      </c>
    </row>
    <row r="16" spans="1:473" x14ac:dyDescent="0.2">
      <c r="B16" s="88" t="s">
        <v>123</v>
      </c>
      <c r="AS16" s="71"/>
      <c r="AT16" s="80">
        <v>29.2</v>
      </c>
      <c r="BW16" s="71"/>
      <c r="BX16" s="80">
        <v>28.8</v>
      </c>
      <c r="DA16" s="71"/>
      <c r="DB16" s="80">
        <v>28.8</v>
      </c>
      <c r="EH16" s="71"/>
      <c r="EI16" s="80">
        <v>29.2</v>
      </c>
      <c r="FL16" s="71"/>
      <c r="FM16" s="80">
        <v>29.2</v>
      </c>
      <c r="GP16" s="71"/>
      <c r="GQ16" s="80">
        <v>29.2</v>
      </c>
      <c r="HT16" s="71"/>
      <c r="HU16" s="80">
        <v>29.2</v>
      </c>
      <c r="IX16" s="71"/>
      <c r="IY16" s="80">
        <v>28.8</v>
      </c>
      <c r="KB16" s="71"/>
      <c r="KC16" s="80">
        <v>28.8</v>
      </c>
      <c r="LF16" s="71"/>
      <c r="LG16" s="80">
        <v>28.8</v>
      </c>
      <c r="MJ16" s="71"/>
      <c r="MK16" s="80">
        <v>28.8</v>
      </c>
      <c r="NN16" s="71"/>
      <c r="NO16" s="80">
        <v>28.8</v>
      </c>
      <c r="OR16" s="71"/>
      <c r="OS16" s="80">
        <v>28.8</v>
      </c>
      <c r="PV16" s="71"/>
      <c r="PW16" s="80">
        <v>28.8</v>
      </c>
      <c r="QZ16" s="71"/>
      <c r="RA16" s="80">
        <v>28.8</v>
      </c>
    </row>
    <row r="17" spans="1:469" x14ac:dyDescent="0.2">
      <c r="A17" s="71"/>
      <c r="B17" s="89" t="s">
        <v>122</v>
      </c>
      <c r="C17" s="70"/>
      <c r="AS17" s="71"/>
      <c r="AT17" s="81">
        <v>29.2</v>
      </c>
      <c r="BW17" s="71"/>
      <c r="BX17" s="81">
        <v>28.8</v>
      </c>
      <c r="DA17" s="71"/>
      <c r="DB17" s="81">
        <v>28.8</v>
      </c>
      <c r="EH17" s="71"/>
      <c r="EI17" s="81">
        <v>29.2</v>
      </c>
      <c r="FL17" s="71"/>
      <c r="FM17" s="81">
        <v>29.2</v>
      </c>
      <c r="GP17" s="71"/>
      <c r="GQ17" s="81">
        <v>29.2</v>
      </c>
      <c r="HT17" s="71"/>
      <c r="HU17" s="81">
        <v>29.2</v>
      </c>
      <c r="IX17" s="71"/>
      <c r="IY17" s="81">
        <v>28.8</v>
      </c>
      <c r="KB17" s="71"/>
      <c r="KC17" s="81">
        <v>28.8</v>
      </c>
      <c r="LF17" s="71"/>
      <c r="LG17" s="81">
        <v>28.8</v>
      </c>
      <c r="MJ17" s="71"/>
      <c r="MK17" s="81">
        <v>28.8</v>
      </c>
      <c r="NN17" s="71"/>
      <c r="NO17" s="81">
        <v>28.8</v>
      </c>
      <c r="OR17" s="71"/>
      <c r="OS17" s="81">
        <v>28.8</v>
      </c>
      <c r="PV17" s="71"/>
      <c r="PW17" s="81">
        <v>28.8</v>
      </c>
      <c r="QZ17" s="71"/>
      <c r="RA17" s="81">
        <v>28.8</v>
      </c>
    </row>
    <row r="18" spans="1:469" x14ac:dyDescent="0.2">
      <c r="A18" s="71"/>
      <c r="B18" s="90" t="s">
        <v>120</v>
      </c>
      <c r="C18" s="70"/>
      <c r="AS18" s="71"/>
      <c r="AT18" s="82">
        <v>137.80000000000001</v>
      </c>
      <c r="BW18" s="71"/>
      <c r="BX18" s="82">
        <v>136</v>
      </c>
      <c r="DA18" s="71"/>
      <c r="DB18" s="82">
        <v>136</v>
      </c>
      <c r="EH18" s="71"/>
      <c r="EI18" s="82">
        <v>137.80000000000001</v>
      </c>
      <c r="FL18" s="71"/>
      <c r="FM18" s="82">
        <v>137.80000000000001</v>
      </c>
      <c r="GP18" s="71"/>
      <c r="GQ18" s="82">
        <v>137.80000000000001</v>
      </c>
      <c r="HT18" s="71"/>
      <c r="HU18" s="82">
        <v>137.80000000000001</v>
      </c>
      <c r="IX18" s="71"/>
      <c r="IY18" s="82">
        <v>136</v>
      </c>
      <c r="KB18" s="71"/>
      <c r="KC18" s="82">
        <v>136</v>
      </c>
      <c r="LF18" s="71"/>
      <c r="LG18" s="82">
        <v>136</v>
      </c>
      <c r="MJ18" s="71"/>
      <c r="MK18" s="82">
        <v>136</v>
      </c>
      <c r="NN18" s="71"/>
      <c r="NO18" s="82">
        <v>136</v>
      </c>
      <c r="OR18" s="71"/>
      <c r="OS18" s="82">
        <v>136</v>
      </c>
      <c r="PV18" s="71"/>
      <c r="PW18" s="82">
        <v>136</v>
      </c>
      <c r="QZ18" s="71"/>
      <c r="RA18" s="82">
        <v>136</v>
      </c>
    </row>
    <row r="19" spans="1:469" x14ac:dyDescent="0.2">
      <c r="A19" s="71"/>
      <c r="B19" s="91" t="s">
        <v>121</v>
      </c>
      <c r="C19" s="70"/>
      <c r="AS19" s="71"/>
      <c r="AT19" s="83">
        <v>137.80000000000001</v>
      </c>
      <c r="BW19" s="71"/>
      <c r="BX19" s="83">
        <v>138</v>
      </c>
      <c r="DA19" s="71"/>
      <c r="DB19" s="83">
        <v>138</v>
      </c>
      <c r="EH19" s="71"/>
      <c r="EI19" s="83">
        <v>137.80000000000001</v>
      </c>
      <c r="FL19" s="71"/>
      <c r="FM19" s="83">
        <v>137.80000000000001</v>
      </c>
      <c r="GP19" s="71"/>
      <c r="GQ19" s="83">
        <v>137.80000000000001</v>
      </c>
      <c r="HT19" s="71"/>
      <c r="HU19" s="83">
        <v>137.80000000000001</v>
      </c>
      <c r="IX19" s="71"/>
      <c r="IY19" s="83">
        <v>138</v>
      </c>
      <c r="KB19" s="71"/>
      <c r="KC19" s="83">
        <v>138</v>
      </c>
      <c r="LF19" s="71"/>
      <c r="LG19" s="83">
        <v>138</v>
      </c>
      <c r="MJ19" s="71"/>
      <c r="MK19" s="83">
        <v>138</v>
      </c>
      <c r="NN19" s="71"/>
      <c r="NO19" s="83">
        <v>138</v>
      </c>
      <c r="OR19" s="71"/>
      <c r="OS19" s="83">
        <v>138</v>
      </c>
      <c r="PV19" s="71"/>
      <c r="PW19" s="83">
        <v>138</v>
      </c>
      <c r="QZ19" s="71"/>
      <c r="RA19" s="83">
        <v>138</v>
      </c>
    </row>
    <row r="20" spans="1:469" x14ac:dyDescent="0.2">
      <c r="A20" s="71"/>
      <c r="B20" s="92" t="s">
        <v>39</v>
      </c>
      <c r="C20" s="70"/>
      <c r="AS20" s="71"/>
      <c r="AT20" s="84">
        <v>144.5</v>
      </c>
      <c r="BW20" s="71"/>
      <c r="BX20" s="84">
        <v>143</v>
      </c>
      <c r="DA20" s="71"/>
      <c r="DB20" s="84">
        <v>143</v>
      </c>
      <c r="EH20" s="71"/>
      <c r="EI20" s="84">
        <v>144.5</v>
      </c>
      <c r="FL20" s="71"/>
      <c r="FM20" s="84">
        <v>144.5</v>
      </c>
      <c r="GP20" s="71"/>
      <c r="GQ20" s="84">
        <v>144.5</v>
      </c>
      <c r="HT20" s="71"/>
      <c r="HU20" s="84">
        <v>144.5</v>
      </c>
      <c r="IX20" s="71"/>
      <c r="IY20" s="84">
        <v>143</v>
      </c>
      <c r="KB20" s="71"/>
      <c r="KC20" s="84">
        <v>143</v>
      </c>
      <c r="LF20" s="71"/>
      <c r="LG20" s="84">
        <v>143</v>
      </c>
      <c r="MJ20" s="71"/>
      <c r="MK20" s="84">
        <v>143</v>
      </c>
      <c r="NN20" s="71"/>
      <c r="NO20" s="84">
        <v>143</v>
      </c>
      <c r="OR20" s="71"/>
      <c r="OS20" s="84">
        <v>143</v>
      </c>
      <c r="PV20" s="71"/>
      <c r="PW20" s="84">
        <v>143</v>
      </c>
      <c r="QZ20" s="71"/>
      <c r="RA20" s="84">
        <v>143</v>
      </c>
    </row>
    <row r="21" spans="1:469" x14ac:dyDescent="0.2">
      <c r="A21" s="71"/>
      <c r="B21" s="93" t="s">
        <v>91</v>
      </c>
      <c r="C21" s="70"/>
      <c r="AS21" s="71"/>
      <c r="AT21" s="85">
        <v>149.9</v>
      </c>
      <c r="BW21" s="71"/>
      <c r="BX21" s="85">
        <v>146</v>
      </c>
      <c r="DA21" s="71"/>
      <c r="DB21" s="85">
        <v>146</v>
      </c>
      <c r="EH21" s="71"/>
      <c r="EI21" s="85">
        <v>149.9</v>
      </c>
      <c r="FL21" s="71"/>
      <c r="FM21" s="85">
        <v>149.9</v>
      </c>
      <c r="GP21" s="71"/>
      <c r="GQ21" s="85">
        <v>149.9</v>
      </c>
      <c r="HT21" s="71"/>
      <c r="HU21" s="85">
        <v>149.9</v>
      </c>
      <c r="IX21" s="71"/>
      <c r="IY21" s="85">
        <v>146</v>
      </c>
      <c r="KB21" s="71"/>
      <c r="KC21" s="85">
        <v>146</v>
      </c>
      <c r="LF21" s="71"/>
      <c r="LG21" s="85">
        <v>146</v>
      </c>
      <c r="MJ21" s="71"/>
      <c r="MK21" s="85">
        <v>146</v>
      </c>
      <c r="NN21" s="71"/>
      <c r="NO21" s="85">
        <v>146</v>
      </c>
      <c r="OR21" s="71"/>
      <c r="OS21" s="85">
        <v>146</v>
      </c>
      <c r="PV21" s="71"/>
      <c r="PW21" s="85">
        <v>146</v>
      </c>
      <c r="QZ21" s="71"/>
      <c r="RA21" s="85">
        <v>146</v>
      </c>
    </row>
    <row r="22" spans="1:469" x14ac:dyDescent="0.2">
      <c r="C22" s="3"/>
      <c r="AT22" s="69" t="s">
        <v>141</v>
      </c>
      <c r="BX22" s="69"/>
      <c r="DA22" s="7"/>
      <c r="DD22" s="7"/>
      <c r="EH22" s="7"/>
      <c r="EI22" s="69" t="s">
        <v>141</v>
      </c>
      <c r="EK22" s="7"/>
      <c r="FM22" s="69" t="s">
        <v>141</v>
      </c>
      <c r="GQ22" s="69" t="s">
        <v>141</v>
      </c>
      <c r="HU22" s="69" t="s">
        <v>141</v>
      </c>
      <c r="OR22" s="7"/>
      <c r="OU22" s="7"/>
    </row>
    <row r="23" spans="1:469" x14ac:dyDescent="0.2">
      <c r="A23" s="71"/>
      <c r="B23" s="71"/>
      <c r="C23" s="70"/>
    </row>
    <row r="24" spans="1:469" x14ac:dyDescent="0.2">
      <c r="A24" s="71"/>
      <c r="B24" s="71"/>
      <c r="C24" s="70"/>
    </row>
    <row r="25" spans="1:469" x14ac:dyDescent="0.2">
      <c r="A25" s="71"/>
      <c r="B25" s="71"/>
      <c r="C25" s="70"/>
    </row>
  </sheetData>
  <sheetProtection sheet="1" formatCells="0" formatColumns="0" formatRows="0"/>
  <autoFilter ref="A1:RE1" xr:uid="{39E202D5-9E50-D84C-9698-E2E5C20E9023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10" showButton="0"/>
    <filterColumn colId="111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3" showButton="0"/>
    <filterColumn colId="444" showButton="0"/>
    <filterColumn colId="445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sortState ref="A6:RE13">
      <sortCondition descending="1" ref="F1:F13"/>
    </sortState>
  </autoFilter>
  <mergeCells count="126">
    <mergeCell ref="A1:A3"/>
    <mergeCell ref="B1:B3"/>
    <mergeCell ref="C1:C3"/>
    <mergeCell ref="E1:E3"/>
    <mergeCell ref="G1:G3"/>
    <mergeCell ref="FR1:GU1"/>
    <mergeCell ref="FR2:FU2"/>
    <mergeCell ref="FV2:FY2"/>
    <mergeCell ref="FZ2:GC2"/>
    <mergeCell ref="GD2:GG2"/>
    <mergeCell ref="GH2:GK2"/>
    <mergeCell ref="GL2:GO2"/>
    <mergeCell ref="DJ1:EM1"/>
    <mergeCell ref="EN1:FQ1"/>
    <mergeCell ref="I1:I3"/>
    <mergeCell ref="J1:J3"/>
    <mergeCell ref="L1:L3"/>
    <mergeCell ref="N1:N3"/>
    <mergeCell ref="P1:P3"/>
    <mergeCell ref="R1:R3"/>
    <mergeCell ref="AO2:AR2"/>
    <mergeCell ref="U1:AX1"/>
    <mergeCell ref="AY1:CB1"/>
    <mergeCell ref="CC1:DF1"/>
    <mergeCell ref="DG1:DI1"/>
    <mergeCell ref="U2:X2"/>
    <mergeCell ref="Y2:AB2"/>
    <mergeCell ref="AC2:AF2"/>
    <mergeCell ref="FD2:FG2"/>
    <mergeCell ref="AG2:AJ2"/>
    <mergeCell ref="AK2:AN2"/>
    <mergeCell ref="CW2:CZ2"/>
    <mergeCell ref="AY2:BB2"/>
    <mergeCell ref="BC2:BF2"/>
    <mergeCell ref="BG2:BJ2"/>
    <mergeCell ref="BK2:BN2"/>
    <mergeCell ref="BO2:BR2"/>
    <mergeCell ref="BS2:BV2"/>
    <mergeCell ref="CC2:CF2"/>
    <mergeCell ref="CG2:CJ2"/>
    <mergeCell ref="CK2:CN2"/>
    <mergeCell ref="CO2:CR2"/>
    <mergeCell ref="CS2:CV2"/>
    <mergeCell ref="FH2:FK2"/>
    <mergeCell ref="DJ2:DM2"/>
    <mergeCell ref="DN2:DQ2"/>
    <mergeCell ref="DR2:DU2"/>
    <mergeCell ref="DV2:DY2"/>
    <mergeCell ref="DZ2:EC2"/>
    <mergeCell ref="ED2:EG2"/>
    <mergeCell ref="EN2:EQ2"/>
    <mergeCell ref="ER2:EU2"/>
    <mergeCell ref="EV2:EY2"/>
    <mergeCell ref="EZ2:FC2"/>
    <mergeCell ref="HZ1:JC1"/>
    <mergeCell ref="GV2:GY2"/>
    <mergeCell ref="GZ2:HC2"/>
    <mergeCell ref="HD2:HG2"/>
    <mergeCell ref="HH2:HK2"/>
    <mergeCell ref="HL2:HO2"/>
    <mergeCell ref="HP2:HS2"/>
    <mergeCell ref="HZ2:IC2"/>
    <mergeCell ref="ID2:IG2"/>
    <mergeCell ref="IH2:IK2"/>
    <mergeCell ref="IL2:IO2"/>
    <mergeCell ref="IP2:IS2"/>
    <mergeCell ref="IT2:IW2"/>
    <mergeCell ref="GV1:HY1"/>
    <mergeCell ref="JD1:KG1"/>
    <mergeCell ref="KH1:LK1"/>
    <mergeCell ref="JD2:JG2"/>
    <mergeCell ref="JH2:JK2"/>
    <mergeCell ref="JL2:JO2"/>
    <mergeCell ref="JP2:JS2"/>
    <mergeCell ref="JT2:JW2"/>
    <mergeCell ref="JX2:KA2"/>
    <mergeCell ref="KH2:KK2"/>
    <mergeCell ref="KL2:KO2"/>
    <mergeCell ref="KP2:KS2"/>
    <mergeCell ref="KT2:KW2"/>
    <mergeCell ref="KX2:LA2"/>
    <mergeCell ref="LB2:LE2"/>
    <mergeCell ref="LL1:MO1"/>
    <mergeCell ref="MP1:NS1"/>
    <mergeCell ref="LL2:LO2"/>
    <mergeCell ref="LP2:LS2"/>
    <mergeCell ref="LT2:LW2"/>
    <mergeCell ref="LX2:MA2"/>
    <mergeCell ref="MB2:ME2"/>
    <mergeCell ref="MF2:MI2"/>
    <mergeCell ref="MP2:MS2"/>
    <mergeCell ref="MT2:MW2"/>
    <mergeCell ref="MX2:NA2"/>
    <mergeCell ref="NB2:NE2"/>
    <mergeCell ref="NF2:NI2"/>
    <mergeCell ref="NJ2:NM2"/>
    <mergeCell ref="QB1:RE1"/>
    <mergeCell ref="QB2:QE2"/>
    <mergeCell ref="QF2:QI2"/>
    <mergeCell ref="QJ2:QM2"/>
    <mergeCell ref="QN2:QQ2"/>
    <mergeCell ref="QR2:QU2"/>
    <mergeCell ref="QV2:QY2"/>
    <mergeCell ref="NT1:OW1"/>
    <mergeCell ref="OX1:QA1"/>
    <mergeCell ref="NT2:NW2"/>
    <mergeCell ref="NX2:OA2"/>
    <mergeCell ref="OB2:OE2"/>
    <mergeCell ref="OF2:OI2"/>
    <mergeCell ref="OJ2:OM2"/>
    <mergeCell ref="ON2:OQ2"/>
    <mergeCell ref="OX2:PA2"/>
    <mergeCell ref="PB2:PE2"/>
    <mergeCell ref="PF2:PI2"/>
    <mergeCell ref="PJ2:PM2"/>
    <mergeCell ref="PN2:PQ2"/>
    <mergeCell ref="PR2:PU2"/>
    <mergeCell ref="F1:F3"/>
    <mergeCell ref="M1:M3"/>
    <mergeCell ref="K1:K3"/>
    <mergeCell ref="O1:O3"/>
    <mergeCell ref="Q1:Q3"/>
    <mergeCell ref="H1:H3"/>
    <mergeCell ref="D1:D3"/>
    <mergeCell ref="S1:S3"/>
    <mergeCell ref="T1:T3"/>
  </mergeCells>
  <conditionalFormatting sqref="A1:A1048576">
    <cfRule type="expression" dxfId="39" priority="67">
      <formula>AND(H1="P",F1="")</formula>
    </cfRule>
  </conditionalFormatting>
  <conditionalFormatting sqref="I1:I1048576">
    <cfRule type="containsText" dxfId="38" priority="68" operator="containsText" text="Merit">
      <formula>NOT(ISERROR(SEARCH("Merit",I1)))</formula>
    </cfRule>
    <cfRule type="containsText" dxfId="37" priority="69" operator="containsText" text="Funding">
      <formula>NOT(ISERROR(SEARCH("Funding",I1)))</formula>
    </cfRule>
    <cfRule type="containsText" dxfId="36" priority="70" operator="containsText" text="Worlds Team">
      <formula>NOT(ISERROR(SEARCH("Worlds Team",I1)))</formula>
    </cfRule>
    <cfRule type="containsText" dxfId="35" priority="699" operator="containsText" text="National Team">
      <formula>NOT(ISERROR(SEARCH("National Team",I1)))</formula>
    </cfRule>
  </conditionalFormatting>
  <conditionalFormatting sqref="K1:K1048576">
    <cfRule type="expression" dxfId="34" priority="1233">
      <formula>IF(J1=DD1,1,0)</formula>
    </cfRule>
    <cfRule type="expression" dxfId="33" priority="1234">
      <formula>IF(J1=BZ1,1,0)</formula>
    </cfRule>
    <cfRule type="expression" dxfId="32" priority="1235">
      <formula>IF(J1=AV1,1,0)</formula>
    </cfRule>
  </conditionalFormatting>
  <conditionalFormatting sqref="M1:M1048576">
    <cfRule type="expression" dxfId="31" priority="1236">
      <formula>IF(L1=DB1,1,0)</formula>
    </cfRule>
    <cfRule type="expression" dxfId="30" priority="1237">
      <formula>IF(L1=BX1,1,0)</formula>
    </cfRule>
    <cfRule type="expression" dxfId="29" priority="1238">
      <formula>IF(L1=AT1,1,0)</formula>
    </cfRule>
  </conditionalFormatting>
  <conditionalFormatting sqref="O1:O1048576 Q1:Q1048576">
    <cfRule type="expression" dxfId="28" priority="1242">
      <formula>IF(N1=DC1,1,0)</formula>
    </cfRule>
    <cfRule type="expression" dxfId="27" priority="1243">
      <formula>IF(N1=BY1,1,0)</formula>
    </cfRule>
    <cfRule type="expression" dxfId="26" priority="1244">
      <formula>IF(N1=AU1,1,0)</formula>
    </cfRule>
  </conditionalFormatting>
  <conditionalFormatting sqref="AS1:AS1048576 BW1:BW1048576 DA2:DA1048576 EH1:EH1048576 FL1:FL1048576 GP1:GP1048576 HT1:HT1048576 IX1:IX1048576 KB1:KB1048576 LF1:LF1048576 MJ1:MJ1048576 NN1:NN1048576 OR1:OR1048576 PV1:PV1048576 QZ1:QZ1048576">
    <cfRule type="cellIs" dxfId="25" priority="2469" operator="between">
      <formula>AT$17</formula>
      <formula>100</formula>
    </cfRule>
    <cfRule type="cellIs" dxfId="24" priority="2470" operator="between">
      <formula>AT$16</formula>
      <formula>AT$17</formula>
    </cfRule>
  </conditionalFormatting>
  <conditionalFormatting sqref="AV1:AV1048576 BZ1:BZ1048576 DD2:DD1048576 EK1:EK1048576 FO1:FO1048576 GS1:GS1048576 HW1:HW1048576 JA1:JA1048576 KE1:KE1048576 LI1:LI1048576 MM1:MM1048576 NQ1:NQ1048576 OU1:OU1048576 PY1:PY1048576 RC1:RC1048576">
    <cfRule type="cellIs" dxfId="23" priority="2559" operator="between">
      <formula>AT$21</formula>
      <formula>1000</formula>
    </cfRule>
    <cfRule type="cellIs" dxfId="22" priority="2560" operator="between">
      <formula>AT$20</formula>
      <formula>AT$21</formula>
    </cfRule>
    <cfRule type="cellIs" dxfId="21" priority="2561" operator="between">
      <formula>AT$19</formula>
      <formula>AT$20</formula>
    </cfRule>
    <cfRule type="cellIs" dxfId="20" priority="2562" operator="between">
      <formula>AT$18</formula>
      <formula>AT$19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RE30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6.33203125" customWidth="1"/>
    <col min="6" max="6" width="15.83203125" customWidth="1"/>
    <col min="7" max="7" width="15" customWidth="1"/>
    <col min="9" max="9" width="13.33203125" bestFit="1" customWidth="1"/>
    <col min="11" max="11" width="20.5" bestFit="1" customWidth="1"/>
    <col min="12" max="12" width="11.83203125" bestFit="1" customWidth="1"/>
    <col min="13" max="13" width="20.5" bestFit="1" customWidth="1"/>
    <col min="14" max="14" width="11.83203125" bestFit="1" customWidth="1"/>
    <col min="15" max="15" width="20.5" bestFit="1" customWidth="1"/>
    <col min="17" max="17" width="20.5" bestFit="1" customWidth="1"/>
    <col min="18" max="18" width="24.6640625" bestFit="1" customWidth="1"/>
    <col min="19" max="19" width="13" bestFit="1" customWidth="1"/>
    <col min="20" max="20" width="38.5" bestFit="1" customWidth="1"/>
    <col min="21" max="44" width="10.83203125" hidden="1" customWidth="1"/>
    <col min="45" max="50" width="10.83203125" customWidth="1"/>
    <col min="51" max="74" width="10.83203125" hidden="1" customWidth="1"/>
    <col min="75" max="80" width="10.83203125" customWidth="1"/>
    <col min="81" max="104" width="10.83203125" hidden="1" customWidth="1"/>
    <col min="105" max="110" width="10.83203125" customWidth="1"/>
    <col min="114" max="137" width="10.83203125" hidden="1" customWidth="1"/>
    <col min="138" max="143" width="10.83203125" customWidth="1"/>
    <col min="144" max="167" width="10.83203125" hidden="1" customWidth="1"/>
    <col min="168" max="173" width="10.83203125" customWidth="1"/>
    <col min="174" max="197" width="10.83203125" hidden="1" customWidth="1"/>
    <col min="198" max="203" width="10.83203125" customWidth="1"/>
    <col min="204" max="227" width="10.83203125" hidden="1" customWidth="1"/>
    <col min="228" max="233" width="10.83203125" customWidth="1"/>
    <col min="234" max="257" width="10.83203125" hidden="1" customWidth="1"/>
    <col min="258" max="263" width="10.83203125" customWidth="1"/>
    <col min="264" max="287" width="10.83203125" hidden="1" customWidth="1"/>
    <col min="288" max="293" width="10.83203125" customWidth="1"/>
    <col min="294" max="317" width="10.83203125" hidden="1" customWidth="1"/>
    <col min="318" max="323" width="10.83203125" customWidth="1"/>
    <col min="324" max="347" width="10.83203125" hidden="1" customWidth="1"/>
    <col min="348" max="353" width="10.83203125" customWidth="1"/>
    <col min="354" max="377" width="10.83203125" hidden="1" customWidth="1"/>
    <col min="378" max="383" width="10.83203125" customWidth="1"/>
    <col min="384" max="407" width="10.83203125" hidden="1" customWidth="1"/>
    <col min="408" max="413" width="10.83203125" customWidth="1"/>
    <col min="414" max="437" width="10.83203125" hidden="1" customWidth="1"/>
    <col min="438" max="443" width="10.83203125" customWidth="1"/>
    <col min="444" max="467" width="10.83203125" hidden="1" customWidth="1"/>
    <col min="468" max="473" width="10.83203125" customWidth="1"/>
  </cols>
  <sheetData>
    <row r="1" spans="1:473" x14ac:dyDescent="0.2">
      <c r="A1" s="101" t="s">
        <v>2</v>
      </c>
      <c r="B1" s="101" t="s">
        <v>51</v>
      </c>
      <c r="C1" s="101" t="s">
        <v>0</v>
      </c>
      <c r="D1" s="101" t="s">
        <v>1</v>
      </c>
      <c r="E1" s="101" t="s">
        <v>3</v>
      </c>
      <c r="F1" s="104" t="s">
        <v>123</v>
      </c>
      <c r="G1" s="104" t="s">
        <v>122</v>
      </c>
      <c r="H1" s="101" t="s">
        <v>22</v>
      </c>
      <c r="I1" s="101" t="s">
        <v>23</v>
      </c>
      <c r="J1" s="102" t="s">
        <v>24</v>
      </c>
      <c r="K1" s="102" t="s">
        <v>87</v>
      </c>
      <c r="L1" s="102" t="s">
        <v>54</v>
      </c>
      <c r="M1" s="102" t="s">
        <v>87</v>
      </c>
      <c r="N1" s="102" t="s">
        <v>55</v>
      </c>
      <c r="O1" s="102" t="s">
        <v>87</v>
      </c>
      <c r="P1" s="102" t="s">
        <v>27</v>
      </c>
      <c r="Q1" s="102" t="s">
        <v>87</v>
      </c>
      <c r="R1" s="103" t="s">
        <v>28</v>
      </c>
      <c r="S1" s="102" t="s">
        <v>90</v>
      </c>
      <c r="T1" s="102" t="s">
        <v>87</v>
      </c>
      <c r="U1" s="97" t="s">
        <v>92</v>
      </c>
      <c r="V1" s="97"/>
      <c r="W1" s="97"/>
      <c r="X1" s="97"/>
      <c r="Y1" s="97"/>
      <c r="Z1" s="97"/>
      <c r="AA1" s="97"/>
      <c r="AB1" s="97"/>
      <c r="AC1" s="97"/>
      <c r="AD1" s="97"/>
      <c r="AE1" s="97"/>
      <c r="AF1" s="97"/>
      <c r="AG1" s="97"/>
      <c r="AH1" s="97"/>
      <c r="AI1" s="97"/>
      <c r="AJ1" s="97"/>
      <c r="AK1" s="97"/>
      <c r="AL1" s="97"/>
      <c r="AM1" s="97"/>
      <c r="AN1" s="97"/>
      <c r="AO1" s="97"/>
      <c r="AP1" s="97"/>
      <c r="AQ1" s="97"/>
      <c r="AR1" s="97"/>
      <c r="AS1" s="97"/>
      <c r="AT1" s="97"/>
      <c r="AU1" s="97"/>
      <c r="AV1" s="97"/>
      <c r="AW1" s="97"/>
      <c r="AX1" s="97"/>
      <c r="AY1" s="96" t="s">
        <v>124</v>
      </c>
      <c r="AZ1" s="96"/>
      <c r="BA1" s="96"/>
      <c r="BB1" s="96"/>
      <c r="BC1" s="96"/>
      <c r="BD1" s="96"/>
      <c r="BE1" s="96"/>
      <c r="BF1" s="96"/>
      <c r="BG1" s="96"/>
      <c r="BH1" s="96"/>
      <c r="BI1" s="96"/>
      <c r="BJ1" s="96"/>
      <c r="BK1" s="96"/>
      <c r="BL1" s="96"/>
      <c r="BM1" s="96"/>
      <c r="BN1" s="96"/>
      <c r="BO1" s="96"/>
      <c r="BP1" s="96"/>
      <c r="BQ1" s="96"/>
      <c r="BR1" s="96"/>
      <c r="BS1" s="96"/>
      <c r="BT1" s="96"/>
      <c r="BU1" s="96"/>
      <c r="BV1" s="96"/>
      <c r="BW1" s="96"/>
      <c r="BX1" s="96"/>
      <c r="BY1" s="96"/>
      <c r="BZ1" s="96"/>
      <c r="CA1" s="96"/>
      <c r="CB1" s="96"/>
      <c r="CC1" s="97" t="s">
        <v>142</v>
      </c>
      <c r="CD1" s="97"/>
      <c r="CE1" s="97"/>
      <c r="CF1" s="97"/>
      <c r="CG1" s="97"/>
      <c r="CH1" s="97"/>
      <c r="CI1" s="97"/>
      <c r="CJ1" s="97"/>
      <c r="CK1" s="97"/>
      <c r="CL1" s="97"/>
      <c r="CM1" s="97"/>
      <c r="CN1" s="97"/>
      <c r="CO1" s="97"/>
      <c r="CP1" s="97"/>
      <c r="CQ1" s="97"/>
      <c r="CR1" s="97"/>
      <c r="CS1" s="97"/>
      <c r="CT1" s="97"/>
      <c r="CU1" s="97"/>
      <c r="CV1" s="97"/>
      <c r="CW1" s="97"/>
      <c r="CX1" s="97"/>
      <c r="CY1" s="97"/>
      <c r="CZ1" s="97"/>
      <c r="DA1" s="97"/>
      <c r="DB1" s="97"/>
      <c r="DC1" s="97"/>
      <c r="DD1" s="97"/>
      <c r="DE1" s="97"/>
      <c r="DF1" s="97"/>
      <c r="DG1" s="100" t="s">
        <v>28</v>
      </c>
      <c r="DH1" s="100"/>
      <c r="DI1" s="100"/>
      <c r="DJ1" s="111" t="s">
        <v>89</v>
      </c>
      <c r="DK1" s="111"/>
      <c r="DL1" s="111"/>
      <c r="DM1" s="111"/>
      <c r="DN1" s="111"/>
      <c r="DO1" s="111"/>
      <c r="DP1" s="111"/>
      <c r="DQ1" s="111"/>
      <c r="DR1" s="111"/>
      <c r="DS1" s="111"/>
      <c r="DT1" s="111"/>
      <c r="DU1" s="111"/>
      <c r="DV1" s="111"/>
      <c r="DW1" s="111"/>
      <c r="DX1" s="111"/>
      <c r="DY1" s="111"/>
      <c r="DZ1" s="111"/>
      <c r="EA1" s="111"/>
      <c r="EB1" s="111"/>
      <c r="EC1" s="111"/>
      <c r="ED1" s="111"/>
      <c r="EE1" s="111"/>
      <c r="EF1" s="111"/>
      <c r="EG1" s="111"/>
      <c r="EH1" s="111"/>
      <c r="EI1" s="111"/>
      <c r="EJ1" s="111"/>
      <c r="EK1" s="111"/>
      <c r="EL1" s="111"/>
      <c r="EM1" s="111"/>
      <c r="EN1" s="109" t="s">
        <v>108</v>
      </c>
      <c r="EO1" s="109"/>
      <c r="EP1" s="109"/>
      <c r="EQ1" s="109"/>
      <c r="ER1" s="109"/>
      <c r="ES1" s="109"/>
      <c r="ET1" s="109"/>
      <c r="EU1" s="109"/>
      <c r="EV1" s="109"/>
      <c r="EW1" s="109"/>
      <c r="EX1" s="109"/>
      <c r="EY1" s="109"/>
      <c r="EZ1" s="109"/>
      <c r="FA1" s="109"/>
      <c r="FB1" s="109"/>
      <c r="FC1" s="109"/>
      <c r="FD1" s="109"/>
      <c r="FE1" s="109"/>
      <c r="FF1" s="109"/>
      <c r="FG1" s="109"/>
      <c r="FH1" s="109"/>
      <c r="FI1" s="109"/>
      <c r="FJ1" s="109"/>
      <c r="FK1" s="109"/>
      <c r="FL1" s="109"/>
      <c r="FM1" s="109"/>
      <c r="FN1" s="109"/>
      <c r="FO1" s="109"/>
      <c r="FP1" s="109"/>
      <c r="FQ1" s="109"/>
      <c r="FR1" s="111" t="s">
        <v>116</v>
      </c>
      <c r="FS1" s="111"/>
      <c r="FT1" s="111"/>
      <c r="FU1" s="111"/>
      <c r="FV1" s="111"/>
      <c r="FW1" s="111"/>
      <c r="FX1" s="111"/>
      <c r="FY1" s="111"/>
      <c r="FZ1" s="111"/>
      <c r="GA1" s="111"/>
      <c r="GB1" s="111"/>
      <c r="GC1" s="111"/>
      <c r="GD1" s="111"/>
      <c r="GE1" s="111"/>
      <c r="GF1" s="111"/>
      <c r="GG1" s="111"/>
      <c r="GH1" s="111"/>
      <c r="GI1" s="111"/>
      <c r="GJ1" s="111"/>
      <c r="GK1" s="111"/>
      <c r="GL1" s="111"/>
      <c r="GM1" s="111"/>
      <c r="GN1" s="111"/>
      <c r="GO1" s="111"/>
      <c r="GP1" s="111"/>
      <c r="GQ1" s="111"/>
      <c r="GR1" s="111"/>
      <c r="GS1" s="111"/>
      <c r="GT1" s="111"/>
      <c r="GU1" s="111"/>
      <c r="GV1" s="109" t="s">
        <v>118</v>
      </c>
      <c r="GW1" s="109"/>
      <c r="GX1" s="109"/>
      <c r="GY1" s="109"/>
      <c r="GZ1" s="109"/>
      <c r="HA1" s="109"/>
      <c r="HB1" s="109"/>
      <c r="HC1" s="109"/>
      <c r="HD1" s="109"/>
      <c r="HE1" s="109"/>
      <c r="HF1" s="109"/>
      <c r="HG1" s="109"/>
      <c r="HH1" s="109"/>
      <c r="HI1" s="109"/>
      <c r="HJ1" s="109"/>
      <c r="HK1" s="109"/>
      <c r="HL1" s="109"/>
      <c r="HM1" s="109"/>
      <c r="HN1" s="109"/>
      <c r="HO1" s="109"/>
      <c r="HP1" s="109"/>
      <c r="HQ1" s="109"/>
      <c r="HR1" s="109"/>
      <c r="HS1" s="109"/>
      <c r="HT1" s="109"/>
      <c r="HU1" s="109"/>
      <c r="HV1" s="109"/>
      <c r="HW1" s="109"/>
      <c r="HX1" s="109"/>
      <c r="HY1" s="109"/>
      <c r="HZ1" s="111" t="s">
        <v>119</v>
      </c>
      <c r="IA1" s="111"/>
      <c r="IB1" s="111"/>
      <c r="IC1" s="111"/>
      <c r="ID1" s="111"/>
      <c r="IE1" s="111"/>
      <c r="IF1" s="111"/>
      <c r="IG1" s="111"/>
      <c r="IH1" s="111"/>
      <c r="II1" s="111"/>
      <c r="IJ1" s="111"/>
      <c r="IK1" s="111"/>
      <c r="IL1" s="111"/>
      <c r="IM1" s="111"/>
      <c r="IN1" s="111"/>
      <c r="IO1" s="111"/>
      <c r="IP1" s="111"/>
      <c r="IQ1" s="111"/>
      <c r="IR1" s="111"/>
      <c r="IS1" s="111"/>
      <c r="IT1" s="111"/>
      <c r="IU1" s="111"/>
      <c r="IV1" s="111"/>
      <c r="IW1" s="111"/>
      <c r="IX1" s="111"/>
      <c r="IY1" s="111"/>
      <c r="IZ1" s="111"/>
      <c r="JA1" s="111"/>
      <c r="JB1" s="111"/>
      <c r="JC1" s="111"/>
      <c r="JD1" s="109"/>
      <c r="JE1" s="109"/>
      <c r="JF1" s="109"/>
      <c r="JG1" s="109"/>
      <c r="JH1" s="109"/>
      <c r="JI1" s="109"/>
      <c r="JJ1" s="109"/>
      <c r="JK1" s="109"/>
      <c r="JL1" s="109"/>
      <c r="JM1" s="109"/>
      <c r="JN1" s="109"/>
      <c r="JO1" s="109"/>
      <c r="JP1" s="109"/>
      <c r="JQ1" s="109"/>
      <c r="JR1" s="109"/>
      <c r="JS1" s="109"/>
      <c r="JT1" s="109"/>
      <c r="JU1" s="109"/>
      <c r="JV1" s="109"/>
      <c r="JW1" s="109"/>
      <c r="JX1" s="109"/>
      <c r="JY1" s="109"/>
      <c r="JZ1" s="109"/>
      <c r="KA1" s="109"/>
      <c r="KB1" s="109"/>
      <c r="KC1" s="109"/>
      <c r="KD1" s="109"/>
      <c r="KE1" s="109"/>
      <c r="KF1" s="109"/>
      <c r="KG1" s="109"/>
      <c r="KH1" s="111"/>
      <c r="KI1" s="111"/>
      <c r="KJ1" s="111"/>
      <c r="KK1" s="111"/>
      <c r="KL1" s="111"/>
      <c r="KM1" s="111"/>
      <c r="KN1" s="111"/>
      <c r="KO1" s="111"/>
      <c r="KP1" s="111"/>
      <c r="KQ1" s="111"/>
      <c r="KR1" s="111"/>
      <c r="KS1" s="111"/>
      <c r="KT1" s="111"/>
      <c r="KU1" s="111"/>
      <c r="KV1" s="111"/>
      <c r="KW1" s="111"/>
      <c r="KX1" s="111"/>
      <c r="KY1" s="111"/>
      <c r="KZ1" s="111"/>
      <c r="LA1" s="111"/>
      <c r="LB1" s="111"/>
      <c r="LC1" s="111"/>
      <c r="LD1" s="111"/>
      <c r="LE1" s="111"/>
      <c r="LF1" s="111"/>
      <c r="LG1" s="111"/>
      <c r="LH1" s="111"/>
      <c r="LI1" s="111"/>
      <c r="LJ1" s="111"/>
      <c r="LK1" s="111"/>
      <c r="LL1" s="109"/>
      <c r="LM1" s="109"/>
      <c r="LN1" s="109"/>
      <c r="LO1" s="109"/>
      <c r="LP1" s="109"/>
      <c r="LQ1" s="109"/>
      <c r="LR1" s="109"/>
      <c r="LS1" s="109"/>
      <c r="LT1" s="109"/>
      <c r="LU1" s="109"/>
      <c r="LV1" s="109"/>
      <c r="LW1" s="109"/>
      <c r="LX1" s="109"/>
      <c r="LY1" s="109"/>
      <c r="LZ1" s="109"/>
      <c r="MA1" s="109"/>
      <c r="MB1" s="109"/>
      <c r="MC1" s="109"/>
      <c r="MD1" s="109"/>
      <c r="ME1" s="109"/>
      <c r="MF1" s="109"/>
      <c r="MG1" s="109"/>
      <c r="MH1" s="109"/>
      <c r="MI1" s="109"/>
      <c r="MJ1" s="109"/>
      <c r="MK1" s="109"/>
      <c r="ML1" s="109"/>
      <c r="MM1" s="109"/>
      <c r="MN1" s="109"/>
      <c r="MO1" s="109"/>
      <c r="MP1" s="111"/>
      <c r="MQ1" s="111"/>
      <c r="MR1" s="111"/>
      <c r="MS1" s="111"/>
      <c r="MT1" s="111"/>
      <c r="MU1" s="111"/>
      <c r="MV1" s="111"/>
      <c r="MW1" s="111"/>
      <c r="MX1" s="111"/>
      <c r="MY1" s="111"/>
      <c r="MZ1" s="111"/>
      <c r="NA1" s="111"/>
      <c r="NB1" s="111"/>
      <c r="NC1" s="111"/>
      <c r="ND1" s="111"/>
      <c r="NE1" s="111"/>
      <c r="NF1" s="111"/>
      <c r="NG1" s="111"/>
      <c r="NH1" s="111"/>
      <c r="NI1" s="111"/>
      <c r="NJ1" s="111"/>
      <c r="NK1" s="111"/>
      <c r="NL1" s="111"/>
      <c r="NM1" s="111"/>
      <c r="NN1" s="111"/>
      <c r="NO1" s="111"/>
      <c r="NP1" s="111"/>
      <c r="NQ1" s="111"/>
      <c r="NR1" s="111"/>
      <c r="NS1" s="111"/>
      <c r="NT1" s="109"/>
      <c r="NU1" s="109"/>
      <c r="NV1" s="109"/>
      <c r="NW1" s="109"/>
      <c r="NX1" s="109"/>
      <c r="NY1" s="109"/>
      <c r="NZ1" s="109"/>
      <c r="OA1" s="109"/>
      <c r="OB1" s="109"/>
      <c r="OC1" s="109"/>
      <c r="OD1" s="109"/>
      <c r="OE1" s="109"/>
      <c r="OF1" s="109"/>
      <c r="OG1" s="109"/>
      <c r="OH1" s="109"/>
      <c r="OI1" s="109"/>
      <c r="OJ1" s="109"/>
      <c r="OK1" s="109"/>
      <c r="OL1" s="109"/>
      <c r="OM1" s="109"/>
      <c r="ON1" s="109"/>
      <c r="OO1" s="109"/>
      <c r="OP1" s="109"/>
      <c r="OQ1" s="109"/>
      <c r="OR1" s="109"/>
      <c r="OS1" s="109"/>
      <c r="OT1" s="109"/>
      <c r="OU1" s="109"/>
      <c r="OV1" s="109"/>
      <c r="OW1" s="109"/>
      <c r="OX1" s="111"/>
      <c r="OY1" s="111"/>
      <c r="OZ1" s="111"/>
      <c r="PA1" s="111"/>
      <c r="PB1" s="111"/>
      <c r="PC1" s="111"/>
      <c r="PD1" s="111"/>
      <c r="PE1" s="111"/>
      <c r="PF1" s="111"/>
      <c r="PG1" s="111"/>
      <c r="PH1" s="111"/>
      <c r="PI1" s="111"/>
      <c r="PJ1" s="111"/>
      <c r="PK1" s="111"/>
      <c r="PL1" s="111"/>
      <c r="PM1" s="111"/>
      <c r="PN1" s="111"/>
      <c r="PO1" s="111"/>
      <c r="PP1" s="111"/>
      <c r="PQ1" s="111"/>
      <c r="PR1" s="111"/>
      <c r="PS1" s="111"/>
      <c r="PT1" s="111"/>
      <c r="PU1" s="111"/>
      <c r="PV1" s="111"/>
      <c r="PW1" s="111"/>
      <c r="PX1" s="111"/>
      <c r="PY1" s="111"/>
      <c r="PZ1" s="111"/>
      <c r="QA1" s="111"/>
      <c r="QB1" s="109"/>
      <c r="QC1" s="109"/>
      <c r="QD1" s="109"/>
      <c r="QE1" s="109"/>
      <c r="QF1" s="109"/>
      <c r="QG1" s="109"/>
      <c r="QH1" s="109"/>
      <c r="QI1" s="109"/>
      <c r="QJ1" s="109"/>
      <c r="QK1" s="109"/>
      <c r="QL1" s="109"/>
      <c r="QM1" s="109"/>
      <c r="QN1" s="109"/>
      <c r="QO1" s="109"/>
      <c r="QP1" s="109"/>
      <c r="QQ1" s="109"/>
      <c r="QR1" s="109"/>
      <c r="QS1" s="109"/>
      <c r="QT1" s="109"/>
      <c r="QU1" s="109"/>
      <c r="QV1" s="109"/>
      <c r="QW1" s="109"/>
      <c r="QX1" s="109"/>
      <c r="QY1" s="109"/>
      <c r="QZ1" s="109"/>
      <c r="RA1" s="109"/>
      <c r="RB1" s="109"/>
      <c r="RC1" s="109"/>
      <c r="RD1" s="109"/>
      <c r="RE1" s="109"/>
    </row>
    <row r="2" spans="1:473" x14ac:dyDescent="0.2">
      <c r="A2" s="101"/>
      <c r="B2" s="101"/>
      <c r="C2" s="101"/>
      <c r="D2" s="101"/>
      <c r="E2" s="101"/>
      <c r="F2" s="104"/>
      <c r="G2" s="104"/>
      <c r="H2" s="101"/>
      <c r="I2" s="101"/>
      <c r="J2" s="102"/>
      <c r="K2" s="102"/>
      <c r="L2" s="102"/>
      <c r="M2" s="102"/>
      <c r="N2" s="102"/>
      <c r="O2" s="102"/>
      <c r="P2" s="102"/>
      <c r="Q2" s="102"/>
      <c r="R2" s="103"/>
      <c r="S2" s="102"/>
      <c r="T2" s="102"/>
      <c r="U2" s="98" t="s">
        <v>56</v>
      </c>
      <c r="V2" s="98"/>
      <c r="W2" s="98"/>
      <c r="X2" s="98"/>
      <c r="Y2" s="98" t="s">
        <v>59</v>
      </c>
      <c r="Z2" s="98"/>
      <c r="AA2" s="98"/>
      <c r="AB2" s="98"/>
      <c r="AC2" s="98" t="s">
        <v>60</v>
      </c>
      <c r="AD2" s="98"/>
      <c r="AE2" s="98"/>
      <c r="AF2" s="98"/>
      <c r="AG2" s="107" t="s">
        <v>61</v>
      </c>
      <c r="AH2" s="107"/>
      <c r="AI2" s="107"/>
      <c r="AJ2" s="107"/>
      <c r="AK2" s="107" t="s">
        <v>62</v>
      </c>
      <c r="AL2" s="107"/>
      <c r="AM2" s="107"/>
      <c r="AN2" s="107"/>
      <c r="AO2" s="107" t="s">
        <v>63</v>
      </c>
      <c r="AP2" s="107"/>
      <c r="AQ2" s="107"/>
      <c r="AR2" s="107"/>
      <c r="AS2" s="73" t="s">
        <v>40</v>
      </c>
      <c r="AT2" s="11" t="s">
        <v>69</v>
      </c>
      <c r="AU2" s="11" t="s">
        <v>70</v>
      </c>
      <c r="AV2" s="11" t="s">
        <v>38</v>
      </c>
      <c r="AW2" s="11" t="s">
        <v>37</v>
      </c>
      <c r="AX2" s="11" t="s">
        <v>32</v>
      </c>
      <c r="AY2" s="99" t="s">
        <v>56</v>
      </c>
      <c r="AZ2" s="99"/>
      <c r="BA2" s="99"/>
      <c r="BB2" s="99"/>
      <c r="BC2" s="99" t="s">
        <v>59</v>
      </c>
      <c r="BD2" s="99"/>
      <c r="BE2" s="99"/>
      <c r="BF2" s="99"/>
      <c r="BG2" s="99" t="s">
        <v>60</v>
      </c>
      <c r="BH2" s="99"/>
      <c r="BI2" s="99"/>
      <c r="BJ2" s="99"/>
      <c r="BK2" s="110" t="s">
        <v>61</v>
      </c>
      <c r="BL2" s="110"/>
      <c r="BM2" s="110"/>
      <c r="BN2" s="110"/>
      <c r="BO2" s="110" t="s">
        <v>62</v>
      </c>
      <c r="BP2" s="110"/>
      <c r="BQ2" s="110"/>
      <c r="BR2" s="110"/>
      <c r="BS2" s="110" t="s">
        <v>63</v>
      </c>
      <c r="BT2" s="110"/>
      <c r="BU2" s="110"/>
      <c r="BV2" s="110"/>
      <c r="BW2" s="72" t="s">
        <v>40</v>
      </c>
      <c r="BX2" s="14" t="s">
        <v>69</v>
      </c>
      <c r="BY2" s="14" t="s">
        <v>70</v>
      </c>
      <c r="BZ2" s="14" t="s">
        <v>38</v>
      </c>
      <c r="CA2" s="14" t="s">
        <v>37</v>
      </c>
      <c r="CB2" s="14" t="s">
        <v>32</v>
      </c>
      <c r="CC2" s="98" t="s">
        <v>56</v>
      </c>
      <c r="CD2" s="98"/>
      <c r="CE2" s="98"/>
      <c r="CF2" s="98"/>
      <c r="CG2" s="98" t="s">
        <v>59</v>
      </c>
      <c r="CH2" s="98"/>
      <c r="CI2" s="98"/>
      <c r="CJ2" s="98"/>
      <c r="CK2" s="98" t="s">
        <v>60</v>
      </c>
      <c r="CL2" s="98"/>
      <c r="CM2" s="98"/>
      <c r="CN2" s="98"/>
      <c r="CO2" s="107" t="s">
        <v>61</v>
      </c>
      <c r="CP2" s="107"/>
      <c r="CQ2" s="107"/>
      <c r="CR2" s="107"/>
      <c r="CS2" s="107" t="s">
        <v>62</v>
      </c>
      <c r="CT2" s="107"/>
      <c r="CU2" s="107"/>
      <c r="CV2" s="107"/>
      <c r="CW2" s="107" t="s">
        <v>63</v>
      </c>
      <c r="CX2" s="107"/>
      <c r="CY2" s="107"/>
      <c r="CZ2" s="107"/>
      <c r="DA2" s="18" t="s">
        <v>40</v>
      </c>
      <c r="DB2" s="11" t="s">
        <v>69</v>
      </c>
      <c r="DC2" s="11" t="s">
        <v>70</v>
      </c>
      <c r="DD2" s="11" t="s">
        <v>38</v>
      </c>
      <c r="DE2" s="11" t="s">
        <v>37</v>
      </c>
      <c r="DF2" s="11" t="s">
        <v>32</v>
      </c>
      <c r="DG2" s="28" t="s">
        <v>69</v>
      </c>
      <c r="DH2" s="28" t="s">
        <v>70</v>
      </c>
      <c r="DI2" s="28" t="s">
        <v>37</v>
      </c>
      <c r="DJ2" s="98" t="s">
        <v>56</v>
      </c>
      <c r="DK2" s="98"/>
      <c r="DL2" s="98"/>
      <c r="DM2" s="98"/>
      <c r="DN2" s="98" t="s">
        <v>59</v>
      </c>
      <c r="DO2" s="98"/>
      <c r="DP2" s="98"/>
      <c r="DQ2" s="98"/>
      <c r="DR2" s="98" t="s">
        <v>60</v>
      </c>
      <c r="DS2" s="98"/>
      <c r="DT2" s="98"/>
      <c r="DU2" s="98"/>
      <c r="DV2" s="107" t="s">
        <v>61</v>
      </c>
      <c r="DW2" s="107"/>
      <c r="DX2" s="107"/>
      <c r="DY2" s="107"/>
      <c r="DZ2" s="107" t="s">
        <v>62</v>
      </c>
      <c r="EA2" s="107"/>
      <c r="EB2" s="107"/>
      <c r="EC2" s="107"/>
      <c r="ED2" s="107" t="s">
        <v>63</v>
      </c>
      <c r="EE2" s="107"/>
      <c r="EF2" s="107"/>
      <c r="EG2" s="107"/>
      <c r="EH2" s="73" t="s">
        <v>40</v>
      </c>
      <c r="EI2" s="11" t="s">
        <v>69</v>
      </c>
      <c r="EJ2" s="11" t="s">
        <v>70</v>
      </c>
      <c r="EK2" s="11" t="s">
        <v>38</v>
      </c>
      <c r="EL2" s="11" t="s">
        <v>37</v>
      </c>
      <c r="EM2" s="11" t="s">
        <v>32</v>
      </c>
      <c r="EN2" s="110" t="s">
        <v>56</v>
      </c>
      <c r="EO2" s="110"/>
      <c r="EP2" s="110"/>
      <c r="EQ2" s="110"/>
      <c r="ER2" s="110" t="s">
        <v>59</v>
      </c>
      <c r="ES2" s="110"/>
      <c r="ET2" s="110"/>
      <c r="EU2" s="110"/>
      <c r="EV2" s="110" t="s">
        <v>60</v>
      </c>
      <c r="EW2" s="110"/>
      <c r="EX2" s="110"/>
      <c r="EY2" s="110"/>
      <c r="EZ2" s="110" t="s">
        <v>61</v>
      </c>
      <c r="FA2" s="110"/>
      <c r="FB2" s="110"/>
      <c r="FC2" s="110"/>
      <c r="FD2" s="110" t="s">
        <v>62</v>
      </c>
      <c r="FE2" s="110"/>
      <c r="FF2" s="110"/>
      <c r="FG2" s="110"/>
      <c r="FH2" s="110" t="s">
        <v>63</v>
      </c>
      <c r="FI2" s="110"/>
      <c r="FJ2" s="110"/>
      <c r="FK2" s="110"/>
      <c r="FL2" s="77" t="s">
        <v>40</v>
      </c>
      <c r="FM2" s="19" t="s">
        <v>69</v>
      </c>
      <c r="FN2" s="19" t="s">
        <v>70</v>
      </c>
      <c r="FO2" s="19" t="s">
        <v>38</v>
      </c>
      <c r="FP2" s="19" t="s">
        <v>37</v>
      </c>
      <c r="FQ2" s="19" t="s">
        <v>32</v>
      </c>
      <c r="FR2" s="107" t="s">
        <v>56</v>
      </c>
      <c r="FS2" s="107"/>
      <c r="FT2" s="107"/>
      <c r="FU2" s="107"/>
      <c r="FV2" s="107" t="s">
        <v>59</v>
      </c>
      <c r="FW2" s="107"/>
      <c r="FX2" s="107"/>
      <c r="FY2" s="107"/>
      <c r="FZ2" s="107" t="s">
        <v>60</v>
      </c>
      <c r="GA2" s="107"/>
      <c r="GB2" s="107"/>
      <c r="GC2" s="107"/>
      <c r="GD2" s="107" t="s">
        <v>61</v>
      </c>
      <c r="GE2" s="107"/>
      <c r="GF2" s="107"/>
      <c r="GG2" s="107"/>
      <c r="GH2" s="107" t="s">
        <v>62</v>
      </c>
      <c r="GI2" s="107"/>
      <c r="GJ2" s="107"/>
      <c r="GK2" s="107"/>
      <c r="GL2" s="107" t="s">
        <v>63</v>
      </c>
      <c r="GM2" s="107"/>
      <c r="GN2" s="107"/>
      <c r="GO2" s="107"/>
      <c r="GP2" s="76" t="s">
        <v>40</v>
      </c>
      <c r="GQ2" s="20" t="s">
        <v>69</v>
      </c>
      <c r="GR2" s="20" t="s">
        <v>70</v>
      </c>
      <c r="GS2" s="20" t="s">
        <v>38</v>
      </c>
      <c r="GT2" s="20" t="s">
        <v>37</v>
      </c>
      <c r="GU2" s="20" t="s">
        <v>32</v>
      </c>
      <c r="GV2" s="110" t="s">
        <v>56</v>
      </c>
      <c r="GW2" s="110"/>
      <c r="GX2" s="110"/>
      <c r="GY2" s="110"/>
      <c r="GZ2" s="110" t="s">
        <v>59</v>
      </c>
      <c r="HA2" s="110"/>
      <c r="HB2" s="110"/>
      <c r="HC2" s="110"/>
      <c r="HD2" s="110" t="s">
        <v>60</v>
      </c>
      <c r="HE2" s="110"/>
      <c r="HF2" s="110"/>
      <c r="HG2" s="110"/>
      <c r="HH2" s="110" t="s">
        <v>61</v>
      </c>
      <c r="HI2" s="110"/>
      <c r="HJ2" s="110"/>
      <c r="HK2" s="110"/>
      <c r="HL2" s="110" t="s">
        <v>62</v>
      </c>
      <c r="HM2" s="110"/>
      <c r="HN2" s="110"/>
      <c r="HO2" s="110"/>
      <c r="HP2" s="110" t="s">
        <v>63</v>
      </c>
      <c r="HQ2" s="110"/>
      <c r="HR2" s="110"/>
      <c r="HS2" s="110"/>
      <c r="HT2" s="77" t="s">
        <v>40</v>
      </c>
      <c r="HU2" s="19" t="s">
        <v>69</v>
      </c>
      <c r="HV2" s="19" t="s">
        <v>70</v>
      </c>
      <c r="HW2" s="19" t="s">
        <v>38</v>
      </c>
      <c r="HX2" s="19" t="s">
        <v>37</v>
      </c>
      <c r="HY2" s="19" t="s">
        <v>32</v>
      </c>
      <c r="HZ2" s="107" t="s">
        <v>56</v>
      </c>
      <c r="IA2" s="107"/>
      <c r="IB2" s="107"/>
      <c r="IC2" s="107"/>
      <c r="ID2" s="107" t="s">
        <v>59</v>
      </c>
      <c r="IE2" s="107"/>
      <c r="IF2" s="107"/>
      <c r="IG2" s="107"/>
      <c r="IH2" s="107" t="s">
        <v>60</v>
      </c>
      <c r="II2" s="107"/>
      <c r="IJ2" s="107"/>
      <c r="IK2" s="107"/>
      <c r="IL2" s="107" t="s">
        <v>61</v>
      </c>
      <c r="IM2" s="107"/>
      <c r="IN2" s="107"/>
      <c r="IO2" s="107"/>
      <c r="IP2" s="107" t="s">
        <v>62</v>
      </c>
      <c r="IQ2" s="107"/>
      <c r="IR2" s="107"/>
      <c r="IS2" s="107"/>
      <c r="IT2" s="107" t="s">
        <v>63</v>
      </c>
      <c r="IU2" s="107"/>
      <c r="IV2" s="107"/>
      <c r="IW2" s="107"/>
      <c r="IX2" s="76" t="s">
        <v>40</v>
      </c>
      <c r="IY2" s="20" t="s">
        <v>69</v>
      </c>
      <c r="IZ2" s="20" t="s">
        <v>70</v>
      </c>
      <c r="JA2" s="20" t="s">
        <v>38</v>
      </c>
      <c r="JB2" s="20" t="s">
        <v>37</v>
      </c>
      <c r="JC2" s="20" t="s">
        <v>32</v>
      </c>
      <c r="JD2" s="110" t="s">
        <v>56</v>
      </c>
      <c r="JE2" s="110"/>
      <c r="JF2" s="110"/>
      <c r="JG2" s="110"/>
      <c r="JH2" s="110" t="s">
        <v>59</v>
      </c>
      <c r="JI2" s="110"/>
      <c r="JJ2" s="110"/>
      <c r="JK2" s="110"/>
      <c r="JL2" s="110" t="s">
        <v>60</v>
      </c>
      <c r="JM2" s="110"/>
      <c r="JN2" s="110"/>
      <c r="JO2" s="110"/>
      <c r="JP2" s="110" t="s">
        <v>61</v>
      </c>
      <c r="JQ2" s="110"/>
      <c r="JR2" s="110"/>
      <c r="JS2" s="110"/>
      <c r="JT2" s="110" t="s">
        <v>62</v>
      </c>
      <c r="JU2" s="110"/>
      <c r="JV2" s="110"/>
      <c r="JW2" s="110"/>
      <c r="JX2" s="110" t="s">
        <v>63</v>
      </c>
      <c r="JY2" s="110"/>
      <c r="JZ2" s="110"/>
      <c r="KA2" s="110"/>
      <c r="KB2" s="26" t="s">
        <v>40</v>
      </c>
      <c r="KC2" s="19" t="s">
        <v>69</v>
      </c>
      <c r="KD2" s="19" t="s">
        <v>70</v>
      </c>
      <c r="KE2" s="19" t="s">
        <v>38</v>
      </c>
      <c r="KF2" s="19" t="s">
        <v>37</v>
      </c>
      <c r="KG2" s="19" t="s">
        <v>32</v>
      </c>
      <c r="KH2" s="107" t="s">
        <v>56</v>
      </c>
      <c r="KI2" s="107"/>
      <c r="KJ2" s="107"/>
      <c r="KK2" s="107"/>
      <c r="KL2" s="107" t="s">
        <v>59</v>
      </c>
      <c r="KM2" s="107"/>
      <c r="KN2" s="107"/>
      <c r="KO2" s="107"/>
      <c r="KP2" s="107" t="s">
        <v>60</v>
      </c>
      <c r="KQ2" s="107"/>
      <c r="KR2" s="107"/>
      <c r="KS2" s="107"/>
      <c r="KT2" s="107" t="s">
        <v>61</v>
      </c>
      <c r="KU2" s="107"/>
      <c r="KV2" s="107"/>
      <c r="KW2" s="107"/>
      <c r="KX2" s="107" t="s">
        <v>62</v>
      </c>
      <c r="KY2" s="107"/>
      <c r="KZ2" s="107"/>
      <c r="LA2" s="107"/>
      <c r="LB2" s="107" t="s">
        <v>63</v>
      </c>
      <c r="LC2" s="107"/>
      <c r="LD2" s="107"/>
      <c r="LE2" s="107"/>
      <c r="LF2" s="27" t="s">
        <v>40</v>
      </c>
      <c r="LG2" s="20" t="s">
        <v>69</v>
      </c>
      <c r="LH2" s="20" t="s">
        <v>70</v>
      </c>
      <c r="LI2" s="20" t="s">
        <v>38</v>
      </c>
      <c r="LJ2" s="20" t="s">
        <v>37</v>
      </c>
      <c r="LK2" s="20" t="s">
        <v>32</v>
      </c>
      <c r="LL2" s="110" t="s">
        <v>56</v>
      </c>
      <c r="LM2" s="110"/>
      <c r="LN2" s="110"/>
      <c r="LO2" s="110"/>
      <c r="LP2" s="110" t="s">
        <v>59</v>
      </c>
      <c r="LQ2" s="110"/>
      <c r="LR2" s="110"/>
      <c r="LS2" s="110"/>
      <c r="LT2" s="110" t="s">
        <v>60</v>
      </c>
      <c r="LU2" s="110"/>
      <c r="LV2" s="110"/>
      <c r="LW2" s="110"/>
      <c r="LX2" s="110" t="s">
        <v>61</v>
      </c>
      <c r="LY2" s="110"/>
      <c r="LZ2" s="110"/>
      <c r="MA2" s="110"/>
      <c r="MB2" s="110" t="s">
        <v>62</v>
      </c>
      <c r="MC2" s="110"/>
      <c r="MD2" s="110"/>
      <c r="ME2" s="110"/>
      <c r="MF2" s="110" t="s">
        <v>63</v>
      </c>
      <c r="MG2" s="110"/>
      <c r="MH2" s="110"/>
      <c r="MI2" s="110"/>
      <c r="MJ2" s="26" t="s">
        <v>40</v>
      </c>
      <c r="MK2" s="19" t="s">
        <v>69</v>
      </c>
      <c r="ML2" s="19" t="s">
        <v>70</v>
      </c>
      <c r="MM2" s="19" t="s">
        <v>38</v>
      </c>
      <c r="MN2" s="19" t="s">
        <v>37</v>
      </c>
      <c r="MO2" s="19" t="s">
        <v>32</v>
      </c>
      <c r="MP2" s="107" t="s">
        <v>56</v>
      </c>
      <c r="MQ2" s="107"/>
      <c r="MR2" s="107"/>
      <c r="MS2" s="107"/>
      <c r="MT2" s="107" t="s">
        <v>59</v>
      </c>
      <c r="MU2" s="107"/>
      <c r="MV2" s="107"/>
      <c r="MW2" s="107"/>
      <c r="MX2" s="107" t="s">
        <v>60</v>
      </c>
      <c r="MY2" s="107"/>
      <c r="MZ2" s="107"/>
      <c r="NA2" s="107"/>
      <c r="NB2" s="107" t="s">
        <v>61</v>
      </c>
      <c r="NC2" s="107"/>
      <c r="ND2" s="107"/>
      <c r="NE2" s="107"/>
      <c r="NF2" s="107" t="s">
        <v>62</v>
      </c>
      <c r="NG2" s="107"/>
      <c r="NH2" s="107"/>
      <c r="NI2" s="107"/>
      <c r="NJ2" s="107" t="s">
        <v>63</v>
      </c>
      <c r="NK2" s="107"/>
      <c r="NL2" s="107"/>
      <c r="NM2" s="107"/>
      <c r="NN2" s="27" t="s">
        <v>40</v>
      </c>
      <c r="NO2" s="20" t="s">
        <v>69</v>
      </c>
      <c r="NP2" s="20" t="s">
        <v>70</v>
      </c>
      <c r="NQ2" s="20" t="s">
        <v>38</v>
      </c>
      <c r="NR2" s="20" t="s">
        <v>37</v>
      </c>
      <c r="NS2" s="20" t="s">
        <v>32</v>
      </c>
      <c r="NT2" s="110" t="s">
        <v>56</v>
      </c>
      <c r="NU2" s="110"/>
      <c r="NV2" s="110"/>
      <c r="NW2" s="110"/>
      <c r="NX2" s="110" t="s">
        <v>59</v>
      </c>
      <c r="NY2" s="110"/>
      <c r="NZ2" s="110"/>
      <c r="OA2" s="110"/>
      <c r="OB2" s="110" t="s">
        <v>60</v>
      </c>
      <c r="OC2" s="110"/>
      <c r="OD2" s="110"/>
      <c r="OE2" s="110"/>
      <c r="OF2" s="110" t="s">
        <v>61</v>
      </c>
      <c r="OG2" s="110"/>
      <c r="OH2" s="110"/>
      <c r="OI2" s="110"/>
      <c r="OJ2" s="110" t="s">
        <v>62</v>
      </c>
      <c r="OK2" s="110"/>
      <c r="OL2" s="110"/>
      <c r="OM2" s="110"/>
      <c r="ON2" s="110" t="s">
        <v>63</v>
      </c>
      <c r="OO2" s="110"/>
      <c r="OP2" s="110"/>
      <c r="OQ2" s="110"/>
      <c r="OR2" s="26" t="s">
        <v>40</v>
      </c>
      <c r="OS2" s="19" t="s">
        <v>69</v>
      </c>
      <c r="OT2" s="19" t="s">
        <v>70</v>
      </c>
      <c r="OU2" s="19" t="s">
        <v>38</v>
      </c>
      <c r="OV2" s="19" t="s">
        <v>37</v>
      </c>
      <c r="OW2" s="19" t="s">
        <v>32</v>
      </c>
      <c r="OX2" s="107" t="s">
        <v>56</v>
      </c>
      <c r="OY2" s="107"/>
      <c r="OZ2" s="107"/>
      <c r="PA2" s="107"/>
      <c r="PB2" s="107" t="s">
        <v>59</v>
      </c>
      <c r="PC2" s="107"/>
      <c r="PD2" s="107"/>
      <c r="PE2" s="107"/>
      <c r="PF2" s="107" t="s">
        <v>60</v>
      </c>
      <c r="PG2" s="107"/>
      <c r="PH2" s="107"/>
      <c r="PI2" s="107"/>
      <c r="PJ2" s="107" t="s">
        <v>61</v>
      </c>
      <c r="PK2" s="107"/>
      <c r="PL2" s="107"/>
      <c r="PM2" s="107"/>
      <c r="PN2" s="107" t="s">
        <v>62</v>
      </c>
      <c r="PO2" s="107"/>
      <c r="PP2" s="107"/>
      <c r="PQ2" s="107"/>
      <c r="PR2" s="107" t="s">
        <v>63</v>
      </c>
      <c r="PS2" s="107"/>
      <c r="PT2" s="107"/>
      <c r="PU2" s="107"/>
      <c r="PV2" s="27" t="s">
        <v>40</v>
      </c>
      <c r="PW2" s="20" t="s">
        <v>69</v>
      </c>
      <c r="PX2" s="20" t="s">
        <v>70</v>
      </c>
      <c r="PY2" s="20" t="s">
        <v>38</v>
      </c>
      <c r="PZ2" s="20" t="s">
        <v>37</v>
      </c>
      <c r="QA2" s="20" t="s">
        <v>32</v>
      </c>
      <c r="QB2" s="110" t="s">
        <v>56</v>
      </c>
      <c r="QC2" s="110"/>
      <c r="QD2" s="110"/>
      <c r="QE2" s="110"/>
      <c r="QF2" s="110" t="s">
        <v>59</v>
      </c>
      <c r="QG2" s="110"/>
      <c r="QH2" s="110"/>
      <c r="QI2" s="110"/>
      <c r="QJ2" s="110" t="s">
        <v>60</v>
      </c>
      <c r="QK2" s="110"/>
      <c r="QL2" s="110"/>
      <c r="QM2" s="110"/>
      <c r="QN2" s="110" t="s">
        <v>61</v>
      </c>
      <c r="QO2" s="110"/>
      <c r="QP2" s="110"/>
      <c r="QQ2" s="110"/>
      <c r="QR2" s="110" t="s">
        <v>62</v>
      </c>
      <c r="QS2" s="110"/>
      <c r="QT2" s="110"/>
      <c r="QU2" s="110"/>
      <c r="QV2" s="110" t="s">
        <v>63</v>
      </c>
      <c r="QW2" s="110"/>
      <c r="QX2" s="110"/>
      <c r="QY2" s="110"/>
      <c r="QZ2" s="26" t="s">
        <v>40</v>
      </c>
      <c r="RA2" s="19" t="s">
        <v>69</v>
      </c>
      <c r="RB2" s="19" t="s">
        <v>70</v>
      </c>
      <c r="RC2" s="19" t="s">
        <v>38</v>
      </c>
      <c r="RD2" s="19" t="s">
        <v>37</v>
      </c>
      <c r="RE2" s="19" t="s">
        <v>32</v>
      </c>
    </row>
    <row r="3" spans="1:473" x14ac:dyDescent="0.2">
      <c r="A3" s="101"/>
      <c r="B3" s="101"/>
      <c r="C3" s="101"/>
      <c r="D3" s="101"/>
      <c r="E3" s="101"/>
      <c r="F3" s="104"/>
      <c r="G3" s="104"/>
      <c r="H3" s="101"/>
      <c r="I3" s="101"/>
      <c r="J3" s="102"/>
      <c r="K3" s="102"/>
      <c r="L3" s="102"/>
      <c r="M3" s="102"/>
      <c r="N3" s="102"/>
      <c r="O3" s="102"/>
      <c r="P3" s="102"/>
      <c r="Q3" s="102"/>
      <c r="R3" s="103"/>
      <c r="S3" s="102"/>
      <c r="T3" s="102"/>
      <c r="U3" s="73" t="s">
        <v>29</v>
      </c>
      <c r="V3" s="73" t="s">
        <v>21</v>
      </c>
      <c r="W3" s="73" t="s">
        <v>57</v>
      </c>
      <c r="X3" s="73" t="s">
        <v>58</v>
      </c>
      <c r="Y3" s="73" t="s">
        <v>29</v>
      </c>
      <c r="Z3" s="73" t="s">
        <v>21</v>
      </c>
      <c r="AA3" s="73" t="s">
        <v>57</v>
      </c>
      <c r="AB3" s="73" t="s">
        <v>58</v>
      </c>
      <c r="AC3" s="73" t="s">
        <v>29</v>
      </c>
      <c r="AD3" s="73" t="s">
        <v>21</v>
      </c>
      <c r="AE3" s="73" t="s">
        <v>57</v>
      </c>
      <c r="AF3" s="73" t="s">
        <v>58</v>
      </c>
      <c r="AG3" s="76" t="s">
        <v>29</v>
      </c>
      <c r="AH3" s="76" t="s">
        <v>21</v>
      </c>
      <c r="AI3" s="76" t="s">
        <v>57</v>
      </c>
      <c r="AJ3" s="76" t="s">
        <v>58</v>
      </c>
      <c r="AK3" s="76" t="s">
        <v>29</v>
      </c>
      <c r="AL3" s="76" t="s">
        <v>21</v>
      </c>
      <c r="AM3" s="76" t="s">
        <v>57</v>
      </c>
      <c r="AN3" s="76" t="s">
        <v>58</v>
      </c>
      <c r="AO3" s="76" t="s">
        <v>29</v>
      </c>
      <c r="AP3" s="76" t="s">
        <v>21</v>
      </c>
      <c r="AQ3" s="76" t="s">
        <v>57</v>
      </c>
      <c r="AR3" s="76" t="s">
        <v>58</v>
      </c>
      <c r="AS3" s="12"/>
      <c r="AT3" s="11"/>
      <c r="AU3" s="11"/>
      <c r="AV3" s="11"/>
      <c r="AW3" s="12"/>
      <c r="AX3" s="12"/>
      <c r="AY3" s="72" t="s">
        <v>29</v>
      </c>
      <c r="AZ3" s="72" t="s">
        <v>21</v>
      </c>
      <c r="BA3" s="72" t="s">
        <v>57</v>
      </c>
      <c r="BB3" s="72" t="s">
        <v>58</v>
      </c>
      <c r="BC3" s="72" t="s">
        <v>29</v>
      </c>
      <c r="BD3" s="72" t="s">
        <v>21</v>
      </c>
      <c r="BE3" s="72" t="s">
        <v>57</v>
      </c>
      <c r="BF3" s="72" t="s">
        <v>58</v>
      </c>
      <c r="BG3" s="72" t="s">
        <v>29</v>
      </c>
      <c r="BH3" s="72" t="s">
        <v>21</v>
      </c>
      <c r="BI3" s="72" t="s">
        <v>57</v>
      </c>
      <c r="BJ3" s="72" t="s">
        <v>58</v>
      </c>
      <c r="BK3" s="77" t="s">
        <v>29</v>
      </c>
      <c r="BL3" s="77" t="s">
        <v>21</v>
      </c>
      <c r="BM3" s="77" t="s">
        <v>57</v>
      </c>
      <c r="BN3" s="77" t="s">
        <v>58</v>
      </c>
      <c r="BO3" s="77" t="s">
        <v>29</v>
      </c>
      <c r="BP3" s="77" t="s">
        <v>21</v>
      </c>
      <c r="BQ3" s="77" t="s">
        <v>57</v>
      </c>
      <c r="BR3" s="77" t="s">
        <v>58</v>
      </c>
      <c r="BS3" s="77" t="s">
        <v>29</v>
      </c>
      <c r="BT3" s="77" t="s">
        <v>21</v>
      </c>
      <c r="BU3" s="77" t="s">
        <v>57</v>
      </c>
      <c r="BV3" s="77" t="s">
        <v>58</v>
      </c>
      <c r="BW3" s="15"/>
      <c r="BX3" s="14"/>
      <c r="BY3" s="14"/>
      <c r="BZ3" s="14"/>
      <c r="CA3" s="15"/>
      <c r="CB3" s="15"/>
      <c r="CC3" s="35" t="s">
        <v>29</v>
      </c>
      <c r="CD3" s="35" t="s">
        <v>21</v>
      </c>
      <c r="CE3" s="35" t="s">
        <v>57</v>
      </c>
      <c r="CF3" s="35" t="s">
        <v>58</v>
      </c>
      <c r="CG3" s="35" t="s">
        <v>29</v>
      </c>
      <c r="CH3" s="35" t="s">
        <v>21</v>
      </c>
      <c r="CI3" s="35" t="s">
        <v>57</v>
      </c>
      <c r="CJ3" s="35" t="s">
        <v>58</v>
      </c>
      <c r="CK3" s="35" t="s">
        <v>29</v>
      </c>
      <c r="CL3" s="35" t="s">
        <v>21</v>
      </c>
      <c r="CM3" s="35" t="s">
        <v>57</v>
      </c>
      <c r="CN3" s="35" t="s">
        <v>58</v>
      </c>
      <c r="CO3" s="40" t="s">
        <v>29</v>
      </c>
      <c r="CP3" s="40" t="s">
        <v>21</v>
      </c>
      <c r="CQ3" s="40" t="s">
        <v>57</v>
      </c>
      <c r="CR3" s="40" t="s">
        <v>58</v>
      </c>
      <c r="CS3" s="40" t="s">
        <v>29</v>
      </c>
      <c r="CT3" s="40" t="s">
        <v>21</v>
      </c>
      <c r="CU3" s="40" t="s">
        <v>57</v>
      </c>
      <c r="CV3" s="40" t="s">
        <v>58</v>
      </c>
      <c r="CW3" s="40" t="s">
        <v>29</v>
      </c>
      <c r="CX3" s="40" t="s">
        <v>21</v>
      </c>
      <c r="CY3" s="40" t="s">
        <v>57</v>
      </c>
      <c r="CZ3" s="40" t="s">
        <v>58</v>
      </c>
      <c r="DA3" s="12"/>
      <c r="DB3" s="11"/>
      <c r="DC3" s="11"/>
      <c r="DD3" s="11"/>
      <c r="DE3" s="12"/>
      <c r="DF3" s="12"/>
      <c r="DG3" s="29"/>
      <c r="DH3" s="29"/>
      <c r="DI3" s="29"/>
      <c r="DJ3" s="73" t="s">
        <v>29</v>
      </c>
      <c r="DK3" s="73" t="s">
        <v>21</v>
      </c>
      <c r="DL3" s="73" t="s">
        <v>57</v>
      </c>
      <c r="DM3" s="73" t="s">
        <v>58</v>
      </c>
      <c r="DN3" s="73" t="s">
        <v>29</v>
      </c>
      <c r="DO3" s="73" t="s">
        <v>21</v>
      </c>
      <c r="DP3" s="73" t="s">
        <v>57</v>
      </c>
      <c r="DQ3" s="73" t="s">
        <v>58</v>
      </c>
      <c r="DR3" s="73" t="s">
        <v>29</v>
      </c>
      <c r="DS3" s="73" t="s">
        <v>21</v>
      </c>
      <c r="DT3" s="73" t="s">
        <v>57</v>
      </c>
      <c r="DU3" s="73" t="s">
        <v>58</v>
      </c>
      <c r="DV3" s="76" t="s">
        <v>29</v>
      </c>
      <c r="DW3" s="76" t="s">
        <v>21</v>
      </c>
      <c r="DX3" s="76" t="s">
        <v>57</v>
      </c>
      <c r="DY3" s="76" t="s">
        <v>58</v>
      </c>
      <c r="DZ3" s="76" t="s">
        <v>29</v>
      </c>
      <c r="EA3" s="76" t="s">
        <v>21</v>
      </c>
      <c r="EB3" s="76" t="s">
        <v>57</v>
      </c>
      <c r="EC3" s="76" t="s">
        <v>58</v>
      </c>
      <c r="ED3" s="76" t="s">
        <v>29</v>
      </c>
      <c r="EE3" s="76" t="s">
        <v>21</v>
      </c>
      <c r="EF3" s="76" t="s">
        <v>57</v>
      </c>
      <c r="EG3" s="76" t="s">
        <v>58</v>
      </c>
      <c r="EH3" s="12"/>
      <c r="EI3" s="11"/>
      <c r="EJ3" s="11"/>
      <c r="EK3" s="11"/>
      <c r="EL3" s="12"/>
      <c r="EM3" s="12"/>
      <c r="EN3" s="77" t="s">
        <v>29</v>
      </c>
      <c r="EO3" s="77" t="s">
        <v>21</v>
      </c>
      <c r="EP3" s="77" t="s">
        <v>57</v>
      </c>
      <c r="EQ3" s="77" t="s">
        <v>58</v>
      </c>
      <c r="ER3" s="77" t="s">
        <v>29</v>
      </c>
      <c r="ES3" s="77" t="s">
        <v>21</v>
      </c>
      <c r="ET3" s="77" t="s">
        <v>57</v>
      </c>
      <c r="EU3" s="77" t="s">
        <v>58</v>
      </c>
      <c r="EV3" s="77" t="s">
        <v>29</v>
      </c>
      <c r="EW3" s="77" t="s">
        <v>21</v>
      </c>
      <c r="EX3" s="77" t="s">
        <v>57</v>
      </c>
      <c r="EY3" s="77" t="s">
        <v>58</v>
      </c>
      <c r="EZ3" s="77" t="s">
        <v>29</v>
      </c>
      <c r="FA3" s="77" t="s">
        <v>21</v>
      </c>
      <c r="FB3" s="77" t="s">
        <v>57</v>
      </c>
      <c r="FC3" s="77" t="s">
        <v>58</v>
      </c>
      <c r="FD3" s="77" t="s">
        <v>29</v>
      </c>
      <c r="FE3" s="77" t="s">
        <v>21</v>
      </c>
      <c r="FF3" s="77" t="s">
        <v>57</v>
      </c>
      <c r="FG3" s="77" t="s">
        <v>58</v>
      </c>
      <c r="FH3" s="77" t="s">
        <v>29</v>
      </c>
      <c r="FI3" s="77" t="s">
        <v>21</v>
      </c>
      <c r="FJ3" s="77" t="s">
        <v>57</v>
      </c>
      <c r="FK3" s="77" t="s">
        <v>58</v>
      </c>
      <c r="FL3" s="19"/>
      <c r="FM3" s="19"/>
      <c r="FN3" s="19"/>
      <c r="FO3" s="19"/>
      <c r="FP3" s="19"/>
      <c r="FQ3" s="19"/>
      <c r="FR3" s="76" t="s">
        <v>29</v>
      </c>
      <c r="FS3" s="76" t="s">
        <v>21</v>
      </c>
      <c r="FT3" s="76" t="s">
        <v>57</v>
      </c>
      <c r="FU3" s="76" t="s">
        <v>58</v>
      </c>
      <c r="FV3" s="76" t="s">
        <v>29</v>
      </c>
      <c r="FW3" s="76" t="s">
        <v>21</v>
      </c>
      <c r="FX3" s="76" t="s">
        <v>57</v>
      </c>
      <c r="FY3" s="76" t="s">
        <v>58</v>
      </c>
      <c r="FZ3" s="76" t="s">
        <v>29</v>
      </c>
      <c r="GA3" s="76" t="s">
        <v>21</v>
      </c>
      <c r="GB3" s="76" t="s">
        <v>57</v>
      </c>
      <c r="GC3" s="76" t="s">
        <v>58</v>
      </c>
      <c r="GD3" s="76" t="s">
        <v>29</v>
      </c>
      <c r="GE3" s="76" t="s">
        <v>21</v>
      </c>
      <c r="GF3" s="76" t="s">
        <v>57</v>
      </c>
      <c r="GG3" s="76" t="s">
        <v>58</v>
      </c>
      <c r="GH3" s="76" t="s">
        <v>29</v>
      </c>
      <c r="GI3" s="76" t="s">
        <v>21</v>
      </c>
      <c r="GJ3" s="76" t="s">
        <v>57</v>
      </c>
      <c r="GK3" s="76" t="s">
        <v>58</v>
      </c>
      <c r="GL3" s="76" t="s">
        <v>29</v>
      </c>
      <c r="GM3" s="76" t="s">
        <v>21</v>
      </c>
      <c r="GN3" s="76" t="s">
        <v>57</v>
      </c>
      <c r="GO3" s="76" t="s">
        <v>58</v>
      </c>
      <c r="GP3" s="20"/>
      <c r="GQ3" s="20"/>
      <c r="GR3" s="20"/>
      <c r="GS3" s="20"/>
      <c r="GT3" s="20"/>
      <c r="GU3" s="20"/>
      <c r="GV3" s="77" t="s">
        <v>29</v>
      </c>
      <c r="GW3" s="77" t="s">
        <v>21</v>
      </c>
      <c r="GX3" s="77" t="s">
        <v>57</v>
      </c>
      <c r="GY3" s="77" t="s">
        <v>58</v>
      </c>
      <c r="GZ3" s="77" t="s">
        <v>29</v>
      </c>
      <c r="HA3" s="77" t="s">
        <v>21</v>
      </c>
      <c r="HB3" s="77" t="s">
        <v>57</v>
      </c>
      <c r="HC3" s="77" t="s">
        <v>58</v>
      </c>
      <c r="HD3" s="77" t="s">
        <v>29</v>
      </c>
      <c r="HE3" s="77" t="s">
        <v>21</v>
      </c>
      <c r="HF3" s="77" t="s">
        <v>57</v>
      </c>
      <c r="HG3" s="77" t="s">
        <v>58</v>
      </c>
      <c r="HH3" s="77" t="s">
        <v>29</v>
      </c>
      <c r="HI3" s="77" t="s">
        <v>21</v>
      </c>
      <c r="HJ3" s="77" t="s">
        <v>57</v>
      </c>
      <c r="HK3" s="77" t="s">
        <v>58</v>
      </c>
      <c r="HL3" s="77" t="s">
        <v>29</v>
      </c>
      <c r="HM3" s="77" t="s">
        <v>21</v>
      </c>
      <c r="HN3" s="77" t="s">
        <v>57</v>
      </c>
      <c r="HO3" s="77" t="s">
        <v>58</v>
      </c>
      <c r="HP3" s="77" t="s">
        <v>29</v>
      </c>
      <c r="HQ3" s="77" t="s">
        <v>21</v>
      </c>
      <c r="HR3" s="77" t="s">
        <v>57</v>
      </c>
      <c r="HS3" s="77" t="s">
        <v>58</v>
      </c>
      <c r="HT3" s="19"/>
      <c r="HU3" s="19"/>
      <c r="HV3" s="19"/>
      <c r="HW3" s="19"/>
      <c r="HX3" s="19"/>
      <c r="HY3" s="19"/>
      <c r="HZ3" s="76" t="s">
        <v>29</v>
      </c>
      <c r="IA3" s="76" t="s">
        <v>21</v>
      </c>
      <c r="IB3" s="76" t="s">
        <v>57</v>
      </c>
      <c r="IC3" s="76" t="s">
        <v>58</v>
      </c>
      <c r="ID3" s="76" t="s">
        <v>29</v>
      </c>
      <c r="IE3" s="76" t="s">
        <v>21</v>
      </c>
      <c r="IF3" s="76" t="s">
        <v>57</v>
      </c>
      <c r="IG3" s="76" t="s">
        <v>58</v>
      </c>
      <c r="IH3" s="76" t="s">
        <v>29</v>
      </c>
      <c r="II3" s="76" t="s">
        <v>21</v>
      </c>
      <c r="IJ3" s="76" t="s">
        <v>57</v>
      </c>
      <c r="IK3" s="76" t="s">
        <v>58</v>
      </c>
      <c r="IL3" s="76" t="s">
        <v>29</v>
      </c>
      <c r="IM3" s="76" t="s">
        <v>21</v>
      </c>
      <c r="IN3" s="76" t="s">
        <v>57</v>
      </c>
      <c r="IO3" s="76" t="s">
        <v>58</v>
      </c>
      <c r="IP3" s="76" t="s">
        <v>29</v>
      </c>
      <c r="IQ3" s="76" t="s">
        <v>21</v>
      </c>
      <c r="IR3" s="76" t="s">
        <v>57</v>
      </c>
      <c r="IS3" s="76" t="s">
        <v>58</v>
      </c>
      <c r="IT3" s="76" t="s">
        <v>29</v>
      </c>
      <c r="IU3" s="76" t="s">
        <v>21</v>
      </c>
      <c r="IV3" s="76" t="s">
        <v>57</v>
      </c>
      <c r="IW3" s="76" t="s">
        <v>58</v>
      </c>
      <c r="IX3" s="20"/>
      <c r="IY3" s="20"/>
      <c r="IZ3" s="20"/>
      <c r="JA3" s="20"/>
      <c r="JB3" s="20"/>
      <c r="JC3" s="20"/>
      <c r="JD3" s="39" t="s">
        <v>29</v>
      </c>
      <c r="JE3" s="39" t="s">
        <v>21</v>
      </c>
      <c r="JF3" s="39" t="s">
        <v>57</v>
      </c>
      <c r="JG3" s="39" t="s">
        <v>58</v>
      </c>
      <c r="JH3" s="39" t="s">
        <v>29</v>
      </c>
      <c r="JI3" s="39" t="s">
        <v>21</v>
      </c>
      <c r="JJ3" s="39" t="s">
        <v>57</v>
      </c>
      <c r="JK3" s="39" t="s">
        <v>58</v>
      </c>
      <c r="JL3" s="39" t="s">
        <v>29</v>
      </c>
      <c r="JM3" s="39" t="s">
        <v>21</v>
      </c>
      <c r="JN3" s="39" t="s">
        <v>57</v>
      </c>
      <c r="JO3" s="39" t="s">
        <v>58</v>
      </c>
      <c r="JP3" s="39" t="s">
        <v>29</v>
      </c>
      <c r="JQ3" s="39" t="s">
        <v>21</v>
      </c>
      <c r="JR3" s="39" t="s">
        <v>57</v>
      </c>
      <c r="JS3" s="39" t="s">
        <v>58</v>
      </c>
      <c r="JT3" s="39" t="s">
        <v>29</v>
      </c>
      <c r="JU3" s="39" t="s">
        <v>21</v>
      </c>
      <c r="JV3" s="39" t="s">
        <v>57</v>
      </c>
      <c r="JW3" s="39" t="s">
        <v>58</v>
      </c>
      <c r="JX3" s="39" t="s">
        <v>29</v>
      </c>
      <c r="JY3" s="39" t="s">
        <v>21</v>
      </c>
      <c r="JZ3" s="39" t="s">
        <v>57</v>
      </c>
      <c r="KA3" s="39" t="s">
        <v>58</v>
      </c>
      <c r="KB3" s="19"/>
      <c r="KC3" s="19"/>
      <c r="KD3" s="19"/>
      <c r="KE3" s="19"/>
      <c r="KF3" s="19"/>
      <c r="KG3" s="19"/>
      <c r="KH3" s="40" t="s">
        <v>29</v>
      </c>
      <c r="KI3" s="40" t="s">
        <v>21</v>
      </c>
      <c r="KJ3" s="40" t="s">
        <v>57</v>
      </c>
      <c r="KK3" s="40" t="s">
        <v>58</v>
      </c>
      <c r="KL3" s="40" t="s">
        <v>29</v>
      </c>
      <c r="KM3" s="40" t="s">
        <v>21</v>
      </c>
      <c r="KN3" s="40" t="s">
        <v>57</v>
      </c>
      <c r="KO3" s="40" t="s">
        <v>58</v>
      </c>
      <c r="KP3" s="40" t="s">
        <v>29</v>
      </c>
      <c r="KQ3" s="40" t="s">
        <v>21</v>
      </c>
      <c r="KR3" s="40" t="s">
        <v>57</v>
      </c>
      <c r="KS3" s="40" t="s">
        <v>58</v>
      </c>
      <c r="KT3" s="40" t="s">
        <v>29</v>
      </c>
      <c r="KU3" s="40" t="s">
        <v>21</v>
      </c>
      <c r="KV3" s="40" t="s">
        <v>57</v>
      </c>
      <c r="KW3" s="40" t="s">
        <v>58</v>
      </c>
      <c r="KX3" s="40" t="s">
        <v>29</v>
      </c>
      <c r="KY3" s="40" t="s">
        <v>21</v>
      </c>
      <c r="KZ3" s="40" t="s">
        <v>57</v>
      </c>
      <c r="LA3" s="40" t="s">
        <v>58</v>
      </c>
      <c r="LB3" s="40" t="s">
        <v>29</v>
      </c>
      <c r="LC3" s="40" t="s">
        <v>21</v>
      </c>
      <c r="LD3" s="40" t="s">
        <v>57</v>
      </c>
      <c r="LE3" s="40" t="s">
        <v>58</v>
      </c>
      <c r="LF3" s="20"/>
      <c r="LG3" s="20"/>
      <c r="LH3" s="20"/>
      <c r="LI3" s="20"/>
      <c r="LJ3" s="20"/>
      <c r="LK3" s="20"/>
      <c r="LL3" s="39" t="s">
        <v>29</v>
      </c>
      <c r="LM3" s="39" t="s">
        <v>21</v>
      </c>
      <c r="LN3" s="39" t="s">
        <v>57</v>
      </c>
      <c r="LO3" s="39" t="s">
        <v>58</v>
      </c>
      <c r="LP3" s="39" t="s">
        <v>29</v>
      </c>
      <c r="LQ3" s="39" t="s">
        <v>21</v>
      </c>
      <c r="LR3" s="39" t="s">
        <v>57</v>
      </c>
      <c r="LS3" s="39" t="s">
        <v>58</v>
      </c>
      <c r="LT3" s="39" t="s">
        <v>29</v>
      </c>
      <c r="LU3" s="39" t="s">
        <v>21</v>
      </c>
      <c r="LV3" s="39" t="s">
        <v>57</v>
      </c>
      <c r="LW3" s="39" t="s">
        <v>58</v>
      </c>
      <c r="LX3" s="39" t="s">
        <v>29</v>
      </c>
      <c r="LY3" s="39" t="s">
        <v>21</v>
      </c>
      <c r="LZ3" s="39" t="s">
        <v>57</v>
      </c>
      <c r="MA3" s="39" t="s">
        <v>58</v>
      </c>
      <c r="MB3" s="39" t="s">
        <v>29</v>
      </c>
      <c r="MC3" s="39" t="s">
        <v>21</v>
      </c>
      <c r="MD3" s="39" t="s">
        <v>57</v>
      </c>
      <c r="ME3" s="39" t="s">
        <v>58</v>
      </c>
      <c r="MF3" s="39" t="s">
        <v>29</v>
      </c>
      <c r="MG3" s="39" t="s">
        <v>21</v>
      </c>
      <c r="MH3" s="39" t="s">
        <v>57</v>
      </c>
      <c r="MI3" s="39" t="s">
        <v>58</v>
      </c>
      <c r="MJ3" s="19"/>
      <c r="MK3" s="19"/>
      <c r="ML3" s="19"/>
      <c r="MM3" s="19"/>
      <c r="MN3" s="19"/>
      <c r="MO3" s="19"/>
      <c r="MP3" s="40" t="s">
        <v>29</v>
      </c>
      <c r="MQ3" s="40" t="s">
        <v>21</v>
      </c>
      <c r="MR3" s="40" t="s">
        <v>57</v>
      </c>
      <c r="MS3" s="40" t="s">
        <v>58</v>
      </c>
      <c r="MT3" s="40" t="s">
        <v>29</v>
      </c>
      <c r="MU3" s="40" t="s">
        <v>21</v>
      </c>
      <c r="MV3" s="40" t="s">
        <v>57</v>
      </c>
      <c r="MW3" s="40" t="s">
        <v>58</v>
      </c>
      <c r="MX3" s="40" t="s">
        <v>29</v>
      </c>
      <c r="MY3" s="40" t="s">
        <v>21</v>
      </c>
      <c r="MZ3" s="40" t="s">
        <v>57</v>
      </c>
      <c r="NA3" s="40" t="s">
        <v>58</v>
      </c>
      <c r="NB3" s="40" t="s">
        <v>29</v>
      </c>
      <c r="NC3" s="40" t="s">
        <v>21</v>
      </c>
      <c r="ND3" s="40" t="s">
        <v>57</v>
      </c>
      <c r="NE3" s="40" t="s">
        <v>58</v>
      </c>
      <c r="NF3" s="40" t="s">
        <v>29</v>
      </c>
      <c r="NG3" s="40" t="s">
        <v>21</v>
      </c>
      <c r="NH3" s="40" t="s">
        <v>57</v>
      </c>
      <c r="NI3" s="40" t="s">
        <v>58</v>
      </c>
      <c r="NJ3" s="40" t="s">
        <v>29</v>
      </c>
      <c r="NK3" s="40" t="s">
        <v>21</v>
      </c>
      <c r="NL3" s="40" t="s">
        <v>57</v>
      </c>
      <c r="NM3" s="40" t="s">
        <v>58</v>
      </c>
      <c r="NN3" s="20"/>
      <c r="NO3" s="20"/>
      <c r="NP3" s="20"/>
      <c r="NQ3" s="20"/>
      <c r="NR3" s="20"/>
      <c r="NS3" s="20"/>
      <c r="NT3" s="39" t="s">
        <v>29</v>
      </c>
      <c r="NU3" s="39" t="s">
        <v>21</v>
      </c>
      <c r="NV3" s="39" t="s">
        <v>57</v>
      </c>
      <c r="NW3" s="39" t="s">
        <v>58</v>
      </c>
      <c r="NX3" s="39" t="s">
        <v>29</v>
      </c>
      <c r="NY3" s="39" t="s">
        <v>21</v>
      </c>
      <c r="NZ3" s="39" t="s">
        <v>57</v>
      </c>
      <c r="OA3" s="39" t="s">
        <v>58</v>
      </c>
      <c r="OB3" s="39" t="s">
        <v>29</v>
      </c>
      <c r="OC3" s="39" t="s">
        <v>21</v>
      </c>
      <c r="OD3" s="39" t="s">
        <v>57</v>
      </c>
      <c r="OE3" s="39" t="s">
        <v>58</v>
      </c>
      <c r="OF3" s="39" t="s">
        <v>29</v>
      </c>
      <c r="OG3" s="39" t="s">
        <v>21</v>
      </c>
      <c r="OH3" s="39" t="s">
        <v>57</v>
      </c>
      <c r="OI3" s="39" t="s">
        <v>58</v>
      </c>
      <c r="OJ3" s="39" t="s">
        <v>29</v>
      </c>
      <c r="OK3" s="39" t="s">
        <v>21</v>
      </c>
      <c r="OL3" s="39" t="s">
        <v>57</v>
      </c>
      <c r="OM3" s="39" t="s">
        <v>58</v>
      </c>
      <c r="ON3" s="39" t="s">
        <v>29</v>
      </c>
      <c r="OO3" s="39" t="s">
        <v>21</v>
      </c>
      <c r="OP3" s="39" t="s">
        <v>57</v>
      </c>
      <c r="OQ3" s="39" t="s">
        <v>58</v>
      </c>
      <c r="OR3" s="19"/>
      <c r="OS3" s="19"/>
      <c r="OT3" s="19"/>
      <c r="OU3" s="19"/>
      <c r="OV3" s="19"/>
      <c r="OW3" s="19"/>
      <c r="OX3" s="40" t="s">
        <v>29</v>
      </c>
      <c r="OY3" s="40" t="s">
        <v>21</v>
      </c>
      <c r="OZ3" s="40" t="s">
        <v>57</v>
      </c>
      <c r="PA3" s="40" t="s">
        <v>58</v>
      </c>
      <c r="PB3" s="40" t="s">
        <v>29</v>
      </c>
      <c r="PC3" s="40" t="s">
        <v>21</v>
      </c>
      <c r="PD3" s="40" t="s">
        <v>57</v>
      </c>
      <c r="PE3" s="40" t="s">
        <v>58</v>
      </c>
      <c r="PF3" s="40" t="s">
        <v>29</v>
      </c>
      <c r="PG3" s="40" t="s">
        <v>21</v>
      </c>
      <c r="PH3" s="40" t="s">
        <v>57</v>
      </c>
      <c r="PI3" s="40" t="s">
        <v>58</v>
      </c>
      <c r="PJ3" s="40" t="s">
        <v>29</v>
      </c>
      <c r="PK3" s="40" t="s">
        <v>21</v>
      </c>
      <c r="PL3" s="40" t="s">
        <v>57</v>
      </c>
      <c r="PM3" s="40" t="s">
        <v>58</v>
      </c>
      <c r="PN3" s="40" t="s">
        <v>29</v>
      </c>
      <c r="PO3" s="40" t="s">
        <v>21</v>
      </c>
      <c r="PP3" s="40" t="s">
        <v>57</v>
      </c>
      <c r="PQ3" s="40" t="s">
        <v>58</v>
      </c>
      <c r="PR3" s="40" t="s">
        <v>29</v>
      </c>
      <c r="PS3" s="40" t="s">
        <v>21</v>
      </c>
      <c r="PT3" s="40" t="s">
        <v>57</v>
      </c>
      <c r="PU3" s="40" t="s">
        <v>58</v>
      </c>
      <c r="PV3" s="20"/>
      <c r="PW3" s="20"/>
      <c r="PX3" s="20"/>
      <c r="PY3" s="20"/>
      <c r="PZ3" s="20"/>
      <c r="QA3" s="20"/>
      <c r="QB3" s="39" t="s">
        <v>29</v>
      </c>
      <c r="QC3" s="39" t="s">
        <v>21</v>
      </c>
      <c r="QD3" s="39" t="s">
        <v>57</v>
      </c>
      <c r="QE3" s="39" t="s">
        <v>58</v>
      </c>
      <c r="QF3" s="39" t="s">
        <v>29</v>
      </c>
      <c r="QG3" s="39" t="s">
        <v>21</v>
      </c>
      <c r="QH3" s="39" t="s">
        <v>57</v>
      </c>
      <c r="QI3" s="39" t="s">
        <v>58</v>
      </c>
      <c r="QJ3" s="39" t="s">
        <v>29</v>
      </c>
      <c r="QK3" s="39" t="s">
        <v>21</v>
      </c>
      <c r="QL3" s="39" t="s">
        <v>57</v>
      </c>
      <c r="QM3" s="39" t="s">
        <v>58</v>
      </c>
      <c r="QN3" s="39" t="s">
        <v>29</v>
      </c>
      <c r="QO3" s="39" t="s">
        <v>21</v>
      </c>
      <c r="QP3" s="39" t="s">
        <v>57</v>
      </c>
      <c r="QQ3" s="39" t="s">
        <v>58</v>
      </c>
      <c r="QR3" s="39" t="s">
        <v>29</v>
      </c>
      <c r="QS3" s="39" t="s">
        <v>21</v>
      </c>
      <c r="QT3" s="39" t="s">
        <v>57</v>
      </c>
      <c r="QU3" s="39" t="s">
        <v>58</v>
      </c>
      <c r="QV3" s="39" t="s">
        <v>29</v>
      </c>
      <c r="QW3" s="39" t="s">
        <v>21</v>
      </c>
      <c r="QX3" s="39" t="s">
        <v>57</v>
      </c>
      <c r="QY3" s="39" t="s">
        <v>58</v>
      </c>
      <c r="QZ3" s="19"/>
      <c r="RA3" s="19"/>
      <c r="RB3" s="19"/>
      <c r="RC3" s="19"/>
      <c r="RD3" s="19"/>
      <c r="RE3" s="19"/>
    </row>
    <row r="4" spans="1:473" x14ac:dyDescent="0.2">
      <c r="A4" s="6">
        <f t="shared" ref="A4:A15" si="0">IF(AND(F4="P",H4="P"),SUMPRODUCT((F$4:F$15="P")*(H$4:H$15="P")*(E$4:E$15&gt;E4))+1,IF(H4="P",SUMPRODUCT((F$4:F$15="")*(H$4:H$15="P")*(E$4:E$15&gt;E4))+1+SUMPRODUCT((F$4:F$15="P")*(H$4:H$15="P")),""))</f>
        <v>1</v>
      </c>
      <c r="B4" s="9" t="s">
        <v>65</v>
      </c>
      <c r="C4" s="5" t="s">
        <v>4</v>
      </c>
      <c r="D4" s="33">
        <v>2011</v>
      </c>
      <c r="E4" s="17">
        <f t="shared" ref="E4:E15" si="1">SUM(J4:R4)</f>
        <v>342.35</v>
      </c>
      <c r="F4" s="4" t="str">
        <f t="shared" ref="F4:F15" si="2">IF(OR(AND($AS4&gt;=$AT$18,NOT($AS4="")),AND($BW4&gt;=$BX$18,NOT($BW4="")),AND($DA4&gt;=$DB$18,NOT($DA4=""))),"P","")</f>
        <v>P</v>
      </c>
      <c r="G4" s="4" t="str">
        <f t="shared" ref="G4:G15" si="3">IF(OR(AND($AS4&gt;=$AT$19,NOT($AS4="")),AND($BW4&gt;=$BX$19,NOT($BW4="")),AND($DA4&gt;=$DB$19,NOT($DA4=""))),"P","")</f>
        <v>P</v>
      </c>
      <c r="H4" s="4" t="str">
        <f t="shared" ref="H4:H15" si="4">IF(OR(AND($AV4&gt;=$AT$20,NOT($AV4="")),AND($BZ4&gt;=$BX$20,NOT($BZ4="")),AND($DD4&gt;=$DB$20,NOT($DD4=""))),"P","")</f>
        <v>P</v>
      </c>
      <c r="I4" t="str">
        <f t="shared" ref="I4:I15" si="5">IF(AND(G4="P",OR(AND($AV4&gt;=$AT$23,NOT($AV4="")),AND($BZ4&gt;=$BX$23,NOT($BZ4="")),AND($DD4&gt;=$DB$23,NOT($DD4="")))),"Merit",IF(AND(G4="P",OR(AND($AV4&gt;=$AT$22,NOT($AV4="")),AND($BZ4&gt;=$BX$22,NOT($BZ4="")),AND($DD4&gt;=$DB$22,NOT($DD4="")))),"Funding",IF(AND(G4="P",OR(AND($AV4&gt;=$AT$21,NOT($AV4="")),AND($BZ4&gt;=$BX$21,NOT($BZ4="")),AND($DD4&gt;=$DB$21,NOT($DD4="")))),"Worlds Team",IF(AND(F4="P",OR(AND($AV4&gt;=$AT$20,NOT($AV4="")),AND($BZ4&gt;=$BX$20,NOT($BZ4="")),AND($DD4&gt;=$DB$20,NOT($DD4="")))),"National Team",""))))</f>
        <v>Merit</v>
      </c>
      <c r="J4" s="16">
        <f t="shared" ref="J4:J15" si="6">MAX(AV4,BZ4,DD4)</f>
        <v>137.6</v>
      </c>
      <c r="K4" s="16" t="str">
        <f t="shared" ref="K4:K15" si="7">IF(J4=DD4,$CC$1,IF(J4=BZ4,$AY$1,IF(J4=AV4,$U$1,"")))</f>
        <v>2018 Nationals</v>
      </c>
      <c r="L4" s="16">
        <f t="shared" ref="L4:L15" si="8">IF($J4=$AV4,MAX(BX4,DB4),IF($J4=$BZ4,MAX(AT4,DB4),MAX(AT4,BX4)))</f>
        <v>67.499999999999986</v>
      </c>
      <c r="M4" s="16" t="str">
        <f t="shared" ref="M4:M15" si="9">IF(L4=DB4,$CC$1,IF(L4=BX4,$AY$1,IF(L4=AT4,$U$1,"")))</f>
        <v>2017 3rd Domestic Trial</v>
      </c>
      <c r="N4" s="16">
        <f t="shared" ref="N4:N15" si="10">IF($J4=$AV4,MAX(BY4,DC4),IF($J4=$BZ4,MAX(AU4,DC4),MAX(AU4,BY4)))</f>
        <v>66.850000000000009</v>
      </c>
      <c r="O4" s="16" t="str">
        <f t="shared" ref="O4:O15" si="11">IF(N4=DC4,$CC$1,IF(N4=BY4,$AY$1,IF(N4=AU4,$U$1,"")))</f>
        <v>2018 Canada Cup</v>
      </c>
      <c r="P4" s="16">
        <f t="shared" ref="P4:P15" si="12">MAX(AW4,CA4,DE4)</f>
        <v>69.8</v>
      </c>
      <c r="Q4" s="16" t="str">
        <f t="shared" ref="Q4:Q15" si="13">IF(P4=DE4,$CC$1,IF(P4=CA4,$AY$1,IF(P4=AW4,$U$1,"")))</f>
        <v>2018 Nationals</v>
      </c>
      <c r="R4" s="16">
        <f t="shared" ref="R4:R15" si="14">IF(MAX(DG4:DI4)&gt;0,MAX(DG4:DI4),"")</f>
        <v>0.60000000000000853</v>
      </c>
      <c r="S4" s="31" t="str">
        <f t="shared" ref="S4:S15" si="15">IF(R4="","",IF(R4=DG4,"(Pass 1-2)",IF(R4=DH4,"(Pass 3-4)",IF(R4=DI4,"(Final)"))))</f>
        <v>(Pass 1-2)</v>
      </c>
      <c r="T4" s="16" t="str">
        <f t="shared" ref="T4:T15" si="16">IF(R4="","",IF(R4=DG4,IF(R4+L4=RA4,$QB$1,IF(R4+L4=PW4,$OX$1,IF(R4+L4=OS4,$NT$1,IF(R4+L4=NO4,$MP$1,IF(R4+L4=MK4,$LL$1,IF(R4+L4=LG4,$KH$1,IF(R4+L4=KC4,$JD$1,IF(R4+L4=IY4,$HZ$1,IF(R4+L4=HU4,$GV$1,IF(R4+L4=GQ4,$FR$1,IF(R4+L4=FM4,$EN$1,IF(R4+L4=EI4,$DJ$1)))))))))))),IF(R4=DH4,IF(R4+N4=RB4,$QB$1,IF(R4+N4=PX4,$OX$1,IF(R4+N4=OT4,$NT$1,IF(R4+N4=NP4,$MP$1,IF(R4+N4=ML4,$LL$1,IF(R4+N4=LH4,$KH$1,IF(R4+N4=KD4,$JD$1,IF(R4+N4=IZ4,$HZ$1,IF(R4+N4=HV4,$GV$1,IF(R4+N4=GR4,$FR$1,IF(R4+N4=FN4,$EN$1,IF(R4+N4=EJ4,$DJ$1)))))))))))),IF(R4=DI4,IF(R4+P4=RD4,$QB$1,IF(R4+P4=PZ4,$OX$1,IF(R4+P4=OV4,$NT$1,IF(R4+P4=NR4,$MP$1,IF(R4+P4=MN4,$LL$1,IF(R4+P4=LJ4,$KH$1,IF(R4+P4=KF4,$JD$1,IF(R4+P4=JB4,$HZ$1,IF(R4+P4=HX4,$GV$1,IF(R4+P4=GT4,$FR$1,IF(R4+P4=FP4,$EN$1,IF(R4+P4=EL4,$DJ$1))))))))))))))))</f>
        <v>2017 World Championships (Nov)</v>
      </c>
      <c r="U4" s="47">
        <v>27.4</v>
      </c>
      <c r="V4" s="47">
        <v>6</v>
      </c>
      <c r="W4" s="47">
        <v>0.3</v>
      </c>
      <c r="X4" s="47">
        <v>0.3</v>
      </c>
      <c r="Y4" s="47">
        <v>27.9</v>
      </c>
      <c r="Z4" s="47">
        <v>6.8</v>
      </c>
      <c r="AA4" s="47">
        <v>0.9</v>
      </c>
      <c r="AB4" s="47">
        <v>0.3</v>
      </c>
      <c r="AC4" s="47">
        <v>26.8</v>
      </c>
      <c r="AD4" s="47">
        <v>6.8</v>
      </c>
      <c r="AE4" s="47">
        <v>0</v>
      </c>
      <c r="AF4" s="47">
        <v>0.5</v>
      </c>
      <c r="AG4" s="47">
        <v>27.5</v>
      </c>
      <c r="AH4" s="47">
        <v>4.4000000000000004</v>
      </c>
      <c r="AI4" s="47">
        <v>0.9</v>
      </c>
      <c r="AJ4" s="47">
        <v>0</v>
      </c>
      <c r="AK4" s="47">
        <v>27.8</v>
      </c>
      <c r="AL4" s="47">
        <v>6.4</v>
      </c>
      <c r="AM4" s="47">
        <v>0.9</v>
      </c>
      <c r="AN4" s="47">
        <v>0.3</v>
      </c>
      <c r="AO4" s="47">
        <v>28.6</v>
      </c>
      <c r="AP4" s="47">
        <v>6</v>
      </c>
      <c r="AQ4" s="47">
        <v>0</v>
      </c>
      <c r="AR4" s="47">
        <v>0</v>
      </c>
      <c r="AS4" s="13">
        <f t="shared" ref="AS4:AS15" si="17">IF(SUM(V4,Z4,AD4,AH4)&gt;0,SUM(V4,Z4,AD4,AH4),"")</f>
        <v>24</v>
      </c>
      <c r="AT4" s="13">
        <f t="shared" ref="AT4:AT15" si="18">IF(SUM(U4:V4,X4:Z4,AB4)-SUM(W4,AA4)&gt;0,SUM(U4:V4,X4:Z4,AB4)-SUM(W4,AA4),"")</f>
        <v>67.499999999999986</v>
      </c>
      <c r="AU4" s="13">
        <f t="shared" ref="AU4:AU15" si="19">IF(SUM(AC4:AD4,AF4:AH4,AJ4)-SUM(AE4,AI4)&gt;0,SUM(AC4:AD4,AF4:AH4,AJ4)-SUM(AE4,AI4),"")</f>
        <v>65.099999999999994</v>
      </c>
      <c r="AV4" s="13">
        <f t="shared" ref="AV4:AV15" si="20">IF(SUM(U4:V4,X4:Z4,AB4:AD4,AF4:AH4,AJ4)-SUM(W4,AA4,AE4,AI4)&gt;0,SUM(U4:V4,X4:Z4,AB4:AD4,AF4:AH4,AJ4)-SUM(W4,AA4,AE4,AI4),"")</f>
        <v>132.6</v>
      </c>
      <c r="AW4" s="13">
        <f t="shared" ref="AW4:AW15" si="21">IF(SUM(AK4:AL4,AN4:AP4,AR4)-SUM(AM4,AQ4)&gt;0,SUM(AK4:AL4,AN4:AP4,AR4)-SUM(AM4,AQ4),"")</f>
        <v>68.199999999999989</v>
      </c>
      <c r="AX4" s="13">
        <f t="shared" ref="AX4:AX15" si="22">IF(SUM(AV4,AW4)&gt;0,SUM(AV4,AW4),"")</f>
        <v>200.79999999999998</v>
      </c>
      <c r="AY4" s="58">
        <v>28</v>
      </c>
      <c r="AZ4" s="58">
        <v>6</v>
      </c>
      <c r="BA4" s="58">
        <v>0.6</v>
      </c>
      <c r="BB4" s="58">
        <v>0.3</v>
      </c>
      <c r="BC4" s="58">
        <v>13.95</v>
      </c>
      <c r="BD4" s="58">
        <v>3.4</v>
      </c>
      <c r="BE4" s="58">
        <v>0.45</v>
      </c>
      <c r="BF4" s="58">
        <v>0.15</v>
      </c>
      <c r="BG4" s="58">
        <v>27.75</v>
      </c>
      <c r="BH4" s="58">
        <v>6.8</v>
      </c>
      <c r="BI4" s="58">
        <v>0</v>
      </c>
      <c r="BJ4" s="58">
        <v>0.5</v>
      </c>
      <c r="BK4" s="58">
        <v>26.4</v>
      </c>
      <c r="BL4" s="58">
        <v>5.6</v>
      </c>
      <c r="BM4" s="58">
        <v>0.6</v>
      </c>
      <c r="BN4" s="58">
        <v>0.4</v>
      </c>
      <c r="BO4" s="58">
        <v>13.9</v>
      </c>
      <c r="BP4" s="58">
        <v>3.2</v>
      </c>
      <c r="BQ4" s="58">
        <v>0.45</v>
      </c>
      <c r="BR4" s="58">
        <v>0.15</v>
      </c>
      <c r="BS4" s="58">
        <v>14.3</v>
      </c>
      <c r="BT4" s="58">
        <v>3</v>
      </c>
      <c r="BU4" s="58">
        <v>0</v>
      </c>
      <c r="BV4" s="58">
        <v>0</v>
      </c>
      <c r="BW4" s="16">
        <f t="shared" ref="BW4:BW15" si="23">IF(SUM(AZ4,BD4,BH4,BL4)&gt;0,SUM(AZ4,BD4,BH4,BL4),"")</f>
        <v>21.799999999999997</v>
      </c>
      <c r="BX4" s="16">
        <f t="shared" ref="BX4:BX15" si="24">IF(SUM(AY4:AZ4,BB4:BD4,BF4)-SUM(BA4,BE4)&gt;0,SUM(AY4:AZ4,BB4:BD4,BF4)-SUM(BA4,BE4),"")</f>
        <v>50.75</v>
      </c>
      <c r="BY4" s="16">
        <f t="shared" ref="BY4:BY15" si="25">IF(SUM(BG4:BH4,BJ4:BL4,BN4)-SUM(BI4,BM4)&gt;0,SUM(BG4:BH4,BJ4:BL4,BN4)-SUM(BI4,BM4),"")</f>
        <v>66.850000000000009</v>
      </c>
      <c r="BZ4" s="16">
        <f t="shared" ref="BZ4:BZ15" si="26">IF(SUM(AY4:AZ4,BB4:BD4,BF4:BH4,BJ4:BL4,BN4)-SUM(BA4,BE4,BI4,BM4)&gt;0,SUM(AY4:AZ4,BB4:BD4,BF4:BH4,BJ4:BL4,BN4)-SUM(BA4,BE4,BI4,BM4),"")</f>
        <v>117.6</v>
      </c>
      <c r="CA4" s="16">
        <f t="shared" ref="CA4:CA15" si="27">IF(SUM(BO4:BP4,BR4:BT4,BV4)-SUM(BQ4,BU4)&gt;0,SUM(BO4:BP4,BR4:BT4,BV4)-SUM(BQ4,BU4),"")</f>
        <v>34.099999999999994</v>
      </c>
      <c r="CB4" s="16">
        <f t="shared" ref="CB4:CB15" si="28">IF(SUM(BZ4,CA4)&gt;0,SUM(BZ4,CA4),"")</f>
        <v>151.69999999999999</v>
      </c>
      <c r="CC4" s="86">
        <v>28.2</v>
      </c>
      <c r="CD4" s="86">
        <v>6.8</v>
      </c>
      <c r="CE4" s="86">
        <v>0.9</v>
      </c>
      <c r="CF4" s="86">
        <v>0.3</v>
      </c>
      <c r="CG4" s="86">
        <v>28.2</v>
      </c>
      <c r="CH4" s="86">
        <v>6.4</v>
      </c>
      <c r="CI4" s="86">
        <v>0.9</v>
      </c>
      <c r="CJ4" s="86">
        <v>0.3</v>
      </c>
      <c r="CK4" s="86">
        <v>27.9</v>
      </c>
      <c r="CL4" s="86">
        <v>6.8</v>
      </c>
      <c r="CM4" s="86">
        <v>0.9</v>
      </c>
      <c r="CN4" s="86">
        <v>0.5</v>
      </c>
      <c r="CO4" s="86">
        <v>28.5</v>
      </c>
      <c r="CP4" s="86">
        <v>6.8</v>
      </c>
      <c r="CQ4" s="86">
        <v>0.9</v>
      </c>
      <c r="CR4" s="86">
        <v>0.5</v>
      </c>
      <c r="CS4" s="86">
        <v>28.5</v>
      </c>
      <c r="CT4" s="86">
        <v>6.8</v>
      </c>
      <c r="CU4" s="86">
        <v>0.9</v>
      </c>
      <c r="CV4" s="86">
        <v>0.3</v>
      </c>
      <c r="CW4" s="86">
        <v>28.7</v>
      </c>
      <c r="CX4" s="86">
        <v>6.4</v>
      </c>
      <c r="CY4" s="86">
        <v>0</v>
      </c>
      <c r="CZ4" s="86">
        <v>0</v>
      </c>
      <c r="DA4" s="13">
        <f t="shared" ref="DA4:DA15" si="29">IF(SUM(CD4,CH4,CL4,CP4)&gt;0,SUM(CD4,CH4,CL4,CP4),"")</f>
        <v>26.8</v>
      </c>
      <c r="DB4" s="13">
        <f t="shared" ref="DB4:DB15" si="30">IF(SUM(CC4:CD4,CF4:CH4,CJ4)-SUM(CE4,CI4)&gt;0,SUM(CC4:CD4,CF4:CH4,CJ4)-SUM(CE4,CI4),"")</f>
        <v>68.400000000000006</v>
      </c>
      <c r="DC4" s="13">
        <f t="shared" ref="DC4:DC15" si="31">IF(SUM(CK4:CL4,CN4:CP4,CR4)-SUM(CM4,CQ4)&gt;0,SUM(CK4:CL4,CN4:CP4,CR4)-SUM(CM4,CQ4),"")</f>
        <v>69.2</v>
      </c>
      <c r="DD4" s="13">
        <f t="shared" ref="DD4:DD15" si="32">IF(SUM(CC4:CD4,CF4:CH4,CJ4:CL4,CN4:CP4,CR4)-SUM(CE4,CI4,CM4,CQ4)&gt;0,SUM(CC4:CD4,CF4:CH4,CJ4:CL4,CN4:CP4,CR4)-SUM(CE4,CI4,CM4,CQ4),"")</f>
        <v>137.6</v>
      </c>
      <c r="DE4" s="13">
        <f t="shared" ref="DE4:DE15" si="33">IF(SUM(CS4:CT4,CV4:CX4,CZ4)-SUM(CU4,CY4)&gt;0,SUM(CS4:CT4,CV4:CX4,CZ4)-SUM(CU4,CY4),"")</f>
        <v>69.8</v>
      </c>
      <c r="DF4" s="13">
        <f t="shared" ref="DF4:DF15" si="34">IF(SUM(DD4,DE4)&gt;0,SUM(DD4,DE4),"")</f>
        <v>207.39999999999998</v>
      </c>
      <c r="DG4" s="30">
        <f t="shared" ref="DG4:DG15" si="35">IF(MAX(EI4,FM4,GQ4,HU4,IY4,KC4,LG4,MK4,NO4,OS4,PW4,RA4)-L4&gt;0.001,MAX(EI4,FM4,GQ4,HU4,IY4,KC4,LG4,MK4,NO4,OS4,PW4,RA4)-L4,"")</f>
        <v>0.60000000000000853</v>
      </c>
      <c r="DH4" s="30" t="str">
        <f t="shared" ref="DH4:DH15" si="36">IF(MAX(EJ4,FN4,GR4,HV4,IZ4,KD4,LH4,ML4,NP4,OT4,PX4,RB4)-N4&gt;0.001,MAX(EJ4,FN4,GR4,HV4,IZ4,KD4,LH4,ML4,NP4,OT4,PX4,RB4)-N4,"")</f>
        <v/>
      </c>
      <c r="DI4" s="30" t="str">
        <f t="shared" ref="DI4:DI15" si="37">IF(MAX(EL4,FP4,GT4,HX4,JB4,KF4,LJ4,MN4,OV4,PZ4,RD4)-P4&gt;0.001,MAX(EL4,FP4,GT4,HX4,JB4,KF4,LJ4,MN4,OV4,PZ4,RD4)-P4,"")</f>
        <v/>
      </c>
      <c r="DJ4" s="54"/>
      <c r="DK4" s="54"/>
      <c r="DL4" s="54"/>
      <c r="DM4" s="54"/>
      <c r="DN4" s="54"/>
      <c r="DO4" s="54"/>
      <c r="DP4" s="54"/>
      <c r="DQ4" s="54"/>
      <c r="DR4" s="54"/>
      <c r="DS4" s="54"/>
      <c r="DT4" s="54"/>
      <c r="DU4" s="54"/>
      <c r="DV4" s="54"/>
      <c r="DW4" s="54"/>
      <c r="DX4" s="54"/>
      <c r="DY4" s="54"/>
      <c r="DZ4" s="54"/>
      <c r="EA4" s="54"/>
      <c r="EB4" s="54"/>
      <c r="EC4" s="54"/>
      <c r="ED4" s="54"/>
      <c r="EE4" s="54"/>
      <c r="EF4" s="54"/>
      <c r="EG4" s="54"/>
      <c r="EH4" s="13" t="str">
        <f t="shared" ref="EH4:EH15" si="38">IF(SUM(DK4,DO4,DS4,DW4)&gt;0,SUM(DK4,DO4,DS4,DW4),"")</f>
        <v/>
      </c>
      <c r="EI4" s="13" t="str">
        <f t="shared" ref="EI4:EI15" si="39">IF(SUM(DJ4:DK4,DM4:DO4,DQ4)-SUM(DL4,DP4)&gt;0,SUM(DJ4:DK4,DM4:DO4,DQ4)-SUM(DL4,DP4),"")</f>
        <v/>
      </c>
      <c r="EJ4" s="13" t="str">
        <f t="shared" ref="EJ4:EJ15" si="40">IF(SUM(DR4:DS4,DU4:DW4,DY4)-SUM(DT4,DX4)&gt;0,SUM(DR4:DS4,DU4:DW4,DY4)-SUM(DT4,DX4),"")</f>
        <v/>
      </c>
      <c r="EK4" s="13" t="str">
        <f t="shared" ref="EK4:EK15" si="41">IF(SUM(DJ4:DK4,DM4:DO4,DQ4:DS4,DU4:DW4,DY4)-SUM(DL4,DP4,DT4,DX4)&gt;0,SUM(DJ4:DK4,DM4:DO4,DQ4:DS4,DU4:DW4,DY4)-SUM(DL4,DP4,DT4,DX4),"")</f>
        <v/>
      </c>
      <c r="EL4" s="13" t="str">
        <f t="shared" ref="EL4:EL15" si="42">IF(SUM(DZ4:EA4,EC4:EE4,EG4)-SUM(EB4,EF4)&gt;0,SUM(DZ4:EA4,EC4:EE4,EG4)-SUM(EB4,EF4),"")</f>
        <v/>
      </c>
      <c r="EM4" s="13" t="str">
        <f t="shared" ref="EM4:EM15" si="43">IF(SUM(EK4,EL4)&gt;0,SUM(EK4,EL4),"")</f>
        <v/>
      </c>
      <c r="EN4" s="53">
        <v>28.2</v>
      </c>
      <c r="EO4" s="53">
        <v>6.8</v>
      </c>
      <c r="EP4" s="53">
        <v>0.9</v>
      </c>
      <c r="EQ4" s="53">
        <v>0</v>
      </c>
      <c r="ER4" s="53">
        <v>27.9</v>
      </c>
      <c r="ES4" s="53">
        <v>6.4</v>
      </c>
      <c r="ET4" s="53">
        <v>0.9</v>
      </c>
      <c r="EU4" s="53">
        <v>0</v>
      </c>
      <c r="EV4" s="53"/>
      <c r="EW4" s="53"/>
      <c r="EX4" s="53"/>
      <c r="EY4" s="53"/>
      <c r="EZ4" s="53"/>
      <c r="FA4" s="53"/>
      <c r="FB4" s="53"/>
      <c r="FC4" s="53"/>
      <c r="FD4" s="53">
        <v>27.6</v>
      </c>
      <c r="FE4" s="53">
        <v>6.8</v>
      </c>
      <c r="FF4" s="53">
        <v>0</v>
      </c>
      <c r="FG4" s="53">
        <v>0</v>
      </c>
      <c r="FH4" s="53">
        <v>27.9</v>
      </c>
      <c r="FI4" s="53">
        <v>6.8</v>
      </c>
      <c r="FJ4" s="53">
        <v>1.2</v>
      </c>
      <c r="FK4" s="53">
        <v>0</v>
      </c>
      <c r="FL4" s="16">
        <f t="shared" ref="FL4:FL15" si="44">IF(SUM(EO4,ES4,EW4,FA4)&gt;0,SUM(EO4,ES4,EW4,FA4),"")</f>
        <v>13.2</v>
      </c>
      <c r="FM4" s="16">
        <f t="shared" ref="FM4:FM15" si="45">IF(SUM(EN4:EO4,EQ4:ES4,EU4)-SUM(EP4,ET4)&gt;0,SUM(EN4:EO4,EQ4:ES4,EU4)-SUM(EP4,ET4),"")</f>
        <v>67.5</v>
      </c>
      <c r="FN4" s="16" t="str">
        <f t="shared" ref="FN4:FN15" si="46">IF(SUM(EV4:EW4,EY4:FA4,FC4)-SUM(EX4,FB4)&gt;0,SUM(EV4:EW4,EY4:FA4,FC4)-SUM(EX4,FB4),"")</f>
        <v/>
      </c>
      <c r="FO4" s="16">
        <f t="shared" ref="FO4:FO15" si="47">IF(SUM(EN4:EO4,EQ4:ES4,EU4:EW4,EY4:FA4,FC4)-SUM(EP4,ET4,EX4,FB4)&gt;0,SUM(EN4:EO4,EQ4:ES4,EU4:EW4,EY4:FA4,FC4)-SUM(EP4,ET4,EX4,FB4),"")</f>
        <v>67.5</v>
      </c>
      <c r="FP4" s="16">
        <f t="shared" ref="FP4:FP15" si="48">IF(SUM(FD4:FE4,FG4:FI4,FK4)-SUM(FF4,FJ4)&gt;0,SUM(FD4:FE4,FG4:FI4,FK4)-SUM(FF4,FJ4),"")</f>
        <v>67.899999999999991</v>
      </c>
      <c r="FQ4" s="16">
        <f t="shared" ref="FQ4:FQ15" si="49">IF(SUM(FO4,FP4)&gt;0,SUM(FO4,FP4),"")</f>
        <v>135.39999999999998</v>
      </c>
      <c r="FR4" s="54">
        <v>27.9</v>
      </c>
      <c r="FS4" s="54">
        <v>6.8</v>
      </c>
      <c r="FT4" s="54">
        <v>0</v>
      </c>
      <c r="FU4" s="54">
        <v>0</v>
      </c>
      <c r="FV4" s="54">
        <v>27.9</v>
      </c>
      <c r="FW4" s="54">
        <v>6.4</v>
      </c>
      <c r="FX4" s="54">
        <v>0.9</v>
      </c>
      <c r="FY4" s="54">
        <v>0</v>
      </c>
      <c r="FZ4" s="54"/>
      <c r="GA4" s="54"/>
      <c r="GB4" s="54"/>
      <c r="GC4" s="54"/>
      <c r="GD4" s="54"/>
      <c r="GE4" s="54"/>
      <c r="GF4" s="54"/>
      <c r="GG4" s="54"/>
      <c r="GH4" s="54"/>
      <c r="GI4" s="54"/>
      <c r="GJ4" s="54"/>
      <c r="GK4" s="54"/>
      <c r="GL4" s="54"/>
      <c r="GM4" s="54"/>
      <c r="GN4" s="54"/>
      <c r="GO4" s="54"/>
      <c r="GP4" s="13">
        <f t="shared" ref="GP4:GP15" si="50">IF(SUM(FS4,FW4,GA4,GE4)&gt;0,SUM(FS4,FW4,GA4,GE4),"")</f>
        <v>13.2</v>
      </c>
      <c r="GQ4" s="13">
        <f t="shared" ref="GQ4:GQ15" si="51">IF(SUM(FR4:FS4,FU4:FW4,FY4)-SUM(FT4,FX4)&gt;0,SUM(FR4:FS4,FU4:FW4,FY4)-SUM(FT4,FX4),"")</f>
        <v>68.099999999999994</v>
      </c>
      <c r="GR4" s="13" t="str">
        <f t="shared" ref="GR4:GR15" si="52">IF(SUM(FZ4:GA4,GC4:GE4,GG4)-SUM(GB4,GF4)&gt;0,SUM(FZ4:GA4,GC4:GE4,GG4)-SUM(GB4,GF4),"")</f>
        <v/>
      </c>
      <c r="GS4" s="13">
        <f t="shared" ref="GS4:GS15" si="53">IF(SUM(FR4:FS4,FU4:FW4,FY4:GA4,GC4:GE4,GG4)-SUM(FT4,FX4,GB4,GF4)&gt;0,SUM(FR4:FS4,FU4:FW4,FY4:GA4,GC4:GE4,GG4)-SUM(FT4,FX4,GB4,GF4),"")</f>
        <v>68.099999999999994</v>
      </c>
      <c r="GT4" s="13" t="str">
        <f t="shared" ref="GT4:GT15" si="54">IF(SUM(GH4:GI4,GK4:GM4,GO4)-SUM(GJ4,GN4)&gt;0,SUM(GH4:GI4,GK4:GM4,GO4)-SUM(GJ4,GN4),"")</f>
        <v/>
      </c>
      <c r="GU4" s="13">
        <f t="shared" ref="GU4:GU15" si="55">IF(SUM(GS4,GT4)&gt;0,SUM(GS4,GT4),"")</f>
        <v>68.099999999999994</v>
      </c>
      <c r="GV4" s="53"/>
      <c r="GW4" s="53"/>
      <c r="GX4" s="53"/>
      <c r="GY4" s="53"/>
      <c r="GZ4" s="53"/>
      <c r="HA4" s="53"/>
      <c r="HB4" s="53"/>
      <c r="HC4" s="53"/>
      <c r="HD4" s="53"/>
      <c r="HE4" s="53"/>
      <c r="HF4" s="53"/>
      <c r="HG4" s="53"/>
      <c r="HH4" s="53"/>
      <c r="HI4" s="53"/>
      <c r="HJ4" s="53"/>
      <c r="HK4" s="53"/>
      <c r="HL4" s="53">
        <v>33.9</v>
      </c>
      <c r="HM4" s="53"/>
      <c r="HN4" s="53"/>
      <c r="HO4" s="53"/>
      <c r="HP4" s="53"/>
      <c r="HQ4" s="53"/>
      <c r="HR4" s="53"/>
      <c r="HS4" s="53"/>
      <c r="HT4" s="16" t="str">
        <f t="shared" ref="HT4:HT16" si="56">IF(SUM(GW4,HA4,HE4,HI4)&gt;0,SUM(GW4,HA4,HE4,HI4),"")</f>
        <v/>
      </c>
      <c r="HU4" s="16" t="str">
        <f t="shared" ref="HU4:HU16" si="57">IF(SUM(GV4:GW4,GY4:HA4,HC4)-SUM(GX4,HB4)&gt;0,SUM(GV4:GW4,GY4:HA4,HC4)-SUM(GX4,HB4),"")</f>
        <v/>
      </c>
      <c r="HV4" s="16" t="str">
        <f t="shared" ref="HV4:HV16" si="58">IF(SUM(HD4:HE4,HG4:HI4,HK4)-SUM(HF4,HJ4)&gt;0,SUM(HD4:HE4,HG4:HI4,HK4)-SUM(HF4,HJ4),"")</f>
        <v/>
      </c>
      <c r="HW4" s="16" t="str">
        <f t="shared" ref="HW4:HW16" si="59">IF(SUM(GV4:GW4,GY4:HA4,HC4:HE4,HG4:HI4,HK4)-SUM(GX4,HB4,HF4,HJ4)&gt;0,SUM(GV4:GW4,GY4:HA4,HC4:HE4,HG4:HI4,HK4)-SUM(GX4,HB4,HF4,HJ4),"")</f>
        <v/>
      </c>
      <c r="HX4" s="16">
        <f t="shared" ref="HX4:HX16" si="60">IF(SUM(HL4:HM4,HO4:HQ4,HS4)-SUM(HN4,HR4)&gt;0,SUM(HL4:HM4,HO4:HQ4,HS4)-SUM(HN4,HR4),"")</f>
        <v>33.9</v>
      </c>
      <c r="HY4" s="16">
        <f t="shared" ref="HY4:HY16" si="61">IF(SUM(HW4,HX4)&gt;0,SUM(HW4,HX4),"")</f>
        <v>33.9</v>
      </c>
      <c r="HZ4" s="54"/>
      <c r="IA4" s="54"/>
      <c r="IB4" s="54"/>
      <c r="IC4" s="54"/>
      <c r="ID4" s="54"/>
      <c r="IE4" s="54"/>
      <c r="IF4" s="54"/>
      <c r="IG4" s="54"/>
      <c r="IH4" s="54"/>
      <c r="II4" s="54"/>
      <c r="IJ4" s="54"/>
      <c r="IK4" s="54"/>
      <c r="IL4" s="54"/>
      <c r="IM4" s="54"/>
      <c r="IN4" s="54"/>
      <c r="IO4" s="54"/>
      <c r="IP4" s="54"/>
      <c r="IQ4" s="54"/>
      <c r="IR4" s="54"/>
      <c r="IS4" s="54"/>
      <c r="IT4" s="54"/>
      <c r="IU4" s="54"/>
      <c r="IV4" s="54"/>
      <c r="IW4" s="54"/>
      <c r="IX4" s="13" t="str">
        <f t="shared" ref="IX4:IX16" si="62">IF(SUM(IA4,IE4,II4,IM4)&gt;0,SUM(IA4,IE4,II4,IM4),"")</f>
        <v/>
      </c>
      <c r="IY4" s="13" t="str">
        <f t="shared" ref="IY4:IY16" si="63">IF(SUM(HZ4:IA4,IC4:IE4,IG4)-SUM(IB4,IF4)&gt;0,SUM(HZ4:IA4,IC4:IE4,IG4)-SUM(IB4,IF4),"")</f>
        <v/>
      </c>
      <c r="IZ4" s="13" t="str">
        <f t="shared" ref="IZ4:IZ16" si="64">IF(SUM(IH4:II4,IK4:IM4,IO4)-SUM(IJ4,IN4)&gt;0,SUM(IH4:II4,IK4:IM4,IO4)-SUM(IJ4,IN4),"")</f>
        <v/>
      </c>
      <c r="JA4" s="13" t="str">
        <f t="shared" ref="JA4:JA16" si="65">IF(SUM(HZ4:IA4,IC4:IE4,IG4:II4,IK4:IM4,IO4)-SUM(IB4,IF4,IJ4,IN4)&gt;0,SUM(HZ4:IA4,IC4:IE4,IG4:II4,IK4:IM4,IO4)-SUM(IB4,IF4,IJ4,IN4),"")</f>
        <v/>
      </c>
      <c r="JB4" s="13" t="str">
        <f t="shared" ref="JB4:JB16" si="66">IF(SUM(IP4:IQ4,IS4:IU4,IW4)-SUM(IR4,IV4)&gt;0,SUM(IP4:IQ4,IS4:IU4,IW4)-SUM(IR4,IV4),"")</f>
        <v/>
      </c>
      <c r="JC4" s="13" t="str">
        <f t="shared" ref="JC4:JC16" si="67">IF(SUM(JA4,JB4)&gt;0,SUM(JA4,JB4),"")</f>
        <v/>
      </c>
      <c r="JD4" s="53"/>
      <c r="JE4" s="53"/>
      <c r="JF4" s="53"/>
      <c r="JG4" s="53"/>
      <c r="JH4" s="53"/>
      <c r="JI4" s="53"/>
      <c r="JJ4" s="53"/>
      <c r="JK4" s="53"/>
      <c r="JL4" s="53"/>
      <c r="JM4" s="53"/>
      <c r="JN4" s="53"/>
      <c r="JO4" s="53"/>
      <c r="JP4" s="53"/>
      <c r="JQ4" s="53"/>
      <c r="JR4" s="53"/>
      <c r="JS4" s="53"/>
      <c r="JT4" s="53"/>
      <c r="JU4" s="53"/>
      <c r="JV4" s="53"/>
      <c r="JW4" s="53"/>
      <c r="JX4" s="53"/>
      <c r="JY4" s="53"/>
      <c r="JZ4" s="53"/>
      <c r="KA4" s="53"/>
      <c r="KB4" s="16" t="str">
        <f t="shared" ref="KB4:KB16" si="68">IF(SUM(JE4,JI4,JM4,JQ4)&gt;0,SUM(JE4,JI4,JM4,JQ4),"")</f>
        <v/>
      </c>
      <c r="KC4" s="16" t="str">
        <f t="shared" ref="KC4:KC16" si="69">IF(SUM(JD4:JE4,JG4:JI4,JK4)-SUM(JF4,JJ4)&gt;0,SUM(JD4:JE4,JG4:JI4,JK4)-SUM(JF4,JJ4),"")</f>
        <v/>
      </c>
      <c r="KD4" s="16" t="str">
        <f t="shared" ref="KD4:KD16" si="70">IF(SUM(JL4:JM4,JO4:JQ4,JS4)-SUM(JN4,JR4)&gt;0,SUM(JL4:JM4,JO4:JQ4,JS4)-SUM(JN4,JR4),"")</f>
        <v/>
      </c>
      <c r="KE4" s="16" t="str">
        <f t="shared" ref="KE4:KE16" si="71">IF(SUM(JD4:JE4,JG4:JI4,JK4:JM4,JO4:JQ4,JS4)-SUM(JF4,JJ4,JN4,JR4)&gt;0,SUM(JD4:JE4,JG4:JI4,JK4:JM4,JO4:JQ4,JS4)-SUM(JF4,JJ4,JN4,JR4),"")</f>
        <v/>
      </c>
      <c r="KF4" s="16" t="str">
        <f t="shared" ref="KF4:KF16" si="72">IF(SUM(JT4:JU4,JW4:JY4,KA4)-SUM(JV4,JZ4)&gt;0,SUM(JT4:JU4,JW4:JY4,KA4)-SUM(JV4,JZ4),"")</f>
        <v/>
      </c>
      <c r="KG4" s="16" t="str">
        <f t="shared" ref="KG4:KG16" si="73">IF(SUM(KE4,KF4)&gt;0,SUM(KE4,KF4),"")</f>
        <v/>
      </c>
      <c r="KH4" s="54"/>
      <c r="KI4" s="54"/>
      <c r="KJ4" s="54"/>
      <c r="KK4" s="54"/>
      <c r="KL4" s="54"/>
      <c r="KM4" s="54"/>
      <c r="KN4" s="54"/>
      <c r="KO4" s="54"/>
      <c r="KP4" s="54"/>
      <c r="KQ4" s="54"/>
      <c r="KR4" s="54"/>
      <c r="KS4" s="54"/>
      <c r="KT4" s="54"/>
      <c r="KU4" s="54"/>
      <c r="KV4" s="54"/>
      <c r="KW4" s="54"/>
      <c r="KX4" s="54"/>
      <c r="KY4" s="54"/>
      <c r="KZ4" s="54"/>
      <c r="LA4" s="54"/>
      <c r="LB4" s="54"/>
      <c r="LC4" s="54"/>
      <c r="LD4" s="54"/>
      <c r="LE4" s="54"/>
      <c r="LF4" s="13" t="str">
        <f t="shared" ref="LF4:LF16" si="74">IF(SUM(KI4,KM4,KQ4,KU4)&gt;0,SUM(KI4,KM4,KQ4,KU4),"")</f>
        <v/>
      </c>
      <c r="LG4" s="13" t="str">
        <f t="shared" ref="LG4:LG16" si="75">IF(SUM(KH4:KI4,KK4:KM4,KO4)-SUM(KJ4,KN4)&gt;0,SUM(KH4:KI4,KK4:KM4,KO4)-SUM(KJ4,KN4),"")</f>
        <v/>
      </c>
      <c r="LH4" s="13" t="str">
        <f t="shared" ref="LH4:LH16" si="76">IF(SUM(KP4:KQ4,KS4:KU4,KW4)-SUM(KR4,KV4)&gt;0,SUM(KP4:KQ4,KS4:KU4,KW4)-SUM(KR4,KV4),"")</f>
        <v/>
      </c>
      <c r="LI4" s="13" t="str">
        <f t="shared" ref="LI4:LI16" si="77">IF(SUM(KH4:KI4,KK4:KM4,KO4:KQ4,KS4:KU4,KW4)-SUM(KJ4,KN4,KR4,KV4)&gt;0,SUM(KH4:KI4,KK4:KM4,KO4:KQ4,KS4:KU4,KW4)-SUM(KJ4,KN4,KR4,KV4),"")</f>
        <v/>
      </c>
      <c r="LJ4" s="13" t="str">
        <f t="shared" ref="LJ4:LJ16" si="78">IF(SUM(KX4:KY4,LA4:LC4,LE4)-SUM(KZ4,LD4)&gt;0,SUM(KX4:KY4,LA4:LC4,LE4)-SUM(KZ4,LD4),"")</f>
        <v/>
      </c>
      <c r="LK4" s="13" t="str">
        <f t="shared" ref="LK4:LK16" si="79">IF(SUM(LI4,LJ4)&gt;0,SUM(LI4,LJ4),"")</f>
        <v/>
      </c>
      <c r="LL4" s="53"/>
      <c r="LM4" s="53"/>
      <c r="LN4" s="53"/>
      <c r="LO4" s="53"/>
      <c r="LP4" s="53"/>
      <c r="LQ4" s="53"/>
      <c r="LR4" s="53"/>
      <c r="LS4" s="53"/>
      <c r="LT4" s="53"/>
      <c r="LU4" s="53"/>
      <c r="LV4" s="53"/>
      <c r="LW4" s="53"/>
      <c r="LX4" s="53"/>
      <c r="LY4" s="53"/>
      <c r="LZ4" s="53"/>
      <c r="MA4" s="53"/>
      <c r="MB4" s="53"/>
      <c r="MC4" s="53"/>
      <c r="MD4" s="53"/>
      <c r="ME4" s="53"/>
      <c r="MF4" s="53"/>
      <c r="MG4" s="53"/>
      <c r="MH4" s="53"/>
      <c r="MI4" s="53"/>
      <c r="MJ4" s="16" t="str">
        <f t="shared" ref="MJ4:MJ16" si="80">IF(SUM(LM4,LQ4,LU4,LY4)&gt;0,SUM(LM4,LQ4,LU4,LY4),"")</f>
        <v/>
      </c>
      <c r="MK4" s="16" t="str">
        <f t="shared" ref="MK4:MK16" si="81">IF(SUM(LL4:LM4,LO4:LQ4,LS4)-SUM(LN4,LR4)&gt;0,SUM(LL4:LM4,LO4:LQ4,LS4)-SUM(LN4,LR4),"")</f>
        <v/>
      </c>
      <c r="ML4" s="16" t="str">
        <f t="shared" ref="ML4:ML16" si="82">IF(SUM(LT4:LU4,LW4:LY4,MA4)-SUM(LV4,LZ4)&gt;0,SUM(LT4:LU4,LW4:LY4,MA4)-SUM(LV4,LZ4),"")</f>
        <v/>
      </c>
      <c r="MM4" s="16" t="str">
        <f t="shared" ref="MM4:MM16" si="83">IF(SUM(LL4:LM4,LO4:LQ4,LS4:LU4,LW4:LY4,MA4)-SUM(LN4,LR4,LV4,LZ4)&gt;0,SUM(LL4:LM4,LO4:LQ4,LS4:LU4,LW4:LY4,MA4)-SUM(LN4,LR4,LV4,LZ4),"")</f>
        <v/>
      </c>
      <c r="MN4" s="16" t="str">
        <f t="shared" ref="MN4:MN16" si="84">IF(SUM(MB4:MC4,ME4:MG4,MI4)-SUM(MD4,MH4)&gt;0,SUM(MB4:MC4,ME4:MG4,MI4)-SUM(MD4,MH4),"")</f>
        <v/>
      </c>
      <c r="MO4" s="16" t="str">
        <f t="shared" ref="MO4:MO16" si="85">IF(SUM(MM4,MN4)&gt;0,SUM(MM4,MN4),"")</f>
        <v/>
      </c>
      <c r="MP4" s="54"/>
      <c r="MQ4" s="54"/>
      <c r="MR4" s="54"/>
      <c r="MS4" s="54"/>
      <c r="MT4" s="54"/>
      <c r="MU4" s="54"/>
      <c r="MV4" s="54"/>
      <c r="MW4" s="54"/>
      <c r="MX4" s="54"/>
      <c r="MY4" s="54"/>
      <c r="MZ4" s="54"/>
      <c r="NA4" s="54"/>
      <c r="NB4" s="54"/>
      <c r="NC4" s="54"/>
      <c r="ND4" s="54"/>
      <c r="NE4" s="54"/>
      <c r="NF4" s="54"/>
      <c r="NG4" s="54"/>
      <c r="NH4" s="54"/>
      <c r="NI4" s="54"/>
      <c r="NJ4" s="54"/>
      <c r="NK4" s="54"/>
      <c r="NL4" s="54"/>
      <c r="NM4" s="54"/>
      <c r="NN4" s="13" t="str">
        <f t="shared" ref="NN4:NN16" si="86">IF(SUM(MQ4,MU4,MY4,NC4)&gt;0,SUM(MQ4,MU4,MY4,NC4),"")</f>
        <v/>
      </c>
      <c r="NO4" s="13" t="str">
        <f t="shared" ref="NO4:NO16" si="87">IF(SUM(MP4:MQ4,MS4:MU4,MW4)-SUM(MR4,MV4)&gt;0,SUM(MP4:MQ4,MS4:MU4,MW4)-SUM(MR4,MV4),"")</f>
        <v/>
      </c>
      <c r="NP4" s="13" t="str">
        <f t="shared" ref="NP4:NP16" si="88">IF(SUM(MX4:MY4,NA4:NC4,NE4)-SUM(MZ4,ND4)&gt;0,SUM(MX4:MY4,NA4:NC4,NE4)-SUM(MZ4,ND4),"")</f>
        <v/>
      </c>
      <c r="NQ4" s="13" t="str">
        <f t="shared" ref="NQ4:NQ16" si="89">IF(SUM(MP4:MQ4,MS4:MU4,MW4:MY4,NA4:NC4,NE4)-SUM(MR4,MV4,MZ4,ND4)&gt;0,SUM(MP4:MQ4,MS4:MU4,MW4:MY4,NA4:NC4,NE4)-SUM(MR4,MV4,MZ4,ND4),"")</f>
        <v/>
      </c>
      <c r="NR4" s="13" t="str">
        <f t="shared" ref="NR4:NR16" si="90">IF(SUM(NF4:NG4,NI4:NK4,NM4)-SUM(NH4,NL4)&gt;0,SUM(NF4:NG4,NI4:NK4,NM4)-SUM(NH4,NL4),"")</f>
        <v/>
      </c>
      <c r="NS4" s="13" t="str">
        <f t="shared" ref="NS4:NS16" si="91">IF(SUM(NQ4,NR4)&gt;0,SUM(NQ4,NR4),"")</f>
        <v/>
      </c>
      <c r="NT4" s="53"/>
      <c r="NU4" s="53"/>
      <c r="NV4" s="53"/>
      <c r="NW4" s="53"/>
      <c r="NX4" s="53"/>
      <c r="NY4" s="53"/>
      <c r="NZ4" s="53"/>
      <c r="OA4" s="53"/>
      <c r="OB4" s="53"/>
      <c r="OC4" s="53"/>
      <c r="OD4" s="53"/>
      <c r="OE4" s="53"/>
      <c r="OF4" s="53"/>
      <c r="OG4" s="53"/>
      <c r="OH4" s="53"/>
      <c r="OI4" s="53"/>
      <c r="OJ4" s="53"/>
      <c r="OK4" s="53"/>
      <c r="OL4" s="53"/>
      <c r="OM4" s="53"/>
      <c r="ON4" s="53"/>
      <c r="OO4" s="53"/>
      <c r="OP4" s="53"/>
      <c r="OQ4" s="53"/>
      <c r="OR4" s="16" t="str">
        <f t="shared" ref="OR4:OR16" si="92">IF(SUM(NU4,NY4,OC4,OG4)&gt;0,SUM(NU4,NY4,OC4,OG4),"")</f>
        <v/>
      </c>
      <c r="OS4" s="16" t="str">
        <f t="shared" ref="OS4:OS16" si="93">IF(SUM(NT4:NU4,NW4:NY4,OA4)-SUM(NV4,NZ4)&gt;0,SUM(NT4:NU4,NW4:NY4,OA4)-SUM(NV4,NZ4),"")</f>
        <v/>
      </c>
      <c r="OT4" s="16" t="str">
        <f t="shared" ref="OT4:OT16" si="94">IF(SUM(OB4:OC4,OE4:OG4,OI4)-SUM(OD4,OH4)&gt;0,SUM(OB4:OC4,OE4:OG4,OI4)-SUM(OD4,OH4),"")</f>
        <v/>
      </c>
      <c r="OU4" s="16" t="str">
        <f t="shared" ref="OU4:OU16" si="95">IF(SUM(NT4:NU4,NW4:NY4,OA4:OC4,OE4:OG4,OI4)-SUM(NV4,NZ4,OD4,OH4)&gt;0,SUM(NT4:NU4,NW4:NY4,OA4:OC4,OE4:OG4,OI4)-SUM(NV4,NZ4,OD4,OH4),"")</f>
        <v/>
      </c>
      <c r="OV4" s="16" t="str">
        <f t="shared" ref="OV4:OV16" si="96">IF(SUM(OJ4:OK4,OM4:OO4,OQ4)-SUM(OL4,OP4)&gt;0,SUM(OJ4:OK4,OM4:OO4,OQ4)-SUM(OL4,OP4),"")</f>
        <v/>
      </c>
      <c r="OW4" s="16" t="str">
        <f t="shared" ref="OW4:OW16" si="97">IF(SUM(OU4,OV4)&gt;0,SUM(OU4,OV4),"")</f>
        <v/>
      </c>
      <c r="OX4" s="54"/>
      <c r="OY4" s="54"/>
      <c r="OZ4" s="54"/>
      <c r="PA4" s="54"/>
      <c r="PB4" s="54"/>
      <c r="PC4" s="54"/>
      <c r="PD4" s="54"/>
      <c r="PE4" s="54"/>
      <c r="PF4" s="54"/>
      <c r="PG4" s="54"/>
      <c r="PH4" s="54"/>
      <c r="PI4" s="54"/>
      <c r="PJ4" s="54"/>
      <c r="PK4" s="54"/>
      <c r="PL4" s="54"/>
      <c r="PM4" s="54"/>
      <c r="PN4" s="54"/>
      <c r="PO4" s="54"/>
      <c r="PP4" s="54"/>
      <c r="PQ4" s="54"/>
      <c r="PR4" s="54"/>
      <c r="PS4" s="54"/>
      <c r="PT4" s="54"/>
      <c r="PU4" s="54"/>
      <c r="PV4" s="13" t="str">
        <f t="shared" ref="PV4:PV16" si="98">IF(SUM(OY4,PC4,PG4,PK4)&gt;0,SUM(OY4,PC4,PG4,PK4),"")</f>
        <v/>
      </c>
      <c r="PW4" s="13" t="str">
        <f t="shared" ref="PW4:PW16" si="99">IF(SUM(OX4:OY4,PA4:PC4,PE4)-SUM(OZ4,PD4)&gt;0,SUM(OX4:OY4,PA4:PC4,PE4)-SUM(OZ4,PD4),"")</f>
        <v/>
      </c>
      <c r="PX4" s="13" t="str">
        <f t="shared" ref="PX4:PX16" si="100">IF(SUM(PF4:PG4,PI4:PK4,PM4)-SUM(PH4,PL4)&gt;0,SUM(PF4:PG4,PI4:PK4,PM4)-SUM(PH4,PL4),"")</f>
        <v/>
      </c>
      <c r="PY4" s="13" t="str">
        <f t="shared" ref="PY4:PY16" si="101">IF(SUM(OX4:OY4,PA4:PC4,PE4:PG4,PI4:PK4,PM4)-SUM(OZ4,PD4,PH4,PL4)&gt;0,SUM(OX4:OY4,PA4:PC4,PE4:PG4,PI4:PK4,PM4)-SUM(OZ4,PD4,PH4,PL4),"")</f>
        <v/>
      </c>
      <c r="PZ4" s="13" t="str">
        <f t="shared" ref="PZ4:PZ16" si="102">IF(SUM(PN4:PO4,PQ4:PS4,PU4)-SUM(PP4,PT4)&gt;0,SUM(PN4:PO4,PQ4:PS4,PU4)-SUM(PP4,PT4),"")</f>
        <v/>
      </c>
      <c r="QA4" s="13" t="str">
        <f t="shared" ref="QA4:QA16" si="103">IF(SUM(PY4,PZ4)&gt;0,SUM(PY4,PZ4),"")</f>
        <v/>
      </c>
      <c r="QB4" s="53"/>
      <c r="QC4" s="53"/>
      <c r="QD4" s="53"/>
      <c r="QE4" s="53"/>
      <c r="QF4" s="53"/>
      <c r="QG4" s="53"/>
      <c r="QH4" s="53"/>
      <c r="QI4" s="53"/>
      <c r="QJ4" s="53"/>
      <c r="QK4" s="53"/>
      <c r="QL4" s="53"/>
      <c r="QM4" s="53"/>
      <c r="QN4" s="53"/>
      <c r="QO4" s="53"/>
      <c r="QP4" s="53"/>
      <c r="QQ4" s="53"/>
      <c r="QR4" s="53"/>
      <c r="QS4" s="53"/>
      <c r="QT4" s="53"/>
      <c r="QU4" s="53"/>
      <c r="QV4" s="53"/>
      <c r="QW4" s="53"/>
      <c r="QX4" s="53"/>
      <c r="QY4" s="53"/>
      <c r="QZ4" s="16" t="str">
        <f t="shared" ref="QZ4:QZ16" si="104">IF(SUM(QC4,QG4,QK4,QO4)&gt;0,SUM(QC4,QG4,QK4,QO4),"")</f>
        <v/>
      </c>
      <c r="RA4" s="16" t="str">
        <f t="shared" ref="RA4:RA16" si="105">IF(SUM(QB4:QC4,QE4:QG4,QI4)-SUM(QD4,QH4)&gt;0,SUM(QB4:QC4,QE4:QG4,QI4)-SUM(QD4,QH4),"")</f>
        <v/>
      </c>
      <c r="RB4" s="16" t="str">
        <f t="shared" ref="RB4:RB16" si="106">IF(SUM(QJ4:QK4,QM4:QO4,QQ4)-SUM(QL4,QP4)&gt;0,SUM(QJ4:QK4,QM4:QO4,QQ4)-SUM(QL4,QP4),"")</f>
        <v/>
      </c>
      <c r="RC4" s="16" t="str">
        <f t="shared" ref="RC4:RC16" si="107">IF(SUM(QB4:QC4,QE4:QG4,QI4:QK4,QM4:QO4,QQ4)-SUM(QD4,QH4,QL4,QP4)&gt;0,SUM(QB4:QC4,QE4:QG4,QI4:QK4,QM4:QO4,QQ4)-SUM(QD4,QH4,QL4,QP4),"")</f>
        <v/>
      </c>
      <c r="RD4" s="16" t="str">
        <f t="shared" ref="RD4:RD16" si="108">IF(SUM(QR4:QS4,QU4:QW4,QY4)-SUM(QT4,QX4)&gt;0,SUM(QR4:QS4,QU4:QW4,QY4)-SUM(QT4,QX4),"")</f>
        <v/>
      </c>
      <c r="RE4" s="16" t="str">
        <f t="shared" ref="RE4:RE16" si="109">IF(SUM(RC4,RD4)&gt;0,SUM(RC4,RD4),"")</f>
        <v/>
      </c>
    </row>
    <row r="5" spans="1:473" x14ac:dyDescent="0.2">
      <c r="A5" s="6">
        <f t="shared" si="0"/>
        <v>2</v>
      </c>
      <c r="B5" s="9" t="s">
        <v>126</v>
      </c>
      <c r="C5" s="5" t="s">
        <v>6</v>
      </c>
      <c r="D5" s="33">
        <v>2018</v>
      </c>
      <c r="E5" s="17">
        <f t="shared" si="1"/>
        <v>337.79999999999995</v>
      </c>
      <c r="F5" s="4" t="str">
        <f t="shared" si="2"/>
        <v>P</v>
      </c>
      <c r="G5" s="4" t="str">
        <f t="shared" si="3"/>
        <v>P</v>
      </c>
      <c r="H5" s="4" t="str">
        <f t="shared" si="4"/>
        <v>P</v>
      </c>
      <c r="I5" t="str">
        <f t="shared" si="5"/>
        <v>Merit</v>
      </c>
      <c r="J5" s="16">
        <f t="shared" si="6"/>
        <v>137</v>
      </c>
      <c r="K5" s="16" t="str">
        <f t="shared" si="7"/>
        <v>2018 Nationals</v>
      </c>
      <c r="L5" s="16">
        <f t="shared" si="8"/>
        <v>66.599999999999994</v>
      </c>
      <c r="M5" s="16" t="str">
        <f t="shared" si="9"/>
        <v>2018 Canada Cup</v>
      </c>
      <c r="N5" s="16">
        <f t="shared" si="10"/>
        <v>66.900000000000006</v>
      </c>
      <c r="O5" s="16" t="str">
        <f t="shared" si="11"/>
        <v>2018 Canada Cup</v>
      </c>
      <c r="P5" s="16">
        <f t="shared" si="12"/>
        <v>67.299999999999983</v>
      </c>
      <c r="Q5" s="16" t="str">
        <f t="shared" si="13"/>
        <v>2018 Nationals</v>
      </c>
      <c r="R5" s="16" t="str">
        <f t="shared" si="14"/>
        <v/>
      </c>
      <c r="S5" s="31" t="str">
        <f t="shared" si="15"/>
        <v/>
      </c>
      <c r="T5" s="16" t="str">
        <f t="shared" si="16"/>
        <v/>
      </c>
      <c r="U5" s="47"/>
      <c r="V5" s="47"/>
      <c r="W5" s="47"/>
      <c r="X5" s="47"/>
      <c r="Y5" s="47"/>
      <c r="Z5" s="47"/>
      <c r="AA5" s="47"/>
      <c r="AB5" s="47"/>
      <c r="AC5" s="47"/>
      <c r="AD5" s="47"/>
      <c r="AE5" s="47"/>
      <c r="AF5" s="47"/>
      <c r="AG5" s="47"/>
      <c r="AH5" s="47"/>
      <c r="AI5" s="47"/>
      <c r="AJ5" s="47"/>
      <c r="AK5" s="47"/>
      <c r="AL5" s="47"/>
      <c r="AM5" s="47"/>
      <c r="AN5" s="47"/>
      <c r="AO5" s="47"/>
      <c r="AP5" s="47"/>
      <c r="AQ5" s="47"/>
      <c r="AR5" s="47"/>
      <c r="AS5" s="13" t="str">
        <f t="shared" si="17"/>
        <v/>
      </c>
      <c r="AT5" s="13" t="str">
        <f t="shared" si="18"/>
        <v/>
      </c>
      <c r="AU5" s="13" t="str">
        <f t="shared" si="19"/>
        <v/>
      </c>
      <c r="AV5" s="13" t="str">
        <f t="shared" si="20"/>
        <v/>
      </c>
      <c r="AW5" s="13" t="str">
        <f t="shared" si="21"/>
        <v/>
      </c>
      <c r="AX5" s="13" t="str">
        <f t="shared" si="22"/>
        <v/>
      </c>
      <c r="AY5" s="94">
        <v>28.3</v>
      </c>
      <c r="AZ5" s="94">
        <v>5.6</v>
      </c>
      <c r="BA5" s="94">
        <v>0</v>
      </c>
      <c r="BB5" s="94">
        <v>0</v>
      </c>
      <c r="BC5" s="94">
        <v>28</v>
      </c>
      <c r="BD5" s="94">
        <v>5.6</v>
      </c>
      <c r="BE5" s="94">
        <v>0.9</v>
      </c>
      <c r="BF5" s="94">
        <v>0</v>
      </c>
      <c r="BG5" s="94">
        <v>28.6</v>
      </c>
      <c r="BH5" s="94">
        <v>5.2</v>
      </c>
      <c r="BI5" s="94">
        <v>0.3</v>
      </c>
      <c r="BJ5" s="94">
        <v>0</v>
      </c>
      <c r="BK5" s="94">
        <v>28.2</v>
      </c>
      <c r="BL5" s="94">
        <v>5.2</v>
      </c>
      <c r="BM5" s="94">
        <v>0</v>
      </c>
      <c r="BN5" s="94">
        <v>0</v>
      </c>
      <c r="BO5" s="94">
        <v>28.3</v>
      </c>
      <c r="BP5" s="94">
        <v>5.6</v>
      </c>
      <c r="BQ5" s="94">
        <v>0</v>
      </c>
      <c r="BR5" s="94">
        <v>0</v>
      </c>
      <c r="BS5" s="94">
        <v>27</v>
      </c>
      <c r="BT5" s="94">
        <v>5.6</v>
      </c>
      <c r="BU5" s="94">
        <v>0.9</v>
      </c>
      <c r="BV5" s="94">
        <v>0</v>
      </c>
      <c r="BW5" s="16">
        <f t="shared" si="23"/>
        <v>21.599999999999998</v>
      </c>
      <c r="BX5" s="16">
        <f t="shared" si="24"/>
        <v>66.599999999999994</v>
      </c>
      <c r="BY5" s="16">
        <f t="shared" si="25"/>
        <v>66.900000000000006</v>
      </c>
      <c r="BZ5" s="16">
        <f t="shared" si="26"/>
        <v>133.5</v>
      </c>
      <c r="CA5" s="16">
        <f t="shared" si="27"/>
        <v>65.599999999999994</v>
      </c>
      <c r="CB5" s="16">
        <f t="shared" si="28"/>
        <v>199.1</v>
      </c>
      <c r="CC5" s="86">
        <v>28.5</v>
      </c>
      <c r="CD5" s="86">
        <v>5.6</v>
      </c>
      <c r="CE5" s="86">
        <v>0</v>
      </c>
      <c r="CF5" s="86">
        <v>0</v>
      </c>
      <c r="CG5" s="86">
        <v>28.4</v>
      </c>
      <c r="CH5" s="86">
        <v>5.6</v>
      </c>
      <c r="CI5" s="86">
        <v>0</v>
      </c>
      <c r="CJ5" s="86">
        <v>0</v>
      </c>
      <c r="CK5" s="86">
        <v>28.7</v>
      </c>
      <c r="CL5" s="86">
        <v>5.2</v>
      </c>
      <c r="CM5" s="86">
        <v>0</v>
      </c>
      <c r="CN5" s="86">
        <v>0.5</v>
      </c>
      <c r="CO5" s="86">
        <v>28.9</v>
      </c>
      <c r="CP5" s="86">
        <v>5.6</v>
      </c>
      <c r="CQ5" s="86">
        <v>0</v>
      </c>
      <c r="CR5" s="86">
        <v>0</v>
      </c>
      <c r="CS5" s="86">
        <v>28.7</v>
      </c>
      <c r="CT5" s="86">
        <v>5.6</v>
      </c>
      <c r="CU5" s="86">
        <v>0</v>
      </c>
      <c r="CV5" s="86">
        <v>0</v>
      </c>
      <c r="CW5" s="86">
        <v>28.3</v>
      </c>
      <c r="CX5" s="86">
        <v>5.6</v>
      </c>
      <c r="CY5" s="86">
        <v>0.9</v>
      </c>
      <c r="CZ5" s="86">
        <v>0</v>
      </c>
      <c r="DA5" s="13">
        <f t="shared" si="29"/>
        <v>22</v>
      </c>
      <c r="DB5" s="13">
        <f t="shared" si="30"/>
        <v>68.099999999999994</v>
      </c>
      <c r="DC5" s="13">
        <f t="shared" si="31"/>
        <v>68.899999999999991</v>
      </c>
      <c r="DD5" s="13">
        <f t="shared" si="32"/>
        <v>137</v>
      </c>
      <c r="DE5" s="13">
        <f t="shared" si="33"/>
        <v>67.299999999999983</v>
      </c>
      <c r="DF5" s="13">
        <f t="shared" si="34"/>
        <v>204.29999999999998</v>
      </c>
      <c r="DG5" s="30" t="str">
        <f t="shared" si="35"/>
        <v/>
      </c>
      <c r="DH5" s="30" t="str">
        <f t="shared" si="36"/>
        <v/>
      </c>
      <c r="DI5" s="30" t="str">
        <f t="shared" si="37"/>
        <v/>
      </c>
      <c r="DJ5" s="54"/>
      <c r="DK5" s="54"/>
      <c r="DL5" s="54"/>
      <c r="DM5" s="54"/>
      <c r="DN5" s="54"/>
      <c r="DO5" s="54"/>
      <c r="DP5" s="54"/>
      <c r="DQ5" s="54"/>
      <c r="DR5" s="54"/>
      <c r="DS5" s="54"/>
      <c r="DT5" s="54"/>
      <c r="DU5" s="54"/>
      <c r="DV5" s="54"/>
      <c r="DW5" s="54"/>
      <c r="DX5" s="54"/>
      <c r="DY5" s="54"/>
      <c r="DZ5" s="54"/>
      <c r="EA5" s="54"/>
      <c r="EB5" s="54"/>
      <c r="EC5" s="54"/>
      <c r="ED5" s="54"/>
      <c r="EE5" s="54"/>
      <c r="EF5" s="54"/>
      <c r="EG5" s="54"/>
      <c r="EH5" s="13" t="str">
        <f t="shared" si="38"/>
        <v/>
      </c>
      <c r="EI5" s="13" t="str">
        <f t="shared" si="39"/>
        <v/>
      </c>
      <c r="EJ5" s="13" t="str">
        <f t="shared" si="40"/>
        <v/>
      </c>
      <c r="EK5" s="13" t="str">
        <f t="shared" si="41"/>
        <v/>
      </c>
      <c r="EL5" s="13" t="str">
        <f t="shared" si="42"/>
        <v/>
      </c>
      <c r="EM5" s="13" t="str">
        <f t="shared" si="43"/>
        <v/>
      </c>
      <c r="EN5" s="53"/>
      <c r="EO5" s="53"/>
      <c r="EP5" s="53"/>
      <c r="EQ5" s="53"/>
      <c r="ER5" s="53"/>
      <c r="ES5" s="53"/>
      <c r="ET5" s="53"/>
      <c r="EU5" s="53"/>
      <c r="EV5" s="53"/>
      <c r="EW5" s="53"/>
      <c r="EX5" s="53"/>
      <c r="EY5" s="53"/>
      <c r="EZ5" s="53"/>
      <c r="FA5" s="53"/>
      <c r="FB5" s="53"/>
      <c r="FC5" s="53"/>
      <c r="FD5" s="53"/>
      <c r="FE5" s="53"/>
      <c r="FF5" s="53"/>
      <c r="FG5" s="53"/>
      <c r="FH5" s="53"/>
      <c r="FI5" s="53"/>
      <c r="FJ5" s="53"/>
      <c r="FK5" s="53"/>
      <c r="FL5" s="16" t="str">
        <f t="shared" si="44"/>
        <v/>
      </c>
      <c r="FM5" s="16" t="str">
        <f t="shared" si="45"/>
        <v/>
      </c>
      <c r="FN5" s="16" t="str">
        <f t="shared" si="46"/>
        <v/>
      </c>
      <c r="FO5" s="16" t="str">
        <f t="shared" si="47"/>
        <v/>
      </c>
      <c r="FP5" s="16" t="str">
        <f t="shared" si="48"/>
        <v/>
      </c>
      <c r="FQ5" s="16" t="str">
        <f t="shared" si="49"/>
        <v/>
      </c>
      <c r="FR5" s="54"/>
      <c r="FS5" s="54"/>
      <c r="FT5" s="54"/>
      <c r="FU5" s="54"/>
      <c r="FV5" s="54"/>
      <c r="FW5" s="54"/>
      <c r="FX5" s="54"/>
      <c r="FY5" s="54"/>
      <c r="FZ5" s="54"/>
      <c r="GA5" s="54"/>
      <c r="GB5" s="54"/>
      <c r="GC5" s="54"/>
      <c r="GD5" s="54"/>
      <c r="GE5" s="54"/>
      <c r="GF5" s="54"/>
      <c r="GG5" s="54"/>
      <c r="GH5" s="54"/>
      <c r="GI5" s="54"/>
      <c r="GJ5" s="54"/>
      <c r="GK5" s="54"/>
      <c r="GL5" s="54"/>
      <c r="GM5" s="54"/>
      <c r="GN5" s="54"/>
      <c r="GO5" s="54"/>
      <c r="GP5" s="13" t="str">
        <f t="shared" si="50"/>
        <v/>
      </c>
      <c r="GQ5" s="13" t="str">
        <f t="shared" si="51"/>
        <v/>
      </c>
      <c r="GR5" s="13" t="str">
        <f t="shared" si="52"/>
        <v/>
      </c>
      <c r="GS5" s="13" t="str">
        <f t="shared" si="53"/>
        <v/>
      </c>
      <c r="GT5" s="13" t="str">
        <f t="shared" si="54"/>
        <v/>
      </c>
      <c r="GU5" s="13" t="str">
        <f t="shared" si="55"/>
        <v/>
      </c>
      <c r="GV5" s="53"/>
      <c r="GW5" s="53"/>
      <c r="GX5" s="53"/>
      <c r="GY5" s="53"/>
      <c r="GZ5" s="53"/>
      <c r="HA5" s="53"/>
      <c r="HB5" s="53"/>
      <c r="HC5" s="53"/>
      <c r="HD5" s="53"/>
      <c r="HE5" s="53"/>
      <c r="HF5" s="53"/>
      <c r="HG5" s="53"/>
      <c r="HH5" s="53"/>
      <c r="HI5" s="53"/>
      <c r="HJ5" s="53"/>
      <c r="HK5" s="53"/>
      <c r="HL5" s="53"/>
      <c r="HM5" s="53"/>
      <c r="HN5" s="53"/>
      <c r="HO5" s="53"/>
      <c r="HP5" s="53"/>
      <c r="HQ5" s="53"/>
      <c r="HR5" s="53"/>
      <c r="HS5" s="53"/>
      <c r="HT5" s="16" t="str">
        <f t="shared" si="56"/>
        <v/>
      </c>
      <c r="HU5" s="16" t="str">
        <f t="shared" si="57"/>
        <v/>
      </c>
      <c r="HV5" s="16" t="str">
        <f t="shared" si="58"/>
        <v/>
      </c>
      <c r="HW5" s="16" t="str">
        <f t="shared" si="59"/>
        <v/>
      </c>
      <c r="HX5" s="16" t="str">
        <f t="shared" si="60"/>
        <v/>
      </c>
      <c r="HY5" s="16" t="str">
        <f t="shared" si="61"/>
        <v/>
      </c>
      <c r="HZ5" s="54"/>
      <c r="IA5" s="54"/>
      <c r="IB5" s="54"/>
      <c r="IC5" s="54"/>
      <c r="ID5" s="54"/>
      <c r="IE5" s="54"/>
      <c r="IF5" s="54"/>
      <c r="IG5" s="54"/>
      <c r="IH5" s="54"/>
      <c r="II5" s="54"/>
      <c r="IJ5" s="54"/>
      <c r="IK5" s="54"/>
      <c r="IL5" s="54"/>
      <c r="IM5" s="54"/>
      <c r="IN5" s="54"/>
      <c r="IO5" s="54"/>
      <c r="IP5" s="54"/>
      <c r="IQ5" s="54"/>
      <c r="IR5" s="54"/>
      <c r="IS5" s="54"/>
      <c r="IT5" s="54"/>
      <c r="IU5" s="54"/>
      <c r="IV5" s="54"/>
      <c r="IW5" s="54"/>
      <c r="IX5" s="13" t="str">
        <f t="shared" si="62"/>
        <v/>
      </c>
      <c r="IY5" s="13" t="str">
        <f t="shared" si="63"/>
        <v/>
      </c>
      <c r="IZ5" s="13" t="str">
        <f t="shared" si="64"/>
        <v/>
      </c>
      <c r="JA5" s="13" t="str">
        <f t="shared" si="65"/>
        <v/>
      </c>
      <c r="JB5" s="13" t="str">
        <f t="shared" si="66"/>
        <v/>
      </c>
      <c r="JC5" s="13" t="str">
        <f t="shared" si="67"/>
        <v/>
      </c>
      <c r="JD5" s="53"/>
      <c r="JE5" s="53"/>
      <c r="JF5" s="53"/>
      <c r="JG5" s="53"/>
      <c r="JH5" s="53"/>
      <c r="JI5" s="53"/>
      <c r="JJ5" s="53"/>
      <c r="JK5" s="53"/>
      <c r="JL5" s="53"/>
      <c r="JM5" s="53"/>
      <c r="JN5" s="53"/>
      <c r="JO5" s="53"/>
      <c r="JP5" s="53"/>
      <c r="JQ5" s="53"/>
      <c r="JR5" s="53"/>
      <c r="JS5" s="53"/>
      <c r="JT5" s="53"/>
      <c r="JU5" s="53"/>
      <c r="JV5" s="53"/>
      <c r="JW5" s="53"/>
      <c r="JX5" s="53"/>
      <c r="JY5" s="53"/>
      <c r="JZ5" s="53"/>
      <c r="KA5" s="53"/>
      <c r="KB5" s="16" t="str">
        <f t="shared" si="68"/>
        <v/>
      </c>
      <c r="KC5" s="16" t="str">
        <f t="shared" si="69"/>
        <v/>
      </c>
      <c r="KD5" s="16" t="str">
        <f t="shared" si="70"/>
        <v/>
      </c>
      <c r="KE5" s="16" t="str">
        <f t="shared" si="71"/>
        <v/>
      </c>
      <c r="KF5" s="16" t="str">
        <f t="shared" si="72"/>
        <v/>
      </c>
      <c r="KG5" s="16" t="str">
        <f t="shared" si="73"/>
        <v/>
      </c>
      <c r="KH5" s="54"/>
      <c r="KI5" s="54"/>
      <c r="KJ5" s="54"/>
      <c r="KK5" s="54"/>
      <c r="KL5" s="54"/>
      <c r="KM5" s="54"/>
      <c r="KN5" s="54"/>
      <c r="KO5" s="54"/>
      <c r="KP5" s="54"/>
      <c r="KQ5" s="54"/>
      <c r="KR5" s="54"/>
      <c r="KS5" s="54"/>
      <c r="KT5" s="54"/>
      <c r="KU5" s="54"/>
      <c r="KV5" s="54"/>
      <c r="KW5" s="54"/>
      <c r="KX5" s="54"/>
      <c r="KY5" s="54"/>
      <c r="KZ5" s="54"/>
      <c r="LA5" s="54"/>
      <c r="LB5" s="54"/>
      <c r="LC5" s="54"/>
      <c r="LD5" s="54"/>
      <c r="LE5" s="54"/>
      <c r="LF5" s="13" t="str">
        <f t="shared" si="74"/>
        <v/>
      </c>
      <c r="LG5" s="13" t="str">
        <f t="shared" si="75"/>
        <v/>
      </c>
      <c r="LH5" s="13" t="str">
        <f t="shared" si="76"/>
        <v/>
      </c>
      <c r="LI5" s="13" t="str">
        <f t="shared" si="77"/>
        <v/>
      </c>
      <c r="LJ5" s="13" t="str">
        <f t="shared" si="78"/>
        <v/>
      </c>
      <c r="LK5" s="13" t="str">
        <f t="shared" si="79"/>
        <v/>
      </c>
      <c r="LL5" s="53"/>
      <c r="LM5" s="53"/>
      <c r="LN5" s="53"/>
      <c r="LO5" s="53"/>
      <c r="LP5" s="53"/>
      <c r="LQ5" s="53"/>
      <c r="LR5" s="53"/>
      <c r="LS5" s="53"/>
      <c r="LT5" s="53"/>
      <c r="LU5" s="53"/>
      <c r="LV5" s="53"/>
      <c r="LW5" s="53"/>
      <c r="LX5" s="53"/>
      <c r="LY5" s="53"/>
      <c r="LZ5" s="53"/>
      <c r="MA5" s="53"/>
      <c r="MB5" s="53"/>
      <c r="MC5" s="53"/>
      <c r="MD5" s="53"/>
      <c r="ME5" s="53"/>
      <c r="MF5" s="53"/>
      <c r="MG5" s="53"/>
      <c r="MH5" s="53"/>
      <c r="MI5" s="53"/>
      <c r="MJ5" s="16" t="str">
        <f t="shared" si="80"/>
        <v/>
      </c>
      <c r="MK5" s="16" t="str">
        <f t="shared" si="81"/>
        <v/>
      </c>
      <c r="ML5" s="16" t="str">
        <f t="shared" si="82"/>
        <v/>
      </c>
      <c r="MM5" s="16" t="str">
        <f t="shared" si="83"/>
        <v/>
      </c>
      <c r="MN5" s="16" t="str">
        <f t="shared" si="84"/>
        <v/>
      </c>
      <c r="MO5" s="16" t="str">
        <f t="shared" si="85"/>
        <v/>
      </c>
      <c r="MP5" s="54"/>
      <c r="MQ5" s="54"/>
      <c r="MR5" s="54"/>
      <c r="MS5" s="54"/>
      <c r="MT5" s="54"/>
      <c r="MU5" s="54"/>
      <c r="MV5" s="54"/>
      <c r="MW5" s="54"/>
      <c r="MX5" s="54"/>
      <c r="MY5" s="54"/>
      <c r="MZ5" s="54"/>
      <c r="NA5" s="54"/>
      <c r="NB5" s="54"/>
      <c r="NC5" s="54"/>
      <c r="ND5" s="54"/>
      <c r="NE5" s="54"/>
      <c r="NF5" s="54"/>
      <c r="NG5" s="54"/>
      <c r="NH5" s="54"/>
      <c r="NI5" s="54"/>
      <c r="NJ5" s="54"/>
      <c r="NK5" s="54"/>
      <c r="NL5" s="54"/>
      <c r="NM5" s="54"/>
      <c r="NN5" s="13" t="str">
        <f t="shared" si="86"/>
        <v/>
      </c>
      <c r="NO5" s="13" t="str">
        <f t="shared" si="87"/>
        <v/>
      </c>
      <c r="NP5" s="13" t="str">
        <f t="shared" si="88"/>
        <v/>
      </c>
      <c r="NQ5" s="13" t="str">
        <f t="shared" si="89"/>
        <v/>
      </c>
      <c r="NR5" s="13" t="str">
        <f t="shared" si="90"/>
        <v/>
      </c>
      <c r="NS5" s="13" t="str">
        <f t="shared" si="91"/>
        <v/>
      </c>
      <c r="NT5" s="53"/>
      <c r="NU5" s="53"/>
      <c r="NV5" s="53"/>
      <c r="NW5" s="53"/>
      <c r="NX5" s="53"/>
      <c r="NY5" s="53"/>
      <c r="NZ5" s="53"/>
      <c r="OA5" s="53"/>
      <c r="OB5" s="53"/>
      <c r="OC5" s="53"/>
      <c r="OD5" s="53"/>
      <c r="OE5" s="53"/>
      <c r="OF5" s="53"/>
      <c r="OG5" s="53"/>
      <c r="OH5" s="53"/>
      <c r="OI5" s="53"/>
      <c r="OJ5" s="53"/>
      <c r="OK5" s="53"/>
      <c r="OL5" s="53"/>
      <c r="OM5" s="53"/>
      <c r="ON5" s="53"/>
      <c r="OO5" s="53"/>
      <c r="OP5" s="53"/>
      <c r="OQ5" s="53"/>
      <c r="OR5" s="16" t="str">
        <f t="shared" si="92"/>
        <v/>
      </c>
      <c r="OS5" s="16" t="str">
        <f t="shared" si="93"/>
        <v/>
      </c>
      <c r="OT5" s="16" t="str">
        <f t="shared" si="94"/>
        <v/>
      </c>
      <c r="OU5" s="16" t="str">
        <f t="shared" si="95"/>
        <v/>
      </c>
      <c r="OV5" s="16" t="str">
        <f t="shared" si="96"/>
        <v/>
      </c>
      <c r="OW5" s="16" t="str">
        <f t="shared" si="97"/>
        <v/>
      </c>
      <c r="OX5" s="54"/>
      <c r="OY5" s="54"/>
      <c r="OZ5" s="54"/>
      <c r="PA5" s="54"/>
      <c r="PB5" s="54"/>
      <c r="PC5" s="54"/>
      <c r="PD5" s="54"/>
      <c r="PE5" s="54"/>
      <c r="PF5" s="54"/>
      <c r="PG5" s="54"/>
      <c r="PH5" s="54"/>
      <c r="PI5" s="54"/>
      <c r="PJ5" s="54"/>
      <c r="PK5" s="54"/>
      <c r="PL5" s="54"/>
      <c r="PM5" s="54"/>
      <c r="PN5" s="54"/>
      <c r="PO5" s="54"/>
      <c r="PP5" s="54"/>
      <c r="PQ5" s="54"/>
      <c r="PR5" s="54"/>
      <c r="PS5" s="54"/>
      <c r="PT5" s="54"/>
      <c r="PU5" s="54"/>
      <c r="PV5" s="13" t="str">
        <f t="shared" si="98"/>
        <v/>
      </c>
      <c r="PW5" s="13" t="str">
        <f t="shared" si="99"/>
        <v/>
      </c>
      <c r="PX5" s="13" t="str">
        <f t="shared" si="100"/>
        <v/>
      </c>
      <c r="PY5" s="13" t="str">
        <f t="shared" si="101"/>
        <v/>
      </c>
      <c r="PZ5" s="13" t="str">
        <f t="shared" si="102"/>
        <v/>
      </c>
      <c r="QA5" s="13" t="str">
        <f t="shared" si="103"/>
        <v/>
      </c>
      <c r="QB5" s="53"/>
      <c r="QC5" s="53"/>
      <c r="QD5" s="53"/>
      <c r="QE5" s="53"/>
      <c r="QF5" s="53"/>
      <c r="QG5" s="53"/>
      <c r="QH5" s="53"/>
      <c r="QI5" s="53"/>
      <c r="QJ5" s="53"/>
      <c r="QK5" s="53"/>
      <c r="QL5" s="53"/>
      <c r="QM5" s="53"/>
      <c r="QN5" s="53"/>
      <c r="QO5" s="53"/>
      <c r="QP5" s="53"/>
      <c r="QQ5" s="53"/>
      <c r="QR5" s="53"/>
      <c r="QS5" s="53"/>
      <c r="QT5" s="53"/>
      <c r="QU5" s="53"/>
      <c r="QV5" s="53"/>
      <c r="QW5" s="53"/>
      <c r="QX5" s="53"/>
      <c r="QY5" s="53"/>
      <c r="QZ5" s="16" t="str">
        <f t="shared" si="104"/>
        <v/>
      </c>
      <c r="RA5" s="16" t="str">
        <f t="shared" si="105"/>
        <v/>
      </c>
      <c r="RB5" s="16" t="str">
        <f t="shared" si="106"/>
        <v/>
      </c>
      <c r="RC5" s="16" t="str">
        <f t="shared" si="107"/>
        <v/>
      </c>
      <c r="RD5" s="16" t="str">
        <f t="shared" si="108"/>
        <v/>
      </c>
      <c r="RE5" s="16" t="str">
        <f t="shared" si="109"/>
        <v/>
      </c>
    </row>
    <row r="6" spans="1:473" x14ac:dyDescent="0.2">
      <c r="A6" s="6">
        <f t="shared" si="0"/>
        <v>3</v>
      </c>
      <c r="B6" s="7" t="s">
        <v>96</v>
      </c>
      <c r="C6" s="8" t="s">
        <v>97</v>
      </c>
      <c r="D6" s="33">
        <v>2017</v>
      </c>
      <c r="E6" s="17">
        <f t="shared" si="1"/>
        <v>335.8</v>
      </c>
      <c r="F6" s="4" t="str">
        <f t="shared" si="2"/>
        <v>P</v>
      </c>
      <c r="G6" s="4" t="str">
        <f t="shared" si="3"/>
        <v>P</v>
      </c>
      <c r="H6" s="4" t="str">
        <f t="shared" si="4"/>
        <v>P</v>
      </c>
      <c r="I6" t="str">
        <f t="shared" si="5"/>
        <v>Worlds Team</v>
      </c>
      <c r="J6" s="16">
        <f t="shared" si="6"/>
        <v>132.80000000000001</v>
      </c>
      <c r="K6" s="16" t="str">
        <f t="shared" si="7"/>
        <v>2018 Canada Cup</v>
      </c>
      <c r="L6" s="16">
        <f t="shared" si="8"/>
        <v>68</v>
      </c>
      <c r="M6" s="16" t="str">
        <f t="shared" si="9"/>
        <v>2018 Nationals</v>
      </c>
      <c r="N6" s="16">
        <f t="shared" si="10"/>
        <v>65.3</v>
      </c>
      <c r="O6" s="16" t="str">
        <f t="shared" si="11"/>
        <v>2017 3rd Domestic Trial</v>
      </c>
      <c r="P6" s="16">
        <f t="shared" si="12"/>
        <v>69.7</v>
      </c>
      <c r="Q6" s="16" t="str">
        <f t="shared" si="13"/>
        <v>2018 Nationals</v>
      </c>
      <c r="R6" s="16" t="str">
        <f t="shared" si="14"/>
        <v/>
      </c>
      <c r="S6" s="31" t="str">
        <f t="shared" si="15"/>
        <v/>
      </c>
      <c r="T6" s="16" t="str">
        <f t="shared" si="16"/>
        <v/>
      </c>
      <c r="U6" s="47">
        <v>28</v>
      </c>
      <c r="V6" s="47">
        <v>5.6</v>
      </c>
      <c r="W6" s="47">
        <v>0.3</v>
      </c>
      <c r="X6" s="47">
        <v>0</v>
      </c>
      <c r="Y6" s="47">
        <v>27.6</v>
      </c>
      <c r="Z6" s="47">
        <v>6</v>
      </c>
      <c r="AA6" s="47">
        <v>0</v>
      </c>
      <c r="AB6" s="47">
        <v>0.3</v>
      </c>
      <c r="AC6" s="47">
        <v>27.8</v>
      </c>
      <c r="AD6" s="47">
        <v>5.2</v>
      </c>
      <c r="AE6" s="47">
        <v>0.3</v>
      </c>
      <c r="AF6" s="47">
        <v>0</v>
      </c>
      <c r="AG6" s="47">
        <v>27.4</v>
      </c>
      <c r="AH6" s="47">
        <v>5.2</v>
      </c>
      <c r="AI6" s="47">
        <v>0</v>
      </c>
      <c r="AJ6" s="49">
        <v>0</v>
      </c>
      <c r="AK6" s="47">
        <v>20.100000000000001</v>
      </c>
      <c r="AL6" s="47">
        <v>2.8</v>
      </c>
      <c r="AM6" s="47">
        <v>0</v>
      </c>
      <c r="AN6" s="47">
        <v>0</v>
      </c>
      <c r="AO6" s="47">
        <v>27.4</v>
      </c>
      <c r="AP6" s="47">
        <v>5.2</v>
      </c>
      <c r="AQ6" s="47">
        <v>0.3</v>
      </c>
      <c r="AR6" s="47">
        <v>0</v>
      </c>
      <c r="AS6" s="13">
        <f t="shared" si="17"/>
        <v>22</v>
      </c>
      <c r="AT6" s="13">
        <f t="shared" si="18"/>
        <v>67.2</v>
      </c>
      <c r="AU6" s="13">
        <f t="shared" si="19"/>
        <v>65.3</v>
      </c>
      <c r="AV6" s="13">
        <f t="shared" si="20"/>
        <v>132.5</v>
      </c>
      <c r="AW6" s="13">
        <f t="shared" si="21"/>
        <v>55.2</v>
      </c>
      <c r="AX6" s="13">
        <f t="shared" si="22"/>
        <v>187.7</v>
      </c>
      <c r="AY6" s="94">
        <v>27.9</v>
      </c>
      <c r="AZ6" s="94">
        <v>6.4</v>
      </c>
      <c r="BA6" s="94">
        <v>0.3</v>
      </c>
      <c r="BB6" s="94">
        <v>0</v>
      </c>
      <c r="BC6" s="94">
        <v>27.7</v>
      </c>
      <c r="BD6" s="94">
        <v>6.8</v>
      </c>
      <c r="BE6" s="94">
        <v>0</v>
      </c>
      <c r="BF6" s="94">
        <v>0.3</v>
      </c>
      <c r="BG6" s="94">
        <v>27.8</v>
      </c>
      <c r="BH6" s="94">
        <v>3.8</v>
      </c>
      <c r="BI6" s="94">
        <v>0.3</v>
      </c>
      <c r="BJ6" s="94">
        <v>0.5</v>
      </c>
      <c r="BK6" s="94">
        <v>26.8</v>
      </c>
      <c r="BL6" s="94">
        <v>6</v>
      </c>
      <c r="BM6" s="94">
        <v>0.9</v>
      </c>
      <c r="BN6" s="94">
        <v>0.3</v>
      </c>
      <c r="BO6" s="94">
        <v>27.7</v>
      </c>
      <c r="BP6" s="94">
        <v>6.4</v>
      </c>
      <c r="BQ6" s="94">
        <v>0.3</v>
      </c>
      <c r="BR6" s="94">
        <v>0</v>
      </c>
      <c r="BS6" s="94">
        <v>25.2</v>
      </c>
      <c r="BT6" s="94">
        <v>6.8</v>
      </c>
      <c r="BU6" s="94">
        <v>0.3</v>
      </c>
      <c r="BV6" s="94">
        <v>0.3</v>
      </c>
      <c r="BW6" s="16">
        <f t="shared" si="23"/>
        <v>23</v>
      </c>
      <c r="BX6" s="16">
        <f t="shared" si="24"/>
        <v>68.8</v>
      </c>
      <c r="BY6" s="16">
        <f t="shared" si="25"/>
        <v>64</v>
      </c>
      <c r="BZ6" s="16">
        <f t="shared" si="26"/>
        <v>132.80000000000001</v>
      </c>
      <c r="CA6" s="16">
        <f t="shared" si="27"/>
        <v>65.8</v>
      </c>
      <c r="CB6" s="16">
        <f t="shared" si="28"/>
        <v>198.60000000000002</v>
      </c>
      <c r="CC6" s="47">
        <v>27.7</v>
      </c>
      <c r="CD6" s="47">
        <v>6.4</v>
      </c>
      <c r="CE6" s="47">
        <v>1.2</v>
      </c>
      <c r="CF6" s="47">
        <v>0</v>
      </c>
      <c r="CG6" s="47">
        <v>28</v>
      </c>
      <c r="CH6" s="47">
        <v>6.8</v>
      </c>
      <c r="CI6" s="47">
        <v>0</v>
      </c>
      <c r="CJ6" s="47">
        <v>0.3</v>
      </c>
      <c r="CK6" s="47">
        <v>28.3</v>
      </c>
      <c r="CL6" s="47">
        <v>5.2</v>
      </c>
      <c r="CM6" s="47">
        <v>0.9</v>
      </c>
      <c r="CN6" s="47">
        <v>0.5</v>
      </c>
      <c r="CO6" s="47">
        <v>26.9</v>
      </c>
      <c r="CP6" s="47">
        <v>2.4</v>
      </c>
      <c r="CQ6" s="47">
        <v>0</v>
      </c>
      <c r="CR6" s="47">
        <v>0</v>
      </c>
      <c r="CS6" s="47">
        <v>28.2</v>
      </c>
      <c r="CT6" s="47">
        <v>6.4</v>
      </c>
      <c r="CU6" s="47">
        <v>0.3</v>
      </c>
      <c r="CV6" s="47">
        <v>0</v>
      </c>
      <c r="CW6" s="47">
        <v>28.3</v>
      </c>
      <c r="CX6" s="47">
        <v>6.8</v>
      </c>
      <c r="CY6" s="47">
        <v>0</v>
      </c>
      <c r="CZ6" s="47">
        <v>0.3</v>
      </c>
      <c r="DA6" s="13">
        <f t="shared" si="29"/>
        <v>20.799999999999997</v>
      </c>
      <c r="DB6" s="13">
        <f t="shared" si="30"/>
        <v>68</v>
      </c>
      <c r="DC6" s="13">
        <f t="shared" si="31"/>
        <v>62.4</v>
      </c>
      <c r="DD6" s="13">
        <f t="shared" si="32"/>
        <v>130.4</v>
      </c>
      <c r="DE6" s="13">
        <f t="shared" si="33"/>
        <v>69.7</v>
      </c>
      <c r="DF6" s="13">
        <f t="shared" si="34"/>
        <v>200.10000000000002</v>
      </c>
      <c r="DG6" s="30" t="str">
        <f t="shared" si="35"/>
        <v/>
      </c>
      <c r="DH6" s="30" t="str">
        <f t="shared" si="36"/>
        <v/>
      </c>
      <c r="DI6" s="30" t="str">
        <f t="shared" si="37"/>
        <v/>
      </c>
      <c r="DJ6" s="54"/>
      <c r="DK6" s="54"/>
      <c r="DL6" s="54"/>
      <c r="DM6" s="54"/>
      <c r="DN6" s="54"/>
      <c r="DO6" s="54"/>
      <c r="DP6" s="54"/>
      <c r="DQ6" s="54"/>
      <c r="DR6" s="54"/>
      <c r="DS6" s="54"/>
      <c r="DT6" s="54"/>
      <c r="DU6" s="54"/>
      <c r="DV6" s="54"/>
      <c r="DW6" s="54"/>
      <c r="DX6" s="54"/>
      <c r="DY6" s="54"/>
      <c r="DZ6" s="54"/>
      <c r="EA6" s="54"/>
      <c r="EB6" s="54"/>
      <c r="EC6" s="54"/>
      <c r="ED6" s="54"/>
      <c r="EE6" s="54"/>
      <c r="EF6" s="54"/>
      <c r="EG6" s="54"/>
      <c r="EH6" s="13" t="str">
        <f t="shared" si="38"/>
        <v/>
      </c>
      <c r="EI6" s="13" t="str">
        <f t="shared" si="39"/>
        <v/>
      </c>
      <c r="EJ6" s="13" t="str">
        <f t="shared" si="40"/>
        <v/>
      </c>
      <c r="EK6" s="13" t="str">
        <f t="shared" si="41"/>
        <v/>
      </c>
      <c r="EL6" s="13" t="str">
        <f t="shared" si="42"/>
        <v/>
      </c>
      <c r="EM6" s="13" t="str">
        <f t="shared" si="43"/>
        <v/>
      </c>
      <c r="EN6" s="53">
        <v>27.7</v>
      </c>
      <c r="EO6" s="53">
        <v>5.6</v>
      </c>
      <c r="EP6" s="53">
        <v>1.2</v>
      </c>
      <c r="EQ6" s="53">
        <v>0</v>
      </c>
      <c r="ER6" s="53">
        <v>27.5</v>
      </c>
      <c r="ES6" s="53">
        <v>6</v>
      </c>
      <c r="ET6" s="53">
        <v>0.3</v>
      </c>
      <c r="EU6" s="53">
        <v>0</v>
      </c>
      <c r="EV6" s="53"/>
      <c r="EW6" s="53"/>
      <c r="EX6" s="53"/>
      <c r="EY6" s="53"/>
      <c r="EZ6" s="53"/>
      <c r="FA6" s="53"/>
      <c r="FB6" s="53"/>
      <c r="FC6" s="53"/>
      <c r="FD6" s="53">
        <v>0</v>
      </c>
      <c r="FE6" s="53">
        <v>0</v>
      </c>
      <c r="FF6" s="53">
        <v>0</v>
      </c>
      <c r="FG6" s="53">
        <v>0</v>
      </c>
      <c r="FH6" s="53">
        <v>27.6</v>
      </c>
      <c r="FI6" s="53">
        <v>5.2</v>
      </c>
      <c r="FJ6" s="53">
        <v>0.3</v>
      </c>
      <c r="FK6" s="53">
        <v>0</v>
      </c>
      <c r="FL6" s="16">
        <f t="shared" si="44"/>
        <v>11.6</v>
      </c>
      <c r="FM6" s="16">
        <f t="shared" si="45"/>
        <v>65.3</v>
      </c>
      <c r="FN6" s="16" t="str">
        <f t="shared" si="46"/>
        <v/>
      </c>
      <c r="FO6" s="16">
        <f t="shared" si="47"/>
        <v>65.3</v>
      </c>
      <c r="FP6" s="16">
        <f t="shared" si="48"/>
        <v>32.500000000000007</v>
      </c>
      <c r="FQ6" s="16">
        <f t="shared" si="49"/>
        <v>97.800000000000011</v>
      </c>
      <c r="FR6" s="54">
        <v>27.8</v>
      </c>
      <c r="FS6" s="54">
        <v>6.4</v>
      </c>
      <c r="FT6" s="54">
        <v>0</v>
      </c>
      <c r="FU6" s="54">
        <v>0</v>
      </c>
      <c r="FV6" s="54">
        <v>25.1</v>
      </c>
      <c r="FW6" s="54">
        <v>6</v>
      </c>
      <c r="FX6" s="54">
        <v>0.3</v>
      </c>
      <c r="FY6" s="54">
        <v>0</v>
      </c>
      <c r="FZ6" s="54"/>
      <c r="GA6" s="54"/>
      <c r="GB6" s="54"/>
      <c r="GC6" s="54"/>
      <c r="GD6" s="54"/>
      <c r="GE6" s="54"/>
      <c r="GF6" s="54"/>
      <c r="GG6" s="54"/>
      <c r="GH6" s="54"/>
      <c r="GI6" s="54"/>
      <c r="GJ6" s="54"/>
      <c r="GK6" s="54"/>
      <c r="GL6" s="54"/>
      <c r="GM6" s="54"/>
      <c r="GN6" s="54"/>
      <c r="GO6" s="54"/>
      <c r="GP6" s="13">
        <f t="shared" si="50"/>
        <v>12.4</v>
      </c>
      <c r="GQ6" s="13">
        <f t="shared" si="51"/>
        <v>65.000000000000014</v>
      </c>
      <c r="GR6" s="13" t="str">
        <f t="shared" si="52"/>
        <v/>
      </c>
      <c r="GS6" s="13">
        <f t="shared" si="53"/>
        <v>65.000000000000014</v>
      </c>
      <c r="GT6" s="13" t="str">
        <f t="shared" si="54"/>
        <v/>
      </c>
      <c r="GU6" s="13">
        <f t="shared" si="55"/>
        <v>65.000000000000014</v>
      </c>
      <c r="GV6" s="53"/>
      <c r="GW6" s="53"/>
      <c r="GX6" s="53"/>
      <c r="GY6" s="53"/>
      <c r="GZ6" s="53"/>
      <c r="HA6" s="53"/>
      <c r="HB6" s="53"/>
      <c r="HC6" s="53"/>
      <c r="HD6" s="53"/>
      <c r="HE6" s="53"/>
      <c r="HF6" s="53"/>
      <c r="HG6" s="53"/>
      <c r="HH6" s="53"/>
      <c r="HI6" s="53"/>
      <c r="HJ6" s="53"/>
      <c r="HK6" s="53"/>
      <c r="HL6" s="53">
        <v>33.4</v>
      </c>
      <c r="HM6" s="53"/>
      <c r="HN6" s="53"/>
      <c r="HO6" s="53"/>
      <c r="HP6" s="53"/>
      <c r="HQ6" s="53"/>
      <c r="HR6" s="53"/>
      <c r="HS6" s="53"/>
      <c r="HT6" s="16" t="str">
        <f t="shared" si="56"/>
        <v/>
      </c>
      <c r="HU6" s="16" t="str">
        <f t="shared" si="57"/>
        <v/>
      </c>
      <c r="HV6" s="16" t="str">
        <f t="shared" si="58"/>
        <v/>
      </c>
      <c r="HW6" s="16" t="str">
        <f t="shared" si="59"/>
        <v/>
      </c>
      <c r="HX6" s="16">
        <f t="shared" si="60"/>
        <v>33.4</v>
      </c>
      <c r="HY6" s="16">
        <f t="shared" si="61"/>
        <v>33.4</v>
      </c>
      <c r="HZ6" s="54"/>
      <c r="IA6" s="54"/>
      <c r="IB6" s="54"/>
      <c r="IC6" s="54"/>
      <c r="ID6" s="54"/>
      <c r="IE6" s="54"/>
      <c r="IF6" s="54"/>
      <c r="IG6" s="54"/>
      <c r="IH6" s="54"/>
      <c r="II6" s="54"/>
      <c r="IJ6" s="54"/>
      <c r="IK6" s="54"/>
      <c r="IL6" s="54"/>
      <c r="IM6" s="54"/>
      <c r="IN6" s="54"/>
      <c r="IO6" s="54"/>
      <c r="IP6" s="54"/>
      <c r="IQ6" s="54"/>
      <c r="IR6" s="54"/>
      <c r="IS6" s="54"/>
      <c r="IT6" s="54"/>
      <c r="IU6" s="54"/>
      <c r="IV6" s="54"/>
      <c r="IW6" s="54"/>
      <c r="IX6" s="13" t="str">
        <f t="shared" si="62"/>
        <v/>
      </c>
      <c r="IY6" s="13" t="str">
        <f t="shared" si="63"/>
        <v/>
      </c>
      <c r="IZ6" s="13" t="str">
        <f t="shared" si="64"/>
        <v/>
      </c>
      <c r="JA6" s="13" t="str">
        <f t="shared" si="65"/>
        <v/>
      </c>
      <c r="JB6" s="13" t="str">
        <f t="shared" si="66"/>
        <v/>
      </c>
      <c r="JC6" s="13" t="str">
        <f t="shared" si="67"/>
        <v/>
      </c>
      <c r="JD6" s="53"/>
      <c r="JE6" s="53"/>
      <c r="JF6" s="53"/>
      <c r="JG6" s="53"/>
      <c r="JH6" s="53"/>
      <c r="JI6" s="53"/>
      <c r="JJ6" s="53"/>
      <c r="JK6" s="53"/>
      <c r="JL6" s="53"/>
      <c r="JM6" s="53"/>
      <c r="JN6" s="53"/>
      <c r="JO6" s="53"/>
      <c r="JP6" s="53"/>
      <c r="JQ6" s="53"/>
      <c r="JR6" s="53"/>
      <c r="JS6" s="53"/>
      <c r="JT6" s="53"/>
      <c r="JU6" s="53"/>
      <c r="JV6" s="53"/>
      <c r="JW6" s="53"/>
      <c r="JX6" s="53"/>
      <c r="JY6" s="53"/>
      <c r="JZ6" s="53"/>
      <c r="KA6" s="53"/>
      <c r="KB6" s="16" t="str">
        <f t="shared" si="68"/>
        <v/>
      </c>
      <c r="KC6" s="16" t="str">
        <f t="shared" si="69"/>
        <v/>
      </c>
      <c r="KD6" s="16" t="str">
        <f t="shared" si="70"/>
        <v/>
      </c>
      <c r="KE6" s="16" t="str">
        <f t="shared" si="71"/>
        <v/>
      </c>
      <c r="KF6" s="16" t="str">
        <f t="shared" si="72"/>
        <v/>
      </c>
      <c r="KG6" s="16" t="str">
        <f t="shared" si="73"/>
        <v/>
      </c>
      <c r="KH6" s="54"/>
      <c r="KI6" s="54"/>
      <c r="KJ6" s="54"/>
      <c r="KK6" s="54"/>
      <c r="KL6" s="54"/>
      <c r="KM6" s="54"/>
      <c r="KN6" s="54"/>
      <c r="KO6" s="54"/>
      <c r="KP6" s="54"/>
      <c r="KQ6" s="54"/>
      <c r="KR6" s="54"/>
      <c r="KS6" s="54"/>
      <c r="KT6" s="54"/>
      <c r="KU6" s="54"/>
      <c r="KV6" s="54"/>
      <c r="KW6" s="54"/>
      <c r="KX6" s="54"/>
      <c r="KY6" s="54"/>
      <c r="KZ6" s="54"/>
      <c r="LA6" s="54"/>
      <c r="LB6" s="54"/>
      <c r="LC6" s="54"/>
      <c r="LD6" s="54"/>
      <c r="LE6" s="54"/>
      <c r="LF6" s="13" t="str">
        <f t="shared" si="74"/>
        <v/>
      </c>
      <c r="LG6" s="13" t="str">
        <f t="shared" si="75"/>
        <v/>
      </c>
      <c r="LH6" s="13" t="str">
        <f t="shared" si="76"/>
        <v/>
      </c>
      <c r="LI6" s="13" t="str">
        <f t="shared" si="77"/>
        <v/>
      </c>
      <c r="LJ6" s="13" t="str">
        <f t="shared" si="78"/>
        <v/>
      </c>
      <c r="LK6" s="13" t="str">
        <f t="shared" si="79"/>
        <v/>
      </c>
      <c r="LL6" s="53"/>
      <c r="LM6" s="53"/>
      <c r="LN6" s="53"/>
      <c r="LO6" s="53"/>
      <c r="LP6" s="53"/>
      <c r="LQ6" s="53"/>
      <c r="LR6" s="53"/>
      <c r="LS6" s="53"/>
      <c r="LT6" s="53"/>
      <c r="LU6" s="53"/>
      <c r="LV6" s="53"/>
      <c r="LW6" s="53"/>
      <c r="LX6" s="53"/>
      <c r="LY6" s="53"/>
      <c r="LZ6" s="53"/>
      <c r="MA6" s="53"/>
      <c r="MB6" s="53"/>
      <c r="MC6" s="53"/>
      <c r="MD6" s="53"/>
      <c r="ME6" s="53"/>
      <c r="MF6" s="53"/>
      <c r="MG6" s="53"/>
      <c r="MH6" s="53"/>
      <c r="MI6" s="53"/>
      <c r="MJ6" s="16" t="str">
        <f t="shared" si="80"/>
        <v/>
      </c>
      <c r="MK6" s="16" t="str">
        <f t="shared" si="81"/>
        <v/>
      </c>
      <c r="ML6" s="16" t="str">
        <f t="shared" si="82"/>
        <v/>
      </c>
      <c r="MM6" s="16" t="str">
        <f t="shared" si="83"/>
        <v/>
      </c>
      <c r="MN6" s="16" t="str">
        <f t="shared" si="84"/>
        <v/>
      </c>
      <c r="MO6" s="16" t="str">
        <f t="shared" si="85"/>
        <v/>
      </c>
      <c r="MP6" s="54"/>
      <c r="MQ6" s="54"/>
      <c r="MR6" s="54"/>
      <c r="MS6" s="54"/>
      <c r="MT6" s="54"/>
      <c r="MU6" s="54"/>
      <c r="MV6" s="54"/>
      <c r="MW6" s="54"/>
      <c r="MX6" s="54"/>
      <c r="MY6" s="54"/>
      <c r="MZ6" s="54"/>
      <c r="NA6" s="54"/>
      <c r="NB6" s="54"/>
      <c r="NC6" s="54"/>
      <c r="ND6" s="54"/>
      <c r="NE6" s="54"/>
      <c r="NF6" s="54"/>
      <c r="NG6" s="54"/>
      <c r="NH6" s="54"/>
      <c r="NI6" s="54"/>
      <c r="NJ6" s="54"/>
      <c r="NK6" s="54"/>
      <c r="NL6" s="54"/>
      <c r="NM6" s="54"/>
      <c r="NN6" s="13" t="str">
        <f t="shared" si="86"/>
        <v/>
      </c>
      <c r="NO6" s="13" t="str">
        <f t="shared" si="87"/>
        <v/>
      </c>
      <c r="NP6" s="13" t="str">
        <f t="shared" si="88"/>
        <v/>
      </c>
      <c r="NQ6" s="13" t="str">
        <f t="shared" si="89"/>
        <v/>
      </c>
      <c r="NR6" s="13" t="str">
        <f t="shared" si="90"/>
        <v/>
      </c>
      <c r="NS6" s="13" t="str">
        <f t="shared" si="91"/>
        <v/>
      </c>
      <c r="NT6" s="53"/>
      <c r="NU6" s="53"/>
      <c r="NV6" s="53"/>
      <c r="NW6" s="53"/>
      <c r="NX6" s="53"/>
      <c r="NY6" s="53"/>
      <c r="NZ6" s="53"/>
      <c r="OA6" s="53"/>
      <c r="OB6" s="53"/>
      <c r="OC6" s="53"/>
      <c r="OD6" s="53"/>
      <c r="OE6" s="53"/>
      <c r="OF6" s="53"/>
      <c r="OG6" s="53"/>
      <c r="OH6" s="53"/>
      <c r="OI6" s="53"/>
      <c r="OJ6" s="53"/>
      <c r="OK6" s="53"/>
      <c r="OL6" s="53"/>
      <c r="OM6" s="53"/>
      <c r="ON6" s="53"/>
      <c r="OO6" s="53"/>
      <c r="OP6" s="53"/>
      <c r="OQ6" s="53"/>
      <c r="OR6" s="16" t="str">
        <f t="shared" si="92"/>
        <v/>
      </c>
      <c r="OS6" s="16" t="str">
        <f t="shared" si="93"/>
        <v/>
      </c>
      <c r="OT6" s="16" t="str">
        <f t="shared" si="94"/>
        <v/>
      </c>
      <c r="OU6" s="16" t="str">
        <f t="shared" si="95"/>
        <v/>
      </c>
      <c r="OV6" s="16" t="str">
        <f t="shared" si="96"/>
        <v/>
      </c>
      <c r="OW6" s="16" t="str">
        <f t="shared" si="97"/>
        <v/>
      </c>
      <c r="OX6" s="54"/>
      <c r="OY6" s="54"/>
      <c r="OZ6" s="54"/>
      <c r="PA6" s="54"/>
      <c r="PB6" s="54"/>
      <c r="PC6" s="54"/>
      <c r="PD6" s="54"/>
      <c r="PE6" s="54"/>
      <c r="PF6" s="54"/>
      <c r="PG6" s="54"/>
      <c r="PH6" s="54"/>
      <c r="PI6" s="54"/>
      <c r="PJ6" s="54"/>
      <c r="PK6" s="54"/>
      <c r="PL6" s="54"/>
      <c r="PM6" s="54"/>
      <c r="PN6" s="54"/>
      <c r="PO6" s="54"/>
      <c r="PP6" s="54"/>
      <c r="PQ6" s="54"/>
      <c r="PR6" s="54"/>
      <c r="PS6" s="54"/>
      <c r="PT6" s="54"/>
      <c r="PU6" s="54"/>
      <c r="PV6" s="13" t="str">
        <f t="shared" si="98"/>
        <v/>
      </c>
      <c r="PW6" s="13" t="str">
        <f t="shared" si="99"/>
        <v/>
      </c>
      <c r="PX6" s="13" t="str">
        <f t="shared" si="100"/>
        <v/>
      </c>
      <c r="PY6" s="13" t="str">
        <f t="shared" si="101"/>
        <v/>
      </c>
      <c r="PZ6" s="13" t="str">
        <f t="shared" si="102"/>
        <v/>
      </c>
      <c r="QA6" s="13" t="str">
        <f t="shared" si="103"/>
        <v/>
      </c>
      <c r="QB6" s="53"/>
      <c r="QC6" s="53"/>
      <c r="QD6" s="53"/>
      <c r="QE6" s="53"/>
      <c r="QF6" s="53"/>
      <c r="QG6" s="53"/>
      <c r="QH6" s="53"/>
      <c r="QI6" s="53"/>
      <c r="QJ6" s="53"/>
      <c r="QK6" s="53"/>
      <c r="QL6" s="53"/>
      <c r="QM6" s="53"/>
      <c r="QN6" s="53"/>
      <c r="QO6" s="53"/>
      <c r="QP6" s="53"/>
      <c r="QQ6" s="53"/>
      <c r="QR6" s="53"/>
      <c r="QS6" s="53"/>
      <c r="QT6" s="53"/>
      <c r="QU6" s="53"/>
      <c r="QV6" s="53"/>
      <c r="QW6" s="53"/>
      <c r="QX6" s="53"/>
      <c r="QY6" s="53"/>
      <c r="QZ6" s="16" t="str">
        <f t="shared" si="104"/>
        <v/>
      </c>
      <c r="RA6" s="16" t="str">
        <f t="shared" si="105"/>
        <v/>
      </c>
      <c r="RB6" s="16" t="str">
        <f t="shared" si="106"/>
        <v/>
      </c>
      <c r="RC6" s="16" t="str">
        <f t="shared" si="107"/>
        <v/>
      </c>
      <c r="RD6" s="16" t="str">
        <f t="shared" si="108"/>
        <v/>
      </c>
      <c r="RE6" s="16" t="str">
        <f t="shared" si="109"/>
        <v/>
      </c>
    </row>
    <row r="7" spans="1:473" x14ac:dyDescent="0.2">
      <c r="A7" s="6">
        <f t="shared" si="0"/>
        <v>4</v>
      </c>
      <c r="B7" s="9" t="s">
        <v>48</v>
      </c>
      <c r="C7" s="5" t="s">
        <v>13</v>
      </c>
      <c r="D7" s="33">
        <v>2017</v>
      </c>
      <c r="E7" s="17">
        <f t="shared" si="1"/>
        <v>335.05</v>
      </c>
      <c r="F7" s="4" t="str">
        <f t="shared" si="2"/>
        <v>P</v>
      </c>
      <c r="G7" s="4" t="str">
        <f t="shared" si="3"/>
        <v>P</v>
      </c>
      <c r="H7" s="4" t="str">
        <f t="shared" si="4"/>
        <v>P</v>
      </c>
      <c r="I7" t="str">
        <f t="shared" si="5"/>
        <v>Funding</v>
      </c>
      <c r="J7" s="16">
        <f t="shared" si="6"/>
        <v>134.6</v>
      </c>
      <c r="K7" s="16" t="str">
        <f t="shared" si="7"/>
        <v>2018 Canada Cup</v>
      </c>
      <c r="L7" s="16">
        <f t="shared" si="8"/>
        <v>67.45</v>
      </c>
      <c r="M7" s="16" t="str">
        <f t="shared" si="9"/>
        <v>2018 Nationals</v>
      </c>
      <c r="N7" s="16">
        <f t="shared" si="10"/>
        <v>65</v>
      </c>
      <c r="O7" s="16" t="str">
        <f t="shared" si="11"/>
        <v>2018 Nationals</v>
      </c>
      <c r="P7" s="16">
        <f t="shared" si="12"/>
        <v>67.999999999999986</v>
      </c>
      <c r="Q7" s="16" t="str">
        <f t="shared" si="13"/>
        <v>2018 Canada Cup</v>
      </c>
      <c r="R7" s="16" t="str">
        <f t="shared" si="14"/>
        <v/>
      </c>
      <c r="S7" s="31" t="str">
        <f t="shared" si="15"/>
        <v/>
      </c>
      <c r="T7" s="16" t="str">
        <f t="shared" si="16"/>
        <v/>
      </c>
      <c r="U7" s="47">
        <v>28.1</v>
      </c>
      <c r="V7" s="47">
        <v>5.6</v>
      </c>
      <c r="W7" s="47">
        <v>0</v>
      </c>
      <c r="X7" s="47">
        <v>0</v>
      </c>
      <c r="Y7" s="47">
        <v>28.4</v>
      </c>
      <c r="Z7" s="47">
        <v>5.6</v>
      </c>
      <c r="AA7" s="47">
        <v>0.9</v>
      </c>
      <c r="AB7" s="47">
        <v>0</v>
      </c>
      <c r="AC7" s="47">
        <v>27.5</v>
      </c>
      <c r="AD7" s="47">
        <v>4.4000000000000004</v>
      </c>
      <c r="AE7" s="47">
        <v>0.9</v>
      </c>
      <c r="AF7" s="47">
        <v>0</v>
      </c>
      <c r="AG7" s="47">
        <v>28.2</v>
      </c>
      <c r="AH7" s="47">
        <v>5.2</v>
      </c>
      <c r="AI7" s="47">
        <v>0.9</v>
      </c>
      <c r="AJ7" s="47">
        <v>0</v>
      </c>
      <c r="AK7" s="47">
        <v>0</v>
      </c>
      <c r="AL7" s="47">
        <v>0</v>
      </c>
      <c r="AM7" s="47">
        <v>0</v>
      </c>
      <c r="AN7" s="47">
        <v>0</v>
      </c>
      <c r="AO7" s="47">
        <v>27.7</v>
      </c>
      <c r="AP7" s="47">
        <v>6</v>
      </c>
      <c r="AQ7" s="47">
        <v>0</v>
      </c>
      <c r="AR7" s="47">
        <v>0</v>
      </c>
      <c r="AS7" s="13">
        <f t="shared" si="17"/>
        <v>20.8</v>
      </c>
      <c r="AT7" s="13">
        <f t="shared" si="18"/>
        <v>66.8</v>
      </c>
      <c r="AU7" s="13">
        <f t="shared" si="19"/>
        <v>63.5</v>
      </c>
      <c r="AV7" s="13">
        <f t="shared" si="20"/>
        <v>130.30000000000001</v>
      </c>
      <c r="AW7" s="13">
        <f t="shared" si="21"/>
        <v>33.700000000000003</v>
      </c>
      <c r="AX7" s="13">
        <f t="shared" si="22"/>
        <v>164</v>
      </c>
      <c r="AY7" s="94">
        <v>28</v>
      </c>
      <c r="AZ7" s="94">
        <v>6</v>
      </c>
      <c r="BA7" s="94">
        <v>0</v>
      </c>
      <c r="BB7" s="94">
        <v>0</v>
      </c>
      <c r="BC7" s="94">
        <v>27.8</v>
      </c>
      <c r="BD7" s="94">
        <v>6</v>
      </c>
      <c r="BE7" s="94">
        <v>0</v>
      </c>
      <c r="BF7" s="94">
        <v>0.3</v>
      </c>
      <c r="BG7" s="94">
        <v>28</v>
      </c>
      <c r="BH7" s="94">
        <v>5.2</v>
      </c>
      <c r="BI7" s="94">
        <v>0.9</v>
      </c>
      <c r="BJ7" s="94">
        <v>0.5</v>
      </c>
      <c r="BK7" s="94">
        <v>28.1</v>
      </c>
      <c r="BL7" s="94">
        <v>5.6</v>
      </c>
      <c r="BM7" s="94">
        <v>0</v>
      </c>
      <c r="BN7" s="94">
        <v>0</v>
      </c>
      <c r="BO7" s="94">
        <v>28.2</v>
      </c>
      <c r="BP7" s="94">
        <v>6</v>
      </c>
      <c r="BQ7" s="94">
        <v>0</v>
      </c>
      <c r="BR7" s="94">
        <v>0</v>
      </c>
      <c r="BS7" s="94">
        <v>28.4</v>
      </c>
      <c r="BT7" s="94">
        <v>6</v>
      </c>
      <c r="BU7" s="94">
        <v>0.9</v>
      </c>
      <c r="BV7" s="94">
        <v>0.3</v>
      </c>
      <c r="BW7" s="16">
        <f t="shared" si="23"/>
        <v>22.799999999999997</v>
      </c>
      <c r="BX7" s="16">
        <f t="shared" si="24"/>
        <v>68.099999999999994</v>
      </c>
      <c r="BY7" s="16">
        <f t="shared" si="25"/>
        <v>66.5</v>
      </c>
      <c r="BZ7" s="16">
        <f t="shared" si="26"/>
        <v>134.6</v>
      </c>
      <c r="CA7" s="16">
        <f t="shared" si="27"/>
        <v>67.999999999999986</v>
      </c>
      <c r="CB7" s="16">
        <f t="shared" si="28"/>
        <v>202.59999999999997</v>
      </c>
      <c r="CC7" s="59">
        <v>28.05</v>
      </c>
      <c r="CD7" s="59">
        <v>5.8</v>
      </c>
      <c r="CE7" s="59">
        <v>0</v>
      </c>
      <c r="CF7" s="59">
        <v>0</v>
      </c>
      <c r="CG7" s="59">
        <v>28.1</v>
      </c>
      <c r="CH7" s="59">
        <v>5.8</v>
      </c>
      <c r="CI7" s="59">
        <v>0.45</v>
      </c>
      <c r="CJ7" s="59">
        <v>0.15</v>
      </c>
      <c r="CK7" s="59">
        <v>27.75</v>
      </c>
      <c r="CL7" s="59">
        <v>4.8000000000000007</v>
      </c>
      <c r="CM7" s="59">
        <v>0.9</v>
      </c>
      <c r="CN7" s="59">
        <v>0.25</v>
      </c>
      <c r="CO7" s="59">
        <v>28.15</v>
      </c>
      <c r="CP7" s="59">
        <v>5.4</v>
      </c>
      <c r="CQ7" s="59">
        <v>0.45</v>
      </c>
      <c r="CR7" s="59">
        <v>0</v>
      </c>
      <c r="CS7" s="59">
        <v>14.1</v>
      </c>
      <c r="CT7" s="59">
        <v>3</v>
      </c>
      <c r="CU7" s="59">
        <v>0</v>
      </c>
      <c r="CV7" s="59">
        <v>0</v>
      </c>
      <c r="CW7" s="59">
        <v>28.049999999999997</v>
      </c>
      <c r="CX7" s="59">
        <v>6</v>
      </c>
      <c r="CY7" s="59">
        <v>0.45</v>
      </c>
      <c r="CZ7" s="59">
        <v>0.15</v>
      </c>
      <c r="DA7" s="13">
        <f t="shared" si="29"/>
        <v>21.799999999999997</v>
      </c>
      <c r="DB7" s="13">
        <f t="shared" si="30"/>
        <v>67.45</v>
      </c>
      <c r="DC7" s="13">
        <f t="shared" si="31"/>
        <v>65</v>
      </c>
      <c r="DD7" s="13">
        <f t="shared" si="32"/>
        <v>132.44999999999999</v>
      </c>
      <c r="DE7" s="13">
        <f t="shared" si="33"/>
        <v>50.849999999999994</v>
      </c>
      <c r="DF7" s="13">
        <f t="shared" si="34"/>
        <v>183.29999999999998</v>
      </c>
      <c r="DG7" s="30" t="str">
        <f t="shared" si="35"/>
        <v/>
      </c>
      <c r="DH7" s="30" t="str">
        <f t="shared" si="36"/>
        <v/>
      </c>
      <c r="DI7" s="30" t="str">
        <f t="shared" si="37"/>
        <v/>
      </c>
      <c r="DJ7" s="54"/>
      <c r="DK7" s="54"/>
      <c r="DL7" s="54"/>
      <c r="DM7" s="54"/>
      <c r="DN7" s="54"/>
      <c r="DO7" s="54"/>
      <c r="DP7" s="54"/>
      <c r="DQ7" s="54"/>
      <c r="DR7" s="54"/>
      <c r="DS7" s="54"/>
      <c r="DT7" s="54"/>
      <c r="DU7" s="54"/>
      <c r="DV7" s="54"/>
      <c r="DW7" s="54"/>
      <c r="DX7" s="54"/>
      <c r="DY7" s="54"/>
      <c r="DZ7" s="54"/>
      <c r="EA7" s="54"/>
      <c r="EB7" s="54"/>
      <c r="EC7" s="54"/>
      <c r="ED7" s="54"/>
      <c r="EE7" s="54"/>
      <c r="EF7" s="54"/>
      <c r="EG7" s="54"/>
      <c r="EH7" s="13" t="str">
        <f t="shared" si="38"/>
        <v/>
      </c>
      <c r="EI7" s="13" t="str">
        <f t="shared" si="39"/>
        <v/>
      </c>
      <c r="EJ7" s="13" t="str">
        <f t="shared" si="40"/>
        <v/>
      </c>
      <c r="EK7" s="13" t="str">
        <f t="shared" si="41"/>
        <v/>
      </c>
      <c r="EL7" s="13" t="str">
        <f t="shared" si="42"/>
        <v/>
      </c>
      <c r="EM7" s="13" t="str">
        <f t="shared" si="43"/>
        <v/>
      </c>
      <c r="EN7" s="53"/>
      <c r="EO7" s="53"/>
      <c r="EP7" s="53"/>
      <c r="EQ7" s="53"/>
      <c r="ER7" s="53"/>
      <c r="ES7" s="53"/>
      <c r="ET7" s="53"/>
      <c r="EU7" s="53"/>
      <c r="EV7" s="53"/>
      <c r="EW7" s="53"/>
      <c r="EX7" s="53"/>
      <c r="EY7" s="53"/>
      <c r="EZ7" s="53"/>
      <c r="FA7" s="53"/>
      <c r="FB7" s="53"/>
      <c r="FC7" s="53"/>
      <c r="FD7" s="53"/>
      <c r="FE7" s="53"/>
      <c r="FF7" s="53"/>
      <c r="FG7" s="53"/>
      <c r="FH7" s="53"/>
      <c r="FI7" s="53"/>
      <c r="FJ7" s="53"/>
      <c r="FK7" s="53"/>
      <c r="FL7" s="16" t="str">
        <f t="shared" si="44"/>
        <v/>
      </c>
      <c r="FM7" s="16" t="str">
        <f t="shared" si="45"/>
        <v/>
      </c>
      <c r="FN7" s="16" t="str">
        <f t="shared" si="46"/>
        <v/>
      </c>
      <c r="FO7" s="16" t="str">
        <f t="shared" si="47"/>
        <v/>
      </c>
      <c r="FP7" s="16" t="str">
        <f t="shared" si="48"/>
        <v/>
      </c>
      <c r="FQ7" s="16" t="str">
        <f t="shared" si="49"/>
        <v/>
      </c>
      <c r="FR7" s="54"/>
      <c r="FS7" s="54"/>
      <c r="FT7" s="54"/>
      <c r="FU7" s="54"/>
      <c r="FV7" s="54"/>
      <c r="FW7" s="54"/>
      <c r="FX7" s="54"/>
      <c r="FY7" s="54"/>
      <c r="FZ7" s="54"/>
      <c r="GA7" s="54"/>
      <c r="GB7" s="54"/>
      <c r="GC7" s="54"/>
      <c r="GD7" s="54"/>
      <c r="GE7" s="54"/>
      <c r="GF7" s="54"/>
      <c r="GG7" s="54"/>
      <c r="GH7" s="54"/>
      <c r="GI7" s="54"/>
      <c r="GJ7" s="54"/>
      <c r="GK7" s="54"/>
      <c r="GL7" s="54"/>
      <c r="GM7" s="54"/>
      <c r="GN7" s="54"/>
      <c r="GO7" s="54"/>
      <c r="GP7" s="13" t="str">
        <f t="shared" si="50"/>
        <v/>
      </c>
      <c r="GQ7" s="13" t="str">
        <f t="shared" si="51"/>
        <v/>
      </c>
      <c r="GR7" s="13" t="str">
        <f t="shared" si="52"/>
        <v/>
      </c>
      <c r="GS7" s="13" t="str">
        <f t="shared" si="53"/>
        <v/>
      </c>
      <c r="GT7" s="13" t="str">
        <f t="shared" si="54"/>
        <v/>
      </c>
      <c r="GU7" s="13" t="str">
        <f t="shared" si="55"/>
        <v/>
      </c>
      <c r="GV7" s="53"/>
      <c r="GW7" s="53"/>
      <c r="GX7" s="53"/>
      <c r="GY7" s="53"/>
      <c r="GZ7" s="53"/>
      <c r="HA7" s="53"/>
      <c r="HB7" s="53"/>
      <c r="HC7" s="53"/>
      <c r="HD7" s="53"/>
      <c r="HE7" s="53"/>
      <c r="HF7" s="53"/>
      <c r="HG7" s="53"/>
      <c r="HH7" s="53"/>
      <c r="HI7" s="53"/>
      <c r="HJ7" s="53"/>
      <c r="HK7" s="53"/>
      <c r="HL7" s="53"/>
      <c r="HM7" s="53"/>
      <c r="HN7" s="53"/>
      <c r="HO7" s="53"/>
      <c r="HP7" s="53"/>
      <c r="HQ7" s="53"/>
      <c r="HR7" s="53"/>
      <c r="HS7" s="53"/>
      <c r="HT7" s="16" t="str">
        <f t="shared" si="56"/>
        <v/>
      </c>
      <c r="HU7" s="16" t="str">
        <f t="shared" si="57"/>
        <v/>
      </c>
      <c r="HV7" s="16" t="str">
        <f t="shared" si="58"/>
        <v/>
      </c>
      <c r="HW7" s="16" t="str">
        <f t="shared" si="59"/>
        <v/>
      </c>
      <c r="HX7" s="16" t="str">
        <f t="shared" si="60"/>
        <v/>
      </c>
      <c r="HY7" s="16" t="str">
        <f t="shared" si="61"/>
        <v/>
      </c>
      <c r="HZ7" s="54"/>
      <c r="IA7" s="54"/>
      <c r="IB7" s="54"/>
      <c r="IC7" s="54"/>
      <c r="ID7" s="54"/>
      <c r="IE7" s="54"/>
      <c r="IF7" s="54"/>
      <c r="IG7" s="54"/>
      <c r="IH7" s="54"/>
      <c r="II7" s="54"/>
      <c r="IJ7" s="54"/>
      <c r="IK7" s="54"/>
      <c r="IL7" s="54"/>
      <c r="IM7" s="54"/>
      <c r="IN7" s="54"/>
      <c r="IO7" s="54"/>
      <c r="IP7" s="54"/>
      <c r="IQ7" s="54"/>
      <c r="IR7" s="54"/>
      <c r="IS7" s="54"/>
      <c r="IT7" s="54"/>
      <c r="IU7" s="54"/>
      <c r="IV7" s="54"/>
      <c r="IW7" s="54"/>
      <c r="IX7" s="13" t="str">
        <f t="shared" si="62"/>
        <v/>
      </c>
      <c r="IY7" s="13" t="str">
        <f t="shared" si="63"/>
        <v/>
      </c>
      <c r="IZ7" s="13" t="str">
        <f t="shared" si="64"/>
        <v/>
      </c>
      <c r="JA7" s="13" t="str">
        <f t="shared" si="65"/>
        <v/>
      </c>
      <c r="JB7" s="13" t="str">
        <f t="shared" si="66"/>
        <v/>
      </c>
      <c r="JC7" s="13" t="str">
        <f t="shared" si="67"/>
        <v/>
      </c>
      <c r="JD7" s="53"/>
      <c r="JE7" s="53"/>
      <c r="JF7" s="53"/>
      <c r="JG7" s="53"/>
      <c r="JH7" s="53"/>
      <c r="JI7" s="53"/>
      <c r="JJ7" s="53"/>
      <c r="JK7" s="53"/>
      <c r="JL7" s="53"/>
      <c r="JM7" s="53"/>
      <c r="JN7" s="53"/>
      <c r="JO7" s="53"/>
      <c r="JP7" s="53"/>
      <c r="JQ7" s="53"/>
      <c r="JR7" s="53"/>
      <c r="JS7" s="53"/>
      <c r="JT7" s="53"/>
      <c r="JU7" s="53"/>
      <c r="JV7" s="53"/>
      <c r="JW7" s="53"/>
      <c r="JX7" s="53"/>
      <c r="JY7" s="53"/>
      <c r="JZ7" s="53"/>
      <c r="KA7" s="53"/>
      <c r="KB7" s="16" t="str">
        <f t="shared" si="68"/>
        <v/>
      </c>
      <c r="KC7" s="16" t="str">
        <f t="shared" si="69"/>
        <v/>
      </c>
      <c r="KD7" s="16" t="str">
        <f t="shared" si="70"/>
        <v/>
      </c>
      <c r="KE7" s="16" t="str">
        <f t="shared" si="71"/>
        <v/>
      </c>
      <c r="KF7" s="16" t="str">
        <f t="shared" si="72"/>
        <v/>
      </c>
      <c r="KG7" s="16" t="str">
        <f t="shared" si="73"/>
        <v/>
      </c>
      <c r="KH7" s="54"/>
      <c r="KI7" s="54"/>
      <c r="KJ7" s="54"/>
      <c r="KK7" s="54"/>
      <c r="KL7" s="54"/>
      <c r="KM7" s="54"/>
      <c r="KN7" s="54"/>
      <c r="KO7" s="54"/>
      <c r="KP7" s="54"/>
      <c r="KQ7" s="54"/>
      <c r="KR7" s="54"/>
      <c r="KS7" s="54"/>
      <c r="KT7" s="54"/>
      <c r="KU7" s="54"/>
      <c r="KV7" s="54"/>
      <c r="KW7" s="54"/>
      <c r="KX7" s="54"/>
      <c r="KY7" s="54"/>
      <c r="KZ7" s="54"/>
      <c r="LA7" s="54"/>
      <c r="LB7" s="54"/>
      <c r="LC7" s="54"/>
      <c r="LD7" s="54"/>
      <c r="LE7" s="54"/>
      <c r="LF7" s="13" t="str">
        <f t="shared" si="74"/>
        <v/>
      </c>
      <c r="LG7" s="13" t="str">
        <f t="shared" si="75"/>
        <v/>
      </c>
      <c r="LH7" s="13" t="str">
        <f t="shared" si="76"/>
        <v/>
      </c>
      <c r="LI7" s="13" t="str">
        <f t="shared" si="77"/>
        <v/>
      </c>
      <c r="LJ7" s="13" t="str">
        <f t="shared" si="78"/>
        <v/>
      </c>
      <c r="LK7" s="13" t="str">
        <f t="shared" si="79"/>
        <v/>
      </c>
      <c r="LL7" s="53"/>
      <c r="LM7" s="53"/>
      <c r="LN7" s="53"/>
      <c r="LO7" s="53"/>
      <c r="LP7" s="53"/>
      <c r="LQ7" s="53"/>
      <c r="LR7" s="53"/>
      <c r="LS7" s="53"/>
      <c r="LT7" s="53"/>
      <c r="LU7" s="53"/>
      <c r="LV7" s="53"/>
      <c r="LW7" s="53"/>
      <c r="LX7" s="53"/>
      <c r="LY7" s="53"/>
      <c r="LZ7" s="53"/>
      <c r="MA7" s="53"/>
      <c r="MB7" s="53"/>
      <c r="MC7" s="53"/>
      <c r="MD7" s="53"/>
      <c r="ME7" s="53"/>
      <c r="MF7" s="53"/>
      <c r="MG7" s="53"/>
      <c r="MH7" s="53"/>
      <c r="MI7" s="53"/>
      <c r="MJ7" s="16" t="str">
        <f t="shared" si="80"/>
        <v/>
      </c>
      <c r="MK7" s="16" t="str">
        <f t="shared" si="81"/>
        <v/>
      </c>
      <c r="ML7" s="16" t="str">
        <f t="shared" si="82"/>
        <v/>
      </c>
      <c r="MM7" s="16" t="str">
        <f t="shared" si="83"/>
        <v/>
      </c>
      <c r="MN7" s="16" t="str">
        <f t="shared" si="84"/>
        <v/>
      </c>
      <c r="MO7" s="16" t="str">
        <f t="shared" si="85"/>
        <v/>
      </c>
      <c r="MP7" s="54"/>
      <c r="MQ7" s="54"/>
      <c r="MR7" s="54"/>
      <c r="MS7" s="54"/>
      <c r="MT7" s="54"/>
      <c r="MU7" s="54"/>
      <c r="MV7" s="54"/>
      <c r="MW7" s="54"/>
      <c r="MX7" s="54"/>
      <c r="MY7" s="54"/>
      <c r="MZ7" s="54"/>
      <c r="NA7" s="54"/>
      <c r="NB7" s="54"/>
      <c r="NC7" s="54"/>
      <c r="ND7" s="54"/>
      <c r="NE7" s="54"/>
      <c r="NF7" s="54"/>
      <c r="NG7" s="54"/>
      <c r="NH7" s="54"/>
      <c r="NI7" s="54"/>
      <c r="NJ7" s="54"/>
      <c r="NK7" s="54"/>
      <c r="NL7" s="54"/>
      <c r="NM7" s="54"/>
      <c r="NN7" s="13" t="str">
        <f t="shared" si="86"/>
        <v/>
      </c>
      <c r="NO7" s="13" t="str">
        <f t="shared" si="87"/>
        <v/>
      </c>
      <c r="NP7" s="13" t="str">
        <f t="shared" si="88"/>
        <v/>
      </c>
      <c r="NQ7" s="13" t="str">
        <f t="shared" si="89"/>
        <v/>
      </c>
      <c r="NR7" s="13" t="str">
        <f t="shared" si="90"/>
        <v/>
      </c>
      <c r="NS7" s="13" t="str">
        <f t="shared" si="91"/>
        <v/>
      </c>
      <c r="NT7" s="53"/>
      <c r="NU7" s="53"/>
      <c r="NV7" s="53"/>
      <c r="NW7" s="53"/>
      <c r="NX7" s="53"/>
      <c r="NY7" s="53"/>
      <c r="NZ7" s="53"/>
      <c r="OA7" s="53"/>
      <c r="OB7" s="53"/>
      <c r="OC7" s="53"/>
      <c r="OD7" s="53"/>
      <c r="OE7" s="53"/>
      <c r="OF7" s="53"/>
      <c r="OG7" s="53"/>
      <c r="OH7" s="53"/>
      <c r="OI7" s="53"/>
      <c r="OJ7" s="53"/>
      <c r="OK7" s="53"/>
      <c r="OL7" s="53"/>
      <c r="OM7" s="53"/>
      <c r="ON7" s="53"/>
      <c r="OO7" s="53"/>
      <c r="OP7" s="53"/>
      <c r="OQ7" s="53"/>
      <c r="OR7" s="16" t="str">
        <f t="shared" si="92"/>
        <v/>
      </c>
      <c r="OS7" s="16" t="str">
        <f t="shared" si="93"/>
        <v/>
      </c>
      <c r="OT7" s="16" t="str">
        <f t="shared" si="94"/>
        <v/>
      </c>
      <c r="OU7" s="16" t="str">
        <f t="shared" si="95"/>
        <v/>
      </c>
      <c r="OV7" s="16" t="str">
        <f t="shared" si="96"/>
        <v/>
      </c>
      <c r="OW7" s="16" t="str">
        <f t="shared" si="97"/>
        <v/>
      </c>
      <c r="OX7" s="54"/>
      <c r="OY7" s="54"/>
      <c r="OZ7" s="54"/>
      <c r="PA7" s="54"/>
      <c r="PB7" s="54"/>
      <c r="PC7" s="54"/>
      <c r="PD7" s="54"/>
      <c r="PE7" s="54"/>
      <c r="PF7" s="54"/>
      <c r="PG7" s="54"/>
      <c r="PH7" s="54"/>
      <c r="PI7" s="54"/>
      <c r="PJ7" s="54"/>
      <c r="PK7" s="54"/>
      <c r="PL7" s="54"/>
      <c r="PM7" s="54"/>
      <c r="PN7" s="54"/>
      <c r="PO7" s="54"/>
      <c r="PP7" s="54"/>
      <c r="PQ7" s="54"/>
      <c r="PR7" s="54"/>
      <c r="PS7" s="54"/>
      <c r="PT7" s="54"/>
      <c r="PU7" s="54"/>
      <c r="PV7" s="13" t="str">
        <f t="shared" si="98"/>
        <v/>
      </c>
      <c r="PW7" s="13" t="str">
        <f t="shared" si="99"/>
        <v/>
      </c>
      <c r="PX7" s="13" t="str">
        <f t="shared" si="100"/>
        <v/>
      </c>
      <c r="PY7" s="13" t="str">
        <f t="shared" si="101"/>
        <v/>
      </c>
      <c r="PZ7" s="13" t="str">
        <f t="shared" si="102"/>
        <v/>
      </c>
      <c r="QA7" s="13" t="str">
        <f t="shared" si="103"/>
        <v/>
      </c>
      <c r="QB7" s="53"/>
      <c r="QC7" s="53"/>
      <c r="QD7" s="53"/>
      <c r="QE7" s="53"/>
      <c r="QF7" s="53"/>
      <c r="QG7" s="53"/>
      <c r="QH7" s="53"/>
      <c r="QI7" s="53"/>
      <c r="QJ7" s="53"/>
      <c r="QK7" s="53"/>
      <c r="QL7" s="53"/>
      <c r="QM7" s="53"/>
      <c r="QN7" s="53"/>
      <c r="QO7" s="53"/>
      <c r="QP7" s="53"/>
      <c r="QQ7" s="53"/>
      <c r="QR7" s="53"/>
      <c r="QS7" s="53"/>
      <c r="QT7" s="53"/>
      <c r="QU7" s="53"/>
      <c r="QV7" s="53"/>
      <c r="QW7" s="53"/>
      <c r="QX7" s="53"/>
      <c r="QY7" s="53"/>
      <c r="QZ7" s="16" t="str">
        <f t="shared" si="104"/>
        <v/>
      </c>
      <c r="RA7" s="16" t="str">
        <f t="shared" si="105"/>
        <v/>
      </c>
      <c r="RB7" s="16" t="str">
        <f t="shared" si="106"/>
        <v/>
      </c>
      <c r="RC7" s="16" t="str">
        <f t="shared" si="107"/>
        <v/>
      </c>
      <c r="RD7" s="16" t="str">
        <f t="shared" si="108"/>
        <v/>
      </c>
      <c r="RE7" s="16" t="str">
        <f t="shared" si="109"/>
        <v/>
      </c>
    </row>
    <row r="8" spans="1:473" x14ac:dyDescent="0.2">
      <c r="A8" s="6">
        <f t="shared" si="0"/>
        <v>5</v>
      </c>
      <c r="B8" s="9" t="s">
        <v>131</v>
      </c>
      <c r="C8" s="5" t="s">
        <v>6</v>
      </c>
      <c r="D8" s="33">
        <v>2018</v>
      </c>
      <c r="E8" s="17">
        <f t="shared" si="1"/>
        <v>334.79999999999995</v>
      </c>
      <c r="F8" s="4" t="str">
        <f t="shared" si="2"/>
        <v>P</v>
      </c>
      <c r="G8" s="4" t="str">
        <f t="shared" si="3"/>
        <v>P</v>
      </c>
      <c r="H8" s="4" t="str">
        <f t="shared" si="4"/>
        <v>P</v>
      </c>
      <c r="I8" t="str">
        <f t="shared" si="5"/>
        <v>Funding</v>
      </c>
      <c r="J8" s="16">
        <f t="shared" si="6"/>
        <v>134.69999999999996</v>
      </c>
      <c r="K8" s="16" t="str">
        <f t="shared" si="7"/>
        <v>2018 Nationals</v>
      </c>
      <c r="L8" s="16">
        <f t="shared" si="8"/>
        <v>65</v>
      </c>
      <c r="M8" s="16" t="str">
        <f t="shared" si="9"/>
        <v>2018 Canada Cup</v>
      </c>
      <c r="N8" s="16">
        <f t="shared" si="10"/>
        <v>66.8</v>
      </c>
      <c r="O8" s="16" t="str">
        <f t="shared" si="11"/>
        <v>2018 Canada Cup</v>
      </c>
      <c r="P8" s="16">
        <f t="shared" si="12"/>
        <v>68.3</v>
      </c>
      <c r="Q8" s="16" t="str">
        <f t="shared" si="13"/>
        <v>2018 Nationals</v>
      </c>
      <c r="R8" s="16" t="str">
        <f t="shared" si="14"/>
        <v/>
      </c>
      <c r="S8" s="31" t="str">
        <f t="shared" si="15"/>
        <v/>
      </c>
      <c r="T8" s="16" t="str">
        <f t="shared" si="16"/>
        <v/>
      </c>
      <c r="U8" s="47"/>
      <c r="V8" s="47"/>
      <c r="W8" s="47"/>
      <c r="X8" s="47"/>
      <c r="Y8" s="47"/>
      <c r="Z8" s="47"/>
      <c r="AA8" s="47"/>
      <c r="AB8" s="47"/>
      <c r="AC8" s="47"/>
      <c r="AD8" s="47"/>
      <c r="AE8" s="47"/>
      <c r="AF8" s="47"/>
      <c r="AG8" s="47"/>
      <c r="AH8" s="47"/>
      <c r="AI8" s="47"/>
      <c r="AJ8" s="47"/>
      <c r="AK8" s="47"/>
      <c r="AL8" s="47"/>
      <c r="AM8" s="47"/>
      <c r="AN8" s="47"/>
      <c r="AO8" s="47"/>
      <c r="AP8" s="47"/>
      <c r="AQ8" s="47"/>
      <c r="AR8" s="47"/>
      <c r="AS8" s="13" t="str">
        <f t="shared" si="17"/>
        <v/>
      </c>
      <c r="AT8" s="13" t="str">
        <f t="shared" si="18"/>
        <v/>
      </c>
      <c r="AU8" s="13" t="str">
        <f t="shared" si="19"/>
        <v/>
      </c>
      <c r="AV8" s="13" t="str">
        <f t="shared" si="20"/>
        <v/>
      </c>
      <c r="AW8" s="13" t="str">
        <f t="shared" si="21"/>
        <v/>
      </c>
      <c r="AX8" s="13" t="str">
        <f t="shared" si="22"/>
        <v/>
      </c>
      <c r="AY8" s="94">
        <v>27.3</v>
      </c>
      <c r="AZ8" s="94">
        <v>5.2</v>
      </c>
      <c r="BA8" s="94">
        <v>1.2</v>
      </c>
      <c r="BB8" s="94">
        <v>0</v>
      </c>
      <c r="BC8" s="94">
        <v>28.1</v>
      </c>
      <c r="BD8" s="94">
        <v>5.6</v>
      </c>
      <c r="BE8" s="94">
        <v>0</v>
      </c>
      <c r="BF8" s="94">
        <v>0</v>
      </c>
      <c r="BG8" s="94">
        <v>27.4</v>
      </c>
      <c r="BH8" s="94">
        <v>5.6</v>
      </c>
      <c r="BI8" s="94">
        <v>0</v>
      </c>
      <c r="BJ8" s="94">
        <v>0</v>
      </c>
      <c r="BK8" s="94">
        <v>28.6</v>
      </c>
      <c r="BL8" s="94">
        <v>5.2</v>
      </c>
      <c r="BM8" s="94">
        <v>0</v>
      </c>
      <c r="BN8" s="94">
        <v>0</v>
      </c>
      <c r="BO8" s="94">
        <v>27.8</v>
      </c>
      <c r="BP8" s="94">
        <v>4.8</v>
      </c>
      <c r="BQ8" s="94">
        <v>0</v>
      </c>
      <c r="BR8" s="94">
        <v>0</v>
      </c>
      <c r="BS8" s="94">
        <v>27.8</v>
      </c>
      <c r="BT8" s="94">
        <v>6</v>
      </c>
      <c r="BU8" s="94">
        <v>0</v>
      </c>
      <c r="BV8" s="94">
        <v>0</v>
      </c>
      <c r="BW8" s="16">
        <f t="shared" si="23"/>
        <v>21.599999999999998</v>
      </c>
      <c r="BX8" s="16">
        <f t="shared" si="24"/>
        <v>65</v>
      </c>
      <c r="BY8" s="16">
        <f t="shared" si="25"/>
        <v>66.8</v>
      </c>
      <c r="BZ8" s="16">
        <f t="shared" si="26"/>
        <v>131.79999999999998</v>
      </c>
      <c r="CA8" s="16">
        <f t="shared" si="27"/>
        <v>66.400000000000006</v>
      </c>
      <c r="CB8" s="16">
        <f t="shared" si="28"/>
        <v>198.2</v>
      </c>
      <c r="CC8" s="86">
        <v>28.2</v>
      </c>
      <c r="CD8" s="86">
        <v>6</v>
      </c>
      <c r="CE8" s="86">
        <v>0</v>
      </c>
      <c r="CF8" s="86">
        <v>0</v>
      </c>
      <c r="CG8" s="86">
        <v>28.5</v>
      </c>
      <c r="CH8" s="86">
        <v>5.6</v>
      </c>
      <c r="CI8" s="86">
        <v>0.9</v>
      </c>
      <c r="CJ8" s="86">
        <v>0</v>
      </c>
      <c r="CK8" s="86">
        <v>27.8</v>
      </c>
      <c r="CL8" s="86">
        <v>5.6</v>
      </c>
      <c r="CM8" s="86">
        <v>0</v>
      </c>
      <c r="CN8" s="86">
        <v>0</v>
      </c>
      <c r="CO8" s="86">
        <v>28.7</v>
      </c>
      <c r="CP8" s="86">
        <v>5.2</v>
      </c>
      <c r="CQ8" s="86">
        <v>0</v>
      </c>
      <c r="CR8" s="86">
        <v>0</v>
      </c>
      <c r="CS8" s="86">
        <v>28.7</v>
      </c>
      <c r="CT8" s="86">
        <v>6</v>
      </c>
      <c r="CU8" s="86">
        <v>0</v>
      </c>
      <c r="CV8" s="86">
        <v>0</v>
      </c>
      <c r="CW8" s="86">
        <v>28.9</v>
      </c>
      <c r="CX8" s="86">
        <v>5.6</v>
      </c>
      <c r="CY8" s="86">
        <v>0.9</v>
      </c>
      <c r="CZ8" s="86">
        <v>0</v>
      </c>
      <c r="DA8" s="13">
        <f t="shared" si="29"/>
        <v>22.4</v>
      </c>
      <c r="DB8" s="13">
        <f t="shared" si="30"/>
        <v>67.399999999999991</v>
      </c>
      <c r="DC8" s="13">
        <f t="shared" si="31"/>
        <v>67.3</v>
      </c>
      <c r="DD8" s="13">
        <f t="shared" si="32"/>
        <v>134.69999999999996</v>
      </c>
      <c r="DE8" s="13">
        <f t="shared" si="33"/>
        <v>68.3</v>
      </c>
      <c r="DF8" s="13">
        <f t="shared" si="34"/>
        <v>202.99999999999994</v>
      </c>
      <c r="DG8" s="30" t="str">
        <f t="shared" si="35"/>
        <v/>
      </c>
      <c r="DH8" s="30" t="str">
        <f t="shared" si="36"/>
        <v/>
      </c>
      <c r="DI8" s="30" t="str">
        <f t="shared" si="37"/>
        <v/>
      </c>
      <c r="DJ8" s="54"/>
      <c r="DK8" s="54"/>
      <c r="DL8" s="54"/>
      <c r="DM8" s="54"/>
      <c r="DN8" s="54"/>
      <c r="DO8" s="54"/>
      <c r="DP8" s="54"/>
      <c r="DQ8" s="54"/>
      <c r="DR8" s="54"/>
      <c r="DS8" s="54"/>
      <c r="DT8" s="54"/>
      <c r="DU8" s="54"/>
      <c r="DV8" s="54"/>
      <c r="DW8" s="54"/>
      <c r="DX8" s="54"/>
      <c r="DY8" s="54"/>
      <c r="DZ8" s="54"/>
      <c r="EA8" s="54"/>
      <c r="EB8" s="54"/>
      <c r="EC8" s="54"/>
      <c r="ED8" s="54"/>
      <c r="EE8" s="54"/>
      <c r="EF8" s="54"/>
      <c r="EG8" s="54"/>
      <c r="EH8" s="13" t="str">
        <f t="shared" si="38"/>
        <v/>
      </c>
      <c r="EI8" s="13" t="str">
        <f t="shared" si="39"/>
        <v/>
      </c>
      <c r="EJ8" s="13" t="str">
        <f t="shared" si="40"/>
        <v/>
      </c>
      <c r="EK8" s="13" t="str">
        <f t="shared" si="41"/>
        <v/>
      </c>
      <c r="EL8" s="13" t="str">
        <f t="shared" si="42"/>
        <v/>
      </c>
      <c r="EM8" s="13" t="str">
        <f t="shared" si="43"/>
        <v/>
      </c>
      <c r="EN8" s="53"/>
      <c r="EO8" s="53"/>
      <c r="EP8" s="53"/>
      <c r="EQ8" s="53"/>
      <c r="ER8" s="53"/>
      <c r="ES8" s="53"/>
      <c r="ET8" s="53"/>
      <c r="EU8" s="53"/>
      <c r="EV8" s="53"/>
      <c r="EW8" s="53"/>
      <c r="EX8" s="53"/>
      <c r="EY8" s="53"/>
      <c r="EZ8" s="53"/>
      <c r="FA8" s="53"/>
      <c r="FB8" s="53"/>
      <c r="FC8" s="53"/>
      <c r="FD8" s="53"/>
      <c r="FE8" s="53"/>
      <c r="FF8" s="53"/>
      <c r="FG8" s="53"/>
      <c r="FH8" s="53"/>
      <c r="FI8" s="53"/>
      <c r="FJ8" s="53"/>
      <c r="FK8" s="53"/>
      <c r="FL8" s="16" t="str">
        <f t="shared" si="44"/>
        <v/>
      </c>
      <c r="FM8" s="16" t="str">
        <f t="shared" si="45"/>
        <v/>
      </c>
      <c r="FN8" s="16" t="str">
        <f t="shared" si="46"/>
        <v/>
      </c>
      <c r="FO8" s="16" t="str">
        <f t="shared" si="47"/>
        <v/>
      </c>
      <c r="FP8" s="16" t="str">
        <f t="shared" si="48"/>
        <v/>
      </c>
      <c r="FQ8" s="16" t="str">
        <f t="shared" si="49"/>
        <v/>
      </c>
      <c r="FR8" s="54"/>
      <c r="FS8" s="54"/>
      <c r="FT8" s="54"/>
      <c r="FU8" s="54"/>
      <c r="FV8" s="54"/>
      <c r="FW8" s="54"/>
      <c r="FX8" s="54"/>
      <c r="FY8" s="54"/>
      <c r="FZ8" s="54"/>
      <c r="GA8" s="54"/>
      <c r="GB8" s="54"/>
      <c r="GC8" s="54"/>
      <c r="GD8" s="54"/>
      <c r="GE8" s="54"/>
      <c r="GF8" s="54"/>
      <c r="GG8" s="54"/>
      <c r="GH8" s="54"/>
      <c r="GI8" s="54"/>
      <c r="GJ8" s="54"/>
      <c r="GK8" s="54"/>
      <c r="GL8" s="54"/>
      <c r="GM8" s="54"/>
      <c r="GN8" s="54"/>
      <c r="GO8" s="54"/>
      <c r="GP8" s="13" t="str">
        <f t="shared" si="50"/>
        <v/>
      </c>
      <c r="GQ8" s="13" t="str">
        <f t="shared" si="51"/>
        <v/>
      </c>
      <c r="GR8" s="13" t="str">
        <f t="shared" si="52"/>
        <v/>
      </c>
      <c r="GS8" s="13" t="str">
        <f t="shared" si="53"/>
        <v/>
      </c>
      <c r="GT8" s="13" t="str">
        <f t="shared" si="54"/>
        <v/>
      </c>
      <c r="GU8" s="13" t="str">
        <f t="shared" si="55"/>
        <v/>
      </c>
      <c r="GV8" s="53"/>
      <c r="GW8" s="53"/>
      <c r="GX8" s="53"/>
      <c r="GY8" s="53"/>
      <c r="GZ8" s="53"/>
      <c r="HA8" s="53"/>
      <c r="HB8" s="53"/>
      <c r="HC8" s="53"/>
      <c r="HD8" s="53"/>
      <c r="HE8" s="53"/>
      <c r="HF8" s="53"/>
      <c r="HG8" s="53"/>
      <c r="HH8" s="53"/>
      <c r="HI8" s="53"/>
      <c r="HJ8" s="53"/>
      <c r="HK8" s="53"/>
      <c r="HL8" s="53"/>
      <c r="HM8" s="53"/>
      <c r="HN8" s="53"/>
      <c r="HO8" s="53"/>
      <c r="HP8" s="53"/>
      <c r="HQ8" s="53"/>
      <c r="HR8" s="53"/>
      <c r="HS8" s="53"/>
      <c r="HT8" s="16" t="str">
        <f t="shared" si="56"/>
        <v/>
      </c>
      <c r="HU8" s="16" t="str">
        <f t="shared" si="57"/>
        <v/>
      </c>
      <c r="HV8" s="16" t="str">
        <f t="shared" si="58"/>
        <v/>
      </c>
      <c r="HW8" s="16" t="str">
        <f t="shared" si="59"/>
        <v/>
      </c>
      <c r="HX8" s="16" t="str">
        <f t="shared" si="60"/>
        <v/>
      </c>
      <c r="HY8" s="16" t="str">
        <f t="shared" si="61"/>
        <v/>
      </c>
      <c r="HZ8" s="54"/>
      <c r="IA8" s="54"/>
      <c r="IB8" s="54"/>
      <c r="IC8" s="54"/>
      <c r="ID8" s="54"/>
      <c r="IE8" s="54"/>
      <c r="IF8" s="54"/>
      <c r="IG8" s="54"/>
      <c r="IH8" s="54"/>
      <c r="II8" s="54"/>
      <c r="IJ8" s="54"/>
      <c r="IK8" s="54"/>
      <c r="IL8" s="54"/>
      <c r="IM8" s="54"/>
      <c r="IN8" s="54"/>
      <c r="IO8" s="54"/>
      <c r="IP8" s="54"/>
      <c r="IQ8" s="54"/>
      <c r="IR8" s="54"/>
      <c r="IS8" s="54"/>
      <c r="IT8" s="54"/>
      <c r="IU8" s="54"/>
      <c r="IV8" s="54"/>
      <c r="IW8" s="54"/>
      <c r="IX8" s="13" t="str">
        <f t="shared" si="62"/>
        <v/>
      </c>
      <c r="IY8" s="13" t="str">
        <f t="shared" si="63"/>
        <v/>
      </c>
      <c r="IZ8" s="13" t="str">
        <f t="shared" si="64"/>
        <v/>
      </c>
      <c r="JA8" s="13" t="str">
        <f t="shared" si="65"/>
        <v/>
      </c>
      <c r="JB8" s="13" t="str">
        <f t="shared" si="66"/>
        <v/>
      </c>
      <c r="JC8" s="13" t="str">
        <f t="shared" si="67"/>
        <v/>
      </c>
      <c r="JD8" s="53"/>
      <c r="JE8" s="53"/>
      <c r="JF8" s="53"/>
      <c r="JG8" s="53"/>
      <c r="JH8" s="53"/>
      <c r="JI8" s="53"/>
      <c r="JJ8" s="53"/>
      <c r="JK8" s="53"/>
      <c r="JL8" s="53"/>
      <c r="JM8" s="53"/>
      <c r="JN8" s="53"/>
      <c r="JO8" s="53"/>
      <c r="JP8" s="53"/>
      <c r="JQ8" s="53"/>
      <c r="JR8" s="53"/>
      <c r="JS8" s="53"/>
      <c r="JT8" s="53"/>
      <c r="JU8" s="53"/>
      <c r="JV8" s="53"/>
      <c r="JW8" s="53"/>
      <c r="JX8" s="53"/>
      <c r="JY8" s="53"/>
      <c r="JZ8" s="53"/>
      <c r="KA8" s="53"/>
      <c r="KB8" s="16" t="str">
        <f t="shared" si="68"/>
        <v/>
      </c>
      <c r="KC8" s="16" t="str">
        <f t="shared" si="69"/>
        <v/>
      </c>
      <c r="KD8" s="16" t="str">
        <f t="shared" si="70"/>
        <v/>
      </c>
      <c r="KE8" s="16" t="str">
        <f t="shared" si="71"/>
        <v/>
      </c>
      <c r="KF8" s="16" t="str">
        <f t="shared" si="72"/>
        <v/>
      </c>
      <c r="KG8" s="16" t="str">
        <f t="shared" si="73"/>
        <v/>
      </c>
      <c r="KH8" s="54"/>
      <c r="KI8" s="54"/>
      <c r="KJ8" s="54"/>
      <c r="KK8" s="54"/>
      <c r="KL8" s="54"/>
      <c r="KM8" s="54"/>
      <c r="KN8" s="54"/>
      <c r="KO8" s="54"/>
      <c r="KP8" s="54"/>
      <c r="KQ8" s="54"/>
      <c r="KR8" s="54"/>
      <c r="KS8" s="54"/>
      <c r="KT8" s="54"/>
      <c r="KU8" s="54"/>
      <c r="KV8" s="54"/>
      <c r="KW8" s="54"/>
      <c r="KX8" s="54"/>
      <c r="KY8" s="54"/>
      <c r="KZ8" s="54"/>
      <c r="LA8" s="54"/>
      <c r="LB8" s="54"/>
      <c r="LC8" s="54"/>
      <c r="LD8" s="54"/>
      <c r="LE8" s="54"/>
      <c r="LF8" s="13" t="str">
        <f t="shared" si="74"/>
        <v/>
      </c>
      <c r="LG8" s="13" t="str">
        <f t="shared" si="75"/>
        <v/>
      </c>
      <c r="LH8" s="13" t="str">
        <f t="shared" si="76"/>
        <v/>
      </c>
      <c r="LI8" s="13" t="str">
        <f t="shared" si="77"/>
        <v/>
      </c>
      <c r="LJ8" s="13" t="str">
        <f t="shared" si="78"/>
        <v/>
      </c>
      <c r="LK8" s="13" t="str">
        <f t="shared" si="79"/>
        <v/>
      </c>
      <c r="LL8" s="53"/>
      <c r="LM8" s="53"/>
      <c r="LN8" s="53"/>
      <c r="LO8" s="53"/>
      <c r="LP8" s="53"/>
      <c r="LQ8" s="53"/>
      <c r="LR8" s="53"/>
      <c r="LS8" s="53"/>
      <c r="LT8" s="53"/>
      <c r="LU8" s="53"/>
      <c r="LV8" s="53"/>
      <c r="LW8" s="53"/>
      <c r="LX8" s="53"/>
      <c r="LY8" s="53"/>
      <c r="LZ8" s="53"/>
      <c r="MA8" s="53"/>
      <c r="MB8" s="53"/>
      <c r="MC8" s="53"/>
      <c r="MD8" s="53"/>
      <c r="ME8" s="53"/>
      <c r="MF8" s="53"/>
      <c r="MG8" s="53"/>
      <c r="MH8" s="53"/>
      <c r="MI8" s="53"/>
      <c r="MJ8" s="16" t="str">
        <f t="shared" si="80"/>
        <v/>
      </c>
      <c r="MK8" s="16" t="str">
        <f t="shared" si="81"/>
        <v/>
      </c>
      <c r="ML8" s="16" t="str">
        <f t="shared" si="82"/>
        <v/>
      </c>
      <c r="MM8" s="16" t="str">
        <f t="shared" si="83"/>
        <v/>
      </c>
      <c r="MN8" s="16" t="str">
        <f t="shared" si="84"/>
        <v/>
      </c>
      <c r="MO8" s="16" t="str">
        <f t="shared" si="85"/>
        <v/>
      </c>
      <c r="MP8" s="54"/>
      <c r="MQ8" s="54"/>
      <c r="MR8" s="54"/>
      <c r="MS8" s="54"/>
      <c r="MT8" s="54"/>
      <c r="MU8" s="54"/>
      <c r="MV8" s="54"/>
      <c r="MW8" s="54"/>
      <c r="MX8" s="54"/>
      <c r="MY8" s="54"/>
      <c r="MZ8" s="54"/>
      <c r="NA8" s="54"/>
      <c r="NB8" s="54"/>
      <c r="NC8" s="54"/>
      <c r="ND8" s="54"/>
      <c r="NE8" s="54"/>
      <c r="NF8" s="54"/>
      <c r="NG8" s="54"/>
      <c r="NH8" s="54"/>
      <c r="NI8" s="54"/>
      <c r="NJ8" s="54"/>
      <c r="NK8" s="54"/>
      <c r="NL8" s="54"/>
      <c r="NM8" s="54"/>
      <c r="NN8" s="13" t="str">
        <f t="shared" si="86"/>
        <v/>
      </c>
      <c r="NO8" s="13" t="str">
        <f t="shared" si="87"/>
        <v/>
      </c>
      <c r="NP8" s="13" t="str">
        <f t="shared" si="88"/>
        <v/>
      </c>
      <c r="NQ8" s="13" t="str">
        <f t="shared" si="89"/>
        <v/>
      </c>
      <c r="NR8" s="13" t="str">
        <f t="shared" si="90"/>
        <v/>
      </c>
      <c r="NS8" s="13" t="str">
        <f t="shared" si="91"/>
        <v/>
      </c>
      <c r="NT8" s="53"/>
      <c r="NU8" s="53"/>
      <c r="NV8" s="53"/>
      <c r="NW8" s="53"/>
      <c r="NX8" s="53"/>
      <c r="NY8" s="53"/>
      <c r="NZ8" s="53"/>
      <c r="OA8" s="53"/>
      <c r="OB8" s="53"/>
      <c r="OC8" s="53"/>
      <c r="OD8" s="53"/>
      <c r="OE8" s="53"/>
      <c r="OF8" s="53"/>
      <c r="OG8" s="53"/>
      <c r="OH8" s="53"/>
      <c r="OI8" s="53"/>
      <c r="OJ8" s="53"/>
      <c r="OK8" s="53"/>
      <c r="OL8" s="53"/>
      <c r="OM8" s="53"/>
      <c r="ON8" s="53"/>
      <c r="OO8" s="53"/>
      <c r="OP8" s="53"/>
      <c r="OQ8" s="53"/>
      <c r="OR8" s="16" t="str">
        <f t="shared" si="92"/>
        <v/>
      </c>
      <c r="OS8" s="16" t="str">
        <f t="shared" si="93"/>
        <v/>
      </c>
      <c r="OT8" s="16" t="str">
        <f t="shared" si="94"/>
        <v/>
      </c>
      <c r="OU8" s="16" t="str">
        <f t="shared" si="95"/>
        <v/>
      </c>
      <c r="OV8" s="16" t="str">
        <f t="shared" si="96"/>
        <v/>
      </c>
      <c r="OW8" s="16" t="str">
        <f t="shared" si="97"/>
        <v/>
      </c>
      <c r="OX8" s="54"/>
      <c r="OY8" s="54"/>
      <c r="OZ8" s="54"/>
      <c r="PA8" s="54"/>
      <c r="PB8" s="54"/>
      <c r="PC8" s="54"/>
      <c r="PD8" s="54"/>
      <c r="PE8" s="54"/>
      <c r="PF8" s="54"/>
      <c r="PG8" s="54"/>
      <c r="PH8" s="54"/>
      <c r="PI8" s="54"/>
      <c r="PJ8" s="54"/>
      <c r="PK8" s="54"/>
      <c r="PL8" s="54"/>
      <c r="PM8" s="54"/>
      <c r="PN8" s="54"/>
      <c r="PO8" s="54"/>
      <c r="PP8" s="54"/>
      <c r="PQ8" s="54"/>
      <c r="PR8" s="54"/>
      <c r="PS8" s="54"/>
      <c r="PT8" s="54"/>
      <c r="PU8" s="54"/>
      <c r="PV8" s="13" t="str">
        <f t="shared" si="98"/>
        <v/>
      </c>
      <c r="PW8" s="13" t="str">
        <f t="shared" si="99"/>
        <v/>
      </c>
      <c r="PX8" s="13" t="str">
        <f t="shared" si="100"/>
        <v/>
      </c>
      <c r="PY8" s="13" t="str">
        <f t="shared" si="101"/>
        <v/>
      </c>
      <c r="PZ8" s="13" t="str">
        <f t="shared" si="102"/>
        <v/>
      </c>
      <c r="QA8" s="13" t="str">
        <f t="shared" si="103"/>
        <v/>
      </c>
      <c r="QB8" s="53"/>
      <c r="QC8" s="53"/>
      <c r="QD8" s="53"/>
      <c r="QE8" s="53"/>
      <c r="QF8" s="53"/>
      <c r="QG8" s="53"/>
      <c r="QH8" s="53"/>
      <c r="QI8" s="53"/>
      <c r="QJ8" s="53"/>
      <c r="QK8" s="53"/>
      <c r="QL8" s="53"/>
      <c r="QM8" s="53"/>
      <c r="QN8" s="53"/>
      <c r="QO8" s="53"/>
      <c r="QP8" s="53"/>
      <c r="QQ8" s="53"/>
      <c r="QR8" s="53"/>
      <c r="QS8" s="53"/>
      <c r="QT8" s="53"/>
      <c r="QU8" s="53"/>
      <c r="QV8" s="53"/>
      <c r="QW8" s="53"/>
      <c r="QX8" s="53"/>
      <c r="QY8" s="53"/>
      <c r="QZ8" s="16" t="str">
        <f t="shared" si="104"/>
        <v/>
      </c>
      <c r="RA8" s="16" t="str">
        <f t="shared" si="105"/>
        <v/>
      </c>
      <c r="RB8" s="16" t="str">
        <f t="shared" si="106"/>
        <v/>
      </c>
      <c r="RC8" s="16" t="str">
        <f t="shared" si="107"/>
        <v/>
      </c>
      <c r="RD8" s="16" t="str">
        <f t="shared" si="108"/>
        <v/>
      </c>
      <c r="RE8" s="16" t="str">
        <f t="shared" si="109"/>
        <v/>
      </c>
    </row>
    <row r="9" spans="1:473" x14ac:dyDescent="0.2">
      <c r="A9" s="6">
        <f t="shared" si="0"/>
        <v>6</v>
      </c>
      <c r="B9" s="9" t="s">
        <v>98</v>
      </c>
      <c r="C9" s="5" t="s">
        <v>97</v>
      </c>
      <c r="D9" s="33">
        <v>2017</v>
      </c>
      <c r="E9" s="17">
        <f t="shared" si="1"/>
        <v>325.60000000000002</v>
      </c>
      <c r="F9" s="4" t="str">
        <f t="shared" si="2"/>
        <v>P</v>
      </c>
      <c r="G9" s="4" t="str">
        <f t="shared" si="3"/>
        <v>P</v>
      </c>
      <c r="H9" s="4" t="str">
        <f t="shared" si="4"/>
        <v>P</v>
      </c>
      <c r="I9" t="str">
        <f t="shared" si="5"/>
        <v>National Team</v>
      </c>
      <c r="J9" s="16">
        <f t="shared" si="6"/>
        <v>131.1</v>
      </c>
      <c r="K9" s="16" t="str">
        <f t="shared" si="7"/>
        <v>2018 Nationals</v>
      </c>
      <c r="L9" s="16">
        <f t="shared" si="8"/>
        <v>66.2</v>
      </c>
      <c r="M9" s="16" t="str">
        <f t="shared" si="9"/>
        <v>2017 3rd Domestic Trial</v>
      </c>
      <c r="N9" s="16">
        <f t="shared" si="10"/>
        <v>60.5</v>
      </c>
      <c r="O9" s="16" t="str">
        <f t="shared" si="11"/>
        <v>2017 3rd Domestic Trial</v>
      </c>
      <c r="P9" s="16">
        <f t="shared" si="12"/>
        <v>67.8</v>
      </c>
      <c r="Q9" s="16" t="str">
        <f t="shared" si="13"/>
        <v>2018 Nationals</v>
      </c>
      <c r="R9" s="16" t="str">
        <f t="shared" si="14"/>
        <v/>
      </c>
      <c r="S9" s="31" t="str">
        <f t="shared" si="15"/>
        <v/>
      </c>
      <c r="T9" s="16" t="str">
        <f t="shared" si="16"/>
        <v/>
      </c>
      <c r="U9" s="47">
        <v>28.2</v>
      </c>
      <c r="V9" s="47">
        <v>5.6</v>
      </c>
      <c r="W9" s="47">
        <v>0</v>
      </c>
      <c r="X9" s="47">
        <v>0</v>
      </c>
      <c r="Y9" s="47">
        <v>26.7</v>
      </c>
      <c r="Z9" s="47">
        <v>6</v>
      </c>
      <c r="AA9" s="47">
        <v>0.3</v>
      </c>
      <c r="AB9" s="47">
        <v>0</v>
      </c>
      <c r="AC9" s="47">
        <v>27.2</v>
      </c>
      <c r="AD9" s="47">
        <v>5.2</v>
      </c>
      <c r="AE9" s="47">
        <v>0</v>
      </c>
      <c r="AF9" s="47">
        <v>0</v>
      </c>
      <c r="AG9" s="47">
        <v>24.4</v>
      </c>
      <c r="AH9" s="47">
        <v>5.2</v>
      </c>
      <c r="AI9" s="47">
        <v>1.5</v>
      </c>
      <c r="AJ9" s="47">
        <v>0</v>
      </c>
      <c r="AK9" s="47">
        <v>28.5</v>
      </c>
      <c r="AL9" s="47">
        <v>5.6</v>
      </c>
      <c r="AM9" s="47">
        <v>0</v>
      </c>
      <c r="AN9" s="47">
        <v>0</v>
      </c>
      <c r="AO9" s="47">
        <v>27.4</v>
      </c>
      <c r="AP9" s="47">
        <v>5.2</v>
      </c>
      <c r="AQ9" s="47">
        <v>0</v>
      </c>
      <c r="AR9" s="47">
        <v>0</v>
      </c>
      <c r="AS9" s="13">
        <f t="shared" si="17"/>
        <v>22</v>
      </c>
      <c r="AT9" s="13">
        <f t="shared" si="18"/>
        <v>66.2</v>
      </c>
      <c r="AU9" s="13">
        <f t="shared" si="19"/>
        <v>60.5</v>
      </c>
      <c r="AV9" s="13">
        <f t="shared" si="20"/>
        <v>126.7</v>
      </c>
      <c r="AW9" s="13">
        <f t="shared" si="21"/>
        <v>66.7</v>
      </c>
      <c r="AX9" s="13">
        <f t="shared" si="22"/>
        <v>193.4</v>
      </c>
      <c r="AY9" s="79">
        <v>27.6</v>
      </c>
      <c r="AZ9" s="79">
        <v>6.4</v>
      </c>
      <c r="BA9" s="79">
        <v>1.2</v>
      </c>
      <c r="BB9" s="79">
        <v>0</v>
      </c>
      <c r="BC9" s="79">
        <v>26.3</v>
      </c>
      <c r="BD9" s="79">
        <v>5.2</v>
      </c>
      <c r="BE9" s="79">
        <v>0.3</v>
      </c>
      <c r="BF9" s="79">
        <v>0.5</v>
      </c>
      <c r="BG9" s="79">
        <v>20.3</v>
      </c>
      <c r="BH9" s="79">
        <v>2.4</v>
      </c>
      <c r="BI9" s="79">
        <v>0</v>
      </c>
      <c r="BJ9" s="79">
        <v>0</v>
      </c>
      <c r="BK9" s="79">
        <v>26.5</v>
      </c>
      <c r="BL9" s="79">
        <v>5.2</v>
      </c>
      <c r="BM9" s="79">
        <v>0.3</v>
      </c>
      <c r="BN9" s="79">
        <v>0</v>
      </c>
      <c r="BO9" s="79">
        <v>28.1</v>
      </c>
      <c r="BP9" s="79">
        <v>6.4</v>
      </c>
      <c r="BQ9" s="79">
        <v>0</v>
      </c>
      <c r="BR9" s="79">
        <v>0</v>
      </c>
      <c r="BS9" s="79">
        <v>27</v>
      </c>
      <c r="BT9" s="79">
        <v>4.4000000000000004</v>
      </c>
      <c r="BU9" s="79">
        <v>0.3</v>
      </c>
      <c r="BV9" s="79">
        <v>0</v>
      </c>
      <c r="BW9" s="16">
        <f t="shared" si="23"/>
        <v>19.200000000000003</v>
      </c>
      <c r="BX9" s="16">
        <f t="shared" si="24"/>
        <v>64.5</v>
      </c>
      <c r="BY9" s="16">
        <f t="shared" si="25"/>
        <v>54.100000000000009</v>
      </c>
      <c r="BZ9" s="16">
        <f t="shared" si="26"/>
        <v>118.60000000000001</v>
      </c>
      <c r="CA9" s="16">
        <f t="shared" si="27"/>
        <v>65.600000000000009</v>
      </c>
      <c r="CB9" s="16">
        <f t="shared" si="28"/>
        <v>184.20000000000002</v>
      </c>
      <c r="CC9" s="55">
        <v>28.2</v>
      </c>
      <c r="CD9" s="55">
        <v>5.6</v>
      </c>
      <c r="CE9" s="55">
        <v>0</v>
      </c>
      <c r="CF9" s="55">
        <v>0</v>
      </c>
      <c r="CG9" s="55">
        <v>27.5</v>
      </c>
      <c r="CH9" s="55">
        <v>5.2</v>
      </c>
      <c r="CI9" s="55">
        <v>0.3</v>
      </c>
      <c r="CJ9" s="55">
        <v>0.5</v>
      </c>
      <c r="CK9" s="55">
        <v>25.6</v>
      </c>
      <c r="CL9" s="55">
        <v>6</v>
      </c>
      <c r="CM9" s="55">
        <v>0.3</v>
      </c>
      <c r="CN9" s="55">
        <v>0</v>
      </c>
      <c r="CO9" s="55">
        <v>27.9</v>
      </c>
      <c r="CP9" s="55">
        <v>5.2</v>
      </c>
      <c r="CQ9" s="55">
        <v>0</v>
      </c>
      <c r="CR9" s="55">
        <v>0</v>
      </c>
      <c r="CS9" s="60">
        <v>28.4</v>
      </c>
      <c r="CT9" s="60">
        <v>5.6</v>
      </c>
      <c r="CU9" s="87">
        <v>0</v>
      </c>
      <c r="CV9" s="60">
        <v>0</v>
      </c>
      <c r="CW9" s="60">
        <v>28.1</v>
      </c>
      <c r="CX9" s="60">
        <v>6</v>
      </c>
      <c r="CY9" s="60">
        <v>0.3</v>
      </c>
      <c r="CZ9" s="60">
        <v>0</v>
      </c>
      <c r="DA9" s="13">
        <f t="shared" si="29"/>
        <v>22</v>
      </c>
      <c r="DB9" s="13">
        <f t="shared" si="30"/>
        <v>66.7</v>
      </c>
      <c r="DC9" s="13">
        <f t="shared" si="31"/>
        <v>64.400000000000006</v>
      </c>
      <c r="DD9" s="13">
        <f t="shared" si="32"/>
        <v>131.1</v>
      </c>
      <c r="DE9" s="13">
        <f t="shared" si="33"/>
        <v>67.8</v>
      </c>
      <c r="DF9" s="13">
        <f t="shared" si="34"/>
        <v>198.89999999999998</v>
      </c>
      <c r="DG9" s="30" t="str">
        <f t="shared" si="35"/>
        <v/>
      </c>
      <c r="DH9" s="30" t="str">
        <f t="shared" si="36"/>
        <v/>
      </c>
      <c r="DI9" s="30" t="str">
        <f t="shared" si="37"/>
        <v/>
      </c>
      <c r="DJ9" s="54"/>
      <c r="DK9" s="54"/>
      <c r="DL9" s="54"/>
      <c r="DM9" s="54"/>
      <c r="DN9" s="54"/>
      <c r="DO9" s="54"/>
      <c r="DP9" s="54"/>
      <c r="DQ9" s="54"/>
      <c r="DR9" s="54"/>
      <c r="DS9" s="54"/>
      <c r="DT9" s="54"/>
      <c r="DU9" s="54"/>
      <c r="DV9" s="54"/>
      <c r="DW9" s="54"/>
      <c r="DX9" s="54"/>
      <c r="DY9" s="54"/>
      <c r="DZ9" s="54"/>
      <c r="EA9" s="54"/>
      <c r="EB9" s="54"/>
      <c r="EC9" s="54"/>
      <c r="ED9" s="54"/>
      <c r="EE9" s="54"/>
      <c r="EF9" s="54"/>
      <c r="EG9" s="54"/>
      <c r="EH9" s="13" t="str">
        <f t="shared" si="38"/>
        <v/>
      </c>
      <c r="EI9" s="13" t="str">
        <f t="shared" si="39"/>
        <v/>
      </c>
      <c r="EJ9" s="13" t="str">
        <f t="shared" si="40"/>
        <v/>
      </c>
      <c r="EK9" s="13" t="str">
        <f t="shared" si="41"/>
        <v/>
      </c>
      <c r="EL9" s="13" t="str">
        <f t="shared" si="42"/>
        <v/>
      </c>
      <c r="EM9" s="13" t="str">
        <f t="shared" si="43"/>
        <v/>
      </c>
      <c r="EN9" s="53"/>
      <c r="EO9" s="53"/>
      <c r="EP9" s="53"/>
      <c r="EQ9" s="53"/>
      <c r="ER9" s="53"/>
      <c r="ES9" s="53"/>
      <c r="ET9" s="53"/>
      <c r="EU9" s="53"/>
      <c r="EV9" s="53"/>
      <c r="EW9" s="53"/>
      <c r="EX9" s="53"/>
      <c r="EY9" s="53"/>
      <c r="EZ9" s="53"/>
      <c r="FA9" s="53"/>
      <c r="FB9" s="53"/>
      <c r="FC9" s="53"/>
      <c r="FD9" s="53"/>
      <c r="FE9" s="53"/>
      <c r="FF9" s="53"/>
      <c r="FG9" s="53"/>
      <c r="FH9" s="53"/>
      <c r="FI9" s="53"/>
      <c r="FJ9" s="53"/>
      <c r="FK9" s="53"/>
      <c r="FL9" s="16" t="str">
        <f t="shared" si="44"/>
        <v/>
      </c>
      <c r="FM9" s="16" t="str">
        <f t="shared" si="45"/>
        <v/>
      </c>
      <c r="FN9" s="16" t="str">
        <f t="shared" si="46"/>
        <v/>
      </c>
      <c r="FO9" s="16" t="str">
        <f t="shared" si="47"/>
        <v/>
      </c>
      <c r="FP9" s="16" t="str">
        <f t="shared" si="48"/>
        <v/>
      </c>
      <c r="FQ9" s="16" t="str">
        <f t="shared" si="49"/>
        <v/>
      </c>
      <c r="FR9" s="54"/>
      <c r="FS9" s="54"/>
      <c r="FT9" s="54"/>
      <c r="FU9" s="54"/>
      <c r="FV9" s="54"/>
      <c r="FW9" s="54"/>
      <c r="FX9" s="54"/>
      <c r="FY9" s="54"/>
      <c r="FZ9" s="54"/>
      <c r="GA9" s="54"/>
      <c r="GB9" s="54"/>
      <c r="GC9" s="54"/>
      <c r="GD9" s="54"/>
      <c r="GE9" s="54"/>
      <c r="GF9" s="54"/>
      <c r="GG9" s="54"/>
      <c r="GH9" s="54"/>
      <c r="GI9" s="54"/>
      <c r="GJ9" s="54"/>
      <c r="GK9" s="54"/>
      <c r="GL9" s="54"/>
      <c r="GM9" s="54"/>
      <c r="GN9" s="54"/>
      <c r="GO9" s="54"/>
      <c r="GP9" s="13" t="str">
        <f t="shared" si="50"/>
        <v/>
      </c>
      <c r="GQ9" s="13" t="str">
        <f t="shared" si="51"/>
        <v/>
      </c>
      <c r="GR9" s="13" t="str">
        <f t="shared" si="52"/>
        <v/>
      </c>
      <c r="GS9" s="13" t="str">
        <f t="shared" si="53"/>
        <v/>
      </c>
      <c r="GT9" s="13" t="str">
        <f t="shared" si="54"/>
        <v/>
      </c>
      <c r="GU9" s="13" t="str">
        <f t="shared" si="55"/>
        <v/>
      </c>
      <c r="GV9" s="53"/>
      <c r="GW9" s="53"/>
      <c r="GX9" s="53"/>
      <c r="GY9" s="53"/>
      <c r="GZ9" s="53"/>
      <c r="HA9" s="53"/>
      <c r="HB9" s="53"/>
      <c r="HC9" s="53"/>
      <c r="HD9" s="53"/>
      <c r="HE9" s="53"/>
      <c r="HF9" s="53"/>
      <c r="HG9" s="53"/>
      <c r="HH9" s="53"/>
      <c r="HI9" s="53"/>
      <c r="HJ9" s="53"/>
      <c r="HK9" s="53"/>
      <c r="HL9" s="53"/>
      <c r="HM9" s="53"/>
      <c r="HN9" s="53"/>
      <c r="HO9" s="53"/>
      <c r="HP9" s="53"/>
      <c r="HQ9" s="53"/>
      <c r="HR9" s="53"/>
      <c r="HS9" s="53"/>
      <c r="HT9" s="16" t="str">
        <f t="shared" si="56"/>
        <v/>
      </c>
      <c r="HU9" s="16" t="str">
        <f t="shared" si="57"/>
        <v/>
      </c>
      <c r="HV9" s="16" t="str">
        <f t="shared" si="58"/>
        <v/>
      </c>
      <c r="HW9" s="16" t="str">
        <f t="shared" si="59"/>
        <v/>
      </c>
      <c r="HX9" s="16" t="str">
        <f t="shared" si="60"/>
        <v/>
      </c>
      <c r="HY9" s="16" t="str">
        <f t="shared" si="61"/>
        <v/>
      </c>
      <c r="HZ9" s="54">
        <v>27.9</v>
      </c>
      <c r="IA9" s="54">
        <v>4.8</v>
      </c>
      <c r="IB9" s="54">
        <v>0.8</v>
      </c>
      <c r="IC9" s="54">
        <v>0</v>
      </c>
      <c r="ID9" s="54">
        <v>28.3</v>
      </c>
      <c r="IE9" s="54">
        <v>6</v>
      </c>
      <c r="IF9" s="54">
        <v>0.3</v>
      </c>
      <c r="IG9" s="54">
        <v>0</v>
      </c>
      <c r="IH9" s="54"/>
      <c r="II9" s="54"/>
      <c r="IJ9" s="54"/>
      <c r="IK9" s="54"/>
      <c r="IL9" s="54"/>
      <c r="IM9" s="54"/>
      <c r="IN9" s="54"/>
      <c r="IO9" s="54"/>
      <c r="IP9" s="54">
        <v>28.1</v>
      </c>
      <c r="IQ9" s="54">
        <v>5.2</v>
      </c>
      <c r="IR9" s="54">
        <v>0.3</v>
      </c>
      <c r="IS9" s="54">
        <v>0</v>
      </c>
      <c r="IT9" s="54">
        <v>19.8</v>
      </c>
      <c r="IU9" s="54">
        <v>2.8</v>
      </c>
      <c r="IV9" s="54">
        <v>0</v>
      </c>
      <c r="IW9" s="54">
        <v>0</v>
      </c>
      <c r="IX9" s="13">
        <f t="shared" si="62"/>
        <v>10.8</v>
      </c>
      <c r="IY9" s="13">
        <f t="shared" si="63"/>
        <v>65.900000000000006</v>
      </c>
      <c r="IZ9" s="13" t="str">
        <f t="shared" si="64"/>
        <v/>
      </c>
      <c r="JA9" s="13">
        <f t="shared" si="65"/>
        <v>65.900000000000006</v>
      </c>
      <c r="JB9" s="13">
        <f t="shared" si="66"/>
        <v>55.600000000000009</v>
      </c>
      <c r="JC9" s="13">
        <f t="shared" si="67"/>
        <v>121.50000000000001</v>
      </c>
      <c r="JD9" s="53"/>
      <c r="JE9" s="53"/>
      <c r="JF9" s="53"/>
      <c r="JG9" s="53"/>
      <c r="JH9" s="53"/>
      <c r="JI9" s="53"/>
      <c r="JJ9" s="53"/>
      <c r="JK9" s="53"/>
      <c r="JL9" s="53"/>
      <c r="JM9" s="53"/>
      <c r="JN9" s="53"/>
      <c r="JO9" s="53"/>
      <c r="JP9" s="53"/>
      <c r="JQ9" s="53"/>
      <c r="JR9" s="53"/>
      <c r="JS9" s="53"/>
      <c r="JT9" s="53"/>
      <c r="JU9" s="53"/>
      <c r="JV9" s="53"/>
      <c r="JW9" s="53"/>
      <c r="JX9" s="53"/>
      <c r="JY9" s="53"/>
      <c r="JZ9" s="53"/>
      <c r="KA9" s="53"/>
      <c r="KB9" s="16" t="str">
        <f t="shared" si="68"/>
        <v/>
      </c>
      <c r="KC9" s="16" t="str">
        <f t="shared" si="69"/>
        <v/>
      </c>
      <c r="KD9" s="16" t="str">
        <f t="shared" si="70"/>
        <v/>
      </c>
      <c r="KE9" s="16" t="str">
        <f t="shared" si="71"/>
        <v/>
      </c>
      <c r="KF9" s="16" t="str">
        <f t="shared" si="72"/>
        <v/>
      </c>
      <c r="KG9" s="16" t="str">
        <f t="shared" si="73"/>
        <v/>
      </c>
      <c r="KH9" s="54"/>
      <c r="KI9" s="54"/>
      <c r="KJ9" s="54"/>
      <c r="KK9" s="54"/>
      <c r="KL9" s="54"/>
      <c r="KM9" s="54"/>
      <c r="KN9" s="54"/>
      <c r="KO9" s="54"/>
      <c r="KP9" s="54"/>
      <c r="KQ9" s="54"/>
      <c r="KR9" s="54"/>
      <c r="KS9" s="54"/>
      <c r="KT9" s="54"/>
      <c r="KU9" s="54"/>
      <c r="KV9" s="54"/>
      <c r="KW9" s="54"/>
      <c r="KX9" s="54"/>
      <c r="KY9" s="54"/>
      <c r="KZ9" s="54"/>
      <c r="LA9" s="54"/>
      <c r="LB9" s="54"/>
      <c r="LC9" s="54"/>
      <c r="LD9" s="54"/>
      <c r="LE9" s="54"/>
      <c r="LF9" s="13" t="str">
        <f t="shared" si="74"/>
        <v/>
      </c>
      <c r="LG9" s="13" t="str">
        <f t="shared" si="75"/>
        <v/>
      </c>
      <c r="LH9" s="13" t="str">
        <f t="shared" si="76"/>
        <v/>
      </c>
      <c r="LI9" s="13" t="str">
        <f t="shared" si="77"/>
        <v/>
      </c>
      <c r="LJ9" s="13" t="str">
        <f t="shared" si="78"/>
        <v/>
      </c>
      <c r="LK9" s="13" t="str">
        <f t="shared" si="79"/>
        <v/>
      </c>
      <c r="LL9" s="53"/>
      <c r="LM9" s="53"/>
      <c r="LN9" s="53"/>
      <c r="LO9" s="53"/>
      <c r="LP9" s="53"/>
      <c r="LQ9" s="53"/>
      <c r="LR9" s="53"/>
      <c r="LS9" s="53"/>
      <c r="LT9" s="53"/>
      <c r="LU9" s="53"/>
      <c r="LV9" s="53"/>
      <c r="LW9" s="53"/>
      <c r="LX9" s="53"/>
      <c r="LY9" s="53"/>
      <c r="LZ9" s="53"/>
      <c r="MA9" s="53"/>
      <c r="MB9" s="53"/>
      <c r="MC9" s="53"/>
      <c r="MD9" s="53"/>
      <c r="ME9" s="53"/>
      <c r="MF9" s="53"/>
      <c r="MG9" s="53"/>
      <c r="MH9" s="53"/>
      <c r="MI9" s="53"/>
      <c r="MJ9" s="16" t="str">
        <f t="shared" si="80"/>
        <v/>
      </c>
      <c r="MK9" s="16" t="str">
        <f t="shared" si="81"/>
        <v/>
      </c>
      <c r="ML9" s="16" t="str">
        <f t="shared" si="82"/>
        <v/>
      </c>
      <c r="MM9" s="16" t="str">
        <f t="shared" si="83"/>
        <v/>
      </c>
      <c r="MN9" s="16" t="str">
        <f t="shared" si="84"/>
        <v/>
      </c>
      <c r="MO9" s="16" t="str">
        <f t="shared" si="85"/>
        <v/>
      </c>
      <c r="MP9" s="54"/>
      <c r="MQ9" s="54"/>
      <c r="MR9" s="54"/>
      <c r="MS9" s="54"/>
      <c r="MT9" s="54"/>
      <c r="MU9" s="54"/>
      <c r="MV9" s="54"/>
      <c r="MW9" s="54"/>
      <c r="MX9" s="54"/>
      <c r="MY9" s="54"/>
      <c r="MZ9" s="54"/>
      <c r="NA9" s="54"/>
      <c r="NB9" s="54"/>
      <c r="NC9" s="54"/>
      <c r="ND9" s="54"/>
      <c r="NE9" s="54"/>
      <c r="NF9" s="54"/>
      <c r="NG9" s="54"/>
      <c r="NH9" s="54"/>
      <c r="NI9" s="54"/>
      <c r="NJ9" s="54"/>
      <c r="NK9" s="54"/>
      <c r="NL9" s="54"/>
      <c r="NM9" s="54"/>
      <c r="NN9" s="13" t="str">
        <f t="shared" si="86"/>
        <v/>
      </c>
      <c r="NO9" s="13" t="str">
        <f t="shared" si="87"/>
        <v/>
      </c>
      <c r="NP9" s="13" t="str">
        <f t="shared" si="88"/>
        <v/>
      </c>
      <c r="NQ9" s="13" t="str">
        <f t="shared" si="89"/>
        <v/>
      </c>
      <c r="NR9" s="13" t="str">
        <f t="shared" si="90"/>
        <v/>
      </c>
      <c r="NS9" s="13" t="str">
        <f t="shared" si="91"/>
        <v/>
      </c>
      <c r="NT9" s="53"/>
      <c r="NU9" s="53"/>
      <c r="NV9" s="53"/>
      <c r="NW9" s="53"/>
      <c r="NX9" s="53"/>
      <c r="NY9" s="53"/>
      <c r="NZ9" s="53"/>
      <c r="OA9" s="53"/>
      <c r="OB9" s="53"/>
      <c r="OC9" s="53"/>
      <c r="OD9" s="53"/>
      <c r="OE9" s="53"/>
      <c r="OF9" s="53"/>
      <c r="OG9" s="53"/>
      <c r="OH9" s="53"/>
      <c r="OI9" s="53"/>
      <c r="OJ9" s="53"/>
      <c r="OK9" s="53"/>
      <c r="OL9" s="53"/>
      <c r="OM9" s="53"/>
      <c r="ON9" s="53"/>
      <c r="OO9" s="53"/>
      <c r="OP9" s="53"/>
      <c r="OQ9" s="53"/>
      <c r="OR9" s="16" t="str">
        <f t="shared" si="92"/>
        <v/>
      </c>
      <c r="OS9" s="16" t="str">
        <f t="shared" si="93"/>
        <v/>
      </c>
      <c r="OT9" s="16" t="str">
        <f t="shared" si="94"/>
        <v/>
      </c>
      <c r="OU9" s="16" t="str">
        <f t="shared" si="95"/>
        <v/>
      </c>
      <c r="OV9" s="16" t="str">
        <f t="shared" si="96"/>
        <v/>
      </c>
      <c r="OW9" s="16" t="str">
        <f t="shared" si="97"/>
        <v/>
      </c>
      <c r="OX9" s="54"/>
      <c r="OY9" s="54"/>
      <c r="OZ9" s="54"/>
      <c r="PA9" s="54"/>
      <c r="PB9" s="54"/>
      <c r="PC9" s="54"/>
      <c r="PD9" s="54"/>
      <c r="PE9" s="54"/>
      <c r="PF9" s="54"/>
      <c r="PG9" s="54"/>
      <c r="PH9" s="54"/>
      <c r="PI9" s="54"/>
      <c r="PJ9" s="54"/>
      <c r="PK9" s="54"/>
      <c r="PL9" s="54"/>
      <c r="PM9" s="54"/>
      <c r="PN9" s="54"/>
      <c r="PO9" s="54"/>
      <c r="PP9" s="54"/>
      <c r="PQ9" s="54"/>
      <c r="PR9" s="54"/>
      <c r="PS9" s="54"/>
      <c r="PT9" s="54"/>
      <c r="PU9" s="54"/>
      <c r="PV9" s="13" t="str">
        <f t="shared" si="98"/>
        <v/>
      </c>
      <c r="PW9" s="13" t="str">
        <f t="shared" si="99"/>
        <v/>
      </c>
      <c r="PX9" s="13" t="str">
        <f t="shared" si="100"/>
        <v/>
      </c>
      <c r="PY9" s="13" t="str">
        <f t="shared" si="101"/>
        <v/>
      </c>
      <c r="PZ9" s="13" t="str">
        <f t="shared" si="102"/>
        <v/>
      </c>
      <c r="QA9" s="13" t="str">
        <f t="shared" si="103"/>
        <v/>
      </c>
      <c r="QB9" s="53"/>
      <c r="QC9" s="53"/>
      <c r="QD9" s="53"/>
      <c r="QE9" s="53"/>
      <c r="QF9" s="53"/>
      <c r="QG9" s="53"/>
      <c r="QH9" s="53"/>
      <c r="QI9" s="53"/>
      <c r="QJ9" s="53"/>
      <c r="QK9" s="53"/>
      <c r="QL9" s="53"/>
      <c r="QM9" s="53"/>
      <c r="QN9" s="53"/>
      <c r="QO9" s="53"/>
      <c r="QP9" s="53"/>
      <c r="QQ9" s="53"/>
      <c r="QR9" s="53"/>
      <c r="QS9" s="53"/>
      <c r="QT9" s="53"/>
      <c r="QU9" s="53"/>
      <c r="QV9" s="53"/>
      <c r="QW9" s="53"/>
      <c r="QX9" s="53"/>
      <c r="QY9" s="53"/>
      <c r="QZ9" s="16" t="str">
        <f t="shared" si="104"/>
        <v/>
      </c>
      <c r="RA9" s="16" t="str">
        <f t="shared" si="105"/>
        <v/>
      </c>
      <c r="RB9" s="16" t="str">
        <f t="shared" si="106"/>
        <v/>
      </c>
      <c r="RC9" s="16" t="str">
        <f t="shared" si="107"/>
        <v/>
      </c>
      <c r="RD9" s="16" t="str">
        <f t="shared" si="108"/>
        <v/>
      </c>
      <c r="RE9" s="16" t="str">
        <f t="shared" si="109"/>
        <v/>
      </c>
    </row>
    <row r="10" spans="1:473" x14ac:dyDescent="0.2">
      <c r="A10" s="6" t="str">
        <f t="shared" si="0"/>
        <v/>
      </c>
      <c r="B10" s="9" t="s">
        <v>132</v>
      </c>
      <c r="C10" s="5" t="s">
        <v>8</v>
      </c>
      <c r="D10" s="33"/>
      <c r="E10" s="17">
        <f t="shared" si="1"/>
        <v>298.70000000000005</v>
      </c>
      <c r="F10" s="4" t="str">
        <f t="shared" si="2"/>
        <v>P</v>
      </c>
      <c r="G10" s="4" t="str">
        <f t="shared" si="3"/>
        <v>P</v>
      </c>
      <c r="H10" s="4" t="str">
        <f t="shared" si="4"/>
        <v/>
      </c>
      <c r="I10" t="str">
        <f t="shared" si="5"/>
        <v/>
      </c>
      <c r="J10" s="16">
        <f t="shared" si="6"/>
        <v>128.4</v>
      </c>
      <c r="K10" s="16" t="str">
        <f t="shared" si="7"/>
        <v>2018 Canada Cup</v>
      </c>
      <c r="L10" s="16">
        <f t="shared" si="8"/>
        <v>54.4</v>
      </c>
      <c r="M10" s="16" t="str">
        <f t="shared" si="9"/>
        <v>2018 Nationals</v>
      </c>
      <c r="N10" s="16">
        <f t="shared" si="10"/>
        <v>52.4</v>
      </c>
      <c r="O10" s="16" t="str">
        <f t="shared" si="11"/>
        <v>2018 Nationals</v>
      </c>
      <c r="P10" s="16">
        <f t="shared" si="12"/>
        <v>63.5</v>
      </c>
      <c r="Q10" s="16" t="str">
        <f t="shared" si="13"/>
        <v>2018 Nationals</v>
      </c>
      <c r="R10" s="16" t="str">
        <f t="shared" si="14"/>
        <v/>
      </c>
      <c r="S10" s="31" t="str">
        <f t="shared" si="15"/>
        <v/>
      </c>
      <c r="T10" s="16" t="str">
        <f t="shared" si="16"/>
        <v/>
      </c>
      <c r="U10" s="56"/>
      <c r="V10" s="56"/>
      <c r="W10" s="56"/>
      <c r="X10" s="56"/>
      <c r="Y10" s="56"/>
      <c r="Z10" s="56"/>
      <c r="AA10" s="56"/>
      <c r="AB10" s="56"/>
      <c r="AC10" s="56"/>
      <c r="AD10" s="56"/>
      <c r="AE10" s="56"/>
      <c r="AF10" s="56"/>
      <c r="AG10" s="56"/>
      <c r="AH10" s="56"/>
      <c r="AI10" s="56"/>
      <c r="AJ10" s="56"/>
      <c r="AK10" s="56"/>
      <c r="AL10" s="56"/>
      <c r="AM10" s="56"/>
      <c r="AN10" s="56"/>
      <c r="AO10" s="56"/>
      <c r="AP10" s="56"/>
      <c r="AQ10" s="56"/>
      <c r="AR10" s="56"/>
      <c r="AS10" s="13" t="str">
        <f t="shared" si="17"/>
        <v/>
      </c>
      <c r="AT10" s="13" t="str">
        <f t="shared" si="18"/>
        <v/>
      </c>
      <c r="AU10" s="13" t="str">
        <f t="shared" si="19"/>
        <v/>
      </c>
      <c r="AV10" s="13" t="str">
        <f t="shared" si="20"/>
        <v/>
      </c>
      <c r="AW10" s="13" t="str">
        <f t="shared" si="21"/>
        <v/>
      </c>
      <c r="AX10" s="13" t="str">
        <f t="shared" si="22"/>
        <v/>
      </c>
      <c r="AY10" s="94">
        <v>26.7</v>
      </c>
      <c r="AZ10" s="94">
        <v>6</v>
      </c>
      <c r="BA10" s="94">
        <v>0.3</v>
      </c>
      <c r="BB10" s="94">
        <v>0</v>
      </c>
      <c r="BC10" s="94">
        <v>27.1</v>
      </c>
      <c r="BD10" s="94">
        <v>5.6</v>
      </c>
      <c r="BE10" s="94">
        <v>0</v>
      </c>
      <c r="BF10" s="94">
        <v>0</v>
      </c>
      <c r="BG10" s="94">
        <v>27.1</v>
      </c>
      <c r="BH10" s="94">
        <v>5.2</v>
      </c>
      <c r="BI10" s="94">
        <v>0.9</v>
      </c>
      <c r="BJ10" s="94">
        <v>0</v>
      </c>
      <c r="BK10" s="94">
        <v>27</v>
      </c>
      <c r="BL10" s="94">
        <v>5.2</v>
      </c>
      <c r="BM10" s="94">
        <v>0.3</v>
      </c>
      <c r="BN10" s="94">
        <v>0</v>
      </c>
      <c r="BO10" s="94">
        <v>27.2</v>
      </c>
      <c r="BP10" s="94">
        <v>6</v>
      </c>
      <c r="BQ10" s="94">
        <v>0</v>
      </c>
      <c r="BR10" s="94">
        <v>0</v>
      </c>
      <c r="BS10" s="94">
        <v>19.600000000000001</v>
      </c>
      <c r="BT10" s="94">
        <v>0</v>
      </c>
      <c r="BU10" s="94">
        <v>0</v>
      </c>
      <c r="BV10" s="94">
        <v>0</v>
      </c>
      <c r="BW10" s="16">
        <f t="shared" si="23"/>
        <v>22</v>
      </c>
      <c r="BX10" s="16">
        <f t="shared" si="24"/>
        <v>65.100000000000009</v>
      </c>
      <c r="BY10" s="16">
        <f t="shared" si="25"/>
        <v>63.3</v>
      </c>
      <c r="BZ10" s="16">
        <f t="shared" si="26"/>
        <v>128.4</v>
      </c>
      <c r="CA10" s="16">
        <f t="shared" si="27"/>
        <v>52.800000000000004</v>
      </c>
      <c r="CB10" s="16">
        <f t="shared" si="28"/>
        <v>181.20000000000002</v>
      </c>
      <c r="CC10" s="86">
        <v>27</v>
      </c>
      <c r="CD10" s="86">
        <v>6</v>
      </c>
      <c r="CE10" s="86">
        <v>0.9</v>
      </c>
      <c r="CF10" s="86">
        <v>0</v>
      </c>
      <c r="CG10" s="86">
        <v>19.5</v>
      </c>
      <c r="CH10" s="86">
        <v>2.8</v>
      </c>
      <c r="CI10" s="86">
        <v>0</v>
      </c>
      <c r="CJ10" s="86">
        <v>0</v>
      </c>
      <c r="CK10" s="86">
        <v>19.600000000000001</v>
      </c>
      <c r="CL10" s="86">
        <v>2.4</v>
      </c>
      <c r="CM10" s="86">
        <v>0</v>
      </c>
      <c r="CN10" s="86">
        <v>0</v>
      </c>
      <c r="CO10" s="86">
        <v>26.9</v>
      </c>
      <c r="CP10" s="86">
        <v>4.4000000000000004</v>
      </c>
      <c r="CQ10" s="86">
        <v>0.9</v>
      </c>
      <c r="CR10" s="86">
        <v>0</v>
      </c>
      <c r="CS10" s="86">
        <v>27.2</v>
      </c>
      <c r="CT10" s="86">
        <v>6</v>
      </c>
      <c r="CU10" s="86">
        <v>0.3</v>
      </c>
      <c r="CV10" s="86">
        <v>0</v>
      </c>
      <c r="CW10" s="86">
        <v>27.8</v>
      </c>
      <c r="CX10" s="86">
        <v>2.8</v>
      </c>
      <c r="CY10" s="86">
        <v>0</v>
      </c>
      <c r="CZ10" s="86">
        <v>0</v>
      </c>
      <c r="DA10" s="13">
        <f t="shared" si="29"/>
        <v>15.600000000000001</v>
      </c>
      <c r="DB10" s="13">
        <f t="shared" si="30"/>
        <v>54.4</v>
      </c>
      <c r="DC10" s="13">
        <f t="shared" si="31"/>
        <v>52.4</v>
      </c>
      <c r="DD10" s="13">
        <f t="shared" si="32"/>
        <v>106.80000000000003</v>
      </c>
      <c r="DE10" s="13">
        <f t="shared" si="33"/>
        <v>63.5</v>
      </c>
      <c r="DF10" s="13">
        <f t="shared" si="34"/>
        <v>170.3</v>
      </c>
      <c r="DG10" s="30" t="str">
        <f t="shared" si="35"/>
        <v/>
      </c>
      <c r="DH10" s="30" t="str">
        <f t="shared" si="36"/>
        <v/>
      </c>
      <c r="DI10" s="30" t="str">
        <f t="shared" si="37"/>
        <v/>
      </c>
      <c r="DJ10" s="54"/>
      <c r="DK10" s="54"/>
      <c r="DL10" s="54"/>
      <c r="DM10" s="54"/>
      <c r="DN10" s="54"/>
      <c r="DO10" s="54"/>
      <c r="DP10" s="54"/>
      <c r="DQ10" s="54"/>
      <c r="DR10" s="54"/>
      <c r="DS10" s="54"/>
      <c r="DT10" s="54"/>
      <c r="DU10" s="54"/>
      <c r="DV10" s="54"/>
      <c r="DW10" s="54"/>
      <c r="DX10" s="54"/>
      <c r="DY10" s="54"/>
      <c r="DZ10" s="54"/>
      <c r="EA10" s="54"/>
      <c r="EB10" s="54"/>
      <c r="EC10" s="54"/>
      <c r="ED10" s="54"/>
      <c r="EE10" s="54"/>
      <c r="EF10" s="54"/>
      <c r="EG10" s="54"/>
      <c r="EH10" s="13" t="str">
        <f t="shared" si="38"/>
        <v/>
      </c>
      <c r="EI10" s="13" t="str">
        <f t="shared" si="39"/>
        <v/>
      </c>
      <c r="EJ10" s="13" t="str">
        <f t="shared" si="40"/>
        <v/>
      </c>
      <c r="EK10" s="13" t="str">
        <f t="shared" si="41"/>
        <v/>
      </c>
      <c r="EL10" s="13" t="str">
        <f t="shared" si="42"/>
        <v/>
      </c>
      <c r="EM10" s="13" t="str">
        <f t="shared" si="43"/>
        <v/>
      </c>
      <c r="EN10" s="53"/>
      <c r="EO10" s="53"/>
      <c r="EP10" s="53"/>
      <c r="EQ10" s="53"/>
      <c r="ER10" s="53"/>
      <c r="ES10" s="53"/>
      <c r="ET10" s="53"/>
      <c r="EU10" s="53"/>
      <c r="EV10" s="53"/>
      <c r="EW10" s="53"/>
      <c r="EX10" s="53"/>
      <c r="EY10" s="53"/>
      <c r="EZ10" s="53"/>
      <c r="FA10" s="53"/>
      <c r="FB10" s="53"/>
      <c r="FC10" s="53"/>
      <c r="FD10" s="53"/>
      <c r="FE10" s="53"/>
      <c r="FF10" s="53"/>
      <c r="FG10" s="53"/>
      <c r="FH10" s="53"/>
      <c r="FI10" s="53"/>
      <c r="FJ10" s="53"/>
      <c r="FK10" s="53"/>
      <c r="FL10" s="16" t="str">
        <f t="shared" si="44"/>
        <v/>
      </c>
      <c r="FM10" s="16" t="str">
        <f t="shared" si="45"/>
        <v/>
      </c>
      <c r="FN10" s="16" t="str">
        <f t="shared" si="46"/>
        <v/>
      </c>
      <c r="FO10" s="16" t="str">
        <f t="shared" si="47"/>
        <v/>
      </c>
      <c r="FP10" s="16" t="str">
        <f t="shared" si="48"/>
        <v/>
      </c>
      <c r="FQ10" s="16" t="str">
        <f t="shared" si="49"/>
        <v/>
      </c>
      <c r="FR10" s="54"/>
      <c r="FS10" s="54"/>
      <c r="FT10" s="54"/>
      <c r="FU10" s="54"/>
      <c r="FV10" s="54"/>
      <c r="FW10" s="54"/>
      <c r="FX10" s="54"/>
      <c r="FY10" s="54"/>
      <c r="FZ10" s="54"/>
      <c r="GA10" s="54"/>
      <c r="GB10" s="54"/>
      <c r="GC10" s="54"/>
      <c r="GD10" s="54"/>
      <c r="GE10" s="54"/>
      <c r="GF10" s="54"/>
      <c r="GG10" s="54"/>
      <c r="GH10" s="54"/>
      <c r="GI10" s="54"/>
      <c r="GJ10" s="54"/>
      <c r="GK10" s="54"/>
      <c r="GL10" s="54"/>
      <c r="GM10" s="54"/>
      <c r="GN10" s="54"/>
      <c r="GO10" s="54"/>
      <c r="GP10" s="13" t="str">
        <f t="shared" si="50"/>
        <v/>
      </c>
      <c r="GQ10" s="13" t="str">
        <f t="shared" si="51"/>
        <v/>
      </c>
      <c r="GR10" s="13" t="str">
        <f t="shared" si="52"/>
        <v/>
      </c>
      <c r="GS10" s="13" t="str">
        <f t="shared" si="53"/>
        <v/>
      </c>
      <c r="GT10" s="13" t="str">
        <f t="shared" si="54"/>
        <v/>
      </c>
      <c r="GU10" s="13" t="str">
        <f t="shared" si="55"/>
        <v/>
      </c>
      <c r="GV10" s="53"/>
      <c r="GW10" s="53"/>
      <c r="GX10" s="53"/>
      <c r="GY10" s="53"/>
      <c r="GZ10" s="53"/>
      <c r="HA10" s="53"/>
      <c r="HB10" s="53"/>
      <c r="HC10" s="53"/>
      <c r="HD10" s="53"/>
      <c r="HE10" s="53"/>
      <c r="HF10" s="53"/>
      <c r="HG10" s="53"/>
      <c r="HH10" s="53"/>
      <c r="HI10" s="53"/>
      <c r="HJ10" s="53"/>
      <c r="HK10" s="53"/>
      <c r="HL10" s="53"/>
      <c r="HM10" s="53"/>
      <c r="HN10" s="53"/>
      <c r="HO10" s="53"/>
      <c r="HP10" s="53"/>
      <c r="HQ10" s="53"/>
      <c r="HR10" s="53"/>
      <c r="HS10" s="53"/>
      <c r="HT10" s="16" t="str">
        <f t="shared" si="56"/>
        <v/>
      </c>
      <c r="HU10" s="16" t="str">
        <f t="shared" si="57"/>
        <v/>
      </c>
      <c r="HV10" s="16" t="str">
        <f t="shared" si="58"/>
        <v/>
      </c>
      <c r="HW10" s="16" t="str">
        <f t="shared" si="59"/>
        <v/>
      </c>
      <c r="HX10" s="16" t="str">
        <f t="shared" si="60"/>
        <v/>
      </c>
      <c r="HY10" s="16" t="str">
        <f t="shared" si="61"/>
        <v/>
      </c>
      <c r="HZ10" s="54"/>
      <c r="IA10" s="54"/>
      <c r="IB10" s="54"/>
      <c r="IC10" s="54"/>
      <c r="ID10" s="54"/>
      <c r="IE10" s="54"/>
      <c r="IF10" s="54"/>
      <c r="IG10" s="54"/>
      <c r="IH10" s="54"/>
      <c r="II10" s="54"/>
      <c r="IJ10" s="54"/>
      <c r="IK10" s="54"/>
      <c r="IL10" s="54"/>
      <c r="IM10" s="54"/>
      <c r="IN10" s="54"/>
      <c r="IO10" s="54"/>
      <c r="IP10" s="54"/>
      <c r="IQ10" s="54"/>
      <c r="IR10" s="54"/>
      <c r="IS10" s="54"/>
      <c r="IT10" s="54"/>
      <c r="IU10" s="54"/>
      <c r="IV10" s="54"/>
      <c r="IW10" s="54"/>
      <c r="IX10" s="13" t="str">
        <f t="shared" si="62"/>
        <v/>
      </c>
      <c r="IY10" s="13" t="str">
        <f t="shared" si="63"/>
        <v/>
      </c>
      <c r="IZ10" s="13" t="str">
        <f t="shared" si="64"/>
        <v/>
      </c>
      <c r="JA10" s="13" t="str">
        <f t="shared" si="65"/>
        <v/>
      </c>
      <c r="JB10" s="13" t="str">
        <f t="shared" si="66"/>
        <v/>
      </c>
      <c r="JC10" s="13" t="str">
        <f t="shared" si="67"/>
        <v/>
      </c>
      <c r="JD10" s="53"/>
      <c r="JE10" s="53"/>
      <c r="JF10" s="53"/>
      <c r="JG10" s="53"/>
      <c r="JH10" s="53"/>
      <c r="JI10" s="53"/>
      <c r="JJ10" s="53"/>
      <c r="JK10" s="53"/>
      <c r="JL10" s="53"/>
      <c r="JM10" s="53"/>
      <c r="JN10" s="53"/>
      <c r="JO10" s="53"/>
      <c r="JP10" s="53"/>
      <c r="JQ10" s="53"/>
      <c r="JR10" s="53"/>
      <c r="JS10" s="53"/>
      <c r="JT10" s="53"/>
      <c r="JU10" s="53"/>
      <c r="JV10" s="53"/>
      <c r="JW10" s="53"/>
      <c r="JX10" s="53"/>
      <c r="JY10" s="53"/>
      <c r="JZ10" s="53"/>
      <c r="KA10" s="53"/>
      <c r="KB10" s="16" t="str">
        <f t="shared" si="68"/>
        <v/>
      </c>
      <c r="KC10" s="16" t="str">
        <f t="shared" si="69"/>
        <v/>
      </c>
      <c r="KD10" s="16" t="str">
        <f t="shared" si="70"/>
        <v/>
      </c>
      <c r="KE10" s="16" t="str">
        <f t="shared" si="71"/>
        <v/>
      </c>
      <c r="KF10" s="16" t="str">
        <f t="shared" si="72"/>
        <v/>
      </c>
      <c r="KG10" s="16" t="str">
        <f t="shared" si="73"/>
        <v/>
      </c>
      <c r="KH10" s="54"/>
      <c r="KI10" s="54"/>
      <c r="KJ10" s="54"/>
      <c r="KK10" s="54"/>
      <c r="KL10" s="54"/>
      <c r="KM10" s="54"/>
      <c r="KN10" s="54"/>
      <c r="KO10" s="54"/>
      <c r="KP10" s="54"/>
      <c r="KQ10" s="54"/>
      <c r="KR10" s="54"/>
      <c r="KS10" s="54"/>
      <c r="KT10" s="54"/>
      <c r="KU10" s="54"/>
      <c r="KV10" s="54"/>
      <c r="KW10" s="54"/>
      <c r="KX10" s="54"/>
      <c r="KY10" s="54"/>
      <c r="KZ10" s="54"/>
      <c r="LA10" s="54"/>
      <c r="LB10" s="54"/>
      <c r="LC10" s="54"/>
      <c r="LD10" s="54"/>
      <c r="LE10" s="54"/>
      <c r="LF10" s="13" t="str">
        <f t="shared" si="74"/>
        <v/>
      </c>
      <c r="LG10" s="13" t="str">
        <f t="shared" si="75"/>
        <v/>
      </c>
      <c r="LH10" s="13" t="str">
        <f t="shared" si="76"/>
        <v/>
      </c>
      <c r="LI10" s="13" t="str">
        <f t="shared" si="77"/>
        <v/>
      </c>
      <c r="LJ10" s="13" t="str">
        <f t="shared" si="78"/>
        <v/>
      </c>
      <c r="LK10" s="13" t="str">
        <f t="shared" si="79"/>
        <v/>
      </c>
      <c r="LL10" s="53"/>
      <c r="LM10" s="53"/>
      <c r="LN10" s="53"/>
      <c r="LO10" s="53"/>
      <c r="LP10" s="53"/>
      <c r="LQ10" s="53"/>
      <c r="LR10" s="53"/>
      <c r="LS10" s="53"/>
      <c r="LT10" s="53"/>
      <c r="LU10" s="53"/>
      <c r="LV10" s="53"/>
      <c r="LW10" s="53"/>
      <c r="LX10" s="53"/>
      <c r="LY10" s="53"/>
      <c r="LZ10" s="53"/>
      <c r="MA10" s="53"/>
      <c r="MB10" s="53"/>
      <c r="MC10" s="53"/>
      <c r="MD10" s="53"/>
      <c r="ME10" s="53"/>
      <c r="MF10" s="53"/>
      <c r="MG10" s="53"/>
      <c r="MH10" s="53"/>
      <c r="MI10" s="53"/>
      <c r="MJ10" s="16" t="str">
        <f t="shared" si="80"/>
        <v/>
      </c>
      <c r="MK10" s="16" t="str">
        <f t="shared" si="81"/>
        <v/>
      </c>
      <c r="ML10" s="16" t="str">
        <f t="shared" si="82"/>
        <v/>
      </c>
      <c r="MM10" s="16" t="str">
        <f t="shared" si="83"/>
        <v/>
      </c>
      <c r="MN10" s="16" t="str">
        <f t="shared" si="84"/>
        <v/>
      </c>
      <c r="MO10" s="16" t="str">
        <f t="shared" si="85"/>
        <v/>
      </c>
      <c r="MP10" s="54"/>
      <c r="MQ10" s="54"/>
      <c r="MR10" s="54"/>
      <c r="MS10" s="54"/>
      <c r="MT10" s="54"/>
      <c r="MU10" s="54"/>
      <c r="MV10" s="54"/>
      <c r="MW10" s="54"/>
      <c r="MX10" s="54"/>
      <c r="MY10" s="54"/>
      <c r="MZ10" s="54"/>
      <c r="NA10" s="54"/>
      <c r="NB10" s="54"/>
      <c r="NC10" s="54"/>
      <c r="ND10" s="54"/>
      <c r="NE10" s="54"/>
      <c r="NF10" s="54"/>
      <c r="NG10" s="54"/>
      <c r="NH10" s="54"/>
      <c r="NI10" s="54"/>
      <c r="NJ10" s="54"/>
      <c r="NK10" s="54"/>
      <c r="NL10" s="54"/>
      <c r="NM10" s="54"/>
      <c r="NN10" s="13" t="str">
        <f t="shared" si="86"/>
        <v/>
      </c>
      <c r="NO10" s="13" t="str">
        <f t="shared" si="87"/>
        <v/>
      </c>
      <c r="NP10" s="13" t="str">
        <f t="shared" si="88"/>
        <v/>
      </c>
      <c r="NQ10" s="13" t="str">
        <f t="shared" si="89"/>
        <v/>
      </c>
      <c r="NR10" s="13" t="str">
        <f t="shared" si="90"/>
        <v/>
      </c>
      <c r="NS10" s="13" t="str">
        <f t="shared" si="91"/>
        <v/>
      </c>
      <c r="NT10" s="53"/>
      <c r="NU10" s="53"/>
      <c r="NV10" s="53"/>
      <c r="NW10" s="53"/>
      <c r="NX10" s="53"/>
      <c r="NY10" s="53"/>
      <c r="NZ10" s="53"/>
      <c r="OA10" s="53"/>
      <c r="OB10" s="53"/>
      <c r="OC10" s="53"/>
      <c r="OD10" s="53"/>
      <c r="OE10" s="53"/>
      <c r="OF10" s="53"/>
      <c r="OG10" s="53"/>
      <c r="OH10" s="53"/>
      <c r="OI10" s="53"/>
      <c r="OJ10" s="53"/>
      <c r="OK10" s="53"/>
      <c r="OL10" s="53"/>
      <c r="OM10" s="53"/>
      <c r="ON10" s="53"/>
      <c r="OO10" s="53"/>
      <c r="OP10" s="53"/>
      <c r="OQ10" s="53"/>
      <c r="OR10" s="16" t="str">
        <f t="shared" si="92"/>
        <v/>
      </c>
      <c r="OS10" s="16" t="str">
        <f t="shared" si="93"/>
        <v/>
      </c>
      <c r="OT10" s="16" t="str">
        <f t="shared" si="94"/>
        <v/>
      </c>
      <c r="OU10" s="16" t="str">
        <f t="shared" si="95"/>
        <v/>
      </c>
      <c r="OV10" s="16" t="str">
        <f t="shared" si="96"/>
        <v/>
      </c>
      <c r="OW10" s="16" t="str">
        <f t="shared" si="97"/>
        <v/>
      </c>
      <c r="OX10" s="54"/>
      <c r="OY10" s="54"/>
      <c r="OZ10" s="54"/>
      <c r="PA10" s="54"/>
      <c r="PB10" s="54"/>
      <c r="PC10" s="54"/>
      <c r="PD10" s="54"/>
      <c r="PE10" s="54"/>
      <c r="PF10" s="54"/>
      <c r="PG10" s="54"/>
      <c r="PH10" s="54"/>
      <c r="PI10" s="54"/>
      <c r="PJ10" s="54"/>
      <c r="PK10" s="54"/>
      <c r="PL10" s="54"/>
      <c r="PM10" s="54"/>
      <c r="PN10" s="54"/>
      <c r="PO10" s="54"/>
      <c r="PP10" s="54"/>
      <c r="PQ10" s="54"/>
      <c r="PR10" s="54"/>
      <c r="PS10" s="54"/>
      <c r="PT10" s="54"/>
      <c r="PU10" s="54"/>
      <c r="PV10" s="13" t="str">
        <f t="shared" si="98"/>
        <v/>
      </c>
      <c r="PW10" s="13" t="str">
        <f t="shared" si="99"/>
        <v/>
      </c>
      <c r="PX10" s="13" t="str">
        <f t="shared" si="100"/>
        <v/>
      </c>
      <c r="PY10" s="13" t="str">
        <f t="shared" si="101"/>
        <v/>
      </c>
      <c r="PZ10" s="13" t="str">
        <f t="shared" si="102"/>
        <v/>
      </c>
      <c r="QA10" s="13" t="str">
        <f t="shared" si="103"/>
        <v/>
      </c>
      <c r="QB10" s="53"/>
      <c r="QC10" s="53"/>
      <c r="QD10" s="53"/>
      <c r="QE10" s="53"/>
      <c r="QF10" s="53"/>
      <c r="QG10" s="53"/>
      <c r="QH10" s="53"/>
      <c r="QI10" s="53"/>
      <c r="QJ10" s="53"/>
      <c r="QK10" s="53"/>
      <c r="QL10" s="53"/>
      <c r="QM10" s="53"/>
      <c r="QN10" s="53"/>
      <c r="QO10" s="53"/>
      <c r="QP10" s="53"/>
      <c r="QQ10" s="53"/>
      <c r="QR10" s="53"/>
      <c r="QS10" s="53"/>
      <c r="QT10" s="53"/>
      <c r="QU10" s="53"/>
      <c r="QV10" s="53"/>
      <c r="QW10" s="53"/>
      <c r="QX10" s="53"/>
      <c r="QY10" s="53"/>
      <c r="QZ10" s="16" t="str">
        <f t="shared" si="104"/>
        <v/>
      </c>
      <c r="RA10" s="16" t="str">
        <f t="shared" si="105"/>
        <v/>
      </c>
      <c r="RB10" s="16" t="str">
        <f t="shared" si="106"/>
        <v/>
      </c>
      <c r="RC10" s="16" t="str">
        <f t="shared" si="107"/>
        <v/>
      </c>
      <c r="RD10" s="16" t="str">
        <f t="shared" si="108"/>
        <v/>
      </c>
      <c r="RE10" s="16" t="str">
        <f t="shared" si="109"/>
        <v/>
      </c>
    </row>
    <row r="11" spans="1:473" x14ac:dyDescent="0.2">
      <c r="A11" s="6">
        <f t="shared" si="0"/>
        <v>7</v>
      </c>
      <c r="B11" s="9" t="s">
        <v>64</v>
      </c>
      <c r="C11" s="5" t="s">
        <v>8</v>
      </c>
      <c r="D11" s="33">
        <v>2013</v>
      </c>
      <c r="E11" s="17">
        <f t="shared" si="1"/>
        <v>338.22499999999997</v>
      </c>
      <c r="F11" s="4" t="str">
        <f t="shared" si="2"/>
        <v/>
      </c>
      <c r="G11" s="4" t="str">
        <f t="shared" si="3"/>
        <v/>
      </c>
      <c r="H11" s="4" t="str">
        <f t="shared" si="4"/>
        <v>P</v>
      </c>
      <c r="I11" t="str">
        <f t="shared" si="5"/>
        <v/>
      </c>
      <c r="J11" s="16">
        <f t="shared" si="6"/>
        <v>131.75</v>
      </c>
      <c r="K11" s="16" t="str">
        <f t="shared" si="7"/>
        <v>2017 3rd Domestic Trial</v>
      </c>
      <c r="L11" s="16">
        <f t="shared" si="8"/>
        <v>61.225000000000001</v>
      </c>
      <c r="M11" s="16" t="str">
        <f t="shared" si="9"/>
        <v>2018 Nationals</v>
      </c>
      <c r="N11" s="16">
        <f t="shared" si="10"/>
        <v>67.850000000000009</v>
      </c>
      <c r="O11" s="16" t="str">
        <f t="shared" si="11"/>
        <v>2018 Nationals</v>
      </c>
      <c r="P11" s="16">
        <f t="shared" si="12"/>
        <v>71.325000000000003</v>
      </c>
      <c r="Q11" s="16" t="str">
        <f t="shared" si="13"/>
        <v>2018 Nationals</v>
      </c>
      <c r="R11" s="16">
        <f t="shared" si="14"/>
        <v>6.0749999999999957</v>
      </c>
      <c r="S11" s="31" t="str">
        <f t="shared" si="15"/>
        <v>(Pass 1-2)</v>
      </c>
      <c r="T11" s="16" t="str">
        <f t="shared" si="16"/>
        <v>Ciudad de Valladolid (Oct)</v>
      </c>
      <c r="U11" s="59">
        <v>31.774999999999999</v>
      </c>
      <c r="V11" s="59">
        <v>0</v>
      </c>
      <c r="W11" s="59">
        <v>0</v>
      </c>
      <c r="X11" s="59">
        <v>0</v>
      </c>
      <c r="Y11" s="59">
        <v>31.774999999999999</v>
      </c>
      <c r="Z11" s="59">
        <v>0</v>
      </c>
      <c r="AA11" s="59">
        <v>0</v>
      </c>
      <c r="AB11" s="59">
        <v>0</v>
      </c>
      <c r="AC11" s="59">
        <v>34.1</v>
      </c>
      <c r="AD11" s="59">
        <v>0</v>
      </c>
      <c r="AE11" s="59">
        <v>0</v>
      </c>
      <c r="AF11" s="59">
        <v>0</v>
      </c>
      <c r="AG11" s="59">
        <v>34.1</v>
      </c>
      <c r="AH11" s="59">
        <v>0</v>
      </c>
      <c r="AI11" s="59">
        <v>0</v>
      </c>
      <c r="AJ11" s="59">
        <v>0</v>
      </c>
      <c r="AK11" s="59">
        <v>35.524999999999999</v>
      </c>
      <c r="AL11" s="59">
        <v>0</v>
      </c>
      <c r="AM11" s="59">
        <v>0</v>
      </c>
      <c r="AN11" s="59">
        <v>0</v>
      </c>
      <c r="AO11" s="59">
        <v>35.524999999999999</v>
      </c>
      <c r="AP11" s="59">
        <v>0</v>
      </c>
      <c r="AQ11" s="59">
        <v>0</v>
      </c>
      <c r="AR11" s="59">
        <v>0</v>
      </c>
      <c r="AS11" s="13" t="str">
        <f t="shared" si="17"/>
        <v/>
      </c>
      <c r="AT11" s="13">
        <f t="shared" si="18"/>
        <v>63.55</v>
      </c>
      <c r="AU11" s="13">
        <f t="shared" si="19"/>
        <v>68.2</v>
      </c>
      <c r="AV11" s="13">
        <f t="shared" si="20"/>
        <v>131.75</v>
      </c>
      <c r="AW11" s="13">
        <f t="shared" si="21"/>
        <v>71.05</v>
      </c>
      <c r="AX11" s="13">
        <f t="shared" si="22"/>
        <v>202.8</v>
      </c>
      <c r="AY11" s="57">
        <v>30.037500000000001</v>
      </c>
      <c r="AZ11" s="57">
        <v>3.4</v>
      </c>
      <c r="BA11" s="57">
        <v>0</v>
      </c>
      <c r="BB11" s="57">
        <v>0.15</v>
      </c>
      <c r="BC11" s="57">
        <v>25.787500000000001</v>
      </c>
      <c r="BD11" s="57">
        <v>1.6</v>
      </c>
      <c r="BE11" s="57">
        <v>0</v>
      </c>
      <c r="BF11" s="57">
        <v>0.25</v>
      </c>
      <c r="BG11" s="57">
        <v>31.3</v>
      </c>
      <c r="BH11" s="57">
        <v>3</v>
      </c>
      <c r="BI11" s="57">
        <v>0.45</v>
      </c>
      <c r="BJ11" s="57">
        <v>0.25</v>
      </c>
      <c r="BK11" s="57">
        <v>30.85</v>
      </c>
      <c r="BL11" s="57">
        <v>3.2</v>
      </c>
      <c r="BM11" s="57">
        <v>0.45</v>
      </c>
      <c r="BN11" s="57">
        <v>0.15</v>
      </c>
      <c r="BO11" s="58">
        <v>32.012500000000003</v>
      </c>
      <c r="BP11" s="58">
        <v>3.4</v>
      </c>
      <c r="BQ11" s="58">
        <v>0</v>
      </c>
      <c r="BR11" s="58">
        <v>0.25</v>
      </c>
      <c r="BS11" s="58">
        <v>31.912500000000001</v>
      </c>
      <c r="BT11" s="58">
        <v>3.6</v>
      </c>
      <c r="BU11" s="58">
        <v>0</v>
      </c>
      <c r="BV11" s="58">
        <v>0.15</v>
      </c>
      <c r="BW11" s="16">
        <f t="shared" si="23"/>
        <v>11.2</v>
      </c>
      <c r="BX11" s="16">
        <f t="shared" si="24"/>
        <v>61.225000000000001</v>
      </c>
      <c r="BY11" s="16">
        <f t="shared" si="25"/>
        <v>67.850000000000009</v>
      </c>
      <c r="BZ11" s="16">
        <f t="shared" si="26"/>
        <v>129.07499999999999</v>
      </c>
      <c r="CA11" s="16">
        <f t="shared" si="27"/>
        <v>71.325000000000003</v>
      </c>
      <c r="CB11" s="16">
        <f t="shared" si="28"/>
        <v>200.39999999999998</v>
      </c>
      <c r="CC11" s="56">
        <v>30.037500000000001</v>
      </c>
      <c r="CD11" s="56">
        <v>3.4</v>
      </c>
      <c r="CE11" s="56">
        <v>0</v>
      </c>
      <c r="CF11" s="56">
        <v>0.15</v>
      </c>
      <c r="CG11" s="56">
        <v>25.787500000000001</v>
      </c>
      <c r="CH11" s="56">
        <v>1.6</v>
      </c>
      <c r="CI11" s="56">
        <v>0</v>
      </c>
      <c r="CJ11" s="56">
        <v>0.25</v>
      </c>
      <c r="CK11" s="56">
        <v>31.3</v>
      </c>
      <c r="CL11" s="56">
        <v>3</v>
      </c>
      <c r="CM11" s="56">
        <v>0.45</v>
      </c>
      <c r="CN11" s="56">
        <v>0.25</v>
      </c>
      <c r="CO11" s="56">
        <v>30.85</v>
      </c>
      <c r="CP11" s="56">
        <v>3.2</v>
      </c>
      <c r="CQ11" s="56">
        <v>0.45</v>
      </c>
      <c r="CR11" s="56">
        <v>0.15</v>
      </c>
      <c r="CS11" s="59">
        <v>32.012500000000003</v>
      </c>
      <c r="CT11" s="59">
        <v>3.4</v>
      </c>
      <c r="CU11" s="59">
        <v>0</v>
      </c>
      <c r="CV11" s="59">
        <v>0.25</v>
      </c>
      <c r="CW11" s="59">
        <v>31.912500000000001</v>
      </c>
      <c r="CX11" s="59">
        <v>3.6</v>
      </c>
      <c r="CY11" s="59">
        <v>0</v>
      </c>
      <c r="CZ11" s="59">
        <v>0.15</v>
      </c>
      <c r="DA11" s="13">
        <f t="shared" si="29"/>
        <v>11.2</v>
      </c>
      <c r="DB11" s="13">
        <f t="shared" si="30"/>
        <v>61.225000000000001</v>
      </c>
      <c r="DC11" s="13">
        <f t="shared" si="31"/>
        <v>67.850000000000009</v>
      </c>
      <c r="DD11" s="13">
        <f t="shared" si="32"/>
        <v>129.07499999999999</v>
      </c>
      <c r="DE11" s="13">
        <f t="shared" si="33"/>
        <v>71.325000000000003</v>
      </c>
      <c r="DF11" s="13">
        <f t="shared" si="34"/>
        <v>200.39999999999998</v>
      </c>
      <c r="DG11" s="30">
        <f t="shared" si="35"/>
        <v>6.0749999999999957</v>
      </c>
      <c r="DH11" s="30" t="str">
        <f t="shared" si="36"/>
        <v/>
      </c>
      <c r="DI11" s="30" t="str">
        <f t="shared" si="37"/>
        <v/>
      </c>
      <c r="DJ11" s="54">
        <v>27.8</v>
      </c>
      <c r="DK11" s="54">
        <v>6</v>
      </c>
      <c r="DL11" s="54">
        <v>0.9</v>
      </c>
      <c r="DM11" s="54">
        <v>0</v>
      </c>
      <c r="DN11" s="54">
        <v>28</v>
      </c>
      <c r="DO11" s="54">
        <v>6</v>
      </c>
      <c r="DP11" s="54">
        <v>0</v>
      </c>
      <c r="DQ11" s="54">
        <v>0</v>
      </c>
      <c r="DR11" s="54"/>
      <c r="DS11" s="54"/>
      <c r="DT11" s="54"/>
      <c r="DU11" s="54"/>
      <c r="DV11" s="54"/>
      <c r="DW11" s="54"/>
      <c r="DX11" s="54"/>
      <c r="DY11" s="54"/>
      <c r="DZ11" s="54">
        <v>28.1</v>
      </c>
      <c r="EA11" s="54">
        <v>7.6</v>
      </c>
      <c r="EB11" s="54">
        <v>0</v>
      </c>
      <c r="EC11" s="54">
        <v>0</v>
      </c>
      <c r="ED11" s="54">
        <v>28.1</v>
      </c>
      <c r="EE11" s="54">
        <v>7.2</v>
      </c>
      <c r="EF11" s="54">
        <v>0</v>
      </c>
      <c r="EG11" s="54">
        <v>0</v>
      </c>
      <c r="EH11" s="13">
        <f t="shared" si="38"/>
        <v>12</v>
      </c>
      <c r="EI11" s="13">
        <f t="shared" si="39"/>
        <v>66.899999999999991</v>
      </c>
      <c r="EJ11" s="13" t="str">
        <f t="shared" si="40"/>
        <v/>
      </c>
      <c r="EK11" s="13">
        <f t="shared" si="41"/>
        <v>66.899999999999991</v>
      </c>
      <c r="EL11" s="13">
        <f t="shared" si="42"/>
        <v>71</v>
      </c>
      <c r="EM11" s="13">
        <f t="shared" si="43"/>
        <v>137.89999999999998</v>
      </c>
      <c r="EN11" s="53">
        <v>27.6</v>
      </c>
      <c r="EO11" s="53">
        <v>6.8</v>
      </c>
      <c r="EP11" s="53">
        <v>1.2</v>
      </c>
      <c r="EQ11" s="53">
        <v>0</v>
      </c>
      <c r="ER11" s="53">
        <v>28.5</v>
      </c>
      <c r="ES11" s="53">
        <v>5.6</v>
      </c>
      <c r="ET11" s="53">
        <v>0</v>
      </c>
      <c r="EU11" s="53">
        <v>0</v>
      </c>
      <c r="EV11" s="53"/>
      <c r="EW11" s="53"/>
      <c r="EX11" s="53"/>
      <c r="EY11" s="53"/>
      <c r="EZ11" s="53"/>
      <c r="FA11" s="53"/>
      <c r="FB11" s="53"/>
      <c r="FC11" s="53"/>
      <c r="FD11" s="53">
        <v>28.7</v>
      </c>
      <c r="FE11" s="53">
        <v>5.2</v>
      </c>
      <c r="FF11" s="53">
        <v>0</v>
      </c>
      <c r="FG11" s="53">
        <v>0</v>
      </c>
      <c r="FH11" s="53">
        <v>27.6</v>
      </c>
      <c r="FI11" s="53">
        <v>6.4</v>
      </c>
      <c r="FJ11" s="53">
        <v>0</v>
      </c>
      <c r="FK11" s="53">
        <v>0</v>
      </c>
      <c r="FL11" s="16">
        <f t="shared" si="44"/>
        <v>12.399999999999999</v>
      </c>
      <c r="FM11" s="16">
        <f t="shared" si="45"/>
        <v>67.3</v>
      </c>
      <c r="FN11" s="16" t="str">
        <f t="shared" si="46"/>
        <v/>
      </c>
      <c r="FO11" s="16">
        <f t="shared" si="47"/>
        <v>67.3</v>
      </c>
      <c r="FP11" s="16">
        <f t="shared" si="48"/>
        <v>67.900000000000006</v>
      </c>
      <c r="FQ11" s="16">
        <f t="shared" si="49"/>
        <v>135.19999999999999</v>
      </c>
      <c r="FR11" s="54"/>
      <c r="FS11" s="54"/>
      <c r="FT11" s="54"/>
      <c r="FU11" s="54"/>
      <c r="FV11" s="54"/>
      <c r="FW11" s="54"/>
      <c r="FX11" s="54"/>
      <c r="FY11" s="54"/>
      <c r="FZ11" s="54"/>
      <c r="GA11" s="54"/>
      <c r="GB11" s="54"/>
      <c r="GC11" s="54"/>
      <c r="GD11" s="54"/>
      <c r="GE11" s="54"/>
      <c r="GF11" s="54"/>
      <c r="GG11" s="54"/>
      <c r="GH11" s="54"/>
      <c r="GI11" s="54"/>
      <c r="GJ11" s="54"/>
      <c r="GK11" s="54"/>
      <c r="GL11" s="54"/>
      <c r="GM11" s="54"/>
      <c r="GN11" s="54"/>
      <c r="GO11" s="54"/>
      <c r="GP11" s="13" t="str">
        <f t="shared" si="50"/>
        <v/>
      </c>
      <c r="GQ11" s="13" t="str">
        <f t="shared" si="51"/>
        <v/>
      </c>
      <c r="GR11" s="13" t="str">
        <f t="shared" si="52"/>
        <v/>
      </c>
      <c r="GS11" s="13" t="str">
        <f t="shared" si="53"/>
        <v/>
      </c>
      <c r="GT11" s="13" t="str">
        <f t="shared" si="54"/>
        <v/>
      </c>
      <c r="GU11" s="13" t="str">
        <f t="shared" si="55"/>
        <v/>
      </c>
      <c r="GV11" s="53"/>
      <c r="GW11" s="53"/>
      <c r="GX11" s="53"/>
      <c r="GY11" s="53"/>
      <c r="GZ11" s="53"/>
      <c r="HA11" s="53"/>
      <c r="HB11" s="53"/>
      <c r="HC11" s="53"/>
      <c r="HD11" s="53"/>
      <c r="HE11" s="53"/>
      <c r="HF11" s="53"/>
      <c r="HG11" s="53"/>
      <c r="HH11" s="53"/>
      <c r="HI11" s="53"/>
      <c r="HJ11" s="53"/>
      <c r="HK11" s="53"/>
      <c r="HL11" s="53"/>
      <c r="HM11" s="53"/>
      <c r="HN11" s="53"/>
      <c r="HO11" s="53"/>
      <c r="HP11" s="53"/>
      <c r="HQ11" s="53"/>
      <c r="HR11" s="53"/>
      <c r="HS11" s="53"/>
      <c r="HT11" s="16" t="str">
        <f t="shared" si="56"/>
        <v/>
      </c>
      <c r="HU11" s="16" t="str">
        <f t="shared" si="57"/>
        <v/>
      </c>
      <c r="HV11" s="16" t="str">
        <f t="shared" si="58"/>
        <v/>
      </c>
      <c r="HW11" s="16" t="str">
        <f t="shared" si="59"/>
        <v/>
      </c>
      <c r="HX11" s="16" t="str">
        <f t="shared" si="60"/>
        <v/>
      </c>
      <c r="HY11" s="16" t="str">
        <f t="shared" si="61"/>
        <v/>
      </c>
      <c r="HZ11" s="54"/>
      <c r="IA11" s="54"/>
      <c r="IB11" s="54"/>
      <c r="IC11" s="54"/>
      <c r="ID11" s="54"/>
      <c r="IE11" s="54"/>
      <c r="IF11" s="54"/>
      <c r="IG11" s="54"/>
      <c r="IH11" s="54"/>
      <c r="II11" s="54"/>
      <c r="IJ11" s="54"/>
      <c r="IK11" s="54"/>
      <c r="IL11" s="54"/>
      <c r="IM11" s="54"/>
      <c r="IN11" s="54"/>
      <c r="IO11" s="54"/>
      <c r="IP11" s="54"/>
      <c r="IQ11" s="54"/>
      <c r="IR11" s="54"/>
      <c r="IS11" s="54"/>
      <c r="IT11" s="54"/>
      <c r="IU11" s="54"/>
      <c r="IV11" s="54"/>
      <c r="IW11" s="54"/>
      <c r="IX11" s="13" t="str">
        <f t="shared" si="62"/>
        <v/>
      </c>
      <c r="IY11" s="13" t="str">
        <f t="shared" si="63"/>
        <v/>
      </c>
      <c r="IZ11" s="13" t="str">
        <f t="shared" si="64"/>
        <v/>
      </c>
      <c r="JA11" s="13" t="str">
        <f t="shared" si="65"/>
        <v/>
      </c>
      <c r="JB11" s="13" t="str">
        <f t="shared" si="66"/>
        <v/>
      </c>
      <c r="JC11" s="13" t="str">
        <f t="shared" si="67"/>
        <v/>
      </c>
      <c r="JD11" s="53"/>
      <c r="JE11" s="53"/>
      <c r="JF11" s="53"/>
      <c r="JG11" s="53"/>
      <c r="JH11" s="53"/>
      <c r="JI11" s="53"/>
      <c r="JJ11" s="53"/>
      <c r="JK11" s="53"/>
      <c r="JL11" s="53"/>
      <c r="JM11" s="53"/>
      <c r="JN11" s="53"/>
      <c r="JO11" s="53"/>
      <c r="JP11" s="53"/>
      <c r="JQ11" s="53"/>
      <c r="JR11" s="53"/>
      <c r="JS11" s="53"/>
      <c r="JT11" s="53"/>
      <c r="JU11" s="53"/>
      <c r="JV11" s="53"/>
      <c r="JW11" s="53"/>
      <c r="JX11" s="53"/>
      <c r="JY11" s="53"/>
      <c r="JZ11" s="53"/>
      <c r="KA11" s="53"/>
      <c r="KB11" s="16" t="str">
        <f t="shared" si="68"/>
        <v/>
      </c>
      <c r="KC11" s="16" t="str">
        <f t="shared" si="69"/>
        <v/>
      </c>
      <c r="KD11" s="16" t="str">
        <f t="shared" si="70"/>
        <v/>
      </c>
      <c r="KE11" s="16" t="str">
        <f t="shared" si="71"/>
        <v/>
      </c>
      <c r="KF11" s="16" t="str">
        <f t="shared" si="72"/>
        <v/>
      </c>
      <c r="KG11" s="16" t="str">
        <f t="shared" si="73"/>
        <v/>
      </c>
      <c r="KH11" s="54"/>
      <c r="KI11" s="54"/>
      <c r="KJ11" s="54"/>
      <c r="KK11" s="54"/>
      <c r="KL11" s="54"/>
      <c r="KM11" s="54"/>
      <c r="KN11" s="54"/>
      <c r="KO11" s="54"/>
      <c r="KP11" s="54"/>
      <c r="KQ11" s="54"/>
      <c r="KR11" s="54"/>
      <c r="KS11" s="54"/>
      <c r="KT11" s="54"/>
      <c r="KU11" s="54"/>
      <c r="KV11" s="54"/>
      <c r="KW11" s="54"/>
      <c r="KX11" s="54"/>
      <c r="KY11" s="54"/>
      <c r="KZ11" s="54"/>
      <c r="LA11" s="54"/>
      <c r="LB11" s="54"/>
      <c r="LC11" s="54"/>
      <c r="LD11" s="54"/>
      <c r="LE11" s="54"/>
      <c r="LF11" s="13" t="str">
        <f t="shared" si="74"/>
        <v/>
      </c>
      <c r="LG11" s="13" t="str">
        <f t="shared" si="75"/>
        <v/>
      </c>
      <c r="LH11" s="13" t="str">
        <f t="shared" si="76"/>
        <v/>
      </c>
      <c r="LI11" s="13" t="str">
        <f t="shared" si="77"/>
        <v/>
      </c>
      <c r="LJ11" s="13" t="str">
        <f t="shared" si="78"/>
        <v/>
      </c>
      <c r="LK11" s="13" t="str">
        <f t="shared" si="79"/>
        <v/>
      </c>
      <c r="LL11" s="53"/>
      <c r="LM11" s="53"/>
      <c r="LN11" s="53"/>
      <c r="LO11" s="53"/>
      <c r="LP11" s="53"/>
      <c r="LQ11" s="53"/>
      <c r="LR11" s="53"/>
      <c r="LS11" s="53"/>
      <c r="LT11" s="53"/>
      <c r="LU11" s="53"/>
      <c r="LV11" s="53"/>
      <c r="LW11" s="53"/>
      <c r="LX11" s="53"/>
      <c r="LY11" s="53"/>
      <c r="LZ11" s="53"/>
      <c r="MA11" s="53"/>
      <c r="MB11" s="53"/>
      <c r="MC11" s="53"/>
      <c r="MD11" s="53"/>
      <c r="ME11" s="53"/>
      <c r="MF11" s="53"/>
      <c r="MG11" s="53"/>
      <c r="MH11" s="53"/>
      <c r="MI11" s="53"/>
      <c r="MJ11" s="16" t="str">
        <f t="shared" si="80"/>
        <v/>
      </c>
      <c r="MK11" s="16" t="str">
        <f t="shared" si="81"/>
        <v/>
      </c>
      <c r="ML11" s="16" t="str">
        <f t="shared" si="82"/>
        <v/>
      </c>
      <c r="MM11" s="16" t="str">
        <f t="shared" si="83"/>
        <v/>
      </c>
      <c r="MN11" s="16" t="str">
        <f t="shared" si="84"/>
        <v/>
      </c>
      <c r="MO11" s="16" t="str">
        <f t="shared" si="85"/>
        <v/>
      </c>
      <c r="MP11" s="54"/>
      <c r="MQ11" s="54"/>
      <c r="MR11" s="54"/>
      <c r="MS11" s="54"/>
      <c r="MT11" s="54"/>
      <c r="MU11" s="54"/>
      <c r="MV11" s="54"/>
      <c r="MW11" s="54"/>
      <c r="MX11" s="54"/>
      <c r="MY11" s="54"/>
      <c r="MZ11" s="54"/>
      <c r="NA11" s="54"/>
      <c r="NB11" s="54"/>
      <c r="NC11" s="54"/>
      <c r="ND11" s="54"/>
      <c r="NE11" s="54"/>
      <c r="NF11" s="54"/>
      <c r="NG11" s="54"/>
      <c r="NH11" s="54"/>
      <c r="NI11" s="54"/>
      <c r="NJ11" s="54"/>
      <c r="NK11" s="54"/>
      <c r="NL11" s="54"/>
      <c r="NM11" s="54"/>
      <c r="NN11" s="13" t="str">
        <f t="shared" si="86"/>
        <v/>
      </c>
      <c r="NO11" s="13" t="str">
        <f t="shared" si="87"/>
        <v/>
      </c>
      <c r="NP11" s="13" t="str">
        <f t="shared" si="88"/>
        <v/>
      </c>
      <c r="NQ11" s="13" t="str">
        <f t="shared" si="89"/>
        <v/>
      </c>
      <c r="NR11" s="13" t="str">
        <f t="shared" si="90"/>
        <v/>
      </c>
      <c r="NS11" s="13" t="str">
        <f t="shared" si="91"/>
        <v/>
      </c>
      <c r="NT11" s="53"/>
      <c r="NU11" s="53"/>
      <c r="NV11" s="53"/>
      <c r="NW11" s="53"/>
      <c r="NX11" s="53"/>
      <c r="NY11" s="53"/>
      <c r="NZ11" s="53"/>
      <c r="OA11" s="53"/>
      <c r="OB11" s="53"/>
      <c r="OC11" s="53"/>
      <c r="OD11" s="53"/>
      <c r="OE11" s="53"/>
      <c r="OF11" s="53"/>
      <c r="OG11" s="53"/>
      <c r="OH11" s="53"/>
      <c r="OI11" s="53"/>
      <c r="OJ11" s="53"/>
      <c r="OK11" s="53"/>
      <c r="OL11" s="53"/>
      <c r="OM11" s="53"/>
      <c r="ON11" s="53"/>
      <c r="OO11" s="53"/>
      <c r="OP11" s="53"/>
      <c r="OQ11" s="53"/>
      <c r="OR11" s="16" t="str">
        <f t="shared" si="92"/>
        <v/>
      </c>
      <c r="OS11" s="16" t="str">
        <f t="shared" si="93"/>
        <v/>
      </c>
      <c r="OT11" s="16" t="str">
        <f t="shared" si="94"/>
        <v/>
      </c>
      <c r="OU11" s="16" t="str">
        <f t="shared" si="95"/>
        <v/>
      </c>
      <c r="OV11" s="16" t="str">
        <f t="shared" si="96"/>
        <v/>
      </c>
      <c r="OW11" s="16" t="str">
        <f t="shared" si="97"/>
        <v/>
      </c>
      <c r="OX11" s="54"/>
      <c r="OY11" s="54"/>
      <c r="OZ11" s="54"/>
      <c r="PA11" s="54"/>
      <c r="PB11" s="54"/>
      <c r="PC11" s="54"/>
      <c r="PD11" s="54"/>
      <c r="PE11" s="54"/>
      <c r="PF11" s="54"/>
      <c r="PG11" s="54"/>
      <c r="PH11" s="54"/>
      <c r="PI11" s="54"/>
      <c r="PJ11" s="54"/>
      <c r="PK11" s="54"/>
      <c r="PL11" s="54"/>
      <c r="PM11" s="54"/>
      <c r="PN11" s="54"/>
      <c r="PO11" s="54"/>
      <c r="PP11" s="54"/>
      <c r="PQ11" s="54"/>
      <c r="PR11" s="54"/>
      <c r="PS11" s="54"/>
      <c r="PT11" s="54"/>
      <c r="PU11" s="54"/>
      <c r="PV11" s="13" t="str">
        <f t="shared" si="98"/>
        <v/>
      </c>
      <c r="PW11" s="13" t="str">
        <f t="shared" si="99"/>
        <v/>
      </c>
      <c r="PX11" s="13" t="str">
        <f t="shared" si="100"/>
        <v/>
      </c>
      <c r="PY11" s="13" t="str">
        <f t="shared" si="101"/>
        <v/>
      </c>
      <c r="PZ11" s="13" t="str">
        <f t="shared" si="102"/>
        <v/>
      </c>
      <c r="QA11" s="13" t="str">
        <f t="shared" si="103"/>
        <v/>
      </c>
      <c r="QB11" s="53"/>
      <c r="QC11" s="53"/>
      <c r="QD11" s="53"/>
      <c r="QE11" s="53"/>
      <c r="QF11" s="53"/>
      <c r="QG11" s="53"/>
      <c r="QH11" s="53"/>
      <c r="QI11" s="53"/>
      <c r="QJ11" s="53"/>
      <c r="QK11" s="53"/>
      <c r="QL11" s="53"/>
      <c r="QM11" s="53"/>
      <c r="QN11" s="53"/>
      <c r="QO11" s="53"/>
      <c r="QP11" s="53"/>
      <c r="QQ11" s="53"/>
      <c r="QR11" s="53"/>
      <c r="QS11" s="53"/>
      <c r="QT11" s="53"/>
      <c r="QU11" s="53"/>
      <c r="QV11" s="53"/>
      <c r="QW11" s="53"/>
      <c r="QX11" s="53"/>
      <c r="QY11" s="53"/>
      <c r="QZ11" s="16" t="str">
        <f t="shared" si="104"/>
        <v/>
      </c>
      <c r="RA11" s="16" t="str">
        <f t="shared" si="105"/>
        <v/>
      </c>
      <c r="RB11" s="16" t="str">
        <f t="shared" si="106"/>
        <v/>
      </c>
      <c r="RC11" s="16" t="str">
        <f t="shared" si="107"/>
        <v/>
      </c>
      <c r="RD11" s="16" t="str">
        <f t="shared" si="108"/>
        <v/>
      </c>
      <c r="RE11" s="16" t="str">
        <f t="shared" si="109"/>
        <v/>
      </c>
    </row>
    <row r="12" spans="1:473" x14ac:dyDescent="0.2">
      <c r="A12" s="6" t="str">
        <f t="shared" si="0"/>
        <v/>
      </c>
      <c r="B12" s="9" t="s">
        <v>68</v>
      </c>
      <c r="C12" s="5" t="s">
        <v>6</v>
      </c>
      <c r="D12" s="33">
        <v>2017</v>
      </c>
      <c r="E12" s="17">
        <f t="shared" si="1"/>
        <v>236.5</v>
      </c>
      <c r="F12" s="4" t="str">
        <f t="shared" si="2"/>
        <v/>
      </c>
      <c r="G12" s="4" t="str">
        <f t="shared" si="3"/>
        <v/>
      </c>
      <c r="H12" s="4" t="str">
        <f t="shared" si="4"/>
        <v/>
      </c>
      <c r="I12" t="str">
        <f t="shared" si="5"/>
        <v/>
      </c>
      <c r="J12" s="16">
        <f t="shared" si="6"/>
        <v>116.9</v>
      </c>
      <c r="K12" s="16" t="str">
        <f t="shared" si="7"/>
        <v>2017 3rd Domestic Trial</v>
      </c>
      <c r="L12" s="16">
        <f t="shared" si="8"/>
        <v>44.199999999999996</v>
      </c>
      <c r="M12" s="16" t="str">
        <f t="shared" si="9"/>
        <v>2018 Canada Cup</v>
      </c>
      <c r="N12" s="16">
        <f t="shared" si="10"/>
        <v>53.1</v>
      </c>
      <c r="O12" s="16" t="str">
        <f t="shared" si="11"/>
        <v>2018 Nationals</v>
      </c>
      <c r="P12" s="16">
        <f t="shared" si="12"/>
        <v>22.299999999999997</v>
      </c>
      <c r="Q12" s="16" t="str">
        <f t="shared" si="13"/>
        <v>2017 3rd Domestic Trial</v>
      </c>
      <c r="R12" s="16" t="str">
        <f t="shared" si="14"/>
        <v/>
      </c>
      <c r="S12" s="31" t="str">
        <f t="shared" si="15"/>
        <v/>
      </c>
      <c r="T12" s="16" t="str">
        <f t="shared" si="16"/>
        <v/>
      </c>
      <c r="U12" s="47">
        <v>26.4</v>
      </c>
      <c r="V12" s="47">
        <v>5.2</v>
      </c>
      <c r="W12" s="47">
        <v>0.3</v>
      </c>
      <c r="X12" s="47">
        <v>0.3</v>
      </c>
      <c r="Y12" s="47">
        <v>26.3</v>
      </c>
      <c r="Z12" s="47">
        <v>5.2</v>
      </c>
      <c r="AA12" s="47">
        <v>0.3</v>
      </c>
      <c r="AB12" s="47">
        <v>0</v>
      </c>
      <c r="AC12" s="47">
        <v>26.5</v>
      </c>
      <c r="AD12" s="47">
        <v>6</v>
      </c>
      <c r="AE12" s="47">
        <v>0.9</v>
      </c>
      <c r="AF12" s="47">
        <v>0</v>
      </c>
      <c r="AG12" s="47">
        <v>19.7</v>
      </c>
      <c r="AH12" s="47">
        <v>2.8</v>
      </c>
      <c r="AI12" s="47">
        <v>0</v>
      </c>
      <c r="AJ12" s="47">
        <v>0</v>
      </c>
      <c r="AK12" s="47">
        <v>19.899999999999999</v>
      </c>
      <c r="AL12" s="47">
        <v>2.4</v>
      </c>
      <c r="AM12" s="47">
        <v>0</v>
      </c>
      <c r="AN12" s="47">
        <v>0</v>
      </c>
      <c r="AO12" s="47">
        <v>0</v>
      </c>
      <c r="AP12" s="47">
        <v>0</v>
      </c>
      <c r="AQ12" s="47">
        <v>0</v>
      </c>
      <c r="AR12" s="47">
        <v>0</v>
      </c>
      <c r="AS12" s="13">
        <f t="shared" si="17"/>
        <v>19.2</v>
      </c>
      <c r="AT12" s="13">
        <f t="shared" si="18"/>
        <v>62.800000000000004</v>
      </c>
      <c r="AU12" s="13">
        <f t="shared" si="19"/>
        <v>54.1</v>
      </c>
      <c r="AV12" s="13">
        <f t="shared" si="20"/>
        <v>116.9</v>
      </c>
      <c r="AW12" s="13">
        <f t="shared" si="21"/>
        <v>22.299999999999997</v>
      </c>
      <c r="AX12" s="13">
        <f t="shared" si="22"/>
        <v>139.19999999999999</v>
      </c>
      <c r="AY12" s="94">
        <v>19.5</v>
      </c>
      <c r="AZ12" s="94">
        <v>2.4</v>
      </c>
      <c r="BA12" s="94">
        <v>0</v>
      </c>
      <c r="BB12" s="94">
        <v>0</v>
      </c>
      <c r="BC12" s="94">
        <v>19.5</v>
      </c>
      <c r="BD12" s="94">
        <v>2.8</v>
      </c>
      <c r="BE12" s="94">
        <v>0</v>
      </c>
      <c r="BF12" s="94">
        <v>0</v>
      </c>
      <c r="BG12" s="94">
        <v>0</v>
      </c>
      <c r="BH12" s="94">
        <v>0</v>
      </c>
      <c r="BI12" s="94">
        <v>0</v>
      </c>
      <c r="BJ12" s="94">
        <v>0</v>
      </c>
      <c r="BK12" s="94">
        <v>19.5</v>
      </c>
      <c r="BL12" s="94">
        <v>2.8</v>
      </c>
      <c r="BM12" s="94">
        <v>0</v>
      </c>
      <c r="BN12" s="94">
        <v>0</v>
      </c>
      <c r="BO12" s="94"/>
      <c r="BP12" s="94"/>
      <c r="BQ12" s="94"/>
      <c r="BR12" s="94"/>
      <c r="BS12" s="94"/>
      <c r="BT12" s="94"/>
      <c r="BU12" s="94"/>
      <c r="BV12" s="94"/>
      <c r="BW12" s="16">
        <f t="shared" si="23"/>
        <v>7.9999999999999991</v>
      </c>
      <c r="BX12" s="16">
        <f t="shared" si="24"/>
        <v>44.199999999999996</v>
      </c>
      <c r="BY12" s="16">
        <f t="shared" si="25"/>
        <v>22.3</v>
      </c>
      <c r="BZ12" s="16">
        <f t="shared" si="26"/>
        <v>66.5</v>
      </c>
      <c r="CA12" s="16" t="str">
        <f t="shared" si="27"/>
        <v/>
      </c>
      <c r="CB12" s="16">
        <f t="shared" si="28"/>
        <v>66.5</v>
      </c>
      <c r="CC12" s="47">
        <v>19.7</v>
      </c>
      <c r="CD12" s="47">
        <v>2.8</v>
      </c>
      <c r="CE12" s="47">
        <v>0</v>
      </c>
      <c r="CF12" s="47">
        <v>0</v>
      </c>
      <c r="CG12" s="47">
        <v>0</v>
      </c>
      <c r="CH12" s="47">
        <v>0</v>
      </c>
      <c r="CI12" s="47">
        <v>0</v>
      </c>
      <c r="CJ12" s="47">
        <v>0</v>
      </c>
      <c r="CK12" s="47">
        <v>19.7</v>
      </c>
      <c r="CL12" s="47">
        <v>2</v>
      </c>
      <c r="CM12" s="47">
        <v>0</v>
      </c>
      <c r="CN12" s="47">
        <v>0</v>
      </c>
      <c r="CO12" s="47">
        <v>27.5</v>
      </c>
      <c r="CP12" s="47">
        <v>4.8</v>
      </c>
      <c r="CQ12" s="47">
        <v>0.9</v>
      </c>
      <c r="CR12" s="47">
        <v>0</v>
      </c>
      <c r="CS12" s="86"/>
      <c r="CT12" s="86"/>
      <c r="CU12" s="86"/>
      <c r="CV12" s="86"/>
      <c r="CW12" s="86"/>
      <c r="CX12" s="86"/>
      <c r="CY12" s="86"/>
      <c r="CZ12" s="86"/>
      <c r="DA12" s="13">
        <f t="shared" si="29"/>
        <v>9.6</v>
      </c>
      <c r="DB12" s="13">
        <f t="shared" si="30"/>
        <v>22.5</v>
      </c>
      <c r="DC12" s="13">
        <f t="shared" si="31"/>
        <v>53.1</v>
      </c>
      <c r="DD12" s="13">
        <f t="shared" si="32"/>
        <v>75.599999999999994</v>
      </c>
      <c r="DE12" s="13" t="str">
        <f t="shared" si="33"/>
        <v/>
      </c>
      <c r="DF12" s="13">
        <f t="shared" si="34"/>
        <v>75.599999999999994</v>
      </c>
      <c r="DG12" s="30" t="str">
        <f t="shared" si="35"/>
        <v/>
      </c>
      <c r="DH12" s="30" t="str">
        <f t="shared" si="36"/>
        <v/>
      </c>
      <c r="DI12" s="30" t="str">
        <f t="shared" si="37"/>
        <v/>
      </c>
      <c r="DJ12" s="54"/>
      <c r="DK12" s="54"/>
      <c r="DL12" s="54"/>
      <c r="DM12" s="54"/>
      <c r="DN12" s="54"/>
      <c r="DO12" s="54"/>
      <c r="DP12" s="54"/>
      <c r="DQ12" s="54"/>
      <c r="DR12" s="54"/>
      <c r="DS12" s="54"/>
      <c r="DT12" s="54"/>
      <c r="DU12" s="54"/>
      <c r="DV12" s="54"/>
      <c r="DW12" s="54"/>
      <c r="DX12" s="54"/>
      <c r="DY12" s="54"/>
      <c r="DZ12" s="54"/>
      <c r="EA12" s="54"/>
      <c r="EB12" s="54"/>
      <c r="EC12" s="54"/>
      <c r="ED12" s="54"/>
      <c r="EE12" s="54"/>
      <c r="EF12" s="54"/>
      <c r="EG12" s="54"/>
      <c r="EH12" s="13" t="str">
        <f t="shared" si="38"/>
        <v/>
      </c>
      <c r="EI12" s="13" t="str">
        <f t="shared" si="39"/>
        <v/>
      </c>
      <c r="EJ12" s="13" t="str">
        <f t="shared" si="40"/>
        <v/>
      </c>
      <c r="EK12" s="13" t="str">
        <f t="shared" si="41"/>
        <v/>
      </c>
      <c r="EL12" s="13" t="str">
        <f t="shared" si="42"/>
        <v/>
      </c>
      <c r="EM12" s="13" t="str">
        <f t="shared" si="43"/>
        <v/>
      </c>
      <c r="EN12" s="53"/>
      <c r="EO12" s="53"/>
      <c r="EP12" s="53"/>
      <c r="EQ12" s="53"/>
      <c r="ER12" s="53"/>
      <c r="ES12" s="53"/>
      <c r="ET12" s="53"/>
      <c r="EU12" s="53"/>
      <c r="EV12" s="53"/>
      <c r="EW12" s="53"/>
      <c r="EX12" s="53"/>
      <c r="EY12" s="53"/>
      <c r="EZ12" s="53"/>
      <c r="FA12" s="53"/>
      <c r="FB12" s="53"/>
      <c r="FC12" s="53"/>
      <c r="FD12" s="53"/>
      <c r="FE12" s="53"/>
      <c r="FF12" s="53"/>
      <c r="FG12" s="53"/>
      <c r="FH12" s="53"/>
      <c r="FI12" s="53"/>
      <c r="FJ12" s="53"/>
      <c r="FK12" s="53"/>
      <c r="FL12" s="16" t="str">
        <f t="shared" si="44"/>
        <v/>
      </c>
      <c r="FM12" s="16" t="str">
        <f t="shared" si="45"/>
        <v/>
      </c>
      <c r="FN12" s="16" t="str">
        <f t="shared" si="46"/>
        <v/>
      </c>
      <c r="FO12" s="16" t="str">
        <f t="shared" si="47"/>
        <v/>
      </c>
      <c r="FP12" s="16" t="str">
        <f t="shared" si="48"/>
        <v/>
      </c>
      <c r="FQ12" s="16" t="str">
        <f t="shared" si="49"/>
        <v/>
      </c>
      <c r="FR12" s="54"/>
      <c r="FS12" s="54"/>
      <c r="FT12" s="54"/>
      <c r="FU12" s="54"/>
      <c r="FV12" s="54"/>
      <c r="FW12" s="54"/>
      <c r="FX12" s="54"/>
      <c r="FY12" s="54"/>
      <c r="FZ12" s="54"/>
      <c r="GA12" s="54"/>
      <c r="GB12" s="54"/>
      <c r="GC12" s="54"/>
      <c r="GD12" s="54"/>
      <c r="GE12" s="54"/>
      <c r="GF12" s="54"/>
      <c r="GG12" s="54"/>
      <c r="GH12" s="54"/>
      <c r="GI12" s="54"/>
      <c r="GJ12" s="54"/>
      <c r="GK12" s="54"/>
      <c r="GL12" s="54"/>
      <c r="GM12" s="54"/>
      <c r="GN12" s="54"/>
      <c r="GO12" s="54"/>
      <c r="GP12" s="13" t="str">
        <f t="shared" si="50"/>
        <v/>
      </c>
      <c r="GQ12" s="13" t="str">
        <f t="shared" si="51"/>
        <v/>
      </c>
      <c r="GR12" s="13" t="str">
        <f t="shared" si="52"/>
        <v/>
      </c>
      <c r="GS12" s="13" t="str">
        <f t="shared" si="53"/>
        <v/>
      </c>
      <c r="GT12" s="13" t="str">
        <f t="shared" si="54"/>
        <v/>
      </c>
      <c r="GU12" s="13" t="str">
        <f t="shared" si="55"/>
        <v/>
      </c>
      <c r="GV12" s="53"/>
      <c r="GW12" s="53"/>
      <c r="GX12" s="53"/>
      <c r="GY12" s="53"/>
      <c r="GZ12" s="53"/>
      <c r="HA12" s="53"/>
      <c r="HB12" s="53"/>
      <c r="HC12" s="53"/>
      <c r="HD12" s="53"/>
      <c r="HE12" s="53"/>
      <c r="HF12" s="53"/>
      <c r="HG12" s="53"/>
      <c r="HH12" s="53"/>
      <c r="HI12" s="53"/>
      <c r="HJ12" s="53"/>
      <c r="HK12" s="53"/>
      <c r="HL12" s="53"/>
      <c r="HM12" s="53"/>
      <c r="HN12" s="53"/>
      <c r="HO12" s="53"/>
      <c r="HP12" s="53"/>
      <c r="HQ12" s="53"/>
      <c r="HR12" s="53"/>
      <c r="HS12" s="53"/>
      <c r="HT12" s="16" t="str">
        <f t="shared" si="56"/>
        <v/>
      </c>
      <c r="HU12" s="16" t="str">
        <f t="shared" si="57"/>
        <v/>
      </c>
      <c r="HV12" s="16" t="str">
        <f t="shared" si="58"/>
        <v/>
      </c>
      <c r="HW12" s="16" t="str">
        <f t="shared" si="59"/>
        <v/>
      </c>
      <c r="HX12" s="16" t="str">
        <f t="shared" si="60"/>
        <v/>
      </c>
      <c r="HY12" s="16" t="str">
        <f t="shared" si="61"/>
        <v/>
      </c>
      <c r="HZ12" s="54"/>
      <c r="IA12" s="54"/>
      <c r="IB12" s="54"/>
      <c r="IC12" s="54"/>
      <c r="ID12" s="54"/>
      <c r="IE12" s="54"/>
      <c r="IF12" s="54"/>
      <c r="IG12" s="54"/>
      <c r="IH12" s="54"/>
      <c r="II12" s="54"/>
      <c r="IJ12" s="54"/>
      <c r="IK12" s="54"/>
      <c r="IL12" s="54"/>
      <c r="IM12" s="54"/>
      <c r="IN12" s="54"/>
      <c r="IO12" s="54"/>
      <c r="IP12" s="54"/>
      <c r="IQ12" s="54"/>
      <c r="IR12" s="54"/>
      <c r="IS12" s="54"/>
      <c r="IT12" s="54"/>
      <c r="IU12" s="54"/>
      <c r="IV12" s="54"/>
      <c r="IW12" s="54"/>
      <c r="IX12" s="13" t="str">
        <f t="shared" si="62"/>
        <v/>
      </c>
      <c r="IY12" s="13" t="str">
        <f t="shared" si="63"/>
        <v/>
      </c>
      <c r="IZ12" s="13" t="str">
        <f t="shared" si="64"/>
        <v/>
      </c>
      <c r="JA12" s="13" t="str">
        <f t="shared" si="65"/>
        <v/>
      </c>
      <c r="JB12" s="13" t="str">
        <f t="shared" si="66"/>
        <v/>
      </c>
      <c r="JC12" s="13" t="str">
        <f t="shared" si="67"/>
        <v/>
      </c>
      <c r="JD12" s="53"/>
      <c r="JE12" s="53"/>
      <c r="JF12" s="53"/>
      <c r="JG12" s="53"/>
      <c r="JH12" s="53"/>
      <c r="JI12" s="53"/>
      <c r="JJ12" s="53"/>
      <c r="JK12" s="53"/>
      <c r="JL12" s="53"/>
      <c r="JM12" s="53"/>
      <c r="JN12" s="53"/>
      <c r="JO12" s="53"/>
      <c r="JP12" s="53"/>
      <c r="JQ12" s="53"/>
      <c r="JR12" s="53"/>
      <c r="JS12" s="53"/>
      <c r="JT12" s="53"/>
      <c r="JU12" s="53"/>
      <c r="JV12" s="53"/>
      <c r="JW12" s="53"/>
      <c r="JX12" s="53"/>
      <c r="JY12" s="53"/>
      <c r="JZ12" s="53"/>
      <c r="KA12" s="53"/>
      <c r="KB12" s="16" t="str">
        <f t="shared" si="68"/>
        <v/>
      </c>
      <c r="KC12" s="16" t="str">
        <f t="shared" si="69"/>
        <v/>
      </c>
      <c r="KD12" s="16" t="str">
        <f t="shared" si="70"/>
        <v/>
      </c>
      <c r="KE12" s="16" t="str">
        <f t="shared" si="71"/>
        <v/>
      </c>
      <c r="KF12" s="16" t="str">
        <f t="shared" si="72"/>
        <v/>
      </c>
      <c r="KG12" s="16" t="str">
        <f t="shared" si="73"/>
        <v/>
      </c>
      <c r="KH12" s="54"/>
      <c r="KI12" s="54"/>
      <c r="KJ12" s="54"/>
      <c r="KK12" s="54"/>
      <c r="KL12" s="54"/>
      <c r="KM12" s="54"/>
      <c r="KN12" s="54"/>
      <c r="KO12" s="54"/>
      <c r="KP12" s="54"/>
      <c r="KQ12" s="54"/>
      <c r="KR12" s="54"/>
      <c r="KS12" s="54"/>
      <c r="KT12" s="54"/>
      <c r="KU12" s="54"/>
      <c r="KV12" s="54"/>
      <c r="KW12" s="54"/>
      <c r="KX12" s="54"/>
      <c r="KY12" s="54"/>
      <c r="KZ12" s="54"/>
      <c r="LA12" s="54"/>
      <c r="LB12" s="54"/>
      <c r="LC12" s="54"/>
      <c r="LD12" s="54"/>
      <c r="LE12" s="54"/>
      <c r="LF12" s="13" t="str">
        <f t="shared" si="74"/>
        <v/>
      </c>
      <c r="LG12" s="13" t="str">
        <f t="shared" si="75"/>
        <v/>
      </c>
      <c r="LH12" s="13" t="str">
        <f t="shared" si="76"/>
        <v/>
      </c>
      <c r="LI12" s="13" t="str">
        <f t="shared" si="77"/>
        <v/>
      </c>
      <c r="LJ12" s="13" t="str">
        <f t="shared" si="78"/>
        <v/>
      </c>
      <c r="LK12" s="13" t="str">
        <f t="shared" si="79"/>
        <v/>
      </c>
      <c r="LL12" s="53"/>
      <c r="LM12" s="53"/>
      <c r="LN12" s="53"/>
      <c r="LO12" s="53"/>
      <c r="LP12" s="53"/>
      <c r="LQ12" s="53"/>
      <c r="LR12" s="53"/>
      <c r="LS12" s="53"/>
      <c r="LT12" s="53"/>
      <c r="LU12" s="53"/>
      <c r="LV12" s="53"/>
      <c r="LW12" s="53"/>
      <c r="LX12" s="53"/>
      <c r="LY12" s="53"/>
      <c r="LZ12" s="53"/>
      <c r="MA12" s="53"/>
      <c r="MB12" s="53"/>
      <c r="MC12" s="53"/>
      <c r="MD12" s="53"/>
      <c r="ME12" s="53"/>
      <c r="MF12" s="53"/>
      <c r="MG12" s="53"/>
      <c r="MH12" s="53"/>
      <c r="MI12" s="53"/>
      <c r="MJ12" s="16" t="str">
        <f t="shared" si="80"/>
        <v/>
      </c>
      <c r="MK12" s="16" t="str">
        <f t="shared" si="81"/>
        <v/>
      </c>
      <c r="ML12" s="16" t="str">
        <f t="shared" si="82"/>
        <v/>
      </c>
      <c r="MM12" s="16" t="str">
        <f t="shared" si="83"/>
        <v/>
      </c>
      <c r="MN12" s="16" t="str">
        <f t="shared" si="84"/>
        <v/>
      </c>
      <c r="MO12" s="16" t="str">
        <f t="shared" si="85"/>
        <v/>
      </c>
      <c r="MP12" s="54"/>
      <c r="MQ12" s="54"/>
      <c r="MR12" s="54"/>
      <c r="MS12" s="54"/>
      <c r="MT12" s="54"/>
      <c r="MU12" s="54"/>
      <c r="MV12" s="54"/>
      <c r="MW12" s="54"/>
      <c r="MX12" s="54"/>
      <c r="MY12" s="54"/>
      <c r="MZ12" s="54"/>
      <c r="NA12" s="54"/>
      <c r="NB12" s="54"/>
      <c r="NC12" s="54"/>
      <c r="ND12" s="54"/>
      <c r="NE12" s="54"/>
      <c r="NF12" s="54"/>
      <c r="NG12" s="54"/>
      <c r="NH12" s="54"/>
      <c r="NI12" s="54"/>
      <c r="NJ12" s="54"/>
      <c r="NK12" s="54"/>
      <c r="NL12" s="54"/>
      <c r="NM12" s="54"/>
      <c r="NN12" s="13" t="str">
        <f t="shared" si="86"/>
        <v/>
      </c>
      <c r="NO12" s="13" t="str">
        <f t="shared" si="87"/>
        <v/>
      </c>
      <c r="NP12" s="13" t="str">
        <f t="shared" si="88"/>
        <v/>
      </c>
      <c r="NQ12" s="13" t="str">
        <f t="shared" si="89"/>
        <v/>
      </c>
      <c r="NR12" s="13" t="str">
        <f t="shared" si="90"/>
        <v/>
      </c>
      <c r="NS12" s="13" t="str">
        <f t="shared" si="91"/>
        <v/>
      </c>
      <c r="NT12" s="53"/>
      <c r="NU12" s="53"/>
      <c r="NV12" s="53"/>
      <c r="NW12" s="53"/>
      <c r="NX12" s="53"/>
      <c r="NY12" s="53"/>
      <c r="NZ12" s="53"/>
      <c r="OA12" s="53"/>
      <c r="OB12" s="53"/>
      <c r="OC12" s="53"/>
      <c r="OD12" s="53"/>
      <c r="OE12" s="53"/>
      <c r="OF12" s="53"/>
      <c r="OG12" s="53"/>
      <c r="OH12" s="53"/>
      <c r="OI12" s="53"/>
      <c r="OJ12" s="53"/>
      <c r="OK12" s="53"/>
      <c r="OL12" s="53"/>
      <c r="OM12" s="53"/>
      <c r="ON12" s="53"/>
      <c r="OO12" s="53"/>
      <c r="OP12" s="53"/>
      <c r="OQ12" s="53"/>
      <c r="OR12" s="16" t="str">
        <f t="shared" si="92"/>
        <v/>
      </c>
      <c r="OS12" s="16" t="str">
        <f t="shared" si="93"/>
        <v/>
      </c>
      <c r="OT12" s="16" t="str">
        <f t="shared" si="94"/>
        <v/>
      </c>
      <c r="OU12" s="16" t="str">
        <f t="shared" si="95"/>
        <v/>
      </c>
      <c r="OV12" s="16" t="str">
        <f t="shared" si="96"/>
        <v/>
      </c>
      <c r="OW12" s="16" t="str">
        <f t="shared" si="97"/>
        <v/>
      </c>
      <c r="OX12" s="54"/>
      <c r="OY12" s="54"/>
      <c r="OZ12" s="54"/>
      <c r="PA12" s="54"/>
      <c r="PB12" s="54"/>
      <c r="PC12" s="54"/>
      <c r="PD12" s="54"/>
      <c r="PE12" s="54"/>
      <c r="PF12" s="54"/>
      <c r="PG12" s="54"/>
      <c r="PH12" s="54"/>
      <c r="PI12" s="54"/>
      <c r="PJ12" s="54"/>
      <c r="PK12" s="54"/>
      <c r="PL12" s="54"/>
      <c r="PM12" s="54"/>
      <c r="PN12" s="54"/>
      <c r="PO12" s="54"/>
      <c r="PP12" s="54"/>
      <c r="PQ12" s="54"/>
      <c r="PR12" s="54"/>
      <c r="PS12" s="54"/>
      <c r="PT12" s="54"/>
      <c r="PU12" s="54"/>
      <c r="PV12" s="13" t="str">
        <f t="shared" si="98"/>
        <v/>
      </c>
      <c r="PW12" s="13" t="str">
        <f t="shared" si="99"/>
        <v/>
      </c>
      <c r="PX12" s="13" t="str">
        <f t="shared" si="100"/>
        <v/>
      </c>
      <c r="PY12" s="13" t="str">
        <f t="shared" si="101"/>
        <v/>
      </c>
      <c r="PZ12" s="13" t="str">
        <f t="shared" si="102"/>
        <v/>
      </c>
      <c r="QA12" s="13" t="str">
        <f t="shared" si="103"/>
        <v/>
      </c>
      <c r="QB12" s="53"/>
      <c r="QC12" s="53"/>
      <c r="QD12" s="53"/>
      <c r="QE12" s="53"/>
      <c r="QF12" s="53"/>
      <c r="QG12" s="53"/>
      <c r="QH12" s="53"/>
      <c r="QI12" s="53"/>
      <c r="QJ12" s="53"/>
      <c r="QK12" s="53"/>
      <c r="QL12" s="53"/>
      <c r="QM12" s="53"/>
      <c r="QN12" s="53"/>
      <c r="QO12" s="53"/>
      <c r="QP12" s="53"/>
      <c r="QQ12" s="53"/>
      <c r="QR12" s="53"/>
      <c r="QS12" s="53"/>
      <c r="QT12" s="53"/>
      <c r="QU12" s="53"/>
      <c r="QV12" s="53"/>
      <c r="QW12" s="53"/>
      <c r="QX12" s="53"/>
      <c r="QY12" s="53"/>
      <c r="QZ12" s="16" t="str">
        <f t="shared" si="104"/>
        <v/>
      </c>
      <c r="RA12" s="16" t="str">
        <f t="shared" si="105"/>
        <v/>
      </c>
      <c r="RB12" s="16" t="str">
        <f t="shared" si="106"/>
        <v/>
      </c>
      <c r="RC12" s="16" t="str">
        <f t="shared" si="107"/>
        <v/>
      </c>
      <c r="RD12" s="16" t="str">
        <f t="shared" si="108"/>
        <v/>
      </c>
      <c r="RE12" s="16" t="str">
        <f t="shared" si="109"/>
        <v/>
      </c>
    </row>
    <row r="13" spans="1:473" x14ac:dyDescent="0.2">
      <c r="A13" s="6" t="str">
        <f t="shared" si="0"/>
        <v/>
      </c>
      <c r="B13" s="9" t="s">
        <v>49</v>
      </c>
      <c r="C13" s="5" t="s">
        <v>13</v>
      </c>
      <c r="D13" s="33">
        <v>2014</v>
      </c>
      <c r="E13" s="17">
        <f t="shared" si="1"/>
        <v>226.09999999999997</v>
      </c>
      <c r="F13" s="4" t="str">
        <f t="shared" si="2"/>
        <v/>
      </c>
      <c r="G13" s="4" t="str">
        <f t="shared" si="3"/>
        <v/>
      </c>
      <c r="H13" s="4" t="str">
        <f t="shared" si="4"/>
        <v/>
      </c>
      <c r="I13" t="str">
        <f t="shared" si="5"/>
        <v/>
      </c>
      <c r="J13" s="16">
        <f t="shared" si="6"/>
        <v>125.89999999999999</v>
      </c>
      <c r="K13" s="16" t="str">
        <f t="shared" si="7"/>
        <v>2017 3rd Domestic Trial</v>
      </c>
      <c r="L13" s="16">
        <f t="shared" si="8"/>
        <v>0</v>
      </c>
      <c r="M13" s="16" t="str">
        <f t="shared" si="9"/>
        <v/>
      </c>
      <c r="N13" s="16">
        <f t="shared" si="10"/>
        <v>0</v>
      </c>
      <c r="O13" s="16" t="str">
        <f t="shared" si="11"/>
        <v/>
      </c>
      <c r="P13" s="16">
        <f t="shared" si="12"/>
        <v>34.5</v>
      </c>
      <c r="Q13" s="16" t="str">
        <f t="shared" si="13"/>
        <v>2017 3rd Domestic Trial</v>
      </c>
      <c r="R13" s="16">
        <f t="shared" si="14"/>
        <v>65.699999999999989</v>
      </c>
      <c r="S13" s="31" t="str">
        <f t="shared" si="15"/>
        <v>(Pass 1-2)</v>
      </c>
      <c r="T13" s="16" t="str">
        <f t="shared" si="16"/>
        <v>2017 World Championships (Nov)</v>
      </c>
      <c r="U13" s="47">
        <v>27.9</v>
      </c>
      <c r="V13" s="47">
        <v>6</v>
      </c>
      <c r="W13" s="47">
        <v>0.9</v>
      </c>
      <c r="X13" s="47">
        <v>0</v>
      </c>
      <c r="Y13" s="47">
        <v>27.6</v>
      </c>
      <c r="Z13" s="47">
        <v>4.8</v>
      </c>
      <c r="AA13" s="47">
        <v>0.3</v>
      </c>
      <c r="AB13" s="47">
        <v>0</v>
      </c>
      <c r="AC13" s="47">
        <v>22.7</v>
      </c>
      <c r="AD13" s="47">
        <v>3.2</v>
      </c>
      <c r="AE13" s="47">
        <v>0</v>
      </c>
      <c r="AF13" s="47">
        <v>0.5</v>
      </c>
      <c r="AG13" s="47">
        <v>28.3</v>
      </c>
      <c r="AH13" s="47">
        <v>5.6</v>
      </c>
      <c r="AI13" s="47">
        <v>0</v>
      </c>
      <c r="AJ13" s="47">
        <v>0.5</v>
      </c>
      <c r="AK13" s="47">
        <v>28</v>
      </c>
      <c r="AL13" s="47">
        <v>6</v>
      </c>
      <c r="AM13" s="47">
        <v>0</v>
      </c>
      <c r="AN13" s="47">
        <v>0.5</v>
      </c>
      <c r="AO13" s="47">
        <v>0</v>
      </c>
      <c r="AP13" s="47">
        <v>0</v>
      </c>
      <c r="AQ13" s="47">
        <v>0</v>
      </c>
      <c r="AR13" s="47">
        <v>0</v>
      </c>
      <c r="AS13" s="13">
        <f t="shared" si="17"/>
        <v>19.600000000000001</v>
      </c>
      <c r="AT13" s="13">
        <f t="shared" si="18"/>
        <v>65.099999999999994</v>
      </c>
      <c r="AU13" s="13">
        <f t="shared" si="19"/>
        <v>60.800000000000004</v>
      </c>
      <c r="AV13" s="13">
        <f t="shared" si="20"/>
        <v>125.89999999999999</v>
      </c>
      <c r="AW13" s="13">
        <f t="shared" si="21"/>
        <v>34.5</v>
      </c>
      <c r="AX13" s="13">
        <f t="shared" si="22"/>
        <v>160.39999999999998</v>
      </c>
      <c r="AY13" s="94"/>
      <c r="AZ13" s="94"/>
      <c r="BA13" s="94"/>
      <c r="BB13" s="94"/>
      <c r="BC13" s="94"/>
      <c r="BD13" s="94"/>
      <c r="BE13" s="94"/>
      <c r="BF13" s="94"/>
      <c r="BG13" s="94"/>
      <c r="BH13" s="94"/>
      <c r="BI13" s="94"/>
      <c r="BJ13" s="94"/>
      <c r="BK13" s="94"/>
      <c r="BL13" s="94"/>
      <c r="BM13" s="94"/>
      <c r="BN13" s="94"/>
      <c r="BO13" s="94"/>
      <c r="BP13" s="94"/>
      <c r="BQ13" s="94"/>
      <c r="BR13" s="94"/>
      <c r="BS13" s="94"/>
      <c r="BT13" s="94"/>
      <c r="BU13" s="94"/>
      <c r="BV13" s="94"/>
      <c r="BW13" s="16" t="str">
        <f t="shared" si="23"/>
        <v/>
      </c>
      <c r="BX13" s="16" t="str">
        <f t="shared" si="24"/>
        <v/>
      </c>
      <c r="BY13" s="16" t="str">
        <f t="shared" si="25"/>
        <v/>
      </c>
      <c r="BZ13" s="16" t="str">
        <f t="shared" si="26"/>
        <v/>
      </c>
      <c r="CA13" s="16" t="str">
        <f t="shared" si="27"/>
        <v/>
      </c>
      <c r="CB13" s="16" t="str">
        <f t="shared" si="28"/>
        <v/>
      </c>
      <c r="CC13" s="47"/>
      <c r="CD13" s="47"/>
      <c r="CE13" s="47"/>
      <c r="CF13" s="47"/>
      <c r="CG13" s="47"/>
      <c r="CH13" s="47"/>
      <c r="CI13" s="47"/>
      <c r="CJ13" s="47"/>
      <c r="CK13" s="47"/>
      <c r="CL13" s="47"/>
      <c r="CM13" s="47"/>
      <c r="CN13" s="47"/>
      <c r="CO13" s="47"/>
      <c r="CP13" s="47"/>
      <c r="CQ13" s="47"/>
      <c r="CR13" s="47"/>
      <c r="CS13" s="47"/>
      <c r="CT13" s="47"/>
      <c r="CU13" s="47"/>
      <c r="CV13" s="47"/>
      <c r="CW13" s="47"/>
      <c r="CX13" s="47"/>
      <c r="CY13" s="47"/>
      <c r="CZ13" s="47"/>
      <c r="DA13" s="13" t="str">
        <f t="shared" si="29"/>
        <v/>
      </c>
      <c r="DB13" s="13" t="str">
        <f t="shared" si="30"/>
        <v/>
      </c>
      <c r="DC13" s="13" t="str">
        <f t="shared" si="31"/>
        <v/>
      </c>
      <c r="DD13" s="13" t="str">
        <f t="shared" si="32"/>
        <v/>
      </c>
      <c r="DE13" s="13" t="str">
        <f t="shared" si="33"/>
        <v/>
      </c>
      <c r="DF13" s="13" t="str">
        <f t="shared" si="34"/>
        <v/>
      </c>
      <c r="DG13" s="30">
        <f t="shared" si="35"/>
        <v>65.699999999999989</v>
      </c>
      <c r="DH13" s="30" t="str">
        <f t="shared" si="36"/>
        <v/>
      </c>
      <c r="DI13" s="30" t="str">
        <f t="shared" si="37"/>
        <v/>
      </c>
      <c r="DJ13" s="54"/>
      <c r="DK13" s="54"/>
      <c r="DL13" s="54"/>
      <c r="DM13" s="54"/>
      <c r="DN13" s="54"/>
      <c r="DO13" s="54"/>
      <c r="DP13" s="54"/>
      <c r="DQ13" s="54"/>
      <c r="DR13" s="54"/>
      <c r="DS13" s="54"/>
      <c r="DT13" s="54"/>
      <c r="DU13" s="54"/>
      <c r="DV13" s="54"/>
      <c r="DW13" s="54"/>
      <c r="DX13" s="54"/>
      <c r="DY13" s="54"/>
      <c r="DZ13" s="54"/>
      <c r="EA13" s="54"/>
      <c r="EB13" s="54"/>
      <c r="EC13" s="54"/>
      <c r="ED13" s="54"/>
      <c r="EE13" s="54"/>
      <c r="EF13" s="54"/>
      <c r="EG13" s="54"/>
      <c r="EH13" s="13" t="str">
        <f t="shared" si="38"/>
        <v/>
      </c>
      <c r="EI13" s="13" t="str">
        <f t="shared" si="39"/>
        <v/>
      </c>
      <c r="EJ13" s="13" t="str">
        <f t="shared" si="40"/>
        <v/>
      </c>
      <c r="EK13" s="13" t="str">
        <f t="shared" si="41"/>
        <v/>
      </c>
      <c r="EL13" s="13" t="str">
        <f t="shared" si="42"/>
        <v/>
      </c>
      <c r="EM13" s="13" t="str">
        <f t="shared" si="43"/>
        <v/>
      </c>
      <c r="EN13" s="53"/>
      <c r="EO13" s="53"/>
      <c r="EP13" s="53"/>
      <c r="EQ13" s="53"/>
      <c r="ER13" s="53"/>
      <c r="ES13" s="53"/>
      <c r="ET13" s="53"/>
      <c r="EU13" s="53"/>
      <c r="EV13" s="53"/>
      <c r="EW13" s="53"/>
      <c r="EX13" s="53"/>
      <c r="EY13" s="53"/>
      <c r="EZ13" s="53"/>
      <c r="FA13" s="53"/>
      <c r="FB13" s="53"/>
      <c r="FC13" s="53"/>
      <c r="FD13" s="53"/>
      <c r="FE13" s="53"/>
      <c r="FF13" s="53"/>
      <c r="FG13" s="53"/>
      <c r="FH13" s="53"/>
      <c r="FI13" s="53"/>
      <c r="FJ13" s="53"/>
      <c r="FK13" s="53"/>
      <c r="FL13" s="16" t="str">
        <f t="shared" si="44"/>
        <v/>
      </c>
      <c r="FM13" s="16" t="str">
        <f t="shared" si="45"/>
        <v/>
      </c>
      <c r="FN13" s="16" t="str">
        <f t="shared" si="46"/>
        <v/>
      </c>
      <c r="FO13" s="16" t="str">
        <f t="shared" si="47"/>
        <v/>
      </c>
      <c r="FP13" s="16" t="str">
        <f t="shared" si="48"/>
        <v/>
      </c>
      <c r="FQ13" s="16" t="str">
        <f t="shared" si="49"/>
        <v/>
      </c>
      <c r="FR13" s="54">
        <v>27.3</v>
      </c>
      <c r="FS13" s="54">
        <v>6</v>
      </c>
      <c r="FT13" s="54">
        <v>1.2</v>
      </c>
      <c r="FU13" s="54">
        <v>0</v>
      </c>
      <c r="FV13" s="54">
        <v>27.9</v>
      </c>
      <c r="FW13" s="54">
        <v>6</v>
      </c>
      <c r="FX13" s="54">
        <v>0.3</v>
      </c>
      <c r="FY13" s="54">
        <v>0</v>
      </c>
      <c r="FZ13" s="54"/>
      <c r="GA13" s="54"/>
      <c r="GB13" s="54"/>
      <c r="GC13" s="54"/>
      <c r="GD13" s="54"/>
      <c r="GE13" s="54"/>
      <c r="GF13" s="54"/>
      <c r="GG13" s="54"/>
      <c r="GH13" s="54"/>
      <c r="GI13" s="54"/>
      <c r="GJ13" s="54"/>
      <c r="GK13" s="54"/>
      <c r="GL13" s="54"/>
      <c r="GM13" s="54"/>
      <c r="GN13" s="54"/>
      <c r="GO13" s="54"/>
      <c r="GP13" s="13">
        <f t="shared" si="50"/>
        <v>12</v>
      </c>
      <c r="GQ13" s="13">
        <f t="shared" si="51"/>
        <v>65.699999999999989</v>
      </c>
      <c r="GR13" s="13" t="str">
        <f t="shared" si="52"/>
        <v/>
      </c>
      <c r="GS13" s="13">
        <f t="shared" si="53"/>
        <v>65.699999999999989</v>
      </c>
      <c r="GT13" s="13" t="str">
        <f t="shared" si="54"/>
        <v/>
      </c>
      <c r="GU13" s="13">
        <f t="shared" si="55"/>
        <v>65.699999999999989</v>
      </c>
      <c r="GV13" s="53"/>
      <c r="GW13" s="53"/>
      <c r="GX13" s="53"/>
      <c r="GY13" s="53"/>
      <c r="GZ13" s="53"/>
      <c r="HA13" s="53"/>
      <c r="HB13" s="53"/>
      <c r="HC13" s="53"/>
      <c r="HD13" s="53"/>
      <c r="HE13" s="53"/>
      <c r="HF13" s="53"/>
      <c r="HG13" s="53"/>
      <c r="HH13" s="53"/>
      <c r="HI13" s="53"/>
      <c r="HJ13" s="53"/>
      <c r="HK13" s="53"/>
      <c r="HL13" s="53">
        <v>31.6</v>
      </c>
      <c r="HM13" s="53"/>
      <c r="HN13" s="53"/>
      <c r="HO13" s="53"/>
      <c r="HP13" s="53"/>
      <c r="HQ13" s="53"/>
      <c r="HR13" s="53"/>
      <c r="HS13" s="53"/>
      <c r="HT13" s="16" t="str">
        <f t="shared" si="56"/>
        <v/>
      </c>
      <c r="HU13" s="16" t="str">
        <f t="shared" si="57"/>
        <v/>
      </c>
      <c r="HV13" s="16" t="str">
        <f t="shared" si="58"/>
        <v/>
      </c>
      <c r="HW13" s="16" t="str">
        <f t="shared" si="59"/>
        <v/>
      </c>
      <c r="HX13" s="16">
        <f t="shared" si="60"/>
        <v>31.6</v>
      </c>
      <c r="HY13" s="16">
        <f t="shared" si="61"/>
        <v>31.6</v>
      </c>
      <c r="HZ13" s="54"/>
      <c r="IA13" s="54"/>
      <c r="IB13" s="54"/>
      <c r="IC13" s="54"/>
      <c r="ID13" s="54"/>
      <c r="IE13" s="54"/>
      <c r="IF13" s="54"/>
      <c r="IG13" s="54"/>
      <c r="IH13" s="54"/>
      <c r="II13" s="54"/>
      <c r="IJ13" s="54"/>
      <c r="IK13" s="54"/>
      <c r="IL13" s="54"/>
      <c r="IM13" s="54"/>
      <c r="IN13" s="54"/>
      <c r="IO13" s="54"/>
      <c r="IP13" s="54"/>
      <c r="IQ13" s="54"/>
      <c r="IR13" s="54"/>
      <c r="IS13" s="54"/>
      <c r="IT13" s="54"/>
      <c r="IU13" s="54"/>
      <c r="IV13" s="54"/>
      <c r="IW13" s="54"/>
      <c r="IX13" s="13" t="str">
        <f t="shared" si="62"/>
        <v/>
      </c>
      <c r="IY13" s="13" t="str">
        <f t="shared" si="63"/>
        <v/>
      </c>
      <c r="IZ13" s="13" t="str">
        <f t="shared" si="64"/>
        <v/>
      </c>
      <c r="JA13" s="13" t="str">
        <f t="shared" si="65"/>
        <v/>
      </c>
      <c r="JB13" s="13" t="str">
        <f t="shared" si="66"/>
        <v/>
      </c>
      <c r="JC13" s="13" t="str">
        <f t="shared" si="67"/>
        <v/>
      </c>
      <c r="JD13" s="53"/>
      <c r="JE13" s="53"/>
      <c r="JF13" s="53"/>
      <c r="JG13" s="53"/>
      <c r="JH13" s="53"/>
      <c r="JI13" s="53"/>
      <c r="JJ13" s="53"/>
      <c r="JK13" s="53"/>
      <c r="JL13" s="53"/>
      <c r="JM13" s="53"/>
      <c r="JN13" s="53"/>
      <c r="JO13" s="53"/>
      <c r="JP13" s="53"/>
      <c r="JQ13" s="53"/>
      <c r="JR13" s="53"/>
      <c r="JS13" s="53"/>
      <c r="JT13" s="53"/>
      <c r="JU13" s="53"/>
      <c r="JV13" s="53"/>
      <c r="JW13" s="53"/>
      <c r="JX13" s="53"/>
      <c r="JY13" s="53"/>
      <c r="JZ13" s="53"/>
      <c r="KA13" s="53"/>
      <c r="KB13" s="16" t="str">
        <f t="shared" si="68"/>
        <v/>
      </c>
      <c r="KC13" s="16" t="str">
        <f t="shared" si="69"/>
        <v/>
      </c>
      <c r="KD13" s="16" t="str">
        <f t="shared" si="70"/>
        <v/>
      </c>
      <c r="KE13" s="16" t="str">
        <f t="shared" si="71"/>
        <v/>
      </c>
      <c r="KF13" s="16" t="str">
        <f t="shared" si="72"/>
        <v/>
      </c>
      <c r="KG13" s="16" t="str">
        <f t="shared" si="73"/>
        <v/>
      </c>
      <c r="KH13" s="54"/>
      <c r="KI13" s="54"/>
      <c r="KJ13" s="54"/>
      <c r="KK13" s="54"/>
      <c r="KL13" s="54"/>
      <c r="KM13" s="54"/>
      <c r="KN13" s="54"/>
      <c r="KO13" s="54"/>
      <c r="KP13" s="54"/>
      <c r="KQ13" s="54"/>
      <c r="KR13" s="54"/>
      <c r="KS13" s="54"/>
      <c r="KT13" s="54"/>
      <c r="KU13" s="54"/>
      <c r="KV13" s="54"/>
      <c r="KW13" s="54"/>
      <c r="KX13" s="54"/>
      <c r="KY13" s="54"/>
      <c r="KZ13" s="54"/>
      <c r="LA13" s="54"/>
      <c r="LB13" s="54"/>
      <c r="LC13" s="54"/>
      <c r="LD13" s="54"/>
      <c r="LE13" s="54"/>
      <c r="LF13" s="13" t="str">
        <f t="shared" si="74"/>
        <v/>
      </c>
      <c r="LG13" s="13" t="str">
        <f t="shared" si="75"/>
        <v/>
      </c>
      <c r="LH13" s="13" t="str">
        <f t="shared" si="76"/>
        <v/>
      </c>
      <c r="LI13" s="13" t="str">
        <f t="shared" si="77"/>
        <v/>
      </c>
      <c r="LJ13" s="13" t="str">
        <f t="shared" si="78"/>
        <v/>
      </c>
      <c r="LK13" s="13" t="str">
        <f t="shared" si="79"/>
        <v/>
      </c>
      <c r="LL13" s="53"/>
      <c r="LM13" s="53"/>
      <c r="LN13" s="53"/>
      <c r="LO13" s="53"/>
      <c r="LP13" s="53"/>
      <c r="LQ13" s="53"/>
      <c r="LR13" s="53"/>
      <c r="LS13" s="53"/>
      <c r="LT13" s="53"/>
      <c r="LU13" s="53"/>
      <c r="LV13" s="53"/>
      <c r="LW13" s="53"/>
      <c r="LX13" s="53"/>
      <c r="LY13" s="53"/>
      <c r="LZ13" s="53"/>
      <c r="MA13" s="53"/>
      <c r="MB13" s="53"/>
      <c r="MC13" s="53"/>
      <c r="MD13" s="53"/>
      <c r="ME13" s="53"/>
      <c r="MF13" s="53"/>
      <c r="MG13" s="53"/>
      <c r="MH13" s="53"/>
      <c r="MI13" s="53"/>
      <c r="MJ13" s="16" t="str">
        <f t="shared" si="80"/>
        <v/>
      </c>
      <c r="MK13" s="16" t="str">
        <f t="shared" si="81"/>
        <v/>
      </c>
      <c r="ML13" s="16" t="str">
        <f t="shared" si="82"/>
        <v/>
      </c>
      <c r="MM13" s="16" t="str">
        <f t="shared" si="83"/>
        <v/>
      </c>
      <c r="MN13" s="16" t="str">
        <f t="shared" si="84"/>
        <v/>
      </c>
      <c r="MO13" s="16" t="str">
        <f t="shared" si="85"/>
        <v/>
      </c>
      <c r="MP13" s="54"/>
      <c r="MQ13" s="54"/>
      <c r="MR13" s="54"/>
      <c r="MS13" s="54"/>
      <c r="MT13" s="54"/>
      <c r="MU13" s="54"/>
      <c r="MV13" s="54"/>
      <c r="MW13" s="54"/>
      <c r="MX13" s="54"/>
      <c r="MY13" s="54"/>
      <c r="MZ13" s="54"/>
      <c r="NA13" s="54"/>
      <c r="NB13" s="54"/>
      <c r="NC13" s="54"/>
      <c r="ND13" s="54"/>
      <c r="NE13" s="54"/>
      <c r="NF13" s="54"/>
      <c r="NG13" s="54"/>
      <c r="NH13" s="54"/>
      <c r="NI13" s="54"/>
      <c r="NJ13" s="54"/>
      <c r="NK13" s="54"/>
      <c r="NL13" s="54"/>
      <c r="NM13" s="54"/>
      <c r="NN13" s="13" t="str">
        <f t="shared" si="86"/>
        <v/>
      </c>
      <c r="NO13" s="13" t="str">
        <f t="shared" si="87"/>
        <v/>
      </c>
      <c r="NP13" s="13" t="str">
        <f t="shared" si="88"/>
        <v/>
      </c>
      <c r="NQ13" s="13" t="str">
        <f t="shared" si="89"/>
        <v/>
      </c>
      <c r="NR13" s="13" t="str">
        <f t="shared" si="90"/>
        <v/>
      </c>
      <c r="NS13" s="13" t="str">
        <f t="shared" si="91"/>
        <v/>
      </c>
      <c r="NT13" s="53"/>
      <c r="NU13" s="53"/>
      <c r="NV13" s="53"/>
      <c r="NW13" s="53"/>
      <c r="NX13" s="53"/>
      <c r="NY13" s="53"/>
      <c r="NZ13" s="53"/>
      <c r="OA13" s="53"/>
      <c r="OB13" s="53"/>
      <c r="OC13" s="53"/>
      <c r="OD13" s="53"/>
      <c r="OE13" s="53"/>
      <c r="OF13" s="53"/>
      <c r="OG13" s="53"/>
      <c r="OH13" s="53"/>
      <c r="OI13" s="53"/>
      <c r="OJ13" s="53"/>
      <c r="OK13" s="53"/>
      <c r="OL13" s="53"/>
      <c r="OM13" s="53"/>
      <c r="ON13" s="53"/>
      <c r="OO13" s="53"/>
      <c r="OP13" s="53"/>
      <c r="OQ13" s="53"/>
      <c r="OR13" s="16" t="str">
        <f t="shared" si="92"/>
        <v/>
      </c>
      <c r="OS13" s="16" t="str">
        <f t="shared" si="93"/>
        <v/>
      </c>
      <c r="OT13" s="16" t="str">
        <f t="shared" si="94"/>
        <v/>
      </c>
      <c r="OU13" s="16" t="str">
        <f t="shared" si="95"/>
        <v/>
      </c>
      <c r="OV13" s="16" t="str">
        <f t="shared" si="96"/>
        <v/>
      </c>
      <c r="OW13" s="16" t="str">
        <f t="shared" si="97"/>
        <v/>
      </c>
      <c r="OX13" s="54"/>
      <c r="OY13" s="54"/>
      <c r="OZ13" s="54"/>
      <c r="PA13" s="54"/>
      <c r="PB13" s="54"/>
      <c r="PC13" s="54"/>
      <c r="PD13" s="54"/>
      <c r="PE13" s="54"/>
      <c r="PF13" s="54"/>
      <c r="PG13" s="54"/>
      <c r="PH13" s="54"/>
      <c r="PI13" s="54"/>
      <c r="PJ13" s="54"/>
      <c r="PK13" s="54"/>
      <c r="PL13" s="54"/>
      <c r="PM13" s="54"/>
      <c r="PN13" s="54"/>
      <c r="PO13" s="54"/>
      <c r="PP13" s="54"/>
      <c r="PQ13" s="54"/>
      <c r="PR13" s="54"/>
      <c r="PS13" s="54"/>
      <c r="PT13" s="54"/>
      <c r="PU13" s="54"/>
      <c r="PV13" s="13" t="str">
        <f t="shared" si="98"/>
        <v/>
      </c>
      <c r="PW13" s="13" t="str">
        <f t="shared" si="99"/>
        <v/>
      </c>
      <c r="PX13" s="13" t="str">
        <f t="shared" si="100"/>
        <v/>
      </c>
      <c r="PY13" s="13" t="str">
        <f t="shared" si="101"/>
        <v/>
      </c>
      <c r="PZ13" s="13" t="str">
        <f t="shared" si="102"/>
        <v/>
      </c>
      <c r="QA13" s="13" t="str">
        <f t="shared" si="103"/>
        <v/>
      </c>
      <c r="QB13" s="53"/>
      <c r="QC13" s="53"/>
      <c r="QD13" s="53"/>
      <c r="QE13" s="53"/>
      <c r="QF13" s="53"/>
      <c r="QG13" s="53"/>
      <c r="QH13" s="53"/>
      <c r="QI13" s="53"/>
      <c r="QJ13" s="53"/>
      <c r="QK13" s="53"/>
      <c r="QL13" s="53"/>
      <c r="QM13" s="53"/>
      <c r="QN13" s="53"/>
      <c r="QO13" s="53"/>
      <c r="QP13" s="53"/>
      <c r="QQ13" s="53"/>
      <c r="QR13" s="53"/>
      <c r="QS13" s="53"/>
      <c r="QT13" s="53"/>
      <c r="QU13" s="53"/>
      <c r="QV13" s="53"/>
      <c r="QW13" s="53"/>
      <c r="QX13" s="53"/>
      <c r="QY13" s="53"/>
      <c r="QZ13" s="16" t="str">
        <f t="shared" si="104"/>
        <v/>
      </c>
      <c r="RA13" s="16" t="str">
        <f t="shared" si="105"/>
        <v/>
      </c>
      <c r="RB13" s="16" t="str">
        <f t="shared" si="106"/>
        <v/>
      </c>
      <c r="RC13" s="16" t="str">
        <f t="shared" si="107"/>
        <v/>
      </c>
      <c r="RD13" s="16" t="str">
        <f t="shared" si="108"/>
        <v/>
      </c>
      <c r="RE13" s="16" t="str">
        <f t="shared" si="109"/>
        <v/>
      </c>
    </row>
    <row r="14" spans="1:473" x14ac:dyDescent="0.2">
      <c r="A14" s="6" t="str">
        <f t="shared" si="0"/>
        <v/>
      </c>
      <c r="B14" s="9" t="s">
        <v>67</v>
      </c>
      <c r="C14" s="5" t="s">
        <v>6</v>
      </c>
      <c r="D14" s="33">
        <v>2014</v>
      </c>
      <c r="E14" s="17">
        <f t="shared" si="1"/>
        <v>121.6</v>
      </c>
      <c r="F14" s="4" t="str">
        <f t="shared" si="2"/>
        <v/>
      </c>
      <c r="G14" s="4" t="str">
        <f t="shared" si="3"/>
        <v/>
      </c>
      <c r="H14" s="4" t="str">
        <f t="shared" si="4"/>
        <v/>
      </c>
      <c r="I14" t="str">
        <f t="shared" si="5"/>
        <v/>
      </c>
      <c r="J14" s="16">
        <f t="shared" si="6"/>
        <v>107.875</v>
      </c>
      <c r="K14" s="16" t="str">
        <f t="shared" si="7"/>
        <v>2017 3rd Domestic Trial</v>
      </c>
      <c r="L14" s="16">
        <f t="shared" si="8"/>
        <v>0</v>
      </c>
      <c r="M14" s="16" t="str">
        <f t="shared" si="9"/>
        <v/>
      </c>
      <c r="N14" s="16">
        <f t="shared" si="10"/>
        <v>0</v>
      </c>
      <c r="O14" s="16" t="str">
        <f t="shared" si="11"/>
        <v/>
      </c>
      <c r="P14" s="16">
        <f t="shared" si="12"/>
        <v>13.725</v>
      </c>
      <c r="Q14" s="16" t="str">
        <f t="shared" si="13"/>
        <v>2017 3rd Domestic Trial</v>
      </c>
      <c r="R14" s="16" t="str">
        <f t="shared" si="14"/>
        <v/>
      </c>
      <c r="S14" s="31" t="str">
        <f t="shared" si="15"/>
        <v/>
      </c>
      <c r="T14" s="16" t="str">
        <f t="shared" si="16"/>
        <v/>
      </c>
      <c r="U14" s="56">
        <v>34.174999999999997</v>
      </c>
      <c r="V14" s="56">
        <v>0</v>
      </c>
      <c r="W14" s="56">
        <v>0</v>
      </c>
      <c r="X14" s="56">
        <v>0</v>
      </c>
      <c r="Y14" s="56">
        <v>34.174999999999997</v>
      </c>
      <c r="Z14" s="56">
        <v>0</v>
      </c>
      <c r="AA14" s="56">
        <v>0</v>
      </c>
      <c r="AB14" s="56">
        <v>0</v>
      </c>
      <c r="AC14" s="56">
        <v>19.762499999999999</v>
      </c>
      <c r="AD14" s="56">
        <v>0</v>
      </c>
      <c r="AE14" s="56">
        <v>0</v>
      </c>
      <c r="AF14" s="56">
        <v>0</v>
      </c>
      <c r="AG14" s="56">
        <v>19.762499999999999</v>
      </c>
      <c r="AH14" s="56">
        <v>0</v>
      </c>
      <c r="AI14" s="56">
        <v>0</v>
      </c>
      <c r="AJ14" s="56">
        <v>0</v>
      </c>
      <c r="AK14" s="56">
        <v>6.8624999999999998</v>
      </c>
      <c r="AL14" s="56">
        <v>0</v>
      </c>
      <c r="AM14" s="56">
        <v>0</v>
      </c>
      <c r="AN14" s="56">
        <v>0</v>
      </c>
      <c r="AO14" s="56">
        <v>6.8624999999999998</v>
      </c>
      <c r="AP14" s="56">
        <v>0</v>
      </c>
      <c r="AQ14" s="56">
        <v>0</v>
      </c>
      <c r="AR14" s="56">
        <v>0</v>
      </c>
      <c r="AS14" s="13" t="str">
        <f t="shared" si="17"/>
        <v/>
      </c>
      <c r="AT14" s="13">
        <f t="shared" si="18"/>
        <v>68.349999999999994</v>
      </c>
      <c r="AU14" s="13">
        <f t="shared" si="19"/>
        <v>39.524999999999999</v>
      </c>
      <c r="AV14" s="13">
        <f t="shared" si="20"/>
        <v>107.875</v>
      </c>
      <c r="AW14" s="13">
        <f t="shared" si="21"/>
        <v>13.725</v>
      </c>
      <c r="AX14" s="13">
        <f t="shared" si="22"/>
        <v>121.6</v>
      </c>
      <c r="AY14" s="94"/>
      <c r="AZ14" s="94"/>
      <c r="BA14" s="94"/>
      <c r="BB14" s="94"/>
      <c r="BC14" s="94"/>
      <c r="BD14" s="94"/>
      <c r="BE14" s="94"/>
      <c r="BF14" s="94"/>
      <c r="BG14" s="94"/>
      <c r="BH14" s="94"/>
      <c r="BI14" s="94"/>
      <c r="BJ14" s="94"/>
      <c r="BK14" s="94"/>
      <c r="BL14" s="94"/>
      <c r="BM14" s="94"/>
      <c r="BN14" s="94"/>
      <c r="BO14" s="94"/>
      <c r="BP14" s="94"/>
      <c r="BQ14" s="94"/>
      <c r="BR14" s="94"/>
      <c r="BS14" s="94"/>
      <c r="BT14" s="94"/>
      <c r="BU14" s="94"/>
      <c r="BV14" s="94"/>
      <c r="BW14" s="16" t="str">
        <f t="shared" si="23"/>
        <v/>
      </c>
      <c r="BX14" s="16" t="str">
        <f t="shared" si="24"/>
        <v/>
      </c>
      <c r="BY14" s="16" t="str">
        <f t="shared" si="25"/>
        <v/>
      </c>
      <c r="BZ14" s="16" t="str">
        <f t="shared" si="26"/>
        <v/>
      </c>
      <c r="CA14" s="16" t="str">
        <f t="shared" si="27"/>
        <v/>
      </c>
      <c r="CB14" s="16" t="str">
        <f t="shared" si="28"/>
        <v/>
      </c>
      <c r="CC14" s="86"/>
      <c r="CD14" s="86"/>
      <c r="CE14" s="86"/>
      <c r="CF14" s="86"/>
      <c r="CG14" s="86"/>
      <c r="CH14" s="86"/>
      <c r="CI14" s="86"/>
      <c r="CJ14" s="86"/>
      <c r="CK14" s="86"/>
      <c r="CL14" s="86"/>
      <c r="CM14" s="86"/>
      <c r="CN14" s="86"/>
      <c r="CO14" s="86"/>
      <c r="CP14" s="86"/>
      <c r="CQ14" s="86"/>
      <c r="CR14" s="86"/>
      <c r="CS14" s="86"/>
      <c r="CT14" s="86"/>
      <c r="CU14" s="86"/>
      <c r="CV14" s="86"/>
      <c r="CW14" s="86"/>
      <c r="CX14" s="86"/>
      <c r="CY14" s="86"/>
      <c r="CZ14" s="86"/>
      <c r="DA14" s="13" t="str">
        <f t="shared" si="29"/>
        <v/>
      </c>
      <c r="DB14" s="13" t="str">
        <f t="shared" si="30"/>
        <v/>
      </c>
      <c r="DC14" s="13" t="str">
        <f t="shared" si="31"/>
        <v/>
      </c>
      <c r="DD14" s="13" t="str">
        <f t="shared" si="32"/>
        <v/>
      </c>
      <c r="DE14" s="13" t="str">
        <f t="shared" si="33"/>
        <v/>
      </c>
      <c r="DF14" s="13" t="str">
        <f t="shared" si="34"/>
        <v/>
      </c>
      <c r="DG14" s="30" t="str">
        <f t="shared" si="35"/>
        <v/>
      </c>
      <c r="DH14" s="30" t="str">
        <f t="shared" si="36"/>
        <v/>
      </c>
      <c r="DI14" s="30" t="str">
        <f t="shared" si="37"/>
        <v/>
      </c>
      <c r="DJ14" s="54"/>
      <c r="DK14" s="54"/>
      <c r="DL14" s="54"/>
      <c r="DM14" s="54"/>
      <c r="DN14" s="54"/>
      <c r="DO14" s="54"/>
      <c r="DP14" s="54"/>
      <c r="DQ14" s="54"/>
      <c r="DR14" s="54"/>
      <c r="DS14" s="54"/>
      <c r="DT14" s="54"/>
      <c r="DU14" s="54"/>
      <c r="DV14" s="54"/>
      <c r="DW14" s="54"/>
      <c r="DX14" s="54"/>
      <c r="DY14" s="54"/>
      <c r="DZ14" s="54"/>
      <c r="EA14" s="54"/>
      <c r="EB14" s="54"/>
      <c r="EC14" s="54"/>
      <c r="ED14" s="54"/>
      <c r="EE14" s="54"/>
      <c r="EF14" s="54"/>
      <c r="EG14" s="54"/>
      <c r="EH14" s="13" t="str">
        <f t="shared" si="38"/>
        <v/>
      </c>
      <c r="EI14" s="13" t="str">
        <f t="shared" si="39"/>
        <v/>
      </c>
      <c r="EJ14" s="13" t="str">
        <f t="shared" si="40"/>
        <v/>
      </c>
      <c r="EK14" s="13" t="str">
        <f t="shared" si="41"/>
        <v/>
      </c>
      <c r="EL14" s="13" t="str">
        <f t="shared" si="42"/>
        <v/>
      </c>
      <c r="EM14" s="13" t="str">
        <f t="shared" si="43"/>
        <v/>
      </c>
      <c r="EN14" s="53"/>
      <c r="EO14" s="53"/>
      <c r="EP14" s="53"/>
      <c r="EQ14" s="53"/>
      <c r="ER14" s="53"/>
      <c r="ES14" s="53"/>
      <c r="ET14" s="53"/>
      <c r="EU14" s="53"/>
      <c r="EV14" s="53"/>
      <c r="EW14" s="53"/>
      <c r="EX14" s="53"/>
      <c r="EY14" s="53"/>
      <c r="EZ14" s="53"/>
      <c r="FA14" s="53"/>
      <c r="FB14" s="53"/>
      <c r="FC14" s="53"/>
      <c r="FD14" s="53"/>
      <c r="FE14" s="53"/>
      <c r="FF14" s="53"/>
      <c r="FG14" s="53"/>
      <c r="FH14" s="53"/>
      <c r="FI14" s="53"/>
      <c r="FJ14" s="53"/>
      <c r="FK14" s="53"/>
      <c r="FL14" s="16" t="str">
        <f t="shared" si="44"/>
        <v/>
      </c>
      <c r="FM14" s="16" t="str">
        <f t="shared" si="45"/>
        <v/>
      </c>
      <c r="FN14" s="16" t="str">
        <f t="shared" si="46"/>
        <v/>
      </c>
      <c r="FO14" s="16" t="str">
        <f t="shared" si="47"/>
        <v/>
      </c>
      <c r="FP14" s="16" t="str">
        <f t="shared" si="48"/>
        <v/>
      </c>
      <c r="FQ14" s="16" t="str">
        <f t="shared" si="49"/>
        <v/>
      </c>
      <c r="FR14" s="54"/>
      <c r="FS14" s="54"/>
      <c r="FT14" s="54"/>
      <c r="FU14" s="54"/>
      <c r="FV14" s="54"/>
      <c r="FW14" s="54"/>
      <c r="FX14" s="54"/>
      <c r="FY14" s="54"/>
      <c r="FZ14" s="54"/>
      <c r="GA14" s="54"/>
      <c r="GB14" s="54"/>
      <c r="GC14" s="54"/>
      <c r="GD14" s="54"/>
      <c r="GE14" s="54"/>
      <c r="GF14" s="54"/>
      <c r="GG14" s="54"/>
      <c r="GH14" s="54"/>
      <c r="GI14" s="54"/>
      <c r="GJ14" s="54"/>
      <c r="GK14" s="54"/>
      <c r="GL14" s="54"/>
      <c r="GM14" s="54"/>
      <c r="GN14" s="54"/>
      <c r="GO14" s="54"/>
      <c r="GP14" s="13" t="str">
        <f t="shared" si="50"/>
        <v/>
      </c>
      <c r="GQ14" s="13" t="str">
        <f t="shared" si="51"/>
        <v/>
      </c>
      <c r="GR14" s="13" t="str">
        <f t="shared" si="52"/>
        <v/>
      </c>
      <c r="GS14" s="13" t="str">
        <f t="shared" si="53"/>
        <v/>
      </c>
      <c r="GT14" s="13" t="str">
        <f t="shared" si="54"/>
        <v/>
      </c>
      <c r="GU14" s="13" t="str">
        <f t="shared" si="55"/>
        <v/>
      </c>
      <c r="GV14" s="53"/>
      <c r="GW14" s="53"/>
      <c r="GX14" s="53"/>
      <c r="GY14" s="53"/>
      <c r="GZ14" s="53"/>
      <c r="HA14" s="53"/>
      <c r="HB14" s="53"/>
      <c r="HC14" s="53"/>
      <c r="HD14" s="53"/>
      <c r="HE14" s="53"/>
      <c r="HF14" s="53"/>
      <c r="HG14" s="53"/>
      <c r="HH14" s="53"/>
      <c r="HI14" s="53"/>
      <c r="HJ14" s="53"/>
      <c r="HK14" s="53"/>
      <c r="HL14" s="53"/>
      <c r="HM14" s="53"/>
      <c r="HN14" s="53"/>
      <c r="HO14" s="53"/>
      <c r="HP14" s="53"/>
      <c r="HQ14" s="53"/>
      <c r="HR14" s="53"/>
      <c r="HS14" s="53"/>
      <c r="HT14" s="16" t="str">
        <f t="shared" si="56"/>
        <v/>
      </c>
      <c r="HU14" s="16" t="str">
        <f t="shared" si="57"/>
        <v/>
      </c>
      <c r="HV14" s="16" t="str">
        <f t="shared" si="58"/>
        <v/>
      </c>
      <c r="HW14" s="16" t="str">
        <f t="shared" si="59"/>
        <v/>
      </c>
      <c r="HX14" s="16" t="str">
        <f t="shared" si="60"/>
        <v/>
      </c>
      <c r="HY14" s="16" t="str">
        <f t="shared" si="61"/>
        <v/>
      </c>
      <c r="HZ14" s="54"/>
      <c r="IA14" s="54"/>
      <c r="IB14" s="54"/>
      <c r="IC14" s="54"/>
      <c r="ID14" s="54"/>
      <c r="IE14" s="54"/>
      <c r="IF14" s="54"/>
      <c r="IG14" s="54"/>
      <c r="IH14" s="54"/>
      <c r="II14" s="54"/>
      <c r="IJ14" s="54"/>
      <c r="IK14" s="54"/>
      <c r="IL14" s="54"/>
      <c r="IM14" s="54"/>
      <c r="IN14" s="54"/>
      <c r="IO14" s="54"/>
      <c r="IP14" s="54"/>
      <c r="IQ14" s="54"/>
      <c r="IR14" s="54"/>
      <c r="IS14" s="54"/>
      <c r="IT14" s="54"/>
      <c r="IU14" s="54"/>
      <c r="IV14" s="54"/>
      <c r="IW14" s="54"/>
      <c r="IX14" s="13" t="str">
        <f t="shared" si="62"/>
        <v/>
      </c>
      <c r="IY14" s="13" t="str">
        <f t="shared" si="63"/>
        <v/>
      </c>
      <c r="IZ14" s="13" t="str">
        <f t="shared" si="64"/>
        <v/>
      </c>
      <c r="JA14" s="13" t="str">
        <f t="shared" si="65"/>
        <v/>
      </c>
      <c r="JB14" s="13" t="str">
        <f t="shared" si="66"/>
        <v/>
      </c>
      <c r="JC14" s="13" t="str">
        <f t="shared" si="67"/>
        <v/>
      </c>
      <c r="JD14" s="53"/>
      <c r="JE14" s="53"/>
      <c r="JF14" s="53"/>
      <c r="JG14" s="53"/>
      <c r="JH14" s="53"/>
      <c r="JI14" s="53"/>
      <c r="JJ14" s="53"/>
      <c r="JK14" s="53"/>
      <c r="JL14" s="53"/>
      <c r="JM14" s="53"/>
      <c r="JN14" s="53"/>
      <c r="JO14" s="53"/>
      <c r="JP14" s="53"/>
      <c r="JQ14" s="53"/>
      <c r="JR14" s="53"/>
      <c r="JS14" s="53"/>
      <c r="JT14" s="53"/>
      <c r="JU14" s="53"/>
      <c r="JV14" s="53"/>
      <c r="JW14" s="53"/>
      <c r="JX14" s="53"/>
      <c r="JY14" s="53"/>
      <c r="JZ14" s="53"/>
      <c r="KA14" s="53"/>
      <c r="KB14" s="16" t="str">
        <f t="shared" si="68"/>
        <v/>
      </c>
      <c r="KC14" s="16" t="str">
        <f t="shared" si="69"/>
        <v/>
      </c>
      <c r="KD14" s="16" t="str">
        <f t="shared" si="70"/>
        <v/>
      </c>
      <c r="KE14" s="16" t="str">
        <f t="shared" si="71"/>
        <v/>
      </c>
      <c r="KF14" s="16" t="str">
        <f t="shared" si="72"/>
        <v/>
      </c>
      <c r="KG14" s="16" t="str">
        <f t="shared" si="73"/>
        <v/>
      </c>
      <c r="KH14" s="54"/>
      <c r="KI14" s="54"/>
      <c r="KJ14" s="54"/>
      <c r="KK14" s="54"/>
      <c r="KL14" s="54"/>
      <c r="KM14" s="54"/>
      <c r="KN14" s="54"/>
      <c r="KO14" s="54"/>
      <c r="KP14" s="54"/>
      <c r="KQ14" s="54"/>
      <c r="KR14" s="54"/>
      <c r="KS14" s="54"/>
      <c r="KT14" s="54"/>
      <c r="KU14" s="54"/>
      <c r="KV14" s="54"/>
      <c r="KW14" s="54"/>
      <c r="KX14" s="54"/>
      <c r="KY14" s="54"/>
      <c r="KZ14" s="54"/>
      <c r="LA14" s="54"/>
      <c r="LB14" s="54"/>
      <c r="LC14" s="54"/>
      <c r="LD14" s="54"/>
      <c r="LE14" s="54"/>
      <c r="LF14" s="13" t="str">
        <f t="shared" si="74"/>
        <v/>
      </c>
      <c r="LG14" s="13" t="str">
        <f t="shared" si="75"/>
        <v/>
      </c>
      <c r="LH14" s="13" t="str">
        <f t="shared" si="76"/>
        <v/>
      </c>
      <c r="LI14" s="13" t="str">
        <f t="shared" si="77"/>
        <v/>
      </c>
      <c r="LJ14" s="13" t="str">
        <f t="shared" si="78"/>
        <v/>
      </c>
      <c r="LK14" s="13" t="str">
        <f t="shared" si="79"/>
        <v/>
      </c>
      <c r="LL14" s="53"/>
      <c r="LM14" s="53"/>
      <c r="LN14" s="53"/>
      <c r="LO14" s="53"/>
      <c r="LP14" s="53"/>
      <c r="LQ14" s="53"/>
      <c r="LR14" s="53"/>
      <c r="LS14" s="53"/>
      <c r="LT14" s="53"/>
      <c r="LU14" s="53"/>
      <c r="LV14" s="53"/>
      <c r="LW14" s="53"/>
      <c r="LX14" s="53"/>
      <c r="LY14" s="53"/>
      <c r="LZ14" s="53"/>
      <c r="MA14" s="53"/>
      <c r="MB14" s="53"/>
      <c r="MC14" s="53"/>
      <c r="MD14" s="53"/>
      <c r="ME14" s="53"/>
      <c r="MF14" s="53"/>
      <c r="MG14" s="53"/>
      <c r="MH14" s="53"/>
      <c r="MI14" s="53"/>
      <c r="MJ14" s="16" t="str">
        <f t="shared" si="80"/>
        <v/>
      </c>
      <c r="MK14" s="16" t="str">
        <f t="shared" si="81"/>
        <v/>
      </c>
      <c r="ML14" s="16" t="str">
        <f t="shared" si="82"/>
        <v/>
      </c>
      <c r="MM14" s="16" t="str">
        <f t="shared" si="83"/>
        <v/>
      </c>
      <c r="MN14" s="16" t="str">
        <f t="shared" si="84"/>
        <v/>
      </c>
      <c r="MO14" s="16" t="str">
        <f t="shared" si="85"/>
        <v/>
      </c>
      <c r="MP14" s="54"/>
      <c r="MQ14" s="54"/>
      <c r="MR14" s="54"/>
      <c r="MS14" s="54"/>
      <c r="MT14" s="54"/>
      <c r="MU14" s="54"/>
      <c r="MV14" s="54"/>
      <c r="MW14" s="54"/>
      <c r="MX14" s="54"/>
      <c r="MY14" s="54"/>
      <c r="MZ14" s="54"/>
      <c r="NA14" s="54"/>
      <c r="NB14" s="54"/>
      <c r="NC14" s="54"/>
      <c r="ND14" s="54"/>
      <c r="NE14" s="54"/>
      <c r="NF14" s="54"/>
      <c r="NG14" s="54"/>
      <c r="NH14" s="54"/>
      <c r="NI14" s="54"/>
      <c r="NJ14" s="54"/>
      <c r="NK14" s="54"/>
      <c r="NL14" s="54"/>
      <c r="NM14" s="54"/>
      <c r="NN14" s="13" t="str">
        <f t="shared" si="86"/>
        <v/>
      </c>
      <c r="NO14" s="13" t="str">
        <f t="shared" si="87"/>
        <v/>
      </c>
      <c r="NP14" s="13" t="str">
        <f t="shared" si="88"/>
        <v/>
      </c>
      <c r="NQ14" s="13" t="str">
        <f t="shared" si="89"/>
        <v/>
      </c>
      <c r="NR14" s="13" t="str">
        <f t="shared" si="90"/>
        <v/>
      </c>
      <c r="NS14" s="13" t="str">
        <f t="shared" si="91"/>
        <v/>
      </c>
      <c r="NT14" s="53"/>
      <c r="NU14" s="53"/>
      <c r="NV14" s="53"/>
      <c r="NW14" s="53"/>
      <c r="NX14" s="53"/>
      <c r="NY14" s="53"/>
      <c r="NZ14" s="53"/>
      <c r="OA14" s="53"/>
      <c r="OB14" s="53"/>
      <c r="OC14" s="53"/>
      <c r="OD14" s="53"/>
      <c r="OE14" s="53"/>
      <c r="OF14" s="53"/>
      <c r="OG14" s="53"/>
      <c r="OH14" s="53"/>
      <c r="OI14" s="53"/>
      <c r="OJ14" s="53"/>
      <c r="OK14" s="53"/>
      <c r="OL14" s="53"/>
      <c r="OM14" s="53"/>
      <c r="ON14" s="53"/>
      <c r="OO14" s="53"/>
      <c r="OP14" s="53"/>
      <c r="OQ14" s="53"/>
      <c r="OR14" s="16" t="str">
        <f t="shared" si="92"/>
        <v/>
      </c>
      <c r="OS14" s="16" t="str">
        <f t="shared" si="93"/>
        <v/>
      </c>
      <c r="OT14" s="16" t="str">
        <f t="shared" si="94"/>
        <v/>
      </c>
      <c r="OU14" s="16" t="str">
        <f t="shared" si="95"/>
        <v/>
      </c>
      <c r="OV14" s="16" t="str">
        <f t="shared" si="96"/>
        <v/>
      </c>
      <c r="OW14" s="16" t="str">
        <f t="shared" si="97"/>
        <v/>
      </c>
      <c r="OX14" s="54"/>
      <c r="OY14" s="54"/>
      <c r="OZ14" s="54"/>
      <c r="PA14" s="54"/>
      <c r="PB14" s="54"/>
      <c r="PC14" s="54"/>
      <c r="PD14" s="54"/>
      <c r="PE14" s="54"/>
      <c r="PF14" s="54"/>
      <c r="PG14" s="54"/>
      <c r="PH14" s="54"/>
      <c r="PI14" s="54"/>
      <c r="PJ14" s="54"/>
      <c r="PK14" s="54"/>
      <c r="PL14" s="54"/>
      <c r="PM14" s="54"/>
      <c r="PN14" s="54"/>
      <c r="PO14" s="54"/>
      <c r="PP14" s="54"/>
      <c r="PQ14" s="54"/>
      <c r="PR14" s="54"/>
      <c r="PS14" s="54"/>
      <c r="PT14" s="54"/>
      <c r="PU14" s="54"/>
      <c r="PV14" s="13" t="str">
        <f t="shared" si="98"/>
        <v/>
      </c>
      <c r="PW14" s="13" t="str">
        <f t="shared" si="99"/>
        <v/>
      </c>
      <c r="PX14" s="13" t="str">
        <f t="shared" si="100"/>
        <v/>
      </c>
      <c r="PY14" s="13" t="str">
        <f t="shared" si="101"/>
        <v/>
      </c>
      <c r="PZ14" s="13" t="str">
        <f t="shared" si="102"/>
        <v/>
      </c>
      <c r="QA14" s="13" t="str">
        <f t="shared" si="103"/>
        <v/>
      </c>
      <c r="QB14" s="53"/>
      <c r="QC14" s="53"/>
      <c r="QD14" s="53"/>
      <c r="QE14" s="53"/>
      <c r="QF14" s="53"/>
      <c r="QG14" s="53"/>
      <c r="QH14" s="53"/>
      <c r="QI14" s="53"/>
      <c r="QJ14" s="53"/>
      <c r="QK14" s="53"/>
      <c r="QL14" s="53"/>
      <c r="QM14" s="53"/>
      <c r="QN14" s="53"/>
      <c r="QO14" s="53"/>
      <c r="QP14" s="53"/>
      <c r="QQ14" s="53"/>
      <c r="QR14" s="53"/>
      <c r="QS14" s="53"/>
      <c r="QT14" s="53"/>
      <c r="QU14" s="53"/>
      <c r="QV14" s="53"/>
      <c r="QW14" s="53"/>
      <c r="QX14" s="53"/>
      <c r="QY14" s="53"/>
      <c r="QZ14" s="16" t="str">
        <f t="shared" si="104"/>
        <v/>
      </c>
      <c r="RA14" s="16" t="str">
        <f t="shared" si="105"/>
        <v/>
      </c>
      <c r="RB14" s="16" t="str">
        <f t="shared" si="106"/>
        <v/>
      </c>
      <c r="RC14" s="16" t="str">
        <f t="shared" si="107"/>
        <v/>
      </c>
      <c r="RD14" s="16" t="str">
        <f t="shared" si="108"/>
        <v/>
      </c>
      <c r="RE14" s="16" t="str">
        <f t="shared" si="109"/>
        <v/>
      </c>
    </row>
    <row r="15" spans="1:473" x14ac:dyDescent="0.2">
      <c r="A15" s="6" t="str">
        <f t="shared" si="0"/>
        <v/>
      </c>
      <c r="B15" s="9" t="s">
        <v>66</v>
      </c>
      <c r="C15" s="5" t="s">
        <v>4</v>
      </c>
      <c r="D15" s="33">
        <v>2015</v>
      </c>
      <c r="E15" s="17">
        <f t="shared" si="1"/>
        <v>62.95</v>
      </c>
      <c r="F15" s="4" t="str">
        <f t="shared" si="2"/>
        <v/>
      </c>
      <c r="G15" s="4" t="str">
        <f t="shared" si="3"/>
        <v/>
      </c>
      <c r="H15" s="4" t="str">
        <f t="shared" si="4"/>
        <v/>
      </c>
      <c r="I15" t="str">
        <f t="shared" si="5"/>
        <v/>
      </c>
      <c r="J15" s="16">
        <f t="shared" si="6"/>
        <v>46.875</v>
      </c>
      <c r="K15" s="16" t="str">
        <f t="shared" si="7"/>
        <v>2017 3rd Domestic Trial</v>
      </c>
      <c r="L15" s="16">
        <f t="shared" si="8"/>
        <v>0</v>
      </c>
      <c r="M15" s="16" t="str">
        <f t="shared" si="9"/>
        <v/>
      </c>
      <c r="N15" s="16">
        <f t="shared" si="10"/>
        <v>0</v>
      </c>
      <c r="O15" s="16" t="str">
        <f t="shared" si="11"/>
        <v/>
      </c>
      <c r="P15" s="16">
        <f t="shared" si="12"/>
        <v>16.074999999999999</v>
      </c>
      <c r="Q15" s="16" t="str">
        <f t="shared" si="13"/>
        <v>2017 3rd Domestic Trial</v>
      </c>
      <c r="R15" s="16" t="str">
        <f t="shared" si="14"/>
        <v/>
      </c>
      <c r="S15" s="31" t="str">
        <f t="shared" si="15"/>
        <v/>
      </c>
      <c r="T15" s="16" t="str">
        <f t="shared" si="16"/>
        <v/>
      </c>
      <c r="U15" s="55">
        <v>20</v>
      </c>
      <c r="V15" s="55">
        <v>2.4</v>
      </c>
      <c r="W15" s="55">
        <v>0</v>
      </c>
      <c r="X15" s="55">
        <v>0</v>
      </c>
      <c r="Y15" s="56">
        <v>8.4</v>
      </c>
      <c r="Z15" s="56">
        <v>0</v>
      </c>
      <c r="AA15" s="56">
        <v>0</v>
      </c>
      <c r="AB15" s="56">
        <v>0</v>
      </c>
      <c r="AC15" s="56">
        <v>7.7249999999999996</v>
      </c>
      <c r="AD15" s="56">
        <v>0</v>
      </c>
      <c r="AE15" s="56">
        <v>0</v>
      </c>
      <c r="AF15" s="56">
        <v>0</v>
      </c>
      <c r="AG15" s="56">
        <v>8.35</v>
      </c>
      <c r="AH15" s="56">
        <v>0</v>
      </c>
      <c r="AI15" s="56">
        <v>0</v>
      </c>
      <c r="AJ15" s="56">
        <v>0</v>
      </c>
      <c r="AK15" s="56">
        <v>7.7249999999999996</v>
      </c>
      <c r="AL15" s="56">
        <v>0</v>
      </c>
      <c r="AM15" s="56">
        <v>0</v>
      </c>
      <c r="AN15" s="56">
        <v>0</v>
      </c>
      <c r="AO15" s="56">
        <v>8.35</v>
      </c>
      <c r="AP15" s="56">
        <v>0</v>
      </c>
      <c r="AQ15" s="56">
        <v>0</v>
      </c>
      <c r="AR15" s="56">
        <v>0</v>
      </c>
      <c r="AS15" s="13">
        <f t="shared" si="17"/>
        <v>2.4</v>
      </c>
      <c r="AT15" s="13">
        <f t="shared" si="18"/>
        <v>30.799999999999997</v>
      </c>
      <c r="AU15" s="13">
        <f t="shared" si="19"/>
        <v>16.074999999999999</v>
      </c>
      <c r="AV15" s="13">
        <f t="shared" si="20"/>
        <v>46.875</v>
      </c>
      <c r="AW15" s="13">
        <f t="shared" si="21"/>
        <v>16.074999999999999</v>
      </c>
      <c r="AX15" s="13">
        <f t="shared" si="22"/>
        <v>62.95</v>
      </c>
      <c r="AY15" s="94"/>
      <c r="AZ15" s="94"/>
      <c r="BA15" s="94"/>
      <c r="BB15" s="94"/>
      <c r="BC15" s="94"/>
      <c r="BD15" s="94"/>
      <c r="BE15" s="94"/>
      <c r="BF15" s="94"/>
      <c r="BG15" s="94"/>
      <c r="BH15" s="94"/>
      <c r="BI15" s="94"/>
      <c r="BJ15" s="94"/>
      <c r="BK15" s="94"/>
      <c r="BL15" s="94"/>
      <c r="BM15" s="94"/>
      <c r="BN15" s="94"/>
      <c r="BO15" s="94"/>
      <c r="BP15" s="94"/>
      <c r="BQ15" s="94"/>
      <c r="BR15" s="94"/>
      <c r="BS15" s="94"/>
      <c r="BT15" s="94"/>
      <c r="BU15" s="94"/>
      <c r="BV15" s="94"/>
      <c r="BW15" s="16" t="str">
        <f t="shared" si="23"/>
        <v/>
      </c>
      <c r="BX15" s="16" t="str">
        <f t="shared" si="24"/>
        <v/>
      </c>
      <c r="BY15" s="16" t="str">
        <f t="shared" si="25"/>
        <v/>
      </c>
      <c r="BZ15" s="16" t="str">
        <f t="shared" si="26"/>
        <v/>
      </c>
      <c r="CA15" s="16" t="str">
        <f t="shared" si="27"/>
        <v/>
      </c>
      <c r="CB15" s="16" t="str">
        <f t="shared" si="28"/>
        <v/>
      </c>
      <c r="CC15" s="47"/>
      <c r="CD15" s="47"/>
      <c r="CE15" s="47"/>
      <c r="CF15" s="47"/>
      <c r="CG15" s="59"/>
      <c r="CH15" s="59"/>
      <c r="CI15" s="59"/>
      <c r="CJ15" s="59"/>
      <c r="CK15" s="59"/>
      <c r="CL15" s="59"/>
      <c r="CM15" s="59"/>
      <c r="CN15" s="59"/>
      <c r="CO15" s="59"/>
      <c r="CP15" s="59"/>
      <c r="CQ15" s="59"/>
      <c r="CR15" s="59"/>
      <c r="CS15" s="59"/>
      <c r="CT15" s="59"/>
      <c r="CU15" s="59"/>
      <c r="CV15" s="59"/>
      <c r="CW15" s="59"/>
      <c r="CX15" s="59"/>
      <c r="CY15" s="59"/>
      <c r="CZ15" s="59"/>
      <c r="DA15" s="13" t="str">
        <f t="shared" si="29"/>
        <v/>
      </c>
      <c r="DB15" s="13" t="str">
        <f t="shared" si="30"/>
        <v/>
      </c>
      <c r="DC15" s="13" t="str">
        <f t="shared" si="31"/>
        <v/>
      </c>
      <c r="DD15" s="13" t="str">
        <f t="shared" si="32"/>
        <v/>
      </c>
      <c r="DE15" s="13" t="str">
        <f t="shared" si="33"/>
        <v/>
      </c>
      <c r="DF15" s="13" t="str">
        <f t="shared" si="34"/>
        <v/>
      </c>
      <c r="DG15" s="30" t="str">
        <f t="shared" si="35"/>
        <v/>
      </c>
      <c r="DH15" s="30" t="str">
        <f t="shared" si="36"/>
        <v/>
      </c>
      <c r="DI15" s="30" t="str">
        <f t="shared" si="37"/>
        <v/>
      </c>
      <c r="DJ15" s="54"/>
      <c r="DK15" s="54"/>
      <c r="DL15" s="54"/>
      <c r="DM15" s="54"/>
      <c r="DN15" s="54"/>
      <c r="DO15" s="54"/>
      <c r="DP15" s="54"/>
      <c r="DQ15" s="54"/>
      <c r="DR15" s="54"/>
      <c r="DS15" s="54"/>
      <c r="DT15" s="54"/>
      <c r="DU15" s="54"/>
      <c r="DV15" s="54"/>
      <c r="DW15" s="54"/>
      <c r="DX15" s="54"/>
      <c r="DY15" s="54"/>
      <c r="DZ15" s="54"/>
      <c r="EA15" s="54"/>
      <c r="EB15" s="54"/>
      <c r="EC15" s="54"/>
      <c r="ED15" s="54"/>
      <c r="EE15" s="54"/>
      <c r="EF15" s="54"/>
      <c r="EG15" s="54"/>
      <c r="EH15" s="13" t="str">
        <f t="shared" si="38"/>
        <v/>
      </c>
      <c r="EI15" s="13" t="str">
        <f t="shared" si="39"/>
        <v/>
      </c>
      <c r="EJ15" s="13" t="str">
        <f t="shared" si="40"/>
        <v/>
      </c>
      <c r="EK15" s="13" t="str">
        <f t="shared" si="41"/>
        <v/>
      </c>
      <c r="EL15" s="13" t="str">
        <f t="shared" si="42"/>
        <v/>
      </c>
      <c r="EM15" s="13" t="str">
        <f t="shared" si="43"/>
        <v/>
      </c>
      <c r="EN15" s="53"/>
      <c r="EO15" s="53"/>
      <c r="EP15" s="53"/>
      <c r="EQ15" s="53"/>
      <c r="ER15" s="53"/>
      <c r="ES15" s="53"/>
      <c r="ET15" s="53"/>
      <c r="EU15" s="53"/>
      <c r="EV15" s="53"/>
      <c r="EW15" s="53"/>
      <c r="EX15" s="53"/>
      <c r="EY15" s="53"/>
      <c r="EZ15" s="53"/>
      <c r="FA15" s="53"/>
      <c r="FB15" s="53"/>
      <c r="FC15" s="53"/>
      <c r="FD15" s="53"/>
      <c r="FE15" s="53"/>
      <c r="FF15" s="53"/>
      <c r="FG15" s="53"/>
      <c r="FH15" s="53"/>
      <c r="FI15" s="53"/>
      <c r="FJ15" s="53"/>
      <c r="FK15" s="53"/>
      <c r="FL15" s="16" t="str">
        <f t="shared" si="44"/>
        <v/>
      </c>
      <c r="FM15" s="16" t="str">
        <f t="shared" si="45"/>
        <v/>
      </c>
      <c r="FN15" s="16" t="str">
        <f t="shared" si="46"/>
        <v/>
      </c>
      <c r="FO15" s="16" t="str">
        <f t="shared" si="47"/>
        <v/>
      </c>
      <c r="FP15" s="16" t="str">
        <f t="shared" si="48"/>
        <v/>
      </c>
      <c r="FQ15" s="16" t="str">
        <f t="shared" si="49"/>
        <v/>
      </c>
      <c r="FR15" s="54"/>
      <c r="FS15" s="54"/>
      <c r="FT15" s="54"/>
      <c r="FU15" s="54"/>
      <c r="FV15" s="54"/>
      <c r="FW15" s="54"/>
      <c r="FX15" s="54"/>
      <c r="FY15" s="54"/>
      <c r="FZ15" s="54"/>
      <c r="GA15" s="54"/>
      <c r="GB15" s="54"/>
      <c r="GC15" s="54"/>
      <c r="GD15" s="54"/>
      <c r="GE15" s="54"/>
      <c r="GF15" s="54"/>
      <c r="GG15" s="54"/>
      <c r="GH15" s="54"/>
      <c r="GI15" s="54"/>
      <c r="GJ15" s="54"/>
      <c r="GK15" s="54"/>
      <c r="GL15" s="54"/>
      <c r="GM15" s="54"/>
      <c r="GN15" s="54"/>
      <c r="GO15" s="54"/>
      <c r="GP15" s="13" t="str">
        <f t="shared" si="50"/>
        <v/>
      </c>
      <c r="GQ15" s="13" t="str">
        <f t="shared" si="51"/>
        <v/>
      </c>
      <c r="GR15" s="13" t="str">
        <f t="shared" si="52"/>
        <v/>
      </c>
      <c r="GS15" s="13" t="str">
        <f t="shared" si="53"/>
        <v/>
      </c>
      <c r="GT15" s="13" t="str">
        <f t="shared" si="54"/>
        <v/>
      </c>
      <c r="GU15" s="13" t="str">
        <f t="shared" si="55"/>
        <v/>
      </c>
      <c r="GV15" s="53"/>
      <c r="GW15" s="53"/>
      <c r="GX15" s="53"/>
      <c r="GY15" s="53"/>
      <c r="GZ15" s="53"/>
      <c r="HA15" s="53"/>
      <c r="HB15" s="53"/>
      <c r="HC15" s="53"/>
      <c r="HD15" s="53"/>
      <c r="HE15" s="53"/>
      <c r="HF15" s="53"/>
      <c r="HG15" s="53"/>
      <c r="HH15" s="53"/>
      <c r="HI15" s="53"/>
      <c r="HJ15" s="53"/>
      <c r="HK15" s="53"/>
      <c r="HL15" s="53"/>
      <c r="HM15" s="53"/>
      <c r="HN15" s="53"/>
      <c r="HO15" s="53"/>
      <c r="HP15" s="53"/>
      <c r="HQ15" s="53"/>
      <c r="HR15" s="53"/>
      <c r="HS15" s="53"/>
      <c r="HT15" s="16" t="str">
        <f t="shared" si="56"/>
        <v/>
      </c>
      <c r="HU15" s="16" t="str">
        <f t="shared" si="57"/>
        <v/>
      </c>
      <c r="HV15" s="16" t="str">
        <f t="shared" si="58"/>
        <v/>
      </c>
      <c r="HW15" s="16" t="str">
        <f t="shared" si="59"/>
        <v/>
      </c>
      <c r="HX15" s="16" t="str">
        <f t="shared" si="60"/>
        <v/>
      </c>
      <c r="HY15" s="16" t="str">
        <f t="shared" si="61"/>
        <v/>
      </c>
      <c r="HZ15" s="54"/>
      <c r="IA15" s="54"/>
      <c r="IB15" s="54"/>
      <c r="IC15" s="54"/>
      <c r="ID15" s="54"/>
      <c r="IE15" s="54"/>
      <c r="IF15" s="54"/>
      <c r="IG15" s="54"/>
      <c r="IH15" s="54"/>
      <c r="II15" s="54"/>
      <c r="IJ15" s="54"/>
      <c r="IK15" s="54"/>
      <c r="IL15" s="54"/>
      <c r="IM15" s="54"/>
      <c r="IN15" s="54"/>
      <c r="IO15" s="54"/>
      <c r="IP15" s="54"/>
      <c r="IQ15" s="54"/>
      <c r="IR15" s="54"/>
      <c r="IS15" s="54"/>
      <c r="IT15" s="54"/>
      <c r="IU15" s="54"/>
      <c r="IV15" s="54"/>
      <c r="IW15" s="54"/>
      <c r="IX15" s="13" t="str">
        <f t="shared" si="62"/>
        <v/>
      </c>
      <c r="IY15" s="13" t="str">
        <f t="shared" si="63"/>
        <v/>
      </c>
      <c r="IZ15" s="13" t="str">
        <f t="shared" si="64"/>
        <v/>
      </c>
      <c r="JA15" s="13" t="str">
        <f t="shared" si="65"/>
        <v/>
      </c>
      <c r="JB15" s="13" t="str">
        <f t="shared" si="66"/>
        <v/>
      </c>
      <c r="JC15" s="13" t="str">
        <f t="shared" si="67"/>
        <v/>
      </c>
      <c r="JD15" s="53"/>
      <c r="JE15" s="53"/>
      <c r="JF15" s="53"/>
      <c r="JG15" s="53"/>
      <c r="JH15" s="53"/>
      <c r="JI15" s="53"/>
      <c r="JJ15" s="53"/>
      <c r="JK15" s="53"/>
      <c r="JL15" s="53"/>
      <c r="JM15" s="53"/>
      <c r="JN15" s="53"/>
      <c r="JO15" s="53"/>
      <c r="JP15" s="53"/>
      <c r="JQ15" s="53"/>
      <c r="JR15" s="53"/>
      <c r="JS15" s="53"/>
      <c r="JT15" s="53"/>
      <c r="JU15" s="53"/>
      <c r="JV15" s="53"/>
      <c r="JW15" s="53"/>
      <c r="JX15" s="53"/>
      <c r="JY15" s="53"/>
      <c r="JZ15" s="53"/>
      <c r="KA15" s="53"/>
      <c r="KB15" s="16" t="str">
        <f t="shared" si="68"/>
        <v/>
      </c>
      <c r="KC15" s="16" t="str">
        <f t="shared" si="69"/>
        <v/>
      </c>
      <c r="KD15" s="16" t="str">
        <f t="shared" si="70"/>
        <v/>
      </c>
      <c r="KE15" s="16" t="str">
        <f t="shared" si="71"/>
        <v/>
      </c>
      <c r="KF15" s="16" t="str">
        <f t="shared" si="72"/>
        <v/>
      </c>
      <c r="KG15" s="16" t="str">
        <f t="shared" si="73"/>
        <v/>
      </c>
      <c r="KH15" s="54"/>
      <c r="KI15" s="54"/>
      <c r="KJ15" s="54"/>
      <c r="KK15" s="54"/>
      <c r="KL15" s="54"/>
      <c r="KM15" s="54"/>
      <c r="KN15" s="54"/>
      <c r="KO15" s="54"/>
      <c r="KP15" s="54"/>
      <c r="KQ15" s="54"/>
      <c r="KR15" s="54"/>
      <c r="KS15" s="54"/>
      <c r="KT15" s="54"/>
      <c r="KU15" s="54"/>
      <c r="KV15" s="54"/>
      <c r="KW15" s="54"/>
      <c r="KX15" s="54"/>
      <c r="KY15" s="54"/>
      <c r="KZ15" s="54"/>
      <c r="LA15" s="54"/>
      <c r="LB15" s="54"/>
      <c r="LC15" s="54"/>
      <c r="LD15" s="54"/>
      <c r="LE15" s="54"/>
      <c r="LF15" s="13" t="str">
        <f t="shared" si="74"/>
        <v/>
      </c>
      <c r="LG15" s="13" t="str">
        <f t="shared" si="75"/>
        <v/>
      </c>
      <c r="LH15" s="13" t="str">
        <f t="shared" si="76"/>
        <v/>
      </c>
      <c r="LI15" s="13" t="str">
        <f t="shared" si="77"/>
        <v/>
      </c>
      <c r="LJ15" s="13" t="str">
        <f t="shared" si="78"/>
        <v/>
      </c>
      <c r="LK15" s="13" t="str">
        <f t="shared" si="79"/>
        <v/>
      </c>
      <c r="LL15" s="53"/>
      <c r="LM15" s="53"/>
      <c r="LN15" s="53"/>
      <c r="LO15" s="53"/>
      <c r="LP15" s="53"/>
      <c r="LQ15" s="53"/>
      <c r="LR15" s="53"/>
      <c r="LS15" s="53"/>
      <c r="LT15" s="53"/>
      <c r="LU15" s="53"/>
      <c r="LV15" s="53"/>
      <c r="LW15" s="53"/>
      <c r="LX15" s="53"/>
      <c r="LY15" s="53"/>
      <c r="LZ15" s="53"/>
      <c r="MA15" s="53"/>
      <c r="MB15" s="53"/>
      <c r="MC15" s="53"/>
      <c r="MD15" s="53"/>
      <c r="ME15" s="53"/>
      <c r="MF15" s="53"/>
      <c r="MG15" s="53"/>
      <c r="MH15" s="53"/>
      <c r="MI15" s="53"/>
      <c r="MJ15" s="16" t="str">
        <f t="shared" si="80"/>
        <v/>
      </c>
      <c r="MK15" s="16" t="str">
        <f t="shared" si="81"/>
        <v/>
      </c>
      <c r="ML15" s="16" t="str">
        <f t="shared" si="82"/>
        <v/>
      </c>
      <c r="MM15" s="16" t="str">
        <f t="shared" si="83"/>
        <v/>
      </c>
      <c r="MN15" s="16" t="str">
        <f t="shared" si="84"/>
        <v/>
      </c>
      <c r="MO15" s="16" t="str">
        <f t="shared" si="85"/>
        <v/>
      </c>
      <c r="MP15" s="54"/>
      <c r="MQ15" s="54"/>
      <c r="MR15" s="54"/>
      <c r="MS15" s="54"/>
      <c r="MT15" s="54"/>
      <c r="MU15" s="54"/>
      <c r="MV15" s="54"/>
      <c r="MW15" s="54"/>
      <c r="MX15" s="54"/>
      <c r="MY15" s="54"/>
      <c r="MZ15" s="54"/>
      <c r="NA15" s="54"/>
      <c r="NB15" s="54"/>
      <c r="NC15" s="54"/>
      <c r="ND15" s="54"/>
      <c r="NE15" s="54"/>
      <c r="NF15" s="54"/>
      <c r="NG15" s="54"/>
      <c r="NH15" s="54"/>
      <c r="NI15" s="54"/>
      <c r="NJ15" s="54"/>
      <c r="NK15" s="54"/>
      <c r="NL15" s="54"/>
      <c r="NM15" s="54"/>
      <c r="NN15" s="13" t="str">
        <f t="shared" si="86"/>
        <v/>
      </c>
      <c r="NO15" s="13" t="str">
        <f t="shared" si="87"/>
        <v/>
      </c>
      <c r="NP15" s="13" t="str">
        <f t="shared" si="88"/>
        <v/>
      </c>
      <c r="NQ15" s="13" t="str">
        <f t="shared" si="89"/>
        <v/>
      </c>
      <c r="NR15" s="13" t="str">
        <f t="shared" si="90"/>
        <v/>
      </c>
      <c r="NS15" s="13" t="str">
        <f t="shared" si="91"/>
        <v/>
      </c>
      <c r="NT15" s="53"/>
      <c r="NU15" s="53"/>
      <c r="NV15" s="53"/>
      <c r="NW15" s="53"/>
      <c r="NX15" s="53"/>
      <c r="NY15" s="53"/>
      <c r="NZ15" s="53"/>
      <c r="OA15" s="53"/>
      <c r="OB15" s="53"/>
      <c r="OC15" s="53"/>
      <c r="OD15" s="53"/>
      <c r="OE15" s="53"/>
      <c r="OF15" s="53"/>
      <c r="OG15" s="53"/>
      <c r="OH15" s="53"/>
      <c r="OI15" s="53"/>
      <c r="OJ15" s="53"/>
      <c r="OK15" s="53"/>
      <c r="OL15" s="53"/>
      <c r="OM15" s="53"/>
      <c r="ON15" s="53"/>
      <c r="OO15" s="53"/>
      <c r="OP15" s="53"/>
      <c r="OQ15" s="53"/>
      <c r="OR15" s="16" t="str">
        <f t="shared" si="92"/>
        <v/>
      </c>
      <c r="OS15" s="16" t="str">
        <f t="shared" si="93"/>
        <v/>
      </c>
      <c r="OT15" s="16" t="str">
        <f t="shared" si="94"/>
        <v/>
      </c>
      <c r="OU15" s="16" t="str">
        <f t="shared" si="95"/>
        <v/>
      </c>
      <c r="OV15" s="16" t="str">
        <f t="shared" si="96"/>
        <v/>
      </c>
      <c r="OW15" s="16" t="str">
        <f t="shared" si="97"/>
        <v/>
      </c>
      <c r="OX15" s="54"/>
      <c r="OY15" s="54"/>
      <c r="OZ15" s="54"/>
      <c r="PA15" s="54"/>
      <c r="PB15" s="54"/>
      <c r="PC15" s="54"/>
      <c r="PD15" s="54"/>
      <c r="PE15" s="54"/>
      <c r="PF15" s="54"/>
      <c r="PG15" s="54"/>
      <c r="PH15" s="54"/>
      <c r="PI15" s="54"/>
      <c r="PJ15" s="54"/>
      <c r="PK15" s="54"/>
      <c r="PL15" s="54"/>
      <c r="PM15" s="54"/>
      <c r="PN15" s="54"/>
      <c r="PO15" s="54"/>
      <c r="PP15" s="54"/>
      <c r="PQ15" s="54"/>
      <c r="PR15" s="54"/>
      <c r="PS15" s="54"/>
      <c r="PT15" s="54"/>
      <c r="PU15" s="54"/>
      <c r="PV15" s="13" t="str">
        <f t="shared" si="98"/>
        <v/>
      </c>
      <c r="PW15" s="13" t="str">
        <f t="shared" si="99"/>
        <v/>
      </c>
      <c r="PX15" s="13" t="str">
        <f t="shared" si="100"/>
        <v/>
      </c>
      <c r="PY15" s="13" t="str">
        <f t="shared" si="101"/>
        <v/>
      </c>
      <c r="PZ15" s="13" t="str">
        <f t="shared" si="102"/>
        <v/>
      </c>
      <c r="QA15" s="13" t="str">
        <f t="shared" si="103"/>
        <v/>
      </c>
      <c r="QB15" s="53"/>
      <c r="QC15" s="53"/>
      <c r="QD15" s="53"/>
      <c r="QE15" s="53"/>
      <c r="QF15" s="53"/>
      <c r="QG15" s="53"/>
      <c r="QH15" s="53"/>
      <c r="QI15" s="53"/>
      <c r="QJ15" s="53"/>
      <c r="QK15" s="53"/>
      <c r="QL15" s="53"/>
      <c r="QM15" s="53"/>
      <c r="QN15" s="53"/>
      <c r="QO15" s="53"/>
      <c r="QP15" s="53"/>
      <c r="QQ15" s="53"/>
      <c r="QR15" s="53"/>
      <c r="QS15" s="53"/>
      <c r="QT15" s="53"/>
      <c r="QU15" s="53"/>
      <c r="QV15" s="53"/>
      <c r="QW15" s="53"/>
      <c r="QX15" s="53"/>
      <c r="QY15" s="53"/>
      <c r="QZ15" s="16" t="str">
        <f t="shared" si="104"/>
        <v/>
      </c>
      <c r="RA15" s="16" t="str">
        <f t="shared" si="105"/>
        <v/>
      </c>
      <c r="RB15" s="16" t="str">
        <f t="shared" si="106"/>
        <v/>
      </c>
      <c r="RC15" s="16" t="str">
        <f t="shared" si="107"/>
        <v/>
      </c>
      <c r="RD15" s="16" t="str">
        <f t="shared" si="108"/>
        <v/>
      </c>
      <c r="RE15" s="16" t="str">
        <f t="shared" si="109"/>
        <v/>
      </c>
    </row>
    <row r="16" spans="1:473" s="43" customFormat="1" x14ac:dyDescent="0.2">
      <c r="GV16" s="44"/>
      <c r="GW16" s="44"/>
      <c r="GX16" s="44"/>
      <c r="GY16" s="44"/>
      <c r="GZ16" s="44"/>
      <c r="HA16" s="44"/>
      <c r="HB16" s="44"/>
      <c r="HC16" s="44"/>
      <c r="HD16" s="44"/>
      <c r="HE16" s="44"/>
      <c r="HF16" s="44"/>
      <c r="HG16" s="44"/>
      <c r="HH16" s="44"/>
      <c r="HI16" s="44"/>
      <c r="HJ16" s="44"/>
      <c r="HK16" s="44"/>
      <c r="HL16" s="44"/>
      <c r="HM16" s="44"/>
      <c r="HN16" s="44"/>
      <c r="HO16" s="44"/>
      <c r="HP16" s="44"/>
      <c r="HQ16" s="44"/>
      <c r="HR16" s="44"/>
      <c r="HS16" s="44"/>
      <c r="HT16" s="45" t="str">
        <f t="shared" si="56"/>
        <v/>
      </c>
      <c r="HU16" s="45" t="str">
        <f t="shared" si="57"/>
        <v/>
      </c>
      <c r="HV16" s="45" t="str">
        <f t="shared" si="58"/>
        <v/>
      </c>
      <c r="HW16" s="45" t="str">
        <f t="shared" si="59"/>
        <v/>
      </c>
      <c r="HX16" s="45" t="str">
        <f t="shared" si="60"/>
        <v/>
      </c>
      <c r="HY16" s="45" t="str">
        <f t="shared" si="61"/>
        <v/>
      </c>
      <c r="HZ16" s="46"/>
      <c r="IA16" s="46"/>
      <c r="IB16" s="46"/>
      <c r="IC16" s="46"/>
      <c r="ID16" s="46"/>
      <c r="IE16" s="46"/>
      <c r="IF16" s="46"/>
      <c r="IG16" s="46"/>
      <c r="IH16" s="46"/>
      <c r="II16" s="46"/>
      <c r="IJ16" s="46"/>
      <c r="IK16" s="46"/>
      <c r="IL16" s="46"/>
      <c r="IM16" s="46"/>
      <c r="IN16" s="46"/>
      <c r="IO16" s="46"/>
      <c r="IP16" s="46"/>
      <c r="IQ16" s="46"/>
      <c r="IR16" s="46"/>
      <c r="IS16" s="46"/>
      <c r="IT16" s="46"/>
      <c r="IU16" s="46"/>
      <c r="IV16" s="46"/>
      <c r="IW16" s="46"/>
      <c r="IX16" s="45" t="str">
        <f t="shared" si="62"/>
        <v/>
      </c>
      <c r="IY16" s="45" t="str">
        <f t="shared" si="63"/>
        <v/>
      </c>
      <c r="IZ16" s="45" t="str">
        <f t="shared" si="64"/>
        <v/>
      </c>
      <c r="JA16" s="45" t="str">
        <f t="shared" si="65"/>
        <v/>
      </c>
      <c r="JB16" s="45" t="str">
        <f t="shared" si="66"/>
        <v/>
      </c>
      <c r="JC16" s="45" t="str">
        <f t="shared" si="67"/>
        <v/>
      </c>
      <c r="JD16" s="44"/>
      <c r="JE16" s="44"/>
      <c r="JF16" s="44"/>
      <c r="JG16" s="44"/>
      <c r="JH16" s="44"/>
      <c r="JI16" s="44"/>
      <c r="JJ16" s="44"/>
      <c r="JK16" s="44"/>
      <c r="JL16" s="44"/>
      <c r="JM16" s="44"/>
      <c r="JN16" s="44"/>
      <c r="JO16" s="44"/>
      <c r="JP16" s="44"/>
      <c r="JQ16" s="44"/>
      <c r="JR16" s="44"/>
      <c r="JS16" s="44"/>
      <c r="JT16" s="44"/>
      <c r="JU16" s="44"/>
      <c r="JV16" s="44"/>
      <c r="JW16" s="44"/>
      <c r="JX16" s="44"/>
      <c r="JY16" s="44"/>
      <c r="JZ16" s="44"/>
      <c r="KA16" s="44"/>
      <c r="KB16" s="45" t="str">
        <f t="shared" si="68"/>
        <v/>
      </c>
      <c r="KC16" s="45" t="str">
        <f t="shared" si="69"/>
        <v/>
      </c>
      <c r="KD16" s="45" t="str">
        <f t="shared" si="70"/>
        <v/>
      </c>
      <c r="KE16" s="45" t="str">
        <f t="shared" si="71"/>
        <v/>
      </c>
      <c r="KF16" s="45" t="str">
        <f t="shared" si="72"/>
        <v/>
      </c>
      <c r="KG16" s="45" t="str">
        <f t="shared" si="73"/>
        <v/>
      </c>
      <c r="KH16" s="46"/>
      <c r="KI16" s="46"/>
      <c r="KJ16" s="46"/>
      <c r="KK16" s="46"/>
      <c r="KL16" s="46"/>
      <c r="KM16" s="46"/>
      <c r="KN16" s="46"/>
      <c r="KO16" s="46"/>
      <c r="KP16" s="46"/>
      <c r="KQ16" s="46"/>
      <c r="KR16" s="46"/>
      <c r="KS16" s="46"/>
      <c r="KT16" s="46"/>
      <c r="KU16" s="46"/>
      <c r="KV16" s="46"/>
      <c r="KW16" s="46"/>
      <c r="KX16" s="46"/>
      <c r="KY16" s="46"/>
      <c r="KZ16" s="46"/>
      <c r="LA16" s="46"/>
      <c r="LB16" s="46"/>
      <c r="LC16" s="46"/>
      <c r="LD16" s="46"/>
      <c r="LE16" s="46"/>
      <c r="LF16" s="45" t="str">
        <f t="shared" si="74"/>
        <v/>
      </c>
      <c r="LG16" s="45" t="str">
        <f t="shared" si="75"/>
        <v/>
      </c>
      <c r="LH16" s="45" t="str">
        <f t="shared" si="76"/>
        <v/>
      </c>
      <c r="LI16" s="45" t="str">
        <f t="shared" si="77"/>
        <v/>
      </c>
      <c r="LJ16" s="45" t="str">
        <f t="shared" si="78"/>
        <v/>
      </c>
      <c r="LK16" s="45" t="str">
        <f t="shared" si="79"/>
        <v/>
      </c>
      <c r="LL16" s="44"/>
      <c r="LM16" s="44"/>
      <c r="LN16" s="44"/>
      <c r="LO16" s="44"/>
      <c r="LP16" s="44"/>
      <c r="LQ16" s="44"/>
      <c r="LR16" s="44"/>
      <c r="LS16" s="44"/>
      <c r="LT16" s="44"/>
      <c r="LU16" s="44"/>
      <c r="LV16" s="44"/>
      <c r="LW16" s="44"/>
      <c r="LX16" s="44"/>
      <c r="LY16" s="44"/>
      <c r="LZ16" s="44"/>
      <c r="MA16" s="44"/>
      <c r="MB16" s="44"/>
      <c r="MC16" s="44"/>
      <c r="MD16" s="44"/>
      <c r="ME16" s="44"/>
      <c r="MF16" s="44"/>
      <c r="MG16" s="44"/>
      <c r="MH16" s="44"/>
      <c r="MI16" s="44"/>
      <c r="MJ16" s="45" t="str">
        <f t="shared" si="80"/>
        <v/>
      </c>
      <c r="MK16" s="45" t="str">
        <f t="shared" si="81"/>
        <v/>
      </c>
      <c r="ML16" s="45" t="str">
        <f t="shared" si="82"/>
        <v/>
      </c>
      <c r="MM16" s="45" t="str">
        <f t="shared" si="83"/>
        <v/>
      </c>
      <c r="MN16" s="45" t="str">
        <f t="shared" si="84"/>
        <v/>
      </c>
      <c r="MO16" s="45" t="str">
        <f t="shared" si="85"/>
        <v/>
      </c>
      <c r="MP16" s="46"/>
      <c r="MQ16" s="46"/>
      <c r="MR16" s="46"/>
      <c r="MS16" s="46"/>
      <c r="MT16" s="46"/>
      <c r="MU16" s="46"/>
      <c r="MV16" s="46"/>
      <c r="MW16" s="46"/>
      <c r="MX16" s="46"/>
      <c r="MY16" s="46"/>
      <c r="MZ16" s="46"/>
      <c r="NA16" s="46"/>
      <c r="NB16" s="46"/>
      <c r="NC16" s="46"/>
      <c r="ND16" s="46"/>
      <c r="NE16" s="46"/>
      <c r="NF16" s="46"/>
      <c r="NG16" s="46"/>
      <c r="NH16" s="46"/>
      <c r="NI16" s="46"/>
      <c r="NJ16" s="46"/>
      <c r="NK16" s="46"/>
      <c r="NL16" s="46"/>
      <c r="NM16" s="46"/>
      <c r="NN16" s="45" t="str">
        <f t="shared" si="86"/>
        <v/>
      </c>
      <c r="NO16" s="45" t="str">
        <f t="shared" si="87"/>
        <v/>
      </c>
      <c r="NP16" s="45" t="str">
        <f t="shared" si="88"/>
        <v/>
      </c>
      <c r="NQ16" s="45" t="str">
        <f t="shared" si="89"/>
        <v/>
      </c>
      <c r="NR16" s="45" t="str">
        <f t="shared" si="90"/>
        <v/>
      </c>
      <c r="NS16" s="45" t="str">
        <f t="shared" si="91"/>
        <v/>
      </c>
      <c r="NT16" s="44"/>
      <c r="NU16" s="44"/>
      <c r="NV16" s="44"/>
      <c r="NW16" s="44"/>
      <c r="NX16" s="44"/>
      <c r="NY16" s="44"/>
      <c r="NZ16" s="44"/>
      <c r="OA16" s="44"/>
      <c r="OB16" s="44"/>
      <c r="OC16" s="44"/>
      <c r="OD16" s="44"/>
      <c r="OE16" s="44"/>
      <c r="OF16" s="44"/>
      <c r="OG16" s="44"/>
      <c r="OH16" s="44"/>
      <c r="OI16" s="44"/>
      <c r="OJ16" s="44"/>
      <c r="OK16" s="44"/>
      <c r="OL16" s="44"/>
      <c r="OM16" s="44"/>
      <c r="ON16" s="44"/>
      <c r="OO16" s="44"/>
      <c r="OP16" s="44"/>
      <c r="OQ16" s="44"/>
      <c r="OR16" s="45" t="str">
        <f t="shared" si="92"/>
        <v/>
      </c>
      <c r="OS16" s="45" t="str">
        <f t="shared" si="93"/>
        <v/>
      </c>
      <c r="OT16" s="45" t="str">
        <f t="shared" si="94"/>
        <v/>
      </c>
      <c r="OU16" s="45" t="str">
        <f t="shared" si="95"/>
        <v/>
      </c>
      <c r="OV16" s="45" t="str">
        <f t="shared" si="96"/>
        <v/>
      </c>
      <c r="OW16" s="45" t="str">
        <f t="shared" si="97"/>
        <v/>
      </c>
      <c r="OX16" s="46"/>
      <c r="OY16" s="46"/>
      <c r="OZ16" s="46"/>
      <c r="PA16" s="46"/>
      <c r="PB16" s="46"/>
      <c r="PC16" s="46"/>
      <c r="PD16" s="46"/>
      <c r="PE16" s="46"/>
      <c r="PF16" s="46"/>
      <c r="PG16" s="46"/>
      <c r="PH16" s="46"/>
      <c r="PI16" s="46"/>
      <c r="PJ16" s="46"/>
      <c r="PK16" s="46"/>
      <c r="PL16" s="46"/>
      <c r="PM16" s="46"/>
      <c r="PN16" s="46"/>
      <c r="PO16" s="46"/>
      <c r="PP16" s="46"/>
      <c r="PQ16" s="46"/>
      <c r="PR16" s="46"/>
      <c r="PS16" s="46"/>
      <c r="PT16" s="46"/>
      <c r="PU16" s="46"/>
      <c r="PV16" s="45" t="str">
        <f t="shared" si="98"/>
        <v/>
      </c>
      <c r="PW16" s="45" t="str">
        <f t="shared" si="99"/>
        <v/>
      </c>
      <c r="PX16" s="45" t="str">
        <f t="shared" si="100"/>
        <v/>
      </c>
      <c r="PY16" s="45" t="str">
        <f t="shared" si="101"/>
        <v/>
      </c>
      <c r="PZ16" s="45" t="str">
        <f t="shared" si="102"/>
        <v/>
      </c>
      <c r="QA16" s="45" t="str">
        <f t="shared" si="103"/>
        <v/>
      </c>
      <c r="QB16" s="44"/>
      <c r="QC16" s="44"/>
      <c r="QD16" s="44"/>
      <c r="QE16" s="44"/>
      <c r="QF16" s="44"/>
      <c r="QG16" s="44"/>
      <c r="QH16" s="44"/>
      <c r="QI16" s="44"/>
      <c r="QJ16" s="44"/>
      <c r="QK16" s="44"/>
      <c r="QL16" s="44"/>
      <c r="QM16" s="44"/>
      <c r="QN16" s="44"/>
      <c r="QO16" s="44"/>
      <c r="QP16" s="44"/>
      <c r="QQ16" s="44"/>
      <c r="QR16" s="44"/>
      <c r="QS16" s="44"/>
      <c r="QT16" s="44"/>
      <c r="QU16" s="44"/>
      <c r="QV16" s="44"/>
      <c r="QW16" s="44"/>
      <c r="QX16" s="44"/>
      <c r="QY16" s="44"/>
      <c r="QZ16" s="45" t="str">
        <f t="shared" si="104"/>
        <v/>
      </c>
      <c r="RA16" s="45" t="str">
        <f t="shared" si="105"/>
        <v/>
      </c>
      <c r="RB16" s="45" t="str">
        <f t="shared" si="106"/>
        <v/>
      </c>
      <c r="RC16" s="45" t="str">
        <f t="shared" si="107"/>
        <v/>
      </c>
      <c r="RD16" s="45" t="str">
        <f t="shared" si="108"/>
        <v/>
      </c>
      <c r="RE16" s="45" t="str">
        <f t="shared" si="109"/>
        <v/>
      </c>
    </row>
    <row r="18" spans="1:471" x14ac:dyDescent="0.2">
      <c r="B18" s="88" t="s">
        <v>123</v>
      </c>
      <c r="AS18" s="71"/>
      <c r="AT18" s="80">
        <v>22</v>
      </c>
      <c r="AV18" s="71"/>
      <c r="BW18" s="71"/>
      <c r="BX18" s="80">
        <v>22</v>
      </c>
      <c r="BZ18" s="71"/>
      <c r="DA18" s="71"/>
      <c r="DB18" s="80">
        <v>22</v>
      </c>
      <c r="DD18" s="71"/>
      <c r="EH18" s="71"/>
      <c r="EI18" s="80">
        <v>22</v>
      </c>
      <c r="EK18" s="71"/>
      <c r="FL18" s="71"/>
      <c r="FM18" s="80">
        <v>22</v>
      </c>
      <c r="FO18" s="71"/>
      <c r="GP18" s="71"/>
      <c r="GQ18" s="80">
        <v>22</v>
      </c>
      <c r="GS18" s="71"/>
      <c r="HT18" s="71"/>
      <c r="HU18" s="80">
        <v>22</v>
      </c>
      <c r="HW18" s="71"/>
      <c r="IX18" s="71"/>
      <c r="IY18" s="80">
        <v>22</v>
      </c>
      <c r="JA18" s="71"/>
      <c r="KB18" s="71"/>
      <c r="KC18" s="80">
        <v>22</v>
      </c>
      <c r="KE18" s="71"/>
      <c r="LF18" s="71"/>
      <c r="LG18" s="80">
        <v>22</v>
      </c>
      <c r="LI18" s="71"/>
      <c r="MJ18" s="71"/>
      <c r="MK18" s="80">
        <v>22</v>
      </c>
      <c r="MM18" s="71"/>
      <c r="NN18" s="71"/>
      <c r="NO18" s="80">
        <v>22</v>
      </c>
      <c r="NQ18" s="71"/>
      <c r="OR18" s="71"/>
      <c r="OS18" s="80">
        <v>22</v>
      </c>
      <c r="OU18" s="71"/>
      <c r="PV18" s="71"/>
      <c r="PW18" s="80">
        <v>22</v>
      </c>
      <c r="PY18" s="71"/>
      <c r="QZ18" s="71"/>
      <c r="RA18" s="80">
        <v>22</v>
      </c>
      <c r="RC18" s="71"/>
    </row>
    <row r="19" spans="1:471" x14ac:dyDescent="0.2">
      <c r="A19" s="71"/>
      <c r="B19" s="89" t="s">
        <v>122</v>
      </c>
      <c r="C19" s="70"/>
      <c r="AS19" s="71"/>
      <c r="AT19" s="81">
        <v>22</v>
      </c>
      <c r="AV19" s="71"/>
      <c r="BW19" s="71"/>
      <c r="BX19" s="81">
        <v>22</v>
      </c>
      <c r="BZ19" s="71"/>
      <c r="DA19" s="71"/>
      <c r="DB19" s="81">
        <v>22</v>
      </c>
      <c r="DD19" s="71"/>
      <c r="EH19" s="71"/>
      <c r="EI19" s="81">
        <v>22</v>
      </c>
      <c r="EK19" s="71"/>
      <c r="FL19" s="71"/>
      <c r="FM19" s="81">
        <v>22</v>
      </c>
      <c r="FO19" s="71"/>
      <c r="GP19" s="71"/>
      <c r="GQ19" s="81">
        <v>22</v>
      </c>
      <c r="GS19" s="71"/>
      <c r="HT19" s="71"/>
      <c r="HU19" s="81">
        <v>22</v>
      </c>
      <c r="HW19" s="71"/>
      <c r="IX19" s="71"/>
      <c r="IY19" s="81">
        <v>22</v>
      </c>
      <c r="JA19" s="71"/>
      <c r="KB19" s="71"/>
      <c r="KC19" s="81">
        <v>22</v>
      </c>
      <c r="KE19" s="71"/>
      <c r="LF19" s="71"/>
      <c r="LG19" s="81">
        <v>22</v>
      </c>
      <c r="LI19" s="71"/>
      <c r="MJ19" s="71"/>
      <c r="MK19" s="81">
        <v>22</v>
      </c>
      <c r="MM19" s="71"/>
      <c r="NN19" s="71"/>
      <c r="NO19" s="81">
        <v>22</v>
      </c>
      <c r="NQ19" s="71"/>
      <c r="OR19" s="71"/>
      <c r="OS19" s="81">
        <v>22</v>
      </c>
      <c r="OU19" s="71"/>
      <c r="PV19" s="71"/>
      <c r="PW19" s="81">
        <v>22</v>
      </c>
      <c r="PY19" s="71"/>
      <c r="QZ19" s="71"/>
      <c r="RA19" s="81">
        <v>22</v>
      </c>
      <c r="RC19" s="71"/>
    </row>
    <row r="20" spans="1:471" x14ac:dyDescent="0.2">
      <c r="A20" s="71"/>
      <c r="B20" s="90" t="s">
        <v>120</v>
      </c>
      <c r="C20" s="70"/>
      <c r="AS20" s="71"/>
      <c r="AT20" s="82">
        <v>130.6</v>
      </c>
      <c r="AV20" s="71"/>
      <c r="BW20" s="71"/>
      <c r="BX20" s="82">
        <v>130.5</v>
      </c>
      <c r="BZ20" s="71"/>
      <c r="DA20" s="71"/>
      <c r="DB20" s="82">
        <v>130.5</v>
      </c>
      <c r="DD20" s="71"/>
      <c r="EH20" s="71"/>
      <c r="EI20" s="82">
        <v>130.6</v>
      </c>
      <c r="EK20" s="71"/>
      <c r="FL20" s="71"/>
      <c r="FM20" s="82">
        <v>130.6</v>
      </c>
      <c r="FO20" s="71"/>
      <c r="GP20" s="71"/>
      <c r="GQ20" s="82">
        <v>130.6</v>
      </c>
      <c r="GS20" s="71"/>
      <c r="HT20" s="71"/>
      <c r="HU20" s="82">
        <v>130.6</v>
      </c>
      <c r="HW20" s="71"/>
      <c r="IX20" s="71"/>
      <c r="IY20" s="82">
        <v>130.6</v>
      </c>
      <c r="JA20" s="71"/>
      <c r="KB20" s="71"/>
      <c r="KC20" s="82">
        <v>130.5</v>
      </c>
      <c r="KE20" s="71"/>
      <c r="LF20" s="71"/>
      <c r="LG20" s="82">
        <v>130.5</v>
      </c>
      <c r="LI20" s="71"/>
      <c r="MJ20" s="71"/>
      <c r="MK20" s="82">
        <v>130.5</v>
      </c>
      <c r="MM20" s="71"/>
      <c r="NN20" s="71"/>
      <c r="NO20" s="82">
        <v>130.5</v>
      </c>
      <c r="NQ20" s="71"/>
      <c r="OR20" s="71"/>
      <c r="OS20" s="82">
        <v>130.5</v>
      </c>
      <c r="OU20" s="71"/>
      <c r="PV20" s="71"/>
      <c r="PW20" s="82">
        <v>130.5</v>
      </c>
      <c r="PY20" s="71"/>
      <c r="QZ20" s="71"/>
      <c r="RA20" s="82">
        <v>130.5</v>
      </c>
      <c r="RC20" s="71"/>
    </row>
    <row r="21" spans="1:471" x14ac:dyDescent="0.2">
      <c r="A21" s="71"/>
      <c r="B21" s="91" t="s">
        <v>121</v>
      </c>
      <c r="C21" s="70"/>
      <c r="AS21" s="71"/>
      <c r="AT21" s="83">
        <v>130.6</v>
      </c>
      <c r="AV21" s="71"/>
      <c r="BW21" s="71"/>
      <c r="BX21" s="83">
        <v>132</v>
      </c>
      <c r="BZ21" s="71"/>
      <c r="DA21" s="71"/>
      <c r="DB21" s="83">
        <v>132</v>
      </c>
      <c r="DD21" s="71"/>
      <c r="EH21" s="71"/>
      <c r="EI21" s="83">
        <v>130.6</v>
      </c>
      <c r="EK21" s="71"/>
      <c r="FL21" s="71"/>
      <c r="FM21" s="83">
        <v>130.6</v>
      </c>
      <c r="FO21" s="71"/>
      <c r="GP21" s="71"/>
      <c r="GQ21" s="83">
        <v>130.6</v>
      </c>
      <c r="GS21" s="71"/>
      <c r="HT21" s="71"/>
      <c r="HU21" s="83">
        <v>130.6</v>
      </c>
      <c r="HW21" s="71"/>
      <c r="IX21" s="71"/>
      <c r="IY21" s="83">
        <v>130.6</v>
      </c>
      <c r="JA21" s="71"/>
      <c r="KB21" s="71"/>
      <c r="KC21" s="83">
        <v>132</v>
      </c>
      <c r="KE21" s="71"/>
      <c r="LF21" s="71"/>
      <c r="LG21" s="83">
        <v>132</v>
      </c>
      <c r="LI21" s="71"/>
      <c r="MJ21" s="71"/>
      <c r="MK21" s="83">
        <v>132</v>
      </c>
      <c r="MM21" s="71"/>
      <c r="NN21" s="71"/>
      <c r="NO21" s="83">
        <v>132</v>
      </c>
      <c r="NQ21" s="71"/>
      <c r="OR21" s="71"/>
      <c r="OS21" s="83">
        <v>132</v>
      </c>
      <c r="OU21" s="71"/>
      <c r="PV21" s="71"/>
      <c r="PW21" s="83">
        <v>132</v>
      </c>
      <c r="PY21" s="71"/>
      <c r="QZ21" s="71"/>
      <c r="RA21" s="83">
        <v>132</v>
      </c>
      <c r="RC21" s="71"/>
    </row>
    <row r="22" spans="1:471" x14ac:dyDescent="0.2">
      <c r="A22" s="71"/>
      <c r="B22" s="92" t="s">
        <v>39</v>
      </c>
      <c r="C22" s="70"/>
      <c r="AS22" s="71"/>
      <c r="AT22" s="84">
        <v>134.1</v>
      </c>
      <c r="AV22" s="71"/>
      <c r="BW22" s="71"/>
      <c r="BX22" s="84">
        <v>134</v>
      </c>
      <c r="BZ22" s="71"/>
      <c r="DA22" s="71"/>
      <c r="DB22" s="84">
        <v>134</v>
      </c>
      <c r="DD22" s="71"/>
      <c r="EH22" s="71"/>
      <c r="EI22" s="84">
        <v>134.1</v>
      </c>
      <c r="EK22" s="71"/>
      <c r="FL22" s="71"/>
      <c r="FM22" s="84">
        <v>134.1</v>
      </c>
      <c r="FO22" s="71"/>
      <c r="GP22" s="71"/>
      <c r="GQ22" s="84">
        <v>134.1</v>
      </c>
      <c r="GS22" s="71"/>
      <c r="HT22" s="71"/>
      <c r="HU22" s="84">
        <v>134.1</v>
      </c>
      <c r="HW22" s="71"/>
      <c r="IX22" s="71"/>
      <c r="IY22" s="84">
        <v>134.1</v>
      </c>
      <c r="JA22" s="71"/>
      <c r="KB22" s="71"/>
      <c r="KC22" s="84">
        <v>134</v>
      </c>
      <c r="KE22" s="71"/>
      <c r="LF22" s="71"/>
      <c r="LG22" s="84">
        <v>134</v>
      </c>
      <c r="LI22" s="71"/>
      <c r="MJ22" s="71"/>
      <c r="MK22" s="84">
        <v>134</v>
      </c>
      <c r="MM22" s="71"/>
      <c r="NN22" s="71"/>
      <c r="NO22" s="84">
        <v>134</v>
      </c>
      <c r="NQ22" s="71"/>
      <c r="OR22" s="71"/>
      <c r="OS22" s="84">
        <v>134</v>
      </c>
      <c r="OU22" s="71"/>
      <c r="PV22" s="71"/>
      <c r="PW22" s="84">
        <v>134</v>
      </c>
      <c r="PY22" s="71"/>
      <c r="QZ22" s="71"/>
      <c r="RA22" s="84">
        <v>134</v>
      </c>
      <c r="RC22" s="71"/>
    </row>
    <row r="23" spans="1:471" x14ac:dyDescent="0.2">
      <c r="A23" s="71"/>
      <c r="B23" s="93" t="s">
        <v>91</v>
      </c>
      <c r="C23" s="70"/>
      <c r="AS23" s="71"/>
      <c r="AT23" s="85">
        <v>137.80000000000001</v>
      </c>
      <c r="AV23" s="71"/>
      <c r="BW23" s="71"/>
      <c r="BX23" s="85">
        <v>137</v>
      </c>
      <c r="BZ23" s="71"/>
      <c r="DA23" s="71"/>
      <c r="DB23" s="85">
        <v>137</v>
      </c>
      <c r="DD23" s="71"/>
      <c r="EH23" s="71"/>
      <c r="EI23" s="85">
        <v>137.80000000000001</v>
      </c>
      <c r="EK23" s="71"/>
      <c r="FL23" s="71"/>
      <c r="FM23" s="85">
        <v>137.80000000000001</v>
      </c>
      <c r="FO23" s="71"/>
      <c r="GP23" s="71"/>
      <c r="GQ23" s="85">
        <v>137.80000000000001</v>
      </c>
      <c r="GS23" s="71"/>
      <c r="HT23" s="71"/>
      <c r="HU23" s="85">
        <v>137.80000000000001</v>
      </c>
      <c r="HW23" s="71"/>
      <c r="IX23" s="71"/>
      <c r="IY23" s="85">
        <v>137.80000000000001</v>
      </c>
      <c r="JA23" s="71"/>
      <c r="KB23" s="71"/>
      <c r="KC23" s="85">
        <v>137</v>
      </c>
      <c r="KE23" s="71"/>
      <c r="LF23" s="71"/>
      <c r="LG23" s="85">
        <v>137</v>
      </c>
      <c r="LI23" s="71"/>
      <c r="MJ23" s="71"/>
      <c r="MK23" s="85">
        <v>137</v>
      </c>
      <c r="MM23" s="71"/>
      <c r="NN23" s="71"/>
      <c r="NO23" s="85">
        <v>137</v>
      </c>
      <c r="NQ23" s="71"/>
      <c r="OR23" s="71"/>
      <c r="OS23" s="85">
        <v>137</v>
      </c>
      <c r="OU23" s="71"/>
      <c r="PV23" s="71"/>
      <c r="PW23" s="85">
        <v>137</v>
      </c>
      <c r="PY23" s="71"/>
      <c r="QZ23" s="71"/>
      <c r="RA23" s="85">
        <v>137</v>
      </c>
      <c r="RC23" s="71"/>
    </row>
    <row r="24" spans="1:471" x14ac:dyDescent="0.2">
      <c r="A24" s="7"/>
      <c r="B24" s="7"/>
      <c r="C24" s="70"/>
      <c r="AT24" s="69" t="s">
        <v>141</v>
      </c>
      <c r="BW24" s="7"/>
      <c r="BX24" s="69"/>
      <c r="BZ24" s="7"/>
      <c r="EI24" s="69" t="s">
        <v>141</v>
      </c>
      <c r="FM24" s="69" t="s">
        <v>141</v>
      </c>
      <c r="GQ24" s="69" t="s">
        <v>141</v>
      </c>
      <c r="HT24" s="7"/>
      <c r="HU24" s="69" t="s">
        <v>141</v>
      </c>
      <c r="HW24" s="7"/>
      <c r="IY24" s="69" t="s">
        <v>141</v>
      </c>
    </row>
    <row r="25" spans="1:471" x14ac:dyDescent="0.2">
      <c r="A25" s="71"/>
      <c r="B25" s="71"/>
      <c r="C25" s="70"/>
    </row>
    <row r="26" spans="1:471" x14ac:dyDescent="0.2">
      <c r="A26" s="71"/>
      <c r="B26" s="71"/>
      <c r="C26" s="70"/>
    </row>
    <row r="27" spans="1:471" x14ac:dyDescent="0.2">
      <c r="A27" s="71"/>
      <c r="B27" s="71"/>
      <c r="C27" s="70"/>
    </row>
    <row r="30" spans="1:471" x14ac:dyDescent="0.2">
      <c r="DG30" s="3"/>
    </row>
  </sheetData>
  <sheetProtection sheet="1" formatCells="0" formatColumns="0" formatRows="0"/>
  <autoFilter ref="A1:RE1" xr:uid="{6CAF7CA3-1E99-9146-B0CF-DCC3336C926E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10" showButton="0"/>
    <filterColumn colId="111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3" showButton="0"/>
    <filterColumn colId="444" showButton="0"/>
    <filterColumn colId="445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sortState ref="A6:RE16">
      <sortCondition descending="1" ref="F1:F14"/>
    </sortState>
  </autoFilter>
  <mergeCells count="126">
    <mergeCell ref="EN2:EQ2"/>
    <mergeCell ref="DJ1:EM1"/>
    <mergeCell ref="DJ2:DM2"/>
    <mergeCell ref="DN2:DQ2"/>
    <mergeCell ref="DR2:DU2"/>
    <mergeCell ref="DV2:DY2"/>
    <mergeCell ref="DZ2:EC2"/>
    <mergeCell ref="ED2:EG2"/>
    <mergeCell ref="CS2:CV2"/>
    <mergeCell ref="CW2:CZ2"/>
    <mergeCell ref="FH2:FK2"/>
    <mergeCell ref="FR2:FU2"/>
    <mergeCell ref="FV2:FY2"/>
    <mergeCell ref="FZ2:GC2"/>
    <mergeCell ref="GD2:GG2"/>
    <mergeCell ref="GH2:GK2"/>
    <mergeCell ref="GL2:GO2"/>
    <mergeCell ref="EV2:EY2"/>
    <mergeCell ref="ER2:EU2"/>
    <mergeCell ref="EZ2:FC2"/>
    <mergeCell ref="FD2:FG2"/>
    <mergeCell ref="AO2:AR2"/>
    <mergeCell ref="AY1:CB1"/>
    <mergeCell ref="AY2:BB2"/>
    <mergeCell ref="BC2:BF2"/>
    <mergeCell ref="BG2:BJ2"/>
    <mergeCell ref="U2:X2"/>
    <mergeCell ref="BO2:BR2"/>
    <mergeCell ref="BS2:BV2"/>
    <mergeCell ref="D1:D3"/>
    <mergeCell ref="AG2:AJ2"/>
    <mergeCell ref="A1:A3"/>
    <mergeCell ref="B1:B3"/>
    <mergeCell ref="C1:C3"/>
    <mergeCell ref="E1:E3"/>
    <mergeCell ref="G1:G3"/>
    <mergeCell ref="U1:AX1"/>
    <mergeCell ref="DG1:DI1"/>
    <mergeCell ref="CC1:DF1"/>
    <mergeCell ref="I1:I3"/>
    <mergeCell ref="J1:J3"/>
    <mergeCell ref="L1:L3"/>
    <mergeCell ref="N1:N3"/>
    <mergeCell ref="P1:P3"/>
    <mergeCell ref="R1:R3"/>
    <mergeCell ref="Y2:AB2"/>
    <mergeCell ref="AC2:AF2"/>
    <mergeCell ref="BK2:BN2"/>
    <mergeCell ref="CC2:CF2"/>
    <mergeCell ref="CG2:CJ2"/>
    <mergeCell ref="S1:S3"/>
    <mergeCell ref="T1:T3"/>
    <mergeCell ref="K1:K3"/>
    <mergeCell ref="O1:O3"/>
    <mergeCell ref="Q1:Q3"/>
    <mergeCell ref="MB2:ME2"/>
    <mergeCell ref="NT1:OW1"/>
    <mergeCell ref="OX1:QA1"/>
    <mergeCell ref="QB1:RE1"/>
    <mergeCell ref="GV2:GY2"/>
    <mergeCell ref="GZ2:HC2"/>
    <mergeCell ref="HD2:HG2"/>
    <mergeCell ref="HH2:HK2"/>
    <mergeCell ref="HL2:HO2"/>
    <mergeCell ref="HP2:HS2"/>
    <mergeCell ref="HZ2:IC2"/>
    <mergeCell ref="ID2:IG2"/>
    <mergeCell ref="IH2:IK2"/>
    <mergeCell ref="IL2:IO2"/>
    <mergeCell ref="IP2:IS2"/>
    <mergeCell ref="IT2:IW2"/>
    <mergeCell ref="JD2:JG2"/>
    <mergeCell ref="HZ1:JC1"/>
    <mergeCell ref="JD1:KG1"/>
    <mergeCell ref="KH1:LK1"/>
    <mergeCell ref="LL1:MO1"/>
    <mergeCell ref="MP1:NS1"/>
    <mergeCell ref="KH2:KK2"/>
    <mergeCell ref="GV1:HY1"/>
    <mergeCell ref="LB2:LE2"/>
    <mergeCell ref="LL2:LO2"/>
    <mergeCell ref="LP2:LS2"/>
    <mergeCell ref="LT2:LW2"/>
    <mergeCell ref="LX2:MA2"/>
    <mergeCell ref="KP2:KS2"/>
    <mergeCell ref="KT2:KW2"/>
    <mergeCell ref="KX2:LA2"/>
    <mergeCell ref="JH2:JK2"/>
    <mergeCell ref="JL2:JO2"/>
    <mergeCell ref="JP2:JS2"/>
    <mergeCell ref="JT2:JW2"/>
    <mergeCell ref="JX2:KA2"/>
    <mergeCell ref="KL2:KO2"/>
    <mergeCell ref="NB2:NE2"/>
    <mergeCell ref="NF2:NI2"/>
    <mergeCell ref="NJ2:NM2"/>
    <mergeCell ref="NT2:NW2"/>
    <mergeCell ref="NX2:OA2"/>
    <mergeCell ref="MF2:MI2"/>
    <mergeCell ref="MP2:MS2"/>
    <mergeCell ref="MT2:MW2"/>
    <mergeCell ref="MX2:NA2"/>
    <mergeCell ref="FR1:GU1"/>
    <mergeCell ref="EN1:FQ1"/>
    <mergeCell ref="F1:F3"/>
    <mergeCell ref="CK2:CN2"/>
    <mergeCell ref="CO2:CR2"/>
    <mergeCell ref="M1:M3"/>
    <mergeCell ref="H1:H3"/>
    <mergeCell ref="AK2:AN2"/>
    <mergeCell ref="QV2:QY2"/>
    <mergeCell ref="QB2:QE2"/>
    <mergeCell ref="QF2:QI2"/>
    <mergeCell ref="QJ2:QM2"/>
    <mergeCell ref="QN2:QQ2"/>
    <mergeCell ref="QR2:QU2"/>
    <mergeCell ref="PB2:PE2"/>
    <mergeCell ref="PF2:PI2"/>
    <mergeCell ref="PJ2:PM2"/>
    <mergeCell ref="PN2:PQ2"/>
    <mergeCell ref="PR2:PU2"/>
    <mergeCell ref="OB2:OE2"/>
    <mergeCell ref="OF2:OI2"/>
    <mergeCell ref="OJ2:OM2"/>
    <mergeCell ref="ON2:OQ2"/>
    <mergeCell ref="OX2:PA2"/>
  </mergeCells>
  <conditionalFormatting sqref="A1:A1048576">
    <cfRule type="expression" dxfId="19" priority="102">
      <formula>AND(H1="P",F1="")</formula>
    </cfRule>
  </conditionalFormatting>
  <conditionalFormatting sqref="I1:I1048576">
    <cfRule type="containsText" dxfId="18" priority="103" operator="containsText" text="Merit">
      <formula>NOT(ISERROR(SEARCH("Merit",I1)))</formula>
    </cfRule>
    <cfRule type="containsText" dxfId="17" priority="104" operator="containsText" text="Funding">
      <formula>NOT(ISERROR(SEARCH("Funding",I1)))</formula>
    </cfRule>
    <cfRule type="containsText" dxfId="16" priority="105" operator="containsText" text="Worlds Team">
      <formula>NOT(ISERROR(SEARCH("Worlds Team",I1)))</formula>
    </cfRule>
    <cfRule type="containsText" dxfId="15" priority="110" operator="containsText" text="National Team">
      <formula>NOT(ISERROR(SEARCH("National Team",I1)))</formula>
    </cfRule>
  </conditionalFormatting>
  <conditionalFormatting sqref="K1:K1048576">
    <cfRule type="expression" dxfId="14" priority="111">
      <formula>IF(J1=DD1,1,0)</formula>
    </cfRule>
    <cfRule type="expression" dxfId="13" priority="112">
      <formula>IF(J1=BZ1,1,0)</formula>
    </cfRule>
    <cfRule type="expression" dxfId="12" priority="113">
      <formula>IF(J1=AV1,1,0)</formula>
    </cfRule>
  </conditionalFormatting>
  <conditionalFormatting sqref="M1:M1048576">
    <cfRule type="expression" dxfId="11" priority="119">
      <formula>IF(L1=DB1,1,0)</formula>
    </cfRule>
    <cfRule type="expression" dxfId="10" priority="120">
      <formula>IF(L1=BX1,1,0)</formula>
    </cfRule>
    <cfRule type="expression" dxfId="9" priority="469">
      <formula>IF(L1=AT1,1,0)</formula>
    </cfRule>
  </conditionalFormatting>
  <conditionalFormatting sqref="O1:O1048576 Q1:Q1048576">
    <cfRule type="expression" dxfId="8" priority="1428">
      <formula>IF(N1=DC1,1,0)</formula>
    </cfRule>
    <cfRule type="expression" dxfId="7" priority="1429">
      <formula>IF(N1=BY1,1,0)</formula>
    </cfRule>
    <cfRule type="expression" dxfId="6" priority="1430">
      <formula>IF(N1=AU1,1,0)</formula>
    </cfRule>
  </conditionalFormatting>
  <conditionalFormatting sqref="AS1:AS1048576 BW1:BW1048576 DA1:DA1048576 EH1:EH1048576 FL1:FL1048576 GP1:GP1048576 HT1:HT1048576 IX1:IX1048576 KB1:KB1048576 LF1:LF1048576 MJ1:MJ1048576 NN1:NN1048576 OR1:OR1048576 PV1:PV1048576 QZ1:QZ1048576">
    <cfRule type="cellIs" dxfId="5" priority="2324" operator="between">
      <formula>AT$19</formula>
      <formula>100</formula>
    </cfRule>
    <cfRule type="cellIs" dxfId="4" priority="2325" operator="between">
      <formula>AT$18</formula>
      <formula>AT$19</formula>
    </cfRule>
  </conditionalFormatting>
  <conditionalFormatting sqref="RC1:RC1048576 PY1:PY1048576 OU1:OU1048576 NQ1:NQ1048576 MM1:MM1048576 LI1:LI1048576 KE1:KE1048576 JA1:JA1048576 HW1:HW1048576 GS1:GS1048576 FO1:FO1048576 EK1:EK1048576 DD1:DD1048576 BZ1:BZ1048576 AV1:AV1048576">
    <cfRule type="cellIs" dxfId="3" priority="2414" operator="between">
      <formula>AT$23</formula>
      <formula>1000</formula>
    </cfRule>
    <cfRule type="cellIs" dxfId="2" priority="2415" operator="between">
      <formula>AT$22</formula>
      <formula>AT$23</formula>
    </cfRule>
    <cfRule type="cellIs" dxfId="1" priority="2416" operator="between">
      <formula>AT$21</formula>
      <formula>AT$22</formula>
    </cfRule>
    <cfRule type="cellIs" dxfId="0" priority="2417" operator="between">
      <formula>AT$20</formula>
      <formula>AT$21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Info</vt:lpstr>
      <vt:lpstr>TRA-M</vt:lpstr>
      <vt:lpstr>TRA-W</vt:lpstr>
      <vt:lpstr>SYN-M</vt:lpstr>
      <vt:lpstr>SYN-W</vt:lpstr>
      <vt:lpstr>TUM-M</vt:lpstr>
      <vt:lpstr>TUM-W</vt:lpstr>
      <vt:lpstr>DMT-M</vt:lpstr>
      <vt:lpstr>DMT-W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Trevor Stirling</dc:creator>
  <cp:lastModifiedBy>Trevor Stirling</cp:lastModifiedBy>
  <dcterms:created xsi:type="dcterms:W3CDTF">2017-07-14T23:42:10Z</dcterms:created>
  <dcterms:modified xsi:type="dcterms:W3CDTF">2018-07-17T04:22:13Z</dcterms:modified>
</cp:coreProperties>
</file>