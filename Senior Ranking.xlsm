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2A4597D-2975-284B-A3D2-20C6134B910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17" i="21" l="1"/>
  <c r="SF17" i="21"/>
  <c r="SD17" i="21"/>
  <c r="SC17" i="21"/>
  <c r="SB17" i="21"/>
  <c r="SA17" i="21"/>
  <c r="SG22" i="21"/>
  <c r="SF22" i="21"/>
  <c r="SD22" i="21"/>
  <c r="SC22" i="21"/>
  <c r="SB22" i="21"/>
  <c r="SA22" i="21"/>
  <c r="SG14" i="21"/>
  <c r="SF14" i="21"/>
  <c r="SD14" i="21"/>
  <c r="SC14" i="21"/>
  <c r="SB14" i="21"/>
  <c r="SA14" i="21"/>
  <c r="SG18" i="21"/>
  <c r="SF18" i="21"/>
  <c r="SD18" i="21"/>
  <c r="SC18" i="21"/>
  <c r="SB18" i="21"/>
  <c r="SA18" i="21"/>
  <c r="SG12" i="21"/>
  <c r="SF12" i="21"/>
  <c r="SD12" i="21"/>
  <c r="SC12" i="21"/>
  <c r="SB12" i="21"/>
  <c r="SA12" i="21"/>
  <c r="SG19" i="21"/>
  <c r="SF19" i="21"/>
  <c r="SD19" i="21"/>
  <c r="SC19" i="21"/>
  <c r="SB19" i="21"/>
  <c r="SA19" i="21"/>
  <c r="SG15" i="21"/>
  <c r="SF15" i="21"/>
  <c r="SD15" i="21"/>
  <c r="SC15" i="21"/>
  <c r="SB15" i="21"/>
  <c r="SA15" i="21"/>
  <c r="SG20" i="21"/>
  <c r="SF20" i="21"/>
  <c r="SD20" i="21"/>
  <c r="SC20" i="21"/>
  <c r="SB20" i="21"/>
  <c r="SH20" i="21" s="1"/>
  <c r="SA20" i="21"/>
  <c r="SG21" i="21"/>
  <c r="SF21" i="21"/>
  <c r="SD21" i="21"/>
  <c r="SC21" i="21"/>
  <c r="SB21" i="21"/>
  <c r="SA21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6" i="21"/>
  <c r="SF16" i="21"/>
  <c r="SD16" i="21"/>
  <c r="SC16" i="21"/>
  <c r="SB16" i="21"/>
  <c r="SH16" i="21" s="1"/>
  <c r="SA16" i="21"/>
  <c r="SG13" i="21"/>
  <c r="SF13" i="21"/>
  <c r="SD13" i="21"/>
  <c r="SC13" i="21"/>
  <c r="SB13" i="21"/>
  <c r="SA13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H9" i="21" s="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7" i="21"/>
  <c r="RD17" i="21"/>
  <c r="RB17" i="21"/>
  <c r="RA17" i="21"/>
  <c r="QZ17" i="21"/>
  <c r="RF17" i="21" s="1"/>
  <c r="QY17" i="21"/>
  <c r="RE22" i="21"/>
  <c r="RD22" i="21"/>
  <c r="RB22" i="21"/>
  <c r="RA22" i="21"/>
  <c r="QZ22" i="21"/>
  <c r="QY22" i="21"/>
  <c r="RE14" i="21"/>
  <c r="RD14" i="21"/>
  <c r="RB14" i="21"/>
  <c r="RA14" i="21"/>
  <c r="QZ14" i="21"/>
  <c r="QY14" i="21"/>
  <c r="RE18" i="21"/>
  <c r="RD18" i="21"/>
  <c r="RB18" i="21"/>
  <c r="RA18" i="21"/>
  <c r="QZ18" i="21"/>
  <c r="QY18" i="21"/>
  <c r="RE12" i="21"/>
  <c r="RD12" i="21"/>
  <c r="RB12" i="21"/>
  <c r="RA12" i="21"/>
  <c r="QZ12" i="21"/>
  <c r="RF12" i="21" s="1"/>
  <c r="QY12" i="21"/>
  <c r="RE19" i="21"/>
  <c r="RD19" i="21"/>
  <c r="RB19" i="21"/>
  <c r="RA19" i="21"/>
  <c r="QZ19" i="21"/>
  <c r="QY19" i="21"/>
  <c r="RE15" i="21"/>
  <c r="RD15" i="21"/>
  <c r="RB15" i="21"/>
  <c r="RA15" i="21"/>
  <c r="QZ15" i="21"/>
  <c r="QY15" i="21"/>
  <c r="RE20" i="21"/>
  <c r="RD20" i="21"/>
  <c r="RB20" i="21"/>
  <c r="RA20" i="21"/>
  <c r="QZ20" i="21"/>
  <c r="QY20" i="21"/>
  <c r="RE21" i="21"/>
  <c r="RD21" i="21"/>
  <c r="RB21" i="21"/>
  <c r="RA21" i="21"/>
  <c r="QZ21" i="21"/>
  <c r="RF21" i="21" s="1"/>
  <c r="QY21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6" i="21"/>
  <c r="RD16" i="21"/>
  <c r="RB16" i="21"/>
  <c r="RA16" i="21"/>
  <c r="QZ16" i="21"/>
  <c r="QY16" i="21"/>
  <c r="RE13" i="21"/>
  <c r="RD13" i="21"/>
  <c r="RB13" i="21"/>
  <c r="RA13" i="21"/>
  <c r="QZ13" i="21"/>
  <c r="RF13" i="21" s="1"/>
  <c r="QY13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RF6" i="21" s="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7" i="21"/>
  <c r="QB17" i="21"/>
  <c r="PZ17" i="21"/>
  <c r="PY17" i="21"/>
  <c r="PX17" i="21"/>
  <c r="PW17" i="21"/>
  <c r="QC22" i="21"/>
  <c r="QB22" i="21"/>
  <c r="PZ22" i="21"/>
  <c r="PY22" i="21"/>
  <c r="PX22" i="21"/>
  <c r="QD22" i="21" s="1"/>
  <c r="PW22" i="21"/>
  <c r="QC14" i="21"/>
  <c r="QB14" i="21"/>
  <c r="PZ14" i="21"/>
  <c r="PY14" i="21"/>
  <c r="PX14" i="21"/>
  <c r="PW14" i="21"/>
  <c r="QC18" i="21"/>
  <c r="QB18" i="21"/>
  <c r="PZ18" i="21"/>
  <c r="PY18" i="21"/>
  <c r="PX18" i="21"/>
  <c r="PW18" i="21"/>
  <c r="QC12" i="21"/>
  <c r="QB12" i="21"/>
  <c r="PZ12" i="21"/>
  <c r="PY12" i="21"/>
  <c r="PX12" i="21"/>
  <c r="PW12" i="21"/>
  <c r="QC19" i="21"/>
  <c r="QB19" i="21"/>
  <c r="PZ19" i="21"/>
  <c r="PY19" i="21"/>
  <c r="PX19" i="21"/>
  <c r="QD19" i="21" s="1"/>
  <c r="PW19" i="21"/>
  <c r="QC15" i="21"/>
  <c r="QB15" i="21"/>
  <c r="PZ15" i="21"/>
  <c r="PY15" i="21"/>
  <c r="PX15" i="21"/>
  <c r="PW15" i="21"/>
  <c r="QC20" i="21"/>
  <c r="QB20" i="21"/>
  <c r="PZ20" i="21"/>
  <c r="PY20" i="21"/>
  <c r="PX20" i="21"/>
  <c r="PW20" i="21"/>
  <c r="QC21" i="21"/>
  <c r="QB21" i="21"/>
  <c r="PZ21" i="21"/>
  <c r="PY21" i="21"/>
  <c r="PX21" i="21"/>
  <c r="PW21" i="21"/>
  <c r="QC11" i="21"/>
  <c r="QB11" i="21"/>
  <c r="PZ11" i="21"/>
  <c r="PY11" i="21"/>
  <c r="PX11" i="21"/>
  <c r="QD11" i="21" s="1"/>
  <c r="PW11" i="21"/>
  <c r="QC10" i="21"/>
  <c r="QB10" i="21"/>
  <c r="PZ10" i="21"/>
  <c r="PY10" i="21"/>
  <c r="PX10" i="21"/>
  <c r="PW10" i="21"/>
  <c r="QC16" i="21"/>
  <c r="QB16" i="21"/>
  <c r="PZ16" i="21"/>
  <c r="PY16" i="21"/>
  <c r="PX16" i="21"/>
  <c r="PW16" i="21"/>
  <c r="QC13" i="21"/>
  <c r="QB13" i="21"/>
  <c r="PZ13" i="21"/>
  <c r="PY13" i="21"/>
  <c r="PX13" i="21"/>
  <c r="PW13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7" i="21"/>
  <c r="OZ17" i="21"/>
  <c r="OX17" i="21"/>
  <c r="OW17" i="21"/>
  <c r="OV17" i="21"/>
  <c r="OU17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18" i="21"/>
  <c r="OZ18" i="21"/>
  <c r="OX18" i="21"/>
  <c r="OW18" i="21"/>
  <c r="OV18" i="21"/>
  <c r="OU18" i="21"/>
  <c r="PA12" i="21"/>
  <c r="OZ12" i="21"/>
  <c r="OX12" i="21"/>
  <c r="OW12" i="21"/>
  <c r="OV12" i="21"/>
  <c r="OU12" i="21"/>
  <c r="PA19" i="21"/>
  <c r="OZ19" i="21"/>
  <c r="OX19" i="21"/>
  <c r="OW19" i="21"/>
  <c r="OV19" i="21"/>
  <c r="OU19" i="21"/>
  <c r="PA15" i="21"/>
  <c r="OZ15" i="21"/>
  <c r="OX15" i="21"/>
  <c r="OW15" i="21"/>
  <c r="OV15" i="21"/>
  <c r="OU15" i="21"/>
  <c r="PA20" i="21"/>
  <c r="OZ20" i="21"/>
  <c r="OX20" i="21"/>
  <c r="OW20" i="21"/>
  <c r="OV20" i="21"/>
  <c r="OU20" i="21"/>
  <c r="PA21" i="21"/>
  <c r="OZ21" i="21"/>
  <c r="OX21" i="21"/>
  <c r="OW21" i="21"/>
  <c r="OV21" i="21"/>
  <c r="OU21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18" i="21"/>
  <c r="NX18" i="21"/>
  <c r="NV18" i="21"/>
  <c r="NU18" i="21"/>
  <c r="NT18" i="21"/>
  <c r="NS18" i="21"/>
  <c r="NY12" i="21"/>
  <c r="NX12" i="21"/>
  <c r="NV12" i="21"/>
  <c r="NU12" i="21"/>
  <c r="NT12" i="21"/>
  <c r="NS12" i="21"/>
  <c r="NY19" i="21"/>
  <c r="NX19" i="21"/>
  <c r="NV19" i="21"/>
  <c r="NU19" i="21"/>
  <c r="NT19" i="21"/>
  <c r="NS19" i="21"/>
  <c r="NY15" i="21"/>
  <c r="NX15" i="21"/>
  <c r="NV15" i="21"/>
  <c r="NU15" i="21"/>
  <c r="NT15" i="21"/>
  <c r="NS15" i="21"/>
  <c r="NY20" i="21"/>
  <c r="NX20" i="21"/>
  <c r="NV20" i="21"/>
  <c r="NU20" i="21"/>
  <c r="NT20" i="21"/>
  <c r="NS20" i="21"/>
  <c r="NY21" i="21"/>
  <c r="NX21" i="21"/>
  <c r="NV21" i="21"/>
  <c r="NU21" i="21"/>
  <c r="NT21" i="21"/>
  <c r="NS21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18" i="21"/>
  <c r="MV18" i="21"/>
  <c r="MT18" i="21"/>
  <c r="MS18" i="21"/>
  <c r="MR18" i="21"/>
  <c r="MQ18" i="21"/>
  <c r="MW12" i="21"/>
  <c r="MV12" i="21"/>
  <c r="MT12" i="21"/>
  <c r="MS12" i="21"/>
  <c r="MR12" i="21"/>
  <c r="MQ12" i="21"/>
  <c r="MW19" i="21"/>
  <c r="MV19" i="21"/>
  <c r="MT19" i="21"/>
  <c r="MS19" i="21"/>
  <c r="MR19" i="21"/>
  <c r="MQ19" i="21"/>
  <c r="MW15" i="21"/>
  <c r="MV15" i="21"/>
  <c r="MT15" i="21"/>
  <c r="MS15" i="21"/>
  <c r="MR15" i="21"/>
  <c r="MQ15" i="21"/>
  <c r="MW20" i="21"/>
  <c r="MV20" i="21"/>
  <c r="MT20" i="21"/>
  <c r="MS20" i="21"/>
  <c r="MR20" i="21"/>
  <c r="MQ20" i="21"/>
  <c r="MW21" i="21"/>
  <c r="MV21" i="21"/>
  <c r="MT21" i="21"/>
  <c r="MS21" i="21"/>
  <c r="MR21" i="21"/>
  <c r="MQ21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18" i="21"/>
  <c r="LT18" i="21"/>
  <c r="LR18" i="21"/>
  <c r="LQ18" i="21"/>
  <c r="LP18" i="21"/>
  <c r="LO18" i="21"/>
  <c r="LU12" i="21"/>
  <c r="LT12" i="21"/>
  <c r="LR12" i="21"/>
  <c r="LQ12" i="21"/>
  <c r="LP12" i="21"/>
  <c r="LO12" i="21"/>
  <c r="LU19" i="21"/>
  <c r="LT19" i="21"/>
  <c r="LR19" i="21"/>
  <c r="LQ19" i="21"/>
  <c r="LP19" i="21"/>
  <c r="LO19" i="21"/>
  <c r="LU15" i="21"/>
  <c r="LT15" i="21"/>
  <c r="LR15" i="21"/>
  <c r="LQ15" i="21"/>
  <c r="LP15" i="21"/>
  <c r="LO15" i="21"/>
  <c r="LU20" i="21"/>
  <c r="LT20" i="21"/>
  <c r="LR20" i="21"/>
  <c r="LQ20" i="21"/>
  <c r="LP20" i="21"/>
  <c r="LO20" i="21"/>
  <c r="LU21" i="21"/>
  <c r="LT21" i="21"/>
  <c r="LR21" i="21"/>
  <c r="LQ21" i="21"/>
  <c r="LP21" i="21"/>
  <c r="LO21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18" i="21"/>
  <c r="KR18" i="21"/>
  <c r="KP18" i="21"/>
  <c r="KO18" i="21"/>
  <c r="KN18" i="21"/>
  <c r="KM18" i="21"/>
  <c r="KS12" i="21"/>
  <c r="KR12" i="21"/>
  <c r="KP12" i="21"/>
  <c r="KO12" i="21"/>
  <c r="KN12" i="21"/>
  <c r="KM12" i="21"/>
  <c r="KS19" i="21"/>
  <c r="KR19" i="21"/>
  <c r="KP19" i="21"/>
  <c r="KO19" i="21"/>
  <c r="KN19" i="21"/>
  <c r="KM19" i="21"/>
  <c r="KS15" i="21"/>
  <c r="KR15" i="21"/>
  <c r="KP15" i="21"/>
  <c r="KO15" i="21"/>
  <c r="KN15" i="21"/>
  <c r="KM15" i="21"/>
  <c r="KS20" i="21"/>
  <c r="KR20" i="21"/>
  <c r="KP20" i="21"/>
  <c r="KO20" i="21"/>
  <c r="KN20" i="21"/>
  <c r="KM20" i="21"/>
  <c r="KS21" i="21"/>
  <c r="KR21" i="21"/>
  <c r="KP21" i="21"/>
  <c r="KO21" i="21"/>
  <c r="KN21" i="21"/>
  <c r="KM21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18" i="21"/>
  <c r="JP18" i="21"/>
  <c r="JN18" i="21"/>
  <c r="JM18" i="21"/>
  <c r="JL18" i="21"/>
  <c r="JK18" i="21"/>
  <c r="JQ12" i="21"/>
  <c r="JP12" i="21"/>
  <c r="JN12" i="21"/>
  <c r="JM12" i="21"/>
  <c r="JL12" i="21"/>
  <c r="JK12" i="21"/>
  <c r="JQ19" i="21"/>
  <c r="JP19" i="21"/>
  <c r="JN19" i="21"/>
  <c r="JM19" i="21"/>
  <c r="JL19" i="21"/>
  <c r="JK19" i="21"/>
  <c r="JQ15" i="21"/>
  <c r="JP15" i="21"/>
  <c r="JN15" i="21"/>
  <c r="JM15" i="21"/>
  <c r="JL15" i="21"/>
  <c r="JK15" i="21"/>
  <c r="JQ20" i="21"/>
  <c r="JP20" i="21"/>
  <c r="JN20" i="21"/>
  <c r="JM20" i="21"/>
  <c r="JL20" i="21"/>
  <c r="JK20" i="21"/>
  <c r="JQ21" i="21"/>
  <c r="JP21" i="21"/>
  <c r="JN21" i="21"/>
  <c r="JM21" i="21"/>
  <c r="JL21" i="21"/>
  <c r="JK21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18" i="21"/>
  <c r="IN18" i="21"/>
  <c r="IL18" i="21"/>
  <c r="IK18" i="21"/>
  <c r="IJ18" i="21"/>
  <c r="II18" i="21"/>
  <c r="IO12" i="21"/>
  <c r="IN12" i="21"/>
  <c r="IL12" i="21"/>
  <c r="IK12" i="21"/>
  <c r="IJ12" i="21"/>
  <c r="II12" i="21"/>
  <c r="IO19" i="21"/>
  <c r="IN19" i="21"/>
  <c r="IL19" i="21"/>
  <c r="IK19" i="21"/>
  <c r="IJ19" i="21"/>
  <c r="II19" i="21"/>
  <c r="IO15" i="21"/>
  <c r="IN15" i="21"/>
  <c r="IL15" i="21"/>
  <c r="IK15" i="21"/>
  <c r="IJ15" i="21"/>
  <c r="II15" i="21"/>
  <c r="IO20" i="21"/>
  <c r="IN20" i="21"/>
  <c r="IL20" i="21"/>
  <c r="IK20" i="21"/>
  <c r="IJ20" i="21"/>
  <c r="II20" i="21"/>
  <c r="IO21" i="21"/>
  <c r="IN21" i="21"/>
  <c r="IL21" i="21"/>
  <c r="IK21" i="21"/>
  <c r="IJ21" i="21"/>
  <c r="II21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18" i="21"/>
  <c r="HL18" i="21"/>
  <c r="HJ18" i="21"/>
  <c r="HI18" i="21"/>
  <c r="HH18" i="21"/>
  <c r="HG18" i="21"/>
  <c r="HM12" i="21"/>
  <c r="HL12" i="21"/>
  <c r="HJ12" i="21"/>
  <c r="HI12" i="21"/>
  <c r="HH12" i="21"/>
  <c r="HG12" i="21"/>
  <c r="HM19" i="21"/>
  <c r="HL19" i="21"/>
  <c r="HJ19" i="21"/>
  <c r="HI19" i="21"/>
  <c r="HH19" i="21"/>
  <c r="HG19" i="21"/>
  <c r="HM15" i="21"/>
  <c r="HL15" i="21"/>
  <c r="HJ15" i="21"/>
  <c r="HI15" i="21"/>
  <c r="HH15" i="21"/>
  <c r="HG15" i="21"/>
  <c r="HM20" i="21"/>
  <c r="HL20" i="21"/>
  <c r="HJ20" i="21"/>
  <c r="HI20" i="21"/>
  <c r="HH20" i="21"/>
  <c r="HG20" i="21"/>
  <c r="HM21" i="21"/>
  <c r="HL21" i="21"/>
  <c r="HJ21" i="21"/>
  <c r="HI21" i="21"/>
  <c r="HH21" i="21"/>
  <c r="HG21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18" i="21"/>
  <c r="GJ18" i="21"/>
  <c r="GH18" i="21"/>
  <c r="GG18" i="21"/>
  <c r="GF18" i="21"/>
  <c r="GE18" i="21"/>
  <c r="GK12" i="21"/>
  <c r="GJ12" i="21"/>
  <c r="GH12" i="21"/>
  <c r="GG12" i="21"/>
  <c r="GF12" i="21"/>
  <c r="GE12" i="21"/>
  <c r="GK19" i="21"/>
  <c r="GJ19" i="21"/>
  <c r="GH19" i="21"/>
  <c r="GG19" i="21"/>
  <c r="GF19" i="21"/>
  <c r="GE19" i="21"/>
  <c r="GK15" i="21"/>
  <c r="GJ15" i="21"/>
  <c r="GH15" i="21"/>
  <c r="GG15" i="21"/>
  <c r="GF15" i="21"/>
  <c r="GE15" i="21"/>
  <c r="GK20" i="21"/>
  <c r="GJ20" i="21"/>
  <c r="GH20" i="21"/>
  <c r="GG20" i="21"/>
  <c r="GF20" i="21"/>
  <c r="GE20" i="21"/>
  <c r="GK21" i="21"/>
  <c r="GJ21" i="21"/>
  <c r="GH21" i="21"/>
  <c r="GG21" i="21"/>
  <c r="GF21" i="21"/>
  <c r="GE21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18" i="21"/>
  <c r="FH18" i="21"/>
  <c r="FF18" i="21"/>
  <c r="FE18" i="21"/>
  <c r="FD18" i="21"/>
  <c r="FC18" i="21"/>
  <c r="FI12" i="21"/>
  <c r="FH12" i="21"/>
  <c r="FF12" i="21"/>
  <c r="FE12" i="21"/>
  <c r="FD12" i="21"/>
  <c r="FC12" i="21"/>
  <c r="FI19" i="21"/>
  <c r="FH19" i="21"/>
  <c r="FF19" i="21"/>
  <c r="FE19" i="21"/>
  <c r="FD19" i="21"/>
  <c r="FC19" i="21"/>
  <c r="FI15" i="21"/>
  <c r="FH15" i="21"/>
  <c r="FF15" i="21"/>
  <c r="FE15" i="21"/>
  <c r="FD15" i="21"/>
  <c r="FC15" i="21"/>
  <c r="FI20" i="21"/>
  <c r="FH20" i="21"/>
  <c r="FF20" i="21"/>
  <c r="FE20" i="21"/>
  <c r="FD20" i="21"/>
  <c r="FC20" i="21"/>
  <c r="FI21" i="21"/>
  <c r="FH21" i="21"/>
  <c r="FF21" i="21"/>
  <c r="FE21" i="21"/>
  <c r="FD21" i="21"/>
  <c r="FC21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18" i="21"/>
  <c r="EF18" i="21"/>
  <c r="ED18" i="21"/>
  <c r="EC18" i="21"/>
  <c r="EB18" i="21"/>
  <c r="EA18" i="21"/>
  <c r="EG12" i="21"/>
  <c r="EF12" i="21"/>
  <c r="ED12" i="21"/>
  <c r="EC12" i="21"/>
  <c r="EB12" i="21"/>
  <c r="EA12" i="21"/>
  <c r="EG19" i="21"/>
  <c r="EF19" i="21"/>
  <c r="ED19" i="21"/>
  <c r="EC19" i="21"/>
  <c r="EB19" i="21"/>
  <c r="EA19" i="21"/>
  <c r="EG15" i="21"/>
  <c r="EF15" i="21"/>
  <c r="ED15" i="21"/>
  <c r="EC15" i="21"/>
  <c r="EB15" i="21"/>
  <c r="EA15" i="21"/>
  <c r="EG20" i="21"/>
  <c r="EF20" i="21"/>
  <c r="ED20" i="21"/>
  <c r="EC20" i="21"/>
  <c r="EB20" i="21"/>
  <c r="EA20" i="21"/>
  <c r="EG21" i="21"/>
  <c r="EF21" i="21"/>
  <c r="ED21" i="21"/>
  <c r="EC21" i="21"/>
  <c r="EB21" i="21"/>
  <c r="EA21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4" i="19"/>
  <c r="SF24" i="19"/>
  <c r="SD24" i="19"/>
  <c r="SC24" i="19"/>
  <c r="SB24" i="19"/>
  <c r="SA24" i="19"/>
  <c r="SG26" i="19"/>
  <c r="SF26" i="19"/>
  <c r="SD26" i="19"/>
  <c r="SC26" i="19"/>
  <c r="SB26" i="19"/>
  <c r="SH26" i="19" s="1"/>
  <c r="SA26" i="19"/>
  <c r="SG20" i="19"/>
  <c r="SF20" i="19"/>
  <c r="SD20" i="19"/>
  <c r="SC20" i="19"/>
  <c r="SB20" i="19"/>
  <c r="SA20" i="19"/>
  <c r="SG25" i="19"/>
  <c r="SF25" i="19"/>
  <c r="SD25" i="19"/>
  <c r="SC25" i="19"/>
  <c r="SB25" i="19"/>
  <c r="SA25" i="19"/>
  <c r="SG18" i="19"/>
  <c r="SF18" i="19"/>
  <c r="SD18" i="19"/>
  <c r="SC18" i="19"/>
  <c r="SB18" i="19"/>
  <c r="SA18" i="19"/>
  <c r="SG22" i="19"/>
  <c r="SF22" i="19"/>
  <c r="SD22" i="19"/>
  <c r="SC22" i="19"/>
  <c r="SB22" i="19"/>
  <c r="SH22" i="19" s="1"/>
  <c r="SA22" i="19"/>
  <c r="SG27" i="19"/>
  <c r="SF27" i="19"/>
  <c r="SD27" i="19"/>
  <c r="SC27" i="19"/>
  <c r="SB27" i="19"/>
  <c r="SA27" i="19"/>
  <c r="SG19" i="19"/>
  <c r="SF19" i="19"/>
  <c r="SD19" i="19"/>
  <c r="SC19" i="19"/>
  <c r="SB19" i="19"/>
  <c r="SA19" i="19"/>
  <c r="SG21" i="19"/>
  <c r="SF21" i="19"/>
  <c r="SD21" i="19"/>
  <c r="SC21" i="19"/>
  <c r="SB21" i="19"/>
  <c r="SA21" i="19"/>
  <c r="SG17" i="19"/>
  <c r="SF17" i="19"/>
  <c r="SD17" i="19"/>
  <c r="SC17" i="19"/>
  <c r="SB17" i="19"/>
  <c r="SA17" i="19"/>
  <c r="SG8" i="19"/>
  <c r="SF8" i="19"/>
  <c r="SD8" i="19"/>
  <c r="SC8" i="19"/>
  <c r="SB8" i="19"/>
  <c r="SA8" i="19"/>
  <c r="SG14" i="19"/>
  <c r="SF14" i="19"/>
  <c r="SD14" i="19"/>
  <c r="SC14" i="19"/>
  <c r="SB14" i="19"/>
  <c r="SA14" i="19"/>
  <c r="SG23" i="19"/>
  <c r="SF23" i="19"/>
  <c r="SD23" i="19"/>
  <c r="SC23" i="19"/>
  <c r="SB23" i="19"/>
  <c r="SA23" i="19"/>
  <c r="SG15" i="19"/>
  <c r="SF15" i="19"/>
  <c r="SD15" i="19"/>
  <c r="SC15" i="19"/>
  <c r="SB15" i="19"/>
  <c r="SA15" i="19"/>
  <c r="SG13" i="19"/>
  <c r="SF13" i="19"/>
  <c r="SD13" i="19"/>
  <c r="SC13" i="19"/>
  <c r="SB13" i="19"/>
  <c r="SA13" i="19"/>
  <c r="SG16" i="19"/>
  <c r="SF16" i="19"/>
  <c r="SD16" i="19"/>
  <c r="SC16" i="19"/>
  <c r="SB16" i="19"/>
  <c r="SA16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6" i="19"/>
  <c r="SF6" i="19"/>
  <c r="SD6" i="19"/>
  <c r="SC6" i="19"/>
  <c r="SB6" i="19"/>
  <c r="SA6" i="19"/>
  <c r="SG10" i="19"/>
  <c r="SF10" i="19"/>
  <c r="SD10" i="19"/>
  <c r="SC10" i="19"/>
  <c r="SB10" i="19"/>
  <c r="SA10" i="19"/>
  <c r="SG9" i="19"/>
  <c r="SF9" i="19"/>
  <c r="SD9" i="19"/>
  <c r="SC9" i="19"/>
  <c r="SB9" i="19"/>
  <c r="SA9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4" i="19"/>
  <c r="RD24" i="19"/>
  <c r="RB24" i="19"/>
  <c r="RA24" i="19"/>
  <c r="QZ24" i="19"/>
  <c r="QY24" i="19"/>
  <c r="RE26" i="19"/>
  <c r="RD26" i="19"/>
  <c r="RB26" i="19"/>
  <c r="RA26" i="19"/>
  <c r="QZ26" i="19"/>
  <c r="QY26" i="19"/>
  <c r="RE20" i="19"/>
  <c r="RD20" i="19"/>
  <c r="RB20" i="19"/>
  <c r="RA20" i="19"/>
  <c r="QZ20" i="19"/>
  <c r="QY20" i="19"/>
  <c r="RE25" i="19"/>
  <c r="RD25" i="19"/>
  <c r="RB25" i="19"/>
  <c r="RA25" i="19"/>
  <c r="QZ25" i="19"/>
  <c r="QY25" i="19"/>
  <c r="RE18" i="19"/>
  <c r="RD18" i="19"/>
  <c r="RB18" i="19"/>
  <c r="RA18" i="19"/>
  <c r="QZ18" i="19"/>
  <c r="QY18" i="19"/>
  <c r="RE22" i="19"/>
  <c r="RD22" i="19"/>
  <c r="RB22" i="19"/>
  <c r="RA22" i="19"/>
  <c r="QZ22" i="19"/>
  <c r="QY22" i="19"/>
  <c r="RE27" i="19"/>
  <c r="RD27" i="19"/>
  <c r="RB27" i="19"/>
  <c r="RA27" i="19"/>
  <c r="QZ27" i="19"/>
  <c r="QY27" i="19"/>
  <c r="RE19" i="19"/>
  <c r="RD19" i="19"/>
  <c r="RB19" i="19"/>
  <c r="RA19" i="19"/>
  <c r="QZ19" i="19"/>
  <c r="QY19" i="19"/>
  <c r="RE21" i="19"/>
  <c r="RD21" i="19"/>
  <c r="RB21" i="19"/>
  <c r="RA21" i="19"/>
  <c r="QZ21" i="19"/>
  <c r="QY21" i="19"/>
  <c r="RE17" i="19"/>
  <c r="RD17" i="19"/>
  <c r="RB17" i="19"/>
  <c r="RA17" i="19"/>
  <c r="QZ17" i="19"/>
  <c r="QY17" i="19"/>
  <c r="RE8" i="19"/>
  <c r="RD8" i="19"/>
  <c r="RB8" i="19"/>
  <c r="RA8" i="19"/>
  <c r="QZ8" i="19"/>
  <c r="QY8" i="19"/>
  <c r="RE14" i="19"/>
  <c r="RD14" i="19"/>
  <c r="RB14" i="19"/>
  <c r="RA14" i="19"/>
  <c r="QZ14" i="19"/>
  <c r="QY14" i="19"/>
  <c r="RE23" i="19"/>
  <c r="RD23" i="19"/>
  <c r="RB23" i="19"/>
  <c r="RA23" i="19"/>
  <c r="QZ23" i="19"/>
  <c r="QY23" i="19"/>
  <c r="RE15" i="19"/>
  <c r="RD15" i="19"/>
  <c r="RB15" i="19"/>
  <c r="RA15" i="19"/>
  <c r="QZ15" i="19"/>
  <c r="QY15" i="19"/>
  <c r="RE13" i="19"/>
  <c r="RD13" i="19"/>
  <c r="RB13" i="19"/>
  <c r="RA13" i="19"/>
  <c r="QZ13" i="19"/>
  <c r="QY13" i="19"/>
  <c r="RE16" i="19"/>
  <c r="RD16" i="19"/>
  <c r="RB16" i="19"/>
  <c r="RA16" i="19"/>
  <c r="QZ16" i="19"/>
  <c r="QY16" i="19"/>
  <c r="RE12" i="19"/>
  <c r="RD12" i="19"/>
  <c r="RB12" i="19"/>
  <c r="RA12" i="19"/>
  <c r="QZ12" i="19"/>
  <c r="QY12" i="19"/>
  <c r="RE11" i="19"/>
  <c r="RD11" i="19"/>
  <c r="RB11" i="19"/>
  <c r="RA11" i="19"/>
  <c r="QZ11" i="19"/>
  <c r="QY11" i="19"/>
  <c r="RE6" i="19"/>
  <c r="RD6" i="19"/>
  <c r="RB6" i="19"/>
  <c r="RA6" i="19"/>
  <c r="QZ6" i="19"/>
  <c r="QY6" i="19"/>
  <c r="RE10" i="19"/>
  <c r="RD10" i="19"/>
  <c r="RB10" i="19"/>
  <c r="RA10" i="19"/>
  <c r="QZ10" i="19"/>
  <c r="QY10" i="19"/>
  <c r="RE9" i="19"/>
  <c r="RD9" i="19"/>
  <c r="RB9" i="19"/>
  <c r="RA9" i="19"/>
  <c r="QZ9" i="19"/>
  <c r="QY9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4" i="19"/>
  <c r="QB24" i="19"/>
  <c r="PZ24" i="19"/>
  <c r="PY24" i="19"/>
  <c r="PX24" i="19"/>
  <c r="PW24" i="19"/>
  <c r="QC26" i="19"/>
  <c r="QB26" i="19"/>
  <c r="PZ26" i="19"/>
  <c r="PY26" i="19"/>
  <c r="PX26" i="19"/>
  <c r="PW26" i="19"/>
  <c r="QC20" i="19"/>
  <c r="QB20" i="19"/>
  <c r="PZ20" i="19"/>
  <c r="PY20" i="19"/>
  <c r="PX20" i="19"/>
  <c r="PW20" i="19"/>
  <c r="QC25" i="19"/>
  <c r="QB25" i="19"/>
  <c r="PZ25" i="19"/>
  <c r="PY25" i="19"/>
  <c r="PX25" i="19"/>
  <c r="PW25" i="19"/>
  <c r="QC18" i="19"/>
  <c r="QB18" i="19"/>
  <c r="PZ18" i="19"/>
  <c r="PY18" i="19"/>
  <c r="PX18" i="19"/>
  <c r="PW18" i="19"/>
  <c r="QC22" i="19"/>
  <c r="QB22" i="19"/>
  <c r="PZ22" i="19"/>
  <c r="PY22" i="19"/>
  <c r="PX22" i="19"/>
  <c r="PW22" i="19"/>
  <c r="QC27" i="19"/>
  <c r="QB27" i="19"/>
  <c r="PZ27" i="19"/>
  <c r="PY27" i="19"/>
  <c r="PX27" i="19"/>
  <c r="PW27" i="19"/>
  <c r="QC19" i="19"/>
  <c r="QB19" i="19"/>
  <c r="PZ19" i="19"/>
  <c r="PY19" i="19"/>
  <c r="PX19" i="19"/>
  <c r="PW19" i="19"/>
  <c r="QC21" i="19"/>
  <c r="QB21" i="19"/>
  <c r="PZ21" i="19"/>
  <c r="PY21" i="19"/>
  <c r="PX21" i="19"/>
  <c r="PW21" i="19"/>
  <c r="QC17" i="19"/>
  <c r="QB17" i="19"/>
  <c r="PZ17" i="19"/>
  <c r="PY17" i="19"/>
  <c r="PX17" i="19"/>
  <c r="PW17" i="19"/>
  <c r="QC8" i="19"/>
  <c r="QB8" i="19"/>
  <c r="PZ8" i="19"/>
  <c r="PY8" i="19"/>
  <c r="PX8" i="19"/>
  <c r="PW8" i="19"/>
  <c r="QC14" i="19"/>
  <c r="QB14" i="19"/>
  <c r="PZ14" i="19"/>
  <c r="PY14" i="19"/>
  <c r="PX14" i="19"/>
  <c r="PW14" i="19"/>
  <c r="QC23" i="19"/>
  <c r="QB23" i="19"/>
  <c r="PZ23" i="19"/>
  <c r="PY23" i="19"/>
  <c r="PX23" i="19"/>
  <c r="PW23" i="19"/>
  <c r="QC15" i="19"/>
  <c r="QB15" i="19"/>
  <c r="PZ15" i="19"/>
  <c r="PY15" i="19"/>
  <c r="PX15" i="19"/>
  <c r="PW15" i="19"/>
  <c r="QC13" i="19"/>
  <c r="QB13" i="19"/>
  <c r="PZ13" i="19"/>
  <c r="PY13" i="19"/>
  <c r="PX13" i="19"/>
  <c r="PW13" i="19"/>
  <c r="QC16" i="19"/>
  <c r="QB16" i="19"/>
  <c r="PZ16" i="19"/>
  <c r="PY16" i="19"/>
  <c r="PX16" i="19"/>
  <c r="PW16" i="19"/>
  <c r="QC12" i="19"/>
  <c r="QB12" i="19"/>
  <c r="PZ12" i="19"/>
  <c r="PY12" i="19"/>
  <c r="PX12" i="19"/>
  <c r="PW12" i="19"/>
  <c r="QC11" i="19"/>
  <c r="QB11" i="19"/>
  <c r="PZ11" i="19"/>
  <c r="PY11" i="19"/>
  <c r="PX11" i="19"/>
  <c r="PW11" i="19"/>
  <c r="QC6" i="19"/>
  <c r="QB6" i="19"/>
  <c r="PZ6" i="19"/>
  <c r="PY6" i="19"/>
  <c r="PX6" i="19"/>
  <c r="PW6" i="19"/>
  <c r="QC10" i="19"/>
  <c r="QB10" i="19"/>
  <c r="PZ10" i="19"/>
  <c r="PY10" i="19"/>
  <c r="PX10" i="19"/>
  <c r="PW10" i="19"/>
  <c r="QC9" i="19"/>
  <c r="QB9" i="19"/>
  <c r="PZ9" i="19"/>
  <c r="PY9" i="19"/>
  <c r="PX9" i="19"/>
  <c r="PW9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27" i="19"/>
  <c r="OZ27" i="19"/>
  <c r="OX27" i="19"/>
  <c r="OW27" i="19"/>
  <c r="OV27" i="19"/>
  <c r="OU27" i="19"/>
  <c r="PA19" i="19"/>
  <c r="OZ19" i="19"/>
  <c r="OX19" i="19"/>
  <c r="OW19" i="19"/>
  <c r="OV19" i="19"/>
  <c r="OU19" i="19"/>
  <c r="PA21" i="19"/>
  <c r="OZ21" i="19"/>
  <c r="OX21" i="19"/>
  <c r="OW21" i="19"/>
  <c r="OV21" i="19"/>
  <c r="OU21" i="19"/>
  <c r="PA17" i="19"/>
  <c r="OZ17" i="19"/>
  <c r="OX17" i="19"/>
  <c r="OW17" i="19"/>
  <c r="OV17" i="19"/>
  <c r="OU17" i="19"/>
  <c r="PA8" i="19"/>
  <c r="OZ8" i="19"/>
  <c r="OX8" i="19"/>
  <c r="OW8" i="19"/>
  <c r="OV8" i="19"/>
  <c r="OU8" i="19"/>
  <c r="PA14" i="19"/>
  <c r="OZ14" i="19"/>
  <c r="OX14" i="19"/>
  <c r="OW14" i="19"/>
  <c r="OV14" i="19"/>
  <c r="OU14" i="19"/>
  <c r="PA23" i="19"/>
  <c r="OZ23" i="19"/>
  <c r="OX23" i="19"/>
  <c r="OW23" i="19"/>
  <c r="OV23" i="19"/>
  <c r="OU23" i="19"/>
  <c r="PA15" i="19"/>
  <c r="OZ15" i="19"/>
  <c r="OX15" i="19"/>
  <c r="OW15" i="19"/>
  <c r="OV15" i="19"/>
  <c r="PB15" i="19" s="1"/>
  <c r="OU15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OU12" i="19"/>
  <c r="PA11" i="19"/>
  <c r="OZ11" i="19"/>
  <c r="OX11" i="19"/>
  <c r="OW11" i="19"/>
  <c r="OV11" i="19"/>
  <c r="PB11" i="19" s="1"/>
  <c r="OU11" i="19"/>
  <c r="PA6" i="19"/>
  <c r="OZ6" i="19"/>
  <c r="OX6" i="19"/>
  <c r="OW6" i="19"/>
  <c r="OV6" i="19"/>
  <c r="OU6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7" i="19"/>
  <c r="OZ7" i="19"/>
  <c r="OX7" i="19"/>
  <c r="OW7" i="19"/>
  <c r="OV7" i="19"/>
  <c r="PB7" i="19" s="1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26" i="19"/>
  <c r="NX26" i="19"/>
  <c r="NV26" i="19"/>
  <c r="NU26" i="19"/>
  <c r="NT26" i="19"/>
  <c r="NZ26" i="19" s="1"/>
  <c r="NS26" i="19"/>
  <c r="NY20" i="19"/>
  <c r="NX20" i="19"/>
  <c r="NV20" i="19"/>
  <c r="NU20" i="19"/>
  <c r="NT20" i="19"/>
  <c r="NS20" i="19"/>
  <c r="NY25" i="19"/>
  <c r="NX25" i="19"/>
  <c r="NV25" i="19"/>
  <c r="NU25" i="19"/>
  <c r="NT25" i="19"/>
  <c r="NS25" i="19"/>
  <c r="NY18" i="19"/>
  <c r="NX18" i="19"/>
  <c r="NV18" i="19"/>
  <c r="NU18" i="19"/>
  <c r="NT18" i="19"/>
  <c r="NS18" i="19"/>
  <c r="NY22" i="19"/>
  <c r="NX22" i="19"/>
  <c r="NV22" i="19"/>
  <c r="NU22" i="19"/>
  <c r="NT22" i="19"/>
  <c r="NZ22" i="19" s="1"/>
  <c r="NS22" i="19"/>
  <c r="NY27" i="19"/>
  <c r="NX27" i="19"/>
  <c r="NV27" i="19"/>
  <c r="NU27" i="19"/>
  <c r="NT27" i="19"/>
  <c r="NS27" i="19"/>
  <c r="NY19" i="19"/>
  <c r="NX19" i="19"/>
  <c r="NV19" i="19"/>
  <c r="NU19" i="19"/>
  <c r="NT19" i="19"/>
  <c r="NS19" i="19"/>
  <c r="NY21" i="19"/>
  <c r="NX21" i="19"/>
  <c r="NV21" i="19"/>
  <c r="NU21" i="19"/>
  <c r="NT21" i="19"/>
  <c r="NS21" i="19"/>
  <c r="NY17" i="19"/>
  <c r="NX17" i="19"/>
  <c r="NV17" i="19"/>
  <c r="NU17" i="19"/>
  <c r="NT17" i="19"/>
  <c r="NS17" i="19"/>
  <c r="NY8" i="19"/>
  <c r="NX8" i="19"/>
  <c r="NV8" i="19"/>
  <c r="NU8" i="19"/>
  <c r="NT8" i="19"/>
  <c r="NS8" i="19"/>
  <c r="NY14" i="19"/>
  <c r="NX14" i="19"/>
  <c r="NV14" i="19"/>
  <c r="NU14" i="19"/>
  <c r="NT14" i="19"/>
  <c r="NS14" i="19"/>
  <c r="NY23" i="19"/>
  <c r="NX23" i="19"/>
  <c r="NV23" i="19"/>
  <c r="NU23" i="19"/>
  <c r="NT23" i="19"/>
  <c r="NS23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6" i="19"/>
  <c r="NX6" i="19"/>
  <c r="NV6" i="19"/>
  <c r="NU6" i="19"/>
  <c r="NT6" i="19"/>
  <c r="NS6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0" i="19"/>
  <c r="MV20" i="19"/>
  <c r="MT20" i="19"/>
  <c r="MS20" i="19"/>
  <c r="MR20" i="19"/>
  <c r="MQ20" i="19"/>
  <c r="MW25" i="19"/>
  <c r="MV25" i="19"/>
  <c r="MT25" i="19"/>
  <c r="MS25" i="19"/>
  <c r="MR25" i="19"/>
  <c r="MQ25" i="19"/>
  <c r="MW18" i="19"/>
  <c r="MV18" i="19"/>
  <c r="MT18" i="19"/>
  <c r="MS18" i="19"/>
  <c r="MR18" i="19"/>
  <c r="MQ18" i="19"/>
  <c r="MW22" i="19"/>
  <c r="MV22" i="19"/>
  <c r="MT22" i="19"/>
  <c r="MS22" i="19"/>
  <c r="MR22" i="19"/>
  <c r="MQ22" i="19"/>
  <c r="MW27" i="19"/>
  <c r="MV27" i="19"/>
  <c r="MT27" i="19"/>
  <c r="MS27" i="19"/>
  <c r="MR27" i="19"/>
  <c r="MQ27" i="19"/>
  <c r="MW19" i="19"/>
  <c r="MV19" i="19"/>
  <c r="MT19" i="19"/>
  <c r="MS19" i="19"/>
  <c r="MR19" i="19"/>
  <c r="MQ19" i="19"/>
  <c r="MW21" i="19"/>
  <c r="MV21" i="19"/>
  <c r="MT21" i="19"/>
  <c r="MS21" i="19"/>
  <c r="MR21" i="19"/>
  <c r="MQ21" i="19"/>
  <c r="MW17" i="19"/>
  <c r="MV17" i="19"/>
  <c r="MT17" i="19"/>
  <c r="MS17" i="19"/>
  <c r="MR17" i="19"/>
  <c r="MQ17" i="19"/>
  <c r="MW8" i="19"/>
  <c r="MV8" i="19"/>
  <c r="MT8" i="19"/>
  <c r="MS8" i="19"/>
  <c r="MR8" i="19"/>
  <c r="MQ8" i="19"/>
  <c r="MW14" i="19"/>
  <c r="MV14" i="19"/>
  <c r="MT14" i="19"/>
  <c r="MS14" i="19"/>
  <c r="MR14" i="19"/>
  <c r="MQ14" i="19"/>
  <c r="MW23" i="19"/>
  <c r="MV23" i="19"/>
  <c r="MT23" i="19"/>
  <c r="MS23" i="19"/>
  <c r="MR23" i="19"/>
  <c r="MQ23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6" i="19"/>
  <c r="MV6" i="19"/>
  <c r="MT6" i="19"/>
  <c r="MS6" i="19"/>
  <c r="MR6" i="19"/>
  <c r="MQ6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0" i="19"/>
  <c r="LT20" i="19"/>
  <c r="LR20" i="19"/>
  <c r="LQ20" i="19"/>
  <c r="LP20" i="19"/>
  <c r="LO20" i="19"/>
  <c r="LU25" i="19"/>
  <c r="LT25" i="19"/>
  <c r="LR25" i="19"/>
  <c r="LQ25" i="19"/>
  <c r="LP25" i="19"/>
  <c r="LO25" i="19"/>
  <c r="LU18" i="19"/>
  <c r="LT18" i="19"/>
  <c r="LR18" i="19"/>
  <c r="LQ18" i="19"/>
  <c r="LP18" i="19"/>
  <c r="LO18" i="19"/>
  <c r="LU22" i="19"/>
  <c r="LT22" i="19"/>
  <c r="LR22" i="19"/>
  <c r="LQ22" i="19"/>
  <c r="LP22" i="19"/>
  <c r="LO22" i="19"/>
  <c r="LU27" i="19"/>
  <c r="LT27" i="19"/>
  <c r="LR27" i="19"/>
  <c r="LQ27" i="19"/>
  <c r="LP27" i="19"/>
  <c r="LO27" i="19"/>
  <c r="LU19" i="19"/>
  <c r="LT19" i="19"/>
  <c r="LR19" i="19"/>
  <c r="LQ19" i="19"/>
  <c r="LP19" i="19"/>
  <c r="LO19" i="19"/>
  <c r="LU21" i="19"/>
  <c r="LT21" i="19"/>
  <c r="LR21" i="19"/>
  <c r="LQ21" i="19"/>
  <c r="LP21" i="19"/>
  <c r="LO21" i="19"/>
  <c r="LU17" i="19"/>
  <c r="LT17" i="19"/>
  <c r="LR17" i="19"/>
  <c r="LQ17" i="19"/>
  <c r="LP17" i="19"/>
  <c r="LO17" i="19"/>
  <c r="LU8" i="19"/>
  <c r="LT8" i="19"/>
  <c r="LR8" i="19"/>
  <c r="LQ8" i="19"/>
  <c r="LP8" i="19"/>
  <c r="LO8" i="19"/>
  <c r="LU14" i="19"/>
  <c r="LT14" i="19"/>
  <c r="LR14" i="19"/>
  <c r="LQ14" i="19"/>
  <c r="LP14" i="19"/>
  <c r="LO14" i="19"/>
  <c r="LU23" i="19"/>
  <c r="LT23" i="19"/>
  <c r="LR23" i="19"/>
  <c r="LQ23" i="19"/>
  <c r="LP23" i="19"/>
  <c r="LO23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6" i="19"/>
  <c r="LT6" i="19"/>
  <c r="LR6" i="19"/>
  <c r="LQ6" i="19"/>
  <c r="LP6" i="19"/>
  <c r="LO6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27" i="19"/>
  <c r="KR27" i="19"/>
  <c r="KP27" i="19"/>
  <c r="KO27" i="19"/>
  <c r="KN27" i="19"/>
  <c r="KM27" i="19"/>
  <c r="KS19" i="19"/>
  <c r="KR19" i="19"/>
  <c r="KP19" i="19"/>
  <c r="KO19" i="19"/>
  <c r="KN19" i="19"/>
  <c r="KM19" i="19"/>
  <c r="KS21" i="19"/>
  <c r="KR21" i="19"/>
  <c r="KP21" i="19"/>
  <c r="KO21" i="19"/>
  <c r="KN21" i="19"/>
  <c r="KM21" i="19"/>
  <c r="KS17" i="19"/>
  <c r="KR17" i="19"/>
  <c r="KP17" i="19"/>
  <c r="KO17" i="19"/>
  <c r="KN17" i="19"/>
  <c r="KM17" i="19"/>
  <c r="KS8" i="19"/>
  <c r="KR8" i="19"/>
  <c r="KP8" i="19"/>
  <c r="KO8" i="19"/>
  <c r="KN8" i="19"/>
  <c r="KM8" i="19"/>
  <c r="KS14" i="19"/>
  <c r="KR14" i="19"/>
  <c r="KP14" i="19"/>
  <c r="KO14" i="19"/>
  <c r="KN14" i="19"/>
  <c r="KM14" i="19"/>
  <c r="KS23" i="19"/>
  <c r="KR23" i="19"/>
  <c r="KP23" i="19"/>
  <c r="KO23" i="19"/>
  <c r="KN23" i="19"/>
  <c r="KM23" i="19"/>
  <c r="KS15" i="19"/>
  <c r="KR15" i="19"/>
  <c r="KP15" i="19"/>
  <c r="KO15" i="19"/>
  <c r="KN15" i="19"/>
  <c r="KT15" i="19" s="1"/>
  <c r="KM15" i="19"/>
  <c r="KS13" i="19"/>
  <c r="KR13" i="19"/>
  <c r="KP13" i="19"/>
  <c r="KO13" i="19"/>
  <c r="KN13" i="19"/>
  <c r="KM13" i="19"/>
  <c r="KS16" i="19"/>
  <c r="KR16" i="19"/>
  <c r="KP16" i="19"/>
  <c r="KO16" i="19"/>
  <c r="KN16" i="19"/>
  <c r="KM16" i="19"/>
  <c r="KS12" i="19"/>
  <c r="KR12" i="19"/>
  <c r="KP12" i="19"/>
  <c r="KO12" i="19"/>
  <c r="KN12" i="19"/>
  <c r="KM12" i="19"/>
  <c r="KS11" i="19"/>
  <c r="KR11" i="19"/>
  <c r="KP11" i="19"/>
  <c r="KO11" i="19"/>
  <c r="KN11" i="19"/>
  <c r="KT11" i="19" s="1"/>
  <c r="KM11" i="19"/>
  <c r="KS6" i="19"/>
  <c r="KR6" i="19"/>
  <c r="KP6" i="19"/>
  <c r="KO6" i="19"/>
  <c r="KN6" i="19"/>
  <c r="KM6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7" i="19"/>
  <c r="KR7" i="19"/>
  <c r="KP7" i="19"/>
  <c r="KO7" i="19"/>
  <c r="KN7" i="19"/>
  <c r="KT7" i="19" s="1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26" i="19"/>
  <c r="JP26" i="19"/>
  <c r="JN26" i="19"/>
  <c r="JM26" i="19"/>
  <c r="JL26" i="19"/>
  <c r="JR26" i="19" s="1"/>
  <c r="JK26" i="19"/>
  <c r="JQ20" i="19"/>
  <c r="JP20" i="19"/>
  <c r="JN20" i="19"/>
  <c r="JM20" i="19"/>
  <c r="JL20" i="19"/>
  <c r="JK20" i="19"/>
  <c r="JQ25" i="19"/>
  <c r="JP25" i="19"/>
  <c r="JN25" i="19"/>
  <c r="JM25" i="19"/>
  <c r="JL25" i="19"/>
  <c r="JK25" i="19"/>
  <c r="JQ18" i="19"/>
  <c r="JP18" i="19"/>
  <c r="JN18" i="19"/>
  <c r="JM18" i="19"/>
  <c r="JL18" i="19"/>
  <c r="JK18" i="19"/>
  <c r="JQ22" i="19"/>
  <c r="JP22" i="19"/>
  <c r="JN22" i="19"/>
  <c r="JM22" i="19"/>
  <c r="JL22" i="19"/>
  <c r="JR22" i="19" s="1"/>
  <c r="JK22" i="19"/>
  <c r="JQ27" i="19"/>
  <c r="JP27" i="19"/>
  <c r="JN27" i="19"/>
  <c r="JM27" i="19"/>
  <c r="JL27" i="19"/>
  <c r="JK27" i="19"/>
  <c r="JQ19" i="19"/>
  <c r="JP19" i="19"/>
  <c r="JN19" i="19"/>
  <c r="JM19" i="19"/>
  <c r="JL19" i="19"/>
  <c r="JK19" i="19"/>
  <c r="JQ21" i="19"/>
  <c r="JP21" i="19"/>
  <c r="JN21" i="19"/>
  <c r="JM21" i="19"/>
  <c r="JL21" i="19"/>
  <c r="JK21" i="19"/>
  <c r="JQ17" i="19"/>
  <c r="JP17" i="19"/>
  <c r="JN17" i="19"/>
  <c r="JM17" i="19"/>
  <c r="JL17" i="19"/>
  <c r="JK17" i="19"/>
  <c r="JQ8" i="19"/>
  <c r="JP8" i="19"/>
  <c r="JN8" i="19"/>
  <c r="JM8" i="19"/>
  <c r="JL8" i="19"/>
  <c r="JK8" i="19"/>
  <c r="JQ14" i="19"/>
  <c r="JP14" i="19"/>
  <c r="JN14" i="19"/>
  <c r="JM14" i="19"/>
  <c r="JL14" i="19"/>
  <c r="JK14" i="19"/>
  <c r="JQ23" i="19"/>
  <c r="JP23" i="19"/>
  <c r="JN23" i="19"/>
  <c r="JM23" i="19"/>
  <c r="JL23" i="19"/>
  <c r="JK23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6" i="19"/>
  <c r="JP16" i="19"/>
  <c r="JN16" i="19"/>
  <c r="JM16" i="19"/>
  <c r="JL16" i="19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6" i="19"/>
  <c r="JP6" i="19"/>
  <c r="JN6" i="19"/>
  <c r="JM6" i="19"/>
  <c r="JL6" i="19"/>
  <c r="JK6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0" i="19"/>
  <c r="IN20" i="19"/>
  <c r="IL20" i="19"/>
  <c r="IK20" i="19"/>
  <c r="IJ20" i="19"/>
  <c r="II20" i="19"/>
  <c r="IO25" i="19"/>
  <c r="IN25" i="19"/>
  <c r="IL25" i="19"/>
  <c r="IK25" i="19"/>
  <c r="IJ25" i="19"/>
  <c r="II25" i="19"/>
  <c r="IO18" i="19"/>
  <c r="IN18" i="19"/>
  <c r="IL18" i="19"/>
  <c r="IK18" i="19"/>
  <c r="IJ18" i="19"/>
  <c r="II18" i="19"/>
  <c r="IO22" i="19"/>
  <c r="IN22" i="19"/>
  <c r="IL22" i="19"/>
  <c r="IK22" i="19"/>
  <c r="IJ22" i="19"/>
  <c r="II22" i="19"/>
  <c r="IO27" i="19"/>
  <c r="IN27" i="19"/>
  <c r="IL27" i="19"/>
  <c r="IK27" i="19"/>
  <c r="IJ27" i="19"/>
  <c r="II27" i="19"/>
  <c r="IO19" i="19"/>
  <c r="IN19" i="19"/>
  <c r="IL19" i="19"/>
  <c r="IK19" i="19"/>
  <c r="IJ19" i="19"/>
  <c r="II19" i="19"/>
  <c r="IO21" i="19"/>
  <c r="IN21" i="19"/>
  <c r="IL21" i="19"/>
  <c r="IK21" i="19"/>
  <c r="IJ21" i="19"/>
  <c r="II21" i="19"/>
  <c r="IO17" i="19"/>
  <c r="IN17" i="19"/>
  <c r="IL17" i="19"/>
  <c r="IK17" i="19"/>
  <c r="IJ17" i="19"/>
  <c r="II17" i="19"/>
  <c r="IO8" i="19"/>
  <c r="IN8" i="19"/>
  <c r="IL8" i="19"/>
  <c r="IK8" i="19"/>
  <c r="IJ8" i="19"/>
  <c r="II8" i="19"/>
  <c r="IO14" i="19"/>
  <c r="IN14" i="19"/>
  <c r="IL14" i="19"/>
  <c r="IK14" i="19"/>
  <c r="IJ14" i="19"/>
  <c r="II14" i="19"/>
  <c r="IO23" i="19"/>
  <c r="IN23" i="19"/>
  <c r="IL23" i="19"/>
  <c r="IK23" i="19"/>
  <c r="IJ23" i="19"/>
  <c r="II23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6" i="19"/>
  <c r="IN6" i="19"/>
  <c r="IL6" i="19"/>
  <c r="IK6" i="19"/>
  <c r="IJ6" i="19"/>
  <c r="II6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0" i="19"/>
  <c r="HL20" i="19"/>
  <c r="HJ20" i="19"/>
  <c r="HI20" i="19"/>
  <c r="HH20" i="19"/>
  <c r="HG20" i="19"/>
  <c r="HM25" i="19"/>
  <c r="HL25" i="19"/>
  <c r="HJ25" i="19"/>
  <c r="HI25" i="19"/>
  <c r="HH25" i="19"/>
  <c r="HG25" i="19"/>
  <c r="HM18" i="19"/>
  <c r="HL18" i="19"/>
  <c r="HJ18" i="19"/>
  <c r="HI18" i="19"/>
  <c r="HH18" i="19"/>
  <c r="HG18" i="19"/>
  <c r="HM22" i="19"/>
  <c r="HL22" i="19"/>
  <c r="HJ22" i="19"/>
  <c r="HI22" i="19"/>
  <c r="HH22" i="19"/>
  <c r="HG22" i="19"/>
  <c r="HM27" i="19"/>
  <c r="HL27" i="19"/>
  <c r="HJ27" i="19"/>
  <c r="HI27" i="19"/>
  <c r="HH27" i="19"/>
  <c r="HG27" i="19"/>
  <c r="HM19" i="19"/>
  <c r="HL19" i="19"/>
  <c r="HJ19" i="19"/>
  <c r="HI19" i="19"/>
  <c r="HH19" i="19"/>
  <c r="HG19" i="19"/>
  <c r="HM21" i="19"/>
  <c r="HL21" i="19"/>
  <c r="HJ21" i="19"/>
  <c r="HI21" i="19"/>
  <c r="HH21" i="19"/>
  <c r="HG21" i="19"/>
  <c r="HM17" i="19"/>
  <c r="HL17" i="19"/>
  <c r="HJ17" i="19"/>
  <c r="HI17" i="19"/>
  <c r="HH17" i="19"/>
  <c r="HN17" i="19" s="1"/>
  <c r="HG17" i="19"/>
  <c r="HM8" i="19"/>
  <c r="HL8" i="19"/>
  <c r="HJ8" i="19"/>
  <c r="HI8" i="19"/>
  <c r="HH8" i="19"/>
  <c r="HG8" i="19"/>
  <c r="HM14" i="19"/>
  <c r="HL14" i="19"/>
  <c r="HJ14" i="19"/>
  <c r="HI14" i="19"/>
  <c r="HH14" i="19"/>
  <c r="HG14" i="19"/>
  <c r="HM23" i="19"/>
  <c r="HL23" i="19"/>
  <c r="HJ23" i="19"/>
  <c r="HI23" i="19"/>
  <c r="HH23" i="19"/>
  <c r="HG23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6" i="19"/>
  <c r="HL16" i="19"/>
  <c r="HJ16" i="19"/>
  <c r="HI16" i="19"/>
  <c r="HH16" i="19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6" i="19"/>
  <c r="HL6" i="19"/>
  <c r="HJ6" i="19"/>
  <c r="HI6" i="19"/>
  <c r="HH6" i="19"/>
  <c r="HG6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27" i="19"/>
  <c r="GJ27" i="19"/>
  <c r="GH27" i="19"/>
  <c r="GG27" i="19"/>
  <c r="GF27" i="19"/>
  <c r="GE27" i="19"/>
  <c r="GK19" i="19"/>
  <c r="GJ19" i="19"/>
  <c r="GH19" i="19"/>
  <c r="GG19" i="19"/>
  <c r="GF19" i="19"/>
  <c r="GE19" i="19"/>
  <c r="GK21" i="19"/>
  <c r="GJ21" i="19"/>
  <c r="GH21" i="19"/>
  <c r="GG21" i="19"/>
  <c r="GF21" i="19"/>
  <c r="GE21" i="19"/>
  <c r="GK17" i="19"/>
  <c r="GJ17" i="19"/>
  <c r="GH17" i="19"/>
  <c r="GG17" i="19"/>
  <c r="GF17" i="19"/>
  <c r="GE17" i="19"/>
  <c r="GK8" i="19"/>
  <c r="GJ8" i="19"/>
  <c r="GH8" i="19"/>
  <c r="GG8" i="19"/>
  <c r="GF8" i="19"/>
  <c r="GE8" i="19"/>
  <c r="GK14" i="19"/>
  <c r="GJ14" i="19"/>
  <c r="GH14" i="19"/>
  <c r="GG14" i="19"/>
  <c r="GF14" i="19"/>
  <c r="GE14" i="19"/>
  <c r="GK23" i="19"/>
  <c r="GJ23" i="19"/>
  <c r="GH23" i="19"/>
  <c r="GG23" i="19"/>
  <c r="GF23" i="19"/>
  <c r="GE23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6" i="19"/>
  <c r="GJ16" i="19"/>
  <c r="GH16" i="19"/>
  <c r="GG16" i="19"/>
  <c r="GF16" i="19"/>
  <c r="GE16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6" i="19"/>
  <c r="GJ6" i="19"/>
  <c r="GH6" i="19"/>
  <c r="GG6" i="19"/>
  <c r="GF6" i="19"/>
  <c r="GE6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0" i="19"/>
  <c r="FH20" i="19"/>
  <c r="FF20" i="19"/>
  <c r="FE20" i="19"/>
  <c r="FD20" i="19"/>
  <c r="FC20" i="19"/>
  <c r="FI25" i="19"/>
  <c r="FH25" i="19"/>
  <c r="FF25" i="19"/>
  <c r="FE25" i="19"/>
  <c r="FD25" i="19"/>
  <c r="FC25" i="19"/>
  <c r="FI18" i="19"/>
  <c r="FH18" i="19"/>
  <c r="FF18" i="19"/>
  <c r="FE18" i="19"/>
  <c r="FD18" i="19"/>
  <c r="FC18" i="19"/>
  <c r="FI22" i="19"/>
  <c r="FH22" i="19"/>
  <c r="FF22" i="19"/>
  <c r="FE22" i="19"/>
  <c r="FD22" i="19"/>
  <c r="FC22" i="19"/>
  <c r="FI27" i="19"/>
  <c r="FH27" i="19"/>
  <c r="FF27" i="19"/>
  <c r="FE27" i="19"/>
  <c r="FD27" i="19"/>
  <c r="FC27" i="19"/>
  <c r="FI19" i="19"/>
  <c r="FH19" i="19"/>
  <c r="FF19" i="19"/>
  <c r="FE19" i="19"/>
  <c r="FD19" i="19"/>
  <c r="FC19" i="19"/>
  <c r="FI21" i="19"/>
  <c r="FH21" i="19"/>
  <c r="FF21" i="19"/>
  <c r="FE21" i="19"/>
  <c r="FD21" i="19"/>
  <c r="FC21" i="19"/>
  <c r="FI17" i="19"/>
  <c r="FH17" i="19"/>
  <c r="FF17" i="19"/>
  <c r="FE17" i="19"/>
  <c r="FD17" i="19"/>
  <c r="FC17" i="19"/>
  <c r="FI8" i="19"/>
  <c r="FH8" i="19"/>
  <c r="FF8" i="19"/>
  <c r="FE8" i="19"/>
  <c r="FD8" i="19"/>
  <c r="FC8" i="19"/>
  <c r="FI14" i="19"/>
  <c r="FH14" i="19"/>
  <c r="FF14" i="19"/>
  <c r="FE14" i="19"/>
  <c r="FD14" i="19"/>
  <c r="FC14" i="19"/>
  <c r="FI23" i="19"/>
  <c r="FH23" i="19"/>
  <c r="FF23" i="19"/>
  <c r="FE23" i="19"/>
  <c r="FD23" i="19"/>
  <c r="FC23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6" i="19"/>
  <c r="FH6" i="19"/>
  <c r="FF6" i="19"/>
  <c r="FE6" i="19"/>
  <c r="FD6" i="19"/>
  <c r="FC6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27" i="19"/>
  <c r="EF27" i="19"/>
  <c r="ED27" i="19"/>
  <c r="EC27" i="19"/>
  <c r="EB27" i="19"/>
  <c r="EA27" i="19"/>
  <c r="EG19" i="19"/>
  <c r="EF19" i="19"/>
  <c r="ED19" i="19"/>
  <c r="EC19" i="19"/>
  <c r="EB19" i="19"/>
  <c r="EA19" i="19"/>
  <c r="EG21" i="19"/>
  <c r="EF21" i="19"/>
  <c r="ED21" i="19"/>
  <c r="EC21" i="19"/>
  <c r="EB21" i="19"/>
  <c r="EA21" i="19"/>
  <c r="EG17" i="19"/>
  <c r="EF17" i="19"/>
  <c r="ED17" i="19"/>
  <c r="EC17" i="19"/>
  <c r="EB17" i="19"/>
  <c r="EA17" i="19"/>
  <c r="EG8" i="19"/>
  <c r="EF8" i="19"/>
  <c r="ED8" i="19"/>
  <c r="EC8" i="19"/>
  <c r="EB8" i="19"/>
  <c r="EA8" i="19"/>
  <c r="EG14" i="19"/>
  <c r="EF14" i="19"/>
  <c r="ED14" i="19"/>
  <c r="EC14" i="19"/>
  <c r="EB14" i="19"/>
  <c r="EA14" i="19"/>
  <c r="EG23" i="19"/>
  <c r="EF23" i="19"/>
  <c r="ED23" i="19"/>
  <c r="EC23" i="19"/>
  <c r="EB23" i="19"/>
  <c r="EA23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6" i="19"/>
  <c r="EF6" i="19"/>
  <c r="ED6" i="19"/>
  <c r="EC6" i="19"/>
  <c r="EB6" i="19"/>
  <c r="EA6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0" i="26"/>
  <c r="SF10" i="26"/>
  <c r="SD10" i="26"/>
  <c r="SC10" i="26"/>
  <c r="SB10" i="26"/>
  <c r="SA10" i="26"/>
  <c r="SG11" i="26"/>
  <c r="SF11" i="26"/>
  <c r="SD11" i="26"/>
  <c r="SC11" i="26"/>
  <c r="SB11" i="26"/>
  <c r="SA11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0" i="26"/>
  <c r="RD10" i="26"/>
  <c r="RB10" i="26"/>
  <c r="RA10" i="26"/>
  <c r="QZ10" i="26"/>
  <c r="QY10" i="26"/>
  <c r="RE11" i="26"/>
  <c r="RD11" i="26"/>
  <c r="RB11" i="26"/>
  <c r="RA11" i="26"/>
  <c r="QZ11" i="26"/>
  <c r="QY11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0" i="26"/>
  <c r="QB10" i="26"/>
  <c r="PZ10" i="26"/>
  <c r="PY10" i="26"/>
  <c r="PX10" i="26"/>
  <c r="PW10" i="26"/>
  <c r="QC11" i="26"/>
  <c r="QB11" i="26"/>
  <c r="PZ11" i="26"/>
  <c r="PY11" i="26"/>
  <c r="PX11" i="26"/>
  <c r="PW11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I5" i="26" s="1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V18" i="23" s="1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V16" i="23" s="1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V12" i="23" s="1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V11" i="23" s="1"/>
  <c r="VC11" i="23" s="1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V9" i="23" s="1"/>
  <c r="UQ9" i="23"/>
  <c r="UP9" i="23"/>
  <c r="VB8" i="23"/>
  <c r="VA8" i="23"/>
  <c r="UZ8" i="23"/>
  <c r="UY8" i="23"/>
  <c r="UX8" i="23"/>
  <c r="UW8" i="23"/>
  <c r="UU8" i="23"/>
  <c r="UT8" i="23"/>
  <c r="US8" i="23"/>
  <c r="UR8" i="23"/>
  <c r="UV8" i="23" s="1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V4" i="23" s="1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N7" i="23" s="1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F12" i="23" s="1"/>
  <c r="SM12" i="23" s="1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F10" i="23" s="1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F6" i="23" s="1"/>
  <c r="SM6" i="23" s="1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F4" i="23" s="1"/>
  <c r="SM4" i="23" s="1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X11" i="23" s="1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X9" i="23" s="1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F13" i="22" s="1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F11" i="22" s="1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X14" i="22"/>
  <c r="QE14" i="22" s="1"/>
  <c r="PW14" i="22"/>
  <c r="PV14" i="22"/>
  <c r="PU14" i="22"/>
  <c r="PT14" i="22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X12" i="22" s="1"/>
  <c r="QE12" i="22" s="1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X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H5" i="22" s="1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Z14" i="22" s="1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IB13" i="22" s="1"/>
  <c r="II13" i="22" s="1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IB11" i="22" s="1"/>
  <c r="II11" i="22" s="1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II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L15" i="22" s="1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ED12" i="22" s="1"/>
  <c r="EK12" i="22" s="1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4" i="4"/>
  <c r="VI24" i="4"/>
  <c r="VH24" i="4"/>
  <c r="VG24" i="4"/>
  <c r="VF24" i="4"/>
  <c r="VE24" i="4"/>
  <c r="VC24" i="4"/>
  <c r="VB24" i="4"/>
  <c r="VA24" i="4"/>
  <c r="UZ24" i="4"/>
  <c r="VD24" i="4" s="1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1" i="4"/>
  <c r="VI21" i="4"/>
  <c r="VH21" i="4"/>
  <c r="VG21" i="4"/>
  <c r="VF21" i="4"/>
  <c r="VE21" i="4"/>
  <c r="VC21" i="4"/>
  <c r="VB21" i="4"/>
  <c r="VA21" i="4"/>
  <c r="UZ21" i="4"/>
  <c r="VD21" i="4" s="1"/>
  <c r="UY21" i="4"/>
  <c r="UX21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7" i="4"/>
  <c r="VI17" i="4"/>
  <c r="VH17" i="4"/>
  <c r="VG17" i="4"/>
  <c r="VF17" i="4"/>
  <c r="VE17" i="4"/>
  <c r="VC17" i="4"/>
  <c r="VB17" i="4"/>
  <c r="VA17" i="4"/>
  <c r="UZ17" i="4"/>
  <c r="VD17" i="4" s="1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VD18" i="4" s="1"/>
  <c r="UY18" i="4"/>
  <c r="UX18" i="4"/>
  <c r="VJ16" i="4"/>
  <c r="VI16" i="4"/>
  <c r="VH16" i="4"/>
  <c r="VG16" i="4"/>
  <c r="VF16" i="4"/>
  <c r="VE16" i="4"/>
  <c r="VC16" i="4"/>
  <c r="VB16" i="4"/>
  <c r="VA16" i="4"/>
  <c r="UZ16" i="4"/>
  <c r="VD16" i="4" s="1"/>
  <c r="UY16" i="4"/>
  <c r="UX16" i="4"/>
  <c r="VJ15" i="4"/>
  <c r="VI15" i="4"/>
  <c r="VH15" i="4"/>
  <c r="VG15" i="4"/>
  <c r="VF15" i="4"/>
  <c r="VE15" i="4"/>
  <c r="VC15" i="4"/>
  <c r="VB15" i="4"/>
  <c r="VA15" i="4"/>
  <c r="UZ15" i="4"/>
  <c r="VD15" i="4" s="1"/>
  <c r="UY15" i="4"/>
  <c r="UX15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VD12" i="4" s="1"/>
  <c r="UY12" i="4"/>
  <c r="UX12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VD4" i="4" s="1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V10" i="4" s="1"/>
  <c r="TQ10" i="4"/>
  <c r="TP1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V12" i="4" s="1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V6" i="4" s="1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V5" i="4" s="1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1" i="4"/>
  <c r="SS11" i="4"/>
  <c r="SR11" i="4"/>
  <c r="SQ11" i="4"/>
  <c r="SP11" i="4"/>
  <c r="SO11" i="4"/>
  <c r="SM11" i="4"/>
  <c r="SL11" i="4"/>
  <c r="SK11" i="4"/>
  <c r="SJ11" i="4"/>
  <c r="SN11" i="4" s="1"/>
  <c r="SI11" i="4"/>
  <c r="SH11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N8" i="4" s="1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F10" i="4" s="1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F5" i="4" s="1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P24" i="4" s="1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P17" i="4" s="1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P18" i="4" s="1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P15" i="4" s="1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P6" i="4" s="1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H22" i="4" s="1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Z15" i="4" s="1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Z6" i="4" s="1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R24" i="4" s="1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R4" i="4" s="1"/>
  <c r="KM4" i="4"/>
  <c r="KL4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J15" i="4" s="1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17" i="4"/>
  <c r="IG17" i="4"/>
  <c r="IF17" i="4"/>
  <c r="IE17" i="4"/>
  <c r="ID17" i="4"/>
  <c r="IC17" i="4"/>
  <c r="IA17" i="4"/>
  <c r="IB17" i="4" s="1"/>
  <c r="II17" i="4" s="1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IB16" i="4" s="1"/>
  <c r="II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IB4" i="4" s="1"/>
  <c r="II4" i="4" s="1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T24" i="4" s="1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L24" i="4" s="1"/>
  <c r="FS24" i="4" s="1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ED17" i="4" s="1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ED15" i="4" s="1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ED5" i="4" s="1"/>
  <c r="DY5" i="4"/>
  <c r="DX5" i="4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C17" i="21"/>
  <c r="TD17" i="21"/>
  <c r="TE17" i="21"/>
  <c r="TF17" i="21"/>
  <c r="TH17" i="21"/>
  <c r="TI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0" i="26"/>
  <c r="AQ10" i="26"/>
  <c r="AT10" i="26" s="1"/>
  <c r="AR10" i="26"/>
  <c r="AS10" i="26"/>
  <c r="AU10" i="26"/>
  <c r="AV10" i="26"/>
  <c r="BS10" i="26"/>
  <c r="BT10" i="26"/>
  <c r="BU10" i="26"/>
  <c r="BV10" i="26"/>
  <c r="BX10" i="26"/>
  <c r="BY10" i="26"/>
  <c r="CV10" i="26"/>
  <c r="CW10" i="26"/>
  <c r="CX10" i="26"/>
  <c r="CY10" i="26"/>
  <c r="DA10" i="26"/>
  <c r="DB10" i="26"/>
  <c r="TC10" i="26"/>
  <c r="TD10" i="26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GL5" i="19" l="1"/>
  <c r="GL6" i="19"/>
  <c r="GL13" i="19"/>
  <c r="PB5" i="19"/>
  <c r="PB6" i="19"/>
  <c r="PB13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0" i="26"/>
  <c r="KT6" i="26"/>
  <c r="KT10" i="26"/>
  <c r="LV6" i="26"/>
  <c r="NZ10" i="26"/>
  <c r="PB6" i="26"/>
  <c r="PB10" i="26"/>
  <c r="QD6" i="26"/>
  <c r="SH10" i="26"/>
  <c r="DV5" i="24"/>
  <c r="DV7" i="24"/>
  <c r="DV9" i="24"/>
  <c r="DV11" i="24"/>
  <c r="DV13" i="24"/>
  <c r="DV15" i="24"/>
  <c r="FD5" i="24"/>
  <c r="HT13" i="24"/>
  <c r="IA13" i="24" s="1"/>
  <c r="KJ13" i="24"/>
  <c r="LR7" i="24"/>
  <c r="LR9" i="24"/>
  <c r="LR11" i="24"/>
  <c r="LR13" i="24"/>
  <c r="MZ5" i="24"/>
  <c r="MZ7" i="24"/>
  <c r="MZ9" i="24"/>
  <c r="MZ11" i="24"/>
  <c r="MZ13" i="24"/>
  <c r="OH7" i="24"/>
  <c r="PP15" i="24"/>
  <c r="QX5" i="24"/>
  <c r="QX7" i="24"/>
  <c r="QX9" i="24"/>
  <c r="QX11" i="24"/>
  <c r="QX13" i="24"/>
  <c r="SF15" i="24"/>
  <c r="TN5" i="24"/>
  <c r="TN7" i="24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RM13" i="22"/>
  <c r="SN14" i="22"/>
  <c r="SU14" i="22" s="1"/>
  <c r="OP15" i="22"/>
  <c r="OP17" i="22"/>
  <c r="OW17" i="22" s="1"/>
  <c r="PX8" i="22"/>
  <c r="QE8" i="22" s="1"/>
  <c r="JJ14" i="22"/>
  <c r="KR7" i="22"/>
  <c r="KR11" i="22"/>
  <c r="KY11" i="22" s="1"/>
  <c r="KR13" i="22"/>
  <c r="KY13" i="22" s="1"/>
  <c r="PX13" i="22"/>
  <c r="QE13" i="22" s="1"/>
  <c r="PX16" i="22"/>
  <c r="SN8" i="22"/>
  <c r="VD17" i="22"/>
  <c r="VK17" i="22" s="1"/>
  <c r="NH13" i="22"/>
  <c r="NO13" i="22" s="1"/>
  <c r="NH14" i="22"/>
  <c r="NO14" i="22" s="1"/>
  <c r="OP5" i="22"/>
  <c r="OW5" i="22" s="1"/>
  <c r="OP7" i="22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NO5" i="22"/>
  <c r="LZ6" i="22"/>
  <c r="MG6" i="22" s="1"/>
  <c r="NH6" i="22"/>
  <c r="NO6" i="22" s="1"/>
  <c r="NH9" i="22"/>
  <c r="NO9" i="22" s="1"/>
  <c r="OP6" i="22"/>
  <c r="SN5" i="22"/>
  <c r="SU5" i="22" s="1"/>
  <c r="SN11" i="22"/>
  <c r="SU11" i="22" s="1"/>
  <c r="SN10" i="22"/>
  <c r="TV5" i="22"/>
  <c r="UC5" i="22" s="1"/>
  <c r="TV7" i="22"/>
  <c r="TV11" i="22"/>
  <c r="UC11" i="22" s="1"/>
  <c r="TV10" i="22"/>
  <c r="UC10" i="22" s="1"/>
  <c r="TV13" i="22"/>
  <c r="TV16" i="22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J15" i="22"/>
  <c r="JQ15" i="22" s="1"/>
  <c r="JJ17" i="22"/>
  <c r="JQ17" i="22" s="1"/>
  <c r="NH15" i="4"/>
  <c r="NO15" i="4" s="1"/>
  <c r="PX15" i="4"/>
  <c r="QE15" i="4" s="1"/>
  <c r="TV7" i="4"/>
  <c r="TV14" i="4"/>
  <c r="UC14" i="4" s="1"/>
  <c r="TV22" i="4"/>
  <c r="UC22" i="4" s="1"/>
  <c r="TV23" i="4"/>
  <c r="UC23" i="4" s="1"/>
  <c r="JQ10" i="4"/>
  <c r="JQ19" i="4"/>
  <c r="JQ15" i="4"/>
  <c r="JQ17" i="4"/>
  <c r="MG6" i="4"/>
  <c r="MG9" i="4"/>
  <c r="MG10" i="4"/>
  <c r="MG18" i="4"/>
  <c r="NO4" i="4"/>
  <c r="NO22" i="4"/>
  <c r="OW5" i="4"/>
  <c r="OW6" i="4"/>
  <c r="OW12" i="4"/>
  <c r="OW10" i="4"/>
  <c r="OW15" i="4"/>
  <c r="OW18" i="4"/>
  <c r="OW17" i="4"/>
  <c r="OW24" i="4"/>
  <c r="RM12" i="4"/>
  <c r="RM10" i="4"/>
  <c r="ED8" i="4"/>
  <c r="ED11" i="4"/>
  <c r="FL5" i="4"/>
  <c r="FS5" i="4" s="1"/>
  <c r="TV24" i="4"/>
  <c r="KR6" i="4"/>
  <c r="KY6" i="4" s="1"/>
  <c r="KR12" i="4"/>
  <c r="KY12" i="4" s="1"/>
  <c r="KR10" i="4"/>
  <c r="KR19" i="4"/>
  <c r="KR15" i="4"/>
  <c r="LZ8" i="4"/>
  <c r="VK17" i="4"/>
  <c r="GT4" i="4"/>
  <c r="GT13" i="4"/>
  <c r="HA13" i="4" s="1"/>
  <c r="IB14" i="4"/>
  <c r="UC5" i="4"/>
  <c r="UC6" i="4"/>
  <c r="UC12" i="4"/>
  <c r="UC10" i="4"/>
  <c r="GT11" i="4"/>
  <c r="IB5" i="4"/>
  <c r="II5" i="4" s="1"/>
  <c r="IB6" i="4"/>
  <c r="IB12" i="4"/>
  <c r="II12" i="4" s="1"/>
  <c r="IB10" i="4"/>
  <c r="II10" i="4" s="1"/>
  <c r="IB19" i="4"/>
  <c r="II19" i="4" s="1"/>
  <c r="IB15" i="4"/>
  <c r="II15" i="4" s="1"/>
  <c r="VD11" i="4"/>
  <c r="VK11" i="4" s="1"/>
  <c r="EK19" i="4"/>
  <c r="EK15" i="4"/>
  <c r="EK17" i="4"/>
  <c r="EK24" i="4"/>
  <c r="KY5" i="4"/>
  <c r="KY10" i="4"/>
  <c r="KY15" i="4"/>
  <c r="KR18" i="4"/>
  <c r="KY18" i="4" s="1"/>
  <c r="KR17" i="4"/>
  <c r="KY17" i="4" s="1"/>
  <c r="LZ16" i="4"/>
  <c r="NH5" i="4"/>
  <c r="NO5" i="4" s="1"/>
  <c r="NH6" i="4"/>
  <c r="PX14" i="4"/>
  <c r="QE14" i="4" s="1"/>
  <c r="RF17" i="4"/>
  <c r="RM17" i="4" s="1"/>
  <c r="FL4" i="4"/>
  <c r="FS4" i="4" s="1"/>
  <c r="FL13" i="4"/>
  <c r="FL11" i="4"/>
  <c r="FS11" i="4" s="1"/>
  <c r="GT5" i="4"/>
  <c r="HA5" i="4" s="1"/>
  <c r="GT6" i="4"/>
  <c r="GT12" i="4"/>
  <c r="GT9" i="4"/>
  <c r="HA9" i="4" s="1"/>
  <c r="GT10" i="4"/>
  <c r="GT19" i="4"/>
  <c r="HA19" i="4" s="1"/>
  <c r="NH12" i="4"/>
  <c r="NO12" i="4" s="1"/>
  <c r="NH9" i="4"/>
  <c r="NH10" i="4"/>
  <c r="NO10" i="4" s="1"/>
  <c r="NH17" i="4"/>
  <c r="NH21" i="4"/>
  <c r="NH24" i="4"/>
  <c r="NO24" i="4" s="1"/>
  <c r="OP13" i="4"/>
  <c r="OW13" i="4" s="1"/>
  <c r="OP11" i="4"/>
  <c r="OW11" i="4" s="1"/>
  <c r="PX5" i="4"/>
  <c r="QE5" i="4" s="1"/>
  <c r="PX24" i="4"/>
  <c r="QE24" i="4" s="1"/>
  <c r="RF13" i="4"/>
  <c r="RM13" i="4" s="1"/>
  <c r="SN5" i="4"/>
  <c r="SN6" i="4"/>
  <c r="SN12" i="4"/>
  <c r="SN10" i="4"/>
  <c r="SU10" i="4" s="1"/>
  <c r="SN19" i="4"/>
  <c r="SU19" i="4" s="1"/>
  <c r="SN15" i="4"/>
  <c r="SU15" i="4" s="1"/>
  <c r="SN17" i="4"/>
  <c r="SU17" i="4" s="1"/>
  <c r="SN21" i="4"/>
  <c r="SU21" i="4" s="1"/>
  <c r="SN24" i="4"/>
  <c r="SU24" i="4" s="1"/>
  <c r="VD5" i="4"/>
  <c r="VK5" i="4" s="1"/>
  <c r="VD6" i="4"/>
  <c r="VK6" i="4" s="1"/>
  <c r="JJ22" i="4"/>
  <c r="JQ22" i="4" s="1"/>
  <c r="KY24" i="4"/>
  <c r="VK21" i="4"/>
  <c r="VK24" i="4"/>
  <c r="GL19" i="19"/>
  <c r="GL25" i="19"/>
  <c r="JR10" i="19"/>
  <c r="JR16" i="19"/>
  <c r="JR14" i="19"/>
  <c r="KT19" i="19"/>
  <c r="KT25" i="19"/>
  <c r="PB19" i="19"/>
  <c r="PB25" i="19"/>
  <c r="GL21" i="19"/>
  <c r="GL18" i="19"/>
  <c r="GL24" i="19"/>
  <c r="HN9" i="19"/>
  <c r="HN12" i="19"/>
  <c r="HN23" i="19"/>
  <c r="KT21" i="19"/>
  <c r="KT18" i="19"/>
  <c r="KT24" i="19"/>
  <c r="PB21" i="19"/>
  <c r="PB18" i="19"/>
  <c r="FJ22" i="19"/>
  <c r="FJ26" i="19"/>
  <c r="GL7" i="19"/>
  <c r="GL11" i="19"/>
  <c r="GL15" i="19"/>
  <c r="GL8" i="19"/>
  <c r="KT8" i="19"/>
  <c r="PB8" i="19"/>
  <c r="KT5" i="19"/>
  <c r="KT6" i="19"/>
  <c r="KT13" i="19"/>
  <c r="LV9" i="19"/>
  <c r="LV12" i="19"/>
  <c r="LV23" i="19"/>
  <c r="LV17" i="19"/>
  <c r="PB24" i="19"/>
  <c r="QD9" i="19"/>
  <c r="QD12" i="19"/>
  <c r="QD23" i="19"/>
  <c r="QD17" i="19"/>
  <c r="FJ4" i="19"/>
  <c r="FJ10" i="19"/>
  <c r="FJ16" i="19"/>
  <c r="FJ14" i="19"/>
  <c r="HN27" i="19"/>
  <c r="HN20" i="19"/>
  <c r="JR4" i="19"/>
  <c r="LV27" i="19"/>
  <c r="LV20" i="19"/>
  <c r="NZ4" i="19"/>
  <c r="NZ10" i="19"/>
  <c r="NZ16" i="19"/>
  <c r="NZ14" i="19"/>
  <c r="QD27" i="19"/>
  <c r="QD20" i="19"/>
  <c r="SH4" i="19"/>
  <c r="SH10" i="19"/>
  <c r="SH16" i="19"/>
  <c r="SH14" i="19"/>
  <c r="HN7" i="19"/>
  <c r="HN11" i="19"/>
  <c r="HN15" i="19"/>
  <c r="HN8" i="19"/>
  <c r="HN19" i="19"/>
  <c r="HN25" i="19"/>
  <c r="IP4" i="19"/>
  <c r="IP10" i="19"/>
  <c r="IP16" i="19"/>
  <c r="IP14" i="19"/>
  <c r="IP22" i="19"/>
  <c r="IP26" i="19"/>
  <c r="LV7" i="19"/>
  <c r="LV11" i="19"/>
  <c r="LV15" i="19"/>
  <c r="LV8" i="19"/>
  <c r="LV19" i="19"/>
  <c r="LV25" i="19"/>
  <c r="MX4" i="19"/>
  <c r="MX10" i="19"/>
  <c r="MX16" i="19"/>
  <c r="MX14" i="19"/>
  <c r="MX22" i="19"/>
  <c r="MX26" i="19"/>
  <c r="QD7" i="19"/>
  <c r="QD11" i="19"/>
  <c r="QD15" i="19"/>
  <c r="QD8" i="19"/>
  <c r="QD19" i="19"/>
  <c r="QD25" i="19"/>
  <c r="RF4" i="19"/>
  <c r="RF10" i="19"/>
  <c r="RF16" i="19"/>
  <c r="RF14" i="19"/>
  <c r="RF22" i="19"/>
  <c r="RF26" i="19"/>
  <c r="EH9" i="19"/>
  <c r="EH12" i="19"/>
  <c r="EH23" i="19"/>
  <c r="EH17" i="19"/>
  <c r="EH27" i="19"/>
  <c r="EH20" i="19"/>
  <c r="FJ21" i="19"/>
  <c r="FJ18" i="19"/>
  <c r="FJ24" i="19"/>
  <c r="IP9" i="19"/>
  <c r="IP12" i="19"/>
  <c r="IP23" i="19"/>
  <c r="IP17" i="19"/>
  <c r="IP27" i="19"/>
  <c r="IP20" i="19"/>
  <c r="JR5" i="19"/>
  <c r="JR6" i="19"/>
  <c r="JR13" i="19"/>
  <c r="JR21" i="19"/>
  <c r="JR18" i="19"/>
  <c r="JR24" i="19"/>
  <c r="MX9" i="19"/>
  <c r="MX12" i="19"/>
  <c r="MX23" i="19"/>
  <c r="MX17" i="19"/>
  <c r="MX27" i="19"/>
  <c r="MX20" i="19"/>
  <c r="NZ5" i="19"/>
  <c r="NZ6" i="19"/>
  <c r="NZ13" i="19"/>
  <c r="NZ21" i="19"/>
  <c r="NZ18" i="19"/>
  <c r="NZ24" i="19"/>
  <c r="RF9" i="19"/>
  <c r="RF12" i="19"/>
  <c r="RF23" i="19"/>
  <c r="RF17" i="19"/>
  <c r="RF27" i="19"/>
  <c r="RF20" i="19"/>
  <c r="SH5" i="19"/>
  <c r="SH6" i="19"/>
  <c r="SH13" i="19"/>
  <c r="SH21" i="19"/>
  <c r="SH18" i="19"/>
  <c r="SH24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0" i="26"/>
  <c r="IP5" i="26"/>
  <c r="IP11" i="26"/>
  <c r="LV5" i="26"/>
  <c r="MX5" i="26"/>
  <c r="MX11" i="26"/>
  <c r="QD5" i="26"/>
  <c r="QD11" i="26"/>
  <c r="RF5" i="26"/>
  <c r="RF11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N11" i="24"/>
  <c r="FD8" i="24"/>
  <c r="LY7" i="24"/>
  <c r="LY13" i="24"/>
  <c r="LY11" i="24"/>
  <c r="FD4" i="24"/>
  <c r="FK4" i="24" s="1"/>
  <c r="FD6" i="24"/>
  <c r="FK6" i="24" s="1"/>
  <c r="FD10" i="24"/>
  <c r="FK10" i="24" s="1"/>
  <c r="GL7" i="24"/>
  <c r="OH15" i="24"/>
  <c r="OO15" i="24" s="1"/>
  <c r="SF13" i="24"/>
  <c r="SM13" i="24" s="1"/>
  <c r="UV7" i="24"/>
  <c r="LY9" i="24"/>
  <c r="GL4" i="24"/>
  <c r="GS4" i="24" s="1"/>
  <c r="GL10" i="24"/>
  <c r="GS10" i="24" s="1"/>
  <c r="LR10" i="24"/>
  <c r="MZ4" i="24"/>
  <c r="MZ10" i="24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UV10" i="24"/>
  <c r="VC10" i="24" s="1"/>
  <c r="UV12" i="24"/>
  <c r="SM15" i="24"/>
  <c r="TU9" i="24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EC5" i="24"/>
  <c r="EC7" i="24"/>
  <c r="EC9" i="24"/>
  <c r="EC13" i="24"/>
  <c r="NG5" i="24"/>
  <c r="NG7" i="24"/>
  <c r="NG9" i="24"/>
  <c r="NG13" i="24"/>
  <c r="FD14" i="24"/>
  <c r="FK14" i="24" s="1"/>
  <c r="GL15" i="24"/>
  <c r="GS15" i="24" s="1"/>
  <c r="OH10" i="24"/>
  <c r="OO10" i="24" s="1"/>
  <c r="PP13" i="24"/>
  <c r="PW13" i="24" s="1"/>
  <c r="QX10" i="24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SF7" i="23"/>
  <c r="SF9" i="23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HT11" i="23"/>
  <c r="JB4" i="23"/>
  <c r="JI4" i="23" s="1"/>
  <c r="JB7" i="23"/>
  <c r="JI7" i="23" s="1"/>
  <c r="JB9" i="23"/>
  <c r="JI9" i="23" s="1"/>
  <c r="JB11" i="23"/>
  <c r="JI11" i="23" s="1"/>
  <c r="JB15" i="23"/>
  <c r="KJ4" i="23"/>
  <c r="KQ4" i="23" s="1"/>
  <c r="KJ7" i="23"/>
  <c r="KQ7" i="23" s="1"/>
  <c r="KJ9" i="23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N16" i="23"/>
  <c r="RE7" i="23"/>
  <c r="VC4" i="23"/>
  <c r="UV17" i="23"/>
  <c r="VC17" i="23" s="1"/>
  <c r="SF18" i="23"/>
  <c r="SM18" i="23" s="1"/>
  <c r="VC5" i="23"/>
  <c r="VC12" i="23"/>
  <c r="VC14" i="23"/>
  <c r="VC16" i="23"/>
  <c r="VC18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HT14" i="23"/>
  <c r="IA14" i="23" s="1"/>
  <c r="HT16" i="23"/>
  <c r="HT18" i="23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P18" i="23"/>
  <c r="QX5" i="23"/>
  <c r="QX17" i="23"/>
  <c r="RE17" i="23" s="1"/>
  <c r="EH6" i="21"/>
  <c r="EH13" i="21"/>
  <c r="EH21" i="21"/>
  <c r="EH12" i="21"/>
  <c r="EH17" i="21"/>
  <c r="FJ9" i="21"/>
  <c r="FJ16" i="21"/>
  <c r="FJ20" i="21"/>
  <c r="FJ18" i="21"/>
  <c r="GL4" i="21"/>
  <c r="GL7" i="21"/>
  <c r="GL10" i="21"/>
  <c r="GL15" i="21"/>
  <c r="GL14" i="21"/>
  <c r="HN5" i="21"/>
  <c r="HN8" i="21"/>
  <c r="HN11" i="21"/>
  <c r="HN19" i="21"/>
  <c r="HN22" i="21"/>
  <c r="IP6" i="21"/>
  <c r="IP13" i="21"/>
  <c r="IP21" i="21"/>
  <c r="IP12" i="21"/>
  <c r="IP17" i="21"/>
  <c r="JR9" i="21"/>
  <c r="JR16" i="21"/>
  <c r="JR20" i="21"/>
  <c r="JR18" i="21"/>
  <c r="KT4" i="21"/>
  <c r="KT7" i="21"/>
  <c r="KT10" i="21"/>
  <c r="KT15" i="21"/>
  <c r="KT14" i="21"/>
  <c r="LV5" i="21"/>
  <c r="LV8" i="21"/>
  <c r="LV11" i="21"/>
  <c r="LV19" i="21"/>
  <c r="LV22" i="21"/>
  <c r="MX6" i="21"/>
  <c r="MX13" i="21"/>
  <c r="MX21" i="21"/>
  <c r="MX12" i="21"/>
  <c r="MX17" i="21"/>
  <c r="NZ9" i="21"/>
  <c r="NZ16" i="21"/>
  <c r="NZ20" i="21"/>
  <c r="NZ18" i="21"/>
  <c r="PB4" i="21"/>
  <c r="PB7" i="21"/>
  <c r="PB10" i="21"/>
  <c r="PB15" i="21"/>
  <c r="PB14" i="21"/>
  <c r="QD5" i="21"/>
  <c r="QD8" i="21"/>
  <c r="SH18" i="21"/>
  <c r="UK17" i="21"/>
  <c r="UF17" i="21"/>
  <c r="BZ17" i="21"/>
  <c r="EH5" i="21"/>
  <c r="EH8" i="21"/>
  <c r="EH11" i="21"/>
  <c r="EH19" i="21"/>
  <c r="EH22" i="21"/>
  <c r="FJ6" i="21"/>
  <c r="FJ13" i="21"/>
  <c r="FJ21" i="21"/>
  <c r="FJ12" i="21"/>
  <c r="FJ17" i="21"/>
  <c r="GL9" i="21"/>
  <c r="GL16" i="21"/>
  <c r="GL20" i="21"/>
  <c r="GL18" i="21"/>
  <c r="HN4" i="21"/>
  <c r="HN7" i="21"/>
  <c r="HN10" i="21"/>
  <c r="HN15" i="21"/>
  <c r="HN14" i="21"/>
  <c r="IP5" i="21"/>
  <c r="IP8" i="21"/>
  <c r="IP11" i="21"/>
  <c r="IP19" i="21"/>
  <c r="IP22" i="21"/>
  <c r="JR6" i="21"/>
  <c r="JR13" i="21"/>
  <c r="JR21" i="21"/>
  <c r="JR12" i="21"/>
  <c r="JR17" i="21"/>
  <c r="KT9" i="21"/>
  <c r="KT16" i="21"/>
  <c r="KT20" i="21"/>
  <c r="KT18" i="21"/>
  <c r="LV4" i="21"/>
  <c r="LV7" i="21"/>
  <c r="LV10" i="21"/>
  <c r="LV15" i="21"/>
  <c r="LV14" i="21"/>
  <c r="MX5" i="21"/>
  <c r="MX8" i="21"/>
  <c r="MX11" i="21"/>
  <c r="MX19" i="21"/>
  <c r="MX22" i="21"/>
  <c r="NZ6" i="21"/>
  <c r="NZ13" i="21"/>
  <c r="NZ21" i="21"/>
  <c r="NZ12" i="21"/>
  <c r="NZ17" i="21"/>
  <c r="PB9" i="21"/>
  <c r="PB16" i="21"/>
  <c r="PB20" i="21"/>
  <c r="PB18" i="21"/>
  <c r="QD4" i="21"/>
  <c r="QD7" i="21"/>
  <c r="QD10" i="21"/>
  <c r="QD15" i="21"/>
  <c r="QD14" i="21"/>
  <c r="RF5" i="21"/>
  <c r="RF8" i="21"/>
  <c r="RF11" i="21"/>
  <c r="RF19" i="21"/>
  <c r="RF22" i="21"/>
  <c r="SH6" i="21"/>
  <c r="SH13" i="21"/>
  <c r="SH21" i="21"/>
  <c r="SH12" i="21"/>
  <c r="SH17" i="21"/>
  <c r="EH4" i="21"/>
  <c r="EH7" i="21"/>
  <c r="EH10" i="21"/>
  <c r="EH15" i="21"/>
  <c r="EH14" i="21"/>
  <c r="FJ5" i="21"/>
  <c r="FJ8" i="21"/>
  <c r="FJ11" i="21"/>
  <c r="FJ19" i="21"/>
  <c r="FJ22" i="21"/>
  <c r="GL6" i="21"/>
  <c r="GL13" i="21"/>
  <c r="GL21" i="21"/>
  <c r="GL12" i="21"/>
  <c r="GL17" i="21"/>
  <c r="HN9" i="21"/>
  <c r="HN16" i="21"/>
  <c r="HN20" i="21"/>
  <c r="HN18" i="21"/>
  <c r="IP4" i="21"/>
  <c r="IP7" i="21"/>
  <c r="IP10" i="21"/>
  <c r="IP15" i="21"/>
  <c r="IP14" i="21"/>
  <c r="JR5" i="21"/>
  <c r="JR8" i="21"/>
  <c r="JR11" i="21"/>
  <c r="JR19" i="21"/>
  <c r="JR22" i="21"/>
  <c r="KT6" i="21"/>
  <c r="KT13" i="21"/>
  <c r="KT21" i="21"/>
  <c r="KT12" i="21"/>
  <c r="KT17" i="21"/>
  <c r="LV9" i="21"/>
  <c r="LV16" i="21"/>
  <c r="LV20" i="21"/>
  <c r="LV18" i="21"/>
  <c r="MX4" i="21"/>
  <c r="MX7" i="21"/>
  <c r="MX10" i="21"/>
  <c r="MX15" i="21"/>
  <c r="MX14" i="21"/>
  <c r="NZ5" i="21"/>
  <c r="NZ8" i="21"/>
  <c r="NZ11" i="21"/>
  <c r="NZ19" i="21"/>
  <c r="NZ22" i="21"/>
  <c r="PB6" i="21"/>
  <c r="PB13" i="21"/>
  <c r="PB21" i="21"/>
  <c r="PB12" i="21"/>
  <c r="PB17" i="21"/>
  <c r="QD9" i="21"/>
  <c r="QD16" i="21"/>
  <c r="QD20" i="21"/>
  <c r="QD18" i="21"/>
  <c r="RF4" i="21"/>
  <c r="RF7" i="21"/>
  <c r="RF10" i="21"/>
  <c r="RF15" i="21"/>
  <c r="RF14" i="21"/>
  <c r="SH5" i="21"/>
  <c r="SH8" i="21"/>
  <c r="SH11" i="21"/>
  <c r="SH19" i="21"/>
  <c r="SH22" i="21"/>
  <c r="EH9" i="21"/>
  <c r="EH16" i="21"/>
  <c r="EH20" i="21"/>
  <c r="EH18" i="21"/>
  <c r="FJ4" i="21"/>
  <c r="FJ7" i="21"/>
  <c r="FJ10" i="21"/>
  <c r="FJ15" i="21"/>
  <c r="FJ14" i="21"/>
  <c r="GL5" i="21"/>
  <c r="GL8" i="21"/>
  <c r="GL11" i="21"/>
  <c r="GL19" i="21"/>
  <c r="GL22" i="21"/>
  <c r="HN6" i="21"/>
  <c r="HN13" i="21"/>
  <c r="HN21" i="21"/>
  <c r="HN12" i="21"/>
  <c r="HN17" i="21"/>
  <c r="IP9" i="21"/>
  <c r="IP16" i="21"/>
  <c r="IP20" i="21"/>
  <c r="IP18" i="21"/>
  <c r="JR4" i="21"/>
  <c r="JR7" i="21"/>
  <c r="JR10" i="21"/>
  <c r="JR15" i="21"/>
  <c r="JR14" i="21"/>
  <c r="KT5" i="21"/>
  <c r="KT8" i="21"/>
  <c r="KT11" i="21"/>
  <c r="KT19" i="21"/>
  <c r="KT22" i="21"/>
  <c r="LV6" i="21"/>
  <c r="LV13" i="21"/>
  <c r="LV21" i="21"/>
  <c r="LV12" i="21"/>
  <c r="LV17" i="21"/>
  <c r="MX9" i="21"/>
  <c r="MX16" i="21"/>
  <c r="MX20" i="21"/>
  <c r="MX18" i="21"/>
  <c r="NZ4" i="21"/>
  <c r="NZ7" i="21"/>
  <c r="NZ10" i="21"/>
  <c r="NZ15" i="21"/>
  <c r="NZ14" i="21"/>
  <c r="PB5" i="21"/>
  <c r="PB8" i="21"/>
  <c r="PB11" i="21"/>
  <c r="PB19" i="21"/>
  <c r="PB22" i="21"/>
  <c r="QD6" i="21"/>
  <c r="QD13" i="21"/>
  <c r="QD21" i="21"/>
  <c r="QD12" i="21"/>
  <c r="QD17" i="21"/>
  <c r="RF9" i="21"/>
  <c r="RF16" i="21"/>
  <c r="RF20" i="21"/>
  <c r="RF18" i="21"/>
  <c r="SH4" i="21"/>
  <c r="SH7" i="21"/>
  <c r="SH10" i="21"/>
  <c r="SH15" i="21"/>
  <c r="SH14" i="21"/>
  <c r="EH7" i="19"/>
  <c r="EH11" i="19"/>
  <c r="EH15" i="19"/>
  <c r="EH8" i="19"/>
  <c r="EH19" i="19"/>
  <c r="EH25" i="19"/>
  <c r="FJ9" i="19"/>
  <c r="FJ12" i="19"/>
  <c r="FJ23" i="19"/>
  <c r="FJ17" i="19"/>
  <c r="EH14" i="19"/>
  <c r="EH22" i="19"/>
  <c r="EH26" i="19"/>
  <c r="FJ5" i="19"/>
  <c r="FJ6" i="19"/>
  <c r="FJ13" i="19"/>
  <c r="EH4" i="19"/>
  <c r="EH10" i="19"/>
  <c r="EH16" i="19"/>
  <c r="EH5" i="19"/>
  <c r="EH6" i="19"/>
  <c r="EH13" i="19"/>
  <c r="EH21" i="19"/>
  <c r="EH18" i="19"/>
  <c r="EH24" i="19"/>
  <c r="FJ7" i="19"/>
  <c r="FJ11" i="19"/>
  <c r="FJ15" i="19"/>
  <c r="FJ27" i="19"/>
  <c r="FJ20" i="19"/>
  <c r="GL4" i="19"/>
  <c r="GL10" i="19"/>
  <c r="GL16" i="19"/>
  <c r="GL14" i="19"/>
  <c r="GL22" i="19"/>
  <c r="GL26" i="19"/>
  <c r="HN5" i="19"/>
  <c r="HN6" i="19"/>
  <c r="HN13" i="19"/>
  <c r="HN21" i="19"/>
  <c r="HN18" i="19"/>
  <c r="HN24" i="19"/>
  <c r="IP7" i="19"/>
  <c r="IP11" i="19"/>
  <c r="IP15" i="19"/>
  <c r="IP8" i="19"/>
  <c r="IP19" i="19"/>
  <c r="IP25" i="19"/>
  <c r="JR9" i="19"/>
  <c r="JR12" i="19"/>
  <c r="JR23" i="19"/>
  <c r="JR17" i="19"/>
  <c r="JR27" i="19"/>
  <c r="JR20" i="19"/>
  <c r="KT4" i="19"/>
  <c r="KT10" i="19"/>
  <c r="KT16" i="19"/>
  <c r="KT14" i="19"/>
  <c r="KT22" i="19"/>
  <c r="KT26" i="19"/>
  <c r="LV5" i="19"/>
  <c r="LV6" i="19"/>
  <c r="LV13" i="19"/>
  <c r="LV21" i="19"/>
  <c r="LV18" i="19"/>
  <c r="LV24" i="19"/>
  <c r="MX7" i="19"/>
  <c r="MX11" i="19"/>
  <c r="MX15" i="19"/>
  <c r="MX8" i="19"/>
  <c r="MX19" i="19"/>
  <c r="MX25" i="19"/>
  <c r="NZ9" i="19"/>
  <c r="NZ12" i="19"/>
  <c r="NZ23" i="19"/>
  <c r="NZ17" i="19"/>
  <c r="NZ27" i="19"/>
  <c r="NZ20" i="19"/>
  <c r="PB4" i="19"/>
  <c r="PB10" i="19"/>
  <c r="PB16" i="19"/>
  <c r="PB14" i="19"/>
  <c r="PB22" i="19"/>
  <c r="PB26" i="19"/>
  <c r="QD5" i="19"/>
  <c r="QD6" i="19"/>
  <c r="QD13" i="19"/>
  <c r="QD21" i="19"/>
  <c r="QD18" i="19"/>
  <c r="QD24" i="19"/>
  <c r="RF7" i="19"/>
  <c r="RF11" i="19"/>
  <c r="RF15" i="19"/>
  <c r="RF8" i="19"/>
  <c r="RF19" i="19"/>
  <c r="RF25" i="19"/>
  <c r="SH9" i="19"/>
  <c r="SH12" i="19"/>
  <c r="SH23" i="19"/>
  <c r="SH17" i="19"/>
  <c r="SH27" i="19"/>
  <c r="SH20" i="19"/>
  <c r="FJ8" i="19"/>
  <c r="FJ19" i="19"/>
  <c r="FJ25" i="19"/>
  <c r="GL9" i="19"/>
  <c r="GL12" i="19"/>
  <c r="GL23" i="19"/>
  <c r="GL17" i="19"/>
  <c r="GL27" i="19"/>
  <c r="GL20" i="19"/>
  <c r="HN4" i="19"/>
  <c r="HN10" i="19"/>
  <c r="HN16" i="19"/>
  <c r="HN14" i="19"/>
  <c r="HN22" i="19"/>
  <c r="HN26" i="19"/>
  <c r="IP5" i="19"/>
  <c r="IP6" i="19"/>
  <c r="IP13" i="19"/>
  <c r="IP21" i="19"/>
  <c r="IP18" i="19"/>
  <c r="IP24" i="19"/>
  <c r="JR7" i="19"/>
  <c r="JR11" i="19"/>
  <c r="JR15" i="19"/>
  <c r="JR8" i="19"/>
  <c r="JR19" i="19"/>
  <c r="JR25" i="19"/>
  <c r="KT9" i="19"/>
  <c r="KT12" i="19"/>
  <c r="KT23" i="19"/>
  <c r="KT17" i="19"/>
  <c r="KT27" i="19"/>
  <c r="KT20" i="19"/>
  <c r="LV4" i="19"/>
  <c r="LV10" i="19"/>
  <c r="LV16" i="19"/>
  <c r="LV14" i="19"/>
  <c r="LV22" i="19"/>
  <c r="LV26" i="19"/>
  <c r="MX5" i="19"/>
  <c r="MX6" i="19"/>
  <c r="MX13" i="19"/>
  <c r="MX21" i="19"/>
  <c r="MX18" i="19"/>
  <c r="MX24" i="19"/>
  <c r="NZ7" i="19"/>
  <c r="NZ11" i="19"/>
  <c r="NZ15" i="19"/>
  <c r="NZ8" i="19"/>
  <c r="NZ19" i="19"/>
  <c r="NZ25" i="19"/>
  <c r="PB9" i="19"/>
  <c r="PB12" i="19"/>
  <c r="PB23" i="19"/>
  <c r="PB17" i="19"/>
  <c r="PB27" i="19"/>
  <c r="PB20" i="19"/>
  <c r="QD4" i="19"/>
  <c r="QD10" i="19"/>
  <c r="QD16" i="19"/>
  <c r="QD14" i="19"/>
  <c r="QD22" i="19"/>
  <c r="QD26" i="19"/>
  <c r="RF5" i="19"/>
  <c r="RF6" i="19"/>
  <c r="RF13" i="19"/>
  <c r="RF21" i="19"/>
  <c r="RF18" i="19"/>
  <c r="RF24" i="19"/>
  <c r="SH7" i="19"/>
  <c r="SH11" i="19"/>
  <c r="SH15" i="19"/>
  <c r="SH8" i="19"/>
  <c r="SH19" i="19"/>
  <c r="SH25" i="19"/>
  <c r="BW8" i="27"/>
  <c r="P8" i="27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0" i="26"/>
  <c r="GI4" i="26"/>
  <c r="GL6" i="26"/>
  <c r="GI10" i="26"/>
  <c r="UK10" i="26"/>
  <c r="GL7" i="26"/>
  <c r="GI11" i="26"/>
  <c r="GL8" i="26"/>
  <c r="HN4" i="26"/>
  <c r="HN9" i="26"/>
  <c r="HN10" i="26"/>
  <c r="IP6" i="26"/>
  <c r="JR5" i="26"/>
  <c r="EH5" i="26"/>
  <c r="EH11" i="26"/>
  <c r="FJ7" i="26"/>
  <c r="FJ8" i="26"/>
  <c r="GL4" i="26"/>
  <c r="GI6" i="26"/>
  <c r="GL10" i="26"/>
  <c r="EH7" i="26"/>
  <c r="EH8" i="26"/>
  <c r="FJ4" i="26"/>
  <c r="FJ9" i="26"/>
  <c r="FJ10" i="26"/>
  <c r="GI7" i="26"/>
  <c r="GL11" i="26"/>
  <c r="HN5" i="26"/>
  <c r="HN11" i="26"/>
  <c r="LV11" i="26"/>
  <c r="SH9" i="26"/>
  <c r="EH4" i="26"/>
  <c r="EH9" i="26"/>
  <c r="EH10" i="26"/>
  <c r="FJ6" i="26"/>
  <c r="GL9" i="26"/>
  <c r="HN7" i="26"/>
  <c r="HN8" i="26"/>
  <c r="IP4" i="26"/>
  <c r="IP9" i="26"/>
  <c r="IP10" i="26"/>
  <c r="JR6" i="26"/>
  <c r="KT5" i="26"/>
  <c r="KT11" i="26"/>
  <c r="LV7" i="26"/>
  <c r="LV8" i="26"/>
  <c r="MX4" i="26"/>
  <c r="MX9" i="26"/>
  <c r="MX10" i="26"/>
  <c r="NZ6" i="26"/>
  <c r="PB5" i="26"/>
  <c r="PB11" i="26"/>
  <c r="QD7" i="26"/>
  <c r="QD8" i="26"/>
  <c r="RF4" i="26"/>
  <c r="RF9" i="26"/>
  <c r="RF10" i="26"/>
  <c r="SH6" i="26"/>
  <c r="N10" i="26"/>
  <c r="DE10" i="26" s="1"/>
  <c r="EH6" i="26"/>
  <c r="FJ5" i="26"/>
  <c r="FJ11" i="26"/>
  <c r="GL5" i="26"/>
  <c r="GI8" i="26"/>
  <c r="JR11" i="26"/>
  <c r="KT7" i="26"/>
  <c r="KT8" i="26"/>
  <c r="LV4" i="26"/>
  <c r="LV9" i="26"/>
  <c r="LV10" i="26"/>
  <c r="MX6" i="26"/>
  <c r="NZ5" i="26"/>
  <c r="NZ11" i="26"/>
  <c r="PB7" i="26"/>
  <c r="PB8" i="26"/>
  <c r="QD4" i="26"/>
  <c r="QD9" i="26"/>
  <c r="QD10" i="26"/>
  <c r="RF6" i="26"/>
  <c r="SH5" i="26"/>
  <c r="SH11" i="26"/>
  <c r="GS7" i="24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FK5" i="24"/>
  <c r="FK8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KQ13" i="24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TN10" i="24"/>
  <c r="TU10" i="24" s="1"/>
  <c r="UV4" i="24"/>
  <c r="VC4" i="24" s="1"/>
  <c r="VC7" i="24"/>
  <c r="FD13" i="24"/>
  <c r="FK13" i="24" s="1"/>
  <c r="FD15" i="24"/>
  <c r="FK15" i="24" s="1"/>
  <c r="GL5" i="24"/>
  <c r="GS5" i="24" s="1"/>
  <c r="LR4" i="24"/>
  <c r="LY4" i="24" s="1"/>
  <c r="LR15" i="24"/>
  <c r="LY15" i="24" s="1"/>
  <c r="PW15" i="24"/>
  <c r="RE5" i="24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NG4" i="24"/>
  <c r="NG10" i="24"/>
  <c r="RE9" i="24"/>
  <c r="RE11" i="24"/>
  <c r="RE13" i="24"/>
  <c r="VC12" i="24"/>
  <c r="UV14" i="24"/>
  <c r="VC14" i="24" s="1"/>
  <c r="TU11" i="24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OO7" i="24"/>
  <c r="RE7" i="24"/>
  <c r="TU7" i="24"/>
  <c r="VC6" i="24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EC11" i="24"/>
  <c r="KQ11" i="24"/>
  <c r="LY10" i="24"/>
  <c r="NG11" i="24"/>
  <c r="PW11" i="24"/>
  <c r="RE10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TU5" i="24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PW16" i="23"/>
  <c r="PW18" i="23"/>
  <c r="RE5" i="23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IA5" i="23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RE11" i="23"/>
  <c r="SF11" i="23"/>
  <c r="SM11" i="23" s="1"/>
  <c r="SF14" i="23"/>
  <c r="SM14" i="23" s="1"/>
  <c r="TN5" i="23"/>
  <c r="TU5" i="23" s="1"/>
  <c r="TU7" i="23"/>
  <c r="TU11" i="23"/>
  <c r="TN14" i="23"/>
  <c r="TU14" i="23" s="1"/>
  <c r="FD7" i="23"/>
  <c r="FK7" i="23" s="1"/>
  <c r="FD11" i="23"/>
  <c r="FK11" i="23" s="1"/>
  <c r="IA9" i="23"/>
  <c r="IA11" i="23"/>
  <c r="IA18" i="23"/>
  <c r="PP17" i="23"/>
  <c r="PW17" i="23" s="1"/>
  <c r="QX4" i="23"/>
  <c r="RE4" i="23" s="1"/>
  <c r="JI15" i="23"/>
  <c r="NG16" i="23"/>
  <c r="TU16" i="23"/>
  <c r="IA17" i="23"/>
  <c r="KQ10" i="23"/>
  <c r="DV12" i="23"/>
  <c r="EC12" i="23" s="1"/>
  <c r="FD8" i="23"/>
  <c r="FK8" i="23" s="1"/>
  <c r="GS5" i="23"/>
  <c r="IA16" i="23"/>
  <c r="JB17" i="23"/>
  <c r="JI17" i="23" s="1"/>
  <c r="KQ9" i="23"/>
  <c r="KJ13" i="23"/>
  <c r="KQ13" i="23" s="1"/>
  <c r="LR10" i="23"/>
  <c r="LY10" i="23" s="1"/>
  <c r="NG12" i="23"/>
  <c r="SM9" i="23"/>
  <c r="SM10" i="23"/>
  <c r="SF15" i="23"/>
  <c r="SM15" i="23" s="1"/>
  <c r="TU12" i="23"/>
  <c r="VC8" i="23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SM7" i="23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FS9" i="22"/>
  <c r="FS15" i="22"/>
  <c r="II14" i="22"/>
  <c r="JQ5" i="22"/>
  <c r="JQ11" i="22"/>
  <c r="JQ10" i="22"/>
  <c r="JQ13" i="22"/>
  <c r="RF12" i="22"/>
  <c r="RM12" i="22" s="1"/>
  <c r="HA6" i="22"/>
  <c r="IB5" i="22"/>
  <c r="II5" i="22" s="1"/>
  <c r="KY7" i="22"/>
  <c r="OW6" i="22"/>
  <c r="IB6" i="22"/>
  <c r="II6" i="22" s="1"/>
  <c r="KR17" i="22"/>
  <c r="KY17" i="22" s="1"/>
  <c r="LZ4" i="22"/>
  <c r="LZ15" i="22"/>
  <c r="MG15" i="22" s="1"/>
  <c r="LZ17" i="22"/>
  <c r="MG17" i="22" s="1"/>
  <c r="PX5" i="22"/>
  <c r="QE5" i="22" s="1"/>
  <c r="RF8" i="22"/>
  <c r="RM8" i="22" s="1"/>
  <c r="ED8" i="22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QE11" i="22"/>
  <c r="RF16" i="22"/>
  <c r="RM16" i="22" s="1"/>
  <c r="RF14" i="22"/>
  <c r="RM14" i="22" s="1"/>
  <c r="SU8" i="22"/>
  <c r="SN15" i="22"/>
  <c r="SU15" i="22" s="1"/>
  <c r="FS14" i="22"/>
  <c r="GT5" i="22"/>
  <c r="HA5" i="22" s="1"/>
  <c r="GT7" i="22"/>
  <c r="GT11" i="22"/>
  <c r="HA11" i="22" s="1"/>
  <c r="GT10" i="22"/>
  <c r="HA10" i="22" s="1"/>
  <c r="GT13" i="22"/>
  <c r="HA13" i="22" s="1"/>
  <c r="SN13" i="22"/>
  <c r="SU13" i="22" s="1"/>
  <c r="SN16" i="22"/>
  <c r="SU16" i="22" s="1"/>
  <c r="UC13" i="22"/>
  <c r="UC16" i="22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UC7" i="22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EK8" i="22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HA4" i="22"/>
  <c r="GT12" i="22"/>
  <c r="HA12" i="22" s="1"/>
  <c r="HA14" i="22"/>
  <c r="IB16" i="22"/>
  <c r="II16" i="22" s="1"/>
  <c r="JQ4" i="22"/>
  <c r="JJ12" i="22"/>
  <c r="JQ12" i="22" s="1"/>
  <c r="JQ14" i="22"/>
  <c r="KR16" i="22"/>
  <c r="KY16" i="22" s="1"/>
  <c r="MG4" i="22"/>
  <c r="LZ12" i="22"/>
  <c r="MG12" i="22" s="1"/>
  <c r="MG14" i="22"/>
  <c r="NH16" i="22"/>
  <c r="NO16" i="22" s="1"/>
  <c r="OP12" i="22"/>
  <c r="OW12" i="22" s="1"/>
  <c r="PX10" i="22"/>
  <c r="QE10" i="22" s="1"/>
  <c r="QE15" i="22"/>
  <c r="RF6" i="22"/>
  <c r="RM6" i="22" s="1"/>
  <c r="RM11" i="22"/>
  <c r="SN7" i="22"/>
  <c r="SU7" i="22" s="1"/>
  <c r="VD12" i="22"/>
  <c r="VK12" i="22" s="1"/>
  <c r="ED17" i="22"/>
  <c r="EK17" i="22" s="1"/>
  <c r="FS8" i="22"/>
  <c r="GT8" i="22"/>
  <c r="HA8" i="22" s="1"/>
  <c r="JJ8" i="22"/>
  <c r="JQ8" i="22" s="1"/>
  <c r="LZ8" i="22"/>
  <c r="MG8" i="22" s="1"/>
  <c r="OP8" i="22"/>
  <c r="OW8" i="22" s="1"/>
  <c r="PX17" i="22"/>
  <c r="QE17" i="22" s="1"/>
  <c r="SU10" i="22"/>
  <c r="SN17" i="22"/>
  <c r="SU17" i="22" s="1"/>
  <c r="VD8" i="22"/>
  <c r="VK8" i="22" s="1"/>
  <c r="HA7" i="22"/>
  <c r="JQ7" i="22"/>
  <c r="KY6" i="22"/>
  <c r="OW7" i="22"/>
  <c r="OW15" i="22"/>
  <c r="QE16" i="22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2" i="4"/>
  <c r="EK22" i="4" s="1"/>
  <c r="JQ5" i="4"/>
  <c r="JJ6" i="4"/>
  <c r="JQ6" i="4" s="1"/>
  <c r="MG8" i="4"/>
  <c r="MG16" i="4"/>
  <c r="NO11" i="4"/>
  <c r="OP7" i="4"/>
  <c r="OP14" i="4"/>
  <c r="OW14" i="4" s="1"/>
  <c r="OP22" i="4"/>
  <c r="RF4" i="4"/>
  <c r="RM4" i="4" s="1"/>
  <c r="SU8" i="4"/>
  <c r="VK12" i="4"/>
  <c r="VK15" i="4"/>
  <c r="GT14" i="4"/>
  <c r="HA14" i="4" s="1"/>
  <c r="JQ24" i="4"/>
  <c r="NH19" i="4"/>
  <c r="NO19" i="4" s="1"/>
  <c r="PX4" i="4"/>
  <c r="QE4" i="4" s="1"/>
  <c r="PX13" i="4"/>
  <c r="QE13" i="4" s="1"/>
  <c r="RF16" i="4"/>
  <c r="RM16" i="4" s="1"/>
  <c r="TV15" i="4"/>
  <c r="UC15" i="4" s="1"/>
  <c r="TV18" i="4"/>
  <c r="UC18" i="4" s="1"/>
  <c r="TV17" i="4"/>
  <c r="UC17" i="4" s="1"/>
  <c r="HA12" i="4"/>
  <c r="HA10" i="4"/>
  <c r="GT22" i="4"/>
  <c r="HA22" i="4" s="1"/>
  <c r="KY13" i="4"/>
  <c r="KY11" i="4"/>
  <c r="LZ14" i="4"/>
  <c r="MG14" i="4" s="1"/>
  <c r="NH18" i="4"/>
  <c r="NO18" i="4" s="1"/>
  <c r="SU5" i="4"/>
  <c r="VD10" i="4"/>
  <c r="VK10" i="4" s="1"/>
  <c r="ED4" i="4"/>
  <c r="EK4" i="4" s="1"/>
  <c r="ED10" i="4"/>
  <c r="EK10" i="4" s="1"/>
  <c r="GT17" i="4"/>
  <c r="HA17" i="4" s="1"/>
  <c r="GT21" i="4"/>
  <c r="HA21" i="4" s="1"/>
  <c r="IB21" i="4"/>
  <c r="II21" i="4" s="1"/>
  <c r="IB24" i="4"/>
  <c r="II24" i="4" s="1"/>
  <c r="JJ4" i="4"/>
  <c r="JQ4" i="4" s="1"/>
  <c r="MG19" i="4"/>
  <c r="LZ22" i="4"/>
  <c r="MG22" i="4" s="1"/>
  <c r="LZ23" i="4"/>
  <c r="MG23" i="4" s="1"/>
  <c r="NO17" i="4"/>
  <c r="RM5" i="4"/>
  <c r="RF14" i="4"/>
  <c r="SN20" i="4"/>
  <c r="SU20" i="4" s="1"/>
  <c r="SN22" i="4"/>
  <c r="SU22" i="4" s="1"/>
  <c r="EK8" i="4"/>
  <c r="ED13" i="4"/>
  <c r="EK13" i="4" s="1"/>
  <c r="FL14" i="4"/>
  <c r="FS14" i="4" s="1"/>
  <c r="FL22" i="4"/>
  <c r="FS22" i="4" s="1"/>
  <c r="JQ8" i="4"/>
  <c r="FL6" i="4"/>
  <c r="FS6" i="4" s="1"/>
  <c r="FL12" i="4"/>
  <c r="FS12" i="4" s="1"/>
  <c r="FL10" i="4"/>
  <c r="FS10" i="4" s="1"/>
  <c r="FL19" i="4"/>
  <c r="FL15" i="4"/>
  <c r="FS15" i="4" s="1"/>
  <c r="FL18" i="4"/>
  <c r="FS18" i="4" s="1"/>
  <c r="FL17" i="4"/>
  <c r="FS17" i="4" s="1"/>
  <c r="FL21" i="4"/>
  <c r="IB13" i="4"/>
  <c r="II13" i="4" s="1"/>
  <c r="JJ13" i="4"/>
  <c r="JQ13" i="4" s="1"/>
  <c r="JJ11" i="4"/>
  <c r="JQ11" i="4" s="1"/>
  <c r="KR14" i="4"/>
  <c r="KY14" i="4" s="1"/>
  <c r="KR22" i="4"/>
  <c r="KY22" i="4" s="1"/>
  <c r="NH8" i="4"/>
  <c r="NO8" i="4" s="1"/>
  <c r="NH14" i="4"/>
  <c r="NO14" i="4" s="1"/>
  <c r="NH13" i="4"/>
  <c r="NO13" i="4" s="1"/>
  <c r="NH20" i="4"/>
  <c r="NO20" i="4" s="1"/>
  <c r="PX6" i="4"/>
  <c r="QE6" i="4" s="1"/>
  <c r="PX12" i="4"/>
  <c r="QE12" i="4" s="1"/>
  <c r="PX9" i="4"/>
  <c r="QE9" i="4" s="1"/>
  <c r="PX10" i="4"/>
  <c r="QE10" i="4" s="1"/>
  <c r="PX22" i="4"/>
  <c r="QE22" i="4" s="1"/>
  <c r="RF23" i="4"/>
  <c r="RM23" i="4" s="1"/>
  <c r="TV13" i="4"/>
  <c r="UC13" i="4" s="1"/>
  <c r="KR21" i="4"/>
  <c r="NH16" i="4"/>
  <c r="NO16" i="4" s="1"/>
  <c r="PX17" i="4"/>
  <c r="QE17" i="4" s="1"/>
  <c r="PX21" i="4"/>
  <c r="QE21" i="4" s="1"/>
  <c r="RF21" i="4"/>
  <c r="RM21" i="4" s="1"/>
  <c r="RF24" i="4"/>
  <c r="RM24" i="4" s="1"/>
  <c r="SN4" i="4"/>
  <c r="VK7" i="4"/>
  <c r="VD14" i="4"/>
  <c r="VK14" i="4" s="1"/>
  <c r="VD20" i="4"/>
  <c r="VK20" i="4" s="1"/>
  <c r="EK11" i="4"/>
  <c r="FS13" i="4"/>
  <c r="HA4" i="4"/>
  <c r="IB22" i="4"/>
  <c r="II22" i="4" s="1"/>
  <c r="JJ14" i="4"/>
  <c r="JQ14" i="4" s="1"/>
  <c r="RM19" i="4"/>
  <c r="RF22" i="4"/>
  <c r="RM22" i="4" s="1"/>
  <c r="SU6" i="4"/>
  <c r="SN14" i="4"/>
  <c r="SU14" i="4" s="1"/>
  <c r="SU11" i="4"/>
  <c r="VK4" i="4"/>
  <c r="VK18" i="4"/>
  <c r="VD23" i="4"/>
  <c r="VK23" i="4" s="1"/>
  <c r="ED14" i="4"/>
  <c r="EK14" i="4" s="1"/>
  <c r="ED9" i="4"/>
  <c r="EK9" i="4" s="1"/>
  <c r="ED20" i="4"/>
  <c r="EK20" i="4" s="1"/>
  <c r="FL7" i="4"/>
  <c r="FS7" i="4" s="1"/>
  <c r="FL16" i="4"/>
  <c r="FS16" i="4" s="1"/>
  <c r="GT8" i="4"/>
  <c r="HA8" i="4" s="1"/>
  <c r="IB18" i="4"/>
  <c r="II18" i="4" s="1"/>
  <c r="IB23" i="4"/>
  <c r="II23" i="4" s="1"/>
  <c r="JJ9" i="4"/>
  <c r="JQ9" i="4" s="1"/>
  <c r="JJ20" i="4"/>
  <c r="JQ20" i="4" s="1"/>
  <c r="KR7" i="4"/>
  <c r="KY7" i="4" s="1"/>
  <c r="KR16" i="4"/>
  <c r="KY16" i="4" s="1"/>
  <c r="LZ13" i="4"/>
  <c r="MG13" i="4" s="1"/>
  <c r="OW7" i="4"/>
  <c r="OP16" i="4"/>
  <c r="OW16" i="4" s="1"/>
  <c r="PX8" i="4"/>
  <c r="QE8" i="4" s="1"/>
  <c r="RF18" i="4"/>
  <c r="RM18" i="4" s="1"/>
  <c r="SN9" i="4"/>
  <c r="SU9" i="4" s="1"/>
  <c r="UC7" i="4"/>
  <c r="TV16" i="4"/>
  <c r="UC16" i="4" s="1"/>
  <c r="TV11" i="4"/>
  <c r="UC11" i="4" s="1"/>
  <c r="UC24" i="4"/>
  <c r="VD8" i="4"/>
  <c r="VK8" i="4" s="1"/>
  <c r="ED18" i="4"/>
  <c r="EK18" i="4" s="1"/>
  <c r="ED23" i="4"/>
  <c r="EK23" i="4" s="1"/>
  <c r="FL9" i="4"/>
  <c r="FS9" i="4" s="1"/>
  <c r="FL20" i="4"/>
  <c r="FS20" i="4" s="1"/>
  <c r="GT7" i="4"/>
  <c r="HA7" i="4" s="1"/>
  <c r="GT16" i="4"/>
  <c r="HA16" i="4" s="1"/>
  <c r="IB8" i="4"/>
  <c r="II8" i="4" s="1"/>
  <c r="JJ18" i="4"/>
  <c r="JQ18" i="4" s="1"/>
  <c r="JJ23" i="4"/>
  <c r="JQ23" i="4" s="1"/>
  <c r="KR9" i="4"/>
  <c r="KY9" i="4" s="1"/>
  <c r="KR20" i="4"/>
  <c r="KY20" i="4" s="1"/>
  <c r="LZ5" i="4"/>
  <c r="MG5" i="4" s="1"/>
  <c r="LZ7" i="4"/>
  <c r="MG7" i="4" s="1"/>
  <c r="LZ11" i="4"/>
  <c r="MG11" i="4" s="1"/>
  <c r="NH23" i="4"/>
  <c r="NO23" i="4" s="1"/>
  <c r="OP9" i="4"/>
  <c r="OW9" i="4" s="1"/>
  <c r="OP20" i="4"/>
  <c r="OW20" i="4" s="1"/>
  <c r="PX7" i="4"/>
  <c r="QE7" i="4" s="1"/>
  <c r="PX16" i="4"/>
  <c r="QE16" i="4" s="1"/>
  <c r="RF8" i="4"/>
  <c r="RM8" i="4" s="1"/>
  <c r="SN18" i="4"/>
  <c r="SU18" i="4" s="1"/>
  <c r="SN23" i="4"/>
  <c r="SU23" i="4" s="1"/>
  <c r="TV9" i="4"/>
  <c r="UC9" i="4" s="1"/>
  <c r="TV20" i="4"/>
  <c r="UC20" i="4" s="1"/>
  <c r="VD13" i="4"/>
  <c r="VK13" i="4" s="1"/>
  <c r="EK21" i="4"/>
  <c r="FS19" i="4"/>
  <c r="HA6" i="4"/>
  <c r="HA11" i="4"/>
  <c r="HA24" i="4"/>
  <c r="JQ12" i="4"/>
  <c r="JQ21" i="4"/>
  <c r="KY19" i="4"/>
  <c r="MG12" i="4"/>
  <c r="NO6" i="4"/>
  <c r="NO7" i="4"/>
  <c r="NO21" i="4"/>
  <c r="OW19" i="4"/>
  <c r="OW22" i="4"/>
  <c r="QE11" i="4"/>
  <c r="RM15" i="4"/>
  <c r="SU4" i="4"/>
  <c r="SU12" i="4"/>
  <c r="UC19" i="4"/>
  <c r="VK16" i="4"/>
  <c r="FL23" i="4"/>
  <c r="FS23" i="4" s="1"/>
  <c r="GT20" i="4"/>
  <c r="HA20" i="4" s="1"/>
  <c r="IB7" i="4"/>
  <c r="II7" i="4" s="1"/>
  <c r="KR23" i="4"/>
  <c r="KY23" i="4" s="1"/>
  <c r="LZ20" i="4"/>
  <c r="MG20" i="4" s="1"/>
  <c r="OP23" i="4"/>
  <c r="OW23" i="4" s="1"/>
  <c r="PX20" i="4"/>
  <c r="QE20" i="4" s="1"/>
  <c r="RF7" i="4"/>
  <c r="RM7" i="4" s="1"/>
  <c r="FS21" i="4"/>
  <c r="II6" i="4"/>
  <c r="II14" i="4"/>
  <c r="II11" i="4"/>
  <c r="KY4" i="4"/>
  <c r="KY21" i="4"/>
  <c r="MG15" i="4"/>
  <c r="NO9" i="4"/>
  <c r="OP4" i="4"/>
  <c r="OW4" i="4" s="1"/>
  <c r="OP21" i="4"/>
  <c r="OW21" i="4" s="1"/>
  <c r="PX19" i="4"/>
  <c r="QE19" i="4" s="1"/>
  <c r="RF6" i="4"/>
  <c r="RM6" i="4" s="1"/>
  <c r="RM14" i="4"/>
  <c r="RF11" i="4"/>
  <c r="RM11" i="4" s="1"/>
  <c r="SN13" i="4"/>
  <c r="SU13" i="4" s="1"/>
  <c r="TV4" i="4"/>
  <c r="UC4" i="4" s="1"/>
  <c r="TV21" i="4"/>
  <c r="UC21" i="4" s="1"/>
  <c r="VD9" i="4"/>
  <c r="VK9" i="4" s="1"/>
  <c r="EK12" i="4"/>
  <c r="ED7" i="4"/>
  <c r="EK7" i="4" s="1"/>
  <c r="ED16" i="4"/>
  <c r="EK16" i="4" s="1"/>
  <c r="FL8" i="4"/>
  <c r="FS8" i="4" s="1"/>
  <c r="GT18" i="4"/>
  <c r="HA18" i="4" s="1"/>
  <c r="GT23" i="4"/>
  <c r="HA23" i="4" s="1"/>
  <c r="IB9" i="4"/>
  <c r="II9" i="4" s="1"/>
  <c r="IB20" i="4"/>
  <c r="II20" i="4" s="1"/>
  <c r="JJ7" i="4"/>
  <c r="JQ7" i="4" s="1"/>
  <c r="JJ16" i="4"/>
  <c r="JQ16" i="4" s="1"/>
  <c r="KR8" i="4"/>
  <c r="KY8" i="4" s="1"/>
  <c r="LZ4" i="4"/>
  <c r="MG4" i="4" s="1"/>
  <c r="LZ17" i="4"/>
  <c r="MG17" i="4" s="1"/>
  <c r="LZ21" i="4"/>
  <c r="MG21" i="4" s="1"/>
  <c r="LZ24" i="4"/>
  <c r="MG24" i="4" s="1"/>
  <c r="OP8" i="4"/>
  <c r="OW8" i="4" s="1"/>
  <c r="PX18" i="4"/>
  <c r="QE18" i="4" s="1"/>
  <c r="PX23" i="4"/>
  <c r="QE23" i="4" s="1"/>
  <c r="RF9" i="4"/>
  <c r="RM9" i="4" s="1"/>
  <c r="RF20" i="4"/>
  <c r="RM20" i="4" s="1"/>
  <c r="SN7" i="4"/>
  <c r="SU7" i="4" s="1"/>
  <c r="SN16" i="4"/>
  <c r="SU16" i="4" s="1"/>
  <c r="TV8" i="4"/>
  <c r="UC8" i="4" s="1"/>
  <c r="VD19" i="4"/>
  <c r="VK19" i="4" s="1"/>
  <c r="VD22" i="4"/>
  <c r="VK22" i="4" s="1"/>
  <c r="SE4" i="21"/>
  <c r="SE5" i="21"/>
  <c r="SE6" i="21"/>
  <c r="SE9" i="21"/>
  <c r="SE7" i="21"/>
  <c r="SE8" i="21"/>
  <c r="SE13" i="21"/>
  <c r="SE16" i="21"/>
  <c r="SE10" i="21"/>
  <c r="SE11" i="21"/>
  <c r="SE21" i="21"/>
  <c r="SE20" i="21"/>
  <c r="SE15" i="21"/>
  <c r="SE19" i="21"/>
  <c r="SE12" i="21"/>
  <c r="SE18" i="21"/>
  <c r="SE14" i="21"/>
  <c r="SE22" i="21"/>
  <c r="SE17" i="21"/>
  <c r="RC4" i="21"/>
  <c r="RC5" i="21"/>
  <c r="RC6" i="21"/>
  <c r="RC9" i="21"/>
  <c r="RC7" i="21"/>
  <c r="RC8" i="21"/>
  <c r="RC13" i="21"/>
  <c r="RC16" i="21"/>
  <c r="RC10" i="21"/>
  <c r="RC11" i="21"/>
  <c r="RC21" i="21"/>
  <c r="RC20" i="21"/>
  <c r="RC15" i="21"/>
  <c r="RC19" i="21"/>
  <c r="RC12" i="21"/>
  <c r="RC18" i="21"/>
  <c r="RC14" i="21"/>
  <c r="RC22" i="21"/>
  <c r="RC17" i="21"/>
  <c r="QA4" i="21"/>
  <c r="QA5" i="21"/>
  <c r="QA6" i="21"/>
  <c r="QA9" i="21"/>
  <c r="QA7" i="21"/>
  <c r="QA8" i="21"/>
  <c r="QA13" i="21"/>
  <c r="QA16" i="21"/>
  <c r="QA10" i="21"/>
  <c r="QA11" i="21"/>
  <c r="QA21" i="21"/>
  <c r="QA20" i="21"/>
  <c r="QA15" i="21"/>
  <c r="QA19" i="21"/>
  <c r="QA12" i="21"/>
  <c r="QA18" i="21"/>
  <c r="QA14" i="21"/>
  <c r="QA22" i="21"/>
  <c r="QA17" i="21"/>
  <c r="OY4" i="21"/>
  <c r="OY5" i="21"/>
  <c r="OY6" i="21"/>
  <c r="OY9" i="21"/>
  <c r="OY7" i="21"/>
  <c r="OY8" i="21"/>
  <c r="OY13" i="21"/>
  <c r="OY16" i="21"/>
  <c r="OY10" i="21"/>
  <c r="OY11" i="21"/>
  <c r="OY21" i="21"/>
  <c r="OY20" i="21"/>
  <c r="OY15" i="21"/>
  <c r="OY19" i="21"/>
  <c r="OY12" i="21"/>
  <c r="OY18" i="21"/>
  <c r="OY14" i="21"/>
  <c r="OY22" i="21"/>
  <c r="OY17" i="21"/>
  <c r="NW4" i="21"/>
  <c r="NW9" i="21"/>
  <c r="NW13" i="21"/>
  <c r="NW21" i="21"/>
  <c r="NW19" i="21"/>
  <c r="NW22" i="21"/>
  <c r="NW6" i="21"/>
  <c r="NW8" i="21"/>
  <c r="NW10" i="21"/>
  <c r="NW15" i="21"/>
  <c r="NW14" i="21"/>
  <c r="NW5" i="21"/>
  <c r="NW7" i="21"/>
  <c r="NW16" i="21"/>
  <c r="NW11" i="21"/>
  <c r="NW20" i="21"/>
  <c r="NW12" i="21"/>
  <c r="NW18" i="21"/>
  <c r="NW17" i="21"/>
  <c r="MU4" i="21"/>
  <c r="MU5" i="21"/>
  <c r="MU6" i="21"/>
  <c r="MU9" i="21"/>
  <c r="MU7" i="21"/>
  <c r="MU8" i="21"/>
  <c r="MU13" i="21"/>
  <c r="MU16" i="21"/>
  <c r="MU10" i="21"/>
  <c r="MU11" i="21"/>
  <c r="MU21" i="21"/>
  <c r="MU20" i="21"/>
  <c r="MU15" i="21"/>
  <c r="MU19" i="21"/>
  <c r="MU12" i="21"/>
  <c r="MU18" i="21"/>
  <c r="MU14" i="21"/>
  <c r="MU22" i="21"/>
  <c r="MU17" i="21"/>
  <c r="LS4" i="21"/>
  <c r="LS5" i="21"/>
  <c r="LS6" i="21"/>
  <c r="LS9" i="21"/>
  <c r="LS7" i="21"/>
  <c r="LS8" i="21"/>
  <c r="LS13" i="21"/>
  <c r="LS16" i="21"/>
  <c r="LS10" i="21"/>
  <c r="LS11" i="21"/>
  <c r="LS21" i="21"/>
  <c r="LS20" i="21"/>
  <c r="LS15" i="21"/>
  <c r="LS19" i="21"/>
  <c r="LS12" i="21"/>
  <c r="LS18" i="21"/>
  <c r="LS14" i="21"/>
  <c r="LS22" i="21"/>
  <c r="LS17" i="21"/>
  <c r="KQ4" i="21"/>
  <c r="KQ5" i="21"/>
  <c r="KQ6" i="21"/>
  <c r="KQ9" i="21"/>
  <c r="KQ7" i="21"/>
  <c r="KQ8" i="21"/>
  <c r="KQ13" i="21"/>
  <c r="KQ16" i="21"/>
  <c r="KQ10" i="21"/>
  <c r="KQ11" i="21"/>
  <c r="KQ21" i="21"/>
  <c r="KQ20" i="21"/>
  <c r="KQ15" i="21"/>
  <c r="KQ19" i="21"/>
  <c r="KQ12" i="21"/>
  <c r="KQ18" i="21"/>
  <c r="KQ14" i="21"/>
  <c r="KQ22" i="21"/>
  <c r="KQ17" i="21"/>
  <c r="JO4" i="21"/>
  <c r="JO5" i="21"/>
  <c r="JO6" i="21"/>
  <c r="JO9" i="21"/>
  <c r="JO7" i="21"/>
  <c r="JO8" i="21"/>
  <c r="JO13" i="21"/>
  <c r="JO16" i="21"/>
  <c r="JO10" i="21"/>
  <c r="JO11" i="21"/>
  <c r="JO21" i="21"/>
  <c r="JO20" i="21"/>
  <c r="JO15" i="21"/>
  <c r="JO19" i="21"/>
  <c r="JO12" i="21"/>
  <c r="JO18" i="21"/>
  <c r="JO14" i="21"/>
  <c r="JO22" i="21"/>
  <c r="JO17" i="21"/>
  <c r="IM4" i="21"/>
  <c r="IM5" i="21"/>
  <c r="IM6" i="21"/>
  <c r="IM9" i="21"/>
  <c r="IM7" i="21"/>
  <c r="IM8" i="21"/>
  <c r="IM13" i="21"/>
  <c r="IM16" i="21"/>
  <c r="IM10" i="21"/>
  <c r="IM11" i="21"/>
  <c r="IM21" i="21"/>
  <c r="IM20" i="21"/>
  <c r="IM15" i="21"/>
  <c r="IM19" i="21"/>
  <c r="IM12" i="21"/>
  <c r="IM18" i="21"/>
  <c r="IM14" i="21"/>
  <c r="IM22" i="21"/>
  <c r="IM17" i="21"/>
  <c r="HK4" i="21"/>
  <c r="HK5" i="21"/>
  <c r="HK6" i="21"/>
  <c r="HK9" i="21"/>
  <c r="HK7" i="21"/>
  <c r="HK8" i="21"/>
  <c r="HK13" i="21"/>
  <c r="HK16" i="21"/>
  <c r="HK10" i="21"/>
  <c r="HK11" i="21"/>
  <c r="HK21" i="21"/>
  <c r="HK20" i="21"/>
  <c r="HK15" i="21"/>
  <c r="HK19" i="21"/>
  <c r="HK12" i="21"/>
  <c r="HK18" i="21"/>
  <c r="HK14" i="21"/>
  <c r="HK22" i="21"/>
  <c r="HK17" i="21"/>
  <c r="GI4" i="21"/>
  <c r="GI5" i="21"/>
  <c r="GI6" i="21"/>
  <c r="GI9" i="21"/>
  <c r="GI7" i="21"/>
  <c r="GI8" i="21"/>
  <c r="GI13" i="21"/>
  <c r="GI16" i="21"/>
  <c r="GI10" i="21"/>
  <c r="GI11" i="21"/>
  <c r="GI21" i="21"/>
  <c r="GI20" i="21"/>
  <c r="GI15" i="21"/>
  <c r="GI19" i="21"/>
  <c r="GI12" i="21"/>
  <c r="GI18" i="21"/>
  <c r="GI14" i="21"/>
  <c r="GI22" i="21"/>
  <c r="GI17" i="21"/>
  <c r="FG4" i="21"/>
  <c r="FG5" i="21"/>
  <c r="FG6" i="21"/>
  <c r="FG9" i="21"/>
  <c r="FG7" i="21"/>
  <c r="FG8" i="21"/>
  <c r="FG13" i="21"/>
  <c r="FG16" i="21"/>
  <c r="FG10" i="21"/>
  <c r="FG11" i="21"/>
  <c r="FG21" i="21"/>
  <c r="FG20" i="21"/>
  <c r="FG15" i="21"/>
  <c r="FG19" i="21"/>
  <c r="FG12" i="21"/>
  <c r="FG18" i="21"/>
  <c r="FG14" i="21"/>
  <c r="FG22" i="21"/>
  <c r="FG17" i="21"/>
  <c r="EE4" i="21"/>
  <c r="EE5" i="21"/>
  <c r="EE6" i="21"/>
  <c r="EE9" i="21"/>
  <c r="EE7" i="21"/>
  <c r="EE8" i="21"/>
  <c r="EE13" i="21"/>
  <c r="EE16" i="21"/>
  <c r="EE10" i="21"/>
  <c r="EE11" i="21"/>
  <c r="EE21" i="21"/>
  <c r="EE20" i="21"/>
  <c r="EE15" i="21"/>
  <c r="EE19" i="21"/>
  <c r="EE12" i="21"/>
  <c r="EE18" i="21"/>
  <c r="EE14" i="21"/>
  <c r="EE22" i="21"/>
  <c r="EE17" i="21"/>
  <c r="TG17" i="21"/>
  <c r="SE4" i="19"/>
  <c r="SE5" i="19"/>
  <c r="SE7" i="19"/>
  <c r="SE9" i="19"/>
  <c r="SE10" i="19"/>
  <c r="SE6" i="19"/>
  <c r="SE11" i="19"/>
  <c r="SE12" i="19"/>
  <c r="SE16" i="19"/>
  <c r="SE13" i="19"/>
  <c r="SE15" i="19"/>
  <c r="SE23" i="19"/>
  <c r="SE14" i="19"/>
  <c r="SE8" i="19"/>
  <c r="SE17" i="19"/>
  <c r="SE21" i="19"/>
  <c r="SE19" i="19"/>
  <c r="SE27" i="19"/>
  <c r="SE22" i="19"/>
  <c r="SE18" i="19"/>
  <c r="SE25" i="19"/>
  <c r="SE20" i="19"/>
  <c r="SE26" i="19"/>
  <c r="SE24" i="19"/>
  <c r="RC4" i="19"/>
  <c r="RC5" i="19"/>
  <c r="RC7" i="19"/>
  <c r="RC9" i="19"/>
  <c r="RC10" i="19"/>
  <c r="RC6" i="19"/>
  <c r="RC11" i="19"/>
  <c r="RC12" i="19"/>
  <c r="RC16" i="19"/>
  <c r="RC13" i="19"/>
  <c r="RC15" i="19"/>
  <c r="RC23" i="19"/>
  <c r="RC14" i="19"/>
  <c r="RC8" i="19"/>
  <c r="RC17" i="19"/>
  <c r="RC21" i="19"/>
  <c r="RC19" i="19"/>
  <c r="RC27" i="19"/>
  <c r="RC22" i="19"/>
  <c r="RC18" i="19"/>
  <c r="RC25" i="19"/>
  <c r="RC20" i="19"/>
  <c r="RC26" i="19"/>
  <c r="RC24" i="19"/>
  <c r="QA4" i="19"/>
  <c r="QA5" i="19"/>
  <c r="QA7" i="19"/>
  <c r="QA9" i="19"/>
  <c r="QA10" i="19"/>
  <c r="QA6" i="19"/>
  <c r="QA11" i="19"/>
  <c r="QA12" i="19"/>
  <c r="QA16" i="19"/>
  <c r="QA13" i="19"/>
  <c r="QA15" i="19"/>
  <c r="QA23" i="19"/>
  <c r="QA14" i="19"/>
  <c r="QA8" i="19"/>
  <c r="QA17" i="19"/>
  <c r="QA21" i="19"/>
  <c r="QA19" i="19"/>
  <c r="QA27" i="19"/>
  <c r="QA22" i="19"/>
  <c r="QA18" i="19"/>
  <c r="QA25" i="19"/>
  <c r="QA20" i="19"/>
  <c r="QA26" i="19"/>
  <c r="QA24" i="19"/>
  <c r="OY4" i="19"/>
  <c r="OY5" i="19"/>
  <c r="OY7" i="19"/>
  <c r="OY9" i="19"/>
  <c r="OY10" i="19"/>
  <c r="OY6" i="19"/>
  <c r="OY11" i="19"/>
  <c r="OY12" i="19"/>
  <c r="OY16" i="19"/>
  <c r="OY13" i="19"/>
  <c r="OY15" i="19"/>
  <c r="OY23" i="19"/>
  <c r="OY14" i="19"/>
  <c r="OY8" i="19"/>
  <c r="OY17" i="19"/>
  <c r="OY21" i="19"/>
  <c r="OY19" i="19"/>
  <c r="OY27" i="19"/>
  <c r="OY22" i="19"/>
  <c r="OY18" i="19"/>
  <c r="OY25" i="19"/>
  <c r="OY20" i="19"/>
  <c r="OY26" i="19"/>
  <c r="OY24" i="19"/>
  <c r="NW4" i="19"/>
  <c r="NW5" i="19"/>
  <c r="NW7" i="19"/>
  <c r="NW9" i="19"/>
  <c r="NW10" i="19"/>
  <c r="NW6" i="19"/>
  <c r="NW11" i="19"/>
  <c r="NW12" i="19"/>
  <c r="NW16" i="19"/>
  <c r="NW13" i="19"/>
  <c r="NW15" i="19"/>
  <c r="NW23" i="19"/>
  <c r="NW14" i="19"/>
  <c r="NW8" i="19"/>
  <c r="NW17" i="19"/>
  <c r="NW21" i="19"/>
  <c r="NW19" i="19"/>
  <c r="NW27" i="19"/>
  <c r="NW22" i="19"/>
  <c r="NW18" i="19"/>
  <c r="NW25" i="19"/>
  <c r="NW20" i="19"/>
  <c r="NW26" i="19"/>
  <c r="NW24" i="19"/>
  <c r="MU4" i="19"/>
  <c r="MU5" i="19"/>
  <c r="MU7" i="19"/>
  <c r="MU9" i="19"/>
  <c r="MU10" i="19"/>
  <c r="MU6" i="19"/>
  <c r="MU11" i="19"/>
  <c r="MU12" i="19"/>
  <c r="MU16" i="19"/>
  <c r="MU13" i="19"/>
  <c r="MU15" i="19"/>
  <c r="MU23" i="19"/>
  <c r="MU14" i="19"/>
  <c r="MU8" i="19"/>
  <c r="MU17" i="19"/>
  <c r="MU21" i="19"/>
  <c r="MU19" i="19"/>
  <c r="MU27" i="19"/>
  <c r="MU22" i="19"/>
  <c r="MU18" i="19"/>
  <c r="MU25" i="19"/>
  <c r="MU20" i="19"/>
  <c r="MU26" i="19"/>
  <c r="MU24" i="19"/>
  <c r="LS4" i="19"/>
  <c r="LS5" i="19"/>
  <c r="LS7" i="19"/>
  <c r="LS9" i="19"/>
  <c r="LS10" i="19"/>
  <c r="LS6" i="19"/>
  <c r="LS11" i="19"/>
  <c r="LS12" i="19"/>
  <c r="LS16" i="19"/>
  <c r="LS13" i="19"/>
  <c r="LS15" i="19"/>
  <c r="LS23" i="19"/>
  <c r="LS14" i="19"/>
  <c r="LS8" i="19"/>
  <c r="LS17" i="19"/>
  <c r="LS21" i="19"/>
  <c r="LS19" i="19"/>
  <c r="LS27" i="19"/>
  <c r="LS22" i="19"/>
  <c r="LS18" i="19"/>
  <c r="LS25" i="19"/>
  <c r="LS20" i="19"/>
  <c r="LS26" i="19"/>
  <c r="LS24" i="19"/>
  <c r="KQ4" i="19"/>
  <c r="KQ5" i="19"/>
  <c r="KQ7" i="19"/>
  <c r="KQ9" i="19"/>
  <c r="KQ10" i="19"/>
  <c r="KQ6" i="19"/>
  <c r="KQ11" i="19"/>
  <c r="KQ12" i="19"/>
  <c r="KQ16" i="19"/>
  <c r="KQ13" i="19"/>
  <c r="KQ15" i="19"/>
  <c r="KQ23" i="19"/>
  <c r="KQ14" i="19"/>
  <c r="KQ8" i="19"/>
  <c r="KQ17" i="19"/>
  <c r="KQ21" i="19"/>
  <c r="KQ19" i="19"/>
  <c r="KQ27" i="19"/>
  <c r="KQ22" i="19"/>
  <c r="KQ18" i="19"/>
  <c r="KQ25" i="19"/>
  <c r="KQ20" i="19"/>
  <c r="KQ26" i="19"/>
  <c r="KQ24" i="19"/>
  <c r="JO4" i="19"/>
  <c r="JO5" i="19"/>
  <c r="JO7" i="19"/>
  <c r="JO9" i="19"/>
  <c r="JO10" i="19"/>
  <c r="JO6" i="19"/>
  <c r="JO11" i="19"/>
  <c r="JO12" i="19"/>
  <c r="JO16" i="19"/>
  <c r="JO13" i="19"/>
  <c r="JO15" i="19"/>
  <c r="JO23" i="19"/>
  <c r="JO14" i="19"/>
  <c r="JO8" i="19"/>
  <c r="JO17" i="19"/>
  <c r="JO21" i="19"/>
  <c r="JO19" i="19"/>
  <c r="JO27" i="19"/>
  <c r="JO22" i="19"/>
  <c r="JO18" i="19"/>
  <c r="JO25" i="19"/>
  <c r="JO20" i="19"/>
  <c r="JO26" i="19"/>
  <c r="JO24" i="19"/>
  <c r="IM4" i="19"/>
  <c r="IM5" i="19"/>
  <c r="IM7" i="19"/>
  <c r="IM9" i="19"/>
  <c r="IM10" i="19"/>
  <c r="IM6" i="19"/>
  <c r="IM11" i="19"/>
  <c r="IM12" i="19"/>
  <c r="IM16" i="19"/>
  <c r="IM13" i="19"/>
  <c r="IM15" i="19"/>
  <c r="IM23" i="19"/>
  <c r="IM14" i="19"/>
  <c r="IM8" i="19"/>
  <c r="IM17" i="19"/>
  <c r="IM21" i="19"/>
  <c r="IM19" i="19"/>
  <c r="IM27" i="19"/>
  <c r="IM22" i="19"/>
  <c r="IM18" i="19"/>
  <c r="IM25" i="19"/>
  <c r="IM20" i="19"/>
  <c r="IM26" i="19"/>
  <c r="IM24" i="19"/>
  <c r="HK4" i="19"/>
  <c r="HK5" i="19"/>
  <c r="HK7" i="19"/>
  <c r="HK9" i="19"/>
  <c r="HK10" i="19"/>
  <c r="HK6" i="19"/>
  <c r="HK11" i="19"/>
  <c r="HK12" i="19"/>
  <c r="HK16" i="19"/>
  <c r="HK13" i="19"/>
  <c r="HK15" i="19"/>
  <c r="HK23" i="19"/>
  <c r="HK14" i="19"/>
  <c r="HK8" i="19"/>
  <c r="HK17" i="19"/>
  <c r="HK21" i="19"/>
  <c r="HK19" i="19"/>
  <c r="HK27" i="19"/>
  <c r="HK22" i="19"/>
  <c r="HK18" i="19"/>
  <c r="HK25" i="19"/>
  <c r="HK20" i="19"/>
  <c r="HK26" i="19"/>
  <c r="HK24" i="19"/>
  <c r="GI4" i="19"/>
  <c r="GI5" i="19"/>
  <c r="GI7" i="19"/>
  <c r="GI9" i="19"/>
  <c r="GI10" i="19"/>
  <c r="GI6" i="19"/>
  <c r="GI11" i="19"/>
  <c r="GI12" i="19"/>
  <c r="GI16" i="19"/>
  <c r="GI13" i="19"/>
  <c r="GI15" i="19"/>
  <c r="GI23" i="19"/>
  <c r="GI14" i="19"/>
  <c r="GI8" i="19"/>
  <c r="GI17" i="19"/>
  <c r="GI21" i="19"/>
  <c r="GI19" i="19"/>
  <c r="GI27" i="19"/>
  <c r="GI22" i="19"/>
  <c r="GI18" i="19"/>
  <c r="GI25" i="19"/>
  <c r="GI20" i="19"/>
  <c r="GI26" i="19"/>
  <c r="GI24" i="19"/>
  <c r="FG4" i="19"/>
  <c r="FG5" i="19"/>
  <c r="FG7" i="19"/>
  <c r="FG9" i="19"/>
  <c r="FG10" i="19"/>
  <c r="FG6" i="19"/>
  <c r="FG11" i="19"/>
  <c r="FG12" i="19"/>
  <c r="FG16" i="19"/>
  <c r="FG13" i="19"/>
  <c r="FG15" i="19"/>
  <c r="FG23" i="19"/>
  <c r="FG14" i="19"/>
  <c r="FG8" i="19"/>
  <c r="FG17" i="19"/>
  <c r="FG21" i="19"/>
  <c r="FG19" i="19"/>
  <c r="FG27" i="19"/>
  <c r="FG22" i="19"/>
  <c r="FG18" i="19"/>
  <c r="FG25" i="19"/>
  <c r="FG20" i="19"/>
  <c r="FG26" i="19"/>
  <c r="FG24" i="19"/>
  <c r="EE4" i="19"/>
  <c r="EE5" i="19"/>
  <c r="EE7" i="19"/>
  <c r="EE9" i="19"/>
  <c r="EE10" i="19"/>
  <c r="EE6" i="19"/>
  <c r="EE11" i="19"/>
  <c r="EE12" i="19"/>
  <c r="EE16" i="19"/>
  <c r="EE13" i="19"/>
  <c r="EE15" i="19"/>
  <c r="EE23" i="19"/>
  <c r="EE14" i="19"/>
  <c r="EE8" i="19"/>
  <c r="EE17" i="19"/>
  <c r="EE21" i="19"/>
  <c r="EE19" i="19"/>
  <c r="EE27" i="19"/>
  <c r="EE22" i="19"/>
  <c r="EE18" i="19"/>
  <c r="EE25" i="19"/>
  <c r="EE20" i="19"/>
  <c r="EE26" i="19"/>
  <c r="EE24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1" i="26"/>
  <c r="SE10" i="26"/>
  <c r="RC4" i="26"/>
  <c r="RC7" i="26"/>
  <c r="RC5" i="26"/>
  <c r="RC6" i="26"/>
  <c r="RC9" i="26"/>
  <c r="RC8" i="26"/>
  <c r="RC11" i="26"/>
  <c r="RC10" i="26"/>
  <c r="QA4" i="26"/>
  <c r="QA7" i="26"/>
  <c r="QA5" i="26"/>
  <c r="QA6" i="26"/>
  <c r="QA9" i="26"/>
  <c r="QA8" i="26"/>
  <c r="QA11" i="26"/>
  <c r="QA10" i="26"/>
  <c r="OY4" i="26"/>
  <c r="OY7" i="26"/>
  <c r="OY5" i="26"/>
  <c r="OY6" i="26"/>
  <c r="OY9" i="26"/>
  <c r="OY8" i="26"/>
  <c r="OY11" i="26"/>
  <c r="OY10" i="26"/>
  <c r="NW4" i="26"/>
  <c r="NW7" i="26"/>
  <c r="NW5" i="26"/>
  <c r="NW6" i="26"/>
  <c r="NW9" i="26"/>
  <c r="NW8" i="26"/>
  <c r="NW11" i="26"/>
  <c r="NW10" i="26"/>
  <c r="MU4" i="26"/>
  <c r="MU7" i="26"/>
  <c r="MU5" i="26"/>
  <c r="MU6" i="26"/>
  <c r="MU9" i="26"/>
  <c r="MU8" i="26"/>
  <c r="MU11" i="26"/>
  <c r="MU10" i="26"/>
  <c r="LS4" i="26"/>
  <c r="LS7" i="26"/>
  <c r="LS5" i="26"/>
  <c r="LS6" i="26"/>
  <c r="LS9" i="26"/>
  <c r="LS8" i="26"/>
  <c r="LS11" i="26"/>
  <c r="LS10" i="26"/>
  <c r="KQ4" i="26"/>
  <c r="KQ7" i="26"/>
  <c r="KQ5" i="26"/>
  <c r="KQ6" i="26"/>
  <c r="KQ9" i="26"/>
  <c r="KQ8" i="26"/>
  <c r="KQ11" i="26"/>
  <c r="KQ10" i="26"/>
  <c r="JO4" i="26"/>
  <c r="JO7" i="26"/>
  <c r="JO5" i="26"/>
  <c r="JO6" i="26"/>
  <c r="JO9" i="26"/>
  <c r="JO8" i="26"/>
  <c r="JO11" i="26"/>
  <c r="JO10" i="26"/>
  <c r="IM4" i="26"/>
  <c r="IM7" i="26"/>
  <c r="IM5" i="26"/>
  <c r="IM6" i="26"/>
  <c r="IM9" i="26"/>
  <c r="IM8" i="26"/>
  <c r="IM11" i="26"/>
  <c r="IM10" i="26"/>
  <c r="HK4" i="26"/>
  <c r="HK7" i="26"/>
  <c r="HK5" i="26"/>
  <c r="HK6" i="26"/>
  <c r="HK9" i="26"/>
  <c r="HK8" i="26"/>
  <c r="HK11" i="26"/>
  <c r="HK10" i="26"/>
  <c r="FG4" i="26"/>
  <c r="FG7" i="26"/>
  <c r="FG5" i="26"/>
  <c r="FG6" i="26"/>
  <c r="FG9" i="26"/>
  <c r="FG8" i="26"/>
  <c r="FG11" i="26"/>
  <c r="FG10" i="26"/>
  <c r="EE4" i="26"/>
  <c r="EE7" i="26"/>
  <c r="EE5" i="26"/>
  <c r="EE6" i="26"/>
  <c r="EE9" i="26"/>
  <c r="EE8" i="26"/>
  <c r="EE11" i="26"/>
  <c r="EE10" i="26"/>
  <c r="DC17" i="21"/>
  <c r="UL17" i="21"/>
  <c r="N17" i="21"/>
  <c r="O17" i="21" s="1"/>
  <c r="CZ17" i="21"/>
  <c r="P17" i="21"/>
  <c r="DF17" i="21" s="1"/>
  <c r="BW17" i="21"/>
  <c r="L17" i="21"/>
  <c r="DD17" i="21" s="1"/>
  <c r="UH17" i="21"/>
  <c r="UG17" i="21"/>
  <c r="AT17" i="21"/>
  <c r="J17" i="21"/>
  <c r="K17" i="21" s="1"/>
  <c r="UI17" i="21"/>
  <c r="TJ17" i="21"/>
  <c r="F17" i="21" s="1"/>
  <c r="AW17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DF8" i="27"/>
  <c r="Q8" i="27"/>
  <c r="UI8" i="27"/>
  <c r="TJ8" i="27"/>
  <c r="F8" i="27" s="1"/>
  <c r="AW8" i="27"/>
  <c r="UL10" i="26"/>
  <c r="TG10" i="26"/>
  <c r="DC10" i="26"/>
  <c r="P10" i="26"/>
  <c r="Q10" i="26" s="1"/>
  <c r="UH10" i="26"/>
  <c r="UG10" i="26"/>
  <c r="UJ10" i="26" s="1"/>
  <c r="L10" i="26"/>
  <c r="DD10" i="26" s="1"/>
  <c r="UF10" i="26"/>
  <c r="BZ10" i="26"/>
  <c r="J10" i="26"/>
  <c r="K10" i="26" s="1"/>
  <c r="UI10" i="26"/>
  <c r="TJ10" i="26"/>
  <c r="G10" i="26"/>
  <c r="F10" i="26"/>
  <c r="AW10" i="26"/>
  <c r="UJ8" i="27" l="1"/>
  <c r="O10" i="26"/>
  <c r="DE17" i="21"/>
  <c r="R17" i="21" s="1"/>
  <c r="S17" i="21" s="1"/>
  <c r="DE8" i="27"/>
  <c r="I8" i="27"/>
  <c r="I10" i="26"/>
  <c r="M17" i="21"/>
  <c r="Q17" i="21"/>
  <c r="UM17" i="21"/>
  <c r="I17" i="21"/>
  <c r="UJ17" i="21"/>
  <c r="G17" i="21"/>
  <c r="UM8" i="27"/>
  <c r="G8" i="27"/>
  <c r="H8" i="27" s="1"/>
  <c r="R8" i="27"/>
  <c r="S8" i="27" s="1"/>
  <c r="M8" i="27"/>
  <c r="UM10" i="26"/>
  <c r="DF10" i="26"/>
  <c r="R10" i="26" s="1"/>
  <c r="M10" i="26"/>
  <c r="H10" i="26"/>
  <c r="A10" i="26" s="1" a="1"/>
  <c r="A10" i="26" s="1"/>
  <c r="H17" i="21" l="1"/>
  <c r="A17" i="21" s="1" a="1"/>
  <c r="A17" i="21" s="1"/>
  <c r="E17" i="21"/>
  <c r="T17" i="21"/>
  <c r="T8" i="27"/>
  <c r="E8" i="27"/>
  <c r="S10" i="26"/>
  <c r="T10" i="26"/>
  <c r="E10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18" i="21"/>
  <c r="BX18" i="21"/>
  <c r="BV18" i="21"/>
  <c r="BU18" i="21"/>
  <c r="BT18" i="21"/>
  <c r="BS18" i="21"/>
  <c r="BY12" i="21"/>
  <c r="BX12" i="21"/>
  <c r="BV12" i="21"/>
  <c r="BU12" i="21"/>
  <c r="BT12" i="21"/>
  <c r="BS12" i="21"/>
  <c r="BY19" i="21"/>
  <c r="BX19" i="21"/>
  <c r="BV19" i="21"/>
  <c r="BU19" i="21"/>
  <c r="BT19" i="21"/>
  <c r="BS19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21" i="21"/>
  <c r="BX21" i="21"/>
  <c r="BV21" i="21"/>
  <c r="BU21" i="21"/>
  <c r="BT21" i="21"/>
  <c r="BZ21" i="21" s="1"/>
  <c r="BS21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6" i="21"/>
  <c r="BX16" i="21"/>
  <c r="BV16" i="21"/>
  <c r="BU16" i="21"/>
  <c r="BT16" i="21"/>
  <c r="BS16" i="21"/>
  <c r="BY13" i="21"/>
  <c r="BX13" i="21"/>
  <c r="BV13" i="21"/>
  <c r="BU13" i="21"/>
  <c r="BT13" i="21"/>
  <c r="BZ13" i="21" s="1"/>
  <c r="BS13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Z6" i="21" s="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14" i="21"/>
  <c r="AU14" i="21"/>
  <c r="AS14" i="21"/>
  <c r="AR14" i="21"/>
  <c r="AQ14" i="21"/>
  <c r="AW14" i="21" s="1"/>
  <c r="AP14" i="21"/>
  <c r="AV18" i="21"/>
  <c r="AU18" i="21"/>
  <c r="AS18" i="21"/>
  <c r="AR18" i="21"/>
  <c r="AQ18" i="21"/>
  <c r="AP18" i="21"/>
  <c r="AV12" i="21"/>
  <c r="AU12" i="21"/>
  <c r="AS12" i="21"/>
  <c r="AR12" i="21"/>
  <c r="AQ12" i="21"/>
  <c r="AP12" i="21"/>
  <c r="AV19" i="21"/>
  <c r="AU19" i="21"/>
  <c r="AS19" i="21"/>
  <c r="AR19" i="21"/>
  <c r="AQ19" i="21"/>
  <c r="AP19" i="21"/>
  <c r="AV15" i="21"/>
  <c r="AU15" i="21"/>
  <c r="AS15" i="21"/>
  <c r="AR15" i="21"/>
  <c r="AQ15" i="21"/>
  <c r="AW15" i="21" s="1"/>
  <c r="AP15" i="21"/>
  <c r="AV20" i="21"/>
  <c r="AU20" i="21"/>
  <c r="AS20" i="21"/>
  <c r="AR20" i="21"/>
  <c r="AQ20" i="21"/>
  <c r="AP20" i="21"/>
  <c r="AV21" i="21"/>
  <c r="AU21" i="21"/>
  <c r="AS21" i="21"/>
  <c r="AR21" i="21"/>
  <c r="AQ21" i="21"/>
  <c r="AP21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7" i="21"/>
  <c r="AU7" i="21"/>
  <c r="AS7" i="21"/>
  <c r="AR7" i="21"/>
  <c r="AQ7" i="21"/>
  <c r="AW7" i="21" s="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W4" i="21" s="1"/>
  <c r="AP4" i="21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27" i="19"/>
  <c r="BX27" i="19"/>
  <c r="BV27" i="19"/>
  <c r="BU27" i="19"/>
  <c r="BT27" i="19"/>
  <c r="BS27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7" i="19"/>
  <c r="BX17" i="19"/>
  <c r="BV17" i="19"/>
  <c r="BU17" i="19"/>
  <c r="BT17" i="19"/>
  <c r="BS17" i="19"/>
  <c r="BY8" i="19"/>
  <c r="BX8" i="19"/>
  <c r="BV8" i="19"/>
  <c r="BU8" i="19"/>
  <c r="BT8" i="19"/>
  <c r="BS8" i="19"/>
  <c r="BY14" i="19"/>
  <c r="BX14" i="19"/>
  <c r="BV14" i="19"/>
  <c r="BU14" i="19"/>
  <c r="BT14" i="19"/>
  <c r="BS14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27" i="19"/>
  <c r="AU27" i="19"/>
  <c r="AS27" i="19"/>
  <c r="AR27" i="19"/>
  <c r="AQ27" i="19"/>
  <c r="AP27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7" i="19"/>
  <c r="AU17" i="19"/>
  <c r="AS17" i="19"/>
  <c r="AR17" i="19"/>
  <c r="AQ17" i="19"/>
  <c r="AP17" i="19"/>
  <c r="AV8" i="19"/>
  <c r="AU8" i="19"/>
  <c r="AS8" i="19"/>
  <c r="AR8" i="19"/>
  <c r="AQ8" i="19"/>
  <c r="AP8" i="19"/>
  <c r="AV14" i="19"/>
  <c r="AU14" i="19"/>
  <c r="AS14" i="19"/>
  <c r="AR14" i="19"/>
  <c r="AQ14" i="19"/>
  <c r="AP14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Z15" i="27" s="1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U12" i="22" s="1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V11" i="4" s="1"/>
  <c r="BQ11" i="4"/>
  <c r="BP11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V20" i="4" s="1"/>
  <c r="BQ20" i="4"/>
  <c r="BP20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U14" i="4" s="1"/>
  <c r="AP14" i="4"/>
  <c r="AO1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U7" i="4" s="1"/>
  <c r="AY7" i="4" s="1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BW15" i="21" l="1"/>
  <c r="AW21" i="19"/>
  <c r="AW18" i="19"/>
  <c r="AW24" i="19"/>
  <c r="BZ9" i="19"/>
  <c r="BZ12" i="19"/>
  <c r="BZ23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AY8" i="22"/>
  <c r="BV7" i="22"/>
  <c r="BV16" i="22"/>
  <c r="BZ16" i="22" s="1"/>
  <c r="AU24" i="4"/>
  <c r="AY24" i="4" s="1"/>
  <c r="BV7" i="4"/>
  <c r="BZ7" i="4" s="1"/>
  <c r="BZ20" i="4"/>
  <c r="BV23" i="4"/>
  <c r="BZ23" i="4" s="1"/>
  <c r="AU11" i="4"/>
  <c r="AY11" i="4" s="1"/>
  <c r="BV12" i="4"/>
  <c r="BZ12" i="4" s="1"/>
  <c r="BV15" i="4"/>
  <c r="BZ15" i="4" s="1"/>
  <c r="AU4" i="4"/>
  <c r="AY4" i="4" s="1"/>
  <c r="BZ27" i="19"/>
  <c r="BZ20" i="19"/>
  <c r="BZ7" i="19"/>
  <c r="BZ17" i="19"/>
  <c r="AW7" i="19"/>
  <c r="AW11" i="19"/>
  <c r="AW15" i="19"/>
  <c r="AW8" i="19"/>
  <c r="AW5" i="19"/>
  <c r="AW6" i="19"/>
  <c r="AW13" i="19"/>
  <c r="AW19" i="19"/>
  <c r="AW25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1" i="23"/>
  <c r="AQ12" i="23"/>
  <c r="AQ8" i="23"/>
  <c r="BN16" i="23"/>
  <c r="BR16" i="23" s="1"/>
  <c r="BW20" i="21"/>
  <c r="BZ18" i="21"/>
  <c r="BZ22" i="21"/>
  <c r="AW9" i="21"/>
  <c r="AW16" i="21"/>
  <c r="AW20" i="21"/>
  <c r="AW18" i="21"/>
  <c r="BZ5" i="21"/>
  <c r="BZ8" i="21"/>
  <c r="BZ11" i="21"/>
  <c r="BZ11" i="19"/>
  <c r="BZ15" i="19"/>
  <c r="BZ8" i="19"/>
  <c r="BZ19" i="19"/>
  <c r="BZ25" i="19"/>
  <c r="AW4" i="19"/>
  <c r="AW10" i="19"/>
  <c r="AW16" i="19"/>
  <c r="AW14" i="19"/>
  <c r="AW22" i="19"/>
  <c r="AW26" i="19"/>
  <c r="BZ5" i="19"/>
  <c r="BZ6" i="19"/>
  <c r="BZ13" i="19"/>
  <c r="BZ21" i="19"/>
  <c r="BZ18" i="19"/>
  <c r="BZ24" i="19"/>
  <c r="AW9" i="19"/>
  <c r="AW12" i="19"/>
  <c r="AW23" i="19"/>
  <c r="AW17" i="19"/>
  <c r="AW27" i="19"/>
  <c r="AW20" i="19"/>
  <c r="BZ4" i="19"/>
  <c r="BZ10" i="19"/>
  <c r="BZ16" i="19"/>
  <c r="BZ14" i="19"/>
  <c r="BZ22" i="19"/>
  <c r="BZ26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1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BZ7" i="22"/>
  <c r="AY12" i="22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4" i="4"/>
  <c r="BZ24" i="4" s="1"/>
  <c r="BV4" i="4"/>
  <c r="BZ4" i="4" s="1"/>
  <c r="BV13" i="4"/>
  <c r="BZ13" i="4" s="1"/>
  <c r="AU6" i="4"/>
  <c r="AY6" i="4" s="1"/>
  <c r="BV22" i="4"/>
  <c r="BZ22" i="4" s="1"/>
  <c r="AU19" i="4"/>
  <c r="AY19" i="4" s="1"/>
  <c r="AU21" i="4"/>
  <c r="AY21" i="4" s="1"/>
  <c r="BV6" i="4"/>
  <c r="BZ6" i="4" s="1"/>
  <c r="AY23" i="4"/>
  <c r="AU15" i="4"/>
  <c r="AY15" i="4" s="1"/>
  <c r="BV14" i="4"/>
  <c r="BZ14" i="4" s="1"/>
  <c r="AU5" i="4"/>
  <c r="AY5" i="4" s="1"/>
  <c r="AU9" i="4"/>
  <c r="AY9" i="4" s="1"/>
  <c r="BV16" i="4"/>
  <c r="BZ16" i="4" s="1"/>
  <c r="BV17" i="4"/>
  <c r="BZ17" i="4" s="1"/>
  <c r="BZ11" i="4"/>
  <c r="BZ14" i="21"/>
  <c r="BZ12" i="21"/>
  <c r="BW22" i="21"/>
  <c r="AW6" i="21"/>
  <c r="AW13" i="21"/>
  <c r="AW21" i="21"/>
  <c r="AW12" i="21"/>
  <c r="BZ4" i="21"/>
  <c r="BZ7" i="21"/>
  <c r="BZ10" i="21"/>
  <c r="BZ19" i="21"/>
  <c r="BW14" i="21"/>
  <c r="BZ15" i="21"/>
  <c r="BW18" i="21"/>
  <c r="AW5" i="21"/>
  <c r="AW8" i="21"/>
  <c r="AW11" i="21"/>
  <c r="AW19" i="21"/>
  <c r="AW22" i="21"/>
  <c r="BZ9" i="21"/>
  <c r="BZ16" i="21"/>
  <c r="BZ20" i="21"/>
  <c r="BW12" i="21"/>
  <c r="BW19" i="21"/>
  <c r="AW6" i="27"/>
  <c r="AW7" i="27"/>
  <c r="AW10" i="27"/>
  <c r="BZ4" i="27"/>
  <c r="BZ13" i="27"/>
  <c r="BZ7" i="27"/>
  <c r="BZ9" i="26"/>
  <c r="AW5" i="26"/>
  <c r="AW11" i="26"/>
  <c r="BZ5" i="26"/>
  <c r="AW7" i="26"/>
  <c r="AW8" i="26"/>
  <c r="BZ7" i="26"/>
  <c r="AU13" i="4"/>
  <c r="AY13" i="4" s="1"/>
  <c r="AU22" i="4"/>
  <c r="AY22" i="4" s="1"/>
  <c r="BV9" i="4"/>
  <c r="BZ9" i="4" s="1"/>
  <c r="BV19" i="4"/>
  <c r="BZ19" i="4" s="1"/>
  <c r="AU16" i="4"/>
  <c r="AY16" i="4" s="1"/>
  <c r="AU17" i="4"/>
  <c r="AY17" i="4" s="1"/>
  <c r="BV5" i="4"/>
  <c r="BZ5" i="4" s="1"/>
  <c r="BV21" i="4"/>
  <c r="BZ21" i="4" s="1"/>
  <c r="BV18" i="4"/>
  <c r="BZ18" i="4" s="1"/>
  <c r="AU20" i="4"/>
  <c r="AY20" i="4" s="1"/>
  <c r="BV10" i="4"/>
  <c r="BZ10" i="4" s="1"/>
  <c r="AY14" i="4"/>
  <c r="AU8" i="4"/>
  <c r="AY8" i="4" s="1"/>
  <c r="AU10" i="4"/>
  <c r="AY10" i="4" s="1"/>
  <c r="AU18" i="4"/>
  <c r="AY18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T14" i="22"/>
  <c r="U14" i="22" s="1"/>
  <c r="I14" i="22"/>
  <c r="AU14" i="22"/>
  <c r="AY14" i="22" s="1"/>
  <c r="G14" i="22"/>
  <c r="N14" i="22"/>
  <c r="F14" i="22"/>
  <c r="BZ12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3" i="21"/>
  <c r="BW16" i="21"/>
  <c r="BW10" i="21"/>
  <c r="BW11" i="21"/>
  <c r="BW21" i="21"/>
  <c r="AT4" i="21"/>
  <c r="AT5" i="21"/>
  <c r="AT6" i="21"/>
  <c r="AT9" i="21"/>
  <c r="AT7" i="21"/>
  <c r="AT8" i="21"/>
  <c r="AT13" i="21"/>
  <c r="AT16" i="21"/>
  <c r="AT10" i="21"/>
  <c r="AT11" i="21"/>
  <c r="AT21" i="21"/>
  <c r="AT20" i="21"/>
  <c r="AT15" i="21"/>
  <c r="AT19" i="21"/>
  <c r="AT12" i="21"/>
  <c r="AT18" i="21"/>
  <c r="AT14" i="21"/>
  <c r="AT22" i="21"/>
  <c r="BW4" i="19"/>
  <c r="BW5" i="19"/>
  <c r="BW7" i="19"/>
  <c r="BW9" i="19"/>
  <c r="BW10" i="19"/>
  <c r="BW6" i="19"/>
  <c r="BW11" i="19"/>
  <c r="BW12" i="19"/>
  <c r="BW16" i="19"/>
  <c r="BW13" i="19"/>
  <c r="BW15" i="19"/>
  <c r="BW23" i="19"/>
  <c r="BW14" i="19"/>
  <c r="BW8" i="19"/>
  <c r="BW17" i="19"/>
  <c r="BW21" i="19"/>
  <c r="BW19" i="19"/>
  <c r="BW27" i="19"/>
  <c r="BW22" i="19"/>
  <c r="BW18" i="19"/>
  <c r="BW25" i="19"/>
  <c r="BW20" i="19"/>
  <c r="BW26" i="19"/>
  <c r="BW24" i="19"/>
  <c r="AT4" i="19"/>
  <c r="AT5" i="19"/>
  <c r="AT7" i="19"/>
  <c r="AT9" i="19"/>
  <c r="AT10" i="19"/>
  <c r="AT6" i="19"/>
  <c r="AT11" i="19"/>
  <c r="AT12" i="19"/>
  <c r="AT16" i="19"/>
  <c r="AT13" i="19"/>
  <c r="AT15" i="19"/>
  <c r="AT23" i="19"/>
  <c r="AT14" i="19"/>
  <c r="AT8" i="19"/>
  <c r="AT17" i="19"/>
  <c r="AT21" i="19"/>
  <c r="AT19" i="19"/>
  <c r="AT27" i="19"/>
  <c r="AT22" i="19"/>
  <c r="AT18" i="19"/>
  <c r="AT25" i="19"/>
  <c r="AT20" i="19"/>
  <c r="AT26" i="19"/>
  <c r="AT24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1" i="26"/>
  <c r="AT4" i="26"/>
  <c r="AT7" i="26"/>
  <c r="AT5" i="26"/>
  <c r="AT6" i="26"/>
  <c r="AT9" i="26"/>
  <c r="AT8" i="26"/>
  <c r="AT11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2" i="21"/>
  <c r="TH22" i="21"/>
  <c r="TF22" i="21"/>
  <c r="TE22" i="21"/>
  <c r="TD22" i="21"/>
  <c r="TC22" i="21"/>
  <c r="TI14" i="21"/>
  <c r="TH14" i="21"/>
  <c r="TF14" i="21"/>
  <c r="TE14" i="21"/>
  <c r="TD14" i="21"/>
  <c r="TC14" i="21"/>
  <c r="TI18" i="21"/>
  <c r="TH18" i="21"/>
  <c r="TF18" i="21"/>
  <c r="TE18" i="21"/>
  <c r="TD18" i="21"/>
  <c r="TC18" i="21"/>
  <c r="TI12" i="21"/>
  <c r="TH12" i="21"/>
  <c r="TF12" i="21"/>
  <c r="TE12" i="21"/>
  <c r="TD12" i="21"/>
  <c r="TC12" i="21"/>
  <c r="TI19" i="21"/>
  <c r="TH19" i="21"/>
  <c r="TF19" i="21"/>
  <c r="TE19" i="21"/>
  <c r="TD19" i="21"/>
  <c r="TC19" i="21"/>
  <c r="TI15" i="21"/>
  <c r="TH15" i="21"/>
  <c r="TF15" i="21"/>
  <c r="TE15" i="21"/>
  <c r="TD15" i="21"/>
  <c r="TC15" i="21"/>
  <c r="TI20" i="21"/>
  <c r="TH20" i="21"/>
  <c r="TF20" i="21"/>
  <c r="TE20" i="21"/>
  <c r="TD20" i="21"/>
  <c r="TC20" i="21"/>
  <c r="TI21" i="21"/>
  <c r="TH21" i="21"/>
  <c r="TF21" i="21"/>
  <c r="TE21" i="21"/>
  <c r="TD21" i="21"/>
  <c r="TC21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3" i="21"/>
  <c r="TH13" i="21"/>
  <c r="TF13" i="21"/>
  <c r="TE13" i="21"/>
  <c r="TD13" i="21"/>
  <c r="TC13" i="21"/>
  <c r="TI8" i="21"/>
  <c r="TH8" i="21"/>
  <c r="TF8" i="21"/>
  <c r="TE8" i="21"/>
  <c r="TD8" i="21"/>
  <c r="TC8" i="21"/>
  <c r="TI16" i="21"/>
  <c r="TH16" i="21"/>
  <c r="TF16" i="21"/>
  <c r="TE16" i="21"/>
  <c r="TD16" i="21"/>
  <c r="TC16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4" i="19"/>
  <c r="TH24" i="19"/>
  <c r="TF24" i="19"/>
  <c r="TE24" i="19"/>
  <c r="TD24" i="19"/>
  <c r="TC24" i="19"/>
  <c r="TI15" i="19"/>
  <c r="TH15" i="19"/>
  <c r="TF15" i="19"/>
  <c r="TE15" i="19"/>
  <c r="TD15" i="19"/>
  <c r="TC15" i="19"/>
  <c r="TI26" i="19"/>
  <c r="TH26" i="19"/>
  <c r="TF26" i="19"/>
  <c r="TE26" i="19"/>
  <c r="TD26" i="19"/>
  <c r="TC26" i="19"/>
  <c r="TI20" i="19"/>
  <c r="TH20" i="19"/>
  <c r="TF20" i="19"/>
  <c r="TE20" i="19"/>
  <c r="TD20" i="19"/>
  <c r="TC20" i="19"/>
  <c r="TI25" i="19"/>
  <c r="TH25" i="19"/>
  <c r="TF25" i="19"/>
  <c r="TE25" i="19"/>
  <c r="TD25" i="19"/>
  <c r="TC25" i="19"/>
  <c r="TI18" i="19"/>
  <c r="TH18" i="19"/>
  <c r="TF18" i="19"/>
  <c r="TE18" i="19"/>
  <c r="TD18" i="19"/>
  <c r="TC18" i="19"/>
  <c r="TI22" i="19"/>
  <c r="TH22" i="19"/>
  <c r="TF22" i="19"/>
  <c r="TE22" i="19"/>
  <c r="TD22" i="19"/>
  <c r="TC22" i="19"/>
  <c r="TI27" i="19"/>
  <c r="TH27" i="19"/>
  <c r="TF27" i="19"/>
  <c r="TE27" i="19"/>
  <c r="TD27" i="19"/>
  <c r="TC27" i="19"/>
  <c r="TI19" i="19"/>
  <c r="TH19" i="19"/>
  <c r="TF19" i="19"/>
  <c r="TE19" i="19"/>
  <c r="TD19" i="19"/>
  <c r="TC19" i="19"/>
  <c r="TI21" i="19"/>
  <c r="TH21" i="19"/>
  <c r="TF21" i="19"/>
  <c r="TE21" i="19"/>
  <c r="TD21" i="19"/>
  <c r="TC21" i="19"/>
  <c r="TI17" i="19"/>
  <c r="TH17" i="19"/>
  <c r="TF17" i="19"/>
  <c r="TE17" i="19"/>
  <c r="TD17" i="19"/>
  <c r="TC17" i="19"/>
  <c r="TI8" i="19"/>
  <c r="TH8" i="19"/>
  <c r="TF8" i="19"/>
  <c r="TE8" i="19"/>
  <c r="TD8" i="19"/>
  <c r="TC8" i="19"/>
  <c r="TI14" i="19"/>
  <c r="TH14" i="19"/>
  <c r="TF14" i="19"/>
  <c r="TE14" i="19"/>
  <c r="TD14" i="19"/>
  <c r="TC14" i="19"/>
  <c r="TI23" i="19"/>
  <c r="TH23" i="19"/>
  <c r="TF23" i="19"/>
  <c r="TE23" i="19"/>
  <c r="TD23" i="19"/>
  <c r="TC23" i="19"/>
  <c r="TI13" i="19"/>
  <c r="TH13" i="19"/>
  <c r="TF13" i="19"/>
  <c r="TE13" i="19"/>
  <c r="TD13" i="19"/>
  <c r="TC13" i="19"/>
  <c r="TI16" i="19"/>
  <c r="TH16" i="19"/>
  <c r="TF16" i="19"/>
  <c r="TE16" i="19"/>
  <c r="TD16" i="19"/>
  <c r="TC16" i="19"/>
  <c r="TI10" i="19"/>
  <c r="TH10" i="19"/>
  <c r="TF10" i="19"/>
  <c r="TE10" i="19"/>
  <c r="TD10" i="19"/>
  <c r="TC10" i="19"/>
  <c r="TI12" i="19"/>
  <c r="TH12" i="19"/>
  <c r="TF12" i="19"/>
  <c r="TE12" i="19"/>
  <c r="TD12" i="19"/>
  <c r="TC12" i="19"/>
  <c r="TI11" i="19"/>
  <c r="TH11" i="19"/>
  <c r="TF11" i="19"/>
  <c r="TE11" i="19"/>
  <c r="TD11" i="19"/>
  <c r="TC11" i="19"/>
  <c r="TI9" i="19"/>
  <c r="TH9" i="19"/>
  <c r="TF9" i="19"/>
  <c r="TE9" i="19"/>
  <c r="TD9" i="19"/>
  <c r="TC9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1" i="26"/>
  <c r="TH11" i="26"/>
  <c r="TF11" i="26"/>
  <c r="TE11" i="26"/>
  <c r="TD11" i="26"/>
  <c r="TC11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1" i="26"/>
  <c r="WL21" i="4"/>
  <c r="WS21" i="4" s="1"/>
  <c r="TJ5" i="19"/>
  <c r="TJ12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3" i="21"/>
  <c r="TJ21" i="21"/>
  <c r="TJ12" i="21"/>
  <c r="TJ5" i="21"/>
  <c r="TJ8" i="21"/>
  <c r="TJ11" i="21"/>
  <c r="TJ19" i="21"/>
  <c r="TJ22" i="21"/>
  <c r="TJ23" i="19"/>
  <c r="TJ19" i="19"/>
  <c r="TJ25" i="19"/>
  <c r="TJ24" i="19"/>
  <c r="TJ7" i="19"/>
  <c r="TJ11" i="19"/>
  <c r="TJ13" i="19"/>
  <c r="TJ8" i="19"/>
  <c r="TJ21" i="19"/>
  <c r="TJ18" i="19"/>
  <c r="TJ15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5" i="4"/>
  <c r="WS15" i="4" s="1"/>
  <c r="WL4" i="4"/>
  <c r="WS4" i="4" s="1"/>
  <c r="WL7" i="4"/>
  <c r="WS7" i="4" s="1"/>
  <c r="WL12" i="4"/>
  <c r="WS12" i="4" s="1"/>
  <c r="WL14" i="4"/>
  <c r="WS14" i="4" s="1"/>
  <c r="WL13" i="4"/>
  <c r="WS13" i="4" s="1"/>
  <c r="WL20" i="4"/>
  <c r="WS20" i="4" s="1"/>
  <c r="WL16" i="4"/>
  <c r="WS16" i="4" s="1"/>
  <c r="WL17" i="4"/>
  <c r="WS17" i="4" s="1"/>
  <c r="WL11" i="4"/>
  <c r="WS11" i="4" s="1"/>
  <c r="WL24" i="4"/>
  <c r="WS24" i="4" s="1"/>
  <c r="XS17" i="4"/>
  <c r="XS11" i="4"/>
  <c r="XL14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6" i="21"/>
  <c r="TJ10" i="21"/>
  <c r="TJ15" i="21"/>
  <c r="TJ14" i="21"/>
  <c r="TJ9" i="21"/>
  <c r="TJ7" i="21"/>
  <c r="TJ20" i="21"/>
  <c r="TJ18" i="21"/>
  <c r="TJ4" i="19"/>
  <c r="TJ9" i="19"/>
  <c r="TJ16" i="19"/>
  <c r="TJ22" i="19"/>
  <c r="TJ26" i="19"/>
  <c r="TJ6" i="19"/>
  <c r="TJ10" i="19"/>
  <c r="TJ14" i="19"/>
  <c r="TJ17" i="19"/>
  <c r="TJ27" i="19"/>
  <c r="TJ20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0" i="4"/>
  <c r="XL7" i="4"/>
  <c r="XO24" i="4"/>
  <c r="XL17" i="4"/>
  <c r="XO17" i="4"/>
  <c r="WL18" i="4"/>
  <c r="WS18" i="4" s="1"/>
  <c r="XO18" i="4"/>
  <c r="XL15" i="4"/>
  <c r="XO7" i="4"/>
  <c r="XO22" i="4"/>
  <c r="XL12" i="4"/>
  <c r="XS23" i="4"/>
  <c r="XO21" i="4"/>
  <c r="XL18" i="4"/>
  <c r="XS15" i="4"/>
  <c r="XO20" i="4"/>
  <c r="XS6" i="4"/>
  <c r="XO4" i="4"/>
  <c r="XL5" i="4"/>
  <c r="XO11" i="4"/>
  <c r="XS16" i="4"/>
  <c r="XL16" i="4"/>
  <c r="XO15" i="4"/>
  <c r="XS10" i="4"/>
  <c r="XO14" i="4"/>
  <c r="XL4" i="4"/>
  <c r="WL23" i="4"/>
  <c r="WS23" i="4" s="1"/>
  <c r="XS13" i="4"/>
  <c r="XO10" i="4"/>
  <c r="WL6" i="4"/>
  <c r="WS6" i="4" s="1"/>
  <c r="XS21" i="4"/>
  <c r="XO16" i="4"/>
  <c r="XS20" i="4"/>
  <c r="XO19" i="4"/>
  <c r="XL10" i="4"/>
  <c r="XS8" i="4"/>
  <c r="WL9" i="4"/>
  <c r="WS9" i="4" s="1"/>
  <c r="XO13" i="4"/>
  <c r="XS14" i="4"/>
  <c r="XO9" i="4"/>
  <c r="XO8" i="4"/>
  <c r="WL19" i="4"/>
  <c r="WS19" i="4" s="1"/>
  <c r="XS24" i="4"/>
  <c r="XO23" i="4"/>
  <c r="XS22" i="4"/>
  <c r="XL8" i="4"/>
  <c r="XS7" i="4"/>
  <c r="XO6" i="4"/>
  <c r="WL22" i="4"/>
  <c r="WS22" i="4" s="1"/>
  <c r="XL23" i="4"/>
  <c r="XS18" i="4"/>
  <c r="XS19" i="4"/>
  <c r="XO12" i="4"/>
  <c r="XS5" i="4"/>
  <c r="TG4" i="21"/>
  <c r="TG5" i="21"/>
  <c r="TG6" i="21"/>
  <c r="TG9" i="21"/>
  <c r="TG16" i="21"/>
  <c r="TG8" i="21"/>
  <c r="TG13" i="21"/>
  <c r="TG7" i="21"/>
  <c r="TG10" i="21"/>
  <c r="TG11" i="21"/>
  <c r="TG21" i="21"/>
  <c r="TG20" i="21"/>
  <c r="TG15" i="21"/>
  <c r="TG19" i="21"/>
  <c r="TG12" i="21"/>
  <c r="TG18" i="21"/>
  <c r="TG14" i="21"/>
  <c r="TG22" i="21"/>
  <c r="TG4" i="19"/>
  <c r="TG7" i="19"/>
  <c r="TG5" i="19"/>
  <c r="TG6" i="19"/>
  <c r="TG9" i="19"/>
  <c r="TG11" i="19"/>
  <c r="TG12" i="19"/>
  <c r="TG10" i="19"/>
  <c r="TG16" i="19"/>
  <c r="TG13" i="19"/>
  <c r="TG23" i="19"/>
  <c r="TG14" i="19"/>
  <c r="TG8" i="19"/>
  <c r="TG17" i="19"/>
  <c r="TG21" i="19"/>
  <c r="TG19" i="19"/>
  <c r="TG27" i="19"/>
  <c r="TG22" i="19"/>
  <c r="TG18" i="19"/>
  <c r="TG25" i="19"/>
  <c r="TG20" i="19"/>
  <c r="TG26" i="19"/>
  <c r="TG15" i="19"/>
  <c r="TG24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1" i="26"/>
  <c r="XL6" i="4"/>
  <c r="XL21" i="4"/>
  <c r="XL22" i="4"/>
  <c r="XL19" i="4"/>
  <c r="XL9" i="4"/>
  <c r="XO5" i="4"/>
  <c r="XL24" i="4"/>
  <c r="XL11" i="4"/>
  <c r="XL13" i="4"/>
  <c r="XK16" i="4"/>
  <c r="XS4" i="4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9" i="21"/>
  <c r="CW19" i="21"/>
  <c r="CX19" i="21"/>
  <c r="CY19" i="21"/>
  <c r="DA19" i="21"/>
  <c r="DB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UB19" i="21"/>
  <c r="UC19" i="21"/>
  <c r="UD19" i="21"/>
  <c r="E14" i="22" l="1"/>
  <c r="W14" i="22"/>
  <c r="X14" i="22"/>
  <c r="G24" i="19"/>
  <c r="XP23" i="4"/>
  <c r="XT23" i="4" s="1"/>
  <c r="XP10" i="4"/>
  <c r="XT10" i="4" s="1"/>
  <c r="XP22" i="4"/>
  <c r="XT22" i="4" s="1"/>
  <c r="N8" i="24"/>
  <c r="O8" i="24" s="1"/>
  <c r="F19" i="21"/>
  <c r="G19" i="21"/>
  <c r="F24" i="19"/>
  <c r="H15" i="23"/>
  <c r="A15" i="23" s="1" a="1"/>
  <c r="A15" i="23" s="1"/>
  <c r="A17" i="23" a="1"/>
  <c r="A17" i="23" s="1"/>
  <c r="E17" i="23"/>
  <c r="P17" i="23"/>
  <c r="H9" i="24"/>
  <c r="XP8" i="4"/>
  <c r="XT8" i="4" s="1"/>
  <c r="XP14" i="4"/>
  <c r="XT14" i="4" s="1"/>
  <c r="XH15" i="23"/>
  <c r="XL15" i="23" s="1"/>
  <c r="XH9" i="24"/>
  <c r="XL9" i="24" s="1"/>
  <c r="M9" i="24"/>
  <c r="CU15" i="23"/>
  <c r="XP17" i="4"/>
  <c r="XT17" i="4" s="1"/>
  <c r="XP19" i="4"/>
  <c r="XT19" i="4" s="1"/>
  <c r="XP18" i="4"/>
  <c r="XT18" i="4" s="1"/>
  <c r="XP24" i="4"/>
  <c r="XT24" i="4" s="1"/>
  <c r="XP20" i="4"/>
  <c r="XT20" i="4" s="1"/>
  <c r="XP21" i="4"/>
  <c r="XT21" i="4" s="1"/>
  <c r="XP9" i="4"/>
  <c r="XT9" i="4" s="1"/>
  <c r="XP15" i="4"/>
  <c r="XT15" i="4" s="1"/>
  <c r="CT9" i="24"/>
  <c r="N9" i="24" s="1"/>
  <c r="E9" i="24" s="1"/>
  <c r="CT15" i="23"/>
  <c r="XP12" i="4"/>
  <c r="XT12" i="4" s="1"/>
  <c r="XP13" i="4"/>
  <c r="XT13" i="4" s="1"/>
  <c r="XP7" i="4"/>
  <c r="XT7" i="4" s="1"/>
  <c r="XP5" i="4"/>
  <c r="XT5" i="4" s="1"/>
  <c r="XP6" i="4"/>
  <c r="XT6" i="4" s="1"/>
  <c r="XP11" i="4"/>
  <c r="XT11" i="4" s="1"/>
  <c r="XP16" i="4"/>
  <c r="XT16" i="4" s="1"/>
  <c r="XP4" i="4"/>
  <c r="XT4" i="4" s="1"/>
  <c r="P24" i="19"/>
  <c r="DF24" i="19" s="1"/>
  <c r="UF24" i="19"/>
  <c r="DC24" i="19"/>
  <c r="UL24" i="19"/>
  <c r="UK24" i="19"/>
  <c r="CZ24" i="19"/>
  <c r="UH24" i="19"/>
  <c r="UG24" i="19"/>
  <c r="N24" i="19"/>
  <c r="DE24" i="19" s="1"/>
  <c r="L24" i="19"/>
  <c r="J24" i="19"/>
  <c r="K24" i="19" s="1"/>
  <c r="UI24" i="19"/>
  <c r="UF19" i="21"/>
  <c r="UK19" i="21"/>
  <c r="CZ19" i="21"/>
  <c r="DC19" i="21"/>
  <c r="UI19" i="21"/>
  <c r="UH19" i="21"/>
  <c r="UG19" i="21"/>
  <c r="UL19" i="21"/>
  <c r="N19" i="21"/>
  <c r="L19" i="21"/>
  <c r="J19" i="21"/>
  <c r="P19" i="21"/>
  <c r="DF19" i="21" s="1"/>
  <c r="H24" i="19" l="1"/>
  <c r="P8" i="24"/>
  <c r="E8" i="24"/>
  <c r="I19" i="21"/>
  <c r="H19" i="21" s="1"/>
  <c r="A19" i="21" s="1" a="1"/>
  <c r="A19" i="21" s="1"/>
  <c r="I24" i="19"/>
  <c r="M24" i="19"/>
  <c r="Q24" i="19"/>
  <c r="N15" i="23"/>
  <c r="E15" i="23" s="1"/>
  <c r="P9" i="24"/>
  <c r="O9" i="24"/>
  <c r="O19" i="21"/>
  <c r="DE19" i="21"/>
  <c r="DD19" i="21"/>
  <c r="DD24" i="19"/>
  <c r="R24" i="19" s="1"/>
  <c r="T24" i="19" s="1"/>
  <c r="UJ24" i="19"/>
  <c r="UM24" i="19"/>
  <c r="O24" i="19"/>
  <c r="UJ19" i="21"/>
  <c r="UM19" i="21"/>
  <c r="K19" i="21"/>
  <c r="M19" i="21" s="1"/>
  <c r="Q19" i="21"/>
  <c r="P15" i="23" l="1"/>
  <c r="O15" i="23"/>
  <c r="E24" i="19"/>
  <c r="S24" i="19"/>
  <c r="R19" i="21"/>
  <c r="T19" i="21" s="1"/>
  <c r="S19" i="21" l="1"/>
  <c r="E19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G18" i="19" l="1"/>
  <c r="F18" i="19"/>
  <c r="UK18" i="19"/>
  <c r="UH18" i="19"/>
  <c r="P18" i="19"/>
  <c r="DF18" i="19" s="1"/>
  <c r="UF18" i="19"/>
  <c r="CZ18" i="19"/>
  <c r="DC18" i="19"/>
  <c r="UG18" i="19"/>
  <c r="UL18" i="19"/>
  <c r="N18" i="19"/>
  <c r="DE18" i="19" s="1"/>
  <c r="L18" i="19"/>
  <c r="UI18" i="19"/>
  <c r="J18" i="19"/>
  <c r="I18" i="19" l="1"/>
  <c r="H18" i="19" s="1"/>
  <c r="A18" i="19" s="1" a="1"/>
  <c r="A18" i="19" s="1"/>
  <c r="DD18" i="19"/>
  <c r="R18" i="19" s="1"/>
  <c r="T18" i="19" s="1"/>
  <c r="Q18" i="19"/>
  <c r="UJ18" i="19"/>
  <c r="O18" i="19"/>
  <c r="UM18" i="19"/>
  <c r="K18" i="19"/>
  <c r="M18" i="19" s="1"/>
  <c r="E18" i="19" l="1"/>
  <c r="S18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1" i="4"/>
  <c r="CR21" i="4"/>
  <c r="CS21" i="4"/>
  <c r="CT21" i="4"/>
  <c r="CU21" i="4"/>
  <c r="CV21" i="4"/>
  <c r="CX21" i="4"/>
  <c r="CY21" i="4"/>
  <c r="CZ21" i="4"/>
  <c r="CQ17" i="4"/>
  <c r="CR17" i="4"/>
  <c r="CS17" i="4"/>
  <c r="CT17" i="4"/>
  <c r="CU17" i="4"/>
  <c r="CV17" i="4"/>
  <c r="CX17" i="4"/>
  <c r="CY17" i="4"/>
  <c r="CZ17" i="4"/>
  <c r="CQ15" i="4"/>
  <c r="CR15" i="4"/>
  <c r="CS15" i="4"/>
  <c r="CT15" i="4"/>
  <c r="CU15" i="4"/>
  <c r="CV15" i="4"/>
  <c r="CX15" i="4"/>
  <c r="CY15" i="4"/>
  <c r="CZ15" i="4"/>
  <c r="G12" i="21" l="1"/>
  <c r="G14" i="21"/>
  <c r="F14" i="21"/>
  <c r="F12" i="21"/>
  <c r="G27" i="19"/>
  <c r="G25" i="19"/>
  <c r="G20" i="19"/>
  <c r="G21" i="19"/>
  <c r="F27" i="19"/>
  <c r="F25" i="19"/>
  <c r="F20" i="19"/>
  <c r="F21" i="19"/>
  <c r="G7" i="27"/>
  <c r="F7" i="27"/>
  <c r="G14" i="27"/>
  <c r="F14" i="27"/>
  <c r="G11" i="27"/>
  <c r="F11" i="27"/>
  <c r="F17" i="4"/>
  <c r="I17" i="4"/>
  <c r="G21" i="4"/>
  <c r="F21" i="4"/>
  <c r="I21" i="4"/>
  <c r="G17" i="4"/>
  <c r="G15" i="4"/>
  <c r="F15" i="4"/>
  <c r="I15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1" i="4"/>
  <c r="S21" i="4" s="1"/>
  <c r="T21" i="4"/>
  <c r="U21" i="4" s="1"/>
  <c r="T17" i="4"/>
  <c r="U17" i="4" s="1"/>
  <c r="R17" i="4"/>
  <c r="S17" i="4" s="1"/>
  <c r="R15" i="4"/>
  <c r="S15" i="4" s="1"/>
  <c r="T15" i="4"/>
  <c r="U15" i="4" s="1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1" i="19"/>
  <c r="DF21" i="19" s="1"/>
  <c r="UK14" i="21"/>
  <c r="UF14" i="21"/>
  <c r="N12" i="21"/>
  <c r="DC14" i="21"/>
  <c r="P20" i="19"/>
  <c r="UK21" i="19"/>
  <c r="UF21" i="19"/>
  <c r="DC21" i="19"/>
  <c r="P7" i="27"/>
  <c r="DC11" i="27"/>
  <c r="XD10" i="24"/>
  <c r="XG10" i="24"/>
  <c r="XG14" i="23"/>
  <c r="CW15" i="4"/>
  <c r="DA15" i="4" s="1"/>
  <c r="CW21" i="4"/>
  <c r="DA21" i="4" s="1"/>
  <c r="CW17" i="4"/>
  <c r="DA17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4" i="21"/>
  <c r="UG14" i="21"/>
  <c r="P14" i="21"/>
  <c r="UL14" i="21"/>
  <c r="CZ14" i="21"/>
  <c r="I14" i="21" s="1"/>
  <c r="L14" i="21"/>
  <c r="N14" i="21"/>
  <c r="DE14" i="21" s="1"/>
  <c r="J14" i="21"/>
  <c r="K14" i="21" s="1"/>
  <c r="UI14" i="21"/>
  <c r="UH21" i="19"/>
  <c r="UG21" i="19"/>
  <c r="UL21" i="19"/>
  <c r="CZ21" i="19"/>
  <c r="L21" i="19"/>
  <c r="N21" i="19"/>
  <c r="DE21" i="19" s="1"/>
  <c r="J21" i="19"/>
  <c r="K21" i="19" s="1"/>
  <c r="UI21" i="19"/>
  <c r="UF20" i="19"/>
  <c r="UK25" i="19"/>
  <c r="UF25" i="19"/>
  <c r="UK27" i="19"/>
  <c r="UF27" i="19"/>
  <c r="DC20" i="19"/>
  <c r="UL20" i="19"/>
  <c r="N20" i="19"/>
  <c r="DE20" i="19" s="1"/>
  <c r="UK20" i="19"/>
  <c r="CZ20" i="19"/>
  <c r="UH20" i="19"/>
  <c r="UG20" i="19"/>
  <c r="L20" i="19"/>
  <c r="J20" i="19"/>
  <c r="K20" i="19" s="1"/>
  <c r="UI20" i="19"/>
  <c r="DC27" i="19"/>
  <c r="UH25" i="19"/>
  <c r="UG25" i="19"/>
  <c r="DC25" i="19"/>
  <c r="UL25" i="19"/>
  <c r="CZ25" i="19"/>
  <c r="P25" i="19"/>
  <c r="DF25" i="19" s="1"/>
  <c r="N25" i="19"/>
  <c r="L25" i="19"/>
  <c r="DD25" i="19" s="1"/>
  <c r="J25" i="19"/>
  <c r="K25" i="19" s="1"/>
  <c r="UI25" i="19"/>
  <c r="UH27" i="19"/>
  <c r="UG27" i="19"/>
  <c r="P27" i="19"/>
  <c r="UL27" i="19"/>
  <c r="CZ27" i="19"/>
  <c r="N27" i="19"/>
  <c r="L27" i="19"/>
  <c r="J27" i="19"/>
  <c r="K27" i="19" s="1"/>
  <c r="UI27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1" i="4"/>
  <c r="K21" i="4" s="1"/>
  <c r="P21" i="4"/>
  <c r="L21" i="4"/>
  <c r="M21" i="4" s="1"/>
  <c r="N21" i="4"/>
  <c r="P17" i="4"/>
  <c r="DC17" i="4" s="1"/>
  <c r="L17" i="4"/>
  <c r="M17" i="4" s="1"/>
  <c r="J17" i="4"/>
  <c r="K17" i="4" s="1"/>
  <c r="N17" i="4"/>
  <c r="N15" i="4"/>
  <c r="P15" i="4"/>
  <c r="DC15" i="4" s="1"/>
  <c r="L15" i="4"/>
  <c r="M15" i="4" s="1"/>
  <c r="J15" i="4"/>
  <c r="K15" i="4" s="1"/>
  <c r="M25" i="19" l="1"/>
  <c r="M11" i="27"/>
  <c r="M27" i="19"/>
  <c r="H10" i="24"/>
  <c r="M20" i="19"/>
  <c r="I27" i="19"/>
  <c r="H27" i="19" s="1"/>
  <c r="A27" i="19" s="1" a="1"/>
  <c r="A27" i="19" s="1"/>
  <c r="M7" i="27"/>
  <c r="I11" i="27"/>
  <c r="H11" i="27" s="1"/>
  <c r="DB17" i="4"/>
  <c r="V17" i="4" s="1"/>
  <c r="X17" i="4" s="1"/>
  <c r="I12" i="21"/>
  <c r="H12" i="21" s="1"/>
  <c r="M14" i="21"/>
  <c r="H14" i="21"/>
  <c r="I20" i="19"/>
  <c r="H20" i="19" s="1"/>
  <c r="A20" i="19" s="1" a="1"/>
  <c r="A20" i="19" s="1"/>
  <c r="I21" i="19"/>
  <c r="H21" i="19" s="1"/>
  <c r="A21" i="19" s="1" a="1"/>
  <c r="A21" i="19" s="1"/>
  <c r="I25" i="19"/>
  <c r="H25" i="19" s="1"/>
  <c r="A25" i="19" s="1" a="1"/>
  <c r="A25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7" i="4"/>
  <c r="A17" i="4" s="1" a="1"/>
  <c r="A17" i="4" s="1"/>
  <c r="DB15" i="4"/>
  <c r="V15" i="4" s="1"/>
  <c r="X15" i="4" s="1"/>
  <c r="DB21" i="4"/>
  <c r="H15" i="4"/>
  <c r="A15" i="4" s="1" a="1"/>
  <c r="A15" i="4" s="1"/>
  <c r="H21" i="4"/>
  <c r="A21" i="4" s="1" a="1"/>
  <c r="A21" i="4" s="1"/>
  <c r="H10" i="23"/>
  <c r="A10" i="23" s="1" a="1"/>
  <c r="A10" i="23" s="1"/>
  <c r="H11" i="24"/>
  <c r="M21" i="19"/>
  <c r="M12" i="21"/>
  <c r="DD14" i="21"/>
  <c r="O12" i="21"/>
  <c r="DE12" i="21"/>
  <c r="R12" i="21" s="1"/>
  <c r="T12" i="21" s="1"/>
  <c r="Q14" i="21"/>
  <c r="DF14" i="21"/>
  <c r="DD21" i="19"/>
  <c r="R21" i="19" s="1"/>
  <c r="T21" i="19" s="1"/>
  <c r="DD27" i="19"/>
  <c r="Q20" i="19"/>
  <c r="DF20" i="19"/>
  <c r="O27" i="19"/>
  <c r="DE27" i="19"/>
  <c r="Q27" i="19"/>
  <c r="DF27" i="19"/>
  <c r="DD20" i="19"/>
  <c r="O25" i="19"/>
  <c r="DE25" i="19"/>
  <c r="R25" i="19" s="1"/>
  <c r="T25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1" i="4"/>
  <c r="DC21" i="4"/>
  <c r="O15" i="4"/>
  <c r="Q14" i="27"/>
  <c r="XH11" i="24"/>
  <c r="XL11" i="24" s="1"/>
  <c r="XH14" i="23"/>
  <c r="XL14" i="23" s="1"/>
  <c r="UM14" i="21"/>
  <c r="UJ14" i="21"/>
  <c r="Q21" i="19"/>
  <c r="UM21" i="19"/>
  <c r="O14" i="21"/>
  <c r="UJ25" i="19"/>
  <c r="UJ21" i="19"/>
  <c r="UM25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27" i="19"/>
  <c r="UM20" i="19"/>
  <c r="O20" i="19"/>
  <c r="O21" i="19"/>
  <c r="UJ27" i="19"/>
  <c r="UJ20" i="19"/>
  <c r="Q25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1" i="4"/>
  <c r="Q15" i="4"/>
  <c r="Q17" i="4"/>
  <c r="O17" i="4"/>
  <c r="N10" i="24" l="1"/>
  <c r="P10" i="24" s="1"/>
  <c r="N6" i="23"/>
  <c r="E6" i="23" s="1"/>
  <c r="N11" i="23"/>
  <c r="P11" i="23" s="1"/>
  <c r="R20" i="19"/>
  <c r="T20" i="19" s="1"/>
  <c r="R7" i="27"/>
  <c r="T7" i="27" s="1"/>
  <c r="R14" i="27"/>
  <c r="T14" i="27" s="1"/>
  <c r="R14" i="21"/>
  <c r="T14" i="21" s="1"/>
  <c r="E21" i="19"/>
  <c r="N11" i="24"/>
  <c r="N5" i="23"/>
  <c r="N14" i="23"/>
  <c r="V21" i="4"/>
  <c r="X21" i="4" s="1"/>
  <c r="E12" i="21"/>
  <c r="S12" i="21"/>
  <c r="R27" i="19"/>
  <c r="T27" i="19" s="1"/>
  <c r="S21" i="19"/>
  <c r="S25" i="19"/>
  <c r="E25" i="19"/>
  <c r="R11" i="27"/>
  <c r="T11" i="27" s="1"/>
  <c r="N10" i="23"/>
  <c r="P10" i="23" s="1"/>
  <c r="E15" i="4"/>
  <c r="W17" i="4"/>
  <c r="E17" i="4"/>
  <c r="W15" i="4"/>
  <c r="O6" i="23" l="1"/>
  <c r="E11" i="23"/>
  <c r="E10" i="24"/>
  <c r="O10" i="24"/>
  <c r="P6" i="23"/>
  <c r="O11" i="23"/>
  <c r="E14" i="21"/>
  <c r="E20" i="19"/>
  <c r="E27" i="19"/>
  <c r="E14" i="27"/>
  <c r="E7" i="27"/>
  <c r="S11" i="27"/>
  <c r="O11" i="24"/>
  <c r="P11" i="24"/>
  <c r="O14" i="23"/>
  <c r="P14" i="23"/>
  <c r="E5" i="23"/>
  <c r="P5" i="23"/>
  <c r="E21" i="4"/>
  <c r="S7" i="27"/>
  <c r="S20" i="19"/>
  <c r="E11" i="24"/>
  <c r="S14" i="21"/>
  <c r="S14" i="27"/>
  <c r="O5" i="23"/>
  <c r="E14" i="23"/>
  <c r="W21" i="4"/>
  <c r="S27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0" i="19"/>
  <c r="CW10" i="19"/>
  <c r="G10" i="19" s="1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3" i="4"/>
  <c r="CR13" i="4"/>
  <c r="CS13" i="4"/>
  <c r="CT13" i="4"/>
  <c r="CU13" i="4"/>
  <c r="CV13" i="4"/>
  <c r="CX13" i="4"/>
  <c r="CY13" i="4"/>
  <c r="CZ13" i="4"/>
  <c r="G5" i="21" l="1"/>
  <c r="G22" i="19"/>
  <c r="F5" i="21"/>
  <c r="F22" i="19"/>
  <c r="F10" i="19"/>
  <c r="G13" i="4"/>
  <c r="F13" i="4"/>
  <c r="I13" i="4"/>
  <c r="I10" i="22"/>
  <c r="F10" i="22"/>
  <c r="G10" i="22"/>
  <c r="T13" i="4"/>
  <c r="U13" i="4" s="1"/>
  <c r="R13" i="4"/>
  <c r="S13" i="4" s="1"/>
  <c r="R10" i="22"/>
  <c r="S10" i="22" s="1"/>
  <c r="T10" i="22"/>
  <c r="U10" i="22" s="1"/>
  <c r="UF5" i="21"/>
  <c r="DC5" i="21"/>
  <c r="N5" i="21"/>
  <c r="DE5" i="21" s="1"/>
  <c r="UI22" i="19"/>
  <c r="DC22" i="19"/>
  <c r="P10" i="19"/>
  <c r="P22" i="19"/>
  <c r="UF10" i="19"/>
  <c r="UK10" i="19"/>
  <c r="CW10" i="22"/>
  <c r="DA10" i="22" s="1"/>
  <c r="XO10" i="22"/>
  <c r="XL10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2" i="19"/>
  <c r="UG22" i="19"/>
  <c r="UL22" i="19"/>
  <c r="CZ22" i="19"/>
  <c r="UK22" i="19"/>
  <c r="L22" i="19"/>
  <c r="N22" i="19"/>
  <c r="DE22" i="19" s="1"/>
  <c r="J22" i="19"/>
  <c r="K22" i="19" s="1"/>
  <c r="UF22" i="19"/>
  <c r="UG10" i="19"/>
  <c r="UH10" i="19"/>
  <c r="DC10" i="19"/>
  <c r="UL10" i="19"/>
  <c r="CZ10" i="19"/>
  <c r="N10" i="19"/>
  <c r="DE10" i="19" s="1"/>
  <c r="L10" i="19"/>
  <c r="J10" i="19"/>
  <c r="K10" i="19" s="1"/>
  <c r="UI10" i="19"/>
  <c r="J10" i="22"/>
  <c r="K10" i="22" s="1"/>
  <c r="XS10" i="22"/>
  <c r="P10" i="22"/>
  <c r="L10" i="22"/>
  <c r="M10" i="22" s="1"/>
  <c r="N10" i="22"/>
  <c r="DB10" i="22" s="1"/>
  <c r="L13" i="4"/>
  <c r="M13" i="4" s="1"/>
  <c r="N13" i="4"/>
  <c r="P13" i="4"/>
  <c r="DC13" i="4" s="1"/>
  <c r="J13" i="4"/>
  <c r="H5" i="21" l="1"/>
  <c r="M5" i="21"/>
  <c r="M10" i="19"/>
  <c r="I10" i="19"/>
  <c r="I22" i="19"/>
  <c r="H22" i="19" s="1"/>
  <c r="A22" i="19" s="1" a="1"/>
  <c r="A22" i="19" s="1"/>
  <c r="H10" i="19"/>
  <c r="H10" i="22"/>
  <c r="DB13" i="4"/>
  <c r="V13" i="4" s="1"/>
  <c r="X13" i="4" s="1"/>
  <c r="H13" i="4"/>
  <c r="M22" i="19"/>
  <c r="DD22" i="19"/>
  <c r="Q22" i="19"/>
  <c r="DF22" i="19"/>
  <c r="Q10" i="19"/>
  <c r="DF10" i="19"/>
  <c r="DD10" i="19"/>
  <c r="Q10" i="22"/>
  <c r="DC10" i="22"/>
  <c r="O13" i="4"/>
  <c r="XP10" i="22"/>
  <c r="XT10" i="22" s="1"/>
  <c r="UJ5" i="21"/>
  <c r="O5" i="21"/>
  <c r="UM10" i="19"/>
  <c r="UM22" i="19"/>
  <c r="Q5" i="21"/>
  <c r="UJ10" i="19"/>
  <c r="UJ22" i="19"/>
  <c r="O22" i="19"/>
  <c r="UM5" i="21"/>
  <c r="R5" i="21"/>
  <c r="T5" i="21" s="1"/>
  <c r="O10" i="19"/>
  <c r="O10" i="22"/>
  <c r="Q13" i="4"/>
  <c r="K13" i="4"/>
  <c r="R22" i="19" l="1"/>
  <c r="T22" i="19" s="1"/>
  <c r="R10" i="19"/>
  <c r="T10" i="19" s="1"/>
  <c r="V10" i="22"/>
  <c r="X10" i="22" s="1"/>
  <c r="E5" i="21"/>
  <c r="S5" i="21"/>
  <c r="E13" i="4"/>
  <c r="W13" i="4"/>
  <c r="S22" i="19" l="1"/>
  <c r="E22" i="19"/>
  <c r="E10" i="19"/>
  <c r="S10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8" i="4"/>
  <c r="CR18" i="4"/>
  <c r="CS18" i="4"/>
  <c r="CT18" i="4"/>
  <c r="CU18" i="4"/>
  <c r="CV18" i="4"/>
  <c r="CX18" i="4"/>
  <c r="CY18" i="4"/>
  <c r="CZ18" i="4"/>
  <c r="CQ9" i="4"/>
  <c r="CR9" i="4"/>
  <c r="CS9" i="4"/>
  <c r="CT9" i="4"/>
  <c r="CU9" i="4"/>
  <c r="CV9" i="4"/>
  <c r="CX9" i="4"/>
  <c r="CY9" i="4"/>
  <c r="CZ9" i="4"/>
  <c r="G9" i="4" l="1"/>
  <c r="H15" i="27"/>
  <c r="A15" i="27" s="1" a="1"/>
  <c r="A15" i="27" s="1"/>
  <c r="F9" i="4"/>
  <c r="I9" i="4"/>
  <c r="F18" i="4"/>
  <c r="I18" i="4"/>
  <c r="G18" i="4"/>
  <c r="G5" i="26"/>
  <c r="F5" i="26"/>
  <c r="R9" i="4"/>
  <c r="S9" i="4" s="1"/>
  <c r="T9" i="4"/>
  <c r="U9" i="4" s="1"/>
  <c r="T18" i="4"/>
  <c r="U18" i="4" s="1"/>
  <c r="R18" i="4"/>
  <c r="S18" i="4" s="1"/>
  <c r="DD15" i="27"/>
  <c r="R15" i="27" s="1"/>
  <c r="T15" i="27" s="1"/>
  <c r="UM15" i="27"/>
  <c r="Q15" i="27"/>
  <c r="DC5" i="26"/>
  <c r="CW9" i="4"/>
  <c r="DA9" i="4" s="1"/>
  <c r="CW18" i="4"/>
  <c r="DA18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8" i="4"/>
  <c r="M18" i="4" s="1"/>
  <c r="P18" i="4"/>
  <c r="DC18" i="4" s="1"/>
  <c r="J18" i="4"/>
  <c r="K18" i="4" s="1"/>
  <c r="N18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8" i="4"/>
  <c r="V18" i="4" s="1"/>
  <c r="X18" i="4" s="1"/>
  <c r="H18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8" i="4"/>
  <c r="O18" i="4"/>
  <c r="Q9" i="4"/>
  <c r="E5" i="26" l="1"/>
  <c r="S5" i="26"/>
  <c r="E18" i="4"/>
  <c r="W18" i="4"/>
  <c r="W9" i="4"/>
  <c r="E9" i="4"/>
  <c r="CV15" i="21" l="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21" i="21" l="1"/>
  <c r="G15" i="21"/>
  <c r="F21" i="21"/>
  <c r="F15" i="21"/>
  <c r="G16" i="19"/>
  <c r="F16" i="19"/>
  <c r="DC21" i="21"/>
  <c r="DC15" i="21"/>
  <c r="DC16" i="19"/>
  <c r="UK21" i="21"/>
  <c r="UI21" i="21"/>
  <c r="UK15" i="21"/>
  <c r="UI15" i="21"/>
  <c r="P15" i="21"/>
  <c r="DF15" i="21" s="1"/>
  <c r="P21" i="21"/>
  <c r="DF21" i="21" s="1"/>
  <c r="N15" i="21"/>
  <c r="UG15" i="21"/>
  <c r="UL15" i="21"/>
  <c r="UH15" i="21"/>
  <c r="L15" i="21"/>
  <c r="DD15" i="21" s="1"/>
  <c r="UF15" i="21"/>
  <c r="J15" i="21"/>
  <c r="K15" i="21" s="1"/>
  <c r="CZ15" i="21"/>
  <c r="I15" i="21" s="1"/>
  <c r="UG21" i="21"/>
  <c r="UL21" i="21"/>
  <c r="UH21" i="21"/>
  <c r="N21" i="21"/>
  <c r="L21" i="21"/>
  <c r="UF21" i="21"/>
  <c r="J21" i="21"/>
  <c r="K21" i="21" s="1"/>
  <c r="CZ21" i="21"/>
  <c r="I21" i="21" s="1"/>
  <c r="UF16" i="19"/>
  <c r="UL16" i="19"/>
  <c r="N16" i="19"/>
  <c r="UK16" i="19"/>
  <c r="CZ16" i="19"/>
  <c r="I16" i="19" s="1"/>
  <c r="UH16" i="19"/>
  <c r="UG16" i="19"/>
  <c r="L16" i="19"/>
  <c r="J16" i="19"/>
  <c r="K16" i="19" s="1"/>
  <c r="P16" i="19"/>
  <c r="DF16" i="19" s="1"/>
  <c r="UI16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5" i="21" l="1"/>
  <c r="H21" i="21"/>
  <c r="M15" i="21"/>
  <c r="H16" i="19"/>
  <c r="G10" i="27"/>
  <c r="F10" i="27"/>
  <c r="M21" i="21"/>
  <c r="M16" i="19"/>
  <c r="O15" i="21"/>
  <c r="DE15" i="21"/>
  <c r="R15" i="21" s="1"/>
  <c r="T15" i="21" s="1"/>
  <c r="O21" i="21"/>
  <c r="DE21" i="21"/>
  <c r="DD21" i="21"/>
  <c r="DD16" i="19"/>
  <c r="O16" i="19"/>
  <c r="DE16" i="19"/>
  <c r="UM21" i="21"/>
  <c r="UM15" i="21"/>
  <c r="UM16" i="19"/>
  <c r="DC10" i="27"/>
  <c r="Q21" i="21"/>
  <c r="UF10" i="27"/>
  <c r="P10" i="27"/>
  <c r="DF10" i="27" s="1"/>
  <c r="UJ21" i="21"/>
  <c r="Q15" i="21"/>
  <c r="UJ15" i="21"/>
  <c r="UJ16" i="19"/>
  <c r="Q16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6" i="19"/>
  <c r="T16" i="19" s="1"/>
  <c r="R21" i="21"/>
  <c r="T21" i="21" s="1"/>
  <c r="S15" i="21"/>
  <c r="E15" i="21"/>
  <c r="UJ10" i="27"/>
  <c r="E21" i="21" l="1"/>
  <c r="E16" i="19"/>
  <c r="S10" i="27"/>
  <c r="A15" i="21" a="1"/>
  <c r="A15" i="21" s="1"/>
  <c r="S21" i="21"/>
  <c r="S16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6" i="4"/>
  <c r="CR16" i="4"/>
  <c r="CS16" i="4"/>
  <c r="CT16" i="4"/>
  <c r="CU16" i="4"/>
  <c r="CV16" i="4"/>
  <c r="CX16" i="4"/>
  <c r="CY16" i="4"/>
  <c r="CZ16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16" i="4" l="1"/>
  <c r="G9" i="23"/>
  <c r="G4" i="23"/>
  <c r="F16" i="4"/>
  <c r="I16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T16" i="4"/>
  <c r="U16" i="4" s="1"/>
  <c r="R16" i="4"/>
  <c r="S16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6" i="4"/>
  <c r="DA16" i="4" s="1"/>
  <c r="L16" i="4"/>
  <c r="M16" i="4" s="1"/>
  <c r="J16" i="4"/>
  <c r="K16" i="4" s="1"/>
  <c r="P16" i="4"/>
  <c r="DC16" i="4" s="1"/>
  <c r="N16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6" i="4" l="1"/>
  <c r="H9" i="23"/>
  <c r="A9" i="23" s="1" a="1"/>
  <c r="A9" i="23" s="1"/>
  <c r="H4" i="23"/>
  <c r="DB16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6" i="4"/>
  <c r="Q16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6" i="4" a="1"/>
  <c r="A16" i="4" s="1"/>
  <c r="N7" i="24"/>
  <c r="N4" i="23"/>
  <c r="P4" i="23" s="1"/>
  <c r="V16" i="4"/>
  <c r="X16" i="4" s="1"/>
  <c r="E9" i="23" l="1"/>
  <c r="O14" i="24"/>
  <c r="P14" i="24"/>
  <c r="O9" i="23"/>
  <c r="P15" i="24"/>
  <c r="E15" i="24"/>
  <c r="E7" i="24"/>
  <c r="P7" i="24"/>
  <c r="E16" i="4"/>
  <c r="O7" i="24"/>
  <c r="E4" i="23"/>
  <c r="O4" i="23"/>
  <c r="W16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2" i="21"/>
  <c r="CW22" i="21"/>
  <c r="CX22" i="21"/>
  <c r="CY22" i="21"/>
  <c r="DA22" i="21"/>
  <c r="DB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UB22" i="21"/>
  <c r="UC22" i="21"/>
  <c r="UD22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8" i="19"/>
  <c r="CW8" i="19"/>
  <c r="CX8" i="19"/>
  <c r="CY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1" i="26"/>
  <c r="CW11" i="26"/>
  <c r="CX11" i="26"/>
  <c r="CY11" i="26"/>
  <c r="DA11" i="26"/>
  <c r="DB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2" i="21"/>
  <c r="F11" i="21"/>
  <c r="F22" i="21"/>
  <c r="G26" i="19"/>
  <c r="G15" i="19"/>
  <c r="G8" i="19"/>
  <c r="F26" i="19"/>
  <c r="F15" i="19"/>
  <c r="F8" i="19"/>
  <c r="G13" i="27"/>
  <c r="G16" i="27"/>
  <c r="F13" i="27"/>
  <c r="F16" i="27"/>
  <c r="G11" i="26"/>
  <c r="F11" i="26"/>
  <c r="N7" i="23"/>
  <c r="P7" i="23" s="1"/>
  <c r="DC11" i="21"/>
  <c r="DC22" i="21"/>
  <c r="DC26" i="19"/>
  <c r="DC8" i="19"/>
  <c r="DC15" i="19"/>
  <c r="DC13" i="27"/>
  <c r="DC16" i="27"/>
  <c r="DC4" i="26"/>
  <c r="DC11" i="26"/>
  <c r="UK16" i="27"/>
  <c r="UK8" i="19"/>
  <c r="UF4" i="26"/>
  <c r="UK4" i="26"/>
  <c r="P22" i="21"/>
  <c r="UF22" i="21"/>
  <c r="UK15" i="19"/>
  <c r="UF15" i="19"/>
  <c r="CZ8" i="19"/>
  <c r="I8" i="19" s="1"/>
  <c r="UH16" i="27"/>
  <c r="UG16" i="27"/>
  <c r="P13" i="27"/>
  <c r="DF13" i="27" s="1"/>
  <c r="P11" i="26"/>
  <c r="UH22" i="21"/>
  <c r="UG22" i="21"/>
  <c r="UF11" i="21"/>
  <c r="N11" i="21"/>
  <c r="DE11" i="21" s="1"/>
  <c r="UK22" i="21"/>
  <c r="CZ22" i="21"/>
  <c r="I22" i="21" s="1"/>
  <c r="N22" i="21"/>
  <c r="DE22" i="21" s="1"/>
  <c r="L22" i="21"/>
  <c r="UL22" i="21"/>
  <c r="J22" i="21"/>
  <c r="K22" i="21" s="1"/>
  <c r="UI22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8" i="19"/>
  <c r="DE8" i="19" s="1"/>
  <c r="UF8" i="19"/>
  <c r="UL8" i="19"/>
  <c r="UH8" i="19"/>
  <c r="L8" i="19"/>
  <c r="UG8" i="19"/>
  <c r="J8" i="19"/>
  <c r="K8" i="19" s="1"/>
  <c r="P8" i="19"/>
  <c r="DF8" i="19" s="1"/>
  <c r="UI8" i="19"/>
  <c r="UH15" i="19"/>
  <c r="UG15" i="19"/>
  <c r="CZ15" i="19"/>
  <c r="L15" i="19"/>
  <c r="DD15" i="19" s="1"/>
  <c r="P15" i="19"/>
  <c r="N15" i="19"/>
  <c r="DE15" i="19" s="1"/>
  <c r="UL15" i="19"/>
  <c r="J15" i="19"/>
  <c r="K15" i="19" s="1"/>
  <c r="UI15" i="19"/>
  <c r="UF26" i="19"/>
  <c r="UH26" i="19"/>
  <c r="UG26" i="19"/>
  <c r="P26" i="19"/>
  <c r="N26" i="19"/>
  <c r="UK26" i="19"/>
  <c r="CZ26" i="19"/>
  <c r="L26" i="19"/>
  <c r="UL26" i="19"/>
  <c r="J26" i="19"/>
  <c r="K26" i="19" s="1"/>
  <c r="UI26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1" i="26"/>
  <c r="UF11" i="26"/>
  <c r="CZ11" i="26"/>
  <c r="L11" i="26"/>
  <c r="UH11" i="26"/>
  <c r="N11" i="26"/>
  <c r="DE11" i="26" s="1"/>
  <c r="UL11" i="26"/>
  <c r="J11" i="26"/>
  <c r="UI11" i="26"/>
  <c r="UG11" i="26"/>
  <c r="UH4" i="26"/>
  <c r="UG4" i="26"/>
  <c r="CZ4" i="26"/>
  <c r="UL4" i="26"/>
  <c r="UI4" i="26"/>
  <c r="M16" i="27" l="1"/>
  <c r="I11" i="21"/>
  <c r="I26" i="19"/>
  <c r="H26" i="19" s="1"/>
  <c r="I15" i="19"/>
  <c r="H15" i="19" s="1"/>
  <c r="H16" i="27"/>
  <c r="H22" i="21"/>
  <c r="H11" i="21"/>
  <c r="M26" i="19"/>
  <c r="H8" i="19"/>
  <c r="H13" i="27"/>
  <c r="E7" i="23"/>
  <c r="I11" i="26"/>
  <c r="H11" i="26" s="1"/>
  <c r="M11" i="21"/>
  <c r="M22" i="21"/>
  <c r="M13" i="27"/>
  <c r="M8" i="19"/>
  <c r="M15" i="19"/>
  <c r="O7" i="23"/>
  <c r="Q22" i="21"/>
  <c r="DF22" i="21"/>
  <c r="DD11" i="21"/>
  <c r="R11" i="21" s="1"/>
  <c r="T11" i="21" s="1"/>
  <c r="DD22" i="21"/>
  <c r="Q15" i="19"/>
  <c r="DF15" i="19"/>
  <c r="R15" i="19" s="1"/>
  <c r="T15" i="19" s="1"/>
  <c r="DD8" i="19"/>
  <c r="Q26" i="19"/>
  <c r="DF26" i="19"/>
  <c r="DD26" i="19"/>
  <c r="O26" i="19"/>
  <c r="DE26" i="19"/>
  <c r="DD16" i="27"/>
  <c r="DD11" i="26"/>
  <c r="Q11" i="26"/>
  <c r="DF11" i="26"/>
  <c r="UM26" i="19"/>
  <c r="UM16" i="27"/>
  <c r="UM11" i="26"/>
  <c r="UM22" i="21"/>
  <c r="UM11" i="21"/>
  <c r="UM8" i="19"/>
  <c r="UM15" i="19"/>
  <c r="UM13" i="27"/>
  <c r="UM4" i="26"/>
  <c r="UJ16" i="27"/>
  <c r="UJ22" i="21"/>
  <c r="UJ8" i="19"/>
  <c r="UJ13" i="27"/>
  <c r="O8" i="19"/>
  <c r="UJ15" i="19"/>
  <c r="UJ11" i="21"/>
  <c r="O11" i="21"/>
  <c r="UJ26" i="19"/>
  <c r="O13" i="27"/>
  <c r="Q13" i="27"/>
  <c r="O16" i="27"/>
  <c r="Q11" i="21"/>
  <c r="O22" i="21"/>
  <c r="Q8" i="19"/>
  <c r="O15" i="19"/>
  <c r="Q16" i="27"/>
  <c r="R13" i="27"/>
  <c r="T13" i="27" s="1"/>
  <c r="O11" i="26"/>
  <c r="UJ11" i="26"/>
  <c r="K11" i="26"/>
  <c r="M11" i="26" s="1"/>
  <c r="UJ4" i="26"/>
  <c r="A22" i="21" l="1" a="1"/>
  <c r="A22" i="21" s="1"/>
  <c r="R8" i="19"/>
  <c r="T8" i="19" s="1"/>
  <c r="R11" i="26"/>
  <c r="T11" i="26" s="1"/>
  <c r="R22" i="21"/>
  <c r="T22" i="21" s="1"/>
  <c r="R16" i="27"/>
  <c r="T16" i="27" s="1"/>
  <c r="E11" i="21"/>
  <c r="S11" i="21"/>
  <c r="E15" i="19"/>
  <c r="S15" i="19"/>
  <c r="R26" i="19"/>
  <c r="T26" i="19" s="1"/>
  <c r="S13" i="27"/>
  <c r="E13" i="27"/>
  <c r="E8" i="19" l="1"/>
  <c r="S16" i="27"/>
  <c r="S11" i="26"/>
  <c r="A26" i="19" a="1"/>
  <c r="A26" i="19" s="1"/>
  <c r="A16" i="27" a="1"/>
  <c r="A16" i="27" s="1"/>
  <c r="A11" i="26" a="1"/>
  <c r="A11" i="26" s="1"/>
  <c r="S22" i="21"/>
  <c r="E22" i="21"/>
  <c r="S8" i="19"/>
  <c r="E11" i="26"/>
  <c r="E16" i="27"/>
  <c r="E26" i="19"/>
  <c r="S26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5" i="22"/>
  <c r="F13" i="22"/>
  <c r="I13" i="22"/>
  <c r="I15" i="22"/>
  <c r="F15" i="22"/>
  <c r="R13" i="22"/>
  <c r="S13" i="22" s="1"/>
  <c r="T13" i="22"/>
  <c r="U13" i="22" s="1"/>
  <c r="R15" i="22"/>
  <c r="S15" i="22" s="1"/>
  <c r="T15" i="22"/>
  <c r="U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F6" i="27" l="1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T7" i="4"/>
  <c r="U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A8" i="27" l="1" a="1"/>
  <c r="A8" i="27" s="1"/>
  <c r="A10" i="27" a="1"/>
  <c r="A10" i="27" s="1"/>
  <c r="F23" i="19"/>
  <c r="G23" i="19"/>
  <c r="A4" i="27" a="1"/>
  <c r="A4" i="27" s="1"/>
  <c r="A11" i="27" a="1"/>
  <c r="A11" i="27" s="1"/>
  <c r="A7" i="27" a="1"/>
  <c r="A7" i="27" s="1"/>
  <c r="A13" i="27" a="1"/>
  <c r="A13" i="27" s="1"/>
  <c r="DC23" i="19"/>
  <c r="A9" i="27" a="1"/>
  <c r="A9" i="27" s="1"/>
  <c r="A5" i="27" a="1"/>
  <c r="A5" i="27" s="1"/>
  <c r="A6" i="27" a="1"/>
  <c r="A6" i="27" s="1"/>
  <c r="A12" i="27" a="1"/>
  <c r="A12" i="27" s="1"/>
  <c r="UF23" i="19"/>
  <c r="P23" i="19"/>
  <c r="DF23" i="19" s="1"/>
  <c r="N23" i="19"/>
  <c r="DE23" i="19" s="1"/>
  <c r="UK23" i="19"/>
  <c r="CZ23" i="19"/>
  <c r="UH23" i="19"/>
  <c r="UL23" i="19"/>
  <c r="UG23" i="19"/>
  <c r="L23" i="19"/>
  <c r="DD23" i="19" s="1"/>
  <c r="J23" i="19"/>
  <c r="UI23" i="19"/>
  <c r="I23" i="19" l="1"/>
  <c r="H23" i="19" s="1"/>
  <c r="UM23" i="19"/>
  <c r="Q23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3" i="19"/>
  <c r="UJ23" i="19"/>
  <c r="K23" i="19"/>
  <c r="M23" i="19" s="1"/>
  <c r="R23" i="19" l="1"/>
  <c r="T23" i="19" s="1"/>
  <c r="S23" i="19" l="1"/>
  <c r="E23" i="19"/>
  <c r="CV19" i="19" l="1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17" i="19" l="1"/>
  <c r="G19" i="19"/>
  <c r="F17" i="19"/>
  <c r="F19" i="19"/>
  <c r="DC17" i="19"/>
  <c r="DC19" i="19"/>
  <c r="UK19" i="19"/>
  <c r="UF19" i="19"/>
  <c r="P19" i="19"/>
  <c r="DF19" i="19" s="1"/>
  <c r="CZ19" i="19"/>
  <c r="I19" i="19" s="1"/>
  <c r="N19" i="19"/>
  <c r="DE19" i="19" s="1"/>
  <c r="UH19" i="19"/>
  <c r="UG19" i="19"/>
  <c r="UL19" i="19"/>
  <c r="L19" i="19"/>
  <c r="DD19" i="19" s="1"/>
  <c r="J19" i="19"/>
  <c r="UI19" i="19"/>
  <c r="UK17" i="19"/>
  <c r="UF17" i="19"/>
  <c r="P17" i="19"/>
  <c r="DF17" i="19" s="1"/>
  <c r="N17" i="19"/>
  <c r="DE17" i="19" s="1"/>
  <c r="CZ17" i="19"/>
  <c r="I17" i="19" s="1"/>
  <c r="UG17" i="19"/>
  <c r="UH17" i="19"/>
  <c r="UL17" i="19"/>
  <c r="L17" i="19"/>
  <c r="DD17" i="19" s="1"/>
  <c r="J17" i="19"/>
  <c r="K17" i="19" s="1"/>
  <c r="M17" i="19" s="1"/>
  <c r="UI17" i="19"/>
  <c r="H19" i="19" l="1"/>
  <c r="H17" i="19"/>
  <c r="UM19" i="19"/>
  <c r="UM17" i="19"/>
  <c r="Q19" i="19"/>
  <c r="O19" i="19"/>
  <c r="O17" i="19"/>
  <c r="R17" i="19"/>
  <c r="T17" i="19" s="1"/>
  <c r="Q17" i="19"/>
  <c r="UJ19" i="19"/>
  <c r="K19" i="19"/>
  <c r="M19" i="19" s="1"/>
  <c r="UJ17" i="19"/>
  <c r="A19" i="19" l="1" a="1"/>
  <c r="A19" i="19" s="1"/>
  <c r="S17" i="19"/>
  <c r="R19" i="19"/>
  <c r="T19" i="19" s="1"/>
  <c r="E17" i="19"/>
  <c r="S19" i="19" l="1"/>
  <c r="E19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4" i="4"/>
  <c r="CR24" i="4"/>
  <c r="CS24" i="4"/>
  <c r="CT24" i="4"/>
  <c r="CU24" i="4"/>
  <c r="CV24" i="4"/>
  <c r="CX24" i="4"/>
  <c r="CY24" i="4"/>
  <c r="CZ24" i="4"/>
  <c r="CQ20" i="4"/>
  <c r="CR20" i="4"/>
  <c r="CS20" i="4"/>
  <c r="CT20" i="4"/>
  <c r="CU20" i="4"/>
  <c r="CV20" i="4"/>
  <c r="CX20" i="4"/>
  <c r="CY20" i="4"/>
  <c r="CZ20" i="4"/>
  <c r="G20" i="4" l="1"/>
  <c r="G17" i="22"/>
  <c r="F24" i="4"/>
  <c r="I24" i="4"/>
  <c r="I20" i="4"/>
  <c r="F20" i="4"/>
  <c r="H20" i="4" s="1"/>
  <c r="G24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0" i="4"/>
  <c r="S20" i="4" s="1"/>
  <c r="T20" i="4"/>
  <c r="U20" i="4" s="1"/>
  <c r="R24" i="4"/>
  <c r="S24" i="4" s="1"/>
  <c r="T24" i="4"/>
  <c r="U24" i="4" s="1"/>
  <c r="R7" i="22"/>
  <c r="S7" i="22" s="1"/>
  <c r="T7" i="22"/>
  <c r="U7" i="22" s="1"/>
  <c r="R17" i="22"/>
  <c r="S17" i="22" s="1"/>
  <c r="T17" i="22"/>
  <c r="U17" i="22" s="1"/>
  <c r="T9" i="22"/>
  <c r="U9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4" i="4"/>
  <c r="DA24" i="4" s="1"/>
  <c r="J24" i="4"/>
  <c r="K24" i="4" s="1"/>
  <c r="CW20" i="4"/>
  <c r="DA20" i="4" s="1"/>
  <c r="L24" i="4"/>
  <c r="M24" i="4" s="1"/>
  <c r="P24" i="4"/>
  <c r="DC24" i="4" s="1"/>
  <c r="N24" i="4"/>
  <c r="DB24" i="4" s="1"/>
  <c r="L20" i="4"/>
  <c r="M20" i="4" s="1"/>
  <c r="P20" i="4"/>
  <c r="DC20" i="4" s="1"/>
  <c r="N20" i="4"/>
  <c r="J20" i="4"/>
  <c r="K20" i="4" s="1"/>
  <c r="H17" i="22" l="1"/>
  <c r="A17" i="22" s="1" a="1"/>
  <c r="A17" i="22" s="1"/>
  <c r="DB20" i="4"/>
  <c r="V20" i="4" s="1"/>
  <c r="X20" i="4" s="1"/>
  <c r="DB17" i="22"/>
  <c r="DB9" i="22"/>
  <c r="H24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4" i="4"/>
  <c r="Q24" i="4"/>
  <c r="O20" i="4"/>
  <c r="Q20" i="4"/>
  <c r="A24" i="4" l="1" a="1"/>
  <c r="A24" i="4" s="1"/>
  <c r="N12" i="24"/>
  <c r="P12" i="24" s="1"/>
  <c r="N16" i="23"/>
  <c r="P16" i="23" s="1"/>
  <c r="V9" i="22"/>
  <c r="X9" i="22" s="1"/>
  <c r="V7" i="22"/>
  <c r="X7" i="22" s="1"/>
  <c r="V17" i="22"/>
  <c r="X17" i="22" s="1"/>
  <c r="E20" i="4"/>
  <c r="V24" i="4"/>
  <c r="X24" i="4" s="1"/>
  <c r="W20" i="4"/>
  <c r="W17" i="22" l="1"/>
  <c r="W7" i="22"/>
  <c r="W9" i="22"/>
  <c r="E12" i="24"/>
  <c r="O16" i="23"/>
  <c r="E16" i="23"/>
  <c r="O12" i="24"/>
  <c r="E9" i="22"/>
  <c r="E7" i="22"/>
  <c r="E17" i="22"/>
  <c r="W24" i="4"/>
  <c r="E24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1" i="19"/>
  <c r="CW11" i="19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H6" i="4" l="1"/>
  <c r="G8" i="21"/>
  <c r="F8" i="21"/>
  <c r="G11" i="19"/>
  <c r="F11" i="19"/>
  <c r="CT6" i="24"/>
  <c r="CU6" i="24"/>
  <c r="DC8" i="21"/>
  <c r="DC11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1" i="19"/>
  <c r="UK11" i="19"/>
  <c r="P11" i="19"/>
  <c r="DF11" i="19" s="1"/>
  <c r="CZ11" i="19"/>
  <c r="I11" i="19" s="1"/>
  <c r="UH11" i="19"/>
  <c r="UG11" i="19"/>
  <c r="UL11" i="19"/>
  <c r="N11" i="19"/>
  <c r="DE11" i="19" s="1"/>
  <c r="L11" i="19"/>
  <c r="DD11" i="19" s="1"/>
  <c r="J11" i="19"/>
  <c r="K11" i="19" s="1"/>
  <c r="UI11" i="19"/>
  <c r="M11" i="19" l="1"/>
  <c r="H11" i="19"/>
  <c r="H8" i="21"/>
  <c r="UM8" i="21"/>
  <c r="UM11" i="19"/>
  <c r="Q11" i="19"/>
  <c r="O8" i="21"/>
  <c r="K8" i="21"/>
  <c r="M8" i="21" s="1"/>
  <c r="O11" i="19"/>
  <c r="UJ11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1" i="19"/>
  <c r="T11" i="19" s="1"/>
  <c r="S8" i="21" l="1"/>
  <c r="S11" i="19"/>
  <c r="E8" i="21"/>
  <c r="E11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T8" i="22"/>
  <c r="U8" i="22" s="1"/>
  <c r="R8" i="22"/>
  <c r="S8" i="22" s="1"/>
  <c r="R11" i="22"/>
  <c r="S11" i="22" s="1"/>
  <c r="T11" i="22"/>
  <c r="U11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2" i="22"/>
  <c r="S12" i="22" s="1"/>
  <c r="T12" i="22"/>
  <c r="U12" i="22" s="1"/>
  <c r="R5" i="22"/>
  <c r="S5" i="22" s="1"/>
  <c r="T5" i="22"/>
  <c r="U5" i="22" s="1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G8" i="4" l="1"/>
  <c r="F8" i="4"/>
  <c r="H8" i="4" s="1"/>
  <c r="I8" i="4"/>
  <c r="T8" i="4"/>
  <c r="U8" i="4" s="1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0" i="21" l="1"/>
  <c r="UC20" i="21"/>
  <c r="UB20" i="21"/>
  <c r="UA20" i="21"/>
  <c r="TZ20" i="21"/>
  <c r="TY20" i="21"/>
  <c r="TX20" i="21"/>
  <c r="TW20" i="21"/>
  <c r="TV20" i="21"/>
  <c r="TU20" i="21"/>
  <c r="TT20" i="21"/>
  <c r="TS20" i="21"/>
  <c r="TR20" i="21"/>
  <c r="TQ20" i="21"/>
  <c r="TP20" i="21"/>
  <c r="TO20" i="21"/>
  <c r="TN20" i="21"/>
  <c r="TM20" i="21"/>
  <c r="TL20" i="21"/>
  <c r="TK20" i="21"/>
  <c r="DB20" i="21"/>
  <c r="DA20" i="21"/>
  <c r="CY20" i="21"/>
  <c r="CX20" i="21"/>
  <c r="CW20" i="21"/>
  <c r="CV20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8" i="21"/>
  <c r="UC18" i="21"/>
  <c r="UB18" i="21"/>
  <c r="UA18" i="21"/>
  <c r="TZ18" i="21"/>
  <c r="TY18" i="21"/>
  <c r="TX18" i="21"/>
  <c r="TW18" i="21"/>
  <c r="TV18" i="21"/>
  <c r="TU18" i="21"/>
  <c r="TT18" i="21"/>
  <c r="TS18" i="21"/>
  <c r="TR18" i="21"/>
  <c r="TQ18" i="21"/>
  <c r="TP18" i="21"/>
  <c r="TO18" i="21"/>
  <c r="TN18" i="21"/>
  <c r="TM18" i="21"/>
  <c r="TL18" i="21"/>
  <c r="TK18" i="21"/>
  <c r="DB18" i="21"/>
  <c r="DA18" i="21"/>
  <c r="CY18" i="21"/>
  <c r="CX18" i="21"/>
  <c r="CW18" i="21"/>
  <c r="G18" i="21" s="1"/>
  <c r="CV18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3" i="21"/>
  <c r="UC13" i="21"/>
  <c r="UB13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DB13" i="21"/>
  <c r="DA13" i="21"/>
  <c r="CY13" i="21"/>
  <c r="CX13" i="21"/>
  <c r="CW13" i="21"/>
  <c r="G13" i="21" s="1"/>
  <c r="CV13" i="21"/>
  <c r="UD16" i="21"/>
  <c r="UC16" i="21"/>
  <c r="UB16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DB16" i="21"/>
  <c r="DA16" i="21"/>
  <c r="CY16" i="21"/>
  <c r="CX16" i="21"/>
  <c r="CW16" i="21"/>
  <c r="CV16" i="21"/>
  <c r="CY5" i="19"/>
  <c r="CY14" i="19"/>
  <c r="CY9" i="19"/>
  <c r="CY12" i="19"/>
  <c r="CY7" i="19"/>
  <c r="CY13" i="19"/>
  <c r="CY4" i="19"/>
  <c r="CY6" i="19"/>
  <c r="CX6" i="19"/>
  <c r="CX4" i="19"/>
  <c r="CX13" i="19"/>
  <c r="CX7" i="19"/>
  <c r="CX12" i="19"/>
  <c r="CX9" i="19"/>
  <c r="CX14" i="19"/>
  <c r="CX5" i="19"/>
  <c r="CV12" i="19"/>
  <c r="CW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CV9" i="19"/>
  <c r="CW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V14" i="19"/>
  <c r="CW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0" i="21" l="1"/>
  <c r="F13" i="21"/>
  <c r="F10" i="21"/>
  <c r="F16" i="21"/>
  <c r="F7" i="21"/>
  <c r="F20" i="21"/>
  <c r="F4" i="21"/>
  <c r="F18" i="21"/>
  <c r="F9" i="21"/>
  <c r="F6" i="21"/>
  <c r="G9" i="21"/>
  <c r="G6" i="21"/>
  <c r="G16" i="21"/>
  <c r="G7" i="21"/>
  <c r="G20" i="21"/>
  <c r="G4" i="19"/>
  <c r="G5" i="19"/>
  <c r="F5" i="19"/>
  <c r="F13" i="19"/>
  <c r="F6" i="19"/>
  <c r="G13" i="19"/>
  <c r="G6" i="19"/>
  <c r="G14" i="19"/>
  <c r="G12" i="19"/>
  <c r="F14" i="19"/>
  <c r="F12" i="19"/>
  <c r="F7" i="19"/>
  <c r="F4" i="19"/>
  <c r="G7" i="19"/>
  <c r="G9" i="19"/>
  <c r="F9" i="19"/>
  <c r="DC13" i="21"/>
  <c r="DC16" i="21"/>
  <c r="DC9" i="21"/>
  <c r="DC7" i="21"/>
  <c r="DC10" i="21"/>
  <c r="DC18" i="21"/>
  <c r="DC4" i="21"/>
  <c r="DC6" i="21"/>
  <c r="DC20" i="21"/>
  <c r="DC13" i="19"/>
  <c r="DC6" i="19"/>
  <c r="DC5" i="19"/>
  <c r="DC14" i="19"/>
  <c r="DC9" i="19"/>
  <c r="DC7" i="19"/>
  <c r="DC4" i="19"/>
  <c r="DC12" i="19"/>
  <c r="CZ7" i="19"/>
  <c r="CZ12" i="19"/>
  <c r="CZ14" i="19"/>
  <c r="I14" i="19" s="1"/>
  <c r="CZ4" i="19"/>
  <c r="I4" i="19" s="1"/>
  <c r="P6" i="21"/>
  <c r="DF6" i="21" s="1"/>
  <c r="UF20" i="21"/>
  <c r="UK20" i="21"/>
  <c r="CZ6" i="21"/>
  <c r="UL20" i="21"/>
  <c r="L20" i="21"/>
  <c r="DD20" i="21" s="1"/>
  <c r="UH9" i="21"/>
  <c r="UF13" i="21"/>
  <c r="UK13" i="21"/>
  <c r="P4" i="21"/>
  <c r="DF4" i="21" s="1"/>
  <c r="UI18" i="21"/>
  <c r="L6" i="21"/>
  <c r="DD6" i="21" s="1"/>
  <c r="P18" i="21"/>
  <c r="DF18" i="21" s="1"/>
  <c r="P20" i="21"/>
  <c r="DF20" i="21" s="1"/>
  <c r="UH20" i="21"/>
  <c r="N16" i="21"/>
  <c r="DE16" i="21" s="1"/>
  <c r="UF4" i="21"/>
  <c r="UI9" i="21"/>
  <c r="CZ5" i="19"/>
  <c r="I5" i="19" s="1"/>
  <c r="CZ13" i="19"/>
  <c r="I13" i="19" s="1"/>
  <c r="UF7" i="21"/>
  <c r="P10" i="21"/>
  <c r="DF10" i="21" s="1"/>
  <c r="CZ10" i="21"/>
  <c r="P16" i="21"/>
  <c r="DF16" i="21" s="1"/>
  <c r="UF16" i="21"/>
  <c r="CZ13" i="21"/>
  <c r="I13" i="21" s="1"/>
  <c r="UI6" i="21"/>
  <c r="CZ20" i="21"/>
  <c r="UK18" i="21"/>
  <c r="CZ4" i="21"/>
  <c r="UG18" i="21"/>
  <c r="UH18" i="21"/>
  <c r="UL18" i="21"/>
  <c r="UH7" i="21"/>
  <c r="UL6" i="21"/>
  <c r="UH13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18" i="21"/>
  <c r="N20" i="21"/>
  <c r="DE20" i="21" s="1"/>
  <c r="UL16" i="21"/>
  <c r="N13" i="21"/>
  <c r="DE13" i="21" s="1"/>
  <c r="UK7" i="21"/>
  <c r="N10" i="21"/>
  <c r="DE10" i="21" s="1"/>
  <c r="UH10" i="21"/>
  <c r="UH6" i="21"/>
  <c r="UI20" i="21"/>
  <c r="UK16" i="21"/>
  <c r="UG4" i="21"/>
  <c r="UH4" i="21"/>
  <c r="CZ7" i="21"/>
  <c r="UL10" i="21"/>
  <c r="UH16" i="21"/>
  <c r="UI6" i="19"/>
  <c r="UI7" i="19"/>
  <c r="CZ9" i="19"/>
  <c r="UI12" i="19"/>
  <c r="UI4" i="19"/>
  <c r="UI5" i="19"/>
  <c r="UI14" i="19"/>
  <c r="UI13" i="19"/>
  <c r="UI9" i="19"/>
  <c r="CZ6" i="19"/>
  <c r="L13" i="21"/>
  <c r="DD13" i="21" s="1"/>
  <c r="UG10" i="21"/>
  <c r="UI13" i="21"/>
  <c r="UG7" i="21"/>
  <c r="UG16" i="21"/>
  <c r="UI4" i="21"/>
  <c r="UF9" i="21"/>
  <c r="J7" i="21"/>
  <c r="UI16" i="21"/>
  <c r="UI7" i="21"/>
  <c r="J10" i="21"/>
  <c r="UG20" i="21"/>
  <c r="L16" i="21"/>
  <c r="DD16" i="21" s="1"/>
  <c r="J13" i="21"/>
  <c r="J18" i="21"/>
  <c r="L18" i="21"/>
  <c r="DD18" i="21" s="1"/>
  <c r="UL13" i="21"/>
  <c r="UG9" i="21"/>
  <c r="J16" i="21"/>
  <c r="P13" i="21"/>
  <c r="DF13" i="21" s="1"/>
  <c r="CZ16" i="21"/>
  <c r="N4" i="21"/>
  <c r="DE4" i="21" s="1"/>
  <c r="L4" i="21"/>
  <c r="DD4" i="21" s="1"/>
  <c r="J4" i="21"/>
  <c r="CZ9" i="21"/>
  <c r="P7" i="21"/>
  <c r="DF7" i="21" s="1"/>
  <c r="UL4" i="21"/>
  <c r="UK4" i="21"/>
  <c r="UG13" i="21"/>
  <c r="UL9" i="21"/>
  <c r="L9" i="21"/>
  <c r="DD9" i="21" s="1"/>
  <c r="J9" i="21"/>
  <c r="UG6" i="21"/>
  <c r="UF10" i="21"/>
  <c r="UF18" i="21"/>
  <c r="J6" i="21"/>
  <c r="N18" i="21"/>
  <c r="DE18" i="21" s="1"/>
  <c r="J20" i="21"/>
  <c r="J6" i="19"/>
  <c r="N5" i="19"/>
  <c r="DE5" i="19" s="1"/>
  <c r="N6" i="19"/>
  <c r="DE6" i="19" s="1"/>
  <c r="N14" i="19"/>
  <c r="DE14" i="19" s="1"/>
  <c r="N13" i="19"/>
  <c r="DE13" i="19" s="1"/>
  <c r="N12" i="19"/>
  <c r="DE12" i="19" s="1"/>
  <c r="N7" i="19"/>
  <c r="DE7" i="19" s="1"/>
  <c r="N9" i="19"/>
  <c r="DE9" i="19" s="1"/>
  <c r="UK14" i="19"/>
  <c r="UH14" i="19"/>
  <c r="J5" i="19"/>
  <c r="K5" i="19" s="1"/>
  <c r="UF14" i="19"/>
  <c r="P9" i="19"/>
  <c r="DF9" i="19" s="1"/>
  <c r="UG9" i="19"/>
  <c r="UK5" i="19"/>
  <c r="P14" i="19"/>
  <c r="DF14" i="19" s="1"/>
  <c r="UH9" i="19"/>
  <c r="UG14" i="19"/>
  <c r="P12" i="19"/>
  <c r="DF12" i="19" s="1"/>
  <c r="UL5" i="19"/>
  <c r="UH5" i="19"/>
  <c r="UG5" i="19"/>
  <c r="UL14" i="19"/>
  <c r="J14" i="19"/>
  <c r="P5" i="19"/>
  <c r="DF5" i="19" s="1"/>
  <c r="UK9" i="19"/>
  <c r="UF9" i="19"/>
  <c r="UF5" i="19"/>
  <c r="UL9" i="19"/>
  <c r="UH12" i="19"/>
  <c r="UG12" i="19"/>
  <c r="UK12" i="19"/>
  <c r="UF12" i="19"/>
  <c r="L12" i="19"/>
  <c r="DD12" i="19" s="1"/>
  <c r="L9" i="19"/>
  <c r="DD9" i="19" s="1"/>
  <c r="J12" i="19"/>
  <c r="UL12" i="19"/>
  <c r="L14" i="19"/>
  <c r="DD14" i="19" s="1"/>
  <c r="J9" i="19"/>
  <c r="L5" i="19"/>
  <c r="DD5" i="19" s="1"/>
  <c r="UL7" i="19"/>
  <c r="UK7" i="19"/>
  <c r="P13" i="19"/>
  <c r="DF13" i="19" s="1"/>
  <c r="UF4" i="19"/>
  <c r="UK6" i="19"/>
  <c r="L6" i="19"/>
  <c r="DD6" i="19" s="1"/>
  <c r="UF13" i="19"/>
  <c r="UL4" i="19"/>
  <c r="P6" i="19"/>
  <c r="DF6" i="19" s="1"/>
  <c r="UG13" i="19"/>
  <c r="UL6" i="19"/>
  <c r="UL13" i="19"/>
  <c r="L7" i="19"/>
  <c r="DD7" i="19" s="1"/>
  <c r="UG4" i="19"/>
  <c r="UH4" i="19"/>
  <c r="UK13" i="19"/>
  <c r="P7" i="19"/>
  <c r="DF7" i="19" s="1"/>
  <c r="UF6" i="19"/>
  <c r="J7" i="19"/>
  <c r="UF7" i="19"/>
  <c r="UG6" i="19"/>
  <c r="UH6" i="19"/>
  <c r="J13" i="19"/>
  <c r="UG7" i="19"/>
  <c r="UH7" i="19"/>
  <c r="UH13" i="19"/>
  <c r="UK4" i="19"/>
  <c r="L13" i="19"/>
  <c r="DD13" i="19" s="1"/>
  <c r="H5" i="19" l="1"/>
  <c r="I4" i="21"/>
  <c r="I6" i="19"/>
  <c r="H6" i="19" s="1"/>
  <c r="H7" i="21"/>
  <c r="I10" i="21"/>
  <c r="H10" i="21" s="1"/>
  <c r="I18" i="21"/>
  <c r="I7" i="21"/>
  <c r="I16" i="21"/>
  <c r="H16" i="21" s="1"/>
  <c r="I9" i="21"/>
  <c r="H9" i="21" s="1"/>
  <c r="H4" i="21"/>
  <c r="H13" i="21"/>
  <c r="I20" i="21"/>
  <c r="H20" i="21" s="1"/>
  <c r="H18" i="21"/>
  <c r="I6" i="21"/>
  <c r="H6" i="21" s="1"/>
  <c r="I7" i="19"/>
  <c r="H7" i="19" s="1"/>
  <c r="I9" i="19"/>
  <c r="H9" i="19" s="1"/>
  <c r="I12" i="19"/>
  <c r="H12" i="19" s="1"/>
  <c r="H14" i="19"/>
  <c r="H13" i="19"/>
  <c r="H4" i="19"/>
  <c r="M5" i="19"/>
  <c r="UM6" i="21"/>
  <c r="UM13" i="21"/>
  <c r="UM7" i="19"/>
  <c r="UM16" i="21"/>
  <c r="UM5" i="19"/>
  <c r="UM4" i="21"/>
  <c r="UM18" i="21"/>
  <c r="UM20" i="21"/>
  <c r="UM7" i="21"/>
  <c r="UM9" i="21"/>
  <c r="UM10" i="21"/>
  <c r="UM9" i="19"/>
  <c r="UM6" i="19"/>
  <c r="UM12" i="19"/>
  <c r="UM13" i="19"/>
  <c r="UM4" i="19"/>
  <c r="UM14" i="19"/>
  <c r="O18" i="21"/>
  <c r="O4" i="21"/>
  <c r="O13" i="21"/>
  <c r="O6" i="21"/>
  <c r="O7" i="21"/>
  <c r="K10" i="21"/>
  <c r="M10" i="21" s="1"/>
  <c r="O20" i="21"/>
  <c r="O16" i="21"/>
  <c r="O9" i="21"/>
  <c r="O10" i="21"/>
  <c r="O7" i="19"/>
  <c r="O12" i="19"/>
  <c r="R12" i="19"/>
  <c r="T12" i="19" s="1"/>
  <c r="O6" i="19"/>
  <c r="O5" i="19"/>
  <c r="O13" i="19"/>
  <c r="O14" i="19"/>
  <c r="O9" i="19"/>
  <c r="UJ20" i="21"/>
  <c r="Q10" i="21"/>
  <c r="Q20" i="21"/>
  <c r="Q4" i="21"/>
  <c r="Q6" i="21"/>
  <c r="R7" i="21"/>
  <c r="T7" i="21" s="1"/>
  <c r="R18" i="21"/>
  <c r="T18" i="21" s="1"/>
  <c r="Q9" i="21"/>
  <c r="Q16" i="21"/>
  <c r="R10" i="21"/>
  <c r="T10" i="21" s="1"/>
  <c r="Q13" i="19"/>
  <c r="Q14" i="19"/>
  <c r="Q5" i="19"/>
  <c r="Q9" i="19"/>
  <c r="Q7" i="19"/>
  <c r="UJ10" i="21"/>
  <c r="UJ18" i="21"/>
  <c r="UJ5" i="19"/>
  <c r="UJ7" i="19"/>
  <c r="UJ4" i="21"/>
  <c r="UJ16" i="21"/>
  <c r="Q18" i="21"/>
  <c r="K13" i="21"/>
  <c r="M13" i="21" s="1"/>
  <c r="K7" i="21"/>
  <c r="M7" i="21" s="1"/>
  <c r="K18" i="21"/>
  <c r="M18" i="21" s="1"/>
  <c r="K7" i="19"/>
  <c r="M7" i="19" s="1"/>
  <c r="K13" i="19"/>
  <c r="M13" i="19" s="1"/>
  <c r="K14" i="19"/>
  <c r="M14" i="19" s="1"/>
  <c r="UJ7" i="21"/>
  <c r="UJ12" i="19"/>
  <c r="UJ4" i="19"/>
  <c r="UJ13" i="19"/>
  <c r="UJ9" i="19"/>
  <c r="UJ6" i="19"/>
  <c r="UJ14" i="19"/>
  <c r="K4" i="21"/>
  <c r="M4" i="21" s="1"/>
  <c r="UJ13" i="21"/>
  <c r="UJ6" i="21"/>
  <c r="K9" i="21"/>
  <c r="M9" i="21" s="1"/>
  <c r="Q7" i="21"/>
  <c r="UJ9" i="21"/>
  <c r="K20" i="21"/>
  <c r="M20" i="21" s="1"/>
  <c r="Q13" i="21"/>
  <c r="K6" i="21"/>
  <c r="M6" i="21" s="1"/>
  <c r="K16" i="21"/>
  <c r="M16" i="21" s="1"/>
  <c r="Q12" i="19"/>
  <c r="K12" i="19"/>
  <c r="M12" i="19" s="1"/>
  <c r="K9" i="19"/>
  <c r="M9" i="19" s="1"/>
  <c r="Q6" i="19"/>
  <c r="K6" i="19"/>
  <c r="M6" i="19" s="1"/>
  <c r="S7" i="21" l="1"/>
  <c r="S10" i="21"/>
  <c r="S18" i="21"/>
  <c r="S12" i="19"/>
  <c r="E10" i="21"/>
  <c r="E18" i="21"/>
  <c r="E7" i="21"/>
  <c r="R13" i="21"/>
  <c r="T13" i="21" s="1"/>
  <c r="R6" i="21"/>
  <c r="T6" i="21" s="1"/>
  <c r="R16" i="21"/>
  <c r="T16" i="21" s="1"/>
  <c r="R6" i="19"/>
  <c r="T6" i="19" s="1"/>
  <c r="R20" i="21"/>
  <c r="T20" i="21" s="1"/>
  <c r="R9" i="21"/>
  <c r="T9" i="21" s="1"/>
  <c r="R4" i="21"/>
  <c r="T4" i="21" s="1"/>
  <c r="E12" i="19"/>
  <c r="R9" i="19"/>
  <c r="T9" i="19" s="1"/>
  <c r="R14" i="19"/>
  <c r="T14" i="19" s="1"/>
  <c r="R5" i="19"/>
  <c r="T5" i="19" s="1"/>
  <c r="R13" i="19"/>
  <c r="T13" i="19" s="1"/>
  <c r="R7" i="19"/>
  <c r="T7" i="19" s="1"/>
  <c r="A18" i="21" l="1" a="1"/>
  <c r="A18" i="21" s="1"/>
  <c r="S16" i="21"/>
  <c r="S13" i="21"/>
  <c r="E4" i="21"/>
  <c r="S4" i="21"/>
  <c r="S9" i="21"/>
  <c r="S6" i="21"/>
  <c r="S20" i="21"/>
  <c r="S5" i="19"/>
  <c r="S13" i="19"/>
  <c r="E14" i="19"/>
  <c r="S14" i="19"/>
  <c r="S9" i="19"/>
  <c r="S6" i="19"/>
  <c r="E7" i="19"/>
  <c r="S7" i="19"/>
  <c r="E16" i="21"/>
  <c r="E6" i="21"/>
  <c r="E13" i="21"/>
  <c r="E20" i="21"/>
  <c r="E9" i="21"/>
  <c r="E6" i="19"/>
  <c r="E9" i="19"/>
  <c r="E13" i="19"/>
  <c r="E5" i="19"/>
  <c r="A12" i="21" l="1" a="1"/>
  <c r="A12" i="21" s="1"/>
  <c r="A14" i="21" a="1"/>
  <c r="A14" i="21" s="1"/>
  <c r="A11" i="21" a="1"/>
  <c r="A11" i="21" s="1"/>
  <c r="A5" i="21" a="1"/>
  <c r="A5" i="21" s="1"/>
  <c r="A21" i="21" a="1"/>
  <c r="A21" i="21" s="1"/>
  <c r="A10" i="21" a="1"/>
  <c r="A10" i="21" s="1"/>
  <c r="A6" i="21" a="1"/>
  <c r="A6" i="21" s="1"/>
  <c r="A4" i="21" a="1"/>
  <c r="A4" i="21" s="1"/>
  <c r="A13" i="21" a="1"/>
  <c r="A13" i="21" s="1"/>
  <c r="A20" i="21" a="1"/>
  <c r="A20" i="21" s="1"/>
  <c r="A9" i="21" a="1"/>
  <c r="A9" i="21" s="1"/>
  <c r="A8" i="21" a="1"/>
  <c r="A8" i="21" s="1"/>
  <c r="A16" i="21" a="1"/>
  <c r="A16" i="21" s="1"/>
  <c r="A7" i="21" a="1"/>
  <c r="A7" i="21" s="1"/>
  <c r="CY12" i="4"/>
  <c r="CY4" i="4"/>
  <c r="CY14" i="4"/>
  <c r="CY22" i="4"/>
  <c r="CY23" i="4"/>
  <c r="CY11" i="4"/>
  <c r="CY19" i="4"/>
  <c r="CY10" i="4"/>
  <c r="CY5" i="4"/>
  <c r="CX5" i="4"/>
  <c r="CU5" i="4"/>
  <c r="CU4" i="4"/>
  <c r="CU14" i="4"/>
  <c r="CU22" i="4"/>
  <c r="CU23" i="4"/>
  <c r="CU11" i="4"/>
  <c r="CU19" i="4"/>
  <c r="CU10" i="4"/>
  <c r="CU12" i="4"/>
  <c r="CT12" i="4"/>
  <c r="CR5" i="4"/>
  <c r="CR4" i="4"/>
  <c r="CR14" i="4"/>
  <c r="CR22" i="4"/>
  <c r="CR23" i="4"/>
  <c r="CR11" i="4"/>
  <c r="CR19" i="4"/>
  <c r="CR10" i="4"/>
  <c r="CR12" i="4"/>
  <c r="CQ12" i="4"/>
  <c r="CQ5" i="4"/>
  <c r="CQ4" i="4"/>
  <c r="CQ14" i="4"/>
  <c r="CQ22" i="4"/>
  <c r="CQ23" i="4"/>
  <c r="CQ11" i="4"/>
  <c r="CQ19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G10" i="4" l="1"/>
  <c r="I10" i="4"/>
  <c r="F10" i="4"/>
  <c r="R10" i="4"/>
  <c r="S10" i="4" s="1"/>
  <c r="T10" i="4"/>
  <c r="U10" i="4" s="1"/>
  <c r="N10" i="4"/>
  <c r="DB10" i="4" s="1"/>
  <c r="L10" i="4"/>
  <c r="J10" i="4"/>
  <c r="CW10" i="4"/>
  <c r="DA10" i="4" s="1"/>
  <c r="P10" i="4"/>
  <c r="DC10" i="4" s="1"/>
  <c r="CS19" i="4"/>
  <c r="CT19" i="4"/>
  <c r="CV19" i="4"/>
  <c r="CX19" i="4"/>
  <c r="CZ19" i="4"/>
  <c r="P19" i="4" s="1"/>
  <c r="DC19" i="4" s="1"/>
  <c r="CS22" i="4"/>
  <c r="CT22" i="4"/>
  <c r="CV22" i="4"/>
  <c r="CX22" i="4"/>
  <c r="CZ22" i="4"/>
  <c r="P22" i="4" s="1"/>
  <c r="DC22" i="4" s="1"/>
  <c r="G22" i="4" l="1"/>
  <c r="F22" i="4"/>
  <c r="I22" i="4"/>
  <c r="G19" i="4"/>
  <c r="I19" i="4"/>
  <c r="F19" i="4"/>
  <c r="H10" i="4"/>
  <c r="R19" i="4"/>
  <c r="S19" i="4" s="1"/>
  <c r="T19" i="4"/>
  <c r="U19" i="4" s="1"/>
  <c r="R22" i="4"/>
  <c r="S22" i="4" s="1"/>
  <c r="T22" i="4"/>
  <c r="U22" i="4" s="1"/>
  <c r="O10" i="4"/>
  <c r="V10" i="4"/>
  <c r="X10" i="4" s="1"/>
  <c r="N22" i="4"/>
  <c r="DB22" i="4" s="1"/>
  <c r="N19" i="4"/>
  <c r="DB19" i="4" s="1"/>
  <c r="K10" i="4"/>
  <c r="L22" i="4"/>
  <c r="J19" i="4"/>
  <c r="K19" i="4" s="1"/>
  <c r="J22" i="4"/>
  <c r="L19" i="4"/>
  <c r="Q19" i="4"/>
  <c r="Q22" i="4"/>
  <c r="M10" i="4"/>
  <c r="Q10" i="4"/>
  <c r="CW22" i="4"/>
  <c r="DA22" i="4" s="1"/>
  <c r="CW19" i="4"/>
  <c r="DA19" i="4" s="1"/>
  <c r="H19" i="4" l="1"/>
  <c r="A19" i="4" s="1" a="1"/>
  <c r="A19" i="4" s="1"/>
  <c r="H22" i="4"/>
  <c r="O19" i="4"/>
  <c r="V19" i="4"/>
  <c r="X19" i="4" s="1"/>
  <c r="O22" i="4"/>
  <c r="V22" i="4"/>
  <c r="X22" i="4" s="1"/>
  <c r="W10" i="4"/>
  <c r="K22" i="4"/>
  <c r="M19" i="4"/>
  <c r="M22" i="4"/>
  <c r="A22" i="4" l="1" a="1"/>
  <c r="A22" i="4" s="1"/>
  <c r="W22" i="4"/>
  <c r="W19" i="4"/>
  <c r="E10" i="4" l="1"/>
  <c r="E19" i="4"/>
  <c r="E22" i="4" l="1"/>
  <c r="CS4" i="4"/>
  <c r="CT4" i="4"/>
  <c r="CV4" i="4"/>
  <c r="CX4" i="4"/>
  <c r="CZ4" i="4"/>
  <c r="P4" i="4" s="1"/>
  <c r="DC4" i="4" s="1"/>
  <c r="CS14" i="4"/>
  <c r="CT14" i="4"/>
  <c r="CV14" i="4"/>
  <c r="CX14" i="4"/>
  <c r="CZ14" i="4"/>
  <c r="P14" i="4" s="1"/>
  <c r="DC14" i="4" s="1"/>
  <c r="CS5" i="4"/>
  <c r="CT5" i="4"/>
  <c r="CV5" i="4"/>
  <c r="CZ5" i="4"/>
  <c r="P5" i="4" s="1"/>
  <c r="DC5" i="4" s="1"/>
  <c r="CS23" i="4"/>
  <c r="CT23" i="4"/>
  <c r="CV23" i="4"/>
  <c r="CX23" i="4"/>
  <c r="CZ23" i="4"/>
  <c r="P23" i="4" s="1"/>
  <c r="DC23" i="4" s="1"/>
  <c r="CS11" i="4"/>
  <c r="CT11" i="4"/>
  <c r="CV11" i="4"/>
  <c r="CX11" i="4"/>
  <c r="CZ11" i="4"/>
  <c r="P11" i="4" s="1"/>
  <c r="DC11" i="4" s="1"/>
  <c r="CV12" i="4"/>
  <c r="CS12" i="4"/>
  <c r="G14" i="4" l="1"/>
  <c r="F14" i="4"/>
  <c r="I14" i="4"/>
  <c r="G5" i="4"/>
  <c r="F5" i="4"/>
  <c r="I5" i="4"/>
  <c r="G23" i="4"/>
  <c r="F23" i="4"/>
  <c r="I23" i="4"/>
  <c r="G11" i="4"/>
  <c r="F11" i="4"/>
  <c r="I11" i="4"/>
  <c r="G4" i="4"/>
  <c r="I4" i="4"/>
  <c r="F4" i="4"/>
  <c r="T14" i="4"/>
  <c r="U14" i="4" s="1"/>
  <c r="R14" i="4"/>
  <c r="S14" i="4" s="1"/>
  <c r="T4" i="4"/>
  <c r="U4" i="4" s="1"/>
  <c r="R4" i="4"/>
  <c r="S4" i="4" s="1"/>
  <c r="R11" i="4"/>
  <c r="S11" i="4" s="1"/>
  <c r="T11" i="4"/>
  <c r="U11" i="4" s="1"/>
  <c r="T5" i="4"/>
  <c r="U5" i="4" s="1"/>
  <c r="R5" i="4"/>
  <c r="S5" i="4" s="1"/>
  <c r="T23" i="4"/>
  <c r="U23" i="4" s="1"/>
  <c r="R23" i="4"/>
  <c r="S23" i="4" s="1"/>
  <c r="L12" i="4"/>
  <c r="N4" i="4"/>
  <c r="DB4" i="4" s="1"/>
  <c r="N11" i="4"/>
  <c r="DB11" i="4" s="1"/>
  <c r="N12" i="4"/>
  <c r="DB12" i="4" s="1"/>
  <c r="N23" i="4"/>
  <c r="DB23" i="4" s="1"/>
  <c r="N14" i="4"/>
  <c r="DB14" i="4" s="1"/>
  <c r="L5" i="4"/>
  <c r="M5" i="4" s="1"/>
  <c r="N5" i="4"/>
  <c r="DB5" i="4" s="1"/>
  <c r="J11" i="4"/>
  <c r="K11" i="4" s="1"/>
  <c r="L11" i="4"/>
  <c r="J12" i="4"/>
  <c r="L23" i="4"/>
  <c r="J23" i="4"/>
  <c r="K23" i="4" s="1"/>
  <c r="L14" i="4"/>
  <c r="J14" i="4"/>
  <c r="L4" i="4"/>
  <c r="J4" i="4"/>
  <c r="K4" i="4" s="1"/>
  <c r="J5" i="4"/>
  <c r="K5" i="4" s="1"/>
  <c r="Q11" i="4"/>
  <c r="Q23" i="4"/>
  <c r="Q5" i="4"/>
  <c r="Q4" i="4"/>
  <c r="Q14" i="4"/>
  <c r="CW23" i="4"/>
  <c r="DA23" i="4" s="1"/>
  <c r="CW14" i="4"/>
  <c r="DA14" i="4" s="1"/>
  <c r="CW4" i="4"/>
  <c r="DA4" i="4" s="1"/>
  <c r="CW12" i="4"/>
  <c r="CW5" i="4"/>
  <c r="DA5" i="4" s="1"/>
  <c r="CW11" i="4"/>
  <c r="DA11" i="4" s="1"/>
  <c r="H11" i="4" l="1"/>
  <c r="H5" i="4"/>
  <c r="H23" i="4"/>
  <c r="A23" i="4" s="1" a="1"/>
  <c r="A23" i="4" s="1"/>
  <c r="H4" i="4"/>
  <c r="H14" i="4"/>
  <c r="O5" i="4"/>
  <c r="O11" i="4"/>
  <c r="V11" i="4"/>
  <c r="X11" i="4" s="1"/>
  <c r="O4" i="4"/>
  <c r="V4" i="4"/>
  <c r="X4" i="4" s="1"/>
  <c r="O14" i="4"/>
  <c r="V14" i="4"/>
  <c r="X14" i="4" s="1"/>
  <c r="O23" i="4"/>
  <c r="V23" i="4"/>
  <c r="X23" i="4" s="1"/>
  <c r="O12" i="4"/>
  <c r="K14" i="4"/>
  <c r="M11" i="4"/>
  <c r="M12" i="4"/>
  <c r="M14" i="4"/>
  <c r="M4" i="4"/>
  <c r="M23" i="4"/>
  <c r="K12" i="4"/>
  <c r="CZ12" i="4"/>
  <c r="G12" i="4" s="1"/>
  <c r="CX12" i="4"/>
  <c r="F12" i="4" l="1"/>
  <c r="H12" i="4" s="1"/>
  <c r="I12" i="4"/>
  <c r="R12" i="4"/>
  <c r="S12" i="4" s="1"/>
  <c r="T12" i="4"/>
  <c r="U12" i="4" s="1"/>
  <c r="W11" i="4"/>
  <c r="W4" i="4"/>
  <c r="W23" i="4"/>
  <c r="W14" i="4"/>
  <c r="P12" i="4"/>
  <c r="DC12" i="4" s="1"/>
  <c r="DA12" i="4"/>
  <c r="V12" i="4" l="1"/>
  <c r="X12" i="4" s="1"/>
  <c r="Q12" i="4"/>
  <c r="W12" i="4" l="1"/>
  <c r="E11" i="4"/>
  <c r="E23" i="4" l="1"/>
  <c r="E12" i="4" l="1"/>
  <c r="E14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3" i="4" a="1"/>
  <c r="A13" i="4" s="1"/>
  <c r="A9" i="4" a="1"/>
  <c r="A9" i="4" s="1"/>
  <c r="A18" i="4" a="1"/>
  <c r="A18" i="4" s="1"/>
  <c r="A6" i="4" a="1"/>
  <c r="A6" i="4" s="1"/>
  <c r="A20" i="4" a="1"/>
  <c r="A20" i="4" s="1"/>
  <c r="A12" i="4" a="1"/>
  <c r="A12" i="4" s="1"/>
  <c r="A7" i="4" a="1"/>
  <c r="A7" i="4" s="1"/>
  <c r="A14" i="4" a="1"/>
  <c r="A14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A15" i="19" s="1" a="1"/>
  <c r="A15" i="19" s="1"/>
  <c r="S4" i="19"/>
  <c r="A24" i="19" l="1" a="1"/>
  <c r="A24" i="19" s="1"/>
  <c r="A8" i="19" a="1"/>
  <c r="A8" i="19" s="1"/>
  <c r="A10" i="19" a="1"/>
  <c r="A10" i="19" s="1"/>
  <c r="A16" i="19" a="1"/>
  <c r="A16" i="19" s="1"/>
  <c r="A14" i="19" a="1"/>
  <c r="A14" i="19" s="1"/>
  <c r="A4" i="19" a="1"/>
  <c r="A4" i="19" s="1"/>
  <c r="A23" i="19" a="1"/>
  <c r="A23" i="19" s="1"/>
  <c r="A17" i="19" a="1"/>
  <c r="A17" i="19" s="1"/>
  <c r="A11" i="19" a="1"/>
  <c r="A11" i="19" s="1"/>
  <c r="A12" i="19" a="1"/>
  <c r="A12" i="19" s="1"/>
  <c r="A6" i="19" a="1"/>
  <c r="A6" i="19" s="1"/>
  <c r="A9" i="19" a="1"/>
  <c r="A9" i="19" s="1"/>
  <c r="A7" i="19" a="1"/>
  <c r="A7" i="19" s="1"/>
  <c r="A5" i="19" a="1"/>
  <c r="A5" i="19" s="1"/>
  <c r="A13" i="19" a="1"/>
  <c r="A13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<sst xmlns="http://schemas.openxmlformats.org/spreadsheetml/2006/main" count="6081" uniqueCount="258">
  <si>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</si>
  <si>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</si>
  <si>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</si>
  <si>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</si>
  <si>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</si>
  <si>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</si>
  <si>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</si>
  <si>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</si>
  <si>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</si>
  <si>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</si>
  <si>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</si>
  <si>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</si>
  <si>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</si>
  <si>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</si>
  <si>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</si>
  <si>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</si>
  <si>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</si>
  <si>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</si>
  <si>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</si>
  <si>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</si>
  <si>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</si>
  <si>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</si>
  <si>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</si>
  <si>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</si>
  <si>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</si>
  <si>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</si>
  <si>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</si>
  <si>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</si>
  <si>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</si>
  <si>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</si>
  <si>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</si>
  <si>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</si>
  <si>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</si>
  <si>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</si>
  <si>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</si>
  <si>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</si>
  <si>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</si>
  <si>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</si>
  <si>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</si>
  <si>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</si>
  <si>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</si>
  <si>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</si>
  <si>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</si>
  <si>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</si>
  <si>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</si>
  <si>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</si>
  <si>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</si>
  <si>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</si>
  <si>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</si>
  <si>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</si>
  <si>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</si>
  <si>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</si>
  <si>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</si>
  <si>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</si>
  <si>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</si>
  <si>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</si>
  <si>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</si>
  <si>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</si>
  <si>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</si>
  <si>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</si>
  <si>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</si>
  <si>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</si>
  <si>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</si>
  <si>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</si>
  <si>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</si>
  <si>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</si>
  <si>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</si>
  <si>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</si>
  <si>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</si>
  <si>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</si>
  <si>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</si>
  <si>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</si>
  <si>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</si>
  <si>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</si>
  <si>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</si>
  <si>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</si>
  <si>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</si>
  <si>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</si>
  <si>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</si>
  <si>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</si>
  <si>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</si>
  <si>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</si>
  <si>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</si>
  <si>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</si>
  <si>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</si>
  <si>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</si>
  <si>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</si>
  <si>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</si>
  <si>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</si>
  <si>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</si>
  <si>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</si>
  <si>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</si>
  <si>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</si>
  <si>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</si>
  <si>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</si>
  <si>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</si>
  <si>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</si>
  <si>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</si>
  <si>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</si>
  <si>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</si>
  <si>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</si>
  <si>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</si>
  <si>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</si>
  <si>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</si>
  <si>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</si>
  <si>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</si>
  <si>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</si>
  <si>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</si>
  <si>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</si>
  <si>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</si>
  <si>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</si>
  <si>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</si>
  <si>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</si>
  <si>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</si>
  <si>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</si>
  <si>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</si>
  <si>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</si>
  <si>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</si>
  <si>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</si>
  <si>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</si>
  <si>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</si>
  <si>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</si>
  <si>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</si>
  <si>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</si>
  <si>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</si>
  <si>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</si>
  <si>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</si>
  <si>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</si>
  <si>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</si>
  <si>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</si>
  <si>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</si>
  <si>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</si>
  <si>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</si>
  <si>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</si>
  <si>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</si>
  <si>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</si>
  <si>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</si>
  <si>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</si>
  <si>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</si>
  <si>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</si>
  <si>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</si>
  <si>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</si>
  <si>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</si>
  <si>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</si>
  <si>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</si>
  <si>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</si>
  <si>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</si>
  <si>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</si>
  <si>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</si>
  <si>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</si>
  <si>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</si>
  <si>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</si>
  <si>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</si>
  <si>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</si>
  <si>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</si>
  <si>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</si>
  <si>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</si>
  <si>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</si>
  <si>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</si>
  <si>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</si>
  <si>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</si>
  <si>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</si>
  <si>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</si>
  <si>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</si>
  <si>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</si>
  <si>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</si>
  <si>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</si>
  <si>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</si>
  <si>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</si>
  <si>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</si>
  <si>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</si>
  <si>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</si>
  <si>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</si>
  <si>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</si>
  <si>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</si>
  <si>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</si>
  <si>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</si>
  <si>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</si>
  <si>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</si>
  <si>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</si>
  <si>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</si>
  <si>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</si>
  <si>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</si>
  <si>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</si>
  <si>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</si>
  <si>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</si>
  <si>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</si>
  <si>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</si>
  <si>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</si>
  <si>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</si>
  <si>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</si>
  <si>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</si>
  <si>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</si>
  <si>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</si>
  <si>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</si>
  <si>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</si>
  <si>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</si>
  <si>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</si>
  <si>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</si>
  <si>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</si>
  <si>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</si>
  <si>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</si>
  <si>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</si>
  <si>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</si>
  <si>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</si>
  <si>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</si>
  <si>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</si>
  <si>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</si>
  <si>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</si>
  <si>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</si>
  <si>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</si>
  <si>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</si>
  <si>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</si>
  <si>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</si>
  <si>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</si>
  <si>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</si>
  <si>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</si>
  <si>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</si>
  <si>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</si>
  <si>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</si>
  <si>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</si>
  <si>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</si>
  <si>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</si>
  <si>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</si>
  <si>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</si>
  <si>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</si>
  <si>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</si>
  <si>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</si>
  <si>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</si>
  <si>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</si>
  <si>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</si>
  <si>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</si>
  <si>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</si>
  <si>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</si>
  <si>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</si>
  <si>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</si>
  <si>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</si>
  <si>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</si>
  <si>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</si>
  <si>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</si>
  <si>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</si>
  <si>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</si>
  <si>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</si>
  <si>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</si>
  <si>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</si>
  <si>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</si>
  <si>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</si>
  <si>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</si>
  <si>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</si>
  <si>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</si>
  <si>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</si>
  <si>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</si>
  <si>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</si>
  <si>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</si>
  <si>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</si>
  <si>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/>
  </si>
  <si>
    <t>SARTISON, Torrance</t>
  </si>
  <si>
    <t>PEPPER, 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</si>
</sst>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MALLAIS, Rylan</v>
      </c>
      <c r="D46" s="14" t="str">
        <f>IF(B6&gt;MAX('DMT-M'!A:A),"",INDEX('DMT-M'!H:H,MATCH(B6,'DMT-M'!A:A,0)))</f>
        <v>Excellence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ARMSTRONG, Mark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Worlds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45631</v>
      </c>
      <c r="C66" s="63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93</v>
      </c>
      <c r="K1" s="69" t="s">
        <v>30</v>
      </c>
      <c r="L1" s="71" t="s">
        <v>94</v>
      </c>
      <c r="M1" s="69" t="s">
        <v>30</v>
      </c>
      <c r="N1" s="71" t="s">
        <v>118</v>
      </c>
      <c r="O1" s="69" t="s">
        <v>30</v>
      </c>
      <c r="P1" s="69" t="s">
        <v>12</v>
      </c>
      <c r="Q1" s="69" t="s">
        <v>30</v>
      </c>
      <c r="R1" s="69" t="s">
        <v>95</v>
      </c>
      <c r="S1" s="69" t="s">
        <v>30</v>
      </c>
      <c r="T1" s="71" t="s">
        <v>96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193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232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188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191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221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223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224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240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245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244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102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102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102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102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102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102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102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102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102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102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102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102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102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102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102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269.82002698200591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 t="shared" ref="O4:O24" si="7">IF(N4="","",IF(OR(N4=CS4,N4=CV4),$CA$1,IF(OR(N4=BR4,N4=BU4),$AZ$1,IF(OR(N4=AQ4,N4=AT4),$Y$1,""))))</f>
        <v>2024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 t="shared" ref="T4:T24" si="12"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 t="shared" ref="AO4:AO24" si="17">IF(AA4&gt;0,AA4,"")</f>
        <v>15.4</v>
      </c>
      <c r="AP4" s="38">
        <f t="shared" ref="AP4:AP24" si="18">IF(AB4&gt;0,AB4,"")</f>
        <v>16.28</v>
      </c>
      <c r="AQ4" s="40">
        <f t="shared" ref="AQ4:AQ24" si="19">IF(SUM(Y4:AB4)-AC4&gt;0,SUM(Y4:AB4)-AC4,"")</f>
        <v>57.480000000000004</v>
      </c>
      <c r="AR4" s="40">
        <f t="shared" ref="AR4:AR24" si="20">IF(AF4&gt;0,AF4,"")</f>
        <v>15.6</v>
      </c>
      <c r="AS4" s="40">
        <f t="shared" ref="AS4:AS24" si="21">IF(AG4&gt;0,AG4,"")</f>
        <v>16.37</v>
      </c>
      <c r="AT4" s="40">
        <f t="shared" ref="AT4:AT24" si="22">IF(SUM(AD4:AG4)-AH4&gt;0,SUM(AD4:AG4)-AH4,"")</f>
        <v>58.97</v>
      </c>
      <c r="AU4" s="40">
        <f t="shared" ref="AU4:AU24" si="23">IF(AQ4="","",MAX(AQ4,AT4))</f>
        <v>58.97</v>
      </c>
      <c r="AV4" s="40">
        <f t="shared" ref="AV4:AV24" si="24">IF(AK4&gt;0,AK4,"")</f>
        <v>15</v>
      </c>
      <c r="AW4" s="40">
        <f t="shared" ref="AW4:AW24" si="25">IF(AL4&gt;0,AL4,"")</f>
        <v>16.16</v>
      </c>
      <c r="AX4" s="40">
        <f t="shared" ref="AX4:AX24" si="26">IF(SUM(AI4:AL4)-AM4&gt;0,SUM(AI4:AL4)-AM4,"")</f>
        <v>56.86</v>
      </c>
      <c r="AY4" s="40">
        <f t="shared" ref="AY4:AY24" si="27"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 t="shared" ref="BP4:BP24" si="28">IF(BB4&gt;0,BB4,"")</f>
        <v>5.0999999999999996</v>
      </c>
      <c r="BQ4" s="39">
        <f t="shared" ref="BQ4:BQ24" si="29">IF(BC4&gt;0,BC4,"")</f>
        <v>16.809999999999999</v>
      </c>
      <c r="BR4" s="11">
        <f t="shared" ref="BR4:BR24" si="30">IF(SUM(AZ4:BC4)-BD4&gt;0,SUM(AZ4:BC4)-BD4,"")</f>
        <v>26.89</v>
      </c>
      <c r="BS4" s="11">
        <f t="shared" ref="BS4:BS24" si="31">IF(BG4&gt;0,BG4,"")</f>
        <v>15</v>
      </c>
      <c r="BT4" s="11">
        <f t="shared" ref="BT4:BT24" si="32">IF(BH4&gt;0,BH4,"")</f>
        <v>15.94</v>
      </c>
      <c r="BU4" s="11">
        <f t="shared" ref="BU4:BU24" si="33">IF(SUM(BE4:BH4)-BI4&gt;0,SUM(BE4:BH4)-BI4,"")</f>
        <v>56.14</v>
      </c>
      <c r="BV4" s="11">
        <f t="shared" ref="BV4:BV24" si="34">IF(BR4="","",MAX(BR4,BU4))</f>
        <v>56.14</v>
      </c>
      <c r="BW4" s="11">
        <f t="shared" ref="BW4:BW24" si="35">IF(BL4&gt;0,BL4,"")</f>
        <v>15.6</v>
      </c>
      <c r="BX4" s="11">
        <f t="shared" ref="BX4:BX24" si="36">IF(BM4&gt;0,BM4,"")</f>
        <v>15.99</v>
      </c>
      <c r="BY4" s="11">
        <f t="shared" ref="BY4:BY24" si="37">IF(SUM(BJ4:BM4)-BN4&gt;0,SUM(BJ4:BM4)-BN4,"")</f>
        <v>58.29</v>
      </c>
      <c r="BZ4" s="11">
        <f t="shared" ref="BZ4:BZ24" si="38"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 t="shared" ref="CQ4:CQ24" si="39">IF(CC4&gt;0,CC4,"")</f>
        <v>15.6</v>
      </c>
      <c r="CR4" s="38">
        <f t="shared" ref="CR4:CR24" si="40">IF(CD4&gt;0,CD4,"")</f>
        <v>16.82</v>
      </c>
      <c r="CS4" s="40">
        <f t="shared" ref="CS4:CS24" si="41">IF(SUM(CA4:CD4)-CE4&gt;0,SUM(CA4:CD4)-CE4,"")</f>
        <v>59.32</v>
      </c>
      <c r="CT4" s="40">
        <f t="shared" ref="CT4:CT24" si="42">IF(CH4&gt;0,CH4,"")</f>
        <v>16.2</v>
      </c>
      <c r="CU4" s="40">
        <f t="shared" ref="CU4:CU24" si="43">IF(CI4&gt;0,CI4,"")</f>
        <v>16.88</v>
      </c>
      <c r="CV4" s="40">
        <f t="shared" ref="CV4:CV24" si="44">IF(SUM(CF4:CI4)-CJ4&gt;0,SUM(CF4:CI4)-CJ4,"")</f>
        <v>58.97999999999999</v>
      </c>
      <c r="CW4" s="40">
        <f t="shared" ref="CW4:CW24" si="45">IF(CS4="","",MAX(CS4,CV4))</f>
        <v>59.32</v>
      </c>
      <c r="CX4" s="40">
        <f t="shared" ref="CX4:CX24" si="46">IF(CM4&gt;0,CM4,"")</f>
        <v>16.2</v>
      </c>
      <c r="CY4" s="40">
        <f t="shared" ref="CY4:CY24" si="47">IF(CN4&gt;0,CN4,"")</f>
        <v>16.77</v>
      </c>
      <c r="CZ4" s="40">
        <f t="shared" ref="CZ4:CZ24" si="48">IF(SUM(CK4:CN4)-CO4&gt;0,SUM(CK4:CN4)-CO4,"")</f>
        <v>59.47</v>
      </c>
      <c r="DA4" s="40">
        <f t="shared" ref="DA4:DA24" si="49">IF(SUM(CW4,CZ4)&gt;0,SUM(CW4,CZ4),"")</f>
        <v>118.78999999999999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4" si="52">IF(DF4&gt;0,DF4,"")</f>
        <v/>
      </c>
      <c r="DY4" s="40" t="str">
        <f t="shared" ref="DY4:DY24" si="53">IF(DG4&gt;0,DG4,"")</f>
        <v/>
      </c>
      <c r="DZ4" s="40" t="str">
        <f t="shared" ref="DZ4:DZ24" si="54">IF(SUM(DD4:DG4)-DH4&gt;0,SUM(DD4:DG4)-DH4,"")</f>
        <v/>
      </c>
      <c r="EA4" s="40" t="str">
        <f t="shared" ref="EA4:EA24" si="55">IF(DK4&gt;0,DK4,"")</f>
        <v/>
      </c>
      <c r="EB4" s="40" t="str">
        <f t="shared" ref="EB4:EB24" si="56">IF(DL4&gt;0,DL4,"")</f>
        <v/>
      </c>
      <c r="EC4" s="40" t="str">
        <f t="shared" ref="EC4:EC24" si="57">IF(SUM(DI4:DL4)-DM4&gt;0,SUM(DI4:DL4)-DM4,"")</f>
        <v/>
      </c>
      <c r="ED4" s="40" t="str">
        <f t="shared" ref="ED4:ED24" si="58">IF(MAX(DZ4,EC4)&gt;0,MAX(DZ4,EC4),"")</f>
        <v/>
      </c>
      <c r="EE4" s="40" t="str">
        <f t="shared" ref="EE4:EE24" si="59">IF(DP4&gt;0,DP4,"")</f>
        <v/>
      </c>
      <c r="EF4" s="40" t="str">
        <f t="shared" ref="EF4:EF24" si="60">IF(DQ4&gt;0,DQ4,"")</f>
        <v/>
      </c>
      <c r="EG4" s="40" t="str">
        <f t="shared" ref="EG4:EG24" si="61">IF(SUM(DN4:DQ4)-DR4&gt;0,SUM(DN4:DQ4)-DR4,"")</f>
        <v/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 t="str">
        <f t="shared" ref="EK4:EK24" si="65"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24" si="66">IF(EN4&gt;0,EN4,"")</f>
        <v>16.2</v>
      </c>
      <c r="FG4" s="11">
        <f t="shared" ref="FG4:FG24" si="67">IF(EO4&gt;0,EO4,"")</f>
        <v>16.12</v>
      </c>
      <c r="FH4" s="11">
        <f t="shared" ref="FH4:FH24" si="68">IF(SUM(EL4:EO4)-EP4&gt;0,SUM(EL4:EO4)-EP4,"")</f>
        <v>56.320000000000007</v>
      </c>
      <c r="FI4" s="11">
        <f t="shared" ref="FI4:FI24" si="69">IF(ES4&gt;0,ES4,"")</f>
        <v>9.1</v>
      </c>
      <c r="FJ4" s="11">
        <f t="shared" ref="FJ4:FJ24" si="70">IF(ET4&gt;0,ET4,"")</f>
        <v>8.34</v>
      </c>
      <c r="FK4" s="11">
        <f t="shared" ref="FK4:FK24" si="71">IF(SUM(EQ4:ET4)-EU4&gt;0,SUM(EQ4:ET4)-EU4,"")</f>
        <v>28.94</v>
      </c>
      <c r="FL4" s="11">
        <f t="shared" ref="FL4:FL24" si="72">IF(MAX(FH4,FK4)&gt;0,MAX(FH4,FK4),"")</f>
        <v>56.320000000000007</v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>
        <f t="shared" ref="FS4:FS24" si="79"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 t="shared" ref="GN4:GN24" si="80">IF(FV4&gt;0,FV4,"")</f>
        <v>15</v>
      </c>
      <c r="GO4" s="40">
        <f t="shared" ref="GO4:GO24" si="81">IF(FW4&gt;0,FW4,"")</f>
        <v>16.14</v>
      </c>
      <c r="GP4" s="40">
        <f t="shared" ref="GP4:GP24" si="82">IF(SUM(FT4:FW4)-FX4&gt;0,SUM(FT4:FW4)-FX4,"")</f>
        <v>57.040000000000006</v>
      </c>
      <c r="GQ4" s="40">
        <f t="shared" ref="GQ4:GQ24" si="83">IF(GA4&gt;0,GA4,"")</f>
        <v>15.6</v>
      </c>
      <c r="GR4" s="40">
        <f t="shared" ref="GR4:GR24" si="84">IF(GB4&gt;0,GB4,"")</f>
        <v>16.2</v>
      </c>
      <c r="GS4" s="40">
        <f t="shared" ref="GS4:GS24" si="85">IF(SUM(FY4:GB4)-GC4&gt;0,SUM(FY4:GB4)-GC4,"")</f>
        <v>57.5</v>
      </c>
      <c r="GT4" s="40">
        <f t="shared" ref="GT4:GT24" si="86">IF(MAX(GP4,GS4)&gt;0,MAX(GP4,GS4),"")</f>
        <v>57.5</v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>
        <f t="shared" ref="GX4:GX24" si="90">IF(GK4&gt;0,GK4,"")</f>
        <v>2</v>
      </c>
      <c r="GY4" s="40">
        <f t="shared" ref="GY4:GY24" si="91">IF(GL4&gt;0,GL4,"")</f>
        <v>1.79</v>
      </c>
      <c r="GZ4" s="40">
        <f t="shared" ref="GZ4:GZ24" si="92">IF(SUM(GI4:GL4)-GM4&gt;0,SUM(GI4:GL4)-GM4,"")</f>
        <v>6.29</v>
      </c>
      <c r="HA4" s="40">
        <f t="shared" ref="HA4:HA24" si="93"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 t="shared" ref="KL4:KL24" si="122">IF(JT4&gt;0,JT4,"")</f>
        <v>6.7</v>
      </c>
      <c r="KM4" s="11">
        <f t="shared" ref="KM4:KM24" si="123">IF(JU4&gt;0,JU4,"")</f>
        <v>6.96</v>
      </c>
      <c r="KN4" s="11">
        <f t="shared" ref="KN4:KN24" si="124">IF(SUM(JR4:JU4)-JV4&gt;0,SUM(JR4:JU4)-JV4,"")</f>
        <v>23.36</v>
      </c>
      <c r="KO4" s="11">
        <f t="shared" ref="KO4:KO24" si="125">IF(JY4&gt;0,JY4,"")</f>
        <v>15.6</v>
      </c>
      <c r="KP4" s="11">
        <f t="shared" ref="KP4:KP24" si="126">IF(JZ4&gt;0,JZ4,"")</f>
        <v>16.489999999999998</v>
      </c>
      <c r="KQ4" s="11">
        <f t="shared" ref="KQ4:KQ24" si="127">IF(SUM(JW4:JZ4)-KA4&gt;0,SUM(JW4:JZ4)-KA4,"")</f>
        <v>56.89</v>
      </c>
      <c r="KR4" s="11">
        <f t="shared" ref="KR4:KR24" si="128">IF(MAX(KN4,KQ4)&gt;0,MAX(KN4,KQ4),"")</f>
        <v>56.89</v>
      </c>
      <c r="KS4" s="11">
        <f t="shared" ref="KS4:KS24" si="129">IF(KD4&gt;0,KD4,"")</f>
        <v>5.6</v>
      </c>
      <c r="KT4" s="11">
        <f t="shared" ref="KT4:KT24" si="130">IF(KE4&gt;0,KE4,"")</f>
        <v>5.34</v>
      </c>
      <c r="KU4" s="11">
        <f t="shared" ref="KU4:KU24" si="131">IF(SUM(KB4:KE4)-KF4&gt;0,SUM(KB4:KE4)-KF4,"")</f>
        <v>17.739999999999998</v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>
        <f t="shared" ref="KY4:KY24" si="135"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10.190000000000001</v>
      </c>
      <c r="WU4" s="26">
        <f t="shared" ref="WU4:WU24" si="263">IF($CP4="P",CB4,(CB4+BA4)/2)</f>
        <v>5.75</v>
      </c>
      <c r="WV4" s="26">
        <f t="shared" ref="WV4:WV24" si="264">IF($CP4="P",CC4,(CC4+BB4)/2)</f>
        <v>10.35</v>
      </c>
      <c r="WW4" s="26">
        <f t="shared" ref="WW4:WW24" si="265">IF($CP4="P",CD4,(CD4+BC4)/2)</f>
        <v>16.814999999999998</v>
      </c>
      <c r="WX4" s="26">
        <f t="shared" ref="WX4:WX24" si="266">IF($CP4="P",CE4,(CE4+BD4)/2)</f>
        <v>0</v>
      </c>
      <c r="WY4" s="26">
        <f t="shared" ref="WY4:WY24" si="267">IF($CP4="P",CF4,(CF4+BE4)/2)</f>
        <v>16.7</v>
      </c>
      <c r="WZ4" s="26">
        <f t="shared" ref="WZ4:WZ24" si="268">IF($CP4="P",CG4,(CG4+BF4)/2)</f>
        <v>8.85</v>
      </c>
      <c r="XA4" s="26">
        <f t="shared" ref="XA4:XA24" si="269">IF($CP4="P",CH4,(CH4+BG4)/2)</f>
        <v>15.6</v>
      </c>
      <c r="XB4" s="26">
        <f t="shared" ref="XB4:XB24" si="270">IF($CP4="P",CI4,(CI4+BH4)/2)</f>
        <v>16.41</v>
      </c>
      <c r="XC4" s="26">
        <f t="shared" ref="XC4:XC24" si="271">IF($CP4="P",CJ4,(CJ4+BI4)/2)</f>
        <v>0</v>
      </c>
      <c r="XD4" s="26">
        <f t="shared" ref="XD4:XD24" si="272">IF($CP4="P",CK4,(CK4+BJ4)/2)</f>
        <v>17.049999999999997</v>
      </c>
      <c r="XE4" s="26">
        <f t="shared" ref="XE4:XE24" si="273">IF($CP4="P",CL4,(CL4+BK4)/2)</f>
        <v>9.5500000000000007</v>
      </c>
      <c r="XF4" s="26">
        <f t="shared" ref="XF4:XF24" si="274">IF($CP4="P",CM4,(CM4+BL4)/2)</f>
        <v>15.899999999999999</v>
      </c>
      <c r="XG4" s="26">
        <f t="shared" ref="XG4:XG24" si="275">IF($CP4="P",CN4,(CN4+BM4)/2)</f>
        <v>16.38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10.35</v>
      </c>
      <c r="XK4" s="11">
        <f t="shared" ref="XK4:XK24" si="278">IF(WW4&gt;0,WW4,"")</f>
        <v>16.814999999999998</v>
      </c>
      <c r="XL4" s="11">
        <f t="shared" ref="XL4:XL24" si="279">IF(SUM(WT4:WW4)-WX4&gt;0,SUM(WT4:WW4)-WX4,"")</f>
        <v>43.104999999999997</v>
      </c>
      <c r="XM4" s="11">
        <f t="shared" ref="XM4:XM24" si="280">IF(XA4&gt;0,XA4,"")</f>
        <v>15.6</v>
      </c>
      <c r="XN4" s="11">
        <f t="shared" ref="XN4:XN24" si="281">IF(XB4&gt;0,XB4,"")</f>
        <v>16.41</v>
      </c>
      <c r="XO4" s="11">
        <f t="shared" ref="XO4:XO24" si="282">IF(SUM(WY4:XB4)-XC4&gt;0,SUM(WY4:XB4)-XC4,"")</f>
        <v>57.56</v>
      </c>
      <c r="XP4" s="11">
        <f t="shared" ref="XP4:XP24" si="283">IF(MAX(XL4,XO4)&gt;0,MAX(XL4,XO4),"")</f>
        <v>57.56</v>
      </c>
      <c r="XQ4" s="11">
        <f t="shared" ref="XQ4:XQ24" si="284">IF(XF4&gt;0,XF4,"")</f>
        <v>15.899999999999999</v>
      </c>
      <c r="XR4" s="11">
        <f t="shared" ref="XR4:XR24" si="285">IF(XG4&gt;0,XG4,"")</f>
        <v>16.38</v>
      </c>
      <c r="XS4" s="11">
        <f t="shared" ref="XS4:XS24" si="286">IF(SUM(XD4:XG4)-XH4&gt;0,SUM(XD4:XG4)-XH4,"")</f>
        <v>58.879999999999995</v>
      </c>
      <c r="XT4" s="11">
        <f t="shared" ref="XT4:XT24" si="287">IF(SUM(XP4,XS4)&gt;0,SUM(XP4,XS4),"")</f>
        <v>116.44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69</v>
      </c>
      <c r="C5" s="4" t="s">
        <v>7</v>
      </c>
      <c r="D5" s="4">
        <v>2001</v>
      </c>
      <c r="E5" s="9">
        <f t="shared" si="0"/>
        <v>267.5200253510057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57.61</v>
      </c>
      <c r="K5" s="8" t="str">
        <f t="shared" si="5"/>
        <v>2024 Nationals</v>
      </c>
      <c r="L5" s="8">
        <f>IF(COUNT(AQ5,AT5,BR5,BU5,CS5,CV5)&gt;1,LARGE((AQ5,AT5,BR5,BU5,CS5,CV5),2),0)</f>
        <v>57.355000000000004</v>
      </c>
      <c r="M5" s="8" t="str">
        <f t="shared" si="6"/>
        <v>2024 Elite Canada</v>
      </c>
      <c r="N5" s="8">
        <f>IF(COUNT(AQ5,AT5,BR5,BU5,CS5,CV5)&gt;2,LARGE((AQ5,AT5,BR5,BU5,CS5,CV5),3),0)</f>
        <v>45.17</v>
      </c>
      <c r="O5" s="8" t="str">
        <f t="shared" si="7"/>
        <v>2024 3rd Domestic Trial</v>
      </c>
      <c r="P5" s="8">
        <f t="shared" si="8"/>
        <v>58.695</v>
      </c>
      <c r="Q5" s="8" t="str">
        <f t="shared" si="9"/>
        <v>2024 Elite Canada</v>
      </c>
      <c r="R5" s="8">
        <f t="shared" si="10"/>
        <v>17.3</v>
      </c>
      <c r="S5" s="8" t="str">
        <f t="shared" si="11"/>
        <v>2024 Elite Canada</v>
      </c>
      <c r="T5" s="8">
        <f t="shared" si="12"/>
        <v>17.38</v>
      </c>
      <c r="U5" s="8" t="str">
        <f t="shared" si="13"/>
        <v>2024 World Cup AZE (Feb 24)</v>
      </c>
      <c r="V5" s="8">
        <f t="shared" si="14"/>
        <v>14.010000000000005</v>
      </c>
      <c r="W5" s="11" t="str">
        <f t="shared" si="15"/>
        <v>(Prelim)</v>
      </c>
      <c r="X5" s="8" t="str">
        <f t="shared" si="16"/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 t="shared" si="17"/>
        <v>9.65</v>
      </c>
      <c r="AP5" s="38">
        <f t="shared" si="18"/>
        <v>9.5300000000000011</v>
      </c>
      <c r="AQ5" s="40">
        <f t="shared" si="19"/>
        <v>32.730000000000004</v>
      </c>
      <c r="AR5" s="40">
        <f t="shared" si="20"/>
        <v>16.5</v>
      </c>
      <c r="AS5" s="40">
        <f t="shared" si="21"/>
        <v>16.655000000000001</v>
      </c>
      <c r="AT5" s="40">
        <f t="shared" si="22"/>
        <v>57.355000000000004</v>
      </c>
      <c r="AU5" s="40">
        <f t="shared" si="23"/>
        <v>57.355000000000004</v>
      </c>
      <c r="AV5" s="40">
        <f t="shared" si="24"/>
        <v>17.3</v>
      </c>
      <c r="AW5" s="40">
        <f t="shared" si="25"/>
        <v>16.844999999999999</v>
      </c>
      <c r="AX5" s="40">
        <f t="shared" si="26"/>
        <v>58.695</v>
      </c>
      <c r="AY5" s="40">
        <f t="shared" si="27"/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 t="shared" si="28"/>
        <v>15</v>
      </c>
      <c r="BQ5" s="39">
        <f t="shared" si="29"/>
        <v>16.809999999999999</v>
      </c>
      <c r="BR5" s="11">
        <f t="shared" si="30"/>
        <v>57.61</v>
      </c>
      <c r="BS5" s="11">
        <f t="shared" si="31"/>
        <v>3.8</v>
      </c>
      <c r="BT5" s="11">
        <f t="shared" si="32"/>
        <v>3.58</v>
      </c>
      <c r="BU5" s="11">
        <f t="shared" si="33"/>
        <v>12.78</v>
      </c>
      <c r="BV5" s="11">
        <f t="shared" si="34"/>
        <v>57.61</v>
      </c>
      <c r="BW5" s="11">
        <f t="shared" si="35"/>
        <v>14.6</v>
      </c>
      <c r="BX5" s="11">
        <f t="shared" si="36"/>
        <v>16.5</v>
      </c>
      <c r="BY5" s="11">
        <f t="shared" si="37"/>
        <v>56.699999999999996</v>
      </c>
      <c r="BZ5" s="11">
        <f t="shared" si="38"/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 t="shared" si="39"/>
        <v>12.324999999999999</v>
      </c>
      <c r="CR5" s="38">
        <f t="shared" si="40"/>
        <v>13.17</v>
      </c>
      <c r="CS5" s="40">
        <f t="shared" si="41"/>
        <v>45.17</v>
      </c>
      <c r="CT5" s="40">
        <f t="shared" si="42"/>
        <v>10.15</v>
      </c>
      <c r="CU5" s="40">
        <f t="shared" si="43"/>
        <v>10.1175</v>
      </c>
      <c r="CV5" s="40">
        <f t="shared" si="44"/>
        <v>35.067500000000003</v>
      </c>
      <c r="CW5" s="40">
        <f t="shared" si="45"/>
        <v>45.17</v>
      </c>
      <c r="CX5" s="40">
        <f t="shared" si="46"/>
        <v>15.95</v>
      </c>
      <c r="CY5" s="40">
        <f t="shared" si="47"/>
        <v>16.672499999999999</v>
      </c>
      <c r="CZ5" s="40">
        <f t="shared" si="48"/>
        <v>57.697499999999998</v>
      </c>
      <c r="DA5" s="40">
        <f t="shared" si="49"/>
        <v>102.86750000000001</v>
      </c>
      <c r="DB5" s="51">
        <f t="shared" si="50"/>
        <v>14.010000000000005</v>
      </c>
      <c r="DC5" s="51" t="str">
        <f t="shared" si="51"/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 t="shared" si="52"/>
        <v>16.2</v>
      </c>
      <c r="DY5" s="40">
        <f t="shared" si="53"/>
        <v>17.38</v>
      </c>
      <c r="DZ5" s="40">
        <f t="shared" si="54"/>
        <v>57.879999999999995</v>
      </c>
      <c r="EA5" s="40">
        <f t="shared" si="55"/>
        <v>2</v>
      </c>
      <c r="EB5" s="40">
        <f t="shared" si="56"/>
        <v>1.87</v>
      </c>
      <c r="EC5" s="40">
        <f t="shared" si="57"/>
        <v>6.2700000000000005</v>
      </c>
      <c r="ED5" s="40">
        <f t="shared" si="58"/>
        <v>57.879999999999995</v>
      </c>
      <c r="EE5" s="40">
        <f t="shared" si="59"/>
        <v>2</v>
      </c>
      <c r="EF5" s="40">
        <f t="shared" si="60"/>
        <v>1.83</v>
      </c>
      <c r="EG5" s="40">
        <f t="shared" si="61"/>
        <v>6.23</v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16.2</v>
      </c>
      <c r="FG5" s="11">
        <f t="shared" si="67"/>
        <v>16.88</v>
      </c>
      <c r="FH5" s="11">
        <f t="shared" si="68"/>
        <v>56.78</v>
      </c>
      <c r="FI5" s="11">
        <f t="shared" si="69"/>
        <v>2</v>
      </c>
      <c r="FJ5" s="11">
        <f t="shared" si="70"/>
        <v>1.85</v>
      </c>
      <c r="FK5" s="11">
        <f t="shared" si="71"/>
        <v>6.15</v>
      </c>
      <c r="FL5" s="11">
        <f t="shared" si="72"/>
        <v>56.78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 t="shared" si="122"/>
        <v>7.4</v>
      </c>
      <c r="KM5" s="11">
        <f t="shared" si="123"/>
        <v>7.06</v>
      </c>
      <c r="KN5" s="11">
        <f t="shared" si="124"/>
        <v>23.76</v>
      </c>
      <c r="KO5" s="11">
        <f t="shared" si="125"/>
        <v>16.100000000000001</v>
      </c>
      <c r="KP5" s="11">
        <f t="shared" si="126"/>
        <v>17.04</v>
      </c>
      <c r="KQ5" s="11">
        <f t="shared" si="127"/>
        <v>56.739999999999995</v>
      </c>
      <c r="KR5" s="11">
        <f t="shared" si="128"/>
        <v>56.739999999999995</v>
      </c>
      <c r="KS5" s="11">
        <f t="shared" si="129"/>
        <v>2.2000000000000002</v>
      </c>
      <c r="KT5" s="11">
        <f t="shared" si="130"/>
        <v>1.83</v>
      </c>
      <c r="KU5" s="11">
        <f t="shared" si="131"/>
        <v>6.6300000000000008</v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 t="shared" si="150"/>
        <v>16.7</v>
      </c>
      <c r="NC5" s="11">
        <f t="shared" si="151"/>
        <v>17.260000000000002</v>
      </c>
      <c r="ND5" s="11">
        <f t="shared" si="152"/>
        <v>58.66</v>
      </c>
      <c r="NE5" s="11">
        <f t="shared" si="153"/>
        <v>17.100000000000001</v>
      </c>
      <c r="NF5" s="11">
        <f t="shared" si="154"/>
        <v>17.28</v>
      </c>
      <c r="NG5" s="11">
        <f t="shared" si="155"/>
        <v>59.180000000000007</v>
      </c>
      <c r="NH5" s="11">
        <f t="shared" si="156"/>
        <v>59.180000000000007</v>
      </c>
      <c r="NI5" s="11">
        <f t="shared" si="157"/>
        <v>14.7</v>
      </c>
      <c r="NJ5" s="11">
        <f t="shared" si="158"/>
        <v>16.829999999999998</v>
      </c>
      <c r="NK5" s="11">
        <f t="shared" si="159"/>
        <v>55.03</v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12.475</v>
      </c>
      <c r="WU5" s="26">
        <f t="shared" si="263"/>
        <v>7.2</v>
      </c>
      <c r="WV5" s="26">
        <f t="shared" si="264"/>
        <v>12.324999999999999</v>
      </c>
      <c r="WW5" s="26">
        <f t="shared" si="265"/>
        <v>13.17</v>
      </c>
      <c r="WX5" s="26">
        <f t="shared" si="266"/>
        <v>0</v>
      </c>
      <c r="WY5" s="26">
        <f t="shared" si="267"/>
        <v>9.2249999999999996</v>
      </c>
      <c r="WZ5" s="26">
        <f t="shared" si="268"/>
        <v>5.5750000000000002</v>
      </c>
      <c r="XA5" s="26">
        <f t="shared" si="269"/>
        <v>10.15</v>
      </c>
      <c r="XB5" s="26">
        <f t="shared" si="270"/>
        <v>10.1175</v>
      </c>
      <c r="XC5" s="26">
        <f t="shared" si="271"/>
        <v>0</v>
      </c>
      <c r="XD5" s="26">
        <f t="shared" si="272"/>
        <v>15.85</v>
      </c>
      <c r="XE5" s="26">
        <f t="shared" si="273"/>
        <v>9.2249999999999996</v>
      </c>
      <c r="XF5" s="26">
        <f t="shared" si="274"/>
        <v>15.95</v>
      </c>
      <c r="XG5" s="26">
        <f t="shared" si="275"/>
        <v>16.672499999999999</v>
      </c>
      <c r="XH5" s="26">
        <f t="shared" si="276"/>
        <v>0</v>
      </c>
      <c r="XI5" s="28" t="s">
        <v>53</v>
      </c>
      <c r="XJ5" s="11">
        <f t="shared" si="277"/>
        <v>12.324999999999999</v>
      </c>
      <c r="XK5" s="11">
        <f t="shared" si="278"/>
        <v>13.17</v>
      </c>
      <c r="XL5" s="11">
        <f t="shared" si="279"/>
        <v>45.17</v>
      </c>
      <c r="XM5" s="11">
        <f t="shared" si="280"/>
        <v>10.15</v>
      </c>
      <c r="XN5" s="11">
        <f t="shared" si="281"/>
        <v>10.1175</v>
      </c>
      <c r="XO5" s="11">
        <f t="shared" si="282"/>
        <v>35.067500000000003</v>
      </c>
      <c r="XP5" s="11">
        <f t="shared" si="283"/>
        <v>45.17</v>
      </c>
      <c r="XQ5" s="11">
        <f t="shared" si="284"/>
        <v>15.95</v>
      </c>
      <c r="XR5" s="11">
        <f t="shared" si="285"/>
        <v>16.672499999999999</v>
      </c>
      <c r="XS5" s="11">
        <f t="shared" si="286"/>
        <v>57.697499999999998</v>
      </c>
      <c r="XT5" s="11">
        <f t="shared" si="287"/>
        <v>102.86750000000001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84</v>
      </c>
      <c r="C6" s="4" t="s">
        <v>6</v>
      </c>
      <c r="D6" s="4">
        <v>2003</v>
      </c>
      <c r="E6" s="9">
        <f t="shared" si="0"/>
        <v>265.10002651000593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59.84</v>
      </c>
      <c r="K6" s="8" t="str">
        <f t="shared" si="5"/>
        <v>2024 3rd Domestic Trial</v>
      </c>
      <c r="L6" s="8">
        <f>IF(COUNT(AQ6,AT6,BR6,BU6,CS6,CV6)&gt;1,LARGE((AQ6,AT6,BR6,BU6,CS6,CV6),2),0)</f>
        <v>57.55</v>
      </c>
      <c r="M6" s="8" t="str">
        <f t="shared" si="6"/>
        <v>2024 3rd Domestic Trial</v>
      </c>
      <c r="N6" s="8">
        <f>IF(COUNT(AQ6,AT6,BR6,BU6,CS6,CV6)&gt;2,LARGE((AQ6,AT6,BR6,BU6,CS6,CV6),3),0)</f>
        <v>56.56</v>
      </c>
      <c r="O6" s="8" t="str">
        <f t="shared" si="7"/>
        <v>2024 Nationals</v>
      </c>
      <c r="P6" s="8">
        <f t="shared" si="8"/>
        <v>57.81</v>
      </c>
      <c r="Q6" s="8" t="str">
        <f t="shared" si="9"/>
        <v>2024 3rd Domestic Trial</v>
      </c>
      <c r="R6" s="8">
        <f t="shared" si="10"/>
        <v>16.2</v>
      </c>
      <c r="S6" s="8" t="str">
        <f t="shared" si="11"/>
        <v>2024 3rd Domestic Trial</v>
      </c>
      <c r="T6" s="8">
        <f t="shared" si="12"/>
        <v>17.14</v>
      </c>
      <c r="U6" s="8" t="str">
        <f t="shared" si="13"/>
        <v>2024 3rd Domestic Trial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 t="shared" si="17"/>
        <v>15.8</v>
      </c>
      <c r="AP6" s="38">
        <f t="shared" si="18"/>
        <v>16.48</v>
      </c>
      <c r="AQ6" s="40">
        <f t="shared" si="19"/>
        <v>55.88000000000001</v>
      </c>
      <c r="AR6" s="40">
        <f t="shared" si="20"/>
        <v>7.1</v>
      </c>
      <c r="AS6" s="40">
        <f t="shared" si="21"/>
        <v>6.97</v>
      </c>
      <c r="AT6" s="40">
        <f t="shared" si="22"/>
        <v>20.74</v>
      </c>
      <c r="AU6" s="40">
        <f t="shared" si="23"/>
        <v>55.88000000000001</v>
      </c>
      <c r="AV6" s="40">
        <f t="shared" si="24"/>
        <v>12.4</v>
      </c>
      <c r="AW6" s="40">
        <f t="shared" si="25"/>
        <v>13.35</v>
      </c>
      <c r="AX6" s="40">
        <f t="shared" si="26"/>
        <v>44.550000000000004</v>
      </c>
      <c r="AY6" s="40">
        <f t="shared" si="27"/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 t="shared" si="28"/>
        <v>15.2</v>
      </c>
      <c r="BQ6" s="39">
        <f t="shared" si="29"/>
        <v>16.260000000000002</v>
      </c>
      <c r="BR6" s="11">
        <f t="shared" si="30"/>
        <v>56.56</v>
      </c>
      <c r="BS6" s="11">
        <f t="shared" si="31"/>
        <v>14.5</v>
      </c>
      <c r="BT6" s="11">
        <f t="shared" si="32"/>
        <v>16.11</v>
      </c>
      <c r="BU6" s="11">
        <f t="shared" si="33"/>
        <v>55.01</v>
      </c>
      <c r="BV6" s="11">
        <f t="shared" si="34"/>
        <v>56.56</v>
      </c>
      <c r="BW6" s="11">
        <f t="shared" si="35"/>
        <v>15</v>
      </c>
      <c r="BX6" s="11">
        <f t="shared" si="36"/>
        <v>15.98</v>
      </c>
      <c r="BY6" s="11">
        <f t="shared" si="37"/>
        <v>55.379999999999995</v>
      </c>
      <c r="BZ6" s="11">
        <f t="shared" si="38"/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 t="shared" si="39"/>
        <v>15.2</v>
      </c>
      <c r="CR6" s="38">
        <f t="shared" si="40"/>
        <v>17.05</v>
      </c>
      <c r="CS6" s="40">
        <f t="shared" si="41"/>
        <v>57.55</v>
      </c>
      <c r="CT6" s="40">
        <f t="shared" si="42"/>
        <v>15.8</v>
      </c>
      <c r="CU6" s="40">
        <f t="shared" si="43"/>
        <v>17.14</v>
      </c>
      <c r="CV6" s="40">
        <f t="shared" si="44"/>
        <v>59.84</v>
      </c>
      <c r="CW6" s="40">
        <f t="shared" si="45"/>
        <v>59.84</v>
      </c>
      <c r="CX6" s="40">
        <f t="shared" si="46"/>
        <v>16.2</v>
      </c>
      <c r="CY6" s="40">
        <f t="shared" si="47"/>
        <v>17.010000000000002</v>
      </c>
      <c r="CZ6" s="40">
        <f t="shared" si="48"/>
        <v>57.81</v>
      </c>
      <c r="DA6" s="40">
        <f t="shared" si="49"/>
        <v>117.65</v>
      </c>
      <c r="DB6" s="51" t="str">
        <f t="shared" si="50"/>
        <v/>
      </c>
      <c r="DC6" s="51" t="str">
        <f t="shared" si="51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16.2</v>
      </c>
      <c r="FG6" s="11">
        <f t="shared" si="67"/>
        <v>16.54</v>
      </c>
      <c r="FH6" s="11">
        <f t="shared" si="68"/>
        <v>55.940000000000005</v>
      </c>
      <c r="FI6" s="11">
        <f t="shared" si="69"/>
        <v>3.8</v>
      </c>
      <c r="FJ6" s="11">
        <f t="shared" si="70"/>
        <v>3.65</v>
      </c>
      <c r="FK6" s="11">
        <f t="shared" si="71"/>
        <v>12.049999999999999</v>
      </c>
      <c r="FL6" s="11">
        <f t="shared" si="72"/>
        <v>55.940000000000005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15.8</v>
      </c>
      <c r="KM6" s="11">
        <f t="shared" si="123"/>
        <v>16.920000000000002</v>
      </c>
      <c r="KN6" s="11">
        <f t="shared" si="124"/>
        <v>56.22</v>
      </c>
      <c r="KO6" s="11">
        <f t="shared" si="125"/>
        <v>2</v>
      </c>
      <c r="KP6" s="11">
        <f t="shared" si="126"/>
        <v>1.83</v>
      </c>
      <c r="KQ6" s="11">
        <f t="shared" si="127"/>
        <v>6.23</v>
      </c>
      <c r="KR6" s="11">
        <f t="shared" si="128"/>
        <v>56.22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16.549999999999997</v>
      </c>
      <c r="WU6" s="26">
        <f t="shared" si="263"/>
        <v>8.65</v>
      </c>
      <c r="WV6" s="26">
        <f t="shared" si="264"/>
        <v>15.2</v>
      </c>
      <c r="WW6" s="26">
        <f t="shared" si="265"/>
        <v>16.655000000000001</v>
      </c>
      <c r="WX6" s="26">
        <f t="shared" si="266"/>
        <v>0</v>
      </c>
      <c r="WY6" s="26">
        <f t="shared" si="267"/>
        <v>16.649999999999999</v>
      </c>
      <c r="WZ6" s="26">
        <f t="shared" si="268"/>
        <v>9</v>
      </c>
      <c r="XA6" s="26">
        <f t="shared" si="269"/>
        <v>15.15</v>
      </c>
      <c r="XB6" s="26">
        <f t="shared" si="270"/>
        <v>16.625</v>
      </c>
      <c r="XC6" s="26">
        <f t="shared" si="271"/>
        <v>0</v>
      </c>
      <c r="XD6" s="26">
        <f t="shared" si="272"/>
        <v>15.55</v>
      </c>
      <c r="XE6" s="26">
        <f t="shared" si="273"/>
        <v>8.9499999999999993</v>
      </c>
      <c r="XF6" s="26">
        <f t="shared" si="274"/>
        <v>15.6</v>
      </c>
      <c r="XG6" s="26">
        <f t="shared" si="275"/>
        <v>16.495000000000001</v>
      </c>
      <c r="XH6" s="26">
        <f t="shared" si="276"/>
        <v>0</v>
      </c>
      <c r="XI6" s="28" t="s">
        <v>53</v>
      </c>
      <c r="XJ6" s="11">
        <f t="shared" si="277"/>
        <v>15.2</v>
      </c>
      <c r="XK6" s="11">
        <f t="shared" si="278"/>
        <v>16.655000000000001</v>
      </c>
      <c r="XL6" s="11">
        <f t="shared" si="279"/>
        <v>57.054999999999993</v>
      </c>
      <c r="XM6" s="11">
        <f t="shared" si="280"/>
        <v>15.15</v>
      </c>
      <c r="XN6" s="11">
        <f t="shared" si="281"/>
        <v>16.625</v>
      </c>
      <c r="XO6" s="11">
        <f t="shared" si="282"/>
        <v>57.424999999999997</v>
      </c>
      <c r="XP6" s="11">
        <f t="shared" si="283"/>
        <v>57.424999999999997</v>
      </c>
      <c r="XQ6" s="11">
        <f t="shared" si="284"/>
        <v>15.6</v>
      </c>
      <c r="XR6" s="11">
        <f t="shared" si="285"/>
        <v>16.495000000000001</v>
      </c>
      <c r="XS6" s="11">
        <f t="shared" si="286"/>
        <v>56.594999999999999</v>
      </c>
      <c r="XT6" s="11">
        <f t="shared" si="287"/>
        <v>114.02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167</v>
      </c>
      <c r="C7" s="4" t="s">
        <v>7</v>
      </c>
      <c r="D7" s="4">
        <v>2006</v>
      </c>
      <c r="E7" s="9">
        <f t="shared" si="0"/>
        <v>257.99002579900565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56.34</v>
      </c>
      <c r="K7" s="8" t="str">
        <f t="shared" si="5"/>
        <v>2024 Nationals</v>
      </c>
      <c r="L7" s="8">
        <f>IF(COUNT(AQ7,AT7,BR7,BU7,CS7,CV7)&gt;1,LARGE((AQ7,AT7,BR7,BU7,CS7,CV7),2),0)</f>
        <v>56.190000000000005</v>
      </c>
      <c r="M7" s="8" t="str">
        <f t="shared" si="6"/>
        <v>2024 3rd Domestic Trial</v>
      </c>
      <c r="N7" s="8">
        <f>IF(COUNT(AQ7,AT7,BR7,BU7,CS7,CV7)&gt;2,LARGE((AQ7,AT7,BR7,BU7,CS7,CV7),3),0)</f>
        <v>55.72</v>
      </c>
      <c r="O7" s="8" t="str">
        <f t="shared" si="7"/>
        <v>2024 Elite Canada</v>
      </c>
      <c r="P7" s="8">
        <f t="shared" si="8"/>
        <v>57.120000000000005</v>
      </c>
      <c r="Q7" s="8" t="str">
        <f t="shared" si="9"/>
        <v>2024 3rd Domestic Trial</v>
      </c>
      <c r="R7" s="8">
        <f t="shared" si="10"/>
        <v>16.2</v>
      </c>
      <c r="S7" s="8" t="str">
        <f t="shared" si="11"/>
        <v>2024 3rd Domestic Trial</v>
      </c>
      <c r="T7" s="8">
        <f t="shared" si="12"/>
        <v>16.420000000000002</v>
      </c>
      <c r="U7" s="8" t="str">
        <f t="shared" si="13"/>
        <v>2024 3rd Domestic Trial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 t="shared" si="17"/>
        <v>15.4</v>
      </c>
      <c r="AP7" s="38">
        <f t="shared" si="18"/>
        <v>14.39</v>
      </c>
      <c r="AQ7" s="40">
        <f t="shared" si="19"/>
        <v>54.99</v>
      </c>
      <c r="AR7" s="40">
        <f t="shared" si="20"/>
        <v>15.4</v>
      </c>
      <c r="AS7" s="40">
        <f t="shared" si="21"/>
        <v>15.02</v>
      </c>
      <c r="AT7" s="40">
        <f t="shared" si="22"/>
        <v>55.72</v>
      </c>
      <c r="AU7" s="40">
        <f t="shared" si="23"/>
        <v>55.72</v>
      </c>
      <c r="AV7" s="40">
        <f t="shared" si="24"/>
        <v>13.5</v>
      </c>
      <c r="AW7" s="40">
        <f t="shared" si="25"/>
        <v>14.31</v>
      </c>
      <c r="AX7" s="40">
        <f t="shared" si="26"/>
        <v>51.61</v>
      </c>
      <c r="AY7" s="40">
        <f t="shared" si="27"/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 t="shared" si="28"/>
        <v>3.2</v>
      </c>
      <c r="BQ7" s="39">
        <f t="shared" si="29"/>
        <v>3.48</v>
      </c>
      <c r="BR7" s="11">
        <f t="shared" si="30"/>
        <v>11.780000000000001</v>
      </c>
      <c r="BS7" s="11">
        <f t="shared" si="31"/>
        <v>16</v>
      </c>
      <c r="BT7" s="11">
        <f t="shared" si="32"/>
        <v>15.64</v>
      </c>
      <c r="BU7" s="11">
        <f t="shared" si="33"/>
        <v>56.34</v>
      </c>
      <c r="BV7" s="11">
        <f t="shared" si="34"/>
        <v>56.34</v>
      </c>
      <c r="BW7" s="11">
        <f t="shared" si="35"/>
        <v>16</v>
      </c>
      <c r="BX7" s="11">
        <f t="shared" si="36"/>
        <v>15.5</v>
      </c>
      <c r="BY7" s="11">
        <f t="shared" si="37"/>
        <v>56.4</v>
      </c>
      <c r="BZ7" s="11">
        <f t="shared" si="38"/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 t="shared" si="39"/>
        <v>3.8</v>
      </c>
      <c r="CR7" s="38">
        <f t="shared" si="40"/>
        <v>3.5</v>
      </c>
      <c r="CS7" s="40">
        <f t="shared" si="41"/>
        <v>12.2</v>
      </c>
      <c r="CT7" s="40">
        <f t="shared" si="42"/>
        <v>16.2</v>
      </c>
      <c r="CU7" s="40">
        <f t="shared" si="43"/>
        <v>15.99</v>
      </c>
      <c r="CV7" s="40">
        <f t="shared" si="44"/>
        <v>56.190000000000005</v>
      </c>
      <c r="CW7" s="40">
        <f t="shared" si="45"/>
        <v>56.190000000000005</v>
      </c>
      <c r="CX7" s="40">
        <f t="shared" si="46"/>
        <v>16.2</v>
      </c>
      <c r="CY7" s="40">
        <f t="shared" si="47"/>
        <v>16.420000000000002</v>
      </c>
      <c r="CZ7" s="40">
        <f t="shared" si="48"/>
        <v>57.120000000000005</v>
      </c>
      <c r="DA7" s="40">
        <f t="shared" si="49"/>
        <v>113.31</v>
      </c>
      <c r="DB7" s="51" t="str">
        <f t="shared" si="50"/>
        <v/>
      </c>
      <c r="DC7" s="51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 t="shared" si="94"/>
        <v>12.3</v>
      </c>
      <c r="HW7" s="11">
        <f t="shared" si="95"/>
        <v>12.61</v>
      </c>
      <c r="HX7" s="11">
        <f t="shared" si="96"/>
        <v>43.71</v>
      </c>
      <c r="HY7" s="11">
        <f t="shared" si="97"/>
        <v>15.4</v>
      </c>
      <c r="HZ7" s="11">
        <f t="shared" si="98"/>
        <v>15.44</v>
      </c>
      <c r="IA7" s="11">
        <f t="shared" si="99"/>
        <v>54.339999999999996</v>
      </c>
      <c r="IB7" s="11">
        <f t="shared" si="100"/>
        <v>54.339999999999996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>
        <f t="shared" si="104"/>
        <v>2</v>
      </c>
      <c r="IG7" s="11">
        <f t="shared" si="105"/>
        <v>1.72</v>
      </c>
      <c r="IH7" s="11">
        <f t="shared" si="106"/>
        <v>6.3199999999999994</v>
      </c>
      <c r="II7" s="11">
        <f t="shared" si="107"/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 t="shared" si="108"/>
        <v>15.4</v>
      </c>
      <c r="JE7" s="40">
        <f t="shared" si="109"/>
        <v>15.56</v>
      </c>
      <c r="JF7" s="40">
        <f t="shared" si="110"/>
        <v>52.660000000000004</v>
      </c>
      <c r="JG7" s="40">
        <f t="shared" si="111"/>
        <v>15.4</v>
      </c>
      <c r="JH7" s="40">
        <f t="shared" si="112"/>
        <v>15.34</v>
      </c>
      <c r="JI7" s="40">
        <f t="shared" si="113"/>
        <v>54.739999999999995</v>
      </c>
      <c r="JJ7" s="40">
        <f t="shared" si="114"/>
        <v>54.739999999999995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>
        <f t="shared" si="118"/>
        <v>4.9000000000000004</v>
      </c>
      <c r="JO7" s="40">
        <f t="shared" si="119"/>
        <v>5.05</v>
      </c>
      <c r="JP7" s="40">
        <f t="shared" si="120"/>
        <v>17.55</v>
      </c>
      <c r="JQ7" s="40">
        <f t="shared" si="121"/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16</v>
      </c>
      <c r="NC7" s="11">
        <f t="shared" si="151"/>
        <v>15.4</v>
      </c>
      <c r="ND7" s="11">
        <f t="shared" si="152"/>
        <v>54.8</v>
      </c>
      <c r="NE7" s="11">
        <f t="shared" si="153"/>
        <v>14.6</v>
      </c>
      <c r="NF7" s="11">
        <f t="shared" si="154"/>
        <v>16.149999999999999</v>
      </c>
      <c r="NG7" s="11">
        <f t="shared" si="155"/>
        <v>54.85</v>
      </c>
      <c r="NH7" s="11">
        <f t="shared" si="156"/>
        <v>54.85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3.1500000000000004</v>
      </c>
      <c r="WU7" s="26">
        <f t="shared" si="263"/>
        <v>1.85</v>
      </c>
      <c r="WV7" s="26">
        <f t="shared" si="264"/>
        <v>3.5</v>
      </c>
      <c r="WW7" s="26">
        <f t="shared" si="265"/>
        <v>3.49</v>
      </c>
      <c r="WX7" s="26">
        <f t="shared" si="266"/>
        <v>0</v>
      </c>
      <c r="WY7" s="26">
        <f t="shared" si="267"/>
        <v>15.2</v>
      </c>
      <c r="WZ7" s="26">
        <f t="shared" si="268"/>
        <v>9.15</v>
      </c>
      <c r="XA7" s="26">
        <f t="shared" si="269"/>
        <v>16.100000000000001</v>
      </c>
      <c r="XB7" s="26">
        <f t="shared" si="270"/>
        <v>15.815000000000001</v>
      </c>
      <c r="XC7" s="26">
        <f t="shared" si="271"/>
        <v>0</v>
      </c>
      <c r="XD7" s="26">
        <f t="shared" si="272"/>
        <v>15.9</v>
      </c>
      <c r="XE7" s="26">
        <f t="shared" si="273"/>
        <v>8.8000000000000007</v>
      </c>
      <c r="XF7" s="26">
        <f t="shared" si="274"/>
        <v>16.100000000000001</v>
      </c>
      <c r="XG7" s="26">
        <f t="shared" si="275"/>
        <v>15.96</v>
      </c>
      <c r="XH7" s="26">
        <f t="shared" si="276"/>
        <v>0</v>
      </c>
      <c r="XI7" s="28" t="s">
        <v>53</v>
      </c>
      <c r="XJ7" s="11">
        <f t="shared" si="277"/>
        <v>3.5</v>
      </c>
      <c r="XK7" s="11">
        <f t="shared" si="278"/>
        <v>3.49</v>
      </c>
      <c r="XL7" s="11">
        <f t="shared" si="279"/>
        <v>11.99</v>
      </c>
      <c r="XM7" s="11">
        <f t="shared" si="280"/>
        <v>16.100000000000001</v>
      </c>
      <c r="XN7" s="11">
        <f t="shared" si="281"/>
        <v>15.815000000000001</v>
      </c>
      <c r="XO7" s="11">
        <f t="shared" si="282"/>
        <v>56.265000000000001</v>
      </c>
      <c r="XP7" s="11">
        <f t="shared" si="283"/>
        <v>56.265000000000001</v>
      </c>
      <c r="XQ7" s="11">
        <f t="shared" si="284"/>
        <v>16.100000000000001</v>
      </c>
      <c r="XR7" s="11">
        <f t="shared" si="285"/>
        <v>15.96</v>
      </c>
      <c r="XS7" s="11">
        <f t="shared" si="286"/>
        <v>56.760000000000005</v>
      </c>
      <c r="XT7" s="11">
        <f t="shared" si="287"/>
        <v>113.02500000000001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123</v>
      </c>
      <c r="C8" s="4" t="s">
        <v>7</v>
      </c>
      <c r="D8" s="4">
        <v>2005</v>
      </c>
      <c r="E8" s="9">
        <f t="shared" si="0"/>
        <v>255.38002553800564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56.529999999999994</v>
      </c>
      <c r="K8" s="8" t="str">
        <f t="shared" si="5"/>
        <v>2024 3rd Domestic Trial</v>
      </c>
      <c r="L8" s="8">
        <f>IF(COUNT(AQ8,AT8,BR8,BU8,CS8,CV8)&gt;1,LARGE((AQ8,AT8,BR8,BU8,CS8,CV8),2),0)</f>
        <v>56.26</v>
      </c>
      <c r="M8" s="8" t="str">
        <f t="shared" si="6"/>
        <v>2024 3rd Domestic Trial</v>
      </c>
      <c r="N8" s="8">
        <f>IF(COUNT(AQ8,AT8,BR8,BU8,CS8,CV8)&gt;2,LARGE((AQ8,AT8,BR8,BU8,CS8,CV8),3),0)</f>
        <v>55.86</v>
      </c>
      <c r="O8" s="8" t="str">
        <f t="shared" si="7"/>
        <v>2024 Elite Canada</v>
      </c>
      <c r="P8" s="8">
        <f t="shared" si="8"/>
        <v>56.36</v>
      </c>
      <c r="Q8" s="8" t="str">
        <f t="shared" si="9"/>
        <v>2024 3rd Domestic Trial</v>
      </c>
      <c r="R8" s="8">
        <f t="shared" si="10"/>
        <v>15.4</v>
      </c>
      <c r="S8" s="8" t="str">
        <f t="shared" si="11"/>
        <v>2024 Elite Canada</v>
      </c>
      <c r="T8" s="8">
        <f t="shared" si="12"/>
        <v>14.97</v>
      </c>
      <c r="U8" s="8" t="str">
        <f t="shared" si="13"/>
        <v>2024 Elite Canada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 t="shared" si="17"/>
        <v>15.4</v>
      </c>
      <c r="AP8" s="38">
        <f t="shared" si="18"/>
        <v>14.96</v>
      </c>
      <c r="AQ8" s="40">
        <f t="shared" si="19"/>
        <v>55.86</v>
      </c>
      <c r="AR8" s="40">
        <f t="shared" si="20"/>
        <v>13.8</v>
      </c>
      <c r="AS8" s="40">
        <f t="shared" si="21"/>
        <v>14.89</v>
      </c>
      <c r="AT8" s="40">
        <f t="shared" si="22"/>
        <v>53.49</v>
      </c>
      <c r="AU8" s="40">
        <f t="shared" si="23"/>
        <v>55.86</v>
      </c>
      <c r="AV8" s="40">
        <f t="shared" si="24"/>
        <v>15.4</v>
      </c>
      <c r="AW8" s="40">
        <f t="shared" si="25"/>
        <v>14.97</v>
      </c>
      <c r="AX8" s="40">
        <f t="shared" si="26"/>
        <v>55.17</v>
      </c>
      <c r="AY8" s="40">
        <f t="shared" si="27"/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5.0999999999999996</v>
      </c>
      <c r="BQ8" s="39">
        <f t="shared" si="29"/>
        <v>4.7699999999999996</v>
      </c>
      <c r="BR8" s="11">
        <f t="shared" si="30"/>
        <v>17.169999999999998</v>
      </c>
      <c r="BS8" s="11">
        <f t="shared" si="31"/>
        <v>3.2</v>
      </c>
      <c r="BT8" s="11">
        <f t="shared" si="32"/>
        <v>3.16</v>
      </c>
      <c r="BU8" s="11">
        <f t="shared" si="33"/>
        <v>11.36</v>
      </c>
      <c r="BV8" s="11">
        <f t="shared" si="34"/>
        <v>17.169999999999998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 t="shared" si="39"/>
        <v>14.2</v>
      </c>
      <c r="CR8" s="38">
        <f t="shared" si="40"/>
        <v>15.76</v>
      </c>
      <c r="CS8" s="40">
        <f t="shared" si="41"/>
        <v>56.26</v>
      </c>
      <c r="CT8" s="40">
        <f t="shared" si="42"/>
        <v>14.4</v>
      </c>
      <c r="CU8" s="40">
        <f t="shared" si="43"/>
        <v>15.83</v>
      </c>
      <c r="CV8" s="40">
        <f t="shared" si="44"/>
        <v>56.529999999999994</v>
      </c>
      <c r="CW8" s="40">
        <f t="shared" si="45"/>
        <v>56.529999999999994</v>
      </c>
      <c r="CX8" s="40">
        <f t="shared" si="46"/>
        <v>14.4</v>
      </c>
      <c r="CY8" s="40">
        <f t="shared" si="47"/>
        <v>15.66</v>
      </c>
      <c r="CZ8" s="40">
        <f t="shared" si="48"/>
        <v>56.36</v>
      </c>
      <c r="DA8" s="40">
        <f t="shared" si="49"/>
        <v>112.88999999999999</v>
      </c>
      <c r="DB8" s="51" t="str">
        <f t="shared" si="50"/>
        <v/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15.4</v>
      </c>
      <c r="HW8" s="11">
        <f t="shared" si="95"/>
        <v>14.93</v>
      </c>
      <c r="HX8" s="11">
        <f t="shared" si="96"/>
        <v>54.13</v>
      </c>
      <c r="HY8" s="11">
        <f t="shared" si="97"/>
        <v>15.2</v>
      </c>
      <c r="HZ8" s="11">
        <f t="shared" si="98"/>
        <v>14.44</v>
      </c>
      <c r="IA8" s="11">
        <f t="shared" si="99"/>
        <v>52.339999999999996</v>
      </c>
      <c r="IB8" s="11">
        <f t="shared" si="100"/>
        <v>54.13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 t="shared" si="108"/>
        <v>15</v>
      </c>
      <c r="JE8" s="40">
        <f t="shared" si="109"/>
        <v>15.22</v>
      </c>
      <c r="JF8" s="40">
        <f t="shared" si="110"/>
        <v>54.12</v>
      </c>
      <c r="JG8" s="40">
        <f t="shared" si="111"/>
        <v>15</v>
      </c>
      <c r="JH8" s="40">
        <f t="shared" si="112"/>
        <v>15.12</v>
      </c>
      <c r="JI8" s="40">
        <f t="shared" si="113"/>
        <v>54.72</v>
      </c>
      <c r="JJ8" s="40">
        <f t="shared" si="114"/>
        <v>54.72</v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>
        <f t="shared" si="118"/>
        <v>8.1999999999999993</v>
      </c>
      <c r="JO8" s="40">
        <f t="shared" si="119"/>
        <v>7.85</v>
      </c>
      <c r="JP8" s="40">
        <f t="shared" si="120"/>
        <v>28.25</v>
      </c>
      <c r="JQ8" s="40">
        <f t="shared" si="121"/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 t="shared" si="122"/>
        <v>13.4</v>
      </c>
      <c r="KM8" s="11">
        <f t="shared" si="123"/>
        <v>15.39</v>
      </c>
      <c r="KN8" s="11">
        <f t="shared" si="124"/>
        <v>52.99</v>
      </c>
      <c r="KO8" s="11">
        <f t="shared" si="125"/>
        <v>14.4</v>
      </c>
      <c r="KP8" s="11">
        <f t="shared" si="126"/>
        <v>15.23</v>
      </c>
      <c r="KQ8" s="11">
        <f t="shared" si="127"/>
        <v>53.629999999999995</v>
      </c>
      <c r="KR8" s="11">
        <f t="shared" si="128"/>
        <v>53.629999999999995</v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>
        <f t="shared" si="135"/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 t="shared" si="150"/>
        <v>15</v>
      </c>
      <c r="NC8" s="11">
        <f t="shared" si="151"/>
        <v>14.99</v>
      </c>
      <c r="ND8" s="11">
        <f t="shared" si="152"/>
        <v>54.29</v>
      </c>
      <c r="NE8" s="11">
        <f t="shared" si="153"/>
        <v>14.4</v>
      </c>
      <c r="NF8" s="11">
        <f t="shared" si="154"/>
        <v>15.24</v>
      </c>
      <c r="NG8" s="11">
        <f t="shared" si="155"/>
        <v>54.04</v>
      </c>
      <c r="NH8" s="11">
        <f t="shared" si="156"/>
        <v>54.29</v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>
        <f t="shared" si="163"/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10.7</v>
      </c>
      <c r="WU8" s="26">
        <f t="shared" si="263"/>
        <v>6.1</v>
      </c>
      <c r="WV8" s="26">
        <f t="shared" si="264"/>
        <v>9.6499999999999986</v>
      </c>
      <c r="WW8" s="26">
        <f t="shared" si="265"/>
        <v>10.265000000000001</v>
      </c>
      <c r="WX8" s="26">
        <f t="shared" si="266"/>
        <v>0</v>
      </c>
      <c r="WY8" s="26">
        <f t="shared" si="267"/>
        <v>10.049999999999999</v>
      </c>
      <c r="WZ8" s="26">
        <f t="shared" si="268"/>
        <v>5.6000000000000005</v>
      </c>
      <c r="XA8" s="26">
        <f t="shared" si="269"/>
        <v>8.8000000000000007</v>
      </c>
      <c r="XB8" s="26">
        <f t="shared" si="270"/>
        <v>9.495000000000001</v>
      </c>
      <c r="XC8" s="26">
        <f t="shared" si="271"/>
        <v>0</v>
      </c>
      <c r="XD8" s="26">
        <f t="shared" si="272"/>
        <v>8.5</v>
      </c>
      <c r="XE8" s="26">
        <f t="shared" si="273"/>
        <v>4.6500000000000004</v>
      </c>
      <c r="XF8" s="26">
        <f t="shared" si="274"/>
        <v>7.2</v>
      </c>
      <c r="XG8" s="26">
        <f t="shared" si="275"/>
        <v>7.83</v>
      </c>
      <c r="XH8" s="26">
        <f t="shared" si="276"/>
        <v>0</v>
      </c>
      <c r="XI8" s="28" t="s">
        <v>53</v>
      </c>
      <c r="XJ8" s="11">
        <f t="shared" si="277"/>
        <v>9.6499999999999986</v>
      </c>
      <c r="XK8" s="11">
        <f t="shared" si="278"/>
        <v>10.265000000000001</v>
      </c>
      <c r="XL8" s="11">
        <f t="shared" si="279"/>
        <v>36.714999999999996</v>
      </c>
      <c r="XM8" s="11">
        <f t="shared" si="280"/>
        <v>8.8000000000000007</v>
      </c>
      <c r="XN8" s="11">
        <f t="shared" si="281"/>
        <v>9.495000000000001</v>
      </c>
      <c r="XO8" s="11">
        <f t="shared" si="282"/>
        <v>33.945</v>
      </c>
      <c r="XP8" s="11">
        <f t="shared" si="283"/>
        <v>36.714999999999996</v>
      </c>
      <c r="XQ8" s="11">
        <f t="shared" si="284"/>
        <v>7.2</v>
      </c>
      <c r="XR8" s="11">
        <f t="shared" si="285"/>
        <v>7.83</v>
      </c>
      <c r="XS8" s="11">
        <f t="shared" si="286"/>
        <v>28.18</v>
      </c>
      <c r="XT8" s="11">
        <f t="shared" si="287"/>
        <v>64.894999999999996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179</v>
      </c>
      <c r="C9" s="4" t="s">
        <v>6</v>
      </c>
      <c r="D9" s="4">
        <v>2001</v>
      </c>
      <c r="E9" s="9">
        <f t="shared" si="0"/>
        <v>248.13002481300546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54.62</v>
      </c>
      <c r="K9" s="8" t="str">
        <f t="shared" si="5"/>
        <v>2024 Elite Canada</v>
      </c>
      <c r="L9" s="8">
        <f>IF(COUNT(AQ9,AT9,BR9,BU9,CS9,CV9)&gt;1,LARGE((AQ9,AT9,BR9,BU9,CS9,CV9),2),0)</f>
        <v>54.07</v>
      </c>
      <c r="M9" s="8" t="str">
        <f t="shared" si="6"/>
        <v>2024 3rd Domestic Trial</v>
      </c>
      <c r="N9" s="8">
        <f>IF(COUNT(AQ9,AT9,BR9,BU9,CS9,CV9)&gt;2,LARGE((AQ9,AT9,BR9,BU9,CS9,CV9),3),0)</f>
        <v>53.52</v>
      </c>
      <c r="O9" s="8" t="str">
        <f t="shared" si="7"/>
        <v>2024 Nationals</v>
      </c>
      <c r="P9" s="8">
        <f t="shared" si="8"/>
        <v>54.36</v>
      </c>
      <c r="Q9" s="8" t="str">
        <f t="shared" si="9"/>
        <v>2024 Elite Canada</v>
      </c>
      <c r="R9" s="8">
        <f t="shared" si="10"/>
        <v>15.4</v>
      </c>
      <c r="S9" s="8" t="str">
        <f t="shared" si="11"/>
        <v>2024 Elite Canada</v>
      </c>
      <c r="T9" s="8">
        <f t="shared" si="12"/>
        <v>16.16</v>
      </c>
      <c r="U9" s="8" t="str">
        <f t="shared" si="13"/>
        <v>2024 Elite Canada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 t="shared" si="17"/>
        <v>9.4</v>
      </c>
      <c r="AP9" s="38">
        <f t="shared" si="18"/>
        <v>10.130000000000001</v>
      </c>
      <c r="AQ9" s="40">
        <f t="shared" si="19"/>
        <v>34.43</v>
      </c>
      <c r="AR9" s="40">
        <f t="shared" si="20"/>
        <v>14.2</v>
      </c>
      <c r="AS9" s="40">
        <f t="shared" si="21"/>
        <v>16.32</v>
      </c>
      <c r="AT9" s="40">
        <f t="shared" si="22"/>
        <v>54.62</v>
      </c>
      <c r="AU9" s="40">
        <f t="shared" si="23"/>
        <v>54.62</v>
      </c>
      <c r="AV9" s="40">
        <f t="shared" si="24"/>
        <v>15.4</v>
      </c>
      <c r="AW9" s="40">
        <f t="shared" si="25"/>
        <v>16.16</v>
      </c>
      <c r="AX9" s="40">
        <f t="shared" si="26"/>
        <v>54.36</v>
      </c>
      <c r="AY9" s="40">
        <f t="shared" si="27"/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 t="shared" si="28"/>
        <v>3.2</v>
      </c>
      <c r="BQ9" s="39">
        <f t="shared" si="29"/>
        <v>3.47</v>
      </c>
      <c r="BR9" s="11">
        <f t="shared" si="30"/>
        <v>11.47</v>
      </c>
      <c r="BS9" s="11">
        <f t="shared" si="31"/>
        <v>14.2</v>
      </c>
      <c r="BT9" s="11">
        <f t="shared" si="32"/>
        <v>15.62</v>
      </c>
      <c r="BU9" s="11">
        <f t="shared" si="33"/>
        <v>53.52</v>
      </c>
      <c r="BV9" s="11">
        <f t="shared" si="34"/>
        <v>53.52</v>
      </c>
      <c r="BW9" s="11">
        <f t="shared" si="35"/>
        <v>14.4</v>
      </c>
      <c r="BX9" s="11">
        <f t="shared" si="36"/>
        <v>15.65</v>
      </c>
      <c r="BY9" s="11">
        <f t="shared" si="37"/>
        <v>52.65</v>
      </c>
      <c r="BZ9" s="11">
        <f t="shared" si="38"/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 t="shared" si="39"/>
        <v>6.3000000000000007</v>
      </c>
      <c r="CR9" s="38">
        <f t="shared" si="40"/>
        <v>6.8000000000000007</v>
      </c>
      <c r="CS9" s="40">
        <f t="shared" si="41"/>
        <v>22.95</v>
      </c>
      <c r="CT9" s="40">
        <f t="shared" si="42"/>
        <v>14.2</v>
      </c>
      <c r="CU9" s="40">
        <f t="shared" si="43"/>
        <v>15.969999999999999</v>
      </c>
      <c r="CV9" s="40">
        <f t="shared" si="44"/>
        <v>54.07</v>
      </c>
      <c r="CW9" s="40">
        <f t="shared" si="45"/>
        <v>54.07</v>
      </c>
      <c r="CX9" s="40">
        <f t="shared" si="46"/>
        <v>14.9</v>
      </c>
      <c r="CY9" s="40">
        <f t="shared" si="47"/>
        <v>15.905000000000001</v>
      </c>
      <c r="CZ9" s="40">
        <f t="shared" si="48"/>
        <v>53.505000000000003</v>
      </c>
      <c r="DA9" s="40">
        <f t="shared" si="49"/>
        <v>107.575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6.2</v>
      </c>
      <c r="WU9" s="26">
        <f t="shared" si="263"/>
        <v>3.65</v>
      </c>
      <c r="WV9" s="26">
        <f t="shared" si="264"/>
        <v>6.3000000000000007</v>
      </c>
      <c r="WW9" s="26">
        <f t="shared" si="265"/>
        <v>6.8000000000000007</v>
      </c>
      <c r="WX9" s="26">
        <f t="shared" si="266"/>
        <v>0</v>
      </c>
      <c r="WY9" s="26">
        <f t="shared" si="267"/>
        <v>14.8</v>
      </c>
      <c r="WZ9" s="26">
        <f t="shared" si="268"/>
        <v>9.1000000000000014</v>
      </c>
      <c r="XA9" s="26">
        <f t="shared" si="269"/>
        <v>14.2</v>
      </c>
      <c r="XB9" s="26">
        <f t="shared" si="270"/>
        <v>15.969999999999999</v>
      </c>
      <c r="XC9" s="26">
        <f t="shared" si="271"/>
        <v>0</v>
      </c>
      <c r="XD9" s="26">
        <f t="shared" si="272"/>
        <v>13.6</v>
      </c>
      <c r="XE9" s="26">
        <f t="shared" si="273"/>
        <v>9.1000000000000014</v>
      </c>
      <c r="XF9" s="26">
        <f t="shared" si="274"/>
        <v>14.9</v>
      </c>
      <c r="XG9" s="26">
        <f t="shared" si="275"/>
        <v>15.905000000000001</v>
      </c>
      <c r="XH9" s="26">
        <f t="shared" si="276"/>
        <v>0</v>
      </c>
      <c r="XI9" s="28" t="s">
        <v>53</v>
      </c>
      <c r="XJ9" s="11">
        <f t="shared" si="277"/>
        <v>6.3000000000000007</v>
      </c>
      <c r="XK9" s="11">
        <f t="shared" si="278"/>
        <v>6.8000000000000007</v>
      </c>
      <c r="XL9" s="11">
        <f t="shared" si="279"/>
        <v>22.95</v>
      </c>
      <c r="XM9" s="11">
        <f t="shared" si="280"/>
        <v>14.2</v>
      </c>
      <c r="XN9" s="11">
        <f t="shared" si="281"/>
        <v>15.969999999999999</v>
      </c>
      <c r="XO9" s="11">
        <f t="shared" si="282"/>
        <v>54.07</v>
      </c>
      <c r="XP9" s="11">
        <f t="shared" si="283"/>
        <v>54.07</v>
      </c>
      <c r="XQ9" s="11">
        <f t="shared" si="284"/>
        <v>14.9</v>
      </c>
      <c r="XR9" s="11">
        <f t="shared" si="285"/>
        <v>15.905000000000001</v>
      </c>
      <c r="XS9" s="11">
        <f t="shared" si="286"/>
        <v>53.505000000000003</v>
      </c>
      <c r="XT9" s="11">
        <f t="shared" si="287"/>
        <v>107.575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87</v>
      </c>
      <c r="C10" s="4" t="s">
        <v>7</v>
      </c>
      <c r="D10" s="4">
        <v>2002</v>
      </c>
      <c r="E10" s="9">
        <f t="shared" si="0"/>
        <v>246.86002468600557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55.760000000000005</v>
      </c>
      <c r="K10" s="8" t="str">
        <f t="shared" si="5"/>
        <v>2024 3rd Domestic Trial</v>
      </c>
      <c r="L10" s="8">
        <f>IF(COUNT(AQ10,AT10,BR10,BU10,CS10,CV10)&gt;1,LARGE((AQ10,AT10,BR10,BU10,CS10,CV10),2),0)</f>
        <v>53.93</v>
      </c>
      <c r="M10" s="8" t="str">
        <f t="shared" si="6"/>
        <v>2024 3rd Domestic Trial</v>
      </c>
      <c r="N10" s="8">
        <f>IF(COUNT(AQ10,AT10,BR10,BU10,CS10,CV10)&gt;2,LARGE((AQ10,AT10,BR10,BU10,CS10,CV10),3),0)</f>
        <v>53.61</v>
      </c>
      <c r="O10" s="8" t="str">
        <f t="shared" si="7"/>
        <v>2024 Elite Canada</v>
      </c>
      <c r="P10" s="8">
        <f t="shared" si="8"/>
        <v>52.3</v>
      </c>
      <c r="Q10" s="8" t="str">
        <f t="shared" si="9"/>
        <v>2024 Elite Canada</v>
      </c>
      <c r="R10" s="8">
        <f t="shared" si="10"/>
        <v>15.6</v>
      </c>
      <c r="S10" s="8" t="str">
        <f t="shared" si="11"/>
        <v>2024 3rd Domestic Trial</v>
      </c>
      <c r="T10" s="8">
        <f t="shared" si="12"/>
        <v>15.66</v>
      </c>
      <c r="U10" s="8" t="str">
        <f t="shared" si="13"/>
        <v>2024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 t="shared" si="17"/>
        <v>15.4</v>
      </c>
      <c r="AP10" s="38">
        <f t="shared" si="18"/>
        <v>14.91</v>
      </c>
      <c r="AQ10" s="40">
        <f t="shared" si="19"/>
        <v>53.61</v>
      </c>
      <c r="AR10" s="40">
        <f t="shared" si="20"/>
        <v>5.7</v>
      </c>
      <c r="AS10" s="40">
        <f t="shared" si="21"/>
        <v>6.25</v>
      </c>
      <c r="AT10" s="40">
        <f t="shared" si="22"/>
        <v>21.35</v>
      </c>
      <c r="AU10" s="40">
        <f t="shared" si="23"/>
        <v>53.61</v>
      </c>
      <c r="AV10" s="40">
        <f t="shared" si="24"/>
        <v>15</v>
      </c>
      <c r="AW10" s="40">
        <f t="shared" si="25"/>
        <v>15</v>
      </c>
      <c r="AX10" s="40">
        <f t="shared" si="26"/>
        <v>52.3</v>
      </c>
      <c r="AY10" s="40">
        <f t="shared" si="27"/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 t="shared" si="28"/>
        <v>5.5</v>
      </c>
      <c r="BQ10" s="39">
        <f t="shared" si="29"/>
        <v>4.9400000000000004</v>
      </c>
      <c r="BR10" s="11">
        <f t="shared" si="30"/>
        <v>17.740000000000002</v>
      </c>
      <c r="BS10" s="11">
        <f t="shared" si="31"/>
        <v>11.1</v>
      </c>
      <c r="BT10" s="11">
        <f t="shared" si="32"/>
        <v>14.83</v>
      </c>
      <c r="BU10" s="11">
        <f t="shared" si="33"/>
        <v>46.43</v>
      </c>
      <c r="BV10" s="11">
        <f t="shared" si="34"/>
        <v>46.43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 t="shared" si="39"/>
        <v>15.6</v>
      </c>
      <c r="CR10" s="38">
        <f t="shared" si="40"/>
        <v>15.33</v>
      </c>
      <c r="CS10" s="40">
        <f t="shared" si="41"/>
        <v>53.93</v>
      </c>
      <c r="CT10" s="40">
        <f t="shared" si="42"/>
        <v>15.5</v>
      </c>
      <c r="CU10" s="40">
        <f t="shared" si="43"/>
        <v>15.66</v>
      </c>
      <c r="CV10" s="40">
        <f t="shared" si="44"/>
        <v>55.760000000000005</v>
      </c>
      <c r="CW10" s="40">
        <f t="shared" si="45"/>
        <v>55.760000000000005</v>
      </c>
      <c r="CX10" s="40">
        <f t="shared" si="46"/>
        <v>2</v>
      </c>
      <c r="CY10" s="40">
        <f t="shared" si="47"/>
        <v>1.76</v>
      </c>
      <c r="CZ10" s="40">
        <f t="shared" si="48"/>
        <v>6.3599999999999994</v>
      </c>
      <c r="DA10" s="40">
        <f t="shared" si="49"/>
        <v>62.120000000000005</v>
      </c>
      <c r="DB10" s="51" t="str">
        <f t="shared" si="50"/>
        <v/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9.4499999999999993</v>
      </c>
      <c r="WU10" s="26">
        <f t="shared" si="263"/>
        <v>5.8</v>
      </c>
      <c r="WV10" s="26">
        <f t="shared" si="264"/>
        <v>10.55</v>
      </c>
      <c r="WW10" s="26">
        <f t="shared" si="265"/>
        <v>10.135</v>
      </c>
      <c r="WX10" s="26">
        <f t="shared" si="266"/>
        <v>0.1</v>
      </c>
      <c r="WY10" s="26">
        <f t="shared" si="267"/>
        <v>14.350000000000001</v>
      </c>
      <c r="WZ10" s="26">
        <f t="shared" si="268"/>
        <v>9.3999999999999986</v>
      </c>
      <c r="XA10" s="26">
        <f t="shared" si="269"/>
        <v>13.3</v>
      </c>
      <c r="XB10" s="26">
        <f t="shared" si="270"/>
        <v>15.245000000000001</v>
      </c>
      <c r="XC10" s="26">
        <f t="shared" si="271"/>
        <v>1.2</v>
      </c>
      <c r="XD10" s="26">
        <f t="shared" si="272"/>
        <v>0.8</v>
      </c>
      <c r="XE10" s="26">
        <f t="shared" si="273"/>
        <v>0.5</v>
      </c>
      <c r="XF10" s="26">
        <f t="shared" si="274"/>
        <v>1</v>
      </c>
      <c r="XG10" s="26">
        <f t="shared" si="275"/>
        <v>0.88</v>
      </c>
      <c r="XH10" s="26">
        <f t="shared" si="276"/>
        <v>0</v>
      </c>
      <c r="XI10" s="28" t="s">
        <v>53</v>
      </c>
      <c r="XJ10" s="11">
        <f t="shared" si="277"/>
        <v>10.55</v>
      </c>
      <c r="XK10" s="11">
        <f t="shared" si="278"/>
        <v>10.135</v>
      </c>
      <c r="XL10" s="11">
        <f t="shared" si="279"/>
        <v>35.835000000000001</v>
      </c>
      <c r="XM10" s="11">
        <f t="shared" si="280"/>
        <v>13.3</v>
      </c>
      <c r="XN10" s="11">
        <f t="shared" si="281"/>
        <v>15.245000000000001</v>
      </c>
      <c r="XO10" s="11">
        <f t="shared" si="282"/>
        <v>51.094999999999999</v>
      </c>
      <c r="XP10" s="11">
        <f t="shared" si="283"/>
        <v>51.094999999999999</v>
      </c>
      <c r="XQ10" s="11">
        <f t="shared" si="284"/>
        <v>1</v>
      </c>
      <c r="XR10" s="11">
        <f t="shared" si="285"/>
        <v>0.88</v>
      </c>
      <c r="XS10" s="11">
        <f t="shared" si="286"/>
        <v>3.1799999999999997</v>
      </c>
      <c r="XT10" s="11">
        <f t="shared" si="287"/>
        <v>54.274999999999999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73</v>
      </c>
      <c r="C11" s="4" t="s">
        <v>72</v>
      </c>
      <c r="D11" s="4">
        <v>2001</v>
      </c>
      <c r="E11" s="9">
        <f t="shared" si="0"/>
        <v>240.32002403200545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54.739999999999995</v>
      </c>
      <c r="K11" s="8" t="str">
        <f t="shared" si="5"/>
        <v>2024 3rd Domestic Trial</v>
      </c>
      <c r="L11" s="8">
        <f>IF(COUNT(AQ11,AT11,BR11,BU11,CS11,CV11)&gt;1,LARGE((AQ11,AT11,BR11,BU11,CS11,CV11),2),0)</f>
        <v>52.55</v>
      </c>
      <c r="M11" s="8" t="str">
        <f t="shared" si="6"/>
        <v>2024 Nationals</v>
      </c>
      <c r="N11" s="8">
        <f>IF(COUNT(AQ11,AT11,BR11,BU11,CS11,CV11)&gt;2,LARGE((AQ11,AT11,BR11,BU11,CS11,CV11),3),0)</f>
        <v>47.67</v>
      </c>
      <c r="O11" s="8" t="str">
        <f t="shared" si="7"/>
        <v>2024 Elite Canada</v>
      </c>
      <c r="P11" s="8">
        <f t="shared" si="8"/>
        <v>53.83</v>
      </c>
      <c r="Q11" s="8" t="str">
        <f t="shared" si="9"/>
        <v>2024 3rd Domestic Trial</v>
      </c>
      <c r="R11" s="8">
        <f t="shared" si="10"/>
        <v>15.6</v>
      </c>
      <c r="S11" s="8" t="str">
        <f t="shared" si="11"/>
        <v>2024 3rd Domestic Trial</v>
      </c>
      <c r="T11" s="8">
        <f t="shared" si="12"/>
        <v>15.93</v>
      </c>
      <c r="U11" s="8" t="str">
        <f t="shared" si="13"/>
        <v>2024 3rd Domestic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7"/>
        <v>12.5</v>
      </c>
      <c r="AP11" s="38">
        <f t="shared" si="18"/>
        <v>14.07</v>
      </c>
      <c r="AQ11" s="40">
        <f t="shared" si="19"/>
        <v>47.67</v>
      </c>
      <c r="AR11" s="40">
        <f t="shared" si="20"/>
        <v>9.9</v>
      </c>
      <c r="AS11" s="40">
        <f t="shared" si="21"/>
        <v>12.74</v>
      </c>
      <c r="AT11" s="40">
        <f t="shared" si="22"/>
        <v>42.64</v>
      </c>
      <c r="AU11" s="40">
        <f t="shared" si="23"/>
        <v>47.67</v>
      </c>
      <c r="AV11" s="40" t="str">
        <f t="shared" si="24"/>
        <v/>
      </c>
      <c r="AW11" s="40" t="str">
        <f t="shared" si="25"/>
        <v/>
      </c>
      <c r="AX11" s="40" t="str">
        <f t="shared" si="26"/>
        <v/>
      </c>
      <c r="AY11" s="40">
        <f t="shared" si="27"/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 t="shared" si="28"/>
        <v>15</v>
      </c>
      <c r="BQ11" s="39">
        <f t="shared" si="29"/>
        <v>14.65</v>
      </c>
      <c r="BR11" s="11">
        <f t="shared" si="30"/>
        <v>52.55</v>
      </c>
      <c r="BS11" s="11">
        <f t="shared" si="31"/>
        <v>2</v>
      </c>
      <c r="BT11" s="11">
        <f t="shared" si="32"/>
        <v>1.6</v>
      </c>
      <c r="BU11" s="11">
        <f t="shared" si="33"/>
        <v>5.9</v>
      </c>
      <c r="BV11" s="11">
        <f t="shared" si="34"/>
        <v>52.55</v>
      </c>
      <c r="BW11" s="11">
        <f t="shared" si="35"/>
        <v>7.6</v>
      </c>
      <c r="BX11" s="11">
        <f t="shared" si="36"/>
        <v>7.74</v>
      </c>
      <c r="BY11" s="11">
        <f t="shared" si="37"/>
        <v>27.04</v>
      </c>
      <c r="BZ11" s="11">
        <f t="shared" si="38"/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 t="shared" si="39"/>
        <v>6.5</v>
      </c>
      <c r="CR11" s="38">
        <f t="shared" si="40"/>
        <v>11.06</v>
      </c>
      <c r="CS11" s="40">
        <f t="shared" si="41"/>
        <v>34.660000000000004</v>
      </c>
      <c r="CT11" s="40">
        <f t="shared" si="42"/>
        <v>15.4</v>
      </c>
      <c r="CU11" s="40">
        <f t="shared" si="43"/>
        <v>15.84</v>
      </c>
      <c r="CV11" s="40">
        <f t="shared" si="44"/>
        <v>54.739999999999995</v>
      </c>
      <c r="CW11" s="40">
        <f t="shared" si="45"/>
        <v>54.739999999999995</v>
      </c>
      <c r="CX11" s="40">
        <f t="shared" si="46"/>
        <v>15.6</v>
      </c>
      <c r="CY11" s="40">
        <f t="shared" si="47"/>
        <v>15.93</v>
      </c>
      <c r="CZ11" s="40">
        <f t="shared" si="48"/>
        <v>53.83</v>
      </c>
      <c r="DA11" s="40">
        <f t="shared" si="49"/>
        <v>108.57</v>
      </c>
      <c r="DB11" s="51" t="str">
        <f t="shared" si="50"/>
        <v/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12.75</v>
      </c>
      <c r="WU11" s="26">
        <f t="shared" si="263"/>
        <v>7.25</v>
      </c>
      <c r="WV11" s="26">
        <f t="shared" si="264"/>
        <v>10.75</v>
      </c>
      <c r="WW11" s="26">
        <f t="shared" si="265"/>
        <v>12.855</v>
      </c>
      <c r="WX11" s="26">
        <f t="shared" si="266"/>
        <v>0</v>
      </c>
      <c r="WY11" s="26">
        <f t="shared" si="267"/>
        <v>8.1</v>
      </c>
      <c r="WZ11" s="26">
        <f t="shared" si="268"/>
        <v>4.8</v>
      </c>
      <c r="XA11" s="26">
        <f t="shared" si="269"/>
        <v>8.6999999999999993</v>
      </c>
      <c r="XB11" s="26">
        <f t="shared" si="270"/>
        <v>8.7200000000000006</v>
      </c>
      <c r="XC11" s="26">
        <f t="shared" si="271"/>
        <v>0</v>
      </c>
      <c r="XD11" s="26">
        <f t="shared" si="272"/>
        <v>10.3</v>
      </c>
      <c r="XE11" s="26">
        <f t="shared" si="273"/>
        <v>6.6999999999999993</v>
      </c>
      <c r="XF11" s="26">
        <f t="shared" si="274"/>
        <v>11.6</v>
      </c>
      <c r="XG11" s="26">
        <f t="shared" si="275"/>
        <v>11.835000000000001</v>
      </c>
      <c r="XH11" s="26">
        <f t="shared" si="276"/>
        <v>0</v>
      </c>
      <c r="XI11" s="28" t="s">
        <v>53</v>
      </c>
      <c r="XJ11" s="11">
        <f t="shared" si="277"/>
        <v>10.75</v>
      </c>
      <c r="XK11" s="11">
        <f t="shared" si="278"/>
        <v>12.855</v>
      </c>
      <c r="XL11" s="11">
        <f t="shared" si="279"/>
        <v>43.605000000000004</v>
      </c>
      <c r="XM11" s="11">
        <f t="shared" si="280"/>
        <v>8.6999999999999993</v>
      </c>
      <c r="XN11" s="11">
        <f t="shared" si="281"/>
        <v>8.7200000000000006</v>
      </c>
      <c r="XO11" s="11">
        <f t="shared" si="282"/>
        <v>30.32</v>
      </c>
      <c r="XP11" s="11">
        <f t="shared" si="283"/>
        <v>43.605000000000004</v>
      </c>
      <c r="XQ11" s="11">
        <f t="shared" si="284"/>
        <v>11.6</v>
      </c>
      <c r="XR11" s="11">
        <f t="shared" si="285"/>
        <v>11.835000000000001</v>
      </c>
      <c r="XS11" s="11">
        <f t="shared" si="286"/>
        <v>40.435000000000002</v>
      </c>
      <c r="XT11" s="11">
        <f t="shared" si="287"/>
        <v>84.04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 t="shared" si="0"/>
        <v>186.43501603900324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IF(COUNT(AQ12,AT12,BR12,BU12,CS12,CV12)&gt;0,LARGE((AQ12,AT12,BR12,BU12,CS12,CV12),1),0)</f>
        <v>32.664999999999999</v>
      </c>
      <c r="K12" s="8" t="str">
        <f t="shared" si="5"/>
        <v>2024 3rd Domestic Trial</v>
      </c>
      <c r="L12" s="8">
        <f>IF(COUNT(AQ12,AT12,BR12,BU12,CS12,CV12)&gt;1,LARGE((AQ12,AT12,BR12,BU12,CS12,CV12),2),0)</f>
        <v>32.664999999999999</v>
      </c>
      <c r="M12" s="8" t="str">
        <f t="shared" si="6"/>
        <v>2024 3rd Domestic Trial</v>
      </c>
      <c r="N12" s="8">
        <f>IF(COUNT(AQ12,AT12,BR12,BU12,CS12,CV12)&gt;2,LARGE((AQ12,AT12,BR12,BU12,CS12,CV12),3),0)</f>
        <v>32.664999999999999</v>
      </c>
      <c r="O12" s="8" t="str">
        <f t="shared" si="7"/>
        <v>2024 3rd Domestic Trial</v>
      </c>
      <c r="P12" s="8">
        <f t="shared" si="8"/>
        <v>28.884999999999998</v>
      </c>
      <c r="Q12" s="8" t="str">
        <f t="shared" si="9"/>
        <v>2024 3rd Domestic Trial</v>
      </c>
      <c r="R12" s="8">
        <f t="shared" si="10"/>
        <v>16.2</v>
      </c>
      <c r="S12" s="8" t="str">
        <f t="shared" si="11"/>
        <v>2024 World Cup POR (July 7)</v>
      </c>
      <c r="T12" s="8">
        <f t="shared" si="12"/>
        <v>17.309999999999999</v>
      </c>
      <c r="U12" s="8" t="str">
        <f t="shared" si="13"/>
        <v>2024 World Cup POR (July 7)</v>
      </c>
      <c r="V12" s="8">
        <f t="shared" si="14"/>
        <v>26.044999999999995</v>
      </c>
      <c r="W12" s="11" t="str">
        <f t="shared" si="15"/>
        <v>(Prelim)</v>
      </c>
      <c r="X12" s="8" t="str">
        <f t="shared" si="16"/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 t="shared" si="17"/>
        <v>6.9</v>
      </c>
      <c r="AP12" s="38">
        <f t="shared" si="18"/>
        <v>6.8149999999999995</v>
      </c>
      <c r="AQ12" s="40">
        <f t="shared" si="19"/>
        <v>23.714999999999996</v>
      </c>
      <c r="AR12" s="40">
        <f t="shared" si="20"/>
        <v>9.25</v>
      </c>
      <c r="AS12" s="40">
        <f t="shared" si="21"/>
        <v>9.2149999999999999</v>
      </c>
      <c r="AT12" s="40">
        <f t="shared" si="22"/>
        <v>32.664999999999999</v>
      </c>
      <c r="AU12" s="40">
        <f t="shared" si="23"/>
        <v>32.664999999999999</v>
      </c>
      <c r="AV12" s="40">
        <f t="shared" si="24"/>
        <v>8.25</v>
      </c>
      <c r="AW12" s="40">
        <f t="shared" si="25"/>
        <v>8.3849999999999998</v>
      </c>
      <c r="AX12" s="40">
        <f t="shared" si="26"/>
        <v>28.884999999999998</v>
      </c>
      <c r="AY12" s="40">
        <f t="shared" si="27"/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 t="shared" si="28"/>
        <v>6.9</v>
      </c>
      <c r="BQ12" s="39">
        <f t="shared" si="29"/>
        <v>6.8149999999999995</v>
      </c>
      <c r="BR12" s="11">
        <f t="shared" si="30"/>
        <v>23.714999999999996</v>
      </c>
      <c r="BS12" s="11">
        <f t="shared" si="31"/>
        <v>9.25</v>
      </c>
      <c r="BT12" s="11">
        <f t="shared" si="32"/>
        <v>9.2149999999999999</v>
      </c>
      <c r="BU12" s="11">
        <f t="shared" si="33"/>
        <v>32.664999999999999</v>
      </c>
      <c r="BV12" s="11">
        <f t="shared" si="34"/>
        <v>32.664999999999999</v>
      </c>
      <c r="BW12" s="11">
        <f t="shared" si="35"/>
        <v>8.25</v>
      </c>
      <c r="BX12" s="11">
        <f t="shared" si="36"/>
        <v>8.3849999999999998</v>
      </c>
      <c r="BY12" s="11">
        <f t="shared" si="37"/>
        <v>28.884999999999998</v>
      </c>
      <c r="BZ12" s="11">
        <f t="shared" si="38"/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 t="shared" si="39"/>
        <v>6.9</v>
      </c>
      <c r="CR12" s="38">
        <f t="shared" si="40"/>
        <v>6.8149999999999995</v>
      </c>
      <c r="CS12" s="40">
        <f t="shared" si="41"/>
        <v>23.714999999999996</v>
      </c>
      <c r="CT12" s="40">
        <f t="shared" si="42"/>
        <v>9.25</v>
      </c>
      <c r="CU12" s="40">
        <f t="shared" si="43"/>
        <v>9.2149999999999999</v>
      </c>
      <c r="CV12" s="40">
        <f t="shared" si="44"/>
        <v>32.664999999999999</v>
      </c>
      <c r="CW12" s="40">
        <f t="shared" si="45"/>
        <v>32.664999999999999</v>
      </c>
      <c r="CX12" s="40">
        <f t="shared" si="46"/>
        <v>8.25</v>
      </c>
      <c r="CY12" s="40">
        <f t="shared" si="47"/>
        <v>8.3849999999999998</v>
      </c>
      <c r="CZ12" s="40">
        <f t="shared" si="48"/>
        <v>28.884999999999998</v>
      </c>
      <c r="DA12" s="40">
        <f t="shared" si="49"/>
        <v>61.55</v>
      </c>
      <c r="DB12" s="51">
        <f t="shared" si="50"/>
        <v>26.044999999999995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 t="shared" si="150"/>
        <v>16.2</v>
      </c>
      <c r="NC12" s="11">
        <f t="shared" si="151"/>
        <v>17.309999999999999</v>
      </c>
      <c r="ND12" s="11">
        <f t="shared" si="152"/>
        <v>58.709999999999994</v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>
        <f t="shared" si="156"/>
        <v>58.709999999999994</v>
      </c>
      <c r="NI12" s="11">
        <f t="shared" si="157"/>
        <v>2</v>
      </c>
      <c r="NJ12" s="11">
        <f t="shared" si="158"/>
        <v>1.83</v>
      </c>
      <c r="NK12" s="11">
        <f t="shared" si="159"/>
        <v>6.43</v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>
        <f t="shared" si="163"/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6.65</v>
      </c>
      <c r="WU12" s="26">
        <f t="shared" si="263"/>
        <v>3.35</v>
      </c>
      <c r="WV12" s="26">
        <f t="shared" si="264"/>
        <v>6.9</v>
      </c>
      <c r="WW12" s="26">
        <f t="shared" si="265"/>
        <v>6.8149999999999995</v>
      </c>
      <c r="WX12" s="26">
        <f t="shared" si="266"/>
        <v>0</v>
      </c>
      <c r="WY12" s="26">
        <f t="shared" si="267"/>
        <v>9.1</v>
      </c>
      <c r="WZ12" s="26">
        <f t="shared" si="268"/>
        <v>5.0999999999999996</v>
      </c>
      <c r="XA12" s="26">
        <f t="shared" si="269"/>
        <v>9.25</v>
      </c>
      <c r="XB12" s="26">
        <f t="shared" si="270"/>
        <v>9.2149999999999999</v>
      </c>
      <c r="XC12" s="26">
        <f t="shared" si="271"/>
        <v>0</v>
      </c>
      <c r="XD12" s="26">
        <f t="shared" si="272"/>
        <v>8.1</v>
      </c>
      <c r="XE12" s="26">
        <f t="shared" si="273"/>
        <v>4.1500000000000004</v>
      </c>
      <c r="XF12" s="26">
        <f t="shared" si="274"/>
        <v>8.25</v>
      </c>
      <c r="XG12" s="26">
        <f t="shared" si="275"/>
        <v>8.3849999999999998</v>
      </c>
      <c r="XH12" s="26">
        <f t="shared" si="276"/>
        <v>0</v>
      </c>
      <c r="XI12" s="28" t="s">
        <v>53</v>
      </c>
      <c r="XJ12" s="11">
        <f t="shared" si="277"/>
        <v>6.9</v>
      </c>
      <c r="XK12" s="11">
        <f t="shared" si="278"/>
        <v>6.8149999999999995</v>
      </c>
      <c r="XL12" s="11">
        <f t="shared" si="279"/>
        <v>23.714999999999996</v>
      </c>
      <c r="XM12" s="11">
        <f t="shared" si="280"/>
        <v>9.25</v>
      </c>
      <c r="XN12" s="11">
        <f t="shared" si="281"/>
        <v>9.2149999999999999</v>
      </c>
      <c r="XO12" s="11">
        <f t="shared" si="282"/>
        <v>32.664999999999999</v>
      </c>
      <c r="XP12" s="11">
        <f t="shared" si="283"/>
        <v>32.664999999999999</v>
      </c>
      <c r="XQ12" s="11">
        <f t="shared" si="284"/>
        <v>8.25</v>
      </c>
      <c r="XR12" s="11">
        <f t="shared" si="285"/>
        <v>8.3849999999999998</v>
      </c>
      <c r="XS12" s="11">
        <f t="shared" si="286"/>
        <v>28.884999999999998</v>
      </c>
      <c r="XT12" s="11">
        <f t="shared" si="287"/>
        <v>61.55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185</v>
      </c>
      <c r="C13" s="4" t="s">
        <v>5</v>
      </c>
      <c r="D13" s="4">
        <v>2007</v>
      </c>
      <c r="E13" s="9">
        <f t="shared" si="0"/>
        <v>231.02002283800533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53.56</v>
      </c>
      <c r="K13" s="8" t="str">
        <f t="shared" si="5"/>
        <v>2024 Nationals</v>
      </c>
      <c r="L13" s="8">
        <f>IF(COUNT(AQ13,AT13,BR13,BU13,CS13,CV13)&gt;1,LARGE((AQ13,AT13,BR13,BU13,CS13,CV13),2),0)</f>
        <v>53.5</v>
      </c>
      <c r="M13" s="8" t="str">
        <f t="shared" si="6"/>
        <v>2024 Elite Canada</v>
      </c>
      <c r="N13" s="8">
        <f>IF(COUNT(AQ13,AT13,BR13,BU13,CS13,CV13)&gt;2,LARGE((AQ13,AT13,BR13,BU13,CS13,CV13),3),0)</f>
        <v>52.739999999999995</v>
      </c>
      <c r="O13" s="8" t="str">
        <f t="shared" si="7"/>
        <v>2024 Elite Canada</v>
      </c>
      <c r="P13" s="8">
        <f t="shared" si="8"/>
        <v>54.58</v>
      </c>
      <c r="Q13" s="8" t="str">
        <f t="shared" si="9"/>
        <v>2024 Nationals</v>
      </c>
      <c r="R13" s="8">
        <f t="shared" si="10"/>
        <v>14</v>
      </c>
      <c r="S13" s="8" t="str">
        <f t="shared" si="11"/>
        <v>2024 Elite Canada</v>
      </c>
      <c r="T13" s="8">
        <f t="shared" si="12"/>
        <v>0</v>
      </c>
      <c r="U13" s="8" t="str">
        <f t="shared" si="13"/>
        <v/>
      </c>
      <c r="V13" s="8">
        <f t="shared" si="14"/>
        <v>2.6400000000000006</v>
      </c>
      <c r="W13" s="11" t="str">
        <f t="shared" si="15"/>
        <v>(Prelim)</v>
      </c>
      <c r="X13" s="8" t="str">
        <f t="shared" si="16"/>
        <v>2024 Coimbra Gym Fest (July 7)</v>
      </c>
      <c r="Y13" s="22">
        <v>15.3</v>
      </c>
      <c r="Z13" s="22">
        <v>9.1</v>
      </c>
      <c r="AA13" s="22">
        <v>13.4</v>
      </c>
      <c r="AB13" s="22">
        <v>15.04</v>
      </c>
      <c r="AC13" s="22">
        <v>0.1</v>
      </c>
      <c r="AD13" s="22">
        <v>15.1</v>
      </c>
      <c r="AE13" s="22">
        <v>9</v>
      </c>
      <c r="AF13" s="22">
        <v>14</v>
      </c>
      <c r="AG13" s="22">
        <v>15.4</v>
      </c>
      <c r="AH13" s="22">
        <v>0</v>
      </c>
      <c r="AI13" s="22">
        <v>11.1</v>
      </c>
      <c r="AJ13" s="22">
        <v>6.3</v>
      </c>
      <c r="AK13" s="22">
        <v>10.3</v>
      </c>
      <c r="AL13" s="22">
        <v>10.92</v>
      </c>
      <c r="AM13" s="22">
        <v>0</v>
      </c>
      <c r="AN13" s="27"/>
      <c r="AO13" s="38">
        <f t="shared" si="17"/>
        <v>13.4</v>
      </c>
      <c r="AP13" s="38">
        <f t="shared" si="18"/>
        <v>15.04</v>
      </c>
      <c r="AQ13" s="40">
        <f t="shared" si="19"/>
        <v>52.739999999999995</v>
      </c>
      <c r="AR13" s="40">
        <f t="shared" si="20"/>
        <v>14</v>
      </c>
      <c r="AS13" s="40">
        <f t="shared" si="21"/>
        <v>15.4</v>
      </c>
      <c r="AT13" s="40">
        <f t="shared" si="22"/>
        <v>53.5</v>
      </c>
      <c r="AU13" s="40">
        <f t="shared" si="23"/>
        <v>53.5</v>
      </c>
      <c r="AV13" s="40">
        <f t="shared" si="24"/>
        <v>10.3</v>
      </c>
      <c r="AW13" s="40">
        <f t="shared" si="25"/>
        <v>10.92</v>
      </c>
      <c r="AX13" s="40">
        <f t="shared" si="26"/>
        <v>38.619999999999997</v>
      </c>
      <c r="AY13" s="40">
        <f t="shared" si="27"/>
        <v>92.12</v>
      </c>
      <c r="AZ13" s="26">
        <v>15.5</v>
      </c>
      <c r="BA13" s="26">
        <v>9.3000000000000007</v>
      </c>
      <c r="BB13" s="26">
        <v>13.3</v>
      </c>
      <c r="BC13" s="26">
        <v>15.66</v>
      </c>
      <c r="BD13" s="26">
        <v>0.2</v>
      </c>
      <c r="BE13" s="26">
        <v>4.0999999999999996</v>
      </c>
      <c r="BF13" s="26">
        <v>2.7</v>
      </c>
      <c r="BG13" s="26">
        <v>4.7</v>
      </c>
      <c r="BH13" s="26">
        <v>4.71</v>
      </c>
      <c r="BI13" s="26">
        <v>0</v>
      </c>
      <c r="BJ13" s="26">
        <v>16.5</v>
      </c>
      <c r="BK13" s="26">
        <v>9</v>
      </c>
      <c r="BL13" s="26">
        <v>13.4</v>
      </c>
      <c r="BM13" s="26">
        <v>15.78</v>
      </c>
      <c r="BN13" s="26">
        <v>0.1</v>
      </c>
      <c r="BO13" s="28"/>
      <c r="BP13" s="39">
        <f t="shared" si="28"/>
        <v>13.3</v>
      </c>
      <c r="BQ13" s="39">
        <f t="shared" si="29"/>
        <v>15.66</v>
      </c>
      <c r="BR13" s="11">
        <f t="shared" si="30"/>
        <v>53.56</v>
      </c>
      <c r="BS13" s="11">
        <f t="shared" si="31"/>
        <v>4.7</v>
      </c>
      <c r="BT13" s="11">
        <f t="shared" si="32"/>
        <v>4.71</v>
      </c>
      <c r="BU13" s="11">
        <f t="shared" si="33"/>
        <v>16.21</v>
      </c>
      <c r="BV13" s="11">
        <f t="shared" si="34"/>
        <v>53.56</v>
      </c>
      <c r="BW13" s="11">
        <f t="shared" si="35"/>
        <v>13.4</v>
      </c>
      <c r="BX13" s="11">
        <f t="shared" si="36"/>
        <v>15.78</v>
      </c>
      <c r="BY13" s="11">
        <f t="shared" si="37"/>
        <v>54.58</v>
      </c>
      <c r="BZ13" s="11">
        <f t="shared" si="38"/>
        <v>108.14</v>
      </c>
      <c r="CA13" s="22">
        <v>11.9</v>
      </c>
      <c r="CB13" s="22">
        <v>6.2</v>
      </c>
      <c r="CC13" s="22">
        <v>10.3</v>
      </c>
      <c r="CD13" s="22">
        <v>12.19</v>
      </c>
      <c r="CE13" s="22">
        <v>0</v>
      </c>
      <c r="CF13" s="22">
        <v>15.3</v>
      </c>
      <c r="CG13" s="22">
        <v>7.9</v>
      </c>
      <c r="CH13" s="22">
        <v>13.2</v>
      </c>
      <c r="CI13" s="22">
        <v>15.51</v>
      </c>
      <c r="CJ13" s="22">
        <v>0</v>
      </c>
      <c r="CK13" s="22">
        <v>14.2</v>
      </c>
      <c r="CL13" s="22">
        <v>7.2</v>
      </c>
      <c r="CM13" s="22">
        <v>11.7</v>
      </c>
      <c r="CN13" s="22">
        <v>13.91</v>
      </c>
      <c r="CO13" s="22">
        <v>0</v>
      </c>
      <c r="CP13" s="27"/>
      <c r="CQ13" s="38">
        <f t="shared" si="39"/>
        <v>10.3</v>
      </c>
      <c r="CR13" s="38">
        <f t="shared" si="40"/>
        <v>12.19</v>
      </c>
      <c r="CS13" s="40">
        <f t="shared" si="41"/>
        <v>40.590000000000003</v>
      </c>
      <c r="CT13" s="40">
        <f t="shared" si="42"/>
        <v>13.2</v>
      </c>
      <c r="CU13" s="40">
        <f t="shared" si="43"/>
        <v>15.51</v>
      </c>
      <c r="CV13" s="40">
        <f t="shared" si="44"/>
        <v>51.910000000000004</v>
      </c>
      <c r="CW13" s="40">
        <f t="shared" si="45"/>
        <v>51.910000000000004</v>
      </c>
      <c r="CX13" s="40">
        <f t="shared" si="46"/>
        <v>11.7</v>
      </c>
      <c r="CY13" s="40">
        <f t="shared" si="47"/>
        <v>13.91</v>
      </c>
      <c r="CZ13" s="40">
        <f t="shared" si="48"/>
        <v>47.009999999999991</v>
      </c>
      <c r="DA13" s="40">
        <f t="shared" si="49"/>
        <v>98.919999999999987</v>
      </c>
      <c r="DB13" s="51">
        <f t="shared" si="50"/>
        <v>2.6400000000000006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1.6</v>
      </c>
      <c r="IK13" s="17">
        <v>0.9</v>
      </c>
      <c r="IL13" s="17">
        <v>2</v>
      </c>
      <c r="IM13" s="17">
        <v>1.75</v>
      </c>
      <c r="IN13" s="17">
        <v>0</v>
      </c>
      <c r="IO13" s="17">
        <v>7.6</v>
      </c>
      <c r="IP13" s="17">
        <v>4.5</v>
      </c>
      <c r="IQ13" s="17">
        <v>7</v>
      </c>
      <c r="IR13" s="17">
        <v>8.17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>
        <f t="shared" si="108"/>
        <v>2</v>
      </c>
      <c r="JE13" s="40">
        <f t="shared" si="109"/>
        <v>1.75</v>
      </c>
      <c r="JF13" s="40">
        <f t="shared" si="110"/>
        <v>6.25</v>
      </c>
      <c r="JG13" s="40">
        <f t="shared" si="111"/>
        <v>7</v>
      </c>
      <c r="JH13" s="40">
        <f t="shared" si="112"/>
        <v>8.17</v>
      </c>
      <c r="JI13" s="40">
        <f t="shared" si="113"/>
        <v>27.270000000000003</v>
      </c>
      <c r="JJ13" s="40">
        <f t="shared" si="114"/>
        <v>27.270000000000003</v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>
        <f t="shared" si="121"/>
        <v>27.270000000000003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>
        <v>15.5</v>
      </c>
      <c r="LA13" s="17">
        <v>9.8000000000000007</v>
      </c>
      <c r="LB13" s="17">
        <v>14</v>
      </c>
      <c r="LC13" s="17">
        <v>16.079999999999998</v>
      </c>
      <c r="LD13" s="17">
        <v>0</v>
      </c>
      <c r="LE13" s="17">
        <v>12.1</v>
      </c>
      <c r="LF13" s="17">
        <v>7</v>
      </c>
      <c r="LG13" s="17">
        <v>9.6999999999999993</v>
      </c>
      <c r="LH13" s="17">
        <v>13.08</v>
      </c>
      <c r="LI13" s="17">
        <v>0</v>
      </c>
      <c r="LJ13" s="17">
        <v>10.3</v>
      </c>
      <c r="LK13" s="17">
        <v>6.2</v>
      </c>
      <c r="LL13" s="17">
        <v>10.3</v>
      </c>
      <c r="LM13" s="17">
        <v>11.26</v>
      </c>
      <c r="LN13" s="17">
        <v>0</v>
      </c>
      <c r="LO13" s="17"/>
      <c r="LP13" s="17"/>
      <c r="LQ13" s="17"/>
      <c r="LR13" s="17"/>
      <c r="LS13" s="17"/>
      <c r="LT13" s="40">
        <f t="shared" si="136"/>
        <v>14</v>
      </c>
      <c r="LU13" s="40">
        <f t="shared" si="137"/>
        <v>16.079999999999998</v>
      </c>
      <c r="LV13" s="40">
        <f t="shared" si="138"/>
        <v>55.379999999999995</v>
      </c>
      <c r="LW13" s="40">
        <f t="shared" si="139"/>
        <v>9.6999999999999993</v>
      </c>
      <c r="LX13" s="40">
        <f t="shared" si="140"/>
        <v>13.08</v>
      </c>
      <c r="LY13" s="40">
        <f t="shared" si="141"/>
        <v>41.88</v>
      </c>
      <c r="LZ13" s="40">
        <f t="shared" si="142"/>
        <v>55.379999999999995</v>
      </c>
      <c r="MA13" s="40">
        <f t="shared" si="143"/>
        <v>10.3</v>
      </c>
      <c r="MB13" s="40">
        <f t="shared" si="144"/>
        <v>11.26</v>
      </c>
      <c r="MC13" s="40">
        <f t="shared" si="145"/>
        <v>38.06</v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>
        <f t="shared" si="149"/>
        <v>93.44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13.7</v>
      </c>
      <c r="WU13" s="26">
        <f t="shared" si="263"/>
        <v>7.75</v>
      </c>
      <c r="WV13" s="26">
        <f t="shared" si="264"/>
        <v>11.8</v>
      </c>
      <c r="WW13" s="26">
        <f t="shared" si="265"/>
        <v>13.925000000000001</v>
      </c>
      <c r="WX13" s="26">
        <f t="shared" si="266"/>
        <v>0.1</v>
      </c>
      <c r="WY13" s="26">
        <f t="shared" si="267"/>
        <v>9.6999999999999993</v>
      </c>
      <c r="WZ13" s="26">
        <f t="shared" si="268"/>
        <v>5.3000000000000007</v>
      </c>
      <c r="XA13" s="26">
        <f t="shared" si="269"/>
        <v>8.9499999999999993</v>
      </c>
      <c r="XB13" s="26">
        <f t="shared" si="270"/>
        <v>10.11</v>
      </c>
      <c r="XC13" s="26">
        <f t="shared" si="271"/>
        <v>0</v>
      </c>
      <c r="XD13" s="26">
        <f t="shared" si="272"/>
        <v>15.35</v>
      </c>
      <c r="XE13" s="26">
        <f t="shared" si="273"/>
        <v>8.1</v>
      </c>
      <c r="XF13" s="26">
        <f t="shared" si="274"/>
        <v>12.55</v>
      </c>
      <c r="XG13" s="26">
        <f t="shared" si="275"/>
        <v>14.844999999999999</v>
      </c>
      <c r="XH13" s="26">
        <f t="shared" si="276"/>
        <v>0.05</v>
      </c>
      <c r="XI13" s="28" t="s">
        <v>53</v>
      </c>
      <c r="XJ13" s="11">
        <f t="shared" si="277"/>
        <v>11.8</v>
      </c>
      <c r="XK13" s="11">
        <f t="shared" si="278"/>
        <v>13.925000000000001</v>
      </c>
      <c r="XL13" s="11">
        <f t="shared" si="279"/>
        <v>47.074999999999996</v>
      </c>
      <c r="XM13" s="11">
        <f t="shared" si="280"/>
        <v>8.9499999999999993</v>
      </c>
      <c r="XN13" s="11">
        <f t="shared" si="281"/>
        <v>10.11</v>
      </c>
      <c r="XO13" s="11">
        <f t="shared" si="282"/>
        <v>34.06</v>
      </c>
      <c r="XP13" s="11">
        <f t="shared" si="283"/>
        <v>47.074999999999996</v>
      </c>
      <c r="XQ13" s="11">
        <f t="shared" si="284"/>
        <v>12.55</v>
      </c>
      <c r="XR13" s="11">
        <f t="shared" si="285"/>
        <v>14.844999999999999</v>
      </c>
      <c r="XS13" s="11">
        <f t="shared" si="286"/>
        <v>50.795000000000002</v>
      </c>
      <c r="XT13" s="11">
        <f t="shared" si="287"/>
        <v>97.87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159</v>
      </c>
      <c r="C14" s="4" t="s">
        <v>7</v>
      </c>
      <c r="D14" s="4">
        <v>2006</v>
      </c>
      <c r="E14" s="9">
        <f t="shared" si="0"/>
        <v>227.44002255000538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54.11</v>
      </c>
      <c r="K14" s="8" t="str">
        <f t="shared" si="5"/>
        <v>2024 3rd Domestic Trial</v>
      </c>
      <c r="L14" s="8">
        <f>IF(COUNT(AQ14,AT14,BR14,BU14,CS14,CV14)&gt;1,LARGE((AQ14,AT14,BR14,BU14,CS14,CV14),2),0)</f>
        <v>52</v>
      </c>
      <c r="M14" s="8" t="str">
        <f t="shared" si="6"/>
        <v>2024 Nationals</v>
      </c>
      <c r="N14" s="8">
        <f>IF(COUNT(AQ14,AT14,BR14,BU14,CS14,CV14)&gt;2,LARGE((AQ14,AT14,BR14,BU14,CS14,CV14),3),0)</f>
        <v>51.16</v>
      </c>
      <c r="O14" s="8" t="str">
        <f t="shared" si="7"/>
        <v>2024 Elite Canada</v>
      </c>
      <c r="P14" s="8">
        <f t="shared" si="8"/>
        <v>53.83</v>
      </c>
      <c r="Q14" s="8" t="str">
        <f t="shared" si="9"/>
        <v>2024 3rd Domestic Trial</v>
      </c>
      <c r="R14" s="8">
        <f t="shared" si="10"/>
        <v>14.4</v>
      </c>
      <c r="S14" s="8" t="str">
        <f t="shared" si="11"/>
        <v>2024 3rd Domestic Trial</v>
      </c>
      <c r="T14" s="8">
        <f t="shared" si="12"/>
        <v>0</v>
      </c>
      <c r="U14" s="8" t="str">
        <f t="shared" si="13"/>
        <v/>
      </c>
      <c r="V14" s="8">
        <f t="shared" si="14"/>
        <v>1.9400000000000048</v>
      </c>
      <c r="W14" s="11" t="str">
        <f t="shared" si="15"/>
        <v>(Prelim)</v>
      </c>
      <c r="X14" s="8" t="str">
        <f t="shared" si="16"/>
        <v>2024 Coimbra Gym Fest (July 7)</v>
      </c>
      <c r="Y14" s="22">
        <v>14.8</v>
      </c>
      <c r="Z14" s="22">
        <v>9</v>
      </c>
      <c r="AA14" s="22">
        <v>12.2</v>
      </c>
      <c r="AB14" s="22">
        <v>15.16</v>
      </c>
      <c r="AC14" s="22">
        <v>0</v>
      </c>
      <c r="AD14" s="22">
        <v>1.4</v>
      </c>
      <c r="AE14" s="22">
        <v>1</v>
      </c>
      <c r="AF14" s="22">
        <v>2</v>
      </c>
      <c r="AG14" s="22">
        <v>1.69</v>
      </c>
      <c r="AH14" s="22">
        <v>0</v>
      </c>
      <c r="AI14" s="22">
        <v>15.2</v>
      </c>
      <c r="AJ14" s="22">
        <v>9.6</v>
      </c>
      <c r="AK14" s="22">
        <v>12.2</v>
      </c>
      <c r="AL14" s="22">
        <v>15</v>
      </c>
      <c r="AM14" s="22">
        <v>0</v>
      </c>
      <c r="AN14" s="27"/>
      <c r="AO14" s="38">
        <f t="shared" si="17"/>
        <v>12.2</v>
      </c>
      <c r="AP14" s="38">
        <f t="shared" si="18"/>
        <v>15.16</v>
      </c>
      <c r="AQ14" s="40">
        <f t="shared" si="19"/>
        <v>51.16</v>
      </c>
      <c r="AR14" s="40">
        <f t="shared" si="20"/>
        <v>2</v>
      </c>
      <c r="AS14" s="40">
        <f t="shared" si="21"/>
        <v>1.69</v>
      </c>
      <c r="AT14" s="40">
        <f t="shared" si="22"/>
        <v>6.09</v>
      </c>
      <c r="AU14" s="40">
        <f t="shared" si="23"/>
        <v>51.16</v>
      </c>
      <c r="AV14" s="40">
        <f t="shared" si="24"/>
        <v>12.2</v>
      </c>
      <c r="AW14" s="40">
        <f t="shared" si="25"/>
        <v>15</v>
      </c>
      <c r="AX14" s="40">
        <f t="shared" si="26"/>
        <v>52</v>
      </c>
      <c r="AY14" s="40">
        <f t="shared" si="27"/>
        <v>103.16</v>
      </c>
      <c r="AZ14" s="26">
        <v>14</v>
      </c>
      <c r="BA14" s="26">
        <v>8.6999999999999993</v>
      </c>
      <c r="BB14" s="26">
        <v>12</v>
      </c>
      <c r="BC14" s="26">
        <v>14.73</v>
      </c>
      <c r="BD14" s="26">
        <v>0</v>
      </c>
      <c r="BE14" s="26">
        <v>14.2</v>
      </c>
      <c r="BF14" s="26">
        <v>9.1</v>
      </c>
      <c r="BG14" s="26">
        <v>14</v>
      </c>
      <c r="BH14" s="26">
        <v>14.7</v>
      </c>
      <c r="BI14" s="26">
        <v>0</v>
      </c>
      <c r="BJ14" s="26">
        <v>13.8</v>
      </c>
      <c r="BK14" s="26">
        <v>8.4</v>
      </c>
      <c r="BL14" s="26">
        <v>12.4</v>
      </c>
      <c r="BM14" s="26">
        <v>13.98</v>
      </c>
      <c r="BN14" s="26">
        <v>0</v>
      </c>
      <c r="BO14" s="28"/>
      <c r="BP14" s="39">
        <f t="shared" si="28"/>
        <v>12</v>
      </c>
      <c r="BQ14" s="39">
        <f t="shared" si="29"/>
        <v>14.73</v>
      </c>
      <c r="BR14" s="11">
        <f t="shared" si="30"/>
        <v>49.430000000000007</v>
      </c>
      <c r="BS14" s="11">
        <f t="shared" si="31"/>
        <v>14</v>
      </c>
      <c r="BT14" s="11">
        <f t="shared" si="32"/>
        <v>14.7</v>
      </c>
      <c r="BU14" s="11">
        <f t="shared" si="33"/>
        <v>52</v>
      </c>
      <c r="BV14" s="11">
        <f t="shared" si="34"/>
        <v>52</v>
      </c>
      <c r="BW14" s="11">
        <f t="shared" si="35"/>
        <v>12.4</v>
      </c>
      <c r="BX14" s="11">
        <f t="shared" si="36"/>
        <v>13.98</v>
      </c>
      <c r="BY14" s="11">
        <f t="shared" si="37"/>
        <v>48.58</v>
      </c>
      <c r="BZ14" s="11">
        <f t="shared" si="38"/>
        <v>100.58</v>
      </c>
      <c r="CA14" s="22">
        <v>13.4</v>
      </c>
      <c r="CB14" s="22">
        <v>7.9</v>
      </c>
      <c r="CC14" s="22">
        <v>12.8</v>
      </c>
      <c r="CD14" s="22">
        <v>14.64</v>
      </c>
      <c r="CE14" s="22">
        <v>0</v>
      </c>
      <c r="CF14" s="22">
        <v>14.1</v>
      </c>
      <c r="CG14" s="22">
        <v>9.6</v>
      </c>
      <c r="CH14" s="22">
        <v>14.4</v>
      </c>
      <c r="CI14" s="22">
        <v>16.010000000000002</v>
      </c>
      <c r="CJ14" s="22">
        <v>0</v>
      </c>
      <c r="CK14" s="22">
        <v>14.4</v>
      </c>
      <c r="CL14" s="22">
        <v>9</v>
      </c>
      <c r="CM14" s="22">
        <v>14.4</v>
      </c>
      <c r="CN14" s="22">
        <v>16.03</v>
      </c>
      <c r="CO14" s="22">
        <v>0</v>
      </c>
      <c r="CP14" s="27"/>
      <c r="CQ14" s="38">
        <f t="shared" si="39"/>
        <v>12.8</v>
      </c>
      <c r="CR14" s="38">
        <f t="shared" si="40"/>
        <v>14.64</v>
      </c>
      <c r="CS14" s="40">
        <f t="shared" si="41"/>
        <v>48.74</v>
      </c>
      <c r="CT14" s="40">
        <f t="shared" si="42"/>
        <v>14.4</v>
      </c>
      <c r="CU14" s="40">
        <f t="shared" si="43"/>
        <v>16.010000000000002</v>
      </c>
      <c r="CV14" s="40">
        <f t="shared" si="44"/>
        <v>54.11</v>
      </c>
      <c r="CW14" s="40">
        <f t="shared" si="45"/>
        <v>54.11</v>
      </c>
      <c r="CX14" s="40">
        <f t="shared" si="46"/>
        <v>14.4</v>
      </c>
      <c r="CY14" s="40">
        <f t="shared" si="47"/>
        <v>16.03</v>
      </c>
      <c r="CZ14" s="40">
        <f t="shared" si="48"/>
        <v>53.83</v>
      </c>
      <c r="DA14" s="40">
        <f t="shared" si="49"/>
        <v>107.94</v>
      </c>
      <c r="DB14" s="51">
        <f t="shared" si="50"/>
        <v>1.9400000000000048</v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>
        <v>14.2</v>
      </c>
      <c r="LA14" s="17">
        <v>8.3000000000000007</v>
      </c>
      <c r="LB14" s="17">
        <v>14</v>
      </c>
      <c r="LC14" s="17">
        <v>15.15</v>
      </c>
      <c r="LD14" s="17">
        <v>0</v>
      </c>
      <c r="LE14" s="17">
        <v>14.3</v>
      </c>
      <c r="LF14" s="17">
        <v>9.1999999999999993</v>
      </c>
      <c r="LG14" s="17">
        <v>14</v>
      </c>
      <c r="LH14" s="17">
        <v>15.6</v>
      </c>
      <c r="LI14" s="17">
        <v>0</v>
      </c>
      <c r="LJ14" s="17">
        <v>13.5</v>
      </c>
      <c r="LK14" s="17">
        <v>9.6</v>
      </c>
      <c r="LL14" s="17">
        <v>12.2</v>
      </c>
      <c r="LM14" s="17">
        <v>14.84</v>
      </c>
      <c r="LN14" s="17">
        <v>0</v>
      </c>
      <c r="LO14" s="17">
        <v>10.5</v>
      </c>
      <c r="LP14" s="17">
        <v>7</v>
      </c>
      <c r="LQ14" s="17">
        <v>9.6999999999999993</v>
      </c>
      <c r="LR14" s="17">
        <v>12.1</v>
      </c>
      <c r="LS14" s="17">
        <v>0</v>
      </c>
      <c r="LT14" s="40">
        <f t="shared" si="136"/>
        <v>14</v>
      </c>
      <c r="LU14" s="40">
        <f t="shared" si="137"/>
        <v>15.15</v>
      </c>
      <c r="LV14" s="40">
        <f t="shared" si="138"/>
        <v>51.65</v>
      </c>
      <c r="LW14" s="40">
        <f t="shared" si="139"/>
        <v>14</v>
      </c>
      <c r="LX14" s="40">
        <f t="shared" si="140"/>
        <v>15.6</v>
      </c>
      <c r="LY14" s="40">
        <f t="shared" si="141"/>
        <v>53.1</v>
      </c>
      <c r="LZ14" s="40">
        <f t="shared" si="142"/>
        <v>53.1</v>
      </c>
      <c r="MA14" s="40">
        <f t="shared" si="143"/>
        <v>12.2</v>
      </c>
      <c r="MB14" s="40">
        <f t="shared" si="144"/>
        <v>14.84</v>
      </c>
      <c r="MC14" s="40">
        <f t="shared" si="145"/>
        <v>50.14</v>
      </c>
      <c r="MD14" s="40">
        <f t="shared" si="146"/>
        <v>9.6999999999999993</v>
      </c>
      <c r="ME14" s="40">
        <f t="shared" si="147"/>
        <v>12.1</v>
      </c>
      <c r="MF14" s="40">
        <f t="shared" si="148"/>
        <v>39.299999999999997</v>
      </c>
      <c r="MG14" s="40">
        <f t="shared" si="149"/>
        <v>142.54000000000002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13.7</v>
      </c>
      <c r="WU14" s="26">
        <f t="shared" si="263"/>
        <v>8.3000000000000007</v>
      </c>
      <c r="WV14" s="26">
        <f t="shared" si="264"/>
        <v>12.4</v>
      </c>
      <c r="WW14" s="26">
        <f t="shared" si="265"/>
        <v>14.685</v>
      </c>
      <c r="WX14" s="26">
        <f t="shared" si="266"/>
        <v>0</v>
      </c>
      <c r="WY14" s="26">
        <f t="shared" si="267"/>
        <v>14.149999999999999</v>
      </c>
      <c r="WZ14" s="26">
        <f t="shared" si="268"/>
        <v>9.35</v>
      </c>
      <c r="XA14" s="26">
        <f t="shared" si="269"/>
        <v>14.2</v>
      </c>
      <c r="XB14" s="26">
        <f t="shared" si="270"/>
        <v>15.355</v>
      </c>
      <c r="XC14" s="26">
        <f t="shared" si="271"/>
        <v>0</v>
      </c>
      <c r="XD14" s="26">
        <f t="shared" si="272"/>
        <v>14.100000000000001</v>
      </c>
      <c r="XE14" s="26">
        <f t="shared" si="273"/>
        <v>8.6999999999999993</v>
      </c>
      <c r="XF14" s="26">
        <f t="shared" si="274"/>
        <v>13.4</v>
      </c>
      <c r="XG14" s="26">
        <f t="shared" si="275"/>
        <v>15.005000000000001</v>
      </c>
      <c r="XH14" s="26">
        <f t="shared" si="276"/>
        <v>0</v>
      </c>
      <c r="XI14" s="28" t="s">
        <v>53</v>
      </c>
      <c r="XJ14" s="11">
        <f t="shared" si="277"/>
        <v>12.4</v>
      </c>
      <c r="XK14" s="11">
        <f t="shared" si="278"/>
        <v>14.685</v>
      </c>
      <c r="XL14" s="11">
        <f t="shared" si="279"/>
        <v>49.085000000000001</v>
      </c>
      <c r="XM14" s="11">
        <f t="shared" si="280"/>
        <v>14.2</v>
      </c>
      <c r="XN14" s="11">
        <f t="shared" si="281"/>
        <v>15.355</v>
      </c>
      <c r="XO14" s="11">
        <f t="shared" si="282"/>
        <v>53.055000000000007</v>
      </c>
      <c r="XP14" s="11">
        <f t="shared" si="283"/>
        <v>53.055000000000007</v>
      </c>
      <c r="XQ14" s="11">
        <f t="shared" si="284"/>
        <v>13.4</v>
      </c>
      <c r="XR14" s="11">
        <f t="shared" si="285"/>
        <v>15.005000000000001</v>
      </c>
      <c r="XS14" s="11">
        <f t="shared" si="286"/>
        <v>51.205000000000005</v>
      </c>
      <c r="XT14" s="11">
        <f t="shared" si="287"/>
        <v>104.26000000000002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194</v>
      </c>
      <c r="C15" s="4" t="s">
        <v>5</v>
      </c>
      <c r="D15" s="4">
        <v>2002</v>
      </c>
      <c r="E15" s="9">
        <f t="shared" si="0"/>
        <v>203.38002033800504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50.43</v>
      </c>
      <c r="K15" s="8" t="str">
        <f t="shared" si="5"/>
        <v>2024 Nationals</v>
      </c>
      <c r="L15" s="8">
        <f>IF(COUNT(AQ15,AT15,BR15,BU15,CS15,CV15)&gt;1,LARGE((AQ15,AT15,BR15,BU15,CS15,CV15),2),0)</f>
        <v>48.33</v>
      </c>
      <c r="M15" s="8" t="str">
        <f t="shared" si="6"/>
        <v>2024 Nationals</v>
      </c>
      <c r="N15" s="8">
        <f>IF(COUNT(AQ15,AT15,BR15,BU15,CS15,CV15)&gt;2,LARGE((AQ15,AT15,BR15,BU15,CS15,CV15),3),0)</f>
        <v>38.69</v>
      </c>
      <c r="O15" s="8" t="str">
        <f t="shared" si="7"/>
        <v>2024 Elite Canada</v>
      </c>
      <c r="P15" s="8">
        <f t="shared" si="8"/>
        <v>52.129999999999995</v>
      </c>
      <c r="Q15" s="8" t="str">
        <f t="shared" si="9"/>
        <v>2024 Nationals</v>
      </c>
      <c r="R15" s="8">
        <f t="shared" si="10"/>
        <v>13.8</v>
      </c>
      <c r="S15" s="8" t="str">
        <f t="shared" si="11"/>
        <v>2024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10.8</v>
      </c>
      <c r="Z15" s="22">
        <v>6.7</v>
      </c>
      <c r="AA15" s="22">
        <v>10.3</v>
      </c>
      <c r="AB15" s="22">
        <v>10.89</v>
      </c>
      <c r="AC15" s="22">
        <v>0</v>
      </c>
      <c r="AD15" s="22">
        <v>9</v>
      </c>
      <c r="AE15" s="22">
        <v>5.7</v>
      </c>
      <c r="AF15" s="22">
        <v>8.6</v>
      </c>
      <c r="AG15" s="22">
        <v>9.41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10.3</v>
      </c>
      <c r="AP15" s="38">
        <f t="shared" si="18"/>
        <v>10.89</v>
      </c>
      <c r="AQ15" s="40">
        <f t="shared" si="19"/>
        <v>38.69</v>
      </c>
      <c r="AR15" s="40">
        <f t="shared" si="20"/>
        <v>8.6</v>
      </c>
      <c r="AS15" s="40">
        <f t="shared" si="21"/>
        <v>9.41</v>
      </c>
      <c r="AT15" s="40">
        <f t="shared" si="22"/>
        <v>32.709999999999994</v>
      </c>
      <c r="AU15" s="40">
        <f t="shared" si="23"/>
        <v>38.69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38.69</v>
      </c>
      <c r="AZ15" s="26">
        <v>12.8</v>
      </c>
      <c r="BA15" s="26">
        <v>9.4</v>
      </c>
      <c r="BB15" s="26">
        <v>13.8</v>
      </c>
      <c r="BC15" s="26">
        <v>14.43</v>
      </c>
      <c r="BD15" s="26">
        <v>0</v>
      </c>
      <c r="BE15" s="26">
        <v>13.2</v>
      </c>
      <c r="BF15" s="26">
        <v>9.1</v>
      </c>
      <c r="BG15" s="26">
        <v>12.6</v>
      </c>
      <c r="BH15" s="26">
        <v>14.33</v>
      </c>
      <c r="BI15" s="26">
        <v>0.9</v>
      </c>
      <c r="BJ15" s="26">
        <v>14.5</v>
      </c>
      <c r="BK15" s="26">
        <v>9</v>
      </c>
      <c r="BL15" s="26">
        <v>13.8</v>
      </c>
      <c r="BM15" s="26">
        <v>14.83</v>
      </c>
      <c r="BN15" s="26">
        <v>0</v>
      </c>
      <c r="BO15" s="28"/>
      <c r="BP15" s="39">
        <f t="shared" si="28"/>
        <v>13.8</v>
      </c>
      <c r="BQ15" s="39">
        <f t="shared" si="29"/>
        <v>14.43</v>
      </c>
      <c r="BR15" s="11">
        <f t="shared" si="30"/>
        <v>50.43</v>
      </c>
      <c r="BS15" s="11">
        <f t="shared" si="31"/>
        <v>12.6</v>
      </c>
      <c r="BT15" s="11">
        <f t="shared" si="32"/>
        <v>14.33</v>
      </c>
      <c r="BU15" s="11">
        <f t="shared" si="33"/>
        <v>48.33</v>
      </c>
      <c r="BV15" s="11">
        <f t="shared" si="34"/>
        <v>50.43</v>
      </c>
      <c r="BW15" s="11">
        <f t="shared" si="35"/>
        <v>13.8</v>
      </c>
      <c r="BX15" s="11">
        <f t="shared" si="36"/>
        <v>14.83</v>
      </c>
      <c r="BY15" s="11">
        <f t="shared" si="37"/>
        <v>52.129999999999995</v>
      </c>
      <c r="BZ15" s="11">
        <f t="shared" si="38"/>
        <v>102.56</v>
      </c>
      <c r="CA15" s="22">
        <v>5.7</v>
      </c>
      <c r="CB15" s="22">
        <v>3.3</v>
      </c>
      <c r="CC15" s="22">
        <v>6.3</v>
      </c>
      <c r="CD15" s="22">
        <v>6.6</v>
      </c>
      <c r="CE15" s="22">
        <v>0</v>
      </c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>
        <f t="shared" si="39"/>
        <v>6.3</v>
      </c>
      <c r="CR15" s="38">
        <f t="shared" si="40"/>
        <v>6.6</v>
      </c>
      <c r="CS15" s="40">
        <f t="shared" si="41"/>
        <v>21.9</v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>
        <f t="shared" si="45"/>
        <v>21.9</v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>
        <f t="shared" si="49"/>
        <v>21.9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9.25</v>
      </c>
      <c r="WU15" s="26">
        <f t="shared" si="263"/>
        <v>6.35</v>
      </c>
      <c r="WV15" s="26">
        <f t="shared" si="264"/>
        <v>10.050000000000001</v>
      </c>
      <c r="WW15" s="26">
        <f t="shared" si="265"/>
        <v>10.515000000000001</v>
      </c>
      <c r="WX15" s="26">
        <f t="shared" si="266"/>
        <v>0</v>
      </c>
      <c r="WY15" s="26">
        <f t="shared" si="267"/>
        <v>6.6</v>
      </c>
      <c r="WZ15" s="26">
        <f t="shared" si="268"/>
        <v>4.55</v>
      </c>
      <c r="XA15" s="26">
        <f t="shared" si="269"/>
        <v>6.3</v>
      </c>
      <c r="XB15" s="26">
        <f t="shared" si="270"/>
        <v>7.165</v>
      </c>
      <c r="XC15" s="26">
        <f t="shared" si="271"/>
        <v>0.45</v>
      </c>
      <c r="XD15" s="26">
        <f t="shared" si="272"/>
        <v>7.25</v>
      </c>
      <c r="XE15" s="26">
        <f t="shared" si="273"/>
        <v>4.5</v>
      </c>
      <c r="XF15" s="26">
        <f t="shared" si="274"/>
        <v>6.9</v>
      </c>
      <c r="XG15" s="26">
        <f t="shared" si="275"/>
        <v>7.415</v>
      </c>
      <c r="XH15" s="26">
        <f t="shared" si="276"/>
        <v>0</v>
      </c>
      <c r="XI15" s="28" t="s">
        <v>53</v>
      </c>
      <c r="XJ15" s="11">
        <f t="shared" si="277"/>
        <v>10.050000000000001</v>
      </c>
      <c r="XK15" s="11">
        <f t="shared" si="278"/>
        <v>10.515000000000001</v>
      </c>
      <c r="XL15" s="11">
        <f t="shared" si="279"/>
        <v>36.164999999999999</v>
      </c>
      <c r="XM15" s="11">
        <f t="shared" si="280"/>
        <v>6.3</v>
      </c>
      <c r="XN15" s="11">
        <f t="shared" si="281"/>
        <v>7.165</v>
      </c>
      <c r="XO15" s="11">
        <f t="shared" si="282"/>
        <v>24.164999999999999</v>
      </c>
      <c r="XP15" s="11">
        <f t="shared" si="283"/>
        <v>36.164999999999999</v>
      </c>
      <c r="XQ15" s="11">
        <f t="shared" si="284"/>
        <v>6.9</v>
      </c>
      <c r="XR15" s="11">
        <f t="shared" si="285"/>
        <v>7.415</v>
      </c>
      <c r="XS15" s="11">
        <f t="shared" si="286"/>
        <v>26.064999999999998</v>
      </c>
      <c r="XT15" s="11">
        <f t="shared" si="287"/>
        <v>62.23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132</v>
      </c>
      <c r="C16" s="4" t="s">
        <v>5</v>
      </c>
      <c r="D16" s="4">
        <v>2004</v>
      </c>
      <c r="E16" s="9">
        <f t="shared" si="0"/>
        <v>201.29002012900514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51.53</v>
      </c>
      <c r="K16" s="8" t="str">
        <f t="shared" si="5"/>
        <v>2024 Elite Canada</v>
      </c>
      <c r="L16" s="8">
        <f>IF(COUNT(AQ16,AT16,BR16,BU16,CS16,CV16)&gt;1,LARGE((AQ16,AT16,BR16,BU16,CS16,CV16),2),0)</f>
        <v>51.35</v>
      </c>
      <c r="M16" s="8" t="str">
        <f t="shared" si="6"/>
        <v>2024 Nationals</v>
      </c>
      <c r="N16" s="8">
        <f>IF(COUNT(AQ16,AT16,BR16,BU16,CS16,CV16)&gt;2,LARGE((AQ16,AT16,BR16,BU16,CS16,CV16),3),0)</f>
        <v>47.3</v>
      </c>
      <c r="O16" s="8" t="str">
        <f t="shared" si="7"/>
        <v>2024 Elite Canada</v>
      </c>
      <c r="P16" s="8">
        <f t="shared" si="8"/>
        <v>36.709999999999994</v>
      </c>
      <c r="Q16" s="8" t="str">
        <f t="shared" si="9"/>
        <v>2024 Nationals</v>
      </c>
      <c r="R16" s="8">
        <f t="shared" si="10"/>
        <v>14.4</v>
      </c>
      <c r="S16" s="8" t="str">
        <f t="shared" si="11"/>
        <v>2024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11.7</v>
      </c>
      <c r="Z16" s="22">
        <v>9.8000000000000007</v>
      </c>
      <c r="AA16" s="22">
        <v>14.4</v>
      </c>
      <c r="AB16" s="22">
        <v>15.63</v>
      </c>
      <c r="AC16" s="22">
        <v>0</v>
      </c>
      <c r="AD16" s="22">
        <v>11.8</v>
      </c>
      <c r="AE16" s="22">
        <v>8.4</v>
      </c>
      <c r="AF16" s="22">
        <v>12.8</v>
      </c>
      <c r="AG16" s="22">
        <v>14.3</v>
      </c>
      <c r="AH16" s="22">
        <v>0</v>
      </c>
      <c r="AI16" s="22">
        <v>1.6</v>
      </c>
      <c r="AJ16" s="22">
        <v>1</v>
      </c>
      <c r="AK16" s="22">
        <v>2</v>
      </c>
      <c r="AL16" s="22">
        <v>1.76</v>
      </c>
      <c r="AM16" s="22">
        <v>0.2</v>
      </c>
      <c r="AN16" s="27"/>
      <c r="AO16" s="38">
        <f t="shared" si="17"/>
        <v>14.4</v>
      </c>
      <c r="AP16" s="38">
        <f t="shared" si="18"/>
        <v>15.63</v>
      </c>
      <c r="AQ16" s="40">
        <f t="shared" si="19"/>
        <v>51.53</v>
      </c>
      <c r="AR16" s="40">
        <f t="shared" si="20"/>
        <v>12.8</v>
      </c>
      <c r="AS16" s="40">
        <f t="shared" si="21"/>
        <v>14.3</v>
      </c>
      <c r="AT16" s="40">
        <f t="shared" si="22"/>
        <v>47.3</v>
      </c>
      <c r="AU16" s="40">
        <f t="shared" si="23"/>
        <v>51.53</v>
      </c>
      <c r="AV16" s="40">
        <f t="shared" si="24"/>
        <v>2</v>
      </c>
      <c r="AW16" s="40">
        <f t="shared" si="25"/>
        <v>1.76</v>
      </c>
      <c r="AX16" s="40">
        <f t="shared" si="26"/>
        <v>6.1599999999999993</v>
      </c>
      <c r="AY16" s="40">
        <f t="shared" si="27"/>
        <v>57.69</v>
      </c>
      <c r="AZ16" s="26">
        <v>12.9</v>
      </c>
      <c r="BA16" s="26">
        <v>8.9</v>
      </c>
      <c r="BB16" s="26">
        <v>14.2</v>
      </c>
      <c r="BC16" s="26">
        <v>15.35</v>
      </c>
      <c r="BD16" s="26">
        <v>0</v>
      </c>
      <c r="BE16" s="26">
        <v>1.4</v>
      </c>
      <c r="BF16" s="26">
        <v>1</v>
      </c>
      <c r="BG16" s="26">
        <v>2</v>
      </c>
      <c r="BH16" s="26">
        <v>1.79</v>
      </c>
      <c r="BI16" s="26">
        <v>0</v>
      </c>
      <c r="BJ16" s="26">
        <v>9.1</v>
      </c>
      <c r="BK16" s="26">
        <v>6.5</v>
      </c>
      <c r="BL16" s="26">
        <v>10.3</v>
      </c>
      <c r="BM16" s="26">
        <v>11.01</v>
      </c>
      <c r="BN16" s="26">
        <v>0.2</v>
      </c>
      <c r="BO16" s="28"/>
      <c r="BP16" s="39">
        <f t="shared" si="28"/>
        <v>14.2</v>
      </c>
      <c r="BQ16" s="39">
        <f t="shared" si="29"/>
        <v>15.35</v>
      </c>
      <c r="BR16" s="11">
        <f t="shared" si="30"/>
        <v>51.35</v>
      </c>
      <c r="BS16" s="11">
        <f t="shared" si="31"/>
        <v>2</v>
      </c>
      <c r="BT16" s="11">
        <f t="shared" si="32"/>
        <v>1.79</v>
      </c>
      <c r="BU16" s="11">
        <f t="shared" si="33"/>
        <v>6.19</v>
      </c>
      <c r="BV16" s="11">
        <f t="shared" si="34"/>
        <v>51.35</v>
      </c>
      <c r="BW16" s="11">
        <f t="shared" si="35"/>
        <v>10.3</v>
      </c>
      <c r="BX16" s="11">
        <f t="shared" si="36"/>
        <v>11.01</v>
      </c>
      <c r="BY16" s="11">
        <f t="shared" si="37"/>
        <v>36.709999999999994</v>
      </c>
      <c r="BZ16" s="11">
        <f t="shared" si="38"/>
        <v>88.06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9"/>
        <v/>
      </c>
      <c r="CR16" s="38" t="str">
        <f t="shared" si="40"/>
        <v/>
      </c>
      <c r="CS16" s="40" t="str">
        <f t="shared" si="41"/>
        <v/>
      </c>
      <c r="CT16" s="40" t="str">
        <f t="shared" si="42"/>
        <v/>
      </c>
      <c r="CU16" s="40" t="str">
        <f t="shared" si="43"/>
        <v/>
      </c>
      <c r="CV16" s="40" t="str">
        <f t="shared" si="44"/>
        <v/>
      </c>
      <c r="CW16" s="40" t="str">
        <f t="shared" si="45"/>
        <v/>
      </c>
      <c r="CX16" s="40" t="str">
        <f t="shared" si="46"/>
        <v/>
      </c>
      <c r="CY16" s="40" t="str">
        <f t="shared" si="47"/>
        <v/>
      </c>
      <c r="CZ16" s="40" t="str">
        <f t="shared" si="48"/>
        <v/>
      </c>
      <c r="DA16" s="40" t="str">
        <f t="shared" si="49"/>
        <v/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6.45</v>
      </c>
      <c r="WU16" s="26">
        <f t="shared" si="263"/>
        <v>4.45</v>
      </c>
      <c r="WV16" s="26">
        <f t="shared" si="264"/>
        <v>7.1</v>
      </c>
      <c r="WW16" s="26">
        <f t="shared" si="265"/>
        <v>7.6749999999999998</v>
      </c>
      <c r="WX16" s="26">
        <f t="shared" si="266"/>
        <v>0</v>
      </c>
      <c r="WY16" s="26">
        <f t="shared" si="267"/>
        <v>0.7</v>
      </c>
      <c r="WZ16" s="26">
        <f t="shared" si="268"/>
        <v>0.5</v>
      </c>
      <c r="XA16" s="26">
        <f t="shared" si="269"/>
        <v>1</v>
      </c>
      <c r="XB16" s="26">
        <f t="shared" si="270"/>
        <v>0.89500000000000002</v>
      </c>
      <c r="XC16" s="26">
        <f t="shared" si="271"/>
        <v>0</v>
      </c>
      <c r="XD16" s="26">
        <f t="shared" si="272"/>
        <v>4.55</v>
      </c>
      <c r="XE16" s="26">
        <f t="shared" si="273"/>
        <v>3.25</v>
      </c>
      <c r="XF16" s="26">
        <f t="shared" si="274"/>
        <v>5.15</v>
      </c>
      <c r="XG16" s="26">
        <f t="shared" si="275"/>
        <v>5.5049999999999999</v>
      </c>
      <c r="XH16" s="26">
        <f t="shared" si="276"/>
        <v>0.1</v>
      </c>
      <c r="XI16" s="28" t="s">
        <v>53</v>
      </c>
      <c r="XJ16" s="11">
        <f t="shared" si="277"/>
        <v>7.1</v>
      </c>
      <c r="XK16" s="11">
        <f t="shared" si="278"/>
        <v>7.6749999999999998</v>
      </c>
      <c r="XL16" s="11">
        <f t="shared" si="279"/>
        <v>25.675000000000001</v>
      </c>
      <c r="XM16" s="11">
        <f t="shared" si="280"/>
        <v>1</v>
      </c>
      <c r="XN16" s="11">
        <f t="shared" si="281"/>
        <v>0.89500000000000002</v>
      </c>
      <c r="XO16" s="11">
        <f t="shared" si="282"/>
        <v>3.0950000000000002</v>
      </c>
      <c r="XP16" s="11">
        <f t="shared" si="283"/>
        <v>25.675000000000001</v>
      </c>
      <c r="XQ16" s="11">
        <f t="shared" si="284"/>
        <v>5.15</v>
      </c>
      <c r="XR16" s="11">
        <f t="shared" si="285"/>
        <v>5.5049999999999999</v>
      </c>
      <c r="XS16" s="11">
        <f t="shared" si="286"/>
        <v>18.354999999999997</v>
      </c>
      <c r="XT16" s="11">
        <f t="shared" si="287"/>
        <v>44.03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195</v>
      </c>
      <c r="C17" s="4" t="s">
        <v>3</v>
      </c>
      <c r="D17" s="4">
        <v>2002</v>
      </c>
      <c r="E17" s="9">
        <f t="shared" si="0"/>
        <v>191.62001916200529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53.129999999999995</v>
      </c>
      <c r="K17" s="8" t="str">
        <f t="shared" si="5"/>
        <v>2024 3rd Domestic Trial</v>
      </c>
      <c r="L17" s="8">
        <f>IF(COUNT(AQ17,AT17,BR17,BU17,CS17,CV17)&gt;1,LARGE((AQ17,AT17,BR17,BU17,CS17,CV17),2),0)</f>
        <v>37.1</v>
      </c>
      <c r="M17" s="8" t="str">
        <f t="shared" si="6"/>
        <v>2024 3rd Domestic Trial</v>
      </c>
      <c r="N17" s="8">
        <f>IF(COUNT(AQ17,AT17,BR17,BU17,CS17,CV17)&gt;2,LARGE((AQ17,AT17,BR17,BU17,CS17,CV17),3),0)</f>
        <v>35.410000000000004</v>
      </c>
      <c r="O17" s="8" t="str">
        <f t="shared" si="7"/>
        <v>2024 Elite Canada</v>
      </c>
      <c r="P17" s="8">
        <f t="shared" si="8"/>
        <v>51.98</v>
      </c>
      <c r="Q17" s="8" t="str">
        <f t="shared" si="9"/>
        <v>2024 3rd Domestic Trial</v>
      </c>
      <c r="R17" s="8">
        <f t="shared" si="10"/>
        <v>14</v>
      </c>
      <c r="S17" s="8" t="str">
        <f t="shared" si="11"/>
        <v>2024 3rd Domestic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9.5</v>
      </c>
      <c r="Z17" s="22">
        <v>6.6</v>
      </c>
      <c r="AA17" s="22">
        <v>9.3000000000000007</v>
      </c>
      <c r="AB17" s="22">
        <v>10.01</v>
      </c>
      <c r="AC17" s="22">
        <v>0</v>
      </c>
      <c r="AD17" s="22">
        <v>12.9</v>
      </c>
      <c r="AE17" s="22">
        <v>9</v>
      </c>
      <c r="AF17" s="22">
        <v>6.7</v>
      </c>
      <c r="AG17" s="22">
        <v>12.62</v>
      </c>
      <c r="AH17" s="22">
        <v>6.8</v>
      </c>
      <c r="AI17" s="22"/>
      <c r="AJ17" s="22"/>
      <c r="AK17" s="22"/>
      <c r="AL17" s="22"/>
      <c r="AM17" s="22"/>
      <c r="AN17" s="27"/>
      <c r="AO17" s="38">
        <f t="shared" si="17"/>
        <v>9.3000000000000007</v>
      </c>
      <c r="AP17" s="38">
        <f t="shared" si="18"/>
        <v>10.01</v>
      </c>
      <c r="AQ17" s="40">
        <f t="shared" si="19"/>
        <v>35.410000000000004</v>
      </c>
      <c r="AR17" s="40">
        <f t="shared" si="20"/>
        <v>6.7</v>
      </c>
      <c r="AS17" s="40">
        <f t="shared" si="21"/>
        <v>12.62</v>
      </c>
      <c r="AT17" s="40">
        <f t="shared" si="22"/>
        <v>34.42</v>
      </c>
      <c r="AU17" s="40">
        <f t="shared" si="23"/>
        <v>35.410000000000004</v>
      </c>
      <c r="AV17" s="40" t="str">
        <f t="shared" si="24"/>
        <v/>
      </c>
      <c r="AW17" s="40" t="str">
        <f t="shared" si="25"/>
        <v/>
      </c>
      <c r="AX17" s="40" t="str">
        <f t="shared" si="26"/>
        <v/>
      </c>
      <c r="AY17" s="40">
        <f t="shared" si="27"/>
        <v>35.410000000000004</v>
      </c>
      <c r="AZ17" s="26">
        <v>2.6</v>
      </c>
      <c r="BA17" s="26">
        <v>1.7</v>
      </c>
      <c r="BB17" s="26">
        <v>3</v>
      </c>
      <c r="BC17" s="26">
        <v>3.02</v>
      </c>
      <c r="BD17" s="26">
        <v>0</v>
      </c>
      <c r="BE17" s="26">
        <v>7.8</v>
      </c>
      <c r="BF17" s="26">
        <v>5.5</v>
      </c>
      <c r="BG17" s="26">
        <v>7.9</v>
      </c>
      <c r="BH17" s="26">
        <v>8.6199999999999992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3</v>
      </c>
      <c r="BQ17" s="39">
        <f t="shared" si="29"/>
        <v>3.02</v>
      </c>
      <c r="BR17" s="11">
        <f t="shared" si="30"/>
        <v>10.32</v>
      </c>
      <c r="BS17" s="11">
        <f t="shared" si="31"/>
        <v>7.9</v>
      </c>
      <c r="BT17" s="11">
        <f t="shared" si="32"/>
        <v>8.6199999999999992</v>
      </c>
      <c r="BU17" s="11">
        <f t="shared" si="33"/>
        <v>29.82</v>
      </c>
      <c r="BV17" s="11">
        <f t="shared" si="34"/>
        <v>29.82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29.82</v>
      </c>
      <c r="CA17" s="22">
        <v>14.6</v>
      </c>
      <c r="CB17" s="22">
        <v>9.1999999999999993</v>
      </c>
      <c r="CC17" s="22">
        <v>14</v>
      </c>
      <c r="CD17" s="22">
        <v>15.33</v>
      </c>
      <c r="CE17" s="22">
        <v>0</v>
      </c>
      <c r="CF17" s="22">
        <v>10.5</v>
      </c>
      <c r="CG17" s="22">
        <v>8.6999999999999993</v>
      </c>
      <c r="CH17" s="22">
        <v>8.5</v>
      </c>
      <c r="CI17" s="22">
        <v>14.4</v>
      </c>
      <c r="CJ17" s="22">
        <v>5</v>
      </c>
      <c r="CK17" s="22">
        <v>13.8</v>
      </c>
      <c r="CL17" s="22">
        <v>9.1999999999999993</v>
      </c>
      <c r="CM17" s="22">
        <v>13.8</v>
      </c>
      <c r="CN17" s="22">
        <v>15.18</v>
      </c>
      <c r="CO17" s="22">
        <v>0</v>
      </c>
      <c r="CP17" s="27"/>
      <c r="CQ17" s="38">
        <f t="shared" si="39"/>
        <v>14</v>
      </c>
      <c r="CR17" s="38">
        <f t="shared" si="40"/>
        <v>15.33</v>
      </c>
      <c r="CS17" s="40">
        <f t="shared" si="41"/>
        <v>53.129999999999995</v>
      </c>
      <c r="CT17" s="40">
        <f t="shared" si="42"/>
        <v>8.5</v>
      </c>
      <c r="CU17" s="40">
        <f t="shared" si="43"/>
        <v>14.4</v>
      </c>
      <c r="CV17" s="40">
        <f t="shared" si="44"/>
        <v>37.1</v>
      </c>
      <c r="CW17" s="40">
        <f t="shared" si="45"/>
        <v>53.129999999999995</v>
      </c>
      <c r="CX17" s="40">
        <f t="shared" si="46"/>
        <v>13.8</v>
      </c>
      <c r="CY17" s="40">
        <f t="shared" si="47"/>
        <v>15.18</v>
      </c>
      <c r="CZ17" s="40">
        <f t="shared" si="48"/>
        <v>51.98</v>
      </c>
      <c r="DA17" s="40">
        <f t="shared" si="49"/>
        <v>105.10999999999999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8.6</v>
      </c>
      <c r="WU17" s="26">
        <f t="shared" si="263"/>
        <v>5.4499999999999993</v>
      </c>
      <c r="WV17" s="26">
        <f t="shared" si="264"/>
        <v>8.5</v>
      </c>
      <c r="WW17" s="26">
        <f t="shared" si="265"/>
        <v>9.1750000000000007</v>
      </c>
      <c r="WX17" s="26">
        <f t="shared" si="266"/>
        <v>0</v>
      </c>
      <c r="WY17" s="26">
        <f t="shared" si="267"/>
        <v>9.15</v>
      </c>
      <c r="WZ17" s="26">
        <f t="shared" si="268"/>
        <v>7.1</v>
      </c>
      <c r="XA17" s="26">
        <f t="shared" si="269"/>
        <v>8.1999999999999993</v>
      </c>
      <c r="XB17" s="26">
        <f t="shared" si="270"/>
        <v>11.51</v>
      </c>
      <c r="XC17" s="26">
        <f t="shared" si="271"/>
        <v>2.5</v>
      </c>
      <c r="XD17" s="26">
        <f t="shared" si="272"/>
        <v>6.9</v>
      </c>
      <c r="XE17" s="26">
        <f t="shared" si="273"/>
        <v>4.5999999999999996</v>
      </c>
      <c r="XF17" s="26">
        <f t="shared" si="274"/>
        <v>6.9</v>
      </c>
      <c r="XG17" s="26">
        <f t="shared" si="275"/>
        <v>7.59</v>
      </c>
      <c r="XH17" s="26">
        <f t="shared" si="276"/>
        <v>0</v>
      </c>
      <c r="XI17" s="28" t="s">
        <v>53</v>
      </c>
      <c r="XJ17" s="11">
        <f t="shared" si="277"/>
        <v>8.5</v>
      </c>
      <c r="XK17" s="11">
        <f t="shared" si="278"/>
        <v>9.1750000000000007</v>
      </c>
      <c r="XL17" s="11">
        <f t="shared" si="279"/>
        <v>31.724999999999998</v>
      </c>
      <c r="XM17" s="11">
        <f t="shared" si="280"/>
        <v>8.1999999999999993</v>
      </c>
      <c r="XN17" s="11">
        <f t="shared" si="281"/>
        <v>11.51</v>
      </c>
      <c r="XO17" s="11">
        <f t="shared" si="282"/>
        <v>33.46</v>
      </c>
      <c r="XP17" s="11">
        <f t="shared" si="283"/>
        <v>33.46</v>
      </c>
      <c r="XQ17" s="11">
        <f t="shared" si="284"/>
        <v>6.9</v>
      </c>
      <c r="XR17" s="11">
        <f t="shared" si="285"/>
        <v>7.59</v>
      </c>
      <c r="XS17" s="11">
        <f t="shared" si="286"/>
        <v>25.99</v>
      </c>
      <c r="XT17" s="11">
        <f t="shared" si="287"/>
        <v>59.45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180</v>
      </c>
      <c r="C18" s="4" t="s">
        <v>3</v>
      </c>
      <c r="D18" s="4">
        <v>2005</v>
      </c>
      <c r="E18" s="9">
        <f t="shared" si="0"/>
        <v>187.45001455600521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52.47</v>
      </c>
      <c r="K18" s="8" t="str">
        <f t="shared" si="5"/>
        <v>2024 Elite Canada</v>
      </c>
      <c r="L18" s="8">
        <f>IF(COUNT(AQ18,AT18,BR18,BU18,CS18,CV18)&gt;1,LARGE((AQ18,AT18,BR18,BU18,CS18,CV18),2),0)</f>
        <v>48.51</v>
      </c>
      <c r="M18" s="8" t="str">
        <f t="shared" si="6"/>
        <v>2024 Elite Canada</v>
      </c>
      <c r="N18" s="8">
        <f>IF(COUNT(AQ18,AT18,BR18,BU18,CS18,CV18)&gt;2,LARGE((AQ18,AT18,BR18,BU18,CS18,CV18),3),0)</f>
        <v>11.600000000000001</v>
      </c>
      <c r="O18" s="8" t="str">
        <f t="shared" si="7"/>
        <v>2024 Nationals</v>
      </c>
      <c r="P18" s="8">
        <f t="shared" si="8"/>
        <v>18.38</v>
      </c>
      <c r="Q18" s="8" t="str">
        <f t="shared" si="9"/>
        <v>2024 Elite Canada</v>
      </c>
      <c r="R18" s="8">
        <f t="shared" si="10"/>
        <v>14.6</v>
      </c>
      <c r="S18" s="8" t="str">
        <f t="shared" si="11"/>
        <v>2024 Coimbra Gym Fest (July 7)</v>
      </c>
      <c r="T18" s="8">
        <f t="shared" si="12"/>
        <v>0</v>
      </c>
      <c r="U18" s="8" t="str">
        <f t="shared" si="13"/>
        <v/>
      </c>
      <c r="V18" s="8">
        <f t="shared" si="14"/>
        <v>41.889999999999993</v>
      </c>
      <c r="W18" s="11" t="str">
        <f t="shared" si="15"/>
        <v>(Prelim)</v>
      </c>
      <c r="X18" s="8" t="str">
        <f t="shared" si="16"/>
        <v>2024 Coimbra Gym Fest (July 7)</v>
      </c>
      <c r="Y18" s="22">
        <v>14.7</v>
      </c>
      <c r="Z18" s="22">
        <v>8.9</v>
      </c>
      <c r="AA18" s="22">
        <v>14</v>
      </c>
      <c r="AB18" s="22">
        <v>14.87</v>
      </c>
      <c r="AC18" s="22">
        <v>0</v>
      </c>
      <c r="AD18" s="22">
        <v>14</v>
      </c>
      <c r="AE18" s="22">
        <v>8.1</v>
      </c>
      <c r="AF18" s="22">
        <v>12.4</v>
      </c>
      <c r="AG18" s="22">
        <v>14.01</v>
      </c>
      <c r="AH18" s="22">
        <v>0</v>
      </c>
      <c r="AI18" s="22">
        <v>4.4000000000000004</v>
      </c>
      <c r="AJ18" s="22">
        <v>2.5</v>
      </c>
      <c r="AK18" s="22">
        <v>5.0999999999999996</v>
      </c>
      <c r="AL18" s="22">
        <v>6.38</v>
      </c>
      <c r="AM18" s="22">
        <v>0</v>
      </c>
      <c r="AN18" s="27"/>
      <c r="AO18" s="38">
        <f t="shared" si="17"/>
        <v>14</v>
      </c>
      <c r="AP18" s="38">
        <f t="shared" si="18"/>
        <v>14.87</v>
      </c>
      <c r="AQ18" s="40">
        <f t="shared" si="19"/>
        <v>52.47</v>
      </c>
      <c r="AR18" s="40">
        <f t="shared" si="20"/>
        <v>12.4</v>
      </c>
      <c r="AS18" s="40">
        <f t="shared" si="21"/>
        <v>14.01</v>
      </c>
      <c r="AT18" s="40">
        <f t="shared" si="22"/>
        <v>48.51</v>
      </c>
      <c r="AU18" s="40">
        <f t="shared" si="23"/>
        <v>52.47</v>
      </c>
      <c r="AV18" s="40">
        <f t="shared" si="24"/>
        <v>5.0999999999999996</v>
      </c>
      <c r="AW18" s="40">
        <f t="shared" si="25"/>
        <v>6.38</v>
      </c>
      <c r="AX18" s="40">
        <f t="shared" si="26"/>
        <v>18.38</v>
      </c>
      <c r="AY18" s="40">
        <f t="shared" si="27"/>
        <v>70.849999999999994</v>
      </c>
      <c r="AZ18" s="26">
        <v>3</v>
      </c>
      <c r="BA18" s="26">
        <v>1.9</v>
      </c>
      <c r="BB18" s="26">
        <v>3.4</v>
      </c>
      <c r="BC18" s="26">
        <v>3.29</v>
      </c>
      <c r="BD18" s="26">
        <v>0</v>
      </c>
      <c r="BE18" s="26">
        <v>3</v>
      </c>
      <c r="BF18" s="26">
        <v>1.9</v>
      </c>
      <c r="BG18" s="26">
        <v>3.4</v>
      </c>
      <c r="BH18" s="26">
        <v>3.3</v>
      </c>
      <c r="BI18" s="26">
        <v>0</v>
      </c>
      <c r="BJ18" s="26"/>
      <c r="BK18" s="26"/>
      <c r="BL18" s="26"/>
      <c r="BM18" s="26"/>
      <c r="BN18" s="26"/>
      <c r="BO18" s="28"/>
      <c r="BP18" s="39">
        <f t="shared" si="28"/>
        <v>3.4</v>
      </c>
      <c r="BQ18" s="39">
        <f t="shared" si="29"/>
        <v>3.29</v>
      </c>
      <c r="BR18" s="11">
        <f t="shared" si="30"/>
        <v>11.59</v>
      </c>
      <c r="BS18" s="11">
        <f t="shared" si="31"/>
        <v>3.4</v>
      </c>
      <c r="BT18" s="11">
        <f t="shared" si="32"/>
        <v>3.3</v>
      </c>
      <c r="BU18" s="11">
        <f t="shared" si="33"/>
        <v>11.600000000000001</v>
      </c>
      <c r="BV18" s="11">
        <f t="shared" si="34"/>
        <v>11.600000000000001</v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>
        <f t="shared" si="38"/>
        <v>11.600000000000001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9"/>
        <v/>
      </c>
      <c r="CR18" s="38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 t="str">
        <f t="shared" si="49"/>
        <v/>
      </c>
      <c r="DB18" s="51">
        <f t="shared" si="50"/>
        <v>41.889999999999993</v>
      </c>
      <c r="DC18" s="51">
        <f t="shared" si="51"/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>
        <v>13</v>
      </c>
      <c r="LA18" s="17">
        <v>8.9</v>
      </c>
      <c r="LB18" s="17">
        <v>14.6</v>
      </c>
      <c r="LC18" s="17">
        <v>15.24</v>
      </c>
      <c r="LD18" s="17">
        <v>0</v>
      </c>
      <c r="LE18" s="17">
        <v>13.9</v>
      </c>
      <c r="LF18" s="17">
        <v>9.4</v>
      </c>
      <c r="LG18" s="17">
        <v>14.6</v>
      </c>
      <c r="LH18" s="17">
        <v>15.59</v>
      </c>
      <c r="LI18" s="17">
        <v>0</v>
      </c>
      <c r="LJ18" s="17">
        <v>6.8</v>
      </c>
      <c r="LK18" s="17">
        <v>4.4000000000000004</v>
      </c>
      <c r="LL18" s="17">
        <v>7.8</v>
      </c>
      <c r="LM18" s="17">
        <v>7.73</v>
      </c>
      <c r="LN18" s="17">
        <v>0</v>
      </c>
      <c r="LO18" s="17"/>
      <c r="LP18" s="17"/>
      <c r="LQ18" s="17"/>
      <c r="LR18" s="17"/>
      <c r="LS18" s="17"/>
      <c r="LT18" s="40">
        <f t="shared" si="136"/>
        <v>14.6</v>
      </c>
      <c r="LU18" s="40">
        <f t="shared" si="137"/>
        <v>15.24</v>
      </c>
      <c r="LV18" s="40">
        <f t="shared" si="138"/>
        <v>51.74</v>
      </c>
      <c r="LW18" s="40">
        <f t="shared" si="139"/>
        <v>14.6</v>
      </c>
      <c r="LX18" s="40">
        <f t="shared" si="140"/>
        <v>15.59</v>
      </c>
      <c r="LY18" s="40">
        <f t="shared" si="141"/>
        <v>53.489999999999995</v>
      </c>
      <c r="LZ18" s="40">
        <f t="shared" si="142"/>
        <v>53.489999999999995</v>
      </c>
      <c r="MA18" s="40">
        <f t="shared" si="143"/>
        <v>7.8</v>
      </c>
      <c r="MB18" s="40">
        <f t="shared" si="144"/>
        <v>7.73</v>
      </c>
      <c r="MC18" s="40">
        <f t="shared" si="145"/>
        <v>26.73</v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>
        <f t="shared" si="149"/>
        <v>80.22</v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1.5</v>
      </c>
      <c r="WU18" s="26">
        <f t="shared" si="263"/>
        <v>0.95</v>
      </c>
      <c r="WV18" s="26">
        <f t="shared" si="264"/>
        <v>1.7</v>
      </c>
      <c r="WW18" s="26">
        <f t="shared" si="265"/>
        <v>1.645</v>
      </c>
      <c r="WX18" s="26">
        <f t="shared" si="266"/>
        <v>0</v>
      </c>
      <c r="WY18" s="26">
        <f t="shared" si="267"/>
        <v>1.5</v>
      </c>
      <c r="WZ18" s="26">
        <f t="shared" si="268"/>
        <v>0.95</v>
      </c>
      <c r="XA18" s="26">
        <f t="shared" si="269"/>
        <v>1.7</v>
      </c>
      <c r="XB18" s="26">
        <f t="shared" si="270"/>
        <v>1.65</v>
      </c>
      <c r="XC18" s="26">
        <f t="shared" si="271"/>
        <v>0</v>
      </c>
      <c r="XD18" s="26">
        <f t="shared" si="272"/>
        <v>0</v>
      </c>
      <c r="XE18" s="26">
        <f t="shared" si="273"/>
        <v>0</v>
      </c>
      <c r="XF18" s="26">
        <f t="shared" si="274"/>
        <v>0</v>
      </c>
      <c r="XG18" s="26">
        <f t="shared" si="275"/>
        <v>0</v>
      </c>
      <c r="XH18" s="26">
        <f t="shared" si="276"/>
        <v>0</v>
      </c>
      <c r="XI18" s="28" t="s">
        <v>53</v>
      </c>
      <c r="XJ18" s="11">
        <f t="shared" si="277"/>
        <v>1.7</v>
      </c>
      <c r="XK18" s="11">
        <f t="shared" si="278"/>
        <v>1.645</v>
      </c>
      <c r="XL18" s="11">
        <f t="shared" si="279"/>
        <v>5.7949999999999999</v>
      </c>
      <c r="XM18" s="11">
        <f t="shared" si="280"/>
        <v>1.7</v>
      </c>
      <c r="XN18" s="11">
        <f t="shared" si="281"/>
        <v>1.65</v>
      </c>
      <c r="XO18" s="11">
        <f t="shared" si="282"/>
        <v>5.8000000000000007</v>
      </c>
      <c r="XP18" s="11">
        <f t="shared" si="283"/>
        <v>5.8000000000000007</v>
      </c>
      <c r="XQ18" s="11" t="str">
        <f t="shared" si="284"/>
        <v/>
      </c>
      <c r="XR18" s="11" t="str">
        <f t="shared" si="285"/>
        <v/>
      </c>
      <c r="XS18" s="11" t="str">
        <f t="shared" si="286"/>
        <v/>
      </c>
      <c r="XT18" s="11">
        <f t="shared" si="287"/>
        <v>5.8000000000000007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82</v>
      </c>
      <c r="C19" s="4" t="s">
        <v>5</v>
      </c>
      <c r="D19" s="4">
        <v>2003</v>
      </c>
      <c r="E19" s="9">
        <f t="shared" si="0"/>
        <v>153.97001539700489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48.92</v>
      </c>
      <c r="K19" s="8" t="str">
        <f t="shared" si="5"/>
        <v>2024 Elite Canada</v>
      </c>
      <c r="L19" s="8">
        <f>IF(COUNT(AQ19,AT19,BR19,BU19,CS19,CV19)&gt;1,LARGE((AQ19,AT19,BR19,BU19,CS19,CV19),2),0)</f>
        <v>47.45</v>
      </c>
      <c r="M19" s="8" t="str">
        <f t="shared" si="6"/>
        <v>2024 Elite Canada</v>
      </c>
      <c r="N19" s="8">
        <f>IF(COUNT(AQ19,AT19,BR19,BU19,CS19,CV19)&gt;2,LARGE((AQ19,AT19,BR19,BU19,CS19,CV19),3),0)</f>
        <v>44.9</v>
      </c>
      <c r="O19" s="8" t="str">
        <f t="shared" si="7"/>
        <v>2024 Nationals</v>
      </c>
      <c r="P19" s="8">
        <f t="shared" si="8"/>
        <v>0</v>
      </c>
      <c r="Q19" s="8" t="str">
        <f t="shared" si="9"/>
        <v/>
      </c>
      <c r="R19" s="8">
        <f t="shared" si="10"/>
        <v>12.7</v>
      </c>
      <c r="S19" s="8" t="str">
        <f t="shared" si="11"/>
        <v>2024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>
        <v>13.5</v>
      </c>
      <c r="Z19" s="22">
        <v>8</v>
      </c>
      <c r="AA19" s="22">
        <v>12.1</v>
      </c>
      <c r="AB19" s="22">
        <v>13.85</v>
      </c>
      <c r="AC19" s="22">
        <v>0</v>
      </c>
      <c r="AD19" s="22">
        <v>12.4</v>
      </c>
      <c r="AE19" s="22">
        <v>9.6</v>
      </c>
      <c r="AF19" s="22">
        <v>12.7</v>
      </c>
      <c r="AG19" s="22">
        <v>15.02</v>
      </c>
      <c r="AH19" s="22">
        <v>0.8</v>
      </c>
      <c r="AI19" s="22"/>
      <c r="AJ19" s="22"/>
      <c r="AK19" s="22"/>
      <c r="AL19" s="22"/>
      <c r="AM19" s="22"/>
      <c r="AN19" s="27"/>
      <c r="AO19" s="38">
        <f t="shared" si="17"/>
        <v>12.1</v>
      </c>
      <c r="AP19" s="38">
        <f t="shared" si="18"/>
        <v>13.85</v>
      </c>
      <c r="AQ19" s="40">
        <f t="shared" si="19"/>
        <v>47.45</v>
      </c>
      <c r="AR19" s="40">
        <f t="shared" si="20"/>
        <v>12.7</v>
      </c>
      <c r="AS19" s="40">
        <f t="shared" si="21"/>
        <v>15.02</v>
      </c>
      <c r="AT19" s="40">
        <f t="shared" si="22"/>
        <v>48.92</v>
      </c>
      <c r="AU19" s="40">
        <f t="shared" si="23"/>
        <v>48.92</v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>
        <f t="shared" si="27"/>
        <v>48.92</v>
      </c>
      <c r="AZ19" s="26">
        <v>7.8</v>
      </c>
      <c r="BA19" s="26">
        <v>5.3</v>
      </c>
      <c r="BB19" s="26">
        <v>8.1</v>
      </c>
      <c r="BC19" s="26">
        <v>9.36</v>
      </c>
      <c r="BD19" s="26">
        <v>0</v>
      </c>
      <c r="BE19" s="26">
        <v>12.4</v>
      </c>
      <c r="BF19" s="26">
        <v>9</v>
      </c>
      <c r="BG19" s="26">
        <v>11.1</v>
      </c>
      <c r="BH19" s="26">
        <v>14.8</v>
      </c>
      <c r="BI19" s="26">
        <v>2.4</v>
      </c>
      <c r="BJ19" s="26"/>
      <c r="BK19" s="26"/>
      <c r="BL19" s="26"/>
      <c r="BM19" s="26"/>
      <c r="BN19" s="26"/>
      <c r="BO19" s="28"/>
      <c r="BP19" s="39">
        <f t="shared" si="28"/>
        <v>8.1</v>
      </c>
      <c r="BQ19" s="39">
        <f t="shared" si="29"/>
        <v>9.36</v>
      </c>
      <c r="BR19" s="11">
        <f t="shared" si="30"/>
        <v>30.56</v>
      </c>
      <c r="BS19" s="11">
        <f t="shared" si="31"/>
        <v>11.1</v>
      </c>
      <c r="BT19" s="11">
        <f t="shared" si="32"/>
        <v>14.8</v>
      </c>
      <c r="BU19" s="11">
        <f t="shared" si="33"/>
        <v>44.9</v>
      </c>
      <c r="BV19" s="11">
        <f t="shared" si="34"/>
        <v>44.9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44.9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9"/>
        <v/>
      </c>
      <c r="CR19" s="38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 t="str">
        <f t="shared" si="49"/>
        <v/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3.9</v>
      </c>
      <c r="WU19" s="26">
        <f t="shared" si="263"/>
        <v>2.65</v>
      </c>
      <c r="WV19" s="26">
        <f t="shared" si="264"/>
        <v>4.05</v>
      </c>
      <c r="WW19" s="26">
        <f t="shared" si="265"/>
        <v>4.68</v>
      </c>
      <c r="WX19" s="26">
        <f t="shared" si="266"/>
        <v>0</v>
      </c>
      <c r="WY19" s="26">
        <f t="shared" si="267"/>
        <v>6.2</v>
      </c>
      <c r="WZ19" s="26">
        <f t="shared" si="268"/>
        <v>4.5</v>
      </c>
      <c r="XA19" s="26">
        <f t="shared" si="269"/>
        <v>5.55</v>
      </c>
      <c r="XB19" s="26">
        <f t="shared" si="270"/>
        <v>7.4</v>
      </c>
      <c r="XC19" s="26">
        <f t="shared" si="271"/>
        <v>1.2</v>
      </c>
      <c r="XD19" s="26">
        <f t="shared" si="272"/>
        <v>0</v>
      </c>
      <c r="XE19" s="26">
        <f t="shared" si="273"/>
        <v>0</v>
      </c>
      <c r="XF19" s="26">
        <f t="shared" si="274"/>
        <v>0</v>
      </c>
      <c r="XG19" s="26">
        <f t="shared" si="275"/>
        <v>0</v>
      </c>
      <c r="XH19" s="26">
        <f t="shared" si="276"/>
        <v>0</v>
      </c>
      <c r="XI19" s="28" t="s">
        <v>53</v>
      </c>
      <c r="XJ19" s="11">
        <f t="shared" si="277"/>
        <v>4.05</v>
      </c>
      <c r="XK19" s="11">
        <f t="shared" si="278"/>
        <v>4.68</v>
      </c>
      <c r="XL19" s="11">
        <f t="shared" si="279"/>
        <v>15.28</v>
      </c>
      <c r="XM19" s="11">
        <f t="shared" si="280"/>
        <v>5.55</v>
      </c>
      <c r="XN19" s="11">
        <f t="shared" si="281"/>
        <v>7.4</v>
      </c>
      <c r="XO19" s="11">
        <f t="shared" si="282"/>
        <v>22.45</v>
      </c>
      <c r="XP19" s="11">
        <f t="shared" si="283"/>
        <v>22.45</v>
      </c>
      <c r="XQ19" s="11" t="str">
        <f t="shared" si="284"/>
        <v/>
      </c>
      <c r="XR19" s="11" t="str">
        <f t="shared" si="285"/>
        <v/>
      </c>
      <c r="XS19" s="11" t="str">
        <f t="shared" si="286"/>
        <v/>
      </c>
      <c r="XT19" s="11">
        <f t="shared" si="287"/>
        <v>22.45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137</v>
      </c>
      <c r="C20" s="4" t="s">
        <v>136</v>
      </c>
      <c r="D20" s="4">
        <v>2004</v>
      </c>
      <c r="E20" s="9">
        <f t="shared" si="0"/>
        <v>144.06001017000531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53.04</v>
      </c>
      <c r="K20" s="8" t="str">
        <f t="shared" si="5"/>
        <v>2024 Elite Canada</v>
      </c>
      <c r="L20" s="8">
        <f>IF(COUNT(AQ20,AT20,BR20,BU20,CS20,CV20)&gt;1,LARGE((AQ20,AT20,BR20,BU20,CS20,CV20),2),0)</f>
        <v>5.9399999999999995</v>
      </c>
      <c r="M20" s="8" t="str">
        <f t="shared" si="6"/>
        <v>2024 Elite Canada</v>
      </c>
      <c r="N20" s="8">
        <f>IF(COUNT(AQ20,AT20,BR20,BU20,CS20,CV20)&gt;2,LARGE((AQ20,AT20,BR20,BU20,CS20,CV20),3),0)</f>
        <v>0</v>
      </c>
      <c r="O20" s="8" t="str">
        <f t="shared" si="7"/>
        <v/>
      </c>
      <c r="P20" s="8">
        <f t="shared" si="8"/>
        <v>28.32</v>
      </c>
      <c r="Q20" s="8" t="str">
        <f t="shared" si="9"/>
        <v>2024 Elite Canada</v>
      </c>
      <c r="R20" s="8">
        <f t="shared" si="10"/>
        <v>14.4</v>
      </c>
      <c r="S20" s="8" t="str">
        <f t="shared" si="11"/>
        <v>2024 Elite Canada</v>
      </c>
      <c r="T20" s="8">
        <f t="shared" si="12"/>
        <v>0</v>
      </c>
      <c r="U20" s="8" t="str">
        <f t="shared" si="13"/>
        <v/>
      </c>
      <c r="V20" s="8">
        <f t="shared" si="14"/>
        <v>42.36</v>
      </c>
      <c r="W20" s="11" t="str">
        <f t="shared" si="15"/>
        <v>(Prelim)</v>
      </c>
      <c r="X20" s="8" t="str">
        <f t="shared" si="16"/>
        <v>2024 Pan Am Club Championships (May 19)</v>
      </c>
      <c r="Y20" s="22">
        <v>1.5</v>
      </c>
      <c r="Z20" s="22">
        <v>0.8</v>
      </c>
      <c r="AA20" s="22">
        <v>2</v>
      </c>
      <c r="AB20" s="22">
        <v>1.64</v>
      </c>
      <c r="AC20" s="22">
        <v>0</v>
      </c>
      <c r="AD20" s="22">
        <v>14.8</v>
      </c>
      <c r="AE20" s="22">
        <v>8.9</v>
      </c>
      <c r="AF20" s="22">
        <v>14.4</v>
      </c>
      <c r="AG20" s="22">
        <v>14.94</v>
      </c>
      <c r="AH20" s="22">
        <v>0</v>
      </c>
      <c r="AI20" s="22">
        <v>8.9</v>
      </c>
      <c r="AJ20" s="22">
        <v>5.0999999999999996</v>
      </c>
      <c r="AK20" s="22">
        <v>5.4</v>
      </c>
      <c r="AL20" s="22">
        <v>8.92</v>
      </c>
      <c r="AM20" s="22">
        <v>0</v>
      </c>
      <c r="AN20" s="27"/>
      <c r="AO20" s="38">
        <f t="shared" si="17"/>
        <v>2</v>
      </c>
      <c r="AP20" s="38">
        <f t="shared" si="18"/>
        <v>1.64</v>
      </c>
      <c r="AQ20" s="40">
        <f t="shared" si="19"/>
        <v>5.9399999999999995</v>
      </c>
      <c r="AR20" s="40">
        <f t="shared" si="20"/>
        <v>14.4</v>
      </c>
      <c r="AS20" s="40">
        <f t="shared" si="21"/>
        <v>14.94</v>
      </c>
      <c r="AT20" s="40">
        <f t="shared" si="22"/>
        <v>53.04</v>
      </c>
      <c r="AU20" s="40">
        <f t="shared" si="23"/>
        <v>53.04</v>
      </c>
      <c r="AV20" s="40">
        <f t="shared" si="24"/>
        <v>5.4</v>
      </c>
      <c r="AW20" s="40">
        <f t="shared" si="25"/>
        <v>8.92</v>
      </c>
      <c r="AX20" s="40">
        <f t="shared" si="26"/>
        <v>28.32</v>
      </c>
      <c r="AY20" s="40">
        <f t="shared" si="27"/>
        <v>81.36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8"/>
        <v/>
      </c>
      <c r="BQ20" s="39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 t="str">
        <f t="shared" si="38"/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9"/>
        <v/>
      </c>
      <c r="CR20" s="38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40" t="str">
        <f t="shared" si="48"/>
        <v/>
      </c>
      <c r="DA20" s="40" t="str">
        <f t="shared" si="49"/>
        <v/>
      </c>
      <c r="DB20" s="51">
        <f t="shared" si="50"/>
        <v>42.36</v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>
        <v>11.4</v>
      </c>
      <c r="IK20" s="17">
        <v>6.9</v>
      </c>
      <c r="IL20" s="17">
        <v>11.7</v>
      </c>
      <c r="IM20" s="17">
        <v>12.36</v>
      </c>
      <c r="IN20" s="17">
        <v>0</v>
      </c>
      <c r="IO20" s="17">
        <v>8.8000000000000007</v>
      </c>
      <c r="IP20" s="17">
        <v>5.3</v>
      </c>
      <c r="IQ20" s="17">
        <v>7.3</v>
      </c>
      <c r="IR20" s="17">
        <v>9.57</v>
      </c>
      <c r="IS20" s="17">
        <v>0</v>
      </c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>
        <f t="shared" si="108"/>
        <v>11.7</v>
      </c>
      <c r="JE20" s="40">
        <f t="shared" si="109"/>
        <v>12.36</v>
      </c>
      <c r="JF20" s="40">
        <f t="shared" si="110"/>
        <v>42.36</v>
      </c>
      <c r="JG20" s="40">
        <f t="shared" si="111"/>
        <v>7.3</v>
      </c>
      <c r="JH20" s="40">
        <f t="shared" si="112"/>
        <v>9.57</v>
      </c>
      <c r="JI20" s="40">
        <f t="shared" si="113"/>
        <v>30.970000000000002</v>
      </c>
      <c r="JJ20" s="40">
        <f t="shared" si="114"/>
        <v>42.36</v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>
        <f t="shared" si="121"/>
        <v>42.36</v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0</v>
      </c>
      <c r="WU20" s="26">
        <f t="shared" si="263"/>
        <v>0</v>
      </c>
      <c r="WV20" s="26">
        <f t="shared" si="264"/>
        <v>0</v>
      </c>
      <c r="WW20" s="26">
        <f t="shared" si="265"/>
        <v>0</v>
      </c>
      <c r="WX20" s="26">
        <f t="shared" si="266"/>
        <v>0</v>
      </c>
      <c r="WY20" s="26">
        <f t="shared" si="267"/>
        <v>0</v>
      </c>
      <c r="WZ20" s="26">
        <f t="shared" si="268"/>
        <v>0</v>
      </c>
      <c r="XA20" s="26">
        <f t="shared" si="269"/>
        <v>0</v>
      </c>
      <c r="XB20" s="26">
        <f t="shared" si="270"/>
        <v>0</v>
      </c>
      <c r="XC20" s="26">
        <f t="shared" si="271"/>
        <v>0</v>
      </c>
      <c r="XD20" s="26">
        <f t="shared" si="272"/>
        <v>0</v>
      </c>
      <c r="XE20" s="26">
        <f t="shared" si="273"/>
        <v>0</v>
      </c>
      <c r="XF20" s="26">
        <f t="shared" si="274"/>
        <v>0</v>
      </c>
      <c r="XG20" s="26">
        <f t="shared" si="275"/>
        <v>0</v>
      </c>
      <c r="XH20" s="26">
        <f t="shared" si="276"/>
        <v>0</v>
      </c>
      <c r="XI20" s="28" t="s">
        <v>53</v>
      </c>
      <c r="XJ20" s="11" t="str">
        <f t="shared" si="277"/>
        <v/>
      </c>
      <c r="XK20" s="11" t="str">
        <f t="shared" si="278"/>
        <v/>
      </c>
      <c r="XL20" s="11" t="str">
        <f t="shared" si="279"/>
        <v/>
      </c>
      <c r="XM20" s="11" t="str">
        <f t="shared" si="280"/>
        <v/>
      </c>
      <c r="XN20" s="11" t="str">
        <f t="shared" si="281"/>
        <v/>
      </c>
      <c r="XO20" s="11" t="str">
        <f t="shared" si="282"/>
        <v/>
      </c>
      <c r="XP20" s="11" t="str">
        <f t="shared" si="283"/>
        <v/>
      </c>
      <c r="XQ20" s="11" t="str">
        <f t="shared" si="284"/>
        <v/>
      </c>
      <c r="XR20" s="11" t="str">
        <f t="shared" si="285"/>
        <v/>
      </c>
      <c r="XS20" s="11" t="str">
        <f t="shared" si="286"/>
        <v/>
      </c>
      <c r="XT20" s="11" t="str">
        <f t="shared" si="287"/>
        <v/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196</v>
      </c>
      <c r="C21" s="4" t="s">
        <v>6</v>
      </c>
      <c r="D21" s="4">
        <v>1998</v>
      </c>
      <c r="E21" s="9">
        <f t="shared" si="0"/>
        <v>143.87001438700506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50.43</v>
      </c>
      <c r="K21" s="8" t="str">
        <f t="shared" si="5"/>
        <v>2024 Nationals</v>
      </c>
      <c r="L21" s="8">
        <f>IF(COUNT(AQ21,AT21,BR21,BU21,CS21,CV21)&gt;1,LARGE((AQ21,AT21,BR21,BU21,CS21,CV21),2),0)</f>
        <v>49.53</v>
      </c>
      <c r="M21" s="8" t="str">
        <f t="shared" si="6"/>
        <v>2024 Nationals</v>
      </c>
      <c r="N21" s="8">
        <f>IF(COUNT(AQ21,AT21,BR21,BU21,CS21,CV21)&gt;2,LARGE((AQ21,AT21,BR21,BU21,CS21,CV21),3),0)</f>
        <v>11.48</v>
      </c>
      <c r="O21" s="8" t="str">
        <f t="shared" si="7"/>
        <v>2024 Elite Canada</v>
      </c>
      <c r="P21" s="8">
        <f t="shared" si="8"/>
        <v>20.53</v>
      </c>
      <c r="Q21" s="8" t="str">
        <f t="shared" si="9"/>
        <v>2024 Nationals</v>
      </c>
      <c r="R21" s="8">
        <f t="shared" si="10"/>
        <v>11.9</v>
      </c>
      <c r="S21" s="8" t="str">
        <f t="shared" si="11"/>
        <v>2024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>
        <v>3.3</v>
      </c>
      <c r="Z21" s="22">
        <v>1.8</v>
      </c>
      <c r="AA21" s="22">
        <v>3</v>
      </c>
      <c r="AB21" s="22">
        <v>3.38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/>
      <c r="AJ21" s="22"/>
      <c r="AK21" s="22"/>
      <c r="AL21" s="22"/>
      <c r="AM21" s="22"/>
      <c r="AN21" s="27"/>
      <c r="AO21" s="38">
        <f t="shared" si="17"/>
        <v>3</v>
      </c>
      <c r="AP21" s="38">
        <f t="shared" si="18"/>
        <v>3.38</v>
      </c>
      <c r="AQ21" s="40">
        <f t="shared" si="19"/>
        <v>11.48</v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>
        <f t="shared" si="23"/>
        <v>11.48</v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>
        <f t="shared" si="27"/>
        <v>11.48</v>
      </c>
      <c r="AZ21" s="26">
        <v>15.3</v>
      </c>
      <c r="BA21" s="26">
        <v>9.3000000000000007</v>
      </c>
      <c r="BB21" s="26">
        <v>11.9</v>
      </c>
      <c r="BC21" s="26">
        <v>15.53</v>
      </c>
      <c r="BD21" s="26">
        <v>1.6</v>
      </c>
      <c r="BE21" s="26">
        <v>14.8</v>
      </c>
      <c r="BF21" s="26">
        <v>9.3000000000000007</v>
      </c>
      <c r="BG21" s="26">
        <v>11.9</v>
      </c>
      <c r="BH21" s="26">
        <v>15.13</v>
      </c>
      <c r="BI21" s="26">
        <v>1.6</v>
      </c>
      <c r="BJ21" s="26">
        <v>5.8</v>
      </c>
      <c r="BK21" s="26">
        <v>3.5</v>
      </c>
      <c r="BL21" s="26">
        <v>5.2</v>
      </c>
      <c r="BM21" s="26">
        <v>6.23</v>
      </c>
      <c r="BN21" s="26">
        <v>0.2</v>
      </c>
      <c r="BO21" s="28"/>
      <c r="BP21" s="39">
        <f t="shared" si="28"/>
        <v>11.9</v>
      </c>
      <c r="BQ21" s="39">
        <f t="shared" si="29"/>
        <v>15.53</v>
      </c>
      <c r="BR21" s="11">
        <f t="shared" si="30"/>
        <v>50.43</v>
      </c>
      <c r="BS21" s="11">
        <f t="shared" si="31"/>
        <v>11.9</v>
      </c>
      <c r="BT21" s="11">
        <f t="shared" si="32"/>
        <v>15.13</v>
      </c>
      <c r="BU21" s="11">
        <f t="shared" si="33"/>
        <v>49.53</v>
      </c>
      <c r="BV21" s="11">
        <f t="shared" si="34"/>
        <v>50.43</v>
      </c>
      <c r="BW21" s="11">
        <f t="shared" si="35"/>
        <v>5.2</v>
      </c>
      <c r="BX21" s="11">
        <f t="shared" si="36"/>
        <v>6.23</v>
      </c>
      <c r="BY21" s="11">
        <f t="shared" si="37"/>
        <v>20.53</v>
      </c>
      <c r="BZ21" s="11">
        <f t="shared" si="38"/>
        <v>70.960000000000008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9"/>
        <v/>
      </c>
      <c r="CR21" s="38" t="str">
        <f t="shared" si="40"/>
        <v/>
      </c>
      <c r="CS21" s="40" t="str">
        <f t="shared" si="41"/>
        <v/>
      </c>
      <c r="CT21" s="40" t="str">
        <f t="shared" si="42"/>
        <v/>
      </c>
      <c r="CU21" s="40" t="str">
        <f t="shared" si="43"/>
        <v/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 t="str">
        <f t="shared" si="47"/>
        <v/>
      </c>
      <c r="CZ21" s="40" t="str">
        <f t="shared" si="48"/>
        <v/>
      </c>
      <c r="DA21" s="40" t="str">
        <f t="shared" si="49"/>
        <v/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7.65</v>
      </c>
      <c r="WU21" s="26">
        <f t="shared" si="263"/>
        <v>4.6500000000000004</v>
      </c>
      <c r="WV21" s="26">
        <f t="shared" si="264"/>
        <v>5.95</v>
      </c>
      <c r="WW21" s="26">
        <f t="shared" si="265"/>
        <v>7.7649999999999997</v>
      </c>
      <c r="WX21" s="26">
        <f t="shared" si="266"/>
        <v>0.8</v>
      </c>
      <c r="WY21" s="26">
        <f t="shared" si="267"/>
        <v>7.4</v>
      </c>
      <c r="WZ21" s="26">
        <f t="shared" si="268"/>
        <v>4.6500000000000004</v>
      </c>
      <c r="XA21" s="26">
        <f t="shared" si="269"/>
        <v>5.95</v>
      </c>
      <c r="XB21" s="26">
        <f t="shared" si="270"/>
        <v>7.5650000000000004</v>
      </c>
      <c r="XC21" s="26">
        <f t="shared" si="271"/>
        <v>0.8</v>
      </c>
      <c r="XD21" s="26">
        <f t="shared" si="272"/>
        <v>2.9</v>
      </c>
      <c r="XE21" s="26">
        <f t="shared" si="273"/>
        <v>1.75</v>
      </c>
      <c r="XF21" s="26">
        <f t="shared" si="274"/>
        <v>2.6</v>
      </c>
      <c r="XG21" s="26">
        <f t="shared" si="275"/>
        <v>3.1150000000000002</v>
      </c>
      <c r="XH21" s="26">
        <f t="shared" si="276"/>
        <v>0.1</v>
      </c>
      <c r="XI21" s="28" t="s">
        <v>53</v>
      </c>
      <c r="XJ21" s="11">
        <f t="shared" si="277"/>
        <v>5.95</v>
      </c>
      <c r="XK21" s="11">
        <f t="shared" si="278"/>
        <v>7.7649999999999997</v>
      </c>
      <c r="XL21" s="11">
        <f t="shared" si="279"/>
        <v>25.215</v>
      </c>
      <c r="XM21" s="11">
        <f t="shared" si="280"/>
        <v>5.95</v>
      </c>
      <c r="XN21" s="11">
        <f t="shared" si="281"/>
        <v>7.5650000000000004</v>
      </c>
      <c r="XO21" s="11">
        <f t="shared" si="282"/>
        <v>24.765000000000001</v>
      </c>
      <c r="XP21" s="11">
        <f t="shared" si="283"/>
        <v>25.215</v>
      </c>
      <c r="XQ21" s="11">
        <f t="shared" si="284"/>
        <v>2.6</v>
      </c>
      <c r="XR21" s="11">
        <f t="shared" si="285"/>
        <v>3.1150000000000002</v>
      </c>
      <c r="XS21" s="11">
        <f t="shared" si="286"/>
        <v>10.265000000000001</v>
      </c>
      <c r="XT21" s="11">
        <f t="shared" si="287"/>
        <v>35.480000000000004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86</v>
      </c>
      <c r="C22" s="4" t="s">
        <v>3</v>
      </c>
      <c r="D22" s="4">
        <v>1988</v>
      </c>
      <c r="E22" s="9">
        <f t="shared" si="0"/>
        <v>142.74001427400518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52.019999999999996</v>
      </c>
      <c r="K22" s="8" t="str">
        <f t="shared" si="5"/>
        <v>2024 3rd Domestic Trial</v>
      </c>
      <c r="L22" s="8">
        <f>IF(COUNT(AQ22,AT22,BR22,BU22,CS22,CV22)&gt;1,LARGE((AQ22,AT22,BR22,BU22,CS22,CV22),2),0)</f>
        <v>47.86</v>
      </c>
      <c r="M22" s="8" t="str">
        <f t="shared" si="6"/>
        <v>2024 Nationals</v>
      </c>
      <c r="N22" s="8">
        <f>IF(COUNT(AQ22,AT22,BR22,BU22,CS22,CV22)&gt;2,LARGE((AQ22,AT22,BR22,BU22,CS22,CV22),3),0)</f>
        <v>21.6</v>
      </c>
      <c r="O22" s="8" t="str">
        <f t="shared" si="7"/>
        <v>2024 Nationals</v>
      </c>
      <c r="P22" s="8">
        <f t="shared" si="8"/>
        <v>6.0600000000000005</v>
      </c>
      <c r="Q22" s="8" t="str">
        <f t="shared" si="9"/>
        <v>2024 3rd Domestic Trial</v>
      </c>
      <c r="R22" s="8">
        <f t="shared" si="10"/>
        <v>15.2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2.8</v>
      </c>
      <c r="Z22" s="22">
        <v>1.8</v>
      </c>
      <c r="AA22" s="22">
        <v>3.4</v>
      </c>
      <c r="AB22" s="22">
        <v>3.21</v>
      </c>
      <c r="AC22" s="22">
        <v>0</v>
      </c>
      <c r="AD22" s="22">
        <v>1.4</v>
      </c>
      <c r="AE22" s="22">
        <v>1</v>
      </c>
      <c r="AF22" s="22">
        <v>2</v>
      </c>
      <c r="AG22" s="22">
        <v>1.58</v>
      </c>
      <c r="AH22" s="22">
        <v>0</v>
      </c>
      <c r="AI22" s="22"/>
      <c r="AJ22" s="22"/>
      <c r="AK22" s="22"/>
      <c r="AL22" s="22"/>
      <c r="AM22" s="22"/>
      <c r="AN22" s="27"/>
      <c r="AO22" s="38">
        <f t="shared" si="17"/>
        <v>3.4</v>
      </c>
      <c r="AP22" s="38">
        <f t="shared" si="18"/>
        <v>3.21</v>
      </c>
      <c r="AQ22" s="40">
        <f t="shared" si="19"/>
        <v>11.21</v>
      </c>
      <c r="AR22" s="40">
        <f t="shared" si="20"/>
        <v>2</v>
      </c>
      <c r="AS22" s="40">
        <f t="shared" si="21"/>
        <v>1.58</v>
      </c>
      <c r="AT22" s="40">
        <f t="shared" si="22"/>
        <v>5.98</v>
      </c>
      <c r="AU22" s="40">
        <f t="shared" si="23"/>
        <v>11.21</v>
      </c>
      <c r="AV22" s="40" t="str">
        <f t="shared" si="24"/>
        <v/>
      </c>
      <c r="AW22" s="40" t="str">
        <f t="shared" si="25"/>
        <v/>
      </c>
      <c r="AX22" s="40" t="str">
        <f t="shared" si="26"/>
        <v/>
      </c>
      <c r="AY22" s="40">
        <f t="shared" si="27"/>
        <v>11.21</v>
      </c>
      <c r="AZ22" s="26">
        <v>13.2</v>
      </c>
      <c r="BA22" s="26">
        <v>9.1999999999999993</v>
      </c>
      <c r="BB22" s="26">
        <v>12.6</v>
      </c>
      <c r="BC22" s="26">
        <v>13.76</v>
      </c>
      <c r="BD22" s="26">
        <v>0.9</v>
      </c>
      <c r="BE22" s="26">
        <v>5.5</v>
      </c>
      <c r="BF22" s="26">
        <v>3.8</v>
      </c>
      <c r="BG22" s="26">
        <v>6.3</v>
      </c>
      <c r="BH22" s="26">
        <v>6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12.6</v>
      </c>
      <c r="BQ22" s="39">
        <f t="shared" si="29"/>
        <v>13.76</v>
      </c>
      <c r="BR22" s="11">
        <f t="shared" si="30"/>
        <v>47.86</v>
      </c>
      <c r="BS22" s="11">
        <f t="shared" si="31"/>
        <v>6.3</v>
      </c>
      <c r="BT22" s="11">
        <f t="shared" si="32"/>
        <v>6</v>
      </c>
      <c r="BU22" s="11">
        <f t="shared" si="33"/>
        <v>21.6</v>
      </c>
      <c r="BV22" s="11">
        <f t="shared" si="34"/>
        <v>47.86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47.86</v>
      </c>
      <c r="CA22" s="22">
        <v>1.5</v>
      </c>
      <c r="CB22" s="22">
        <v>1</v>
      </c>
      <c r="CC22" s="22">
        <v>2</v>
      </c>
      <c r="CD22" s="22">
        <v>1.65</v>
      </c>
      <c r="CE22" s="22">
        <v>0</v>
      </c>
      <c r="CF22" s="22">
        <v>13.3</v>
      </c>
      <c r="CG22" s="22">
        <v>8.6</v>
      </c>
      <c r="CH22" s="22">
        <v>15.2</v>
      </c>
      <c r="CI22" s="22">
        <v>14.92</v>
      </c>
      <c r="CJ22" s="22">
        <v>0</v>
      </c>
      <c r="CK22" s="22">
        <v>1.6</v>
      </c>
      <c r="CL22" s="22">
        <v>0.8</v>
      </c>
      <c r="CM22" s="22">
        <v>2</v>
      </c>
      <c r="CN22" s="22">
        <v>1.66</v>
      </c>
      <c r="CO22" s="22">
        <v>0</v>
      </c>
      <c r="CP22" s="27"/>
      <c r="CQ22" s="38">
        <f t="shared" si="39"/>
        <v>2</v>
      </c>
      <c r="CR22" s="38">
        <f t="shared" si="40"/>
        <v>1.65</v>
      </c>
      <c r="CS22" s="40">
        <f t="shared" si="41"/>
        <v>6.15</v>
      </c>
      <c r="CT22" s="40">
        <f t="shared" si="42"/>
        <v>15.2</v>
      </c>
      <c r="CU22" s="40">
        <f t="shared" si="43"/>
        <v>14.92</v>
      </c>
      <c r="CV22" s="40">
        <f t="shared" si="44"/>
        <v>52.019999999999996</v>
      </c>
      <c r="CW22" s="40">
        <f t="shared" si="45"/>
        <v>52.019999999999996</v>
      </c>
      <c r="CX22" s="40">
        <f t="shared" si="46"/>
        <v>2</v>
      </c>
      <c r="CY22" s="40">
        <f t="shared" si="47"/>
        <v>1.66</v>
      </c>
      <c r="CZ22" s="40">
        <f t="shared" si="48"/>
        <v>6.0600000000000005</v>
      </c>
      <c r="DA22" s="40">
        <f t="shared" si="49"/>
        <v>58.08</v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7.35</v>
      </c>
      <c r="WU22" s="26">
        <f t="shared" si="263"/>
        <v>5.0999999999999996</v>
      </c>
      <c r="WV22" s="26">
        <f t="shared" si="264"/>
        <v>7.3</v>
      </c>
      <c r="WW22" s="26">
        <f t="shared" si="265"/>
        <v>7.7050000000000001</v>
      </c>
      <c r="WX22" s="26">
        <f t="shared" si="266"/>
        <v>0.45</v>
      </c>
      <c r="WY22" s="26">
        <f t="shared" si="267"/>
        <v>9.4</v>
      </c>
      <c r="WZ22" s="26">
        <f t="shared" si="268"/>
        <v>6.1999999999999993</v>
      </c>
      <c r="XA22" s="26">
        <f t="shared" si="269"/>
        <v>10.75</v>
      </c>
      <c r="XB22" s="26">
        <f t="shared" si="270"/>
        <v>10.46</v>
      </c>
      <c r="XC22" s="26">
        <f t="shared" si="271"/>
        <v>0</v>
      </c>
      <c r="XD22" s="26">
        <f t="shared" si="272"/>
        <v>0.8</v>
      </c>
      <c r="XE22" s="26">
        <f t="shared" si="273"/>
        <v>0.4</v>
      </c>
      <c r="XF22" s="26">
        <f t="shared" si="274"/>
        <v>1</v>
      </c>
      <c r="XG22" s="26">
        <f t="shared" si="275"/>
        <v>0.83</v>
      </c>
      <c r="XH22" s="26">
        <f t="shared" si="276"/>
        <v>0</v>
      </c>
      <c r="XI22" s="28" t="s">
        <v>53</v>
      </c>
      <c r="XJ22" s="11">
        <f t="shared" si="277"/>
        <v>7.3</v>
      </c>
      <c r="XK22" s="11">
        <f t="shared" si="278"/>
        <v>7.7050000000000001</v>
      </c>
      <c r="XL22" s="11">
        <f t="shared" si="279"/>
        <v>27.004999999999999</v>
      </c>
      <c r="XM22" s="11">
        <f t="shared" si="280"/>
        <v>10.75</v>
      </c>
      <c r="XN22" s="11">
        <f t="shared" si="281"/>
        <v>10.46</v>
      </c>
      <c r="XO22" s="11">
        <f t="shared" si="282"/>
        <v>36.81</v>
      </c>
      <c r="XP22" s="11">
        <f t="shared" si="283"/>
        <v>36.81</v>
      </c>
      <c r="XQ22" s="11">
        <f t="shared" si="284"/>
        <v>1</v>
      </c>
      <c r="XR22" s="11">
        <f t="shared" si="285"/>
        <v>0.83</v>
      </c>
      <c r="XS22" s="11">
        <f t="shared" si="286"/>
        <v>3.0300000000000002</v>
      </c>
      <c r="XT22" s="11">
        <f t="shared" si="287"/>
        <v>39.840000000000003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65</v>
      </c>
      <c r="C23" s="4" t="s">
        <v>5</v>
      </c>
      <c r="D23" s="4">
        <v>1991</v>
      </c>
      <c r="E23" s="9">
        <f t="shared" si="0"/>
        <v>65.56000655600478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47.74</v>
      </c>
      <c r="K23" s="8" t="str">
        <f t="shared" si="5"/>
        <v>2024 Nationals</v>
      </c>
      <c r="L23" s="8">
        <f>IF(COUNT(AQ23,AT23,BR23,BU23,CS23,CV23)&gt;1,LARGE((AQ23,AT23,BR23,BU23,CS23,CV23),2),0)</f>
        <v>5.62</v>
      </c>
      <c r="M23" s="8" t="str">
        <f t="shared" si="6"/>
        <v>2024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>
        <f t="shared" si="10"/>
        <v>12.2</v>
      </c>
      <c r="S23" s="8" t="str">
        <f t="shared" si="11"/>
        <v>2024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7"/>
        <v/>
      </c>
      <c r="AP23" s="38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40" t="str">
        <f t="shared" si="26"/>
        <v/>
      </c>
      <c r="AY23" s="40" t="str">
        <f t="shared" si="27"/>
        <v/>
      </c>
      <c r="AZ23" s="26">
        <v>1.4</v>
      </c>
      <c r="BA23" s="26">
        <v>1</v>
      </c>
      <c r="BB23" s="26">
        <v>1.5</v>
      </c>
      <c r="BC23" s="26">
        <v>1.72</v>
      </c>
      <c r="BD23" s="26">
        <v>0</v>
      </c>
      <c r="BE23" s="26">
        <v>12.4</v>
      </c>
      <c r="BF23" s="26">
        <v>9.1999999999999993</v>
      </c>
      <c r="BG23" s="26">
        <v>12.2</v>
      </c>
      <c r="BH23" s="26">
        <v>15.24</v>
      </c>
      <c r="BI23" s="26">
        <v>1.3</v>
      </c>
      <c r="BJ23" s="26"/>
      <c r="BK23" s="26"/>
      <c r="BL23" s="26"/>
      <c r="BM23" s="26"/>
      <c r="BN23" s="26"/>
      <c r="BO23" s="28"/>
      <c r="BP23" s="39">
        <f t="shared" si="28"/>
        <v>1.5</v>
      </c>
      <c r="BQ23" s="39">
        <f t="shared" si="29"/>
        <v>1.72</v>
      </c>
      <c r="BR23" s="11">
        <f t="shared" si="30"/>
        <v>5.62</v>
      </c>
      <c r="BS23" s="11">
        <f t="shared" si="31"/>
        <v>12.2</v>
      </c>
      <c r="BT23" s="11">
        <f t="shared" si="32"/>
        <v>15.24</v>
      </c>
      <c r="BU23" s="11">
        <f t="shared" si="33"/>
        <v>47.74</v>
      </c>
      <c r="BV23" s="11">
        <f t="shared" si="34"/>
        <v>47.74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47.74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9"/>
        <v/>
      </c>
      <c r="CR23" s="38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40" t="str">
        <f t="shared" si="48"/>
        <v/>
      </c>
      <c r="DA23" s="40" t="str">
        <f t="shared" si="49"/>
        <v/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0.7</v>
      </c>
      <c r="WU23" s="26">
        <f t="shared" si="263"/>
        <v>0.5</v>
      </c>
      <c r="WV23" s="26">
        <f t="shared" si="264"/>
        <v>0.75</v>
      </c>
      <c r="WW23" s="26">
        <f t="shared" si="265"/>
        <v>0.86</v>
      </c>
      <c r="WX23" s="26">
        <f t="shared" si="266"/>
        <v>0</v>
      </c>
      <c r="WY23" s="26">
        <f t="shared" si="267"/>
        <v>6.2</v>
      </c>
      <c r="WZ23" s="26">
        <f t="shared" si="268"/>
        <v>4.5999999999999996</v>
      </c>
      <c r="XA23" s="26">
        <f t="shared" si="269"/>
        <v>6.1</v>
      </c>
      <c r="XB23" s="26">
        <f t="shared" si="270"/>
        <v>7.62</v>
      </c>
      <c r="XC23" s="26">
        <f t="shared" si="271"/>
        <v>0.65</v>
      </c>
      <c r="XD23" s="26">
        <f t="shared" si="272"/>
        <v>0</v>
      </c>
      <c r="XE23" s="26">
        <f t="shared" si="273"/>
        <v>0</v>
      </c>
      <c r="XF23" s="26">
        <f t="shared" si="274"/>
        <v>0</v>
      </c>
      <c r="XG23" s="26">
        <f t="shared" si="275"/>
        <v>0</v>
      </c>
      <c r="XH23" s="26">
        <f t="shared" si="276"/>
        <v>0</v>
      </c>
      <c r="XI23" s="28" t="s">
        <v>53</v>
      </c>
      <c r="XJ23" s="11">
        <f t="shared" si="277"/>
        <v>0.75</v>
      </c>
      <c r="XK23" s="11">
        <f t="shared" si="278"/>
        <v>0.86</v>
      </c>
      <c r="XL23" s="11">
        <f t="shared" si="279"/>
        <v>2.81</v>
      </c>
      <c r="XM23" s="11">
        <f t="shared" si="280"/>
        <v>6.1</v>
      </c>
      <c r="XN23" s="11">
        <f t="shared" si="281"/>
        <v>7.62</v>
      </c>
      <c r="XO23" s="11">
        <f t="shared" si="282"/>
        <v>23.87</v>
      </c>
      <c r="XP23" s="11">
        <f t="shared" si="283"/>
        <v>23.87</v>
      </c>
      <c r="XQ23" s="11" t="str">
        <f t="shared" si="284"/>
        <v/>
      </c>
      <c r="XR23" s="11" t="str">
        <f t="shared" si="285"/>
        <v/>
      </c>
      <c r="XS23" s="11" t="str">
        <f t="shared" si="286"/>
        <v/>
      </c>
      <c r="XT23" s="11">
        <f t="shared" si="287"/>
        <v>23.87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138</v>
      </c>
      <c r="C24" s="4" t="s">
        <v>5</v>
      </c>
      <c r="D24" s="4">
        <v>1993</v>
      </c>
      <c r="E24" s="9">
        <f t="shared" si="0"/>
        <v>58.140005814003182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31.810000000000002</v>
      </c>
      <c r="K24" s="8" t="str">
        <f t="shared" si="5"/>
        <v>2024 Nationals</v>
      </c>
      <c r="L24" s="8">
        <f>IF(COUNT(AQ24,AT24,BR24,BU24,CS24,CV24)&gt;1,LARGE((AQ24,AT24,BR24,BU24,CS24,CV24),2),0)</f>
        <v>10.010000000000002</v>
      </c>
      <c r="M24" s="8" t="str">
        <f t="shared" si="6"/>
        <v>2024 Elite Canada</v>
      </c>
      <c r="N24" s="8">
        <f>IF(COUNT(AQ24,AT24,BR24,BU24,CS24,CV24)&gt;2,LARGE((AQ24,AT24,BR24,BU24,CS24,CV24),3),0)</f>
        <v>9.52</v>
      </c>
      <c r="O24" s="8" t="str">
        <f t="shared" si="7"/>
        <v>2024 Nationals</v>
      </c>
      <c r="P24" s="8">
        <f t="shared" si="8"/>
        <v>0</v>
      </c>
      <c r="Q24" s="8" t="str">
        <f t="shared" si="9"/>
        <v/>
      </c>
      <c r="R24" s="8">
        <f t="shared" si="10"/>
        <v>6.8</v>
      </c>
      <c r="S24" s="8" t="str">
        <f t="shared" si="11"/>
        <v>2024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>
        <v>1</v>
      </c>
      <c r="Z24" s="22">
        <v>1</v>
      </c>
      <c r="AA24" s="22">
        <v>1.7</v>
      </c>
      <c r="AB24" s="22">
        <v>1.66</v>
      </c>
      <c r="AC24" s="22">
        <v>0</v>
      </c>
      <c r="AD24" s="22">
        <v>2.2000000000000002</v>
      </c>
      <c r="AE24" s="22">
        <v>1.7</v>
      </c>
      <c r="AF24" s="22">
        <v>3.1</v>
      </c>
      <c r="AG24" s="22">
        <v>3.21</v>
      </c>
      <c r="AH24" s="22">
        <v>0.2</v>
      </c>
      <c r="AI24" s="22"/>
      <c r="AJ24" s="22"/>
      <c r="AK24" s="22"/>
      <c r="AL24" s="22"/>
      <c r="AM24" s="22"/>
      <c r="AN24" s="27"/>
      <c r="AO24" s="38">
        <f t="shared" si="17"/>
        <v>1.7</v>
      </c>
      <c r="AP24" s="38">
        <f t="shared" si="18"/>
        <v>1.66</v>
      </c>
      <c r="AQ24" s="40">
        <f t="shared" si="19"/>
        <v>5.36</v>
      </c>
      <c r="AR24" s="40">
        <f t="shared" si="20"/>
        <v>3.1</v>
      </c>
      <c r="AS24" s="40">
        <f t="shared" si="21"/>
        <v>3.21</v>
      </c>
      <c r="AT24" s="40">
        <f t="shared" si="22"/>
        <v>10.010000000000002</v>
      </c>
      <c r="AU24" s="40">
        <f t="shared" si="23"/>
        <v>10.010000000000002</v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>
        <f t="shared" si="27"/>
        <v>10.010000000000002</v>
      </c>
      <c r="AZ24" s="26">
        <v>2.4</v>
      </c>
      <c r="BA24" s="26">
        <v>1.8</v>
      </c>
      <c r="BB24" s="26">
        <v>2.2999999999999998</v>
      </c>
      <c r="BC24" s="26">
        <v>3.02</v>
      </c>
      <c r="BD24" s="26">
        <v>0</v>
      </c>
      <c r="BE24" s="26">
        <v>8.6</v>
      </c>
      <c r="BF24" s="26">
        <v>6.1</v>
      </c>
      <c r="BG24" s="26">
        <v>6.8</v>
      </c>
      <c r="BH24" s="26">
        <v>10.31</v>
      </c>
      <c r="BI24" s="26">
        <v>0</v>
      </c>
      <c r="BJ24" s="26"/>
      <c r="BK24" s="26"/>
      <c r="BL24" s="26"/>
      <c r="BM24" s="26"/>
      <c r="BN24" s="26"/>
      <c r="BO24" s="28"/>
      <c r="BP24" s="39">
        <f t="shared" si="28"/>
        <v>2.2999999999999998</v>
      </c>
      <c r="BQ24" s="39">
        <f t="shared" si="29"/>
        <v>3.02</v>
      </c>
      <c r="BR24" s="11">
        <f t="shared" si="30"/>
        <v>9.52</v>
      </c>
      <c r="BS24" s="11">
        <f t="shared" si="31"/>
        <v>6.8</v>
      </c>
      <c r="BT24" s="11">
        <f t="shared" si="32"/>
        <v>10.31</v>
      </c>
      <c r="BU24" s="11">
        <f t="shared" si="33"/>
        <v>31.810000000000002</v>
      </c>
      <c r="BV24" s="11">
        <f t="shared" si="34"/>
        <v>31.810000000000002</v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>
        <f t="shared" si="38"/>
        <v>31.810000000000002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1.2</v>
      </c>
      <c r="WU24" s="26">
        <f t="shared" si="263"/>
        <v>0.9</v>
      </c>
      <c r="WV24" s="26">
        <f t="shared" si="264"/>
        <v>1.1499999999999999</v>
      </c>
      <c r="WW24" s="26">
        <f t="shared" si="265"/>
        <v>1.51</v>
      </c>
      <c r="WX24" s="26">
        <f t="shared" si="266"/>
        <v>0</v>
      </c>
      <c r="WY24" s="26">
        <f t="shared" si="267"/>
        <v>4.3</v>
      </c>
      <c r="WZ24" s="26">
        <f t="shared" si="268"/>
        <v>3.05</v>
      </c>
      <c r="XA24" s="26">
        <f t="shared" si="269"/>
        <v>3.4</v>
      </c>
      <c r="XB24" s="26">
        <f t="shared" si="270"/>
        <v>5.1550000000000002</v>
      </c>
      <c r="XC24" s="26">
        <f t="shared" si="271"/>
        <v>0</v>
      </c>
      <c r="XD24" s="26">
        <f t="shared" si="272"/>
        <v>0</v>
      </c>
      <c r="XE24" s="26">
        <f t="shared" si="273"/>
        <v>0</v>
      </c>
      <c r="XF24" s="26">
        <f t="shared" si="274"/>
        <v>0</v>
      </c>
      <c r="XG24" s="26">
        <f t="shared" si="275"/>
        <v>0</v>
      </c>
      <c r="XH24" s="26">
        <f t="shared" si="276"/>
        <v>0</v>
      </c>
      <c r="XI24" s="28" t="s">
        <v>53</v>
      </c>
      <c r="XJ24" s="11">
        <f t="shared" si="277"/>
        <v>1.1499999999999999</v>
      </c>
      <c r="XK24" s="11">
        <f t="shared" si="278"/>
        <v>1.51</v>
      </c>
      <c r="XL24" s="11">
        <f t="shared" si="279"/>
        <v>4.76</v>
      </c>
      <c r="XM24" s="11">
        <f t="shared" si="280"/>
        <v>3.4</v>
      </c>
      <c r="XN24" s="11">
        <f t="shared" si="281"/>
        <v>5.1550000000000002</v>
      </c>
      <c r="XO24" s="11">
        <f t="shared" si="282"/>
        <v>15.905000000000001</v>
      </c>
      <c r="XP24" s="11">
        <f t="shared" si="283"/>
        <v>15.905000000000001</v>
      </c>
      <c r="XQ24" s="11" t="str">
        <f t="shared" si="284"/>
        <v/>
      </c>
      <c r="XR24" s="11" t="str">
        <f t="shared" si="285"/>
        <v/>
      </c>
      <c r="XS24" s="11" t="str">
        <f t="shared" si="286"/>
        <v/>
      </c>
      <c r="XT24" s="11">
        <f t="shared" si="287"/>
        <v>15.905000000000001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15.4</v>
      </c>
      <c r="CT27" s="41"/>
      <c r="CU27" s="41"/>
      <c r="CV27" s="41"/>
      <c r="CX27" s="32"/>
      <c r="CY27" s="32"/>
      <c r="DA27" s="42">
        <v>15.4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15.4</v>
      </c>
      <c r="JD27" s="5"/>
      <c r="JE27" s="5"/>
      <c r="JN27" s="2"/>
      <c r="JO27" s="2"/>
      <c r="JQ27" s="42">
        <v>15.4</v>
      </c>
      <c r="KL27" s="5"/>
      <c r="KM27" s="5"/>
      <c r="KV27" s="2"/>
      <c r="KW27" s="2"/>
      <c r="KY27" s="42">
        <v>15.4</v>
      </c>
      <c r="LT27" s="5"/>
      <c r="LU27" s="5"/>
      <c r="MD27" s="2"/>
      <c r="ME27" s="2"/>
      <c r="MG27" s="42">
        <v>15.4</v>
      </c>
      <c r="NB27" s="5"/>
      <c r="NC27" s="5"/>
      <c r="NL27" s="2"/>
      <c r="NM27" s="2"/>
      <c r="NO27" s="42">
        <v>15.4</v>
      </c>
      <c r="OJ27" s="5"/>
      <c r="OK27" s="5"/>
      <c r="OT27" s="2"/>
      <c r="OU27" s="2"/>
      <c r="OW27" s="42">
        <v>15.4</v>
      </c>
      <c r="PR27" s="5"/>
      <c r="PS27" s="5"/>
      <c r="QB27" s="2"/>
      <c r="QC27" s="2"/>
      <c r="QE27" s="42">
        <v>15.4</v>
      </c>
      <c r="QZ27" s="5"/>
      <c r="RA27" s="5"/>
      <c r="RJ27" s="2"/>
      <c r="RK27" s="2"/>
      <c r="RM27" s="42">
        <v>15.4</v>
      </c>
      <c r="SH27" s="5"/>
      <c r="SI27" s="5"/>
      <c r="SR27" s="2"/>
      <c r="SS27" s="2"/>
      <c r="SU27" s="42">
        <v>15.4</v>
      </c>
      <c r="TP27" s="5"/>
      <c r="TQ27" s="5"/>
      <c r="TZ27" s="2"/>
      <c r="UA27" s="2"/>
      <c r="UC27" s="42">
        <v>15.4</v>
      </c>
      <c r="UX27" s="5"/>
      <c r="UY27" s="5"/>
      <c r="VH27" s="2"/>
      <c r="VI27" s="2"/>
      <c r="VK27" s="42">
        <v>15.4</v>
      </c>
      <c r="WF27" s="5"/>
      <c r="WG27" s="5"/>
      <c r="WP27" s="2"/>
      <c r="WQ27" s="2"/>
      <c r="WS27" s="42">
        <v>15.4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16</v>
      </c>
      <c r="CT28" s="41"/>
      <c r="CU28" s="41"/>
      <c r="CV28" s="41"/>
      <c r="CX28" s="32"/>
      <c r="CY28" s="32"/>
      <c r="DA28" s="43">
        <v>16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16</v>
      </c>
      <c r="JD28" s="5"/>
      <c r="JE28" s="5"/>
      <c r="JN28" s="2"/>
      <c r="JO28" s="2"/>
      <c r="JQ28" s="43">
        <v>16</v>
      </c>
      <c r="KL28" s="5"/>
      <c r="KM28" s="5"/>
      <c r="KV28" s="2"/>
      <c r="KW28" s="2"/>
      <c r="KY28" s="43">
        <v>16</v>
      </c>
      <c r="LT28" s="5"/>
      <c r="LU28" s="5"/>
      <c r="MD28" s="2"/>
      <c r="ME28" s="2"/>
      <c r="MG28" s="43">
        <v>16</v>
      </c>
      <c r="NB28" s="5"/>
      <c r="NC28" s="5"/>
      <c r="NL28" s="2"/>
      <c r="NM28" s="2"/>
      <c r="NO28" s="43">
        <v>16</v>
      </c>
      <c r="OJ28" s="5"/>
      <c r="OK28" s="5"/>
      <c r="OT28" s="2"/>
      <c r="OU28" s="2"/>
      <c r="OW28" s="43">
        <v>16</v>
      </c>
      <c r="PR28" s="5"/>
      <c r="PS28" s="5"/>
      <c r="QB28" s="2"/>
      <c r="QC28" s="2"/>
      <c r="QE28" s="43">
        <v>16</v>
      </c>
      <c r="QZ28" s="5"/>
      <c r="RA28" s="5"/>
      <c r="RJ28" s="2"/>
      <c r="RK28" s="2"/>
      <c r="RM28" s="43">
        <v>16</v>
      </c>
      <c r="SH28" s="5"/>
      <c r="SI28" s="5"/>
      <c r="SR28" s="2"/>
      <c r="SS28" s="2"/>
      <c r="SU28" s="43">
        <v>16</v>
      </c>
      <c r="TP28" s="5"/>
      <c r="TQ28" s="5"/>
      <c r="TZ28" s="2"/>
      <c r="UA28" s="2"/>
      <c r="UC28" s="43">
        <v>16</v>
      </c>
      <c r="UX28" s="5"/>
      <c r="UY28" s="5"/>
      <c r="VH28" s="2"/>
      <c r="VI28" s="2"/>
      <c r="VK28" s="43">
        <v>16</v>
      </c>
      <c r="WF28" s="5"/>
      <c r="WG28" s="5"/>
      <c r="WP28" s="2"/>
      <c r="WQ28" s="2"/>
      <c r="WS28" s="43">
        <v>16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16.2</v>
      </c>
      <c r="CT29" s="41"/>
      <c r="CU29" s="41"/>
      <c r="CV29" s="41"/>
      <c r="CW29" s="32"/>
      <c r="CX29" s="32"/>
      <c r="CY29" s="32"/>
      <c r="CZ29" s="32"/>
      <c r="DA29" s="44">
        <v>16.2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16.2</v>
      </c>
      <c r="JD29" s="5"/>
      <c r="JE29" s="5"/>
      <c r="JN29" s="2"/>
      <c r="JO29" s="2"/>
      <c r="JQ29" s="44">
        <v>16.2</v>
      </c>
      <c r="KL29" s="5"/>
      <c r="KM29" s="5"/>
      <c r="KV29" s="2"/>
      <c r="KW29" s="2"/>
      <c r="KY29" s="44">
        <v>16.2</v>
      </c>
      <c r="LT29" s="5"/>
      <c r="LU29" s="5"/>
      <c r="MD29" s="2"/>
      <c r="ME29" s="2"/>
      <c r="MG29" s="44">
        <v>16.2</v>
      </c>
      <c r="NB29" s="5"/>
      <c r="NC29" s="5"/>
      <c r="NL29" s="2"/>
      <c r="NM29" s="2"/>
      <c r="NO29" s="44">
        <v>16.2</v>
      </c>
      <c r="OJ29" s="5"/>
      <c r="OK29" s="5"/>
      <c r="OT29" s="2"/>
      <c r="OU29" s="2"/>
      <c r="OW29" s="44">
        <v>16.2</v>
      </c>
      <c r="PR29" s="5"/>
      <c r="PS29" s="5"/>
      <c r="QB29" s="2"/>
      <c r="QC29" s="2"/>
      <c r="QE29" s="44">
        <v>16.2</v>
      </c>
      <c r="QZ29" s="5"/>
      <c r="RA29" s="5"/>
      <c r="RJ29" s="2"/>
      <c r="RK29" s="2"/>
      <c r="RM29" s="44">
        <v>16.2</v>
      </c>
      <c r="SH29" s="5"/>
      <c r="SI29" s="5"/>
      <c r="SR29" s="2"/>
      <c r="SS29" s="2"/>
      <c r="SU29" s="44">
        <v>16.2</v>
      </c>
      <c r="TP29" s="5"/>
      <c r="TQ29" s="5"/>
      <c r="TZ29" s="2"/>
      <c r="UA29" s="2"/>
      <c r="UC29" s="44">
        <v>16.2</v>
      </c>
      <c r="UX29" s="5"/>
      <c r="UY29" s="5"/>
      <c r="VH29" s="2"/>
      <c r="VI29" s="2"/>
      <c r="VK29" s="44">
        <v>16.2</v>
      </c>
      <c r="WF29" s="5"/>
      <c r="WG29" s="5"/>
      <c r="WP29" s="2"/>
      <c r="WQ29" s="2"/>
      <c r="WS29" s="44">
        <v>16.2</v>
      </c>
    </row>
    <row r="30" spans="1:644" x14ac:dyDescent="0.2">
      <c r="A30" s="5"/>
      <c r="B30" s="35" t="s">
        <v>76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17.100000000000001</v>
      </c>
      <c r="CT30" s="41"/>
      <c r="CU30" s="41"/>
      <c r="CV30" s="41"/>
      <c r="CW30" s="32"/>
      <c r="CX30" s="32"/>
      <c r="CY30" s="32"/>
      <c r="CZ30" s="32"/>
      <c r="DA30" s="45">
        <v>17.100000000000001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17.100000000000001</v>
      </c>
      <c r="JD30" s="5"/>
      <c r="JE30" s="5"/>
      <c r="JN30" s="2"/>
      <c r="JO30" s="2"/>
      <c r="JQ30" s="45">
        <v>17.100000000000001</v>
      </c>
      <c r="KL30" s="5"/>
      <c r="KM30" s="5"/>
      <c r="KV30" s="2"/>
      <c r="KW30" s="2"/>
      <c r="KY30" s="45">
        <v>17.100000000000001</v>
      </c>
      <c r="LT30" s="5"/>
      <c r="LU30" s="5"/>
      <c r="MD30" s="2"/>
      <c r="ME30" s="2"/>
      <c r="MG30" s="45">
        <v>17.100000000000001</v>
      </c>
      <c r="NB30" s="5"/>
      <c r="NC30" s="5"/>
      <c r="NL30" s="2"/>
      <c r="NM30" s="2"/>
      <c r="NO30" s="45">
        <v>17.100000000000001</v>
      </c>
      <c r="OJ30" s="5"/>
      <c r="OK30" s="5"/>
      <c r="OT30" s="2"/>
      <c r="OU30" s="2"/>
      <c r="OW30" s="45">
        <v>17.100000000000001</v>
      </c>
      <c r="PR30" s="5"/>
      <c r="PS30" s="5"/>
      <c r="QB30" s="2"/>
      <c r="QC30" s="2"/>
      <c r="QE30" s="45">
        <v>17.100000000000001</v>
      </c>
      <c r="QZ30" s="5"/>
      <c r="RA30" s="5"/>
      <c r="RJ30" s="2"/>
      <c r="RK30" s="2"/>
      <c r="RM30" s="45">
        <v>17.100000000000001</v>
      </c>
      <c r="SH30" s="5"/>
      <c r="SI30" s="5"/>
      <c r="SR30" s="2"/>
      <c r="SS30" s="2"/>
      <c r="SU30" s="45">
        <v>17.100000000000001</v>
      </c>
      <c r="TP30" s="5"/>
      <c r="TQ30" s="5"/>
      <c r="TZ30" s="2"/>
      <c r="UA30" s="2"/>
      <c r="UC30" s="45">
        <v>17.100000000000001</v>
      </c>
      <c r="UX30" s="5"/>
      <c r="UY30" s="5"/>
      <c r="VH30" s="2"/>
      <c r="VI30" s="2"/>
      <c r="VK30" s="45">
        <v>17.100000000000001</v>
      </c>
      <c r="WF30" s="5"/>
      <c r="WG30" s="5"/>
      <c r="WP30" s="2"/>
      <c r="WQ30" s="2"/>
      <c r="WS30" s="45">
        <v>17.100000000000001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</v>
      </c>
      <c r="CT31" s="41"/>
      <c r="CU31" s="41"/>
      <c r="CV31" s="41"/>
      <c r="CW31" s="32"/>
      <c r="CX31" s="32"/>
      <c r="CY31" s="32"/>
      <c r="CZ31" s="32"/>
      <c r="DA31" s="46">
        <v>54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</v>
      </c>
      <c r="JD31" s="5"/>
      <c r="JE31" s="5"/>
      <c r="JN31" s="2"/>
      <c r="JO31" s="2"/>
      <c r="JQ31" s="46">
        <v>54</v>
      </c>
      <c r="KL31" s="5"/>
      <c r="KM31" s="5"/>
      <c r="KV31" s="2"/>
      <c r="KW31" s="2"/>
      <c r="KY31" s="46">
        <v>54</v>
      </c>
      <c r="LT31" s="5"/>
      <c r="LU31" s="5"/>
      <c r="MD31" s="2"/>
      <c r="ME31" s="2"/>
      <c r="MG31" s="46">
        <v>54</v>
      </c>
      <c r="NB31" s="5"/>
      <c r="NC31" s="5"/>
      <c r="NL31" s="2"/>
      <c r="NM31" s="2"/>
      <c r="NO31" s="46">
        <v>54</v>
      </c>
      <c r="OJ31" s="5"/>
      <c r="OK31" s="5"/>
      <c r="OT31" s="2"/>
      <c r="OU31" s="2"/>
      <c r="OW31" s="46">
        <v>54</v>
      </c>
      <c r="PR31" s="5"/>
      <c r="PS31" s="5"/>
      <c r="QB31" s="2"/>
      <c r="QC31" s="2"/>
      <c r="QE31" s="46">
        <v>54</v>
      </c>
      <c r="QZ31" s="5"/>
      <c r="RA31" s="5"/>
      <c r="RJ31" s="2"/>
      <c r="RK31" s="2"/>
      <c r="RM31" s="46">
        <v>54</v>
      </c>
      <c r="SH31" s="5"/>
      <c r="SI31" s="5"/>
      <c r="SR31" s="2"/>
      <c r="SS31" s="2"/>
      <c r="SU31" s="46">
        <v>54</v>
      </c>
      <c r="TP31" s="5"/>
      <c r="TQ31" s="5"/>
      <c r="TZ31" s="2"/>
      <c r="UA31" s="2"/>
      <c r="UC31" s="46">
        <v>54</v>
      </c>
      <c r="UX31" s="5"/>
      <c r="UY31" s="5"/>
      <c r="VH31" s="2"/>
      <c r="VI31" s="2"/>
      <c r="VK31" s="46">
        <v>54</v>
      </c>
      <c r="WF31" s="5"/>
      <c r="WG31" s="5"/>
      <c r="WP31" s="2"/>
      <c r="WQ31" s="2"/>
      <c r="WS31" s="46">
        <v>54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</v>
      </c>
      <c r="CT32" s="41"/>
      <c r="CU32" s="41"/>
      <c r="CV32" s="41"/>
      <c r="CW32" s="32"/>
      <c r="CX32" s="32"/>
      <c r="CY32" s="32"/>
      <c r="CZ32" s="32"/>
      <c r="DA32" s="47">
        <v>56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</v>
      </c>
      <c r="JD32" s="5"/>
      <c r="JE32" s="5"/>
      <c r="JN32" s="2"/>
      <c r="JO32" s="2"/>
      <c r="JQ32" s="47">
        <v>56</v>
      </c>
      <c r="KL32" s="5"/>
      <c r="KM32" s="5"/>
      <c r="KV32" s="2"/>
      <c r="KW32" s="2"/>
      <c r="KY32" s="47">
        <v>56</v>
      </c>
      <c r="LT32" s="5"/>
      <c r="LU32" s="5"/>
      <c r="MD32" s="2"/>
      <c r="ME32" s="2"/>
      <c r="MG32" s="47">
        <v>56</v>
      </c>
      <c r="NB32" s="5"/>
      <c r="NC32" s="5"/>
      <c r="NL32" s="2"/>
      <c r="NM32" s="2"/>
      <c r="NO32" s="47">
        <v>56</v>
      </c>
      <c r="OJ32" s="5"/>
      <c r="OK32" s="5"/>
      <c r="OT32" s="2"/>
      <c r="OU32" s="2"/>
      <c r="OW32" s="47">
        <v>56</v>
      </c>
      <c r="PR32" s="5"/>
      <c r="PS32" s="5"/>
      <c r="QB32" s="2"/>
      <c r="QC32" s="2"/>
      <c r="QE32" s="47">
        <v>56</v>
      </c>
      <c r="QZ32" s="5"/>
      <c r="RA32" s="5"/>
      <c r="RJ32" s="2"/>
      <c r="RK32" s="2"/>
      <c r="RM32" s="47">
        <v>56</v>
      </c>
      <c r="SH32" s="5"/>
      <c r="SI32" s="5"/>
      <c r="SR32" s="2"/>
      <c r="SS32" s="2"/>
      <c r="SU32" s="47">
        <v>56</v>
      </c>
      <c r="TP32" s="5"/>
      <c r="TQ32" s="5"/>
      <c r="TZ32" s="2"/>
      <c r="UA32" s="2"/>
      <c r="UC32" s="47">
        <v>56</v>
      </c>
      <c r="UX32" s="5"/>
      <c r="UY32" s="5"/>
      <c r="VH32" s="2"/>
      <c r="VI32" s="2"/>
      <c r="VK32" s="47">
        <v>56</v>
      </c>
      <c r="WF32" s="5"/>
      <c r="WG32" s="5"/>
      <c r="WP32" s="2"/>
      <c r="WQ32" s="2"/>
      <c r="WS32" s="47">
        <v>56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57</v>
      </c>
      <c r="CT33" s="41"/>
      <c r="CU33" s="41"/>
      <c r="CV33" s="41"/>
      <c r="CW33" s="32"/>
      <c r="CX33" s="32"/>
      <c r="CY33" s="32"/>
      <c r="CZ33" s="32"/>
      <c r="DA33" s="48">
        <v>57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57</v>
      </c>
      <c r="JD33" s="5"/>
      <c r="JE33" s="5"/>
      <c r="JN33" s="2"/>
      <c r="JO33" s="2"/>
      <c r="JP33" s="37"/>
      <c r="JQ33" s="48">
        <v>57</v>
      </c>
      <c r="KL33" s="5"/>
      <c r="KM33" s="5"/>
      <c r="KV33" s="2"/>
      <c r="KW33" s="2"/>
      <c r="KX33" s="37"/>
      <c r="KY33" s="48">
        <v>57</v>
      </c>
      <c r="LT33" s="5"/>
      <c r="LU33" s="5"/>
      <c r="MD33" s="2"/>
      <c r="ME33" s="2"/>
      <c r="MF33" s="37"/>
      <c r="MG33" s="48">
        <v>57</v>
      </c>
      <c r="NB33" s="5"/>
      <c r="NC33" s="5"/>
      <c r="NL33" s="2"/>
      <c r="NM33" s="2"/>
      <c r="NN33" s="37"/>
      <c r="NO33" s="48">
        <v>57</v>
      </c>
      <c r="OJ33" s="5"/>
      <c r="OK33" s="5"/>
      <c r="OT33" s="2"/>
      <c r="OU33" s="2"/>
      <c r="OV33" s="37"/>
      <c r="OW33" s="48">
        <v>57</v>
      </c>
      <c r="PR33" s="5"/>
      <c r="PS33" s="5"/>
      <c r="QB33" s="2"/>
      <c r="QC33" s="2"/>
      <c r="QD33" s="37"/>
      <c r="QE33" s="48">
        <v>57</v>
      </c>
      <c r="QZ33" s="5"/>
      <c r="RA33" s="5"/>
      <c r="RJ33" s="2"/>
      <c r="RK33" s="2"/>
      <c r="RL33" s="37"/>
      <c r="RM33" s="48">
        <v>57</v>
      </c>
      <c r="SH33" s="5"/>
      <c r="SI33" s="5"/>
      <c r="SR33" s="2"/>
      <c r="SS33" s="2"/>
      <c r="ST33" s="37"/>
      <c r="SU33" s="48">
        <v>57</v>
      </c>
      <c r="TP33" s="5"/>
      <c r="TQ33" s="5"/>
      <c r="TZ33" s="2"/>
      <c r="UA33" s="2"/>
      <c r="UB33" s="37"/>
      <c r="UC33" s="48">
        <v>57</v>
      </c>
      <c r="UX33" s="5"/>
      <c r="UY33" s="5"/>
      <c r="VH33" s="2"/>
      <c r="VI33" s="2"/>
      <c r="VJ33" s="37"/>
      <c r="VK33" s="48">
        <v>57</v>
      </c>
      <c r="WF33" s="5"/>
      <c r="WG33" s="5"/>
      <c r="WP33" s="2"/>
      <c r="WQ33" s="2"/>
      <c r="WR33" s="37"/>
      <c r="WS33" s="48">
        <v>57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59</v>
      </c>
      <c r="CT34" s="41"/>
      <c r="CU34" s="41"/>
      <c r="CV34" s="41"/>
      <c r="CW34" s="32"/>
      <c r="CX34" s="41"/>
      <c r="CY34" s="32"/>
      <c r="CZ34" s="32"/>
      <c r="DA34" s="49">
        <v>59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59</v>
      </c>
      <c r="JD34" s="5"/>
      <c r="JE34" s="5"/>
      <c r="JN34" s="2"/>
      <c r="JO34" s="2"/>
      <c r="JQ34" s="49">
        <v>59</v>
      </c>
      <c r="KL34" s="5"/>
      <c r="KM34" s="5"/>
      <c r="KV34" s="2"/>
      <c r="KW34" s="2"/>
      <c r="KY34" s="49">
        <v>59</v>
      </c>
      <c r="LT34" s="5"/>
      <c r="LU34" s="5"/>
      <c r="MD34" s="2"/>
      <c r="ME34" s="2"/>
      <c r="MG34" s="49">
        <v>59</v>
      </c>
      <c r="NB34" s="5"/>
      <c r="NC34" s="5"/>
      <c r="NL34" s="2"/>
      <c r="NM34" s="2"/>
      <c r="NO34" s="49">
        <v>59</v>
      </c>
      <c r="OJ34" s="5"/>
      <c r="OK34" s="5"/>
      <c r="OT34" s="2"/>
      <c r="OU34" s="2"/>
      <c r="OW34" s="49">
        <v>59</v>
      </c>
      <c r="PR34" s="5"/>
      <c r="PS34" s="5"/>
      <c r="QB34" s="2"/>
      <c r="QC34" s="2"/>
      <c r="QE34" s="49">
        <v>59</v>
      </c>
      <c r="QZ34" s="5"/>
      <c r="RA34" s="5"/>
      <c r="RJ34" s="2"/>
      <c r="RK34" s="2"/>
      <c r="RM34" s="49">
        <v>59</v>
      </c>
      <c r="SH34" s="5"/>
      <c r="SI34" s="5"/>
      <c r="SR34" s="2"/>
      <c r="SS34" s="2"/>
      <c r="SU34" s="49">
        <v>59</v>
      </c>
      <c r="TP34" s="5"/>
      <c r="TQ34" s="5"/>
      <c r="TZ34" s="2"/>
      <c r="UA34" s="2"/>
      <c r="UC34" s="49">
        <v>59</v>
      </c>
      <c r="UX34" s="5"/>
      <c r="UY34" s="5"/>
      <c r="VH34" s="2"/>
      <c r="VI34" s="2"/>
      <c r="VK34" s="49">
        <v>59</v>
      </c>
      <c r="WF34" s="5"/>
      <c r="WG34" s="5"/>
      <c r="WP34" s="2"/>
      <c r="WQ34" s="2"/>
      <c r="WS34" s="49">
        <v>59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4">
    <cfRule type="expression" dxfId="782" priority="51305" stopIfTrue="1">
      <formula>IF($AN4&lt;&gt;"",1,0)</formula>
    </cfRule>
  </conditionalFormatting>
  <conditionalFormatting sqref="AZ4:BZ24">
    <cfRule type="expression" dxfId="781" priority="240" stopIfTrue="1">
      <formula>IF($BO4&lt;&gt;"",1,0)</formula>
    </cfRule>
  </conditionalFormatting>
  <conditionalFormatting sqref="CA4:DA24">
    <cfRule type="expression" dxfId="780" priority="236" stopIfTrue="1">
      <formula>IF($CP4&lt;&gt;"",1,0)</formula>
    </cfRule>
  </conditionalFormatting>
  <conditionalFormatting sqref="BW35:BW1048576 BP1:BP1048576 BS1:BS1048576 BW1:BW33">
    <cfRule type="cellIs" dxfId="779" priority="52662" operator="between">
      <formula>$BZ$30</formula>
      <formula>1000</formula>
    </cfRule>
    <cfRule type="cellIs" dxfId="778" priority="52663" operator="between">
      <formula>$BZ$29</formula>
      <formula>$BZ$30</formula>
    </cfRule>
    <cfRule type="cellIs" dxfId="777" priority="52664" operator="between">
      <formula>$BZ$28</formula>
      <formula>$BZ$29</formula>
    </cfRule>
    <cfRule type="cellIs" dxfId="776" priority="52665" operator="between">
      <formula>$BZ$27</formula>
      <formula>$BZ$28</formula>
    </cfRule>
  </conditionalFormatting>
  <conditionalFormatting sqref="CX35:CX1048576 CQ1:CQ1048576 CT1:CT1048576 CX1:CX33">
    <cfRule type="cellIs" dxfId="775" priority="51539" operator="between">
      <formula>$DA$30</formula>
      <formula>1000</formula>
    </cfRule>
    <cfRule type="cellIs" dxfId="774" priority="51540" operator="between">
      <formula>$DA$29</formula>
      <formula>$DA$30</formula>
    </cfRule>
    <cfRule type="cellIs" dxfId="773" priority="51541" operator="between">
      <formula>$DA$28</formula>
      <formula>$DA$29</formula>
    </cfRule>
    <cfRule type="cellIs" dxfId="772" priority="51542" operator="between">
      <formula>$DA$27</formula>
      <formula>$DA$28</formula>
    </cfRule>
  </conditionalFormatting>
  <conditionalFormatting sqref="EH35:EH1048576 DX1:DX1048576 EA1:EA1048576 EE1:EE1048576 EH1:EH33">
    <cfRule type="cellIs" dxfId="771" priority="52690" operator="between">
      <formula>$EK$30</formula>
      <formula>1000</formula>
    </cfRule>
    <cfRule type="cellIs" dxfId="770" priority="52691" operator="between">
      <formula>$EK$29</formula>
      <formula>$EK$30</formula>
    </cfRule>
    <cfRule type="cellIs" dxfId="769" priority="52692" operator="between">
      <formula>$EK$28</formula>
      <formula>$EK$29</formula>
    </cfRule>
    <cfRule type="cellIs" dxfId="768" priority="52693" operator="between">
      <formula>$EK$27</formula>
      <formula>$EK$28</formula>
    </cfRule>
  </conditionalFormatting>
  <conditionalFormatting sqref="FP35:FP1048576 FF1:FF1048576 FI1:FI1048576 FM1:FM1048576 FP1:FP33">
    <cfRule type="cellIs" dxfId="767" priority="220" operator="between">
      <formula>$FS$30</formula>
      <formula>1000</formula>
    </cfRule>
    <cfRule type="cellIs" dxfId="766" priority="221" operator="between">
      <formula>$FS$29</formula>
      <formula>$FS$30</formula>
    </cfRule>
    <cfRule type="cellIs" dxfId="765" priority="222" operator="between">
      <formula>$FS$28</formula>
      <formula>$FS$29</formula>
    </cfRule>
    <cfRule type="cellIs" dxfId="764" priority="223" operator="between">
      <formula>$FS$27</formula>
      <formula>$FS$28</formula>
    </cfRule>
  </conditionalFormatting>
  <conditionalFormatting sqref="IF35:IF1048576 HV1:HV1048576 HY1:HY1048576 IC1:IC1048576 IF1:IF33">
    <cfRule type="cellIs" dxfId="763" priority="188" operator="between">
      <formula>$II$30</formula>
      <formula>1000</formula>
    </cfRule>
    <cfRule type="cellIs" dxfId="762" priority="189" operator="between">
      <formula>$II$29</formula>
      <formula>$II$30</formula>
    </cfRule>
    <cfRule type="cellIs" dxfId="761" priority="190" operator="between">
      <formula>$II$28</formula>
      <formula>$II$29</formula>
    </cfRule>
    <cfRule type="cellIs" dxfId="760" priority="191" operator="between">
      <formula>$II$27</formula>
      <formula>$II$28</formula>
    </cfRule>
  </conditionalFormatting>
  <conditionalFormatting sqref="AW34 AO1:AO1048576 AR1:AR1048576 AV1:AV1048576">
    <cfRule type="cellIs" dxfId="759" priority="52" operator="between">
      <formula>$AY$30</formula>
      <formula>1000</formula>
    </cfRule>
    <cfRule type="cellIs" dxfId="758" priority="53" operator="between">
      <formula>$AY$29</formula>
      <formula>$AY$30</formula>
    </cfRule>
    <cfRule type="cellIs" dxfId="757" priority="54" operator="between">
      <formula>$AY$28</formula>
      <formula>$AY$29</formula>
    </cfRule>
    <cfRule type="cellIs" dxfId="756" priority="55" operator="between">
      <formula>$AY$27</formula>
      <formula>$AY$28</formula>
    </cfRule>
  </conditionalFormatting>
  <conditionalFormatting sqref="BW34">
    <cfRule type="cellIs" dxfId="755" priority="48" operator="between">
      <formula>$AY$30</formula>
      <formula>1000</formula>
    </cfRule>
    <cfRule type="cellIs" dxfId="754" priority="49" operator="between">
      <formula>$AY$29</formula>
      <formula>$AY$30</formula>
    </cfRule>
    <cfRule type="cellIs" dxfId="753" priority="50" operator="between">
      <formula>$AY$28</formula>
      <formula>$AY$29</formula>
    </cfRule>
    <cfRule type="cellIs" dxfId="752" priority="51" operator="between">
      <formula>$AY$27</formula>
      <formula>$AY$28</formula>
    </cfRule>
  </conditionalFormatting>
  <conditionalFormatting sqref="CX34">
    <cfRule type="cellIs" dxfId="751" priority="44" operator="between">
      <formula>$AY$30</formula>
      <formula>1000</formula>
    </cfRule>
    <cfRule type="cellIs" dxfId="750" priority="45" operator="between">
      <formula>$AY$29</formula>
      <formula>$AY$30</formula>
    </cfRule>
    <cfRule type="cellIs" dxfId="749" priority="46" operator="between">
      <formula>$AY$28</formula>
      <formula>$AY$29</formula>
    </cfRule>
    <cfRule type="cellIs" dxfId="748" priority="47" operator="between">
      <formula>$AY$27</formula>
      <formula>$AY$28</formula>
    </cfRule>
  </conditionalFormatting>
  <conditionalFormatting sqref="EH34">
    <cfRule type="cellIs" dxfId="747" priority="40" operator="between">
      <formula>$AY$30</formula>
      <formula>1000</formula>
    </cfRule>
    <cfRule type="cellIs" dxfId="746" priority="41" operator="between">
      <formula>$AY$29</formula>
      <formula>$AY$30</formula>
    </cfRule>
    <cfRule type="cellIs" dxfId="745" priority="42" operator="between">
      <formula>$AY$28</formula>
      <formula>$AY$29</formula>
    </cfRule>
    <cfRule type="cellIs" dxfId="744" priority="43" operator="between">
      <formula>$AY$27</formula>
      <formula>$AY$28</formula>
    </cfRule>
  </conditionalFormatting>
  <conditionalFormatting sqref="FP34">
    <cfRule type="cellIs" dxfId="743" priority="36" operator="between">
      <formula>$AY$30</formula>
      <formula>1000</formula>
    </cfRule>
    <cfRule type="cellIs" dxfId="742" priority="37" operator="between">
      <formula>$AY$29</formula>
      <formula>$AY$30</formula>
    </cfRule>
    <cfRule type="cellIs" dxfId="741" priority="38" operator="between">
      <formula>$AY$28</formula>
      <formula>$AY$29</formula>
    </cfRule>
    <cfRule type="cellIs" dxfId="740" priority="39" operator="between">
      <formula>$AY$27</formula>
      <formula>$AY$28</formula>
    </cfRule>
  </conditionalFormatting>
  <conditionalFormatting sqref="IF34">
    <cfRule type="cellIs" dxfId="739" priority="32" operator="between">
      <formula>$AY$30</formula>
      <formula>1000</formula>
    </cfRule>
    <cfRule type="cellIs" dxfId="738" priority="33" operator="between">
      <formula>$AY$29</formula>
      <formula>$AY$30</formula>
    </cfRule>
    <cfRule type="cellIs" dxfId="737" priority="34" operator="between">
      <formula>$AY$28</formula>
      <formula>$AY$29</formula>
    </cfRule>
    <cfRule type="cellIs" dxfId="736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AY$34</formula>
      <formula>1000</formula>
    </cfRule>
    <cfRule type="cellIs" dxfId="729" priority="113952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28" priority="113963" operator="between">
      <formula>EK$34</formula>
      <formula>1000</formula>
    </cfRule>
    <cfRule type="cellIs" dxfId="727" priority="113964" operator="between">
      <formula>EK$33</formula>
      <formula>EK$34</formula>
    </cfRule>
  </conditionalFormatting>
  <conditionalFormatting sqref="AQ1:AQ1048576 AT1:AT1048576 AX1:AX1048576">
    <cfRule type="cellIs" dxfId="726" priority="114035" operator="between">
      <formula>$AY$34</formula>
      <formula>1000</formula>
    </cfRule>
    <cfRule type="cellIs" dxfId="725" priority="114036" operator="between">
      <formula>$AY$33</formula>
      <formula>$AY$34</formula>
    </cfRule>
    <cfRule type="cellIs" dxfId="724" priority="114037" operator="between">
      <formula>$AY$32</formula>
      <formula>$AY$33</formula>
    </cfRule>
    <cfRule type="cellIs" dxfId="723" priority="114038" operator="between">
      <formula>$AY$31</formula>
      <formula>$AY$32</formula>
    </cfRule>
  </conditionalFormatting>
  <conditionalFormatting sqref="BR1:BR1048576 BU1:BU1048576 BY1:BY1048576">
    <cfRule type="cellIs" dxfId="722" priority="114071" operator="between">
      <formula>$BZ$34</formula>
      <formula>1000</formula>
    </cfRule>
    <cfRule type="cellIs" dxfId="721" priority="114072" operator="between">
      <formula>$BZ$33</formula>
      <formula>$BZ$34</formula>
    </cfRule>
    <cfRule type="cellIs" dxfId="720" priority="114073" operator="between">
      <formula>$BZ$32</formula>
      <formula>$BZ$33</formula>
    </cfRule>
    <cfRule type="cellIs" dxfId="719" priority="114074" operator="between">
      <formula>$BZ$31</formula>
      <formula>$BZ$32</formula>
    </cfRule>
  </conditionalFormatting>
  <conditionalFormatting sqref="CS1:CS1048576 CV1:CV1048576 CZ1:CZ1048576">
    <cfRule type="cellIs" dxfId="718" priority="114107" operator="between">
      <formula>$DA$34</formula>
      <formula>1000</formula>
    </cfRule>
    <cfRule type="cellIs" dxfId="717" priority="114108" operator="between">
      <formula>$DA$33</formula>
      <formula>$DA$34</formula>
    </cfRule>
    <cfRule type="cellIs" dxfId="716" priority="114109" operator="between">
      <formula>$DA$32</formula>
      <formula>$DA$33</formula>
    </cfRule>
    <cfRule type="cellIs" dxfId="715" priority="114110" operator="between">
      <formula>$DA$31</formula>
      <formula>$DA$32</formula>
    </cfRule>
  </conditionalFormatting>
  <conditionalFormatting sqref="NB1:NB1048576 NE1:NE1048576 NI1:NI1048576 NL1:NL1048576">
    <cfRule type="cellIs" dxfId="714" priority="114143" operator="between">
      <formula>$NO$27</formula>
      <formula>$NO$28</formula>
    </cfRule>
  </conditionalFormatting>
  <conditionalFormatting sqref="DZ1:DZ1048576 EC1:EC1048576 EG1:EG1048576 EJ1:EJ1048576">
    <cfRule type="cellIs" dxfId="713" priority="114155" operator="between">
      <formula>$EK$34</formula>
      <formula>1000</formula>
    </cfRule>
    <cfRule type="cellIs" dxfId="712" priority="114156" operator="between">
      <formula>$EK$33</formula>
      <formula>$EK$34</formula>
    </cfRule>
    <cfRule type="cellIs" dxfId="711" priority="114157" operator="between">
      <formula>$EK$32</formula>
      <formula>$EK$33</formula>
    </cfRule>
    <cfRule type="cellIs" dxfId="710" priority="114158" operator="between">
      <formula>$EK$31</formula>
      <formula>$EK$32</formula>
    </cfRule>
  </conditionalFormatting>
  <conditionalFormatting sqref="FH1:FH1048576 FK1:FK1048576 FO1:FO1048576 FR1:FR1048576">
    <cfRule type="cellIs" dxfId="709" priority="114203" operator="between">
      <formula>$FS$34</formula>
      <formula>1000</formula>
    </cfRule>
    <cfRule type="cellIs" dxfId="708" priority="114204" operator="between">
      <formula>$FS$33</formula>
      <formula>$FS$34</formula>
    </cfRule>
    <cfRule type="cellIs" dxfId="707" priority="114205" operator="between">
      <formula>$FS$32</formula>
      <formula>$FS$33</formula>
    </cfRule>
    <cfRule type="cellIs" dxfId="706" priority="114206" operator="between">
      <formula>$FS$31</formula>
      <formula>$FS$32</formula>
    </cfRule>
  </conditionalFormatting>
  <conditionalFormatting sqref="GN1:GN1048576 GQ1:GQ1048576 GU1:GU1048576 GX1:GX1048576">
    <cfRule type="cellIs" dxfId="705" priority="114251" operator="between">
      <formula>$HA$30</formula>
      <formula>1000</formula>
    </cfRule>
    <cfRule type="cellIs" dxfId="704" priority="114252" operator="between">
      <formula>$HA$29</formula>
      <formula>$HA$30</formula>
    </cfRule>
    <cfRule type="cellIs" dxfId="703" priority="114253" operator="between">
      <formula>$HA$28</formula>
      <formula>$HA$29</formula>
    </cfRule>
    <cfRule type="cellIs" dxfId="702" priority="114254" operator="between">
      <formula>$HA$27</formula>
      <formula>$HA$28</formula>
    </cfRule>
  </conditionalFormatting>
  <conditionalFormatting sqref="GP1:GP1048576 GS1:GS1048576 GW1:GW1048576 GZ1:GZ1048576">
    <cfRule type="cellIs" dxfId="701" priority="114299" operator="between">
      <formula>$HA$34</formula>
      <formula>1000</formula>
    </cfRule>
    <cfRule type="cellIs" dxfId="700" priority="114300" operator="between">
      <formula>$HA$33</formula>
      <formula>$HA$34</formula>
    </cfRule>
    <cfRule type="cellIs" dxfId="699" priority="114301" operator="between">
      <formula>$HA$32</formula>
      <formula>$HA$33</formula>
    </cfRule>
    <cfRule type="cellIs" dxfId="698" priority="114302" operator="between">
      <formula>$HA$31</formula>
      <formula>$HA$32</formula>
    </cfRule>
  </conditionalFormatting>
  <conditionalFormatting sqref="HX1:HX1048576 IA1:IA1048576 IE1:IE1048576 IH1:IH1048576">
    <cfRule type="cellIs" dxfId="697" priority="114347" operator="between">
      <formula>$II$34</formula>
      <formula>1000</formula>
    </cfRule>
    <cfRule type="cellIs" dxfId="696" priority="114348" operator="between">
      <formula>$II$33</formula>
      <formula>$II$34</formula>
    </cfRule>
    <cfRule type="cellIs" dxfId="695" priority="114349" operator="between">
      <formula>$II$32</formula>
      <formula>$II$33</formula>
    </cfRule>
    <cfRule type="cellIs" dxfId="694" priority="114350" operator="between">
      <formula>$II$31</formula>
      <formula>$II$32</formula>
    </cfRule>
  </conditionalFormatting>
  <conditionalFormatting sqref="JD1:JD1048576 JG1:JG1048576 JK1:JK1048576 JN1:JN1048576">
    <cfRule type="cellIs" dxfId="693" priority="114395" operator="between">
      <formula>$JQ$30</formula>
      <formula>1000</formula>
    </cfRule>
    <cfRule type="cellIs" dxfId="692" priority="114396" operator="between">
      <formula>$JQ$29</formula>
      <formula>$JQ$30</formula>
    </cfRule>
    <cfRule type="cellIs" dxfId="691" priority="114397" operator="between">
      <formula>$JQ$28</formula>
      <formula>$JQ$29</formula>
    </cfRule>
    <cfRule type="cellIs" dxfId="690" priority="114398" operator="between">
      <formula>$JQ$27</formula>
      <formula>$JQ$28</formula>
    </cfRule>
  </conditionalFormatting>
  <conditionalFormatting sqref="JF1:JF1048576 JI1:JI1048576 JM1:JM1048576 JP1:JP1048576">
    <cfRule type="cellIs" dxfId="689" priority="114443" operator="between">
      <formula>$JQ$34</formula>
      <formula>1000</formula>
    </cfRule>
    <cfRule type="cellIs" dxfId="688" priority="114444" operator="between">
      <formula>$JQ$33</formula>
      <formula>$JQ$34</formula>
    </cfRule>
    <cfRule type="cellIs" dxfId="687" priority="114445" operator="between">
      <formula>$JQ$32</formula>
      <formula>$JQ$33</formula>
    </cfRule>
    <cfRule type="cellIs" dxfId="686" priority="114446" operator="between">
      <formula>$JQ$31</formula>
      <formula>$JQ$32</formula>
    </cfRule>
  </conditionalFormatting>
  <conditionalFormatting sqref="KL1:KL1048576 KO1:KO1048576 KS1:KS1048576 KV1:KV1048576">
    <cfRule type="cellIs" dxfId="685" priority="114491" operator="between">
      <formula>$KY$30</formula>
      <formula>1000</formula>
    </cfRule>
    <cfRule type="cellIs" dxfId="684" priority="114492" operator="between">
      <formula>$KY$29</formula>
      <formula>$KY$30</formula>
    </cfRule>
    <cfRule type="cellIs" dxfId="683" priority="114493" operator="between">
      <formula>$KY$28</formula>
      <formula>$KY$29</formula>
    </cfRule>
    <cfRule type="cellIs" dxfId="682" priority="114494" operator="between">
      <formula>$KY$27</formula>
      <formula>$KY$28</formula>
    </cfRule>
  </conditionalFormatting>
  <conditionalFormatting sqref="KN1:KN1048576 KQ1:KQ1048576 KU1:KU1048576 KX1:KX1048576">
    <cfRule type="cellIs" dxfId="681" priority="114539" operator="between">
      <formula>$KY$34</formula>
      <formula>1000</formula>
    </cfRule>
    <cfRule type="cellIs" dxfId="680" priority="114540" operator="between">
      <formula>$KY$33</formula>
      <formula>$KY$34</formula>
    </cfRule>
    <cfRule type="cellIs" dxfId="679" priority="114541" operator="between">
      <formula>$KY$32</formula>
      <formula>$KY$33</formula>
    </cfRule>
    <cfRule type="cellIs" dxfId="678" priority="114542" operator="between">
      <formula>$KY$31</formula>
      <formula>$KY$32</formula>
    </cfRule>
  </conditionalFormatting>
  <conditionalFormatting sqref="LT1:LT1048576 LW1:LW1048576 MA1:MA1048576 MD1:MD1048576">
    <cfRule type="cellIs" dxfId="677" priority="114587" operator="between">
      <formula>$MG$30</formula>
      <formula>1000</formula>
    </cfRule>
    <cfRule type="cellIs" dxfId="676" priority="114588" operator="between">
      <formula>$MG$29</formula>
      <formula>$MG$30</formula>
    </cfRule>
    <cfRule type="cellIs" dxfId="675" priority="114589" operator="between">
      <formula>$MG$28</formula>
      <formula>$MG$29</formula>
    </cfRule>
    <cfRule type="cellIs" dxfId="674" priority="114590" operator="between">
      <formula>$MG$27</formula>
      <formula>$MG$28</formula>
    </cfRule>
  </conditionalFormatting>
  <conditionalFormatting sqref="LV1:LV1048576 LY1:LY1048576 MC1:MC1048576 MF1:MF1048576">
    <cfRule type="cellIs" dxfId="673" priority="114635" operator="between">
      <formula>$MG$34</formula>
      <formula>1000</formula>
    </cfRule>
    <cfRule type="cellIs" dxfId="672" priority="114636" operator="between">
      <formula>$MG$33</formula>
      <formula>$MG$34</formula>
    </cfRule>
    <cfRule type="cellIs" dxfId="671" priority="114637" operator="between">
      <formula>$MG$32</formula>
      <formula>$MG$33</formula>
    </cfRule>
    <cfRule type="cellIs" dxfId="670" priority="114638" operator="between">
      <formula>$MG$31</formula>
      <formula>$MG$32</formula>
    </cfRule>
  </conditionalFormatting>
  <conditionalFormatting sqref="NB1:NB1048576 NE1:NE1048576 NI1:NI1048576">
    <cfRule type="cellIs" dxfId="669" priority="114683" operator="between">
      <formula>$NO$30</formula>
      <formula>1000</formula>
    </cfRule>
    <cfRule type="cellIs" dxfId="668" priority="114684" operator="between">
      <formula>$NO$29</formula>
      <formula>$NO$30</formula>
    </cfRule>
    <cfRule type="cellIs" dxfId="667" priority="114685" operator="between">
      <formula>$NO$28</formula>
      <formula>$NO$29</formula>
    </cfRule>
  </conditionalFormatting>
  <conditionalFormatting sqref="ND1:ND1048576 NG1:NG1048576 NK1:NK1048576 NN1:NN1048576">
    <cfRule type="cellIs" dxfId="666" priority="114710" operator="between">
      <formula>$NO$34</formula>
      <formula>1000</formula>
    </cfRule>
    <cfRule type="cellIs" dxfId="665" priority="114711" operator="between">
      <formula>$NO$33</formula>
      <formula>$NO$34</formula>
    </cfRule>
    <cfRule type="cellIs" dxfId="664" priority="114712" operator="between">
      <formula>$NO$32</formula>
      <formula>$NO$33</formula>
    </cfRule>
    <cfRule type="cellIs" dxfId="663" priority="114713" operator="between">
      <formula>$NO$31</formula>
      <formula>$NO$32</formula>
    </cfRule>
  </conditionalFormatting>
  <conditionalFormatting sqref="OJ1:OJ1048576 OM1:OM1048576 OQ1:OQ1048576 OT1:OT1048576">
    <cfRule type="cellIs" dxfId="662" priority="114758" operator="between">
      <formula>$OW$30</formula>
      <formula>1000</formula>
    </cfRule>
    <cfRule type="cellIs" dxfId="661" priority="114759" operator="between">
      <formula>$OW$29</formula>
      <formula>$OW$30</formula>
    </cfRule>
    <cfRule type="cellIs" dxfId="660" priority="114760" operator="between">
      <formula>$OW$28</formula>
      <formula>$OW$29</formula>
    </cfRule>
    <cfRule type="cellIs" dxfId="659" priority="114761" operator="between">
      <formula>$OW$27</formula>
      <formula>$OW$28</formula>
    </cfRule>
  </conditionalFormatting>
  <conditionalFormatting sqref="OL1:OL1048576 OO1:OO1048576 OS1:OS1048576 OV1:OV1048576">
    <cfRule type="cellIs" dxfId="658" priority="114806" operator="between">
      <formula>$OW$34</formula>
      <formula>1000</formula>
    </cfRule>
    <cfRule type="cellIs" dxfId="657" priority="114807" operator="between">
      <formula>$OW$33</formula>
      <formula>$OW$34</formula>
    </cfRule>
    <cfRule type="cellIs" dxfId="656" priority="114808" operator="between">
      <formula>$OW$32</formula>
      <formula>$OW$33</formula>
    </cfRule>
    <cfRule type="cellIs" dxfId="655" priority="114809" operator="between">
      <formula>$OW$31</formula>
      <formula>$OW$32</formula>
    </cfRule>
  </conditionalFormatting>
  <conditionalFormatting sqref="PR1:PR1048576 PU1:PU1048576 PY1:PY1048576 QB1:QB1048576">
    <cfRule type="cellIs" dxfId="654" priority="114854" operator="between">
      <formula>$QE$30</formula>
      <formula>1000</formula>
    </cfRule>
    <cfRule type="cellIs" dxfId="653" priority="114855" operator="between">
      <formula>$QE$29</formula>
      <formula>$QE$30</formula>
    </cfRule>
    <cfRule type="cellIs" dxfId="652" priority="114856" operator="between">
      <formula>$QE$28</formula>
      <formula>$QE$29</formula>
    </cfRule>
    <cfRule type="cellIs" dxfId="651" priority="114857" operator="between">
      <formula>$QE$27</formula>
      <formula>$QE$28</formula>
    </cfRule>
  </conditionalFormatting>
  <conditionalFormatting sqref="PT1:PT1048576 PW1:PW1048576 QA1:QA1048576 QD1:QD1048576">
    <cfRule type="cellIs" dxfId="650" priority="114902" operator="between">
      <formula>$QE$34</formula>
      <formula>1000</formula>
    </cfRule>
    <cfRule type="cellIs" dxfId="649" priority="114903" operator="between">
      <formula>$QE$33</formula>
      <formula>$QE$34</formula>
    </cfRule>
    <cfRule type="cellIs" dxfId="648" priority="114904" operator="between">
      <formula>$QE$32</formula>
      <formula>$QE$33</formula>
    </cfRule>
    <cfRule type="cellIs" dxfId="647" priority="114905" operator="between">
      <formula>$QE$31</formula>
      <formula>$QE$32</formula>
    </cfRule>
  </conditionalFormatting>
  <conditionalFormatting sqref="QZ1:QZ1048576 RC1:RC1048576 RG1:RG1048576 RJ1:RJ1048576">
    <cfRule type="cellIs" dxfId="646" priority="114950" operator="between">
      <formula>$RM$30</formula>
      <formula>1000</formula>
    </cfRule>
    <cfRule type="cellIs" dxfId="645" priority="114951" operator="between">
      <formula>$RM$29</formula>
      <formula>$RM$30</formula>
    </cfRule>
    <cfRule type="cellIs" dxfId="644" priority="114952" operator="between">
      <formula>$RM$28</formula>
      <formula>$RM$29</formula>
    </cfRule>
    <cfRule type="cellIs" dxfId="643" priority="114953" operator="between">
      <formula>$RM$27</formula>
      <formula>$RM$28</formula>
    </cfRule>
  </conditionalFormatting>
  <conditionalFormatting sqref="RB1:RB1048576 RE1:RE1048576 RI1:RI1048576 RL1:RL1048576">
    <cfRule type="cellIs" dxfId="642" priority="114998" operator="between">
      <formula>$RM$34</formula>
      <formula>1000</formula>
    </cfRule>
    <cfRule type="cellIs" dxfId="641" priority="114999" operator="between">
      <formula>$RM$33</formula>
      <formula>$RM$34</formula>
    </cfRule>
    <cfRule type="cellIs" dxfId="640" priority="115000" operator="between">
      <formula>$RM$32</formula>
      <formula>$RM$33</formula>
    </cfRule>
    <cfRule type="cellIs" dxfId="639" priority="115001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38" priority="115046" operator="between">
      <formula>$SU$30</formula>
      <formula>1000</formula>
    </cfRule>
    <cfRule type="cellIs" dxfId="637" priority="115047" operator="between">
      <formula>$SU$29</formula>
      <formula>$SU$30</formula>
    </cfRule>
    <cfRule type="cellIs" dxfId="636" priority="115048" operator="between">
      <formula>$SU$28</formula>
      <formula>$SU$29</formula>
    </cfRule>
    <cfRule type="cellIs" dxfId="635" priority="115049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34" priority="115094" operator="between">
      <formula>$SU$34</formula>
      <formula>1000</formula>
    </cfRule>
    <cfRule type="cellIs" dxfId="633" priority="115095" operator="between">
      <formula>$SU$33</formula>
      <formula>$SU$34</formula>
    </cfRule>
    <cfRule type="cellIs" dxfId="632" priority="115096" operator="between">
      <formula>$SU$32</formula>
      <formula>$SU$33</formula>
    </cfRule>
    <cfRule type="cellIs" dxfId="631" priority="115097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93</v>
      </c>
      <c r="K1" s="69" t="s">
        <v>30</v>
      </c>
      <c r="L1" s="71" t="s">
        <v>94</v>
      </c>
      <c r="M1" s="69" t="s">
        <v>30</v>
      </c>
      <c r="N1" s="71" t="s">
        <v>118</v>
      </c>
      <c r="O1" s="69" t="s">
        <v>30</v>
      </c>
      <c r="P1" s="69" t="s">
        <v>12</v>
      </c>
      <c r="Q1" s="69" t="s">
        <v>30</v>
      </c>
      <c r="R1" s="69" t="s">
        <v>95</v>
      </c>
      <c r="S1" s="69" t="s">
        <v>30</v>
      </c>
      <c r="T1" s="71" t="s">
        <v>96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193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232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189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190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221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225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224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240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245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244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 t="s">
        <v>251</v>
      </c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102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102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102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102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102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102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102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102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102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102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102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102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102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102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102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 t="shared" ref="E4:E17" si="0">SUM(J4:V4)+SUM(J4:T4)*0.0000001+SUM(J4)*0.0000000000001</f>
        <v>255.94002547800565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 t="shared" ref="K4:K17" si="5"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 t="shared" ref="M4:M17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 t="shared" ref="O4:O17" si="7">IF(N4="","",IF(OR(N4=CS4,N4=CV4),$CA$1,IF(OR(N4=BR4,N4=BU4),$AZ$1,IF(OR(N4=AQ4,N4=AT4),$Y$1,""))))</f>
        <v>2024 Nationals</v>
      </c>
      <c r="P4" s="8">
        <f t="shared" ref="P4:P17" si="8">IF(MAX(AX4,BY4,CZ4)&gt;0,MAX(AX4,BY4,CZ4),0)</f>
        <v>56.23</v>
      </c>
      <c r="Q4" s="8" t="str">
        <f t="shared" ref="Q4:Q17" si="9">IF(P4="","",IF(P4=CZ4,$CA$1,IF(P4=BY4,$AZ$1,IF(P4=AX4,$Y$1,""))))</f>
        <v>2024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 t="shared" ref="S4:S17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 t="shared" ref="U4:U17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 t="shared" ref="V4:V17" si="14">IF(MAX(DB4,DC4)&gt;0,MAX(DB4,DC4),"")</f>
        <v>1.1600000000000037</v>
      </c>
      <c r="W4" s="11" t="str">
        <f t="shared" ref="W4:W17" si="15">IF(V4="","",IF(V4=DB4,"("&amp;DB$2&amp;")",IF(V4=DC4,"("&amp;DC$2&amp;")")))</f>
        <v>(Prelim)</v>
      </c>
      <c r="X4" s="8" t="str">
        <f t="shared" ref="X4:X17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 t="shared" ref="AO4:AO17" si="17">IF(AA4&gt;0,AA4,"")</f>
        <v>14</v>
      </c>
      <c r="AP4" s="38">
        <f t="shared" ref="AP4:AP17" si="18">IF(AB4&gt;0,AB4,"")</f>
        <v>14.84</v>
      </c>
      <c r="AQ4" s="40">
        <f t="shared" ref="AQ4:AQ17" si="19">IF(SUM(Y4:AB4)-AC4&gt;0,SUM(Y4:AB4)-AC4,"")</f>
        <v>54.94</v>
      </c>
      <c r="AR4" s="40">
        <f t="shared" ref="AR4:AR17" si="20">IF(AF4&gt;0,AF4,"")</f>
        <v>14.4</v>
      </c>
      <c r="AS4" s="40">
        <f t="shared" ref="AS4:AS17" si="21">IF(AG4&gt;0,AG4,"")</f>
        <v>15.08</v>
      </c>
      <c r="AT4" s="40">
        <f t="shared" ref="AT4:AT17" si="22">IF(SUM(AD4:AG4)-AH4&gt;0,SUM(AD4:AG4)-AH4,"")</f>
        <v>56.779999999999994</v>
      </c>
      <c r="AU4" s="40">
        <f t="shared" ref="AU4:AU17" si="23">IF(AQ4="","",MAX(AQ4,AT4))</f>
        <v>56.779999999999994</v>
      </c>
      <c r="AV4" s="40">
        <f t="shared" ref="AV4:AV17" si="24">IF(AK4&gt;0,AK4,"")</f>
        <v>14.4</v>
      </c>
      <c r="AW4" s="40">
        <f t="shared" ref="AW4:AW17" si="25">IF(AL4&gt;0,AL4,"")</f>
        <v>15.03</v>
      </c>
      <c r="AX4" s="40">
        <f t="shared" ref="AX4:AX17" si="26">IF(SUM(AI4:AL4)-AM4&gt;0,SUM(AI4:AL4)-AM4,"")</f>
        <v>56.23</v>
      </c>
      <c r="AY4" s="40">
        <f t="shared" ref="AY4:AY17" si="27"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 t="shared" ref="BP4:BP17" si="28">IF(BB4&gt;0,BB4,"")</f>
        <v>14.4</v>
      </c>
      <c r="BQ4" s="39">
        <f t="shared" ref="BQ4:BQ17" si="29">IF(BC4&gt;0,BC4,"")</f>
        <v>15.1</v>
      </c>
      <c r="BR4" s="11">
        <f t="shared" ref="BR4:BR17" si="30">IF(SUM(AZ4:BC4)-BD4&gt;0,SUM(AZ4:BC4)-BD4,"")</f>
        <v>54.8</v>
      </c>
      <c r="BS4" s="11">
        <f t="shared" ref="BS4:BS17" si="31">IF(BG4&gt;0,BG4,"")</f>
        <v>14.4</v>
      </c>
      <c r="BT4" s="11">
        <f t="shared" ref="BT4:BT17" si="32">IF(BH4&gt;0,BH4,"")</f>
        <v>15.18</v>
      </c>
      <c r="BU4" s="11">
        <f t="shared" ref="BU4:BU17" si="33">IF(SUM(BE4:BH4)-BI4&gt;0,SUM(BE4:BH4)-BI4,"")</f>
        <v>55.18</v>
      </c>
      <c r="BV4" s="11">
        <f t="shared" ref="BV4:BV17" si="34">IF(BR4="","",MAX(BR4,BU4))</f>
        <v>55.18</v>
      </c>
      <c r="BW4" s="11">
        <f t="shared" ref="BW4:BW17" si="35">IF(BL4&gt;0,BL4,"")</f>
        <v>14.6</v>
      </c>
      <c r="BX4" s="11">
        <f t="shared" ref="BX4:BX17" si="36">IF(BM4&gt;0,BM4,"")</f>
        <v>14.87</v>
      </c>
      <c r="BY4" s="11">
        <f t="shared" ref="BY4:BY17" si="37">IF(SUM(BJ4:BM4)-BN4&gt;0,SUM(BJ4:BM4)-BN4,"")</f>
        <v>55.07</v>
      </c>
      <c r="BZ4" s="11">
        <f t="shared" ref="BZ4:BZ17" si="38"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 t="shared" ref="CQ4:CQ17" si="39">IF(CC4&gt;0,CC4,"")</f>
        <v>14.2</v>
      </c>
      <c r="CR4" s="38">
        <f t="shared" ref="CR4:CR17" si="40">IF(CD4&gt;0,CD4,"")</f>
        <v>14.969999999999999</v>
      </c>
      <c r="CS4" s="40">
        <f t="shared" ref="CS4:CS17" si="41">IF(SUM(CA4:CD4)-CE4&gt;0,SUM(CA4:CD4)-CE4,"")</f>
        <v>54.87</v>
      </c>
      <c r="CT4" s="40">
        <f t="shared" ref="CT4:CT17" si="42">IF(CH4&gt;0,CH4,"")</f>
        <v>14.4</v>
      </c>
      <c r="CU4" s="40">
        <f t="shared" ref="CU4:CU17" si="43">IF(CI4&gt;0,CI4,"")</f>
        <v>15.129999999999999</v>
      </c>
      <c r="CV4" s="40">
        <f t="shared" ref="CV4:CV17" si="44">IF(SUM(CF4:CI4)-CJ4&gt;0,SUM(CF4:CI4)-CJ4,"")</f>
        <v>55.980000000000004</v>
      </c>
      <c r="CW4" s="40">
        <f t="shared" ref="CW4:CW17" si="45">IF(CS4="","",MAX(CS4,CV4))</f>
        <v>55.980000000000004</v>
      </c>
      <c r="CX4" s="40">
        <f t="shared" ref="CX4:CX17" si="46">IF(CM4&gt;0,CM4,"")</f>
        <v>14.5</v>
      </c>
      <c r="CY4" s="40">
        <f t="shared" ref="CY4:CY17" si="47">IF(CN4&gt;0,CN4,"")</f>
        <v>14.95</v>
      </c>
      <c r="CZ4" s="40">
        <f t="shared" ref="CZ4:CZ17" si="48">IF(SUM(CK4:CN4)-CO4&gt;0,SUM(CK4:CN4)-CO4,"")</f>
        <v>55.650000000000006</v>
      </c>
      <c r="DA4" s="40">
        <f t="shared" ref="DA4:DA17" si="49">IF(SUM(CW4,CZ4)&gt;0,SUM(CW4,CZ4),"")</f>
        <v>111.63000000000001</v>
      </c>
      <c r="DB4" s="51">
        <f t="shared" ref="DB4:DB17" si="50">IF(MAX(ED4,FL4,GT4,IB4,JJ4,KR4,LZ4,NH4,OP4,PX4,RF4,SN4,TV4,VD4,WWL4)-IF(N4="",0,N4)&gt;0.001,MAX(ED4,FL4,GT4,IB4,JJ4,KR4,LZ4,NH4,OP4,PX4,RF4,SN4,TV4,VD4,WL4)-IF(N4="",0,N4),"")</f>
        <v>1.1600000000000037</v>
      </c>
      <c r="DC4" s="51" t="str">
        <f t="shared" ref="DC4:DC17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 t="shared" ref="DX4:DX17" si="52">IF(DF4&gt;0,DF4,"")</f>
        <v>14.6</v>
      </c>
      <c r="DY4" s="40">
        <f t="shared" ref="DY4:DY17" si="53">IF(DG4&gt;0,DG4,"")</f>
        <v>14.8</v>
      </c>
      <c r="DZ4" s="40">
        <f t="shared" ref="DZ4:DZ17" si="54">IF(SUM(DD4:DG4)-DH4&gt;0,SUM(DD4:DG4)-DH4,"")</f>
        <v>54.400000000000006</v>
      </c>
      <c r="EA4" s="40">
        <f t="shared" ref="EA4:EA17" si="55">IF(DK4&gt;0,DK4,"")</f>
        <v>15</v>
      </c>
      <c r="EB4" s="40">
        <f t="shared" ref="EB4:EB17" si="56">IF(DL4&gt;0,DL4,"")</f>
        <v>14.94</v>
      </c>
      <c r="EC4" s="40">
        <f t="shared" ref="EC4:EC17" si="57">IF(SUM(DI4:DL4)-DM4&gt;0,SUM(DI4:DL4)-DM4,"")</f>
        <v>53.839999999999996</v>
      </c>
      <c r="ED4" s="40">
        <f t="shared" ref="ED4:ED17" si="58">IF(MAX(DZ4,EC4)&gt;0,MAX(DZ4,EC4),"")</f>
        <v>54.400000000000006</v>
      </c>
      <c r="EE4" s="40">
        <f t="shared" ref="EE4:EE17" si="59">IF(DP4&gt;0,DP4,"")</f>
        <v>15</v>
      </c>
      <c r="EF4" s="40">
        <f t="shared" ref="EF4:EF17" si="60">IF(DQ4&gt;0,DQ4,"")</f>
        <v>14.86</v>
      </c>
      <c r="EG4" s="40">
        <f t="shared" ref="EG4:EG17" si="61">IF(SUM(DN4:DQ4)-DR4&gt;0,SUM(DN4:DQ4)-DR4,"")</f>
        <v>54.66</v>
      </c>
      <c r="EH4" s="40">
        <f t="shared" ref="EH4:EH17" si="62">IF(DU4&gt;0,DU4,"")</f>
        <v>3.2</v>
      </c>
      <c r="EI4" s="40">
        <f t="shared" ref="EI4:EI17" si="63">IF(DV4&gt;0,DV4,"")</f>
        <v>3.24</v>
      </c>
      <c r="EJ4" s="40">
        <f t="shared" ref="EJ4:EJ17" si="64">IF(SUM(DS4:DV4)-DW4&gt;0,SUM(DS4:DV4)-DW4,"")</f>
        <v>11.44</v>
      </c>
      <c r="EK4" s="40">
        <f t="shared" ref="EK4:EK17" si="65"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7" si="66">IF(EN4&gt;0,EN4,"")</f>
        <v>5.9</v>
      </c>
      <c r="FG4" s="11">
        <f t="shared" ref="FG4:FG17" si="67">IF(EO4&gt;0,EO4,"")</f>
        <v>7.62</v>
      </c>
      <c r="FH4" s="11">
        <f t="shared" ref="FH4:FH17" si="68">IF(SUM(EL4:EO4)-EP4&gt;0,SUM(EL4:EO4)-EP4,"")</f>
        <v>25.720000000000002</v>
      </c>
      <c r="FI4" s="11">
        <f t="shared" ref="FI4:FI17" si="69">IF(ES4&gt;0,ES4,"")</f>
        <v>13</v>
      </c>
      <c r="FJ4" s="11">
        <f t="shared" ref="FJ4:FJ17" si="70">IF(ET4&gt;0,ET4,"")</f>
        <v>14.88</v>
      </c>
      <c r="FK4" s="11">
        <f t="shared" ref="FK4:FK17" si="71">IF(SUM(EQ4:ET4)-EU4&gt;0,SUM(EQ4:ET4)-EU4,"")</f>
        <v>52.68</v>
      </c>
      <c r="FL4" s="11">
        <f t="shared" ref="FL4:FL17" si="72">IF(MAX(FH4,FK4)&gt;0,MAX(FH4,FK4),"")</f>
        <v>52.68</v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>
        <f t="shared" ref="FS4:FS17" si="79"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7" si="80">IF(FV4&gt;0,FV4,"")</f>
        <v/>
      </c>
      <c r="GO4" s="40" t="str">
        <f t="shared" ref="GO4:GO17" si="81">IF(FW4&gt;0,FW4,"")</f>
        <v/>
      </c>
      <c r="GP4" s="40" t="str">
        <f t="shared" ref="GP4:GP17" si="82">IF(SUM(FT4:FW4)-FX4&gt;0,SUM(FT4:FW4)-FX4,"")</f>
        <v/>
      </c>
      <c r="GQ4" s="40" t="str">
        <f t="shared" ref="GQ4:GQ17" si="83">IF(GA4&gt;0,GA4,"")</f>
        <v/>
      </c>
      <c r="GR4" s="40" t="str">
        <f t="shared" ref="GR4:GR17" si="84">IF(GB4&gt;0,GB4,"")</f>
        <v/>
      </c>
      <c r="GS4" s="40" t="str">
        <f t="shared" ref="GS4:GS17" si="85">IF(SUM(FY4:GB4)-GC4&gt;0,SUM(FY4:GB4)-GC4,"")</f>
        <v/>
      </c>
      <c r="GT4" s="40" t="str">
        <f t="shared" ref="GT4:GT17" si="86">IF(MAX(GP4,GS4)&gt;0,MAX(GP4,GS4),"")</f>
        <v/>
      </c>
      <c r="GU4" s="40" t="str">
        <f t="shared" ref="GU4:GU17" si="87">IF(GF4&gt;0,GF4,"")</f>
        <v/>
      </c>
      <c r="GV4" s="40" t="str">
        <f t="shared" ref="GV4:GV17" si="88">IF(GG4&gt;0,GG4,"")</f>
        <v/>
      </c>
      <c r="GW4" s="40" t="str">
        <f t="shared" ref="GW4:GW17" si="89">IF(SUM(GD4:GG4)-GH4&gt;0,SUM(GD4:GG4)-GH4,"")</f>
        <v/>
      </c>
      <c r="GX4" s="40" t="str">
        <f t="shared" ref="GX4:GX17" si="90">IF(GK4&gt;0,GK4,"")</f>
        <v/>
      </c>
      <c r="GY4" s="40" t="str">
        <f t="shared" ref="GY4:GY17" si="91">IF(GL4&gt;0,GL4,"")</f>
        <v/>
      </c>
      <c r="GZ4" s="40" t="str">
        <f t="shared" ref="GZ4:GZ17" si="92">IF(SUM(GI4:GL4)-GM4&gt;0,SUM(GI4:GL4)-GM4,"")</f>
        <v/>
      </c>
      <c r="HA4" s="40" t="str">
        <f t="shared" ref="HA4:HA17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7" si="108">IF(IL4&gt;0,IL4,"")</f>
        <v/>
      </c>
      <c r="JE4" s="40" t="str">
        <f t="shared" ref="JE4:JE17" si="109">IF(IM4&gt;0,IM4,"")</f>
        <v/>
      </c>
      <c r="JF4" s="40" t="str">
        <f t="shared" ref="JF4:JF17" si="110">IF(SUM(IJ4:IM4)-IN4&gt;0,SUM(IJ4:IM4)-IN4,"")</f>
        <v/>
      </c>
      <c r="JG4" s="40" t="str">
        <f t="shared" ref="JG4:JG17" si="111">IF(IQ4&gt;0,IQ4,"")</f>
        <v/>
      </c>
      <c r="JH4" s="40" t="str">
        <f t="shared" ref="JH4:JH17" si="112">IF(IR4&gt;0,IR4,"")</f>
        <v/>
      </c>
      <c r="JI4" s="40" t="str">
        <f t="shared" ref="JI4:JI17" si="113">IF(SUM(IO4:IR4)-IS4&gt;0,SUM(IO4:IR4)-IS4,"")</f>
        <v/>
      </c>
      <c r="JJ4" s="40" t="str">
        <f t="shared" ref="JJ4:JJ17" si="114">IF(MAX(JF4,JI4)&gt;0,MAX(JF4,JI4),"")</f>
        <v/>
      </c>
      <c r="JK4" s="40" t="str">
        <f t="shared" ref="JK4:JK17" si="115">IF(IV4&gt;0,IV4,"")</f>
        <v/>
      </c>
      <c r="JL4" s="40" t="str">
        <f t="shared" ref="JL4:JL17" si="116">IF(IW4&gt;0,IW4,"")</f>
        <v/>
      </c>
      <c r="JM4" s="40" t="str">
        <f t="shared" ref="JM4:JM17" si="117">IF(SUM(IT4:IW4)-IX4&gt;0,SUM(IT4:IW4)-IX4,"")</f>
        <v/>
      </c>
      <c r="JN4" s="40" t="str">
        <f t="shared" ref="JN4:JN17" si="118">IF(JA4&gt;0,JA4,"")</f>
        <v/>
      </c>
      <c r="JO4" s="40" t="str">
        <f t="shared" ref="JO4:JO17" si="119">IF(JB4&gt;0,JB4,"")</f>
        <v/>
      </c>
      <c r="JP4" s="40" t="str">
        <f t="shared" ref="JP4:JP17" si="120">IF(SUM(IY4:JB4)-JC4&gt;0,SUM(IY4:JB4)-JC4,"")</f>
        <v/>
      </c>
      <c r="JQ4" s="40" t="str">
        <f t="shared" ref="JQ4:JQ17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7" si="122">IF(JT4&gt;0,JT4,"")</f>
        <v/>
      </c>
      <c r="KM4" s="11" t="str">
        <f t="shared" ref="KM4:KM17" si="123">IF(JU4&gt;0,JU4,"")</f>
        <v/>
      </c>
      <c r="KN4" s="11" t="str">
        <f t="shared" ref="KN4:KN17" si="124">IF(SUM(JR4:JU4)-JV4&gt;0,SUM(JR4:JU4)-JV4,"")</f>
        <v/>
      </c>
      <c r="KO4" s="11" t="str">
        <f t="shared" ref="KO4:KO17" si="125">IF(JY4&gt;0,JY4,"")</f>
        <v/>
      </c>
      <c r="KP4" s="11" t="str">
        <f t="shared" ref="KP4:KP17" si="126">IF(JZ4&gt;0,JZ4,"")</f>
        <v/>
      </c>
      <c r="KQ4" s="11" t="str">
        <f t="shared" ref="KQ4:KQ17" si="127">IF(SUM(JW4:JZ4)-KA4&gt;0,SUM(JW4:JZ4)-KA4,"")</f>
        <v/>
      </c>
      <c r="KR4" s="11" t="str">
        <f t="shared" ref="KR4:KR17" si="128">IF(MAX(KN4,KQ4)&gt;0,MAX(KN4,KQ4),"")</f>
        <v/>
      </c>
      <c r="KS4" s="11" t="str">
        <f t="shared" ref="KS4:KS17" si="129">IF(KD4&gt;0,KD4,"")</f>
        <v/>
      </c>
      <c r="KT4" s="11" t="str">
        <f t="shared" ref="KT4:KT17" si="130">IF(KE4&gt;0,KE4,"")</f>
        <v/>
      </c>
      <c r="KU4" s="11" t="str">
        <f t="shared" ref="KU4:KU17" si="131">IF(SUM(KB4:KE4)-KF4&gt;0,SUM(KB4:KE4)-KF4,"")</f>
        <v/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 t="str">
        <f t="shared" ref="KY4:KY17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7" si="136">IF(LB4&gt;0,LB4,"")</f>
        <v/>
      </c>
      <c r="LU4" s="40" t="str">
        <f t="shared" ref="LU4:LU17" si="137">IF(LC4&gt;0,LC4,"")</f>
        <v/>
      </c>
      <c r="LV4" s="40" t="str">
        <f t="shared" ref="LV4:LV17" si="138">IF(SUM(KZ4:LC4)-LD4&gt;0,SUM(KZ4:LC4)-LD4,"")</f>
        <v/>
      </c>
      <c r="LW4" s="40" t="str">
        <f t="shared" ref="LW4:LW17" si="139">IF(LG4&gt;0,LG4,"")</f>
        <v/>
      </c>
      <c r="LX4" s="40" t="str">
        <f t="shared" ref="LX4:LX17" si="140">IF(LH4&gt;0,LH4,"")</f>
        <v/>
      </c>
      <c r="LY4" s="40" t="str">
        <f t="shared" ref="LY4:LY17" si="141">IF(SUM(LE4:LH4)-LI4&gt;0,SUM(LE4:LH4)-LI4,"")</f>
        <v/>
      </c>
      <c r="LZ4" s="40" t="str">
        <f t="shared" ref="LZ4:LZ17" si="142">IF(MAX(LV4,LY4)&gt;0,MAX(LV4,LY4),"")</f>
        <v/>
      </c>
      <c r="MA4" s="40" t="str">
        <f t="shared" ref="MA4:MA17" si="143">IF(LL4&gt;0,LL4,"")</f>
        <v/>
      </c>
      <c r="MB4" s="40" t="str">
        <f t="shared" ref="MB4:MB17" si="144">IF(LM4&gt;0,LM4,"")</f>
        <v/>
      </c>
      <c r="MC4" s="40" t="str">
        <f t="shared" ref="MC4:MC17" si="145">IF(SUM(LJ4:LM4)-LN4&gt;0,SUM(LJ4:LM4)-LN4,"")</f>
        <v/>
      </c>
      <c r="MD4" s="40" t="str">
        <f t="shared" ref="MD4:MD17" si="146">IF(LQ4&gt;0,LQ4,"")</f>
        <v/>
      </c>
      <c r="ME4" s="40" t="str">
        <f t="shared" ref="ME4:ME17" si="147">IF(LR4&gt;0,LR4,"")</f>
        <v/>
      </c>
      <c r="MF4" s="40" t="str">
        <f t="shared" ref="MF4:MF17" si="148">IF(SUM(LO4:LR4)-LS4&gt;0,SUM(LO4:LR4)-LS4,"")</f>
        <v/>
      </c>
      <c r="MG4" s="40" t="str">
        <f t="shared" ref="MG4:MG17" si="149"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 t="shared" ref="NB4:NB17" si="150">IF(MJ4&gt;0,MJ4,"")</f>
        <v>14.8</v>
      </c>
      <c r="NC4" s="11">
        <f t="shared" ref="NC4:NC17" si="151">IF(MK4&gt;0,MK4,"")</f>
        <v>15.04</v>
      </c>
      <c r="ND4" s="11">
        <f t="shared" ref="ND4:ND17" si="152">IF(SUM(MH4:MK4)-ML4&gt;0,SUM(MH4:MK4)-ML4,"")</f>
        <v>54.74</v>
      </c>
      <c r="NE4" s="11">
        <f t="shared" ref="NE4:NE17" si="153">IF(MO4&gt;0,MO4,"")</f>
        <v>14.6</v>
      </c>
      <c r="NF4" s="11">
        <f t="shared" ref="NF4:NF17" si="154">IF(MP4&gt;0,MP4,"")</f>
        <v>15.34</v>
      </c>
      <c r="NG4" s="11">
        <f t="shared" ref="NG4:NG17" si="155">IF(SUM(MM4:MP4)-MQ4&gt;0,SUM(MM4:MP4)-MQ4,"")</f>
        <v>56.34</v>
      </c>
      <c r="NH4" s="11">
        <f t="shared" ref="NH4:NH17" si="156">IF(MAX(ND4,NG4)&gt;0,MAX(ND4,NG4),"")</f>
        <v>56.34</v>
      </c>
      <c r="NI4" s="11">
        <f t="shared" ref="NI4:NI17" si="157">IF(MT4&gt;0,MT4,"")</f>
        <v>15</v>
      </c>
      <c r="NJ4" s="11">
        <f t="shared" ref="NJ4:NJ17" si="158">IF(MU4&gt;0,MU4,"")</f>
        <v>15.15</v>
      </c>
      <c r="NK4" s="11">
        <f t="shared" ref="NK4:NK17" si="159">IF(SUM(MR4:MU4)-MV4&gt;0,SUM(MR4:MU4)-MV4,"")</f>
        <v>56.05</v>
      </c>
      <c r="NL4" s="11">
        <f t="shared" ref="NL4:NL17" si="160">IF(MY4&gt;0,MY4,"")</f>
        <v>14.4</v>
      </c>
      <c r="NM4" s="11">
        <f t="shared" ref="NM4:NM17" si="161">IF(MZ4&gt;0,MZ4,"")</f>
        <v>15.61</v>
      </c>
      <c r="NN4" s="11">
        <f t="shared" ref="NN4:NN17" si="162">IF(SUM(MW4:MZ4)-NA4&gt;0,SUM(MW4:MZ4)-NA4,"")</f>
        <v>55.51</v>
      </c>
      <c r="NO4" s="11">
        <f t="shared" ref="NO4:NO17" si="163"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 t="shared" ref="OJ4:OJ17" si="164">IF(NR4&gt;0,NR4,"")</f>
        <v>14.4</v>
      </c>
      <c r="OK4" s="40">
        <f t="shared" ref="OK4:OK17" si="165">IF(NS4&gt;0,NS4,"")</f>
        <v>15.04</v>
      </c>
      <c r="OL4" s="40">
        <f t="shared" ref="OL4:OL17" si="166">IF(SUM(NP4:NS4)-NT4&gt;0,SUM(NP4:NS4)-NT4,"")</f>
        <v>54.64</v>
      </c>
      <c r="OM4" s="40">
        <f t="shared" ref="OM4:OM17" si="167">IF(NW4&gt;0,NW4,"")</f>
        <v>14.4</v>
      </c>
      <c r="ON4" s="40">
        <f t="shared" ref="ON4:ON17" si="168">IF(NX4&gt;0,NX4,"")</f>
        <v>14.96</v>
      </c>
      <c r="OO4" s="40">
        <f t="shared" ref="OO4:OO17" si="169">IF(SUM(NU4:NX4)-NY4&gt;0,SUM(NU4:NX4)-NY4,"")</f>
        <v>53.16</v>
      </c>
      <c r="OP4" s="40">
        <f t="shared" ref="OP4:OP17" si="170">IF(MAX(OL4,OO4)&gt;0,MAX(OL4,OO4),"")</f>
        <v>54.64</v>
      </c>
      <c r="OQ4" s="40" t="str">
        <f t="shared" ref="OQ4:OQ17" si="171">IF(OB4&gt;0,OB4,"")</f>
        <v/>
      </c>
      <c r="OR4" s="40" t="str">
        <f t="shared" ref="OR4:OR17" si="172">IF(OC4&gt;0,OC4,"")</f>
        <v/>
      </c>
      <c r="OS4" s="40" t="str">
        <f t="shared" ref="OS4:OS17" si="173">IF(SUM(NZ4:OC4)-OD4&gt;0,SUM(NZ4:OC4)-OD4,"")</f>
        <v/>
      </c>
      <c r="OT4" s="40">
        <f t="shared" ref="OT4:OT17" si="174">IF(OG4&gt;0,OG4,"")</f>
        <v>15</v>
      </c>
      <c r="OU4" s="40">
        <f t="shared" ref="OU4:OU17" si="175">IF(OH4&gt;0,OH4,"")</f>
        <v>15.25</v>
      </c>
      <c r="OV4" s="40">
        <f t="shared" ref="OV4:OV17" si="176">IF(SUM(OE4:OH4)-OI4&gt;0,SUM(OE4:OH4)-OI4,"")</f>
        <v>55.65</v>
      </c>
      <c r="OW4" s="40">
        <f t="shared" ref="OW4:OW17" si="177"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7" si="192">IF(QH4&gt;0,QH4,"")</f>
        <v/>
      </c>
      <c r="RA4" s="40" t="str">
        <f t="shared" ref="RA4:RA17" si="193">IF(QI4&gt;0,QI4,"")</f>
        <v/>
      </c>
      <c r="RB4" s="40" t="str">
        <f t="shared" ref="RB4:RB17" si="194">IF(SUM(QF4:QI4)-QJ4&gt;0,SUM(QF4:QI4)-QJ4,"")</f>
        <v/>
      </c>
      <c r="RC4" s="40" t="str">
        <f t="shared" ref="RC4:RC17" si="195">IF(QM4&gt;0,QM4,"")</f>
        <v/>
      </c>
      <c r="RD4" s="40" t="str">
        <f t="shared" ref="RD4:RD17" si="196">IF(QN4&gt;0,QN4,"")</f>
        <v/>
      </c>
      <c r="RE4" s="40" t="str">
        <f t="shared" ref="RE4:RE17" si="197">IF(SUM(QK4:QN4)-QO4&gt;0,SUM(QK4:QN4)-QO4,"")</f>
        <v/>
      </c>
      <c r="RF4" s="40" t="str">
        <f t="shared" ref="RF4:RF17" si="198">IF(MAX(RB4,RE4)&gt;0,MAX(RB4,RE4),"")</f>
        <v/>
      </c>
      <c r="RG4" s="40" t="str">
        <f t="shared" ref="RG4:RG17" si="199">IF(QR4&gt;0,QR4,"")</f>
        <v/>
      </c>
      <c r="RH4" s="40" t="str">
        <f t="shared" ref="RH4:RH17" si="200">IF(QS4&gt;0,QS4,"")</f>
        <v/>
      </c>
      <c r="RI4" s="40" t="str">
        <f t="shared" ref="RI4:RI17" si="201">IF(SUM(QP4:QS4)-QT4&gt;0,SUM(QP4:QS4)-QT4,"")</f>
        <v/>
      </c>
      <c r="RJ4" s="40" t="str">
        <f t="shared" ref="RJ4:RJ17" si="202">IF(QW4&gt;0,QW4,"")</f>
        <v/>
      </c>
      <c r="RK4" s="40" t="str">
        <f t="shared" ref="RK4:RK17" si="203">IF(QX4&gt;0,QX4,"")</f>
        <v/>
      </c>
      <c r="RL4" s="40" t="str">
        <f t="shared" ref="RL4:RL17" si="204">IF(SUM(QU4:QX4)-QY4&gt;0,SUM(QU4:QX4)-QY4,"")</f>
        <v/>
      </c>
      <c r="RM4" s="40" t="str">
        <f t="shared" ref="RM4:RM17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7" si="220">IF(SX4&gt;0,SX4,"")</f>
        <v/>
      </c>
      <c r="TQ4" s="40" t="str">
        <f t="shared" ref="TQ4:TQ17" si="221">IF(SY4&gt;0,SY4,"")</f>
        <v/>
      </c>
      <c r="TR4" s="40" t="str">
        <f t="shared" ref="TR4:TR17" si="222">IF(SUM(SV4:SY4)-SZ4&gt;0,SUM(SV4:SY4)-SZ4,"")</f>
        <v/>
      </c>
      <c r="TS4" s="40" t="str">
        <f t="shared" ref="TS4:TS17" si="223">IF(TC4&gt;0,TC4,"")</f>
        <v/>
      </c>
      <c r="TT4" s="40" t="str">
        <f t="shared" ref="TT4:TT17" si="224">IF(TD4&gt;0,TD4,"")</f>
        <v/>
      </c>
      <c r="TU4" s="40" t="str">
        <f t="shared" ref="TU4:TU17" si="225">IF(SUM(TA4:TD4)-TE4&gt;0,SUM(TA4:TD4)-TE4,"")</f>
        <v/>
      </c>
      <c r="TV4" s="40" t="str">
        <f t="shared" ref="TV4:TV17" si="226">IF(MAX(TR4,TU4)&gt;0,MAX(TR4,TU4),"")</f>
        <v/>
      </c>
      <c r="TW4" s="40" t="str">
        <f t="shared" ref="TW4:TW17" si="227">IF(TH4&gt;0,TH4,"")</f>
        <v/>
      </c>
      <c r="TX4" s="40" t="str">
        <f t="shared" ref="TX4:TX17" si="228">IF(TI4&gt;0,TI4,"")</f>
        <v/>
      </c>
      <c r="TY4" s="40" t="str">
        <f t="shared" ref="TY4:TY17" si="229">IF(SUM(TF4:TI4)-TJ4&gt;0,SUM(TF4:TI4)-TJ4,"")</f>
        <v/>
      </c>
      <c r="TZ4" s="40" t="str">
        <f t="shared" ref="TZ4:TZ17" si="230">IF(TM4&gt;0,TM4,"")</f>
        <v/>
      </c>
      <c r="UA4" s="40" t="str">
        <f t="shared" ref="UA4:UA17" si="231">IF(TN4&gt;0,TN4,"")</f>
        <v/>
      </c>
      <c r="UB4" s="40" t="str">
        <f t="shared" ref="UB4:UB17" si="232">IF(SUM(TK4:TN4)-TO4&gt;0,SUM(TK4:TN4)-TO4,"")</f>
        <v/>
      </c>
      <c r="UC4" s="40" t="str">
        <f t="shared" ref="UC4:UC17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7" si="234">IF(UF4&gt;0,UF4,"")</f>
        <v/>
      </c>
      <c r="UY4" s="11" t="str">
        <f t="shared" ref="UY4:UY17" si="235">IF(UG4&gt;0,UG4,"")</f>
        <v/>
      </c>
      <c r="UZ4" s="11" t="str">
        <f t="shared" ref="UZ4:UZ17" si="236">IF(SUM(UD4:UG4)-UH4&gt;0,SUM(UD4:UG4)-UH4,"")</f>
        <v/>
      </c>
      <c r="VA4" s="11" t="str">
        <f t="shared" ref="VA4:VA17" si="237">IF(UK4&gt;0,UK4,"")</f>
        <v/>
      </c>
      <c r="VB4" s="11" t="str">
        <f t="shared" ref="VB4:VB17" si="238">IF(UL4&gt;0,UL4,"")</f>
        <v/>
      </c>
      <c r="VC4" s="11" t="str">
        <f t="shared" ref="VC4:VC17" si="239">IF(SUM(UI4:UL4)-UM4&gt;0,SUM(UI4:UL4)-UM4,"")</f>
        <v/>
      </c>
      <c r="VD4" s="11" t="str">
        <f t="shared" ref="VD4:VD17" si="240">IF(MAX(UZ4,VC4)&gt;0,MAX(UZ4,VC4),"")</f>
        <v/>
      </c>
      <c r="VE4" s="11" t="str">
        <f t="shared" ref="VE4:VE17" si="241">IF(UP4&gt;0,UP4,"")</f>
        <v/>
      </c>
      <c r="VF4" s="11" t="str">
        <f t="shared" ref="VF4:VF17" si="242">IF(UQ4&gt;0,UQ4,"")</f>
        <v/>
      </c>
      <c r="VG4" s="11" t="str">
        <f t="shared" ref="VG4:VG17" si="243">IF(SUM(UN4:UQ4)-UR4&gt;0,SUM(UN4:UQ4)-UR4,"")</f>
        <v/>
      </c>
      <c r="VH4" s="11" t="str">
        <f t="shared" ref="VH4:VH17" si="244">IF(UU4&gt;0,UU4,"")</f>
        <v/>
      </c>
      <c r="VI4" s="11" t="str">
        <f t="shared" ref="VI4:VI17" si="245">IF(UV4&gt;0,UV4,"")</f>
        <v/>
      </c>
      <c r="VJ4" s="11" t="str">
        <f t="shared" ref="VJ4:VJ17" si="246">IF(SUM(US4:UV4)-UW4&gt;0,SUM(US4:UV4)-UW4,"")</f>
        <v/>
      </c>
      <c r="VK4" s="11" t="str">
        <f t="shared" ref="VK4:VK17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7" si="248">IF(VN4&gt;0,VN4,"")</f>
        <v/>
      </c>
      <c r="WG4" s="40" t="str">
        <f t="shared" ref="WG4:WG17" si="249">IF(VO4&gt;0,VO4,"")</f>
        <v/>
      </c>
      <c r="WH4" s="40" t="str">
        <f t="shared" ref="WH4:WH17" si="250">IF(SUM(VL4:VO4)-VP4&gt;0,SUM(VL4:VO4)-VP4,"")</f>
        <v/>
      </c>
      <c r="WI4" s="40" t="str">
        <f t="shared" ref="WI4:WI17" si="251">IF(VS4&gt;0,VS4,"")</f>
        <v/>
      </c>
      <c r="WJ4" s="40" t="str">
        <f t="shared" ref="WJ4:WJ17" si="252">IF(VT4&gt;0,VT4,"")</f>
        <v/>
      </c>
      <c r="WK4" s="40" t="str">
        <f t="shared" ref="WK4:WK17" si="253">IF(SUM(VQ4:VT4)-VU4&gt;0,SUM(VQ4:VT4)-VU4,"")</f>
        <v/>
      </c>
      <c r="WL4" s="40" t="str">
        <f t="shared" ref="WL4:WL17" si="254">IF(MAX(WH4,WK4)&gt;0,MAX(WH4,WK4),"")</f>
        <v/>
      </c>
      <c r="WM4" s="40" t="str">
        <f t="shared" ref="WM4:WM17" si="255">IF(VX4&gt;0,VX4,"")</f>
        <v/>
      </c>
      <c r="WN4" s="40" t="str">
        <f t="shared" ref="WN4:WN17" si="256">IF(VY4&gt;0,VY4,"")</f>
        <v/>
      </c>
      <c r="WO4" s="40" t="str">
        <f t="shared" ref="WO4:WO17" si="257">IF(SUM(VV4:VY4)-VZ4&gt;0,SUM(VV4:VY4)-VZ4,"")</f>
        <v/>
      </c>
      <c r="WP4" s="40" t="str">
        <f t="shared" ref="WP4:WP17" si="258">IF(WC4&gt;0,WC4,"")</f>
        <v/>
      </c>
      <c r="WQ4" s="40" t="str">
        <f t="shared" ref="WQ4:WQ17" si="259">IF(WD4&gt;0,WD4,"")</f>
        <v/>
      </c>
      <c r="WR4" s="40" t="str">
        <f t="shared" ref="WR4:WR17" si="260">IF(SUM(WA4:WD4)-WE4&gt;0,SUM(WA4:WD4)-WE4,"")</f>
        <v/>
      </c>
      <c r="WS4" s="40" t="str">
        <f t="shared" ref="WS4:WS17" si="261">IF(SUM(WL4,WO4,WR4)&gt;0,SUM(WL4,WO4,WR4),"")</f>
        <v/>
      </c>
      <c r="WT4" s="26">
        <f t="shared" ref="WT4:WT17" si="262">IF($CP4="P",CA4,(CA4+AZ4)/2)</f>
        <v>16.75</v>
      </c>
      <c r="WU4" s="26">
        <f t="shared" ref="WU4:WU17" si="263">IF($CP4="P",CB4,(CB4+BA4)/2)</f>
        <v>9.0500000000000007</v>
      </c>
      <c r="WV4" s="26">
        <f t="shared" ref="WV4:WV17" si="264">IF($CP4="P",CC4,(CC4+BB4)/2)</f>
        <v>14.2</v>
      </c>
      <c r="WW4" s="26">
        <f t="shared" ref="WW4:WW17" si="265">IF($CP4="P",CD4,(CD4+BC4)/2)</f>
        <v>14.969999999999999</v>
      </c>
      <c r="WX4" s="26">
        <f t="shared" ref="WX4:WX17" si="266">IF($CP4="P",CE4,(CE4+BD4)/2)</f>
        <v>0.1</v>
      </c>
      <c r="WY4" s="26">
        <f t="shared" ref="WY4:WY17" si="267">IF($CP4="P",CF4,(CF4+BE4)/2)</f>
        <v>17.149999999999999</v>
      </c>
      <c r="WZ4" s="26">
        <f t="shared" ref="WZ4:WZ17" si="268">IF($CP4="P",CG4,(CG4+BF4)/2)</f>
        <v>9.3000000000000007</v>
      </c>
      <c r="XA4" s="26">
        <f t="shared" ref="XA4:XA17" si="269">IF($CP4="P",CH4,(CH4+BG4)/2)</f>
        <v>14.4</v>
      </c>
      <c r="XB4" s="26">
        <f t="shared" ref="XB4:XB17" si="270">IF($CP4="P",CI4,(CI4+BH4)/2)</f>
        <v>15.129999999999999</v>
      </c>
      <c r="XC4" s="26">
        <f t="shared" ref="XC4:XC17" si="271">IF($CP4="P",CJ4,(CJ4+BI4)/2)</f>
        <v>0</v>
      </c>
      <c r="XD4" s="26">
        <f t="shared" ref="XD4:XD17" si="272">IF($CP4="P",CK4,(CK4+BJ4)/2)</f>
        <v>16.95</v>
      </c>
      <c r="XE4" s="26">
        <f t="shared" ref="XE4:XE17" si="273">IF($CP4="P",CL4,(CL4+BK4)/2)</f>
        <v>9.25</v>
      </c>
      <c r="XF4" s="26">
        <f t="shared" ref="XF4:XF17" si="274">IF($CP4="P",CM4,(CM4+BL4)/2)</f>
        <v>14.5</v>
      </c>
      <c r="XG4" s="26">
        <f t="shared" ref="XG4:XG17" si="275">IF($CP4="P",CN4,(CN4+BM4)/2)</f>
        <v>14.95</v>
      </c>
      <c r="XH4" s="26">
        <f t="shared" ref="XH4:XH17" si="276">IF($CP4="P",CO4,(CO4+BN4)/2)</f>
        <v>0</v>
      </c>
      <c r="XI4" s="28" t="s">
        <v>53</v>
      </c>
      <c r="XJ4" s="11">
        <f t="shared" ref="XJ4:XJ17" si="277">IF(WV4&gt;0,WV4,"")</f>
        <v>14.2</v>
      </c>
      <c r="XK4" s="11">
        <f t="shared" ref="XK4:XK17" si="278">IF(WW4&gt;0,WW4,"")</f>
        <v>14.969999999999999</v>
      </c>
      <c r="XL4" s="11">
        <f t="shared" ref="XL4:XL17" si="279">IF(SUM(WT4:WW4)-WX4&gt;0,SUM(WT4:WW4)-WX4,"")</f>
        <v>54.87</v>
      </c>
      <c r="XM4" s="11">
        <f t="shared" ref="XM4:XM17" si="280">IF(XA4&gt;0,XA4,"")</f>
        <v>14.4</v>
      </c>
      <c r="XN4" s="11">
        <f t="shared" ref="XN4:XN17" si="281">IF(XB4&gt;0,XB4,"")</f>
        <v>15.129999999999999</v>
      </c>
      <c r="XO4" s="11">
        <f t="shared" ref="XO4:XO17" si="282">IF(SUM(WY4:XB4)-XC4&gt;0,SUM(WY4:XB4)-XC4,"")</f>
        <v>55.980000000000004</v>
      </c>
      <c r="XP4" s="11">
        <f t="shared" ref="XP4:XP17" si="283">IF(MAX(XL4,XO4)&gt;0,MAX(XL4,XO4),"")</f>
        <v>55.980000000000004</v>
      </c>
      <c r="XQ4" s="11">
        <f t="shared" ref="XQ4:XQ17" si="284">IF(XF4&gt;0,XF4,"")</f>
        <v>14.5</v>
      </c>
      <c r="XR4" s="11">
        <f t="shared" ref="XR4:XR17" si="285">IF(XG4&gt;0,XG4,"")</f>
        <v>14.95</v>
      </c>
      <c r="XS4" s="11">
        <f t="shared" ref="XS4:XS17" si="286">IF(SUM(XD4:XG4)-XH4&gt;0,SUM(XD4:XG4)-XH4,"")</f>
        <v>55.650000000000006</v>
      </c>
      <c r="XT4" s="11">
        <f t="shared" ref="XT4:XT17" si="287"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 t="shared" si="0"/>
        <v>245.50502455050542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54.37</v>
      </c>
      <c r="K5" s="8" t="str">
        <f t="shared" si="5"/>
        <v>2024 Elite Canada</v>
      </c>
      <c r="L5" s="8">
        <f>IF(COUNT(AQ5,AT5,BR5,BU5,CS5,CV5)&gt;1,LARGE((AQ5,AT5,BR5,BU5,CS5,CV5),2),0)</f>
        <v>53.745000000000005</v>
      </c>
      <c r="M5" s="8" t="str">
        <f t="shared" si="6"/>
        <v>2024 3rd Domestic Trial</v>
      </c>
      <c r="N5" s="8">
        <f>IF(COUNT(AQ5,AT5,BR5,BU5,CS5,CV5)&gt;2,LARGE((AQ5,AT5,BR5,BU5,CS5,CV5),3),0)</f>
        <v>53.61</v>
      </c>
      <c r="O5" s="8" t="str">
        <f t="shared" si="7"/>
        <v>2024 Elite Canada</v>
      </c>
      <c r="P5" s="8">
        <f t="shared" si="8"/>
        <v>54.57</v>
      </c>
      <c r="Q5" s="8" t="str">
        <f t="shared" si="9"/>
        <v>2024 Elite Canada</v>
      </c>
      <c r="R5" s="8">
        <f t="shared" si="10"/>
        <v>14.2</v>
      </c>
      <c r="S5" s="8" t="str">
        <f t="shared" si="11"/>
        <v>2024 Elite Canada</v>
      </c>
      <c r="T5" s="8">
        <f t="shared" si="12"/>
        <v>15.01</v>
      </c>
      <c r="U5" s="8" t="str">
        <f t="shared" si="13"/>
        <v>2024 Elite Canada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 t="shared" si="17"/>
        <v>14.2</v>
      </c>
      <c r="AP5" s="38">
        <f t="shared" si="18"/>
        <v>14.97</v>
      </c>
      <c r="AQ5" s="40">
        <f t="shared" si="19"/>
        <v>54.37</v>
      </c>
      <c r="AR5" s="40">
        <f t="shared" si="20"/>
        <v>14</v>
      </c>
      <c r="AS5" s="40">
        <f t="shared" si="21"/>
        <v>15.01</v>
      </c>
      <c r="AT5" s="40">
        <f t="shared" si="22"/>
        <v>53.61</v>
      </c>
      <c r="AU5" s="40">
        <f t="shared" si="23"/>
        <v>54.37</v>
      </c>
      <c r="AV5" s="40">
        <f t="shared" si="24"/>
        <v>14.2</v>
      </c>
      <c r="AW5" s="40">
        <f t="shared" si="25"/>
        <v>14.57</v>
      </c>
      <c r="AX5" s="40">
        <f t="shared" si="26"/>
        <v>54.57</v>
      </c>
      <c r="AY5" s="40">
        <f t="shared" si="27"/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 t="shared" si="28"/>
        <v>14</v>
      </c>
      <c r="BQ5" s="39">
        <f t="shared" si="29"/>
        <v>14.32</v>
      </c>
      <c r="BR5" s="11">
        <f t="shared" si="30"/>
        <v>53.12</v>
      </c>
      <c r="BS5" s="11">
        <f t="shared" si="31"/>
        <v>2</v>
      </c>
      <c r="BT5" s="11">
        <f t="shared" si="32"/>
        <v>1.59</v>
      </c>
      <c r="BU5" s="11">
        <f t="shared" si="33"/>
        <v>5.99</v>
      </c>
      <c r="BV5" s="11">
        <f t="shared" si="34"/>
        <v>53.12</v>
      </c>
      <c r="BW5" s="11">
        <f t="shared" si="35"/>
        <v>3.2</v>
      </c>
      <c r="BX5" s="11">
        <f t="shared" si="36"/>
        <v>3.11</v>
      </c>
      <c r="BY5" s="11">
        <f t="shared" si="37"/>
        <v>11.309999999999999</v>
      </c>
      <c r="BZ5" s="11">
        <f t="shared" si="38"/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 t="shared" si="39"/>
        <v>14.1</v>
      </c>
      <c r="CR5" s="38">
        <f t="shared" si="40"/>
        <v>14.645</v>
      </c>
      <c r="CS5" s="40">
        <f t="shared" si="41"/>
        <v>53.745000000000005</v>
      </c>
      <c r="CT5" s="40">
        <f t="shared" si="42"/>
        <v>8</v>
      </c>
      <c r="CU5" s="40">
        <f t="shared" si="43"/>
        <v>8.3000000000000007</v>
      </c>
      <c r="CV5" s="40">
        <f t="shared" si="44"/>
        <v>29.8</v>
      </c>
      <c r="CW5" s="40">
        <f t="shared" si="45"/>
        <v>53.745000000000005</v>
      </c>
      <c r="CX5" s="40">
        <f t="shared" si="46"/>
        <v>8.6999999999999993</v>
      </c>
      <c r="CY5" s="40">
        <f t="shared" si="47"/>
        <v>8.84</v>
      </c>
      <c r="CZ5" s="40">
        <f t="shared" si="48"/>
        <v>32.94</v>
      </c>
      <c r="DA5" s="40">
        <f t="shared" si="49"/>
        <v>86.685000000000002</v>
      </c>
      <c r="DB5" s="51" t="str">
        <f t="shared" si="50"/>
        <v/>
      </c>
      <c r="DC5" s="51" t="str">
        <f t="shared" si="51"/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4.7</v>
      </c>
      <c r="DY5" s="40">
        <f t="shared" si="53"/>
        <v>4.6500000000000004</v>
      </c>
      <c r="DZ5" s="40">
        <f t="shared" si="54"/>
        <v>16.450000000000003</v>
      </c>
      <c r="EA5" s="40">
        <f t="shared" si="55"/>
        <v>4.7</v>
      </c>
      <c r="EB5" s="40">
        <f t="shared" si="56"/>
        <v>4.57</v>
      </c>
      <c r="EC5" s="40">
        <f t="shared" si="57"/>
        <v>16.170000000000002</v>
      </c>
      <c r="ED5" s="40">
        <f t="shared" si="58"/>
        <v>16.450000000000003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14.2</v>
      </c>
      <c r="FG5" s="11">
        <f t="shared" si="67"/>
        <v>14.33</v>
      </c>
      <c r="FH5" s="11">
        <f t="shared" si="68"/>
        <v>52.03</v>
      </c>
      <c r="FI5" s="11">
        <f t="shared" si="69"/>
        <v>14.2</v>
      </c>
      <c r="FJ5" s="11">
        <f t="shared" si="70"/>
        <v>14.19</v>
      </c>
      <c r="FK5" s="11">
        <f t="shared" si="71"/>
        <v>51.989999999999995</v>
      </c>
      <c r="FL5" s="11">
        <f t="shared" si="72"/>
        <v>52.03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 t="shared" si="80"/>
        <v>3.2</v>
      </c>
      <c r="GO5" s="40">
        <f t="shared" si="81"/>
        <v>3.18</v>
      </c>
      <c r="GP5" s="40">
        <f t="shared" si="82"/>
        <v>11.280000000000001</v>
      </c>
      <c r="GQ5" s="40">
        <f t="shared" si="83"/>
        <v>12.1</v>
      </c>
      <c r="GR5" s="40">
        <f t="shared" si="84"/>
        <v>14.58</v>
      </c>
      <c r="GS5" s="40">
        <f t="shared" si="85"/>
        <v>51.48</v>
      </c>
      <c r="GT5" s="40">
        <f t="shared" si="86"/>
        <v>51.48</v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>
        <f t="shared" si="90"/>
        <v>3.2</v>
      </c>
      <c r="GY5" s="40">
        <f t="shared" si="91"/>
        <v>3.21</v>
      </c>
      <c r="GZ5" s="40">
        <f t="shared" si="92"/>
        <v>11.310000000000002</v>
      </c>
      <c r="HA5" s="40">
        <f t="shared" si="93"/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14.2</v>
      </c>
      <c r="KM5" s="11">
        <f t="shared" si="123"/>
        <v>14.46</v>
      </c>
      <c r="KN5" s="11">
        <f t="shared" si="124"/>
        <v>51.559999999999995</v>
      </c>
      <c r="KO5" s="11">
        <f t="shared" si="125"/>
        <v>14.2</v>
      </c>
      <c r="KP5" s="11">
        <f t="shared" si="126"/>
        <v>14.58</v>
      </c>
      <c r="KQ5" s="11">
        <f t="shared" si="127"/>
        <v>52.48</v>
      </c>
      <c r="KR5" s="11">
        <f t="shared" si="128"/>
        <v>52.48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15.75</v>
      </c>
      <c r="WU5" s="26">
        <f t="shared" si="263"/>
        <v>9.25</v>
      </c>
      <c r="WV5" s="26">
        <f t="shared" si="264"/>
        <v>14.1</v>
      </c>
      <c r="WW5" s="26">
        <f t="shared" si="265"/>
        <v>14.645</v>
      </c>
      <c r="WX5" s="26">
        <f t="shared" si="266"/>
        <v>0</v>
      </c>
      <c r="WY5" s="26">
        <f t="shared" si="267"/>
        <v>8.7000000000000011</v>
      </c>
      <c r="WZ5" s="26">
        <f t="shared" si="268"/>
        <v>4.8000000000000007</v>
      </c>
      <c r="XA5" s="26">
        <f t="shared" si="269"/>
        <v>8</v>
      </c>
      <c r="XB5" s="26">
        <f t="shared" si="270"/>
        <v>8.3000000000000007</v>
      </c>
      <c r="XC5" s="26">
        <f t="shared" si="271"/>
        <v>0</v>
      </c>
      <c r="XD5" s="26">
        <f t="shared" si="272"/>
        <v>9.7999999999999989</v>
      </c>
      <c r="XE5" s="26">
        <f t="shared" si="273"/>
        <v>5.6000000000000005</v>
      </c>
      <c r="XF5" s="26">
        <f t="shared" si="274"/>
        <v>8.6999999999999993</v>
      </c>
      <c r="XG5" s="26">
        <f t="shared" si="275"/>
        <v>8.84</v>
      </c>
      <c r="XH5" s="26">
        <f t="shared" si="276"/>
        <v>0</v>
      </c>
      <c r="XI5" s="28" t="s">
        <v>53</v>
      </c>
      <c r="XJ5" s="11">
        <f t="shared" si="277"/>
        <v>14.1</v>
      </c>
      <c r="XK5" s="11">
        <f t="shared" si="278"/>
        <v>14.645</v>
      </c>
      <c r="XL5" s="11">
        <f t="shared" si="279"/>
        <v>53.745000000000005</v>
      </c>
      <c r="XM5" s="11">
        <f t="shared" si="280"/>
        <v>8</v>
      </c>
      <c r="XN5" s="11">
        <f t="shared" si="281"/>
        <v>8.3000000000000007</v>
      </c>
      <c r="XO5" s="11">
        <f t="shared" si="282"/>
        <v>29.8</v>
      </c>
      <c r="XP5" s="11">
        <f t="shared" si="283"/>
        <v>53.745000000000005</v>
      </c>
      <c r="XQ5" s="11">
        <f t="shared" si="284"/>
        <v>8.6999999999999993</v>
      </c>
      <c r="XR5" s="11">
        <f t="shared" si="285"/>
        <v>8.84</v>
      </c>
      <c r="XS5" s="11">
        <f t="shared" si="286"/>
        <v>32.94</v>
      </c>
      <c r="XT5" s="11">
        <f t="shared" si="287"/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 t="shared" si="0"/>
        <v>241.99002413500531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53.019999999999996</v>
      </c>
      <c r="K6" s="8" t="str">
        <f t="shared" si="5"/>
        <v>2024 Elite Canada</v>
      </c>
      <c r="L6" s="8">
        <f>IF(COUNT(AQ6,AT6,BR6,BU6,CS6,CV6)&gt;1,LARGE((AQ6,AT6,BR6,BU6,CS6,CV6),2),0)</f>
        <v>52.97</v>
      </c>
      <c r="M6" s="8" t="str">
        <f t="shared" si="6"/>
        <v>2024 3rd Domestic Trial</v>
      </c>
      <c r="N6" s="8">
        <f>IF(COUNT(AQ6,AT6,BR6,BU6,CS6,CV6)&gt;2,LARGE((AQ6,AT6,BR6,BU6,CS6,CV6),3),0)</f>
        <v>52.92</v>
      </c>
      <c r="O6" s="8" t="str">
        <f t="shared" si="7"/>
        <v>2024 Nationals</v>
      </c>
      <c r="P6" s="8">
        <f t="shared" si="8"/>
        <v>53.460000000000008</v>
      </c>
      <c r="Q6" s="8" t="str">
        <f t="shared" si="9"/>
        <v>2024 Nationals</v>
      </c>
      <c r="R6" s="8">
        <f t="shared" si="10"/>
        <v>13.8</v>
      </c>
      <c r="S6" s="8" t="str">
        <f t="shared" si="11"/>
        <v>2024 Nationals</v>
      </c>
      <c r="T6" s="8">
        <f t="shared" si="12"/>
        <v>15.18</v>
      </c>
      <c r="U6" s="8" t="str">
        <f t="shared" si="13"/>
        <v>2024 World Cup POR (July 7)</v>
      </c>
      <c r="V6" s="8">
        <f t="shared" si="14"/>
        <v>0.64000000000000057</v>
      </c>
      <c r="W6" s="11" t="str">
        <f t="shared" si="15"/>
        <v>(Prelim)</v>
      </c>
      <c r="X6" s="8" t="str">
        <f t="shared" si="16"/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 t="shared" si="17"/>
        <v>2</v>
      </c>
      <c r="AP6" s="38">
        <f t="shared" si="18"/>
        <v>1.67</v>
      </c>
      <c r="AQ6" s="40">
        <f t="shared" si="19"/>
        <v>5.87</v>
      </c>
      <c r="AR6" s="40">
        <f t="shared" si="20"/>
        <v>12.1</v>
      </c>
      <c r="AS6" s="40">
        <f t="shared" si="21"/>
        <v>15.32</v>
      </c>
      <c r="AT6" s="40">
        <f t="shared" si="22"/>
        <v>53.019999999999996</v>
      </c>
      <c r="AU6" s="40">
        <f t="shared" si="23"/>
        <v>53.019999999999996</v>
      </c>
      <c r="AV6" s="40">
        <f t="shared" si="24"/>
        <v>11.8</v>
      </c>
      <c r="AW6" s="40">
        <f t="shared" si="25"/>
        <v>15.23</v>
      </c>
      <c r="AX6" s="40">
        <f t="shared" si="26"/>
        <v>52.629999999999995</v>
      </c>
      <c r="AY6" s="40">
        <f t="shared" si="27"/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 t="shared" si="28"/>
        <v>3.2</v>
      </c>
      <c r="BQ6" s="39">
        <f t="shared" si="29"/>
        <v>3.31</v>
      </c>
      <c r="BR6" s="11">
        <f t="shared" si="30"/>
        <v>11.410000000000002</v>
      </c>
      <c r="BS6" s="11">
        <f t="shared" si="31"/>
        <v>13.8</v>
      </c>
      <c r="BT6" s="11">
        <f t="shared" si="32"/>
        <v>14.72</v>
      </c>
      <c r="BU6" s="11">
        <f t="shared" si="33"/>
        <v>52.92</v>
      </c>
      <c r="BV6" s="11">
        <f t="shared" si="34"/>
        <v>52.92</v>
      </c>
      <c r="BW6" s="11">
        <f t="shared" si="35"/>
        <v>13.8</v>
      </c>
      <c r="BX6" s="11">
        <f t="shared" si="36"/>
        <v>14.56</v>
      </c>
      <c r="BY6" s="11">
        <f t="shared" si="37"/>
        <v>53.460000000000008</v>
      </c>
      <c r="BZ6" s="11">
        <f t="shared" si="38"/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 t="shared" si="39"/>
        <v>2.6</v>
      </c>
      <c r="CR6" s="38">
        <f t="shared" si="40"/>
        <v>2.4900000000000002</v>
      </c>
      <c r="CS6" s="40">
        <f t="shared" si="41"/>
        <v>8.64</v>
      </c>
      <c r="CT6" s="40">
        <f t="shared" si="42"/>
        <v>12.95</v>
      </c>
      <c r="CU6" s="40">
        <f t="shared" si="43"/>
        <v>15.02</v>
      </c>
      <c r="CV6" s="40">
        <f t="shared" si="44"/>
        <v>52.97</v>
      </c>
      <c r="CW6" s="40">
        <f t="shared" si="45"/>
        <v>52.97</v>
      </c>
      <c r="CX6" s="40">
        <f t="shared" si="46"/>
        <v>12.8</v>
      </c>
      <c r="CY6" s="40">
        <f t="shared" si="47"/>
        <v>14.895</v>
      </c>
      <c r="CZ6" s="40">
        <f t="shared" si="48"/>
        <v>53.044999999999995</v>
      </c>
      <c r="DA6" s="40">
        <f t="shared" si="49"/>
        <v>106.01499999999999</v>
      </c>
      <c r="DB6" s="51">
        <f t="shared" si="50"/>
        <v>0.64000000000000057</v>
      </c>
      <c r="DC6" s="51" t="str">
        <f t="shared" si="51"/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2"/>
        <v>13</v>
      </c>
      <c r="DY6" s="40">
        <f t="shared" si="53"/>
        <v>15.1</v>
      </c>
      <c r="DZ6" s="40">
        <f t="shared" si="54"/>
        <v>52.800000000000004</v>
      </c>
      <c r="EA6" s="40">
        <f t="shared" si="55"/>
        <v>10.3</v>
      </c>
      <c r="EB6" s="40">
        <f t="shared" si="56"/>
        <v>15.22</v>
      </c>
      <c r="EC6" s="40">
        <f t="shared" si="57"/>
        <v>49.72</v>
      </c>
      <c r="ED6" s="40">
        <f t="shared" si="58"/>
        <v>52.800000000000004</v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>
        <f t="shared" si="65"/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 t="shared" si="66"/>
        <v>13.8</v>
      </c>
      <c r="FG6" s="11">
        <f t="shared" si="67"/>
        <v>15.16</v>
      </c>
      <c r="FH6" s="11">
        <f t="shared" si="68"/>
        <v>53.56</v>
      </c>
      <c r="FI6" s="11">
        <f t="shared" si="69"/>
        <v>11.9</v>
      </c>
      <c r="FJ6" s="11">
        <f t="shared" si="70"/>
        <v>15.04</v>
      </c>
      <c r="FK6" s="11">
        <f t="shared" si="71"/>
        <v>50.14</v>
      </c>
      <c r="FL6" s="11">
        <f t="shared" si="72"/>
        <v>53.56</v>
      </c>
      <c r="FM6" s="11">
        <f t="shared" si="73"/>
        <v>12.8</v>
      </c>
      <c r="FN6" s="11">
        <f t="shared" si="74"/>
        <v>15.11</v>
      </c>
      <c r="FO6" s="11">
        <f t="shared" si="75"/>
        <v>51.71</v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 t="shared" si="150"/>
        <v>2</v>
      </c>
      <c r="NC6" s="11">
        <f t="shared" si="151"/>
        <v>1.69</v>
      </c>
      <c r="ND6" s="11">
        <f t="shared" si="152"/>
        <v>6.2899999999999991</v>
      </c>
      <c r="NE6" s="11">
        <f t="shared" si="153"/>
        <v>13.6</v>
      </c>
      <c r="NF6" s="11">
        <f t="shared" si="154"/>
        <v>15.18</v>
      </c>
      <c r="NG6" s="11">
        <f t="shared" si="155"/>
        <v>53.38</v>
      </c>
      <c r="NH6" s="11">
        <f t="shared" si="156"/>
        <v>53.38</v>
      </c>
      <c r="NI6" s="11">
        <f t="shared" si="157"/>
        <v>12</v>
      </c>
      <c r="NJ6" s="11">
        <f t="shared" si="158"/>
        <v>15.06</v>
      </c>
      <c r="NK6" s="11">
        <f t="shared" si="159"/>
        <v>51.46</v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2.2999999999999998</v>
      </c>
      <c r="WU6" s="26">
        <f t="shared" si="263"/>
        <v>1.35</v>
      </c>
      <c r="WV6" s="26">
        <f t="shared" si="264"/>
        <v>2.6</v>
      </c>
      <c r="WW6" s="26">
        <f t="shared" si="265"/>
        <v>2.4900000000000002</v>
      </c>
      <c r="WX6" s="26">
        <f t="shared" si="266"/>
        <v>0.1</v>
      </c>
      <c r="WY6" s="26">
        <f t="shared" si="267"/>
        <v>15.85</v>
      </c>
      <c r="WZ6" s="26">
        <f t="shared" si="268"/>
        <v>9.1499999999999986</v>
      </c>
      <c r="XA6" s="26">
        <f t="shared" si="269"/>
        <v>12.95</v>
      </c>
      <c r="XB6" s="26">
        <f t="shared" si="270"/>
        <v>15.02</v>
      </c>
      <c r="XC6" s="26">
        <f t="shared" si="271"/>
        <v>0</v>
      </c>
      <c r="XD6" s="26">
        <f t="shared" si="272"/>
        <v>16.5</v>
      </c>
      <c r="XE6" s="26">
        <f t="shared" si="273"/>
        <v>8.9499999999999993</v>
      </c>
      <c r="XF6" s="26">
        <f t="shared" si="274"/>
        <v>12.8</v>
      </c>
      <c r="XG6" s="26">
        <f t="shared" si="275"/>
        <v>14.895</v>
      </c>
      <c r="XH6" s="26">
        <f t="shared" si="276"/>
        <v>0.1</v>
      </c>
      <c r="XI6" s="28" t="s">
        <v>53</v>
      </c>
      <c r="XJ6" s="11">
        <f t="shared" si="277"/>
        <v>2.6</v>
      </c>
      <c r="XK6" s="11">
        <f t="shared" si="278"/>
        <v>2.4900000000000002</v>
      </c>
      <c r="XL6" s="11">
        <f t="shared" si="279"/>
        <v>8.64</v>
      </c>
      <c r="XM6" s="11">
        <f t="shared" si="280"/>
        <v>12.95</v>
      </c>
      <c r="XN6" s="11">
        <f t="shared" si="281"/>
        <v>15.02</v>
      </c>
      <c r="XO6" s="11">
        <f t="shared" si="282"/>
        <v>52.97</v>
      </c>
      <c r="XP6" s="11">
        <f t="shared" si="283"/>
        <v>52.97</v>
      </c>
      <c r="XQ6" s="11">
        <f t="shared" si="284"/>
        <v>12.8</v>
      </c>
      <c r="XR6" s="11">
        <f t="shared" si="285"/>
        <v>14.895</v>
      </c>
      <c r="XS6" s="11">
        <f t="shared" si="286"/>
        <v>53.044999999999995</v>
      </c>
      <c r="XT6" s="11">
        <f t="shared" si="287"/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 t="shared" si="0"/>
        <v>239.83002363300534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53.07</v>
      </c>
      <c r="K7" s="8" t="str">
        <f t="shared" si="5"/>
        <v>2024 Nationals</v>
      </c>
      <c r="L7" s="8">
        <f>IF(COUNT(AQ7,AT7,BR7,BU7,CS7,CV7)&gt;1,LARGE((AQ7,AT7,BR7,BU7,CS7,CV7),2),0)</f>
        <v>52.29</v>
      </c>
      <c r="M7" s="8" t="str">
        <f t="shared" si="6"/>
        <v>2024 Nationals</v>
      </c>
      <c r="N7" s="8">
        <f>IF(COUNT(AQ7,AT7,BR7,BU7,CS7,CV7)&gt;2,LARGE((AQ7,AT7,BR7,BU7,CS7,CV7),3),0)</f>
        <v>49.669999999999995</v>
      </c>
      <c r="O7" s="8" t="str">
        <f t="shared" si="7"/>
        <v>2024 3rd Domestic Trial</v>
      </c>
      <c r="P7" s="8">
        <f t="shared" si="8"/>
        <v>51.83</v>
      </c>
      <c r="Q7" s="8" t="str">
        <f t="shared" si="9"/>
        <v>2024 Elite Canada</v>
      </c>
      <c r="R7" s="8">
        <f t="shared" si="10"/>
        <v>14</v>
      </c>
      <c r="S7" s="8" t="str">
        <f t="shared" si="11"/>
        <v>2024 Elite Canada</v>
      </c>
      <c r="T7" s="8">
        <f t="shared" si="12"/>
        <v>15.47</v>
      </c>
      <c r="U7" s="8" t="str">
        <f t="shared" si="13"/>
        <v>2024 World Cup POR (July 7)</v>
      </c>
      <c r="V7" s="8">
        <f t="shared" si="14"/>
        <v>3.5000000000000071</v>
      </c>
      <c r="W7" s="11" t="str">
        <f t="shared" si="15"/>
        <v>(Prelim)</v>
      </c>
      <c r="X7" s="8" t="str">
        <f t="shared" si="16"/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 t="shared" si="17"/>
        <v>4.7</v>
      </c>
      <c r="AP7" s="38">
        <f t="shared" si="18"/>
        <v>4.54</v>
      </c>
      <c r="AQ7" s="40">
        <f t="shared" si="19"/>
        <v>15.84</v>
      </c>
      <c r="AR7" s="40">
        <f t="shared" si="20"/>
        <v>12.8</v>
      </c>
      <c r="AS7" s="40">
        <f t="shared" si="21"/>
        <v>14.37</v>
      </c>
      <c r="AT7" s="40">
        <f t="shared" si="22"/>
        <v>46.27</v>
      </c>
      <c r="AU7" s="40">
        <f t="shared" si="23"/>
        <v>46.27</v>
      </c>
      <c r="AV7" s="40">
        <f t="shared" si="24"/>
        <v>14</v>
      </c>
      <c r="AW7" s="40">
        <f t="shared" si="25"/>
        <v>14.93</v>
      </c>
      <c r="AX7" s="40">
        <f t="shared" si="26"/>
        <v>51.83</v>
      </c>
      <c r="AY7" s="40">
        <f t="shared" si="27"/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 t="shared" si="28"/>
        <v>13.8</v>
      </c>
      <c r="BQ7" s="39">
        <f t="shared" si="29"/>
        <v>14.79</v>
      </c>
      <c r="BR7" s="11">
        <f t="shared" si="30"/>
        <v>52.29</v>
      </c>
      <c r="BS7" s="11">
        <f t="shared" si="31"/>
        <v>13.8</v>
      </c>
      <c r="BT7" s="11">
        <f t="shared" si="32"/>
        <v>14.87</v>
      </c>
      <c r="BU7" s="11">
        <f t="shared" si="33"/>
        <v>53.07</v>
      </c>
      <c r="BV7" s="11">
        <f t="shared" si="34"/>
        <v>53.07</v>
      </c>
      <c r="BW7" s="11">
        <f t="shared" si="35"/>
        <v>7.2</v>
      </c>
      <c r="BX7" s="11">
        <f t="shared" si="36"/>
        <v>7.7</v>
      </c>
      <c r="BY7" s="11">
        <f t="shared" si="37"/>
        <v>26.7</v>
      </c>
      <c r="BZ7" s="11">
        <f t="shared" si="38"/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 t="shared" si="39"/>
        <v>9.25</v>
      </c>
      <c r="CR7" s="38">
        <f t="shared" si="40"/>
        <v>9.6649999999999991</v>
      </c>
      <c r="CS7" s="40">
        <f t="shared" si="41"/>
        <v>34.064999999999998</v>
      </c>
      <c r="CT7" s="40">
        <f t="shared" si="42"/>
        <v>13.3</v>
      </c>
      <c r="CU7" s="40">
        <f t="shared" si="43"/>
        <v>14.62</v>
      </c>
      <c r="CV7" s="40">
        <f t="shared" si="44"/>
        <v>49.669999999999995</v>
      </c>
      <c r="CW7" s="40">
        <f t="shared" si="45"/>
        <v>49.669999999999995</v>
      </c>
      <c r="CX7" s="40">
        <f t="shared" si="46"/>
        <v>10.6</v>
      </c>
      <c r="CY7" s="40">
        <f t="shared" si="47"/>
        <v>11.315</v>
      </c>
      <c r="CZ7" s="40">
        <f t="shared" si="48"/>
        <v>39.265000000000001</v>
      </c>
      <c r="DA7" s="40">
        <f t="shared" si="49"/>
        <v>88.935000000000002</v>
      </c>
      <c r="DB7" s="51">
        <f t="shared" si="50"/>
        <v>3.5000000000000071</v>
      </c>
      <c r="DC7" s="51">
        <f t="shared" si="51"/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 t="shared" si="94"/>
        <v>13.8</v>
      </c>
      <c r="HW7" s="11">
        <f t="shared" si="95"/>
        <v>14.65</v>
      </c>
      <c r="HX7" s="11">
        <f t="shared" si="96"/>
        <v>50.85</v>
      </c>
      <c r="HY7" s="11">
        <f t="shared" si="97"/>
        <v>13.8</v>
      </c>
      <c r="HZ7" s="11">
        <f t="shared" si="98"/>
        <v>14.65</v>
      </c>
      <c r="IA7" s="11">
        <f t="shared" si="99"/>
        <v>51.050000000000004</v>
      </c>
      <c r="IB7" s="11">
        <f t="shared" si="100"/>
        <v>51.050000000000004</v>
      </c>
      <c r="IC7" s="11">
        <f t="shared" si="101"/>
        <v>12.8</v>
      </c>
      <c r="ID7" s="11">
        <f t="shared" si="102"/>
        <v>14.77</v>
      </c>
      <c r="IE7" s="11">
        <f t="shared" si="103"/>
        <v>50.36999999999999</v>
      </c>
      <c r="IF7" s="11">
        <f t="shared" si="104"/>
        <v>13.8</v>
      </c>
      <c r="IG7" s="11">
        <f t="shared" si="105"/>
        <v>14.69</v>
      </c>
      <c r="IH7" s="11">
        <f t="shared" si="106"/>
        <v>51.19</v>
      </c>
      <c r="II7" s="11">
        <f t="shared" si="107"/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 t="shared" si="108"/>
        <v>2</v>
      </c>
      <c r="JE7" s="40">
        <f t="shared" si="109"/>
        <v>1.58</v>
      </c>
      <c r="JF7" s="40">
        <f t="shared" si="110"/>
        <v>5.78</v>
      </c>
      <c r="JG7" s="40">
        <f t="shared" si="111"/>
        <v>13.8</v>
      </c>
      <c r="JH7" s="40">
        <f t="shared" si="112"/>
        <v>14.68</v>
      </c>
      <c r="JI7" s="40">
        <f t="shared" si="113"/>
        <v>51.580000000000005</v>
      </c>
      <c r="JJ7" s="40">
        <f t="shared" si="114"/>
        <v>51.580000000000005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>
        <f t="shared" si="118"/>
        <v>7.4</v>
      </c>
      <c r="JO7" s="40">
        <f t="shared" si="119"/>
        <v>7.61</v>
      </c>
      <c r="JP7" s="40">
        <f t="shared" si="120"/>
        <v>26.11</v>
      </c>
      <c r="JQ7" s="40">
        <f t="shared" si="121"/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 t="shared" si="150"/>
        <v>13.8</v>
      </c>
      <c r="NC7" s="11">
        <f t="shared" si="151"/>
        <v>15.47</v>
      </c>
      <c r="ND7" s="11">
        <f t="shared" si="152"/>
        <v>53.17</v>
      </c>
      <c r="NE7" s="11">
        <f t="shared" si="153"/>
        <v>13.8</v>
      </c>
      <c r="NF7" s="11">
        <f t="shared" si="154"/>
        <v>15.23</v>
      </c>
      <c r="NG7" s="11">
        <f t="shared" si="155"/>
        <v>52.63000000000001</v>
      </c>
      <c r="NH7" s="11">
        <f t="shared" si="156"/>
        <v>53.17</v>
      </c>
      <c r="NI7" s="11">
        <f t="shared" si="157"/>
        <v>13.8</v>
      </c>
      <c r="NJ7" s="11">
        <f t="shared" si="158"/>
        <v>15.31</v>
      </c>
      <c r="NK7" s="11">
        <f t="shared" si="159"/>
        <v>53.710000000000008</v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9.3999999999999986</v>
      </c>
      <c r="WU7" s="26">
        <f t="shared" si="263"/>
        <v>5.75</v>
      </c>
      <c r="WV7" s="26">
        <f t="shared" si="264"/>
        <v>9.25</v>
      </c>
      <c r="WW7" s="26">
        <f t="shared" si="265"/>
        <v>9.6649999999999991</v>
      </c>
      <c r="WX7" s="26">
        <f t="shared" si="266"/>
        <v>0</v>
      </c>
      <c r="WY7" s="26">
        <f t="shared" si="267"/>
        <v>12.45</v>
      </c>
      <c r="WZ7" s="26">
        <f t="shared" si="268"/>
        <v>9.3000000000000007</v>
      </c>
      <c r="XA7" s="26">
        <f t="shared" si="269"/>
        <v>13.3</v>
      </c>
      <c r="XB7" s="26">
        <f t="shared" si="270"/>
        <v>14.62</v>
      </c>
      <c r="XC7" s="26">
        <f t="shared" si="271"/>
        <v>0</v>
      </c>
      <c r="XD7" s="26">
        <f t="shared" si="272"/>
        <v>10.5</v>
      </c>
      <c r="XE7" s="26">
        <f t="shared" si="273"/>
        <v>6.85</v>
      </c>
      <c r="XF7" s="26">
        <f t="shared" si="274"/>
        <v>10.6</v>
      </c>
      <c r="XG7" s="26">
        <f t="shared" si="275"/>
        <v>11.315</v>
      </c>
      <c r="XH7" s="26">
        <f t="shared" si="276"/>
        <v>0</v>
      </c>
      <c r="XI7" s="28" t="s">
        <v>53</v>
      </c>
      <c r="XJ7" s="11">
        <f t="shared" si="277"/>
        <v>9.25</v>
      </c>
      <c r="XK7" s="11">
        <f t="shared" si="278"/>
        <v>9.6649999999999991</v>
      </c>
      <c r="XL7" s="11">
        <f t="shared" si="279"/>
        <v>34.064999999999998</v>
      </c>
      <c r="XM7" s="11">
        <f t="shared" si="280"/>
        <v>13.3</v>
      </c>
      <c r="XN7" s="11">
        <f t="shared" si="281"/>
        <v>14.62</v>
      </c>
      <c r="XO7" s="11">
        <f t="shared" si="282"/>
        <v>49.669999999999995</v>
      </c>
      <c r="XP7" s="11">
        <f t="shared" si="283"/>
        <v>49.669999999999995</v>
      </c>
      <c r="XQ7" s="11">
        <f t="shared" si="284"/>
        <v>10.6</v>
      </c>
      <c r="XR7" s="11">
        <f t="shared" si="285"/>
        <v>11.315</v>
      </c>
      <c r="XS7" s="11">
        <f t="shared" si="286"/>
        <v>39.265000000000001</v>
      </c>
      <c r="XT7" s="11">
        <f t="shared" si="287"/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 t="shared" si="0"/>
        <v>238.63002366800526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53.14</v>
      </c>
      <c r="K8" s="8" t="str">
        <f t="shared" si="5"/>
        <v>2024 Elite Canada</v>
      </c>
      <c r="L8" s="8">
        <f>IF(COUNT(AQ8,AT8,BR8,BU8,CS8,CV8)&gt;1,LARGE((AQ8,AT8,BR8,BU8,CS8,CV8),2),0)</f>
        <v>52.15</v>
      </c>
      <c r="M8" s="8" t="str">
        <f t="shared" si="6"/>
        <v>2024 3rd Domestic Trial</v>
      </c>
      <c r="N8" s="8">
        <f>IF(COUNT(AQ8,AT8,BR8,BU8,CS8,CV8)&gt;2,LARGE((AQ8,AT8,BR8,BU8,CS8,CV8),3),0)</f>
        <v>52.05</v>
      </c>
      <c r="O8" s="8" t="str">
        <f t="shared" si="7"/>
        <v>2024 3rd Domestic Trial</v>
      </c>
      <c r="P8" s="8">
        <f t="shared" si="8"/>
        <v>50.39</v>
      </c>
      <c r="Q8" s="8" t="str">
        <f t="shared" si="9"/>
        <v>2024 3rd Domestic Trial</v>
      </c>
      <c r="R8" s="8">
        <f t="shared" si="10"/>
        <v>14</v>
      </c>
      <c r="S8" s="8" t="str">
        <f t="shared" si="11"/>
        <v>2024 World Cup AZE (Feb 25)</v>
      </c>
      <c r="T8" s="8">
        <f t="shared" si="12"/>
        <v>14.95</v>
      </c>
      <c r="U8" s="8" t="str">
        <f t="shared" si="13"/>
        <v>2024 3rd Domestic Trial</v>
      </c>
      <c r="V8" s="8">
        <f t="shared" si="14"/>
        <v>1.9500000000000028</v>
      </c>
      <c r="W8" s="11" t="str">
        <f t="shared" si="15"/>
        <v>(Final)</v>
      </c>
      <c r="X8" s="8" t="str">
        <f t="shared" si="16"/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 t="shared" si="17"/>
        <v>13.6</v>
      </c>
      <c r="AP8" s="38">
        <f t="shared" si="18"/>
        <v>14.59</v>
      </c>
      <c r="AQ8" s="40">
        <f t="shared" si="19"/>
        <v>51.89</v>
      </c>
      <c r="AR8" s="40">
        <f t="shared" si="20"/>
        <v>13.6</v>
      </c>
      <c r="AS8" s="40">
        <f t="shared" si="21"/>
        <v>14.94</v>
      </c>
      <c r="AT8" s="40">
        <f t="shared" si="22"/>
        <v>53.14</v>
      </c>
      <c r="AU8" s="40">
        <f t="shared" si="23"/>
        <v>53.14</v>
      </c>
      <c r="AV8" s="40">
        <f t="shared" si="24"/>
        <v>12</v>
      </c>
      <c r="AW8" s="40">
        <f t="shared" si="25"/>
        <v>13.56</v>
      </c>
      <c r="AX8" s="40">
        <f t="shared" si="26"/>
        <v>47.56</v>
      </c>
      <c r="AY8" s="40">
        <f t="shared" si="27"/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 t="shared" si="28"/>
        <v>12.2</v>
      </c>
      <c r="BQ8" s="39">
        <f t="shared" si="29"/>
        <v>14.44</v>
      </c>
      <c r="BR8" s="11">
        <f t="shared" si="30"/>
        <v>50.239999999999995</v>
      </c>
      <c r="BS8" s="11">
        <f t="shared" si="31"/>
        <v>11.9</v>
      </c>
      <c r="BT8" s="11">
        <f t="shared" si="32"/>
        <v>14.48</v>
      </c>
      <c r="BU8" s="11">
        <f t="shared" si="33"/>
        <v>49.78</v>
      </c>
      <c r="BV8" s="11">
        <f t="shared" si="34"/>
        <v>50.239999999999995</v>
      </c>
      <c r="BW8" s="11">
        <f t="shared" si="35"/>
        <v>9.5</v>
      </c>
      <c r="BX8" s="11">
        <f t="shared" si="36"/>
        <v>10.35</v>
      </c>
      <c r="BY8" s="11">
        <f t="shared" si="37"/>
        <v>36.65</v>
      </c>
      <c r="BZ8" s="11">
        <f t="shared" si="38"/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 t="shared" si="39"/>
        <v>12.5</v>
      </c>
      <c r="CR8" s="38">
        <f t="shared" si="40"/>
        <v>15.25</v>
      </c>
      <c r="CS8" s="40">
        <f t="shared" si="41"/>
        <v>52.15</v>
      </c>
      <c r="CT8" s="40">
        <f t="shared" si="42"/>
        <v>13.2</v>
      </c>
      <c r="CU8" s="40">
        <f t="shared" si="43"/>
        <v>14.95</v>
      </c>
      <c r="CV8" s="40">
        <f t="shared" si="44"/>
        <v>52.05</v>
      </c>
      <c r="CW8" s="40">
        <f t="shared" si="45"/>
        <v>52.15</v>
      </c>
      <c r="CX8" s="40">
        <f t="shared" si="46"/>
        <v>11.6</v>
      </c>
      <c r="CY8" s="40">
        <f t="shared" si="47"/>
        <v>14.79</v>
      </c>
      <c r="CZ8" s="40">
        <f t="shared" si="48"/>
        <v>50.39</v>
      </c>
      <c r="DA8" s="40">
        <f t="shared" si="49"/>
        <v>102.53999999999999</v>
      </c>
      <c r="DB8" s="51" t="str">
        <f t="shared" si="50"/>
        <v/>
      </c>
      <c r="DC8" s="51">
        <f t="shared" si="51"/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52"/>
        <v>14</v>
      </c>
      <c r="DY8" s="40">
        <f t="shared" si="53"/>
        <v>14.16</v>
      </c>
      <c r="DZ8" s="40">
        <f t="shared" si="54"/>
        <v>50.16</v>
      </c>
      <c r="EA8" s="40">
        <f t="shared" si="55"/>
        <v>7.7</v>
      </c>
      <c r="EB8" s="40">
        <f t="shared" si="56"/>
        <v>8.7200000000000006</v>
      </c>
      <c r="EC8" s="40">
        <f t="shared" si="57"/>
        <v>28.82</v>
      </c>
      <c r="ED8" s="40">
        <f t="shared" si="58"/>
        <v>50.16</v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>
        <f t="shared" si="65"/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 t="shared" si="80"/>
        <v>13.6</v>
      </c>
      <c r="GO8" s="40">
        <f t="shared" si="81"/>
        <v>14.34</v>
      </c>
      <c r="GP8" s="40">
        <f t="shared" si="82"/>
        <v>51.44</v>
      </c>
      <c r="GQ8" s="40">
        <f t="shared" si="83"/>
        <v>2</v>
      </c>
      <c r="GR8" s="40">
        <f t="shared" si="84"/>
        <v>1.61</v>
      </c>
      <c r="GS8" s="40">
        <f t="shared" si="85"/>
        <v>5.61</v>
      </c>
      <c r="GT8" s="40">
        <f t="shared" si="86"/>
        <v>51.44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>
        <f t="shared" si="90"/>
        <v>13.6</v>
      </c>
      <c r="GY8" s="40">
        <f t="shared" si="91"/>
        <v>14.74</v>
      </c>
      <c r="GZ8" s="40">
        <f t="shared" si="92"/>
        <v>52.34</v>
      </c>
      <c r="HA8" s="40">
        <f t="shared" si="93"/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15.25</v>
      </c>
      <c r="WU8" s="26">
        <f t="shared" si="263"/>
        <v>8.75</v>
      </c>
      <c r="WV8" s="26">
        <f t="shared" si="264"/>
        <v>12.35</v>
      </c>
      <c r="WW8" s="26">
        <f t="shared" si="265"/>
        <v>14.844999999999999</v>
      </c>
      <c r="WX8" s="26">
        <f t="shared" si="266"/>
        <v>0</v>
      </c>
      <c r="WY8" s="26">
        <f t="shared" si="267"/>
        <v>14.7</v>
      </c>
      <c r="WZ8" s="26">
        <f t="shared" si="268"/>
        <v>9.0500000000000007</v>
      </c>
      <c r="XA8" s="26">
        <f t="shared" si="269"/>
        <v>12.55</v>
      </c>
      <c r="XB8" s="26">
        <f t="shared" si="270"/>
        <v>14.715</v>
      </c>
      <c r="XC8" s="26">
        <f t="shared" si="271"/>
        <v>0.1</v>
      </c>
      <c r="XD8" s="26">
        <f t="shared" si="272"/>
        <v>13.05</v>
      </c>
      <c r="XE8" s="26">
        <f t="shared" si="273"/>
        <v>7.35</v>
      </c>
      <c r="XF8" s="26">
        <f t="shared" si="274"/>
        <v>10.55</v>
      </c>
      <c r="XG8" s="26">
        <f t="shared" si="275"/>
        <v>12.57</v>
      </c>
      <c r="XH8" s="26">
        <f t="shared" si="276"/>
        <v>0</v>
      </c>
      <c r="XI8" s="28" t="s">
        <v>53</v>
      </c>
      <c r="XJ8" s="11">
        <f t="shared" si="277"/>
        <v>12.35</v>
      </c>
      <c r="XK8" s="11">
        <f t="shared" si="278"/>
        <v>14.844999999999999</v>
      </c>
      <c r="XL8" s="11">
        <f t="shared" si="279"/>
        <v>51.195</v>
      </c>
      <c r="XM8" s="11">
        <f t="shared" si="280"/>
        <v>12.55</v>
      </c>
      <c r="XN8" s="11">
        <f t="shared" si="281"/>
        <v>14.715</v>
      </c>
      <c r="XO8" s="11">
        <f t="shared" si="282"/>
        <v>50.914999999999999</v>
      </c>
      <c r="XP8" s="11">
        <f t="shared" si="283"/>
        <v>51.195</v>
      </c>
      <c r="XQ8" s="11">
        <f t="shared" si="284"/>
        <v>10.55</v>
      </c>
      <c r="XR8" s="11">
        <f t="shared" si="285"/>
        <v>12.57</v>
      </c>
      <c r="XS8" s="11">
        <f t="shared" si="286"/>
        <v>43.519999999999996</v>
      </c>
      <c r="XT8" s="11">
        <f t="shared" si="287"/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 t="shared" si="0"/>
        <v>232.69002324600513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51.27</v>
      </c>
      <c r="K9" s="8" t="str">
        <f t="shared" si="5"/>
        <v>2024 3rd Domestic Trial</v>
      </c>
      <c r="L9" s="8">
        <f>IF(COUNT(AQ9,AT9,BR9,BU9,CS9,CV9)&gt;1,LARGE((AQ9,AT9,BR9,BU9,CS9,CV9),2),0)</f>
        <v>50.77</v>
      </c>
      <c r="M9" s="8" t="str">
        <f t="shared" si="6"/>
        <v>2024 Nationals</v>
      </c>
      <c r="N9" s="8">
        <f>IF(COUNT(AQ9,AT9,BR9,BU9,CS9,CV9)&gt;2,LARGE((AQ9,AT9,BR9,BU9,CS9,CV9),3),0)</f>
        <v>50.26</v>
      </c>
      <c r="O9" s="8" t="str">
        <f t="shared" si="7"/>
        <v>2024 3rd Domestic Trial</v>
      </c>
      <c r="P9" s="8">
        <f t="shared" si="8"/>
        <v>52.7</v>
      </c>
      <c r="Q9" s="8" t="str">
        <f t="shared" si="9"/>
        <v>2024 3rd Domestic Trial</v>
      </c>
      <c r="R9" s="8">
        <f t="shared" si="10"/>
        <v>13.1</v>
      </c>
      <c r="S9" s="8" t="str">
        <f t="shared" si="11"/>
        <v>2024 3rd Domestic Trial</v>
      </c>
      <c r="T9" s="8">
        <f t="shared" si="12"/>
        <v>14.36</v>
      </c>
      <c r="U9" s="8" t="str">
        <f t="shared" si="13"/>
        <v>2024 3rd Domestic Trial</v>
      </c>
      <c r="V9" s="8">
        <f t="shared" si="14"/>
        <v>0.23000000000000398</v>
      </c>
      <c r="W9" s="11" t="str">
        <f t="shared" si="15"/>
        <v>(Prelim)</v>
      </c>
      <c r="X9" s="8" t="str">
        <f t="shared" si="16"/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 t="shared" si="17"/>
        <v>9.6999999999999993</v>
      </c>
      <c r="AP9" s="38">
        <f t="shared" si="18"/>
        <v>10.515000000000001</v>
      </c>
      <c r="AQ9" s="40">
        <f t="shared" si="19"/>
        <v>37.864999999999995</v>
      </c>
      <c r="AR9" s="40">
        <f t="shared" si="20"/>
        <v>7.2</v>
      </c>
      <c r="AS9" s="40">
        <f t="shared" si="21"/>
        <v>7.7299999999999995</v>
      </c>
      <c r="AT9" s="40">
        <f t="shared" si="22"/>
        <v>28.23</v>
      </c>
      <c r="AU9" s="40">
        <f t="shared" si="23"/>
        <v>37.864999999999995</v>
      </c>
      <c r="AV9" s="40">
        <f t="shared" si="24"/>
        <v>6.55</v>
      </c>
      <c r="AW9" s="40">
        <f t="shared" si="25"/>
        <v>7.1150000000000002</v>
      </c>
      <c r="AX9" s="40">
        <f t="shared" si="26"/>
        <v>25.715000000000003</v>
      </c>
      <c r="AY9" s="40">
        <f t="shared" si="27"/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 t="shared" si="28"/>
        <v>2.7</v>
      </c>
      <c r="BQ9" s="39">
        <f t="shared" si="29"/>
        <v>3</v>
      </c>
      <c r="BR9" s="11">
        <f t="shared" si="30"/>
        <v>10.5</v>
      </c>
      <c r="BS9" s="11">
        <f t="shared" si="31"/>
        <v>13.1</v>
      </c>
      <c r="BT9" s="11">
        <f t="shared" si="32"/>
        <v>13.47</v>
      </c>
      <c r="BU9" s="11">
        <f t="shared" si="33"/>
        <v>50.77</v>
      </c>
      <c r="BV9" s="11">
        <f t="shared" si="34"/>
        <v>50.77</v>
      </c>
      <c r="BW9" s="11">
        <f t="shared" si="35"/>
        <v>13.1</v>
      </c>
      <c r="BX9" s="11">
        <f t="shared" si="36"/>
        <v>13.95</v>
      </c>
      <c r="BY9" s="11">
        <f t="shared" si="37"/>
        <v>50.849999999999994</v>
      </c>
      <c r="BZ9" s="11">
        <f t="shared" si="38"/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 t="shared" si="39"/>
        <v>13.1</v>
      </c>
      <c r="CR9" s="38">
        <f t="shared" si="40"/>
        <v>14.17</v>
      </c>
      <c r="CS9" s="40">
        <f t="shared" si="41"/>
        <v>51.27</v>
      </c>
      <c r="CT9" s="40">
        <f t="shared" si="42"/>
        <v>13.1</v>
      </c>
      <c r="CU9" s="40">
        <f t="shared" si="43"/>
        <v>14.36</v>
      </c>
      <c r="CV9" s="40">
        <f t="shared" si="44"/>
        <v>50.26</v>
      </c>
      <c r="CW9" s="40">
        <f t="shared" si="45"/>
        <v>51.27</v>
      </c>
      <c r="CX9" s="40">
        <f t="shared" si="46"/>
        <v>13.1</v>
      </c>
      <c r="CY9" s="40">
        <f t="shared" si="47"/>
        <v>14.2</v>
      </c>
      <c r="CZ9" s="40">
        <f t="shared" si="48"/>
        <v>52.7</v>
      </c>
      <c r="DA9" s="40">
        <f t="shared" si="49"/>
        <v>103.97</v>
      </c>
      <c r="DB9" s="51">
        <f t="shared" si="50"/>
        <v>0.23000000000000398</v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 t="shared" si="94"/>
        <v>13.1</v>
      </c>
      <c r="HW9" s="11">
        <f t="shared" si="95"/>
        <v>13.79</v>
      </c>
      <c r="HX9" s="11">
        <f t="shared" si="96"/>
        <v>50.49</v>
      </c>
      <c r="HY9" s="11">
        <f t="shared" si="97"/>
        <v>12.4</v>
      </c>
      <c r="HZ9" s="11">
        <f t="shared" si="98"/>
        <v>13.29</v>
      </c>
      <c r="IA9" s="11">
        <f t="shared" si="99"/>
        <v>47.589999999999996</v>
      </c>
      <c r="IB9" s="11">
        <f t="shared" si="100"/>
        <v>50.49</v>
      </c>
      <c r="IC9" s="11">
        <f t="shared" si="101"/>
        <v>13.1</v>
      </c>
      <c r="ID9" s="11">
        <f t="shared" si="102"/>
        <v>14.12</v>
      </c>
      <c r="IE9" s="11">
        <f t="shared" si="103"/>
        <v>50.82</v>
      </c>
      <c r="IF9" s="11">
        <f t="shared" si="104"/>
        <v>13.1</v>
      </c>
      <c r="IG9" s="11">
        <f t="shared" si="105"/>
        <v>13.93</v>
      </c>
      <c r="IH9" s="11">
        <f t="shared" si="106"/>
        <v>49.03</v>
      </c>
      <c r="II9" s="11">
        <f t="shared" si="107"/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9</v>
      </c>
      <c r="WU9" s="26">
        <f t="shared" si="263"/>
        <v>5.3999999999999995</v>
      </c>
      <c r="WV9" s="26">
        <f t="shared" si="264"/>
        <v>7.9</v>
      </c>
      <c r="WW9" s="26">
        <f t="shared" si="265"/>
        <v>8.5850000000000009</v>
      </c>
      <c r="WX9" s="26">
        <f t="shared" si="266"/>
        <v>0</v>
      </c>
      <c r="WY9" s="26">
        <f t="shared" si="267"/>
        <v>14.45</v>
      </c>
      <c r="WZ9" s="26">
        <f t="shared" si="268"/>
        <v>9.0500000000000007</v>
      </c>
      <c r="XA9" s="26">
        <f t="shared" si="269"/>
        <v>13.1</v>
      </c>
      <c r="XB9" s="26">
        <f t="shared" si="270"/>
        <v>13.914999999999999</v>
      </c>
      <c r="XC9" s="26">
        <f t="shared" si="271"/>
        <v>0</v>
      </c>
      <c r="XD9" s="26">
        <f t="shared" si="272"/>
        <v>15.05</v>
      </c>
      <c r="XE9" s="26">
        <f t="shared" si="273"/>
        <v>9.5500000000000007</v>
      </c>
      <c r="XF9" s="26">
        <f t="shared" si="274"/>
        <v>13.1</v>
      </c>
      <c r="XG9" s="26">
        <f t="shared" si="275"/>
        <v>14.074999999999999</v>
      </c>
      <c r="XH9" s="26">
        <f t="shared" si="276"/>
        <v>0</v>
      </c>
      <c r="XI9" s="28" t="s">
        <v>53</v>
      </c>
      <c r="XJ9" s="11">
        <f t="shared" si="277"/>
        <v>7.9</v>
      </c>
      <c r="XK9" s="11">
        <f t="shared" si="278"/>
        <v>8.5850000000000009</v>
      </c>
      <c r="XL9" s="11">
        <f t="shared" si="279"/>
        <v>30.884999999999998</v>
      </c>
      <c r="XM9" s="11">
        <f t="shared" si="280"/>
        <v>13.1</v>
      </c>
      <c r="XN9" s="11">
        <f t="shared" si="281"/>
        <v>13.914999999999999</v>
      </c>
      <c r="XO9" s="11">
        <f t="shared" si="282"/>
        <v>50.515000000000001</v>
      </c>
      <c r="XP9" s="11">
        <f t="shared" si="283"/>
        <v>50.515000000000001</v>
      </c>
      <c r="XQ9" s="11">
        <f t="shared" si="284"/>
        <v>13.1</v>
      </c>
      <c r="XR9" s="11">
        <f t="shared" si="285"/>
        <v>14.074999999999999</v>
      </c>
      <c r="XS9" s="11">
        <f t="shared" si="286"/>
        <v>51.775000000000006</v>
      </c>
      <c r="XT9" s="11">
        <f t="shared" si="287"/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 t="shared" si="0"/>
        <v>232.19002291900514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51.57</v>
      </c>
      <c r="K10" s="8" t="str">
        <f t="shared" si="5"/>
        <v>2024 Elite Canada</v>
      </c>
      <c r="L10" s="8">
        <f>IF(COUNT(AQ10,AT10,BR10,BU10,CS10,CV10)&gt;1,LARGE((AQ10,AT10,BR10,BU10,CS10,CV10),2),0)</f>
        <v>50.52</v>
      </c>
      <c r="M10" s="8" t="str">
        <f t="shared" si="6"/>
        <v>2024 Elite Canada</v>
      </c>
      <c r="N10" s="8">
        <f>IF(COUNT(AQ10,AT10,BR10,BU10,CS10,CV10)&gt;2,LARGE((AQ10,AT10,BR10,BU10,CS10,CV10),3),0)</f>
        <v>47.239999999999995</v>
      </c>
      <c r="O10" s="8" t="str">
        <f t="shared" si="7"/>
        <v>2024 3rd Domestic Trial</v>
      </c>
      <c r="P10" s="8">
        <f t="shared" si="8"/>
        <v>51.730000000000004</v>
      </c>
      <c r="Q10" s="8" t="str">
        <f t="shared" si="9"/>
        <v>2024 3rd Domestic Trial</v>
      </c>
      <c r="R10" s="8">
        <f t="shared" si="10"/>
        <v>13.5</v>
      </c>
      <c r="S10" s="8" t="str">
        <f t="shared" si="11"/>
        <v>2024 3rd Domestic Trial</v>
      </c>
      <c r="T10" s="8">
        <f t="shared" si="12"/>
        <v>14.63</v>
      </c>
      <c r="U10" s="8" t="str">
        <f t="shared" si="13"/>
        <v>2024 3rd Domestic Trial</v>
      </c>
      <c r="V10" s="8">
        <f t="shared" si="14"/>
        <v>3.0000000000000071</v>
      </c>
      <c r="W10" s="11" t="str">
        <f t="shared" si="15"/>
        <v>(Prelim)</v>
      </c>
      <c r="X10" s="8" t="str">
        <f t="shared" si="16"/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 t="shared" si="17"/>
        <v>13.5</v>
      </c>
      <c r="AP10" s="38">
        <f t="shared" si="18"/>
        <v>13.82</v>
      </c>
      <c r="AQ10" s="40">
        <f t="shared" si="19"/>
        <v>50.52</v>
      </c>
      <c r="AR10" s="40">
        <f t="shared" si="20"/>
        <v>13.5</v>
      </c>
      <c r="AS10" s="40">
        <f t="shared" si="21"/>
        <v>14.17</v>
      </c>
      <c r="AT10" s="40">
        <f t="shared" si="22"/>
        <v>51.57</v>
      </c>
      <c r="AU10" s="40">
        <f t="shared" si="23"/>
        <v>51.57</v>
      </c>
      <c r="AV10" s="40">
        <f t="shared" si="24"/>
        <v>12.9</v>
      </c>
      <c r="AW10" s="40">
        <f t="shared" si="25"/>
        <v>13.6</v>
      </c>
      <c r="AX10" s="40">
        <f t="shared" si="26"/>
        <v>49.800000000000004</v>
      </c>
      <c r="AY10" s="40">
        <f t="shared" si="27"/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 t="shared" si="28"/>
        <v>11.5</v>
      </c>
      <c r="BQ10" s="39">
        <f t="shared" si="29"/>
        <v>12.91</v>
      </c>
      <c r="BR10" s="11">
        <f t="shared" si="30"/>
        <v>46.61</v>
      </c>
      <c r="BS10" s="11">
        <f t="shared" si="31"/>
        <v>4.5</v>
      </c>
      <c r="BT10" s="11">
        <f t="shared" si="32"/>
        <v>4.59</v>
      </c>
      <c r="BU10" s="11">
        <f t="shared" si="33"/>
        <v>16.190000000000001</v>
      </c>
      <c r="BV10" s="11">
        <f t="shared" si="34"/>
        <v>46.61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 t="shared" si="39"/>
        <v>4.2</v>
      </c>
      <c r="CR10" s="38">
        <f t="shared" si="40"/>
        <v>4.68</v>
      </c>
      <c r="CS10" s="40">
        <f t="shared" si="41"/>
        <v>15.780000000000001</v>
      </c>
      <c r="CT10" s="40">
        <f t="shared" si="42"/>
        <v>11.9</v>
      </c>
      <c r="CU10" s="40">
        <f t="shared" si="43"/>
        <v>13.44</v>
      </c>
      <c r="CV10" s="40">
        <f t="shared" si="44"/>
        <v>47.239999999999995</v>
      </c>
      <c r="CW10" s="40">
        <f t="shared" si="45"/>
        <v>47.239999999999995</v>
      </c>
      <c r="CX10" s="40">
        <f t="shared" si="46"/>
        <v>13.5</v>
      </c>
      <c r="CY10" s="40">
        <f t="shared" si="47"/>
        <v>14.63</v>
      </c>
      <c r="CZ10" s="40">
        <f t="shared" si="48"/>
        <v>51.730000000000004</v>
      </c>
      <c r="DA10" s="40">
        <f t="shared" si="49"/>
        <v>98.97</v>
      </c>
      <c r="DB10" s="51">
        <f t="shared" si="50"/>
        <v>3.0000000000000071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 t="shared" si="150"/>
        <v>12.9</v>
      </c>
      <c r="NC10" s="11">
        <f t="shared" si="151"/>
        <v>14.14</v>
      </c>
      <c r="ND10" s="11">
        <f t="shared" si="152"/>
        <v>50.24</v>
      </c>
      <c r="NE10" s="11">
        <f t="shared" si="153"/>
        <v>2</v>
      </c>
      <c r="NF10" s="11">
        <f t="shared" si="154"/>
        <v>1.58</v>
      </c>
      <c r="NG10" s="11">
        <f t="shared" si="155"/>
        <v>5.98</v>
      </c>
      <c r="NH10" s="11">
        <f t="shared" si="156"/>
        <v>50.24</v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>
        <f t="shared" si="163"/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8.9499999999999993</v>
      </c>
      <c r="WU10" s="26">
        <f t="shared" si="263"/>
        <v>5.6</v>
      </c>
      <c r="WV10" s="26">
        <f t="shared" si="264"/>
        <v>7.85</v>
      </c>
      <c r="WW10" s="26">
        <f t="shared" si="265"/>
        <v>8.7949999999999999</v>
      </c>
      <c r="WX10" s="26">
        <f t="shared" si="266"/>
        <v>0</v>
      </c>
      <c r="WY10" s="26">
        <f t="shared" si="267"/>
        <v>9</v>
      </c>
      <c r="WZ10" s="26">
        <f t="shared" si="268"/>
        <v>5.5</v>
      </c>
      <c r="XA10" s="26">
        <f t="shared" si="269"/>
        <v>8.1999999999999993</v>
      </c>
      <c r="XB10" s="26">
        <f t="shared" si="270"/>
        <v>9.0150000000000006</v>
      </c>
      <c r="XC10" s="26">
        <f t="shared" si="271"/>
        <v>0</v>
      </c>
      <c r="XD10" s="26">
        <f t="shared" si="272"/>
        <v>7.25</v>
      </c>
      <c r="XE10" s="26">
        <f t="shared" si="273"/>
        <v>4.55</v>
      </c>
      <c r="XF10" s="26">
        <f t="shared" si="274"/>
        <v>6.75</v>
      </c>
      <c r="XG10" s="26">
        <f t="shared" si="275"/>
        <v>7.3150000000000004</v>
      </c>
      <c r="XH10" s="26">
        <f t="shared" si="276"/>
        <v>0</v>
      </c>
      <c r="XI10" s="28" t="s">
        <v>53</v>
      </c>
      <c r="XJ10" s="11">
        <f t="shared" si="277"/>
        <v>7.85</v>
      </c>
      <c r="XK10" s="11">
        <f t="shared" si="278"/>
        <v>8.7949999999999999</v>
      </c>
      <c r="XL10" s="11">
        <f t="shared" si="279"/>
        <v>31.195</v>
      </c>
      <c r="XM10" s="11">
        <f t="shared" si="280"/>
        <v>8.1999999999999993</v>
      </c>
      <c r="XN10" s="11">
        <f t="shared" si="281"/>
        <v>9.0150000000000006</v>
      </c>
      <c r="XO10" s="11">
        <f t="shared" si="282"/>
        <v>31.715</v>
      </c>
      <c r="XP10" s="11">
        <f t="shared" si="283"/>
        <v>31.715</v>
      </c>
      <c r="XQ10" s="11">
        <f t="shared" si="284"/>
        <v>6.75</v>
      </c>
      <c r="XR10" s="11">
        <f t="shared" si="285"/>
        <v>7.3150000000000004</v>
      </c>
      <c r="XS10" s="11">
        <f t="shared" si="286"/>
        <v>25.865000000000002</v>
      </c>
      <c r="XT10" s="11">
        <f t="shared" si="287"/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 t="shared" si="0"/>
        <v>231.94002299100509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50.74</v>
      </c>
      <c r="K11" s="8" t="str">
        <f t="shared" si="5"/>
        <v>2024 Elite Canada</v>
      </c>
      <c r="L11" s="8">
        <f>IF(COUNT(AQ11,AT11,BR11,BU11,CS11,CV11)&gt;1,LARGE((AQ11,AT11,BR11,BU11,CS11,CV11),2),0)</f>
        <v>50.339999999999996</v>
      </c>
      <c r="M11" s="8" t="str">
        <f t="shared" si="6"/>
        <v>2024 3rd Domestic Trial</v>
      </c>
      <c r="N11" s="8">
        <f>IF(COUNT(AQ11,AT11,BR11,BU11,CS11,CV11)&gt;2,LARGE((AQ11,AT11,BR11,BU11,CS11,CV11),3),0)</f>
        <v>48.870000000000005</v>
      </c>
      <c r="O11" s="8" t="str">
        <f t="shared" si="7"/>
        <v>2024 3rd Domestic Trial</v>
      </c>
      <c r="P11" s="8">
        <f t="shared" si="8"/>
        <v>51.405000000000001</v>
      </c>
      <c r="Q11" s="8" t="str">
        <f t="shared" si="9"/>
        <v>2024 Nationals</v>
      </c>
      <c r="R11" s="8">
        <f t="shared" si="10"/>
        <v>13.8</v>
      </c>
      <c r="S11" s="8" t="str">
        <f t="shared" si="11"/>
        <v>2024 Elite Canada</v>
      </c>
      <c r="T11" s="8">
        <f t="shared" si="12"/>
        <v>14.754999999999999</v>
      </c>
      <c r="U11" s="8" t="str">
        <f t="shared" si="13"/>
        <v>2024 Nationals</v>
      </c>
      <c r="V11" s="8">
        <f t="shared" si="14"/>
        <v>2.029999999999994</v>
      </c>
      <c r="W11" s="11" t="str">
        <f t="shared" si="15"/>
        <v>(Prelim)</v>
      </c>
      <c r="X11" s="8" t="str">
        <f t="shared" si="16"/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 t="shared" si="17"/>
        <v>3.2</v>
      </c>
      <c r="AP11" s="38">
        <f t="shared" si="18"/>
        <v>3.19</v>
      </c>
      <c r="AQ11" s="40">
        <f t="shared" si="19"/>
        <v>11.09</v>
      </c>
      <c r="AR11" s="40">
        <f t="shared" si="20"/>
        <v>11.5</v>
      </c>
      <c r="AS11" s="40">
        <f t="shared" si="21"/>
        <v>14.74</v>
      </c>
      <c r="AT11" s="40">
        <f t="shared" si="22"/>
        <v>50.74</v>
      </c>
      <c r="AU11" s="40">
        <f t="shared" si="23"/>
        <v>50.74</v>
      </c>
      <c r="AV11" s="40">
        <f t="shared" si="24"/>
        <v>13.8</v>
      </c>
      <c r="AW11" s="40">
        <f t="shared" si="25"/>
        <v>14.29</v>
      </c>
      <c r="AX11" s="40">
        <f t="shared" si="26"/>
        <v>51.29</v>
      </c>
      <c r="AY11" s="40">
        <f t="shared" si="27"/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 t="shared" si="28"/>
        <v>10</v>
      </c>
      <c r="BQ11" s="39">
        <f t="shared" si="29"/>
        <v>14.25</v>
      </c>
      <c r="BR11" s="11">
        <f t="shared" si="30"/>
        <v>41.65</v>
      </c>
      <c r="BS11" s="11">
        <f t="shared" si="31"/>
        <v>10.8</v>
      </c>
      <c r="BT11" s="11">
        <f t="shared" si="32"/>
        <v>14.05</v>
      </c>
      <c r="BU11" s="11">
        <f t="shared" si="33"/>
        <v>47.050000000000004</v>
      </c>
      <c r="BV11" s="11">
        <f t="shared" si="34"/>
        <v>47.050000000000004</v>
      </c>
      <c r="BW11" s="11">
        <f t="shared" si="35"/>
        <v>13.45</v>
      </c>
      <c r="BX11" s="11">
        <f t="shared" si="36"/>
        <v>14.754999999999999</v>
      </c>
      <c r="BY11" s="11">
        <f t="shared" si="37"/>
        <v>51.405000000000001</v>
      </c>
      <c r="BZ11" s="11">
        <f t="shared" si="38"/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 t="shared" si="39"/>
        <v>11.7</v>
      </c>
      <c r="CR11" s="38">
        <f t="shared" si="40"/>
        <v>15.04</v>
      </c>
      <c r="CS11" s="40">
        <f t="shared" si="41"/>
        <v>50.339999999999996</v>
      </c>
      <c r="CT11" s="40">
        <f t="shared" si="42"/>
        <v>10.8</v>
      </c>
      <c r="CU11" s="40">
        <f t="shared" si="43"/>
        <v>15.07</v>
      </c>
      <c r="CV11" s="40">
        <f t="shared" si="44"/>
        <v>48.870000000000005</v>
      </c>
      <c r="CW11" s="40">
        <f t="shared" si="45"/>
        <v>50.339999999999996</v>
      </c>
      <c r="CX11" s="40">
        <f t="shared" si="46"/>
        <v>10.1</v>
      </c>
      <c r="CY11" s="40">
        <f t="shared" si="47"/>
        <v>13.53</v>
      </c>
      <c r="CZ11" s="40">
        <f t="shared" si="48"/>
        <v>44.13</v>
      </c>
      <c r="DA11" s="40">
        <f t="shared" si="49"/>
        <v>94.47</v>
      </c>
      <c r="DB11" s="51">
        <f t="shared" si="50"/>
        <v>2.029999999999994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 t="shared" si="94"/>
        <v>2.9</v>
      </c>
      <c r="HW11" s="11">
        <f t="shared" si="95"/>
        <v>3.08</v>
      </c>
      <c r="HX11" s="11">
        <f t="shared" si="96"/>
        <v>10.28</v>
      </c>
      <c r="HY11" s="11">
        <f t="shared" si="97"/>
        <v>12.2</v>
      </c>
      <c r="HZ11" s="11">
        <f t="shared" si="98"/>
        <v>14.64</v>
      </c>
      <c r="IA11" s="11">
        <f t="shared" si="99"/>
        <v>49.239999999999995</v>
      </c>
      <c r="IB11" s="11">
        <f t="shared" si="100"/>
        <v>49.239999999999995</v>
      </c>
      <c r="IC11" s="11">
        <f t="shared" si="101"/>
        <v>12.4</v>
      </c>
      <c r="ID11" s="11">
        <f t="shared" si="102"/>
        <v>14.95</v>
      </c>
      <c r="IE11" s="11">
        <f t="shared" si="103"/>
        <v>51.25</v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 t="shared" si="122"/>
        <v>2</v>
      </c>
      <c r="KM11" s="11">
        <f t="shared" si="123"/>
        <v>1.65</v>
      </c>
      <c r="KN11" s="11">
        <f t="shared" si="124"/>
        <v>5.9499999999999993</v>
      </c>
      <c r="KO11" s="11">
        <f t="shared" si="125"/>
        <v>13.8</v>
      </c>
      <c r="KP11" s="11">
        <f t="shared" si="126"/>
        <v>14.6</v>
      </c>
      <c r="KQ11" s="11">
        <f t="shared" si="127"/>
        <v>50.9</v>
      </c>
      <c r="KR11" s="11">
        <f t="shared" si="128"/>
        <v>50.9</v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>
        <f t="shared" si="135"/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12.100000000000001</v>
      </c>
      <c r="WU11" s="26">
        <f t="shared" si="263"/>
        <v>9.1000000000000014</v>
      </c>
      <c r="WV11" s="26">
        <f t="shared" si="264"/>
        <v>10.85</v>
      </c>
      <c r="WW11" s="26">
        <f t="shared" si="265"/>
        <v>14.645</v>
      </c>
      <c r="WX11" s="26">
        <f t="shared" si="266"/>
        <v>0.7</v>
      </c>
      <c r="WY11" s="26">
        <f t="shared" si="267"/>
        <v>14.1</v>
      </c>
      <c r="WZ11" s="26">
        <f t="shared" si="268"/>
        <v>8.9</v>
      </c>
      <c r="XA11" s="26">
        <f t="shared" si="269"/>
        <v>10.8</v>
      </c>
      <c r="XB11" s="26">
        <f t="shared" si="270"/>
        <v>14.56</v>
      </c>
      <c r="XC11" s="26">
        <f t="shared" si="271"/>
        <v>0.4</v>
      </c>
      <c r="XD11" s="26">
        <f t="shared" si="272"/>
        <v>13.350000000000001</v>
      </c>
      <c r="XE11" s="26">
        <f t="shared" si="273"/>
        <v>8.5</v>
      </c>
      <c r="XF11" s="26">
        <f t="shared" si="274"/>
        <v>11.774999999999999</v>
      </c>
      <c r="XG11" s="26">
        <f t="shared" si="275"/>
        <v>14.142499999999998</v>
      </c>
      <c r="XH11" s="26">
        <f t="shared" si="276"/>
        <v>0</v>
      </c>
      <c r="XI11" s="28" t="s">
        <v>53</v>
      </c>
      <c r="XJ11" s="11">
        <f t="shared" si="277"/>
        <v>10.85</v>
      </c>
      <c r="XK11" s="11">
        <f t="shared" si="278"/>
        <v>14.645</v>
      </c>
      <c r="XL11" s="11">
        <f t="shared" si="279"/>
        <v>45.995000000000005</v>
      </c>
      <c r="XM11" s="11">
        <f t="shared" si="280"/>
        <v>10.8</v>
      </c>
      <c r="XN11" s="11">
        <f t="shared" si="281"/>
        <v>14.56</v>
      </c>
      <c r="XO11" s="11">
        <f t="shared" si="282"/>
        <v>47.96</v>
      </c>
      <c r="XP11" s="11">
        <f t="shared" si="283"/>
        <v>47.96</v>
      </c>
      <c r="XQ11" s="11">
        <f t="shared" si="284"/>
        <v>11.774999999999999</v>
      </c>
      <c r="XR11" s="11">
        <f t="shared" si="285"/>
        <v>14.142499999999998</v>
      </c>
      <c r="XS11" s="11">
        <f t="shared" si="286"/>
        <v>47.767499999999998</v>
      </c>
      <c r="XT11" s="11">
        <f t="shared" si="287"/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 t="shared" si="0"/>
        <v>230.99002309900516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50.620000000000005</v>
      </c>
      <c r="O12" s="8" t="str">
        <f t="shared" si="7"/>
        <v>2024 Elite Canada</v>
      </c>
      <c r="P12" s="8">
        <f t="shared" si="8"/>
        <v>50.29</v>
      </c>
      <c r="Q12" s="8" t="str">
        <f t="shared" si="9"/>
        <v>2024 Nationals</v>
      </c>
      <c r="R12" s="8">
        <f t="shared" si="10"/>
        <v>12.9</v>
      </c>
      <c r="S12" s="8" t="str">
        <f t="shared" si="11"/>
        <v>2024 3rd Domestic Trial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 t="shared" si="17"/>
        <v>12</v>
      </c>
      <c r="AP12" s="38">
        <f t="shared" si="18"/>
        <v>14.02</v>
      </c>
      <c r="AQ12" s="40">
        <f t="shared" si="19"/>
        <v>50.620000000000005</v>
      </c>
      <c r="AR12" s="40">
        <f t="shared" si="20"/>
        <v>12.2</v>
      </c>
      <c r="AS12" s="40">
        <f t="shared" si="21"/>
        <v>14.19</v>
      </c>
      <c r="AT12" s="40">
        <f t="shared" si="22"/>
        <v>50.59</v>
      </c>
      <c r="AU12" s="40">
        <f t="shared" si="23"/>
        <v>50.620000000000005</v>
      </c>
      <c r="AV12" s="40">
        <f t="shared" si="24"/>
        <v>4.5999999999999996</v>
      </c>
      <c r="AW12" s="40">
        <f t="shared" si="25"/>
        <v>4.4400000000000004</v>
      </c>
      <c r="AX12" s="40">
        <f t="shared" si="26"/>
        <v>15.740000000000002</v>
      </c>
      <c r="AY12" s="40">
        <f t="shared" si="27"/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 t="shared" si="28"/>
        <v>4.7</v>
      </c>
      <c r="BQ12" s="39">
        <f t="shared" si="29"/>
        <v>5.89</v>
      </c>
      <c r="BR12" s="11">
        <f t="shared" si="30"/>
        <v>20.49</v>
      </c>
      <c r="BS12" s="11">
        <f t="shared" si="31"/>
        <v>11.5</v>
      </c>
      <c r="BT12" s="11">
        <f t="shared" si="32"/>
        <v>13.65</v>
      </c>
      <c r="BU12" s="11">
        <f t="shared" si="33"/>
        <v>47.05</v>
      </c>
      <c r="BV12" s="11">
        <f t="shared" si="34"/>
        <v>47.05</v>
      </c>
      <c r="BW12" s="11">
        <f t="shared" si="35"/>
        <v>12.4</v>
      </c>
      <c r="BX12" s="11">
        <f t="shared" si="36"/>
        <v>14.39</v>
      </c>
      <c r="BY12" s="11">
        <f t="shared" si="37"/>
        <v>50.29</v>
      </c>
      <c r="BZ12" s="11">
        <f t="shared" si="38"/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 t="shared" si="39"/>
        <v>12.9</v>
      </c>
      <c r="CR12" s="38">
        <f t="shared" si="40"/>
        <v>14.5</v>
      </c>
      <c r="CS12" s="40">
        <f t="shared" si="41"/>
        <v>51.4</v>
      </c>
      <c r="CT12" s="40">
        <f t="shared" si="42"/>
        <v>12.9</v>
      </c>
      <c r="CU12" s="40">
        <f t="shared" si="43"/>
        <v>14.64</v>
      </c>
      <c r="CV12" s="40">
        <f t="shared" si="44"/>
        <v>51.14</v>
      </c>
      <c r="CW12" s="40">
        <f t="shared" si="45"/>
        <v>51.4</v>
      </c>
      <c r="CX12" s="40">
        <f t="shared" si="46"/>
        <v>10.199999999999999</v>
      </c>
      <c r="CY12" s="40">
        <f t="shared" si="47"/>
        <v>11.69</v>
      </c>
      <c r="CZ12" s="40">
        <f t="shared" si="48"/>
        <v>39.99</v>
      </c>
      <c r="DA12" s="40">
        <f t="shared" si="49"/>
        <v>91.39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10.7</v>
      </c>
      <c r="WU12" s="26">
        <f t="shared" si="263"/>
        <v>6.25</v>
      </c>
      <c r="WV12" s="26">
        <f t="shared" si="264"/>
        <v>8.8000000000000007</v>
      </c>
      <c r="WW12" s="26">
        <f t="shared" si="265"/>
        <v>10.195</v>
      </c>
      <c r="WX12" s="26">
        <f t="shared" si="266"/>
        <v>0</v>
      </c>
      <c r="WY12" s="26">
        <f t="shared" si="267"/>
        <v>13.85</v>
      </c>
      <c r="WZ12" s="26">
        <f t="shared" si="268"/>
        <v>8.9</v>
      </c>
      <c r="XA12" s="26">
        <f t="shared" si="269"/>
        <v>12.2</v>
      </c>
      <c r="XB12" s="26">
        <f t="shared" si="270"/>
        <v>14.145</v>
      </c>
      <c r="XC12" s="26">
        <f t="shared" si="271"/>
        <v>0</v>
      </c>
      <c r="XD12" s="26">
        <f t="shared" si="272"/>
        <v>13</v>
      </c>
      <c r="XE12" s="26">
        <f t="shared" si="273"/>
        <v>7.8</v>
      </c>
      <c r="XF12" s="26">
        <f t="shared" si="274"/>
        <v>11.3</v>
      </c>
      <c r="XG12" s="26">
        <f t="shared" si="275"/>
        <v>13.04</v>
      </c>
      <c r="XH12" s="26">
        <f t="shared" si="276"/>
        <v>0</v>
      </c>
      <c r="XI12" s="28" t="s">
        <v>53</v>
      </c>
      <c r="XJ12" s="11">
        <f t="shared" si="277"/>
        <v>8.8000000000000007</v>
      </c>
      <c r="XK12" s="11">
        <f t="shared" si="278"/>
        <v>10.195</v>
      </c>
      <c r="XL12" s="11">
        <f t="shared" si="279"/>
        <v>35.945</v>
      </c>
      <c r="XM12" s="11">
        <f t="shared" si="280"/>
        <v>12.2</v>
      </c>
      <c r="XN12" s="11">
        <f t="shared" si="281"/>
        <v>14.145</v>
      </c>
      <c r="XO12" s="11">
        <f t="shared" si="282"/>
        <v>49.094999999999999</v>
      </c>
      <c r="XP12" s="11">
        <f t="shared" si="283"/>
        <v>49.094999999999999</v>
      </c>
      <c r="XQ12" s="11">
        <f t="shared" si="284"/>
        <v>11.3</v>
      </c>
      <c r="XR12" s="11">
        <f t="shared" si="285"/>
        <v>13.04</v>
      </c>
      <c r="XS12" s="11">
        <f t="shared" si="286"/>
        <v>45.14</v>
      </c>
      <c r="XT12" s="11">
        <f t="shared" si="287"/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 t="shared" si="0"/>
        <v>219.13002181200491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49.150000000000006</v>
      </c>
      <c r="K13" s="8" t="str">
        <f t="shared" si="5"/>
        <v>2024 Nationals</v>
      </c>
      <c r="L13" s="8">
        <f>IF(COUNT(AQ13,AT13,BR13,BU13,CS13,CV13)&gt;1,LARGE((AQ13,AT13,BR13,BU13,CS13,CV13),2),0)</f>
        <v>47.629999999999995</v>
      </c>
      <c r="M13" s="8" t="str">
        <f t="shared" si="6"/>
        <v>2024 Elite Canada</v>
      </c>
      <c r="N13" s="8">
        <f>IF(COUNT(AQ13,AT13,BR13,BU13,CS13,CV13)&gt;2,LARGE((AQ13,AT13,BR13,BU13,CS13,CV13),3),0)</f>
        <v>47.480000000000004</v>
      </c>
      <c r="O13" s="8" t="str">
        <f t="shared" si="7"/>
        <v>2024 Nationals</v>
      </c>
      <c r="P13" s="8">
        <f t="shared" si="8"/>
        <v>47.03</v>
      </c>
      <c r="Q13" s="8" t="str">
        <f t="shared" si="9"/>
        <v>2024 Nationals</v>
      </c>
      <c r="R13" s="8">
        <f t="shared" si="10"/>
        <v>13</v>
      </c>
      <c r="S13" s="8" t="str">
        <f t="shared" si="11"/>
        <v>2024 Nationals</v>
      </c>
      <c r="T13" s="8">
        <f t="shared" si="12"/>
        <v>13.83</v>
      </c>
      <c r="U13" s="8" t="str">
        <f t="shared" si="13"/>
        <v>2024 Nationals</v>
      </c>
      <c r="V13" s="8">
        <f t="shared" si="14"/>
        <v>1.0099999999999909</v>
      </c>
      <c r="W13" s="11" t="str">
        <f t="shared" si="15"/>
        <v>(Prelim)</v>
      </c>
      <c r="X13" s="8" t="str">
        <f t="shared" si="16"/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 t="shared" si="17"/>
        <v>12.1</v>
      </c>
      <c r="AP13" s="38">
        <f t="shared" si="18"/>
        <v>13.73</v>
      </c>
      <c r="AQ13" s="40">
        <f t="shared" si="19"/>
        <v>47.629999999999995</v>
      </c>
      <c r="AR13" s="40">
        <f t="shared" si="20"/>
        <v>2.9</v>
      </c>
      <c r="AS13" s="40">
        <f t="shared" si="21"/>
        <v>3.04</v>
      </c>
      <c r="AT13" s="40">
        <f t="shared" si="22"/>
        <v>10.64</v>
      </c>
      <c r="AU13" s="40">
        <f t="shared" si="23"/>
        <v>47.629999999999995</v>
      </c>
      <c r="AV13" s="40">
        <f t="shared" si="24"/>
        <v>11</v>
      </c>
      <c r="AW13" s="40">
        <f t="shared" si="25"/>
        <v>14.21</v>
      </c>
      <c r="AX13" s="40">
        <f t="shared" si="26"/>
        <v>46.11</v>
      </c>
      <c r="AY13" s="40">
        <f t="shared" si="27"/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 t="shared" si="28"/>
        <v>11.3</v>
      </c>
      <c r="BQ13" s="39">
        <f t="shared" si="29"/>
        <v>13.95</v>
      </c>
      <c r="BR13" s="11">
        <f t="shared" si="30"/>
        <v>49.150000000000006</v>
      </c>
      <c r="BS13" s="11">
        <f t="shared" si="31"/>
        <v>11.5</v>
      </c>
      <c r="BT13" s="11">
        <f t="shared" si="32"/>
        <v>13.48</v>
      </c>
      <c r="BU13" s="11">
        <f t="shared" si="33"/>
        <v>47.480000000000004</v>
      </c>
      <c r="BV13" s="11">
        <f t="shared" si="34"/>
        <v>49.150000000000006</v>
      </c>
      <c r="BW13" s="11">
        <f t="shared" si="35"/>
        <v>13</v>
      </c>
      <c r="BX13" s="11">
        <f t="shared" si="36"/>
        <v>13.83</v>
      </c>
      <c r="BY13" s="11">
        <f t="shared" si="37"/>
        <v>47.03</v>
      </c>
      <c r="BZ13" s="11">
        <f t="shared" si="38"/>
        <v>96.18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9"/>
        <v/>
      </c>
      <c r="CR13" s="38" t="str">
        <f t="shared" si="40"/>
        <v/>
      </c>
      <c r="CS13" s="40" t="str">
        <f t="shared" si="41"/>
        <v/>
      </c>
      <c r="CT13" s="40" t="str">
        <f t="shared" si="42"/>
        <v/>
      </c>
      <c r="CU13" s="40" t="str">
        <f t="shared" si="43"/>
        <v/>
      </c>
      <c r="CV13" s="40" t="str">
        <f t="shared" si="44"/>
        <v/>
      </c>
      <c r="CW13" s="40" t="str">
        <f t="shared" si="45"/>
        <v/>
      </c>
      <c r="CX13" s="40" t="str">
        <f t="shared" si="46"/>
        <v/>
      </c>
      <c r="CY13" s="40" t="str">
        <f t="shared" si="47"/>
        <v/>
      </c>
      <c r="CZ13" s="40" t="str">
        <f t="shared" si="48"/>
        <v/>
      </c>
      <c r="DA13" s="40" t="str">
        <f t="shared" si="49"/>
        <v/>
      </c>
      <c r="DB13" s="51">
        <f t="shared" si="50"/>
        <v>1.0099999999999909</v>
      </c>
      <c r="DC13" s="51">
        <f t="shared" si="51"/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 t="shared" si="108"/>
        <v>12.2</v>
      </c>
      <c r="JE13" s="40">
        <f t="shared" si="109"/>
        <v>13.59</v>
      </c>
      <c r="JF13" s="40">
        <f t="shared" si="110"/>
        <v>48.489999999999995</v>
      </c>
      <c r="JG13" s="40">
        <f t="shared" si="111"/>
        <v>12.2</v>
      </c>
      <c r="JH13" s="40">
        <f t="shared" si="112"/>
        <v>14.06</v>
      </c>
      <c r="JI13" s="40">
        <f t="shared" si="113"/>
        <v>48.460000000000008</v>
      </c>
      <c r="JJ13" s="40">
        <f t="shared" si="114"/>
        <v>48.489999999999995</v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>
        <f t="shared" si="118"/>
        <v>10.1</v>
      </c>
      <c r="JO13" s="40">
        <f t="shared" si="119"/>
        <v>14.03</v>
      </c>
      <c r="JP13" s="40">
        <f t="shared" si="120"/>
        <v>47.43</v>
      </c>
      <c r="JQ13" s="40">
        <f t="shared" si="121"/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7.2</v>
      </c>
      <c r="WU13" s="26">
        <f t="shared" si="263"/>
        <v>4.75</v>
      </c>
      <c r="WV13" s="26">
        <f t="shared" si="264"/>
        <v>5.65</v>
      </c>
      <c r="WW13" s="26">
        <f t="shared" si="265"/>
        <v>6.9749999999999996</v>
      </c>
      <c r="WX13" s="26">
        <f t="shared" si="266"/>
        <v>0</v>
      </c>
      <c r="WY13" s="26">
        <f t="shared" si="267"/>
        <v>6.9</v>
      </c>
      <c r="WZ13" s="26">
        <f t="shared" si="268"/>
        <v>4.3499999999999996</v>
      </c>
      <c r="XA13" s="26">
        <f t="shared" si="269"/>
        <v>5.75</v>
      </c>
      <c r="XB13" s="26">
        <f t="shared" si="270"/>
        <v>6.74</v>
      </c>
      <c r="XC13" s="26">
        <f t="shared" si="271"/>
        <v>0</v>
      </c>
      <c r="XD13" s="26">
        <f t="shared" si="272"/>
        <v>5.85</v>
      </c>
      <c r="XE13" s="26">
        <f t="shared" si="273"/>
        <v>4.25</v>
      </c>
      <c r="XF13" s="26">
        <f t="shared" si="274"/>
        <v>6.5</v>
      </c>
      <c r="XG13" s="26">
        <f t="shared" si="275"/>
        <v>6.915</v>
      </c>
      <c r="XH13" s="26">
        <f t="shared" si="276"/>
        <v>0</v>
      </c>
      <c r="XI13" s="28" t="s">
        <v>53</v>
      </c>
      <c r="XJ13" s="11">
        <f t="shared" si="277"/>
        <v>5.65</v>
      </c>
      <c r="XK13" s="11">
        <f t="shared" si="278"/>
        <v>6.9749999999999996</v>
      </c>
      <c r="XL13" s="11">
        <f t="shared" si="279"/>
        <v>24.575000000000003</v>
      </c>
      <c r="XM13" s="11">
        <f t="shared" si="280"/>
        <v>5.75</v>
      </c>
      <c r="XN13" s="11">
        <f t="shared" si="281"/>
        <v>6.74</v>
      </c>
      <c r="XO13" s="11">
        <f t="shared" si="282"/>
        <v>23.740000000000002</v>
      </c>
      <c r="XP13" s="11">
        <f t="shared" si="283"/>
        <v>24.575000000000003</v>
      </c>
      <c r="XQ13" s="11">
        <f t="shared" si="284"/>
        <v>6.5</v>
      </c>
      <c r="XR13" s="11">
        <f t="shared" si="285"/>
        <v>6.915</v>
      </c>
      <c r="XS13" s="11">
        <f t="shared" si="286"/>
        <v>23.515000000000001</v>
      </c>
      <c r="XT13" s="11">
        <f t="shared" si="287"/>
        <v>48.09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 t="shared" si="0"/>
        <v>212.18002121800507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50.72</v>
      </c>
      <c r="K14" s="8" t="str">
        <f t="shared" si="5"/>
        <v>2024 3rd Domestic Trial</v>
      </c>
      <c r="L14" s="8">
        <f>IF(COUNT(AQ14,AT14,BR14,BU14,CS14,CV14)&gt;1,LARGE((AQ14,AT14,BR14,BU14,CS14,CV14),2),0)</f>
        <v>50.09</v>
      </c>
      <c r="M14" s="8" t="str">
        <f t="shared" si="6"/>
        <v>2024 Nationals</v>
      </c>
      <c r="N14" s="8">
        <f>IF(COUNT(AQ14,AT14,BR14,BU14,CS14,CV14)&gt;2,LARGE((AQ14,AT14,BR14,BU14,CS14,CV14),3),0)</f>
        <v>49.54</v>
      </c>
      <c r="O14" s="8" t="str">
        <f t="shared" si="7"/>
        <v>2024 Nationals</v>
      </c>
      <c r="P14" s="8">
        <f t="shared" si="8"/>
        <v>50.530000000000008</v>
      </c>
      <c r="Q14" s="8" t="str">
        <f t="shared" si="9"/>
        <v>2024 Nationals</v>
      </c>
      <c r="R14" s="8">
        <f t="shared" si="10"/>
        <v>11.3</v>
      </c>
      <c r="S14" s="8" t="str">
        <f t="shared" si="11"/>
        <v>2024 3rd Domestic Trial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 t="shared" si="17"/>
        <v/>
      </c>
      <c r="AP14" s="38" t="str">
        <f t="shared" si="18"/>
        <v/>
      </c>
      <c r="AQ14" s="40" t="str">
        <f t="shared" si="19"/>
        <v/>
      </c>
      <c r="AR14" s="40" t="str">
        <f t="shared" si="20"/>
        <v/>
      </c>
      <c r="AS14" s="40" t="str">
        <f t="shared" si="21"/>
        <v/>
      </c>
      <c r="AT14" s="40" t="str">
        <f t="shared" si="22"/>
        <v/>
      </c>
      <c r="AU14" s="40" t="str">
        <f t="shared" si="23"/>
        <v/>
      </c>
      <c r="AV14" s="40" t="str">
        <f t="shared" si="24"/>
        <v/>
      </c>
      <c r="AW14" s="40" t="str">
        <f t="shared" si="25"/>
        <v/>
      </c>
      <c r="AX14" s="40" t="str">
        <f t="shared" si="26"/>
        <v/>
      </c>
      <c r="AY14" s="40" t="str">
        <f t="shared" si="27"/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 t="shared" si="28"/>
        <v>10.6</v>
      </c>
      <c r="BQ14" s="39">
        <f t="shared" si="29"/>
        <v>14.04</v>
      </c>
      <c r="BR14" s="11">
        <f t="shared" si="30"/>
        <v>49.54</v>
      </c>
      <c r="BS14" s="11">
        <f t="shared" si="31"/>
        <v>11.3</v>
      </c>
      <c r="BT14" s="11">
        <f t="shared" si="32"/>
        <v>14.09</v>
      </c>
      <c r="BU14" s="11">
        <f t="shared" si="33"/>
        <v>50.09</v>
      </c>
      <c r="BV14" s="11">
        <f t="shared" si="34"/>
        <v>50.09</v>
      </c>
      <c r="BW14" s="11">
        <f t="shared" si="35"/>
        <v>11.3</v>
      </c>
      <c r="BX14" s="11">
        <f t="shared" si="36"/>
        <v>14.13</v>
      </c>
      <c r="BY14" s="11">
        <f t="shared" si="37"/>
        <v>50.530000000000008</v>
      </c>
      <c r="BZ14" s="11">
        <f t="shared" si="38"/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 t="shared" si="39"/>
        <v>10.1</v>
      </c>
      <c r="CR14" s="38">
        <f t="shared" si="40"/>
        <v>14.37</v>
      </c>
      <c r="CS14" s="40">
        <f t="shared" si="41"/>
        <v>46.269999999999996</v>
      </c>
      <c r="CT14" s="40">
        <f t="shared" si="42"/>
        <v>11.3</v>
      </c>
      <c r="CU14" s="40">
        <f t="shared" si="43"/>
        <v>14.72</v>
      </c>
      <c r="CV14" s="40">
        <f t="shared" si="44"/>
        <v>50.72</v>
      </c>
      <c r="CW14" s="40">
        <f t="shared" si="45"/>
        <v>50.72</v>
      </c>
      <c r="CX14" s="40">
        <f t="shared" si="46"/>
        <v>10.6</v>
      </c>
      <c r="CY14" s="40">
        <f t="shared" si="47"/>
        <v>14.64</v>
      </c>
      <c r="CZ14" s="40">
        <f t="shared" si="48"/>
        <v>49.04</v>
      </c>
      <c r="DA14" s="40">
        <f t="shared" si="49"/>
        <v>99.759999999999991</v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 t="shared" si="108"/>
        <v>10.4</v>
      </c>
      <c r="JE14" s="40">
        <f t="shared" si="109"/>
        <v>13.66</v>
      </c>
      <c r="JF14" s="40">
        <f t="shared" si="110"/>
        <v>46.36</v>
      </c>
      <c r="JG14" s="40">
        <f t="shared" si="111"/>
        <v>11.3</v>
      </c>
      <c r="JH14" s="40">
        <f t="shared" si="112"/>
        <v>14.07</v>
      </c>
      <c r="JI14" s="40">
        <f t="shared" si="113"/>
        <v>47.27</v>
      </c>
      <c r="JJ14" s="40">
        <f t="shared" si="114"/>
        <v>47.27</v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>
        <f t="shared" si="121"/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14.850000000000001</v>
      </c>
      <c r="WU14" s="26">
        <f t="shared" si="263"/>
        <v>9.0500000000000007</v>
      </c>
      <c r="WV14" s="26">
        <f t="shared" si="264"/>
        <v>10.35</v>
      </c>
      <c r="WW14" s="26">
        <f t="shared" si="265"/>
        <v>14.204999999999998</v>
      </c>
      <c r="WX14" s="26">
        <f t="shared" si="266"/>
        <v>0.55000000000000004</v>
      </c>
      <c r="WY14" s="26">
        <f t="shared" si="267"/>
        <v>15.05</v>
      </c>
      <c r="WZ14" s="26">
        <f t="shared" si="268"/>
        <v>9.65</v>
      </c>
      <c r="XA14" s="26">
        <f t="shared" si="269"/>
        <v>11.3</v>
      </c>
      <c r="XB14" s="26">
        <f t="shared" si="270"/>
        <v>14.405000000000001</v>
      </c>
      <c r="XC14" s="26">
        <f t="shared" si="271"/>
        <v>0</v>
      </c>
      <c r="XD14" s="26">
        <f t="shared" si="272"/>
        <v>15.3</v>
      </c>
      <c r="XE14" s="26">
        <f t="shared" si="273"/>
        <v>9.4499999999999993</v>
      </c>
      <c r="XF14" s="26">
        <f t="shared" si="274"/>
        <v>10.95</v>
      </c>
      <c r="XG14" s="26">
        <f t="shared" si="275"/>
        <v>14.385000000000002</v>
      </c>
      <c r="XH14" s="26">
        <f t="shared" si="276"/>
        <v>0.3</v>
      </c>
      <c r="XI14" s="28" t="s">
        <v>53</v>
      </c>
      <c r="XJ14" s="11">
        <f t="shared" si="277"/>
        <v>10.35</v>
      </c>
      <c r="XK14" s="11">
        <f t="shared" si="278"/>
        <v>14.204999999999998</v>
      </c>
      <c r="XL14" s="11">
        <f t="shared" si="279"/>
        <v>47.905000000000001</v>
      </c>
      <c r="XM14" s="11">
        <f t="shared" si="280"/>
        <v>11.3</v>
      </c>
      <c r="XN14" s="11">
        <f t="shared" si="281"/>
        <v>14.405000000000001</v>
      </c>
      <c r="XO14" s="11">
        <f t="shared" si="282"/>
        <v>50.405000000000001</v>
      </c>
      <c r="XP14" s="11">
        <f t="shared" si="283"/>
        <v>50.405000000000001</v>
      </c>
      <c r="XQ14" s="11">
        <f t="shared" si="284"/>
        <v>10.95</v>
      </c>
      <c r="XR14" s="11">
        <f t="shared" si="285"/>
        <v>14.385000000000002</v>
      </c>
      <c r="XS14" s="11">
        <f t="shared" si="286"/>
        <v>49.785000000000011</v>
      </c>
      <c r="XT14" s="11">
        <f t="shared" si="287"/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 t="shared" si="0"/>
        <v>204.84001796400486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48.66</v>
      </c>
      <c r="K15" s="8" t="str">
        <f t="shared" si="5"/>
        <v>2024 Nationals</v>
      </c>
      <c r="L15" s="8">
        <f>IF(COUNT(AQ15,AT15,BR15,BU15,CS15,CV15)&gt;1,LARGE((AQ15,AT15,BR15,BU15,CS15,CV15),2),0)</f>
        <v>45.51</v>
      </c>
      <c r="M15" s="8" t="str">
        <f t="shared" si="6"/>
        <v>2024 Nationals</v>
      </c>
      <c r="N15" s="8">
        <f>IF(COUNT(AQ15,AT15,BR15,BU15,CS15,CV15)&gt;2,LARGE((AQ15,AT15,BR15,BU15,CS15,CV15),3),0)</f>
        <v>24.770000000000003</v>
      </c>
      <c r="O15" s="8" t="str">
        <f t="shared" si="7"/>
        <v>2024 Elite Canada</v>
      </c>
      <c r="P15" s="8">
        <f t="shared" si="8"/>
        <v>49.3</v>
      </c>
      <c r="Q15" s="8" t="str">
        <f t="shared" si="9"/>
        <v>2024 Nationals</v>
      </c>
      <c r="R15" s="8">
        <f t="shared" si="10"/>
        <v>11.4</v>
      </c>
      <c r="S15" s="8" t="str">
        <f t="shared" si="11"/>
        <v>2024 Nationals</v>
      </c>
      <c r="T15" s="8">
        <f t="shared" si="12"/>
        <v>0</v>
      </c>
      <c r="U15" s="8" t="str">
        <f t="shared" si="13"/>
        <v/>
      </c>
      <c r="V15" s="8">
        <f t="shared" si="14"/>
        <v>25.199999999999996</v>
      </c>
      <c r="W15" s="11" t="str">
        <f t="shared" si="15"/>
        <v>(Prelim)</v>
      </c>
      <c r="X15" s="8" t="str">
        <f t="shared" si="16"/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5.4</v>
      </c>
      <c r="AP15" s="38">
        <f t="shared" si="18"/>
        <v>7.67</v>
      </c>
      <c r="AQ15" s="40">
        <f t="shared" si="19"/>
        <v>24.770000000000003</v>
      </c>
      <c r="AR15" s="40">
        <f t="shared" si="20"/>
        <v>5.0999999999999996</v>
      </c>
      <c r="AS15" s="40">
        <f t="shared" si="21"/>
        <v>7.41</v>
      </c>
      <c r="AT15" s="40">
        <f t="shared" si="22"/>
        <v>23.81</v>
      </c>
      <c r="AU15" s="40">
        <f t="shared" si="23"/>
        <v>24.770000000000003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 t="shared" si="28"/>
        <v>9.3000000000000007</v>
      </c>
      <c r="BQ15" s="39">
        <f t="shared" si="29"/>
        <v>13.91</v>
      </c>
      <c r="BR15" s="11">
        <f t="shared" si="30"/>
        <v>45.51</v>
      </c>
      <c r="BS15" s="11">
        <f t="shared" si="31"/>
        <v>10</v>
      </c>
      <c r="BT15" s="11">
        <f t="shared" si="32"/>
        <v>14.86</v>
      </c>
      <c r="BU15" s="11">
        <f t="shared" si="33"/>
        <v>48.66</v>
      </c>
      <c r="BV15" s="11">
        <f t="shared" si="34"/>
        <v>48.66</v>
      </c>
      <c r="BW15" s="11">
        <f t="shared" si="35"/>
        <v>11.4</v>
      </c>
      <c r="BX15" s="11">
        <f t="shared" si="36"/>
        <v>14.4</v>
      </c>
      <c r="BY15" s="11">
        <f t="shared" si="37"/>
        <v>49.3</v>
      </c>
      <c r="BZ15" s="11">
        <f t="shared" si="38"/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9"/>
        <v/>
      </c>
      <c r="CR15" s="38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 t="str">
        <f t="shared" si="49"/>
        <v/>
      </c>
      <c r="DB15" s="51">
        <f t="shared" si="50"/>
        <v>25.199999999999996</v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 t="shared" si="136"/>
        <v>3.6</v>
      </c>
      <c r="LU15" s="40">
        <f t="shared" si="137"/>
        <v>2.98</v>
      </c>
      <c r="LV15" s="40">
        <f t="shared" si="138"/>
        <v>13.93</v>
      </c>
      <c r="LW15" s="40">
        <f t="shared" si="139"/>
        <v>10.8</v>
      </c>
      <c r="LX15" s="40">
        <f t="shared" si="140"/>
        <v>14.97</v>
      </c>
      <c r="LY15" s="40">
        <f t="shared" si="141"/>
        <v>49.97</v>
      </c>
      <c r="LZ15" s="40">
        <f t="shared" si="142"/>
        <v>49.97</v>
      </c>
      <c r="MA15" s="40">
        <f t="shared" si="143"/>
        <v>1.5</v>
      </c>
      <c r="MB15" s="40">
        <f t="shared" si="144"/>
        <v>1.58</v>
      </c>
      <c r="MC15" s="40">
        <f t="shared" si="145"/>
        <v>5.48</v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>
        <f t="shared" si="149"/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7.55</v>
      </c>
      <c r="WU15" s="26">
        <f t="shared" si="263"/>
        <v>4.55</v>
      </c>
      <c r="WV15" s="26">
        <f t="shared" si="264"/>
        <v>4.6500000000000004</v>
      </c>
      <c r="WW15" s="26">
        <f t="shared" si="265"/>
        <v>6.9550000000000001</v>
      </c>
      <c r="WX15" s="26">
        <f t="shared" si="266"/>
        <v>0.95</v>
      </c>
      <c r="WY15" s="26">
        <f t="shared" si="267"/>
        <v>7.85</v>
      </c>
      <c r="WZ15" s="26">
        <f t="shared" si="268"/>
        <v>4.6500000000000004</v>
      </c>
      <c r="XA15" s="26">
        <f t="shared" si="269"/>
        <v>5</v>
      </c>
      <c r="XB15" s="26">
        <f t="shared" si="270"/>
        <v>7.43</v>
      </c>
      <c r="XC15" s="26">
        <f t="shared" si="271"/>
        <v>0.6</v>
      </c>
      <c r="XD15" s="26">
        <f t="shared" si="272"/>
        <v>7.2</v>
      </c>
      <c r="XE15" s="26">
        <f t="shared" si="273"/>
        <v>4.55</v>
      </c>
      <c r="XF15" s="26">
        <f t="shared" si="274"/>
        <v>5.7</v>
      </c>
      <c r="XG15" s="26">
        <f t="shared" si="275"/>
        <v>7.2</v>
      </c>
      <c r="XH15" s="26">
        <f t="shared" si="276"/>
        <v>0</v>
      </c>
      <c r="XI15" s="28" t="s">
        <v>53</v>
      </c>
      <c r="XJ15" s="11">
        <f t="shared" si="277"/>
        <v>4.6500000000000004</v>
      </c>
      <c r="XK15" s="11">
        <f t="shared" si="278"/>
        <v>6.9550000000000001</v>
      </c>
      <c r="XL15" s="11">
        <f t="shared" si="279"/>
        <v>22.754999999999999</v>
      </c>
      <c r="XM15" s="11">
        <f t="shared" si="280"/>
        <v>5</v>
      </c>
      <c r="XN15" s="11">
        <f t="shared" si="281"/>
        <v>7.43</v>
      </c>
      <c r="XO15" s="11">
        <f t="shared" si="282"/>
        <v>24.33</v>
      </c>
      <c r="XP15" s="11">
        <f t="shared" si="283"/>
        <v>24.33</v>
      </c>
      <c r="XQ15" s="11">
        <f t="shared" si="284"/>
        <v>5.7</v>
      </c>
      <c r="XR15" s="11">
        <f t="shared" si="285"/>
        <v>7.2</v>
      </c>
      <c r="XS15" s="11">
        <f t="shared" si="286"/>
        <v>24.65</v>
      </c>
      <c r="XT15" s="11">
        <f t="shared" si="287"/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 t="shared" si="0"/>
        <v>194.19501776350495</v>
      </c>
      <c r="F16" s="3" t="str">
        <f t="shared" si="1"/>
        <v/>
      </c>
      <c r="G16" s="3" t="str">
        <f t="shared" si="2"/>
        <v>P</v>
      </c>
      <c r="H16" s="36" t="str">
        <f t="shared" si="3"/>
        <v>No DD</v>
      </c>
      <c r="I16" s="3" t="str">
        <f t="shared" si="4"/>
        <v/>
      </c>
      <c r="J16" s="8">
        <f>IF(COUNT(AQ16,AT16,BR16,BU16,CS16,CV16)&gt;0,LARGE((AQ16,AT16,BR16,BU16,CS16,CV16),1),0)</f>
        <v>49.53</v>
      </c>
      <c r="K16" s="8" t="str">
        <f t="shared" si="5"/>
        <v>2024 Nationals</v>
      </c>
      <c r="L16" s="8">
        <f>IF(COUNT(AQ16,AT16,BR16,BU16,CS16,CV16)&gt;1,LARGE((AQ16,AT16,BR16,BU16,CS16,CV16),2),0)</f>
        <v>34.754999999999995</v>
      </c>
      <c r="M16" s="8" t="str">
        <f t="shared" si="6"/>
        <v>2024 3rd Domestic Trial</v>
      </c>
      <c r="N16" s="8">
        <f>IF(COUNT(AQ16,AT16,BR16,BU16,CS16,CV16)&gt;2,LARGE((AQ16,AT16,BR16,BU16,CS16,CV16),3),0)</f>
        <v>32.82</v>
      </c>
      <c r="O16" s="8" t="str">
        <f t="shared" si="7"/>
        <v>2024 Elite Canada</v>
      </c>
      <c r="P16" s="8">
        <f t="shared" si="8"/>
        <v>48.930000000000007</v>
      </c>
      <c r="Q16" s="8" t="str">
        <f t="shared" si="9"/>
        <v>2024 Nationals</v>
      </c>
      <c r="R16" s="8">
        <f t="shared" si="10"/>
        <v>11.6</v>
      </c>
      <c r="S16" s="8" t="str">
        <f t="shared" si="11"/>
        <v>2024 Nationals</v>
      </c>
      <c r="T16" s="8">
        <f t="shared" si="12"/>
        <v>0</v>
      </c>
      <c r="U16" s="8" t="str">
        <f t="shared" si="13"/>
        <v/>
      </c>
      <c r="V16" s="8">
        <f t="shared" si="14"/>
        <v>16.559999999999995</v>
      </c>
      <c r="W16" s="11" t="str">
        <f t="shared" si="15"/>
        <v>(Prelim)</v>
      </c>
      <c r="X16" s="8" t="str">
        <f t="shared" si="16"/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 t="shared" si="17"/>
        <v>4.5999999999999996</v>
      </c>
      <c r="AP16" s="38">
        <f t="shared" si="18"/>
        <v>5.68</v>
      </c>
      <c r="AQ16" s="40">
        <f t="shared" si="19"/>
        <v>19.979999999999997</v>
      </c>
      <c r="AR16" s="40">
        <f t="shared" si="20"/>
        <v>7</v>
      </c>
      <c r="AS16" s="40">
        <f t="shared" si="21"/>
        <v>9.52</v>
      </c>
      <c r="AT16" s="40">
        <f t="shared" si="22"/>
        <v>32.82</v>
      </c>
      <c r="AU16" s="40">
        <f t="shared" si="23"/>
        <v>32.82</v>
      </c>
      <c r="AV16" s="40" t="str">
        <f t="shared" si="24"/>
        <v/>
      </c>
      <c r="AW16" s="40" t="str">
        <f t="shared" si="25"/>
        <v/>
      </c>
      <c r="AX16" s="40" t="str">
        <f t="shared" si="26"/>
        <v/>
      </c>
      <c r="AY16" s="40">
        <f t="shared" si="27"/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 t="shared" si="28"/>
        <v>11.4</v>
      </c>
      <c r="BQ16" s="39">
        <f t="shared" si="29"/>
        <v>13.73</v>
      </c>
      <c r="BR16" s="11">
        <f t="shared" si="30"/>
        <v>49.53</v>
      </c>
      <c r="BS16" s="11">
        <f t="shared" si="31"/>
        <v>7.1</v>
      </c>
      <c r="BT16" s="11">
        <f t="shared" si="32"/>
        <v>8.33</v>
      </c>
      <c r="BU16" s="11">
        <f t="shared" si="33"/>
        <v>30.33</v>
      </c>
      <c r="BV16" s="11">
        <f t="shared" si="34"/>
        <v>49.53</v>
      </c>
      <c r="BW16" s="11">
        <f t="shared" si="35"/>
        <v>11.6</v>
      </c>
      <c r="BX16" s="11">
        <f t="shared" si="36"/>
        <v>13.73</v>
      </c>
      <c r="BY16" s="11">
        <f t="shared" si="37"/>
        <v>48.930000000000007</v>
      </c>
      <c r="BZ16" s="11">
        <f t="shared" si="38"/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 t="shared" si="39"/>
        <v>8</v>
      </c>
      <c r="CR16" s="38">
        <f t="shared" si="40"/>
        <v>9.7050000000000001</v>
      </c>
      <c r="CS16" s="40">
        <f t="shared" si="41"/>
        <v>34.754999999999995</v>
      </c>
      <c r="CT16" s="40">
        <f t="shared" si="42"/>
        <v>7.05</v>
      </c>
      <c r="CU16" s="40">
        <f t="shared" si="43"/>
        <v>8.9250000000000007</v>
      </c>
      <c r="CV16" s="40">
        <f t="shared" si="44"/>
        <v>31.575000000000003</v>
      </c>
      <c r="CW16" s="40">
        <f t="shared" si="45"/>
        <v>34.754999999999995</v>
      </c>
      <c r="CX16" s="40">
        <f t="shared" si="46"/>
        <v>5.8</v>
      </c>
      <c r="CY16" s="40">
        <f t="shared" si="47"/>
        <v>6.8650000000000002</v>
      </c>
      <c r="CZ16" s="40">
        <f t="shared" si="48"/>
        <v>24.465000000000003</v>
      </c>
      <c r="DA16" s="40">
        <f t="shared" si="49"/>
        <v>59.22</v>
      </c>
      <c r="DB16" s="51">
        <f t="shared" si="50"/>
        <v>16.559999999999995</v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 t="shared" si="136"/>
        <v>10.199999999999999</v>
      </c>
      <c r="LU16" s="40">
        <f t="shared" si="137"/>
        <v>13.47</v>
      </c>
      <c r="LV16" s="40">
        <f t="shared" si="138"/>
        <v>45.07</v>
      </c>
      <c r="LW16" s="40">
        <f t="shared" si="139"/>
        <v>11.6</v>
      </c>
      <c r="LX16" s="40">
        <f t="shared" si="140"/>
        <v>13.98</v>
      </c>
      <c r="LY16" s="40">
        <f t="shared" si="141"/>
        <v>49.379999999999995</v>
      </c>
      <c r="LZ16" s="40">
        <f t="shared" si="142"/>
        <v>49.379999999999995</v>
      </c>
      <c r="MA16" s="40">
        <f t="shared" si="143"/>
        <v>11.4</v>
      </c>
      <c r="MB16" s="40">
        <f t="shared" si="144"/>
        <v>13.84</v>
      </c>
      <c r="MC16" s="40">
        <f t="shared" si="145"/>
        <v>48.34</v>
      </c>
      <c r="MD16" s="40">
        <f t="shared" si="146"/>
        <v>10.199999999999999</v>
      </c>
      <c r="ME16" s="40">
        <f t="shared" si="147"/>
        <v>13.68</v>
      </c>
      <c r="MF16" s="40">
        <f t="shared" si="148"/>
        <v>45.88</v>
      </c>
      <c r="MG16" s="40">
        <f t="shared" si="149"/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10.899999999999999</v>
      </c>
      <c r="WU16" s="26">
        <f t="shared" si="263"/>
        <v>6.1499999999999995</v>
      </c>
      <c r="WV16" s="26">
        <f t="shared" si="264"/>
        <v>8</v>
      </c>
      <c r="WW16" s="26">
        <f t="shared" si="265"/>
        <v>9.7050000000000001</v>
      </c>
      <c r="WX16" s="26">
        <f t="shared" si="266"/>
        <v>0</v>
      </c>
      <c r="WY16" s="26">
        <f t="shared" si="267"/>
        <v>9.6000000000000014</v>
      </c>
      <c r="WZ16" s="26">
        <f t="shared" si="268"/>
        <v>6</v>
      </c>
      <c r="XA16" s="26">
        <f t="shared" si="269"/>
        <v>7.05</v>
      </c>
      <c r="XB16" s="26">
        <f t="shared" si="270"/>
        <v>8.9250000000000007</v>
      </c>
      <c r="XC16" s="26">
        <f t="shared" si="271"/>
        <v>0</v>
      </c>
      <c r="XD16" s="26">
        <f t="shared" si="272"/>
        <v>7.4</v>
      </c>
      <c r="XE16" s="26">
        <f t="shared" si="273"/>
        <v>4.4000000000000004</v>
      </c>
      <c r="XF16" s="26">
        <f t="shared" si="274"/>
        <v>5.8</v>
      </c>
      <c r="XG16" s="26">
        <f t="shared" si="275"/>
        <v>6.8650000000000002</v>
      </c>
      <c r="XH16" s="26">
        <f t="shared" si="276"/>
        <v>0</v>
      </c>
      <c r="XI16" s="28" t="s">
        <v>53</v>
      </c>
      <c r="XJ16" s="11">
        <f t="shared" si="277"/>
        <v>8</v>
      </c>
      <c r="XK16" s="11">
        <f t="shared" si="278"/>
        <v>9.7050000000000001</v>
      </c>
      <c r="XL16" s="11">
        <f t="shared" si="279"/>
        <v>34.754999999999995</v>
      </c>
      <c r="XM16" s="11">
        <f t="shared" si="280"/>
        <v>7.05</v>
      </c>
      <c r="XN16" s="11">
        <f t="shared" si="281"/>
        <v>8.9250000000000007</v>
      </c>
      <c r="XO16" s="11">
        <f t="shared" si="282"/>
        <v>31.575000000000003</v>
      </c>
      <c r="XP16" s="11">
        <f t="shared" si="283"/>
        <v>34.754999999999995</v>
      </c>
      <c r="XQ16" s="11">
        <f t="shared" si="284"/>
        <v>5.8</v>
      </c>
      <c r="XR16" s="11">
        <f t="shared" si="285"/>
        <v>6.8650000000000002</v>
      </c>
      <c r="XS16" s="11">
        <f t="shared" si="286"/>
        <v>24.465000000000003</v>
      </c>
      <c r="XT16" s="11">
        <f t="shared" si="287"/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 t="shared" si="0"/>
        <v>153.52001535200455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45.38</v>
      </c>
      <c r="K17" s="8" t="str">
        <f t="shared" si="5"/>
        <v>2024 3rd Domestic Trial</v>
      </c>
      <c r="L17" s="8">
        <f>IF(COUNT(AQ17,AT17,BR17,BU17,CS17,CV17)&gt;1,LARGE((AQ17,AT17,BR17,BU17,CS17,CV17),2),0)</f>
        <v>44.41</v>
      </c>
      <c r="M17" s="8" t="str">
        <f t="shared" si="6"/>
        <v>2024 Elite Canada</v>
      </c>
      <c r="N17" s="8">
        <f>IF(COUNT(AQ17,AT17,BR17,BU17,CS17,CV17)&gt;2,LARGE((AQ17,AT17,BR17,BU17,CS17,CV17),3),0)</f>
        <v>43.010000000000005</v>
      </c>
      <c r="O17" s="8" t="str">
        <f t="shared" si="7"/>
        <v>2024 Elite Canada</v>
      </c>
      <c r="P17" s="8">
        <f t="shared" si="8"/>
        <v>10.620000000000001</v>
      </c>
      <c r="Q17" s="8" t="str">
        <f t="shared" si="9"/>
        <v>2024 3rd Domestic Trial</v>
      </c>
      <c r="R17" s="8">
        <f t="shared" si="10"/>
        <v>10.1</v>
      </c>
      <c r="S17" s="8" t="str">
        <f t="shared" si="11"/>
        <v>2024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 t="shared" si="17"/>
        <v>9.8000000000000007</v>
      </c>
      <c r="AP17" s="38">
        <f t="shared" si="18"/>
        <v>13.51</v>
      </c>
      <c r="AQ17" s="40">
        <f t="shared" si="19"/>
        <v>43.010000000000005</v>
      </c>
      <c r="AR17" s="40">
        <f t="shared" si="20"/>
        <v>10.1</v>
      </c>
      <c r="AS17" s="40">
        <f t="shared" si="21"/>
        <v>13.21</v>
      </c>
      <c r="AT17" s="40">
        <f t="shared" si="22"/>
        <v>44.41</v>
      </c>
      <c r="AU17" s="40">
        <f t="shared" si="23"/>
        <v>44.41</v>
      </c>
      <c r="AV17" s="40" t="str">
        <f t="shared" si="24"/>
        <v/>
      </c>
      <c r="AW17" s="40" t="str">
        <f t="shared" si="25"/>
        <v/>
      </c>
      <c r="AX17" s="40" t="str">
        <f t="shared" si="26"/>
        <v/>
      </c>
      <c r="AY17" s="40">
        <f t="shared" si="27"/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1.5</v>
      </c>
      <c r="BQ17" s="39">
        <f t="shared" si="29"/>
        <v>1.56</v>
      </c>
      <c r="BR17" s="11">
        <f t="shared" si="30"/>
        <v>5.46</v>
      </c>
      <c r="BS17" s="11">
        <f t="shared" si="31"/>
        <v>1.5</v>
      </c>
      <c r="BT17" s="11">
        <f t="shared" si="32"/>
        <v>1.56</v>
      </c>
      <c r="BU17" s="11">
        <f t="shared" si="33"/>
        <v>5.66</v>
      </c>
      <c r="BV17" s="11">
        <f t="shared" si="34"/>
        <v>5.66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 t="shared" si="39"/>
        <v>9.1</v>
      </c>
      <c r="CR17" s="38">
        <f t="shared" si="40"/>
        <v>14.68</v>
      </c>
      <c r="CS17" s="40">
        <f t="shared" si="41"/>
        <v>45.38</v>
      </c>
      <c r="CT17" s="40">
        <f t="shared" si="42"/>
        <v>2.7</v>
      </c>
      <c r="CU17" s="40">
        <f t="shared" si="43"/>
        <v>3.1</v>
      </c>
      <c r="CV17" s="40">
        <f t="shared" si="44"/>
        <v>10.8</v>
      </c>
      <c r="CW17" s="40">
        <f t="shared" si="45"/>
        <v>45.38</v>
      </c>
      <c r="CX17" s="40">
        <f t="shared" si="46"/>
        <v>2.7</v>
      </c>
      <c r="CY17" s="40">
        <f t="shared" si="47"/>
        <v>3.12</v>
      </c>
      <c r="CZ17" s="40">
        <f t="shared" si="48"/>
        <v>10.620000000000001</v>
      </c>
      <c r="DA17" s="40">
        <f t="shared" si="49"/>
        <v>56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8.1</v>
      </c>
      <c r="WU17" s="26">
        <f t="shared" si="263"/>
        <v>4.95</v>
      </c>
      <c r="WV17" s="26">
        <f t="shared" si="264"/>
        <v>5.3</v>
      </c>
      <c r="WW17" s="26">
        <f t="shared" si="265"/>
        <v>8.1199999999999992</v>
      </c>
      <c r="WX17" s="26">
        <f t="shared" si="266"/>
        <v>1.05</v>
      </c>
      <c r="WY17" s="26">
        <f t="shared" si="267"/>
        <v>2.4000000000000004</v>
      </c>
      <c r="WZ17" s="26">
        <f t="shared" si="268"/>
        <v>1.4</v>
      </c>
      <c r="XA17" s="26">
        <f t="shared" si="269"/>
        <v>2.1</v>
      </c>
      <c r="XB17" s="26">
        <f t="shared" si="270"/>
        <v>2.33</v>
      </c>
      <c r="XC17" s="26">
        <f t="shared" si="271"/>
        <v>0</v>
      </c>
      <c r="XD17" s="26">
        <f t="shared" si="272"/>
        <v>1.6</v>
      </c>
      <c r="XE17" s="26">
        <f t="shared" si="273"/>
        <v>0.8</v>
      </c>
      <c r="XF17" s="26">
        <f t="shared" si="274"/>
        <v>1.35</v>
      </c>
      <c r="XG17" s="26">
        <f t="shared" si="275"/>
        <v>1.56</v>
      </c>
      <c r="XH17" s="26">
        <f t="shared" si="276"/>
        <v>0</v>
      </c>
      <c r="XI17" s="28" t="s">
        <v>53</v>
      </c>
      <c r="XJ17" s="11">
        <f t="shared" si="277"/>
        <v>5.3</v>
      </c>
      <c r="XK17" s="11">
        <f t="shared" si="278"/>
        <v>8.1199999999999992</v>
      </c>
      <c r="XL17" s="11">
        <f t="shared" si="279"/>
        <v>25.419999999999998</v>
      </c>
      <c r="XM17" s="11">
        <f t="shared" si="280"/>
        <v>2.1</v>
      </c>
      <c r="XN17" s="11">
        <f t="shared" si="281"/>
        <v>2.33</v>
      </c>
      <c r="XO17" s="11">
        <f t="shared" si="282"/>
        <v>8.23</v>
      </c>
      <c r="XP17" s="11">
        <f t="shared" si="283"/>
        <v>25.419999999999998</v>
      </c>
      <c r="XQ17" s="11">
        <f t="shared" si="284"/>
        <v>1.35</v>
      </c>
      <c r="XR17" s="11">
        <f t="shared" si="285"/>
        <v>1.56</v>
      </c>
      <c r="XS17" s="11">
        <f t="shared" si="286"/>
        <v>5.3100000000000005</v>
      </c>
      <c r="XT17" s="11">
        <f t="shared" si="287"/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7">
      <sortCondition descending="1" ref="F1:F18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569" priority="108812" operator="between">
      <formula>AY$27</formula>
      <formula>1000</formula>
    </cfRule>
    <cfRule type="cellIs" dxfId="568" priority="10881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567" priority="108824" operator="between">
      <formula>EK$27</formula>
      <formula>1000</formula>
    </cfRule>
    <cfRule type="cellIs" dxfId="566" priority="108825" operator="between">
      <formula>EK$26</formula>
      <formula>EK$27</formula>
    </cfRule>
  </conditionalFormatting>
  <conditionalFormatting sqref="AQ1:AQ1048576 AT1:AT1048576 AX1:AX1048576">
    <cfRule type="cellIs" dxfId="565" priority="108908" operator="between">
      <formula>$AY$27</formula>
      <formula>1000</formula>
    </cfRule>
    <cfRule type="cellIs" dxfId="564" priority="108909" operator="between">
      <formula>$AY$26</formula>
      <formula>$AY$27</formula>
    </cfRule>
    <cfRule type="cellIs" dxfId="563" priority="108910" operator="between">
      <formula>$AY$25</formula>
      <formula>$AY$26</formula>
    </cfRule>
    <cfRule type="cellIs" dxfId="562" priority="108911" operator="between">
      <formula>$AY$24</formula>
      <formula>$AY$25</formula>
    </cfRule>
  </conditionalFormatting>
  <conditionalFormatting sqref="BR1:BR1048576 BU1:BU1048576 BY1:BY1048576">
    <cfRule type="cellIs" dxfId="561" priority="108944" operator="between">
      <formula>$BZ$27</formula>
      <formula>1000</formula>
    </cfRule>
    <cfRule type="cellIs" dxfId="560" priority="108945" operator="between">
      <formula>$BZ$26</formula>
      <formula>$BZ$27</formula>
    </cfRule>
    <cfRule type="cellIs" dxfId="559" priority="108946" operator="between">
      <formula>$BZ$25</formula>
      <formula>$BZ$26</formula>
    </cfRule>
    <cfRule type="cellIs" dxfId="558" priority="108947" operator="between">
      <formula>$BZ$24</formula>
      <formula>$BZ$25</formula>
    </cfRule>
  </conditionalFormatting>
  <conditionalFormatting sqref="CS1:CS1048576 CV1:CV1048576 CZ1:CZ1048576">
    <cfRule type="cellIs" dxfId="557" priority="108980" operator="between">
      <formula>$DA$27</formula>
      <formula>1000</formula>
    </cfRule>
    <cfRule type="cellIs" dxfId="556" priority="108981" operator="between">
      <formula>$DA$26</formula>
      <formula>$DA$27</formula>
    </cfRule>
    <cfRule type="cellIs" dxfId="555" priority="108982" operator="between">
      <formula>$DA$25</formula>
      <formula>$DA$26</formula>
    </cfRule>
    <cfRule type="cellIs" dxfId="554" priority="108983" operator="between">
      <formula>$DA$24</formula>
      <formula>$DA$25</formula>
    </cfRule>
  </conditionalFormatting>
  <conditionalFormatting sqref="NB1:NB1048576 NE1:NE1048576 NI1:NI1048576 NL1:NL1048576">
    <cfRule type="cellIs" dxfId="553" priority="109016" operator="between">
      <formula>$NO$20</formula>
      <formula>$NO$21</formula>
    </cfRule>
  </conditionalFormatting>
  <conditionalFormatting sqref="DZ1:DZ1048576 EC1:EC1048576 EG1:EG1048576 EJ1:EJ1048576">
    <cfRule type="cellIs" dxfId="552" priority="109028" operator="between">
      <formula>$EK$27</formula>
      <formula>1000</formula>
    </cfRule>
    <cfRule type="cellIs" dxfId="551" priority="109029" operator="between">
      <formula>$EK$26</formula>
      <formula>$EK$27</formula>
    </cfRule>
    <cfRule type="cellIs" dxfId="550" priority="109030" operator="between">
      <formula>$EK$25</formula>
      <formula>$EK$26</formula>
    </cfRule>
    <cfRule type="cellIs" dxfId="549" priority="109031" operator="between">
      <formula>$EK$24</formula>
      <formula>$EK$25</formula>
    </cfRule>
  </conditionalFormatting>
  <conditionalFormatting sqref="FH1:FH1048576 FK1:FK1048576 FO1:FO1048576 FR1:FR1048576">
    <cfRule type="cellIs" dxfId="548" priority="109076" operator="between">
      <formula>$FS$27</formula>
      <formula>1000</formula>
    </cfRule>
    <cfRule type="cellIs" dxfId="547" priority="109077" operator="between">
      <formula>$FS$26</formula>
      <formula>$FS$27</formula>
    </cfRule>
    <cfRule type="cellIs" dxfId="546" priority="109078" operator="between">
      <formula>$FS$25</formula>
      <formula>$FS$26</formula>
    </cfRule>
    <cfRule type="cellIs" dxfId="545" priority="109079" operator="between">
      <formula>$FS$24</formula>
      <formula>$FS$25</formula>
    </cfRule>
  </conditionalFormatting>
  <conditionalFormatting sqref="GN1:GN1048576 GQ1:GQ1048576 GU1:GU1048576 GX1:GX1048576">
    <cfRule type="cellIs" dxfId="544" priority="109124" operator="between">
      <formula>$HA$23</formula>
      <formula>1000</formula>
    </cfRule>
    <cfRule type="cellIs" dxfId="543" priority="109125" operator="between">
      <formula>$HA$22</formula>
      <formula>$HA$23</formula>
    </cfRule>
    <cfRule type="cellIs" dxfId="542" priority="109126" operator="between">
      <formula>$HA$21</formula>
      <formula>$HA$22</formula>
    </cfRule>
    <cfRule type="cellIs" dxfId="541" priority="109127" operator="between">
      <formula>$HA$20</formula>
      <formula>$HA$21</formula>
    </cfRule>
  </conditionalFormatting>
  <conditionalFormatting sqref="GP1:GP1048576 GS1:GS1048576 GW1:GW1048576 GZ1:GZ1048576">
    <cfRule type="cellIs" dxfId="540" priority="109172" operator="between">
      <formula>$HA$27</formula>
      <formula>1000</formula>
    </cfRule>
    <cfRule type="cellIs" dxfId="539" priority="109173" operator="between">
      <formula>$HA$26</formula>
      <formula>$HA$27</formula>
    </cfRule>
    <cfRule type="cellIs" dxfId="538" priority="109174" operator="between">
      <formula>$HA$25</formula>
      <formula>$HA$26</formula>
    </cfRule>
    <cfRule type="cellIs" dxfId="537" priority="109175" operator="between">
      <formula>$HA$24</formula>
      <formula>$HA$25</formula>
    </cfRule>
  </conditionalFormatting>
  <conditionalFormatting sqref="HX1:HX1048576 IA1:IA1048576 IE1:IE1048576 IH1:IH1048576">
    <cfRule type="cellIs" dxfId="536" priority="109220" operator="between">
      <formula>$II$27</formula>
      <formula>1000</formula>
    </cfRule>
    <cfRule type="cellIs" dxfId="535" priority="109221" operator="between">
      <formula>$II$26</formula>
      <formula>$II$27</formula>
    </cfRule>
    <cfRule type="cellIs" dxfId="534" priority="109222" operator="between">
      <formula>$II$25</formula>
      <formula>$II$26</formula>
    </cfRule>
    <cfRule type="cellIs" dxfId="533" priority="109223" operator="between">
      <formula>$II$24</formula>
      <formula>$II$25</formula>
    </cfRule>
  </conditionalFormatting>
  <conditionalFormatting sqref="JD1:JD1048576 JG1:JG1048576 JK1:JK1048576 JN1:JN1048576">
    <cfRule type="cellIs" dxfId="532" priority="109268" operator="between">
      <formula>$JQ$23</formula>
      <formula>1000</formula>
    </cfRule>
    <cfRule type="cellIs" dxfId="531" priority="109269" operator="between">
      <formula>$JQ$22</formula>
      <formula>$JQ$23</formula>
    </cfRule>
    <cfRule type="cellIs" dxfId="530" priority="109270" operator="between">
      <formula>$JQ$21</formula>
      <formula>$JQ$22</formula>
    </cfRule>
    <cfRule type="cellIs" dxfId="529" priority="109271" operator="between">
      <formula>$JQ$20</formula>
      <formula>$JQ$21</formula>
    </cfRule>
  </conditionalFormatting>
  <conditionalFormatting sqref="JF1:JF1048576 JI1:JI1048576 JM1:JM1048576 JP1:JP1048576">
    <cfRule type="cellIs" dxfId="528" priority="109316" operator="between">
      <formula>$JQ$27</formula>
      <formula>1000</formula>
    </cfRule>
    <cfRule type="cellIs" dxfId="527" priority="109317" operator="between">
      <formula>$JQ$26</formula>
      <formula>$JQ$27</formula>
    </cfRule>
    <cfRule type="cellIs" dxfId="526" priority="109318" operator="between">
      <formula>$JQ$25</formula>
      <formula>$JQ$26</formula>
    </cfRule>
    <cfRule type="cellIs" dxfId="525" priority="109319" operator="between">
      <formula>$JQ$24</formula>
      <formula>$JQ$25</formula>
    </cfRule>
  </conditionalFormatting>
  <conditionalFormatting sqref="KL1:KL1048576 KO1:KO1048576 KS1:KS1048576 KV1:KV1048576">
    <cfRule type="cellIs" dxfId="524" priority="109364" operator="between">
      <formula>$KY$23</formula>
      <formula>1000</formula>
    </cfRule>
    <cfRule type="cellIs" dxfId="523" priority="109365" operator="between">
      <formula>$KY$22</formula>
      <formula>$KY$23</formula>
    </cfRule>
    <cfRule type="cellIs" dxfId="522" priority="109366" operator="between">
      <formula>$KY$21</formula>
      <formula>$KY$22</formula>
    </cfRule>
    <cfRule type="cellIs" dxfId="521" priority="109367" operator="between">
      <formula>$KY$20</formula>
      <formula>$KY$21</formula>
    </cfRule>
  </conditionalFormatting>
  <conditionalFormatting sqref="KN1:KN1048576 KQ1:KQ1048576 KU1:KU1048576 KX1:KX1048576">
    <cfRule type="cellIs" dxfId="520" priority="109412" operator="between">
      <formula>$KY$27</formula>
      <formula>1000</formula>
    </cfRule>
    <cfRule type="cellIs" dxfId="519" priority="109413" operator="between">
      <formula>$KY$26</formula>
      <formula>$KY$27</formula>
    </cfRule>
    <cfRule type="cellIs" dxfId="518" priority="109414" operator="between">
      <formula>$KY$25</formula>
      <formula>$KY$26</formula>
    </cfRule>
    <cfRule type="cellIs" dxfId="517" priority="109415" operator="between">
      <formula>$KY$24</formula>
      <formula>$KY$25</formula>
    </cfRule>
  </conditionalFormatting>
  <conditionalFormatting sqref="LT1:LT1048576 LW1:LW1048576 MA1:MA1048576 MD1:MD1048576">
    <cfRule type="cellIs" dxfId="516" priority="109460" operator="between">
      <formula>$MG$23</formula>
      <formula>1000</formula>
    </cfRule>
    <cfRule type="cellIs" dxfId="515" priority="109461" operator="between">
      <formula>$MG$22</formula>
      <formula>$MG$23</formula>
    </cfRule>
    <cfRule type="cellIs" dxfId="514" priority="109462" operator="between">
      <formula>$MG$21</formula>
      <formula>$MG$22</formula>
    </cfRule>
    <cfRule type="cellIs" dxfId="513" priority="109463" operator="between">
      <formula>$MG$20</formula>
      <formula>$MG$21</formula>
    </cfRule>
  </conditionalFormatting>
  <conditionalFormatting sqref="LV1:LV1048576 LY1:LY1048576 MC1:MC1048576 MF1:MF1048576">
    <cfRule type="cellIs" dxfId="512" priority="109508" operator="between">
      <formula>$MG$27</formula>
      <formula>1000</formula>
    </cfRule>
    <cfRule type="cellIs" dxfId="511" priority="109509" operator="between">
      <formula>$MG$26</formula>
      <formula>$MG$27</formula>
    </cfRule>
    <cfRule type="cellIs" dxfId="510" priority="109510" operator="between">
      <formula>$MG$25</formula>
      <formula>$MG$26</formula>
    </cfRule>
    <cfRule type="cellIs" dxfId="509" priority="109511" operator="between">
      <formula>$MG$24</formula>
      <formula>$MG$25</formula>
    </cfRule>
  </conditionalFormatting>
  <conditionalFormatting sqref="NB1:NB1048576 NE1:NE1048576 NI1:NI1048576">
    <cfRule type="cellIs" dxfId="508" priority="109556" operator="between">
      <formula>$NO$23</formula>
      <formula>1000</formula>
    </cfRule>
    <cfRule type="cellIs" dxfId="507" priority="109557" operator="between">
      <formula>$NO$22</formula>
      <formula>$NO$23</formula>
    </cfRule>
    <cfRule type="cellIs" dxfId="506" priority="109558" operator="between">
      <formula>$NO$21</formula>
      <formula>$NO$22</formula>
    </cfRule>
  </conditionalFormatting>
  <conditionalFormatting sqref="ND1:ND1048576 NG1:NG1048576 NK1:NK1048576 NN1:NN1048576">
    <cfRule type="cellIs" dxfId="505" priority="109583" operator="between">
      <formula>$NO$27</formula>
      <formula>1000</formula>
    </cfRule>
    <cfRule type="cellIs" dxfId="504" priority="109584" operator="between">
      <formula>$NO$26</formula>
      <formula>$NO$27</formula>
    </cfRule>
    <cfRule type="cellIs" dxfId="503" priority="109585" operator="between">
      <formula>$NO$25</formula>
      <formula>$NO$26</formula>
    </cfRule>
    <cfRule type="cellIs" dxfId="502" priority="109586" operator="between">
      <formula>$NO$24</formula>
      <formula>$NO$25</formula>
    </cfRule>
  </conditionalFormatting>
  <conditionalFormatting sqref="OJ1:OJ1048576 OM1:OM1048576 OQ1:OQ1048576 OT1:OT1048576">
    <cfRule type="cellIs" dxfId="501" priority="109631" operator="between">
      <formula>$OW$23</formula>
      <formula>1000</formula>
    </cfRule>
    <cfRule type="cellIs" dxfId="500" priority="109632" operator="between">
      <formula>$OW$22</formula>
      <formula>$OW$23</formula>
    </cfRule>
    <cfRule type="cellIs" dxfId="499" priority="109633" operator="between">
      <formula>$OW$21</formula>
      <formula>$OW$22</formula>
    </cfRule>
    <cfRule type="cellIs" dxfId="498" priority="109634" operator="between">
      <formula>$OW$20</formula>
      <formula>$OW$21</formula>
    </cfRule>
  </conditionalFormatting>
  <conditionalFormatting sqref="OL1:OL1048576 OO1:OO1048576 OS1:OS1048576 OV1:OV1048576">
    <cfRule type="cellIs" dxfId="497" priority="109679" operator="between">
      <formula>$OW$27</formula>
      <formula>1000</formula>
    </cfRule>
    <cfRule type="cellIs" dxfId="496" priority="109680" operator="between">
      <formula>$OW$26</formula>
      <formula>$OW$27</formula>
    </cfRule>
    <cfRule type="cellIs" dxfId="495" priority="109681" operator="between">
      <formula>$OW$25</formula>
      <formula>$OW$26</formula>
    </cfRule>
    <cfRule type="cellIs" dxfId="494" priority="109682" operator="between">
      <formula>$OW$24</formula>
      <formula>$OW$25</formula>
    </cfRule>
  </conditionalFormatting>
  <conditionalFormatting sqref="PR1:PR1048576 PU1:PU1048576 PY1:PY1048576 QB1:QB1048576">
    <cfRule type="cellIs" dxfId="493" priority="109727" operator="between">
      <formula>$QE$23</formula>
      <formula>1000</formula>
    </cfRule>
    <cfRule type="cellIs" dxfId="492" priority="109728" operator="between">
      <formula>$QE$22</formula>
      <formula>$QE$23</formula>
    </cfRule>
    <cfRule type="cellIs" dxfId="491" priority="109729" operator="between">
      <formula>$QE$21</formula>
      <formula>$QE$22</formula>
    </cfRule>
    <cfRule type="cellIs" dxfId="490" priority="109730" operator="between">
      <formula>$QE$20</formula>
      <formula>$QE$21</formula>
    </cfRule>
  </conditionalFormatting>
  <conditionalFormatting sqref="PT1:PT1048576 PW1:PW1048576 QA1:QA1048576 QD1:QD1048576">
    <cfRule type="cellIs" dxfId="489" priority="109775" operator="between">
      <formula>$QE$27</formula>
      <formula>1000</formula>
    </cfRule>
    <cfRule type="cellIs" dxfId="488" priority="109776" operator="between">
      <formula>$QE$26</formula>
      <formula>$QE$27</formula>
    </cfRule>
    <cfRule type="cellIs" dxfId="487" priority="109777" operator="between">
      <formula>$QE$25</formula>
      <formula>$QE$26</formula>
    </cfRule>
    <cfRule type="cellIs" dxfId="486" priority="109778" operator="between">
      <formula>$QE$24</formula>
      <formula>$QE$25</formula>
    </cfRule>
  </conditionalFormatting>
  <conditionalFormatting sqref="QZ1:QZ1048576 RC1:RC1048576 RG1:RG1048576 RJ1:RJ1048576">
    <cfRule type="cellIs" dxfId="485" priority="109823" operator="between">
      <formula>$RM$23</formula>
      <formula>1000</formula>
    </cfRule>
    <cfRule type="cellIs" dxfId="484" priority="109824" operator="between">
      <formula>$RM$22</formula>
      <formula>$RM$23</formula>
    </cfRule>
    <cfRule type="cellIs" dxfId="483" priority="109825" operator="between">
      <formula>$RM$21</formula>
      <formula>$RM$22</formula>
    </cfRule>
    <cfRule type="cellIs" dxfId="482" priority="109826" operator="between">
      <formula>$RM$20</formula>
      <formula>$RM$21</formula>
    </cfRule>
  </conditionalFormatting>
  <conditionalFormatting sqref="RB1:RB1048576 RE1:RE1048576 RI1:RI1048576 RL1:RL1048576">
    <cfRule type="cellIs" dxfId="481" priority="109871" operator="between">
      <formula>$RM$27</formula>
      <formula>1000</formula>
    </cfRule>
    <cfRule type="cellIs" dxfId="480" priority="109872" operator="between">
      <formula>$RM$26</formula>
      <formula>$RM$27</formula>
    </cfRule>
    <cfRule type="cellIs" dxfId="479" priority="109873" operator="between">
      <formula>$RM$25</formula>
      <formula>$RM$26</formula>
    </cfRule>
    <cfRule type="cellIs" dxfId="478" priority="109874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477" priority="109919" operator="between">
      <formula>$SU$23</formula>
      <formula>1000</formula>
    </cfRule>
    <cfRule type="cellIs" dxfId="476" priority="109920" operator="between">
      <formula>$SU$22</formula>
      <formula>$SU$23</formula>
    </cfRule>
    <cfRule type="cellIs" dxfId="475" priority="109921" operator="between">
      <formula>$SU$21</formula>
      <formula>$SU$22</formula>
    </cfRule>
    <cfRule type="cellIs" dxfId="474" priority="109922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105</v>
      </c>
      <c r="K1" s="69" t="s">
        <v>30</v>
      </c>
      <c r="L1" s="71" t="s">
        <v>153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193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232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253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223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224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240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244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ht="16" customHeight="1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102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102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102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102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102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102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102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102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102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102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102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102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102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102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102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 t="shared" ref="E4:E18" si="0">SUM(J4,L4,N4)</f>
        <v>100.51000000000002</v>
      </c>
      <c r="F4" s="3" t="str">
        <f t="shared" ref="F4:F18" si="1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 t="shared" ref="G4:G18" si="2"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 t="shared" ref="H4:H18" si="3"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 t="shared" ref="I4:I18" si="4"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 t="shared" ref="K4:K18" si="5"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 t="shared" ref="M4:M18" si="6">IF(L4="","",IF(OR(L4=CK4,L4=CN4,L4=CR4),$BS$1,IF(OR(L4=BJ4,L4=BM4,L4=BQ4),$AR$1,IF(OR(L4=AI4,L4=AL4,L4=AP4),$Q$1,""))))</f>
        <v>2024 Nationals</v>
      </c>
      <c r="N4" s="8">
        <f t="shared" ref="N4:N18" si="7">IF(MAX(CT4,CU4)&gt;0,MAX(CT4,CU4),"")</f>
        <v>2.3399999999999963</v>
      </c>
      <c r="O4" s="11" t="str">
        <f t="shared" ref="O4:O18" si="8">IF(N4="","",IF(N4=CT4,"("&amp;CT$2&amp;")",IF(N4=CU4,"("&amp;CU$2&amp;")")))</f>
        <v>(Final)</v>
      </c>
      <c r="P4" s="8" t="str">
        <f t="shared" ref="P4:P18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8" si="10">IF(S4&gt;0,S4,"")</f>
        <v/>
      </c>
      <c r="AH4" s="38" t="str">
        <f t="shared" ref="AH4:AH18" si="11">IF(T4&gt;0,T4,"")</f>
        <v/>
      </c>
      <c r="AI4" s="40" t="str">
        <f t="shared" ref="AI4:AI18" si="12">IF(SUM(Q4:T4)-U4&gt;0,SUM(Q4:T4)-U4,"")</f>
        <v/>
      </c>
      <c r="AJ4" s="40" t="str">
        <f t="shared" ref="AJ4:AJ18" si="13">IF(X4&gt;0,X4,"")</f>
        <v/>
      </c>
      <c r="AK4" s="40" t="str">
        <f t="shared" ref="AK4:AK18" si="14">IF(Y4&gt;0,Y4,"")</f>
        <v/>
      </c>
      <c r="AL4" s="40" t="str">
        <f t="shared" ref="AL4:AL18" si="15">IF(SUM(V4:Y4)-Z4&gt;0,SUM(V4:Y4)-Z4,"")</f>
        <v/>
      </c>
      <c r="AM4" s="40" t="str">
        <f t="shared" ref="AM4:AM18" si="16">IF(AI4="","",MAX(AI4,AL4))</f>
        <v/>
      </c>
      <c r="AN4" s="40" t="str">
        <f t="shared" ref="AN4:AN18" si="17">IF(AC4&gt;0,AC4,"")</f>
        <v/>
      </c>
      <c r="AO4" s="40" t="str">
        <f t="shared" ref="AO4:AO18" si="18">IF(AD4&gt;0,AD4,"")</f>
        <v/>
      </c>
      <c r="AP4" s="40" t="str">
        <f t="shared" ref="AP4:AP18" si="19">IF(SUM(AA4:AD4)-AE4&gt;0,SUM(AA4:AD4)-AE4,"")</f>
        <v/>
      </c>
      <c r="AQ4" s="40" t="str">
        <f t="shared" ref="AQ4:AQ18" si="20"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 t="shared" ref="BH4:BH18" si="21">IF(AT4&gt;0,AT4,"")</f>
        <v>14.6</v>
      </c>
      <c r="BI4" s="39">
        <f t="shared" ref="BI4:BI18" si="22">IF(AU4&gt;0,AU4,"")</f>
        <v>18.12</v>
      </c>
      <c r="BJ4" s="11">
        <f t="shared" ref="BJ4:BJ18" si="23">IF(SUM(AR4:AU4)-AV4&gt;0,SUM(AR4:AU4)-AV4,"")</f>
        <v>50.02</v>
      </c>
      <c r="BK4" s="11">
        <f t="shared" ref="BK4:BK18" si="24">IF(AY4&gt;0,AY4,"")</f>
        <v>5.5</v>
      </c>
      <c r="BL4" s="11">
        <f t="shared" ref="BL4:BL18" si="25">IF(AZ4&gt;0,AZ4,"")</f>
        <v>5.2</v>
      </c>
      <c r="BM4" s="11">
        <f t="shared" ref="BM4:BM18" si="26">IF(SUM(AW4:AZ4)-BA4&gt;0,SUM(AW4:AZ4)-BA4,"")</f>
        <v>15.850000000000001</v>
      </c>
      <c r="BN4" s="11">
        <f t="shared" ref="BN4:BN18" si="27">IF(BJ4="","",MAX(BJ4,BM4))</f>
        <v>50.02</v>
      </c>
      <c r="BO4" s="11">
        <f t="shared" ref="BO4:BO18" si="28">IF(BD4&gt;0,BD4,"")</f>
        <v>14.6</v>
      </c>
      <c r="BP4" s="11">
        <f t="shared" ref="BP4:BP18" si="29">IF(BE4&gt;0,BE4,"")</f>
        <v>16.100000000000001</v>
      </c>
      <c r="BQ4" s="11">
        <f t="shared" ref="BQ4:BQ18" si="30">IF(SUM(BB4:BE4)-BF4&gt;0,SUM(BB4:BE4)-BF4,"")</f>
        <v>48.150000000000006</v>
      </c>
      <c r="BR4" s="11">
        <f t="shared" ref="BR4:BR18" si="31"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8" si="32">IF(BU4&gt;0,BU4,"")</f>
        <v/>
      </c>
      <c r="CJ4" s="38" t="str">
        <f t="shared" ref="CJ4:CJ18" si="33">IF(BV4&gt;0,BV4,"")</f>
        <v/>
      </c>
      <c r="CK4" s="40" t="str">
        <f t="shared" ref="CK4:CK18" si="34">IF(SUM(BS4:BV4)-BW4&gt;0,SUM(BS4:BV4)-BW4,"")</f>
        <v/>
      </c>
      <c r="CL4" s="40" t="str">
        <f t="shared" ref="CL4:CL18" si="35">IF(BZ4&gt;0,BZ4,"")</f>
        <v/>
      </c>
      <c r="CM4" s="40" t="str">
        <f t="shared" ref="CM4:CM18" si="36">IF(CA4&gt;0,CA4,"")</f>
        <v/>
      </c>
      <c r="CN4" s="40" t="str">
        <f t="shared" ref="CN4:CN18" si="37">IF(SUM(BX4:CA4)-CB4&gt;0,SUM(BX4:CA4)-CB4,"")</f>
        <v/>
      </c>
      <c r="CO4" s="40" t="str">
        <f t="shared" ref="CO4:CO18" si="38">IF(CK4="","",MAX(CK4,CN4))</f>
        <v/>
      </c>
      <c r="CP4" s="40" t="str">
        <f t="shared" ref="CP4:CP18" si="39">IF(CE4&gt;0,CE4,"")</f>
        <v/>
      </c>
      <c r="CQ4" s="40" t="str">
        <f t="shared" ref="CQ4:CQ18" si="40">IF(CF4&gt;0,CF4,"")</f>
        <v/>
      </c>
      <c r="CR4" s="40" t="str">
        <f t="shared" ref="CR4:CR18" si="41">IF(SUM(CC4:CF4)-CG4&gt;0,SUM(CC4:CF4)-CG4,"")</f>
        <v/>
      </c>
      <c r="CS4" s="40" t="str">
        <f t="shared" ref="CS4:CS18" si="42">IF(SUM(CO4,CR4)&gt;0,SUM(CO4,CR4),"")</f>
        <v/>
      </c>
      <c r="CT4" s="51">
        <f t="shared" ref="CT4:CT18" si="43">IF(MAX(DV4,FD4,GL4,HT4,JB4,KJ4,LR4,MZ4,OH4,PP4,QX4,SF4,TN4,UV4,WD4)-IF(L4="",0,L4)&gt;0.001,MAX(DV4,FD4,GL4,HT4,JB4,KJ4,LR4,MZ4,OH4,PP4,QX4,SF4,TN4,UV4,WD4)-IF(L4="",0,L4),"")</f>
        <v>2.1399999999999935</v>
      </c>
      <c r="CU4" s="51">
        <f t="shared" ref="CU4:CU18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8" si="45">IF(CX4&gt;0,CX4,"")</f>
        <v/>
      </c>
      <c r="DQ4" s="40" t="str">
        <f t="shared" ref="DQ4:DQ18" si="46">IF(CY4&gt;0,CY4,"")</f>
        <v/>
      </c>
      <c r="DR4" s="40" t="str">
        <f t="shared" ref="DR4:DR18" si="47">IF(SUM(CV4:CY4)-CZ4&gt;0,SUM(CV4:CY4)-CZ4,"")</f>
        <v/>
      </c>
      <c r="DS4" s="40" t="str">
        <f t="shared" ref="DS4:DS18" si="48">IF(DC4&gt;0,DC4,"")</f>
        <v/>
      </c>
      <c r="DT4" s="40" t="str">
        <f t="shared" ref="DT4:DT18" si="49">IF(DD4&gt;0,DD4,"")</f>
        <v/>
      </c>
      <c r="DU4" s="40" t="str">
        <f t="shared" ref="DU4:DU18" si="50">IF(SUM(DA4:DD4)-DE4&gt;0,SUM(DA4:DD4)-DE4,"")</f>
        <v/>
      </c>
      <c r="DV4" s="40" t="str">
        <f t="shared" ref="DV4:DV18" si="51">IF(MAX(DR4,DU4)&gt;0,MAX(DR4,DU4),"")</f>
        <v/>
      </c>
      <c r="DW4" s="40" t="str">
        <f t="shared" ref="DW4:DW18" si="52">IF(DH4&gt;0,DH4,"")</f>
        <v/>
      </c>
      <c r="DX4" s="40" t="str">
        <f t="shared" ref="DX4:DX18" si="53">IF(DI4&gt;0,DI4,"")</f>
        <v/>
      </c>
      <c r="DY4" s="40" t="str">
        <f t="shared" ref="DY4:DY18" si="54">IF(SUM(DF4:DI4)-DJ4&gt;0,SUM(DF4:DI4)-DJ4,"")</f>
        <v/>
      </c>
      <c r="DZ4" s="40" t="str">
        <f t="shared" ref="DZ4:DZ18" si="55">IF(DM4&gt;0,DM4,"")</f>
        <v/>
      </c>
      <c r="EA4" s="40" t="str">
        <f t="shared" ref="EA4:EA18" si="56">IF(DN4&gt;0,DN4,"")</f>
        <v/>
      </c>
      <c r="EB4" s="40" t="str">
        <f t="shared" ref="EB4:EB18" si="57">IF(SUM(DK4:DN4)-DO4&gt;0,SUM(DK4:DN4)-DO4,"")</f>
        <v/>
      </c>
      <c r="EC4" s="40" t="str">
        <f t="shared" ref="EC4:EC18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8" si="59">IF(EF4&gt;0,EF4,"")</f>
        <v/>
      </c>
      <c r="EY4" s="11" t="str">
        <f t="shared" ref="EY4:EY18" si="60">IF(EG4&gt;0,EG4,"")</f>
        <v/>
      </c>
      <c r="EZ4" s="11" t="str">
        <f t="shared" ref="EZ4:EZ18" si="61">IF(SUM(ED4:EG4)-EH4&gt;0,SUM(ED4:EG4)-EH4,"")</f>
        <v/>
      </c>
      <c r="FA4" s="11" t="str">
        <f t="shared" ref="FA4:FA18" si="62">IF(EK4&gt;0,EK4,"")</f>
        <v/>
      </c>
      <c r="FB4" s="11" t="str">
        <f t="shared" ref="FB4:FB18" si="63">IF(EL4&gt;0,EL4,"")</f>
        <v/>
      </c>
      <c r="FC4" s="11" t="str">
        <f t="shared" ref="FC4:FC18" si="64">IF(SUM(EI4:EL4)-EM4&gt;0,SUM(EI4:EL4)-EM4,"")</f>
        <v/>
      </c>
      <c r="FD4" s="11" t="str">
        <f t="shared" ref="FD4:FD18" si="65">IF(MAX(EZ4,FC4)&gt;0,MAX(EZ4,FC4),"")</f>
        <v/>
      </c>
      <c r="FE4" s="11" t="str">
        <f t="shared" ref="FE4:FE18" si="66">IF(EP4&gt;0,EP4,"")</f>
        <v/>
      </c>
      <c r="FF4" s="11" t="str">
        <f t="shared" ref="FF4:FF18" si="67">IF(EQ4&gt;0,EQ4,"")</f>
        <v/>
      </c>
      <c r="FG4" s="11" t="str">
        <f t="shared" ref="FG4:FG18" si="68">IF(SUM(EN4:EQ4)-ER4&gt;0,SUM(EN4:EQ4)-ER4,"")</f>
        <v/>
      </c>
      <c r="FH4" s="11" t="str">
        <f t="shared" ref="FH4:FH18" si="69">IF(EU4&gt;0,EU4,"")</f>
        <v/>
      </c>
      <c r="FI4" s="11" t="str">
        <f t="shared" ref="FI4:FI18" si="70">IF(EV4&gt;0,EV4,"")</f>
        <v/>
      </c>
      <c r="FJ4" s="11" t="str">
        <f t="shared" ref="FJ4:FJ18" si="71">IF(SUM(ES4:EV4)-EW4&gt;0,SUM(ES4:EV4)-EW4,"")</f>
        <v/>
      </c>
      <c r="FK4" s="11" t="str">
        <f t="shared" ref="FK4:FK18" si="72"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 t="shared" ref="GF4:GF18" si="73">IF(FN4&gt;0,FN4,"")</f>
        <v>15.6</v>
      </c>
      <c r="GG4" s="40">
        <f t="shared" ref="GG4:GG18" si="74">IF(FO4&gt;0,FO4,"")</f>
        <v>18.14</v>
      </c>
      <c r="GH4" s="40">
        <f t="shared" ref="GH4:GH18" si="75">IF(SUM(FL4:FO4)-FP4&gt;0,SUM(FL4:FO4)-FP4,"")</f>
        <v>50.29</v>
      </c>
      <c r="GI4" s="40" t="str">
        <f t="shared" ref="GI4:GI18" si="76">IF(FS4&gt;0,FS4,"")</f>
        <v/>
      </c>
      <c r="GJ4" s="40" t="str">
        <f t="shared" ref="GJ4:GJ18" si="77">IF(FT4&gt;0,FT4,"")</f>
        <v/>
      </c>
      <c r="GK4" s="40" t="str">
        <f t="shared" ref="GK4:GK18" si="78">IF(SUM(FQ4:FT4)-FU4&gt;0,SUM(FQ4:FT4)-FU4,"")</f>
        <v/>
      </c>
      <c r="GL4" s="40">
        <f t="shared" ref="GL4:GL18" si="79">IF(MAX(GH4,GK4)&gt;0,MAX(GH4,GK4),"")</f>
        <v>50.29</v>
      </c>
      <c r="GM4" s="40" t="str">
        <f t="shared" ref="GM4:GM18" si="80">IF(FX4&gt;0,FX4,"")</f>
        <v/>
      </c>
      <c r="GN4" s="40" t="str">
        <f t="shared" ref="GN4:GN18" si="81">IF(FY4&gt;0,FY4,"")</f>
        <v/>
      </c>
      <c r="GO4" s="40" t="str">
        <f t="shared" ref="GO4:GO18" si="82">IF(SUM(FV4:FY4)-FZ4&gt;0,SUM(FV4:FY4)-FZ4,"")</f>
        <v/>
      </c>
      <c r="GP4" s="40">
        <f t="shared" ref="GP4:GP18" si="83">IF(GC4&gt;0,GC4,"")</f>
        <v>15.6</v>
      </c>
      <c r="GQ4" s="40">
        <f t="shared" ref="GQ4:GQ18" si="84">IF(GD4&gt;0,GD4,"")</f>
        <v>18.04</v>
      </c>
      <c r="GR4" s="40">
        <f t="shared" ref="GR4:GR18" si="85">IF(SUM(GA4:GD4)-GE4&gt;0,SUM(GA4:GD4)-GE4,"")</f>
        <v>50.49</v>
      </c>
      <c r="GS4" s="40">
        <f t="shared" ref="GS4:GS18" si="86"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8" si="87">IF(GV4&gt;0,GV4,"")</f>
        <v/>
      </c>
      <c r="HO4" s="11" t="str">
        <f t="shared" ref="HO4:HO18" si="88">IF(GW4&gt;0,GW4,"")</f>
        <v/>
      </c>
      <c r="HP4" s="11" t="str">
        <f t="shared" ref="HP4:HP18" si="89">IF(SUM(GT4:GW4)-GX4&gt;0,SUM(GT4:GW4)-GX4,"")</f>
        <v/>
      </c>
      <c r="HQ4" s="11" t="str">
        <f t="shared" ref="HQ4:HQ18" si="90">IF(HA4&gt;0,HA4,"")</f>
        <v/>
      </c>
      <c r="HR4" s="11" t="str">
        <f t="shared" ref="HR4:HR18" si="91">IF(HB4&gt;0,HB4,"")</f>
        <v/>
      </c>
      <c r="HS4" s="11" t="str">
        <f t="shared" ref="HS4:HS18" si="92">IF(SUM(GY4:HB4)-HC4&gt;0,SUM(GY4:HB4)-HC4,"")</f>
        <v/>
      </c>
      <c r="HT4" s="11" t="str">
        <f t="shared" ref="HT4:HT18" si="93">IF(MAX(HP4,HS4)&gt;0,MAX(HP4,HS4),"")</f>
        <v/>
      </c>
      <c r="HU4" s="11" t="str">
        <f t="shared" ref="HU4:HU18" si="94">IF(HF4&gt;0,HF4,"")</f>
        <v/>
      </c>
      <c r="HV4" s="11" t="str">
        <f t="shared" ref="HV4:HV18" si="95">IF(HG4&gt;0,HG4,"")</f>
        <v/>
      </c>
      <c r="HW4" s="11" t="str">
        <f t="shared" ref="HW4:HW18" si="96">IF(SUM(HD4:HG4)-HH4&gt;0,SUM(HD4:HG4)-HH4,"")</f>
        <v/>
      </c>
      <c r="HX4" s="11" t="str">
        <f t="shared" ref="HX4:HX18" si="97">IF(HK4&gt;0,HK4,"")</f>
        <v/>
      </c>
      <c r="HY4" s="11" t="str">
        <f t="shared" ref="HY4:HY18" si="98">IF(HL4&gt;0,HL4,"")</f>
        <v/>
      </c>
      <c r="HZ4" s="11" t="str">
        <f t="shared" ref="HZ4:HZ18" si="99">IF(SUM(HI4:HL4)-HM4&gt;0,SUM(HI4:HL4)-HM4,"")</f>
        <v/>
      </c>
      <c r="IA4" s="11" t="str">
        <f t="shared" ref="IA4:IA18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8" si="101">IF(ID4&gt;0,ID4,"")</f>
        <v/>
      </c>
      <c r="IW4" s="40" t="str">
        <f t="shared" ref="IW4:IW18" si="102">IF(IE4&gt;0,IE4,"")</f>
        <v/>
      </c>
      <c r="IX4" s="40" t="str">
        <f t="shared" ref="IX4:IX18" si="103">IF(SUM(IB4:IE4)-IF4&gt;0,SUM(IB4:IE4)-IF4,"")</f>
        <v/>
      </c>
      <c r="IY4" s="40" t="str">
        <f t="shared" ref="IY4:IY18" si="104">IF(II4&gt;0,II4,"")</f>
        <v/>
      </c>
      <c r="IZ4" s="40" t="str">
        <f t="shared" ref="IZ4:IZ18" si="105">IF(IJ4&gt;0,IJ4,"")</f>
        <v/>
      </c>
      <c r="JA4" s="40" t="str">
        <f t="shared" ref="JA4:JA18" si="106">IF(SUM(IG4:IJ4)-IK4&gt;0,SUM(IG4:IJ4)-IK4,"")</f>
        <v/>
      </c>
      <c r="JB4" s="40" t="str">
        <f t="shared" ref="JB4:JB18" si="107">IF(MAX(IX4,JA4)&gt;0,MAX(IX4,JA4),"")</f>
        <v/>
      </c>
      <c r="JC4" s="40" t="str">
        <f t="shared" ref="JC4:JC18" si="108">IF(IN4&gt;0,IN4,"")</f>
        <v/>
      </c>
      <c r="JD4" s="40" t="str">
        <f t="shared" ref="JD4:JD18" si="109">IF(IO4&gt;0,IO4,"")</f>
        <v/>
      </c>
      <c r="JE4" s="40" t="str">
        <f t="shared" ref="JE4:JE18" si="110">IF(SUM(IL4:IO4)-IP4&gt;0,SUM(IL4:IO4)-IP4,"")</f>
        <v/>
      </c>
      <c r="JF4" s="40" t="str">
        <f t="shared" ref="JF4:JF18" si="111">IF(IS4&gt;0,IS4,"")</f>
        <v/>
      </c>
      <c r="JG4" s="40" t="str">
        <f t="shared" ref="JG4:JG18" si="112">IF(IT4&gt;0,IT4,"")</f>
        <v/>
      </c>
      <c r="JH4" s="40" t="str">
        <f t="shared" ref="JH4:JH18" si="113">IF(SUM(IQ4:IT4)-IU4&gt;0,SUM(IQ4:IT4)-IU4,"")</f>
        <v/>
      </c>
      <c r="JI4" s="40" t="str">
        <f t="shared" ref="JI4:JI18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8" si="115">IF(JL4&gt;0,JL4,"")</f>
        <v/>
      </c>
      <c r="KE4" s="11" t="str">
        <f t="shared" ref="KE4:KE18" si="116">IF(JM4&gt;0,JM4,"")</f>
        <v/>
      </c>
      <c r="KF4" s="11" t="str">
        <f t="shared" ref="KF4:KF18" si="117">IF(SUM(JJ4:JM4)-JN4&gt;0,SUM(JJ4:JM4)-JN4,"")</f>
        <v/>
      </c>
      <c r="KG4" s="11" t="str">
        <f t="shared" ref="KG4:KG18" si="118">IF(JQ4&gt;0,JQ4,"")</f>
        <v/>
      </c>
      <c r="KH4" s="11" t="str">
        <f t="shared" ref="KH4:KH18" si="119">IF(JR4&gt;0,JR4,"")</f>
        <v/>
      </c>
      <c r="KI4" s="11" t="str">
        <f t="shared" ref="KI4:KI18" si="120">IF(SUM(JO4:JR4)-JS4&gt;0,SUM(JO4:JR4)-JS4,"")</f>
        <v/>
      </c>
      <c r="KJ4" s="11" t="str">
        <f t="shared" ref="KJ4:KJ18" si="121">IF(MAX(KF4,KI4)&gt;0,MAX(KF4,KI4),"")</f>
        <v/>
      </c>
      <c r="KK4" s="11" t="str">
        <f t="shared" ref="KK4:KK18" si="122">IF(JV4&gt;0,JV4,"")</f>
        <v/>
      </c>
      <c r="KL4" s="11" t="str">
        <f t="shared" ref="KL4:KL18" si="123">IF(JW4&gt;0,JW4,"")</f>
        <v/>
      </c>
      <c r="KM4" s="11" t="str">
        <f t="shared" ref="KM4:KM18" si="124">IF(SUM(JT4:JW4)-JX4&gt;0,SUM(JT4:JW4)-JX4,"")</f>
        <v/>
      </c>
      <c r="KN4" s="11" t="str">
        <f t="shared" ref="KN4:KN18" si="125">IF(KA4&gt;0,KA4,"")</f>
        <v/>
      </c>
      <c r="KO4" s="11" t="str">
        <f t="shared" ref="KO4:KO18" si="126">IF(KB4&gt;0,KB4,"")</f>
        <v/>
      </c>
      <c r="KP4" s="11" t="str">
        <f t="shared" ref="KP4:KP18" si="127">IF(SUM(JY4:KB4)-KC4&gt;0,SUM(JY4:KB4)-KC4,"")</f>
        <v/>
      </c>
      <c r="KQ4" s="11" t="str">
        <f t="shared" ref="KQ4:KQ18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8" si="129">IF(KT4&gt;0,KT4,"")</f>
        <v/>
      </c>
      <c r="LM4" s="40" t="str">
        <f t="shared" ref="LM4:LM18" si="130">IF(KU4&gt;0,KU4,"")</f>
        <v/>
      </c>
      <c r="LN4" s="40" t="str">
        <f t="shared" ref="LN4:LN18" si="131">IF(SUM(KR4:KU4)-KV4&gt;0,SUM(KR4:KU4)-KV4,"")</f>
        <v/>
      </c>
      <c r="LO4" s="40" t="str">
        <f t="shared" ref="LO4:LO18" si="132">IF(KY4&gt;0,KY4,"")</f>
        <v/>
      </c>
      <c r="LP4" s="40" t="str">
        <f t="shared" ref="LP4:LP18" si="133">IF(KZ4&gt;0,KZ4,"")</f>
        <v/>
      </c>
      <c r="LQ4" s="40" t="str">
        <f t="shared" ref="LQ4:LQ18" si="134">IF(SUM(KW4:KZ4)-LA4&gt;0,SUM(KW4:KZ4)-LA4,"")</f>
        <v/>
      </c>
      <c r="LR4" s="40" t="str">
        <f t="shared" ref="LR4:LR18" si="135">IF(MAX(LN4,LQ4)&gt;0,MAX(LN4,LQ4),"")</f>
        <v/>
      </c>
      <c r="LS4" s="40" t="str">
        <f t="shared" ref="LS4:LS18" si="136">IF(LD4&gt;0,LD4,"")</f>
        <v/>
      </c>
      <c r="LT4" s="40" t="str">
        <f t="shared" ref="LT4:LT18" si="137">IF(LE4&gt;0,LE4,"")</f>
        <v/>
      </c>
      <c r="LU4" s="40" t="str">
        <f t="shared" ref="LU4:LU18" si="138">IF(SUM(LB4:LE4)-LF4&gt;0,SUM(LB4:LE4)-LF4,"")</f>
        <v/>
      </c>
      <c r="LV4" s="40" t="str">
        <f t="shared" ref="LV4:LV18" si="139">IF(LI4&gt;0,LI4,"")</f>
        <v/>
      </c>
      <c r="LW4" s="40" t="str">
        <f t="shared" ref="LW4:LW18" si="140">IF(LJ4&gt;0,LJ4,"")</f>
        <v/>
      </c>
      <c r="LX4" s="40" t="str">
        <f t="shared" ref="LX4:LX18" si="141">IF(SUM(LG4:LJ4)-LK4&gt;0,SUM(LG4:LJ4)-LK4,"")</f>
        <v/>
      </c>
      <c r="LY4" s="40" t="str">
        <f t="shared" ref="LY4:LY18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8" si="143">IF(MB4&gt;0,MB4,"")</f>
        <v/>
      </c>
      <c r="MU4" s="11" t="str">
        <f t="shared" ref="MU4:MU18" si="144">IF(MC4&gt;0,MC4,"")</f>
        <v/>
      </c>
      <c r="MV4" s="11" t="str">
        <f t="shared" ref="MV4:MV18" si="145">IF(SUM(LZ4:MC4)-MD4&gt;0,SUM(LZ4:MC4)-MD4,"")</f>
        <v/>
      </c>
      <c r="MW4" s="11" t="str">
        <f t="shared" ref="MW4:MW18" si="146">IF(MG4&gt;0,MG4,"")</f>
        <v/>
      </c>
      <c r="MX4" s="11" t="str">
        <f t="shared" ref="MX4:MX18" si="147">IF(MH4&gt;0,MH4,"")</f>
        <v/>
      </c>
      <c r="MY4" s="11" t="str">
        <f t="shared" ref="MY4:MY18" si="148">IF(SUM(ME4:MH4)-MI4&gt;0,SUM(ME4:MH4)-MI4,"")</f>
        <v/>
      </c>
      <c r="MZ4" s="11" t="str">
        <f t="shared" ref="MZ4:MZ18" si="149">IF(MAX(MV4,MY4)&gt;0,MAX(MV4,MY4),"")</f>
        <v/>
      </c>
      <c r="NA4" s="11" t="str">
        <f t="shared" ref="NA4:NA18" si="150">IF(ML4&gt;0,ML4,"")</f>
        <v/>
      </c>
      <c r="NB4" s="11" t="str">
        <f t="shared" ref="NB4:NB18" si="151">IF(MM4&gt;0,MM4,"")</f>
        <v/>
      </c>
      <c r="NC4" s="11" t="str">
        <f t="shared" ref="NC4:NC18" si="152">IF(SUM(MJ4:MM4)-MN4&gt;0,SUM(MJ4:MM4)-MN4,"")</f>
        <v/>
      </c>
      <c r="ND4" s="11" t="str">
        <f t="shared" ref="ND4:ND18" si="153">IF(MQ4&gt;0,MQ4,"")</f>
        <v/>
      </c>
      <c r="NE4" s="11" t="str">
        <f t="shared" ref="NE4:NE18" si="154">IF(MR4&gt;0,MR4,"")</f>
        <v/>
      </c>
      <c r="NF4" s="11" t="str">
        <f t="shared" ref="NF4:NF18" si="155">IF(SUM(MO4:MR4)-MS4&gt;0,SUM(MO4:MR4)-MS4,"")</f>
        <v/>
      </c>
      <c r="NG4" s="11" t="str">
        <f t="shared" ref="NG4:NG18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8" si="157">IF(NJ4&gt;0,NJ4,"")</f>
        <v/>
      </c>
      <c r="OC4" s="40" t="str">
        <f t="shared" ref="OC4:OC18" si="158">IF(NK4&gt;0,NK4,"")</f>
        <v/>
      </c>
      <c r="OD4" s="40" t="str">
        <f t="shared" ref="OD4:OD18" si="159">IF(SUM(NH4:NK4)-NL4&gt;0,SUM(NH4:NK4)-NL4,"")</f>
        <v/>
      </c>
      <c r="OE4" s="40" t="str">
        <f t="shared" ref="OE4:OE18" si="160">IF(NO4&gt;0,NO4,"")</f>
        <v/>
      </c>
      <c r="OF4" s="40" t="str">
        <f t="shared" ref="OF4:OF18" si="161">IF(NP4&gt;0,NP4,"")</f>
        <v/>
      </c>
      <c r="OG4" s="40" t="str">
        <f t="shared" ref="OG4:OG18" si="162">IF(SUM(NM4:NP4)-NQ4&gt;0,SUM(NM4:NP4)-NQ4,"")</f>
        <v/>
      </c>
      <c r="OH4" s="40" t="str">
        <f t="shared" ref="OH4:OH18" si="163">IF(MAX(OD4,OG4)&gt;0,MAX(OD4,OG4),"")</f>
        <v/>
      </c>
      <c r="OI4" s="40" t="str">
        <f t="shared" ref="OI4:OI18" si="164">IF(NT4&gt;0,NT4,"")</f>
        <v/>
      </c>
      <c r="OJ4" s="40" t="str">
        <f t="shared" ref="OJ4:OJ18" si="165">IF(NU4&gt;0,NU4,"")</f>
        <v/>
      </c>
      <c r="OK4" s="40" t="str">
        <f t="shared" ref="OK4:OK18" si="166">IF(SUM(NR4:NU4)-NV4&gt;0,SUM(NR4:NU4)-NV4,"")</f>
        <v/>
      </c>
      <c r="OL4" s="40" t="str">
        <f t="shared" ref="OL4:OL18" si="167">IF(NY4&gt;0,NY4,"")</f>
        <v/>
      </c>
      <c r="OM4" s="40" t="str">
        <f t="shared" ref="OM4:OM18" si="168">IF(NZ4&gt;0,NZ4,"")</f>
        <v/>
      </c>
      <c r="ON4" s="40" t="str">
        <f t="shared" ref="ON4:ON18" si="169">IF(SUM(NW4:NZ4)-OA4&gt;0,SUM(NW4:NZ4)-OA4,"")</f>
        <v/>
      </c>
      <c r="OO4" s="40" t="str">
        <f t="shared" ref="OO4:OO18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8" si="171">IF(OR4&gt;0,OR4,"")</f>
        <v/>
      </c>
      <c r="PK4" s="11" t="str">
        <f t="shared" ref="PK4:PK18" si="172">IF(OS4&gt;0,OS4,"")</f>
        <v/>
      </c>
      <c r="PL4" s="11" t="str">
        <f t="shared" ref="PL4:PL18" si="173">IF(SUM(OP4:OS4)-OT4&gt;0,SUM(OP4:OS4)-OT4,"")</f>
        <v/>
      </c>
      <c r="PM4" s="11" t="str">
        <f t="shared" ref="PM4:PM18" si="174">IF(OW4&gt;0,OW4,"")</f>
        <v/>
      </c>
      <c r="PN4" s="11" t="str">
        <f t="shared" ref="PN4:PN18" si="175">IF(OX4&gt;0,OX4,"")</f>
        <v/>
      </c>
      <c r="PO4" s="11" t="str">
        <f t="shared" ref="PO4:PO18" si="176">IF(SUM(OU4:OX4)-OY4&gt;0,SUM(OU4:OX4)-OY4,"")</f>
        <v/>
      </c>
      <c r="PP4" s="11" t="str">
        <f t="shared" ref="PP4:PP18" si="177">IF(MAX(PL4,PO4)&gt;0,MAX(PL4,PO4),"")</f>
        <v/>
      </c>
      <c r="PQ4" s="11" t="str">
        <f t="shared" ref="PQ4:PQ18" si="178">IF(PB4&gt;0,PB4,"")</f>
        <v/>
      </c>
      <c r="PR4" s="11" t="str">
        <f t="shared" ref="PR4:PR18" si="179">IF(PC4&gt;0,PC4,"")</f>
        <v/>
      </c>
      <c r="PS4" s="11" t="str">
        <f t="shared" ref="PS4:PS18" si="180">IF(SUM(OZ4:PC4)-PD4&gt;0,SUM(OZ4:PC4)-PD4,"")</f>
        <v/>
      </c>
      <c r="PT4" s="11" t="str">
        <f t="shared" ref="PT4:PT18" si="181">IF(PG4&gt;0,PG4,"")</f>
        <v/>
      </c>
      <c r="PU4" s="11" t="str">
        <f t="shared" ref="PU4:PU18" si="182">IF(PH4&gt;0,PH4,"")</f>
        <v/>
      </c>
      <c r="PV4" s="11" t="str">
        <f t="shared" ref="PV4:PV18" si="183">IF(SUM(PE4:PH4)-PI4&gt;0,SUM(PE4:PH4)-PI4,"")</f>
        <v/>
      </c>
      <c r="PW4" s="11" t="str">
        <f t="shared" ref="PW4:PW18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8" si="185">IF(PZ4&gt;0,PZ4,"")</f>
        <v/>
      </c>
      <c r="QS4" s="40" t="str">
        <f t="shared" ref="QS4:QS18" si="186">IF(QA4&gt;0,QA4,"")</f>
        <v/>
      </c>
      <c r="QT4" s="40" t="str">
        <f t="shared" ref="QT4:QT18" si="187">IF(SUM(PX4:QA4)-QB4&gt;0,SUM(PX4:QA4)-QB4,"")</f>
        <v/>
      </c>
      <c r="QU4" s="40" t="str">
        <f t="shared" ref="QU4:QU18" si="188">IF(QE4&gt;0,QE4,"")</f>
        <v/>
      </c>
      <c r="QV4" s="40" t="str">
        <f t="shared" ref="QV4:QV18" si="189">IF(QF4&gt;0,QF4,"")</f>
        <v/>
      </c>
      <c r="QW4" s="40" t="str">
        <f t="shared" ref="QW4:QW18" si="190">IF(SUM(QC4:QF4)-QG4&gt;0,SUM(QC4:QF4)-QG4,"")</f>
        <v/>
      </c>
      <c r="QX4" s="40" t="str">
        <f t="shared" ref="QX4:QX18" si="191">IF(MAX(QT4,QW4)&gt;0,MAX(QT4,QW4),"")</f>
        <v/>
      </c>
      <c r="QY4" s="40" t="str">
        <f t="shared" ref="QY4:QY18" si="192">IF(QJ4&gt;0,QJ4,"")</f>
        <v/>
      </c>
      <c r="QZ4" s="40" t="str">
        <f t="shared" ref="QZ4:QZ18" si="193">IF(QK4&gt;0,QK4,"")</f>
        <v/>
      </c>
      <c r="RA4" s="40" t="str">
        <f t="shared" ref="RA4:RA18" si="194">IF(SUM(QH4:QK4)-QL4&gt;0,SUM(QH4:QK4)-QL4,"")</f>
        <v/>
      </c>
      <c r="RB4" s="40" t="str">
        <f t="shared" ref="RB4:RB18" si="195">IF(QO4&gt;0,QO4,"")</f>
        <v/>
      </c>
      <c r="RC4" s="40" t="str">
        <f t="shared" ref="RC4:RC18" si="196">IF(QP4&gt;0,QP4,"")</f>
        <v/>
      </c>
      <c r="RD4" s="40" t="str">
        <f t="shared" ref="RD4:RD18" si="197">IF(SUM(QM4:QP4)-QQ4&gt;0,SUM(QM4:QP4)-QQ4,"")</f>
        <v/>
      </c>
      <c r="RE4" s="40" t="str">
        <f t="shared" ref="RE4:RE18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8" si="199">IF(RH4&gt;0,RH4,"")</f>
        <v/>
      </c>
      <c r="SA4" s="11" t="str">
        <f t="shared" ref="SA4:SA18" si="200">IF(RI4&gt;0,RI4,"")</f>
        <v/>
      </c>
      <c r="SB4" s="11" t="str">
        <f t="shared" ref="SB4:SB18" si="201">IF(SUM(RF4:RI4)-RJ4&gt;0,SUM(RF4:RI4)-RJ4,"")</f>
        <v/>
      </c>
      <c r="SC4" s="11" t="str">
        <f t="shared" ref="SC4:SC18" si="202">IF(RM4&gt;0,RM4,"")</f>
        <v/>
      </c>
      <c r="SD4" s="11" t="str">
        <f t="shared" ref="SD4:SD18" si="203">IF(RN4&gt;0,RN4,"")</f>
        <v/>
      </c>
      <c r="SE4" s="11" t="str">
        <f t="shared" ref="SE4:SE18" si="204">IF(SUM(RK4:RN4)-RO4&gt;0,SUM(RK4:RN4)-RO4,"")</f>
        <v/>
      </c>
      <c r="SF4" s="11" t="str">
        <f t="shared" ref="SF4:SF18" si="205">IF(MAX(SB4,SE4)&gt;0,MAX(SB4,SE4),"")</f>
        <v/>
      </c>
      <c r="SG4" s="11" t="str">
        <f t="shared" ref="SG4:SG18" si="206">IF(RR4&gt;0,RR4,"")</f>
        <v/>
      </c>
      <c r="SH4" s="11" t="str">
        <f t="shared" ref="SH4:SH18" si="207">IF(RS4&gt;0,RS4,"")</f>
        <v/>
      </c>
      <c r="SI4" s="11" t="str">
        <f t="shared" ref="SI4:SI18" si="208">IF(SUM(RP4:RS4)-RT4&gt;0,SUM(RP4:RS4)-RT4,"")</f>
        <v/>
      </c>
      <c r="SJ4" s="11" t="str">
        <f t="shared" ref="SJ4:SJ18" si="209">IF(RW4&gt;0,RW4,"")</f>
        <v/>
      </c>
      <c r="SK4" s="11" t="str">
        <f t="shared" ref="SK4:SK18" si="210">IF(RX4&gt;0,RX4,"")</f>
        <v/>
      </c>
      <c r="SL4" s="11" t="str">
        <f t="shared" ref="SL4:SL18" si="211">IF(SUM(RU4:RX4)-RY4&gt;0,SUM(RU4:RX4)-RY4,"")</f>
        <v/>
      </c>
      <c r="SM4" s="11" t="str">
        <f t="shared" ref="SM4:SM18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8" si="213">IF(SP4&gt;0,SP4,"")</f>
        <v/>
      </c>
      <c r="TI4" s="40" t="str">
        <f t="shared" ref="TI4:TI18" si="214">IF(SQ4&gt;0,SQ4,"")</f>
        <v/>
      </c>
      <c r="TJ4" s="40" t="str">
        <f t="shared" ref="TJ4:TJ18" si="215">IF(SUM(SN4:SQ4)-SR4&gt;0,SUM(SN4:SQ4)-SR4,"")</f>
        <v/>
      </c>
      <c r="TK4" s="40" t="str">
        <f t="shared" ref="TK4:TK18" si="216">IF(SU4&gt;0,SU4,"")</f>
        <v/>
      </c>
      <c r="TL4" s="40" t="str">
        <f t="shared" ref="TL4:TL18" si="217">IF(SV4&gt;0,SV4,"")</f>
        <v/>
      </c>
      <c r="TM4" s="40" t="str">
        <f t="shared" ref="TM4:TM18" si="218">IF(SUM(SS4:SV4)-SW4&gt;0,SUM(SS4:SV4)-SW4,"")</f>
        <v/>
      </c>
      <c r="TN4" s="40" t="str">
        <f t="shared" ref="TN4:TN18" si="219">IF(MAX(TJ4,TM4)&gt;0,MAX(TJ4,TM4),"")</f>
        <v/>
      </c>
      <c r="TO4" s="40" t="str">
        <f t="shared" ref="TO4:TO18" si="220">IF(SZ4&gt;0,SZ4,"")</f>
        <v/>
      </c>
      <c r="TP4" s="40" t="str">
        <f t="shared" ref="TP4:TP18" si="221">IF(TA4&gt;0,TA4,"")</f>
        <v/>
      </c>
      <c r="TQ4" s="40" t="str">
        <f t="shared" ref="TQ4:TQ18" si="222">IF(SUM(SX4:TA4)-TB4&gt;0,SUM(SX4:TA4)-TB4,"")</f>
        <v/>
      </c>
      <c r="TR4" s="40" t="str">
        <f t="shared" ref="TR4:TR18" si="223">IF(TE4&gt;0,TE4,"")</f>
        <v/>
      </c>
      <c r="TS4" s="40" t="str">
        <f t="shared" ref="TS4:TS18" si="224">IF(TF4&gt;0,TF4,"")</f>
        <v/>
      </c>
      <c r="TT4" s="40" t="str">
        <f t="shared" ref="TT4:TT18" si="225">IF(SUM(TC4:TF4)-TG4&gt;0,SUM(TC4:TF4)-TG4,"")</f>
        <v/>
      </c>
      <c r="TU4" s="40" t="str">
        <f t="shared" ref="TU4:TU18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8" si="227">IF(TX4&gt;0,TX4,"")</f>
        <v/>
      </c>
      <c r="UQ4" s="11" t="str">
        <f t="shared" ref="UQ4:UQ18" si="228">IF(TY4&gt;0,TY4,"")</f>
        <v/>
      </c>
      <c r="UR4" s="11" t="str">
        <f t="shared" ref="UR4:UR18" si="229">IF(SUM(TV4:TY4)-TZ4&gt;0,SUM(TV4:TY4)-TZ4,"")</f>
        <v/>
      </c>
      <c r="US4" s="11" t="str">
        <f t="shared" ref="US4:US18" si="230">IF(UC4&gt;0,UC4,"")</f>
        <v/>
      </c>
      <c r="UT4" s="11" t="str">
        <f t="shared" ref="UT4:UT18" si="231">IF(UD4&gt;0,UD4,"")</f>
        <v/>
      </c>
      <c r="UU4" s="11" t="str">
        <f t="shared" ref="UU4:UU18" si="232">IF(SUM(UA4:UD4)-UE4&gt;0,SUM(UA4:UD4)-UE4,"")</f>
        <v/>
      </c>
      <c r="UV4" s="11" t="str">
        <f t="shared" ref="UV4:UV18" si="233">IF(MAX(UR4,UU4)&gt;0,MAX(UR4,UU4),"")</f>
        <v/>
      </c>
      <c r="UW4" s="11" t="str">
        <f t="shared" ref="UW4:UW18" si="234">IF(UH4&gt;0,UH4,"")</f>
        <v/>
      </c>
      <c r="UX4" s="11" t="str">
        <f t="shared" ref="UX4:UX18" si="235">IF(UI4&gt;0,UI4,"")</f>
        <v/>
      </c>
      <c r="UY4" s="11" t="str">
        <f t="shared" ref="UY4:UY18" si="236">IF(SUM(UF4:UI4)-UJ4&gt;0,SUM(UF4:UI4)-UJ4,"")</f>
        <v/>
      </c>
      <c r="UZ4" s="11" t="str">
        <f t="shared" ref="UZ4:UZ18" si="237">IF(UM4&gt;0,UM4,"")</f>
        <v/>
      </c>
      <c r="VA4" s="11" t="str">
        <f t="shared" ref="VA4:VA18" si="238">IF(UN4&gt;0,UN4,"")</f>
        <v/>
      </c>
      <c r="VB4" s="11" t="str">
        <f t="shared" ref="VB4:VB18" si="239">IF(SUM(UK4:UN4)-UO4&gt;0,SUM(UK4:UN4)-UO4,"")</f>
        <v/>
      </c>
      <c r="VC4" s="11" t="str">
        <f t="shared" ref="VC4:VC18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8" si="241">IF(VF4&gt;0,VF4,"")</f>
        <v/>
      </c>
      <c r="VY4" s="40" t="str">
        <f t="shared" ref="VY4:VY18" si="242">IF(VG4&gt;0,VG4,"")</f>
        <v/>
      </c>
      <c r="VZ4" s="40" t="str">
        <f t="shared" ref="VZ4:VZ18" si="243">IF(SUM(VD4:VG4)-VH4&gt;0,SUM(VD4:VG4)-VH4,"")</f>
        <v/>
      </c>
      <c r="WA4" s="40" t="str">
        <f t="shared" ref="WA4:WA18" si="244">IF(VK4&gt;0,VK4,"")</f>
        <v/>
      </c>
      <c r="WB4" s="40" t="str">
        <f t="shared" ref="WB4:WB18" si="245">IF(VL4&gt;0,VL4,"")</f>
        <v/>
      </c>
      <c r="WC4" s="40" t="str">
        <f t="shared" ref="WC4:WC18" si="246">IF(SUM(VI4:VL4)-VM4&gt;0,SUM(VI4:VL4)-VM4,"")</f>
        <v/>
      </c>
      <c r="WD4" s="40" t="str">
        <f t="shared" ref="WD4:WD18" si="247">IF(MAX(VZ4,WC4)&gt;0,MAX(VZ4,WC4),"")</f>
        <v/>
      </c>
      <c r="WE4" s="40" t="str">
        <f t="shared" ref="WE4:WE18" si="248">IF(VP4&gt;0,VP4,"")</f>
        <v/>
      </c>
      <c r="WF4" s="40" t="str">
        <f t="shared" ref="WF4:WF18" si="249">IF(VQ4&gt;0,VQ4,"")</f>
        <v/>
      </c>
      <c r="WG4" s="40" t="str">
        <f t="shared" ref="WG4:WG18" si="250">IF(SUM(VN4:VQ4)-VR4&gt;0,SUM(VN4:VQ4)-VR4,"")</f>
        <v/>
      </c>
      <c r="WH4" s="40" t="str">
        <f t="shared" ref="WH4:WH18" si="251">IF(VU4&gt;0,VU4,"")</f>
        <v/>
      </c>
      <c r="WI4" s="40" t="str">
        <f t="shared" ref="WI4:WI18" si="252">IF(VV4&gt;0,VV4,"")</f>
        <v/>
      </c>
      <c r="WJ4" s="40" t="str">
        <f t="shared" ref="WJ4:WJ18" si="253">IF(SUM(VS4:VV4)-VW4&gt;0,SUM(VS4:VV4)-VW4,"")</f>
        <v/>
      </c>
      <c r="WK4" s="40" t="str">
        <f t="shared" ref="WK4:WK18" si="254">IF(SUM(WD4,WJ4)&gt;0,SUM(WD4,WJ4),"")</f>
        <v/>
      </c>
      <c r="WL4" s="26">
        <f t="shared" ref="WL4:WL18" si="255">IF($CH4="P",BS4,(BS4+AR4)/2)</f>
        <v>4.25</v>
      </c>
      <c r="WM4" s="26">
        <f t="shared" ref="WM4:WM18" si="256">IF($CH4="P",BT4,(BT4+AS4)/2)</f>
        <v>4.5999999999999996</v>
      </c>
      <c r="WN4" s="26">
        <f t="shared" ref="WN4:WN18" si="257">IF($CH4="P",BU4,(BU4+AT4)/2)</f>
        <v>7.3</v>
      </c>
      <c r="WO4" s="26">
        <f t="shared" ref="WO4:WO18" si="258">IF($CH4="P",BV4,(BV4+AU4)/2)</f>
        <v>9.06</v>
      </c>
      <c r="WP4" s="26">
        <f t="shared" ref="WP4:WP18" si="259">IF($CH4="P",BW4,(BW4+AV4)/2)</f>
        <v>0.2</v>
      </c>
      <c r="WQ4" s="26">
        <f t="shared" ref="WQ4:WQ18" si="260">IF($CH4="P",BX4,(BX4+AW4)/2)</f>
        <v>1.175</v>
      </c>
      <c r="WR4" s="26">
        <f t="shared" ref="WR4:WR18" si="261">IF($CH4="P",BY4,(BY4+AX4)/2)</f>
        <v>1.4</v>
      </c>
      <c r="WS4" s="26">
        <f t="shared" ref="WS4:WS18" si="262">IF($CH4="P",BZ4,(BZ4+AY4)/2)</f>
        <v>2.75</v>
      </c>
      <c r="WT4" s="26">
        <f t="shared" ref="WT4:WT18" si="263">IF($CH4="P",CA4,(CA4+AZ4)/2)</f>
        <v>2.6</v>
      </c>
      <c r="WU4" s="26">
        <f t="shared" ref="WU4:WU18" si="264">IF($CH4="P",CB4,(CB4+BA4)/2)</f>
        <v>0</v>
      </c>
      <c r="WV4" s="26">
        <f t="shared" ref="WV4:WV18" si="265">IF($CH4="P",CC4,(CC4+BB4)/2)</f>
        <v>4.0750000000000002</v>
      </c>
      <c r="WW4" s="26">
        <f t="shared" ref="WW4:WW18" si="266">IF($CH4="P",CD4,(CD4+BC4)/2)</f>
        <v>4.6500000000000004</v>
      </c>
      <c r="WX4" s="26">
        <f t="shared" ref="WX4:WX18" si="267">IF($CH4="P",CE4,(CE4+BD4)/2)</f>
        <v>7.3</v>
      </c>
      <c r="WY4" s="26">
        <f t="shared" ref="WY4:WY18" si="268">IF($CH4="P",CF4,(CF4+BE4)/2)</f>
        <v>8.0500000000000007</v>
      </c>
      <c r="WZ4" s="26">
        <f t="shared" ref="WZ4:WZ18" si="269">IF($CH4="P",CG4,(CG4+BF4)/2)</f>
        <v>0</v>
      </c>
      <c r="XA4" s="28" t="s">
        <v>53</v>
      </c>
      <c r="XB4" s="11">
        <f t="shared" ref="XB4:XB18" si="270">IF(WN4&gt;0,WN4,"")</f>
        <v>7.3</v>
      </c>
      <c r="XC4" s="11">
        <f t="shared" ref="XC4:XC18" si="271">IF(WO4&gt;0,WO4,"")</f>
        <v>9.06</v>
      </c>
      <c r="XD4" s="11">
        <f t="shared" ref="XD4:XD18" si="272">IF(SUM(WL4:WO4)-WP4&gt;0,SUM(WL4:WO4)-WP4,"")</f>
        <v>25.01</v>
      </c>
      <c r="XE4" s="11">
        <f t="shared" ref="XE4:XE18" si="273">IF(WS4&gt;0,WS4,"")</f>
        <v>2.75</v>
      </c>
      <c r="XF4" s="11">
        <f t="shared" ref="XF4:XF18" si="274">IF(WT4&gt;0,WT4,"")</f>
        <v>2.6</v>
      </c>
      <c r="XG4" s="11">
        <f t="shared" ref="XG4:XG18" si="275">IF(SUM(WQ4:WT4)-WU4&gt;0,SUM(WQ4:WT4)-WU4,"")</f>
        <v>7.9250000000000007</v>
      </c>
      <c r="XH4" s="11">
        <f t="shared" ref="XH4:XH18" si="276">IF(MAX(XD4,XG4)&gt;0,MAX(XD4,XG4),"")</f>
        <v>25.01</v>
      </c>
      <c r="XI4" s="11">
        <f t="shared" ref="XI4:XI18" si="277">IF(WX4&gt;0,WX4,"")</f>
        <v>7.3</v>
      </c>
      <c r="XJ4" s="11">
        <f t="shared" ref="XJ4:XJ18" si="278">IF(WY4&gt;0,WY4,"")</f>
        <v>8.0500000000000007</v>
      </c>
      <c r="XK4" s="11">
        <f t="shared" ref="XK4:XK18" si="279">IF(SUM(WV4:WY4)-WZ4&gt;0,SUM(WV4:WY4)-WZ4,"")</f>
        <v>24.075000000000003</v>
      </c>
      <c r="XL4" s="11">
        <f t="shared" ref="XL4:XL18" si="280"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 t="shared" si="0"/>
        <v>89.25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49.849999999999994</v>
      </c>
      <c r="K5" s="8" t="str">
        <f t="shared" si="5"/>
        <v>2024 Elite Canada</v>
      </c>
      <c r="L5" s="8">
        <f>IF(COUNT(AI5,AL5,AP5,BJ5,BM5,BQ5,CK5,CN5,CR5)&gt;1,LARGE((AI5,AL5,AP5,BJ5,BM5,BQ5,CK5,CN5,CR5),2),0)</f>
        <v>39.4</v>
      </c>
      <c r="M5" s="8" t="str">
        <f t="shared" si="6"/>
        <v>2024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 t="shared" si="10"/>
        <v>10.3</v>
      </c>
      <c r="AH5" s="38">
        <f t="shared" si="11"/>
        <v>11.84</v>
      </c>
      <c r="AI5" s="40">
        <f t="shared" si="12"/>
        <v>34.489999999999995</v>
      </c>
      <c r="AJ5" s="40">
        <f t="shared" si="13"/>
        <v>14.2</v>
      </c>
      <c r="AK5" s="40">
        <f t="shared" si="14"/>
        <v>17.899999999999999</v>
      </c>
      <c r="AL5" s="40">
        <f t="shared" si="15"/>
        <v>49.849999999999994</v>
      </c>
      <c r="AM5" s="40">
        <f t="shared" si="16"/>
        <v>49.849999999999994</v>
      </c>
      <c r="AN5" s="40">
        <f t="shared" si="17"/>
        <v>9.8000000000000007</v>
      </c>
      <c r="AO5" s="40">
        <f t="shared" si="18"/>
        <v>14.9</v>
      </c>
      <c r="AP5" s="40">
        <f t="shared" si="19"/>
        <v>39.4</v>
      </c>
      <c r="AQ5" s="40">
        <f t="shared" si="20"/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 t="shared" si="21"/>
        <v/>
      </c>
      <c r="BI5" s="39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0</v>
      </c>
      <c r="WM5" s="26">
        <f t="shared" si="256"/>
        <v>0</v>
      </c>
      <c r="WN5" s="26">
        <f t="shared" si="257"/>
        <v>0</v>
      </c>
      <c r="WO5" s="26">
        <f t="shared" si="258"/>
        <v>0</v>
      </c>
      <c r="WP5" s="26">
        <f t="shared" si="259"/>
        <v>0</v>
      </c>
      <c r="WQ5" s="26">
        <f t="shared" si="260"/>
        <v>0</v>
      </c>
      <c r="WR5" s="26">
        <f t="shared" si="261"/>
        <v>0</v>
      </c>
      <c r="WS5" s="26">
        <f t="shared" si="262"/>
        <v>0</v>
      </c>
      <c r="WT5" s="26">
        <f t="shared" si="263"/>
        <v>0</v>
      </c>
      <c r="WU5" s="26">
        <f t="shared" si="264"/>
        <v>0</v>
      </c>
      <c r="WV5" s="26">
        <f t="shared" si="265"/>
        <v>0</v>
      </c>
      <c r="WW5" s="26">
        <f t="shared" si="266"/>
        <v>0</v>
      </c>
      <c r="WX5" s="26">
        <f t="shared" si="267"/>
        <v>0</v>
      </c>
      <c r="WY5" s="26">
        <f t="shared" si="268"/>
        <v>0</v>
      </c>
      <c r="WZ5" s="26">
        <f t="shared" si="269"/>
        <v>0</v>
      </c>
      <c r="XA5" s="28" t="s">
        <v>53</v>
      </c>
      <c r="XB5" s="11" t="str">
        <f t="shared" si="270"/>
        <v/>
      </c>
      <c r="XC5" s="11" t="str">
        <f t="shared" si="271"/>
        <v/>
      </c>
      <c r="XD5" s="11" t="str">
        <f t="shared" si="272"/>
        <v/>
      </c>
      <c r="XE5" s="11" t="str">
        <f t="shared" si="273"/>
        <v/>
      </c>
      <c r="XF5" s="11" t="str">
        <f t="shared" si="274"/>
        <v/>
      </c>
      <c r="XG5" s="11" t="str">
        <f t="shared" si="275"/>
        <v/>
      </c>
      <c r="XH5" s="11" t="str">
        <f t="shared" si="276"/>
        <v/>
      </c>
      <c r="XI5" s="11" t="str">
        <f t="shared" si="277"/>
        <v/>
      </c>
      <c r="XJ5" s="11" t="str">
        <f t="shared" si="278"/>
        <v/>
      </c>
      <c r="XK5" s="11" t="str">
        <f t="shared" si="279"/>
        <v/>
      </c>
      <c r="XL5" s="11" t="str">
        <f t="shared" si="280"/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 t="shared" si="0"/>
        <v>95.11</v>
      </c>
      <c r="F6" s="3" t="str">
        <f t="shared" si="1"/>
        <v/>
      </c>
      <c r="G6" s="3" t="str">
        <f t="shared" si="2"/>
        <v>P</v>
      </c>
      <c r="H6" s="36" t="str">
        <f t="shared" si="3"/>
        <v>No DD</v>
      </c>
      <c r="I6" s="3" t="str">
        <f t="shared" si="4"/>
        <v/>
      </c>
      <c r="J6" s="8">
        <f>IF(COUNT(AI6,AL6,AP6,BJ6,BM6,BQ6,CK6,CN6,CR6)&gt;0,LARGE((AI6,AL6,AP6,BJ6,BM6,BQ6,CK6,CN6,CR6),1),0)</f>
        <v>47.7</v>
      </c>
      <c r="K6" s="8" t="str">
        <f t="shared" si="5"/>
        <v>2024 Nationals</v>
      </c>
      <c r="L6" s="8">
        <f>IF(COUNT(AI6,AL6,AP6,BJ6,BM6,BQ6,CK6,CN6,CR6)&gt;1,LARGE((AI6,AL6,AP6,BJ6,BM6,BQ6,CK6,CN6,CR6),2),0)</f>
        <v>47.41</v>
      </c>
      <c r="M6" s="8" t="str">
        <f t="shared" si="6"/>
        <v>2024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 t="shared" si="10"/>
        <v>6.2</v>
      </c>
      <c r="AH6" s="38">
        <f t="shared" si="11"/>
        <v>10.78</v>
      </c>
      <c r="AI6" s="40">
        <f t="shared" si="12"/>
        <v>27.53</v>
      </c>
      <c r="AJ6" s="40">
        <f t="shared" si="13"/>
        <v>11.2</v>
      </c>
      <c r="AK6" s="40">
        <f t="shared" si="14"/>
        <v>18.66</v>
      </c>
      <c r="AL6" s="40">
        <f t="shared" si="15"/>
        <v>47.41</v>
      </c>
      <c r="AM6" s="40">
        <f t="shared" si="16"/>
        <v>47.41</v>
      </c>
      <c r="AN6" s="40">
        <f t="shared" si="17"/>
        <v>8.6999999999999993</v>
      </c>
      <c r="AO6" s="40">
        <f t="shared" si="18"/>
        <v>13.36</v>
      </c>
      <c r="AP6" s="40">
        <f t="shared" si="19"/>
        <v>36.31</v>
      </c>
      <c r="AQ6" s="40">
        <f t="shared" si="20"/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 t="shared" si="21"/>
        <v>3.8</v>
      </c>
      <c r="BI6" s="39">
        <f t="shared" si="22"/>
        <v>3.7</v>
      </c>
      <c r="BJ6" s="11">
        <f t="shared" si="23"/>
        <v>12.7</v>
      </c>
      <c r="BK6" s="11">
        <f t="shared" si="24"/>
        <v>11.2</v>
      </c>
      <c r="BL6" s="11">
        <f t="shared" si="25"/>
        <v>18.32</v>
      </c>
      <c r="BM6" s="11">
        <f t="shared" si="26"/>
        <v>46.82</v>
      </c>
      <c r="BN6" s="11">
        <f t="shared" si="27"/>
        <v>46.82</v>
      </c>
      <c r="BO6" s="11">
        <f t="shared" si="28"/>
        <v>11.2</v>
      </c>
      <c r="BP6" s="11">
        <f t="shared" si="29"/>
        <v>19</v>
      </c>
      <c r="BQ6" s="11">
        <f t="shared" si="30"/>
        <v>47.7</v>
      </c>
      <c r="BR6" s="11">
        <f t="shared" si="31"/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1.2250000000000001</v>
      </c>
      <c r="WM6" s="26">
        <f t="shared" si="256"/>
        <v>1.375</v>
      </c>
      <c r="WN6" s="26">
        <f t="shared" si="257"/>
        <v>1.9</v>
      </c>
      <c r="WO6" s="26">
        <f t="shared" si="258"/>
        <v>1.85</v>
      </c>
      <c r="WP6" s="26">
        <f t="shared" si="259"/>
        <v>0</v>
      </c>
      <c r="WQ6" s="26">
        <f t="shared" si="260"/>
        <v>4.0250000000000004</v>
      </c>
      <c r="WR6" s="26">
        <f t="shared" si="261"/>
        <v>4.625</v>
      </c>
      <c r="WS6" s="26">
        <f t="shared" si="262"/>
        <v>5.6</v>
      </c>
      <c r="WT6" s="26">
        <f t="shared" si="263"/>
        <v>9.16</v>
      </c>
      <c r="WU6" s="26">
        <f t="shared" si="264"/>
        <v>0</v>
      </c>
      <c r="WV6" s="26">
        <f t="shared" si="265"/>
        <v>4.05</v>
      </c>
      <c r="WW6" s="26">
        <f t="shared" si="266"/>
        <v>4.7</v>
      </c>
      <c r="WX6" s="26">
        <f t="shared" si="267"/>
        <v>5.6</v>
      </c>
      <c r="WY6" s="26">
        <f t="shared" si="268"/>
        <v>9.5</v>
      </c>
      <c r="WZ6" s="26">
        <f t="shared" si="269"/>
        <v>0</v>
      </c>
      <c r="XA6" s="28" t="s">
        <v>53</v>
      </c>
      <c r="XB6" s="11">
        <f t="shared" si="270"/>
        <v>1.9</v>
      </c>
      <c r="XC6" s="11">
        <f t="shared" si="271"/>
        <v>1.85</v>
      </c>
      <c r="XD6" s="11">
        <f t="shared" si="272"/>
        <v>6.35</v>
      </c>
      <c r="XE6" s="11">
        <f t="shared" si="273"/>
        <v>5.6</v>
      </c>
      <c r="XF6" s="11">
        <f t="shared" si="274"/>
        <v>9.16</v>
      </c>
      <c r="XG6" s="11">
        <f t="shared" si="275"/>
        <v>23.41</v>
      </c>
      <c r="XH6" s="11">
        <f t="shared" si="276"/>
        <v>23.41</v>
      </c>
      <c r="XI6" s="11">
        <f t="shared" si="277"/>
        <v>5.6</v>
      </c>
      <c r="XJ6" s="11">
        <f t="shared" si="278"/>
        <v>9.5</v>
      </c>
      <c r="XK6" s="11">
        <f t="shared" si="279"/>
        <v>23.85</v>
      </c>
      <c r="XL6" s="11">
        <f t="shared" si="280"/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 t="shared" si="0"/>
        <v>92.2</v>
      </c>
      <c r="F7" s="3" t="str">
        <f t="shared" si="1"/>
        <v/>
      </c>
      <c r="G7" s="3" t="str">
        <f t="shared" si="2"/>
        <v>P</v>
      </c>
      <c r="H7" s="36" t="str">
        <f t="shared" si="3"/>
        <v>No DD</v>
      </c>
      <c r="I7" s="3" t="str">
        <f t="shared" si="4"/>
        <v/>
      </c>
      <c r="J7" s="8">
        <f>IF(COUNT(AI7,AL7,AP7,BJ7,BM7,BQ7,CK7,CN7,CR7)&gt;0,LARGE((AI7,AL7,AP7,BJ7,BM7,BQ7,CK7,CN7,CR7),1),0)</f>
        <v>47.73</v>
      </c>
      <c r="K7" s="8" t="str">
        <f t="shared" si="5"/>
        <v>2024 Elite Canada</v>
      </c>
      <c r="L7" s="8">
        <f>IF(COUNT(AI7,AL7,AP7,BJ7,BM7,BQ7,CK7,CN7,CR7)&gt;1,LARGE((AI7,AL7,AP7,BJ7,BM7,BQ7,CK7,CN7,CR7),2),0)</f>
        <v>44.470000000000006</v>
      </c>
      <c r="M7" s="8" t="str">
        <f t="shared" si="6"/>
        <v>2024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 t="shared" si="10"/>
        <v>11.1</v>
      </c>
      <c r="AH7" s="38">
        <f t="shared" si="11"/>
        <v>16.12</v>
      </c>
      <c r="AI7" s="40">
        <f t="shared" si="12"/>
        <v>44.470000000000006</v>
      </c>
      <c r="AJ7" s="40">
        <f t="shared" si="13"/>
        <v>11.1</v>
      </c>
      <c r="AK7" s="40">
        <f t="shared" si="14"/>
        <v>18.579999999999998</v>
      </c>
      <c r="AL7" s="40">
        <f t="shared" si="15"/>
        <v>47.73</v>
      </c>
      <c r="AM7" s="40">
        <f t="shared" si="16"/>
        <v>47.73</v>
      </c>
      <c r="AN7" s="40">
        <f t="shared" si="17"/>
        <v>2.7</v>
      </c>
      <c r="AO7" s="40">
        <f t="shared" si="18"/>
        <v>3.38</v>
      </c>
      <c r="AP7" s="40">
        <f t="shared" si="19"/>
        <v>9.73</v>
      </c>
      <c r="AQ7" s="40">
        <f t="shared" si="20"/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</v>
      </c>
      <c r="WM7" s="26">
        <f t="shared" si="256"/>
        <v>0</v>
      </c>
      <c r="WN7" s="26">
        <f t="shared" si="257"/>
        <v>0</v>
      </c>
      <c r="WO7" s="26">
        <f t="shared" si="258"/>
        <v>0</v>
      </c>
      <c r="WP7" s="26">
        <f t="shared" si="259"/>
        <v>0</v>
      </c>
      <c r="WQ7" s="26">
        <f t="shared" si="260"/>
        <v>0</v>
      </c>
      <c r="WR7" s="26">
        <f t="shared" si="261"/>
        <v>0</v>
      </c>
      <c r="WS7" s="26">
        <f t="shared" si="262"/>
        <v>0</v>
      </c>
      <c r="WT7" s="26">
        <f t="shared" si="263"/>
        <v>0</v>
      </c>
      <c r="WU7" s="26">
        <f t="shared" si="264"/>
        <v>0</v>
      </c>
      <c r="WV7" s="26">
        <f t="shared" si="265"/>
        <v>0</v>
      </c>
      <c r="WW7" s="26">
        <f t="shared" si="266"/>
        <v>0</v>
      </c>
      <c r="WX7" s="26">
        <f t="shared" si="267"/>
        <v>0</v>
      </c>
      <c r="WY7" s="26">
        <f t="shared" si="268"/>
        <v>0</v>
      </c>
      <c r="WZ7" s="26">
        <f t="shared" si="269"/>
        <v>0</v>
      </c>
      <c r="XA7" s="28" t="s">
        <v>53</v>
      </c>
      <c r="XB7" s="11" t="str">
        <f t="shared" si="270"/>
        <v/>
      </c>
      <c r="XC7" s="11" t="str">
        <f t="shared" si="271"/>
        <v/>
      </c>
      <c r="XD7" s="11" t="str">
        <f t="shared" si="272"/>
        <v/>
      </c>
      <c r="XE7" s="11" t="str">
        <f t="shared" si="273"/>
        <v/>
      </c>
      <c r="XF7" s="11" t="str">
        <f t="shared" si="274"/>
        <v/>
      </c>
      <c r="XG7" s="11" t="str">
        <f t="shared" si="275"/>
        <v/>
      </c>
      <c r="XH7" s="11" t="str">
        <f t="shared" si="276"/>
        <v/>
      </c>
      <c r="XI7" s="11" t="str">
        <f t="shared" si="277"/>
        <v/>
      </c>
      <c r="XJ7" s="11" t="str">
        <f t="shared" si="278"/>
        <v/>
      </c>
      <c r="XK7" s="11" t="str">
        <f t="shared" si="279"/>
        <v/>
      </c>
      <c r="XL7" s="11" t="str">
        <f t="shared" si="280"/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 t="shared" si="0"/>
        <v>89.96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45.8</v>
      </c>
      <c r="K8" s="8" t="str">
        <f t="shared" si="5"/>
        <v>2024 Nationals</v>
      </c>
      <c r="L8" s="8">
        <f>IF(COUNT(AI8,AL8,AP8,BJ8,BM8,BQ8,CK8,CN8,CR8)&gt;1,LARGE((AI8,AL8,AP8,BJ8,BM8,BQ8,CK8,CN8,CR8),2),0)</f>
        <v>44.16</v>
      </c>
      <c r="M8" s="8" t="str">
        <f t="shared" si="6"/>
        <v>2024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 t="shared" si="21"/>
        <v>3.8</v>
      </c>
      <c r="BI8" s="39">
        <f t="shared" si="22"/>
        <v>4.92</v>
      </c>
      <c r="BJ8" s="11">
        <f t="shared" si="23"/>
        <v>14.020000000000001</v>
      </c>
      <c r="BK8" s="11">
        <f t="shared" si="24"/>
        <v>11.1</v>
      </c>
      <c r="BL8" s="11">
        <f t="shared" si="25"/>
        <v>16.760000000000002</v>
      </c>
      <c r="BM8" s="11">
        <f t="shared" si="26"/>
        <v>44.16</v>
      </c>
      <c r="BN8" s="11">
        <f t="shared" si="27"/>
        <v>44.16</v>
      </c>
      <c r="BO8" s="11">
        <f t="shared" si="28"/>
        <v>12.2</v>
      </c>
      <c r="BP8" s="11">
        <f t="shared" si="29"/>
        <v>17.7</v>
      </c>
      <c r="BQ8" s="11">
        <f t="shared" si="30"/>
        <v>45.8</v>
      </c>
      <c r="BR8" s="11">
        <f t="shared" si="31"/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1.175</v>
      </c>
      <c r="WM8" s="26">
        <f t="shared" si="256"/>
        <v>1.4750000000000001</v>
      </c>
      <c r="WN8" s="26">
        <f t="shared" si="257"/>
        <v>1.9</v>
      </c>
      <c r="WO8" s="26">
        <f t="shared" si="258"/>
        <v>2.46</v>
      </c>
      <c r="WP8" s="26">
        <f t="shared" si="259"/>
        <v>0</v>
      </c>
      <c r="WQ8" s="26">
        <f t="shared" si="260"/>
        <v>3.4249999999999998</v>
      </c>
      <c r="WR8" s="26">
        <f t="shared" si="261"/>
        <v>4.7249999999999996</v>
      </c>
      <c r="WS8" s="26">
        <f t="shared" si="262"/>
        <v>5.55</v>
      </c>
      <c r="WT8" s="26">
        <f t="shared" si="263"/>
        <v>8.3800000000000008</v>
      </c>
      <c r="WU8" s="26">
        <f t="shared" si="264"/>
        <v>0</v>
      </c>
      <c r="WV8" s="26">
        <f t="shared" si="265"/>
        <v>3.375</v>
      </c>
      <c r="WW8" s="26">
        <f t="shared" si="266"/>
        <v>4.5750000000000002</v>
      </c>
      <c r="WX8" s="26">
        <f t="shared" si="267"/>
        <v>6.1</v>
      </c>
      <c r="WY8" s="26">
        <f t="shared" si="268"/>
        <v>8.85</v>
      </c>
      <c r="WZ8" s="26">
        <f t="shared" si="269"/>
        <v>0</v>
      </c>
      <c r="XA8" s="28" t="s">
        <v>53</v>
      </c>
      <c r="XB8" s="11">
        <f t="shared" si="270"/>
        <v>1.9</v>
      </c>
      <c r="XC8" s="11">
        <f t="shared" si="271"/>
        <v>2.46</v>
      </c>
      <c r="XD8" s="11">
        <f t="shared" si="272"/>
        <v>7.0100000000000007</v>
      </c>
      <c r="XE8" s="11">
        <f t="shared" si="273"/>
        <v>5.55</v>
      </c>
      <c r="XF8" s="11">
        <f t="shared" si="274"/>
        <v>8.3800000000000008</v>
      </c>
      <c r="XG8" s="11">
        <f t="shared" si="275"/>
        <v>22.08</v>
      </c>
      <c r="XH8" s="11">
        <f t="shared" si="276"/>
        <v>22.08</v>
      </c>
      <c r="XI8" s="11">
        <f t="shared" si="277"/>
        <v>6.1</v>
      </c>
      <c r="XJ8" s="11">
        <f t="shared" si="278"/>
        <v>8.85</v>
      </c>
      <c r="XK8" s="11">
        <f t="shared" si="279"/>
        <v>22.9</v>
      </c>
      <c r="XL8" s="11">
        <f t="shared" si="280"/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 t="shared" si="0"/>
        <v>85.31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45.08</v>
      </c>
      <c r="K9" s="8" t="str">
        <f t="shared" si="5"/>
        <v>2024 Nationals</v>
      </c>
      <c r="L9" s="8">
        <f>IF(COUNT(AI9,AL9,AP9,BJ9,BM9,BQ9,CK9,CN9,CR9)&gt;1,LARGE((AI9,AL9,AP9,BJ9,BM9,BQ9,CK9,CN9,CR9),2),0)</f>
        <v>40.230000000000004</v>
      </c>
      <c r="M9" s="8" t="str">
        <f t="shared" si="6"/>
        <v>2024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 t="shared" si="21"/>
        <v>12.6</v>
      </c>
      <c r="BI9" s="39">
        <f t="shared" si="22"/>
        <v>15.78</v>
      </c>
      <c r="BJ9" s="11">
        <f t="shared" si="23"/>
        <v>45.08</v>
      </c>
      <c r="BK9" s="11">
        <f t="shared" si="24"/>
        <v>11</v>
      </c>
      <c r="BL9" s="11">
        <f t="shared" si="25"/>
        <v>14.48</v>
      </c>
      <c r="BM9" s="11">
        <f t="shared" si="26"/>
        <v>40.230000000000004</v>
      </c>
      <c r="BN9" s="11">
        <f t="shared" si="27"/>
        <v>45.08</v>
      </c>
      <c r="BO9" s="11">
        <f t="shared" si="28"/>
        <v>3.1</v>
      </c>
      <c r="BP9" s="11">
        <f t="shared" si="29"/>
        <v>3.22</v>
      </c>
      <c r="BQ9" s="11">
        <f t="shared" si="30"/>
        <v>9.620000000000001</v>
      </c>
      <c r="BR9" s="11">
        <f t="shared" si="31"/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3.7250000000000001</v>
      </c>
      <c r="WM9" s="26">
        <f t="shared" si="256"/>
        <v>4.625</v>
      </c>
      <c r="WN9" s="26">
        <f t="shared" si="257"/>
        <v>6.3</v>
      </c>
      <c r="WO9" s="26">
        <f t="shared" si="258"/>
        <v>7.89</v>
      </c>
      <c r="WP9" s="26">
        <f t="shared" si="259"/>
        <v>0</v>
      </c>
      <c r="WQ9" s="26">
        <f t="shared" si="260"/>
        <v>3.3</v>
      </c>
      <c r="WR9" s="26">
        <f t="shared" si="261"/>
        <v>4.0750000000000002</v>
      </c>
      <c r="WS9" s="26">
        <f t="shared" si="262"/>
        <v>5.5</v>
      </c>
      <c r="WT9" s="26">
        <f t="shared" si="263"/>
        <v>7.24</v>
      </c>
      <c r="WU9" s="26">
        <f t="shared" si="264"/>
        <v>0</v>
      </c>
      <c r="WV9" s="26">
        <f t="shared" si="265"/>
        <v>0.77500000000000002</v>
      </c>
      <c r="WW9" s="26">
        <f t="shared" si="266"/>
        <v>0.875</v>
      </c>
      <c r="WX9" s="26">
        <f t="shared" si="267"/>
        <v>1.55</v>
      </c>
      <c r="WY9" s="26">
        <f t="shared" si="268"/>
        <v>1.61</v>
      </c>
      <c r="WZ9" s="26">
        <f t="shared" si="269"/>
        <v>0</v>
      </c>
      <c r="XA9" s="28" t="s">
        <v>53</v>
      </c>
      <c r="XB9" s="11">
        <f t="shared" si="270"/>
        <v>6.3</v>
      </c>
      <c r="XC9" s="11">
        <f t="shared" si="271"/>
        <v>7.89</v>
      </c>
      <c r="XD9" s="11">
        <f t="shared" si="272"/>
        <v>22.54</v>
      </c>
      <c r="XE9" s="11">
        <f t="shared" si="273"/>
        <v>5.5</v>
      </c>
      <c r="XF9" s="11">
        <f t="shared" si="274"/>
        <v>7.24</v>
      </c>
      <c r="XG9" s="11">
        <f t="shared" si="275"/>
        <v>20.115000000000002</v>
      </c>
      <c r="XH9" s="11">
        <f t="shared" si="276"/>
        <v>22.54</v>
      </c>
      <c r="XI9" s="11">
        <f t="shared" si="277"/>
        <v>1.55</v>
      </c>
      <c r="XJ9" s="11">
        <f t="shared" si="278"/>
        <v>1.61</v>
      </c>
      <c r="XK9" s="11">
        <f t="shared" si="279"/>
        <v>4.8100000000000005</v>
      </c>
      <c r="XL9" s="11">
        <f t="shared" si="280"/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 t="shared" si="0"/>
        <v>73.400000000000006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37.769999999999996</v>
      </c>
      <c r="K10" s="8" t="str">
        <f t="shared" si="5"/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 t="shared" si="6"/>
        <v>2024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 t="shared" si="10"/>
        <v>11.5</v>
      </c>
      <c r="AH10" s="38">
        <f t="shared" si="11"/>
        <v>11.78</v>
      </c>
      <c r="AI10" s="40">
        <f t="shared" si="12"/>
        <v>35.630000000000003</v>
      </c>
      <c r="AJ10" s="40">
        <f t="shared" si="13"/>
        <v>3.2</v>
      </c>
      <c r="AK10" s="40">
        <f t="shared" si="14"/>
        <v>2.04</v>
      </c>
      <c r="AL10" s="40">
        <f t="shared" si="15"/>
        <v>8.14</v>
      </c>
      <c r="AM10" s="40">
        <f t="shared" si="16"/>
        <v>35.630000000000003</v>
      </c>
      <c r="AN10" s="40">
        <f t="shared" si="17"/>
        <v>2</v>
      </c>
      <c r="AO10" s="40">
        <f t="shared" si="18"/>
        <v>1.06</v>
      </c>
      <c r="AP10" s="40">
        <f t="shared" si="19"/>
        <v>4.3599999999999994</v>
      </c>
      <c r="AQ10" s="40">
        <f t="shared" si="20"/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 t="shared" si="21"/>
        <v>4</v>
      </c>
      <c r="BI10" s="39">
        <f t="shared" si="22"/>
        <v>2.42</v>
      </c>
      <c r="BJ10" s="11">
        <f t="shared" si="23"/>
        <v>11.27</v>
      </c>
      <c r="BK10" s="11">
        <f t="shared" si="24"/>
        <v>10.199999999999999</v>
      </c>
      <c r="BL10" s="11">
        <f t="shared" si="25"/>
        <v>12.52</v>
      </c>
      <c r="BM10" s="11">
        <f t="shared" si="26"/>
        <v>37.769999999999996</v>
      </c>
      <c r="BN10" s="11">
        <f t="shared" si="27"/>
        <v>37.769999999999996</v>
      </c>
      <c r="BO10" s="11">
        <f t="shared" si="28"/>
        <v>10.199999999999999</v>
      </c>
      <c r="BP10" s="11">
        <f t="shared" si="29"/>
        <v>7.32</v>
      </c>
      <c r="BQ10" s="11">
        <f t="shared" si="30"/>
        <v>32.22</v>
      </c>
      <c r="BR10" s="11">
        <f t="shared" si="31"/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1.1000000000000001</v>
      </c>
      <c r="WM10" s="26">
        <f t="shared" si="256"/>
        <v>1.325</v>
      </c>
      <c r="WN10" s="26">
        <f t="shared" si="257"/>
        <v>2</v>
      </c>
      <c r="WO10" s="26">
        <f t="shared" si="258"/>
        <v>1.21</v>
      </c>
      <c r="WP10" s="26">
        <f t="shared" si="259"/>
        <v>0</v>
      </c>
      <c r="WQ10" s="26">
        <f t="shared" si="260"/>
        <v>3.25</v>
      </c>
      <c r="WR10" s="26">
        <f t="shared" si="261"/>
        <v>4.2750000000000004</v>
      </c>
      <c r="WS10" s="26">
        <f t="shared" si="262"/>
        <v>5.0999999999999996</v>
      </c>
      <c r="WT10" s="26">
        <f t="shared" si="263"/>
        <v>6.26</v>
      </c>
      <c r="WU10" s="26">
        <f t="shared" si="264"/>
        <v>0</v>
      </c>
      <c r="WV10" s="26">
        <f t="shared" si="265"/>
        <v>3.15</v>
      </c>
      <c r="WW10" s="26">
        <f t="shared" si="266"/>
        <v>4.2</v>
      </c>
      <c r="WX10" s="26">
        <f t="shared" si="267"/>
        <v>5.0999999999999996</v>
      </c>
      <c r="WY10" s="26">
        <f t="shared" si="268"/>
        <v>3.66</v>
      </c>
      <c r="WZ10" s="26">
        <f t="shared" si="269"/>
        <v>0</v>
      </c>
      <c r="XA10" s="28" t="s">
        <v>53</v>
      </c>
      <c r="XB10" s="11">
        <f t="shared" si="270"/>
        <v>2</v>
      </c>
      <c r="XC10" s="11">
        <f t="shared" si="271"/>
        <v>1.21</v>
      </c>
      <c r="XD10" s="11">
        <f t="shared" si="272"/>
        <v>5.6349999999999998</v>
      </c>
      <c r="XE10" s="11">
        <f t="shared" si="273"/>
        <v>5.0999999999999996</v>
      </c>
      <c r="XF10" s="11">
        <f t="shared" si="274"/>
        <v>6.26</v>
      </c>
      <c r="XG10" s="11">
        <f t="shared" si="275"/>
        <v>18.884999999999998</v>
      </c>
      <c r="XH10" s="11">
        <f t="shared" si="276"/>
        <v>18.884999999999998</v>
      </c>
      <c r="XI10" s="11">
        <f t="shared" si="277"/>
        <v>5.0999999999999996</v>
      </c>
      <c r="XJ10" s="11">
        <f t="shared" si="278"/>
        <v>3.66</v>
      </c>
      <c r="XK10" s="11">
        <f t="shared" si="279"/>
        <v>16.11</v>
      </c>
      <c r="XL10" s="11">
        <f t="shared" si="280"/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 t="shared" si="0"/>
        <v>68.02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36.29</v>
      </c>
      <c r="K11" s="8" t="str">
        <f t="shared" si="5"/>
        <v>2024 Elite Canada</v>
      </c>
      <c r="L11" s="8">
        <f>IF(COUNT(AI11,AL11,AP11,BJ11,BM11,BQ11,CK11,CN11,CR11)&gt;1,LARGE((AI11,AL11,AP11,BJ11,BM11,BQ11,CK11,CN11,CR11),2),0)</f>
        <v>31.73</v>
      </c>
      <c r="M11" s="8" t="str">
        <f t="shared" si="6"/>
        <v>2024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 t="shared" si="10"/>
        <v>8.1999999999999993</v>
      </c>
      <c r="AH11" s="38">
        <f t="shared" si="11"/>
        <v>15.14</v>
      </c>
      <c r="AI11" s="40">
        <f t="shared" si="12"/>
        <v>36.29</v>
      </c>
      <c r="AJ11" s="40">
        <f t="shared" si="13"/>
        <v>3.1</v>
      </c>
      <c r="AK11" s="40">
        <f t="shared" si="14"/>
        <v>5.26</v>
      </c>
      <c r="AL11" s="40">
        <f t="shared" si="15"/>
        <v>13.11</v>
      </c>
      <c r="AM11" s="40">
        <f t="shared" si="16"/>
        <v>36.29</v>
      </c>
      <c r="AN11" s="40">
        <f t="shared" si="17"/>
        <v>7</v>
      </c>
      <c r="AO11" s="40">
        <f t="shared" si="18"/>
        <v>12.98</v>
      </c>
      <c r="AP11" s="40">
        <f t="shared" si="19"/>
        <v>31.73</v>
      </c>
      <c r="AQ11" s="40">
        <f t="shared" si="20"/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 t="str">
        <f t="shared" si="43"/>
        <v/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 t="shared" si="0"/>
        <v>49.5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49.5</v>
      </c>
      <c r="O12" s="11" t="str">
        <f t="shared" si="8"/>
        <v>(Final)</v>
      </c>
      <c r="P12" s="8" t="str">
        <f t="shared" si="9"/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 t="shared" si="21"/>
        <v/>
      </c>
      <c r="BI12" s="39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>
        <f t="shared" si="43"/>
        <v>48.74</v>
      </c>
      <c r="CU12" s="51">
        <f t="shared" si="44"/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 t="shared" si="45"/>
        <v>12.2</v>
      </c>
      <c r="DQ12" s="40">
        <f t="shared" si="46"/>
        <v>16.420000000000002</v>
      </c>
      <c r="DR12" s="40">
        <f t="shared" si="47"/>
        <v>45.57</v>
      </c>
      <c r="DS12" s="40">
        <f t="shared" si="48"/>
        <v>4.4000000000000004</v>
      </c>
      <c r="DT12" s="40">
        <f t="shared" si="49"/>
        <v>4.7</v>
      </c>
      <c r="DU12" s="40">
        <f t="shared" si="50"/>
        <v>14.05</v>
      </c>
      <c r="DV12" s="40">
        <f t="shared" si="51"/>
        <v>45.57</v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>
        <f t="shared" si="55"/>
        <v>12.2</v>
      </c>
      <c r="EA12" s="40">
        <f t="shared" si="56"/>
        <v>17.64</v>
      </c>
      <c r="EB12" s="40">
        <f t="shared" si="57"/>
        <v>46.79</v>
      </c>
      <c r="EC12" s="40">
        <f t="shared" si="58"/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 t="shared" si="59"/>
        <v>9.1</v>
      </c>
      <c r="EY12" s="11">
        <f t="shared" si="60"/>
        <v>18.46</v>
      </c>
      <c r="EZ12" s="11">
        <f t="shared" si="61"/>
        <v>47.56</v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>
        <f t="shared" si="65"/>
        <v>47.56</v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12.2</v>
      </c>
      <c r="FI12" s="11">
        <f t="shared" si="70"/>
        <v>17.8</v>
      </c>
      <c r="FJ12" s="11">
        <f t="shared" si="71"/>
        <v>47.4</v>
      </c>
      <c r="FK12" s="11">
        <f t="shared" si="72"/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 t="shared" si="87"/>
        <v>13.8</v>
      </c>
      <c r="HO12" s="11">
        <f t="shared" si="88"/>
        <v>17.84</v>
      </c>
      <c r="HP12" s="11">
        <f t="shared" si="89"/>
        <v>48.74</v>
      </c>
      <c r="HQ12" s="11">
        <f t="shared" si="90"/>
        <v>13.8</v>
      </c>
      <c r="HR12" s="11">
        <f t="shared" si="91"/>
        <v>18.3</v>
      </c>
      <c r="HS12" s="11">
        <f t="shared" si="92"/>
        <v>48.55</v>
      </c>
      <c r="HT12" s="11">
        <f t="shared" si="93"/>
        <v>48.74</v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>
        <f t="shared" si="97"/>
        <v>13.8</v>
      </c>
      <c r="HY12" s="11">
        <f t="shared" si="98"/>
        <v>18.8</v>
      </c>
      <c r="HZ12" s="11">
        <f t="shared" si="99"/>
        <v>49.5</v>
      </c>
      <c r="IA12" s="11">
        <f t="shared" si="100"/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0</v>
      </c>
      <c r="WM12" s="26">
        <f t="shared" si="256"/>
        <v>0</v>
      </c>
      <c r="WN12" s="26">
        <f t="shared" si="257"/>
        <v>0</v>
      </c>
      <c r="WO12" s="26">
        <f t="shared" si="258"/>
        <v>0</v>
      </c>
      <c r="WP12" s="26">
        <f t="shared" si="259"/>
        <v>0</v>
      </c>
      <c r="WQ12" s="26">
        <f t="shared" si="260"/>
        <v>0</v>
      </c>
      <c r="WR12" s="26">
        <f t="shared" si="261"/>
        <v>0</v>
      </c>
      <c r="WS12" s="26">
        <f t="shared" si="262"/>
        <v>0</v>
      </c>
      <c r="WT12" s="26">
        <f t="shared" si="263"/>
        <v>0</v>
      </c>
      <c r="WU12" s="26">
        <f t="shared" si="264"/>
        <v>0</v>
      </c>
      <c r="WV12" s="26">
        <f t="shared" si="265"/>
        <v>0</v>
      </c>
      <c r="WW12" s="26">
        <f t="shared" si="266"/>
        <v>0</v>
      </c>
      <c r="WX12" s="26">
        <f t="shared" si="267"/>
        <v>0</v>
      </c>
      <c r="WY12" s="26">
        <f t="shared" si="268"/>
        <v>0</v>
      </c>
      <c r="WZ12" s="26">
        <f t="shared" si="269"/>
        <v>0</v>
      </c>
      <c r="XA12" s="28" t="s">
        <v>53</v>
      </c>
      <c r="XB12" s="11" t="str">
        <f t="shared" si="270"/>
        <v/>
      </c>
      <c r="XC12" s="11" t="str">
        <f t="shared" si="271"/>
        <v/>
      </c>
      <c r="XD12" s="11" t="str">
        <f t="shared" si="272"/>
        <v/>
      </c>
      <c r="XE12" s="11" t="str">
        <f t="shared" si="273"/>
        <v/>
      </c>
      <c r="XF12" s="11" t="str">
        <f t="shared" si="274"/>
        <v/>
      </c>
      <c r="XG12" s="11" t="str">
        <f t="shared" si="275"/>
        <v/>
      </c>
      <c r="XH12" s="11" t="str">
        <f t="shared" si="276"/>
        <v/>
      </c>
      <c r="XI12" s="11" t="str">
        <f t="shared" si="277"/>
        <v/>
      </c>
      <c r="XJ12" s="11" t="str">
        <f t="shared" si="278"/>
        <v/>
      </c>
      <c r="XK12" s="11" t="str">
        <f t="shared" si="279"/>
        <v/>
      </c>
      <c r="XL12" s="11" t="str">
        <f t="shared" si="280"/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 t="shared" si="0"/>
        <v>39.33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39.33</v>
      </c>
      <c r="O13" s="11" t="str">
        <f t="shared" si="8"/>
        <v>(Prelim)</v>
      </c>
      <c r="P13" s="8" t="str">
        <f t="shared" si="9"/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>
        <f t="shared" si="43"/>
        <v>39.33</v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 t="shared" si="59"/>
        <v>10.7</v>
      </c>
      <c r="EY13" s="11">
        <f t="shared" si="60"/>
        <v>12.18</v>
      </c>
      <c r="EZ13" s="11">
        <f t="shared" si="61"/>
        <v>39.33</v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>
        <f t="shared" si="65"/>
        <v>39.33</v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>
        <f t="shared" si="72"/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 t="shared" si="0"/>
        <v>32.28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17.48</v>
      </c>
      <c r="K14" s="8" t="str">
        <f t="shared" si="5"/>
        <v>2024 Elite Canada</v>
      </c>
      <c r="L14" s="8">
        <f>IF(COUNT(AI14,AL14,AP14,BJ14,BM14,BQ14,CK14,CN14,CR14)&gt;1,LARGE((AI14,AL14,AP14,BJ14,BM14,BQ14,CK14,CN14,CR14),2),0)</f>
        <v>14.8</v>
      </c>
      <c r="M14" s="8" t="str">
        <f t="shared" si="6"/>
        <v>2024 Elite Canada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 t="shared" si="10"/>
        <v>5.4</v>
      </c>
      <c r="AH14" s="38">
        <f t="shared" si="11"/>
        <v>5.58</v>
      </c>
      <c r="AI14" s="40">
        <f t="shared" si="12"/>
        <v>17.48</v>
      </c>
      <c r="AJ14" s="40">
        <f t="shared" si="13"/>
        <v>4.2</v>
      </c>
      <c r="AK14" s="40">
        <f t="shared" si="14"/>
        <v>5.3</v>
      </c>
      <c r="AL14" s="40">
        <f t="shared" si="15"/>
        <v>14.8</v>
      </c>
      <c r="AM14" s="40">
        <f t="shared" si="16"/>
        <v>17.48</v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>
        <f t="shared" si="20"/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 t="shared" si="21"/>
        <v>4.2</v>
      </c>
      <c r="BI14" s="39">
        <f t="shared" si="22"/>
        <v>3.48</v>
      </c>
      <c r="BJ14" s="11">
        <f t="shared" si="23"/>
        <v>12.830000000000002</v>
      </c>
      <c r="BK14" s="11">
        <f t="shared" si="24"/>
        <v>4.2</v>
      </c>
      <c r="BL14" s="11">
        <f t="shared" si="25"/>
        <v>2.34</v>
      </c>
      <c r="BM14" s="11">
        <f t="shared" si="26"/>
        <v>11.54</v>
      </c>
      <c r="BN14" s="11">
        <f t="shared" si="27"/>
        <v>12.830000000000002</v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>
        <f t="shared" si="31"/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 t="str">
        <f t="shared" si="43"/>
        <v/>
      </c>
      <c r="CU14" s="51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1.1499999999999999</v>
      </c>
      <c r="WM14" s="26">
        <f t="shared" si="256"/>
        <v>1.425</v>
      </c>
      <c r="WN14" s="26">
        <f t="shared" si="257"/>
        <v>2.1</v>
      </c>
      <c r="WO14" s="26">
        <f t="shared" si="258"/>
        <v>1.74</v>
      </c>
      <c r="WP14" s="26">
        <f t="shared" si="259"/>
        <v>0</v>
      </c>
      <c r="WQ14" s="26">
        <f t="shared" si="260"/>
        <v>1.1000000000000001</v>
      </c>
      <c r="WR14" s="26">
        <f t="shared" si="261"/>
        <v>1.4</v>
      </c>
      <c r="WS14" s="26">
        <f t="shared" si="262"/>
        <v>2.1</v>
      </c>
      <c r="WT14" s="26">
        <f t="shared" si="263"/>
        <v>1.17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>
        <f t="shared" si="270"/>
        <v>2.1</v>
      </c>
      <c r="XC14" s="11">
        <f t="shared" si="271"/>
        <v>1.74</v>
      </c>
      <c r="XD14" s="11">
        <f t="shared" si="272"/>
        <v>6.4150000000000009</v>
      </c>
      <c r="XE14" s="11">
        <f t="shared" si="273"/>
        <v>2.1</v>
      </c>
      <c r="XF14" s="11">
        <f t="shared" si="274"/>
        <v>1.17</v>
      </c>
      <c r="XG14" s="11">
        <f t="shared" si="275"/>
        <v>5.77</v>
      </c>
      <c r="XH14" s="11">
        <f t="shared" si="276"/>
        <v>6.4150000000000009</v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>
        <f t="shared" si="280"/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 t="shared" si="0"/>
        <v>31.119999999999997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31.119999999999997</v>
      </c>
      <c r="O15" s="11" t="str">
        <f t="shared" si="8"/>
        <v>(Prelim)</v>
      </c>
      <c r="P15" s="8" t="str">
        <f t="shared" si="9"/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31.119999999999997</v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>
        <f t="shared" si="76"/>
        <v>9.5</v>
      </c>
      <c r="GJ15" s="40">
        <f t="shared" si="77"/>
        <v>10.220000000000001</v>
      </c>
      <c r="GK15" s="40">
        <f t="shared" si="78"/>
        <v>31.119999999999997</v>
      </c>
      <c r="GL15" s="40">
        <f t="shared" si="79"/>
        <v>31.119999999999997</v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>
        <f t="shared" si="86"/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 t="shared" si="0"/>
        <v>17.869999999999997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9.0399999999999991</v>
      </c>
      <c r="K16" s="8" t="str">
        <f t="shared" si="5"/>
        <v>2024 Nationals</v>
      </c>
      <c r="L16" s="8">
        <f>IF(COUNT(AI16,AL16,AP16,BJ16,BM16,BQ16,CK16,CN16,CR16)&gt;1,LARGE((AI16,AL16,AP16,BJ16,BM16,BQ16,CK16,CN16,CR16),2),0)</f>
        <v>8.83</v>
      </c>
      <c r="M16" s="8" t="str">
        <f t="shared" si="6"/>
        <v>2024 Nationals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 t="shared" si="10"/>
        <v/>
      </c>
      <c r="AH16" s="38" t="str">
        <f t="shared" si="11"/>
        <v/>
      </c>
      <c r="AI16" s="40" t="str">
        <f t="shared" si="12"/>
        <v/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 t="str">
        <f t="shared" si="16"/>
        <v/>
      </c>
      <c r="AN16" s="40" t="str">
        <f t="shared" si="17"/>
        <v/>
      </c>
      <c r="AO16" s="40" t="str">
        <f t="shared" si="18"/>
        <v/>
      </c>
      <c r="AP16" s="40" t="str">
        <f t="shared" si="19"/>
        <v/>
      </c>
      <c r="AQ16" s="40" t="str">
        <f t="shared" si="20"/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 t="shared" si="21"/>
        <v>2.7</v>
      </c>
      <c r="BI16" s="39">
        <f t="shared" si="22"/>
        <v>3.08</v>
      </c>
      <c r="BJ16" s="11">
        <f t="shared" si="23"/>
        <v>8.83</v>
      </c>
      <c r="BK16" s="11">
        <f t="shared" si="24"/>
        <v>2.7</v>
      </c>
      <c r="BL16" s="11">
        <f t="shared" si="25"/>
        <v>3.34</v>
      </c>
      <c r="BM16" s="11">
        <f t="shared" si="26"/>
        <v>9.0399999999999991</v>
      </c>
      <c r="BN16" s="11">
        <f t="shared" si="27"/>
        <v>9.0399999999999991</v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>
        <f t="shared" si="31"/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 t="str">
        <f t="shared" si="43"/>
        <v/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0.65</v>
      </c>
      <c r="WM16" s="26">
        <f t="shared" si="256"/>
        <v>0.875</v>
      </c>
      <c r="WN16" s="26">
        <f t="shared" si="257"/>
        <v>1.35</v>
      </c>
      <c r="WO16" s="26">
        <f t="shared" si="258"/>
        <v>1.54</v>
      </c>
      <c r="WP16" s="26">
        <f t="shared" si="259"/>
        <v>0</v>
      </c>
      <c r="WQ16" s="26">
        <f t="shared" si="260"/>
        <v>0.67500000000000004</v>
      </c>
      <c r="WR16" s="26">
        <f t="shared" si="261"/>
        <v>0.82499999999999996</v>
      </c>
      <c r="WS16" s="26">
        <f t="shared" si="262"/>
        <v>1.35</v>
      </c>
      <c r="WT16" s="26">
        <f t="shared" si="263"/>
        <v>1.67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>
        <f t="shared" si="270"/>
        <v>1.35</v>
      </c>
      <c r="XC16" s="11">
        <f t="shared" si="271"/>
        <v>1.54</v>
      </c>
      <c r="XD16" s="11">
        <f t="shared" si="272"/>
        <v>4.415</v>
      </c>
      <c r="XE16" s="11">
        <f t="shared" si="273"/>
        <v>1.35</v>
      </c>
      <c r="XF16" s="11">
        <f t="shared" si="274"/>
        <v>1.67</v>
      </c>
      <c r="XG16" s="11">
        <f t="shared" si="275"/>
        <v>4.5199999999999996</v>
      </c>
      <c r="XH16" s="11">
        <f t="shared" si="276"/>
        <v>4.5199999999999996</v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>
        <f t="shared" si="280"/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 t="shared" si="0"/>
        <v>16.009999999999998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16.009999999999998</v>
      </c>
      <c r="O17" s="11" t="str">
        <f t="shared" si="8"/>
        <v>(Prelim)</v>
      </c>
      <c r="P17" s="8" t="str">
        <f t="shared" si="9"/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 t="shared" si="21"/>
        <v/>
      </c>
      <c r="BI17" s="39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>
        <f t="shared" si="43"/>
        <v>16.009999999999998</v>
      </c>
      <c r="CU17" s="51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 t="shared" si="87"/>
        <v>2</v>
      </c>
      <c r="HO17" s="11">
        <f t="shared" si="88"/>
        <v>1.84</v>
      </c>
      <c r="HP17" s="11">
        <f t="shared" si="89"/>
        <v>5.64</v>
      </c>
      <c r="HQ17" s="11">
        <f t="shared" si="90"/>
        <v>5.0999999999999996</v>
      </c>
      <c r="HR17" s="11">
        <f t="shared" si="91"/>
        <v>5.76</v>
      </c>
      <c r="HS17" s="11">
        <f t="shared" si="92"/>
        <v>16.009999999999998</v>
      </c>
      <c r="HT17" s="11">
        <f t="shared" si="93"/>
        <v>16.009999999999998</v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>
        <f t="shared" si="100"/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</v>
      </c>
      <c r="WM17" s="26">
        <f t="shared" si="256"/>
        <v>0</v>
      </c>
      <c r="WN17" s="26">
        <f t="shared" si="257"/>
        <v>0</v>
      </c>
      <c r="WO17" s="26">
        <f t="shared" si="258"/>
        <v>0</v>
      </c>
      <c r="WP17" s="26">
        <f t="shared" si="259"/>
        <v>0</v>
      </c>
      <c r="WQ17" s="26">
        <f t="shared" si="260"/>
        <v>0</v>
      </c>
      <c r="WR17" s="26">
        <f t="shared" si="261"/>
        <v>0</v>
      </c>
      <c r="WS17" s="26">
        <f t="shared" si="262"/>
        <v>0</v>
      </c>
      <c r="WT17" s="26">
        <f t="shared" si="263"/>
        <v>0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 t="str">
        <f t="shared" si="270"/>
        <v/>
      </c>
      <c r="XC17" s="11" t="str">
        <f t="shared" si="271"/>
        <v/>
      </c>
      <c r="XD17" s="11" t="str">
        <f t="shared" si="272"/>
        <v/>
      </c>
      <c r="XE17" s="11" t="str">
        <f t="shared" si="273"/>
        <v/>
      </c>
      <c r="XF17" s="11" t="str">
        <f t="shared" si="274"/>
        <v/>
      </c>
      <c r="XG17" s="11" t="str">
        <f t="shared" si="275"/>
        <v/>
      </c>
      <c r="XH17" s="11" t="str">
        <f t="shared" si="276"/>
        <v/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 t="str">
        <f t="shared" si="280"/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 t="shared" si="0"/>
        <v>4.75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4.75</v>
      </c>
      <c r="K18" s="8" t="str">
        <f t="shared" si="5"/>
        <v>2024 Nationals</v>
      </c>
      <c r="L18" s="8">
        <f>IF(COUNT(AI18,AL18,AP18,BJ18,BM18,BQ18,CK18,CN18,CR18)&gt;1,LARGE((AI18,AL18,AP18,BJ18,BM18,BQ18,CK18,CN18,CR18),2),0)</f>
        <v>0</v>
      </c>
      <c r="M18" s="8" t="str">
        <f t="shared" si="6"/>
        <v/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 t="shared" si="10"/>
        <v/>
      </c>
      <c r="AH18" s="38" t="str">
        <f t="shared" si="11"/>
        <v/>
      </c>
      <c r="AI18" s="40" t="str">
        <f t="shared" si="12"/>
        <v/>
      </c>
      <c r="AJ18" s="40" t="str">
        <f t="shared" si="13"/>
        <v/>
      </c>
      <c r="AK18" s="40" t="str">
        <f t="shared" si="14"/>
        <v/>
      </c>
      <c r="AL18" s="40" t="str">
        <f t="shared" si="15"/>
        <v/>
      </c>
      <c r="AM18" s="40" t="str">
        <f t="shared" si="16"/>
        <v/>
      </c>
      <c r="AN18" s="40" t="str">
        <f t="shared" si="17"/>
        <v/>
      </c>
      <c r="AO18" s="40" t="str">
        <f t="shared" si="18"/>
        <v/>
      </c>
      <c r="AP18" s="40" t="str">
        <f t="shared" si="19"/>
        <v/>
      </c>
      <c r="AQ18" s="40" t="str">
        <f t="shared" si="20"/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 t="shared" si="21"/>
        <v>1.5</v>
      </c>
      <c r="BI18" s="39">
        <f t="shared" si="22"/>
        <v>1.6</v>
      </c>
      <c r="BJ18" s="11">
        <f t="shared" si="23"/>
        <v>4.75</v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>
        <f t="shared" si="27"/>
        <v>4.75</v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>
        <f t="shared" si="31"/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 t="shared" si="32"/>
        <v/>
      </c>
      <c r="CJ18" s="38" t="str">
        <f t="shared" si="33"/>
        <v/>
      </c>
      <c r="CK18" s="40" t="str">
        <f t="shared" si="34"/>
        <v/>
      </c>
      <c r="CL18" s="40" t="str">
        <f t="shared" si="35"/>
        <v/>
      </c>
      <c r="CM18" s="40" t="str">
        <f t="shared" si="36"/>
        <v/>
      </c>
      <c r="CN18" s="40" t="str">
        <f t="shared" si="37"/>
        <v/>
      </c>
      <c r="CO18" s="40" t="str">
        <f t="shared" si="38"/>
        <v/>
      </c>
      <c r="CP18" s="40" t="str">
        <f t="shared" si="39"/>
        <v/>
      </c>
      <c r="CQ18" s="40" t="str">
        <f t="shared" si="40"/>
        <v/>
      </c>
      <c r="CR18" s="40" t="str">
        <f t="shared" si="41"/>
        <v/>
      </c>
      <c r="CS18" s="40" t="str">
        <f t="shared" si="42"/>
        <v/>
      </c>
      <c r="CT18" s="51" t="str">
        <f t="shared" si="43"/>
        <v/>
      </c>
      <c r="CU18" s="51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 t="shared" si="45"/>
        <v/>
      </c>
      <c r="DQ18" s="40" t="str">
        <f t="shared" si="46"/>
        <v/>
      </c>
      <c r="DR18" s="40" t="str">
        <f t="shared" si="47"/>
        <v/>
      </c>
      <c r="DS18" s="40" t="str">
        <f t="shared" si="48"/>
        <v/>
      </c>
      <c r="DT18" s="40" t="str">
        <f t="shared" si="49"/>
        <v/>
      </c>
      <c r="DU18" s="40" t="str">
        <f t="shared" si="50"/>
        <v/>
      </c>
      <c r="DV18" s="40" t="str">
        <f t="shared" si="51"/>
        <v/>
      </c>
      <c r="DW18" s="40" t="str">
        <f t="shared" si="52"/>
        <v/>
      </c>
      <c r="DX18" s="40" t="str">
        <f t="shared" si="53"/>
        <v/>
      </c>
      <c r="DY18" s="40" t="str">
        <f t="shared" si="54"/>
        <v/>
      </c>
      <c r="DZ18" s="40" t="str">
        <f t="shared" si="55"/>
        <v/>
      </c>
      <c r="EA18" s="40" t="str">
        <f t="shared" si="56"/>
        <v/>
      </c>
      <c r="EB18" s="40" t="str">
        <f t="shared" si="57"/>
        <v/>
      </c>
      <c r="EC18" s="40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 t="shared" si="73"/>
        <v/>
      </c>
      <c r="GG18" s="40" t="str">
        <f t="shared" si="74"/>
        <v/>
      </c>
      <c r="GH18" s="40" t="str">
        <f t="shared" si="75"/>
        <v/>
      </c>
      <c r="GI18" s="40" t="str">
        <f t="shared" si="76"/>
        <v/>
      </c>
      <c r="GJ18" s="40" t="str">
        <f t="shared" si="77"/>
        <v/>
      </c>
      <c r="GK18" s="40" t="str">
        <f t="shared" si="78"/>
        <v/>
      </c>
      <c r="GL18" s="40" t="str">
        <f t="shared" si="79"/>
        <v/>
      </c>
      <c r="GM18" s="40" t="str">
        <f t="shared" si="80"/>
        <v/>
      </c>
      <c r="GN18" s="40" t="str">
        <f t="shared" si="81"/>
        <v/>
      </c>
      <c r="GO18" s="40" t="str">
        <f t="shared" si="82"/>
        <v/>
      </c>
      <c r="GP18" s="40" t="str">
        <f t="shared" si="83"/>
        <v/>
      </c>
      <c r="GQ18" s="40" t="str">
        <f t="shared" si="84"/>
        <v/>
      </c>
      <c r="GR18" s="40" t="str">
        <f t="shared" si="85"/>
        <v/>
      </c>
      <c r="GS18" s="40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 t="shared" si="101"/>
        <v/>
      </c>
      <c r="IW18" s="40" t="str">
        <f t="shared" si="102"/>
        <v/>
      </c>
      <c r="IX18" s="40" t="str">
        <f t="shared" si="103"/>
        <v/>
      </c>
      <c r="IY18" s="40" t="str">
        <f t="shared" si="104"/>
        <v/>
      </c>
      <c r="IZ18" s="40" t="str">
        <f t="shared" si="105"/>
        <v/>
      </c>
      <c r="JA18" s="40" t="str">
        <f t="shared" si="106"/>
        <v/>
      </c>
      <c r="JB18" s="40" t="str">
        <f t="shared" si="107"/>
        <v/>
      </c>
      <c r="JC18" s="40" t="str">
        <f t="shared" si="108"/>
        <v/>
      </c>
      <c r="JD18" s="40" t="str">
        <f t="shared" si="109"/>
        <v/>
      </c>
      <c r="JE18" s="40" t="str">
        <f t="shared" si="110"/>
        <v/>
      </c>
      <c r="JF18" s="40" t="str">
        <f t="shared" si="111"/>
        <v/>
      </c>
      <c r="JG18" s="40" t="str">
        <f t="shared" si="112"/>
        <v/>
      </c>
      <c r="JH18" s="40" t="str">
        <f t="shared" si="113"/>
        <v/>
      </c>
      <c r="JI18" s="40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 t="shared" si="129"/>
        <v/>
      </c>
      <c r="LM18" s="40" t="str">
        <f t="shared" si="130"/>
        <v/>
      </c>
      <c r="LN18" s="40" t="str">
        <f t="shared" si="131"/>
        <v/>
      </c>
      <c r="LO18" s="40" t="str">
        <f t="shared" si="132"/>
        <v/>
      </c>
      <c r="LP18" s="40" t="str">
        <f t="shared" si="133"/>
        <v/>
      </c>
      <c r="LQ18" s="40" t="str">
        <f t="shared" si="134"/>
        <v/>
      </c>
      <c r="LR18" s="40" t="str">
        <f t="shared" si="135"/>
        <v/>
      </c>
      <c r="LS18" s="40" t="str">
        <f t="shared" si="136"/>
        <v/>
      </c>
      <c r="LT18" s="40" t="str">
        <f t="shared" si="137"/>
        <v/>
      </c>
      <c r="LU18" s="40" t="str">
        <f t="shared" si="138"/>
        <v/>
      </c>
      <c r="LV18" s="40" t="str">
        <f t="shared" si="139"/>
        <v/>
      </c>
      <c r="LW18" s="40" t="str">
        <f t="shared" si="140"/>
        <v/>
      </c>
      <c r="LX18" s="40" t="str">
        <f t="shared" si="141"/>
        <v/>
      </c>
      <c r="LY18" s="40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 t="shared" si="157"/>
        <v/>
      </c>
      <c r="OC18" s="40" t="str">
        <f t="shared" si="158"/>
        <v/>
      </c>
      <c r="OD18" s="40" t="str">
        <f t="shared" si="159"/>
        <v/>
      </c>
      <c r="OE18" s="40" t="str">
        <f t="shared" si="160"/>
        <v/>
      </c>
      <c r="OF18" s="40" t="str">
        <f t="shared" si="161"/>
        <v/>
      </c>
      <c r="OG18" s="40" t="str">
        <f t="shared" si="162"/>
        <v/>
      </c>
      <c r="OH18" s="40" t="str">
        <f t="shared" si="163"/>
        <v/>
      </c>
      <c r="OI18" s="40" t="str">
        <f t="shared" si="164"/>
        <v/>
      </c>
      <c r="OJ18" s="40" t="str">
        <f t="shared" si="165"/>
        <v/>
      </c>
      <c r="OK18" s="40" t="str">
        <f t="shared" si="166"/>
        <v/>
      </c>
      <c r="OL18" s="40" t="str">
        <f t="shared" si="167"/>
        <v/>
      </c>
      <c r="OM18" s="40" t="str">
        <f t="shared" si="168"/>
        <v/>
      </c>
      <c r="ON18" s="40" t="str">
        <f t="shared" si="169"/>
        <v/>
      </c>
      <c r="OO18" s="40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 t="shared" si="185"/>
        <v/>
      </c>
      <c r="QS18" s="40" t="str">
        <f t="shared" si="186"/>
        <v/>
      </c>
      <c r="QT18" s="40" t="str">
        <f t="shared" si="187"/>
        <v/>
      </c>
      <c r="QU18" s="40" t="str">
        <f t="shared" si="188"/>
        <v/>
      </c>
      <c r="QV18" s="40" t="str">
        <f t="shared" si="189"/>
        <v/>
      </c>
      <c r="QW18" s="40" t="str">
        <f t="shared" si="190"/>
        <v/>
      </c>
      <c r="QX18" s="40" t="str">
        <f t="shared" si="191"/>
        <v/>
      </c>
      <c r="QY18" s="40" t="str">
        <f t="shared" si="192"/>
        <v/>
      </c>
      <c r="QZ18" s="40" t="str">
        <f t="shared" si="193"/>
        <v/>
      </c>
      <c r="RA18" s="40" t="str">
        <f t="shared" si="194"/>
        <v/>
      </c>
      <c r="RB18" s="40" t="str">
        <f t="shared" si="195"/>
        <v/>
      </c>
      <c r="RC18" s="40" t="str">
        <f t="shared" si="196"/>
        <v/>
      </c>
      <c r="RD18" s="40" t="str">
        <f t="shared" si="197"/>
        <v/>
      </c>
      <c r="RE18" s="40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 t="shared" si="213"/>
        <v/>
      </c>
      <c r="TI18" s="40" t="str">
        <f t="shared" si="214"/>
        <v/>
      </c>
      <c r="TJ18" s="40" t="str">
        <f t="shared" si="215"/>
        <v/>
      </c>
      <c r="TK18" s="40" t="str">
        <f t="shared" si="216"/>
        <v/>
      </c>
      <c r="TL18" s="40" t="str">
        <f t="shared" si="217"/>
        <v/>
      </c>
      <c r="TM18" s="40" t="str">
        <f t="shared" si="218"/>
        <v/>
      </c>
      <c r="TN18" s="40" t="str">
        <f t="shared" si="219"/>
        <v/>
      </c>
      <c r="TO18" s="40" t="str">
        <f t="shared" si="220"/>
        <v/>
      </c>
      <c r="TP18" s="40" t="str">
        <f t="shared" si="221"/>
        <v/>
      </c>
      <c r="TQ18" s="40" t="str">
        <f t="shared" si="222"/>
        <v/>
      </c>
      <c r="TR18" s="40" t="str">
        <f t="shared" si="223"/>
        <v/>
      </c>
      <c r="TS18" s="40" t="str">
        <f t="shared" si="224"/>
        <v/>
      </c>
      <c r="TT18" s="40" t="str">
        <f t="shared" si="225"/>
        <v/>
      </c>
      <c r="TU18" s="40" t="str">
        <f t="shared" si="226"/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 t="shared" si="227"/>
        <v/>
      </c>
      <c r="UQ18" s="11" t="str">
        <f t="shared" si="228"/>
        <v/>
      </c>
      <c r="UR18" s="11" t="str">
        <f t="shared" si="229"/>
        <v/>
      </c>
      <c r="US18" s="11" t="str">
        <f t="shared" si="230"/>
        <v/>
      </c>
      <c r="UT18" s="11" t="str">
        <f t="shared" si="231"/>
        <v/>
      </c>
      <c r="UU18" s="11" t="str">
        <f t="shared" si="232"/>
        <v/>
      </c>
      <c r="UV18" s="11" t="str">
        <f t="shared" si="233"/>
        <v/>
      </c>
      <c r="UW18" s="11" t="str">
        <f t="shared" si="234"/>
        <v/>
      </c>
      <c r="UX18" s="11" t="str">
        <f t="shared" si="235"/>
        <v/>
      </c>
      <c r="UY18" s="11" t="str">
        <f t="shared" si="236"/>
        <v/>
      </c>
      <c r="UZ18" s="11" t="str">
        <f t="shared" si="237"/>
        <v/>
      </c>
      <c r="VA18" s="11" t="str">
        <f t="shared" si="238"/>
        <v/>
      </c>
      <c r="VB18" s="11" t="str">
        <f t="shared" si="239"/>
        <v/>
      </c>
      <c r="VC18" s="11" t="str">
        <f t="shared" si="240"/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 t="shared" si="241"/>
        <v/>
      </c>
      <c r="VY18" s="40" t="str">
        <f t="shared" si="242"/>
        <v/>
      </c>
      <c r="VZ18" s="40" t="str">
        <f t="shared" si="243"/>
        <v/>
      </c>
      <c r="WA18" s="40" t="str">
        <f t="shared" si="244"/>
        <v/>
      </c>
      <c r="WB18" s="40" t="str">
        <f t="shared" si="245"/>
        <v/>
      </c>
      <c r="WC18" s="40" t="str">
        <f t="shared" si="246"/>
        <v/>
      </c>
      <c r="WD18" s="40" t="str">
        <f t="shared" si="247"/>
        <v/>
      </c>
      <c r="WE18" s="40" t="str">
        <f t="shared" si="248"/>
        <v/>
      </c>
      <c r="WF18" s="40" t="str">
        <f t="shared" si="249"/>
        <v/>
      </c>
      <c r="WG18" s="40" t="str">
        <f t="shared" si="250"/>
        <v/>
      </c>
      <c r="WH18" s="40" t="str">
        <f t="shared" si="251"/>
        <v/>
      </c>
      <c r="WI18" s="40" t="str">
        <f t="shared" si="252"/>
        <v/>
      </c>
      <c r="WJ18" s="40" t="str">
        <f t="shared" si="253"/>
        <v/>
      </c>
      <c r="WK18" s="40" t="str">
        <f t="shared" si="254"/>
        <v/>
      </c>
      <c r="WL18" s="26">
        <f t="shared" si="255"/>
        <v>0.32500000000000001</v>
      </c>
      <c r="WM18" s="26">
        <f t="shared" si="256"/>
        <v>0.5</v>
      </c>
      <c r="WN18" s="26">
        <f t="shared" si="257"/>
        <v>0.75</v>
      </c>
      <c r="WO18" s="26">
        <f t="shared" si="258"/>
        <v>0.8</v>
      </c>
      <c r="WP18" s="26">
        <f t="shared" si="259"/>
        <v>0</v>
      </c>
      <c r="WQ18" s="26">
        <f t="shared" si="260"/>
        <v>0</v>
      </c>
      <c r="WR18" s="26">
        <f t="shared" si="261"/>
        <v>0</v>
      </c>
      <c r="WS18" s="26">
        <f t="shared" si="262"/>
        <v>0</v>
      </c>
      <c r="WT18" s="26">
        <f t="shared" si="263"/>
        <v>0</v>
      </c>
      <c r="WU18" s="26">
        <f t="shared" si="264"/>
        <v>0</v>
      </c>
      <c r="WV18" s="26">
        <f t="shared" si="265"/>
        <v>0</v>
      </c>
      <c r="WW18" s="26">
        <f t="shared" si="266"/>
        <v>0</v>
      </c>
      <c r="WX18" s="26">
        <f t="shared" si="267"/>
        <v>0</v>
      </c>
      <c r="WY18" s="26">
        <f t="shared" si="268"/>
        <v>0</v>
      </c>
      <c r="WZ18" s="26">
        <f t="shared" si="269"/>
        <v>0</v>
      </c>
      <c r="XA18" s="28" t="s">
        <v>53</v>
      </c>
      <c r="XB18" s="11">
        <f t="shared" si="270"/>
        <v>0.75</v>
      </c>
      <c r="XC18" s="11">
        <f t="shared" si="271"/>
        <v>0.8</v>
      </c>
      <c r="XD18" s="11">
        <f t="shared" si="272"/>
        <v>2.375</v>
      </c>
      <c r="XE18" s="11" t="str">
        <f t="shared" si="273"/>
        <v/>
      </c>
      <c r="XF18" s="11" t="str">
        <f t="shared" si="274"/>
        <v/>
      </c>
      <c r="XG18" s="11" t="str">
        <f t="shared" si="275"/>
        <v/>
      </c>
      <c r="XH18" s="11">
        <f t="shared" si="276"/>
        <v>2.375</v>
      </c>
      <c r="XI18" s="11" t="str">
        <f t="shared" si="277"/>
        <v/>
      </c>
      <c r="XJ18" s="11" t="str">
        <f t="shared" si="278"/>
        <v/>
      </c>
      <c r="XK18" s="11" t="str">
        <f t="shared" si="279"/>
        <v/>
      </c>
      <c r="XL18" s="11">
        <f t="shared" si="280"/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8">
      <sortCondition descending="1" ref="F1:F19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473" priority="64" operator="containsText" text="No DD">
      <formula>NOT(ISERROR(SEARCH("No DD",H1)))</formula>
    </cfRule>
    <cfRule type="containsText" dxfId="472" priority="65" operator="containsText" text="Merit">
      <formula>NOT(ISERROR(SEARCH("Merit",H1)))</formula>
    </cfRule>
    <cfRule type="containsText" dxfId="471" priority="66" operator="containsText" text="Excellence">
      <formula>NOT(ISERROR(SEARCH("Excellence",H1)))</formula>
    </cfRule>
    <cfRule type="containsText" dxfId="470" priority="67" operator="containsText" text="Worlds Team">
      <formula>NOT(ISERROR(SEARCH("Worlds Team",H1)))</formula>
    </cfRule>
    <cfRule type="containsText" dxfId="469" priority="68" operator="containsText" text="National Team">
      <formula>NOT(ISERROR(SEARCH("National Team",H1)))</formula>
    </cfRule>
  </conditionalFormatting>
  <conditionalFormatting sqref="A4:A1048576">
    <cfRule type="expression" dxfId="468" priority="29">
      <formula>AND(G4&lt;&gt;"",F4="")</formula>
    </cfRule>
    <cfRule type="expression" dxfId="467" priority="69">
      <formula>IF(A4&gt;4,1,0)</formula>
    </cfRule>
  </conditionalFormatting>
  <conditionalFormatting sqref="Q4:AQ18">
    <cfRule type="expression" dxfId="466" priority="70" stopIfTrue="1">
      <formula>IF($AF4&lt;&gt;"",1,0)</formula>
    </cfRule>
  </conditionalFormatting>
  <conditionalFormatting sqref="AR4:BR18">
    <cfRule type="expression" dxfId="465" priority="63" stopIfTrue="1">
      <formula>IF($BG4&lt;&gt;"",1,0)</formula>
    </cfRule>
  </conditionalFormatting>
  <conditionalFormatting sqref="BS4:CS18">
    <cfRule type="expression" dxfId="464" priority="62" stopIfTrue="1">
      <formula>IF($CH4&lt;&gt;"",1,0)</formula>
    </cfRule>
  </conditionalFormatting>
  <conditionalFormatting sqref="BO29:BO1048576 BH1:BH1048576 BK1:BK1048576 BO1:BO27">
    <cfRule type="cellIs" dxfId="463" priority="75" operator="between">
      <formula>$BR$24</formula>
      <formula>1000</formula>
    </cfRule>
    <cfRule type="cellIs" dxfId="462" priority="76" operator="between">
      <formula>$BR$23</formula>
      <formula>$BR$24</formula>
    </cfRule>
    <cfRule type="cellIs" dxfId="461" priority="77" operator="between">
      <formula>$BR$22</formula>
      <formula>$BR$23</formula>
    </cfRule>
    <cfRule type="cellIs" dxfId="460" priority="78" operator="between">
      <formula>$BR$21</formula>
      <formula>$BR$22</formula>
    </cfRule>
  </conditionalFormatting>
  <conditionalFormatting sqref="CP29:CP1048576 CI1:CI1048576 CL1:CL1048576 CP1:CP27">
    <cfRule type="cellIs" dxfId="459" priority="71" operator="between">
      <formula>$CS$24</formula>
      <formula>1000</formula>
    </cfRule>
    <cfRule type="cellIs" dxfId="458" priority="72" operator="between">
      <formula>$CS$23</formula>
      <formula>$CS$24</formula>
    </cfRule>
    <cfRule type="cellIs" dxfId="457" priority="73" operator="between">
      <formula>$CS$22</formula>
      <formula>$CS$23</formula>
    </cfRule>
    <cfRule type="cellIs" dxfId="456" priority="74" operator="between">
      <formula>$CS$21</formula>
      <formula>$CS$22</formula>
    </cfRule>
  </conditionalFormatting>
  <conditionalFormatting sqref="DZ29:DZ1048576 DP1:DP1048576 DS1:DS1048576 DW1:DW1048576 DZ1:DZ27">
    <cfRule type="cellIs" dxfId="455" priority="82" operator="between">
      <formula>$EC$24</formula>
      <formula>1000</formula>
    </cfRule>
    <cfRule type="cellIs" dxfId="454" priority="83" operator="between">
      <formula>$EC$23</formula>
      <formula>$EC$24</formula>
    </cfRule>
    <cfRule type="cellIs" dxfId="453" priority="84" operator="between">
      <formula>$EC$22</formula>
      <formula>$EC$23</formula>
    </cfRule>
    <cfRule type="cellIs" dxfId="452" priority="85" operator="between">
      <formula>$EC$21</formula>
      <formula>$EC$22</formula>
    </cfRule>
  </conditionalFormatting>
  <conditionalFormatting sqref="FH29:FH1048576 EX1:EX1048576 FA1:FA1048576 FE1:FE1048576 FH1:FH27">
    <cfRule type="cellIs" dxfId="451" priority="58" operator="between">
      <formula>$FK$24</formula>
      <formula>1000</formula>
    </cfRule>
    <cfRule type="cellIs" dxfId="450" priority="59" operator="between">
      <formula>$FK$23</formula>
      <formula>$FK$24</formula>
    </cfRule>
    <cfRule type="cellIs" dxfId="449" priority="60" operator="between">
      <formula>$FK$22</formula>
      <formula>$FK$23</formula>
    </cfRule>
    <cfRule type="cellIs" dxfId="448" priority="61" operator="between">
      <formula>$FK$21</formula>
      <formula>$FK$22</formula>
    </cfRule>
  </conditionalFormatting>
  <conditionalFormatting sqref="HX29:HX1048576 HN1:HN1048576 HQ1:HQ1048576 HU1:HU1048576 HX1:HX27">
    <cfRule type="cellIs" dxfId="447" priority="54" operator="between">
      <formula>$IA$24</formula>
      <formula>1000</formula>
    </cfRule>
    <cfRule type="cellIs" dxfId="446" priority="55" operator="between">
      <formula>$IA$23</formula>
      <formula>$IA$24</formula>
    </cfRule>
    <cfRule type="cellIs" dxfId="445" priority="56" operator="between">
      <formula>$IA$22</formula>
      <formula>$IA$23</formula>
    </cfRule>
    <cfRule type="cellIs" dxfId="444" priority="57" operator="between">
      <formula>$IA$21</formula>
      <formula>$IA$22</formula>
    </cfRule>
  </conditionalFormatting>
  <conditionalFormatting sqref="AO28 AG1:AG1048576 AJ1:AJ1048576 AN1:AN1048576">
    <cfRule type="cellIs" dxfId="443" priority="50" operator="between">
      <formula>$AQ$24</formula>
      <formula>1000</formula>
    </cfRule>
    <cfRule type="cellIs" dxfId="442" priority="51" operator="between">
      <formula>$AQ$23</formula>
      <formula>$AQ$24</formula>
    </cfRule>
    <cfRule type="cellIs" dxfId="441" priority="52" operator="between">
      <formula>$AQ$22</formula>
      <formula>$AQ$23</formula>
    </cfRule>
    <cfRule type="cellIs" dxfId="440" priority="53" operator="between">
      <formula>$AQ$21</formula>
      <formula>$AQ$22</formula>
    </cfRule>
  </conditionalFormatting>
  <conditionalFormatting sqref="BO28">
    <cfRule type="cellIs" dxfId="439" priority="46" operator="between">
      <formula>$AQ$24</formula>
      <formula>1000</formula>
    </cfRule>
    <cfRule type="cellIs" dxfId="438" priority="47" operator="between">
      <formula>$AQ$23</formula>
      <formula>$AQ$24</formula>
    </cfRule>
    <cfRule type="cellIs" dxfId="437" priority="48" operator="between">
      <formula>$AQ$22</formula>
      <formula>$AQ$23</formula>
    </cfRule>
    <cfRule type="cellIs" dxfId="436" priority="49" operator="between">
      <formula>$AQ$21</formula>
      <formula>$AQ$22</formula>
    </cfRule>
  </conditionalFormatting>
  <conditionalFormatting sqref="CP28">
    <cfRule type="cellIs" dxfId="435" priority="42" operator="between">
      <formula>$AQ$24</formula>
      <formula>1000</formula>
    </cfRule>
    <cfRule type="cellIs" dxfId="434" priority="43" operator="between">
      <formula>$AQ$23</formula>
      <formula>$AQ$24</formula>
    </cfRule>
    <cfRule type="cellIs" dxfId="433" priority="44" operator="between">
      <formula>$AQ$22</formula>
      <formula>$AQ$23</formula>
    </cfRule>
    <cfRule type="cellIs" dxfId="432" priority="45" operator="between">
      <formula>$AQ$21</formula>
      <formula>$AQ$22</formula>
    </cfRule>
  </conditionalFormatting>
  <conditionalFormatting sqref="DZ28">
    <cfRule type="cellIs" dxfId="431" priority="38" operator="between">
      <formula>$AQ$24</formula>
      <formula>1000</formula>
    </cfRule>
    <cfRule type="cellIs" dxfId="430" priority="39" operator="between">
      <formula>$AQ$23</formula>
      <formula>$AQ$24</formula>
    </cfRule>
    <cfRule type="cellIs" dxfId="429" priority="40" operator="between">
      <formula>$AQ$22</formula>
      <formula>$AQ$23</formula>
    </cfRule>
    <cfRule type="cellIs" dxfId="428" priority="41" operator="between">
      <formula>$AQ$21</formula>
      <formula>$AQ$22</formula>
    </cfRule>
  </conditionalFormatting>
  <conditionalFormatting sqref="FH28">
    <cfRule type="cellIs" dxfId="427" priority="34" operator="between">
      <formula>$AQ$24</formula>
      <formula>1000</formula>
    </cfRule>
    <cfRule type="cellIs" dxfId="426" priority="35" operator="between">
      <formula>$AQ$23</formula>
      <formula>$AQ$24</formula>
    </cfRule>
    <cfRule type="cellIs" dxfId="425" priority="36" operator="between">
      <formula>$AQ$22</formula>
      <formula>$AQ$23</formula>
    </cfRule>
    <cfRule type="cellIs" dxfId="424" priority="37" operator="between">
      <formula>$AQ$21</formula>
      <formula>$AQ$22</formula>
    </cfRule>
  </conditionalFormatting>
  <conditionalFormatting sqref="HX28">
    <cfRule type="cellIs" dxfId="423" priority="30" operator="between">
      <formula>$AQ$24</formula>
      <formula>1000</formula>
    </cfRule>
    <cfRule type="cellIs" dxfId="422" priority="31" operator="between">
      <formula>$AQ$23</formula>
      <formula>$AQ$24</formula>
    </cfRule>
    <cfRule type="cellIs" dxfId="421" priority="32" operator="between">
      <formula>$AQ$22</formula>
      <formula>$AQ$23</formula>
    </cfRule>
    <cfRule type="cellIs" dxfId="420" priority="33" operator="between">
      <formula>$AQ$21</formula>
      <formula>$AQ$22</formula>
    </cfRule>
  </conditionalFormatting>
  <conditionalFormatting sqref="K1:K1048576 M1:M1048576">
    <cfRule type="expression" dxfId="419" priority="79">
      <formula>IF(K1=$BS$1,1,0)</formula>
    </cfRule>
    <cfRule type="expression" dxfId="418" priority="80">
      <formula>IF(K1=$AR$1,1,0)</formula>
    </cfRule>
    <cfRule type="expression" dxfId="417" priority="81">
      <formula>IF(K1=$Q$1,1,0)</formula>
    </cfRule>
  </conditionalFormatting>
  <conditionalFormatting sqref="CN1:CN1048576 AL1:AL1048576">
    <cfRule type="cellIs" dxfId="416" priority="116965" operator="between">
      <formula>AQ$28</formula>
      <formula>1000</formula>
    </cfRule>
    <cfRule type="cellIs" dxfId="415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14" priority="116977" operator="between">
      <formula>EC$28</formula>
      <formula>1000</formula>
    </cfRule>
    <cfRule type="cellIs" dxfId="413" priority="116978" operator="between">
      <formula>EC$27</formula>
      <formula>EC$28</formula>
    </cfRule>
  </conditionalFormatting>
  <conditionalFormatting sqref="AI1:AI1048576 AL1:AL1048576 AP1:AP1048576">
    <cfRule type="cellIs" dxfId="412" priority="117061" operator="between">
      <formula>$AQ$28</formula>
      <formula>1000</formula>
    </cfRule>
    <cfRule type="cellIs" dxfId="411" priority="117062" operator="between">
      <formula>$AQ$27</formula>
      <formula>$AQ$28</formula>
    </cfRule>
    <cfRule type="cellIs" dxfId="410" priority="117063" operator="between">
      <formula>$AQ$26</formula>
      <formula>$AQ$27</formula>
    </cfRule>
    <cfRule type="cellIs" dxfId="409" priority="117064" operator="between">
      <formula>$AQ$25</formula>
      <formula>$AQ$26</formula>
    </cfRule>
  </conditionalFormatting>
  <conditionalFormatting sqref="BJ1:BJ1048576 BM1:BM1048576 BQ1:BQ1048576">
    <cfRule type="cellIs" dxfId="408" priority="117097" operator="between">
      <formula>$BR$28</formula>
      <formula>1000</formula>
    </cfRule>
    <cfRule type="cellIs" dxfId="407" priority="117098" operator="between">
      <formula>$BR$27</formula>
      <formula>$BR$28</formula>
    </cfRule>
    <cfRule type="cellIs" dxfId="406" priority="117099" operator="between">
      <formula>$BR$26</formula>
      <formula>$BR$27</formula>
    </cfRule>
    <cfRule type="cellIs" dxfId="405" priority="117100" operator="between">
      <formula>$BR$25</formula>
      <formula>$BR$26</formula>
    </cfRule>
  </conditionalFormatting>
  <conditionalFormatting sqref="CK1:CK1048576 CN1:CN1048576 CR1:CR1048576">
    <cfRule type="cellIs" dxfId="404" priority="117133" operator="between">
      <formula>$CS$28</formula>
      <formula>1000</formula>
    </cfRule>
    <cfRule type="cellIs" dxfId="403" priority="117134" operator="between">
      <formula>$CS$27</formula>
      <formula>$CS$28</formula>
    </cfRule>
    <cfRule type="cellIs" dxfId="402" priority="117135" operator="between">
      <formula>$CS$26</formula>
      <formula>$CS$27</formula>
    </cfRule>
    <cfRule type="cellIs" dxfId="401" priority="117136" operator="between">
      <formula>$CS$25</formula>
      <formula>$CS$26</formula>
    </cfRule>
  </conditionalFormatting>
  <conditionalFormatting sqref="MT1:MT1048576 MW1:MW1048576 NA1:NA1048576 ND1:ND1048576">
    <cfRule type="cellIs" dxfId="400" priority="117169" operator="between">
      <formula>$NG$21</formula>
      <formula>$NG$22</formula>
    </cfRule>
  </conditionalFormatting>
  <conditionalFormatting sqref="DR1:DR1048576 DU1:DU1048576 DY1:DY1048576 EB1:EB1048576">
    <cfRule type="cellIs" dxfId="399" priority="117181" operator="between">
      <formula>$EC$28</formula>
      <formula>1000</formula>
    </cfRule>
    <cfRule type="cellIs" dxfId="398" priority="117182" operator="between">
      <formula>$EC$27</formula>
      <formula>$EC$28</formula>
    </cfRule>
    <cfRule type="cellIs" dxfId="397" priority="117183" operator="between">
      <formula>$EC$26</formula>
      <formula>$EC$27</formula>
    </cfRule>
    <cfRule type="cellIs" dxfId="396" priority="117184" operator="between">
      <formula>$EC$25</formula>
      <formula>$EC$26</formula>
    </cfRule>
  </conditionalFormatting>
  <conditionalFormatting sqref="EZ1:EZ1048576 FC1:FC1048576 FG1:FG1048576 FJ1:FJ1048576">
    <cfRule type="cellIs" dxfId="395" priority="117229" operator="between">
      <formula>$FK$28</formula>
      <formula>1000</formula>
    </cfRule>
    <cfRule type="cellIs" dxfId="394" priority="117230" operator="between">
      <formula>$FK$27</formula>
      <formula>$FK$28</formula>
    </cfRule>
    <cfRule type="cellIs" dxfId="393" priority="117231" operator="between">
      <formula>$FK$26</formula>
      <formula>$FK$27</formula>
    </cfRule>
    <cfRule type="cellIs" dxfId="392" priority="117232" operator="between">
      <formula>$FK$25</formula>
      <formula>$FK$26</formula>
    </cfRule>
  </conditionalFormatting>
  <conditionalFormatting sqref="GF1:GF1048576 GI1:GI1048576 GM1:GM1048576 GP1:GP1048576">
    <cfRule type="cellIs" dxfId="391" priority="117277" operator="between">
      <formula>$GS$24</formula>
      <formula>1000</formula>
    </cfRule>
    <cfRule type="cellIs" dxfId="390" priority="117278" operator="between">
      <formula>$GS$23</formula>
      <formula>$GS$24</formula>
    </cfRule>
    <cfRule type="cellIs" dxfId="389" priority="117279" operator="between">
      <formula>$GS$22</formula>
      <formula>$GS$23</formula>
    </cfRule>
    <cfRule type="cellIs" dxfId="388" priority="117280" operator="between">
      <formula>$GS$21</formula>
      <formula>$GS$22</formula>
    </cfRule>
  </conditionalFormatting>
  <conditionalFormatting sqref="GH1:GH1048576 GK1:GK1048576 GO1:GO1048576 GR1:GR1048576">
    <cfRule type="cellIs" dxfId="387" priority="117325" operator="between">
      <formula>$GS$28</formula>
      <formula>1000</formula>
    </cfRule>
    <cfRule type="cellIs" dxfId="386" priority="117326" operator="between">
      <formula>$GS$27</formula>
      <formula>$GS$28</formula>
    </cfRule>
    <cfRule type="cellIs" dxfId="385" priority="117327" operator="between">
      <formula>$GS$26</formula>
      <formula>$GS$27</formula>
    </cfRule>
    <cfRule type="cellIs" dxfId="384" priority="117328" operator="between">
      <formula>$GS$25</formula>
      <formula>$GS$26</formula>
    </cfRule>
  </conditionalFormatting>
  <conditionalFormatting sqref="HP1:HP1048576 HS1:HS1048576 HW1:HW1048576 HZ1:HZ1048576">
    <cfRule type="cellIs" dxfId="383" priority="117373" operator="between">
      <formula>$IA$28</formula>
      <formula>1000</formula>
    </cfRule>
    <cfRule type="cellIs" dxfId="382" priority="117374" operator="between">
      <formula>$IA$27</formula>
      <formula>$IA$28</formula>
    </cfRule>
    <cfRule type="cellIs" dxfId="381" priority="117375" operator="between">
      <formula>$IA$26</formula>
      <formula>$IA$27</formula>
    </cfRule>
    <cfRule type="cellIs" dxfId="380" priority="117376" operator="between">
      <formula>$IA$25</formula>
      <formula>$IA$26</formula>
    </cfRule>
  </conditionalFormatting>
  <conditionalFormatting sqref="IV1:IV1048576 IY1:IY1048576 JC1:JC1048576 JF1:JF1048576">
    <cfRule type="cellIs" dxfId="379" priority="117421" operator="between">
      <formula>$JI$24</formula>
      <formula>1000</formula>
    </cfRule>
    <cfRule type="cellIs" dxfId="378" priority="117422" operator="between">
      <formula>$JI$23</formula>
      <formula>$JI$24</formula>
    </cfRule>
    <cfRule type="cellIs" dxfId="377" priority="117423" operator="between">
      <formula>$JI$22</formula>
      <formula>$JI$23</formula>
    </cfRule>
    <cfRule type="cellIs" dxfId="376" priority="117424" operator="between">
      <formula>$JI$21</formula>
      <formula>$JI$22</formula>
    </cfRule>
  </conditionalFormatting>
  <conditionalFormatting sqref="IX1:IX1048576 JA1:JA1048576 JE1:JE1048576 JH1:JH1048576">
    <cfRule type="cellIs" dxfId="375" priority="117469" operator="between">
      <formula>$JI$28</formula>
      <formula>1000</formula>
    </cfRule>
    <cfRule type="cellIs" dxfId="374" priority="117470" operator="between">
      <formula>$JI$27</formula>
      <formula>$JI$28</formula>
    </cfRule>
    <cfRule type="cellIs" dxfId="373" priority="117471" operator="between">
      <formula>$JI$26</formula>
      <formula>$JI$27</formula>
    </cfRule>
    <cfRule type="cellIs" dxfId="372" priority="117472" operator="between">
      <formula>$JI$25</formula>
      <formula>$JI$26</formula>
    </cfRule>
  </conditionalFormatting>
  <conditionalFormatting sqref="KD1:KD1048576 KG1:KG1048576 KK1:KK1048576 KN1:KN1048576">
    <cfRule type="cellIs" dxfId="371" priority="117517" operator="between">
      <formula>$KQ$24</formula>
      <formula>1000</formula>
    </cfRule>
    <cfRule type="cellIs" dxfId="370" priority="117518" operator="between">
      <formula>$KQ$23</formula>
      <formula>$KQ$24</formula>
    </cfRule>
    <cfRule type="cellIs" dxfId="369" priority="117519" operator="between">
      <formula>$KQ$22</formula>
      <formula>$KQ$23</formula>
    </cfRule>
    <cfRule type="cellIs" dxfId="368" priority="117520" operator="between">
      <formula>$KQ$21</formula>
      <formula>$KQ$22</formula>
    </cfRule>
  </conditionalFormatting>
  <conditionalFormatting sqref="KF1:KF1048576 KI1:KI1048576 KM1:KM1048576 KP1:KP1048576">
    <cfRule type="cellIs" dxfId="367" priority="117565" operator="between">
      <formula>$KQ$28</formula>
      <formula>1000</formula>
    </cfRule>
    <cfRule type="cellIs" dxfId="366" priority="117566" operator="between">
      <formula>$KQ$27</formula>
      <formula>$KQ$28</formula>
    </cfRule>
    <cfRule type="cellIs" dxfId="365" priority="117567" operator="between">
      <formula>$KQ$26</formula>
      <formula>$KQ$27</formula>
    </cfRule>
    <cfRule type="cellIs" dxfId="364" priority="117568" operator="between">
      <formula>$KQ$25</formula>
      <formula>$KQ$26</formula>
    </cfRule>
  </conditionalFormatting>
  <conditionalFormatting sqref="LL1:LL1048576 LO1:LO1048576 LS1:LS1048576 LV1:LV1048576">
    <cfRule type="cellIs" dxfId="363" priority="117613" operator="between">
      <formula>$LY$24</formula>
      <formula>1000</formula>
    </cfRule>
    <cfRule type="cellIs" dxfId="362" priority="117614" operator="between">
      <formula>$LY$23</formula>
      <formula>$LY$24</formula>
    </cfRule>
    <cfRule type="cellIs" dxfId="361" priority="117615" operator="between">
      <formula>$LY$22</formula>
      <formula>$LY$23</formula>
    </cfRule>
    <cfRule type="cellIs" dxfId="360" priority="117616" operator="between">
      <formula>$LY$21</formula>
      <formula>$LY$22</formula>
    </cfRule>
  </conditionalFormatting>
  <conditionalFormatting sqref="LN1:LN1048576 LQ1:LQ1048576 LU1:LU1048576 LX1:LX1048576">
    <cfRule type="cellIs" dxfId="359" priority="117661" operator="between">
      <formula>$LY$28</formula>
      <formula>1000</formula>
    </cfRule>
    <cfRule type="cellIs" dxfId="358" priority="117662" operator="between">
      <formula>$LY$27</formula>
      <formula>$LY$28</formula>
    </cfRule>
    <cfRule type="cellIs" dxfId="357" priority="117663" operator="between">
      <formula>$LY$26</formula>
      <formula>$LY$27</formula>
    </cfRule>
    <cfRule type="cellIs" dxfId="356" priority="117664" operator="between">
      <formula>$LY$25</formula>
      <formula>$LY$26</formula>
    </cfRule>
  </conditionalFormatting>
  <conditionalFormatting sqref="MT1:MT1048576 MW1:MW1048576 NA1:NA1048576">
    <cfRule type="cellIs" dxfId="355" priority="117709" operator="between">
      <formula>$NG$24</formula>
      <formula>1000</formula>
    </cfRule>
    <cfRule type="cellIs" dxfId="354" priority="117710" operator="between">
      <formula>$NG$23</formula>
      <formula>$NG$24</formula>
    </cfRule>
    <cfRule type="cellIs" dxfId="353" priority="117711" operator="between">
      <formula>$NG$22</formula>
      <formula>$NG$23</formula>
    </cfRule>
  </conditionalFormatting>
  <conditionalFormatting sqref="MV1:MV1048576 MY1:MY1048576 NC1:NC1048576 NF1:NF1048576">
    <cfRule type="cellIs" dxfId="352" priority="117736" operator="between">
      <formula>$NG$28</formula>
      <formula>1000</formula>
    </cfRule>
    <cfRule type="cellIs" dxfId="351" priority="117737" operator="between">
      <formula>$NG$27</formula>
      <formula>$NG$28</formula>
    </cfRule>
    <cfRule type="cellIs" dxfId="350" priority="117738" operator="between">
      <formula>$NG$26</formula>
      <formula>$NG$27</formula>
    </cfRule>
    <cfRule type="cellIs" dxfId="349" priority="117739" operator="between">
      <formula>$NG$25</formula>
      <formula>$NG$26</formula>
    </cfRule>
  </conditionalFormatting>
  <conditionalFormatting sqref="OB1:OB1048576 OE1:OE1048576 OI1:OI1048576 OL1:OL1048576">
    <cfRule type="cellIs" dxfId="348" priority="117784" operator="between">
      <formula>$OO$24</formula>
      <formula>1000</formula>
    </cfRule>
    <cfRule type="cellIs" dxfId="347" priority="117785" operator="between">
      <formula>$OO$23</formula>
      <formula>$OO$24</formula>
    </cfRule>
    <cfRule type="cellIs" dxfId="346" priority="117786" operator="between">
      <formula>$OO$22</formula>
      <formula>$OO$23</formula>
    </cfRule>
    <cfRule type="cellIs" dxfId="345" priority="117787" operator="between">
      <formula>$OO$21</formula>
      <formula>$OO$22</formula>
    </cfRule>
  </conditionalFormatting>
  <conditionalFormatting sqref="OD1:OD1048576 OG1:OG1048576 OK1:OK1048576 ON1:ON1048576">
    <cfRule type="cellIs" dxfId="344" priority="117832" operator="between">
      <formula>$OO$28</formula>
      <formula>1000</formula>
    </cfRule>
    <cfRule type="cellIs" dxfId="343" priority="117833" operator="between">
      <formula>$OO$27</formula>
      <formula>$OO$28</formula>
    </cfRule>
    <cfRule type="cellIs" dxfId="342" priority="117834" operator="between">
      <formula>$OO$26</formula>
      <formula>$OO$27</formula>
    </cfRule>
    <cfRule type="cellIs" dxfId="341" priority="117835" operator="between">
      <formula>$OO$25</formula>
      <formula>$OO$26</formula>
    </cfRule>
  </conditionalFormatting>
  <conditionalFormatting sqref="PJ1:PJ1048576 PM1:PM1048576 PQ1:PQ1048576 PT1:PT1048576">
    <cfRule type="cellIs" dxfId="340" priority="117880" operator="between">
      <formula>$PW$24</formula>
      <formula>1000</formula>
    </cfRule>
    <cfRule type="cellIs" dxfId="339" priority="117881" operator="between">
      <formula>$PW$23</formula>
      <formula>$PW$24</formula>
    </cfRule>
    <cfRule type="cellIs" dxfId="338" priority="117882" operator="between">
      <formula>$PW$22</formula>
      <formula>$PW$23</formula>
    </cfRule>
    <cfRule type="cellIs" dxfId="337" priority="117883" operator="between">
      <formula>$PW$21</formula>
      <formula>$PW$22</formula>
    </cfRule>
  </conditionalFormatting>
  <conditionalFormatting sqref="PL1:PL1048576 PO1:PO1048576 PS1:PS1048576 PV1:PV1048576">
    <cfRule type="cellIs" dxfId="336" priority="117928" operator="between">
      <formula>$PW$28</formula>
      <formula>1000</formula>
    </cfRule>
    <cfRule type="cellIs" dxfId="335" priority="117929" operator="between">
      <formula>$PW$27</formula>
      <formula>$PW$28</formula>
    </cfRule>
    <cfRule type="cellIs" dxfId="334" priority="117930" operator="between">
      <formula>$PW$26</formula>
      <formula>$PW$27</formula>
    </cfRule>
    <cfRule type="cellIs" dxfId="333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332" priority="117976" operator="between">
      <formula>$RE$24</formula>
      <formula>1000</formula>
    </cfRule>
    <cfRule type="cellIs" dxfId="331" priority="117977" operator="between">
      <formula>$RE$23</formula>
      <formula>$RE$24</formula>
    </cfRule>
    <cfRule type="cellIs" dxfId="330" priority="117978" operator="between">
      <formula>$RE$22</formula>
      <formula>$RE$23</formula>
    </cfRule>
    <cfRule type="cellIs" dxfId="329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328" priority="118088" operator="between">
      <formula>$RE$28</formula>
      <formula>1000</formula>
    </cfRule>
    <cfRule type="cellIs" dxfId="327" priority="118089" operator="between">
      <formula>$RE$27</formula>
      <formula>$RE$28</formula>
    </cfRule>
    <cfRule type="cellIs" dxfId="326" priority="118090" operator="between">
      <formula>$RE$26</formula>
      <formula>$RE$27</formula>
    </cfRule>
    <cfRule type="cellIs" dxfId="325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324" priority="118200" operator="between">
      <formula>$SM$24</formula>
      <formula>1000</formula>
    </cfRule>
    <cfRule type="cellIs" dxfId="323" priority="118201" operator="between">
      <formula>$SM$23</formula>
      <formula>$SM$24</formula>
    </cfRule>
    <cfRule type="cellIs" dxfId="322" priority="118202" operator="between">
      <formula>$SM$22</formula>
      <formula>$SM$23</formula>
    </cfRule>
    <cfRule type="cellIs" dxfId="321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320" priority="118280" operator="between">
      <formula>$SM$28</formula>
      <formula>1000</formula>
    </cfRule>
    <cfRule type="cellIs" dxfId="319" priority="118281" operator="between">
      <formula>$SM$27</formula>
      <formula>$SM$28</formula>
    </cfRule>
    <cfRule type="cellIs" dxfId="318" priority="118282" operator="between">
      <formula>$SM$26</formula>
      <formula>$SM$27</formula>
    </cfRule>
    <cfRule type="cellIs" dxfId="317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105</v>
      </c>
      <c r="K1" s="69" t="s">
        <v>30</v>
      </c>
      <c r="L1" s="71" t="s">
        <v>153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193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232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253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189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192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222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240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 t="s">
        <v>244</v>
      </c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102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102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102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102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102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102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102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102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102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102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102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102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102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102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102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 t="shared" ref="E4:E15" si="0">SUM(J4,L4,N4)</f>
        <v>95.03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 t="shared" ref="K4:K15" si="5"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 t="shared" ref="M4:M15" si="6">IF(L4="","",IF(OR(L4=CK4,L4=CN4,L4=CR4),$BS$1,IF(OR(L4=BJ4,L4=BM4,L4=BQ4),$AR$1,IF(OR(L4=AI4,L4=AL4,L4=AP4),$Q$1,""))))</f>
        <v>2024 Elite Canada</v>
      </c>
      <c r="N4" s="8" t="str">
        <f t="shared" ref="N4:N15" si="7">IF(MAX(CT4,CU4)&gt;0,MAX(CT4,CU4),"")</f>
        <v/>
      </c>
      <c r="O4" s="11" t="str">
        <f t="shared" ref="O4:O15" si="8">IF(N4="","",IF(N4=CT4,"("&amp;CT$2&amp;")",IF(N4=CU4,"("&amp;CU$2&amp;")")))</f>
        <v/>
      </c>
      <c r="P4" s="8" t="str">
        <f t="shared" ref="P4:P15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 t="shared" ref="AG4:AG15" si="10">IF(S4&gt;0,S4,"")</f>
        <v>11.8</v>
      </c>
      <c r="AH4" s="38">
        <f t="shared" ref="AH4:AH15" si="11">IF(T4&gt;0,T4,"")</f>
        <v>17.059999999999999</v>
      </c>
      <c r="AI4" s="40">
        <f t="shared" ref="AI4:AI15" si="12">IF(SUM(Q4:T4)-U4&gt;0,SUM(Q4:T4)-U4,"")</f>
        <v>47.21</v>
      </c>
      <c r="AJ4" s="40">
        <f t="shared" ref="AJ4:AJ15" si="13">IF(X4&gt;0,X4,"")</f>
        <v>12.4</v>
      </c>
      <c r="AK4" s="40">
        <f t="shared" ref="AK4:AK15" si="14">IF(Y4&gt;0,Y4,"")</f>
        <v>16.04</v>
      </c>
      <c r="AL4" s="40">
        <f t="shared" ref="AL4:AL15" si="15">IF(SUM(V4:Y4)-Z4&gt;0,SUM(V4:Y4)-Z4,"")</f>
        <v>45.989999999999995</v>
      </c>
      <c r="AM4" s="40">
        <f t="shared" ref="AM4:AM15" si="16">IF(AI4="","",MAX(AI4,AL4))</f>
        <v>47.21</v>
      </c>
      <c r="AN4" s="40">
        <f t="shared" ref="AN4:AN15" si="17">IF(AC4&gt;0,AC4,"")</f>
        <v>11.8</v>
      </c>
      <c r="AO4" s="40">
        <f t="shared" ref="AO4:AO15" si="18">IF(AD4&gt;0,AD4,"")</f>
        <v>17.100000000000001</v>
      </c>
      <c r="AP4" s="40">
        <f t="shared" ref="AP4:AP15" si="19">IF(SUM(AA4:AD4)-AE4&gt;0,SUM(AA4:AD4)-AE4,"")</f>
        <v>47.1</v>
      </c>
      <c r="AQ4" s="40">
        <f t="shared" ref="AQ4:AQ15" si="20"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 t="shared" ref="BH4:BH15" si="21">IF(AT4&gt;0,AT4,"")</f>
        <v>5.4</v>
      </c>
      <c r="BI4" s="39">
        <f t="shared" ref="BI4:BI15" si="22">IF(AU4&gt;0,AU4,"")</f>
        <v>7.12</v>
      </c>
      <c r="BJ4" s="11">
        <f t="shared" ref="BJ4:BJ15" si="23">IF(SUM(AR4:AU4)-AV4&gt;0,SUM(AR4:AU4)-AV4,"")</f>
        <v>19.32</v>
      </c>
      <c r="BK4" s="11">
        <f t="shared" ref="BK4:BK15" si="24">IF(AY4&gt;0,AY4,"")</f>
        <v>11.8</v>
      </c>
      <c r="BL4" s="11">
        <f t="shared" ref="BL4:BL15" si="25">IF(AZ4&gt;0,AZ4,"")</f>
        <v>17.62</v>
      </c>
      <c r="BM4" s="11">
        <f t="shared" ref="BM4:BM15" si="26">IF(SUM(AW4:AZ4)-BA4&gt;0,SUM(AW4:AZ4)-BA4,"")</f>
        <v>47.82</v>
      </c>
      <c r="BN4" s="11">
        <f t="shared" ref="BN4:BN15" si="27">IF(BJ4="","",MAX(BJ4,BM4))</f>
        <v>47.82</v>
      </c>
      <c r="BO4" s="11">
        <f t="shared" ref="BO4:BO15" si="28">IF(BD4&gt;0,BD4,"")</f>
        <v>1.5</v>
      </c>
      <c r="BP4" s="11">
        <f t="shared" ref="BP4:BP15" si="29">IF(BE4&gt;0,BE4,"")</f>
        <v>1.84</v>
      </c>
      <c r="BQ4" s="11">
        <f t="shared" ref="BQ4:BQ15" si="30">IF(SUM(BB4:BE4)-BF4&gt;0,SUM(BB4:BE4)-BF4,"")</f>
        <v>4.99</v>
      </c>
      <c r="BR4" s="11">
        <f t="shared" ref="BR4:BR15" si="31"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5" si="32">IF(BU4&gt;0,BU4,"")</f>
        <v/>
      </c>
      <c r="CJ4" s="38" t="str">
        <f t="shared" ref="CJ4:CJ15" si="33">IF(BV4&gt;0,BV4,"")</f>
        <v/>
      </c>
      <c r="CK4" s="40" t="str">
        <f t="shared" ref="CK4:CK15" si="34">IF(SUM(BS4:BV4)-BW4&gt;0,SUM(BS4:BV4)-BW4,"")</f>
        <v/>
      </c>
      <c r="CL4" s="40" t="str">
        <f t="shared" ref="CL4:CL15" si="35">IF(BZ4&gt;0,BZ4,"")</f>
        <v/>
      </c>
      <c r="CM4" s="40" t="str">
        <f t="shared" ref="CM4:CM15" si="36">IF(CA4&gt;0,CA4,"")</f>
        <v/>
      </c>
      <c r="CN4" s="40" t="str">
        <f t="shared" ref="CN4:CN15" si="37">IF(SUM(BX4:CA4)-CB4&gt;0,SUM(BX4:CA4)-CB4,"")</f>
        <v/>
      </c>
      <c r="CO4" s="40" t="str">
        <f t="shared" ref="CO4:CO15" si="38">IF(CK4="","",MAX(CK4,CN4))</f>
        <v/>
      </c>
      <c r="CP4" s="40" t="str">
        <f t="shared" ref="CP4:CP15" si="39">IF(CE4&gt;0,CE4,"")</f>
        <v/>
      </c>
      <c r="CQ4" s="40" t="str">
        <f t="shared" ref="CQ4:CQ15" si="40">IF(CF4&gt;0,CF4,"")</f>
        <v/>
      </c>
      <c r="CR4" s="40" t="str">
        <f t="shared" ref="CR4:CR15" si="41">IF(SUM(CC4:CF4)-CG4&gt;0,SUM(CC4:CF4)-CG4,"")</f>
        <v/>
      </c>
      <c r="CS4" s="40" t="str">
        <f t="shared" ref="CS4:CS15" si="42">IF(SUM(CO4,CR4)&gt;0,SUM(CO4,CR4),"")</f>
        <v/>
      </c>
      <c r="CT4" s="51" t="str">
        <f t="shared" ref="CT4:CT15" si="43">IF(MAX(DV4,FD4,GL4,HT4,JB4,KJ4,LR4,MZ4,OH4,PP4,QX4,SF4,TN4,UV4,WD4)-IF(L4="",0,L4)&gt;0.001,MAX(DV4,FD4,GL4,HT4,JB4,KJ4,LR4,MZ4,OH4,PP4,QX4,SF4,TN4,UV4,WD4)-IF(L4="",0,L4),"")</f>
        <v/>
      </c>
      <c r="CU4" s="51" t="str">
        <f t="shared" ref="CU4:CU15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5" si="45">IF(CX4&gt;0,CX4,"")</f>
        <v/>
      </c>
      <c r="DQ4" s="40" t="str">
        <f t="shared" ref="DQ4:DQ15" si="46">IF(CY4&gt;0,CY4,"")</f>
        <v/>
      </c>
      <c r="DR4" s="40" t="str">
        <f t="shared" ref="DR4:DR15" si="47">IF(SUM(CV4:CY4)-CZ4&gt;0,SUM(CV4:CY4)-CZ4,"")</f>
        <v/>
      </c>
      <c r="DS4" s="40" t="str">
        <f t="shared" ref="DS4:DS15" si="48">IF(DC4&gt;0,DC4,"")</f>
        <v/>
      </c>
      <c r="DT4" s="40" t="str">
        <f t="shared" ref="DT4:DT15" si="49">IF(DD4&gt;0,DD4,"")</f>
        <v/>
      </c>
      <c r="DU4" s="40" t="str">
        <f t="shared" ref="DU4:DU15" si="50">IF(SUM(DA4:DD4)-DE4&gt;0,SUM(DA4:DD4)-DE4,"")</f>
        <v/>
      </c>
      <c r="DV4" s="40" t="str">
        <f t="shared" ref="DV4:DV15" si="51">IF(MAX(DR4,DU4)&gt;0,MAX(DR4,DU4),"")</f>
        <v/>
      </c>
      <c r="DW4" s="40" t="str">
        <f t="shared" ref="DW4:DW15" si="52">IF(DH4&gt;0,DH4,"")</f>
        <v/>
      </c>
      <c r="DX4" s="40" t="str">
        <f t="shared" ref="DX4:DX15" si="53">IF(DI4&gt;0,DI4,"")</f>
        <v/>
      </c>
      <c r="DY4" s="40" t="str">
        <f t="shared" ref="DY4:DY15" si="54">IF(SUM(DF4:DI4)-DJ4&gt;0,SUM(DF4:DI4)-DJ4,"")</f>
        <v/>
      </c>
      <c r="DZ4" s="40" t="str">
        <f t="shared" ref="DZ4:DZ15" si="55">IF(DM4&gt;0,DM4,"")</f>
        <v/>
      </c>
      <c r="EA4" s="40" t="str">
        <f t="shared" ref="EA4:EA15" si="56">IF(DN4&gt;0,DN4,"")</f>
        <v/>
      </c>
      <c r="EB4" s="40" t="str">
        <f t="shared" ref="EB4:EB15" si="57">IF(SUM(DK4:DN4)-DO4&gt;0,SUM(DK4:DN4)-DO4,"")</f>
        <v/>
      </c>
      <c r="EC4" s="40" t="str">
        <f t="shared" ref="EC4:EC15" si="58"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5" si="59">IF(EF4&gt;0,EF4,"")</f>
        <v>11.8</v>
      </c>
      <c r="EY4" s="11">
        <f t="shared" ref="EY4:EY15" si="60">IF(EG4&gt;0,EG4,"")</f>
        <v>16.2</v>
      </c>
      <c r="EZ4" s="11">
        <f t="shared" ref="EZ4:EZ15" si="61">IF(SUM(ED4:EG4)-EH4&gt;0,SUM(ED4:EG4)-EH4,"")</f>
        <v>45.45</v>
      </c>
      <c r="FA4" s="11">
        <f t="shared" ref="FA4:FA15" si="62">IF(EK4&gt;0,EK4,"")</f>
        <v>11.8</v>
      </c>
      <c r="FB4" s="11">
        <f t="shared" ref="FB4:FB15" si="63">IF(EL4&gt;0,EL4,"")</f>
        <v>16.239999999999998</v>
      </c>
      <c r="FC4" s="11">
        <f t="shared" ref="FC4:FC15" si="64">IF(SUM(EI4:EL4)-EM4&gt;0,SUM(EI4:EL4)-EM4,"")</f>
        <v>45.19</v>
      </c>
      <c r="FD4" s="11">
        <f t="shared" ref="FD4:FD15" si="65">IF(MAX(EZ4,FC4)&gt;0,MAX(EZ4,FC4),"")</f>
        <v>45.45</v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>
        <f t="shared" ref="FK4:FK15" si="72"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F15" si="73">IF(FN4&gt;0,FN4,"")</f>
        <v/>
      </c>
      <c r="GG4" s="40" t="str">
        <f t="shared" ref="GG4:GG15" si="74">IF(FO4&gt;0,FO4,"")</f>
        <v/>
      </c>
      <c r="GH4" s="40" t="str">
        <f t="shared" ref="GH4:GH15" si="75">IF(SUM(FL4:FO4)-FP4&gt;0,SUM(FL4:FO4)-FP4,"")</f>
        <v/>
      </c>
      <c r="GI4" s="40" t="str">
        <f t="shared" ref="GI4:GI15" si="76">IF(FS4&gt;0,FS4,"")</f>
        <v/>
      </c>
      <c r="GJ4" s="40" t="str">
        <f t="shared" ref="GJ4:GJ15" si="77">IF(FT4&gt;0,FT4,"")</f>
        <v/>
      </c>
      <c r="GK4" s="40" t="str">
        <f t="shared" ref="GK4:GK15" si="78">IF(SUM(FQ4:FT4)-FU4&gt;0,SUM(FQ4:FT4)-FU4,"")</f>
        <v/>
      </c>
      <c r="GL4" s="40" t="str">
        <f t="shared" ref="GL4:GL15" si="79">IF(MAX(GH4,GK4)&gt;0,MAX(GH4,GK4),"")</f>
        <v/>
      </c>
      <c r="GM4" s="40" t="str">
        <f t="shared" ref="GM4:GM15" si="80">IF(FX4&gt;0,FX4,"")</f>
        <v/>
      </c>
      <c r="GN4" s="40" t="str">
        <f t="shared" ref="GN4:GN15" si="81">IF(FY4&gt;0,FY4,"")</f>
        <v/>
      </c>
      <c r="GO4" s="40" t="str">
        <f t="shared" ref="GO4:GO15" si="82">IF(SUM(FV4:FY4)-FZ4&gt;0,SUM(FV4:FY4)-FZ4,"")</f>
        <v/>
      </c>
      <c r="GP4" s="40" t="str">
        <f t="shared" ref="GP4:GP15" si="83">IF(GC4&gt;0,GC4,"")</f>
        <v/>
      </c>
      <c r="GQ4" s="40" t="str">
        <f t="shared" ref="GQ4:GQ15" si="84">IF(GD4&gt;0,GD4,"")</f>
        <v/>
      </c>
      <c r="GR4" s="40" t="str">
        <f t="shared" ref="GR4:GR15" si="85">IF(SUM(GA4:GD4)-GE4&gt;0,SUM(GA4:GD4)-GE4,"")</f>
        <v/>
      </c>
      <c r="GS4" s="40" t="str">
        <f t="shared" ref="GS4:GS15" si="86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 t="shared" ref="IV4:IV15" si="101">IF(ID4&gt;0,ID4,"")</f>
        <v>11.8</v>
      </c>
      <c r="IW4" s="40">
        <f t="shared" ref="IW4:IW15" si="102">IF(IE4&gt;0,IE4,"")</f>
        <v>16.54</v>
      </c>
      <c r="IX4" s="40">
        <f t="shared" ref="IX4:IX15" si="103">IF(SUM(IB4:IE4)-IF4&gt;0,SUM(IB4:IE4)-IF4,"")</f>
        <v>45.59</v>
      </c>
      <c r="IY4" s="40">
        <f t="shared" ref="IY4:IY15" si="104">IF(II4&gt;0,II4,"")</f>
        <v>11.8</v>
      </c>
      <c r="IZ4" s="40">
        <f t="shared" ref="IZ4:IZ15" si="105">IF(IJ4&gt;0,IJ4,"")</f>
        <v>15.8</v>
      </c>
      <c r="JA4" s="40">
        <f t="shared" ref="JA4:JA15" si="106">IF(SUM(IG4:IJ4)-IK4&gt;0,SUM(IG4:IJ4)-IK4,"")</f>
        <v>44.95</v>
      </c>
      <c r="JB4" s="40">
        <f t="shared" ref="JB4:JB15" si="107">IF(MAX(IX4,JA4)&gt;0,MAX(IX4,JA4),"")</f>
        <v>45.59</v>
      </c>
      <c r="JC4" s="40" t="str">
        <f t="shared" ref="JC4:JC15" si="108">IF(IN4&gt;0,IN4,"")</f>
        <v/>
      </c>
      <c r="JD4" s="40" t="str">
        <f t="shared" ref="JD4:JD15" si="109">IF(IO4&gt;0,IO4,"")</f>
        <v/>
      </c>
      <c r="JE4" s="40" t="str">
        <f t="shared" ref="JE4:JE15" si="110">IF(SUM(IL4:IO4)-IP4&gt;0,SUM(IL4:IO4)-IP4,"")</f>
        <v/>
      </c>
      <c r="JF4" s="40" t="str">
        <f t="shared" ref="JF4:JF15" si="111">IF(IS4&gt;0,IS4,"")</f>
        <v/>
      </c>
      <c r="JG4" s="40" t="str">
        <f t="shared" ref="JG4:JG15" si="112">IF(IT4&gt;0,IT4,"")</f>
        <v/>
      </c>
      <c r="JH4" s="40" t="str">
        <f t="shared" ref="JH4:JH15" si="113">IF(SUM(IQ4:IT4)-IU4&gt;0,SUM(IQ4:IT4)-IU4,"")</f>
        <v/>
      </c>
      <c r="JI4" s="40">
        <f t="shared" ref="JI4:JI15" si="114"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5" si="129">IF(KT4&gt;0,KT4,"")</f>
        <v/>
      </c>
      <c r="LM4" s="40" t="str">
        <f t="shared" ref="LM4:LM15" si="130">IF(KU4&gt;0,KU4,"")</f>
        <v/>
      </c>
      <c r="LN4" s="40" t="str">
        <f t="shared" ref="LN4:LN15" si="131">IF(SUM(KR4:KU4)-KV4&gt;0,SUM(KR4:KU4)-KV4,"")</f>
        <v/>
      </c>
      <c r="LO4" s="40" t="str">
        <f t="shared" ref="LO4:LO15" si="132">IF(KY4&gt;0,KY4,"")</f>
        <v/>
      </c>
      <c r="LP4" s="40" t="str">
        <f t="shared" ref="LP4:LP15" si="133">IF(KZ4&gt;0,KZ4,"")</f>
        <v/>
      </c>
      <c r="LQ4" s="40" t="str">
        <f t="shared" ref="LQ4:LQ15" si="134">IF(SUM(KW4:KZ4)-LA4&gt;0,SUM(KW4:KZ4)-LA4,"")</f>
        <v/>
      </c>
      <c r="LR4" s="40" t="str">
        <f t="shared" ref="LR4:LR15" si="135">IF(MAX(LN4,LQ4)&gt;0,MAX(LN4,LQ4),"")</f>
        <v/>
      </c>
      <c r="LS4" s="40" t="str">
        <f t="shared" ref="LS4:LS15" si="136">IF(LD4&gt;0,LD4,"")</f>
        <v/>
      </c>
      <c r="LT4" s="40" t="str">
        <f t="shared" ref="LT4:LT15" si="137">IF(LE4&gt;0,LE4,"")</f>
        <v/>
      </c>
      <c r="LU4" s="40" t="str">
        <f t="shared" ref="LU4:LU15" si="138">IF(SUM(LB4:LE4)-LF4&gt;0,SUM(LB4:LE4)-LF4,"")</f>
        <v/>
      </c>
      <c r="LV4" s="40" t="str">
        <f t="shared" ref="LV4:LV15" si="139">IF(LI4&gt;0,LI4,"")</f>
        <v/>
      </c>
      <c r="LW4" s="40" t="str">
        <f t="shared" ref="LW4:LW15" si="140">IF(LJ4&gt;0,LJ4,"")</f>
        <v/>
      </c>
      <c r="LX4" s="40" t="str">
        <f t="shared" ref="LX4:LX15" si="141">IF(SUM(LG4:LJ4)-LK4&gt;0,SUM(LG4:LJ4)-LK4,"")</f>
        <v/>
      </c>
      <c r="LY4" s="40" t="str">
        <f t="shared" ref="LY4:LY15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5" si="157">IF(NJ4&gt;0,NJ4,"")</f>
        <v/>
      </c>
      <c r="OC4" s="40" t="str">
        <f t="shared" ref="OC4:OC15" si="158">IF(NK4&gt;0,NK4,"")</f>
        <v/>
      </c>
      <c r="OD4" s="40" t="str">
        <f t="shared" ref="OD4:OD15" si="159">IF(SUM(NH4:NK4)-NL4&gt;0,SUM(NH4:NK4)-NL4,"")</f>
        <v/>
      </c>
      <c r="OE4" s="40" t="str">
        <f t="shared" ref="OE4:OE15" si="160">IF(NO4&gt;0,NO4,"")</f>
        <v/>
      </c>
      <c r="OF4" s="40" t="str">
        <f t="shared" ref="OF4:OF15" si="161">IF(NP4&gt;0,NP4,"")</f>
        <v/>
      </c>
      <c r="OG4" s="40" t="str">
        <f t="shared" ref="OG4:OG15" si="162">IF(SUM(NM4:NP4)-NQ4&gt;0,SUM(NM4:NP4)-NQ4,"")</f>
        <v/>
      </c>
      <c r="OH4" s="40" t="str">
        <f t="shared" ref="OH4:OH15" si="163">IF(MAX(OD4,OG4)&gt;0,MAX(OD4,OG4),"")</f>
        <v/>
      </c>
      <c r="OI4" s="40" t="str">
        <f t="shared" ref="OI4:OI15" si="164">IF(NT4&gt;0,NT4,"")</f>
        <v/>
      </c>
      <c r="OJ4" s="40" t="str">
        <f t="shared" ref="OJ4:OJ15" si="165">IF(NU4&gt;0,NU4,"")</f>
        <v/>
      </c>
      <c r="OK4" s="40" t="str">
        <f t="shared" ref="OK4:OK15" si="166">IF(SUM(NR4:NU4)-NV4&gt;0,SUM(NR4:NU4)-NV4,"")</f>
        <v/>
      </c>
      <c r="OL4" s="40" t="str">
        <f t="shared" ref="OL4:OL15" si="167">IF(NY4&gt;0,NY4,"")</f>
        <v/>
      </c>
      <c r="OM4" s="40" t="str">
        <f t="shared" ref="OM4:OM15" si="168">IF(NZ4&gt;0,NZ4,"")</f>
        <v/>
      </c>
      <c r="ON4" s="40" t="str">
        <f t="shared" ref="ON4:ON15" si="169">IF(SUM(NW4:NZ4)-OA4&gt;0,SUM(NW4:NZ4)-OA4,"")</f>
        <v/>
      </c>
      <c r="OO4" s="40" t="str">
        <f t="shared" ref="OO4:OO15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5" si="185">IF(PZ4&gt;0,PZ4,"")</f>
        <v/>
      </c>
      <c r="QS4" s="40" t="str">
        <f t="shared" ref="QS4:QS15" si="186">IF(QA4&gt;0,QA4,"")</f>
        <v/>
      </c>
      <c r="QT4" s="40" t="str">
        <f t="shared" ref="QT4:QT15" si="187">IF(SUM(PX4:QA4)-QB4&gt;0,SUM(PX4:QA4)-QB4,"")</f>
        <v/>
      </c>
      <c r="QU4" s="40" t="str">
        <f t="shared" ref="QU4:QU15" si="188">IF(QE4&gt;0,QE4,"")</f>
        <v/>
      </c>
      <c r="QV4" s="40" t="str">
        <f t="shared" ref="QV4:QV15" si="189">IF(QF4&gt;0,QF4,"")</f>
        <v/>
      </c>
      <c r="QW4" s="40" t="str">
        <f t="shared" ref="QW4:QW15" si="190">IF(SUM(QC4:QF4)-QG4&gt;0,SUM(QC4:QF4)-QG4,"")</f>
        <v/>
      </c>
      <c r="QX4" s="40" t="str">
        <f t="shared" ref="QX4:QX15" si="191">IF(MAX(QT4,QW4)&gt;0,MAX(QT4,QW4),"")</f>
        <v/>
      </c>
      <c r="QY4" s="40" t="str">
        <f t="shared" ref="QY4:QY15" si="192">IF(QJ4&gt;0,QJ4,"")</f>
        <v/>
      </c>
      <c r="QZ4" s="40" t="str">
        <f t="shared" ref="QZ4:QZ15" si="193">IF(QK4&gt;0,QK4,"")</f>
        <v/>
      </c>
      <c r="RA4" s="40" t="str">
        <f t="shared" ref="RA4:RA15" si="194">IF(SUM(QH4:QK4)-QL4&gt;0,SUM(QH4:QK4)-QL4,"")</f>
        <v/>
      </c>
      <c r="RB4" s="40" t="str">
        <f t="shared" ref="RB4:RB15" si="195">IF(QO4&gt;0,QO4,"")</f>
        <v/>
      </c>
      <c r="RC4" s="40" t="str">
        <f t="shared" ref="RC4:RC15" si="196">IF(QP4&gt;0,QP4,"")</f>
        <v/>
      </c>
      <c r="RD4" s="40" t="str">
        <f t="shared" ref="RD4:RD15" si="197">IF(SUM(QM4:QP4)-QQ4&gt;0,SUM(QM4:QP4)-QQ4,"")</f>
        <v/>
      </c>
      <c r="RE4" s="40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5" si="213">IF(SP4&gt;0,SP4,"")</f>
        <v/>
      </c>
      <c r="TI4" s="40" t="str">
        <f t="shared" ref="TI4:TI15" si="214">IF(SQ4&gt;0,SQ4,"")</f>
        <v/>
      </c>
      <c r="TJ4" s="40" t="str">
        <f t="shared" ref="TJ4:TJ15" si="215">IF(SUM(SN4:SQ4)-SR4&gt;0,SUM(SN4:SQ4)-SR4,"")</f>
        <v/>
      </c>
      <c r="TK4" s="40" t="str">
        <f t="shared" ref="TK4:TK15" si="216">IF(SU4&gt;0,SU4,"")</f>
        <v/>
      </c>
      <c r="TL4" s="40" t="str">
        <f t="shared" ref="TL4:TL15" si="217">IF(SV4&gt;0,SV4,"")</f>
        <v/>
      </c>
      <c r="TM4" s="40" t="str">
        <f t="shared" ref="TM4:TM15" si="218">IF(SUM(SS4:SV4)-SW4&gt;0,SUM(SS4:SV4)-SW4,"")</f>
        <v/>
      </c>
      <c r="TN4" s="40" t="str">
        <f t="shared" ref="TN4:TN15" si="219">IF(MAX(TJ4,TM4)&gt;0,MAX(TJ4,TM4),"")</f>
        <v/>
      </c>
      <c r="TO4" s="40" t="str">
        <f t="shared" ref="TO4:TO15" si="220">IF(SZ4&gt;0,SZ4,"")</f>
        <v/>
      </c>
      <c r="TP4" s="40" t="str">
        <f t="shared" ref="TP4:TP15" si="221">IF(TA4&gt;0,TA4,"")</f>
        <v/>
      </c>
      <c r="TQ4" s="40" t="str">
        <f t="shared" ref="TQ4:TQ15" si="222">IF(SUM(SX4:TA4)-TB4&gt;0,SUM(SX4:TA4)-TB4,"")</f>
        <v/>
      </c>
      <c r="TR4" s="40" t="str">
        <f t="shared" ref="TR4:TR15" si="223">IF(TE4&gt;0,TE4,"")</f>
        <v/>
      </c>
      <c r="TS4" s="40" t="str">
        <f t="shared" ref="TS4:TS15" si="224">IF(TF4&gt;0,TF4,"")</f>
        <v/>
      </c>
      <c r="TT4" s="40" t="str">
        <f t="shared" ref="TT4:TT15" si="225">IF(SUM(TC4:TF4)-TG4&gt;0,SUM(TC4:TF4)-TG4,"")</f>
        <v/>
      </c>
      <c r="TU4" s="40" t="str">
        <f t="shared" ref="TU4:TU15" si="226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5" si="227">IF(TX4&gt;0,TX4,"")</f>
        <v/>
      </c>
      <c r="UQ4" s="11" t="str">
        <f t="shared" ref="UQ4:UQ15" si="228">IF(TY4&gt;0,TY4,"")</f>
        <v/>
      </c>
      <c r="UR4" s="11" t="str">
        <f t="shared" ref="UR4:UR15" si="229">IF(SUM(TV4:TY4)-TZ4&gt;0,SUM(TV4:TY4)-TZ4,"")</f>
        <v/>
      </c>
      <c r="US4" s="11" t="str">
        <f t="shared" ref="US4:US15" si="230">IF(UC4&gt;0,UC4,"")</f>
        <v/>
      </c>
      <c r="UT4" s="11" t="str">
        <f t="shared" ref="UT4:UT15" si="231">IF(UD4&gt;0,UD4,"")</f>
        <v/>
      </c>
      <c r="UU4" s="11" t="str">
        <f t="shared" ref="UU4:UU15" si="232">IF(SUM(UA4:UD4)-UE4&gt;0,SUM(UA4:UD4)-UE4,"")</f>
        <v/>
      </c>
      <c r="UV4" s="11" t="str">
        <f t="shared" ref="UV4:UV15" si="233">IF(MAX(UR4,UU4)&gt;0,MAX(UR4,UU4),"")</f>
        <v/>
      </c>
      <c r="UW4" s="11" t="str">
        <f t="shared" ref="UW4:UW15" si="234">IF(UH4&gt;0,UH4,"")</f>
        <v/>
      </c>
      <c r="UX4" s="11" t="str">
        <f t="shared" ref="UX4:UX15" si="235">IF(UI4&gt;0,UI4,"")</f>
        <v/>
      </c>
      <c r="UY4" s="11" t="str">
        <f t="shared" ref="UY4:UY15" si="236">IF(SUM(UF4:UI4)-UJ4&gt;0,SUM(UF4:UI4)-UJ4,"")</f>
        <v/>
      </c>
      <c r="UZ4" s="11" t="str">
        <f t="shared" ref="UZ4:UZ15" si="237">IF(UM4&gt;0,UM4,"")</f>
        <v/>
      </c>
      <c r="VA4" s="11" t="str">
        <f t="shared" ref="VA4:VA15" si="238">IF(UN4&gt;0,UN4,"")</f>
        <v/>
      </c>
      <c r="VB4" s="11" t="str">
        <f t="shared" ref="VB4:VB15" si="239">IF(SUM(UK4:UN4)-UO4&gt;0,SUM(UK4:UN4)-UO4,"")</f>
        <v/>
      </c>
      <c r="VC4" s="11" t="str">
        <f t="shared" ref="VC4:VC15" si="240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5" si="241">IF(VF4&gt;0,VF4,"")</f>
        <v/>
      </c>
      <c r="VY4" s="40" t="str">
        <f t="shared" ref="VY4:VY15" si="242">IF(VG4&gt;0,VG4,"")</f>
        <v/>
      </c>
      <c r="VZ4" s="40" t="str">
        <f t="shared" ref="VZ4:VZ15" si="243">IF(SUM(VD4:VG4)-VH4&gt;0,SUM(VD4:VG4)-VH4,"")</f>
        <v/>
      </c>
      <c r="WA4" s="40" t="str">
        <f t="shared" ref="WA4:WA15" si="244">IF(VK4&gt;0,VK4,"")</f>
        <v/>
      </c>
      <c r="WB4" s="40" t="str">
        <f t="shared" ref="WB4:WB15" si="245">IF(VL4&gt;0,VL4,"")</f>
        <v/>
      </c>
      <c r="WC4" s="40" t="str">
        <f t="shared" ref="WC4:WC15" si="246">IF(SUM(VI4:VL4)-VM4&gt;0,SUM(VI4:VL4)-VM4,"")</f>
        <v/>
      </c>
      <c r="WD4" s="40" t="str">
        <f t="shared" ref="WD4:WD15" si="247">IF(MAX(VZ4,WC4)&gt;0,MAX(VZ4,WC4),"")</f>
        <v/>
      </c>
      <c r="WE4" s="40" t="str">
        <f t="shared" ref="WE4:WE15" si="248">IF(VP4&gt;0,VP4,"")</f>
        <v/>
      </c>
      <c r="WF4" s="40" t="str">
        <f t="shared" ref="WF4:WF15" si="249">IF(VQ4&gt;0,VQ4,"")</f>
        <v/>
      </c>
      <c r="WG4" s="40" t="str">
        <f t="shared" ref="WG4:WG15" si="250">IF(SUM(VN4:VQ4)-VR4&gt;0,SUM(VN4:VQ4)-VR4,"")</f>
        <v/>
      </c>
      <c r="WH4" s="40" t="str">
        <f t="shared" ref="WH4:WH15" si="251">IF(VU4&gt;0,VU4,"")</f>
        <v/>
      </c>
      <c r="WI4" s="40" t="str">
        <f t="shared" ref="WI4:WI15" si="252">IF(VV4&gt;0,VV4,"")</f>
        <v/>
      </c>
      <c r="WJ4" s="40" t="str">
        <f t="shared" ref="WJ4:WJ15" si="253">IF(SUM(VS4:VV4)-VW4&gt;0,SUM(VS4:VV4)-VW4,"")</f>
        <v/>
      </c>
      <c r="WK4" s="40" t="str">
        <f t="shared" ref="WK4:WK15" si="254">IF(SUM(WD4,WG4,WJ4)&gt;0,SUM(WD4,WG4,WJ4),"")</f>
        <v/>
      </c>
      <c r="WL4" s="26">
        <f t="shared" ref="WL4:WL15" si="255">IF($CH4="P",BS4,(BS4+AR4)/2)</f>
        <v>1.675</v>
      </c>
      <c r="WM4" s="26">
        <f t="shared" ref="WM4:WM15" si="256">IF($CH4="P",BT4,(BT4+AS4)/2)</f>
        <v>1.7250000000000001</v>
      </c>
      <c r="WN4" s="26">
        <f t="shared" ref="WN4:WN15" si="257">IF($CH4="P",BU4,(BU4+AT4)/2)</f>
        <v>2.7</v>
      </c>
      <c r="WO4" s="26">
        <f t="shared" ref="WO4:WO15" si="258">IF($CH4="P",BV4,(BV4+AU4)/2)</f>
        <v>3.56</v>
      </c>
      <c r="WP4" s="26">
        <f t="shared" ref="WP4:WP15" si="259">IF($CH4="P",BW4,(BW4+AV4)/2)</f>
        <v>0</v>
      </c>
      <c r="WQ4" s="26">
        <f t="shared" ref="WQ4:WQ15" si="260">IF($CH4="P",BX4,(BX4+AW4)/2)</f>
        <v>4.5</v>
      </c>
      <c r="WR4" s="26">
        <f t="shared" ref="WR4:WR15" si="261">IF($CH4="P",BY4,(BY4+AX4)/2)</f>
        <v>4.7</v>
      </c>
      <c r="WS4" s="26">
        <f t="shared" ref="WS4:WS15" si="262">IF($CH4="P",BZ4,(BZ4+AY4)/2)</f>
        <v>5.9</v>
      </c>
      <c r="WT4" s="26">
        <f t="shared" ref="WT4:WT15" si="263">IF($CH4="P",CA4,(CA4+AZ4)/2)</f>
        <v>8.81</v>
      </c>
      <c r="WU4" s="26">
        <f t="shared" ref="WU4:WU15" si="264">IF($CH4="P",CB4,(CB4+BA4)/2)</f>
        <v>0</v>
      </c>
      <c r="WV4" s="26">
        <f t="shared" ref="WV4:WV15" si="265">IF($CH4="P",CC4,(CC4+BB4)/2)</f>
        <v>0.42499999999999999</v>
      </c>
      <c r="WW4" s="26">
        <f t="shared" ref="WW4:WW15" si="266">IF($CH4="P",CD4,(CD4+BC4)/2)</f>
        <v>0.4</v>
      </c>
      <c r="WX4" s="26">
        <f t="shared" ref="WX4:WX15" si="267">IF($CH4="P",CE4,(CE4+BD4)/2)</f>
        <v>0.75</v>
      </c>
      <c r="WY4" s="26">
        <f t="shared" ref="WY4:WY15" si="268">IF($CH4="P",CF4,(CF4+BE4)/2)</f>
        <v>0.92</v>
      </c>
      <c r="WZ4" s="26">
        <f t="shared" ref="WZ4:WZ15" si="269">IF($CH4="P",CG4,(CG4+BF4)/2)</f>
        <v>0</v>
      </c>
      <c r="XA4" s="28" t="s">
        <v>53</v>
      </c>
      <c r="XB4" s="11">
        <f t="shared" ref="XB4:XB15" si="270">IF(WN4&gt;0,WN4,"")</f>
        <v>2.7</v>
      </c>
      <c r="XC4" s="11">
        <f t="shared" ref="XC4:XC15" si="271">IF(WO4&gt;0,WO4,"")</f>
        <v>3.56</v>
      </c>
      <c r="XD4" s="11">
        <f t="shared" ref="XD4:XD15" si="272">IF(SUM(WL4:WO4)-WP4&gt;0,SUM(WL4:WO4)-WP4,"")</f>
        <v>9.66</v>
      </c>
      <c r="XE4" s="11">
        <f t="shared" ref="XE4:XE15" si="273">IF(WS4&gt;0,WS4,"")</f>
        <v>5.9</v>
      </c>
      <c r="XF4" s="11">
        <f t="shared" ref="XF4:XF15" si="274">IF(WT4&gt;0,WT4,"")</f>
        <v>8.81</v>
      </c>
      <c r="XG4" s="11">
        <f t="shared" ref="XG4:XG15" si="275">IF(SUM(WQ4:WT4)-WU4&gt;0,SUM(WQ4:WT4)-WU4,"")</f>
        <v>23.91</v>
      </c>
      <c r="XH4" s="11">
        <f t="shared" ref="XH4:XH15" si="276">IF(MAX(XD4,XG4)&gt;0,MAX(XD4,XG4),"")</f>
        <v>23.91</v>
      </c>
      <c r="XI4" s="11">
        <f t="shared" ref="XI4:XI15" si="277">IF(WX4&gt;0,WX4,"")</f>
        <v>0.75</v>
      </c>
      <c r="XJ4" s="11">
        <f t="shared" ref="XJ4:XJ15" si="278">IF(WY4&gt;0,WY4,"")</f>
        <v>0.92</v>
      </c>
      <c r="XK4" s="11">
        <f t="shared" ref="XK4:XK15" si="279">IF(SUM(WV4:WY4)-WZ4&gt;0,SUM(WV4:WY4)-WZ4,"")</f>
        <v>2.4950000000000001</v>
      </c>
      <c r="XL4" s="11">
        <f t="shared" ref="XL4:XL15" si="280"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 t="shared" si="0"/>
        <v>93.314999999999998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47.31</v>
      </c>
      <c r="K5" s="8" t="str">
        <f t="shared" si="5"/>
        <v>2024 Elite Canada</v>
      </c>
      <c r="L5" s="8">
        <f>IF(COUNT(AI5,AL5,AP5,BJ5,BM5,BQ5,CK5,CN5,CR5)&gt;1,LARGE((AI5,AL5,AP5,BJ5,BM5,BQ5,CK5,CN5,CR5),2),0)</f>
        <v>46.005000000000003</v>
      </c>
      <c r="M5" s="8" t="str">
        <f t="shared" si="6"/>
        <v>2024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 t="shared" si="10"/>
        <v>11.3</v>
      </c>
      <c r="AH5" s="38">
        <f t="shared" si="11"/>
        <v>13.18</v>
      </c>
      <c r="AI5" s="40">
        <f t="shared" si="12"/>
        <v>41.78</v>
      </c>
      <c r="AJ5" s="40">
        <f t="shared" si="13"/>
        <v>9.9</v>
      </c>
      <c r="AK5" s="40">
        <f t="shared" si="14"/>
        <v>15.36</v>
      </c>
      <c r="AL5" s="40">
        <f t="shared" si="15"/>
        <v>40.76</v>
      </c>
      <c r="AM5" s="40">
        <f t="shared" si="16"/>
        <v>41.78</v>
      </c>
      <c r="AN5" s="40">
        <f t="shared" si="17"/>
        <v>11.3</v>
      </c>
      <c r="AO5" s="40">
        <f t="shared" si="18"/>
        <v>18.760000000000002</v>
      </c>
      <c r="AP5" s="40">
        <f t="shared" si="19"/>
        <v>47.31</v>
      </c>
      <c r="AQ5" s="40">
        <f t="shared" si="20"/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 t="shared" si="21"/>
        <v>11.3</v>
      </c>
      <c r="BI5" s="39">
        <f t="shared" si="22"/>
        <v>14.36</v>
      </c>
      <c r="BJ5" s="11">
        <f t="shared" si="23"/>
        <v>42.484999999999999</v>
      </c>
      <c r="BK5" s="11">
        <f t="shared" si="24"/>
        <v>10.600000000000001</v>
      </c>
      <c r="BL5" s="11">
        <f t="shared" si="25"/>
        <v>15.74</v>
      </c>
      <c r="BM5" s="11">
        <f t="shared" si="26"/>
        <v>42.39</v>
      </c>
      <c r="BN5" s="11">
        <f t="shared" si="27"/>
        <v>42.484999999999999</v>
      </c>
      <c r="BO5" s="11">
        <f t="shared" si="28"/>
        <v>11.3</v>
      </c>
      <c r="BP5" s="11">
        <f t="shared" si="29"/>
        <v>17.829999999999998</v>
      </c>
      <c r="BQ5" s="11">
        <f t="shared" si="30"/>
        <v>46.005000000000003</v>
      </c>
      <c r="BR5" s="11">
        <f t="shared" si="31"/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 t="shared" si="73"/>
        <v>11.3</v>
      </c>
      <c r="GG5" s="40">
        <f t="shared" si="74"/>
        <v>18.52</v>
      </c>
      <c r="GH5" s="40">
        <f t="shared" si="75"/>
        <v>45.970000000000006</v>
      </c>
      <c r="GI5" s="40">
        <f t="shared" si="76"/>
        <v>2.9</v>
      </c>
      <c r="GJ5" s="40">
        <f t="shared" si="77"/>
        <v>3.1</v>
      </c>
      <c r="GK5" s="40">
        <f t="shared" si="78"/>
        <v>9.1</v>
      </c>
      <c r="GL5" s="40">
        <f t="shared" si="79"/>
        <v>45.970000000000006</v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>
        <f t="shared" si="83"/>
        <v>11.3</v>
      </c>
      <c r="GQ5" s="40">
        <f t="shared" si="84"/>
        <v>15.7</v>
      </c>
      <c r="GR5" s="40">
        <f t="shared" si="85"/>
        <v>43.15</v>
      </c>
      <c r="GS5" s="40">
        <f t="shared" si="86"/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3.8125</v>
      </c>
      <c r="WM5" s="26">
        <f t="shared" si="256"/>
        <v>4.5999999999999996</v>
      </c>
      <c r="WN5" s="26">
        <f t="shared" si="257"/>
        <v>5.65</v>
      </c>
      <c r="WO5" s="26">
        <f t="shared" si="258"/>
        <v>7.18</v>
      </c>
      <c r="WP5" s="26">
        <f t="shared" si="259"/>
        <v>0</v>
      </c>
      <c r="WQ5" s="26">
        <f t="shared" si="260"/>
        <v>3.5750000000000002</v>
      </c>
      <c r="WR5" s="26">
        <f t="shared" si="261"/>
        <v>4.45</v>
      </c>
      <c r="WS5" s="26">
        <f t="shared" si="262"/>
        <v>5.3000000000000007</v>
      </c>
      <c r="WT5" s="26">
        <f t="shared" si="263"/>
        <v>7.87</v>
      </c>
      <c r="WU5" s="26">
        <f t="shared" si="264"/>
        <v>0</v>
      </c>
      <c r="WV5" s="26">
        <f t="shared" si="265"/>
        <v>3.9375</v>
      </c>
      <c r="WW5" s="26">
        <f t="shared" si="266"/>
        <v>4.55</v>
      </c>
      <c r="WX5" s="26">
        <f t="shared" si="267"/>
        <v>5.65</v>
      </c>
      <c r="WY5" s="26">
        <f t="shared" si="268"/>
        <v>8.9149999999999991</v>
      </c>
      <c r="WZ5" s="26">
        <f t="shared" si="269"/>
        <v>0.05</v>
      </c>
      <c r="XA5" s="28" t="s">
        <v>53</v>
      </c>
      <c r="XB5" s="11">
        <f t="shared" si="270"/>
        <v>5.65</v>
      </c>
      <c r="XC5" s="11">
        <f t="shared" si="271"/>
        <v>7.18</v>
      </c>
      <c r="XD5" s="11">
        <f t="shared" si="272"/>
        <v>21.2425</v>
      </c>
      <c r="XE5" s="11">
        <f t="shared" si="273"/>
        <v>5.3000000000000007</v>
      </c>
      <c r="XF5" s="11">
        <f t="shared" si="274"/>
        <v>7.87</v>
      </c>
      <c r="XG5" s="11">
        <f t="shared" si="275"/>
        <v>21.195</v>
      </c>
      <c r="XH5" s="11">
        <f t="shared" si="276"/>
        <v>21.2425</v>
      </c>
      <c r="XI5" s="11">
        <f t="shared" si="277"/>
        <v>5.65</v>
      </c>
      <c r="XJ5" s="11">
        <f t="shared" si="278"/>
        <v>8.9149999999999991</v>
      </c>
      <c r="XK5" s="11">
        <f t="shared" si="279"/>
        <v>23.002500000000001</v>
      </c>
      <c r="XL5" s="11">
        <f t="shared" si="280"/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 t="shared" si="0"/>
        <v>86.63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IF(COUNT(AI6,AL6,AP6,BJ6,BM6,BQ6,CK6,CN6,CR6)&gt;0,LARGE((AI6,AL6,AP6,BJ6,BM6,BQ6,CK6,CN6,CR6),1),0)</f>
        <v>46.91</v>
      </c>
      <c r="K6" s="8" t="str">
        <f t="shared" si="5"/>
        <v>2024 Nationals</v>
      </c>
      <c r="L6" s="8">
        <f>IF(COUNT(AI6,AL6,AP6,BJ6,BM6,BQ6,CK6,CN6,CR6)&gt;1,LARGE((AI6,AL6,AP6,BJ6,BM6,BQ6,CK6,CN6,CR6),2),0)</f>
        <v>39.72</v>
      </c>
      <c r="M6" s="8" t="str">
        <f t="shared" si="6"/>
        <v>2024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 t="shared" si="10"/>
        <v>4.7</v>
      </c>
      <c r="AH6" s="38">
        <f t="shared" si="11"/>
        <v>6.32</v>
      </c>
      <c r="AI6" s="40">
        <f t="shared" si="12"/>
        <v>17.72</v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>
        <f t="shared" si="16"/>
        <v>17.72</v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>
        <f t="shared" si="20"/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 t="shared" si="21"/>
        <v>3.5</v>
      </c>
      <c r="BI6" s="39">
        <f t="shared" si="22"/>
        <v>5.7</v>
      </c>
      <c r="BJ6" s="11">
        <f t="shared" si="23"/>
        <v>14.5</v>
      </c>
      <c r="BK6" s="11">
        <f t="shared" si="24"/>
        <v>11.1</v>
      </c>
      <c r="BL6" s="11">
        <f t="shared" si="25"/>
        <v>18.66</v>
      </c>
      <c r="BM6" s="11">
        <f t="shared" si="26"/>
        <v>46.91</v>
      </c>
      <c r="BN6" s="11">
        <f t="shared" si="27"/>
        <v>46.91</v>
      </c>
      <c r="BO6" s="11">
        <f t="shared" si="28"/>
        <v>11.1</v>
      </c>
      <c r="BP6" s="11">
        <f t="shared" si="29"/>
        <v>12.92</v>
      </c>
      <c r="BQ6" s="11">
        <f t="shared" si="30"/>
        <v>39.72</v>
      </c>
      <c r="BR6" s="11">
        <f t="shared" si="31"/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1.25</v>
      </c>
      <c r="WM6" s="26">
        <f t="shared" si="256"/>
        <v>1.4</v>
      </c>
      <c r="WN6" s="26">
        <f t="shared" si="257"/>
        <v>1.75</v>
      </c>
      <c r="WO6" s="26">
        <f t="shared" si="258"/>
        <v>2.85</v>
      </c>
      <c r="WP6" s="26">
        <f t="shared" si="259"/>
        <v>0</v>
      </c>
      <c r="WQ6" s="26">
        <f t="shared" si="260"/>
        <v>3.9750000000000001</v>
      </c>
      <c r="WR6" s="26">
        <f t="shared" si="261"/>
        <v>4.5999999999999996</v>
      </c>
      <c r="WS6" s="26">
        <f t="shared" si="262"/>
        <v>5.55</v>
      </c>
      <c r="WT6" s="26">
        <f t="shared" si="263"/>
        <v>9.33</v>
      </c>
      <c r="WU6" s="26">
        <f t="shared" si="264"/>
        <v>0</v>
      </c>
      <c r="WV6" s="26">
        <f t="shared" si="265"/>
        <v>3.2749999999999999</v>
      </c>
      <c r="WW6" s="26">
        <f t="shared" si="266"/>
        <v>4.5750000000000002</v>
      </c>
      <c r="WX6" s="26">
        <f t="shared" si="267"/>
        <v>5.55</v>
      </c>
      <c r="WY6" s="26">
        <f t="shared" si="268"/>
        <v>6.46</v>
      </c>
      <c r="WZ6" s="26">
        <f t="shared" si="269"/>
        <v>0</v>
      </c>
      <c r="XA6" s="28" t="s">
        <v>53</v>
      </c>
      <c r="XB6" s="11">
        <f t="shared" si="270"/>
        <v>1.75</v>
      </c>
      <c r="XC6" s="11">
        <f t="shared" si="271"/>
        <v>2.85</v>
      </c>
      <c r="XD6" s="11">
        <f t="shared" si="272"/>
        <v>7.25</v>
      </c>
      <c r="XE6" s="11">
        <f t="shared" si="273"/>
        <v>5.55</v>
      </c>
      <c r="XF6" s="11">
        <f t="shared" si="274"/>
        <v>9.33</v>
      </c>
      <c r="XG6" s="11">
        <f t="shared" si="275"/>
        <v>23.454999999999998</v>
      </c>
      <c r="XH6" s="11">
        <f t="shared" si="276"/>
        <v>23.454999999999998</v>
      </c>
      <c r="XI6" s="11">
        <f t="shared" si="277"/>
        <v>5.55</v>
      </c>
      <c r="XJ6" s="11">
        <f t="shared" si="278"/>
        <v>6.46</v>
      </c>
      <c r="XK6" s="11">
        <f t="shared" si="279"/>
        <v>19.86</v>
      </c>
      <c r="XL6" s="11">
        <f t="shared" si="280"/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 t="shared" si="0"/>
        <v>47.56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47.56</v>
      </c>
      <c r="O7" s="11" t="str">
        <f t="shared" si="8"/>
        <v>(Prelim)</v>
      </c>
      <c r="P7" s="8" t="str">
        <f t="shared" si="9"/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>
        <f t="shared" si="43"/>
        <v>47.56</v>
      </c>
      <c r="CU7" s="51">
        <f t="shared" si="44"/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 t="shared" si="45"/>
        <v>12.1</v>
      </c>
      <c r="DQ7" s="40">
        <f t="shared" si="46"/>
        <v>17.399999999999999</v>
      </c>
      <c r="DR7" s="40">
        <f t="shared" si="47"/>
        <v>44.8</v>
      </c>
      <c r="DS7" s="40">
        <f t="shared" si="48"/>
        <v>12.1</v>
      </c>
      <c r="DT7" s="40">
        <f t="shared" si="49"/>
        <v>18.34</v>
      </c>
      <c r="DU7" s="40">
        <f t="shared" si="50"/>
        <v>46.69</v>
      </c>
      <c r="DV7" s="40">
        <f t="shared" si="51"/>
        <v>46.69</v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>
        <f t="shared" si="55"/>
        <v>12.1</v>
      </c>
      <c r="EA7" s="40">
        <f t="shared" si="56"/>
        <v>18.059999999999999</v>
      </c>
      <c r="EB7" s="40">
        <f t="shared" si="57"/>
        <v>46.91</v>
      </c>
      <c r="EC7" s="40">
        <f t="shared" si="58"/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 t="shared" si="59"/>
        <v>12.1</v>
      </c>
      <c r="EY7" s="11">
        <f t="shared" si="60"/>
        <v>17.940000000000001</v>
      </c>
      <c r="EZ7" s="11">
        <f t="shared" si="61"/>
        <v>46.39</v>
      </c>
      <c r="FA7" s="11">
        <f t="shared" si="62"/>
        <v>12.1</v>
      </c>
      <c r="FB7" s="11">
        <f t="shared" si="63"/>
        <v>18.46</v>
      </c>
      <c r="FC7" s="11">
        <f t="shared" si="64"/>
        <v>47.56</v>
      </c>
      <c r="FD7" s="11">
        <f t="shared" si="65"/>
        <v>47.56</v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>
        <f t="shared" si="69"/>
        <v>12.1</v>
      </c>
      <c r="FI7" s="11">
        <f t="shared" si="70"/>
        <v>17.48</v>
      </c>
      <c r="FJ7" s="11">
        <f t="shared" si="71"/>
        <v>45.78</v>
      </c>
      <c r="FK7" s="11">
        <f t="shared" si="72"/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</v>
      </c>
      <c r="WM7" s="26">
        <f t="shared" si="256"/>
        <v>0</v>
      </c>
      <c r="WN7" s="26">
        <f t="shared" si="257"/>
        <v>0</v>
      </c>
      <c r="WO7" s="26">
        <f t="shared" si="258"/>
        <v>0</v>
      </c>
      <c r="WP7" s="26">
        <f t="shared" si="259"/>
        <v>0</v>
      </c>
      <c r="WQ7" s="26">
        <f t="shared" si="260"/>
        <v>0</v>
      </c>
      <c r="WR7" s="26">
        <f t="shared" si="261"/>
        <v>0</v>
      </c>
      <c r="WS7" s="26">
        <f t="shared" si="262"/>
        <v>0</v>
      </c>
      <c r="WT7" s="26">
        <f t="shared" si="263"/>
        <v>0</v>
      </c>
      <c r="WU7" s="26">
        <f t="shared" si="264"/>
        <v>0</v>
      </c>
      <c r="WV7" s="26">
        <f t="shared" si="265"/>
        <v>0</v>
      </c>
      <c r="WW7" s="26">
        <f t="shared" si="266"/>
        <v>0</v>
      </c>
      <c r="WX7" s="26">
        <f t="shared" si="267"/>
        <v>0</v>
      </c>
      <c r="WY7" s="26">
        <f t="shared" si="268"/>
        <v>0</v>
      </c>
      <c r="WZ7" s="26">
        <f t="shared" si="269"/>
        <v>0</v>
      </c>
      <c r="XA7" s="28" t="s">
        <v>53</v>
      </c>
      <c r="XB7" s="11" t="str">
        <f t="shared" si="270"/>
        <v/>
      </c>
      <c r="XC7" s="11" t="str">
        <f t="shared" si="271"/>
        <v/>
      </c>
      <c r="XD7" s="11" t="str">
        <f t="shared" si="272"/>
        <v/>
      </c>
      <c r="XE7" s="11" t="str">
        <f t="shared" si="273"/>
        <v/>
      </c>
      <c r="XF7" s="11" t="str">
        <f t="shared" si="274"/>
        <v/>
      </c>
      <c r="XG7" s="11" t="str">
        <f t="shared" si="275"/>
        <v/>
      </c>
      <c r="XH7" s="11" t="str">
        <f t="shared" si="276"/>
        <v/>
      </c>
      <c r="XI7" s="11" t="str">
        <f t="shared" si="277"/>
        <v/>
      </c>
      <c r="XJ7" s="11" t="str">
        <f t="shared" si="278"/>
        <v/>
      </c>
      <c r="XK7" s="11" t="str">
        <f t="shared" si="279"/>
        <v/>
      </c>
      <c r="XL7" s="11" t="str">
        <f t="shared" si="280"/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 t="shared" si="0"/>
        <v>46.32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46.32</v>
      </c>
      <c r="O8" s="11" t="str">
        <f t="shared" si="8"/>
        <v>(Prelim)</v>
      </c>
      <c r="P8" s="8" t="str">
        <f t="shared" si="9"/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>
        <f t="shared" si="43"/>
        <v>46.32</v>
      </c>
      <c r="CU8" s="51">
        <f t="shared" si="44"/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 t="shared" si="101"/>
        <v>11.4</v>
      </c>
      <c r="IW8" s="40">
        <f t="shared" si="102"/>
        <v>18.22</v>
      </c>
      <c r="IX8" s="40">
        <f t="shared" si="103"/>
        <v>46.32</v>
      </c>
      <c r="IY8" s="40">
        <f t="shared" si="104"/>
        <v>11.4</v>
      </c>
      <c r="IZ8" s="40">
        <f t="shared" si="105"/>
        <v>17.16</v>
      </c>
      <c r="JA8" s="40">
        <f t="shared" si="106"/>
        <v>45.41</v>
      </c>
      <c r="JB8" s="40">
        <f t="shared" si="107"/>
        <v>46.32</v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>
        <f t="shared" si="111"/>
        <v>11.4</v>
      </c>
      <c r="JG8" s="40">
        <f t="shared" si="112"/>
        <v>17.260000000000002</v>
      </c>
      <c r="JH8" s="40">
        <f t="shared" si="113"/>
        <v>45.06</v>
      </c>
      <c r="JI8" s="40">
        <f t="shared" si="114"/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0</v>
      </c>
      <c r="WM8" s="26">
        <f t="shared" si="256"/>
        <v>0</v>
      </c>
      <c r="WN8" s="26">
        <f t="shared" si="257"/>
        <v>0</v>
      </c>
      <c r="WO8" s="26">
        <f t="shared" si="258"/>
        <v>0</v>
      </c>
      <c r="WP8" s="26">
        <f t="shared" si="259"/>
        <v>0</v>
      </c>
      <c r="WQ8" s="26">
        <f t="shared" si="260"/>
        <v>0</v>
      </c>
      <c r="WR8" s="26">
        <f t="shared" si="261"/>
        <v>0</v>
      </c>
      <c r="WS8" s="26">
        <f t="shared" si="262"/>
        <v>0</v>
      </c>
      <c r="WT8" s="26">
        <f t="shared" si="263"/>
        <v>0</v>
      </c>
      <c r="WU8" s="26">
        <f t="shared" si="264"/>
        <v>0</v>
      </c>
      <c r="WV8" s="26">
        <f t="shared" si="265"/>
        <v>0</v>
      </c>
      <c r="WW8" s="26">
        <f t="shared" si="266"/>
        <v>0</v>
      </c>
      <c r="WX8" s="26">
        <f t="shared" si="267"/>
        <v>0</v>
      </c>
      <c r="WY8" s="26">
        <f t="shared" si="268"/>
        <v>0</v>
      </c>
      <c r="WZ8" s="26">
        <f t="shared" si="269"/>
        <v>0</v>
      </c>
      <c r="XA8" s="28" t="s">
        <v>53</v>
      </c>
      <c r="XB8" s="11" t="str">
        <f t="shared" si="270"/>
        <v/>
      </c>
      <c r="XC8" s="11" t="str">
        <f t="shared" si="271"/>
        <v/>
      </c>
      <c r="XD8" s="11" t="str">
        <f t="shared" si="272"/>
        <v/>
      </c>
      <c r="XE8" s="11" t="str">
        <f t="shared" si="273"/>
        <v/>
      </c>
      <c r="XF8" s="11" t="str">
        <f t="shared" si="274"/>
        <v/>
      </c>
      <c r="XG8" s="11" t="str">
        <f t="shared" si="275"/>
        <v/>
      </c>
      <c r="XH8" s="11" t="str">
        <f t="shared" si="276"/>
        <v/>
      </c>
      <c r="XI8" s="11" t="str">
        <f t="shared" si="277"/>
        <v/>
      </c>
      <c r="XJ8" s="11" t="str">
        <f t="shared" si="278"/>
        <v/>
      </c>
      <c r="XK8" s="11" t="str">
        <f t="shared" si="279"/>
        <v/>
      </c>
      <c r="XL8" s="11" t="str">
        <f t="shared" si="280"/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 t="shared" si="0"/>
        <v>45.25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45.25</v>
      </c>
      <c r="O9" s="11" t="str">
        <f t="shared" si="8"/>
        <v>(Prelim)</v>
      </c>
      <c r="P9" s="8" t="str">
        <f t="shared" si="9"/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>
        <f t="shared" si="43"/>
        <v>45.25</v>
      </c>
      <c r="CU9" s="51">
        <f t="shared" si="44"/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 t="shared" si="87"/>
        <v>12.2</v>
      </c>
      <c r="HO9" s="11">
        <f t="shared" si="88"/>
        <v>16.600000000000001</v>
      </c>
      <c r="HP9" s="11">
        <f t="shared" si="89"/>
        <v>45.25</v>
      </c>
      <c r="HQ9" s="11">
        <f t="shared" si="90"/>
        <v>3.5</v>
      </c>
      <c r="HR9" s="11">
        <f t="shared" si="91"/>
        <v>5.0199999999999996</v>
      </c>
      <c r="HS9" s="11">
        <f t="shared" si="92"/>
        <v>13.32</v>
      </c>
      <c r="HT9" s="11">
        <f t="shared" si="93"/>
        <v>45.25</v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>
        <f t="shared" si="97"/>
        <v>2.9</v>
      </c>
      <c r="HY9" s="11">
        <f t="shared" si="98"/>
        <v>1.86</v>
      </c>
      <c r="HZ9" s="11">
        <f t="shared" si="99"/>
        <v>7.86</v>
      </c>
      <c r="IA9" s="11">
        <f t="shared" si="100"/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0</v>
      </c>
      <c r="WM9" s="26">
        <f t="shared" si="256"/>
        <v>0</v>
      </c>
      <c r="WN9" s="26">
        <f t="shared" si="257"/>
        <v>0</v>
      </c>
      <c r="WO9" s="26">
        <f t="shared" si="258"/>
        <v>0</v>
      </c>
      <c r="WP9" s="26">
        <f t="shared" si="259"/>
        <v>0</v>
      </c>
      <c r="WQ9" s="26">
        <f t="shared" si="260"/>
        <v>0</v>
      </c>
      <c r="WR9" s="26">
        <f t="shared" si="261"/>
        <v>0</v>
      </c>
      <c r="WS9" s="26">
        <f t="shared" si="262"/>
        <v>0</v>
      </c>
      <c r="WT9" s="26">
        <f t="shared" si="263"/>
        <v>0</v>
      </c>
      <c r="WU9" s="26">
        <f t="shared" si="264"/>
        <v>0</v>
      </c>
      <c r="WV9" s="26">
        <f t="shared" si="265"/>
        <v>0</v>
      </c>
      <c r="WW9" s="26">
        <f t="shared" si="266"/>
        <v>0</v>
      </c>
      <c r="WX9" s="26">
        <f t="shared" si="267"/>
        <v>0</v>
      </c>
      <c r="WY9" s="26">
        <f t="shared" si="268"/>
        <v>0</v>
      </c>
      <c r="WZ9" s="26">
        <f t="shared" si="269"/>
        <v>0</v>
      </c>
      <c r="XA9" s="28" t="s">
        <v>53</v>
      </c>
      <c r="XB9" s="11" t="str">
        <f t="shared" si="270"/>
        <v/>
      </c>
      <c r="XC9" s="11" t="str">
        <f t="shared" si="271"/>
        <v/>
      </c>
      <c r="XD9" s="11" t="str">
        <f t="shared" si="272"/>
        <v/>
      </c>
      <c r="XE9" s="11" t="str">
        <f t="shared" si="273"/>
        <v/>
      </c>
      <c r="XF9" s="11" t="str">
        <f t="shared" si="274"/>
        <v/>
      </c>
      <c r="XG9" s="11" t="str">
        <f t="shared" si="275"/>
        <v/>
      </c>
      <c r="XH9" s="11" t="str">
        <f t="shared" si="276"/>
        <v/>
      </c>
      <c r="XI9" s="11" t="str">
        <f t="shared" si="277"/>
        <v/>
      </c>
      <c r="XJ9" s="11" t="str">
        <f t="shared" si="278"/>
        <v/>
      </c>
      <c r="XK9" s="11" t="str">
        <f t="shared" si="279"/>
        <v/>
      </c>
      <c r="XL9" s="11" t="str">
        <f t="shared" si="280"/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 t="shared" si="0"/>
        <v>88.2</v>
      </c>
      <c r="F10" s="3" t="str">
        <f t="shared" si="1"/>
        <v/>
      </c>
      <c r="G10" s="3" t="str">
        <f t="shared" si="2"/>
        <v>P</v>
      </c>
      <c r="H10" s="36" t="str">
        <f t="shared" si="3"/>
        <v>No DD</v>
      </c>
      <c r="I10" s="3" t="str">
        <f t="shared" si="4"/>
        <v/>
      </c>
      <c r="J10" s="8">
        <f>IF(COUNT(AI10,AL10,AP10,BJ10,BM10,BQ10,CK10,CN10,CR10)&gt;0,LARGE((AI10,AL10,AP10,BJ10,BM10,BQ10,CK10,CN10,CR10),1),0)</f>
        <v>44.34</v>
      </c>
      <c r="K10" s="8" t="str">
        <f t="shared" si="5"/>
        <v>2024 Nationals</v>
      </c>
      <c r="L10" s="8">
        <f>IF(COUNT(AI10,AL10,AP10,BJ10,BM10,BQ10,CK10,CN10,CR10)&gt;1,LARGE((AI10,AL10,AP10,BJ10,BM10,BQ10,CK10,CN10,CR10),2),0)</f>
        <v>43.86</v>
      </c>
      <c r="M10" s="8" t="str">
        <f t="shared" si="6"/>
        <v>2024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 t="shared" si="10"/>
        <v>3.4</v>
      </c>
      <c r="AH10" s="38">
        <f t="shared" si="11"/>
        <v>4.68</v>
      </c>
      <c r="AI10" s="40">
        <f t="shared" si="12"/>
        <v>13.33</v>
      </c>
      <c r="AJ10" s="40">
        <f t="shared" si="13"/>
        <v>9.1</v>
      </c>
      <c r="AK10" s="40">
        <f t="shared" si="14"/>
        <v>17.600000000000001</v>
      </c>
      <c r="AL10" s="40">
        <f t="shared" si="15"/>
        <v>43.75</v>
      </c>
      <c r="AM10" s="40">
        <f t="shared" si="16"/>
        <v>43.75</v>
      </c>
      <c r="AN10" s="40">
        <f t="shared" si="17"/>
        <v>6.7</v>
      </c>
      <c r="AO10" s="40">
        <f t="shared" si="18"/>
        <v>12.14</v>
      </c>
      <c r="AP10" s="40">
        <f t="shared" si="19"/>
        <v>30.44</v>
      </c>
      <c r="AQ10" s="40">
        <f t="shared" si="20"/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 t="shared" si="21"/>
        <v>9.1</v>
      </c>
      <c r="BI10" s="39">
        <f t="shared" si="22"/>
        <v>16.420000000000002</v>
      </c>
      <c r="BJ10" s="11">
        <f t="shared" si="23"/>
        <v>42.82</v>
      </c>
      <c r="BK10" s="11">
        <f t="shared" si="24"/>
        <v>9.1</v>
      </c>
      <c r="BL10" s="11">
        <f t="shared" si="25"/>
        <v>18.04</v>
      </c>
      <c r="BM10" s="11">
        <f t="shared" si="26"/>
        <v>44.34</v>
      </c>
      <c r="BN10" s="11">
        <f t="shared" si="27"/>
        <v>44.34</v>
      </c>
      <c r="BO10" s="11">
        <f t="shared" si="28"/>
        <v>9.1</v>
      </c>
      <c r="BP10" s="11">
        <f t="shared" si="29"/>
        <v>17.760000000000002</v>
      </c>
      <c r="BQ10" s="11">
        <f t="shared" si="30"/>
        <v>43.86</v>
      </c>
      <c r="BR10" s="11">
        <f t="shared" si="31"/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3.9</v>
      </c>
      <c r="WM10" s="26">
        <f t="shared" si="256"/>
        <v>4.75</v>
      </c>
      <c r="WN10" s="26">
        <f t="shared" si="257"/>
        <v>4.55</v>
      </c>
      <c r="WO10" s="26">
        <f t="shared" si="258"/>
        <v>8.2100000000000009</v>
      </c>
      <c r="WP10" s="26">
        <f t="shared" si="259"/>
        <v>0</v>
      </c>
      <c r="WQ10" s="26">
        <f t="shared" si="260"/>
        <v>4.0250000000000004</v>
      </c>
      <c r="WR10" s="26">
        <f t="shared" si="261"/>
        <v>4.5750000000000002</v>
      </c>
      <c r="WS10" s="26">
        <f t="shared" si="262"/>
        <v>4.55</v>
      </c>
      <c r="WT10" s="26">
        <f t="shared" si="263"/>
        <v>9.02</v>
      </c>
      <c r="WU10" s="26">
        <f t="shared" si="264"/>
        <v>0</v>
      </c>
      <c r="WV10" s="26">
        <f t="shared" si="265"/>
        <v>3.8</v>
      </c>
      <c r="WW10" s="26">
        <f t="shared" si="266"/>
        <v>4.7</v>
      </c>
      <c r="WX10" s="26">
        <f t="shared" si="267"/>
        <v>4.55</v>
      </c>
      <c r="WY10" s="26">
        <f t="shared" si="268"/>
        <v>8.8800000000000008</v>
      </c>
      <c r="WZ10" s="26">
        <f t="shared" si="269"/>
        <v>0</v>
      </c>
      <c r="XA10" s="28" t="s">
        <v>53</v>
      </c>
      <c r="XB10" s="11">
        <f t="shared" si="270"/>
        <v>4.55</v>
      </c>
      <c r="XC10" s="11">
        <f t="shared" si="271"/>
        <v>8.2100000000000009</v>
      </c>
      <c r="XD10" s="11">
        <f t="shared" si="272"/>
        <v>21.41</v>
      </c>
      <c r="XE10" s="11">
        <f t="shared" si="273"/>
        <v>4.55</v>
      </c>
      <c r="XF10" s="11">
        <f t="shared" si="274"/>
        <v>9.02</v>
      </c>
      <c r="XG10" s="11">
        <f t="shared" si="275"/>
        <v>22.17</v>
      </c>
      <c r="XH10" s="11">
        <f t="shared" si="276"/>
        <v>22.17</v>
      </c>
      <c r="XI10" s="11">
        <f t="shared" si="277"/>
        <v>4.55</v>
      </c>
      <c r="XJ10" s="11">
        <f t="shared" si="278"/>
        <v>8.8800000000000008</v>
      </c>
      <c r="XK10" s="11">
        <f t="shared" si="279"/>
        <v>21.93</v>
      </c>
      <c r="XL10" s="11">
        <f t="shared" si="280"/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 t="shared" si="0"/>
        <v>80.67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44.78</v>
      </c>
      <c r="K11" s="8" t="str">
        <f t="shared" si="5"/>
        <v>2024 Nationals</v>
      </c>
      <c r="L11" s="8">
        <f>IF(COUNT(AI11,AL11,AP11,BJ11,BM11,BQ11,CK11,CN11,CR11)&gt;1,LARGE((AI11,AL11,AP11,BJ11,BM11,BQ11,CK11,CN11,CR11),2),0)</f>
        <v>35.89</v>
      </c>
      <c r="M11" s="8" t="str">
        <f t="shared" si="6"/>
        <v>2024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 t="shared" si="10"/>
        <v>1.5</v>
      </c>
      <c r="AH11" s="38">
        <f t="shared" si="11"/>
        <v>1.74</v>
      </c>
      <c r="AI11" s="40">
        <f t="shared" si="12"/>
        <v>4.9400000000000004</v>
      </c>
      <c r="AJ11" s="40">
        <f t="shared" si="13"/>
        <v>2.5</v>
      </c>
      <c r="AK11" s="40">
        <f t="shared" si="14"/>
        <v>3.3</v>
      </c>
      <c r="AL11" s="40">
        <f t="shared" si="15"/>
        <v>9.3000000000000007</v>
      </c>
      <c r="AM11" s="40">
        <f t="shared" si="16"/>
        <v>9.3000000000000007</v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>
        <f t="shared" si="20"/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 t="shared" si="21"/>
        <v>9.6</v>
      </c>
      <c r="BI11" s="39">
        <f t="shared" si="22"/>
        <v>18.079999999999998</v>
      </c>
      <c r="BJ11" s="11">
        <f t="shared" si="23"/>
        <v>44.78</v>
      </c>
      <c r="BK11" s="11">
        <f t="shared" si="24"/>
        <v>7.6</v>
      </c>
      <c r="BL11" s="11">
        <f t="shared" si="25"/>
        <v>14.54</v>
      </c>
      <c r="BM11" s="11">
        <f t="shared" si="26"/>
        <v>35.89</v>
      </c>
      <c r="BN11" s="11">
        <f t="shared" si="27"/>
        <v>44.78</v>
      </c>
      <c r="BO11" s="11">
        <f t="shared" si="28"/>
        <v>5.4</v>
      </c>
      <c r="BP11" s="11">
        <f t="shared" si="29"/>
        <v>9.26</v>
      </c>
      <c r="BQ11" s="11">
        <f t="shared" si="30"/>
        <v>23.009999999999998</v>
      </c>
      <c r="BR11" s="11">
        <f t="shared" si="31"/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 t="str">
        <f t="shared" si="43"/>
        <v/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3.9249999999999998</v>
      </c>
      <c r="WM11" s="26">
        <f t="shared" si="256"/>
        <v>4.625</v>
      </c>
      <c r="WN11" s="26">
        <f t="shared" si="257"/>
        <v>4.8</v>
      </c>
      <c r="WO11" s="26">
        <f t="shared" si="258"/>
        <v>9.0399999999999991</v>
      </c>
      <c r="WP11" s="26">
        <f t="shared" si="259"/>
        <v>0</v>
      </c>
      <c r="WQ11" s="26">
        <f t="shared" si="260"/>
        <v>3.2749999999999999</v>
      </c>
      <c r="WR11" s="26">
        <f t="shared" si="261"/>
        <v>3.6</v>
      </c>
      <c r="WS11" s="26">
        <f t="shared" si="262"/>
        <v>3.8</v>
      </c>
      <c r="WT11" s="26">
        <f t="shared" si="263"/>
        <v>7.27</v>
      </c>
      <c r="WU11" s="26">
        <f t="shared" si="264"/>
        <v>0</v>
      </c>
      <c r="WV11" s="26">
        <f t="shared" si="265"/>
        <v>2</v>
      </c>
      <c r="WW11" s="26">
        <f t="shared" si="266"/>
        <v>2.1749999999999998</v>
      </c>
      <c r="WX11" s="26">
        <f t="shared" si="267"/>
        <v>2.7</v>
      </c>
      <c r="WY11" s="26">
        <f t="shared" si="268"/>
        <v>4.63</v>
      </c>
      <c r="WZ11" s="26">
        <f t="shared" si="269"/>
        <v>0</v>
      </c>
      <c r="XA11" s="28" t="s">
        <v>53</v>
      </c>
      <c r="XB11" s="11">
        <f t="shared" si="270"/>
        <v>4.8</v>
      </c>
      <c r="XC11" s="11">
        <f t="shared" si="271"/>
        <v>9.0399999999999991</v>
      </c>
      <c r="XD11" s="11">
        <f t="shared" si="272"/>
        <v>22.39</v>
      </c>
      <c r="XE11" s="11">
        <f t="shared" si="273"/>
        <v>3.8</v>
      </c>
      <c r="XF11" s="11">
        <f t="shared" si="274"/>
        <v>7.27</v>
      </c>
      <c r="XG11" s="11">
        <f t="shared" si="275"/>
        <v>17.945</v>
      </c>
      <c r="XH11" s="11">
        <f t="shared" si="276"/>
        <v>22.39</v>
      </c>
      <c r="XI11" s="11">
        <f t="shared" si="277"/>
        <v>2.7</v>
      </c>
      <c r="XJ11" s="11">
        <f t="shared" si="278"/>
        <v>4.63</v>
      </c>
      <c r="XK11" s="11">
        <f t="shared" si="279"/>
        <v>11.504999999999999</v>
      </c>
      <c r="XL11" s="11">
        <f t="shared" si="280"/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 t="shared" si="0"/>
        <v>75.100000000000009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44.370000000000005</v>
      </c>
      <c r="K12" s="8" t="str">
        <f t="shared" si="5"/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 t="shared" si="6"/>
        <v>2024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 t="shared" si="21"/>
        <v>9</v>
      </c>
      <c r="BI12" s="39">
        <f t="shared" si="22"/>
        <v>17.82</v>
      </c>
      <c r="BJ12" s="11">
        <f t="shared" si="23"/>
        <v>44.370000000000005</v>
      </c>
      <c r="BK12" s="11">
        <f t="shared" si="24"/>
        <v>6.4</v>
      </c>
      <c r="BL12" s="11">
        <f t="shared" si="25"/>
        <v>11.88</v>
      </c>
      <c r="BM12" s="11">
        <f t="shared" si="26"/>
        <v>30.730000000000004</v>
      </c>
      <c r="BN12" s="11">
        <f t="shared" si="27"/>
        <v>44.370000000000005</v>
      </c>
      <c r="BO12" s="11">
        <f t="shared" si="28"/>
        <v>2.2999999999999998</v>
      </c>
      <c r="BP12" s="11">
        <f t="shared" si="29"/>
        <v>3.04</v>
      </c>
      <c r="BQ12" s="11">
        <f t="shared" si="30"/>
        <v>8.9899999999999984</v>
      </c>
      <c r="BR12" s="11">
        <f t="shared" si="31"/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4.1500000000000004</v>
      </c>
      <c r="WM12" s="26">
        <f t="shared" si="256"/>
        <v>4.625</v>
      </c>
      <c r="WN12" s="26">
        <f t="shared" si="257"/>
        <v>4.5</v>
      </c>
      <c r="WO12" s="26">
        <f t="shared" si="258"/>
        <v>8.91</v>
      </c>
      <c r="WP12" s="26">
        <f t="shared" si="259"/>
        <v>0</v>
      </c>
      <c r="WQ12" s="26">
        <f t="shared" si="260"/>
        <v>2.9249999999999998</v>
      </c>
      <c r="WR12" s="26">
        <f t="shared" si="261"/>
        <v>3.3</v>
      </c>
      <c r="WS12" s="26">
        <f t="shared" si="262"/>
        <v>3.2</v>
      </c>
      <c r="WT12" s="26">
        <f t="shared" si="263"/>
        <v>5.94</v>
      </c>
      <c r="WU12" s="26">
        <f t="shared" si="264"/>
        <v>0</v>
      </c>
      <c r="WV12" s="26">
        <f t="shared" si="265"/>
        <v>0.85</v>
      </c>
      <c r="WW12" s="26">
        <f t="shared" si="266"/>
        <v>0.97499999999999998</v>
      </c>
      <c r="WX12" s="26">
        <f t="shared" si="267"/>
        <v>1.1499999999999999</v>
      </c>
      <c r="WY12" s="26">
        <f t="shared" si="268"/>
        <v>1.52</v>
      </c>
      <c r="WZ12" s="26">
        <f t="shared" si="269"/>
        <v>0</v>
      </c>
      <c r="XA12" s="28" t="s">
        <v>53</v>
      </c>
      <c r="XB12" s="11">
        <f t="shared" si="270"/>
        <v>4.5</v>
      </c>
      <c r="XC12" s="11">
        <f t="shared" si="271"/>
        <v>8.91</v>
      </c>
      <c r="XD12" s="11">
        <f t="shared" si="272"/>
        <v>22.185000000000002</v>
      </c>
      <c r="XE12" s="11">
        <f t="shared" si="273"/>
        <v>3.2</v>
      </c>
      <c r="XF12" s="11">
        <f t="shared" si="274"/>
        <v>5.94</v>
      </c>
      <c r="XG12" s="11">
        <f t="shared" si="275"/>
        <v>15.365000000000002</v>
      </c>
      <c r="XH12" s="11">
        <f t="shared" si="276"/>
        <v>22.185000000000002</v>
      </c>
      <c r="XI12" s="11">
        <f t="shared" si="277"/>
        <v>1.1499999999999999</v>
      </c>
      <c r="XJ12" s="11">
        <f t="shared" si="278"/>
        <v>1.52</v>
      </c>
      <c r="XK12" s="11">
        <f t="shared" si="279"/>
        <v>4.4949999999999992</v>
      </c>
      <c r="XL12" s="11">
        <f t="shared" si="280"/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 t="shared" si="0"/>
        <v>44.349999999999994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44.349999999999994</v>
      </c>
      <c r="O13" s="11" t="str">
        <f t="shared" si="8"/>
        <v>(Final)</v>
      </c>
      <c r="P13" s="8" t="str">
        <f t="shared" si="9"/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>
        <f t="shared" si="43"/>
        <v>43.33</v>
      </c>
      <c r="CU13" s="51">
        <f t="shared" si="44"/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 t="shared" si="73"/>
        <v>9</v>
      </c>
      <c r="GG13" s="40">
        <f t="shared" si="74"/>
        <v>17.68</v>
      </c>
      <c r="GH13" s="40">
        <f t="shared" si="75"/>
        <v>43.33</v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>
        <f t="shared" si="79"/>
        <v>43.33</v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>
        <f t="shared" si="83"/>
        <v>9</v>
      </c>
      <c r="GQ13" s="40">
        <f t="shared" si="84"/>
        <v>18.7</v>
      </c>
      <c r="GR13" s="40">
        <f t="shared" si="85"/>
        <v>44.349999999999994</v>
      </c>
      <c r="GS13" s="40">
        <f t="shared" si="86"/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 t="shared" si="0"/>
        <v>43.05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43.05</v>
      </c>
      <c r="O14" s="11" t="str">
        <f t="shared" si="8"/>
        <v>(Final)</v>
      </c>
      <c r="P14" s="8" t="str">
        <f t="shared" si="9"/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42.42</v>
      </c>
      <c r="CU14" s="51">
        <f t="shared" si="44"/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 t="shared" si="73"/>
        <v>8.3000000000000007</v>
      </c>
      <c r="GG14" s="40">
        <f t="shared" si="74"/>
        <v>17.32</v>
      </c>
      <c r="GH14" s="40">
        <f t="shared" si="75"/>
        <v>42.42</v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>
        <f t="shared" si="79"/>
        <v>42.42</v>
      </c>
      <c r="GM14" s="40">
        <f t="shared" si="80"/>
        <v>8.3000000000000007</v>
      </c>
      <c r="GN14" s="40">
        <f t="shared" si="81"/>
        <v>18.600000000000001</v>
      </c>
      <c r="GO14" s="40">
        <f t="shared" si="82"/>
        <v>43.05</v>
      </c>
      <c r="GP14" s="40">
        <f t="shared" si="83"/>
        <v>8.3000000000000007</v>
      </c>
      <c r="GQ14" s="40">
        <f t="shared" si="84"/>
        <v>16.440000000000001</v>
      </c>
      <c r="GR14" s="40">
        <f t="shared" si="85"/>
        <v>40.99</v>
      </c>
      <c r="GS14" s="40">
        <f t="shared" si="86"/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 t="shared" si="0"/>
        <v>35.349999999999994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35.349999999999994</v>
      </c>
      <c r="O15" s="11" t="str">
        <f t="shared" si="8"/>
        <v>(Prelim)</v>
      </c>
      <c r="P15" s="8" t="str">
        <f t="shared" si="9"/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35.349999999999994</v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 t="shared" si="73"/>
        <v>1.5</v>
      </c>
      <c r="GG15" s="40">
        <f t="shared" si="74"/>
        <v>1.74</v>
      </c>
      <c r="GH15" s="40">
        <f t="shared" si="75"/>
        <v>4.9400000000000004</v>
      </c>
      <c r="GI15" s="40">
        <f t="shared" si="76"/>
        <v>8.8000000000000007</v>
      </c>
      <c r="GJ15" s="40">
        <f t="shared" si="77"/>
        <v>13.7</v>
      </c>
      <c r="GK15" s="40">
        <f t="shared" si="78"/>
        <v>35.349999999999994</v>
      </c>
      <c r="GL15" s="40">
        <f t="shared" si="79"/>
        <v>35.349999999999994</v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>
        <f t="shared" si="86"/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5">
      <sortCondition descending="1" ref="F1:F16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316" priority="70" operator="containsText" text="No DD">
      <formula>NOT(ISERROR(SEARCH("No DD",H1)))</formula>
    </cfRule>
    <cfRule type="containsText" dxfId="315" priority="71" operator="containsText" text="Merit">
      <formula>NOT(ISERROR(SEARCH("Merit",H1)))</formula>
    </cfRule>
    <cfRule type="containsText" dxfId="314" priority="72" operator="containsText" text="Excellence">
      <formula>NOT(ISERROR(SEARCH("Excellence",H1)))</formula>
    </cfRule>
    <cfRule type="containsText" dxfId="313" priority="73" operator="containsText" text="Worlds Team">
      <formula>NOT(ISERROR(SEARCH("Worlds Team",H1)))</formula>
    </cfRule>
    <cfRule type="containsText" dxfId="312" priority="74" operator="containsText" text="National Team">
      <formula>NOT(ISERROR(SEARCH("National Team",H1)))</formula>
    </cfRule>
  </conditionalFormatting>
  <conditionalFormatting sqref="A4:A1048576">
    <cfRule type="expression" dxfId="311" priority="31">
      <formula>AND(G4&lt;&gt;"",F4="")</formula>
    </cfRule>
    <cfRule type="expression" dxfId="310" priority="75">
      <formula>IF(A4&gt;4,1,0)</formula>
    </cfRule>
  </conditionalFormatting>
  <conditionalFormatting sqref="Q4:AQ15">
    <cfRule type="expression" dxfId="309" priority="76" stopIfTrue="1">
      <formula>IF($AF4&lt;&gt;"",1,0)</formula>
    </cfRule>
  </conditionalFormatting>
  <conditionalFormatting sqref="AR4:BR15">
    <cfRule type="expression" dxfId="308" priority="69" stopIfTrue="1">
      <formula>IF($BG4&lt;&gt;"",1,0)</formula>
    </cfRule>
  </conditionalFormatting>
  <conditionalFormatting sqref="BS4:CS15">
    <cfRule type="expression" dxfId="307" priority="68" stopIfTrue="1">
      <formula>IF($CH4&lt;&gt;"",1,0)</formula>
    </cfRule>
  </conditionalFormatting>
  <conditionalFormatting sqref="BO26:BO1048576 BH1:BH1048576 BK1:BK1048576 BO1:BO24">
    <cfRule type="cellIs" dxfId="306" priority="81" operator="between">
      <formula>$BR$21</formula>
      <formula>1000</formula>
    </cfRule>
    <cfRule type="cellIs" dxfId="305" priority="82" operator="between">
      <formula>$BR$20</formula>
      <formula>$BR$21</formula>
    </cfRule>
    <cfRule type="cellIs" dxfId="304" priority="83" operator="between">
      <formula>$BR$19</formula>
      <formula>$BR$20</formula>
    </cfRule>
    <cfRule type="cellIs" dxfId="303" priority="84" operator="between">
      <formula>$BR$18</formula>
      <formula>$BR$19</formula>
    </cfRule>
  </conditionalFormatting>
  <conditionalFormatting sqref="CP26:CP1048576 CI1:CI1048576 CL1:CL1048576 CP1:CP24">
    <cfRule type="cellIs" dxfId="302" priority="77" operator="between">
      <formula>$CS$21</formula>
      <formula>1000</formula>
    </cfRule>
    <cfRule type="cellIs" dxfId="301" priority="78" operator="between">
      <formula>$CS$20</formula>
      <formula>$CS$21</formula>
    </cfRule>
    <cfRule type="cellIs" dxfId="300" priority="79" operator="between">
      <formula>$CS$19</formula>
      <formula>$CS$20</formula>
    </cfRule>
    <cfRule type="cellIs" dxfId="299" priority="80" operator="between">
      <formula>$CS$18</formula>
      <formula>$CS$19</formula>
    </cfRule>
  </conditionalFormatting>
  <conditionalFormatting sqref="DZ26:DZ1048576 DP1:DP1048576 DS1:DS1048576 DW1:DW1048576 DZ1:DZ24">
    <cfRule type="cellIs" dxfId="298" priority="88" operator="between">
      <formula>$EC$21</formula>
      <formula>1000</formula>
    </cfRule>
    <cfRule type="cellIs" dxfId="297" priority="89" operator="between">
      <formula>$EC$20</formula>
      <formula>$EC$21</formula>
    </cfRule>
    <cfRule type="cellIs" dxfId="296" priority="90" operator="between">
      <formula>$EC$19</formula>
      <formula>$EC$20</formula>
    </cfRule>
    <cfRule type="cellIs" dxfId="295" priority="91" operator="between">
      <formula>$EC$18</formula>
      <formula>$EC$19</formula>
    </cfRule>
  </conditionalFormatting>
  <conditionalFormatting sqref="FH26:FH1048576 EX1:EX1048576 FA1:FA1048576 FE1:FE1048576 FH1:FH24">
    <cfRule type="cellIs" dxfId="294" priority="64" operator="between">
      <formula>$FK$21</formula>
      <formula>1000</formula>
    </cfRule>
    <cfRule type="cellIs" dxfId="293" priority="65" operator="between">
      <formula>$FK$20</formula>
      <formula>$FK$21</formula>
    </cfRule>
    <cfRule type="cellIs" dxfId="292" priority="66" operator="between">
      <formula>$FK$19</formula>
      <formula>$FK$20</formula>
    </cfRule>
    <cfRule type="cellIs" dxfId="291" priority="67" operator="between">
      <formula>$FK$18</formula>
      <formula>$FK$19</formula>
    </cfRule>
  </conditionalFormatting>
  <conditionalFormatting sqref="HX26:HX1048576 HN1:HN1048576 HQ1:HQ1048576 HU1:HU1048576 HX1:HX24">
    <cfRule type="cellIs" dxfId="290" priority="60" operator="between">
      <formula>$IA$21</formula>
      <formula>1000</formula>
    </cfRule>
    <cfRule type="cellIs" dxfId="289" priority="61" operator="between">
      <formula>$IA$20</formula>
      <formula>$IA$21</formula>
    </cfRule>
    <cfRule type="cellIs" dxfId="288" priority="62" operator="between">
      <formula>$IA$19</formula>
      <formula>$IA$20</formula>
    </cfRule>
    <cfRule type="cellIs" dxfId="287" priority="63" operator="between">
      <formula>$IA$18</formula>
      <formula>$IA$19</formula>
    </cfRule>
  </conditionalFormatting>
  <conditionalFormatting sqref="AO25 AG1:AG1048576 AJ1:AJ1048576 AN1:AN1048576">
    <cfRule type="cellIs" dxfId="286" priority="56" operator="between">
      <formula>$AQ$21</formula>
      <formula>1000</formula>
    </cfRule>
    <cfRule type="cellIs" dxfId="285" priority="57" operator="between">
      <formula>$AQ$20</formula>
      <formula>$AQ$21</formula>
    </cfRule>
    <cfRule type="cellIs" dxfId="284" priority="58" operator="between">
      <formula>$AQ$19</formula>
      <formula>$AQ$20</formula>
    </cfRule>
    <cfRule type="cellIs" dxfId="283" priority="59" operator="between">
      <formula>$AQ$18</formula>
      <formula>$AQ$19</formula>
    </cfRule>
  </conditionalFormatting>
  <conditionalFormatting sqref="BO25">
    <cfRule type="cellIs" dxfId="282" priority="52" operator="between">
      <formula>$AQ$21</formula>
      <formula>1000</formula>
    </cfRule>
    <cfRule type="cellIs" dxfId="281" priority="53" operator="between">
      <formula>$AQ$20</formula>
      <formula>$AQ$21</formula>
    </cfRule>
    <cfRule type="cellIs" dxfId="280" priority="54" operator="between">
      <formula>$AQ$19</formula>
      <formula>$AQ$20</formula>
    </cfRule>
    <cfRule type="cellIs" dxfId="279" priority="55" operator="between">
      <formula>$AQ$18</formula>
      <formula>$AQ$19</formula>
    </cfRule>
  </conditionalFormatting>
  <conditionalFormatting sqref="CP25">
    <cfRule type="cellIs" dxfId="278" priority="48" operator="between">
      <formula>$AQ$21</formula>
      <formula>1000</formula>
    </cfRule>
    <cfRule type="cellIs" dxfId="277" priority="49" operator="between">
      <formula>$AQ$20</formula>
      <formula>$AQ$21</formula>
    </cfRule>
    <cfRule type="cellIs" dxfId="276" priority="50" operator="between">
      <formula>$AQ$19</formula>
      <formula>$AQ$20</formula>
    </cfRule>
    <cfRule type="cellIs" dxfId="275" priority="51" operator="between">
      <formula>$AQ$18</formula>
      <formula>$AQ$19</formula>
    </cfRule>
  </conditionalFormatting>
  <conditionalFormatting sqref="DZ25">
    <cfRule type="cellIs" dxfId="274" priority="44" operator="between">
      <formula>$AQ$21</formula>
      <formula>1000</formula>
    </cfRule>
    <cfRule type="cellIs" dxfId="273" priority="45" operator="between">
      <formula>$AQ$20</formula>
      <formula>$AQ$21</formula>
    </cfRule>
    <cfRule type="cellIs" dxfId="272" priority="46" operator="between">
      <formula>$AQ$19</formula>
      <formula>$AQ$20</formula>
    </cfRule>
    <cfRule type="cellIs" dxfId="271" priority="47" operator="between">
      <formula>$AQ$18</formula>
      <formula>$AQ$19</formula>
    </cfRule>
  </conditionalFormatting>
  <conditionalFormatting sqref="FH25">
    <cfRule type="cellIs" dxfId="270" priority="40" operator="between">
      <formula>$AQ$21</formula>
      <formula>1000</formula>
    </cfRule>
    <cfRule type="cellIs" dxfId="269" priority="41" operator="between">
      <formula>$AQ$20</formula>
      <formula>$AQ$21</formula>
    </cfRule>
    <cfRule type="cellIs" dxfId="268" priority="42" operator="between">
      <formula>$AQ$19</formula>
      <formula>$AQ$20</formula>
    </cfRule>
    <cfRule type="cellIs" dxfId="267" priority="43" operator="between">
      <formula>$AQ$18</formula>
      <formula>$AQ$19</formula>
    </cfRule>
  </conditionalFormatting>
  <conditionalFormatting sqref="HX25">
    <cfRule type="cellIs" dxfId="266" priority="36" operator="between">
      <formula>$AQ$21</formula>
      <formula>1000</formula>
    </cfRule>
    <cfRule type="cellIs" dxfId="265" priority="37" operator="between">
      <formula>$AQ$20</formula>
      <formula>$AQ$21</formula>
    </cfRule>
    <cfRule type="cellIs" dxfId="264" priority="38" operator="between">
      <formula>$AQ$19</formula>
      <formula>$AQ$20</formula>
    </cfRule>
    <cfRule type="cellIs" dxfId="263" priority="39" operator="between">
      <formula>$AQ$18</formula>
      <formula>$AQ$19</formula>
    </cfRule>
  </conditionalFormatting>
  <conditionalFormatting sqref="GP26:GP1048576 GF1:GF1048576 GI1:GI1048576 GM1:GM1048576 GP1:GP24">
    <cfRule type="cellIs" dxfId="262" priority="119" operator="between">
      <formula>$GS$21</formula>
      <formula>1000</formula>
    </cfRule>
    <cfRule type="cellIs" dxfId="261" priority="120" operator="between">
      <formula>$GS$20</formula>
      <formula>$GS$21</formula>
    </cfRule>
    <cfRule type="cellIs" dxfId="260" priority="121" operator="between">
      <formula>$GS$19</formula>
      <formula>$GS$20</formula>
    </cfRule>
    <cfRule type="cellIs" dxfId="259" priority="122" operator="between">
      <formula>$GS$18</formula>
      <formula>$GS$19</formula>
    </cfRule>
  </conditionalFormatting>
  <conditionalFormatting sqref="GP25">
    <cfRule type="cellIs" dxfId="258" priority="32" operator="between">
      <formula>$AQ$21</formula>
      <formula>1000</formula>
    </cfRule>
    <cfRule type="cellIs" dxfId="257" priority="33" operator="between">
      <formula>$AQ$20</formula>
      <formula>$AQ$21</formula>
    </cfRule>
    <cfRule type="cellIs" dxfId="256" priority="34" operator="between">
      <formula>$AQ$19</formula>
      <formula>$AQ$20</formula>
    </cfRule>
    <cfRule type="cellIs" dxfId="255" priority="35" operator="between">
      <formula>$AQ$18</formula>
      <formula>$AQ$19</formula>
    </cfRule>
  </conditionalFormatting>
  <conditionalFormatting sqref="K1:K1048576 M1:M1048576">
    <cfRule type="expression" dxfId="254" priority="85" stopIfTrue="1">
      <formula>IF(K1=$BS$1,1,0)</formula>
    </cfRule>
    <cfRule type="expression" dxfId="253" priority="86">
      <formula>IF(K1=$AR$1,1,0)</formula>
    </cfRule>
    <cfRule type="expression" dxfId="252" priority="87">
      <formula>IF(K1=$Q$1,1,0)</formula>
    </cfRule>
  </conditionalFormatting>
  <conditionalFormatting sqref="CN1:CN1048576 AL1:AL1048576">
    <cfRule type="cellIs" dxfId="251" priority="123204" operator="between">
      <formula>AQ$25</formula>
      <formula>1000</formula>
    </cfRule>
    <cfRule type="cellIs" dxfId="250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249" priority="123216" operator="between">
      <formula>EC$25</formula>
      <formula>1000</formula>
    </cfRule>
    <cfRule type="cellIs" dxfId="248" priority="123217" operator="between">
      <formula>EC$24</formula>
      <formula>EC$25</formula>
    </cfRule>
  </conditionalFormatting>
  <conditionalFormatting sqref="AI1:AI1048576 AL1:AL1048576 AP1:AP1048576">
    <cfRule type="cellIs" dxfId="247" priority="123300" operator="between">
      <formula>$AQ$25</formula>
      <formula>1000</formula>
    </cfRule>
    <cfRule type="cellIs" dxfId="246" priority="123301" operator="between">
      <formula>$AQ$24</formula>
      <formula>$AQ$25</formula>
    </cfRule>
    <cfRule type="cellIs" dxfId="245" priority="123302" operator="between">
      <formula>$AQ$23</formula>
      <formula>$AQ$24</formula>
    </cfRule>
    <cfRule type="cellIs" dxfId="244" priority="123303" operator="between">
      <formula>$AQ$22</formula>
      <formula>$AQ$23</formula>
    </cfRule>
  </conditionalFormatting>
  <conditionalFormatting sqref="BJ1:BJ1048576 BM1:BM1048576 BQ1:BQ1048576">
    <cfRule type="cellIs" dxfId="243" priority="123336" operator="between">
      <formula>$BR$25</formula>
      <formula>1000</formula>
    </cfRule>
    <cfRule type="cellIs" dxfId="242" priority="123337" operator="between">
      <formula>$BR$24</formula>
      <formula>$BR$25</formula>
    </cfRule>
    <cfRule type="cellIs" dxfId="241" priority="123338" operator="between">
      <formula>$BR$23</formula>
      <formula>$BR$24</formula>
    </cfRule>
    <cfRule type="cellIs" dxfId="240" priority="123339" operator="between">
      <formula>$BR$22</formula>
      <formula>$BR$23</formula>
    </cfRule>
  </conditionalFormatting>
  <conditionalFormatting sqref="CK1:CK1048576 CN1:CN1048576 CR1:CR1048576">
    <cfRule type="cellIs" dxfId="239" priority="123372" operator="between">
      <formula>$CS$25</formula>
      <formula>1000</formula>
    </cfRule>
    <cfRule type="cellIs" dxfId="238" priority="123373" operator="between">
      <formula>$CS$24</formula>
      <formula>$CS$25</formula>
    </cfRule>
    <cfRule type="cellIs" dxfId="237" priority="123374" operator="between">
      <formula>$CS$23</formula>
      <formula>$CS$24</formula>
    </cfRule>
    <cfRule type="cellIs" dxfId="236" priority="123375" operator="between">
      <formula>$CS$22</formula>
      <formula>$CS$23</formula>
    </cfRule>
  </conditionalFormatting>
  <conditionalFormatting sqref="MT1:MT1048576 MW1:MW1048576 NA1:NA1048576 ND1:ND1048576">
    <cfRule type="cellIs" dxfId="235" priority="123408" operator="between">
      <formula>$NG$18</formula>
      <formula>$NG$19</formula>
    </cfRule>
    <cfRule type="cellIs" dxfId="234" priority="123409" operator="between">
      <formula>$NG$19</formula>
      <formula>$NG$20</formula>
    </cfRule>
    <cfRule type="cellIs" dxfId="233" priority="123410" stopIfTrue="1" operator="between">
      <formula>$NG$20</formula>
      <formula>$NG$21</formula>
    </cfRule>
    <cfRule type="cellIs" dxfId="232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231" priority="123456" operator="between">
      <formula>$EC$25</formula>
      <formula>1000</formula>
    </cfRule>
    <cfRule type="cellIs" dxfId="230" priority="123457" operator="between">
      <formula>$EC$24</formula>
      <formula>$EC$25</formula>
    </cfRule>
    <cfRule type="cellIs" dxfId="229" priority="123458" operator="between">
      <formula>$EC$23</formula>
      <formula>$EC$24</formula>
    </cfRule>
    <cfRule type="cellIs" dxfId="228" priority="123459" operator="between">
      <formula>$EC$22</formula>
      <formula>$EC$23</formula>
    </cfRule>
  </conditionalFormatting>
  <conditionalFormatting sqref="EZ1:EZ1048576 FC1:FC1048576 FG1:FG1048576 FJ1:FJ1048576">
    <cfRule type="cellIs" dxfId="227" priority="123504" operator="between">
      <formula>$FK$25</formula>
      <formula>1000</formula>
    </cfRule>
    <cfRule type="cellIs" dxfId="226" priority="123505" operator="between">
      <formula>$FK$24</formula>
      <formula>$FK$25</formula>
    </cfRule>
    <cfRule type="cellIs" dxfId="225" priority="123506" operator="between">
      <formula>$FK$23</formula>
      <formula>$FK$24</formula>
    </cfRule>
    <cfRule type="cellIs" dxfId="224" priority="123507" operator="between">
      <formula>$FK$22</formula>
      <formula>$FK$23</formula>
    </cfRule>
  </conditionalFormatting>
  <conditionalFormatting sqref="GH1:GH1048576 GK1:GK1048576 GO1:GO1048576 GR1:GR1048576">
    <cfRule type="cellIs" dxfId="223" priority="123552" operator="between">
      <formula>$GS$25</formula>
      <formula>1000</formula>
    </cfRule>
    <cfRule type="cellIs" dxfId="222" priority="123553" operator="between">
      <formula>$GS$24</formula>
      <formula>$GS$25</formula>
    </cfRule>
    <cfRule type="cellIs" dxfId="221" priority="123554" operator="between">
      <formula>$GS$23</formula>
      <formula>$GS$24</formula>
    </cfRule>
    <cfRule type="cellIs" dxfId="220" priority="123555" operator="between">
      <formula>$GS$22</formula>
      <formula>$GS$23</formula>
    </cfRule>
  </conditionalFormatting>
  <conditionalFormatting sqref="HP1:HP1048576 HS1:HS1048576 HW1:HW1048576 HZ1:HZ1048576">
    <cfRule type="cellIs" dxfId="219" priority="123600" operator="between">
      <formula>$IA$25</formula>
      <formula>1000</formula>
    </cfRule>
    <cfRule type="cellIs" dxfId="218" priority="123601" operator="between">
      <formula>$IA$24</formula>
      <formula>$IA$25</formula>
    </cfRule>
    <cfRule type="cellIs" dxfId="217" priority="123602" operator="between">
      <formula>$IA$23</formula>
      <formula>$IA$24</formula>
    </cfRule>
    <cfRule type="cellIs" dxfId="216" priority="123603" operator="between">
      <formula>$IA$22</formula>
      <formula>$IA$23</formula>
    </cfRule>
  </conditionalFormatting>
  <conditionalFormatting sqref="IV1:IV1048576 IY1:IY1048576 JC1:JC1048576 JF1:JF1048576">
    <cfRule type="cellIs" dxfId="215" priority="123648" operator="between">
      <formula>$JI$21</formula>
      <formula>1000</formula>
    </cfRule>
    <cfRule type="cellIs" dxfId="214" priority="123649" operator="between">
      <formula>$JI$20</formula>
      <formula>$JI$21</formula>
    </cfRule>
    <cfRule type="cellIs" dxfId="213" priority="123650" operator="between">
      <formula>$JI$19</formula>
      <formula>$JI$20</formula>
    </cfRule>
    <cfRule type="cellIs" dxfId="212" priority="123651" operator="between">
      <formula>$JI$18</formula>
      <formula>$JI$19</formula>
    </cfRule>
  </conditionalFormatting>
  <conditionalFormatting sqref="IX1:IX1048576 JA1:JA1048576 JE1:JE1048576 JH1:JH1048576">
    <cfRule type="cellIs" dxfId="211" priority="123696" operator="between">
      <formula>$JI$25</formula>
      <formula>1000</formula>
    </cfRule>
    <cfRule type="cellIs" dxfId="210" priority="123697" operator="between">
      <formula>$JI$24</formula>
      <formula>$JI$25</formula>
    </cfRule>
    <cfRule type="cellIs" dxfId="209" priority="123698" operator="between">
      <formula>$JI$23</formula>
      <formula>$JI$24</formula>
    </cfRule>
    <cfRule type="cellIs" dxfId="208" priority="123699" operator="between">
      <formula>$JI$22</formula>
      <formula>$JI$23</formula>
    </cfRule>
  </conditionalFormatting>
  <conditionalFormatting sqref="KD1:KD1048576 KG1:KG1048576 KK1:KK1048576 KN1:KN1048576">
    <cfRule type="cellIs" dxfId="207" priority="123744" operator="between">
      <formula>$KQ$21</formula>
      <formula>1000</formula>
    </cfRule>
    <cfRule type="cellIs" dxfId="206" priority="123745" operator="between">
      <formula>$KQ$20</formula>
      <formula>$KQ$21</formula>
    </cfRule>
    <cfRule type="cellIs" dxfId="205" priority="123746" operator="between">
      <formula>$KQ$19</formula>
      <formula>$KQ$20</formula>
    </cfRule>
    <cfRule type="cellIs" dxfId="204" priority="123747" operator="between">
      <formula>$KQ$18</formula>
      <formula>$KQ$19</formula>
    </cfRule>
  </conditionalFormatting>
  <conditionalFormatting sqref="KF1:KF1048576 KI1:KI1048576 KM1:KM1048576 KP1:KP1048576">
    <cfRule type="cellIs" dxfId="203" priority="123792" operator="between">
      <formula>$KQ$25</formula>
      <formula>1000</formula>
    </cfRule>
    <cfRule type="cellIs" dxfId="202" priority="123793" operator="between">
      <formula>$KQ$24</formula>
      <formula>$KQ$25</formula>
    </cfRule>
    <cfRule type="cellIs" dxfId="201" priority="123794" operator="between">
      <formula>$KQ$23</formula>
      <formula>$KQ$24</formula>
    </cfRule>
    <cfRule type="cellIs" dxfId="200" priority="123795" operator="between">
      <formula>$KQ$22</formula>
      <formula>$KQ$23</formula>
    </cfRule>
  </conditionalFormatting>
  <conditionalFormatting sqref="LL1:LL1048576 LO1:LO1048576 LS1:LS1048576 LV1:LV1048576">
    <cfRule type="cellIs" dxfId="199" priority="123840" operator="between">
      <formula>$LY$21</formula>
      <formula>1000</formula>
    </cfRule>
    <cfRule type="cellIs" dxfId="198" priority="123841" operator="between">
      <formula>$LY$20</formula>
      <formula>$LY$21</formula>
    </cfRule>
    <cfRule type="cellIs" dxfId="197" priority="123842" operator="between">
      <formula>$LY$19</formula>
      <formula>$LY$20</formula>
    </cfRule>
    <cfRule type="cellIs" dxfId="196" priority="123843" operator="between">
      <formula>$LY$18</formula>
      <formula>$LY$19</formula>
    </cfRule>
  </conditionalFormatting>
  <conditionalFormatting sqref="LN1:LN1048576 LQ1:LQ1048576 LU1:LU1048576 LX1:LX1048576">
    <cfRule type="cellIs" dxfId="195" priority="123888" operator="between">
      <formula>$LY$25</formula>
      <formula>1000</formula>
    </cfRule>
    <cfRule type="cellIs" dxfId="194" priority="123889" operator="between">
      <formula>$LY$24</formula>
      <formula>$LY$25</formula>
    </cfRule>
    <cfRule type="cellIs" dxfId="193" priority="123890" operator="between">
      <formula>$LY$23</formula>
      <formula>$LY$24</formula>
    </cfRule>
    <cfRule type="cellIs" dxfId="192" priority="123891" operator="between">
      <formula>$LY$22</formula>
      <formula>$LY$23</formula>
    </cfRule>
  </conditionalFormatting>
  <conditionalFormatting sqref="MV1:MV1048576 MY1:MY1048576 NC1:NC1048576 NF1:NF1048576">
    <cfRule type="cellIs" dxfId="191" priority="123936" operator="between">
      <formula>$NG$25</formula>
      <formula>1000</formula>
    </cfRule>
    <cfRule type="cellIs" dxfId="190" priority="123937" operator="between">
      <formula>$NG$24</formula>
      <formula>$NG$25</formula>
    </cfRule>
    <cfRule type="cellIs" dxfId="189" priority="123938" operator="between">
      <formula>$NG$23</formula>
      <formula>$NG$24</formula>
    </cfRule>
    <cfRule type="cellIs" dxfId="188" priority="123939" operator="between">
      <formula>$NG$22</formula>
      <formula>$NG$23</formula>
    </cfRule>
  </conditionalFormatting>
  <conditionalFormatting sqref="OB1:OB1048576 OE1:OE1048576 OI1:OI1048576 OL1:OL1048576">
    <cfRule type="cellIs" dxfId="187" priority="123984" operator="between">
      <formula>$OO$21</formula>
      <formula>1000</formula>
    </cfRule>
    <cfRule type="cellIs" dxfId="186" priority="123985" operator="between">
      <formula>$OO$20</formula>
      <formula>$OO$21</formula>
    </cfRule>
    <cfRule type="cellIs" dxfId="185" priority="123986" operator="between">
      <formula>$OO$19</formula>
      <formula>$OO$20</formula>
    </cfRule>
    <cfRule type="cellIs" dxfId="184" priority="123987" operator="between">
      <formula>$OO$18</formula>
      <formula>$OO$19</formula>
    </cfRule>
  </conditionalFormatting>
  <conditionalFormatting sqref="OD1:OD1048576 OG1:OG1048576 OK1:OK1048576 ON1:ON1048576">
    <cfRule type="cellIs" dxfId="183" priority="124032" operator="between">
      <formula>$OO$25</formula>
      <formula>1000</formula>
    </cfRule>
    <cfRule type="cellIs" dxfId="182" priority="124033" operator="between">
      <formula>$OO$24</formula>
      <formula>$OO$25</formula>
    </cfRule>
    <cfRule type="cellIs" dxfId="181" priority="124034" operator="between">
      <formula>$OO$23</formula>
      <formula>$OO$24</formula>
    </cfRule>
    <cfRule type="cellIs" dxfId="180" priority="124035" operator="between">
      <formula>$OO$22</formula>
      <formula>$OO$23</formula>
    </cfRule>
  </conditionalFormatting>
  <conditionalFormatting sqref="PJ1:PJ1048576 PM1:PM1048576 PQ1:PQ1048576 PT1:PT1048576">
    <cfRule type="cellIs" dxfId="179" priority="124080" operator="between">
      <formula>$PW$21</formula>
      <formula>1000</formula>
    </cfRule>
    <cfRule type="cellIs" dxfId="178" priority="124081" operator="between">
      <formula>$PW$20</formula>
      <formula>$PW$21</formula>
    </cfRule>
    <cfRule type="cellIs" dxfId="177" priority="124082" operator="between">
      <formula>$PW$19</formula>
      <formula>$PW$20</formula>
    </cfRule>
    <cfRule type="cellIs" dxfId="176" priority="124083" operator="between">
      <formula>$PW$18</formula>
      <formula>$PW$19</formula>
    </cfRule>
  </conditionalFormatting>
  <conditionalFormatting sqref="PL1:PL1048576 PO1:PO1048576 PS1:PS1048576 PV1:PV1048576">
    <cfRule type="cellIs" dxfId="175" priority="124128" operator="between">
      <formula>$PW$25</formula>
      <formula>1000</formula>
    </cfRule>
    <cfRule type="cellIs" dxfId="174" priority="124129" operator="between">
      <formula>$PW$24</formula>
      <formula>$PW$25</formula>
    </cfRule>
    <cfRule type="cellIs" dxfId="173" priority="124130" operator="between">
      <formula>$PW$23</formula>
      <formula>$PW$24</formula>
    </cfRule>
    <cfRule type="cellIs" dxfId="172" priority="124131" operator="between">
      <formula>$PW$22</formula>
      <formula>$PW$23</formula>
    </cfRule>
  </conditionalFormatting>
  <conditionalFormatting sqref="QR1:QR1048576 QU1:QU1048576 QY1:QY1048576 RB1:RB1048576">
    <cfRule type="cellIs" dxfId="171" priority="124176" operator="between">
      <formula>$RE$21</formula>
      <formula>1000</formula>
    </cfRule>
    <cfRule type="cellIs" dxfId="170" priority="124177" operator="between">
      <formula>$RE$20</formula>
      <formula>$RE$21</formula>
    </cfRule>
    <cfRule type="cellIs" dxfId="169" priority="124178" operator="between">
      <formula>$RE$19</formula>
      <formula>$RE$20</formula>
    </cfRule>
    <cfRule type="cellIs" dxfId="168" priority="124179" operator="between">
      <formula>$RE$18</formula>
      <formula>$RE$19</formula>
    </cfRule>
  </conditionalFormatting>
  <conditionalFormatting sqref="QT1:QT1048576 QW1:QW1048576 RA1:RA1048576 RD1:RD1048576">
    <cfRule type="cellIs" dxfId="167" priority="124224" operator="between">
      <formula>$RE$25</formula>
      <formula>1000</formula>
    </cfRule>
    <cfRule type="cellIs" dxfId="166" priority="124225" operator="between">
      <formula>$RE$24</formula>
      <formula>$RE$25</formula>
    </cfRule>
    <cfRule type="cellIs" dxfId="165" priority="124226" operator="between">
      <formula>$RE$23</formula>
      <formula>$RE$24</formula>
    </cfRule>
    <cfRule type="cellIs" dxfId="164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163" priority="124272" operator="between">
      <formula>$SM$21</formula>
      <formula>1000</formula>
    </cfRule>
    <cfRule type="cellIs" dxfId="162" priority="124273" operator="between">
      <formula>$SM$20</formula>
      <formula>$SM$21</formula>
    </cfRule>
    <cfRule type="cellIs" dxfId="161" priority="124274" operator="between">
      <formula>$SM$19</formula>
      <formula>$SM$20</formula>
    </cfRule>
    <cfRule type="cellIs" dxfId="160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159" priority="124416" operator="between">
      <formula>$SM$25</formula>
      <formula>1000</formula>
    </cfRule>
    <cfRule type="cellIs" dxfId="158" priority="124417" operator="between">
      <formula>$SM$24</formula>
      <formula>$SM$25</formula>
    </cfRule>
    <cfRule type="cellIs" dxfId="157" priority="124418" operator="between">
      <formula>$SM$23</formula>
      <formula>$SM$24</formula>
    </cfRule>
    <cfRule type="cellIs" dxfId="156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245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156</v>
      </c>
      <c r="C4" s="4" t="s">
        <v>3</v>
      </c>
      <c r="D4" s="4">
        <v>2006</v>
      </c>
      <c r="E4" s="9">
        <f t="shared" ref="E4:E11" si="0">SUM(J4:R4)+SUM(J4:N4)*0.0000001+SUM(J4)*0.0000000000001</f>
        <v>184.90001320000519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6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 t="shared" ref="I4:I11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51.8</v>
      </c>
      <c r="K4" s="8" t="str">
        <f t="shared" ref="K4:K11" si="5">IF(J4=0,"",IF(J4=CW4,$CA$1,IF(J4=BT4,$AX$1,IF(J4=AQ4,$U$1,""))))</f>
        <v>2024 Nationals</v>
      </c>
      <c r="L4" s="8">
        <f>IF(COUNT(AQ4,BT4,CW4)&gt;1,LARGE((AQ4,BT4,CW4),2),0)</f>
        <v>51.7</v>
      </c>
      <c r="M4" s="8" t="str">
        <f t="shared" ref="M4:M11" si="6"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 t="shared" ref="O4:O11" si="7">IF(N4=0,"",IF(N4=CX4,$CA$1,IF(N4=BU4,$AX$1,IF(N4=AR4,$U$1,""))))</f>
        <v>2024 Elite Canada</v>
      </c>
      <c r="P4" s="8">
        <f t="shared" ref="P4:P11" si="8">IF(MAX(AV4,BY4,DB4)&gt;0,MAX(AV4,BY4,DB4),0)</f>
        <v>52.900000000000006</v>
      </c>
      <c r="Q4" s="8" t="str">
        <f t="shared" ref="Q4:Q11" si="9">IF(P4=0,"",IF(P4=DB4,$CA$1,IF(P4=BY4,$AX$1,IF(P4=AV4,$U$1,""))))</f>
        <v>2024 Elite Canada</v>
      </c>
      <c r="R4" s="8" t="str">
        <f t="shared" ref="R4:R11" si="10">IF(MAX(DD4:DF4)&gt;0,MAX(DD4:DF4),"")</f>
        <v/>
      </c>
      <c r="S4" s="11" t="str">
        <f t="shared" ref="S4:S11" si="11">IF(R4="","",IF(R4=DD4,"("&amp;DD$2&amp;")",IF(R4=DE4,"("&amp;DE$2&amp;")",IF(R4=DF4,"("&amp;DF$2&amp;")"))))</f>
        <v/>
      </c>
      <c r="T4" s="8" t="str">
        <f t="shared" ref="T4:T11" si="12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 t="shared" ref="AP4:AP11" si="13">IF(SUM(V4,Z4)&gt;0,SUM(V4,Z4),"")</f>
        <v>14.7</v>
      </c>
      <c r="AQ4" s="40">
        <f t="shared" ref="AQ4:AQ11" si="14">IF(SUM(U4:V4,X4:Z4,AB4)-W4-AA4&gt;0,SUM(U4:V4,X4:Z4,AB4)-W4-AA4,"")</f>
        <v>51.7</v>
      </c>
      <c r="AR4" s="40">
        <f t="shared" ref="AR4:AR11" si="15">IF(SUM(AC4:AD4,AF4)-AE4&gt;0,SUM(AC4:AD4,AF4)-AE4,"")</f>
        <v>28.5</v>
      </c>
      <c r="AS4" s="40">
        <f t="shared" ref="AS4:AS11" si="16">IF(SUM(V4,Z4,AD4)&gt;0,SUM(V4,Z4,AD4),"")</f>
        <v>24</v>
      </c>
      <c r="AT4" s="40">
        <f t="shared" ref="AT4:AT11" si="17">IF(SUM(AQ4,AR4)&gt;0,SUM(AQ4,AR4),"")</f>
        <v>80.2</v>
      </c>
      <c r="AU4" s="40">
        <f t="shared" ref="AU4:AU11" si="18">IF(SUM(AH4,AL4)&gt;0,SUM(AH4,AL4),"")</f>
        <v>15.899999999999999</v>
      </c>
      <c r="AV4" s="40">
        <f t="shared" ref="AV4:AV11" si="19">IF(SUM(AG4:AH4,AJ4:AL4,AN4)-SUM(AI4,AM4)&gt;0,SUM(AG4:AH4,AJ4:AL4,AN4)-SUM(AI4,AM4),"")</f>
        <v>52.900000000000006</v>
      </c>
      <c r="AW4" s="40">
        <f t="shared" ref="AW4:AW11" si="20"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 t="shared" ref="BS4:BS11" si="21">IF(SUM(AY4,BC4)&gt;0,SUM(AY4,BC4),"")</f>
        <v>15</v>
      </c>
      <c r="BT4" s="11">
        <f t="shared" ref="BT4:BT11" si="22">IF(SUM(AX4:AY4,BA4:BC4,BE4)-AZ4-BD4&gt;0,SUM(AX4:AY4,BA4:BC4,BE4)-AZ4-BD4,"")</f>
        <v>51.8</v>
      </c>
      <c r="BU4" s="11">
        <f t="shared" ref="BU4:BU11" si="23">IF(SUM(BF4:BG4,BI4)-BH4&gt;0,SUM(BF4:BG4,BI4)-BH4,"")</f>
        <v>26.099999999999998</v>
      </c>
      <c r="BV4" s="11">
        <f t="shared" ref="BV4:BV11" si="24">IF(SUM(AY4,BC4,BG4)&gt;0,SUM(AY4,BC4,BG4),"")</f>
        <v>22.7</v>
      </c>
      <c r="BW4" s="11">
        <f t="shared" ref="BW4:BW11" si="25">IF(SUM(BT4,BU4)&gt;0,SUM(BT4,BU4),"")</f>
        <v>77.899999999999991</v>
      </c>
      <c r="BX4" s="11">
        <f t="shared" ref="BX4:BX11" si="26">IF(SUM(BK4,BO4)&gt;0,SUM(BK4,BO4),"")</f>
        <v>13.8</v>
      </c>
      <c r="BY4" s="11">
        <f t="shared" ref="BY4:BY11" si="27">IF(SUM(BJ4:BK4,BM4:BO4,BQ4)-SUM(BL4,BP4)&gt;0,SUM(BJ4:BK4,BM4:BO4,BQ4)-SUM(BL4,BP4),"")</f>
        <v>51</v>
      </c>
      <c r="BZ4" s="11">
        <f t="shared" ref="BZ4:BZ11" si="28">IF(SUM(BT4,BU4,BY4)&gt;0,SUM(BT4,BU4,BY4),"")</f>
        <v>128.89999999999998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27"/>
      <c r="CV4" s="40" t="str">
        <f t="shared" ref="CV4:CV11" si="29">IF(SUM(CB4,CF4)&gt;0,SUM(CB4,CF4),"")</f>
        <v/>
      </c>
      <c r="CW4" s="40" t="str">
        <f t="shared" ref="CW4:CW11" si="30">IF(SUM(CA4:CB4,CD4:CF4,CH4)-CC4-CG4&gt;0,SUM(CA4:CB4,CD4:CF4,CH4)-CC4-CG4,"")</f>
        <v/>
      </c>
      <c r="CX4" s="40" t="str">
        <f t="shared" ref="CX4:CX11" si="31">IF(SUM(CI4:CJ4,CL4)-CK4&gt;0,SUM(CI4:CJ4,CL4)-CK4,"")</f>
        <v/>
      </c>
      <c r="CY4" s="40" t="str">
        <f t="shared" ref="CY4:CY11" si="32">IF(SUM(CB4,CF4,CJ4)&gt;0,SUM(CB4,CF4,CJ4),"")</f>
        <v/>
      </c>
      <c r="CZ4" s="40" t="str">
        <f t="shared" ref="CZ4:CZ11" si="33">IF(SUM(CW4,CX4)&gt;0,SUM(CW4,CX4),"")</f>
        <v/>
      </c>
      <c r="DA4" s="40" t="str">
        <f t="shared" ref="DA4:DA11" si="34">IF(SUM(CN4,CR4)&gt;0,SUM(CN4,CR4),"")</f>
        <v/>
      </c>
      <c r="DB4" s="40" t="str">
        <f t="shared" ref="DB4:DB11" si="35">IF(SUM(CM4:CN4,CP4:CR4,CT4)-SUM(CO4,CS4)&gt;0,SUM(CM4:CN4,CP4:CR4,CT4)-SUM(CO4,CS4),"")</f>
        <v/>
      </c>
      <c r="DC4" s="40" t="str">
        <f t="shared" ref="DC4:DC11" si="36">IF(SUM(CW4,CX4,DB4)&gt;0,SUM(CW4,CX4,DB4),"")</f>
        <v/>
      </c>
      <c r="DD4" s="51" t="str">
        <f t="shared" ref="DD4:DD11" si="37">IF(MAX(EB4,FD4,GF4,HH4,IJ4,JL4,KN4,LP4,MR4,NT4,OV4,PX4,QZ4,SB4,TD4)-IF(L4="",0,L4)&gt;0.001,MAX(EB4,FD4,GF4,HH4,IJ4,JL4,KN4,LP4,MR4,NT4,OV4,PX4,QZ4,SB4,TD4)-IF(L4="",0,L4),"")</f>
        <v/>
      </c>
      <c r="DE4" s="51" t="str">
        <f t="shared" ref="DE4:DE11" si="38">IF(MAX(EC4,FE4,GG4,HI4,IK4,JM4,KO4,LQ4,MS4,NU4,OW4,PY4,RA4,SC4,TE4)-IF(N4="",0,N4)&gt;0.001,MAX(EC4,FE4,GG4,HI4,IK4,JM4,KO4,LQ4,MS4,NU4,OW4,PY4,RA4,SC4,TE4)-IF(N4="",0,N4),"")</f>
        <v/>
      </c>
      <c r="DF4" s="51" t="str">
        <f t="shared" ref="DF4:DF11" si="39"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11" si="40">IF(SUM(DH4,DL4)&gt;0,SUM(DH4,DL4),"")</f>
        <v/>
      </c>
      <c r="EB4" s="40" t="str">
        <f t="shared" ref="EB4:EB11" si="41">IF(SUM(DG4:DH4,DJ4:DL4,DN4)-DI4-DM4&gt;0,SUM(DG4:DH4,DJ4:DL4,DN4)-DI4-DM4,"")</f>
        <v/>
      </c>
      <c r="EC4" s="40" t="str">
        <f t="shared" ref="EC4:EC11" si="42">IF(SUM(DO4:DP4,DR4)-DQ4&gt;0,SUM(DO4:DP4,DR4)-DQ4,"")</f>
        <v/>
      </c>
      <c r="ED4" s="40" t="str">
        <f t="shared" ref="ED4:ED11" si="43">IF(SUM(DH4,DL4,DP4)&gt;0,SUM(DH4,DL4,DP4),"")</f>
        <v/>
      </c>
      <c r="EE4" s="40" t="str">
        <f t="shared" ref="EE4:EE11" si="44">IF(SUM(EB4,EC4)&gt;0,SUM(EB4,EC4),"")</f>
        <v/>
      </c>
      <c r="EF4" s="40" t="str">
        <f t="shared" ref="EF4:EF11" si="45">IF(SUM(DT4,DX4)&gt;0,SUM(DT4,DX4),"")</f>
        <v/>
      </c>
      <c r="EG4" s="40" t="str">
        <f t="shared" ref="EG4:EG11" si="46">IF(SUM(DS4:DT4,DV4:DX4,DZ4)-SUM(DU4,DY4)&gt;0,SUM(DS4:DT4,DV4:DX4,DZ4)-SUM(DU4,DY4),"")</f>
        <v/>
      </c>
      <c r="EH4" s="40" t="str">
        <f t="shared" ref="EH4:EH11" si="47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1" si="48">IF(SUM(EJ4,EN4)&gt;0,SUM(EJ4,EN4),"")</f>
        <v/>
      </c>
      <c r="FD4" s="11" t="str">
        <f t="shared" ref="FD4:FD11" si="49">IF(SUM(EI4:EJ4,EL4:EN4,EP4)-EK4-EO4&gt;0,SUM(EI4:EJ4,EL4:EN4,EP4)-EK4-EO4,"")</f>
        <v/>
      </c>
      <c r="FE4" s="11" t="str">
        <f t="shared" ref="FE4:FE11" si="50">IF(SUM(EQ4:ER4,ET4)-ES4&gt;0,SUM(EQ4:ER4,ET4)-ES4,"")</f>
        <v/>
      </c>
      <c r="FF4" s="11" t="str">
        <f t="shared" ref="FF4:FF11" si="51">IF(SUM(EJ4,EN4,ER4)&gt;0,SUM(EJ4,EN4,ER4),"")</f>
        <v/>
      </c>
      <c r="FG4" s="11" t="str">
        <f t="shared" ref="FG4:FG11" si="52">IF(SUM(FD4,FE4)&gt;0,SUM(FD4,FE4),"")</f>
        <v/>
      </c>
      <c r="FH4" s="11" t="str">
        <f t="shared" ref="FH4:FH11" si="53">IF(SUM(EV4,EZ4)&gt;0,SUM(EV4,EZ4),"")</f>
        <v/>
      </c>
      <c r="FI4" s="11" t="str">
        <f t="shared" ref="FI4:FI11" si="54">IF(SUM(EU4:EV4,EX4:EZ4,FB4)-SUM(EW4,FA4)&gt;0,SUM(EU4:EV4,EX4:EZ4,FB4)-SUM(EW4,FA4),"")</f>
        <v/>
      </c>
      <c r="FJ4" s="11" t="str">
        <f t="shared" ref="FJ4:FJ11" si="55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1" si="56">IF(SUM(FL4,FP4)&gt;0,SUM(FL4,FP4),"")</f>
        <v/>
      </c>
      <c r="GF4" s="40" t="str">
        <f t="shared" ref="GF4:GF11" si="57">IF(SUM(FK4:FL4,FN4:FP4,FR4)-FM4-FQ4&gt;0,SUM(FK4:FL4,FN4:FP4,FR4)-FM4-FQ4,"")</f>
        <v/>
      </c>
      <c r="GG4" s="40" t="str">
        <f t="shared" ref="GG4:GG11" si="58">IF(SUM(FS4:FT4,FV4)-FU4&gt;0,SUM(FS4:FT4,FV4)-FU4,"")</f>
        <v/>
      </c>
      <c r="GH4" s="40" t="str">
        <f t="shared" ref="GH4:GH11" si="59">IF(SUM(FL4,FP4,FT4)&gt;0,SUM(FL4,FP4,FT4),"")</f>
        <v/>
      </c>
      <c r="GI4" s="40" t="str">
        <f t="shared" ref="GI4:GI11" si="60">IF(SUM(GF4,GG4)&gt;0,SUM(GF4,GG4),"")</f>
        <v/>
      </c>
      <c r="GJ4" s="40" t="str">
        <f t="shared" ref="GJ4:GJ11" si="61">IF(SUM(FX4,GB4)&gt;0,SUM(FX4,GB4),"")</f>
        <v/>
      </c>
      <c r="GK4" s="40" t="str">
        <f t="shared" ref="GK4:GK11" si="62">IF(SUM(FW4:FX4,FZ4:GB4,GD4)-SUM(FY4,GC4)&gt;0,SUM(FW4:FX4,FZ4:GB4,GD4)-SUM(FY4,GC4),"")</f>
        <v/>
      </c>
      <c r="GL4" s="40" t="str">
        <f t="shared" ref="GL4:GL11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11" si="72">IF(SUM(HP4,HT4)&gt;0,SUM(HP4,HT4),"")</f>
        <v/>
      </c>
      <c r="IJ4" s="40" t="str">
        <f t="shared" ref="IJ4:IJ11" si="73">IF(SUM(HO4:HP4,HR4:HT4,HV4)-HQ4-HU4&gt;0,SUM(HO4:HP4,HR4:HT4,HV4)-HQ4-HU4,"")</f>
        <v/>
      </c>
      <c r="IK4" s="40" t="str">
        <f t="shared" ref="IK4:IK11" si="74">IF(SUM(HW4:HX4,HZ4)-HY4&gt;0,SUM(HW4:HX4,HZ4)-HY4,"")</f>
        <v/>
      </c>
      <c r="IL4" s="40" t="str">
        <f t="shared" ref="IL4:IL11" si="75">IF(SUM(HP4,HT4,HX4)&gt;0,SUM(HP4,HT4,HX4),"")</f>
        <v/>
      </c>
      <c r="IM4" s="40" t="str">
        <f t="shared" ref="IM4:IM11" si="76">IF(SUM(IJ4,IK4)&gt;0,SUM(IJ4,IK4),"")</f>
        <v/>
      </c>
      <c r="IN4" s="40" t="str">
        <f t="shared" ref="IN4:IN11" si="77">IF(SUM(IB4,IF4)&gt;0,SUM(IB4,IF4),"")</f>
        <v/>
      </c>
      <c r="IO4" s="40" t="str">
        <f t="shared" ref="IO4:IO11" si="78">IF(SUM(IA4:IB4,ID4:IF4,IH4)-SUM(IC4,IG4)&gt;0,SUM(IA4:IB4,ID4:IF4,IH4)-SUM(IC4,IG4),"")</f>
        <v/>
      </c>
      <c r="IP4" s="40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11" si="88">IF(SUM(JT4,JX4)&gt;0,SUM(JT4,JX4),"")</f>
        <v/>
      </c>
      <c r="KN4" s="40" t="str">
        <f t="shared" ref="KN4:KN11" si="89">IF(SUM(JS4:JT4,JV4:JX4,JZ4)-JU4-JY4&gt;0,SUM(JS4:JT4,JV4:JX4,JZ4)-JU4-JY4,"")</f>
        <v/>
      </c>
      <c r="KO4" s="40" t="str">
        <f t="shared" ref="KO4:KO11" si="90">IF(SUM(KA4:KB4,KD4)-KC4&gt;0,SUM(KA4:KB4,KD4)-KC4,"")</f>
        <v/>
      </c>
      <c r="KP4" s="40" t="str">
        <f t="shared" ref="KP4:KP11" si="91">IF(SUM(JT4,JX4,KB4)&gt;0,SUM(JT4,JX4,KB4),"")</f>
        <v/>
      </c>
      <c r="KQ4" s="40" t="str">
        <f t="shared" ref="KQ4:KQ11" si="92">IF(SUM(KN4,KO4)&gt;0,SUM(KN4,KO4),"")</f>
        <v/>
      </c>
      <c r="KR4" s="40" t="str">
        <f t="shared" ref="KR4:KR11" si="93">IF(SUM(KF4,KJ4)&gt;0,SUM(KF4,KJ4),"")</f>
        <v/>
      </c>
      <c r="KS4" s="40" t="str">
        <f t="shared" ref="KS4:KS11" si="94">IF(SUM(KE4:KF4,KH4:KJ4,KL4)-SUM(KG4,KK4)&gt;0,SUM(KE4:KF4,KH4:KJ4,KL4)-SUM(KG4,KK4),"")</f>
        <v/>
      </c>
      <c r="KT4" s="40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1" si="104">IF(SUM(LX4,MB4)&gt;0,SUM(LX4,MB4),"")</f>
        <v/>
      </c>
      <c r="MR4" s="40" t="str">
        <f t="shared" ref="MR4:MR11" si="105">IF(SUM(LW4:LX4,LZ4:MB4,MD4)-LY4-MC4&gt;0,SUM(LW4:LX4,LZ4:MB4,MD4)-LY4-MC4,"")</f>
        <v/>
      </c>
      <c r="MS4" s="40" t="str">
        <f t="shared" ref="MS4:MS11" si="106">IF(SUM(ME4:MF4,MH4)-MG4&gt;0,SUM(ME4:MF4,MH4)-MG4,"")</f>
        <v/>
      </c>
      <c r="MT4" s="40" t="str">
        <f t="shared" ref="MT4:MT11" si="107">IF(SUM(LX4,MB4,MF4)&gt;0,SUM(LX4,MB4,MF4),"")</f>
        <v/>
      </c>
      <c r="MU4" s="40" t="str">
        <f t="shared" ref="MU4:MU11" si="108">IF(SUM(MR4,MS4)&gt;0,SUM(MR4,MS4),"")</f>
        <v/>
      </c>
      <c r="MV4" s="40" t="str">
        <f t="shared" ref="MV4:MV11" si="109">IF(SUM(MJ4,MN4)&gt;0,SUM(MJ4,MN4),"")</f>
        <v/>
      </c>
      <c r="MW4" s="40" t="str">
        <f t="shared" ref="MW4:MW11" si="110">IF(SUM(MI4:MJ4,ML4:MN4,MP4)-SUM(MK4,MO4)&gt;0,SUM(MI4:MJ4,ML4:MN4,MP4)-SUM(MK4,MO4),"")</f>
        <v/>
      </c>
      <c r="MX4" s="40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1" si="120">IF(SUM(OB4,OF4)&gt;0,SUM(OB4,OF4),"")</f>
        <v/>
      </c>
      <c r="OV4" s="40" t="str">
        <f t="shared" ref="OV4:OV11" si="121">IF(SUM(OA4:OB4,OD4:OF4,OH4)-OC4-OG4&gt;0,SUM(OA4:OB4,OD4:OF4,OH4)-OC4-OG4,"")</f>
        <v/>
      </c>
      <c r="OW4" s="40" t="str">
        <f t="shared" ref="OW4:OW11" si="122">IF(SUM(OI4:OJ4,OL4)-OK4&gt;0,SUM(OI4:OJ4,OL4)-OK4,"")</f>
        <v/>
      </c>
      <c r="OX4" s="40" t="str">
        <f t="shared" ref="OX4:OX11" si="123">IF(SUM(OB4,OF4,OJ4)&gt;0,SUM(OB4,OF4,OJ4),"")</f>
        <v/>
      </c>
      <c r="OY4" s="40" t="str">
        <f t="shared" ref="OY4:OY11" si="124">IF(SUM(OV4,OW4)&gt;0,SUM(OV4,OW4),"")</f>
        <v/>
      </c>
      <c r="OZ4" s="40" t="str">
        <f t="shared" ref="OZ4:OZ11" si="125">IF(SUM(ON4,OR4)&gt;0,SUM(ON4,OR4),"")</f>
        <v/>
      </c>
      <c r="PA4" s="40" t="str">
        <f t="shared" ref="PA4:PA11" si="126">IF(SUM(OM4:ON4,OP4:OR4,OT4)-SUM(OO4,OS4)&gt;0,SUM(OM4:ON4,OP4:OR4,OT4)-SUM(OO4,OS4),"")</f>
        <v/>
      </c>
      <c r="PB4" s="40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11" si="136">IF(SUM(QF4,QJ4)&gt;0,SUM(QF4,QJ4),"")</f>
        <v/>
      </c>
      <c r="QZ4" s="40" t="str">
        <f t="shared" ref="QZ4:QZ11" si="137">IF(SUM(QE4:QF4,QH4:QJ4,QL4)-QG4-QK4&gt;0,SUM(QE4:QF4,QH4:QJ4,QL4)-QG4-QK4,"")</f>
        <v/>
      </c>
      <c r="RA4" s="40" t="str">
        <f t="shared" ref="RA4:RA11" si="138">IF(SUM(QM4:QN4,QP4)-QO4&gt;0,SUM(QM4:QN4,QP4)-QO4,"")</f>
        <v/>
      </c>
      <c r="RB4" s="40" t="str">
        <f t="shared" ref="RB4:RB11" si="139">IF(SUM(QF4,QJ4,QN4)&gt;0,SUM(QF4,QJ4,QN4),"")</f>
        <v/>
      </c>
      <c r="RC4" s="40" t="str">
        <f t="shared" ref="RC4:RC11" si="140">IF(SUM(QZ4,RA4)&gt;0,SUM(QZ4,RA4),"")</f>
        <v/>
      </c>
      <c r="RD4" s="40" t="str">
        <f t="shared" ref="RD4:RD11" si="141">IF(SUM(QR4,QV4)&gt;0,SUM(QR4,QV4),"")</f>
        <v/>
      </c>
      <c r="RE4" s="40" t="str">
        <f t="shared" ref="RE4:RE11" si="142">IF(SUM(QQ4:QR4,QT4:QV4,QX4)-SUM(QS4,QW4)&gt;0,SUM(QQ4:QR4,QT4:QV4,QX4)-SUM(QS4,QW4),"")</f>
        <v/>
      </c>
      <c r="RF4" s="40" t="str">
        <f t="shared" ref="RF4:RF11" si="143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11" si="144">IF(SUM(RH4,RL4)&gt;0,SUM(RH4,RL4),"")</f>
        <v/>
      </c>
      <c r="SB4" s="11" t="str">
        <f t="shared" ref="SB4:SB11" si="145">IF(SUM(RG4:RH4,RJ4:RL4,RN4)-RI4-RM4&gt;0,SUM(RG4:RH4,RJ4:RL4,RN4)-RI4-RM4,"")</f>
        <v/>
      </c>
      <c r="SC4" s="11" t="str">
        <f t="shared" ref="SC4:SC11" si="146">IF(SUM(RO4:RP4,RR4)-RQ4&gt;0,SUM(RO4:RP4,RR4)-RQ4,"")</f>
        <v/>
      </c>
      <c r="SD4" s="11" t="str">
        <f t="shared" ref="SD4:SD11" si="147">IF(SUM(RH4,RL4,RP4)&gt;0,SUM(RH4,RL4,RP4),"")</f>
        <v/>
      </c>
      <c r="SE4" s="11" t="str">
        <f t="shared" ref="SE4:SE11" si="148">IF(SUM(SB4,SC4)&gt;0,SUM(SB4,SC4),"")</f>
        <v/>
      </c>
      <c r="SF4" s="11" t="str">
        <f t="shared" ref="SF4:SF11" si="149">IF(SUM(RT4,RX4)&gt;0,SUM(RT4,RX4),"")</f>
        <v/>
      </c>
      <c r="SG4" s="11" t="str">
        <f t="shared" ref="SG4:SG11" si="150">IF(SUM(RS4:RT4,RV4:RX4,RZ4)-SUM(RU4,RY4)&gt;0,SUM(RS4:RT4,RV4:RX4,RZ4)-SUM(RU4,RY4),"")</f>
        <v/>
      </c>
      <c r="SH4" s="11" t="str">
        <f t="shared" ref="SH4:SH11" si="151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11" si="152">IF(SUM(SJ4,SN4)&gt;0,SUM(SJ4,SN4),"")</f>
        <v/>
      </c>
      <c r="TD4" s="40" t="str">
        <f t="shared" ref="TD4:TD11" si="153">IF(SUM(SI4:SJ4,SL4:SN4,SP4)-SK4-SO4&gt;0,SUM(SI4:SJ4,SL4:SN4,SP4)-SK4-SO4,"")</f>
        <v/>
      </c>
      <c r="TE4" s="40" t="str">
        <f t="shared" ref="TE4:TE11" si="154">IF(SUM(SQ4:SR4,ST4)-SS4&gt;0,SUM(SQ4:SR4,ST4)-SS4,"")</f>
        <v/>
      </c>
      <c r="TF4" s="40" t="str">
        <f t="shared" ref="TF4:TF11" si="155">IF(SUM(SJ4,SN4,SR4)&gt;0,SUM(SJ4,SN4,SR4),"")</f>
        <v/>
      </c>
      <c r="TG4" s="40" t="str">
        <f t="shared" ref="TG4:TG11" si="156">IF(SUM(TD4,TE4)&gt;0,SUM(TD4,TE4),"")</f>
        <v/>
      </c>
      <c r="TH4" s="40" t="str">
        <f t="shared" ref="TH4:TH11" si="157">IF(SUM(SV4,SZ4)&gt;0,SUM(SV4,SZ4),"")</f>
        <v/>
      </c>
      <c r="TI4" s="40" t="str">
        <f t="shared" ref="TI4:TI11" si="158">IF(SUM(SU4:SV4,SX4:SZ4,TB4)-SUM(SW4,TA4)&gt;0,SUM(SU4:SV4,SX4:SZ4,TB4)-SUM(SW4,TA4),"")</f>
        <v/>
      </c>
      <c r="TJ4" s="40" t="str">
        <f t="shared" ref="TJ4:TJ11" si="159">IF(SUM(TD4,TE4,TI4)&gt;0,SUM(TD4,TE4,TI4),"")</f>
        <v/>
      </c>
      <c r="TK4" s="26">
        <f t="shared" ref="TK4:TT11" si="160">IF($CU4="P",CA4,(CA4+AX4)/2)</f>
        <v>9.3000000000000007</v>
      </c>
      <c r="TL4" s="26">
        <f t="shared" si="160"/>
        <v>4.25</v>
      </c>
      <c r="TM4" s="26">
        <f t="shared" si="160"/>
        <v>0</v>
      </c>
      <c r="TN4" s="26">
        <f t="shared" si="160"/>
        <v>0</v>
      </c>
      <c r="TO4" s="26">
        <f t="shared" si="160"/>
        <v>9.1</v>
      </c>
      <c r="TP4" s="26">
        <f t="shared" si="160"/>
        <v>3.25</v>
      </c>
      <c r="TQ4" s="26">
        <f t="shared" si="160"/>
        <v>0</v>
      </c>
      <c r="TR4" s="26">
        <f t="shared" si="160"/>
        <v>0</v>
      </c>
      <c r="TS4" s="26">
        <f t="shared" si="160"/>
        <v>9.1999999999999993</v>
      </c>
      <c r="TT4" s="26">
        <f t="shared" si="160"/>
        <v>3.85</v>
      </c>
      <c r="TU4" s="26">
        <f t="shared" ref="TU4:UD11" si="161">IF($CU4="P",CK4,(CK4+BH4)/2)</f>
        <v>0</v>
      </c>
      <c r="TV4" s="26">
        <f t="shared" si="161"/>
        <v>0</v>
      </c>
      <c r="TW4" s="26">
        <f t="shared" si="161"/>
        <v>9.3000000000000007</v>
      </c>
      <c r="TX4" s="26">
        <f t="shared" si="161"/>
        <v>3.45</v>
      </c>
      <c r="TY4" s="26">
        <f t="shared" si="161"/>
        <v>0</v>
      </c>
      <c r="TZ4" s="26">
        <f t="shared" si="161"/>
        <v>0</v>
      </c>
      <c r="UA4" s="26">
        <f t="shared" si="161"/>
        <v>9.3000000000000007</v>
      </c>
      <c r="UB4" s="26">
        <f t="shared" si="161"/>
        <v>3.45</v>
      </c>
      <c r="UC4" s="26">
        <f t="shared" si="161"/>
        <v>0</v>
      </c>
      <c r="UD4" s="26">
        <f t="shared" si="161"/>
        <v>0</v>
      </c>
      <c r="UE4" s="28" t="s">
        <v>53</v>
      </c>
      <c r="UF4" s="11">
        <f t="shared" ref="UF4:UF11" si="162">IF(SUM(TL4,TP4)&gt;0,SUM(TL4,TP4),"")</f>
        <v>7.5</v>
      </c>
      <c r="UG4" s="11">
        <f t="shared" ref="UG4:UG11" si="163">IF(SUM(TK4:TL4,TN4:TP4,TR4)-TM4-TQ4&gt;0,SUM(TK4:TL4,TN4:TP4,TR4)-TM4-TQ4,"")</f>
        <v>25.9</v>
      </c>
      <c r="UH4" s="11">
        <f t="shared" ref="UH4:UH11" si="164">IF(SUM(TS4:TT4,TV4)-TU4&gt;0,SUM(TS4:TT4,TV4)-TU4,"")</f>
        <v>13.049999999999999</v>
      </c>
      <c r="UI4" s="11">
        <f t="shared" ref="UI4:UI11" si="165">IF(SUM(TL4,TP4,TT4)&gt;0,SUM(TL4,TP4,TT4),"")</f>
        <v>11.35</v>
      </c>
      <c r="UJ4" s="11">
        <f t="shared" ref="UJ4:UJ11" si="166">IF(SUM(UG4,UH4)&gt;0,SUM(UG4,UH4),"")</f>
        <v>38.949999999999996</v>
      </c>
      <c r="UK4" s="11">
        <f t="shared" ref="UK4:UK11" si="167">IF(SUM(TX4,UB4)&gt;0,SUM(TX4,UB4),"")</f>
        <v>6.9</v>
      </c>
      <c r="UL4" s="11">
        <f t="shared" ref="UL4:UL11" si="168">IF(SUM(TW4:TX4,TZ4:UB4,UD4)-SUM(TY4,UC4)&gt;0,SUM(TW4:TX4,TZ4:UB4,UD4)-SUM(TY4,UC4),"")</f>
        <v>25.5</v>
      </c>
      <c r="UM4" s="11">
        <f t="shared" ref="UM4:UM11" si="169">IF(SUM(UG4,UH4,UL4)&gt;0,SUM(UG4,UH4,UL4),"")</f>
        <v>64.449999999999989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181</v>
      </c>
      <c r="C5" s="4" t="s">
        <v>7</v>
      </c>
      <c r="D5" s="4">
        <v>2006</v>
      </c>
      <c r="E5" s="9">
        <f t="shared" si="0"/>
        <v>174.90001197000495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IF(COUNT(AQ5,BT5,CW5)&gt;0,LARGE((AQ5,BT5,CW5),1),0)</f>
        <v>49.4</v>
      </c>
      <c r="K5" s="8" t="str">
        <f t="shared" si="5"/>
        <v>2024 Nationals</v>
      </c>
      <c r="L5" s="8">
        <f>IF(COUNT(AQ5,BT5,CW5)&gt;1,LARGE((AQ5,BT5,CW5),2),0)</f>
        <v>45.1</v>
      </c>
      <c r="M5" s="8" t="str">
        <f t="shared" si="6"/>
        <v>2024 Elite Canada</v>
      </c>
      <c r="N5" s="8">
        <f>IF(COUNT(AR5,BU5,CX5)&gt;0,LARGE((AR5,BU5,CX5),1),0)</f>
        <v>25.2</v>
      </c>
      <c r="O5" s="8" t="str">
        <f t="shared" si="7"/>
        <v>2024 Nationals</v>
      </c>
      <c r="P5" s="8">
        <f t="shared" si="8"/>
        <v>50.4</v>
      </c>
      <c r="Q5" s="8" t="str">
        <f t="shared" si="9"/>
        <v>2024 Nationals</v>
      </c>
      <c r="R5" s="8">
        <f t="shared" si="10"/>
        <v>4.8000000000000043</v>
      </c>
      <c r="S5" s="11" t="str">
        <f t="shared" si="11"/>
        <v>(Q1)</v>
      </c>
      <c r="T5" s="8" t="str">
        <f t="shared" si="12"/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 t="shared" si="13"/>
        <v>10.6</v>
      </c>
      <c r="AQ5" s="40">
        <f t="shared" si="14"/>
        <v>45.1</v>
      </c>
      <c r="AR5" s="40">
        <f t="shared" si="15"/>
        <v>23.249999999999996</v>
      </c>
      <c r="AS5" s="40">
        <f t="shared" si="16"/>
        <v>16.100000000000001</v>
      </c>
      <c r="AT5" s="40">
        <f t="shared" si="17"/>
        <v>68.349999999999994</v>
      </c>
      <c r="AU5" s="40">
        <f t="shared" si="18"/>
        <v>11.3</v>
      </c>
      <c r="AV5" s="40">
        <f t="shared" si="19"/>
        <v>46.8</v>
      </c>
      <c r="AW5" s="40">
        <f t="shared" si="20"/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 t="shared" si="21"/>
        <v>13.7</v>
      </c>
      <c r="BT5" s="11">
        <f t="shared" si="22"/>
        <v>49.4</v>
      </c>
      <c r="BU5" s="11">
        <f t="shared" si="23"/>
        <v>25.2</v>
      </c>
      <c r="BV5" s="11">
        <f t="shared" si="24"/>
        <v>20.799999999999997</v>
      </c>
      <c r="BW5" s="11">
        <f t="shared" si="25"/>
        <v>74.599999999999994</v>
      </c>
      <c r="BX5" s="11">
        <f t="shared" si="26"/>
        <v>13.7</v>
      </c>
      <c r="BY5" s="11">
        <f t="shared" si="27"/>
        <v>50.4</v>
      </c>
      <c r="BZ5" s="11">
        <f t="shared" si="28"/>
        <v>125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 t="shared" si="29"/>
        <v/>
      </c>
      <c r="CW5" s="40" t="str">
        <f t="shared" si="30"/>
        <v/>
      </c>
      <c r="CX5" s="40" t="str">
        <f t="shared" si="31"/>
        <v/>
      </c>
      <c r="CY5" s="40" t="str">
        <f t="shared" si="32"/>
        <v/>
      </c>
      <c r="CZ5" s="40" t="str">
        <f t="shared" si="33"/>
        <v/>
      </c>
      <c r="DA5" s="40" t="str">
        <f t="shared" si="34"/>
        <v/>
      </c>
      <c r="DB5" s="40" t="str">
        <f t="shared" si="35"/>
        <v/>
      </c>
      <c r="DC5" s="40" t="str">
        <f t="shared" si="36"/>
        <v/>
      </c>
      <c r="DD5" s="51">
        <f t="shared" si="37"/>
        <v>4.8000000000000043</v>
      </c>
      <c r="DE5" s="51" t="str">
        <f t="shared" si="38"/>
        <v/>
      </c>
      <c r="DF5" s="51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8"/>
        <v>14.8</v>
      </c>
      <c r="FD5" s="11">
        <f t="shared" si="49"/>
        <v>49.900000000000006</v>
      </c>
      <c r="FE5" s="11" t="str">
        <f t="shared" si="50"/>
        <v/>
      </c>
      <c r="FF5" s="11">
        <f t="shared" si="51"/>
        <v>14.8</v>
      </c>
      <c r="FG5" s="11">
        <f t="shared" si="52"/>
        <v>49.900000000000006</v>
      </c>
      <c r="FH5" s="11" t="str">
        <f t="shared" si="53"/>
        <v/>
      </c>
      <c r="FI5" s="11" t="str">
        <f t="shared" si="54"/>
        <v/>
      </c>
      <c r="FJ5" s="11">
        <f t="shared" si="55"/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6"/>
        <v/>
      </c>
      <c r="QZ5" s="40" t="str">
        <f t="shared" si="137"/>
        <v/>
      </c>
      <c r="RA5" s="40" t="str">
        <f t="shared" si="138"/>
        <v/>
      </c>
      <c r="RB5" s="40" t="str">
        <f t="shared" si="139"/>
        <v/>
      </c>
      <c r="RC5" s="40" t="str">
        <f t="shared" si="140"/>
        <v/>
      </c>
      <c r="RD5" s="40" t="str">
        <f t="shared" si="141"/>
        <v/>
      </c>
      <c r="RE5" s="40" t="str">
        <f t="shared" si="142"/>
        <v/>
      </c>
      <c r="RF5" s="40" t="str">
        <f t="shared" si="143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4"/>
        <v/>
      </c>
      <c r="SB5" s="11" t="str">
        <f t="shared" si="145"/>
        <v/>
      </c>
      <c r="SC5" s="11" t="str">
        <f t="shared" si="146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1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2"/>
        <v/>
      </c>
      <c r="TD5" s="40" t="str">
        <f t="shared" si="153"/>
        <v/>
      </c>
      <c r="TE5" s="40" t="str">
        <f t="shared" si="154"/>
        <v/>
      </c>
      <c r="TF5" s="40" t="str">
        <f t="shared" si="155"/>
        <v/>
      </c>
      <c r="TG5" s="40" t="str">
        <f t="shared" si="156"/>
        <v/>
      </c>
      <c r="TH5" s="40" t="str">
        <f t="shared" si="157"/>
        <v/>
      </c>
      <c r="TI5" s="40" t="str">
        <f t="shared" si="158"/>
        <v/>
      </c>
      <c r="TJ5" s="40" t="str">
        <f t="shared" si="159"/>
        <v/>
      </c>
      <c r="TK5" s="26">
        <f t="shared" si="160"/>
        <v>9.0500000000000007</v>
      </c>
      <c r="TL5" s="26">
        <f t="shared" si="160"/>
        <v>3.55</v>
      </c>
      <c r="TM5" s="26">
        <f t="shared" si="160"/>
        <v>0.1</v>
      </c>
      <c r="TN5" s="26">
        <f t="shared" si="160"/>
        <v>0</v>
      </c>
      <c r="TO5" s="26">
        <f t="shared" si="160"/>
        <v>8.9</v>
      </c>
      <c r="TP5" s="26">
        <f t="shared" si="160"/>
        <v>3.3</v>
      </c>
      <c r="TQ5" s="26">
        <f t="shared" si="160"/>
        <v>0</v>
      </c>
      <c r="TR5" s="26">
        <f t="shared" si="160"/>
        <v>0</v>
      </c>
      <c r="TS5" s="26">
        <f t="shared" si="160"/>
        <v>9.15</v>
      </c>
      <c r="TT5" s="26">
        <f t="shared" si="160"/>
        <v>3.55</v>
      </c>
      <c r="TU5" s="26">
        <f t="shared" si="161"/>
        <v>0.1</v>
      </c>
      <c r="TV5" s="26">
        <f t="shared" si="161"/>
        <v>0</v>
      </c>
      <c r="TW5" s="26">
        <f t="shared" si="161"/>
        <v>9.1999999999999993</v>
      </c>
      <c r="TX5" s="26">
        <f t="shared" si="161"/>
        <v>3.6</v>
      </c>
      <c r="TY5" s="26">
        <f t="shared" si="161"/>
        <v>0</v>
      </c>
      <c r="TZ5" s="26">
        <f t="shared" si="161"/>
        <v>0</v>
      </c>
      <c r="UA5" s="26">
        <f t="shared" si="161"/>
        <v>9.15</v>
      </c>
      <c r="UB5" s="26">
        <f t="shared" si="161"/>
        <v>3.25</v>
      </c>
      <c r="UC5" s="26">
        <f t="shared" si="161"/>
        <v>0</v>
      </c>
      <c r="UD5" s="26">
        <f t="shared" si="161"/>
        <v>0</v>
      </c>
      <c r="UE5" s="28" t="s">
        <v>53</v>
      </c>
      <c r="UF5" s="11">
        <f t="shared" si="162"/>
        <v>6.85</v>
      </c>
      <c r="UG5" s="11">
        <f t="shared" si="163"/>
        <v>24.7</v>
      </c>
      <c r="UH5" s="11">
        <f t="shared" si="164"/>
        <v>12.6</v>
      </c>
      <c r="UI5" s="11">
        <f t="shared" si="165"/>
        <v>10.399999999999999</v>
      </c>
      <c r="UJ5" s="11">
        <f t="shared" si="166"/>
        <v>37.299999999999997</v>
      </c>
      <c r="UK5" s="11">
        <f t="shared" si="167"/>
        <v>6.85</v>
      </c>
      <c r="UL5" s="11">
        <f t="shared" si="168"/>
        <v>25.2</v>
      </c>
      <c r="UM5" s="11">
        <f t="shared" si="169"/>
        <v>62.5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122</v>
      </c>
      <c r="C6" s="4" t="s">
        <v>5</v>
      </c>
      <c r="D6" s="4">
        <v>2004</v>
      </c>
      <c r="E6" s="9">
        <f t="shared" si="0"/>
        <v>169.7000109000048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IF(COUNT(AQ6,BT6,CW6)&gt;0,LARGE((AQ6,BT6,CW6),1),0)</f>
        <v>47.900000000000006</v>
      </c>
      <c r="K6" s="8" t="str">
        <f t="shared" si="5"/>
        <v>2024 Elite Canada</v>
      </c>
      <c r="L6" s="8">
        <f>IF(COUNT(AQ6,BT6,CW6)&gt;1,LARGE((AQ6,BT6,CW6),2),0)</f>
        <v>36.5</v>
      </c>
      <c r="M6" s="8" t="str">
        <f t="shared" si="6"/>
        <v>2024 Nationals</v>
      </c>
      <c r="N6" s="8">
        <f>IF(COUNT(AR6,BU6,CX6)&gt;0,LARGE((AR6,BU6,CX6),1),0)</f>
        <v>24.6</v>
      </c>
      <c r="O6" s="8" t="str">
        <f t="shared" si="7"/>
        <v>2024 Elite Canada</v>
      </c>
      <c r="P6" s="8">
        <f t="shared" si="8"/>
        <v>49</v>
      </c>
      <c r="Q6" s="8" t="str">
        <f t="shared" si="9"/>
        <v>2024 Elite Canada</v>
      </c>
      <c r="R6" s="8">
        <f t="shared" si="10"/>
        <v>11.699999999999996</v>
      </c>
      <c r="S6" s="11" t="str">
        <f t="shared" si="11"/>
        <v>(Q1)</v>
      </c>
      <c r="T6" s="8" t="str">
        <f t="shared" si="12"/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 t="shared" si="13"/>
        <v>12.9</v>
      </c>
      <c r="AQ6" s="40">
        <f t="shared" si="14"/>
        <v>47.900000000000006</v>
      </c>
      <c r="AR6" s="40">
        <f t="shared" si="15"/>
        <v>24.6</v>
      </c>
      <c r="AS6" s="40">
        <f t="shared" si="16"/>
        <v>19.399999999999999</v>
      </c>
      <c r="AT6" s="40">
        <f t="shared" si="17"/>
        <v>72.5</v>
      </c>
      <c r="AU6" s="40">
        <f t="shared" si="18"/>
        <v>13.8</v>
      </c>
      <c r="AV6" s="40">
        <f t="shared" si="19"/>
        <v>49</v>
      </c>
      <c r="AW6" s="40">
        <f t="shared" si="20"/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1"/>
        <v>6.1</v>
      </c>
      <c r="BT6" s="11">
        <f t="shared" si="22"/>
        <v>36.5</v>
      </c>
      <c r="BU6" s="11">
        <f t="shared" si="23"/>
        <v>22.6</v>
      </c>
      <c r="BV6" s="11">
        <f t="shared" si="24"/>
        <v>11.7</v>
      </c>
      <c r="BW6" s="11">
        <f t="shared" si="25"/>
        <v>59.1</v>
      </c>
      <c r="BX6" s="11" t="str">
        <f t="shared" si="26"/>
        <v/>
      </c>
      <c r="BY6" s="11" t="str">
        <f t="shared" si="27"/>
        <v/>
      </c>
      <c r="BZ6" s="11">
        <f t="shared" si="28"/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 t="shared" si="29"/>
        <v/>
      </c>
      <c r="CW6" s="40" t="str">
        <f t="shared" si="30"/>
        <v/>
      </c>
      <c r="CX6" s="40" t="str">
        <f t="shared" si="31"/>
        <v/>
      </c>
      <c r="CY6" s="40" t="str">
        <f t="shared" si="32"/>
        <v/>
      </c>
      <c r="CZ6" s="40" t="str">
        <f t="shared" si="33"/>
        <v/>
      </c>
      <c r="DA6" s="40" t="str">
        <f t="shared" si="34"/>
        <v/>
      </c>
      <c r="DB6" s="40" t="str">
        <f t="shared" si="35"/>
        <v/>
      </c>
      <c r="DC6" s="40" t="str">
        <f t="shared" si="36"/>
        <v/>
      </c>
      <c r="DD6" s="51">
        <f t="shared" si="37"/>
        <v>11.699999999999996</v>
      </c>
      <c r="DE6" s="51" t="str">
        <f t="shared" si="38"/>
        <v/>
      </c>
      <c r="DF6" s="51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13.8</v>
      </c>
      <c r="FD6" s="11">
        <f t="shared" si="49"/>
        <v>48.199999999999996</v>
      </c>
      <c r="FE6" s="11" t="str">
        <f t="shared" si="50"/>
        <v/>
      </c>
      <c r="FF6" s="11">
        <f t="shared" si="51"/>
        <v>13.8</v>
      </c>
      <c r="FG6" s="11">
        <f t="shared" si="52"/>
        <v>48.199999999999996</v>
      </c>
      <c r="FH6" s="11" t="str">
        <f t="shared" si="53"/>
        <v/>
      </c>
      <c r="FI6" s="11" t="str">
        <f t="shared" si="54"/>
        <v/>
      </c>
      <c r="FJ6" s="11">
        <f t="shared" si="55"/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6"/>
        <v/>
      </c>
      <c r="QZ6" s="40" t="str">
        <f t="shared" si="137"/>
        <v/>
      </c>
      <c r="RA6" s="40" t="str">
        <f t="shared" si="138"/>
        <v/>
      </c>
      <c r="RB6" s="40" t="str">
        <f t="shared" si="139"/>
        <v/>
      </c>
      <c r="RC6" s="40" t="str">
        <f t="shared" si="140"/>
        <v/>
      </c>
      <c r="RD6" s="40" t="str">
        <f t="shared" si="141"/>
        <v/>
      </c>
      <c r="RE6" s="40" t="str">
        <f t="shared" si="142"/>
        <v/>
      </c>
      <c r="RF6" s="40" t="str">
        <f t="shared" si="143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4"/>
        <v/>
      </c>
      <c r="SB6" s="11" t="str">
        <f t="shared" si="145"/>
        <v/>
      </c>
      <c r="SC6" s="11" t="str">
        <f t="shared" si="146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1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2"/>
        <v/>
      </c>
      <c r="TD6" s="40" t="str">
        <f t="shared" si="153"/>
        <v/>
      </c>
      <c r="TE6" s="40" t="str">
        <f t="shared" si="154"/>
        <v/>
      </c>
      <c r="TF6" s="40" t="str">
        <f t="shared" si="155"/>
        <v/>
      </c>
      <c r="TG6" s="40" t="str">
        <f t="shared" si="156"/>
        <v/>
      </c>
      <c r="TH6" s="40" t="str">
        <f t="shared" si="157"/>
        <v/>
      </c>
      <c r="TI6" s="40" t="str">
        <f t="shared" si="158"/>
        <v/>
      </c>
      <c r="TJ6" s="40" t="str">
        <f t="shared" si="159"/>
        <v/>
      </c>
      <c r="TK6" s="26">
        <f t="shared" si="160"/>
        <v>7.6</v>
      </c>
      <c r="TL6" s="26">
        <f t="shared" si="160"/>
        <v>1.7</v>
      </c>
      <c r="TM6" s="26">
        <f t="shared" si="160"/>
        <v>0</v>
      </c>
      <c r="TN6" s="26">
        <f t="shared" si="160"/>
        <v>0</v>
      </c>
      <c r="TO6" s="26">
        <f t="shared" si="160"/>
        <v>7.6</v>
      </c>
      <c r="TP6" s="26">
        <f t="shared" si="160"/>
        <v>1.35</v>
      </c>
      <c r="TQ6" s="26">
        <f t="shared" si="160"/>
        <v>0</v>
      </c>
      <c r="TR6" s="26">
        <f t="shared" si="160"/>
        <v>0</v>
      </c>
      <c r="TS6" s="26">
        <f t="shared" si="160"/>
        <v>8.6999999999999993</v>
      </c>
      <c r="TT6" s="26">
        <f t="shared" si="160"/>
        <v>2.8</v>
      </c>
      <c r="TU6" s="26">
        <f t="shared" si="161"/>
        <v>0.2</v>
      </c>
      <c r="TV6" s="26">
        <f t="shared" si="161"/>
        <v>0</v>
      </c>
      <c r="TW6" s="26">
        <f t="shared" si="161"/>
        <v>0</v>
      </c>
      <c r="TX6" s="26">
        <f t="shared" si="161"/>
        <v>0</v>
      </c>
      <c r="TY6" s="26">
        <f t="shared" si="161"/>
        <v>0</v>
      </c>
      <c r="TZ6" s="26">
        <f t="shared" si="161"/>
        <v>0</v>
      </c>
      <c r="UA6" s="26">
        <f t="shared" si="161"/>
        <v>0</v>
      </c>
      <c r="UB6" s="26">
        <f t="shared" si="161"/>
        <v>0</v>
      </c>
      <c r="UC6" s="26">
        <f t="shared" si="161"/>
        <v>0</v>
      </c>
      <c r="UD6" s="26">
        <f t="shared" si="161"/>
        <v>0</v>
      </c>
      <c r="UE6" s="28" t="s">
        <v>53</v>
      </c>
      <c r="UF6" s="11">
        <f t="shared" si="162"/>
        <v>3.05</v>
      </c>
      <c r="UG6" s="11">
        <f t="shared" si="163"/>
        <v>18.25</v>
      </c>
      <c r="UH6" s="11">
        <f t="shared" si="164"/>
        <v>11.3</v>
      </c>
      <c r="UI6" s="11">
        <f t="shared" si="165"/>
        <v>5.85</v>
      </c>
      <c r="UJ6" s="11">
        <f t="shared" si="166"/>
        <v>29.55</v>
      </c>
      <c r="UK6" s="11" t="str">
        <f t="shared" si="167"/>
        <v/>
      </c>
      <c r="UL6" s="11" t="str">
        <f t="shared" si="168"/>
        <v/>
      </c>
      <c r="UM6" s="11">
        <f t="shared" si="169"/>
        <v>29.55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120</v>
      </c>
      <c r="C7" s="4" t="s">
        <v>3</v>
      </c>
      <c r="D7" s="4">
        <v>2003</v>
      </c>
      <c r="E7" s="9">
        <f t="shared" si="0"/>
        <v>167.72501159000473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46.8</v>
      </c>
      <c r="K7" s="8" t="str">
        <f t="shared" si="5"/>
        <v>2024 Nationals</v>
      </c>
      <c r="L7" s="8">
        <f>IF(COUNT(AQ7,BT7,CW7)&gt;1,LARGE((AQ7,BT7,CW7),2),0)</f>
        <v>42.1</v>
      </c>
      <c r="M7" s="8" t="str">
        <f t="shared" si="6"/>
        <v>2024 Elite Canada</v>
      </c>
      <c r="N7" s="8">
        <f>IF(COUNT(AR7,BU7,CX7)&gt;0,LARGE((AR7,BU7,CX7),1),0)</f>
        <v>27</v>
      </c>
      <c r="O7" s="8" t="str">
        <f t="shared" si="7"/>
        <v>2024 Elite Canada</v>
      </c>
      <c r="P7" s="8">
        <f t="shared" si="8"/>
        <v>51.825000000000003</v>
      </c>
      <c r="Q7" s="8" t="str">
        <f t="shared" si="9"/>
        <v>2024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 t="shared" si="13"/>
        <v>8.8000000000000007</v>
      </c>
      <c r="AQ7" s="40">
        <f t="shared" si="14"/>
        <v>42.1</v>
      </c>
      <c r="AR7" s="40">
        <f t="shared" si="15"/>
        <v>27</v>
      </c>
      <c r="AS7" s="40">
        <f t="shared" si="16"/>
        <v>17.5</v>
      </c>
      <c r="AT7" s="40">
        <f t="shared" si="17"/>
        <v>69.099999999999994</v>
      </c>
      <c r="AU7" s="40">
        <f t="shared" si="18"/>
        <v>14.4</v>
      </c>
      <c r="AV7" s="40">
        <f t="shared" si="19"/>
        <v>50.300000000000004</v>
      </c>
      <c r="AW7" s="40">
        <f t="shared" si="20"/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 t="shared" si="21"/>
        <v>12.1</v>
      </c>
      <c r="BT7" s="11">
        <f t="shared" si="22"/>
        <v>46.8</v>
      </c>
      <c r="BU7" s="11">
        <f t="shared" si="23"/>
        <v>26.85</v>
      </c>
      <c r="BV7" s="11">
        <f t="shared" si="24"/>
        <v>20.6</v>
      </c>
      <c r="BW7" s="11">
        <f t="shared" si="25"/>
        <v>73.650000000000006</v>
      </c>
      <c r="BX7" s="11">
        <f t="shared" si="26"/>
        <v>15.100000000000001</v>
      </c>
      <c r="BY7" s="11">
        <f t="shared" si="27"/>
        <v>51.825000000000003</v>
      </c>
      <c r="BZ7" s="11">
        <f t="shared" si="28"/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29"/>
        <v/>
      </c>
      <c r="CW7" s="40" t="str">
        <f t="shared" si="30"/>
        <v/>
      </c>
      <c r="CX7" s="40" t="str">
        <f t="shared" si="31"/>
        <v/>
      </c>
      <c r="CY7" s="40" t="str">
        <f t="shared" si="32"/>
        <v/>
      </c>
      <c r="CZ7" s="40" t="str">
        <f t="shared" si="33"/>
        <v/>
      </c>
      <c r="DA7" s="40" t="str">
        <f t="shared" si="34"/>
        <v/>
      </c>
      <c r="DB7" s="40" t="str">
        <f t="shared" si="35"/>
        <v/>
      </c>
      <c r="DC7" s="40" t="str">
        <f t="shared" si="36"/>
        <v/>
      </c>
      <c r="DD7" s="51" t="str">
        <f t="shared" si="37"/>
        <v/>
      </c>
      <c r="DE7" s="51" t="str">
        <f t="shared" si="38"/>
        <v/>
      </c>
      <c r="DF7" s="51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6"/>
        <v/>
      </c>
      <c r="QZ7" s="40" t="str">
        <f t="shared" si="137"/>
        <v/>
      </c>
      <c r="RA7" s="40" t="str">
        <f t="shared" si="138"/>
        <v/>
      </c>
      <c r="RB7" s="40" t="str">
        <f t="shared" si="139"/>
        <v/>
      </c>
      <c r="RC7" s="40" t="str">
        <f t="shared" si="140"/>
        <v/>
      </c>
      <c r="RD7" s="40" t="str">
        <f t="shared" si="141"/>
        <v/>
      </c>
      <c r="RE7" s="40" t="str">
        <f t="shared" si="142"/>
        <v/>
      </c>
      <c r="RF7" s="40" t="str">
        <f t="shared" si="143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4"/>
        <v/>
      </c>
      <c r="SB7" s="11" t="str">
        <f t="shared" si="145"/>
        <v/>
      </c>
      <c r="SC7" s="11" t="str">
        <f t="shared" si="146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1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2"/>
        <v/>
      </c>
      <c r="TD7" s="40" t="str">
        <f t="shared" si="153"/>
        <v/>
      </c>
      <c r="TE7" s="40" t="str">
        <f t="shared" si="154"/>
        <v/>
      </c>
      <c r="TF7" s="40" t="str">
        <f t="shared" si="155"/>
        <v/>
      </c>
      <c r="TG7" s="40" t="str">
        <f t="shared" si="156"/>
        <v/>
      </c>
      <c r="TH7" s="40" t="str">
        <f t="shared" si="157"/>
        <v/>
      </c>
      <c r="TI7" s="40" t="str">
        <f t="shared" si="158"/>
        <v/>
      </c>
      <c r="TJ7" s="40" t="str">
        <f t="shared" si="159"/>
        <v/>
      </c>
      <c r="TK7" s="26">
        <f t="shared" si="160"/>
        <v>8.8249999999999993</v>
      </c>
      <c r="TL7" s="26">
        <f t="shared" si="160"/>
        <v>3.0999999999999996</v>
      </c>
      <c r="TM7" s="26">
        <f t="shared" si="160"/>
        <v>0</v>
      </c>
      <c r="TN7" s="26">
        <f t="shared" si="160"/>
        <v>0</v>
      </c>
      <c r="TO7" s="26">
        <f t="shared" si="160"/>
        <v>8.5250000000000004</v>
      </c>
      <c r="TP7" s="26">
        <f t="shared" si="160"/>
        <v>2.95</v>
      </c>
      <c r="TQ7" s="26">
        <f t="shared" si="160"/>
        <v>0</v>
      </c>
      <c r="TR7" s="26">
        <f t="shared" si="160"/>
        <v>0</v>
      </c>
      <c r="TS7" s="26">
        <f t="shared" si="160"/>
        <v>9.1750000000000007</v>
      </c>
      <c r="TT7" s="26">
        <f t="shared" si="160"/>
        <v>4.25</v>
      </c>
      <c r="TU7" s="26">
        <f t="shared" si="161"/>
        <v>0</v>
      </c>
      <c r="TV7" s="26">
        <f t="shared" si="161"/>
        <v>0</v>
      </c>
      <c r="TW7" s="26">
        <f t="shared" si="161"/>
        <v>9.0124999999999993</v>
      </c>
      <c r="TX7" s="26">
        <f t="shared" si="161"/>
        <v>4.2</v>
      </c>
      <c r="TY7" s="26">
        <f t="shared" si="161"/>
        <v>0</v>
      </c>
      <c r="TZ7" s="26">
        <f t="shared" si="161"/>
        <v>0</v>
      </c>
      <c r="UA7" s="26">
        <f t="shared" si="161"/>
        <v>9.3500000000000014</v>
      </c>
      <c r="UB7" s="26">
        <f t="shared" si="161"/>
        <v>3.35</v>
      </c>
      <c r="UC7" s="26">
        <f t="shared" si="161"/>
        <v>0</v>
      </c>
      <c r="UD7" s="26">
        <f t="shared" si="161"/>
        <v>0</v>
      </c>
      <c r="UE7" s="28" t="s">
        <v>53</v>
      </c>
      <c r="UF7" s="11">
        <f t="shared" si="162"/>
        <v>6.05</v>
      </c>
      <c r="UG7" s="11">
        <f t="shared" si="163"/>
        <v>23.4</v>
      </c>
      <c r="UH7" s="11">
        <f t="shared" si="164"/>
        <v>13.425000000000001</v>
      </c>
      <c r="UI7" s="11">
        <f t="shared" si="165"/>
        <v>10.3</v>
      </c>
      <c r="UJ7" s="11">
        <f t="shared" si="166"/>
        <v>36.825000000000003</v>
      </c>
      <c r="UK7" s="11">
        <f t="shared" si="167"/>
        <v>7.5500000000000007</v>
      </c>
      <c r="UL7" s="11">
        <f t="shared" si="168"/>
        <v>25.912500000000001</v>
      </c>
      <c r="UM7" s="11">
        <f t="shared" si="169"/>
        <v>62.737500000000004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79</v>
      </c>
      <c r="C8" s="4" t="s">
        <v>5</v>
      </c>
      <c r="D8" s="4">
        <v>2002</v>
      </c>
      <c r="E8" s="9">
        <f t="shared" si="0"/>
        <v>160.20001142000473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47.1</v>
      </c>
      <c r="K8" s="8" t="str">
        <f t="shared" si="5"/>
        <v>2024 Nationals</v>
      </c>
      <c r="L8" s="8">
        <f>IF(COUNT(AQ8,BT8,CW8)&gt;1,LARGE((AQ8,BT8,CW8),2),0)</f>
        <v>42.2</v>
      </c>
      <c r="M8" s="8" t="str">
        <f t="shared" si="6"/>
        <v>2024 Elite Canada</v>
      </c>
      <c r="N8" s="8">
        <f>IF(COUNT(AR8,BU8,CX8)&gt;0,LARGE((AR8,BU8,CX8),1),0)</f>
        <v>24.900000000000002</v>
      </c>
      <c r="O8" s="8" t="str">
        <f t="shared" si="7"/>
        <v>2024 Elite Canada</v>
      </c>
      <c r="P8" s="8">
        <f t="shared" si="8"/>
        <v>46</v>
      </c>
      <c r="Q8" s="8" t="str">
        <f t="shared" si="9"/>
        <v>2024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 t="shared" si="13"/>
        <v>9.9</v>
      </c>
      <c r="AQ8" s="40">
        <f t="shared" si="14"/>
        <v>42.2</v>
      </c>
      <c r="AR8" s="40">
        <f t="shared" si="15"/>
        <v>24.900000000000002</v>
      </c>
      <c r="AS8" s="40">
        <f t="shared" si="16"/>
        <v>16.399999999999999</v>
      </c>
      <c r="AT8" s="40">
        <f t="shared" si="17"/>
        <v>67.100000000000009</v>
      </c>
      <c r="AU8" s="40">
        <f t="shared" si="18"/>
        <v>9.1999999999999993</v>
      </c>
      <c r="AV8" s="40">
        <f t="shared" si="19"/>
        <v>43.699999999999996</v>
      </c>
      <c r="AW8" s="40">
        <f t="shared" si="20"/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 t="shared" si="21"/>
        <v>11.6</v>
      </c>
      <c r="BT8" s="11">
        <f t="shared" si="22"/>
        <v>47.1</v>
      </c>
      <c r="BU8" s="11">
        <f t="shared" si="23"/>
        <v>24.200000000000003</v>
      </c>
      <c r="BV8" s="11">
        <f t="shared" si="24"/>
        <v>17.5</v>
      </c>
      <c r="BW8" s="11">
        <f t="shared" si="25"/>
        <v>71.300000000000011</v>
      </c>
      <c r="BX8" s="11">
        <f t="shared" si="26"/>
        <v>11.8</v>
      </c>
      <c r="BY8" s="11">
        <f t="shared" si="27"/>
        <v>46</v>
      </c>
      <c r="BZ8" s="11">
        <f t="shared" si="28"/>
        <v>117.30000000000001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 t="shared" si="29"/>
        <v/>
      </c>
      <c r="CW8" s="40" t="str">
        <f t="shared" si="30"/>
        <v/>
      </c>
      <c r="CX8" s="40" t="str">
        <f t="shared" si="31"/>
        <v/>
      </c>
      <c r="CY8" s="40" t="str">
        <f t="shared" si="32"/>
        <v/>
      </c>
      <c r="CZ8" s="40" t="str">
        <f t="shared" si="33"/>
        <v/>
      </c>
      <c r="DA8" s="40" t="str">
        <f t="shared" si="34"/>
        <v/>
      </c>
      <c r="DB8" s="40" t="str">
        <f t="shared" si="35"/>
        <v/>
      </c>
      <c r="DC8" s="40" t="str">
        <f t="shared" si="36"/>
        <v/>
      </c>
      <c r="DD8" s="51" t="str">
        <f t="shared" si="37"/>
        <v/>
      </c>
      <c r="DE8" s="51" t="str">
        <f t="shared" si="38"/>
        <v/>
      </c>
      <c r="DF8" s="51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6"/>
        <v/>
      </c>
      <c r="QZ8" s="40" t="str">
        <f t="shared" si="137"/>
        <v/>
      </c>
      <c r="RA8" s="40" t="str">
        <f t="shared" si="138"/>
        <v/>
      </c>
      <c r="RB8" s="40" t="str">
        <f t="shared" si="139"/>
        <v/>
      </c>
      <c r="RC8" s="40" t="str">
        <f t="shared" si="140"/>
        <v/>
      </c>
      <c r="RD8" s="40" t="str">
        <f t="shared" si="141"/>
        <v/>
      </c>
      <c r="RE8" s="40" t="str">
        <f t="shared" si="142"/>
        <v/>
      </c>
      <c r="RF8" s="40" t="str">
        <f t="shared" si="143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4"/>
        <v/>
      </c>
      <c r="SB8" s="11" t="str">
        <f t="shared" si="145"/>
        <v/>
      </c>
      <c r="SC8" s="11" t="str">
        <f t="shared" si="146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1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2"/>
        <v/>
      </c>
      <c r="TD8" s="40" t="str">
        <f t="shared" si="153"/>
        <v/>
      </c>
      <c r="TE8" s="40" t="str">
        <f t="shared" si="154"/>
        <v/>
      </c>
      <c r="TF8" s="40" t="str">
        <f t="shared" si="155"/>
        <v/>
      </c>
      <c r="TG8" s="40" t="str">
        <f t="shared" si="156"/>
        <v/>
      </c>
      <c r="TH8" s="40" t="str">
        <f t="shared" si="157"/>
        <v/>
      </c>
      <c r="TI8" s="40" t="str">
        <f t="shared" si="158"/>
        <v/>
      </c>
      <c r="TJ8" s="40" t="str">
        <f t="shared" si="159"/>
        <v/>
      </c>
      <c r="TK8" s="26">
        <f t="shared" si="160"/>
        <v>8.8000000000000007</v>
      </c>
      <c r="TL8" s="26">
        <f t="shared" si="160"/>
        <v>3.05</v>
      </c>
      <c r="TM8" s="26">
        <f t="shared" si="160"/>
        <v>0</v>
      </c>
      <c r="TN8" s="26">
        <f t="shared" si="160"/>
        <v>0</v>
      </c>
      <c r="TO8" s="26">
        <f t="shared" si="160"/>
        <v>8.9499999999999993</v>
      </c>
      <c r="TP8" s="26">
        <f t="shared" si="160"/>
        <v>2.75</v>
      </c>
      <c r="TQ8" s="26">
        <f t="shared" si="160"/>
        <v>0</v>
      </c>
      <c r="TR8" s="26">
        <f t="shared" si="160"/>
        <v>0</v>
      </c>
      <c r="TS8" s="26">
        <f t="shared" si="160"/>
        <v>9.15</v>
      </c>
      <c r="TT8" s="26">
        <f t="shared" si="160"/>
        <v>2.95</v>
      </c>
      <c r="TU8" s="26">
        <f t="shared" si="161"/>
        <v>0</v>
      </c>
      <c r="TV8" s="26">
        <f t="shared" si="161"/>
        <v>0</v>
      </c>
      <c r="TW8" s="26">
        <f t="shared" si="161"/>
        <v>8</v>
      </c>
      <c r="TX8" s="26">
        <f t="shared" si="161"/>
        <v>2.85</v>
      </c>
      <c r="TY8" s="26">
        <f t="shared" si="161"/>
        <v>0</v>
      </c>
      <c r="TZ8" s="26">
        <f t="shared" si="161"/>
        <v>0</v>
      </c>
      <c r="UA8" s="26">
        <f t="shared" si="161"/>
        <v>9.1</v>
      </c>
      <c r="UB8" s="26">
        <f t="shared" si="161"/>
        <v>3.05</v>
      </c>
      <c r="UC8" s="26">
        <f t="shared" si="161"/>
        <v>0</v>
      </c>
      <c r="UD8" s="26">
        <f t="shared" si="161"/>
        <v>0</v>
      </c>
      <c r="UE8" s="28" t="s">
        <v>53</v>
      </c>
      <c r="UF8" s="11">
        <f t="shared" si="162"/>
        <v>5.8</v>
      </c>
      <c r="UG8" s="11">
        <f t="shared" si="163"/>
        <v>23.55</v>
      </c>
      <c r="UH8" s="11">
        <f t="shared" si="164"/>
        <v>12.100000000000001</v>
      </c>
      <c r="UI8" s="11">
        <f t="shared" si="165"/>
        <v>8.75</v>
      </c>
      <c r="UJ8" s="11">
        <f t="shared" si="166"/>
        <v>35.650000000000006</v>
      </c>
      <c r="UK8" s="11">
        <f t="shared" si="167"/>
        <v>5.9</v>
      </c>
      <c r="UL8" s="11">
        <f t="shared" si="168"/>
        <v>23</v>
      </c>
      <c r="UM8" s="11">
        <f t="shared" si="169"/>
        <v>58.650000000000006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147</v>
      </c>
      <c r="C9" s="4" t="s">
        <v>5</v>
      </c>
      <c r="D9" s="4">
        <v>2003</v>
      </c>
      <c r="E9" s="9">
        <f t="shared" si="0"/>
        <v>155.90001081000472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IF(COUNT(AQ9,BT9,CW9)&gt;0,LARGE((AQ9,BT9,CW9),1),0)</f>
        <v>47.4</v>
      </c>
      <c r="K9" s="8" t="str">
        <f t="shared" si="5"/>
        <v>2024 Elite Canada</v>
      </c>
      <c r="L9" s="8">
        <f>IF(COUNT(AQ9,BT9,CW9)&gt;1,LARGE((AQ9,BT9,CW9),2),0)</f>
        <v>35.6</v>
      </c>
      <c r="M9" s="8" t="str">
        <f t="shared" si="6"/>
        <v>2024 Nationals</v>
      </c>
      <c r="N9" s="8">
        <f>IF(COUNT(AR9,BU9,CX9)&gt;0,LARGE((AR9,BU9,CX9),1),0)</f>
        <v>25.1</v>
      </c>
      <c r="O9" s="8" t="str">
        <f t="shared" si="7"/>
        <v>2024 Elite Canada</v>
      </c>
      <c r="P9" s="8">
        <f t="shared" si="8"/>
        <v>47.8</v>
      </c>
      <c r="Q9" s="8" t="str">
        <f t="shared" si="9"/>
        <v>2024 Elite Canada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 t="shared" si="13"/>
        <v>12.4</v>
      </c>
      <c r="AQ9" s="40">
        <f t="shared" si="14"/>
        <v>47.4</v>
      </c>
      <c r="AR9" s="40">
        <f t="shared" si="15"/>
        <v>25.1</v>
      </c>
      <c r="AS9" s="40">
        <f t="shared" si="16"/>
        <v>19.3</v>
      </c>
      <c r="AT9" s="40">
        <f t="shared" si="17"/>
        <v>72.5</v>
      </c>
      <c r="AU9" s="40">
        <f t="shared" si="18"/>
        <v>12.4</v>
      </c>
      <c r="AV9" s="40">
        <f t="shared" si="19"/>
        <v>47.8</v>
      </c>
      <c r="AW9" s="40">
        <f t="shared" si="20"/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1"/>
        <v>9.3000000000000007</v>
      </c>
      <c r="BT9" s="11">
        <f t="shared" si="22"/>
        <v>35.6</v>
      </c>
      <c r="BU9" s="11">
        <f t="shared" si="23"/>
        <v>19.8</v>
      </c>
      <c r="BV9" s="11">
        <f t="shared" si="24"/>
        <v>12.600000000000001</v>
      </c>
      <c r="BW9" s="11">
        <f t="shared" si="25"/>
        <v>55.400000000000006</v>
      </c>
      <c r="BX9" s="11" t="str">
        <f t="shared" si="26"/>
        <v/>
      </c>
      <c r="BY9" s="11" t="str">
        <f t="shared" si="27"/>
        <v/>
      </c>
      <c r="BZ9" s="11">
        <f t="shared" si="28"/>
        <v>55.400000000000006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29"/>
        <v/>
      </c>
      <c r="CW9" s="40" t="str">
        <f t="shared" si="30"/>
        <v/>
      </c>
      <c r="CX9" s="40" t="str">
        <f t="shared" si="31"/>
        <v/>
      </c>
      <c r="CY9" s="40" t="str">
        <f t="shared" si="32"/>
        <v/>
      </c>
      <c r="CZ9" s="40" t="str">
        <f t="shared" si="33"/>
        <v/>
      </c>
      <c r="DA9" s="40" t="str">
        <f t="shared" si="34"/>
        <v/>
      </c>
      <c r="DB9" s="40" t="str">
        <f t="shared" si="35"/>
        <v/>
      </c>
      <c r="DC9" s="40" t="str">
        <f t="shared" si="36"/>
        <v/>
      </c>
      <c r="DD9" s="51" t="str">
        <f t="shared" si="37"/>
        <v/>
      </c>
      <c r="DE9" s="51" t="str">
        <f t="shared" si="38"/>
        <v/>
      </c>
      <c r="DF9" s="51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6"/>
        <v/>
      </c>
      <c r="QZ9" s="40" t="str">
        <f t="shared" si="137"/>
        <v/>
      </c>
      <c r="RA9" s="40" t="str">
        <f t="shared" si="138"/>
        <v/>
      </c>
      <c r="RB9" s="40" t="str">
        <f t="shared" si="139"/>
        <v/>
      </c>
      <c r="RC9" s="40" t="str">
        <f t="shared" si="140"/>
        <v/>
      </c>
      <c r="RD9" s="40" t="str">
        <f t="shared" si="141"/>
        <v/>
      </c>
      <c r="RE9" s="40" t="str">
        <f t="shared" si="142"/>
        <v/>
      </c>
      <c r="RF9" s="40" t="str">
        <f t="shared" si="143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4"/>
        <v/>
      </c>
      <c r="SB9" s="11" t="str">
        <f t="shared" si="145"/>
        <v/>
      </c>
      <c r="SC9" s="11" t="str">
        <f t="shared" si="146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1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2"/>
        <v/>
      </c>
      <c r="TD9" s="40" t="str">
        <f t="shared" si="153"/>
        <v/>
      </c>
      <c r="TE9" s="40" t="str">
        <f t="shared" si="154"/>
        <v/>
      </c>
      <c r="TF9" s="40" t="str">
        <f t="shared" si="155"/>
        <v/>
      </c>
      <c r="TG9" s="40" t="str">
        <f t="shared" si="156"/>
        <v/>
      </c>
      <c r="TH9" s="40" t="str">
        <f t="shared" si="157"/>
        <v/>
      </c>
      <c r="TI9" s="40" t="str">
        <f t="shared" si="158"/>
        <v/>
      </c>
      <c r="TJ9" s="40" t="str">
        <f t="shared" si="159"/>
        <v/>
      </c>
      <c r="TK9" s="26">
        <f t="shared" si="160"/>
        <v>7.6</v>
      </c>
      <c r="TL9" s="26">
        <f t="shared" si="160"/>
        <v>2.85</v>
      </c>
      <c r="TM9" s="26">
        <f t="shared" si="160"/>
        <v>0.1</v>
      </c>
      <c r="TN9" s="26">
        <f t="shared" si="160"/>
        <v>0</v>
      </c>
      <c r="TO9" s="26">
        <f t="shared" si="160"/>
        <v>5.65</v>
      </c>
      <c r="TP9" s="26">
        <f t="shared" si="160"/>
        <v>1.8</v>
      </c>
      <c r="TQ9" s="26">
        <f t="shared" si="160"/>
        <v>0</v>
      </c>
      <c r="TR9" s="26">
        <f t="shared" si="160"/>
        <v>0</v>
      </c>
      <c r="TS9" s="26">
        <f t="shared" si="160"/>
        <v>8.25</v>
      </c>
      <c r="TT9" s="26">
        <f t="shared" si="160"/>
        <v>1.65</v>
      </c>
      <c r="TU9" s="26">
        <f t="shared" si="161"/>
        <v>0</v>
      </c>
      <c r="TV9" s="26">
        <f t="shared" si="161"/>
        <v>0</v>
      </c>
      <c r="TW9" s="26">
        <f t="shared" si="161"/>
        <v>0</v>
      </c>
      <c r="TX9" s="26">
        <f t="shared" si="161"/>
        <v>0</v>
      </c>
      <c r="TY9" s="26">
        <f t="shared" si="161"/>
        <v>0</v>
      </c>
      <c r="TZ9" s="26">
        <f t="shared" si="161"/>
        <v>0</v>
      </c>
      <c r="UA9" s="26">
        <f t="shared" si="161"/>
        <v>0</v>
      </c>
      <c r="UB9" s="26">
        <f t="shared" si="161"/>
        <v>0</v>
      </c>
      <c r="UC9" s="26">
        <f t="shared" si="161"/>
        <v>0</v>
      </c>
      <c r="UD9" s="26">
        <f t="shared" si="161"/>
        <v>0</v>
      </c>
      <c r="UE9" s="28" t="s">
        <v>53</v>
      </c>
      <c r="UF9" s="11">
        <f t="shared" si="162"/>
        <v>4.6500000000000004</v>
      </c>
      <c r="UG9" s="11">
        <f t="shared" si="163"/>
        <v>17.8</v>
      </c>
      <c r="UH9" s="11">
        <f t="shared" si="164"/>
        <v>9.9</v>
      </c>
      <c r="UI9" s="11">
        <f t="shared" si="165"/>
        <v>6.3000000000000007</v>
      </c>
      <c r="UJ9" s="11">
        <f t="shared" si="166"/>
        <v>27.700000000000003</v>
      </c>
      <c r="UK9" s="11" t="str">
        <f t="shared" si="167"/>
        <v/>
      </c>
      <c r="UL9" s="11" t="str">
        <f t="shared" si="168"/>
        <v/>
      </c>
      <c r="UM9" s="11">
        <f t="shared" si="169"/>
        <v>27.700000000000003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159</v>
      </c>
      <c r="C10" s="4" t="s">
        <v>7</v>
      </c>
      <c r="D10" s="4">
        <v>2006</v>
      </c>
      <c r="E10" s="9">
        <f t="shared" si="0"/>
        <v>155.30001105000443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IF(COUNT(AQ10,BT10,CW10)&gt;0,LARGE((AQ10,BT10,CW10),1),0)</f>
        <v>44.1</v>
      </c>
      <c r="K10" s="8" t="str">
        <f t="shared" si="5"/>
        <v>2024 Nationals</v>
      </c>
      <c r="L10" s="8">
        <f>IF(COUNT(AQ10,BT10,CW10)&gt;1,LARGE((AQ10,BT10,CW10),2),0)</f>
        <v>44.1</v>
      </c>
      <c r="M10" s="8" t="str">
        <f t="shared" si="6"/>
        <v>2024 Nationals</v>
      </c>
      <c r="N10" s="8">
        <f>IF(COUNT(AR10,BU10,CX10)&gt;0,LARGE((AR10,BU10,CX10),1),0)</f>
        <v>22.3</v>
      </c>
      <c r="O10" s="8" t="str">
        <f t="shared" si="7"/>
        <v>2024 Elite Canada</v>
      </c>
      <c r="P10" s="8">
        <f t="shared" si="8"/>
        <v>44.800000000000004</v>
      </c>
      <c r="Q10" s="8" t="str">
        <f t="shared" si="9"/>
        <v>2024 Elite Canada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17.3</v>
      </c>
      <c r="V10" s="19">
        <v>4.8</v>
      </c>
      <c r="W10" s="19">
        <v>0</v>
      </c>
      <c r="X10" s="19">
        <v>0.6</v>
      </c>
      <c r="Y10" s="19">
        <v>15.5</v>
      </c>
      <c r="Z10" s="19">
        <v>5.3</v>
      </c>
      <c r="AA10" s="19">
        <v>0</v>
      </c>
      <c r="AB10" s="19">
        <v>0.6</v>
      </c>
      <c r="AC10" s="19">
        <v>16.399999999999999</v>
      </c>
      <c r="AD10" s="19">
        <v>5.3</v>
      </c>
      <c r="AE10" s="19">
        <v>0</v>
      </c>
      <c r="AF10" s="19">
        <v>0.6</v>
      </c>
      <c r="AG10" s="19">
        <v>17.100000000000001</v>
      </c>
      <c r="AH10" s="19">
        <v>4.5999999999999996</v>
      </c>
      <c r="AI10" s="19">
        <v>0</v>
      </c>
      <c r="AJ10" s="19">
        <v>0.6</v>
      </c>
      <c r="AK10" s="19">
        <v>16.399999999999999</v>
      </c>
      <c r="AL10" s="19">
        <v>5.5</v>
      </c>
      <c r="AM10" s="19">
        <v>0</v>
      </c>
      <c r="AN10" s="19">
        <v>0.6</v>
      </c>
      <c r="AO10" s="27"/>
      <c r="AP10" s="40">
        <f t="shared" si="13"/>
        <v>10.1</v>
      </c>
      <c r="AQ10" s="40">
        <f t="shared" si="14"/>
        <v>44.1</v>
      </c>
      <c r="AR10" s="40">
        <f t="shared" si="15"/>
        <v>22.3</v>
      </c>
      <c r="AS10" s="40">
        <f t="shared" si="16"/>
        <v>15.399999999999999</v>
      </c>
      <c r="AT10" s="40">
        <f t="shared" si="17"/>
        <v>66.400000000000006</v>
      </c>
      <c r="AU10" s="40">
        <f t="shared" si="18"/>
        <v>10.1</v>
      </c>
      <c r="AV10" s="40">
        <f t="shared" si="19"/>
        <v>44.800000000000004</v>
      </c>
      <c r="AW10" s="40">
        <f t="shared" si="20"/>
        <v>111.20000000000002</v>
      </c>
      <c r="AX10" s="18">
        <v>16.399999999999999</v>
      </c>
      <c r="AY10" s="18">
        <v>5</v>
      </c>
      <c r="AZ10" s="18">
        <v>0.2</v>
      </c>
      <c r="BA10" s="18">
        <v>0.6</v>
      </c>
      <c r="BB10" s="18">
        <v>16.2</v>
      </c>
      <c r="BC10" s="18">
        <v>5.5</v>
      </c>
      <c r="BD10" s="18">
        <v>0</v>
      </c>
      <c r="BE10" s="18">
        <v>0.6</v>
      </c>
      <c r="BF10" s="18">
        <v>15.4</v>
      </c>
      <c r="BG10" s="18">
        <v>4.8</v>
      </c>
      <c r="BH10" s="18">
        <v>0.2</v>
      </c>
      <c r="BI10" s="18">
        <v>0.6</v>
      </c>
      <c r="BJ10" s="18">
        <v>16.5</v>
      </c>
      <c r="BK10" s="18">
        <v>5</v>
      </c>
      <c r="BL10" s="18">
        <v>0.2</v>
      </c>
      <c r="BM10" s="18">
        <v>0.6</v>
      </c>
      <c r="BN10" s="18">
        <v>16.5</v>
      </c>
      <c r="BO10" s="18">
        <v>5.5</v>
      </c>
      <c r="BP10" s="18">
        <v>0</v>
      </c>
      <c r="BQ10" s="18">
        <v>0.6</v>
      </c>
      <c r="BR10" s="28"/>
      <c r="BS10" s="11">
        <f t="shared" si="21"/>
        <v>10.5</v>
      </c>
      <c r="BT10" s="11">
        <f t="shared" si="22"/>
        <v>44.1</v>
      </c>
      <c r="BU10" s="11">
        <f t="shared" si="23"/>
        <v>20.6</v>
      </c>
      <c r="BV10" s="11">
        <f t="shared" si="24"/>
        <v>15.3</v>
      </c>
      <c r="BW10" s="11">
        <f t="shared" si="25"/>
        <v>64.7</v>
      </c>
      <c r="BX10" s="11">
        <f t="shared" si="26"/>
        <v>10.5</v>
      </c>
      <c r="BY10" s="11">
        <f t="shared" si="27"/>
        <v>44.5</v>
      </c>
      <c r="BZ10" s="11">
        <f t="shared" si="28"/>
        <v>109.2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9"/>
        <v/>
      </c>
      <c r="CW10" s="40" t="str">
        <f t="shared" si="30"/>
        <v/>
      </c>
      <c r="CX10" s="40" t="str">
        <f t="shared" si="31"/>
        <v/>
      </c>
      <c r="CY10" s="40" t="str">
        <f t="shared" si="32"/>
        <v/>
      </c>
      <c r="CZ10" s="40" t="str">
        <f t="shared" si="33"/>
        <v/>
      </c>
      <c r="DA10" s="40" t="str">
        <f t="shared" si="34"/>
        <v/>
      </c>
      <c r="DB10" s="40" t="str">
        <f t="shared" si="35"/>
        <v/>
      </c>
      <c r="DC10" s="40" t="str">
        <f t="shared" si="36"/>
        <v/>
      </c>
      <c r="DD10" s="51" t="str">
        <f t="shared" si="37"/>
        <v/>
      </c>
      <c r="DE10" s="51" t="str">
        <f t="shared" si="38"/>
        <v/>
      </c>
      <c r="DF10" s="51" t="str">
        <f t="shared" si="39"/>
        <v/>
      </c>
      <c r="DG10" s="17">
        <v>16.899999999999999</v>
      </c>
      <c r="DH10" s="17">
        <v>5.2</v>
      </c>
      <c r="DI10" s="17">
        <v>0</v>
      </c>
      <c r="DJ10" s="17">
        <v>0</v>
      </c>
      <c r="DK10" s="17">
        <v>16.3</v>
      </c>
      <c r="DL10" s="17">
        <v>5.5</v>
      </c>
      <c r="DM10" s="17">
        <v>0</v>
      </c>
      <c r="DN10" s="17">
        <v>0</v>
      </c>
      <c r="DO10" s="17"/>
      <c r="DP10" s="17"/>
      <c r="DQ10" s="17"/>
      <c r="DR10" s="17"/>
      <c r="DS10" s="17">
        <v>17</v>
      </c>
      <c r="DT10" s="17">
        <v>5.3</v>
      </c>
      <c r="DU10" s="17">
        <v>0</v>
      </c>
      <c r="DV10" s="17">
        <v>0</v>
      </c>
      <c r="DW10" s="17"/>
      <c r="DX10" s="17"/>
      <c r="DY10" s="17"/>
      <c r="DZ10" s="17"/>
      <c r="EA10" s="40">
        <f t="shared" si="40"/>
        <v>10.7</v>
      </c>
      <c r="EB10" s="40">
        <f t="shared" si="41"/>
        <v>43.9</v>
      </c>
      <c r="EC10" s="40" t="str">
        <f t="shared" si="42"/>
        <v/>
      </c>
      <c r="ED10" s="40">
        <f t="shared" si="43"/>
        <v>10.7</v>
      </c>
      <c r="EE10" s="40">
        <f t="shared" si="44"/>
        <v>43.9</v>
      </c>
      <c r="EF10" s="40">
        <f t="shared" si="45"/>
        <v>5.3</v>
      </c>
      <c r="EG10" s="40">
        <f t="shared" si="46"/>
        <v>22.3</v>
      </c>
      <c r="EH10" s="40">
        <f t="shared" si="47"/>
        <v>66.2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6"/>
        <v/>
      </c>
      <c r="QZ10" s="40" t="str">
        <f t="shared" si="137"/>
        <v/>
      </c>
      <c r="RA10" s="40" t="str">
        <f t="shared" si="138"/>
        <v/>
      </c>
      <c r="RB10" s="40" t="str">
        <f t="shared" si="139"/>
        <v/>
      </c>
      <c r="RC10" s="40" t="str">
        <f t="shared" si="140"/>
        <v/>
      </c>
      <c r="RD10" s="40" t="str">
        <f t="shared" si="141"/>
        <v/>
      </c>
      <c r="RE10" s="40" t="str">
        <f t="shared" si="142"/>
        <v/>
      </c>
      <c r="RF10" s="40" t="str">
        <f t="shared" si="143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4"/>
        <v/>
      </c>
      <c r="SB10" s="11" t="str">
        <f t="shared" si="145"/>
        <v/>
      </c>
      <c r="SC10" s="11" t="str">
        <f t="shared" si="146"/>
        <v/>
      </c>
      <c r="SD10" s="11" t="str">
        <f t="shared" si="147"/>
        <v/>
      </c>
      <c r="SE10" s="11" t="str">
        <f t="shared" si="148"/>
        <v/>
      </c>
      <c r="SF10" s="11" t="str">
        <f t="shared" si="149"/>
        <v/>
      </c>
      <c r="SG10" s="11" t="str">
        <f t="shared" si="150"/>
        <v/>
      </c>
      <c r="SH10" s="11" t="str">
        <f t="shared" si="151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2"/>
        <v/>
      </c>
      <c r="TD10" s="40" t="str">
        <f t="shared" si="153"/>
        <v/>
      </c>
      <c r="TE10" s="40" t="str">
        <f t="shared" si="154"/>
        <v/>
      </c>
      <c r="TF10" s="40" t="str">
        <f t="shared" si="155"/>
        <v/>
      </c>
      <c r="TG10" s="40" t="str">
        <f t="shared" si="156"/>
        <v/>
      </c>
      <c r="TH10" s="40" t="str">
        <f t="shared" si="157"/>
        <v/>
      </c>
      <c r="TI10" s="40" t="str">
        <f t="shared" si="158"/>
        <v/>
      </c>
      <c r="TJ10" s="40" t="str">
        <f t="shared" si="159"/>
        <v/>
      </c>
      <c r="TK10" s="26">
        <f t="shared" si="160"/>
        <v>8.1999999999999993</v>
      </c>
      <c r="TL10" s="26">
        <f t="shared" si="160"/>
        <v>2.5</v>
      </c>
      <c r="TM10" s="26">
        <f t="shared" si="160"/>
        <v>0.1</v>
      </c>
      <c r="TN10" s="26">
        <f t="shared" si="160"/>
        <v>0.3</v>
      </c>
      <c r="TO10" s="26">
        <f t="shared" si="160"/>
        <v>8.1</v>
      </c>
      <c r="TP10" s="26">
        <f t="shared" si="160"/>
        <v>2.75</v>
      </c>
      <c r="TQ10" s="26">
        <f t="shared" si="160"/>
        <v>0</v>
      </c>
      <c r="TR10" s="26">
        <f t="shared" si="160"/>
        <v>0.3</v>
      </c>
      <c r="TS10" s="26">
        <f t="shared" si="160"/>
        <v>7.7</v>
      </c>
      <c r="TT10" s="26">
        <f t="shared" si="160"/>
        <v>2.4</v>
      </c>
      <c r="TU10" s="26">
        <f t="shared" si="161"/>
        <v>0.1</v>
      </c>
      <c r="TV10" s="26">
        <f t="shared" si="161"/>
        <v>0.3</v>
      </c>
      <c r="TW10" s="26">
        <f t="shared" si="161"/>
        <v>8.25</v>
      </c>
      <c r="TX10" s="26">
        <f t="shared" si="161"/>
        <v>2.5</v>
      </c>
      <c r="TY10" s="26">
        <f t="shared" si="161"/>
        <v>0.1</v>
      </c>
      <c r="TZ10" s="26">
        <f t="shared" si="161"/>
        <v>0.3</v>
      </c>
      <c r="UA10" s="26">
        <f t="shared" si="161"/>
        <v>8.25</v>
      </c>
      <c r="UB10" s="26">
        <f t="shared" si="161"/>
        <v>2.75</v>
      </c>
      <c r="UC10" s="26">
        <f t="shared" si="161"/>
        <v>0</v>
      </c>
      <c r="UD10" s="26">
        <f t="shared" si="161"/>
        <v>0.3</v>
      </c>
      <c r="UE10" s="28" t="s">
        <v>53</v>
      </c>
      <c r="UF10" s="11">
        <f t="shared" si="162"/>
        <v>5.25</v>
      </c>
      <c r="UG10" s="11">
        <f t="shared" si="163"/>
        <v>22.05</v>
      </c>
      <c r="UH10" s="11">
        <f t="shared" si="164"/>
        <v>10.3</v>
      </c>
      <c r="UI10" s="11">
        <f t="shared" si="165"/>
        <v>7.65</v>
      </c>
      <c r="UJ10" s="11">
        <f t="shared" si="166"/>
        <v>32.35</v>
      </c>
      <c r="UK10" s="11">
        <f t="shared" si="167"/>
        <v>5.25</v>
      </c>
      <c r="UL10" s="11">
        <f t="shared" si="168"/>
        <v>22.25</v>
      </c>
      <c r="UM10" s="11">
        <f t="shared" si="169"/>
        <v>54.6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82</v>
      </c>
      <c r="C11" s="4" t="s">
        <v>5</v>
      </c>
      <c r="D11" s="4">
        <v>2003</v>
      </c>
      <c r="E11" s="9">
        <f t="shared" si="0"/>
        <v>151.60001001000444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IF(COUNT(AQ11,BT11,CW11)&gt;0,LARGE((AQ11,BT11,CW11),1),0)</f>
        <v>44.2</v>
      </c>
      <c r="K11" s="8" t="str">
        <f t="shared" si="5"/>
        <v>2024 Elite Canada</v>
      </c>
      <c r="L11" s="8">
        <f>IF(COUNT(AQ11,BT11,CW11)&gt;1,LARGE((AQ11,BT11,CW11),2),0)</f>
        <v>34.200000000000003</v>
      </c>
      <c r="M11" s="8" t="str">
        <f t="shared" si="6"/>
        <v>2024 Nationals</v>
      </c>
      <c r="N11" s="8">
        <f>IF(COUNT(AR11,BU11,CX11)&gt;0,LARGE((AR11,BU11,CX11),1),0)</f>
        <v>21.7</v>
      </c>
      <c r="O11" s="8" t="str">
        <f t="shared" si="7"/>
        <v>2024 Nationals</v>
      </c>
      <c r="P11" s="8">
        <f t="shared" si="8"/>
        <v>42.8</v>
      </c>
      <c r="Q11" s="8" t="str">
        <f t="shared" si="9"/>
        <v>2024 Elite Canada</v>
      </c>
      <c r="R11" s="8">
        <f t="shared" si="10"/>
        <v>8.6999999999999957</v>
      </c>
      <c r="S11" s="11" t="str">
        <f t="shared" si="11"/>
        <v>(Q1)</v>
      </c>
      <c r="T11" s="8" t="str">
        <f t="shared" si="12"/>
        <v>2024 Coimbra Gym Fest (July 7)</v>
      </c>
      <c r="U11" s="19">
        <v>16.8</v>
      </c>
      <c r="V11" s="19">
        <v>5.3</v>
      </c>
      <c r="W11" s="19">
        <v>0.2</v>
      </c>
      <c r="X11" s="19">
        <v>0</v>
      </c>
      <c r="Y11" s="19">
        <v>17.3</v>
      </c>
      <c r="Z11" s="19">
        <v>5</v>
      </c>
      <c r="AA11" s="19">
        <v>0</v>
      </c>
      <c r="AB11" s="19">
        <v>0</v>
      </c>
      <c r="AC11" s="19">
        <v>15.8</v>
      </c>
      <c r="AD11" s="19">
        <v>5.3</v>
      </c>
      <c r="AE11" s="19">
        <v>0.4</v>
      </c>
      <c r="AF11" s="19">
        <v>0</v>
      </c>
      <c r="AG11" s="19">
        <v>14.8</v>
      </c>
      <c r="AH11" s="19">
        <v>6.1</v>
      </c>
      <c r="AI11" s="19">
        <v>0.4</v>
      </c>
      <c r="AJ11" s="19">
        <v>0</v>
      </c>
      <c r="AK11" s="19">
        <v>16.5</v>
      </c>
      <c r="AL11" s="19">
        <v>5.8</v>
      </c>
      <c r="AM11" s="19">
        <v>0</v>
      </c>
      <c r="AN11" s="19">
        <v>0</v>
      </c>
      <c r="AO11" s="27"/>
      <c r="AP11" s="40">
        <f t="shared" si="13"/>
        <v>10.3</v>
      </c>
      <c r="AQ11" s="40">
        <f t="shared" si="14"/>
        <v>44.2</v>
      </c>
      <c r="AR11" s="40">
        <f t="shared" si="15"/>
        <v>20.700000000000003</v>
      </c>
      <c r="AS11" s="40">
        <f t="shared" si="16"/>
        <v>15.600000000000001</v>
      </c>
      <c r="AT11" s="40">
        <f t="shared" si="17"/>
        <v>64.900000000000006</v>
      </c>
      <c r="AU11" s="40">
        <f t="shared" si="18"/>
        <v>11.899999999999999</v>
      </c>
      <c r="AV11" s="40">
        <f t="shared" si="19"/>
        <v>42.8</v>
      </c>
      <c r="AW11" s="40">
        <f t="shared" si="20"/>
        <v>107.7</v>
      </c>
      <c r="AX11" s="18">
        <v>15.8</v>
      </c>
      <c r="AY11" s="18">
        <v>4.9000000000000004</v>
      </c>
      <c r="AZ11" s="18">
        <v>4.5999999999999996</v>
      </c>
      <c r="BA11" s="18">
        <v>0</v>
      </c>
      <c r="BB11" s="18">
        <v>14.4</v>
      </c>
      <c r="BC11" s="18">
        <v>8.1</v>
      </c>
      <c r="BD11" s="18">
        <v>4.4000000000000004</v>
      </c>
      <c r="BE11" s="18">
        <v>0</v>
      </c>
      <c r="BF11" s="18">
        <v>16.7</v>
      </c>
      <c r="BG11" s="18">
        <v>5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1"/>
        <v>13</v>
      </c>
      <c r="BT11" s="11">
        <f t="shared" si="22"/>
        <v>34.200000000000003</v>
      </c>
      <c r="BU11" s="11">
        <f t="shared" si="23"/>
        <v>21.7</v>
      </c>
      <c r="BV11" s="11">
        <f t="shared" si="24"/>
        <v>18</v>
      </c>
      <c r="BW11" s="11">
        <f t="shared" si="25"/>
        <v>55.900000000000006</v>
      </c>
      <c r="BX11" s="11" t="str">
        <f t="shared" si="26"/>
        <v/>
      </c>
      <c r="BY11" s="11" t="str">
        <f t="shared" si="27"/>
        <v/>
      </c>
      <c r="BZ11" s="11">
        <f t="shared" si="28"/>
        <v>55.900000000000006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1">
        <f t="shared" si="37"/>
        <v>8.6999999999999957</v>
      </c>
      <c r="DE11" s="51" t="str">
        <f t="shared" si="38"/>
        <v/>
      </c>
      <c r="DF11" s="51">
        <f t="shared" si="39"/>
        <v>3.2000000000000028</v>
      </c>
      <c r="DG11" s="17">
        <v>15.6</v>
      </c>
      <c r="DH11" s="17">
        <v>5.5</v>
      </c>
      <c r="DI11" s="17">
        <v>0</v>
      </c>
      <c r="DJ11" s="17">
        <v>0</v>
      </c>
      <c r="DK11" s="17">
        <v>14.5</v>
      </c>
      <c r="DL11" s="17">
        <v>7.3</v>
      </c>
      <c r="DM11" s="17">
        <v>0</v>
      </c>
      <c r="DN11" s="17">
        <v>0</v>
      </c>
      <c r="DO11" s="17"/>
      <c r="DP11" s="17"/>
      <c r="DQ11" s="17"/>
      <c r="DR11" s="17"/>
      <c r="DS11" s="17">
        <v>14.9</v>
      </c>
      <c r="DT11" s="17">
        <v>7.7</v>
      </c>
      <c r="DU11" s="17">
        <v>0</v>
      </c>
      <c r="DV11" s="17">
        <v>0</v>
      </c>
      <c r="DW11" s="17">
        <v>17</v>
      </c>
      <c r="DX11" s="17">
        <v>6.4</v>
      </c>
      <c r="DY11" s="17">
        <v>0</v>
      </c>
      <c r="DZ11" s="17">
        <v>0</v>
      </c>
      <c r="EA11" s="40">
        <f t="shared" si="40"/>
        <v>12.8</v>
      </c>
      <c r="EB11" s="40">
        <f t="shared" si="41"/>
        <v>42.9</v>
      </c>
      <c r="EC11" s="40" t="str">
        <f t="shared" si="42"/>
        <v/>
      </c>
      <c r="ED11" s="40">
        <f t="shared" si="43"/>
        <v>12.8</v>
      </c>
      <c r="EE11" s="40">
        <f t="shared" si="44"/>
        <v>42.9</v>
      </c>
      <c r="EF11" s="40">
        <f t="shared" si="45"/>
        <v>14.100000000000001</v>
      </c>
      <c r="EG11" s="40">
        <f t="shared" si="46"/>
        <v>46</v>
      </c>
      <c r="EH11" s="40">
        <f t="shared" si="47"/>
        <v>88.9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6"/>
        <v/>
      </c>
      <c r="QZ11" s="40" t="str">
        <f t="shared" si="137"/>
        <v/>
      </c>
      <c r="RA11" s="40" t="str">
        <f t="shared" si="138"/>
        <v/>
      </c>
      <c r="RB11" s="40" t="str">
        <f t="shared" si="139"/>
        <v/>
      </c>
      <c r="RC11" s="40" t="str">
        <f t="shared" si="140"/>
        <v/>
      </c>
      <c r="RD11" s="40" t="str">
        <f t="shared" si="141"/>
        <v/>
      </c>
      <c r="RE11" s="40" t="str">
        <f t="shared" si="142"/>
        <v/>
      </c>
      <c r="RF11" s="40" t="str">
        <f t="shared" si="143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4"/>
        <v/>
      </c>
      <c r="SB11" s="11" t="str">
        <f t="shared" si="145"/>
        <v/>
      </c>
      <c r="SC11" s="11" t="str">
        <f t="shared" si="146"/>
        <v/>
      </c>
      <c r="SD11" s="11" t="str">
        <f t="shared" si="147"/>
        <v/>
      </c>
      <c r="SE11" s="11" t="str">
        <f t="shared" si="148"/>
        <v/>
      </c>
      <c r="SF11" s="11" t="str">
        <f t="shared" si="149"/>
        <v/>
      </c>
      <c r="SG11" s="11" t="str">
        <f t="shared" si="150"/>
        <v/>
      </c>
      <c r="SH11" s="11" t="str">
        <f t="shared" si="151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2"/>
        <v/>
      </c>
      <c r="TD11" s="40" t="str">
        <f t="shared" si="153"/>
        <v/>
      </c>
      <c r="TE11" s="40" t="str">
        <f t="shared" si="154"/>
        <v/>
      </c>
      <c r="TF11" s="40" t="str">
        <f t="shared" si="155"/>
        <v/>
      </c>
      <c r="TG11" s="40" t="str">
        <f t="shared" si="156"/>
        <v/>
      </c>
      <c r="TH11" s="40" t="str">
        <f t="shared" si="157"/>
        <v/>
      </c>
      <c r="TI11" s="40" t="str">
        <f t="shared" si="158"/>
        <v/>
      </c>
      <c r="TJ11" s="40" t="str">
        <f t="shared" si="159"/>
        <v/>
      </c>
      <c r="TK11" s="26">
        <f t="shared" si="160"/>
        <v>7.9</v>
      </c>
      <c r="TL11" s="26">
        <f t="shared" si="160"/>
        <v>2.4500000000000002</v>
      </c>
      <c r="TM11" s="26">
        <f t="shared" si="160"/>
        <v>2.2999999999999998</v>
      </c>
      <c r="TN11" s="26">
        <f t="shared" si="160"/>
        <v>0</v>
      </c>
      <c r="TO11" s="26">
        <f t="shared" si="160"/>
        <v>7.2</v>
      </c>
      <c r="TP11" s="26">
        <f t="shared" si="160"/>
        <v>4.05</v>
      </c>
      <c r="TQ11" s="26">
        <f t="shared" si="160"/>
        <v>2.2000000000000002</v>
      </c>
      <c r="TR11" s="26">
        <f t="shared" si="160"/>
        <v>0</v>
      </c>
      <c r="TS11" s="26">
        <f t="shared" si="160"/>
        <v>8.35</v>
      </c>
      <c r="TT11" s="26">
        <f t="shared" si="160"/>
        <v>2.5</v>
      </c>
      <c r="TU11" s="26">
        <f t="shared" si="161"/>
        <v>0</v>
      </c>
      <c r="TV11" s="26">
        <f t="shared" si="161"/>
        <v>0</v>
      </c>
      <c r="TW11" s="26">
        <f t="shared" si="161"/>
        <v>0</v>
      </c>
      <c r="TX11" s="26">
        <f t="shared" si="161"/>
        <v>0</v>
      </c>
      <c r="TY11" s="26">
        <f t="shared" si="161"/>
        <v>0</v>
      </c>
      <c r="TZ11" s="26">
        <f t="shared" si="161"/>
        <v>0</v>
      </c>
      <c r="UA11" s="26">
        <f t="shared" si="161"/>
        <v>0</v>
      </c>
      <c r="UB11" s="26">
        <f t="shared" si="161"/>
        <v>0</v>
      </c>
      <c r="UC11" s="26">
        <f t="shared" si="161"/>
        <v>0</v>
      </c>
      <c r="UD11" s="26">
        <f t="shared" si="161"/>
        <v>0</v>
      </c>
      <c r="UE11" s="28" t="s">
        <v>53</v>
      </c>
      <c r="UF11" s="11">
        <f t="shared" si="162"/>
        <v>6.5</v>
      </c>
      <c r="UG11" s="11">
        <f t="shared" si="163"/>
        <v>17.100000000000001</v>
      </c>
      <c r="UH11" s="11">
        <f t="shared" si="164"/>
        <v>10.85</v>
      </c>
      <c r="UI11" s="11">
        <f t="shared" si="165"/>
        <v>9</v>
      </c>
      <c r="UJ11" s="11">
        <f t="shared" si="166"/>
        <v>27.950000000000003</v>
      </c>
      <c r="UK11" s="11" t="str">
        <f t="shared" si="167"/>
        <v/>
      </c>
      <c r="UL11" s="11" t="str">
        <f t="shared" si="168"/>
        <v/>
      </c>
      <c r="UM11" s="11">
        <f t="shared" si="169"/>
        <v>27.950000000000003</v>
      </c>
    </row>
    <row r="12" spans="1:559" ht="17" x14ac:dyDescent="0.2">
      <c r="R12" s="10"/>
      <c r="S12" s="10"/>
      <c r="T12" s="10"/>
      <c r="QY12" s="36"/>
      <c r="RG12"/>
      <c r="SA12" s="36"/>
      <c r="SB12" s="36"/>
      <c r="SC12" s="36"/>
      <c r="SD12" s="36"/>
      <c r="SE12" s="36"/>
      <c r="SF12" s="36"/>
      <c r="SG12" s="36"/>
      <c r="SH12" s="36"/>
      <c r="TC12" s="36"/>
      <c r="TD12" s="36"/>
      <c r="TE12" s="36"/>
      <c r="TF12" s="36"/>
      <c r="TG12" s="36"/>
      <c r="TH12" s="36"/>
      <c r="TI12" s="36"/>
      <c r="TJ12" s="36"/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B14" s="23" t="s">
        <v>51</v>
      </c>
      <c r="R14" s="10"/>
      <c r="S14" s="10"/>
      <c r="T14" s="10"/>
      <c r="AP14" s="4"/>
      <c r="AW14" s="42">
        <v>11.4</v>
      </c>
      <c r="BS14" s="4"/>
      <c r="BZ14" s="42">
        <v>11.4</v>
      </c>
      <c r="CV14" s="4"/>
      <c r="DC14" s="42">
        <v>11.4</v>
      </c>
      <c r="EA14" s="4"/>
      <c r="EH14" s="42">
        <v>11.4</v>
      </c>
      <c r="FC14" s="4"/>
      <c r="FJ14" s="42">
        <v>11.4</v>
      </c>
      <c r="GE14" s="4"/>
      <c r="GL14" s="42">
        <v>11.4</v>
      </c>
      <c r="HG14" s="4"/>
      <c r="HN14" s="42">
        <v>11.4</v>
      </c>
      <c r="II14" s="4"/>
      <c r="IP14" s="42">
        <v>11.4</v>
      </c>
      <c r="JK14" s="4"/>
      <c r="JR14" s="42">
        <v>11.4</v>
      </c>
      <c r="KM14" s="4"/>
      <c r="KT14" s="42">
        <v>11.4</v>
      </c>
      <c r="LO14" s="4"/>
      <c r="LV14" s="42">
        <v>11.4</v>
      </c>
      <c r="MQ14" s="4"/>
      <c r="MX14" s="42">
        <v>11.4</v>
      </c>
      <c r="NS14" s="4"/>
      <c r="NZ14" s="42">
        <v>11.4</v>
      </c>
      <c r="OU14" s="4"/>
      <c r="PB14" s="42">
        <v>11.4</v>
      </c>
      <c r="PW14" s="4"/>
      <c r="QD14" s="42">
        <v>11.4</v>
      </c>
      <c r="QY14" s="4"/>
      <c r="RF14" s="42">
        <v>11.4</v>
      </c>
      <c r="RG14"/>
      <c r="SA14" s="4"/>
      <c r="SB14" s="36"/>
      <c r="SC14" s="36"/>
      <c r="SD14" s="36"/>
      <c r="SE14" s="36"/>
      <c r="SF14" s="36"/>
      <c r="SG14" s="36"/>
      <c r="SH14" s="42">
        <v>11.4</v>
      </c>
      <c r="TC14" s="4"/>
      <c r="TD14" s="36"/>
      <c r="TE14" s="36"/>
      <c r="TF14" s="36"/>
      <c r="TG14" s="36"/>
      <c r="TH14" s="36"/>
      <c r="TI14" s="36"/>
      <c r="TJ14" s="42">
        <v>11.4</v>
      </c>
    </row>
    <row r="15" spans="1:559" ht="17" x14ac:dyDescent="0.2">
      <c r="B15" s="30" t="s">
        <v>50</v>
      </c>
      <c r="R15" s="10"/>
      <c r="S15" s="10"/>
      <c r="T15" s="10"/>
      <c r="AP15" s="4"/>
      <c r="AW15" s="52">
        <v>17.7</v>
      </c>
      <c r="BS15" s="4"/>
      <c r="BZ15" s="52">
        <v>17.7</v>
      </c>
      <c r="CV15" s="4"/>
      <c r="DC15" s="52">
        <v>17.7</v>
      </c>
      <c r="EA15" s="4"/>
      <c r="EH15" s="52">
        <v>17.7</v>
      </c>
      <c r="FC15" s="4"/>
      <c r="FJ15" s="52">
        <v>17.7</v>
      </c>
      <c r="GE15" s="4"/>
      <c r="GL15" s="52">
        <v>17.7</v>
      </c>
      <c r="HG15" s="4"/>
      <c r="HN15" s="52">
        <v>17.7</v>
      </c>
      <c r="II15" s="4"/>
      <c r="IP15" s="52">
        <v>17.7</v>
      </c>
      <c r="JK15" s="4"/>
      <c r="JR15" s="52">
        <v>17.7</v>
      </c>
      <c r="KM15" s="4"/>
      <c r="KT15" s="52">
        <v>17.7</v>
      </c>
      <c r="LO15" s="4"/>
      <c r="LV15" s="52">
        <v>17.7</v>
      </c>
      <c r="MQ15" s="4"/>
      <c r="MX15" s="52">
        <v>17.7</v>
      </c>
      <c r="NS15" s="4"/>
      <c r="NZ15" s="52">
        <v>17.7</v>
      </c>
      <c r="OU15" s="4"/>
      <c r="PB15" s="52">
        <v>17.7</v>
      </c>
      <c r="PW15" s="4"/>
      <c r="QD15" s="52">
        <v>17.7</v>
      </c>
      <c r="QY15" s="4"/>
      <c r="RF15" s="52">
        <v>17.7</v>
      </c>
      <c r="RG15"/>
      <c r="SA15" s="4"/>
      <c r="SB15" s="36"/>
      <c r="SC15" s="36"/>
      <c r="SD15" s="36"/>
      <c r="SE15" s="36"/>
      <c r="SF15" s="36"/>
      <c r="SG15" s="36"/>
      <c r="SH15" s="52">
        <v>17.7</v>
      </c>
      <c r="TC15" s="4"/>
      <c r="TD15" s="36"/>
      <c r="TE15" s="36"/>
      <c r="TF15" s="36"/>
      <c r="TG15" s="36"/>
      <c r="TH15" s="36"/>
      <c r="TI15" s="36"/>
      <c r="TJ15" s="52">
        <v>17.7</v>
      </c>
    </row>
    <row r="16" spans="1:559" ht="17" x14ac:dyDescent="0.2">
      <c r="A16" s="5"/>
      <c r="B16" s="31" t="s">
        <v>63</v>
      </c>
      <c r="C16" s="20"/>
      <c r="R16" s="10"/>
      <c r="S16" s="10"/>
      <c r="T16" s="10"/>
      <c r="AP16" s="4"/>
      <c r="AW16" s="44">
        <v>20.7</v>
      </c>
      <c r="BS16" s="4"/>
      <c r="BZ16" s="44">
        <v>20.7</v>
      </c>
      <c r="CV16" s="4"/>
      <c r="DC16" s="44">
        <v>20.7</v>
      </c>
      <c r="EA16" s="4"/>
      <c r="EH16" s="44">
        <v>20.7</v>
      </c>
      <c r="FC16" s="4"/>
      <c r="FJ16" s="44">
        <v>20.7</v>
      </c>
      <c r="GE16" s="4"/>
      <c r="GL16" s="44">
        <v>20.7</v>
      </c>
      <c r="HG16" s="4"/>
      <c r="HN16" s="44">
        <v>20.7</v>
      </c>
      <c r="II16" s="4"/>
      <c r="IP16" s="44">
        <v>20.7</v>
      </c>
      <c r="JK16" s="4"/>
      <c r="JR16" s="44">
        <v>20.7</v>
      </c>
      <c r="KM16" s="4"/>
      <c r="KT16" s="44">
        <v>20.7</v>
      </c>
      <c r="LO16" s="4"/>
      <c r="LV16" s="44">
        <v>20.7</v>
      </c>
      <c r="MQ16" s="4"/>
      <c r="MX16" s="44">
        <v>20.7</v>
      </c>
      <c r="NS16" s="4"/>
      <c r="NZ16" s="44">
        <v>20.7</v>
      </c>
      <c r="OU16" s="4"/>
      <c r="PB16" s="44">
        <v>20.7</v>
      </c>
      <c r="PW16" s="4"/>
      <c r="QD16" s="44">
        <v>20.7</v>
      </c>
      <c r="QY16" s="4"/>
      <c r="RF16" s="44">
        <v>20.7</v>
      </c>
      <c r="RG16"/>
      <c r="SA16" s="4"/>
      <c r="SB16" s="36"/>
      <c r="SC16" s="36"/>
      <c r="SD16" s="36"/>
      <c r="SE16" s="36"/>
      <c r="SF16" s="36"/>
      <c r="SG16" s="36"/>
      <c r="SH16" s="44">
        <v>20.7</v>
      </c>
      <c r="TC16" s="4"/>
      <c r="TD16" s="36"/>
      <c r="TE16" s="36"/>
      <c r="TF16" s="36"/>
      <c r="TG16" s="36"/>
      <c r="TH16" s="36"/>
      <c r="TI16" s="36"/>
      <c r="TJ16" s="44">
        <v>20.7</v>
      </c>
    </row>
    <row r="17" spans="1:530" ht="17" x14ac:dyDescent="0.2">
      <c r="A17" s="5"/>
      <c r="B17" s="35" t="s">
        <v>76</v>
      </c>
      <c r="C17" s="20"/>
      <c r="R17" s="10"/>
      <c r="S17" s="10"/>
      <c r="T17" s="10"/>
      <c r="AP17" s="4"/>
      <c r="AW17" s="45">
        <v>20.7</v>
      </c>
      <c r="BS17" s="4"/>
      <c r="BZ17" s="45">
        <v>20.7</v>
      </c>
      <c r="CV17" s="4"/>
      <c r="DC17" s="45">
        <v>20.7</v>
      </c>
      <c r="EA17" s="4"/>
      <c r="EH17" s="45">
        <v>20.7</v>
      </c>
      <c r="FC17" s="4"/>
      <c r="FJ17" s="45">
        <v>20.7</v>
      </c>
      <c r="GE17" s="4"/>
      <c r="GL17" s="45">
        <v>20.7</v>
      </c>
      <c r="HG17" s="4"/>
      <c r="HN17" s="45">
        <v>20.7</v>
      </c>
      <c r="II17" s="4"/>
      <c r="IP17" s="45">
        <v>20.7</v>
      </c>
      <c r="JK17" s="4"/>
      <c r="JR17" s="45">
        <v>20.7</v>
      </c>
      <c r="KM17" s="4"/>
      <c r="KT17" s="45">
        <v>20.7</v>
      </c>
      <c r="LO17" s="4"/>
      <c r="LV17" s="45">
        <v>20.7</v>
      </c>
      <c r="MQ17" s="4"/>
      <c r="MX17" s="45">
        <v>20.7</v>
      </c>
      <c r="NS17" s="4"/>
      <c r="NZ17" s="45">
        <v>20.7</v>
      </c>
      <c r="OU17" s="4"/>
      <c r="PB17" s="45">
        <v>20.7</v>
      </c>
      <c r="PW17" s="4"/>
      <c r="QD17" s="45">
        <v>20.7</v>
      </c>
      <c r="QY17" s="4"/>
      <c r="RF17" s="45">
        <v>20.7</v>
      </c>
      <c r="RG17"/>
      <c r="SA17" s="4"/>
      <c r="SB17" s="36"/>
      <c r="SC17" s="36"/>
      <c r="SD17" s="36"/>
      <c r="SE17" s="36"/>
      <c r="SF17" s="36"/>
      <c r="SG17" s="36"/>
      <c r="SH17" s="45">
        <v>20.7</v>
      </c>
      <c r="TC17" s="4"/>
      <c r="TD17" s="36"/>
      <c r="TE17" s="36"/>
      <c r="TF17" s="36"/>
      <c r="TG17" s="36"/>
      <c r="TH17" s="36"/>
      <c r="TI17" s="36"/>
      <c r="TJ17" s="45">
        <v>20.7</v>
      </c>
    </row>
    <row r="18" spans="1:530" ht="17" x14ac:dyDescent="0.2">
      <c r="A18" s="5"/>
      <c r="B18" s="34" t="s">
        <v>48</v>
      </c>
      <c r="C18" s="20"/>
      <c r="R18" s="10"/>
      <c r="S18" s="10"/>
      <c r="T18" s="10"/>
      <c r="AP18" s="4"/>
      <c r="AW18" s="46">
        <v>46.2</v>
      </c>
      <c r="BS18" s="4"/>
      <c r="BZ18" s="46">
        <v>46.2</v>
      </c>
      <c r="CV18" s="4"/>
      <c r="DC18" s="46">
        <v>46.2</v>
      </c>
      <c r="EA18" s="4"/>
      <c r="EH18" s="46">
        <v>46.2</v>
      </c>
      <c r="FC18" s="4"/>
      <c r="FJ18" s="46">
        <v>46.2</v>
      </c>
      <c r="GE18" s="4"/>
      <c r="GL18" s="46">
        <v>46.2</v>
      </c>
      <c r="HG18" s="4"/>
      <c r="HN18" s="46">
        <v>46.2</v>
      </c>
      <c r="II18" s="4"/>
      <c r="IP18" s="46">
        <v>46.2</v>
      </c>
      <c r="JK18" s="4"/>
      <c r="JR18" s="46">
        <v>46.2</v>
      </c>
      <c r="KM18" s="4"/>
      <c r="KT18" s="46">
        <v>46.2</v>
      </c>
      <c r="LO18" s="4"/>
      <c r="LV18" s="46">
        <v>46.2</v>
      </c>
      <c r="MQ18" s="4"/>
      <c r="MX18" s="46">
        <v>46.2</v>
      </c>
      <c r="NS18" s="4"/>
      <c r="NZ18" s="46">
        <v>46.2</v>
      </c>
      <c r="OU18" s="4"/>
      <c r="PB18" s="46">
        <v>46.2</v>
      </c>
      <c r="PW18" s="4"/>
      <c r="QD18" s="46">
        <v>46.2</v>
      </c>
      <c r="QY18" s="4"/>
      <c r="RF18" s="46">
        <v>46.2</v>
      </c>
      <c r="RG18"/>
      <c r="SA18" s="4"/>
      <c r="SB18" s="36"/>
      <c r="SC18" s="36"/>
      <c r="SD18" s="36"/>
      <c r="SE18" s="36"/>
      <c r="SF18" s="36"/>
      <c r="SG18" s="36"/>
      <c r="SH18" s="46">
        <v>46.2</v>
      </c>
      <c r="TC18" s="4"/>
      <c r="TD18" s="36"/>
      <c r="TE18" s="36"/>
      <c r="TF18" s="36"/>
      <c r="TG18" s="36"/>
      <c r="TH18" s="36"/>
      <c r="TI18" s="36"/>
      <c r="TJ18" s="46">
        <v>46.2</v>
      </c>
    </row>
    <row r="19" spans="1:530" ht="17" x14ac:dyDescent="0.2">
      <c r="A19" s="5"/>
      <c r="B19" s="24" t="s">
        <v>49</v>
      </c>
      <c r="C19" s="20"/>
      <c r="R19" s="10"/>
      <c r="S19" s="10"/>
      <c r="T19" s="10"/>
      <c r="AP19" s="4"/>
      <c r="AW19" s="47">
        <v>70.5</v>
      </c>
      <c r="BS19" s="4"/>
      <c r="BZ19" s="47">
        <v>70.5</v>
      </c>
      <c r="CV19" s="4"/>
      <c r="DC19" s="47">
        <v>70.5</v>
      </c>
      <c r="EA19" s="4"/>
      <c r="EH19" s="47">
        <v>70.5</v>
      </c>
      <c r="FC19" s="4"/>
      <c r="FJ19" s="47">
        <v>70.5</v>
      </c>
      <c r="GE19" s="4"/>
      <c r="GL19" s="47">
        <v>70.5</v>
      </c>
      <c r="HG19" s="4"/>
      <c r="HN19" s="47">
        <v>70.5</v>
      </c>
      <c r="II19" s="4"/>
      <c r="IP19" s="47">
        <v>70.5</v>
      </c>
      <c r="JK19" s="4"/>
      <c r="JR19" s="47">
        <v>70.5</v>
      </c>
      <c r="KM19" s="4"/>
      <c r="KT19" s="47">
        <v>70.5</v>
      </c>
      <c r="LO19" s="4"/>
      <c r="LV19" s="47">
        <v>70.5</v>
      </c>
      <c r="MQ19" s="4"/>
      <c r="MX19" s="47">
        <v>70.5</v>
      </c>
      <c r="NS19" s="4"/>
      <c r="NZ19" s="47">
        <v>70.5</v>
      </c>
      <c r="OU19" s="4"/>
      <c r="PB19" s="47">
        <v>70.5</v>
      </c>
      <c r="PW19" s="4"/>
      <c r="QD19" s="47">
        <v>70.5</v>
      </c>
      <c r="QY19" s="4"/>
      <c r="RF19" s="47">
        <v>70.5</v>
      </c>
      <c r="RG19"/>
      <c r="SA19" s="4"/>
      <c r="SB19" s="36"/>
      <c r="SC19" s="36"/>
      <c r="SD19" s="36"/>
      <c r="SE19" s="36"/>
      <c r="SF19" s="36"/>
      <c r="SG19" s="36"/>
      <c r="SH19" s="47">
        <v>70.5</v>
      </c>
      <c r="TC19" s="4"/>
      <c r="TD19" s="36"/>
      <c r="TE19" s="36"/>
      <c r="TF19" s="36"/>
      <c r="TG19" s="36"/>
      <c r="TH19" s="36"/>
      <c r="TI19" s="36"/>
      <c r="TJ19" s="47">
        <v>70.5</v>
      </c>
    </row>
    <row r="20" spans="1:530" ht="17" x14ac:dyDescent="0.2">
      <c r="A20" s="5"/>
      <c r="B20" s="33" t="s">
        <v>62</v>
      </c>
      <c r="C20" s="20"/>
      <c r="R20" s="10"/>
      <c r="S20" s="10"/>
      <c r="T20" s="10"/>
      <c r="AP20" s="4"/>
      <c r="AW20" s="48">
        <v>74.400000000000006</v>
      </c>
      <c r="BS20" s="4"/>
      <c r="BZ20" s="48">
        <v>74.400000000000006</v>
      </c>
      <c r="CV20" s="4"/>
      <c r="DC20" s="48">
        <v>74.400000000000006</v>
      </c>
      <c r="EA20" s="4"/>
      <c r="EH20" s="48">
        <v>74.400000000000006</v>
      </c>
      <c r="FC20" s="4"/>
      <c r="FJ20" s="48">
        <v>74.400000000000006</v>
      </c>
      <c r="GE20" s="4"/>
      <c r="GL20" s="48">
        <v>74.400000000000006</v>
      </c>
      <c r="HG20" s="4"/>
      <c r="HN20" s="48">
        <v>74.400000000000006</v>
      </c>
      <c r="II20" s="4"/>
      <c r="IP20" s="48">
        <v>74.400000000000006</v>
      </c>
      <c r="JK20" s="4"/>
      <c r="JR20" s="48">
        <v>74.400000000000006</v>
      </c>
      <c r="KM20" s="4"/>
      <c r="KT20" s="48">
        <v>74.400000000000006</v>
      </c>
      <c r="LO20" s="4"/>
      <c r="LV20" s="48">
        <v>74.400000000000006</v>
      </c>
      <c r="MQ20" s="4"/>
      <c r="MX20" s="48">
        <v>74.400000000000006</v>
      </c>
      <c r="NS20" s="4"/>
      <c r="NZ20" s="48">
        <v>74.400000000000006</v>
      </c>
      <c r="OU20" s="4"/>
      <c r="PB20" s="48">
        <v>74.400000000000006</v>
      </c>
      <c r="PW20" s="4"/>
      <c r="QD20" s="48">
        <v>74.400000000000006</v>
      </c>
      <c r="QY20" s="4"/>
      <c r="RF20" s="48">
        <v>74.400000000000006</v>
      </c>
      <c r="RG20"/>
      <c r="SA20" s="4"/>
      <c r="SB20" s="36"/>
      <c r="SC20" s="36"/>
      <c r="SD20" s="36"/>
      <c r="SE20" s="36"/>
      <c r="SF20" s="36"/>
      <c r="SG20" s="36"/>
      <c r="SH20" s="48">
        <v>74.400000000000006</v>
      </c>
      <c r="TC20" s="4"/>
      <c r="TD20" s="36"/>
      <c r="TE20" s="36"/>
      <c r="TF20" s="36"/>
      <c r="TG20" s="36"/>
      <c r="TH20" s="36"/>
      <c r="TI20" s="36"/>
      <c r="TJ20" s="48">
        <v>74.400000000000006</v>
      </c>
    </row>
    <row r="21" spans="1:530" ht="17" x14ac:dyDescent="0.2">
      <c r="A21" s="5"/>
      <c r="B21" s="25" t="s">
        <v>32</v>
      </c>
      <c r="C21" s="20"/>
      <c r="R21" s="10"/>
      <c r="S21" s="10"/>
      <c r="T21" s="10"/>
      <c r="AP21" s="4"/>
      <c r="AW21" s="49">
        <v>76.7</v>
      </c>
      <c r="BS21" s="4"/>
      <c r="BZ21" s="49">
        <v>76.7</v>
      </c>
      <c r="CV21" s="4"/>
      <c r="DC21" s="49">
        <v>76.7</v>
      </c>
      <c r="EA21" s="4"/>
      <c r="EH21" s="49">
        <v>76.7</v>
      </c>
      <c r="FC21" s="4"/>
      <c r="FJ21" s="49">
        <v>76.7</v>
      </c>
      <c r="GE21" s="4"/>
      <c r="GL21" s="49">
        <v>76.7</v>
      </c>
      <c r="HG21" s="4"/>
      <c r="HN21" s="49">
        <v>76.7</v>
      </c>
      <c r="II21" s="4"/>
      <c r="IP21" s="49">
        <v>76.7</v>
      </c>
      <c r="JK21" s="4"/>
      <c r="JR21" s="49">
        <v>76.7</v>
      </c>
      <c r="KM21" s="4"/>
      <c r="KT21" s="49">
        <v>76.7</v>
      </c>
      <c r="LO21" s="4"/>
      <c r="LV21" s="49">
        <v>76.7</v>
      </c>
      <c r="MQ21" s="4"/>
      <c r="MX21" s="49">
        <v>76.7</v>
      </c>
      <c r="NS21" s="4"/>
      <c r="NZ21" s="49">
        <v>76.7</v>
      </c>
      <c r="OU21" s="4"/>
      <c r="PB21" s="49">
        <v>76.7</v>
      </c>
      <c r="PW21" s="4"/>
      <c r="QD21" s="49">
        <v>76.7</v>
      </c>
      <c r="QY21" s="4"/>
      <c r="RF21" s="49">
        <v>76.7</v>
      </c>
      <c r="RG21"/>
      <c r="SA21" s="4"/>
      <c r="SB21" s="36"/>
      <c r="SC21" s="36"/>
      <c r="SD21" s="36"/>
      <c r="SE21" s="36"/>
      <c r="SF21" s="36"/>
      <c r="SG21" s="36"/>
      <c r="SH21" s="49">
        <v>76.7</v>
      </c>
      <c r="TC21" s="4"/>
      <c r="TD21" s="36"/>
      <c r="TE21" s="36"/>
      <c r="TF21" s="36"/>
      <c r="TG21" s="36"/>
      <c r="TH21" s="36"/>
      <c r="TI21" s="36"/>
      <c r="TJ21" s="49">
        <v>76.7</v>
      </c>
    </row>
    <row r="22" spans="1:530" x14ac:dyDescent="0.2">
      <c r="B22" s="29" t="s">
        <v>54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11">
      <sortCondition descending="1" ref="F1:F12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1">
    <cfRule type="expression" dxfId="155" priority="61" stopIfTrue="1">
      <formula>IF($AO4&lt;&gt;"",1,0)</formula>
    </cfRule>
  </conditionalFormatting>
  <conditionalFormatting sqref="AX4:BZ11">
    <cfRule type="expression" dxfId="154" priority="60" stopIfTrue="1">
      <formula>IF($BR4&lt;&gt;"",1,0)</formula>
    </cfRule>
  </conditionalFormatting>
  <conditionalFormatting sqref="M1:M3 O1:O3 K1:K1048576 Q1:Q1048576 M4:O1048576">
    <cfRule type="expression" dxfId="153" priority="57">
      <formula>IF(K1=$CA$1,1,0)</formula>
    </cfRule>
    <cfRule type="expression" dxfId="152" priority="58">
      <formula>IF(K1=$AX$1,1,0)</formula>
    </cfRule>
    <cfRule type="expression" dxfId="151" priority="59">
      <formula>IF(K1=$U$1,1,0)</formula>
    </cfRule>
  </conditionalFormatting>
  <conditionalFormatting sqref="CA4:DC11">
    <cfRule type="expression" dxfId="150" priority="47" stopIfTrue="1">
      <formula>IF($CU4&lt;&gt;"",1,0)</formula>
    </cfRule>
  </conditionalFormatting>
  <conditionalFormatting sqref="A4:A1048576">
    <cfRule type="expression" dxfId="149" priority="33">
      <formula>AND(G4="P",F4="")</formula>
    </cfRule>
    <cfRule type="expression" dxfId="148" priority="55" stopIfTrue="1">
      <formula>IF(A4&gt;8,1,0)</formula>
    </cfRule>
  </conditionalFormatting>
  <conditionalFormatting sqref="H1:H1048576">
    <cfRule type="containsText" dxfId="147" priority="50" operator="containsText" text="No DD">
      <formula>NOT(ISERROR(SEARCH("No DD",H1)))</formula>
    </cfRule>
    <cfRule type="containsText" dxfId="146" priority="51" operator="containsText" text="Merit">
      <formula>NOT(ISERROR(SEARCH("Merit",H1)))</formula>
    </cfRule>
    <cfRule type="containsText" dxfId="145" priority="52" operator="containsText" text="Excellence">
      <formula>NOT(ISERROR(SEARCH("Excellence",H1)))</formula>
    </cfRule>
    <cfRule type="containsText" dxfId="144" priority="53" operator="containsText" text="Worlds Team">
      <formula>NOT(ISERROR(SEARCH("Worlds Team",H1)))</formula>
    </cfRule>
    <cfRule type="containsText" dxfId="143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142" priority="48" operator="between">
      <formula>AW$21</formula>
      <formula>1000</formula>
    </cfRule>
    <cfRule type="cellIs" dxfId="141" priority="49" operator="between">
      <formula>AW$20</formula>
      <formula>AW$21</formula>
    </cfRule>
    <cfRule type="cellIs" dxfId="140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139" priority="124621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138" priority="124672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137" priority="124723" operator="between">
      <formula>AW$14</formula>
      <formula>AW$15</formula>
    </cfRule>
    <cfRule type="cellIs" dxfId="136" priority="124724" operator="between">
      <formula>AW$15</formula>
      <formula>AW$16</formula>
    </cfRule>
    <cfRule type="cellIs" dxfId="135" priority="124725" operator="between">
      <formula>AW$16</formula>
      <formula>AW$17</formula>
    </cfRule>
    <cfRule type="cellIs" dxfId="134" priority="124726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33" priority="124927" operator="between">
      <formula>AW$18</formula>
      <formula>AW$19</formula>
    </cfRule>
    <cfRule type="cellIs" dxfId="132" priority="124928" operator="between">
      <formula>AW$19</formula>
      <formula>AW$20</formula>
    </cfRule>
    <cfRule type="cellIs" dxfId="131" priority="124929" operator="between">
      <formula>AW$20</formula>
      <formula>AW$21</formula>
    </cfRule>
    <cfRule type="cellIs" dxfId="130" priority="124930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29" priority="125131" operator="between">
      <formula>AW$17</formula>
      <formula>1000</formula>
    </cfRule>
    <cfRule type="cellIs" dxfId="128" priority="125132" operator="between">
      <formula>AW$16</formula>
      <formula>AW$17</formula>
    </cfRule>
    <cfRule type="cellIs" dxfId="127" priority="125133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245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 t="shared" ref="E4:E16" si="0">SUM(J4:R4)+SUM(J4:N4)*0.0000001+SUM(J4)*0.0000000000001</f>
        <v>155.90001122000453</v>
      </c>
      <c r="F4" s="3" t="str">
        <f t="shared" ref="F4:F16" si="1"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 t="shared" ref="G4:G16" si="2"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 t="shared" ref="H4:H16" si="3"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 t="shared" ref="I4:I16" si="4"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 t="shared" ref="K4:K16" si="5"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 t="shared" ref="M4:M16" si="6"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 t="shared" ref="O4:O16" si="7">IF(N4=0,"",IF(N4=CX4,$CA$1,IF(N4=BU4,$AX$1,IF(N4=AR4,$U$1,""))))</f>
        <v>2024 3rd Domestic Trial</v>
      </c>
      <c r="P4" s="8">
        <f t="shared" ref="P4:P16" si="8">IF(MAX(AV4,BY4,DB4)&gt;0,MAX(AV4,BY4,DB4),0)</f>
        <v>43.699999999999996</v>
      </c>
      <c r="Q4" s="8" t="str">
        <f t="shared" ref="Q4:Q16" si="9">IF(P4=0,"",IF(P4=DB4,$CA$1,IF(P4=BY4,$AX$1,IF(P4=AV4,$U$1,""))))</f>
        <v>2024 Nationals</v>
      </c>
      <c r="R4" s="8" t="str">
        <f t="shared" ref="R4:R16" si="10">IF(MAX(DD4:DF4)&gt;0,MAX(DD4:DF4),"")</f>
        <v/>
      </c>
      <c r="S4" s="11" t="str">
        <f t="shared" ref="S4:S16" si="11">IF(R4="","",IF(R4=DD4,"("&amp;DD$2&amp;")",IF(R4=DE4,"("&amp;DE$2&amp;")",IF(R4=DF4,"("&amp;DF$2&amp;")"))))</f>
        <v/>
      </c>
      <c r="T4" s="8" t="str">
        <f t="shared" ref="T4:T16" si="12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 t="shared" ref="AP4:AP16" si="13">IF(SUM(V4,Z4)&gt;0,SUM(V4,Z4),"")</f>
        <v>8</v>
      </c>
      <c r="AQ4" s="40">
        <f t="shared" ref="AQ4:AQ16" si="14">IF(SUM(U4:V4,X4:Z4,AB4)-W4-AA4&gt;0,SUM(U4:V4,X4:Z4,AB4)-W4-AA4,"")</f>
        <v>42.79999999999999</v>
      </c>
      <c r="AR4" s="40">
        <f t="shared" ref="AR4:AR16" si="15">IF(SUM(AC4:AD4,AF4)-AE4&gt;0,SUM(AC4:AD4,AF4)-AE4,"")</f>
        <v>22</v>
      </c>
      <c r="AS4" s="40">
        <f t="shared" ref="AS4:AS16" si="16">IF(SUM(V4,Z4,AD4)&gt;0,SUM(V4,Z4,AD4),"")</f>
        <v>11.9</v>
      </c>
      <c r="AT4" s="40">
        <f t="shared" ref="AT4:AT16" si="17">IF(SUM(AQ4,AR4)&gt;0,SUM(AQ4,AR4),"")</f>
        <v>64.799999999999983</v>
      </c>
      <c r="AU4" s="40">
        <f t="shared" ref="AU4:AU16" si="18">IF(SUM(AH4,AL4)&gt;0,SUM(AH4,AL4),"")</f>
        <v>8</v>
      </c>
      <c r="AV4" s="40">
        <f t="shared" ref="AV4:AV16" si="19">IF(SUM(AG4:AH4,AJ4:AL4,AN4)-SUM(AI4,AM4)&gt;0,SUM(AG4:AH4,AJ4:AL4,AN4)-SUM(AI4,AM4),"")</f>
        <v>42.9</v>
      </c>
      <c r="AW4" s="40">
        <f t="shared" ref="AW4:AW16" si="20"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 t="shared" ref="BS4:BS16" si="21">IF(SUM(AY4,BC4)&gt;0,SUM(AY4,BC4),"")</f>
        <v>8.8999999999999986</v>
      </c>
      <c r="BT4" s="11">
        <f t="shared" ref="BT4:BT16" si="22">IF(SUM(AX4:AY4,BA4:BC4,BE4)-AZ4-BD4&gt;0,SUM(AX4:AY4,BA4:BC4,BE4)-AZ4-BD4,"")</f>
        <v>44.399999999999991</v>
      </c>
      <c r="BU4" s="11">
        <f t="shared" ref="BU4:BU16" si="23">IF(SUM(BF4:BG4,BI4)-BH4&gt;0,SUM(BF4:BG4,BI4)-BH4,"")</f>
        <v>21.900000000000002</v>
      </c>
      <c r="BV4" s="11">
        <f t="shared" ref="BV4:BV16" si="24">IF(SUM(AY4,BC4,BG4)&gt;0,SUM(AY4,BC4,BG4),"")</f>
        <v>12.999999999999998</v>
      </c>
      <c r="BW4" s="11">
        <f t="shared" ref="BW4:BW16" si="25">IF(SUM(BT4,BU4)&gt;0,SUM(BT4,BU4),"")</f>
        <v>66.3</v>
      </c>
      <c r="BX4" s="11">
        <f t="shared" ref="BX4:BX16" si="26">IF(SUM(BK4,BO4)&gt;0,SUM(BK4,BO4),"")</f>
        <v>8</v>
      </c>
      <c r="BY4" s="11">
        <f t="shared" ref="BY4:BY16" si="27">IF(SUM(BJ4:BK4,BM4:BO4,BQ4)-SUM(BL4,BP4)&gt;0,SUM(BJ4:BK4,BM4:BO4,BQ4)-SUM(BL4,BP4),"")</f>
        <v>43.699999999999996</v>
      </c>
      <c r="BZ4" s="11">
        <f t="shared" ref="BZ4:BZ16" si="28"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 t="shared" ref="CV4:CV16" si="29">IF(SUM(CB4,CF4)&gt;0,SUM(CB4,CF4),"")</f>
        <v>10.399999999999999</v>
      </c>
      <c r="CW4" s="40">
        <f t="shared" ref="CW4:CW16" si="30">IF(SUM(CA4:CB4,CD4:CF4,CH4)-CC4-CG4&gt;0,SUM(CA4:CB4,CD4:CF4,CH4)-CC4-CG4,"")</f>
        <v>45.499999999999993</v>
      </c>
      <c r="CX4" s="40">
        <f t="shared" ref="CX4:CX16" si="31">IF(SUM(CI4:CJ4,CL4)-CK4&gt;0,SUM(CI4:CJ4,CL4)-CK4,"")</f>
        <v>22.3</v>
      </c>
      <c r="CY4" s="40">
        <f t="shared" ref="CY4:CY16" si="32">IF(SUM(CB4,CF4,CJ4)&gt;0,SUM(CB4,CF4,CJ4),"")</f>
        <v>14.7</v>
      </c>
      <c r="CZ4" s="40">
        <f t="shared" ref="CZ4:CZ16" si="33">IF(SUM(CW4,CX4)&gt;0,SUM(CW4,CX4),"")</f>
        <v>67.8</v>
      </c>
      <c r="DA4" s="40">
        <f t="shared" ref="DA4:DA16" si="34">IF(SUM(CN4,CR4)&gt;0,SUM(CN4,CR4),"")</f>
        <v>8.1</v>
      </c>
      <c r="DB4" s="40">
        <f t="shared" ref="DB4:DB16" si="35">IF(SUM(CM4:CN4,CP4:CR4,CT4)-SUM(CO4,CS4)&gt;0,SUM(CM4:CN4,CP4:CR4,CT4)-SUM(CO4,CS4),"")</f>
        <v>42.8</v>
      </c>
      <c r="DC4" s="40">
        <f t="shared" ref="DC4:DC16" si="36">IF(SUM(CW4,CX4,DB4)&gt;0,SUM(CW4,CX4,DB4),"")</f>
        <v>110.6</v>
      </c>
      <c r="DD4" s="51" t="str">
        <f t="shared" ref="DD4:DD16" si="37">IF(MAX(EB4,FD4,GF4,HH4,IJ4,JL4,KN4,LP4,MR4,NT4,OV4,PX4,QZ4,SB4,TD4)-IF(L4="",0,L4)&gt;0.001,MAX(EB4,FD4,GF4,HH4,IJ4,JL4,KN4,LP4,MR4,NT4,OV4,PX4,QZ4,SB4,TD4)-IF(L4="",0,L4),"")</f>
        <v/>
      </c>
      <c r="DE4" s="51" t="str">
        <f t="shared" ref="DE4:DE16" si="38">IF(MAX(EC4,FE4,GG4,HI4,IK4,JM4,KO4,LQ4,MS4,NU4,OW4,PY4,RA4,SC4,TE4)-IF(N4="",0,N4)&gt;0.001,MAX(EC4,FE4,GG4,HI4,IK4,JM4,KO4,LQ4,MS4,NU4,OW4,PY4,RA4,SC4,TE4)-IF(N4="",0,N4),"")</f>
        <v/>
      </c>
      <c r="DF4" s="51" t="str">
        <f t="shared" ref="DF4:DF16" si="39"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 t="shared" ref="EA4:EA16" si="40">IF(SUM(DH4,DL4)&gt;0,SUM(DH4,DL4),"")</f>
        <v>8.3999999999999986</v>
      </c>
      <c r="EB4" s="40">
        <f t="shared" ref="EB4:EB16" si="41">IF(SUM(DG4:DH4,DJ4:DL4,DN4)-DI4-DM4&gt;0,SUM(DG4:DH4,DJ4:DL4,DN4)-DI4-DM4,"")</f>
        <v>41.5</v>
      </c>
      <c r="EC4" s="40" t="str">
        <f t="shared" ref="EC4:EC16" si="42">IF(SUM(DO4:DP4,DR4)-DQ4&gt;0,SUM(DO4:DP4,DR4)-DQ4,"")</f>
        <v/>
      </c>
      <c r="ED4" s="40">
        <f t="shared" ref="ED4:ED16" si="43">IF(SUM(DH4,DL4,DP4)&gt;0,SUM(DH4,DL4,DP4),"")</f>
        <v>8.3999999999999986</v>
      </c>
      <c r="EE4" s="40">
        <f t="shared" ref="EE4:EE16" si="44">IF(SUM(EB4,EC4)&gt;0,SUM(EB4,EC4),"")</f>
        <v>41.5</v>
      </c>
      <c r="EF4" s="40">
        <f t="shared" ref="EF4:EF16" si="45">IF(SUM(DT4,DX4)&gt;0,SUM(DT4,DX4),"")</f>
        <v>3.9</v>
      </c>
      <c r="EG4" s="40">
        <f t="shared" ref="EG4:EG16" si="46">IF(SUM(DS4:DT4,DV4:DX4,DZ4)-SUM(DU4,DY4)&gt;0,SUM(DS4:DT4,DV4:DX4,DZ4)-SUM(DU4,DY4),"")</f>
        <v>20.799999999999997</v>
      </c>
      <c r="EH4" s="40">
        <f t="shared" ref="EH4:EH16" si="47"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6" si="48">IF(SUM(EJ4,EN4)&gt;0,SUM(EJ4,EN4),"")</f>
        <v/>
      </c>
      <c r="FD4" s="11" t="str">
        <f t="shared" ref="FD4:FD16" si="49">IF(SUM(EI4:EJ4,EL4:EN4,EP4)-EK4-EO4&gt;0,SUM(EI4:EJ4,EL4:EN4,EP4)-EK4-EO4,"")</f>
        <v/>
      </c>
      <c r="FE4" s="11" t="str">
        <f t="shared" ref="FE4:FE16" si="50">IF(SUM(EQ4:ER4,ET4)-ES4&gt;0,SUM(EQ4:ER4,ET4)-ES4,"")</f>
        <v/>
      </c>
      <c r="FF4" s="11" t="str">
        <f t="shared" ref="FF4:FF16" si="51">IF(SUM(EJ4,EN4,ER4)&gt;0,SUM(EJ4,EN4,ER4),"")</f>
        <v/>
      </c>
      <c r="FG4" s="11" t="str">
        <f t="shared" ref="FG4:FG16" si="52">IF(SUM(FD4,FE4)&gt;0,SUM(FD4,FE4),"")</f>
        <v/>
      </c>
      <c r="FH4" s="11" t="str">
        <f t="shared" ref="FH4:FH16" si="53">IF(SUM(EV4,EZ4)&gt;0,SUM(EV4,EZ4),"")</f>
        <v/>
      </c>
      <c r="FI4" s="11" t="str">
        <f t="shared" ref="FI4:FI16" si="54">IF(SUM(EU4:EV4,EX4:EZ4,FB4)-SUM(EW4,FA4)&gt;0,SUM(EU4:EV4,EX4:EZ4,FB4)-SUM(EW4,FA4),"")</f>
        <v/>
      </c>
      <c r="FJ4" s="11" t="str">
        <f t="shared" ref="FJ4:FJ16" si="55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6" si="56">IF(SUM(FL4,FP4)&gt;0,SUM(FL4,FP4),"")</f>
        <v/>
      </c>
      <c r="GF4" s="40" t="str">
        <f t="shared" ref="GF4:GF16" si="57">IF(SUM(FK4:FL4,FN4:FP4,FR4)-FM4-FQ4&gt;0,SUM(FK4:FL4,FN4:FP4,FR4)-FM4-FQ4,"")</f>
        <v/>
      </c>
      <c r="GG4" s="40" t="str">
        <f t="shared" ref="GG4:GG16" si="58">IF(SUM(FS4:FT4,FV4)-FU4&gt;0,SUM(FS4:FT4,FV4)-FU4,"")</f>
        <v/>
      </c>
      <c r="GH4" s="40" t="str">
        <f t="shared" ref="GH4:GH16" si="59">IF(SUM(FL4,FP4,FT4)&gt;0,SUM(FL4,FP4,FT4),"")</f>
        <v/>
      </c>
      <c r="GI4" s="40" t="str">
        <f t="shared" ref="GI4:GI16" si="60">IF(SUM(GF4,GG4)&gt;0,SUM(GF4,GG4),"")</f>
        <v/>
      </c>
      <c r="GJ4" s="40" t="str">
        <f t="shared" ref="GJ4:GJ16" si="61">IF(SUM(FX4,GB4)&gt;0,SUM(FX4,GB4),"")</f>
        <v/>
      </c>
      <c r="GK4" s="40" t="str">
        <f t="shared" ref="GK4:GK16" si="62">IF(SUM(FW4:FX4,FZ4:GB4,GD4)-SUM(FY4,GC4)&gt;0,SUM(FW4:FX4,FZ4:GB4,GD4)-SUM(FY4,GC4),"")</f>
        <v/>
      </c>
      <c r="GL4" s="40" t="str">
        <f t="shared" ref="GL4:GL16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6" si="64">IF(SUM(GN4,GR4)&gt;0,SUM(GN4,GR4),"")</f>
        <v/>
      </c>
      <c r="HH4" s="11" t="str">
        <f t="shared" ref="HH4:HH16" si="65">IF(SUM(GM4:GN4,GP4:GR4,GT4)-GO4-GS4&gt;0,SUM(GM4:GN4,GP4:GR4,GT4)-GO4-GS4,"")</f>
        <v/>
      </c>
      <c r="HI4" s="11" t="str">
        <f t="shared" ref="HI4:HI16" si="66">IF(SUM(GU4:GV4,GX4)-GW4&gt;0,SUM(GU4:GV4,GX4)-GW4,"")</f>
        <v/>
      </c>
      <c r="HJ4" s="11" t="str">
        <f t="shared" ref="HJ4:HJ16" si="67">IF(SUM(GN4,GR4,GV4)&gt;0,SUM(GN4,GR4,GV4),"")</f>
        <v/>
      </c>
      <c r="HK4" s="11" t="str">
        <f t="shared" ref="HK4:HK16" si="68">IF(SUM(HH4,HI4)&gt;0,SUM(HH4,HI4),"")</f>
        <v/>
      </c>
      <c r="HL4" s="11" t="str">
        <f t="shared" ref="HL4:HL16" si="69">IF(SUM(GZ4,HD4)&gt;0,SUM(GZ4,HD4),"")</f>
        <v/>
      </c>
      <c r="HM4" s="11" t="str">
        <f t="shared" ref="HM4:HM16" si="70">IF(SUM(GY4:GZ4,HB4:HD4,HF4)-SUM(HA4,HE4)&gt;0,SUM(GY4:GZ4,HB4:HD4,HF4)-SUM(HA4,HE4),"")</f>
        <v/>
      </c>
      <c r="HN4" s="11" t="str">
        <f t="shared" ref="HN4:HN16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16" si="72">IF(SUM(HP4,HT4)&gt;0,SUM(HP4,HT4),"")</f>
        <v/>
      </c>
      <c r="IJ4" s="40" t="str">
        <f t="shared" ref="IJ4:IJ16" si="73">IF(SUM(HO4:HP4,HR4:HT4,HV4)-HQ4-HU4&gt;0,SUM(HO4:HP4,HR4:HT4,HV4)-HQ4-HU4,"")</f>
        <v/>
      </c>
      <c r="IK4" s="40" t="str">
        <f t="shared" ref="IK4:IK16" si="74">IF(SUM(HW4:HX4,HZ4)-HY4&gt;0,SUM(HW4:HX4,HZ4)-HY4,"")</f>
        <v/>
      </c>
      <c r="IL4" s="40" t="str">
        <f t="shared" ref="IL4:IL16" si="75">IF(SUM(HP4,HT4,HX4)&gt;0,SUM(HP4,HT4,HX4),"")</f>
        <v/>
      </c>
      <c r="IM4" s="40" t="str">
        <f t="shared" ref="IM4:IM16" si="76">IF(SUM(IJ4,IK4)&gt;0,SUM(IJ4,IK4),"")</f>
        <v/>
      </c>
      <c r="IN4" s="40" t="str">
        <f t="shared" ref="IN4:IN16" si="77">IF(SUM(IB4,IF4)&gt;0,SUM(IB4,IF4),"")</f>
        <v/>
      </c>
      <c r="IO4" s="40" t="str">
        <f t="shared" ref="IO4:IO16" si="78">IF(SUM(IA4:IB4,ID4:IF4,IH4)-SUM(IC4,IG4)&gt;0,SUM(IA4:IB4,ID4:IF4,IH4)-SUM(IC4,IG4),"")</f>
        <v/>
      </c>
      <c r="IP4" s="40" t="str">
        <f t="shared" ref="IP4:IP16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6" si="80">IF(SUM(IR4,IV4)&gt;0,SUM(IR4,IV4),"")</f>
        <v/>
      </c>
      <c r="JL4" s="11" t="str">
        <f t="shared" ref="JL4:JL16" si="81">IF(SUM(IQ4:IR4,IT4:IV4,IX4)-IS4-IW4&gt;0,SUM(IQ4:IR4,IT4:IV4,IX4)-IS4-IW4,"")</f>
        <v/>
      </c>
      <c r="JM4" s="11" t="str">
        <f t="shared" ref="JM4:JM16" si="82">IF(SUM(IY4:IZ4,JB4)-JA4&gt;0,SUM(IY4:IZ4,JB4)-JA4,"")</f>
        <v/>
      </c>
      <c r="JN4" s="11" t="str">
        <f t="shared" ref="JN4:JN16" si="83">IF(SUM(IR4,IV4,IZ4)&gt;0,SUM(IR4,IV4,IZ4),"")</f>
        <v/>
      </c>
      <c r="JO4" s="11" t="str">
        <f t="shared" ref="JO4:JO16" si="84">IF(SUM(JL4,JM4)&gt;0,SUM(JL4,JM4),"")</f>
        <v/>
      </c>
      <c r="JP4" s="11" t="str">
        <f t="shared" ref="JP4:JP16" si="85">IF(SUM(JD4,JH4)&gt;0,SUM(JD4,JH4),"")</f>
        <v/>
      </c>
      <c r="JQ4" s="11" t="str">
        <f t="shared" ref="JQ4:JQ16" si="86">IF(SUM(JC4:JD4,JF4:JH4,JJ4)-SUM(JE4,JI4)&gt;0,SUM(JC4:JD4,JF4:JH4,JJ4)-SUM(JE4,JI4),"")</f>
        <v/>
      </c>
      <c r="JR4" s="11" t="str">
        <f t="shared" ref="JR4:JR16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16" si="88">IF(SUM(JT4,JX4)&gt;0,SUM(JT4,JX4),"")</f>
        <v/>
      </c>
      <c r="KN4" s="40" t="str">
        <f t="shared" ref="KN4:KN16" si="89">IF(SUM(JS4:JT4,JV4:JX4,JZ4)-JU4-JY4&gt;0,SUM(JS4:JT4,JV4:JX4,JZ4)-JU4-JY4,"")</f>
        <v/>
      </c>
      <c r="KO4" s="40" t="str">
        <f t="shared" ref="KO4:KO16" si="90">IF(SUM(KA4:KB4,KD4)-KC4&gt;0,SUM(KA4:KB4,KD4)-KC4,"")</f>
        <v/>
      </c>
      <c r="KP4" s="40" t="str">
        <f t="shared" ref="KP4:KP16" si="91">IF(SUM(JT4,JX4,KB4)&gt;0,SUM(JT4,JX4,KB4),"")</f>
        <v/>
      </c>
      <c r="KQ4" s="40" t="str">
        <f t="shared" ref="KQ4:KQ16" si="92">IF(SUM(KN4,KO4)&gt;0,SUM(KN4,KO4),"")</f>
        <v/>
      </c>
      <c r="KR4" s="40" t="str">
        <f t="shared" ref="KR4:KR16" si="93">IF(SUM(KF4,KJ4)&gt;0,SUM(KF4,KJ4),"")</f>
        <v/>
      </c>
      <c r="KS4" s="40" t="str">
        <f t="shared" ref="KS4:KS16" si="94">IF(SUM(KE4:KF4,KH4:KJ4,KL4)-SUM(KG4,KK4)&gt;0,SUM(KE4:KF4,KH4:KJ4,KL4)-SUM(KG4,KK4),"")</f>
        <v/>
      </c>
      <c r="KT4" s="40" t="str">
        <f t="shared" ref="KT4:KT16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6" si="96">IF(SUM(KV4,KZ4)&gt;0,SUM(KV4,KZ4),"")</f>
        <v/>
      </c>
      <c r="LP4" s="11" t="str">
        <f t="shared" ref="LP4:LP16" si="97">IF(SUM(KU4:KV4,KX4:KZ4,LB4)-KW4-LA4&gt;0,SUM(KU4:KV4,KX4:KZ4,LB4)-KW4-LA4,"")</f>
        <v/>
      </c>
      <c r="LQ4" s="11" t="str">
        <f t="shared" ref="LQ4:LQ16" si="98">IF(SUM(LC4:LD4,LF4)-LE4&gt;0,SUM(LC4:LD4,LF4)-LE4,"")</f>
        <v/>
      </c>
      <c r="LR4" s="11" t="str">
        <f t="shared" ref="LR4:LR16" si="99">IF(SUM(KV4,KZ4,LD4)&gt;0,SUM(KV4,KZ4,LD4),"")</f>
        <v/>
      </c>
      <c r="LS4" s="11" t="str">
        <f t="shared" ref="LS4:LS16" si="100">IF(SUM(LP4,LQ4)&gt;0,SUM(LP4,LQ4),"")</f>
        <v/>
      </c>
      <c r="LT4" s="11" t="str">
        <f t="shared" ref="LT4:LT16" si="101">IF(SUM(LH4,LL4)&gt;0,SUM(LH4,LL4),"")</f>
        <v/>
      </c>
      <c r="LU4" s="11" t="str">
        <f t="shared" ref="LU4:LU16" si="102">IF(SUM(LG4:LH4,LJ4:LL4,LN4)-SUM(LI4,LM4)&gt;0,SUM(LG4:LH4,LJ4:LL4,LN4)-SUM(LI4,LM4),"")</f>
        <v/>
      </c>
      <c r="LV4" s="11" t="str">
        <f t="shared" ref="LV4:LV16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6" si="104">IF(SUM(LX4,MB4)&gt;0,SUM(LX4,MB4),"")</f>
        <v/>
      </c>
      <c r="MR4" s="40" t="str">
        <f t="shared" ref="MR4:MR16" si="105">IF(SUM(LW4:LX4,LZ4:MB4,MD4)-LY4-MC4&gt;0,SUM(LW4:LX4,LZ4:MB4,MD4)-LY4-MC4,"")</f>
        <v/>
      </c>
      <c r="MS4" s="40" t="str">
        <f t="shared" ref="MS4:MS16" si="106">IF(SUM(ME4:MF4,MH4)-MG4&gt;0,SUM(ME4:MF4,MH4)-MG4,"")</f>
        <v/>
      </c>
      <c r="MT4" s="40" t="str">
        <f t="shared" ref="MT4:MT16" si="107">IF(SUM(LX4,MB4,MF4)&gt;0,SUM(LX4,MB4,MF4),"")</f>
        <v/>
      </c>
      <c r="MU4" s="40" t="str">
        <f t="shared" ref="MU4:MU16" si="108">IF(SUM(MR4,MS4)&gt;0,SUM(MR4,MS4),"")</f>
        <v/>
      </c>
      <c r="MV4" s="40" t="str">
        <f t="shared" ref="MV4:MV16" si="109">IF(SUM(MJ4,MN4)&gt;0,SUM(MJ4,MN4),"")</f>
        <v/>
      </c>
      <c r="MW4" s="40" t="str">
        <f t="shared" ref="MW4:MW16" si="110">IF(SUM(MI4:MJ4,ML4:MN4,MP4)-SUM(MK4,MO4)&gt;0,SUM(MI4:MJ4,ML4:MN4,MP4)-SUM(MK4,MO4),"")</f>
        <v/>
      </c>
      <c r="MX4" s="40" t="str">
        <f t="shared" ref="MX4:MX16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6" si="112">IF(SUM(MZ4,ND4)&gt;0,SUM(MZ4,ND4),"")</f>
        <v/>
      </c>
      <c r="NT4" s="11" t="str">
        <f t="shared" ref="NT4:NT16" si="113">IF(SUM(MY4:MZ4,NB4:ND4,NF4)-NA4-NE4&gt;0,SUM(MY4:MZ4,NB4:ND4,NF4)-NA4-NE4,"")</f>
        <v/>
      </c>
      <c r="NU4" s="11" t="str">
        <f t="shared" ref="NU4:NU16" si="114">IF(SUM(NG4:NH4,NJ4)-NI4&gt;0,SUM(NG4:NH4,NJ4)-NI4,"")</f>
        <v/>
      </c>
      <c r="NV4" s="11" t="str">
        <f t="shared" ref="NV4:NV16" si="115">IF(SUM(MZ4,ND4,NH4)&gt;0,SUM(MZ4,ND4,NH4),"")</f>
        <v/>
      </c>
      <c r="NW4" s="11" t="str">
        <f t="shared" ref="NW4:NW16" si="116">IF(SUM(NT4,NU4)&gt;0,SUM(NT4,NU4),"")</f>
        <v/>
      </c>
      <c r="NX4" s="11" t="str">
        <f t="shared" ref="NX4:NX16" si="117">IF(SUM(NL4,NP4)&gt;0,SUM(NL4,NP4),"")</f>
        <v/>
      </c>
      <c r="NY4" s="11" t="str">
        <f t="shared" ref="NY4:NY16" si="118">IF(SUM(NK4:NL4,NN4:NP4,NR4)-SUM(NM4,NQ4)&gt;0,SUM(NK4:NL4,NN4:NP4,NR4)-SUM(NM4,NQ4),"")</f>
        <v/>
      </c>
      <c r="NZ4" s="11" t="str">
        <f t="shared" ref="NZ4:NZ16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6" si="120">IF(SUM(OB4,OF4)&gt;0,SUM(OB4,OF4),"")</f>
        <v/>
      </c>
      <c r="OV4" s="40" t="str">
        <f t="shared" ref="OV4:OV16" si="121">IF(SUM(OA4:OB4,OD4:OF4,OH4)-OC4-OG4&gt;0,SUM(OA4:OB4,OD4:OF4,OH4)-OC4-OG4,"")</f>
        <v/>
      </c>
      <c r="OW4" s="40" t="str">
        <f t="shared" ref="OW4:OW16" si="122">IF(SUM(OI4:OJ4,OL4)-OK4&gt;0,SUM(OI4:OJ4,OL4)-OK4,"")</f>
        <v/>
      </c>
      <c r="OX4" s="40" t="str">
        <f t="shared" ref="OX4:OX16" si="123">IF(SUM(OB4,OF4,OJ4)&gt;0,SUM(OB4,OF4,OJ4),"")</f>
        <v/>
      </c>
      <c r="OY4" s="40" t="str">
        <f t="shared" ref="OY4:OY16" si="124">IF(SUM(OV4,OW4)&gt;0,SUM(OV4,OW4),"")</f>
        <v/>
      </c>
      <c r="OZ4" s="40" t="str">
        <f t="shared" ref="OZ4:OZ16" si="125">IF(SUM(ON4,OR4)&gt;0,SUM(ON4,OR4),"")</f>
        <v/>
      </c>
      <c r="PA4" s="40" t="str">
        <f t="shared" ref="PA4:PA16" si="126">IF(SUM(OM4:ON4,OP4:OR4,OT4)-SUM(OO4,OS4)&gt;0,SUM(OM4:ON4,OP4:OR4,OT4)-SUM(OO4,OS4),"")</f>
        <v/>
      </c>
      <c r="PB4" s="40" t="str">
        <f t="shared" ref="PB4:PB16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6" si="128">IF(SUM(PD4,PH4)&gt;0,SUM(PD4,PH4),"")</f>
        <v/>
      </c>
      <c r="PX4" s="11" t="str">
        <f t="shared" ref="PX4:PX16" si="129">IF(SUM(PC4:PD4,PF4:PH4,PJ4)-PE4-PI4&gt;0,SUM(PC4:PD4,PF4:PH4,PJ4)-PE4-PI4,"")</f>
        <v/>
      </c>
      <c r="PY4" s="11" t="str">
        <f t="shared" ref="PY4:PY16" si="130">IF(SUM(PK4:PL4,PN4)-PM4&gt;0,SUM(PK4:PL4,PN4)-PM4,"")</f>
        <v/>
      </c>
      <c r="PZ4" s="11" t="str">
        <f t="shared" ref="PZ4:PZ16" si="131">IF(SUM(PD4,PH4,PL4)&gt;0,SUM(PD4,PH4,PL4),"")</f>
        <v/>
      </c>
      <c r="QA4" s="11" t="str">
        <f t="shared" ref="QA4:QA16" si="132">IF(SUM(PX4,PY4)&gt;0,SUM(PX4,PY4),"")</f>
        <v/>
      </c>
      <c r="QB4" s="11" t="str">
        <f t="shared" ref="QB4:QB16" si="133">IF(SUM(PP4,PT4)&gt;0,SUM(PP4,PT4),"")</f>
        <v/>
      </c>
      <c r="QC4" s="11" t="str">
        <f t="shared" ref="QC4:QC16" si="134">IF(SUM(PO4:PP4,PR4:PT4,PV4)-SUM(PQ4,PU4)&gt;0,SUM(PO4:PP4,PR4:PT4,PV4)-SUM(PQ4,PU4),"")</f>
        <v/>
      </c>
      <c r="QD4" s="11" t="str">
        <f t="shared" ref="QD4:QD16" si="135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16" si="136">IF(SUM(QF4,QJ4)&gt;0,SUM(QF4,QJ4),"")</f>
        <v/>
      </c>
      <c r="QZ4" s="40" t="str">
        <f t="shared" ref="QZ4:QZ16" si="137">IF(SUM(QE4:QF4,QH4:QJ4,QL4)-QG4-QK4&gt;0,SUM(QE4:QF4,QH4:QJ4,QL4)-QG4-QK4,"")</f>
        <v/>
      </c>
      <c r="RA4" s="40" t="str">
        <f t="shared" ref="RA4:RA16" si="138">IF(SUM(QM4:QN4,QP4)-QO4&gt;0,SUM(QM4:QN4,QP4)-QO4,"")</f>
        <v/>
      </c>
      <c r="RB4" s="40" t="str">
        <f t="shared" ref="RB4:RB16" si="139">IF(SUM(QF4,QJ4,QN4)&gt;0,SUM(QF4,QJ4,QN4),"")</f>
        <v/>
      </c>
      <c r="RC4" s="40" t="str">
        <f t="shared" ref="RC4:RC16" si="140">IF(SUM(QZ4,RA4)&gt;0,SUM(QZ4,RA4),"")</f>
        <v/>
      </c>
      <c r="RD4" s="40" t="str">
        <f t="shared" ref="RD4:RD16" si="141">IF(SUM(QR4,QV4)&gt;0,SUM(QR4,QV4),"")</f>
        <v/>
      </c>
      <c r="RE4" s="40" t="str">
        <f t="shared" ref="RE4:RE16" si="142">IF(SUM(QQ4:QR4,QT4:QV4,QX4)-SUM(QS4,QW4)&gt;0,SUM(QQ4:QR4,QT4:QV4,QX4)-SUM(QS4,QW4),"")</f>
        <v/>
      </c>
      <c r="RF4" s="40" t="str">
        <f t="shared" ref="RF4:RF16" si="143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16" si="144">IF(SUM(RH4,RL4)&gt;0,SUM(RH4,RL4),"")</f>
        <v/>
      </c>
      <c r="SB4" s="11" t="str">
        <f t="shared" ref="SB4:SB16" si="145">IF(SUM(RG4:RH4,RJ4:RL4,RN4)-RI4-RM4&gt;0,SUM(RG4:RH4,RJ4:RL4,RN4)-RI4-RM4,"")</f>
        <v/>
      </c>
      <c r="SC4" s="11" t="str">
        <f t="shared" ref="SC4:SC16" si="146">IF(SUM(RO4:RP4,RR4)-RQ4&gt;0,SUM(RO4:RP4,RR4)-RQ4,"")</f>
        <v/>
      </c>
      <c r="SD4" s="11" t="str">
        <f t="shared" ref="SD4:SD16" si="147">IF(SUM(RH4,RL4,RP4)&gt;0,SUM(RH4,RL4,RP4),"")</f>
        <v/>
      </c>
      <c r="SE4" s="11" t="str">
        <f t="shared" ref="SE4:SE16" si="148">IF(SUM(SB4,SC4)&gt;0,SUM(SB4,SC4),"")</f>
        <v/>
      </c>
      <c r="SF4" s="11" t="str">
        <f t="shared" ref="SF4:SF16" si="149">IF(SUM(RT4,RX4)&gt;0,SUM(RT4,RX4),"")</f>
        <v/>
      </c>
      <c r="SG4" s="11" t="str">
        <f t="shared" ref="SG4:SG16" si="150">IF(SUM(RS4:RT4,RV4:RX4,RZ4)-SUM(RU4,RY4)&gt;0,SUM(RS4:RT4,RV4:RX4,RZ4)-SUM(RU4,RY4),"")</f>
        <v/>
      </c>
      <c r="SH4" s="11" t="str">
        <f t="shared" ref="SH4:SH16" si="151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16" si="152">IF(SUM(SJ4,SN4)&gt;0,SUM(SJ4,SN4),"")</f>
        <v/>
      </c>
      <c r="TD4" s="40" t="str">
        <f t="shared" ref="TD4:TD16" si="153">IF(SUM(SI4:SJ4,SL4:SN4,SP4)-SK4-SO4&gt;0,SUM(SI4:SJ4,SL4:SN4,SP4)-SK4-SO4,"")</f>
        <v/>
      </c>
      <c r="TE4" s="40" t="str">
        <f t="shared" ref="TE4:TE16" si="154">IF(SUM(SQ4:SR4,ST4)-SS4&gt;0,SUM(SQ4:SR4,ST4)-SS4,"")</f>
        <v/>
      </c>
      <c r="TF4" s="40" t="str">
        <f t="shared" ref="TF4:TF16" si="155">IF(SUM(SJ4,SN4,SR4)&gt;0,SUM(SJ4,SN4,SR4),"")</f>
        <v/>
      </c>
      <c r="TG4" s="40" t="str">
        <f t="shared" ref="TG4:TG16" si="156">IF(SUM(TD4,TE4)&gt;0,SUM(TD4,TE4),"")</f>
        <v/>
      </c>
      <c r="TH4" s="40" t="str">
        <f t="shared" ref="TH4:TH16" si="157">IF(SUM(SV4,SZ4)&gt;0,SUM(SV4,SZ4),"")</f>
        <v/>
      </c>
      <c r="TI4" s="40" t="str">
        <f t="shared" ref="TI4:TI16" si="158">IF(SUM(SU4:SV4,SX4:SZ4,TB4)-SUM(SW4,TA4)&gt;0,SUM(SU4:SV4,SX4:SZ4,TB4)-SUM(SW4,TA4),"")</f>
        <v/>
      </c>
      <c r="TJ4" s="40" t="str">
        <f t="shared" ref="TJ4:TJ16" si="159">IF(SUM(TD4,TE4,TI4)&gt;0,SUM(TD4,TE4,TI4),"")</f>
        <v/>
      </c>
      <c r="TK4" s="26">
        <f t="shared" ref="TK4:TK16" si="160">IF($CU4="P",CA4,(CA4+AX4)/2)</f>
        <v>16.75</v>
      </c>
      <c r="TL4" s="26">
        <f t="shared" ref="TL4:TL16" si="161">IF($CU4="P",CB4,(CB4+AY4)/2)</f>
        <v>5.35</v>
      </c>
      <c r="TM4" s="26">
        <f t="shared" ref="TM4:TM16" si="162">IF($CU4="P",CC4,(CC4+AZ4)/2)</f>
        <v>0</v>
      </c>
      <c r="TN4" s="26">
        <f t="shared" ref="TN4:TN16" si="163">IF($CU4="P",CD4,(CD4+BA4)/2)</f>
        <v>0.44999999999999996</v>
      </c>
      <c r="TO4" s="26">
        <f t="shared" ref="TO4:TO16" si="164">IF($CU4="P",CE4,(CE4+BB4)/2)</f>
        <v>17.799999999999997</v>
      </c>
      <c r="TP4" s="26">
        <f t="shared" ref="TP4:TP16" si="165">IF($CU4="P",CF4,(CF4+BC4)/2)</f>
        <v>4.3</v>
      </c>
      <c r="TQ4" s="26">
        <f t="shared" ref="TQ4:TQ16" si="166">IF($CU4="P",CG4,(CG4+BD4)/2)</f>
        <v>0</v>
      </c>
      <c r="TR4" s="26">
        <f t="shared" ref="TR4:TR16" si="167">IF($CU4="P",CH4,(CH4+BE4)/2)</f>
        <v>0.3</v>
      </c>
      <c r="TS4" s="26">
        <f t="shared" ref="TS4:TS16" si="168">IF($CU4="P",CI4,(CI4+BF4)/2)</f>
        <v>17.600000000000001</v>
      </c>
      <c r="TT4" s="26">
        <f t="shared" ref="TT4:TT16" si="169">IF($CU4="P",CJ4,(CJ4+BG4)/2)</f>
        <v>4.1999999999999993</v>
      </c>
      <c r="TU4" s="26">
        <f t="shared" ref="TU4:TU16" si="170">IF($CU4="P",CK4,(CK4+BH4)/2)</f>
        <v>0</v>
      </c>
      <c r="TV4" s="26">
        <f t="shared" ref="TV4:TV16" si="171">IF($CU4="P",CL4,(CL4+BI4)/2)</f>
        <v>0.3</v>
      </c>
      <c r="TW4" s="26">
        <f t="shared" ref="TW4:TW16" si="172">IF($CU4="P",CM4,(CM4+BJ4)/2)</f>
        <v>17</v>
      </c>
      <c r="TX4" s="26">
        <f t="shared" ref="TX4:TX16" si="173">IF($CU4="P",CN4,(CN4+BK4)/2)</f>
        <v>3.8499999999999996</v>
      </c>
      <c r="TY4" s="26">
        <f t="shared" ref="TY4:TY16" si="174">IF($CU4="P",CO4,(CO4+BL4)/2)</f>
        <v>0</v>
      </c>
      <c r="TZ4" s="26">
        <f t="shared" ref="TZ4:TZ16" si="175">IF($CU4="P",CP4,(CP4+BM4)/2)</f>
        <v>0.3</v>
      </c>
      <c r="UA4" s="26">
        <f t="shared" ref="UA4:UA16" si="176">IF($CU4="P",CQ4,(CQ4+BN4)/2)</f>
        <v>17.600000000000001</v>
      </c>
      <c r="UB4" s="26">
        <f t="shared" ref="UB4:UB16" si="177">IF($CU4="P",CR4,(CR4+BO4)/2)</f>
        <v>4.1999999999999993</v>
      </c>
      <c r="UC4" s="26">
        <f t="shared" ref="UC4:UC16" si="178">IF($CU4="P",CS4,(CS4+BP4)/2)</f>
        <v>0</v>
      </c>
      <c r="UD4" s="26">
        <f t="shared" ref="UD4:UD16" si="179">IF($CU4="P",CT4,(CT4+BQ4)/2)</f>
        <v>0.3</v>
      </c>
      <c r="UE4" s="28" t="s">
        <v>53</v>
      </c>
      <c r="UF4" s="11">
        <f t="shared" ref="UF4:UF16" si="180">IF(SUM(TL4,TP4)&gt;0,SUM(TL4,TP4),"")</f>
        <v>9.6499999999999986</v>
      </c>
      <c r="UG4" s="11">
        <f t="shared" ref="UG4:UG16" si="181">IF(SUM(TK4:TL4,TN4:TP4,TR4)-TM4-TQ4&gt;0,SUM(TK4:TL4,TN4:TP4,TR4)-TM4-TQ4,"")</f>
        <v>44.949999999999989</v>
      </c>
      <c r="UH4" s="11">
        <f t="shared" ref="UH4:UH16" si="182">IF(SUM(TS4:TT4,TV4)-TU4&gt;0,SUM(TS4:TT4,TV4)-TU4,"")</f>
        <v>22.1</v>
      </c>
      <c r="UI4" s="11">
        <f t="shared" ref="UI4:UI16" si="183">IF(SUM(TL4,TP4,TT4)&gt;0,SUM(TL4,TP4,TT4),"")</f>
        <v>13.849999999999998</v>
      </c>
      <c r="UJ4" s="11">
        <f t="shared" ref="UJ4:UJ16" si="184">IF(SUM(UG4,UH4)&gt;0,SUM(UG4,UH4),"")</f>
        <v>67.049999999999983</v>
      </c>
      <c r="UK4" s="11">
        <f t="shared" ref="UK4:UK16" si="185">IF(SUM(TX4,UB4)&gt;0,SUM(TX4,UB4),"")</f>
        <v>8.0499999999999989</v>
      </c>
      <c r="UL4" s="11">
        <f t="shared" ref="UL4:UL16" si="186">IF(SUM(TW4:TX4,TZ4:UB4,UD4)-SUM(TY4,UC4)&gt;0,SUM(TW4:TX4,TZ4:UB4,UD4)-SUM(TY4,UC4),"")</f>
        <v>43.25</v>
      </c>
      <c r="UM4" s="11">
        <f t="shared" ref="UM4:UM16" si="187"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 t="shared" si="0"/>
        <v>155.5000110100045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IF(COUNT(AQ5,BT5,CW5)&gt;0,LARGE((AQ5,BT5,CW5),1),0)</f>
        <v>45</v>
      </c>
      <c r="K5" s="8" t="str">
        <f t="shared" si="5"/>
        <v>2024 Elite Canada</v>
      </c>
      <c r="L5" s="8">
        <f>IF(COUNT(AQ5,BT5,CW5)&gt;1,LARGE((AQ5,BT5,CW5),2),0)</f>
        <v>42.7</v>
      </c>
      <c r="M5" s="8" t="str">
        <f t="shared" si="6"/>
        <v>2024 3rd Domestic Trial</v>
      </c>
      <c r="N5" s="8">
        <f>IF(COUNT(AR5,BU5,CX5)&gt;0,LARGE((AR5,BU5,CX5),1),0)</f>
        <v>22.400000000000002</v>
      </c>
      <c r="O5" s="8" t="str">
        <f t="shared" si="7"/>
        <v>2024 3rd Domestic Trial</v>
      </c>
      <c r="P5" s="8">
        <f t="shared" si="8"/>
        <v>45.400000000000006</v>
      </c>
      <c r="Q5" s="8" t="str">
        <f t="shared" si="9"/>
        <v>2024 3rd Domestic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 t="shared" si="13"/>
        <v>10.199999999999999</v>
      </c>
      <c r="AQ5" s="40">
        <f t="shared" si="14"/>
        <v>45</v>
      </c>
      <c r="AR5" s="40">
        <f t="shared" si="15"/>
        <v>20.900000000000002</v>
      </c>
      <c r="AS5" s="40">
        <f t="shared" si="16"/>
        <v>15.2</v>
      </c>
      <c r="AT5" s="40">
        <f t="shared" si="17"/>
        <v>65.900000000000006</v>
      </c>
      <c r="AU5" s="40">
        <f t="shared" si="18"/>
        <v>10.199999999999999</v>
      </c>
      <c r="AV5" s="40">
        <f t="shared" si="19"/>
        <v>44.500000000000007</v>
      </c>
      <c r="AW5" s="40">
        <f t="shared" si="20"/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 t="shared" si="21"/>
        <v>7.6</v>
      </c>
      <c r="BT5" s="11">
        <f t="shared" si="22"/>
        <v>41.600000000000009</v>
      </c>
      <c r="BU5" s="11">
        <f t="shared" si="23"/>
        <v>18.8</v>
      </c>
      <c r="BV5" s="11">
        <f t="shared" si="24"/>
        <v>10.199999999999999</v>
      </c>
      <c r="BW5" s="11">
        <f t="shared" si="25"/>
        <v>60.400000000000006</v>
      </c>
      <c r="BX5" s="11">
        <f t="shared" si="26"/>
        <v>10.8</v>
      </c>
      <c r="BY5" s="11">
        <f t="shared" si="27"/>
        <v>44.000000000000007</v>
      </c>
      <c r="BZ5" s="11">
        <f t="shared" si="28"/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 t="shared" si="29"/>
        <v>10.199999999999999</v>
      </c>
      <c r="CW5" s="40">
        <f t="shared" si="30"/>
        <v>42.7</v>
      </c>
      <c r="CX5" s="40">
        <f t="shared" si="31"/>
        <v>22.400000000000002</v>
      </c>
      <c r="CY5" s="40">
        <f t="shared" si="32"/>
        <v>15.2</v>
      </c>
      <c r="CZ5" s="40">
        <f t="shared" si="33"/>
        <v>65.100000000000009</v>
      </c>
      <c r="DA5" s="40">
        <f t="shared" si="34"/>
        <v>10.199999999999999</v>
      </c>
      <c r="DB5" s="40">
        <f t="shared" si="35"/>
        <v>45.400000000000006</v>
      </c>
      <c r="DC5" s="40">
        <f t="shared" si="36"/>
        <v>110.50000000000001</v>
      </c>
      <c r="DD5" s="51" t="str">
        <f t="shared" si="37"/>
        <v/>
      </c>
      <c r="DE5" s="51" t="str">
        <f t="shared" si="38"/>
        <v/>
      </c>
      <c r="DF5" s="51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6"/>
        <v/>
      </c>
      <c r="QZ5" s="40" t="str">
        <f t="shared" si="137"/>
        <v/>
      </c>
      <c r="RA5" s="40" t="str">
        <f t="shared" si="138"/>
        <v/>
      </c>
      <c r="RB5" s="40" t="str">
        <f t="shared" si="139"/>
        <v/>
      </c>
      <c r="RC5" s="40" t="str">
        <f t="shared" si="140"/>
        <v/>
      </c>
      <c r="RD5" s="40" t="str">
        <f t="shared" si="141"/>
        <v/>
      </c>
      <c r="RE5" s="40" t="str">
        <f t="shared" si="142"/>
        <v/>
      </c>
      <c r="RF5" s="40" t="str">
        <f t="shared" si="143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4"/>
        <v/>
      </c>
      <c r="SB5" s="11" t="str">
        <f t="shared" si="145"/>
        <v/>
      </c>
      <c r="SC5" s="11" t="str">
        <f t="shared" si="146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1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2"/>
        <v/>
      </c>
      <c r="TD5" s="40" t="str">
        <f t="shared" si="153"/>
        <v/>
      </c>
      <c r="TE5" s="40" t="str">
        <f t="shared" si="154"/>
        <v/>
      </c>
      <c r="TF5" s="40" t="str">
        <f t="shared" si="155"/>
        <v/>
      </c>
      <c r="TG5" s="40" t="str">
        <f t="shared" si="156"/>
        <v/>
      </c>
      <c r="TH5" s="40" t="str">
        <f t="shared" si="157"/>
        <v/>
      </c>
      <c r="TI5" s="40" t="str">
        <f t="shared" si="158"/>
        <v/>
      </c>
      <c r="TJ5" s="40" t="str">
        <f t="shared" si="159"/>
        <v/>
      </c>
      <c r="TK5" s="26">
        <f t="shared" si="160"/>
        <v>15.85</v>
      </c>
      <c r="TL5" s="26">
        <f t="shared" si="161"/>
        <v>5</v>
      </c>
      <c r="TM5" s="26">
        <f t="shared" si="162"/>
        <v>0.1</v>
      </c>
      <c r="TN5" s="26">
        <f t="shared" si="163"/>
        <v>0.6</v>
      </c>
      <c r="TO5" s="26">
        <f t="shared" si="164"/>
        <v>16.3</v>
      </c>
      <c r="TP5" s="26">
        <f t="shared" si="165"/>
        <v>3.9000000000000004</v>
      </c>
      <c r="TQ5" s="26">
        <f t="shared" si="166"/>
        <v>0</v>
      </c>
      <c r="TR5" s="26">
        <f t="shared" si="167"/>
        <v>0.6</v>
      </c>
      <c r="TS5" s="26">
        <f t="shared" si="168"/>
        <v>16.2</v>
      </c>
      <c r="TT5" s="26">
        <f t="shared" si="169"/>
        <v>3.8</v>
      </c>
      <c r="TU5" s="26">
        <f t="shared" si="170"/>
        <v>0</v>
      </c>
      <c r="TV5" s="26">
        <f t="shared" si="171"/>
        <v>0.6</v>
      </c>
      <c r="TW5" s="26">
        <f t="shared" si="172"/>
        <v>16.5</v>
      </c>
      <c r="TX5" s="26">
        <f t="shared" si="173"/>
        <v>5.15</v>
      </c>
      <c r="TY5" s="26">
        <f t="shared" si="174"/>
        <v>0</v>
      </c>
      <c r="TZ5" s="26">
        <f t="shared" si="175"/>
        <v>0.6</v>
      </c>
      <c r="UA5" s="26">
        <f t="shared" si="176"/>
        <v>16.5</v>
      </c>
      <c r="UB5" s="26">
        <f t="shared" si="177"/>
        <v>5.35</v>
      </c>
      <c r="UC5" s="26">
        <f t="shared" si="178"/>
        <v>0</v>
      </c>
      <c r="UD5" s="26">
        <f t="shared" si="179"/>
        <v>0.6</v>
      </c>
      <c r="UE5" s="28" t="s">
        <v>53</v>
      </c>
      <c r="UF5" s="11">
        <f t="shared" si="180"/>
        <v>8.9</v>
      </c>
      <c r="UG5" s="11">
        <f t="shared" si="181"/>
        <v>42.15</v>
      </c>
      <c r="UH5" s="11">
        <f t="shared" si="182"/>
        <v>20.6</v>
      </c>
      <c r="UI5" s="11">
        <f t="shared" si="183"/>
        <v>12.7</v>
      </c>
      <c r="UJ5" s="11">
        <f t="shared" si="184"/>
        <v>62.75</v>
      </c>
      <c r="UK5" s="11">
        <f t="shared" si="185"/>
        <v>10.5</v>
      </c>
      <c r="UL5" s="11">
        <f t="shared" si="186"/>
        <v>44.7</v>
      </c>
      <c r="UM5" s="11">
        <f t="shared" si="187"/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 t="shared" si="0"/>
        <v>155.05001106500453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IF(COUNT(AQ6,BT6,CW6)&gt;0,LARGE((AQ6,BT6,CW6),1),0)</f>
        <v>45.199999999999996</v>
      </c>
      <c r="K6" s="8" t="str">
        <f t="shared" si="5"/>
        <v>2024 Nationals</v>
      </c>
      <c r="L6" s="8">
        <f>IF(COUNT(AQ6,BT6,CW6)&gt;1,LARGE((AQ6,BT6,CW6),2),0)</f>
        <v>43.250000000000007</v>
      </c>
      <c r="M6" s="8" t="str">
        <f t="shared" si="6"/>
        <v>2024 Elite Canada</v>
      </c>
      <c r="N6" s="8">
        <f>IF(COUNT(AR6,BU6,CX6)&gt;0,LARGE((AR6,BU6,CX6),1),0)</f>
        <v>22.200000000000003</v>
      </c>
      <c r="O6" s="8" t="str">
        <f t="shared" si="7"/>
        <v>2024 3rd Domestic Trial</v>
      </c>
      <c r="P6" s="8">
        <f t="shared" si="8"/>
        <v>44.4</v>
      </c>
      <c r="Q6" s="8" t="str">
        <f t="shared" si="9"/>
        <v>2024 Nationals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 t="shared" si="13"/>
        <v>9.35</v>
      </c>
      <c r="AQ6" s="40">
        <f t="shared" si="14"/>
        <v>43.250000000000007</v>
      </c>
      <c r="AR6" s="40">
        <f t="shared" si="15"/>
        <v>21.099999999999998</v>
      </c>
      <c r="AS6" s="40">
        <f t="shared" si="16"/>
        <v>13.75</v>
      </c>
      <c r="AT6" s="40">
        <f t="shared" si="17"/>
        <v>64.350000000000009</v>
      </c>
      <c r="AU6" s="40">
        <f t="shared" si="18"/>
        <v>8.5</v>
      </c>
      <c r="AV6" s="40">
        <f t="shared" si="19"/>
        <v>42.900000000000006</v>
      </c>
      <c r="AW6" s="40">
        <f t="shared" si="20"/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 t="shared" si="21"/>
        <v>9.8000000000000007</v>
      </c>
      <c r="BT6" s="11">
        <f t="shared" si="22"/>
        <v>45.199999999999996</v>
      </c>
      <c r="BU6" s="11">
        <f t="shared" si="23"/>
        <v>21.900000000000002</v>
      </c>
      <c r="BV6" s="11">
        <f t="shared" si="24"/>
        <v>14.600000000000001</v>
      </c>
      <c r="BW6" s="11">
        <f t="shared" si="25"/>
        <v>67.099999999999994</v>
      </c>
      <c r="BX6" s="11">
        <f t="shared" si="26"/>
        <v>9.8000000000000007</v>
      </c>
      <c r="BY6" s="11">
        <f t="shared" si="27"/>
        <v>44.4</v>
      </c>
      <c r="BZ6" s="11">
        <f t="shared" si="28"/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 t="shared" si="29"/>
        <v>7.5</v>
      </c>
      <c r="CW6" s="40">
        <f t="shared" si="30"/>
        <v>40.099999999999994</v>
      </c>
      <c r="CX6" s="40">
        <f t="shared" si="31"/>
        <v>22.200000000000003</v>
      </c>
      <c r="CY6" s="40">
        <f t="shared" si="32"/>
        <v>12.3</v>
      </c>
      <c r="CZ6" s="40">
        <f t="shared" si="33"/>
        <v>62.3</v>
      </c>
      <c r="DA6" s="40">
        <f t="shared" si="34"/>
        <v>7.6999999999999993</v>
      </c>
      <c r="DB6" s="40">
        <f t="shared" si="35"/>
        <v>43.2</v>
      </c>
      <c r="DC6" s="40">
        <f t="shared" si="36"/>
        <v>105.5</v>
      </c>
      <c r="DD6" s="51" t="str">
        <f t="shared" si="37"/>
        <v/>
      </c>
      <c r="DE6" s="51" t="str">
        <f t="shared" si="38"/>
        <v/>
      </c>
      <c r="DF6" s="51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8.6</v>
      </c>
      <c r="FD6" s="11">
        <f t="shared" si="49"/>
        <v>42.2</v>
      </c>
      <c r="FE6" s="11" t="str">
        <f t="shared" si="50"/>
        <v/>
      </c>
      <c r="FF6" s="11">
        <f t="shared" si="51"/>
        <v>8.6</v>
      </c>
      <c r="FG6" s="11">
        <f t="shared" si="52"/>
        <v>42.2</v>
      </c>
      <c r="FH6" s="11" t="str">
        <f t="shared" si="53"/>
        <v/>
      </c>
      <c r="FI6" s="11" t="str">
        <f t="shared" si="54"/>
        <v/>
      </c>
      <c r="FJ6" s="11">
        <f t="shared" si="55"/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6"/>
        <v/>
      </c>
      <c r="QZ6" s="40" t="str">
        <f t="shared" si="137"/>
        <v/>
      </c>
      <c r="RA6" s="40" t="str">
        <f t="shared" si="138"/>
        <v/>
      </c>
      <c r="RB6" s="40" t="str">
        <f t="shared" si="139"/>
        <v/>
      </c>
      <c r="RC6" s="40" t="str">
        <f t="shared" si="140"/>
        <v/>
      </c>
      <c r="RD6" s="40" t="str">
        <f t="shared" si="141"/>
        <v/>
      </c>
      <c r="RE6" s="40" t="str">
        <f t="shared" si="142"/>
        <v/>
      </c>
      <c r="RF6" s="40" t="str">
        <f t="shared" si="143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4"/>
        <v/>
      </c>
      <c r="SB6" s="11" t="str">
        <f t="shared" si="145"/>
        <v/>
      </c>
      <c r="SC6" s="11" t="str">
        <f t="shared" si="146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1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2"/>
        <v/>
      </c>
      <c r="TD6" s="40" t="str">
        <f t="shared" si="153"/>
        <v/>
      </c>
      <c r="TE6" s="40" t="str">
        <f t="shared" si="154"/>
        <v/>
      </c>
      <c r="TF6" s="40" t="str">
        <f t="shared" si="155"/>
        <v/>
      </c>
      <c r="TG6" s="40" t="str">
        <f t="shared" si="156"/>
        <v/>
      </c>
      <c r="TH6" s="40" t="str">
        <f t="shared" si="157"/>
        <v/>
      </c>
      <c r="TI6" s="40" t="str">
        <f t="shared" si="158"/>
        <v/>
      </c>
      <c r="TJ6" s="40" t="str">
        <f t="shared" si="159"/>
        <v/>
      </c>
      <c r="TK6" s="26">
        <f t="shared" si="160"/>
        <v>16.7</v>
      </c>
      <c r="TL6" s="26">
        <f t="shared" si="161"/>
        <v>4.3</v>
      </c>
      <c r="TM6" s="26">
        <f t="shared" si="162"/>
        <v>0.1</v>
      </c>
      <c r="TN6" s="26">
        <f t="shared" si="163"/>
        <v>0.3</v>
      </c>
      <c r="TO6" s="26">
        <f t="shared" si="164"/>
        <v>16.649999999999999</v>
      </c>
      <c r="TP6" s="26">
        <f t="shared" si="165"/>
        <v>4.3499999999999996</v>
      </c>
      <c r="TQ6" s="26">
        <f t="shared" si="166"/>
        <v>0</v>
      </c>
      <c r="TR6" s="26">
        <f t="shared" si="167"/>
        <v>0.44999999999999996</v>
      </c>
      <c r="TS6" s="26">
        <f t="shared" si="168"/>
        <v>16.649999999999999</v>
      </c>
      <c r="TT6" s="26">
        <f t="shared" si="169"/>
        <v>4.8</v>
      </c>
      <c r="TU6" s="26">
        <f t="shared" si="170"/>
        <v>0</v>
      </c>
      <c r="TV6" s="26">
        <f t="shared" si="171"/>
        <v>0.6</v>
      </c>
      <c r="TW6" s="26">
        <f t="shared" si="172"/>
        <v>17.399999999999999</v>
      </c>
      <c r="TX6" s="26">
        <f t="shared" si="173"/>
        <v>4.2</v>
      </c>
      <c r="TY6" s="26">
        <f t="shared" si="174"/>
        <v>0</v>
      </c>
      <c r="TZ6" s="26">
        <f t="shared" si="175"/>
        <v>0.3</v>
      </c>
      <c r="UA6" s="26">
        <f t="shared" si="176"/>
        <v>17</v>
      </c>
      <c r="UB6" s="26">
        <f t="shared" si="177"/>
        <v>4.55</v>
      </c>
      <c r="UC6" s="26">
        <f t="shared" si="178"/>
        <v>0.1</v>
      </c>
      <c r="UD6" s="26">
        <f t="shared" si="179"/>
        <v>0.44999999999999996</v>
      </c>
      <c r="UE6" s="28" t="s">
        <v>53</v>
      </c>
      <c r="UF6" s="11">
        <f t="shared" si="180"/>
        <v>8.6499999999999986</v>
      </c>
      <c r="UG6" s="11">
        <f t="shared" si="181"/>
        <v>42.650000000000006</v>
      </c>
      <c r="UH6" s="11">
        <f t="shared" si="182"/>
        <v>22.05</v>
      </c>
      <c r="UI6" s="11">
        <f t="shared" si="183"/>
        <v>13.45</v>
      </c>
      <c r="UJ6" s="11">
        <f t="shared" si="184"/>
        <v>64.7</v>
      </c>
      <c r="UK6" s="11">
        <f t="shared" si="185"/>
        <v>8.75</v>
      </c>
      <c r="UL6" s="11">
        <f t="shared" si="186"/>
        <v>43.8</v>
      </c>
      <c r="UM6" s="11">
        <f t="shared" si="187"/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 t="shared" si="0"/>
        <v>149.20001045000424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42.6</v>
      </c>
      <c r="K7" s="8" t="str">
        <f t="shared" si="5"/>
        <v>2024 Nationals</v>
      </c>
      <c r="L7" s="8">
        <f>IF(COUNT(AQ7,BT7,CW7)&gt;1,LARGE((AQ7,BT7,CW7),2),0)</f>
        <v>39.599999999999994</v>
      </c>
      <c r="M7" s="8" t="str">
        <f t="shared" si="6"/>
        <v>2024 Elite Canada</v>
      </c>
      <c r="N7" s="8">
        <f>IF(COUNT(AR7,BU7,CX7)&gt;0,LARGE((AR7,BU7,CX7),1),0)</f>
        <v>22.300000000000004</v>
      </c>
      <c r="O7" s="8" t="str">
        <f t="shared" si="7"/>
        <v>2024 Elite Canada</v>
      </c>
      <c r="P7" s="8">
        <f t="shared" si="8"/>
        <v>42.1</v>
      </c>
      <c r="Q7" s="8" t="str">
        <f t="shared" si="9"/>
        <v>2024 Nationals</v>
      </c>
      <c r="R7" s="8">
        <f t="shared" si="10"/>
        <v>2.6000000000000085</v>
      </c>
      <c r="S7" s="11" t="str">
        <f t="shared" si="11"/>
        <v>(Q1)</v>
      </c>
      <c r="T7" s="8" t="str">
        <f t="shared" si="12"/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 t="shared" si="13"/>
        <v>5.8</v>
      </c>
      <c r="AQ7" s="40">
        <f t="shared" si="14"/>
        <v>39.599999999999994</v>
      </c>
      <c r="AR7" s="40">
        <f t="shared" si="15"/>
        <v>22.300000000000004</v>
      </c>
      <c r="AS7" s="40">
        <f t="shared" si="16"/>
        <v>10.399999999999999</v>
      </c>
      <c r="AT7" s="40">
        <f t="shared" si="17"/>
        <v>61.9</v>
      </c>
      <c r="AU7" s="40">
        <f t="shared" si="18"/>
        <v>7.1999999999999993</v>
      </c>
      <c r="AV7" s="40">
        <f t="shared" si="19"/>
        <v>40.700000000000003</v>
      </c>
      <c r="AW7" s="40">
        <f t="shared" si="20"/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 t="shared" si="21"/>
        <v>8.8000000000000007</v>
      </c>
      <c r="BT7" s="11">
        <f t="shared" si="22"/>
        <v>42.6</v>
      </c>
      <c r="BU7" s="11">
        <f t="shared" si="23"/>
        <v>21.700000000000003</v>
      </c>
      <c r="BV7" s="11">
        <f t="shared" si="24"/>
        <v>13.4</v>
      </c>
      <c r="BW7" s="11">
        <f t="shared" si="25"/>
        <v>64.300000000000011</v>
      </c>
      <c r="BX7" s="11">
        <f t="shared" si="26"/>
        <v>8.8000000000000007</v>
      </c>
      <c r="BY7" s="11">
        <f t="shared" si="27"/>
        <v>42.1</v>
      </c>
      <c r="BZ7" s="11">
        <f t="shared" si="28"/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 t="shared" si="29"/>
        <v>7.6</v>
      </c>
      <c r="CW7" s="40">
        <f t="shared" si="30"/>
        <v>36.9</v>
      </c>
      <c r="CX7" s="40">
        <f t="shared" si="31"/>
        <v>21.4</v>
      </c>
      <c r="CY7" s="40">
        <f t="shared" si="32"/>
        <v>12.2</v>
      </c>
      <c r="CZ7" s="40">
        <f t="shared" si="33"/>
        <v>58.3</v>
      </c>
      <c r="DA7" s="40">
        <f t="shared" si="34"/>
        <v>8</v>
      </c>
      <c r="DB7" s="40">
        <f t="shared" si="35"/>
        <v>41.400000000000006</v>
      </c>
      <c r="DC7" s="40">
        <f t="shared" si="36"/>
        <v>99.7</v>
      </c>
      <c r="DD7" s="51">
        <f t="shared" si="37"/>
        <v>2.6000000000000085</v>
      </c>
      <c r="DE7" s="51" t="str">
        <f t="shared" si="38"/>
        <v/>
      </c>
      <c r="DF7" s="51">
        <f t="shared" si="39"/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 t="shared" si="40"/>
        <v>8.8000000000000007</v>
      </c>
      <c r="EB7" s="40">
        <f t="shared" si="41"/>
        <v>42.2</v>
      </c>
      <c r="EC7" s="40" t="str">
        <f t="shared" si="42"/>
        <v/>
      </c>
      <c r="ED7" s="40">
        <f t="shared" si="43"/>
        <v>8.8000000000000007</v>
      </c>
      <c r="EE7" s="40">
        <f t="shared" si="44"/>
        <v>42.2</v>
      </c>
      <c r="EF7" s="40">
        <f t="shared" si="45"/>
        <v>9.3999999999999986</v>
      </c>
      <c r="EG7" s="40">
        <f t="shared" si="46"/>
        <v>43.9</v>
      </c>
      <c r="EH7" s="40">
        <f t="shared" si="47"/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6"/>
        <v/>
      </c>
      <c r="QZ7" s="40" t="str">
        <f t="shared" si="137"/>
        <v/>
      </c>
      <c r="RA7" s="40" t="str">
        <f t="shared" si="138"/>
        <v/>
      </c>
      <c r="RB7" s="40" t="str">
        <f t="shared" si="139"/>
        <v/>
      </c>
      <c r="RC7" s="40" t="str">
        <f t="shared" si="140"/>
        <v/>
      </c>
      <c r="RD7" s="40" t="str">
        <f t="shared" si="141"/>
        <v/>
      </c>
      <c r="RE7" s="40" t="str">
        <f t="shared" si="142"/>
        <v/>
      </c>
      <c r="RF7" s="40" t="str">
        <f t="shared" si="143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4"/>
        <v/>
      </c>
      <c r="SB7" s="11" t="str">
        <f t="shared" si="145"/>
        <v/>
      </c>
      <c r="SC7" s="11" t="str">
        <f t="shared" si="146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1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2"/>
        <v/>
      </c>
      <c r="TD7" s="40" t="str">
        <f t="shared" si="153"/>
        <v/>
      </c>
      <c r="TE7" s="40" t="str">
        <f t="shared" si="154"/>
        <v/>
      </c>
      <c r="TF7" s="40" t="str">
        <f t="shared" si="155"/>
        <v/>
      </c>
      <c r="TG7" s="40" t="str">
        <f t="shared" si="156"/>
        <v/>
      </c>
      <c r="TH7" s="40" t="str">
        <f t="shared" si="157"/>
        <v/>
      </c>
      <c r="TI7" s="40" t="str">
        <f t="shared" si="158"/>
        <v/>
      </c>
      <c r="TJ7" s="40" t="str">
        <f t="shared" si="159"/>
        <v/>
      </c>
      <c r="TK7" s="26">
        <f t="shared" si="160"/>
        <v>11.7</v>
      </c>
      <c r="TL7" s="26">
        <f t="shared" si="161"/>
        <v>3</v>
      </c>
      <c r="TM7" s="26">
        <f t="shared" si="162"/>
        <v>0</v>
      </c>
      <c r="TN7" s="26">
        <f t="shared" si="163"/>
        <v>0.6</v>
      </c>
      <c r="TO7" s="26">
        <f t="shared" si="164"/>
        <v>16.399999999999999</v>
      </c>
      <c r="TP7" s="26">
        <f t="shared" si="165"/>
        <v>4.5999999999999996</v>
      </c>
      <c r="TQ7" s="26">
        <f t="shared" si="166"/>
        <v>0</v>
      </c>
      <c r="TR7" s="26">
        <f t="shared" si="167"/>
        <v>0.6</v>
      </c>
      <c r="TS7" s="26">
        <f t="shared" si="168"/>
        <v>16.2</v>
      </c>
      <c r="TT7" s="26">
        <f t="shared" si="169"/>
        <v>4.5999999999999996</v>
      </c>
      <c r="TU7" s="26">
        <f t="shared" si="170"/>
        <v>0</v>
      </c>
      <c r="TV7" s="26">
        <f t="shared" si="171"/>
        <v>0.6</v>
      </c>
      <c r="TW7" s="26">
        <f t="shared" si="172"/>
        <v>16.3</v>
      </c>
      <c r="TX7" s="26">
        <f t="shared" si="173"/>
        <v>4.4000000000000004</v>
      </c>
      <c r="TY7" s="26">
        <f t="shared" si="174"/>
        <v>0.2</v>
      </c>
      <c r="TZ7" s="26">
        <f t="shared" si="175"/>
        <v>0.44999999999999996</v>
      </c>
      <c r="UA7" s="26">
        <f t="shared" si="176"/>
        <v>16.25</v>
      </c>
      <c r="UB7" s="26">
        <f t="shared" si="177"/>
        <v>3.5999999999999996</v>
      </c>
      <c r="UC7" s="26">
        <f t="shared" si="178"/>
        <v>0</v>
      </c>
      <c r="UD7" s="26">
        <f t="shared" si="179"/>
        <v>0.6</v>
      </c>
      <c r="UE7" s="28" t="s">
        <v>53</v>
      </c>
      <c r="UF7" s="11">
        <f t="shared" si="180"/>
        <v>7.6</v>
      </c>
      <c r="UG7" s="11">
        <f t="shared" si="181"/>
        <v>36.9</v>
      </c>
      <c r="UH7" s="11">
        <f t="shared" si="182"/>
        <v>21.4</v>
      </c>
      <c r="UI7" s="11">
        <f t="shared" si="183"/>
        <v>12.2</v>
      </c>
      <c r="UJ7" s="11">
        <f t="shared" si="184"/>
        <v>58.3</v>
      </c>
      <c r="UK7" s="11">
        <f t="shared" si="185"/>
        <v>8</v>
      </c>
      <c r="UL7" s="11">
        <f t="shared" si="186"/>
        <v>41.400000000000006</v>
      </c>
      <c r="UM7" s="11">
        <f t="shared" si="187"/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256</v>
      </c>
      <c r="C8" s="4" t="s">
        <v>5</v>
      </c>
      <c r="D8" s="4">
        <v>2004</v>
      </c>
      <c r="E8" s="9">
        <f t="shared" si="0"/>
        <v>147.00001042000434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43.300000000000004</v>
      </c>
      <c r="K8" s="8" t="str">
        <f t="shared" si="5"/>
        <v>2024 Nationals</v>
      </c>
      <c r="L8" s="8">
        <f>IF(COUNT(AQ8,BT8,CW8)&gt;1,LARGE((AQ8,BT8,CW8),2),0)</f>
        <v>39.000000000000007</v>
      </c>
      <c r="M8" s="8" t="str">
        <f t="shared" si="6"/>
        <v>2024 Elite Canada</v>
      </c>
      <c r="N8" s="8">
        <f>IF(COUNT(AR8,BU8,CX8)&gt;0,LARGE((AR8,BU8,CX8),1),0)</f>
        <v>21.900000000000002</v>
      </c>
      <c r="O8" s="8" t="str">
        <f t="shared" si="7"/>
        <v>2024 Nationals</v>
      </c>
      <c r="P8" s="8">
        <f t="shared" si="8"/>
        <v>42.800000000000004</v>
      </c>
      <c r="Q8" s="8" t="str">
        <f t="shared" si="9"/>
        <v>2024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 t="shared" si="13"/>
        <v>7.6999999999999993</v>
      </c>
      <c r="AQ8" s="40">
        <f t="shared" si="14"/>
        <v>39.000000000000007</v>
      </c>
      <c r="AR8" s="40">
        <f t="shared" si="15"/>
        <v>19.499999999999996</v>
      </c>
      <c r="AS8" s="40">
        <f t="shared" si="16"/>
        <v>10.6</v>
      </c>
      <c r="AT8" s="40">
        <f t="shared" si="17"/>
        <v>58.5</v>
      </c>
      <c r="AU8" s="40">
        <f t="shared" si="18"/>
        <v>7.3</v>
      </c>
      <c r="AV8" s="40">
        <f t="shared" si="19"/>
        <v>39.900000000000006</v>
      </c>
      <c r="AW8" s="40">
        <f t="shared" si="20"/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 t="shared" si="21"/>
        <v>9.6</v>
      </c>
      <c r="BT8" s="11">
        <f t="shared" si="22"/>
        <v>43.300000000000004</v>
      </c>
      <c r="BU8" s="11">
        <f t="shared" si="23"/>
        <v>21.900000000000002</v>
      </c>
      <c r="BV8" s="11">
        <f t="shared" si="24"/>
        <v>15.7</v>
      </c>
      <c r="BW8" s="11">
        <f t="shared" si="25"/>
        <v>65.2</v>
      </c>
      <c r="BX8" s="11">
        <f t="shared" si="26"/>
        <v>9.6</v>
      </c>
      <c r="BY8" s="11">
        <f t="shared" si="27"/>
        <v>42.800000000000004</v>
      </c>
      <c r="BZ8" s="11">
        <f t="shared" si="28"/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 t="shared" si="29"/>
        <v>7.6999999999999993</v>
      </c>
      <c r="CW8" s="40">
        <f t="shared" si="30"/>
        <v>33.4</v>
      </c>
      <c r="CX8" s="40">
        <f t="shared" si="31"/>
        <v>17.899999999999999</v>
      </c>
      <c r="CY8" s="40">
        <f t="shared" si="32"/>
        <v>11</v>
      </c>
      <c r="CZ8" s="40">
        <f t="shared" si="33"/>
        <v>51.3</v>
      </c>
      <c r="DA8" s="40">
        <f t="shared" si="34"/>
        <v>6.8</v>
      </c>
      <c r="DB8" s="40">
        <f t="shared" si="35"/>
        <v>36.300000000000004</v>
      </c>
      <c r="DC8" s="40">
        <f t="shared" si="36"/>
        <v>87.6</v>
      </c>
      <c r="DD8" s="51" t="str">
        <f t="shared" si="37"/>
        <v/>
      </c>
      <c r="DE8" s="51" t="str">
        <f t="shared" si="38"/>
        <v/>
      </c>
      <c r="DF8" s="51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6"/>
        <v/>
      </c>
      <c r="QZ8" s="40" t="str">
        <f t="shared" si="137"/>
        <v/>
      </c>
      <c r="RA8" s="40" t="str">
        <f t="shared" si="138"/>
        <v/>
      </c>
      <c r="RB8" s="40" t="str">
        <f t="shared" si="139"/>
        <v/>
      </c>
      <c r="RC8" s="40" t="str">
        <f t="shared" si="140"/>
        <v/>
      </c>
      <c r="RD8" s="40" t="str">
        <f t="shared" si="141"/>
        <v/>
      </c>
      <c r="RE8" s="40" t="str">
        <f t="shared" si="142"/>
        <v/>
      </c>
      <c r="RF8" s="40" t="str">
        <f t="shared" si="143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4"/>
        <v/>
      </c>
      <c r="SB8" s="11" t="str">
        <f t="shared" si="145"/>
        <v/>
      </c>
      <c r="SC8" s="11" t="str">
        <f t="shared" si="146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1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2"/>
        <v/>
      </c>
      <c r="TD8" s="40" t="str">
        <f t="shared" si="153"/>
        <v/>
      </c>
      <c r="TE8" s="40" t="str">
        <f t="shared" si="154"/>
        <v/>
      </c>
      <c r="TF8" s="40" t="str">
        <f t="shared" si="155"/>
        <v/>
      </c>
      <c r="TG8" s="40" t="str">
        <f t="shared" si="156"/>
        <v/>
      </c>
      <c r="TH8" s="40" t="str">
        <f t="shared" si="157"/>
        <v/>
      </c>
      <c r="TI8" s="40" t="str">
        <f t="shared" si="158"/>
        <v/>
      </c>
      <c r="TJ8" s="40" t="str">
        <f t="shared" si="159"/>
        <v/>
      </c>
      <c r="TK8" s="26">
        <f t="shared" si="160"/>
        <v>15.399999999999999</v>
      </c>
      <c r="TL8" s="26">
        <f t="shared" si="161"/>
        <v>4.75</v>
      </c>
      <c r="TM8" s="26">
        <f t="shared" si="162"/>
        <v>0.3</v>
      </c>
      <c r="TN8" s="26">
        <f t="shared" si="163"/>
        <v>0.3</v>
      </c>
      <c r="TO8" s="26">
        <f t="shared" si="164"/>
        <v>15.7</v>
      </c>
      <c r="TP8" s="26">
        <f t="shared" si="165"/>
        <v>3.9</v>
      </c>
      <c r="TQ8" s="26">
        <f t="shared" si="166"/>
        <v>2</v>
      </c>
      <c r="TR8" s="26">
        <f t="shared" si="167"/>
        <v>0.6</v>
      </c>
      <c r="TS8" s="26">
        <f t="shared" si="168"/>
        <v>15.05</v>
      </c>
      <c r="TT8" s="26">
        <f t="shared" si="169"/>
        <v>4.6999999999999993</v>
      </c>
      <c r="TU8" s="26">
        <f t="shared" si="170"/>
        <v>0.15</v>
      </c>
      <c r="TV8" s="26">
        <f t="shared" si="171"/>
        <v>0.3</v>
      </c>
      <c r="TW8" s="26">
        <f t="shared" si="172"/>
        <v>15.4</v>
      </c>
      <c r="TX8" s="26">
        <f t="shared" si="173"/>
        <v>4.5</v>
      </c>
      <c r="TY8" s="26">
        <f t="shared" si="174"/>
        <v>0</v>
      </c>
      <c r="TZ8" s="26">
        <f t="shared" si="175"/>
        <v>0.3</v>
      </c>
      <c r="UA8" s="26">
        <f t="shared" si="176"/>
        <v>15.25</v>
      </c>
      <c r="UB8" s="26">
        <f t="shared" si="177"/>
        <v>3.7</v>
      </c>
      <c r="UC8" s="26">
        <f t="shared" si="178"/>
        <v>0.2</v>
      </c>
      <c r="UD8" s="26">
        <f t="shared" si="179"/>
        <v>0.6</v>
      </c>
      <c r="UE8" s="28" t="s">
        <v>53</v>
      </c>
      <c r="UF8" s="11">
        <f t="shared" si="180"/>
        <v>8.65</v>
      </c>
      <c r="UG8" s="11">
        <f t="shared" si="181"/>
        <v>38.35</v>
      </c>
      <c r="UH8" s="11">
        <f t="shared" si="182"/>
        <v>19.900000000000002</v>
      </c>
      <c r="UI8" s="11">
        <f t="shared" si="183"/>
        <v>13.35</v>
      </c>
      <c r="UJ8" s="11">
        <f t="shared" si="184"/>
        <v>58.25</v>
      </c>
      <c r="UK8" s="11">
        <f t="shared" si="185"/>
        <v>8.1999999999999993</v>
      </c>
      <c r="UL8" s="11">
        <f t="shared" si="186"/>
        <v>39.550000000000004</v>
      </c>
      <c r="UM8" s="11">
        <f t="shared" si="187"/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 t="shared" si="0"/>
        <v>143.90001025000439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43.800000000000004</v>
      </c>
      <c r="K9" s="8" t="str">
        <f t="shared" si="5"/>
        <v>2024 3rd Domestic Trial</v>
      </c>
      <c r="L9" s="8">
        <f>IF(COUNT(AQ9,BT9,CW9)&gt;1,LARGE((AQ9,BT9,CW9),2),0)</f>
        <v>37.099999999999987</v>
      </c>
      <c r="M9" s="8" t="str">
        <f t="shared" si="6"/>
        <v>2024 Elite Canada</v>
      </c>
      <c r="N9" s="8">
        <f>IF(COUNT(AR9,BU9,CX9)&gt;0,LARGE((AR9,BU9,CX9),1),0)</f>
        <v>21.6</v>
      </c>
      <c r="O9" s="8" t="str">
        <f t="shared" si="7"/>
        <v>2024 3rd Domestic Trial</v>
      </c>
      <c r="P9" s="8">
        <f t="shared" si="8"/>
        <v>41.4</v>
      </c>
      <c r="Q9" s="8" t="str">
        <f t="shared" si="9"/>
        <v>2024 Elite Canada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 t="shared" si="13"/>
        <v>5.3</v>
      </c>
      <c r="AQ9" s="40">
        <f t="shared" si="14"/>
        <v>37.099999999999987</v>
      </c>
      <c r="AR9" s="40">
        <f t="shared" si="15"/>
        <v>19</v>
      </c>
      <c r="AS9" s="40">
        <f t="shared" si="16"/>
        <v>8.1999999999999993</v>
      </c>
      <c r="AT9" s="40">
        <f t="shared" si="17"/>
        <v>56.099999999999987</v>
      </c>
      <c r="AU9" s="40">
        <f t="shared" si="18"/>
        <v>8</v>
      </c>
      <c r="AV9" s="40">
        <f t="shared" si="19"/>
        <v>41.4</v>
      </c>
      <c r="AW9" s="40">
        <f t="shared" si="20"/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1"/>
        <v/>
      </c>
      <c r="BT9" s="11" t="str">
        <f t="shared" si="22"/>
        <v/>
      </c>
      <c r="BU9" s="11" t="str">
        <f t="shared" si="23"/>
        <v/>
      </c>
      <c r="BV9" s="11" t="str">
        <f t="shared" si="24"/>
        <v/>
      </c>
      <c r="BW9" s="11" t="str">
        <f t="shared" si="25"/>
        <v/>
      </c>
      <c r="BX9" s="11" t="str">
        <f t="shared" si="26"/>
        <v/>
      </c>
      <c r="BY9" s="11" t="str">
        <f t="shared" si="27"/>
        <v/>
      </c>
      <c r="BZ9" s="11" t="str">
        <f t="shared" si="28"/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 t="shared" si="29"/>
        <v>9.8000000000000007</v>
      </c>
      <c r="CW9" s="40">
        <f t="shared" si="30"/>
        <v>43.800000000000004</v>
      </c>
      <c r="CX9" s="40">
        <f t="shared" si="31"/>
        <v>21.6</v>
      </c>
      <c r="CY9" s="40">
        <f t="shared" si="32"/>
        <v>14.4</v>
      </c>
      <c r="CZ9" s="40">
        <f t="shared" si="33"/>
        <v>65.400000000000006</v>
      </c>
      <c r="DA9" s="40">
        <f t="shared" si="34"/>
        <v>7.4</v>
      </c>
      <c r="DB9" s="40">
        <f t="shared" si="35"/>
        <v>41.2</v>
      </c>
      <c r="DC9" s="40">
        <f t="shared" si="36"/>
        <v>106.60000000000001</v>
      </c>
      <c r="DD9" s="51" t="str">
        <f t="shared" si="37"/>
        <v/>
      </c>
      <c r="DE9" s="51" t="str">
        <f t="shared" si="38"/>
        <v/>
      </c>
      <c r="DF9" s="51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6"/>
        <v/>
      </c>
      <c r="QZ9" s="40" t="str">
        <f t="shared" si="137"/>
        <v/>
      </c>
      <c r="RA9" s="40" t="str">
        <f t="shared" si="138"/>
        <v/>
      </c>
      <c r="RB9" s="40" t="str">
        <f t="shared" si="139"/>
        <v/>
      </c>
      <c r="RC9" s="40" t="str">
        <f t="shared" si="140"/>
        <v/>
      </c>
      <c r="RD9" s="40" t="str">
        <f t="shared" si="141"/>
        <v/>
      </c>
      <c r="RE9" s="40" t="str">
        <f t="shared" si="142"/>
        <v/>
      </c>
      <c r="RF9" s="40" t="str">
        <f t="shared" si="143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4"/>
        <v/>
      </c>
      <c r="SB9" s="11" t="str">
        <f t="shared" si="145"/>
        <v/>
      </c>
      <c r="SC9" s="11" t="str">
        <f t="shared" si="146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1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2"/>
        <v/>
      </c>
      <c r="TD9" s="40" t="str">
        <f t="shared" si="153"/>
        <v/>
      </c>
      <c r="TE9" s="40" t="str">
        <f t="shared" si="154"/>
        <v/>
      </c>
      <c r="TF9" s="40" t="str">
        <f t="shared" si="155"/>
        <v/>
      </c>
      <c r="TG9" s="40" t="str">
        <f t="shared" si="156"/>
        <v/>
      </c>
      <c r="TH9" s="40" t="str">
        <f t="shared" si="157"/>
        <v/>
      </c>
      <c r="TI9" s="40" t="str">
        <f t="shared" si="158"/>
        <v/>
      </c>
      <c r="TJ9" s="40" t="str">
        <f t="shared" si="159"/>
        <v/>
      </c>
      <c r="TK9" s="26">
        <f t="shared" si="160"/>
        <v>8.1</v>
      </c>
      <c r="TL9" s="26">
        <f t="shared" si="161"/>
        <v>2.4</v>
      </c>
      <c r="TM9" s="26">
        <f t="shared" si="162"/>
        <v>0</v>
      </c>
      <c r="TN9" s="26">
        <f t="shared" si="163"/>
        <v>0.3</v>
      </c>
      <c r="TO9" s="26">
        <f t="shared" si="164"/>
        <v>8.3000000000000007</v>
      </c>
      <c r="TP9" s="26">
        <f t="shared" si="165"/>
        <v>2.5</v>
      </c>
      <c r="TQ9" s="26">
        <f t="shared" si="166"/>
        <v>0</v>
      </c>
      <c r="TR9" s="26">
        <f t="shared" si="167"/>
        <v>0.3</v>
      </c>
      <c r="TS9" s="26">
        <f t="shared" si="168"/>
        <v>8.1999999999999993</v>
      </c>
      <c r="TT9" s="26">
        <f t="shared" si="169"/>
        <v>2.2999999999999998</v>
      </c>
      <c r="TU9" s="26">
        <f t="shared" si="170"/>
        <v>0</v>
      </c>
      <c r="TV9" s="26">
        <f t="shared" si="171"/>
        <v>0.3</v>
      </c>
      <c r="TW9" s="26">
        <f t="shared" si="172"/>
        <v>8.4499999999999993</v>
      </c>
      <c r="TX9" s="26">
        <f t="shared" si="173"/>
        <v>2.4</v>
      </c>
      <c r="TY9" s="26">
        <f t="shared" si="174"/>
        <v>0</v>
      </c>
      <c r="TZ9" s="26">
        <f t="shared" si="175"/>
        <v>0.3</v>
      </c>
      <c r="UA9" s="26">
        <f t="shared" si="176"/>
        <v>7.85</v>
      </c>
      <c r="UB9" s="26">
        <f t="shared" si="177"/>
        <v>1.3</v>
      </c>
      <c r="UC9" s="26">
        <f t="shared" si="178"/>
        <v>0</v>
      </c>
      <c r="UD9" s="26">
        <f t="shared" si="179"/>
        <v>0.3</v>
      </c>
      <c r="UE9" s="28" t="s">
        <v>53</v>
      </c>
      <c r="UF9" s="11">
        <f t="shared" si="180"/>
        <v>4.9000000000000004</v>
      </c>
      <c r="UG9" s="11">
        <f t="shared" si="181"/>
        <v>21.900000000000002</v>
      </c>
      <c r="UH9" s="11">
        <f t="shared" si="182"/>
        <v>10.8</v>
      </c>
      <c r="UI9" s="11">
        <f t="shared" si="183"/>
        <v>7.2</v>
      </c>
      <c r="UJ9" s="11">
        <f t="shared" si="184"/>
        <v>32.700000000000003</v>
      </c>
      <c r="UK9" s="11">
        <f t="shared" si="185"/>
        <v>3.7</v>
      </c>
      <c r="UL9" s="11">
        <f t="shared" si="186"/>
        <v>20.6</v>
      </c>
      <c r="UM9" s="11">
        <f t="shared" si="187"/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 t="shared" si="0"/>
        <v>139.30000960000382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37.70000000000001</v>
      </c>
      <c r="K10" s="8" t="str">
        <f t="shared" si="5"/>
        <v>2024 3rd Domestic Trial</v>
      </c>
      <c r="L10" s="8">
        <f>IF(COUNT(AQ10,BT10,CW10)&gt;1,LARGE((AQ10,BT10,CW10),2),0)</f>
        <v>36.5</v>
      </c>
      <c r="M10" s="8" t="str">
        <f t="shared" si="6"/>
        <v>2024 Elite Canada</v>
      </c>
      <c r="N10" s="8">
        <f>IF(COUNT(AR10,BU10,CX10)&gt;0,LARGE((AR10,BU10,CX10),1),0)</f>
        <v>21.800000000000004</v>
      </c>
      <c r="O10" s="8" t="str">
        <f t="shared" si="7"/>
        <v>2024 Nationals</v>
      </c>
      <c r="P10" s="8">
        <f t="shared" si="8"/>
        <v>43.300000000000004</v>
      </c>
      <c r="Q10" s="8" t="str">
        <f t="shared" si="9"/>
        <v>2024 3rd Domestic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 t="shared" si="13"/>
        <v>3.8</v>
      </c>
      <c r="AQ10" s="40">
        <f t="shared" si="14"/>
        <v>36.5</v>
      </c>
      <c r="AR10" s="40">
        <f t="shared" si="15"/>
        <v>21.8</v>
      </c>
      <c r="AS10" s="40">
        <f t="shared" si="16"/>
        <v>7.8999999999999995</v>
      </c>
      <c r="AT10" s="40">
        <f t="shared" si="17"/>
        <v>58.3</v>
      </c>
      <c r="AU10" s="40">
        <f t="shared" si="18"/>
        <v>6.6999999999999993</v>
      </c>
      <c r="AV10" s="40">
        <f t="shared" si="19"/>
        <v>40.4</v>
      </c>
      <c r="AW10" s="40">
        <f t="shared" si="20"/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21"/>
        <v>6.7</v>
      </c>
      <c r="BT10" s="11">
        <f t="shared" si="22"/>
        <v>35.500000000000007</v>
      </c>
      <c r="BU10" s="11">
        <f t="shared" si="23"/>
        <v>21.800000000000004</v>
      </c>
      <c r="BV10" s="11">
        <f t="shared" si="24"/>
        <v>11.3</v>
      </c>
      <c r="BW10" s="11">
        <f t="shared" si="25"/>
        <v>57.300000000000011</v>
      </c>
      <c r="BX10" s="11" t="str">
        <f t="shared" si="26"/>
        <v/>
      </c>
      <c r="BY10" s="11" t="str">
        <f t="shared" si="27"/>
        <v/>
      </c>
      <c r="BZ10" s="11">
        <f t="shared" si="28"/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 t="shared" si="29"/>
        <v>7.8</v>
      </c>
      <c r="CW10" s="40">
        <f t="shared" si="30"/>
        <v>37.70000000000001</v>
      </c>
      <c r="CX10" s="40">
        <f t="shared" si="31"/>
        <v>20.400000000000002</v>
      </c>
      <c r="CY10" s="40">
        <f t="shared" si="32"/>
        <v>11</v>
      </c>
      <c r="CZ10" s="40">
        <f t="shared" si="33"/>
        <v>58.100000000000009</v>
      </c>
      <c r="DA10" s="40">
        <f t="shared" si="34"/>
        <v>9.3999999999999986</v>
      </c>
      <c r="DB10" s="40">
        <f t="shared" si="35"/>
        <v>43.300000000000004</v>
      </c>
      <c r="DC10" s="40">
        <f t="shared" si="36"/>
        <v>101.4</v>
      </c>
      <c r="DD10" s="51" t="str">
        <f t="shared" si="37"/>
        <v/>
      </c>
      <c r="DE10" s="51" t="str">
        <f t="shared" si="38"/>
        <v/>
      </c>
      <c r="DF10" s="51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6"/>
        <v/>
      </c>
      <c r="QZ10" s="40" t="str">
        <f t="shared" si="137"/>
        <v/>
      </c>
      <c r="RA10" s="40" t="str">
        <f t="shared" si="138"/>
        <v/>
      </c>
      <c r="RB10" s="40" t="str">
        <f t="shared" si="139"/>
        <v/>
      </c>
      <c r="RC10" s="40" t="str">
        <f t="shared" si="140"/>
        <v/>
      </c>
      <c r="RD10" s="40" t="str">
        <f t="shared" si="141"/>
        <v/>
      </c>
      <c r="RE10" s="40" t="str">
        <f t="shared" si="142"/>
        <v/>
      </c>
      <c r="RF10" s="40" t="str">
        <f t="shared" si="143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4"/>
        <v/>
      </c>
      <c r="SB10" s="11" t="str">
        <f t="shared" si="145"/>
        <v/>
      </c>
      <c r="SC10" s="11" t="str">
        <f t="shared" si="146"/>
        <v/>
      </c>
      <c r="SD10" s="11" t="str">
        <f t="shared" si="147"/>
        <v/>
      </c>
      <c r="SE10" s="11" t="str">
        <f t="shared" si="148"/>
        <v/>
      </c>
      <c r="SF10" s="11" t="str">
        <f t="shared" si="149"/>
        <v/>
      </c>
      <c r="SG10" s="11" t="str">
        <f t="shared" si="150"/>
        <v/>
      </c>
      <c r="SH10" s="11" t="str">
        <f t="shared" si="151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2"/>
        <v/>
      </c>
      <c r="TD10" s="40" t="str">
        <f t="shared" si="153"/>
        <v/>
      </c>
      <c r="TE10" s="40" t="str">
        <f t="shared" si="154"/>
        <v/>
      </c>
      <c r="TF10" s="40" t="str">
        <f t="shared" si="155"/>
        <v/>
      </c>
      <c r="TG10" s="40" t="str">
        <f t="shared" si="156"/>
        <v/>
      </c>
      <c r="TH10" s="40" t="str">
        <f t="shared" si="157"/>
        <v/>
      </c>
      <c r="TI10" s="40" t="str">
        <f t="shared" si="158"/>
        <v/>
      </c>
      <c r="TJ10" s="40" t="str">
        <f t="shared" si="159"/>
        <v/>
      </c>
      <c r="TK10" s="26">
        <f t="shared" si="160"/>
        <v>16.899999999999999</v>
      </c>
      <c r="TL10" s="26">
        <f t="shared" si="161"/>
        <v>3.35</v>
      </c>
      <c r="TM10" s="26">
        <f t="shared" si="162"/>
        <v>2.25</v>
      </c>
      <c r="TN10" s="26">
        <f t="shared" si="163"/>
        <v>0.6</v>
      </c>
      <c r="TO10" s="26">
        <f t="shared" si="164"/>
        <v>16.700000000000003</v>
      </c>
      <c r="TP10" s="26">
        <f t="shared" si="165"/>
        <v>3.9</v>
      </c>
      <c r="TQ10" s="26">
        <f t="shared" si="166"/>
        <v>3.2</v>
      </c>
      <c r="TR10" s="26">
        <f t="shared" si="167"/>
        <v>0.6</v>
      </c>
      <c r="TS10" s="26">
        <f t="shared" si="168"/>
        <v>16.8</v>
      </c>
      <c r="TT10" s="26">
        <f t="shared" si="169"/>
        <v>3.9</v>
      </c>
      <c r="TU10" s="26">
        <f t="shared" si="170"/>
        <v>0.2</v>
      </c>
      <c r="TV10" s="26">
        <f t="shared" si="171"/>
        <v>0.6</v>
      </c>
      <c r="TW10" s="26">
        <f t="shared" si="172"/>
        <v>8.25</v>
      </c>
      <c r="TX10" s="26">
        <f t="shared" si="173"/>
        <v>2.4</v>
      </c>
      <c r="TY10" s="26">
        <f t="shared" si="174"/>
        <v>0</v>
      </c>
      <c r="TZ10" s="26">
        <f t="shared" si="175"/>
        <v>0.3</v>
      </c>
      <c r="UA10" s="26">
        <f t="shared" si="176"/>
        <v>8.1</v>
      </c>
      <c r="UB10" s="26">
        <f t="shared" si="177"/>
        <v>2.2999999999999998</v>
      </c>
      <c r="UC10" s="26">
        <f t="shared" si="178"/>
        <v>0</v>
      </c>
      <c r="UD10" s="26">
        <f t="shared" si="179"/>
        <v>0.3</v>
      </c>
      <c r="UE10" s="28" t="s">
        <v>53</v>
      </c>
      <c r="UF10" s="11">
        <f t="shared" si="180"/>
        <v>7.25</v>
      </c>
      <c r="UG10" s="11">
        <f t="shared" si="181"/>
        <v>36.6</v>
      </c>
      <c r="UH10" s="11">
        <f t="shared" si="182"/>
        <v>21.1</v>
      </c>
      <c r="UI10" s="11">
        <f t="shared" si="183"/>
        <v>11.15</v>
      </c>
      <c r="UJ10" s="11">
        <f t="shared" si="184"/>
        <v>57.7</v>
      </c>
      <c r="UK10" s="11">
        <f t="shared" si="185"/>
        <v>4.6999999999999993</v>
      </c>
      <c r="UL10" s="11">
        <f t="shared" si="186"/>
        <v>21.650000000000002</v>
      </c>
      <c r="UM10" s="11">
        <f t="shared" si="187"/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 t="shared" si="0"/>
        <v>133.80000905000426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42.499999999999993</v>
      </c>
      <c r="K11" s="8" t="str">
        <f t="shared" si="5"/>
        <v>2024 3rd Domestic Trial</v>
      </c>
      <c r="L11" s="8">
        <f>IF(COUNT(AQ11,BT11,CW11)&gt;1,LARGE((AQ11,BT11,CW11),2),0)</f>
        <v>26.800000000000011</v>
      </c>
      <c r="M11" s="8" t="str">
        <f t="shared" si="6"/>
        <v>2024 Nationals</v>
      </c>
      <c r="N11" s="8">
        <f>IF(COUNT(AR11,BU11,CX11)&gt;0,LARGE((AR11,BU11,CX11),1),0)</f>
        <v>21.200000000000003</v>
      </c>
      <c r="O11" s="8" t="str">
        <f t="shared" si="7"/>
        <v>2024 3rd Domestic Trial</v>
      </c>
      <c r="P11" s="8">
        <f t="shared" si="8"/>
        <v>43.300000000000011</v>
      </c>
      <c r="Q11" s="8" t="str">
        <f t="shared" si="9"/>
        <v>2024 3rd Domestic Trial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 t="shared" si="13"/>
        <v>1.9</v>
      </c>
      <c r="AQ11" s="40">
        <f t="shared" si="14"/>
        <v>18.899999999999999</v>
      </c>
      <c r="AR11" s="40" t="str">
        <f t="shared" si="15"/>
        <v/>
      </c>
      <c r="AS11" s="40">
        <f t="shared" si="16"/>
        <v>1.9</v>
      </c>
      <c r="AT11" s="40">
        <f t="shared" si="17"/>
        <v>18.899999999999999</v>
      </c>
      <c r="AU11" s="40" t="str">
        <f t="shared" si="18"/>
        <v/>
      </c>
      <c r="AV11" s="40" t="str">
        <f t="shared" si="19"/>
        <v/>
      </c>
      <c r="AW11" s="40">
        <f t="shared" si="20"/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1"/>
        <v>5.7</v>
      </c>
      <c r="BT11" s="11">
        <f t="shared" si="22"/>
        <v>26.800000000000011</v>
      </c>
      <c r="BU11" s="11">
        <f t="shared" si="23"/>
        <v>18.400000000000002</v>
      </c>
      <c r="BV11" s="11">
        <f t="shared" si="24"/>
        <v>9.1999999999999993</v>
      </c>
      <c r="BW11" s="11">
        <f t="shared" si="25"/>
        <v>45.200000000000017</v>
      </c>
      <c r="BX11" s="11" t="str">
        <f t="shared" si="26"/>
        <v/>
      </c>
      <c r="BY11" s="11" t="str">
        <f t="shared" si="27"/>
        <v/>
      </c>
      <c r="BZ11" s="11">
        <f t="shared" si="28"/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 t="shared" si="29"/>
        <v>8.4</v>
      </c>
      <c r="CW11" s="40">
        <f t="shared" si="30"/>
        <v>42.499999999999993</v>
      </c>
      <c r="CX11" s="40">
        <f t="shared" si="31"/>
        <v>21.200000000000003</v>
      </c>
      <c r="CY11" s="40">
        <f t="shared" si="32"/>
        <v>13.2</v>
      </c>
      <c r="CZ11" s="40">
        <f t="shared" si="33"/>
        <v>63.699999999999996</v>
      </c>
      <c r="DA11" s="40">
        <f t="shared" si="34"/>
        <v>9.3999999999999986</v>
      </c>
      <c r="DB11" s="40">
        <f t="shared" si="35"/>
        <v>43.300000000000011</v>
      </c>
      <c r="DC11" s="40">
        <f t="shared" si="36"/>
        <v>107</v>
      </c>
      <c r="DD11" s="51" t="str">
        <f t="shared" si="37"/>
        <v/>
      </c>
      <c r="DE11" s="51" t="str">
        <f t="shared" si="38"/>
        <v/>
      </c>
      <c r="DF11" s="51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6"/>
        <v/>
      </c>
      <c r="QZ11" s="40" t="str">
        <f t="shared" si="137"/>
        <v/>
      </c>
      <c r="RA11" s="40" t="str">
        <f t="shared" si="138"/>
        <v/>
      </c>
      <c r="RB11" s="40" t="str">
        <f t="shared" si="139"/>
        <v/>
      </c>
      <c r="RC11" s="40" t="str">
        <f t="shared" si="140"/>
        <v/>
      </c>
      <c r="RD11" s="40" t="str">
        <f t="shared" si="141"/>
        <v/>
      </c>
      <c r="RE11" s="40" t="str">
        <f t="shared" si="142"/>
        <v/>
      </c>
      <c r="RF11" s="40" t="str">
        <f t="shared" si="143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4"/>
        <v/>
      </c>
      <c r="SB11" s="11" t="str">
        <f t="shared" si="145"/>
        <v/>
      </c>
      <c r="SC11" s="11" t="str">
        <f t="shared" si="146"/>
        <v/>
      </c>
      <c r="SD11" s="11" t="str">
        <f t="shared" si="147"/>
        <v/>
      </c>
      <c r="SE11" s="11" t="str">
        <f t="shared" si="148"/>
        <v/>
      </c>
      <c r="SF11" s="11" t="str">
        <f t="shared" si="149"/>
        <v/>
      </c>
      <c r="SG11" s="11" t="str">
        <f t="shared" si="150"/>
        <v/>
      </c>
      <c r="SH11" s="11" t="str">
        <f t="shared" si="151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2"/>
        <v/>
      </c>
      <c r="TD11" s="40" t="str">
        <f t="shared" si="153"/>
        <v/>
      </c>
      <c r="TE11" s="40" t="str">
        <f t="shared" si="154"/>
        <v/>
      </c>
      <c r="TF11" s="40" t="str">
        <f t="shared" si="155"/>
        <v/>
      </c>
      <c r="TG11" s="40" t="str">
        <f t="shared" si="156"/>
        <v/>
      </c>
      <c r="TH11" s="40" t="str">
        <f t="shared" si="157"/>
        <v/>
      </c>
      <c r="TI11" s="40" t="str">
        <f t="shared" si="158"/>
        <v/>
      </c>
      <c r="TJ11" s="40" t="str">
        <f t="shared" si="159"/>
        <v/>
      </c>
      <c r="TK11" s="26">
        <f t="shared" si="160"/>
        <v>15.8</v>
      </c>
      <c r="TL11" s="26">
        <f t="shared" si="161"/>
        <v>3.35</v>
      </c>
      <c r="TM11" s="26">
        <f t="shared" si="162"/>
        <v>1.55</v>
      </c>
      <c r="TN11" s="26">
        <f t="shared" si="163"/>
        <v>0.3</v>
      </c>
      <c r="TO11" s="26">
        <f t="shared" si="164"/>
        <v>15.149999999999999</v>
      </c>
      <c r="TP11" s="26">
        <f t="shared" si="165"/>
        <v>3.7</v>
      </c>
      <c r="TQ11" s="26">
        <f t="shared" si="166"/>
        <v>2.7</v>
      </c>
      <c r="TR11" s="26">
        <f t="shared" si="167"/>
        <v>0.6</v>
      </c>
      <c r="TS11" s="26">
        <f t="shared" si="168"/>
        <v>15.4</v>
      </c>
      <c r="TT11" s="26">
        <f t="shared" si="169"/>
        <v>4.1500000000000004</v>
      </c>
      <c r="TU11" s="26">
        <f t="shared" si="170"/>
        <v>0.35</v>
      </c>
      <c r="TV11" s="26">
        <f t="shared" si="171"/>
        <v>0.6</v>
      </c>
      <c r="TW11" s="26">
        <f t="shared" si="172"/>
        <v>8.3000000000000007</v>
      </c>
      <c r="TX11" s="26">
        <f t="shared" si="173"/>
        <v>2.4</v>
      </c>
      <c r="TY11" s="26">
        <f t="shared" si="174"/>
        <v>0</v>
      </c>
      <c r="TZ11" s="26">
        <f t="shared" si="175"/>
        <v>0.3</v>
      </c>
      <c r="UA11" s="26">
        <f t="shared" si="176"/>
        <v>8.0500000000000007</v>
      </c>
      <c r="UB11" s="26">
        <f t="shared" si="177"/>
        <v>2.2999999999999998</v>
      </c>
      <c r="UC11" s="26">
        <f t="shared" si="178"/>
        <v>0</v>
      </c>
      <c r="UD11" s="26">
        <f t="shared" si="179"/>
        <v>0.3</v>
      </c>
      <c r="UE11" s="28" t="s">
        <v>53</v>
      </c>
      <c r="UF11" s="11">
        <f t="shared" si="180"/>
        <v>7.0500000000000007</v>
      </c>
      <c r="UG11" s="11">
        <f t="shared" si="181"/>
        <v>34.650000000000006</v>
      </c>
      <c r="UH11" s="11">
        <f t="shared" si="182"/>
        <v>19.8</v>
      </c>
      <c r="UI11" s="11">
        <f t="shared" si="183"/>
        <v>11.200000000000001</v>
      </c>
      <c r="UJ11" s="11">
        <f t="shared" si="184"/>
        <v>54.45</v>
      </c>
      <c r="UK11" s="11">
        <f t="shared" si="185"/>
        <v>4.6999999999999993</v>
      </c>
      <c r="UL11" s="11">
        <f t="shared" si="186"/>
        <v>21.650000000000006</v>
      </c>
      <c r="UM11" s="11">
        <f t="shared" si="187"/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 t="shared" si="0"/>
        <v>145.52001021200419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IF(COUNT(AQ12,BT12,CW12)&gt;0,LARGE((AQ12,BT12,CW12),1),0)</f>
        <v>41.65</v>
      </c>
      <c r="K12" s="8" t="str">
        <f t="shared" si="5"/>
        <v>2024 Elite Canada</v>
      </c>
      <c r="L12" s="8">
        <f>IF(COUNT(AQ12,BT12,CW12)&gt;1,LARGE((AQ12,BT12,CW12),2),0)</f>
        <v>39.400000000000006</v>
      </c>
      <c r="M12" s="8" t="str">
        <f t="shared" si="6"/>
        <v>2024 3rd Domestic Trial</v>
      </c>
      <c r="N12" s="8">
        <f>IF(COUNT(AR12,BU12,CX12)&gt;0,LARGE((AR12,BU12,CX12),1),0)</f>
        <v>21.070000000000004</v>
      </c>
      <c r="O12" s="8" t="str">
        <f t="shared" si="7"/>
        <v>2024 Elite Canada</v>
      </c>
      <c r="P12" s="8">
        <f t="shared" si="8"/>
        <v>43.4</v>
      </c>
      <c r="Q12" s="8" t="str">
        <f t="shared" si="9"/>
        <v>2024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 t="shared" si="13"/>
        <v>8.0500000000000007</v>
      </c>
      <c r="AQ12" s="40">
        <f t="shared" si="14"/>
        <v>41.65</v>
      </c>
      <c r="AR12" s="40">
        <f t="shared" si="15"/>
        <v>21.070000000000004</v>
      </c>
      <c r="AS12" s="40">
        <f t="shared" si="16"/>
        <v>12.15</v>
      </c>
      <c r="AT12" s="40">
        <f t="shared" si="17"/>
        <v>62.72</v>
      </c>
      <c r="AU12" s="40">
        <f t="shared" si="18"/>
        <v>8.1999999999999993</v>
      </c>
      <c r="AV12" s="40">
        <f t="shared" si="19"/>
        <v>43.4</v>
      </c>
      <c r="AW12" s="40">
        <f t="shared" si="20"/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1"/>
        <v>3.8</v>
      </c>
      <c r="BT12" s="11">
        <f t="shared" si="22"/>
        <v>35.699999999999996</v>
      </c>
      <c r="BU12" s="11" t="str">
        <f t="shared" si="23"/>
        <v/>
      </c>
      <c r="BV12" s="11">
        <f t="shared" si="24"/>
        <v>3.8</v>
      </c>
      <c r="BW12" s="11">
        <f t="shared" si="25"/>
        <v>35.699999999999996</v>
      </c>
      <c r="BX12" s="11" t="str">
        <f t="shared" si="26"/>
        <v/>
      </c>
      <c r="BY12" s="11" t="str">
        <f t="shared" si="27"/>
        <v/>
      </c>
      <c r="BZ12" s="11">
        <f t="shared" si="28"/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 t="shared" si="29"/>
        <v>6.9</v>
      </c>
      <c r="CW12" s="40">
        <f t="shared" si="30"/>
        <v>39.400000000000006</v>
      </c>
      <c r="CX12" s="40">
        <f t="shared" si="31"/>
        <v>17.3</v>
      </c>
      <c r="CY12" s="40">
        <f t="shared" si="32"/>
        <v>10.4</v>
      </c>
      <c r="CZ12" s="40">
        <f t="shared" si="33"/>
        <v>56.7</v>
      </c>
      <c r="DA12" s="40">
        <f t="shared" si="34"/>
        <v>8.3999999999999986</v>
      </c>
      <c r="DB12" s="40">
        <f t="shared" si="35"/>
        <v>42.7</v>
      </c>
      <c r="DC12" s="40">
        <f t="shared" si="36"/>
        <v>99.4</v>
      </c>
      <c r="DD12" s="51" t="str">
        <f t="shared" si="37"/>
        <v/>
      </c>
      <c r="DE12" s="51" t="str">
        <f t="shared" si="38"/>
        <v/>
      </c>
      <c r="DF12" s="51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 t="shared" si="136"/>
        <v/>
      </c>
      <c r="QZ12" s="40" t="str">
        <f t="shared" si="137"/>
        <v/>
      </c>
      <c r="RA12" s="40" t="str">
        <f t="shared" si="138"/>
        <v/>
      </c>
      <c r="RB12" s="40" t="str">
        <f t="shared" si="139"/>
        <v/>
      </c>
      <c r="RC12" s="40" t="str">
        <f t="shared" si="140"/>
        <v/>
      </c>
      <c r="RD12" s="40" t="str">
        <f t="shared" si="141"/>
        <v/>
      </c>
      <c r="RE12" s="40" t="str">
        <f t="shared" si="142"/>
        <v/>
      </c>
      <c r="RF12" s="40" t="str">
        <f t="shared" si="143"/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 t="shared" si="144"/>
        <v/>
      </c>
      <c r="SB12" s="11" t="str">
        <f t="shared" si="145"/>
        <v/>
      </c>
      <c r="SC12" s="11" t="str">
        <f t="shared" si="146"/>
        <v/>
      </c>
      <c r="SD12" s="11" t="str">
        <f t="shared" si="147"/>
        <v/>
      </c>
      <c r="SE12" s="11" t="str">
        <f t="shared" si="148"/>
        <v/>
      </c>
      <c r="SF12" s="11" t="str">
        <f t="shared" si="149"/>
        <v/>
      </c>
      <c r="SG12" s="11" t="str">
        <f t="shared" si="150"/>
        <v/>
      </c>
      <c r="SH12" s="11" t="str">
        <f t="shared" si="151"/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 t="shared" si="152"/>
        <v/>
      </c>
      <c r="TD12" s="40" t="str">
        <f t="shared" si="153"/>
        <v/>
      </c>
      <c r="TE12" s="40" t="str">
        <f t="shared" si="154"/>
        <v/>
      </c>
      <c r="TF12" s="40" t="str">
        <f t="shared" si="155"/>
        <v/>
      </c>
      <c r="TG12" s="40" t="str">
        <f t="shared" si="156"/>
        <v/>
      </c>
      <c r="TH12" s="40" t="str">
        <f t="shared" si="157"/>
        <v/>
      </c>
      <c r="TI12" s="40" t="str">
        <f t="shared" si="158"/>
        <v/>
      </c>
      <c r="TJ12" s="40" t="str">
        <f t="shared" si="159"/>
        <v/>
      </c>
      <c r="TK12" s="26">
        <f t="shared" si="160"/>
        <v>15.9</v>
      </c>
      <c r="TL12" s="26">
        <f t="shared" si="161"/>
        <v>3.0999999999999996</v>
      </c>
      <c r="TM12" s="26">
        <f t="shared" si="162"/>
        <v>0</v>
      </c>
      <c r="TN12" s="26">
        <f t="shared" si="163"/>
        <v>0.3</v>
      </c>
      <c r="TO12" s="26">
        <f t="shared" si="164"/>
        <v>15.55</v>
      </c>
      <c r="TP12" s="26">
        <f t="shared" si="165"/>
        <v>2.25</v>
      </c>
      <c r="TQ12" s="26">
        <f t="shared" si="166"/>
        <v>0</v>
      </c>
      <c r="TR12" s="26">
        <f t="shared" si="167"/>
        <v>0.44999999999999996</v>
      </c>
      <c r="TS12" s="26">
        <f t="shared" si="168"/>
        <v>6.75</v>
      </c>
      <c r="TT12" s="26">
        <f t="shared" si="169"/>
        <v>1.75</v>
      </c>
      <c r="TU12" s="26">
        <f t="shared" si="170"/>
        <v>0.15</v>
      </c>
      <c r="TV12" s="26">
        <f t="shared" si="171"/>
        <v>0.3</v>
      </c>
      <c r="TW12" s="26">
        <f t="shared" si="172"/>
        <v>8.5500000000000007</v>
      </c>
      <c r="TX12" s="26">
        <f t="shared" si="173"/>
        <v>2.15</v>
      </c>
      <c r="TY12" s="26">
        <f t="shared" si="174"/>
        <v>0</v>
      </c>
      <c r="TZ12" s="26">
        <f t="shared" si="175"/>
        <v>0.15</v>
      </c>
      <c r="UA12" s="26">
        <f t="shared" si="176"/>
        <v>8.3000000000000007</v>
      </c>
      <c r="UB12" s="26">
        <f t="shared" si="177"/>
        <v>2.0499999999999998</v>
      </c>
      <c r="UC12" s="26">
        <f t="shared" si="178"/>
        <v>0</v>
      </c>
      <c r="UD12" s="26">
        <f t="shared" si="179"/>
        <v>0.15</v>
      </c>
      <c r="UE12" s="28" t="s">
        <v>53</v>
      </c>
      <c r="UF12" s="11">
        <f t="shared" si="180"/>
        <v>5.35</v>
      </c>
      <c r="UG12" s="11">
        <f t="shared" si="181"/>
        <v>37.550000000000004</v>
      </c>
      <c r="UH12" s="11">
        <f t="shared" si="182"/>
        <v>8.65</v>
      </c>
      <c r="UI12" s="11">
        <f t="shared" si="183"/>
        <v>7.1</v>
      </c>
      <c r="UJ12" s="11">
        <f t="shared" si="184"/>
        <v>46.2</v>
      </c>
      <c r="UK12" s="11">
        <f t="shared" si="185"/>
        <v>4.1999999999999993</v>
      </c>
      <c r="UL12" s="11">
        <f t="shared" si="186"/>
        <v>21.35</v>
      </c>
      <c r="UM12" s="11">
        <f t="shared" si="187"/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 t="shared" si="0"/>
        <v>143.90001012000414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IF(COUNT(AQ13,BT13,CW13)&gt;0,LARGE((AQ13,BT13,CW13),1),0)</f>
        <v>41.499999999999993</v>
      </c>
      <c r="K13" s="8" t="str">
        <f t="shared" si="5"/>
        <v>2024 Elite Canada</v>
      </c>
      <c r="L13" s="8">
        <f>IF(COUNT(AQ13,BT13,CW13)&gt;1,LARGE((AQ13,BT13,CW13),2),0)</f>
        <v>37.9</v>
      </c>
      <c r="M13" s="8" t="str">
        <f t="shared" si="6"/>
        <v>2024 Nationals</v>
      </c>
      <c r="N13" s="8">
        <f>IF(COUNT(AR13,BU13,CX13)&gt;0,LARGE((AR13,BU13,CX13),1),0)</f>
        <v>21.800000000000004</v>
      </c>
      <c r="O13" s="8" t="str">
        <f t="shared" si="7"/>
        <v>2024 Elite Canada</v>
      </c>
      <c r="P13" s="8">
        <f t="shared" si="8"/>
        <v>39.5</v>
      </c>
      <c r="Q13" s="8" t="str">
        <f t="shared" si="9"/>
        <v>2024 Nationals</v>
      </c>
      <c r="R13" s="8">
        <f t="shared" si="10"/>
        <v>3.2000000000000028</v>
      </c>
      <c r="S13" s="11" t="str">
        <f t="shared" si="11"/>
        <v>(Q1)</v>
      </c>
      <c r="T13" s="8" t="str">
        <f t="shared" si="12"/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3"/>
        <v>8.4</v>
      </c>
      <c r="AQ13" s="40">
        <f t="shared" si="14"/>
        <v>41.499999999999993</v>
      </c>
      <c r="AR13" s="40">
        <f t="shared" si="15"/>
        <v>21.800000000000004</v>
      </c>
      <c r="AS13" s="40">
        <f t="shared" si="16"/>
        <v>12.5</v>
      </c>
      <c r="AT13" s="40">
        <f t="shared" si="17"/>
        <v>63.3</v>
      </c>
      <c r="AU13" s="40" t="str">
        <f t="shared" si="18"/>
        <v/>
      </c>
      <c r="AV13" s="40" t="str">
        <f t="shared" si="19"/>
        <v/>
      </c>
      <c r="AW13" s="40">
        <f t="shared" si="20"/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 t="shared" si="21"/>
        <v>6.6</v>
      </c>
      <c r="BT13" s="11">
        <f t="shared" si="22"/>
        <v>37.9</v>
      </c>
      <c r="BU13" s="11">
        <f t="shared" si="23"/>
        <v>20.8</v>
      </c>
      <c r="BV13" s="11">
        <f t="shared" si="24"/>
        <v>10</v>
      </c>
      <c r="BW13" s="11">
        <f t="shared" si="25"/>
        <v>58.7</v>
      </c>
      <c r="BX13" s="11">
        <f t="shared" si="26"/>
        <v>6.6</v>
      </c>
      <c r="BY13" s="11">
        <f t="shared" si="27"/>
        <v>39.5</v>
      </c>
      <c r="BZ13" s="11">
        <f t="shared" si="28"/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 t="shared" si="29"/>
        <v/>
      </c>
      <c r="CW13" s="40" t="str">
        <f t="shared" si="30"/>
        <v/>
      </c>
      <c r="CX13" s="40" t="str">
        <f t="shared" si="31"/>
        <v/>
      </c>
      <c r="CY13" s="40" t="str">
        <f t="shared" si="32"/>
        <v/>
      </c>
      <c r="CZ13" s="40" t="str">
        <f t="shared" si="33"/>
        <v/>
      </c>
      <c r="DA13" s="40" t="str">
        <f t="shared" si="34"/>
        <v/>
      </c>
      <c r="DB13" s="40" t="str">
        <f t="shared" si="35"/>
        <v/>
      </c>
      <c r="DC13" s="40" t="str">
        <f t="shared" si="36"/>
        <v/>
      </c>
      <c r="DD13" s="51">
        <f t="shared" si="37"/>
        <v>3.2000000000000028</v>
      </c>
      <c r="DE13" s="51" t="str">
        <f t="shared" si="38"/>
        <v/>
      </c>
      <c r="DF13" s="51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8"/>
        <v>7.3</v>
      </c>
      <c r="FD13" s="11">
        <f t="shared" si="49"/>
        <v>41.1</v>
      </c>
      <c r="FE13" s="11" t="str">
        <f t="shared" si="50"/>
        <v/>
      </c>
      <c r="FF13" s="11">
        <f t="shared" si="51"/>
        <v>7.3</v>
      </c>
      <c r="FG13" s="11">
        <f t="shared" si="52"/>
        <v>41.1</v>
      </c>
      <c r="FH13" s="11" t="str">
        <f t="shared" si="53"/>
        <v/>
      </c>
      <c r="FI13" s="11" t="str">
        <f t="shared" si="54"/>
        <v/>
      </c>
      <c r="FJ13" s="11">
        <f t="shared" si="55"/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 t="shared" si="136"/>
        <v/>
      </c>
      <c r="QZ13" s="40" t="str">
        <f t="shared" si="137"/>
        <v/>
      </c>
      <c r="RA13" s="40" t="str">
        <f t="shared" si="138"/>
        <v/>
      </c>
      <c r="RB13" s="40" t="str">
        <f t="shared" si="139"/>
        <v/>
      </c>
      <c r="RC13" s="40" t="str">
        <f t="shared" si="140"/>
        <v/>
      </c>
      <c r="RD13" s="40" t="str">
        <f t="shared" si="141"/>
        <v/>
      </c>
      <c r="RE13" s="40" t="str">
        <f t="shared" si="142"/>
        <v/>
      </c>
      <c r="RF13" s="40" t="str">
        <f t="shared" si="143"/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 t="shared" si="144"/>
        <v/>
      </c>
      <c r="SB13" s="11" t="str">
        <f t="shared" si="145"/>
        <v/>
      </c>
      <c r="SC13" s="11" t="str">
        <f t="shared" si="146"/>
        <v/>
      </c>
      <c r="SD13" s="11" t="str">
        <f t="shared" si="147"/>
        <v/>
      </c>
      <c r="SE13" s="11" t="str">
        <f t="shared" si="148"/>
        <v/>
      </c>
      <c r="SF13" s="11" t="str">
        <f t="shared" si="149"/>
        <v/>
      </c>
      <c r="SG13" s="11" t="str">
        <f t="shared" si="150"/>
        <v/>
      </c>
      <c r="SH13" s="11" t="str">
        <f t="shared" si="151"/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 t="shared" si="152"/>
        <v/>
      </c>
      <c r="TD13" s="40" t="str">
        <f t="shared" si="153"/>
        <v/>
      </c>
      <c r="TE13" s="40" t="str">
        <f t="shared" si="154"/>
        <v/>
      </c>
      <c r="TF13" s="40" t="str">
        <f t="shared" si="155"/>
        <v/>
      </c>
      <c r="TG13" s="40" t="str">
        <f t="shared" si="156"/>
        <v/>
      </c>
      <c r="TH13" s="40" t="str">
        <f t="shared" si="157"/>
        <v/>
      </c>
      <c r="TI13" s="40" t="str">
        <f t="shared" si="158"/>
        <v/>
      </c>
      <c r="TJ13" s="40" t="str">
        <f t="shared" si="159"/>
        <v/>
      </c>
      <c r="TK13" s="26">
        <f t="shared" si="160"/>
        <v>8.25</v>
      </c>
      <c r="TL13" s="26">
        <f t="shared" si="161"/>
        <v>1.7</v>
      </c>
      <c r="TM13" s="26">
        <f t="shared" si="162"/>
        <v>0.1</v>
      </c>
      <c r="TN13" s="26">
        <f t="shared" si="163"/>
        <v>0</v>
      </c>
      <c r="TO13" s="26">
        <f t="shared" si="164"/>
        <v>8.6999999999999993</v>
      </c>
      <c r="TP13" s="26">
        <f t="shared" si="165"/>
        <v>1.6</v>
      </c>
      <c r="TQ13" s="26">
        <f t="shared" si="166"/>
        <v>1.2</v>
      </c>
      <c r="TR13" s="26">
        <f t="shared" si="167"/>
        <v>0</v>
      </c>
      <c r="TS13" s="26">
        <f t="shared" si="168"/>
        <v>8.8000000000000007</v>
      </c>
      <c r="TT13" s="26">
        <f t="shared" si="169"/>
        <v>1.7</v>
      </c>
      <c r="TU13" s="26">
        <f t="shared" si="170"/>
        <v>0.1</v>
      </c>
      <c r="TV13" s="26">
        <f t="shared" si="171"/>
        <v>0</v>
      </c>
      <c r="TW13" s="26">
        <f t="shared" si="172"/>
        <v>7.9</v>
      </c>
      <c r="TX13" s="26">
        <f t="shared" si="173"/>
        <v>1.7</v>
      </c>
      <c r="TY13" s="26">
        <f t="shared" si="174"/>
        <v>0.1</v>
      </c>
      <c r="TZ13" s="26">
        <f t="shared" si="175"/>
        <v>0</v>
      </c>
      <c r="UA13" s="26">
        <f t="shared" si="176"/>
        <v>8.85</v>
      </c>
      <c r="UB13" s="26">
        <f t="shared" si="177"/>
        <v>1.6</v>
      </c>
      <c r="UC13" s="26">
        <f t="shared" si="178"/>
        <v>0.2</v>
      </c>
      <c r="UD13" s="26">
        <f t="shared" si="179"/>
        <v>0</v>
      </c>
      <c r="UE13" s="28" t="s">
        <v>53</v>
      </c>
      <c r="UF13" s="11">
        <f t="shared" si="180"/>
        <v>3.3</v>
      </c>
      <c r="UG13" s="11">
        <f t="shared" si="181"/>
        <v>18.95</v>
      </c>
      <c r="UH13" s="11">
        <f t="shared" si="182"/>
        <v>10.4</v>
      </c>
      <c r="UI13" s="11">
        <f t="shared" si="183"/>
        <v>5</v>
      </c>
      <c r="UJ13" s="11">
        <f t="shared" si="184"/>
        <v>29.35</v>
      </c>
      <c r="UK13" s="11">
        <f t="shared" si="185"/>
        <v>3.3</v>
      </c>
      <c r="UL13" s="11">
        <f t="shared" si="186"/>
        <v>19.75</v>
      </c>
      <c r="UM13" s="11">
        <f t="shared" si="187"/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 t="shared" si="0"/>
        <v>143.70001011000423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42.3</v>
      </c>
      <c r="K14" s="8" t="str">
        <f t="shared" si="5"/>
        <v>2024 Elite Canada</v>
      </c>
      <c r="L14" s="8">
        <f>IF(COUNT(AQ14,BT14,CW14)&gt;1,LARGE((AQ14,BT14,CW14),2),0)</f>
        <v>40.099999999999994</v>
      </c>
      <c r="M14" s="8" t="str">
        <f t="shared" si="6"/>
        <v>2024 3rd Domestic Trial</v>
      </c>
      <c r="N14" s="8">
        <f>IF(COUNT(AR14,BU14,CX14)&gt;0,LARGE((AR14,BU14,CX14),1),0)</f>
        <v>18.700000000000003</v>
      </c>
      <c r="O14" s="8" t="str">
        <f t="shared" si="7"/>
        <v>2024 Elite Canada</v>
      </c>
      <c r="P14" s="8">
        <f t="shared" si="8"/>
        <v>42.599999999999994</v>
      </c>
      <c r="Q14" s="8" t="str">
        <f t="shared" si="9"/>
        <v>2024 3rd Domestic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 t="shared" si="13"/>
        <v>8.6</v>
      </c>
      <c r="AQ14" s="40">
        <f t="shared" si="14"/>
        <v>42.3</v>
      </c>
      <c r="AR14" s="40">
        <f t="shared" si="15"/>
        <v>18.700000000000003</v>
      </c>
      <c r="AS14" s="40">
        <f t="shared" si="16"/>
        <v>11.1</v>
      </c>
      <c r="AT14" s="40">
        <f t="shared" si="17"/>
        <v>61</v>
      </c>
      <c r="AU14" s="40">
        <f t="shared" si="18"/>
        <v>5.8</v>
      </c>
      <c r="AV14" s="40">
        <f t="shared" si="19"/>
        <v>37.9</v>
      </c>
      <c r="AW14" s="40">
        <f t="shared" si="20"/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1"/>
        <v/>
      </c>
      <c r="BT14" s="11" t="str">
        <f t="shared" si="22"/>
        <v/>
      </c>
      <c r="BU14" s="11" t="str">
        <f t="shared" si="23"/>
        <v/>
      </c>
      <c r="BV14" s="11" t="str">
        <f t="shared" si="24"/>
        <v/>
      </c>
      <c r="BW14" s="11" t="str">
        <f t="shared" si="25"/>
        <v/>
      </c>
      <c r="BX14" s="11" t="str">
        <f t="shared" si="26"/>
        <v/>
      </c>
      <c r="BY14" s="11" t="str">
        <f t="shared" si="27"/>
        <v/>
      </c>
      <c r="BZ14" s="11" t="str">
        <f t="shared" si="28"/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 t="shared" si="29"/>
        <v>8.1999999999999993</v>
      </c>
      <c r="CW14" s="40">
        <f t="shared" si="30"/>
        <v>40.099999999999994</v>
      </c>
      <c r="CX14" s="40">
        <f t="shared" si="31"/>
        <v>18.3</v>
      </c>
      <c r="CY14" s="40">
        <f t="shared" si="32"/>
        <v>10.1</v>
      </c>
      <c r="CZ14" s="40">
        <f t="shared" si="33"/>
        <v>58.399999999999991</v>
      </c>
      <c r="DA14" s="40">
        <f t="shared" si="34"/>
        <v>8.3999999999999986</v>
      </c>
      <c r="DB14" s="40">
        <f t="shared" si="35"/>
        <v>42.599999999999994</v>
      </c>
      <c r="DC14" s="40">
        <f t="shared" si="36"/>
        <v>100.99999999999999</v>
      </c>
      <c r="DD14" s="51" t="str">
        <f t="shared" si="37"/>
        <v/>
      </c>
      <c r="DE14" s="51" t="str">
        <f t="shared" si="38"/>
        <v/>
      </c>
      <c r="DF14" s="51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 t="shared" si="136"/>
        <v/>
      </c>
      <c r="QZ14" s="40" t="str">
        <f t="shared" si="137"/>
        <v/>
      </c>
      <c r="RA14" s="40" t="str">
        <f t="shared" si="138"/>
        <v/>
      </c>
      <c r="RB14" s="40" t="str">
        <f t="shared" si="139"/>
        <v/>
      </c>
      <c r="RC14" s="40" t="str">
        <f t="shared" si="140"/>
        <v/>
      </c>
      <c r="RD14" s="40" t="str">
        <f t="shared" si="141"/>
        <v/>
      </c>
      <c r="RE14" s="40" t="str">
        <f t="shared" si="142"/>
        <v/>
      </c>
      <c r="RF14" s="40" t="str">
        <f t="shared" si="143"/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 t="shared" si="144"/>
        <v/>
      </c>
      <c r="SB14" s="11" t="str">
        <f t="shared" si="145"/>
        <v/>
      </c>
      <c r="SC14" s="11" t="str">
        <f t="shared" si="146"/>
        <v/>
      </c>
      <c r="SD14" s="11" t="str">
        <f t="shared" si="147"/>
        <v/>
      </c>
      <c r="SE14" s="11" t="str">
        <f t="shared" si="148"/>
        <v/>
      </c>
      <c r="SF14" s="11" t="str">
        <f t="shared" si="149"/>
        <v/>
      </c>
      <c r="SG14" s="11" t="str">
        <f t="shared" si="150"/>
        <v/>
      </c>
      <c r="SH14" s="11" t="str">
        <f t="shared" si="151"/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 t="shared" si="152"/>
        <v/>
      </c>
      <c r="TD14" s="40" t="str">
        <f t="shared" si="153"/>
        <v/>
      </c>
      <c r="TE14" s="40" t="str">
        <f t="shared" si="154"/>
        <v/>
      </c>
      <c r="TF14" s="40" t="str">
        <f t="shared" si="155"/>
        <v/>
      </c>
      <c r="TG14" s="40" t="str">
        <f t="shared" si="156"/>
        <v/>
      </c>
      <c r="TH14" s="40" t="str">
        <f t="shared" si="157"/>
        <v/>
      </c>
      <c r="TI14" s="40" t="str">
        <f t="shared" si="158"/>
        <v/>
      </c>
      <c r="TJ14" s="40" t="str">
        <f t="shared" si="159"/>
        <v/>
      </c>
      <c r="TK14" s="26">
        <f t="shared" si="160"/>
        <v>8.4499999999999993</v>
      </c>
      <c r="TL14" s="26">
        <f t="shared" si="161"/>
        <v>2.15</v>
      </c>
      <c r="TM14" s="26">
        <f t="shared" si="162"/>
        <v>0.1</v>
      </c>
      <c r="TN14" s="26">
        <f t="shared" si="163"/>
        <v>0.15</v>
      </c>
      <c r="TO14" s="26">
        <f t="shared" si="164"/>
        <v>7.5</v>
      </c>
      <c r="TP14" s="26">
        <f t="shared" si="165"/>
        <v>1.95</v>
      </c>
      <c r="TQ14" s="26">
        <f t="shared" si="166"/>
        <v>0.2</v>
      </c>
      <c r="TR14" s="26">
        <f t="shared" si="167"/>
        <v>0.15</v>
      </c>
      <c r="TS14" s="26">
        <f t="shared" si="168"/>
        <v>8.0500000000000007</v>
      </c>
      <c r="TT14" s="26">
        <f t="shared" si="169"/>
        <v>0.95</v>
      </c>
      <c r="TU14" s="26">
        <f t="shared" si="170"/>
        <v>0</v>
      </c>
      <c r="TV14" s="26">
        <f t="shared" si="171"/>
        <v>0.15</v>
      </c>
      <c r="TW14" s="26">
        <f t="shared" si="172"/>
        <v>8.6</v>
      </c>
      <c r="TX14" s="26">
        <f t="shared" si="173"/>
        <v>2.0499999999999998</v>
      </c>
      <c r="TY14" s="26">
        <f t="shared" si="174"/>
        <v>0</v>
      </c>
      <c r="TZ14" s="26">
        <f t="shared" si="175"/>
        <v>0.15</v>
      </c>
      <c r="UA14" s="26">
        <f t="shared" si="176"/>
        <v>8.1999999999999993</v>
      </c>
      <c r="UB14" s="26">
        <f t="shared" si="177"/>
        <v>2.15</v>
      </c>
      <c r="UC14" s="26">
        <f t="shared" si="178"/>
        <v>0</v>
      </c>
      <c r="UD14" s="26">
        <f t="shared" si="179"/>
        <v>0.15</v>
      </c>
      <c r="UE14" s="28" t="s">
        <v>53</v>
      </c>
      <c r="UF14" s="11">
        <f t="shared" si="180"/>
        <v>4.0999999999999996</v>
      </c>
      <c r="UG14" s="11">
        <f t="shared" si="181"/>
        <v>20.049999999999997</v>
      </c>
      <c r="UH14" s="11">
        <f t="shared" si="182"/>
        <v>9.15</v>
      </c>
      <c r="UI14" s="11">
        <f t="shared" si="183"/>
        <v>5.05</v>
      </c>
      <c r="UJ14" s="11">
        <f t="shared" si="184"/>
        <v>29.199999999999996</v>
      </c>
      <c r="UK14" s="11">
        <f t="shared" si="185"/>
        <v>4.1999999999999993</v>
      </c>
      <c r="UL14" s="11">
        <f t="shared" si="186"/>
        <v>21.299999999999997</v>
      </c>
      <c r="UM14" s="11">
        <f t="shared" si="187"/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 t="shared" si="0"/>
        <v>94.000008700003534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35.4</v>
      </c>
      <c r="K15" s="8" t="str">
        <f t="shared" si="5"/>
        <v>2024 3rd Domestic Trial</v>
      </c>
      <c r="L15" s="8">
        <f>IF(COUNT(AQ15,BT15,CW15)&gt;1,LARGE((AQ15,BT15,CW15),2),0)</f>
        <v>31.700000000000003</v>
      </c>
      <c r="M15" s="8" t="str">
        <f t="shared" si="6"/>
        <v>2024 Nationals</v>
      </c>
      <c r="N15" s="8">
        <f>IF(COUNT(AR15,BU15,CX15)&gt;0,LARGE((AR15,BU15,CX15),1),0)</f>
        <v>19.899999999999999</v>
      </c>
      <c r="O15" s="8" t="str">
        <f t="shared" si="7"/>
        <v>2024 3rd Domestic Trial</v>
      </c>
      <c r="P15" s="8">
        <f t="shared" si="8"/>
        <v>0</v>
      </c>
      <c r="Q15" s="8" t="str">
        <f t="shared" si="9"/>
        <v/>
      </c>
      <c r="R15" s="8">
        <f t="shared" si="10"/>
        <v>6.9999999999999929</v>
      </c>
      <c r="S15" s="11" t="str">
        <f t="shared" si="11"/>
        <v>(Q1)</v>
      </c>
      <c r="T15" s="8" t="str">
        <f t="shared" si="12"/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3"/>
        <v/>
      </c>
      <c r="AQ15" s="40" t="str">
        <f t="shared" si="14"/>
        <v/>
      </c>
      <c r="AR15" s="40" t="str">
        <f t="shared" si="15"/>
        <v/>
      </c>
      <c r="AS15" s="40" t="str">
        <f t="shared" si="16"/>
        <v/>
      </c>
      <c r="AT15" s="40" t="str">
        <f t="shared" si="17"/>
        <v/>
      </c>
      <c r="AU15" s="40" t="str">
        <f t="shared" si="18"/>
        <v/>
      </c>
      <c r="AV15" s="40" t="str">
        <f t="shared" si="19"/>
        <v/>
      </c>
      <c r="AW15" s="40" t="str">
        <f t="shared" si="20"/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1"/>
        <v>3.7</v>
      </c>
      <c r="BT15" s="11">
        <f t="shared" si="22"/>
        <v>31.700000000000003</v>
      </c>
      <c r="BU15" s="11">
        <f t="shared" si="23"/>
        <v>18.5</v>
      </c>
      <c r="BV15" s="11">
        <f t="shared" si="24"/>
        <v>6.2</v>
      </c>
      <c r="BW15" s="11">
        <f t="shared" si="25"/>
        <v>50.2</v>
      </c>
      <c r="BX15" s="11" t="str">
        <f t="shared" si="26"/>
        <v/>
      </c>
      <c r="BY15" s="11" t="str">
        <f t="shared" si="27"/>
        <v/>
      </c>
      <c r="BZ15" s="11">
        <f t="shared" si="28"/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9"/>
        <v>4.4000000000000004</v>
      </c>
      <c r="CW15" s="40">
        <f t="shared" si="30"/>
        <v>35.4</v>
      </c>
      <c r="CX15" s="40">
        <f t="shared" si="31"/>
        <v>19.899999999999999</v>
      </c>
      <c r="CY15" s="40">
        <f t="shared" si="32"/>
        <v>7.8000000000000007</v>
      </c>
      <c r="CZ15" s="40">
        <f t="shared" si="33"/>
        <v>55.3</v>
      </c>
      <c r="DA15" s="40" t="str">
        <f t="shared" si="34"/>
        <v/>
      </c>
      <c r="DB15" s="40" t="str">
        <f t="shared" si="35"/>
        <v/>
      </c>
      <c r="DC15" s="40">
        <f t="shared" si="36"/>
        <v>55.3</v>
      </c>
      <c r="DD15" s="51">
        <f t="shared" si="37"/>
        <v>6.9999999999999929</v>
      </c>
      <c r="DE15" s="51" t="str">
        <f t="shared" si="38"/>
        <v/>
      </c>
      <c r="DF15" s="51" t="str">
        <f t="shared" si="39"/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 t="shared" si="40"/>
        <v>8</v>
      </c>
      <c r="EB15" s="40">
        <f t="shared" si="41"/>
        <v>38.699999999999996</v>
      </c>
      <c r="EC15" s="40" t="str">
        <f t="shared" si="42"/>
        <v/>
      </c>
      <c r="ED15" s="40">
        <f t="shared" si="43"/>
        <v>8</v>
      </c>
      <c r="EE15" s="40">
        <f t="shared" si="44"/>
        <v>38.699999999999996</v>
      </c>
      <c r="EF15" s="40" t="str">
        <f t="shared" si="45"/>
        <v/>
      </c>
      <c r="EG15" s="40" t="str">
        <f t="shared" si="46"/>
        <v/>
      </c>
      <c r="EH15" s="40">
        <f t="shared" si="47"/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 t="shared" si="136"/>
        <v/>
      </c>
      <c r="QZ15" s="40" t="str">
        <f t="shared" si="137"/>
        <v/>
      </c>
      <c r="RA15" s="40" t="str">
        <f t="shared" si="138"/>
        <v/>
      </c>
      <c r="RB15" s="40" t="str">
        <f t="shared" si="139"/>
        <v/>
      </c>
      <c r="RC15" s="40" t="str">
        <f t="shared" si="140"/>
        <v/>
      </c>
      <c r="RD15" s="40" t="str">
        <f t="shared" si="141"/>
        <v/>
      </c>
      <c r="RE15" s="40" t="str">
        <f t="shared" si="142"/>
        <v/>
      </c>
      <c r="RF15" s="40" t="str">
        <f t="shared" si="143"/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 t="shared" si="144"/>
        <v/>
      </c>
      <c r="SB15" s="11" t="str">
        <f t="shared" si="145"/>
        <v/>
      </c>
      <c r="SC15" s="11" t="str">
        <f t="shared" si="146"/>
        <v/>
      </c>
      <c r="SD15" s="11" t="str">
        <f t="shared" si="147"/>
        <v/>
      </c>
      <c r="SE15" s="11" t="str">
        <f t="shared" si="148"/>
        <v/>
      </c>
      <c r="SF15" s="11" t="str">
        <f t="shared" si="149"/>
        <v/>
      </c>
      <c r="SG15" s="11" t="str">
        <f t="shared" si="150"/>
        <v/>
      </c>
      <c r="SH15" s="11" t="str">
        <f t="shared" si="151"/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 t="shared" si="152"/>
        <v/>
      </c>
      <c r="TD15" s="40" t="str">
        <f t="shared" si="153"/>
        <v/>
      </c>
      <c r="TE15" s="40" t="str">
        <f t="shared" si="154"/>
        <v/>
      </c>
      <c r="TF15" s="40" t="str">
        <f t="shared" si="155"/>
        <v/>
      </c>
      <c r="TG15" s="40" t="str">
        <f t="shared" si="156"/>
        <v/>
      </c>
      <c r="TH15" s="40" t="str">
        <f t="shared" si="157"/>
        <v/>
      </c>
      <c r="TI15" s="40" t="str">
        <f t="shared" si="158"/>
        <v/>
      </c>
      <c r="TJ15" s="40" t="str">
        <f t="shared" si="159"/>
        <v/>
      </c>
      <c r="TK15" s="26">
        <f t="shared" si="160"/>
        <v>16.7</v>
      </c>
      <c r="TL15" s="26">
        <f t="shared" si="161"/>
        <v>2.85</v>
      </c>
      <c r="TM15" s="26">
        <f t="shared" si="162"/>
        <v>1.7</v>
      </c>
      <c r="TN15" s="26">
        <f t="shared" si="163"/>
        <v>0.15</v>
      </c>
      <c r="TO15" s="26">
        <f t="shared" si="164"/>
        <v>16.850000000000001</v>
      </c>
      <c r="TP15" s="26">
        <f t="shared" si="165"/>
        <v>1.2</v>
      </c>
      <c r="TQ15" s="26">
        <f t="shared" si="166"/>
        <v>2.5</v>
      </c>
      <c r="TR15" s="26">
        <f t="shared" si="167"/>
        <v>0</v>
      </c>
      <c r="TS15" s="26">
        <f t="shared" si="168"/>
        <v>16.7</v>
      </c>
      <c r="TT15" s="26">
        <f t="shared" si="169"/>
        <v>2.95</v>
      </c>
      <c r="TU15" s="26">
        <f t="shared" si="170"/>
        <v>0.6</v>
      </c>
      <c r="TV15" s="26">
        <f t="shared" si="171"/>
        <v>0.15</v>
      </c>
      <c r="TW15" s="26">
        <f t="shared" si="172"/>
        <v>0</v>
      </c>
      <c r="TX15" s="26">
        <f t="shared" si="173"/>
        <v>0</v>
      </c>
      <c r="TY15" s="26">
        <f t="shared" si="174"/>
        <v>0</v>
      </c>
      <c r="TZ15" s="26">
        <f t="shared" si="175"/>
        <v>0</v>
      </c>
      <c r="UA15" s="26">
        <f t="shared" si="176"/>
        <v>0</v>
      </c>
      <c r="UB15" s="26">
        <f t="shared" si="177"/>
        <v>0</v>
      </c>
      <c r="UC15" s="26">
        <f t="shared" si="178"/>
        <v>0</v>
      </c>
      <c r="UD15" s="26">
        <f t="shared" si="179"/>
        <v>0</v>
      </c>
      <c r="UE15" s="28" t="s">
        <v>53</v>
      </c>
      <c r="UF15" s="11">
        <f t="shared" si="180"/>
        <v>4.05</v>
      </c>
      <c r="UG15" s="11">
        <f t="shared" si="181"/>
        <v>33.549999999999997</v>
      </c>
      <c r="UH15" s="11">
        <f t="shared" si="182"/>
        <v>19.199999999999996</v>
      </c>
      <c r="UI15" s="11">
        <f t="shared" si="183"/>
        <v>7</v>
      </c>
      <c r="UJ15" s="11">
        <f t="shared" si="184"/>
        <v>52.749999999999993</v>
      </c>
      <c r="UK15" s="11" t="str">
        <f t="shared" si="185"/>
        <v/>
      </c>
      <c r="UL15" s="11" t="str">
        <f t="shared" si="186"/>
        <v/>
      </c>
      <c r="UM15" s="11">
        <f t="shared" si="187"/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 t="shared" si="0"/>
        <v>83.300004650003302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33</v>
      </c>
      <c r="K16" s="8" t="str">
        <f t="shared" si="5"/>
        <v>2024 Elite Canada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13.500000000000002</v>
      </c>
      <c r="O16" s="8" t="str">
        <f t="shared" si="7"/>
        <v>2024 Elite Canada</v>
      </c>
      <c r="P16" s="8">
        <f t="shared" si="8"/>
        <v>36.800000000000004</v>
      </c>
      <c r="Q16" s="8" t="str">
        <f t="shared" si="9"/>
        <v>2024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 t="shared" si="13"/>
        <v>4.5999999999999996</v>
      </c>
      <c r="AQ16" s="40">
        <f t="shared" si="14"/>
        <v>33</v>
      </c>
      <c r="AR16" s="40">
        <f t="shared" si="15"/>
        <v>13.500000000000002</v>
      </c>
      <c r="AS16" s="40">
        <f t="shared" si="16"/>
        <v>7</v>
      </c>
      <c r="AT16" s="40">
        <f t="shared" si="17"/>
        <v>46.5</v>
      </c>
      <c r="AU16" s="40">
        <f t="shared" si="18"/>
        <v>4.3000000000000007</v>
      </c>
      <c r="AV16" s="40">
        <f t="shared" si="19"/>
        <v>36.800000000000004</v>
      </c>
      <c r="AW16" s="40">
        <f t="shared" si="20"/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9"/>
        <v/>
      </c>
      <c r="CW16" s="40" t="str">
        <f t="shared" si="30"/>
        <v/>
      </c>
      <c r="CX16" s="40" t="str">
        <f t="shared" si="31"/>
        <v/>
      </c>
      <c r="CY16" s="40" t="str">
        <f t="shared" si="32"/>
        <v/>
      </c>
      <c r="CZ16" s="40" t="str">
        <f t="shared" si="33"/>
        <v/>
      </c>
      <c r="DA16" s="40" t="str">
        <f t="shared" si="34"/>
        <v/>
      </c>
      <c r="DB16" s="40" t="str">
        <f t="shared" si="35"/>
        <v/>
      </c>
      <c r="DC16" s="40" t="str">
        <f t="shared" si="36"/>
        <v/>
      </c>
      <c r="DD16" s="51" t="str">
        <f t="shared" si="37"/>
        <v/>
      </c>
      <c r="DE16" s="51" t="str">
        <f t="shared" si="38"/>
        <v/>
      </c>
      <c r="DF16" s="51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 t="shared" si="136"/>
        <v/>
      </c>
      <c r="QZ16" s="40" t="str">
        <f t="shared" si="137"/>
        <v/>
      </c>
      <c r="RA16" s="40" t="str">
        <f t="shared" si="138"/>
        <v/>
      </c>
      <c r="RB16" s="40" t="str">
        <f t="shared" si="139"/>
        <v/>
      </c>
      <c r="RC16" s="40" t="str">
        <f t="shared" si="140"/>
        <v/>
      </c>
      <c r="RD16" s="40" t="str">
        <f t="shared" si="141"/>
        <v/>
      </c>
      <c r="RE16" s="40" t="str">
        <f t="shared" si="142"/>
        <v/>
      </c>
      <c r="RF16" s="40" t="str">
        <f t="shared" si="143"/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 t="shared" si="144"/>
        <v/>
      </c>
      <c r="SB16" s="11" t="str">
        <f t="shared" si="145"/>
        <v/>
      </c>
      <c r="SC16" s="11" t="str">
        <f t="shared" si="146"/>
        <v/>
      </c>
      <c r="SD16" s="11" t="str">
        <f t="shared" si="147"/>
        <v/>
      </c>
      <c r="SE16" s="11" t="str">
        <f t="shared" si="148"/>
        <v/>
      </c>
      <c r="SF16" s="11" t="str">
        <f t="shared" si="149"/>
        <v/>
      </c>
      <c r="SG16" s="11" t="str">
        <f t="shared" si="150"/>
        <v/>
      </c>
      <c r="SH16" s="11" t="str">
        <f t="shared" si="151"/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 t="shared" si="152"/>
        <v/>
      </c>
      <c r="TD16" s="40" t="str">
        <f t="shared" si="153"/>
        <v/>
      </c>
      <c r="TE16" s="40" t="str">
        <f t="shared" si="154"/>
        <v/>
      </c>
      <c r="TF16" s="40" t="str">
        <f t="shared" si="155"/>
        <v/>
      </c>
      <c r="TG16" s="40" t="str">
        <f t="shared" si="156"/>
        <v/>
      </c>
      <c r="TH16" s="40" t="str">
        <f t="shared" si="157"/>
        <v/>
      </c>
      <c r="TI16" s="40" t="str">
        <f t="shared" si="158"/>
        <v/>
      </c>
      <c r="TJ16" s="40" t="str">
        <f t="shared" si="159"/>
        <v/>
      </c>
      <c r="TK16" s="26">
        <f t="shared" si="160"/>
        <v>0</v>
      </c>
      <c r="TL16" s="26">
        <f t="shared" si="161"/>
        <v>0</v>
      </c>
      <c r="TM16" s="26">
        <f t="shared" si="162"/>
        <v>0</v>
      </c>
      <c r="TN16" s="26">
        <f t="shared" si="163"/>
        <v>0</v>
      </c>
      <c r="TO16" s="26">
        <f t="shared" si="164"/>
        <v>0</v>
      </c>
      <c r="TP16" s="26">
        <f t="shared" si="165"/>
        <v>0</v>
      </c>
      <c r="TQ16" s="26">
        <f t="shared" si="166"/>
        <v>0</v>
      </c>
      <c r="TR16" s="26">
        <f t="shared" si="167"/>
        <v>0</v>
      </c>
      <c r="TS16" s="26">
        <f t="shared" si="168"/>
        <v>0</v>
      </c>
      <c r="TT16" s="26">
        <f t="shared" si="169"/>
        <v>0</v>
      </c>
      <c r="TU16" s="26">
        <f t="shared" si="170"/>
        <v>0</v>
      </c>
      <c r="TV16" s="26">
        <f t="shared" si="171"/>
        <v>0</v>
      </c>
      <c r="TW16" s="26">
        <f t="shared" si="172"/>
        <v>0</v>
      </c>
      <c r="TX16" s="26">
        <f t="shared" si="173"/>
        <v>0</v>
      </c>
      <c r="TY16" s="26">
        <f t="shared" si="174"/>
        <v>0</v>
      </c>
      <c r="TZ16" s="26">
        <f t="shared" si="175"/>
        <v>0</v>
      </c>
      <c r="UA16" s="26">
        <f t="shared" si="176"/>
        <v>0</v>
      </c>
      <c r="UB16" s="26">
        <f t="shared" si="177"/>
        <v>0</v>
      </c>
      <c r="UC16" s="26">
        <f t="shared" si="178"/>
        <v>0</v>
      </c>
      <c r="UD16" s="26">
        <f t="shared" si="179"/>
        <v>0</v>
      </c>
      <c r="UE16" s="28" t="s">
        <v>53</v>
      </c>
      <c r="UF16" s="11" t="str">
        <f t="shared" si="180"/>
        <v/>
      </c>
      <c r="UG16" s="11" t="str">
        <f t="shared" si="181"/>
        <v/>
      </c>
      <c r="UH16" s="11" t="str">
        <f t="shared" si="182"/>
        <v/>
      </c>
      <c r="UI16" s="11" t="str">
        <f t="shared" si="183"/>
        <v/>
      </c>
      <c r="UJ16" s="11" t="str">
        <f t="shared" si="184"/>
        <v/>
      </c>
      <c r="UK16" s="11" t="str">
        <f t="shared" si="185"/>
        <v/>
      </c>
      <c r="UL16" s="11" t="str">
        <f t="shared" si="186"/>
        <v/>
      </c>
      <c r="UM16" s="11" t="str">
        <f t="shared" si="187"/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16">
      <sortCondition descending="1" ref="F1:F17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6">
    <cfRule type="expression" dxfId="126" priority="61" stopIfTrue="1">
      <formula>IF($AO4&lt;&gt;"",1,0)</formula>
    </cfRule>
  </conditionalFormatting>
  <conditionalFormatting sqref="AX4:BZ16">
    <cfRule type="expression" dxfId="125" priority="60" stopIfTrue="1">
      <formula>IF($BR4&lt;&gt;"",1,0)</formula>
    </cfRule>
  </conditionalFormatting>
  <conditionalFormatting sqref="M1:M3 O1:O3 K1:K1048576 Q1:Q1048576 M4:O1048576">
    <cfRule type="expression" dxfId="124" priority="57">
      <formula>IF(K1=$CA$1,1,0)</formula>
    </cfRule>
    <cfRule type="expression" dxfId="123" priority="58">
      <formula>IF(K1=$AX$1,1,0)</formula>
    </cfRule>
    <cfRule type="expression" dxfId="122" priority="59">
      <formula>IF(K1=$U$1,1,0)</formula>
    </cfRule>
  </conditionalFormatting>
  <conditionalFormatting sqref="CA4:DC16">
    <cfRule type="expression" dxfId="121" priority="56" stopIfTrue="1">
      <formula>IF($CU4&lt;&gt;"",1,0)</formula>
    </cfRule>
  </conditionalFormatting>
  <conditionalFormatting sqref="A4:A1048576">
    <cfRule type="expression" dxfId="120" priority="33">
      <formula>AND(G4="P",F4="")</formula>
    </cfRule>
    <cfRule type="expression" dxfId="119" priority="55" stopIfTrue="1">
      <formula>IF(A4&gt;8,1,0)</formula>
    </cfRule>
  </conditionalFormatting>
  <conditionalFormatting sqref="H1:H1048576">
    <cfRule type="containsText" dxfId="118" priority="50" operator="containsText" text="No DD">
      <formula>NOT(ISERROR(SEARCH("No DD",H1)))</formula>
    </cfRule>
    <cfRule type="containsText" dxfId="117" priority="51" operator="containsText" text="Merit">
      <formula>NOT(ISERROR(SEARCH("Merit",H1)))</formula>
    </cfRule>
    <cfRule type="containsText" dxfId="116" priority="52" operator="containsText" text="Excellence">
      <formula>NOT(ISERROR(SEARCH("Excellence",H1)))</formula>
    </cfRule>
    <cfRule type="containsText" dxfId="115" priority="53" operator="containsText" text="Worlds Team">
      <formula>NOT(ISERROR(SEARCH("Worlds Team",H1)))</formula>
    </cfRule>
    <cfRule type="containsText" dxfId="114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113" priority="47" operator="between">
      <formula>AW$26</formula>
      <formula>1000</formula>
    </cfRule>
    <cfRule type="cellIs" dxfId="112" priority="48" operator="between">
      <formula>AW$25</formula>
      <formula>AW$26</formula>
    </cfRule>
    <cfRule type="cellIs" dxfId="111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110" priority="89734" operator="between">
      <formula>AW$23</formula>
      <formula>AW$24</formula>
    </cfRule>
    <cfRule type="cellIs" dxfId="109" priority="89735" operator="between">
      <formula>AW$24</formula>
      <formula>AW$25</formula>
    </cfRule>
    <cfRule type="cellIs" dxfId="108" priority="89736" operator="between">
      <formula>AW$25</formula>
      <formula>AW$26</formula>
    </cfRule>
    <cfRule type="cellIs" dxfId="107" priority="89737" operator="between">
      <formula>AW$26</formula>
      <formula>1000</formula>
    </cfRule>
  </conditionalFormatting>
  <conditionalFormatting sqref="TK1:TK16">
    <cfRule type="cellIs" dxfId="106" priority="102448" operator="between">
      <formula>QD$23</formula>
      <formula>QD$24</formula>
    </cfRule>
    <cfRule type="cellIs" dxfId="105" priority="102449" operator="between">
      <formula>QD$24</formula>
      <formula>QD$25</formula>
    </cfRule>
    <cfRule type="cellIs" dxfId="104" priority="102450" operator="between">
      <formula>QD$25</formula>
      <formula>QD$26</formula>
    </cfRule>
    <cfRule type="cellIs" dxfId="103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02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01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00" priority="125417" operator="between">
      <formula>AW$19</formula>
      <formula>AW$20</formula>
    </cfRule>
    <cfRule type="cellIs" dxfId="99" priority="125418" operator="between">
      <formula>AW$20</formula>
      <formula>AW$21</formula>
    </cfRule>
    <cfRule type="cellIs" dxfId="98" priority="125419" operator="between">
      <formula>AW$21</formula>
      <formula>AW$22</formula>
    </cfRule>
    <cfRule type="cellIs" dxfId="97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96" priority="125789" operator="between">
      <formula>AW$22</formula>
      <formula>1000</formula>
    </cfRule>
    <cfRule type="cellIs" dxfId="95" priority="125790" operator="between">
      <formula>AW$21</formula>
      <formula>AW$22</formula>
    </cfRule>
    <cfRule type="cellIs" dxfId="94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223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 t="s">
        <v>245</v>
      </c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 t="s">
        <v>244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 t="shared" ref="F4:F27" si="0"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,AND(QY4&gt;=RF$30,QZ4&gt;=RF$34,QY4&lt;&gt;""),AND(RD4&gt;=RF$30,RE4&gt;=RF$34,RD4&lt;&gt;""),AND(SA4&gt;=SH$30,SB4&gt;=SH$34,SA4&lt;&gt;""),AND(SF4&gt;=SH$30,SG4&gt;=SH$34,SF4&lt;&gt;""),AND(TC4&gt;=TJ$30,TD4&gt;=TJ$34,TC4&lt;&gt;""),AND(TI4&gt;=TJ$30,TJ4&gt;=TJ$34,TI4&lt;&gt;"")),"P","")</f>
        <v>P</v>
      </c>
      <c r="G4" s="3" t="str">
        <f t="shared" ref="G4:G27" si="1"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,AND(QZ4&gt;=RF$34,QZ4&lt;&gt;""),AND(RE4&gt;=RF$34,RE4&lt;&gt;""),AND(SB4&gt;=SH$34,SB4&lt;&gt;""),AND(SG4&gt;=SH$34,SG4&lt;&gt;""),AND(TD4&gt;=TJ$34,TD4&lt;&gt;""),AND(TJ4&gt;=TJ$34,TJ4&lt;&gt;"")),"P","")</f>
        <v>P</v>
      </c>
      <c r="H4" s="36" t="str">
        <f t="shared" ref="H4:H27" si="2"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,AND(RB4&gt;=RF$33,RC4&gt;=RF$37,RB4&lt;&gt;""),AND(SD4&gt;=SH$33,SE4&gt;=SH$37,SD4&lt;&gt;""),AND(TF4&gt;=TJ$33,TG4&gt;=TJ$37,TF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,AND(RB4&gt;=RF$32,RC4&gt;=RF$36,RB4&lt;&gt;""),AND(SD4&gt;=SH$32,SE4&gt;=SH$36,SD4&lt;&gt;""),AND(TF4&gt;=TJ$32,TG4&gt;=TJ$36,TF4&lt;&gt;"")),"Excellence",IF(I4="P","Worlds Team",IF(F4="P","National Team","")))))</f>
        <v>Merit</v>
      </c>
      <c r="I4" s="3" t="str">
        <f t="shared" ref="I4:I27" si="3"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,AND(RB4&gt;=RF$31,RC4&gt;=RF$35,RB4&lt;&gt;""),AND(SD4&gt;=SH$31,SE4&gt;=SH$35,SD4&lt;&gt;""),AND(TF4&gt;=TJ$31,TG4&gt;=TJ$35,TF4&lt;&gt;"")),"P","")</f>
        <v>P</v>
      </c>
      <c r="J4" s="8">
        <f>IF(COUNT(AQ4,BT4,CW4)&gt;0,LARGE((AQ4,BT4,CW4),1),0)</f>
        <v>57.9</v>
      </c>
      <c r="K4" s="8" t="str">
        <f t="shared" ref="K4:K27" si="4"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 t="shared" ref="M4:M27" si="5"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 t="shared" ref="O4:O27" si="6">IF(N4=0,"",IF(N4=CX4,$CA$1,IF(N4=BU4,$AX$1,IF(N4=AR4,$U$1,""))))</f>
        <v>2024 3rd Domestic Trial</v>
      </c>
      <c r="P4" s="8">
        <f t="shared" ref="P4:P27" si="7">IF(MAX(AV4,BY4,DB4)&gt;0,MAX(AV4,BY4,DB4),0)</f>
        <v>59.1</v>
      </c>
      <c r="Q4" s="8" t="str">
        <f t="shared" ref="Q4:Q27" si="8">IF(P4=0,"",IF(P4=DB4,$CA$1,IF(P4=BY4,$AX$1,IF(P4=AV4,$U$1,""))))</f>
        <v>2024 Elite Canada</v>
      </c>
      <c r="R4" s="8" t="str">
        <f t="shared" ref="R4:R27" si="9">IF(MAX(DD4:DF4)&gt;0,MAX(DD4:DF4),"")</f>
        <v/>
      </c>
      <c r="S4" s="11" t="str">
        <f t="shared" ref="S4:S27" si="10">IF(R4="","",IF(R4=DD4,"("&amp;DD$2&amp;")",IF(R4=DE4,"("&amp;DE$2&amp;")",IF(R4=DF4,"("&amp;DF$2&amp;")"))))</f>
        <v/>
      </c>
      <c r="T4" s="8" t="str">
        <f t="shared" ref="T4:T27" si="11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 t="shared" ref="AP4:AP27" si="12">IF(SUM(V4,Z4)&gt;0,SUM(V4,Z4),"")</f>
        <v>20.8</v>
      </c>
      <c r="AQ4" s="40">
        <f t="shared" ref="AQ4:AQ27" si="13">IF(SUM(U4:V4,X4:Z4,AB4)-W4-AA4&gt;0,SUM(U4:V4,X4:Z4,AB4)-W4-AA4,"")</f>
        <v>57.9</v>
      </c>
      <c r="AR4" s="40">
        <f t="shared" ref="AR4:AR27" si="14">IF(SUM(AC4:AD4,AF4)-AE4&gt;0,SUM(AC4:AD4,AF4)-AE4,"")</f>
        <v>27</v>
      </c>
      <c r="AS4" s="40">
        <f t="shared" ref="AS4:AS27" si="15">IF(SUM(V4,Z4,AD4)&gt;0,SUM(V4,Z4,AD4),"")</f>
        <v>29.700000000000003</v>
      </c>
      <c r="AT4" s="40">
        <f t="shared" ref="AT4:AT27" si="16">IF(SUM(AQ4,AR4)&gt;0,SUM(AQ4,AR4),"")</f>
        <v>84.9</v>
      </c>
      <c r="AU4" s="40">
        <f t="shared" ref="AU4:AU27" si="17">IF(SUM(AH4,AL4)&gt;0,SUM(AH4,AL4),"")</f>
        <v>20.8</v>
      </c>
      <c r="AV4" s="40">
        <f t="shared" ref="AV4:AV27" si="18">IF(SUM(AG4:AH4,AJ4:AL4,AN4)-SUM(AI4,AM4)&gt;0,SUM(AG4:AH4,AJ4:AL4,AN4)-SUM(AI4,AM4),"")</f>
        <v>59.1</v>
      </c>
      <c r="AW4" s="40">
        <f t="shared" ref="AW4:AW27" si="19"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 t="shared" ref="BS4:BS27" si="20">IF(SUM(AY4,BC4)&gt;0,SUM(AY4,BC4),"")</f>
        <v>15.1</v>
      </c>
      <c r="BT4" s="11">
        <f t="shared" ref="BT4:BT27" si="21">IF(SUM(AX4:AY4,BA4:BC4,BE4)-AZ4-BD4&gt;0,SUM(AX4:AY4,BA4:BC4,BE4)-AZ4-BD4,"")</f>
        <v>52</v>
      </c>
      <c r="BU4" s="11">
        <f t="shared" ref="BU4:BU27" si="22">IF(SUM(BF4:BG4,BI4)-BH4&gt;0,SUM(BF4:BG4,BI4)-BH4,"")</f>
        <v>27.400000000000002</v>
      </c>
      <c r="BV4" s="11">
        <f t="shared" ref="BV4:BV27" si="23">IF(SUM(AY4,BC4,BG4)&gt;0,SUM(AY4,BC4,BG4),"")</f>
        <v>24.4</v>
      </c>
      <c r="BW4" s="11">
        <f t="shared" ref="BW4:BW27" si="24">IF(SUM(BT4,BU4)&gt;0,SUM(BT4,BU4),"")</f>
        <v>79.400000000000006</v>
      </c>
      <c r="BX4" s="11">
        <f t="shared" ref="BX4:BX27" si="25">IF(SUM(BK4,BO4)&gt;0,SUM(BK4,BO4),"")</f>
        <v>20.8</v>
      </c>
      <c r="BY4" s="11">
        <f t="shared" ref="BY4:BY27" si="26">IF(SUM(BJ4:BK4,BM4:BO4,BQ4)-SUM(BL4,BP4)&gt;0,SUM(BJ4:BK4,BM4:BO4,BQ4)-SUM(BL4,BP4),"")</f>
        <v>57.6</v>
      </c>
      <c r="BZ4" s="11">
        <f t="shared" ref="BZ4:BZ27" si="27"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9.6</v>
      </c>
      <c r="CS4" s="19">
        <v>0</v>
      </c>
      <c r="CT4" s="19">
        <v>0.3</v>
      </c>
      <c r="CU4" s="27"/>
      <c r="CV4" s="40">
        <f t="shared" ref="CV4:CV27" si="28">IF(SUM(CB4,CF4)&gt;0,SUM(CB4,CF4),"")</f>
        <v>19.600000000000001</v>
      </c>
      <c r="CW4" s="40">
        <f t="shared" ref="CW4:CW27" si="29">IF(SUM(CA4:CB4,CD4:CF4,CH4)-CC4-CG4&gt;0,SUM(CA4:CB4,CD4:CF4,CH4)-CC4-CG4,"")</f>
        <v>57.800000000000004</v>
      </c>
      <c r="CX4" s="40">
        <f t="shared" ref="CX4:CX27" si="30">IF(SUM(CI4:CJ4,CL4)-CK4&gt;0,SUM(CI4:CJ4,CL4)-CK4,"")</f>
        <v>28</v>
      </c>
      <c r="CY4" s="40">
        <f t="shared" ref="CY4:CY27" si="31">IF(SUM(CB4,CF4,CJ4)&gt;0,SUM(CB4,CF4,CJ4),"")</f>
        <v>28.900000000000002</v>
      </c>
      <c r="CZ4" s="40">
        <f t="shared" ref="CZ4:CZ27" si="32">IF(SUM(CW4,CX4)&gt;0,SUM(CW4,CX4),"")</f>
        <v>85.800000000000011</v>
      </c>
      <c r="DA4" s="40">
        <f t="shared" ref="DA4:DA27" si="33">IF(SUM(CN4,CR4)&gt;0,SUM(CN4,CR4),"")</f>
        <v>19.600000000000001</v>
      </c>
      <c r="DB4" s="40">
        <f t="shared" ref="DB4:DB27" si="34">IF(SUM(CM4:CN4,CP4:CR4,CT4)-SUM(CO4,CS4)&gt;0,SUM(CM4:CN4,CP4:CR4,CT4)-SUM(CO4,CS4),"")</f>
        <v>57.9</v>
      </c>
      <c r="DC4" s="40">
        <f t="shared" ref="DC4:DC27" si="35">IF(SUM(CW4,CX4,DB4)&gt;0,SUM(CW4,CX4,DB4),"")</f>
        <v>143.70000000000002</v>
      </c>
      <c r="DD4" s="51" t="str">
        <f t="shared" ref="DD4:DD27" si="36">IF(MAX(EB4,FD4,GF4,HH4,IJ4,JL4,KN4,LP4,MR4,NT4,OV4,PX4,QZ4,SB4,TD4)-IF(L4="",0,L4)&gt;0.001,MAX(EB4,FD4,GF4,HH4,IJ4,JL4,KN4,LP4,MR4,NT4,OV4,PX4,QZ4,SB4,TD4)-IF(L4="",0,L4),"")</f>
        <v/>
      </c>
      <c r="DE4" s="51" t="str">
        <f t="shared" ref="DE4:DE27" si="37">IF(MAX(EC4,FE4,GG4,HI4,IK4,JM4,KO4,LQ4,MS4,NU4,OW4,PY4,RA4,SC4,TE4)-IF(N4="",0,N4)&gt;0.001,MAX(EC4,FE4,GG4,HI4,IK4,JM4,KO4,LQ4,MS4,NU4,OW4,PY4,RA4,SC4,TE4)-IF(N4="",0,N4),"")</f>
        <v/>
      </c>
      <c r="DF4" s="51" t="str">
        <f t="shared" ref="DF4:DF27" si="38"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7" si="39">IF(SUM(DH4,DL4)&gt;0,SUM(DH4,DL4),"")</f>
        <v/>
      </c>
      <c r="EB4" s="40" t="str">
        <f t="shared" ref="EB4:EB27" si="40">IF(SUM(DG4:DH4,DJ4:DL4,DN4)-DI4-DM4&gt;0,SUM(DG4:DH4,DJ4:DL4,DN4)-DI4-DM4,"")</f>
        <v/>
      </c>
      <c r="EC4" s="40" t="str">
        <f t="shared" ref="EC4:EC27" si="41">IF(SUM(DO4:DP4,DR4)-DQ4&gt;0,SUM(DO4:DP4,DR4)-DQ4,"")</f>
        <v/>
      </c>
      <c r="ED4" s="40" t="str">
        <f t="shared" ref="ED4:ED27" si="42">IF(SUM(DH4,DL4,DP4)&gt;0,SUM(DH4,DL4,DP4),"")</f>
        <v/>
      </c>
      <c r="EE4" s="40" t="str">
        <f t="shared" ref="EE4:EE27" si="43">IF(SUM(EB4,EC4)&gt;0,SUM(EB4,EC4),"")</f>
        <v/>
      </c>
      <c r="EF4" s="40" t="str">
        <f t="shared" ref="EF4:EF27" si="44">IF(SUM(DT4,DX4)&gt;0,SUM(DT4,DX4),"")</f>
        <v/>
      </c>
      <c r="EG4" s="40" t="str">
        <f t="shared" ref="EG4:EG27" si="45">IF(SUM(DS4:DT4,DV4:DX4,DZ4)-SUM(DU4,DY4)&gt;0,SUM(DS4:DT4,DV4:DX4,DZ4)-SUM(DU4,DY4),"")</f>
        <v/>
      </c>
      <c r="EH4" s="40" t="str">
        <f t="shared" ref="EH4:EH27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7" si="47">IF(SUM(EJ4,EN4)&gt;0,SUM(EJ4,EN4),"")</f>
        <v/>
      </c>
      <c r="FD4" s="11" t="str">
        <f t="shared" ref="FD4:FD27" si="48">IF(SUM(EI4:EJ4,EL4:EN4,EP4)-EK4-EO4&gt;0,SUM(EI4:EJ4,EL4:EN4,EP4)-EK4-EO4,"")</f>
        <v/>
      </c>
      <c r="FE4" s="11" t="str">
        <f t="shared" ref="FE4:FE27" si="49">IF(SUM(EQ4:ER4,ET4)-ES4&gt;0,SUM(EQ4:ER4,ET4)-ES4,"")</f>
        <v/>
      </c>
      <c r="FF4" s="11" t="str">
        <f t="shared" ref="FF4:FF27" si="50">IF(SUM(EJ4,EN4,ER4)&gt;0,SUM(EJ4,EN4,ER4),"")</f>
        <v/>
      </c>
      <c r="FG4" s="11" t="str">
        <f t="shared" ref="FG4:FG27" si="51">IF(SUM(FD4,FE4)&gt;0,SUM(FD4,FE4),"")</f>
        <v/>
      </c>
      <c r="FH4" s="11" t="str">
        <f t="shared" ref="FH4:FH27" si="52">IF(SUM(EV4,EZ4)&gt;0,SUM(EV4,EZ4),"")</f>
        <v/>
      </c>
      <c r="FI4" s="11" t="str">
        <f t="shared" ref="FI4:FI27" si="53">IF(SUM(EU4:EV4,EX4:EZ4,FB4)-SUM(EW4,FA4)&gt;0,SUM(EU4:EV4,EX4:EZ4,FB4)-SUM(EW4,FA4),"")</f>
        <v/>
      </c>
      <c r="FJ4" s="11" t="str">
        <f t="shared" ref="FJ4:FJ27" si="54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7" si="55">IF(SUM(FL4,FP4)&gt;0,SUM(FL4,FP4),"")</f>
        <v/>
      </c>
      <c r="GF4" s="40" t="str">
        <f t="shared" ref="GF4:GF27" si="56">IF(SUM(FK4:FL4,FN4:FP4,FR4)-FM4-FQ4&gt;0,SUM(FK4:FL4,FN4:FP4,FR4)-FM4-FQ4,"")</f>
        <v/>
      </c>
      <c r="GG4" s="40" t="str">
        <f t="shared" ref="GG4:GG27" si="57">IF(SUM(FS4:FT4,FV4)-FU4&gt;0,SUM(FS4:FT4,FV4)-FU4,"")</f>
        <v/>
      </c>
      <c r="GH4" s="40" t="str">
        <f t="shared" ref="GH4:GH27" si="58">IF(SUM(FL4,FP4,FT4)&gt;0,SUM(FL4,FP4,FT4),"")</f>
        <v/>
      </c>
      <c r="GI4" s="40" t="str">
        <f t="shared" ref="GI4:GI27" si="59">IF(SUM(GF4,GG4)&gt;0,SUM(GF4,GG4),"")</f>
        <v/>
      </c>
      <c r="GJ4" s="40" t="str">
        <f t="shared" ref="GJ4:GJ27" si="60">IF(SUM(FX4,GB4)&gt;0,SUM(FX4,GB4),"")</f>
        <v/>
      </c>
      <c r="GK4" s="40" t="str">
        <f t="shared" ref="GK4:GK27" si="61">IF(SUM(FW4:FX4,FZ4:GB4,GD4)-SUM(FY4,GC4)&gt;0,SUM(FW4:FX4,FZ4:GB4,GD4)-SUM(FY4,GC4),"")</f>
        <v/>
      </c>
      <c r="GL4" s="40" t="str">
        <f t="shared" ref="GL4:GL27" si="62"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 t="shared" ref="HG4:HG27" si="63">IF(SUM(GN4,GR4)&gt;0,SUM(GN4,GR4),"")</f>
        <v>19.200000000000003</v>
      </c>
      <c r="HH4" s="11">
        <f t="shared" ref="HH4:HH27" si="64">IF(SUM(GM4:GN4,GP4:GR4,GT4)-GO4-GS4&gt;0,SUM(GM4:GN4,GP4:GR4,GT4)-GO4-GS4,"")</f>
        <v>55.000000000000014</v>
      </c>
      <c r="HI4" s="11" t="str">
        <f t="shared" ref="HI4:HI27" si="65">IF(SUM(GU4:GV4,GX4)-GW4&gt;0,SUM(GU4:GV4,GX4)-GW4,"")</f>
        <v/>
      </c>
      <c r="HJ4" s="11">
        <f t="shared" ref="HJ4:HJ27" si="66">IF(SUM(GN4,GR4,GV4)&gt;0,SUM(GN4,GR4,GV4),"")</f>
        <v>19.200000000000003</v>
      </c>
      <c r="HK4" s="11">
        <f t="shared" ref="HK4:HK27" si="67">IF(SUM(HH4,HI4)&gt;0,SUM(HH4,HI4),"")</f>
        <v>55.000000000000014</v>
      </c>
      <c r="HL4" s="11">
        <f t="shared" ref="HL4:HL27" si="68">IF(SUM(GZ4,HD4)&gt;0,SUM(GZ4,HD4),"")</f>
        <v>9.5</v>
      </c>
      <c r="HM4" s="11">
        <f t="shared" ref="HM4:HM27" si="69">IF(SUM(GY4:GZ4,HB4:HD4,HF4)-SUM(HA4,HE4)&gt;0,SUM(GY4:GZ4,HB4:HD4,HF4)-SUM(HA4,HE4),"")</f>
        <v>25.3</v>
      </c>
      <c r="HN4" s="11">
        <f t="shared" ref="HN4:HN27" si="70"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7" si="71">IF(SUM(HP4,HT4)&gt;0,SUM(HP4,HT4),"")</f>
        <v/>
      </c>
      <c r="IJ4" s="40" t="str">
        <f t="shared" ref="IJ4:IJ27" si="72">IF(SUM(HO4:HP4,HR4:HT4,HV4)-HQ4-HU4&gt;0,SUM(HO4:HP4,HR4:HT4,HV4)-HQ4-HU4,"")</f>
        <v/>
      </c>
      <c r="IK4" s="40" t="str">
        <f t="shared" ref="IK4:IK27" si="73">IF(SUM(HW4:HX4,HZ4)-HY4&gt;0,SUM(HW4:HX4,HZ4)-HY4,"")</f>
        <v/>
      </c>
      <c r="IL4" s="40" t="str">
        <f t="shared" ref="IL4:IL27" si="74">IF(SUM(HP4,HT4,HX4)&gt;0,SUM(HP4,HT4,HX4),"")</f>
        <v/>
      </c>
      <c r="IM4" s="40" t="str">
        <f t="shared" ref="IM4:IM27" si="75">IF(SUM(IJ4,IK4)&gt;0,SUM(IJ4,IK4),"")</f>
        <v/>
      </c>
      <c r="IN4" s="40" t="str">
        <f t="shared" ref="IN4:IN27" si="76">IF(SUM(IB4,IF4)&gt;0,SUM(IB4,IF4),"")</f>
        <v/>
      </c>
      <c r="IO4" s="40" t="str">
        <f t="shared" ref="IO4:IO27" si="77">IF(SUM(IA4:IB4,ID4:IF4,IH4)-SUM(IC4,IG4)&gt;0,SUM(IA4:IB4,ID4:IF4,IH4)-SUM(IC4,IG4),"")</f>
        <v/>
      </c>
      <c r="IP4" s="40" t="str">
        <f t="shared" ref="IP4:IP27" si="78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7" si="79">IF(SUM(IR4,IV4)&gt;0,SUM(IR4,IV4),"")</f>
        <v/>
      </c>
      <c r="JL4" s="11" t="str">
        <f t="shared" ref="JL4:JL27" si="80">IF(SUM(IQ4:IR4,IT4:IV4,IX4)-IS4-IW4&gt;0,SUM(IQ4:IR4,IT4:IV4,IX4)-IS4-IW4,"")</f>
        <v/>
      </c>
      <c r="JM4" s="11" t="str">
        <f t="shared" ref="JM4:JM27" si="81">IF(SUM(IY4:IZ4,JB4)-JA4&gt;0,SUM(IY4:IZ4,JB4)-JA4,"")</f>
        <v/>
      </c>
      <c r="JN4" s="11" t="str">
        <f t="shared" ref="JN4:JN27" si="82">IF(SUM(IR4,IV4,IZ4)&gt;0,SUM(IR4,IV4,IZ4),"")</f>
        <v/>
      </c>
      <c r="JO4" s="11" t="str">
        <f t="shared" ref="JO4:JO27" si="83">IF(SUM(JL4,JM4)&gt;0,SUM(JL4,JM4),"")</f>
        <v/>
      </c>
      <c r="JP4" s="11" t="str">
        <f t="shared" ref="JP4:JP27" si="84">IF(SUM(JD4,JH4)&gt;0,SUM(JD4,JH4),"")</f>
        <v/>
      </c>
      <c r="JQ4" s="11" t="str">
        <f t="shared" ref="JQ4:JQ27" si="85">IF(SUM(JC4:JD4,JF4:JH4,JJ4)-SUM(JE4,JI4)&gt;0,SUM(JC4:JD4,JF4:JH4,JJ4)-SUM(JE4,JI4),"")</f>
        <v/>
      </c>
      <c r="JR4" s="11" t="str">
        <f t="shared" ref="JR4:JR27" si="86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7" si="87">IF(SUM(JT4,JX4)&gt;0,SUM(JT4,JX4),"")</f>
        <v/>
      </c>
      <c r="KN4" s="40" t="str">
        <f t="shared" ref="KN4:KN27" si="88">IF(SUM(JS4:JT4,JV4:JX4,JZ4)-JU4-JY4&gt;0,SUM(JS4:JT4,JV4:JX4,JZ4)-JU4-JY4,"")</f>
        <v/>
      </c>
      <c r="KO4" s="40" t="str">
        <f t="shared" ref="KO4:KO27" si="89">IF(SUM(KA4:KB4,KD4)-KC4&gt;0,SUM(KA4:KB4,KD4)-KC4,"")</f>
        <v/>
      </c>
      <c r="KP4" s="40" t="str">
        <f t="shared" ref="KP4:KP27" si="90">IF(SUM(JT4,JX4,KB4)&gt;0,SUM(JT4,JX4,KB4),"")</f>
        <v/>
      </c>
      <c r="KQ4" s="40" t="str">
        <f t="shared" ref="KQ4:KQ27" si="91">IF(SUM(KN4,KO4)&gt;0,SUM(KN4,KO4),"")</f>
        <v/>
      </c>
      <c r="KR4" s="40" t="str">
        <f t="shared" ref="KR4:KR27" si="92">IF(SUM(KF4,KJ4)&gt;0,SUM(KF4,KJ4),"")</f>
        <v/>
      </c>
      <c r="KS4" s="40" t="str">
        <f t="shared" ref="KS4:KS27" si="93">IF(SUM(KE4:KF4,KH4:KJ4,KL4)-SUM(KG4,KK4)&gt;0,SUM(KE4:KF4,KH4:KJ4,KL4)-SUM(KG4,KK4),"")</f>
        <v/>
      </c>
      <c r="KT4" s="40" t="str">
        <f t="shared" ref="KT4:KT27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7" si="95">IF(SUM(KV4,KZ4)&gt;0,SUM(KV4,KZ4),"")</f>
        <v/>
      </c>
      <c r="LP4" s="11" t="str">
        <f t="shared" ref="LP4:LP27" si="96">IF(SUM(KU4:KV4,KX4:KZ4,LB4)-KW4-LA4&gt;0,SUM(KU4:KV4,KX4:KZ4,LB4)-KW4-LA4,"")</f>
        <v/>
      </c>
      <c r="LQ4" s="11" t="str">
        <f t="shared" ref="LQ4:LQ27" si="97">IF(SUM(LC4:LD4,LF4)-LE4&gt;0,SUM(LC4:LD4,LF4)-LE4,"")</f>
        <v/>
      </c>
      <c r="LR4" s="11" t="str">
        <f t="shared" ref="LR4:LR27" si="98">IF(SUM(KV4,KZ4,LD4)&gt;0,SUM(KV4,KZ4,LD4),"")</f>
        <v/>
      </c>
      <c r="LS4" s="11" t="str">
        <f t="shared" ref="LS4:LS27" si="99">IF(SUM(LP4,LQ4)&gt;0,SUM(LP4,LQ4),"")</f>
        <v/>
      </c>
      <c r="LT4" s="11" t="str">
        <f t="shared" ref="LT4:LT27" si="100">IF(SUM(LH4,LL4)&gt;0,SUM(LH4,LL4),"")</f>
        <v/>
      </c>
      <c r="LU4" s="11" t="str">
        <f t="shared" ref="LU4:LU27" si="101">IF(SUM(LG4:LH4,LJ4:LL4,LN4)-SUM(LI4,LM4)&gt;0,SUM(LG4:LH4,LJ4:LL4,LN4)-SUM(LI4,LM4),"")</f>
        <v/>
      </c>
      <c r="LV4" s="11" t="str">
        <f t="shared" ref="LV4:LV27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7" si="103">IF(SUM(LX4,MB4)&gt;0,SUM(LX4,MB4),"")</f>
        <v/>
      </c>
      <c r="MR4" s="40" t="str">
        <f t="shared" ref="MR4:MR27" si="104">IF(SUM(LW4:LX4,LZ4:MB4,MD4)-LY4-MC4&gt;0,SUM(LW4:LX4,LZ4:MB4,MD4)-LY4-MC4,"")</f>
        <v/>
      </c>
      <c r="MS4" s="40" t="str">
        <f t="shared" ref="MS4:MS27" si="105">IF(SUM(ME4:MF4,MH4)-MG4&gt;0,SUM(ME4:MF4,MH4)-MG4,"")</f>
        <v/>
      </c>
      <c r="MT4" s="40" t="str">
        <f t="shared" ref="MT4:MT27" si="106">IF(SUM(LX4,MB4,MF4)&gt;0,SUM(LX4,MB4,MF4),"")</f>
        <v/>
      </c>
      <c r="MU4" s="40" t="str">
        <f t="shared" ref="MU4:MU27" si="107">IF(SUM(MR4,MS4)&gt;0,SUM(MR4,MS4),"")</f>
        <v/>
      </c>
      <c r="MV4" s="40" t="str">
        <f t="shared" ref="MV4:MV27" si="108">IF(SUM(MJ4,MN4)&gt;0,SUM(MJ4,MN4),"")</f>
        <v/>
      </c>
      <c r="MW4" s="40" t="str">
        <f t="shared" ref="MW4:MW27" si="109">IF(SUM(MI4:MJ4,ML4:MN4,MP4)-SUM(MK4,MO4)&gt;0,SUM(MI4:MJ4,ML4:MN4,MP4)-SUM(MK4,MO4),"")</f>
        <v/>
      </c>
      <c r="MX4" s="40" t="str">
        <f t="shared" ref="MX4:MX27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7" si="111">IF(SUM(MZ4,ND4)&gt;0,SUM(MZ4,ND4),"")</f>
        <v/>
      </c>
      <c r="NT4" s="11" t="str">
        <f t="shared" ref="NT4:NT27" si="112">IF(SUM(MY4:MZ4,NB4:ND4,NF4)-NA4-NE4&gt;0,SUM(MY4:MZ4,NB4:ND4,NF4)-NA4-NE4,"")</f>
        <v/>
      </c>
      <c r="NU4" s="11" t="str">
        <f t="shared" ref="NU4:NU27" si="113">IF(SUM(NG4:NH4,NJ4)-NI4&gt;0,SUM(NG4:NH4,NJ4)-NI4,"")</f>
        <v/>
      </c>
      <c r="NV4" s="11" t="str">
        <f t="shared" ref="NV4:NV27" si="114">IF(SUM(MZ4,ND4,NH4)&gt;0,SUM(MZ4,ND4,NH4),"")</f>
        <v/>
      </c>
      <c r="NW4" s="11" t="str">
        <f t="shared" ref="NW4:NW27" si="115">IF(SUM(NT4,NU4)&gt;0,SUM(NT4,NU4),"")</f>
        <v/>
      </c>
      <c r="NX4" s="11" t="str">
        <f t="shared" ref="NX4:NX27" si="116">IF(SUM(NL4,NP4)&gt;0,SUM(NL4,NP4),"")</f>
        <v/>
      </c>
      <c r="NY4" s="11" t="str">
        <f t="shared" ref="NY4:NY27" si="117">IF(SUM(NK4:NL4,NN4:NP4,NR4)-SUM(NM4,NQ4)&gt;0,SUM(NK4:NL4,NN4:NP4,NR4)-SUM(NM4,NQ4),"")</f>
        <v/>
      </c>
      <c r="NZ4" s="11" t="str">
        <f t="shared" ref="NZ4:NZ27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7" si="119">IF(SUM(OB4,OF4)&gt;0,SUM(OB4,OF4),"")</f>
        <v/>
      </c>
      <c r="OV4" s="40" t="str">
        <f t="shared" ref="OV4:OV27" si="120">IF(SUM(OA4:OB4,OD4:OF4,OH4)-OC4-OG4&gt;0,SUM(OA4:OB4,OD4:OF4,OH4)-OC4-OG4,"")</f>
        <v/>
      </c>
      <c r="OW4" s="40" t="str">
        <f t="shared" ref="OW4:OW27" si="121">IF(SUM(OI4:OJ4,OL4)-OK4&gt;0,SUM(OI4:OJ4,OL4)-OK4,"")</f>
        <v/>
      </c>
      <c r="OX4" s="40" t="str">
        <f t="shared" ref="OX4:OX27" si="122">IF(SUM(OB4,OF4,OJ4)&gt;0,SUM(OB4,OF4,OJ4),"")</f>
        <v/>
      </c>
      <c r="OY4" s="40" t="str">
        <f t="shared" ref="OY4:OY27" si="123">IF(SUM(OV4,OW4)&gt;0,SUM(OV4,OW4),"")</f>
        <v/>
      </c>
      <c r="OZ4" s="40" t="str">
        <f t="shared" ref="OZ4:OZ27" si="124">IF(SUM(ON4,OR4)&gt;0,SUM(ON4,OR4),"")</f>
        <v/>
      </c>
      <c r="PA4" s="40" t="str">
        <f t="shared" ref="PA4:PA27" si="125">IF(SUM(OM4:ON4,OP4:OR4,OT4)-SUM(OO4,OS4)&gt;0,SUM(OM4:ON4,OP4:OR4,OT4)-SUM(OO4,OS4),"")</f>
        <v/>
      </c>
      <c r="PB4" s="40" t="str">
        <f t="shared" ref="PB4:PB27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7" si="127">IF(SUM(PD4,PH4)&gt;0,SUM(PD4,PH4),"")</f>
        <v/>
      </c>
      <c r="PX4" s="11" t="str">
        <f t="shared" ref="PX4:PX27" si="128">IF(SUM(PC4:PD4,PF4:PH4,PJ4)-PE4-PI4&gt;0,SUM(PC4:PD4,PF4:PH4,PJ4)-PE4-PI4,"")</f>
        <v/>
      </c>
      <c r="PY4" s="11" t="str">
        <f t="shared" ref="PY4:PY27" si="129">IF(SUM(PK4:PL4,PN4)-PM4&gt;0,SUM(PK4:PL4,PN4)-PM4,"")</f>
        <v/>
      </c>
      <c r="PZ4" s="11" t="str">
        <f t="shared" ref="PZ4:PZ27" si="130">IF(SUM(PD4,PH4,PL4)&gt;0,SUM(PD4,PH4,PL4),"")</f>
        <v/>
      </c>
      <c r="QA4" s="11" t="str">
        <f t="shared" ref="QA4:QA27" si="131">IF(SUM(PX4,PY4)&gt;0,SUM(PX4,PY4),"")</f>
        <v/>
      </c>
      <c r="QB4" s="11" t="str">
        <f t="shared" ref="QB4:QB27" si="132">IF(SUM(PP4,PT4)&gt;0,SUM(PP4,PT4),"")</f>
        <v/>
      </c>
      <c r="QC4" s="11" t="str">
        <f t="shared" ref="QC4:QC27" si="133">IF(SUM(PO4:PP4,PR4:PT4,PV4)-SUM(PQ4,PU4)&gt;0,SUM(PO4:PP4,PR4:PT4,PV4)-SUM(PQ4,PU4),"")</f>
        <v/>
      </c>
      <c r="QD4" s="11" t="str">
        <f t="shared" ref="QD4:QD27" si="134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27" si="135">IF(SUM(QF4,QJ4)&gt;0,SUM(QF4,QJ4),"")</f>
        <v/>
      </c>
      <c r="QZ4" s="40" t="str">
        <f t="shared" ref="QZ4:QZ27" si="136">IF(SUM(QE4:QF4,QH4:QJ4,QL4)-QG4-QK4&gt;0,SUM(QE4:QF4,QH4:QJ4,QL4)-QG4-QK4,"")</f>
        <v/>
      </c>
      <c r="RA4" s="40" t="str">
        <f t="shared" ref="RA4:RA27" si="137">IF(SUM(QM4:QN4,QP4)-QO4&gt;0,SUM(QM4:QN4,QP4)-QO4,"")</f>
        <v/>
      </c>
      <c r="RB4" s="40" t="str">
        <f t="shared" ref="RB4:RB27" si="138">IF(SUM(QF4,QJ4,QN4)&gt;0,SUM(QF4,QJ4,QN4),"")</f>
        <v/>
      </c>
      <c r="RC4" s="40" t="str">
        <f t="shared" ref="RC4:RC27" si="139">IF(SUM(QZ4,RA4)&gt;0,SUM(QZ4,RA4),"")</f>
        <v/>
      </c>
      <c r="RD4" s="40" t="str">
        <f t="shared" ref="RD4:RD27" si="140">IF(SUM(QR4,QV4)&gt;0,SUM(QR4,QV4),"")</f>
        <v/>
      </c>
      <c r="RE4" s="40" t="str">
        <f t="shared" ref="RE4:RE27" si="141">IF(SUM(QQ4:QR4,QT4:QV4,QX4)-SUM(QS4,QW4)&gt;0,SUM(QQ4:QR4,QT4:QV4,QX4)-SUM(QS4,QW4),"")</f>
        <v/>
      </c>
      <c r="RF4" s="40" t="str">
        <f t="shared" ref="RF4:RF27" si="142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27" si="143">IF(SUM(RH4,RL4)&gt;0,SUM(RH4,RL4),"")</f>
        <v/>
      </c>
      <c r="SB4" s="11" t="str">
        <f t="shared" ref="SB4:SB27" si="144">IF(SUM(RG4:RH4,RJ4:RL4,RN4)-RI4-RM4&gt;0,SUM(RG4:RH4,RJ4:RL4,RN4)-RI4-RM4,"")</f>
        <v/>
      </c>
      <c r="SC4" s="11" t="str">
        <f t="shared" ref="SC4:SC27" si="145">IF(SUM(RO4:RP4,RR4)-RQ4&gt;0,SUM(RO4:RP4,RR4)-RQ4,"")</f>
        <v/>
      </c>
      <c r="SD4" s="11" t="str">
        <f t="shared" ref="SD4:SD27" si="146">IF(SUM(RH4,RL4,RP4)&gt;0,SUM(RH4,RL4,RP4),"")</f>
        <v/>
      </c>
      <c r="SE4" s="11" t="str">
        <f t="shared" ref="SE4:SE27" si="147">IF(SUM(SB4,SC4)&gt;0,SUM(SB4,SC4),"")</f>
        <v/>
      </c>
      <c r="SF4" s="11" t="str">
        <f t="shared" ref="SF4:SF27" si="148">IF(SUM(RT4,RX4)&gt;0,SUM(RT4,RX4),"")</f>
        <v/>
      </c>
      <c r="SG4" s="11" t="str">
        <f t="shared" ref="SG4:SG27" si="149">IF(SUM(RS4:RT4,RV4:RX4,RZ4)-SUM(RU4,RY4)&gt;0,SUM(RS4:RT4,RV4:RX4,RZ4)-SUM(RU4,RY4),"")</f>
        <v/>
      </c>
      <c r="SH4" s="11" t="str">
        <f t="shared" ref="SH4:SH27" si="150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27" si="151">IF(SUM(SJ4,SN4)&gt;0,SUM(SJ4,SN4),"")</f>
        <v/>
      </c>
      <c r="TD4" s="40" t="str">
        <f t="shared" ref="TD4:TD27" si="152">IF(SUM(SI4:SJ4,SL4:SN4,SP4)-SK4-SO4&gt;0,SUM(SI4:SJ4,SL4:SN4,SP4)-SK4-SO4,"")</f>
        <v/>
      </c>
      <c r="TE4" s="40" t="str">
        <f t="shared" ref="TE4:TE27" si="153">IF(SUM(SQ4:SR4,ST4)-SS4&gt;0,SUM(SQ4:SR4,ST4)-SS4,"")</f>
        <v/>
      </c>
      <c r="TF4" s="40" t="str">
        <f t="shared" ref="TF4:TF27" si="154">IF(SUM(SJ4,SN4,SR4)&gt;0,SUM(SJ4,SN4,SR4),"")</f>
        <v/>
      </c>
      <c r="TG4" s="40" t="str">
        <f t="shared" ref="TG4:TG27" si="155">IF(SUM(TD4,TE4)&gt;0,SUM(TD4,TE4),"")</f>
        <v/>
      </c>
      <c r="TH4" s="40" t="str">
        <f t="shared" ref="TH4:TH27" si="156">IF(SUM(SV4,SZ4)&gt;0,SUM(SV4,SZ4),"")</f>
        <v/>
      </c>
      <c r="TI4" s="40" t="str">
        <f t="shared" ref="TI4:TI27" si="157">IF(SUM(SU4:SV4,SX4:SZ4,TB4)-SUM(SW4,TA4)&gt;0,SUM(SU4:SV4,SX4:SZ4,TB4)-SUM(SW4,TA4),"")</f>
        <v/>
      </c>
      <c r="TJ4" s="40" t="str">
        <f t="shared" ref="TJ4:TJ27" si="158">IF(SUM(TD4,TE4,TI4)&gt;0,SUM(TD4,TE4,TI4),"")</f>
        <v/>
      </c>
      <c r="TK4" s="26">
        <f t="shared" ref="TK4:TK27" si="159">IF($CU4="P",CA4,(CA4+AX4)/2)</f>
        <v>19.299999999999997</v>
      </c>
      <c r="TL4" s="26">
        <f t="shared" ref="TL4:TL27" si="160">IF($CU4="P",CB4,(CB4+AY4)/2)</f>
        <v>10</v>
      </c>
      <c r="TM4" s="26">
        <f t="shared" ref="TM4:TM27" si="161">IF($CU4="P",CC4,(CC4+AZ4)/2)</f>
        <v>0.3</v>
      </c>
      <c r="TN4" s="26">
        <f t="shared" ref="TN4:TN27" si="162">IF($CU4="P",CD4,(CD4+BA4)/2)</f>
        <v>0.6</v>
      </c>
      <c r="TO4" s="26">
        <f t="shared" ref="TO4:TO27" si="163">IF($CU4="P",CE4,(CE4+BB4)/2)</f>
        <v>18.049999999999997</v>
      </c>
      <c r="TP4" s="26">
        <f t="shared" ref="TP4:TP27" si="164">IF($CU4="P",CF4,(CF4+BC4)/2)</f>
        <v>7.35</v>
      </c>
      <c r="TQ4" s="26">
        <f t="shared" ref="TQ4:TQ27" si="165">IF($CU4="P",CG4,(CG4+BD4)/2)</f>
        <v>0.4</v>
      </c>
      <c r="TR4" s="26">
        <f t="shared" ref="TR4:TR27" si="166">IF($CU4="P",CH4,(CH4+BE4)/2)</f>
        <v>0.3</v>
      </c>
      <c r="TS4" s="26">
        <f t="shared" ref="TS4:TS27" si="167">IF($CU4="P",CI4,(CI4+BF4)/2)</f>
        <v>18.5</v>
      </c>
      <c r="TT4" s="26">
        <f t="shared" ref="TT4:TT27" si="168">IF($CU4="P",CJ4,(CJ4+BG4)/2)</f>
        <v>9.3000000000000007</v>
      </c>
      <c r="TU4" s="26">
        <f t="shared" ref="TU4:TU27" si="169">IF($CU4="P",CK4,(CK4+BH4)/2)</f>
        <v>0.4</v>
      </c>
      <c r="TV4" s="26">
        <f t="shared" ref="TV4:TV27" si="170">IF($CU4="P",CL4,(CL4+BI4)/2)</f>
        <v>0.3</v>
      </c>
      <c r="TW4" s="26">
        <f t="shared" ref="TW4:TW27" si="171">IF($CU4="P",CM4,(CM4+BJ4)/2)</f>
        <v>19.100000000000001</v>
      </c>
      <c r="TX4" s="26">
        <f t="shared" ref="TX4:TX27" si="172">IF($CU4="P",CN4,(CN4+BK4)/2)</f>
        <v>10</v>
      </c>
      <c r="TY4" s="26">
        <f t="shared" ref="TY4:TY27" si="173">IF($CU4="P",CO4,(CO4+BL4)/2)</f>
        <v>0.5</v>
      </c>
      <c r="TZ4" s="26">
        <f t="shared" ref="TZ4:TZ27" si="174">IF($CU4="P",CP4,(CP4+BM4)/2)</f>
        <v>0.6</v>
      </c>
      <c r="UA4" s="26">
        <f t="shared" ref="UA4:UA27" si="175">IF($CU4="P",CQ4,(CQ4+BN4)/2)</f>
        <v>18.399999999999999</v>
      </c>
      <c r="UB4" s="26">
        <f t="shared" ref="UB4:UB27" si="176">IF($CU4="P",CR4,(CR4+BO4)/2)</f>
        <v>10.199999999999999</v>
      </c>
      <c r="UC4" s="26">
        <f t="shared" ref="UC4:UC27" si="177">IF($CU4="P",CS4,(CS4+BP4)/2)</f>
        <v>0.5</v>
      </c>
      <c r="UD4" s="26">
        <f t="shared" ref="UD4:UD27" si="178">IF($CU4="P",CT4,(CT4+BQ4)/2)</f>
        <v>0.44999999999999996</v>
      </c>
      <c r="UE4" s="28" t="s">
        <v>53</v>
      </c>
      <c r="UF4" s="11">
        <f t="shared" ref="UF4:UF27" si="179">IF(SUM(TL4,TP4)&gt;0,SUM(TL4,TP4),"")</f>
        <v>17.350000000000001</v>
      </c>
      <c r="UG4" s="11">
        <f t="shared" ref="UG4:UG27" si="180">IF(SUM(TK4:TL4,TN4:TP4,TR4)-TM4-TQ4&gt;0,SUM(TK4:TL4,TN4:TP4,TR4)-TM4-TQ4,"")</f>
        <v>54.9</v>
      </c>
      <c r="UH4" s="11">
        <f t="shared" ref="UH4:UH27" si="181">IF(SUM(TS4:TT4,TV4)-TU4&gt;0,SUM(TS4:TT4,TV4)-TU4,"")</f>
        <v>27.700000000000003</v>
      </c>
      <c r="UI4" s="11">
        <f t="shared" ref="UI4:UI27" si="182">IF(SUM(TL4,TP4,TT4)&gt;0,SUM(TL4,TP4,TT4),"")</f>
        <v>26.650000000000002</v>
      </c>
      <c r="UJ4" s="11">
        <f t="shared" ref="UJ4:UJ27" si="183">IF(SUM(UG4,UH4)&gt;0,SUM(UG4,UH4),"")</f>
        <v>82.6</v>
      </c>
      <c r="UK4" s="11">
        <f t="shared" ref="UK4:UK27" si="184">IF(SUM(TX4,UB4)&gt;0,SUM(TX4,UB4),"")</f>
        <v>20.2</v>
      </c>
      <c r="UL4" s="11">
        <f t="shared" ref="UL4:UL27" si="185">IF(SUM(TW4:TX4,TZ4:UB4,UD4)-SUM(TY4,UC4)&gt;0,SUM(TW4:TX4,TZ4:UB4,UD4)-SUM(TY4,UC4),"")</f>
        <v>57.75</v>
      </c>
      <c r="UM4" s="11">
        <f t="shared" ref="UM4:UM27" si="186">IF(SUM(UG4,UH4,UL4)&gt;0,SUM(UG4,UH4,UL4),"")</f>
        <v>140.35</v>
      </c>
    </row>
    <row r="5" spans="1:559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122</v>
      </c>
      <c r="C5" s="4" t="s">
        <v>5</v>
      </c>
      <c r="D5" s="4">
        <v>2004</v>
      </c>
      <c r="E5" s="9">
        <f t="shared" ref="E5:E27" si="187">SUM(J5:R5)+SUM(J5:O5)*0.0000001+SUM(J5)*0.0000000000001</f>
        <v>188.4000129400053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53</v>
      </c>
      <c r="K5" s="8" t="str">
        <f t="shared" si="4"/>
        <v>2024 Nationals</v>
      </c>
      <c r="L5" s="8">
        <f>IF(COUNT(AQ5,BT5,CW5)&gt;1,LARGE((AQ5,BT5,CW5),2),0)</f>
        <v>48.100000000000009</v>
      </c>
      <c r="M5" s="8" t="str">
        <f t="shared" si="5"/>
        <v>2024 3rd Domestic Trial</v>
      </c>
      <c r="N5" s="8">
        <f>IF(COUNT(AR5,BU5,CX5)&gt;0,LARGE((AR5,BU5,CX5),1),0)</f>
        <v>28.3</v>
      </c>
      <c r="O5" s="8" t="str">
        <f t="shared" si="6"/>
        <v>2024 Elite Canada</v>
      </c>
      <c r="P5" s="8">
        <f t="shared" si="7"/>
        <v>55.2</v>
      </c>
      <c r="Q5" s="8" t="str">
        <f t="shared" si="8"/>
        <v>2024 3rd Domestic Trial</v>
      </c>
      <c r="R5" s="8">
        <f t="shared" si="9"/>
        <v>3.7999999999999901</v>
      </c>
      <c r="S5" s="11" t="str">
        <f t="shared" si="10"/>
        <v>(Q1)</v>
      </c>
      <c r="T5" s="8" t="str">
        <f t="shared" si="11"/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 t="shared" si="12"/>
        <v>11.7</v>
      </c>
      <c r="AQ5" s="40">
        <f t="shared" si="13"/>
        <v>45.999999999999993</v>
      </c>
      <c r="AR5" s="40">
        <f t="shared" si="14"/>
        <v>28.3</v>
      </c>
      <c r="AS5" s="40">
        <f t="shared" si="15"/>
        <v>20.9</v>
      </c>
      <c r="AT5" s="40">
        <f t="shared" si="16"/>
        <v>74.3</v>
      </c>
      <c r="AU5" s="40">
        <f t="shared" si="17"/>
        <v>15.2</v>
      </c>
      <c r="AV5" s="40">
        <f t="shared" si="18"/>
        <v>49.8</v>
      </c>
      <c r="AW5" s="40">
        <f t="shared" si="19"/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 t="shared" si="20"/>
        <v>18.100000000000001</v>
      </c>
      <c r="BT5" s="11">
        <f t="shared" si="21"/>
        <v>53</v>
      </c>
      <c r="BU5" s="11" t="str">
        <f t="shared" si="22"/>
        <v/>
      </c>
      <c r="BV5" s="11">
        <f t="shared" si="23"/>
        <v>18.100000000000001</v>
      </c>
      <c r="BW5" s="11">
        <f t="shared" si="24"/>
        <v>53</v>
      </c>
      <c r="BX5" s="11" t="str">
        <f t="shared" si="25"/>
        <v/>
      </c>
      <c r="BY5" s="11" t="str">
        <f t="shared" si="26"/>
        <v/>
      </c>
      <c r="BZ5" s="11">
        <f t="shared" si="27"/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 t="shared" si="28"/>
        <v>12.799999999999999</v>
      </c>
      <c r="CW5" s="40">
        <f t="shared" si="29"/>
        <v>48.100000000000009</v>
      </c>
      <c r="CX5" s="40">
        <f t="shared" si="30"/>
        <v>27.1</v>
      </c>
      <c r="CY5" s="40">
        <f t="shared" si="31"/>
        <v>22.1</v>
      </c>
      <c r="CZ5" s="40">
        <f t="shared" si="32"/>
        <v>75.200000000000017</v>
      </c>
      <c r="DA5" s="40">
        <f t="shared" si="33"/>
        <v>18.100000000000001</v>
      </c>
      <c r="DB5" s="40">
        <f t="shared" si="34"/>
        <v>55.2</v>
      </c>
      <c r="DC5" s="40">
        <f t="shared" si="35"/>
        <v>130.40000000000003</v>
      </c>
      <c r="DD5" s="51">
        <f t="shared" si="36"/>
        <v>3.7999999999999901</v>
      </c>
      <c r="DE5" s="51" t="str">
        <f t="shared" si="37"/>
        <v/>
      </c>
      <c r="DF5" s="51" t="str">
        <f t="shared" si="38"/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 t="shared" si="39"/>
        <v>18.100000000000001</v>
      </c>
      <c r="EB5" s="40">
        <f t="shared" si="40"/>
        <v>51.9</v>
      </c>
      <c r="EC5" s="40" t="str">
        <f t="shared" si="41"/>
        <v/>
      </c>
      <c r="ED5" s="40">
        <f t="shared" si="42"/>
        <v>18.100000000000001</v>
      </c>
      <c r="EE5" s="40">
        <f t="shared" si="43"/>
        <v>51.9</v>
      </c>
      <c r="EF5" s="40">
        <f t="shared" si="44"/>
        <v>18.100000000000001</v>
      </c>
      <c r="EG5" s="40">
        <f t="shared" si="45"/>
        <v>53.7</v>
      </c>
      <c r="EH5" s="40">
        <f t="shared" si="46"/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 t="shared" si="47"/>
        <v>16</v>
      </c>
      <c r="FD5" s="11">
        <f t="shared" si="48"/>
        <v>51.5</v>
      </c>
      <c r="FE5" s="11" t="str">
        <f t="shared" si="49"/>
        <v/>
      </c>
      <c r="FF5" s="11">
        <f t="shared" si="50"/>
        <v>16</v>
      </c>
      <c r="FG5" s="11">
        <f t="shared" si="51"/>
        <v>51.5</v>
      </c>
      <c r="FH5" s="11">
        <f t="shared" si="52"/>
        <v>4.2</v>
      </c>
      <c r="FI5" s="11">
        <f t="shared" si="53"/>
        <v>21.099999999999998</v>
      </c>
      <c r="FJ5" s="11">
        <f t="shared" si="54"/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10</v>
      </c>
      <c r="HH5" s="11">
        <f t="shared" si="64"/>
        <v>27.8</v>
      </c>
      <c r="HI5" s="11" t="str">
        <f t="shared" si="65"/>
        <v/>
      </c>
      <c r="HJ5" s="11">
        <f t="shared" si="66"/>
        <v>10</v>
      </c>
      <c r="HK5" s="11">
        <f t="shared" si="67"/>
        <v>27.8</v>
      </c>
      <c r="HL5" s="11" t="str">
        <f t="shared" si="68"/>
        <v/>
      </c>
      <c r="HM5" s="11" t="str">
        <f t="shared" si="69"/>
        <v/>
      </c>
      <c r="HN5" s="11">
        <f t="shared" si="70"/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5"/>
        <v/>
      </c>
      <c r="QZ5" s="40" t="str">
        <f t="shared" si="136"/>
        <v/>
      </c>
      <c r="RA5" s="40" t="str">
        <f t="shared" si="137"/>
        <v/>
      </c>
      <c r="RB5" s="40" t="str">
        <f t="shared" si="138"/>
        <v/>
      </c>
      <c r="RC5" s="40" t="str">
        <f t="shared" si="139"/>
        <v/>
      </c>
      <c r="RD5" s="40" t="str">
        <f t="shared" si="140"/>
        <v/>
      </c>
      <c r="RE5" s="40" t="str">
        <f t="shared" si="141"/>
        <v/>
      </c>
      <c r="RF5" s="40" t="str">
        <f t="shared" si="142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6"/>
        <v/>
      </c>
      <c r="SE5" s="11" t="str">
        <f t="shared" si="147"/>
        <v/>
      </c>
      <c r="SF5" s="11" t="str">
        <f t="shared" si="148"/>
        <v/>
      </c>
      <c r="SG5" s="11" t="str">
        <f t="shared" si="149"/>
        <v/>
      </c>
      <c r="SH5" s="11" t="str">
        <f t="shared" si="150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1"/>
        <v/>
      </c>
      <c r="TD5" s="40" t="str">
        <f t="shared" si="152"/>
        <v/>
      </c>
      <c r="TE5" s="40" t="str">
        <f t="shared" si="153"/>
        <v/>
      </c>
      <c r="TF5" s="40" t="str">
        <f t="shared" si="154"/>
        <v/>
      </c>
      <c r="TG5" s="40" t="str">
        <f t="shared" si="155"/>
        <v/>
      </c>
      <c r="TH5" s="40" t="str">
        <f t="shared" si="156"/>
        <v/>
      </c>
      <c r="TI5" s="40" t="str">
        <f t="shared" si="157"/>
        <v/>
      </c>
      <c r="TJ5" s="40" t="str">
        <f t="shared" si="158"/>
        <v/>
      </c>
      <c r="TK5" s="26">
        <f t="shared" si="159"/>
        <v>16.899999999999999</v>
      </c>
      <c r="TL5" s="26">
        <f t="shared" si="160"/>
        <v>6.25</v>
      </c>
      <c r="TM5" s="26">
        <f t="shared" si="161"/>
        <v>0.4</v>
      </c>
      <c r="TN5" s="26">
        <f t="shared" si="162"/>
        <v>0.15</v>
      </c>
      <c r="TO5" s="26">
        <f t="shared" si="163"/>
        <v>18.649999999999999</v>
      </c>
      <c r="TP5" s="26">
        <f t="shared" si="164"/>
        <v>9.1999999999999993</v>
      </c>
      <c r="TQ5" s="26">
        <f t="shared" si="165"/>
        <v>0.5</v>
      </c>
      <c r="TR5" s="26">
        <f t="shared" si="166"/>
        <v>0.3</v>
      </c>
      <c r="TS5" s="26">
        <f t="shared" si="167"/>
        <v>9.0500000000000007</v>
      </c>
      <c r="TT5" s="26">
        <f t="shared" si="168"/>
        <v>4.6500000000000004</v>
      </c>
      <c r="TU5" s="26">
        <f t="shared" si="169"/>
        <v>0.3</v>
      </c>
      <c r="TV5" s="26">
        <f t="shared" si="170"/>
        <v>0.15</v>
      </c>
      <c r="TW5" s="26">
        <f t="shared" si="171"/>
        <v>9.1999999999999993</v>
      </c>
      <c r="TX5" s="26">
        <f t="shared" si="172"/>
        <v>4.45</v>
      </c>
      <c r="TY5" s="26">
        <f t="shared" si="173"/>
        <v>0.4</v>
      </c>
      <c r="TZ5" s="26">
        <f t="shared" si="174"/>
        <v>0.15</v>
      </c>
      <c r="UA5" s="26">
        <f t="shared" si="175"/>
        <v>9.5500000000000007</v>
      </c>
      <c r="UB5" s="26">
        <f t="shared" si="176"/>
        <v>4.5999999999999996</v>
      </c>
      <c r="UC5" s="26">
        <f t="shared" si="177"/>
        <v>0.1</v>
      </c>
      <c r="UD5" s="26">
        <f t="shared" si="178"/>
        <v>0.15</v>
      </c>
      <c r="UE5" s="28" t="s">
        <v>53</v>
      </c>
      <c r="UF5" s="11">
        <f t="shared" si="179"/>
        <v>15.45</v>
      </c>
      <c r="UG5" s="11">
        <f t="shared" si="180"/>
        <v>50.54999999999999</v>
      </c>
      <c r="UH5" s="11">
        <f t="shared" si="181"/>
        <v>13.55</v>
      </c>
      <c r="UI5" s="11">
        <f t="shared" si="182"/>
        <v>20.100000000000001</v>
      </c>
      <c r="UJ5" s="11">
        <f t="shared" si="183"/>
        <v>64.099999999999994</v>
      </c>
      <c r="UK5" s="11">
        <f t="shared" si="184"/>
        <v>9.0500000000000007</v>
      </c>
      <c r="UL5" s="11">
        <f t="shared" si="185"/>
        <v>27.6</v>
      </c>
      <c r="UM5" s="11">
        <f t="shared" si="186"/>
        <v>91.699999999999989</v>
      </c>
    </row>
    <row r="6" spans="1:559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75</v>
      </c>
      <c r="C6" s="4" t="s">
        <v>3</v>
      </c>
      <c r="D6" s="4">
        <v>2003</v>
      </c>
      <c r="E6" s="9">
        <f t="shared" si="187"/>
        <v>188.05001332500555</v>
      </c>
      <c r="F6" s="3" t="str">
        <f t="shared" si="0"/>
        <v>P</v>
      </c>
      <c r="G6" s="3" t="str">
        <f t="shared" si="1"/>
        <v>P</v>
      </c>
      <c r="H6" s="36" t="str">
        <f t="shared" si="2"/>
        <v>Excellence</v>
      </c>
      <c r="I6" s="3" t="str">
        <f t="shared" si="3"/>
        <v>P</v>
      </c>
      <c r="J6" s="8">
        <f>IF(COUNT(AQ6,BT6,CW6)&gt;0,LARGE((AQ6,BT6,CW6),1),0)</f>
        <v>55.4</v>
      </c>
      <c r="K6" s="8" t="str">
        <f t="shared" si="4"/>
        <v>2024 3rd Domestic Trial</v>
      </c>
      <c r="L6" s="8">
        <f>IF(COUNT(AQ6,BT6,CW6)&gt;1,LARGE((AQ6,BT6,CW6),2),0)</f>
        <v>51.35</v>
      </c>
      <c r="M6" s="8" t="str">
        <f t="shared" si="5"/>
        <v>2024 Elite Canada</v>
      </c>
      <c r="N6" s="8">
        <f>IF(COUNT(AR6,BU6,CX6)&gt;0,LARGE((AR6,BU6,CX6),1),0)</f>
        <v>26.500000000000004</v>
      </c>
      <c r="O6" s="8" t="str">
        <f t="shared" si="6"/>
        <v>2024 3rd Domestic Trial</v>
      </c>
      <c r="P6" s="8">
        <f t="shared" si="7"/>
        <v>54.8</v>
      </c>
      <c r="Q6" s="8" t="str">
        <f t="shared" si="8"/>
        <v>2024 3rd Domestic Trial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 t="shared" si="12"/>
        <v>15.2</v>
      </c>
      <c r="AQ6" s="40">
        <f t="shared" si="13"/>
        <v>51.35</v>
      </c>
      <c r="AR6" s="40">
        <f t="shared" si="14"/>
        <v>24.25</v>
      </c>
      <c r="AS6" s="40">
        <f t="shared" si="15"/>
        <v>21.2</v>
      </c>
      <c r="AT6" s="40">
        <f t="shared" si="16"/>
        <v>75.599999999999994</v>
      </c>
      <c r="AU6" s="40">
        <f t="shared" si="17"/>
        <v>7.8</v>
      </c>
      <c r="AV6" s="40">
        <f t="shared" si="18"/>
        <v>26.300000000000004</v>
      </c>
      <c r="AW6" s="40">
        <f t="shared" si="19"/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 t="shared" si="20"/>
        <v/>
      </c>
      <c r="BT6" s="11" t="str">
        <f t="shared" si="21"/>
        <v/>
      </c>
      <c r="BU6" s="11" t="str">
        <f t="shared" si="22"/>
        <v/>
      </c>
      <c r="BV6" s="11" t="str">
        <f t="shared" si="23"/>
        <v/>
      </c>
      <c r="BW6" s="11" t="str">
        <f t="shared" si="24"/>
        <v/>
      </c>
      <c r="BX6" s="11" t="str">
        <f t="shared" si="25"/>
        <v/>
      </c>
      <c r="BY6" s="11" t="str">
        <f t="shared" si="26"/>
        <v/>
      </c>
      <c r="BZ6" s="11" t="str">
        <f t="shared" si="27"/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 t="shared" si="28"/>
        <v>16.399999999999999</v>
      </c>
      <c r="CW6" s="40">
        <f t="shared" si="29"/>
        <v>55.4</v>
      </c>
      <c r="CX6" s="40">
        <f t="shared" si="30"/>
        <v>26.500000000000004</v>
      </c>
      <c r="CY6" s="40">
        <f t="shared" si="31"/>
        <v>24.5</v>
      </c>
      <c r="CZ6" s="40">
        <f t="shared" si="32"/>
        <v>81.900000000000006</v>
      </c>
      <c r="DA6" s="40">
        <f t="shared" si="33"/>
        <v>16.399999999999999</v>
      </c>
      <c r="DB6" s="40">
        <f t="shared" si="34"/>
        <v>54.8</v>
      </c>
      <c r="DC6" s="40">
        <f t="shared" si="35"/>
        <v>136.69999999999999</v>
      </c>
      <c r="DD6" s="51" t="str">
        <f t="shared" si="36"/>
        <v/>
      </c>
      <c r="DE6" s="51" t="str">
        <f t="shared" si="37"/>
        <v/>
      </c>
      <c r="DF6" s="51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40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40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5"/>
        <v/>
      </c>
      <c r="QZ6" s="40" t="str">
        <f t="shared" si="136"/>
        <v/>
      </c>
      <c r="RA6" s="40" t="str">
        <f t="shared" si="137"/>
        <v/>
      </c>
      <c r="RB6" s="40" t="str">
        <f t="shared" si="138"/>
        <v/>
      </c>
      <c r="RC6" s="40" t="str">
        <f t="shared" si="139"/>
        <v/>
      </c>
      <c r="RD6" s="40" t="str">
        <f t="shared" si="140"/>
        <v/>
      </c>
      <c r="RE6" s="40" t="str">
        <f t="shared" si="141"/>
        <v/>
      </c>
      <c r="RF6" s="40" t="str">
        <f t="shared" si="142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6"/>
        <v/>
      </c>
      <c r="SE6" s="11" t="str">
        <f t="shared" si="147"/>
        <v/>
      </c>
      <c r="SF6" s="11" t="str">
        <f t="shared" si="148"/>
        <v/>
      </c>
      <c r="SG6" s="11" t="str">
        <f t="shared" si="149"/>
        <v/>
      </c>
      <c r="SH6" s="11" t="str">
        <f t="shared" si="150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1"/>
        <v/>
      </c>
      <c r="TD6" s="40" t="str">
        <f t="shared" si="152"/>
        <v/>
      </c>
      <c r="TE6" s="40" t="str">
        <f t="shared" si="153"/>
        <v/>
      </c>
      <c r="TF6" s="40" t="str">
        <f t="shared" si="154"/>
        <v/>
      </c>
      <c r="TG6" s="40" t="str">
        <f t="shared" si="155"/>
        <v/>
      </c>
      <c r="TH6" s="40" t="str">
        <f t="shared" si="156"/>
        <v/>
      </c>
      <c r="TI6" s="40" t="str">
        <f t="shared" si="157"/>
        <v/>
      </c>
      <c r="TJ6" s="40" t="str">
        <f t="shared" si="158"/>
        <v/>
      </c>
      <c r="TK6" s="26">
        <f t="shared" si="159"/>
        <v>9.65</v>
      </c>
      <c r="TL6" s="26">
        <f t="shared" si="160"/>
        <v>4</v>
      </c>
      <c r="TM6" s="26">
        <f t="shared" si="161"/>
        <v>0</v>
      </c>
      <c r="TN6" s="26">
        <f t="shared" si="162"/>
        <v>0.15</v>
      </c>
      <c r="TO6" s="26">
        <f t="shared" si="163"/>
        <v>9.6999999999999993</v>
      </c>
      <c r="TP6" s="26">
        <f t="shared" si="164"/>
        <v>4.2</v>
      </c>
      <c r="TQ6" s="26">
        <f t="shared" si="165"/>
        <v>0</v>
      </c>
      <c r="TR6" s="26">
        <f t="shared" si="166"/>
        <v>0</v>
      </c>
      <c r="TS6" s="26">
        <f t="shared" si="167"/>
        <v>9.3000000000000007</v>
      </c>
      <c r="TT6" s="26">
        <f t="shared" si="168"/>
        <v>4.05</v>
      </c>
      <c r="TU6" s="26">
        <f t="shared" si="169"/>
        <v>0.1</v>
      </c>
      <c r="TV6" s="26">
        <f t="shared" si="170"/>
        <v>0</v>
      </c>
      <c r="TW6" s="26">
        <f t="shared" si="171"/>
        <v>9.5500000000000007</v>
      </c>
      <c r="TX6" s="26">
        <f t="shared" si="172"/>
        <v>3.6</v>
      </c>
      <c r="TY6" s="26">
        <f t="shared" si="173"/>
        <v>0</v>
      </c>
      <c r="TZ6" s="26">
        <f t="shared" si="174"/>
        <v>0</v>
      </c>
      <c r="UA6" s="26">
        <f t="shared" si="175"/>
        <v>9.6</v>
      </c>
      <c r="UB6" s="26">
        <f t="shared" si="176"/>
        <v>4.5999999999999996</v>
      </c>
      <c r="UC6" s="26">
        <f t="shared" si="177"/>
        <v>0.1</v>
      </c>
      <c r="UD6" s="26">
        <f t="shared" si="178"/>
        <v>0.15</v>
      </c>
      <c r="UE6" s="28" t="s">
        <v>53</v>
      </c>
      <c r="UF6" s="11">
        <f t="shared" si="179"/>
        <v>8.1999999999999993</v>
      </c>
      <c r="UG6" s="11">
        <f t="shared" si="180"/>
        <v>27.7</v>
      </c>
      <c r="UH6" s="11">
        <f t="shared" si="181"/>
        <v>13.250000000000002</v>
      </c>
      <c r="UI6" s="11">
        <f t="shared" si="182"/>
        <v>12.25</v>
      </c>
      <c r="UJ6" s="11">
        <f t="shared" si="183"/>
        <v>40.950000000000003</v>
      </c>
      <c r="UK6" s="11">
        <f t="shared" si="184"/>
        <v>8.1999999999999993</v>
      </c>
      <c r="UL6" s="11">
        <f t="shared" si="185"/>
        <v>27.4</v>
      </c>
      <c r="UM6" s="11">
        <f t="shared" si="186"/>
        <v>68.349999999999994</v>
      </c>
    </row>
    <row r="7" spans="1:559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82</v>
      </c>
      <c r="C7" s="4" t="s">
        <v>5</v>
      </c>
      <c r="D7" s="4">
        <v>2003</v>
      </c>
      <c r="E7" s="9">
        <f t="shared" si="187"/>
        <v>186.10001320000524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52.300000000000004</v>
      </c>
      <c r="K7" s="8" t="str">
        <f t="shared" si="4"/>
        <v>2024 3rd Domestic Trial</v>
      </c>
      <c r="L7" s="8">
        <f>IF(COUNT(AQ7,BT7,CW7)&gt;1,LARGE((AQ7,BT7,CW7),2),0)</f>
        <v>52.2</v>
      </c>
      <c r="M7" s="8" t="str">
        <f t="shared" si="5"/>
        <v>2024 Elite Canada</v>
      </c>
      <c r="N7" s="8">
        <f>IF(COUNT(AR7,BU7,CX7)&gt;0,LARGE((AR7,BU7,CX7),1),0)</f>
        <v>27.500000000000004</v>
      </c>
      <c r="O7" s="8" t="str">
        <f t="shared" si="6"/>
        <v>2024 Nationals</v>
      </c>
      <c r="P7" s="8">
        <f t="shared" si="7"/>
        <v>54.099999999999987</v>
      </c>
      <c r="Q7" s="8" t="str">
        <f t="shared" si="8"/>
        <v>2024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15.2</v>
      </c>
      <c r="AQ7" s="40">
        <f t="shared" si="13"/>
        <v>52.2</v>
      </c>
      <c r="AR7" s="40">
        <f t="shared" si="14"/>
        <v>20.399999999999999</v>
      </c>
      <c r="AS7" s="40">
        <f t="shared" si="15"/>
        <v>18.399999999999999</v>
      </c>
      <c r="AT7" s="40">
        <f t="shared" si="16"/>
        <v>72.599999999999994</v>
      </c>
      <c r="AU7" s="40" t="str">
        <f t="shared" si="17"/>
        <v/>
      </c>
      <c r="AV7" s="40" t="str">
        <f t="shared" si="18"/>
        <v/>
      </c>
      <c r="AW7" s="40">
        <f t="shared" si="19"/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 t="shared" si="20"/>
        <v>12</v>
      </c>
      <c r="BT7" s="11">
        <f t="shared" si="21"/>
        <v>47.3</v>
      </c>
      <c r="BU7" s="11">
        <f t="shared" si="22"/>
        <v>27.500000000000004</v>
      </c>
      <c r="BV7" s="11">
        <f t="shared" si="23"/>
        <v>20.399999999999999</v>
      </c>
      <c r="BW7" s="11">
        <f t="shared" si="24"/>
        <v>74.8</v>
      </c>
      <c r="BX7" s="11">
        <f t="shared" si="25"/>
        <v>16.8</v>
      </c>
      <c r="BY7" s="11">
        <f t="shared" si="26"/>
        <v>54.099999999999987</v>
      </c>
      <c r="BZ7" s="11">
        <f t="shared" si="27"/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16</v>
      </c>
      <c r="CW7" s="40">
        <f t="shared" si="29"/>
        <v>52.300000000000004</v>
      </c>
      <c r="CX7" s="40">
        <f t="shared" si="30"/>
        <v>21.4</v>
      </c>
      <c r="CY7" s="40">
        <f t="shared" si="31"/>
        <v>20</v>
      </c>
      <c r="CZ7" s="40">
        <f t="shared" si="32"/>
        <v>73.7</v>
      </c>
      <c r="DA7" s="40" t="str">
        <f t="shared" si="33"/>
        <v/>
      </c>
      <c r="DB7" s="40" t="str">
        <f t="shared" si="34"/>
        <v/>
      </c>
      <c r="DC7" s="40">
        <f t="shared" si="35"/>
        <v>73.7</v>
      </c>
      <c r="DD7" s="51" t="str">
        <f t="shared" si="36"/>
        <v/>
      </c>
      <c r="DE7" s="51" t="str">
        <f t="shared" si="37"/>
        <v/>
      </c>
      <c r="DF7" s="51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40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3"/>
        <v>16.399999999999999</v>
      </c>
      <c r="HH7" s="11">
        <f t="shared" si="64"/>
        <v>49.900000000000006</v>
      </c>
      <c r="HI7" s="11" t="str">
        <f t="shared" si="65"/>
        <v/>
      </c>
      <c r="HJ7" s="11">
        <f t="shared" si="66"/>
        <v>16.399999999999999</v>
      </c>
      <c r="HK7" s="11">
        <f t="shared" si="67"/>
        <v>49.900000000000006</v>
      </c>
      <c r="HL7" s="11" t="str">
        <f t="shared" si="68"/>
        <v/>
      </c>
      <c r="HM7" s="11" t="str">
        <f t="shared" si="69"/>
        <v/>
      </c>
      <c r="HN7" s="11">
        <f t="shared" si="70"/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5"/>
        <v/>
      </c>
      <c r="QZ7" s="40" t="str">
        <f t="shared" si="136"/>
        <v/>
      </c>
      <c r="RA7" s="40" t="str">
        <f t="shared" si="137"/>
        <v/>
      </c>
      <c r="RB7" s="40" t="str">
        <f t="shared" si="138"/>
        <v/>
      </c>
      <c r="RC7" s="40" t="str">
        <f t="shared" si="139"/>
        <v/>
      </c>
      <c r="RD7" s="40" t="str">
        <f t="shared" si="140"/>
        <v/>
      </c>
      <c r="RE7" s="40" t="str">
        <f t="shared" si="141"/>
        <v/>
      </c>
      <c r="RF7" s="40" t="str">
        <f t="shared" si="142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6"/>
        <v/>
      </c>
      <c r="SE7" s="11" t="str">
        <f t="shared" si="147"/>
        <v/>
      </c>
      <c r="SF7" s="11" t="str">
        <f t="shared" si="148"/>
        <v/>
      </c>
      <c r="SG7" s="11" t="str">
        <f t="shared" si="149"/>
        <v/>
      </c>
      <c r="SH7" s="11" t="str">
        <f t="shared" si="150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1"/>
        <v/>
      </c>
      <c r="TD7" s="40" t="str">
        <f t="shared" si="152"/>
        <v/>
      </c>
      <c r="TE7" s="40" t="str">
        <f t="shared" si="153"/>
        <v/>
      </c>
      <c r="TF7" s="40" t="str">
        <f t="shared" si="154"/>
        <v/>
      </c>
      <c r="TG7" s="40" t="str">
        <f t="shared" si="155"/>
        <v/>
      </c>
      <c r="TH7" s="40" t="str">
        <f t="shared" si="156"/>
        <v/>
      </c>
      <c r="TI7" s="40" t="str">
        <f t="shared" si="157"/>
        <v/>
      </c>
      <c r="TJ7" s="40" t="str">
        <f t="shared" si="158"/>
        <v/>
      </c>
      <c r="TK7" s="26">
        <f t="shared" si="159"/>
        <v>18.55</v>
      </c>
      <c r="TL7" s="26">
        <f t="shared" si="160"/>
        <v>8.4</v>
      </c>
      <c r="TM7" s="26">
        <f t="shared" si="161"/>
        <v>0.7</v>
      </c>
      <c r="TN7" s="26">
        <f t="shared" si="162"/>
        <v>0.15</v>
      </c>
      <c r="TO7" s="26">
        <f t="shared" si="163"/>
        <v>18.05</v>
      </c>
      <c r="TP7" s="26">
        <f t="shared" si="164"/>
        <v>5.6</v>
      </c>
      <c r="TQ7" s="26">
        <f t="shared" si="165"/>
        <v>0.4</v>
      </c>
      <c r="TR7" s="26">
        <f t="shared" si="166"/>
        <v>0.15</v>
      </c>
      <c r="TS7" s="26">
        <f t="shared" si="167"/>
        <v>18.100000000000001</v>
      </c>
      <c r="TT7" s="26">
        <f t="shared" si="168"/>
        <v>6.2</v>
      </c>
      <c r="TU7" s="26">
        <f t="shared" si="169"/>
        <v>0</v>
      </c>
      <c r="TV7" s="26">
        <f t="shared" si="170"/>
        <v>0.15</v>
      </c>
      <c r="TW7" s="26">
        <f t="shared" si="171"/>
        <v>9.5</v>
      </c>
      <c r="TX7" s="26">
        <f t="shared" si="172"/>
        <v>4.2</v>
      </c>
      <c r="TY7" s="26">
        <f t="shared" si="173"/>
        <v>0.1</v>
      </c>
      <c r="TZ7" s="26">
        <f t="shared" si="174"/>
        <v>0</v>
      </c>
      <c r="UA7" s="26">
        <f t="shared" si="175"/>
        <v>9.1</v>
      </c>
      <c r="UB7" s="26">
        <f t="shared" si="176"/>
        <v>4.2</v>
      </c>
      <c r="UC7" s="26">
        <f t="shared" si="177"/>
        <v>0</v>
      </c>
      <c r="UD7" s="26">
        <f t="shared" si="178"/>
        <v>0.15</v>
      </c>
      <c r="UE7" s="28" t="s">
        <v>53</v>
      </c>
      <c r="UF7" s="11">
        <f t="shared" si="179"/>
        <v>14</v>
      </c>
      <c r="UG7" s="11">
        <f t="shared" si="180"/>
        <v>49.800000000000004</v>
      </c>
      <c r="UH7" s="11">
        <f t="shared" si="181"/>
        <v>24.45</v>
      </c>
      <c r="UI7" s="11">
        <f t="shared" si="182"/>
        <v>20.2</v>
      </c>
      <c r="UJ7" s="11">
        <f t="shared" si="183"/>
        <v>74.25</v>
      </c>
      <c r="UK7" s="11">
        <f t="shared" si="184"/>
        <v>8.4</v>
      </c>
      <c r="UL7" s="11">
        <f t="shared" si="185"/>
        <v>27.049999999999994</v>
      </c>
      <c r="UM7" s="11">
        <f t="shared" si="186"/>
        <v>101.3</v>
      </c>
    </row>
    <row r="8" spans="1:559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160</v>
      </c>
      <c r="C8" s="4" t="s">
        <v>6</v>
      </c>
      <c r="D8" s="4">
        <v>2005</v>
      </c>
      <c r="E8" s="9">
        <f t="shared" si="187"/>
        <v>184.50001316000532</v>
      </c>
      <c r="F8" s="3" t="str">
        <f t="shared" si="0"/>
        <v>P</v>
      </c>
      <c r="G8" s="3" t="str">
        <f t="shared" si="1"/>
        <v>P</v>
      </c>
      <c r="H8" s="36" t="str">
        <f t="shared" si="2"/>
        <v>Excellence</v>
      </c>
      <c r="I8" s="3" t="str">
        <f t="shared" si="3"/>
        <v>P</v>
      </c>
      <c r="J8" s="8">
        <f>IF(COUNT(AQ8,BT8,CW8)&gt;0,LARGE((AQ8,BT8,CW8),1),0)</f>
        <v>53.099999999999994</v>
      </c>
      <c r="K8" s="8" t="str">
        <f t="shared" si="4"/>
        <v>2024 3rd Domestic Trial</v>
      </c>
      <c r="L8" s="8">
        <f>IF(COUNT(AQ8,BT8,CW8)&gt;1,LARGE((AQ8,BT8,CW8),2),0)</f>
        <v>51.699999999999996</v>
      </c>
      <c r="M8" s="8" t="str">
        <f t="shared" si="5"/>
        <v>2024 Nationals</v>
      </c>
      <c r="N8" s="8">
        <f>IF(COUNT(AR8,BU8,CX8)&gt;0,LARGE((AR8,BU8,CX8),1),0)</f>
        <v>26.8</v>
      </c>
      <c r="O8" s="8" t="str">
        <f t="shared" si="6"/>
        <v>2024 3rd Domestic Trial</v>
      </c>
      <c r="P8" s="8">
        <f t="shared" si="7"/>
        <v>52.9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16.7</v>
      </c>
      <c r="V8" s="19">
        <v>8</v>
      </c>
      <c r="W8" s="19">
        <v>0.8</v>
      </c>
      <c r="X8" s="19">
        <v>0.3</v>
      </c>
      <c r="Y8" s="19">
        <v>17.899999999999999</v>
      </c>
      <c r="Z8" s="19">
        <v>6.8</v>
      </c>
      <c r="AA8" s="19">
        <v>0</v>
      </c>
      <c r="AB8" s="19">
        <v>0</v>
      </c>
      <c r="AC8" s="19">
        <v>18</v>
      </c>
      <c r="AD8" s="19">
        <v>6.4</v>
      </c>
      <c r="AE8" s="19">
        <v>0.8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2"/>
        <v>14.8</v>
      </c>
      <c r="AQ8" s="40">
        <f t="shared" si="13"/>
        <v>48.9</v>
      </c>
      <c r="AR8" s="40">
        <f t="shared" si="14"/>
        <v>23.599999999999998</v>
      </c>
      <c r="AS8" s="40">
        <f t="shared" si="15"/>
        <v>21.200000000000003</v>
      </c>
      <c r="AT8" s="40">
        <f t="shared" si="16"/>
        <v>72.5</v>
      </c>
      <c r="AU8" s="40" t="str">
        <f t="shared" si="17"/>
        <v/>
      </c>
      <c r="AV8" s="40" t="str">
        <f t="shared" si="18"/>
        <v/>
      </c>
      <c r="AW8" s="40">
        <f t="shared" si="19"/>
        <v>72.5</v>
      </c>
      <c r="AX8" s="18">
        <v>18.2</v>
      </c>
      <c r="AY8" s="18">
        <v>8.4</v>
      </c>
      <c r="AZ8" s="18">
        <v>0</v>
      </c>
      <c r="BA8" s="18">
        <v>0.3</v>
      </c>
      <c r="BB8" s="18">
        <v>18.2</v>
      </c>
      <c r="BC8" s="18">
        <v>6.8</v>
      </c>
      <c r="BD8" s="18">
        <v>0.2</v>
      </c>
      <c r="BE8" s="18">
        <v>0</v>
      </c>
      <c r="BF8" s="18">
        <v>17.399999999999999</v>
      </c>
      <c r="BG8" s="18">
        <v>2.8</v>
      </c>
      <c r="BH8" s="18">
        <v>0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8"/>
      <c r="BS8" s="11">
        <f t="shared" si="20"/>
        <v>15.2</v>
      </c>
      <c r="BT8" s="11">
        <f t="shared" si="21"/>
        <v>51.699999999999996</v>
      </c>
      <c r="BU8" s="11">
        <f t="shared" si="22"/>
        <v>20.2</v>
      </c>
      <c r="BV8" s="11">
        <f t="shared" si="23"/>
        <v>18</v>
      </c>
      <c r="BW8" s="11">
        <f t="shared" si="24"/>
        <v>71.899999999999991</v>
      </c>
      <c r="BX8" s="11" t="str">
        <f t="shared" si="25"/>
        <v/>
      </c>
      <c r="BY8" s="11" t="str">
        <f t="shared" si="26"/>
        <v/>
      </c>
      <c r="BZ8" s="11">
        <f t="shared" si="27"/>
        <v>71.899999999999991</v>
      </c>
      <c r="CA8" s="19">
        <v>18.5</v>
      </c>
      <c r="CB8" s="19">
        <v>8.4</v>
      </c>
      <c r="CC8" s="19">
        <v>0.6</v>
      </c>
      <c r="CD8" s="19">
        <v>0.3</v>
      </c>
      <c r="CE8" s="19">
        <v>18.899999999999999</v>
      </c>
      <c r="CF8" s="19">
        <v>7.6</v>
      </c>
      <c r="CG8" s="19">
        <v>0</v>
      </c>
      <c r="CH8" s="19">
        <v>0</v>
      </c>
      <c r="CI8" s="19">
        <v>18.399999999999999</v>
      </c>
      <c r="CJ8" s="19">
        <v>8.1</v>
      </c>
      <c r="CK8" s="19">
        <v>0</v>
      </c>
      <c r="CL8" s="19">
        <v>0.3</v>
      </c>
      <c r="CM8" s="19">
        <v>18.399999999999999</v>
      </c>
      <c r="CN8" s="19">
        <v>8.4</v>
      </c>
      <c r="CO8" s="19">
        <v>0.8</v>
      </c>
      <c r="CP8" s="19">
        <v>0.3</v>
      </c>
      <c r="CQ8" s="19">
        <v>18.8</v>
      </c>
      <c r="CR8" s="19">
        <v>8</v>
      </c>
      <c r="CS8" s="19">
        <v>0.2</v>
      </c>
      <c r="CT8" s="19">
        <v>0</v>
      </c>
      <c r="CU8" s="27"/>
      <c r="CV8" s="40">
        <f t="shared" si="28"/>
        <v>16</v>
      </c>
      <c r="CW8" s="40">
        <f t="shared" si="29"/>
        <v>53.099999999999994</v>
      </c>
      <c r="CX8" s="40">
        <f t="shared" si="30"/>
        <v>26.8</v>
      </c>
      <c r="CY8" s="40">
        <f t="shared" si="31"/>
        <v>24.1</v>
      </c>
      <c r="CZ8" s="40">
        <f t="shared" si="32"/>
        <v>79.899999999999991</v>
      </c>
      <c r="DA8" s="40">
        <f t="shared" si="33"/>
        <v>16.399999999999999</v>
      </c>
      <c r="DB8" s="40">
        <f t="shared" si="34"/>
        <v>52.9</v>
      </c>
      <c r="DC8" s="40">
        <f t="shared" si="35"/>
        <v>132.79999999999998</v>
      </c>
      <c r="DD8" s="51" t="str">
        <f t="shared" si="36"/>
        <v/>
      </c>
      <c r="DE8" s="51" t="str">
        <f t="shared" si="37"/>
        <v/>
      </c>
      <c r="DF8" s="51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>
        <v>18.399999999999999</v>
      </c>
      <c r="FL8" s="17">
        <v>8.4</v>
      </c>
      <c r="FM8" s="17">
        <v>0.8</v>
      </c>
      <c r="FN8" s="17">
        <v>0</v>
      </c>
      <c r="FO8" s="17">
        <v>17.2</v>
      </c>
      <c r="FP8" s="17">
        <v>3.6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 t="shared" si="55"/>
        <v>12</v>
      </c>
      <c r="GF8" s="40">
        <f t="shared" si="56"/>
        <v>46.800000000000004</v>
      </c>
      <c r="GG8" s="40" t="str">
        <f t="shared" si="57"/>
        <v/>
      </c>
      <c r="GH8" s="40">
        <f t="shared" si="58"/>
        <v>12</v>
      </c>
      <c r="GI8" s="40">
        <f t="shared" si="59"/>
        <v>46.800000000000004</v>
      </c>
      <c r="GJ8" s="40" t="str">
        <f t="shared" si="60"/>
        <v/>
      </c>
      <c r="GK8" s="40" t="str">
        <f t="shared" si="61"/>
        <v/>
      </c>
      <c r="GL8" s="40">
        <f t="shared" si="62"/>
        <v>46.800000000000004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40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5"/>
        <v/>
      </c>
      <c r="QZ8" s="40" t="str">
        <f t="shared" si="136"/>
        <v/>
      </c>
      <c r="RA8" s="40" t="str">
        <f t="shared" si="137"/>
        <v/>
      </c>
      <c r="RB8" s="40" t="str">
        <f t="shared" si="138"/>
        <v/>
      </c>
      <c r="RC8" s="40" t="str">
        <f t="shared" si="139"/>
        <v/>
      </c>
      <c r="RD8" s="40" t="str">
        <f t="shared" si="140"/>
        <v/>
      </c>
      <c r="RE8" s="40" t="str">
        <f t="shared" si="141"/>
        <v/>
      </c>
      <c r="RF8" s="40" t="str">
        <f t="shared" si="142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6"/>
        <v/>
      </c>
      <c r="SE8" s="11" t="str">
        <f t="shared" si="147"/>
        <v/>
      </c>
      <c r="SF8" s="11" t="str">
        <f t="shared" si="148"/>
        <v/>
      </c>
      <c r="SG8" s="11" t="str">
        <f t="shared" si="149"/>
        <v/>
      </c>
      <c r="SH8" s="11" t="str">
        <f t="shared" si="150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1"/>
        <v/>
      </c>
      <c r="TD8" s="40" t="str">
        <f t="shared" si="152"/>
        <v/>
      </c>
      <c r="TE8" s="40" t="str">
        <f t="shared" si="153"/>
        <v/>
      </c>
      <c r="TF8" s="40" t="str">
        <f t="shared" si="154"/>
        <v/>
      </c>
      <c r="TG8" s="40" t="str">
        <f t="shared" si="155"/>
        <v/>
      </c>
      <c r="TH8" s="40" t="str">
        <f t="shared" si="156"/>
        <v/>
      </c>
      <c r="TI8" s="40" t="str">
        <f t="shared" si="157"/>
        <v/>
      </c>
      <c r="TJ8" s="40" t="str">
        <f t="shared" si="158"/>
        <v/>
      </c>
      <c r="TK8" s="26">
        <f t="shared" si="159"/>
        <v>18.350000000000001</v>
      </c>
      <c r="TL8" s="26">
        <f t="shared" si="160"/>
        <v>8.4</v>
      </c>
      <c r="TM8" s="26">
        <f t="shared" si="161"/>
        <v>0.3</v>
      </c>
      <c r="TN8" s="26">
        <f t="shared" si="162"/>
        <v>0.3</v>
      </c>
      <c r="TO8" s="26">
        <f t="shared" si="163"/>
        <v>18.549999999999997</v>
      </c>
      <c r="TP8" s="26">
        <f t="shared" si="164"/>
        <v>7.1999999999999993</v>
      </c>
      <c r="TQ8" s="26">
        <f t="shared" si="165"/>
        <v>0.1</v>
      </c>
      <c r="TR8" s="26">
        <f t="shared" si="166"/>
        <v>0</v>
      </c>
      <c r="TS8" s="26">
        <f t="shared" si="167"/>
        <v>17.899999999999999</v>
      </c>
      <c r="TT8" s="26">
        <f t="shared" si="168"/>
        <v>5.4499999999999993</v>
      </c>
      <c r="TU8" s="26">
        <f t="shared" si="169"/>
        <v>0</v>
      </c>
      <c r="TV8" s="26">
        <f t="shared" si="170"/>
        <v>0.15</v>
      </c>
      <c r="TW8" s="26">
        <f t="shared" si="171"/>
        <v>9.1999999999999993</v>
      </c>
      <c r="TX8" s="26">
        <f t="shared" si="172"/>
        <v>4.2</v>
      </c>
      <c r="TY8" s="26">
        <f t="shared" si="173"/>
        <v>0.4</v>
      </c>
      <c r="TZ8" s="26">
        <f t="shared" si="174"/>
        <v>0.15</v>
      </c>
      <c r="UA8" s="26">
        <f t="shared" si="175"/>
        <v>9.4</v>
      </c>
      <c r="UB8" s="26">
        <f t="shared" si="176"/>
        <v>4</v>
      </c>
      <c r="UC8" s="26">
        <f t="shared" si="177"/>
        <v>0.1</v>
      </c>
      <c r="UD8" s="26">
        <f t="shared" si="178"/>
        <v>0</v>
      </c>
      <c r="UE8" s="28" t="s">
        <v>53</v>
      </c>
      <c r="UF8" s="11">
        <f t="shared" si="179"/>
        <v>15.6</v>
      </c>
      <c r="UG8" s="11">
        <f t="shared" si="180"/>
        <v>52.4</v>
      </c>
      <c r="UH8" s="11">
        <f t="shared" si="181"/>
        <v>23.499999999999996</v>
      </c>
      <c r="UI8" s="11">
        <f t="shared" si="182"/>
        <v>21.049999999999997</v>
      </c>
      <c r="UJ8" s="11">
        <f t="shared" si="183"/>
        <v>75.899999999999991</v>
      </c>
      <c r="UK8" s="11">
        <f t="shared" si="184"/>
        <v>8.1999999999999993</v>
      </c>
      <c r="UL8" s="11">
        <f t="shared" si="185"/>
        <v>26.45</v>
      </c>
      <c r="UM8" s="11">
        <f t="shared" si="186"/>
        <v>102.35</v>
      </c>
    </row>
    <row r="9" spans="1:559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</v>
      </c>
      <c r="C9" s="4" t="s">
        <v>5</v>
      </c>
      <c r="D9" s="4">
        <v>1994</v>
      </c>
      <c r="E9" s="9">
        <f t="shared" si="187"/>
        <v>184.30001312000525</v>
      </c>
      <c r="F9" s="3" t="str">
        <f t="shared" si="0"/>
        <v>P</v>
      </c>
      <c r="G9" s="3" t="str">
        <f t="shared" si="1"/>
        <v>P</v>
      </c>
      <c r="H9" s="36" t="str">
        <f t="shared" si="2"/>
        <v>Worlds Team</v>
      </c>
      <c r="I9" s="3" t="str">
        <f t="shared" si="3"/>
        <v>P</v>
      </c>
      <c r="J9" s="8">
        <f>IF(COUNT(AQ9,BT9,CW9)&gt;0,LARGE((AQ9,BT9,CW9),1),0)</f>
        <v>52.5</v>
      </c>
      <c r="K9" s="8" t="str">
        <f t="shared" si="4"/>
        <v>2024 Elite Canada</v>
      </c>
      <c r="L9" s="8">
        <f>IF(COUNT(AQ9,BT9,CW9)&gt;1,LARGE((AQ9,BT9,CW9),2),0)</f>
        <v>51.2</v>
      </c>
      <c r="M9" s="8" t="str">
        <f t="shared" si="5"/>
        <v>2024 3rd Domestic Trial</v>
      </c>
      <c r="N9" s="8">
        <f>IF(COUNT(AR9,BU9,CX9)&gt;0,LARGE((AR9,BU9,CX9),1),0)</f>
        <v>27.5</v>
      </c>
      <c r="O9" s="8" t="str">
        <f t="shared" si="6"/>
        <v>2024 Nationals</v>
      </c>
      <c r="P9" s="8">
        <f t="shared" si="7"/>
        <v>53.1</v>
      </c>
      <c r="Q9" s="8" t="str">
        <f t="shared" si="8"/>
        <v>2024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18.899999999999999</v>
      </c>
      <c r="V9" s="19">
        <v>7.6</v>
      </c>
      <c r="W9" s="19">
        <v>0.6</v>
      </c>
      <c r="X9" s="19">
        <v>0</v>
      </c>
      <c r="Y9" s="19">
        <v>18.600000000000001</v>
      </c>
      <c r="Z9" s="19">
        <v>8</v>
      </c>
      <c r="AA9" s="19">
        <v>0</v>
      </c>
      <c r="AB9" s="19">
        <v>0</v>
      </c>
      <c r="AC9" s="19">
        <v>18.600000000000001</v>
      </c>
      <c r="AD9" s="19">
        <v>6.4</v>
      </c>
      <c r="AE9" s="19">
        <v>0.2</v>
      </c>
      <c r="AF9" s="19">
        <v>0</v>
      </c>
      <c r="AG9" s="19">
        <v>18.2</v>
      </c>
      <c r="AH9" s="19">
        <v>8.4</v>
      </c>
      <c r="AI9" s="19">
        <v>1</v>
      </c>
      <c r="AJ9" s="19">
        <v>0.3</v>
      </c>
      <c r="AK9" s="19">
        <v>18.8</v>
      </c>
      <c r="AL9" s="19">
        <v>8.4</v>
      </c>
      <c r="AM9" s="19">
        <v>0</v>
      </c>
      <c r="AN9" s="19">
        <v>0</v>
      </c>
      <c r="AO9" s="27"/>
      <c r="AP9" s="40">
        <f t="shared" si="12"/>
        <v>15.6</v>
      </c>
      <c r="AQ9" s="40">
        <f t="shared" si="13"/>
        <v>52.5</v>
      </c>
      <c r="AR9" s="40">
        <f t="shared" si="14"/>
        <v>24.8</v>
      </c>
      <c r="AS9" s="40">
        <f t="shared" si="15"/>
        <v>22</v>
      </c>
      <c r="AT9" s="40">
        <f t="shared" si="16"/>
        <v>77.3</v>
      </c>
      <c r="AU9" s="40">
        <f t="shared" si="17"/>
        <v>16.8</v>
      </c>
      <c r="AV9" s="40">
        <f t="shared" si="18"/>
        <v>53.1</v>
      </c>
      <c r="AW9" s="40">
        <f t="shared" si="19"/>
        <v>130.4</v>
      </c>
      <c r="AX9" s="18">
        <v>16.600000000000001</v>
      </c>
      <c r="AY9" s="18">
        <v>7.6</v>
      </c>
      <c r="AZ9" s="18">
        <v>1</v>
      </c>
      <c r="BA9" s="18">
        <v>0.3</v>
      </c>
      <c r="BB9" s="18">
        <v>18.600000000000001</v>
      </c>
      <c r="BC9" s="18">
        <v>7.2</v>
      </c>
      <c r="BD9" s="18">
        <v>0.2</v>
      </c>
      <c r="BE9" s="18">
        <v>0</v>
      </c>
      <c r="BF9" s="18">
        <v>19.100000000000001</v>
      </c>
      <c r="BG9" s="18">
        <v>8.4</v>
      </c>
      <c r="BH9" s="18">
        <v>0</v>
      </c>
      <c r="BI9" s="18">
        <v>0</v>
      </c>
      <c r="BJ9" s="18">
        <v>16.600000000000001</v>
      </c>
      <c r="BK9" s="18">
        <v>7.6</v>
      </c>
      <c r="BL9" s="18">
        <v>0.8</v>
      </c>
      <c r="BM9" s="18">
        <v>0</v>
      </c>
      <c r="BN9" s="18">
        <v>17.5</v>
      </c>
      <c r="BO9" s="18">
        <v>3.6</v>
      </c>
      <c r="BP9" s="18">
        <v>0</v>
      </c>
      <c r="BQ9" s="18">
        <v>0</v>
      </c>
      <c r="BR9" s="28"/>
      <c r="BS9" s="11">
        <f t="shared" si="20"/>
        <v>14.8</v>
      </c>
      <c r="BT9" s="11">
        <f t="shared" si="21"/>
        <v>49.100000000000009</v>
      </c>
      <c r="BU9" s="11">
        <f t="shared" si="22"/>
        <v>27.5</v>
      </c>
      <c r="BV9" s="11">
        <f t="shared" si="23"/>
        <v>23.200000000000003</v>
      </c>
      <c r="BW9" s="11">
        <f t="shared" si="24"/>
        <v>76.600000000000009</v>
      </c>
      <c r="BX9" s="11">
        <f t="shared" si="25"/>
        <v>11.2</v>
      </c>
      <c r="BY9" s="11">
        <f t="shared" si="26"/>
        <v>44.500000000000007</v>
      </c>
      <c r="BZ9" s="11">
        <f t="shared" si="27"/>
        <v>121.10000000000002</v>
      </c>
      <c r="CA9" s="19">
        <v>18.899999999999999</v>
      </c>
      <c r="CB9" s="19">
        <v>7.2</v>
      </c>
      <c r="CC9" s="19">
        <v>0.2</v>
      </c>
      <c r="CD9" s="19">
        <v>0</v>
      </c>
      <c r="CE9" s="19">
        <v>18.899999999999999</v>
      </c>
      <c r="CF9" s="19">
        <v>7.2</v>
      </c>
      <c r="CG9" s="19">
        <v>0.8</v>
      </c>
      <c r="CH9" s="19">
        <v>0</v>
      </c>
      <c r="CI9" s="19">
        <v>17.5</v>
      </c>
      <c r="CJ9" s="19">
        <v>4.8</v>
      </c>
      <c r="CK9" s="19">
        <v>0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8"/>
        <v>14.4</v>
      </c>
      <c r="CW9" s="40">
        <f t="shared" si="29"/>
        <v>51.2</v>
      </c>
      <c r="CX9" s="40">
        <f t="shared" si="30"/>
        <v>22.3</v>
      </c>
      <c r="CY9" s="40">
        <f t="shared" si="31"/>
        <v>19.2</v>
      </c>
      <c r="CZ9" s="40">
        <f t="shared" si="32"/>
        <v>73.5</v>
      </c>
      <c r="DA9" s="40" t="str">
        <f t="shared" si="33"/>
        <v/>
      </c>
      <c r="DB9" s="40" t="str">
        <f t="shared" si="34"/>
        <v/>
      </c>
      <c r="DC9" s="40">
        <f t="shared" si="35"/>
        <v>73.5</v>
      </c>
      <c r="DD9" s="51" t="str">
        <f t="shared" si="36"/>
        <v/>
      </c>
      <c r="DE9" s="51" t="str">
        <f t="shared" si="37"/>
        <v/>
      </c>
      <c r="DF9" s="51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>
        <v>17.3</v>
      </c>
      <c r="GN9" s="18">
        <v>4</v>
      </c>
      <c r="GO9" s="18">
        <v>0</v>
      </c>
      <c r="GP9" s="18">
        <v>0</v>
      </c>
      <c r="GQ9" s="18">
        <v>18.399999999999999</v>
      </c>
      <c r="GR9" s="18">
        <v>8</v>
      </c>
      <c r="GS9" s="18">
        <v>0.6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 t="shared" si="63"/>
        <v>12</v>
      </c>
      <c r="HH9" s="11">
        <f t="shared" si="64"/>
        <v>47.1</v>
      </c>
      <c r="HI9" s="11" t="str">
        <f t="shared" si="65"/>
        <v/>
      </c>
      <c r="HJ9" s="11">
        <f t="shared" si="66"/>
        <v>12</v>
      </c>
      <c r="HK9" s="11">
        <f t="shared" si="67"/>
        <v>47.1</v>
      </c>
      <c r="HL9" s="11" t="str">
        <f t="shared" si="68"/>
        <v/>
      </c>
      <c r="HM9" s="11" t="str">
        <f t="shared" si="69"/>
        <v/>
      </c>
      <c r="HN9" s="11">
        <f t="shared" si="70"/>
        <v>47.1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5"/>
        <v/>
      </c>
      <c r="QZ9" s="40" t="str">
        <f t="shared" si="136"/>
        <v/>
      </c>
      <c r="RA9" s="40" t="str">
        <f t="shared" si="137"/>
        <v/>
      </c>
      <c r="RB9" s="40" t="str">
        <f t="shared" si="138"/>
        <v/>
      </c>
      <c r="RC9" s="40" t="str">
        <f t="shared" si="139"/>
        <v/>
      </c>
      <c r="RD9" s="40" t="str">
        <f t="shared" si="140"/>
        <v/>
      </c>
      <c r="RE9" s="40" t="str">
        <f t="shared" si="141"/>
        <v/>
      </c>
      <c r="RF9" s="40" t="str">
        <f t="shared" si="142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6"/>
        <v/>
      </c>
      <c r="SE9" s="11" t="str">
        <f t="shared" si="147"/>
        <v/>
      </c>
      <c r="SF9" s="11" t="str">
        <f t="shared" si="148"/>
        <v/>
      </c>
      <c r="SG9" s="11" t="str">
        <f t="shared" si="149"/>
        <v/>
      </c>
      <c r="SH9" s="11" t="str">
        <f t="shared" si="150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1"/>
        <v/>
      </c>
      <c r="TD9" s="40" t="str">
        <f t="shared" si="152"/>
        <v/>
      </c>
      <c r="TE9" s="40" t="str">
        <f t="shared" si="153"/>
        <v/>
      </c>
      <c r="TF9" s="40" t="str">
        <f t="shared" si="154"/>
        <v/>
      </c>
      <c r="TG9" s="40" t="str">
        <f t="shared" si="155"/>
        <v/>
      </c>
      <c r="TH9" s="40" t="str">
        <f t="shared" si="156"/>
        <v/>
      </c>
      <c r="TI9" s="40" t="str">
        <f t="shared" si="157"/>
        <v/>
      </c>
      <c r="TJ9" s="40" t="str">
        <f t="shared" si="158"/>
        <v/>
      </c>
      <c r="TK9" s="26">
        <f t="shared" si="159"/>
        <v>17.75</v>
      </c>
      <c r="TL9" s="26">
        <f t="shared" si="160"/>
        <v>7.4</v>
      </c>
      <c r="TM9" s="26">
        <f t="shared" si="161"/>
        <v>0.6</v>
      </c>
      <c r="TN9" s="26">
        <f t="shared" si="162"/>
        <v>0.15</v>
      </c>
      <c r="TO9" s="26">
        <f t="shared" si="163"/>
        <v>18.75</v>
      </c>
      <c r="TP9" s="26">
        <f t="shared" si="164"/>
        <v>7.2</v>
      </c>
      <c r="TQ9" s="26">
        <f t="shared" si="165"/>
        <v>0.5</v>
      </c>
      <c r="TR9" s="26">
        <f t="shared" si="166"/>
        <v>0</v>
      </c>
      <c r="TS9" s="26">
        <f t="shared" si="167"/>
        <v>18.3</v>
      </c>
      <c r="TT9" s="26">
        <f t="shared" si="168"/>
        <v>6.6</v>
      </c>
      <c r="TU9" s="26">
        <f t="shared" si="169"/>
        <v>0</v>
      </c>
      <c r="TV9" s="26">
        <f t="shared" si="170"/>
        <v>0</v>
      </c>
      <c r="TW9" s="26">
        <f t="shared" si="171"/>
        <v>8.3000000000000007</v>
      </c>
      <c r="TX9" s="26">
        <f t="shared" si="172"/>
        <v>3.8</v>
      </c>
      <c r="TY9" s="26">
        <f t="shared" si="173"/>
        <v>0.4</v>
      </c>
      <c r="TZ9" s="26">
        <f t="shared" si="174"/>
        <v>0</v>
      </c>
      <c r="UA9" s="26">
        <f t="shared" si="175"/>
        <v>8.75</v>
      </c>
      <c r="UB9" s="26">
        <f t="shared" si="176"/>
        <v>1.8</v>
      </c>
      <c r="UC9" s="26">
        <f t="shared" si="177"/>
        <v>0</v>
      </c>
      <c r="UD9" s="26">
        <f t="shared" si="178"/>
        <v>0</v>
      </c>
      <c r="UE9" s="28" t="s">
        <v>53</v>
      </c>
      <c r="UF9" s="11">
        <f t="shared" si="179"/>
        <v>14.600000000000001</v>
      </c>
      <c r="UG9" s="11">
        <f t="shared" si="180"/>
        <v>50.15</v>
      </c>
      <c r="UH9" s="11">
        <f t="shared" si="181"/>
        <v>24.9</v>
      </c>
      <c r="UI9" s="11">
        <f t="shared" si="182"/>
        <v>21.200000000000003</v>
      </c>
      <c r="UJ9" s="11">
        <f t="shared" si="183"/>
        <v>75.05</v>
      </c>
      <c r="UK9" s="11">
        <f t="shared" si="184"/>
        <v>5.6</v>
      </c>
      <c r="UL9" s="11">
        <f t="shared" si="185"/>
        <v>22.250000000000004</v>
      </c>
      <c r="UM9" s="11">
        <f t="shared" si="186"/>
        <v>97.3</v>
      </c>
    </row>
    <row r="10" spans="1:559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186</v>
      </c>
      <c r="C10" s="4" t="s">
        <v>6</v>
      </c>
      <c r="D10" s="4">
        <v>2007</v>
      </c>
      <c r="E10" s="9">
        <f t="shared" si="187"/>
        <v>182.30001267000506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50.5</v>
      </c>
      <c r="K10" s="8" t="str">
        <f t="shared" si="4"/>
        <v>2024 Nationals</v>
      </c>
      <c r="L10" s="8">
        <f>IF(COUNT(AQ10,BT10,CW10)&gt;1,LARGE((AQ10,BT10,CW10),2),0)</f>
        <v>50.099999999999994</v>
      </c>
      <c r="M10" s="8" t="str">
        <f t="shared" si="5"/>
        <v>2024 Elite Canada</v>
      </c>
      <c r="N10" s="8">
        <f>IF(COUNT(AR10,BU10,CX10)&gt;0,LARGE((AR10,BU10,CX10),1),0)</f>
        <v>26.099999999999998</v>
      </c>
      <c r="O10" s="8" t="str">
        <f t="shared" si="6"/>
        <v>2024 Elite Canada</v>
      </c>
      <c r="P10" s="8">
        <f t="shared" si="7"/>
        <v>52.400000000000006</v>
      </c>
      <c r="Q10" s="8" t="str">
        <f t="shared" si="8"/>
        <v>2024 Elite Canada</v>
      </c>
      <c r="R10" s="8">
        <f t="shared" si="9"/>
        <v>3.2000000000000028</v>
      </c>
      <c r="S10" s="11" t="str">
        <f t="shared" si="10"/>
        <v>(Q1)</v>
      </c>
      <c r="T10" s="8" t="str">
        <f t="shared" si="11"/>
        <v>2024 Coimbra Gym Fest (July 7)</v>
      </c>
      <c r="U10" s="19">
        <v>18.399999999999999</v>
      </c>
      <c r="V10" s="19">
        <v>7.2</v>
      </c>
      <c r="W10" s="19">
        <v>1</v>
      </c>
      <c r="X10" s="19">
        <v>0</v>
      </c>
      <c r="Y10" s="19">
        <v>18.5</v>
      </c>
      <c r="Z10" s="19">
        <v>7.2</v>
      </c>
      <c r="AA10" s="19">
        <v>0.2</v>
      </c>
      <c r="AB10" s="19">
        <v>0</v>
      </c>
      <c r="AC10" s="19">
        <v>18.899999999999999</v>
      </c>
      <c r="AD10" s="19">
        <v>7.2</v>
      </c>
      <c r="AE10" s="19">
        <v>0</v>
      </c>
      <c r="AF10" s="19">
        <v>0</v>
      </c>
      <c r="AG10" s="19">
        <v>18.600000000000001</v>
      </c>
      <c r="AH10" s="19">
        <v>7.2</v>
      </c>
      <c r="AI10" s="19">
        <v>0.2</v>
      </c>
      <c r="AJ10" s="19">
        <v>0</v>
      </c>
      <c r="AK10" s="19">
        <v>18.600000000000001</v>
      </c>
      <c r="AL10" s="19">
        <v>8.4</v>
      </c>
      <c r="AM10" s="19">
        <v>0.2</v>
      </c>
      <c r="AN10" s="19">
        <v>0</v>
      </c>
      <c r="AO10" s="27"/>
      <c r="AP10" s="40">
        <f t="shared" si="12"/>
        <v>14.4</v>
      </c>
      <c r="AQ10" s="40">
        <f t="shared" si="13"/>
        <v>50.099999999999994</v>
      </c>
      <c r="AR10" s="40">
        <f t="shared" si="14"/>
        <v>26.099999999999998</v>
      </c>
      <c r="AS10" s="40">
        <f t="shared" si="15"/>
        <v>21.6</v>
      </c>
      <c r="AT10" s="40">
        <f t="shared" si="16"/>
        <v>76.199999999999989</v>
      </c>
      <c r="AU10" s="40">
        <f t="shared" si="17"/>
        <v>15.600000000000001</v>
      </c>
      <c r="AV10" s="40">
        <f t="shared" si="18"/>
        <v>52.400000000000006</v>
      </c>
      <c r="AW10" s="40">
        <f t="shared" si="19"/>
        <v>128.6</v>
      </c>
      <c r="AX10" s="18">
        <v>16.5</v>
      </c>
      <c r="AY10" s="18">
        <v>8.1</v>
      </c>
      <c r="AZ10" s="18">
        <v>0.2</v>
      </c>
      <c r="BA10" s="18">
        <v>0</v>
      </c>
      <c r="BB10" s="18">
        <v>18.899999999999999</v>
      </c>
      <c r="BC10" s="18">
        <v>7.2</v>
      </c>
      <c r="BD10" s="18">
        <v>0</v>
      </c>
      <c r="BE10" s="18">
        <v>0</v>
      </c>
      <c r="BF10" s="18">
        <v>18.7</v>
      </c>
      <c r="BG10" s="18">
        <v>7.2</v>
      </c>
      <c r="BH10" s="18">
        <v>0.6</v>
      </c>
      <c r="BI10" s="18">
        <v>0.3</v>
      </c>
      <c r="BJ10" s="18">
        <v>18.600000000000001</v>
      </c>
      <c r="BK10" s="18">
        <v>7.2</v>
      </c>
      <c r="BL10" s="18">
        <v>1</v>
      </c>
      <c r="BM10" s="18">
        <v>0.3</v>
      </c>
      <c r="BN10" s="18">
        <v>0</v>
      </c>
      <c r="BO10" s="18">
        <v>0</v>
      </c>
      <c r="BP10" s="18">
        <v>0</v>
      </c>
      <c r="BQ10" s="18">
        <v>0</v>
      </c>
      <c r="BR10" s="28"/>
      <c r="BS10" s="11">
        <f t="shared" si="20"/>
        <v>15.3</v>
      </c>
      <c r="BT10" s="11">
        <f t="shared" si="21"/>
        <v>50.5</v>
      </c>
      <c r="BU10" s="11">
        <f t="shared" si="22"/>
        <v>25.599999999999998</v>
      </c>
      <c r="BV10" s="11">
        <f t="shared" si="23"/>
        <v>22.5</v>
      </c>
      <c r="BW10" s="11">
        <f t="shared" si="24"/>
        <v>76.099999999999994</v>
      </c>
      <c r="BX10" s="11">
        <f t="shared" si="25"/>
        <v>7.2</v>
      </c>
      <c r="BY10" s="11">
        <f t="shared" si="26"/>
        <v>25.1</v>
      </c>
      <c r="BZ10" s="11">
        <f t="shared" si="27"/>
        <v>101.19999999999999</v>
      </c>
      <c r="CA10" s="19">
        <v>0</v>
      </c>
      <c r="CB10" s="19">
        <v>0</v>
      </c>
      <c r="CC10" s="19">
        <v>0</v>
      </c>
      <c r="CD10" s="19">
        <v>0</v>
      </c>
      <c r="CE10" s="19">
        <v>17.600000000000001</v>
      </c>
      <c r="CF10" s="19">
        <v>4</v>
      </c>
      <c r="CG10" s="19">
        <v>0</v>
      </c>
      <c r="CH10" s="19">
        <v>0</v>
      </c>
      <c r="CI10" s="19">
        <v>18.399999999999999</v>
      </c>
      <c r="CJ10" s="19">
        <v>6</v>
      </c>
      <c r="CK10" s="19">
        <v>0.6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4</v>
      </c>
      <c r="CW10" s="40">
        <f t="shared" si="29"/>
        <v>21.6</v>
      </c>
      <c r="CX10" s="40">
        <f t="shared" si="30"/>
        <v>23.799999999999997</v>
      </c>
      <c r="CY10" s="40">
        <f t="shared" si="31"/>
        <v>10</v>
      </c>
      <c r="CZ10" s="40">
        <f t="shared" si="32"/>
        <v>45.4</v>
      </c>
      <c r="DA10" s="40" t="str">
        <f t="shared" si="33"/>
        <v/>
      </c>
      <c r="DB10" s="40" t="str">
        <f t="shared" si="34"/>
        <v/>
      </c>
      <c r="DC10" s="40">
        <f t="shared" si="35"/>
        <v>45.4</v>
      </c>
      <c r="DD10" s="51">
        <f t="shared" si="36"/>
        <v>3.2000000000000028</v>
      </c>
      <c r="DE10" s="51" t="str">
        <f t="shared" si="37"/>
        <v/>
      </c>
      <c r="DF10" s="51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40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>
        <v>18.399999999999999</v>
      </c>
      <c r="FL10" s="17">
        <v>8.8000000000000007</v>
      </c>
      <c r="FM10" s="17">
        <v>0.8</v>
      </c>
      <c r="FN10" s="17">
        <v>0</v>
      </c>
      <c r="FO10" s="17">
        <v>18.399999999999999</v>
      </c>
      <c r="FP10" s="17">
        <v>9.3000000000000007</v>
      </c>
      <c r="FQ10" s="17">
        <v>0.8</v>
      </c>
      <c r="FR10" s="17">
        <v>0</v>
      </c>
      <c r="FS10" s="17"/>
      <c r="FT10" s="17"/>
      <c r="FU10" s="17"/>
      <c r="FV10" s="17"/>
      <c r="FW10" s="17">
        <v>16.5</v>
      </c>
      <c r="FX10" s="17">
        <v>8.5</v>
      </c>
      <c r="FY10" s="17">
        <v>0.6</v>
      </c>
      <c r="FZ10" s="17">
        <v>0</v>
      </c>
      <c r="GA10" s="17"/>
      <c r="GB10" s="17"/>
      <c r="GC10" s="17"/>
      <c r="GD10" s="17"/>
      <c r="GE10" s="40">
        <f t="shared" si="55"/>
        <v>18.100000000000001</v>
      </c>
      <c r="GF10" s="40">
        <f t="shared" si="56"/>
        <v>53.3</v>
      </c>
      <c r="GG10" s="40" t="str">
        <f t="shared" si="57"/>
        <v/>
      </c>
      <c r="GH10" s="40">
        <f t="shared" si="58"/>
        <v>18.100000000000001</v>
      </c>
      <c r="GI10" s="40">
        <f t="shared" si="59"/>
        <v>53.3</v>
      </c>
      <c r="GJ10" s="40">
        <f t="shared" si="60"/>
        <v>8.5</v>
      </c>
      <c r="GK10" s="40">
        <f t="shared" si="61"/>
        <v>24.4</v>
      </c>
      <c r="GL10" s="40">
        <f t="shared" si="62"/>
        <v>77.699999999999989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40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5"/>
        <v/>
      </c>
      <c r="QZ10" s="40" t="str">
        <f t="shared" si="136"/>
        <v/>
      </c>
      <c r="RA10" s="40" t="str">
        <f t="shared" si="137"/>
        <v/>
      </c>
      <c r="RB10" s="40" t="str">
        <f t="shared" si="138"/>
        <v/>
      </c>
      <c r="RC10" s="40" t="str">
        <f t="shared" si="139"/>
        <v/>
      </c>
      <c r="RD10" s="40" t="str">
        <f t="shared" si="140"/>
        <v/>
      </c>
      <c r="RE10" s="40" t="str">
        <f t="shared" si="141"/>
        <v/>
      </c>
      <c r="RF10" s="40" t="str">
        <f t="shared" si="142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3"/>
        <v/>
      </c>
      <c r="SB10" s="11" t="str">
        <f t="shared" si="144"/>
        <v/>
      </c>
      <c r="SC10" s="11" t="str">
        <f t="shared" si="145"/>
        <v/>
      </c>
      <c r="SD10" s="11" t="str">
        <f t="shared" si="146"/>
        <v/>
      </c>
      <c r="SE10" s="11" t="str">
        <f t="shared" si="147"/>
        <v/>
      </c>
      <c r="SF10" s="11" t="str">
        <f t="shared" si="148"/>
        <v/>
      </c>
      <c r="SG10" s="11" t="str">
        <f t="shared" si="149"/>
        <v/>
      </c>
      <c r="SH10" s="11" t="str">
        <f t="shared" si="150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1"/>
        <v/>
      </c>
      <c r="TD10" s="40" t="str">
        <f t="shared" si="152"/>
        <v/>
      </c>
      <c r="TE10" s="40" t="str">
        <f t="shared" si="153"/>
        <v/>
      </c>
      <c r="TF10" s="40" t="str">
        <f t="shared" si="154"/>
        <v/>
      </c>
      <c r="TG10" s="40" t="str">
        <f t="shared" si="155"/>
        <v/>
      </c>
      <c r="TH10" s="40" t="str">
        <f t="shared" si="156"/>
        <v/>
      </c>
      <c r="TI10" s="40" t="str">
        <f t="shared" si="157"/>
        <v/>
      </c>
      <c r="TJ10" s="40" t="str">
        <f t="shared" si="158"/>
        <v/>
      </c>
      <c r="TK10" s="26">
        <f t="shared" si="159"/>
        <v>8.25</v>
      </c>
      <c r="TL10" s="26">
        <f t="shared" si="160"/>
        <v>4.05</v>
      </c>
      <c r="TM10" s="26">
        <f t="shared" si="161"/>
        <v>0.1</v>
      </c>
      <c r="TN10" s="26">
        <f t="shared" si="162"/>
        <v>0</v>
      </c>
      <c r="TO10" s="26">
        <f t="shared" si="163"/>
        <v>18.25</v>
      </c>
      <c r="TP10" s="26">
        <f t="shared" si="164"/>
        <v>5.6</v>
      </c>
      <c r="TQ10" s="26">
        <f t="shared" si="165"/>
        <v>0</v>
      </c>
      <c r="TR10" s="26">
        <f t="shared" si="166"/>
        <v>0</v>
      </c>
      <c r="TS10" s="26">
        <f t="shared" si="167"/>
        <v>18.549999999999997</v>
      </c>
      <c r="TT10" s="26">
        <f t="shared" si="168"/>
        <v>6.6</v>
      </c>
      <c r="TU10" s="26">
        <f t="shared" si="169"/>
        <v>0.6</v>
      </c>
      <c r="TV10" s="26">
        <f t="shared" si="170"/>
        <v>0.15</v>
      </c>
      <c r="TW10" s="26">
        <f t="shared" si="171"/>
        <v>9.3000000000000007</v>
      </c>
      <c r="TX10" s="26">
        <f t="shared" si="172"/>
        <v>3.6</v>
      </c>
      <c r="TY10" s="26">
        <f t="shared" si="173"/>
        <v>0.5</v>
      </c>
      <c r="TZ10" s="26">
        <f t="shared" si="174"/>
        <v>0.15</v>
      </c>
      <c r="UA10" s="26">
        <f t="shared" si="175"/>
        <v>0</v>
      </c>
      <c r="UB10" s="26">
        <f t="shared" si="176"/>
        <v>0</v>
      </c>
      <c r="UC10" s="26">
        <f t="shared" si="177"/>
        <v>0</v>
      </c>
      <c r="UD10" s="26">
        <f t="shared" si="178"/>
        <v>0</v>
      </c>
      <c r="UE10" s="28" t="s">
        <v>53</v>
      </c>
      <c r="UF10" s="11">
        <f t="shared" si="179"/>
        <v>9.6499999999999986</v>
      </c>
      <c r="UG10" s="11">
        <f t="shared" si="180"/>
        <v>36.049999999999997</v>
      </c>
      <c r="UH10" s="11">
        <f t="shared" si="181"/>
        <v>24.699999999999996</v>
      </c>
      <c r="UI10" s="11">
        <f t="shared" si="182"/>
        <v>16.25</v>
      </c>
      <c r="UJ10" s="11">
        <f t="shared" si="183"/>
        <v>60.749999999999993</v>
      </c>
      <c r="UK10" s="11">
        <f t="shared" si="184"/>
        <v>3.6</v>
      </c>
      <c r="UL10" s="11">
        <f t="shared" si="185"/>
        <v>12.55</v>
      </c>
      <c r="UM10" s="11">
        <f t="shared" si="186"/>
        <v>73.3</v>
      </c>
    </row>
    <row r="11" spans="1:559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132</v>
      </c>
      <c r="C11" s="4" t="s">
        <v>5</v>
      </c>
      <c r="D11" s="4">
        <v>2004</v>
      </c>
      <c r="E11" s="9">
        <f t="shared" si="187"/>
        <v>182.10001300000519</v>
      </c>
      <c r="F11" s="3" t="str">
        <f t="shared" si="0"/>
        <v>P</v>
      </c>
      <c r="G11" s="3" t="str">
        <f t="shared" si="1"/>
        <v>P</v>
      </c>
      <c r="H11" s="36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52.1</v>
      </c>
      <c r="K11" s="8" t="str">
        <f t="shared" si="4"/>
        <v>2024 Elite Canada</v>
      </c>
      <c r="L11" s="8">
        <f>IF(COUNT(AQ11,BT11,CW11)&gt;1,LARGE((AQ11,BT11,CW11),2),0)</f>
        <v>50.699999999999996</v>
      </c>
      <c r="M11" s="8" t="str">
        <f t="shared" si="5"/>
        <v>2024 Nationals</v>
      </c>
      <c r="N11" s="8">
        <f>IF(COUNT(AR11,BU11,CX11)&gt;0,LARGE((AR11,BU11,CX11),1),0)</f>
        <v>27.200000000000003</v>
      </c>
      <c r="O11" s="8" t="str">
        <f t="shared" si="6"/>
        <v>2024 Nationals</v>
      </c>
      <c r="P11" s="8">
        <f t="shared" si="7"/>
        <v>52.099999999999994</v>
      </c>
      <c r="Q11" s="8" t="str">
        <f t="shared" si="8"/>
        <v>2024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18.5</v>
      </c>
      <c r="V11" s="19">
        <v>8.4</v>
      </c>
      <c r="W11" s="19">
        <v>0.6</v>
      </c>
      <c r="X11" s="19">
        <v>0</v>
      </c>
      <c r="Y11" s="19">
        <v>18.600000000000001</v>
      </c>
      <c r="Z11" s="19">
        <v>7.2</v>
      </c>
      <c r="AA11" s="19">
        <v>0</v>
      </c>
      <c r="AB11" s="19">
        <v>0</v>
      </c>
      <c r="AC11" s="19">
        <v>16.8</v>
      </c>
      <c r="AD11" s="19">
        <v>8.1</v>
      </c>
      <c r="AE11" s="19">
        <v>0.2</v>
      </c>
      <c r="AF11" s="19">
        <v>0.3</v>
      </c>
      <c r="AG11" s="19">
        <v>16.600000000000001</v>
      </c>
      <c r="AH11" s="19">
        <v>8.4</v>
      </c>
      <c r="AI11" s="19">
        <v>1</v>
      </c>
      <c r="AJ11" s="19">
        <v>0</v>
      </c>
      <c r="AK11" s="19">
        <v>17.100000000000001</v>
      </c>
      <c r="AL11" s="19">
        <v>5.0999999999999996</v>
      </c>
      <c r="AM11" s="19">
        <v>0</v>
      </c>
      <c r="AN11" s="19">
        <v>0.3</v>
      </c>
      <c r="AO11" s="27"/>
      <c r="AP11" s="40">
        <f t="shared" si="12"/>
        <v>15.600000000000001</v>
      </c>
      <c r="AQ11" s="40">
        <f t="shared" si="13"/>
        <v>52.1</v>
      </c>
      <c r="AR11" s="40">
        <f t="shared" si="14"/>
        <v>25</v>
      </c>
      <c r="AS11" s="40">
        <f t="shared" si="15"/>
        <v>23.700000000000003</v>
      </c>
      <c r="AT11" s="40">
        <f t="shared" si="16"/>
        <v>77.099999999999994</v>
      </c>
      <c r="AU11" s="40">
        <f t="shared" si="17"/>
        <v>13.5</v>
      </c>
      <c r="AV11" s="40">
        <f t="shared" si="18"/>
        <v>46.5</v>
      </c>
      <c r="AW11" s="40">
        <f t="shared" si="19"/>
        <v>123.6</v>
      </c>
      <c r="AX11" s="18">
        <v>18.5</v>
      </c>
      <c r="AY11" s="18">
        <v>7.3</v>
      </c>
      <c r="AZ11" s="18">
        <v>0.2</v>
      </c>
      <c r="BA11" s="18">
        <v>0</v>
      </c>
      <c r="BB11" s="18">
        <v>18.5</v>
      </c>
      <c r="BC11" s="18">
        <v>7.2</v>
      </c>
      <c r="BD11" s="18">
        <v>0.6</v>
      </c>
      <c r="BE11" s="18">
        <v>0</v>
      </c>
      <c r="BF11" s="18">
        <v>18.8</v>
      </c>
      <c r="BG11" s="18">
        <v>8.4</v>
      </c>
      <c r="BH11" s="18">
        <v>0</v>
      </c>
      <c r="BI11" s="18">
        <v>0</v>
      </c>
      <c r="BJ11" s="18">
        <v>18.2</v>
      </c>
      <c r="BK11" s="18">
        <v>7.6</v>
      </c>
      <c r="BL11" s="18">
        <v>0.2</v>
      </c>
      <c r="BM11" s="18">
        <v>0</v>
      </c>
      <c r="BN11" s="18">
        <v>18.899999999999999</v>
      </c>
      <c r="BO11" s="18">
        <v>7.6</v>
      </c>
      <c r="BP11" s="18">
        <v>0</v>
      </c>
      <c r="BQ11" s="18">
        <v>0</v>
      </c>
      <c r="BR11" s="28"/>
      <c r="BS11" s="11">
        <f t="shared" si="20"/>
        <v>14.5</v>
      </c>
      <c r="BT11" s="11">
        <f t="shared" si="21"/>
        <v>50.699999999999996</v>
      </c>
      <c r="BU11" s="11">
        <f t="shared" si="22"/>
        <v>27.200000000000003</v>
      </c>
      <c r="BV11" s="11">
        <f t="shared" si="23"/>
        <v>22.9</v>
      </c>
      <c r="BW11" s="11">
        <f t="shared" si="24"/>
        <v>77.900000000000006</v>
      </c>
      <c r="BX11" s="11">
        <f t="shared" si="25"/>
        <v>15.2</v>
      </c>
      <c r="BY11" s="11">
        <f t="shared" si="26"/>
        <v>52.099999999999994</v>
      </c>
      <c r="BZ11" s="11">
        <f t="shared" si="27"/>
        <v>130</v>
      </c>
      <c r="CA11" s="19">
        <v>16.399999999999999</v>
      </c>
      <c r="CB11" s="19">
        <v>8.8000000000000007</v>
      </c>
      <c r="CC11" s="19">
        <v>1</v>
      </c>
      <c r="CD11" s="19">
        <v>0</v>
      </c>
      <c r="CE11" s="19">
        <v>16.2</v>
      </c>
      <c r="CF11" s="19">
        <v>7.2</v>
      </c>
      <c r="CG11" s="19">
        <v>1</v>
      </c>
      <c r="CH11" s="19">
        <v>0</v>
      </c>
      <c r="CI11" s="19">
        <v>19.2</v>
      </c>
      <c r="CJ11" s="19">
        <v>5.6</v>
      </c>
      <c r="CK11" s="19">
        <v>0.4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16</v>
      </c>
      <c r="CW11" s="40">
        <f t="shared" si="29"/>
        <v>46.6</v>
      </c>
      <c r="CX11" s="40">
        <f t="shared" si="30"/>
        <v>24.4</v>
      </c>
      <c r="CY11" s="40">
        <f t="shared" si="31"/>
        <v>21.6</v>
      </c>
      <c r="CZ11" s="40">
        <f t="shared" si="32"/>
        <v>71</v>
      </c>
      <c r="DA11" s="40" t="str">
        <f t="shared" si="33"/>
        <v/>
      </c>
      <c r="DB11" s="40" t="str">
        <f t="shared" si="34"/>
        <v/>
      </c>
      <c r="DC11" s="40">
        <f t="shared" si="35"/>
        <v>71</v>
      </c>
      <c r="DD11" s="51" t="str">
        <f t="shared" si="36"/>
        <v/>
      </c>
      <c r="DE11" s="51" t="str">
        <f t="shared" si="37"/>
        <v/>
      </c>
      <c r="DF11" s="51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5"/>
        <v/>
      </c>
      <c r="QZ11" s="40" t="str">
        <f t="shared" si="136"/>
        <v/>
      </c>
      <c r="RA11" s="40" t="str">
        <f t="shared" si="137"/>
        <v/>
      </c>
      <c r="RB11" s="40" t="str">
        <f t="shared" si="138"/>
        <v/>
      </c>
      <c r="RC11" s="40" t="str">
        <f t="shared" si="139"/>
        <v/>
      </c>
      <c r="RD11" s="40" t="str">
        <f t="shared" si="140"/>
        <v/>
      </c>
      <c r="RE11" s="40" t="str">
        <f t="shared" si="141"/>
        <v/>
      </c>
      <c r="RF11" s="40" t="str">
        <f t="shared" si="142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3"/>
        <v/>
      </c>
      <c r="SB11" s="11" t="str">
        <f t="shared" si="144"/>
        <v/>
      </c>
      <c r="SC11" s="11" t="str">
        <f t="shared" si="145"/>
        <v/>
      </c>
      <c r="SD11" s="11" t="str">
        <f t="shared" si="146"/>
        <v/>
      </c>
      <c r="SE11" s="11" t="str">
        <f t="shared" si="147"/>
        <v/>
      </c>
      <c r="SF11" s="11" t="str">
        <f t="shared" si="148"/>
        <v/>
      </c>
      <c r="SG11" s="11" t="str">
        <f t="shared" si="149"/>
        <v/>
      </c>
      <c r="SH11" s="11" t="str">
        <f t="shared" si="150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1"/>
        <v/>
      </c>
      <c r="TD11" s="40" t="str">
        <f t="shared" si="152"/>
        <v/>
      </c>
      <c r="TE11" s="40" t="str">
        <f t="shared" si="153"/>
        <v/>
      </c>
      <c r="TF11" s="40" t="str">
        <f t="shared" si="154"/>
        <v/>
      </c>
      <c r="TG11" s="40" t="str">
        <f t="shared" si="155"/>
        <v/>
      </c>
      <c r="TH11" s="40" t="str">
        <f t="shared" si="156"/>
        <v/>
      </c>
      <c r="TI11" s="40" t="str">
        <f t="shared" si="157"/>
        <v/>
      </c>
      <c r="TJ11" s="40" t="str">
        <f t="shared" si="158"/>
        <v/>
      </c>
      <c r="TK11" s="26">
        <f t="shared" si="159"/>
        <v>17.45</v>
      </c>
      <c r="TL11" s="26">
        <f t="shared" si="160"/>
        <v>8.0500000000000007</v>
      </c>
      <c r="TM11" s="26">
        <f t="shared" si="161"/>
        <v>0.6</v>
      </c>
      <c r="TN11" s="26">
        <f t="shared" si="162"/>
        <v>0</v>
      </c>
      <c r="TO11" s="26">
        <f t="shared" si="163"/>
        <v>17.350000000000001</v>
      </c>
      <c r="TP11" s="26">
        <f t="shared" si="164"/>
        <v>7.2</v>
      </c>
      <c r="TQ11" s="26">
        <f t="shared" si="165"/>
        <v>0.8</v>
      </c>
      <c r="TR11" s="26">
        <f t="shared" si="166"/>
        <v>0</v>
      </c>
      <c r="TS11" s="26">
        <f t="shared" si="167"/>
        <v>19</v>
      </c>
      <c r="TT11" s="26">
        <f t="shared" si="168"/>
        <v>7</v>
      </c>
      <c r="TU11" s="26">
        <f t="shared" si="169"/>
        <v>0.2</v>
      </c>
      <c r="TV11" s="26">
        <f t="shared" si="170"/>
        <v>0</v>
      </c>
      <c r="TW11" s="26">
        <f t="shared" si="171"/>
        <v>9.1</v>
      </c>
      <c r="TX11" s="26">
        <f t="shared" si="172"/>
        <v>3.8</v>
      </c>
      <c r="TY11" s="26">
        <f t="shared" si="173"/>
        <v>0.1</v>
      </c>
      <c r="TZ11" s="26">
        <f t="shared" si="174"/>
        <v>0</v>
      </c>
      <c r="UA11" s="26">
        <f t="shared" si="175"/>
        <v>9.4499999999999993</v>
      </c>
      <c r="UB11" s="26">
        <f t="shared" si="176"/>
        <v>3.8</v>
      </c>
      <c r="UC11" s="26">
        <f t="shared" si="177"/>
        <v>0</v>
      </c>
      <c r="UD11" s="26">
        <f t="shared" si="178"/>
        <v>0</v>
      </c>
      <c r="UE11" s="28" t="s">
        <v>53</v>
      </c>
      <c r="UF11" s="11">
        <f t="shared" si="179"/>
        <v>15.25</v>
      </c>
      <c r="UG11" s="11">
        <f t="shared" si="180"/>
        <v>48.650000000000006</v>
      </c>
      <c r="UH11" s="11">
        <f t="shared" si="181"/>
        <v>25.8</v>
      </c>
      <c r="UI11" s="11">
        <f t="shared" si="182"/>
        <v>22.25</v>
      </c>
      <c r="UJ11" s="11">
        <f t="shared" si="183"/>
        <v>74.45</v>
      </c>
      <c r="UK11" s="11">
        <f t="shared" si="184"/>
        <v>7.6</v>
      </c>
      <c r="UL11" s="11">
        <f t="shared" si="185"/>
        <v>26.049999999999997</v>
      </c>
      <c r="UM11" s="11">
        <f t="shared" si="186"/>
        <v>100.5</v>
      </c>
    </row>
    <row r="12" spans="1:559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121</v>
      </c>
      <c r="C12" s="4" t="s">
        <v>6</v>
      </c>
      <c r="D12" s="4">
        <v>2003</v>
      </c>
      <c r="E12" s="9">
        <f t="shared" si="187"/>
        <v>180.50001287000512</v>
      </c>
      <c r="F12" s="3" t="str">
        <f t="shared" si="0"/>
        <v>P</v>
      </c>
      <c r="G12" s="3" t="str">
        <f t="shared" si="1"/>
        <v>P</v>
      </c>
      <c r="H12" s="36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51.2</v>
      </c>
      <c r="K12" s="8" t="str">
        <f t="shared" si="4"/>
        <v>2024 Nationals</v>
      </c>
      <c r="L12" s="8">
        <f>IF(COUNT(AQ12,BT12,CW12)&gt;1,LARGE((AQ12,BT12,CW12),2),0)</f>
        <v>51.099999999999994</v>
      </c>
      <c r="M12" s="8" t="str">
        <f t="shared" si="5"/>
        <v>2024 Elite Canada</v>
      </c>
      <c r="N12" s="8">
        <f>IF(COUNT(AR12,BU12,CX12)&gt;0,LARGE((AR12,BU12,CX12),1),0)</f>
        <v>26.400000000000002</v>
      </c>
      <c r="O12" s="8" t="str">
        <f t="shared" si="6"/>
        <v>2024 Elite Canada</v>
      </c>
      <c r="P12" s="8">
        <f t="shared" si="7"/>
        <v>51.8</v>
      </c>
      <c r="Q12" s="8" t="str">
        <f t="shared" si="8"/>
        <v>2024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17.8</v>
      </c>
      <c r="V12" s="19">
        <v>6.9</v>
      </c>
      <c r="W12" s="19">
        <v>0.2</v>
      </c>
      <c r="X12" s="19">
        <v>0</v>
      </c>
      <c r="Y12" s="19">
        <v>18.399999999999999</v>
      </c>
      <c r="Z12" s="19">
        <v>8.1</v>
      </c>
      <c r="AA12" s="19">
        <v>0.2</v>
      </c>
      <c r="AB12" s="19">
        <v>0.3</v>
      </c>
      <c r="AC12" s="19">
        <v>18.600000000000001</v>
      </c>
      <c r="AD12" s="19">
        <v>7.5</v>
      </c>
      <c r="AE12" s="19">
        <v>0</v>
      </c>
      <c r="AF12" s="19">
        <v>0.3</v>
      </c>
      <c r="AG12" s="19">
        <v>18.600000000000001</v>
      </c>
      <c r="AH12" s="19">
        <v>8.1</v>
      </c>
      <c r="AI12" s="19">
        <v>0.6</v>
      </c>
      <c r="AJ12" s="19">
        <v>0.3</v>
      </c>
      <c r="AK12" s="19">
        <v>16.3</v>
      </c>
      <c r="AL12" s="19">
        <v>9.6</v>
      </c>
      <c r="AM12" s="19">
        <v>1</v>
      </c>
      <c r="AN12" s="19">
        <v>0.3</v>
      </c>
      <c r="AO12" s="27"/>
      <c r="AP12" s="40">
        <f t="shared" si="12"/>
        <v>15</v>
      </c>
      <c r="AQ12" s="40">
        <f t="shared" si="13"/>
        <v>51.099999999999994</v>
      </c>
      <c r="AR12" s="40">
        <f t="shared" si="14"/>
        <v>26.400000000000002</v>
      </c>
      <c r="AS12" s="40">
        <f t="shared" si="15"/>
        <v>22.5</v>
      </c>
      <c r="AT12" s="40">
        <f t="shared" si="16"/>
        <v>77.5</v>
      </c>
      <c r="AU12" s="40">
        <f t="shared" si="17"/>
        <v>17.7</v>
      </c>
      <c r="AV12" s="40">
        <f t="shared" si="18"/>
        <v>51.6</v>
      </c>
      <c r="AW12" s="40">
        <f t="shared" si="19"/>
        <v>129.1</v>
      </c>
      <c r="AX12" s="18">
        <v>18.600000000000001</v>
      </c>
      <c r="AY12" s="18">
        <v>7.3</v>
      </c>
      <c r="AZ12" s="18">
        <v>0.2</v>
      </c>
      <c r="BA12" s="18">
        <v>0</v>
      </c>
      <c r="BB12" s="18">
        <v>18.5</v>
      </c>
      <c r="BC12" s="18">
        <v>7.5</v>
      </c>
      <c r="BD12" s="18">
        <v>0.8</v>
      </c>
      <c r="BE12" s="18">
        <v>0.3</v>
      </c>
      <c r="BF12" s="18">
        <v>18.600000000000001</v>
      </c>
      <c r="BG12" s="18">
        <v>4.4000000000000004</v>
      </c>
      <c r="BH12" s="18">
        <v>1</v>
      </c>
      <c r="BI12" s="18">
        <v>0</v>
      </c>
      <c r="BJ12" s="18">
        <v>18.3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7.5</v>
      </c>
      <c r="BP12" s="18">
        <v>0</v>
      </c>
      <c r="BQ12" s="18">
        <v>0.3</v>
      </c>
      <c r="BR12" s="28"/>
      <c r="BS12" s="11">
        <f t="shared" si="20"/>
        <v>14.8</v>
      </c>
      <c r="BT12" s="11">
        <f t="shared" si="21"/>
        <v>51.2</v>
      </c>
      <c r="BU12" s="11">
        <f t="shared" si="22"/>
        <v>22</v>
      </c>
      <c r="BV12" s="11">
        <f t="shared" si="23"/>
        <v>19.200000000000003</v>
      </c>
      <c r="BW12" s="11">
        <f t="shared" si="24"/>
        <v>73.2</v>
      </c>
      <c r="BX12" s="11">
        <f t="shared" si="25"/>
        <v>14.8</v>
      </c>
      <c r="BY12" s="11">
        <f t="shared" si="26"/>
        <v>51.8</v>
      </c>
      <c r="BZ12" s="11">
        <f t="shared" si="27"/>
        <v>125</v>
      </c>
      <c r="CA12" s="19">
        <v>17.600000000000001</v>
      </c>
      <c r="CB12" s="19">
        <v>2.4</v>
      </c>
      <c r="CC12" s="19">
        <v>0</v>
      </c>
      <c r="CD12" s="19">
        <v>0</v>
      </c>
      <c r="CE12" s="19">
        <v>17.600000000000001</v>
      </c>
      <c r="CF12" s="19">
        <v>2.8</v>
      </c>
      <c r="CG12" s="19">
        <v>0</v>
      </c>
      <c r="CH12" s="19">
        <v>0</v>
      </c>
      <c r="CI12" s="19">
        <v>18.5</v>
      </c>
      <c r="CJ12" s="19">
        <v>5.2</v>
      </c>
      <c r="CK12" s="19">
        <v>1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8"/>
        <v>5.1999999999999993</v>
      </c>
      <c r="CW12" s="40">
        <f t="shared" si="29"/>
        <v>40.4</v>
      </c>
      <c r="CX12" s="40">
        <f t="shared" si="30"/>
        <v>22.7</v>
      </c>
      <c r="CY12" s="40">
        <f t="shared" si="31"/>
        <v>10.399999999999999</v>
      </c>
      <c r="CZ12" s="40">
        <f t="shared" si="32"/>
        <v>63.099999999999994</v>
      </c>
      <c r="DA12" s="40" t="str">
        <f t="shared" si="33"/>
        <v/>
      </c>
      <c r="DB12" s="40" t="str">
        <f t="shared" si="34"/>
        <v/>
      </c>
      <c r="DC12" s="40">
        <f t="shared" si="35"/>
        <v>63.099999999999994</v>
      </c>
      <c r="DD12" s="51" t="str">
        <f t="shared" si="36"/>
        <v/>
      </c>
      <c r="DE12" s="51" t="str">
        <f t="shared" si="37"/>
        <v/>
      </c>
      <c r="DF12" s="51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>
        <v>16.8</v>
      </c>
      <c r="FL12" s="17">
        <v>8.1</v>
      </c>
      <c r="FM12" s="17">
        <v>1</v>
      </c>
      <c r="FN12" s="17">
        <v>0</v>
      </c>
      <c r="FO12" s="17">
        <v>17.100000000000001</v>
      </c>
      <c r="FP12" s="17">
        <v>5.0999999999999996</v>
      </c>
      <c r="FQ12" s="17">
        <v>0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 t="shared" si="55"/>
        <v>13.2</v>
      </c>
      <c r="GF12" s="40">
        <f t="shared" si="56"/>
        <v>46.1</v>
      </c>
      <c r="GG12" s="40" t="str">
        <f t="shared" si="57"/>
        <v/>
      </c>
      <c r="GH12" s="40">
        <f t="shared" si="58"/>
        <v>13.2</v>
      </c>
      <c r="GI12" s="40">
        <f t="shared" si="59"/>
        <v>46.1</v>
      </c>
      <c r="GJ12" s="40" t="str">
        <f t="shared" si="60"/>
        <v/>
      </c>
      <c r="GK12" s="40" t="str">
        <f t="shared" si="61"/>
        <v/>
      </c>
      <c r="GL12" s="40">
        <f t="shared" si="62"/>
        <v>46.1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 t="shared" si="135"/>
        <v/>
      </c>
      <c r="QZ12" s="40" t="str">
        <f t="shared" si="136"/>
        <v/>
      </c>
      <c r="RA12" s="40" t="str">
        <f t="shared" si="137"/>
        <v/>
      </c>
      <c r="RB12" s="40" t="str">
        <f t="shared" si="138"/>
        <v/>
      </c>
      <c r="RC12" s="40" t="str">
        <f t="shared" si="139"/>
        <v/>
      </c>
      <c r="RD12" s="40" t="str">
        <f t="shared" si="140"/>
        <v/>
      </c>
      <c r="RE12" s="40" t="str">
        <f t="shared" si="141"/>
        <v/>
      </c>
      <c r="RF12" s="40" t="str">
        <f t="shared" si="142"/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 t="shared" si="143"/>
        <v/>
      </c>
      <c r="SB12" s="11" t="str">
        <f t="shared" si="144"/>
        <v/>
      </c>
      <c r="SC12" s="11" t="str">
        <f t="shared" si="145"/>
        <v/>
      </c>
      <c r="SD12" s="11" t="str">
        <f t="shared" si="146"/>
        <v/>
      </c>
      <c r="SE12" s="11" t="str">
        <f t="shared" si="147"/>
        <v/>
      </c>
      <c r="SF12" s="11" t="str">
        <f t="shared" si="148"/>
        <v/>
      </c>
      <c r="SG12" s="11" t="str">
        <f t="shared" si="149"/>
        <v/>
      </c>
      <c r="SH12" s="11" t="str">
        <f t="shared" si="150"/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 t="shared" si="151"/>
        <v/>
      </c>
      <c r="TD12" s="40" t="str">
        <f t="shared" si="152"/>
        <v/>
      </c>
      <c r="TE12" s="40" t="str">
        <f t="shared" si="153"/>
        <v/>
      </c>
      <c r="TF12" s="40" t="str">
        <f t="shared" si="154"/>
        <v/>
      </c>
      <c r="TG12" s="40" t="str">
        <f t="shared" si="155"/>
        <v/>
      </c>
      <c r="TH12" s="40" t="str">
        <f t="shared" si="156"/>
        <v/>
      </c>
      <c r="TI12" s="40" t="str">
        <f t="shared" si="157"/>
        <v/>
      </c>
      <c r="TJ12" s="40" t="str">
        <f t="shared" si="158"/>
        <v/>
      </c>
      <c r="TK12" s="26">
        <f t="shared" si="159"/>
        <v>18.100000000000001</v>
      </c>
      <c r="TL12" s="26">
        <f t="shared" si="160"/>
        <v>4.8499999999999996</v>
      </c>
      <c r="TM12" s="26">
        <f t="shared" si="161"/>
        <v>0.1</v>
      </c>
      <c r="TN12" s="26">
        <f t="shared" si="162"/>
        <v>0</v>
      </c>
      <c r="TO12" s="26">
        <f t="shared" si="163"/>
        <v>18.05</v>
      </c>
      <c r="TP12" s="26">
        <f t="shared" si="164"/>
        <v>5.15</v>
      </c>
      <c r="TQ12" s="26">
        <f t="shared" si="165"/>
        <v>0.4</v>
      </c>
      <c r="TR12" s="26">
        <f t="shared" si="166"/>
        <v>0.15</v>
      </c>
      <c r="TS12" s="26">
        <f t="shared" si="167"/>
        <v>18.55</v>
      </c>
      <c r="TT12" s="26">
        <f t="shared" si="168"/>
        <v>4.8000000000000007</v>
      </c>
      <c r="TU12" s="26">
        <f t="shared" si="169"/>
        <v>1</v>
      </c>
      <c r="TV12" s="26">
        <f t="shared" si="170"/>
        <v>0</v>
      </c>
      <c r="TW12" s="26">
        <f t="shared" si="171"/>
        <v>9.15</v>
      </c>
      <c r="TX12" s="26">
        <f t="shared" si="172"/>
        <v>3.65</v>
      </c>
      <c r="TY12" s="26">
        <f t="shared" si="173"/>
        <v>0</v>
      </c>
      <c r="TZ12" s="26">
        <f t="shared" si="174"/>
        <v>0</v>
      </c>
      <c r="UA12" s="26">
        <f t="shared" si="175"/>
        <v>9.1999999999999993</v>
      </c>
      <c r="UB12" s="26">
        <f t="shared" si="176"/>
        <v>3.75</v>
      </c>
      <c r="UC12" s="26">
        <f t="shared" si="177"/>
        <v>0</v>
      </c>
      <c r="UD12" s="26">
        <f t="shared" si="178"/>
        <v>0.15</v>
      </c>
      <c r="UE12" s="28" t="s">
        <v>53</v>
      </c>
      <c r="UF12" s="11">
        <f t="shared" si="179"/>
        <v>10</v>
      </c>
      <c r="UG12" s="11">
        <f t="shared" si="180"/>
        <v>45.8</v>
      </c>
      <c r="UH12" s="11">
        <f t="shared" si="181"/>
        <v>22.35</v>
      </c>
      <c r="UI12" s="11">
        <f t="shared" si="182"/>
        <v>14.8</v>
      </c>
      <c r="UJ12" s="11">
        <f t="shared" si="183"/>
        <v>68.150000000000006</v>
      </c>
      <c r="UK12" s="11">
        <f t="shared" si="184"/>
        <v>7.4</v>
      </c>
      <c r="UL12" s="11">
        <f t="shared" si="185"/>
        <v>25.9</v>
      </c>
      <c r="UM12" s="11">
        <f t="shared" si="186"/>
        <v>94.050000000000011</v>
      </c>
    </row>
    <row r="13" spans="1:559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79</v>
      </c>
      <c r="C13" s="4" t="s">
        <v>5</v>
      </c>
      <c r="D13" s="4">
        <v>2002</v>
      </c>
      <c r="E13" s="9">
        <f t="shared" si="187"/>
        <v>179.70001275000519</v>
      </c>
      <c r="F13" s="3" t="str">
        <f t="shared" si="0"/>
        <v>P</v>
      </c>
      <c r="G13" s="3" t="str">
        <f t="shared" si="1"/>
        <v>P</v>
      </c>
      <c r="H13" s="36" t="str">
        <f t="shared" si="2"/>
        <v>Worlds Team</v>
      </c>
      <c r="I13" s="3" t="str">
        <f t="shared" si="3"/>
        <v>P</v>
      </c>
      <c r="J13" s="8">
        <f>IF(COUNT(AQ13,BT13,CW13)&gt;0,LARGE((AQ13,BT13,CW13),1),0)</f>
        <v>51.800000000000004</v>
      </c>
      <c r="K13" s="8" t="str">
        <f t="shared" si="4"/>
        <v>2024 3rd Domestic Trial</v>
      </c>
      <c r="L13" s="8">
        <f>IF(COUNT(AQ13,BT13,CW13)&gt;1,LARGE((AQ13,BT13,CW13),2),0)</f>
        <v>50</v>
      </c>
      <c r="M13" s="8" t="str">
        <f t="shared" si="5"/>
        <v>2024 Nationals</v>
      </c>
      <c r="N13" s="8">
        <f>IF(COUNT(AR13,BU13,CX13)&gt;0,LARGE((AR13,BU13,CX13),1),0)</f>
        <v>25.7</v>
      </c>
      <c r="O13" s="8" t="str">
        <f t="shared" si="6"/>
        <v>2024 3rd Domestic Trial</v>
      </c>
      <c r="P13" s="8">
        <f t="shared" si="7"/>
        <v>52.199999999999996</v>
      </c>
      <c r="Q13" s="8" t="str">
        <f t="shared" si="8"/>
        <v>2024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6.4</v>
      </c>
      <c r="W13" s="19">
        <v>0</v>
      </c>
      <c r="X13" s="19">
        <v>0</v>
      </c>
      <c r="Y13" s="19">
        <v>17.600000000000001</v>
      </c>
      <c r="Z13" s="19">
        <v>4</v>
      </c>
      <c r="AA13" s="19">
        <v>0</v>
      </c>
      <c r="AB13" s="19">
        <v>0</v>
      </c>
      <c r="AC13" s="19">
        <v>18.5</v>
      </c>
      <c r="AD13" s="19">
        <v>3.6</v>
      </c>
      <c r="AE13" s="19">
        <v>1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2"/>
        <v>10.4</v>
      </c>
      <c r="AQ13" s="40">
        <f t="shared" si="13"/>
        <v>46.6</v>
      </c>
      <c r="AR13" s="40">
        <f t="shared" si="14"/>
        <v>21.1</v>
      </c>
      <c r="AS13" s="40">
        <f t="shared" si="15"/>
        <v>14</v>
      </c>
      <c r="AT13" s="40">
        <f t="shared" si="16"/>
        <v>67.7</v>
      </c>
      <c r="AU13" s="40" t="str">
        <f t="shared" si="17"/>
        <v/>
      </c>
      <c r="AV13" s="40" t="str">
        <f t="shared" si="18"/>
        <v/>
      </c>
      <c r="AW13" s="40">
        <f t="shared" si="19"/>
        <v>67.7</v>
      </c>
      <c r="AX13" s="18">
        <v>18.600000000000001</v>
      </c>
      <c r="AY13" s="18">
        <v>5.6</v>
      </c>
      <c r="AZ13" s="18">
        <v>1.4</v>
      </c>
      <c r="BA13" s="18">
        <v>0</v>
      </c>
      <c r="BB13" s="18">
        <v>19</v>
      </c>
      <c r="BC13" s="18">
        <v>8.4</v>
      </c>
      <c r="BD13" s="18">
        <v>0.2</v>
      </c>
      <c r="BE13" s="18">
        <v>0</v>
      </c>
      <c r="BF13" s="18">
        <v>17.399999999999999</v>
      </c>
      <c r="BG13" s="18">
        <v>3.6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14</v>
      </c>
      <c r="BT13" s="11">
        <f t="shared" si="21"/>
        <v>50</v>
      </c>
      <c r="BU13" s="11">
        <f t="shared" si="22"/>
        <v>21</v>
      </c>
      <c r="BV13" s="11">
        <f t="shared" si="23"/>
        <v>17.600000000000001</v>
      </c>
      <c r="BW13" s="11">
        <f t="shared" si="24"/>
        <v>71</v>
      </c>
      <c r="BX13" s="11" t="str">
        <f t="shared" si="25"/>
        <v/>
      </c>
      <c r="BY13" s="11" t="str">
        <f t="shared" si="26"/>
        <v/>
      </c>
      <c r="BZ13" s="11">
        <f t="shared" si="27"/>
        <v>71</v>
      </c>
      <c r="CA13" s="19">
        <v>18.8</v>
      </c>
      <c r="CB13" s="19">
        <v>6.8</v>
      </c>
      <c r="CC13" s="19">
        <v>0.8</v>
      </c>
      <c r="CD13" s="19">
        <v>0</v>
      </c>
      <c r="CE13" s="19">
        <v>18.600000000000001</v>
      </c>
      <c r="CF13" s="19">
        <v>8.4</v>
      </c>
      <c r="CG13" s="19">
        <v>0</v>
      </c>
      <c r="CH13" s="19">
        <v>0</v>
      </c>
      <c r="CI13" s="19">
        <v>18.399999999999999</v>
      </c>
      <c r="CJ13" s="19">
        <v>7.3</v>
      </c>
      <c r="CK13" s="19">
        <v>0</v>
      </c>
      <c r="CL13" s="19">
        <v>0</v>
      </c>
      <c r="CM13" s="19">
        <v>18.399999999999999</v>
      </c>
      <c r="CN13" s="19">
        <v>7.2</v>
      </c>
      <c r="CO13" s="19">
        <v>0</v>
      </c>
      <c r="CP13" s="19">
        <v>0</v>
      </c>
      <c r="CQ13" s="19">
        <v>18.8</v>
      </c>
      <c r="CR13" s="19">
        <v>8.4</v>
      </c>
      <c r="CS13" s="19">
        <v>0.6</v>
      </c>
      <c r="CT13" s="19">
        <v>0</v>
      </c>
      <c r="CU13" s="27"/>
      <c r="CV13" s="40">
        <f t="shared" si="28"/>
        <v>15.2</v>
      </c>
      <c r="CW13" s="40">
        <f t="shared" si="29"/>
        <v>51.800000000000004</v>
      </c>
      <c r="CX13" s="40">
        <f t="shared" si="30"/>
        <v>25.7</v>
      </c>
      <c r="CY13" s="40">
        <f t="shared" si="31"/>
        <v>22.5</v>
      </c>
      <c r="CZ13" s="40">
        <f t="shared" si="32"/>
        <v>77.5</v>
      </c>
      <c r="DA13" s="40">
        <f t="shared" si="33"/>
        <v>15.600000000000001</v>
      </c>
      <c r="DB13" s="40">
        <f t="shared" si="34"/>
        <v>52.199999999999996</v>
      </c>
      <c r="DC13" s="40">
        <f t="shared" si="35"/>
        <v>129.69999999999999</v>
      </c>
      <c r="DD13" s="51" t="str">
        <f t="shared" si="36"/>
        <v/>
      </c>
      <c r="DE13" s="51" t="str">
        <f t="shared" si="37"/>
        <v/>
      </c>
      <c r="DF13" s="51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 t="shared" si="135"/>
        <v/>
      </c>
      <c r="QZ13" s="40" t="str">
        <f t="shared" si="136"/>
        <v/>
      </c>
      <c r="RA13" s="40" t="str">
        <f t="shared" si="137"/>
        <v/>
      </c>
      <c r="RB13" s="40" t="str">
        <f t="shared" si="138"/>
        <v/>
      </c>
      <c r="RC13" s="40" t="str">
        <f t="shared" si="139"/>
        <v/>
      </c>
      <c r="RD13" s="40" t="str">
        <f t="shared" si="140"/>
        <v/>
      </c>
      <c r="RE13" s="40" t="str">
        <f t="shared" si="141"/>
        <v/>
      </c>
      <c r="RF13" s="40" t="str">
        <f t="shared" si="142"/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 t="shared" si="143"/>
        <v/>
      </c>
      <c r="SB13" s="11" t="str">
        <f t="shared" si="144"/>
        <v/>
      </c>
      <c r="SC13" s="11" t="str">
        <f t="shared" si="145"/>
        <v/>
      </c>
      <c r="SD13" s="11" t="str">
        <f t="shared" si="146"/>
        <v/>
      </c>
      <c r="SE13" s="11" t="str">
        <f t="shared" si="147"/>
        <v/>
      </c>
      <c r="SF13" s="11" t="str">
        <f t="shared" si="148"/>
        <v/>
      </c>
      <c r="SG13" s="11" t="str">
        <f t="shared" si="149"/>
        <v/>
      </c>
      <c r="SH13" s="11" t="str">
        <f t="shared" si="150"/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 t="shared" si="151"/>
        <v/>
      </c>
      <c r="TD13" s="40" t="str">
        <f t="shared" si="152"/>
        <v/>
      </c>
      <c r="TE13" s="40" t="str">
        <f t="shared" si="153"/>
        <v/>
      </c>
      <c r="TF13" s="40" t="str">
        <f t="shared" si="154"/>
        <v/>
      </c>
      <c r="TG13" s="40" t="str">
        <f t="shared" si="155"/>
        <v/>
      </c>
      <c r="TH13" s="40" t="str">
        <f t="shared" si="156"/>
        <v/>
      </c>
      <c r="TI13" s="40" t="str">
        <f t="shared" si="157"/>
        <v/>
      </c>
      <c r="TJ13" s="40" t="str">
        <f t="shared" si="158"/>
        <v/>
      </c>
      <c r="TK13" s="26">
        <f t="shared" si="159"/>
        <v>18.700000000000003</v>
      </c>
      <c r="TL13" s="26">
        <f t="shared" si="160"/>
        <v>6.1999999999999993</v>
      </c>
      <c r="TM13" s="26">
        <f t="shared" si="161"/>
        <v>1.1000000000000001</v>
      </c>
      <c r="TN13" s="26">
        <f t="shared" si="162"/>
        <v>0</v>
      </c>
      <c r="TO13" s="26">
        <f t="shared" si="163"/>
        <v>18.8</v>
      </c>
      <c r="TP13" s="26">
        <f t="shared" si="164"/>
        <v>8.4</v>
      </c>
      <c r="TQ13" s="26">
        <f t="shared" si="165"/>
        <v>0.1</v>
      </c>
      <c r="TR13" s="26">
        <f t="shared" si="166"/>
        <v>0</v>
      </c>
      <c r="TS13" s="26">
        <f t="shared" si="167"/>
        <v>17.899999999999999</v>
      </c>
      <c r="TT13" s="26">
        <f t="shared" si="168"/>
        <v>5.45</v>
      </c>
      <c r="TU13" s="26">
        <f t="shared" si="169"/>
        <v>0</v>
      </c>
      <c r="TV13" s="26">
        <f t="shared" si="170"/>
        <v>0</v>
      </c>
      <c r="TW13" s="26">
        <f t="shared" si="171"/>
        <v>9.1999999999999993</v>
      </c>
      <c r="TX13" s="26">
        <f t="shared" si="172"/>
        <v>3.6</v>
      </c>
      <c r="TY13" s="26">
        <f t="shared" si="173"/>
        <v>0</v>
      </c>
      <c r="TZ13" s="26">
        <f t="shared" si="174"/>
        <v>0</v>
      </c>
      <c r="UA13" s="26">
        <f t="shared" si="175"/>
        <v>9.4</v>
      </c>
      <c r="UB13" s="26">
        <f t="shared" si="176"/>
        <v>4.2</v>
      </c>
      <c r="UC13" s="26">
        <f t="shared" si="177"/>
        <v>0.3</v>
      </c>
      <c r="UD13" s="26">
        <f t="shared" si="178"/>
        <v>0</v>
      </c>
      <c r="UE13" s="28" t="s">
        <v>53</v>
      </c>
      <c r="UF13" s="11">
        <f t="shared" si="179"/>
        <v>14.6</v>
      </c>
      <c r="UG13" s="11">
        <f t="shared" si="180"/>
        <v>50.9</v>
      </c>
      <c r="UH13" s="11">
        <f t="shared" si="181"/>
        <v>23.349999999999998</v>
      </c>
      <c r="UI13" s="11">
        <f t="shared" si="182"/>
        <v>20.05</v>
      </c>
      <c r="UJ13" s="11">
        <f t="shared" si="183"/>
        <v>74.25</v>
      </c>
      <c r="UK13" s="11">
        <f t="shared" si="184"/>
        <v>7.8000000000000007</v>
      </c>
      <c r="UL13" s="11">
        <f t="shared" si="185"/>
        <v>26.099999999999998</v>
      </c>
      <c r="UM13" s="11">
        <f t="shared" si="186"/>
        <v>100.35</v>
      </c>
    </row>
    <row r="14" spans="1:559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182</v>
      </c>
      <c r="C14" s="4" t="s">
        <v>5</v>
      </c>
      <c r="D14" s="4">
        <v>2005</v>
      </c>
      <c r="E14" s="9">
        <f t="shared" si="187"/>
        <v>179.6500129050053</v>
      </c>
      <c r="F14" s="3" t="str">
        <f t="shared" si="0"/>
        <v>P</v>
      </c>
      <c r="G14" s="3" t="str">
        <f t="shared" si="1"/>
        <v>P</v>
      </c>
      <c r="H14" s="36" t="str">
        <f t="shared" si="2"/>
        <v>Worlds Team</v>
      </c>
      <c r="I14" s="3" t="str">
        <f t="shared" si="3"/>
        <v>P</v>
      </c>
      <c r="J14" s="8">
        <f>IF(COUNT(AQ14,BT14,CW14)&gt;0,LARGE((AQ14,BT14,CW14),1),0)</f>
        <v>53.1</v>
      </c>
      <c r="K14" s="8" t="str">
        <f t="shared" si="4"/>
        <v>2024 3rd Domestic Trial</v>
      </c>
      <c r="L14" s="8">
        <f>IF(COUNT(AQ14,BT14,CW14)&gt;1,LARGE((AQ14,BT14,CW14),2),0)</f>
        <v>50.75</v>
      </c>
      <c r="M14" s="8" t="str">
        <f t="shared" si="5"/>
        <v>2024 Elite Canada</v>
      </c>
      <c r="N14" s="8">
        <f>IF(COUNT(AR14,BU14,CX14)&gt;0,LARGE((AR14,BU14,CX14),1),0)</f>
        <v>25.2</v>
      </c>
      <c r="O14" s="8" t="str">
        <f t="shared" si="6"/>
        <v>2024 3rd Domestic Trial</v>
      </c>
      <c r="P14" s="8">
        <f t="shared" si="7"/>
        <v>50.6</v>
      </c>
      <c r="Q14" s="8" t="str">
        <f t="shared" si="8"/>
        <v>2024 3rd Domestic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18.149999999999999</v>
      </c>
      <c r="V14" s="19">
        <v>7.25</v>
      </c>
      <c r="W14" s="19">
        <v>0.1</v>
      </c>
      <c r="X14" s="19">
        <v>0.15</v>
      </c>
      <c r="Y14" s="19">
        <v>18.450000000000003</v>
      </c>
      <c r="Z14" s="19">
        <v>7.25</v>
      </c>
      <c r="AA14" s="19">
        <v>0.4</v>
      </c>
      <c r="AB14" s="19">
        <v>0</v>
      </c>
      <c r="AC14" s="19">
        <v>18.100000000000001</v>
      </c>
      <c r="AD14" s="19">
        <v>3.95</v>
      </c>
      <c r="AE14" s="19">
        <v>0</v>
      </c>
      <c r="AF14" s="19">
        <v>0</v>
      </c>
      <c r="AG14" s="19">
        <v>9.3000000000000007</v>
      </c>
      <c r="AH14" s="19">
        <v>3.4</v>
      </c>
      <c r="AI14" s="19">
        <v>0.3</v>
      </c>
      <c r="AJ14" s="19">
        <v>0</v>
      </c>
      <c r="AK14" s="19">
        <v>9</v>
      </c>
      <c r="AL14" s="19">
        <v>3.65</v>
      </c>
      <c r="AM14" s="19">
        <v>0.5</v>
      </c>
      <c r="AN14" s="19">
        <v>0</v>
      </c>
      <c r="AO14" s="27" t="s">
        <v>53</v>
      </c>
      <c r="AP14" s="40">
        <f t="shared" si="12"/>
        <v>14.5</v>
      </c>
      <c r="AQ14" s="40">
        <f t="shared" si="13"/>
        <v>50.75</v>
      </c>
      <c r="AR14" s="40">
        <f t="shared" si="14"/>
        <v>22.05</v>
      </c>
      <c r="AS14" s="40">
        <f t="shared" si="15"/>
        <v>18.45</v>
      </c>
      <c r="AT14" s="40">
        <f t="shared" si="16"/>
        <v>72.8</v>
      </c>
      <c r="AU14" s="40">
        <f t="shared" si="17"/>
        <v>7.05</v>
      </c>
      <c r="AV14" s="40">
        <f t="shared" si="18"/>
        <v>24.55</v>
      </c>
      <c r="AW14" s="40">
        <f t="shared" si="19"/>
        <v>97.35</v>
      </c>
      <c r="AX14" s="18">
        <v>16.3</v>
      </c>
      <c r="AY14" s="18">
        <v>2.9</v>
      </c>
      <c r="AZ14" s="18">
        <v>2</v>
      </c>
      <c r="BA14" s="18">
        <v>0</v>
      </c>
      <c r="BB14" s="18">
        <v>18.399999999999999</v>
      </c>
      <c r="BC14" s="18">
        <v>8.1</v>
      </c>
      <c r="BD14" s="18">
        <v>0</v>
      </c>
      <c r="BE14" s="18">
        <v>0.3</v>
      </c>
      <c r="BF14" s="18">
        <v>18.399999999999999</v>
      </c>
      <c r="BG14" s="18">
        <v>6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0"/>
        <v>11</v>
      </c>
      <c r="BT14" s="11">
        <f t="shared" si="21"/>
        <v>43.999999999999993</v>
      </c>
      <c r="BU14" s="11">
        <f t="shared" si="22"/>
        <v>23.799999999999997</v>
      </c>
      <c r="BV14" s="11">
        <f t="shared" si="23"/>
        <v>17</v>
      </c>
      <c r="BW14" s="11">
        <f t="shared" si="24"/>
        <v>67.799999999999983</v>
      </c>
      <c r="BX14" s="11" t="str">
        <f t="shared" si="25"/>
        <v/>
      </c>
      <c r="BY14" s="11" t="str">
        <f t="shared" si="26"/>
        <v/>
      </c>
      <c r="BZ14" s="11">
        <f t="shared" si="27"/>
        <v>67.799999999999983</v>
      </c>
      <c r="CA14" s="19">
        <v>18.899999999999999</v>
      </c>
      <c r="CB14" s="19">
        <v>7.7</v>
      </c>
      <c r="CC14" s="19">
        <v>0</v>
      </c>
      <c r="CD14" s="19">
        <v>0.3</v>
      </c>
      <c r="CE14" s="19">
        <v>19</v>
      </c>
      <c r="CF14" s="19">
        <v>7.2</v>
      </c>
      <c r="CG14" s="19">
        <v>0</v>
      </c>
      <c r="CH14" s="19">
        <v>0</v>
      </c>
      <c r="CI14" s="19">
        <v>18.600000000000001</v>
      </c>
      <c r="CJ14" s="19">
        <v>7.2</v>
      </c>
      <c r="CK14" s="19">
        <v>0.6</v>
      </c>
      <c r="CL14" s="19">
        <v>0</v>
      </c>
      <c r="CM14" s="19">
        <v>18.5</v>
      </c>
      <c r="CN14" s="19">
        <v>6.9</v>
      </c>
      <c r="CO14" s="19">
        <v>0.2</v>
      </c>
      <c r="CP14" s="19">
        <v>0</v>
      </c>
      <c r="CQ14" s="19">
        <v>18.399999999999999</v>
      </c>
      <c r="CR14" s="19">
        <v>7.2</v>
      </c>
      <c r="CS14" s="19">
        <v>0.2</v>
      </c>
      <c r="CT14" s="19">
        <v>0</v>
      </c>
      <c r="CU14" s="27"/>
      <c r="CV14" s="40">
        <f t="shared" si="28"/>
        <v>14.9</v>
      </c>
      <c r="CW14" s="40">
        <f t="shared" si="29"/>
        <v>53.1</v>
      </c>
      <c r="CX14" s="40">
        <f t="shared" si="30"/>
        <v>25.2</v>
      </c>
      <c r="CY14" s="40">
        <f t="shared" si="31"/>
        <v>22.1</v>
      </c>
      <c r="CZ14" s="40">
        <f t="shared" si="32"/>
        <v>78.3</v>
      </c>
      <c r="DA14" s="40">
        <f t="shared" si="33"/>
        <v>14.100000000000001</v>
      </c>
      <c r="DB14" s="40">
        <f t="shared" si="34"/>
        <v>50.6</v>
      </c>
      <c r="DC14" s="40">
        <f t="shared" si="35"/>
        <v>128.9</v>
      </c>
      <c r="DD14" s="51" t="str">
        <f t="shared" si="36"/>
        <v/>
      </c>
      <c r="DE14" s="51" t="str">
        <f t="shared" si="37"/>
        <v/>
      </c>
      <c r="DF14" s="51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 t="shared" si="135"/>
        <v/>
      </c>
      <c r="QZ14" s="40" t="str">
        <f t="shared" si="136"/>
        <v/>
      </c>
      <c r="RA14" s="40" t="str">
        <f t="shared" si="137"/>
        <v/>
      </c>
      <c r="RB14" s="40" t="str">
        <f t="shared" si="138"/>
        <v/>
      </c>
      <c r="RC14" s="40" t="str">
        <f t="shared" si="139"/>
        <v/>
      </c>
      <c r="RD14" s="40" t="str">
        <f t="shared" si="140"/>
        <v/>
      </c>
      <c r="RE14" s="40" t="str">
        <f t="shared" si="141"/>
        <v/>
      </c>
      <c r="RF14" s="40" t="str">
        <f t="shared" si="142"/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 t="shared" si="143"/>
        <v/>
      </c>
      <c r="SB14" s="11" t="str">
        <f t="shared" si="144"/>
        <v/>
      </c>
      <c r="SC14" s="11" t="str">
        <f t="shared" si="145"/>
        <v/>
      </c>
      <c r="SD14" s="11" t="str">
        <f t="shared" si="146"/>
        <v/>
      </c>
      <c r="SE14" s="11" t="str">
        <f t="shared" si="147"/>
        <v/>
      </c>
      <c r="SF14" s="11" t="str">
        <f t="shared" si="148"/>
        <v/>
      </c>
      <c r="SG14" s="11" t="str">
        <f t="shared" si="149"/>
        <v/>
      </c>
      <c r="SH14" s="11" t="str">
        <f t="shared" si="150"/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 t="shared" si="151"/>
        <v/>
      </c>
      <c r="TD14" s="40" t="str">
        <f t="shared" si="152"/>
        <v/>
      </c>
      <c r="TE14" s="40" t="str">
        <f t="shared" si="153"/>
        <v/>
      </c>
      <c r="TF14" s="40" t="str">
        <f t="shared" si="154"/>
        <v/>
      </c>
      <c r="TG14" s="40" t="str">
        <f t="shared" si="155"/>
        <v/>
      </c>
      <c r="TH14" s="40" t="str">
        <f t="shared" si="156"/>
        <v/>
      </c>
      <c r="TI14" s="40" t="str">
        <f t="shared" si="157"/>
        <v/>
      </c>
      <c r="TJ14" s="40" t="str">
        <f t="shared" si="158"/>
        <v/>
      </c>
      <c r="TK14" s="26">
        <f t="shared" si="159"/>
        <v>17.600000000000001</v>
      </c>
      <c r="TL14" s="26">
        <f t="shared" si="160"/>
        <v>5.3</v>
      </c>
      <c r="TM14" s="26">
        <f t="shared" si="161"/>
        <v>1</v>
      </c>
      <c r="TN14" s="26">
        <f t="shared" si="162"/>
        <v>0.15</v>
      </c>
      <c r="TO14" s="26">
        <f t="shared" si="163"/>
        <v>18.7</v>
      </c>
      <c r="TP14" s="26">
        <f t="shared" si="164"/>
        <v>7.65</v>
      </c>
      <c r="TQ14" s="26">
        <f t="shared" si="165"/>
        <v>0</v>
      </c>
      <c r="TR14" s="26">
        <f t="shared" si="166"/>
        <v>0.15</v>
      </c>
      <c r="TS14" s="26">
        <f t="shared" si="167"/>
        <v>18.5</v>
      </c>
      <c r="TT14" s="26">
        <f t="shared" si="168"/>
        <v>6.6</v>
      </c>
      <c r="TU14" s="26">
        <f t="shared" si="169"/>
        <v>0.6</v>
      </c>
      <c r="TV14" s="26">
        <f t="shared" si="170"/>
        <v>0</v>
      </c>
      <c r="TW14" s="26">
        <f t="shared" si="171"/>
        <v>9.25</v>
      </c>
      <c r="TX14" s="26">
        <f t="shared" si="172"/>
        <v>3.45</v>
      </c>
      <c r="TY14" s="26">
        <f t="shared" si="173"/>
        <v>0.1</v>
      </c>
      <c r="TZ14" s="26">
        <f t="shared" si="174"/>
        <v>0</v>
      </c>
      <c r="UA14" s="26">
        <f t="shared" si="175"/>
        <v>9.1999999999999993</v>
      </c>
      <c r="UB14" s="26">
        <f t="shared" si="176"/>
        <v>3.6</v>
      </c>
      <c r="UC14" s="26">
        <f t="shared" si="177"/>
        <v>0.1</v>
      </c>
      <c r="UD14" s="26">
        <f t="shared" si="178"/>
        <v>0</v>
      </c>
      <c r="UE14" s="28" t="s">
        <v>53</v>
      </c>
      <c r="UF14" s="11">
        <f t="shared" si="179"/>
        <v>12.95</v>
      </c>
      <c r="UG14" s="11">
        <f t="shared" si="180"/>
        <v>48.55</v>
      </c>
      <c r="UH14" s="11">
        <f t="shared" si="181"/>
        <v>24.5</v>
      </c>
      <c r="UI14" s="11">
        <f t="shared" si="182"/>
        <v>19.549999999999997</v>
      </c>
      <c r="UJ14" s="11">
        <f t="shared" si="183"/>
        <v>73.05</v>
      </c>
      <c r="UK14" s="11">
        <f t="shared" si="184"/>
        <v>7.0500000000000007</v>
      </c>
      <c r="UL14" s="11">
        <f t="shared" si="185"/>
        <v>25.3</v>
      </c>
      <c r="UM14" s="11">
        <f t="shared" si="186"/>
        <v>98.35</v>
      </c>
    </row>
    <row r="15" spans="1:559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159</v>
      </c>
      <c r="C15" s="4" t="s">
        <v>7</v>
      </c>
      <c r="D15" s="4">
        <v>2006</v>
      </c>
      <c r="E15" s="9">
        <f t="shared" si="187"/>
        <v>179.20001292000518</v>
      </c>
      <c r="F15" s="3" t="str">
        <f t="shared" si="0"/>
        <v>P</v>
      </c>
      <c r="G15" s="3" t="str">
        <f t="shared" si="1"/>
        <v>P</v>
      </c>
      <c r="H15" s="36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52.099999999999994</v>
      </c>
      <c r="K15" s="8" t="str">
        <f t="shared" si="4"/>
        <v>2024 3rd Domestic Trial</v>
      </c>
      <c r="L15" s="8">
        <f>IF(COUNT(AQ15,BT15,CW15)&gt;1,LARGE((AQ15,BT15,CW15),2),0)</f>
        <v>51</v>
      </c>
      <c r="M15" s="8" t="str">
        <f t="shared" si="5"/>
        <v>2024 Elite Canada</v>
      </c>
      <c r="N15" s="8">
        <f>IF(COUNT(AR15,BU15,CX15)&gt;0,LARGE((AR15,BU15,CX15),1),0)</f>
        <v>26.1</v>
      </c>
      <c r="O15" s="8" t="str">
        <f t="shared" si="6"/>
        <v>2024 3rd Domestic Trial</v>
      </c>
      <c r="P15" s="8">
        <f t="shared" si="7"/>
        <v>46.699999999999996</v>
      </c>
      <c r="Q15" s="8" t="str">
        <f t="shared" si="8"/>
        <v>2024 3rd Domestic Trial</v>
      </c>
      <c r="R15" s="8">
        <f t="shared" si="9"/>
        <v>3.3000000000000043</v>
      </c>
      <c r="S15" s="11" t="str">
        <f t="shared" si="10"/>
        <v>(Final)</v>
      </c>
      <c r="T15" s="8" t="str">
        <f t="shared" si="11"/>
        <v>2024 Coimbra Gym Fest (July 7)</v>
      </c>
      <c r="U15" s="19">
        <v>18.7</v>
      </c>
      <c r="V15" s="19">
        <v>7.6</v>
      </c>
      <c r="W15" s="19">
        <v>0.6</v>
      </c>
      <c r="X15" s="19">
        <v>0</v>
      </c>
      <c r="Y15" s="19">
        <v>18.5</v>
      </c>
      <c r="Z15" s="19">
        <v>7.6</v>
      </c>
      <c r="AA15" s="19">
        <v>0.8</v>
      </c>
      <c r="AB15" s="19">
        <v>0</v>
      </c>
      <c r="AC15" s="19">
        <v>16.399999999999999</v>
      </c>
      <c r="AD15" s="19">
        <v>7.3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 t="shared" si="12"/>
        <v>15.2</v>
      </c>
      <c r="AQ15" s="40">
        <f t="shared" si="13"/>
        <v>51</v>
      </c>
      <c r="AR15" s="40">
        <f t="shared" si="14"/>
        <v>22.9</v>
      </c>
      <c r="AS15" s="40">
        <f t="shared" si="15"/>
        <v>22.5</v>
      </c>
      <c r="AT15" s="40">
        <f t="shared" si="16"/>
        <v>73.900000000000006</v>
      </c>
      <c r="AU15" s="40" t="str">
        <f t="shared" si="17"/>
        <v/>
      </c>
      <c r="AV15" s="40" t="str">
        <f t="shared" si="18"/>
        <v/>
      </c>
      <c r="AW15" s="40">
        <f t="shared" si="19"/>
        <v>73.900000000000006</v>
      </c>
      <c r="AX15" s="18">
        <v>18.8</v>
      </c>
      <c r="AY15" s="18">
        <v>7.6</v>
      </c>
      <c r="AZ15" s="18">
        <v>0.6</v>
      </c>
      <c r="BA15" s="18">
        <v>0</v>
      </c>
      <c r="BB15" s="18">
        <v>18.2</v>
      </c>
      <c r="BC15" s="18">
        <v>3.2</v>
      </c>
      <c r="BD15" s="18">
        <v>1.6</v>
      </c>
      <c r="BE15" s="18">
        <v>0</v>
      </c>
      <c r="BF15" s="18">
        <v>16.600000000000001</v>
      </c>
      <c r="BG15" s="18">
        <v>7.3</v>
      </c>
      <c r="BH15" s="18">
        <v>0.2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0"/>
        <v>10.8</v>
      </c>
      <c r="BT15" s="11">
        <f t="shared" si="21"/>
        <v>45.599999999999994</v>
      </c>
      <c r="BU15" s="11">
        <f t="shared" si="22"/>
        <v>23.700000000000003</v>
      </c>
      <c r="BV15" s="11">
        <f t="shared" si="23"/>
        <v>18.100000000000001</v>
      </c>
      <c r="BW15" s="11">
        <f t="shared" si="24"/>
        <v>69.3</v>
      </c>
      <c r="BX15" s="11" t="str">
        <f t="shared" si="25"/>
        <v/>
      </c>
      <c r="BY15" s="11" t="str">
        <f t="shared" si="26"/>
        <v/>
      </c>
      <c r="BZ15" s="11">
        <f t="shared" si="27"/>
        <v>69.3</v>
      </c>
      <c r="CA15" s="19">
        <v>19</v>
      </c>
      <c r="CB15" s="19">
        <v>8.4</v>
      </c>
      <c r="CC15" s="19">
        <v>0</v>
      </c>
      <c r="CD15" s="19">
        <v>0</v>
      </c>
      <c r="CE15" s="19">
        <v>18.7</v>
      </c>
      <c r="CF15" s="19">
        <v>6</v>
      </c>
      <c r="CG15" s="19">
        <v>0</v>
      </c>
      <c r="CH15" s="19">
        <v>0</v>
      </c>
      <c r="CI15" s="19">
        <v>18.8</v>
      </c>
      <c r="CJ15" s="19">
        <v>7.3</v>
      </c>
      <c r="CK15" s="19">
        <v>0</v>
      </c>
      <c r="CL15" s="19">
        <v>0</v>
      </c>
      <c r="CM15" s="19">
        <v>17.2</v>
      </c>
      <c r="CN15" s="19">
        <v>4</v>
      </c>
      <c r="CO15" s="19">
        <v>0</v>
      </c>
      <c r="CP15" s="19">
        <v>0</v>
      </c>
      <c r="CQ15" s="19">
        <v>18.2</v>
      </c>
      <c r="CR15" s="19">
        <v>7.3</v>
      </c>
      <c r="CS15" s="19">
        <v>0</v>
      </c>
      <c r="CT15" s="19">
        <v>0</v>
      </c>
      <c r="CU15" s="27"/>
      <c r="CV15" s="40">
        <f t="shared" si="28"/>
        <v>14.4</v>
      </c>
      <c r="CW15" s="40">
        <f t="shared" si="29"/>
        <v>52.099999999999994</v>
      </c>
      <c r="CX15" s="40">
        <f t="shared" si="30"/>
        <v>26.1</v>
      </c>
      <c r="CY15" s="40">
        <f t="shared" si="31"/>
        <v>21.7</v>
      </c>
      <c r="CZ15" s="40">
        <f t="shared" si="32"/>
        <v>78.199999999999989</v>
      </c>
      <c r="DA15" s="40">
        <f t="shared" si="33"/>
        <v>11.3</v>
      </c>
      <c r="DB15" s="40">
        <f t="shared" si="34"/>
        <v>46.699999999999996</v>
      </c>
      <c r="DC15" s="40">
        <f t="shared" si="35"/>
        <v>124.89999999999998</v>
      </c>
      <c r="DD15" s="51">
        <f t="shared" si="36"/>
        <v>1.6000000000000085</v>
      </c>
      <c r="DE15" s="51" t="str">
        <f t="shared" si="37"/>
        <v/>
      </c>
      <c r="DF15" s="51">
        <f t="shared" si="38"/>
        <v>3.3000000000000043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>
        <v>19</v>
      </c>
      <c r="FL15" s="17">
        <v>8.4</v>
      </c>
      <c r="FM15" s="17">
        <v>0</v>
      </c>
      <c r="FN15" s="17">
        <v>0</v>
      </c>
      <c r="FO15" s="17">
        <v>18.3</v>
      </c>
      <c r="FP15" s="17">
        <v>7.7</v>
      </c>
      <c r="FQ15" s="17">
        <v>0.8</v>
      </c>
      <c r="FR15" s="17">
        <v>0</v>
      </c>
      <c r="FS15" s="17"/>
      <c r="FT15" s="17"/>
      <c r="FU15" s="17"/>
      <c r="FV15" s="17"/>
      <c r="FW15" s="17">
        <v>18.899999999999999</v>
      </c>
      <c r="FX15" s="17">
        <v>8.4</v>
      </c>
      <c r="FY15" s="17">
        <v>0.6</v>
      </c>
      <c r="FZ15" s="17">
        <v>0</v>
      </c>
      <c r="GA15" s="17">
        <v>16.399999999999999</v>
      </c>
      <c r="GB15" s="17">
        <v>7.7</v>
      </c>
      <c r="GC15" s="17">
        <v>0.8</v>
      </c>
      <c r="GD15" s="17">
        <v>0</v>
      </c>
      <c r="GE15" s="40">
        <f t="shared" si="55"/>
        <v>16.100000000000001</v>
      </c>
      <c r="GF15" s="40">
        <f t="shared" si="56"/>
        <v>52.600000000000009</v>
      </c>
      <c r="GG15" s="40" t="str">
        <f t="shared" si="57"/>
        <v/>
      </c>
      <c r="GH15" s="40">
        <f t="shared" si="58"/>
        <v>16.100000000000001</v>
      </c>
      <c r="GI15" s="40">
        <f t="shared" si="59"/>
        <v>52.600000000000009</v>
      </c>
      <c r="GJ15" s="40">
        <f t="shared" si="60"/>
        <v>16.100000000000001</v>
      </c>
      <c r="GK15" s="40">
        <f t="shared" si="61"/>
        <v>50</v>
      </c>
      <c r="GL15" s="40">
        <f t="shared" si="62"/>
        <v>102.60000000000001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 t="shared" si="135"/>
        <v/>
      </c>
      <c r="QZ15" s="40" t="str">
        <f t="shared" si="136"/>
        <v/>
      </c>
      <c r="RA15" s="40" t="str">
        <f t="shared" si="137"/>
        <v/>
      </c>
      <c r="RB15" s="40" t="str">
        <f t="shared" si="138"/>
        <v/>
      </c>
      <c r="RC15" s="40" t="str">
        <f t="shared" si="139"/>
        <v/>
      </c>
      <c r="RD15" s="40" t="str">
        <f t="shared" si="140"/>
        <v/>
      </c>
      <c r="RE15" s="40" t="str">
        <f t="shared" si="141"/>
        <v/>
      </c>
      <c r="RF15" s="40" t="str">
        <f t="shared" si="142"/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 t="shared" si="143"/>
        <v/>
      </c>
      <c r="SB15" s="11" t="str">
        <f t="shared" si="144"/>
        <v/>
      </c>
      <c r="SC15" s="11" t="str">
        <f t="shared" si="145"/>
        <v/>
      </c>
      <c r="SD15" s="11" t="str">
        <f t="shared" si="146"/>
        <v/>
      </c>
      <c r="SE15" s="11" t="str">
        <f t="shared" si="147"/>
        <v/>
      </c>
      <c r="SF15" s="11" t="str">
        <f t="shared" si="148"/>
        <v/>
      </c>
      <c r="SG15" s="11" t="str">
        <f t="shared" si="149"/>
        <v/>
      </c>
      <c r="SH15" s="11" t="str">
        <f t="shared" si="150"/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 t="shared" si="151"/>
        <v/>
      </c>
      <c r="TD15" s="40" t="str">
        <f t="shared" si="152"/>
        <v/>
      </c>
      <c r="TE15" s="40" t="str">
        <f t="shared" si="153"/>
        <v/>
      </c>
      <c r="TF15" s="40" t="str">
        <f t="shared" si="154"/>
        <v/>
      </c>
      <c r="TG15" s="40" t="str">
        <f t="shared" si="155"/>
        <v/>
      </c>
      <c r="TH15" s="40" t="str">
        <f t="shared" si="156"/>
        <v/>
      </c>
      <c r="TI15" s="40" t="str">
        <f t="shared" si="157"/>
        <v/>
      </c>
      <c r="TJ15" s="40" t="str">
        <f t="shared" si="158"/>
        <v/>
      </c>
      <c r="TK15" s="26">
        <f t="shared" si="159"/>
        <v>18.899999999999999</v>
      </c>
      <c r="TL15" s="26">
        <f t="shared" si="160"/>
        <v>8</v>
      </c>
      <c r="TM15" s="26">
        <f t="shared" si="161"/>
        <v>0.3</v>
      </c>
      <c r="TN15" s="26">
        <f t="shared" si="162"/>
        <v>0</v>
      </c>
      <c r="TO15" s="26">
        <f t="shared" si="163"/>
        <v>18.45</v>
      </c>
      <c r="TP15" s="26">
        <f t="shared" si="164"/>
        <v>4.5999999999999996</v>
      </c>
      <c r="TQ15" s="26">
        <f t="shared" si="165"/>
        <v>0.8</v>
      </c>
      <c r="TR15" s="26">
        <f t="shared" si="166"/>
        <v>0</v>
      </c>
      <c r="TS15" s="26">
        <f t="shared" si="167"/>
        <v>17.700000000000003</v>
      </c>
      <c r="TT15" s="26">
        <f t="shared" si="168"/>
        <v>7.3</v>
      </c>
      <c r="TU15" s="26">
        <f t="shared" si="169"/>
        <v>0.1</v>
      </c>
      <c r="TV15" s="26">
        <f t="shared" si="170"/>
        <v>0</v>
      </c>
      <c r="TW15" s="26">
        <f t="shared" si="171"/>
        <v>8.6</v>
      </c>
      <c r="TX15" s="26">
        <f t="shared" si="172"/>
        <v>2</v>
      </c>
      <c r="TY15" s="26">
        <f t="shared" si="173"/>
        <v>0</v>
      </c>
      <c r="TZ15" s="26">
        <f t="shared" si="174"/>
        <v>0</v>
      </c>
      <c r="UA15" s="26">
        <f t="shared" si="175"/>
        <v>9.1</v>
      </c>
      <c r="UB15" s="26">
        <f t="shared" si="176"/>
        <v>3.65</v>
      </c>
      <c r="UC15" s="26">
        <f t="shared" si="177"/>
        <v>0</v>
      </c>
      <c r="UD15" s="26">
        <f t="shared" si="178"/>
        <v>0</v>
      </c>
      <c r="UE15" s="28" t="s">
        <v>53</v>
      </c>
      <c r="UF15" s="11">
        <f t="shared" si="179"/>
        <v>12.6</v>
      </c>
      <c r="UG15" s="11">
        <f t="shared" si="180"/>
        <v>48.85</v>
      </c>
      <c r="UH15" s="11">
        <f t="shared" si="181"/>
        <v>24.900000000000002</v>
      </c>
      <c r="UI15" s="11">
        <f t="shared" si="182"/>
        <v>19.899999999999999</v>
      </c>
      <c r="UJ15" s="11">
        <f t="shared" si="183"/>
        <v>73.75</v>
      </c>
      <c r="UK15" s="11">
        <f t="shared" si="184"/>
        <v>5.65</v>
      </c>
      <c r="UL15" s="11">
        <f t="shared" si="185"/>
        <v>23.349999999999998</v>
      </c>
      <c r="UM15" s="11">
        <f t="shared" si="186"/>
        <v>97.1</v>
      </c>
    </row>
    <row r="16" spans="1:559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177</v>
      </c>
      <c r="C16" s="4" t="s">
        <v>149</v>
      </c>
      <c r="D16" s="4">
        <v>2005</v>
      </c>
      <c r="E16" s="9">
        <f t="shared" si="187"/>
        <v>178.80001284000528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52.500000000000007</v>
      </c>
      <c r="K16" s="8" t="str">
        <f t="shared" si="4"/>
        <v>2024 Nationals</v>
      </c>
      <c r="L16" s="8">
        <f>IF(COUNT(AQ16,BT16,CW16)&gt;1,LARGE((AQ16,BT16,CW16),2),0)</f>
        <v>51.3</v>
      </c>
      <c r="M16" s="8" t="str">
        <f t="shared" si="5"/>
        <v>2024 3rd Domestic Trial</v>
      </c>
      <c r="N16" s="8">
        <f>IF(COUNT(AR16,BU16,CX16)&gt;0,LARGE((AR16,BU16,CX16),1),0)</f>
        <v>24.6</v>
      </c>
      <c r="O16" s="8" t="str">
        <f t="shared" si="6"/>
        <v>2024 Elite Canada</v>
      </c>
      <c r="P16" s="8">
        <f t="shared" si="7"/>
        <v>50.400000000000006</v>
      </c>
      <c r="Q16" s="8" t="str">
        <f t="shared" si="8"/>
        <v>2024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7.6</v>
      </c>
      <c r="W16" s="19">
        <v>0.6</v>
      </c>
      <c r="X16" s="19">
        <v>0</v>
      </c>
      <c r="Y16" s="19">
        <v>18.5</v>
      </c>
      <c r="Z16" s="19">
        <v>7.2</v>
      </c>
      <c r="AA16" s="19">
        <v>0</v>
      </c>
      <c r="AB16" s="19">
        <v>0</v>
      </c>
      <c r="AC16" s="19">
        <v>16.5</v>
      </c>
      <c r="AD16" s="19">
        <v>8</v>
      </c>
      <c r="AE16" s="19">
        <v>0.2</v>
      </c>
      <c r="AF16" s="19">
        <v>0.3</v>
      </c>
      <c r="AG16" s="19">
        <v>16.8</v>
      </c>
      <c r="AH16" s="19">
        <v>8</v>
      </c>
      <c r="AI16" s="19">
        <v>0.2</v>
      </c>
      <c r="AJ16" s="19">
        <v>0.3</v>
      </c>
      <c r="AK16" s="19">
        <v>18.100000000000001</v>
      </c>
      <c r="AL16" s="19">
        <v>7.6</v>
      </c>
      <c r="AM16" s="19">
        <v>0.2</v>
      </c>
      <c r="AN16" s="19">
        <v>0</v>
      </c>
      <c r="AO16" s="27"/>
      <c r="AP16" s="40">
        <f t="shared" si="12"/>
        <v>14.8</v>
      </c>
      <c r="AQ16" s="40">
        <f t="shared" si="13"/>
        <v>51</v>
      </c>
      <c r="AR16" s="40">
        <f t="shared" si="14"/>
        <v>24.6</v>
      </c>
      <c r="AS16" s="40">
        <f t="shared" si="15"/>
        <v>22.8</v>
      </c>
      <c r="AT16" s="40">
        <f t="shared" si="16"/>
        <v>75.599999999999994</v>
      </c>
      <c r="AU16" s="40">
        <f t="shared" si="17"/>
        <v>15.6</v>
      </c>
      <c r="AV16" s="40">
        <f t="shared" si="18"/>
        <v>50.400000000000006</v>
      </c>
      <c r="AW16" s="40">
        <f t="shared" si="19"/>
        <v>126</v>
      </c>
      <c r="AX16" s="18">
        <v>19.100000000000001</v>
      </c>
      <c r="AY16" s="18">
        <v>8</v>
      </c>
      <c r="AZ16" s="18">
        <v>0.2</v>
      </c>
      <c r="BA16" s="18">
        <v>0.3</v>
      </c>
      <c r="BB16" s="18">
        <v>18.5</v>
      </c>
      <c r="BC16" s="18">
        <v>7.6</v>
      </c>
      <c r="BD16" s="18">
        <v>0.8</v>
      </c>
      <c r="BE16" s="18">
        <v>0</v>
      </c>
      <c r="BF16" s="18">
        <v>17.7</v>
      </c>
      <c r="BG16" s="18">
        <v>2.4</v>
      </c>
      <c r="BH16" s="18">
        <v>0</v>
      </c>
      <c r="BI16" s="18">
        <v>0</v>
      </c>
      <c r="BJ16" s="18">
        <v>18.899999999999999</v>
      </c>
      <c r="BK16" s="18">
        <v>8</v>
      </c>
      <c r="BL16" s="18">
        <v>0.2</v>
      </c>
      <c r="BM16" s="18">
        <v>0.3</v>
      </c>
      <c r="BN16" s="18">
        <v>16.5</v>
      </c>
      <c r="BO16" s="18">
        <v>6.8</v>
      </c>
      <c r="BP16" s="18">
        <v>1</v>
      </c>
      <c r="BQ16" s="18">
        <v>0</v>
      </c>
      <c r="BR16" s="28"/>
      <c r="BS16" s="11">
        <f t="shared" si="20"/>
        <v>15.6</v>
      </c>
      <c r="BT16" s="11">
        <f t="shared" si="21"/>
        <v>52.500000000000007</v>
      </c>
      <c r="BU16" s="11">
        <f t="shared" si="22"/>
        <v>20.099999999999998</v>
      </c>
      <c r="BV16" s="11">
        <f t="shared" si="23"/>
        <v>18</v>
      </c>
      <c r="BW16" s="11">
        <f t="shared" si="24"/>
        <v>72.600000000000009</v>
      </c>
      <c r="BX16" s="11">
        <f t="shared" si="25"/>
        <v>14.8</v>
      </c>
      <c r="BY16" s="11">
        <f t="shared" si="26"/>
        <v>49.3</v>
      </c>
      <c r="BZ16" s="11">
        <f t="shared" si="27"/>
        <v>121.9</v>
      </c>
      <c r="CA16" s="19">
        <v>18.899999999999999</v>
      </c>
      <c r="CB16" s="19">
        <v>8</v>
      </c>
      <c r="CC16" s="19">
        <v>0.6</v>
      </c>
      <c r="CD16" s="19">
        <v>0.3</v>
      </c>
      <c r="CE16" s="19">
        <v>18.5</v>
      </c>
      <c r="CF16" s="19">
        <v>6.8</v>
      </c>
      <c r="CG16" s="19">
        <v>0.6</v>
      </c>
      <c r="CH16" s="19">
        <v>0</v>
      </c>
      <c r="CI16" s="19">
        <v>17.600000000000001</v>
      </c>
      <c r="CJ16" s="19">
        <v>2.4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14.8</v>
      </c>
      <c r="CW16" s="40">
        <f t="shared" si="29"/>
        <v>51.3</v>
      </c>
      <c r="CX16" s="40">
        <f t="shared" si="30"/>
        <v>20</v>
      </c>
      <c r="CY16" s="40">
        <f t="shared" si="31"/>
        <v>17.2</v>
      </c>
      <c r="CZ16" s="40">
        <f t="shared" si="32"/>
        <v>71.3</v>
      </c>
      <c r="DA16" s="40" t="str">
        <f t="shared" si="33"/>
        <v/>
      </c>
      <c r="DB16" s="40" t="str">
        <f t="shared" si="34"/>
        <v/>
      </c>
      <c r="DC16" s="40">
        <f t="shared" si="35"/>
        <v>71.3</v>
      </c>
      <c r="DD16" s="51" t="str">
        <f t="shared" si="36"/>
        <v/>
      </c>
      <c r="DE16" s="51" t="str">
        <f t="shared" si="37"/>
        <v/>
      </c>
      <c r="DF16" s="51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 t="shared" si="135"/>
        <v/>
      </c>
      <c r="QZ16" s="40" t="str">
        <f t="shared" si="136"/>
        <v/>
      </c>
      <c r="RA16" s="40" t="str">
        <f t="shared" si="137"/>
        <v/>
      </c>
      <c r="RB16" s="40" t="str">
        <f t="shared" si="138"/>
        <v/>
      </c>
      <c r="RC16" s="40" t="str">
        <f t="shared" si="139"/>
        <v/>
      </c>
      <c r="RD16" s="40" t="str">
        <f t="shared" si="140"/>
        <v/>
      </c>
      <c r="RE16" s="40" t="str">
        <f t="shared" si="141"/>
        <v/>
      </c>
      <c r="RF16" s="40" t="str">
        <f t="shared" si="142"/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 t="shared" si="143"/>
        <v/>
      </c>
      <c r="SB16" s="11" t="str">
        <f t="shared" si="144"/>
        <v/>
      </c>
      <c r="SC16" s="11" t="str">
        <f t="shared" si="145"/>
        <v/>
      </c>
      <c r="SD16" s="11" t="str">
        <f t="shared" si="146"/>
        <v/>
      </c>
      <c r="SE16" s="11" t="str">
        <f t="shared" si="147"/>
        <v/>
      </c>
      <c r="SF16" s="11" t="str">
        <f t="shared" si="148"/>
        <v/>
      </c>
      <c r="SG16" s="11" t="str">
        <f t="shared" si="149"/>
        <v/>
      </c>
      <c r="SH16" s="11" t="str">
        <f t="shared" si="150"/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 t="shared" si="151"/>
        <v/>
      </c>
      <c r="TD16" s="40" t="str">
        <f t="shared" si="152"/>
        <v/>
      </c>
      <c r="TE16" s="40" t="str">
        <f t="shared" si="153"/>
        <v/>
      </c>
      <c r="TF16" s="40" t="str">
        <f t="shared" si="154"/>
        <v/>
      </c>
      <c r="TG16" s="40" t="str">
        <f t="shared" si="155"/>
        <v/>
      </c>
      <c r="TH16" s="40" t="str">
        <f t="shared" si="156"/>
        <v/>
      </c>
      <c r="TI16" s="40" t="str">
        <f t="shared" si="157"/>
        <v/>
      </c>
      <c r="TJ16" s="40" t="str">
        <f t="shared" si="158"/>
        <v/>
      </c>
      <c r="TK16" s="26">
        <f t="shared" si="159"/>
        <v>19</v>
      </c>
      <c r="TL16" s="26">
        <f t="shared" si="160"/>
        <v>8</v>
      </c>
      <c r="TM16" s="26">
        <f t="shared" si="161"/>
        <v>0.4</v>
      </c>
      <c r="TN16" s="26">
        <f t="shared" si="162"/>
        <v>0.3</v>
      </c>
      <c r="TO16" s="26">
        <f t="shared" si="163"/>
        <v>18.5</v>
      </c>
      <c r="TP16" s="26">
        <f t="shared" si="164"/>
        <v>7.1999999999999993</v>
      </c>
      <c r="TQ16" s="26">
        <f t="shared" si="165"/>
        <v>0.7</v>
      </c>
      <c r="TR16" s="26">
        <f t="shared" si="166"/>
        <v>0</v>
      </c>
      <c r="TS16" s="26">
        <f t="shared" si="167"/>
        <v>17.649999999999999</v>
      </c>
      <c r="TT16" s="26">
        <f t="shared" si="168"/>
        <v>2.4</v>
      </c>
      <c r="TU16" s="26">
        <f t="shared" si="169"/>
        <v>0</v>
      </c>
      <c r="TV16" s="26">
        <f t="shared" si="170"/>
        <v>0</v>
      </c>
      <c r="TW16" s="26">
        <f t="shared" si="171"/>
        <v>9.4499999999999993</v>
      </c>
      <c r="TX16" s="26">
        <f t="shared" si="172"/>
        <v>4</v>
      </c>
      <c r="TY16" s="26">
        <f t="shared" si="173"/>
        <v>0.1</v>
      </c>
      <c r="TZ16" s="26">
        <f t="shared" si="174"/>
        <v>0.15</v>
      </c>
      <c r="UA16" s="26">
        <f t="shared" si="175"/>
        <v>8.25</v>
      </c>
      <c r="UB16" s="26">
        <f t="shared" si="176"/>
        <v>3.4</v>
      </c>
      <c r="UC16" s="26">
        <f t="shared" si="177"/>
        <v>0.5</v>
      </c>
      <c r="UD16" s="26">
        <f t="shared" si="178"/>
        <v>0</v>
      </c>
      <c r="UE16" s="28" t="s">
        <v>53</v>
      </c>
      <c r="UF16" s="11">
        <f t="shared" si="179"/>
        <v>15.2</v>
      </c>
      <c r="UG16" s="11">
        <f t="shared" si="180"/>
        <v>51.9</v>
      </c>
      <c r="UH16" s="11">
        <f t="shared" si="181"/>
        <v>20.049999999999997</v>
      </c>
      <c r="UI16" s="11">
        <f t="shared" si="182"/>
        <v>17.599999999999998</v>
      </c>
      <c r="UJ16" s="11">
        <f t="shared" si="183"/>
        <v>71.949999999999989</v>
      </c>
      <c r="UK16" s="11">
        <f t="shared" si="184"/>
        <v>7.4</v>
      </c>
      <c r="UL16" s="11">
        <f t="shared" si="185"/>
        <v>24.65</v>
      </c>
      <c r="UM16" s="11">
        <f t="shared" si="186"/>
        <v>96.6</v>
      </c>
    </row>
    <row r="17" spans="1:559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73</v>
      </c>
      <c r="C17" s="4" t="s">
        <v>72</v>
      </c>
      <c r="D17" s="4">
        <v>2001</v>
      </c>
      <c r="E17" s="9">
        <f t="shared" si="187"/>
        <v>175.80001253000503</v>
      </c>
      <c r="F17" s="3" t="str">
        <f t="shared" si="0"/>
        <v/>
      </c>
      <c r="G17" s="3" t="str">
        <f t="shared" si="1"/>
        <v/>
      </c>
      <c r="H17" s="36" t="str">
        <f t="shared" si="2"/>
        <v/>
      </c>
      <c r="I17" s="3" t="str">
        <f t="shared" si="3"/>
        <v/>
      </c>
      <c r="J17" s="8">
        <f>IF(COUNT(AQ17,BT17,CW17)&gt;0,LARGE((AQ17,BT17,CW17),1),0)</f>
        <v>50.2</v>
      </c>
      <c r="K17" s="8" t="str">
        <f t="shared" si="4"/>
        <v>2024 Nationals</v>
      </c>
      <c r="L17" s="8">
        <f>IF(COUNT(AQ17,BT17,CW17)&gt;1,LARGE((AQ17,BT17,CW17),2),0)</f>
        <v>49.199999999999989</v>
      </c>
      <c r="M17" s="8" t="str">
        <f t="shared" si="5"/>
        <v>2024 Elite Canada</v>
      </c>
      <c r="N17" s="8">
        <f>IF(COUNT(AR17,BU17,CX17)&gt;0,LARGE((AR17,BU17,CX17),1),0)</f>
        <v>25.900000000000002</v>
      </c>
      <c r="O17" s="8" t="str">
        <f t="shared" si="6"/>
        <v>2024 Nationals</v>
      </c>
      <c r="P17" s="8">
        <f t="shared" si="7"/>
        <v>50.5</v>
      </c>
      <c r="Q17" s="8" t="str">
        <f t="shared" si="8"/>
        <v>2024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18.5</v>
      </c>
      <c r="V17" s="19">
        <v>8.4</v>
      </c>
      <c r="W17" s="19">
        <v>0.2</v>
      </c>
      <c r="X17" s="19">
        <v>0</v>
      </c>
      <c r="Y17" s="19">
        <v>17.399999999999999</v>
      </c>
      <c r="Z17" s="19">
        <v>4.8</v>
      </c>
      <c r="AA17" s="19">
        <v>0</v>
      </c>
      <c r="AB17" s="19">
        <v>0.3</v>
      </c>
      <c r="AC17" s="19">
        <v>18.600000000000001</v>
      </c>
      <c r="AD17" s="19">
        <v>6.4</v>
      </c>
      <c r="AE17" s="19">
        <v>0.2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2"/>
        <v>13.2</v>
      </c>
      <c r="AQ17" s="40">
        <f t="shared" si="13"/>
        <v>49.199999999999989</v>
      </c>
      <c r="AR17" s="40">
        <f t="shared" si="14"/>
        <v>24.8</v>
      </c>
      <c r="AS17" s="40">
        <f t="shared" si="15"/>
        <v>19.600000000000001</v>
      </c>
      <c r="AT17" s="40">
        <f t="shared" si="16"/>
        <v>73.999999999999986</v>
      </c>
      <c r="AU17" s="40" t="str">
        <f t="shared" si="17"/>
        <v/>
      </c>
      <c r="AV17" s="40" t="str">
        <f t="shared" si="18"/>
        <v/>
      </c>
      <c r="AW17" s="40">
        <f t="shared" si="19"/>
        <v>73.999999999999986</v>
      </c>
      <c r="AX17" s="18">
        <v>18.8</v>
      </c>
      <c r="AY17" s="18">
        <v>6.8</v>
      </c>
      <c r="AZ17" s="18">
        <v>0.2</v>
      </c>
      <c r="BA17" s="18">
        <v>0</v>
      </c>
      <c r="BB17" s="18">
        <v>18.8</v>
      </c>
      <c r="BC17" s="18">
        <v>6.8</v>
      </c>
      <c r="BD17" s="18">
        <v>0.8</v>
      </c>
      <c r="BE17" s="18">
        <v>0</v>
      </c>
      <c r="BF17" s="18">
        <v>18.600000000000001</v>
      </c>
      <c r="BG17" s="18">
        <v>8</v>
      </c>
      <c r="BH17" s="18">
        <v>1</v>
      </c>
      <c r="BI17" s="18">
        <v>0.3</v>
      </c>
      <c r="BJ17" s="18">
        <v>18.899999999999999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7.2</v>
      </c>
      <c r="BP17" s="18">
        <v>0</v>
      </c>
      <c r="BQ17" s="18">
        <v>0</v>
      </c>
      <c r="BR17" s="28"/>
      <c r="BS17" s="11">
        <f t="shared" si="20"/>
        <v>13.6</v>
      </c>
      <c r="BT17" s="11">
        <f t="shared" si="21"/>
        <v>50.2</v>
      </c>
      <c r="BU17" s="11">
        <f t="shared" si="22"/>
        <v>25.900000000000002</v>
      </c>
      <c r="BV17" s="11">
        <f t="shared" si="23"/>
        <v>21.6</v>
      </c>
      <c r="BW17" s="11">
        <f t="shared" si="24"/>
        <v>76.100000000000009</v>
      </c>
      <c r="BX17" s="11">
        <f t="shared" si="25"/>
        <v>13.2</v>
      </c>
      <c r="BY17" s="11">
        <f t="shared" si="26"/>
        <v>50.5</v>
      </c>
      <c r="BZ17" s="11">
        <f t="shared" si="27"/>
        <v>126.60000000000001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28"/>
        <v/>
      </c>
      <c r="CW17" s="40" t="str">
        <f t="shared" si="29"/>
        <v/>
      </c>
      <c r="CX17" s="40" t="str">
        <f t="shared" si="30"/>
        <v/>
      </c>
      <c r="CY17" s="40" t="str">
        <f t="shared" si="31"/>
        <v/>
      </c>
      <c r="CZ17" s="40" t="str">
        <f t="shared" si="32"/>
        <v/>
      </c>
      <c r="DA17" s="40" t="str">
        <f t="shared" si="33"/>
        <v/>
      </c>
      <c r="DB17" s="40" t="str">
        <f t="shared" si="34"/>
        <v/>
      </c>
      <c r="DC17" s="40" t="str">
        <f t="shared" si="35"/>
        <v/>
      </c>
      <c r="DD17" s="51" t="str">
        <f t="shared" si="36"/>
        <v/>
      </c>
      <c r="DE17" s="51" t="str">
        <f t="shared" si="37"/>
        <v/>
      </c>
      <c r="DF17" s="51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 t="shared" si="135"/>
        <v/>
      </c>
      <c r="QZ17" s="40" t="str">
        <f t="shared" si="136"/>
        <v/>
      </c>
      <c r="RA17" s="40" t="str">
        <f t="shared" si="137"/>
        <v/>
      </c>
      <c r="RB17" s="40" t="str">
        <f t="shared" si="138"/>
        <v/>
      </c>
      <c r="RC17" s="40" t="str">
        <f t="shared" si="139"/>
        <v/>
      </c>
      <c r="RD17" s="40" t="str">
        <f t="shared" si="140"/>
        <v/>
      </c>
      <c r="RE17" s="40" t="str">
        <f t="shared" si="141"/>
        <v/>
      </c>
      <c r="RF17" s="40" t="str">
        <f t="shared" si="142"/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 t="shared" si="143"/>
        <v/>
      </c>
      <c r="SB17" s="11" t="str">
        <f t="shared" si="144"/>
        <v/>
      </c>
      <c r="SC17" s="11" t="str">
        <f t="shared" si="145"/>
        <v/>
      </c>
      <c r="SD17" s="11" t="str">
        <f t="shared" si="146"/>
        <v/>
      </c>
      <c r="SE17" s="11" t="str">
        <f t="shared" si="147"/>
        <v/>
      </c>
      <c r="SF17" s="11" t="str">
        <f t="shared" si="148"/>
        <v/>
      </c>
      <c r="SG17" s="11" t="str">
        <f t="shared" si="149"/>
        <v/>
      </c>
      <c r="SH17" s="11" t="str">
        <f t="shared" si="150"/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 t="shared" si="151"/>
        <v/>
      </c>
      <c r="TD17" s="40" t="str">
        <f t="shared" si="152"/>
        <v/>
      </c>
      <c r="TE17" s="40" t="str">
        <f t="shared" si="153"/>
        <v/>
      </c>
      <c r="TF17" s="40" t="str">
        <f t="shared" si="154"/>
        <v/>
      </c>
      <c r="TG17" s="40" t="str">
        <f t="shared" si="155"/>
        <v/>
      </c>
      <c r="TH17" s="40" t="str">
        <f t="shared" si="156"/>
        <v/>
      </c>
      <c r="TI17" s="40" t="str">
        <f t="shared" si="157"/>
        <v/>
      </c>
      <c r="TJ17" s="40" t="str">
        <f t="shared" si="158"/>
        <v/>
      </c>
      <c r="TK17" s="26">
        <f t="shared" si="159"/>
        <v>9.4</v>
      </c>
      <c r="TL17" s="26">
        <f t="shared" si="160"/>
        <v>3.4</v>
      </c>
      <c r="TM17" s="26">
        <f t="shared" si="161"/>
        <v>0.1</v>
      </c>
      <c r="TN17" s="26">
        <f t="shared" si="162"/>
        <v>0</v>
      </c>
      <c r="TO17" s="26">
        <f t="shared" si="163"/>
        <v>9.4</v>
      </c>
      <c r="TP17" s="26">
        <f t="shared" si="164"/>
        <v>3.4</v>
      </c>
      <c r="TQ17" s="26">
        <f t="shared" si="165"/>
        <v>0.4</v>
      </c>
      <c r="TR17" s="26">
        <f t="shared" si="166"/>
        <v>0</v>
      </c>
      <c r="TS17" s="26">
        <f t="shared" si="167"/>
        <v>9.3000000000000007</v>
      </c>
      <c r="TT17" s="26">
        <f t="shared" si="168"/>
        <v>4</v>
      </c>
      <c r="TU17" s="26">
        <f t="shared" si="169"/>
        <v>0.5</v>
      </c>
      <c r="TV17" s="26">
        <f t="shared" si="170"/>
        <v>0.15</v>
      </c>
      <c r="TW17" s="26">
        <f t="shared" si="171"/>
        <v>9.4499999999999993</v>
      </c>
      <c r="TX17" s="26">
        <f t="shared" si="172"/>
        <v>3</v>
      </c>
      <c r="TY17" s="26">
        <f t="shared" si="173"/>
        <v>0.1</v>
      </c>
      <c r="TZ17" s="26">
        <f t="shared" si="174"/>
        <v>0</v>
      </c>
      <c r="UA17" s="26">
        <f t="shared" si="175"/>
        <v>9.3000000000000007</v>
      </c>
      <c r="UB17" s="26">
        <f t="shared" si="176"/>
        <v>3.6</v>
      </c>
      <c r="UC17" s="26">
        <f t="shared" si="177"/>
        <v>0</v>
      </c>
      <c r="UD17" s="26">
        <f t="shared" si="178"/>
        <v>0</v>
      </c>
      <c r="UE17" s="28" t="s">
        <v>53</v>
      </c>
      <c r="UF17" s="11">
        <f t="shared" si="179"/>
        <v>6.8</v>
      </c>
      <c r="UG17" s="11">
        <f t="shared" si="180"/>
        <v>25.1</v>
      </c>
      <c r="UH17" s="11">
        <f t="shared" si="181"/>
        <v>12.950000000000001</v>
      </c>
      <c r="UI17" s="11">
        <f t="shared" si="182"/>
        <v>10.8</v>
      </c>
      <c r="UJ17" s="11">
        <f t="shared" si="183"/>
        <v>38.050000000000004</v>
      </c>
      <c r="UK17" s="11">
        <f t="shared" si="184"/>
        <v>6.6</v>
      </c>
      <c r="UL17" s="11">
        <f t="shared" si="185"/>
        <v>25.25</v>
      </c>
      <c r="UM17" s="11">
        <f t="shared" si="186"/>
        <v>63.300000000000004</v>
      </c>
    </row>
    <row r="18" spans="1:559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217</v>
      </c>
      <c r="C18" s="4" t="s">
        <v>6</v>
      </c>
      <c r="D18" s="4">
        <v>2007</v>
      </c>
      <c r="E18" s="9">
        <f t="shared" si="187"/>
        <v>173.90001241000505</v>
      </c>
      <c r="F18" s="3" t="str">
        <f t="shared" si="0"/>
        <v/>
      </c>
      <c r="G18" s="3" t="str">
        <f t="shared" si="1"/>
        <v/>
      </c>
      <c r="H18" s="36" t="str">
        <f t="shared" si="2"/>
        <v/>
      </c>
      <c r="I18" s="3" t="str">
        <f t="shared" si="3"/>
        <v/>
      </c>
      <c r="J18" s="8">
        <f>IF(COUNT(AQ18,BT18,CW18)&gt;0,LARGE((AQ18,BT18,CW18),1),0)</f>
        <v>50.4</v>
      </c>
      <c r="K18" s="8" t="str">
        <f t="shared" si="4"/>
        <v>2024 3rd Domestic Trial</v>
      </c>
      <c r="L18" s="8">
        <f>IF(COUNT(AQ18,BT18,CW18)&gt;1,LARGE((AQ18,BT18,CW18),2),0)</f>
        <v>49.29999999999999</v>
      </c>
      <c r="M18" s="8" t="str">
        <f t="shared" si="5"/>
        <v>2024 Nationals</v>
      </c>
      <c r="N18" s="8">
        <f>IF(COUNT(AR18,BU18,CX18)&gt;0,LARGE((AR18,BU18,CX18),1),0)</f>
        <v>24.4</v>
      </c>
      <c r="O18" s="8" t="str">
        <f t="shared" si="6"/>
        <v>2024 3rd Domestic Trial</v>
      </c>
      <c r="P18" s="8">
        <f t="shared" si="7"/>
        <v>49.800000000000004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18.600000000000001</v>
      </c>
      <c r="V18" s="19">
        <v>6</v>
      </c>
      <c r="W18" s="19">
        <v>0.6</v>
      </c>
      <c r="X18" s="19">
        <v>0</v>
      </c>
      <c r="Y18" s="19">
        <v>18.100000000000001</v>
      </c>
      <c r="Z18" s="19">
        <v>6</v>
      </c>
      <c r="AA18" s="19">
        <v>0.8</v>
      </c>
      <c r="AB18" s="19">
        <v>0</v>
      </c>
      <c r="AC18" s="19">
        <v>18.100000000000001</v>
      </c>
      <c r="AD18" s="19">
        <v>6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2"/>
        <v>12</v>
      </c>
      <c r="AQ18" s="40">
        <f t="shared" si="13"/>
        <v>47.300000000000004</v>
      </c>
      <c r="AR18" s="40">
        <f t="shared" si="14"/>
        <v>24.1</v>
      </c>
      <c r="AS18" s="40">
        <f t="shared" si="15"/>
        <v>18</v>
      </c>
      <c r="AT18" s="40">
        <f t="shared" si="16"/>
        <v>71.400000000000006</v>
      </c>
      <c r="AU18" s="40" t="str">
        <f t="shared" si="17"/>
        <v/>
      </c>
      <c r="AV18" s="40" t="str">
        <f t="shared" si="18"/>
        <v/>
      </c>
      <c r="AW18" s="40">
        <f t="shared" si="19"/>
        <v>71.400000000000006</v>
      </c>
      <c r="AX18" s="18">
        <v>18.2</v>
      </c>
      <c r="AY18" s="18">
        <v>6</v>
      </c>
      <c r="AZ18" s="18">
        <v>0.2</v>
      </c>
      <c r="BA18" s="18">
        <v>0</v>
      </c>
      <c r="BB18" s="18">
        <v>18.899999999999999</v>
      </c>
      <c r="BC18" s="18">
        <v>6.4</v>
      </c>
      <c r="BD18" s="18">
        <v>0</v>
      </c>
      <c r="BE18" s="18">
        <v>0</v>
      </c>
      <c r="BF18" s="18">
        <v>18.2</v>
      </c>
      <c r="BG18" s="18">
        <v>6</v>
      </c>
      <c r="BH18" s="18">
        <v>0</v>
      </c>
      <c r="BI18" s="18">
        <v>0</v>
      </c>
      <c r="BJ18" s="18">
        <v>17.899999999999999</v>
      </c>
      <c r="BK18" s="18">
        <v>6</v>
      </c>
      <c r="BL18" s="18">
        <v>0.8</v>
      </c>
      <c r="BM18" s="18">
        <v>0</v>
      </c>
      <c r="BN18" s="18">
        <v>18.8</v>
      </c>
      <c r="BO18" s="18">
        <v>6.4</v>
      </c>
      <c r="BP18" s="18">
        <v>0</v>
      </c>
      <c r="BQ18" s="18">
        <v>0</v>
      </c>
      <c r="BR18" s="28"/>
      <c r="BS18" s="11">
        <f t="shared" si="20"/>
        <v>12.4</v>
      </c>
      <c r="BT18" s="11">
        <f t="shared" si="21"/>
        <v>49.29999999999999</v>
      </c>
      <c r="BU18" s="11">
        <f t="shared" si="22"/>
        <v>24.2</v>
      </c>
      <c r="BV18" s="11">
        <f t="shared" si="23"/>
        <v>18.399999999999999</v>
      </c>
      <c r="BW18" s="11">
        <f t="shared" si="24"/>
        <v>73.499999999999986</v>
      </c>
      <c r="BX18" s="11">
        <f t="shared" si="25"/>
        <v>12.4</v>
      </c>
      <c r="BY18" s="11">
        <f t="shared" si="26"/>
        <v>48.300000000000004</v>
      </c>
      <c r="BZ18" s="11">
        <f t="shared" si="27"/>
        <v>121.79999999999998</v>
      </c>
      <c r="CA18" s="19">
        <v>18.7</v>
      </c>
      <c r="CB18" s="19">
        <v>6.8</v>
      </c>
      <c r="CC18" s="19">
        <v>0</v>
      </c>
      <c r="CD18" s="19">
        <v>0</v>
      </c>
      <c r="CE18" s="19">
        <v>18.5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</v>
      </c>
      <c r="CK18" s="19">
        <v>0</v>
      </c>
      <c r="CL18" s="19">
        <v>0</v>
      </c>
      <c r="CM18" s="19">
        <v>18.8</v>
      </c>
      <c r="CN18" s="19">
        <v>6.8</v>
      </c>
      <c r="CO18" s="19">
        <v>0.6</v>
      </c>
      <c r="CP18" s="19">
        <v>0</v>
      </c>
      <c r="CQ18" s="19">
        <v>18.600000000000001</v>
      </c>
      <c r="CR18" s="19">
        <v>6.4</v>
      </c>
      <c r="CS18" s="19">
        <v>0.2</v>
      </c>
      <c r="CT18" s="19">
        <v>0</v>
      </c>
      <c r="CU18" s="27"/>
      <c r="CV18" s="40">
        <f t="shared" si="28"/>
        <v>13.2</v>
      </c>
      <c r="CW18" s="40">
        <f t="shared" si="29"/>
        <v>50.4</v>
      </c>
      <c r="CX18" s="40">
        <f t="shared" si="30"/>
        <v>24.4</v>
      </c>
      <c r="CY18" s="40">
        <f t="shared" si="31"/>
        <v>19.2</v>
      </c>
      <c r="CZ18" s="40">
        <f t="shared" si="32"/>
        <v>74.8</v>
      </c>
      <c r="DA18" s="40">
        <f t="shared" si="33"/>
        <v>13.2</v>
      </c>
      <c r="DB18" s="40">
        <f t="shared" si="34"/>
        <v>49.800000000000004</v>
      </c>
      <c r="DC18" s="40">
        <f t="shared" si="35"/>
        <v>124.6</v>
      </c>
      <c r="DD18" s="51" t="str">
        <f t="shared" si="36"/>
        <v/>
      </c>
      <c r="DE18" s="51" t="str">
        <f t="shared" si="37"/>
        <v/>
      </c>
      <c r="DF18" s="51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 t="shared" si="135"/>
        <v/>
      </c>
      <c r="QZ18" s="40" t="str">
        <f t="shared" si="136"/>
        <v/>
      </c>
      <c r="RA18" s="40" t="str">
        <f t="shared" si="137"/>
        <v/>
      </c>
      <c r="RB18" s="40" t="str">
        <f t="shared" si="138"/>
        <v/>
      </c>
      <c r="RC18" s="40" t="str">
        <f t="shared" si="139"/>
        <v/>
      </c>
      <c r="RD18" s="40" t="str">
        <f t="shared" si="140"/>
        <v/>
      </c>
      <c r="RE18" s="40" t="str">
        <f t="shared" si="141"/>
        <v/>
      </c>
      <c r="RF18" s="40" t="str">
        <f t="shared" si="142"/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 t="shared" si="143"/>
        <v/>
      </c>
      <c r="SB18" s="11" t="str">
        <f t="shared" si="144"/>
        <v/>
      </c>
      <c r="SC18" s="11" t="str">
        <f t="shared" si="145"/>
        <v/>
      </c>
      <c r="SD18" s="11" t="str">
        <f t="shared" si="146"/>
        <v/>
      </c>
      <c r="SE18" s="11" t="str">
        <f t="shared" si="147"/>
        <v/>
      </c>
      <c r="SF18" s="11" t="str">
        <f t="shared" si="148"/>
        <v/>
      </c>
      <c r="SG18" s="11" t="str">
        <f t="shared" si="149"/>
        <v/>
      </c>
      <c r="SH18" s="11" t="str">
        <f t="shared" si="150"/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 t="shared" si="151"/>
        <v/>
      </c>
      <c r="TD18" s="40" t="str">
        <f t="shared" si="152"/>
        <v/>
      </c>
      <c r="TE18" s="40" t="str">
        <f t="shared" si="153"/>
        <v/>
      </c>
      <c r="TF18" s="40" t="str">
        <f t="shared" si="154"/>
        <v/>
      </c>
      <c r="TG18" s="40" t="str">
        <f t="shared" si="155"/>
        <v/>
      </c>
      <c r="TH18" s="40" t="str">
        <f t="shared" si="156"/>
        <v/>
      </c>
      <c r="TI18" s="40" t="str">
        <f t="shared" si="157"/>
        <v/>
      </c>
      <c r="TJ18" s="40" t="str">
        <f t="shared" si="158"/>
        <v/>
      </c>
      <c r="TK18" s="26">
        <f t="shared" si="159"/>
        <v>18.45</v>
      </c>
      <c r="TL18" s="26">
        <f t="shared" si="160"/>
        <v>6.4</v>
      </c>
      <c r="TM18" s="26">
        <f t="shared" si="161"/>
        <v>0.1</v>
      </c>
      <c r="TN18" s="26">
        <f t="shared" si="162"/>
        <v>0</v>
      </c>
      <c r="TO18" s="26">
        <f t="shared" si="163"/>
        <v>18.7</v>
      </c>
      <c r="TP18" s="26">
        <f t="shared" si="164"/>
        <v>6.4</v>
      </c>
      <c r="TQ18" s="26">
        <f t="shared" si="165"/>
        <v>0</v>
      </c>
      <c r="TR18" s="26">
        <f t="shared" si="166"/>
        <v>0</v>
      </c>
      <c r="TS18" s="26">
        <f t="shared" si="167"/>
        <v>18.299999999999997</v>
      </c>
      <c r="TT18" s="26">
        <f t="shared" si="168"/>
        <v>6</v>
      </c>
      <c r="TU18" s="26">
        <f t="shared" si="169"/>
        <v>0</v>
      </c>
      <c r="TV18" s="26">
        <f t="shared" si="170"/>
        <v>0</v>
      </c>
      <c r="TW18" s="26">
        <f t="shared" si="171"/>
        <v>18.350000000000001</v>
      </c>
      <c r="TX18" s="26">
        <f t="shared" si="172"/>
        <v>6.4</v>
      </c>
      <c r="TY18" s="26">
        <f t="shared" si="173"/>
        <v>0.7</v>
      </c>
      <c r="TZ18" s="26">
        <f t="shared" si="174"/>
        <v>0</v>
      </c>
      <c r="UA18" s="26">
        <f t="shared" si="175"/>
        <v>18.700000000000003</v>
      </c>
      <c r="UB18" s="26">
        <f t="shared" si="176"/>
        <v>6.4</v>
      </c>
      <c r="UC18" s="26">
        <f t="shared" si="177"/>
        <v>0.1</v>
      </c>
      <c r="UD18" s="26">
        <f t="shared" si="178"/>
        <v>0</v>
      </c>
      <c r="UE18" s="28" t="s">
        <v>53</v>
      </c>
      <c r="UF18" s="11">
        <f t="shared" si="179"/>
        <v>12.8</v>
      </c>
      <c r="UG18" s="11">
        <f t="shared" si="180"/>
        <v>49.849999999999994</v>
      </c>
      <c r="UH18" s="11">
        <f t="shared" si="181"/>
        <v>24.299999999999997</v>
      </c>
      <c r="UI18" s="11">
        <f t="shared" si="182"/>
        <v>18.8</v>
      </c>
      <c r="UJ18" s="11">
        <f t="shared" si="183"/>
        <v>74.149999999999991</v>
      </c>
      <c r="UK18" s="11">
        <f t="shared" si="184"/>
        <v>12.8</v>
      </c>
      <c r="UL18" s="11">
        <f t="shared" si="185"/>
        <v>49.050000000000004</v>
      </c>
      <c r="UM18" s="11">
        <f t="shared" si="186"/>
        <v>123.19999999999999</v>
      </c>
    </row>
    <row r="19" spans="1:559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150</v>
      </c>
      <c r="C19" s="4" t="s">
        <v>3</v>
      </c>
      <c r="D19" s="4">
        <v>2000</v>
      </c>
      <c r="E19" s="9">
        <f t="shared" si="187"/>
        <v>173.20001239000501</v>
      </c>
      <c r="F19" s="3" t="str">
        <f t="shared" si="0"/>
        <v/>
      </c>
      <c r="G19" s="3" t="str">
        <f t="shared" si="1"/>
        <v/>
      </c>
      <c r="H19" s="36" t="str">
        <f t="shared" si="2"/>
        <v/>
      </c>
      <c r="I19" s="3" t="str">
        <f t="shared" si="3"/>
        <v/>
      </c>
      <c r="J19" s="8">
        <f>IF(COUNT(AQ19,BT19,CW19)&gt;0,LARGE((AQ19,BT19,CW19),1),0)</f>
        <v>50.099999999999994</v>
      </c>
      <c r="K19" s="8" t="str">
        <f t="shared" si="4"/>
        <v>2024 3rd Domestic Trial</v>
      </c>
      <c r="L19" s="8">
        <f>IF(COUNT(AQ19,BT19,CW19)&gt;1,LARGE((AQ19,BT19,CW19),2),0)</f>
        <v>47.800000000000004</v>
      </c>
      <c r="M19" s="8" t="str">
        <f t="shared" si="5"/>
        <v>2024 Elite Canada</v>
      </c>
      <c r="N19" s="8">
        <f>IF(COUNT(AR19,BU19,CX19)&gt;0,LARGE((AR19,BU19,CX19),1),0)</f>
        <v>26</v>
      </c>
      <c r="O19" s="8" t="str">
        <f t="shared" si="6"/>
        <v>2024 Elite Canada</v>
      </c>
      <c r="P19" s="8">
        <f t="shared" si="7"/>
        <v>49.300000000000004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17.8</v>
      </c>
      <c r="V19" s="19">
        <v>6</v>
      </c>
      <c r="W19" s="19">
        <v>0.8</v>
      </c>
      <c r="X19" s="19">
        <v>0</v>
      </c>
      <c r="Y19" s="19">
        <v>18.8</v>
      </c>
      <c r="Z19" s="19">
        <v>6</v>
      </c>
      <c r="AA19" s="19">
        <v>0</v>
      </c>
      <c r="AB19" s="19">
        <v>0</v>
      </c>
      <c r="AC19" s="19">
        <v>18.8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12</v>
      </c>
      <c r="AQ19" s="40">
        <f t="shared" si="13"/>
        <v>47.800000000000004</v>
      </c>
      <c r="AR19" s="40">
        <f t="shared" si="14"/>
        <v>26</v>
      </c>
      <c r="AS19" s="40">
        <f t="shared" si="15"/>
        <v>19.2</v>
      </c>
      <c r="AT19" s="40">
        <f t="shared" si="16"/>
        <v>73.800000000000011</v>
      </c>
      <c r="AU19" s="40" t="str">
        <f t="shared" si="17"/>
        <v/>
      </c>
      <c r="AV19" s="40" t="str">
        <f t="shared" si="18"/>
        <v/>
      </c>
      <c r="AW19" s="40">
        <f t="shared" si="19"/>
        <v>73.800000000000011</v>
      </c>
      <c r="AX19" s="18">
        <v>18.600000000000001</v>
      </c>
      <c r="AY19" s="18">
        <v>6</v>
      </c>
      <c r="AZ19" s="18">
        <v>0</v>
      </c>
      <c r="BA19" s="18">
        <v>0</v>
      </c>
      <c r="BB19" s="18">
        <v>17</v>
      </c>
      <c r="BC19" s="18">
        <v>3.2</v>
      </c>
      <c r="BD19" s="18">
        <v>0</v>
      </c>
      <c r="BE19" s="18">
        <v>0</v>
      </c>
      <c r="BF19" s="18">
        <v>18.399999999999999</v>
      </c>
      <c r="BG19" s="18">
        <v>2.8</v>
      </c>
      <c r="BH19" s="18">
        <v>1.6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0"/>
        <v>9.1999999999999993</v>
      </c>
      <c r="BT19" s="11">
        <f t="shared" si="21"/>
        <v>44.800000000000004</v>
      </c>
      <c r="BU19" s="11">
        <f t="shared" si="22"/>
        <v>19.599999999999998</v>
      </c>
      <c r="BV19" s="11">
        <f t="shared" si="23"/>
        <v>12</v>
      </c>
      <c r="BW19" s="11">
        <f t="shared" si="24"/>
        <v>64.400000000000006</v>
      </c>
      <c r="BX19" s="11" t="str">
        <f t="shared" si="25"/>
        <v/>
      </c>
      <c r="BY19" s="11" t="str">
        <f t="shared" si="26"/>
        <v/>
      </c>
      <c r="BZ19" s="11">
        <f t="shared" si="27"/>
        <v>64.400000000000006</v>
      </c>
      <c r="CA19" s="19">
        <v>19.2</v>
      </c>
      <c r="CB19" s="19">
        <v>6</v>
      </c>
      <c r="CC19" s="19">
        <v>0</v>
      </c>
      <c r="CD19" s="19">
        <v>0</v>
      </c>
      <c r="CE19" s="19">
        <v>18.3</v>
      </c>
      <c r="CF19" s="19">
        <v>6.8</v>
      </c>
      <c r="CG19" s="19">
        <v>0.2</v>
      </c>
      <c r="CH19" s="19">
        <v>0</v>
      </c>
      <c r="CI19" s="19">
        <v>18.8</v>
      </c>
      <c r="CJ19" s="19">
        <v>5.6</v>
      </c>
      <c r="CK19" s="19">
        <v>0.6</v>
      </c>
      <c r="CL19" s="19">
        <v>0</v>
      </c>
      <c r="CM19" s="19">
        <v>19.100000000000001</v>
      </c>
      <c r="CN19" s="19">
        <v>6.8</v>
      </c>
      <c r="CO19" s="19">
        <v>0</v>
      </c>
      <c r="CP19" s="19">
        <v>0</v>
      </c>
      <c r="CQ19" s="19">
        <v>18.2</v>
      </c>
      <c r="CR19" s="19">
        <v>6</v>
      </c>
      <c r="CS19" s="19">
        <v>0.8</v>
      </c>
      <c r="CT19" s="19">
        <v>0</v>
      </c>
      <c r="CU19" s="27"/>
      <c r="CV19" s="40">
        <f t="shared" si="28"/>
        <v>12.8</v>
      </c>
      <c r="CW19" s="40">
        <f t="shared" si="29"/>
        <v>50.099999999999994</v>
      </c>
      <c r="CX19" s="40">
        <f t="shared" si="30"/>
        <v>23.799999999999997</v>
      </c>
      <c r="CY19" s="40">
        <f t="shared" si="31"/>
        <v>18.399999999999999</v>
      </c>
      <c r="CZ19" s="40">
        <f t="shared" si="32"/>
        <v>73.899999999999991</v>
      </c>
      <c r="DA19" s="40">
        <f t="shared" si="33"/>
        <v>12.8</v>
      </c>
      <c r="DB19" s="40">
        <f t="shared" si="34"/>
        <v>49.300000000000004</v>
      </c>
      <c r="DC19" s="40">
        <f t="shared" si="35"/>
        <v>123.19999999999999</v>
      </c>
      <c r="DD19" s="51" t="str">
        <f t="shared" si="36"/>
        <v/>
      </c>
      <c r="DE19" s="51" t="str">
        <f t="shared" si="37"/>
        <v/>
      </c>
      <c r="DF19" s="51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 t="shared" si="135"/>
        <v/>
      </c>
      <c r="QZ19" s="40" t="str">
        <f t="shared" si="136"/>
        <v/>
      </c>
      <c r="RA19" s="40" t="str">
        <f t="shared" si="137"/>
        <v/>
      </c>
      <c r="RB19" s="40" t="str">
        <f t="shared" si="138"/>
        <v/>
      </c>
      <c r="RC19" s="40" t="str">
        <f t="shared" si="139"/>
        <v/>
      </c>
      <c r="RD19" s="40" t="str">
        <f t="shared" si="140"/>
        <v/>
      </c>
      <c r="RE19" s="40" t="str">
        <f t="shared" si="141"/>
        <v/>
      </c>
      <c r="RF19" s="40" t="str">
        <f t="shared" si="142"/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 t="shared" si="143"/>
        <v/>
      </c>
      <c r="SB19" s="11" t="str">
        <f t="shared" si="144"/>
        <v/>
      </c>
      <c r="SC19" s="11" t="str">
        <f t="shared" si="145"/>
        <v/>
      </c>
      <c r="SD19" s="11" t="str">
        <f t="shared" si="146"/>
        <v/>
      </c>
      <c r="SE19" s="11" t="str">
        <f t="shared" si="147"/>
        <v/>
      </c>
      <c r="SF19" s="11" t="str">
        <f t="shared" si="148"/>
        <v/>
      </c>
      <c r="SG19" s="11" t="str">
        <f t="shared" si="149"/>
        <v/>
      </c>
      <c r="SH19" s="11" t="str">
        <f t="shared" si="150"/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 t="shared" si="151"/>
        <v/>
      </c>
      <c r="TD19" s="40" t="str">
        <f t="shared" si="152"/>
        <v/>
      </c>
      <c r="TE19" s="40" t="str">
        <f t="shared" si="153"/>
        <v/>
      </c>
      <c r="TF19" s="40" t="str">
        <f t="shared" si="154"/>
        <v/>
      </c>
      <c r="TG19" s="40" t="str">
        <f t="shared" si="155"/>
        <v/>
      </c>
      <c r="TH19" s="40" t="str">
        <f t="shared" si="156"/>
        <v/>
      </c>
      <c r="TI19" s="40" t="str">
        <f t="shared" si="157"/>
        <v/>
      </c>
      <c r="TJ19" s="40" t="str">
        <f t="shared" si="158"/>
        <v/>
      </c>
      <c r="TK19" s="26">
        <f t="shared" si="159"/>
        <v>18.899999999999999</v>
      </c>
      <c r="TL19" s="26">
        <f t="shared" si="160"/>
        <v>6</v>
      </c>
      <c r="TM19" s="26">
        <f t="shared" si="161"/>
        <v>0</v>
      </c>
      <c r="TN19" s="26">
        <f t="shared" si="162"/>
        <v>0</v>
      </c>
      <c r="TO19" s="26">
        <f t="shared" si="163"/>
        <v>17.649999999999999</v>
      </c>
      <c r="TP19" s="26">
        <f t="shared" si="164"/>
        <v>5</v>
      </c>
      <c r="TQ19" s="26">
        <f t="shared" si="165"/>
        <v>0.1</v>
      </c>
      <c r="TR19" s="26">
        <f t="shared" si="166"/>
        <v>0</v>
      </c>
      <c r="TS19" s="26">
        <f t="shared" si="167"/>
        <v>18.600000000000001</v>
      </c>
      <c r="TT19" s="26">
        <f t="shared" si="168"/>
        <v>4.1999999999999993</v>
      </c>
      <c r="TU19" s="26">
        <f t="shared" si="169"/>
        <v>1.1000000000000001</v>
      </c>
      <c r="TV19" s="26">
        <f t="shared" si="170"/>
        <v>0</v>
      </c>
      <c r="TW19" s="26">
        <f t="shared" si="171"/>
        <v>9.5500000000000007</v>
      </c>
      <c r="TX19" s="26">
        <f t="shared" si="172"/>
        <v>3.4</v>
      </c>
      <c r="TY19" s="26">
        <f t="shared" si="173"/>
        <v>0</v>
      </c>
      <c r="TZ19" s="26">
        <f t="shared" si="174"/>
        <v>0</v>
      </c>
      <c r="UA19" s="26">
        <f t="shared" si="175"/>
        <v>9.1</v>
      </c>
      <c r="UB19" s="26">
        <f t="shared" si="176"/>
        <v>3</v>
      </c>
      <c r="UC19" s="26">
        <f t="shared" si="177"/>
        <v>0.4</v>
      </c>
      <c r="UD19" s="26">
        <f t="shared" si="178"/>
        <v>0</v>
      </c>
      <c r="UE19" s="28" t="s">
        <v>53</v>
      </c>
      <c r="UF19" s="11">
        <f t="shared" si="179"/>
        <v>11</v>
      </c>
      <c r="UG19" s="11">
        <f t="shared" si="180"/>
        <v>47.449999999999996</v>
      </c>
      <c r="UH19" s="11">
        <f t="shared" si="181"/>
        <v>21.7</v>
      </c>
      <c r="UI19" s="11">
        <f t="shared" si="182"/>
        <v>15.2</v>
      </c>
      <c r="UJ19" s="11">
        <f t="shared" si="183"/>
        <v>69.149999999999991</v>
      </c>
      <c r="UK19" s="11">
        <f t="shared" si="184"/>
        <v>6.4</v>
      </c>
      <c r="UL19" s="11">
        <f t="shared" si="185"/>
        <v>24.650000000000002</v>
      </c>
      <c r="UM19" s="11">
        <f t="shared" si="186"/>
        <v>93.8</v>
      </c>
    </row>
    <row r="20" spans="1:559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216</v>
      </c>
      <c r="C20" s="4" t="s">
        <v>6</v>
      </c>
      <c r="D20" s="4">
        <v>2007</v>
      </c>
      <c r="E20" s="9">
        <f t="shared" si="187"/>
        <v>172.60001228000505</v>
      </c>
      <c r="F20" s="3" t="str">
        <f t="shared" si="0"/>
        <v/>
      </c>
      <c r="G20" s="3" t="str">
        <f t="shared" si="1"/>
        <v/>
      </c>
      <c r="H20" s="36" t="str">
        <f t="shared" si="2"/>
        <v/>
      </c>
      <c r="I20" s="3" t="str">
        <f t="shared" si="3"/>
        <v/>
      </c>
      <c r="J20" s="8">
        <f>IF(COUNT(AQ20,BT20,CW20)&gt;0,LARGE((AQ20,BT20,CW20),1),0)</f>
        <v>50.4</v>
      </c>
      <c r="K20" s="8" t="str">
        <f t="shared" si="4"/>
        <v>2024 3rd Domestic Trial</v>
      </c>
      <c r="L20" s="8">
        <f>IF(COUNT(AQ20,BT20,CW20)&gt;1,LARGE((AQ20,BT20,CW20),2),0)</f>
        <v>48.6</v>
      </c>
      <c r="M20" s="8" t="str">
        <f t="shared" si="5"/>
        <v>2024 Nationals</v>
      </c>
      <c r="N20" s="8">
        <f>IF(COUNT(AR20,BU20,CX20)&gt;0,LARGE((AR20,BU20,CX20),1),0)</f>
        <v>23.800000000000004</v>
      </c>
      <c r="O20" s="8" t="str">
        <f t="shared" si="6"/>
        <v>2024 3rd Domestic Trial</v>
      </c>
      <c r="P20" s="8">
        <f t="shared" si="7"/>
        <v>49.800000000000004</v>
      </c>
      <c r="Q20" s="8" t="str">
        <f t="shared" si="8"/>
        <v>2024 3rd Domestic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16.399999999999999</v>
      </c>
      <c r="V20" s="19">
        <v>6.8</v>
      </c>
      <c r="W20" s="19">
        <v>0.8</v>
      </c>
      <c r="X20" s="19">
        <v>0</v>
      </c>
      <c r="Y20" s="19">
        <v>18</v>
      </c>
      <c r="Z20" s="19">
        <v>3.4</v>
      </c>
      <c r="AA20" s="19">
        <v>1.8</v>
      </c>
      <c r="AB20" s="19">
        <v>0</v>
      </c>
      <c r="AC20" s="19">
        <v>18</v>
      </c>
      <c r="AD20" s="19">
        <v>4.4000000000000004</v>
      </c>
      <c r="AE20" s="19">
        <v>1.8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2"/>
        <v>10.199999999999999</v>
      </c>
      <c r="AQ20" s="40">
        <f t="shared" si="13"/>
        <v>42.000000000000007</v>
      </c>
      <c r="AR20" s="40">
        <f t="shared" si="14"/>
        <v>20.599999999999998</v>
      </c>
      <c r="AS20" s="40">
        <f t="shared" si="15"/>
        <v>14.6</v>
      </c>
      <c r="AT20" s="40">
        <f t="shared" si="16"/>
        <v>62.600000000000009</v>
      </c>
      <c r="AU20" s="40" t="str">
        <f t="shared" si="17"/>
        <v/>
      </c>
      <c r="AV20" s="40" t="str">
        <f t="shared" si="18"/>
        <v/>
      </c>
      <c r="AW20" s="40">
        <f t="shared" si="19"/>
        <v>62.600000000000009</v>
      </c>
      <c r="AX20" s="18">
        <v>18.399999999999999</v>
      </c>
      <c r="AY20" s="18">
        <v>6.8</v>
      </c>
      <c r="AZ20" s="18">
        <v>0</v>
      </c>
      <c r="BA20" s="18">
        <v>0</v>
      </c>
      <c r="BB20" s="18">
        <v>18.2</v>
      </c>
      <c r="BC20" s="18">
        <v>5.6</v>
      </c>
      <c r="BD20" s="18">
        <v>0.4</v>
      </c>
      <c r="BE20" s="18">
        <v>0</v>
      </c>
      <c r="BF20" s="18">
        <v>17.2</v>
      </c>
      <c r="BG20" s="18">
        <v>3.2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0"/>
        <v>12.399999999999999</v>
      </c>
      <c r="BT20" s="11">
        <f t="shared" si="21"/>
        <v>48.6</v>
      </c>
      <c r="BU20" s="11">
        <f t="shared" si="22"/>
        <v>20.399999999999999</v>
      </c>
      <c r="BV20" s="11">
        <f t="shared" si="23"/>
        <v>15.599999999999998</v>
      </c>
      <c r="BW20" s="11">
        <f t="shared" si="24"/>
        <v>69</v>
      </c>
      <c r="BX20" s="11" t="str">
        <f t="shared" si="25"/>
        <v/>
      </c>
      <c r="BY20" s="11" t="str">
        <f t="shared" si="26"/>
        <v/>
      </c>
      <c r="BZ20" s="11">
        <f t="shared" si="27"/>
        <v>69</v>
      </c>
      <c r="CA20" s="19">
        <v>18.8</v>
      </c>
      <c r="CB20" s="19">
        <v>6</v>
      </c>
      <c r="CC20" s="19">
        <v>0.2</v>
      </c>
      <c r="CD20" s="19">
        <v>0</v>
      </c>
      <c r="CE20" s="19">
        <v>18.8</v>
      </c>
      <c r="CF20" s="19">
        <v>7.2</v>
      </c>
      <c r="CG20" s="19">
        <v>0.2</v>
      </c>
      <c r="CH20" s="19">
        <v>0</v>
      </c>
      <c r="CI20" s="19">
        <v>18.600000000000001</v>
      </c>
      <c r="CJ20" s="19">
        <v>5.6</v>
      </c>
      <c r="CK20" s="19">
        <v>0.4</v>
      </c>
      <c r="CL20" s="19">
        <v>0</v>
      </c>
      <c r="CM20" s="19">
        <v>19</v>
      </c>
      <c r="CN20" s="19">
        <v>6</v>
      </c>
      <c r="CO20" s="19">
        <v>0</v>
      </c>
      <c r="CP20" s="19">
        <v>0</v>
      </c>
      <c r="CQ20" s="19">
        <v>18.399999999999999</v>
      </c>
      <c r="CR20" s="19">
        <v>7.2</v>
      </c>
      <c r="CS20" s="19">
        <v>0.8</v>
      </c>
      <c r="CT20" s="19">
        <v>0</v>
      </c>
      <c r="CU20" s="27"/>
      <c r="CV20" s="40">
        <f t="shared" si="28"/>
        <v>13.2</v>
      </c>
      <c r="CW20" s="40">
        <f t="shared" si="29"/>
        <v>50.4</v>
      </c>
      <c r="CX20" s="40">
        <f t="shared" si="30"/>
        <v>23.800000000000004</v>
      </c>
      <c r="CY20" s="40">
        <f t="shared" si="31"/>
        <v>18.799999999999997</v>
      </c>
      <c r="CZ20" s="40">
        <f t="shared" si="32"/>
        <v>74.2</v>
      </c>
      <c r="DA20" s="40">
        <f t="shared" si="33"/>
        <v>13.2</v>
      </c>
      <c r="DB20" s="40">
        <f t="shared" si="34"/>
        <v>49.800000000000004</v>
      </c>
      <c r="DC20" s="40">
        <f t="shared" si="35"/>
        <v>124</v>
      </c>
      <c r="DD20" s="51" t="str">
        <f t="shared" si="36"/>
        <v/>
      </c>
      <c r="DE20" s="51" t="str">
        <f t="shared" si="37"/>
        <v/>
      </c>
      <c r="DF20" s="51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 t="shared" si="135"/>
        <v/>
      </c>
      <c r="QZ20" s="40" t="str">
        <f t="shared" si="136"/>
        <v/>
      </c>
      <c r="RA20" s="40" t="str">
        <f t="shared" si="137"/>
        <v/>
      </c>
      <c r="RB20" s="40" t="str">
        <f t="shared" si="138"/>
        <v/>
      </c>
      <c r="RC20" s="40" t="str">
        <f t="shared" si="139"/>
        <v/>
      </c>
      <c r="RD20" s="40" t="str">
        <f t="shared" si="140"/>
        <v/>
      </c>
      <c r="RE20" s="40" t="str">
        <f t="shared" si="141"/>
        <v/>
      </c>
      <c r="RF20" s="40" t="str">
        <f t="shared" si="142"/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 t="shared" si="143"/>
        <v/>
      </c>
      <c r="SB20" s="11" t="str">
        <f t="shared" si="144"/>
        <v/>
      </c>
      <c r="SC20" s="11" t="str">
        <f t="shared" si="145"/>
        <v/>
      </c>
      <c r="SD20" s="11" t="str">
        <f t="shared" si="146"/>
        <v/>
      </c>
      <c r="SE20" s="11" t="str">
        <f t="shared" si="147"/>
        <v/>
      </c>
      <c r="SF20" s="11" t="str">
        <f t="shared" si="148"/>
        <v/>
      </c>
      <c r="SG20" s="11" t="str">
        <f t="shared" si="149"/>
        <v/>
      </c>
      <c r="SH20" s="11" t="str">
        <f t="shared" si="150"/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 t="shared" si="151"/>
        <v/>
      </c>
      <c r="TD20" s="40" t="str">
        <f t="shared" si="152"/>
        <v/>
      </c>
      <c r="TE20" s="40" t="str">
        <f t="shared" si="153"/>
        <v/>
      </c>
      <c r="TF20" s="40" t="str">
        <f t="shared" si="154"/>
        <v/>
      </c>
      <c r="TG20" s="40" t="str">
        <f t="shared" si="155"/>
        <v/>
      </c>
      <c r="TH20" s="40" t="str">
        <f t="shared" si="156"/>
        <v/>
      </c>
      <c r="TI20" s="40" t="str">
        <f t="shared" si="157"/>
        <v/>
      </c>
      <c r="TJ20" s="40" t="str">
        <f t="shared" si="158"/>
        <v/>
      </c>
      <c r="TK20" s="26">
        <f t="shared" si="159"/>
        <v>18.600000000000001</v>
      </c>
      <c r="TL20" s="26">
        <f t="shared" si="160"/>
        <v>6.4</v>
      </c>
      <c r="TM20" s="26">
        <f t="shared" si="161"/>
        <v>0.1</v>
      </c>
      <c r="TN20" s="26">
        <f t="shared" si="162"/>
        <v>0</v>
      </c>
      <c r="TO20" s="26">
        <f t="shared" si="163"/>
        <v>18.5</v>
      </c>
      <c r="TP20" s="26">
        <f t="shared" si="164"/>
        <v>6.4</v>
      </c>
      <c r="TQ20" s="26">
        <f t="shared" si="165"/>
        <v>0.30000000000000004</v>
      </c>
      <c r="TR20" s="26">
        <f t="shared" si="166"/>
        <v>0</v>
      </c>
      <c r="TS20" s="26">
        <f t="shared" si="167"/>
        <v>17.899999999999999</v>
      </c>
      <c r="TT20" s="26">
        <f t="shared" si="168"/>
        <v>4.4000000000000004</v>
      </c>
      <c r="TU20" s="26">
        <f t="shared" si="169"/>
        <v>0.2</v>
      </c>
      <c r="TV20" s="26">
        <f t="shared" si="170"/>
        <v>0</v>
      </c>
      <c r="TW20" s="26">
        <f t="shared" si="171"/>
        <v>9.5</v>
      </c>
      <c r="TX20" s="26">
        <f t="shared" si="172"/>
        <v>3</v>
      </c>
      <c r="TY20" s="26">
        <f t="shared" si="173"/>
        <v>0</v>
      </c>
      <c r="TZ20" s="26">
        <f t="shared" si="174"/>
        <v>0</v>
      </c>
      <c r="UA20" s="26">
        <f t="shared" si="175"/>
        <v>9.1999999999999993</v>
      </c>
      <c r="UB20" s="26">
        <f t="shared" si="176"/>
        <v>3.6</v>
      </c>
      <c r="UC20" s="26">
        <f t="shared" si="177"/>
        <v>0.4</v>
      </c>
      <c r="UD20" s="26">
        <f t="shared" si="178"/>
        <v>0</v>
      </c>
      <c r="UE20" s="28" t="s">
        <v>53</v>
      </c>
      <c r="UF20" s="11">
        <f t="shared" si="179"/>
        <v>12.8</v>
      </c>
      <c r="UG20" s="11">
        <f t="shared" si="180"/>
        <v>49.5</v>
      </c>
      <c r="UH20" s="11">
        <f t="shared" si="181"/>
        <v>22.099999999999998</v>
      </c>
      <c r="UI20" s="11">
        <f t="shared" si="182"/>
        <v>17.200000000000003</v>
      </c>
      <c r="UJ20" s="11">
        <f t="shared" si="183"/>
        <v>71.599999999999994</v>
      </c>
      <c r="UK20" s="11">
        <f t="shared" si="184"/>
        <v>6.6</v>
      </c>
      <c r="UL20" s="11">
        <f t="shared" si="185"/>
        <v>24.900000000000002</v>
      </c>
      <c r="UM20" s="11">
        <f t="shared" si="186"/>
        <v>96.5</v>
      </c>
    </row>
    <row r="21" spans="1:559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220</v>
      </c>
      <c r="C21" s="4" t="s">
        <v>6</v>
      </c>
      <c r="D21" s="4">
        <v>2004</v>
      </c>
      <c r="E21" s="9">
        <f t="shared" si="187"/>
        <v>172.10001215000497</v>
      </c>
      <c r="F21" s="3" t="str">
        <f t="shared" si="0"/>
        <v/>
      </c>
      <c r="G21" s="3" t="str">
        <f t="shared" si="1"/>
        <v/>
      </c>
      <c r="H21" s="36" t="str">
        <f t="shared" si="2"/>
        <v/>
      </c>
      <c r="I21" s="3" t="str">
        <f t="shared" si="3"/>
        <v/>
      </c>
      <c r="J21" s="8">
        <f>IF(COUNT(AQ21,BT21,CW21)&gt;0,LARGE((AQ21,BT21,CW21),1),0)</f>
        <v>49.6</v>
      </c>
      <c r="K21" s="8" t="str">
        <f t="shared" si="4"/>
        <v>2024 Elite Canada</v>
      </c>
      <c r="L21" s="8">
        <f>IF(COUNT(AQ21,BT21,CW21)&gt;1,LARGE((AQ21,BT21,CW21),2),0)</f>
        <v>46.3</v>
      </c>
      <c r="M21" s="8" t="str">
        <f t="shared" si="5"/>
        <v>2024 3rd Domestic Trial</v>
      </c>
      <c r="N21" s="8">
        <f>IF(COUNT(AR21,BU21,CX21)&gt;0,LARGE((AR21,BU21,CX21),1),0)</f>
        <v>25.599999999999998</v>
      </c>
      <c r="O21" s="8" t="str">
        <f t="shared" si="6"/>
        <v>2024 Elite Canada</v>
      </c>
      <c r="P21" s="8">
        <f t="shared" si="7"/>
        <v>50.6</v>
      </c>
      <c r="Q21" s="8" t="str">
        <f t="shared" si="8"/>
        <v>2024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18.100000000000001</v>
      </c>
      <c r="V21" s="19">
        <v>6.8</v>
      </c>
      <c r="W21" s="19">
        <v>0.6</v>
      </c>
      <c r="X21" s="19">
        <v>0</v>
      </c>
      <c r="Y21" s="19">
        <v>18.7</v>
      </c>
      <c r="Z21" s="19">
        <v>7.2</v>
      </c>
      <c r="AA21" s="19">
        <v>0.6</v>
      </c>
      <c r="AB21" s="19">
        <v>0</v>
      </c>
      <c r="AC21" s="19">
        <v>18.399999999999999</v>
      </c>
      <c r="AD21" s="19">
        <v>7.2</v>
      </c>
      <c r="AE21" s="19">
        <v>0</v>
      </c>
      <c r="AF21" s="19">
        <v>0</v>
      </c>
      <c r="AG21" s="19">
        <v>18.3</v>
      </c>
      <c r="AH21" s="19">
        <v>7.2</v>
      </c>
      <c r="AI21" s="19">
        <v>0.6</v>
      </c>
      <c r="AJ21" s="19">
        <v>0</v>
      </c>
      <c r="AK21" s="19">
        <v>18.100000000000001</v>
      </c>
      <c r="AL21" s="19">
        <v>7.6</v>
      </c>
      <c r="AM21" s="19">
        <v>0</v>
      </c>
      <c r="AN21" s="19">
        <v>0</v>
      </c>
      <c r="AO21" s="27"/>
      <c r="AP21" s="40">
        <f t="shared" si="12"/>
        <v>14</v>
      </c>
      <c r="AQ21" s="40">
        <f t="shared" si="13"/>
        <v>49.6</v>
      </c>
      <c r="AR21" s="40">
        <f t="shared" si="14"/>
        <v>25.599999999999998</v>
      </c>
      <c r="AS21" s="40">
        <f t="shared" si="15"/>
        <v>21.2</v>
      </c>
      <c r="AT21" s="40">
        <f t="shared" si="16"/>
        <v>75.2</v>
      </c>
      <c r="AU21" s="40">
        <f t="shared" si="17"/>
        <v>14.8</v>
      </c>
      <c r="AV21" s="40">
        <f t="shared" si="18"/>
        <v>50.6</v>
      </c>
      <c r="AW21" s="40">
        <f t="shared" si="19"/>
        <v>125.80000000000001</v>
      </c>
      <c r="AX21" s="18">
        <v>0</v>
      </c>
      <c r="AY21" s="18">
        <v>0</v>
      </c>
      <c r="AZ21" s="18">
        <v>0</v>
      </c>
      <c r="BA21" s="18">
        <v>0</v>
      </c>
      <c r="BB21" s="18">
        <v>18</v>
      </c>
      <c r="BC21" s="18">
        <v>6.8</v>
      </c>
      <c r="BD21" s="18">
        <v>0.8</v>
      </c>
      <c r="BE21" s="18">
        <v>0</v>
      </c>
      <c r="BF21" s="18">
        <v>17.399999999999999</v>
      </c>
      <c r="BG21" s="18">
        <v>3.6</v>
      </c>
      <c r="BH21" s="18">
        <v>0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0"/>
        <v>6.8</v>
      </c>
      <c r="BT21" s="11">
        <f t="shared" si="21"/>
        <v>24</v>
      </c>
      <c r="BU21" s="11">
        <f t="shared" si="22"/>
        <v>21</v>
      </c>
      <c r="BV21" s="11">
        <f t="shared" si="23"/>
        <v>10.4</v>
      </c>
      <c r="BW21" s="11">
        <f t="shared" si="24"/>
        <v>45</v>
      </c>
      <c r="BX21" s="11" t="str">
        <f t="shared" si="25"/>
        <v/>
      </c>
      <c r="BY21" s="11" t="str">
        <f t="shared" si="26"/>
        <v/>
      </c>
      <c r="BZ21" s="11">
        <f t="shared" si="27"/>
        <v>45</v>
      </c>
      <c r="CA21" s="19">
        <v>16.7</v>
      </c>
      <c r="CB21" s="19">
        <v>6</v>
      </c>
      <c r="CC21" s="19">
        <v>1</v>
      </c>
      <c r="CD21" s="19">
        <v>0</v>
      </c>
      <c r="CE21" s="19">
        <v>18.8</v>
      </c>
      <c r="CF21" s="19">
        <v>6.4</v>
      </c>
      <c r="CG21" s="19">
        <v>0.6</v>
      </c>
      <c r="CH21" s="19">
        <v>0</v>
      </c>
      <c r="CI21" s="19">
        <v>18.8</v>
      </c>
      <c r="CJ21" s="19">
        <v>5.6</v>
      </c>
      <c r="CK21" s="19">
        <v>0.4</v>
      </c>
      <c r="CL21" s="19">
        <v>0</v>
      </c>
      <c r="CM21" s="19" t="s">
        <v>255</v>
      </c>
      <c r="CN21" s="19" t="s">
        <v>255</v>
      </c>
      <c r="CO21" s="19" t="s">
        <v>255</v>
      </c>
      <c r="CP21" s="19" t="s">
        <v>255</v>
      </c>
      <c r="CQ21" s="19" t="s">
        <v>255</v>
      </c>
      <c r="CR21" s="19" t="s">
        <v>255</v>
      </c>
      <c r="CS21" s="19" t="s">
        <v>255</v>
      </c>
      <c r="CT21" s="19" t="s">
        <v>255</v>
      </c>
      <c r="CU21" s="27"/>
      <c r="CV21" s="40">
        <f t="shared" si="28"/>
        <v>12.4</v>
      </c>
      <c r="CW21" s="40">
        <f t="shared" si="29"/>
        <v>46.3</v>
      </c>
      <c r="CX21" s="40">
        <f t="shared" si="30"/>
        <v>24</v>
      </c>
      <c r="CY21" s="40">
        <f t="shared" si="31"/>
        <v>18</v>
      </c>
      <c r="CZ21" s="40">
        <f t="shared" si="32"/>
        <v>70.3</v>
      </c>
      <c r="DA21" s="40" t="str">
        <f t="shared" si="33"/>
        <v/>
      </c>
      <c r="DB21" s="40" t="str">
        <f t="shared" si="34"/>
        <v/>
      </c>
      <c r="DC21" s="40">
        <f t="shared" si="35"/>
        <v>70.3</v>
      </c>
      <c r="DD21" s="51" t="str">
        <f t="shared" si="36"/>
        <v/>
      </c>
      <c r="DE21" s="51" t="str">
        <f t="shared" si="37"/>
        <v/>
      </c>
      <c r="DF21" s="51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 t="shared" si="135"/>
        <v/>
      </c>
      <c r="QZ21" s="40" t="str">
        <f t="shared" si="136"/>
        <v/>
      </c>
      <c r="RA21" s="40" t="str">
        <f t="shared" si="137"/>
        <v/>
      </c>
      <c r="RB21" s="40" t="str">
        <f t="shared" si="138"/>
        <v/>
      </c>
      <c r="RC21" s="40" t="str">
        <f t="shared" si="139"/>
        <v/>
      </c>
      <c r="RD21" s="40" t="str">
        <f t="shared" si="140"/>
        <v/>
      </c>
      <c r="RE21" s="40" t="str">
        <f t="shared" si="141"/>
        <v/>
      </c>
      <c r="RF21" s="40" t="str">
        <f t="shared" si="142"/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 t="shared" si="143"/>
        <v/>
      </c>
      <c r="SB21" s="11" t="str">
        <f t="shared" si="144"/>
        <v/>
      </c>
      <c r="SC21" s="11" t="str">
        <f t="shared" si="145"/>
        <v/>
      </c>
      <c r="SD21" s="11" t="str">
        <f t="shared" si="146"/>
        <v/>
      </c>
      <c r="SE21" s="11" t="str">
        <f t="shared" si="147"/>
        <v/>
      </c>
      <c r="SF21" s="11" t="str">
        <f t="shared" si="148"/>
        <v/>
      </c>
      <c r="SG21" s="11" t="str">
        <f t="shared" si="149"/>
        <v/>
      </c>
      <c r="SH21" s="11" t="str">
        <f t="shared" si="150"/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 t="shared" si="151"/>
        <v/>
      </c>
      <c r="TD21" s="40" t="str">
        <f t="shared" si="152"/>
        <v/>
      </c>
      <c r="TE21" s="40" t="str">
        <f t="shared" si="153"/>
        <v/>
      </c>
      <c r="TF21" s="40" t="str">
        <f t="shared" si="154"/>
        <v/>
      </c>
      <c r="TG21" s="40" t="str">
        <f t="shared" si="155"/>
        <v/>
      </c>
      <c r="TH21" s="40" t="str">
        <f t="shared" si="156"/>
        <v/>
      </c>
      <c r="TI21" s="40" t="str">
        <f t="shared" si="157"/>
        <v/>
      </c>
      <c r="TJ21" s="40" t="str">
        <f t="shared" si="158"/>
        <v/>
      </c>
      <c r="TK21" s="26">
        <f t="shared" si="159"/>
        <v>8.35</v>
      </c>
      <c r="TL21" s="26">
        <f t="shared" si="160"/>
        <v>3</v>
      </c>
      <c r="TM21" s="26">
        <f t="shared" si="161"/>
        <v>0.5</v>
      </c>
      <c r="TN21" s="26">
        <f t="shared" si="162"/>
        <v>0</v>
      </c>
      <c r="TO21" s="26">
        <f t="shared" si="163"/>
        <v>18.399999999999999</v>
      </c>
      <c r="TP21" s="26">
        <f t="shared" si="164"/>
        <v>6.6</v>
      </c>
      <c r="TQ21" s="26">
        <f t="shared" si="165"/>
        <v>0.7</v>
      </c>
      <c r="TR21" s="26">
        <f t="shared" si="166"/>
        <v>0</v>
      </c>
      <c r="TS21" s="26">
        <f t="shared" si="167"/>
        <v>18.100000000000001</v>
      </c>
      <c r="TT21" s="26">
        <f t="shared" si="168"/>
        <v>4.5999999999999996</v>
      </c>
      <c r="TU21" s="26">
        <f t="shared" si="169"/>
        <v>0.2</v>
      </c>
      <c r="TV21" s="26">
        <f t="shared" si="170"/>
        <v>0</v>
      </c>
      <c r="TW21" s="26" t="e">
        <f t="shared" si="171"/>
        <v>#VALUE!</v>
      </c>
      <c r="TX21" s="26" t="e">
        <f t="shared" si="172"/>
        <v>#VALUE!</v>
      </c>
      <c r="TY21" s="26" t="e">
        <f t="shared" si="173"/>
        <v>#VALUE!</v>
      </c>
      <c r="TZ21" s="26" t="e">
        <f t="shared" si="174"/>
        <v>#VALUE!</v>
      </c>
      <c r="UA21" s="26" t="e">
        <f t="shared" si="175"/>
        <v>#VALUE!</v>
      </c>
      <c r="UB21" s="26" t="e">
        <f t="shared" si="176"/>
        <v>#VALUE!</v>
      </c>
      <c r="UC21" s="26" t="e">
        <f t="shared" si="177"/>
        <v>#VALUE!</v>
      </c>
      <c r="UD21" s="26" t="e">
        <f t="shared" si="178"/>
        <v>#VALUE!</v>
      </c>
      <c r="UE21" s="28" t="s">
        <v>53</v>
      </c>
      <c r="UF21" s="11">
        <f t="shared" si="179"/>
        <v>9.6</v>
      </c>
      <c r="UG21" s="11">
        <f t="shared" si="180"/>
        <v>35.15</v>
      </c>
      <c r="UH21" s="11">
        <f t="shared" si="181"/>
        <v>22.500000000000004</v>
      </c>
      <c r="UI21" s="11">
        <f t="shared" si="182"/>
        <v>14.2</v>
      </c>
      <c r="UJ21" s="11">
        <f t="shared" si="183"/>
        <v>57.650000000000006</v>
      </c>
      <c r="UK21" s="11" t="e">
        <f t="shared" si="184"/>
        <v>#VALUE!</v>
      </c>
      <c r="UL21" s="11" t="e">
        <f t="shared" si="185"/>
        <v>#VALUE!</v>
      </c>
      <c r="UM21" s="11" t="e">
        <f t="shared" si="186"/>
        <v>#VALUE!</v>
      </c>
    </row>
    <row r="22" spans="1:559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185</v>
      </c>
      <c r="C22" s="4" t="s">
        <v>5</v>
      </c>
      <c r="D22" s="4">
        <v>2007</v>
      </c>
      <c r="E22" s="9">
        <f t="shared" si="187"/>
        <v>170.10001205000486</v>
      </c>
      <c r="F22" s="3" t="str">
        <f t="shared" si="0"/>
        <v/>
      </c>
      <c r="G22" s="3" t="str">
        <f t="shared" si="1"/>
        <v/>
      </c>
      <c r="H22" s="36" t="str">
        <f t="shared" si="2"/>
        <v/>
      </c>
      <c r="I22" s="3" t="str">
        <f t="shared" si="3"/>
        <v/>
      </c>
      <c r="J22" s="8">
        <f>IF(COUNT(AQ22,BT22,CW22)&gt;0,LARGE((AQ22,BT22,CW22),1),0)</f>
        <v>48.999999999999993</v>
      </c>
      <c r="K22" s="8" t="str">
        <f t="shared" si="4"/>
        <v>2024 Nationals</v>
      </c>
      <c r="L22" s="8">
        <f>IF(COUNT(AQ22,BT22,CW22)&gt;1,LARGE((AQ22,BT22,CW22),2),0)</f>
        <v>46.8</v>
      </c>
      <c r="M22" s="8" t="str">
        <f t="shared" si="5"/>
        <v>2024 Elite Canada</v>
      </c>
      <c r="N22" s="8">
        <f>IF(COUNT(AR22,BU22,CX22)&gt;0,LARGE((AR22,BU22,CX22),1),0)</f>
        <v>24.699999999999996</v>
      </c>
      <c r="O22" s="8" t="str">
        <f t="shared" si="6"/>
        <v>2024 3rd Domestic Trial</v>
      </c>
      <c r="P22" s="8">
        <f t="shared" si="7"/>
        <v>49.6</v>
      </c>
      <c r="Q22" s="8" t="str">
        <f t="shared" si="8"/>
        <v>2024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18.8</v>
      </c>
      <c r="V22" s="19">
        <v>4.8</v>
      </c>
      <c r="W22" s="19">
        <v>1.6</v>
      </c>
      <c r="X22" s="19">
        <v>0</v>
      </c>
      <c r="Y22" s="19">
        <v>18.600000000000001</v>
      </c>
      <c r="Z22" s="19">
        <v>6.4</v>
      </c>
      <c r="AA22" s="19">
        <v>0.2</v>
      </c>
      <c r="AB22" s="19">
        <v>0</v>
      </c>
      <c r="AC22" s="19">
        <v>18.899999999999999</v>
      </c>
      <c r="AD22" s="19">
        <v>5.6</v>
      </c>
      <c r="AE22" s="19">
        <v>1.2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 t="shared" si="12"/>
        <v>11.2</v>
      </c>
      <c r="AQ22" s="40">
        <f t="shared" si="13"/>
        <v>46.8</v>
      </c>
      <c r="AR22" s="40">
        <f t="shared" si="14"/>
        <v>23.3</v>
      </c>
      <c r="AS22" s="40">
        <f t="shared" si="15"/>
        <v>16.799999999999997</v>
      </c>
      <c r="AT22" s="40">
        <f t="shared" si="16"/>
        <v>70.099999999999994</v>
      </c>
      <c r="AU22" s="40" t="str">
        <f t="shared" si="17"/>
        <v/>
      </c>
      <c r="AV22" s="40" t="str">
        <f t="shared" si="18"/>
        <v/>
      </c>
      <c r="AW22" s="40">
        <f t="shared" si="19"/>
        <v>70.099999999999994</v>
      </c>
      <c r="AX22" s="18">
        <v>18.600000000000001</v>
      </c>
      <c r="AY22" s="18">
        <v>6.4</v>
      </c>
      <c r="AZ22" s="18">
        <v>0.2</v>
      </c>
      <c r="BA22" s="18">
        <v>0</v>
      </c>
      <c r="BB22" s="18">
        <v>18.8</v>
      </c>
      <c r="BC22" s="18">
        <v>6</v>
      </c>
      <c r="BD22" s="18">
        <v>0.6</v>
      </c>
      <c r="BE22" s="18">
        <v>0</v>
      </c>
      <c r="BF22" s="18">
        <v>19.100000000000001</v>
      </c>
      <c r="BG22" s="18">
        <v>5.6</v>
      </c>
      <c r="BH22" s="18">
        <v>0.4</v>
      </c>
      <c r="BI22" s="18">
        <v>0</v>
      </c>
      <c r="BJ22" s="18">
        <v>18.8</v>
      </c>
      <c r="BK22" s="18">
        <v>6.4</v>
      </c>
      <c r="BL22" s="18">
        <v>0.6</v>
      </c>
      <c r="BM22" s="18">
        <v>0</v>
      </c>
      <c r="BN22" s="18">
        <v>19</v>
      </c>
      <c r="BO22" s="18">
        <v>6</v>
      </c>
      <c r="BP22" s="18">
        <v>0</v>
      </c>
      <c r="BQ22" s="18">
        <v>0</v>
      </c>
      <c r="BR22" s="28"/>
      <c r="BS22" s="11">
        <f t="shared" si="20"/>
        <v>12.4</v>
      </c>
      <c r="BT22" s="11">
        <f t="shared" si="21"/>
        <v>48.999999999999993</v>
      </c>
      <c r="BU22" s="11">
        <f t="shared" si="22"/>
        <v>24.300000000000004</v>
      </c>
      <c r="BV22" s="11">
        <f t="shared" si="23"/>
        <v>18</v>
      </c>
      <c r="BW22" s="11">
        <f t="shared" si="24"/>
        <v>73.3</v>
      </c>
      <c r="BX22" s="11">
        <f t="shared" si="25"/>
        <v>12.4</v>
      </c>
      <c r="BY22" s="11">
        <f t="shared" si="26"/>
        <v>49.6</v>
      </c>
      <c r="BZ22" s="11">
        <f t="shared" si="27"/>
        <v>122.9</v>
      </c>
      <c r="CA22" s="19">
        <v>19.2</v>
      </c>
      <c r="CB22" s="19">
        <v>6</v>
      </c>
      <c r="CC22" s="19">
        <v>0</v>
      </c>
      <c r="CD22" s="19">
        <v>0</v>
      </c>
      <c r="CE22" s="19">
        <v>17.399999999999999</v>
      </c>
      <c r="CF22" s="19">
        <v>3.2</v>
      </c>
      <c r="CG22" s="19">
        <v>0</v>
      </c>
      <c r="CH22" s="19">
        <v>0</v>
      </c>
      <c r="CI22" s="19">
        <v>18.899999999999999</v>
      </c>
      <c r="CJ22" s="19">
        <v>6.4</v>
      </c>
      <c r="CK22" s="19">
        <v>0.6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8"/>
        <v>9.1999999999999993</v>
      </c>
      <c r="CW22" s="40">
        <f t="shared" si="29"/>
        <v>45.8</v>
      </c>
      <c r="CX22" s="40">
        <f t="shared" si="30"/>
        <v>24.699999999999996</v>
      </c>
      <c r="CY22" s="40">
        <f t="shared" si="31"/>
        <v>15.6</v>
      </c>
      <c r="CZ22" s="40">
        <f t="shared" si="32"/>
        <v>70.5</v>
      </c>
      <c r="DA22" s="40" t="str">
        <f t="shared" si="33"/>
        <v/>
      </c>
      <c r="DB22" s="40" t="str">
        <f t="shared" si="34"/>
        <v/>
      </c>
      <c r="DC22" s="40">
        <f t="shared" si="35"/>
        <v>70.5</v>
      </c>
      <c r="DD22" s="51" t="str">
        <f t="shared" si="36"/>
        <v/>
      </c>
      <c r="DE22" s="51" t="str">
        <f t="shared" si="37"/>
        <v/>
      </c>
      <c r="DF22" s="51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 t="shared" si="135"/>
        <v/>
      </c>
      <c r="QZ22" s="40" t="str">
        <f t="shared" si="136"/>
        <v/>
      </c>
      <c r="RA22" s="40" t="str">
        <f t="shared" si="137"/>
        <v/>
      </c>
      <c r="RB22" s="40" t="str">
        <f t="shared" si="138"/>
        <v/>
      </c>
      <c r="RC22" s="40" t="str">
        <f t="shared" si="139"/>
        <v/>
      </c>
      <c r="RD22" s="40" t="str">
        <f t="shared" si="140"/>
        <v/>
      </c>
      <c r="RE22" s="40" t="str">
        <f t="shared" si="141"/>
        <v/>
      </c>
      <c r="RF22" s="40" t="str">
        <f t="shared" si="142"/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 t="shared" si="143"/>
        <v/>
      </c>
      <c r="SB22" s="11" t="str">
        <f t="shared" si="144"/>
        <v/>
      </c>
      <c r="SC22" s="11" t="str">
        <f t="shared" si="145"/>
        <v/>
      </c>
      <c r="SD22" s="11" t="str">
        <f t="shared" si="146"/>
        <v/>
      </c>
      <c r="SE22" s="11" t="str">
        <f t="shared" si="147"/>
        <v/>
      </c>
      <c r="SF22" s="11" t="str">
        <f t="shared" si="148"/>
        <v/>
      </c>
      <c r="SG22" s="11" t="str">
        <f t="shared" si="149"/>
        <v/>
      </c>
      <c r="SH22" s="11" t="str">
        <f t="shared" si="150"/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 t="shared" si="151"/>
        <v/>
      </c>
      <c r="TD22" s="40" t="str">
        <f t="shared" si="152"/>
        <v/>
      </c>
      <c r="TE22" s="40" t="str">
        <f t="shared" si="153"/>
        <v/>
      </c>
      <c r="TF22" s="40" t="str">
        <f t="shared" si="154"/>
        <v/>
      </c>
      <c r="TG22" s="40" t="str">
        <f t="shared" si="155"/>
        <v/>
      </c>
      <c r="TH22" s="40" t="str">
        <f t="shared" si="156"/>
        <v/>
      </c>
      <c r="TI22" s="40" t="str">
        <f t="shared" si="157"/>
        <v/>
      </c>
      <c r="TJ22" s="40" t="str">
        <f t="shared" si="158"/>
        <v/>
      </c>
      <c r="TK22" s="26">
        <f t="shared" si="159"/>
        <v>18.899999999999999</v>
      </c>
      <c r="TL22" s="26">
        <f t="shared" si="160"/>
        <v>6.2</v>
      </c>
      <c r="TM22" s="26">
        <f t="shared" si="161"/>
        <v>0.1</v>
      </c>
      <c r="TN22" s="26">
        <f t="shared" si="162"/>
        <v>0</v>
      </c>
      <c r="TO22" s="26">
        <f t="shared" si="163"/>
        <v>18.100000000000001</v>
      </c>
      <c r="TP22" s="26">
        <f t="shared" si="164"/>
        <v>4.5999999999999996</v>
      </c>
      <c r="TQ22" s="26">
        <f t="shared" si="165"/>
        <v>0.3</v>
      </c>
      <c r="TR22" s="26">
        <f t="shared" si="166"/>
        <v>0</v>
      </c>
      <c r="TS22" s="26">
        <f t="shared" si="167"/>
        <v>19</v>
      </c>
      <c r="TT22" s="26">
        <f t="shared" si="168"/>
        <v>6</v>
      </c>
      <c r="TU22" s="26">
        <f t="shared" si="169"/>
        <v>0.5</v>
      </c>
      <c r="TV22" s="26">
        <f t="shared" si="170"/>
        <v>0</v>
      </c>
      <c r="TW22" s="26">
        <f t="shared" si="171"/>
        <v>9.4</v>
      </c>
      <c r="TX22" s="26">
        <f t="shared" si="172"/>
        <v>3.2</v>
      </c>
      <c r="TY22" s="26">
        <f t="shared" si="173"/>
        <v>0.3</v>
      </c>
      <c r="TZ22" s="26">
        <f t="shared" si="174"/>
        <v>0</v>
      </c>
      <c r="UA22" s="26">
        <f t="shared" si="175"/>
        <v>9.5</v>
      </c>
      <c r="UB22" s="26">
        <f t="shared" si="176"/>
        <v>3</v>
      </c>
      <c r="UC22" s="26">
        <f t="shared" si="177"/>
        <v>0</v>
      </c>
      <c r="UD22" s="26">
        <f t="shared" si="178"/>
        <v>0</v>
      </c>
      <c r="UE22" s="28" t="s">
        <v>53</v>
      </c>
      <c r="UF22" s="11">
        <f t="shared" si="179"/>
        <v>10.8</v>
      </c>
      <c r="UG22" s="11">
        <f t="shared" si="180"/>
        <v>47.400000000000006</v>
      </c>
      <c r="UH22" s="11">
        <f t="shared" si="181"/>
        <v>24.5</v>
      </c>
      <c r="UI22" s="11">
        <f t="shared" si="182"/>
        <v>16.8</v>
      </c>
      <c r="UJ22" s="11">
        <f t="shared" si="183"/>
        <v>71.900000000000006</v>
      </c>
      <c r="UK22" s="11">
        <f t="shared" si="184"/>
        <v>6.2</v>
      </c>
      <c r="UL22" s="11">
        <f t="shared" si="185"/>
        <v>24.8</v>
      </c>
      <c r="UM22" s="11">
        <f t="shared" si="186"/>
        <v>96.7</v>
      </c>
    </row>
    <row r="23" spans="1:559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151</v>
      </c>
      <c r="C23" s="4" t="s">
        <v>3</v>
      </c>
      <c r="D23" s="4">
        <v>2002</v>
      </c>
      <c r="E23" s="9">
        <f t="shared" si="187"/>
        <v>142.400012130005</v>
      </c>
      <c r="F23" s="3" t="str">
        <f t="shared" si="0"/>
        <v/>
      </c>
      <c r="G23" s="3" t="str">
        <f t="shared" si="1"/>
        <v/>
      </c>
      <c r="H23" s="36" t="str">
        <f t="shared" si="2"/>
        <v/>
      </c>
      <c r="I23" s="3" t="str">
        <f t="shared" si="3"/>
        <v/>
      </c>
      <c r="J23" s="8">
        <f>IF(COUNT(AQ23,BT23,CW23)&gt;0,LARGE((AQ23,BT23,CW23),1),0)</f>
        <v>50.4</v>
      </c>
      <c r="K23" s="8" t="str">
        <f t="shared" si="4"/>
        <v>2024 Elite Canada</v>
      </c>
      <c r="L23" s="8">
        <f>IF(COUNT(AQ23,BT23,CW23)&gt;1,LARGE((AQ23,BT23,CW23),2),0)</f>
        <v>44.499999999999993</v>
      </c>
      <c r="M23" s="8" t="str">
        <f t="shared" si="5"/>
        <v>2024 Nationals</v>
      </c>
      <c r="N23" s="8">
        <f>IF(COUNT(AR23,BU23,CX23)&gt;0,LARGE((AR23,BU23,CX23),1),0)</f>
        <v>26.4</v>
      </c>
      <c r="O23" s="8" t="str">
        <f t="shared" si="6"/>
        <v>2024 Nationals</v>
      </c>
      <c r="P23" s="8">
        <f t="shared" si="7"/>
        <v>21.1</v>
      </c>
      <c r="Q23" s="8" t="str">
        <f t="shared" si="8"/>
        <v>2024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18.399999999999999</v>
      </c>
      <c r="V23" s="19">
        <v>6.8</v>
      </c>
      <c r="W23" s="19">
        <v>0.8</v>
      </c>
      <c r="X23" s="19">
        <v>0</v>
      </c>
      <c r="Y23" s="19">
        <v>18.600000000000001</v>
      </c>
      <c r="Z23" s="19">
        <v>7.6</v>
      </c>
      <c r="AA23" s="19">
        <v>0.2</v>
      </c>
      <c r="AB23" s="19">
        <v>0</v>
      </c>
      <c r="AC23" s="19">
        <v>18.100000000000001</v>
      </c>
      <c r="AD23" s="19">
        <v>6</v>
      </c>
      <c r="AE23" s="19">
        <v>0</v>
      </c>
      <c r="AF23" s="19">
        <v>0.3</v>
      </c>
      <c r="AG23" s="19">
        <v>18.100000000000001</v>
      </c>
      <c r="AH23" s="19">
        <v>4.5999999999999996</v>
      </c>
      <c r="AI23" s="19">
        <v>1.6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27"/>
      <c r="AP23" s="40">
        <f t="shared" si="12"/>
        <v>14.399999999999999</v>
      </c>
      <c r="AQ23" s="40">
        <f t="shared" si="13"/>
        <v>50.4</v>
      </c>
      <c r="AR23" s="40">
        <f t="shared" si="14"/>
        <v>24.400000000000002</v>
      </c>
      <c r="AS23" s="40">
        <f t="shared" si="15"/>
        <v>20.399999999999999</v>
      </c>
      <c r="AT23" s="40">
        <f t="shared" si="16"/>
        <v>74.8</v>
      </c>
      <c r="AU23" s="40">
        <f t="shared" si="17"/>
        <v>4.5999999999999996</v>
      </c>
      <c r="AV23" s="40">
        <f t="shared" si="18"/>
        <v>21.1</v>
      </c>
      <c r="AW23" s="40">
        <f t="shared" si="19"/>
        <v>95.9</v>
      </c>
      <c r="AX23" s="18">
        <v>17.5</v>
      </c>
      <c r="AY23" s="18">
        <v>3.2</v>
      </c>
      <c r="AZ23" s="18">
        <v>0</v>
      </c>
      <c r="BA23" s="18">
        <v>0</v>
      </c>
      <c r="BB23" s="18">
        <v>18.399999999999999</v>
      </c>
      <c r="BC23" s="18">
        <v>6.4</v>
      </c>
      <c r="BD23" s="18">
        <v>1</v>
      </c>
      <c r="BE23" s="18">
        <v>0</v>
      </c>
      <c r="BF23" s="18">
        <v>18.600000000000001</v>
      </c>
      <c r="BG23" s="18">
        <v>8.4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 t="shared" si="20"/>
        <v>9.6000000000000014</v>
      </c>
      <c r="BT23" s="11">
        <f t="shared" si="21"/>
        <v>44.499999999999993</v>
      </c>
      <c r="BU23" s="11">
        <f t="shared" si="22"/>
        <v>26.4</v>
      </c>
      <c r="BV23" s="11">
        <f t="shared" si="23"/>
        <v>18</v>
      </c>
      <c r="BW23" s="11">
        <f t="shared" si="24"/>
        <v>70.899999999999991</v>
      </c>
      <c r="BX23" s="11" t="str">
        <f t="shared" si="25"/>
        <v/>
      </c>
      <c r="BY23" s="11" t="str">
        <f t="shared" si="26"/>
        <v/>
      </c>
      <c r="BZ23" s="11">
        <f t="shared" si="27"/>
        <v>70.899999999999991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8"/>
        <v/>
      </c>
      <c r="CW23" s="40" t="str">
        <f t="shared" si="29"/>
        <v/>
      </c>
      <c r="CX23" s="40" t="str">
        <f t="shared" si="30"/>
        <v/>
      </c>
      <c r="CY23" s="40" t="str">
        <f t="shared" si="31"/>
        <v/>
      </c>
      <c r="CZ23" s="40" t="str">
        <f t="shared" si="32"/>
        <v/>
      </c>
      <c r="DA23" s="40" t="str">
        <f t="shared" si="33"/>
        <v/>
      </c>
      <c r="DB23" s="40" t="str">
        <f t="shared" si="34"/>
        <v/>
      </c>
      <c r="DC23" s="40" t="str">
        <f t="shared" si="35"/>
        <v/>
      </c>
      <c r="DD23" s="51" t="str">
        <f t="shared" si="36"/>
        <v/>
      </c>
      <c r="DE23" s="51" t="str">
        <f t="shared" si="37"/>
        <v/>
      </c>
      <c r="DF23" s="51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 t="shared" si="135"/>
        <v/>
      </c>
      <c r="QZ23" s="40" t="str">
        <f t="shared" si="136"/>
        <v/>
      </c>
      <c r="RA23" s="40" t="str">
        <f t="shared" si="137"/>
        <v/>
      </c>
      <c r="RB23" s="40" t="str">
        <f t="shared" si="138"/>
        <v/>
      </c>
      <c r="RC23" s="40" t="str">
        <f t="shared" si="139"/>
        <v/>
      </c>
      <c r="RD23" s="40" t="str">
        <f t="shared" si="140"/>
        <v/>
      </c>
      <c r="RE23" s="40" t="str">
        <f t="shared" si="141"/>
        <v/>
      </c>
      <c r="RF23" s="40" t="str">
        <f t="shared" si="142"/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 t="shared" si="143"/>
        <v/>
      </c>
      <c r="SB23" s="11" t="str">
        <f t="shared" si="144"/>
        <v/>
      </c>
      <c r="SC23" s="11" t="str">
        <f t="shared" si="145"/>
        <v/>
      </c>
      <c r="SD23" s="11" t="str">
        <f t="shared" si="146"/>
        <v/>
      </c>
      <c r="SE23" s="11" t="str">
        <f t="shared" si="147"/>
        <v/>
      </c>
      <c r="SF23" s="11" t="str">
        <f t="shared" si="148"/>
        <v/>
      </c>
      <c r="SG23" s="11" t="str">
        <f t="shared" si="149"/>
        <v/>
      </c>
      <c r="SH23" s="11" t="str">
        <f t="shared" si="150"/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 t="shared" si="151"/>
        <v/>
      </c>
      <c r="TD23" s="40" t="str">
        <f t="shared" si="152"/>
        <v/>
      </c>
      <c r="TE23" s="40" t="str">
        <f t="shared" si="153"/>
        <v/>
      </c>
      <c r="TF23" s="40" t="str">
        <f t="shared" si="154"/>
        <v/>
      </c>
      <c r="TG23" s="40" t="str">
        <f t="shared" si="155"/>
        <v/>
      </c>
      <c r="TH23" s="40" t="str">
        <f t="shared" si="156"/>
        <v/>
      </c>
      <c r="TI23" s="40" t="str">
        <f t="shared" si="157"/>
        <v/>
      </c>
      <c r="TJ23" s="40" t="str">
        <f t="shared" si="158"/>
        <v/>
      </c>
      <c r="TK23" s="26">
        <f t="shared" si="159"/>
        <v>8.75</v>
      </c>
      <c r="TL23" s="26">
        <f t="shared" si="160"/>
        <v>1.6</v>
      </c>
      <c r="TM23" s="26">
        <f t="shared" si="161"/>
        <v>0</v>
      </c>
      <c r="TN23" s="26">
        <f t="shared" si="162"/>
        <v>0</v>
      </c>
      <c r="TO23" s="26">
        <f t="shared" si="163"/>
        <v>9.1999999999999993</v>
      </c>
      <c r="TP23" s="26">
        <f t="shared" si="164"/>
        <v>3.2</v>
      </c>
      <c r="TQ23" s="26">
        <f t="shared" si="165"/>
        <v>0.5</v>
      </c>
      <c r="TR23" s="26">
        <f t="shared" si="166"/>
        <v>0</v>
      </c>
      <c r="TS23" s="26">
        <f t="shared" si="167"/>
        <v>9.3000000000000007</v>
      </c>
      <c r="TT23" s="26">
        <f t="shared" si="168"/>
        <v>4.2</v>
      </c>
      <c r="TU23" s="26">
        <f t="shared" si="169"/>
        <v>0.3</v>
      </c>
      <c r="TV23" s="26">
        <f t="shared" si="170"/>
        <v>0</v>
      </c>
      <c r="TW23" s="26">
        <f t="shared" si="171"/>
        <v>0</v>
      </c>
      <c r="TX23" s="26">
        <f t="shared" si="172"/>
        <v>0</v>
      </c>
      <c r="TY23" s="26">
        <f t="shared" si="173"/>
        <v>0</v>
      </c>
      <c r="TZ23" s="26">
        <f t="shared" si="174"/>
        <v>0</v>
      </c>
      <c r="UA23" s="26">
        <f t="shared" si="175"/>
        <v>0</v>
      </c>
      <c r="UB23" s="26">
        <f t="shared" si="176"/>
        <v>0</v>
      </c>
      <c r="UC23" s="26">
        <f t="shared" si="177"/>
        <v>0</v>
      </c>
      <c r="UD23" s="26">
        <f t="shared" si="178"/>
        <v>0</v>
      </c>
      <c r="UE23" s="28" t="s">
        <v>53</v>
      </c>
      <c r="UF23" s="11">
        <f t="shared" si="179"/>
        <v>4.8000000000000007</v>
      </c>
      <c r="UG23" s="11">
        <f t="shared" si="180"/>
        <v>22.249999999999996</v>
      </c>
      <c r="UH23" s="11">
        <f t="shared" si="181"/>
        <v>13.2</v>
      </c>
      <c r="UI23" s="11">
        <f t="shared" si="182"/>
        <v>9</v>
      </c>
      <c r="UJ23" s="11">
        <f t="shared" si="183"/>
        <v>35.449999999999996</v>
      </c>
      <c r="UK23" s="11" t="str">
        <f t="shared" si="184"/>
        <v/>
      </c>
      <c r="UL23" s="11" t="str">
        <f t="shared" si="185"/>
        <v/>
      </c>
      <c r="UM23" s="11">
        <f t="shared" si="186"/>
        <v>35.449999999999996</v>
      </c>
    </row>
    <row r="24" spans="1:559" x14ac:dyDescent="0.2">
      <c r="A24" s="4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>14</v>
      </c>
      <c r="B24" s="5" t="s">
        <v>239</v>
      </c>
      <c r="C24" s="4" t="s">
        <v>7</v>
      </c>
      <c r="D24" s="4">
        <v>2003</v>
      </c>
      <c r="E24" s="9">
        <f t="shared" si="187"/>
        <v>120.80000715000511</v>
      </c>
      <c r="F24" s="3" t="str">
        <f t="shared" si="0"/>
        <v/>
      </c>
      <c r="G24" s="3" t="str">
        <f t="shared" si="1"/>
        <v>P</v>
      </c>
      <c r="H24" s="36" t="str">
        <f t="shared" si="2"/>
        <v>No DD</v>
      </c>
      <c r="I24" s="3" t="str">
        <f t="shared" si="3"/>
        <v/>
      </c>
      <c r="J24" s="8">
        <f>IF(COUNT(AQ24,BT24,CW24)&gt;0,LARGE((AQ24,BT24,CW24),1),0)</f>
        <v>51.2</v>
      </c>
      <c r="K24" s="8" t="str">
        <f t="shared" si="4"/>
        <v>2024 Nationals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20.3</v>
      </c>
      <c r="O24" s="8" t="str">
        <f t="shared" si="6"/>
        <v>2024 Nationals</v>
      </c>
      <c r="P24" s="8">
        <f t="shared" si="7"/>
        <v>0</v>
      </c>
      <c r="Q24" s="8" t="str">
        <f t="shared" si="8"/>
        <v/>
      </c>
      <c r="R24" s="8">
        <f t="shared" si="9"/>
        <v>49.3</v>
      </c>
      <c r="S24" s="11" t="str">
        <f t="shared" si="10"/>
        <v>(Q1)</v>
      </c>
      <c r="T24" s="8" t="str">
        <f t="shared" si="11"/>
        <v>2024 Coimbra Gym Fest (July 7)</v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>
        <v>18.7</v>
      </c>
      <c r="AY24" s="18">
        <v>6.9</v>
      </c>
      <c r="AZ24" s="18">
        <v>0</v>
      </c>
      <c r="BA24" s="18">
        <v>0</v>
      </c>
      <c r="BB24" s="18">
        <v>19</v>
      </c>
      <c r="BC24" s="18">
        <v>7.2</v>
      </c>
      <c r="BD24" s="18">
        <v>0.6</v>
      </c>
      <c r="BE24" s="18">
        <v>0</v>
      </c>
      <c r="BF24" s="18">
        <v>17.3</v>
      </c>
      <c r="BG24" s="18">
        <v>3.2</v>
      </c>
      <c r="BH24" s="18">
        <v>0.2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0"/>
        <v>14.100000000000001</v>
      </c>
      <c r="BT24" s="11">
        <f t="shared" si="21"/>
        <v>51.2</v>
      </c>
      <c r="BU24" s="11">
        <f t="shared" si="22"/>
        <v>20.3</v>
      </c>
      <c r="BV24" s="11">
        <f t="shared" si="23"/>
        <v>17.3</v>
      </c>
      <c r="BW24" s="11">
        <f t="shared" si="24"/>
        <v>71.5</v>
      </c>
      <c r="BX24" s="11" t="str">
        <f t="shared" si="25"/>
        <v/>
      </c>
      <c r="BY24" s="11" t="str">
        <f t="shared" si="26"/>
        <v/>
      </c>
      <c r="BZ24" s="11">
        <f t="shared" si="27"/>
        <v>71.5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 t="shared" si="28"/>
        <v/>
      </c>
      <c r="CW24" s="40" t="str">
        <f t="shared" si="29"/>
        <v/>
      </c>
      <c r="CX24" s="40" t="str">
        <f t="shared" si="30"/>
        <v/>
      </c>
      <c r="CY24" s="40" t="str">
        <f t="shared" si="31"/>
        <v/>
      </c>
      <c r="CZ24" s="40" t="str">
        <f t="shared" si="32"/>
        <v/>
      </c>
      <c r="DA24" s="40" t="str">
        <f t="shared" si="33"/>
        <v/>
      </c>
      <c r="DB24" s="40" t="str">
        <f t="shared" si="34"/>
        <v/>
      </c>
      <c r="DC24" s="40" t="str">
        <f t="shared" si="35"/>
        <v/>
      </c>
      <c r="DD24" s="51">
        <f t="shared" si="36"/>
        <v>49.3</v>
      </c>
      <c r="DE24" s="51" t="str">
        <f t="shared" si="37"/>
        <v/>
      </c>
      <c r="DF24" s="51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>
        <v>18.5</v>
      </c>
      <c r="FL24" s="17">
        <v>4.8</v>
      </c>
      <c r="FM24" s="17">
        <v>0</v>
      </c>
      <c r="FN24" s="17">
        <v>0</v>
      </c>
      <c r="FO24" s="17">
        <v>18.7</v>
      </c>
      <c r="FP24" s="17">
        <v>7.3</v>
      </c>
      <c r="FQ24" s="17">
        <v>0</v>
      </c>
      <c r="FR24" s="17">
        <v>0</v>
      </c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>
        <f t="shared" si="55"/>
        <v>12.1</v>
      </c>
      <c r="GF24" s="40">
        <f t="shared" si="56"/>
        <v>49.3</v>
      </c>
      <c r="GG24" s="40" t="str">
        <f t="shared" si="57"/>
        <v/>
      </c>
      <c r="GH24" s="40">
        <f t="shared" si="58"/>
        <v>12.1</v>
      </c>
      <c r="GI24" s="40">
        <f t="shared" si="59"/>
        <v>49.3</v>
      </c>
      <c r="GJ24" s="40" t="str">
        <f t="shared" si="60"/>
        <v/>
      </c>
      <c r="GK24" s="40" t="str">
        <f t="shared" si="61"/>
        <v/>
      </c>
      <c r="GL24" s="40">
        <f t="shared" si="62"/>
        <v>49.3</v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 t="shared" si="135"/>
        <v/>
      </c>
      <c r="QZ24" s="40" t="str">
        <f t="shared" si="136"/>
        <v/>
      </c>
      <c r="RA24" s="40" t="str">
        <f t="shared" si="137"/>
        <v/>
      </c>
      <c r="RB24" s="40" t="str">
        <f t="shared" si="138"/>
        <v/>
      </c>
      <c r="RC24" s="40" t="str">
        <f t="shared" si="139"/>
        <v/>
      </c>
      <c r="RD24" s="40" t="str">
        <f t="shared" si="140"/>
        <v/>
      </c>
      <c r="RE24" s="40" t="str">
        <f t="shared" si="141"/>
        <v/>
      </c>
      <c r="RF24" s="40" t="str">
        <f t="shared" si="142"/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 t="shared" si="143"/>
        <v/>
      </c>
      <c r="SB24" s="11" t="str">
        <f t="shared" si="144"/>
        <v/>
      </c>
      <c r="SC24" s="11" t="str">
        <f t="shared" si="145"/>
        <v/>
      </c>
      <c r="SD24" s="11" t="str">
        <f t="shared" si="146"/>
        <v/>
      </c>
      <c r="SE24" s="11" t="str">
        <f t="shared" si="147"/>
        <v/>
      </c>
      <c r="SF24" s="11" t="str">
        <f t="shared" si="148"/>
        <v/>
      </c>
      <c r="SG24" s="11" t="str">
        <f t="shared" si="149"/>
        <v/>
      </c>
      <c r="SH24" s="11" t="str">
        <f t="shared" si="150"/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 t="shared" si="151"/>
        <v/>
      </c>
      <c r="TD24" s="40" t="str">
        <f t="shared" si="152"/>
        <v/>
      </c>
      <c r="TE24" s="40" t="str">
        <f t="shared" si="153"/>
        <v/>
      </c>
      <c r="TF24" s="40" t="str">
        <f t="shared" si="154"/>
        <v/>
      </c>
      <c r="TG24" s="40" t="str">
        <f t="shared" si="155"/>
        <v/>
      </c>
      <c r="TH24" s="40" t="str">
        <f t="shared" si="156"/>
        <v/>
      </c>
      <c r="TI24" s="40" t="str">
        <f t="shared" si="157"/>
        <v/>
      </c>
      <c r="TJ24" s="40" t="str">
        <f t="shared" si="158"/>
        <v/>
      </c>
      <c r="TK24" s="26">
        <f t="shared" si="159"/>
        <v>9.35</v>
      </c>
      <c r="TL24" s="26">
        <f t="shared" si="160"/>
        <v>3.45</v>
      </c>
      <c r="TM24" s="26">
        <f t="shared" si="161"/>
        <v>0</v>
      </c>
      <c r="TN24" s="26">
        <f t="shared" si="162"/>
        <v>0</v>
      </c>
      <c r="TO24" s="26">
        <f t="shared" si="163"/>
        <v>9.5</v>
      </c>
      <c r="TP24" s="26">
        <f t="shared" si="164"/>
        <v>3.6</v>
      </c>
      <c r="TQ24" s="26">
        <f t="shared" si="165"/>
        <v>0.3</v>
      </c>
      <c r="TR24" s="26">
        <f t="shared" si="166"/>
        <v>0</v>
      </c>
      <c r="TS24" s="26">
        <f t="shared" si="167"/>
        <v>8.65</v>
      </c>
      <c r="TT24" s="26">
        <f t="shared" si="168"/>
        <v>1.6</v>
      </c>
      <c r="TU24" s="26">
        <f t="shared" si="169"/>
        <v>0.1</v>
      </c>
      <c r="TV24" s="26">
        <f t="shared" si="170"/>
        <v>0</v>
      </c>
      <c r="TW24" s="26">
        <f t="shared" si="171"/>
        <v>0</v>
      </c>
      <c r="TX24" s="26">
        <f t="shared" si="172"/>
        <v>0</v>
      </c>
      <c r="TY24" s="26">
        <f t="shared" si="173"/>
        <v>0</v>
      </c>
      <c r="TZ24" s="26">
        <f t="shared" si="174"/>
        <v>0</v>
      </c>
      <c r="UA24" s="26">
        <f t="shared" si="175"/>
        <v>0</v>
      </c>
      <c r="UB24" s="26">
        <f t="shared" si="176"/>
        <v>0</v>
      </c>
      <c r="UC24" s="26">
        <f t="shared" si="177"/>
        <v>0</v>
      </c>
      <c r="UD24" s="26">
        <f t="shared" si="178"/>
        <v>0</v>
      </c>
      <c r="UE24" s="28" t="s">
        <v>53</v>
      </c>
      <c r="UF24" s="11">
        <f t="shared" si="179"/>
        <v>7.0500000000000007</v>
      </c>
      <c r="UG24" s="11">
        <f t="shared" si="180"/>
        <v>25.6</v>
      </c>
      <c r="UH24" s="11">
        <f t="shared" si="181"/>
        <v>10.15</v>
      </c>
      <c r="UI24" s="11">
        <f t="shared" si="182"/>
        <v>8.65</v>
      </c>
      <c r="UJ24" s="11">
        <f t="shared" si="183"/>
        <v>35.75</v>
      </c>
      <c r="UK24" s="11" t="str">
        <f t="shared" si="184"/>
        <v/>
      </c>
      <c r="UL24" s="11" t="str">
        <f t="shared" si="185"/>
        <v/>
      </c>
      <c r="UM24" s="11">
        <f t="shared" si="186"/>
        <v>35.75</v>
      </c>
    </row>
    <row r="25" spans="1:559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215</v>
      </c>
      <c r="C25" s="4" t="s">
        <v>6</v>
      </c>
      <c r="D25" s="4">
        <v>2006</v>
      </c>
      <c r="E25" s="9">
        <f t="shared" si="187"/>
        <v>114.1000114100049</v>
      </c>
      <c r="F25" s="3" t="str">
        <f t="shared" si="0"/>
        <v/>
      </c>
      <c r="G25" s="3" t="str">
        <f t="shared" si="1"/>
        <v/>
      </c>
      <c r="H25" s="36" t="str">
        <f t="shared" si="2"/>
        <v/>
      </c>
      <c r="I25" s="3" t="str">
        <f t="shared" si="3"/>
        <v/>
      </c>
      <c r="J25" s="8">
        <f>IF(COUNT(AQ25,BT25,CW25)&gt;0,LARGE((AQ25,BT25,CW25),1),0)</f>
        <v>49.099999999999994</v>
      </c>
      <c r="K25" s="8" t="str">
        <f t="shared" si="4"/>
        <v>2024 3rd Domestic Trial</v>
      </c>
      <c r="L25" s="8">
        <f>IF(COUNT(AQ25,BT25,CW25)&gt;1,LARGE((AQ25,BT25,CW25),2),0)</f>
        <v>44.699999999999996</v>
      </c>
      <c r="M25" s="8" t="str">
        <f t="shared" si="5"/>
        <v>2024 Elite Canada</v>
      </c>
      <c r="N25" s="8">
        <f>IF(COUNT(AR25,BU25,CX25)&gt;0,LARGE((AR25,BU25,CX25),1),0)</f>
        <v>20.3</v>
      </c>
      <c r="O25" s="8" t="str">
        <f t="shared" si="6"/>
        <v>2024 3rd Domestic Trial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17.7</v>
      </c>
      <c r="V25" s="19">
        <v>3.4</v>
      </c>
      <c r="W25" s="19">
        <v>1.2</v>
      </c>
      <c r="X25" s="19">
        <v>0</v>
      </c>
      <c r="Y25" s="19">
        <v>17.5</v>
      </c>
      <c r="Z25" s="19">
        <v>8.1</v>
      </c>
      <c r="AA25" s="19">
        <v>0.8</v>
      </c>
      <c r="AB25" s="19">
        <v>0</v>
      </c>
      <c r="AC25" s="19">
        <v>17.3</v>
      </c>
      <c r="AD25" s="19">
        <v>2.4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2"/>
        <v>11.5</v>
      </c>
      <c r="AQ25" s="40">
        <f t="shared" si="13"/>
        <v>44.699999999999996</v>
      </c>
      <c r="AR25" s="40">
        <f t="shared" si="14"/>
        <v>19.7</v>
      </c>
      <c r="AS25" s="40">
        <f t="shared" si="15"/>
        <v>13.9</v>
      </c>
      <c r="AT25" s="40">
        <f t="shared" si="16"/>
        <v>64.399999999999991</v>
      </c>
      <c r="AU25" s="40" t="str">
        <f t="shared" si="17"/>
        <v/>
      </c>
      <c r="AV25" s="40" t="str">
        <f t="shared" si="18"/>
        <v/>
      </c>
      <c r="AW25" s="40">
        <f t="shared" si="19"/>
        <v>64.399999999999991</v>
      </c>
      <c r="AX25" s="18">
        <v>18</v>
      </c>
      <c r="AY25" s="18">
        <v>4.4000000000000004</v>
      </c>
      <c r="AZ25" s="18">
        <v>1</v>
      </c>
      <c r="BA25" s="18">
        <v>0</v>
      </c>
      <c r="BB25" s="18">
        <v>17.399999999999999</v>
      </c>
      <c r="BC25" s="18">
        <v>2.8</v>
      </c>
      <c r="BD25" s="18">
        <v>0</v>
      </c>
      <c r="BE25" s="18">
        <v>0</v>
      </c>
      <c r="BF25" s="18">
        <v>17</v>
      </c>
      <c r="BG25" s="18">
        <v>3.2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0"/>
        <v>7.2</v>
      </c>
      <c r="BT25" s="11">
        <f t="shared" si="21"/>
        <v>41.599999999999994</v>
      </c>
      <c r="BU25" s="11">
        <f t="shared" si="22"/>
        <v>20.2</v>
      </c>
      <c r="BV25" s="11">
        <f t="shared" si="23"/>
        <v>10.4</v>
      </c>
      <c r="BW25" s="11">
        <f t="shared" si="24"/>
        <v>61.8</v>
      </c>
      <c r="BX25" s="11" t="str">
        <f t="shared" si="25"/>
        <v/>
      </c>
      <c r="BY25" s="11" t="str">
        <f t="shared" si="26"/>
        <v/>
      </c>
      <c r="BZ25" s="11">
        <f t="shared" si="27"/>
        <v>61.8</v>
      </c>
      <c r="CA25" s="19">
        <v>18.7</v>
      </c>
      <c r="CB25" s="19">
        <v>6</v>
      </c>
      <c r="CC25" s="19">
        <v>0</v>
      </c>
      <c r="CD25" s="19">
        <v>0</v>
      </c>
      <c r="CE25" s="19">
        <v>18.600000000000001</v>
      </c>
      <c r="CF25" s="19">
        <v>6</v>
      </c>
      <c r="CG25" s="19">
        <v>0.2</v>
      </c>
      <c r="CH25" s="19">
        <v>0</v>
      </c>
      <c r="CI25" s="19">
        <v>17.100000000000001</v>
      </c>
      <c r="CJ25" s="19">
        <v>3.2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12</v>
      </c>
      <c r="CW25" s="40">
        <f t="shared" si="29"/>
        <v>49.099999999999994</v>
      </c>
      <c r="CX25" s="40">
        <f t="shared" si="30"/>
        <v>20.3</v>
      </c>
      <c r="CY25" s="40">
        <f t="shared" si="31"/>
        <v>15.2</v>
      </c>
      <c r="CZ25" s="40">
        <f t="shared" si="32"/>
        <v>69.399999999999991</v>
      </c>
      <c r="DA25" s="40" t="str">
        <f t="shared" si="33"/>
        <v/>
      </c>
      <c r="DB25" s="40" t="str">
        <f t="shared" si="34"/>
        <v/>
      </c>
      <c r="DC25" s="40">
        <f t="shared" si="35"/>
        <v>69.399999999999991</v>
      </c>
      <c r="DD25" s="51" t="str">
        <f t="shared" si="36"/>
        <v/>
      </c>
      <c r="DE25" s="51" t="str">
        <f t="shared" si="37"/>
        <v/>
      </c>
      <c r="DF25" s="51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 t="shared" si="135"/>
        <v/>
      </c>
      <c r="QZ25" s="40" t="str">
        <f t="shared" si="136"/>
        <v/>
      </c>
      <c r="RA25" s="40" t="str">
        <f t="shared" si="137"/>
        <v/>
      </c>
      <c r="RB25" s="40" t="str">
        <f t="shared" si="138"/>
        <v/>
      </c>
      <c r="RC25" s="40" t="str">
        <f t="shared" si="139"/>
        <v/>
      </c>
      <c r="RD25" s="40" t="str">
        <f t="shared" si="140"/>
        <v/>
      </c>
      <c r="RE25" s="40" t="str">
        <f t="shared" si="141"/>
        <v/>
      </c>
      <c r="RF25" s="40" t="str">
        <f t="shared" si="142"/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 t="shared" si="143"/>
        <v/>
      </c>
      <c r="SB25" s="11" t="str">
        <f t="shared" si="144"/>
        <v/>
      </c>
      <c r="SC25" s="11" t="str">
        <f t="shared" si="145"/>
        <v/>
      </c>
      <c r="SD25" s="11" t="str">
        <f t="shared" si="146"/>
        <v/>
      </c>
      <c r="SE25" s="11" t="str">
        <f t="shared" si="147"/>
        <v/>
      </c>
      <c r="SF25" s="11" t="str">
        <f t="shared" si="148"/>
        <v/>
      </c>
      <c r="SG25" s="11" t="str">
        <f t="shared" si="149"/>
        <v/>
      </c>
      <c r="SH25" s="11" t="str">
        <f t="shared" si="150"/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 t="shared" si="151"/>
        <v/>
      </c>
      <c r="TD25" s="40" t="str">
        <f t="shared" si="152"/>
        <v/>
      </c>
      <c r="TE25" s="40" t="str">
        <f t="shared" si="153"/>
        <v/>
      </c>
      <c r="TF25" s="40" t="str">
        <f t="shared" si="154"/>
        <v/>
      </c>
      <c r="TG25" s="40" t="str">
        <f t="shared" si="155"/>
        <v/>
      </c>
      <c r="TH25" s="40" t="str">
        <f t="shared" si="156"/>
        <v/>
      </c>
      <c r="TI25" s="40" t="str">
        <f t="shared" si="157"/>
        <v/>
      </c>
      <c r="TJ25" s="40" t="str">
        <f t="shared" si="158"/>
        <v/>
      </c>
      <c r="TK25" s="26">
        <f t="shared" si="159"/>
        <v>18.350000000000001</v>
      </c>
      <c r="TL25" s="26">
        <f t="shared" si="160"/>
        <v>5.2</v>
      </c>
      <c r="TM25" s="26">
        <f t="shared" si="161"/>
        <v>0.5</v>
      </c>
      <c r="TN25" s="26">
        <f t="shared" si="162"/>
        <v>0</v>
      </c>
      <c r="TO25" s="26">
        <f t="shared" si="163"/>
        <v>18</v>
      </c>
      <c r="TP25" s="26">
        <f t="shared" si="164"/>
        <v>4.4000000000000004</v>
      </c>
      <c r="TQ25" s="26">
        <f t="shared" si="165"/>
        <v>0.1</v>
      </c>
      <c r="TR25" s="26">
        <f t="shared" si="166"/>
        <v>0</v>
      </c>
      <c r="TS25" s="26">
        <f t="shared" si="167"/>
        <v>17.05</v>
      </c>
      <c r="TT25" s="26">
        <f t="shared" si="168"/>
        <v>3.2</v>
      </c>
      <c r="TU25" s="26">
        <f t="shared" si="169"/>
        <v>0</v>
      </c>
      <c r="TV25" s="26">
        <f t="shared" si="170"/>
        <v>0</v>
      </c>
      <c r="TW25" s="26">
        <f t="shared" si="171"/>
        <v>0</v>
      </c>
      <c r="TX25" s="26">
        <f t="shared" si="172"/>
        <v>0</v>
      </c>
      <c r="TY25" s="26">
        <f t="shared" si="173"/>
        <v>0</v>
      </c>
      <c r="TZ25" s="26">
        <f t="shared" si="174"/>
        <v>0</v>
      </c>
      <c r="UA25" s="26">
        <f t="shared" si="175"/>
        <v>0</v>
      </c>
      <c r="UB25" s="26">
        <f t="shared" si="176"/>
        <v>0</v>
      </c>
      <c r="UC25" s="26">
        <f t="shared" si="177"/>
        <v>0</v>
      </c>
      <c r="UD25" s="26">
        <f t="shared" si="178"/>
        <v>0</v>
      </c>
      <c r="UE25" s="28" t="s">
        <v>53</v>
      </c>
      <c r="UF25" s="11">
        <f t="shared" si="179"/>
        <v>9.6000000000000014</v>
      </c>
      <c r="UG25" s="11">
        <f t="shared" si="180"/>
        <v>45.349999999999994</v>
      </c>
      <c r="UH25" s="11">
        <f t="shared" si="181"/>
        <v>20.25</v>
      </c>
      <c r="UI25" s="11">
        <f t="shared" si="182"/>
        <v>12.8</v>
      </c>
      <c r="UJ25" s="11">
        <f t="shared" si="183"/>
        <v>65.599999999999994</v>
      </c>
      <c r="UK25" s="11" t="str">
        <f t="shared" si="184"/>
        <v/>
      </c>
      <c r="UL25" s="11" t="str">
        <f t="shared" si="185"/>
        <v/>
      </c>
      <c r="UM25" s="11">
        <f t="shared" si="186"/>
        <v>65.599999999999994</v>
      </c>
    </row>
    <row r="26" spans="1:559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158</v>
      </c>
      <c r="C26" s="4" t="s">
        <v>3</v>
      </c>
      <c r="D26" s="4">
        <v>2005</v>
      </c>
      <c r="E26" s="9">
        <f t="shared" si="187"/>
        <v>97.300009730004689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46.7</v>
      </c>
      <c r="K26" s="8" t="str">
        <f t="shared" si="4"/>
        <v>2024 3rd Domestic Trial</v>
      </c>
      <c r="L26" s="8">
        <f>IF(COUNT(AQ26,BT26,CW26)&gt;1,LARGE((AQ26,BT26,CW26),2),0)</f>
        <v>24.999999999999996</v>
      </c>
      <c r="M26" s="8" t="str">
        <f t="shared" si="5"/>
        <v>2024 Elite Canada</v>
      </c>
      <c r="N26" s="8">
        <f>IF(COUNT(AR26,BU26,CX26)&gt;0,LARGE((AR26,BU26,CX26),1),0)</f>
        <v>25.6</v>
      </c>
      <c r="O26" s="8" t="str">
        <f t="shared" si="6"/>
        <v>2024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18.399999999999999</v>
      </c>
      <c r="V26" s="19">
        <v>7.2</v>
      </c>
      <c r="W26" s="19">
        <v>0.6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18.8</v>
      </c>
      <c r="AD26" s="19">
        <v>6.8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2"/>
        <v>7.2</v>
      </c>
      <c r="AQ26" s="40">
        <f t="shared" si="13"/>
        <v>24.999999999999996</v>
      </c>
      <c r="AR26" s="40">
        <f t="shared" si="14"/>
        <v>25.6</v>
      </c>
      <c r="AS26" s="40">
        <f t="shared" si="15"/>
        <v>14</v>
      </c>
      <c r="AT26" s="40">
        <f t="shared" si="16"/>
        <v>50.599999999999994</v>
      </c>
      <c r="AU26" s="40" t="str">
        <f t="shared" si="17"/>
        <v/>
      </c>
      <c r="AV26" s="40" t="str">
        <f t="shared" si="18"/>
        <v/>
      </c>
      <c r="AW26" s="40">
        <f t="shared" si="19"/>
        <v>50.599999999999994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19</v>
      </c>
      <c r="CB26" s="19">
        <v>7.2</v>
      </c>
      <c r="CC26" s="19">
        <v>0</v>
      </c>
      <c r="CD26" s="19">
        <v>0</v>
      </c>
      <c r="CE26" s="19">
        <v>17.3</v>
      </c>
      <c r="CF26" s="19">
        <v>3.2</v>
      </c>
      <c r="CG26" s="19">
        <v>0</v>
      </c>
      <c r="CH26" s="19">
        <v>0</v>
      </c>
      <c r="CI26" s="19">
        <v>16.8</v>
      </c>
      <c r="CJ26" s="19">
        <v>6.9</v>
      </c>
      <c r="CK26" s="19">
        <v>0.2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8"/>
        <v>10.4</v>
      </c>
      <c r="CW26" s="40">
        <f t="shared" si="29"/>
        <v>46.7</v>
      </c>
      <c r="CX26" s="40">
        <f t="shared" si="30"/>
        <v>23.500000000000004</v>
      </c>
      <c r="CY26" s="40">
        <f t="shared" si="31"/>
        <v>17.3</v>
      </c>
      <c r="CZ26" s="40">
        <f t="shared" si="32"/>
        <v>70.2</v>
      </c>
      <c r="DA26" s="40" t="str">
        <f t="shared" si="33"/>
        <v/>
      </c>
      <c r="DB26" s="40" t="str">
        <f t="shared" si="34"/>
        <v/>
      </c>
      <c r="DC26" s="40">
        <f t="shared" si="35"/>
        <v>70.2</v>
      </c>
      <c r="DD26" s="51" t="str">
        <f t="shared" si="36"/>
        <v/>
      </c>
      <c r="DE26" s="51" t="str">
        <f t="shared" si="37"/>
        <v/>
      </c>
      <c r="DF26" s="51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 t="shared" si="135"/>
        <v/>
      </c>
      <c r="QZ26" s="40" t="str">
        <f t="shared" si="136"/>
        <v/>
      </c>
      <c r="RA26" s="40" t="str">
        <f t="shared" si="137"/>
        <v/>
      </c>
      <c r="RB26" s="40" t="str">
        <f t="shared" si="138"/>
        <v/>
      </c>
      <c r="RC26" s="40" t="str">
        <f t="shared" si="139"/>
        <v/>
      </c>
      <c r="RD26" s="40" t="str">
        <f t="shared" si="140"/>
        <v/>
      </c>
      <c r="RE26" s="40" t="str">
        <f t="shared" si="141"/>
        <v/>
      </c>
      <c r="RF26" s="40" t="str">
        <f t="shared" si="142"/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 t="shared" si="143"/>
        <v/>
      </c>
      <c r="SB26" s="11" t="str">
        <f t="shared" si="144"/>
        <v/>
      </c>
      <c r="SC26" s="11" t="str">
        <f t="shared" si="145"/>
        <v/>
      </c>
      <c r="SD26" s="11" t="str">
        <f t="shared" si="146"/>
        <v/>
      </c>
      <c r="SE26" s="11" t="str">
        <f t="shared" si="147"/>
        <v/>
      </c>
      <c r="SF26" s="11" t="str">
        <f t="shared" si="148"/>
        <v/>
      </c>
      <c r="SG26" s="11" t="str">
        <f t="shared" si="149"/>
        <v/>
      </c>
      <c r="SH26" s="11" t="str">
        <f t="shared" si="150"/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 t="shared" si="151"/>
        <v/>
      </c>
      <c r="TD26" s="40" t="str">
        <f t="shared" si="152"/>
        <v/>
      </c>
      <c r="TE26" s="40" t="str">
        <f t="shared" si="153"/>
        <v/>
      </c>
      <c r="TF26" s="40" t="str">
        <f t="shared" si="154"/>
        <v/>
      </c>
      <c r="TG26" s="40" t="str">
        <f t="shared" si="155"/>
        <v/>
      </c>
      <c r="TH26" s="40" t="str">
        <f t="shared" si="156"/>
        <v/>
      </c>
      <c r="TI26" s="40" t="str">
        <f t="shared" si="157"/>
        <v/>
      </c>
      <c r="TJ26" s="40" t="str">
        <f t="shared" si="158"/>
        <v/>
      </c>
      <c r="TK26" s="26">
        <f t="shared" si="159"/>
        <v>9.5</v>
      </c>
      <c r="TL26" s="26">
        <f t="shared" si="160"/>
        <v>3.6</v>
      </c>
      <c r="TM26" s="26">
        <f t="shared" si="161"/>
        <v>0</v>
      </c>
      <c r="TN26" s="26">
        <f t="shared" si="162"/>
        <v>0</v>
      </c>
      <c r="TO26" s="26">
        <f t="shared" si="163"/>
        <v>8.65</v>
      </c>
      <c r="TP26" s="26">
        <f t="shared" si="164"/>
        <v>1.6</v>
      </c>
      <c r="TQ26" s="26">
        <f t="shared" si="165"/>
        <v>0</v>
      </c>
      <c r="TR26" s="26">
        <f t="shared" si="166"/>
        <v>0</v>
      </c>
      <c r="TS26" s="26">
        <f t="shared" si="167"/>
        <v>8.4</v>
      </c>
      <c r="TT26" s="26">
        <f t="shared" si="168"/>
        <v>3.45</v>
      </c>
      <c r="TU26" s="26">
        <f t="shared" si="169"/>
        <v>0.1</v>
      </c>
      <c r="TV26" s="26">
        <f t="shared" si="170"/>
        <v>0</v>
      </c>
      <c r="TW26" s="26">
        <f t="shared" si="171"/>
        <v>0</v>
      </c>
      <c r="TX26" s="26">
        <f t="shared" si="172"/>
        <v>0</v>
      </c>
      <c r="TY26" s="26">
        <f t="shared" si="173"/>
        <v>0</v>
      </c>
      <c r="TZ26" s="26">
        <f t="shared" si="174"/>
        <v>0</v>
      </c>
      <c r="UA26" s="26">
        <f t="shared" si="175"/>
        <v>0</v>
      </c>
      <c r="UB26" s="26">
        <f t="shared" si="176"/>
        <v>0</v>
      </c>
      <c r="UC26" s="26">
        <f t="shared" si="177"/>
        <v>0</v>
      </c>
      <c r="UD26" s="26">
        <f t="shared" si="178"/>
        <v>0</v>
      </c>
      <c r="UE26" s="28" t="s">
        <v>53</v>
      </c>
      <c r="UF26" s="11">
        <f t="shared" si="179"/>
        <v>5.2</v>
      </c>
      <c r="UG26" s="11">
        <f t="shared" si="180"/>
        <v>23.35</v>
      </c>
      <c r="UH26" s="11">
        <f t="shared" si="181"/>
        <v>11.750000000000002</v>
      </c>
      <c r="UI26" s="11">
        <f t="shared" si="182"/>
        <v>8.65</v>
      </c>
      <c r="UJ26" s="11">
        <f t="shared" si="183"/>
        <v>35.1</v>
      </c>
      <c r="UK26" s="11" t="str">
        <f t="shared" si="184"/>
        <v/>
      </c>
      <c r="UL26" s="11" t="str">
        <f t="shared" si="185"/>
        <v/>
      </c>
      <c r="UM26" s="11">
        <f t="shared" si="186"/>
        <v>35.1</v>
      </c>
    </row>
    <row r="27" spans="1:559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214</v>
      </c>
      <c r="C27" s="4" t="s">
        <v>7</v>
      </c>
      <c r="D27" s="4">
        <v>2004</v>
      </c>
      <c r="E27" s="9">
        <f t="shared" si="187"/>
        <v>74.000007400004989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49.9</v>
      </c>
      <c r="K27" s="8" t="str">
        <f t="shared" si="4"/>
        <v>2024 Elite Canada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24.1</v>
      </c>
      <c r="O27" s="8" t="str">
        <f t="shared" si="6"/>
        <v>2024 Elite Canada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18.600000000000001</v>
      </c>
      <c r="V27" s="19">
        <v>6.8</v>
      </c>
      <c r="W27" s="19">
        <v>0.2</v>
      </c>
      <c r="X27" s="19">
        <v>0</v>
      </c>
      <c r="Y27" s="19">
        <v>18.5</v>
      </c>
      <c r="Z27" s="19">
        <v>6.4</v>
      </c>
      <c r="AA27" s="19">
        <v>0.2</v>
      </c>
      <c r="AB27" s="19">
        <v>0</v>
      </c>
      <c r="AC27" s="19">
        <v>18.3</v>
      </c>
      <c r="AD27" s="19">
        <v>6</v>
      </c>
      <c r="AE27" s="19">
        <v>0.2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27"/>
      <c r="AP27" s="40">
        <f t="shared" si="12"/>
        <v>13.2</v>
      </c>
      <c r="AQ27" s="40">
        <f t="shared" si="13"/>
        <v>49.9</v>
      </c>
      <c r="AR27" s="40">
        <f t="shared" si="14"/>
        <v>24.1</v>
      </c>
      <c r="AS27" s="40">
        <f t="shared" si="15"/>
        <v>19.2</v>
      </c>
      <c r="AT27" s="40">
        <f t="shared" si="16"/>
        <v>74</v>
      </c>
      <c r="AU27" s="40" t="str">
        <f t="shared" si="17"/>
        <v/>
      </c>
      <c r="AV27" s="40" t="str">
        <f t="shared" si="18"/>
        <v/>
      </c>
      <c r="AW27" s="40">
        <f t="shared" si="19"/>
        <v>74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40" t="str">
        <f t="shared" si="34"/>
        <v/>
      </c>
      <c r="DC27" s="40" t="str">
        <f t="shared" si="35"/>
        <v/>
      </c>
      <c r="DD27" s="51" t="str">
        <f t="shared" si="36"/>
        <v/>
      </c>
      <c r="DE27" s="51" t="str">
        <f t="shared" si="37"/>
        <v/>
      </c>
      <c r="DF27" s="51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 t="shared" si="135"/>
        <v/>
      </c>
      <c r="QZ27" s="40" t="str">
        <f t="shared" si="136"/>
        <v/>
      </c>
      <c r="RA27" s="40" t="str">
        <f t="shared" si="137"/>
        <v/>
      </c>
      <c r="RB27" s="40" t="str">
        <f t="shared" si="138"/>
        <v/>
      </c>
      <c r="RC27" s="40" t="str">
        <f t="shared" si="139"/>
        <v/>
      </c>
      <c r="RD27" s="40" t="str">
        <f t="shared" si="140"/>
        <v/>
      </c>
      <c r="RE27" s="40" t="str">
        <f t="shared" si="141"/>
        <v/>
      </c>
      <c r="RF27" s="40" t="str">
        <f t="shared" si="142"/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 t="shared" si="143"/>
        <v/>
      </c>
      <c r="SB27" s="11" t="str">
        <f t="shared" si="144"/>
        <v/>
      </c>
      <c r="SC27" s="11" t="str">
        <f t="shared" si="145"/>
        <v/>
      </c>
      <c r="SD27" s="11" t="str">
        <f t="shared" si="146"/>
        <v/>
      </c>
      <c r="SE27" s="11" t="str">
        <f t="shared" si="147"/>
        <v/>
      </c>
      <c r="SF27" s="11" t="str">
        <f t="shared" si="148"/>
        <v/>
      </c>
      <c r="SG27" s="11" t="str">
        <f t="shared" si="149"/>
        <v/>
      </c>
      <c r="SH27" s="11" t="str">
        <f t="shared" si="150"/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 t="shared" si="151"/>
        <v/>
      </c>
      <c r="TD27" s="40" t="str">
        <f t="shared" si="152"/>
        <v/>
      </c>
      <c r="TE27" s="40" t="str">
        <f t="shared" si="153"/>
        <v/>
      </c>
      <c r="TF27" s="40" t="str">
        <f t="shared" si="154"/>
        <v/>
      </c>
      <c r="TG27" s="40" t="str">
        <f t="shared" si="155"/>
        <v/>
      </c>
      <c r="TH27" s="40" t="str">
        <f t="shared" si="156"/>
        <v/>
      </c>
      <c r="TI27" s="40" t="str">
        <f t="shared" si="157"/>
        <v/>
      </c>
      <c r="TJ27" s="40" t="str">
        <f t="shared" si="158"/>
        <v/>
      </c>
      <c r="TK27" s="26">
        <f t="shared" si="159"/>
        <v>0</v>
      </c>
      <c r="TL27" s="26">
        <f t="shared" si="160"/>
        <v>0</v>
      </c>
      <c r="TM27" s="26">
        <f t="shared" si="161"/>
        <v>0</v>
      </c>
      <c r="TN27" s="26">
        <f t="shared" si="162"/>
        <v>0</v>
      </c>
      <c r="TO27" s="26">
        <f t="shared" si="163"/>
        <v>0</v>
      </c>
      <c r="TP27" s="26">
        <f t="shared" si="164"/>
        <v>0</v>
      </c>
      <c r="TQ27" s="26">
        <f t="shared" si="165"/>
        <v>0</v>
      </c>
      <c r="TR27" s="26">
        <f t="shared" si="166"/>
        <v>0</v>
      </c>
      <c r="TS27" s="26">
        <f t="shared" si="167"/>
        <v>0</v>
      </c>
      <c r="TT27" s="26">
        <f t="shared" si="168"/>
        <v>0</v>
      </c>
      <c r="TU27" s="26">
        <f t="shared" si="169"/>
        <v>0</v>
      </c>
      <c r="TV27" s="26">
        <f t="shared" si="170"/>
        <v>0</v>
      </c>
      <c r="TW27" s="26">
        <f t="shared" si="171"/>
        <v>0</v>
      </c>
      <c r="TX27" s="26">
        <f t="shared" si="172"/>
        <v>0</v>
      </c>
      <c r="TY27" s="26">
        <f t="shared" si="173"/>
        <v>0</v>
      </c>
      <c r="TZ27" s="26">
        <f t="shared" si="174"/>
        <v>0</v>
      </c>
      <c r="UA27" s="26">
        <f t="shared" si="175"/>
        <v>0</v>
      </c>
      <c r="UB27" s="26">
        <f t="shared" si="176"/>
        <v>0</v>
      </c>
      <c r="UC27" s="26">
        <f t="shared" si="177"/>
        <v>0</v>
      </c>
      <c r="UD27" s="26">
        <f t="shared" si="178"/>
        <v>0</v>
      </c>
      <c r="UE27" s="28" t="s">
        <v>53</v>
      </c>
      <c r="UF27" s="11" t="str">
        <f t="shared" si="179"/>
        <v/>
      </c>
      <c r="UG27" s="11" t="str">
        <f t="shared" si="180"/>
        <v/>
      </c>
      <c r="UH27" s="11" t="str">
        <f t="shared" si="181"/>
        <v/>
      </c>
      <c r="UI27" s="11" t="str">
        <f t="shared" si="182"/>
        <v/>
      </c>
      <c r="UJ27" s="11" t="str">
        <f t="shared" si="183"/>
        <v/>
      </c>
      <c r="UK27" s="11" t="str">
        <f t="shared" si="184"/>
        <v/>
      </c>
      <c r="UL27" s="11" t="str">
        <f t="shared" si="185"/>
        <v/>
      </c>
      <c r="UM27" s="11" t="str">
        <f t="shared" si="186"/>
        <v/>
      </c>
    </row>
    <row r="28" spans="1:559" ht="17" x14ac:dyDescent="0.2">
      <c r="R28" s="10"/>
      <c r="S28" s="10"/>
      <c r="T28" s="10"/>
      <c r="QY28" s="36"/>
      <c r="RG28"/>
      <c r="SA28" s="36"/>
      <c r="SB28" s="36"/>
      <c r="SC28" s="36"/>
      <c r="SD28" s="36"/>
      <c r="SE28" s="36"/>
      <c r="SF28" s="36"/>
      <c r="SG28" s="36"/>
      <c r="SH28" s="36"/>
      <c r="TC28" s="36"/>
      <c r="TD28" s="36"/>
      <c r="TE28" s="36"/>
      <c r="TF28" s="36"/>
      <c r="TG28" s="36"/>
      <c r="TH28" s="36"/>
      <c r="TI28" s="36"/>
      <c r="TJ28" s="36"/>
    </row>
    <row r="29" spans="1:559" ht="17" x14ac:dyDescent="0.2">
      <c r="R29" s="10"/>
      <c r="S29" s="10"/>
      <c r="T29" s="10"/>
      <c r="QY29" s="36"/>
      <c r="RG29"/>
      <c r="SA29" s="36"/>
      <c r="SB29" s="36"/>
      <c r="SC29" s="36"/>
      <c r="SD29" s="36"/>
      <c r="SE29" s="36"/>
      <c r="SF29" s="36"/>
      <c r="SG29" s="36"/>
      <c r="SH29" s="36"/>
      <c r="TC29" s="36"/>
      <c r="TD29" s="36"/>
      <c r="TE29" s="36"/>
      <c r="TF29" s="36"/>
      <c r="TG29" s="36"/>
      <c r="TH29" s="36"/>
      <c r="TI29" s="36"/>
      <c r="TJ29" s="36"/>
    </row>
    <row r="30" spans="1:559" ht="17" x14ac:dyDescent="0.2">
      <c r="B30" s="23" t="s">
        <v>51</v>
      </c>
      <c r="R30" s="10"/>
      <c r="S30" s="10"/>
      <c r="T30" s="10"/>
      <c r="AP30" s="4"/>
      <c r="AW30" s="42">
        <v>14.4</v>
      </c>
      <c r="BS30" s="4"/>
      <c r="BZ30" s="42">
        <v>14.4</v>
      </c>
      <c r="CV30" s="4"/>
      <c r="DC30" s="42">
        <v>14.4</v>
      </c>
      <c r="EA30" s="4"/>
      <c r="EH30" s="42">
        <v>14.4</v>
      </c>
      <c r="FC30" s="4"/>
      <c r="FJ30" s="42">
        <v>14.4</v>
      </c>
      <c r="GE30" s="4"/>
      <c r="GL30" s="42">
        <v>14.4</v>
      </c>
      <c r="HG30" s="4"/>
      <c r="HN30" s="42">
        <v>14.4</v>
      </c>
      <c r="II30" s="4"/>
      <c r="IP30" s="42">
        <v>14.4</v>
      </c>
      <c r="JK30" s="4"/>
      <c r="JR30" s="42">
        <v>14.4</v>
      </c>
      <c r="KM30" s="4"/>
      <c r="KT30" s="42">
        <v>14.4</v>
      </c>
      <c r="LO30" s="4"/>
      <c r="LV30" s="42">
        <v>14.4</v>
      </c>
      <c r="MQ30" s="4"/>
      <c r="MX30" s="42">
        <v>14.4</v>
      </c>
      <c r="NS30" s="4"/>
      <c r="NZ30" s="42">
        <v>14.4</v>
      </c>
      <c r="OU30" s="4"/>
      <c r="PB30" s="42">
        <v>14.4</v>
      </c>
      <c r="PW30" s="4"/>
      <c r="QD30" s="42">
        <v>14.4</v>
      </c>
      <c r="QY30" s="4"/>
      <c r="RF30" s="42">
        <v>14.4</v>
      </c>
      <c r="RG30"/>
      <c r="SA30" s="4"/>
      <c r="SB30" s="36"/>
      <c r="SC30" s="36"/>
      <c r="SD30" s="36"/>
      <c r="SE30" s="36"/>
      <c r="SF30" s="36"/>
      <c r="SG30" s="36"/>
      <c r="SH30" s="42">
        <v>14.4</v>
      </c>
      <c r="TC30" s="4"/>
      <c r="TD30" s="36"/>
      <c r="TE30" s="36"/>
      <c r="TF30" s="36"/>
      <c r="TG30" s="36"/>
      <c r="TH30" s="36"/>
      <c r="TI30" s="36"/>
      <c r="TJ30" s="42">
        <v>14.4</v>
      </c>
    </row>
    <row r="31" spans="1:559" ht="17" x14ac:dyDescent="0.2">
      <c r="B31" s="30" t="s">
        <v>50</v>
      </c>
      <c r="R31" s="10"/>
      <c r="S31" s="10"/>
      <c r="T31" s="10"/>
      <c r="AP31" s="4"/>
      <c r="AW31" s="52">
        <v>21.6</v>
      </c>
      <c r="BS31" s="4"/>
      <c r="BZ31" s="52">
        <v>21.6</v>
      </c>
      <c r="CV31" s="4"/>
      <c r="DC31" s="52">
        <v>21.6</v>
      </c>
      <c r="EA31" s="4"/>
      <c r="EH31" s="52">
        <v>21.6</v>
      </c>
      <c r="FC31" s="4"/>
      <c r="FJ31" s="52">
        <v>21.6</v>
      </c>
      <c r="GE31" s="4"/>
      <c r="GL31" s="52">
        <v>21.6</v>
      </c>
      <c r="HG31" s="4"/>
      <c r="HN31" s="52">
        <v>21.6</v>
      </c>
      <c r="II31" s="4"/>
      <c r="IP31" s="52">
        <v>21.6</v>
      </c>
      <c r="JK31" s="4"/>
      <c r="JR31" s="52">
        <v>21.6</v>
      </c>
      <c r="KM31" s="4"/>
      <c r="KT31" s="52">
        <v>21.6</v>
      </c>
      <c r="LO31" s="4"/>
      <c r="LV31" s="52">
        <v>21.6</v>
      </c>
      <c r="MQ31" s="4"/>
      <c r="MX31" s="52">
        <v>21.6</v>
      </c>
      <c r="NS31" s="4"/>
      <c r="NZ31" s="52">
        <v>21.6</v>
      </c>
      <c r="OU31" s="4"/>
      <c r="PB31" s="52">
        <v>21.6</v>
      </c>
      <c r="PW31" s="4"/>
      <c r="QD31" s="52">
        <v>21.6</v>
      </c>
      <c r="QY31" s="4"/>
      <c r="RF31" s="52">
        <v>21.6</v>
      </c>
      <c r="RG31"/>
      <c r="SA31" s="4"/>
      <c r="SB31" s="36"/>
      <c r="SC31" s="36"/>
      <c r="SD31" s="36"/>
      <c r="SE31" s="36"/>
      <c r="SF31" s="36"/>
      <c r="SG31" s="36"/>
      <c r="SH31" s="52">
        <v>21.6</v>
      </c>
      <c r="TC31" s="4"/>
      <c r="TD31" s="36"/>
      <c r="TE31" s="36"/>
      <c r="TF31" s="36"/>
      <c r="TG31" s="36"/>
      <c r="TH31" s="36"/>
      <c r="TI31" s="36"/>
      <c r="TJ31" s="52">
        <v>21.6</v>
      </c>
    </row>
    <row r="32" spans="1:559" ht="17" x14ac:dyDescent="0.2">
      <c r="A32" s="5"/>
      <c r="B32" s="31" t="s">
        <v>63</v>
      </c>
      <c r="C32" s="20"/>
      <c r="R32" s="10"/>
      <c r="S32" s="10"/>
      <c r="T32" s="10"/>
      <c r="AP32" s="4"/>
      <c r="AW32" s="44">
        <v>23.2</v>
      </c>
      <c r="BS32" s="4"/>
      <c r="BZ32" s="44">
        <v>23.2</v>
      </c>
      <c r="CV32" s="4"/>
      <c r="DC32" s="44">
        <v>23.2</v>
      </c>
      <c r="EA32" s="4"/>
      <c r="EH32" s="44">
        <v>23.2</v>
      </c>
      <c r="FC32" s="4"/>
      <c r="FJ32" s="44">
        <v>23.2</v>
      </c>
      <c r="GE32" s="4"/>
      <c r="GL32" s="44">
        <v>23.2</v>
      </c>
      <c r="HG32" s="4"/>
      <c r="HN32" s="44">
        <v>23.2</v>
      </c>
      <c r="II32" s="4"/>
      <c r="IP32" s="44">
        <v>23.2</v>
      </c>
      <c r="JK32" s="4"/>
      <c r="JR32" s="44">
        <v>23.2</v>
      </c>
      <c r="KM32" s="4"/>
      <c r="KT32" s="44">
        <v>23.2</v>
      </c>
      <c r="LO32" s="4"/>
      <c r="LV32" s="44">
        <v>23.2</v>
      </c>
      <c r="MQ32" s="4"/>
      <c r="MX32" s="44">
        <v>23.2</v>
      </c>
      <c r="NS32" s="4"/>
      <c r="NZ32" s="44">
        <v>23.2</v>
      </c>
      <c r="OU32" s="4"/>
      <c r="PB32" s="44">
        <v>23.2</v>
      </c>
      <c r="PW32" s="4"/>
      <c r="QD32" s="44">
        <v>23.2</v>
      </c>
      <c r="QY32" s="4"/>
      <c r="RF32" s="44">
        <v>23.2</v>
      </c>
      <c r="RG32"/>
      <c r="SA32" s="4"/>
      <c r="SB32" s="36"/>
      <c r="SC32" s="36"/>
      <c r="SD32" s="36"/>
      <c r="SE32" s="36"/>
      <c r="SF32" s="36"/>
      <c r="SG32" s="36"/>
      <c r="SH32" s="44">
        <v>23.2</v>
      </c>
      <c r="TC32" s="4"/>
      <c r="TD32" s="36"/>
      <c r="TE32" s="36"/>
      <c r="TF32" s="36"/>
      <c r="TG32" s="36"/>
      <c r="TH32" s="36"/>
      <c r="TI32" s="36"/>
      <c r="TJ32" s="44">
        <v>23.2</v>
      </c>
    </row>
    <row r="33" spans="1:530" ht="17" x14ac:dyDescent="0.2">
      <c r="A33" s="5"/>
      <c r="B33" s="35" t="s">
        <v>76</v>
      </c>
      <c r="C33" s="20"/>
      <c r="R33" s="10"/>
      <c r="S33" s="10"/>
      <c r="T33" s="10"/>
      <c r="AP33" s="4"/>
      <c r="AW33" s="45">
        <v>25.6</v>
      </c>
      <c r="BS33" s="4"/>
      <c r="BZ33" s="45">
        <v>25.6</v>
      </c>
      <c r="CV33" s="4"/>
      <c r="DC33" s="45">
        <v>25.6</v>
      </c>
      <c r="EA33" s="4"/>
      <c r="EH33" s="45">
        <v>25.6</v>
      </c>
      <c r="FC33" s="4"/>
      <c r="FJ33" s="45">
        <v>25.6</v>
      </c>
      <c r="GE33" s="4"/>
      <c r="GL33" s="45">
        <v>25.6</v>
      </c>
      <c r="HG33" s="4"/>
      <c r="HN33" s="45">
        <v>25.6</v>
      </c>
      <c r="II33" s="4"/>
      <c r="IP33" s="45">
        <v>25.6</v>
      </c>
      <c r="JK33" s="4"/>
      <c r="JR33" s="45">
        <v>25.6</v>
      </c>
      <c r="KM33" s="4"/>
      <c r="KT33" s="45">
        <v>25.6</v>
      </c>
      <c r="LO33" s="4"/>
      <c r="LV33" s="45">
        <v>25.6</v>
      </c>
      <c r="MQ33" s="4"/>
      <c r="MX33" s="45">
        <v>25.6</v>
      </c>
      <c r="NS33" s="4"/>
      <c r="NZ33" s="45">
        <v>25.6</v>
      </c>
      <c r="OU33" s="4"/>
      <c r="PB33" s="45">
        <v>25.6</v>
      </c>
      <c r="PW33" s="4"/>
      <c r="QD33" s="45">
        <v>25.6</v>
      </c>
      <c r="QY33" s="4"/>
      <c r="RF33" s="45">
        <v>25.6</v>
      </c>
      <c r="RG33"/>
      <c r="SA33" s="4"/>
      <c r="SB33" s="36"/>
      <c r="SC33" s="36"/>
      <c r="SD33" s="36"/>
      <c r="SE33" s="36"/>
      <c r="SF33" s="36"/>
      <c r="SG33" s="36"/>
      <c r="SH33" s="45">
        <v>25.6</v>
      </c>
      <c r="TC33" s="4"/>
      <c r="TD33" s="36"/>
      <c r="TE33" s="36"/>
      <c r="TF33" s="36"/>
      <c r="TG33" s="36"/>
      <c r="TH33" s="36"/>
      <c r="TI33" s="36"/>
      <c r="TJ33" s="45">
        <v>25.6</v>
      </c>
    </row>
    <row r="34" spans="1:530" ht="17" x14ac:dyDescent="0.2">
      <c r="A34" s="5"/>
      <c r="B34" s="34" t="s">
        <v>48</v>
      </c>
      <c r="C34" s="20"/>
      <c r="R34" s="10"/>
      <c r="S34" s="10"/>
      <c r="T34" s="10"/>
      <c r="AP34" s="4"/>
      <c r="AW34" s="46">
        <v>51.2</v>
      </c>
      <c r="BS34" s="4"/>
      <c r="BZ34" s="46">
        <v>51.2</v>
      </c>
      <c r="CV34" s="4"/>
      <c r="DC34" s="46">
        <v>51.2</v>
      </c>
      <c r="EA34" s="4"/>
      <c r="EH34" s="46">
        <v>51.2</v>
      </c>
      <c r="FC34" s="4"/>
      <c r="FJ34" s="46">
        <v>51.2</v>
      </c>
      <c r="GE34" s="4"/>
      <c r="GL34" s="46">
        <v>51.2</v>
      </c>
      <c r="HG34" s="4"/>
      <c r="HN34" s="46">
        <v>51.2</v>
      </c>
      <c r="II34" s="4"/>
      <c r="IP34" s="46">
        <v>51.2</v>
      </c>
      <c r="JK34" s="4"/>
      <c r="JR34" s="46">
        <v>51.2</v>
      </c>
      <c r="KM34" s="4"/>
      <c r="KT34" s="46">
        <v>51.2</v>
      </c>
      <c r="LO34" s="4"/>
      <c r="LV34" s="46">
        <v>51.2</v>
      </c>
      <c r="MQ34" s="4"/>
      <c r="MX34" s="46">
        <v>51.2</v>
      </c>
      <c r="NS34" s="4"/>
      <c r="NZ34" s="46">
        <v>51.2</v>
      </c>
      <c r="OU34" s="4"/>
      <c r="PB34" s="46">
        <v>51.2</v>
      </c>
      <c r="PW34" s="4"/>
      <c r="QD34" s="46">
        <v>51.2</v>
      </c>
      <c r="QY34" s="4"/>
      <c r="RF34" s="46">
        <v>51.2</v>
      </c>
      <c r="RG34"/>
      <c r="SA34" s="4"/>
      <c r="SB34" s="36"/>
      <c r="SC34" s="36"/>
      <c r="SD34" s="36"/>
      <c r="SE34" s="36"/>
      <c r="SF34" s="36"/>
      <c r="SG34" s="36"/>
      <c r="SH34" s="46">
        <v>51.2</v>
      </c>
      <c r="TC34" s="4"/>
      <c r="TD34" s="36"/>
      <c r="TE34" s="36"/>
      <c r="TF34" s="36"/>
      <c r="TG34" s="36"/>
      <c r="TH34" s="36"/>
      <c r="TI34" s="36"/>
      <c r="TJ34" s="46">
        <v>51.2</v>
      </c>
    </row>
    <row r="35" spans="1:530" ht="17" x14ac:dyDescent="0.2">
      <c r="A35" s="5"/>
      <c r="B35" s="24" t="s">
        <v>49</v>
      </c>
      <c r="C35" s="20"/>
      <c r="R35" s="10"/>
      <c r="S35" s="10"/>
      <c r="T35" s="10"/>
      <c r="AP35" s="4"/>
      <c r="AW35" s="47">
        <v>77.2</v>
      </c>
      <c r="BS35" s="4"/>
      <c r="BZ35" s="47">
        <v>77.2</v>
      </c>
      <c r="CV35" s="4"/>
      <c r="DC35" s="47">
        <v>77.2</v>
      </c>
      <c r="EA35" s="4"/>
      <c r="EH35" s="47">
        <v>77.2</v>
      </c>
      <c r="FC35" s="4"/>
      <c r="FJ35" s="47">
        <v>77.2</v>
      </c>
      <c r="GE35" s="4"/>
      <c r="GL35" s="47">
        <v>77.2</v>
      </c>
      <c r="HG35" s="4"/>
      <c r="HN35" s="47">
        <v>77.2</v>
      </c>
      <c r="II35" s="4"/>
      <c r="IP35" s="47">
        <v>77.2</v>
      </c>
      <c r="JK35" s="4"/>
      <c r="JR35" s="47">
        <v>77.2</v>
      </c>
      <c r="KM35" s="4"/>
      <c r="KT35" s="47">
        <v>77.2</v>
      </c>
      <c r="LO35" s="4"/>
      <c r="LV35" s="47">
        <v>77.2</v>
      </c>
      <c r="MQ35" s="4"/>
      <c r="MX35" s="47">
        <v>77.2</v>
      </c>
      <c r="NS35" s="4"/>
      <c r="NZ35" s="47">
        <v>77.2</v>
      </c>
      <c r="OU35" s="4"/>
      <c r="PB35" s="47">
        <v>77.2</v>
      </c>
      <c r="PW35" s="4"/>
      <c r="QD35" s="47">
        <v>77.2</v>
      </c>
      <c r="QY35" s="4"/>
      <c r="RF35" s="47">
        <v>77.2</v>
      </c>
      <c r="RG35"/>
      <c r="SA35" s="4"/>
      <c r="SB35" s="36"/>
      <c r="SC35" s="36"/>
      <c r="SD35" s="36"/>
      <c r="SE35" s="36"/>
      <c r="SF35" s="36"/>
      <c r="SG35" s="36"/>
      <c r="SH35" s="47">
        <v>77.2</v>
      </c>
      <c r="TC35" s="4"/>
      <c r="TD35" s="36"/>
      <c r="TE35" s="36"/>
      <c r="TF35" s="36"/>
      <c r="TG35" s="36"/>
      <c r="TH35" s="36"/>
      <c r="TI35" s="36"/>
      <c r="TJ35" s="47">
        <v>77.2</v>
      </c>
    </row>
    <row r="36" spans="1:530" ht="17" x14ac:dyDescent="0.2">
      <c r="A36" s="5"/>
      <c r="B36" s="33" t="s">
        <v>62</v>
      </c>
      <c r="C36" s="20"/>
      <c r="R36" s="10"/>
      <c r="S36" s="10"/>
      <c r="T36" s="10"/>
      <c r="AP36" s="4"/>
      <c r="AW36" s="48">
        <v>79.8</v>
      </c>
      <c r="BS36" s="4"/>
      <c r="BZ36" s="48">
        <v>79.8</v>
      </c>
      <c r="CV36" s="4"/>
      <c r="DC36" s="48">
        <v>79.8</v>
      </c>
      <c r="EA36" s="4"/>
      <c r="EH36" s="48">
        <v>79.8</v>
      </c>
      <c r="FC36" s="4"/>
      <c r="FJ36" s="48">
        <v>79.8</v>
      </c>
      <c r="GE36" s="4"/>
      <c r="GL36" s="48">
        <v>79.8</v>
      </c>
      <c r="HG36" s="4"/>
      <c r="HN36" s="48">
        <v>79.8</v>
      </c>
      <c r="II36" s="4"/>
      <c r="IP36" s="48">
        <v>79.8</v>
      </c>
      <c r="JK36" s="4"/>
      <c r="JR36" s="48">
        <v>79.8</v>
      </c>
      <c r="KM36" s="4"/>
      <c r="KT36" s="48">
        <v>79.8</v>
      </c>
      <c r="LO36" s="4"/>
      <c r="LV36" s="48">
        <v>79.8</v>
      </c>
      <c r="MQ36" s="4"/>
      <c r="MX36" s="48">
        <v>79.8</v>
      </c>
      <c r="NS36" s="4"/>
      <c r="NZ36" s="48">
        <v>79.8</v>
      </c>
      <c r="OU36" s="4"/>
      <c r="PB36" s="48">
        <v>79.8</v>
      </c>
      <c r="PW36" s="4"/>
      <c r="QD36" s="48">
        <v>79.8</v>
      </c>
      <c r="QY36" s="4"/>
      <c r="RF36" s="48">
        <v>79.8</v>
      </c>
      <c r="RG36"/>
      <c r="SA36" s="4"/>
      <c r="SB36" s="36"/>
      <c r="SC36" s="36"/>
      <c r="SD36" s="36"/>
      <c r="SE36" s="36"/>
      <c r="SF36" s="36"/>
      <c r="SG36" s="36"/>
      <c r="SH36" s="48">
        <v>79.8</v>
      </c>
      <c r="TC36" s="4"/>
      <c r="TD36" s="36"/>
      <c r="TE36" s="36"/>
      <c r="TF36" s="36"/>
      <c r="TG36" s="36"/>
      <c r="TH36" s="36"/>
      <c r="TI36" s="36"/>
      <c r="TJ36" s="48">
        <v>79.8</v>
      </c>
    </row>
    <row r="37" spans="1:530" ht="17" x14ac:dyDescent="0.2">
      <c r="A37" s="5"/>
      <c r="B37" s="25" t="s">
        <v>32</v>
      </c>
      <c r="C37" s="20"/>
      <c r="R37" s="10"/>
      <c r="S37" s="10"/>
      <c r="T37" s="10"/>
      <c r="AP37" s="4"/>
      <c r="AW37" s="49">
        <v>82.2</v>
      </c>
      <c r="BS37" s="4"/>
      <c r="BZ37" s="49">
        <v>82.2</v>
      </c>
      <c r="CV37" s="4"/>
      <c r="DC37" s="49">
        <v>82.2</v>
      </c>
      <c r="EA37" s="4"/>
      <c r="EH37" s="49">
        <v>82.2</v>
      </c>
      <c r="FC37" s="4"/>
      <c r="FJ37" s="49">
        <v>82.2</v>
      </c>
      <c r="GE37" s="4"/>
      <c r="GL37" s="49">
        <v>82.2</v>
      </c>
      <c r="HG37" s="4"/>
      <c r="HN37" s="49">
        <v>82.2</v>
      </c>
      <c r="II37" s="4"/>
      <c r="IP37" s="49">
        <v>82.2</v>
      </c>
      <c r="JK37" s="4"/>
      <c r="JR37" s="49">
        <v>82.2</v>
      </c>
      <c r="KM37" s="4"/>
      <c r="KT37" s="49">
        <v>82.2</v>
      </c>
      <c r="LO37" s="4"/>
      <c r="LV37" s="49">
        <v>82.2</v>
      </c>
      <c r="MQ37" s="4"/>
      <c r="MX37" s="49">
        <v>82.2</v>
      </c>
      <c r="NS37" s="4"/>
      <c r="NZ37" s="49">
        <v>82.2</v>
      </c>
      <c r="OU37" s="4"/>
      <c r="PB37" s="49">
        <v>82.2</v>
      </c>
      <c r="PW37" s="4"/>
      <c r="QD37" s="49">
        <v>82.2</v>
      </c>
      <c r="QY37" s="4"/>
      <c r="RF37" s="49">
        <v>82.2</v>
      </c>
      <c r="RG37"/>
      <c r="SA37" s="4"/>
      <c r="SB37" s="36"/>
      <c r="SC37" s="36"/>
      <c r="SD37" s="36"/>
      <c r="SE37" s="36"/>
      <c r="SF37" s="36"/>
      <c r="SG37" s="36"/>
      <c r="SH37" s="49">
        <v>82.2</v>
      </c>
      <c r="TC37" s="4"/>
      <c r="TD37" s="36"/>
      <c r="TE37" s="36"/>
      <c r="TF37" s="36"/>
      <c r="TG37" s="36"/>
      <c r="TH37" s="36"/>
      <c r="TI37" s="36"/>
      <c r="TJ37" s="49">
        <v>82.2</v>
      </c>
    </row>
    <row r="38" spans="1:530" x14ac:dyDescent="0.2">
      <c r="B38" s="29" t="s">
        <v>54</v>
      </c>
      <c r="C38" s="2"/>
    </row>
    <row r="39" spans="1:530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530" x14ac:dyDescent="0.2">
      <c r="A40" s="5"/>
      <c r="B40" s="5"/>
      <c r="C40" s="20"/>
    </row>
    <row r="41" spans="1:530" x14ac:dyDescent="0.2">
      <c r="A41" s="5"/>
      <c r="B41" s="5"/>
      <c r="C41" s="20"/>
    </row>
    <row r="42" spans="1:530" x14ac:dyDescent="0.2">
      <c r="A42" s="5"/>
      <c r="B42" s="5"/>
      <c r="C42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27">
      <sortCondition descending="1" ref="F1:F28"/>
    </sortState>
  </autoFilter>
  <mergeCells count="135"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7">
    <cfRule type="expression" dxfId="93" priority="38" stopIfTrue="1">
      <formula>IF($AO4&lt;&gt;"",1,0)</formula>
    </cfRule>
  </conditionalFormatting>
  <conditionalFormatting sqref="AX4:BZ27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27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 RC1:RC37 SE1:SE37 TG1:TG37">
    <cfRule type="cellIs" dxfId="80" priority="59119" operator="between">
      <formula>AW$37</formula>
      <formula>1000</formula>
    </cfRule>
    <cfRule type="cellIs" dxfId="79" priority="59120" operator="between">
      <formula>AW$36</formula>
      <formula>AW$37</formula>
    </cfRule>
    <cfRule type="cellIs" dxfId="78" priority="59121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37 QY1:QY37 TC1:TC37">
    <cfRule type="cellIs" dxfId="77" priority="127421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37 QZ1:QZ37 TD1:TD37">
    <cfRule type="cellIs" dxfId="76" priority="127472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37 SF1:SF37 TH1:TH37">
    <cfRule type="cellIs" dxfId="75" priority="127523" operator="between">
      <formula>AW$30</formula>
      <formula>AW$31</formula>
    </cfRule>
    <cfRule type="cellIs" dxfId="74" priority="127524" operator="between">
      <formula>AW$31</formula>
      <formula>AW$32</formula>
    </cfRule>
    <cfRule type="cellIs" dxfId="73" priority="127525" operator="between">
      <formula>AW$32</formula>
      <formula>AW$33</formula>
    </cfRule>
    <cfRule type="cellIs" dxfId="72" priority="127526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37 SG1:SG37 TI1:TI37">
    <cfRule type="cellIs" dxfId="71" priority="127727" operator="between">
      <formula>AW$34</formula>
      <formula>AW$35</formula>
    </cfRule>
    <cfRule type="cellIs" dxfId="70" priority="127728" operator="between">
      <formula>AW$35</formula>
      <formula>AW$36</formula>
    </cfRule>
    <cfRule type="cellIs" dxfId="69" priority="127729" operator="between">
      <formula>AW$36</formula>
      <formula>AW$37</formula>
    </cfRule>
    <cfRule type="cellIs" dxfId="68" priority="127730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37 SD1:SD37 TF1:TF37">
    <cfRule type="cellIs" dxfId="67" priority="127931" operator="between">
      <formula>AW$33</formula>
      <formula>1000</formula>
    </cfRule>
    <cfRule type="cellIs" dxfId="66" priority="127932" operator="between">
      <formula>AW$32</formula>
      <formula>AW$33</formula>
    </cfRule>
    <cfRule type="cellIs" dxfId="65" priority="127933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223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 t="s">
        <v>244</v>
      </c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DD"),SUMPRODUCT((H$4:H$23&lt;&gt;"")*(H$4:H$23&lt;&gt;"No DD")*(E$4:E$23&gt;E4))+1,IF(H4="No DD",SUMPRODUCT((H$4:H$23="No DD")*(E$4:E$23&gt;E4))+1+SUMPRODUCT((H$4:H$23&lt;&gt;"")*(H$4:H$23&lt;&gt;"No DD")),""))</f>
        <v>1</v>
      </c>
      <c r="B4" s="5" t="s">
        <v>70</v>
      </c>
      <c r="C4" s="4" t="s">
        <v>6</v>
      </c>
      <c r="D4" s="4">
        <v>2001</v>
      </c>
      <c r="E4" s="9">
        <f t="shared" ref="E4:E22" si="0">SUM(J4:R4)+SUM(J4:N4)*0.0000001+SUM(J4)*0.0000000000001</f>
        <v>178.70001262000511</v>
      </c>
      <c r="F4" s="3" t="str">
        <f t="shared" ref="F4:F22" si="1"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,AND(QY4&gt;=RF$25,QZ4&gt;=RF$29,QY4&lt;&gt;""),AND(RD4&gt;=RF$25,RE4&gt;=RF$29,RD4&lt;&gt;""),AND(SA4&gt;=SH$25,SB4&gt;=SH$29,SA4&lt;&gt;""),AND(SF4&gt;=SH$25,SG4&gt;=SH$29,SF4&lt;&gt;""),AND(TC4&gt;=TJ$25,TD4&gt;=TJ$29,TC4&lt;&gt;""),AND(TI4&gt;=TJ$25,TJ4&gt;=TJ$29,TI4&lt;&gt;"")),"P","")</f>
        <v>P</v>
      </c>
      <c r="G4" s="3" t="str">
        <f t="shared" ref="G4:G22" si="2"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,AND(QZ4&gt;=RF$29,QZ4&lt;&gt;""),AND(RE4&gt;=RF$29,RE4&lt;&gt;""),AND(SB4&gt;=SH$29,SB4&lt;&gt;""),AND(SG4&gt;=SH$29,SG4&lt;&gt;""),AND(TD4&gt;=TJ$29,TD4&lt;&gt;""),AND(TJ4&gt;=TJ$29,TJ4&lt;&gt;"")),"P","")</f>
        <v>P</v>
      </c>
      <c r="H4" s="36" t="str">
        <f t="shared" ref="H4:H22" si="3"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Excellence",IF(I4="P","Worlds Team",IF(F4="P","National Team","")))))</f>
        <v>Merit</v>
      </c>
      <c r="I4" s="3" t="str">
        <f t="shared" ref="I4:I22" si="4"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P","")</f>
        <v>P</v>
      </c>
      <c r="J4" s="8">
        <f>IF(COUNT(AQ4,BT4,CW4)&gt;0,LARGE((AQ4,BT4,CW4),1),0)</f>
        <v>50.999999999999993</v>
      </c>
      <c r="K4" s="8" t="str">
        <f t="shared" ref="K4:K22" si="5">IF(J4=0,"",IF(J4=CW4,$CA$1,IF(J4=BT4,$AX$1,IF(J4=AQ4,$U$1,""))))</f>
        <v>2024 Elite Canada</v>
      </c>
      <c r="L4" s="8">
        <f>IF(COUNT(AQ4,BT4,CW4)&gt;1,LARGE((AQ4,BT4,CW4),2),0)</f>
        <v>49.5</v>
      </c>
      <c r="M4" s="8" t="str">
        <f t="shared" ref="M4:M22" si="6"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 t="shared" ref="O4:O22" si="7">IF(N4=0,"",IF(N4=CX4,$CA$1,IF(N4=BU4,$AX$1,IF(N4=AR4,$U$1,""))))</f>
        <v>2024 Nationals</v>
      </c>
      <c r="P4" s="8">
        <f t="shared" ref="P4:P22" si="8">IF(MAX(AV4,BY4,DB4)&gt;0,MAX(AV4,BY4,DB4),0)</f>
        <v>51.599999999999994</v>
      </c>
      <c r="Q4" s="8" t="str">
        <f t="shared" ref="Q4:Q22" si="9">IF(P4=0,"",IF(P4=DB4,$CA$1,IF(P4=BY4,$AX$1,IF(P4=AV4,$U$1,""))))</f>
        <v>2024 Nationals</v>
      </c>
      <c r="R4" s="8">
        <f t="shared" ref="R4:R22" si="10">IF(MAX(DD4:DF4)&gt;0,MAX(DD4:DF4),"")</f>
        <v>0.89999999999999858</v>
      </c>
      <c r="S4" s="11" t="str">
        <f t="shared" ref="S4:S22" si="11">IF(R4="","",IF(R4=DD4,"("&amp;DD$2&amp;")",IF(R4=DE4,"("&amp;DE$2&amp;")",IF(R4=DF4,"("&amp;DF$2&amp;")"))))</f>
        <v>(Q1)</v>
      </c>
      <c r="T4" s="8" t="str">
        <f t="shared" ref="T4:T22" si="12"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 t="shared" ref="AP4:AP22" si="13">IF(SUM(V4,Z4)&gt;0,SUM(V4,Z4),"")</f>
        <v>14</v>
      </c>
      <c r="AQ4" s="40">
        <f t="shared" ref="AQ4:AQ22" si="14">IF(SUM(U4:V4,X4:Z4,AB4)-W4-AA4&gt;0,SUM(U4:V4,X4:Z4,AB4)-W4-AA4,"")</f>
        <v>50.999999999999993</v>
      </c>
      <c r="AR4" s="40">
        <f t="shared" ref="AR4:AR22" si="15">IF(SUM(AC4:AD4,AF4)-AE4&gt;0,SUM(AC4:AD4,AF4)-AE4,"")</f>
        <v>25.200000000000003</v>
      </c>
      <c r="AS4" s="40">
        <f t="shared" ref="AS4:AS22" si="16">IF(SUM(V4,Z4,AD4)&gt;0,SUM(V4,Z4,AD4),"")</f>
        <v>20.8</v>
      </c>
      <c r="AT4" s="40">
        <f t="shared" ref="AT4:AT22" si="17">IF(SUM(AQ4,AR4)&gt;0,SUM(AQ4,AR4),"")</f>
        <v>76.199999999999989</v>
      </c>
      <c r="AU4" s="40">
        <f t="shared" ref="AU4:AU22" si="18">IF(SUM(AH4,AL4)&gt;0,SUM(AH4,AL4),"")</f>
        <v>13.2</v>
      </c>
      <c r="AV4" s="40">
        <f t="shared" ref="AV4:AV22" si="19">IF(SUM(AG4:AH4,AJ4:AL4,AN4)-SUM(AI4,AM4)&gt;0,SUM(AG4:AH4,AJ4:AL4,AN4)-SUM(AI4,AM4),"")</f>
        <v>51.199999999999996</v>
      </c>
      <c r="AW4" s="40">
        <f t="shared" ref="AW4:AW22" si="20"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 t="shared" ref="BS4:BS22" si="21">IF(SUM(AY4,BC4)&gt;0,SUM(AY4,BC4),"")</f>
        <v>11.600000000000001</v>
      </c>
      <c r="BT4" s="11">
        <f t="shared" ref="BT4:BT22" si="22">IF(SUM(AX4:AY4,BA4:BC4,BE4)-AZ4-BD4&gt;0,SUM(AX4:AY4,BA4:BC4,BE4)-AZ4-BD4,"")</f>
        <v>48</v>
      </c>
      <c r="BU4" s="11">
        <f t="shared" ref="BU4:BU22" si="23">IF(SUM(BF4:BG4,BI4)-BH4&gt;0,SUM(BF4:BG4,BI4)-BH4,"")</f>
        <v>25.700000000000003</v>
      </c>
      <c r="BV4" s="11">
        <f t="shared" ref="BV4:BV22" si="24">IF(SUM(AY4,BC4,BG4)&gt;0,SUM(AY4,BC4,BG4),"")</f>
        <v>18.400000000000002</v>
      </c>
      <c r="BW4" s="11">
        <f t="shared" ref="BW4:BW22" si="25">IF(SUM(BT4,BU4)&gt;0,SUM(BT4,BU4),"")</f>
        <v>73.7</v>
      </c>
      <c r="BX4" s="11">
        <f t="shared" ref="BX4:BX22" si="26">IF(SUM(BK4,BO4)&gt;0,SUM(BK4,BO4),"")</f>
        <v>14</v>
      </c>
      <c r="BY4" s="11">
        <f t="shared" ref="BY4:BY22" si="27">IF(SUM(BJ4:BK4,BM4:BO4,BQ4)-SUM(BL4,BP4)&gt;0,SUM(BJ4:BK4,BM4:BO4,BQ4)-SUM(BL4,BP4),"")</f>
        <v>51.599999999999994</v>
      </c>
      <c r="BZ4" s="11">
        <f t="shared" ref="BZ4:BZ22" si="28"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 t="shared" ref="CV4:CV22" si="29">IF(SUM(CB4,CF4)&gt;0,SUM(CB4,CF4),"")</f>
        <v>12.8</v>
      </c>
      <c r="CW4" s="40">
        <f t="shared" ref="CW4:CW22" si="30">IF(SUM(CA4:CB4,CD4:CF4,CH4)-CC4-CG4&gt;0,SUM(CA4:CB4,CD4:CF4,CH4)-CC4-CG4,"")</f>
        <v>49.5</v>
      </c>
      <c r="CX4" s="40">
        <f t="shared" ref="CX4:CX22" si="31">IF(SUM(CI4:CJ4,CL4)-CK4&gt;0,SUM(CI4:CJ4,CL4)-CK4,"")</f>
        <v>25.450000000000003</v>
      </c>
      <c r="CY4" s="40">
        <f t="shared" ref="CY4:CY22" si="32">IF(SUM(CB4,CF4,CJ4)&gt;0,SUM(CB4,CF4,CJ4),"")</f>
        <v>19.600000000000001</v>
      </c>
      <c r="CZ4" s="40">
        <f t="shared" ref="CZ4:CZ22" si="33">IF(SUM(CW4,CX4)&gt;0,SUM(CW4,CX4),"")</f>
        <v>74.95</v>
      </c>
      <c r="DA4" s="40">
        <f t="shared" ref="DA4:DA22" si="34">IF(SUM(CN4,CR4)&gt;0,SUM(CN4,CR4),"")</f>
        <v>13.600000000000001</v>
      </c>
      <c r="DB4" s="40">
        <f t="shared" ref="DB4:DB22" si="35">IF(SUM(CM4:CN4,CP4:CR4,CT4)-SUM(CO4,CS4)&gt;0,SUM(CM4:CN4,CP4:CR4,CT4)-SUM(CO4,CS4),"")</f>
        <v>51.399999999999991</v>
      </c>
      <c r="DC4" s="40">
        <f t="shared" ref="DC4:DC22" si="36">IF(SUM(CW4,CX4,DB4)&gt;0,SUM(CW4,CX4,DB4),"")</f>
        <v>126.35</v>
      </c>
      <c r="DD4" s="51">
        <f t="shared" ref="DD4:DD22" si="37">IF(MAX(EB4,FD4,GF4,HH4,IJ4,JL4,KN4,LP4,MR4,NT4,OV4,PX4,QZ4,SB4,TD4)-IF(L4="",0,L4)&gt;0.001,MAX(EB4,FD4,GF4,HH4,IJ4,JL4,KN4,LP4,MR4,NT4,OV4,PX4,QZ4,SB4,TD4)-IF(L4="",0,L4),"")</f>
        <v>0.89999999999999858</v>
      </c>
      <c r="DE4" s="51" t="str">
        <f t="shared" ref="DE4:DE22" si="38">IF(MAX(EC4,FE4,GG4,HI4,IK4,JM4,KO4,LQ4,MS4,NU4,OW4,PY4,RA4,SC4,TE4)-IF(N4="",0,N4)&gt;0.001,MAX(EC4,FE4,GG4,HI4,IK4,JM4,KO4,LQ4,MS4,NU4,OW4,PY4,RA4,SC4,TE4)-IF(N4="",0,N4),"")</f>
        <v/>
      </c>
      <c r="DF4" s="51" t="str">
        <f t="shared" ref="DF4:DF22" si="39"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2" si="40">IF(SUM(DH4,DL4)&gt;0,SUM(DH4,DL4),"")</f>
        <v/>
      </c>
      <c r="EB4" s="40" t="str">
        <f t="shared" ref="EB4:EB22" si="41">IF(SUM(DG4:DH4,DJ4:DL4,DN4)-DI4-DM4&gt;0,SUM(DG4:DH4,DJ4:DL4,DN4)-DI4-DM4,"")</f>
        <v/>
      </c>
      <c r="EC4" s="40" t="str">
        <f t="shared" ref="EC4:EC22" si="42">IF(SUM(DO4:DP4,DR4)-DQ4&gt;0,SUM(DO4:DP4,DR4)-DQ4,"")</f>
        <v/>
      </c>
      <c r="ED4" s="40" t="str">
        <f t="shared" ref="ED4:ED22" si="43">IF(SUM(DH4,DL4,DP4)&gt;0,SUM(DH4,DL4,DP4),"")</f>
        <v/>
      </c>
      <c r="EE4" s="40" t="str">
        <f t="shared" ref="EE4:EE22" si="44">IF(SUM(EB4,EC4)&gt;0,SUM(EB4,EC4),"")</f>
        <v/>
      </c>
      <c r="EF4" s="40" t="str">
        <f t="shared" ref="EF4:EF22" si="45">IF(SUM(DT4,DX4)&gt;0,SUM(DT4,DX4),"")</f>
        <v/>
      </c>
      <c r="EG4" s="40" t="str">
        <f t="shared" ref="EG4:EG22" si="46">IF(SUM(DS4:DT4,DV4:DX4,DZ4)-SUM(DU4,DY4)&gt;0,SUM(DS4:DT4,DV4:DX4,DZ4)-SUM(DU4,DY4),"")</f>
        <v/>
      </c>
      <c r="EH4" s="40" t="str">
        <f t="shared" ref="EH4:EH22" si="47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2" si="48">IF(SUM(EJ4,EN4)&gt;0,SUM(EJ4,EN4),"")</f>
        <v/>
      </c>
      <c r="FD4" s="11" t="str">
        <f t="shared" ref="FD4:FD22" si="49">IF(SUM(EI4:EJ4,EL4:EN4,EP4)-EK4-EO4&gt;0,SUM(EI4:EJ4,EL4:EN4,EP4)-EK4-EO4,"")</f>
        <v/>
      </c>
      <c r="FE4" s="11" t="str">
        <f t="shared" ref="FE4:FE22" si="50">IF(SUM(EQ4:ER4,ET4)-ES4&gt;0,SUM(EQ4:ER4,ET4)-ES4,"")</f>
        <v/>
      </c>
      <c r="FF4" s="11" t="str">
        <f t="shared" ref="FF4:FF22" si="51">IF(SUM(EJ4,EN4,ER4)&gt;0,SUM(EJ4,EN4,ER4),"")</f>
        <v/>
      </c>
      <c r="FG4" s="11" t="str">
        <f t="shared" ref="FG4:FG22" si="52">IF(SUM(FD4,FE4)&gt;0,SUM(FD4,FE4),"")</f>
        <v/>
      </c>
      <c r="FH4" s="11" t="str">
        <f t="shared" ref="FH4:FH22" si="53">IF(SUM(EV4,EZ4)&gt;0,SUM(EV4,EZ4),"")</f>
        <v/>
      </c>
      <c r="FI4" s="11" t="str">
        <f t="shared" ref="FI4:FI22" si="54">IF(SUM(EU4:EV4,EX4:EZ4,FB4)-SUM(EW4,FA4)&gt;0,SUM(EU4:EV4,EX4:EZ4,FB4)-SUM(EW4,FA4),"")</f>
        <v/>
      </c>
      <c r="FJ4" s="11" t="str">
        <f t="shared" ref="FJ4:FJ22" si="55"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 t="shared" ref="GE4:GE22" si="56">IF(SUM(FL4,FP4)&gt;0,SUM(FL4,FP4),"")</f>
        <v>14</v>
      </c>
      <c r="GF4" s="40">
        <f t="shared" ref="GF4:GF22" si="57">IF(SUM(FK4:FL4,FN4:FP4,FR4)-FM4-FQ4&gt;0,SUM(FK4:FL4,FN4:FP4,FR4)-FM4-FQ4,"")</f>
        <v>50.4</v>
      </c>
      <c r="GG4" s="40" t="str">
        <f t="shared" ref="GG4:GG22" si="58">IF(SUM(FS4:FT4,FV4)-FU4&gt;0,SUM(FS4:FT4,FV4)-FU4,"")</f>
        <v/>
      </c>
      <c r="GH4" s="40">
        <f t="shared" ref="GH4:GH22" si="59">IF(SUM(FL4,FP4,FT4)&gt;0,SUM(FL4,FP4,FT4),"")</f>
        <v>14</v>
      </c>
      <c r="GI4" s="40">
        <f t="shared" ref="GI4:GI22" si="60">IF(SUM(GF4,GG4)&gt;0,SUM(GF4,GG4),"")</f>
        <v>50.4</v>
      </c>
      <c r="GJ4" s="40">
        <f t="shared" ref="GJ4:GJ22" si="61">IF(SUM(FX4,GB4)&gt;0,SUM(FX4,GB4),"")</f>
        <v>6.8</v>
      </c>
      <c r="GK4" s="40">
        <f t="shared" ref="GK4:GK22" si="62">IF(SUM(FW4:FX4,FZ4:GB4,GD4)-SUM(FY4,GC4)&gt;0,SUM(FW4:FX4,FZ4:GB4,GD4)-SUM(FY4,GC4),"")</f>
        <v>25.400000000000002</v>
      </c>
      <c r="GL4" s="40">
        <f t="shared" ref="GL4:GL22" si="63"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2" si="64">IF(SUM(GN4,GR4)&gt;0,SUM(GN4,GR4),"")</f>
        <v/>
      </c>
      <c r="HH4" s="11" t="str">
        <f t="shared" ref="HH4:HH22" si="65">IF(SUM(GM4:GN4,GP4:GR4,GT4)-GO4-GS4&gt;0,SUM(GM4:GN4,GP4:GR4,GT4)-GO4-GS4,"")</f>
        <v/>
      </c>
      <c r="HI4" s="11" t="str">
        <f t="shared" ref="HI4:HI22" si="66">IF(SUM(GU4:GV4,GX4)-GW4&gt;0,SUM(GU4:GV4,GX4)-GW4,"")</f>
        <v/>
      </c>
      <c r="HJ4" s="11" t="str">
        <f t="shared" ref="HJ4:HJ22" si="67">IF(SUM(GN4,GR4,GV4)&gt;0,SUM(GN4,GR4,GV4),"")</f>
        <v/>
      </c>
      <c r="HK4" s="11" t="str">
        <f t="shared" ref="HK4:HK22" si="68">IF(SUM(HH4,HI4)&gt;0,SUM(HH4,HI4),"")</f>
        <v/>
      </c>
      <c r="HL4" s="11" t="str">
        <f t="shared" ref="HL4:HL22" si="69">IF(SUM(GZ4,HD4)&gt;0,SUM(GZ4,HD4),"")</f>
        <v/>
      </c>
      <c r="HM4" s="11" t="str">
        <f t="shared" ref="HM4:HM22" si="70">IF(SUM(GY4:GZ4,HB4:HD4,HF4)-SUM(HA4,HE4)&gt;0,SUM(GY4:GZ4,HB4:HD4,HF4)-SUM(HA4,HE4),"")</f>
        <v/>
      </c>
      <c r="HN4" s="11" t="str">
        <f t="shared" ref="HN4:HN22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2" si="72">IF(SUM(HP4,HT4)&gt;0,SUM(HP4,HT4),"")</f>
        <v/>
      </c>
      <c r="IJ4" s="40" t="str">
        <f t="shared" ref="IJ4:IJ22" si="73">IF(SUM(HO4:HP4,HR4:HT4,HV4)-HQ4-HU4&gt;0,SUM(HO4:HP4,HR4:HT4,HV4)-HQ4-HU4,"")</f>
        <v/>
      </c>
      <c r="IK4" s="40" t="str">
        <f t="shared" ref="IK4:IK22" si="74">IF(SUM(HW4:HX4,HZ4)-HY4&gt;0,SUM(HW4:HX4,HZ4)-HY4,"")</f>
        <v/>
      </c>
      <c r="IL4" s="40" t="str">
        <f t="shared" ref="IL4:IL22" si="75">IF(SUM(HP4,HT4,HX4)&gt;0,SUM(HP4,HT4,HX4),"")</f>
        <v/>
      </c>
      <c r="IM4" s="40" t="str">
        <f t="shared" ref="IM4:IM22" si="76">IF(SUM(IJ4,IK4)&gt;0,SUM(IJ4,IK4),"")</f>
        <v/>
      </c>
      <c r="IN4" s="40" t="str">
        <f t="shared" ref="IN4:IN22" si="77">IF(SUM(IB4,IF4)&gt;0,SUM(IB4,IF4),"")</f>
        <v/>
      </c>
      <c r="IO4" s="40" t="str">
        <f t="shared" ref="IO4:IO22" si="78">IF(SUM(IA4:IB4,ID4:IF4,IH4)-SUM(IC4,IG4)&gt;0,SUM(IA4:IB4,ID4:IF4,IH4)-SUM(IC4,IG4),"")</f>
        <v/>
      </c>
      <c r="IP4" s="40" t="str">
        <f t="shared" ref="IP4:IP22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2" si="80">IF(SUM(IR4,IV4)&gt;0,SUM(IR4,IV4),"")</f>
        <v/>
      </c>
      <c r="JL4" s="11" t="str">
        <f t="shared" ref="JL4:JL22" si="81">IF(SUM(IQ4:IR4,IT4:IV4,IX4)-IS4-IW4&gt;0,SUM(IQ4:IR4,IT4:IV4,IX4)-IS4-IW4,"")</f>
        <v/>
      </c>
      <c r="JM4" s="11" t="str">
        <f t="shared" ref="JM4:JM22" si="82">IF(SUM(IY4:IZ4,JB4)-JA4&gt;0,SUM(IY4:IZ4,JB4)-JA4,"")</f>
        <v/>
      </c>
      <c r="JN4" s="11" t="str">
        <f t="shared" ref="JN4:JN22" si="83">IF(SUM(IR4,IV4,IZ4)&gt;0,SUM(IR4,IV4,IZ4),"")</f>
        <v/>
      </c>
      <c r="JO4" s="11" t="str">
        <f t="shared" ref="JO4:JO22" si="84">IF(SUM(JL4,JM4)&gt;0,SUM(JL4,JM4),"")</f>
        <v/>
      </c>
      <c r="JP4" s="11" t="str">
        <f t="shared" ref="JP4:JP22" si="85">IF(SUM(JD4,JH4)&gt;0,SUM(JD4,JH4),"")</f>
        <v/>
      </c>
      <c r="JQ4" s="11" t="str">
        <f t="shared" ref="JQ4:JQ22" si="86">IF(SUM(JC4:JD4,JF4:JH4,JJ4)-SUM(JE4,JI4)&gt;0,SUM(JC4:JD4,JF4:JH4,JJ4)-SUM(JE4,JI4),"")</f>
        <v/>
      </c>
      <c r="JR4" s="11" t="str">
        <f t="shared" ref="JR4:JR22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2" si="88">IF(SUM(JT4,JX4)&gt;0,SUM(JT4,JX4),"")</f>
        <v/>
      </c>
      <c r="KN4" s="40" t="str">
        <f t="shared" ref="KN4:KN22" si="89">IF(SUM(JS4:JT4,JV4:JX4,JZ4)-JU4-JY4&gt;0,SUM(JS4:JT4,JV4:JX4,JZ4)-JU4-JY4,"")</f>
        <v/>
      </c>
      <c r="KO4" s="40" t="str">
        <f t="shared" ref="KO4:KO22" si="90">IF(SUM(KA4:KB4,KD4)-KC4&gt;0,SUM(KA4:KB4,KD4)-KC4,"")</f>
        <v/>
      </c>
      <c r="KP4" s="40" t="str">
        <f t="shared" ref="KP4:KP22" si="91">IF(SUM(JT4,JX4,KB4)&gt;0,SUM(JT4,JX4,KB4),"")</f>
        <v/>
      </c>
      <c r="KQ4" s="40" t="str">
        <f t="shared" ref="KQ4:KQ22" si="92">IF(SUM(KN4,KO4)&gt;0,SUM(KN4,KO4),"")</f>
        <v/>
      </c>
      <c r="KR4" s="40" t="str">
        <f t="shared" ref="KR4:KR22" si="93">IF(SUM(KF4,KJ4)&gt;0,SUM(KF4,KJ4),"")</f>
        <v/>
      </c>
      <c r="KS4" s="40" t="str">
        <f t="shared" ref="KS4:KS22" si="94">IF(SUM(KE4:KF4,KH4:KJ4,KL4)-SUM(KG4,KK4)&gt;0,SUM(KE4:KF4,KH4:KJ4,KL4)-SUM(KG4,KK4),"")</f>
        <v/>
      </c>
      <c r="KT4" s="40" t="str">
        <f t="shared" ref="KT4:KT22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2" si="96">IF(SUM(KV4,KZ4)&gt;0,SUM(KV4,KZ4),"")</f>
        <v/>
      </c>
      <c r="LP4" s="11" t="str">
        <f t="shared" ref="LP4:LP22" si="97">IF(SUM(KU4:KV4,KX4:KZ4,LB4)-KW4-LA4&gt;0,SUM(KU4:KV4,KX4:KZ4,LB4)-KW4-LA4,"")</f>
        <v/>
      </c>
      <c r="LQ4" s="11" t="str">
        <f t="shared" ref="LQ4:LQ22" si="98">IF(SUM(LC4:LD4,LF4)-LE4&gt;0,SUM(LC4:LD4,LF4)-LE4,"")</f>
        <v/>
      </c>
      <c r="LR4" s="11" t="str">
        <f t="shared" ref="LR4:LR22" si="99">IF(SUM(KV4,KZ4,LD4)&gt;0,SUM(KV4,KZ4,LD4),"")</f>
        <v/>
      </c>
      <c r="LS4" s="11" t="str">
        <f t="shared" ref="LS4:LS22" si="100">IF(SUM(LP4,LQ4)&gt;0,SUM(LP4,LQ4),"")</f>
        <v/>
      </c>
      <c r="LT4" s="11" t="str">
        <f t="shared" ref="LT4:LT22" si="101">IF(SUM(LH4,LL4)&gt;0,SUM(LH4,LL4),"")</f>
        <v/>
      </c>
      <c r="LU4" s="11" t="str">
        <f t="shared" ref="LU4:LU22" si="102">IF(SUM(LG4:LH4,LJ4:LL4,LN4)-SUM(LI4,LM4)&gt;0,SUM(LG4:LH4,LJ4:LL4,LN4)-SUM(LI4,LM4),"")</f>
        <v/>
      </c>
      <c r="LV4" s="11" t="str">
        <f t="shared" ref="LV4:LV22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2" si="104">IF(SUM(LX4,MB4)&gt;0,SUM(LX4,MB4),"")</f>
        <v/>
      </c>
      <c r="MR4" s="40" t="str">
        <f t="shared" ref="MR4:MR22" si="105">IF(SUM(LW4:LX4,LZ4:MB4,MD4)-LY4-MC4&gt;0,SUM(LW4:LX4,LZ4:MB4,MD4)-LY4-MC4,"")</f>
        <v/>
      </c>
      <c r="MS4" s="40" t="str">
        <f t="shared" ref="MS4:MS22" si="106">IF(SUM(ME4:MF4,MH4)-MG4&gt;0,SUM(ME4:MF4,MH4)-MG4,"")</f>
        <v/>
      </c>
      <c r="MT4" s="40" t="str">
        <f t="shared" ref="MT4:MT22" si="107">IF(SUM(LX4,MB4,MF4)&gt;0,SUM(LX4,MB4,MF4),"")</f>
        <v/>
      </c>
      <c r="MU4" s="40" t="str">
        <f t="shared" ref="MU4:MU22" si="108">IF(SUM(MR4,MS4)&gt;0,SUM(MR4,MS4),"")</f>
        <v/>
      </c>
      <c r="MV4" s="40" t="str">
        <f t="shared" ref="MV4:MV22" si="109">IF(SUM(MJ4,MN4)&gt;0,SUM(MJ4,MN4),"")</f>
        <v/>
      </c>
      <c r="MW4" s="40" t="str">
        <f t="shared" ref="MW4:MW22" si="110">IF(SUM(MI4:MJ4,ML4:MN4,MP4)-SUM(MK4,MO4)&gt;0,SUM(MI4:MJ4,ML4:MN4,MP4)-SUM(MK4,MO4),"")</f>
        <v/>
      </c>
      <c r="MX4" s="40" t="str">
        <f t="shared" ref="MX4:MX22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2" si="112">IF(SUM(MZ4,ND4)&gt;0,SUM(MZ4,ND4),"")</f>
        <v/>
      </c>
      <c r="NT4" s="11" t="str">
        <f t="shared" ref="NT4:NT22" si="113">IF(SUM(MY4:MZ4,NB4:ND4,NF4)-NA4-NE4&gt;0,SUM(MY4:MZ4,NB4:ND4,NF4)-NA4-NE4,"")</f>
        <v/>
      </c>
      <c r="NU4" s="11" t="str">
        <f t="shared" ref="NU4:NU22" si="114">IF(SUM(NG4:NH4,NJ4)-NI4&gt;0,SUM(NG4:NH4,NJ4)-NI4,"")</f>
        <v/>
      </c>
      <c r="NV4" s="11" t="str">
        <f t="shared" ref="NV4:NV22" si="115">IF(SUM(MZ4,ND4,NH4)&gt;0,SUM(MZ4,ND4,NH4),"")</f>
        <v/>
      </c>
      <c r="NW4" s="11" t="str">
        <f t="shared" ref="NW4:NW22" si="116">IF(SUM(NT4,NU4)&gt;0,SUM(NT4,NU4),"")</f>
        <v/>
      </c>
      <c r="NX4" s="11" t="str">
        <f t="shared" ref="NX4:NX22" si="117">IF(SUM(NL4,NP4)&gt;0,SUM(NL4,NP4),"")</f>
        <v/>
      </c>
      <c r="NY4" s="11" t="str">
        <f t="shared" ref="NY4:NY22" si="118">IF(SUM(NK4:NL4,NN4:NP4,NR4)-SUM(NM4,NQ4)&gt;0,SUM(NK4:NL4,NN4:NP4,NR4)-SUM(NM4,NQ4),"")</f>
        <v/>
      </c>
      <c r="NZ4" s="11" t="str">
        <f t="shared" ref="NZ4:NZ22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2" si="120">IF(SUM(OB4,OF4)&gt;0,SUM(OB4,OF4),"")</f>
        <v/>
      </c>
      <c r="OV4" s="40" t="str">
        <f t="shared" ref="OV4:OV22" si="121">IF(SUM(OA4:OB4,OD4:OF4,OH4)-OC4-OG4&gt;0,SUM(OA4:OB4,OD4:OF4,OH4)-OC4-OG4,"")</f>
        <v/>
      </c>
      <c r="OW4" s="40" t="str">
        <f t="shared" ref="OW4:OW22" si="122">IF(SUM(OI4:OJ4,OL4)-OK4&gt;0,SUM(OI4:OJ4,OL4)-OK4,"")</f>
        <v/>
      </c>
      <c r="OX4" s="40" t="str">
        <f t="shared" ref="OX4:OX22" si="123">IF(SUM(OB4,OF4,OJ4)&gt;0,SUM(OB4,OF4,OJ4),"")</f>
        <v/>
      </c>
      <c r="OY4" s="40" t="str">
        <f t="shared" ref="OY4:OY22" si="124">IF(SUM(OV4,OW4)&gt;0,SUM(OV4,OW4),"")</f>
        <v/>
      </c>
      <c r="OZ4" s="40" t="str">
        <f t="shared" ref="OZ4:OZ22" si="125">IF(SUM(ON4,OR4)&gt;0,SUM(ON4,OR4),"")</f>
        <v/>
      </c>
      <c r="PA4" s="40" t="str">
        <f t="shared" ref="PA4:PA22" si="126">IF(SUM(OM4:ON4,OP4:OR4,OT4)-SUM(OO4,OS4)&gt;0,SUM(OM4:ON4,OP4:OR4,OT4)-SUM(OO4,OS4),"")</f>
        <v/>
      </c>
      <c r="PB4" s="40" t="str">
        <f t="shared" ref="PB4:PB22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2" si="128">IF(SUM(PD4,PH4)&gt;0,SUM(PD4,PH4),"")</f>
        <v/>
      </c>
      <c r="PX4" s="11" t="str">
        <f t="shared" ref="PX4:PX22" si="129">IF(SUM(PC4:PD4,PF4:PH4,PJ4)-PE4-PI4&gt;0,SUM(PC4:PD4,PF4:PH4,PJ4)-PE4-PI4,"")</f>
        <v/>
      </c>
      <c r="PY4" s="11" t="str">
        <f t="shared" ref="PY4:PY22" si="130">IF(SUM(PK4:PL4,PN4)-PM4&gt;0,SUM(PK4:PL4,PN4)-PM4,"")</f>
        <v/>
      </c>
      <c r="PZ4" s="11" t="str">
        <f t="shared" ref="PZ4:PZ22" si="131">IF(SUM(PD4,PH4,PL4)&gt;0,SUM(PD4,PH4,PL4),"")</f>
        <v/>
      </c>
      <c r="QA4" s="11" t="str">
        <f t="shared" ref="QA4:QA22" si="132">IF(SUM(PX4,PY4)&gt;0,SUM(PX4,PY4),"")</f>
        <v/>
      </c>
      <c r="QB4" s="11" t="str">
        <f t="shared" ref="QB4:QB22" si="133">IF(SUM(PP4,PT4)&gt;0,SUM(PP4,PT4),"")</f>
        <v/>
      </c>
      <c r="QC4" s="11" t="str">
        <f t="shared" ref="QC4:QC22" si="134">IF(SUM(PO4:PP4,PR4:PT4,PV4)-SUM(PQ4,PU4)&gt;0,SUM(PO4:PP4,PR4:PT4,PV4)-SUM(PQ4,PU4),"")</f>
        <v/>
      </c>
      <c r="QD4" s="11" t="str">
        <f t="shared" ref="QD4:QD22" si="135"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 t="shared" ref="QY4:QY22" si="136">IF(SUM(QF4,QJ4)&gt;0,SUM(QF4,QJ4),"")</f>
        <v/>
      </c>
      <c r="QZ4" s="40" t="str">
        <f t="shared" ref="QZ4:QZ22" si="137">IF(SUM(QE4:QF4,QH4:QJ4,QL4)-QG4-QK4&gt;0,SUM(QE4:QF4,QH4:QJ4,QL4)-QG4-QK4,"")</f>
        <v/>
      </c>
      <c r="RA4" s="40" t="str">
        <f t="shared" ref="RA4:RA22" si="138">IF(SUM(QM4:QN4,QP4)-QO4&gt;0,SUM(QM4:QN4,QP4)-QO4,"")</f>
        <v/>
      </c>
      <c r="RB4" s="40" t="str">
        <f t="shared" ref="RB4:RB22" si="139">IF(SUM(QF4,QJ4,QN4)&gt;0,SUM(QF4,QJ4,QN4),"")</f>
        <v/>
      </c>
      <c r="RC4" s="40" t="str">
        <f t="shared" ref="RC4:RC22" si="140">IF(SUM(QZ4,RA4)&gt;0,SUM(QZ4,RA4),"")</f>
        <v/>
      </c>
      <c r="RD4" s="40" t="str">
        <f t="shared" ref="RD4:RD22" si="141">IF(SUM(QR4,QV4)&gt;0,SUM(QR4,QV4),"")</f>
        <v/>
      </c>
      <c r="RE4" s="40" t="str">
        <f t="shared" ref="RE4:RE22" si="142">IF(SUM(QQ4:QR4,QT4:QV4,QX4)-SUM(QS4,QW4)&gt;0,SUM(QQ4:QR4,QT4:QV4,QX4)-SUM(QS4,QW4),"")</f>
        <v/>
      </c>
      <c r="RF4" s="40" t="str">
        <f t="shared" ref="RF4:RF22" si="143"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 t="shared" ref="SA4:SA22" si="144">IF(SUM(RH4,RL4)&gt;0,SUM(RH4,RL4),"")</f>
        <v/>
      </c>
      <c r="SB4" s="11" t="str">
        <f t="shared" ref="SB4:SB22" si="145">IF(SUM(RG4:RH4,RJ4:RL4,RN4)-RI4-RM4&gt;0,SUM(RG4:RH4,RJ4:RL4,RN4)-RI4-RM4,"")</f>
        <v/>
      </c>
      <c r="SC4" s="11" t="str">
        <f t="shared" ref="SC4:SC22" si="146">IF(SUM(RO4:RP4,RR4)-RQ4&gt;0,SUM(RO4:RP4,RR4)-RQ4,"")</f>
        <v/>
      </c>
      <c r="SD4" s="11" t="str">
        <f t="shared" ref="SD4:SD22" si="147">IF(SUM(RH4,RL4,RP4)&gt;0,SUM(RH4,RL4,RP4),"")</f>
        <v/>
      </c>
      <c r="SE4" s="11" t="str">
        <f t="shared" ref="SE4:SE22" si="148">IF(SUM(SB4,SC4)&gt;0,SUM(SB4,SC4),"")</f>
        <v/>
      </c>
      <c r="SF4" s="11" t="str">
        <f t="shared" ref="SF4:SF22" si="149">IF(SUM(RT4,RX4)&gt;0,SUM(RT4,RX4),"")</f>
        <v/>
      </c>
      <c r="SG4" s="11" t="str">
        <f t="shared" ref="SG4:SG22" si="150">IF(SUM(RS4:RT4,RV4:RX4,RZ4)-SUM(RU4,RY4)&gt;0,SUM(RS4:RT4,RV4:RX4,RZ4)-SUM(RU4,RY4),"")</f>
        <v/>
      </c>
      <c r="SH4" s="11" t="str">
        <f t="shared" ref="SH4:SH22" si="151"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 t="shared" ref="TC4:TC22" si="152">IF(SUM(SJ4,SN4)&gt;0,SUM(SJ4,SN4),"")</f>
        <v/>
      </c>
      <c r="TD4" s="40" t="str">
        <f t="shared" ref="TD4:TD22" si="153">IF(SUM(SI4:SJ4,SL4:SN4,SP4)-SK4-SO4&gt;0,SUM(SI4:SJ4,SL4:SN4,SP4)-SK4-SO4,"")</f>
        <v/>
      </c>
      <c r="TE4" s="40" t="str">
        <f t="shared" ref="TE4:TE22" si="154">IF(SUM(SQ4:SR4,ST4)-SS4&gt;0,SUM(SQ4:SR4,ST4)-SS4,"")</f>
        <v/>
      </c>
      <c r="TF4" s="40" t="str">
        <f t="shared" ref="TF4:TF22" si="155">IF(SUM(SJ4,SN4,SR4)&gt;0,SUM(SJ4,SN4,SR4),"")</f>
        <v/>
      </c>
      <c r="TG4" s="40" t="str">
        <f t="shared" ref="TG4:TG22" si="156">IF(SUM(TD4,TE4)&gt;0,SUM(TD4,TE4),"")</f>
        <v/>
      </c>
      <c r="TH4" s="40" t="str">
        <f t="shared" ref="TH4:TH22" si="157">IF(SUM(SV4,SZ4)&gt;0,SUM(SV4,SZ4),"")</f>
        <v/>
      </c>
      <c r="TI4" s="40" t="str">
        <f t="shared" ref="TI4:TI22" si="158">IF(SUM(SU4:SV4,SX4:SZ4,TB4)-SUM(SW4,TA4)&gt;0,SUM(SU4:SV4,SX4:SZ4,TB4)-SUM(SW4,TA4),"")</f>
        <v/>
      </c>
      <c r="TJ4" s="40" t="str">
        <f t="shared" ref="TJ4:TJ22" si="159">IF(SUM(TD4,TE4,TI4)&gt;0,SUM(TD4,TE4,TI4),"")</f>
        <v/>
      </c>
      <c r="TK4" s="26">
        <f t="shared" ref="TK4:TK22" si="160">IF($CU4="P",CA4,(CA4+AX4)/2)</f>
        <v>18.75</v>
      </c>
      <c r="TL4" s="26">
        <f t="shared" ref="TL4:TL22" si="161">IF($CU4="P",CB4,(CB4+AY4)/2)</f>
        <v>7.2</v>
      </c>
      <c r="TM4" s="26">
        <f t="shared" ref="TM4:TM22" si="162">IF($CU4="P",CC4,(CC4+AZ4)/2)</f>
        <v>0</v>
      </c>
      <c r="TN4" s="26">
        <f t="shared" ref="TN4:TN22" si="163">IF($CU4="P",CD4,(CD4+BA4)/2)</f>
        <v>0.3</v>
      </c>
      <c r="TO4" s="26">
        <f t="shared" ref="TO4:TO22" si="164">IF($CU4="P",CE4,(CE4+BB4)/2)</f>
        <v>18.25</v>
      </c>
      <c r="TP4" s="26">
        <f t="shared" ref="TP4:TP22" si="165">IF($CU4="P",CF4,(CF4+BC4)/2)</f>
        <v>5.6</v>
      </c>
      <c r="TQ4" s="26">
        <f t="shared" ref="TQ4:TQ22" si="166">IF($CU4="P",CG4,(CG4+BD4)/2)</f>
        <v>0.6</v>
      </c>
      <c r="TR4" s="26">
        <f t="shared" ref="TR4:TR22" si="167">IF($CU4="P",CH4,(CH4+BE4)/2)</f>
        <v>0</v>
      </c>
      <c r="TS4" s="26">
        <f t="shared" ref="TS4:TS22" si="168">IF($CU4="P",CI4,(CI4+BF4)/2)</f>
        <v>18.55</v>
      </c>
      <c r="TT4" s="26">
        <f t="shared" ref="TT4:TT22" si="169">IF($CU4="P",CJ4,(CJ4+BG4)/2)</f>
        <v>6.8</v>
      </c>
      <c r="TU4" s="26">
        <f t="shared" ref="TU4:TU22" si="170">IF($CU4="P",CK4,(CK4+BH4)/2)</f>
        <v>0.2</v>
      </c>
      <c r="TV4" s="26">
        <f t="shared" ref="TV4:TV22" si="171">IF($CU4="P",CL4,(CL4+BI4)/2)</f>
        <v>0.3</v>
      </c>
      <c r="TW4" s="26">
        <f t="shared" ref="TW4:TW22" si="172">IF($CU4="P",CM4,(CM4+BJ4)/2)</f>
        <v>18.55</v>
      </c>
      <c r="TX4" s="26">
        <f t="shared" ref="TX4:TX22" si="173">IF($CU4="P",CN4,(CN4+BK4)/2)</f>
        <v>6.8000000000000007</v>
      </c>
      <c r="TY4" s="26">
        <f t="shared" ref="TY4:TY22" si="174">IF($CU4="P",CO4,(CO4+BL4)/2)</f>
        <v>0.2</v>
      </c>
      <c r="TZ4" s="26">
        <f t="shared" ref="TZ4:TZ22" si="175">IF($CU4="P",CP4,(CP4+BM4)/2)</f>
        <v>0.3</v>
      </c>
      <c r="UA4" s="26">
        <f t="shared" ref="UA4:UA22" si="176">IF($CU4="P",CQ4,(CQ4+BN4)/2)</f>
        <v>18.850000000000001</v>
      </c>
      <c r="UB4" s="26">
        <f t="shared" ref="UB4:UB22" si="177">IF($CU4="P",CR4,(CR4+BO4)/2)</f>
        <v>6.8</v>
      </c>
      <c r="UC4" s="26">
        <f t="shared" ref="UC4:UC22" si="178">IF($CU4="P",CS4,(CS4+BP4)/2)</f>
        <v>0</v>
      </c>
      <c r="UD4" s="26">
        <f t="shared" ref="UD4:UD22" si="179">IF($CU4="P",CT4,(CT4+BQ4)/2)</f>
        <v>0.3</v>
      </c>
      <c r="UE4" s="28" t="s">
        <v>53</v>
      </c>
      <c r="UF4" s="11">
        <f t="shared" ref="UF4:UF22" si="180">IF(SUM(TL4,TP4)&gt;0,SUM(TL4,TP4),"")</f>
        <v>12.8</v>
      </c>
      <c r="UG4" s="11">
        <f t="shared" ref="UG4:UG22" si="181">IF(SUM(TK4:TL4,TN4:TP4,TR4)-TM4-TQ4&gt;0,SUM(TK4:TL4,TN4:TP4,TR4)-TM4-TQ4,"")</f>
        <v>49.5</v>
      </c>
      <c r="UH4" s="11">
        <f t="shared" ref="UH4:UH22" si="182">IF(SUM(TS4:TT4,TV4)-TU4&gt;0,SUM(TS4:TT4,TV4)-TU4,"")</f>
        <v>25.450000000000003</v>
      </c>
      <c r="UI4" s="11">
        <f t="shared" ref="UI4:UI22" si="183">IF(SUM(TL4,TP4,TT4)&gt;0,SUM(TL4,TP4,TT4),"")</f>
        <v>19.600000000000001</v>
      </c>
      <c r="UJ4" s="11">
        <f t="shared" ref="UJ4:UJ22" si="184">IF(SUM(UG4,UH4)&gt;0,SUM(UG4,UH4),"")</f>
        <v>74.95</v>
      </c>
      <c r="UK4" s="11">
        <f t="shared" ref="UK4:UK22" si="185">IF(SUM(TX4,UB4)&gt;0,SUM(TX4,UB4),"")</f>
        <v>13.600000000000001</v>
      </c>
      <c r="UL4" s="11">
        <f t="shared" ref="UL4:UL22" si="186">IF(SUM(TW4:TX4,TZ4:UB4,UD4)-SUM(TY4,UC4)&gt;0,SUM(TW4:TX4,TZ4:UB4,UD4)-SUM(TY4,UC4),"")</f>
        <v>51.399999999999991</v>
      </c>
      <c r="UM4" s="11">
        <f t="shared" ref="UM4:UM22" si="187">IF(SUM(UG4,UH4,UL4)&gt;0,SUM(UG4,UH4,UL4),"")</f>
        <v>126.35</v>
      </c>
    </row>
    <row r="5" spans="1:559" x14ac:dyDescent="0.2">
      <c r="A5" s="4" cm="1">
        <f t="array" ref="A5">IF(AND(H5&lt;&gt;"",H5&lt;&gt;"No DD"),SUMPRODUCT((H$4:H$23&lt;&gt;"")*(H$4:H$23&lt;&gt;"No DD")*(E$4:E$23&gt;E5))+1,IF(H5="No DD",SUMPRODUCT((H$4:H$23="No DD")*(E$4:E$23&gt;E5))+1+SUMPRODUCT((H$4:H$23&lt;&gt;"")*(H$4:H$23&lt;&gt;"No DD")),""))</f>
        <v>2</v>
      </c>
      <c r="B5" s="5" t="s">
        <v>187</v>
      </c>
      <c r="C5" s="4" t="s">
        <v>6</v>
      </c>
      <c r="D5" s="4">
        <v>2007</v>
      </c>
      <c r="E5" s="9">
        <f t="shared" si="0"/>
        <v>177.25001257500509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IF(COUNT(AQ5,BT5,CW5)&gt;0,LARGE((AQ5,BT5,CW5),1),0)</f>
        <v>51</v>
      </c>
      <c r="K5" s="8" t="str">
        <f t="shared" si="5"/>
        <v>2024 Nationals</v>
      </c>
      <c r="L5" s="8">
        <f>IF(COUNT(AQ5,BT5,CW5)&gt;1,LARGE((AQ5,BT5,CW5),2),0)</f>
        <v>50.65</v>
      </c>
      <c r="M5" s="8" t="str">
        <f t="shared" si="6"/>
        <v>2024 3rd Domestic Trial</v>
      </c>
      <c r="N5" s="8">
        <f>IF(COUNT(AR5,BU5,CX5)&gt;0,LARGE((AR5,BU5,CX5),1),0)</f>
        <v>24.099999999999998</v>
      </c>
      <c r="O5" s="8" t="str">
        <f t="shared" si="7"/>
        <v>2024 Elite Canada</v>
      </c>
      <c r="P5" s="8">
        <f t="shared" si="8"/>
        <v>51.5</v>
      </c>
      <c r="Q5" s="8" t="str">
        <f t="shared" si="9"/>
        <v>2024 Elite Canada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 t="shared" si="13"/>
        <v>13.2</v>
      </c>
      <c r="AQ5" s="40">
        <f t="shared" si="14"/>
        <v>50.3</v>
      </c>
      <c r="AR5" s="40">
        <f t="shared" si="15"/>
        <v>24.099999999999998</v>
      </c>
      <c r="AS5" s="40">
        <f t="shared" si="16"/>
        <v>19.2</v>
      </c>
      <c r="AT5" s="40">
        <f t="shared" si="17"/>
        <v>74.399999999999991</v>
      </c>
      <c r="AU5" s="40">
        <f t="shared" si="18"/>
        <v>13.2</v>
      </c>
      <c r="AV5" s="40">
        <f t="shared" si="19"/>
        <v>51.5</v>
      </c>
      <c r="AW5" s="40">
        <f t="shared" si="20"/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 t="shared" si="21"/>
        <v>13.2</v>
      </c>
      <c r="BT5" s="11">
        <f t="shared" si="22"/>
        <v>51</v>
      </c>
      <c r="BU5" s="11">
        <f t="shared" si="23"/>
        <v>23.099999999999998</v>
      </c>
      <c r="BV5" s="11">
        <f t="shared" si="24"/>
        <v>18.399999999999999</v>
      </c>
      <c r="BW5" s="11">
        <f t="shared" si="25"/>
        <v>74.099999999999994</v>
      </c>
      <c r="BX5" s="11">
        <f t="shared" si="26"/>
        <v>13.2</v>
      </c>
      <c r="BY5" s="11">
        <f t="shared" si="27"/>
        <v>51.199999999999996</v>
      </c>
      <c r="BZ5" s="11">
        <f t="shared" si="28"/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 t="shared" si="29"/>
        <v>13.2</v>
      </c>
      <c r="CW5" s="40">
        <f t="shared" si="30"/>
        <v>50.65</v>
      </c>
      <c r="CX5" s="40">
        <f t="shared" si="31"/>
        <v>23.599999999999998</v>
      </c>
      <c r="CY5" s="40">
        <f t="shared" si="32"/>
        <v>18.799999999999997</v>
      </c>
      <c r="CZ5" s="40">
        <f t="shared" si="33"/>
        <v>74.25</v>
      </c>
      <c r="DA5" s="40">
        <f t="shared" si="34"/>
        <v>13.2</v>
      </c>
      <c r="DB5" s="40">
        <f t="shared" si="35"/>
        <v>51.35</v>
      </c>
      <c r="DC5" s="40">
        <f t="shared" si="36"/>
        <v>125.6</v>
      </c>
      <c r="DD5" s="51" t="str">
        <f t="shared" si="37"/>
        <v/>
      </c>
      <c r="DE5" s="51" t="str">
        <f t="shared" si="38"/>
        <v/>
      </c>
      <c r="DF5" s="51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 t="shared" si="56"/>
        <v>13.2</v>
      </c>
      <c r="GF5" s="40">
        <f t="shared" si="57"/>
        <v>50.4</v>
      </c>
      <c r="GG5" s="40" t="str">
        <f t="shared" si="58"/>
        <v/>
      </c>
      <c r="GH5" s="40">
        <f t="shared" si="59"/>
        <v>13.2</v>
      </c>
      <c r="GI5" s="40">
        <f t="shared" si="60"/>
        <v>50.4</v>
      </c>
      <c r="GJ5" s="40">
        <f t="shared" si="61"/>
        <v>13.2</v>
      </c>
      <c r="GK5" s="40">
        <f t="shared" si="62"/>
        <v>50.199999999999996</v>
      </c>
      <c r="GL5" s="40">
        <f t="shared" si="63"/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 t="shared" si="136"/>
        <v/>
      </c>
      <c r="QZ5" s="40" t="str">
        <f t="shared" si="137"/>
        <v/>
      </c>
      <c r="RA5" s="40" t="str">
        <f t="shared" si="138"/>
        <v/>
      </c>
      <c r="RB5" s="40" t="str">
        <f t="shared" si="139"/>
        <v/>
      </c>
      <c r="RC5" s="40" t="str">
        <f t="shared" si="140"/>
        <v/>
      </c>
      <c r="RD5" s="40" t="str">
        <f t="shared" si="141"/>
        <v/>
      </c>
      <c r="RE5" s="40" t="str">
        <f t="shared" si="142"/>
        <v/>
      </c>
      <c r="RF5" s="40" t="str">
        <f t="shared" si="143"/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 t="shared" si="144"/>
        <v/>
      </c>
      <c r="SB5" s="11" t="str">
        <f t="shared" si="145"/>
        <v/>
      </c>
      <c r="SC5" s="11" t="str">
        <f t="shared" si="146"/>
        <v/>
      </c>
      <c r="SD5" s="11" t="str">
        <f t="shared" si="147"/>
        <v/>
      </c>
      <c r="SE5" s="11" t="str">
        <f t="shared" si="148"/>
        <v/>
      </c>
      <c r="SF5" s="11" t="str">
        <f t="shared" si="149"/>
        <v/>
      </c>
      <c r="SG5" s="11" t="str">
        <f t="shared" si="150"/>
        <v/>
      </c>
      <c r="SH5" s="11" t="str">
        <f t="shared" si="151"/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 t="shared" si="152"/>
        <v/>
      </c>
      <c r="TD5" s="40" t="str">
        <f t="shared" si="153"/>
        <v/>
      </c>
      <c r="TE5" s="40" t="str">
        <f t="shared" si="154"/>
        <v/>
      </c>
      <c r="TF5" s="40" t="str">
        <f t="shared" si="155"/>
        <v/>
      </c>
      <c r="TG5" s="40" t="str">
        <f t="shared" si="156"/>
        <v/>
      </c>
      <c r="TH5" s="40" t="str">
        <f t="shared" si="157"/>
        <v/>
      </c>
      <c r="TI5" s="40" t="str">
        <f t="shared" si="158"/>
        <v/>
      </c>
      <c r="TJ5" s="40" t="str">
        <f t="shared" si="159"/>
        <v/>
      </c>
      <c r="TK5" s="26">
        <f t="shared" si="160"/>
        <v>18.899999999999999</v>
      </c>
      <c r="TL5" s="26">
        <f t="shared" si="161"/>
        <v>6.8</v>
      </c>
      <c r="TM5" s="26">
        <f t="shared" si="162"/>
        <v>0</v>
      </c>
      <c r="TN5" s="26">
        <f t="shared" si="163"/>
        <v>0.3</v>
      </c>
      <c r="TO5" s="26">
        <f t="shared" si="164"/>
        <v>18.55</v>
      </c>
      <c r="TP5" s="26">
        <f t="shared" si="165"/>
        <v>6.4</v>
      </c>
      <c r="TQ5" s="26">
        <f t="shared" si="166"/>
        <v>0.3</v>
      </c>
      <c r="TR5" s="26">
        <f t="shared" si="167"/>
        <v>0</v>
      </c>
      <c r="TS5" s="26">
        <f t="shared" si="168"/>
        <v>18.299999999999997</v>
      </c>
      <c r="TT5" s="26">
        <f t="shared" si="169"/>
        <v>5.6</v>
      </c>
      <c r="TU5" s="26">
        <f t="shared" si="170"/>
        <v>0.6</v>
      </c>
      <c r="TV5" s="26">
        <f t="shared" si="171"/>
        <v>0.3</v>
      </c>
      <c r="TW5" s="26">
        <f t="shared" si="172"/>
        <v>18.899999999999999</v>
      </c>
      <c r="TX5" s="26">
        <f t="shared" si="173"/>
        <v>6.8</v>
      </c>
      <c r="TY5" s="26">
        <f t="shared" si="174"/>
        <v>0</v>
      </c>
      <c r="TZ5" s="26">
        <f t="shared" si="175"/>
        <v>0.3</v>
      </c>
      <c r="UA5" s="26">
        <f t="shared" si="176"/>
        <v>18.95</v>
      </c>
      <c r="UB5" s="26">
        <f t="shared" si="177"/>
        <v>6.4</v>
      </c>
      <c r="UC5" s="26">
        <f t="shared" si="178"/>
        <v>0</v>
      </c>
      <c r="UD5" s="26">
        <f t="shared" si="179"/>
        <v>0</v>
      </c>
      <c r="UE5" s="28" t="s">
        <v>53</v>
      </c>
      <c r="UF5" s="11">
        <f t="shared" si="180"/>
        <v>13.2</v>
      </c>
      <c r="UG5" s="11">
        <f t="shared" si="181"/>
        <v>50.65</v>
      </c>
      <c r="UH5" s="11">
        <f t="shared" si="182"/>
        <v>23.599999999999998</v>
      </c>
      <c r="UI5" s="11">
        <f t="shared" si="183"/>
        <v>18.799999999999997</v>
      </c>
      <c r="UJ5" s="11">
        <f t="shared" si="184"/>
        <v>74.25</v>
      </c>
      <c r="UK5" s="11">
        <f t="shared" si="185"/>
        <v>13.2</v>
      </c>
      <c r="UL5" s="11">
        <f t="shared" si="186"/>
        <v>51.35</v>
      </c>
      <c r="UM5" s="11">
        <f t="shared" si="187"/>
        <v>125.6</v>
      </c>
    </row>
    <row r="6" spans="1:559" x14ac:dyDescent="0.2">
      <c r="A6" s="4" cm="1">
        <f t="array" ref="A6">IF(AND(H6&lt;&gt;"",H6&lt;&gt;"No DD"),SUMPRODUCT((H$4:H$23&lt;&gt;"")*(H$4:H$23&lt;&gt;"No DD")*(E$4:E$23&gt;E6))+1,IF(H6="No DD",SUMPRODUCT((H$4:H$23="No DD")*(E$4:E$23&gt;E6))+1+SUMPRODUCT((H$4:H$23&lt;&gt;"")*(H$4:H$23&lt;&gt;"No DD")),""))</f>
        <v>3</v>
      </c>
      <c r="B6" s="5" t="s">
        <v>90</v>
      </c>
      <c r="C6" s="4" t="s">
        <v>5</v>
      </c>
      <c r="D6" s="4">
        <v>1999</v>
      </c>
      <c r="E6" s="9">
        <f t="shared" si="0"/>
        <v>173.7000123200049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IF(COUNT(AQ6,BT6,CW6)&gt;0,LARGE((AQ6,BT6,CW6),1),0)</f>
        <v>49.3</v>
      </c>
      <c r="K6" s="8" t="str">
        <f t="shared" si="5"/>
        <v>2024 3rd Domestic Trial</v>
      </c>
      <c r="L6" s="8">
        <f>IF(COUNT(AQ6,BT6,CW6)&gt;1,LARGE((AQ6,BT6,CW6),2),0)</f>
        <v>49.099999999999994</v>
      </c>
      <c r="M6" s="8" t="str">
        <f t="shared" si="6"/>
        <v>2024 Elite Canada</v>
      </c>
      <c r="N6" s="8">
        <f>IF(COUNT(AR6,BU6,CX6)&gt;0,LARGE((AR6,BU6,CX6),1),0)</f>
        <v>24.8</v>
      </c>
      <c r="O6" s="8" t="str">
        <f t="shared" si="7"/>
        <v>2024 Nationals</v>
      </c>
      <c r="P6" s="8">
        <f t="shared" si="8"/>
        <v>50.400000000000006</v>
      </c>
      <c r="Q6" s="8" t="str">
        <f t="shared" si="9"/>
        <v>2024 3rd Domestic Trial</v>
      </c>
      <c r="R6" s="8">
        <f t="shared" si="10"/>
        <v>0.10000000000000142</v>
      </c>
      <c r="S6" s="11" t="str">
        <f t="shared" si="11"/>
        <v>(Q1)</v>
      </c>
      <c r="T6" s="8" t="str">
        <f t="shared" si="12"/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 t="shared" si="13"/>
        <v>12.399999999999999</v>
      </c>
      <c r="AQ6" s="40">
        <f t="shared" si="14"/>
        <v>49.099999999999994</v>
      </c>
      <c r="AR6" s="40">
        <f t="shared" si="15"/>
        <v>24.75</v>
      </c>
      <c r="AS6" s="40">
        <f t="shared" si="16"/>
        <v>18.599999999999998</v>
      </c>
      <c r="AT6" s="40">
        <f t="shared" si="17"/>
        <v>73.849999999999994</v>
      </c>
      <c r="AU6" s="40">
        <f t="shared" si="18"/>
        <v>12.4</v>
      </c>
      <c r="AV6" s="40">
        <f t="shared" si="19"/>
        <v>49.45</v>
      </c>
      <c r="AW6" s="40">
        <f t="shared" si="20"/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1"/>
        <v>6.8</v>
      </c>
      <c r="BT6" s="11">
        <f t="shared" si="22"/>
        <v>42.2</v>
      </c>
      <c r="BU6" s="11">
        <f t="shared" si="23"/>
        <v>24.8</v>
      </c>
      <c r="BV6" s="11">
        <f t="shared" si="24"/>
        <v>12.8</v>
      </c>
      <c r="BW6" s="11">
        <f t="shared" si="25"/>
        <v>67</v>
      </c>
      <c r="BX6" s="11" t="str">
        <f t="shared" si="26"/>
        <v/>
      </c>
      <c r="BY6" s="11" t="str">
        <f t="shared" si="27"/>
        <v/>
      </c>
      <c r="BZ6" s="11">
        <f t="shared" si="28"/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 t="shared" si="29"/>
        <v>12.4</v>
      </c>
      <c r="CW6" s="40">
        <f t="shared" si="30"/>
        <v>49.3</v>
      </c>
      <c r="CX6" s="40">
        <f t="shared" si="31"/>
        <v>24.7</v>
      </c>
      <c r="CY6" s="40">
        <f t="shared" si="32"/>
        <v>18.399999999999999</v>
      </c>
      <c r="CZ6" s="40">
        <f t="shared" si="33"/>
        <v>74</v>
      </c>
      <c r="DA6" s="40">
        <f t="shared" si="34"/>
        <v>12.4</v>
      </c>
      <c r="DB6" s="40">
        <f t="shared" si="35"/>
        <v>50.400000000000006</v>
      </c>
      <c r="DC6" s="40">
        <f t="shared" si="36"/>
        <v>124.4</v>
      </c>
      <c r="DD6" s="51">
        <f t="shared" si="37"/>
        <v>0.10000000000000142</v>
      </c>
      <c r="DE6" s="51" t="str">
        <f t="shared" si="38"/>
        <v/>
      </c>
      <c r="DF6" s="51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>
        <f t="shared" si="45"/>
        <v>11.6</v>
      </c>
      <c r="EG6" s="40">
        <f t="shared" si="46"/>
        <v>49.1</v>
      </c>
      <c r="EH6" s="40">
        <f t="shared" si="47"/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12.4</v>
      </c>
      <c r="GF6" s="40">
        <f t="shared" si="57"/>
        <v>49.199999999999996</v>
      </c>
      <c r="GG6" s="40" t="str">
        <f t="shared" si="58"/>
        <v/>
      </c>
      <c r="GH6" s="40">
        <f t="shared" si="59"/>
        <v>12.4</v>
      </c>
      <c r="GI6" s="40">
        <f t="shared" si="60"/>
        <v>49.199999999999996</v>
      </c>
      <c r="GJ6" s="40" t="str">
        <f t="shared" si="61"/>
        <v/>
      </c>
      <c r="GK6" s="40" t="str">
        <f t="shared" si="62"/>
        <v/>
      </c>
      <c r="GL6" s="40">
        <f t="shared" si="63"/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 t="shared" si="136"/>
        <v/>
      </c>
      <c r="QZ6" s="40" t="str">
        <f t="shared" si="137"/>
        <v/>
      </c>
      <c r="RA6" s="40" t="str">
        <f t="shared" si="138"/>
        <v/>
      </c>
      <c r="RB6" s="40" t="str">
        <f t="shared" si="139"/>
        <v/>
      </c>
      <c r="RC6" s="40" t="str">
        <f t="shared" si="140"/>
        <v/>
      </c>
      <c r="RD6" s="40" t="str">
        <f t="shared" si="141"/>
        <v/>
      </c>
      <c r="RE6" s="40" t="str">
        <f t="shared" si="142"/>
        <v/>
      </c>
      <c r="RF6" s="40" t="str">
        <f t="shared" si="143"/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 t="shared" si="144"/>
        <v/>
      </c>
      <c r="SB6" s="11" t="str">
        <f t="shared" si="145"/>
        <v/>
      </c>
      <c r="SC6" s="11" t="str">
        <f t="shared" si="146"/>
        <v/>
      </c>
      <c r="SD6" s="11" t="str">
        <f t="shared" si="147"/>
        <v/>
      </c>
      <c r="SE6" s="11" t="str">
        <f t="shared" si="148"/>
        <v/>
      </c>
      <c r="SF6" s="11" t="str">
        <f t="shared" si="149"/>
        <v/>
      </c>
      <c r="SG6" s="11" t="str">
        <f t="shared" si="150"/>
        <v/>
      </c>
      <c r="SH6" s="11" t="str">
        <f t="shared" si="151"/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 t="shared" si="152"/>
        <v/>
      </c>
      <c r="TD6" s="40" t="str">
        <f t="shared" si="153"/>
        <v/>
      </c>
      <c r="TE6" s="40" t="str">
        <f t="shared" si="154"/>
        <v/>
      </c>
      <c r="TF6" s="40" t="str">
        <f t="shared" si="155"/>
        <v/>
      </c>
      <c r="TG6" s="40" t="str">
        <f t="shared" si="156"/>
        <v/>
      </c>
      <c r="TH6" s="40" t="str">
        <f t="shared" si="157"/>
        <v/>
      </c>
      <c r="TI6" s="40" t="str">
        <f t="shared" si="158"/>
        <v/>
      </c>
      <c r="TJ6" s="40" t="str">
        <f t="shared" si="159"/>
        <v/>
      </c>
      <c r="TK6" s="26">
        <f t="shared" si="160"/>
        <v>18.05</v>
      </c>
      <c r="TL6" s="26">
        <f t="shared" si="161"/>
        <v>5</v>
      </c>
      <c r="TM6" s="26">
        <f t="shared" si="162"/>
        <v>0.3</v>
      </c>
      <c r="TN6" s="26">
        <f t="shared" si="163"/>
        <v>0.3</v>
      </c>
      <c r="TO6" s="26">
        <f t="shared" si="164"/>
        <v>18.2</v>
      </c>
      <c r="TP6" s="26">
        <f t="shared" si="165"/>
        <v>4.5999999999999996</v>
      </c>
      <c r="TQ6" s="26">
        <f t="shared" si="166"/>
        <v>0.1</v>
      </c>
      <c r="TR6" s="26">
        <f t="shared" si="167"/>
        <v>0</v>
      </c>
      <c r="TS6" s="26">
        <f t="shared" si="168"/>
        <v>18.75</v>
      </c>
      <c r="TT6" s="26">
        <f t="shared" si="169"/>
        <v>6</v>
      </c>
      <c r="TU6" s="26">
        <f t="shared" si="170"/>
        <v>0</v>
      </c>
      <c r="TV6" s="26">
        <f t="shared" si="171"/>
        <v>0</v>
      </c>
      <c r="TW6" s="26">
        <f t="shared" si="172"/>
        <v>9.6</v>
      </c>
      <c r="TX6" s="26">
        <f t="shared" si="173"/>
        <v>3.2</v>
      </c>
      <c r="TY6" s="26">
        <f t="shared" si="174"/>
        <v>0</v>
      </c>
      <c r="TZ6" s="26">
        <f t="shared" si="175"/>
        <v>0</v>
      </c>
      <c r="UA6" s="26">
        <f t="shared" si="176"/>
        <v>9.4</v>
      </c>
      <c r="UB6" s="26">
        <f t="shared" si="177"/>
        <v>3</v>
      </c>
      <c r="UC6" s="26">
        <f t="shared" si="178"/>
        <v>0</v>
      </c>
      <c r="UD6" s="26">
        <f t="shared" si="179"/>
        <v>0</v>
      </c>
      <c r="UE6" s="28" t="s">
        <v>53</v>
      </c>
      <c r="UF6" s="11">
        <f t="shared" si="180"/>
        <v>9.6</v>
      </c>
      <c r="UG6" s="11">
        <f t="shared" si="181"/>
        <v>45.75</v>
      </c>
      <c r="UH6" s="11">
        <f t="shared" si="182"/>
        <v>24.75</v>
      </c>
      <c r="UI6" s="11">
        <f t="shared" si="183"/>
        <v>15.6</v>
      </c>
      <c r="UJ6" s="11">
        <f t="shared" si="184"/>
        <v>70.5</v>
      </c>
      <c r="UK6" s="11">
        <f t="shared" si="185"/>
        <v>6.2</v>
      </c>
      <c r="UL6" s="11">
        <f t="shared" si="186"/>
        <v>25.200000000000003</v>
      </c>
      <c r="UM6" s="11">
        <f t="shared" si="187"/>
        <v>95.7</v>
      </c>
    </row>
    <row r="7" spans="1:559" x14ac:dyDescent="0.2">
      <c r="A7" s="4" cm="1">
        <f t="array" ref="A7">IF(AND(H7&lt;&gt;"",H7&lt;&gt;"No DD"),SUMPRODUCT((H$4:H$23&lt;&gt;"")*(H$4:H$23&lt;&gt;"No DD")*(E$4:E$23&gt;E7))+1,IF(H7="No DD",SUMPRODUCT((H$4:H$23="No DD")*(E$4:E$23&gt;E7))+1+SUMPRODUCT((H$4:H$23&lt;&gt;"")*(H$4:H$23&lt;&gt;"No DD")),""))</f>
        <v>4</v>
      </c>
      <c r="B7" s="5" t="s">
        <v>89</v>
      </c>
      <c r="C7" s="4" t="s">
        <v>6</v>
      </c>
      <c r="D7" s="4">
        <v>2004</v>
      </c>
      <c r="E7" s="9">
        <f t="shared" si="0"/>
        <v>171.00001218000497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IF(COUNT(AQ7,BT7,CW7)&gt;0,LARGE((AQ7,BT7,CW7),1),0)</f>
        <v>49.699999999999996</v>
      </c>
      <c r="K7" s="8" t="str">
        <f t="shared" si="5"/>
        <v>2024 Elite Canada</v>
      </c>
      <c r="L7" s="8">
        <f>IF(COUNT(AQ7,BT7,CW7)&gt;1,LARGE((AQ7,BT7,CW7),2),0)</f>
        <v>48</v>
      </c>
      <c r="M7" s="8" t="str">
        <f t="shared" si="6"/>
        <v>2024 Nationals</v>
      </c>
      <c r="N7" s="8">
        <f>IF(COUNT(AR7,BU7,CX7)&gt;0,LARGE((AR7,BU7,CX7),1),0)</f>
        <v>24.1</v>
      </c>
      <c r="O7" s="8" t="str">
        <f t="shared" si="7"/>
        <v>2024 3rd Domestic Trial</v>
      </c>
      <c r="P7" s="8">
        <f t="shared" si="8"/>
        <v>47.5</v>
      </c>
      <c r="Q7" s="8" t="str">
        <f t="shared" si="9"/>
        <v>2024 Elite Canada</v>
      </c>
      <c r="R7" s="8">
        <f t="shared" si="10"/>
        <v>1.7000000000000028</v>
      </c>
      <c r="S7" s="11" t="str">
        <f t="shared" si="11"/>
        <v>(Q1)</v>
      </c>
      <c r="T7" s="8" t="str">
        <f t="shared" si="12"/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 t="shared" si="13"/>
        <v>13.2</v>
      </c>
      <c r="AQ7" s="40">
        <f t="shared" si="14"/>
        <v>49.699999999999996</v>
      </c>
      <c r="AR7" s="40">
        <f t="shared" si="15"/>
        <v>23.799999999999997</v>
      </c>
      <c r="AS7" s="40">
        <f t="shared" si="16"/>
        <v>18.799999999999997</v>
      </c>
      <c r="AT7" s="40">
        <f t="shared" si="17"/>
        <v>73.5</v>
      </c>
      <c r="AU7" s="40">
        <f t="shared" si="18"/>
        <v>11.6</v>
      </c>
      <c r="AV7" s="40">
        <f t="shared" si="19"/>
        <v>47.5</v>
      </c>
      <c r="AW7" s="40">
        <f t="shared" si="20"/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 t="shared" si="21"/>
        <v>12.8</v>
      </c>
      <c r="BT7" s="11">
        <f t="shared" si="22"/>
        <v>48</v>
      </c>
      <c r="BU7" s="11">
        <f t="shared" si="23"/>
        <v>23.8</v>
      </c>
      <c r="BV7" s="11">
        <f t="shared" si="24"/>
        <v>18.399999999999999</v>
      </c>
      <c r="BW7" s="11">
        <f t="shared" si="25"/>
        <v>71.8</v>
      </c>
      <c r="BX7" s="11">
        <f t="shared" si="26"/>
        <v>8</v>
      </c>
      <c r="BY7" s="11">
        <f t="shared" si="27"/>
        <v>44.7</v>
      </c>
      <c r="BZ7" s="11">
        <f t="shared" si="28"/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9"/>
        <v>6.8</v>
      </c>
      <c r="CW7" s="40">
        <f t="shared" si="30"/>
        <v>25.5</v>
      </c>
      <c r="CX7" s="40">
        <f t="shared" si="31"/>
        <v>24.1</v>
      </c>
      <c r="CY7" s="40">
        <f t="shared" si="32"/>
        <v>12.399999999999999</v>
      </c>
      <c r="CZ7" s="40">
        <f t="shared" si="33"/>
        <v>49.6</v>
      </c>
      <c r="DA7" s="40" t="str">
        <f t="shared" si="34"/>
        <v/>
      </c>
      <c r="DB7" s="40" t="str">
        <f t="shared" si="35"/>
        <v/>
      </c>
      <c r="DC7" s="40">
        <f t="shared" si="36"/>
        <v>49.6</v>
      </c>
      <c r="DD7" s="51">
        <f t="shared" si="37"/>
        <v>1.7000000000000028</v>
      </c>
      <c r="DE7" s="51" t="str">
        <f t="shared" si="38"/>
        <v/>
      </c>
      <c r="DF7" s="51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6"/>
        <v>13.2</v>
      </c>
      <c r="GF7" s="40">
        <f t="shared" si="57"/>
        <v>49.7</v>
      </c>
      <c r="GG7" s="40" t="str">
        <f t="shared" si="58"/>
        <v/>
      </c>
      <c r="GH7" s="40">
        <f t="shared" si="59"/>
        <v>13.2</v>
      </c>
      <c r="GI7" s="40">
        <f t="shared" si="60"/>
        <v>49.7</v>
      </c>
      <c r="GJ7" s="40" t="str">
        <f t="shared" si="61"/>
        <v/>
      </c>
      <c r="GK7" s="40" t="str">
        <f t="shared" si="62"/>
        <v/>
      </c>
      <c r="GL7" s="40">
        <f t="shared" si="63"/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 t="shared" si="136"/>
        <v/>
      </c>
      <c r="QZ7" s="40" t="str">
        <f t="shared" si="137"/>
        <v/>
      </c>
      <c r="RA7" s="40" t="str">
        <f t="shared" si="138"/>
        <v/>
      </c>
      <c r="RB7" s="40" t="str">
        <f t="shared" si="139"/>
        <v/>
      </c>
      <c r="RC7" s="40" t="str">
        <f t="shared" si="140"/>
        <v/>
      </c>
      <c r="RD7" s="40" t="str">
        <f t="shared" si="141"/>
        <v/>
      </c>
      <c r="RE7" s="40" t="str">
        <f t="shared" si="142"/>
        <v/>
      </c>
      <c r="RF7" s="40" t="str">
        <f t="shared" si="143"/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 t="shared" si="144"/>
        <v/>
      </c>
      <c r="SB7" s="11" t="str">
        <f t="shared" si="145"/>
        <v/>
      </c>
      <c r="SC7" s="11" t="str">
        <f t="shared" si="146"/>
        <v/>
      </c>
      <c r="SD7" s="11" t="str">
        <f t="shared" si="147"/>
        <v/>
      </c>
      <c r="SE7" s="11" t="str">
        <f t="shared" si="148"/>
        <v/>
      </c>
      <c r="SF7" s="11" t="str">
        <f t="shared" si="149"/>
        <v/>
      </c>
      <c r="SG7" s="11" t="str">
        <f t="shared" si="150"/>
        <v/>
      </c>
      <c r="SH7" s="11" t="str">
        <f t="shared" si="151"/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 t="shared" si="152"/>
        <v/>
      </c>
      <c r="TD7" s="40" t="str">
        <f t="shared" si="153"/>
        <v/>
      </c>
      <c r="TE7" s="40" t="str">
        <f t="shared" si="154"/>
        <v/>
      </c>
      <c r="TF7" s="40" t="str">
        <f t="shared" si="155"/>
        <v/>
      </c>
      <c r="TG7" s="40" t="str">
        <f t="shared" si="156"/>
        <v/>
      </c>
      <c r="TH7" s="40" t="str">
        <f t="shared" si="157"/>
        <v/>
      </c>
      <c r="TI7" s="40" t="str">
        <f t="shared" si="158"/>
        <v/>
      </c>
      <c r="TJ7" s="40" t="str">
        <f t="shared" si="159"/>
        <v/>
      </c>
      <c r="TK7" s="26">
        <f t="shared" si="160"/>
        <v>17.7</v>
      </c>
      <c r="TL7" s="26">
        <f t="shared" si="161"/>
        <v>6.8</v>
      </c>
      <c r="TM7" s="26">
        <f t="shared" si="162"/>
        <v>0.4</v>
      </c>
      <c r="TN7" s="26">
        <f t="shared" si="163"/>
        <v>0.3</v>
      </c>
      <c r="TO7" s="26">
        <f t="shared" si="164"/>
        <v>9.3000000000000007</v>
      </c>
      <c r="TP7" s="26">
        <f t="shared" si="165"/>
        <v>3</v>
      </c>
      <c r="TQ7" s="26">
        <f t="shared" si="166"/>
        <v>0.1</v>
      </c>
      <c r="TR7" s="26">
        <f t="shared" si="167"/>
        <v>0.15</v>
      </c>
      <c r="TS7" s="26">
        <f t="shared" si="168"/>
        <v>18.75</v>
      </c>
      <c r="TT7" s="26">
        <f t="shared" si="169"/>
        <v>5.6</v>
      </c>
      <c r="TU7" s="26">
        <f t="shared" si="170"/>
        <v>0.4</v>
      </c>
      <c r="TV7" s="26">
        <f t="shared" si="171"/>
        <v>0</v>
      </c>
      <c r="TW7" s="26">
        <f t="shared" si="172"/>
        <v>8.8000000000000007</v>
      </c>
      <c r="TX7" s="26">
        <f t="shared" si="173"/>
        <v>1.2</v>
      </c>
      <c r="TY7" s="26">
        <f t="shared" si="174"/>
        <v>0</v>
      </c>
      <c r="TZ7" s="26">
        <f t="shared" si="175"/>
        <v>0</v>
      </c>
      <c r="UA7" s="26">
        <f t="shared" si="176"/>
        <v>9.5500000000000007</v>
      </c>
      <c r="UB7" s="26">
        <f t="shared" si="177"/>
        <v>2.8</v>
      </c>
      <c r="UC7" s="26">
        <f t="shared" si="178"/>
        <v>0</v>
      </c>
      <c r="UD7" s="26">
        <f t="shared" si="179"/>
        <v>0</v>
      </c>
      <c r="UE7" s="28" t="s">
        <v>53</v>
      </c>
      <c r="UF7" s="11">
        <f t="shared" si="180"/>
        <v>9.8000000000000007</v>
      </c>
      <c r="UG7" s="11">
        <f t="shared" si="181"/>
        <v>36.75</v>
      </c>
      <c r="UH7" s="11">
        <f t="shared" si="182"/>
        <v>23.950000000000003</v>
      </c>
      <c r="UI7" s="11">
        <f t="shared" si="183"/>
        <v>15.4</v>
      </c>
      <c r="UJ7" s="11">
        <f t="shared" si="184"/>
        <v>60.7</v>
      </c>
      <c r="UK7" s="11">
        <f t="shared" si="185"/>
        <v>4</v>
      </c>
      <c r="UL7" s="11">
        <f t="shared" si="186"/>
        <v>22.35</v>
      </c>
      <c r="UM7" s="11">
        <f t="shared" si="187"/>
        <v>83.050000000000011</v>
      </c>
    </row>
    <row r="8" spans="1:559" x14ac:dyDescent="0.2">
      <c r="A8" s="4" cm="1">
        <f t="array" ref="A8">IF(AND(H8&lt;&gt;"",H8&lt;&gt;"No DD"),SUMPRODUCT((H$4:H$23&lt;&gt;"")*(H$4:H$23&lt;&gt;"No DD")*(E$4:E$23&gt;E8))+1,IF(H8="No DD",SUMPRODUCT((H$4:H$23="No DD")*(E$4:E$23&gt;E8))+1+SUMPRODUCT((H$4:H$23&lt;&gt;"")*(H$4:H$23&lt;&gt;"No DD")),""))</f>
        <v>5</v>
      </c>
      <c r="B8" s="5" t="s">
        <v>133</v>
      </c>
      <c r="C8" s="4" t="s">
        <v>5</v>
      </c>
      <c r="D8" s="4">
        <v>2001</v>
      </c>
      <c r="E8" s="9">
        <f t="shared" si="0"/>
        <v>170.20001221000487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48.9</v>
      </c>
      <c r="K8" s="8" t="str">
        <f t="shared" si="5"/>
        <v>2024 Nationals</v>
      </c>
      <c r="L8" s="8">
        <f>IF(COUNT(AQ8,BT8,CW8)&gt;1,LARGE((AQ8,BT8,CW8),2),0)</f>
        <v>48.699999999999996</v>
      </c>
      <c r="M8" s="8" t="str">
        <f t="shared" si="6"/>
        <v>2024 Elite Canada</v>
      </c>
      <c r="N8" s="8">
        <f>IF(COUNT(AR8,BU8,CX8)&gt;0,LARGE((AR8,BU8,CX8),1),0)</f>
        <v>24.5</v>
      </c>
      <c r="O8" s="8" t="str">
        <f t="shared" si="7"/>
        <v>2024 3rd Domestic Trial</v>
      </c>
      <c r="P8" s="8">
        <f t="shared" si="8"/>
        <v>48.099999999999994</v>
      </c>
      <c r="Q8" s="8" t="str">
        <f t="shared" si="9"/>
        <v>2024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 t="shared" si="13"/>
        <v>11.600000000000001</v>
      </c>
      <c r="AQ8" s="40">
        <f t="shared" si="14"/>
        <v>48.699999999999996</v>
      </c>
      <c r="AR8" s="40">
        <f t="shared" si="15"/>
        <v>21.1</v>
      </c>
      <c r="AS8" s="40">
        <f t="shared" si="16"/>
        <v>14.700000000000001</v>
      </c>
      <c r="AT8" s="40">
        <f t="shared" si="17"/>
        <v>69.8</v>
      </c>
      <c r="AU8" s="40">
        <f t="shared" si="18"/>
        <v>11.600000000000001</v>
      </c>
      <c r="AV8" s="40">
        <f t="shared" si="19"/>
        <v>48.099999999999994</v>
      </c>
      <c r="AW8" s="40">
        <f t="shared" si="20"/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 t="shared" si="21"/>
        <v>11.6</v>
      </c>
      <c r="BT8" s="11">
        <f t="shared" si="22"/>
        <v>48.9</v>
      </c>
      <c r="BU8" s="11">
        <f t="shared" si="23"/>
        <v>19.599999999999998</v>
      </c>
      <c r="BV8" s="11">
        <f t="shared" si="24"/>
        <v>14</v>
      </c>
      <c r="BW8" s="11">
        <f t="shared" si="25"/>
        <v>68.5</v>
      </c>
      <c r="BX8" s="11">
        <f t="shared" si="26"/>
        <v>10.8</v>
      </c>
      <c r="BY8" s="11">
        <f t="shared" si="27"/>
        <v>47.1</v>
      </c>
      <c r="BZ8" s="11">
        <f t="shared" si="28"/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 t="shared" si="29"/>
        <v>7.5</v>
      </c>
      <c r="CW8" s="40">
        <f t="shared" si="30"/>
        <v>43.4</v>
      </c>
      <c r="CX8" s="40">
        <f t="shared" si="31"/>
        <v>24.5</v>
      </c>
      <c r="CY8" s="40">
        <f t="shared" si="32"/>
        <v>13.1</v>
      </c>
      <c r="CZ8" s="40">
        <f t="shared" si="33"/>
        <v>67.900000000000006</v>
      </c>
      <c r="DA8" s="40">
        <f t="shared" si="34"/>
        <v>10.399999999999999</v>
      </c>
      <c r="DB8" s="40">
        <f t="shared" si="35"/>
        <v>47.1</v>
      </c>
      <c r="DC8" s="40">
        <f t="shared" si="36"/>
        <v>115</v>
      </c>
      <c r="DD8" s="51" t="str">
        <f t="shared" si="37"/>
        <v/>
      </c>
      <c r="DE8" s="51" t="str">
        <f t="shared" si="38"/>
        <v/>
      </c>
      <c r="DF8" s="51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>
        <f t="shared" si="45"/>
        <v>11.6</v>
      </c>
      <c r="EG8" s="40">
        <f t="shared" si="46"/>
        <v>47.900000000000006</v>
      </c>
      <c r="EH8" s="40">
        <f t="shared" si="47"/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 t="shared" si="136"/>
        <v/>
      </c>
      <c r="QZ8" s="40" t="str">
        <f t="shared" si="137"/>
        <v/>
      </c>
      <c r="RA8" s="40" t="str">
        <f t="shared" si="138"/>
        <v/>
      </c>
      <c r="RB8" s="40" t="str">
        <f t="shared" si="139"/>
        <v/>
      </c>
      <c r="RC8" s="40" t="str">
        <f t="shared" si="140"/>
        <v/>
      </c>
      <c r="RD8" s="40" t="str">
        <f t="shared" si="141"/>
        <v/>
      </c>
      <c r="RE8" s="40" t="str">
        <f t="shared" si="142"/>
        <v/>
      </c>
      <c r="RF8" s="40" t="str">
        <f t="shared" si="143"/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 t="shared" si="144"/>
        <v/>
      </c>
      <c r="SB8" s="11" t="str">
        <f t="shared" si="145"/>
        <v/>
      </c>
      <c r="SC8" s="11" t="str">
        <f t="shared" si="146"/>
        <v/>
      </c>
      <c r="SD8" s="11" t="str">
        <f t="shared" si="147"/>
        <v/>
      </c>
      <c r="SE8" s="11" t="str">
        <f t="shared" si="148"/>
        <v/>
      </c>
      <c r="SF8" s="11" t="str">
        <f t="shared" si="149"/>
        <v/>
      </c>
      <c r="SG8" s="11" t="str">
        <f t="shared" si="150"/>
        <v/>
      </c>
      <c r="SH8" s="11" t="str">
        <f t="shared" si="151"/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 t="shared" si="152"/>
        <v/>
      </c>
      <c r="TD8" s="40" t="str">
        <f t="shared" si="153"/>
        <v/>
      </c>
      <c r="TE8" s="40" t="str">
        <f t="shared" si="154"/>
        <v/>
      </c>
      <c r="TF8" s="40" t="str">
        <f t="shared" si="155"/>
        <v/>
      </c>
      <c r="TG8" s="40" t="str">
        <f t="shared" si="156"/>
        <v/>
      </c>
      <c r="TH8" s="40" t="str">
        <f t="shared" si="157"/>
        <v/>
      </c>
      <c r="TI8" s="40" t="str">
        <f t="shared" si="158"/>
        <v/>
      </c>
      <c r="TJ8" s="40" t="str">
        <f t="shared" si="159"/>
        <v/>
      </c>
      <c r="TK8" s="26">
        <f t="shared" si="160"/>
        <v>18.649999999999999</v>
      </c>
      <c r="TL8" s="26">
        <f t="shared" si="161"/>
        <v>5</v>
      </c>
      <c r="TM8" s="26">
        <f t="shared" si="162"/>
        <v>0.1</v>
      </c>
      <c r="TN8" s="26">
        <f t="shared" si="163"/>
        <v>0</v>
      </c>
      <c r="TO8" s="26">
        <f t="shared" si="164"/>
        <v>18.55</v>
      </c>
      <c r="TP8" s="26">
        <f t="shared" si="165"/>
        <v>4.55</v>
      </c>
      <c r="TQ8" s="26">
        <f t="shared" si="166"/>
        <v>0.5</v>
      </c>
      <c r="TR8" s="26">
        <f t="shared" si="167"/>
        <v>0</v>
      </c>
      <c r="TS8" s="26">
        <f t="shared" si="168"/>
        <v>18.049999999999997</v>
      </c>
      <c r="TT8" s="26">
        <f t="shared" si="169"/>
        <v>4</v>
      </c>
      <c r="TU8" s="26">
        <f t="shared" si="170"/>
        <v>0</v>
      </c>
      <c r="TV8" s="26">
        <f t="shared" si="171"/>
        <v>0</v>
      </c>
      <c r="TW8" s="26">
        <f t="shared" si="172"/>
        <v>18.600000000000001</v>
      </c>
      <c r="TX8" s="26">
        <f t="shared" si="173"/>
        <v>5.1999999999999993</v>
      </c>
      <c r="TY8" s="26">
        <f t="shared" si="174"/>
        <v>0</v>
      </c>
      <c r="TZ8" s="26">
        <f t="shared" si="175"/>
        <v>0</v>
      </c>
      <c r="UA8" s="26">
        <f t="shared" si="176"/>
        <v>18.399999999999999</v>
      </c>
      <c r="UB8" s="26">
        <f t="shared" si="177"/>
        <v>5.4</v>
      </c>
      <c r="UC8" s="26">
        <f t="shared" si="178"/>
        <v>0.5</v>
      </c>
      <c r="UD8" s="26">
        <f t="shared" si="179"/>
        <v>0</v>
      </c>
      <c r="UE8" s="28" t="s">
        <v>53</v>
      </c>
      <c r="UF8" s="11">
        <f t="shared" si="180"/>
        <v>9.5500000000000007</v>
      </c>
      <c r="UG8" s="11">
        <f t="shared" si="181"/>
        <v>46.15</v>
      </c>
      <c r="UH8" s="11">
        <f t="shared" si="182"/>
        <v>22.049999999999997</v>
      </c>
      <c r="UI8" s="11">
        <f t="shared" si="183"/>
        <v>13.55</v>
      </c>
      <c r="UJ8" s="11">
        <f t="shared" si="184"/>
        <v>68.199999999999989</v>
      </c>
      <c r="UK8" s="11">
        <f t="shared" si="185"/>
        <v>10.6</v>
      </c>
      <c r="UL8" s="11">
        <f t="shared" si="186"/>
        <v>47.1</v>
      </c>
      <c r="UM8" s="11">
        <f t="shared" si="187"/>
        <v>115.29999999999998</v>
      </c>
    </row>
    <row r="9" spans="1:559" x14ac:dyDescent="0.2">
      <c r="A9" s="4" cm="1">
        <f t="array" ref="A9">IF(AND(H9&lt;&gt;"",H9&lt;&gt;"No DD"),SUMPRODUCT((H$4:H$23&lt;&gt;"")*(H$4:H$23&lt;&gt;"No DD")*(E$4:E$23&gt;E9))+1,IF(H9="No DD",SUMPRODUCT((H$4:H$23="No DD")*(E$4:E$23&gt;E9))+1+SUMPRODUCT((H$4:H$23&lt;&gt;"")*(H$4:H$23&lt;&gt;"No DD")),""))</f>
        <v>6</v>
      </c>
      <c r="B9" s="5" t="s">
        <v>80</v>
      </c>
      <c r="C9" s="4" t="s">
        <v>5</v>
      </c>
      <c r="D9" s="4">
        <v>2003</v>
      </c>
      <c r="E9" s="9">
        <f t="shared" si="0"/>
        <v>169.40001199000483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48.3</v>
      </c>
      <c r="K9" s="8" t="str">
        <f t="shared" si="5"/>
        <v>2024 Nationals</v>
      </c>
      <c r="L9" s="8">
        <f>IF(COUNT(AQ9,BT9,CW9)&gt;1,LARGE((AQ9,BT9,CW9),2),0)</f>
        <v>48</v>
      </c>
      <c r="M9" s="8" t="str">
        <f t="shared" si="6"/>
        <v>2024 3rd Domestic Trial</v>
      </c>
      <c r="N9" s="8">
        <f>IF(COUNT(AR9,BU9,CX9)&gt;0,LARGE((AR9,BU9,CX9),1),0)</f>
        <v>23.6</v>
      </c>
      <c r="O9" s="8" t="str">
        <f t="shared" si="7"/>
        <v>2024 3rd Domestic Trial</v>
      </c>
      <c r="P9" s="8">
        <f t="shared" si="8"/>
        <v>49.5</v>
      </c>
      <c r="Q9" s="8" t="str">
        <f t="shared" si="9"/>
        <v>2024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 t="shared" si="13"/>
        <v>8.8000000000000007</v>
      </c>
      <c r="AQ9" s="40">
        <f t="shared" si="14"/>
        <v>43.899999999999991</v>
      </c>
      <c r="AR9" s="40">
        <f t="shared" si="15"/>
        <v>21.099999999999998</v>
      </c>
      <c r="AS9" s="40">
        <f t="shared" si="16"/>
        <v>14</v>
      </c>
      <c r="AT9" s="40">
        <f t="shared" si="17"/>
        <v>64.999999999999986</v>
      </c>
      <c r="AU9" s="40">
        <f t="shared" si="18"/>
        <v>10.8</v>
      </c>
      <c r="AV9" s="40">
        <f t="shared" si="19"/>
        <v>44.800000000000004</v>
      </c>
      <c r="AW9" s="40">
        <f t="shared" si="20"/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 t="shared" si="21"/>
        <v>12.4</v>
      </c>
      <c r="BT9" s="11">
        <f t="shared" si="22"/>
        <v>48.3</v>
      </c>
      <c r="BU9" s="11">
        <f t="shared" si="23"/>
        <v>23.2</v>
      </c>
      <c r="BV9" s="11">
        <f t="shared" si="24"/>
        <v>17.600000000000001</v>
      </c>
      <c r="BW9" s="11">
        <f t="shared" si="25"/>
        <v>71.5</v>
      </c>
      <c r="BX9" s="11">
        <f t="shared" si="26"/>
        <v>12.4</v>
      </c>
      <c r="BY9" s="11">
        <f t="shared" si="27"/>
        <v>49.5</v>
      </c>
      <c r="BZ9" s="11">
        <f t="shared" si="28"/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 t="shared" si="29"/>
        <v>11.600000000000001</v>
      </c>
      <c r="CW9" s="40">
        <f t="shared" si="30"/>
        <v>48</v>
      </c>
      <c r="CX9" s="40">
        <f t="shared" si="31"/>
        <v>23.6</v>
      </c>
      <c r="CY9" s="40">
        <f t="shared" si="32"/>
        <v>16.400000000000002</v>
      </c>
      <c r="CZ9" s="40">
        <f t="shared" si="33"/>
        <v>71.599999999999994</v>
      </c>
      <c r="DA9" s="40">
        <f t="shared" si="34"/>
        <v>11.600000000000001</v>
      </c>
      <c r="DB9" s="40">
        <f t="shared" si="35"/>
        <v>48.7</v>
      </c>
      <c r="DC9" s="40">
        <f t="shared" si="36"/>
        <v>120.3</v>
      </c>
      <c r="DD9" s="51" t="str">
        <f t="shared" si="37"/>
        <v/>
      </c>
      <c r="DE9" s="51" t="str">
        <f t="shared" si="38"/>
        <v/>
      </c>
      <c r="DF9" s="51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 t="shared" si="136"/>
        <v/>
      </c>
      <c r="QZ9" s="40" t="str">
        <f t="shared" si="137"/>
        <v/>
      </c>
      <c r="RA9" s="40" t="str">
        <f t="shared" si="138"/>
        <v/>
      </c>
      <c r="RB9" s="40" t="str">
        <f t="shared" si="139"/>
        <v/>
      </c>
      <c r="RC9" s="40" t="str">
        <f t="shared" si="140"/>
        <v/>
      </c>
      <c r="RD9" s="40" t="str">
        <f t="shared" si="141"/>
        <v/>
      </c>
      <c r="RE9" s="40" t="str">
        <f t="shared" si="142"/>
        <v/>
      </c>
      <c r="RF9" s="40" t="str">
        <f t="shared" si="143"/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 t="shared" si="144"/>
        <v/>
      </c>
      <c r="SB9" s="11" t="str">
        <f t="shared" si="145"/>
        <v/>
      </c>
      <c r="SC9" s="11" t="str">
        <f t="shared" si="146"/>
        <v/>
      </c>
      <c r="SD9" s="11" t="str">
        <f t="shared" si="147"/>
        <v/>
      </c>
      <c r="SE9" s="11" t="str">
        <f t="shared" si="148"/>
        <v/>
      </c>
      <c r="SF9" s="11" t="str">
        <f t="shared" si="149"/>
        <v/>
      </c>
      <c r="SG9" s="11" t="str">
        <f t="shared" si="150"/>
        <v/>
      </c>
      <c r="SH9" s="11" t="str">
        <f t="shared" si="151"/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 t="shared" si="152"/>
        <v/>
      </c>
      <c r="TD9" s="40" t="str">
        <f t="shared" si="153"/>
        <v/>
      </c>
      <c r="TE9" s="40" t="str">
        <f t="shared" si="154"/>
        <v/>
      </c>
      <c r="TF9" s="40" t="str">
        <f t="shared" si="155"/>
        <v/>
      </c>
      <c r="TG9" s="40" t="str">
        <f t="shared" si="156"/>
        <v/>
      </c>
      <c r="TH9" s="40" t="str">
        <f t="shared" si="157"/>
        <v/>
      </c>
      <c r="TI9" s="40" t="str">
        <f t="shared" si="158"/>
        <v/>
      </c>
      <c r="TJ9" s="40" t="str">
        <f t="shared" si="159"/>
        <v/>
      </c>
      <c r="TK9" s="26">
        <f t="shared" si="160"/>
        <v>18.399999999999999</v>
      </c>
      <c r="TL9" s="26">
        <f t="shared" si="161"/>
        <v>6.4</v>
      </c>
      <c r="TM9" s="26">
        <f t="shared" si="162"/>
        <v>0.4</v>
      </c>
      <c r="TN9" s="26">
        <f t="shared" si="163"/>
        <v>0</v>
      </c>
      <c r="TO9" s="26">
        <f t="shared" si="164"/>
        <v>18.55</v>
      </c>
      <c r="TP9" s="26">
        <f t="shared" si="165"/>
        <v>5.6</v>
      </c>
      <c r="TQ9" s="26">
        <f t="shared" si="166"/>
        <v>0.4</v>
      </c>
      <c r="TR9" s="26">
        <f t="shared" si="167"/>
        <v>0</v>
      </c>
      <c r="TS9" s="26">
        <f t="shared" si="168"/>
        <v>18.399999999999999</v>
      </c>
      <c r="TT9" s="26">
        <f t="shared" si="169"/>
        <v>5</v>
      </c>
      <c r="TU9" s="26">
        <f t="shared" si="170"/>
        <v>0.3</v>
      </c>
      <c r="TV9" s="26">
        <f t="shared" si="171"/>
        <v>0.3</v>
      </c>
      <c r="TW9" s="26">
        <f t="shared" si="172"/>
        <v>18.7</v>
      </c>
      <c r="TX9" s="26">
        <f t="shared" si="173"/>
        <v>6.4</v>
      </c>
      <c r="TY9" s="26">
        <f t="shared" si="174"/>
        <v>0.4</v>
      </c>
      <c r="TZ9" s="26">
        <f t="shared" si="175"/>
        <v>0</v>
      </c>
      <c r="UA9" s="26">
        <f t="shared" si="176"/>
        <v>18.8</v>
      </c>
      <c r="UB9" s="26">
        <f t="shared" si="177"/>
        <v>5.6</v>
      </c>
      <c r="UC9" s="26">
        <f t="shared" si="178"/>
        <v>0</v>
      </c>
      <c r="UD9" s="26">
        <f t="shared" si="179"/>
        <v>0</v>
      </c>
      <c r="UE9" s="28" t="s">
        <v>53</v>
      </c>
      <c r="UF9" s="11">
        <f t="shared" si="180"/>
        <v>12</v>
      </c>
      <c r="UG9" s="11">
        <f t="shared" si="181"/>
        <v>48.15</v>
      </c>
      <c r="UH9" s="11">
        <f t="shared" si="182"/>
        <v>23.4</v>
      </c>
      <c r="UI9" s="11">
        <f t="shared" si="183"/>
        <v>17</v>
      </c>
      <c r="UJ9" s="11">
        <f t="shared" si="184"/>
        <v>71.55</v>
      </c>
      <c r="UK9" s="11">
        <f t="shared" si="185"/>
        <v>12</v>
      </c>
      <c r="UL9" s="11">
        <f t="shared" si="186"/>
        <v>49.100000000000009</v>
      </c>
      <c r="UM9" s="11">
        <f t="shared" si="187"/>
        <v>120.65</v>
      </c>
    </row>
    <row r="10" spans="1:559" x14ac:dyDescent="0.2">
      <c r="A10" s="4" cm="1">
        <f t="array" ref="A10">IF(AND(H10&lt;&gt;"",H10&lt;&gt;"No DD"),SUMPRODUCT((H$4:H$23&lt;&gt;"")*(H$4:H$23&lt;&gt;"No DD")*(E$4:E$23&gt;E10))+1,IF(H10="No DD",SUMPRODUCT((H$4:H$23="No DD")*(E$4:E$23&gt;E10))+1+SUMPRODUCT((H$4:H$23&lt;&gt;"")*(H$4:H$23&lt;&gt;"No DD")),""))</f>
        <v>7</v>
      </c>
      <c r="B10" s="5" t="s">
        <v>71</v>
      </c>
      <c r="C10" s="4" t="s">
        <v>6</v>
      </c>
      <c r="D10" s="4">
        <v>2001</v>
      </c>
      <c r="E10" s="9">
        <f t="shared" si="0"/>
        <v>168.90001159000488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48.9</v>
      </c>
      <c r="K10" s="8" t="str">
        <f t="shared" si="5"/>
        <v>2024 Nationals</v>
      </c>
      <c r="L10" s="8">
        <f>IF(COUNT(AQ10,BT10,CW10)&gt;1,LARGE((AQ10,BT10,CW10),2),0)</f>
        <v>44.3</v>
      </c>
      <c r="M10" s="8" t="str">
        <f t="shared" si="6"/>
        <v>2024 3rd Domestic Trial</v>
      </c>
      <c r="N10" s="8">
        <f>IF(COUNT(AR10,BU10,CX10)&gt;0,LARGE((AR10,BU10,CX10),1),0)</f>
        <v>22.700000000000003</v>
      </c>
      <c r="O10" s="8" t="str">
        <f t="shared" si="7"/>
        <v>2024 3rd Domestic Trial</v>
      </c>
      <c r="P10" s="8">
        <f t="shared" si="8"/>
        <v>49.3</v>
      </c>
      <c r="Q10" s="8" t="str">
        <f t="shared" si="9"/>
        <v>2024 3rd Domestic Trial</v>
      </c>
      <c r="R10" s="8">
        <f t="shared" si="10"/>
        <v>3.7000000000000028</v>
      </c>
      <c r="S10" s="11" t="str">
        <f t="shared" si="11"/>
        <v>(Q1)</v>
      </c>
      <c r="T10" s="8" t="str">
        <f t="shared" si="12"/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 t="shared" si="13"/>
        <v>7.1999999999999993</v>
      </c>
      <c r="AQ10" s="40">
        <f t="shared" si="14"/>
        <v>34.450000000000003</v>
      </c>
      <c r="AR10" s="40">
        <f t="shared" si="15"/>
        <v>11.1</v>
      </c>
      <c r="AS10" s="40">
        <f t="shared" si="16"/>
        <v>9.6</v>
      </c>
      <c r="AT10" s="40">
        <f t="shared" si="17"/>
        <v>45.550000000000004</v>
      </c>
      <c r="AU10" s="40">
        <f t="shared" si="18"/>
        <v>5.4</v>
      </c>
      <c r="AV10" s="40">
        <f t="shared" si="19"/>
        <v>23.55</v>
      </c>
      <c r="AW10" s="40">
        <f t="shared" si="20"/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 t="shared" si="21"/>
        <v>11.6</v>
      </c>
      <c r="BT10" s="11">
        <f t="shared" si="22"/>
        <v>48.9</v>
      </c>
      <c r="BU10" s="11">
        <f t="shared" si="23"/>
        <v>22.2</v>
      </c>
      <c r="BV10" s="11">
        <f t="shared" si="24"/>
        <v>16.399999999999999</v>
      </c>
      <c r="BW10" s="11">
        <f t="shared" si="25"/>
        <v>71.099999999999994</v>
      </c>
      <c r="BX10" s="11">
        <f t="shared" si="26"/>
        <v>11.6</v>
      </c>
      <c r="BY10" s="11">
        <f t="shared" si="27"/>
        <v>48.7</v>
      </c>
      <c r="BZ10" s="11">
        <f t="shared" si="28"/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 t="shared" si="29"/>
        <v>8</v>
      </c>
      <c r="CW10" s="40">
        <f t="shared" si="30"/>
        <v>44.3</v>
      </c>
      <c r="CX10" s="40">
        <f t="shared" si="31"/>
        <v>22.700000000000003</v>
      </c>
      <c r="CY10" s="40">
        <f t="shared" si="32"/>
        <v>12.4</v>
      </c>
      <c r="CZ10" s="40">
        <f t="shared" si="33"/>
        <v>67</v>
      </c>
      <c r="DA10" s="40">
        <f t="shared" si="34"/>
        <v>11.6</v>
      </c>
      <c r="DB10" s="40">
        <f t="shared" si="35"/>
        <v>49.3</v>
      </c>
      <c r="DC10" s="40">
        <f t="shared" si="36"/>
        <v>116.3</v>
      </c>
      <c r="DD10" s="51">
        <f t="shared" si="37"/>
        <v>3.7000000000000028</v>
      </c>
      <c r="DE10" s="51" t="str">
        <f t="shared" si="38"/>
        <v/>
      </c>
      <c r="DF10" s="51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 t="shared" si="48"/>
        <v>11.6</v>
      </c>
      <c r="FD10" s="11">
        <f t="shared" si="49"/>
        <v>48</v>
      </c>
      <c r="FE10" s="11" t="str">
        <f t="shared" si="50"/>
        <v/>
      </c>
      <c r="FF10" s="11">
        <f t="shared" si="51"/>
        <v>11.6</v>
      </c>
      <c r="FG10" s="11">
        <f t="shared" si="52"/>
        <v>48</v>
      </c>
      <c r="FH10" s="11">
        <f t="shared" si="53"/>
        <v>11.6</v>
      </c>
      <c r="FI10" s="11">
        <f t="shared" si="54"/>
        <v>47.6</v>
      </c>
      <c r="FJ10" s="11">
        <f t="shared" si="55"/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 t="shared" si="136"/>
        <v/>
      </c>
      <c r="QZ10" s="40" t="str">
        <f t="shared" si="137"/>
        <v/>
      </c>
      <c r="RA10" s="40" t="str">
        <f t="shared" si="138"/>
        <v/>
      </c>
      <c r="RB10" s="40" t="str">
        <f t="shared" si="139"/>
        <v/>
      </c>
      <c r="RC10" s="40" t="str">
        <f t="shared" si="140"/>
        <v/>
      </c>
      <c r="RD10" s="40" t="str">
        <f t="shared" si="141"/>
        <v/>
      </c>
      <c r="RE10" s="40" t="str">
        <f t="shared" si="142"/>
        <v/>
      </c>
      <c r="RF10" s="40" t="str">
        <f t="shared" si="143"/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 t="shared" si="144"/>
        <v/>
      </c>
      <c r="SB10" s="11" t="str">
        <f t="shared" si="145"/>
        <v/>
      </c>
      <c r="SC10" s="11" t="str">
        <f t="shared" si="146"/>
        <v/>
      </c>
      <c r="SD10" s="11" t="str">
        <f t="shared" si="147"/>
        <v/>
      </c>
      <c r="SE10" s="11" t="str">
        <f t="shared" si="148"/>
        <v/>
      </c>
      <c r="SF10" s="11" t="str">
        <f t="shared" si="149"/>
        <v/>
      </c>
      <c r="SG10" s="11" t="str">
        <f t="shared" si="150"/>
        <v/>
      </c>
      <c r="SH10" s="11" t="str">
        <f t="shared" si="151"/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 t="shared" si="152"/>
        <v/>
      </c>
      <c r="TD10" s="40" t="str">
        <f t="shared" si="153"/>
        <v/>
      </c>
      <c r="TE10" s="40" t="str">
        <f t="shared" si="154"/>
        <v/>
      </c>
      <c r="TF10" s="40" t="str">
        <f t="shared" si="155"/>
        <v/>
      </c>
      <c r="TG10" s="40" t="str">
        <f t="shared" si="156"/>
        <v/>
      </c>
      <c r="TH10" s="40" t="str">
        <f t="shared" si="157"/>
        <v/>
      </c>
      <c r="TI10" s="40" t="str">
        <f t="shared" si="158"/>
        <v/>
      </c>
      <c r="TJ10" s="40" t="str">
        <f t="shared" si="159"/>
        <v/>
      </c>
      <c r="TK10" s="26">
        <f t="shared" si="160"/>
        <v>18.799999999999997</v>
      </c>
      <c r="TL10" s="26">
        <f t="shared" si="161"/>
        <v>5.6</v>
      </c>
      <c r="TM10" s="26">
        <f t="shared" si="162"/>
        <v>0</v>
      </c>
      <c r="TN10" s="26">
        <f t="shared" si="163"/>
        <v>0</v>
      </c>
      <c r="TO10" s="26">
        <f t="shared" si="164"/>
        <v>18</v>
      </c>
      <c r="TP10" s="26">
        <f t="shared" si="165"/>
        <v>4.2</v>
      </c>
      <c r="TQ10" s="26">
        <f t="shared" si="166"/>
        <v>0</v>
      </c>
      <c r="TR10" s="26">
        <f t="shared" si="167"/>
        <v>0</v>
      </c>
      <c r="TS10" s="26">
        <f t="shared" si="168"/>
        <v>18.149999999999999</v>
      </c>
      <c r="TT10" s="26">
        <f t="shared" si="169"/>
        <v>4.5999999999999996</v>
      </c>
      <c r="TU10" s="26">
        <f t="shared" si="170"/>
        <v>0.3</v>
      </c>
      <c r="TV10" s="26">
        <f t="shared" si="171"/>
        <v>0</v>
      </c>
      <c r="TW10" s="26">
        <f t="shared" si="172"/>
        <v>18.8</v>
      </c>
      <c r="TX10" s="26">
        <f t="shared" si="173"/>
        <v>5.6</v>
      </c>
      <c r="TY10" s="26">
        <f t="shared" si="174"/>
        <v>0</v>
      </c>
      <c r="TZ10" s="26">
        <f t="shared" si="175"/>
        <v>0</v>
      </c>
      <c r="UA10" s="26">
        <f t="shared" si="176"/>
        <v>18.600000000000001</v>
      </c>
      <c r="UB10" s="26">
        <f t="shared" si="177"/>
        <v>6</v>
      </c>
      <c r="UC10" s="26">
        <f t="shared" si="178"/>
        <v>0</v>
      </c>
      <c r="UD10" s="26">
        <f t="shared" si="179"/>
        <v>0</v>
      </c>
      <c r="UE10" s="28" t="s">
        <v>53</v>
      </c>
      <c r="UF10" s="11">
        <f t="shared" si="180"/>
        <v>9.8000000000000007</v>
      </c>
      <c r="UG10" s="11">
        <f t="shared" si="181"/>
        <v>46.6</v>
      </c>
      <c r="UH10" s="11">
        <f t="shared" si="182"/>
        <v>22.45</v>
      </c>
      <c r="UI10" s="11">
        <f t="shared" si="183"/>
        <v>14.4</v>
      </c>
      <c r="UJ10" s="11">
        <f t="shared" si="184"/>
        <v>69.05</v>
      </c>
      <c r="UK10" s="11">
        <f t="shared" si="185"/>
        <v>11.6</v>
      </c>
      <c r="UL10" s="11">
        <f t="shared" si="186"/>
        <v>49</v>
      </c>
      <c r="UM10" s="11">
        <f t="shared" si="187"/>
        <v>118.05</v>
      </c>
    </row>
    <row r="11" spans="1:559" x14ac:dyDescent="0.2">
      <c r="A11" s="4" cm="1">
        <f t="array" ref="A11">IF(AND(H11&lt;&gt;"",H11&lt;&gt;"No DD"),SUMPRODUCT((H$4:H$23&lt;&gt;"")*(H$4:H$23&lt;&gt;"No DD")*(E$4:E$23&gt;E11))+1,IF(H11="No DD",SUMPRODUCT((H$4:H$23="No DD")*(E$4:E$23&gt;E11))+1+SUMPRODUCT((H$4:H$23&lt;&gt;"")*(H$4:H$23&lt;&gt;"No DD")),""))</f>
        <v>8</v>
      </c>
      <c r="B11" s="5" t="s">
        <v>161</v>
      </c>
      <c r="C11" s="4" t="s">
        <v>7</v>
      </c>
      <c r="D11" s="4">
        <v>2002</v>
      </c>
      <c r="E11" s="9">
        <f t="shared" si="0"/>
        <v>166.90001184000491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48.8</v>
      </c>
      <c r="K11" s="8" t="str">
        <f t="shared" si="5"/>
        <v>2024 Nationals</v>
      </c>
      <c r="L11" s="8">
        <f>IF(COUNT(AQ11,BT11,CW11)&gt;1,LARGE((AQ11,BT11,CW11),2),0)</f>
        <v>46.199999999999996</v>
      </c>
      <c r="M11" s="8" t="str">
        <f t="shared" si="6"/>
        <v>2024 3rd Domestic Trial</v>
      </c>
      <c r="N11" s="8">
        <f>IF(COUNT(AR11,BU11,CX11)&gt;0,LARGE((AR11,BU11,CX11),1),0)</f>
        <v>23.400000000000002</v>
      </c>
      <c r="O11" s="8" t="str">
        <f t="shared" si="7"/>
        <v>2024 Nationals</v>
      </c>
      <c r="P11" s="8">
        <f t="shared" si="8"/>
        <v>48.5</v>
      </c>
      <c r="Q11" s="8" t="str">
        <f t="shared" si="9"/>
        <v>2024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 t="shared" si="13"/>
        <v>10</v>
      </c>
      <c r="AQ11" s="40">
        <f t="shared" si="14"/>
        <v>44.900000000000006</v>
      </c>
      <c r="AR11" s="40">
        <f t="shared" si="15"/>
        <v>22.2</v>
      </c>
      <c r="AS11" s="40">
        <f t="shared" si="16"/>
        <v>14.3</v>
      </c>
      <c r="AT11" s="40">
        <f t="shared" si="17"/>
        <v>67.100000000000009</v>
      </c>
      <c r="AU11" s="40">
        <f t="shared" si="18"/>
        <v>11.6</v>
      </c>
      <c r="AV11" s="40">
        <f t="shared" si="19"/>
        <v>48.5</v>
      </c>
      <c r="AW11" s="40">
        <f t="shared" si="20"/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 t="shared" si="21"/>
        <v>11.6</v>
      </c>
      <c r="BT11" s="11">
        <f t="shared" si="22"/>
        <v>48.8</v>
      </c>
      <c r="BU11" s="11">
        <f t="shared" si="23"/>
        <v>23.400000000000002</v>
      </c>
      <c r="BV11" s="11">
        <f t="shared" si="24"/>
        <v>16.7</v>
      </c>
      <c r="BW11" s="11">
        <f t="shared" si="25"/>
        <v>72.2</v>
      </c>
      <c r="BX11" s="11">
        <f t="shared" si="26"/>
        <v>6.8</v>
      </c>
      <c r="BY11" s="11">
        <f t="shared" si="27"/>
        <v>25.6</v>
      </c>
      <c r="BZ11" s="11">
        <f t="shared" si="28"/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 t="shared" si="29"/>
        <v>10</v>
      </c>
      <c r="CW11" s="40">
        <f t="shared" si="30"/>
        <v>46.199999999999996</v>
      </c>
      <c r="CX11" s="40">
        <f t="shared" si="31"/>
        <v>23.2</v>
      </c>
      <c r="CY11" s="40">
        <f t="shared" si="32"/>
        <v>14.3</v>
      </c>
      <c r="CZ11" s="40">
        <f t="shared" si="33"/>
        <v>69.399999999999991</v>
      </c>
      <c r="DA11" s="40">
        <f t="shared" si="34"/>
        <v>10</v>
      </c>
      <c r="DB11" s="40">
        <f t="shared" si="35"/>
        <v>44.500000000000007</v>
      </c>
      <c r="DC11" s="40">
        <f t="shared" si="36"/>
        <v>113.9</v>
      </c>
      <c r="DD11" s="51" t="str">
        <f t="shared" si="37"/>
        <v/>
      </c>
      <c r="DE11" s="51" t="str">
        <f t="shared" si="38"/>
        <v/>
      </c>
      <c r="DF11" s="51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 t="shared" si="136"/>
        <v/>
      </c>
      <c r="QZ11" s="40" t="str">
        <f t="shared" si="137"/>
        <v/>
      </c>
      <c r="RA11" s="40" t="str">
        <f t="shared" si="138"/>
        <v/>
      </c>
      <c r="RB11" s="40" t="str">
        <f t="shared" si="139"/>
        <v/>
      </c>
      <c r="RC11" s="40" t="str">
        <f t="shared" si="140"/>
        <v/>
      </c>
      <c r="RD11" s="40" t="str">
        <f t="shared" si="141"/>
        <v/>
      </c>
      <c r="RE11" s="40" t="str">
        <f t="shared" si="142"/>
        <v/>
      </c>
      <c r="RF11" s="40" t="str">
        <f t="shared" si="143"/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 t="shared" si="144"/>
        <v/>
      </c>
      <c r="SB11" s="11" t="str">
        <f t="shared" si="145"/>
        <v/>
      </c>
      <c r="SC11" s="11" t="str">
        <f t="shared" si="146"/>
        <v/>
      </c>
      <c r="SD11" s="11" t="str">
        <f t="shared" si="147"/>
        <v/>
      </c>
      <c r="SE11" s="11" t="str">
        <f t="shared" si="148"/>
        <v/>
      </c>
      <c r="SF11" s="11" t="str">
        <f t="shared" si="149"/>
        <v/>
      </c>
      <c r="SG11" s="11" t="str">
        <f t="shared" si="150"/>
        <v/>
      </c>
      <c r="SH11" s="11" t="str">
        <f t="shared" si="151"/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 t="shared" si="152"/>
        <v/>
      </c>
      <c r="TD11" s="40" t="str">
        <f t="shared" si="153"/>
        <v/>
      </c>
      <c r="TE11" s="40" t="str">
        <f t="shared" si="154"/>
        <v/>
      </c>
      <c r="TF11" s="40" t="str">
        <f t="shared" si="155"/>
        <v/>
      </c>
      <c r="TG11" s="40" t="str">
        <f t="shared" si="156"/>
        <v/>
      </c>
      <c r="TH11" s="40" t="str">
        <f t="shared" si="157"/>
        <v/>
      </c>
      <c r="TI11" s="40" t="str">
        <f t="shared" si="158"/>
        <v/>
      </c>
      <c r="TJ11" s="40" t="str">
        <f t="shared" si="159"/>
        <v/>
      </c>
      <c r="TK11" s="26">
        <f t="shared" si="160"/>
        <v>18.600000000000001</v>
      </c>
      <c r="TL11" s="26">
        <f t="shared" si="161"/>
        <v>5.6</v>
      </c>
      <c r="TM11" s="26">
        <f t="shared" si="162"/>
        <v>0.1</v>
      </c>
      <c r="TN11" s="26">
        <f t="shared" si="163"/>
        <v>0</v>
      </c>
      <c r="TO11" s="26">
        <f t="shared" si="164"/>
        <v>18.600000000000001</v>
      </c>
      <c r="TP11" s="26">
        <f t="shared" si="165"/>
        <v>5.2</v>
      </c>
      <c r="TQ11" s="26">
        <f t="shared" si="166"/>
        <v>0.4</v>
      </c>
      <c r="TR11" s="26">
        <f t="shared" si="167"/>
        <v>0</v>
      </c>
      <c r="TS11" s="26">
        <f t="shared" si="168"/>
        <v>18.899999999999999</v>
      </c>
      <c r="TT11" s="26">
        <f t="shared" si="169"/>
        <v>4.6999999999999993</v>
      </c>
      <c r="TU11" s="26">
        <f t="shared" si="170"/>
        <v>0.44999999999999996</v>
      </c>
      <c r="TV11" s="26">
        <f t="shared" si="171"/>
        <v>0.15</v>
      </c>
      <c r="TW11" s="26">
        <f t="shared" si="172"/>
        <v>17.600000000000001</v>
      </c>
      <c r="TX11" s="26">
        <f t="shared" si="173"/>
        <v>5.8</v>
      </c>
      <c r="TY11" s="26">
        <f t="shared" si="174"/>
        <v>0.2</v>
      </c>
      <c r="TZ11" s="26">
        <f t="shared" si="175"/>
        <v>0.15</v>
      </c>
      <c r="UA11" s="26">
        <f t="shared" si="176"/>
        <v>9.1999999999999993</v>
      </c>
      <c r="UB11" s="26">
        <f t="shared" si="177"/>
        <v>2.6</v>
      </c>
      <c r="UC11" s="26">
        <f t="shared" si="178"/>
        <v>0.1</v>
      </c>
      <c r="UD11" s="26">
        <f t="shared" si="179"/>
        <v>0</v>
      </c>
      <c r="UE11" s="28" t="s">
        <v>53</v>
      </c>
      <c r="UF11" s="11">
        <f t="shared" si="180"/>
        <v>10.8</v>
      </c>
      <c r="UG11" s="11">
        <f t="shared" si="181"/>
        <v>47.500000000000007</v>
      </c>
      <c r="UH11" s="11">
        <f t="shared" si="182"/>
        <v>23.299999999999997</v>
      </c>
      <c r="UI11" s="11">
        <f t="shared" si="183"/>
        <v>15.5</v>
      </c>
      <c r="UJ11" s="11">
        <f t="shared" si="184"/>
        <v>70.800000000000011</v>
      </c>
      <c r="UK11" s="11">
        <f t="shared" si="185"/>
        <v>8.4</v>
      </c>
      <c r="UL11" s="11">
        <f t="shared" si="186"/>
        <v>35.050000000000004</v>
      </c>
      <c r="UM11" s="11">
        <f t="shared" si="187"/>
        <v>105.85000000000002</v>
      </c>
    </row>
    <row r="12" spans="1:559" x14ac:dyDescent="0.2">
      <c r="A12" s="4" cm="1">
        <f t="array" ref="A12">IF(AND(H12&lt;&gt;"",H12&lt;&gt;"No DD"),SUMPRODUCT((H$4:H$23&lt;&gt;"")*(H$4:H$23&lt;&gt;"No DD")*(E$4:E$23&gt;E12))+1,IF(H12="No DD",SUMPRODUCT((H$4:H$23="No DD")*(E$4:E$23&gt;E12))+1+SUMPRODUCT((H$4:H$23&lt;&gt;"")*(H$4:H$23&lt;&gt;"No DD")),""))</f>
        <v>9</v>
      </c>
      <c r="B12" s="5" t="s">
        <v>218</v>
      </c>
      <c r="C12" s="4" t="s">
        <v>3</v>
      </c>
      <c r="D12" s="4">
        <v>2002</v>
      </c>
      <c r="E12" s="9">
        <f t="shared" si="0"/>
        <v>166.80001180000491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IF(COUNT(AQ12,BT12,CW12)&gt;0,LARGE((AQ12,BT12,CW12),1),0)</f>
        <v>48.899999999999991</v>
      </c>
      <c r="K12" s="8" t="str">
        <f t="shared" si="5"/>
        <v>2024 3rd Domestic Trial</v>
      </c>
      <c r="L12" s="8">
        <f>IF(COUNT(AQ12,BT12,CW12)&gt;1,LARGE((AQ12,BT12,CW12),2),0)</f>
        <v>45.6</v>
      </c>
      <c r="M12" s="8" t="str">
        <f t="shared" si="6"/>
        <v>2024 Elite Canada</v>
      </c>
      <c r="N12" s="8">
        <f>IF(COUNT(AR12,BU12,CX12)&gt;0,LARGE((AR12,BU12,CX12),1),0)</f>
        <v>23.5</v>
      </c>
      <c r="O12" s="8" t="str">
        <f t="shared" si="7"/>
        <v>2024 3rd Domestic Trial</v>
      </c>
      <c r="P12" s="8">
        <f t="shared" si="8"/>
        <v>48.800000000000004</v>
      </c>
      <c r="Q12" s="8" t="str">
        <f t="shared" si="9"/>
        <v>2024 3rd Domestic Trial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 t="shared" si="13"/>
        <v>10.8</v>
      </c>
      <c r="AQ12" s="40">
        <f t="shared" si="14"/>
        <v>45.6</v>
      </c>
      <c r="AR12" s="40">
        <f t="shared" si="15"/>
        <v>21.599999999999998</v>
      </c>
      <c r="AS12" s="40">
        <f t="shared" si="16"/>
        <v>14.700000000000001</v>
      </c>
      <c r="AT12" s="40">
        <f t="shared" si="17"/>
        <v>67.2</v>
      </c>
      <c r="AU12" s="40">
        <f t="shared" si="18"/>
        <v>8</v>
      </c>
      <c r="AV12" s="40">
        <f t="shared" si="19"/>
        <v>43.4</v>
      </c>
      <c r="AW12" s="40">
        <f t="shared" si="20"/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1"/>
        <v>8.3999999999999986</v>
      </c>
      <c r="BT12" s="11">
        <f t="shared" si="22"/>
        <v>43.2</v>
      </c>
      <c r="BU12" s="11" t="str">
        <f t="shared" si="23"/>
        <v/>
      </c>
      <c r="BV12" s="11">
        <f t="shared" si="24"/>
        <v>8.3999999999999986</v>
      </c>
      <c r="BW12" s="11">
        <f t="shared" si="25"/>
        <v>43.2</v>
      </c>
      <c r="BX12" s="11" t="str">
        <f t="shared" si="26"/>
        <v/>
      </c>
      <c r="BY12" s="11" t="str">
        <f t="shared" si="27"/>
        <v/>
      </c>
      <c r="BZ12" s="11">
        <f t="shared" si="28"/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 t="shared" si="29"/>
        <v>12.4</v>
      </c>
      <c r="CW12" s="40">
        <f t="shared" si="30"/>
        <v>48.899999999999991</v>
      </c>
      <c r="CX12" s="40">
        <f t="shared" si="31"/>
        <v>23.5</v>
      </c>
      <c r="CY12" s="40">
        <f t="shared" si="32"/>
        <v>17.600000000000001</v>
      </c>
      <c r="CZ12" s="40">
        <f t="shared" si="33"/>
        <v>72.399999999999991</v>
      </c>
      <c r="DA12" s="40">
        <f t="shared" si="34"/>
        <v>11.600000000000001</v>
      </c>
      <c r="DB12" s="40">
        <f t="shared" si="35"/>
        <v>48.800000000000004</v>
      </c>
      <c r="DC12" s="40">
        <f t="shared" si="36"/>
        <v>121.19999999999999</v>
      </c>
      <c r="DD12" s="51" t="str">
        <f t="shared" si="37"/>
        <v/>
      </c>
      <c r="DE12" s="51" t="str">
        <f t="shared" si="38"/>
        <v/>
      </c>
      <c r="DF12" s="51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 t="shared" si="136"/>
        <v/>
      </c>
      <c r="QZ12" s="40" t="str">
        <f t="shared" si="137"/>
        <v/>
      </c>
      <c r="RA12" s="40" t="str">
        <f t="shared" si="138"/>
        <v/>
      </c>
      <c r="RB12" s="40" t="str">
        <f t="shared" si="139"/>
        <v/>
      </c>
      <c r="RC12" s="40" t="str">
        <f t="shared" si="140"/>
        <v/>
      </c>
      <c r="RD12" s="40" t="str">
        <f t="shared" si="141"/>
        <v/>
      </c>
      <c r="RE12" s="40" t="str">
        <f t="shared" si="142"/>
        <v/>
      </c>
      <c r="RF12" s="40" t="str">
        <f t="shared" si="143"/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 t="shared" si="144"/>
        <v/>
      </c>
      <c r="SB12" s="11" t="str">
        <f t="shared" si="145"/>
        <v/>
      </c>
      <c r="SC12" s="11" t="str">
        <f t="shared" si="146"/>
        <v/>
      </c>
      <c r="SD12" s="11" t="str">
        <f t="shared" si="147"/>
        <v/>
      </c>
      <c r="SE12" s="11" t="str">
        <f t="shared" si="148"/>
        <v/>
      </c>
      <c r="SF12" s="11" t="str">
        <f t="shared" si="149"/>
        <v/>
      </c>
      <c r="SG12" s="11" t="str">
        <f t="shared" si="150"/>
        <v/>
      </c>
      <c r="SH12" s="11" t="str">
        <f t="shared" si="151"/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 t="shared" si="152"/>
        <v/>
      </c>
      <c r="TD12" s="40" t="str">
        <f t="shared" si="153"/>
        <v/>
      </c>
      <c r="TE12" s="40" t="str">
        <f t="shared" si="154"/>
        <v/>
      </c>
      <c r="TF12" s="40" t="str">
        <f t="shared" si="155"/>
        <v/>
      </c>
      <c r="TG12" s="40" t="str">
        <f t="shared" si="156"/>
        <v/>
      </c>
      <c r="TH12" s="40" t="str">
        <f t="shared" si="157"/>
        <v/>
      </c>
      <c r="TI12" s="40" t="str">
        <f t="shared" si="158"/>
        <v/>
      </c>
      <c r="TJ12" s="40" t="str">
        <f t="shared" si="159"/>
        <v/>
      </c>
      <c r="TK12" s="26">
        <f t="shared" si="160"/>
        <v>18.25</v>
      </c>
      <c r="TL12" s="26">
        <f t="shared" si="161"/>
        <v>6</v>
      </c>
      <c r="TM12" s="26">
        <f t="shared" si="162"/>
        <v>0.5</v>
      </c>
      <c r="TN12" s="26">
        <f t="shared" si="163"/>
        <v>0</v>
      </c>
      <c r="TO12" s="26">
        <f t="shared" si="164"/>
        <v>18.549999999999997</v>
      </c>
      <c r="TP12" s="26">
        <f t="shared" si="165"/>
        <v>4.4000000000000004</v>
      </c>
      <c r="TQ12" s="26">
        <f t="shared" si="166"/>
        <v>0.8</v>
      </c>
      <c r="TR12" s="26">
        <f t="shared" si="167"/>
        <v>0.15</v>
      </c>
      <c r="TS12" s="26">
        <f t="shared" si="168"/>
        <v>9.1</v>
      </c>
      <c r="TT12" s="26">
        <f t="shared" si="169"/>
        <v>2.6</v>
      </c>
      <c r="TU12" s="26">
        <f t="shared" si="170"/>
        <v>0.1</v>
      </c>
      <c r="TV12" s="26">
        <f t="shared" si="171"/>
        <v>0.15</v>
      </c>
      <c r="TW12" s="26">
        <f t="shared" si="172"/>
        <v>9.5</v>
      </c>
      <c r="TX12" s="26">
        <f t="shared" si="173"/>
        <v>3.2</v>
      </c>
      <c r="TY12" s="26">
        <f t="shared" si="174"/>
        <v>0</v>
      </c>
      <c r="TZ12" s="26">
        <f t="shared" si="175"/>
        <v>0</v>
      </c>
      <c r="UA12" s="26">
        <f t="shared" si="176"/>
        <v>9.4</v>
      </c>
      <c r="UB12" s="26">
        <f t="shared" si="177"/>
        <v>2.6</v>
      </c>
      <c r="UC12" s="26">
        <f t="shared" si="178"/>
        <v>0.3</v>
      </c>
      <c r="UD12" s="26">
        <f t="shared" si="179"/>
        <v>0</v>
      </c>
      <c r="UE12" s="28" t="s">
        <v>53</v>
      </c>
      <c r="UF12" s="11">
        <f t="shared" si="180"/>
        <v>10.4</v>
      </c>
      <c r="UG12" s="11">
        <f t="shared" si="181"/>
        <v>46.05</v>
      </c>
      <c r="UH12" s="11">
        <f t="shared" si="182"/>
        <v>11.75</v>
      </c>
      <c r="UI12" s="11">
        <f t="shared" si="183"/>
        <v>13</v>
      </c>
      <c r="UJ12" s="11">
        <f t="shared" si="184"/>
        <v>57.8</v>
      </c>
      <c r="UK12" s="11">
        <f t="shared" si="185"/>
        <v>5.8000000000000007</v>
      </c>
      <c r="UL12" s="11">
        <f t="shared" si="186"/>
        <v>24.400000000000002</v>
      </c>
      <c r="UM12" s="11">
        <f t="shared" si="187"/>
        <v>82.2</v>
      </c>
    </row>
    <row r="13" spans="1:559" x14ac:dyDescent="0.2">
      <c r="A13" s="4" cm="1">
        <f t="array" ref="A13">IF(AND(H13&lt;&gt;"",H13&lt;&gt;"No DD"),SUMPRODUCT((H$4:H$23&lt;&gt;"")*(H$4:H$23&lt;&gt;"No DD")*(E$4:E$23&gt;E13))+1,IF(H13="No DD",SUMPRODUCT((H$4:H$23="No DD")*(E$4:E$23&gt;E13))+1+SUMPRODUCT((H$4:H$23&lt;&gt;"")*(H$4:H$23&lt;&gt;"No DD")),""))</f>
        <v>10</v>
      </c>
      <c r="B13" s="5" t="s">
        <v>88</v>
      </c>
      <c r="C13" s="4" t="s">
        <v>36</v>
      </c>
      <c r="D13" s="4">
        <v>2002</v>
      </c>
      <c r="E13" s="9">
        <f t="shared" si="0"/>
        <v>165.50001160000463</v>
      </c>
      <c r="F13" s="3" t="str">
        <f t="shared" si="1"/>
        <v>P</v>
      </c>
      <c r="G13" s="3" t="str">
        <f t="shared" si="2"/>
        <v/>
      </c>
      <c r="H13" s="36" t="str">
        <f t="shared" si="3"/>
        <v>National Team</v>
      </c>
      <c r="I13" s="3" t="str">
        <f t="shared" si="4"/>
        <v/>
      </c>
      <c r="J13" s="8">
        <f>IF(COUNT(AQ13,BT13,CW13)&gt;0,LARGE((AQ13,BT13,CW13),1),0)</f>
        <v>46.249999999999993</v>
      </c>
      <c r="K13" s="8" t="str">
        <f t="shared" si="5"/>
        <v>2024 Elite Canada</v>
      </c>
      <c r="L13" s="8">
        <f>IF(COUNT(AQ13,BT13,CW13)&gt;1,LARGE((AQ13,BT13,CW13),2),0)</f>
        <v>45.274999999999999</v>
      </c>
      <c r="M13" s="8" t="str">
        <f t="shared" si="6"/>
        <v>2024 3rd Domestic Trial</v>
      </c>
      <c r="N13" s="8">
        <f>IF(COUNT(AR13,BU13,CX13)&gt;0,LARGE((AR13,BU13,CX13),1),0)</f>
        <v>24.475000000000005</v>
      </c>
      <c r="O13" s="8" t="str">
        <f t="shared" si="7"/>
        <v>2024 3rd Domestic Trial</v>
      </c>
      <c r="P13" s="8">
        <f t="shared" si="8"/>
        <v>49.499999999999993</v>
      </c>
      <c r="Q13" s="8" t="str">
        <f t="shared" si="9"/>
        <v>2024 3rd Domestic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18.049999999999997</v>
      </c>
      <c r="V13" s="19">
        <v>5.8</v>
      </c>
      <c r="W13" s="19">
        <v>0.1</v>
      </c>
      <c r="X13" s="19">
        <v>0.15</v>
      </c>
      <c r="Y13" s="19">
        <v>18.149999999999999</v>
      </c>
      <c r="Z13" s="19">
        <v>4.2</v>
      </c>
      <c r="AA13" s="19">
        <v>0</v>
      </c>
      <c r="AB13" s="19">
        <v>0</v>
      </c>
      <c r="AC13" s="19">
        <v>18.3</v>
      </c>
      <c r="AD13" s="19">
        <v>5.8000000000000007</v>
      </c>
      <c r="AE13" s="19">
        <v>0.3</v>
      </c>
      <c r="AF13" s="19">
        <v>0.15</v>
      </c>
      <c r="AG13" s="19">
        <v>18.649999999999999</v>
      </c>
      <c r="AH13" s="19">
        <v>6.2</v>
      </c>
      <c r="AI13" s="19">
        <v>0.1</v>
      </c>
      <c r="AJ13" s="19">
        <v>0</v>
      </c>
      <c r="AK13" s="19">
        <v>18.399999999999999</v>
      </c>
      <c r="AL13" s="19">
        <v>6.1999999999999993</v>
      </c>
      <c r="AM13" s="19">
        <v>0.3</v>
      </c>
      <c r="AN13" s="19">
        <v>0.15</v>
      </c>
      <c r="AO13" s="27" t="s">
        <v>53</v>
      </c>
      <c r="AP13" s="40">
        <f t="shared" si="13"/>
        <v>10</v>
      </c>
      <c r="AQ13" s="40">
        <f t="shared" si="14"/>
        <v>46.249999999999993</v>
      </c>
      <c r="AR13" s="40">
        <f t="shared" si="15"/>
        <v>23.95</v>
      </c>
      <c r="AS13" s="40">
        <f t="shared" si="16"/>
        <v>15.8</v>
      </c>
      <c r="AT13" s="40">
        <f t="shared" si="17"/>
        <v>70.199999999999989</v>
      </c>
      <c r="AU13" s="40">
        <f t="shared" si="18"/>
        <v>12.399999999999999</v>
      </c>
      <c r="AV13" s="40">
        <f t="shared" si="19"/>
        <v>49.2</v>
      </c>
      <c r="AW13" s="40">
        <f t="shared" si="20"/>
        <v>119.39999999999999</v>
      </c>
      <c r="AX13" s="18">
        <v>18.125</v>
      </c>
      <c r="AY13" s="18">
        <v>5.9</v>
      </c>
      <c r="AZ13" s="18">
        <v>0.15000000000000002</v>
      </c>
      <c r="BA13" s="18">
        <v>0.22499999999999998</v>
      </c>
      <c r="BB13" s="18">
        <v>17.875</v>
      </c>
      <c r="BC13" s="18">
        <v>3.3</v>
      </c>
      <c r="BD13" s="18">
        <v>0</v>
      </c>
      <c r="BE13" s="18">
        <v>0</v>
      </c>
      <c r="BF13" s="18">
        <v>18.450000000000003</v>
      </c>
      <c r="BG13" s="18">
        <v>6.1000000000000005</v>
      </c>
      <c r="BH13" s="18">
        <v>0.15</v>
      </c>
      <c r="BI13" s="18">
        <v>7.4999999999999997E-2</v>
      </c>
      <c r="BJ13" s="18">
        <v>18.674999999999997</v>
      </c>
      <c r="BK13" s="18">
        <v>6.3000000000000007</v>
      </c>
      <c r="BL13" s="18">
        <v>0.05</v>
      </c>
      <c r="BM13" s="18">
        <v>0</v>
      </c>
      <c r="BN13" s="18">
        <v>18.299999999999997</v>
      </c>
      <c r="BO13" s="18">
        <v>6.5</v>
      </c>
      <c r="BP13" s="18">
        <v>0.44999999999999996</v>
      </c>
      <c r="BQ13" s="18">
        <v>0.22499999999999998</v>
      </c>
      <c r="BR13" s="28" t="s">
        <v>53</v>
      </c>
      <c r="BS13" s="11">
        <f t="shared" si="21"/>
        <v>9.1999999999999993</v>
      </c>
      <c r="BT13" s="11">
        <f t="shared" si="22"/>
        <v>45.274999999999999</v>
      </c>
      <c r="BU13" s="11">
        <f t="shared" si="23"/>
        <v>24.475000000000005</v>
      </c>
      <c r="BV13" s="11">
        <f t="shared" si="24"/>
        <v>15.3</v>
      </c>
      <c r="BW13" s="11">
        <f t="shared" si="25"/>
        <v>69.75</v>
      </c>
      <c r="BX13" s="11">
        <f t="shared" si="26"/>
        <v>12.8</v>
      </c>
      <c r="BY13" s="11">
        <f t="shared" si="27"/>
        <v>49.499999999999993</v>
      </c>
      <c r="BZ13" s="11">
        <f t="shared" si="28"/>
        <v>119.25</v>
      </c>
      <c r="CA13" s="19">
        <v>18.125</v>
      </c>
      <c r="CB13" s="19">
        <v>5.9</v>
      </c>
      <c r="CC13" s="19">
        <v>0.15000000000000002</v>
      </c>
      <c r="CD13" s="19">
        <v>0.22499999999999998</v>
      </c>
      <c r="CE13" s="19">
        <v>17.875</v>
      </c>
      <c r="CF13" s="19">
        <v>3.3</v>
      </c>
      <c r="CG13" s="19">
        <v>0</v>
      </c>
      <c r="CH13" s="19">
        <v>0</v>
      </c>
      <c r="CI13" s="19">
        <v>18.450000000000003</v>
      </c>
      <c r="CJ13" s="19">
        <v>6.1000000000000005</v>
      </c>
      <c r="CK13" s="19">
        <v>0.15</v>
      </c>
      <c r="CL13" s="19">
        <v>7.4999999999999997E-2</v>
      </c>
      <c r="CM13" s="19">
        <v>18.674999999999997</v>
      </c>
      <c r="CN13" s="19">
        <v>6.3000000000000007</v>
      </c>
      <c r="CO13" s="19">
        <v>0.05</v>
      </c>
      <c r="CP13" s="19">
        <v>0</v>
      </c>
      <c r="CQ13" s="19">
        <v>18.299999999999997</v>
      </c>
      <c r="CR13" s="19">
        <v>6.5</v>
      </c>
      <c r="CS13" s="19">
        <v>0.44999999999999996</v>
      </c>
      <c r="CT13" s="19">
        <v>0.22499999999999998</v>
      </c>
      <c r="CU13" s="27" t="s">
        <v>53</v>
      </c>
      <c r="CV13" s="40">
        <f t="shared" si="29"/>
        <v>9.1999999999999993</v>
      </c>
      <c r="CW13" s="40">
        <f t="shared" si="30"/>
        <v>45.274999999999999</v>
      </c>
      <c r="CX13" s="40">
        <f t="shared" si="31"/>
        <v>24.475000000000005</v>
      </c>
      <c r="CY13" s="40">
        <f t="shared" si="32"/>
        <v>15.3</v>
      </c>
      <c r="CZ13" s="40">
        <f t="shared" si="33"/>
        <v>69.75</v>
      </c>
      <c r="DA13" s="40">
        <f t="shared" si="34"/>
        <v>12.8</v>
      </c>
      <c r="DB13" s="40">
        <f t="shared" si="35"/>
        <v>49.499999999999993</v>
      </c>
      <c r="DC13" s="40">
        <f t="shared" si="36"/>
        <v>119.25</v>
      </c>
      <c r="DD13" s="51" t="str">
        <f t="shared" si="37"/>
        <v/>
      </c>
      <c r="DE13" s="51" t="str">
        <f t="shared" si="38"/>
        <v/>
      </c>
      <c r="DF13" s="51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 t="shared" si="136"/>
        <v/>
      </c>
      <c r="QZ13" s="40" t="str">
        <f t="shared" si="137"/>
        <v/>
      </c>
      <c r="RA13" s="40" t="str">
        <f t="shared" si="138"/>
        <v/>
      </c>
      <c r="RB13" s="40" t="str">
        <f t="shared" si="139"/>
        <v/>
      </c>
      <c r="RC13" s="40" t="str">
        <f t="shared" si="140"/>
        <v/>
      </c>
      <c r="RD13" s="40" t="str">
        <f t="shared" si="141"/>
        <v/>
      </c>
      <c r="RE13" s="40" t="str">
        <f t="shared" si="142"/>
        <v/>
      </c>
      <c r="RF13" s="40" t="str">
        <f t="shared" si="143"/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 t="shared" si="144"/>
        <v/>
      </c>
      <c r="SB13" s="11" t="str">
        <f t="shared" si="145"/>
        <v/>
      </c>
      <c r="SC13" s="11" t="str">
        <f t="shared" si="146"/>
        <v/>
      </c>
      <c r="SD13" s="11" t="str">
        <f t="shared" si="147"/>
        <v/>
      </c>
      <c r="SE13" s="11" t="str">
        <f t="shared" si="148"/>
        <v/>
      </c>
      <c r="SF13" s="11" t="str">
        <f t="shared" si="149"/>
        <v/>
      </c>
      <c r="SG13" s="11" t="str">
        <f t="shared" si="150"/>
        <v/>
      </c>
      <c r="SH13" s="11" t="str">
        <f t="shared" si="151"/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 t="shared" si="152"/>
        <v/>
      </c>
      <c r="TD13" s="40" t="str">
        <f t="shared" si="153"/>
        <v/>
      </c>
      <c r="TE13" s="40" t="str">
        <f t="shared" si="154"/>
        <v/>
      </c>
      <c r="TF13" s="40" t="str">
        <f t="shared" si="155"/>
        <v/>
      </c>
      <c r="TG13" s="40" t="str">
        <f t="shared" si="156"/>
        <v/>
      </c>
      <c r="TH13" s="40" t="str">
        <f t="shared" si="157"/>
        <v/>
      </c>
      <c r="TI13" s="40" t="str">
        <f t="shared" si="158"/>
        <v/>
      </c>
      <c r="TJ13" s="40" t="str">
        <f t="shared" si="159"/>
        <v/>
      </c>
      <c r="TK13" s="26">
        <f t="shared" si="160"/>
        <v>18.125</v>
      </c>
      <c r="TL13" s="26">
        <f t="shared" si="161"/>
        <v>5.9</v>
      </c>
      <c r="TM13" s="26">
        <f t="shared" si="162"/>
        <v>0.15000000000000002</v>
      </c>
      <c r="TN13" s="26">
        <f t="shared" si="163"/>
        <v>0.22499999999999998</v>
      </c>
      <c r="TO13" s="26">
        <f t="shared" si="164"/>
        <v>17.875</v>
      </c>
      <c r="TP13" s="26">
        <f t="shared" si="165"/>
        <v>3.3</v>
      </c>
      <c r="TQ13" s="26">
        <f t="shared" si="166"/>
        <v>0</v>
      </c>
      <c r="TR13" s="26">
        <f t="shared" si="167"/>
        <v>0</v>
      </c>
      <c r="TS13" s="26">
        <f t="shared" si="168"/>
        <v>18.450000000000003</v>
      </c>
      <c r="TT13" s="26">
        <f t="shared" si="169"/>
        <v>6.1000000000000005</v>
      </c>
      <c r="TU13" s="26">
        <f t="shared" si="170"/>
        <v>0.15</v>
      </c>
      <c r="TV13" s="26">
        <f t="shared" si="171"/>
        <v>7.4999999999999997E-2</v>
      </c>
      <c r="TW13" s="26">
        <f t="shared" si="172"/>
        <v>18.674999999999997</v>
      </c>
      <c r="TX13" s="26">
        <f t="shared" si="173"/>
        <v>6.3000000000000007</v>
      </c>
      <c r="TY13" s="26">
        <f t="shared" si="174"/>
        <v>0.05</v>
      </c>
      <c r="TZ13" s="26">
        <f t="shared" si="175"/>
        <v>0</v>
      </c>
      <c r="UA13" s="26">
        <f t="shared" si="176"/>
        <v>18.299999999999997</v>
      </c>
      <c r="UB13" s="26">
        <f t="shared" si="177"/>
        <v>6.5</v>
      </c>
      <c r="UC13" s="26">
        <f t="shared" si="178"/>
        <v>0.44999999999999996</v>
      </c>
      <c r="UD13" s="26">
        <f t="shared" si="179"/>
        <v>0.22499999999999998</v>
      </c>
      <c r="UE13" s="28" t="s">
        <v>53</v>
      </c>
      <c r="UF13" s="11">
        <f t="shared" si="180"/>
        <v>9.1999999999999993</v>
      </c>
      <c r="UG13" s="11">
        <f t="shared" si="181"/>
        <v>45.274999999999999</v>
      </c>
      <c r="UH13" s="11">
        <f t="shared" si="182"/>
        <v>24.475000000000005</v>
      </c>
      <c r="UI13" s="11">
        <f t="shared" si="183"/>
        <v>15.3</v>
      </c>
      <c r="UJ13" s="11">
        <f t="shared" si="184"/>
        <v>69.75</v>
      </c>
      <c r="UK13" s="11">
        <f t="shared" si="185"/>
        <v>12.8</v>
      </c>
      <c r="UL13" s="11">
        <f t="shared" si="186"/>
        <v>49.499999999999993</v>
      </c>
      <c r="UM13" s="11">
        <f t="shared" si="187"/>
        <v>119.25</v>
      </c>
    </row>
    <row r="14" spans="1:559" x14ac:dyDescent="0.2">
      <c r="A14" s="4" cm="1">
        <f t="array" ref="A14">IF(AND(H14&lt;&gt;"",H14&lt;&gt;"No DD"),SUMPRODUCT((H$4:H$23&lt;&gt;"")*(H$4:H$23&lt;&gt;"No DD")*(E$4:E$23&gt;E14))+1,IF(H14="No DD",SUMPRODUCT((H$4:H$23="No DD")*(E$4:E$23&gt;E14))+1+SUMPRODUCT((H$4:H$23&lt;&gt;"")*(H$4:H$23&lt;&gt;"No DD")),""))</f>
        <v>11</v>
      </c>
      <c r="B14" s="5" t="s">
        <v>212</v>
      </c>
      <c r="C14" s="4" t="s">
        <v>5</v>
      </c>
      <c r="D14" s="4">
        <v>2005</v>
      </c>
      <c r="E14" s="9">
        <f t="shared" si="0"/>
        <v>148.80000995000506</v>
      </c>
      <c r="F14" s="3" t="str">
        <f t="shared" si="1"/>
        <v>P</v>
      </c>
      <c r="G14" s="3" t="str">
        <f t="shared" si="2"/>
        <v>P</v>
      </c>
      <c r="H14" s="36" t="str">
        <f t="shared" si="3"/>
        <v>Excellence</v>
      </c>
      <c r="I14" s="3" t="str">
        <f t="shared" si="4"/>
        <v>P</v>
      </c>
      <c r="J14" s="8">
        <f>IF(COUNT(AQ14,BT14,CW14)&gt;0,LARGE((AQ14,BT14,CW14),1),0)</f>
        <v>50.599999999999994</v>
      </c>
      <c r="K14" s="8" t="str">
        <f t="shared" si="5"/>
        <v>2024 3rd Domestic Trial</v>
      </c>
      <c r="L14" s="8">
        <f>IF(COUNT(AQ14,BT14,CW14)&gt;1,LARGE((AQ14,BT14,CW14),2),0)</f>
        <v>24.7</v>
      </c>
      <c r="M14" s="8" t="str">
        <f t="shared" si="6"/>
        <v>2024 Elite Canada</v>
      </c>
      <c r="N14" s="8">
        <f>IF(COUNT(AR14,BU14,CX14)&gt;0,LARGE((AR14,BU14,CX14),1),0)</f>
        <v>24.2</v>
      </c>
      <c r="O14" s="8" t="str">
        <f t="shared" si="7"/>
        <v>2024 Elite Canada</v>
      </c>
      <c r="P14" s="8">
        <f t="shared" si="8"/>
        <v>49.300000000000004</v>
      </c>
      <c r="Q14" s="8" t="str">
        <f t="shared" si="9"/>
        <v>2024 3rd Domestic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0</v>
      </c>
      <c r="V14" s="19">
        <v>0</v>
      </c>
      <c r="W14" s="19">
        <v>0</v>
      </c>
      <c r="X14" s="19">
        <v>0</v>
      </c>
      <c r="Y14" s="19">
        <v>18.399999999999999</v>
      </c>
      <c r="Z14" s="19">
        <v>6.8</v>
      </c>
      <c r="AA14" s="19">
        <v>0.8</v>
      </c>
      <c r="AB14" s="19">
        <v>0.3</v>
      </c>
      <c r="AC14" s="19">
        <v>18.600000000000001</v>
      </c>
      <c r="AD14" s="19">
        <v>6.4</v>
      </c>
      <c r="AE14" s="19">
        <v>0.8</v>
      </c>
      <c r="AF14" s="19">
        <v>0</v>
      </c>
      <c r="AG14" s="19">
        <v>16.600000000000001</v>
      </c>
      <c r="AH14" s="19">
        <v>6.8</v>
      </c>
      <c r="AI14" s="19">
        <v>0.8</v>
      </c>
      <c r="AJ14" s="19">
        <v>0.3</v>
      </c>
      <c r="AK14" s="19">
        <v>18.600000000000001</v>
      </c>
      <c r="AL14" s="19">
        <v>6.4</v>
      </c>
      <c r="AM14" s="19">
        <v>0.6</v>
      </c>
      <c r="AN14" s="19">
        <v>0</v>
      </c>
      <c r="AO14" s="27"/>
      <c r="AP14" s="40">
        <f t="shared" si="13"/>
        <v>6.8</v>
      </c>
      <c r="AQ14" s="40">
        <f t="shared" si="14"/>
        <v>24.7</v>
      </c>
      <c r="AR14" s="40">
        <f t="shared" si="15"/>
        <v>24.2</v>
      </c>
      <c r="AS14" s="40">
        <f t="shared" si="16"/>
        <v>13.2</v>
      </c>
      <c r="AT14" s="40">
        <f t="shared" si="17"/>
        <v>48.9</v>
      </c>
      <c r="AU14" s="40">
        <f t="shared" si="18"/>
        <v>13.2</v>
      </c>
      <c r="AV14" s="40">
        <f t="shared" si="19"/>
        <v>47.300000000000004</v>
      </c>
      <c r="AW14" s="40">
        <f t="shared" si="20"/>
        <v>96.2</v>
      </c>
      <c r="AX14" s="18">
        <v>17.399999999999999</v>
      </c>
      <c r="AY14" s="18">
        <v>2.4</v>
      </c>
      <c r="AZ14" s="18">
        <v>0</v>
      </c>
      <c r="BA14" s="18">
        <v>0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1"/>
        <v>2.4</v>
      </c>
      <c r="BT14" s="11">
        <f t="shared" si="22"/>
        <v>19.799999999999997</v>
      </c>
      <c r="BU14" s="11" t="str">
        <f t="shared" si="23"/>
        <v/>
      </c>
      <c r="BV14" s="11">
        <f t="shared" si="24"/>
        <v>2.4</v>
      </c>
      <c r="BW14" s="11">
        <f t="shared" si="25"/>
        <v>19.799999999999997</v>
      </c>
      <c r="BX14" s="11" t="str">
        <f t="shared" si="26"/>
        <v/>
      </c>
      <c r="BY14" s="11" t="str">
        <f t="shared" si="27"/>
        <v/>
      </c>
      <c r="BZ14" s="11">
        <f t="shared" si="28"/>
        <v>19.799999999999997</v>
      </c>
      <c r="CA14" s="19">
        <v>18.7</v>
      </c>
      <c r="CB14" s="19">
        <v>6.8</v>
      </c>
      <c r="CC14" s="19">
        <v>0.6</v>
      </c>
      <c r="CD14" s="19">
        <v>0.3</v>
      </c>
      <c r="CE14" s="19">
        <v>19</v>
      </c>
      <c r="CF14" s="19">
        <v>6.4</v>
      </c>
      <c r="CG14" s="19">
        <v>0</v>
      </c>
      <c r="CH14" s="19">
        <v>0</v>
      </c>
      <c r="CI14" s="19">
        <v>18.600000000000001</v>
      </c>
      <c r="CJ14" s="19">
        <v>5.2</v>
      </c>
      <c r="CK14" s="19">
        <v>0.6</v>
      </c>
      <c r="CL14" s="19">
        <v>0</v>
      </c>
      <c r="CM14" s="19">
        <v>18.2</v>
      </c>
      <c r="CN14" s="19">
        <v>6.8</v>
      </c>
      <c r="CO14" s="19">
        <v>0.2</v>
      </c>
      <c r="CP14" s="19">
        <v>0.3</v>
      </c>
      <c r="CQ14" s="19">
        <v>18.399999999999999</v>
      </c>
      <c r="CR14" s="19">
        <v>6.4</v>
      </c>
      <c r="CS14" s="19">
        <v>0.6</v>
      </c>
      <c r="CT14" s="19">
        <v>0</v>
      </c>
      <c r="CU14" s="27"/>
      <c r="CV14" s="40">
        <f t="shared" si="29"/>
        <v>13.2</v>
      </c>
      <c r="CW14" s="40">
        <f t="shared" si="30"/>
        <v>50.599999999999994</v>
      </c>
      <c r="CX14" s="40">
        <f t="shared" si="31"/>
        <v>23.2</v>
      </c>
      <c r="CY14" s="40">
        <f t="shared" si="32"/>
        <v>18.399999999999999</v>
      </c>
      <c r="CZ14" s="40">
        <f t="shared" si="33"/>
        <v>73.8</v>
      </c>
      <c r="DA14" s="40">
        <f t="shared" si="34"/>
        <v>13.2</v>
      </c>
      <c r="DB14" s="40">
        <f t="shared" si="35"/>
        <v>49.300000000000004</v>
      </c>
      <c r="DC14" s="40">
        <f t="shared" si="36"/>
        <v>123.1</v>
      </c>
      <c r="DD14" s="51" t="str">
        <f t="shared" si="37"/>
        <v/>
      </c>
      <c r="DE14" s="51" t="str">
        <f t="shared" si="38"/>
        <v/>
      </c>
      <c r="DF14" s="51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 t="shared" si="136"/>
        <v/>
      </c>
      <c r="QZ14" s="40" t="str">
        <f t="shared" si="137"/>
        <v/>
      </c>
      <c r="RA14" s="40" t="str">
        <f t="shared" si="138"/>
        <v/>
      </c>
      <c r="RB14" s="40" t="str">
        <f t="shared" si="139"/>
        <v/>
      </c>
      <c r="RC14" s="40" t="str">
        <f t="shared" si="140"/>
        <v/>
      </c>
      <c r="RD14" s="40" t="str">
        <f t="shared" si="141"/>
        <v/>
      </c>
      <c r="RE14" s="40" t="str">
        <f t="shared" si="142"/>
        <v/>
      </c>
      <c r="RF14" s="40" t="str">
        <f t="shared" si="143"/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 t="shared" si="144"/>
        <v/>
      </c>
      <c r="SB14" s="11" t="str">
        <f t="shared" si="145"/>
        <v/>
      </c>
      <c r="SC14" s="11" t="str">
        <f t="shared" si="146"/>
        <v/>
      </c>
      <c r="SD14" s="11" t="str">
        <f t="shared" si="147"/>
        <v/>
      </c>
      <c r="SE14" s="11" t="str">
        <f t="shared" si="148"/>
        <v/>
      </c>
      <c r="SF14" s="11" t="str">
        <f t="shared" si="149"/>
        <v/>
      </c>
      <c r="SG14" s="11" t="str">
        <f t="shared" si="150"/>
        <v/>
      </c>
      <c r="SH14" s="11" t="str">
        <f t="shared" si="151"/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 t="shared" si="152"/>
        <v/>
      </c>
      <c r="TD14" s="40" t="str">
        <f t="shared" si="153"/>
        <v/>
      </c>
      <c r="TE14" s="40" t="str">
        <f t="shared" si="154"/>
        <v/>
      </c>
      <c r="TF14" s="40" t="str">
        <f t="shared" si="155"/>
        <v/>
      </c>
      <c r="TG14" s="40" t="str">
        <f t="shared" si="156"/>
        <v/>
      </c>
      <c r="TH14" s="40" t="str">
        <f t="shared" si="157"/>
        <v/>
      </c>
      <c r="TI14" s="40" t="str">
        <f t="shared" si="158"/>
        <v/>
      </c>
      <c r="TJ14" s="40" t="str">
        <f t="shared" si="159"/>
        <v/>
      </c>
      <c r="TK14" s="26">
        <f t="shared" si="160"/>
        <v>18.049999999999997</v>
      </c>
      <c r="TL14" s="26">
        <f t="shared" si="161"/>
        <v>4.5999999999999996</v>
      </c>
      <c r="TM14" s="26">
        <f t="shared" si="162"/>
        <v>0.3</v>
      </c>
      <c r="TN14" s="26">
        <f t="shared" si="163"/>
        <v>0.15</v>
      </c>
      <c r="TO14" s="26">
        <f t="shared" si="164"/>
        <v>9.5</v>
      </c>
      <c r="TP14" s="26">
        <f t="shared" si="165"/>
        <v>3.2</v>
      </c>
      <c r="TQ14" s="26">
        <f t="shared" si="166"/>
        <v>0</v>
      </c>
      <c r="TR14" s="26">
        <f t="shared" si="167"/>
        <v>0</v>
      </c>
      <c r="TS14" s="26">
        <f t="shared" si="168"/>
        <v>9.3000000000000007</v>
      </c>
      <c r="TT14" s="26">
        <f t="shared" si="169"/>
        <v>2.6</v>
      </c>
      <c r="TU14" s="26">
        <f t="shared" si="170"/>
        <v>0.3</v>
      </c>
      <c r="TV14" s="26">
        <f t="shared" si="171"/>
        <v>0</v>
      </c>
      <c r="TW14" s="26">
        <f t="shared" si="172"/>
        <v>9.1</v>
      </c>
      <c r="TX14" s="26">
        <f t="shared" si="173"/>
        <v>3.4</v>
      </c>
      <c r="TY14" s="26">
        <f t="shared" si="174"/>
        <v>0.1</v>
      </c>
      <c r="TZ14" s="26">
        <f t="shared" si="175"/>
        <v>0.15</v>
      </c>
      <c r="UA14" s="26">
        <f t="shared" si="176"/>
        <v>9.1999999999999993</v>
      </c>
      <c r="UB14" s="26">
        <f t="shared" si="177"/>
        <v>3.2</v>
      </c>
      <c r="UC14" s="26">
        <f t="shared" si="178"/>
        <v>0.3</v>
      </c>
      <c r="UD14" s="26">
        <f t="shared" si="179"/>
        <v>0</v>
      </c>
      <c r="UE14" s="28" t="s">
        <v>53</v>
      </c>
      <c r="UF14" s="11">
        <f t="shared" si="180"/>
        <v>7.8</v>
      </c>
      <c r="UG14" s="11">
        <f t="shared" si="181"/>
        <v>35.200000000000003</v>
      </c>
      <c r="UH14" s="11">
        <f t="shared" si="182"/>
        <v>11.6</v>
      </c>
      <c r="UI14" s="11">
        <f t="shared" si="183"/>
        <v>10.4</v>
      </c>
      <c r="UJ14" s="11">
        <f t="shared" si="184"/>
        <v>46.800000000000004</v>
      </c>
      <c r="UK14" s="11">
        <f t="shared" si="185"/>
        <v>6.6</v>
      </c>
      <c r="UL14" s="11">
        <f t="shared" si="186"/>
        <v>24.650000000000002</v>
      </c>
      <c r="UM14" s="11">
        <f t="shared" si="187"/>
        <v>71.45</v>
      </c>
    </row>
    <row r="15" spans="1:559" x14ac:dyDescent="0.2">
      <c r="A15" s="4" t="str" cm="1">
        <f t="array" ref="A15">IF(AND(H15&lt;&gt;"",H15&lt;&gt;"No DD"),SUMPRODUCT((H$4:H$23&lt;&gt;"")*(H$4:H$23&lt;&gt;"No DD")*(E$4:E$23&gt;E15))+1,IF(H15="No DD",SUMPRODUCT((H$4:H$23="No DD")*(E$4:E$23&gt;E15))+1+SUMPRODUCT((H$4:H$23&lt;&gt;"")*(H$4:H$23&lt;&gt;"No DD")),""))</f>
        <v/>
      </c>
      <c r="B15" s="5" t="s">
        <v>178</v>
      </c>
      <c r="C15" s="4" t="s">
        <v>5</v>
      </c>
      <c r="D15" s="4">
        <v>1999</v>
      </c>
      <c r="E15" s="9">
        <f t="shared" si="0"/>
        <v>161.70001150000462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46.2</v>
      </c>
      <c r="K15" s="8" t="str">
        <f t="shared" si="5"/>
        <v>2024 3rd Domestic Trial</v>
      </c>
      <c r="L15" s="8">
        <f>IF(COUNT(AQ15,BT15,CW15)&gt;1,LARGE((AQ15,BT15,CW15),2),0)</f>
        <v>45.8</v>
      </c>
      <c r="M15" s="8" t="str">
        <f t="shared" si="6"/>
        <v>2024 Elite Canada</v>
      </c>
      <c r="N15" s="8">
        <f>IF(COUNT(AR15,BU15,CX15)&gt;0,LARGE((AR15,BU15,CX15),1),0)</f>
        <v>23</v>
      </c>
      <c r="O15" s="8" t="str">
        <f t="shared" si="7"/>
        <v>2024 Elite Canada</v>
      </c>
      <c r="P15" s="8">
        <f t="shared" si="8"/>
        <v>46.699999999999996</v>
      </c>
      <c r="Q15" s="8" t="str">
        <f t="shared" si="9"/>
        <v>2024 3rd Domestic Trial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18.399999999999999</v>
      </c>
      <c r="V15" s="19">
        <v>5.2</v>
      </c>
      <c r="W15" s="19">
        <v>0</v>
      </c>
      <c r="X15" s="19">
        <v>0</v>
      </c>
      <c r="Y15" s="19">
        <v>17.8</v>
      </c>
      <c r="Z15" s="19">
        <v>4.8</v>
      </c>
      <c r="AA15" s="19">
        <v>0.4</v>
      </c>
      <c r="AB15" s="19">
        <v>0</v>
      </c>
      <c r="AC15" s="19">
        <v>18.2</v>
      </c>
      <c r="AD15" s="19">
        <v>4.8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0.4</v>
      </c>
      <c r="AJ15" s="19">
        <v>0</v>
      </c>
      <c r="AK15" s="19">
        <v>17.8</v>
      </c>
      <c r="AL15" s="19">
        <v>5.2</v>
      </c>
      <c r="AM15" s="19">
        <v>0.6</v>
      </c>
      <c r="AN15" s="19">
        <v>0</v>
      </c>
      <c r="AO15" s="27"/>
      <c r="AP15" s="40">
        <f t="shared" si="13"/>
        <v>10</v>
      </c>
      <c r="AQ15" s="40">
        <f t="shared" si="14"/>
        <v>45.8</v>
      </c>
      <c r="AR15" s="40">
        <f t="shared" si="15"/>
        <v>23</v>
      </c>
      <c r="AS15" s="40">
        <f t="shared" si="16"/>
        <v>14.8</v>
      </c>
      <c r="AT15" s="40">
        <f t="shared" si="17"/>
        <v>68.8</v>
      </c>
      <c r="AU15" s="40">
        <f t="shared" si="18"/>
        <v>10.4</v>
      </c>
      <c r="AV15" s="40">
        <f t="shared" si="19"/>
        <v>45.6</v>
      </c>
      <c r="AW15" s="40">
        <f t="shared" si="20"/>
        <v>114.4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16.399999999999999</v>
      </c>
      <c r="BC15" s="18">
        <v>5.2</v>
      </c>
      <c r="BD15" s="18">
        <v>1.2</v>
      </c>
      <c r="BE15" s="18">
        <v>0</v>
      </c>
      <c r="BF15" s="18">
        <v>18.2</v>
      </c>
      <c r="BG15" s="18">
        <v>4.4000000000000004</v>
      </c>
      <c r="BH15" s="18">
        <v>0</v>
      </c>
      <c r="BI15" s="18">
        <v>0</v>
      </c>
      <c r="BJ15" s="18">
        <v>18.5</v>
      </c>
      <c r="BK15" s="18">
        <v>5.6</v>
      </c>
      <c r="BL15" s="18">
        <v>0.6</v>
      </c>
      <c r="BM15" s="18">
        <v>0</v>
      </c>
      <c r="BN15" s="18">
        <v>18.2</v>
      </c>
      <c r="BO15" s="18">
        <v>4.8</v>
      </c>
      <c r="BP15" s="18">
        <v>0</v>
      </c>
      <c r="BQ15" s="18">
        <v>0</v>
      </c>
      <c r="BR15" s="28"/>
      <c r="BS15" s="11">
        <f t="shared" si="21"/>
        <v>10.4</v>
      </c>
      <c r="BT15" s="11">
        <f t="shared" si="22"/>
        <v>44.2</v>
      </c>
      <c r="BU15" s="11">
        <f t="shared" si="23"/>
        <v>22.6</v>
      </c>
      <c r="BV15" s="11">
        <f t="shared" si="24"/>
        <v>14.8</v>
      </c>
      <c r="BW15" s="11">
        <f t="shared" si="25"/>
        <v>66.800000000000011</v>
      </c>
      <c r="BX15" s="11">
        <f t="shared" si="26"/>
        <v>10.399999999999999</v>
      </c>
      <c r="BY15" s="11">
        <f t="shared" si="27"/>
        <v>46.499999999999993</v>
      </c>
      <c r="BZ15" s="11">
        <f t="shared" si="28"/>
        <v>113.30000000000001</v>
      </c>
      <c r="CA15" s="19">
        <v>18.3</v>
      </c>
      <c r="CB15" s="19">
        <v>5.2</v>
      </c>
      <c r="CC15" s="19">
        <v>0.2</v>
      </c>
      <c r="CD15" s="19">
        <v>0</v>
      </c>
      <c r="CE15" s="19">
        <v>18.5</v>
      </c>
      <c r="CF15" s="19">
        <v>5.2</v>
      </c>
      <c r="CG15" s="19">
        <v>0.8</v>
      </c>
      <c r="CH15" s="19">
        <v>0</v>
      </c>
      <c r="CI15" s="19">
        <v>18.3</v>
      </c>
      <c r="CJ15" s="19">
        <v>4.4000000000000004</v>
      </c>
      <c r="CK15" s="19">
        <v>0.2</v>
      </c>
      <c r="CL15" s="19">
        <v>0</v>
      </c>
      <c r="CM15" s="19">
        <v>18.399999999999999</v>
      </c>
      <c r="CN15" s="19">
        <v>5.2</v>
      </c>
      <c r="CO15" s="19">
        <v>0</v>
      </c>
      <c r="CP15" s="19">
        <v>0</v>
      </c>
      <c r="CQ15" s="19">
        <v>18.5</v>
      </c>
      <c r="CR15" s="19">
        <v>5.2</v>
      </c>
      <c r="CS15" s="19">
        <v>0.6</v>
      </c>
      <c r="CT15" s="19">
        <v>0</v>
      </c>
      <c r="CU15" s="27"/>
      <c r="CV15" s="40">
        <f t="shared" si="29"/>
        <v>10.4</v>
      </c>
      <c r="CW15" s="40">
        <f t="shared" si="30"/>
        <v>46.2</v>
      </c>
      <c r="CX15" s="40">
        <f t="shared" si="31"/>
        <v>22.500000000000004</v>
      </c>
      <c r="CY15" s="40">
        <f t="shared" si="32"/>
        <v>14.8</v>
      </c>
      <c r="CZ15" s="40">
        <f t="shared" si="33"/>
        <v>68.7</v>
      </c>
      <c r="DA15" s="40">
        <f t="shared" si="34"/>
        <v>10.4</v>
      </c>
      <c r="DB15" s="40">
        <f t="shared" si="35"/>
        <v>46.699999999999996</v>
      </c>
      <c r="DC15" s="40">
        <f t="shared" si="36"/>
        <v>115.4</v>
      </c>
      <c r="DD15" s="51" t="str">
        <f t="shared" si="37"/>
        <v/>
      </c>
      <c r="DE15" s="51" t="str">
        <f t="shared" si="38"/>
        <v/>
      </c>
      <c r="DF15" s="51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 t="shared" si="136"/>
        <v/>
      </c>
      <c r="QZ15" s="40" t="str">
        <f t="shared" si="137"/>
        <v/>
      </c>
      <c r="RA15" s="40" t="str">
        <f t="shared" si="138"/>
        <v/>
      </c>
      <c r="RB15" s="40" t="str">
        <f t="shared" si="139"/>
        <v/>
      </c>
      <c r="RC15" s="40" t="str">
        <f t="shared" si="140"/>
        <v/>
      </c>
      <c r="RD15" s="40" t="str">
        <f t="shared" si="141"/>
        <v/>
      </c>
      <c r="RE15" s="40" t="str">
        <f t="shared" si="142"/>
        <v/>
      </c>
      <c r="RF15" s="40" t="str">
        <f t="shared" si="143"/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 t="shared" si="144"/>
        <v/>
      </c>
      <c r="SB15" s="11" t="str">
        <f t="shared" si="145"/>
        <v/>
      </c>
      <c r="SC15" s="11" t="str">
        <f t="shared" si="146"/>
        <v/>
      </c>
      <c r="SD15" s="11" t="str">
        <f t="shared" si="147"/>
        <v/>
      </c>
      <c r="SE15" s="11" t="str">
        <f t="shared" si="148"/>
        <v/>
      </c>
      <c r="SF15" s="11" t="str">
        <f t="shared" si="149"/>
        <v/>
      </c>
      <c r="SG15" s="11" t="str">
        <f t="shared" si="150"/>
        <v/>
      </c>
      <c r="SH15" s="11" t="str">
        <f t="shared" si="151"/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 t="shared" si="152"/>
        <v/>
      </c>
      <c r="TD15" s="40" t="str">
        <f t="shared" si="153"/>
        <v/>
      </c>
      <c r="TE15" s="40" t="str">
        <f t="shared" si="154"/>
        <v/>
      </c>
      <c r="TF15" s="40" t="str">
        <f t="shared" si="155"/>
        <v/>
      </c>
      <c r="TG15" s="40" t="str">
        <f t="shared" si="156"/>
        <v/>
      </c>
      <c r="TH15" s="40" t="str">
        <f t="shared" si="157"/>
        <v/>
      </c>
      <c r="TI15" s="40" t="str">
        <f t="shared" si="158"/>
        <v/>
      </c>
      <c r="TJ15" s="40" t="str">
        <f t="shared" si="159"/>
        <v/>
      </c>
      <c r="TK15" s="26">
        <f t="shared" si="160"/>
        <v>18.450000000000003</v>
      </c>
      <c r="TL15" s="26">
        <f t="shared" si="161"/>
        <v>5.2</v>
      </c>
      <c r="TM15" s="26">
        <f t="shared" si="162"/>
        <v>0.1</v>
      </c>
      <c r="TN15" s="26">
        <f t="shared" si="163"/>
        <v>0</v>
      </c>
      <c r="TO15" s="26">
        <f t="shared" si="164"/>
        <v>17.45</v>
      </c>
      <c r="TP15" s="26">
        <f t="shared" si="165"/>
        <v>5.2</v>
      </c>
      <c r="TQ15" s="26">
        <f t="shared" si="166"/>
        <v>1</v>
      </c>
      <c r="TR15" s="26">
        <f t="shared" si="167"/>
        <v>0</v>
      </c>
      <c r="TS15" s="26">
        <f t="shared" si="168"/>
        <v>18.25</v>
      </c>
      <c r="TT15" s="26">
        <f t="shared" si="169"/>
        <v>4.4000000000000004</v>
      </c>
      <c r="TU15" s="26">
        <f t="shared" si="170"/>
        <v>0.1</v>
      </c>
      <c r="TV15" s="26">
        <f t="shared" si="171"/>
        <v>0</v>
      </c>
      <c r="TW15" s="26">
        <f t="shared" si="172"/>
        <v>18.45</v>
      </c>
      <c r="TX15" s="26">
        <f t="shared" si="173"/>
        <v>5.4</v>
      </c>
      <c r="TY15" s="26">
        <f t="shared" si="174"/>
        <v>0.3</v>
      </c>
      <c r="TZ15" s="26">
        <f t="shared" si="175"/>
        <v>0</v>
      </c>
      <c r="UA15" s="26">
        <f t="shared" si="176"/>
        <v>18.350000000000001</v>
      </c>
      <c r="UB15" s="26">
        <f t="shared" si="177"/>
        <v>5</v>
      </c>
      <c r="UC15" s="26">
        <f t="shared" si="178"/>
        <v>0.3</v>
      </c>
      <c r="UD15" s="26">
        <f t="shared" si="179"/>
        <v>0</v>
      </c>
      <c r="UE15" s="28" t="s">
        <v>53</v>
      </c>
      <c r="UF15" s="11">
        <f t="shared" si="180"/>
        <v>10.4</v>
      </c>
      <c r="UG15" s="11">
        <f t="shared" si="181"/>
        <v>45.2</v>
      </c>
      <c r="UH15" s="11">
        <f t="shared" si="182"/>
        <v>22.549999999999997</v>
      </c>
      <c r="UI15" s="11">
        <f t="shared" si="183"/>
        <v>14.8</v>
      </c>
      <c r="UJ15" s="11">
        <f t="shared" si="184"/>
        <v>67.75</v>
      </c>
      <c r="UK15" s="11">
        <f t="shared" si="185"/>
        <v>10.4</v>
      </c>
      <c r="UL15" s="11">
        <f t="shared" si="186"/>
        <v>46.6</v>
      </c>
      <c r="UM15" s="11">
        <f t="shared" si="187"/>
        <v>114.35</v>
      </c>
    </row>
    <row r="16" spans="1:559" x14ac:dyDescent="0.2">
      <c r="A16" s="4" t="str" cm="1">
        <f t="array" ref="A16">IF(AND(H16&lt;&gt;"",H16&lt;&gt;"No DD"),SUMPRODUCT((H$4:H$23&lt;&gt;"")*(H$4:H$23&lt;&gt;"No DD")*(E$4:E$23&gt;E16))+1,IF(H16="No DD",SUMPRODUCT((H$4:H$23="No DD")*(E$4:E$23&gt;E16))+1+SUMPRODUCT((H$4:H$23&lt;&gt;"")*(H$4:H$23&lt;&gt;"No DD")),""))</f>
        <v/>
      </c>
      <c r="B16" s="5" t="s">
        <v>81</v>
      </c>
      <c r="C16" s="4" t="s">
        <v>6</v>
      </c>
      <c r="D16" s="4">
        <v>1996</v>
      </c>
      <c r="E16" s="9">
        <f t="shared" si="0"/>
        <v>161.60001130500456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45.45</v>
      </c>
      <c r="K16" s="8" t="str">
        <f t="shared" si="5"/>
        <v>2024 Nationals</v>
      </c>
      <c r="L16" s="8">
        <f>IF(COUNT(AQ16,BT16,CW16)&gt;1,LARGE((AQ16,BT16,CW16),2),0)</f>
        <v>43.2</v>
      </c>
      <c r="M16" s="8" t="str">
        <f t="shared" si="6"/>
        <v>2024 Elite Canada</v>
      </c>
      <c r="N16" s="8">
        <f>IF(COUNT(AR16,BU16,CX16)&gt;0,LARGE((AR16,BU16,CX16),1),0)</f>
        <v>24.4</v>
      </c>
      <c r="O16" s="8" t="str">
        <f t="shared" si="7"/>
        <v>2024 Elite Canada</v>
      </c>
      <c r="P16" s="8">
        <f t="shared" si="8"/>
        <v>48.55</v>
      </c>
      <c r="Q16" s="8" t="str">
        <f t="shared" si="9"/>
        <v>2024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17.600000000000001</v>
      </c>
      <c r="V16" s="19">
        <v>6</v>
      </c>
      <c r="W16" s="19">
        <v>0.6</v>
      </c>
      <c r="X16" s="19">
        <v>0</v>
      </c>
      <c r="Y16" s="19">
        <v>17</v>
      </c>
      <c r="Z16" s="19">
        <v>3.2</v>
      </c>
      <c r="AA16" s="19">
        <v>0</v>
      </c>
      <c r="AB16" s="19">
        <v>0</v>
      </c>
      <c r="AC16" s="19">
        <v>18.8</v>
      </c>
      <c r="AD16" s="19">
        <v>5.6</v>
      </c>
      <c r="AE16" s="19">
        <v>0</v>
      </c>
      <c r="AF16" s="19">
        <v>0</v>
      </c>
      <c r="AG16" s="19">
        <v>18.3</v>
      </c>
      <c r="AH16" s="19">
        <v>6</v>
      </c>
      <c r="AI16" s="19">
        <v>0</v>
      </c>
      <c r="AJ16" s="19">
        <v>0</v>
      </c>
      <c r="AK16" s="19">
        <v>18.2</v>
      </c>
      <c r="AL16" s="19">
        <v>5.6</v>
      </c>
      <c r="AM16" s="19">
        <v>0.2</v>
      </c>
      <c r="AN16" s="19">
        <v>0</v>
      </c>
      <c r="AO16" s="27"/>
      <c r="AP16" s="40">
        <f t="shared" si="13"/>
        <v>9.1999999999999993</v>
      </c>
      <c r="AQ16" s="40">
        <f t="shared" si="14"/>
        <v>43.2</v>
      </c>
      <c r="AR16" s="40">
        <f t="shared" si="15"/>
        <v>24.4</v>
      </c>
      <c r="AS16" s="40">
        <f t="shared" si="16"/>
        <v>14.799999999999999</v>
      </c>
      <c r="AT16" s="40">
        <f t="shared" si="17"/>
        <v>67.599999999999994</v>
      </c>
      <c r="AU16" s="40">
        <f t="shared" si="18"/>
        <v>11.6</v>
      </c>
      <c r="AV16" s="40">
        <f t="shared" si="19"/>
        <v>47.9</v>
      </c>
      <c r="AW16" s="40">
        <f t="shared" si="20"/>
        <v>115.5</v>
      </c>
      <c r="AX16" s="18">
        <v>18.200000000000003</v>
      </c>
      <c r="AY16" s="18">
        <v>5.6</v>
      </c>
      <c r="AZ16" s="18">
        <v>0.3</v>
      </c>
      <c r="BA16" s="18">
        <v>0</v>
      </c>
      <c r="BB16" s="18">
        <v>17.7</v>
      </c>
      <c r="BC16" s="18">
        <v>4.2</v>
      </c>
      <c r="BD16" s="18">
        <v>0.1</v>
      </c>
      <c r="BE16" s="18">
        <v>0.15</v>
      </c>
      <c r="BF16" s="18">
        <v>18.55</v>
      </c>
      <c r="BG16" s="18">
        <v>5.6</v>
      </c>
      <c r="BH16" s="18">
        <v>0</v>
      </c>
      <c r="BI16" s="18">
        <v>0</v>
      </c>
      <c r="BJ16" s="18">
        <v>18.600000000000001</v>
      </c>
      <c r="BK16" s="18">
        <v>5.6</v>
      </c>
      <c r="BL16" s="18">
        <v>0</v>
      </c>
      <c r="BM16" s="18">
        <v>0</v>
      </c>
      <c r="BN16" s="18">
        <v>18.549999999999997</v>
      </c>
      <c r="BO16" s="18">
        <v>6</v>
      </c>
      <c r="BP16" s="18">
        <v>0.2</v>
      </c>
      <c r="BQ16" s="18">
        <v>0</v>
      </c>
      <c r="BR16" s="28" t="s">
        <v>53</v>
      </c>
      <c r="BS16" s="11">
        <f t="shared" si="21"/>
        <v>9.8000000000000007</v>
      </c>
      <c r="BT16" s="11">
        <f t="shared" si="22"/>
        <v>45.45</v>
      </c>
      <c r="BU16" s="11">
        <f t="shared" si="23"/>
        <v>24.15</v>
      </c>
      <c r="BV16" s="11">
        <f t="shared" si="24"/>
        <v>15.4</v>
      </c>
      <c r="BW16" s="11">
        <f t="shared" si="25"/>
        <v>69.599999999999994</v>
      </c>
      <c r="BX16" s="11">
        <f t="shared" si="26"/>
        <v>11.6</v>
      </c>
      <c r="BY16" s="11">
        <f t="shared" si="27"/>
        <v>48.55</v>
      </c>
      <c r="BZ16" s="11">
        <f t="shared" si="28"/>
        <v>118.14999999999999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9"/>
        <v/>
      </c>
      <c r="CW16" s="40" t="str">
        <f t="shared" si="30"/>
        <v/>
      </c>
      <c r="CX16" s="40" t="str">
        <f t="shared" si="31"/>
        <v/>
      </c>
      <c r="CY16" s="40" t="str">
        <f t="shared" si="32"/>
        <v/>
      </c>
      <c r="CZ16" s="40" t="str">
        <f t="shared" si="33"/>
        <v/>
      </c>
      <c r="DA16" s="40" t="str">
        <f t="shared" si="34"/>
        <v/>
      </c>
      <c r="DB16" s="40" t="str">
        <f t="shared" si="35"/>
        <v/>
      </c>
      <c r="DC16" s="40" t="str">
        <f t="shared" si="36"/>
        <v/>
      </c>
      <c r="DD16" s="51" t="str">
        <f t="shared" si="37"/>
        <v/>
      </c>
      <c r="DE16" s="51" t="str">
        <f t="shared" si="38"/>
        <v/>
      </c>
      <c r="DF16" s="51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 t="shared" si="136"/>
        <v/>
      </c>
      <c r="QZ16" s="40" t="str">
        <f t="shared" si="137"/>
        <v/>
      </c>
      <c r="RA16" s="40" t="str">
        <f t="shared" si="138"/>
        <v/>
      </c>
      <c r="RB16" s="40" t="str">
        <f t="shared" si="139"/>
        <v/>
      </c>
      <c r="RC16" s="40" t="str">
        <f t="shared" si="140"/>
        <v/>
      </c>
      <c r="RD16" s="40" t="str">
        <f t="shared" si="141"/>
        <v/>
      </c>
      <c r="RE16" s="40" t="str">
        <f t="shared" si="142"/>
        <v/>
      </c>
      <c r="RF16" s="40" t="str">
        <f t="shared" si="143"/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 t="shared" si="144"/>
        <v/>
      </c>
      <c r="SB16" s="11" t="str">
        <f t="shared" si="145"/>
        <v/>
      </c>
      <c r="SC16" s="11" t="str">
        <f t="shared" si="146"/>
        <v/>
      </c>
      <c r="SD16" s="11" t="str">
        <f t="shared" si="147"/>
        <v/>
      </c>
      <c r="SE16" s="11" t="str">
        <f t="shared" si="148"/>
        <v/>
      </c>
      <c r="SF16" s="11" t="str">
        <f t="shared" si="149"/>
        <v/>
      </c>
      <c r="SG16" s="11" t="str">
        <f t="shared" si="150"/>
        <v/>
      </c>
      <c r="SH16" s="11" t="str">
        <f t="shared" si="151"/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 t="shared" si="152"/>
        <v/>
      </c>
      <c r="TD16" s="40" t="str">
        <f t="shared" si="153"/>
        <v/>
      </c>
      <c r="TE16" s="40" t="str">
        <f t="shared" si="154"/>
        <v/>
      </c>
      <c r="TF16" s="40" t="str">
        <f t="shared" si="155"/>
        <v/>
      </c>
      <c r="TG16" s="40" t="str">
        <f t="shared" si="156"/>
        <v/>
      </c>
      <c r="TH16" s="40" t="str">
        <f t="shared" si="157"/>
        <v/>
      </c>
      <c r="TI16" s="40" t="str">
        <f t="shared" si="158"/>
        <v/>
      </c>
      <c r="TJ16" s="40" t="str">
        <f t="shared" si="159"/>
        <v/>
      </c>
      <c r="TK16" s="26">
        <f t="shared" si="160"/>
        <v>9.1000000000000014</v>
      </c>
      <c r="TL16" s="26">
        <f t="shared" si="161"/>
        <v>2.8</v>
      </c>
      <c r="TM16" s="26">
        <f t="shared" si="162"/>
        <v>0.15</v>
      </c>
      <c r="TN16" s="26">
        <f t="shared" si="163"/>
        <v>0</v>
      </c>
      <c r="TO16" s="26">
        <f t="shared" si="164"/>
        <v>8.85</v>
      </c>
      <c r="TP16" s="26">
        <f t="shared" si="165"/>
        <v>2.1</v>
      </c>
      <c r="TQ16" s="26">
        <f t="shared" si="166"/>
        <v>0.05</v>
      </c>
      <c r="TR16" s="26">
        <f t="shared" si="167"/>
        <v>7.4999999999999997E-2</v>
      </c>
      <c r="TS16" s="26">
        <f t="shared" si="168"/>
        <v>9.2750000000000004</v>
      </c>
      <c r="TT16" s="26">
        <f t="shared" si="169"/>
        <v>2.8</v>
      </c>
      <c r="TU16" s="26">
        <f t="shared" si="170"/>
        <v>0</v>
      </c>
      <c r="TV16" s="26">
        <f t="shared" si="171"/>
        <v>0</v>
      </c>
      <c r="TW16" s="26">
        <f t="shared" si="172"/>
        <v>9.3000000000000007</v>
      </c>
      <c r="TX16" s="26">
        <f t="shared" si="173"/>
        <v>2.8</v>
      </c>
      <c r="TY16" s="26">
        <f t="shared" si="174"/>
        <v>0</v>
      </c>
      <c r="TZ16" s="26">
        <f t="shared" si="175"/>
        <v>0</v>
      </c>
      <c r="UA16" s="26">
        <f t="shared" si="176"/>
        <v>9.2749999999999986</v>
      </c>
      <c r="UB16" s="26">
        <f t="shared" si="177"/>
        <v>3</v>
      </c>
      <c r="UC16" s="26">
        <f t="shared" si="178"/>
        <v>0.1</v>
      </c>
      <c r="UD16" s="26">
        <f t="shared" si="179"/>
        <v>0</v>
      </c>
      <c r="UE16" s="28" t="s">
        <v>53</v>
      </c>
      <c r="UF16" s="11">
        <f t="shared" si="180"/>
        <v>4.9000000000000004</v>
      </c>
      <c r="UG16" s="11">
        <f t="shared" si="181"/>
        <v>22.725000000000001</v>
      </c>
      <c r="UH16" s="11">
        <f t="shared" si="182"/>
        <v>12.074999999999999</v>
      </c>
      <c r="UI16" s="11">
        <f t="shared" si="183"/>
        <v>7.7</v>
      </c>
      <c r="UJ16" s="11">
        <f t="shared" si="184"/>
        <v>34.799999999999997</v>
      </c>
      <c r="UK16" s="11">
        <f t="shared" si="185"/>
        <v>5.8</v>
      </c>
      <c r="UL16" s="11">
        <f t="shared" si="186"/>
        <v>24.274999999999999</v>
      </c>
      <c r="UM16" s="11">
        <f t="shared" si="187"/>
        <v>59.074999999999996</v>
      </c>
    </row>
    <row r="17" spans="1:559" x14ac:dyDescent="0.2">
      <c r="A17" s="4" t="str" cm="1">
        <f t="array" ref="A17">IF(AND(H17&lt;&gt;"",H17&lt;&gt;"No DD"),SUMPRODUCT((H$4:H$23&lt;&gt;"")*(H$4:H$23&lt;&gt;"No DD")*(E$4:E$23&gt;E17))+1,IF(H17="No DD",SUMPRODUCT((H$4:H$23="No DD")*(E$4:E$23&gt;E17))+1+SUMPRODUCT((H$4:H$23&lt;&gt;"")*(H$4:H$23&lt;&gt;"No DD")),""))</f>
        <v/>
      </c>
      <c r="B17" s="5" t="s">
        <v>257</v>
      </c>
      <c r="C17" s="4" t="s">
        <v>36</v>
      </c>
      <c r="D17" s="4">
        <v>2003</v>
      </c>
      <c r="E17" s="9">
        <f t="shared" si="0"/>
        <v>161.30001145000463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46.4</v>
      </c>
      <c r="K17" s="8" t="str">
        <f t="shared" si="5"/>
        <v>2024 Elite Canada</v>
      </c>
      <c r="L17" s="8">
        <f>IF(COUNT(AQ17,BT17,CW17)&gt;1,LARGE((AQ17,BT17,CW17),2),0)</f>
        <v>45.6</v>
      </c>
      <c r="M17" s="8" t="str">
        <f t="shared" si="6"/>
        <v>2024 Nationals</v>
      </c>
      <c r="N17" s="8">
        <f>IF(COUNT(AR17,BU17,CX17)&gt;0,LARGE((AR17,BU17,CX17),1),0)</f>
        <v>22.5</v>
      </c>
      <c r="O17" s="8" t="str">
        <f t="shared" si="7"/>
        <v>2024 Nationals</v>
      </c>
      <c r="P17" s="8">
        <f t="shared" si="8"/>
        <v>46.8</v>
      </c>
      <c r="Q17" s="8" t="str">
        <f t="shared" si="9"/>
        <v>2024 Nationals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18.100000000000001</v>
      </c>
      <c r="V17" s="19">
        <v>5.2</v>
      </c>
      <c r="W17" s="19">
        <v>0</v>
      </c>
      <c r="X17" s="19">
        <v>0</v>
      </c>
      <c r="Y17" s="19">
        <v>17.8</v>
      </c>
      <c r="Z17" s="19">
        <v>5.2</v>
      </c>
      <c r="AA17" s="19">
        <v>0.2</v>
      </c>
      <c r="AB17" s="19">
        <v>0.3</v>
      </c>
      <c r="AC17" s="19">
        <v>18</v>
      </c>
      <c r="AD17" s="19">
        <v>3.7</v>
      </c>
      <c r="AE17" s="19">
        <v>0.8</v>
      </c>
      <c r="AF17" s="19">
        <v>0</v>
      </c>
      <c r="AG17" s="19">
        <v>18.3</v>
      </c>
      <c r="AH17" s="19">
        <v>5.2</v>
      </c>
      <c r="AI17" s="19">
        <v>0.2</v>
      </c>
      <c r="AJ17" s="19">
        <v>0</v>
      </c>
      <c r="AK17" s="19">
        <v>18</v>
      </c>
      <c r="AL17" s="19">
        <v>5.2</v>
      </c>
      <c r="AM17" s="19">
        <v>0.2</v>
      </c>
      <c r="AN17" s="19">
        <v>0.3</v>
      </c>
      <c r="AO17" s="27"/>
      <c r="AP17" s="40">
        <f t="shared" si="13"/>
        <v>10.4</v>
      </c>
      <c r="AQ17" s="40">
        <f t="shared" si="14"/>
        <v>46.4</v>
      </c>
      <c r="AR17" s="40">
        <f t="shared" si="15"/>
        <v>20.9</v>
      </c>
      <c r="AS17" s="40">
        <f t="shared" si="16"/>
        <v>14.100000000000001</v>
      </c>
      <c r="AT17" s="40">
        <f t="shared" si="17"/>
        <v>67.3</v>
      </c>
      <c r="AU17" s="40">
        <f t="shared" si="18"/>
        <v>10.4</v>
      </c>
      <c r="AV17" s="40">
        <f t="shared" si="19"/>
        <v>46.6</v>
      </c>
      <c r="AW17" s="40">
        <f t="shared" si="20"/>
        <v>113.9</v>
      </c>
      <c r="AX17" s="18">
        <v>18.100000000000001</v>
      </c>
      <c r="AY17" s="18">
        <v>4.4000000000000004</v>
      </c>
      <c r="AZ17" s="18">
        <v>0.8</v>
      </c>
      <c r="BA17" s="18">
        <v>0</v>
      </c>
      <c r="BB17" s="18">
        <v>18.600000000000001</v>
      </c>
      <c r="BC17" s="18">
        <v>5.2</v>
      </c>
      <c r="BD17" s="18">
        <v>0.2</v>
      </c>
      <c r="BE17" s="18">
        <v>0.3</v>
      </c>
      <c r="BF17" s="18">
        <v>18.8</v>
      </c>
      <c r="BG17" s="18">
        <v>3.7</v>
      </c>
      <c r="BH17" s="18">
        <v>0</v>
      </c>
      <c r="BI17" s="18">
        <v>0</v>
      </c>
      <c r="BJ17" s="18">
        <v>18.2</v>
      </c>
      <c r="BK17" s="18">
        <v>5.2</v>
      </c>
      <c r="BL17" s="18">
        <v>0</v>
      </c>
      <c r="BM17" s="18">
        <v>0</v>
      </c>
      <c r="BN17" s="18">
        <v>18.100000000000001</v>
      </c>
      <c r="BO17" s="18">
        <v>5.2</v>
      </c>
      <c r="BP17" s="18">
        <v>0.2</v>
      </c>
      <c r="BQ17" s="18">
        <v>0.3</v>
      </c>
      <c r="BR17" s="28"/>
      <c r="BS17" s="11">
        <f t="shared" si="21"/>
        <v>9.6000000000000014</v>
      </c>
      <c r="BT17" s="11">
        <f t="shared" si="22"/>
        <v>45.6</v>
      </c>
      <c r="BU17" s="11">
        <f t="shared" si="23"/>
        <v>22.5</v>
      </c>
      <c r="BV17" s="11">
        <f t="shared" si="24"/>
        <v>13.3</v>
      </c>
      <c r="BW17" s="11">
        <f t="shared" si="25"/>
        <v>68.099999999999994</v>
      </c>
      <c r="BX17" s="11">
        <f t="shared" si="26"/>
        <v>10.4</v>
      </c>
      <c r="BY17" s="11">
        <f t="shared" si="27"/>
        <v>46.8</v>
      </c>
      <c r="BZ17" s="11">
        <f t="shared" si="28"/>
        <v>114.89999999999999</v>
      </c>
      <c r="CA17" s="19">
        <v>18.600000000000001</v>
      </c>
      <c r="CB17" s="19">
        <v>5.2</v>
      </c>
      <c r="CC17" s="19">
        <v>0.2</v>
      </c>
      <c r="CD17" s="19">
        <v>0</v>
      </c>
      <c r="CE17" s="19">
        <v>16.600000000000001</v>
      </c>
      <c r="CF17" s="19">
        <v>5.2</v>
      </c>
      <c r="CG17" s="19">
        <v>1</v>
      </c>
      <c r="CH17" s="19">
        <v>0</v>
      </c>
      <c r="CI17" s="19">
        <v>18.5</v>
      </c>
      <c r="CJ17" s="19">
        <v>4.4000000000000004</v>
      </c>
      <c r="CK17" s="19">
        <v>0.8</v>
      </c>
      <c r="CL17" s="19">
        <v>0</v>
      </c>
      <c r="CM17" s="19">
        <v>18.8</v>
      </c>
      <c r="CN17" s="19">
        <v>5.2</v>
      </c>
      <c r="CO17" s="19">
        <v>0</v>
      </c>
      <c r="CP17" s="19">
        <v>0</v>
      </c>
      <c r="CQ17" s="19">
        <v>17.399999999999999</v>
      </c>
      <c r="CR17" s="19">
        <v>2.8</v>
      </c>
      <c r="CS17" s="19">
        <v>0</v>
      </c>
      <c r="CT17" s="19">
        <v>0</v>
      </c>
      <c r="CU17" s="27"/>
      <c r="CV17" s="40">
        <f t="shared" si="29"/>
        <v>10.4</v>
      </c>
      <c r="CW17" s="40">
        <f t="shared" si="30"/>
        <v>44.400000000000006</v>
      </c>
      <c r="CX17" s="40">
        <f t="shared" si="31"/>
        <v>22.099999999999998</v>
      </c>
      <c r="CY17" s="40">
        <f t="shared" si="32"/>
        <v>14.8</v>
      </c>
      <c r="CZ17" s="40">
        <f t="shared" si="33"/>
        <v>66.5</v>
      </c>
      <c r="DA17" s="40">
        <f t="shared" si="34"/>
        <v>8</v>
      </c>
      <c r="DB17" s="40">
        <f t="shared" si="35"/>
        <v>44.199999999999996</v>
      </c>
      <c r="DC17" s="40">
        <f t="shared" si="36"/>
        <v>110.69999999999999</v>
      </c>
      <c r="DD17" s="51" t="str">
        <f t="shared" si="37"/>
        <v/>
      </c>
      <c r="DE17" s="51" t="str">
        <f t="shared" si="38"/>
        <v/>
      </c>
      <c r="DF17" s="51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>
        <v>16.8</v>
      </c>
      <c r="EJ17" s="18">
        <v>5.2</v>
      </c>
      <c r="EK17" s="18">
        <v>0.8</v>
      </c>
      <c r="EL17" s="18">
        <v>0</v>
      </c>
      <c r="EM17" s="18">
        <v>18.5</v>
      </c>
      <c r="EN17" s="18">
        <v>5.2</v>
      </c>
      <c r="EO17" s="18">
        <v>0.8</v>
      </c>
      <c r="EP17" s="18">
        <v>0</v>
      </c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>
        <f t="shared" si="48"/>
        <v>10.4</v>
      </c>
      <c r="FD17" s="11">
        <f t="shared" si="49"/>
        <v>44.100000000000009</v>
      </c>
      <c r="FE17" s="11" t="str">
        <f t="shared" si="50"/>
        <v/>
      </c>
      <c r="FF17" s="11">
        <f t="shared" si="51"/>
        <v>10.4</v>
      </c>
      <c r="FG17" s="11">
        <f t="shared" si="52"/>
        <v>44.100000000000009</v>
      </c>
      <c r="FH17" s="11" t="str">
        <f t="shared" si="53"/>
        <v/>
      </c>
      <c r="FI17" s="11" t="str">
        <f t="shared" si="54"/>
        <v/>
      </c>
      <c r="FJ17" s="11">
        <f t="shared" si="55"/>
        <v>44.100000000000009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 t="shared" si="136"/>
        <v/>
      </c>
      <c r="QZ17" s="40" t="str">
        <f t="shared" si="137"/>
        <v/>
      </c>
      <c r="RA17" s="40" t="str">
        <f t="shared" si="138"/>
        <v/>
      </c>
      <c r="RB17" s="40" t="str">
        <f t="shared" si="139"/>
        <v/>
      </c>
      <c r="RC17" s="40" t="str">
        <f t="shared" si="140"/>
        <v/>
      </c>
      <c r="RD17" s="40" t="str">
        <f t="shared" si="141"/>
        <v/>
      </c>
      <c r="RE17" s="40" t="str">
        <f t="shared" si="142"/>
        <v/>
      </c>
      <c r="RF17" s="40" t="str">
        <f t="shared" si="143"/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 t="shared" si="144"/>
        <v/>
      </c>
      <c r="SB17" s="11" t="str">
        <f t="shared" si="145"/>
        <v/>
      </c>
      <c r="SC17" s="11" t="str">
        <f t="shared" si="146"/>
        <v/>
      </c>
      <c r="SD17" s="11" t="str">
        <f t="shared" si="147"/>
        <v/>
      </c>
      <c r="SE17" s="11" t="str">
        <f t="shared" si="148"/>
        <v/>
      </c>
      <c r="SF17" s="11" t="str">
        <f t="shared" si="149"/>
        <v/>
      </c>
      <c r="SG17" s="11" t="str">
        <f t="shared" si="150"/>
        <v/>
      </c>
      <c r="SH17" s="11" t="str">
        <f t="shared" si="151"/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 t="shared" si="152"/>
        <v/>
      </c>
      <c r="TD17" s="40" t="str">
        <f t="shared" si="153"/>
        <v/>
      </c>
      <c r="TE17" s="40" t="str">
        <f t="shared" si="154"/>
        <v/>
      </c>
      <c r="TF17" s="40" t="str">
        <f t="shared" si="155"/>
        <v/>
      </c>
      <c r="TG17" s="40" t="str">
        <f t="shared" si="156"/>
        <v/>
      </c>
      <c r="TH17" s="40" t="str">
        <f t="shared" si="157"/>
        <v/>
      </c>
      <c r="TI17" s="40" t="str">
        <f t="shared" si="158"/>
        <v/>
      </c>
      <c r="TJ17" s="40" t="str">
        <f t="shared" si="159"/>
        <v/>
      </c>
      <c r="TK17" s="26">
        <f t="shared" si="160"/>
        <v>18.350000000000001</v>
      </c>
      <c r="TL17" s="26">
        <f t="shared" si="161"/>
        <v>4.8000000000000007</v>
      </c>
      <c r="TM17" s="26">
        <f t="shared" si="162"/>
        <v>0.5</v>
      </c>
      <c r="TN17" s="26">
        <f t="shared" si="163"/>
        <v>0</v>
      </c>
      <c r="TO17" s="26">
        <f t="shared" si="164"/>
        <v>17.600000000000001</v>
      </c>
      <c r="TP17" s="26">
        <f t="shared" si="165"/>
        <v>5.2</v>
      </c>
      <c r="TQ17" s="26">
        <f t="shared" si="166"/>
        <v>0.6</v>
      </c>
      <c r="TR17" s="26">
        <f t="shared" si="167"/>
        <v>0.15</v>
      </c>
      <c r="TS17" s="26">
        <f t="shared" si="168"/>
        <v>18.649999999999999</v>
      </c>
      <c r="TT17" s="26">
        <f t="shared" si="169"/>
        <v>4.0500000000000007</v>
      </c>
      <c r="TU17" s="26">
        <f t="shared" si="170"/>
        <v>0.4</v>
      </c>
      <c r="TV17" s="26">
        <f t="shared" si="171"/>
        <v>0</v>
      </c>
      <c r="TW17" s="26">
        <f t="shared" si="172"/>
        <v>18.5</v>
      </c>
      <c r="TX17" s="26">
        <f t="shared" si="173"/>
        <v>5.2</v>
      </c>
      <c r="TY17" s="26">
        <f t="shared" si="174"/>
        <v>0</v>
      </c>
      <c r="TZ17" s="26">
        <f t="shared" si="175"/>
        <v>0</v>
      </c>
      <c r="UA17" s="26">
        <f t="shared" si="176"/>
        <v>17.75</v>
      </c>
      <c r="UB17" s="26">
        <f t="shared" si="177"/>
        <v>4</v>
      </c>
      <c r="UC17" s="26">
        <f t="shared" si="178"/>
        <v>0.1</v>
      </c>
      <c r="UD17" s="26">
        <f t="shared" si="179"/>
        <v>0.15</v>
      </c>
      <c r="UE17" s="28" t="s">
        <v>53</v>
      </c>
      <c r="UF17" s="11">
        <f t="shared" si="180"/>
        <v>10</v>
      </c>
      <c r="UG17" s="11">
        <f t="shared" si="181"/>
        <v>45</v>
      </c>
      <c r="UH17" s="11">
        <f t="shared" si="182"/>
        <v>22.3</v>
      </c>
      <c r="UI17" s="11">
        <f t="shared" si="183"/>
        <v>14.05</v>
      </c>
      <c r="UJ17" s="11">
        <f t="shared" si="184"/>
        <v>67.3</v>
      </c>
      <c r="UK17" s="11">
        <f t="shared" si="185"/>
        <v>9.1999999999999993</v>
      </c>
      <c r="UL17" s="11">
        <f t="shared" si="186"/>
        <v>45.5</v>
      </c>
      <c r="UM17" s="11">
        <f t="shared" si="187"/>
        <v>112.8</v>
      </c>
    </row>
    <row r="18" spans="1:559" x14ac:dyDescent="0.2">
      <c r="A18" s="4" t="str" cm="1">
        <f t="array" ref="A18">IF(AND(H18&lt;&gt;"",H18&lt;&gt;"No DD"),SUMPRODUCT((H$4:H$23&lt;&gt;"")*(H$4:H$23&lt;&gt;"No DD")*(E$4:E$23&gt;E18))+1,IF(H18="No DD",SUMPRODUCT((H$4:H$23="No DD")*(E$4:E$23&gt;E18))+1+SUMPRODUCT((H$4:H$23&lt;&gt;"")*(H$4:H$23&lt;&gt;"No DD")),""))</f>
        <v/>
      </c>
      <c r="B18" s="5" t="s">
        <v>85</v>
      </c>
      <c r="C18" s="4" t="s">
        <v>6</v>
      </c>
      <c r="D18" s="4">
        <v>2003</v>
      </c>
      <c r="E18" s="9">
        <f t="shared" si="0"/>
        <v>156.00001101000436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43.6</v>
      </c>
      <c r="K18" s="8" t="str">
        <f t="shared" si="5"/>
        <v>2024 Nationals</v>
      </c>
      <c r="L18" s="8">
        <f>IF(COUNT(AQ18,BT18,CW18)&gt;1,LARGE((AQ18,BT18,CW18),2),0)</f>
        <v>43.499999999999993</v>
      </c>
      <c r="M18" s="8" t="str">
        <f t="shared" si="6"/>
        <v>2024 3rd Domestic Trial</v>
      </c>
      <c r="N18" s="8">
        <f>IF(COUNT(AR18,BU18,CX18)&gt;0,LARGE((AR18,BU18,CX18),1),0)</f>
        <v>23</v>
      </c>
      <c r="O18" s="8" t="str">
        <f t="shared" si="7"/>
        <v>2024 Nationals</v>
      </c>
      <c r="P18" s="8">
        <f t="shared" si="8"/>
        <v>45.9</v>
      </c>
      <c r="Q18" s="8" t="str">
        <f t="shared" si="9"/>
        <v>2024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17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3"/>
        <v>2.8</v>
      </c>
      <c r="AQ18" s="40">
        <f t="shared" si="14"/>
        <v>19.8</v>
      </c>
      <c r="AR18" s="40" t="str">
        <f t="shared" si="15"/>
        <v/>
      </c>
      <c r="AS18" s="40">
        <f t="shared" si="16"/>
        <v>2.8</v>
      </c>
      <c r="AT18" s="40">
        <f t="shared" si="17"/>
        <v>19.8</v>
      </c>
      <c r="AU18" s="40" t="str">
        <f t="shared" si="18"/>
        <v/>
      </c>
      <c r="AV18" s="40" t="str">
        <f t="shared" si="19"/>
        <v/>
      </c>
      <c r="AW18" s="40">
        <f t="shared" si="20"/>
        <v>19.8</v>
      </c>
      <c r="AX18" s="18">
        <v>17.2</v>
      </c>
      <c r="AY18" s="18">
        <v>2.4</v>
      </c>
      <c r="AZ18" s="18">
        <v>0</v>
      </c>
      <c r="BA18" s="18">
        <v>0</v>
      </c>
      <c r="BB18" s="18">
        <v>18.399999999999999</v>
      </c>
      <c r="BC18" s="18">
        <v>5.6</v>
      </c>
      <c r="BD18" s="18">
        <v>0</v>
      </c>
      <c r="BE18" s="18">
        <v>0</v>
      </c>
      <c r="BF18" s="18">
        <v>18</v>
      </c>
      <c r="BG18" s="18">
        <v>5.2</v>
      </c>
      <c r="BH18" s="18">
        <v>0.2</v>
      </c>
      <c r="BI18" s="18">
        <v>0</v>
      </c>
      <c r="BJ18" s="18">
        <v>17.899999999999999</v>
      </c>
      <c r="BK18" s="18">
        <v>5.2</v>
      </c>
      <c r="BL18" s="18">
        <v>0.2</v>
      </c>
      <c r="BM18" s="18">
        <v>0</v>
      </c>
      <c r="BN18" s="18">
        <v>18</v>
      </c>
      <c r="BO18" s="18">
        <v>5.2</v>
      </c>
      <c r="BP18" s="18">
        <v>0.2</v>
      </c>
      <c r="BQ18" s="18">
        <v>0</v>
      </c>
      <c r="BR18" s="28"/>
      <c r="BS18" s="11">
        <f t="shared" si="21"/>
        <v>8</v>
      </c>
      <c r="BT18" s="11">
        <f t="shared" si="22"/>
        <v>43.6</v>
      </c>
      <c r="BU18" s="11">
        <f t="shared" si="23"/>
        <v>23</v>
      </c>
      <c r="BV18" s="11">
        <f t="shared" si="24"/>
        <v>13.2</v>
      </c>
      <c r="BW18" s="11">
        <f t="shared" si="25"/>
        <v>66.599999999999994</v>
      </c>
      <c r="BX18" s="11">
        <f t="shared" si="26"/>
        <v>10.4</v>
      </c>
      <c r="BY18" s="11">
        <f t="shared" si="27"/>
        <v>45.9</v>
      </c>
      <c r="BZ18" s="11">
        <f t="shared" si="28"/>
        <v>112.5</v>
      </c>
      <c r="CA18" s="19">
        <v>17.2</v>
      </c>
      <c r="CB18" s="19">
        <v>2.4</v>
      </c>
      <c r="CC18" s="19">
        <v>0</v>
      </c>
      <c r="CD18" s="19">
        <v>0</v>
      </c>
      <c r="CE18" s="19">
        <v>18.5</v>
      </c>
      <c r="CF18" s="19">
        <v>5.6</v>
      </c>
      <c r="CG18" s="19">
        <v>0.2</v>
      </c>
      <c r="CH18" s="19">
        <v>0</v>
      </c>
      <c r="CI18" s="19">
        <v>18.899999999999999</v>
      </c>
      <c r="CJ18" s="19">
        <v>3.1</v>
      </c>
      <c r="CK18" s="19">
        <v>1.2</v>
      </c>
      <c r="CL18" s="19">
        <v>0</v>
      </c>
      <c r="CM18" s="19">
        <v>17.399999999999999</v>
      </c>
      <c r="CN18" s="19">
        <v>2.8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 t="shared" si="29"/>
        <v>8</v>
      </c>
      <c r="CW18" s="40">
        <f t="shared" si="30"/>
        <v>43.499999999999993</v>
      </c>
      <c r="CX18" s="40">
        <f t="shared" si="31"/>
        <v>20.8</v>
      </c>
      <c r="CY18" s="40">
        <f t="shared" si="32"/>
        <v>11.1</v>
      </c>
      <c r="CZ18" s="40">
        <f t="shared" si="33"/>
        <v>64.3</v>
      </c>
      <c r="DA18" s="40">
        <f t="shared" si="34"/>
        <v>2.8</v>
      </c>
      <c r="DB18" s="40">
        <f t="shared" si="35"/>
        <v>20.2</v>
      </c>
      <c r="DC18" s="40">
        <f t="shared" si="36"/>
        <v>84.5</v>
      </c>
      <c r="DD18" s="51" t="str">
        <f t="shared" si="37"/>
        <v/>
      </c>
      <c r="DE18" s="51" t="str">
        <f t="shared" si="38"/>
        <v/>
      </c>
      <c r="DF18" s="51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 t="shared" si="136"/>
        <v/>
      </c>
      <c r="QZ18" s="40" t="str">
        <f t="shared" si="137"/>
        <v/>
      </c>
      <c r="RA18" s="40" t="str">
        <f t="shared" si="138"/>
        <v/>
      </c>
      <c r="RB18" s="40" t="str">
        <f t="shared" si="139"/>
        <v/>
      </c>
      <c r="RC18" s="40" t="str">
        <f t="shared" si="140"/>
        <v/>
      </c>
      <c r="RD18" s="40" t="str">
        <f t="shared" si="141"/>
        <v/>
      </c>
      <c r="RE18" s="40" t="str">
        <f t="shared" si="142"/>
        <v/>
      </c>
      <c r="RF18" s="40" t="str">
        <f t="shared" si="143"/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 t="shared" si="144"/>
        <v/>
      </c>
      <c r="SB18" s="11" t="str">
        <f t="shared" si="145"/>
        <v/>
      </c>
      <c r="SC18" s="11" t="str">
        <f t="shared" si="146"/>
        <v/>
      </c>
      <c r="SD18" s="11" t="str">
        <f t="shared" si="147"/>
        <v/>
      </c>
      <c r="SE18" s="11" t="str">
        <f t="shared" si="148"/>
        <v/>
      </c>
      <c r="SF18" s="11" t="str">
        <f t="shared" si="149"/>
        <v/>
      </c>
      <c r="SG18" s="11" t="str">
        <f t="shared" si="150"/>
        <v/>
      </c>
      <c r="SH18" s="11" t="str">
        <f t="shared" si="151"/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 t="shared" si="152"/>
        <v/>
      </c>
      <c r="TD18" s="40" t="str">
        <f t="shared" si="153"/>
        <v/>
      </c>
      <c r="TE18" s="40" t="str">
        <f t="shared" si="154"/>
        <v/>
      </c>
      <c r="TF18" s="40" t="str">
        <f t="shared" si="155"/>
        <v/>
      </c>
      <c r="TG18" s="40" t="str">
        <f t="shared" si="156"/>
        <v/>
      </c>
      <c r="TH18" s="40" t="str">
        <f t="shared" si="157"/>
        <v/>
      </c>
      <c r="TI18" s="40" t="str">
        <f t="shared" si="158"/>
        <v/>
      </c>
      <c r="TJ18" s="40" t="str">
        <f t="shared" si="159"/>
        <v/>
      </c>
      <c r="TK18" s="26">
        <f t="shared" si="160"/>
        <v>17.2</v>
      </c>
      <c r="TL18" s="26">
        <f t="shared" si="161"/>
        <v>2.4</v>
      </c>
      <c r="TM18" s="26">
        <f t="shared" si="162"/>
        <v>0</v>
      </c>
      <c r="TN18" s="26">
        <f t="shared" si="163"/>
        <v>0</v>
      </c>
      <c r="TO18" s="26">
        <f t="shared" si="164"/>
        <v>18.45</v>
      </c>
      <c r="TP18" s="26">
        <f t="shared" si="165"/>
        <v>5.6</v>
      </c>
      <c r="TQ18" s="26">
        <f t="shared" si="166"/>
        <v>0.1</v>
      </c>
      <c r="TR18" s="26">
        <f t="shared" si="167"/>
        <v>0</v>
      </c>
      <c r="TS18" s="26">
        <f t="shared" si="168"/>
        <v>18.45</v>
      </c>
      <c r="TT18" s="26">
        <f t="shared" si="169"/>
        <v>4.1500000000000004</v>
      </c>
      <c r="TU18" s="26">
        <f t="shared" si="170"/>
        <v>0.7</v>
      </c>
      <c r="TV18" s="26">
        <f t="shared" si="171"/>
        <v>0</v>
      </c>
      <c r="TW18" s="26">
        <f t="shared" si="172"/>
        <v>17.649999999999999</v>
      </c>
      <c r="TX18" s="26">
        <f t="shared" si="173"/>
        <v>4</v>
      </c>
      <c r="TY18" s="26">
        <f t="shared" si="174"/>
        <v>0.1</v>
      </c>
      <c r="TZ18" s="26">
        <f t="shared" si="175"/>
        <v>0</v>
      </c>
      <c r="UA18" s="26">
        <f t="shared" si="176"/>
        <v>9</v>
      </c>
      <c r="UB18" s="26">
        <f t="shared" si="177"/>
        <v>2.6</v>
      </c>
      <c r="UC18" s="26">
        <f t="shared" si="178"/>
        <v>0.1</v>
      </c>
      <c r="UD18" s="26">
        <f t="shared" si="179"/>
        <v>0</v>
      </c>
      <c r="UE18" s="28" t="s">
        <v>53</v>
      </c>
      <c r="UF18" s="11">
        <f t="shared" si="180"/>
        <v>8</v>
      </c>
      <c r="UG18" s="11">
        <f t="shared" si="181"/>
        <v>43.55</v>
      </c>
      <c r="UH18" s="11">
        <f t="shared" si="182"/>
        <v>21.900000000000002</v>
      </c>
      <c r="UI18" s="11">
        <f t="shared" si="183"/>
        <v>12.15</v>
      </c>
      <c r="UJ18" s="11">
        <f t="shared" si="184"/>
        <v>65.45</v>
      </c>
      <c r="UK18" s="11">
        <f t="shared" si="185"/>
        <v>6.6</v>
      </c>
      <c r="UL18" s="11">
        <f t="shared" si="186"/>
        <v>33.049999999999997</v>
      </c>
      <c r="UM18" s="11">
        <f t="shared" si="187"/>
        <v>98.5</v>
      </c>
    </row>
    <row r="19" spans="1:559" x14ac:dyDescent="0.2">
      <c r="A19" s="4" t="str" cm="1">
        <f t="array" ref="A19">IF(AND(H19&lt;&gt;"",H19&lt;&gt;"No DD"),SUMPRODUCT((H$4:H$23&lt;&gt;"")*(H$4:H$23&lt;&gt;"No DD")*(E$4:E$23&gt;E19))+1,IF(H19="No DD",SUMPRODUCT((H$4:H$23="No DD")*(E$4:E$23&gt;E19))+1+SUMPRODUCT((H$4:H$23&lt;&gt;"")*(H$4:H$23&lt;&gt;"No DD")),""))</f>
        <v/>
      </c>
      <c r="B19" s="5" t="s">
        <v>238</v>
      </c>
      <c r="C19" s="4" t="s">
        <v>6</v>
      </c>
      <c r="D19" s="4">
        <v>2001</v>
      </c>
      <c r="E19" s="9">
        <f t="shared" si="0"/>
        <v>149.10001043000452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45.099999999999994</v>
      </c>
      <c r="K19" s="8" t="str">
        <f t="shared" si="5"/>
        <v>2024 Elite Canada</v>
      </c>
      <c r="L19" s="8">
        <f>IF(COUNT(AQ19,BT19,CW19)&gt;1,LARGE((AQ19,BT19,CW19),2),0)</f>
        <v>37</v>
      </c>
      <c r="M19" s="8" t="str">
        <f t="shared" si="6"/>
        <v>2024 Nationals</v>
      </c>
      <c r="N19" s="8">
        <f>IF(COUNT(AR19,BU19,CX19)&gt;0,LARGE((AR19,BU19,CX19),1),0)</f>
        <v>22.2</v>
      </c>
      <c r="O19" s="8" t="str">
        <f t="shared" si="7"/>
        <v>2024 Elite Canada</v>
      </c>
      <c r="P19" s="8">
        <f t="shared" si="8"/>
        <v>44.79999999999999</v>
      </c>
      <c r="Q19" s="8" t="str">
        <f t="shared" si="9"/>
        <v>2024 Elite Canada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16.399999999999999</v>
      </c>
      <c r="V19" s="19">
        <v>5.2</v>
      </c>
      <c r="W19" s="19">
        <v>0.2</v>
      </c>
      <c r="X19" s="19">
        <v>0</v>
      </c>
      <c r="Y19" s="19">
        <v>17.8</v>
      </c>
      <c r="Z19" s="19">
        <v>6.4</v>
      </c>
      <c r="AA19" s="19">
        <v>0.8</v>
      </c>
      <c r="AB19" s="19">
        <v>0.3</v>
      </c>
      <c r="AC19" s="19">
        <v>18.7</v>
      </c>
      <c r="AD19" s="19">
        <v>3.5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0.6</v>
      </c>
      <c r="AJ19" s="19">
        <v>0</v>
      </c>
      <c r="AK19" s="19">
        <v>16.399999999999999</v>
      </c>
      <c r="AL19" s="19">
        <v>6.4</v>
      </c>
      <c r="AM19" s="19">
        <v>0</v>
      </c>
      <c r="AN19" s="19">
        <v>0.3</v>
      </c>
      <c r="AO19" s="27"/>
      <c r="AP19" s="40">
        <f t="shared" si="13"/>
        <v>11.600000000000001</v>
      </c>
      <c r="AQ19" s="40">
        <f t="shared" si="14"/>
        <v>45.099999999999994</v>
      </c>
      <c r="AR19" s="40">
        <f t="shared" si="15"/>
        <v>22.2</v>
      </c>
      <c r="AS19" s="40">
        <f t="shared" si="16"/>
        <v>15.100000000000001</v>
      </c>
      <c r="AT19" s="40">
        <f t="shared" si="17"/>
        <v>67.3</v>
      </c>
      <c r="AU19" s="40">
        <f t="shared" si="18"/>
        <v>10.8</v>
      </c>
      <c r="AV19" s="40">
        <f t="shared" si="19"/>
        <v>44.79999999999999</v>
      </c>
      <c r="AW19" s="40">
        <f t="shared" si="20"/>
        <v>112.1</v>
      </c>
      <c r="AX19" s="18">
        <v>17.399999999999999</v>
      </c>
      <c r="AY19" s="18">
        <v>2.4</v>
      </c>
      <c r="AZ19" s="18">
        <v>0</v>
      </c>
      <c r="BA19" s="18">
        <v>0</v>
      </c>
      <c r="BB19" s="18">
        <v>17.2</v>
      </c>
      <c r="BC19" s="18">
        <v>0</v>
      </c>
      <c r="BD19" s="18">
        <v>0</v>
      </c>
      <c r="BE19" s="18">
        <v>0</v>
      </c>
      <c r="BF19" s="18">
        <v>16.399999999999999</v>
      </c>
      <c r="BG19" s="18">
        <v>4.8</v>
      </c>
      <c r="BH19" s="18">
        <v>0.8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1"/>
        <v>2.4</v>
      </c>
      <c r="BT19" s="11">
        <f t="shared" si="22"/>
        <v>37</v>
      </c>
      <c r="BU19" s="11">
        <f t="shared" si="23"/>
        <v>20.399999999999999</v>
      </c>
      <c r="BV19" s="11">
        <f t="shared" si="24"/>
        <v>7.1999999999999993</v>
      </c>
      <c r="BW19" s="11">
        <f t="shared" si="25"/>
        <v>57.4</v>
      </c>
      <c r="BX19" s="11" t="str">
        <f t="shared" si="26"/>
        <v/>
      </c>
      <c r="BY19" s="11" t="str">
        <f t="shared" si="27"/>
        <v/>
      </c>
      <c r="BZ19" s="11">
        <f t="shared" si="28"/>
        <v>57.4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1" t="str">
        <f t="shared" si="37"/>
        <v/>
      </c>
      <c r="DE19" s="51" t="str">
        <f t="shared" si="38"/>
        <v/>
      </c>
      <c r="DF19" s="51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 t="shared" si="136"/>
        <v/>
      </c>
      <c r="QZ19" s="40" t="str">
        <f t="shared" si="137"/>
        <v/>
      </c>
      <c r="RA19" s="40" t="str">
        <f t="shared" si="138"/>
        <v/>
      </c>
      <c r="RB19" s="40" t="str">
        <f t="shared" si="139"/>
        <v/>
      </c>
      <c r="RC19" s="40" t="str">
        <f t="shared" si="140"/>
        <v/>
      </c>
      <c r="RD19" s="40" t="str">
        <f t="shared" si="141"/>
        <v/>
      </c>
      <c r="RE19" s="40" t="str">
        <f t="shared" si="142"/>
        <v/>
      </c>
      <c r="RF19" s="40" t="str">
        <f t="shared" si="143"/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 t="shared" si="144"/>
        <v/>
      </c>
      <c r="SB19" s="11" t="str">
        <f t="shared" si="145"/>
        <v/>
      </c>
      <c r="SC19" s="11" t="str">
        <f t="shared" si="146"/>
        <v/>
      </c>
      <c r="SD19" s="11" t="str">
        <f t="shared" si="147"/>
        <v/>
      </c>
      <c r="SE19" s="11" t="str">
        <f t="shared" si="148"/>
        <v/>
      </c>
      <c r="SF19" s="11" t="str">
        <f t="shared" si="149"/>
        <v/>
      </c>
      <c r="SG19" s="11" t="str">
        <f t="shared" si="150"/>
        <v/>
      </c>
      <c r="SH19" s="11" t="str">
        <f t="shared" si="151"/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 t="shared" si="152"/>
        <v/>
      </c>
      <c r="TD19" s="40" t="str">
        <f t="shared" si="153"/>
        <v/>
      </c>
      <c r="TE19" s="40" t="str">
        <f t="shared" si="154"/>
        <v/>
      </c>
      <c r="TF19" s="40" t="str">
        <f t="shared" si="155"/>
        <v/>
      </c>
      <c r="TG19" s="40" t="str">
        <f t="shared" si="156"/>
        <v/>
      </c>
      <c r="TH19" s="40" t="str">
        <f t="shared" si="157"/>
        <v/>
      </c>
      <c r="TI19" s="40" t="str">
        <f t="shared" si="158"/>
        <v/>
      </c>
      <c r="TJ19" s="40" t="str">
        <f t="shared" si="159"/>
        <v/>
      </c>
      <c r="TK19" s="26">
        <f t="shared" si="160"/>
        <v>8.6999999999999993</v>
      </c>
      <c r="TL19" s="26">
        <f t="shared" si="161"/>
        <v>1.2</v>
      </c>
      <c r="TM19" s="26">
        <f t="shared" si="162"/>
        <v>0</v>
      </c>
      <c r="TN19" s="26">
        <f t="shared" si="163"/>
        <v>0</v>
      </c>
      <c r="TO19" s="26">
        <f t="shared" si="164"/>
        <v>8.6</v>
      </c>
      <c r="TP19" s="26">
        <f t="shared" si="165"/>
        <v>0</v>
      </c>
      <c r="TQ19" s="26">
        <f t="shared" si="166"/>
        <v>0</v>
      </c>
      <c r="TR19" s="26">
        <f t="shared" si="167"/>
        <v>0</v>
      </c>
      <c r="TS19" s="26">
        <f t="shared" si="168"/>
        <v>8.1999999999999993</v>
      </c>
      <c r="TT19" s="26">
        <f t="shared" si="169"/>
        <v>2.4</v>
      </c>
      <c r="TU19" s="26">
        <f t="shared" si="170"/>
        <v>0.4</v>
      </c>
      <c r="TV19" s="26">
        <f t="shared" si="171"/>
        <v>0</v>
      </c>
      <c r="TW19" s="26">
        <f t="shared" si="172"/>
        <v>0</v>
      </c>
      <c r="TX19" s="26">
        <f t="shared" si="173"/>
        <v>0</v>
      </c>
      <c r="TY19" s="26">
        <f t="shared" si="174"/>
        <v>0</v>
      </c>
      <c r="TZ19" s="26">
        <f t="shared" si="175"/>
        <v>0</v>
      </c>
      <c r="UA19" s="26">
        <f t="shared" si="176"/>
        <v>0</v>
      </c>
      <c r="UB19" s="26">
        <f t="shared" si="177"/>
        <v>0</v>
      </c>
      <c r="UC19" s="26">
        <f t="shared" si="178"/>
        <v>0</v>
      </c>
      <c r="UD19" s="26">
        <f t="shared" si="179"/>
        <v>0</v>
      </c>
      <c r="UE19" s="28" t="s">
        <v>53</v>
      </c>
      <c r="UF19" s="11">
        <f t="shared" si="180"/>
        <v>1.2</v>
      </c>
      <c r="UG19" s="11">
        <f t="shared" si="181"/>
        <v>18.5</v>
      </c>
      <c r="UH19" s="11">
        <f t="shared" si="182"/>
        <v>10.199999999999999</v>
      </c>
      <c r="UI19" s="11">
        <f t="shared" si="183"/>
        <v>3.5999999999999996</v>
      </c>
      <c r="UJ19" s="11">
        <f t="shared" si="184"/>
        <v>28.7</v>
      </c>
      <c r="UK19" s="11" t="str">
        <f t="shared" si="185"/>
        <v/>
      </c>
      <c r="UL19" s="11" t="str">
        <f t="shared" si="186"/>
        <v/>
      </c>
      <c r="UM19" s="11">
        <f t="shared" si="187"/>
        <v>28.7</v>
      </c>
    </row>
    <row r="20" spans="1:559" x14ac:dyDescent="0.2">
      <c r="A20" s="4" t="str" cm="1">
        <f t="array" ref="A20">IF(AND(H20&lt;&gt;"",H20&lt;&gt;"No DD"),SUMPRODUCT((H$4:H$23&lt;&gt;"")*(H$4:H$23&lt;&gt;"No DD")*(E$4:E$23&gt;E20))+1,IF(H20="No DD",SUMPRODUCT((H$4:H$23="No DD")*(E$4:E$23&gt;E20))+1+SUMPRODUCT((H$4:H$23&lt;&gt;"")*(H$4:H$23&lt;&gt;"No DD")),""))</f>
        <v/>
      </c>
      <c r="B20" s="5" t="s">
        <v>124</v>
      </c>
      <c r="C20" s="4" t="s">
        <v>36</v>
      </c>
      <c r="D20" s="4">
        <v>2000</v>
      </c>
      <c r="E20" s="9">
        <f t="shared" si="0"/>
        <v>116.02500915750366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36.450000000000003</v>
      </c>
      <c r="K20" s="8" t="str">
        <f t="shared" si="5"/>
        <v>2024 Elite Canada</v>
      </c>
      <c r="L20" s="8">
        <f>IF(COUNT(AQ20,BT20,CW20)&gt;1,LARGE((AQ20,BT20,CW20),2),0)</f>
        <v>30.775000000000002</v>
      </c>
      <c r="M20" s="8" t="str">
        <f t="shared" si="6"/>
        <v>2024 Nationals</v>
      </c>
      <c r="N20" s="8">
        <f>IF(COUNT(AR20,BU20,CX20)&gt;0,LARGE((AR20,BU20,CX20),1),0)</f>
        <v>24.35</v>
      </c>
      <c r="O20" s="8" t="str">
        <f t="shared" si="7"/>
        <v>2024 Elite Canada</v>
      </c>
      <c r="P20" s="8">
        <f t="shared" si="8"/>
        <v>24.45</v>
      </c>
      <c r="Q20" s="8" t="str">
        <f t="shared" si="9"/>
        <v>2024 Elite Canada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18.75</v>
      </c>
      <c r="V20" s="19">
        <v>6</v>
      </c>
      <c r="W20" s="19">
        <v>0</v>
      </c>
      <c r="X20" s="19">
        <v>0</v>
      </c>
      <c r="Y20" s="19">
        <v>8.5</v>
      </c>
      <c r="Z20" s="19">
        <v>3.2</v>
      </c>
      <c r="AA20" s="19">
        <v>0</v>
      </c>
      <c r="AB20" s="19">
        <v>0</v>
      </c>
      <c r="AC20" s="19">
        <v>18.700000000000003</v>
      </c>
      <c r="AD20" s="19">
        <v>5.6</v>
      </c>
      <c r="AE20" s="19">
        <v>0.1</v>
      </c>
      <c r="AF20" s="19">
        <v>0.15</v>
      </c>
      <c r="AG20" s="19">
        <v>9.1999999999999993</v>
      </c>
      <c r="AH20" s="19">
        <v>3</v>
      </c>
      <c r="AI20" s="19">
        <v>0.1</v>
      </c>
      <c r="AJ20" s="19">
        <v>0.15</v>
      </c>
      <c r="AK20" s="19">
        <v>9.3000000000000007</v>
      </c>
      <c r="AL20" s="19">
        <v>3</v>
      </c>
      <c r="AM20" s="19">
        <v>0.1</v>
      </c>
      <c r="AN20" s="19">
        <v>0</v>
      </c>
      <c r="AO20" s="27" t="s">
        <v>53</v>
      </c>
      <c r="AP20" s="40">
        <f t="shared" si="13"/>
        <v>9.1999999999999993</v>
      </c>
      <c r="AQ20" s="40">
        <f t="shared" si="14"/>
        <v>36.450000000000003</v>
      </c>
      <c r="AR20" s="40">
        <f t="shared" si="15"/>
        <v>24.35</v>
      </c>
      <c r="AS20" s="40">
        <f t="shared" si="16"/>
        <v>14.799999999999999</v>
      </c>
      <c r="AT20" s="40">
        <f t="shared" si="17"/>
        <v>60.800000000000004</v>
      </c>
      <c r="AU20" s="40">
        <f t="shared" si="18"/>
        <v>6</v>
      </c>
      <c r="AV20" s="40">
        <f t="shared" si="19"/>
        <v>24.45</v>
      </c>
      <c r="AW20" s="40">
        <f t="shared" si="20"/>
        <v>85.25</v>
      </c>
      <c r="AX20" s="18">
        <v>18.725000000000001</v>
      </c>
      <c r="AY20" s="18">
        <v>6.2</v>
      </c>
      <c r="AZ20" s="18">
        <v>0</v>
      </c>
      <c r="BA20" s="18">
        <v>0</v>
      </c>
      <c r="BB20" s="18">
        <v>4.25</v>
      </c>
      <c r="BC20" s="18">
        <v>1.6</v>
      </c>
      <c r="BD20" s="18">
        <v>0</v>
      </c>
      <c r="BE20" s="18">
        <v>0</v>
      </c>
      <c r="BF20" s="18">
        <v>18.75</v>
      </c>
      <c r="BG20" s="18">
        <v>5.4</v>
      </c>
      <c r="BH20" s="18">
        <v>0.15000000000000002</v>
      </c>
      <c r="BI20" s="18">
        <v>7.4999999999999997E-2</v>
      </c>
      <c r="BJ20" s="18">
        <v>4.5999999999999996</v>
      </c>
      <c r="BK20" s="18">
        <v>1.5</v>
      </c>
      <c r="BL20" s="18">
        <v>0.05</v>
      </c>
      <c r="BM20" s="18">
        <v>7.4999999999999997E-2</v>
      </c>
      <c r="BN20" s="18">
        <v>4.6500000000000004</v>
      </c>
      <c r="BO20" s="18">
        <v>1.5</v>
      </c>
      <c r="BP20" s="18">
        <v>0.05</v>
      </c>
      <c r="BQ20" s="18">
        <v>0</v>
      </c>
      <c r="BR20" s="28" t="s">
        <v>53</v>
      </c>
      <c r="BS20" s="11">
        <f t="shared" si="21"/>
        <v>7.8000000000000007</v>
      </c>
      <c r="BT20" s="11">
        <f t="shared" si="22"/>
        <v>30.775000000000002</v>
      </c>
      <c r="BU20" s="11">
        <f t="shared" si="23"/>
        <v>24.074999999999999</v>
      </c>
      <c r="BV20" s="11">
        <f t="shared" si="24"/>
        <v>13.200000000000001</v>
      </c>
      <c r="BW20" s="11">
        <f t="shared" si="25"/>
        <v>54.85</v>
      </c>
      <c r="BX20" s="11">
        <f t="shared" si="26"/>
        <v>3</v>
      </c>
      <c r="BY20" s="11">
        <f t="shared" si="27"/>
        <v>12.225</v>
      </c>
      <c r="BZ20" s="11">
        <f t="shared" si="28"/>
        <v>67.075000000000003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1" t="str">
        <f t="shared" si="37"/>
        <v/>
      </c>
      <c r="DE20" s="51" t="str">
        <f t="shared" si="38"/>
        <v/>
      </c>
      <c r="DF20" s="51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 t="shared" si="136"/>
        <v/>
      </c>
      <c r="QZ20" s="40" t="str">
        <f t="shared" si="137"/>
        <v/>
      </c>
      <c r="RA20" s="40" t="str">
        <f t="shared" si="138"/>
        <v/>
      </c>
      <c r="RB20" s="40" t="str">
        <f t="shared" si="139"/>
        <v/>
      </c>
      <c r="RC20" s="40" t="str">
        <f t="shared" si="140"/>
        <v/>
      </c>
      <c r="RD20" s="40" t="str">
        <f t="shared" si="141"/>
        <v/>
      </c>
      <c r="RE20" s="40" t="str">
        <f t="shared" si="142"/>
        <v/>
      </c>
      <c r="RF20" s="40" t="str">
        <f t="shared" si="143"/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 t="shared" si="144"/>
        <v/>
      </c>
      <c r="SB20" s="11" t="str">
        <f t="shared" si="145"/>
        <v/>
      </c>
      <c r="SC20" s="11" t="str">
        <f t="shared" si="146"/>
        <v/>
      </c>
      <c r="SD20" s="11" t="str">
        <f t="shared" si="147"/>
        <v/>
      </c>
      <c r="SE20" s="11" t="str">
        <f t="shared" si="148"/>
        <v/>
      </c>
      <c r="SF20" s="11" t="str">
        <f t="shared" si="149"/>
        <v/>
      </c>
      <c r="SG20" s="11" t="str">
        <f t="shared" si="150"/>
        <v/>
      </c>
      <c r="SH20" s="11" t="str">
        <f t="shared" si="151"/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 t="shared" si="152"/>
        <v/>
      </c>
      <c r="TD20" s="40" t="str">
        <f t="shared" si="153"/>
        <v/>
      </c>
      <c r="TE20" s="40" t="str">
        <f t="shared" si="154"/>
        <v/>
      </c>
      <c r="TF20" s="40" t="str">
        <f t="shared" si="155"/>
        <v/>
      </c>
      <c r="TG20" s="40" t="str">
        <f t="shared" si="156"/>
        <v/>
      </c>
      <c r="TH20" s="40" t="str">
        <f t="shared" si="157"/>
        <v/>
      </c>
      <c r="TI20" s="40" t="str">
        <f t="shared" si="158"/>
        <v/>
      </c>
      <c r="TJ20" s="40" t="str">
        <f t="shared" si="159"/>
        <v/>
      </c>
      <c r="TK20" s="26">
        <f t="shared" si="160"/>
        <v>9.3625000000000007</v>
      </c>
      <c r="TL20" s="26">
        <f t="shared" si="161"/>
        <v>3.1</v>
      </c>
      <c r="TM20" s="26">
        <f t="shared" si="162"/>
        <v>0</v>
      </c>
      <c r="TN20" s="26">
        <f t="shared" si="163"/>
        <v>0</v>
      </c>
      <c r="TO20" s="26">
        <f t="shared" si="164"/>
        <v>2.125</v>
      </c>
      <c r="TP20" s="26">
        <f t="shared" si="165"/>
        <v>0.8</v>
      </c>
      <c r="TQ20" s="26">
        <f t="shared" si="166"/>
        <v>0</v>
      </c>
      <c r="TR20" s="26">
        <f t="shared" si="167"/>
        <v>0</v>
      </c>
      <c r="TS20" s="26">
        <f t="shared" si="168"/>
        <v>9.375</v>
      </c>
      <c r="TT20" s="26">
        <f t="shared" si="169"/>
        <v>2.7</v>
      </c>
      <c r="TU20" s="26">
        <f t="shared" si="170"/>
        <v>7.5000000000000011E-2</v>
      </c>
      <c r="TV20" s="26">
        <f t="shared" si="171"/>
        <v>3.7499999999999999E-2</v>
      </c>
      <c r="TW20" s="26">
        <f t="shared" si="172"/>
        <v>2.2999999999999998</v>
      </c>
      <c r="TX20" s="26">
        <f t="shared" si="173"/>
        <v>0.75</v>
      </c>
      <c r="TY20" s="26">
        <f t="shared" si="174"/>
        <v>2.5000000000000001E-2</v>
      </c>
      <c r="TZ20" s="26">
        <f t="shared" si="175"/>
        <v>3.7499999999999999E-2</v>
      </c>
      <c r="UA20" s="26">
        <f t="shared" si="176"/>
        <v>2.3250000000000002</v>
      </c>
      <c r="UB20" s="26">
        <f t="shared" si="177"/>
        <v>0.75</v>
      </c>
      <c r="UC20" s="26">
        <f t="shared" si="178"/>
        <v>2.5000000000000001E-2</v>
      </c>
      <c r="UD20" s="26">
        <f t="shared" si="179"/>
        <v>0</v>
      </c>
      <c r="UE20" s="28" t="s">
        <v>53</v>
      </c>
      <c r="UF20" s="11">
        <f t="shared" si="180"/>
        <v>3.9000000000000004</v>
      </c>
      <c r="UG20" s="11">
        <f t="shared" si="181"/>
        <v>15.387500000000001</v>
      </c>
      <c r="UH20" s="11">
        <f t="shared" si="182"/>
        <v>12.0375</v>
      </c>
      <c r="UI20" s="11">
        <f t="shared" si="183"/>
        <v>6.6000000000000005</v>
      </c>
      <c r="UJ20" s="11">
        <f t="shared" si="184"/>
        <v>27.425000000000001</v>
      </c>
      <c r="UK20" s="11">
        <f t="shared" si="185"/>
        <v>1.5</v>
      </c>
      <c r="UL20" s="11">
        <f t="shared" si="186"/>
        <v>6.1124999999999998</v>
      </c>
      <c r="UM20" s="11">
        <f t="shared" si="187"/>
        <v>33.537500000000001</v>
      </c>
    </row>
    <row r="21" spans="1:559" x14ac:dyDescent="0.2">
      <c r="A21" s="4" t="str" cm="1">
        <f t="array" ref="A21">IF(AND(H21&lt;&gt;"",H21&lt;&gt;"No DD"),SUMPRODUCT((H$4:H$23&lt;&gt;"")*(H$4:H$23&lt;&gt;"No DD")*(E$4:E$23&gt;E21))+1,IF(H21="No DD",SUMPRODUCT((H$4:H$23="No DD")*(E$4:E$23&gt;E21))+1+SUMPRODUCT((H$4:H$23&lt;&gt;"")*(H$4:H$23&lt;&gt;"No DD")),""))</f>
        <v/>
      </c>
      <c r="B21" s="5" t="s">
        <v>176</v>
      </c>
      <c r="C21" s="4" t="s">
        <v>5</v>
      </c>
      <c r="D21" s="4">
        <v>2006</v>
      </c>
      <c r="E21" s="9">
        <f t="shared" si="0"/>
        <v>114.75000684000476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47.6</v>
      </c>
      <c r="K21" s="8" t="str">
        <f t="shared" si="5"/>
        <v>2024 Elite Canada</v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20.8</v>
      </c>
      <c r="O21" s="8" t="str">
        <f t="shared" si="7"/>
        <v>2024 Elite Canada</v>
      </c>
      <c r="P21" s="8">
        <f t="shared" si="8"/>
        <v>46.35</v>
      </c>
      <c r="Q21" s="8" t="str">
        <f t="shared" si="9"/>
        <v>2024 Elite Canada</v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>
        <v>18.549999999999997</v>
      </c>
      <c r="V21" s="19">
        <v>5.6</v>
      </c>
      <c r="W21" s="19">
        <v>0.4</v>
      </c>
      <c r="X21" s="19">
        <v>0</v>
      </c>
      <c r="Y21" s="19">
        <v>18.350000000000001</v>
      </c>
      <c r="Z21" s="19">
        <v>6</v>
      </c>
      <c r="AA21" s="19">
        <v>0.5</v>
      </c>
      <c r="AB21" s="19">
        <v>0</v>
      </c>
      <c r="AC21" s="19">
        <v>17.45</v>
      </c>
      <c r="AD21" s="19">
        <v>3.6</v>
      </c>
      <c r="AE21" s="19">
        <v>0.4</v>
      </c>
      <c r="AF21" s="19">
        <v>0.15</v>
      </c>
      <c r="AG21" s="19">
        <v>18.149999999999999</v>
      </c>
      <c r="AH21" s="19">
        <v>5.1999999999999993</v>
      </c>
      <c r="AI21" s="19">
        <v>0.1</v>
      </c>
      <c r="AJ21" s="19">
        <v>0</v>
      </c>
      <c r="AK21" s="19">
        <v>18.2</v>
      </c>
      <c r="AL21" s="19">
        <v>5.6</v>
      </c>
      <c r="AM21" s="19">
        <v>0.7</v>
      </c>
      <c r="AN21" s="19">
        <v>0</v>
      </c>
      <c r="AO21" s="27" t="s">
        <v>53</v>
      </c>
      <c r="AP21" s="40">
        <f t="shared" si="13"/>
        <v>11.6</v>
      </c>
      <c r="AQ21" s="40">
        <f t="shared" si="14"/>
        <v>47.6</v>
      </c>
      <c r="AR21" s="40">
        <f t="shared" si="15"/>
        <v>20.8</v>
      </c>
      <c r="AS21" s="40">
        <f t="shared" si="16"/>
        <v>15.2</v>
      </c>
      <c r="AT21" s="40">
        <f t="shared" si="17"/>
        <v>68.400000000000006</v>
      </c>
      <c r="AU21" s="40">
        <f t="shared" si="18"/>
        <v>10.799999999999999</v>
      </c>
      <c r="AV21" s="40">
        <f t="shared" si="19"/>
        <v>46.35</v>
      </c>
      <c r="AW21" s="40">
        <f t="shared" si="20"/>
        <v>114.75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9"/>
        <v/>
      </c>
      <c r="CW21" s="40" t="str">
        <f t="shared" si="30"/>
        <v/>
      </c>
      <c r="CX21" s="40" t="str">
        <f t="shared" si="31"/>
        <v/>
      </c>
      <c r="CY21" s="40" t="str">
        <f t="shared" si="32"/>
        <v/>
      </c>
      <c r="CZ21" s="40" t="str">
        <f t="shared" si="33"/>
        <v/>
      </c>
      <c r="DA21" s="40" t="str">
        <f t="shared" si="34"/>
        <v/>
      </c>
      <c r="DB21" s="40" t="str">
        <f t="shared" si="35"/>
        <v/>
      </c>
      <c r="DC21" s="40" t="str">
        <f t="shared" si="36"/>
        <v/>
      </c>
      <c r="DD21" s="51" t="str">
        <f t="shared" si="37"/>
        <v/>
      </c>
      <c r="DE21" s="51" t="str">
        <f t="shared" si="38"/>
        <v/>
      </c>
      <c r="DF21" s="51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 t="shared" si="136"/>
        <v/>
      </c>
      <c r="QZ21" s="40" t="str">
        <f t="shared" si="137"/>
        <v/>
      </c>
      <c r="RA21" s="40" t="str">
        <f t="shared" si="138"/>
        <v/>
      </c>
      <c r="RB21" s="40" t="str">
        <f t="shared" si="139"/>
        <v/>
      </c>
      <c r="RC21" s="40" t="str">
        <f t="shared" si="140"/>
        <v/>
      </c>
      <c r="RD21" s="40" t="str">
        <f t="shared" si="141"/>
        <v/>
      </c>
      <c r="RE21" s="40" t="str">
        <f t="shared" si="142"/>
        <v/>
      </c>
      <c r="RF21" s="40" t="str">
        <f t="shared" si="143"/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 t="shared" si="144"/>
        <v/>
      </c>
      <c r="SB21" s="11" t="str">
        <f t="shared" si="145"/>
        <v/>
      </c>
      <c r="SC21" s="11" t="str">
        <f t="shared" si="146"/>
        <v/>
      </c>
      <c r="SD21" s="11" t="str">
        <f t="shared" si="147"/>
        <v/>
      </c>
      <c r="SE21" s="11" t="str">
        <f t="shared" si="148"/>
        <v/>
      </c>
      <c r="SF21" s="11" t="str">
        <f t="shared" si="149"/>
        <v/>
      </c>
      <c r="SG21" s="11" t="str">
        <f t="shared" si="150"/>
        <v/>
      </c>
      <c r="SH21" s="11" t="str">
        <f t="shared" si="151"/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 t="shared" si="152"/>
        <v/>
      </c>
      <c r="TD21" s="40" t="str">
        <f t="shared" si="153"/>
        <v/>
      </c>
      <c r="TE21" s="40" t="str">
        <f t="shared" si="154"/>
        <v/>
      </c>
      <c r="TF21" s="40" t="str">
        <f t="shared" si="155"/>
        <v/>
      </c>
      <c r="TG21" s="40" t="str">
        <f t="shared" si="156"/>
        <v/>
      </c>
      <c r="TH21" s="40" t="str">
        <f t="shared" si="157"/>
        <v/>
      </c>
      <c r="TI21" s="40" t="str">
        <f t="shared" si="158"/>
        <v/>
      </c>
      <c r="TJ21" s="40" t="str">
        <f t="shared" si="159"/>
        <v/>
      </c>
      <c r="TK21" s="26">
        <f t="shared" si="160"/>
        <v>0</v>
      </c>
      <c r="TL21" s="26">
        <f t="shared" si="161"/>
        <v>0</v>
      </c>
      <c r="TM21" s="26">
        <f t="shared" si="162"/>
        <v>0</v>
      </c>
      <c r="TN21" s="26">
        <f t="shared" si="163"/>
        <v>0</v>
      </c>
      <c r="TO21" s="26">
        <f t="shared" si="164"/>
        <v>0</v>
      </c>
      <c r="TP21" s="26">
        <f t="shared" si="165"/>
        <v>0</v>
      </c>
      <c r="TQ21" s="26">
        <f t="shared" si="166"/>
        <v>0</v>
      </c>
      <c r="TR21" s="26">
        <f t="shared" si="167"/>
        <v>0</v>
      </c>
      <c r="TS21" s="26">
        <f t="shared" si="168"/>
        <v>0</v>
      </c>
      <c r="TT21" s="26">
        <f t="shared" si="169"/>
        <v>0</v>
      </c>
      <c r="TU21" s="26">
        <f t="shared" si="170"/>
        <v>0</v>
      </c>
      <c r="TV21" s="26">
        <f t="shared" si="171"/>
        <v>0</v>
      </c>
      <c r="TW21" s="26">
        <f t="shared" si="172"/>
        <v>0</v>
      </c>
      <c r="TX21" s="26">
        <f t="shared" si="173"/>
        <v>0</v>
      </c>
      <c r="TY21" s="26">
        <f t="shared" si="174"/>
        <v>0</v>
      </c>
      <c r="TZ21" s="26">
        <f t="shared" si="175"/>
        <v>0</v>
      </c>
      <c r="UA21" s="26">
        <f t="shared" si="176"/>
        <v>0</v>
      </c>
      <c r="UB21" s="26">
        <f t="shared" si="177"/>
        <v>0</v>
      </c>
      <c r="UC21" s="26">
        <f t="shared" si="178"/>
        <v>0</v>
      </c>
      <c r="UD21" s="26">
        <f t="shared" si="179"/>
        <v>0</v>
      </c>
      <c r="UE21" s="28" t="s">
        <v>53</v>
      </c>
      <c r="UF21" s="11" t="str">
        <f t="shared" si="180"/>
        <v/>
      </c>
      <c r="UG21" s="11" t="str">
        <f t="shared" si="181"/>
        <v/>
      </c>
      <c r="UH21" s="11" t="str">
        <f t="shared" si="182"/>
        <v/>
      </c>
      <c r="UI21" s="11" t="str">
        <f t="shared" si="183"/>
        <v/>
      </c>
      <c r="UJ21" s="11" t="str">
        <f t="shared" si="184"/>
        <v/>
      </c>
      <c r="UK21" s="11" t="str">
        <f t="shared" si="185"/>
        <v/>
      </c>
      <c r="UL21" s="11" t="str">
        <f t="shared" si="186"/>
        <v/>
      </c>
      <c r="UM21" s="11" t="str">
        <f t="shared" si="187"/>
        <v/>
      </c>
    </row>
    <row r="22" spans="1:559" x14ac:dyDescent="0.2">
      <c r="A22" s="4" t="str" cm="1">
        <f t="array" ref="A22">IF(AND(H22&lt;&gt;"",H22&lt;&gt;"No DD"),SUMPRODUCT((H$4:H$23&lt;&gt;"")*(H$4:H$23&lt;&gt;"No DD")*(E$4:E$23&gt;E22))+1,IF(H22="No DD",SUMPRODUCT((H$4:H$23="No DD")*(E$4:E$23&gt;E22))+1+SUMPRODUCT((H$4:H$23&lt;&gt;"")*(H$4:H$23&lt;&gt;"No DD")),""))</f>
        <v/>
      </c>
      <c r="B22" s="5" t="s">
        <v>162</v>
      </c>
      <c r="C22" s="4" t="s">
        <v>6</v>
      </c>
      <c r="D22" s="4">
        <v>2001</v>
      </c>
      <c r="E22" s="9">
        <f t="shared" si="0"/>
        <v>104.00000620000432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43.199999999999996</v>
      </c>
      <c r="K22" s="8" t="str">
        <f t="shared" si="5"/>
        <v>2024 Nationals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18.8</v>
      </c>
      <c r="O22" s="8" t="str">
        <f t="shared" si="7"/>
        <v>2024 Nationals</v>
      </c>
      <c r="P22" s="8">
        <f t="shared" si="8"/>
        <v>42</v>
      </c>
      <c r="Q22" s="8" t="str">
        <f t="shared" si="9"/>
        <v>2024 Nationals</v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3"/>
        <v/>
      </c>
      <c r="AQ22" s="40" t="str">
        <f t="shared" si="14"/>
        <v/>
      </c>
      <c r="AR22" s="40" t="str">
        <f t="shared" si="15"/>
        <v/>
      </c>
      <c r="AS22" s="40" t="str">
        <f t="shared" si="16"/>
        <v/>
      </c>
      <c r="AT22" s="40" t="str">
        <f t="shared" si="17"/>
        <v/>
      </c>
      <c r="AU22" s="40" t="str">
        <f t="shared" si="18"/>
        <v/>
      </c>
      <c r="AV22" s="40" t="str">
        <f t="shared" si="19"/>
        <v/>
      </c>
      <c r="AW22" s="40" t="str">
        <f t="shared" si="20"/>
        <v/>
      </c>
      <c r="AX22" s="18">
        <v>19</v>
      </c>
      <c r="AY22" s="18">
        <v>3.5</v>
      </c>
      <c r="AZ22" s="18">
        <v>0.9</v>
      </c>
      <c r="BA22" s="18">
        <v>0</v>
      </c>
      <c r="BB22" s="18">
        <v>18.8</v>
      </c>
      <c r="BC22" s="18">
        <v>3.9</v>
      </c>
      <c r="BD22" s="18">
        <v>1.1000000000000001</v>
      </c>
      <c r="BE22" s="18">
        <v>0</v>
      </c>
      <c r="BF22" s="18">
        <v>17.8</v>
      </c>
      <c r="BG22" s="18">
        <v>3</v>
      </c>
      <c r="BH22" s="18">
        <v>2</v>
      </c>
      <c r="BI22" s="18">
        <v>0</v>
      </c>
      <c r="BJ22" s="18">
        <v>17.5</v>
      </c>
      <c r="BK22" s="18">
        <v>3.5</v>
      </c>
      <c r="BL22" s="18">
        <v>0.9</v>
      </c>
      <c r="BM22" s="18">
        <v>0</v>
      </c>
      <c r="BN22" s="18">
        <v>18.7</v>
      </c>
      <c r="BO22" s="18">
        <v>3.9</v>
      </c>
      <c r="BP22" s="18">
        <v>0.7</v>
      </c>
      <c r="BQ22" s="18">
        <v>0</v>
      </c>
      <c r="BR22" s="28"/>
      <c r="BS22" s="11">
        <f t="shared" si="21"/>
        <v>7.4</v>
      </c>
      <c r="BT22" s="11">
        <f t="shared" si="22"/>
        <v>43.199999999999996</v>
      </c>
      <c r="BU22" s="11">
        <f t="shared" si="23"/>
        <v>18.8</v>
      </c>
      <c r="BV22" s="11">
        <f t="shared" si="24"/>
        <v>10.4</v>
      </c>
      <c r="BW22" s="11">
        <f t="shared" si="25"/>
        <v>62</v>
      </c>
      <c r="BX22" s="11">
        <f t="shared" si="26"/>
        <v>7.4</v>
      </c>
      <c r="BY22" s="11">
        <f t="shared" si="27"/>
        <v>42</v>
      </c>
      <c r="BZ22" s="11">
        <f t="shared" si="28"/>
        <v>104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9"/>
        <v/>
      </c>
      <c r="CW22" s="40" t="str">
        <f t="shared" si="30"/>
        <v/>
      </c>
      <c r="CX22" s="40" t="str">
        <f t="shared" si="31"/>
        <v/>
      </c>
      <c r="CY22" s="40" t="str">
        <f t="shared" si="32"/>
        <v/>
      </c>
      <c r="CZ22" s="40" t="str">
        <f t="shared" si="33"/>
        <v/>
      </c>
      <c r="DA22" s="40" t="str">
        <f t="shared" si="34"/>
        <v/>
      </c>
      <c r="DB22" s="40" t="str">
        <f t="shared" si="35"/>
        <v/>
      </c>
      <c r="DC22" s="40" t="str">
        <f t="shared" si="36"/>
        <v/>
      </c>
      <c r="DD22" s="51" t="str">
        <f t="shared" si="37"/>
        <v/>
      </c>
      <c r="DE22" s="51" t="str">
        <f t="shared" si="38"/>
        <v/>
      </c>
      <c r="DF22" s="51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 t="shared" si="136"/>
        <v/>
      </c>
      <c r="QZ22" s="40" t="str">
        <f t="shared" si="137"/>
        <v/>
      </c>
      <c r="RA22" s="40" t="str">
        <f t="shared" si="138"/>
        <v/>
      </c>
      <c r="RB22" s="40" t="str">
        <f t="shared" si="139"/>
        <v/>
      </c>
      <c r="RC22" s="40" t="str">
        <f t="shared" si="140"/>
        <v/>
      </c>
      <c r="RD22" s="40" t="str">
        <f t="shared" si="141"/>
        <v/>
      </c>
      <c r="RE22" s="40" t="str">
        <f t="shared" si="142"/>
        <v/>
      </c>
      <c r="RF22" s="40" t="str">
        <f t="shared" si="143"/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 t="shared" si="144"/>
        <v/>
      </c>
      <c r="SB22" s="11" t="str">
        <f t="shared" si="145"/>
        <v/>
      </c>
      <c r="SC22" s="11" t="str">
        <f t="shared" si="146"/>
        <v/>
      </c>
      <c r="SD22" s="11" t="str">
        <f t="shared" si="147"/>
        <v/>
      </c>
      <c r="SE22" s="11" t="str">
        <f t="shared" si="148"/>
        <v/>
      </c>
      <c r="SF22" s="11" t="str">
        <f t="shared" si="149"/>
        <v/>
      </c>
      <c r="SG22" s="11" t="str">
        <f t="shared" si="150"/>
        <v/>
      </c>
      <c r="SH22" s="11" t="str">
        <f t="shared" si="151"/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 t="shared" si="152"/>
        <v/>
      </c>
      <c r="TD22" s="40" t="str">
        <f t="shared" si="153"/>
        <v/>
      </c>
      <c r="TE22" s="40" t="str">
        <f t="shared" si="154"/>
        <v/>
      </c>
      <c r="TF22" s="40" t="str">
        <f t="shared" si="155"/>
        <v/>
      </c>
      <c r="TG22" s="40" t="str">
        <f t="shared" si="156"/>
        <v/>
      </c>
      <c r="TH22" s="40" t="str">
        <f t="shared" si="157"/>
        <v/>
      </c>
      <c r="TI22" s="40" t="str">
        <f t="shared" si="158"/>
        <v/>
      </c>
      <c r="TJ22" s="40" t="str">
        <f t="shared" si="159"/>
        <v/>
      </c>
      <c r="TK22" s="26">
        <f t="shared" si="160"/>
        <v>9.5</v>
      </c>
      <c r="TL22" s="26">
        <f t="shared" si="161"/>
        <v>1.75</v>
      </c>
      <c r="TM22" s="26">
        <f t="shared" si="162"/>
        <v>0.45</v>
      </c>
      <c r="TN22" s="26">
        <f t="shared" si="163"/>
        <v>0</v>
      </c>
      <c r="TO22" s="26">
        <f t="shared" si="164"/>
        <v>9.4</v>
      </c>
      <c r="TP22" s="26">
        <f t="shared" si="165"/>
        <v>1.95</v>
      </c>
      <c r="TQ22" s="26">
        <f t="shared" si="166"/>
        <v>0.55000000000000004</v>
      </c>
      <c r="TR22" s="26">
        <f t="shared" si="167"/>
        <v>0</v>
      </c>
      <c r="TS22" s="26">
        <f t="shared" si="168"/>
        <v>8.9</v>
      </c>
      <c r="TT22" s="26">
        <f t="shared" si="169"/>
        <v>1.5</v>
      </c>
      <c r="TU22" s="26">
        <f t="shared" si="170"/>
        <v>1</v>
      </c>
      <c r="TV22" s="26">
        <f t="shared" si="171"/>
        <v>0</v>
      </c>
      <c r="TW22" s="26">
        <f t="shared" si="172"/>
        <v>8.75</v>
      </c>
      <c r="TX22" s="26">
        <f t="shared" si="173"/>
        <v>1.75</v>
      </c>
      <c r="TY22" s="26">
        <f t="shared" si="174"/>
        <v>0.45</v>
      </c>
      <c r="TZ22" s="26">
        <f t="shared" si="175"/>
        <v>0</v>
      </c>
      <c r="UA22" s="26">
        <f t="shared" si="176"/>
        <v>9.35</v>
      </c>
      <c r="UB22" s="26">
        <f t="shared" si="177"/>
        <v>1.95</v>
      </c>
      <c r="UC22" s="26">
        <f t="shared" si="178"/>
        <v>0.35</v>
      </c>
      <c r="UD22" s="26">
        <f t="shared" si="179"/>
        <v>0</v>
      </c>
      <c r="UE22" s="28" t="s">
        <v>53</v>
      </c>
      <c r="UF22" s="11">
        <f t="shared" si="180"/>
        <v>3.7</v>
      </c>
      <c r="UG22" s="11">
        <f t="shared" si="181"/>
        <v>21.599999999999998</v>
      </c>
      <c r="UH22" s="11">
        <f t="shared" si="182"/>
        <v>9.4</v>
      </c>
      <c r="UI22" s="11">
        <f t="shared" si="183"/>
        <v>5.2</v>
      </c>
      <c r="UJ22" s="11">
        <f t="shared" si="184"/>
        <v>31</v>
      </c>
      <c r="UK22" s="11">
        <f t="shared" si="185"/>
        <v>3.7</v>
      </c>
      <c r="UL22" s="11">
        <f t="shared" si="186"/>
        <v>21</v>
      </c>
      <c r="UM22" s="11">
        <f t="shared" si="187"/>
        <v>52</v>
      </c>
    </row>
    <row r="23" spans="1:559" ht="17" x14ac:dyDescent="0.2">
      <c r="R23" s="10"/>
      <c r="S23" s="10"/>
      <c r="T23" s="10"/>
      <c r="QY23" s="36"/>
      <c r="RG23"/>
      <c r="SA23" s="36"/>
      <c r="SB23" s="36"/>
      <c r="SC23" s="36"/>
      <c r="SD23" s="36"/>
      <c r="SE23" s="36"/>
      <c r="SF23" s="36"/>
      <c r="SG23" s="36"/>
      <c r="SH23" s="36"/>
      <c r="TC23" s="36"/>
      <c r="TD23" s="36"/>
      <c r="TE23" s="36"/>
      <c r="TF23" s="36"/>
      <c r="TG23" s="36"/>
      <c r="TH23" s="36"/>
      <c r="TI23" s="36"/>
      <c r="TJ23" s="36"/>
    </row>
    <row r="24" spans="1:559" ht="17" x14ac:dyDescent="0.2">
      <c r="R24" s="10"/>
      <c r="S24" s="10"/>
      <c r="T24" s="10"/>
      <c r="QY24" s="36"/>
      <c r="RG24"/>
      <c r="SA24" s="36"/>
      <c r="SB24" s="36"/>
      <c r="SC24" s="36"/>
      <c r="SD24" s="36"/>
      <c r="SE24" s="36"/>
      <c r="SF24" s="36"/>
      <c r="SG24" s="36"/>
      <c r="SH24" s="36"/>
      <c r="TC24" s="36"/>
      <c r="TD24" s="36"/>
      <c r="TE24" s="36"/>
      <c r="TF24" s="36"/>
      <c r="TG24" s="36"/>
      <c r="TH24" s="36"/>
      <c r="TI24" s="36"/>
      <c r="TJ24" s="36"/>
    </row>
    <row r="25" spans="1:559" ht="17" x14ac:dyDescent="0.2">
      <c r="B25" s="23" t="s">
        <v>51</v>
      </c>
      <c r="R25" s="10"/>
      <c r="S25" s="10"/>
      <c r="T25" s="10"/>
      <c r="AP25" s="4"/>
      <c r="AW25" s="42">
        <v>10.8</v>
      </c>
      <c r="BS25" s="4"/>
      <c r="BZ25" s="42">
        <v>10.8</v>
      </c>
      <c r="CV25" s="4"/>
      <c r="DC25" s="42">
        <v>10.8</v>
      </c>
      <c r="EA25" s="4"/>
      <c r="EH25" s="42">
        <v>10.8</v>
      </c>
      <c r="FC25" s="4"/>
      <c r="FJ25" s="42">
        <v>10.8</v>
      </c>
      <c r="GE25" s="4"/>
      <c r="GL25" s="42">
        <v>10.8</v>
      </c>
      <c r="HG25" s="4"/>
      <c r="HN25" s="42">
        <v>10.8</v>
      </c>
      <c r="II25" s="4"/>
      <c r="IP25" s="42">
        <v>10.8</v>
      </c>
      <c r="JK25" s="4"/>
      <c r="JR25" s="42">
        <v>10.8</v>
      </c>
      <c r="KM25" s="4"/>
      <c r="KT25" s="42">
        <v>10.8</v>
      </c>
      <c r="LO25" s="4"/>
      <c r="LV25" s="42">
        <v>10.8</v>
      </c>
      <c r="MQ25" s="4"/>
      <c r="MX25" s="42">
        <v>10.8</v>
      </c>
      <c r="NS25" s="4"/>
      <c r="NZ25" s="42">
        <v>10.8</v>
      </c>
      <c r="OU25" s="4"/>
      <c r="PB25" s="42">
        <v>10.8</v>
      </c>
      <c r="PW25" s="4"/>
      <c r="QD25" s="42">
        <v>10.8</v>
      </c>
      <c r="QY25" s="4"/>
      <c r="RF25" s="42">
        <v>10.8</v>
      </c>
      <c r="RG25"/>
      <c r="SA25" s="4"/>
      <c r="SB25" s="36"/>
      <c r="SC25" s="36"/>
      <c r="SD25" s="36"/>
      <c r="SE25" s="36"/>
      <c r="SF25" s="36"/>
      <c r="SG25" s="36"/>
      <c r="SH25" s="42">
        <v>10.8</v>
      </c>
      <c r="TC25" s="4"/>
      <c r="TD25" s="36"/>
      <c r="TE25" s="36"/>
      <c r="TF25" s="36"/>
      <c r="TG25" s="36"/>
      <c r="TH25" s="36"/>
      <c r="TI25" s="36"/>
      <c r="TJ25" s="42">
        <v>10.8</v>
      </c>
    </row>
    <row r="26" spans="1:559" ht="17" x14ac:dyDescent="0.2">
      <c r="B26" s="30" t="s">
        <v>50</v>
      </c>
      <c r="R26" s="10"/>
      <c r="S26" s="10"/>
      <c r="T26" s="10"/>
      <c r="AP26" s="4"/>
      <c r="AW26" s="52">
        <v>16</v>
      </c>
      <c r="BS26" s="4"/>
      <c r="BZ26" s="52">
        <v>16</v>
      </c>
      <c r="CV26" s="4"/>
      <c r="DC26" s="52">
        <v>16</v>
      </c>
      <c r="EA26" s="4"/>
      <c r="EH26" s="52">
        <v>16</v>
      </c>
      <c r="FC26" s="4"/>
      <c r="FJ26" s="52">
        <v>16</v>
      </c>
      <c r="GE26" s="4"/>
      <c r="GL26" s="52">
        <v>16</v>
      </c>
      <c r="HG26" s="4"/>
      <c r="HN26" s="52">
        <v>16</v>
      </c>
      <c r="II26" s="4"/>
      <c r="IP26" s="52">
        <v>16</v>
      </c>
      <c r="JK26" s="4"/>
      <c r="JR26" s="52">
        <v>16</v>
      </c>
      <c r="KM26" s="4"/>
      <c r="KT26" s="52">
        <v>16</v>
      </c>
      <c r="LO26" s="4"/>
      <c r="LV26" s="52">
        <v>16</v>
      </c>
      <c r="MQ26" s="4"/>
      <c r="MX26" s="52">
        <v>16</v>
      </c>
      <c r="NS26" s="4"/>
      <c r="NZ26" s="52">
        <v>16</v>
      </c>
      <c r="OU26" s="4"/>
      <c r="PB26" s="52">
        <v>16</v>
      </c>
      <c r="PW26" s="4"/>
      <c r="QD26" s="52">
        <v>16</v>
      </c>
      <c r="QY26" s="4"/>
      <c r="RF26" s="52">
        <v>16</v>
      </c>
      <c r="RG26"/>
      <c r="SA26" s="4"/>
      <c r="SB26" s="36"/>
      <c r="SC26" s="36"/>
      <c r="SD26" s="36"/>
      <c r="SE26" s="36"/>
      <c r="SF26" s="36"/>
      <c r="SG26" s="36"/>
      <c r="SH26" s="52">
        <v>16</v>
      </c>
      <c r="TC26" s="4"/>
      <c r="TD26" s="36"/>
      <c r="TE26" s="36"/>
      <c r="TF26" s="36"/>
      <c r="TG26" s="36"/>
      <c r="TH26" s="36"/>
      <c r="TI26" s="36"/>
      <c r="TJ26" s="52">
        <v>16</v>
      </c>
    </row>
    <row r="27" spans="1:559" ht="17" x14ac:dyDescent="0.2">
      <c r="A27" s="5"/>
      <c r="B27" s="31" t="s">
        <v>63</v>
      </c>
      <c r="C27" s="20"/>
      <c r="R27" s="10"/>
      <c r="S27" s="10"/>
      <c r="T27" s="10"/>
      <c r="AP27" s="4"/>
      <c r="AW27" s="44">
        <v>16.8</v>
      </c>
      <c r="BS27" s="4"/>
      <c r="BZ27" s="44">
        <v>16.8</v>
      </c>
      <c r="CV27" s="4"/>
      <c r="DC27" s="44">
        <v>16.8</v>
      </c>
      <c r="EA27" s="4"/>
      <c r="EH27" s="44">
        <v>16.8</v>
      </c>
      <c r="FC27" s="4"/>
      <c r="FJ27" s="44">
        <v>16.8</v>
      </c>
      <c r="GE27" s="4"/>
      <c r="GL27" s="44">
        <v>16.8</v>
      </c>
      <c r="HG27" s="4"/>
      <c r="HN27" s="44">
        <v>16.8</v>
      </c>
      <c r="II27" s="4"/>
      <c r="IP27" s="44">
        <v>16.8</v>
      </c>
      <c r="JK27" s="4"/>
      <c r="JR27" s="44">
        <v>16.8</v>
      </c>
      <c r="KM27" s="4"/>
      <c r="KT27" s="44">
        <v>16.8</v>
      </c>
      <c r="LO27" s="4"/>
      <c r="LV27" s="44">
        <v>16.8</v>
      </c>
      <c r="MQ27" s="4"/>
      <c r="MX27" s="44">
        <v>16.8</v>
      </c>
      <c r="NS27" s="4"/>
      <c r="NZ27" s="44">
        <v>16.8</v>
      </c>
      <c r="OU27" s="4"/>
      <c r="PB27" s="44">
        <v>16.8</v>
      </c>
      <c r="PW27" s="4"/>
      <c r="QD27" s="44">
        <v>16.8</v>
      </c>
      <c r="QY27" s="4"/>
      <c r="RF27" s="44">
        <v>16.8</v>
      </c>
      <c r="RG27"/>
      <c r="SA27" s="4"/>
      <c r="SB27" s="36"/>
      <c r="SC27" s="36"/>
      <c r="SD27" s="36"/>
      <c r="SE27" s="36"/>
      <c r="SF27" s="36"/>
      <c r="SG27" s="36"/>
      <c r="SH27" s="44">
        <v>16.8</v>
      </c>
      <c r="TC27" s="4"/>
      <c r="TD27" s="36"/>
      <c r="TE27" s="36"/>
      <c r="TF27" s="36"/>
      <c r="TG27" s="36"/>
      <c r="TH27" s="36"/>
      <c r="TI27" s="36"/>
      <c r="TJ27" s="44">
        <v>16.8</v>
      </c>
    </row>
    <row r="28" spans="1:559" ht="17" x14ac:dyDescent="0.2">
      <c r="A28" s="5"/>
      <c r="B28" s="35" t="s">
        <v>76</v>
      </c>
      <c r="C28" s="20"/>
      <c r="R28" s="10"/>
      <c r="S28" s="10"/>
      <c r="T28" s="10"/>
      <c r="AP28" s="4"/>
      <c r="AW28" s="45">
        <v>17.600000000000001</v>
      </c>
      <c r="BS28" s="4"/>
      <c r="BZ28" s="45">
        <v>17.600000000000001</v>
      </c>
      <c r="CV28" s="4"/>
      <c r="DC28" s="45">
        <v>17.600000000000001</v>
      </c>
      <c r="EA28" s="4"/>
      <c r="EH28" s="45">
        <v>17.600000000000001</v>
      </c>
      <c r="FC28" s="4"/>
      <c r="FJ28" s="45">
        <v>17.600000000000001</v>
      </c>
      <c r="GE28" s="4"/>
      <c r="GL28" s="45">
        <v>17.600000000000001</v>
      </c>
      <c r="HG28" s="4"/>
      <c r="HN28" s="45">
        <v>17.600000000000001</v>
      </c>
      <c r="II28" s="4"/>
      <c r="IP28" s="45">
        <v>17.600000000000001</v>
      </c>
      <c r="JK28" s="4"/>
      <c r="JR28" s="45">
        <v>17.600000000000001</v>
      </c>
      <c r="KM28" s="4"/>
      <c r="KT28" s="45">
        <v>17.600000000000001</v>
      </c>
      <c r="LO28" s="4"/>
      <c r="LV28" s="45">
        <v>17.600000000000001</v>
      </c>
      <c r="MQ28" s="4"/>
      <c r="MX28" s="45">
        <v>17.600000000000001</v>
      </c>
      <c r="NS28" s="4"/>
      <c r="NZ28" s="45">
        <v>17.600000000000001</v>
      </c>
      <c r="OU28" s="4"/>
      <c r="PB28" s="45">
        <v>17.600000000000001</v>
      </c>
      <c r="PW28" s="4"/>
      <c r="QD28" s="45">
        <v>17.600000000000001</v>
      </c>
      <c r="QY28" s="4"/>
      <c r="RF28" s="45">
        <v>17.600000000000001</v>
      </c>
      <c r="RG28"/>
      <c r="SA28" s="4"/>
      <c r="SB28" s="36"/>
      <c r="SC28" s="36"/>
      <c r="SD28" s="36"/>
      <c r="SE28" s="36"/>
      <c r="SF28" s="36"/>
      <c r="SG28" s="36"/>
      <c r="SH28" s="45">
        <v>17.600000000000001</v>
      </c>
      <c r="TC28" s="4"/>
      <c r="TD28" s="36"/>
      <c r="TE28" s="36"/>
      <c r="TF28" s="36"/>
      <c r="TG28" s="36"/>
      <c r="TH28" s="36"/>
      <c r="TI28" s="36"/>
      <c r="TJ28" s="45">
        <v>17.600000000000001</v>
      </c>
    </row>
    <row r="29" spans="1:559" ht="17" x14ac:dyDescent="0.2">
      <c r="A29" s="5"/>
      <c r="B29" s="34" t="s">
        <v>48</v>
      </c>
      <c r="C29" s="20"/>
      <c r="R29" s="10"/>
      <c r="S29" s="10"/>
      <c r="T29" s="10"/>
      <c r="AP29" s="4"/>
      <c r="AW29" s="46">
        <v>48</v>
      </c>
      <c r="BS29" s="4"/>
      <c r="BZ29" s="46">
        <v>48</v>
      </c>
      <c r="CV29" s="4"/>
      <c r="DC29" s="46">
        <v>48</v>
      </c>
      <c r="EA29" s="4"/>
      <c r="EH29" s="46">
        <v>48</v>
      </c>
      <c r="FC29" s="4"/>
      <c r="FJ29" s="46">
        <v>48</v>
      </c>
      <c r="GE29" s="4"/>
      <c r="GL29" s="46">
        <v>48</v>
      </c>
      <c r="HG29" s="4"/>
      <c r="HN29" s="46">
        <v>48</v>
      </c>
      <c r="II29" s="4"/>
      <c r="IP29" s="46">
        <v>48</v>
      </c>
      <c r="JK29" s="4"/>
      <c r="JR29" s="46">
        <v>48</v>
      </c>
      <c r="KM29" s="4"/>
      <c r="KT29" s="46">
        <v>48</v>
      </c>
      <c r="LO29" s="4"/>
      <c r="LV29" s="46">
        <v>48</v>
      </c>
      <c r="MQ29" s="4"/>
      <c r="MX29" s="46">
        <v>48</v>
      </c>
      <c r="NS29" s="4"/>
      <c r="NZ29" s="46">
        <v>48</v>
      </c>
      <c r="OU29" s="4"/>
      <c r="PB29" s="46">
        <v>48</v>
      </c>
      <c r="PW29" s="4"/>
      <c r="QD29" s="46">
        <v>48</v>
      </c>
      <c r="QY29" s="4"/>
      <c r="RF29" s="46">
        <v>48</v>
      </c>
      <c r="RG29"/>
      <c r="SA29" s="4"/>
      <c r="SB29" s="36"/>
      <c r="SC29" s="36"/>
      <c r="SD29" s="36"/>
      <c r="SE29" s="36"/>
      <c r="SF29" s="36"/>
      <c r="SG29" s="36"/>
      <c r="SH29" s="46">
        <v>48</v>
      </c>
      <c r="TC29" s="4"/>
      <c r="TD29" s="36"/>
      <c r="TE29" s="36"/>
      <c r="TF29" s="36"/>
      <c r="TG29" s="36"/>
      <c r="TH29" s="36"/>
      <c r="TI29" s="36"/>
      <c r="TJ29" s="46">
        <v>48</v>
      </c>
    </row>
    <row r="30" spans="1:559" ht="17" x14ac:dyDescent="0.2">
      <c r="A30" s="5"/>
      <c r="B30" s="24" t="s">
        <v>49</v>
      </c>
      <c r="C30" s="20"/>
      <c r="R30" s="10"/>
      <c r="S30" s="10"/>
      <c r="T30" s="10"/>
      <c r="AP30" s="4"/>
      <c r="AW30" s="47">
        <v>72</v>
      </c>
      <c r="BS30" s="4"/>
      <c r="BZ30" s="47">
        <v>72</v>
      </c>
      <c r="CV30" s="4"/>
      <c r="DC30" s="47">
        <v>72</v>
      </c>
      <c r="EA30" s="4"/>
      <c r="EH30" s="47">
        <v>72</v>
      </c>
      <c r="FC30" s="4"/>
      <c r="FJ30" s="47">
        <v>72</v>
      </c>
      <c r="GE30" s="4"/>
      <c r="GL30" s="47">
        <v>72</v>
      </c>
      <c r="HG30" s="4"/>
      <c r="HN30" s="47">
        <v>72</v>
      </c>
      <c r="II30" s="4"/>
      <c r="IP30" s="47">
        <v>72</v>
      </c>
      <c r="JK30" s="4"/>
      <c r="JR30" s="47">
        <v>72</v>
      </c>
      <c r="KM30" s="4"/>
      <c r="KT30" s="47">
        <v>72</v>
      </c>
      <c r="LO30" s="4"/>
      <c r="LV30" s="47">
        <v>72</v>
      </c>
      <c r="MQ30" s="4"/>
      <c r="MX30" s="47">
        <v>72</v>
      </c>
      <c r="NS30" s="4"/>
      <c r="NZ30" s="47">
        <v>72</v>
      </c>
      <c r="OU30" s="4"/>
      <c r="PB30" s="47">
        <v>72</v>
      </c>
      <c r="PW30" s="4"/>
      <c r="QD30" s="47">
        <v>72</v>
      </c>
      <c r="QY30" s="4"/>
      <c r="RF30" s="47">
        <v>72</v>
      </c>
      <c r="RG30"/>
      <c r="SA30" s="4"/>
      <c r="SB30" s="36"/>
      <c r="SC30" s="36"/>
      <c r="SD30" s="36"/>
      <c r="SE30" s="36"/>
      <c r="SF30" s="36"/>
      <c r="SG30" s="36"/>
      <c r="SH30" s="47">
        <v>72</v>
      </c>
      <c r="TC30" s="4"/>
      <c r="TD30" s="36"/>
      <c r="TE30" s="36"/>
      <c r="TF30" s="36"/>
      <c r="TG30" s="36"/>
      <c r="TH30" s="36"/>
      <c r="TI30" s="36"/>
      <c r="TJ30" s="47">
        <v>72</v>
      </c>
    </row>
    <row r="31" spans="1:559" ht="17" x14ac:dyDescent="0.2">
      <c r="A31" s="5"/>
      <c r="B31" s="33" t="s">
        <v>62</v>
      </c>
      <c r="C31" s="20"/>
      <c r="R31" s="10"/>
      <c r="S31" s="10"/>
      <c r="T31" s="10"/>
      <c r="AP31" s="4"/>
      <c r="AW31" s="48">
        <v>73.400000000000006</v>
      </c>
      <c r="BS31" s="4"/>
      <c r="BZ31" s="48">
        <v>73.400000000000006</v>
      </c>
      <c r="CV31" s="4"/>
      <c r="DC31" s="48">
        <v>73.400000000000006</v>
      </c>
      <c r="EA31" s="4"/>
      <c r="EH31" s="48">
        <v>73.400000000000006</v>
      </c>
      <c r="FC31" s="4"/>
      <c r="FJ31" s="48">
        <v>73.400000000000006</v>
      </c>
      <c r="GE31" s="4"/>
      <c r="GL31" s="48">
        <v>73.400000000000006</v>
      </c>
      <c r="HG31" s="4"/>
      <c r="HN31" s="48">
        <v>73.400000000000006</v>
      </c>
      <c r="II31" s="4"/>
      <c r="IP31" s="48">
        <v>73.400000000000006</v>
      </c>
      <c r="JK31" s="4"/>
      <c r="JR31" s="48">
        <v>73.400000000000006</v>
      </c>
      <c r="KM31" s="4"/>
      <c r="KT31" s="48">
        <v>73.400000000000006</v>
      </c>
      <c r="LO31" s="4"/>
      <c r="LV31" s="48">
        <v>73.400000000000006</v>
      </c>
      <c r="MQ31" s="4"/>
      <c r="MX31" s="48">
        <v>73.400000000000006</v>
      </c>
      <c r="NS31" s="4"/>
      <c r="NZ31" s="48">
        <v>73.400000000000006</v>
      </c>
      <c r="OU31" s="4"/>
      <c r="PB31" s="48">
        <v>73.400000000000006</v>
      </c>
      <c r="PW31" s="4"/>
      <c r="QD31" s="48">
        <v>73.400000000000006</v>
      </c>
      <c r="QY31" s="4"/>
      <c r="RF31" s="48">
        <v>73.400000000000006</v>
      </c>
      <c r="RG31"/>
      <c r="SA31" s="4"/>
      <c r="SB31" s="36"/>
      <c r="SC31" s="36"/>
      <c r="SD31" s="36"/>
      <c r="SE31" s="36"/>
      <c r="SF31" s="36"/>
      <c r="SG31" s="36"/>
      <c r="SH31" s="48">
        <v>73.400000000000006</v>
      </c>
      <c r="TC31" s="4"/>
      <c r="TD31" s="36"/>
      <c r="TE31" s="36"/>
      <c r="TF31" s="36"/>
      <c r="TG31" s="36"/>
      <c r="TH31" s="36"/>
      <c r="TI31" s="36"/>
      <c r="TJ31" s="48">
        <v>73.400000000000006</v>
      </c>
    </row>
    <row r="32" spans="1:559" ht="17" x14ac:dyDescent="0.2">
      <c r="A32" s="5"/>
      <c r="B32" s="25" t="s">
        <v>32</v>
      </c>
      <c r="C32" s="20"/>
      <c r="R32" s="10"/>
      <c r="S32" s="10"/>
      <c r="T32" s="10"/>
      <c r="AP32" s="4"/>
      <c r="AW32" s="49">
        <v>74.8</v>
      </c>
      <c r="BS32" s="4"/>
      <c r="BZ32" s="49">
        <v>74.8</v>
      </c>
      <c r="CV32" s="4"/>
      <c r="DC32" s="49">
        <v>74.8</v>
      </c>
      <c r="EA32" s="4"/>
      <c r="EH32" s="49">
        <v>74.8</v>
      </c>
      <c r="FC32" s="4"/>
      <c r="FJ32" s="49">
        <v>74.8</v>
      </c>
      <c r="GE32" s="4"/>
      <c r="GL32" s="49">
        <v>74.8</v>
      </c>
      <c r="HG32" s="4"/>
      <c r="HN32" s="49">
        <v>74.8</v>
      </c>
      <c r="II32" s="4"/>
      <c r="IP32" s="49">
        <v>74.8</v>
      </c>
      <c r="JK32" s="4"/>
      <c r="JR32" s="49">
        <v>74.8</v>
      </c>
      <c r="KM32" s="4"/>
      <c r="KT32" s="49">
        <v>74.8</v>
      </c>
      <c r="LO32" s="4"/>
      <c r="LV32" s="49">
        <v>74.8</v>
      </c>
      <c r="MQ32" s="4"/>
      <c r="MX32" s="49">
        <v>74.8</v>
      </c>
      <c r="NS32" s="4"/>
      <c r="NZ32" s="49">
        <v>74.8</v>
      </c>
      <c r="OU32" s="4"/>
      <c r="PB32" s="49">
        <v>74.8</v>
      </c>
      <c r="PW32" s="4"/>
      <c r="QD32" s="49">
        <v>74.8</v>
      </c>
      <c r="QY32" s="4"/>
      <c r="RF32" s="49">
        <v>74.8</v>
      </c>
      <c r="RG32"/>
      <c r="SA32" s="4"/>
      <c r="SB32" s="36"/>
      <c r="SC32" s="36"/>
      <c r="SD32" s="36"/>
      <c r="SE32" s="36"/>
      <c r="SF32" s="36"/>
      <c r="SG32" s="36"/>
      <c r="SH32" s="49">
        <v>74.8</v>
      </c>
      <c r="TC32" s="4"/>
      <c r="TD32" s="36"/>
      <c r="TE32" s="36"/>
      <c r="TF32" s="36"/>
      <c r="TG32" s="36"/>
      <c r="TH32" s="36"/>
      <c r="TI32" s="36"/>
      <c r="TJ32" s="49">
        <v>74.8</v>
      </c>
    </row>
    <row r="33" spans="1:456" x14ac:dyDescent="0.2">
      <c r="B33" s="29" t="s">
        <v>54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6:UM22">
      <sortCondition descending="1" ref="F1:F23"/>
    </sortState>
  </autoFilter>
  <mergeCells count="135"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2">
    <cfRule type="expression" dxfId="64" priority="38" stopIfTrue="1">
      <formula>IF($AO4&lt;&gt;"",1,0)</formula>
    </cfRule>
  </conditionalFormatting>
  <conditionalFormatting sqref="AX4:BZ22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2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 SE1:SE32">
    <cfRule type="cellIs" dxfId="51" priority="60385" operator="between">
      <formula>AW$32</formula>
      <formula>1000</formula>
    </cfRule>
    <cfRule type="cellIs" dxfId="50" priority="60386" operator="between">
      <formula>AW$31</formula>
      <formula>AW$32</formula>
    </cfRule>
    <cfRule type="cellIs" dxfId="49" priority="60387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2">
    <cfRule type="cellIs" dxfId="48" priority="90100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2">
    <cfRule type="cellIs" dxfId="47" priority="90145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2">
    <cfRule type="cellIs" dxfId="46" priority="90190" operator="between">
      <formula>AW$25</formula>
      <formula>AW$26</formula>
    </cfRule>
    <cfRule type="cellIs" dxfId="45" priority="90191" operator="between">
      <formula>AW$26</formula>
      <formula>AW$27</formula>
    </cfRule>
    <cfRule type="cellIs" dxfId="44" priority="90192" operator="between">
      <formula>AW$27</formula>
      <formula>AW$28</formula>
    </cfRule>
    <cfRule type="cellIs" dxfId="43" priority="90193" operator="between">
      <formula>AW$28</formula>
      <formula>1000</formula>
    </cfRule>
  </conditionalFormatting>
  <conditionalFormatting sqref="QC58:QC1048576 AV1:AV1048576 BY1:BY1048576 DB1:DB1048576 EG1:EG1048576 FI1:FI1048576 GK1:GK1048576 HM1:HM1048576 IO1:IO1048576 JQ1:JQ1048576 KS1:KS1048576 LU1:LU1048576 MW1:MW1048576 NY1:NY1048576 PA1:PA1048576 QC1:QC36 SG1:SG32">
    <cfRule type="cellIs" dxfId="42" priority="90370" operator="between">
      <formula>AW$29</formula>
      <formula>AW$30</formula>
    </cfRule>
    <cfRule type="cellIs" dxfId="41" priority="90371" operator="between">
      <formula>AW$30</formula>
      <formula>AW$31</formula>
    </cfRule>
    <cfRule type="cellIs" dxfId="40" priority="90372" operator="between">
      <formula>AW$31</formula>
      <formula>AW$32</formula>
    </cfRule>
    <cfRule type="cellIs" dxfId="39" priority="90373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2">
    <cfRule type="cellIs" dxfId="38" priority="90550" operator="between">
      <formula>AW$28</formula>
      <formula>1000</formula>
    </cfRule>
    <cfRule type="cellIs" dxfId="37" priority="90551" operator="between">
      <formula>AW$27</formula>
      <formula>AW$28</formula>
    </cfRule>
    <cfRule type="cellIs" dxfId="36" priority="90552" operator="between">
      <formula>AW$26</formula>
      <formula>AW$27</formula>
    </cfRule>
  </conditionalFormatting>
  <conditionalFormatting sqref="RC1:RC32">
    <cfRule type="cellIs" dxfId="35" priority="30" operator="between">
      <formula>RF$32</formula>
      <formula>1000</formula>
    </cfRule>
    <cfRule type="cellIs" dxfId="34" priority="31" operator="between">
      <formula>RF$31</formula>
      <formula>RF$32</formula>
    </cfRule>
    <cfRule type="cellIs" dxfId="33" priority="32" operator="between">
      <formula>RF$30</formula>
      <formula>RF$31</formula>
    </cfRule>
  </conditionalFormatting>
  <conditionalFormatting sqref="SA1:SA32">
    <cfRule type="cellIs" dxfId="32" priority="29" operator="between">
      <formula>SH$25</formula>
      <formula>1000</formula>
    </cfRule>
  </conditionalFormatting>
  <conditionalFormatting sqref="SB1:SB32">
    <cfRule type="cellIs" dxfId="31" priority="28" operator="between">
      <formula>SH$29</formula>
      <formula>1000</formula>
    </cfRule>
  </conditionalFormatting>
  <conditionalFormatting sqref="RD1:RD32">
    <cfRule type="cellIs" dxfId="30" priority="24" operator="between">
      <formula>RF$25</formula>
      <formula>RF$26</formula>
    </cfRule>
    <cfRule type="cellIs" dxfId="29" priority="25" operator="between">
      <formula>RF$26</formula>
      <formula>RF$27</formula>
    </cfRule>
    <cfRule type="cellIs" dxfId="28" priority="26" operator="between">
      <formula>RF$27</formula>
      <formula>RF$28</formula>
    </cfRule>
    <cfRule type="cellIs" dxfId="27" priority="27" operator="between">
      <formula>RF$28</formula>
      <formula>1000</formula>
    </cfRule>
  </conditionalFormatting>
  <conditionalFormatting sqref="RE1:RE32">
    <cfRule type="cellIs" dxfId="26" priority="20" operator="between">
      <formula>RF$29</formula>
      <formula>RF$30</formula>
    </cfRule>
    <cfRule type="cellIs" dxfId="25" priority="21" operator="between">
      <formula>RF$30</formula>
      <formula>RF$31</formula>
    </cfRule>
    <cfRule type="cellIs" dxfId="24" priority="22" operator="between">
      <formula>RF$31</formula>
      <formula>RF$32</formula>
    </cfRule>
    <cfRule type="cellIs" dxfId="23" priority="23" operator="between">
      <formula>RF$32</formula>
      <formula>1000</formula>
    </cfRule>
  </conditionalFormatting>
  <conditionalFormatting sqref="RB1:RB32">
    <cfRule type="cellIs" dxfId="22" priority="17" operator="between">
      <formula>RF$28</formula>
      <formula>1000</formula>
    </cfRule>
    <cfRule type="cellIs" dxfId="21" priority="18" operator="between">
      <formula>RF$27</formula>
      <formula>RF$28</formula>
    </cfRule>
    <cfRule type="cellIs" dxfId="20" priority="19" operator="between">
      <formula>RF$26</formula>
      <formula>RF$27</formula>
    </cfRule>
  </conditionalFormatting>
  <conditionalFormatting sqref="TG1:TG32">
    <cfRule type="cellIs" dxfId="19" priority="14" operator="between">
      <formula>TJ$32</formula>
      <formula>1000</formula>
    </cfRule>
    <cfRule type="cellIs" dxfId="18" priority="15" operator="between">
      <formula>TJ$31</formula>
      <formula>TJ$32</formula>
    </cfRule>
    <cfRule type="cellIs" dxfId="17" priority="16" operator="between">
      <formula>TJ$30</formula>
      <formula>TJ$31</formula>
    </cfRule>
  </conditionalFormatting>
  <conditionalFormatting sqref="TC1:TC32">
    <cfRule type="cellIs" dxfId="16" priority="13" operator="between">
      <formula>TJ$25</formula>
      <formula>1000</formula>
    </cfRule>
  </conditionalFormatting>
  <conditionalFormatting sqref="TD1:TD32">
    <cfRule type="cellIs" dxfId="15" priority="12" operator="between">
      <formula>TJ$29</formula>
      <formula>1000</formula>
    </cfRule>
  </conditionalFormatting>
  <conditionalFormatting sqref="TH1:TH32">
    <cfRule type="cellIs" dxfId="14" priority="8" operator="between">
      <formula>TJ$25</formula>
      <formula>TJ$26</formula>
    </cfRule>
    <cfRule type="cellIs" dxfId="13" priority="9" operator="between">
      <formula>TJ$26</formula>
      <formula>TJ$27</formula>
    </cfRule>
    <cfRule type="cellIs" dxfId="12" priority="10" operator="between">
      <formula>TJ$27</formula>
      <formula>TJ$28</formula>
    </cfRule>
    <cfRule type="cellIs" dxfId="11" priority="11" operator="between">
      <formula>TJ$28</formula>
      <formula>1000</formula>
    </cfRule>
  </conditionalFormatting>
  <conditionalFormatting sqref="TI1:TI32">
    <cfRule type="cellIs" dxfId="10" priority="4" operator="between">
      <formula>TJ$29</formula>
      <formula>TJ$30</formula>
    </cfRule>
    <cfRule type="cellIs" dxfId="9" priority="5" operator="between">
      <formula>TJ$30</formula>
      <formula>TJ$31</formula>
    </cfRule>
    <cfRule type="cellIs" dxfId="8" priority="6" operator="between">
      <formula>TJ$31</formula>
      <formula>TJ$32</formula>
    </cfRule>
    <cfRule type="cellIs" dxfId="7" priority="7" operator="between">
      <formula>TJ$32</formula>
      <formula>1000</formula>
    </cfRule>
  </conditionalFormatting>
  <conditionalFormatting sqref="TF1:TF32">
    <cfRule type="cellIs" dxfId="6" priority="1" operator="between">
      <formula>TJ$28</formula>
      <formula>1000</formula>
    </cfRule>
    <cfRule type="cellIs" dxfId="5" priority="2" operator="between">
      <formula>TJ$27</formula>
      <formula>TJ$28</formula>
    </cfRule>
    <cfRule type="cellIs" dxfId="4" priority="3" operator="between">
      <formula>TJ$26</formula>
      <formula>TJ$27</formula>
    </cfRule>
  </conditionalFormatting>
  <conditionalFormatting sqref="TK1:TK22">
    <cfRule type="cellIs" dxfId="3" priority="102480" operator="between">
      <formula>QD$29</formula>
      <formula>QD$30</formula>
    </cfRule>
    <cfRule type="cellIs" dxfId="2" priority="102481" operator="between">
      <formula>QD$30</formula>
      <formula>QD$31</formula>
    </cfRule>
    <cfRule type="cellIs" dxfId="1" priority="102482" operator="between">
      <formula>QD$31</formula>
      <formula>QD$32</formula>
    </cfRule>
    <cfRule type="cellIs" dxfId="0" priority="102483" operator="between">
      <formula>QD$32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2024-12-05T20:53:52Z</dcterms:modified>
</cp:coreProperties>
</file>