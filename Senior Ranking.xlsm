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Ranking Lists/Team Canada 2017/Senior/"/>
    </mc:Choice>
  </mc:AlternateContent>
  <bookViews>
    <workbookView xWindow="0" yWindow="440" windowWidth="33600" windowHeight="20560" tabRatio="500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'DMT-M'!$A$1:$RD$3</definedName>
    <definedName name="_xlnm._FilterDatabase" localSheetId="8" hidden="1">'DMT-W'!$A$1:$RD$14</definedName>
    <definedName name="_xlnm._FilterDatabase" localSheetId="3" hidden="1">'SYN-M'!$A$1:$LY$3</definedName>
    <definedName name="_xlnm._FilterDatabase" localSheetId="4" hidden="1">'SYN-W'!$A$1:$LY$3</definedName>
    <definedName name="_xlnm._FilterDatabase" localSheetId="1" hidden="1">'TRA-M'!$A$1:$LY$3</definedName>
    <definedName name="_xlnm._FilterDatabase" localSheetId="2" hidden="1">'TRA-W'!$A$1:$LY$3</definedName>
    <definedName name="_xlnm._FilterDatabase" localSheetId="5" hidden="1">'TUM-M'!$A$1:$NC$3</definedName>
    <definedName name="_xlnm._FilterDatabase" localSheetId="6" hidden="1">'TUM-W'!$A$1:$NC$3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J9" i="4" l="1"/>
  <c r="BJ4" i="4"/>
  <c r="AO9" i="4"/>
  <c r="AO4" i="4"/>
  <c r="AS4" i="5"/>
  <c r="BW4" i="5"/>
  <c r="DA4" i="5"/>
  <c r="I4" i="5"/>
  <c r="G4" i="5"/>
  <c r="AS5" i="5"/>
  <c r="BW5" i="5"/>
  <c r="DA5" i="5"/>
  <c r="I5" i="5"/>
  <c r="G5" i="5"/>
  <c r="AS6" i="5"/>
  <c r="BW6" i="5"/>
  <c r="DA6" i="5"/>
  <c r="I6" i="5"/>
  <c r="G6" i="5"/>
  <c r="AS8" i="5"/>
  <c r="BW8" i="5"/>
  <c r="DA8" i="5"/>
  <c r="I8" i="5"/>
  <c r="G8" i="5"/>
  <c r="AS7" i="5"/>
  <c r="BW7" i="5"/>
  <c r="DA7" i="5"/>
  <c r="I7" i="5"/>
  <c r="G7" i="5"/>
  <c r="AS9" i="5"/>
  <c r="BW9" i="5"/>
  <c r="DA9" i="5"/>
  <c r="I9" i="5"/>
  <c r="G9" i="5"/>
  <c r="AS10" i="5"/>
  <c r="BW10" i="5"/>
  <c r="DA10" i="5"/>
  <c r="I10" i="5"/>
  <c r="G10" i="5"/>
  <c r="AS11" i="5"/>
  <c r="BW11" i="5"/>
  <c r="DA11" i="5"/>
  <c r="I11" i="5"/>
  <c r="G11" i="5"/>
  <c r="AS12" i="5"/>
  <c r="BW12" i="5"/>
  <c r="DA12" i="5"/>
  <c r="I12" i="5"/>
  <c r="G12" i="5"/>
  <c r="AS13" i="5"/>
  <c r="BW13" i="5"/>
  <c r="DA13" i="5"/>
  <c r="I13" i="5"/>
  <c r="G13" i="5"/>
  <c r="AR4" i="5"/>
  <c r="BV4" i="5"/>
  <c r="CZ4" i="5"/>
  <c r="F4" i="5"/>
  <c r="AR5" i="5"/>
  <c r="BV5" i="5"/>
  <c r="CZ5" i="5"/>
  <c r="F5" i="5"/>
  <c r="AR6" i="5"/>
  <c r="BV6" i="5"/>
  <c r="CZ6" i="5"/>
  <c r="F6" i="5"/>
  <c r="AR8" i="5"/>
  <c r="BV8" i="5"/>
  <c r="CZ8" i="5"/>
  <c r="F8" i="5"/>
  <c r="AR7" i="5"/>
  <c r="BV7" i="5"/>
  <c r="CZ7" i="5"/>
  <c r="F7" i="5"/>
  <c r="A7" i="5"/>
  <c r="AR9" i="5"/>
  <c r="BV9" i="5"/>
  <c r="CZ9" i="5"/>
  <c r="F9" i="5"/>
  <c r="A9" i="5"/>
  <c r="AR10" i="5"/>
  <c r="BV10" i="5"/>
  <c r="CZ10" i="5"/>
  <c r="F10" i="5"/>
  <c r="A10" i="5"/>
  <c r="AR11" i="5"/>
  <c r="BV11" i="5"/>
  <c r="CZ11" i="5"/>
  <c r="F11" i="5"/>
  <c r="AR12" i="5"/>
  <c r="BV12" i="5"/>
  <c r="CZ12" i="5"/>
  <c r="F12" i="5"/>
  <c r="A12" i="5"/>
  <c r="AR13" i="5"/>
  <c r="BV13" i="5"/>
  <c r="CZ13" i="5"/>
  <c r="F13" i="5"/>
  <c r="A13" i="5"/>
  <c r="H4" i="5"/>
  <c r="H5" i="5"/>
  <c r="H6" i="5"/>
  <c r="H8" i="5"/>
  <c r="H7" i="5"/>
  <c r="H9" i="5"/>
  <c r="H10" i="5"/>
  <c r="H11" i="5"/>
  <c r="H12" i="5"/>
  <c r="H13" i="5"/>
  <c r="AS4" i="6"/>
  <c r="BW4" i="6"/>
  <c r="DA4" i="6"/>
  <c r="I4" i="6"/>
  <c r="G4" i="6"/>
  <c r="AS5" i="6"/>
  <c r="BW5" i="6"/>
  <c r="DA5" i="6"/>
  <c r="I5" i="6"/>
  <c r="G5" i="6"/>
  <c r="AS6" i="6"/>
  <c r="BW6" i="6"/>
  <c r="DA6" i="6"/>
  <c r="I6" i="6"/>
  <c r="G6" i="6"/>
  <c r="AS7" i="6"/>
  <c r="BW7" i="6"/>
  <c r="DA7" i="6"/>
  <c r="I7" i="6"/>
  <c r="G7" i="6"/>
  <c r="AS8" i="6"/>
  <c r="BW8" i="6"/>
  <c r="DA8" i="6"/>
  <c r="I8" i="6"/>
  <c r="G8" i="6"/>
  <c r="AS9" i="6"/>
  <c r="BW9" i="6"/>
  <c r="DA9" i="6"/>
  <c r="I9" i="6"/>
  <c r="G9" i="6"/>
  <c r="AS10" i="6"/>
  <c r="BW10" i="6"/>
  <c r="DA10" i="6"/>
  <c r="I10" i="6"/>
  <c r="G10" i="6"/>
  <c r="AS11" i="6"/>
  <c r="BW11" i="6"/>
  <c r="DA11" i="6"/>
  <c r="I11" i="6"/>
  <c r="G11" i="6"/>
  <c r="AS12" i="6"/>
  <c r="BW12" i="6"/>
  <c r="DA12" i="6"/>
  <c r="I12" i="6"/>
  <c r="G12" i="6"/>
  <c r="AS13" i="6"/>
  <c r="BW13" i="6"/>
  <c r="DA13" i="6"/>
  <c r="I13" i="6"/>
  <c r="G13" i="6"/>
  <c r="AR4" i="6"/>
  <c r="BV4" i="6"/>
  <c r="CZ4" i="6"/>
  <c r="F4" i="6"/>
  <c r="AR5" i="6"/>
  <c r="BV5" i="6"/>
  <c r="CZ5" i="6"/>
  <c r="F5" i="6"/>
  <c r="AR6" i="6"/>
  <c r="BV6" i="6"/>
  <c r="CZ6" i="6"/>
  <c r="F6" i="6"/>
  <c r="A6" i="6"/>
  <c r="AR7" i="6"/>
  <c r="BV7" i="6"/>
  <c r="CZ7" i="6"/>
  <c r="F7" i="6"/>
  <c r="AR8" i="6"/>
  <c r="BV8" i="6"/>
  <c r="CZ8" i="6"/>
  <c r="F8" i="6"/>
  <c r="A8" i="6"/>
  <c r="AR9" i="6"/>
  <c r="BV9" i="6"/>
  <c r="CZ9" i="6"/>
  <c r="F9" i="6"/>
  <c r="A9" i="6"/>
  <c r="AR10" i="6"/>
  <c r="BV10" i="6"/>
  <c r="CZ10" i="6"/>
  <c r="F10" i="6"/>
  <c r="A10" i="6"/>
  <c r="AR11" i="6"/>
  <c r="BV11" i="6"/>
  <c r="CZ11" i="6"/>
  <c r="F11" i="6"/>
  <c r="A11" i="6"/>
  <c r="AR12" i="6"/>
  <c r="BV12" i="6"/>
  <c r="CZ12" i="6"/>
  <c r="F12" i="6"/>
  <c r="A12" i="6"/>
  <c r="AR13" i="6"/>
  <c r="BV13" i="6"/>
  <c r="CZ13" i="6"/>
  <c r="F13" i="6"/>
  <c r="A13" i="6"/>
  <c r="H4" i="6"/>
  <c r="H5" i="6"/>
  <c r="H6" i="6"/>
  <c r="H7" i="6"/>
  <c r="H8" i="6"/>
  <c r="H9" i="6"/>
  <c r="H10" i="6"/>
  <c r="H11" i="6"/>
  <c r="H12" i="6"/>
  <c r="H13" i="6"/>
  <c r="AL4" i="8"/>
  <c r="AM4" i="8"/>
  <c r="AN4" i="8"/>
  <c r="BI4" i="8"/>
  <c r="BJ4" i="8"/>
  <c r="BK4" i="8"/>
  <c r="CF4" i="8"/>
  <c r="CG4" i="8"/>
  <c r="CH4" i="8"/>
  <c r="I4" i="8"/>
  <c r="G4" i="8"/>
  <c r="AL5" i="8"/>
  <c r="AM5" i="8"/>
  <c r="AN5" i="8"/>
  <c r="BI5" i="8"/>
  <c r="BJ5" i="8"/>
  <c r="BK5" i="8"/>
  <c r="CF5" i="8"/>
  <c r="CG5" i="8"/>
  <c r="CH5" i="8"/>
  <c r="I5" i="8"/>
  <c r="G5" i="8"/>
  <c r="AL6" i="8"/>
  <c r="AM6" i="8"/>
  <c r="AN6" i="8"/>
  <c r="BI6" i="8"/>
  <c r="BJ6" i="8"/>
  <c r="BK6" i="8"/>
  <c r="CF6" i="8"/>
  <c r="CG6" i="8"/>
  <c r="CH6" i="8"/>
  <c r="I6" i="8"/>
  <c r="G6" i="8"/>
  <c r="AL7" i="8"/>
  <c r="AM7" i="8"/>
  <c r="AN7" i="8"/>
  <c r="BI7" i="8"/>
  <c r="BJ7" i="8"/>
  <c r="BK7" i="8"/>
  <c r="CF7" i="8"/>
  <c r="CG7" i="8"/>
  <c r="CH7" i="8"/>
  <c r="I7" i="8"/>
  <c r="G7" i="8"/>
  <c r="AJ4" i="8"/>
  <c r="AK4" i="8"/>
  <c r="BG4" i="8"/>
  <c r="BH4" i="8"/>
  <c r="CD4" i="8"/>
  <c r="CE4" i="8"/>
  <c r="F4" i="8"/>
  <c r="AJ5" i="8"/>
  <c r="AK5" i="8"/>
  <c r="BG5" i="8"/>
  <c r="BH5" i="8"/>
  <c r="CD5" i="8"/>
  <c r="CE5" i="8"/>
  <c r="F5" i="8"/>
  <c r="AJ6" i="8"/>
  <c r="AK6" i="8"/>
  <c r="BG6" i="8"/>
  <c r="BH6" i="8"/>
  <c r="CD6" i="8"/>
  <c r="CE6" i="8"/>
  <c r="F6" i="8"/>
  <c r="A6" i="8"/>
  <c r="AJ7" i="8"/>
  <c r="AK7" i="8"/>
  <c r="BG7" i="8"/>
  <c r="BH7" i="8"/>
  <c r="CD7" i="8"/>
  <c r="CE7" i="8"/>
  <c r="F7" i="8"/>
  <c r="A7" i="8"/>
  <c r="H4" i="8"/>
  <c r="H5" i="8"/>
  <c r="H6" i="8"/>
  <c r="H7" i="8"/>
  <c r="AL4" i="7"/>
  <c r="AM4" i="7"/>
  <c r="AN4" i="7"/>
  <c r="BI4" i="7"/>
  <c r="BJ4" i="7"/>
  <c r="BK4" i="7"/>
  <c r="CF4" i="7"/>
  <c r="CG4" i="7"/>
  <c r="CH4" i="7"/>
  <c r="I4" i="7"/>
  <c r="G4" i="7"/>
  <c r="AL5" i="7"/>
  <c r="AM5" i="7"/>
  <c r="AN5" i="7"/>
  <c r="BI5" i="7"/>
  <c r="BJ5" i="7"/>
  <c r="BK5" i="7"/>
  <c r="CF5" i="7"/>
  <c r="CG5" i="7"/>
  <c r="CH5" i="7"/>
  <c r="I5" i="7"/>
  <c r="G5" i="7"/>
  <c r="AL6" i="7"/>
  <c r="AM6" i="7"/>
  <c r="AN6" i="7"/>
  <c r="BI6" i="7"/>
  <c r="BJ6" i="7"/>
  <c r="BK6" i="7"/>
  <c r="CF6" i="7"/>
  <c r="CG6" i="7"/>
  <c r="CH6" i="7"/>
  <c r="I6" i="7"/>
  <c r="G6" i="7"/>
  <c r="AL7" i="7"/>
  <c r="AM7" i="7"/>
  <c r="AN7" i="7"/>
  <c r="BI7" i="7"/>
  <c r="BJ7" i="7"/>
  <c r="BK7" i="7"/>
  <c r="CF7" i="7"/>
  <c r="CG7" i="7"/>
  <c r="CH7" i="7"/>
  <c r="I7" i="7"/>
  <c r="G7" i="7"/>
  <c r="AL8" i="7"/>
  <c r="AM8" i="7"/>
  <c r="AN8" i="7"/>
  <c r="BI8" i="7"/>
  <c r="BJ8" i="7"/>
  <c r="BK8" i="7"/>
  <c r="CF8" i="7"/>
  <c r="CG8" i="7"/>
  <c r="CH8" i="7"/>
  <c r="I8" i="7"/>
  <c r="G8" i="7"/>
  <c r="AJ4" i="7"/>
  <c r="AK4" i="7"/>
  <c r="BG4" i="7"/>
  <c r="BH4" i="7"/>
  <c r="CD4" i="7"/>
  <c r="CE4" i="7"/>
  <c r="F4" i="7"/>
  <c r="AJ5" i="7"/>
  <c r="AK5" i="7"/>
  <c r="BG5" i="7"/>
  <c r="BH5" i="7"/>
  <c r="CD5" i="7"/>
  <c r="CE5" i="7"/>
  <c r="F5" i="7"/>
  <c r="AJ6" i="7"/>
  <c r="AK6" i="7"/>
  <c r="BG6" i="7"/>
  <c r="BH6" i="7"/>
  <c r="CD6" i="7"/>
  <c r="CE6" i="7"/>
  <c r="F6" i="7"/>
  <c r="A6" i="7"/>
  <c r="AJ7" i="7"/>
  <c r="AK7" i="7"/>
  <c r="BG7" i="7"/>
  <c r="BH7" i="7"/>
  <c r="CD7" i="7"/>
  <c r="CE7" i="7"/>
  <c r="F7" i="7"/>
  <c r="A7" i="7"/>
  <c r="AJ8" i="7"/>
  <c r="AK8" i="7"/>
  <c r="BG8" i="7"/>
  <c r="BH8" i="7"/>
  <c r="CD8" i="7"/>
  <c r="CE8" i="7"/>
  <c r="F8" i="7"/>
  <c r="A8" i="7"/>
  <c r="H4" i="7"/>
  <c r="H5" i="7"/>
  <c r="H6" i="7"/>
  <c r="H7" i="7"/>
  <c r="H8" i="7"/>
  <c r="AJ4" i="10"/>
  <c r="AK4" i="10"/>
  <c r="AL4" i="10"/>
  <c r="BE4" i="10"/>
  <c r="BF4" i="10"/>
  <c r="BG4" i="10"/>
  <c r="BZ4" i="10"/>
  <c r="CA4" i="10"/>
  <c r="CB4" i="10"/>
  <c r="I4" i="10"/>
  <c r="G4" i="10"/>
  <c r="AJ5" i="10"/>
  <c r="AK5" i="10"/>
  <c r="AL5" i="10"/>
  <c r="BE5" i="10"/>
  <c r="BF5" i="10"/>
  <c r="BG5" i="10"/>
  <c r="BZ5" i="10"/>
  <c r="CA5" i="10"/>
  <c r="CB5" i="10"/>
  <c r="I5" i="10"/>
  <c r="G5" i="10"/>
  <c r="AJ6" i="10"/>
  <c r="AK6" i="10"/>
  <c r="AL6" i="10"/>
  <c r="BE6" i="10"/>
  <c r="BF6" i="10"/>
  <c r="BG6" i="10"/>
  <c r="BZ6" i="10"/>
  <c r="CA6" i="10"/>
  <c r="CB6" i="10"/>
  <c r="I6" i="10"/>
  <c r="G6" i="10"/>
  <c r="AI4" i="10"/>
  <c r="BD4" i="10"/>
  <c r="BY4" i="10"/>
  <c r="F4" i="10"/>
  <c r="AI5" i="10"/>
  <c r="BD5" i="10"/>
  <c r="BY5" i="10"/>
  <c r="F5" i="10"/>
  <c r="AI6" i="10"/>
  <c r="BD6" i="10"/>
  <c r="BY6" i="10"/>
  <c r="F6" i="10"/>
  <c r="A6" i="10"/>
  <c r="H5" i="10"/>
  <c r="H4" i="10"/>
  <c r="AJ4" i="9"/>
  <c r="AK4" i="9"/>
  <c r="AL4" i="9"/>
  <c r="BE4" i="9"/>
  <c r="BF4" i="9"/>
  <c r="BG4" i="9"/>
  <c r="BZ4" i="9"/>
  <c r="CA4" i="9"/>
  <c r="CB4" i="9"/>
  <c r="I4" i="9"/>
  <c r="G4" i="9"/>
  <c r="AJ5" i="9"/>
  <c r="AK5" i="9"/>
  <c r="AL5" i="9"/>
  <c r="BE5" i="9"/>
  <c r="BF5" i="9"/>
  <c r="BG5" i="9"/>
  <c r="BZ5" i="9"/>
  <c r="CA5" i="9"/>
  <c r="CB5" i="9"/>
  <c r="I5" i="9"/>
  <c r="G5" i="9"/>
  <c r="AJ6" i="9"/>
  <c r="AK6" i="9"/>
  <c r="AL6" i="9"/>
  <c r="BE6" i="9"/>
  <c r="BF6" i="9"/>
  <c r="BG6" i="9"/>
  <c r="BZ6" i="9"/>
  <c r="CA6" i="9"/>
  <c r="CB6" i="9"/>
  <c r="I6" i="9"/>
  <c r="G6" i="9"/>
  <c r="AJ7" i="9"/>
  <c r="AK7" i="9"/>
  <c r="AL7" i="9"/>
  <c r="BE7" i="9"/>
  <c r="BF7" i="9"/>
  <c r="BG7" i="9"/>
  <c r="BZ7" i="9"/>
  <c r="CA7" i="9"/>
  <c r="CB7" i="9"/>
  <c r="I7" i="9"/>
  <c r="G7" i="9"/>
  <c r="AJ8" i="9"/>
  <c r="AK8" i="9"/>
  <c r="AL8" i="9"/>
  <c r="BE8" i="9"/>
  <c r="BF8" i="9"/>
  <c r="BG8" i="9"/>
  <c r="BZ8" i="9"/>
  <c r="CA8" i="9"/>
  <c r="CB8" i="9"/>
  <c r="I8" i="9"/>
  <c r="G8" i="9"/>
  <c r="AI4" i="9"/>
  <c r="BD4" i="9"/>
  <c r="BY4" i="9"/>
  <c r="F4" i="9"/>
  <c r="AI5" i="9"/>
  <c r="BD5" i="9"/>
  <c r="BY5" i="9"/>
  <c r="F5" i="9"/>
  <c r="A5" i="9"/>
  <c r="AI6" i="9"/>
  <c r="BD6" i="9"/>
  <c r="BY6" i="9"/>
  <c r="F6" i="9"/>
  <c r="A6" i="9"/>
  <c r="AI7" i="9"/>
  <c r="BD7" i="9"/>
  <c r="BY7" i="9"/>
  <c r="F7" i="9"/>
  <c r="A7" i="9"/>
  <c r="AI8" i="9"/>
  <c r="BD8" i="9"/>
  <c r="BY8" i="9"/>
  <c r="F8" i="9"/>
  <c r="A8" i="9"/>
  <c r="H4" i="9"/>
  <c r="H5" i="9"/>
  <c r="H6" i="9"/>
  <c r="H7" i="9"/>
  <c r="H8" i="9"/>
  <c r="AJ4" i="2"/>
  <c r="AK4" i="2"/>
  <c r="AL4" i="2"/>
  <c r="BE4" i="2"/>
  <c r="BF4" i="2"/>
  <c r="BG4" i="2"/>
  <c r="BZ4" i="2"/>
  <c r="CA4" i="2"/>
  <c r="CB4" i="2"/>
  <c r="I4" i="2"/>
  <c r="G4" i="2"/>
  <c r="AJ5" i="2"/>
  <c r="AK5" i="2"/>
  <c r="AL5" i="2"/>
  <c r="BE5" i="2"/>
  <c r="BF5" i="2"/>
  <c r="BG5" i="2"/>
  <c r="BZ5" i="2"/>
  <c r="CA5" i="2"/>
  <c r="CB5" i="2"/>
  <c r="I5" i="2"/>
  <c r="G5" i="2"/>
  <c r="AJ6" i="2"/>
  <c r="AK6" i="2"/>
  <c r="AL6" i="2"/>
  <c r="BE6" i="2"/>
  <c r="BF6" i="2"/>
  <c r="BG6" i="2"/>
  <c r="BZ6" i="2"/>
  <c r="CA6" i="2"/>
  <c r="CB6" i="2"/>
  <c r="I6" i="2"/>
  <c r="G6" i="2"/>
  <c r="AJ7" i="2"/>
  <c r="AK7" i="2"/>
  <c r="AL7" i="2"/>
  <c r="BE7" i="2"/>
  <c r="BF7" i="2"/>
  <c r="BG7" i="2"/>
  <c r="BZ7" i="2"/>
  <c r="CA7" i="2"/>
  <c r="CB7" i="2"/>
  <c r="I7" i="2"/>
  <c r="G7" i="2"/>
  <c r="AJ8" i="2"/>
  <c r="AK8" i="2"/>
  <c r="AL8" i="2"/>
  <c r="BE8" i="2"/>
  <c r="BF8" i="2"/>
  <c r="BG8" i="2"/>
  <c r="BZ8" i="2"/>
  <c r="CA8" i="2"/>
  <c r="CB8" i="2"/>
  <c r="I8" i="2"/>
  <c r="G8" i="2"/>
  <c r="AJ9" i="2"/>
  <c r="AK9" i="2"/>
  <c r="AL9" i="2"/>
  <c r="BE9" i="2"/>
  <c r="BF9" i="2"/>
  <c r="BG9" i="2"/>
  <c r="BZ9" i="2"/>
  <c r="CA9" i="2"/>
  <c r="CB9" i="2"/>
  <c r="I9" i="2"/>
  <c r="G9" i="2"/>
  <c r="AJ10" i="2"/>
  <c r="AK10" i="2"/>
  <c r="AL10" i="2"/>
  <c r="BE10" i="2"/>
  <c r="BF10" i="2"/>
  <c r="BG10" i="2"/>
  <c r="BZ10" i="2"/>
  <c r="CA10" i="2"/>
  <c r="CB10" i="2"/>
  <c r="I10" i="2"/>
  <c r="G10" i="2"/>
  <c r="AJ11" i="2"/>
  <c r="AK11" i="2"/>
  <c r="AL11" i="2"/>
  <c r="BE11" i="2"/>
  <c r="BF11" i="2"/>
  <c r="BG11" i="2"/>
  <c r="BZ11" i="2"/>
  <c r="CA11" i="2"/>
  <c r="CB11" i="2"/>
  <c r="I11" i="2"/>
  <c r="G11" i="2"/>
  <c r="AJ12" i="2"/>
  <c r="AK12" i="2"/>
  <c r="AL12" i="2"/>
  <c r="BE12" i="2"/>
  <c r="BF12" i="2"/>
  <c r="BG12" i="2"/>
  <c r="BZ12" i="2"/>
  <c r="CA12" i="2"/>
  <c r="CB12" i="2"/>
  <c r="I12" i="2"/>
  <c r="G12" i="2"/>
  <c r="AJ13" i="2"/>
  <c r="AK13" i="2"/>
  <c r="AL13" i="2"/>
  <c r="BE13" i="2"/>
  <c r="BF13" i="2"/>
  <c r="BG13" i="2"/>
  <c r="BZ13" i="2"/>
  <c r="CA13" i="2"/>
  <c r="CB13" i="2"/>
  <c r="I13" i="2"/>
  <c r="G13" i="2"/>
  <c r="AI4" i="2"/>
  <c r="BD4" i="2"/>
  <c r="BY4" i="2"/>
  <c r="F4" i="2"/>
  <c r="AI5" i="2"/>
  <c r="BD5" i="2"/>
  <c r="BY5" i="2"/>
  <c r="F5" i="2"/>
  <c r="AI6" i="2"/>
  <c r="BD6" i="2"/>
  <c r="BY6" i="2"/>
  <c r="F6" i="2"/>
  <c r="AI7" i="2"/>
  <c r="BD7" i="2"/>
  <c r="BY7" i="2"/>
  <c r="F7" i="2"/>
  <c r="AI8" i="2"/>
  <c r="BD8" i="2"/>
  <c r="BY8" i="2"/>
  <c r="F8" i="2"/>
  <c r="AI9" i="2"/>
  <c r="BD9" i="2"/>
  <c r="BY9" i="2"/>
  <c r="F9" i="2"/>
  <c r="AI10" i="2"/>
  <c r="BD10" i="2"/>
  <c r="BY10" i="2"/>
  <c r="F10" i="2"/>
  <c r="A10" i="2"/>
  <c r="AI11" i="2"/>
  <c r="BD11" i="2"/>
  <c r="BY11" i="2"/>
  <c r="F11" i="2"/>
  <c r="A11" i="2"/>
  <c r="AI12" i="2"/>
  <c r="BD12" i="2"/>
  <c r="BY12" i="2"/>
  <c r="F12" i="2"/>
  <c r="AI13" i="2"/>
  <c r="BD13" i="2"/>
  <c r="BY13" i="2"/>
  <c r="F13" i="2"/>
  <c r="A13" i="2"/>
  <c r="H4" i="2"/>
  <c r="H5" i="2"/>
  <c r="H6" i="2"/>
  <c r="H7" i="2"/>
  <c r="H8" i="2"/>
  <c r="H9" i="2"/>
  <c r="H10" i="2"/>
  <c r="H11" i="2"/>
  <c r="H12" i="2"/>
  <c r="H13" i="2"/>
  <c r="AJ5" i="4"/>
  <c r="AK5" i="4"/>
  <c r="AL5" i="4"/>
  <c r="BE5" i="4"/>
  <c r="BF5" i="4"/>
  <c r="BG5" i="4"/>
  <c r="BZ5" i="4"/>
  <c r="CA5" i="4"/>
  <c r="CB5" i="4"/>
  <c r="I5" i="4"/>
  <c r="G5" i="4"/>
  <c r="AJ6" i="4"/>
  <c r="AK6" i="4"/>
  <c r="AL6" i="4"/>
  <c r="BE6" i="4"/>
  <c r="BF6" i="4"/>
  <c r="BG6" i="4"/>
  <c r="BZ6" i="4"/>
  <c r="CA6" i="4"/>
  <c r="CB6" i="4"/>
  <c r="I6" i="4"/>
  <c r="G6" i="4"/>
  <c r="AJ7" i="4"/>
  <c r="AK7" i="4"/>
  <c r="AL7" i="4"/>
  <c r="BE7" i="4"/>
  <c r="BF7" i="4"/>
  <c r="BG7" i="4"/>
  <c r="BZ7" i="4"/>
  <c r="CA7" i="4"/>
  <c r="CB7" i="4"/>
  <c r="I7" i="4"/>
  <c r="G7" i="4"/>
  <c r="AJ8" i="4"/>
  <c r="AK8" i="4"/>
  <c r="AL8" i="4"/>
  <c r="BE8" i="4"/>
  <c r="BF8" i="4"/>
  <c r="BG8" i="4"/>
  <c r="BZ8" i="4"/>
  <c r="CA8" i="4"/>
  <c r="CB8" i="4"/>
  <c r="I8" i="4"/>
  <c r="G8" i="4"/>
  <c r="AJ10" i="4"/>
  <c r="AK10" i="4"/>
  <c r="AL10" i="4"/>
  <c r="BE10" i="4"/>
  <c r="BF10" i="4"/>
  <c r="BG10" i="4"/>
  <c r="BZ10" i="4"/>
  <c r="CA10" i="4"/>
  <c r="CB10" i="4"/>
  <c r="I10" i="4"/>
  <c r="G10" i="4"/>
  <c r="AJ11" i="4"/>
  <c r="AK11" i="4"/>
  <c r="AL11" i="4"/>
  <c r="BE11" i="4"/>
  <c r="BF11" i="4"/>
  <c r="BG11" i="4"/>
  <c r="BZ11" i="4"/>
  <c r="CA11" i="4"/>
  <c r="CB11" i="4"/>
  <c r="I11" i="4"/>
  <c r="G11" i="4"/>
  <c r="AJ4" i="4"/>
  <c r="AK4" i="4"/>
  <c r="AL4" i="4"/>
  <c r="BE4" i="4"/>
  <c r="BF4" i="4"/>
  <c r="BG4" i="4"/>
  <c r="BZ4" i="4"/>
  <c r="CA4" i="4"/>
  <c r="CB4" i="4"/>
  <c r="I4" i="4"/>
  <c r="G4" i="4"/>
  <c r="AJ9" i="4"/>
  <c r="AK9" i="4"/>
  <c r="AL9" i="4"/>
  <c r="BE9" i="4"/>
  <c r="BF9" i="4"/>
  <c r="BG9" i="4"/>
  <c r="BZ9" i="4"/>
  <c r="CA9" i="4"/>
  <c r="CB9" i="4"/>
  <c r="I9" i="4"/>
  <c r="G9" i="4"/>
  <c r="AJ12" i="4"/>
  <c r="AK12" i="4"/>
  <c r="AL12" i="4"/>
  <c r="BE12" i="4"/>
  <c r="BF12" i="4"/>
  <c r="BG12" i="4"/>
  <c r="BZ12" i="4"/>
  <c r="CA12" i="4"/>
  <c r="CB12" i="4"/>
  <c r="I12" i="4"/>
  <c r="G12" i="4"/>
  <c r="AJ13" i="4"/>
  <c r="AK13" i="4"/>
  <c r="AL13" i="4"/>
  <c r="BE13" i="4"/>
  <c r="BF13" i="4"/>
  <c r="BG13" i="4"/>
  <c r="BZ13" i="4"/>
  <c r="CA13" i="4"/>
  <c r="CB13" i="4"/>
  <c r="I13" i="4"/>
  <c r="G13" i="4"/>
  <c r="AJ14" i="4"/>
  <c r="AK14" i="4"/>
  <c r="AL14" i="4"/>
  <c r="BE14" i="4"/>
  <c r="BF14" i="4"/>
  <c r="BG14" i="4"/>
  <c r="BZ14" i="4"/>
  <c r="CA14" i="4"/>
  <c r="CB14" i="4"/>
  <c r="I14" i="4"/>
  <c r="G14" i="4"/>
  <c r="AJ15" i="4"/>
  <c r="AK15" i="4"/>
  <c r="AL15" i="4"/>
  <c r="BE15" i="4"/>
  <c r="BF15" i="4"/>
  <c r="BG15" i="4"/>
  <c r="BZ15" i="4"/>
  <c r="CA15" i="4"/>
  <c r="CB15" i="4"/>
  <c r="I15" i="4"/>
  <c r="G15" i="4"/>
  <c r="AJ16" i="4"/>
  <c r="AK16" i="4"/>
  <c r="AL16" i="4"/>
  <c r="BE16" i="4"/>
  <c r="BF16" i="4"/>
  <c r="BG16" i="4"/>
  <c r="BZ16" i="4"/>
  <c r="CA16" i="4"/>
  <c r="CB16" i="4"/>
  <c r="I16" i="4"/>
  <c r="G16" i="4"/>
  <c r="AJ17" i="4"/>
  <c r="AK17" i="4"/>
  <c r="AL17" i="4"/>
  <c r="BE17" i="4"/>
  <c r="BF17" i="4"/>
  <c r="BG17" i="4"/>
  <c r="BZ17" i="4"/>
  <c r="CA17" i="4"/>
  <c r="CB17" i="4"/>
  <c r="I17" i="4"/>
  <c r="G17" i="4"/>
  <c r="AJ18" i="4"/>
  <c r="AK18" i="4"/>
  <c r="AL18" i="4"/>
  <c r="BE18" i="4"/>
  <c r="BF18" i="4"/>
  <c r="BG18" i="4"/>
  <c r="BZ18" i="4"/>
  <c r="CA18" i="4"/>
  <c r="CB18" i="4"/>
  <c r="I18" i="4"/>
  <c r="G18" i="4"/>
  <c r="AJ19" i="4"/>
  <c r="AK19" i="4"/>
  <c r="AL19" i="4"/>
  <c r="BE19" i="4"/>
  <c r="BF19" i="4"/>
  <c r="BG19" i="4"/>
  <c r="BZ19" i="4"/>
  <c r="CA19" i="4"/>
  <c r="CB19" i="4"/>
  <c r="I19" i="4"/>
  <c r="G19" i="4"/>
  <c r="AJ20" i="4"/>
  <c r="AK20" i="4"/>
  <c r="AL20" i="4"/>
  <c r="BE20" i="4"/>
  <c r="BF20" i="4"/>
  <c r="BG20" i="4"/>
  <c r="BZ20" i="4"/>
  <c r="CA20" i="4"/>
  <c r="CB20" i="4"/>
  <c r="I20" i="4"/>
  <c r="G20" i="4"/>
  <c r="AI5" i="4"/>
  <c r="BD5" i="4"/>
  <c r="BY5" i="4"/>
  <c r="F5" i="4"/>
  <c r="AI6" i="4"/>
  <c r="BD6" i="4"/>
  <c r="BY6" i="4"/>
  <c r="F6" i="4"/>
  <c r="AI7" i="4"/>
  <c r="BD7" i="4"/>
  <c r="BY7" i="4"/>
  <c r="F7" i="4"/>
  <c r="A7" i="4"/>
  <c r="AI8" i="4"/>
  <c r="BD8" i="4"/>
  <c r="BY8" i="4"/>
  <c r="F8" i="4"/>
  <c r="A8" i="4"/>
  <c r="AI10" i="4"/>
  <c r="BD10" i="4"/>
  <c r="BY10" i="4"/>
  <c r="F10" i="4"/>
  <c r="A10" i="4"/>
  <c r="AI11" i="4"/>
  <c r="BD11" i="4"/>
  <c r="BY11" i="4"/>
  <c r="F11" i="4"/>
  <c r="A11" i="4"/>
  <c r="AI4" i="4"/>
  <c r="BD4" i="4"/>
  <c r="BY4" i="4"/>
  <c r="F4" i="4"/>
  <c r="AI9" i="4"/>
  <c r="BD9" i="4"/>
  <c r="BY9" i="4"/>
  <c r="F9" i="4"/>
  <c r="A9" i="4"/>
  <c r="AI12" i="4"/>
  <c r="BD12" i="4"/>
  <c r="BY12" i="4"/>
  <c r="F12" i="4"/>
  <c r="A12" i="4"/>
  <c r="AI13" i="4"/>
  <c r="BD13" i="4"/>
  <c r="BY13" i="4"/>
  <c r="F13" i="4"/>
  <c r="A13" i="4"/>
  <c r="AI14" i="4"/>
  <c r="BD14" i="4"/>
  <c r="BY14" i="4"/>
  <c r="F14" i="4"/>
  <c r="A14" i="4"/>
  <c r="AI15" i="4"/>
  <c r="BD15" i="4"/>
  <c r="BY15" i="4"/>
  <c r="F15" i="4"/>
  <c r="AI16" i="4"/>
  <c r="BD16" i="4"/>
  <c r="BY16" i="4"/>
  <c r="F16" i="4"/>
  <c r="A16" i="4"/>
  <c r="AI17" i="4"/>
  <c r="BD17" i="4"/>
  <c r="BY17" i="4"/>
  <c r="F17" i="4"/>
  <c r="A17" i="4"/>
  <c r="AI18" i="4"/>
  <c r="BD18" i="4"/>
  <c r="BY18" i="4"/>
  <c r="F18" i="4"/>
  <c r="A18" i="4"/>
  <c r="AI19" i="4"/>
  <c r="BD19" i="4"/>
  <c r="BY19" i="4"/>
  <c r="F19" i="4"/>
  <c r="A19" i="4"/>
  <c r="AI20" i="4"/>
  <c r="BD20" i="4"/>
  <c r="BY20" i="4"/>
  <c r="F20" i="4"/>
  <c r="A20" i="4"/>
  <c r="H5" i="4"/>
  <c r="H6" i="4"/>
  <c r="H7" i="4"/>
  <c r="H8" i="4"/>
  <c r="H10" i="4"/>
  <c r="H11" i="4"/>
  <c r="H4" i="4"/>
  <c r="H9" i="4"/>
  <c r="H12" i="4"/>
  <c r="H13" i="4"/>
  <c r="H14" i="4"/>
  <c r="H15" i="4"/>
  <c r="H16" i="4"/>
  <c r="H17" i="4"/>
  <c r="H18" i="4"/>
  <c r="H19" i="4"/>
  <c r="H20" i="4"/>
  <c r="T4" i="4"/>
  <c r="T9" i="4"/>
  <c r="J9" i="4"/>
  <c r="K9" i="4"/>
  <c r="L9" i="4"/>
  <c r="M9" i="4"/>
  <c r="N9" i="4"/>
  <c r="CX9" i="4"/>
  <c r="DS9" i="4"/>
  <c r="EN9" i="4"/>
  <c r="FI9" i="4"/>
  <c r="GD9" i="4"/>
  <c r="GY9" i="4"/>
  <c r="HT9" i="4"/>
  <c r="IO9" i="4"/>
  <c r="JJ9" i="4"/>
  <c r="KE9" i="4"/>
  <c r="KZ9" i="4"/>
  <c r="LU9" i="4"/>
  <c r="CE9" i="4"/>
  <c r="CY9" i="4"/>
  <c r="DT9" i="4"/>
  <c r="EO9" i="4"/>
  <c r="FJ9" i="4"/>
  <c r="GE9" i="4"/>
  <c r="GZ9" i="4"/>
  <c r="HU9" i="4"/>
  <c r="IP9" i="4"/>
  <c r="JK9" i="4"/>
  <c r="KF9" i="4"/>
  <c r="LA9" i="4"/>
  <c r="LV9" i="4"/>
  <c r="CF9" i="4"/>
  <c r="DA9" i="4"/>
  <c r="DV9" i="4"/>
  <c r="EQ9" i="4"/>
  <c r="FL9" i="4"/>
  <c r="GG9" i="4"/>
  <c r="HB9" i="4"/>
  <c r="HW9" i="4"/>
  <c r="IR9" i="4"/>
  <c r="JM9" i="4"/>
  <c r="KH9" i="4"/>
  <c r="LC9" i="4"/>
  <c r="LX9" i="4"/>
  <c r="AM9" i="4"/>
  <c r="BH9" i="4"/>
  <c r="CC9" i="4"/>
  <c r="O9" i="4"/>
  <c r="CG9" i="4"/>
  <c r="Q9" i="4"/>
  <c r="P9" i="4"/>
  <c r="E9" i="4"/>
  <c r="J5" i="4"/>
  <c r="K5" i="4"/>
  <c r="L5" i="4"/>
  <c r="M5" i="4"/>
  <c r="N5" i="4"/>
  <c r="AM5" i="4"/>
  <c r="BH5" i="4"/>
  <c r="CC5" i="4"/>
  <c r="O5" i="4"/>
  <c r="P5" i="4"/>
  <c r="CX5" i="4"/>
  <c r="DS5" i="4"/>
  <c r="EN5" i="4"/>
  <c r="FI5" i="4"/>
  <c r="GD5" i="4"/>
  <c r="GY5" i="4"/>
  <c r="HT5" i="4"/>
  <c r="IO5" i="4"/>
  <c r="JJ5" i="4"/>
  <c r="KE5" i="4"/>
  <c r="KZ5" i="4"/>
  <c r="LU5" i="4"/>
  <c r="CE5" i="4"/>
  <c r="CY5" i="4"/>
  <c r="DT5" i="4"/>
  <c r="EO5" i="4"/>
  <c r="FJ5" i="4"/>
  <c r="GE5" i="4"/>
  <c r="GZ5" i="4"/>
  <c r="HU5" i="4"/>
  <c r="IP5" i="4"/>
  <c r="JK5" i="4"/>
  <c r="KF5" i="4"/>
  <c r="LA5" i="4"/>
  <c r="LV5" i="4"/>
  <c r="CF5" i="4"/>
  <c r="DA5" i="4"/>
  <c r="DV5" i="4"/>
  <c r="EQ5" i="4"/>
  <c r="FL5" i="4"/>
  <c r="GG5" i="4"/>
  <c r="HB5" i="4"/>
  <c r="HW5" i="4"/>
  <c r="IR5" i="4"/>
  <c r="JM5" i="4"/>
  <c r="KH5" i="4"/>
  <c r="LC5" i="4"/>
  <c r="LX5" i="4"/>
  <c r="CG5" i="4"/>
  <c r="Q5" i="4"/>
  <c r="E5" i="4"/>
  <c r="J6" i="4"/>
  <c r="K6" i="4"/>
  <c r="L6" i="4"/>
  <c r="M6" i="4"/>
  <c r="N6" i="4"/>
  <c r="AM6" i="4"/>
  <c r="BH6" i="4"/>
  <c r="CC6" i="4"/>
  <c r="O6" i="4"/>
  <c r="P6" i="4"/>
  <c r="CX6" i="4"/>
  <c r="DS6" i="4"/>
  <c r="EN6" i="4"/>
  <c r="FI6" i="4"/>
  <c r="GD6" i="4"/>
  <c r="GY6" i="4"/>
  <c r="HT6" i="4"/>
  <c r="IO6" i="4"/>
  <c r="JJ6" i="4"/>
  <c r="KE6" i="4"/>
  <c r="KZ6" i="4"/>
  <c r="LU6" i="4"/>
  <c r="CE6" i="4"/>
  <c r="CY6" i="4"/>
  <c r="DT6" i="4"/>
  <c r="EO6" i="4"/>
  <c r="FJ6" i="4"/>
  <c r="GE6" i="4"/>
  <c r="GZ6" i="4"/>
  <c r="HU6" i="4"/>
  <c r="IP6" i="4"/>
  <c r="JK6" i="4"/>
  <c r="KF6" i="4"/>
  <c r="LA6" i="4"/>
  <c r="LV6" i="4"/>
  <c r="CF6" i="4"/>
  <c r="DA6" i="4"/>
  <c r="DV6" i="4"/>
  <c r="EQ6" i="4"/>
  <c r="FL6" i="4"/>
  <c r="GG6" i="4"/>
  <c r="HB6" i="4"/>
  <c r="HW6" i="4"/>
  <c r="IR6" i="4"/>
  <c r="JM6" i="4"/>
  <c r="KH6" i="4"/>
  <c r="LC6" i="4"/>
  <c r="LX6" i="4"/>
  <c r="CG6" i="4"/>
  <c r="Q6" i="4"/>
  <c r="E6" i="4"/>
  <c r="J7" i="4"/>
  <c r="K7" i="4"/>
  <c r="L7" i="4"/>
  <c r="M7" i="4"/>
  <c r="N7" i="4"/>
  <c r="AM7" i="4"/>
  <c r="BH7" i="4"/>
  <c r="CC7" i="4"/>
  <c r="O7" i="4"/>
  <c r="P7" i="4"/>
  <c r="CX7" i="4"/>
  <c r="DS7" i="4"/>
  <c r="EN7" i="4"/>
  <c r="FI7" i="4"/>
  <c r="GD7" i="4"/>
  <c r="GY7" i="4"/>
  <c r="HT7" i="4"/>
  <c r="IO7" i="4"/>
  <c r="JJ7" i="4"/>
  <c r="KE7" i="4"/>
  <c r="KZ7" i="4"/>
  <c r="LU7" i="4"/>
  <c r="CE7" i="4"/>
  <c r="CY7" i="4"/>
  <c r="DT7" i="4"/>
  <c r="EO7" i="4"/>
  <c r="FJ7" i="4"/>
  <c r="GE7" i="4"/>
  <c r="GZ7" i="4"/>
  <c r="HU7" i="4"/>
  <c r="IP7" i="4"/>
  <c r="JK7" i="4"/>
  <c r="KF7" i="4"/>
  <c r="LA7" i="4"/>
  <c r="LV7" i="4"/>
  <c r="CF7" i="4"/>
  <c r="DA7" i="4"/>
  <c r="DV7" i="4"/>
  <c r="EQ7" i="4"/>
  <c r="FL7" i="4"/>
  <c r="GG7" i="4"/>
  <c r="HB7" i="4"/>
  <c r="HW7" i="4"/>
  <c r="IR7" i="4"/>
  <c r="JM7" i="4"/>
  <c r="KH7" i="4"/>
  <c r="LC7" i="4"/>
  <c r="LX7" i="4"/>
  <c r="CG7" i="4"/>
  <c r="Q7" i="4"/>
  <c r="E7" i="4"/>
  <c r="J8" i="4"/>
  <c r="K8" i="4"/>
  <c r="L8" i="4"/>
  <c r="M8" i="4"/>
  <c r="N8" i="4"/>
  <c r="AM8" i="4"/>
  <c r="BH8" i="4"/>
  <c r="CC8" i="4"/>
  <c r="O8" i="4"/>
  <c r="P8" i="4"/>
  <c r="CX8" i="4"/>
  <c r="DS8" i="4"/>
  <c r="EN8" i="4"/>
  <c r="FI8" i="4"/>
  <c r="GD8" i="4"/>
  <c r="GY8" i="4"/>
  <c r="HT8" i="4"/>
  <c r="IO8" i="4"/>
  <c r="JJ8" i="4"/>
  <c r="KE8" i="4"/>
  <c r="KZ8" i="4"/>
  <c r="LU8" i="4"/>
  <c r="CE8" i="4"/>
  <c r="CY8" i="4"/>
  <c r="DT8" i="4"/>
  <c r="EO8" i="4"/>
  <c r="FJ8" i="4"/>
  <c r="GE8" i="4"/>
  <c r="GZ8" i="4"/>
  <c r="HU8" i="4"/>
  <c r="IP8" i="4"/>
  <c r="JK8" i="4"/>
  <c r="KF8" i="4"/>
  <c r="LA8" i="4"/>
  <c r="LV8" i="4"/>
  <c r="CF8" i="4"/>
  <c r="DA8" i="4"/>
  <c r="DV8" i="4"/>
  <c r="EQ8" i="4"/>
  <c r="FL8" i="4"/>
  <c r="GG8" i="4"/>
  <c r="HB8" i="4"/>
  <c r="HW8" i="4"/>
  <c r="IR8" i="4"/>
  <c r="JM8" i="4"/>
  <c r="KH8" i="4"/>
  <c r="LC8" i="4"/>
  <c r="LX8" i="4"/>
  <c r="CG8" i="4"/>
  <c r="Q8" i="4"/>
  <c r="E8" i="4"/>
  <c r="J10" i="4"/>
  <c r="K10" i="4"/>
  <c r="L10" i="4"/>
  <c r="M10" i="4"/>
  <c r="N10" i="4"/>
  <c r="AM10" i="4"/>
  <c r="BH10" i="4"/>
  <c r="CC10" i="4"/>
  <c r="O10" i="4"/>
  <c r="P10" i="4"/>
  <c r="CX10" i="4"/>
  <c r="DS10" i="4"/>
  <c r="EN10" i="4"/>
  <c r="FI10" i="4"/>
  <c r="GD10" i="4"/>
  <c r="GY10" i="4"/>
  <c r="HT10" i="4"/>
  <c r="IO10" i="4"/>
  <c r="JJ10" i="4"/>
  <c r="KE10" i="4"/>
  <c r="KZ10" i="4"/>
  <c r="LU10" i="4"/>
  <c r="CE10" i="4"/>
  <c r="CY10" i="4"/>
  <c r="DT10" i="4"/>
  <c r="EO10" i="4"/>
  <c r="FJ10" i="4"/>
  <c r="GE10" i="4"/>
  <c r="GZ10" i="4"/>
  <c r="HU10" i="4"/>
  <c r="IP10" i="4"/>
  <c r="JK10" i="4"/>
  <c r="KF10" i="4"/>
  <c r="LA10" i="4"/>
  <c r="LV10" i="4"/>
  <c r="CF10" i="4"/>
  <c r="DA10" i="4"/>
  <c r="DV10" i="4"/>
  <c r="EQ10" i="4"/>
  <c r="FL10" i="4"/>
  <c r="GG10" i="4"/>
  <c r="HB10" i="4"/>
  <c r="HW10" i="4"/>
  <c r="IR10" i="4"/>
  <c r="JM10" i="4"/>
  <c r="KH10" i="4"/>
  <c r="LC10" i="4"/>
  <c r="LX10" i="4"/>
  <c r="CG10" i="4"/>
  <c r="Q10" i="4"/>
  <c r="E10" i="4"/>
  <c r="J11" i="4"/>
  <c r="K11" i="4"/>
  <c r="L11" i="4"/>
  <c r="M11" i="4"/>
  <c r="N11" i="4"/>
  <c r="AM11" i="4"/>
  <c r="BH11" i="4"/>
  <c r="CC11" i="4"/>
  <c r="O11" i="4"/>
  <c r="P11" i="4"/>
  <c r="CX11" i="4"/>
  <c r="DS11" i="4"/>
  <c r="EN11" i="4"/>
  <c r="FI11" i="4"/>
  <c r="GD11" i="4"/>
  <c r="GY11" i="4"/>
  <c r="HT11" i="4"/>
  <c r="IO11" i="4"/>
  <c r="JJ11" i="4"/>
  <c r="KE11" i="4"/>
  <c r="KZ11" i="4"/>
  <c r="LU11" i="4"/>
  <c r="CE11" i="4"/>
  <c r="CY11" i="4"/>
  <c r="DT11" i="4"/>
  <c r="EO11" i="4"/>
  <c r="FJ11" i="4"/>
  <c r="GE11" i="4"/>
  <c r="GZ11" i="4"/>
  <c r="HU11" i="4"/>
  <c r="IP11" i="4"/>
  <c r="JK11" i="4"/>
  <c r="KF11" i="4"/>
  <c r="LA11" i="4"/>
  <c r="LV11" i="4"/>
  <c r="CF11" i="4"/>
  <c r="DA11" i="4"/>
  <c r="DV11" i="4"/>
  <c r="EQ11" i="4"/>
  <c r="FL11" i="4"/>
  <c r="GG11" i="4"/>
  <c r="HB11" i="4"/>
  <c r="HW11" i="4"/>
  <c r="IR11" i="4"/>
  <c r="JM11" i="4"/>
  <c r="KH11" i="4"/>
  <c r="LC11" i="4"/>
  <c r="LX11" i="4"/>
  <c r="CG11" i="4"/>
  <c r="Q11" i="4"/>
  <c r="E11" i="4"/>
  <c r="J12" i="4"/>
  <c r="K12" i="4"/>
  <c r="L12" i="4"/>
  <c r="M12" i="4"/>
  <c r="N12" i="4"/>
  <c r="AM12" i="4"/>
  <c r="BH12" i="4"/>
  <c r="CC12" i="4"/>
  <c r="O12" i="4"/>
  <c r="P12" i="4"/>
  <c r="CX12" i="4"/>
  <c r="DS12" i="4"/>
  <c r="EN12" i="4"/>
  <c r="FI12" i="4"/>
  <c r="GD12" i="4"/>
  <c r="GY12" i="4"/>
  <c r="HT12" i="4"/>
  <c r="IO12" i="4"/>
  <c r="JJ12" i="4"/>
  <c r="KE12" i="4"/>
  <c r="KZ12" i="4"/>
  <c r="LU12" i="4"/>
  <c r="CE12" i="4"/>
  <c r="CY12" i="4"/>
  <c r="DT12" i="4"/>
  <c r="EO12" i="4"/>
  <c r="FJ12" i="4"/>
  <c r="GE12" i="4"/>
  <c r="GZ12" i="4"/>
  <c r="HU12" i="4"/>
  <c r="IP12" i="4"/>
  <c r="JK12" i="4"/>
  <c r="KF12" i="4"/>
  <c r="LA12" i="4"/>
  <c r="LV12" i="4"/>
  <c r="CF12" i="4"/>
  <c r="DA12" i="4"/>
  <c r="DV12" i="4"/>
  <c r="EQ12" i="4"/>
  <c r="FL12" i="4"/>
  <c r="GG12" i="4"/>
  <c r="HB12" i="4"/>
  <c r="HW12" i="4"/>
  <c r="IR12" i="4"/>
  <c r="JM12" i="4"/>
  <c r="KH12" i="4"/>
  <c r="LC12" i="4"/>
  <c r="LX12" i="4"/>
  <c r="CG12" i="4"/>
  <c r="Q12" i="4"/>
  <c r="E12" i="4"/>
  <c r="J13" i="4"/>
  <c r="K13" i="4"/>
  <c r="L13" i="4"/>
  <c r="M13" i="4"/>
  <c r="N13" i="4"/>
  <c r="AM13" i="4"/>
  <c r="BH13" i="4"/>
  <c r="CC13" i="4"/>
  <c r="O13" i="4"/>
  <c r="P13" i="4"/>
  <c r="CX13" i="4"/>
  <c r="DS13" i="4"/>
  <c r="EN13" i="4"/>
  <c r="FI13" i="4"/>
  <c r="GD13" i="4"/>
  <c r="GY13" i="4"/>
  <c r="HT13" i="4"/>
  <c r="IO13" i="4"/>
  <c r="JJ13" i="4"/>
  <c r="KE13" i="4"/>
  <c r="KZ13" i="4"/>
  <c r="LU13" i="4"/>
  <c r="CE13" i="4"/>
  <c r="CY13" i="4"/>
  <c r="DT13" i="4"/>
  <c r="EO13" i="4"/>
  <c r="FJ13" i="4"/>
  <c r="GE13" i="4"/>
  <c r="GZ13" i="4"/>
  <c r="HU13" i="4"/>
  <c r="IP13" i="4"/>
  <c r="JK13" i="4"/>
  <c r="KF13" i="4"/>
  <c r="LA13" i="4"/>
  <c r="LV13" i="4"/>
  <c r="CF13" i="4"/>
  <c r="DA13" i="4"/>
  <c r="DV13" i="4"/>
  <c r="EQ13" i="4"/>
  <c r="FL13" i="4"/>
  <c r="GG13" i="4"/>
  <c r="HB13" i="4"/>
  <c r="HW13" i="4"/>
  <c r="IR13" i="4"/>
  <c r="JM13" i="4"/>
  <c r="KH13" i="4"/>
  <c r="LC13" i="4"/>
  <c r="LX13" i="4"/>
  <c r="CG13" i="4"/>
  <c r="Q13" i="4"/>
  <c r="E13" i="4"/>
  <c r="J14" i="4"/>
  <c r="K14" i="4"/>
  <c r="L14" i="4"/>
  <c r="M14" i="4"/>
  <c r="N14" i="4"/>
  <c r="AM14" i="4"/>
  <c r="BH14" i="4"/>
  <c r="CC14" i="4"/>
  <c r="O14" i="4"/>
  <c r="P14" i="4"/>
  <c r="CX14" i="4"/>
  <c r="DS14" i="4"/>
  <c r="EN14" i="4"/>
  <c r="FI14" i="4"/>
  <c r="GD14" i="4"/>
  <c r="GY14" i="4"/>
  <c r="HT14" i="4"/>
  <c r="IO14" i="4"/>
  <c r="JJ14" i="4"/>
  <c r="KE14" i="4"/>
  <c r="KZ14" i="4"/>
  <c r="LU14" i="4"/>
  <c r="CE14" i="4"/>
  <c r="CY14" i="4"/>
  <c r="DT14" i="4"/>
  <c r="EO14" i="4"/>
  <c r="FJ14" i="4"/>
  <c r="GE14" i="4"/>
  <c r="GZ14" i="4"/>
  <c r="HU14" i="4"/>
  <c r="IP14" i="4"/>
  <c r="JK14" i="4"/>
  <c r="KF14" i="4"/>
  <c r="LA14" i="4"/>
  <c r="LV14" i="4"/>
  <c r="CF14" i="4"/>
  <c r="DA14" i="4"/>
  <c r="DV14" i="4"/>
  <c r="EQ14" i="4"/>
  <c r="FL14" i="4"/>
  <c r="GG14" i="4"/>
  <c r="HB14" i="4"/>
  <c r="HW14" i="4"/>
  <c r="IR14" i="4"/>
  <c r="JM14" i="4"/>
  <c r="KH14" i="4"/>
  <c r="LC14" i="4"/>
  <c r="LX14" i="4"/>
  <c r="CG14" i="4"/>
  <c r="Q14" i="4"/>
  <c r="E14" i="4"/>
  <c r="J15" i="4"/>
  <c r="K15" i="4"/>
  <c r="L15" i="4"/>
  <c r="M15" i="4"/>
  <c r="N15" i="4"/>
  <c r="AM15" i="4"/>
  <c r="BH15" i="4"/>
  <c r="CC15" i="4"/>
  <c r="O15" i="4"/>
  <c r="P15" i="4"/>
  <c r="CX15" i="4"/>
  <c r="DS15" i="4"/>
  <c r="EN15" i="4"/>
  <c r="FI15" i="4"/>
  <c r="GD15" i="4"/>
  <c r="GY15" i="4"/>
  <c r="HT15" i="4"/>
  <c r="IO15" i="4"/>
  <c r="JJ15" i="4"/>
  <c r="KE15" i="4"/>
  <c r="KZ15" i="4"/>
  <c r="LU15" i="4"/>
  <c r="CE15" i="4"/>
  <c r="CY15" i="4"/>
  <c r="DT15" i="4"/>
  <c r="EO15" i="4"/>
  <c r="FJ15" i="4"/>
  <c r="GE15" i="4"/>
  <c r="GZ15" i="4"/>
  <c r="HU15" i="4"/>
  <c r="IP15" i="4"/>
  <c r="JK15" i="4"/>
  <c r="KF15" i="4"/>
  <c r="LA15" i="4"/>
  <c r="LV15" i="4"/>
  <c r="CF15" i="4"/>
  <c r="DA15" i="4"/>
  <c r="DV15" i="4"/>
  <c r="EQ15" i="4"/>
  <c r="FL15" i="4"/>
  <c r="GG15" i="4"/>
  <c r="HB15" i="4"/>
  <c r="HW15" i="4"/>
  <c r="IR15" i="4"/>
  <c r="JM15" i="4"/>
  <c r="KH15" i="4"/>
  <c r="LC15" i="4"/>
  <c r="LX15" i="4"/>
  <c r="CG15" i="4"/>
  <c r="Q15" i="4"/>
  <c r="E15" i="4"/>
  <c r="J4" i="4"/>
  <c r="K4" i="4"/>
  <c r="L4" i="4"/>
  <c r="M4" i="4"/>
  <c r="N4" i="4"/>
  <c r="AM4" i="4"/>
  <c r="BH4" i="4"/>
  <c r="CC4" i="4"/>
  <c r="O4" i="4"/>
  <c r="P4" i="4"/>
  <c r="CX4" i="4"/>
  <c r="DS4" i="4"/>
  <c r="EN4" i="4"/>
  <c r="FI4" i="4"/>
  <c r="GD4" i="4"/>
  <c r="GY4" i="4"/>
  <c r="HT4" i="4"/>
  <c r="IO4" i="4"/>
  <c r="JJ4" i="4"/>
  <c r="KE4" i="4"/>
  <c r="KZ4" i="4"/>
  <c r="LU4" i="4"/>
  <c r="CE4" i="4"/>
  <c r="CY4" i="4"/>
  <c r="DT4" i="4"/>
  <c r="EO4" i="4"/>
  <c r="FJ4" i="4"/>
  <c r="GE4" i="4"/>
  <c r="GZ4" i="4"/>
  <c r="HU4" i="4"/>
  <c r="IP4" i="4"/>
  <c r="JK4" i="4"/>
  <c r="KF4" i="4"/>
  <c r="LA4" i="4"/>
  <c r="LV4" i="4"/>
  <c r="CF4" i="4"/>
  <c r="DA4" i="4"/>
  <c r="DV4" i="4"/>
  <c r="EQ4" i="4"/>
  <c r="FL4" i="4"/>
  <c r="GG4" i="4"/>
  <c r="HB4" i="4"/>
  <c r="HW4" i="4"/>
  <c r="IR4" i="4"/>
  <c r="JM4" i="4"/>
  <c r="KH4" i="4"/>
  <c r="LC4" i="4"/>
  <c r="LX4" i="4"/>
  <c r="CG4" i="4"/>
  <c r="Q4" i="4"/>
  <c r="E4" i="4"/>
  <c r="J16" i="4"/>
  <c r="K16" i="4"/>
  <c r="L16" i="4"/>
  <c r="M16" i="4"/>
  <c r="N16" i="4"/>
  <c r="AM16" i="4"/>
  <c r="BH16" i="4"/>
  <c r="CC16" i="4"/>
  <c r="O16" i="4"/>
  <c r="P16" i="4"/>
  <c r="CX16" i="4"/>
  <c r="DS16" i="4"/>
  <c r="EN16" i="4"/>
  <c r="FI16" i="4"/>
  <c r="GD16" i="4"/>
  <c r="GY16" i="4"/>
  <c r="HT16" i="4"/>
  <c r="IO16" i="4"/>
  <c r="JJ16" i="4"/>
  <c r="KE16" i="4"/>
  <c r="KZ16" i="4"/>
  <c r="LU16" i="4"/>
  <c r="CE16" i="4"/>
  <c r="CY16" i="4"/>
  <c r="DT16" i="4"/>
  <c r="EO16" i="4"/>
  <c r="FJ16" i="4"/>
  <c r="GE16" i="4"/>
  <c r="GZ16" i="4"/>
  <c r="HU16" i="4"/>
  <c r="IP16" i="4"/>
  <c r="JK16" i="4"/>
  <c r="KF16" i="4"/>
  <c r="LA16" i="4"/>
  <c r="LV16" i="4"/>
  <c r="CF16" i="4"/>
  <c r="DA16" i="4"/>
  <c r="DV16" i="4"/>
  <c r="EQ16" i="4"/>
  <c r="FL16" i="4"/>
  <c r="GG16" i="4"/>
  <c r="HB16" i="4"/>
  <c r="HW16" i="4"/>
  <c r="IR16" i="4"/>
  <c r="JM16" i="4"/>
  <c r="KH16" i="4"/>
  <c r="LC16" i="4"/>
  <c r="LX16" i="4"/>
  <c r="CG16" i="4"/>
  <c r="Q16" i="4"/>
  <c r="E16" i="4"/>
  <c r="J17" i="4"/>
  <c r="K17" i="4"/>
  <c r="L17" i="4"/>
  <c r="M17" i="4"/>
  <c r="N17" i="4"/>
  <c r="AM17" i="4"/>
  <c r="BH17" i="4"/>
  <c r="CC17" i="4"/>
  <c r="O17" i="4"/>
  <c r="P17" i="4"/>
  <c r="CX17" i="4"/>
  <c r="DS17" i="4"/>
  <c r="EN17" i="4"/>
  <c r="FI17" i="4"/>
  <c r="GD17" i="4"/>
  <c r="GY17" i="4"/>
  <c r="HT17" i="4"/>
  <c r="IO17" i="4"/>
  <c r="JJ17" i="4"/>
  <c r="KE17" i="4"/>
  <c r="KZ17" i="4"/>
  <c r="LU17" i="4"/>
  <c r="CE17" i="4"/>
  <c r="CY17" i="4"/>
  <c r="DT17" i="4"/>
  <c r="EO17" i="4"/>
  <c r="FJ17" i="4"/>
  <c r="GE17" i="4"/>
  <c r="GZ17" i="4"/>
  <c r="HU17" i="4"/>
  <c r="IP17" i="4"/>
  <c r="JK17" i="4"/>
  <c r="KF17" i="4"/>
  <c r="LA17" i="4"/>
  <c r="LV17" i="4"/>
  <c r="CF17" i="4"/>
  <c r="DA17" i="4"/>
  <c r="DV17" i="4"/>
  <c r="EQ17" i="4"/>
  <c r="FL17" i="4"/>
  <c r="GG17" i="4"/>
  <c r="HB17" i="4"/>
  <c r="HW17" i="4"/>
  <c r="IR17" i="4"/>
  <c r="JM17" i="4"/>
  <c r="KH17" i="4"/>
  <c r="LC17" i="4"/>
  <c r="LX17" i="4"/>
  <c r="CG17" i="4"/>
  <c r="Q17" i="4"/>
  <c r="E17" i="4"/>
  <c r="J18" i="4"/>
  <c r="K18" i="4"/>
  <c r="L18" i="4"/>
  <c r="M18" i="4"/>
  <c r="N18" i="4"/>
  <c r="AM18" i="4"/>
  <c r="BH18" i="4"/>
  <c r="CC18" i="4"/>
  <c r="O18" i="4"/>
  <c r="P18" i="4"/>
  <c r="CX18" i="4"/>
  <c r="DS18" i="4"/>
  <c r="EN18" i="4"/>
  <c r="FI18" i="4"/>
  <c r="GD18" i="4"/>
  <c r="GY18" i="4"/>
  <c r="HT18" i="4"/>
  <c r="IO18" i="4"/>
  <c r="JJ18" i="4"/>
  <c r="KE18" i="4"/>
  <c r="KZ18" i="4"/>
  <c r="LU18" i="4"/>
  <c r="CE18" i="4"/>
  <c r="CY18" i="4"/>
  <c r="DT18" i="4"/>
  <c r="EO18" i="4"/>
  <c r="FJ18" i="4"/>
  <c r="GE18" i="4"/>
  <c r="GZ18" i="4"/>
  <c r="HU18" i="4"/>
  <c r="IP18" i="4"/>
  <c r="JK18" i="4"/>
  <c r="KF18" i="4"/>
  <c r="LA18" i="4"/>
  <c r="LV18" i="4"/>
  <c r="CF18" i="4"/>
  <c r="DA18" i="4"/>
  <c r="DV18" i="4"/>
  <c r="EQ18" i="4"/>
  <c r="FL18" i="4"/>
  <c r="GG18" i="4"/>
  <c r="HB18" i="4"/>
  <c r="HW18" i="4"/>
  <c r="IR18" i="4"/>
  <c r="JM18" i="4"/>
  <c r="KH18" i="4"/>
  <c r="LC18" i="4"/>
  <c r="LX18" i="4"/>
  <c r="CG18" i="4"/>
  <c r="Q18" i="4"/>
  <c r="E18" i="4"/>
  <c r="J19" i="4"/>
  <c r="K19" i="4"/>
  <c r="L19" i="4"/>
  <c r="M19" i="4"/>
  <c r="N19" i="4"/>
  <c r="AM19" i="4"/>
  <c r="BH19" i="4"/>
  <c r="CC19" i="4"/>
  <c r="O19" i="4"/>
  <c r="P19" i="4"/>
  <c r="CX19" i="4"/>
  <c r="DS19" i="4"/>
  <c r="EN19" i="4"/>
  <c r="FI19" i="4"/>
  <c r="GD19" i="4"/>
  <c r="GY19" i="4"/>
  <c r="HT19" i="4"/>
  <c r="IO19" i="4"/>
  <c r="JJ19" i="4"/>
  <c r="KE19" i="4"/>
  <c r="KZ19" i="4"/>
  <c r="LU19" i="4"/>
  <c r="CE19" i="4"/>
  <c r="CY19" i="4"/>
  <c r="DT19" i="4"/>
  <c r="EO19" i="4"/>
  <c r="FJ19" i="4"/>
  <c r="GE19" i="4"/>
  <c r="GZ19" i="4"/>
  <c r="HU19" i="4"/>
  <c r="IP19" i="4"/>
  <c r="JK19" i="4"/>
  <c r="KF19" i="4"/>
  <c r="LA19" i="4"/>
  <c r="LV19" i="4"/>
  <c r="CF19" i="4"/>
  <c r="DA19" i="4"/>
  <c r="DV19" i="4"/>
  <c r="EQ19" i="4"/>
  <c r="FL19" i="4"/>
  <c r="GG19" i="4"/>
  <c r="HB19" i="4"/>
  <c r="HW19" i="4"/>
  <c r="IR19" i="4"/>
  <c r="JM19" i="4"/>
  <c r="KH19" i="4"/>
  <c r="LC19" i="4"/>
  <c r="LX19" i="4"/>
  <c r="CG19" i="4"/>
  <c r="Q19" i="4"/>
  <c r="E19" i="4"/>
  <c r="J20" i="4"/>
  <c r="K20" i="4"/>
  <c r="L20" i="4"/>
  <c r="M20" i="4"/>
  <c r="N20" i="4"/>
  <c r="AM20" i="4"/>
  <c r="BH20" i="4"/>
  <c r="CC20" i="4"/>
  <c r="O20" i="4"/>
  <c r="P20" i="4"/>
  <c r="CX20" i="4"/>
  <c r="DS20" i="4"/>
  <c r="EN20" i="4"/>
  <c r="FI20" i="4"/>
  <c r="GD20" i="4"/>
  <c r="GY20" i="4"/>
  <c r="HT20" i="4"/>
  <c r="IO20" i="4"/>
  <c r="JJ20" i="4"/>
  <c r="KE20" i="4"/>
  <c r="KZ20" i="4"/>
  <c r="LU20" i="4"/>
  <c r="CE20" i="4"/>
  <c r="CY20" i="4"/>
  <c r="DT20" i="4"/>
  <c r="EO20" i="4"/>
  <c r="FJ20" i="4"/>
  <c r="GE20" i="4"/>
  <c r="GZ20" i="4"/>
  <c r="HU20" i="4"/>
  <c r="IP20" i="4"/>
  <c r="JK20" i="4"/>
  <c r="KF20" i="4"/>
  <c r="LA20" i="4"/>
  <c r="LV20" i="4"/>
  <c r="CF20" i="4"/>
  <c r="DA20" i="4"/>
  <c r="DV20" i="4"/>
  <c r="EQ20" i="4"/>
  <c r="FL20" i="4"/>
  <c r="GG20" i="4"/>
  <c r="HB20" i="4"/>
  <c r="HW20" i="4"/>
  <c r="IR20" i="4"/>
  <c r="JM20" i="4"/>
  <c r="KH20" i="4"/>
  <c r="LC20" i="4"/>
  <c r="LX20" i="4"/>
  <c r="CG20" i="4"/>
  <c r="Q20" i="4"/>
  <c r="E20" i="4"/>
  <c r="DA5" i="10"/>
  <c r="DV5" i="10"/>
  <c r="EQ5" i="10"/>
  <c r="FL5" i="10"/>
  <c r="GG5" i="10"/>
  <c r="HB5" i="10"/>
  <c r="HW5" i="10"/>
  <c r="IR5" i="10"/>
  <c r="JM5" i="10"/>
  <c r="KH5" i="10"/>
  <c r="LC5" i="10"/>
  <c r="LX5" i="10"/>
  <c r="AM5" i="10"/>
  <c r="BH5" i="10"/>
  <c r="CC5" i="10"/>
  <c r="O5" i="10"/>
  <c r="CG5" i="10"/>
  <c r="DA6" i="10"/>
  <c r="DV6" i="10"/>
  <c r="EQ6" i="10"/>
  <c r="FL6" i="10"/>
  <c r="GG6" i="10"/>
  <c r="HB6" i="10"/>
  <c r="HW6" i="10"/>
  <c r="IR6" i="10"/>
  <c r="JM6" i="10"/>
  <c r="KH6" i="10"/>
  <c r="LC6" i="10"/>
  <c r="LX6" i="10"/>
  <c r="AM6" i="10"/>
  <c r="BH6" i="10"/>
  <c r="CC6" i="10"/>
  <c r="O6" i="10"/>
  <c r="CG6" i="10"/>
  <c r="DA4" i="10"/>
  <c r="DV4" i="10"/>
  <c r="EQ4" i="10"/>
  <c r="FL4" i="10"/>
  <c r="GG4" i="10"/>
  <c r="HB4" i="10"/>
  <c r="HW4" i="10"/>
  <c r="IR4" i="10"/>
  <c r="JM4" i="10"/>
  <c r="KH4" i="10"/>
  <c r="LC4" i="10"/>
  <c r="LX4" i="10"/>
  <c r="AM4" i="10"/>
  <c r="BH4" i="10"/>
  <c r="CC4" i="10"/>
  <c r="O4" i="10"/>
  <c r="CG4" i="10"/>
  <c r="DA4" i="9"/>
  <c r="DV4" i="9"/>
  <c r="EQ4" i="9"/>
  <c r="FL4" i="9"/>
  <c r="GG4" i="9"/>
  <c r="HB4" i="9"/>
  <c r="HW4" i="9"/>
  <c r="IR4" i="9"/>
  <c r="JM4" i="9"/>
  <c r="KH4" i="9"/>
  <c r="LC4" i="9"/>
  <c r="LX4" i="9"/>
  <c r="AM4" i="9"/>
  <c r="BH4" i="9"/>
  <c r="CC4" i="9"/>
  <c r="O4" i="9"/>
  <c r="CG4" i="9"/>
  <c r="CX5" i="9"/>
  <c r="DS5" i="9"/>
  <c r="EN5" i="9"/>
  <c r="FI5" i="9"/>
  <c r="GD5" i="9"/>
  <c r="GY5" i="9"/>
  <c r="HT5" i="9"/>
  <c r="IO5" i="9"/>
  <c r="JJ5" i="9"/>
  <c r="KE5" i="9"/>
  <c r="KZ5" i="9"/>
  <c r="LU5" i="9"/>
  <c r="K5" i="9"/>
  <c r="CE5" i="9"/>
  <c r="CY5" i="9"/>
  <c r="DT5" i="9"/>
  <c r="EO5" i="9"/>
  <c r="FJ5" i="9"/>
  <c r="GE5" i="9"/>
  <c r="GZ5" i="9"/>
  <c r="HU5" i="9"/>
  <c r="IP5" i="9"/>
  <c r="JK5" i="9"/>
  <c r="KF5" i="9"/>
  <c r="LA5" i="9"/>
  <c r="LV5" i="9"/>
  <c r="M5" i="9"/>
  <c r="CF5" i="9"/>
  <c r="DA5" i="9"/>
  <c r="DV5" i="9"/>
  <c r="EQ5" i="9"/>
  <c r="FL5" i="9"/>
  <c r="GG5" i="9"/>
  <c r="HB5" i="9"/>
  <c r="HW5" i="9"/>
  <c r="IR5" i="9"/>
  <c r="JM5" i="9"/>
  <c r="KH5" i="9"/>
  <c r="LC5" i="9"/>
  <c r="LX5" i="9"/>
  <c r="AM5" i="9"/>
  <c r="BH5" i="9"/>
  <c r="CC5" i="9"/>
  <c r="O5" i="9"/>
  <c r="CG5" i="9"/>
  <c r="CX6" i="9"/>
  <c r="DS6" i="9"/>
  <c r="EN6" i="9"/>
  <c r="FI6" i="9"/>
  <c r="GD6" i="9"/>
  <c r="GY6" i="9"/>
  <c r="HT6" i="9"/>
  <c r="IO6" i="9"/>
  <c r="JJ6" i="9"/>
  <c r="KE6" i="9"/>
  <c r="KZ6" i="9"/>
  <c r="LU6" i="9"/>
  <c r="K6" i="9"/>
  <c r="CE6" i="9"/>
  <c r="CY6" i="9"/>
  <c r="DT6" i="9"/>
  <c r="EO6" i="9"/>
  <c r="FJ6" i="9"/>
  <c r="GE6" i="9"/>
  <c r="GZ6" i="9"/>
  <c r="HU6" i="9"/>
  <c r="IP6" i="9"/>
  <c r="JK6" i="9"/>
  <c r="KF6" i="9"/>
  <c r="LA6" i="9"/>
  <c r="LV6" i="9"/>
  <c r="M6" i="9"/>
  <c r="CF6" i="9"/>
  <c r="DA6" i="9"/>
  <c r="DV6" i="9"/>
  <c r="EQ6" i="9"/>
  <c r="FL6" i="9"/>
  <c r="GG6" i="9"/>
  <c r="HB6" i="9"/>
  <c r="HW6" i="9"/>
  <c r="IR6" i="9"/>
  <c r="JM6" i="9"/>
  <c r="KH6" i="9"/>
  <c r="LC6" i="9"/>
  <c r="LX6" i="9"/>
  <c r="AM6" i="9"/>
  <c r="BH6" i="9"/>
  <c r="CC6" i="9"/>
  <c r="O6" i="9"/>
  <c r="CG6" i="9"/>
  <c r="CX7" i="9"/>
  <c r="DS7" i="9"/>
  <c r="EN7" i="9"/>
  <c r="FI7" i="9"/>
  <c r="GD7" i="9"/>
  <c r="GY7" i="9"/>
  <c r="HT7" i="9"/>
  <c r="IO7" i="9"/>
  <c r="JJ7" i="9"/>
  <c r="KE7" i="9"/>
  <c r="KZ7" i="9"/>
  <c r="LU7" i="9"/>
  <c r="K7" i="9"/>
  <c r="CE7" i="9"/>
  <c r="CY7" i="9"/>
  <c r="DT7" i="9"/>
  <c r="EO7" i="9"/>
  <c r="FJ7" i="9"/>
  <c r="GE7" i="9"/>
  <c r="GZ7" i="9"/>
  <c r="HU7" i="9"/>
  <c r="IP7" i="9"/>
  <c r="JK7" i="9"/>
  <c r="KF7" i="9"/>
  <c r="LA7" i="9"/>
  <c r="LV7" i="9"/>
  <c r="M7" i="9"/>
  <c r="CF7" i="9"/>
  <c r="DA7" i="9"/>
  <c r="DV7" i="9"/>
  <c r="EQ7" i="9"/>
  <c r="FL7" i="9"/>
  <c r="GG7" i="9"/>
  <c r="HB7" i="9"/>
  <c r="HW7" i="9"/>
  <c r="IR7" i="9"/>
  <c r="JM7" i="9"/>
  <c r="KH7" i="9"/>
  <c r="LC7" i="9"/>
  <c r="LX7" i="9"/>
  <c r="AM7" i="9"/>
  <c r="BH7" i="9"/>
  <c r="CC7" i="9"/>
  <c r="O7" i="9"/>
  <c r="CG7" i="9"/>
  <c r="CX8" i="9"/>
  <c r="DS8" i="9"/>
  <c r="EN8" i="9"/>
  <c r="FI8" i="9"/>
  <c r="GD8" i="9"/>
  <c r="GY8" i="9"/>
  <c r="HT8" i="9"/>
  <c r="IO8" i="9"/>
  <c r="JJ8" i="9"/>
  <c r="KE8" i="9"/>
  <c r="KZ8" i="9"/>
  <c r="LU8" i="9"/>
  <c r="K8" i="9"/>
  <c r="CE8" i="9"/>
  <c r="CY8" i="9"/>
  <c r="DT8" i="9"/>
  <c r="EO8" i="9"/>
  <c r="FJ8" i="9"/>
  <c r="GE8" i="9"/>
  <c r="GZ8" i="9"/>
  <c r="HU8" i="9"/>
  <c r="IP8" i="9"/>
  <c r="JK8" i="9"/>
  <c r="KF8" i="9"/>
  <c r="LA8" i="9"/>
  <c r="LV8" i="9"/>
  <c r="M8" i="9"/>
  <c r="CF8" i="9"/>
  <c r="DA8" i="9"/>
  <c r="DV8" i="9"/>
  <c r="EQ8" i="9"/>
  <c r="FL8" i="9"/>
  <c r="GG8" i="9"/>
  <c r="HB8" i="9"/>
  <c r="HW8" i="9"/>
  <c r="IR8" i="9"/>
  <c r="JM8" i="9"/>
  <c r="KH8" i="9"/>
  <c r="LC8" i="9"/>
  <c r="LX8" i="9"/>
  <c r="AM8" i="9"/>
  <c r="BH8" i="9"/>
  <c r="CC8" i="9"/>
  <c r="O8" i="9"/>
  <c r="CG8" i="9"/>
  <c r="CY4" i="9"/>
  <c r="DT4" i="9"/>
  <c r="EO4" i="9"/>
  <c r="FJ4" i="9"/>
  <c r="GE4" i="9"/>
  <c r="GZ4" i="9"/>
  <c r="HU4" i="9"/>
  <c r="IP4" i="9"/>
  <c r="JK4" i="9"/>
  <c r="KF4" i="9"/>
  <c r="LA4" i="9"/>
  <c r="LV4" i="9"/>
  <c r="M4" i="9"/>
  <c r="CF4" i="9"/>
  <c r="CX4" i="9"/>
  <c r="DS4" i="9"/>
  <c r="EN4" i="9"/>
  <c r="FI4" i="9"/>
  <c r="GD4" i="9"/>
  <c r="GY4" i="9"/>
  <c r="HT4" i="9"/>
  <c r="IO4" i="9"/>
  <c r="JJ4" i="9"/>
  <c r="KE4" i="9"/>
  <c r="KZ4" i="9"/>
  <c r="LU4" i="9"/>
  <c r="K4" i="9"/>
  <c r="CE4" i="9"/>
  <c r="CX6" i="2"/>
  <c r="DS6" i="2"/>
  <c r="EN6" i="2"/>
  <c r="FI6" i="2"/>
  <c r="GD6" i="2"/>
  <c r="GY6" i="2"/>
  <c r="HT6" i="2"/>
  <c r="IO6" i="2"/>
  <c r="JJ6" i="2"/>
  <c r="KE6" i="2"/>
  <c r="KZ6" i="2"/>
  <c r="LU6" i="2"/>
  <c r="K6" i="2"/>
  <c r="CE6" i="2"/>
  <c r="CY6" i="2"/>
  <c r="DT6" i="2"/>
  <c r="EO6" i="2"/>
  <c r="FJ6" i="2"/>
  <c r="GE6" i="2"/>
  <c r="GZ6" i="2"/>
  <c r="HU6" i="2"/>
  <c r="IP6" i="2"/>
  <c r="JK6" i="2"/>
  <c r="KF6" i="2"/>
  <c r="LA6" i="2"/>
  <c r="LV6" i="2"/>
  <c r="M6" i="2"/>
  <c r="CF6" i="2"/>
  <c r="DA6" i="2"/>
  <c r="DV6" i="2"/>
  <c r="EQ6" i="2"/>
  <c r="FL6" i="2"/>
  <c r="GG6" i="2"/>
  <c r="HB6" i="2"/>
  <c r="HW6" i="2"/>
  <c r="IR6" i="2"/>
  <c r="JM6" i="2"/>
  <c r="KH6" i="2"/>
  <c r="LC6" i="2"/>
  <c r="LX6" i="2"/>
  <c r="AM6" i="2"/>
  <c r="BH6" i="2"/>
  <c r="CC6" i="2"/>
  <c r="O6" i="2"/>
  <c r="CG6" i="2"/>
  <c r="CX5" i="2"/>
  <c r="DS5" i="2"/>
  <c r="EN5" i="2"/>
  <c r="FI5" i="2"/>
  <c r="GD5" i="2"/>
  <c r="GY5" i="2"/>
  <c r="HT5" i="2"/>
  <c r="IO5" i="2"/>
  <c r="JJ5" i="2"/>
  <c r="KE5" i="2"/>
  <c r="KZ5" i="2"/>
  <c r="LU5" i="2"/>
  <c r="K5" i="2"/>
  <c r="CE5" i="2"/>
  <c r="CY5" i="2"/>
  <c r="DT5" i="2"/>
  <c r="EO5" i="2"/>
  <c r="FJ5" i="2"/>
  <c r="GE5" i="2"/>
  <c r="GZ5" i="2"/>
  <c r="HU5" i="2"/>
  <c r="IP5" i="2"/>
  <c r="JK5" i="2"/>
  <c r="KF5" i="2"/>
  <c r="LA5" i="2"/>
  <c r="LV5" i="2"/>
  <c r="M5" i="2"/>
  <c r="CF5" i="2"/>
  <c r="DA5" i="2"/>
  <c r="DV5" i="2"/>
  <c r="EQ5" i="2"/>
  <c r="FL5" i="2"/>
  <c r="GG5" i="2"/>
  <c r="HB5" i="2"/>
  <c r="HW5" i="2"/>
  <c r="IR5" i="2"/>
  <c r="JM5" i="2"/>
  <c r="KH5" i="2"/>
  <c r="LC5" i="2"/>
  <c r="LX5" i="2"/>
  <c r="AM5" i="2"/>
  <c r="BH5" i="2"/>
  <c r="CC5" i="2"/>
  <c r="O5" i="2"/>
  <c r="CG5" i="2"/>
  <c r="CX7" i="2"/>
  <c r="DS7" i="2"/>
  <c r="EN7" i="2"/>
  <c r="FI7" i="2"/>
  <c r="GD7" i="2"/>
  <c r="GY7" i="2"/>
  <c r="HT7" i="2"/>
  <c r="IO7" i="2"/>
  <c r="JJ7" i="2"/>
  <c r="KE7" i="2"/>
  <c r="KZ7" i="2"/>
  <c r="LU7" i="2"/>
  <c r="K7" i="2"/>
  <c r="CE7" i="2"/>
  <c r="CY7" i="2"/>
  <c r="DT7" i="2"/>
  <c r="EO7" i="2"/>
  <c r="FJ7" i="2"/>
  <c r="GE7" i="2"/>
  <c r="GZ7" i="2"/>
  <c r="HU7" i="2"/>
  <c r="IP7" i="2"/>
  <c r="JK7" i="2"/>
  <c r="KF7" i="2"/>
  <c r="LA7" i="2"/>
  <c r="LV7" i="2"/>
  <c r="M7" i="2"/>
  <c r="CF7" i="2"/>
  <c r="DA7" i="2"/>
  <c r="DV7" i="2"/>
  <c r="EQ7" i="2"/>
  <c r="FL7" i="2"/>
  <c r="GG7" i="2"/>
  <c r="HB7" i="2"/>
  <c r="HW7" i="2"/>
  <c r="IR7" i="2"/>
  <c r="JM7" i="2"/>
  <c r="KH7" i="2"/>
  <c r="LC7" i="2"/>
  <c r="LX7" i="2"/>
  <c r="AM7" i="2"/>
  <c r="BH7" i="2"/>
  <c r="CC7" i="2"/>
  <c r="O7" i="2"/>
  <c r="CG7" i="2"/>
  <c r="CX8" i="2"/>
  <c r="DS8" i="2"/>
  <c r="EN8" i="2"/>
  <c r="FI8" i="2"/>
  <c r="GD8" i="2"/>
  <c r="GY8" i="2"/>
  <c r="HT8" i="2"/>
  <c r="IO8" i="2"/>
  <c r="JJ8" i="2"/>
  <c r="KE8" i="2"/>
  <c r="KZ8" i="2"/>
  <c r="LU8" i="2"/>
  <c r="K8" i="2"/>
  <c r="CE8" i="2"/>
  <c r="CY8" i="2"/>
  <c r="DT8" i="2"/>
  <c r="EO8" i="2"/>
  <c r="FJ8" i="2"/>
  <c r="GE8" i="2"/>
  <c r="GZ8" i="2"/>
  <c r="HU8" i="2"/>
  <c r="IP8" i="2"/>
  <c r="JK8" i="2"/>
  <c r="KF8" i="2"/>
  <c r="LA8" i="2"/>
  <c r="LV8" i="2"/>
  <c r="M8" i="2"/>
  <c r="CF8" i="2"/>
  <c r="DA8" i="2"/>
  <c r="DV8" i="2"/>
  <c r="EQ8" i="2"/>
  <c r="FL8" i="2"/>
  <c r="GG8" i="2"/>
  <c r="HB8" i="2"/>
  <c r="HW8" i="2"/>
  <c r="IR8" i="2"/>
  <c r="JM8" i="2"/>
  <c r="KH8" i="2"/>
  <c r="LC8" i="2"/>
  <c r="LX8" i="2"/>
  <c r="AM8" i="2"/>
  <c r="BH8" i="2"/>
  <c r="CC8" i="2"/>
  <c r="O8" i="2"/>
  <c r="CG8" i="2"/>
  <c r="CX9" i="2"/>
  <c r="DS9" i="2"/>
  <c r="EN9" i="2"/>
  <c r="FI9" i="2"/>
  <c r="GD9" i="2"/>
  <c r="GY9" i="2"/>
  <c r="HT9" i="2"/>
  <c r="IO9" i="2"/>
  <c r="JJ9" i="2"/>
  <c r="KE9" i="2"/>
  <c r="KZ9" i="2"/>
  <c r="LU9" i="2"/>
  <c r="K9" i="2"/>
  <c r="CE9" i="2"/>
  <c r="CY9" i="2"/>
  <c r="DT9" i="2"/>
  <c r="EO9" i="2"/>
  <c r="FJ9" i="2"/>
  <c r="GE9" i="2"/>
  <c r="GZ9" i="2"/>
  <c r="HU9" i="2"/>
  <c r="IP9" i="2"/>
  <c r="JK9" i="2"/>
  <c r="KF9" i="2"/>
  <c r="LA9" i="2"/>
  <c r="LV9" i="2"/>
  <c r="M9" i="2"/>
  <c r="CF9" i="2"/>
  <c r="DA9" i="2"/>
  <c r="DV9" i="2"/>
  <c r="EQ9" i="2"/>
  <c r="FL9" i="2"/>
  <c r="GG9" i="2"/>
  <c r="HB9" i="2"/>
  <c r="HW9" i="2"/>
  <c r="IR9" i="2"/>
  <c r="JM9" i="2"/>
  <c r="KH9" i="2"/>
  <c r="LC9" i="2"/>
  <c r="LX9" i="2"/>
  <c r="AM9" i="2"/>
  <c r="BH9" i="2"/>
  <c r="CC9" i="2"/>
  <c r="O9" i="2"/>
  <c r="CG9" i="2"/>
  <c r="CX10" i="2"/>
  <c r="DS10" i="2"/>
  <c r="EN10" i="2"/>
  <c r="FI10" i="2"/>
  <c r="GD10" i="2"/>
  <c r="GY10" i="2"/>
  <c r="HT10" i="2"/>
  <c r="IO10" i="2"/>
  <c r="JJ10" i="2"/>
  <c r="KE10" i="2"/>
  <c r="KZ10" i="2"/>
  <c r="LU10" i="2"/>
  <c r="K10" i="2"/>
  <c r="CE10" i="2"/>
  <c r="CY10" i="2"/>
  <c r="DT10" i="2"/>
  <c r="EO10" i="2"/>
  <c r="FJ10" i="2"/>
  <c r="GE10" i="2"/>
  <c r="GZ10" i="2"/>
  <c r="HU10" i="2"/>
  <c r="IP10" i="2"/>
  <c r="JK10" i="2"/>
  <c r="KF10" i="2"/>
  <c r="LA10" i="2"/>
  <c r="LV10" i="2"/>
  <c r="M10" i="2"/>
  <c r="CF10" i="2"/>
  <c r="DA10" i="2"/>
  <c r="DV10" i="2"/>
  <c r="EQ10" i="2"/>
  <c r="FL10" i="2"/>
  <c r="GG10" i="2"/>
  <c r="HB10" i="2"/>
  <c r="HW10" i="2"/>
  <c r="IR10" i="2"/>
  <c r="JM10" i="2"/>
  <c r="KH10" i="2"/>
  <c r="LC10" i="2"/>
  <c r="LX10" i="2"/>
  <c r="AM10" i="2"/>
  <c r="BH10" i="2"/>
  <c r="CC10" i="2"/>
  <c r="O10" i="2"/>
  <c r="CG10" i="2"/>
  <c r="CX11" i="2"/>
  <c r="DS11" i="2"/>
  <c r="EN11" i="2"/>
  <c r="FI11" i="2"/>
  <c r="GD11" i="2"/>
  <c r="GY11" i="2"/>
  <c r="HT11" i="2"/>
  <c r="IO11" i="2"/>
  <c r="JJ11" i="2"/>
  <c r="KE11" i="2"/>
  <c r="KZ11" i="2"/>
  <c r="LU11" i="2"/>
  <c r="K11" i="2"/>
  <c r="CE11" i="2"/>
  <c r="CY11" i="2"/>
  <c r="DT11" i="2"/>
  <c r="EO11" i="2"/>
  <c r="FJ11" i="2"/>
  <c r="GE11" i="2"/>
  <c r="GZ11" i="2"/>
  <c r="HU11" i="2"/>
  <c r="IP11" i="2"/>
  <c r="JK11" i="2"/>
  <c r="KF11" i="2"/>
  <c r="LA11" i="2"/>
  <c r="LV11" i="2"/>
  <c r="M11" i="2"/>
  <c r="CF11" i="2"/>
  <c r="DA11" i="2"/>
  <c r="DV11" i="2"/>
  <c r="EQ11" i="2"/>
  <c r="FL11" i="2"/>
  <c r="GG11" i="2"/>
  <c r="HB11" i="2"/>
  <c r="HW11" i="2"/>
  <c r="IR11" i="2"/>
  <c r="JM11" i="2"/>
  <c r="KH11" i="2"/>
  <c r="LC11" i="2"/>
  <c r="LX11" i="2"/>
  <c r="AM11" i="2"/>
  <c r="BH11" i="2"/>
  <c r="CC11" i="2"/>
  <c r="O11" i="2"/>
  <c r="CG11" i="2"/>
  <c r="CX12" i="2"/>
  <c r="DS12" i="2"/>
  <c r="EN12" i="2"/>
  <c r="FI12" i="2"/>
  <c r="GD12" i="2"/>
  <c r="GY12" i="2"/>
  <c r="HT12" i="2"/>
  <c r="IO12" i="2"/>
  <c r="JJ12" i="2"/>
  <c r="KE12" i="2"/>
  <c r="KZ12" i="2"/>
  <c r="LU12" i="2"/>
  <c r="K12" i="2"/>
  <c r="CE12" i="2"/>
  <c r="CY12" i="2"/>
  <c r="DT12" i="2"/>
  <c r="EO12" i="2"/>
  <c r="FJ12" i="2"/>
  <c r="GE12" i="2"/>
  <c r="GZ12" i="2"/>
  <c r="HU12" i="2"/>
  <c r="IP12" i="2"/>
  <c r="JK12" i="2"/>
  <c r="KF12" i="2"/>
  <c r="LA12" i="2"/>
  <c r="LV12" i="2"/>
  <c r="M12" i="2"/>
  <c r="CF12" i="2"/>
  <c r="DA12" i="2"/>
  <c r="DV12" i="2"/>
  <c r="EQ12" i="2"/>
  <c r="FL12" i="2"/>
  <c r="GG12" i="2"/>
  <c r="HB12" i="2"/>
  <c r="HW12" i="2"/>
  <c r="IR12" i="2"/>
  <c r="JM12" i="2"/>
  <c r="KH12" i="2"/>
  <c r="LC12" i="2"/>
  <c r="LX12" i="2"/>
  <c r="AM12" i="2"/>
  <c r="BH12" i="2"/>
  <c r="CC12" i="2"/>
  <c r="O12" i="2"/>
  <c r="CG12" i="2"/>
  <c r="CX13" i="2"/>
  <c r="DS13" i="2"/>
  <c r="EN13" i="2"/>
  <c r="FI13" i="2"/>
  <c r="GD13" i="2"/>
  <c r="GY13" i="2"/>
  <c r="HT13" i="2"/>
  <c r="IO13" i="2"/>
  <c r="JJ13" i="2"/>
  <c r="KE13" i="2"/>
  <c r="KZ13" i="2"/>
  <c r="LU13" i="2"/>
  <c r="K13" i="2"/>
  <c r="CE13" i="2"/>
  <c r="CY13" i="2"/>
  <c r="DT13" i="2"/>
  <c r="EO13" i="2"/>
  <c r="FJ13" i="2"/>
  <c r="GE13" i="2"/>
  <c r="GZ13" i="2"/>
  <c r="HU13" i="2"/>
  <c r="IP13" i="2"/>
  <c r="JK13" i="2"/>
  <c r="KF13" i="2"/>
  <c r="LA13" i="2"/>
  <c r="LV13" i="2"/>
  <c r="M13" i="2"/>
  <c r="CF13" i="2"/>
  <c r="DA13" i="2"/>
  <c r="DV13" i="2"/>
  <c r="EQ13" i="2"/>
  <c r="FL13" i="2"/>
  <c r="GG13" i="2"/>
  <c r="HB13" i="2"/>
  <c r="HW13" i="2"/>
  <c r="IR13" i="2"/>
  <c r="JM13" i="2"/>
  <c r="KH13" i="2"/>
  <c r="LC13" i="2"/>
  <c r="LX13" i="2"/>
  <c r="AM13" i="2"/>
  <c r="BH13" i="2"/>
  <c r="CC13" i="2"/>
  <c r="O13" i="2"/>
  <c r="CG13" i="2"/>
  <c r="DA4" i="2"/>
  <c r="DV4" i="2"/>
  <c r="EQ4" i="2"/>
  <c r="FL4" i="2"/>
  <c r="GG4" i="2"/>
  <c r="HB4" i="2"/>
  <c r="HW4" i="2"/>
  <c r="IR4" i="2"/>
  <c r="JM4" i="2"/>
  <c r="KH4" i="2"/>
  <c r="LC4" i="2"/>
  <c r="LX4" i="2"/>
  <c r="AM4" i="2"/>
  <c r="BH4" i="2"/>
  <c r="CC4" i="2"/>
  <c r="O4" i="2"/>
  <c r="CG4" i="2"/>
  <c r="CY4" i="2"/>
  <c r="DT4" i="2"/>
  <c r="EO4" i="2"/>
  <c r="FJ4" i="2"/>
  <c r="GE4" i="2"/>
  <c r="GZ4" i="2"/>
  <c r="HU4" i="2"/>
  <c r="IP4" i="2"/>
  <c r="JK4" i="2"/>
  <c r="KF4" i="2"/>
  <c r="LA4" i="2"/>
  <c r="LV4" i="2"/>
  <c r="M4" i="2"/>
  <c r="CF4" i="2"/>
  <c r="CX4" i="2"/>
  <c r="DS4" i="2"/>
  <c r="EN4" i="2"/>
  <c r="FI4" i="2"/>
  <c r="GD4" i="2"/>
  <c r="GY4" i="2"/>
  <c r="HT4" i="2"/>
  <c r="IO4" i="2"/>
  <c r="JJ4" i="2"/>
  <c r="KE4" i="2"/>
  <c r="KZ4" i="2"/>
  <c r="LU4" i="2"/>
  <c r="K4" i="2"/>
  <c r="CE4" i="2"/>
  <c r="CX5" i="10"/>
  <c r="DS5" i="10"/>
  <c r="EN5" i="10"/>
  <c r="FI5" i="10"/>
  <c r="GD5" i="10"/>
  <c r="GY5" i="10"/>
  <c r="HT5" i="10"/>
  <c r="IO5" i="10"/>
  <c r="JJ5" i="10"/>
  <c r="KE5" i="10"/>
  <c r="KZ5" i="10"/>
  <c r="LU5" i="10"/>
  <c r="K5" i="10"/>
  <c r="CE5" i="10"/>
  <c r="CY5" i="10"/>
  <c r="DT5" i="10"/>
  <c r="EO5" i="10"/>
  <c r="FJ5" i="10"/>
  <c r="GE5" i="10"/>
  <c r="GZ5" i="10"/>
  <c r="HU5" i="10"/>
  <c r="IP5" i="10"/>
  <c r="JK5" i="10"/>
  <c r="KF5" i="10"/>
  <c r="LA5" i="10"/>
  <c r="LV5" i="10"/>
  <c r="M5" i="10"/>
  <c r="CF5" i="10"/>
  <c r="CX6" i="10"/>
  <c r="DS6" i="10"/>
  <c r="EN6" i="10"/>
  <c r="FI6" i="10"/>
  <c r="GD6" i="10"/>
  <c r="GY6" i="10"/>
  <c r="HT6" i="10"/>
  <c r="IO6" i="10"/>
  <c r="JJ6" i="10"/>
  <c r="KE6" i="10"/>
  <c r="KZ6" i="10"/>
  <c r="LU6" i="10"/>
  <c r="K6" i="10"/>
  <c r="CE6" i="10"/>
  <c r="CY6" i="10"/>
  <c r="DT6" i="10"/>
  <c r="EO6" i="10"/>
  <c r="FJ6" i="10"/>
  <c r="GE6" i="10"/>
  <c r="GZ6" i="10"/>
  <c r="HU6" i="10"/>
  <c r="IP6" i="10"/>
  <c r="JK6" i="10"/>
  <c r="KF6" i="10"/>
  <c r="LA6" i="10"/>
  <c r="LV6" i="10"/>
  <c r="M6" i="10"/>
  <c r="CF6" i="10"/>
  <c r="CY4" i="10"/>
  <c r="DT4" i="10"/>
  <c r="EO4" i="10"/>
  <c r="FJ4" i="10"/>
  <c r="GE4" i="10"/>
  <c r="GZ4" i="10"/>
  <c r="HU4" i="10"/>
  <c r="IP4" i="10"/>
  <c r="JK4" i="10"/>
  <c r="KF4" i="10"/>
  <c r="LA4" i="10"/>
  <c r="LV4" i="10"/>
  <c r="M4" i="10"/>
  <c r="CF4" i="10"/>
  <c r="CX4" i="10"/>
  <c r="DS4" i="10"/>
  <c r="EN4" i="10"/>
  <c r="FI4" i="10"/>
  <c r="GD4" i="10"/>
  <c r="GY4" i="10"/>
  <c r="HT4" i="10"/>
  <c r="IO4" i="10"/>
  <c r="JJ4" i="10"/>
  <c r="KE4" i="10"/>
  <c r="KZ4" i="10"/>
  <c r="LU4" i="10"/>
  <c r="K4" i="10"/>
  <c r="CE4" i="10"/>
  <c r="DF5" i="7"/>
  <c r="EC5" i="7"/>
  <c r="EZ5" i="7"/>
  <c r="FW5" i="7"/>
  <c r="GT5" i="7"/>
  <c r="HQ5" i="7"/>
  <c r="IN5" i="7"/>
  <c r="JK5" i="7"/>
  <c r="KH5" i="7"/>
  <c r="LE5" i="7"/>
  <c r="MB5" i="7"/>
  <c r="MY5" i="7"/>
  <c r="K5" i="7"/>
  <c r="CK5" i="7"/>
  <c r="DG5" i="7"/>
  <c r="ED5" i="7"/>
  <c r="FA5" i="7"/>
  <c r="FX5" i="7"/>
  <c r="GU5" i="7"/>
  <c r="HR5" i="7"/>
  <c r="IO5" i="7"/>
  <c r="JL5" i="7"/>
  <c r="KI5" i="7"/>
  <c r="LF5" i="7"/>
  <c r="MC5" i="7"/>
  <c r="MZ5" i="7"/>
  <c r="M5" i="7"/>
  <c r="CL5" i="7"/>
  <c r="DI5" i="7"/>
  <c r="EF5" i="7"/>
  <c r="FC5" i="7"/>
  <c r="FZ5" i="7"/>
  <c r="GW5" i="7"/>
  <c r="HT5" i="7"/>
  <c r="IQ5" i="7"/>
  <c r="JN5" i="7"/>
  <c r="KK5" i="7"/>
  <c r="LH5" i="7"/>
  <c r="ME5" i="7"/>
  <c r="NB5" i="7"/>
  <c r="AO5" i="7"/>
  <c r="BL5" i="7"/>
  <c r="CI5" i="7"/>
  <c r="O5" i="7"/>
  <c r="CM5" i="7"/>
  <c r="DF6" i="7"/>
  <c r="EC6" i="7"/>
  <c r="EZ6" i="7"/>
  <c r="FW6" i="7"/>
  <c r="GT6" i="7"/>
  <c r="HQ6" i="7"/>
  <c r="IN6" i="7"/>
  <c r="JK6" i="7"/>
  <c r="KH6" i="7"/>
  <c r="LE6" i="7"/>
  <c r="MB6" i="7"/>
  <c r="MY6" i="7"/>
  <c r="K6" i="7"/>
  <c r="CK6" i="7"/>
  <c r="DG6" i="7"/>
  <c r="ED6" i="7"/>
  <c r="FA6" i="7"/>
  <c r="FX6" i="7"/>
  <c r="GU6" i="7"/>
  <c r="HR6" i="7"/>
  <c r="IO6" i="7"/>
  <c r="JL6" i="7"/>
  <c r="KI6" i="7"/>
  <c r="LF6" i="7"/>
  <c r="MC6" i="7"/>
  <c r="MZ6" i="7"/>
  <c r="M6" i="7"/>
  <c r="CL6" i="7"/>
  <c r="DI6" i="7"/>
  <c r="EF6" i="7"/>
  <c r="FC6" i="7"/>
  <c r="FZ6" i="7"/>
  <c r="GW6" i="7"/>
  <c r="HT6" i="7"/>
  <c r="IQ6" i="7"/>
  <c r="JN6" i="7"/>
  <c r="KK6" i="7"/>
  <c r="LH6" i="7"/>
  <c r="ME6" i="7"/>
  <c r="NB6" i="7"/>
  <c r="AO6" i="7"/>
  <c r="BL6" i="7"/>
  <c r="CI6" i="7"/>
  <c r="O6" i="7"/>
  <c r="CM6" i="7"/>
  <c r="DF7" i="7"/>
  <c r="EC7" i="7"/>
  <c r="EZ7" i="7"/>
  <c r="FW7" i="7"/>
  <c r="GT7" i="7"/>
  <c r="HQ7" i="7"/>
  <c r="IN7" i="7"/>
  <c r="JK7" i="7"/>
  <c r="KH7" i="7"/>
  <c r="LE7" i="7"/>
  <c r="MB7" i="7"/>
  <c r="MY7" i="7"/>
  <c r="K7" i="7"/>
  <c r="CK7" i="7"/>
  <c r="DG7" i="7"/>
  <c r="ED7" i="7"/>
  <c r="FA7" i="7"/>
  <c r="FX7" i="7"/>
  <c r="GU7" i="7"/>
  <c r="HR7" i="7"/>
  <c r="IO7" i="7"/>
  <c r="JL7" i="7"/>
  <c r="KI7" i="7"/>
  <c r="LF7" i="7"/>
  <c r="MC7" i="7"/>
  <c r="MZ7" i="7"/>
  <c r="M7" i="7"/>
  <c r="CL7" i="7"/>
  <c r="DI7" i="7"/>
  <c r="EF7" i="7"/>
  <c r="FC7" i="7"/>
  <c r="FZ7" i="7"/>
  <c r="GW7" i="7"/>
  <c r="HT7" i="7"/>
  <c r="IQ7" i="7"/>
  <c r="JN7" i="7"/>
  <c r="KK7" i="7"/>
  <c r="LH7" i="7"/>
  <c r="ME7" i="7"/>
  <c r="NB7" i="7"/>
  <c r="AO7" i="7"/>
  <c r="BL7" i="7"/>
  <c r="CI7" i="7"/>
  <c r="O7" i="7"/>
  <c r="CM7" i="7"/>
  <c r="DF8" i="7"/>
  <c r="EC8" i="7"/>
  <c r="EZ8" i="7"/>
  <c r="FW8" i="7"/>
  <c r="GT8" i="7"/>
  <c r="HQ8" i="7"/>
  <c r="IN8" i="7"/>
  <c r="JK8" i="7"/>
  <c r="KH8" i="7"/>
  <c r="LE8" i="7"/>
  <c r="MB8" i="7"/>
  <c r="MY8" i="7"/>
  <c r="K8" i="7"/>
  <c r="CK8" i="7"/>
  <c r="DG8" i="7"/>
  <c r="ED8" i="7"/>
  <c r="FA8" i="7"/>
  <c r="FX8" i="7"/>
  <c r="GU8" i="7"/>
  <c r="HR8" i="7"/>
  <c r="IO8" i="7"/>
  <c r="JL8" i="7"/>
  <c r="KI8" i="7"/>
  <c r="LF8" i="7"/>
  <c r="MC8" i="7"/>
  <c r="MZ8" i="7"/>
  <c r="M8" i="7"/>
  <c r="CL8" i="7"/>
  <c r="DI8" i="7"/>
  <c r="EF8" i="7"/>
  <c r="FC8" i="7"/>
  <c r="FZ8" i="7"/>
  <c r="GW8" i="7"/>
  <c r="HT8" i="7"/>
  <c r="IQ8" i="7"/>
  <c r="JN8" i="7"/>
  <c r="KK8" i="7"/>
  <c r="LH8" i="7"/>
  <c r="ME8" i="7"/>
  <c r="NB8" i="7"/>
  <c r="AO8" i="7"/>
  <c r="BL8" i="7"/>
  <c r="CI8" i="7"/>
  <c r="O8" i="7"/>
  <c r="CM8" i="7"/>
  <c r="DI4" i="7"/>
  <c r="EF4" i="7"/>
  <c r="FC4" i="7"/>
  <c r="FZ4" i="7"/>
  <c r="GW4" i="7"/>
  <c r="HT4" i="7"/>
  <c r="IQ4" i="7"/>
  <c r="JN4" i="7"/>
  <c r="KK4" i="7"/>
  <c r="LH4" i="7"/>
  <c r="ME4" i="7"/>
  <c r="NB4" i="7"/>
  <c r="AO4" i="7"/>
  <c r="BL4" i="7"/>
  <c r="CI4" i="7"/>
  <c r="O4" i="7"/>
  <c r="CM4" i="7"/>
  <c r="DG4" i="7"/>
  <c r="ED4" i="7"/>
  <c r="FA4" i="7"/>
  <c r="FX4" i="7"/>
  <c r="GU4" i="7"/>
  <c r="HR4" i="7"/>
  <c r="IO4" i="7"/>
  <c r="JL4" i="7"/>
  <c r="KI4" i="7"/>
  <c r="LF4" i="7"/>
  <c r="MC4" i="7"/>
  <c r="MZ4" i="7"/>
  <c r="M4" i="7"/>
  <c r="CL4" i="7"/>
  <c r="DF4" i="7"/>
  <c r="EC4" i="7"/>
  <c r="EZ4" i="7"/>
  <c r="FW4" i="7"/>
  <c r="GT4" i="7"/>
  <c r="HQ4" i="7"/>
  <c r="IN4" i="7"/>
  <c r="JK4" i="7"/>
  <c r="KH4" i="7"/>
  <c r="LE4" i="7"/>
  <c r="MB4" i="7"/>
  <c r="MY4" i="7"/>
  <c r="K4" i="7"/>
  <c r="CK4" i="7"/>
  <c r="DF5" i="8"/>
  <c r="EC5" i="8"/>
  <c r="EZ5" i="8"/>
  <c r="FW5" i="8"/>
  <c r="GT5" i="8"/>
  <c r="HQ5" i="8"/>
  <c r="IN5" i="8"/>
  <c r="JK5" i="8"/>
  <c r="KH5" i="8"/>
  <c r="LE5" i="8"/>
  <c r="MB5" i="8"/>
  <c r="MY5" i="8"/>
  <c r="K5" i="8"/>
  <c r="CK5" i="8"/>
  <c r="DG5" i="8"/>
  <c r="ED5" i="8"/>
  <c r="FA5" i="8"/>
  <c r="FX5" i="8"/>
  <c r="GU5" i="8"/>
  <c r="HR5" i="8"/>
  <c r="IO5" i="8"/>
  <c r="JL5" i="8"/>
  <c r="KI5" i="8"/>
  <c r="LF5" i="8"/>
  <c r="MC5" i="8"/>
  <c r="MZ5" i="8"/>
  <c r="M5" i="8"/>
  <c r="CL5" i="8"/>
  <c r="DI5" i="8"/>
  <c r="EF5" i="8"/>
  <c r="FC5" i="8"/>
  <c r="FZ5" i="8"/>
  <c r="GW5" i="8"/>
  <c r="HT5" i="8"/>
  <c r="IQ5" i="8"/>
  <c r="JN5" i="8"/>
  <c r="KK5" i="8"/>
  <c r="LH5" i="8"/>
  <c r="ME5" i="8"/>
  <c r="NB5" i="8"/>
  <c r="AO5" i="8"/>
  <c r="BL5" i="8"/>
  <c r="CI5" i="8"/>
  <c r="O5" i="8"/>
  <c r="CM5" i="8"/>
  <c r="DF6" i="8"/>
  <c r="EC6" i="8"/>
  <c r="EZ6" i="8"/>
  <c r="FW6" i="8"/>
  <c r="GT6" i="8"/>
  <c r="HQ6" i="8"/>
  <c r="IN6" i="8"/>
  <c r="JK6" i="8"/>
  <c r="KH6" i="8"/>
  <c r="LE6" i="8"/>
  <c r="MB6" i="8"/>
  <c r="MY6" i="8"/>
  <c r="K6" i="8"/>
  <c r="CK6" i="8"/>
  <c r="DG6" i="8"/>
  <c r="ED6" i="8"/>
  <c r="FA6" i="8"/>
  <c r="FX6" i="8"/>
  <c r="GU6" i="8"/>
  <c r="HR6" i="8"/>
  <c r="IO6" i="8"/>
  <c r="JL6" i="8"/>
  <c r="KI6" i="8"/>
  <c r="LF6" i="8"/>
  <c r="MC6" i="8"/>
  <c r="MZ6" i="8"/>
  <c r="M6" i="8"/>
  <c r="CL6" i="8"/>
  <c r="DI6" i="8"/>
  <c r="EF6" i="8"/>
  <c r="FC6" i="8"/>
  <c r="FZ6" i="8"/>
  <c r="GW6" i="8"/>
  <c r="HT6" i="8"/>
  <c r="IQ6" i="8"/>
  <c r="JN6" i="8"/>
  <c r="KK6" i="8"/>
  <c r="LH6" i="8"/>
  <c r="ME6" i="8"/>
  <c r="NB6" i="8"/>
  <c r="AO6" i="8"/>
  <c r="BL6" i="8"/>
  <c r="CI6" i="8"/>
  <c r="O6" i="8"/>
  <c r="CM6" i="8"/>
  <c r="DF7" i="8"/>
  <c r="EC7" i="8"/>
  <c r="EZ7" i="8"/>
  <c r="FW7" i="8"/>
  <c r="GT7" i="8"/>
  <c r="HQ7" i="8"/>
  <c r="IN7" i="8"/>
  <c r="JK7" i="8"/>
  <c r="KH7" i="8"/>
  <c r="LE7" i="8"/>
  <c r="MB7" i="8"/>
  <c r="MY7" i="8"/>
  <c r="K7" i="8"/>
  <c r="CK7" i="8"/>
  <c r="DG7" i="8"/>
  <c r="ED7" i="8"/>
  <c r="FA7" i="8"/>
  <c r="FX7" i="8"/>
  <c r="GU7" i="8"/>
  <c r="HR7" i="8"/>
  <c r="IO7" i="8"/>
  <c r="JL7" i="8"/>
  <c r="KI7" i="8"/>
  <c r="LF7" i="8"/>
  <c r="MC7" i="8"/>
  <c r="MZ7" i="8"/>
  <c r="M7" i="8"/>
  <c r="CL7" i="8"/>
  <c r="DI7" i="8"/>
  <c r="EF7" i="8"/>
  <c r="FC7" i="8"/>
  <c r="FZ7" i="8"/>
  <c r="GW7" i="8"/>
  <c r="HT7" i="8"/>
  <c r="IQ7" i="8"/>
  <c r="JN7" i="8"/>
  <c r="KK7" i="8"/>
  <c r="LH7" i="8"/>
  <c r="ME7" i="8"/>
  <c r="NB7" i="8"/>
  <c r="AO7" i="8"/>
  <c r="BL7" i="8"/>
  <c r="CI7" i="8"/>
  <c r="O7" i="8"/>
  <c r="CM7" i="8"/>
  <c r="DI4" i="8"/>
  <c r="EF4" i="8"/>
  <c r="FC4" i="8"/>
  <c r="FZ4" i="8"/>
  <c r="GW4" i="8"/>
  <c r="HT4" i="8"/>
  <c r="IQ4" i="8"/>
  <c r="JN4" i="8"/>
  <c r="KK4" i="8"/>
  <c r="LH4" i="8"/>
  <c r="ME4" i="8"/>
  <c r="NB4" i="8"/>
  <c r="AO4" i="8"/>
  <c r="BL4" i="8"/>
  <c r="CI4" i="8"/>
  <c r="O4" i="8"/>
  <c r="CM4" i="8"/>
  <c r="DG4" i="8"/>
  <c r="ED4" i="8"/>
  <c r="FA4" i="8"/>
  <c r="FX4" i="8"/>
  <c r="GU4" i="8"/>
  <c r="HR4" i="8"/>
  <c r="IO4" i="8"/>
  <c r="JL4" i="8"/>
  <c r="KI4" i="8"/>
  <c r="LF4" i="8"/>
  <c r="MC4" i="8"/>
  <c r="MZ4" i="8"/>
  <c r="M4" i="8"/>
  <c r="CL4" i="8"/>
  <c r="DF4" i="8"/>
  <c r="EC4" i="8"/>
  <c r="EZ4" i="8"/>
  <c r="FW4" i="8"/>
  <c r="GT4" i="8"/>
  <c r="HQ4" i="8"/>
  <c r="IN4" i="8"/>
  <c r="JK4" i="8"/>
  <c r="KH4" i="8"/>
  <c r="LE4" i="8"/>
  <c r="MB4" i="8"/>
  <c r="MY4" i="8"/>
  <c r="K4" i="8"/>
  <c r="CK4" i="8"/>
  <c r="EI5" i="6"/>
  <c r="FM5" i="6"/>
  <c r="GQ5" i="6"/>
  <c r="HU5" i="6"/>
  <c r="IY5" i="6"/>
  <c r="KC5" i="6"/>
  <c r="LG5" i="6"/>
  <c r="MK5" i="6"/>
  <c r="NO5" i="6"/>
  <c r="OS5" i="6"/>
  <c r="PW5" i="6"/>
  <c r="RA5" i="6"/>
  <c r="AT5" i="6"/>
  <c r="BX5" i="6"/>
  <c r="K5" i="6"/>
  <c r="DF5" i="6"/>
  <c r="EJ5" i="6"/>
  <c r="FN5" i="6"/>
  <c r="GR5" i="6"/>
  <c r="HV5" i="6"/>
  <c r="IZ5" i="6"/>
  <c r="KD5" i="6"/>
  <c r="LH5" i="6"/>
  <c r="ML5" i="6"/>
  <c r="NP5" i="6"/>
  <c r="OT5" i="6"/>
  <c r="PX5" i="6"/>
  <c r="RB5" i="6"/>
  <c r="AU5" i="6"/>
  <c r="BY5" i="6"/>
  <c r="M5" i="6"/>
  <c r="DG5" i="6"/>
  <c r="EK5" i="6"/>
  <c r="FO5" i="6"/>
  <c r="GS5" i="6"/>
  <c r="HW5" i="6"/>
  <c r="JA5" i="6"/>
  <c r="KE5" i="6"/>
  <c r="LI5" i="6"/>
  <c r="MM5" i="6"/>
  <c r="OU5" i="6"/>
  <c r="PY5" i="6"/>
  <c r="RC5" i="6"/>
  <c r="AV5" i="6"/>
  <c r="BZ5" i="6"/>
  <c r="DD5" i="6"/>
  <c r="O5" i="6"/>
  <c r="DH5" i="6"/>
  <c r="EI6" i="6"/>
  <c r="FM6" i="6"/>
  <c r="GQ6" i="6"/>
  <c r="HU6" i="6"/>
  <c r="IY6" i="6"/>
  <c r="KC6" i="6"/>
  <c r="LG6" i="6"/>
  <c r="MK6" i="6"/>
  <c r="NO6" i="6"/>
  <c r="OS6" i="6"/>
  <c r="PW6" i="6"/>
  <c r="RA6" i="6"/>
  <c r="AT6" i="6"/>
  <c r="DB6" i="6"/>
  <c r="K6" i="6"/>
  <c r="DF6" i="6"/>
  <c r="EJ6" i="6"/>
  <c r="FN6" i="6"/>
  <c r="GR6" i="6"/>
  <c r="HV6" i="6"/>
  <c r="IZ6" i="6"/>
  <c r="KD6" i="6"/>
  <c r="LH6" i="6"/>
  <c r="ML6" i="6"/>
  <c r="NP6" i="6"/>
  <c r="OT6" i="6"/>
  <c r="PX6" i="6"/>
  <c r="RB6" i="6"/>
  <c r="AU6" i="6"/>
  <c r="DC6" i="6"/>
  <c r="M6" i="6"/>
  <c r="DG6" i="6"/>
  <c r="EK6" i="6"/>
  <c r="FO6" i="6"/>
  <c r="GS6" i="6"/>
  <c r="HW6" i="6"/>
  <c r="JA6" i="6"/>
  <c r="KE6" i="6"/>
  <c r="LI6" i="6"/>
  <c r="MM6" i="6"/>
  <c r="OU6" i="6"/>
  <c r="PY6" i="6"/>
  <c r="RC6" i="6"/>
  <c r="AV6" i="6"/>
  <c r="BZ6" i="6"/>
  <c r="DD6" i="6"/>
  <c r="O6" i="6"/>
  <c r="DH6" i="6"/>
  <c r="EI7" i="6"/>
  <c r="FM7" i="6"/>
  <c r="GQ7" i="6"/>
  <c r="HU7" i="6"/>
  <c r="IY7" i="6"/>
  <c r="KC7" i="6"/>
  <c r="LG7" i="6"/>
  <c r="MK7" i="6"/>
  <c r="NO7" i="6"/>
  <c r="OS7" i="6"/>
  <c r="PW7" i="6"/>
  <c r="RA7" i="6"/>
  <c r="AT7" i="6"/>
  <c r="DB7" i="6"/>
  <c r="K7" i="6"/>
  <c r="DF7" i="6"/>
  <c r="EJ7" i="6"/>
  <c r="FN7" i="6"/>
  <c r="GR7" i="6"/>
  <c r="HV7" i="6"/>
  <c r="IZ7" i="6"/>
  <c r="KD7" i="6"/>
  <c r="LH7" i="6"/>
  <c r="ML7" i="6"/>
  <c r="NP7" i="6"/>
  <c r="OT7" i="6"/>
  <c r="PX7" i="6"/>
  <c r="RB7" i="6"/>
  <c r="AU7" i="6"/>
  <c r="DC7" i="6"/>
  <c r="M7" i="6"/>
  <c r="DG7" i="6"/>
  <c r="EK7" i="6"/>
  <c r="FO7" i="6"/>
  <c r="GS7" i="6"/>
  <c r="HW7" i="6"/>
  <c r="JA7" i="6"/>
  <c r="KE7" i="6"/>
  <c r="LI7" i="6"/>
  <c r="MM7" i="6"/>
  <c r="OU7" i="6"/>
  <c r="PY7" i="6"/>
  <c r="RC7" i="6"/>
  <c r="AV7" i="6"/>
  <c r="BZ7" i="6"/>
  <c r="DD7" i="6"/>
  <c r="O7" i="6"/>
  <c r="DH7" i="6"/>
  <c r="EI8" i="6"/>
  <c r="FM8" i="6"/>
  <c r="GQ8" i="6"/>
  <c r="HU8" i="6"/>
  <c r="IY8" i="6"/>
  <c r="KC8" i="6"/>
  <c r="LG8" i="6"/>
  <c r="MK8" i="6"/>
  <c r="NO8" i="6"/>
  <c r="OS8" i="6"/>
  <c r="PW8" i="6"/>
  <c r="RA8" i="6"/>
  <c r="AT8" i="6"/>
  <c r="DB8" i="6"/>
  <c r="K8" i="6"/>
  <c r="DF8" i="6"/>
  <c r="EJ8" i="6"/>
  <c r="FN8" i="6"/>
  <c r="GR8" i="6"/>
  <c r="HV8" i="6"/>
  <c r="IZ8" i="6"/>
  <c r="KD8" i="6"/>
  <c r="LH8" i="6"/>
  <c r="ML8" i="6"/>
  <c r="NP8" i="6"/>
  <c r="OT8" i="6"/>
  <c r="PX8" i="6"/>
  <c r="RB8" i="6"/>
  <c r="AU8" i="6"/>
  <c r="DC8" i="6"/>
  <c r="M8" i="6"/>
  <c r="DG8" i="6"/>
  <c r="EK8" i="6"/>
  <c r="FO8" i="6"/>
  <c r="GS8" i="6"/>
  <c r="HW8" i="6"/>
  <c r="JA8" i="6"/>
  <c r="KE8" i="6"/>
  <c r="LI8" i="6"/>
  <c r="MM8" i="6"/>
  <c r="OU8" i="6"/>
  <c r="PY8" i="6"/>
  <c r="RC8" i="6"/>
  <c r="AV8" i="6"/>
  <c r="BZ8" i="6"/>
  <c r="DD8" i="6"/>
  <c r="O8" i="6"/>
  <c r="DH8" i="6"/>
  <c r="EI9" i="6"/>
  <c r="FM9" i="6"/>
  <c r="GQ9" i="6"/>
  <c r="HU9" i="6"/>
  <c r="IY9" i="6"/>
  <c r="KC9" i="6"/>
  <c r="LG9" i="6"/>
  <c r="MK9" i="6"/>
  <c r="NO9" i="6"/>
  <c r="OS9" i="6"/>
  <c r="PW9" i="6"/>
  <c r="RA9" i="6"/>
  <c r="BX9" i="6"/>
  <c r="DB9" i="6"/>
  <c r="K9" i="6"/>
  <c r="DF9" i="6"/>
  <c r="EJ9" i="6"/>
  <c r="FN9" i="6"/>
  <c r="GR9" i="6"/>
  <c r="HV9" i="6"/>
  <c r="IZ9" i="6"/>
  <c r="KD9" i="6"/>
  <c r="LH9" i="6"/>
  <c r="ML9" i="6"/>
  <c r="NP9" i="6"/>
  <c r="OT9" i="6"/>
  <c r="PX9" i="6"/>
  <c r="RB9" i="6"/>
  <c r="BY9" i="6"/>
  <c r="DC9" i="6"/>
  <c r="M9" i="6"/>
  <c r="DG9" i="6"/>
  <c r="EK9" i="6"/>
  <c r="FO9" i="6"/>
  <c r="GS9" i="6"/>
  <c r="HW9" i="6"/>
  <c r="JA9" i="6"/>
  <c r="KE9" i="6"/>
  <c r="LI9" i="6"/>
  <c r="MM9" i="6"/>
  <c r="OU9" i="6"/>
  <c r="PY9" i="6"/>
  <c r="RC9" i="6"/>
  <c r="AV9" i="6"/>
  <c r="BZ9" i="6"/>
  <c r="DD9" i="6"/>
  <c r="O9" i="6"/>
  <c r="DH9" i="6"/>
  <c r="EI10" i="6"/>
  <c r="FM10" i="6"/>
  <c r="GQ10" i="6"/>
  <c r="HU10" i="6"/>
  <c r="IY10" i="6"/>
  <c r="KC10" i="6"/>
  <c r="LG10" i="6"/>
  <c r="MK10" i="6"/>
  <c r="NO10" i="6"/>
  <c r="OS10" i="6"/>
  <c r="PW10" i="6"/>
  <c r="RA10" i="6"/>
  <c r="AT10" i="6"/>
  <c r="BX10" i="6"/>
  <c r="K10" i="6"/>
  <c r="DF10" i="6"/>
  <c r="EJ10" i="6"/>
  <c r="FN10" i="6"/>
  <c r="GR10" i="6"/>
  <c r="HV10" i="6"/>
  <c r="IZ10" i="6"/>
  <c r="KD10" i="6"/>
  <c r="LH10" i="6"/>
  <c r="ML10" i="6"/>
  <c r="NP10" i="6"/>
  <c r="OT10" i="6"/>
  <c r="PX10" i="6"/>
  <c r="RB10" i="6"/>
  <c r="AU10" i="6"/>
  <c r="BY10" i="6"/>
  <c r="M10" i="6"/>
  <c r="DG10" i="6"/>
  <c r="EK10" i="6"/>
  <c r="FO10" i="6"/>
  <c r="GS10" i="6"/>
  <c r="HW10" i="6"/>
  <c r="JA10" i="6"/>
  <c r="KE10" i="6"/>
  <c r="LI10" i="6"/>
  <c r="MM10" i="6"/>
  <c r="OU10" i="6"/>
  <c r="PY10" i="6"/>
  <c r="RC10" i="6"/>
  <c r="AV10" i="6"/>
  <c r="BZ10" i="6"/>
  <c r="DD10" i="6"/>
  <c r="O10" i="6"/>
  <c r="DH10" i="6"/>
  <c r="EI11" i="6"/>
  <c r="FM11" i="6"/>
  <c r="GQ11" i="6"/>
  <c r="HU11" i="6"/>
  <c r="IY11" i="6"/>
  <c r="KC11" i="6"/>
  <c r="LG11" i="6"/>
  <c r="MK11" i="6"/>
  <c r="NO11" i="6"/>
  <c r="OS11" i="6"/>
  <c r="PW11" i="6"/>
  <c r="RA11" i="6"/>
  <c r="AT11" i="6"/>
  <c r="DB11" i="6"/>
  <c r="K11" i="6"/>
  <c r="DF11" i="6"/>
  <c r="EJ11" i="6"/>
  <c r="FN11" i="6"/>
  <c r="GR11" i="6"/>
  <c r="HV11" i="6"/>
  <c r="IZ11" i="6"/>
  <c r="KD11" i="6"/>
  <c r="LH11" i="6"/>
  <c r="ML11" i="6"/>
  <c r="NP11" i="6"/>
  <c r="OT11" i="6"/>
  <c r="PX11" i="6"/>
  <c r="RB11" i="6"/>
  <c r="AU11" i="6"/>
  <c r="DC11" i="6"/>
  <c r="M11" i="6"/>
  <c r="DG11" i="6"/>
  <c r="EK11" i="6"/>
  <c r="FO11" i="6"/>
  <c r="GS11" i="6"/>
  <c r="HW11" i="6"/>
  <c r="JA11" i="6"/>
  <c r="KE11" i="6"/>
  <c r="LI11" i="6"/>
  <c r="MM11" i="6"/>
  <c r="OU11" i="6"/>
  <c r="PY11" i="6"/>
  <c r="RC11" i="6"/>
  <c r="AV11" i="6"/>
  <c r="BZ11" i="6"/>
  <c r="DD11" i="6"/>
  <c r="O11" i="6"/>
  <c r="DH11" i="6"/>
  <c r="EI12" i="6"/>
  <c r="FM12" i="6"/>
  <c r="GQ12" i="6"/>
  <c r="HU12" i="6"/>
  <c r="IY12" i="6"/>
  <c r="KC12" i="6"/>
  <c r="LG12" i="6"/>
  <c r="MK12" i="6"/>
  <c r="NO12" i="6"/>
  <c r="OS12" i="6"/>
  <c r="PW12" i="6"/>
  <c r="RA12" i="6"/>
  <c r="BX12" i="6"/>
  <c r="DB12" i="6"/>
  <c r="K12" i="6"/>
  <c r="DF12" i="6"/>
  <c r="EJ12" i="6"/>
  <c r="FN12" i="6"/>
  <c r="GR12" i="6"/>
  <c r="HV12" i="6"/>
  <c r="IZ12" i="6"/>
  <c r="KD12" i="6"/>
  <c r="LH12" i="6"/>
  <c r="ML12" i="6"/>
  <c r="NP12" i="6"/>
  <c r="OT12" i="6"/>
  <c r="PX12" i="6"/>
  <c r="RB12" i="6"/>
  <c r="BY12" i="6"/>
  <c r="DC12" i="6"/>
  <c r="M12" i="6"/>
  <c r="DG12" i="6"/>
  <c r="EK12" i="6"/>
  <c r="FO12" i="6"/>
  <c r="GS12" i="6"/>
  <c r="HW12" i="6"/>
  <c r="JA12" i="6"/>
  <c r="KE12" i="6"/>
  <c r="LI12" i="6"/>
  <c r="MM12" i="6"/>
  <c r="OU12" i="6"/>
  <c r="PY12" i="6"/>
  <c r="RC12" i="6"/>
  <c r="AV12" i="6"/>
  <c r="BZ12" i="6"/>
  <c r="DD12" i="6"/>
  <c r="O12" i="6"/>
  <c r="DH12" i="6"/>
  <c r="EI13" i="6"/>
  <c r="FM13" i="6"/>
  <c r="GQ13" i="6"/>
  <c r="HU13" i="6"/>
  <c r="IY13" i="6"/>
  <c r="KC13" i="6"/>
  <c r="LG13" i="6"/>
  <c r="MK13" i="6"/>
  <c r="NO13" i="6"/>
  <c r="OS13" i="6"/>
  <c r="PW13" i="6"/>
  <c r="RA13" i="6"/>
  <c r="AT13" i="6"/>
  <c r="DB13" i="6"/>
  <c r="K13" i="6"/>
  <c r="DF13" i="6"/>
  <c r="EJ13" i="6"/>
  <c r="FN13" i="6"/>
  <c r="GR13" i="6"/>
  <c r="HV13" i="6"/>
  <c r="IZ13" i="6"/>
  <c r="KD13" i="6"/>
  <c r="LH13" i="6"/>
  <c r="ML13" i="6"/>
  <c r="NP13" i="6"/>
  <c r="OT13" i="6"/>
  <c r="PX13" i="6"/>
  <c r="RB13" i="6"/>
  <c r="AU13" i="6"/>
  <c r="DC13" i="6"/>
  <c r="M13" i="6"/>
  <c r="DG13" i="6"/>
  <c r="EK13" i="6"/>
  <c r="FO13" i="6"/>
  <c r="GS13" i="6"/>
  <c r="HW13" i="6"/>
  <c r="JA13" i="6"/>
  <c r="KE13" i="6"/>
  <c r="LI13" i="6"/>
  <c r="MM13" i="6"/>
  <c r="OU13" i="6"/>
  <c r="PY13" i="6"/>
  <c r="RC13" i="6"/>
  <c r="AV13" i="6"/>
  <c r="BZ13" i="6"/>
  <c r="DD13" i="6"/>
  <c r="O13" i="6"/>
  <c r="DH13" i="6"/>
  <c r="EK4" i="6"/>
  <c r="FO4" i="6"/>
  <c r="GS4" i="6"/>
  <c r="HW4" i="6"/>
  <c r="JA4" i="6"/>
  <c r="KE4" i="6"/>
  <c r="LI4" i="6"/>
  <c r="MM4" i="6"/>
  <c r="OU4" i="6"/>
  <c r="PY4" i="6"/>
  <c r="RC4" i="6"/>
  <c r="AV4" i="6"/>
  <c r="BZ4" i="6"/>
  <c r="DD4" i="6"/>
  <c r="O4" i="6"/>
  <c r="DH4" i="6"/>
  <c r="EJ4" i="6"/>
  <c r="FN4" i="6"/>
  <c r="GR4" i="6"/>
  <c r="HV4" i="6"/>
  <c r="IZ4" i="6"/>
  <c r="KD4" i="6"/>
  <c r="LH4" i="6"/>
  <c r="ML4" i="6"/>
  <c r="NP4" i="6"/>
  <c r="OT4" i="6"/>
  <c r="PX4" i="6"/>
  <c r="RB4" i="6"/>
  <c r="AU4" i="6"/>
  <c r="BY4" i="6"/>
  <c r="M4" i="6"/>
  <c r="DG4" i="6"/>
  <c r="EI4" i="6"/>
  <c r="FM4" i="6"/>
  <c r="GQ4" i="6"/>
  <c r="HU4" i="6"/>
  <c r="IY4" i="6"/>
  <c r="KC4" i="6"/>
  <c r="LG4" i="6"/>
  <c r="MK4" i="6"/>
  <c r="NO4" i="6"/>
  <c r="OS4" i="6"/>
  <c r="PW4" i="6"/>
  <c r="RA4" i="6"/>
  <c r="AT4" i="6"/>
  <c r="BX4" i="6"/>
  <c r="K4" i="6"/>
  <c r="DF4" i="6"/>
  <c r="EK5" i="5"/>
  <c r="FO5" i="5"/>
  <c r="GS5" i="5"/>
  <c r="HW5" i="5"/>
  <c r="JA5" i="5"/>
  <c r="KE5" i="5"/>
  <c r="LI5" i="5"/>
  <c r="MM5" i="5"/>
  <c r="OU5" i="5"/>
  <c r="PY5" i="5"/>
  <c r="RC5" i="5"/>
  <c r="AV5" i="5"/>
  <c r="BZ5" i="5"/>
  <c r="DD5" i="5"/>
  <c r="O5" i="5"/>
  <c r="DH5" i="5"/>
  <c r="EK6" i="5"/>
  <c r="FO6" i="5"/>
  <c r="GS6" i="5"/>
  <c r="HW6" i="5"/>
  <c r="JA6" i="5"/>
  <c r="KE6" i="5"/>
  <c r="LI6" i="5"/>
  <c r="MM6" i="5"/>
  <c r="OU6" i="5"/>
  <c r="PY6" i="5"/>
  <c r="RC6" i="5"/>
  <c r="AV6" i="5"/>
  <c r="BZ6" i="5"/>
  <c r="DD6" i="5"/>
  <c r="O6" i="5"/>
  <c r="DH6" i="5"/>
  <c r="EK7" i="5"/>
  <c r="FO7" i="5"/>
  <c r="GS7" i="5"/>
  <c r="HW7" i="5"/>
  <c r="JA7" i="5"/>
  <c r="KE7" i="5"/>
  <c r="LI7" i="5"/>
  <c r="MM7" i="5"/>
  <c r="OU7" i="5"/>
  <c r="PY7" i="5"/>
  <c r="RC7" i="5"/>
  <c r="AV7" i="5"/>
  <c r="BZ7" i="5"/>
  <c r="DD7" i="5"/>
  <c r="O7" i="5"/>
  <c r="DH7" i="5"/>
  <c r="EK8" i="5"/>
  <c r="FO8" i="5"/>
  <c r="GS8" i="5"/>
  <c r="HW8" i="5"/>
  <c r="JA8" i="5"/>
  <c r="KE8" i="5"/>
  <c r="LI8" i="5"/>
  <c r="MM8" i="5"/>
  <c r="OU8" i="5"/>
  <c r="PY8" i="5"/>
  <c r="RC8" i="5"/>
  <c r="AV8" i="5"/>
  <c r="BZ8" i="5"/>
  <c r="DD8" i="5"/>
  <c r="O8" i="5"/>
  <c r="DH8" i="5"/>
  <c r="EK9" i="5"/>
  <c r="FO9" i="5"/>
  <c r="GS9" i="5"/>
  <c r="HW9" i="5"/>
  <c r="JA9" i="5"/>
  <c r="KE9" i="5"/>
  <c r="LI9" i="5"/>
  <c r="MM9" i="5"/>
  <c r="OU9" i="5"/>
  <c r="PY9" i="5"/>
  <c r="RC9" i="5"/>
  <c r="AV9" i="5"/>
  <c r="BZ9" i="5"/>
  <c r="DD9" i="5"/>
  <c r="O9" i="5"/>
  <c r="DH9" i="5"/>
  <c r="EK10" i="5"/>
  <c r="FO10" i="5"/>
  <c r="GS10" i="5"/>
  <c r="HW10" i="5"/>
  <c r="JA10" i="5"/>
  <c r="KE10" i="5"/>
  <c r="LI10" i="5"/>
  <c r="MM10" i="5"/>
  <c r="OU10" i="5"/>
  <c r="PY10" i="5"/>
  <c r="RC10" i="5"/>
  <c r="AV10" i="5"/>
  <c r="BZ10" i="5"/>
  <c r="DD10" i="5"/>
  <c r="O10" i="5"/>
  <c r="DH10" i="5"/>
  <c r="EK11" i="5"/>
  <c r="FO11" i="5"/>
  <c r="GS11" i="5"/>
  <c r="HW11" i="5"/>
  <c r="JA11" i="5"/>
  <c r="KE11" i="5"/>
  <c r="LI11" i="5"/>
  <c r="MM11" i="5"/>
  <c r="OU11" i="5"/>
  <c r="PY11" i="5"/>
  <c r="RC11" i="5"/>
  <c r="AV11" i="5"/>
  <c r="BZ11" i="5"/>
  <c r="DD11" i="5"/>
  <c r="O11" i="5"/>
  <c r="DH11" i="5"/>
  <c r="EK12" i="5"/>
  <c r="FO12" i="5"/>
  <c r="GS12" i="5"/>
  <c r="HW12" i="5"/>
  <c r="JA12" i="5"/>
  <c r="KE12" i="5"/>
  <c r="LI12" i="5"/>
  <c r="MM12" i="5"/>
  <c r="OU12" i="5"/>
  <c r="PY12" i="5"/>
  <c r="RC12" i="5"/>
  <c r="AV12" i="5"/>
  <c r="BZ12" i="5"/>
  <c r="DD12" i="5"/>
  <c r="O12" i="5"/>
  <c r="DH12" i="5"/>
  <c r="EK13" i="5"/>
  <c r="FO13" i="5"/>
  <c r="GS13" i="5"/>
  <c r="HW13" i="5"/>
  <c r="JA13" i="5"/>
  <c r="KE13" i="5"/>
  <c r="LI13" i="5"/>
  <c r="MM13" i="5"/>
  <c r="OU13" i="5"/>
  <c r="PY13" i="5"/>
  <c r="RC13" i="5"/>
  <c r="AV13" i="5"/>
  <c r="BZ13" i="5"/>
  <c r="DD13" i="5"/>
  <c r="O13" i="5"/>
  <c r="DH13" i="5"/>
  <c r="EK4" i="5"/>
  <c r="FO4" i="5"/>
  <c r="GS4" i="5"/>
  <c r="HW4" i="5"/>
  <c r="JA4" i="5"/>
  <c r="KE4" i="5"/>
  <c r="LI4" i="5"/>
  <c r="MM4" i="5"/>
  <c r="OU4" i="5"/>
  <c r="PY4" i="5"/>
  <c r="RC4" i="5"/>
  <c r="AV4" i="5"/>
  <c r="BZ4" i="5"/>
  <c r="DD4" i="5"/>
  <c r="O4" i="5"/>
  <c r="DH4" i="5"/>
  <c r="EJ5" i="5"/>
  <c r="FN5" i="5"/>
  <c r="GR5" i="5"/>
  <c r="HV5" i="5"/>
  <c r="IZ5" i="5"/>
  <c r="KD5" i="5"/>
  <c r="LH5" i="5"/>
  <c r="ML5" i="5"/>
  <c r="NP5" i="5"/>
  <c r="OT5" i="5"/>
  <c r="PX5" i="5"/>
  <c r="RB5" i="5"/>
  <c r="BY5" i="5"/>
  <c r="DC5" i="5"/>
  <c r="M5" i="5"/>
  <c r="DG5" i="5"/>
  <c r="EJ6" i="5"/>
  <c r="FN6" i="5"/>
  <c r="GR6" i="5"/>
  <c r="HV6" i="5"/>
  <c r="IZ6" i="5"/>
  <c r="KD6" i="5"/>
  <c r="LH6" i="5"/>
  <c r="ML6" i="5"/>
  <c r="NP6" i="5"/>
  <c r="OT6" i="5"/>
  <c r="PX6" i="5"/>
  <c r="RB6" i="5"/>
  <c r="BY6" i="5"/>
  <c r="DC6" i="5"/>
  <c r="M6" i="5"/>
  <c r="DG6" i="5"/>
  <c r="EJ7" i="5"/>
  <c r="FN7" i="5"/>
  <c r="GR7" i="5"/>
  <c r="HV7" i="5"/>
  <c r="IZ7" i="5"/>
  <c r="KD7" i="5"/>
  <c r="LH7" i="5"/>
  <c r="ML7" i="5"/>
  <c r="NP7" i="5"/>
  <c r="OT7" i="5"/>
  <c r="PX7" i="5"/>
  <c r="RB7" i="5"/>
  <c r="AU7" i="5"/>
  <c r="BY7" i="5"/>
  <c r="M7" i="5"/>
  <c r="DG7" i="5"/>
  <c r="EJ8" i="5"/>
  <c r="FN8" i="5"/>
  <c r="GR8" i="5"/>
  <c r="HV8" i="5"/>
  <c r="IZ8" i="5"/>
  <c r="KD8" i="5"/>
  <c r="LH8" i="5"/>
  <c r="ML8" i="5"/>
  <c r="NP8" i="5"/>
  <c r="OT8" i="5"/>
  <c r="PX8" i="5"/>
  <c r="RB8" i="5"/>
  <c r="AU8" i="5"/>
  <c r="BY8" i="5"/>
  <c r="M8" i="5"/>
  <c r="DG8" i="5"/>
  <c r="EJ9" i="5"/>
  <c r="FN9" i="5"/>
  <c r="GR9" i="5"/>
  <c r="HV9" i="5"/>
  <c r="IZ9" i="5"/>
  <c r="KD9" i="5"/>
  <c r="LH9" i="5"/>
  <c r="ML9" i="5"/>
  <c r="NP9" i="5"/>
  <c r="OT9" i="5"/>
  <c r="PX9" i="5"/>
  <c r="RB9" i="5"/>
  <c r="AU9" i="5"/>
  <c r="DC9" i="5"/>
  <c r="M9" i="5"/>
  <c r="DG9" i="5"/>
  <c r="EJ10" i="5"/>
  <c r="FN10" i="5"/>
  <c r="GR10" i="5"/>
  <c r="HV10" i="5"/>
  <c r="IZ10" i="5"/>
  <c r="KD10" i="5"/>
  <c r="LH10" i="5"/>
  <c r="ML10" i="5"/>
  <c r="NP10" i="5"/>
  <c r="OT10" i="5"/>
  <c r="PX10" i="5"/>
  <c r="RB10" i="5"/>
  <c r="AU10" i="5"/>
  <c r="DC10" i="5"/>
  <c r="M10" i="5"/>
  <c r="DG10" i="5"/>
  <c r="EJ11" i="5"/>
  <c r="FN11" i="5"/>
  <c r="GR11" i="5"/>
  <c r="HV11" i="5"/>
  <c r="IZ11" i="5"/>
  <c r="KD11" i="5"/>
  <c r="LH11" i="5"/>
  <c r="ML11" i="5"/>
  <c r="NP11" i="5"/>
  <c r="OT11" i="5"/>
  <c r="PX11" i="5"/>
  <c r="RB11" i="5"/>
  <c r="AU11" i="5"/>
  <c r="BY11" i="5"/>
  <c r="M11" i="5"/>
  <c r="DG11" i="5"/>
  <c r="EJ12" i="5"/>
  <c r="FN12" i="5"/>
  <c r="GR12" i="5"/>
  <c r="HV12" i="5"/>
  <c r="IZ12" i="5"/>
  <c r="KD12" i="5"/>
  <c r="LH12" i="5"/>
  <c r="ML12" i="5"/>
  <c r="NP12" i="5"/>
  <c r="OT12" i="5"/>
  <c r="PX12" i="5"/>
  <c r="RB12" i="5"/>
  <c r="AU12" i="5"/>
  <c r="DC12" i="5"/>
  <c r="M12" i="5"/>
  <c r="DG12" i="5"/>
  <c r="EJ13" i="5"/>
  <c r="FN13" i="5"/>
  <c r="GR13" i="5"/>
  <c r="HV13" i="5"/>
  <c r="IZ13" i="5"/>
  <c r="KD13" i="5"/>
  <c r="LH13" i="5"/>
  <c r="ML13" i="5"/>
  <c r="NP13" i="5"/>
  <c r="OT13" i="5"/>
  <c r="PX13" i="5"/>
  <c r="RB13" i="5"/>
  <c r="AU13" i="5"/>
  <c r="DC13" i="5"/>
  <c r="M13" i="5"/>
  <c r="DG13" i="5"/>
  <c r="EJ4" i="5"/>
  <c r="FN4" i="5"/>
  <c r="GR4" i="5"/>
  <c r="HV4" i="5"/>
  <c r="IZ4" i="5"/>
  <c r="KD4" i="5"/>
  <c r="LH4" i="5"/>
  <c r="ML4" i="5"/>
  <c r="NP4" i="5"/>
  <c r="OT4" i="5"/>
  <c r="PX4" i="5"/>
  <c r="RB4" i="5"/>
  <c r="BY4" i="5"/>
  <c r="DC4" i="5"/>
  <c r="M4" i="5"/>
  <c r="DG4" i="5"/>
  <c r="EI5" i="5"/>
  <c r="FM5" i="5"/>
  <c r="GQ5" i="5"/>
  <c r="HU5" i="5"/>
  <c r="IY5" i="5"/>
  <c r="KC5" i="5"/>
  <c r="LG5" i="5"/>
  <c r="MK5" i="5"/>
  <c r="NO5" i="5"/>
  <c r="OS5" i="5"/>
  <c r="PW5" i="5"/>
  <c r="RA5" i="5"/>
  <c r="BX5" i="5"/>
  <c r="DB5" i="5"/>
  <c r="K5" i="5"/>
  <c r="DF5" i="5"/>
  <c r="EI6" i="5"/>
  <c r="FM6" i="5"/>
  <c r="GQ6" i="5"/>
  <c r="HU6" i="5"/>
  <c r="IY6" i="5"/>
  <c r="KC6" i="5"/>
  <c r="LG6" i="5"/>
  <c r="MK6" i="5"/>
  <c r="NO6" i="5"/>
  <c r="OS6" i="5"/>
  <c r="PW6" i="5"/>
  <c r="RA6" i="5"/>
  <c r="BX6" i="5"/>
  <c r="DB6" i="5"/>
  <c r="K6" i="5"/>
  <c r="DF6" i="5"/>
  <c r="EI7" i="5"/>
  <c r="FM7" i="5"/>
  <c r="GQ7" i="5"/>
  <c r="HU7" i="5"/>
  <c r="IY7" i="5"/>
  <c r="KC7" i="5"/>
  <c r="LG7" i="5"/>
  <c r="MK7" i="5"/>
  <c r="NO7" i="5"/>
  <c r="OS7" i="5"/>
  <c r="PW7" i="5"/>
  <c r="RA7" i="5"/>
  <c r="AT7" i="5"/>
  <c r="BX7" i="5"/>
  <c r="K7" i="5"/>
  <c r="DF7" i="5"/>
  <c r="EI8" i="5"/>
  <c r="FM8" i="5"/>
  <c r="GQ8" i="5"/>
  <c r="HU8" i="5"/>
  <c r="IY8" i="5"/>
  <c r="KC8" i="5"/>
  <c r="LG8" i="5"/>
  <c r="MK8" i="5"/>
  <c r="NO8" i="5"/>
  <c r="OS8" i="5"/>
  <c r="PW8" i="5"/>
  <c r="RA8" i="5"/>
  <c r="AT8" i="5"/>
  <c r="BX8" i="5"/>
  <c r="K8" i="5"/>
  <c r="DF8" i="5"/>
  <c r="EI9" i="5"/>
  <c r="FM9" i="5"/>
  <c r="GQ9" i="5"/>
  <c r="HU9" i="5"/>
  <c r="IY9" i="5"/>
  <c r="KC9" i="5"/>
  <c r="LG9" i="5"/>
  <c r="MK9" i="5"/>
  <c r="NO9" i="5"/>
  <c r="OS9" i="5"/>
  <c r="PW9" i="5"/>
  <c r="RA9" i="5"/>
  <c r="AT9" i="5"/>
  <c r="DB9" i="5"/>
  <c r="K9" i="5"/>
  <c r="DF9" i="5"/>
  <c r="EI10" i="5"/>
  <c r="FM10" i="5"/>
  <c r="GQ10" i="5"/>
  <c r="HU10" i="5"/>
  <c r="IY10" i="5"/>
  <c r="KC10" i="5"/>
  <c r="LG10" i="5"/>
  <c r="MK10" i="5"/>
  <c r="NO10" i="5"/>
  <c r="OS10" i="5"/>
  <c r="PW10" i="5"/>
  <c r="RA10" i="5"/>
  <c r="AT10" i="5"/>
  <c r="DB10" i="5"/>
  <c r="K10" i="5"/>
  <c r="DF10" i="5"/>
  <c r="EI11" i="5"/>
  <c r="FM11" i="5"/>
  <c r="GQ11" i="5"/>
  <c r="HU11" i="5"/>
  <c r="IY11" i="5"/>
  <c r="KC11" i="5"/>
  <c r="LG11" i="5"/>
  <c r="MK11" i="5"/>
  <c r="NO11" i="5"/>
  <c r="OS11" i="5"/>
  <c r="PW11" i="5"/>
  <c r="RA11" i="5"/>
  <c r="AT11" i="5"/>
  <c r="BX11" i="5"/>
  <c r="K11" i="5"/>
  <c r="DF11" i="5"/>
  <c r="EI12" i="5"/>
  <c r="FM12" i="5"/>
  <c r="GQ12" i="5"/>
  <c r="HU12" i="5"/>
  <c r="IY12" i="5"/>
  <c r="KC12" i="5"/>
  <c r="LG12" i="5"/>
  <c r="MK12" i="5"/>
  <c r="NO12" i="5"/>
  <c r="OS12" i="5"/>
  <c r="PW12" i="5"/>
  <c r="RA12" i="5"/>
  <c r="AT12" i="5"/>
  <c r="DB12" i="5"/>
  <c r="K12" i="5"/>
  <c r="DF12" i="5"/>
  <c r="EI13" i="5"/>
  <c r="FM13" i="5"/>
  <c r="GQ13" i="5"/>
  <c r="HU13" i="5"/>
  <c r="IY13" i="5"/>
  <c r="KC13" i="5"/>
  <c r="LG13" i="5"/>
  <c r="MK13" i="5"/>
  <c r="NO13" i="5"/>
  <c r="OS13" i="5"/>
  <c r="PW13" i="5"/>
  <c r="RA13" i="5"/>
  <c r="AT13" i="5"/>
  <c r="DB13" i="5"/>
  <c r="K13" i="5"/>
  <c r="DF13" i="5"/>
  <c r="EI4" i="5"/>
  <c r="FM4" i="5"/>
  <c r="GQ4" i="5"/>
  <c r="HU4" i="5"/>
  <c r="IY4" i="5"/>
  <c r="KC4" i="5"/>
  <c r="LG4" i="5"/>
  <c r="MK4" i="5"/>
  <c r="NO4" i="5"/>
  <c r="OS4" i="5"/>
  <c r="PW4" i="5"/>
  <c r="RA4" i="5"/>
  <c r="BX4" i="5"/>
  <c r="DB4" i="5"/>
  <c r="K4" i="5"/>
  <c r="DF4" i="5"/>
  <c r="GF12" i="2"/>
  <c r="GF7" i="2"/>
  <c r="GF5" i="2"/>
  <c r="HV5" i="4"/>
  <c r="LW5" i="10"/>
  <c r="LW6" i="10"/>
  <c r="LW4" i="10"/>
  <c r="LB5" i="10"/>
  <c r="LB6" i="10"/>
  <c r="LB4" i="10"/>
  <c r="KG5" i="10"/>
  <c r="KG6" i="10"/>
  <c r="KG4" i="10"/>
  <c r="JL5" i="10"/>
  <c r="JL6" i="10"/>
  <c r="JL4" i="10"/>
  <c r="IQ5" i="10"/>
  <c r="IQ6" i="10"/>
  <c r="IQ4" i="10"/>
  <c r="HV5" i="10"/>
  <c r="HV6" i="10"/>
  <c r="HV4" i="10"/>
  <c r="HA5" i="10"/>
  <c r="HA6" i="10"/>
  <c r="HA4" i="10"/>
  <c r="GF5" i="10"/>
  <c r="GF6" i="10"/>
  <c r="GF4" i="10"/>
  <c r="FK5" i="10"/>
  <c r="FK6" i="10"/>
  <c r="FK4" i="10"/>
  <c r="EP5" i="10"/>
  <c r="EP6" i="10"/>
  <c r="EP4" i="10"/>
  <c r="DU5" i="10"/>
  <c r="DU6" i="10"/>
  <c r="DU4" i="10"/>
  <c r="CZ5" i="10"/>
  <c r="CZ6" i="10"/>
  <c r="CZ4" i="10"/>
  <c r="LW5" i="9"/>
  <c r="LW6" i="9"/>
  <c r="LW7" i="9"/>
  <c r="LW8" i="9"/>
  <c r="LW4" i="9"/>
  <c r="LB5" i="9"/>
  <c r="LB6" i="9"/>
  <c r="LB7" i="9"/>
  <c r="LB8" i="9"/>
  <c r="LB4" i="9"/>
  <c r="KG5" i="9"/>
  <c r="KG6" i="9"/>
  <c r="KG7" i="9"/>
  <c r="KG8" i="9"/>
  <c r="KG4" i="9"/>
  <c r="JL5" i="9"/>
  <c r="JL6" i="9"/>
  <c r="JL7" i="9"/>
  <c r="JL8" i="9"/>
  <c r="JL4" i="9"/>
  <c r="IQ5" i="9"/>
  <c r="IQ6" i="9"/>
  <c r="IQ7" i="9"/>
  <c r="IQ8" i="9"/>
  <c r="IQ4" i="9"/>
  <c r="HV5" i="9"/>
  <c r="HV6" i="9"/>
  <c r="HV7" i="9"/>
  <c r="HV8" i="9"/>
  <c r="HV4" i="9"/>
  <c r="HA5" i="9"/>
  <c r="HA6" i="9"/>
  <c r="HA7" i="9"/>
  <c r="HA8" i="9"/>
  <c r="HA4" i="9"/>
  <c r="GF5" i="9"/>
  <c r="GF6" i="9"/>
  <c r="GF7" i="9"/>
  <c r="GF8" i="9"/>
  <c r="GF4" i="9"/>
  <c r="FK5" i="9"/>
  <c r="FK6" i="9"/>
  <c r="FK7" i="9"/>
  <c r="FK8" i="9"/>
  <c r="FK4" i="9"/>
  <c r="EP5" i="9"/>
  <c r="EP6" i="9"/>
  <c r="EP7" i="9"/>
  <c r="EP8" i="9"/>
  <c r="EP4" i="9"/>
  <c r="DU5" i="9"/>
  <c r="DU6" i="9"/>
  <c r="DU7" i="9"/>
  <c r="DU8" i="9"/>
  <c r="DU4" i="9"/>
  <c r="CZ5" i="9"/>
  <c r="CZ6" i="9"/>
  <c r="CZ7" i="9"/>
  <c r="CZ8" i="9"/>
  <c r="CZ4" i="9"/>
  <c r="LW6" i="2"/>
  <c r="LW5" i="2"/>
  <c r="LW7" i="2"/>
  <c r="LW8" i="2"/>
  <c r="LW9" i="2"/>
  <c r="LW10" i="2"/>
  <c r="LW11" i="2"/>
  <c r="LW12" i="2"/>
  <c r="LW13" i="2"/>
  <c r="LW4" i="2"/>
  <c r="LB6" i="2"/>
  <c r="LB5" i="2"/>
  <c r="LB7" i="2"/>
  <c r="LB8" i="2"/>
  <c r="LB9" i="2"/>
  <c r="LB10" i="2"/>
  <c r="LB11" i="2"/>
  <c r="LB12" i="2"/>
  <c r="LB13" i="2"/>
  <c r="LB4" i="2"/>
  <c r="KG6" i="2"/>
  <c r="KG5" i="2"/>
  <c r="KG7" i="2"/>
  <c r="KG8" i="2"/>
  <c r="KG9" i="2"/>
  <c r="KG10" i="2"/>
  <c r="KG11" i="2"/>
  <c r="KG12" i="2"/>
  <c r="KG13" i="2"/>
  <c r="KG4" i="2"/>
  <c r="JL6" i="2"/>
  <c r="JL5" i="2"/>
  <c r="JL7" i="2"/>
  <c r="JL8" i="2"/>
  <c r="JL9" i="2"/>
  <c r="JL10" i="2"/>
  <c r="JL11" i="2"/>
  <c r="JL12" i="2"/>
  <c r="JL13" i="2"/>
  <c r="JL4" i="2"/>
  <c r="IQ6" i="2"/>
  <c r="IQ5" i="2"/>
  <c r="IQ7" i="2"/>
  <c r="IQ8" i="2"/>
  <c r="IQ9" i="2"/>
  <c r="IQ10" i="2"/>
  <c r="IQ11" i="2"/>
  <c r="IQ12" i="2"/>
  <c r="IQ13" i="2"/>
  <c r="IQ4" i="2"/>
  <c r="HV6" i="2"/>
  <c r="HV5" i="2"/>
  <c r="HV7" i="2"/>
  <c r="HV8" i="2"/>
  <c r="HV9" i="2"/>
  <c r="HV10" i="2"/>
  <c r="HV11" i="2"/>
  <c r="HV12" i="2"/>
  <c r="HV13" i="2"/>
  <c r="HV4" i="2"/>
  <c r="HA6" i="2"/>
  <c r="HA5" i="2"/>
  <c r="HA7" i="2"/>
  <c r="HA8" i="2"/>
  <c r="HA9" i="2"/>
  <c r="HA10" i="2"/>
  <c r="HA11" i="2"/>
  <c r="HA12" i="2"/>
  <c r="HA13" i="2"/>
  <c r="HA4" i="2"/>
  <c r="GF6" i="2"/>
  <c r="GF8" i="2"/>
  <c r="GF9" i="2"/>
  <c r="GF10" i="2"/>
  <c r="GF11" i="2"/>
  <c r="GF13" i="2"/>
  <c r="GF4" i="2"/>
  <c r="FK6" i="2"/>
  <c r="FK5" i="2"/>
  <c r="FK7" i="2"/>
  <c r="FK8" i="2"/>
  <c r="FK9" i="2"/>
  <c r="FK10" i="2"/>
  <c r="FK11" i="2"/>
  <c r="FK12" i="2"/>
  <c r="FK13" i="2"/>
  <c r="FK4" i="2"/>
  <c r="EP6" i="2"/>
  <c r="EP5" i="2"/>
  <c r="EP7" i="2"/>
  <c r="EP8" i="2"/>
  <c r="EP9" i="2"/>
  <c r="EP10" i="2"/>
  <c r="EP11" i="2"/>
  <c r="EP12" i="2"/>
  <c r="EP13" i="2"/>
  <c r="EP4" i="2"/>
  <c r="DU6" i="2"/>
  <c r="DU5" i="2"/>
  <c r="DU7" i="2"/>
  <c r="DU8" i="2"/>
  <c r="DU9" i="2"/>
  <c r="DU10" i="2"/>
  <c r="DU11" i="2"/>
  <c r="DU12" i="2"/>
  <c r="DU13" i="2"/>
  <c r="DU4" i="2"/>
  <c r="CZ6" i="2"/>
  <c r="CZ5" i="2"/>
  <c r="CZ7" i="2"/>
  <c r="CZ8" i="2"/>
  <c r="CZ9" i="2"/>
  <c r="CZ10" i="2"/>
  <c r="CZ11" i="2"/>
  <c r="CZ12" i="2"/>
  <c r="CZ13" i="2"/>
  <c r="CZ4" i="2"/>
  <c r="LT8" i="4"/>
  <c r="LW8" i="4"/>
  <c r="LW6" i="4"/>
  <c r="LW7" i="4"/>
  <c r="LW11" i="4"/>
  <c r="LW10" i="4"/>
  <c r="LW4" i="4"/>
  <c r="LW9" i="4"/>
  <c r="LW12" i="4"/>
  <c r="LW13" i="4"/>
  <c r="LW14" i="4"/>
  <c r="LW15" i="4"/>
  <c r="LW16" i="4"/>
  <c r="LW17" i="4"/>
  <c r="LW18" i="4"/>
  <c r="LW19" i="4"/>
  <c r="LW20" i="4"/>
  <c r="LW5" i="4"/>
  <c r="LB6" i="4"/>
  <c r="LB7" i="4"/>
  <c r="LB8" i="4"/>
  <c r="LB11" i="4"/>
  <c r="LB10" i="4"/>
  <c r="LB4" i="4"/>
  <c r="LB9" i="4"/>
  <c r="LB12" i="4"/>
  <c r="LB13" i="4"/>
  <c r="LB14" i="4"/>
  <c r="LB15" i="4"/>
  <c r="LB16" i="4"/>
  <c r="LB17" i="4"/>
  <c r="LB18" i="4"/>
  <c r="LB19" i="4"/>
  <c r="LB20" i="4"/>
  <c r="LB5" i="4"/>
  <c r="KG6" i="4"/>
  <c r="KG7" i="4"/>
  <c r="KG8" i="4"/>
  <c r="KG11" i="4"/>
  <c r="KG10" i="4"/>
  <c r="KG4" i="4"/>
  <c r="KG9" i="4"/>
  <c r="KG12" i="4"/>
  <c r="KG13" i="4"/>
  <c r="KG14" i="4"/>
  <c r="KG15" i="4"/>
  <c r="KG16" i="4"/>
  <c r="KG17" i="4"/>
  <c r="KG18" i="4"/>
  <c r="KG19" i="4"/>
  <c r="KG20" i="4"/>
  <c r="KG5" i="4"/>
  <c r="JL6" i="4"/>
  <c r="JL7" i="4"/>
  <c r="JL8" i="4"/>
  <c r="JL11" i="4"/>
  <c r="JL10" i="4"/>
  <c r="JL4" i="4"/>
  <c r="JL9" i="4"/>
  <c r="JL12" i="4"/>
  <c r="JL13" i="4"/>
  <c r="JL14" i="4"/>
  <c r="JL15" i="4"/>
  <c r="JL16" i="4"/>
  <c r="JL17" i="4"/>
  <c r="JL18" i="4"/>
  <c r="JL19" i="4"/>
  <c r="JL20" i="4"/>
  <c r="JL5" i="4"/>
  <c r="IQ6" i="4"/>
  <c r="IQ7" i="4"/>
  <c r="IQ8" i="4"/>
  <c r="IQ11" i="4"/>
  <c r="IQ10" i="4"/>
  <c r="IQ4" i="4"/>
  <c r="IQ9" i="4"/>
  <c r="IQ12" i="4"/>
  <c r="IQ13" i="4"/>
  <c r="IQ14" i="4"/>
  <c r="IQ15" i="4"/>
  <c r="IQ16" i="4"/>
  <c r="IQ17" i="4"/>
  <c r="IQ18" i="4"/>
  <c r="IQ19" i="4"/>
  <c r="IQ20" i="4"/>
  <c r="IQ5" i="4"/>
  <c r="HV6" i="4"/>
  <c r="HV7" i="4"/>
  <c r="HV8" i="4"/>
  <c r="HV11" i="4"/>
  <c r="HV10" i="4"/>
  <c r="HV4" i="4"/>
  <c r="HV9" i="4"/>
  <c r="HV12" i="4"/>
  <c r="HV13" i="4"/>
  <c r="HV14" i="4"/>
  <c r="HV15" i="4"/>
  <c r="HV16" i="4"/>
  <c r="HV17" i="4"/>
  <c r="HV18" i="4"/>
  <c r="HV19" i="4"/>
  <c r="HV20" i="4"/>
  <c r="HA6" i="4"/>
  <c r="HA7" i="4"/>
  <c r="HA8" i="4"/>
  <c r="HA11" i="4"/>
  <c r="HA10" i="4"/>
  <c r="HA4" i="4"/>
  <c r="HA9" i="4"/>
  <c r="HA12" i="4"/>
  <c r="HA13" i="4"/>
  <c r="HA14" i="4"/>
  <c r="HA15" i="4"/>
  <c r="HA16" i="4"/>
  <c r="HA17" i="4"/>
  <c r="HA18" i="4"/>
  <c r="HA19" i="4"/>
  <c r="HA20" i="4"/>
  <c r="HA5" i="4"/>
  <c r="GF6" i="4"/>
  <c r="GF7" i="4"/>
  <c r="GF8" i="4"/>
  <c r="GF11" i="4"/>
  <c r="GF10" i="4"/>
  <c r="GF4" i="4"/>
  <c r="GF9" i="4"/>
  <c r="GF12" i="4"/>
  <c r="GF13" i="4"/>
  <c r="GF14" i="4"/>
  <c r="GF15" i="4"/>
  <c r="GF16" i="4"/>
  <c r="GF17" i="4"/>
  <c r="GF18" i="4"/>
  <c r="GF19" i="4"/>
  <c r="GF20" i="4"/>
  <c r="GF5" i="4"/>
  <c r="FK6" i="4"/>
  <c r="FK7" i="4"/>
  <c r="FK8" i="4"/>
  <c r="FK11" i="4"/>
  <c r="FK10" i="4"/>
  <c r="FK4" i="4"/>
  <c r="FK9" i="4"/>
  <c r="FK12" i="4"/>
  <c r="FK13" i="4"/>
  <c r="FK14" i="4"/>
  <c r="FK15" i="4"/>
  <c r="FK16" i="4"/>
  <c r="FK17" i="4"/>
  <c r="FK18" i="4"/>
  <c r="FK19" i="4"/>
  <c r="FK20" i="4"/>
  <c r="FK5" i="4"/>
  <c r="EP6" i="4"/>
  <c r="EP7" i="4"/>
  <c r="EP8" i="4"/>
  <c r="EP11" i="4"/>
  <c r="EP10" i="4"/>
  <c r="EP4" i="4"/>
  <c r="EP9" i="4"/>
  <c r="EP12" i="4"/>
  <c r="EP13" i="4"/>
  <c r="EP14" i="4"/>
  <c r="EP15" i="4"/>
  <c r="EP16" i="4"/>
  <c r="EP17" i="4"/>
  <c r="EP18" i="4"/>
  <c r="EP19" i="4"/>
  <c r="EP20" i="4"/>
  <c r="EP5" i="4"/>
  <c r="DU6" i="4"/>
  <c r="DU7" i="4"/>
  <c r="DU8" i="4"/>
  <c r="DU11" i="4"/>
  <c r="DU10" i="4"/>
  <c r="DU4" i="4"/>
  <c r="DU9" i="4"/>
  <c r="DU12" i="4"/>
  <c r="DU13" i="4"/>
  <c r="DU14" i="4"/>
  <c r="DU15" i="4"/>
  <c r="DU16" i="4"/>
  <c r="DU17" i="4"/>
  <c r="DU18" i="4"/>
  <c r="DU19" i="4"/>
  <c r="DU20" i="4"/>
  <c r="DU5" i="4"/>
  <c r="CZ6" i="4"/>
  <c r="CZ7" i="4"/>
  <c r="CZ8" i="4"/>
  <c r="CZ11" i="4"/>
  <c r="CZ10" i="4"/>
  <c r="CZ4" i="4"/>
  <c r="CZ9" i="4"/>
  <c r="CZ12" i="4"/>
  <c r="CZ13" i="4"/>
  <c r="CZ14" i="4"/>
  <c r="CZ15" i="4"/>
  <c r="CZ16" i="4"/>
  <c r="CZ17" i="4"/>
  <c r="CZ18" i="4"/>
  <c r="CZ19" i="4"/>
  <c r="CZ20" i="4"/>
  <c r="CZ5" i="4"/>
  <c r="BI5" i="4"/>
  <c r="FH4" i="10"/>
  <c r="FH5" i="10"/>
  <c r="FH6" i="10"/>
  <c r="LY6" i="9"/>
  <c r="LT6" i="9"/>
  <c r="LD6" i="9"/>
  <c r="KY6" i="9"/>
  <c r="KI6" i="9"/>
  <c r="KD6" i="9"/>
  <c r="JN6" i="9"/>
  <c r="JI6" i="9"/>
  <c r="IS6" i="9"/>
  <c r="IN6" i="9"/>
  <c r="HX6" i="9"/>
  <c r="HS6" i="9"/>
  <c r="HC6" i="9"/>
  <c r="GX6" i="9"/>
  <c r="GH6" i="9"/>
  <c r="GC6" i="9"/>
  <c r="FM6" i="9"/>
  <c r="FH6" i="9"/>
  <c r="ER6" i="9"/>
  <c r="EM6" i="9"/>
  <c r="DW6" i="9"/>
  <c r="DR6" i="9"/>
  <c r="DB6" i="9"/>
  <c r="CW6" i="9"/>
  <c r="CD6" i="9"/>
  <c r="BI6" i="9"/>
  <c r="AN6" i="9"/>
  <c r="Q6" i="9"/>
  <c r="S6" i="9"/>
  <c r="R6" i="9"/>
  <c r="P6" i="9"/>
  <c r="N6" i="9"/>
  <c r="L6" i="9"/>
  <c r="J6" i="9"/>
  <c r="E6" i="9"/>
  <c r="QZ11" i="5"/>
  <c r="RD11" i="5"/>
  <c r="QY11" i="5"/>
  <c r="PV11" i="5"/>
  <c r="PZ11" i="5"/>
  <c r="PU11" i="5"/>
  <c r="OR11" i="5"/>
  <c r="OV11" i="5"/>
  <c r="OQ11" i="5"/>
  <c r="NN11" i="5"/>
  <c r="NQ11" i="5"/>
  <c r="NR11" i="5"/>
  <c r="NM11" i="5"/>
  <c r="MJ11" i="5"/>
  <c r="MN11" i="5"/>
  <c r="MI11" i="5"/>
  <c r="LF11" i="5"/>
  <c r="LJ11" i="5"/>
  <c r="LE11" i="5"/>
  <c r="KB11" i="5"/>
  <c r="KF11" i="5"/>
  <c r="KA11" i="5"/>
  <c r="IX11" i="5"/>
  <c r="JB11" i="5"/>
  <c r="IW11" i="5"/>
  <c r="HT11" i="5"/>
  <c r="HX11" i="5"/>
  <c r="HS11" i="5"/>
  <c r="GP11" i="5"/>
  <c r="GT11" i="5"/>
  <c r="GO11" i="5"/>
  <c r="LY6" i="10"/>
  <c r="LT6" i="10"/>
  <c r="LD6" i="10"/>
  <c r="KY6" i="10"/>
  <c r="KI6" i="10"/>
  <c r="KD6" i="10"/>
  <c r="JN6" i="10"/>
  <c r="JI6" i="10"/>
  <c r="IS6" i="10"/>
  <c r="IN6" i="10"/>
  <c r="HX6" i="10"/>
  <c r="HS6" i="10"/>
  <c r="HC6" i="10"/>
  <c r="GX6" i="10"/>
  <c r="GH6" i="10"/>
  <c r="GC6" i="10"/>
  <c r="FM6" i="10"/>
  <c r="ER6" i="10"/>
  <c r="EM6" i="10"/>
  <c r="DW6" i="10"/>
  <c r="DR6" i="10"/>
  <c r="DB6" i="10"/>
  <c r="CW6" i="10"/>
  <c r="CD6" i="10"/>
  <c r="BI6" i="10"/>
  <c r="AN6" i="10"/>
  <c r="Q6" i="10"/>
  <c r="S6" i="10"/>
  <c r="R6" i="10"/>
  <c r="P6" i="10"/>
  <c r="N6" i="10"/>
  <c r="L6" i="10"/>
  <c r="J6" i="10"/>
  <c r="H6" i="10"/>
  <c r="E6" i="10"/>
  <c r="CD10" i="4"/>
  <c r="CD7" i="4"/>
  <c r="CD4" i="4"/>
  <c r="CD9" i="4"/>
  <c r="CD8" i="4"/>
  <c r="CD11" i="4"/>
  <c r="CD12" i="4"/>
  <c r="CD13" i="4"/>
  <c r="CD15" i="4"/>
  <c r="CD5" i="4"/>
  <c r="CD14" i="4"/>
  <c r="CD17" i="4"/>
  <c r="CD18" i="4"/>
  <c r="CD19" i="4"/>
  <c r="CD16" i="4"/>
  <c r="CD20" i="4"/>
  <c r="CD6" i="4"/>
  <c r="LF7" i="5"/>
  <c r="LF12" i="5"/>
  <c r="PV12" i="6"/>
  <c r="PV9" i="6"/>
  <c r="PV5" i="6"/>
  <c r="IP4" i="8"/>
  <c r="IP5" i="8"/>
  <c r="EE6" i="8"/>
  <c r="EE5" i="8"/>
  <c r="GX6" i="4"/>
  <c r="HC6" i="4"/>
  <c r="HS6" i="4"/>
  <c r="HX6" i="4"/>
  <c r="IN6" i="4"/>
  <c r="IS6" i="4"/>
  <c r="JI6" i="4"/>
  <c r="JN6" i="4"/>
  <c r="KD6" i="4"/>
  <c r="KI6" i="4"/>
  <c r="KY6" i="4"/>
  <c r="LD6" i="4"/>
  <c r="LT6" i="4"/>
  <c r="LY6" i="4"/>
  <c r="GX10" i="4"/>
  <c r="HC10" i="4"/>
  <c r="HS10" i="4"/>
  <c r="HX10" i="4"/>
  <c r="IN10" i="4"/>
  <c r="IS10" i="4"/>
  <c r="JI10" i="4"/>
  <c r="JN10" i="4"/>
  <c r="KD10" i="4"/>
  <c r="KI10" i="4"/>
  <c r="KY10" i="4"/>
  <c r="LD10" i="4"/>
  <c r="LT10" i="4"/>
  <c r="LY10" i="4"/>
  <c r="GX9" i="4"/>
  <c r="HC9" i="4"/>
  <c r="HS9" i="4"/>
  <c r="HX9" i="4"/>
  <c r="IN9" i="4"/>
  <c r="IS9" i="4"/>
  <c r="JI9" i="4"/>
  <c r="JN9" i="4"/>
  <c r="KD9" i="4"/>
  <c r="KI9" i="4"/>
  <c r="KY9" i="4"/>
  <c r="LD9" i="4"/>
  <c r="LT9" i="4"/>
  <c r="LY9" i="4"/>
  <c r="GX7" i="4"/>
  <c r="HC7" i="4"/>
  <c r="HS7" i="4"/>
  <c r="HX7" i="4"/>
  <c r="IN7" i="4"/>
  <c r="IS7" i="4"/>
  <c r="JI7" i="4"/>
  <c r="JN7" i="4"/>
  <c r="KD7" i="4"/>
  <c r="KI7" i="4"/>
  <c r="KY7" i="4"/>
  <c r="LD7" i="4"/>
  <c r="LT7" i="4"/>
  <c r="LY7" i="4"/>
  <c r="GX11" i="4"/>
  <c r="HC11" i="4"/>
  <c r="HS11" i="4"/>
  <c r="HX11" i="4"/>
  <c r="IN11" i="4"/>
  <c r="IS11" i="4"/>
  <c r="JI11" i="4"/>
  <c r="JN11" i="4"/>
  <c r="KD11" i="4"/>
  <c r="KI11" i="4"/>
  <c r="KY11" i="4"/>
  <c r="LD11" i="4"/>
  <c r="LT11" i="4"/>
  <c r="LY11" i="4"/>
  <c r="GX8" i="4"/>
  <c r="HC8" i="4"/>
  <c r="HS8" i="4"/>
  <c r="HX8" i="4"/>
  <c r="IN8" i="4"/>
  <c r="IS8" i="4"/>
  <c r="JI8" i="4"/>
  <c r="JN8" i="4"/>
  <c r="KD8" i="4"/>
  <c r="KI8" i="4"/>
  <c r="KY8" i="4"/>
  <c r="LD8" i="4"/>
  <c r="LY8" i="4"/>
  <c r="GX5" i="4"/>
  <c r="HC5" i="4"/>
  <c r="HS5" i="4"/>
  <c r="HX5" i="4"/>
  <c r="IN5" i="4"/>
  <c r="IS5" i="4"/>
  <c r="JI5" i="4"/>
  <c r="JN5" i="4"/>
  <c r="KD5" i="4"/>
  <c r="KI5" i="4"/>
  <c r="KY5" i="4"/>
  <c r="LD5" i="4"/>
  <c r="LT5" i="4"/>
  <c r="LY5" i="4"/>
  <c r="GX12" i="4"/>
  <c r="HC12" i="4"/>
  <c r="HS12" i="4"/>
  <c r="HX12" i="4"/>
  <c r="IN12" i="4"/>
  <c r="IS12" i="4"/>
  <c r="JI12" i="4"/>
  <c r="JN12" i="4"/>
  <c r="KD12" i="4"/>
  <c r="KI12" i="4"/>
  <c r="KY12" i="4"/>
  <c r="LD12" i="4"/>
  <c r="LT12" i="4"/>
  <c r="LY12" i="4"/>
  <c r="GX13" i="4"/>
  <c r="HC13" i="4"/>
  <c r="HS13" i="4"/>
  <c r="HX13" i="4"/>
  <c r="IN13" i="4"/>
  <c r="IS13" i="4"/>
  <c r="JI13" i="4"/>
  <c r="JN13" i="4"/>
  <c r="KD13" i="4"/>
  <c r="KI13" i="4"/>
  <c r="KY13" i="4"/>
  <c r="LD13" i="4"/>
  <c r="LT13" i="4"/>
  <c r="LY13" i="4"/>
  <c r="GX14" i="4"/>
  <c r="HC14" i="4"/>
  <c r="HS14" i="4"/>
  <c r="HX14" i="4"/>
  <c r="IN14" i="4"/>
  <c r="IS14" i="4"/>
  <c r="JI14" i="4"/>
  <c r="JN14" i="4"/>
  <c r="KD14" i="4"/>
  <c r="KI14" i="4"/>
  <c r="KY14" i="4"/>
  <c r="LD14" i="4"/>
  <c r="LT14" i="4"/>
  <c r="LY14" i="4"/>
  <c r="GX18" i="4"/>
  <c r="HC18" i="4"/>
  <c r="HS18" i="4"/>
  <c r="HX18" i="4"/>
  <c r="IN18" i="4"/>
  <c r="IS18" i="4"/>
  <c r="JI18" i="4"/>
  <c r="JN18" i="4"/>
  <c r="KD18" i="4"/>
  <c r="KI18" i="4"/>
  <c r="KY18" i="4"/>
  <c r="LD18" i="4"/>
  <c r="LT18" i="4"/>
  <c r="LY18" i="4"/>
  <c r="GX17" i="4"/>
  <c r="HC17" i="4"/>
  <c r="HS17" i="4"/>
  <c r="HX17" i="4"/>
  <c r="IN17" i="4"/>
  <c r="IS17" i="4"/>
  <c r="JI17" i="4"/>
  <c r="JN17" i="4"/>
  <c r="KD17" i="4"/>
  <c r="KI17" i="4"/>
  <c r="KY17" i="4"/>
  <c r="LD17" i="4"/>
  <c r="LT17" i="4"/>
  <c r="LY17" i="4"/>
  <c r="GX15" i="4"/>
  <c r="HC15" i="4"/>
  <c r="HS15" i="4"/>
  <c r="HX15" i="4"/>
  <c r="IN15" i="4"/>
  <c r="IS15" i="4"/>
  <c r="JI15" i="4"/>
  <c r="JN15" i="4"/>
  <c r="KD15" i="4"/>
  <c r="KI15" i="4"/>
  <c r="KY15" i="4"/>
  <c r="LD15" i="4"/>
  <c r="LT15" i="4"/>
  <c r="LY15" i="4"/>
  <c r="GX19" i="4"/>
  <c r="HC19" i="4"/>
  <c r="HS19" i="4"/>
  <c r="HX19" i="4"/>
  <c r="IN19" i="4"/>
  <c r="IS19" i="4"/>
  <c r="JI19" i="4"/>
  <c r="JN19" i="4"/>
  <c r="KD19" i="4"/>
  <c r="KI19" i="4"/>
  <c r="KY19" i="4"/>
  <c r="LD19" i="4"/>
  <c r="LT19" i="4"/>
  <c r="LY19" i="4"/>
  <c r="GX16" i="4"/>
  <c r="HC16" i="4"/>
  <c r="HS16" i="4"/>
  <c r="HX16" i="4"/>
  <c r="IN16" i="4"/>
  <c r="IS16" i="4"/>
  <c r="JI16" i="4"/>
  <c r="JN16" i="4"/>
  <c r="KD16" i="4"/>
  <c r="KI16" i="4"/>
  <c r="KY16" i="4"/>
  <c r="LD16" i="4"/>
  <c r="LT16" i="4"/>
  <c r="LY16" i="4"/>
  <c r="GX20" i="4"/>
  <c r="HC20" i="4"/>
  <c r="HS20" i="4"/>
  <c r="HX20" i="4"/>
  <c r="IN20" i="4"/>
  <c r="IS20" i="4"/>
  <c r="JI20" i="4"/>
  <c r="JN20" i="4"/>
  <c r="KD20" i="4"/>
  <c r="KI20" i="4"/>
  <c r="KY20" i="4"/>
  <c r="LD20" i="4"/>
  <c r="LT20" i="4"/>
  <c r="LY20" i="4"/>
  <c r="LY4" i="4"/>
  <c r="LT4" i="4"/>
  <c r="LD4" i="4"/>
  <c r="KY4" i="4"/>
  <c r="KI4" i="4"/>
  <c r="KD4" i="4"/>
  <c r="JN4" i="4"/>
  <c r="JI4" i="4"/>
  <c r="IS4" i="4"/>
  <c r="IN4" i="4"/>
  <c r="HX4" i="4"/>
  <c r="HS4" i="4"/>
  <c r="HC4" i="4"/>
  <c r="GX4" i="4"/>
  <c r="J11" i="5"/>
  <c r="DB11" i="5"/>
  <c r="L11" i="5"/>
  <c r="DC11" i="5"/>
  <c r="N11" i="5"/>
  <c r="Q11" i="5"/>
  <c r="P11" i="5"/>
  <c r="E11" i="5"/>
  <c r="J7" i="5"/>
  <c r="DB7" i="5"/>
  <c r="L7" i="5"/>
  <c r="DC7" i="5"/>
  <c r="N7" i="5"/>
  <c r="Q7" i="5"/>
  <c r="P7" i="5"/>
  <c r="E7" i="5"/>
  <c r="J6" i="5"/>
  <c r="L6" i="5"/>
  <c r="N6" i="5"/>
  <c r="Q6" i="5"/>
  <c r="P6" i="5"/>
  <c r="E6" i="5"/>
  <c r="J10" i="5"/>
  <c r="L10" i="5"/>
  <c r="BY10" i="5"/>
  <c r="N10" i="5"/>
  <c r="Q10" i="5"/>
  <c r="P10" i="5"/>
  <c r="E10" i="5"/>
  <c r="J13" i="5"/>
  <c r="L13" i="5"/>
  <c r="BY13" i="5"/>
  <c r="N13" i="5"/>
  <c r="Q13" i="5"/>
  <c r="P13" i="5"/>
  <c r="E13" i="5"/>
  <c r="J4" i="5"/>
  <c r="L4" i="5"/>
  <c r="N4" i="5"/>
  <c r="Q4" i="5"/>
  <c r="P4" i="5"/>
  <c r="E4" i="5"/>
  <c r="J5" i="5"/>
  <c r="L5" i="5"/>
  <c r="N5" i="5"/>
  <c r="P5" i="5"/>
  <c r="Q5" i="5"/>
  <c r="E5" i="5"/>
  <c r="J9" i="5"/>
  <c r="BX9" i="5"/>
  <c r="L9" i="5"/>
  <c r="BY9" i="5"/>
  <c r="N9" i="5"/>
  <c r="P9" i="5"/>
  <c r="Q9" i="5"/>
  <c r="E9" i="5"/>
  <c r="J12" i="5"/>
  <c r="BX12" i="5"/>
  <c r="L12" i="5"/>
  <c r="BY12" i="5"/>
  <c r="N12" i="5"/>
  <c r="P12" i="5"/>
  <c r="Q12" i="5"/>
  <c r="E12" i="5"/>
  <c r="J8" i="5"/>
  <c r="DB8" i="5"/>
  <c r="L8" i="5"/>
  <c r="DC8" i="5"/>
  <c r="N8" i="5"/>
  <c r="P8" i="5"/>
  <c r="Q8" i="5"/>
  <c r="E8" i="5"/>
  <c r="J5" i="10"/>
  <c r="L5" i="10"/>
  <c r="N5" i="10"/>
  <c r="Q5" i="10"/>
  <c r="P5" i="10"/>
  <c r="E5" i="10"/>
  <c r="J4" i="10"/>
  <c r="L4" i="10"/>
  <c r="N4" i="10"/>
  <c r="Q4" i="10"/>
  <c r="P4" i="10"/>
  <c r="E4" i="10"/>
  <c r="J12" i="2"/>
  <c r="L12" i="2"/>
  <c r="N12" i="2"/>
  <c r="Q12" i="2"/>
  <c r="P12" i="2"/>
  <c r="E12" i="2"/>
  <c r="J4" i="2"/>
  <c r="L4" i="2"/>
  <c r="N4" i="2"/>
  <c r="P4" i="2"/>
  <c r="Q4" i="2"/>
  <c r="E4" i="2"/>
  <c r="J6" i="2"/>
  <c r="L6" i="2"/>
  <c r="N6" i="2"/>
  <c r="P6" i="2"/>
  <c r="Q6" i="2"/>
  <c r="E6" i="2"/>
  <c r="J5" i="2"/>
  <c r="L5" i="2"/>
  <c r="N5" i="2"/>
  <c r="P5" i="2"/>
  <c r="Q5" i="2"/>
  <c r="E5" i="2"/>
  <c r="J7" i="2"/>
  <c r="L7" i="2"/>
  <c r="N7" i="2"/>
  <c r="P7" i="2"/>
  <c r="Q7" i="2"/>
  <c r="E7" i="2"/>
  <c r="J8" i="2"/>
  <c r="L8" i="2"/>
  <c r="N8" i="2"/>
  <c r="P8" i="2"/>
  <c r="Q8" i="2"/>
  <c r="E8" i="2"/>
  <c r="J9" i="2"/>
  <c r="L9" i="2"/>
  <c r="N9" i="2"/>
  <c r="P9" i="2"/>
  <c r="Q9" i="2"/>
  <c r="E9" i="2"/>
  <c r="J10" i="2"/>
  <c r="L10" i="2"/>
  <c r="N10" i="2"/>
  <c r="P10" i="2"/>
  <c r="Q10" i="2"/>
  <c r="E10" i="2"/>
  <c r="J11" i="2"/>
  <c r="L11" i="2"/>
  <c r="N11" i="2"/>
  <c r="P11" i="2"/>
  <c r="Q11" i="2"/>
  <c r="E11" i="2"/>
  <c r="J13" i="2"/>
  <c r="L13" i="2"/>
  <c r="N13" i="2"/>
  <c r="P13" i="2"/>
  <c r="Q13" i="2"/>
  <c r="E13" i="2"/>
  <c r="QZ14" i="5"/>
  <c r="RC14" i="5"/>
  <c r="RD14" i="5"/>
  <c r="RB14" i="5"/>
  <c r="RA14" i="5"/>
  <c r="QY14" i="5"/>
  <c r="PV14" i="5"/>
  <c r="PY14" i="5"/>
  <c r="PZ14" i="5"/>
  <c r="PX14" i="5"/>
  <c r="PW14" i="5"/>
  <c r="PU14" i="5"/>
  <c r="QZ13" i="5"/>
  <c r="RD13" i="5"/>
  <c r="QY13" i="5"/>
  <c r="PV13" i="5"/>
  <c r="PZ13" i="5"/>
  <c r="PU13" i="5"/>
  <c r="QZ12" i="5"/>
  <c r="RD12" i="5"/>
  <c r="QY12" i="5"/>
  <c r="PV12" i="5"/>
  <c r="PZ12" i="5"/>
  <c r="PU12" i="5"/>
  <c r="QZ10" i="5"/>
  <c r="RD10" i="5"/>
  <c r="QY10" i="5"/>
  <c r="PV10" i="5"/>
  <c r="PZ10" i="5"/>
  <c r="PU10" i="5"/>
  <c r="QZ9" i="5"/>
  <c r="RD9" i="5"/>
  <c r="QY9" i="5"/>
  <c r="PV9" i="5"/>
  <c r="PZ9" i="5"/>
  <c r="PU9" i="5"/>
  <c r="QZ7" i="5"/>
  <c r="RD7" i="5"/>
  <c r="QY7" i="5"/>
  <c r="PV7" i="5"/>
  <c r="PZ7" i="5"/>
  <c r="PU7" i="5"/>
  <c r="QZ8" i="5"/>
  <c r="RD8" i="5"/>
  <c r="QY8" i="5"/>
  <c r="PV8" i="5"/>
  <c r="PZ8" i="5"/>
  <c r="PU8" i="5"/>
  <c r="QZ6" i="5"/>
  <c r="RD6" i="5"/>
  <c r="QY6" i="5"/>
  <c r="PV6" i="5"/>
  <c r="PZ6" i="5"/>
  <c r="PU6" i="5"/>
  <c r="QZ5" i="5"/>
  <c r="RD5" i="5"/>
  <c r="QY5" i="5"/>
  <c r="PV5" i="5"/>
  <c r="PZ5" i="5"/>
  <c r="PU5" i="5"/>
  <c r="QZ4" i="5"/>
  <c r="RD4" i="5"/>
  <c r="QY4" i="5"/>
  <c r="PV4" i="5"/>
  <c r="PZ4" i="5"/>
  <c r="PU4" i="5"/>
  <c r="OR14" i="5"/>
  <c r="OU14" i="5"/>
  <c r="OV14" i="5"/>
  <c r="OT14" i="5"/>
  <c r="OS14" i="5"/>
  <c r="OQ14" i="5"/>
  <c r="NN14" i="5"/>
  <c r="NQ14" i="5"/>
  <c r="NR14" i="5"/>
  <c r="NP14" i="5"/>
  <c r="NO14" i="5"/>
  <c r="NM14" i="5"/>
  <c r="OR13" i="5"/>
  <c r="OV13" i="5"/>
  <c r="OQ13" i="5"/>
  <c r="NN13" i="5"/>
  <c r="NQ13" i="5"/>
  <c r="NR13" i="5"/>
  <c r="NM13" i="5"/>
  <c r="OR12" i="5"/>
  <c r="OV12" i="5"/>
  <c r="OQ12" i="5"/>
  <c r="NN12" i="5"/>
  <c r="NQ12" i="5"/>
  <c r="NR12" i="5"/>
  <c r="NM12" i="5"/>
  <c r="OR10" i="5"/>
  <c r="OV10" i="5"/>
  <c r="OQ10" i="5"/>
  <c r="NN10" i="5"/>
  <c r="NQ10" i="5"/>
  <c r="NR10" i="5"/>
  <c r="NM10" i="5"/>
  <c r="OR9" i="5"/>
  <c r="OV9" i="5"/>
  <c r="OQ9" i="5"/>
  <c r="NN9" i="5"/>
  <c r="NQ9" i="5"/>
  <c r="NR9" i="5"/>
  <c r="NM9" i="5"/>
  <c r="OR7" i="5"/>
  <c r="OV7" i="5"/>
  <c r="OQ7" i="5"/>
  <c r="NN7" i="5"/>
  <c r="NQ7" i="5"/>
  <c r="NR7" i="5"/>
  <c r="NM7" i="5"/>
  <c r="OR8" i="5"/>
  <c r="OV8" i="5"/>
  <c r="OQ8" i="5"/>
  <c r="NN8" i="5"/>
  <c r="NQ8" i="5"/>
  <c r="NR8" i="5"/>
  <c r="NM8" i="5"/>
  <c r="OR6" i="5"/>
  <c r="OV6" i="5"/>
  <c r="OQ6" i="5"/>
  <c r="NN6" i="5"/>
  <c r="NQ6" i="5"/>
  <c r="NR6" i="5"/>
  <c r="NM6" i="5"/>
  <c r="OR5" i="5"/>
  <c r="OV5" i="5"/>
  <c r="OQ5" i="5"/>
  <c r="NN5" i="5"/>
  <c r="NQ5" i="5"/>
  <c r="NR5" i="5"/>
  <c r="NM5" i="5"/>
  <c r="OR4" i="5"/>
  <c r="OV4" i="5"/>
  <c r="OQ4" i="5"/>
  <c r="NN4" i="5"/>
  <c r="NQ4" i="5"/>
  <c r="NR4" i="5"/>
  <c r="NM4" i="5"/>
  <c r="MJ14" i="5"/>
  <c r="MM14" i="5"/>
  <c r="MN14" i="5"/>
  <c r="ML14" i="5"/>
  <c r="MK14" i="5"/>
  <c r="MI14" i="5"/>
  <c r="LF14" i="5"/>
  <c r="LI14" i="5"/>
  <c r="LJ14" i="5"/>
  <c r="LH14" i="5"/>
  <c r="LG14" i="5"/>
  <c r="LE14" i="5"/>
  <c r="MJ13" i="5"/>
  <c r="MN13" i="5"/>
  <c r="MI13" i="5"/>
  <c r="LF13" i="5"/>
  <c r="LJ13" i="5"/>
  <c r="LE13" i="5"/>
  <c r="MJ12" i="5"/>
  <c r="MN12" i="5"/>
  <c r="MI12" i="5"/>
  <c r="LJ12" i="5"/>
  <c r="LE12" i="5"/>
  <c r="MJ10" i="5"/>
  <c r="MN10" i="5"/>
  <c r="MI10" i="5"/>
  <c r="LF10" i="5"/>
  <c r="LJ10" i="5"/>
  <c r="LE10" i="5"/>
  <c r="MJ9" i="5"/>
  <c r="MN9" i="5"/>
  <c r="MI9" i="5"/>
  <c r="LF9" i="5"/>
  <c r="LJ9" i="5"/>
  <c r="LE9" i="5"/>
  <c r="MJ7" i="5"/>
  <c r="MN7" i="5"/>
  <c r="MI7" i="5"/>
  <c r="LJ7" i="5"/>
  <c r="LE7" i="5"/>
  <c r="MJ8" i="5"/>
  <c r="MN8" i="5"/>
  <c r="MI8" i="5"/>
  <c r="LF8" i="5"/>
  <c r="LJ8" i="5"/>
  <c r="LE8" i="5"/>
  <c r="MJ6" i="5"/>
  <c r="MN6" i="5"/>
  <c r="MI6" i="5"/>
  <c r="LF6" i="5"/>
  <c r="LJ6" i="5"/>
  <c r="LE6" i="5"/>
  <c r="MJ5" i="5"/>
  <c r="MN5" i="5"/>
  <c r="MI5" i="5"/>
  <c r="LF5" i="5"/>
  <c r="LJ5" i="5"/>
  <c r="LE5" i="5"/>
  <c r="MJ4" i="5"/>
  <c r="MN4" i="5"/>
  <c r="MI4" i="5"/>
  <c r="LF4" i="5"/>
  <c r="LJ4" i="5"/>
  <c r="LE4" i="5"/>
  <c r="KB5" i="5"/>
  <c r="KB6" i="5"/>
  <c r="KB8" i="5"/>
  <c r="KB7" i="5"/>
  <c r="KB9" i="5"/>
  <c r="KB10" i="5"/>
  <c r="KB12" i="5"/>
  <c r="KB13" i="5"/>
  <c r="KB14" i="5"/>
  <c r="KB4" i="5"/>
  <c r="IX5" i="5"/>
  <c r="IX6" i="5"/>
  <c r="IX8" i="5"/>
  <c r="IX7" i="5"/>
  <c r="IX9" i="5"/>
  <c r="IX10" i="5"/>
  <c r="IX12" i="5"/>
  <c r="IX13" i="5"/>
  <c r="IX14" i="5"/>
  <c r="IX4" i="5"/>
  <c r="HT5" i="5"/>
  <c r="HT6" i="5"/>
  <c r="HT8" i="5"/>
  <c r="HT7" i="5"/>
  <c r="HT9" i="5"/>
  <c r="HT10" i="5"/>
  <c r="HT12" i="5"/>
  <c r="HT13" i="5"/>
  <c r="HT14" i="5"/>
  <c r="HT4" i="5"/>
  <c r="GP10" i="5"/>
  <c r="GP13" i="5"/>
  <c r="GP4" i="5"/>
  <c r="GP12" i="5"/>
  <c r="GP5" i="5"/>
  <c r="GP6" i="5"/>
  <c r="GP8" i="5"/>
  <c r="GP9" i="5"/>
  <c r="GP7" i="5"/>
  <c r="FL5" i="5"/>
  <c r="FL6" i="5"/>
  <c r="FL12" i="5"/>
  <c r="FL13" i="5"/>
  <c r="FL9" i="5"/>
  <c r="FL10" i="5"/>
  <c r="FL11" i="5"/>
  <c r="FL8" i="5"/>
  <c r="FL7" i="5"/>
  <c r="FL4" i="5"/>
  <c r="EH5" i="5"/>
  <c r="EH6" i="5"/>
  <c r="EH12" i="5"/>
  <c r="EH13" i="5"/>
  <c r="EH9" i="5"/>
  <c r="EH10" i="5"/>
  <c r="EH11" i="5"/>
  <c r="EH8" i="5"/>
  <c r="EH7" i="5"/>
  <c r="EH4" i="5"/>
  <c r="QZ8" i="6"/>
  <c r="RD8" i="6"/>
  <c r="QY8" i="6"/>
  <c r="PV8" i="6"/>
  <c r="PZ8" i="6"/>
  <c r="PU8" i="6"/>
  <c r="QZ10" i="6"/>
  <c r="RD10" i="6"/>
  <c r="QY10" i="6"/>
  <c r="PV10" i="6"/>
  <c r="PZ10" i="6"/>
  <c r="PU10" i="6"/>
  <c r="QZ6" i="6"/>
  <c r="RD6" i="6"/>
  <c r="QY6" i="6"/>
  <c r="PV6" i="6"/>
  <c r="PZ6" i="6"/>
  <c r="PU6" i="6"/>
  <c r="QZ12" i="6"/>
  <c r="RD12" i="6"/>
  <c r="QY12" i="6"/>
  <c r="PZ12" i="6"/>
  <c r="PU12" i="6"/>
  <c r="QZ11" i="6"/>
  <c r="RD11" i="6"/>
  <c r="QY11" i="6"/>
  <c r="PV11" i="6"/>
  <c r="PZ11" i="6"/>
  <c r="PU11" i="6"/>
  <c r="QZ13" i="6"/>
  <c r="RD13" i="6"/>
  <c r="QY13" i="6"/>
  <c r="PV13" i="6"/>
  <c r="PZ13" i="6"/>
  <c r="PU13" i="6"/>
  <c r="QZ9" i="6"/>
  <c r="RD9" i="6"/>
  <c r="QY9" i="6"/>
  <c r="PZ9" i="6"/>
  <c r="PU9" i="6"/>
  <c r="QZ7" i="6"/>
  <c r="RD7" i="6"/>
  <c r="QY7" i="6"/>
  <c r="PV7" i="6"/>
  <c r="PZ7" i="6"/>
  <c r="PU7" i="6"/>
  <c r="QZ5" i="6"/>
  <c r="RD5" i="6"/>
  <c r="QY5" i="6"/>
  <c r="PZ5" i="6"/>
  <c r="PU5" i="6"/>
  <c r="QZ4" i="6"/>
  <c r="RD4" i="6"/>
  <c r="QY4" i="6"/>
  <c r="PV4" i="6"/>
  <c r="PZ4" i="6"/>
  <c r="PU4" i="6"/>
  <c r="OR8" i="6"/>
  <c r="OV8" i="6"/>
  <c r="OQ8" i="6"/>
  <c r="NN8" i="6"/>
  <c r="NQ8" i="6"/>
  <c r="NR8" i="6"/>
  <c r="NM8" i="6"/>
  <c r="OR10" i="6"/>
  <c r="OV10" i="6"/>
  <c r="OQ10" i="6"/>
  <c r="NN10" i="6"/>
  <c r="NQ10" i="6"/>
  <c r="NR10" i="6"/>
  <c r="NM10" i="6"/>
  <c r="OR6" i="6"/>
  <c r="OV6" i="6"/>
  <c r="OQ6" i="6"/>
  <c r="NN6" i="6"/>
  <c r="NQ6" i="6"/>
  <c r="NR6" i="6"/>
  <c r="NM6" i="6"/>
  <c r="OR12" i="6"/>
  <c r="OV12" i="6"/>
  <c r="OQ12" i="6"/>
  <c r="NN12" i="6"/>
  <c r="NQ12" i="6"/>
  <c r="NR12" i="6"/>
  <c r="NM12" i="6"/>
  <c r="OR11" i="6"/>
  <c r="OV11" i="6"/>
  <c r="OQ11" i="6"/>
  <c r="NN11" i="6"/>
  <c r="NQ11" i="6"/>
  <c r="NR11" i="6"/>
  <c r="NM11" i="6"/>
  <c r="OR13" i="6"/>
  <c r="OV13" i="6"/>
  <c r="OQ13" i="6"/>
  <c r="NN13" i="6"/>
  <c r="NQ13" i="6"/>
  <c r="NR13" i="6"/>
  <c r="NM13" i="6"/>
  <c r="OR9" i="6"/>
  <c r="OV9" i="6"/>
  <c r="OQ9" i="6"/>
  <c r="NN9" i="6"/>
  <c r="NQ9" i="6"/>
  <c r="NR9" i="6"/>
  <c r="NM9" i="6"/>
  <c r="OR7" i="6"/>
  <c r="OV7" i="6"/>
  <c r="OQ7" i="6"/>
  <c r="NN7" i="6"/>
  <c r="NQ7" i="6"/>
  <c r="NR7" i="6"/>
  <c r="NM7" i="6"/>
  <c r="OR5" i="6"/>
  <c r="OV5" i="6"/>
  <c r="OQ5" i="6"/>
  <c r="NN5" i="6"/>
  <c r="NQ5" i="6"/>
  <c r="NR5" i="6"/>
  <c r="NM5" i="6"/>
  <c r="OR4" i="6"/>
  <c r="OV4" i="6"/>
  <c r="OQ4" i="6"/>
  <c r="NN4" i="6"/>
  <c r="NQ4" i="6"/>
  <c r="NR4" i="6"/>
  <c r="NM4" i="6"/>
  <c r="MJ8" i="6"/>
  <c r="MN8" i="6"/>
  <c r="MI8" i="6"/>
  <c r="LF8" i="6"/>
  <c r="LJ8" i="6"/>
  <c r="LE8" i="6"/>
  <c r="MJ10" i="6"/>
  <c r="MN10" i="6"/>
  <c r="MI10" i="6"/>
  <c r="LF10" i="6"/>
  <c r="LJ10" i="6"/>
  <c r="LE10" i="6"/>
  <c r="MJ6" i="6"/>
  <c r="MN6" i="6"/>
  <c r="MI6" i="6"/>
  <c r="LF6" i="6"/>
  <c r="LJ6" i="6"/>
  <c r="LE6" i="6"/>
  <c r="MJ12" i="6"/>
  <c r="MN12" i="6"/>
  <c r="MI12" i="6"/>
  <c r="LF12" i="6"/>
  <c r="LJ12" i="6"/>
  <c r="LE12" i="6"/>
  <c r="MJ11" i="6"/>
  <c r="MN11" i="6"/>
  <c r="MI11" i="6"/>
  <c r="LF11" i="6"/>
  <c r="LJ11" i="6"/>
  <c r="LE11" i="6"/>
  <c r="MJ13" i="6"/>
  <c r="MN13" i="6"/>
  <c r="MI13" i="6"/>
  <c r="LF13" i="6"/>
  <c r="LJ13" i="6"/>
  <c r="LE13" i="6"/>
  <c r="MJ9" i="6"/>
  <c r="MN9" i="6"/>
  <c r="MI9" i="6"/>
  <c r="LF9" i="6"/>
  <c r="LJ9" i="6"/>
  <c r="LE9" i="6"/>
  <c r="MJ7" i="6"/>
  <c r="MN7" i="6"/>
  <c r="MI7" i="6"/>
  <c r="LF7" i="6"/>
  <c r="LJ7" i="6"/>
  <c r="LE7" i="6"/>
  <c r="MJ5" i="6"/>
  <c r="MN5" i="6"/>
  <c r="MI5" i="6"/>
  <c r="LF5" i="6"/>
  <c r="LJ5" i="6"/>
  <c r="LE5" i="6"/>
  <c r="MJ4" i="6"/>
  <c r="MN4" i="6"/>
  <c r="MI4" i="6"/>
  <c r="LF4" i="6"/>
  <c r="LJ4" i="6"/>
  <c r="LE4" i="6"/>
  <c r="KB5" i="6"/>
  <c r="KB7" i="6"/>
  <c r="KB9" i="6"/>
  <c r="KB13" i="6"/>
  <c r="KB11" i="6"/>
  <c r="KB12" i="6"/>
  <c r="KB6" i="6"/>
  <c r="KB10" i="6"/>
  <c r="KB8" i="6"/>
  <c r="KB4" i="6"/>
  <c r="IX5" i="6"/>
  <c r="IX7" i="6"/>
  <c r="IX9" i="6"/>
  <c r="IX13" i="6"/>
  <c r="IX11" i="6"/>
  <c r="IX12" i="6"/>
  <c r="IX6" i="6"/>
  <c r="IX10" i="6"/>
  <c r="IX8" i="6"/>
  <c r="IX4" i="6"/>
  <c r="HT5" i="6"/>
  <c r="HT7" i="6"/>
  <c r="HT9" i="6"/>
  <c r="HT13" i="6"/>
  <c r="HT11" i="6"/>
  <c r="HT12" i="6"/>
  <c r="HT6" i="6"/>
  <c r="HT10" i="6"/>
  <c r="HT8" i="6"/>
  <c r="HT4" i="6"/>
  <c r="GP5" i="6"/>
  <c r="GP7" i="6"/>
  <c r="GP9" i="6"/>
  <c r="GP13" i="6"/>
  <c r="GP11" i="6"/>
  <c r="GP12" i="6"/>
  <c r="GP6" i="6"/>
  <c r="GP10" i="6"/>
  <c r="GP8" i="6"/>
  <c r="GP4" i="6"/>
  <c r="FL5" i="6"/>
  <c r="FL7" i="6"/>
  <c r="FL9" i="6"/>
  <c r="FL13" i="6"/>
  <c r="FL11" i="6"/>
  <c r="FL12" i="6"/>
  <c r="FL6" i="6"/>
  <c r="FL10" i="6"/>
  <c r="FL8" i="6"/>
  <c r="FL4" i="6"/>
  <c r="EH5" i="6"/>
  <c r="EH7" i="6"/>
  <c r="EH9" i="6"/>
  <c r="EH13" i="6"/>
  <c r="EH11" i="6"/>
  <c r="EH12" i="6"/>
  <c r="EH6" i="6"/>
  <c r="EH10" i="6"/>
  <c r="EH8" i="6"/>
  <c r="EH4" i="6"/>
  <c r="NA7" i="8"/>
  <c r="NC7" i="8"/>
  <c r="MX7" i="8"/>
  <c r="MW7" i="8"/>
  <c r="MD7" i="8"/>
  <c r="MF7" i="8"/>
  <c r="MA7" i="8"/>
  <c r="LZ7" i="8"/>
  <c r="NA6" i="8"/>
  <c r="NC6" i="8"/>
  <c r="MX6" i="8"/>
  <c r="MW6" i="8"/>
  <c r="MD6" i="8"/>
  <c r="MF6" i="8"/>
  <c r="MA6" i="8"/>
  <c r="LZ6" i="8"/>
  <c r="NA5" i="8"/>
  <c r="NC5" i="8"/>
  <c r="MX5" i="8"/>
  <c r="MW5" i="8"/>
  <c r="MD5" i="8"/>
  <c r="MF5" i="8"/>
  <c r="MA5" i="8"/>
  <c r="LZ5" i="8"/>
  <c r="NA4" i="8"/>
  <c r="NC4" i="8"/>
  <c r="MX4" i="8"/>
  <c r="MW4" i="8"/>
  <c r="MD4" i="8"/>
  <c r="MF4" i="8"/>
  <c r="MA4" i="8"/>
  <c r="LZ4" i="8"/>
  <c r="LG7" i="8"/>
  <c r="LI7" i="8"/>
  <c r="LD7" i="8"/>
  <c r="LC7" i="8"/>
  <c r="KJ7" i="8"/>
  <c r="KL7" i="8"/>
  <c r="KG7" i="8"/>
  <c r="KF7" i="8"/>
  <c r="LG6" i="8"/>
  <c r="LI6" i="8"/>
  <c r="LD6" i="8"/>
  <c r="LC6" i="8"/>
  <c r="KJ6" i="8"/>
  <c r="KL6" i="8"/>
  <c r="KG6" i="8"/>
  <c r="KF6" i="8"/>
  <c r="LG5" i="8"/>
  <c r="LI5" i="8"/>
  <c r="LD5" i="8"/>
  <c r="LC5" i="8"/>
  <c r="KJ5" i="8"/>
  <c r="KL5" i="8"/>
  <c r="KG5" i="8"/>
  <c r="KF5" i="8"/>
  <c r="LG4" i="8"/>
  <c r="LI4" i="8"/>
  <c r="LD4" i="8"/>
  <c r="LC4" i="8"/>
  <c r="KJ4" i="8"/>
  <c r="KL4" i="8"/>
  <c r="KG4" i="8"/>
  <c r="KF4" i="8"/>
  <c r="JM7" i="8"/>
  <c r="JO7" i="8"/>
  <c r="JJ7" i="8"/>
  <c r="JI7" i="8"/>
  <c r="IP7" i="8"/>
  <c r="IR7" i="8"/>
  <c r="IM7" i="8"/>
  <c r="IL7" i="8"/>
  <c r="JM6" i="8"/>
  <c r="JO6" i="8"/>
  <c r="JJ6" i="8"/>
  <c r="JI6" i="8"/>
  <c r="IP6" i="8"/>
  <c r="IR6" i="8"/>
  <c r="IM6" i="8"/>
  <c r="IL6" i="8"/>
  <c r="JM5" i="8"/>
  <c r="JO5" i="8"/>
  <c r="JJ5" i="8"/>
  <c r="JI5" i="8"/>
  <c r="IR5" i="8"/>
  <c r="IM5" i="8"/>
  <c r="IL5" i="8"/>
  <c r="JM4" i="8"/>
  <c r="JO4" i="8"/>
  <c r="JJ4" i="8"/>
  <c r="JI4" i="8"/>
  <c r="IR4" i="8"/>
  <c r="IM4" i="8"/>
  <c r="IL4" i="8"/>
  <c r="HS7" i="8"/>
  <c r="HU7" i="8"/>
  <c r="HP7" i="8"/>
  <c r="HO7" i="8"/>
  <c r="GV7" i="8"/>
  <c r="GX7" i="8"/>
  <c r="GS7" i="8"/>
  <c r="GR7" i="8"/>
  <c r="HS6" i="8"/>
  <c r="HU6" i="8"/>
  <c r="HP6" i="8"/>
  <c r="HO6" i="8"/>
  <c r="GV6" i="8"/>
  <c r="GX6" i="8"/>
  <c r="GS6" i="8"/>
  <c r="GR6" i="8"/>
  <c r="HS5" i="8"/>
  <c r="HU5" i="8"/>
  <c r="HP5" i="8"/>
  <c r="HO5" i="8"/>
  <c r="GV5" i="8"/>
  <c r="GX5" i="8"/>
  <c r="GS5" i="8"/>
  <c r="GR5" i="8"/>
  <c r="HS4" i="8"/>
  <c r="HU4" i="8"/>
  <c r="HP4" i="8"/>
  <c r="HO4" i="8"/>
  <c r="GV4" i="8"/>
  <c r="GX4" i="8"/>
  <c r="GS4" i="8"/>
  <c r="GR4" i="8"/>
  <c r="FY5" i="8"/>
  <c r="FY6" i="8"/>
  <c r="FY7" i="8"/>
  <c r="FY4" i="8"/>
  <c r="FB5" i="8"/>
  <c r="FB6" i="8"/>
  <c r="FB7" i="8"/>
  <c r="FB4" i="8"/>
  <c r="EE7" i="8"/>
  <c r="EE4" i="8"/>
  <c r="DH5" i="8"/>
  <c r="DH6" i="8"/>
  <c r="DH7" i="8"/>
  <c r="DH4" i="8"/>
  <c r="EX5" i="7"/>
  <c r="EY5" i="7"/>
  <c r="FB5" i="7"/>
  <c r="FD5" i="7"/>
  <c r="FU5" i="7"/>
  <c r="FV5" i="7"/>
  <c r="FY5" i="7"/>
  <c r="GA5" i="7"/>
  <c r="GR5" i="7"/>
  <c r="GS5" i="7"/>
  <c r="GV5" i="7"/>
  <c r="GX5" i="7"/>
  <c r="HO5" i="7"/>
  <c r="HP5" i="7"/>
  <c r="HS5" i="7"/>
  <c r="HU5" i="7"/>
  <c r="IL5" i="7"/>
  <c r="IM5" i="7"/>
  <c r="IP5" i="7"/>
  <c r="IR5" i="7"/>
  <c r="JI5" i="7"/>
  <c r="JJ5" i="7"/>
  <c r="JM5" i="7"/>
  <c r="JO5" i="7"/>
  <c r="KF5" i="7"/>
  <c r="KG5" i="7"/>
  <c r="KJ5" i="7"/>
  <c r="KL5" i="7"/>
  <c r="LC5" i="7"/>
  <c r="LD5" i="7"/>
  <c r="LG5" i="7"/>
  <c r="LI5" i="7"/>
  <c r="LZ5" i="7"/>
  <c r="MA5" i="7"/>
  <c r="MD5" i="7"/>
  <c r="MF5" i="7"/>
  <c r="MW5" i="7"/>
  <c r="MX5" i="7"/>
  <c r="NA5" i="7"/>
  <c r="NC5" i="7"/>
  <c r="EX6" i="7"/>
  <c r="EY6" i="7"/>
  <c r="FB6" i="7"/>
  <c r="FD6" i="7"/>
  <c r="FU6" i="7"/>
  <c r="FV6" i="7"/>
  <c r="FY6" i="7"/>
  <c r="GA6" i="7"/>
  <c r="GR6" i="7"/>
  <c r="GS6" i="7"/>
  <c r="GV6" i="7"/>
  <c r="GX6" i="7"/>
  <c r="HO6" i="7"/>
  <c r="HP6" i="7"/>
  <c r="HS6" i="7"/>
  <c r="HU6" i="7"/>
  <c r="IL6" i="7"/>
  <c r="IM6" i="7"/>
  <c r="IP6" i="7"/>
  <c r="IR6" i="7"/>
  <c r="JI6" i="7"/>
  <c r="JJ6" i="7"/>
  <c r="JM6" i="7"/>
  <c r="JO6" i="7"/>
  <c r="KF6" i="7"/>
  <c r="KG6" i="7"/>
  <c r="KJ6" i="7"/>
  <c r="KL6" i="7"/>
  <c r="LC6" i="7"/>
  <c r="LD6" i="7"/>
  <c r="LG6" i="7"/>
  <c r="LI6" i="7"/>
  <c r="LZ6" i="7"/>
  <c r="MA6" i="7"/>
  <c r="MD6" i="7"/>
  <c r="MF6" i="7"/>
  <c r="MW6" i="7"/>
  <c r="MX6" i="7"/>
  <c r="NA6" i="7"/>
  <c r="NC6" i="7"/>
  <c r="EX7" i="7"/>
  <c r="EY7" i="7"/>
  <c r="FB7" i="7"/>
  <c r="FD7" i="7"/>
  <c r="FU7" i="7"/>
  <c r="FV7" i="7"/>
  <c r="FY7" i="7"/>
  <c r="GA7" i="7"/>
  <c r="GR7" i="7"/>
  <c r="GS7" i="7"/>
  <c r="GV7" i="7"/>
  <c r="GX7" i="7"/>
  <c r="HO7" i="7"/>
  <c r="HP7" i="7"/>
  <c r="HS7" i="7"/>
  <c r="HU7" i="7"/>
  <c r="IL7" i="7"/>
  <c r="IM7" i="7"/>
  <c r="IP7" i="7"/>
  <c r="IR7" i="7"/>
  <c r="JI7" i="7"/>
  <c r="JJ7" i="7"/>
  <c r="JM7" i="7"/>
  <c r="JO7" i="7"/>
  <c r="KF7" i="7"/>
  <c r="KG7" i="7"/>
  <c r="KJ7" i="7"/>
  <c r="KL7" i="7"/>
  <c r="LC7" i="7"/>
  <c r="LD7" i="7"/>
  <c r="LG7" i="7"/>
  <c r="LI7" i="7"/>
  <c r="LZ7" i="7"/>
  <c r="MA7" i="7"/>
  <c r="MD7" i="7"/>
  <c r="MF7" i="7"/>
  <c r="MW7" i="7"/>
  <c r="MX7" i="7"/>
  <c r="NA7" i="7"/>
  <c r="NC7" i="7"/>
  <c r="EX8" i="7"/>
  <c r="EY8" i="7"/>
  <c r="FB8" i="7"/>
  <c r="FD8" i="7"/>
  <c r="FU8" i="7"/>
  <c r="FV8" i="7"/>
  <c r="FY8" i="7"/>
  <c r="GA8" i="7"/>
  <c r="GR8" i="7"/>
  <c r="GS8" i="7"/>
  <c r="GV8" i="7"/>
  <c r="GX8" i="7"/>
  <c r="HO8" i="7"/>
  <c r="HP8" i="7"/>
  <c r="HS8" i="7"/>
  <c r="HU8" i="7"/>
  <c r="IL8" i="7"/>
  <c r="IM8" i="7"/>
  <c r="IP8" i="7"/>
  <c r="IR8" i="7"/>
  <c r="JI8" i="7"/>
  <c r="JJ8" i="7"/>
  <c r="JM8" i="7"/>
  <c r="JO8" i="7"/>
  <c r="KF8" i="7"/>
  <c r="KG8" i="7"/>
  <c r="KJ8" i="7"/>
  <c r="KL8" i="7"/>
  <c r="LC8" i="7"/>
  <c r="LD8" i="7"/>
  <c r="LG8" i="7"/>
  <c r="LI8" i="7"/>
  <c r="LZ8" i="7"/>
  <c r="MA8" i="7"/>
  <c r="MD8" i="7"/>
  <c r="MF8" i="7"/>
  <c r="MW8" i="7"/>
  <c r="MX8" i="7"/>
  <c r="NA8" i="7"/>
  <c r="NC8" i="7"/>
  <c r="NA4" i="7"/>
  <c r="NC4" i="7"/>
  <c r="MX4" i="7"/>
  <c r="MW4" i="7"/>
  <c r="MD4" i="7"/>
  <c r="MF4" i="7"/>
  <c r="MA4" i="7"/>
  <c r="LZ4" i="7"/>
  <c r="LG4" i="7"/>
  <c r="LI4" i="7"/>
  <c r="LD4" i="7"/>
  <c r="LC4" i="7"/>
  <c r="KJ4" i="7"/>
  <c r="KL4" i="7"/>
  <c r="KG4" i="7"/>
  <c r="KF4" i="7"/>
  <c r="JM4" i="7"/>
  <c r="JO4" i="7"/>
  <c r="JJ4" i="7"/>
  <c r="JI4" i="7"/>
  <c r="IP4" i="7"/>
  <c r="IR4" i="7"/>
  <c r="IM4" i="7"/>
  <c r="IL4" i="7"/>
  <c r="HS4" i="7"/>
  <c r="HU4" i="7"/>
  <c r="HP4" i="7"/>
  <c r="HO4" i="7"/>
  <c r="GV4" i="7"/>
  <c r="GX4" i="7"/>
  <c r="GS4" i="7"/>
  <c r="GR4" i="7"/>
  <c r="FY4" i="7"/>
  <c r="FB4" i="7"/>
  <c r="EE5" i="7"/>
  <c r="EE6" i="7"/>
  <c r="EE7" i="7"/>
  <c r="EE8" i="7"/>
  <c r="EE4" i="7"/>
  <c r="DH5" i="7"/>
  <c r="DH6" i="7"/>
  <c r="DH7" i="7"/>
  <c r="DH8" i="7"/>
  <c r="CN4" i="7"/>
  <c r="DH4" i="7"/>
  <c r="DR5" i="9"/>
  <c r="DW5" i="9"/>
  <c r="EM5" i="9"/>
  <c r="ER5" i="9"/>
  <c r="FH5" i="9"/>
  <c r="FM5" i="9"/>
  <c r="GC5" i="9"/>
  <c r="GH5" i="9"/>
  <c r="GX5" i="9"/>
  <c r="HC5" i="9"/>
  <c r="HS5" i="9"/>
  <c r="HX5" i="9"/>
  <c r="IN5" i="9"/>
  <c r="IS5" i="9"/>
  <c r="JI5" i="9"/>
  <c r="JN5" i="9"/>
  <c r="KD5" i="9"/>
  <c r="KI5" i="9"/>
  <c r="KY5" i="9"/>
  <c r="LD5" i="9"/>
  <c r="LT5" i="9"/>
  <c r="LY5" i="9"/>
  <c r="DR7" i="9"/>
  <c r="DW7" i="9"/>
  <c r="EM7" i="9"/>
  <c r="ER7" i="9"/>
  <c r="FH7" i="9"/>
  <c r="FM7" i="9"/>
  <c r="GC7" i="9"/>
  <c r="GH7" i="9"/>
  <c r="GX7" i="9"/>
  <c r="HC7" i="9"/>
  <c r="HS7" i="9"/>
  <c r="HX7" i="9"/>
  <c r="IN7" i="9"/>
  <c r="IS7" i="9"/>
  <c r="JI7" i="9"/>
  <c r="JN7" i="9"/>
  <c r="KD7" i="9"/>
  <c r="KI7" i="9"/>
  <c r="KY7" i="9"/>
  <c r="LD7" i="9"/>
  <c r="LT7" i="9"/>
  <c r="LY7" i="9"/>
  <c r="DR8" i="9"/>
  <c r="DW8" i="9"/>
  <c r="EM8" i="9"/>
  <c r="ER8" i="9"/>
  <c r="FH8" i="9"/>
  <c r="FM8" i="9"/>
  <c r="GC8" i="9"/>
  <c r="GH8" i="9"/>
  <c r="GX8" i="9"/>
  <c r="HC8" i="9"/>
  <c r="HS8" i="9"/>
  <c r="HX8" i="9"/>
  <c r="IN8" i="9"/>
  <c r="IS8" i="9"/>
  <c r="JI8" i="9"/>
  <c r="JN8" i="9"/>
  <c r="KD8" i="9"/>
  <c r="KI8" i="9"/>
  <c r="KY8" i="9"/>
  <c r="LD8" i="9"/>
  <c r="LT8" i="9"/>
  <c r="LY8" i="9"/>
  <c r="LY4" i="9"/>
  <c r="LT4" i="9"/>
  <c r="LD4" i="9"/>
  <c r="KY4" i="9"/>
  <c r="KI4" i="9"/>
  <c r="KD4" i="9"/>
  <c r="JN4" i="9"/>
  <c r="JI4" i="9"/>
  <c r="IS4" i="9"/>
  <c r="IN4" i="9"/>
  <c r="GX4" i="9"/>
  <c r="HC4" i="9"/>
  <c r="HX4" i="9"/>
  <c r="HS4" i="9"/>
  <c r="GH4" i="9"/>
  <c r="GC4" i="9"/>
  <c r="DB7" i="9"/>
  <c r="S5" i="5"/>
  <c r="S6" i="5"/>
  <c r="S12" i="5"/>
  <c r="BX13" i="5"/>
  <c r="S13" i="5"/>
  <c r="S9" i="5"/>
  <c r="S10" i="5"/>
  <c r="S11" i="5"/>
  <c r="S8" i="5"/>
  <c r="S7" i="5"/>
  <c r="R5" i="5"/>
  <c r="R6" i="5"/>
  <c r="R12" i="5"/>
  <c r="R13" i="5"/>
  <c r="R9" i="5"/>
  <c r="R10" i="5"/>
  <c r="R11" i="5"/>
  <c r="R8" i="5"/>
  <c r="R7" i="5"/>
  <c r="S4" i="5"/>
  <c r="R4" i="5"/>
  <c r="DB5" i="6"/>
  <c r="DC5" i="6"/>
  <c r="Q5" i="6"/>
  <c r="S5" i="6"/>
  <c r="Q7" i="6"/>
  <c r="S7" i="6"/>
  <c r="Q9" i="6"/>
  <c r="S9" i="6"/>
  <c r="BX13" i="6"/>
  <c r="BY13" i="6"/>
  <c r="Q13" i="6"/>
  <c r="S13" i="6"/>
  <c r="Q11" i="6"/>
  <c r="S11" i="6"/>
  <c r="Q12" i="6"/>
  <c r="S12" i="6"/>
  <c r="Q6" i="6"/>
  <c r="S6" i="6"/>
  <c r="DB10" i="6"/>
  <c r="DC10" i="6"/>
  <c r="Q10" i="6"/>
  <c r="S10" i="6"/>
  <c r="Q8" i="6"/>
  <c r="S8" i="6"/>
  <c r="DB4" i="6"/>
  <c r="DC4" i="6"/>
  <c r="Q4" i="6"/>
  <c r="S4" i="6"/>
  <c r="R5" i="6"/>
  <c r="R7" i="6"/>
  <c r="R9" i="6"/>
  <c r="R13" i="6"/>
  <c r="R11" i="6"/>
  <c r="R12" i="6"/>
  <c r="R6" i="6"/>
  <c r="R10" i="6"/>
  <c r="R8" i="6"/>
  <c r="R4" i="6"/>
  <c r="Q5" i="8"/>
  <c r="R5" i="8"/>
  <c r="S5" i="8"/>
  <c r="Q6" i="8"/>
  <c r="R6" i="8"/>
  <c r="S6" i="8"/>
  <c r="Q7" i="8"/>
  <c r="R7" i="8"/>
  <c r="S7" i="8"/>
  <c r="Q4" i="8"/>
  <c r="S4" i="8"/>
  <c r="R4" i="8"/>
  <c r="Q5" i="7"/>
  <c r="S5" i="7"/>
  <c r="R5" i="7"/>
  <c r="Q6" i="7"/>
  <c r="R6" i="7"/>
  <c r="Q7" i="7"/>
  <c r="R7" i="7"/>
  <c r="Q8" i="7"/>
  <c r="R8" i="7"/>
  <c r="CV4" i="7"/>
  <c r="Q4" i="7"/>
  <c r="R4" i="7"/>
  <c r="S6" i="7"/>
  <c r="S7" i="7"/>
  <c r="S8" i="7"/>
  <c r="S4" i="7"/>
  <c r="R5" i="10"/>
  <c r="S5" i="10"/>
  <c r="S4" i="10"/>
  <c r="R4" i="10"/>
  <c r="Q4" i="9"/>
  <c r="S4" i="9"/>
  <c r="Q5" i="9"/>
  <c r="S5" i="9"/>
  <c r="Q7" i="9"/>
  <c r="S7" i="9"/>
  <c r="Q8" i="9"/>
  <c r="S8" i="9"/>
  <c r="R5" i="9"/>
  <c r="R7" i="9"/>
  <c r="R8" i="9"/>
  <c r="R4" i="9"/>
  <c r="R6" i="2"/>
  <c r="R7" i="2"/>
  <c r="R5" i="2"/>
  <c r="R8" i="2"/>
  <c r="R9" i="2"/>
  <c r="R11" i="2"/>
  <c r="R13" i="2"/>
  <c r="R12" i="2"/>
  <c r="R10" i="2"/>
  <c r="R4" i="2"/>
  <c r="R6" i="4"/>
  <c r="R10" i="4"/>
  <c r="R9" i="4"/>
  <c r="R7" i="4"/>
  <c r="R11" i="4"/>
  <c r="R8" i="4"/>
  <c r="R5" i="4"/>
  <c r="R12" i="4"/>
  <c r="R13" i="4"/>
  <c r="R14" i="4"/>
  <c r="R18" i="4"/>
  <c r="R17" i="4"/>
  <c r="R15" i="4"/>
  <c r="R19" i="4"/>
  <c r="R16" i="4"/>
  <c r="R20" i="4"/>
  <c r="R4" i="4"/>
  <c r="S4" i="2"/>
  <c r="S6" i="2"/>
  <c r="S7" i="2"/>
  <c r="S5" i="2"/>
  <c r="S8" i="2"/>
  <c r="S9" i="2"/>
  <c r="S11" i="2"/>
  <c r="S13" i="2"/>
  <c r="S12" i="2"/>
  <c r="S10" i="2"/>
  <c r="S6" i="4"/>
  <c r="S10" i="4"/>
  <c r="S9" i="4"/>
  <c r="S7" i="4"/>
  <c r="S11" i="4"/>
  <c r="S8" i="4"/>
  <c r="S5" i="4"/>
  <c r="S12" i="4"/>
  <c r="S13" i="4"/>
  <c r="S14" i="4"/>
  <c r="S18" i="4"/>
  <c r="S17" i="4"/>
  <c r="S15" i="4"/>
  <c r="S19" i="4"/>
  <c r="S16" i="4"/>
  <c r="S20" i="4"/>
  <c r="S4" i="4"/>
  <c r="HS5" i="5"/>
  <c r="HX5" i="5"/>
  <c r="IW5" i="5"/>
  <c r="JB5" i="5"/>
  <c r="KA5" i="5"/>
  <c r="KF5" i="5"/>
  <c r="HS6" i="5"/>
  <c r="HX6" i="5"/>
  <c r="IW6" i="5"/>
  <c r="JB6" i="5"/>
  <c r="KA6" i="5"/>
  <c r="KF6" i="5"/>
  <c r="HS8" i="5"/>
  <c r="HX8" i="5"/>
  <c r="IW8" i="5"/>
  <c r="JB8" i="5"/>
  <c r="KA8" i="5"/>
  <c r="KF8" i="5"/>
  <c r="HS7" i="5"/>
  <c r="HX7" i="5"/>
  <c r="IW7" i="5"/>
  <c r="JB7" i="5"/>
  <c r="KA7" i="5"/>
  <c r="KF7" i="5"/>
  <c r="HS9" i="5"/>
  <c r="HX9" i="5"/>
  <c r="IW9" i="5"/>
  <c r="JB9" i="5"/>
  <c r="KA9" i="5"/>
  <c r="KF9" i="5"/>
  <c r="HS10" i="5"/>
  <c r="HX10" i="5"/>
  <c r="IW10" i="5"/>
  <c r="JB10" i="5"/>
  <c r="KA10" i="5"/>
  <c r="KF10" i="5"/>
  <c r="HS12" i="5"/>
  <c r="HX12" i="5"/>
  <c r="IW12" i="5"/>
  <c r="JB12" i="5"/>
  <c r="KA12" i="5"/>
  <c r="KF12" i="5"/>
  <c r="HS13" i="5"/>
  <c r="HX13" i="5"/>
  <c r="IW13" i="5"/>
  <c r="JB13" i="5"/>
  <c r="KA13" i="5"/>
  <c r="KF13" i="5"/>
  <c r="HS14" i="5"/>
  <c r="HU14" i="5"/>
  <c r="HV14" i="5"/>
  <c r="HW14" i="5"/>
  <c r="HX14" i="5"/>
  <c r="IW14" i="5"/>
  <c r="IY14" i="5"/>
  <c r="IZ14" i="5"/>
  <c r="JA14" i="5"/>
  <c r="JB14" i="5"/>
  <c r="KA14" i="5"/>
  <c r="KC14" i="5"/>
  <c r="KD14" i="5"/>
  <c r="KE14" i="5"/>
  <c r="KF14" i="5"/>
  <c r="KF4" i="5"/>
  <c r="KA4" i="5"/>
  <c r="JB4" i="5"/>
  <c r="IW4" i="5"/>
  <c r="HX4" i="5"/>
  <c r="HS4" i="5"/>
  <c r="GO10" i="5"/>
  <c r="GT10" i="5"/>
  <c r="GO13" i="5"/>
  <c r="GT13" i="5"/>
  <c r="GO4" i="5"/>
  <c r="GT4" i="5"/>
  <c r="GO12" i="5"/>
  <c r="GT12" i="5"/>
  <c r="GO5" i="5"/>
  <c r="GT5" i="5"/>
  <c r="GO6" i="5"/>
  <c r="GT6" i="5"/>
  <c r="GO8" i="5"/>
  <c r="GT8" i="5"/>
  <c r="GO9" i="5"/>
  <c r="GT9" i="5"/>
  <c r="GT7" i="5"/>
  <c r="GO7" i="5"/>
  <c r="FK5" i="5"/>
  <c r="FP5" i="5"/>
  <c r="FK6" i="5"/>
  <c r="FP6" i="5"/>
  <c r="FK12" i="5"/>
  <c r="FP12" i="5"/>
  <c r="FK13" i="5"/>
  <c r="FP13" i="5"/>
  <c r="FK9" i="5"/>
  <c r="FP9" i="5"/>
  <c r="FK10" i="5"/>
  <c r="FP10" i="5"/>
  <c r="FK11" i="5"/>
  <c r="FP11" i="5"/>
  <c r="FK8" i="5"/>
  <c r="FP8" i="5"/>
  <c r="FK7" i="5"/>
  <c r="FP7" i="5"/>
  <c r="FP4" i="5"/>
  <c r="FK4" i="5"/>
  <c r="EG5" i="5"/>
  <c r="EL5" i="5"/>
  <c r="EG6" i="5"/>
  <c r="EL6" i="5"/>
  <c r="EG12" i="5"/>
  <c r="EL12" i="5"/>
  <c r="EG13" i="5"/>
  <c r="EL13" i="5"/>
  <c r="EG9" i="5"/>
  <c r="EL9" i="5"/>
  <c r="EG10" i="5"/>
  <c r="EL10" i="5"/>
  <c r="EG11" i="5"/>
  <c r="EL11" i="5"/>
  <c r="EG8" i="5"/>
  <c r="EL8" i="5"/>
  <c r="EG7" i="5"/>
  <c r="EL7" i="5"/>
  <c r="EL4" i="5"/>
  <c r="EG4" i="5"/>
  <c r="HS5" i="6"/>
  <c r="HX5" i="6"/>
  <c r="IW5" i="6"/>
  <c r="JB5" i="6"/>
  <c r="KA5" i="6"/>
  <c r="KF5" i="6"/>
  <c r="HS7" i="6"/>
  <c r="HX7" i="6"/>
  <c r="IW7" i="6"/>
  <c r="JB7" i="6"/>
  <c r="KA7" i="6"/>
  <c r="KF7" i="6"/>
  <c r="HS9" i="6"/>
  <c r="HX9" i="6"/>
  <c r="IW9" i="6"/>
  <c r="JB9" i="6"/>
  <c r="KA9" i="6"/>
  <c r="KF9" i="6"/>
  <c r="HS13" i="6"/>
  <c r="HX13" i="6"/>
  <c r="IW13" i="6"/>
  <c r="JB13" i="6"/>
  <c r="KA13" i="6"/>
  <c r="KF13" i="6"/>
  <c r="HS11" i="6"/>
  <c r="HX11" i="6"/>
  <c r="IW11" i="6"/>
  <c r="JB11" i="6"/>
  <c r="KA11" i="6"/>
  <c r="KF11" i="6"/>
  <c r="HS12" i="6"/>
  <c r="HX12" i="6"/>
  <c r="IW12" i="6"/>
  <c r="JB12" i="6"/>
  <c r="KA12" i="6"/>
  <c r="KF12" i="6"/>
  <c r="HS6" i="6"/>
  <c r="HX6" i="6"/>
  <c r="IW6" i="6"/>
  <c r="JB6" i="6"/>
  <c r="KA6" i="6"/>
  <c r="KF6" i="6"/>
  <c r="HS10" i="6"/>
  <c r="HX10" i="6"/>
  <c r="IW10" i="6"/>
  <c r="JB10" i="6"/>
  <c r="KA10" i="6"/>
  <c r="KF10" i="6"/>
  <c r="HS8" i="6"/>
  <c r="HX8" i="6"/>
  <c r="IW8" i="6"/>
  <c r="JB8" i="6"/>
  <c r="KA8" i="6"/>
  <c r="KF8" i="6"/>
  <c r="KF4" i="6"/>
  <c r="KA4" i="6"/>
  <c r="JB4" i="6"/>
  <c r="IW4" i="6"/>
  <c r="HX4" i="6"/>
  <c r="HS4" i="6"/>
  <c r="GO5" i="6"/>
  <c r="GT5" i="6"/>
  <c r="GO7" i="6"/>
  <c r="GT7" i="6"/>
  <c r="GO9" i="6"/>
  <c r="GT9" i="6"/>
  <c r="GO13" i="6"/>
  <c r="GT13" i="6"/>
  <c r="GO11" i="6"/>
  <c r="GT11" i="6"/>
  <c r="GO12" i="6"/>
  <c r="GT12" i="6"/>
  <c r="GO6" i="6"/>
  <c r="GT6" i="6"/>
  <c r="GO10" i="6"/>
  <c r="GT10" i="6"/>
  <c r="GO8" i="6"/>
  <c r="GT8" i="6"/>
  <c r="GT4" i="6"/>
  <c r="GO4" i="6"/>
  <c r="FK5" i="6"/>
  <c r="FP5" i="6"/>
  <c r="FK7" i="6"/>
  <c r="FP7" i="6"/>
  <c r="FK9" i="6"/>
  <c r="FP9" i="6"/>
  <c r="FK13" i="6"/>
  <c r="FP13" i="6"/>
  <c r="FK11" i="6"/>
  <c r="FP11" i="6"/>
  <c r="FK12" i="6"/>
  <c r="FP12" i="6"/>
  <c r="FK6" i="6"/>
  <c r="FP6" i="6"/>
  <c r="FK10" i="6"/>
  <c r="FP10" i="6"/>
  <c r="FK8" i="6"/>
  <c r="FP8" i="6"/>
  <c r="FP4" i="6"/>
  <c r="FK4" i="6"/>
  <c r="EG5" i="6"/>
  <c r="EL5" i="6"/>
  <c r="EG7" i="6"/>
  <c r="EL7" i="6"/>
  <c r="EG9" i="6"/>
  <c r="EL9" i="6"/>
  <c r="EG13" i="6"/>
  <c r="EL13" i="6"/>
  <c r="EG11" i="6"/>
  <c r="EL11" i="6"/>
  <c r="EG12" i="6"/>
  <c r="EL12" i="6"/>
  <c r="EG6" i="6"/>
  <c r="EL6" i="6"/>
  <c r="EG10" i="6"/>
  <c r="EL10" i="6"/>
  <c r="EG8" i="6"/>
  <c r="EL8" i="6"/>
  <c r="EL4" i="6"/>
  <c r="EG4" i="6"/>
  <c r="EM5" i="10"/>
  <c r="ER5" i="10"/>
  <c r="FM5" i="10"/>
  <c r="GC5" i="10"/>
  <c r="GH5" i="10"/>
  <c r="GX5" i="10"/>
  <c r="HC5" i="10"/>
  <c r="HS5" i="10"/>
  <c r="HX5" i="10"/>
  <c r="IN5" i="10"/>
  <c r="IS5" i="10"/>
  <c r="JI5" i="10"/>
  <c r="JN5" i="10"/>
  <c r="KD5" i="10"/>
  <c r="KI5" i="10"/>
  <c r="KY5" i="10"/>
  <c r="LD5" i="10"/>
  <c r="LT5" i="10"/>
  <c r="LY5" i="10"/>
  <c r="DR5" i="10"/>
  <c r="DW5" i="10"/>
  <c r="LY4" i="10"/>
  <c r="LT4" i="10"/>
  <c r="LD4" i="10"/>
  <c r="KY4" i="10"/>
  <c r="KI4" i="10"/>
  <c r="KD4" i="10"/>
  <c r="JN4" i="10"/>
  <c r="JI4" i="10"/>
  <c r="IS4" i="10"/>
  <c r="IN4" i="10"/>
  <c r="HX4" i="10"/>
  <c r="HS4" i="10"/>
  <c r="HC4" i="10"/>
  <c r="GX4" i="10"/>
  <c r="GH4" i="10"/>
  <c r="GC4" i="10"/>
  <c r="FM4" i="10"/>
  <c r="ER4" i="10"/>
  <c r="EM4" i="10"/>
  <c r="CW4" i="10"/>
  <c r="DB4" i="10"/>
  <c r="DW4" i="10"/>
  <c r="DR4" i="10"/>
  <c r="CW5" i="10"/>
  <c r="DB5" i="10"/>
  <c r="CW5" i="9"/>
  <c r="DB5" i="9"/>
  <c r="CW7" i="9"/>
  <c r="CW8" i="9"/>
  <c r="DB8" i="9"/>
  <c r="FM4" i="9"/>
  <c r="FH4" i="9"/>
  <c r="ER4" i="9"/>
  <c r="EM4" i="9"/>
  <c r="DW4" i="9"/>
  <c r="DR4" i="9"/>
  <c r="DB4" i="9"/>
  <c r="CW4" i="9"/>
  <c r="CD6" i="2"/>
  <c r="CD7" i="2"/>
  <c r="CD5" i="2"/>
  <c r="CD8" i="2"/>
  <c r="CD9" i="2"/>
  <c r="CD11" i="2"/>
  <c r="CD13" i="2"/>
  <c r="CD12" i="2"/>
  <c r="CD10" i="2"/>
  <c r="CD4" i="2"/>
  <c r="BI6" i="2"/>
  <c r="BI7" i="2"/>
  <c r="BI5" i="2"/>
  <c r="BI8" i="2"/>
  <c r="BI9" i="2"/>
  <c r="BI11" i="2"/>
  <c r="BI13" i="2"/>
  <c r="BI12" i="2"/>
  <c r="BI10" i="2"/>
  <c r="BI4" i="2"/>
  <c r="FH6" i="4"/>
  <c r="FM6" i="4"/>
  <c r="GC6" i="4"/>
  <c r="GH6" i="4"/>
  <c r="FH10" i="4"/>
  <c r="FM10" i="4"/>
  <c r="GC10" i="4"/>
  <c r="GH10" i="4"/>
  <c r="FH9" i="4"/>
  <c r="FM9" i="4"/>
  <c r="GC9" i="4"/>
  <c r="GH9" i="4"/>
  <c r="FH7" i="4"/>
  <c r="FM7" i="4"/>
  <c r="GC7" i="4"/>
  <c r="GH7" i="4"/>
  <c r="FH11" i="4"/>
  <c r="FM11" i="4"/>
  <c r="GC11" i="4"/>
  <c r="GH11" i="4"/>
  <c r="FH8" i="4"/>
  <c r="FM8" i="4"/>
  <c r="GC8" i="4"/>
  <c r="GH8" i="4"/>
  <c r="FH5" i="4"/>
  <c r="FM5" i="4"/>
  <c r="GC5" i="4"/>
  <c r="GH5" i="4"/>
  <c r="FH12" i="4"/>
  <c r="FM12" i="4"/>
  <c r="GC12" i="4"/>
  <c r="GH12" i="4"/>
  <c r="FH13" i="4"/>
  <c r="FM13" i="4"/>
  <c r="GC13" i="4"/>
  <c r="GH13" i="4"/>
  <c r="FH14" i="4"/>
  <c r="FM14" i="4"/>
  <c r="GC14" i="4"/>
  <c r="GH14" i="4"/>
  <c r="FH18" i="4"/>
  <c r="FM18" i="4"/>
  <c r="GC18" i="4"/>
  <c r="GH18" i="4"/>
  <c r="FH17" i="4"/>
  <c r="FM17" i="4"/>
  <c r="GC17" i="4"/>
  <c r="GH17" i="4"/>
  <c r="FH15" i="4"/>
  <c r="FM15" i="4"/>
  <c r="GC15" i="4"/>
  <c r="GH15" i="4"/>
  <c r="FH19" i="4"/>
  <c r="FM19" i="4"/>
  <c r="GC19" i="4"/>
  <c r="GH19" i="4"/>
  <c r="FH16" i="4"/>
  <c r="FM16" i="4"/>
  <c r="GC16" i="4"/>
  <c r="GH16" i="4"/>
  <c r="FH20" i="4"/>
  <c r="FM20" i="4"/>
  <c r="GC20" i="4"/>
  <c r="GH20" i="4"/>
  <c r="GH4" i="4"/>
  <c r="GC4" i="4"/>
  <c r="FM4" i="4"/>
  <c r="FH4" i="4"/>
  <c r="EM6" i="4"/>
  <c r="ER6" i="4"/>
  <c r="EM10" i="4"/>
  <c r="ER10" i="4"/>
  <c r="EM9" i="4"/>
  <c r="ER9" i="4"/>
  <c r="EM7" i="4"/>
  <c r="ER7" i="4"/>
  <c r="EM11" i="4"/>
  <c r="ER11" i="4"/>
  <c r="EM8" i="4"/>
  <c r="ER8" i="4"/>
  <c r="EM5" i="4"/>
  <c r="ER5" i="4"/>
  <c r="EM12" i="4"/>
  <c r="ER12" i="4"/>
  <c r="EM13" i="4"/>
  <c r="ER13" i="4"/>
  <c r="EM14" i="4"/>
  <c r="ER14" i="4"/>
  <c r="EM18" i="4"/>
  <c r="ER18" i="4"/>
  <c r="EM17" i="4"/>
  <c r="ER17" i="4"/>
  <c r="EM15" i="4"/>
  <c r="ER15" i="4"/>
  <c r="EM19" i="4"/>
  <c r="ER19" i="4"/>
  <c r="EM16" i="4"/>
  <c r="ER16" i="4"/>
  <c r="EM20" i="4"/>
  <c r="ER20" i="4"/>
  <c r="ER4" i="4"/>
  <c r="EM4" i="4"/>
  <c r="DR6" i="4"/>
  <c r="DW6" i="4"/>
  <c r="DR10" i="4"/>
  <c r="DW10" i="4"/>
  <c r="DR9" i="4"/>
  <c r="DW9" i="4"/>
  <c r="DR7" i="4"/>
  <c r="DW7" i="4"/>
  <c r="DR11" i="4"/>
  <c r="DW11" i="4"/>
  <c r="DR8" i="4"/>
  <c r="DW8" i="4"/>
  <c r="DR5" i="4"/>
  <c r="DW5" i="4"/>
  <c r="DR12" i="4"/>
  <c r="DW12" i="4"/>
  <c r="DR13" i="4"/>
  <c r="DW13" i="4"/>
  <c r="DR14" i="4"/>
  <c r="DW14" i="4"/>
  <c r="DR18" i="4"/>
  <c r="DW18" i="4"/>
  <c r="DR17" i="4"/>
  <c r="DW17" i="4"/>
  <c r="DR15" i="4"/>
  <c r="DW15" i="4"/>
  <c r="DR19" i="4"/>
  <c r="DW19" i="4"/>
  <c r="DR16" i="4"/>
  <c r="DW16" i="4"/>
  <c r="DR20" i="4"/>
  <c r="DW20" i="4"/>
  <c r="DW4" i="4"/>
  <c r="DR4" i="4"/>
  <c r="CW6" i="4"/>
  <c r="DB6" i="4"/>
  <c r="CW10" i="4"/>
  <c r="DB10" i="4"/>
  <c r="CW9" i="4"/>
  <c r="DB9" i="4"/>
  <c r="CW7" i="4"/>
  <c r="DB7" i="4"/>
  <c r="CW11" i="4"/>
  <c r="DB11" i="4"/>
  <c r="CW8" i="4"/>
  <c r="DB8" i="4"/>
  <c r="CW5" i="4"/>
  <c r="DB5" i="4"/>
  <c r="CW12" i="4"/>
  <c r="DB12" i="4"/>
  <c r="CW13" i="4"/>
  <c r="DB13" i="4"/>
  <c r="CW14" i="4"/>
  <c r="DB14" i="4"/>
  <c r="CW18" i="4"/>
  <c r="DB18" i="4"/>
  <c r="CW17" i="4"/>
  <c r="DB17" i="4"/>
  <c r="CW15" i="4"/>
  <c r="DB15" i="4"/>
  <c r="CW19" i="4"/>
  <c r="DB19" i="4"/>
  <c r="CW16" i="4"/>
  <c r="DB16" i="4"/>
  <c r="CW20" i="4"/>
  <c r="DB20" i="4"/>
  <c r="DB4" i="4"/>
  <c r="CW4" i="4"/>
  <c r="GC6" i="2"/>
  <c r="GH6" i="2"/>
  <c r="GX6" i="2"/>
  <c r="HC6" i="2"/>
  <c r="HS6" i="2"/>
  <c r="HX6" i="2"/>
  <c r="IN6" i="2"/>
  <c r="IS6" i="2"/>
  <c r="JI6" i="2"/>
  <c r="JN6" i="2"/>
  <c r="KD6" i="2"/>
  <c r="KI6" i="2"/>
  <c r="KY6" i="2"/>
  <c r="LD6" i="2"/>
  <c r="LT6" i="2"/>
  <c r="LY6" i="2"/>
  <c r="GC7" i="2"/>
  <c r="GH7" i="2"/>
  <c r="GX7" i="2"/>
  <c r="HC7" i="2"/>
  <c r="HS7" i="2"/>
  <c r="HX7" i="2"/>
  <c r="IN7" i="2"/>
  <c r="IS7" i="2"/>
  <c r="JI7" i="2"/>
  <c r="JN7" i="2"/>
  <c r="KD7" i="2"/>
  <c r="KI7" i="2"/>
  <c r="KY7" i="2"/>
  <c r="LD7" i="2"/>
  <c r="LT7" i="2"/>
  <c r="LY7" i="2"/>
  <c r="GC5" i="2"/>
  <c r="GH5" i="2"/>
  <c r="GX5" i="2"/>
  <c r="HC5" i="2"/>
  <c r="HS5" i="2"/>
  <c r="HX5" i="2"/>
  <c r="IN5" i="2"/>
  <c r="IS5" i="2"/>
  <c r="JI5" i="2"/>
  <c r="JN5" i="2"/>
  <c r="KD5" i="2"/>
  <c r="KI5" i="2"/>
  <c r="KY5" i="2"/>
  <c r="LD5" i="2"/>
  <c r="LT5" i="2"/>
  <c r="LY5" i="2"/>
  <c r="GC8" i="2"/>
  <c r="GH8" i="2"/>
  <c r="GX8" i="2"/>
  <c r="HC8" i="2"/>
  <c r="HS8" i="2"/>
  <c r="HX8" i="2"/>
  <c r="IN8" i="2"/>
  <c r="IS8" i="2"/>
  <c r="JI8" i="2"/>
  <c r="JN8" i="2"/>
  <c r="KD8" i="2"/>
  <c r="KI8" i="2"/>
  <c r="KY8" i="2"/>
  <c r="LD8" i="2"/>
  <c r="LT8" i="2"/>
  <c r="LY8" i="2"/>
  <c r="GC9" i="2"/>
  <c r="GH9" i="2"/>
  <c r="GX9" i="2"/>
  <c r="HC9" i="2"/>
  <c r="HS9" i="2"/>
  <c r="HX9" i="2"/>
  <c r="IN9" i="2"/>
  <c r="IS9" i="2"/>
  <c r="JI9" i="2"/>
  <c r="JN9" i="2"/>
  <c r="KD9" i="2"/>
  <c r="KI9" i="2"/>
  <c r="KY9" i="2"/>
  <c r="LD9" i="2"/>
  <c r="LT9" i="2"/>
  <c r="LY9" i="2"/>
  <c r="GC11" i="2"/>
  <c r="GH11" i="2"/>
  <c r="GX11" i="2"/>
  <c r="HC11" i="2"/>
  <c r="HS11" i="2"/>
  <c r="HX11" i="2"/>
  <c r="IN11" i="2"/>
  <c r="IS11" i="2"/>
  <c r="JI11" i="2"/>
  <c r="JN11" i="2"/>
  <c r="KD11" i="2"/>
  <c r="KI11" i="2"/>
  <c r="KY11" i="2"/>
  <c r="LD11" i="2"/>
  <c r="LT11" i="2"/>
  <c r="LY11" i="2"/>
  <c r="GC13" i="2"/>
  <c r="GH13" i="2"/>
  <c r="GX13" i="2"/>
  <c r="HC13" i="2"/>
  <c r="HS13" i="2"/>
  <c r="HX13" i="2"/>
  <c r="IN13" i="2"/>
  <c r="IS13" i="2"/>
  <c r="JI13" i="2"/>
  <c r="JN13" i="2"/>
  <c r="KD13" i="2"/>
  <c r="KI13" i="2"/>
  <c r="KY13" i="2"/>
  <c r="LD13" i="2"/>
  <c r="LT13" i="2"/>
  <c r="LY13" i="2"/>
  <c r="GC12" i="2"/>
  <c r="GH12" i="2"/>
  <c r="GX12" i="2"/>
  <c r="HC12" i="2"/>
  <c r="HS12" i="2"/>
  <c r="HX12" i="2"/>
  <c r="IN12" i="2"/>
  <c r="IS12" i="2"/>
  <c r="JI12" i="2"/>
  <c r="JN12" i="2"/>
  <c r="KD12" i="2"/>
  <c r="KI12" i="2"/>
  <c r="KY12" i="2"/>
  <c r="LD12" i="2"/>
  <c r="LT12" i="2"/>
  <c r="LY12" i="2"/>
  <c r="GC10" i="2"/>
  <c r="GH10" i="2"/>
  <c r="GX10" i="2"/>
  <c r="HC10" i="2"/>
  <c r="HS10" i="2"/>
  <c r="HX10" i="2"/>
  <c r="IN10" i="2"/>
  <c r="IS10" i="2"/>
  <c r="JI10" i="2"/>
  <c r="JN10" i="2"/>
  <c r="KD10" i="2"/>
  <c r="KI10" i="2"/>
  <c r="KY10" i="2"/>
  <c r="LD10" i="2"/>
  <c r="LT10" i="2"/>
  <c r="LY10" i="2"/>
  <c r="FH6" i="2"/>
  <c r="FM6" i="2"/>
  <c r="FH7" i="2"/>
  <c r="FM7" i="2"/>
  <c r="FH5" i="2"/>
  <c r="FM5" i="2"/>
  <c r="FH8" i="2"/>
  <c r="FM8" i="2"/>
  <c r="FH9" i="2"/>
  <c r="FM9" i="2"/>
  <c r="FH11" i="2"/>
  <c r="FM11" i="2"/>
  <c r="FH13" i="2"/>
  <c r="FM13" i="2"/>
  <c r="FH12" i="2"/>
  <c r="FM12" i="2"/>
  <c r="FH10" i="2"/>
  <c r="FM10" i="2"/>
  <c r="EM6" i="2"/>
  <c r="ER6" i="2"/>
  <c r="EM7" i="2"/>
  <c r="ER7" i="2"/>
  <c r="EM5" i="2"/>
  <c r="ER5" i="2"/>
  <c r="EM8" i="2"/>
  <c r="ER8" i="2"/>
  <c r="EM9" i="2"/>
  <c r="ER9" i="2"/>
  <c r="EM11" i="2"/>
  <c r="ER11" i="2"/>
  <c r="EM13" i="2"/>
  <c r="ER13" i="2"/>
  <c r="EM12" i="2"/>
  <c r="ER12" i="2"/>
  <c r="EM10" i="2"/>
  <c r="ER10" i="2"/>
  <c r="DR6" i="2"/>
  <c r="DW6" i="2"/>
  <c r="DR7" i="2"/>
  <c r="DW7" i="2"/>
  <c r="DR5" i="2"/>
  <c r="DW5" i="2"/>
  <c r="DR8" i="2"/>
  <c r="DW8" i="2"/>
  <c r="DR9" i="2"/>
  <c r="DW9" i="2"/>
  <c r="DR11" i="2"/>
  <c r="DW11" i="2"/>
  <c r="DR13" i="2"/>
  <c r="DW13" i="2"/>
  <c r="DR12" i="2"/>
  <c r="DW12" i="2"/>
  <c r="DR10" i="2"/>
  <c r="DW10" i="2"/>
  <c r="CW6" i="2"/>
  <c r="DB6" i="2"/>
  <c r="CW7" i="2"/>
  <c r="DB7" i="2"/>
  <c r="CW5" i="2"/>
  <c r="DB5" i="2"/>
  <c r="CW8" i="2"/>
  <c r="DB8" i="2"/>
  <c r="CW9" i="2"/>
  <c r="DB9" i="2"/>
  <c r="CW11" i="2"/>
  <c r="DB11" i="2"/>
  <c r="CW13" i="2"/>
  <c r="DB13" i="2"/>
  <c r="CW12" i="2"/>
  <c r="DB12" i="2"/>
  <c r="CW10" i="2"/>
  <c r="DB10" i="2"/>
  <c r="LY4" i="2"/>
  <c r="LT4" i="2"/>
  <c r="LD4" i="2"/>
  <c r="KY4" i="2"/>
  <c r="KI4" i="2"/>
  <c r="KD4" i="2"/>
  <c r="JN4" i="2"/>
  <c r="JI4" i="2"/>
  <c r="IS4" i="2"/>
  <c r="IN4" i="2"/>
  <c r="HX4" i="2"/>
  <c r="HS4" i="2"/>
  <c r="HC4" i="2"/>
  <c r="GX4" i="2"/>
  <c r="GH4" i="2"/>
  <c r="GC4" i="2"/>
  <c r="FM4" i="2"/>
  <c r="FH4" i="2"/>
  <c r="ER4" i="2"/>
  <c r="EM4" i="2"/>
  <c r="DW4" i="2"/>
  <c r="DR4" i="2"/>
  <c r="DB4" i="2"/>
  <c r="CW4" i="2"/>
  <c r="AN6" i="2"/>
  <c r="AN7" i="2"/>
  <c r="AN5" i="2"/>
  <c r="AN8" i="2"/>
  <c r="AN9" i="2"/>
  <c r="AN11" i="2"/>
  <c r="AN13" i="2"/>
  <c r="AN12" i="2"/>
  <c r="AN10" i="2"/>
  <c r="AN4" i="2"/>
  <c r="EX5" i="8"/>
  <c r="EY5" i="8"/>
  <c r="FD5" i="8"/>
  <c r="FU5" i="8"/>
  <c r="FV5" i="8"/>
  <c r="GA5" i="8"/>
  <c r="EX6" i="8"/>
  <c r="EY6" i="8"/>
  <c r="FD6" i="8"/>
  <c r="FU6" i="8"/>
  <c r="FV6" i="8"/>
  <c r="GA6" i="8"/>
  <c r="EX7" i="8"/>
  <c r="EY7" i="8"/>
  <c r="FD7" i="8"/>
  <c r="FU7" i="8"/>
  <c r="FV7" i="8"/>
  <c r="GA7" i="8"/>
  <c r="GA4" i="8"/>
  <c r="FV4" i="8"/>
  <c r="FU4" i="8"/>
  <c r="FD4" i="8"/>
  <c r="EY4" i="8"/>
  <c r="EX4" i="8"/>
  <c r="CA5" i="5"/>
  <c r="CA6" i="5"/>
  <c r="CA12" i="5"/>
  <c r="CA13" i="5"/>
  <c r="CA9" i="5"/>
  <c r="BX10" i="5"/>
  <c r="CA10" i="5"/>
  <c r="CA11" i="5"/>
  <c r="CA8" i="5"/>
  <c r="CA7" i="5"/>
  <c r="DE5" i="5"/>
  <c r="DE6" i="5"/>
  <c r="DE12" i="5"/>
  <c r="DE13" i="5"/>
  <c r="DE9" i="5"/>
  <c r="DE10" i="5"/>
  <c r="DE11" i="5"/>
  <c r="DE8" i="5"/>
  <c r="DE7" i="5"/>
  <c r="DE4" i="5"/>
  <c r="CA4" i="5"/>
  <c r="AT5" i="5"/>
  <c r="AU5" i="5"/>
  <c r="AW5" i="5"/>
  <c r="AT6" i="5"/>
  <c r="AU6" i="5"/>
  <c r="AW6" i="5"/>
  <c r="AW12" i="5"/>
  <c r="AW13" i="5"/>
  <c r="AW9" i="5"/>
  <c r="AW10" i="5"/>
  <c r="AW11" i="5"/>
  <c r="AW8" i="5"/>
  <c r="AW7" i="5"/>
  <c r="AW4" i="5"/>
  <c r="AU4" i="5"/>
  <c r="AT4" i="5"/>
  <c r="GA4" i="7"/>
  <c r="FV4" i="7"/>
  <c r="FU4" i="7"/>
  <c r="FD4" i="7"/>
  <c r="EY4" i="7"/>
  <c r="EX4" i="7"/>
  <c r="DE5" i="6"/>
  <c r="DE7" i="6"/>
  <c r="DE9" i="6"/>
  <c r="DE13" i="6"/>
  <c r="DE11" i="6"/>
  <c r="DE12" i="6"/>
  <c r="DE6" i="6"/>
  <c r="DE10" i="6"/>
  <c r="DE8" i="6"/>
  <c r="DE4" i="6"/>
  <c r="CA5" i="6"/>
  <c r="BX7" i="6"/>
  <c r="BY7" i="6"/>
  <c r="CA7" i="6"/>
  <c r="CA9" i="6"/>
  <c r="CA13" i="6"/>
  <c r="BX11" i="6"/>
  <c r="BY11" i="6"/>
  <c r="CA11" i="6"/>
  <c r="CA12" i="6"/>
  <c r="BX6" i="6"/>
  <c r="BY6" i="6"/>
  <c r="CA6" i="6"/>
  <c r="CA10" i="6"/>
  <c r="BX8" i="6"/>
  <c r="BY8" i="6"/>
  <c r="CA8" i="6"/>
  <c r="CA4" i="6"/>
  <c r="AW5" i="6"/>
  <c r="AW7" i="6"/>
  <c r="AW9" i="6"/>
  <c r="AW13" i="6"/>
  <c r="AW11" i="6"/>
  <c r="AW12" i="6"/>
  <c r="AW6" i="6"/>
  <c r="AW10" i="6"/>
  <c r="AW8" i="6"/>
  <c r="AW4" i="6"/>
  <c r="AU9" i="6"/>
  <c r="AU12" i="6"/>
  <c r="AT9" i="6"/>
  <c r="AT12" i="6"/>
  <c r="P5" i="6"/>
  <c r="P7" i="6"/>
  <c r="P9" i="6"/>
  <c r="P13" i="6"/>
  <c r="P11" i="6"/>
  <c r="P12" i="6"/>
  <c r="P6" i="6"/>
  <c r="P10" i="6"/>
  <c r="P8" i="6"/>
  <c r="P4" i="6"/>
  <c r="N5" i="6"/>
  <c r="N7" i="6"/>
  <c r="N9" i="6"/>
  <c r="N13" i="6"/>
  <c r="N11" i="6"/>
  <c r="N12" i="6"/>
  <c r="N6" i="6"/>
  <c r="N10" i="6"/>
  <c r="N8" i="6"/>
  <c r="L5" i="6"/>
  <c r="L7" i="6"/>
  <c r="L9" i="6"/>
  <c r="L13" i="6"/>
  <c r="L11" i="6"/>
  <c r="L12" i="6"/>
  <c r="L6" i="6"/>
  <c r="L10" i="6"/>
  <c r="L8" i="6"/>
  <c r="N4" i="6"/>
  <c r="L4" i="6"/>
  <c r="J5" i="6"/>
  <c r="J7" i="6"/>
  <c r="J9" i="6"/>
  <c r="J13" i="6"/>
  <c r="J11" i="6"/>
  <c r="J12" i="6"/>
  <c r="J6" i="6"/>
  <c r="J10" i="6"/>
  <c r="J8" i="6"/>
  <c r="J4" i="6"/>
  <c r="P7" i="8"/>
  <c r="P6" i="8"/>
  <c r="P5" i="8"/>
  <c r="P4" i="8"/>
  <c r="N7" i="8"/>
  <c r="N6" i="8"/>
  <c r="N5" i="8"/>
  <c r="N4" i="8"/>
  <c r="L7" i="8"/>
  <c r="L6" i="8"/>
  <c r="L5" i="8"/>
  <c r="L4" i="8"/>
  <c r="J7" i="8"/>
  <c r="J6" i="8"/>
  <c r="J5" i="8"/>
  <c r="J4" i="8"/>
  <c r="P5" i="7"/>
  <c r="P6" i="7"/>
  <c r="P7" i="7"/>
  <c r="P8" i="7"/>
  <c r="P4" i="7"/>
  <c r="N4" i="7"/>
  <c r="N5" i="7"/>
  <c r="N6" i="7"/>
  <c r="N7" i="7"/>
  <c r="N8" i="7"/>
  <c r="L4" i="7"/>
  <c r="L5" i="7"/>
  <c r="L6" i="7"/>
  <c r="L7" i="7"/>
  <c r="L8" i="7"/>
  <c r="J4" i="7"/>
  <c r="J5" i="7"/>
  <c r="J6" i="7"/>
  <c r="J7" i="7"/>
  <c r="J8" i="7"/>
  <c r="P8" i="9"/>
  <c r="P7" i="9"/>
  <c r="P5" i="9"/>
  <c r="P4" i="9"/>
  <c r="N8" i="9"/>
  <c r="N7" i="9"/>
  <c r="N5" i="9"/>
  <c r="N4" i="9"/>
  <c r="J8" i="9"/>
  <c r="J7" i="9"/>
  <c r="J5" i="9"/>
  <c r="J4" i="9"/>
  <c r="L8" i="9"/>
  <c r="L7" i="9"/>
  <c r="L5" i="9"/>
  <c r="L4" i="9"/>
  <c r="DD4" i="8"/>
  <c r="EG7" i="8"/>
  <c r="EB7" i="8"/>
  <c r="EA7" i="8"/>
  <c r="EG6" i="8"/>
  <c r="EB6" i="8"/>
  <c r="EA6" i="8"/>
  <c r="EG5" i="8"/>
  <c r="EB5" i="8"/>
  <c r="EA5" i="8"/>
  <c r="EG4" i="8"/>
  <c r="EB4" i="8"/>
  <c r="EA4" i="8"/>
  <c r="EG8" i="7"/>
  <c r="EB8" i="7"/>
  <c r="EA8" i="7"/>
  <c r="EG7" i="7"/>
  <c r="EB7" i="7"/>
  <c r="EA7" i="7"/>
  <c r="EG6" i="7"/>
  <c r="EB6" i="7"/>
  <c r="EA6" i="7"/>
  <c r="EG5" i="7"/>
  <c r="EB5" i="7"/>
  <c r="EA5" i="7"/>
  <c r="EG4" i="7"/>
  <c r="EB4" i="7"/>
  <c r="EA4" i="7"/>
  <c r="CD5" i="10"/>
  <c r="BI5" i="10"/>
  <c r="AN5" i="10"/>
  <c r="CD4" i="10"/>
  <c r="BI4" i="10"/>
  <c r="AN4" i="10"/>
  <c r="E4" i="9"/>
  <c r="E5" i="9"/>
  <c r="E7" i="9"/>
  <c r="E8" i="9"/>
  <c r="CD8" i="9"/>
  <c r="BI8" i="9"/>
  <c r="AN8" i="9"/>
  <c r="CD7" i="9"/>
  <c r="BI7" i="9"/>
  <c r="AN7" i="9"/>
  <c r="CD5" i="9"/>
  <c r="BI5" i="9"/>
  <c r="AN5" i="9"/>
  <c r="CD4" i="9"/>
  <c r="BI4" i="9"/>
  <c r="AN4" i="9"/>
  <c r="C19" i="8"/>
  <c r="C18" i="8"/>
  <c r="C17" i="8"/>
  <c r="DJ7" i="8"/>
  <c r="DE7" i="8"/>
  <c r="DD7" i="8"/>
  <c r="CJ6" i="8"/>
  <c r="BM6" i="8"/>
  <c r="AP6" i="8"/>
  <c r="E6" i="8"/>
  <c r="DJ6" i="8"/>
  <c r="DE6" i="8"/>
  <c r="DD6" i="8"/>
  <c r="CJ5" i="8"/>
  <c r="BM5" i="8"/>
  <c r="AP5" i="8"/>
  <c r="E5" i="8"/>
  <c r="E4" i="8"/>
  <c r="E7" i="8"/>
  <c r="DJ5" i="8"/>
  <c r="DE5" i="8"/>
  <c r="DD5" i="8"/>
  <c r="CJ7" i="8"/>
  <c r="BM7" i="8"/>
  <c r="AP7" i="8"/>
  <c r="DJ4" i="8"/>
  <c r="DE4" i="8"/>
  <c r="CJ4" i="8"/>
  <c r="BM4" i="8"/>
  <c r="AP4" i="8"/>
  <c r="E5" i="7"/>
  <c r="E4" i="7"/>
  <c r="E6" i="7"/>
  <c r="DJ8" i="7"/>
  <c r="DE8" i="7"/>
  <c r="DD8" i="7"/>
  <c r="DJ7" i="7"/>
  <c r="DE7" i="7"/>
  <c r="DD7" i="7"/>
  <c r="DJ6" i="7"/>
  <c r="DE6" i="7"/>
  <c r="DD6" i="7"/>
  <c r="DJ5" i="7"/>
  <c r="DE5" i="7"/>
  <c r="DD5" i="7"/>
  <c r="DJ4" i="7"/>
  <c r="DE4" i="7"/>
  <c r="DD4" i="7"/>
  <c r="CJ7" i="7"/>
  <c r="CJ8" i="7"/>
  <c r="CJ5" i="7"/>
  <c r="CJ6" i="7"/>
  <c r="BM7" i="7"/>
  <c r="BM8" i="7"/>
  <c r="BM5" i="7"/>
  <c r="BM6" i="7"/>
  <c r="AP7" i="7"/>
  <c r="AP8" i="7"/>
  <c r="AP5" i="7"/>
  <c r="AP6" i="7"/>
  <c r="E7" i="7"/>
  <c r="E8" i="7"/>
  <c r="C20" i="7"/>
  <c r="C19" i="7"/>
  <c r="C18" i="7"/>
  <c r="CJ4" i="7"/>
  <c r="BM4" i="7"/>
  <c r="AP4" i="7"/>
  <c r="E5" i="6"/>
  <c r="E13" i="6"/>
  <c r="E4" i="6"/>
  <c r="E7" i="6"/>
  <c r="E9" i="6"/>
  <c r="E11" i="6"/>
  <c r="E12" i="6"/>
  <c r="E6" i="6"/>
  <c r="E10" i="6"/>
  <c r="E8" i="6"/>
  <c r="BI6" i="4"/>
  <c r="BI9" i="4"/>
  <c r="BI12" i="4"/>
  <c r="BI10" i="4"/>
  <c r="BI14" i="4"/>
  <c r="BI17" i="4"/>
  <c r="BI18" i="4"/>
  <c r="BI11" i="4"/>
  <c r="BI13" i="4"/>
  <c r="BI15" i="4"/>
  <c r="BI19" i="4"/>
  <c r="BI20" i="4"/>
  <c r="BI8" i="4"/>
  <c r="BI7" i="4"/>
  <c r="BI16" i="4"/>
  <c r="BI4" i="4"/>
  <c r="AN5" i="4"/>
  <c r="AN6" i="4"/>
  <c r="AN9" i="4"/>
  <c r="AN12" i="4"/>
  <c r="AN10" i="4"/>
  <c r="AN14" i="4"/>
  <c r="AN17" i="4"/>
  <c r="AN18" i="4"/>
  <c r="AN11" i="4"/>
  <c r="AN13" i="4"/>
  <c r="AN15" i="4"/>
  <c r="AN19" i="4"/>
  <c r="AN20" i="4"/>
  <c r="AN8" i="4"/>
  <c r="AN7" i="4"/>
  <c r="AN16" i="4"/>
  <c r="AN4" i="4"/>
  <c r="C25" i="6"/>
  <c r="C24" i="6"/>
  <c r="C23" i="6"/>
  <c r="C25" i="5"/>
  <c r="C24" i="5"/>
  <c r="C23" i="5"/>
  <c r="A5" i="4"/>
  <c r="A6" i="4"/>
  <c r="A15" i="4"/>
  <c r="A4" i="4"/>
  <c r="C7" i="11"/>
  <c r="C2" i="11"/>
  <c r="C3" i="11"/>
  <c r="C4" i="11"/>
  <c r="C5" i="11"/>
  <c r="C8" i="11"/>
  <c r="C9" i="11"/>
  <c r="C6" i="11"/>
  <c r="D2" i="11"/>
  <c r="D9" i="11"/>
  <c r="D8" i="11"/>
  <c r="D7" i="11"/>
  <c r="D6" i="11"/>
  <c r="D5" i="11"/>
  <c r="D4" i="11"/>
  <c r="D3" i="11"/>
  <c r="A4" i="2"/>
  <c r="A5" i="2"/>
  <c r="A6" i="2"/>
  <c r="A7" i="2"/>
  <c r="A8" i="2"/>
  <c r="A9" i="2"/>
  <c r="A12" i="2"/>
  <c r="C10" i="11"/>
  <c r="C11" i="11"/>
  <c r="C12" i="11"/>
  <c r="C13" i="11"/>
  <c r="C14" i="11"/>
  <c r="C15" i="11"/>
  <c r="C16" i="11"/>
  <c r="C17" i="11"/>
  <c r="D10" i="11"/>
  <c r="D17" i="11"/>
  <c r="D16" i="11"/>
  <c r="D15" i="11"/>
  <c r="D14" i="11"/>
  <c r="D13" i="11"/>
  <c r="D12" i="11"/>
  <c r="D11" i="11"/>
  <c r="A4" i="9"/>
  <c r="C19" i="11"/>
  <c r="C20" i="11"/>
  <c r="C21" i="11"/>
  <c r="C18" i="11"/>
  <c r="D18" i="11"/>
  <c r="D21" i="11"/>
  <c r="D20" i="11"/>
  <c r="D19" i="11"/>
  <c r="A4" i="10"/>
  <c r="A5" i="10"/>
  <c r="C23" i="11"/>
  <c r="C24" i="11"/>
  <c r="C25" i="11"/>
  <c r="C22" i="11"/>
  <c r="D22" i="11"/>
  <c r="D25" i="11"/>
  <c r="D24" i="11"/>
  <c r="D23" i="11"/>
  <c r="A4" i="7"/>
  <c r="A5" i="7"/>
  <c r="C27" i="11"/>
  <c r="C28" i="11"/>
  <c r="C29" i="11"/>
  <c r="C30" i="11"/>
  <c r="C31" i="11"/>
  <c r="C32" i="11"/>
  <c r="C33" i="11"/>
  <c r="C26" i="11"/>
  <c r="D26" i="11"/>
  <c r="D33" i="11"/>
  <c r="D32" i="11"/>
  <c r="D31" i="11"/>
  <c r="D30" i="11"/>
  <c r="D29" i="11"/>
  <c r="D28" i="11"/>
  <c r="D27" i="11"/>
  <c r="A4" i="8"/>
  <c r="A5" i="8"/>
  <c r="C35" i="11"/>
  <c r="C36" i="11"/>
  <c r="C37" i="11"/>
  <c r="C38" i="11"/>
  <c r="C39" i="11"/>
  <c r="C40" i="11"/>
  <c r="C41" i="11"/>
  <c r="C34" i="11"/>
  <c r="D34" i="11"/>
  <c r="D41" i="11"/>
  <c r="D40" i="11"/>
  <c r="D39" i="11"/>
  <c r="D38" i="11"/>
  <c r="D37" i="11"/>
  <c r="D36" i="11"/>
  <c r="D35" i="11"/>
  <c r="A4" i="6"/>
  <c r="A5" i="6"/>
  <c r="A7" i="6"/>
  <c r="C43" i="11"/>
  <c r="C44" i="11"/>
  <c r="C45" i="11"/>
  <c r="C46" i="11"/>
  <c r="C47" i="11"/>
  <c r="C48" i="11"/>
  <c r="C49" i="11"/>
  <c r="C42" i="11"/>
  <c r="D42" i="11"/>
  <c r="D49" i="11"/>
  <c r="D48" i="11"/>
  <c r="D47" i="11"/>
  <c r="D46" i="11"/>
  <c r="D45" i="11"/>
  <c r="D44" i="11"/>
  <c r="D43" i="11"/>
  <c r="A4" i="5"/>
  <c r="A5" i="5"/>
  <c r="A6" i="5"/>
  <c r="A11" i="5"/>
  <c r="A8" i="5"/>
  <c r="C51" i="11"/>
  <c r="C52" i="11"/>
  <c r="C53" i="11"/>
  <c r="C54" i="11"/>
  <c r="C55" i="11"/>
  <c r="C56" i="11"/>
  <c r="C57" i="11"/>
  <c r="C50" i="11"/>
  <c r="D50" i="11"/>
  <c r="D57" i="11"/>
  <c r="D56" i="11"/>
  <c r="D55" i="11"/>
  <c r="D54" i="11"/>
  <c r="D53" i="11"/>
  <c r="D52" i="11"/>
  <c r="D51" i="11"/>
</calcChain>
</file>

<file path=xl/sharedStrings.xml><?xml version="1.0" encoding="utf-8"?>
<sst xmlns="http://schemas.openxmlformats.org/spreadsheetml/2006/main" count="3786" uniqueCount="143">
  <si>
    <t>Province</t>
  </si>
  <si>
    <t>First Year in Senior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</si>
  <si>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</si>
  <si>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</si>
  <si>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</si>
  <si>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</si>
  <si>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</si>
  <si>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</si>
  <si>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</si>
  <si>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</si>
  <si>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</si>
  <si>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</si>
  <si>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DAGENAIS, Frédéric</t>
  </si>
  <si>
    <t>QC</t>
  </si>
  <si>
    <t>ARMSTRONG, Mark</t>
  </si>
  <si>
    <t>MASSÉ, Gabriel</t>
  </si>
  <si>
    <t>CARISSE, Jesse</t>
  </si>
  <si>
    <t>TYO, Benjamin</t>
  </si>
  <si>
    <t>TYKHOV, Artem</t>
  </si>
  <si>
    <t>BRUNO, Mario</t>
  </si>
  <si>
    <t>NG, Vincent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</si>
  <si>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</si>
  <si>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</si>
  <si>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</si>
  <si>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</si>
  <si>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</si>
  <si>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</si>
  <si>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</si>
  <si>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</si>
  <si>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</si>
  <si>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</si>
  <si>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</si>
  <si>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</si>
  <si>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</si>
  <si>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</si>
  <si>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</si>
  <si>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</si>
  <si>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</si>
  <si>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</si>
  <si>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</si>
  <si>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Canada Cup</t>
  </si>
  <si>
    <t>2017 Nationals</t>
  </si>
  <si>
    <t>First Two Years Team Score</t>
  </si>
  <si>
    <t>Funding Score</t>
  </si>
  <si>
    <t>Team DD</t>
  </si>
  <si>
    <t>Prelim DD</t>
  </si>
  <si>
    <t>LAPIERRE, Kyle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</si>
  <si>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</si>
  <si>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</si>
  <si>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</si>
  <si>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</si>
  <si>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</si>
  <si>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</si>
  <si>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</si>
  <si>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</si>
  <si>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BROWN, Caitlin</t>
  </si>
  <si>
    <t>THOMPSON, Taysia</t>
  </si>
  <si>
    <t>Athlete</t>
  </si>
  <si>
    <t>BURNETT, Jason</t>
  </si>
  <si>
    <t>STIRLING, Trevor</t>
  </si>
  <si>
    <t>THEODORE, Craig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</si>
  <si>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</si>
  <si>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</si>
  <si>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</si>
  <si>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</si>
  <si>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</si>
  <si>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</si>
  <si>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</si>
  <si>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</si>
  <si>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</si>
  <si>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</si>
  <si>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</si>
  <si>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</si>
  <si>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WHEATLEY, Sarah</t>
  </si>
  <si>
    <t>OH, Arden</t>
  </si>
  <si>
    <t>PRCIC, Beatrice</t>
  </si>
  <si>
    <t>Pass 1-2</t>
  </si>
  <si>
    <t>Pass 3-4</t>
  </si>
  <si>
    <t>SCHWAIGER, Jonathon</t>
  </si>
  <si>
    <t>CLARKE, Elias</t>
  </si>
  <si>
    <t>SUNDQUIST, Callum</t>
  </si>
  <si>
    <t>CREMER, Loic</t>
  </si>
  <si>
    <t>LEFAIVRE, Justin</t>
  </si>
  <si>
    <t>HUMBERSTONE, Joey</t>
  </si>
  <si>
    <t>TOMALTY, Connar</t>
  </si>
  <si>
    <t>SHEEHAN, Ryan</t>
  </si>
  <si>
    <t>Consistency Team Score</t>
  </si>
  <si>
    <t>Consistency Funding Score</t>
  </si>
  <si>
    <t>Best Pass 1</t>
  </si>
  <si>
    <t>Best Pass 2</t>
  </si>
  <si>
    <t>CHAVES, Michael</t>
  </si>
  <si>
    <t>RYANE, Casey</t>
  </si>
  <si>
    <t>Final DD</t>
  </si>
  <si>
    <t>KHALIFA, Jared</t>
  </si>
  <si>
    <t>SUGRIM, Jordan</t>
  </si>
  <si>
    <t>ABOURAJA, Nora</t>
  </si>
  <si>
    <t>McNUTT, Catherine</t>
  </si>
  <si>
    <t>VILLOTTE, Raphaëlle</t>
  </si>
  <si>
    <t>DAGENAIS &amp; TYO</t>
  </si>
  <si>
    <t>GEREIN &amp; THEODORE</t>
  </si>
  <si>
    <t>AUBIN &amp; DWYER</t>
  </si>
  <si>
    <t>QC/NS</t>
  </si>
  <si>
    <t>Synchro</t>
  </si>
  <si>
    <t>MÉTHOT &amp; MILETTE</t>
  </si>
  <si>
    <t>DUFOUR &amp; ROUX</t>
  </si>
  <si>
    <t>Location</t>
  </si>
  <si>
    <t>2017 World Cup BLR (Aug)</t>
  </si>
  <si>
    <t>2016 Pan Am Championships (Dec)</t>
  </si>
  <si>
    <t>2016 Pan Am Championships Team Finals (Dec)</t>
  </si>
  <si>
    <t>2017 Flower Cup (Mar)</t>
  </si>
  <si>
    <t>2017 World Games (Jul)</t>
  </si>
  <si>
    <t>Routine</t>
  </si>
  <si>
    <t>Merit Score</t>
  </si>
  <si>
    <t>Consistency Merit Score</t>
  </si>
  <si>
    <t>2017 3rd Domestic Trial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</si>
  <si>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</si>
  <si>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</si>
  <si>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</si>
  <si>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</si>
  <si>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</si>
  <si>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</si>
  <si>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CRANHAM &amp; NG</t>
  </si>
  <si>
    <t>SMITH &amp; TAM</t>
  </si>
  <si>
    <t>SOEHN &amp; SOEHN</t>
  </si>
  <si>
    <t>2017 World Cup POR (Sept)</t>
  </si>
  <si>
    <t>2017 World Cup ESP (Oct)</t>
  </si>
  <si>
    <t>Team Members:</t>
  </si>
  <si>
    <t>TRA-M</t>
  </si>
  <si>
    <t>Member</t>
  </si>
  <si>
    <t>Last Updated:</t>
  </si>
  <si>
    <t>Ciudad de Valladolid (Oct)</t>
  </si>
  <si>
    <t>TRA-W</t>
  </si>
  <si>
    <t>SYN-M</t>
  </si>
  <si>
    <t>SYN-W</t>
  </si>
  <si>
    <t>TUM-M</t>
  </si>
  <si>
    <t>TUM-W</t>
  </si>
  <si>
    <t>DMT-M</t>
  </si>
  <si>
    <t>DMT-W</t>
  </si>
  <si>
    <t>2017 World Championships (Nov)</t>
  </si>
  <si>
    <t>2017 World Championships Semi-Finals (Nov)</t>
  </si>
  <si>
    <t>2017 World Championships Team Finals (Nov)</t>
  </si>
  <si>
    <t>World Championships</t>
  </si>
  <si>
    <t>2017 World Age Group Championships (Nov)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</si>
</sst>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F800]dddd\,\ mmmm\ dd\,\ yyyy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2" fillId="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10">
    <xf numFmtId="0" fontId="0" fillId="0" borderId="0" xfId="0"/>
    <xf numFmtId="0" fontId="5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7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>
      <alignment horizontal="center"/>
    </xf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4" fillId="0" borderId="0" xfId="0" applyNumberFormat="1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3" fillId="5" borderId="0" xfId="0" applyNumberFormat="1" applyFont="1" applyFill="1"/>
    <xf numFmtId="164" fontId="13" fillId="7" borderId="0" xfId="0" applyNumberFormat="1" applyFont="1" applyFill="1"/>
    <xf numFmtId="164" fontId="11" fillId="8" borderId="0" xfId="0" applyNumberFormat="1" applyFont="1" applyFill="1"/>
    <xf numFmtId="164" fontId="10" fillId="6" borderId="0" xfId="0" applyNumberFormat="1" applyFont="1" applyFill="1"/>
    <xf numFmtId="164" fontId="12" fillId="9" borderId="0" xfId="0" applyNumberFormat="1" applyFont="1" applyFill="1"/>
    <xf numFmtId="0" fontId="14" fillId="11" borderId="0" xfId="0" applyFont="1" applyFill="1"/>
    <xf numFmtId="0" fontId="14" fillId="12" borderId="0" xfId="0" applyFont="1" applyFill="1"/>
    <xf numFmtId="0" fontId="14" fillId="11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6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1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4" fillId="0" borderId="0" xfId="0" applyNumberFormat="1" applyFont="1" applyFill="1" applyBorder="1"/>
    <xf numFmtId="164" fontId="0" fillId="0" borderId="0" xfId="0" applyNumberFormat="1" applyFill="1" applyBorder="1"/>
    <xf numFmtId="164" fontId="14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2" fillId="3" borderId="1" xfId="1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0" fillId="4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4" fillId="11" borderId="1" xfId="0" applyNumberFormat="1" applyFont="1" applyFill="1" applyBorder="1" applyProtection="1">
      <protection locked="0"/>
    </xf>
    <xf numFmtId="164" fontId="14" fillId="12" borderId="1" xfId="0" applyNumberFormat="1" applyFont="1" applyFill="1" applyBorder="1" applyProtection="1">
      <protection locked="0"/>
    </xf>
    <xf numFmtId="164" fontId="7" fillId="3" borderId="1" xfId="1" applyNumberFormat="1" applyFont="1" applyFill="1" applyBorder="1" applyProtection="1">
      <protection locked="0"/>
    </xf>
    <xf numFmtId="164" fontId="19" fillId="3" borderId="1" xfId="1" applyNumberFormat="1" applyFont="1" applyFill="1" applyBorder="1" applyProtection="1">
      <protection locked="0"/>
    </xf>
    <xf numFmtId="164" fontId="19" fillId="4" borderId="1" xfId="1" applyNumberFormat="1" applyFont="1" applyFill="1" applyBorder="1" applyProtection="1">
      <protection locked="0"/>
    </xf>
    <xf numFmtId="164" fontId="19" fillId="4" borderId="1" xfId="1" applyNumberFormat="1" applyFont="1" applyFill="1" applyBorder="1" applyAlignment="1" applyProtection="1">
      <alignment horizontal="left"/>
      <protection locked="0"/>
    </xf>
    <xf numFmtId="164" fontId="19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Protection="1">
      <protection locked="0"/>
    </xf>
    <xf numFmtId="164" fontId="1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0" fillId="6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4" fillId="3" borderId="0" xfId="0" applyFont="1" applyFill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center"/>
      <protection locked="0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4" fillId="4" borderId="0" xfId="0" applyFont="1" applyFill="1" applyAlignment="1">
      <alignment vertical="center"/>
    </xf>
    <xf numFmtId="0" fontId="4" fillId="1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12" borderId="0" xfId="0" applyFont="1" applyFill="1" applyAlignment="1" applyProtection="1">
      <alignment horizontal="center"/>
      <protection locked="0"/>
    </xf>
    <xf numFmtId="0" fontId="14" fillId="12" borderId="0" xfId="0" applyFont="1" applyFill="1" applyAlignment="1">
      <alignment horizontal="center"/>
    </xf>
    <xf numFmtId="0" fontId="15" fillId="11" borderId="0" xfId="0" applyFont="1" applyFill="1" applyAlignment="1" applyProtection="1">
      <alignment horizontal="center"/>
      <protection locked="0"/>
    </xf>
    <xf numFmtId="0" fontId="14" fillId="11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554"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D3D3"/>
      <color rgb="FFFFB000"/>
      <color rgb="FFE5C6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58</xdr:row>
          <xdr:rowOff>38100</xdr:rowOff>
        </xdr:from>
        <xdr:to>
          <xdr:col>0</xdr:col>
          <xdr:colOff>812800</xdr:colOff>
          <xdr:row>58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800100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800100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Hide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L67"/>
  <sheetViews>
    <sheetView tabSelected="1" workbookViewId="0">
      <selection activeCell="B63" sqref="B63"/>
    </sheetView>
  </sheetViews>
  <sheetFormatPr baseColWidth="10" defaultRowHeight="16" x14ac:dyDescent="0.2"/>
  <cols>
    <col min="1" max="1" width="14.5" bestFit="1" customWidth="1"/>
    <col min="2" max="2" width="5.6640625" customWidth="1"/>
    <col min="3" max="3" width="35" bestFit="1" customWidth="1"/>
    <col min="4" max="4" width="11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126</v>
      </c>
      <c r="B1" t="s">
        <v>2</v>
      </c>
      <c r="C1" t="s">
        <v>128</v>
      </c>
      <c r="D1" t="s">
        <v>24</v>
      </c>
      <c r="E1" s="83"/>
      <c r="F1" s="83"/>
      <c r="J1" s="83"/>
      <c r="K1" s="83"/>
      <c r="L1" s="83"/>
    </row>
    <row r="2" spans="1:12" x14ac:dyDescent="0.2">
      <c r="A2" s="12" t="s">
        <v>127</v>
      </c>
      <c r="B2" s="12">
        <v>1</v>
      </c>
      <c r="C2" s="12" t="str">
        <f ca="1">IF(B2&gt;MAX('TRA-M'!A:A),"",INDEX('TRA-M'!B:B,MATCH(B2,'TRA-M'!A:A)))</f>
        <v>BURNETT, Jason</v>
      </c>
      <c r="D2" s="12" t="str">
        <f ca="1">IF(B2&gt;MAX('TRA-M'!A:A),"",IF(INDEX('TRA-M'!H:H,MATCH(B2,'TRA-M'!A:A))="","No DD",INDEX('TRA-M'!H:H,MATCH(B2,'TRA-M'!A:A))))</f>
        <v>Team</v>
      </c>
      <c r="E2" s="45"/>
      <c r="F2" s="45"/>
    </row>
    <row r="3" spans="1:12" x14ac:dyDescent="0.2">
      <c r="A3" s="12"/>
      <c r="B3" s="12">
        <v>2</v>
      </c>
      <c r="C3" s="12" t="str">
        <f ca="1">IF(B3&gt;MAX('TRA-M'!A:A),"",INDEX('TRA-M'!B:B,MATCH(B3,'TRA-M'!A:A)))</f>
        <v>SOEHN, Keegan</v>
      </c>
      <c r="D3" s="12" t="str">
        <f ca="1">IF(B3&gt;MAX('TRA-M'!A:A),"",IF(INDEX('TRA-M'!H:H,MATCH(B3,'TRA-M'!A:A))="","No DD",INDEX('TRA-M'!H:H,MATCH(B3,'TRA-M'!A:A))))</f>
        <v>Team</v>
      </c>
      <c r="E3" s="45"/>
      <c r="F3" s="45"/>
    </row>
    <row r="4" spans="1:12" x14ac:dyDescent="0.2">
      <c r="A4" s="12"/>
      <c r="B4" s="12">
        <v>3</v>
      </c>
      <c r="C4" s="12" t="str">
        <f ca="1">IF(B4&gt;MAX('TRA-M'!A:A),"",INDEX('TRA-M'!B:B,MATCH(B4,'TRA-M'!A:A)))</f>
        <v>SOEHN, Kyle</v>
      </c>
      <c r="D4" s="12" t="str">
        <f ca="1">IF(B4&gt;MAX('TRA-M'!A:A),"",IF(INDEX('TRA-M'!H:H,MATCH(B4,'TRA-M'!A:A))="","No DD",INDEX('TRA-M'!H:H,MATCH(B4,'TRA-M'!A:A))))</f>
        <v>Team</v>
      </c>
      <c r="E4" s="45"/>
      <c r="F4" s="45"/>
    </row>
    <row r="5" spans="1:12" x14ac:dyDescent="0.2">
      <c r="A5" s="12"/>
      <c r="B5" s="12">
        <v>4</v>
      </c>
      <c r="C5" s="12" t="str">
        <f ca="1">IF(B5&gt;MAX('TRA-M'!A:A),"",INDEX('TRA-M'!B:B,MATCH(B5,'TRA-M'!A:A)))</f>
        <v>TYKHOV, Artem</v>
      </c>
      <c r="D5" s="12" t="str">
        <f ca="1">IF(B5&gt;MAX('TRA-M'!A:A),"",IF(INDEX('TRA-M'!H:H,MATCH(B5,'TRA-M'!A:A))="","No DD",INDEX('TRA-M'!H:H,MATCH(B5,'TRA-M'!A:A))))</f>
        <v>First 2 Years</v>
      </c>
    </row>
    <row r="6" spans="1:12" hidden="1" x14ac:dyDescent="0.2">
      <c r="A6" s="12"/>
      <c r="B6" s="12">
        <v>5</v>
      </c>
      <c r="C6" s="12" t="str">
        <f ca="1">IF(B6&gt;MAX('TRA-M'!A:A),"",INDEX('TRA-M'!B:B,MATCH(B6,'TRA-M'!A:A)))</f>
        <v/>
      </c>
      <c r="D6" s="12" t="str">
        <f ca="1">IF(B6&gt;MAX('TRA-M'!A:A),"",IF(INDEX('TRA-M'!H:H,MATCH(B6,'TRA-M'!A:A))="","No DD",INDEX('TRA-M'!H:H,MATCH(B6,'TRA-M'!A:A))))</f>
        <v/>
      </c>
    </row>
    <row r="7" spans="1:12" hidden="1" x14ac:dyDescent="0.2">
      <c r="A7" s="12"/>
      <c r="B7" s="12">
        <v>6</v>
      </c>
      <c r="C7" s="12" t="str">
        <f ca="1">IF(B7&gt;MAX('TRA-M'!A:A),"",INDEX('TRA-M'!B:B,MATCH(B7,'TRA-M'!A:A)))</f>
        <v/>
      </c>
      <c r="D7" s="12" t="str">
        <f ca="1">IF(B7&gt;MAX('TRA-M'!A:A),"",IF(INDEX('TRA-M'!H:H,MATCH(B7,'TRA-M'!A:A))="","No DD",INDEX('TRA-M'!H:H,MATCH(B7,'TRA-M'!A:A))))</f>
        <v/>
      </c>
      <c r="G7" s="84"/>
    </row>
    <row r="8" spans="1:12" hidden="1" x14ac:dyDescent="0.2">
      <c r="A8" s="12"/>
      <c r="B8" s="12">
        <v>7</v>
      </c>
      <c r="C8" s="12" t="str">
        <f ca="1">IF(B8&gt;MAX('TRA-M'!A:A),"",INDEX('TRA-M'!B:B,MATCH(B8,'TRA-M'!A:A)))</f>
        <v/>
      </c>
      <c r="D8" s="12" t="str">
        <f ca="1">IF(B8&gt;MAX('TRA-M'!A:A),"",IF(INDEX('TRA-M'!H:H,MATCH(B8,'TRA-M'!A:A))="","No DD",INDEX('TRA-M'!H:H,MATCH(B8,'TRA-M'!A:A))))</f>
        <v/>
      </c>
      <c r="G8" s="84"/>
    </row>
    <row r="9" spans="1:12" hidden="1" x14ac:dyDescent="0.2">
      <c r="A9" s="12"/>
      <c r="B9" s="12">
        <v>8</v>
      </c>
      <c r="C9" s="12" t="str">
        <f ca="1">IF(B9&gt;MAX('TRA-M'!A:A),"",INDEX('TRA-M'!B:B,MATCH(B9,'TRA-M'!A:A)))</f>
        <v/>
      </c>
      <c r="D9" s="12" t="str">
        <f ca="1">IF(B9&gt;MAX('TRA-M'!A:A),"",IF(INDEX('TRA-M'!H:H,MATCH(B9,'TRA-M'!A:A))="","No DD",INDEX('TRA-M'!H:H,MATCH(B9,'TRA-M'!A:A))))</f>
        <v/>
      </c>
    </row>
    <row r="10" spans="1:12" x14ac:dyDescent="0.2">
      <c r="A10" s="16" t="s">
        <v>131</v>
      </c>
      <c r="B10" s="16">
        <v>1</v>
      </c>
      <c r="C10" s="16" t="str">
        <f ca="1">IF(B2&gt;MAX('TRA-W'!A:A),"",INDEX('TRA-W'!B:B,MATCH(B2,'TRA-W'!A:A)))</f>
        <v>MÉTHOT, Sophiane</v>
      </c>
      <c r="D10" s="16" t="str">
        <f ca="1">IF(B2&gt;MAX('TRA-W'!A:A),"",IF(INDEX('TRA-W'!H:H,MATCH(B2,'TRA-W'!A:A))="","No DD",INDEX('TRA-W'!H:H,MATCH(B2,'TRA-W'!A:A))))</f>
        <v>Funding</v>
      </c>
    </row>
    <row r="11" spans="1:12" x14ac:dyDescent="0.2">
      <c r="A11" s="16"/>
      <c r="B11" s="16">
        <v>2</v>
      </c>
      <c r="C11" s="16" t="str">
        <f ca="1">IF(B3&gt;MAX('TRA-W'!A:A),"",INDEX('TRA-W'!B:B,MATCH(B3,'TRA-W'!A:A)))</f>
        <v>SMITH, Samantha</v>
      </c>
      <c r="D11" s="16" t="str">
        <f ca="1">IF(B3&gt;MAX('TRA-W'!A:A),"",IF(INDEX('TRA-W'!H:H,MATCH(B3,'TRA-W'!A:A))="","No DD",INDEX('TRA-W'!H:H,MATCH(B3,'TRA-W'!A:A))))</f>
        <v>Funding</v>
      </c>
    </row>
    <row r="12" spans="1:12" x14ac:dyDescent="0.2">
      <c r="A12" s="16"/>
      <c r="B12" s="16">
        <v>3</v>
      </c>
      <c r="C12" s="16" t="str">
        <f ca="1">IF(B4&gt;MAX('TRA-W'!A:A),"",INDEX('TRA-W'!B:B,MATCH(B4,'TRA-W'!A:A)))</f>
        <v>MILETTE, Sarah</v>
      </c>
      <c r="D12" s="16" t="str">
        <f ca="1">IF(B4&gt;MAX('TRA-W'!A:A),"",IF(INDEX('TRA-W'!H:H,MATCH(B4,'TRA-W'!A:A))="","No DD",INDEX('TRA-W'!H:H,MATCH(B4,'TRA-W'!A:A))))</f>
        <v>Funding</v>
      </c>
    </row>
    <row r="13" spans="1:12" x14ac:dyDescent="0.2">
      <c r="A13" s="16"/>
      <c r="B13" s="16">
        <v>4</v>
      </c>
      <c r="C13" s="16" t="str">
        <f ca="1">IF(B5&gt;MAX('TRA-W'!A:A),"",INDEX('TRA-W'!B:B,MATCH(B5,'TRA-W'!A:A)))</f>
        <v>DUNDAS, Bronte</v>
      </c>
      <c r="D13" s="16" t="str">
        <f ca="1">IF(B5&gt;MAX('TRA-W'!A:A),"",IF(INDEX('TRA-W'!H:H,MATCH(B5,'TRA-W'!A:A))="","No DD",INDEX('TRA-W'!H:H,MATCH(B5,'TRA-W'!A:A))))</f>
        <v>Funding</v>
      </c>
    </row>
    <row r="14" spans="1:12" x14ac:dyDescent="0.2">
      <c r="A14" s="16"/>
      <c r="B14" s="16">
        <v>5</v>
      </c>
      <c r="C14" s="16" t="str">
        <f ca="1">IF(B6&gt;MAX('TRA-W'!A:A),"",INDEX('TRA-W'!B:B,MATCH(B6,'TRA-W'!A:A)))</f>
        <v>TAM, Rachel</v>
      </c>
      <c r="D14" s="16" t="str">
        <f ca="1">IF(B6&gt;MAX('TRA-W'!A:A),"",IF(INDEX('TRA-W'!H:H,MATCH(B6,'TRA-W'!A:A))="","No DD",INDEX('TRA-W'!H:H,MATCH(B6,'TRA-W'!A:A))))</f>
        <v>Funding</v>
      </c>
    </row>
    <row r="15" spans="1:12" x14ac:dyDescent="0.2">
      <c r="A15" s="16"/>
      <c r="B15" s="16">
        <v>6</v>
      </c>
      <c r="C15" s="16" t="str">
        <f ca="1">IF(B7&gt;MAX('TRA-W'!A:A),"",INDEX('TRA-W'!B:B,MATCH(B7,'TRA-W'!A:A)))</f>
        <v>MacLENNAN, Rosannagh</v>
      </c>
      <c r="D15" s="16" t="str">
        <f ca="1">IF(B7&gt;MAX('TRA-W'!A:A),"",IF(INDEX('TRA-W'!H:H,MATCH(B7,'TRA-W'!A:A))="","No DD",INDEX('TRA-W'!H:H,MATCH(B7,'TRA-W'!A:A))))</f>
        <v>Merit</v>
      </c>
    </row>
    <row r="16" spans="1:12" x14ac:dyDescent="0.2">
      <c r="A16" s="16"/>
      <c r="B16" s="16">
        <v>7</v>
      </c>
      <c r="C16" s="16" t="str">
        <f ca="1">IF(B8&gt;MAX('TRA-W'!A:A),"",INDEX('TRA-W'!B:B,MATCH(B8,'TRA-W'!A:A)))</f>
        <v>ROUX, Laurence</v>
      </c>
      <c r="D16" s="16" t="str">
        <f ca="1">IF(B8&gt;MAX('TRA-W'!A:A),"",IF(INDEX('TRA-W'!H:H,MATCH(B8,'TRA-W'!A:A))="","No DD",INDEX('TRA-W'!H:H,MATCH(B8,'TRA-W'!A:A))))</f>
        <v>First 2 Years</v>
      </c>
      <c r="J16" s="83"/>
    </row>
    <row r="17" spans="1:10" hidden="1" x14ac:dyDescent="0.2">
      <c r="A17" s="16"/>
      <c r="B17" s="16">
        <v>8</v>
      </c>
      <c r="C17" s="16" t="str">
        <f ca="1">IF(B9&gt;MAX('TRA-W'!A:A),"",INDEX('TRA-W'!B:B,MATCH(B9,'TRA-W'!A:A)))</f>
        <v/>
      </c>
      <c r="D17" s="16" t="str">
        <f ca="1">IF(B9&gt;MAX('TRA-W'!A:A),"",IF(INDEX('TRA-W'!H:H,MATCH(B9,'TRA-W'!A:A))="","No DD",INDEX('TRA-W'!H:H,MATCH(B9,'TRA-W'!A:A))))</f>
        <v/>
      </c>
      <c r="J17" s="83"/>
    </row>
    <row r="18" spans="1:10" x14ac:dyDescent="0.2">
      <c r="A18" s="12" t="s">
        <v>132</v>
      </c>
      <c r="B18" s="12">
        <v>1</v>
      </c>
      <c r="C18" s="12" t="str">
        <f ca="1">IF(B2&gt;MAX('SYN-M'!A:A),"",INDEX('SYN-M'!B:B,MATCH(B2,'SYN-M'!A:A)))</f>
        <v>SOEHN &amp; SOEHN</v>
      </c>
      <c r="D18" s="12" t="str">
        <f ca="1">IF(B2&gt;MAX('SYN-M'!A:A),"",IF(INDEX('SYN-M'!H:H,MATCH(B2,'SYN-M'!A:A))="","No DD",INDEX('SYN-M'!H:H,MATCH(B2,'SYN-M'!A:A))))</f>
        <v>Funding</v>
      </c>
      <c r="J18" s="83"/>
    </row>
    <row r="19" spans="1:10" hidden="1" x14ac:dyDescent="0.2">
      <c r="A19" s="12"/>
      <c r="B19" s="12">
        <v>2</v>
      </c>
      <c r="C19" s="12" t="str">
        <f ca="1">IF(B3&gt;MAX('SYN-M'!A:A),"",INDEX('SYN-M'!B:B,MATCH(B3,'SYN-M'!A:A)))</f>
        <v/>
      </c>
      <c r="D19" s="12" t="str">
        <f ca="1">IF(B3&gt;MAX('SYN-M'!A:A),"",IF(INDEX('SYN-M'!H:H,MATCH(B3,'SYN-M'!A:A))="","No DD",INDEX('SYN-M'!H:H,MATCH(B3,'SYN-M'!A:A))))</f>
        <v/>
      </c>
      <c r="J19" s="83"/>
    </row>
    <row r="20" spans="1:10" hidden="1" x14ac:dyDescent="0.2">
      <c r="A20" s="12"/>
      <c r="B20" s="12">
        <v>3</v>
      </c>
      <c r="C20" s="12" t="str">
        <f ca="1">IF(B4&gt;MAX('SYN-M'!A:A),"",INDEX('SYN-M'!B:B,MATCH(B4,'SYN-M'!A:A)))</f>
        <v/>
      </c>
      <c r="D20" s="12" t="str">
        <f ca="1">IF(B4&gt;MAX('SYN-M'!A:A),"",IF(INDEX('SYN-M'!H:H,MATCH(B4,'SYN-M'!A:A))="","No DD",INDEX('SYN-M'!H:H,MATCH(B4,'SYN-M'!A:A))))</f>
        <v/>
      </c>
    </row>
    <row r="21" spans="1:10" hidden="1" x14ac:dyDescent="0.2">
      <c r="A21" s="12"/>
      <c r="B21" s="12">
        <v>4</v>
      </c>
      <c r="C21" s="12" t="str">
        <f ca="1">IF(B5&gt;MAX('SYN-M'!A:A),"",INDEX('SYN-M'!B:B,MATCH(B5,'SYN-M'!A:A)))</f>
        <v/>
      </c>
      <c r="D21" s="12" t="str">
        <f ca="1">IF(B5&gt;MAX('SYN-M'!A:A),"",IF(INDEX('SYN-M'!H:H,MATCH(B5,'SYN-M'!A:A))="","No DD",INDEX('SYN-M'!H:H,MATCH(B5,'SYN-M'!A:A))))</f>
        <v/>
      </c>
    </row>
    <row r="22" spans="1:10" x14ac:dyDescent="0.2">
      <c r="A22" s="16" t="s">
        <v>133</v>
      </c>
      <c r="B22" s="16">
        <v>1</v>
      </c>
      <c r="C22" s="16" t="str">
        <f ca="1">IF(B2&gt;MAX('SYN-W'!A:A),"",INDEX('SYN-W'!B:B,MATCH(B2,'SYN-W'!A:A)))</f>
        <v>MÉTHOT &amp; MILETTE</v>
      </c>
      <c r="D22" s="16" t="str">
        <f ca="1">IF(B2&gt;MAX('SYN-W'!A:A),"",IF(INDEX('SYN-W'!H:H,MATCH(B2,'SYN-W'!A:A))="","No DD",INDEX('SYN-W'!H:H,MATCH(B2,'SYN-W'!A:A))))</f>
        <v>Team</v>
      </c>
    </row>
    <row r="23" spans="1:10" x14ac:dyDescent="0.2">
      <c r="A23" s="16"/>
      <c r="B23" s="16">
        <v>2</v>
      </c>
      <c r="C23" s="16" t="str">
        <f ca="1">IF(B3&gt;MAX('SYN-W'!A:A),"",INDEX('SYN-W'!B:B,MATCH(B3,'SYN-W'!A:A)))</f>
        <v>SMITH &amp; TAM</v>
      </c>
      <c r="D23" s="16" t="str">
        <f ca="1">IF(B3&gt;MAX('SYN-W'!A:A),"",IF(INDEX('SYN-W'!H:H,MATCH(B3,'SYN-W'!A:A))="","No DD",INDEX('SYN-W'!H:H,MATCH(B3,'SYN-W'!A:A))))</f>
        <v>Funding</v>
      </c>
    </row>
    <row r="24" spans="1:10" hidden="1" x14ac:dyDescent="0.2">
      <c r="A24" s="16"/>
      <c r="B24" s="16">
        <v>3</v>
      </c>
      <c r="C24" s="16" t="str">
        <f ca="1">IF(B4&gt;MAX('SYN-W'!A:A),"",INDEX('SYN-W'!B:B,MATCH(B4,'SYN-W'!A:A)))</f>
        <v/>
      </c>
      <c r="D24" s="16" t="str">
        <f ca="1">IF(B4&gt;MAX('SYN-W'!A:A),"",IF(INDEX('SYN-W'!H:H,MATCH(B4,'SYN-W'!A:A))="","No DD",INDEX('SYN-W'!H:H,MATCH(B4,'SYN-W'!A:A))))</f>
        <v/>
      </c>
    </row>
    <row r="25" spans="1:10" hidden="1" x14ac:dyDescent="0.2">
      <c r="A25" s="16"/>
      <c r="B25" s="16">
        <v>4</v>
      </c>
      <c r="C25" s="16" t="str">
        <f ca="1">IF(B5&gt;MAX('SYN-W'!A:A),"",INDEX('SYN-W'!B:B,MATCH(B5,'SYN-W'!A:A)))</f>
        <v/>
      </c>
      <c r="D25" s="16" t="str">
        <f ca="1">IF(B5&gt;MAX('SYN-W'!A:A),"",IF(INDEX('SYN-W'!H:H,MATCH(B5,'SYN-W'!A:A))="","No DD",INDEX('SYN-W'!H:H,MATCH(B5,'SYN-W'!A:A))))</f>
        <v/>
      </c>
    </row>
    <row r="26" spans="1:10" x14ac:dyDescent="0.2">
      <c r="A26" s="12" t="s">
        <v>134</v>
      </c>
      <c r="B26" s="12">
        <v>1</v>
      </c>
      <c r="C26" s="12" t="str">
        <f ca="1">IF(B2&gt;MAX('TUM-M'!A:A),"",INDEX('TUM-M'!B:B,MATCH(B2,'TUM-M'!A:A)))</f>
        <v>SCHWAIGER, Jonathon</v>
      </c>
      <c r="D26" s="12" t="str">
        <f ca="1">IF(B2&gt;MAX('TUM-M'!A:A),"",IF(INDEX('TUM-M'!H:H,MATCH(B2,'TUM-M'!A:A))="","No DD",INDEX('TUM-M'!H:H,MATCH(B2,'TUM-M'!A:A))))</f>
        <v>Merit</v>
      </c>
    </row>
    <row r="27" spans="1:10" x14ac:dyDescent="0.2">
      <c r="A27" s="12"/>
      <c r="B27" s="12">
        <v>2</v>
      </c>
      <c r="C27" s="12" t="str">
        <f ca="1">IF(B3&gt;MAX('TUM-M'!A:A),"",INDEX('TUM-M'!B:B,MATCH(B3,'TUM-M'!A:A)))</f>
        <v>CHAVES, Michael</v>
      </c>
      <c r="D27" s="12" t="str">
        <f ca="1">IF(B3&gt;MAX('TUM-M'!A:A),"",IF(INDEX('TUM-M'!H:H,MATCH(B3,'TUM-M'!A:A))="","No DD",INDEX('TUM-M'!H:H,MATCH(B3,'TUM-M'!A:A))))</f>
        <v>Team</v>
      </c>
    </row>
    <row r="28" spans="1:10" hidden="1" x14ac:dyDescent="0.2">
      <c r="A28" s="12"/>
      <c r="B28" s="12">
        <v>3</v>
      </c>
      <c r="C28" s="12" t="str">
        <f ca="1">IF(B4&gt;MAX('TUM-M'!A:A),"",INDEX('TUM-M'!B:B,MATCH(B4,'TUM-M'!A:A)))</f>
        <v/>
      </c>
      <c r="D28" s="12" t="str">
        <f ca="1">IF(B4&gt;MAX('TUM-M'!A:A),"",IF(INDEX('TUM-M'!H:H,MATCH(B4,'TUM-M'!A:A))="","No DD",INDEX('TUM-M'!H:H,MATCH(B4,'TUM-M'!A:A))))</f>
        <v/>
      </c>
    </row>
    <row r="29" spans="1:10" hidden="1" x14ac:dyDescent="0.2">
      <c r="A29" s="12"/>
      <c r="B29" s="12">
        <v>4</v>
      </c>
      <c r="C29" s="12" t="str">
        <f ca="1">IF(B5&gt;MAX('TUM-M'!A:A),"",INDEX('TUM-M'!B:B,MATCH(B5,'TUM-M'!A:A)))</f>
        <v/>
      </c>
      <c r="D29" s="12" t="str">
        <f ca="1">IF(B5&gt;MAX('TUM-M'!A:A),"",IF(INDEX('TUM-M'!H:H,MATCH(B5,'TUM-M'!A:A))="","No DD",INDEX('TUM-M'!H:H,MATCH(B5,'TUM-M'!A:A))))</f>
        <v/>
      </c>
    </row>
    <row r="30" spans="1:10" hidden="1" x14ac:dyDescent="0.2">
      <c r="A30" s="12"/>
      <c r="B30" s="12">
        <v>5</v>
      </c>
      <c r="C30" s="12" t="str">
        <f ca="1">IF(B6&gt;MAX('TUM-M'!A:A),"",INDEX('TUM-M'!B:B,MATCH(B6,'TUM-M'!A:A)))</f>
        <v/>
      </c>
      <c r="D30" s="12" t="str">
        <f ca="1">IF(B6&gt;MAX('TUM-M'!A:A),"",IF(INDEX('TUM-M'!H:H,MATCH(B6,'TUM-M'!A:A))="","No DD",INDEX('TUM-M'!H:H,MATCH(B6,'TUM-M'!A:A))))</f>
        <v/>
      </c>
    </row>
    <row r="31" spans="1:10" hidden="1" x14ac:dyDescent="0.2">
      <c r="A31" s="12"/>
      <c r="B31" s="12">
        <v>6</v>
      </c>
      <c r="C31" s="12" t="str">
        <f ca="1">IF(B7&gt;MAX('TUM-M'!A:A),"",INDEX('TUM-M'!B:B,MATCH(B7,'TUM-M'!A:A)))</f>
        <v/>
      </c>
      <c r="D31" s="12" t="str">
        <f ca="1">IF(B7&gt;MAX('TUM-M'!A:A),"",IF(INDEX('TUM-M'!H:H,MATCH(B7,'TUM-M'!A:A))="","No DD",INDEX('TUM-M'!H:H,MATCH(B7,'TUM-M'!A:A))))</f>
        <v/>
      </c>
    </row>
    <row r="32" spans="1:10" hidden="1" x14ac:dyDescent="0.2">
      <c r="A32" s="12"/>
      <c r="B32" s="12">
        <v>7</v>
      </c>
      <c r="C32" s="12" t="str">
        <f ca="1">IF(B8&gt;MAX('TUM-M'!A:A),"",INDEX('TUM-M'!B:B,MATCH(B8,'TUM-M'!A:A)))</f>
        <v/>
      </c>
      <c r="D32" s="12" t="str">
        <f ca="1">IF(B8&gt;MAX('TUM-M'!A:A),"",IF(INDEX('TUM-M'!H:H,MATCH(B8,'TUM-M'!A:A))="","No DD",INDEX('TUM-M'!H:H,MATCH(B8,'TUM-M'!A:A))))</f>
        <v/>
      </c>
    </row>
    <row r="33" spans="1:4" hidden="1" x14ac:dyDescent="0.2">
      <c r="A33" s="12"/>
      <c r="B33" s="12">
        <v>8</v>
      </c>
      <c r="C33" s="12" t="str">
        <f ca="1">IF(B9&gt;MAX('TUM-M'!A:A),"",INDEX('TUM-M'!B:B,MATCH(B9,'TUM-M'!A:A)))</f>
        <v/>
      </c>
      <c r="D33" s="12" t="str">
        <f ca="1">IF(B9&gt;MAX('TUM-M'!A:A),"",IF(INDEX('TUM-M'!H:H,MATCH(B9,'TUM-M'!A:A))="","No DD",INDEX('TUM-M'!H:H,MATCH(B9,'TUM-M'!A:A))))</f>
        <v/>
      </c>
    </row>
    <row r="34" spans="1:4" x14ac:dyDescent="0.2">
      <c r="A34" s="16" t="s">
        <v>135</v>
      </c>
      <c r="B34" s="16">
        <v>1</v>
      </c>
      <c r="C34" s="16" t="str">
        <f ca="1">IF(B2&gt;MAX('TUM-W'!A:A),"",INDEX('TUM-W'!B:B,MATCH(B2,'TUM-W'!A:A)))</f>
        <v>SUGRIM, Jordan</v>
      </c>
      <c r="D34" s="16" t="str">
        <f ca="1">IF(B2&gt;MAX('TUM-W'!A:A),"",IF(INDEX('TUM-W'!H:H,MATCH(B2,'TUM-W'!A:A))="","No DD",INDEX('TUM-W'!H:H,MATCH(B2,'TUM-W'!A:A))))</f>
        <v>Funding</v>
      </c>
    </row>
    <row r="35" spans="1:4" x14ac:dyDescent="0.2">
      <c r="A35" s="16"/>
      <c r="B35" s="16">
        <v>2</v>
      </c>
      <c r="C35" s="16" t="str">
        <f ca="1">IF(B3&gt;MAX('TUM-W'!A:A),"",INDEX('TUM-W'!B:B,MATCH(B3,'TUM-W'!A:A)))</f>
        <v>ABOURAJA, Nora</v>
      </c>
      <c r="D35" s="16" t="str">
        <f ca="1">IF(B3&gt;MAX('TUM-W'!A:A),"",IF(INDEX('TUM-W'!H:H,MATCH(B3,'TUM-W'!A:A))="","No DD",INDEX('TUM-W'!H:H,MATCH(B3,'TUM-W'!A:A))))</f>
        <v>First 2 Years</v>
      </c>
    </row>
    <row r="36" spans="1:4" hidden="1" x14ac:dyDescent="0.2">
      <c r="A36" s="16"/>
      <c r="B36" s="16">
        <v>3</v>
      </c>
      <c r="C36" s="16" t="str">
        <f ca="1">IF(B4&gt;MAX('TUM-W'!A:A),"",INDEX('TUM-W'!B:B,MATCH(B4,'TUM-W'!A:A)))</f>
        <v/>
      </c>
      <c r="D36" s="16" t="str">
        <f ca="1">IF(B4&gt;MAX('TUM-W'!A:A),"",IF(INDEX('TUM-W'!H:H,MATCH(B4,'TUM-W'!A:A))="","No DD",INDEX('TUM-W'!H:H,MATCH(B4,'TUM-W'!A:A))))</f>
        <v/>
      </c>
    </row>
    <row r="37" spans="1:4" hidden="1" x14ac:dyDescent="0.2">
      <c r="A37" s="16"/>
      <c r="B37" s="16">
        <v>4</v>
      </c>
      <c r="C37" s="16" t="str">
        <f ca="1">IF(B5&gt;MAX('TUM-W'!A:A),"",INDEX('TUM-W'!B:B,MATCH(B5,'TUM-W'!A:A)))</f>
        <v/>
      </c>
      <c r="D37" s="16" t="str">
        <f ca="1">IF(B5&gt;MAX('TUM-W'!A:A),"",IF(INDEX('TUM-W'!H:H,MATCH(B5,'TUM-W'!A:A))="","No DD",INDEX('TUM-W'!H:H,MATCH(B5,'TUM-W'!A:A))))</f>
        <v/>
      </c>
    </row>
    <row r="38" spans="1:4" hidden="1" x14ac:dyDescent="0.2">
      <c r="A38" s="16"/>
      <c r="B38" s="16">
        <v>5</v>
      </c>
      <c r="C38" s="16" t="str">
        <f ca="1">IF(B6&gt;MAX('TUM-W'!A:A),"",INDEX('TUM-W'!B:B,MATCH(B6,'TUM-W'!A:A)))</f>
        <v/>
      </c>
      <c r="D38" s="16" t="str">
        <f ca="1">IF(B6&gt;MAX('TUM-W'!A:A),"",IF(INDEX('TUM-W'!H:H,MATCH(B6,'TUM-W'!A:A))="","No DD",INDEX('TUM-W'!H:H,MATCH(B6,'TUM-W'!A:A))))</f>
        <v/>
      </c>
    </row>
    <row r="39" spans="1:4" hidden="1" x14ac:dyDescent="0.2">
      <c r="A39" s="16"/>
      <c r="B39" s="16">
        <v>6</v>
      </c>
      <c r="C39" s="16" t="str">
        <f ca="1">IF(B7&gt;MAX('TUM-W'!A:A),"",INDEX('TUM-W'!B:B,MATCH(B7,'TUM-W'!A:A)))</f>
        <v/>
      </c>
      <c r="D39" s="16" t="str">
        <f ca="1">IF(B7&gt;MAX('TUM-W'!A:A),"",IF(INDEX('TUM-W'!H:H,MATCH(B7,'TUM-W'!A:A))="","No DD",INDEX('TUM-W'!H:H,MATCH(B7,'TUM-W'!A:A))))</f>
        <v/>
      </c>
    </row>
    <row r="40" spans="1:4" hidden="1" x14ac:dyDescent="0.2">
      <c r="A40" s="16"/>
      <c r="B40" s="16">
        <v>7</v>
      </c>
      <c r="C40" s="16" t="str">
        <f ca="1">IF(B8&gt;MAX('TUM-W'!A:A),"",INDEX('TUM-W'!B:B,MATCH(B8,'TUM-W'!A:A)))</f>
        <v/>
      </c>
      <c r="D40" s="16" t="str">
        <f ca="1">IF(B8&gt;MAX('TUM-W'!A:A),"",IF(INDEX('TUM-W'!H:H,MATCH(B8,'TUM-W'!A:A))="","No DD",INDEX('TUM-W'!H:H,MATCH(B8,'TUM-W'!A:A))))</f>
        <v/>
      </c>
    </row>
    <row r="41" spans="1:4" hidden="1" x14ac:dyDescent="0.2">
      <c r="A41" s="16"/>
      <c r="B41" s="16">
        <v>8</v>
      </c>
      <c r="C41" s="16" t="str">
        <f ca="1">IF(B9&gt;MAX('TUM-W'!A:A),"",INDEX('TUM-W'!B:B,MATCH(B9,'TUM-W'!A:A)))</f>
        <v/>
      </c>
      <c r="D41" s="16" t="str">
        <f ca="1">IF(B9&gt;MAX('TUM-W'!A:A),"",IF(INDEX('TUM-W'!H:H,MATCH(B9,'TUM-W'!A:A))="","No DD",INDEX('TUM-W'!H:H,MATCH(B9,'TUM-W'!A:A))))</f>
        <v/>
      </c>
    </row>
    <row r="42" spans="1:4" x14ac:dyDescent="0.2">
      <c r="A42" s="12" t="s">
        <v>136</v>
      </c>
      <c r="B42" s="12">
        <v>1</v>
      </c>
      <c r="C42" s="12" t="str">
        <f ca="1">IF(B2&gt;MAX('DMT-M'!A:A),"",INDEX('DMT-M'!B:B,MATCH(B2,'DMT-M'!A:A)))</f>
        <v>SCHWAIGER, Jonathon</v>
      </c>
      <c r="D42" s="12" t="str">
        <f ca="1">IF(B2&gt;MAX('DMT-M'!A:A),"",IF(INDEX('DMT-M'!H:H,MATCH(B2,'DMT-M'!A:A))="","No DD",INDEX('DMT-M'!H:H,MATCH(B2,'DMT-M'!A:A))))</f>
        <v>Funding</v>
      </c>
    </row>
    <row r="43" spans="1:4" x14ac:dyDescent="0.2">
      <c r="A43" s="12"/>
      <c r="B43" s="12">
        <v>2</v>
      </c>
      <c r="C43" s="12" t="str">
        <f ca="1">IF(B3&gt;MAX('DMT-M'!A:A),"",INDEX('DMT-M'!B:B,MATCH(B3,'DMT-M'!A:A)))</f>
        <v>ARMSTRONG, Mark</v>
      </c>
      <c r="D43" s="12" t="str">
        <f ca="1">IF(B3&gt;MAX('DMT-M'!A:A),"",IF(INDEX('DMT-M'!H:H,MATCH(B3,'DMT-M'!A:A))="","No DD",INDEX('DMT-M'!H:H,MATCH(B3,'DMT-M'!A:A))))</f>
        <v>Team</v>
      </c>
    </row>
    <row r="44" spans="1:4" x14ac:dyDescent="0.2">
      <c r="A44" s="12"/>
      <c r="B44" s="12">
        <v>3</v>
      </c>
      <c r="C44" s="12" t="str">
        <f ca="1">IF(B4&gt;MAX('DMT-M'!A:A),"",INDEX('DMT-M'!B:B,MATCH(B4,'DMT-M'!A:A)))</f>
        <v>SUNDQUIST, Callum</v>
      </c>
      <c r="D44" s="12" t="str">
        <f ca="1">IF(B4&gt;MAX('DMT-M'!A:A),"",IF(INDEX('DMT-M'!H:H,MATCH(B4,'DMT-M'!A:A))="","No DD",INDEX('DMT-M'!H:H,MATCH(B4,'DMT-M'!A:A))))</f>
        <v>First 2 Years</v>
      </c>
    </row>
    <row r="45" spans="1:4" hidden="1" x14ac:dyDescent="0.2">
      <c r="A45" s="12"/>
      <c r="B45" s="12">
        <v>4</v>
      </c>
      <c r="C45" s="12" t="str">
        <f ca="1">IF(B5&gt;MAX('DMT-M'!A:A),"",INDEX('DMT-M'!B:B,MATCH(B5,'DMT-M'!A:A)))</f>
        <v/>
      </c>
      <c r="D45" s="12" t="str">
        <f ca="1">IF(B5&gt;MAX('DMT-M'!A:A),"",IF(INDEX('DMT-M'!H:H,MATCH(B5,'DMT-M'!A:A))="","No DD",INDEX('DMT-M'!H:H,MATCH(B5,'DMT-M'!A:A))))</f>
        <v/>
      </c>
    </row>
    <row r="46" spans="1:4" hidden="1" x14ac:dyDescent="0.2">
      <c r="A46" s="12"/>
      <c r="B46" s="12">
        <v>5</v>
      </c>
      <c r="C46" s="12" t="str">
        <f ca="1">IF(B6&gt;MAX('DMT-M'!A:A),"",INDEX('DMT-M'!B:B,MATCH(B6,'DMT-M'!A:A)))</f>
        <v/>
      </c>
      <c r="D46" s="12" t="str">
        <f ca="1">IF(B6&gt;MAX('DMT-M'!A:A),"",IF(INDEX('DMT-M'!H:H,MATCH(B6,'DMT-M'!A:A))="","No DD",INDEX('DMT-M'!H:H,MATCH(B6,'DMT-M'!A:A))))</f>
        <v/>
      </c>
    </row>
    <row r="47" spans="1:4" hidden="1" x14ac:dyDescent="0.2">
      <c r="A47" s="12"/>
      <c r="B47" s="12">
        <v>6</v>
      </c>
      <c r="C47" s="12" t="str">
        <f ca="1">IF(B7&gt;MAX('DMT-M'!A:A),"",INDEX('DMT-M'!B:B,MATCH(B7,'DMT-M'!A:A)))</f>
        <v/>
      </c>
      <c r="D47" s="12" t="str">
        <f ca="1">IF(B7&gt;MAX('DMT-M'!A:A),"",IF(INDEX('DMT-M'!H:H,MATCH(B7,'DMT-M'!A:A))="","No DD",INDEX('DMT-M'!H:H,MATCH(B7,'DMT-M'!A:A))))</f>
        <v/>
      </c>
    </row>
    <row r="48" spans="1:4" hidden="1" x14ac:dyDescent="0.2">
      <c r="A48" s="12"/>
      <c r="B48" s="12">
        <v>7</v>
      </c>
      <c r="C48" s="12" t="str">
        <f ca="1">IF(B8&gt;MAX('DMT-M'!A:A),"",INDEX('DMT-M'!B:B,MATCH(B8,'DMT-M'!A:A)))</f>
        <v/>
      </c>
      <c r="D48" s="12" t="str">
        <f ca="1">IF(B8&gt;MAX('DMT-M'!A:A),"",IF(INDEX('DMT-M'!H:H,MATCH(B8,'DMT-M'!A:A))="","No DD",INDEX('DMT-M'!H:H,MATCH(B8,'DMT-M'!A:A))))</f>
        <v/>
      </c>
    </row>
    <row r="49" spans="1:4" hidden="1" x14ac:dyDescent="0.2">
      <c r="A49" s="12"/>
      <c r="B49" s="12">
        <v>8</v>
      </c>
      <c r="C49" s="12" t="str">
        <f ca="1">IF(B9&gt;MAX('DMT-M'!A:A),"",INDEX('DMT-M'!B:B,MATCH(B9,'DMT-M'!A:A)))</f>
        <v/>
      </c>
      <c r="D49" s="12" t="str">
        <f ca="1">IF(B9&gt;MAX('DMT-M'!A:A),"",IF(INDEX('DMT-M'!H:H,MATCH(B9,'DMT-M'!A:A))="","No DD",INDEX('DMT-M'!H:H,MATCH(B9,'DMT-M'!A:A))))</f>
        <v/>
      </c>
    </row>
    <row r="50" spans="1:4" x14ac:dyDescent="0.2">
      <c r="A50" s="16" t="s">
        <v>137</v>
      </c>
      <c r="B50" s="16">
        <v>1</v>
      </c>
      <c r="C50" s="16" t="str">
        <f ca="1">IF(B2&gt;MAX('DMT-W'!A:A),"",INDEX('DMT-W'!B:B,MATCH(B2,'DMT-W'!A:A)))</f>
        <v>O'BRIEN, Tamara</v>
      </c>
      <c r="D50" s="16" t="str">
        <f ca="1">IF(B2&gt;MAX('DMT-W'!A:A),"",IF(INDEX('DMT-W'!H:H,MATCH(B2,'DMT-W'!A:A))="","No DD",INDEX('DMT-W'!H:H,MATCH(B2,'DMT-W'!A:A))))</f>
        <v>Funding</v>
      </c>
    </row>
    <row r="51" spans="1:4" x14ac:dyDescent="0.2">
      <c r="A51" s="16"/>
      <c r="B51" s="16">
        <v>2</v>
      </c>
      <c r="C51" s="16" t="str">
        <f ca="1">IF(B3&gt;MAX('DMT-W'!A:A),"",INDEX('DMT-W'!B:B,MATCH(B3,'DMT-W'!A:A)))</f>
        <v>MILLER-BURKO, Jordyn</v>
      </c>
      <c r="D51" s="16" t="str">
        <f ca="1">IF(B3&gt;MAX('DMT-W'!A:A),"",IF(INDEX('DMT-W'!H:H,MATCH(B3,'DMT-W'!A:A))="","No DD",INDEX('DMT-W'!H:H,MATCH(B3,'DMT-W'!A:A))))</f>
        <v>Merit</v>
      </c>
    </row>
    <row r="52" spans="1:4" x14ac:dyDescent="0.2">
      <c r="A52" s="16"/>
      <c r="B52" s="16">
        <v>3</v>
      </c>
      <c r="C52" s="16" t="str">
        <f ca="1">IF(B4&gt;MAX('DMT-W'!A:A),"",INDEX('DMT-W'!B:B,MATCH(B4,'DMT-W'!A:A)))</f>
        <v>DUFOUR, Karine</v>
      </c>
      <c r="D52" s="16" t="str">
        <f ca="1">IF(B4&gt;MAX('DMT-W'!A:A),"",IF(INDEX('DMT-W'!H:H,MATCH(B4,'DMT-W'!A:A))="","No DD",INDEX('DMT-W'!H:H,MATCH(B4,'DMT-W'!A:A))))</f>
        <v>Funding</v>
      </c>
    </row>
    <row r="53" spans="1:4" x14ac:dyDescent="0.2">
      <c r="A53" s="16"/>
      <c r="B53" s="16">
        <v>4</v>
      </c>
      <c r="C53" s="16" t="str">
        <f ca="1">IF(B5&gt;MAX('DMT-W'!A:A),"",INDEX('DMT-W'!B:B,MATCH(B5,'DMT-W'!A:A)))</f>
        <v>GRIEVE, Danielle</v>
      </c>
      <c r="D53" s="16" t="str">
        <f ca="1">IF(B5&gt;MAX('DMT-W'!A:A),"",IF(INDEX('DMT-W'!H:H,MATCH(B5,'DMT-W'!A:A))="","No DD",INDEX('DMT-W'!H:H,MATCH(B5,'DMT-W'!A:A))))</f>
        <v>Team</v>
      </c>
    </row>
    <row r="54" spans="1:4" x14ac:dyDescent="0.2">
      <c r="A54" s="16"/>
      <c r="B54" s="16">
        <v>5</v>
      </c>
      <c r="C54" s="16" t="str">
        <f ca="1">IF(B6&gt;MAX('DMT-W'!A:A),"",INDEX('DMT-W'!B:B,MATCH(B6,'DMT-W'!A:A)))</f>
        <v>ROUX, Laurence</v>
      </c>
      <c r="D54" s="16" t="str">
        <f ca="1">IF(B6&gt;MAX('DMT-W'!A:A),"",IF(INDEX('DMT-W'!H:H,MATCH(B6,'DMT-W'!A:A))="","No DD",INDEX('DMT-W'!H:H,MATCH(B6,'DMT-W'!A:A))))</f>
        <v>First 2 Years</v>
      </c>
    </row>
    <row r="55" spans="1:4" hidden="1" x14ac:dyDescent="0.2">
      <c r="A55" s="16"/>
      <c r="B55" s="16">
        <v>6</v>
      </c>
      <c r="C55" s="16" t="str">
        <f ca="1">IF(B7&gt;MAX('DMT-W'!A:A),"",INDEX('DMT-W'!B:B,MATCH(B7,'DMT-W'!A:A)))</f>
        <v/>
      </c>
      <c r="D55" s="16" t="str">
        <f ca="1">IF(B7&gt;MAX('DMT-W'!A:A),"",IF(INDEX('DMT-W'!H:H,MATCH(B7,'DMT-W'!A:A))="","No DD",INDEX('DMT-W'!H:H,MATCH(B7,'DMT-W'!A:A))))</f>
        <v/>
      </c>
    </row>
    <row r="56" spans="1:4" hidden="1" x14ac:dyDescent="0.2">
      <c r="A56" s="16"/>
      <c r="B56" s="16">
        <v>7</v>
      </c>
      <c r="C56" s="16" t="str">
        <f ca="1">IF(B8&gt;MAX('DMT-W'!A:A),"",INDEX('DMT-W'!B:B,MATCH(B8,'DMT-W'!A:A)))</f>
        <v/>
      </c>
      <c r="D56" s="16" t="str">
        <f ca="1">IF(B8&gt;MAX('DMT-W'!A:A),"",IF(INDEX('DMT-W'!H:H,MATCH(B8,'DMT-W'!A:A))="","No DD",INDEX('DMT-W'!H:H,MATCH(B8,'DMT-W'!A:A))))</f>
        <v/>
      </c>
    </row>
    <row r="57" spans="1:4" hidden="1" x14ac:dyDescent="0.2">
      <c r="A57" s="16"/>
      <c r="B57" s="16">
        <v>8</v>
      </c>
      <c r="C57" s="16" t="str">
        <f ca="1">IF(B9&gt;MAX('DMT-W'!A:A),"",INDEX('DMT-W'!B:B,MATCH(B9,'DMT-W'!A:A)))</f>
        <v/>
      </c>
      <c r="D57" s="16" t="str">
        <f ca="1">IF(B9&gt;MAX('DMT-W'!A:A),"",IF(INDEX('DMT-W'!H:H,MATCH(B9,'DMT-W'!A:A))="","No DD",INDEX('DMT-W'!H:H,MATCH(B9,'DMT-W'!A:A))))</f>
        <v/>
      </c>
    </row>
    <row r="59" spans="1:4" x14ac:dyDescent="0.2">
      <c r="B59" s="83" t="s">
        <v>117</v>
      </c>
    </row>
    <row r="60" spans="1:4" x14ac:dyDescent="0.2">
      <c r="B60" s="83" t="s">
        <v>115</v>
      </c>
    </row>
    <row r="61" spans="1:4" x14ac:dyDescent="0.2">
      <c r="B61" s="83" t="s">
        <v>116</v>
      </c>
    </row>
    <row r="62" spans="1:4" x14ac:dyDescent="0.2">
      <c r="A62" t="s">
        <v>129</v>
      </c>
      <c r="B62" s="86">
        <v>43076</v>
      </c>
      <c r="C62" s="86"/>
    </row>
    <row r="63" spans="1:4" x14ac:dyDescent="0.2">
      <c r="B63" s="83" t="s">
        <v>141</v>
      </c>
    </row>
    <row r="64" spans="1:4" x14ac:dyDescent="0.2">
      <c r="B64" s="83"/>
    </row>
    <row r="65" spans="2:2" x14ac:dyDescent="0.2">
      <c r="B65" s="83"/>
    </row>
    <row r="66" spans="2:2" x14ac:dyDescent="0.2">
      <c r="B66" s="83"/>
    </row>
    <row r="67" spans="2:2" x14ac:dyDescent="0.2">
      <c r="B67" s="83"/>
    </row>
  </sheetData>
  <sheetProtection formatCells="0" formatColumns="0" formatRows="0"/>
  <mergeCells count="1">
    <mergeCell ref="B62:C62"/>
  </mergeCells>
  <conditionalFormatting sqref="D2:D57">
    <cfRule type="containsText" dxfId="553" priority="1" operator="containsText" text="No DD">
      <formula>NOT(ISERROR(SEARCH("No DD",D2)))</formula>
    </cfRule>
    <cfRule type="containsText" dxfId="552" priority="4" operator="containsText" text="Merit">
      <formula>NOT(ISERROR(SEARCH("Merit",D2)))</formula>
    </cfRule>
    <cfRule type="containsText" dxfId="551" priority="5" operator="containsText" text="Funding">
      <formula>NOT(ISERROR(SEARCH("Funding",D2)))</formula>
    </cfRule>
    <cfRule type="containsText" dxfId="550" priority="6" operator="containsText" text="Team">
      <formula>NOT(ISERROR(SEARCH("Team",D2)))</formula>
    </cfRule>
    <cfRule type="containsText" dxfId="549" priority="7" operator="containsText" text="First 2 Years">
      <formula>NOT(ISERROR(SEARCH("First 2 Years",D2)))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58</xdr:row>
                    <xdr:rowOff>38100</xdr:rowOff>
                  </from>
                  <to>
                    <xdr:col>0</xdr:col>
                    <xdr:colOff>812800</xdr:colOff>
                    <xdr:row>58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800100</xdr:colOff>
                    <xdr:row>59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800100</xdr:colOff>
                    <xdr:row>60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Y50"/>
  <sheetViews>
    <sheetView workbookViewId="0">
      <pane xSplit="3" topLeftCell="AJ1" activePane="topRight" state="frozen"/>
      <selection pane="topRight" activeCell="AK35" sqref="AK35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39.5" bestFit="1" customWidth="1"/>
    <col min="20" max="34" width="10.83203125" hidden="1" customWidth="1"/>
    <col min="35" max="40" width="10.83203125" customWidth="1"/>
    <col min="41" max="55" width="10.83203125" hidden="1" customWidth="1"/>
    <col min="56" max="61" width="10.83203125" customWidth="1"/>
    <col min="62" max="76" width="10.83203125" hidden="1" customWidth="1"/>
    <col min="77" max="82" width="10.83203125" customWidth="1"/>
    <col min="86" max="100" width="10.83203125" hidden="1" customWidth="1"/>
    <col min="101" max="106" width="10.83203125" customWidth="1"/>
    <col min="107" max="121" width="10.83203125" hidden="1" customWidth="1"/>
    <col min="122" max="127" width="10.83203125" customWidth="1"/>
    <col min="128" max="142" width="10.83203125" hidden="1" customWidth="1"/>
    <col min="143" max="148" width="10.83203125" customWidth="1"/>
    <col min="149" max="163" width="10.83203125" hidden="1" customWidth="1"/>
    <col min="164" max="169" width="10.83203125" customWidth="1"/>
    <col min="170" max="184" width="10.83203125" hidden="1" customWidth="1"/>
    <col min="185" max="190" width="10.83203125" customWidth="1"/>
    <col min="191" max="205" width="10.83203125" hidden="1" customWidth="1"/>
    <col min="206" max="211" width="10.83203125" customWidth="1"/>
    <col min="212" max="226" width="10.83203125" hidden="1" customWidth="1"/>
    <col min="227" max="232" width="10.83203125" customWidth="1"/>
    <col min="233" max="247" width="10.83203125" hidden="1" customWidth="1"/>
    <col min="248" max="253" width="10.83203125" customWidth="1"/>
    <col min="254" max="268" width="10.83203125" hidden="1" customWidth="1"/>
    <col min="269" max="274" width="10.83203125" customWidth="1"/>
    <col min="275" max="289" width="10.83203125" hidden="1" customWidth="1"/>
    <col min="290" max="295" width="10.83203125" customWidth="1"/>
    <col min="296" max="310" width="10.83203125" hidden="1" customWidth="1"/>
    <col min="311" max="316" width="10.83203125" customWidth="1"/>
    <col min="317" max="331" width="10.83203125" hidden="1" customWidth="1"/>
    <col min="332" max="337" width="10.83203125" customWidth="1"/>
  </cols>
  <sheetData>
    <row r="1" spans="1:337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26</v>
      </c>
      <c r="L1" s="97" t="s">
        <v>105</v>
      </c>
      <c r="M1" s="97" t="s">
        <v>27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94" t="s">
        <v>40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5" t="s">
        <v>41</v>
      </c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4" t="s">
        <v>114</v>
      </c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100" t="s">
        <v>29</v>
      </c>
      <c r="CF1" s="100"/>
      <c r="CG1" s="100"/>
      <c r="CH1" s="94" t="s">
        <v>107</v>
      </c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5" t="s">
        <v>108</v>
      </c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  <c r="DR1" s="95"/>
      <c r="DS1" s="95"/>
      <c r="DT1" s="95"/>
      <c r="DU1" s="95"/>
      <c r="DV1" s="95"/>
      <c r="DW1" s="95"/>
      <c r="DX1" s="94" t="s">
        <v>125</v>
      </c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5" t="s">
        <v>138</v>
      </c>
      <c r="ET1" s="95"/>
      <c r="EU1" s="95"/>
      <c r="EV1" s="95"/>
      <c r="EW1" s="95"/>
      <c r="EX1" s="95"/>
      <c r="EY1" s="95"/>
      <c r="EZ1" s="95"/>
      <c r="FA1" s="95"/>
      <c r="FB1" s="95"/>
      <c r="FC1" s="95"/>
      <c r="FD1" s="95"/>
      <c r="FE1" s="95"/>
      <c r="FF1" s="95"/>
      <c r="FG1" s="95"/>
      <c r="FH1" s="95"/>
      <c r="FI1" s="95"/>
      <c r="FJ1" s="95"/>
      <c r="FK1" s="95"/>
      <c r="FL1" s="95"/>
      <c r="FM1" s="95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4"/>
      <c r="FY1" s="94"/>
      <c r="FZ1" s="94"/>
      <c r="GA1" s="94"/>
      <c r="GB1" s="94"/>
      <c r="GC1" s="94"/>
      <c r="GD1" s="94"/>
      <c r="GE1" s="94"/>
      <c r="GF1" s="94"/>
      <c r="GG1" s="94"/>
      <c r="GH1" s="94"/>
      <c r="GI1" s="95"/>
      <c r="GJ1" s="95"/>
      <c r="GK1" s="95"/>
      <c r="GL1" s="95"/>
      <c r="GM1" s="95"/>
      <c r="GN1" s="95"/>
      <c r="GO1" s="95"/>
      <c r="GP1" s="95"/>
      <c r="GQ1" s="95"/>
      <c r="GR1" s="95"/>
      <c r="GS1" s="95"/>
      <c r="GT1" s="95"/>
      <c r="GU1" s="95"/>
      <c r="GV1" s="95"/>
      <c r="GW1" s="95"/>
      <c r="GX1" s="95"/>
      <c r="GY1" s="95"/>
      <c r="GZ1" s="95"/>
      <c r="HA1" s="95"/>
      <c r="HB1" s="95"/>
      <c r="HC1" s="95"/>
      <c r="HD1" s="94"/>
      <c r="HE1" s="94"/>
      <c r="HF1" s="94"/>
      <c r="HG1" s="94"/>
      <c r="HH1" s="94"/>
      <c r="HI1" s="94"/>
      <c r="HJ1" s="94"/>
      <c r="HK1" s="94"/>
      <c r="HL1" s="94"/>
      <c r="HM1" s="94"/>
      <c r="HN1" s="94"/>
      <c r="HO1" s="94"/>
      <c r="HP1" s="94"/>
      <c r="HQ1" s="94"/>
      <c r="HR1" s="94"/>
      <c r="HS1" s="94"/>
      <c r="HT1" s="94"/>
      <c r="HU1" s="94"/>
      <c r="HV1" s="94"/>
      <c r="HW1" s="94"/>
      <c r="HX1" s="94"/>
      <c r="HY1" s="95"/>
      <c r="HZ1" s="95"/>
      <c r="IA1" s="95"/>
      <c r="IB1" s="95"/>
      <c r="IC1" s="95"/>
      <c r="ID1" s="95"/>
      <c r="IE1" s="95"/>
      <c r="IF1" s="95"/>
      <c r="IG1" s="95"/>
      <c r="IH1" s="95"/>
      <c r="II1" s="95"/>
      <c r="IJ1" s="95"/>
      <c r="IK1" s="95"/>
      <c r="IL1" s="95"/>
      <c r="IM1" s="95"/>
      <c r="IN1" s="95"/>
      <c r="IO1" s="95"/>
      <c r="IP1" s="95"/>
      <c r="IQ1" s="95"/>
      <c r="IR1" s="95"/>
      <c r="IS1" s="95"/>
      <c r="IT1" s="94"/>
      <c r="IU1" s="94"/>
      <c r="IV1" s="94"/>
      <c r="IW1" s="94"/>
      <c r="IX1" s="94"/>
      <c r="IY1" s="94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94"/>
      <c r="JK1" s="94"/>
      <c r="JL1" s="94"/>
      <c r="JM1" s="94"/>
      <c r="JN1" s="94"/>
      <c r="JO1" s="95"/>
      <c r="JP1" s="95"/>
      <c r="JQ1" s="95"/>
      <c r="JR1" s="95"/>
      <c r="JS1" s="95"/>
      <c r="JT1" s="95"/>
      <c r="JU1" s="95"/>
      <c r="JV1" s="95"/>
      <c r="JW1" s="95"/>
      <c r="JX1" s="95"/>
      <c r="JY1" s="95"/>
      <c r="JZ1" s="95"/>
      <c r="KA1" s="95"/>
      <c r="KB1" s="95"/>
      <c r="KC1" s="95"/>
      <c r="KD1" s="95"/>
      <c r="KE1" s="95"/>
      <c r="KF1" s="95"/>
      <c r="KG1" s="95"/>
      <c r="KH1" s="95"/>
      <c r="KI1" s="95"/>
      <c r="KJ1" s="94"/>
      <c r="KK1" s="94"/>
      <c r="KL1" s="94"/>
      <c r="KM1" s="94"/>
      <c r="KN1" s="94"/>
      <c r="KO1" s="94"/>
      <c r="KP1" s="94"/>
      <c r="KQ1" s="94"/>
      <c r="KR1" s="94"/>
      <c r="KS1" s="94"/>
      <c r="KT1" s="94"/>
      <c r="KU1" s="94"/>
      <c r="KV1" s="94"/>
      <c r="KW1" s="94"/>
      <c r="KX1" s="94"/>
      <c r="KY1" s="94"/>
      <c r="KZ1" s="94"/>
      <c r="LA1" s="94"/>
      <c r="LB1" s="94"/>
      <c r="LC1" s="94"/>
      <c r="LD1" s="94"/>
      <c r="LE1" s="95"/>
      <c r="LF1" s="95"/>
      <c r="LG1" s="95"/>
      <c r="LH1" s="95"/>
      <c r="LI1" s="95"/>
      <c r="LJ1" s="95"/>
      <c r="LK1" s="95"/>
      <c r="LL1" s="95"/>
      <c r="LM1" s="95"/>
      <c r="LN1" s="95"/>
      <c r="LO1" s="95"/>
      <c r="LP1" s="95"/>
      <c r="LQ1" s="95"/>
      <c r="LR1" s="95"/>
      <c r="LS1" s="95"/>
      <c r="LT1" s="95"/>
      <c r="LU1" s="95"/>
      <c r="LV1" s="95"/>
      <c r="LW1" s="95"/>
      <c r="LX1" s="95"/>
      <c r="LY1" s="95"/>
    </row>
    <row r="2" spans="1:337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34</v>
      </c>
      <c r="U2" s="88"/>
      <c r="V2" s="88"/>
      <c r="W2" s="88"/>
      <c r="X2" s="88"/>
      <c r="Y2" s="88" t="s">
        <v>35</v>
      </c>
      <c r="Z2" s="88"/>
      <c r="AA2" s="88"/>
      <c r="AB2" s="88"/>
      <c r="AC2" s="88"/>
      <c r="AD2" s="88" t="s">
        <v>38</v>
      </c>
      <c r="AE2" s="88"/>
      <c r="AF2" s="88"/>
      <c r="AG2" s="88"/>
      <c r="AH2" s="88"/>
      <c r="AI2" s="54" t="s">
        <v>45</v>
      </c>
      <c r="AJ2" s="11" t="s">
        <v>36</v>
      </c>
      <c r="AK2" s="11" t="s">
        <v>37</v>
      </c>
      <c r="AL2" s="11" t="s">
        <v>39</v>
      </c>
      <c r="AM2" s="11" t="s">
        <v>38</v>
      </c>
      <c r="AN2" s="11" t="s">
        <v>33</v>
      </c>
      <c r="AO2" s="87" t="s">
        <v>34</v>
      </c>
      <c r="AP2" s="87"/>
      <c r="AQ2" s="87"/>
      <c r="AR2" s="87"/>
      <c r="AS2" s="87"/>
      <c r="AT2" s="87" t="s">
        <v>35</v>
      </c>
      <c r="AU2" s="87"/>
      <c r="AV2" s="87"/>
      <c r="AW2" s="87"/>
      <c r="AX2" s="87"/>
      <c r="AY2" s="87" t="s">
        <v>38</v>
      </c>
      <c r="AZ2" s="87"/>
      <c r="BA2" s="87"/>
      <c r="BB2" s="87"/>
      <c r="BC2" s="87"/>
      <c r="BD2" s="55" t="s">
        <v>45</v>
      </c>
      <c r="BE2" s="15" t="s">
        <v>36</v>
      </c>
      <c r="BF2" s="15" t="s">
        <v>37</v>
      </c>
      <c r="BG2" s="15" t="s">
        <v>39</v>
      </c>
      <c r="BH2" s="15" t="s">
        <v>38</v>
      </c>
      <c r="BI2" s="15" t="s">
        <v>33</v>
      </c>
      <c r="BJ2" s="88" t="s">
        <v>34</v>
      </c>
      <c r="BK2" s="88"/>
      <c r="BL2" s="88"/>
      <c r="BM2" s="88"/>
      <c r="BN2" s="88"/>
      <c r="BO2" s="88" t="s">
        <v>35</v>
      </c>
      <c r="BP2" s="88"/>
      <c r="BQ2" s="88"/>
      <c r="BR2" s="88"/>
      <c r="BS2" s="88"/>
      <c r="BT2" s="88" t="s">
        <v>38</v>
      </c>
      <c r="BU2" s="88"/>
      <c r="BV2" s="88"/>
      <c r="BW2" s="88"/>
      <c r="BX2" s="88"/>
      <c r="BY2" s="54" t="s">
        <v>45</v>
      </c>
      <c r="BZ2" s="11" t="s">
        <v>36</v>
      </c>
      <c r="CA2" s="11" t="s">
        <v>37</v>
      </c>
      <c r="CB2" s="11" t="s">
        <v>39</v>
      </c>
      <c r="CC2" s="11" t="s">
        <v>38</v>
      </c>
      <c r="CD2" s="11" t="s">
        <v>33</v>
      </c>
      <c r="CE2" s="41" t="s">
        <v>36</v>
      </c>
      <c r="CF2" s="41" t="s">
        <v>37</v>
      </c>
      <c r="CG2" s="41" t="s">
        <v>38</v>
      </c>
      <c r="CH2" s="88" t="s">
        <v>34</v>
      </c>
      <c r="CI2" s="88"/>
      <c r="CJ2" s="88"/>
      <c r="CK2" s="88"/>
      <c r="CL2" s="88"/>
      <c r="CM2" s="88" t="s">
        <v>35</v>
      </c>
      <c r="CN2" s="88"/>
      <c r="CO2" s="88"/>
      <c r="CP2" s="88"/>
      <c r="CQ2" s="88"/>
      <c r="CR2" s="88" t="s">
        <v>38</v>
      </c>
      <c r="CS2" s="88"/>
      <c r="CT2" s="88"/>
      <c r="CU2" s="88"/>
      <c r="CV2" s="88"/>
      <c r="CW2" s="54" t="s">
        <v>45</v>
      </c>
      <c r="CX2" s="11" t="s">
        <v>36</v>
      </c>
      <c r="CY2" s="11" t="s">
        <v>37</v>
      </c>
      <c r="CZ2" s="11" t="s">
        <v>39</v>
      </c>
      <c r="DA2" s="11" t="s">
        <v>38</v>
      </c>
      <c r="DB2" s="11" t="s">
        <v>33</v>
      </c>
      <c r="DC2" s="87" t="s">
        <v>34</v>
      </c>
      <c r="DD2" s="87"/>
      <c r="DE2" s="87"/>
      <c r="DF2" s="87"/>
      <c r="DG2" s="87"/>
      <c r="DH2" s="87" t="s">
        <v>35</v>
      </c>
      <c r="DI2" s="87"/>
      <c r="DJ2" s="87"/>
      <c r="DK2" s="87"/>
      <c r="DL2" s="87"/>
      <c r="DM2" s="87" t="s">
        <v>38</v>
      </c>
      <c r="DN2" s="87"/>
      <c r="DO2" s="87"/>
      <c r="DP2" s="87"/>
      <c r="DQ2" s="87"/>
      <c r="DR2" s="55" t="s">
        <v>45</v>
      </c>
      <c r="DS2" s="15" t="s">
        <v>36</v>
      </c>
      <c r="DT2" s="15" t="s">
        <v>37</v>
      </c>
      <c r="DU2" s="15" t="s">
        <v>39</v>
      </c>
      <c r="DV2" s="15" t="s">
        <v>38</v>
      </c>
      <c r="DW2" s="15" t="s">
        <v>33</v>
      </c>
      <c r="DX2" s="88" t="s">
        <v>34</v>
      </c>
      <c r="DY2" s="88"/>
      <c r="DZ2" s="88"/>
      <c r="EA2" s="88"/>
      <c r="EB2" s="88"/>
      <c r="EC2" s="88" t="s">
        <v>35</v>
      </c>
      <c r="ED2" s="88"/>
      <c r="EE2" s="88"/>
      <c r="EF2" s="88"/>
      <c r="EG2" s="88"/>
      <c r="EH2" s="88" t="s">
        <v>38</v>
      </c>
      <c r="EI2" s="88"/>
      <c r="EJ2" s="88"/>
      <c r="EK2" s="88"/>
      <c r="EL2" s="88"/>
      <c r="EM2" s="54" t="s">
        <v>45</v>
      </c>
      <c r="EN2" s="11" t="s">
        <v>36</v>
      </c>
      <c r="EO2" s="11" t="s">
        <v>37</v>
      </c>
      <c r="EP2" s="11" t="s">
        <v>39</v>
      </c>
      <c r="EQ2" s="11" t="s">
        <v>38</v>
      </c>
      <c r="ER2" s="11" t="s">
        <v>33</v>
      </c>
      <c r="ES2" s="87" t="s">
        <v>34</v>
      </c>
      <c r="ET2" s="87"/>
      <c r="EU2" s="87"/>
      <c r="EV2" s="87"/>
      <c r="EW2" s="87"/>
      <c r="EX2" s="87" t="s">
        <v>35</v>
      </c>
      <c r="EY2" s="87"/>
      <c r="EZ2" s="87"/>
      <c r="FA2" s="87"/>
      <c r="FB2" s="87"/>
      <c r="FC2" s="87" t="s">
        <v>38</v>
      </c>
      <c r="FD2" s="87"/>
      <c r="FE2" s="87"/>
      <c r="FF2" s="87"/>
      <c r="FG2" s="87"/>
      <c r="FH2" s="55" t="s">
        <v>45</v>
      </c>
      <c r="FI2" s="15" t="s">
        <v>36</v>
      </c>
      <c r="FJ2" s="15" t="s">
        <v>37</v>
      </c>
      <c r="FK2" s="15" t="s">
        <v>39</v>
      </c>
      <c r="FL2" s="15" t="s">
        <v>38</v>
      </c>
      <c r="FM2" s="15" t="s">
        <v>33</v>
      </c>
      <c r="FN2" s="88" t="s">
        <v>34</v>
      </c>
      <c r="FO2" s="88"/>
      <c r="FP2" s="88"/>
      <c r="FQ2" s="88"/>
      <c r="FR2" s="88"/>
      <c r="FS2" s="88" t="s">
        <v>35</v>
      </c>
      <c r="FT2" s="88"/>
      <c r="FU2" s="88"/>
      <c r="FV2" s="88"/>
      <c r="FW2" s="88"/>
      <c r="FX2" s="88" t="s">
        <v>38</v>
      </c>
      <c r="FY2" s="88"/>
      <c r="FZ2" s="88"/>
      <c r="GA2" s="88"/>
      <c r="GB2" s="88"/>
      <c r="GC2" s="54" t="s">
        <v>45</v>
      </c>
      <c r="GD2" s="11" t="s">
        <v>36</v>
      </c>
      <c r="GE2" s="11" t="s">
        <v>37</v>
      </c>
      <c r="GF2" s="11" t="s">
        <v>39</v>
      </c>
      <c r="GG2" s="11" t="s">
        <v>38</v>
      </c>
      <c r="GH2" s="11" t="s">
        <v>33</v>
      </c>
      <c r="GI2" s="87" t="s">
        <v>34</v>
      </c>
      <c r="GJ2" s="87"/>
      <c r="GK2" s="87"/>
      <c r="GL2" s="87"/>
      <c r="GM2" s="87"/>
      <c r="GN2" s="87" t="s">
        <v>35</v>
      </c>
      <c r="GO2" s="87"/>
      <c r="GP2" s="87"/>
      <c r="GQ2" s="87"/>
      <c r="GR2" s="87"/>
      <c r="GS2" s="87" t="s">
        <v>38</v>
      </c>
      <c r="GT2" s="87"/>
      <c r="GU2" s="87"/>
      <c r="GV2" s="87"/>
      <c r="GW2" s="87"/>
      <c r="GX2" s="55" t="s">
        <v>45</v>
      </c>
      <c r="GY2" s="15" t="s">
        <v>36</v>
      </c>
      <c r="GZ2" s="15" t="s">
        <v>37</v>
      </c>
      <c r="HA2" s="15" t="s">
        <v>39</v>
      </c>
      <c r="HB2" s="15" t="s">
        <v>38</v>
      </c>
      <c r="HC2" s="15" t="s">
        <v>33</v>
      </c>
      <c r="HD2" s="88" t="s">
        <v>34</v>
      </c>
      <c r="HE2" s="88"/>
      <c r="HF2" s="88"/>
      <c r="HG2" s="88"/>
      <c r="HH2" s="88"/>
      <c r="HI2" s="88" t="s">
        <v>35</v>
      </c>
      <c r="HJ2" s="88"/>
      <c r="HK2" s="88"/>
      <c r="HL2" s="88"/>
      <c r="HM2" s="88"/>
      <c r="HN2" s="88" t="s">
        <v>38</v>
      </c>
      <c r="HO2" s="88"/>
      <c r="HP2" s="88"/>
      <c r="HQ2" s="88"/>
      <c r="HR2" s="88"/>
      <c r="HS2" s="54" t="s">
        <v>45</v>
      </c>
      <c r="HT2" s="11" t="s">
        <v>36</v>
      </c>
      <c r="HU2" s="11" t="s">
        <v>37</v>
      </c>
      <c r="HV2" s="11" t="s">
        <v>39</v>
      </c>
      <c r="HW2" s="11" t="s">
        <v>38</v>
      </c>
      <c r="HX2" s="11" t="s">
        <v>33</v>
      </c>
      <c r="HY2" s="87" t="s">
        <v>34</v>
      </c>
      <c r="HZ2" s="87"/>
      <c r="IA2" s="87"/>
      <c r="IB2" s="87"/>
      <c r="IC2" s="87"/>
      <c r="ID2" s="87" t="s">
        <v>35</v>
      </c>
      <c r="IE2" s="87"/>
      <c r="IF2" s="87"/>
      <c r="IG2" s="87"/>
      <c r="IH2" s="87"/>
      <c r="II2" s="87" t="s">
        <v>38</v>
      </c>
      <c r="IJ2" s="87"/>
      <c r="IK2" s="87"/>
      <c r="IL2" s="87"/>
      <c r="IM2" s="87"/>
      <c r="IN2" s="55" t="s">
        <v>45</v>
      </c>
      <c r="IO2" s="15" t="s">
        <v>36</v>
      </c>
      <c r="IP2" s="15" t="s">
        <v>37</v>
      </c>
      <c r="IQ2" s="15" t="s">
        <v>39</v>
      </c>
      <c r="IR2" s="15" t="s">
        <v>38</v>
      </c>
      <c r="IS2" s="15" t="s">
        <v>33</v>
      </c>
      <c r="IT2" s="88" t="s">
        <v>34</v>
      </c>
      <c r="IU2" s="88"/>
      <c r="IV2" s="88"/>
      <c r="IW2" s="88"/>
      <c r="IX2" s="88"/>
      <c r="IY2" s="88" t="s">
        <v>35</v>
      </c>
      <c r="IZ2" s="88"/>
      <c r="JA2" s="88"/>
      <c r="JB2" s="88"/>
      <c r="JC2" s="88"/>
      <c r="JD2" s="88" t="s">
        <v>38</v>
      </c>
      <c r="JE2" s="88"/>
      <c r="JF2" s="88"/>
      <c r="JG2" s="88"/>
      <c r="JH2" s="88"/>
      <c r="JI2" s="54" t="s">
        <v>45</v>
      </c>
      <c r="JJ2" s="11" t="s">
        <v>36</v>
      </c>
      <c r="JK2" s="11" t="s">
        <v>37</v>
      </c>
      <c r="JL2" s="11" t="s">
        <v>39</v>
      </c>
      <c r="JM2" s="11" t="s">
        <v>38</v>
      </c>
      <c r="JN2" s="11" t="s">
        <v>33</v>
      </c>
      <c r="JO2" s="87" t="s">
        <v>34</v>
      </c>
      <c r="JP2" s="87"/>
      <c r="JQ2" s="87"/>
      <c r="JR2" s="87"/>
      <c r="JS2" s="87"/>
      <c r="JT2" s="87" t="s">
        <v>35</v>
      </c>
      <c r="JU2" s="87"/>
      <c r="JV2" s="87"/>
      <c r="JW2" s="87"/>
      <c r="JX2" s="87"/>
      <c r="JY2" s="87" t="s">
        <v>38</v>
      </c>
      <c r="JZ2" s="87"/>
      <c r="KA2" s="87"/>
      <c r="KB2" s="87"/>
      <c r="KC2" s="87"/>
      <c r="KD2" s="55" t="s">
        <v>45</v>
      </c>
      <c r="KE2" s="15" t="s">
        <v>36</v>
      </c>
      <c r="KF2" s="15" t="s">
        <v>37</v>
      </c>
      <c r="KG2" s="15" t="s">
        <v>39</v>
      </c>
      <c r="KH2" s="15" t="s">
        <v>38</v>
      </c>
      <c r="KI2" s="15" t="s">
        <v>33</v>
      </c>
      <c r="KJ2" s="88" t="s">
        <v>34</v>
      </c>
      <c r="KK2" s="88"/>
      <c r="KL2" s="88"/>
      <c r="KM2" s="88"/>
      <c r="KN2" s="88"/>
      <c r="KO2" s="88" t="s">
        <v>35</v>
      </c>
      <c r="KP2" s="88"/>
      <c r="KQ2" s="88"/>
      <c r="KR2" s="88"/>
      <c r="KS2" s="88"/>
      <c r="KT2" s="88" t="s">
        <v>38</v>
      </c>
      <c r="KU2" s="88"/>
      <c r="KV2" s="88"/>
      <c r="KW2" s="88"/>
      <c r="KX2" s="88"/>
      <c r="KY2" s="54" t="s">
        <v>45</v>
      </c>
      <c r="KZ2" s="11" t="s">
        <v>36</v>
      </c>
      <c r="LA2" s="11" t="s">
        <v>37</v>
      </c>
      <c r="LB2" s="11" t="s">
        <v>39</v>
      </c>
      <c r="LC2" s="11" t="s">
        <v>38</v>
      </c>
      <c r="LD2" s="11" t="s">
        <v>33</v>
      </c>
      <c r="LE2" s="87" t="s">
        <v>34</v>
      </c>
      <c r="LF2" s="87"/>
      <c r="LG2" s="87"/>
      <c r="LH2" s="87"/>
      <c r="LI2" s="87"/>
      <c r="LJ2" s="87" t="s">
        <v>35</v>
      </c>
      <c r="LK2" s="87"/>
      <c r="LL2" s="87"/>
      <c r="LM2" s="87"/>
      <c r="LN2" s="87"/>
      <c r="LO2" s="87" t="s">
        <v>38</v>
      </c>
      <c r="LP2" s="87"/>
      <c r="LQ2" s="87"/>
      <c r="LR2" s="87"/>
      <c r="LS2" s="87"/>
      <c r="LT2" s="55" t="s">
        <v>45</v>
      </c>
      <c r="LU2" s="15" t="s">
        <v>36</v>
      </c>
      <c r="LV2" s="15" t="s">
        <v>37</v>
      </c>
      <c r="LW2" s="15" t="s">
        <v>39</v>
      </c>
      <c r="LX2" s="15" t="s">
        <v>38</v>
      </c>
      <c r="LY2" s="15" t="s">
        <v>33</v>
      </c>
    </row>
    <row r="3" spans="1:337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54" t="s">
        <v>30</v>
      </c>
      <c r="U3" s="54" t="s">
        <v>31</v>
      </c>
      <c r="V3" s="54" t="s">
        <v>22</v>
      </c>
      <c r="W3" s="54" t="s">
        <v>32</v>
      </c>
      <c r="X3" s="77" t="s">
        <v>64</v>
      </c>
      <c r="Y3" s="54" t="s">
        <v>30</v>
      </c>
      <c r="Z3" s="54" t="s">
        <v>31</v>
      </c>
      <c r="AA3" s="54" t="s">
        <v>22</v>
      </c>
      <c r="AB3" s="54" t="s">
        <v>32</v>
      </c>
      <c r="AC3" s="77" t="s">
        <v>64</v>
      </c>
      <c r="AD3" s="54" t="s">
        <v>30</v>
      </c>
      <c r="AE3" s="54" t="s">
        <v>31</v>
      </c>
      <c r="AF3" s="54" t="s">
        <v>22</v>
      </c>
      <c r="AG3" s="54" t="s">
        <v>32</v>
      </c>
      <c r="AH3" s="77" t="s">
        <v>64</v>
      </c>
      <c r="AI3" s="12"/>
      <c r="AJ3" s="11"/>
      <c r="AK3" s="11"/>
      <c r="AL3" s="11"/>
      <c r="AM3" s="12"/>
      <c r="AN3" s="12"/>
      <c r="AO3" s="55" t="s">
        <v>30</v>
      </c>
      <c r="AP3" s="55" t="s">
        <v>31</v>
      </c>
      <c r="AQ3" s="55" t="s">
        <v>22</v>
      </c>
      <c r="AR3" s="55" t="s">
        <v>32</v>
      </c>
      <c r="AS3" s="78" t="s">
        <v>64</v>
      </c>
      <c r="AT3" s="55" t="s">
        <v>30</v>
      </c>
      <c r="AU3" s="55" t="s">
        <v>31</v>
      </c>
      <c r="AV3" s="55" t="s">
        <v>22</v>
      </c>
      <c r="AW3" s="55" t="s">
        <v>32</v>
      </c>
      <c r="AX3" s="78" t="s">
        <v>64</v>
      </c>
      <c r="AY3" s="55" t="s">
        <v>30</v>
      </c>
      <c r="AZ3" s="55" t="s">
        <v>31</v>
      </c>
      <c r="BA3" s="55" t="s">
        <v>22</v>
      </c>
      <c r="BB3" s="78" t="s">
        <v>32</v>
      </c>
      <c r="BC3" s="55" t="s">
        <v>64</v>
      </c>
      <c r="BD3" s="16"/>
      <c r="BE3" s="15"/>
      <c r="BF3" s="15"/>
      <c r="BG3" s="15"/>
      <c r="BH3" s="16"/>
      <c r="BI3" s="16"/>
      <c r="BJ3" s="54" t="s">
        <v>30</v>
      </c>
      <c r="BK3" s="54" t="s">
        <v>31</v>
      </c>
      <c r="BL3" s="54" t="s">
        <v>22</v>
      </c>
      <c r="BM3" s="54" t="s">
        <v>32</v>
      </c>
      <c r="BN3" s="77" t="s">
        <v>64</v>
      </c>
      <c r="BO3" s="54" t="s">
        <v>30</v>
      </c>
      <c r="BP3" s="54" t="s">
        <v>31</v>
      </c>
      <c r="BQ3" s="54" t="s">
        <v>22</v>
      </c>
      <c r="BR3" s="54" t="s">
        <v>32</v>
      </c>
      <c r="BS3" s="77" t="s">
        <v>64</v>
      </c>
      <c r="BT3" s="54" t="s">
        <v>30</v>
      </c>
      <c r="BU3" s="54" t="s">
        <v>31</v>
      </c>
      <c r="BV3" s="54" t="s">
        <v>22</v>
      </c>
      <c r="BW3" s="54" t="s">
        <v>32</v>
      </c>
      <c r="BX3" s="77" t="s">
        <v>64</v>
      </c>
      <c r="BY3" s="12"/>
      <c r="BZ3" s="11"/>
      <c r="CA3" s="11"/>
      <c r="CB3" s="11"/>
      <c r="CC3" s="12"/>
      <c r="CD3" s="12"/>
      <c r="CE3" s="42"/>
      <c r="CF3" s="42"/>
      <c r="CG3" s="42"/>
      <c r="CH3" s="54" t="s">
        <v>30</v>
      </c>
      <c r="CI3" s="54" t="s">
        <v>31</v>
      </c>
      <c r="CJ3" s="54" t="s">
        <v>22</v>
      </c>
      <c r="CK3" s="54" t="s">
        <v>32</v>
      </c>
      <c r="CL3" s="77" t="s">
        <v>64</v>
      </c>
      <c r="CM3" s="54" t="s">
        <v>30</v>
      </c>
      <c r="CN3" s="54" t="s">
        <v>31</v>
      </c>
      <c r="CO3" s="54" t="s">
        <v>22</v>
      </c>
      <c r="CP3" s="54" t="s">
        <v>32</v>
      </c>
      <c r="CQ3" s="77" t="s">
        <v>64</v>
      </c>
      <c r="CR3" s="54" t="s">
        <v>30</v>
      </c>
      <c r="CS3" s="54" t="s">
        <v>31</v>
      </c>
      <c r="CT3" s="54" t="s">
        <v>22</v>
      </c>
      <c r="CU3" s="54" t="s">
        <v>32</v>
      </c>
      <c r="CV3" s="77" t="s">
        <v>64</v>
      </c>
      <c r="CW3" s="12"/>
      <c r="CX3" s="11"/>
      <c r="CY3" s="11"/>
      <c r="CZ3" s="11"/>
      <c r="DA3" s="12"/>
      <c r="DB3" s="12"/>
      <c r="DC3" s="55" t="s">
        <v>30</v>
      </c>
      <c r="DD3" s="55" t="s">
        <v>31</v>
      </c>
      <c r="DE3" s="55" t="s">
        <v>22</v>
      </c>
      <c r="DF3" s="55" t="s">
        <v>32</v>
      </c>
      <c r="DG3" s="78" t="s">
        <v>64</v>
      </c>
      <c r="DH3" s="55" t="s">
        <v>30</v>
      </c>
      <c r="DI3" s="55" t="s">
        <v>31</v>
      </c>
      <c r="DJ3" s="55" t="s">
        <v>22</v>
      </c>
      <c r="DK3" s="55" t="s">
        <v>32</v>
      </c>
      <c r="DL3" s="78" t="s">
        <v>64</v>
      </c>
      <c r="DM3" s="55" t="s">
        <v>30</v>
      </c>
      <c r="DN3" s="55" t="s">
        <v>31</v>
      </c>
      <c r="DO3" s="55" t="s">
        <v>22</v>
      </c>
      <c r="DP3" s="55" t="s">
        <v>32</v>
      </c>
      <c r="DQ3" s="82" t="s">
        <v>64</v>
      </c>
      <c r="DR3" s="16"/>
      <c r="DS3" s="15"/>
      <c r="DT3" s="15"/>
      <c r="DU3" s="15"/>
      <c r="DV3" s="16"/>
      <c r="DW3" s="16"/>
      <c r="DX3" s="54" t="s">
        <v>30</v>
      </c>
      <c r="DY3" s="54" t="s">
        <v>31</v>
      </c>
      <c r="DZ3" s="54" t="s">
        <v>22</v>
      </c>
      <c r="EA3" s="54" t="s">
        <v>32</v>
      </c>
      <c r="EB3" s="77" t="s">
        <v>64</v>
      </c>
      <c r="EC3" s="54" t="s">
        <v>30</v>
      </c>
      <c r="ED3" s="54" t="s">
        <v>31</v>
      </c>
      <c r="EE3" s="54" t="s">
        <v>22</v>
      </c>
      <c r="EF3" s="54" t="s">
        <v>32</v>
      </c>
      <c r="EG3" s="77" t="s">
        <v>64</v>
      </c>
      <c r="EH3" s="54" t="s">
        <v>30</v>
      </c>
      <c r="EI3" s="54" t="s">
        <v>31</v>
      </c>
      <c r="EJ3" s="54" t="s">
        <v>22</v>
      </c>
      <c r="EK3" s="54" t="s">
        <v>32</v>
      </c>
      <c r="EL3" s="77" t="s">
        <v>64</v>
      </c>
      <c r="EM3" s="12"/>
      <c r="EN3" s="11"/>
      <c r="EO3" s="11"/>
      <c r="EP3" s="11"/>
      <c r="EQ3" s="12"/>
      <c r="ER3" s="12"/>
      <c r="ES3" s="55" t="s">
        <v>30</v>
      </c>
      <c r="ET3" s="55" t="s">
        <v>31</v>
      </c>
      <c r="EU3" s="55" t="s">
        <v>22</v>
      </c>
      <c r="EV3" s="55" t="s">
        <v>32</v>
      </c>
      <c r="EW3" s="78" t="s">
        <v>64</v>
      </c>
      <c r="EX3" s="55" t="s">
        <v>30</v>
      </c>
      <c r="EY3" s="55" t="s">
        <v>31</v>
      </c>
      <c r="EZ3" s="55" t="s">
        <v>22</v>
      </c>
      <c r="FA3" s="55" t="s">
        <v>32</v>
      </c>
      <c r="FB3" s="78" t="s">
        <v>64</v>
      </c>
      <c r="FC3" s="55" t="s">
        <v>30</v>
      </c>
      <c r="FD3" s="55" t="s">
        <v>31</v>
      </c>
      <c r="FE3" s="55" t="s">
        <v>22</v>
      </c>
      <c r="FF3" s="55" t="s">
        <v>32</v>
      </c>
      <c r="FG3" s="78" t="s">
        <v>64</v>
      </c>
      <c r="FH3" s="16"/>
      <c r="FI3" s="15"/>
      <c r="FJ3" s="15"/>
      <c r="FK3" s="15"/>
      <c r="FL3" s="16"/>
      <c r="FM3" s="16"/>
      <c r="FN3" s="54" t="s">
        <v>30</v>
      </c>
      <c r="FO3" s="54" t="s">
        <v>31</v>
      </c>
      <c r="FP3" s="54" t="s">
        <v>22</v>
      </c>
      <c r="FQ3" s="54" t="s">
        <v>32</v>
      </c>
      <c r="FR3" s="77" t="s">
        <v>64</v>
      </c>
      <c r="FS3" s="54" t="s">
        <v>30</v>
      </c>
      <c r="FT3" s="54" t="s">
        <v>31</v>
      </c>
      <c r="FU3" s="54" t="s">
        <v>22</v>
      </c>
      <c r="FV3" s="54" t="s">
        <v>32</v>
      </c>
      <c r="FW3" s="77" t="s">
        <v>64</v>
      </c>
      <c r="FX3" s="54" t="s">
        <v>30</v>
      </c>
      <c r="FY3" s="54" t="s">
        <v>31</v>
      </c>
      <c r="FZ3" s="54" t="s">
        <v>22</v>
      </c>
      <c r="GA3" s="54" t="s">
        <v>32</v>
      </c>
      <c r="GB3" s="77" t="s">
        <v>64</v>
      </c>
      <c r="GC3" s="12"/>
      <c r="GD3" s="11"/>
      <c r="GE3" s="11"/>
      <c r="GF3" s="11"/>
      <c r="GG3" s="12"/>
      <c r="GH3" s="12"/>
      <c r="GI3" s="55" t="s">
        <v>30</v>
      </c>
      <c r="GJ3" s="55" t="s">
        <v>31</v>
      </c>
      <c r="GK3" s="55" t="s">
        <v>22</v>
      </c>
      <c r="GL3" s="55" t="s">
        <v>32</v>
      </c>
      <c r="GM3" s="78" t="s">
        <v>64</v>
      </c>
      <c r="GN3" s="55" t="s">
        <v>30</v>
      </c>
      <c r="GO3" s="55" t="s">
        <v>31</v>
      </c>
      <c r="GP3" s="55" t="s">
        <v>22</v>
      </c>
      <c r="GQ3" s="55" t="s">
        <v>32</v>
      </c>
      <c r="GR3" s="78" t="s">
        <v>64</v>
      </c>
      <c r="GS3" s="55" t="s">
        <v>30</v>
      </c>
      <c r="GT3" s="55" t="s">
        <v>31</v>
      </c>
      <c r="GU3" s="55" t="s">
        <v>22</v>
      </c>
      <c r="GV3" s="55" t="s">
        <v>32</v>
      </c>
      <c r="GW3" s="78" t="s">
        <v>64</v>
      </c>
      <c r="GX3" s="16"/>
      <c r="GY3" s="15"/>
      <c r="GZ3" s="15"/>
      <c r="HA3" s="15"/>
      <c r="HB3" s="16"/>
      <c r="HC3" s="16"/>
      <c r="HD3" s="54" t="s">
        <v>30</v>
      </c>
      <c r="HE3" s="54" t="s">
        <v>31</v>
      </c>
      <c r="HF3" s="54" t="s">
        <v>22</v>
      </c>
      <c r="HG3" s="54" t="s">
        <v>32</v>
      </c>
      <c r="HH3" s="77" t="s">
        <v>64</v>
      </c>
      <c r="HI3" s="54" t="s">
        <v>30</v>
      </c>
      <c r="HJ3" s="54" t="s">
        <v>31</v>
      </c>
      <c r="HK3" s="54" t="s">
        <v>22</v>
      </c>
      <c r="HL3" s="54" t="s">
        <v>32</v>
      </c>
      <c r="HM3" s="77" t="s">
        <v>64</v>
      </c>
      <c r="HN3" s="54" t="s">
        <v>30</v>
      </c>
      <c r="HO3" s="54" t="s">
        <v>31</v>
      </c>
      <c r="HP3" s="54" t="s">
        <v>22</v>
      </c>
      <c r="HQ3" s="54" t="s">
        <v>32</v>
      </c>
      <c r="HR3" s="77" t="s">
        <v>64</v>
      </c>
      <c r="HS3" s="12"/>
      <c r="HT3" s="11"/>
      <c r="HU3" s="11"/>
      <c r="HV3" s="11"/>
      <c r="HW3" s="12"/>
      <c r="HX3" s="12"/>
      <c r="HY3" s="55" t="s">
        <v>30</v>
      </c>
      <c r="HZ3" s="55" t="s">
        <v>31</v>
      </c>
      <c r="IA3" s="55" t="s">
        <v>22</v>
      </c>
      <c r="IB3" s="55" t="s">
        <v>32</v>
      </c>
      <c r="IC3" s="78" t="s">
        <v>64</v>
      </c>
      <c r="ID3" s="55" t="s">
        <v>30</v>
      </c>
      <c r="IE3" s="55" t="s">
        <v>31</v>
      </c>
      <c r="IF3" s="55" t="s">
        <v>22</v>
      </c>
      <c r="IG3" s="55" t="s">
        <v>32</v>
      </c>
      <c r="IH3" s="78" t="s">
        <v>64</v>
      </c>
      <c r="II3" s="55" t="s">
        <v>30</v>
      </c>
      <c r="IJ3" s="55" t="s">
        <v>31</v>
      </c>
      <c r="IK3" s="55" t="s">
        <v>22</v>
      </c>
      <c r="IL3" s="55" t="s">
        <v>32</v>
      </c>
      <c r="IM3" s="78" t="s">
        <v>64</v>
      </c>
      <c r="IN3" s="16"/>
      <c r="IO3" s="15"/>
      <c r="IP3" s="15"/>
      <c r="IQ3" s="15"/>
      <c r="IR3" s="16"/>
      <c r="IS3" s="16"/>
      <c r="IT3" s="54" t="s">
        <v>30</v>
      </c>
      <c r="IU3" s="54" t="s">
        <v>31</v>
      </c>
      <c r="IV3" s="54" t="s">
        <v>22</v>
      </c>
      <c r="IW3" s="54" t="s">
        <v>32</v>
      </c>
      <c r="IX3" s="77" t="s">
        <v>64</v>
      </c>
      <c r="IY3" s="54" t="s">
        <v>30</v>
      </c>
      <c r="IZ3" s="54" t="s">
        <v>31</v>
      </c>
      <c r="JA3" s="54" t="s">
        <v>22</v>
      </c>
      <c r="JB3" s="54" t="s">
        <v>32</v>
      </c>
      <c r="JC3" s="77" t="s">
        <v>64</v>
      </c>
      <c r="JD3" s="54" t="s">
        <v>30</v>
      </c>
      <c r="JE3" s="54" t="s">
        <v>31</v>
      </c>
      <c r="JF3" s="54" t="s">
        <v>22</v>
      </c>
      <c r="JG3" s="54" t="s">
        <v>32</v>
      </c>
      <c r="JH3" s="77" t="s">
        <v>64</v>
      </c>
      <c r="JI3" s="12"/>
      <c r="JJ3" s="11"/>
      <c r="JK3" s="11"/>
      <c r="JL3" s="11"/>
      <c r="JM3" s="12"/>
      <c r="JN3" s="12"/>
      <c r="JO3" s="55" t="s">
        <v>30</v>
      </c>
      <c r="JP3" s="55" t="s">
        <v>31</v>
      </c>
      <c r="JQ3" s="55" t="s">
        <v>22</v>
      </c>
      <c r="JR3" s="55" t="s">
        <v>32</v>
      </c>
      <c r="JS3" s="78" t="s">
        <v>64</v>
      </c>
      <c r="JT3" s="55" t="s">
        <v>30</v>
      </c>
      <c r="JU3" s="55" t="s">
        <v>31</v>
      </c>
      <c r="JV3" s="55" t="s">
        <v>22</v>
      </c>
      <c r="JW3" s="55" t="s">
        <v>32</v>
      </c>
      <c r="JX3" s="78" t="s">
        <v>64</v>
      </c>
      <c r="JY3" s="55" t="s">
        <v>30</v>
      </c>
      <c r="JZ3" s="55" t="s">
        <v>31</v>
      </c>
      <c r="KA3" s="55" t="s">
        <v>22</v>
      </c>
      <c r="KB3" s="55" t="s">
        <v>32</v>
      </c>
      <c r="KC3" s="78" t="s">
        <v>64</v>
      </c>
      <c r="KD3" s="16"/>
      <c r="KE3" s="15"/>
      <c r="KF3" s="15"/>
      <c r="KG3" s="15"/>
      <c r="KH3" s="16"/>
      <c r="KI3" s="16"/>
      <c r="KJ3" s="54" t="s">
        <v>30</v>
      </c>
      <c r="KK3" s="54" t="s">
        <v>31</v>
      </c>
      <c r="KL3" s="54" t="s">
        <v>22</v>
      </c>
      <c r="KM3" s="54" t="s">
        <v>32</v>
      </c>
      <c r="KN3" s="77" t="s">
        <v>64</v>
      </c>
      <c r="KO3" s="54" t="s">
        <v>30</v>
      </c>
      <c r="KP3" s="54" t="s">
        <v>31</v>
      </c>
      <c r="KQ3" s="54" t="s">
        <v>22</v>
      </c>
      <c r="KR3" s="54" t="s">
        <v>32</v>
      </c>
      <c r="KS3" s="77" t="s">
        <v>64</v>
      </c>
      <c r="KT3" s="54" t="s">
        <v>30</v>
      </c>
      <c r="KU3" s="54" t="s">
        <v>31</v>
      </c>
      <c r="KV3" s="54" t="s">
        <v>22</v>
      </c>
      <c r="KW3" s="54" t="s">
        <v>32</v>
      </c>
      <c r="KX3" s="77" t="s">
        <v>64</v>
      </c>
      <c r="KY3" s="12"/>
      <c r="KZ3" s="11"/>
      <c r="LA3" s="11"/>
      <c r="LB3" s="11"/>
      <c r="LC3" s="12"/>
      <c r="LD3" s="12"/>
      <c r="LE3" s="55" t="s">
        <v>30</v>
      </c>
      <c r="LF3" s="55" t="s">
        <v>31</v>
      </c>
      <c r="LG3" s="55" t="s">
        <v>22</v>
      </c>
      <c r="LH3" s="55" t="s">
        <v>32</v>
      </c>
      <c r="LI3" s="78" t="s">
        <v>64</v>
      </c>
      <c r="LJ3" s="55" t="s">
        <v>30</v>
      </c>
      <c r="LK3" s="55" t="s">
        <v>31</v>
      </c>
      <c r="LL3" s="55" t="s">
        <v>22</v>
      </c>
      <c r="LM3" s="55" t="s">
        <v>32</v>
      </c>
      <c r="LN3" s="78" t="s">
        <v>64</v>
      </c>
      <c r="LO3" s="55" t="s">
        <v>30</v>
      </c>
      <c r="LP3" s="55" t="s">
        <v>31</v>
      </c>
      <c r="LQ3" s="55" t="s">
        <v>22</v>
      </c>
      <c r="LR3" s="55" t="s">
        <v>32</v>
      </c>
      <c r="LS3" s="78" t="s">
        <v>64</v>
      </c>
      <c r="LT3" s="16"/>
      <c r="LU3" s="15"/>
      <c r="LV3" s="15"/>
      <c r="LW3" s="15"/>
      <c r="LX3" s="16"/>
      <c r="LY3" s="16"/>
    </row>
    <row r="4" spans="1:337" x14ac:dyDescent="0.2">
      <c r="A4" s="6">
        <f t="shared" ref="A4:A20" ca="1" si="0">IF(AND(F4="P",G4="P"),SUMPRODUCT((F$4:F$20="P")*(G$4:G$20="P")*(E$4:E$20&gt;E4))+1,IF(G4="P",SUMPRODUCT((F$4:F$20="")*(G$4:G$20="P")*(E$4:E$20&gt;E4))+1+SUMPRODUCT((F$4:F$20="P")*(G$4:G$20="P")),""))</f>
        <v>1</v>
      </c>
      <c r="B4" s="9" t="s">
        <v>58</v>
      </c>
      <c r="C4" s="5" t="s">
        <v>4</v>
      </c>
      <c r="D4" s="6">
        <v>2004</v>
      </c>
      <c r="E4" s="18">
        <f t="shared" ref="E4:E20" si="1">SUM(I4:Q4)</f>
        <v>274.351</v>
      </c>
      <c r="F4" s="4" t="str">
        <f t="shared" ref="F4:F20" si="2">IF(OR(AND(AI4&gt;=C$24,NOT(AI4="")),AND(BD4&gt;=C$24,NOT(BD4="")),AND(BY4&gt;=C$24,NOT(BY4=""))),"P","")</f>
        <v>P</v>
      </c>
      <c r="G4" s="4" t="str">
        <f t="shared" ref="G4:G20" ca="1" si="3">IF(OR(I4&gt;=C$26,AND(I4&gt;$C$25,YEAR(TODAY())-$D4&lt;2)),"P","")</f>
        <v>P</v>
      </c>
      <c r="H4" t="str">
        <f t="shared" ref="H4:H20" ca="1" si="4">IF(F4="P",IF(I4&gt;=C$28,"Merit",IF(I4&gt;=C$27,"Funding",IF(I4&gt;=C$26,"Team",IF(AND(I4&gt;C$25,YEAR(TODAY())-D4&lt;2),"First 2 Years","")))),IF(AND(I4&gt;C$25,YEAR(TODAY())-D4&lt;2),"First 2 Years",""))</f>
        <v>Team</v>
      </c>
      <c r="I4" s="17">
        <f t="shared" ref="I4:I20" si="5">MAX(AL4,BG4,CB4)</f>
        <v>108.084</v>
      </c>
      <c r="J4" s="17" t="str">
        <f t="shared" ref="J4:J20" si="6">IF(I4=CB4,$BJ$1,IF(I4=BG4,$AO$1,IF(I4=AL4,$T$1,"")))</f>
        <v>2017 Canada Cup</v>
      </c>
      <c r="K4" s="17">
        <f t="shared" ref="K4:K20" si="7">IF($I4=$AL4,MAX(BE4,BZ4),IF($I4=$BG4,MAX(AJ4,BZ4),MAX(AJ4,BE4)))</f>
        <v>50.634</v>
      </c>
      <c r="L4" s="17" t="str">
        <f t="shared" ref="L4:L20" si="8">IF(K4=BZ4,$BJ$1,IF(K4=BE4,$AO$1,IF(K4=AJ4,$T$1,"")))</f>
        <v>2017 3rd Domestic Trial</v>
      </c>
      <c r="M4" s="17">
        <f t="shared" ref="M4:M20" si="9">IF($I4=$AL4,MAX(BF4,CA4),IF($I4=$BG4,MAX(AK4,CA4),MAX(AK4,BF4)))</f>
        <v>57.433</v>
      </c>
      <c r="N4" s="17" t="str">
        <f t="shared" ref="N4:N20" si="10">IF(M4=CA4,$BJ$1,IF(M4=BF4,$AO$1,IF(M4=AK4,$T$1,"")))</f>
        <v>2017 Nationals</v>
      </c>
      <c r="O4" s="17">
        <f t="shared" ref="O4:O20" si="11">MAX(AM4,BH4,CC4)</f>
        <v>58.2</v>
      </c>
      <c r="P4" s="17" t="str">
        <f t="shared" ref="P4:P20" si="12">IF(O4=CC4,$BJ$1,IF(O4=BH4,$AO$1,IF(O4=AM4,$T$1,"")))</f>
        <v>2017 Canada Cup</v>
      </c>
      <c r="Q4" s="17" t="str">
        <f t="shared" ref="Q4:Q20" si="13">IF(MAX(CE4,CF4,CG4)&gt;0,MAX(CE4,CF4,CG4),"")</f>
        <v/>
      </c>
      <c r="R4" s="44" t="str">
        <f t="shared" ref="R4:R20" si="14">IF(Q4="","",IF(Q4=CE4,"(Vol 1)",IF(Q4=CF4,"(Vol 2)",IF(Q4=CG4,"(Final)"))))</f>
        <v/>
      </c>
      <c r="S4" s="17" t="str">
        <f t="shared" ref="S4:S20" si="15">IF(Q4="","",IF(Q4=CE4,IF(Q4+K4=LU4,$LE$1,IF(Q4+K4=KZ4,$KJ$1,IF(Q4+K4=KE4,$JO$1,IF(Q4+K4=JJ4,$IT$1,IF(Q4+K4=IO4,$HY$1,IF(Q4+K4=HT4,$HD$1,IF(Q4+K4=GY4,$GI$1,IF(Q4+K4=GD4,$FN$1,IF(Q4+K4=FI4,$ES$1,IF(Q4+K4=EN4,$DX$1,IF(Q4+K4=DS4,$DC$1,IF(Q4+K4=CX4,$CH$1)))))))))))),IF(Q4=CF4,IF(Q4+M4=LV4,$LE$1,IF(Q4+M4=LA4,$KJ$1,IF(Q4+M4=KF4,$JO$1,IF(Q4+M4=JK4,$IT$1,IF(Q4+M4=IP4,$HY$1,IF(Q4+M4=HU4,$HD$1,IF(Q4+M4=GZ4,$GI$1,IF(Q4+M4=GE4,$FN$1,IF(Q4+M4=FJ4,$ES$1,IF(Q4+M4=EO4,$DX$1,IF(Q4+M4=DT4,$DC$1,IF(Q4+M4=CY4,$CH$1)))))))))))),IF(Q4=CG4,IF(Q4+O4=LX4,$LE$1,IF(Q4+O4=LC4,$KJ$1,IF(Q4+O4=KH4,$JO$1,IF(Q4+O4=JM4,$IT$1,IF(Q4+O4=IR4,$HY$1,IF(Q4+O4=HW4,$HD$1,IF(Q4+O4=HB4,$GI$1,IF(Q4+O4=GG4,$FN$1,IF(Q4+O4=FL4,$ES$1,IF(Q4+O4=EQ4,$DX$1,IF(Q4+O4=DV4,$DC$1,IF(Q4+O4=DA4,$CH$1))))))))))))))))</f>
        <v/>
      </c>
      <c r="T4" s="71">
        <f>33.4-20.8</f>
        <v>12.599999999999998</v>
      </c>
      <c r="U4" s="71">
        <v>0</v>
      </c>
      <c r="V4" s="71">
        <v>20.8</v>
      </c>
      <c r="W4" s="71">
        <v>17.260000000000002</v>
      </c>
      <c r="X4" s="71">
        <v>0</v>
      </c>
      <c r="Y4" s="71">
        <v>41.075000000000003</v>
      </c>
      <c r="Z4" s="71">
        <v>0</v>
      </c>
      <c r="AA4" s="71">
        <v>0</v>
      </c>
      <c r="AB4" s="71">
        <v>16.349</v>
      </c>
      <c r="AC4" s="71">
        <v>0</v>
      </c>
      <c r="AD4" s="71">
        <v>41.9</v>
      </c>
      <c r="AE4" s="71">
        <v>0</v>
      </c>
      <c r="AF4" s="71">
        <v>0</v>
      </c>
      <c r="AG4" s="71">
        <v>16.3</v>
      </c>
      <c r="AH4" s="71">
        <v>0</v>
      </c>
      <c r="AI4" s="13">
        <f t="shared" ref="AI4:AI20" si="16">IF(SUM(V4,AA4)&gt;0,SUM(V4,AA4),"")</f>
        <v>20.8</v>
      </c>
      <c r="AJ4" s="13">
        <f t="shared" ref="AJ4:AJ20" si="17">IF(SUM(T4:W4)-X4&gt;0,SUM(T4:W4)-X4,"")</f>
        <v>50.66</v>
      </c>
      <c r="AK4" s="13">
        <f t="shared" ref="AK4:AK20" si="18">IF(SUM(Y4:AB4)-AC4&gt;0,SUM(Y4:AB4)-AC4,"")</f>
        <v>57.424000000000007</v>
      </c>
      <c r="AL4" s="13">
        <f t="shared" ref="AL4:AL20" si="19">IF(SUM(AJ4:AK4)&gt;0,SUM(AJ4:AK4),"")</f>
        <v>108.084</v>
      </c>
      <c r="AM4" s="13">
        <f t="shared" ref="AM4:AM20" si="20">IF(SUM(AD4:AG4)-AH4&gt;0,SUM(AD4:AG4)-AH4,"")</f>
        <v>58.2</v>
      </c>
      <c r="AN4" s="13">
        <f t="shared" ref="AN4:AN20" si="21">IF(SUM(AL4,AM4)&gt;0,SUM(AL4,AM4),"")</f>
        <v>166.28399999999999</v>
      </c>
      <c r="AO4" s="74">
        <f>50.608-20.8</f>
        <v>29.807999999999996</v>
      </c>
      <c r="AP4" s="74">
        <v>0</v>
      </c>
      <c r="AQ4" s="74">
        <v>20.8</v>
      </c>
      <c r="AR4" s="74">
        <v>0</v>
      </c>
      <c r="AS4" s="74">
        <v>0</v>
      </c>
      <c r="AT4" s="74">
        <v>57.433</v>
      </c>
      <c r="AU4" s="74">
        <v>0</v>
      </c>
      <c r="AV4" s="74">
        <v>0</v>
      </c>
      <c r="AW4" s="74">
        <v>0</v>
      </c>
      <c r="AX4" s="74">
        <v>0</v>
      </c>
      <c r="AY4" s="74">
        <v>57.201000000000001</v>
      </c>
      <c r="AZ4" s="74">
        <v>0</v>
      </c>
      <c r="BA4" s="74">
        <v>0</v>
      </c>
      <c r="BB4" s="74">
        <v>0</v>
      </c>
      <c r="BC4" s="74">
        <v>0</v>
      </c>
      <c r="BD4" s="17">
        <f t="shared" ref="BD4:BD20" si="22">IF(SUM(AQ4,AV4)&gt;0,SUM(AQ4,AV4),"")</f>
        <v>20.8</v>
      </c>
      <c r="BE4" s="17">
        <f t="shared" ref="BE4:BE20" si="23">IF(SUM(AO4:AR4)-AS4&gt;0,SUM(AO4:AR4)-AS4,"")</f>
        <v>50.607999999999997</v>
      </c>
      <c r="BF4" s="17">
        <f t="shared" ref="BF4:BF20" si="24">IF(SUM(AT4:AW4)-AX4&gt;0,SUM(AT4:AW4)-AX4,"")</f>
        <v>57.433</v>
      </c>
      <c r="BG4" s="17">
        <f t="shared" ref="BG4:BG20" si="25">IF(SUM(BE4:BF4)&gt;0,SUM(BE4:BF4),"")</f>
        <v>108.041</v>
      </c>
      <c r="BH4" s="17">
        <f t="shared" ref="BH4:BH20" si="26">IF(SUM(AY4:BB4)-BC4&gt;0,SUM(AY4:BB4)-BC4,"")</f>
        <v>57.201000000000001</v>
      </c>
      <c r="BI4" s="17">
        <f t="shared" ref="BI4:BI20" si="27">IF(SUM(BG4,BH4)&gt;0,SUM(BG4,BH4),"")</f>
        <v>165.24199999999999</v>
      </c>
      <c r="BJ4" s="61">
        <f>50.634-20.8</f>
        <v>29.834</v>
      </c>
      <c r="BK4" s="61">
        <v>0</v>
      </c>
      <c r="BL4" s="61">
        <v>20.8</v>
      </c>
      <c r="BM4" s="61">
        <v>0</v>
      </c>
      <c r="BN4" s="61">
        <v>0</v>
      </c>
      <c r="BO4" s="61">
        <v>57.427999999999997</v>
      </c>
      <c r="BP4" s="61">
        <v>0</v>
      </c>
      <c r="BQ4" s="61">
        <v>0</v>
      </c>
      <c r="BR4" s="61">
        <v>0</v>
      </c>
      <c r="BS4" s="61">
        <v>0</v>
      </c>
      <c r="BT4" s="61">
        <v>57.201999999999998</v>
      </c>
      <c r="BU4" s="61">
        <v>0</v>
      </c>
      <c r="BV4" s="61">
        <v>0</v>
      </c>
      <c r="BW4" s="61">
        <v>0</v>
      </c>
      <c r="BX4" s="61">
        <v>0</v>
      </c>
      <c r="BY4" s="13">
        <f t="shared" ref="BY4:BY20" si="28">IF(SUM(BL4,BQ4)&gt;0,SUM(BL4,BQ4),"")</f>
        <v>20.8</v>
      </c>
      <c r="BZ4" s="13">
        <f t="shared" ref="BZ4:BZ20" si="29">IF(SUM(BJ4:BM4)-BN4&gt;0,SUM(BJ4:BM4)-BN4,"")</f>
        <v>50.634</v>
      </c>
      <c r="CA4" s="13">
        <f t="shared" ref="CA4:CA20" si="30">IF(SUM(BO4:BR4)-BS4&gt;0,SUM(BO4:BR4)-BS4,"")</f>
        <v>57.427999999999997</v>
      </c>
      <c r="CB4" s="13">
        <f t="shared" ref="CB4:CB20" si="31">IF(SUM(BZ4:CA4)&gt;0,SUM(BZ4:CA4),"")</f>
        <v>108.062</v>
      </c>
      <c r="CC4" s="13">
        <f t="shared" ref="CC4:CC20" si="32">IF(SUM(BT4:BW4)-BX4&gt;0,SUM(BT4:BW4)-BX4,"")</f>
        <v>57.201999999999998</v>
      </c>
      <c r="CD4" s="13">
        <f t="shared" ref="CD4:CD20" si="33">IF(SUM(CB4,CC4)&gt;0,SUM(CB4,CC4),"")</f>
        <v>165.26400000000001</v>
      </c>
      <c r="CE4" s="43" t="str">
        <f t="shared" ref="CE4:CE20" si="34">IF(MAX(CX4,DS4,EN4,FI4,GD4,GY4,HT4,IO4,JJ4,KE4,KZ4,LU4)-K4&gt;0.001,MAX(CX4,DS4,EN4,FI4,GD4,GY4,HT4,IO4,JJ4,KE4,KZ4,LU4)-K4,"")</f>
        <v/>
      </c>
      <c r="CF4" s="43" t="str">
        <f t="shared" ref="CF4:CF20" si="35">IF(MAX(CY4,DT4,EO4,FJ4,GE4,GZ4,HU4,IP4,JK4,KF4,LA4,LV4)-M4&gt;0.001,MAX(CY4,DT4,EO4,FJ4,GE4,GZ4,HU4,IP4,JK4,KF4,LA4,LV4)-M4,"")</f>
        <v/>
      </c>
      <c r="CG4" s="43" t="str">
        <f t="shared" ref="CG4:CG20" si="36">IF(MAX(DA4,DV4,EQ4,FL4,GG4,HB4,HW4,IR4,JM4,KH4,LC4,LX4)-O4&gt;0.001,MAX(DA4,DV4,EQ4,FL4,GG4,HB4,HW4,IR4,JM4,KH4,LC4,LX4)-O4,"")</f>
        <v/>
      </c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13" t="str">
        <f t="shared" ref="CW4:CW20" si="37">IF(SUM(CJ4,CO4)&gt;0,SUM(CJ4,CO4),"")</f>
        <v/>
      </c>
      <c r="CX4" s="13" t="str">
        <f t="shared" ref="CX4:CX20" si="38">IF(SUM(CH4:CK4)-CL4&gt;0,SUM(CH4:CK4)-CL4,"")</f>
        <v/>
      </c>
      <c r="CY4" s="13" t="str">
        <f t="shared" ref="CY4:CY20" si="39">IF(SUM(CM4:CP4)-CQ4&gt;0,SUM(CM4:CP4)-CQ4,"")</f>
        <v/>
      </c>
      <c r="CZ4" s="13" t="str">
        <f t="shared" ref="CZ4:CZ20" si="40">IF(SUM(CX4:CY4)&gt;0,SUM(CX4:CY4),"")</f>
        <v/>
      </c>
      <c r="DA4" s="13" t="str">
        <f t="shared" ref="DA4:DA20" si="41">IF(SUM(CR4:CU4)-CV4&gt;0,SUM(CR4:CU4)-CV4,"")</f>
        <v/>
      </c>
      <c r="DB4" s="13" t="str">
        <f t="shared" ref="DB4:DB20" si="42">IF(SUM(CZ4,DA4)&gt;0,SUM(CZ4,DA4),"")</f>
        <v/>
      </c>
      <c r="DC4" s="62"/>
      <c r="DD4" s="62"/>
      <c r="DE4" s="62"/>
      <c r="DF4" s="62"/>
      <c r="DG4" s="62"/>
      <c r="DH4" s="62"/>
      <c r="DI4" s="62"/>
      <c r="DJ4" s="62"/>
      <c r="DK4" s="62"/>
      <c r="DL4" s="62"/>
      <c r="DM4" s="62"/>
      <c r="DN4" s="62"/>
      <c r="DO4" s="62"/>
      <c r="DP4" s="62"/>
      <c r="DQ4" s="62"/>
      <c r="DR4" s="17" t="str">
        <f t="shared" ref="DR4:DR20" si="43">IF(SUM(DE4,DJ4)&gt;0,SUM(DE4,DJ4),"")</f>
        <v/>
      </c>
      <c r="DS4" s="17" t="str">
        <f t="shared" ref="DS4:DS20" si="44">IF(SUM(DC4:DF4)-DG4&gt;0,SUM(DC4:DF4)-DG4,"")</f>
        <v/>
      </c>
      <c r="DT4" s="17" t="str">
        <f t="shared" ref="DT4:DT20" si="45">IF(SUM(DH4:DK4)-DL4&gt;0,SUM(DH4:DK4)-DL4,"")</f>
        <v/>
      </c>
      <c r="DU4" s="17" t="str">
        <f t="shared" ref="DU4:DU20" si="46">IF(SUM(DS4:DT4)&gt;0,SUM(DS4:DT4),"")</f>
        <v/>
      </c>
      <c r="DV4" s="17" t="str">
        <f t="shared" ref="DV4:DV20" si="47">IF(SUM(DM4:DP4)-DQ4&gt;0,SUM(DM4:DP4)-DQ4,"")</f>
        <v/>
      </c>
      <c r="DW4" s="17" t="str">
        <f t="shared" ref="DW4:DW20" si="48">IF(SUM(DU4,DV4)&gt;0,SUM(DU4,DV4),"")</f>
        <v/>
      </c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13" t="str">
        <f t="shared" ref="EM4:EM20" si="49">IF(SUM(DZ4,EE4)&gt;0,SUM(DZ4,EE4),"")</f>
        <v/>
      </c>
      <c r="EN4" s="13" t="str">
        <f t="shared" ref="EN4:EN20" si="50">IF(SUM(DX4:EA4)-EB4&gt;0,SUM(DX4:EA4)-EB4,"")</f>
        <v/>
      </c>
      <c r="EO4" s="13" t="str">
        <f t="shared" ref="EO4:EO20" si="51">IF(SUM(EC4:EF4)-EG4&gt;0,SUM(EC4:EF4)-EG4,"")</f>
        <v/>
      </c>
      <c r="EP4" s="13" t="str">
        <f t="shared" ref="EP4:EP20" si="52">IF(SUM(EN4:EO4)&gt;0,SUM(EN4:EO4),"")</f>
        <v/>
      </c>
      <c r="EQ4" s="13" t="str">
        <f t="shared" ref="EQ4:EQ20" si="53">IF(SUM(EH4:EK4)-EL4&gt;0,SUM(EH4:EK4)-EL4,"")</f>
        <v/>
      </c>
      <c r="ER4" s="13" t="str">
        <f t="shared" ref="ER4:ER20" si="54">IF(SUM(EP4,EQ4)&gt;0,SUM(EP4,EQ4),"")</f>
        <v/>
      </c>
      <c r="ES4" s="62"/>
      <c r="ET4" s="62"/>
      <c r="EU4" s="62"/>
      <c r="EV4" s="62"/>
      <c r="EW4" s="62"/>
      <c r="EX4" s="62"/>
      <c r="EY4" s="62"/>
      <c r="EZ4" s="62"/>
      <c r="FA4" s="62"/>
      <c r="FB4" s="62"/>
      <c r="FC4" s="62"/>
      <c r="FD4" s="62"/>
      <c r="FE4" s="62"/>
      <c r="FF4" s="62"/>
      <c r="FG4" s="62"/>
      <c r="FH4" s="17" t="str">
        <f t="shared" ref="FH4:FH20" si="55">IF(SUM(EU4,EZ4)&gt;0,SUM(EU4,EZ4),"")</f>
        <v/>
      </c>
      <c r="FI4" s="17" t="str">
        <f t="shared" ref="FI4:FI20" si="56">IF(SUM(ES4:EV4)-EW4&gt;0,SUM(ES4:EV4)-EW4,"")</f>
        <v/>
      </c>
      <c r="FJ4" s="17" t="str">
        <f t="shared" ref="FJ4:FJ20" si="57">IF(SUM(EX4:FA4)-FB4&gt;0,SUM(EX4:FA4)-FB4,"")</f>
        <v/>
      </c>
      <c r="FK4" s="17" t="str">
        <f t="shared" ref="FK4:FK20" si="58">IF(SUM(FI4:FJ4)&gt;0,SUM(FI4:FJ4),"")</f>
        <v/>
      </c>
      <c r="FL4" s="17" t="str">
        <f t="shared" ref="FL4:FL20" si="59">IF(SUM(FC4:FF4)-FG4&gt;0,SUM(FC4:FF4)-FG4,"")</f>
        <v/>
      </c>
      <c r="FM4" s="17" t="str">
        <f t="shared" ref="FM4:FM20" si="60">IF(SUM(FK4,FL4)&gt;0,SUM(FK4,FL4),"")</f>
        <v/>
      </c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13" t="str">
        <f t="shared" ref="GC4:GC20" si="61">IF(SUM(FP4,FU4)&gt;0,SUM(FP4,FU4),"")</f>
        <v/>
      </c>
      <c r="GD4" s="13" t="str">
        <f t="shared" ref="GD4:GD20" si="62">IF(SUM(FN4:FQ4)-FR4&gt;0,SUM(FN4:FQ4)-FR4,"")</f>
        <v/>
      </c>
      <c r="GE4" s="13" t="str">
        <f t="shared" ref="GE4:GE20" si="63">IF(SUM(FS4:FV4)-FW4&gt;0,SUM(FS4:FV4)-FW4,"")</f>
        <v/>
      </c>
      <c r="GF4" s="13" t="str">
        <f t="shared" ref="GF4:GF20" si="64">IF(SUM(GD4:GE4)&gt;0,SUM(GD4:GE4),"")</f>
        <v/>
      </c>
      <c r="GG4" s="13" t="str">
        <f t="shared" ref="GG4:GG20" si="65">IF(SUM(FX4:GA4)-GB4&gt;0,SUM(FX4:GA4)-GB4,"")</f>
        <v/>
      </c>
      <c r="GH4" s="13" t="str">
        <f t="shared" ref="GH4:GH20" si="66">IF(SUM(GF4,GG4)&gt;0,SUM(GF4,GG4),"")</f>
        <v/>
      </c>
      <c r="GI4" s="62"/>
      <c r="GJ4" s="62"/>
      <c r="GK4" s="62"/>
      <c r="GL4" s="62"/>
      <c r="GM4" s="62"/>
      <c r="GN4" s="62"/>
      <c r="GO4" s="62"/>
      <c r="GP4" s="62"/>
      <c r="GQ4" s="62"/>
      <c r="GR4" s="62"/>
      <c r="GS4" s="62"/>
      <c r="GT4" s="62"/>
      <c r="GU4" s="62"/>
      <c r="GV4" s="62"/>
      <c r="GW4" s="62"/>
      <c r="GX4" s="17" t="str">
        <f t="shared" ref="GX4:GX20" si="67">IF(SUM(GK4,GP4)&gt;0,SUM(GK4,GP4),"")</f>
        <v/>
      </c>
      <c r="GY4" s="17" t="str">
        <f t="shared" ref="GY4:GY20" si="68">IF(SUM(GI4:GL4)-GM4&gt;0,SUM(GI4:GL4)-GM4,"")</f>
        <v/>
      </c>
      <c r="GZ4" s="17" t="str">
        <f t="shared" ref="GZ4:GZ20" si="69">IF(SUM(GN4:GQ4)-GR4&gt;0,SUM(GN4:GQ4)-GR4,"")</f>
        <v/>
      </c>
      <c r="HA4" s="17" t="str">
        <f t="shared" ref="HA4:HA20" si="70">IF(SUM(GY4:GZ4)&gt;0,SUM(GY4:GZ4),"")</f>
        <v/>
      </c>
      <c r="HB4" s="17" t="str">
        <f t="shared" ref="HB4:HB20" si="71">IF(SUM(GS4:GV4)-GW4&gt;0,SUM(GS4:GV4)-GW4,"")</f>
        <v/>
      </c>
      <c r="HC4" s="17" t="str">
        <f t="shared" ref="HC4:HC20" si="72">IF(SUM(HA4,HB4)&gt;0,SUM(HA4,HB4),"")</f>
        <v/>
      </c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13" t="str">
        <f t="shared" ref="HS4:HS20" si="73">IF(SUM(HF4,HK4)&gt;0,SUM(HF4,HK4),"")</f>
        <v/>
      </c>
      <c r="HT4" s="13" t="str">
        <f t="shared" ref="HT4:HT20" si="74">IF(SUM(HD4:HG4)-HH4&gt;0,SUM(HD4:HG4)-HH4,"")</f>
        <v/>
      </c>
      <c r="HU4" s="13" t="str">
        <f t="shared" ref="HU4:HU20" si="75">IF(SUM(HI4:HL4)-HM4&gt;0,SUM(HI4:HL4)-HM4,"")</f>
        <v/>
      </c>
      <c r="HV4" s="13" t="str">
        <f t="shared" ref="HV4:HV20" si="76">IF(SUM(HT4:HU4)&gt;0,SUM(HT4:HU4),"")</f>
        <v/>
      </c>
      <c r="HW4" s="13" t="str">
        <f t="shared" ref="HW4:HW20" si="77">IF(SUM(HN4:HQ4)-HR4&gt;0,SUM(HN4:HQ4)-HR4,"")</f>
        <v/>
      </c>
      <c r="HX4" s="13" t="str">
        <f t="shared" ref="HX4:HX20" si="78">IF(SUM(HV4,HW4)&gt;0,SUM(HV4,HW4),"")</f>
        <v/>
      </c>
      <c r="HY4" s="62"/>
      <c r="HZ4" s="62"/>
      <c r="IA4" s="62"/>
      <c r="IB4" s="62"/>
      <c r="IC4" s="62"/>
      <c r="ID4" s="62"/>
      <c r="IE4" s="62"/>
      <c r="IF4" s="62"/>
      <c r="IG4" s="62"/>
      <c r="IH4" s="62"/>
      <c r="II4" s="62"/>
      <c r="IJ4" s="62"/>
      <c r="IK4" s="62"/>
      <c r="IL4" s="62"/>
      <c r="IM4" s="62"/>
      <c r="IN4" s="17" t="str">
        <f t="shared" ref="IN4:IN20" si="79">IF(SUM(IA4,IF4)&gt;0,SUM(IA4,IF4),"")</f>
        <v/>
      </c>
      <c r="IO4" s="17" t="str">
        <f t="shared" ref="IO4:IO20" si="80">IF(SUM(HY4:IB4)-IC4&gt;0,SUM(HY4:IB4)-IC4,"")</f>
        <v/>
      </c>
      <c r="IP4" s="17" t="str">
        <f t="shared" ref="IP4:IP20" si="81">IF(SUM(ID4:IG4)-IH4&gt;0,SUM(ID4:IG4)-IH4,"")</f>
        <v/>
      </c>
      <c r="IQ4" s="17" t="str">
        <f t="shared" ref="IQ4:IQ20" si="82">IF(SUM(IO4:IP4)&gt;0,SUM(IO4:IP4),"")</f>
        <v/>
      </c>
      <c r="IR4" s="17" t="str">
        <f t="shared" ref="IR4:IR20" si="83">IF(SUM(II4:IL4)-IM4&gt;0,SUM(II4:IL4)-IM4,"")</f>
        <v/>
      </c>
      <c r="IS4" s="17" t="str">
        <f t="shared" ref="IS4:IS20" si="84">IF(SUM(IQ4,IR4)&gt;0,SUM(IQ4,IR4),"")</f>
        <v/>
      </c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13" t="str">
        <f t="shared" ref="JI4:JI20" si="85">IF(SUM(IV4,JA4)&gt;0,SUM(IV4,JA4),"")</f>
        <v/>
      </c>
      <c r="JJ4" s="13" t="str">
        <f t="shared" ref="JJ4:JJ20" si="86">IF(SUM(IT4:IW4)-IX4&gt;0,SUM(IT4:IW4)-IX4,"")</f>
        <v/>
      </c>
      <c r="JK4" s="13" t="str">
        <f t="shared" ref="JK4:JK20" si="87">IF(SUM(IY4:JB4)-JC4&gt;0,SUM(IY4:JB4)-JC4,"")</f>
        <v/>
      </c>
      <c r="JL4" s="13" t="str">
        <f t="shared" ref="JL4:JL20" si="88">IF(SUM(JJ4:JK4)&gt;0,SUM(JJ4:JK4),"")</f>
        <v/>
      </c>
      <c r="JM4" s="13" t="str">
        <f t="shared" ref="JM4:JM20" si="89">IF(SUM(JD4:JG4)-JH4&gt;0,SUM(JD4:JG4)-JH4,"")</f>
        <v/>
      </c>
      <c r="JN4" s="13" t="str">
        <f t="shared" ref="JN4:JN20" si="90">IF(SUM(JL4,JM4)&gt;0,SUM(JL4,JM4),"")</f>
        <v/>
      </c>
      <c r="JO4" s="62"/>
      <c r="JP4" s="62"/>
      <c r="JQ4" s="62"/>
      <c r="JR4" s="62"/>
      <c r="JS4" s="62"/>
      <c r="JT4" s="62"/>
      <c r="JU4" s="62"/>
      <c r="JV4" s="62"/>
      <c r="JW4" s="62"/>
      <c r="JX4" s="62"/>
      <c r="JY4" s="62"/>
      <c r="JZ4" s="62"/>
      <c r="KA4" s="62"/>
      <c r="KB4" s="62"/>
      <c r="KC4" s="62"/>
      <c r="KD4" s="17" t="str">
        <f t="shared" ref="KD4:KD20" si="91">IF(SUM(JQ4,JV4)&gt;0,SUM(JQ4,JV4),"")</f>
        <v/>
      </c>
      <c r="KE4" s="17" t="str">
        <f t="shared" ref="KE4:KE20" si="92">IF(SUM(JO4:JR4)-JS4&gt;0,SUM(JO4:JR4)-JS4,"")</f>
        <v/>
      </c>
      <c r="KF4" s="17" t="str">
        <f t="shared" ref="KF4:KF20" si="93">IF(SUM(JT4:JW4)-JX4&gt;0,SUM(JT4:JW4)-JX4,"")</f>
        <v/>
      </c>
      <c r="KG4" s="17" t="str">
        <f t="shared" ref="KG4:KG20" si="94">IF(SUM(KE4:KF4)&gt;0,SUM(KE4:KF4),"")</f>
        <v/>
      </c>
      <c r="KH4" s="17" t="str">
        <f t="shared" ref="KH4:KH20" si="95">IF(SUM(JY4:KB4)-KC4&gt;0,SUM(JY4:KB4)-KC4,"")</f>
        <v/>
      </c>
      <c r="KI4" s="17" t="str">
        <f t="shared" ref="KI4:KI20" si="96">IF(SUM(KG4,KH4)&gt;0,SUM(KG4,KH4),"")</f>
        <v/>
      </c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13" t="str">
        <f t="shared" ref="KY4:KY20" si="97">IF(SUM(KL4,KQ4)&gt;0,SUM(KL4,KQ4),"")</f>
        <v/>
      </c>
      <c r="KZ4" s="13" t="str">
        <f t="shared" ref="KZ4:KZ20" si="98">IF(SUM(KJ4:KM4)-KN4&gt;0,SUM(KJ4:KM4)-KN4,"")</f>
        <v/>
      </c>
      <c r="LA4" s="13" t="str">
        <f t="shared" ref="LA4:LA20" si="99">IF(SUM(KO4:KR4)-KS4&gt;0,SUM(KO4:KR4)-KS4,"")</f>
        <v/>
      </c>
      <c r="LB4" s="13" t="str">
        <f t="shared" ref="LB4:LB20" si="100">IF(SUM(KZ4:LA4)&gt;0,SUM(KZ4:LA4),"")</f>
        <v/>
      </c>
      <c r="LC4" s="13" t="str">
        <f t="shared" ref="LC4:LC20" si="101">IF(SUM(KT4:KW4)-KX4&gt;0,SUM(KT4:KW4)-KX4,"")</f>
        <v/>
      </c>
      <c r="LD4" s="13" t="str">
        <f t="shared" ref="LD4:LD20" si="102">IF(SUM(LB4,LC4)&gt;0,SUM(LB4,LC4),"")</f>
        <v/>
      </c>
      <c r="LE4" s="62"/>
      <c r="LF4" s="62"/>
      <c r="LG4" s="62"/>
      <c r="LH4" s="62"/>
      <c r="LI4" s="62"/>
      <c r="LJ4" s="62"/>
      <c r="LK4" s="62"/>
      <c r="LL4" s="62"/>
      <c r="LM4" s="62"/>
      <c r="LN4" s="62"/>
      <c r="LO4" s="62"/>
      <c r="LP4" s="62"/>
      <c r="LQ4" s="62"/>
      <c r="LR4" s="62"/>
      <c r="LS4" s="62"/>
      <c r="LT4" s="17" t="str">
        <f t="shared" ref="LT4:LT20" si="103">IF(SUM(LG4,LL4)&gt;0,SUM(LG4,LL4),"")</f>
        <v/>
      </c>
      <c r="LU4" s="17" t="str">
        <f t="shared" ref="LU4:LU20" si="104">IF(SUM(LE4:LH4)-LI4&gt;0,SUM(LE4:LH4)-LI4,"")</f>
        <v/>
      </c>
      <c r="LV4" s="17" t="str">
        <f t="shared" ref="LV4:LV20" si="105">IF(SUM(LJ4:LM4)-LN4&gt;0,SUM(LJ4:LM4)-LN4,"")</f>
        <v/>
      </c>
      <c r="LW4" s="17" t="str">
        <f t="shared" ref="LW4:LW20" si="106">IF(SUM(LU4:LV4)&gt;0,SUM(LU4:LV4),"")</f>
        <v/>
      </c>
      <c r="LX4" s="17" t="str">
        <f t="shared" ref="LX4:LX20" si="107">IF(SUM(LO4:LR4)-LS4&gt;0,SUM(LO4:LR4)-LS4,"")</f>
        <v/>
      </c>
      <c r="LY4" s="17" t="str">
        <f t="shared" ref="LY4:LY20" si="108">IF(SUM(LW4,LX4)&gt;0,SUM(LW4,LX4),"")</f>
        <v/>
      </c>
    </row>
    <row r="5" spans="1:337" x14ac:dyDescent="0.2">
      <c r="A5" s="6">
        <f t="shared" ca="1" si="0"/>
        <v>2</v>
      </c>
      <c r="B5" s="9" t="s">
        <v>5</v>
      </c>
      <c r="C5" s="5" t="s">
        <v>6</v>
      </c>
      <c r="D5" s="6">
        <v>2010</v>
      </c>
      <c r="E5" s="18">
        <f t="shared" si="1"/>
        <v>272.57000000000005</v>
      </c>
      <c r="F5" s="4" t="str">
        <f t="shared" si="2"/>
        <v>P</v>
      </c>
      <c r="G5" s="4" t="str">
        <f t="shared" ca="1" si="3"/>
        <v>P</v>
      </c>
      <c r="H5" t="str">
        <f t="shared" ca="1" si="4"/>
        <v>Team</v>
      </c>
      <c r="I5" s="17">
        <f t="shared" si="5"/>
        <v>106.61</v>
      </c>
      <c r="J5" s="17" t="str">
        <f t="shared" si="6"/>
        <v>2017 3rd Domestic Trial</v>
      </c>
      <c r="K5" s="17">
        <f t="shared" si="7"/>
        <v>50.75</v>
      </c>
      <c r="L5" s="17" t="str">
        <f t="shared" si="8"/>
        <v>2017 Canada Cup</v>
      </c>
      <c r="M5" s="17">
        <f t="shared" si="9"/>
        <v>56.58</v>
      </c>
      <c r="N5" s="17" t="str">
        <f t="shared" si="10"/>
        <v>2017 Nationals</v>
      </c>
      <c r="O5" s="17">
        <f t="shared" si="11"/>
        <v>57.6</v>
      </c>
      <c r="P5" s="17" t="str">
        <f t="shared" si="12"/>
        <v>2017 3rd Domestic Trial</v>
      </c>
      <c r="Q5" s="17">
        <f t="shared" si="13"/>
        <v>1.0300000000000011</v>
      </c>
      <c r="R5" s="44" t="str">
        <f t="shared" si="14"/>
        <v>(Vol 2)</v>
      </c>
      <c r="S5" s="17" t="str">
        <f t="shared" si="15"/>
        <v>2017 World Championships (Nov)</v>
      </c>
      <c r="T5" s="60">
        <v>17.5</v>
      </c>
      <c r="U5" s="60">
        <v>9.6999999999999993</v>
      </c>
      <c r="V5" s="60">
        <v>6.6</v>
      </c>
      <c r="W5" s="60">
        <v>16.95</v>
      </c>
      <c r="X5" s="60">
        <v>0</v>
      </c>
      <c r="Y5" s="60">
        <v>6.8</v>
      </c>
      <c r="Z5" s="60">
        <v>3.7</v>
      </c>
      <c r="AA5" s="60">
        <v>6.3</v>
      </c>
      <c r="AB5" s="60">
        <v>6.83</v>
      </c>
      <c r="AC5" s="60">
        <v>0</v>
      </c>
      <c r="AD5" s="60"/>
      <c r="AE5" s="60"/>
      <c r="AF5" s="60"/>
      <c r="AG5" s="60"/>
      <c r="AH5" s="60"/>
      <c r="AI5" s="13">
        <f t="shared" si="16"/>
        <v>12.899999999999999</v>
      </c>
      <c r="AJ5" s="13">
        <f t="shared" si="17"/>
        <v>50.75</v>
      </c>
      <c r="AK5" s="13">
        <f t="shared" si="18"/>
        <v>23.630000000000003</v>
      </c>
      <c r="AL5" s="13">
        <f t="shared" si="19"/>
        <v>74.38</v>
      </c>
      <c r="AM5" s="13" t="str">
        <f t="shared" si="20"/>
        <v/>
      </c>
      <c r="AN5" s="13">
        <f t="shared" si="21"/>
        <v>74.38</v>
      </c>
      <c r="AO5" s="62">
        <v>4</v>
      </c>
      <c r="AP5" s="62">
        <v>1.9</v>
      </c>
      <c r="AQ5" s="62">
        <v>0.7</v>
      </c>
      <c r="AR5" s="62">
        <v>3.7250000000000001</v>
      </c>
      <c r="AS5" s="62">
        <v>0</v>
      </c>
      <c r="AT5" s="62">
        <v>16.2</v>
      </c>
      <c r="AU5" s="62">
        <v>9</v>
      </c>
      <c r="AV5" s="62">
        <v>15</v>
      </c>
      <c r="AW5" s="62">
        <v>16.38</v>
      </c>
      <c r="AX5" s="62">
        <v>0</v>
      </c>
      <c r="AY5" s="62"/>
      <c r="AZ5" s="62"/>
      <c r="BA5" s="62"/>
      <c r="BB5" s="62"/>
      <c r="BC5" s="62"/>
      <c r="BD5" s="17">
        <f t="shared" si="22"/>
        <v>15.7</v>
      </c>
      <c r="BE5" s="17">
        <f t="shared" si="23"/>
        <v>10.325000000000001</v>
      </c>
      <c r="BF5" s="17">
        <f t="shared" si="24"/>
        <v>56.58</v>
      </c>
      <c r="BG5" s="17">
        <f t="shared" si="25"/>
        <v>66.905000000000001</v>
      </c>
      <c r="BH5" s="17" t="str">
        <f t="shared" si="26"/>
        <v/>
      </c>
      <c r="BI5" s="17">
        <f t="shared" si="27"/>
        <v>66.905000000000001</v>
      </c>
      <c r="BJ5" s="60">
        <v>18.3</v>
      </c>
      <c r="BK5" s="60">
        <v>9.1</v>
      </c>
      <c r="BL5" s="60">
        <v>5.8</v>
      </c>
      <c r="BM5" s="60">
        <v>16.975000000000001</v>
      </c>
      <c r="BN5" s="60">
        <v>0</v>
      </c>
      <c r="BO5" s="60">
        <v>16.600000000000001</v>
      </c>
      <c r="BP5" s="60">
        <v>8.9</v>
      </c>
      <c r="BQ5" s="60">
        <v>15</v>
      </c>
      <c r="BR5" s="60">
        <v>15.935</v>
      </c>
      <c r="BS5" s="60">
        <v>0</v>
      </c>
      <c r="BT5" s="60">
        <v>17.100000000000001</v>
      </c>
      <c r="BU5" s="60">
        <v>9.1</v>
      </c>
      <c r="BV5" s="60">
        <v>15</v>
      </c>
      <c r="BW5" s="60">
        <v>16.399999999999999</v>
      </c>
      <c r="BX5" s="60">
        <v>0</v>
      </c>
      <c r="BY5" s="13">
        <f t="shared" si="28"/>
        <v>20.8</v>
      </c>
      <c r="BZ5" s="13">
        <f t="shared" si="29"/>
        <v>50.174999999999997</v>
      </c>
      <c r="CA5" s="13">
        <f t="shared" si="30"/>
        <v>56.435000000000002</v>
      </c>
      <c r="CB5" s="13">
        <f t="shared" si="31"/>
        <v>106.61</v>
      </c>
      <c r="CC5" s="13">
        <f t="shared" si="32"/>
        <v>57.6</v>
      </c>
      <c r="CD5" s="13">
        <f t="shared" si="33"/>
        <v>164.21</v>
      </c>
      <c r="CE5" s="43" t="str">
        <f t="shared" si="34"/>
        <v/>
      </c>
      <c r="CF5" s="43">
        <f t="shared" si="35"/>
        <v>1.0300000000000011</v>
      </c>
      <c r="CG5" s="43" t="str">
        <f t="shared" si="36"/>
        <v/>
      </c>
      <c r="CH5" s="60">
        <v>26.2</v>
      </c>
      <c r="CI5" s="60">
        <v>0</v>
      </c>
      <c r="CJ5" s="60">
        <v>3.3</v>
      </c>
      <c r="CK5" s="60">
        <v>17.745000000000001</v>
      </c>
      <c r="CL5" s="60">
        <v>0</v>
      </c>
      <c r="CM5" s="60">
        <v>9.1</v>
      </c>
      <c r="CN5" s="60">
        <v>0</v>
      </c>
      <c r="CO5" s="60">
        <v>7.5</v>
      </c>
      <c r="CP5" s="60">
        <v>6.7549999999999999</v>
      </c>
      <c r="CQ5" s="60">
        <v>0</v>
      </c>
      <c r="CR5" s="60"/>
      <c r="CS5" s="60"/>
      <c r="CT5" s="60"/>
      <c r="CU5" s="60"/>
      <c r="CV5" s="60"/>
      <c r="CW5" s="13">
        <f t="shared" si="37"/>
        <v>10.8</v>
      </c>
      <c r="CX5" s="13">
        <f t="shared" si="38"/>
        <v>47.245000000000005</v>
      </c>
      <c r="CY5" s="13">
        <f t="shared" si="39"/>
        <v>23.355</v>
      </c>
      <c r="CZ5" s="13">
        <f t="shared" si="40"/>
        <v>70.600000000000009</v>
      </c>
      <c r="DA5" s="13" t="str">
        <f t="shared" si="41"/>
        <v/>
      </c>
      <c r="DB5" s="13">
        <f t="shared" si="42"/>
        <v>70.600000000000009</v>
      </c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>
        <v>21.3</v>
      </c>
      <c r="DN5" s="62">
        <v>0</v>
      </c>
      <c r="DO5" s="62">
        <v>15</v>
      </c>
      <c r="DP5" s="62">
        <v>15.61</v>
      </c>
      <c r="DQ5" s="62">
        <v>0</v>
      </c>
      <c r="DR5" s="17" t="str">
        <f t="shared" si="43"/>
        <v/>
      </c>
      <c r="DS5" s="17" t="str">
        <f t="shared" si="44"/>
        <v/>
      </c>
      <c r="DT5" s="17" t="str">
        <f t="shared" si="45"/>
        <v/>
      </c>
      <c r="DU5" s="17" t="str">
        <f t="shared" si="46"/>
        <v/>
      </c>
      <c r="DV5" s="17">
        <f t="shared" si="47"/>
        <v>51.91</v>
      </c>
      <c r="DW5" s="17">
        <f t="shared" si="48"/>
        <v>51.91</v>
      </c>
      <c r="DX5" s="60">
        <v>16.3</v>
      </c>
      <c r="DY5" s="60">
        <v>8.9499999999999993</v>
      </c>
      <c r="DZ5" s="60">
        <v>6.7</v>
      </c>
      <c r="EA5" s="60">
        <v>16.77</v>
      </c>
      <c r="EB5" s="60">
        <v>0</v>
      </c>
      <c r="EC5" s="60">
        <v>14.3</v>
      </c>
      <c r="ED5" s="60">
        <v>8.75</v>
      </c>
      <c r="EE5" s="60">
        <v>15.1</v>
      </c>
      <c r="EF5" s="60">
        <v>16.170000000000002</v>
      </c>
      <c r="EG5" s="60">
        <v>0</v>
      </c>
      <c r="EH5" s="60"/>
      <c r="EI5" s="60"/>
      <c r="EJ5" s="60"/>
      <c r="EK5" s="60"/>
      <c r="EL5" s="60"/>
      <c r="EM5" s="13">
        <f t="shared" si="49"/>
        <v>21.8</v>
      </c>
      <c r="EN5" s="13">
        <f t="shared" si="50"/>
        <v>48.72</v>
      </c>
      <c r="EO5" s="13">
        <f t="shared" si="51"/>
        <v>54.32</v>
      </c>
      <c r="EP5" s="13">
        <f t="shared" si="52"/>
        <v>103.03999999999999</v>
      </c>
      <c r="EQ5" s="13" t="str">
        <f t="shared" si="53"/>
        <v/>
      </c>
      <c r="ER5" s="13">
        <f t="shared" si="54"/>
        <v>103.03999999999999</v>
      </c>
      <c r="ES5" s="62">
        <v>17.8</v>
      </c>
      <c r="ET5" s="62">
        <v>9.5</v>
      </c>
      <c r="EU5" s="62">
        <v>5.4</v>
      </c>
      <c r="EV5" s="62">
        <v>17.78</v>
      </c>
      <c r="EW5" s="62">
        <v>0</v>
      </c>
      <c r="EX5" s="62">
        <v>14.5</v>
      </c>
      <c r="EY5" s="62">
        <v>9.6</v>
      </c>
      <c r="EZ5" s="62">
        <v>16.899999999999999</v>
      </c>
      <c r="FA5" s="62">
        <v>16.61</v>
      </c>
      <c r="FB5" s="62">
        <v>0</v>
      </c>
      <c r="FC5" s="62"/>
      <c r="FD5" s="62"/>
      <c r="FE5" s="62"/>
      <c r="FF5" s="62"/>
      <c r="FG5" s="62"/>
      <c r="FH5" s="17">
        <f t="shared" si="55"/>
        <v>22.299999999999997</v>
      </c>
      <c r="FI5" s="17">
        <f t="shared" si="56"/>
        <v>50.480000000000004</v>
      </c>
      <c r="FJ5" s="17">
        <f t="shared" si="57"/>
        <v>57.61</v>
      </c>
      <c r="FK5" s="17">
        <f t="shared" si="58"/>
        <v>108.09</v>
      </c>
      <c r="FL5" s="17" t="str">
        <f t="shared" si="59"/>
        <v/>
      </c>
      <c r="FM5" s="17">
        <f t="shared" si="60"/>
        <v>108.09</v>
      </c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13" t="str">
        <f t="shared" si="61"/>
        <v/>
      </c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 t="str">
        <f t="shared" si="66"/>
        <v/>
      </c>
      <c r="GI5" s="62"/>
      <c r="GJ5" s="62"/>
      <c r="GK5" s="62"/>
      <c r="GL5" s="62"/>
      <c r="GM5" s="62"/>
      <c r="GN5" s="62"/>
      <c r="GO5" s="62"/>
      <c r="GP5" s="62"/>
      <c r="GQ5" s="62"/>
      <c r="GR5" s="62"/>
      <c r="GS5" s="62"/>
      <c r="GT5" s="62"/>
      <c r="GU5" s="62"/>
      <c r="GV5" s="62"/>
      <c r="GW5" s="62"/>
      <c r="GX5" s="17" t="str">
        <f t="shared" si="67"/>
        <v/>
      </c>
      <c r="GY5" s="17" t="str">
        <f t="shared" si="68"/>
        <v/>
      </c>
      <c r="GZ5" s="17" t="str">
        <f t="shared" si="69"/>
        <v/>
      </c>
      <c r="HA5" s="17" t="str">
        <f t="shared" si="70"/>
        <v/>
      </c>
      <c r="HB5" s="17" t="str">
        <f t="shared" si="71"/>
        <v/>
      </c>
      <c r="HC5" s="17" t="str">
        <f t="shared" si="72"/>
        <v/>
      </c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13" t="str">
        <f t="shared" si="73"/>
        <v/>
      </c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62"/>
      <c r="HZ5" s="62"/>
      <c r="IA5" s="62"/>
      <c r="IB5" s="62"/>
      <c r="IC5" s="62"/>
      <c r="ID5" s="62"/>
      <c r="IE5" s="62"/>
      <c r="IF5" s="62"/>
      <c r="IG5" s="62"/>
      <c r="IH5" s="62"/>
      <c r="II5" s="62"/>
      <c r="IJ5" s="62"/>
      <c r="IK5" s="62"/>
      <c r="IL5" s="62"/>
      <c r="IM5" s="62"/>
      <c r="IN5" s="17" t="str">
        <f t="shared" si="79"/>
        <v/>
      </c>
      <c r="IO5" s="17" t="str">
        <f t="shared" si="80"/>
        <v/>
      </c>
      <c r="IP5" s="17" t="str">
        <f t="shared" si="81"/>
        <v/>
      </c>
      <c r="IQ5" s="17" t="str">
        <f t="shared" si="82"/>
        <v/>
      </c>
      <c r="IR5" s="17" t="str">
        <f t="shared" si="83"/>
        <v/>
      </c>
      <c r="IS5" s="17" t="str">
        <f t="shared" si="84"/>
        <v/>
      </c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13" t="str">
        <f t="shared" si="85"/>
        <v/>
      </c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62"/>
      <c r="JP5" s="62"/>
      <c r="JQ5" s="62"/>
      <c r="JR5" s="62"/>
      <c r="JS5" s="62"/>
      <c r="JT5" s="62"/>
      <c r="JU5" s="62"/>
      <c r="JV5" s="62"/>
      <c r="JW5" s="62"/>
      <c r="JX5" s="62"/>
      <c r="JY5" s="62"/>
      <c r="JZ5" s="62"/>
      <c r="KA5" s="62"/>
      <c r="KB5" s="62"/>
      <c r="KC5" s="62"/>
      <c r="KD5" s="17" t="str">
        <f t="shared" si="91"/>
        <v/>
      </c>
      <c r="KE5" s="17" t="str">
        <f t="shared" si="92"/>
        <v/>
      </c>
      <c r="KF5" s="17" t="str">
        <f t="shared" si="93"/>
        <v/>
      </c>
      <c r="KG5" s="17" t="str">
        <f t="shared" si="94"/>
        <v/>
      </c>
      <c r="KH5" s="17" t="str">
        <f t="shared" si="95"/>
        <v/>
      </c>
      <c r="KI5" s="17" t="str">
        <f t="shared" si="96"/>
        <v/>
      </c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13" t="str">
        <f t="shared" si="97"/>
        <v/>
      </c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62"/>
      <c r="LF5" s="62"/>
      <c r="LG5" s="62"/>
      <c r="LH5" s="62"/>
      <c r="LI5" s="62"/>
      <c r="LJ5" s="62"/>
      <c r="LK5" s="62"/>
      <c r="LL5" s="62"/>
      <c r="LM5" s="62"/>
      <c r="LN5" s="62"/>
      <c r="LO5" s="62"/>
      <c r="LP5" s="62"/>
      <c r="LQ5" s="62"/>
      <c r="LR5" s="62"/>
      <c r="LS5" s="62"/>
      <c r="LT5" s="17" t="str">
        <f t="shared" si="103"/>
        <v/>
      </c>
      <c r="LU5" s="17" t="str">
        <f t="shared" si="104"/>
        <v/>
      </c>
      <c r="LV5" s="17" t="str">
        <f t="shared" si="105"/>
        <v/>
      </c>
      <c r="LW5" s="17" t="str">
        <f t="shared" si="106"/>
        <v/>
      </c>
      <c r="LX5" s="17" t="str">
        <f t="shared" si="107"/>
        <v/>
      </c>
      <c r="LY5" s="17" t="str">
        <f t="shared" si="108"/>
        <v/>
      </c>
    </row>
    <row r="6" spans="1:337" x14ac:dyDescent="0.2">
      <c r="A6" s="6">
        <f t="shared" ca="1" si="0"/>
        <v>3</v>
      </c>
      <c r="B6" s="9" t="s">
        <v>7</v>
      </c>
      <c r="C6" s="5" t="s">
        <v>6</v>
      </c>
      <c r="D6" s="46">
        <v>2007</v>
      </c>
      <c r="E6" s="18">
        <f t="shared" si="1"/>
        <v>265.47499999999997</v>
      </c>
      <c r="F6" s="4" t="str">
        <f t="shared" si="2"/>
        <v>P</v>
      </c>
      <c r="G6" s="4" t="str">
        <f t="shared" ca="1" si="3"/>
        <v>P</v>
      </c>
      <c r="H6" t="str">
        <f t="shared" ca="1" si="4"/>
        <v>Team</v>
      </c>
      <c r="I6" s="17">
        <f t="shared" si="5"/>
        <v>105.70499999999998</v>
      </c>
      <c r="J6" s="17" t="str">
        <f t="shared" si="6"/>
        <v>2017 Canada Cup</v>
      </c>
      <c r="K6" s="17">
        <f t="shared" si="7"/>
        <v>48.370000000000005</v>
      </c>
      <c r="L6" s="17" t="str">
        <f t="shared" si="8"/>
        <v>2017 3rd Domestic Trial</v>
      </c>
      <c r="M6" s="17">
        <f t="shared" si="9"/>
        <v>54.354999999999997</v>
      </c>
      <c r="N6" s="17" t="str">
        <f t="shared" si="10"/>
        <v>2017 Nationals</v>
      </c>
      <c r="O6" s="17">
        <f t="shared" si="11"/>
        <v>57.045000000000002</v>
      </c>
      <c r="P6" s="17" t="str">
        <f t="shared" si="12"/>
        <v>2017 Canada Cup</v>
      </c>
      <c r="Q6" s="17" t="str">
        <f t="shared" si="13"/>
        <v/>
      </c>
      <c r="R6" s="44" t="str">
        <f t="shared" si="14"/>
        <v/>
      </c>
      <c r="S6" s="17" t="str">
        <f t="shared" si="15"/>
        <v/>
      </c>
      <c r="T6" s="60">
        <v>17.899999999999999</v>
      </c>
      <c r="U6" s="60">
        <v>9.4</v>
      </c>
      <c r="V6" s="60">
        <v>5.8</v>
      </c>
      <c r="W6" s="60">
        <v>16.899999999999999</v>
      </c>
      <c r="X6" s="60">
        <v>0</v>
      </c>
      <c r="Y6" s="60">
        <v>15.5</v>
      </c>
      <c r="Z6" s="60">
        <v>9.3000000000000007</v>
      </c>
      <c r="AA6" s="60">
        <v>15</v>
      </c>
      <c r="AB6" s="60">
        <v>15.904999999999999</v>
      </c>
      <c r="AC6" s="60">
        <v>0</v>
      </c>
      <c r="AD6" s="60">
        <v>15.9</v>
      </c>
      <c r="AE6" s="60">
        <v>9.6</v>
      </c>
      <c r="AF6" s="60">
        <v>15</v>
      </c>
      <c r="AG6" s="60">
        <v>16.545000000000002</v>
      </c>
      <c r="AH6" s="60">
        <v>0</v>
      </c>
      <c r="AI6" s="13">
        <f t="shared" si="16"/>
        <v>20.8</v>
      </c>
      <c r="AJ6" s="13">
        <f t="shared" si="17"/>
        <v>49.999999999999993</v>
      </c>
      <c r="AK6" s="13">
        <f t="shared" si="18"/>
        <v>55.704999999999998</v>
      </c>
      <c r="AL6" s="13">
        <f t="shared" si="19"/>
        <v>105.70499999999998</v>
      </c>
      <c r="AM6" s="13">
        <f t="shared" si="20"/>
        <v>57.045000000000002</v>
      </c>
      <c r="AN6" s="13">
        <f t="shared" si="21"/>
        <v>162.75</v>
      </c>
      <c r="AO6" s="62">
        <v>16.600000000000001</v>
      </c>
      <c r="AP6" s="62">
        <v>8.8000000000000007</v>
      </c>
      <c r="AQ6" s="62">
        <v>5.6</v>
      </c>
      <c r="AR6" s="62">
        <v>16.47</v>
      </c>
      <c r="AS6" s="62">
        <v>0</v>
      </c>
      <c r="AT6" s="62">
        <v>14.1</v>
      </c>
      <c r="AU6" s="62">
        <v>9</v>
      </c>
      <c r="AV6" s="62">
        <v>15.2</v>
      </c>
      <c r="AW6" s="62">
        <v>16.055</v>
      </c>
      <c r="AX6" s="62">
        <v>0</v>
      </c>
      <c r="AY6" s="62">
        <v>16.2</v>
      </c>
      <c r="AZ6" s="62">
        <v>9</v>
      </c>
      <c r="BA6" s="62">
        <v>13.8</v>
      </c>
      <c r="BB6" s="62">
        <v>15.97</v>
      </c>
      <c r="BC6" s="62">
        <v>0</v>
      </c>
      <c r="BD6" s="17">
        <f t="shared" si="22"/>
        <v>20.799999999999997</v>
      </c>
      <c r="BE6" s="17">
        <f t="shared" si="23"/>
        <v>47.47</v>
      </c>
      <c r="BF6" s="17">
        <f t="shared" si="24"/>
        <v>54.354999999999997</v>
      </c>
      <c r="BG6" s="17">
        <f t="shared" si="25"/>
        <v>101.82499999999999</v>
      </c>
      <c r="BH6" s="17">
        <f t="shared" si="26"/>
        <v>54.97</v>
      </c>
      <c r="BI6" s="17">
        <f t="shared" si="27"/>
        <v>156.79499999999999</v>
      </c>
      <c r="BJ6" s="60">
        <v>17.100000000000001</v>
      </c>
      <c r="BK6" s="60">
        <v>8.9</v>
      </c>
      <c r="BL6" s="60">
        <v>5.8</v>
      </c>
      <c r="BM6" s="60">
        <v>16.57</v>
      </c>
      <c r="BN6" s="60">
        <v>0</v>
      </c>
      <c r="BO6" s="60">
        <v>12.5</v>
      </c>
      <c r="BP6" s="60">
        <v>9.5</v>
      </c>
      <c r="BQ6" s="60">
        <v>15</v>
      </c>
      <c r="BR6" s="60">
        <v>15.775</v>
      </c>
      <c r="BS6" s="60">
        <v>0</v>
      </c>
      <c r="BT6" s="60">
        <v>15.3</v>
      </c>
      <c r="BU6" s="60">
        <v>9.1999999999999993</v>
      </c>
      <c r="BV6" s="60">
        <v>13.5</v>
      </c>
      <c r="BW6" s="60">
        <v>15.75</v>
      </c>
      <c r="BX6" s="60">
        <v>0</v>
      </c>
      <c r="BY6" s="13">
        <f t="shared" si="28"/>
        <v>20.8</v>
      </c>
      <c r="BZ6" s="13">
        <f t="shared" si="29"/>
        <v>48.370000000000005</v>
      </c>
      <c r="CA6" s="13">
        <f t="shared" si="30"/>
        <v>52.774999999999999</v>
      </c>
      <c r="CB6" s="13">
        <f t="shared" si="31"/>
        <v>101.14500000000001</v>
      </c>
      <c r="CC6" s="13">
        <f t="shared" si="32"/>
        <v>53.75</v>
      </c>
      <c r="CD6" s="13">
        <f t="shared" si="33"/>
        <v>154.89500000000001</v>
      </c>
      <c r="CE6" s="43" t="str">
        <f t="shared" si="34"/>
        <v/>
      </c>
      <c r="CF6" s="43" t="str">
        <f t="shared" si="35"/>
        <v/>
      </c>
      <c r="CG6" s="43" t="str">
        <f t="shared" si="36"/>
        <v/>
      </c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13" t="str">
        <f t="shared" si="37"/>
        <v/>
      </c>
      <c r="CX6" s="13" t="str">
        <f t="shared" si="38"/>
        <v/>
      </c>
      <c r="CY6" s="13" t="str">
        <f t="shared" si="39"/>
        <v/>
      </c>
      <c r="CZ6" s="13" t="str">
        <f t="shared" si="40"/>
        <v/>
      </c>
      <c r="DA6" s="13" t="str">
        <f t="shared" si="41"/>
        <v/>
      </c>
      <c r="DB6" s="13" t="str">
        <f t="shared" si="42"/>
        <v/>
      </c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17" t="str">
        <f t="shared" si="43"/>
        <v/>
      </c>
      <c r="DS6" s="17" t="str">
        <f t="shared" si="44"/>
        <v/>
      </c>
      <c r="DT6" s="17" t="str">
        <f t="shared" si="45"/>
        <v/>
      </c>
      <c r="DU6" s="17" t="str">
        <f t="shared" si="46"/>
        <v/>
      </c>
      <c r="DV6" s="17" t="str">
        <f t="shared" si="47"/>
        <v/>
      </c>
      <c r="DW6" s="17" t="str">
        <f t="shared" si="48"/>
        <v/>
      </c>
      <c r="DX6" s="60">
        <v>16</v>
      </c>
      <c r="DY6" s="60">
        <v>8.9499999999999993</v>
      </c>
      <c r="DZ6" s="60">
        <v>5.8</v>
      </c>
      <c r="EA6" s="60">
        <v>17.21</v>
      </c>
      <c r="EB6" s="60">
        <v>0</v>
      </c>
      <c r="EC6" s="60">
        <v>4.5999999999999996</v>
      </c>
      <c r="ED6" s="60">
        <v>2.4</v>
      </c>
      <c r="EE6" s="60">
        <v>5.0999999999999996</v>
      </c>
      <c r="EF6" s="60">
        <v>5.1449999999999996</v>
      </c>
      <c r="EG6" s="60">
        <v>0</v>
      </c>
      <c r="EH6" s="60"/>
      <c r="EI6" s="60"/>
      <c r="EJ6" s="60"/>
      <c r="EK6" s="60"/>
      <c r="EL6" s="60"/>
      <c r="EM6" s="13">
        <f t="shared" si="49"/>
        <v>10.899999999999999</v>
      </c>
      <c r="EN6" s="13">
        <f t="shared" si="50"/>
        <v>47.96</v>
      </c>
      <c r="EO6" s="13">
        <f t="shared" si="51"/>
        <v>17.244999999999997</v>
      </c>
      <c r="EP6" s="13">
        <f t="shared" si="52"/>
        <v>65.204999999999998</v>
      </c>
      <c r="EQ6" s="13" t="str">
        <f t="shared" si="53"/>
        <v/>
      </c>
      <c r="ER6" s="13">
        <f t="shared" si="54"/>
        <v>65.204999999999998</v>
      </c>
      <c r="ES6" s="62"/>
      <c r="ET6" s="62"/>
      <c r="EU6" s="62"/>
      <c r="EV6" s="62"/>
      <c r="EW6" s="62"/>
      <c r="EX6" s="62"/>
      <c r="EY6" s="62"/>
      <c r="EZ6" s="62"/>
      <c r="FA6" s="62"/>
      <c r="FB6" s="62"/>
      <c r="FC6" s="62"/>
      <c r="FD6" s="62"/>
      <c r="FE6" s="62"/>
      <c r="FF6" s="62"/>
      <c r="FG6" s="62"/>
      <c r="FH6" s="17" t="str">
        <f t="shared" si="55"/>
        <v/>
      </c>
      <c r="FI6" s="17" t="str">
        <f t="shared" si="56"/>
        <v/>
      </c>
      <c r="FJ6" s="17" t="str">
        <f t="shared" si="57"/>
        <v/>
      </c>
      <c r="FK6" s="17" t="str">
        <f t="shared" si="58"/>
        <v/>
      </c>
      <c r="FL6" s="17" t="str">
        <f t="shared" si="59"/>
        <v/>
      </c>
      <c r="FM6" s="17" t="str">
        <f t="shared" si="60"/>
        <v/>
      </c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13" t="str">
        <f t="shared" si="61"/>
        <v/>
      </c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 t="str">
        <f t="shared" si="66"/>
        <v/>
      </c>
      <c r="GI6" s="62"/>
      <c r="GJ6" s="62"/>
      <c r="GK6" s="62"/>
      <c r="GL6" s="62"/>
      <c r="GM6" s="62"/>
      <c r="GN6" s="62"/>
      <c r="GO6" s="62"/>
      <c r="GP6" s="62"/>
      <c r="GQ6" s="62"/>
      <c r="GR6" s="62"/>
      <c r="GS6" s="62"/>
      <c r="GT6" s="62"/>
      <c r="GU6" s="62"/>
      <c r="GV6" s="62"/>
      <c r="GW6" s="62"/>
      <c r="GX6" s="17" t="str">
        <f t="shared" si="67"/>
        <v/>
      </c>
      <c r="GY6" s="17" t="str">
        <f t="shared" si="68"/>
        <v/>
      </c>
      <c r="GZ6" s="17" t="str">
        <f t="shared" si="69"/>
        <v/>
      </c>
      <c r="HA6" s="17" t="str">
        <f t="shared" si="70"/>
        <v/>
      </c>
      <c r="HB6" s="17" t="str">
        <f t="shared" si="71"/>
        <v/>
      </c>
      <c r="HC6" s="17" t="str">
        <f t="shared" si="72"/>
        <v/>
      </c>
      <c r="HD6" s="60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13" t="str">
        <f t="shared" si="73"/>
        <v/>
      </c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62"/>
      <c r="HZ6" s="62"/>
      <c r="IA6" s="62"/>
      <c r="IB6" s="62"/>
      <c r="IC6" s="62"/>
      <c r="ID6" s="62"/>
      <c r="IE6" s="62"/>
      <c r="IF6" s="62"/>
      <c r="IG6" s="62"/>
      <c r="IH6" s="62"/>
      <c r="II6" s="62"/>
      <c r="IJ6" s="62"/>
      <c r="IK6" s="62"/>
      <c r="IL6" s="62"/>
      <c r="IM6" s="62"/>
      <c r="IN6" s="17" t="str">
        <f t="shared" si="79"/>
        <v/>
      </c>
      <c r="IO6" s="17" t="str">
        <f t="shared" si="80"/>
        <v/>
      </c>
      <c r="IP6" s="17" t="str">
        <f t="shared" si="81"/>
        <v/>
      </c>
      <c r="IQ6" s="17" t="str">
        <f t="shared" si="82"/>
        <v/>
      </c>
      <c r="IR6" s="17" t="str">
        <f t="shared" si="83"/>
        <v/>
      </c>
      <c r="IS6" s="17" t="str">
        <f t="shared" si="84"/>
        <v/>
      </c>
      <c r="IT6" s="60"/>
      <c r="IU6" s="60"/>
      <c r="IV6" s="60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13" t="str">
        <f t="shared" si="85"/>
        <v/>
      </c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62"/>
      <c r="JP6" s="62"/>
      <c r="JQ6" s="62"/>
      <c r="JR6" s="62"/>
      <c r="JS6" s="62"/>
      <c r="JT6" s="62"/>
      <c r="JU6" s="62"/>
      <c r="JV6" s="62"/>
      <c r="JW6" s="62"/>
      <c r="JX6" s="62"/>
      <c r="JY6" s="62"/>
      <c r="JZ6" s="62"/>
      <c r="KA6" s="62"/>
      <c r="KB6" s="62"/>
      <c r="KC6" s="62"/>
      <c r="KD6" s="17" t="str">
        <f t="shared" si="91"/>
        <v/>
      </c>
      <c r="KE6" s="17" t="str">
        <f t="shared" si="92"/>
        <v/>
      </c>
      <c r="KF6" s="17" t="str">
        <f t="shared" si="93"/>
        <v/>
      </c>
      <c r="KG6" s="17" t="str">
        <f t="shared" si="94"/>
        <v/>
      </c>
      <c r="KH6" s="17" t="str">
        <f t="shared" si="95"/>
        <v/>
      </c>
      <c r="KI6" s="17" t="str">
        <f t="shared" si="96"/>
        <v/>
      </c>
      <c r="KJ6" s="60"/>
      <c r="KK6" s="60"/>
      <c r="KL6" s="60"/>
      <c r="KM6" s="60"/>
      <c r="KN6" s="60"/>
      <c r="KO6" s="60"/>
      <c r="KP6" s="60"/>
      <c r="KQ6" s="60"/>
      <c r="KR6" s="60"/>
      <c r="KS6" s="60"/>
      <c r="KT6" s="60"/>
      <c r="KU6" s="60"/>
      <c r="KV6" s="60"/>
      <c r="KW6" s="60"/>
      <c r="KX6" s="60"/>
      <c r="KY6" s="13" t="str">
        <f t="shared" si="97"/>
        <v/>
      </c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62"/>
      <c r="LF6" s="62"/>
      <c r="LG6" s="62"/>
      <c r="LH6" s="62"/>
      <c r="LI6" s="62"/>
      <c r="LJ6" s="62"/>
      <c r="LK6" s="62"/>
      <c r="LL6" s="62"/>
      <c r="LM6" s="62"/>
      <c r="LN6" s="62"/>
      <c r="LO6" s="62"/>
      <c r="LP6" s="62"/>
      <c r="LQ6" s="62"/>
      <c r="LR6" s="62"/>
      <c r="LS6" s="62"/>
      <c r="LT6" s="17" t="str">
        <f t="shared" si="103"/>
        <v/>
      </c>
      <c r="LU6" s="17" t="str">
        <f t="shared" si="104"/>
        <v/>
      </c>
      <c r="LV6" s="17" t="str">
        <f t="shared" si="105"/>
        <v/>
      </c>
      <c r="LW6" s="17" t="str">
        <f t="shared" si="106"/>
        <v/>
      </c>
      <c r="LX6" s="17" t="str">
        <f t="shared" si="107"/>
        <v/>
      </c>
      <c r="LY6" s="17" t="str">
        <f t="shared" si="108"/>
        <v/>
      </c>
    </row>
    <row r="7" spans="1:337" x14ac:dyDescent="0.2">
      <c r="A7" s="6" t="str">
        <f t="shared" ca="1" si="0"/>
        <v/>
      </c>
      <c r="B7" s="9" t="s">
        <v>21</v>
      </c>
      <c r="C7" s="5" t="s">
        <v>8</v>
      </c>
      <c r="D7" s="46">
        <v>2015</v>
      </c>
      <c r="E7" s="18">
        <f t="shared" si="1"/>
        <v>260.07</v>
      </c>
      <c r="F7" s="4" t="str">
        <f t="shared" si="2"/>
        <v>P</v>
      </c>
      <c r="G7" s="4" t="str">
        <f t="shared" ca="1" si="3"/>
        <v/>
      </c>
      <c r="H7" t="str">
        <f t="shared" ca="1" si="4"/>
        <v/>
      </c>
      <c r="I7" s="17">
        <f t="shared" si="5"/>
        <v>103.175</v>
      </c>
      <c r="J7" s="17" t="str">
        <f t="shared" si="6"/>
        <v>2017 3rd Domestic Trial</v>
      </c>
      <c r="K7" s="17">
        <f t="shared" si="7"/>
        <v>48.594999999999999</v>
      </c>
      <c r="L7" s="17" t="str">
        <f t="shared" si="8"/>
        <v>2017 Nationals</v>
      </c>
      <c r="M7" s="17">
        <f t="shared" si="9"/>
        <v>53.585000000000001</v>
      </c>
      <c r="N7" s="17" t="str">
        <f t="shared" si="10"/>
        <v>2017 Nationals</v>
      </c>
      <c r="O7" s="17">
        <f t="shared" si="11"/>
        <v>54.715000000000003</v>
      </c>
      <c r="P7" s="17" t="str">
        <f t="shared" si="12"/>
        <v>2017 3rd Domestic Trial</v>
      </c>
      <c r="Q7" s="17" t="str">
        <f t="shared" si="13"/>
        <v/>
      </c>
      <c r="R7" s="44" t="str">
        <f t="shared" si="14"/>
        <v/>
      </c>
      <c r="S7" s="17" t="str">
        <f t="shared" si="15"/>
        <v/>
      </c>
      <c r="T7" s="60">
        <v>5.5</v>
      </c>
      <c r="U7" s="60">
        <v>3</v>
      </c>
      <c r="V7" s="60">
        <v>0</v>
      </c>
      <c r="W7" s="60">
        <v>5.4850000000000003</v>
      </c>
      <c r="X7" s="60">
        <v>0</v>
      </c>
      <c r="Y7" s="60">
        <v>7.8</v>
      </c>
      <c r="Z7" s="60">
        <v>5</v>
      </c>
      <c r="AA7" s="60">
        <v>9</v>
      </c>
      <c r="AB7" s="60">
        <v>9.6349999999999998</v>
      </c>
      <c r="AC7" s="60">
        <v>0</v>
      </c>
      <c r="AD7" s="60"/>
      <c r="AE7" s="60"/>
      <c r="AF7" s="60"/>
      <c r="AG7" s="60"/>
      <c r="AH7" s="60"/>
      <c r="AI7" s="13">
        <f t="shared" si="16"/>
        <v>9</v>
      </c>
      <c r="AJ7" s="13">
        <f t="shared" si="17"/>
        <v>13.984999999999999</v>
      </c>
      <c r="AK7" s="13">
        <f t="shared" si="18"/>
        <v>31.435000000000002</v>
      </c>
      <c r="AL7" s="13">
        <f t="shared" si="19"/>
        <v>45.42</v>
      </c>
      <c r="AM7" s="13" t="str">
        <f t="shared" si="20"/>
        <v/>
      </c>
      <c r="AN7" s="13">
        <f t="shared" si="21"/>
        <v>45.42</v>
      </c>
      <c r="AO7" s="62">
        <v>16.7</v>
      </c>
      <c r="AP7" s="62">
        <v>9.4</v>
      </c>
      <c r="AQ7" s="62">
        <v>5.6</v>
      </c>
      <c r="AR7" s="62">
        <v>16.895</v>
      </c>
      <c r="AS7" s="62">
        <v>0</v>
      </c>
      <c r="AT7" s="62">
        <v>14.1</v>
      </c>
      <c r="AU7" s="62">
        <v>8.6999999999999993</v>
      </c>
      <c r="AV7" s="62">
        <v>15.2</v>
      </c>
      <c r="AW7" s="62">
        <v>15.585000000000001</v>
      </c>
      <c r="AX7" s="62">
        <v>0</v>
      </c>
      <c r="AY7" s="62">
        <v>14.1</v>
      </c>
      <c r="AZ7" s="62">
        <v>8.6999999999999993</v>
      </c>
      <c r="BA7" s="62">
        <v>15.4</v>
      </c>
      <c r="BB7" s="62">
        <v>15.84</v>
      </c>
      <c r="BC7" s="62">
        <v>0</v>
      </c>
      <c r="BD7" s="17">
        <f t="shared" si="22"/>
        <v>20.799999999999997</v>
      </c>
      <c r="BE7" s="17">
        <f t="shared" si="23"/>
        <v>48.594999999999999</v>
      </c>
      <c r="BF7" s="17">
        <f t="shared" si="24"/>
        <v>53.585000000000001</v>
      </c>
      <c r="BG7" s="17">
        <f t="shared" si="25"/>
        <v>102.18</v>
      </c>
      <c r="BH7" s="17">
        <f t="shared" si="26"/>
        <v>54.039999999999992</v>
      </c>
      <c r="BI7" s="17">
        <f t="shared" si="27"/>
        <v>156.22</v>
      </c>
      <c r="BJ7" s="60">
        <v>16.899999999999999</v>
      </c>
      <c r="BK7" s="60">
        <v>9.1999999999999993</v>
      </c>
      <c r="BL7" s="60">
        <v>5.2</v>
      </c>
      <c r="BM7" s="60">
        <v>17.010000000000002</v>
      </c>
      <c r="BN7" s="60">
        <v>0</v>
      </c>
      <c r="BO7" s="60">
        <v>14.4</v>
      </c>
      <c r="BP7" s="60">
        <v>9.4</v>
      </c>
      <c r="BQ7" s="60">
        <v>15</v>
      </c>
      <c r="BR7" s="60">
        <v>16.065000000000001</v>
      </c>
      <c r="BS7" s="60">
        <v>0</v>
      </c>
      <c r="BT7" s="60">
        <v>13.6</v>
      </c>
      <c r="BU7" s="60">
        <v>9.3000000000000007</v>
      </c>
      <c r="BV7" s="60">
        <v>16.100000000000001</v>
      </c>
      <c r="BW7" s="60">
        <v>15.715</v>
      </c>
      <c r="BX7" s="60">
        <v>0</v>
      </c>
      <c r="BY7" s="13">
        <f t="shared" si="28"/>
        <v>20.2</v>
      </c>
      <c r="BZ7" s="13">
        <f t="shared" si="29"/>
        <v>48.31</v>
      </c>
      <c r="CA7" s="13">
        <f t="shared" si="30"/>
        <v>54.864999999999995</v>
      </c>
      <c r="CB7" s="13">
        <f t="shared" si="31"/>
        <v>103.175</v>
      </c>
      <c r="CC7" s="13">
        <f t="shared" si="32"/>
        <v>54.715000000000003</v>
      </c>
      <c r="CD7" s="13">
        <f t="shared" si="33"/>
        <v>157.88999999999999</v>
      </c>
      <c r="CE7" s="43" t="str">
        <f t="shared" si="34"/>
        <v/>
      </c>
      <c r="CF7" s="43" t="str">
        <f t="shared" si="35"/>
        <v/>
      </c>
      <c r="CG7" s="43" t="str">
        <f t="shared" si="36"/>
        <v/>
      </c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13" t="str">
        <f t="shared" si="37"/>
        <v/>
      </c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17" t="str">
        <f t="shared" si="43"/>
        <v/>
      </c>
      <c r="DS7" s="17" t="str">
        <f t="shared" si="44"/>
        <v/>
      </c>
      <c r="DT7" s="17" t="str">
        <f t="shared" si="45"/>
        <v/>
      </c>
      <c r="DU7" s="17" t="str">
        <f t="shared" si="46"/>
        <v/>
      </c>
      <c r="DV7" s="17" t="str">
        <f t="shared" si="47"/>
        <v/>
      </c>
      <c r="DW7" s="17" t="str">
        <f t="shared" si="48"/>
        <v/>
      </c>
      <c r="DX7" s="60">
        <v>14.6</v>
      </c>
      <c r="DY7" s="60">
        <v>9.1</v>
      </c>
      <c r="DZ7" s="60">
        <v>5.6</v>
      </c>
      <c r="EA7" s="60">
        <v>16.664999999999999</v>
      </c>
      <c r="EB7" s="60">
        <v>0</v>
      </c>
      <c r="EC7" s="60">
        <v>13.5</v>
      </c>
      <c r="ED7" s="60">
        <v>9.0500000000000007</v>
      </c>
      <c r="EE7" s="60">
        <v>15.2</v>
      </c>
      <c r="EF7" s="60">
        <v>15.62</v>
      </c>
      <c r="EG7" s="60">
        <v>0</v>
      </c>
      <c r="EH7" s="60"/>
      <c r="EI7" s="60"/>
      <c r="EJ7" s="60"/>
      <c r="EK7" s="60"/>
      <c r="EL7" s="60"/>
      <c r="EM7" s="13">
        <f t="shared" si="49"/>
        <v>20.799999999999997</v>
      </c>
      <c r="EN7" s="13">
        <f t="shared" si="50"/>
        <v>45.964999999999996</v>
      </c>
      <c r="EO7" s="13">
        <f t="shared" si="51"/>
        <v>53.37</v>
      </c>
      <c r="EP7" s="13">
        <f t="shared" si="52"/>
        <v>99.334999999999994</v>
      </c>
      <c r="EQ7" s="13" t="str">
        <f t="shared" si="53"/>
        <v/>
      </c>
      <c r="ER7" s="13">
        <f t="shared" si="54"/>
        <v>99.334999999999994</v>
      </c>
      <c r="ES7" s="62"/>
      <c r="ET7" s="62"/>
      <c r="EU7" s="62"/>
      <c r="EV7" s="62"/>
      <c r="EW7" s="62"/>
      <c r="EX7" s="62"/>
      <c r="EY7" s="62"/>
      <c r="EZ7" s="62"/>
      <c r="FA7" s="62"/>
      <c r="FB7" s="62"/>
      <c r="FC7" s="62"/>
      <c r="FD7" s="62"/>
      <c r="FE7" s="62"/>
      <c r="FF7" s="62"/>
      <c r="FG7" s="62"/>
      <c r="FH7" s="17" t="str">
        <f t="shared" si="55"/>
        <v/>
      </c>
      <c r="FI7" s="17" t="str">
        <f t="shared" si="56"/>
        <v/>
      </c>
      <c r="FJ7" s="17" t="str">
        <f t="shared" si="57"/>
        <v/>
      </c>
      <c r="FK7" s="17" t="str">
        <f t="shared" si="58"/>
        <v/>
      </c>
      <c r="FL7" s="17" t="str">
        <f t="shared" si="59"/>
        <v/>
      </c>
      <c r="FM7" s="17" t="str">
        <f t="shared" si="60"/>
        <v/>
      </c>
      <c r="FN7" s="60"/>
      <c r="FO7" s="60"/>
      <c r="FP7" s="60"/>
      <c r="FQ7" s="60"/>
      <c r="FR7" s="60"/>
      <c r="FS7" s="60"/>
      <c r="FT7" s="60"/>
      <c r="FU7" s="60"/>
      <c r="FV7" s="60"/>
      <c r="FW7" s="60"/>
      <c r="FX7" s="60"/>
      <c r="FY7" s="60"/>
      <c r="FZ7" s="60"/>
      <c r="GA7" s="60"/>
      <c r="GB7" s="60"/>
      <c r="GC7" s="13" t="str">
        <f t="shared" si="61"/>
        <v/>
      </c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62"/>
      <c r="GJ7" s="62"/>
      <c r="GK7" s="62"/>
      <c r="GL7" s="62"/>
      <c r="GM7" s="62"/>
      <c r="GN7" s="62"/>
      <c r="GO7" s="62"/>
      <c r="GP7" s="62"/>
      <c r="GQ7" s="62"/>
      <c r="GR7" s="62"/>
      <c r="GS7" s="62"/>
      <c r="GT7" s="62"/>
      <c r="GU7" s="62"/>
      <c r="GV7" s="62"/>
      <c r="GW7" s="62"/>
      <c r="GX7" s="17" t="str">
        <f t="shared" si="67"/>
        <v/>
      </c>
      <c r="GY7" s="17" t="str">
        <f t="shared" si="68"/>
        <v/>
      </c>
      <c r="GZ7" s="17" t="str">
        <f t="shared" si="69"/>
        <v/>
      </c>
      <c r="HA7" s="17" t="str">
        <f t="shared" si="70"/>
        <v/>
      </c>
      <c r="HB7" s="17" t="str">
        <f t="shared" si="71"/>
        <v/>
      </c>
      <c r="HC7" s="17" t="str">
        <f t="shared" si="72"/>
        <v/>
      </c>
      <c r="HD7" s="60"/>
      <c r="HE7" s="60"/>
      <c r="HF7" s="60"/>
      <c r="HG7" s="60"/>
      <c r="HH7" s="60"/>
      <c r="HI7" s="60"/>
      <c r="HJ7" s="60"/>
      <c r="HK7" s="60"/>
      <c r="HL7" s="60"/>
      <c r="HM7" s="60"/>
      <c r="HN7" s="60"/>
      <c r="HO7" s="60"/>
      <c r="HP7" s="60"/>
      <c r="HQ7" s="60"/>
      <c r="HR7" s="60"/>
      <c r="HS7" s="13" t="str">
        <f t="shared" si="73"/>
        <v/>
      </c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62"/>
      <c r="HZ7" s="62"/>
      <c r="IA7" s="62"/>
      <c r="IB7" s="62"/>
      <c r="IC7" s="62"/>
      <c r="ID7" s="62"/>
      <c r="IE7" s="62"/>
      <c r="IF7" s="62"/>
      <c r="IG7" s="62"/>
      <c r="IH7" s="62"/>
      <c r="II7" s="62"/>
      <c r="IJ7" s="62"/>
      <c r="IK7" s="62"/>
      <c r="IL7" s="62"/>
      <c r="IM7" s="62"/>
      <c r="IN7" s="17" t="str">
        <f t="shared" si="79"/>
        <v/>
      </c>
      <c r="IO7" s="17" t="str">
        <f t="shared" si="80"/>
        <v/>
      </c>
      <c r="IP7" s="17" t="str">
        <f t="shared" si="81"/>
        <v/>
      </c>
      <c r="IQ7" s="17" t="str">
        <f t="shared" si="82"/>
        <v/>
      </c>
      <c r="IR7" s="17" t="str">
        <f t="shared" si="83"/>
        <v/>
      </c>
      <c r="IS7" s="17" t="str">
        <f t="shared" si="84"/>
        <v/>
      </c>
      <c r="IT7" s="60"/>
      <c r="IU7" s="60"/>
      <c r="IV7" s="60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13" t="str">
        <f t="shared" si="85"/>
        <v/>
      </c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62"/>
      <c r="JP7" s="62"/>
      <c r="JQ7" s="62"/>
      <c r="JR7" s="62"/>
      <c r="JS7" s="62"/>
      <c r="JT7" s="62"/>
      <c r="JU7" s="62"/>
      <c r="JV7" s="62"/>
      <c r="JW7" s="62"/>
      <c r="JX7" s="62"/>
      <c r="JY7" s="62"/>
      <c r="JZ7" s="62"/>
      <c r="KA7" s="62"/>
      <c r="KB7" s="62"/>
      <c r="KC7" s="62"/>
      <c r="KD7" s="17" t="str">
        <f t="shared" si="91"/>
        <v/>
      </c>
      <c r="KE7" s="17" t="str">
        <f t="shared" si="92"/>
        <v/>
      </c>
      <c r="KF7" s="17" t="str">
        <f t="shared" si="93"/>
        <v/>
      </c>
      <c r="KG7" s="17" t="str">
        <f t="shared" si="94"/>
        <v/>
      </c>
      <c r="KH7" s="17" t="str">
        <f t="shared" si="95"/>
        <v/>
      </c>
      <c r="KI7" s="17" t="str">
        <f t="shared" si="96"/>
        <v/>
      </c>
      <c r="KJ7" s="60"/>
      <c r="KK7" s="60"/>
      <c r="KL7" s="60"/>
      <c r="KM7" s="60"/>
      <c r="KN7" s="60"/>
      <c r="KO7" s="60"/>
      <c r="KP7" s="60"/>
      <c r="KQ7" s="60"/>
      <c r="KR7" s="60"/>
      <c r="KS7" s="60"/>
      <c r="KT7" s="60"/>
      <c r="KU7" s="60"/>
      <c r="KV7" s="60"/>
      <c r="KW7" s="60"/>
      <c r="KX7" s="60"/>
      <c r="KY7" s="13" t="str">
        <f t="shared" si="97"/>
        <v/>
      </c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62"/>
      <c r="LF7" s="62"/>
      <c r="LG7" s="62"/>
      <c r="LH7" s="62"/>
      <c r="LI7" s="62"/>
      <c r="LJ7" s="62"/>
      <c r="LK7" s="62"/>
      <c r="LL7" s="62"/>
      <c r="LM7" s="62"/>
      <c r="LN7" s="62"/>
      <c r="LO7" s="62"/>
      <c r="LP7" s="62"/>
      <c r="LQ7" s="62"/>
      <c r="LR7" s="62"/>
      <c r="LS7" s="62"/>
      <c r="LT7" s="17" t="str">
        <f t="shared" si="103"/>
        <v/>
      </c>
      <c r="LU7" s="17" t="str">
        <f t="shared" si="104"/>
        <v/>
      </c>
      <c r="LV7" s="17" t="str">
        <f t="shared" si="105"/>
        <v/>
      </c>
      <c r="LW7" s="17" t="str">
        <f t="shared" si="106"/>
        <v/>
      </c>
      <c r="LX7" s="17" t="str">
        <f t="shared" si="107"/>
        <v/>
      </c>
      <c r="LY7" s="17" t="str">
        <f t="shared" si="108"/>
        <v/>
      </c>
    </row>
    <row r="8" spans="1:337" x14ac:dyDescent="0.2">
      <c r="A8" s="6" t="str">
        <f t="shared" ca="1" si="0"/>
        <v/>
      </c>
      <c r="B8" s="9" t="s">
        <v>20</v>
      </c>
      <c r="C8" s="5" t="s">
        <v>4</v>
      </c>
      <c r="D8" s="46">
        <v>2006</v>
      </c>
      <c r="E8" s="18">
        <f t="shared" si="1"/>
        <v>254.92500000000001</v>
      </c>
      <c r="F8" s="4" t="str">
        <f t="shared" si="2"/>
        <v>P</v>
      </c>
      <c r="G8" s="4" t="str">
        <f t="shared" ca="1" si="3"/>
        <v/>
      </c>
      <c r="H8" t="str">
        <f t="shared" ca="1" si="4"/>
        <v/>
      </c>
      <c r="I8" s="17">
        <f t="shared" si="5"/>
        <v>101.43</v>
      </c>
      <c r="J8" s="17" t="str">
        <f t="shared" si="6"/>
        <v>2017 Nationals</v>
      </c>
      <c r="K8" s="17">
        <f t="shared" si="7"/>
        <v>46.535000000000004</v>
      </c>
      <c r="L8" s="17" t="str">
        <f t="shared" si="8"/>
        <v>2017 3rd Domestic Trial</v>
      </c>
      <c r="M8" s="17">
        <f t="shared" si="9"/>
        <v>53.010000000000005</v>
      </c>
      <c r="N8" s="17" t="str">
        <f t="shared" si="10"/>
        <v>2017 3rd Domestic Trial</v>
      </c>
      <c r="O8" s="17">
        <f t="shared" si="11"/>
        <v>53.949999999999996</v>
      </c>
      <c r="P8" s="17" t="str">
        <f t="shared" si="12"/>
        <v>2017 3rd Domestic Trial</v>
      </c>
      <c r="Q8" s="17" t="str">
        <f t="shared" si="13"/>
        <v/>
      </c>
      <c r="R8" s="44" t="str">
        <f t="shared" si="14"/>
        <v/>
      </c>
      <c r="S8" s="17" t="str">
        <f t="shared" si="15"/>
        <v/>
      </c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13" t="str">
        <f t="shared" si="16"/>
        <v/>
      </c>
      <c r="AJ8" s="13" t="str">
        <f t="shared" si="17"/>
        <v/>
      </c>
      <c r="AK8" s="13" t="str">
        <f t="shared" si="18"/>
        <v/>
      </c>
      <c r="AL8" s="13" t="str">
        <f t="shared" si="19"/>
        <v/>
      </c>
      <c r="AM8" s="13" t="str">
        <f t="shared" si="20"/>
        <v/>
      </c>
      <c r="AN8" s="13" t="str">
        <f t="shared" si="21"/>
        <v/>
      </c>
      <c r="AO8" s="62">
        <v>16</v>
      </c>
      <c r="AP8" s="62">
        <v>9.4</v>
      </c>
      <c r="AQ8" s="62">
        <v>6.5</v>
      </c>
      <c r="AR8" s="62">
        <v>15.555</v>
      </c>
      <c r="AS8" s="62">
        <v>0</v>
      </c>
      <c r="AT8" s="62">
        <v>14.9</v>
      </c>
      <c r="AU8" s="62">
        <v>9.4</v>
      </c>
      <c r="AV8" s="62">
        <v>14.3</v>
      </c>
      <c r="AW8" s="62">
        <v>15.375</v>
      </c>
      <c r="AX8" s="62">
        <v>0</v>
      </c>
      <c r="AY8" s="62">
        <v>14.3</v>
      </c>
      <c r="AZ8" s="62">
        <v>8.6</v>
      </c>
      <c r="BA8" s="62">
        <v>12.6</v>
      </c>
      <c r="BB8" s="62">
        <v>15.28</v>
      </c>
      <c r="BC8" s="62">
        <v>0.6</v>
      </c>
      <c r="BD8" s="17">
        <f t="shared" si="22"/>
        <v>20.8</v>
      </c>
      <c r="BE8" s="17">
        <f t="shared" si="23"/>
        <v>47.454999999999998</v>
      </c>
      <c r="BF8" s="17">
        <f t="shared" si="24"/>
        <v>53.975000000000001</v>
      </c>
      <c r="BG8" s="17">
        <f t="shared" si="25"/>
        <v>101.43</v>
      </c>
      <c r="BH8" s="17">
        <f t="shared" si="26"/>
        <v>50.18</v>
      </c>
      <c r="BI8" s="17">
        <f t="shared" si="27"/>
        <v>151.61000000000001</v>
      </c>
      <c r="BJ8" s="60">
        <v>16.399999999999999</v>
      </c>
      <c r="BK8" s="60">
        <v>8.3000000000000007</v>
      </c>
      <c r="BL8" s="60">
        <v>5.9</v>
      </c>
      <c r="BM8" s="60">
        <v>15.935</v>
      </c>
      <c r="BN8" s="60">
        <v>0</v>
      </c>
      <c r="BO8" s="60">
        <v>15.2</v>
      </c>
      <c r="BP8" s="60">
        <v>8.9</v>
      </c>
      <c r="BQ8" s="60">
        <v>13.5</v>
      </c>
      <c r="BR8" s="60">
        <v>15.41</v>
      </c>
      <c r="BS8" s="60">
        <v>0</v>
      </c>
      <c r="BT8" s="60">
        <v>15.1</v>
      </c>
      <c r="BU8" s="60">
        <v>8.9</v>
      </c>
      <c r="BV8" s="60">
        <v>14.3</v>
      </c>
      <c r="BW8" s="60">
        <v>15.65</v>
      </c>
      <c r="BX8" s="60">
        <v>0</v>
      </c>
      <c r="BY8" s="13">
        <f t="shared" si="28"/>
        <v>19.399999999999999</v>
      </c>
      <c r="BZ8" s="13">
        <f t="shared" si="29"/>
        <v>46.535000000000004</v>
      </c>
      <c r="CA8" s="13">
        <f t="shared" si="30"/>
        <v>53.010000000000005</v>
      </c>
      <c r="CB8" s="13">
        <f t="shared" si="31"/>
        <v>99.545000000000016</v>
      </c>
      <c r="CC8" s="13">
        <f t="shared" si="32"/>
        <v>53.949999999999996</v>
      </c>
      <c r="CD8" s="13">
        <f t="shared" si="33"/>
        <v>153.495</v>
      </c>
      <c r="CE8" s="43" t="str">
        <f t="shared" si="34"/>
        <v/>
      </c>
      <c r="CF8" s="43" t="str">
        <f t="shared" si="35"/>
        <v/>
      </c>
      <c r="CG8" s="43" t="str">
        <f t="shared" si="36"/>
        <v/>
      </c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13" t="str">
        <f t="shared" si="37"/>
        <v/>
      </c>
      <c r="CX8" s="13" t="str">
        <f t="shared" si="38"/>
        <v/>
      </c>
      <c r="CY8" s="13" t="str">
        <f t="shared" si="39"/>
        <v/>
      </c>
      <c r="CZ8" s="13" t="str">
        <f t="shared" si="40"/>
        <v/>
      </c>
      <c r="DA8" s="13" t="str">
        <f t="shared" si="41"/>
        <v/>
      </c>
      <c r="DB8" s="13" t="str">
        <f t="shared" si="42"/>
        <v/>
      </c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17" t="str">
        <f t="shared" si="43"/>
        <v/>
      </c>
      <c r="DS8" s="17" t="str">
        <f t="shared" si="44"/>
        <v/>
      </c>
      <c r="DT8" s="17" t="str">
        <f t="shared" si="45"/>
        <v/>
      </c>
      <c r="DU8" s="17" t="str">
        <f t="shared" si="46"/>
        <v/>
      </c>
      <c r="DV8" s="17" t="str">
        <f t="shared" si="47"/>
        <v/>
      </c>
      <c r="DW8" s="17" t="str">
        <f t="shared" si="48"/>
        <v/>
      </c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13" t="str">
        <f t="shared" si="49"/>
        <v/>
      </c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62"/>
      <c r="ET8" s="62"/>
      <c r="EU8" s="62"/>
      <c r="EV8" s="62"/>
      <c r="EW8" s="62"/>
      <c r="EX8" s="62"/>
      <c r="EY8" s="62"/>
      <c r="EZ8" s="62"/>
      <c r="FA8" s="62"/>
      <c r="FB8" s="62"/>
      <c r="FC8" s="62"/>
      <c r="FD8" s="62"/>
      <c r="FE8" s="62"/>
      <c r="FF8" s="62"/>
      <c r="FG8" s="62"/>
      <c r="FH8" s="17" t="str">
        <f t="shared" si="55"/>
        <v/>
      </c>
      <c r="FI8" s="17" t="str">
        <f t="shared" si="56"/>
        <v/>
      </c>
      <c r="FJ8" s="17" t="str">
        <f t="shared" si="57"/>
        <v/>
      </c>
      <c r="FK8" s="17" t="str">
        <f t="shared" si="58"/>
        <v/>
      </c>
      <c r="FL8" s="17" t="str">
        <f t="shared" si="59"/>
        <v/>
      </c>
      <c r="FM8" s="17" t="str">
        <f t="shared" si="60"/>
        <v/>
      </c>
      <c r="FN8" s="60"/>
      <c r="FO8" s="60"/>
      <c r="FP8" s="60"/>
      <c r="FQ8" s="60"/>
      <c r="FR8" s="60"/>
      <c r="FS8" s="60"/>
      <c r="FT8" s="60"/>
      <c r="FU8" s="60"/>
      <c r="FV8" s="60"/>
      <c r="FW8" s="60"/>
      <c r="FX8" s="60"/>
      <c r="FY8" s="60"/>
      <c r="FZ8" s="60"/>
      <c r="GA8" s="60"/>
      <c r="GB8" s="60"/>
      <c r="GC8" s="13" t="str">
        <f t="shared" si="61"/>
        <v/>
      </c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62"/>
      <c r="GJ8" s="62"/>
      <c r="GK8" s="62"/>
      <c r="GL8" s="62"/>
      <c r="GM8" s="62"/>
      <c r="GN8" s="62"/>
      <c r="GO8" s="62"/>
      <c r="GP8" s="62"/>
      <c r="GQ8" s="62"/>
      <c r="GR8" s="62"/>
      <c r="GS8" s="62"/>
      <c r="GT8" s="62"/>
      <c r="GU8" s="62"/>
      <c r="GV8" s="62"/>
      <c r="GW8" s="62"/>
      <c r="GX8" s="17" t="str">
        <f t="shared" si="67"/>
        <v/>
      </c>
      <c r="GY8" s="17" t="str">
        <f t="shared" si="68"/>
        <v/>
      </c>
      <c r="GZ8" s="17" t="str">
        <f t="shared" si="69"/>
        <v/>
      </c>
      <c r="HA8" s="17" t="str">
        <f t="shared" si="70"/>
        <v/>
      </c>
      <c r="HB8" s="17" t="str">
        <f t="shared" si="71"/>
        <v/>
      </c>
      <c r="HC8" s="17" t="str">
        <f t="shared" si="72"/>
        <v/>
      </c>
      <c r="HD8" s="60"/>
      <c r="HE8" s="60"/>
      <c r="HF8" s="60"/>
      <c r="HG8" s="60"/>
      <c r="HH8" s="60"/>
      <c r="HI8" s="60"/>
      <c r="HJ8" s="60"/>
      <c r="HK8" s="60"/>
      <c r="HL8" s="60"/>
      <c r="HM8" s="60"/>
      <c r="HN8" s="60"/>
      <c r="HO8" s="60"/>
      <c r="HP8" s="60"/>
      <c r="HQ8" s="60"/>
      <c r="HR8" s="60"/>
      <c r="HS8" s="13" t="str">
        <f t="shared" si="73"/>
        <v/>
      </c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62"/>
      <c r="HZ8" s="62"/>
      <c r="IA8" s="62"/>
      <c r="IB8" s="62"/>
      <c r="IC8" s="62"/>
      <c r="ID8" s="62"/>
      <c r="IE8" s="62"/>
      <c r="IF8" s="62"/>
      <c r="IG8" s="62"/>
      <c r="IH8" s="62"/>
      <c r="II8" s="62"/>
      <c r="IJ8" s="62"/>
      <c r="IK8" s="62"/>
      <c r="IL8" s="62"/>
      <c r="IM8" s="62"/>
      <c r="IN8" s="17" t="str">
        <f t="shared" si="79"/>
        <v/>
      </c>
      <c r="IO8" s="17" t="str">
        <f t="shared" si="80"/>
        <v/>
      </c>
      <c r="IP8" s="17" t="str">
        <f t="shared" si="81"/>
        <v/>
      </c>
      <c r="IQ8" s="17" t="str">
        <f t="shared" si="82"/>
        <v/>
      </c>
      <c r="IR8" s="17" t="str">
        <f t="shared" si="83"/>
        <v/>
      </c>
      <c r="IS8" s="17" t="str">
        <f t="shared" si="84"/>
        <v/>
      </c>
      <c r="IT8" s="60"/>
      <c r="IU8" s="60"/>
      <c r="IV8" s="60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13" t="str">
        <f t="shared" si="85"/>
        <v/>
      </c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62"/>
      <c r="JP8" s="62"/>
      <c r="JQ8" s="62"/>
      <c r="JR8" s="62"/>
      <c r="JS8" s="62"/>
      <c r="JT8" s="62"/>
      <c r="JU8" s="62"/>
      <c r="JV8" s="62"/>
      <c r="JW8" s="62"/>
      <c r="JX8" s="62"/>
      <c r="JY8" s="62"/>
      <c r="JZ8" s="62"/>
      <c r="KA8" s="62"/>
      <c r="KB8" s="62"/>
      <c r="KC8" s="62"/>
      <c r="KD8" s="17" t="str">
        <f t="shared" si="91"/>
        <v/>
      </c>
      <c r="KE8" s="17" t="str">
        <f t="shared" si="92"/>
        <v/>
      </c>
      <c r="KF8" s="17" t="str">
        <f t="shared" si="93"/>
        <v/>
      </c>
      <c r="KG8" s="17" t="str">
        <f t="shared" si="94"/>
        <v/>
      </c>
      <c r="KH8" s="17" t="str">
        <f t="shared" si="95"/>
        <v/>
      </c>
      <c r="KI8" s="17" t="str">
        <f t="shared" si="96"/>
        <v/>
      </c>
      <c r="KJ8" s="60"/>
      <c r="KK8" s="60"/>
      <c r="KL8" s="60"/>
      <c r="KM8" s="60"/>
      <c r="KN8" s="60"/>
      <c r="KO8" s="60"/>
      <c r="KP8" s="60"/>
      <c r="KQ8" s="60"/>
      <c r="KR8" s="60"/>
      <c r="KS8" s="60"/>
      <c r="KT8" s="60"/>
      <c r="KU8" s="60"/>
      <c r="KV8" s="60"/>
      <c r="KW8" s="60"/>
      <c r="KX8" s="60"/>
      <c r="KY8" s="13" t="str">
        <f t="shared" si="97"/>
        <v/>
      </c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62"/>
      <c r="LF8" s="62"/>
      <c r="LG8" s="62"/>
      <c r="LH8" s="62"/>
      <c r="LI8" s="62"/>
      <c r="LJ8" s="62"/>
      <c r="LK8" s="62"/>
      <c r="LL8" s="62"/>
      <c r="LM8" s="62"/>
      <c r="LN8" s="62"/>
      <c r="LO8" s="62"/>
      <c r="LP8" s="62"/>
      <c r="LQ8" s="62"/>
      <c r="LR8" s="62"/>
      <c r="LS8" s="62"/>
      <c r="LT8" s="17" t="str">
        <f t="shared" si="103"/>
        <v/>
      </c>
      <c r="LU8" s="17" t="str">
        <f t="shared" si="104"/>
        <v/>
      </c>
      <c r="LV8" s="17" t="str">
        <f t="shared" si="105"/>
        <v/>
      </c>
      <c r="LW8" s="17" t="str">
        <f t="shared" si="106"/>
        <v/>
      </c>
      <c r="LX8" s="17" t="str">
        <f t="shared" si="107"/>
        <v/>
      </c>
      <c r="LY8" s="17" t="str">
        <f t="shared" si="108"/>
        <v/>
      </c>
    </row>
    <row r="9" spans="1:337" x14ac:dyDescent="0.2">
      <c r="A9" s="6" t="str">
        <f t="shared" ca="1" si="0"/>
        <v/>
      </c>
      <c r="B9" s="9" t="s">
        <v>59</v>
      </c>
      <c r="C9" s="5" t="s">
        <v>8</v>
      </c>
      <c r="D9" s="8">
        <v>2014</v>
      </c>
      <c r="E9" s="18">
        <f t="shared" si="1"/>
        <v>254.82000000000002</v>
      </c>
      <c r="F9" s="4" t="str">
        <f t="shared" si="2"/>
        <v>P</v>
      </c>
      <c r="G9" s="4" t="str">
        <f t="shared" ca="1" si="3"/>
        <v/>
      </c>
      <c r="H9" t="str">
        <f t="shared" ca="1" si="4"/>
        <v/>
      </c>
      <c r="I9" s="17">
        <f t="shared" si="5"/>
        <v>100.41200000000001</v>
      </c>
      <c r="J9" s="17" t="str">
        <f t="shared" si="6"/>
        <v>2017 Canada Cup</v>
      </c>
      <c r="K9" s="17">
        <f t="shared" si="7"/>
        <v>50.389000000000003</v>
      </c>
      <c r="L9" s="17" t="str">
        <f t="shared" si="8"/>
        <v>2017 Nationals</v>
      </c>
      <c r="M9" s="17">
        <f t="shared" si="9"/>
        <v>48.606999999999999</v>
      </c>
      <c r="N9" s="17" t="str">
        <f t="shared" si="10"/>
        <v>2017 3rd Domestic Trial</v>
      </c>
      <c r="O9" s="17">
        <f t="shared" si="11"/>
        <v>55.412000000000006</v>
      </c>
      <c r="P9" s="17" t="str">
        <f t="shared" si="12"/>
        <v>2017 Canada Cup</v>
      </c>
      <c r="Q9" s="17" t="str">
        <f t="shared" si="13"/>
        <v/>
      </c>
      <c r="R9" s="44" t="str">
        <f t="shared" si="14"/>
        <v/>
      </c>
      <c r="S9" s="17" t="str">
        <f t="shared" si="15"/>
        <v/>
      </c>
      <c r="T9" s="71">
        <f>33-20.8</f>
        <v>12.2</v>
      </c>
      <c r="U9" s="71">
        <v>0</v>
      </c>
      <c r="V9" s="71">
        <v>20.8</v>
      </c>
      <c r="W9" s="71">
        <v>17.358000000000001</v>
      </c>
      <c r="X9" s="71">
        <v>0</v>
      </c>
      <c r="Y9" s="71">
        <v>35.024999999999999</v>
      </c>
      <c r="Z9" s="71">
        <v>0</v>
      </c>
      <c r="AA9" s="71">
        <v>0</v>
      </c>
      <c r="AB9" s="71">
        <v>15.029</v>
      </c>
      <c r="AC9" s="71">
        <v>0</v>
      </c>
      <c r="AD9" s="71">
        <v>38.825000000000003</v>
      </c>
      <c r="AE9" s="71">
        <v>0</v>
      </c>
      <c r="AF9" s="71">
        <v>0</v>
      </c>
      <c r="AG9" s="71">
        <v>16.587</v>
      </c>
      <c r="AH9" s="71">
        <v>0</v>
      </c>
      <c r="AI9" s="13">
        <f t="shared" si="16"/>
        <v>20.8</v>
      </c>
      <c r="AJ9" s="13">
        <f t="shared" si="17"/>
        <v>50.358000000000004</v>
      </c>
      <c r="AK9" s="13">
        <f t="shared" si="18"/>
        <v>50.054000000000002</v>
      </c>
      <c r="AL9" s="13">
        <f t="shared" si="19"/>
        <v>100.41200000000001</v>
      </c>
      <c r="AM9" s="13">
        <f t="shared" si="20"/>
        <v>55.412000000000006</v>
      </c>
      <c r="AN9" s="13">
        <f t="shared" si="21"/>
        <v>155.82400000000001</v>
      </c>
      <c r="AO9" s="74">
        <f>50.389-20.8</f>
        <v>29.589000000000002</v>
      </c>
      <c r="AP9" s="74">
        <v>0</v>
      </c>
      <c r="AQ9" s="74">
        <v>20.8</v>
      </c>
      <c r="AR9" s="74">
        <v>0</v>
      </c>
      <c r="AS9" s="74">
        <v>0</v>
      </c>
      <c r="AT9" s="74">
        <v>47.161000000000001</v>
      </c>
      <c r="AU9" s="74">
        <v>0</v>
      </c>
      <c r="AV9" s="74">
        <v>0</v>
      </c>
      <c r="AW9" s="74">
        <v>0</v>
      </c>
      <c r="AX9" s="74">
        <v>0</v>
      </c>
      <c r="AY9" s="74">
        <v>53.972000000000001</v>
      </c>
      <c r="AZ9" s="74">
        <v>0</v>
      </c>
      <c r="BA9" s="74">
        <v>0</v>
      </c>
      <c r="BB9" s="74">
        <v>0</v>
      </c>
      <c r="BC9" s="74">
        <v>0</v>
      </c>
      <c r="BD9" s="17">
        <f t="shared" si="22"/>
        <v>20.8</v>
      </c>
      <c r="BE9" s="17">
        <f t="shared" si="23"/>
        <v>50.389000000000003</v>
      </c>
      <c r="BF9" s="17">
        <f t="shared" si="24"/>
        <v>47.161000000000001</v>
      </c>
      <c r="BG9" s="17">
        <f t="shared" si="25"/>
        <v>97.550000000000011</v>
      </c>
      <c r="BH9" s="17">
        <f t="shared" si="26"/>
        <v>53.972000000000001</v>
      </c>
      <c r="BI9" s="17">
        <f t="shared" si="27"/>
        <v>151.52200000000002</v>
      </c>
      <c r="BJ9" s="61">
        <f>50.373-20.8</f>
        <v>29.572999999999997</v>
      </c>
      <c r="BK9" s="61">
        <v>0</v>
      </c>
      <c r="BL9" s="61">
        <v>20.8</v>
      </c>
      <c r="BM9" s="61">
        <v>0</v>
      </c>
      <c r="BN9" s="61">
        <v>0</v>
      </c>
      <c r="BO9" s="61">
        <v>48.606999999999999</v>
      </c>
      <c r="BP9" s="61">
        <v>0</v>
      </c>
      <c r="BQ9" s="61">
        <v>0</v>
      </c>
      <c r="BR9" s="61">
        <v>0</v>
      </c>
      <c r="BS9" s="61">
        <v>0</v>
      </c>
      <c r="BT9" s="61">
        <v>54.192</v>
      </c>
      <c r="BU9" s="61">
        <v>0</v>
      </c>
      <c r="BV9" s="61">
        <v>0</v>
      </c>
      <c r="BW9" s="61">
        <v>0</v>
      </c>
      <c r="BX9" s="61">
        <v>0</v>
      </c>
      <c r="BY9" s="13">
        <f t="shared" si="28"/>
        <v>20.8</v>
      </c>
      <c r="BZ9" s="13">
        <f t="shared" si="29"/>
        <v>50.372999999999998</v>
      </c>
      <c r="CA9" s="13">
        <f t="shared" si="30"/>
        <v>48.606999999999999</v>
      </c>
      <c r="CB9" s="13">
        <f t="shared" si="31"/>
        <v>98.97999999999999</v>
      </c>
      <c r="CC9" s="13">
        <f t="shared" si="32"/>
        <v>54.192</v>
      </c>
      <c r="CD9" s="13">
        <f t="shared" si="33"/>
        <v>153.172</v>
      </c>
      <c r="CE9" s="43" t="str">
        <f t="shared" si="34"/>
        <v/>
      </c>
      <c r="CF9" s="43" t="str">
        <f t="shared" si="35"/>
        <v/>
      </c>
      <c r="CG9" s="43" t="str">
        <f t="shared" si="36"/>
        <v/>
      </c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13" t="str">
        <f t="shared" si="37"/>
        <v/>
      </c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17" t="str">
        <f t="shared" si="43"/>
        <v/>
      </c>
      <c r="DS9" s="17" t="str">
        <f t="shared" si="44"/>
        <v/>
      </c>
      <c r="DT9" s="17" t="str">
        <f t="shared" si="45"/>
        <v/>
      </c>
      <c r="DU9" s="17" t="str">
        <f t="shared" si="46"/>
        <v/>
      </c>
      <c r="DV9" s="17" t="str">
        <f t="shared" si="47"/>
        <v/>
      </c>
      <c r="DW9" s="17" t="str">
        <f t="shared" si="48"/>
        <v/>
      </c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13" t="str">
        <f t="shared" si="49"/>
        <v/>
      </c>
      <c r="EN9" s="13" t="str">
        <f t="shared" si="50"/>
        <v/>
      </c>
      <c r="EO9" s="13" t="str">
        <f t="shared" si="51"/>
        <v/>
      </c>
      <c r="EP9" s="13" t="str">
        <f t="shared" si="52"/>
        <v/>
      </c>
      <c r="EQ9" s="13" t="str">
        <f t="shared" si="53"/>
        <v/>
      </c>
      <c r="ER9" s="13" t="str">
        <f t="shared" si="54"/>
        <v/>
      </c>
      <c r="ES9" s="62"/>
      <c r="ET9" s="62"/>
      <c r="EU9" s="62"/>
      <c r="EV9" s="62"/>
      <c r="EW9" s="62"/>
      <c r="EX9" s="62"/>
      <c r="EY9" s="62"/>
      <c r="EZ9" s="62"/>
      <c r="FA9" s="62"/>
      <c r="FB9" s="62"/>
      <c r="FC9" s="62"/>
      <c r="FD9" s="62"/>
      <c r="FE9" s="62"/>
      <c r="FF9" s="62"/>
      <c r="FG9" s="62"/>
      <c r="FH9" s="17" t="str">
        <f t="shared" si="55"/>
        <v/>
      </c>
      <c r="FI9" s="17" t="str">
        <f t="shared" si="56"/>
        <v/>
      </c>
      <c r="FJ9" s="17" t="str">
        <f t="shared" si="57"/>
        <v/>
      </c>
      <c r="FK9" s="17" t="str">
        <f t="shared" si="58"/>
        <v/>
      </c>
      <c r="FL9" s="17" t="str">
        <f t="shared" si="59"/>
        <v/>
      </c>
      <c r="FM9" s="17" t="str">
        <f t="shared" si="60"/>
        <v/>
      </c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13" t="str">
        <f t="shared" si="61"/>
        <v/>
      </c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62"/>
      <c r="GJ9" s="62"/>
      <c r="GK9" s="62"/>
      <c r="GL9" s="62"/>
      <c r="GM9" s="62"/>
      <c r="GN9" s="62"/>
      <c r="GO9" s="62"/>
      <c r="GP9" s="62"/>
      <c r="GQ9" s="62"/>
      <c r="GR9" s="62"/>
      <c r="GS9" s="62"/>
      <c r="GT9" s="62"/>
      <c r="GU9" s="62"/>
      <c r="GV9" s="62"/>
      <c r="GW9" s="62"/>
      <c r="GX9" s="17" t="str">
        <f t="shared" si="67"/>
        <v/>
      </c>
      <c r="GY9" s="17" t="str">
        <f t="shared" si="68"/>
        <v/>
      </c>
      <c r="GZ9" s="17" t="str">
        <f t="shared" si="69"/>
        <v/>
      </c>
      <c r="HA9" s="17" t="str">
        <f t="shared" si="70"/>
        <v/>
      </c>
      <c r="HB9" s="17" t="str">
        <f t="shared" si="71"/>
        <v/>
      </c>
      <c r="HC9" s="17" t="str">
        <f t="shared" si="72"/>
        <v/>
      </c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13" t="str">
        <f t="shared" si="73"/>
        <v/>
      </c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62"/>
      <c r="HZ9" s="62"/>
      <c r="IA9" s="62"/>
      <c r="IB9" s="62"/>
      <c r="IC9" s="62"/>
      <c r="ID9" s="62"/>
      <c r="IE9" s="62"/>
      <c r="IF9" s="62"/>
      <c r="IG9" s="62"/>
      <c r="IH9" s="62"/>
      <c r="II9" s="62"/>
      <c r="IJ9" s="62"/>
      <c r="IK9" s="62"/>
      <c r="IL9" s="62"/>
      <c r="IM9" s="62"/>
      <c r="IN9" s="17" t="str">
        <f t="shared" si="79"/>
        <v/>
      </c>
      <c r="IO9" s="17" t="str">
        <f t="shared" si="80"/>
        <v/>
      </c>
      <c r="IP9" s="17" t="str">
        <f t="shared" si="81"/>
        <v/>
      </c>
      <c r="IQ9" s="17" t="str">
        <f t="shared" si="82"/>
        <v/>
      </c>
      <c r="IR9" s="17" t="str">
        <f t="shared" si="83"/>
        <v/>
      </c>
      <c r="IS9" s="17" t="str">
        <f t="shared" si="84"/>
        <v/>
      </c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13" t="str">
        <f t="shared" si="85"/>
        <v/>
      </c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62"/>
      <c r="JP9" s="62"/>
      <c r="JQ9" s="62"/>
      <c r="JR9" s="62"/>
      <c r="JS9" s="62"/>
      <c r="JT9" s="62"/>
      <c r="JU9" s="62"/>
      <c r="JV9" s="62"/>
      <c r="JW9" s="62"/>
      <c r="JX9" s="62"/>
      <c r="JY9" s="62"/>
      <c r="JZ9" s="62"/>
      <c r="KA9" s="62"/>
      <c r="KB9" s="62"/>
      <c r="KC9" s="62"/>
      <c r="KD9" s="17" t="str">
        <f t="shared" si="91"/>
        <v/>
      </c>
      <c r="KE9" s="17" t="str">
        <f t="shared" si="92"/>
        <v/>
      </c>
      <c r="KF9" s="17" t="str">
        <f t="shared" si="93"/>
        <v/>
      </c>
      <c r="KG9" s="17" t="str">
        <f t="shared" si="94"/>
        <v/>
      </c>
      <c r="KH9" s="17" t="str">
        <f t="shared" si="95"/>
        <v/>
      </c>
      <c r="KI9" s="17" t="str">
        <f t="shared" si="96"/>
        <v/>
      </c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13" t="str">
        <f t="shared" si="97"/>
        <v/>
      </c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62"/>
      <c r="LF9" s="62"/>
      <c r="LG9" s="62"/>
      <c r="LH9" s="62"/>
      <c r="LI9" s="62"/>
      <c r="LJ9" s="62"/>
      <c r="LK9" s="62"/>
      <c r="LL9" s="62"/>
      <c r="LM9" s="62"/>
      <c r="LN9" s="62"/>
      <c r="LO9" s="62"/>
      <c r="LP9" s="62"/>
      <c r="LQ9" s="62"/>
      <c r="LR9" s="62"/>
      <c r="LS9" s="62"/>
      <c r="LT9" s="17" t="str">
        <f t="shared" si="103"/>
        <v/>
      </c>
      <c r="LU9" s="17" t="str">
        <f t="shared" si="104"/>
        <v/>
      </c>
      <c r="LV9" s="17" t="str">
        <f t="shared" si="105"/>
        <v/>
      </c>
      <c r="LW9" s="17" t="str">
        <f t="shared" si="106"/>
        <v/>
      </c>
      <c r="LX9" s="17" t="str">
        <f t="shared" si="107"/>
        <v/>
      </c>
      <c r="LY9" s="17" t="str">
        <f t="shared" si="108"/>
        <v/>
      </c>
    </row>
    <row r="10" spans="1:337" x14ac:dyDescent="0.2">
      <c r="A10" s="6" t="str">
        <f t="shared" ca="1" si="0"/>
        <v/>
      </c>
      <c r="B10" s="7" t="s">
        <v>10</v>
      </c>
      <c r="C10" s="8" t="s">
        <v>4</v>
      </c>
      <c r="D10" s="6">
        <v>2012</v>
      </c>
      <c r="E10" s="18">
        <f t="shared" si="1"/>
        <v>254.77</v>
      </c>
      <c r="F10" s="4" t="str">
        <f t="shared" si="2"/>
        <v>P</v>
      </c>
      <c r="G10" s="4" t="str">
        <f t="shared" ca="1" si="3"/>
        <v/>
      </c>
      <c r="H10" t="str">
        <f t="shared" ca="1" si="4"/>
        <v/>
      </c>
      <c r="I10" s="17">
        <f t="shared" si="5"/>
        <v>104.07</v>
      </c>
      <c r="J10" s="17" t="str">
        <f t="shared" si="6"/>
        <v>2017 Nationals</v>
      </c>
      <c r="K10" s="17">
        <f t="shared" si="7"/>
        <v>49.114999999999995</v>
      </c>
      <c r="L10" s="17" t="str">
        <f t="shared" si="8"/>
        <v>2017 3rd Domestic Trial</v>
      </c>
      <c r="M10" s="17">
        <f t="shared" si="9"/>
        <v>43.63</v>
      </c>
      <c r="N10" s="17" t="str">
        <f t="shared" si="10"/>
        <v>2017 Canada Cup</v>
      </c>
      <c r="O10" s="17">
        <f t="shared" si="11"/>
        <v>55.71</v>
      </c>
      <c r="P10" s="17" t="str">
        <f t="shared" si="12"/>
        <v>2017 Nationals</v>
      </c>
      <c r="Q10" s="17">
        <f t="shared" si="13"/>
        <v>2.2449999999999974</v>
      </c>
      <c r="R10" s="44" t="str">
        <f t="shared" si="14"/>
        <v>(Vol 2)</v>
      </c>
      <c r="S10" s="17" t="str">
        <f t="shared" si="15"/>
        <v>2017 World Cup ESP (Oct)</v>
      </c>
      <c r="T10" s="60">
        <v>17.600000000000001</v>
      </c>
      <c r="U10" s="60">
        <v>9</v>
      </c>
      <c r="V10" s="60">
        <v>5.6</v>
      </c>
      <c r="W10" s="60">
        <v>16.62</v>
      </c>
      <c r="X10" s="60">
        <v>0</v>
      </c>
      <c r="Y10" s="60">
        <v>11.1</v>
      </c>
      <c r="Z10" s="60">
        <v>7</v>
      </c>
      <c r="AA10" s="60">
        <v>12.7</v>
      </c>
      <c r="AB10" s="60">
        <v>12.83</v>
      </c>
      <c r="AC10" s="60">
        <v>0</v>
      </c>
      <c r="AD10" s="60">
        <v>14.1</v>
      </c>
      <c r="AE10" s="60">
        <v>8</v>
      </c>
      <c r="AF10" s="60">
        <v>13.6</v>
      </c>
      <c r="AG10" s="60">
        <v>14.34</v>
      </c>
      <c r="AH10" s="60">
        <v>0</v>
      </c>
      <c r="AI10" s="13">
        <f t="shared" si="16"/>
        <v>18.299999999999997</v>
      </c>
      <c r="AJ10" s="13">
        <f t="shared" si="17"/>
        <v>48.820000000000007</v>
      </c>
      <c r="AK10" s="13">
        <f t="shared" si="18"/>
        <v>43.63</v>
      </c>
      <c r="AL10" s="13">
        <f t="shared" si="19"/>
        <v>92.450000000000017</v>
      </c>
      <c r="AM10" s="13">
        <f t="shared" si="20"/>
        <v>50.040000000000006</v>
      </c>
      <c r="AN10" s="13">
        <f t="shared" si="21"/>
        <v>142.49</v>
      </c>
      <c r="AO10" s="62">
        <v>17.7</v>
      </c>
      <c r="AP10" s="62">
        <v>8.8000000000000007</v>
      </c>
      <c r="AQ10" s="62">
        <v>5.8</v>
      </c>
      <c r="AR10" s="62">
        <v>16.579999999999998</v>
      </c>
      <c r="AS10" s="62">
        <v>0</v>
      </c>
      <c r="AT10" s="62">
        <v>14.6</v>
      </c>
      <c r="AU10" s="62">
        <v>9.1999999999999993</v>
      </c>
      <c r="AV10" s="62">
        <v>15.6</v>
      </c>
      <c r="AW10" s="62">
        <v>15.79</v>
      </c>
      <c r="AX10" s="62">
        <v>0</v>
      </c>
      <c r="AY10" s="62">
        <v>15.3</v>
      </c>
      <c r="AZ10" s="62">
        <v>9.1</v>
      </c>
      <c r="BA10" s="62">
        <v>15.6</v>
      </c>
      <c r="BB10" s="62">
        <v>15.71</v>
      </c>
      <c r="BC10" s="62">
        <v>0</v>
      </c>
      <c r="BD10" s="17">
        <f t="shared" si="22"/>
        <v>21.4</v>
      </c>
      <c r="BE10" s="17">
        <f t="shared" si="23"/>
        <v>48.879999999999995</v>
      </c>
      <c r="BF10" s="17">
        <f t="shared" si="24"/>
        <v>55.19</v>
      </c>
      <c r="BG10" s="17">
        <f t="shared" si="25"/>
        <v>104.07</v>
      </c>
      <c r="BH10" s="17">
        <f t="shared" si="26"/>
        <v>55.71</v>
      </c>
      <c r="BI10" s="17">
        <f t="shared" si="27"/>
        <v>159.78</v>
      </c>
      <c r="BJ10" s="60">
        <v>17.399999999999999</v>
      </c>
      <c r="BK10" s="60">
        <v>9</v>
      </c>
      <c r="BL10" s="60">
        <v>5.6</v>
      </c>
      <c r="BM10" s="60">
        <v>17.114999999999998</v>
      </c>
      <c r="BN10" s="60">
        <v>0</v>
      </c>
      <c r="BO10" s="60">
        <v>9.8000000000000007</v>
      </c>
      <c r="BP10" s="60">
        <v>5.4</v>
      </c>
      <c r="BQ10" s="60">
        <v>9.8000000000000007</v>
      </c>
      <c r="BR10" s="60">
        <v>10.095000000000001</v>
      </c>
      <c r="BS10" s="60">
        <v>0.2</v>
      </c>
      <c r="BT10" s="60">
        <v>13.7</v>
      </c>
      <c r="BU10" s="60">
        <v>8.9</v>
      </c>
      <c r="BV10" s="60">
        <v>15.4</v>
      </c>
      <c r="BW10" s="60">
        <v>15.565</v>
      </c>
      <c r="BX10" s="60">
        <v>0</v>
      </c>
      <c r="BY10" s="13">
        <f t="shared" si="28"/>
        <v>15.4</v>
      </c>
      <c r="BZ10" s="13">
        <f t="shared" si="29"/>
        <v>49.114999999999995</v>
      </c>
      <c r="CA10" s="13">
        <f t="shared" si="30"/>
        <v>34.894999999999996</v>
      </c>
      <c r="CB10" s="13">
        <f t="shared" si="31"/>
        <v>84.009999999999991</v>
      </c>
      <c r="CC10" s="13">
        <f t="shared" si="32"/>
        <v>53.564999999999998</v>
      </c>
      <c r="CD10" s="13">
        <f t="shared" si="33"/>
        <v>137.57499999999999</v>
      </c>
      <c r="CE10" s="43" t="str">
        <f t="shared" si="34"/>
        <v/>
      </c>
      <c r="CF10" s="43">
        <f t="shared" si="35"/>
        <v>2.2449999999999974</v>
      </c>
      <c r="CG10" s="43" t="str">
        <f t="shared" si="36"/>
        <v/>
      </c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13" t="str">
        <f t="shared" si="37"/>
        <v/>
      </c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17" t="str">
        <f t="shared" si="43"/>
        <v/>
      </c>
      <c r="DS10" s="17" t="str">
        <f t="shared" si="44"/>
        <v/>
      </c>
      <c r="DT10" s="17" t="str">
        <f t="shared" si="45"/>
        <v/>
      </c>
      <c r="DU10" s="17" t="str">
        <f t="shared" si="46"/>
        <v/>
      </c>
      <c r="DV10" s="17" t="str">
        <f t="shared" si="47"/>
        <v/>
      </c>
      <c r="DW10" s="17" t="str">
        <f t="shared" si="48"/>
        <v/>
      </c>
      <c r="DX10" s="60">
        <v>15.9</v>
      </c>
      <c r="DY10" s="60">
        <v>8.6999999999999993</v>
      </c>
      <c r="DZ10" s="60">
        <v>6.2</v>
      </c>
      <c r="EA10" s="60">
        <v>16.954999999999998</v>
      </c>
      <c r="EB10" s="60">
        <v>0</v>
      </c>
      <c r="EC10" s="60">
        <v>13.1</v>
      </c>
      <c r="ED10" s="60">
        <v>8.6</v>
      </c>
      <c r="EE10" s="60">
        <v>9.1999999999999993</v>
      </c>
      <c r="EF10" s="60">
        <v>14.975</v>
      </c>
      <c r="EG10" s="60">
        <v>0</v>
      </c>
      <c r="EH10" s="60"/>
      <c r="EI10" s="60"/>
      <c r="EJ10" s="60"/>
      <c r="EK10" s="60"/>
      <c r="EL10" s="60"/>
      <c r="EM10" s="13">
        <f t="shared" si="49"/>
        <v>15.399999999999999</v>
      </c>
      <c r="EN10" s="13">
        <f t="shared" si="50"/>
        <v>47.754999999999995</v>
      </c>
      <c r="EO10" s="13">
        <f t="shared" si="51"/>
        <v>45.875</v>
      </c>
      <c r="EP10" s="13">
        <f t="shared" si="52"/>
        <v>93.63</v>
      </c>
      <c r="EQ10" s="13" t="str">
        <f t="shared" si="53"/>
        <v/>
      </c>
      <c r="ER10" s="13">
        <f t="shared" si="54"/>
        <v>93.63</v>
      </c>
      <c r="ES10" s="62"/>
      <c r="ET10" s="62"/>
      <c r="EU10" s="62"/>
      <c r="EV10" s="62"/>
      <c r="EW10" s="62"/>
      <c r="EX10" s="62"/>
      <c r="EY10" s="62"/>
      <c r="EZ10" s="62"/>
      <c r="FA10" s="62"/>
      <c r="FB10" s="62"/>
      <c r="FC10" s="62"/>
      <c r="FD10" s="62"/>
      <c r="FE10" s="62"/>
      <c r="FF10" s="62"/>
      <c r="FG10" s="62"/>
      <c r="FH10" s="17" t="str">
        <f t="shared" si="55"/>
        <v/>
      </c>
      <c r="FI10" s="17" t="str">
        <f t="shared" si="56"/>
        <v/>
      </c>
      <c r="FJ10" s="17" t="str">
        <f t="shared" si="57"/>
        <v/>
      </c>
      <c r="FK10" s="17" t="str">
        <f t="shared" si="58"/>
        <v/>
      </c>
      <c r="FL10" s="17" t="str">
        <f t="shared" si="59"/>
        <v/>
      </c>
      <c r="FM10" s="17" t="str">
        <f t="shared" si="60"/>
        <v/>
      </c>
      <c r="FN10" s="60"/>
      <c r="FO10" s="60"/>
      <c r="FP10" s="60"/>
      <c r="FQ10" s="60"/>
      <c r="FR10" s="60"/>
      <c r="FS10" s="60"/>
      <c r="FT10" s="60"/>
      <c r="FU10" s="60"/>
      <c r="FV10" s="60"/>
      <c r="FW10" s="60"/>
      <c r="FX10" s="60"/>
      <c r="FY10" s="60"/>
      <c r="FZ10" s="60"/>
      <c r="GA10" s="60"/>
      <c r="GB10" s="60"/>
      <c r="GC10" s="13" t="str">
        <f t="shared" si="61"/>
        <v/>
      </c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62"/>
      <c r="GJ10" s="62"/>
      <c r="GK10" s="62"/>
      <c r="GL10" s="62"/>
      <c r="GM10" s="62"/>
      <c r="GN10" s="62"/>
      <c r="GO10" s="62"/>
      <c r="GP10" s="62"/>
      <c r="GQ10" s="62"/>
      <c r="GR10" s="62"/>
      <c r="GS10" s="62"/>
      <c r="GT10" s="62"/>
      <c r="GU10" s="62"/>
      <c r="GV10" s="62"/>
      <c r="GW10" s="62"/>
      <c r="GX10" s="17" t="str">
        <f t="shared" si="67"/>
        <v/>
      </c>
      <c r="GY10" s="17" t="str">
        <f t="shared" si="68"/>
        <v/>
      </c>
      <c r="GZ10" s="17" t="str">
        <f t="shared" si="69"/>
        <v/>
      </c>
      <c r="HA10" s="17" t="str">
        <f t="shared" si="70"/>
        <v/>
      </c>
      <c r="HB10" s="17" t="str">
        <f t="shared" si="71"/>
        <v/>
      </c>
      <c r="HC10" s="17" t="str">
        <f t="shared" si="72"/>
        <v/>
      </c>
      <c r="HD10" s="60"/>
      <c r="HE10" s="60"/>
      <c r="HF10" s="60"/>
      <c r="HG10" s="60"/>
      <c r="HH10" s="60"/>
      <c r="HI10" s="60"/>
      <c r="HJ10" s="60"/>
      <c r="HK10" s="60"/>
      <c r="HL10" s="60"/>
      <c r="HM10" s="60"/>
      <c r="HN10" s="60"/>
      <c r="HO10" s="60"/>
      <c r="HP10" s="60"/>
      <c r="HQ10" s="60"/>
      <c r="HR10" s="60"/>
      <c r="HS10" s="13" t="str">
        <f t="shared" si="73"/>
        <v/>
      </c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62"/>
      <c r="HZ10" s="62"/>
      <c r="IA10" s="62"/>
      <c r="IB10" s="62"/>
      <c r="IC10" s="62"/>
      <c r="ID10" s="62"/>
      <c r="IE10" s="62"/>
      <c r="IF10" s="62"/>
      <c r="IG10" s="62"/>
      <c r="IH10" s="62"/>
      <c r="II10" s="62"/>
      <c r="IJ10" s="62"/>
      <c r="IK10" s="62"/>
      <c r="IL10" s="62"/>
      <c r="IM10" s="62"/>
      <c r="IN10" s="17" t="str">
        <f t="shared" si="79"/>
        <v/>
      </c>
      <c r="IO10" s="17" t="str">
        <f t="shared" si="80"/>
        <v/>
      </c>
      <c r="IP10" s="17" t="str">
        <f t="shared" si="81"/>
        <v/>
      </c>
      <c r="IQ10" s="17" t="str">
        <f t="shared" si="82"/>
        <v/>
      </c>
      <c r="IR10" s="17" t="str">
        <f t="shared" si="83"/>
        <v/>
      </c>
      <c r="IS10" s="17" t="str">
        <f t="shared" si="84"/>
        <v/>
      </c>
      <c r="IT10" s="60"/>
      <c r="IU10" s="60"/>
      <c r="IV10" s="60"/>
      <c r="IW10" s="60"/>
      <c r="IX10" s="60"/>
      <c r="IY10" s="60"/>
      <c r="IZ10" s="60"/>
      <c r="JA10" s="60"/>
      <c r="JB10" s="60"/>
      <c r="JC10" s="60"/>
      <c r="JD10" s="60"/>
      <c r="JE10" s="60"/>
      <c r="JF10" s="60"/>
      <c r="JG10" s="60"/>
      <c r="JH10" s="60"/>
      <c r="JI10" s="13" t="str">
        <f t="shared" si="85"/>
        <v/>
      </c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62"/>
      <c r="JP10" s="62"/>
      <c r="JQ10" s="62"/>
      <c r="JR10" s="62"/>
      <c r="JS10" s="62"/>
      <c r="JT10" s="62"/>
      <c r="JU10" s="62"/>
      <c r="JV10" s="62"/>
      <c r="JW10" s="62"/>
      <c r="JX10" s="62"/>
      <c r="JY10" s="62"/>
      <c r="JZ10" s="62"/>
      <c r="KA10" s="62"/>
      <c r="KB10" s="62"/>
      <c r="KC10" s="62"/>
      <c r="KD10" s="17" t="str">
        <f t="shared" si="91"/>
        <v/>
      </c>
      <c r="KE10" s="17" t="str">
        <f t="shared" si="92"/>
        <v/>
      </c>
      <c r="KF10" s="17" t="str">
        <f t="shared" si="93"/>
        <v/>
      </c>
      <c r="KG10" s="17" t="str">
        <f t="shared" si="94"/>
        <v/>
      </c>
      <c r="KH10" s="17" t="str">
        <f t="shared" si="95"/>
        <v/>
      </c>
      <c r="KI10" s="17" t="str">
        <f t="shared" si="96"/>
        <v/>
      </c>
      <c r="KJ10" s="60"/>
      <c r="KK10" s="60"/>
      <c r="KL10" s="60"/>
      <c r="KM10" s="60"/>
      <c r="KN10" s="60"/>
      <c r="KO10" s="60"/>
      <c r="KP10" s="60"/>
      <c r="KQ10" s="60"/>
      <c r="KR10" s="60"/>
      <c r="KS10" s="60"/>
      <c r="KT10" s="60"/>
      <c r="KU10" s="60"/>
      <c r="KV10" s="60"/>
      <c r="KW10" s="60"/>
      <c r="KX10" s="60"/>
      <c r="KY10" s="13" t="str">
        <f t="shared" si="97"/>
        <v/>
      </c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62"/>
      <c r="LF10" s="62"/>
      <c r="LG10" s="62"/>
      <c r="LH10" s="62"/>
      <c r="LI10" s="62"/>
      <c r="LJ10" s="62"/>
      <c r="LK10" s="62"/>
      <c r="LL10" s="62"/>
      <c r="LM10" s="62"/>
      <c r="LN10" s="62"/>
      <c r="LO10" s="62"/>
      <c r="LP10" s="62"/>
      <c r="LQ10" s="62"/>
      <c r="LR10" s="62"/>
      <c r="LS10" s="62"/>
      <c r="LT10" s="17" t="str">
        <f t="shared" si="103"/>
        <v/>
      </c>
      <c r="LU10" s="17" t="str">
        <f t="shared" si="104"/>
        <v/>
      </c>
      <c r="LV10" s="17" t="str">
        <f t="shared" si="105"/>
        <v/>
      </c>
      <c r="LW10" s="17" t="str">
        <f t="shared" si="106"/>
        <v/>
      </c>
      <c r="LX10" s="17" t="str">
        <f t="shared" si="107"/>
        <v/>
      </c>
      <c r="LY10" s="17" t="str">
        <f t="shared" si="108"/>
        <v/>
      </c>
    </row>
    <row r="11" spans="1:337" x14ac:dyDescent="0.2">
      <c r="A11" s="6" t="str">
        <f t="shared" ca="1" si="0"/>
        <v/>
      </c>
      <c r="B11" s="7" t="s">
        <v>16</v>
      </c>
      <c r="C11" s="8" t="s">
        <v>4</v>
      </c>
      <c r="D11" s="6">
        <v>2006</v>
      </c>
      <c r="E11" s="18">
        <f t="shared" si="1"/>
        <v>252.95999999999998</v>
      </c>
      <c r="F11" s="4" t="str">
        <f t="shared" si="2"/>
        <v>P</v>
      </c>
      <c r="G11" s="4" t="str">
        <f t="shared" ca="1" si="3"/>
        <v/>
      </c>
      <c r="H11" t="str">
        <f t="shared" ca="1" si="4"/>
        <v/>
      </c>
      <c r="I11" s="17">
        <f t="shared" si="5"/>
        <v>101.765</v>
      </c>
      <c r="J11" s="17" t="str">
        <f t="shared" si="6"/>
        <v>2017 Canada Cup</v>
      </c>
      <c r="K11" s="17">
        <f t="shared" si="7"/>
        <v>48.484999999999999</v>
      </c>
      <c r="L11" s="17" t="str">
        <f t="shared" si="8"/>
        <v>2017 3rd Domestic Trial</v>
      </c>
      <c r="M11" s="17">
        <f t="shared" si="9"/>
        <v>50.069999999999993</v>
      </c>
      <c r="N11" s="17" t="str">
        <f t="shared" si="10"/>
        <v>2017 3rd Domestic Trial</v>
      </c>
      <c r="O11" s="17">
        <f t="shared" si="11"/>
        <v>52.64</v>
      </c>
      <c r="P11" s="17" t="str">
        <f t="shared" si="12"/>
        <v>2017 3rd Domestic Trial</v>
      </c>
      <c r="Q11" s="17" t="str">
        <f t="shared" si="13"/>
        <v/>
      </c>
      <c r="R11" s="44" t="str">
        <f t="shared" si="14"/>
        <v/>
      </c>
      <c r="S11" s="17" t="str">
        <f t="shared" si="15"/>
        <v/>
      </c>
      <c r="T11" s="60">
        <v>16.5</v>
      </c>
      <c r="U11" s="60">
        <v>9</v>
      </c>
      <c r="V11" s="60">
        <v>5.6</v>
      </c>
      <c r="W11" s="60">
        <v>16.335000000000001</v>
      </c>
      <c r="X11" s="60">
        <v>0</v>
      </c>
      <c r="Y11" s="60">
        <v>14.8</v>
      </c>
      <c r="Z11" s="60">
        <v>9.1</v>
      </c>
      <c r="AA11" s="60">
        <v>15.2</v>
      </c>
      <c r="AB11" s="60">
        <v>15.23</v>
      </c>
      <c r="AC11" s="60">
        <v>0</v>
      </c>
      <c r="AD11" s="61"/>
      <c r="AE11" s="61"/>
      <c r="AF11" s="61"/>
      <c r="AG11" s="61"/>
      <c r="AH11" s="61"/>
      <c r="AI11" s="13">
        <f t="shared" si="16"/>
        <v>20.799999999999997</v>
      </c>
      <c r="AJ11" s="13">
        <f t="shared" si="17"/>
        <v>47.435000000000002</v>
      </c>
      <c r="AK11" s="13">
        <f t="shared" si="18"/>
        <v>54.33</v>
      </c>
      <c r="AL11" s="13">
        <f t="shared" si="19"/>
        <v>101.765</v>
      </c>
      <c r="AM11" s="13" t="str">
        <f t="shared" si="20"/>
        <v/>
      </c>
      <c r="AN11" s="13">
        <f t="shared" si="21"/>
        <v>101.765</v>
      </c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17" t="str">
        <f t="shared" si="22"/>
        <v/>
      </c>
      <c r="BE11" s="17" t="str">
        <f t="shared" si="23"/>
        <v/>
      </c>
      <c r="BF11" s="17" t="str">
        <f t="shared" si="24"/>
        <v/>
      </c>
      <c r="BG11" s="17" t="str">
        <f t="shared" si="25"/>
        <v/>
      </c>
      <c r="BH11" s="17" t="str">
        <f t="shared" si="26"/>
        <v/>
      </c>
      <c r="BI11" s="17" t="str">
        <f t="shared" si="27"/>
        <v/>
      </c>
      <c r="BJ11" s="60">
        <v>17.399999999999999</v>
      </c>
      <c r="BK11" s="60">
        <v>9.5</v>
      </c>
      <c r="BL11" s="60">
        <v>5.4</v>
      </c>
      <c r="BM11" s="60">
        <v>16.184999999999999</v>
      </c>
      <c r="BN11" s="60">
        <v>0</v>
      </c>
      <c r="BO11" s="60">
        <v>12</v>
      </c>
      <c r="BP11" s="60">
        <v>8.8000000000000007</v>
      </c>
      <c r="BQ11" s="60">
        <v>15</v>
      </c>
      <c r="BR11" s="60">
        <v>14.47</v>
      </c>
      <c r="BS11" s="60">
        <v>0.2</v>
      </c>
      <c r="BT11" s="60">
        <v>13.5</v>
      </c>
      <c r="BU11" s="60">
        <v>9.4</v>
      </c>
      <c r="BV11" s="60">
        <v>15</v>
      </c>
      <c r="BW11" s="60">
        <v>14.74</v>
      </c>
      <c r="BX11" s="60">
        <v>0</v>
      </c>
      <c r="BY11" s="13">
        <f t="shared" si="28"/>
        <v>20.399999999999999</v>
      </c>
      <c r="BZ11" s="13">
        <f t="shared" si="29"/>
        <v>48.484999999999999</v>
      </c>
      <c r="CA11" s="13">
        <f t="shared" si="30"/>
        <v>50.069999999999993</v>
      </c>
      <c r="CB11" s="13">
        <f t="shared" si="31"/>
        <v>98.554999999999993</v>
      </c>
      <c r="CC11" s="13">
        <f t="shared" si="32"/>
        <v>52.64</v>
      </c>
      <c r="CD11" s="13">
        <f t="shared" si="33"/>
        <v>151.19499999999999</v>
      </c>
      <c r="CE11" s="43" t="str">
        <f t="shared" si="34"/>
        <v/>
      </c>
      <c r="CF11" s="43" t="str">
        <f t="shared" si="35"/>
        <v/>
      </c>
      <c r="CG11" s="43" t="str">
        <f t="shared" si="36"/>
        <v/>
      </c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13" t="str">
        <f t="shared" si="37"/>
        <v/>
      </c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17" t="str">
        <f t="shared" si="43"/>
        <v/>
      </c>
      <c r="DS11" s="17" t="str">
        <f t="shared" si="44"/>
        <v/>
      </c>
      <c r="DT11" s="17" t="str">
        <f t="shared" si="45"/>
        <v/>
      </c>
      <c r="DU11" s="17" t="str">
        <f t="shared" si="46"/>
        <v/>
      </c>
      <c r="DV11" s="17" t="str">
        <f t="shared" si="47"/>
        <v/>
      </c>
      <c r="DW11" s="17" t="str">
        <f t="shared" si="48"/>
        <v/>
      </c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13" t="str">
        <f t="shared" si="49"/>
        <v/>
      </c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17" t="str">
        <f t="shared" si="55"/>
        <v/>
      </c>
      <c r="FI11" s="17" t="str">
        <f t="shared" si="56"/>
        <v/>
      </c>
      <c r="FJ11" s="17" t="str">
        <f t="shared" si="57"/>
        <v/>
      </c>
      <c r="FK11" s="17" t="str">
        <f t="shared" si="58"/>
        <v/>
      </c>
      <c r="FL11" s="17" t="str">
        <f t="shared" si="59"/>
        <v/>
      </c>
      <c r="FM11" s="17" t="str">
        <f t="shared" si="60"/>
        <v/>
      </c>
      <c r="FN11" s="60"/>
      <c r="FO11" s="60"/>
      <c r="FP11" s="60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13" t="str">
        <f t="shared" si="61"/>
        <v/>
      </c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17" t="str">
        <f t="shared" si="67"/>
        <v/>
      </c>
      <c r="GY11" s="17" t="str">
        <f t="shared" si="68"/>
        <v/>
      </c>
      <c r="GZ11" s="17" t="str">
        <f t="shared" si="69"/>
        <v/>
      </c>
      <c r="HA11" s="17" t="str">
        <f t="shared" si="70"/>
        <v/>
      </c>
      <c r="HB11" s="17" t="str">
        <f t="shared" si="71"/>
        <v/>
      </c>
      <c r="HC11" s="17" t="str">
        <f t="shared" si="72"/>
        <v/>
      </c>
      <c r="HD11" s="60"/>
      <c r="HE11" s="60"/>
      <c r="HF11" s="60"/>
      <c r="HG11" s="60"/>
      <c r="HH11" s="60"/>
      <c r="HI11" s="60"/>
      <c r="HJ11" s="60"/>
      <c r="HK11" s="60"/>
      <c r="HL11" s="60"/>
      <c r="HM11" s="60"/>
      <c r="HN11" s="60"/>
      <c r="HO11" s="60"/>
      <c r="HP11" s="60"/>
      <c r="HQ11" s="60"/>
      <c r="HR11" s="60"/>
      <c r="HS11" s="13" t="str">
        <f t="shared" si="73"/>
        <v/>
      </c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62"/>
      <c r="HZ11" s="62"/>
      <c r="IA11" s="62"/>
      <c r="IB11" s="62"/>
      <c r="IC11" s="62"/>
      <c r="ID11" s="62"/>
      <c r="IE11" s="62"/>
      <c r="IF11" s="62"/>
      <c r="IG11" s="62"/>
      <c r="IH11" s="62"/>
      <c r="II11" s="62"/>
      <c r="IJ11" s="62"/>
      <c r="IK11" s="62"/>
      <c r="IL11" s="62"/>
      <c r="IM11" s="62"/>
      <c r="IN11" s="17" t="str">
        <f t="shared" si="79"/>
        <v/>
      </c>
      <c r="IO11" s="17" t="str">
        <f t="shared" si="80"/>
        <v/>
      </c>
      <c r="IP11" s="17" t="str">
        <f t="shared" si="81"/>
        <v/>
      </c>
      <c r="IQ11" s="17" t="str">
        <f t="shared" si="82"/>
        <v/>
      </c>
      <c r="IR11" s="17" t="str">
        <f t="shared" si="83"/>
        <v/>
      </c>
      <c r="IS11" s="17" t="str">
        <f t="shared" si="84"/>
        <v/>
      </c>
      <c r="IT11" s="60"/>
      <c r="IU11" s="60"/>
      <c r="IV11" s="60"/>
      <c r="IW11" s="60"/>
      <c r="IX11" s="60"/>
      <c r="IY11" s="60"/>
      <c r="IZ11" s="60"/>
      <c r="JA11" s="60"/>
      <c r="JB11" s="60"/>
      <c r="JC11" s="60"/>
      <c r="JD11" s="60"/>
      <c r="JE11" s="60"/>
      <c r="JF11" s="60"/>
      <c r="JG11" s="60"/>
      <c r="JH11" s="60"/>
      <c r="JI11" s="13" t="str">
        <f t="shared" si="85"/>
        <v/>
      </c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 t="str">
        <f t="shared" si="90"/>
        <v/>
      </c>
      <c r="JO11" s="62"/>
      <c r="JP11" s="62"/>
      <c r="JQ11" s="62"/>
      <c r="JR11" s="62"/>
      <c r="JS11" s="62"/>
      <c r="JT11" s="62"/>
      <c r="JU11" s="62"/>
      <c r="JV11" s="62"/>
      <c r="JW11" s="62"/>
      <c r="JX11" s="62"/>
      <c r="JY11" s="62"/>
      <c r="JZ11" s="62"/>
      <c r="KA11" s="62"/>
      <c r="KB11" s="62"/>
      <c r="KC11" s="62"/>
      <c r="KD11" s="17" t="str">
        <f t="shared" si="91"/>
        <v/>
      </c>
      <c r="KE11" s="17" t="str">
        <f t="shared" si="92"/>
        <v/>
      </c>
      <c r="KF11" s="17" t="str">
        <f t="shared" si="93"/>
        <v/>
      </c>
      <c r="KG11" s="17" t="str">
        <f t="shared" si="94"/>
        <v/>
      </c>
      <c r="KH11" s="17" t="str">
        <f t="shared" si="95"/>
        <v/>
      </c>
      <c r="KI11" s="17" t="str">
        <f t="shared" si="96"/>
        <v/>
      </c>
      <c r="KJ11" s="60"/>
      <c r="KK11" s="60"/>
      <c r="KL11" s="60"/>
      <c r="KM11" s="60"/>
      <c r="KN11" s="60"/>
      <c r="KO11" s="60"/>
      <c r="KP11" s="60"/>
      <c r="KQ11" s="60"/>
      <c r="KR11" s="60"/>
      <c r="KS11" s="60"/>
      <c r="KT11" s="60"/>
      <c r="KU11" s="60"/>
      <c r="KV11" s="60"/>
      <c r="KW11" s="60"/>
      <c r="KX11" s="60"/>
      <c r="KY11" s="13" t="str">
        <f t="shared" si="97"/>
        <v/>
      </c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62"/>
      <c r="LF11" s="62"/>
      <c r="LG11" s="62"/>
      <c r="LH11" s="62"/>
      <c r="LI11" s="62"/>
      <c r="LJ11" s="62"/>
      <c r="LK11" s="62"/>
      <c r="LL11" s="62"/>
      <c r="LM11" s="62"/>
      <c r="LN11" s="62"/>
      <c r="LO11" s="62"/>
      <c r="LP11" s="62"/>
      <c r="LQ11" s="62"/>
      <c r="LR11" s="62"/>
      <c r="LS11" s="62"/>
      <c r="LT11" s="17" t="str">
        <f t="shared" si="103"/>
        <v/>
      </c>
      <c r="LU11" s="17" t="str">
        <f t="shared" si="104"/>
        <v/>
      </c>
      <c r="LV11" s="17" t="str">
        <f t="shared" si="105"/>
        <v/>
      </c>
      <c r="LW11" s="17" t="str">
        <f t="shared" si="106"/>
        <v/>
      </c>
      <c r="LX11" s="17" t="str">
        <f t="shared" si="107"/>
        <v/>
      </c>
      <c r="LY11" s="17" t="str">
        <f t="shared" si="108"/>
        <v/>
      </c>
    </row>
    <row r="12" spans="1:337" x14ac:dyDescent="0.2">
      <c r="A12" s="6" t="str">
        <f t="shared" ca="1" si="0"/>
        <v/>
      </c>
      <c r="B12" s="9" t="s">
        <v>9</v>
      </c>
      <c r="C12" s="5" t="s">
        <v>6</v>
      </c>
      <c r="D12" s="46">
        <v>2011</v>
      </c>
      <c r="E12" s="18">
        <f t="shared" si="1"/>
        <v>249.07499999999999</v>
      </c>
      <c r="F12" s="4" t="str">
        <f t="shared" si="2"/>
        <v/>
      </c>
      <c r="G12" s="4" t="str">
        <f t="shared" ca="1" si="3"/>
        <v/>
      </c>
      <c r="H12" t="str">
        <f t="shared" ca="1" si="4"/>
        <v/>
      </c>
      <c r="I12" s="17">
        <f t="shared" si="5"/>
        <v>98.3</v>
      </c>
      <c r="J12" s="17" t="str">
        <f t="shared" si="6"/>
        <v>2017 Nationals</v>
      </c>
      <c r="K12" s="17">
        <f t="shared" si="7"/>
        <v>45.984999999999999</v>
      </c>
      <c r="L12" s="17" t="str">
        <f t="shared" si="8"/>
        <v>2017 Canada Cup</v>
      </c>
      <c r="M12" s="17">
        <f t="shared" si="9"/>
        <v>51.019999999999996</v>
      </c>
      <c r="N12" s="17" t="str">
        <f t="shared" si="10"/>
        <v>2017 Canada Cup</v>
      </c>
      <c r="O12" s="17">
        <f t="shared" si="11"/>
        <v>53.769999999999996</v>
      </c>
      <c r="P12" s="17" t="str">
        <f t="shared" si="12"/>
        <v>2017 Nationals</v>
      </c>
      <c r="Q12" s="17" t="str">
        <f t="shared" si="13"/>
        <v/>
      </c>
      <c r="R12" s="44" t="str">
        <f t="shared" si="14"/>
        <v/>
      </c>
      <c r="S12" s="17" t="str">
        <f t="shared" si="15"/>
        <v/>
      </c>
      <c r="T12" s="60">
        <v>14.8</v>
      </c>
      <c r="U12" s="60">
        <v>9.1</v>
      </c>
      <c r="V12" s="60">
        <v>6.1</v>
      </c>
      <c r="W12" s="60">
        <v>15.984999999999999</v>
      </c>
      <c r="X12" s="60">
        <v>0</v>
      </c>
      <c r="Y12" s="60">
        <v>13.4</v>
      </c>
      <c r="Z12" s="60">
        <v>9</v>
      </c>
      <c r="AA12" s="60">
        <v>13.5</v>
      </c>
      <c r="AB12" s="60">
        <v>15.12</v>
      </c>
      <c r="AC12" s="60">
        <v>0</v>
      </c>
      <c r="AD12" s="60">
        <v>12.6</v>
      </c>
      <c r="AE12" s="60">
        <v>9</v>
      </c>
      <c r="AF12" s="60">
        <v>14.2</v>
      </c>
      <c r="AG12" s="60">
        <v>16.254999999999999</v>
      </c>
      <c r="AH12" s="60">
        <v>0</v>
      </c>
      <c r="AI12" s="13">
        <f t="shared" si="16"/>
        <v>19.600000000000001</v>
      </c>
      <c r="AJ12" s="13">
        <f t="shared" si="17"/>
        <v>45.984999999999999</v>
      </c>
      <c r="AK12" s="13">
        <f t="shared" si="18"/>
        <v>51.019999999999996</v>
      </c>
      <c r="AL12" s="13">
        <f t="shared" si="19"/>
        <v>97.004999999999995</v>
      </c>
      <c r="AM12" s="13">
        <f t="shared" si="20"/>
        <v>52.054999999999993</v>
      </c>
      <c r="AN12" s="13">
        <f t="shared" si="21"/>
        <v>149.06</v>
      </c>
      <c r="AO12" s="62">
        <v>14.9</v>
      </c>
      <c r="AP12" s="62">
        <v>9.1</v>
      </c>
      <c r="AQ12" s="62">
        <v>6</v>
      </c>
      <c r="AR12" s="62">
        <v>16.18</v>
      </c>
      <c r="AS12" s="62">
        <v>0</v>
      </c>
      <c r="AT12" s="62">
        <v>14</v>
      </c>
      <c r="AU12" s="62">
        <v>9.4</v>
      </c>
      <c r="AV12" s="62">
        <v>13.4</v>
      </c>
      <c r="AW12" s="62">
        <v>15.32</v>
      </c>
      <c r="AX12" s="62">
        <v>0</v>
      </c>
      <c r="AY12" s="62">
        <v>14.3</v>
      </c>
      <c r="AZ12" s="62">
        <v>8.9</v>
      </c>
      <c r="BA12" s="62">
        <v>14.8</v>
      </c>
      <c r="BB12" s="62">
        <v>15.77</v>
      </c>
      <c r="BC12" s="62">
        <v>0</v>
      </c>
      <c r="BD12" s="17">
        <f t="shared" si="22"/>
        <v>19.399999999999999</v>
      </c>
      <c r="BE12" s="17">
        <f t="shared" si="23"/>
        <v>46.18</v>
      </c>
      <c r="BF12" s="17">
        <f t="shared" si="24"/>
        <v>52.12</v>
      </c>
      <c r="BG12" s="17">
        <f t="shared" si="25"/>
        <v>98.3</v>
      </c>
      <c r="BH12" s="17">
        <f t="shared" si="26"/>
        <v>53.769999999999996</v>
      </c>
      <c r="BI12" s="17">
        <f t="shared" si="27"/>
        <v>152.07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13" t="str">
        <f t="shared" si="28"/>
        <v/>
      </c>
      <c r="BZ12" s="13" t="str">
        <f t="shared" si="29"/>
        <v/>
      </c>
      <c r="CA12" s="13" t="str">
        <f t="shared" si="30"/>
        <v/>
      </c>
      <c r="CB12" s="13" t="str">
        <f t="shared" si="31"/>
        <v/>
      </c>
      <c r="CC12" s="13" t="str">
        <f t="shared" si="32"/>
        <v/>
      </c>
      <c r="CD12" s="13" t="str">
        <f t="shared" si="33"/>
        <v/>
      </c>
      <c r="CE12" s="43" t="str">
        <f t="shared" si="34"/>
        <v/>
      </c>
      <c r="CF12" s="43" t="str">
        <f t="shared" si="35"/>
        <v/>
      </c>
      <c r="CG12" s="43" t="str">
        <f t="shared" si="36"/>
        <v/>
      </c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13" t="str">
        <f t="shared" si="37"/>
        <v/>
      </c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17" t="str">
        <f t="shared" si="43"/>
        <v/>
      </c>
      <c r="DS12" s="17" t="str">
        <f t="shared" si="44"/>
        <v/>
      </c>
      <c r="DT12" s="17" t="str">
        <f t="shared" si="45"/>
        <v/>
      </c>
      <c r="DU12" s="17" t="str">
        <f t="shared" si="46"/>
        <v/>
      </c>
      <c r="DV12" s="17" t="str">
        <f t="shared" si="47"/>
        <v/>
      </c>
      <c r="DW12" s="17" t="str">
        <f t="shared" si="48"/>
        <v/>
      </c>
      <c r="DX12" s="60"/>
      <c r="DY12" s="60"/>
      <c r="DZ12" s="60"/>
      <c r="EA12" s="60"/>
      <c r="EB12" s="60"/>
      <c r="EC12" s="60"/>
      <c r="ED12" s="60"/>
      <c r="EE12" s="60"/>
      <c r="EF12" s="60"/>
      <c r="EG12" s="60"/>
      <c r="EH12" s="60"/>
      <c r="EI12" s="60"/>
      <c r="EJ12" s="60"/>
      <c r="EK12" s="60"/>
      <c r="EL12" s="60"/>
      <c r="EM12" s="13" t="str">
        <f t="shared" si="49"/>
        <v/>
      </c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17" t="str">
        <f t="shared" si="55"/>
        <v/>
      </c>
      <c r="FI12" s="17" t="str">
        <f t="shared" si="56"/>
        <v/>
      </c>
      <c r="FJ12" s="17" t="str">
        <f t="shared" si="57"/>
        <v/>
      </c>
      <c r="FK12" s="17" t="str">
        <f t="shared" si="58"/>
        <v/>
      </c>
      <c r="FL12" s="17" t="str">
        <f t="shared" si="59"/>
        <v/>
      </c>
      <c r="FM12" s="17" t="str">
        <f t="shared" si="60"/>
        <v/>
      </c>
      <c r="FN12" s="60"/>
      <c r="FO12" s="60"/>
      <c r="FP12" s="60"/>
      <c r="FQ12" s="60"/>
      <c r="FR12" s="60"/>
      <c r="FS12" s="60"/>
      <c r="FT12" s="60"/>
      <c r="FU12" s="60"/>
      <c r="FV12" s="60"/>
      <c r="FW12" s="60"/>
      <c r="FX12" s="60"/>
      <c r="FY12" s="60"/>
      <c r="FZ12" s="60"/>
      <c r="GA12" s="60"/>
      <c r="GB12" s="60"/>
      <c r="GC12" s="13" t="str">
        <f t="shared" si="61"/>
        <v/>
      </c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62"/>
      <c r="GJ12" s="62"/>
      <c r="GK12" s="62"/>
      <c r="GL12" s="62"/>
      <c r="GM12" s="62"/>
      <c r="GN12" s="62"/>
      <c r="GO12" s="62"/>
      <c r="GP12" s="62"/>
      <c r="GQ12" s="62"/>
      <c r="GR12" s="62"/>
      <c r="GS12" s="62"/>
      <c r="GT12" s="62"/>
      <c r="GU12" s="62"/>
      <c r="GV12" s="62"/>
      <c r="GW12" s="62"/>
      <c r="GX12" s="17" t="str">
        <f t="shared" si="67"/>
        <v/>
      </c>
      <c r="GY12" s="17" t="str">
        <f t="shared" si="68"/>
        <v/>
      </c>
      <c r="GZ12" s="17" t="str">
        <f t="shared" si="69"/>
        <v/>
      </c>
      <c r="HA12" s="17" t="str">
        <f t="shared" si="70"/>
        <v/>
      </c>
      <c r="HB12" s="17" t="str">
        <f t="shared" si="71"/>
        <v/>
      </c>
      <c r="HC12" s="17" t="str">
        <f t="shared" si="72"/>
        <v/>
      </c>
      <c r="HD12" s="60"/>
      <c r="HE12" s="60"/>
      <c r="HF12" s="60"/>
      <c r="HG12" s="60"/>
      <c r="HH12" s="60"/>
      <c r="HI12" s="60"/>
      <c r="HJ12" s="60"/>
      <c r="HK12" s="60"/>
      <c r="HL12" s="60"/>
      <c r="HM12" s="60"/>
      <c r="HN12" s="60"/>
      <c r="HO12" s="60"/>
      <c r="HP12" s="60"/>
      <c r="HQ12" s="60"/>
      <c r="HR12" s="60"/>
      <c r="HS12" s="13" t="str">
        <f t="shared" si="73"/>
        <v/>
      </c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62"/>
      <c r="HZ12" s="62"/>
      <c r="IA12" s="62"/>
      <c r="IB12" s="62"/>
      <c r="IC12" s="62"/>
      <c r="ID12" s="62"/>
      <c r="IE12" s="62"/>
      <c r="IF12" s="62"/>
      <c r="IG12" s="62"/>
      <c r="IH12" s="62"/>
      <c r="II12" s="62"/>
      <c r="IJ12" s="62"/>
      <c r="IK12" s="62"/>
      <c r="IL12" s="62"/>
      <c r="IM12" s="62"/>
      <c r="IN12" s="17" t="str">
        <f t="shared" si="79"/>
        <v/>
      </c>
      <c r="IO12" s="17" t="str">
        <f t="shared" si="80"/>
        <v/>
      </c>
      <c r="IP12" s="17" t="str">
        <f t="shared" si="81"/>
        <v/>
      </c>
      <c r="IQ12" s="17" t="str">
        <f t="shared" si="82"/>
        <v/>
      </c>
      <c r="IR12" s="17" t="str">
        <f t="shared" si="83"/>
        <v/>
      </c>
      <c r="IS12" s="17" t="str">
        <f t="shared" si="84"/>
        <v/>
      </c>
      <c r="IT12" s="60"/>
      <c r="IU12" s="60"/>
      <c r="IV12" s="60"/>
      <c r="IW12" s="60"/>
      <c r="IX12" s="60"/>
      <c r="IY12" s="60"/>
      <c r="IZ12" s="60"/>
      <c r="JA12" s="60"/>
      <c r="JB12" s="60"/>
      <c r="JC12" s="60"/>
      <c r="JD12" s="60"/>
      <c r="JE12" s="60"/>
      <c r="JF12" s="60"/>
      <c r="JG12" s="60"/>
      <c r="JH12" s="60"/>
      <c r="JI12" s="13" t="str">
        <f t="shared" si="85"/>
        <v/>
      </c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 t="str">
        <f t="shared" si="90"/>
        <v/>
      </c>
      <c r="JO12" s="62"/>
      <c r="JP12" s="62"/>
      <c r="JQ12" s="62"/>
      <c r="JR12" s="62"/>
      <c r="JS12" s="62"/>
      <c r="JT12" s="62"/>
      <c r="JU12" s="62"/>
      <c r="JV12" s="62"/>
      <c r="JW12" s="62"/>
      <c r="JX12" s="62"/>
      <c r="JY12" s="62"/>
      <c r="JZ12" s="62"/>
      <c r="KA12" s="62"/>
      <c r="KB12" s="62"/>
      <c r="KC12" s="62"/>
      <c r="KD12" s="17" t="str">
        <f t="shared" si="91"/>
        <v/>
      </c>
      <c r="KE12" s="17" t="str">
        <f t="shared" si="92"/>
        <v/>
      </c>
      <c r="KF12" s="17" t="str">
        <f t="shared" si="93"/>
        <v/>
      </c>
      <c r="KG12" s="17" t="str">
        <f t="shared" si="94"/>
        <v/>
      </c>
      <c r="KH12" s="17" t="str">
        <f t="shared" si="95"/>
        <v/>
      </c>
      <c r="KI12" s="17" t="str">
        <f t="shared" si="96"/>
        <v/>
      </c>
      <c r="KJ12" s="60"/>
      <c r="KK12" s="60"/>
      <c r="KL12" s="60"/>
      <c r="KM12" s="60"/>
      <c r="KN12" s="60"/>
      <c r="KO12" s="60"/>
      <c r="KP12" s="60"/>
      <c r="KQ12" s="60"/>
      <c r="KR12" s="60"/>
      <c r="KS12" s="60"/>
      <c r="KT12" s="60"/>
      <c r="KU12" s="60"/>
      <c r="KV12" s="60"/>
      <c r="KW12" s="60"/>
      <c r="KX12" s="60"/>
      <c r="KY12" s="13" t="str">
        <f t="shared" si="97"/>
        <v/>
      </c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62"/>
      <c r="LF12" s="62"/>
      <c r="LG12" s="62"/>
      <c r="LH12" s="62"/>
      <c r="LI12" s="62"/>
      <c r="LJ12" s="62"/>
      <c r="LK12" s="62"/>
      <c r="LL12" s="62"/>
      <c r="LM12" s="62"/>
      <c r="LN12" s="62"/>
      <c r="LO12" s="62"/>
      <c r="LP12" s="62"/>
      <c r="LQ12" s="62"/>
      <c r="LR12" s="62"/>
      <c r="LS12" s="62"/>
      <c r="LT12" s="17" t="str">
        <f t="shared" si="103"/>
        <v/>
      </c>
      <c r="LU12" s="17" t="str">
        <f t="shared" si="104"/>
        <v/>
      </c>
      <c r="LV12" s="17" t="str">
        <f t="shared" si="105"/>
        <v/>
      </c>
      <c r="LW12" s="17" t="str">
        <f t="shared" si="106"/>
        <v/>
      </c>
      <c r="LX12" s="17" t="str">
        <f t="shared" si="107"/>
        <v/>
      </c>
      <c r="LY12" s="17" t="str">
        <f t="shared" si="108"/>
        <v/>
      </c>
    </row>
    <row r="13" spans="1:337" x14ac:dyDescent="0.2">
      <c r="A13" s="6" t="str">
        <f t="shared" ca="1" si="0"/>
        <v/>
      </c>
      <c r="B13" s="7" t="s">
        <v>17</v>
      </c>
      <c r="C13" s="8" t="s">
        <v>13</v>
      </c>
      <c r="D13" s="46">
        <v>2016</v>
      </c>
      <c r="E13" s="18">
        <f t="shared" si="1"/>
        <v>246.98000000000002</v>
      </c>
      <c r="F13" s="4" t="str">
        <f t="shared" si="2"/>
        <v/>
      </c>
      <c r="G13" s="4" t="str">
        <f t="shared" ca="1" si="3"/>
        <v/>
      </c>
      <c r="H13" t="str">
        <f t="shared" ca="1" si="4"/>
        <v/>
      </c>
      <c r="I13" s="17">
        <f t="shared" si="5"/>
        <v>98.405000000000001</v>
      </c>
      <c r="J13" s="17" t="str">
        <f t="shared" si="6"/>
        <v>2017 3rd Domestic Trial</v>
      </c>
      <c r="K13" s="17">
        <f t="shared" si="7"/>
        <v>46.879999999999995</v>
      </c>
      <c r="L13" s="17" t="str">
        <f t="shared" si="8"/>
        <v>2017 Nationals</v>
      </c>
      <c r="M13" s="17">
        <f t="shared" si="9"/>
        <v>50.615000000000002</v>
      </c>
      <c r="N13" s="17" t="str">
        <f t="shared" si="10"/>
        <v>2017 Nationals</v>
      </c>
      <c r="O13" s="17">
        <f t="shared" si="11"/>
        <v>51.08</v>
      </c>
      <c r="P13" s="17" t="str">
        <f t="shared" si="12"/>
        <v>2017 Canada Cup</v>
      </c>
      <c r="Q13" s="17" t="str">
        <f t="shared" si="13"/>
        <v/>
      </c>
      <c r="R13" s="44" t="str">
        <f t="shared" si="14"/>
        <v/>
      </c>
      <c r="S13" s="17" t="str">
        <f t="shared" si="15"/>
        <v/>
      </c>
      <c r="T13" s="60">
        <v>15</v>
      </c>
      <c r="U13" s="60">
        <v>9.1</v>
      </c>
      <c r="V13" s="60">
        <v>3.4</v>
      </c>
      <c r="W13" s="60">
        <v>16.335000000000001</v>
      </c>
      <c r="X13" s="60">
        <v>0</v>
      </c>
      <c r="Y13" s="60">
        <v>12.8</v>
      </c>
      <c r="Z13" s="60">
        <v>9</v>
      </c>
      <c r="AA13" s="60">
        <v>11.3</v>
      </c>
      <c r="AB13" s="60">
        <v>15.615</v>
      </c>
      <c r="AC13" s="60">
        <v>0</v>
      </c>
      <c r="AD13" s="60">
        <v>14.1</v>
      </c>
      <c r="AE13" s="60">
        <v>8.9</v>
      </c>
      <c r="AF13" s="60">
        <v>12.1</v>
      </c>
      <c r="AG13" s="60">
        <v>15.98</v>
      </c>
      <c r="AH13" s="60">
        <v>0</v>
      </c>
      <c r="AI13" s="13">
        <f t="shared" si="16"/>
        <v>14.700000000000001</v>
      </c>
      <c r="AJ13" s="13">
        <f t="shared" si="17"/>
        <v>43.835000000000001</v>
      </c>
      <c r="AK13" s="13">
        <f t="shared" si="18"/>
        <v>48.715000000000003</v>
      </c>
      <c r="AL13" s="13">
        <f t="shared" si="19"/>
        <v>92.550000000000011</v>
      </c>
      <c r="AM13" s="13">
        <f t="shared" si="20"/>
        <v>51.08</v>
      </c>
      <c r="AN13" s="13">
        <f t="shared" si="21"/>
        <v>143.63</v>
      </c>
      <c r="AO13" s="62">
        <v>15.6</v>
      </c>
      <c r="AP13" s="62">
        <v>9.3000000000000007</v>
      </c>
      <c r="AQ13" s="62">
        <v>5.7</v>
      </c>
      <c r="AR13" s="62">
        <v>16.28</v>
      </c>
      <c r="AS13" s="62">
        <v>0</v>
      </c>
      <c r="AT13" s="62">
        <v>14</v>
      </c>
      <c r="AU13" s="62">
        <v>9.3000000000000007</v>
      </c>
      <c r="AV13" s="62">
        <v>11.4</v>
      </c>
      <c r="AW13" s="62">
        <v>15.914999999999999</v>
      </c>
      <c r="AX13" s="62">
        <v>0</v>
      </c>
      <c r="AY13" s="62">
        <v>14.1</v>
      </c>
      <c r="AZ13" s="62">
        <v>8.9</v>
      </c>
      <c r="BA13" s="62">
        <v>11.4</v>
      </c>
      <c r="BB13" s="62">
        <v>15.35</v>
      </c>
      <c r="BC13" s="62">
        <v>0</v>
      </c>
      <c r="BD13" s="17">
        <f t="shared" si="22"/>
        <v>17.100000000000001</v>
      </c>
      <c r="BE13" s="17">
        <f t="shared" si="23"/>
        <v>46.879999999999995</v>
      </c>
      <c r="BF13" s="17">
        <f t="shared" si="24"/>
        <v>50.615000000000002</v>
      </c>
      <c r="BG13" s="17">
        <f t="shared" si="25"/>
        <v>97.495000000000005</v>
      </c>
      <c r="BH13" s="17">
        <f t="shared" si="26"/>
        <v>49.75</v>
      </c>
      <c r="BI13" s="17">
        <f t="shared" si="27"/>
        <v>147.245</v>
      </c>
      <c r="BJ13" s="60">
        <v>17.600000000000001</v>
      </c>
      <c r="BK13" s="60">
        <v>9.3000000000000007</v>
      </c>
      <c r="BL13" s="60">
        <v>3.3</v>
      </c>
      <c r="BM13" s="60">
        <v>16.715</v>
      </c>
      <c r="BN13" s="60">
        <v>0</v>
      </c>
      <c r="BO13" s="60">
        <v>14.8</v>
      </c>
      <c r="BP13" s="60">
        <v>9.5</v>
      </c>
      <c r="BQ13" s="60">
        <v>11.5</v>
      </c>
      <c r="BR13" s="60">
        <v>15.69</v>
      </c>
      <c r="BS13" s="60">
        <v>0</v>
      </c>
      <c r="BT13" s="60">
        <v>13.9</v>
      </c>
      <c r="BU13" s="60">
        <v>8.9</v>
      </c>
      <c r="BV13" s="60">
        <v>12.3</v>
      </c>
      <c r="BW13" s="60">
        <v>15.505000000000001</v>
      </c>
      <c r="BX13" s="60">
        <v>0.6</v>
      </c>
      <c r="BY13" s="13">
        <f t="shared" si="28"/>
        <v>14.8</v>
      </c>
      <c r="BZ13" s="13">
        <f t="shared" si="29"/>
        <v>46.915000000000006</v>
      </c>
      <c r="CA13" s="13">
        <f t="shared" si="30"/>
        <v>51.489999999999995</v>
      </c>
      <c r="CB13" s="13">
        <f t="shared" si="31"/>
        <v>98.405000000000001</v>
      </c>
      <c r="CC13" s="13">
        <f t="shared" si="32"/>
        <v>50.005000000000003</v>
      </c>
      <c r="CD13" s="13">
        <f t="shared" si="33"/>
        <v>148.41</v>
      </c>
      <c r="CE13" s="43" t="str">
        <f t="shared" si="34"/>
        <v/>
      </c>
      <c r="CF13" s="43" t="str">
        <f t="shared" si="35"/>
        <v/>
      </c>
      <c r="CG13" s="43" t="str">
        <f t="shared" si="36"/>
        <v/>
      </c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13" t="str">
        <f t="shared" si="37"/>
        <v/>
      </c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17" t="str">
        <f t="shared" si="43"/>
        <v/>
      </c>
      <c r="DS13" s="17" t="str">
        <f t="shared" si="44"/>
        <v/>
      </c>
      <c r="DT13" s="17" t="str">
        <f t="shared" si="45"/>
        <v/>
      </c>
      <c r="DU13" s="17" t="str">
        <f t="shared" si="46"/>
        <v/>
      </c>
      <c r="DV13" s="17" t="str">
        <f t="shared" si="47"/>
        <v/>
      </c>
      <c r="DW13" s="17" t="str">
        <f t="shared" si="48"/>
        <v/>
      </c>
      <c r="DX13" s="60"/>
      <c r="DY13" s="60"/>
      <c r="DZ13" s="60"/>
      <c r="EA13" s="60"/>
      <c r="EB13" s="60"/>
      <c r="EC13" s="60"/>
      <c r="ED13" s="60"/>
      <c r="EE13" s="60"/>
      <c r="EF13" s="60"/>
      <c r="EG13" s="60"/>
      <c r="EH13" s="60"/>
      <c r="EI13" s="60"/>
      <c r="EJ13" s="60"/>
      <c r="EK13" s="60"/>
      <c r="EL13" s="60"/>
      <c r="EM13" s="13" t="str">
        <f t="shared" si="49"/>
        <v/>
      </c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17" t="str">
        <f t="shared" si="55"/>
        <v/>
      </c>
      <c r="FI13" s="17" t="str">
        <f t="shared" si="56"/>
        <v/>
      </c>
      <c r="FJ13" s="17" t="str">
        <f t="shared" si="57"/>
        <v/>
      </c>
      <c r="FK13" s="17" t="str">
        <f t="shared" si="58"/>
        <v/>
      </c>
      <c r="FL13" s="17" t="str">
        <f t="shared" si="59"/>
        <v/>
      </c>
      <c r="FM13" s="17" t="str">
        <f t="shared" si="60"/>
        <v/>
      </c>
      <c r="FN13" s="60"/>
      <c r="FO13" s="60"/>
      <c r="FP13" s="60"/>
      <c r="FQ13" s="60"/>
      <c r="FR13" s="60"/>
      <c r="FS13" s="60"/>
      <c r="FT13" s="60"/>
      <c r="FU13" s="60"/>
      <c r="FV13" s="60"/>
      <c r="FW13" s="60"/>
      <c r="FX13" s="60"/>
      <c r="FY13" s="60"/>
      <c r="FZ13" s="60"/>
      <c r="GA13" s="60"/>
      <c r="GB13" s="60"/>
      <c r="GC13" s="13" t="str">
        <f t="shared" si="61"/>
        <v/>
      </c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62"/>
      <c r="GJ13" s="62"/>
      <c r="GK13" s="62"/>
      <c r="GL13" s="62"/>
      <c r="GM13" s="62"/>
      <c r="GN13" s="62"/>
      <c r="GO13" s="62"/>
      <c r="GP13" s="62"/>
      <c r="GQ13" s="62"/>
      <c r="GR13" s="62"/>
      <c r="GS13" s="62"/>
      <c r="GT13" s="62"/>
      <c r="GU13" s="62"/>
      <c r="GV13" s="62"/>
      <c r="GW13" s="62"/>
      <c r="GX13" s="17" t="str">
        <f t="shared" si="67"/>
        <v/>
      </c>
      <c r="GY13" s="17" t="str">
        <f t="shared" si="68"/>
        <v/>
      </c>
      <c r="GZ13" s="17" t="str">
        <f t="shared" si="69"/>
        <v/>
      </c>
      <c r="HA13" s="17" t="str">
        <f t="shared" si="70"/>
        <v/>
      </c>
      <c r="HB13" s="17" t="str">
        <f t="shared" si="71"/>
        <v/>
      </c>
      <c r="HC13" s="17" t="str">
        <f t="shared" si="72"/>
        <v/>
      </c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  <c r="HO13" s="60"/>
      <c r="HP13" s="60"/>
      <c r="HQ13" s="60"/>
      <c r="HR13" s="60"/>
      <c r="HS13" s="13" t="str">
        <f t="shared" si="73"/>
        <v/>
      </c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62"/>
      <c r="HZ13" s="62"/>
      <c r="IA13" s="62"/>
      <c r="IB13" s="62"/>
      <c r="IC13" s="62"/>
      <c r="ID13" s="62"/>
      <c r="IE13" s="62"/>
      <c r="IF13" s="62"/>
      <c r="IG13" s="62"/>
      <c r="IH13" s="62"/>
      <c r="II13" s="62"/>
      <c r="IJ13" s="62"/>
      <c r="IK13" s="62"/>
      <c r="IL13" s="62"/>
      <c r="IM13" s="62"/>
      <c r="IN13" s="17" t="str">
        <f t="shared" si="79"/>
        <v/>
      </c>
      <c r="IO13" s="17" t="str">
        <f t="shared" si="80"/>
        <v/>
      </c>
      <c r="IP13" s="17" t="str">
        <f t="shared" si="81"/>
        <v/>
      </c>
      <c r="IQ13" s="17" t="str">
        <f t="shared" si="82"/>
        <v/>
      </c>
      <c r="IR13" s="17" t="str">
        <f t="shared" si="83"/>
        <v/>
      </c>
      <c r="IS13" s="17" t="str">
        <f t="shared" si="84"/>
        <v/>
      </c>
      <c r="IT13" s="60"/>
      <c r="IU13" s="60"/>
      <c r="IV13" s="60"/>
      <c r="IW13" s="60"/>
      <c r="IX13" s="60"/>
      <c r="IY13" s="60"/>
      <c r="IZ13" s="60"/>
      <c r="JA13" s="60"/>
      <c r="JB13" s="60"/>
      <c r="JC13" s="60"/>
      <c r="JD13" s="60"/>
      <c r="JE13" s="60"/>
      <c r="JF13" s="60"/>
      <c r="JG13" s="60"/>
      <c r="JH13" s="60"/>
      <c r="JI13" s="13" t="str">
        <f t="shared" si="85"/>
        <v/>
      </c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62"/>
      <c r="JP13" s="62"/>
      <c r="JQ13" s="62"/>
      <c r="JR13" s="62"/>
      <c r="JS13" s="62"/>
      <c r="JT13" s="62"/>
      <c r="JU13" s="62"/>
      <c r="JV13" s="62"/>
      <c r="JW13" s="62"/>
      <c r="JX13" s="62"/>
      <c r="JY13" s="62"/>
      <c r="JZ13" s="62"/>
      <c r="KA13" s="62"/>
      <c r="KB13" s="62"/>
      <c r="KC13" s="62"/>
      <c r="KD13" s="17" t="str">
        <f t="shared" si="91"/>
        <v/>
      </c>
      <c r="KE13" s="17" t="str">
        <f t="shared" si="92"/>
        <v/>
      </c>
      <c r="KF13" s="17" t="str">
        <f t="shared" si="93"/>
        <v/>
      </c>
      <c r="KG13" s="17" t="str">
        <f t="shared" si="94"/>
        <v/>
      </c>
      <c r="KH13" s="17" t="str">
        <f t="shared" si="95"/>
        <v/>
      </c>
      <c r="KI13" s="17" t="str">
        <f t="shared" si="96"/>
        <v/>
      </c>
      <c r="KJ13" s="60"/>
      <c r="KK13" s="60"/>
      <c r="KL13" s="60"/>
      <c r="KM13" s="60"/>
      <c r="KN13" s="60"/>
      <c r="KO13" s="60"/>
      <c r="KP13" s="60"/>
      <c r="KQ13" s="60"/>
      <c r="KR13" s="60"/>
      <c r="KS13" s="60"/>
      <c r="KT13" s="60"/>
      <c r="KU13" s="60"/>
      <c r="KV13" s="60"/>
      <c r="KW13" s="60"/>
      <c r="KX13" s="60"/>
      <c r="KY13" s="13" t="str">
        <f t="shared" si="97"/>
        <v/>
      </c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62"/>
      <c r="LF13" s="62"/>
      <c r="LG13" s="62"/>
      <c r="LH13" s="62"/>
      <c r="LI13" s="62"/>
      <c r="LJ13" s="62"/>
      <c r="LK13" s="62"/>
      <c r="LL13" s="62"/>
      <c r="LM13" s="62"/>
      <c r="LN13" s="62"/>
      <c r="LO13" s="62"/>
      <c r="LP13" s="62"/>
      <c r="LQ13" s="62"/>
      <c r="LR13" s="62"/>
      <c r="LS13" s="62"/>
      <c r="LT13" s="17" t="str">
        <f t="shared" si="103"/>
        <v/>
      </c>
      <c r="LU13" s="17" t="str">
        <f t="shared" si="104"/>
        <v/>
      </c>
      <c r="LV13" s="17" t="str">
        <f t="shared" si="105"/>
        <v/>
      </c>
      <c r="LW13" s="17" t="str">
        <f t="shared" si="106"/>
        <v/>
      </c>
      <c r="LX13" s="17" t="str">
        <f t="shared" si="107"/>
        <v/>
      </c>
      <c r="LY13" s="17" t="str">
        <f t="shared" si="108"/>
        <v/>
      </c>
    </row>
    <row r="14" spans="1:337" x14ac:dyDescent="0.2">
      <c r="A14" s="6" t="str">
        <f t="shared" ca="1" si="0"/>
        <v/>
      </c>
      <c r="B14" s="7" t="s">
        <v>11</v>
      </c>
      <c r="C14" s="8" t="s">
        <v>4</v>
      </c>
      <c r="D14" s="46">
        <v>2016</v>
      </c>
      <c r="E14" s="18">
        <f t="shared" si="1"/>
        <v>225.24</v>
      </c>
      <c r="F14" s="4" t="str">
        <f t="shared" si="2"/>
        <v/>
      </c>
      <c r="G14" s="4" t="str">
        <f t="shared" ca="1" si="3"/>
        <v/>
      </c>
      <c r="H14" t="str">
        <f t="shared" ca="1" si="4"/>
        <v/>
      </c>
      <c r="I14" s="17">
        <f t="shared" si="5"/>
        <v>69.03</v>
      </c>
      <c r="J14" s="17" t="str">
        <f t="shared" si="6"/>
        <v>2017 Canada Cup</v>
      </c>
      <c r="K14" s="17">
        <f t="shared" si="7"/>
        <v>48.71</v>
      </c>
      <c r="L14" s="17" t="str">
        <f t="shared" si="8"/>
        <v>2017 Nationals</v>
      </c>
      <c r="M14" s="17">
        <f t="shared" si="9"/>
        <v>55.010000000000005</v>
      </c>
      <c r="N14" s="17" t="str">
        <f t="shared" si="10"/>
        <v>2017 3rd Domestic Trial</v>
      </c>
      <c r="O14" s="17">
        <f t="shared" si="11"/>
        <v>0</v>
      </c>
      <c r="P14" s="17" t="str">
        <f t="shared" si="12"/>
        <v/>
      </c>
      <c r="Q14" s="17">
        <f t="shared" si="13"/>
        <v>52.49</v>
      </c>
      <c r="R14" s="44" t="str">
        <f t="shared" si="14"/>
        <v>(Final)</v>
      </c>
      <c r="S14" s="17" t="str">
        <f t="shared" si="15"/>
        <v>2016 Pan Am Championships (Dec)</v>
      </c>
      <c r="T14" s="60">
        <v>4.7</v>
      </c>
      <c r="U14" s="60">
        <v>2.4</v>
      </c>
      <c r="V14" s="60">
        <v>2.9</v>
      </c>
      <c r="W14" s="60">
        <v>5.0049999999999999</v>
      </c>
      <c r="X14" s="60">
        <v>0</v>
      </c>
      <c r="Y14" s="60">
        <v>15.4</v>
      </c>
      <c r="Z14" s="60">
        <v>9</v>
      </c>
      <c r="AA14" s="60">
        <v>13.9</v>
      </c>
      <c r="AB14" s="60">
        <v>15.725</v>
      </c>
      <c r="AC14" s="60">
        <v>0</v>
      </c>
      <c r="AD14" s="60"/>
      <c r="AE14" s="60"/>
      <c r="AF14" s="60"/>
      <c r="AG14" s="60"/>
      <c r="AH14" s="60"/>
      <c r="AI14" s="13">
        <f t="shared" si="16"/>
        <v>16.8</v>
      </c>
      <c r="AJ14" s="13">
        <f t="shared" si="17"/>
        <v>15.004999999999999</v>
      </c>
      <c r="AK14" s="13">
        <f t="shared" si="18"/>
        <v>54.024999999999999</v>
      </c>
      <c r="AL14" s="13">
        <f t="shared" si="19"/>
        <v>69.03</v>
      </c>
      <c r="AM14" s="13" t="str">
        <f t="shared" si="20"/>
        <v/>
      </c>
      <c r="AN14" s="13">
        <f t="shared" si="21"/>
        <v>69.03</v>
      </c>
      <c r="AO14" s="62">
        <v>17.2</v>
      </c>
      <c r="AP14" s="62">
        <v>9.4</v>
      </c>
      <c r="AQ14" s="62">
        <v>5.4</v>
      </c>
      <c r="AR14" s="62">
        <v>16.71</v>
      </c>
      <c r="AS14" s="62">
        <v>0</v>
      </c>
      <c r="AT14" s="62">
        <v>4.3</v>
      </c>
      <c r="AU14" s="62">
        <v>2.5</v>
      </c>
      <c r="AV14" s="62">
        <v>5.5</v>
      </c>
      <c r="AW14" s="62">
        <v>5.12</v>
      </c>
      <c r="AX14" s="62">
        <v>0</v>
      </c>
      <c r="AY14" s="62"/>
      <c r="AZ14" s="62"/>
      <c r="BA14" s="62"/>
      <c r="BB14" s="62"/>
      <c r="BC14" s="62"/>
      <c r="BD14" s="17">
        <f t="shared" si="22"/>
        <v>10.9</v>
      </c>
      <c r="BE14" s="17">
        <f t="shared" si="23"/>
        <v>48.71</v>
      </c>
      <c r="BF14" s="17">
        <f t="shared" si="24"/>
        <v>17.420000000000002</v>
      </c>
      <c r="BG14" s="17">
        <f t="shared" si="25"/>
        <v>66.13</v>
      </c>
      <c r="BH14" s="17" t="str">
        <f t="shared" si="26"/>
        <v/>
      </c>
      <c r="BI14" s="17">
        <f t="shared" si="27"/>
        <v>66.13</v>
      </c>
      <c r="BJ14" s="60">
        <v>1.8</v>
      </c>
      <c r="BK14" s="60">
        <v>0.9</v>
      </c>
      <c r="BL14" s="60">
        <v>1.1000000000000001</v>
      </c>
      <c r="BM14" s="60">
        <v>1.7949999999999999</v>
      </c>
      <c r="BN14" s="60">
        <v>0</v>
      </c>
      <c r="BO14" s="60">
        <v>14.8</v>
      </c>
      <c r="BP14" s="60">
        <v>9.5</v>
      </c>
      <c r="BQ14" s="60">
        <v>14.8</v>
      </c>
      <c r="BR14" s="60">
        <v>15.91</v>
      </c>
      <c r="BS14" s="60">
        <v>0</v>
      </c>
      <c r="BT14" s="60"/>
      <c r="BU14" s="60"/>
      <c r="BV14" s="60"/>
      <c r="BW14" s="60"/>
      <c r="BX14" s="60"/>
      <c r="BY14" s="13">
        <f t="shared" si="28"/>
        <v>15.9</v>
      </c>
      <c r="BZ14" s="13">
        <f t="shared" si="29"/>
        <v>5.5950000000000006</v>
      </c>
      <c r="CA14" s="13">
        <f t="shared" si="30"/>
        <v>55.010000000000005</v>
      </c>
      <c r="CB14" s="13">
        <f t="shared" si="31"/>
        <v>60.605000000000004</v>
      </c>
      <c r="CC14" s="13" t="str">
        <f t="shared" si="32"/>
        <v/>
      </c>
      <c r="CD14" s="13">
        <f t="shared" si="33"/>
        <v>60.605000000000004</v>
      </c>
      <c r="CE14" s="43" t="str">
        <f t="shared" si="34"/>
        <v/>
      </c>
      <c r="CF14" s="43" t="str">
        <f t="shared" si="35"/>
        <v/>
      </c>
      <c r="CG14" s="43">
        <f t="shared" si="36"/>
        <v>52.49</v>
      </c>
      <c r="CH14" s="60">
        <v>26.4</v>
      </c>
      <c r="CI14" s="60">
        <v>0</v>
      </c>
      <c r="CJ14" s="60">
        <v>2.7</v>
      </c>
      <c r="CK14" s="60">
        <v>16.260000000000002</v>
      </c>
      <c r="CL14" s="60">
        <v>0</v>
      </c>
      <c r="CM14" s="60">
        <v>20.8</v>
      </c>
      <c r="CN14" s="60">
        <v>0</v>
      </c>
      <c r="CO14" s="60">
        <v>15</v>
      </c>
      <c r="CP14" s="60">
        <v>15.125</v>
      </c>
      <c r="CQ14" s="60">
        <v>0</v>
      </c>
      <c r="CR14" s="60">
        <v>21.6</v>
      </c>
      <c r="CS14" s="60">
        <v>0</v>
      </c>
      <c r="CT14" s="60">
        <v>15</v>
      </c>
      <c r="CU14" s="60">
        <v>15.89</v>
      </c>
      <c r="CV14" s="60">
        <v>0</v>
      </c>
      <c r="CW14" s="13">
        <f t="shared" si="37"/>
        <v>17.7</v>
      </c>
      <c r="CX14" s="13">
        <f t="shared" si="38"/>
        <v>45.36</v>
      </c>
      <c r="CY14" s="13">
        <f t="shared" si="39"/>
        <v>50.924999999999997</v>
      </c>
      <c r="CZ14" s="13">
        <f t="shared" si="40"/>
        <v>96.284999999999997</v>
      </c>
      <c r="DA14" s="13">
        <f t="shared" si="41"/>
        <v>52.49</v>
      </c>
      <c r="DB14" s="13">
        <f t="shared" si="42"/>
        <v>148.77500000000001</v>
      </c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>
        <v>21.5</v>
      </c>
      <c r="DN14" s="62">
        <v>0</v>
      </c>
      <c r="DO14" s="62">
        <v>14.8</v>
      </c>
      <c r="DP14" s="62">
        <v>15.885</v>
      </c>
      <c r="DQ14" s="62">
        <v>0</v>
      </c>
      <c r="DR14" s="17" t="str">
        <f t="shared" si="43"/>
        <v/>
      </c>
      <c r="DS14" s="17" t="str">
        <f t="shared" si="44"/>
        <v/>
      </c>
      <c r="DT14" s="17" t="str">
        <f t="shared" si="45"/>
        <v/>
      </c>
      <c r="DU14" s="17" t="str">
        <f t="shared" si="46"/>
        <v/>
      </c>
      <c r="DV14" s="17">
        <f t="shared" si="47"/>
        <v>52.184999999999995</v>
      </c>
      <c r="DW14" s="17">
        <f t="shared" si="48"/>
        <v>52.184999999999995</v>
      </c>
      <c r="DX14" s="60"/>
      <c r="DY14" s="60"/>
      <c r="DZ14" s="60"/>
      <c r="EA14" s="60"/>
      <c r="EB14" s="60"/>
      <c r="EC14" s="60"/>
      <c r="ED14" s="60"/>
      <c r="EE14" s="60"/>
      <c r="EF14" s="60"/>
      <c r="EG14" s="60"/>
      <c r="EH14" s="60"/>
      <c r="EI14" s="60"/>
      <c r="EJ14" s="60"/>
      <c r="EK14" s="60"/>
      <c r="EL14" s="60"/>
      <c r="EM14" s="13" t="str">
        <f t="shared" si="49"/>
        <v/>
      </c>
      <c r="EN14" s="13" t="str">
        <f t="shared" si="50"/>
        <v/>
      </c>
      <c r="EO14" s="13" t="str">
        <f t="shared" si="51"/>
        <v/>
      </c>
      <c r="EP14" s="13" t="str">
        <f t="shared" si="52"/>
        <v/>
      </c>
      <c r="EQ14" s="13" t="str">
        <f t="shared" si="53"/>
        <v/>
      </c>
      <c r="ER14" s="13" t="str">
        <f t="shared" si="54"/>
        <v/>
      </c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17" t="str">
        <f t="shared" si="55"/>
        <v/>
      </c>
      <c r="FI14" s="17" t="str">
        <f t="shared" si="56"/>
        <v/>
      </c>
      <c r="FJ14" s="17" t="str">
        <f t="shared" si="57"/>
        <v/>
      </c>
      <c r="FK14" s="17" t="str">
        <f t="shared" si="58"/>
        <v/>
      </c>
      <c r="FL14" s="17" t="str">
        <f t="shared" si="59"/>
        <v/>
      </c>
      <c r="FM14" s="17" t="str">
        <f t="shared" si="60"/>
        <v/>
      </c>
      <c r="FN14" s="60"/>
      <c r="FO14" s="60"/>
      <c r="FP14" s="60"/>
      <c r="FQ14" s="60"/>
      <c r="FR14" s="60"/>
      <c r="FS14" s="60"/>
      <c r="FT14" s="60"/>
      <c r="FU14" s="60"/>
      <c r="FV14" s="60"/>
      <c r="FW14" s="60"/>
      <c r="FX14" s="60"/>
      <c r="FY14" s="60"/>
      <c r="FZ14" s="60"/>
      <c r="GA14" s="60"/>
      <c r="GB14" s="60"/>
      <c r="GC14" s="13" t="str">
        <f t="shared" si="61"/>
        <v/>
      </c>
      <c r="GD14" s="13" t="str">
        <f t="shared" si="62"/>
        <v/>
      </c>
      <c r="GE14" s="13" t="str">
        <f t="shared" si="63"/>
        <v/>
      </c>
      <c r="GF14" s="13" t="str">
        <f t="shared" si="64"/>
        <v/>
      </c>
      <c r="GG14" s="13" t="str">
        <f t="shared" si="65"/>
        <v/>
      </c>
      <c r="GH14" s="13" t="str">
        <f t="shared" si="66"/>
        <v/>
      </c>
      <c r="GI14" s="62"/>
      <c r="GJ14" s="62"/>
      <c r="GK14" s="62"/>
      <c r="GL14" s="62"/>
      <c r="GM14" s="62"/>
      <c r="GN14" s="62"/>
      <c r="GO14" s="62"/>
      <c r="GP14" s="62"/>
      <c r="GQ14" s="62"/>
      <c r="GR14" s="62"/>
      <c r="GS14" s="62"/>
      <c r="GT14" s="62"/>
      <c r="GU14" s="62"/>
      <c r="GV14" s="62"/>
      <c r="GW14" s="62"/>
      <c r="GX14" s="17" t="str">
        <f t="shared" si="67"/>
        <v/>
      </c>
      <c r="GY14" s="17" t="str">
        <f t="shared" si="68"/>
        <v/>
      </c>
      <c r="GZ14" s="17" t="str">
        <f t="shared" si="69"/>
        <v/>
      </c>
      <c r="HA14" s="17" t="str">
        <f t="shared" si="70"/>
        <v/>
      </c>
      <c r="HB14" s="17" t="str">
        <f t="shared" si="71"/>
        <v/>
      </c>
      <c r="HC14" s="17" t="str">
        <f t="shared" si="72"/>
        <v/>
      </c>
      <c r="HD14" s="60"/>
      <c r="HE14" s="60"/>
      <c r="HF14" s="60"/>
      <c r="HG14" s="60"/>
      <c r="HH14" s="60"/>
      <c r="HI14" s="60"/>
      <c r="HJ14" s="60"/>
      <c r="HK14" s="60"/>
      <c r="HL14" s="60"/>
      <c r="HM14" s="60"/>
      <c r="HN14" s="60"/>
      <c r="HO14" s="60"/>
      <c r="HP14" s="60"/>
      <c r="HQ14" s="60"/>
      <c r="HR14" s="60"/>
      <c r="HS14" s="13" t="str">
        <f t="shared" si="73"/>
        <v/>
      </c>
      <c r="HT14" s="13" t="str">
        <f t="shared" si="74"/>
        <v/>
      </c>
      <c r="HU14" s="13" t="str">
        <f t="shared" si="75"/>
        <v/>
      </c>
      <c r="HV14" s="13" t="str">
        <f t="shared" si="76"/>
        <v/>
      </c>
      <c r="HW14" s="13" t="str">
        <f t="shared" si="77"/>
        <v/>
      </c>
      <c r="HX14" s="13" t="str">
        <f t="shared" si="78"/>
        <v/>
      </c>
      <c r="HY14" s="62"/>
      <c r="HZ14" s="62"/>
      <c r="IA14" s="62"/>
      <c r="IB14" s="62"/>
      <c r="IC14" s="62"/>
      <c r="ID14" s="62"/>
      <c r="IE14" s="62"/>
      <c r="IF14" s="62"/>
      <c r="IG14" s="62"/>
      <c r="IH14" s="62"/>
      <c r="II14" s="62"/>
      <c r="IJ14" s="62"/>
      <c r="IK14" s="62"/>
      <c r="IL14" s="62"/>
      <c r="IM14" s="62"/>
      <c r="IN14" s="17" t="str">
        <f t="shared" si="79"/>
        <v/>
      </c>
      <c r="IO14" s="17" t="str">
        <f t="shared" si="80"/>
        <v/>
      </c>
      <c r="IP14" s="17" t="str">
        <f t="shared" si="81"/>
        <v/>
      </c>
      <c r="IQ14" s="17" t="str">
        <f t="shared" si="82"/>
        <v/>
      </c>
      <c r="IR14" s="17" t="str">
        <f t="shared" si="83"/>
        <v/>
      </c>
      <c r="IS14" s="17" t="str">
        <f t="shared" si="84"/>
        <v/>
      </c>
      <c r="IT14" s="60"/>
      <c r="IU14" s="60"/>
      <c r="IV14" s="60"/>
      <c r="IW14" s="60"/>
      <c r="IX14" s="60"/>
      <c r="IY14" s="60"/>
      <c r="IZ14" s="60"/>
      <c r="JA14" s="60"/>
      <c r="JB14" s="60"/>
      <c r="JC14" s="60"/>
      <c r="JD14" s="60"/>
      <c r="JE14" s="60"/>
      <c r="JF14" s="60"/>
      <c r="JG14" s="60"/>
      <c r="JH14" s="60"/>
      <c r="JI14" s="13" t="str">
        <f t="shared" si="85"/>
        <v/>
      </c>
      <c r="JJ14" s="13" t="str">
        <f t="shared" si="86"/>
        <v/>
      </c>
      <c r="JK14" s="13" t="str">
        <f t="shared" si="87"/>
        <v/>
      </c>
      <c r="JL14" s="13" t="str">
        <f t="shared" si="88"/>
        <v/>
      </c>
      <c r="JM14" s="13" t="str">
        <f t="shared" si="89"/>
        <v/>
      </c>
      <c r="JN14" s="13" t="str">
        <f t="shared" si="90"/>
        <v/>
      </c>
      <c r="JO14" s="62"/>
      <c r="JP14" s="62"/>
      <c r="JQ14" s="62"/>
      <c r="JR14" s="62"/>
      <c r="JS14" s="62"/>
      <c r="JT14" s="62"/>
      <c r="JU14" s="62"/>
      <c r="JV14" s="62"/>
      <c r="JW14" s="62"/>
      <c r="JX14" s="62"/>
      <c r="JY14" s="62"/>
      <c r="JZ14" s="62"/>
      <c r="KA14" s="62"/>
      <c r="KB14" s="62"/>
      <c r="KC14" s="62"/>
      <c r="KD14" s="17" t="str">
        <f t="shared" si="91"/>
        <v/>
      </c>
      <c r="KE14" s="17" t="str">
        <f t="shared" si="92"/>
        <v/>
      </c>
      <c r="KF14" s="17" t="str">
        <f t="shared" si="93"/>
        <v/>
      </c>
      <c r="KG14" s="17" t="str">
        <f t="shared" si="94"/>
        <v/>
      </c>
      <c r="KH14" s="17" t="str">
        <f t="shared" si="95"/>
        <v/>
      </c>
      <c r="KI14" s="17" t="str">
        <f t="shared" si="96"/>
        <v/>
      </c>
      <c r="KJ14" s="60"/>
      <c r="KK14" s="60"/>
      <c r="KL14" s="60"/>
      <c r="KM14" s="60"/>
      <c r="KN14" s="60"/>
      <c r="KO14" s="60"/>
      <c r="KP14" s="60"/>
      <c r="KQ14" s="60"/>
      <c r="KR14" s="60"/>
      <c r="KS14" s="60"/>
      <c r="KT14" s="60"/>
      <c r="KU14" s="60"/>
      <c r="KV14" s="60"/>
      <c r="KW14" s="60"/>
      <c r="KX14" s="60"/>
      <c r="KY14" s="13" t="str">
        <f t="shared" si="97"/>
        <v/>
      </c>
      <c r="KZ14" s="13" t="str">
        <f t="shared" si="98"/>
        <v/>
      </c>
      <c r="LA14" s="13" t="str">
        <f t="shared" si="99"/>
        <v/>
      </c>
      <c r="LB14" s="13" t="str">
        <f t="shared" si="100"/>
        <v/>
      </c>
      <c r="LC14" s="13" t="str">
        <f t="shared" si="101"/>
        <v/>
      </c>
      <c r="LD14" s="13" t="str">
        <f t="shared" si="102"/>
        <v/>
      </c>
      <c r="LE14" s="62"/>
      <c r="LF14" s="62"/>
      <c r="LG14" s="62"/>
      <c r="LH14" s="62"/>
      <c r="LI14" s="62"/>
      <c r="LJ14" s="62"/>
      <c r="LK14" s="62"/>
      <c r="LL14" s="62"/>
      <c r="LM14" s="62"/>
      <c r="LN14" s="62"/>
      <c r="LO14" s="62"/>
      <c r="LP14" s="62"/>
      <c r="LQ14" s="62"/>
      <c r="LR14" s="62"/>
      <c r="LS14" s="62"/>
      <c r="LT14" s="17" t="str">
        <f t="shared" si="103"/>
        <v/>
      </c>
      <c r="LU14" s="17" t="str">
        <f t="shared" si="104"/>
        <v/>
      </c>
      <c r="LV14" s="17" t="str">
        <f t="shared" si="105"/>
        <v/>
      </c>
      <c r="LW14" s="17" t="str">
        <f t="shared" si="106"/>
        <v/>
      </c>
      <c r="LX14" s="17" t="str">
        <f t="shared" si="107"/>
        <v/>
      </c>
      <c r="LY14" s="17" t="str">
        <f t="shared" si="108"/>
        <v/>
      </c>
    </row>
    <row r="15" spans="1:337" x14ac:dyDescent="0.2">
      <c r="A15" s="6">
        <f t="shared" ca="1" si="0"/>
        <v>4</v>
      </c>
      <c r="B15" s="7" t="s">
        <v>18</v>
      </c>
      <c r="C15" s="8" t="s">
        <v>8</v>
      </c>
      <c r="D15" s="46">
        <v>2017</v>
      </c>
      <c r="E15" s="18">
        <f t="shared" si="1"/>
        <v>197.95</v>
      </c>
      <c r="F15" s="4" t="str">
        <f t="shared" si="2"/>
        <v/>
      </c>
      <c r="G15" s="4" t="str">
        <f t="shared" ca="1" si="3"/>
        <v>P</v>
      </c>
      <c r="H15" t="str">
        <f t="shared" ca="1" si="4"/>
        <v>First 2 Years</v>
      </c>
      <c r="I15" s="17">
        <f t="shared" si="5"/>
        <v>103.5</v>
      </c>
      <c r="J15" s="17" t="str">
        <f t="shared" si="6"/>
        <v>2017 Canada Cup</v>
      </c>
      <c r="K15" s="17">
        <f t="shared" si="7"/>
        <v>49.199999999999996</v>
      </c>
      <c r="L15" s="17" t="str">
        <f t="shared" si="8"/>
        <v>2017 Nationals</v>
      </c>
      <c r="M15" s="17">
        <f t="shared" si="9"/>
        <v>17.299999999999997</v>
      </c>
      <c r="N15" s="17" t="str">
        <f t="shared" si="10"/>
        <v>2017 Nationals</v>
      </c>
      <c r="O15" s="17">
        <f t="shared" si="11"/>
        <v>27.950000000000003</v>
      </c>
      <c r="P15" s="17" t="str">
        <f t="shared" si="12"/>
        <v>2017 Canada Cup</v>
      </c>
      <c r="Q15" s="17" t="str">
        <f t="shared" si="13"/>
        <v/>
      </c>
      <c r="R15" s="44" t="str">
        <f t="shared" si="14"/>
        <v/>
      </c>
      <c r="S15" s="17" t="str">
        <f t="shared" si="15"/>
        <v/>
      </c>
      <c r="T15" s="60">
        <v>17</v>
      </c>
      <c r="U15" s="60">
        <v>9.1999999999999993</v>
      </c>
      <c r="V15" s="60">
        <v>5.8</v>
      </c>
      <c r="W15" s="60">
        <v>17.045000000000002</v>
      </c>
      <c r="X15" s="60">
        <v>0</v>
      </c>
      <c r="Y15" s="60">
        <v>15.5</v>
      </c>
      <c r="Z15" s="60">
        <v>9</v>
      </c>
      <c r="AA15" s="60">
        <v>14</v>
      </c>
      <c r="AB15" s="60">
        <v>15.955</v>
      </c>
      <c r="AC15" s="60">
        <v>0</v>
      </c>
      <c r="AD15" s="60">
        <v>7.9</v>
      </c>
      <c r="AE15" s="60">
        <v>4.0999999999999996</v>
      </c>
      <c r="AF15" s="60">
        <v>7.8</v>
      </c>
      <c r="AG15" s="60">
        <v>8.15</v>
      </c>
      <c r="AH15" s="60">
        <v>0</v>
      </c>
      <c r="AI15" s="13">
        <f t="shared" si="16"/>
        <v>19.8</v>
      </c>
      <c r="AJ15" s="13">
        <f t="shared" si="17"/>
        <v>49.045000000000002</v>
      </c>
      <c r="AK15" s="13">
        <f t="shared" si="18"/>
        <v>54.454999999999998</v>
      </c>
      <c r="AL15" s="13">
        <f t="shared" si="19"/>
        <v>103.5</v>
      </c>
      <c r="AM15" s="13">
        <f t="shared" si="20"/>
        <v>27.950000000000003</v>
      </c>
      <c r="AN15" s="13">
        <f t="shared" si="21"/>
        <v>131.44999999999999</v>
      </c>
      <c r="AO15" s="62">
        <v>17.5</v>
      </c>
      <c r="AP15" s="62">
        <v>9.4</v>
      </c>
      <c r="AQ15" s="62">
        <v>5.8</v>
      </c>
      <c r="AR15" s="62">
        <v>16.5</v>
      </c>
      <c r="AS15" s="62">
        <v>0</v>
      </c>
      <c r="AT15" s="62">
        <v>4.5999999999999996</v>
      </c>
      <c r="AU15" s="62">
        <v>2.6</v>
      </c>
      <c r="AV15" s="62">
        <v>5.0999999999999996</v>
      </c>
      <c r="AW15" s="62">
        <v>5</v>
      </c>
      <c r="AX15" s="62">
        <v>0</v>
      </c>
      <c r="AY15" s="62"/>
      <c r="AZ15" s="62"/>
      <c r="BA15" s="62"/>
      <c r="BB15" s="62"/>
      <c r="BC15" s="62"/>
      <c r="BD15" s="17">
        <f t="shared" si="22"/>
        <v>10.899999999999999</v>
      </c>
      <c r="BE15" s="17">
        <f t="shared" si="23"/>
        <v>49.199999999999996</v>
      </c>
      <c r="BF15" s="17">
        <f t="shared" si="24"/>
        <v>17.299999999999997</v>
      </c>
      <c r="BG15" s="17">
        <f t="shared" si="25"/>
        <v>66.5</v>
      </c>
      <c r="BH15" s="17" t="str">
        <f t="shared" si="26"/>
        <v/>
      </c>
      <c r="BI15" s="17">
        <f t="shared" si="27"/>
        <v>66.5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13" t="str">
        <f t="shared" si="28"/>
        <v/>
      </c>
      <c r="BZ15" s="13" t="str">
        <f t="shared" si="29"/>
        <v/>
      </c>
      <c r="CA15" s="13" t="str">
        <f t="shared" si="30"/>
        <v/>
      </c>
      <c r="CB15" s="13" t="str">
        <f t="shared" si="31"/>
        <v/>
      </c>
      <c r="CC15" s="13" t="str">
        <f t="shared" si="32"/>
        <v/>
      </c>
      <c r="CD15" s="13" t="str">
        <f t="shared" si="33"/>
        <v/>
      </c>
      <c r="CE15" s="43" t="str">
        <f t="shared" si="34"/>
        <v/>
      </c>
      <c r="CF15" s="43" t="str">
        <f t="shared" si="35"/>
        <v/>
      </c>
      <c r="CG15" s="43" t="str">
        <f t="shared" si="36"/>
        <v/>
      </c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13" t="str">
        <f t="shared" si="37"/>
        <v/>
      </c>
      <c r="CX15" s="13" t="str">
        <f t="shared" si="38"/>
        <v/>
      </c>
      <c r="CY15" s="13" t="str">
        <f t="shared" si="39"/>
        <v/>
      </c>
      <c r="CZ15" s="13" t="str">
        <f t="shared" si="40"/>
        <v/>
      </c>
      <c r="DA15" s="13" t="str">
        <f t="shared" si="41"/>
        <v/>
      </c>
      <c r="DB15" s="13" t="str">
        <f t="shared" si="42"/>
        <v/>
      </c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17" t="str">
        <f t="shared" si="43"/>
        <v/>
      </c>
      <c r="DS15" s="17" t="str">
        <f t="shared" si="44"/>
        <v/>
      </c>
      <c r="DT15" s="17" t="str">
        <f t="shared" si="45"/>
        <v/>
      </c>
      <c r="DU15" s="17" t="str">
        <f t="shared" si="46"/>
        <v/>
      </c>
      <c r="DV15" s="17" t="str">
        <f t="shared" si="47"/>
        <v/>
      </c>
      <c r="DW15" s="17" t="str">
        <f t="shared" si="48"/>
        <v/>
      </c>
      <c r="DX15" s="60"/>
      <c r="DY15" s="60"/>
      <c r="DZ15" s="60"/>
      <c r="EA15" s="60"/>
      <c r="EB15" s="60"/>
      <c r="EC15" s="60"/>
      <c r="ED15" s="60"/>
      <c r="EE15" s="60"/>
      <c r="EF15" s="60"/>
      <c r="EG15" s="60"/>
      <c r="EH15" s="60"/>
      <c r="EI15" s="60"/>
      <c r="EJ15" s="60"/>
      <c r="EK15" s="60"/>
      <c r="EL15" s="60"/>
      <c r="EM15" s="13" t="str">
        <f t="shared" si="49"/>
        <v/>
      </c>
      <c r="EN15" s="13" t="str">
        <f t="shared" si="50"/>
        <v/>
      </c>
      <c r="EO15" s="13" t="str">
        <f t="shared" si="51"/>
        <v/>
      </c>
      <c r="EP15" s="13" t="str">
        <f t="shared" si="52"/>
        <v/>
      </c>
      <c r="EQ15" s="13" t="str">
        <f t="shared" si="53"/>
        <v/>
      </c>
      <c r="ER15" s="13" t="str">
        <f t="shared" si="54"/>
        <v/>
      </c>
      <c r="ES15" s="62"/>
      <c r="ET15" s="62"/>
      <c r="EU15" s="62"/>
      <c r="EV15" s="62"/>
      <c r="EW15" s="62"/>
      <c r="EX15" s="62"/>
      <c r="EY15" s="62"/>
      <c r="EZ15" s="62"/>
      <c r="FA15" s="62"/>
      <c r="FB15" s="62"/>
      <c r="FC15" s="62"/>
      <c r="FD15" s="62"/>
      <c r="FE15" s="62"/>
      <c r="FF15" s="62"/>
      <c r="FG15" s="62"/>
      <c r="FH15" s="17" t="str">
        <f t="shared" si="55"/>
        <v/>
      </c>
      <c r="FI15" s="17" t="str">
        <f t="shared" si="56"/>
        <v/>
      </c>
      <c r="FJ15" s="17" t="str">
        <f t="shared" si="57"/>
        <v/>
      </c>
      <c r="FK15" s="17" t="str">
        <f t="shared" si="58"/>
        <v/>
      </c>
      <c r="FL15" s="17" t="str">
        <f t="shared" si="59"/>
        <v/>
      </c>
      <c r="FM15" s="17" t="str">
        <f t="shared" si="60"/>
        <v/>
      </c>
      <c r="FN15" s="60"/>
      <c r="FO15" s="60"/>
      <c r="FP15" s="60"/>
      <c r="FQ15" s="60"/>
      <c r="FR15" s="60"/>
      <c r="FS15" s="60"/>
      <c r="FT15" s="60"/>
      <c r="FU15" s="60"/>
      <c r="FV15" s="60"/>
      <c r="FW15" s="60"/>
      <c r="FX15" s="60"/>
      <c r="FY15" s="60"/>
      <c r="FZ15" s="60"/>
      <c r="GA15" s="60"/>
      <c r="GB15" s="60"/>
      <c r="GC15" s="13" t="str">
        <f t="shared" si="61"/>
        <v/>
      </c>
      <c r="GD15" s="13" t="str">
        <f t="shared" si="62"/>
        <v/>
      </c>
      <c r="GE15" s="13" t="str">
        <f t="shared" si="63"/>
        <v/>
      </c>
      <c r="GF15" s="13" t="str">
        <f t="shared" si="64"/>
        <v/>
      </c>
      <c r="GG15" s="13" t="str">
        <f t="shared" si="65"/>
        <v/>
      </c>
      <c r="GH15" s="13" t="str">
        <f t="shared" si="66"/>
        <v/>
      </c>
      <c r="GI15" s="62"/>
      <c r="GJ15" s="62"/>
      <c r="GK15" s="62"/>
      <c r="GL15" s="62"/>
      <c r="GM15" s="62"/>
      <c r="GN15" s="62"/>
      <c r="GO15" s="62"/>
      <c r="GP15" s="62"/>
      <c r="GQ15" s="62"/>
      <c r="GR15" s="62"/>
      <c r="GS15" s="62"/>
      <c r="GT15" s="62"/>
      <c r="GU15" s="62"/>
      <c r="GV15" s="62"/>
      <c r="GW15" s="62"/>
      <c r="GX15" s="17" t="str">
        <f t="shared" si="67"/>
        <v/>
      </c>
      <c r="GY15" s="17" t="str">
        <f t="shared" si="68"/>
        <v/>
      </c>
      <c r="GZ15" s="17" t="str">
        <f t="shared" si="69"/>
        <v/>
      </c>
      <c r="HA15" s="17" t="str">
        <f t="shared" si="70"/>
        <v/>
      </c>
      <c r="HB15" s="17" t="str">
        <f t="shared" si="71"/>
        <v/>
      </c>
      <c r="HC15" s="17" t="str">
        <f t="shared" si="72"/>
        <v/>
      </c>
      <c r="HD15" s="60"/>
      <c r="HE15" s="60"/>
      <c r="HF15" s="60"/>
      <c r="HG15" s="60"/>
      <c r="HH15" s="60"/>
      <c r="HI15" s="60"/>
      <c r="HJ15" s="60"/>
      <c r="HK15" s="60"/>
      <c r="HL15" s="60"/>
      <c r="HM15" s="60"/>
      <c r="HN15" s="60"/>
      <c r="HO15" s="60"/>
      <c r="HP15" s="60"/>
      <c r="HQ15" s="60"/>
      <c r="HR15" s="60"/>
      <c r="HS15" s="13" t="str">
        <f t="shared" si="73"/>
        <v/>
      </c>
      <c r="HT15" s="13" t="str">
        <f t="shared" si="74"/>
        <v/>
      </c>
      <c r="HU15" s="13" t="str">
        <f t="shared" si="75"/>
        <v/>
      </c>
      <c r="HV15" s="13" t="str">
        <f t="shared" si="76"/>
        <v/>
      </c>
      <c r="HW15" s="13" t="str">
        <f t="shared" si="77"/>
        <v/>
      </c>
      <c r="HX15" s="13" t="str">
        <f t="shared" si="78"/>
        <v/>
      </c>
      <c r="HY15" s="62"/>
      <c r="HZ15" s="62"/>
      <c r="IA15" s="62"/>
      <c r="IB15" s="62"/>
      <c r="IC15" s="62"/>
      <c r="ID15" s="62"/>
      <c r="IE15" s="62"/>
      <c r="IF15" s="62"/>
      <c r="IG15" s="62"/>
      <c r="IH15" s="62"/>
      <c r="II15" s="62"/>
      <c r="IJ15" s="62"/>
      <c r="IK15" s="62"/>
      <c r="IL15" s="62"/>
      <c r="IM15" s="62"/>
      <c r="IN15" s="17" t="str">
        <f t="shared" si="79"/>
        <v/>
      </c>
      <c r="IO15" s="17" t="str">
        <f t="shared" si="80"/>
        <v/>
      </c>
      <c r="IP15" s="17" t="str">
        <f t="shared" si="81"/>
        <v/>
      </c>
      <c r="IQ15" s="17" t="str">
        <f t="shared" si="82"/>
        <v/>
      </c>
      <c r="IR15" s="17" t="str">
        <f t="shared" si="83"/>
        <v/>
      </c>
      <c r="IS15" s="17" t="str">
        <f t="shared" si="84"/>
        <v/>
      </c>
      <c r="IT15" s="60"/>
      <c r="IU15" s="60"/>
      <c r="IV15" s="60"/>
      <c r="IW15" s="60"/>
      <c r="IX15" s="60"/>
      <c r="IY15" s="60"/>
      <c r="IZ15" s="60"/>
      <c r="JA15" s="60"/>
      <c r="JB15" s="60"/>
      <c r="JC15" s="60"/>
      <c r="JD15" s="60"/>
      <c r="JE15" s="60"/>
      <c r="JF15" s="60"/>
      <c r="JG15" s="60"/>
      <c r="JH15" s="60"/>
      <c r="JI15" s="13" t="str">
        <f t="shared" si="85"/>
        <v/>
      </c>
      <c r="JJ15" s="13" t="str">
        <f t="shared" si="86"/>
        <v/>
      </c>
      <c r="JK15" s="13" t="str">
        <f t="shared" si="87"/>
        <v/>
      </c>
      <c r="JL15" s="13" t="str">
        <f t="shared" si="88"/>
        <v/>
      </c>
      <c r="JM15" s="13" t="str">
        <f t="shared" si="89"/>
        <v/>
      </c>
      <c r="JN15" s="13" t="str">
        <f t="shared" si="90"/>
        <v/>
      </c>
      <c r="JO15" s="62"/>
      <c r="JP15" s="62"/>
      <c r="JQ15" s="62"/>
      <c r="JR15" s="62"/>
      <c r="JS15" s="62"/>
      <c r="JT15" s="62"/>
      <c r="JU15" s="62"/>
      <c r="JV15" s="62"/>
      <c r="JW15" s="62"/>
      <c r="JX15" s="62"/>
      <c r="JY15" s="62"/>
      <c r="JZ15" s="62"/>
      <c r="KA15" s="62"/>
      <c r="KB15" s="62"/>
      <c r="KC15" s="62"/>
      <c r="KD15" s="17" t="str">
        <f t="shared" si="91"/>
        <v/>
      </c>
      <c r="KE15" s="17" t="str">
        <f t="shared" si="92"/>
        <v/>
      </c>
      <c r="KF15" s="17" t="str">
        <f t="shared" si="93"/>
        <v/>
      </c>
      <c r="KG15" s="17" t="str">
        <f t="shared" si="94"/>
        <v/>
      </c>
      <c r="KH15" s="17" t="str">
        <f t="shared" si="95"/>
        <v/>
      </c>
      <c r="KI15" s="17" t="str">
        <f t="shared" si="96"/>
        <v/>
      </c>
      <c r="KJ15" s="60"/>
      <c r="KK15" s="60"/>
      <c r="KL15" s="60"/>
      <c r="KM15" s="60"/>
      <c r="KN15" s="60"/>
      <c r="KO15" s="60"/>
      <c r="KP15" s="60"/>
      <c r="KQ15" s="60"/>
      <c r="KR15" s="60"/>
      <c r="KS15" s="60"/>
      <c r="KT15" s="60"/>
      <c r="KU15" s="60"/>
      <c r="KV15" s="60"/>
      <c r="KW15" s="60"/>
      <c r="KX15" s="60"/>
      <c r="KY15" s="13" t="str">
        <f t="shared" si="97"/>
        <v/>
      </c>
      <c r="KZ15" s="13" t="str">
        <f t="shared" si="98"/>
        <v/>
      </c>
      <c r="LA15" s="13" t="str">
        <f t="shared" si="99"/>
        <v/>
      </c>
      <c r="LB15" s="13" t="str">
        <f t="shared" si="100"/>
        <v/>
      </c>
      <c r="LC15" s="13" t="str">
        <f t="shared" si="101"/>
        <v/>
      </c>
      <c r="LD15" s="13" t="str">
        <f t="shared" si="102"/>
        <v/>
      </c>
      <c r="LE15" s="62"/>
      <c r="LF15" s="62"/>
      <c r="LG15" s="62"/>
      <c r="LH15" s="62"/>
      <c r="LI15" s="62"/>
      <c r="LJ15" s="62"/>
      <c r="LK15" s="62"/>
      <c r="LL15" s="62"/>
      <c r="LM15" s="62"/>
      <c r="LN15" s="62"/>
      <c r="LO15" s="62"/>
      <c r="LP15" s="62"/>
      <c r="LQ15" s="62"/>
      <c r="LR15" s="62"/>
      <c r="LS15" s="62"/>
      <c r="LT15" s="17" t="str">
        <f t="shared" si="103"/>
        <v/>
      </c>
      <c r="LU15" s="17" t="str">
        <f t="shared" si="104"/>
        <v/>
      </c>
      <c r="LV15" s="17" t="str">
        <f t="shared" si="105"/>
        <v/>
      </c>
      <c r="LW15" s="17" t="str">
        <f t="shared" si="106"/>
        <v/>
      </c>
      <c r="LX15" s="17" t="str">
        <f t="shared" si="107"/>
        <v/>
      </c>
      <c r="LY15" s="17" t="str">
        <f t="shared" si="108"/>
        <v/>
      </c>
    </row>
    <row r="16" spans="1:337" x14ac:dyDescent="0.2">
      <c r="A16" s="6" t="str">
        <f t="shared" ca="1" si="0"/>
        <v/>
      </c>
      <c r="B16" s="9" t="s">
        <v>46</v>
      </c>
      <c r="C16" s="5" t="s">
        <v>4</v>
      </c>
      <c r="D16" s="46">
        <v>2017</v>
      </c>
      <c r="E16" s="18">
        <f t="shared" si="1"/>
        <v>164.77</v>
      </c>
      <c r="F16" s="4" t="str">
        <f t="shared" si="2"/>
        <v/>
      </c>
      <c r="G16" s="4" t="str">
        <f t="shared" ca="1" si="3"/>
        <v/>
      </c>
      <c r="H16" t="str">
        <f t="shared" ca="1" si="4"/>
        <v/>
      </c>
      <c r="I16" s="17">
        <f t="shared" si="5"/>
        <v>96.27000000000001</v>
      </c>
      <c r="J16" s="17" t="str">
        <f t="shared" si="6"/>
        <v>2017 Nationals</v>
      </c>
      <c r="K16" s="17">
        <f t="shared" si="7"/>
        <v>40.594999999999999</v>
      </c>
      <c r="L16" s="17" t="str">
        <f t="shared" si="8"/>
        <v>2017 3rd Domestic Trial</v>
      </c>
      <c r="M16" s="17">
        <f t="shared" si="9"/>
        <v>17.824999999999999</v>
      </c>
      <c r="N16" s="17" t="str">
        <f t="shared" si="10"/>
        <v>2017 3rd Domestic Trial</v>
      </c>
      <c r="O16" s="17">
        <f t="shared" si="11"/>
        <v>10.08</v>
      </c>
      <c r="P16" s="17" t="str">
        <f t="shared" si="12"/>
        <v>2017 Nationals</v>
      </c>
      <c r="Q16" s="17" t="str">
        <f t="shared" si="13"/>
        <v/>
      </c>
      <c r="R16" s="44" t="str">
        <f t="shared" si="14"/>
        <v/>
      </c>
      <c r="S16" s="17" t="str">
        <f t="shared" si="15"/>
        <v/>
      </c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13" t="str">
        <f t="shared" si="16"/>
        <v/>
      </c>
      <c r="AJ16" s="13" t="str">
        <f t="shared" si="17"/>
        <v/>
      </c>
      <c r="AK16" s="13" t="str">
        <f t="shared" si="18"/>
        <v/>
      </c>
      <c r="AL16" s="13" t="str">
        <f t="shared" si="19"/>
        <v/>
      </c>
      <c r="AM16" s="13" t="str">
        <f t="shared" si="20"/>
        <v/>
      </c>
      <c r="AN16" s="13" t="str">
        <f t="shared" si="21"/>
        <v/>
      </c>
      <c r="AO16" s="62">
        <v>17.100000000000001</v>
      </c>
      <c r="AP16" s="62">
        <v>9.8000000000000007</v>
      </c>
      <c r="AQ16" s="62">
        <v>4.2</v>
      </c>
      <c r="AR16" s="62">
        <v>15.654999999999999</v>
      </c>
      <c r="AS16" s="62">
        <v>0</v>
      </c>
      <c r="AT16" s="62">
        <v>12.8</v>
      </c>
      <c r="AU16" s="62">
        <v>9.1</v>
      </c>
      <c r="AV16" s="62">
        <v>13.8</v>
      </c>
      <c r="AW16" s="62">
        <v>13.815</v>
      </c>
      <c r="AX16" s="62">
        <v>0</v>
      </c>
      <c r="AY16" s="62">
        <v>2.4</v>
      </c>
      <c r="AZ16" s="62">
        <v>1.6</v>
      </c>
      <c r="BA16" s="62">
        <v>3</v>
      </c>
      <c r="BB16" s="62">
        <v>3.08</v>
      </c>
      <c r="BC16" s="62">
        <v>0</v>
      </c>
      <c r="BD16" s="17">
        <f t="shared" si="22"/>
        <v>18</v>
      </c>
      <c r="BE16" s="17">
        <f t="shared" si="23"/>
        <v>46.755000000000003</v>
      </c>
      <c r="BF16" s="17">
        <f t="shared" si="24"/>
        <v>49.515000000000001</v>
      </c>
      <c r="BG16" s="17">
        <f t="shared" si="25"/>
        <v>96.27000000000001</v>
      </c>
      <c r="BH16" s="17">
        <f t="shared" si="26"/>
        <v>10.08</v>
      </c>
      <c r="BI16" s="17">
        <f t="shared" si="27"/>
        <v>106.35000000000001</v>
      </c>
      <c r="BJ16" s="60">
        <v>15.2</v>
      </c>
      <c r="BK16" s="60">
        <v>8.8000000000000007</v>
      </c>
      <c r="BL16" s="60">
        <v>3.3</v>
      </c>
      <c r="BM16" s="60">
        <v>15.295</v>
      </c>
      <c r="BN16" s="60">
        <v>2</v>
      </c>
      <c r="BO16" s="60">
        <v>4.2</v>
      </c>
      <c r="BP16" s="60">
        <v>2.9</v>
      </c>
      <c r="BQ16" s="60">
        <v>5.9</v>
      </c>
      <c r="BR16" s="60">
        <v>4.8250000000000002</v>
      </c>
      <c r="BS16" s="60">
        <v>0</v>
      </c>
      <c r="BT16" s="60"/>
      <c r="BU16" s="60"/>
      <c r="BV16" s="60"/>
      <c r="BW16" s="60"/>
      <c r="BX16" s="60"/>
      <c r="BY16" s="13">
        <f t="shared" si="28"/>
        <v>9.1999999999999993</v>
      </c>
      <c r="BZ16" s="13">
        <f t="shared" si="29"/>
        <v>40.594999999999999</v>
      </c>
      <c r="CA16" s="13">
        <f t="shared" si="30"/>
        <v>17.824999999999999</v>
      </c>
      <c r="CB16" s="13">
        <f t="shared" si="31"/>
        <v>58.42</v>
      </c>
      <c r="CC16" s="13" t="str">
        <f t="shared" si="32"/>
        <v/>
      </c>
      <c r="CD16" s="13">
        <f t="shared" si="33"/>
        <v>58.42</v>
      </c>
      <c r="CE16" s="43" t="str">
        <f t="shared" si="34"/>
        <v/>
      </c>
      <c r="CF16" s="43" t="str">
        <f t="shared" si="35"/>
        <v/>
      </c>
      <c r="CG16" s="43" t="str">
        <f t="shared" si="36"/>
        <v/>
      </c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13" t="str">
        <f t="shared" si="37"/>
        <v/>
      </c>
      <c r="CX16" s="13" t="str">
        <f t="shared" si="38"/>
        <v/>
      </c>
      <c r="CY16" s="13" t="str">
        <f t="shared" si="39"/>
        <v/>
      </c>
      <c r="CZ16" s="13" t="str">
        <f t="shared" si="40"/>
        <v/>
      </c>
      <c r="DA16" s="13" t="str">
        <f t="shared" si="41"/>
        <v/>
      </c>
      <c r="DB16" s="13" t="str">
        <f t="shared" si="42"/>
        <v/>
      </c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17" t="str">
        <f t="shared" si="43"/>
        <v/>
      </c>
      <c r="DS16" s="17" t="str">
        <f t="shared" si="44"/>
        <v/>
      </c>
      <c r="DT16" s="17" t="str">
        <f t="shared" si="45"/>
        <v/>
      </c>
      <c r="DU16" s="17" t="str">
        <f t="shared" si="46"/>
        <v/>
      </c>
      <c r="DV16" s="17" t="str">
        <f t="shared" si="47"/>
        <v/>
      </c>
      <c r="DW16" s="17" t="str">
        <f t="shared" si="48"/>
        <v/>
      </c>
      <c r="DX16" s="60"/>
      <c r="DY16" s="60"/>
      <c r="DZ16" s="60"/>
      <c r="EA16" s="60"/>
      <c r="EB16" s="60"/>
      <c r="EC16" s="60"/>
      <c r="ED16" s="60"/>
      <c r="EE16" s="60"/>
      <c r="EF16" s="60"/>
      <c r="EG16" s="60"/>
      <c r="EH16" s="60"/>
      <c r="EI16" s="60"/>
      <c r="EJ16" s="60"/>
      <c r="EK16" s="60"/>
      <c r="EL16" s="60"/>
      <c r="EM16" s="13" t="str">
        <f t="shared" si="49"/>
        <v/>
      </c>
      <c r="EN16" s="13" t="str">
        <f t="shared" si="50"/>
        <v/>
      </c>
      <c r="EO16" s="13" t="str">
        <f t="shared" si="51"/>
        <v/>
      </c>
      <c r="EP16" s="13" t="str">
        <f t="shared" si="52"/>
        <v/>
      </c>
      <c r="EQ16" s="13" t="str">
        <f t="shared" si="53"/>
        <v/>
      </c>
      <c r="ER16" s="13" t="str">
        <f t="shared" si="54"/>
        <v/>
      </c>
      <c r="ES16" s="62"/>
      <c r="ET16" s="62"/>
      <c r="EU16" s="62"/>
      <c r="EV16" s="62"/>
      <c r="EW16" s="62"/>
      <c r="EX16" s="62"/>
      <c r="EY16" s="62"/>
      <c r="EZ16" s="62"/>
      <c r="FA16" s="62"/>
      <c r="FB16" s="62"/>
      <c r="FC16" s="62"/>
      <c r="FD16" s="62"/>
      <c r="FE16" s="62"/>
      <c r="FF16" s="62"/>
      <c r="FG16" s="62"/>
      <c r="FH16" s="17" t="str">
        <f t="shared" si="55"/>
        <v/>
      </c>
      <c r="FI16" s="17" t="str">
        <f t="shared" si="56"/>
        <v/>
      </c>
      <c r="FJ16" s="17" t="str">
        <f t="shared" si="57"/>
        <v/>
      </c>
      <c r="FK16" s="17" t="str">
        <f t="shared" si="58"/>
        <v/>
      </c>
      <c r="FL16" s="17" t="str">
        <f t="shared" si="59"/>
        <v/>
      </c>
      <c r="FM16" s="17" t="str">
        <f t="shared" si="60"/>
        <v/>
      </c>
      <c r="FN16" s="60"/>
      <c r="FO16" s="60"/>
      <c r="FP16" s="60"/>
      <c r="FQ16" s="60"/>
      <c r="FR16" s="60"/>
      <c r="FS16" s="60"/>
      <c r="FT16" s="60"/>
      <c r="FU16" s="60"/>
      <c r="FV16" s="60"/>
      <c r="FW16" s="60"/>
      <c r="FX16" s="60"/>
      <c r="FY16" s="60"/>
      <c r="FZ16" s="60"/>
      <c r="GA16" s="60"/>
      <c r="GB16" s="60"/>
      <c r="GC16" s="13" t="str">
        <f t="shared" si="61"/>
        <v/>
      </c>
      <c r="GD16" s="13" t="str">
        <f t="shared" si="62"/>
        <v/>
      </c>
      <c r="GE16" s="13" t="str">
        <f t="shared" si="63"/>
        <v/>
      </c>
      <c r="GF16" s="13" t="str">
        <f t="shared" si="64"/>
        <v/>
      </c>
      <c r="GG16" s="13" t="str">
        <f t="shared" si="65"/>
        <v/>
      </c>
      <c r="GH16" s="13" t="str">
        <f t="shared" si="66"/>
        <v/>
      </c>
      <c r="GI16" s="62"/>
      <c r="GJ16" s="62"/>
      <c r="GK16" s="62"/>
      <c r="GL16" s="62"/>
      <c r="GM16" s="62"/>
      <c r="GN16" s="62"/>
      <c r="GO16" s="62"/>
      <c r="GP16" s="62"/>
      <c r="GQ16" s="62"/>
      <c r="GR16" s="62"/>
      <c r="GS16" s="62"/>
      <c r="GT16" s="62"/>
      <c r="GU16" s="62"/>
      <c r="GV16" s="62"/>
      <c r="GW16" s="62"/>
      <c r="GX16" s="17" t="str">
        <f t="shared" si="67"/>
        <v/>
      </c>
      <c r="GY16" s="17" t="str">
        <f t="shared" si="68"/>
        <v/>
      </c>
      <c r="GZ16" s="17" t="str">
        <f t="shared" si="69"/>
        <v/>
      </c>
      <c r="HA16" s="17" t="str">
        <f t="shared" si="70"/>
        <v/>
      </c>
      <c r="HB16" s="17" t="str">
        <f t="shared" si="71"/>
        <v/>
      </c>
      <c r="HC16" s="17" t="str">
        <f t="shared" si="72"/>
        <v/>
      </c>
      <c r="HD16" s="60"/>
      <c r="HE16" s="60"/>
      <c r="HF16" s="60"/>
      <c r="HG16" s="60"/>
      <c r="HH16" s="60"/>
      <c r="HI16" s="60"/>
      <c r="HJ16" s="60"/>
      <c r="HK16" s="60"/>
      <c r="HL16" s="60"/>
      <c r="HM16" s="60"/>
      <c r="HN16" s="60"/>
      <c r="HO16" s="60"/>
      <c r="HP16" s="60"/>
      <c r="HQ16" s="60"/>
      <c r="HR16" s="60"/>
      <c r="HS16" s="13" t="str">
        <f t="shared" si="73"/>
        <v/>
      </c>
      <c r="HT16" s="13" t="str">
        <f t="shared" si="74"/>
        <v/>
      </c>
      <c r="HU16" s="13" t="str">
        <f t="shared" si="75"/>
        <v/>
      </c>
      <c r="HV16" s="13" t="str">
        <f t="shared" si="76"/>
        <v/>
      </c>
      <c r="HW16" s="13" t="str">
        <f t="shared" si="77"/>
        <v/>
      </c>
      <c r="HX16" s="13" t="str">
        <f t="shared" si="78"/>
        <v/>
      </c>
      <c r="HY16" s="62"/>
      <c r="HZ16" s="62"/>
      <c r="IA16" s="62"/>
      <c r="IB16" s="62"/>
      <c r="IC16" s="62"/>
      <c r="ID16" s="62"/>
      <c r="IE16" s="62"/>
      <c r="IF16" s="62"/>
      <c r="IG16" s="62"/>
      <c r="IH16" s="62"/>
      <c r="II16" s="62"/>
      <c r="IJ16" s="62"/>
      <c r="IK16" s="62"/>
      <c r="IL16" s="62"/>
      <c r="IM16" s="62"/>
      <c r="IN16" s="17" t="str">
        <f t="shared" si="79"/>
        <v/>
      </c>
      <c r="IO16" s="17" t="str">
        <f t="shared" si="80"/>
        <v/>
      </c>
      <c r="IP16" s="17" t="str">
        <f t="shared" si="81"/>
        <v/>
      </c>
      <c r="IQ16" s="17" t="str">
        <f t="shared" si="82"/>
        <v/>
      </c>
      <c r="IR16" s="17" t="str">
        <f t="shared" si="83"/>
        <v/>
      </c>
      <c r="IS16" s="17" t="str">
        <f t="shared" si="84"/>
        <v/>
      </c>
      <c r="IT16" s="60"/>
      <c r="IU16" s="60"/>
      <c r="IV16" s="60"/>
      <c r="IW16" s="60"/>
      <c r="IX16" s="60"/>
      <c r="IY16" s="60"/>
      <c r="IZ16" s="60"/>
      <c r="JA16" s="60"/>
      <c r="JB16" s="60"/>
      <c r="JC16" s="60"/>
      <c r="JD16" s="60"/>
      <c r="JE16" s="60"/>
      <c r="JF16" s="60"/>
      <c r="JG16" s="60"/>
      <c r="JH16" s="60"/>
      <c r="JI16" s="13" t="str">
        <f t="shared" si="85"/>
        <v/>
      </c>
      <c r="JJ16" s="13" t="str">
        <f t="shared" si="86"/>
        <v/>
      </c>
      <c r="JK16" s="13" t="str">
        <f t="shared" si="87"/>
        <v/>
      </c>
      <c r="JL16" s="13" t="str">
        <f t="shared" si="88"/>
        <v/>
      </c>
      <c r="JM16" s="13" t="str">
        <f t="shared" si="89"/>
        <v/>
      </c>
      <c r="JN16" s="13" t="str">
        <f t="shared" si="90"/>
        <v/>
      </c>
      <c r="JO16" s="62"/>
      <c r="JP16" s="62"/>
      <c r="JQ16" s="62"/>
      <c r="JR16" s="62"/>
      <c r="JS16" s="62"/>
      <c r="JT16" s="62"/>
      <c r="JU16" s="62"/>
      <c r="JV16" s="62"/>
      <c r="JW16" s="62"/>
      <c r="JX16" s="62"/>
      <c r="JY16" s="62"/>
      <c r="JZ16" s="62"/>
      <c r="KA16" s="62"/>
      <c r="KB16" s="62"/>
      <c r="KC16" s="62"/>
      <c r="KD16" s="17" t="str">
        <f t="shared" si="91"/>
        <v/>
      </c>
      <c r="KE16" s="17" t="str">
        <f t="shared" si="92"/>
        <v/>
      </c>
      <c r="KF16" s="17" t="str">
        <f t="shared" si="93"/>
        <v/>
      </c>
      <c r="KG16" s="17" t="str">
        <f t="shared" si="94"/>
        <v/>
      </c>
      <c r="KH16" s="17" t="str">
        <f t="shared" si="95"/>
        <v/>
      </c>
      <c r="KI16" s="17" t="str">
        <f t="shared" si="96"/>
        <v/>
      </c>
      <c r="KJ16" s="60"/>
      <c r="KK16" s="60"/>
      <c r="KL16" s="60"/>
      <c r="KM16" s="60"/>
      <c r="KN16" s="60"/>
      <c r="KO16" s="60"/>
      <c r="KP16" s="60"/>
      <c r="KQ16" s="60"/>
      <c r="KR16" s="60"/>
      <c r="KS16" s="60"/>
      <c r="KT16" s="60"/>
      <c r="KU16" s="60"/>
      <c r="KV16" s="60"/>
      <c r="KW16" s="60"/>
      <c r="KX16" s="60"/>
      <c r="KY16" s="13" t="str">
        <f t="shared" si="97"/>
        <v/>
      </c>
      <c r="KZ16" s="13" t="str">
        <f t="shared" si="98"/>
        <v/>
      </c>
      <c r="LA16" s="13" t="str">
        <f t="shared" si="99"/>
        <v/>
      </c>
      <c r="LB16" s="13" t="str">
        <f t="shared" si="100"/>
        <v/>
      </c>
      <c r="LC16" s="13" t="str">
        <f t="shared" si="101"/>
        <v/>
      </c>
      <c r="LD16" s="13" t="str">
        <f t="shared" si="102"/>
        <v/>
      </c>
      <c r="LE16" s="62"/>
      <c r="LF16" s="62"/>
      <c r="LG16" s="62"/>
      <c r="LH16" s="62"/>
      <c r="LI16" s="62"/>
      <c r="LJ16" s="62"/>
      <c r="LK16" s="62"/>
      <c r="LL16" s="62"/>
      <c r="LM16" s="62"/>
      <c r="LN16" s="62"/>
      <c r="LO16" s="62"/>
      <c r="LP16" s="62"/>
      <c r="LQ16" s="62"/>
      <c r="LR16" s="62"/>
      <c r="LS16" s="62"/>
      <c r="LT16" s="17" t="str">
        <f t="shared" si="103"/>
        <v/>
      </c>
      <c r="LU16" s="17" t="str">
        <f t="shared" si="104"/>
        <v/>
      </c>
      <c r="LV16" s="17" t="str">
        <f t="shared" si="105"/>
        <v/>
      </c>
      <c r="LW16" s="17" t="str">
        <f t="shared" si="106"/>
        <v/>
      </c>
      <c r="LX16" s="17" t="str">
        <f t="shared" si="107"/>
        <v/>
      </c>
      <c r="LY16" s="17" t="str">
        <f t="shared" si="108"/>
        <v/>
      </c>
    </row>
    <row r="17" spans="1:337" x14ac:dyDescent="0.2">
      <c r="A17" s="6" t="str">
        <f t="shared" ca="1" si="0"/>
        <v/>
      </c>
      <c r="B17" s="7" t="s">
        <v>12</v>
      </c>
      <c r="C17" s="8" t="s">
        <v>13</v>
      </c>
      <c r="D17" s="8">
        <v>2016</v>
      </c>
      <c r="E17" s="18">
        <f t="shared" si="1"/>
        <v>151.785</v>
      </c>
      <c r="F17" s="4" t="str">
        <f t="shared" si="2"/>
        <v/>
      </c>
      <c r="G17" s="4" t="str">
        <f t="shared" ca="1" si="3"/>
        <v/>
      </c>
      <c r="H17" t="str">
        <f t="shared" ca="1" si="4"/>
        <v/>
      </c>
      <c r="I17" s="17">
        <f t="shared" si="5"/>
        <v>90.915000000000006</v>
      </c>
      <c r="J17" s="17" t="str">
        <f t="shared" si="6"/>
        <v>2017 Nationals</v>
      </c>
      <c r="K17" s="17">
        <f t="shared" si="7"/>
        <v>22.2</v>
      </c>
      <c r="L17" s="17" t="str">
        <f t="shared" si="8"/>
        <v>2017 3rd Domestic Trial</v>
      </c>
      <c r="M17" s="17">
        <f t="shared" si="9"/>
        <v>10.875</v>
      </c>
      <c r="N17" s="17" t="str">
        <f t="shared" si="10"/>
        <v>2017 3rd Domestic Trial</v>
      </c>
      <c r="O17" s="17">
        <f t="shared" si="11"/>
        <v>27.794999999999998</v>
      </c>
      <c r="P17" s="17" t="str">
        <f t="shared" si="12"/>
        <v>2017 Nationals</v>
      </c>
      <c r="Q17" s="17" t="str">
        <f t="shared" si="13"/>
        <v/>
      </c>
      <c r="R17" s="44" t="str">
        <f t="shared" si="14"/>
        <v/>
      </c>
      <c r="S17" s="17" t="str">
        <f t="shared" si="15"/>
        <v/>
      </c>
      <c r="T17" s="60">
        <v>0</v>
      </c>
      <c r="U17" s="60">
        <v>0</v>
      </c>
      <c r="V17" s="60">
        <v>0</v>
      </c>
      <c r="W17" s="60">
        <v>0</v>
      </c>
      <c r="X17" s="60">
        <v>0</v>
      </c>
      <c r="Y17" s="60">
        <v>1.5</v>
      </c>
      <c r="Z17" s="60">
        <v>0.9</v>
      </c>
      <c r="AA17" s="60">
        <v>2</v>
      </c>
      <c r="AB17" s="60">
        <v>1.72</v>
      </c>
      <c r="AC17" s="60">
        <v>0</v>
      </c>
      <c r="AD17" s="60"/>
      <c r="AE17" s="60"/>
      <c r="AF17" s="60"/>
      <c r="AG17" s="60"/>
      <c r="AH17" s="60"/>
      <c r="AI17" s="13">
        <f t="shared" si="16"/>
        <v>2</v>
      </c>
      <c r="AJ17" s="13" t="str">
        <f t="shared" si="17"/>
        <v/>
      </c>
      <c r="AK17" s="13">
        <f t="shared" si="18"/>
        <v>6.12</v>
      </c>
      <c r="AL17" s="13">
        <f t="shared" si="19"/>
        <v>6.12</v>
      </c>
      <c r="AM17" s="13" t="str">
        <f t="shared" si="20"/>
        <v/>
      </c>
      <c r="AN17" s="13">
        <f t="shared" si="21"/>
        <v>6.12</v>
      </c>
      <c r="AO17" s="62">
        <v>14.9</v>
      </c>
      <c r="AP17" s="62">
        <v>8.6</v>
      </c>
      <c r="AQ17" s="62">
        <v>4.5999999999999996</v>
      </c>
      <c r="AR17" s="62">
        <v>15.89</v>
      </c>
      <c r="AS17" s="62">
        <v>2</v>
      </c>
      <c r="AT17" s="62">
        <v>13.8</v>
      </c>
      <c r="AU17" s="62">
        <v>8.6</v>
      </c>
      <c r="AV17" s="62">
        <v>11.3</v>
      </c>
      <c r="AW17" s="62">
        <v>15.225</v>
      </c>
      <c r="AX17" s="62">
        <v>0</v>
      </c>
      <c r="AY17" s="62">
        <v>7.2</v>
      </c>
      <c r="AZ17" s="62">
        <v>4.5</v>
      </c>
      <c r="BA17" s="62">
        <v>8.1999999999999993</v>
      </c>
      <c r="BB17" s="62">
        <v>7.8949999999999996</v>
      </c>
      <c r="BC17" s="62">
        <v>0</v>
      </c>
      <c r="BD17" s="17">
        <f t="shared" si="22"/>
        <v>15.9</v>
      </c>
      <c r="BE17" s="17">
        <f t="shared" si="23"/>
        <v>41.99</v>
      </c>
      <c r="BF17" s="17">
        <f t="shared" si="24"/>
        <v>48.925000000000004</v>
      </c>
      <c r="BG17" s="17">
        <f t="shared" si="25"/>
        <v>90.915000000000006</v>
      </c>
      <c r="BH17" s="17">
        <f t="shared" si="26"/>
        <v>27.794999999999998</v>
      </c>
      <c r="BI17" s="17">
        <f t="shared" si="27"/>
        <v>118.71000000000001</v>
      </c>
      <c r="BJ17" s="60">
        <v>7.5</v>
      </c>
      <c r="BK17" s="60">
        <v>4.5</v>
      </c>
      <c r="BL17" s="60">
        <v>2.1</v>
      </c>
      <c r="BM17" s="60">
        <v>8.1</v>
      </c>
      <c r="BN17" s="60">
        <v>0</v>
      </c>
      <c r="BO17" s="60">
        <v>2.8</v>
      </c>
      <c r="BP17" s="60">
        <v>1.7</v>
      </c>
      <c r="BQ17" s="60">
        <v>3.2</v>
      </c>
      <c r="BR17" s="60">
        <v>3.1749999999999998</v>
      </c>
      <c r="BS17" s="60">
        <v>0</v>
      </c>
      <c r="BT17" s="60"/>
      <c r="BU17" s="60"/>
      <c r="BV17" s="60"/>
      <c r="BW17" s="60"/>
      <c r="BX17" s="60"/>
      <c r="BY17" s="13">
        <f t="shared" si="28"/>
        <v>5.3000000000000007</v>
      </c>
      <c r="BZ17" s="13">
        <f t="shared" si="29"/>
        <v>22.2</v>
      </c>
      <c r="CA17" s="13">
        <f t="shared" si="30"/>
        <v>10.875</v>
      </c>
      <c r="CB17" s="13">
        <f t="shared" si="31"/>
        <v>33.075000000000003</v>
      </c>
      <c r="CC17" s="13" t="str">
        <f t="shared" si="32"/>
        <v/>
      </c>
      <c r="CD17" s="13">
        <f t="shared" si="33"/>
        <v>33.075000000000003</v>
      </c>
      <c r="CE17" s="43" t="str">
        <f t="shared" si="34"/>
        <v/>
      </c>
      <c r="CF17" s="43" t="str">
        <f t="shared" si="35"/>
        <v/>
      </c>
      <c r="CG17" s="43" t="str">
        <f t="shared" si="36"/>
        <v/>
      </c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13" t="str">
        <f t="shared" si="37"/>
        <v/>
      </c>
      <c r="CX17" s="13" t="str">
        <f t="shared" si="38"/>
        <v/>
      </c>
      <c r="CY17" s="13" t="str">
        <f t="shared" si="39"/>
        <v/>
      </c>
      <c r="CZ17" s="13" t="str">
        <f t="shared" si="40"/>
        <v/>
      </c>
      <c r="DA17" s="13" t="str">
        <f t="shared" si="41"/>
        <v/>
      </c>
      <c r="DB17" s="13" t="str">
        <f t="shared" si="42"/>
        <v/>
      </c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17" t="str">
        <f t="shared" si="43"/>
        <v/>
      </c>
      <c r="DS17" s="17" t="str">
        <f t="shared" si="44"/>
        <v/>
      </c>
      <c r="DT17" s="17" t="str">
        <f t="shared" si="45"/>
        <v/>
      </c>
      <c r="DU17" s="17" t="str">
        <f t="shared" si="46"/>
        <v/>
      </c>
      <c r="DV17" s="17" t="str">
        <f t="shared" si="47"/>
        <v/>
      </c>
      <c r="DW17" s="17" t="str">
        <f t="shared" si="48"/>
        <v/>
      </c>
      <c r="DX17" s="60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13" t="str">
        <f t="shared" si="49"/>
        <v/>
      </c>
      <c r="EN17" s="13" t="str">
        <f t="shared" si="50"/>
        <v/>
      </c>
      <c r="EO17" s="13" t="str">
        <f t="shared" si="51"/>
        <v/>
      </c>
      <c r="EP17" s="13" t="str">
        <f t="shared" si="52"/>
        <v/>
      </c>
      <c r="EQ17" s="13" t="str">
        <f t="shared" si="53"/>
        <v/>
      </c>
      <c r="ER17" s="13" t="str">
        <f t="shared" si="54"/>
        <v/>
      </c>
      <c r="ES17" s="62"/>
      <c r="ET17" s="62"/>
      <c r="EU17" s="62"/>
      <c r="EV17" s="62"/>
      <c r="EW17" s="62"/>
      <c r="EX17" s="62"/>
      <c r="EY17" s="62"/>
      <c r="EZ17" s="62"/>
      <c r="FA17" s="62"/>
      <c r="FB17" s="62"/>
      <c r="FC17" s="62"/>
      <c r="FD17" s="62"/>
      <c r="FE17" s="62"/>
      <c r="FF17" s="62"/>
      <c r="FG17" s="62"/>
      <c r="FH17" s="17" t="str">
        <f t="shared" si="55"/>
        <v/>
      </c>
      <c r="FI17" s="17" t="str">
        <f t="shared" si="56"/>
        <v/>
      </c>
      <c r="FJ17" s="17" t="str">
        <f t="shared" si="57"/>
        <v/>
      </c>
      <c r="FK17" s="17" t="str">
        <f t="shared" si="58"/>
        <v/>
      </c>
      <c r="FL17" s="17" t="str">
        <f t="shared" si="59"/>
        <v/>
      </c>
      <c r="FM17" s="17" t="str">
        <f t="shared" si="60"/>
        <v/>
      </c>
      <c r="FN17" s="60"/>
      <c r="FO17" s="60"/>
      <c r="FP17" s="60"/>
      <c r="FQ17" s="60"/>
      <c r="FR17" s="60"/>
      <c r="FS17" s="60"/>
      <c r="FT17" s="60"/>
      <c r="FU17" s="60"/>
      <c r="FV17" s="60"/>
      <c r="FW17" s="60"/>
      <c r="FX17" s="60"/>
      <c r="FY17" s="60"/>
      <c r="FZ17" s="60"/>
      <c r="GA17" s="60"/>
      <c r="GB17" s="60"/>
      <c r="GC17" s="13" t="str">
        <f t="shared" si="61"/>
        <v/>
      </c>
      <c r="GD17" s="13" t="str">
        <f t="shared" si="62"/>
        <v/>
      </c>
      <c r="GE17" s="13" t="str">
        <f t="shared" si="63"/>
        <v/>
      </c>
      <c r="GF17" s="13" t="str">
        <f t="shared" si="64"/>
        <v/>
      </c>
      <c r="GG17" s="13" t="str">
        <f t="shared" si="65"/>
        <v/>
      </c>
      <c r="GH17" s="13" t="str">
        <f t="shared" si="66"/>
        <v/>
      </c>
      <c r="GI17" s="62"/>
      <c r="GJ17" s="62"/>
      <c r="GK17" s="62"/>
      <c r="GL17" s="62"/>
      <c r="GM17" s="62"/>
      <c r="GN17" s="62"/>
      <c r="GO17" s="62"/>
      <c r="GP17" s="62"/>
      <c r="GQ17" s="62"/>
      <c r="GR17" s="62"/>
      <c r="GS17" s="62"/>
      <c r="GT17" s="62"/>
      <c r="GU17" s="62"/>
      <c r="GV17" s="62"/>
      <c r="GW17" s="62"/>
      <c r="GX17" s="17" t="str">
        <f t="shared" si="67"/>
        <v/>
      </c>
      <c r="GY17" s="17" t="str">
        <f t="shared" si="68"/>
        <v/>
      </c>
      <c r="GZ17" s="17" t="str">
        <f t="shared" si="69"/>
        <v/>
      </c>
      <c r="HA17" s="17" t="str">
        <f t="shared" si="70"/>
        <v/>
      </c>
      <c r="HB17" s="17" t="str">
        <f t="shared" si="71"/>
        <v/>
      </c>
      <c r="HC17" s="17" t="str">
        <f t="shared" si="72"/>
        <v/>
      </c>
      <c r="HD17" s="60"/>
      <c r="HE17" s="60"/>
      <c r="HF17" s="60"/>
      <c r="HG17" s="60"/>
      <c r="HH17" s="60"/>
      <c r="HI17" s="60"/>
      <c r="HJ17" s="60"/>
      <c r="HK17" s="60"/>
      <c r="HL17" s="60"/>
      <c r="HM17" s="60"/>
      <c r="HN17" s="60"/>
      <c r="HO17" s="60"/>
      <c r="HP17" s="60"/>
      <c r="HQ17" s="60"/>
      <c r="HR17" s="60"/>
      <c r="HS17" s="13" t="str">
        <f t="shared" si="73"/>
        <v/>
      </c>
      <c r="HT17" s="13" t="str">
        <f t="shared" si="74"/>
        <v/>
      </c>
      <c r="HU17" s="13" t="str">
        <f t="shared" si="75"/>
        <v/>
      </c>
      <c r="HV17" s="13" t="str">
        <f t="shared" si="76"/>
        <v/>
      </c>
      <c r="HW17" s="13" t="str">
        <f t="shared" si="77"/>
        <v/>
      </c>
      <c r="HX17" s="13" t="str">
        <f t="shared" si="78"/>
        <v/>
      </c>
      <c r="HY17" s="62"/>
      <c r="HZ17" s="62"/>
      <c r="IA17" s="62"/>
      <c r="IB17" s="62"/>
      <c r="IC17" s="62"/>
      <c r="ID17" s="62"/>
      <c r="IE17" s="62"/>
      <c r="IF17" s="62"/>
      <c r="IG17" s="62"/>
      <c r="IH17" s="62"/>
      <c r="II17" s="62"/>
      <c r="IJ17" s="62"/>
      <c r="IK17" s="62"/>
      <c r="IL17" s="62"/>
      <c r="IM17" s="62"/>
      <c r="IN17" s="17" t="str">
        <f t="shared" si="79"/>
        <v/>
      </c>
      <c r="IO17" s="17" t="str">
        <f t="shared" si="80"/>
        <v/>
      </c>
      <c r="IP17" s="17" t="str">
        <f t="shared" si="81"/>
        <v/>
      </c>
      <c r="IQ17" s="17" t="str">
        <f t="shared" si="82"/>
        <v/>
      </c>
      <c r="IR17" s="17" t="str">
        <f t="shared" si="83"/>
        <v/>
      </c>
      <c r="IS17" s="17" t="str">
        <f t="shared" si="84"/>
        <v/>
      </c>
      <c r="IT17" s="60"/>
      <c r="IU17" s="60"/>
      <c r="IV17" s="60"/>
      <c r="IW17" s="60"/>
      <c r="IX17" s="60"/>
      <c r="IY17" s="60"/>
      <c r="IZ17" s="60"/>
      <c r="JA17" s="60"/>
      <c r="JB17" s="60"/>
      <c r="JC17" s="60"/>
      <c r="JD17" s="60"/>
      <c r="JE17" s="60"/>
      <c r="JF17" s="60"/>
      <c r="JG17" s="60"/>
      <c r="JH17" s="60"/>
      <c r="JI17" s="13" t="str">
        <f t="shared" si="85"/>
        <v/>
      </c>
      <c r="JJ17" s="13" t="str">
        <f t="shared" si="86"/>
        <v/>
      </c>
      <c r="JK17" s="13" t="str">
        <f t="shared" si="87"/>
        <v/>
      </c>
      <c r="JL17" s="13" t="str">
        <f t="shared" si="88"/>
        <v/>
      </c>
      <c r="JM17" s="13" t="str">
        <f t="shared" si="89"/>
        <v/>
      </c>
      <c r="JN17" s="13" t="str">
        <f t="shared" si="90"/>
        <v/>
      </c>
      <c r="JO17" s="62"/>
      <c r="JP17" s="62"/>
      <c r="JQ17" s="62"/>
      <c r="JR17" s="62"/>
      <c r="JS17" s="62"/>
      <c r="JT17" s="62"/>
      <c r="JU17" s="62"/>
      <c r="JV17" s="62"/>
      <c r="JW17" s="62"/>
      <c r="JX17" s="62"/>
      <c r="JY17" s="62"/>
      <c r="JZ17" s="62"/>
      <c r="KA17" s="62"/>
      <c r="KB17" s="62"/>
      <c r="KC17" s="62"/>
      <c r="KD17" s="17" t="str">
        <f t="shared" si="91"/>
        <v/>
      </c>
      <c r="KE17" s="17" t="str">
        <f t="shared" si="92"/>
        <v/>
      </c>
      <c r="KF17" s="17" t="str">
        <f t="shared" si="93"/>
        <v/>
      </c>
      <c r="KG17" s="17" t="str">
        <f t="shared" si="94"/>
        <v/>
      </c>
      <c r="KH17" s="17" t="str">
        <f t="shared" si="95"/>
        <v/>
      </c>
      <c r="KI17" s="17" t="str">
        <f t="shared" si="96"/>
        <v/>
      </c>
      <c r="KJ17" s="60"/>
      <c r="KK17" s="60"/>
      <c r="KL17" s="60"/>
      <c r="KM17" s="60"/>
      <c r="KN17" s="60"/>
      <c r="KO17" s="60"/>
      <c r="KP17" s="60"/>
      <c r="KQ17" s="60"/>
      <c r="KR17" s="60"/>
      <c r="KS17" s="60"/>
      <c r="KT17" s="60"/>
      <c r="KU17" s="60"/>
      <c r="KV17" s="60"/>
      <c r="KW17" s="60"/>
      <c r="KX17" s="60"/>
      <c r="KY17" s="13" t="str">
        <f t="shared" si="97"/>
        <v/>
      </c>
      <c r="KZ17" s="13" t="str">
        <f t="shared" si="98"/>
        <v/>
      </c>
      <c r="LA17" s="13" t="str">
        <f t="shared" si="99"/>
        <v/>
      </c>
      <c r="LB17" s="13" t="str">
        <f t="shared" si="100"/>
        <v/>
      </c>
      <c r="LC17" s="13" t="str">
        <f t="shared" si="101"/>
        <v/>
      </c>
      <c r="LD17" s="13" t="str">
        <f t="shared" si="102"/>
        <v/>
      </c>
      <c r="LE17" s="62"/>
      <c r="LF17" s="62"/>
      <c r="LG17" s="62"/>
      <c r="LH17" s="62"/>
      <c r="LI17" s="62"/>
      <c r="LJ17" s="62"/>
      <c r="LK17" s="62"/>
      <c r="LL17" s="62"/>
      <c r="LM17" s="62"/>
      <c r="LN17" s="62"/>
      <c r="LO17" s="62"/>
      <c r="LP17" s="62"/>
      <c r="LQ17" s="62"/>
      <c r="LR17" s="62"/>
      <c r="LS17" s="62"/>
      <c r="LT17" s="17" t="str">
        <f t="shared" si="103"/>
        <v/>
      </c>
      <c r="LU17" s="17" t="str">
        <f t="shared" si="104"/>
        <v/>
      </c>
      <c r="LV17" s="17" t="str">
        <f t="shared" si="105"/>
        <v/>
      </c>
      <c r="LW17" s="17" t="str">
        <f t="shared" si="106"/>
        <v/>
      </c>
      <c r="LX17" s="17" t="str">
        <f t="shared" si="107"/>
        <v/>
      </c>
      <c r="LY17" s="17" t="str">
        <f t="shared" si="108"/>
        <v/>
      </c>
    </row>
    <row r="18" spans="1:337" x14ac:dyDescent="0.2">
      <c r="A18" s="6" t="str">
        <f t="shared" ca="1" si="0"/>
        <v/>
      </c>
      <c r="B18" s="7" t="s">
        <v>15</v>
      </c>
      <c r="C18" s="8" t="s">
        <v>13</v>
      </c>
      <c r="D18" s="6">
        <v>2016</v>
      </c>
      <c r="E18" s="18">
        <f t="shared" si="1"/>
        <v>115.77500000000001</v>
      </c>
      <c r="F18" s="4" t="str">
        <f t="shared" si="2"/>
        <v/>
      </c>
      <c r="G18" s="4" t="str">
        <f t="shared" ca="1" si="3"/>
        <v/>
      </c>
      <c r="H18" t="str">
        <f t="shared" ca="1" si="4"/>
        <v/>
      </c>
      <c r="I18" s="17">
        <f t="shared" si="5"/>
        <v>95.05</v>
      </c>
      <c r="J18" s="17" t="str">
        <f t="shared" si="6"/>
        <v>2017 Nationals</v>
      </c>
      <c r="K18" s="17">
        <f t="shared" si="7"/>
        <v>0</v>
      </c>
      <c r="L18" s="17" t="str">
        <f t="shared" si="8"/>
        <v/>
      </c>
      <c r="M18" s="17">
        <f t="shared" si="9"/>
        <v>0</v>
      </c>
      <c r="N18" s="17" t="str">
        <f t="shared" si="10"/>
        <v/>
      </c>
      <c r="O18" s="17">
        <f t="shared" si="11"/>
        <v>20.725000000000001</v>
      </c>
      <c r="P18" s="17" t="str">
        <f t="shared" si="12"/>
        <v>2017 Nationals</v>
      </c>
      <c r="Q18" s="17" t="str">
        <f t="shared" si="13"/>
        <v/>
      </c>
      <c r="R18" s="44" t="str">
        <f t="shared" si="14"/>
        <v/>
      </c>
      <c r="S18" s="17" t="str">
        <f t="shared" si="15"/>
        <v/>
      </c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13" t="str">
        <f t="shared" si="16"/>
        <v/>
      </c>
      <c r="AJ18" s="13" t="str">
        <f t="shared" si="17"/>
        <v/>
      </c>
      <c r="AK18" s="13" t="str">
        <f t="shared" si="18"/>
        <v/>
      </c>
      <c r="AL18" s="13" t="str">
        <f t="shared" si="19"/>
        <v/>
      </c>
      <c r="AM18" s="13" t="str">
        <f t="shared" si="20"/>
        <v/>
      </c>
      <c r="AN18" s="13" t="str">
        <f t="shared" si="21"/>
        <v/>
      </c>
      <c r="AO18" s="62">
        <v>17.7</v>
      </c>
      <c r="AP18" s="62">
        <v>9.5</v>
      </c>
      <c r="AQ18" s="62">
        <v>3.7</v>
      </c>
      <c r="AR18" s="62">
        <v>15.98</v>
      </c>
      <c r="AS18" s="62">
        <v>0</v>
      </c>
      <c r="AT18" s="62">
        <v>12.9</v>
      </c>
      <c r="AU18" s="62">
        <v>9</v>
      </c>
      <c r="AV18" s="62">
        <v>11.3</v>
      </c>
      <c r="AW18" s="62">
        <v>14.97</v>
      </c>
      <c r="AX18" s="62">
        <v>0</v>
      </c>
      <c r="AY18" s="62">
        <v>6</v>
      </c>
      <c r="AZ18" s="62">
        <v>3.5</v>
      </c>
      <c r="BA18" s="62">
        <v>4.9000000000000004</v>
      </c>
      <c r="BB18" s="62">
        <v>6.3250000000000002</v>
      </c>
      <c r="BC18" s="62">
        <v>0</v>
      </c>
      <c r="BD18" s="17">
        <f t="shared" si="22"/>
        <v>15</v>
      </c>
      <c r="BE18" s="17">
        <f t="shared" si="23"/>
        <v>46.879999999999995</v>
      </c>
      <c r="BF18" s="17">
        <f t="shared" si="24"/>
        <v>48.17</v>
      </c>
      <c r="BG18" s="17">
        <f t="shared" si="25"/>
        <v>95.05</v>
      </c>
      <c r="BH18" s="17">
        <f t="shared" si="26"/>
        <v>20.725000000000001</v>
      </c>
      <c r="BI18" s="17">
        <f t="shared" si="27"/>
        <v>115.77500000000001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13" t="str">
        <f t="shared" si="28"/>
        <v/>
      </c>
      <c r="BZ18" s="13" t="str">
        <f t="shared" si="29"/>
        <v/>
      </c>
      <c r="CA18" s="13" t="str">
        <f t="shared" si="30"/>
        <v/>
      </c>
      <c r="CB18" s="13" t="str">
        <f t="shared" si="31"/>
        <v/>
      </c>
      <c r="CC18" s="13" t="str">
        <f t="shared" si="32"/>
        <v/>
      </c>
      <c r="CD18" s="13" t="str">
        <f t="shared" si="33"/>
        <v/>
      </c>
      <c r="CE18" s="43" t="str">
        <f t="shared" si="34"/>
        <v/>
      </c>
      <c r="CF18" s="43" t="str">
        <f t="shared" si="35"/>
        <v/>
      </c>
      <c r="CG18" s="43" t="str">
        <f t="shared" si="36"/>
        <v/>
      </c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13" t="str">
        <f t="shared" si="37"/>
        <v/>
      </c>
      <c r="CX18" s="13" t="str">
        <f t="shared" si="38"/>
        <v/>
      </c>
      <c r="CY18" s="13" t="str">
        <f t="shared" si="39"/>
        <v/>
      </c>
      <c r="CZ18" s="13" t="str">
        <f t="shared" si="40"/>
        <v/>
      </c>
      <c r="DA18" s="13" t="str">
        <f t="shared" si="41"/>
        <v/>
      </c>
      <c r="DB18" s="13" t="str">
        <f t="shared" si="42"/>
        <v/>
      </c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17" t="str">
        <f t="shared" si="43"/>
        <v/>
      </c>
      <c r="DS18" s="17" t="str">
        <f t="shared" si="44"/>
        <v/>
      </c>
      <c r="DT18" s="17" t="str">
        <f t="shared" si="45"/>
        <v/>
      </c>
      <c r="DU18" s="17" t="str">
        <f t="shared" si="46"/>
        <v/>
      </c>
      <c r="DV18" s="17" t="str">
        <f t="shared" si="47"/>
        <v/>
      </c>
      <c r="DW18" s="17" t="str">
        <f t="shared" si="48"/>
        <v/>
      </c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13" t="str">
        <f t="shared" si="49"/>
        <v/>
      </c>
      <c r="EN18" s="13" t="str">
        <f t="shared" si="50"/>
        <v/>
      </c>
      <c r="EO18" s="13" t="str">
        <f t="shared" si="51"/>
        <v/>
      </c>
      <c r="EP18" s="13" t="str">
        <f t="shared" si="52"/>
        <v/>
      </c>
      <c r="EQ18" s="13" t="str">
        <f t="shared" si="53"/>
        <v/>
      </c>
      <c r="ER18" s="13" t="str">
        <f t="shared" si="54"/>
        <v/>
      </c>
      <c r="ES18" s="62"/>
      <c r="ET18" s="62"/>
      <c r="EU18" s="62"/>
      <c r="EV18" s="62"/>
      <c r="EW18" s="62"/>
      <c r="EX18" s="62"/>
      <c r="EY18" s="62"/>
      <c r="EZ18" s="62"/>
      <c r="FA18" s="62"/>
      <c r="FB18" s="62"/>
      <c r="FC18" s="62"/>
      <c r="FD18" s="62"/>
      <c r="FE18" s="62"/>
      <c r="FF18" s="62"/>
      <c r="FG18" s="62"/>
      <c r="FH18" s="17" t="str">
        <f t="shared" si="55"/>
        <v/>
      </c>
      <c r="FI18" s="17" t="str">
        <f t="shared" si="56"/>
        <v/>
      </c>
      <c r="FJ18" s="17" t="str">
        <f t="shared" si="57"/>
        <v/>
      </c>
      <c r="FK18" s="17" t="str">
        <f t="shared" si="58"/>
        <v/>
      </c>
      <c r="FL18" s="17" t="str">
        <f t="shared" si="59"/>
        <v/>
      </c>
      <c r="FM18" s="17" t="str">
        <f t="shared" si="60"/>
        <v/>
      </c>
      <c r="FN18" s="60"/>
      <c r="FO18" s="60"/>
      <c r="FP18" s="60"/>
      <c r="FQ18" s="60"/>
      <c r="FR18" s="60"/>
      <c r="FS18" s="60"/>
      <c r="FT18" s="60"/>
      <c r="FU18" s="60"/>
      <c r="FV18" s="60"/>
      <c r="FW18" s="60"/>
      <c r="FX18" s="60"/>
      <c r="FY18" s="60"/>
      <c r="FZ18" s="60"/>
      <c r="GA18" s="60"/>
      <c r="GB18" s="60"/>
      <c r="GC18" s="13" t="str">
        <f t="shared" si="61"/>
        <v/>
      </c>
      <c r="GD18" s="13" t="str">
        <f t="shared" si="62"/>
        <v/>
      </c>
      <c r="GE18" s="13" t="str">
        <f t="shared" si="63"/>
        <v/>
      </c>
      <c r="GF18" s="13" t="str">
        <f t="shared" si="64"/>
        <v/>
      </c>
      <c r="GG18" s="13" t="str">
        <f t="shared" si="65"/>
        <v/>
      </c>
      <c r="GH18" s="13" t="str">
        <f t="shared" si="66"/>
        <v/>
      </c>
      <c r="GI18" s="62"/>
      <c r="GJ18" s="62"/>
      <c r="GK18" s="62"/>
      <c r="GL18" s="62"/>
      <c r="GM18" s="62"/>
      <c r="GN18" s="62"/>
      <c r="GO18" s="62"/>
      <c r="GP18" s="62"/>
      <c r="GQ18" s="62"/>
      <c r="GR18" s="62"/>
      <c r="GS18" s="62"/>
      <c r="GT18" s="62"/>
      <c r="GU18" s="62"/>
      <c r="GV18" s="62"/>
      <c r="GW18" s="62"/>
      <c r="GX18" s="17" t="str">
        <f t="shared" si="67"/>
        <v/>
      </c>
      <c r="GY18" s="17" t="str">
        <f t="shared" si="68"/>
        <v/>
      </c>
      <c r="GZ18" s="17" t="str">
        <f t="shared" si="69"/>
        <v/>
      </c>
      <c r="HA18" s="17" t="str">
        <f t="shared" si="70"/>
        <v/>
      </c>
      <c r="HB18" s="17" t="str">
        <f t="shared" si="71"/>
        <v/>
      </c>
      <c r="HC18" s="17" t="str">
        <f t="shared" si="72"/>
        <v/>
      </c>
      <c r="HD18" s="60"/>
      <c r="HE18" s="60"/>
      <c r="HF18" s="60"/>
      <c r="HG18" s="60"/>
      <c r="HH18" s="60"/>
      <c r="HI18" s="60"/>
      <c r="HJ18" s="60"/>
      <c r="HK18" s="60"/>
      <c r="HL18" s="60"/>
      <c r="HM18" s="60"/>
      <c r="HN18" s="60"/>
      <c r="HO18" s="60"/>
      <c r="HP18" s="60"/>
      <c r="HQ18" s="60"/>
      <c r="HR18" s="60"/>
      <c r="HS18" s="13" t="str">
        <f t="shared" si="73"/>
        <v/>
      </c>
      <c r="HT18" s="13" t="str">
        <f t="shared" si="74"/>
        <v/>
      </c>
      <c r="HU18" s="13" t="str">
        <f t="shared" si="75"/>
        <v/>
      </c>
      <c r="HV18" s="13" t="str">
        <f t="shared" si="76"/>
        <v/>
      </c>
      <c r="HW18" s="13" t="str">
        <f t="shared" si="77"/>
        <v/>
      </c>
      <c r="HX18" s="13" t="str">
        <f t="shared" si="78"/>
        <v/>
      </c>
      <c r="HY18" s="62"/>
      <c r="HZ18" s="62"/>
      <c r="IA18" s="62"/>
      <c r="IB18" s="62"/>
      <c r="IC18" s="62"/>
      <c r="ID18" s="62"/>
      <c r="IE18" s="62"/>
      <c r="IF18" s="62"/>
      <c r="IG18" s="62"/>
      <c r="IH18" s="62"/>
      <c r="II18" s="62"/>
      <c r="IJ18" s="62"/>
      <c r="IK18" s="62"/>
      <c r="IL18" s="62"/>
      <c r="IM18" s="62"/>
      <c r="IN18" s="17" t="str">
        <f t="shared" si="79"/>
        <v/>
      </c>
      <c r="IO18" s="17" t="str">
        <f t="shared" si="80"/>
        <v/>
      </c>
      <c r="IP18" s="17" t="str">
        <f t="shared" si="81"/>
        <v/>
      </c>
      <c r="IQ18" s="17" t="str">
        <f t="shared" si="82"/>
        <v/>
      </c>
      <c r="IR18" s="17" t="str">
        <f t="shared" si="83"/>
        <v/>
      </c>
      <c r="IS18" s="17" t="str">
        <f t="shared" si="84"/>
        <v/>
      </c>
      <c r="IT18" s="60"/>
      <c r="IU18" s="60"/>
      <c r="IV18" s="60"/>
      <c r="IW18" s="60"/>
      <c r="IX18" s="60"/>
      <c r="IY18" s="60"/>
      <c r="IZ18" s="60"/>
      <c r="JA18" s="60"/>
      <c r="JB18" s="60"/>
      <c r="JC18" s="60"/>
      <c r="JD18" s="60"/>
      <c r="JE18" s="60"/>
      <c r="JF18" s="60"/>
      <c r="JG18" s="60"/>
      <c r="JH18" s="60"/>
      <c r="JI18" s="13" t="str">
        <f t="shared" si="85"/>
        <v/>
      </c>
      <c r="JJ18" s="13" t="str">
        <f t="shared" si="86"/>
        <v/>
      </c>
      <c r="JK18" s="13" t="str">
        <f t="shared" si="87"/>
        <v/>
      </c>
      <c r="JL18" s="13" t="str">
        <f t="shared" si="88"/>
        <v/>
      </c>
      <c r="JM18" s="13" t="str">
        <f t="shared" si="89"/>
        <v/>
      </c>
      <c r="JN18" s="13" t="str">
        <f t="shared" si="90"/>
        <v/>
      </c>
      <c r="JO18" s="62"/>
      <c r="JP18" s="62"/>
      <c r="JQ18" s="62"/>
      <c r="JR18" s="62"/>
      <c r="JS18" s="62"/>
      <c r="JT18" s="62"/>
      <c r="JU18" s="62"/>
      <c r="JV18" s="62"/>
      <c r="JW18" s="62"/>
      <c r="JX18" s="62"/>
      <c r="JY18" s="62"/>
      <c r="JZ18" s="62"/>
      <c r="KA18" s="62"/>
      <c r="KB18" s="62"/>
      <c r="KC18" s="62"/>
      <c r="KD18" s="17" t="str">
        <f t="shared" si="91"/>
        <v/>
      </c>
      <c r="KE18" s="17" t="str">
        <f t="shared" si="92"/>
        <v/>
      </c>
      <c r="KF18" s="17" t="str">
        <f t="shared" si="93"/>
        <v/>
      </c>
      <c r="KG18" s="17" t="str">
        <f t="shared" si="94"/>
        <v/>
      </c>
      <c r="KH18" s="17" t="str">
        <f t="shared" si="95"/>
        <v/>
      </c>
      <c r="KI18" s="17" t="str">
        <f t="shared" si="96"/>
        <v/>
      </c>
      <c r="KJ18" s="60"/>
      <c r="KK18" s="60"/>
      <c r="KL18" s="60"/>
      <c r="KM18" s="60"/>
      <c r="KN18" s="60"/>
      <c r="KO18" s="60"/>
      <c r="KP18" s="60"/>
      <c r="KQ18" s="60"/>
      <c r="KR18" s="60"/>
      <c r="KS18" s="60"/>
      <c r="KT18" s="60"/>
      <c r="KU18" s="60"/>
      <c r="KV18" s="60"/>
      <c r="KW18" s="60"/>
      <c r="KX18" s="60"/>
      <c r="KY18" s="13" t="str">
        <f t="shared" si="97"/>
        <v/>
      </c>
      <c r="KZ18" s="13" t="str">
        <f t="shared" si="98"/>
        <v/>
      </c>
      <c r="LA18" s="13" t="str">
        <f t="shared" si="99"/>
        <v/>
      </c>
      <c r="LB18" s="13" t="str">
        <f t="shared" si="100"/>
        <v/>
      </c>
      <c r="LC18" s="13" t="str">
        <f t="shared" si="101"/>
        <v/>
      </c>
      <c r="LD18" s="13" t="str">
        <f t="shared" si="102"/>
        <v/>
      </c>
      <c r="LE18" s="62"/>
      <c r="LF18" s="62"/>
      <c r="LG18" s="62"/>
      <c r="LH18" s="62"/>
      <c r="LI18" s="62"/>
      <c r="LJ18" s="62"/>
      <c r="LK18" s="62"/>
      <c r="LL18" s="62"/>
      <c r="LM18" s="62"/>
      <c r="LN18" s="62"/>
      <c r="LO18" s="62"/>
      <c r="LP18" s="62"/>
      <c r="LQ18" s="62"/>
      <c r="LR18" s="62"/>
      <c r="LS18" s="62"/>
      <c r="LT18" s="17" t="str">
        <f t="shared" si="103"/>
        <v/>
      </c>
      <c r="LU18" s="17" t="str">
        <f t="shared" si="104"/>
        <v/>
      </c>
      <c r="LV18" s="17" t="str">
        <f t="shared" si="105"/>
        <v/>
      </c>
      <c r="LW18" s="17" t="str">
        <f t="shared" si="106"/>
        <v/>
      </c>
      <c r="LX18" s="17" t="str">
        <f t="shared" si="107"/>
        <v/>
      </c>
      <c r="LY18" s="17" t="str">
        <f t="shared" si="108"/>
        <v/>
      </c>
    </row>
    <row r="19" spans="1:337" x14ac:dyDescent="0.2">
      <c r="A19" s="6" t="str">
        <f t="shared" ca="1" si="0"/>
        <v/>
      </c>
      <c r="B19" s="7" t="s">
        <v>60</v>
      </c>
      <c r="C19" s="8" t="s">
        <v>6</v>
      </c>
      <c r="D19" s="46">
        <v>2017</v>
      </c>
      <c r="E19" s="18">
        <f t="shared" si="1"/>
        <v>113.221</v>
      </c>
      <c r="F19" s="4" t="str">
        <f t="shared" si="2"/>
        <v/>
      </c>
      <c r="G19" s="4" t="str">
        <f t="shared" ca="1" si="3"/>
        <v/>
      </c>
      <c r="H19" t="str">
        <f t="shared" ca="1" si="4"/>
        <v/>
      </c>
      <c r="I19" s="17">
        <f t="shared" si="5"/>
        <v>74.644999999999996</v>
      </c>
      <c r="J19" s="17" t="str">
        <f t="shared" si="6"/>
        <v>2017 Nationals</v>
      </c>
      <c r="K19" s="17">
        <f t="shared" si="7"/>
        <v>24.187999999999999</v>
      </c>
      <c r="L19" s="17" t="str">
        <f t="shared" si="8"/>
        <v>2017 Canada Cup</v>
      </c>
      <c r="M19" s="17">
        <f t="shared" si="9"/>
        <v>14.388</v>
      </c>
      <c r="N19" s="17" t="str">
        <f t="shared" si="10"/>
        <v>2017 Canada Cup</v>
      </c>
      <c r="O19" s="17">
        <f t="shared" si="11"/>
        <v>0</v>
      </c>
      <c r="P19" s="17" t="str">
        <f t="shared" si="12"/>
        <v/>
      </c>
      <c r="Q19" s="17" t="str">
        <f t="shared" si="13"/>
        <v/>
      </c>
      <c r="R19" s="44" t="str">
        <f t="shared" si="14"/>
        <v/>
      </c>
      <c r="S19" s="17" t="str">
        <f t="shared" si="15"/>
        <v/>
      </c>
      <c r="T19" s="71">
        <v>15.45</v>
      </c>
      <c r="U19" s="71">
        <v>0</v>
      </c>
      <c r="V19" s="71">
        <v>0</v>
      </c>
      <c r="W19" s="71">
        <v>8.7379999999999995</v>
      </c>
      <c r="X19" s="71">
        <v>0</v>
      </c>
      <c r="Y19" s="71">
        <v>9.35</v>
      </c>
      <c r="Z19" s="71">
        <v>0</v>
      </c>
      <c r="AA19" s="71">
        <v>0</v>
      </c>
      <c r="AB19" s="71">
        <v>5.0380000000000003</v>
      </c>
      <c r="AC19" s="71">
        <v>0</v>
      </c>
      <c r="AD19" s="61"/>
      <c r="AE19" s="61"/>
      <c r="AF19" s="61"/>
      <c r="AG19" s="61"/>
      <c r="AH19" s="61"/>
      <c r="AI19" s="13" t="str">
        <f t="shared" si="16"/>
        <v/>
      </c>
      <c r="AJ19" s="13">
        <f t="shared" si="17"/>
        <v>24.187999999999999</v>
      </c>
      <c r="AK19" s="13">
        <f t="shared" si="18"/>
        <v>14.388</v>
      </c>
      <c r="AL19" s="13">
        <f t="shared" si="19"/>
        <v>38.576000000000001</v>
      </c>
      <c r="AM19" s="13" t="str">
        <f t="shared" si="20"/>
        <v/>
      </c>
      <c r="AN19" s="13">
        <f t="shared" si="21"/>
        <v>38.576000000000001</v>
      </c>
      <c r="AO19" s="62">
        <v>11.7</v>
      </c>
      <c r="AP19" s="62">
        <v>6.3</v>
      </c>
      <c r="AQ19" s="62">
        <v>1.3</v>
      </c>
      <c r="AR19" s="62">
        <v>12.664999999999999</v>
      </c>
      <c r="AS19" s="62">
        <v>0</v>
      </c>
      <c r="AT19" s="62">
        <v>10.6</v>
      </c>
      <c r="AU19" s="62">
        <v>7.1</v>
      </c>
      <c r="AV19" s="62">
        <v>11.7</v>
      </c>
      <c r="AW19" s="62">
        <v>13.28</v>
      </c>
      <c r="AX19" s="62">
        <v>0</v>
      </c>
      <c r="AY19" s="62"/>
      <c r="AZ19" s="62"/>
      <c r="BA19" s="62"/>
      <c r="BB19" s="62"/>
      <c r="BC19" s="62"/>
      <c r="BD19" s="17">
        <f t="shared" si="22"/>
        <v>13</v>
      </c>
      <c r="BE19" s="17">
        <f t="shared" si="23"/>
        <v>31.965</v>
      </c>
      <c r="BF19" s="17">
        <f t="shared" si="24"/>
        <v>42.68</v>
      </c>
      <c r="BG19" s="17">
        <f t="shared" si="25"/>
        <v>74.644999999999996</v>
      </c>
      <c r="BH19" s="17" t="str">
        <f t="shared" si="26"/>
        <v/>
      </c>
      <c r="BI19" s="17">
        <f t="shared" si="27"/>
        <v>74.644999999999996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13" t="str">
        <f t="shared" si="28"/>
        <v/>
      </c>
      <c r="BZ19" s="13" t="str">
        <f t="shared" si="29"/>
        <v/>
      </c>
      <c r="CA19" s="13" t="str">
        <f t="shared" si="30"/>
        <v/>
      </c>
      <c r="CB19" s="13" t="str">
        <f t="shared" si="31"/>
        <v/>
      </c>
      <c r="CC19" s="13" t="str">
        <f t="shared" si="32"/>
        <v/>
      </c>
      <c r="CD19" s="13" t="str">
        <f t="shared" si="33"/>
        <v/>
      </c>
      <c r="CE19" s="43" t="str">
        <f t="shared" si="34"/>
        <v/>
      </c>
      <c r="CF19" s="43" t="str">
        <f t="shared" si="35"/>
        <v/>
      </c>
      <c r="CG19" s="43" t="str">
        <f t="shared" si="36"/>
        <v/>
      </c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13" t="str">
        <f t="shared" si="37"/>
        <v/>
      </c>
      <c r="CX19" s="13" t="str">
        <f t="shared" si="38"/>
        <v/>
      </c>
      <c r="CY19" s="13" t="str">
        <f t="shared" si="39"/>
        <v/>
      </c>
      <c r="CZ19" s="13" t="str">
        <f t="shared" si="40"/>
        <v/>
      </c>
      <c r="DA19" s="13" t="str">
        <f t="shared" si="41"/>
        <v/>
      </c>
      <c r="DB19" s="13" t="str">
        <f t="shared" si="42"/>
        <v/>
      </c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17" t="str">
        <f t="shared" si="43"/>
        <v/>
      </c>
      <c r="DS19" s="17" t="str">
        <f t="shared" si="44"/>
        <v/>
      </c>
      <c r="DT19" s="17" t="str">
        <f t="shared" si="45"/>
        <v/>
      </c>
      <c r="DU19" s="17" t="str">
        <f t="shared" si="46"/>
        <v/>
      </c>
      <c r="DV19" s="17" t="str">
        <f t="shared" si="47"/>
        <v/>
      </c>
      <c r="DW19" s="17" t="str">
        <f t="shared" si="48"/>
        <v/>
      </c>
      <c r="DX19" s="60"/>
      <c r="DY19" s="60"/>
      <c r="DZ19" s="60"/>
      <c r="EA19" s="60"/>
      <c r="EB19" s="60"/>
      <c r="EC19" s="60"/>
      <c r="ED19" s="60"/>
      <c r="EE19" s="60"/>
      <c r="EF19" s="60"/>
      <c r="EG19" s="60"/>
      <c r="EH19" s="60"/>
      <c r="EI19" s="60"/>
      <c r="EJ19" s="60"/>
      <c r="EK19" s="60"/>
      <c r="EL19" s="60"/>
      <c r="EM19" s="13" t="str">
        <f t="shared" si="49"/>
        <v/>
      </c>
      <c r="EN19" s="13" t="str">
        <f t="shared" si="50"/>
        <v/>
      </c>
      <c r="EO19" s="13" t="str">
        <f t="shared" si="51"/>
        <v/>
      </c>
      <c r="EP19" s="13" t="str">
        <f t="shared" si="52"/>
        <v/>
      </c>
      <c r="EQ19" s="13" t="str">
        <f t="shared" si="53"/>
        <v/>
      </c>
      <c r="ER19" s="13" t="str">
        <f t="shared" si="54"/>
        <v/>
      </c>
      <c r="ES19" s="62"/>
      <c r="ET19" s="62"/>
      <c r="EU19" s="62"/>
      <c r="EV19" s="62"/>
      <c r="EW19" s="62"/>
      <c r="EX19" s="62"/>
      <c r="EY19" s="62"/>
      <c r="EZ19" s="62"/>
      <c r="FA19" s="62"/>
      <c r="FB19" s="62"/>
      <c r="FC19" s="62"/>
      <c r="FD19" s="62"/>
      <c r="FE19" s="62"/>
      <c r="FF19" s="62"/>
      <c r="FG19" s="62"/>
      <c r="FH19" s="17" t="str">
        <f t="shared" si="55"/>
        <v/>
      </c>
      <c r="FI19" s="17" t="str">
        <f t="shared" si="56"/>
        <v/>
      </c>
      <c r="FJ19" s="17" t="str">
        <f t="shared" si="57"/>
        <v/>
      </c>
      <c r="FK19" s="17" t="str">
        <f t="shared" si="58"/>
        <v/>
      </c>
      <c r="FL19" s="17" t="str">
        <f t="shared" si="59"/>
        <v/>
      </c>
      <c r="FM19" s="17" t="str">
        <f t="shared" si="60"/>
        <v/>
      </c>
      <c r="FN19" s="60"/>
      <c r="FO19" s="60"/>
      <c r="FP19" s="60"/>
      <c r="FQ19" s="60"/>
      <c r="FR19" s="60"/>
      <c r="FS19" s="60"/>
      <c r="FT19" s="60"/>
      <c r="FU19" s="60"/>
      <c r="FV19" s="60"/>
      <c r="FW19" s="60"/>
      <c r="FX19" s="60"/>
      <c r="FY19" s="60"/>
      <c r="FZ19" s="60"/>
      <c r="GA19" s="60"/>
      <c r="GB19" s="60"/>
      <c r="GC19" s="13" t="str">
        <f t="shared" si="61"/>
        <v/>
      </c>
      <c r="GD19" s="13" t="str">
        <f t="shared" si="62"/>
        <v/>
      </c>
      <c r="GE19" s="13" t="str">
        <f t="shared" si="63"/>
        <v/>
      </c>
      <c r="GF19" s="13" t="str">
        <f t="shared" si="64"/>
        <v/>
      </c>
      <c r="GG19" s="13" t="str">
        <f t="shared" si="65"/>
        <v/>
      </c>
      <c r="GH19" s="13" t="str">
        <f t="shared" si="66"/>
        <v/>
      </c>
      <c r="GI19" s="62"/>
      <c r="GJ19" s="62"/>
      <c r="GK19" s="62"/>
      <c r="GL19" s="62"/>
      <c r="GM19" s="62"/>
      <c r="GN19" s="62"/>
      <c r="GO19" s="62"/>
      <c r="GP19" s="62"/>
      <c r="GQ19" s="62"/>
      <c r="GR19" s="62"/>
      <c r="GS19" s="62"/>
      <c r="GT19" s="62"/>
      <c r="GU19" s="62"/>
      <c r="GV19" s="62"/>
      <c r="GW19" s="62"/>
      <c r="GX19" s="17" t="str">
        <f t="shared" si="67"/>
        <v/>
      </c>
      <c r="GY19" s="17" t="str">
        <f t="shared" si="68"/>
        <v/>
      </c>
      <c r="GZ19" s="17" t="str">
        <f t="shared" si="69"/>
        <v/>
      </c>
      <c r="HA19" s="17" t="str">
        <f t="shared" si="70"/>
        <v/>
      </c>
      <c r="HB19" s="17" t="str">
        <f t="shared" si="71"/>
        <v/>
      </c>
      <c r="HC19" s="17" t="str">
        <f t="shared" si="72"/>
        <v/>
      </c>
      <c r="HD19" s="60"/>
      <c r="HE19" s="60"/>
      <c r="HF19" s="60"/>
      <c r="HG19" s="60"/>
      <c r="HH19" s="60"/>
      <c r="HI19" s="60"/>
      <c r="HJ19" s="60"/>
      <c r="HK19" s="60"/>
      <c r="HL19" s="60"/>
      <c r="HM19" s="60"/>
      <c r="HN19" s="60"/>
      <c r="HO19" s="60"/>
      <c r="HP19" s="60"/>
      <c r="HQ19" s="60"/>
      <c r="HR19" s="60"/>
      <c r="HS19" s="13" t="str">
        <f t="shared" si="73"/>
        <v/>
      </c>
      <c r="HT19" s="13" t="str">
        <f t="shared" si="74"/>
        <v/>
      </c>
      <c r="HU19" s="13" t="str">
        <f t="shared" si="75"/>
        <v/>
      </c>
      <c r="HV19" s="13" t="str">
        <f t="shared" si="76"/>
        <v/>
      </c>
      <c r="HW19" s="13" t="str">
        <f t="shared" si="77"/>
        <v/>
      </c>
      <c r="HX19" s="13" t="str">
        <f t="shared" si="78"/>
        <v/>
      </c>
      <c r="HY19" s="62"/>
      <c r="HZ19" s="62"/>
      <c r="IA19" s="62"/>
      <c r="IB19" s="62"/>
      <c r="IC19" s="62"/>
      <c r="ID19" s="62"/>
      <c r="IE19" s="62"/>
      <c r="IF19" s="62"/>
      <c r="IG19" s="62"/>
      <c r="IH19" s="62"/>
      <c r="II19" s="62"/>
      <c r="IJ19" s="62"/>
      <c r="IK19" s="62"/>
      <c r="IL19" s="62"/>
      <c r="IM19" s="62"/>
      <c r="IN19" s="17" t="str">
        <f t="shared" si="79"/>
        <v/>
      </c>
      <c r="IO19" s="17" t="str">
        <f t="shared" si="80"/>
        <v/>
      </c>
      <c r="IP19" s="17" t="str">
        <f t="shared" si="81"/>
        <v/>
      </c>
      <c r="IQ19" s="17" t="str">
        <f t="shared" si="82"/>
        <v/>
      </c>
      <c r="IR19" s="17" t="str">
        <f t="shared" si="83"/>
        <v/>
      </c>
      <c r="IS19" s="17" t="str">
        <f t="shared" si="84"/>
        <v/>
      </c>
      <c r="IT19" s="60"/>
      <c r="IU19" s="60"/>
      <c r="IV19" s="60"/>
      <c r="IW19" s="60"/>
      <c r="IX19" s="60"/>
      <c r="IY19" s="60"/>
      <c r="IZ19" s="60"/>
      <c r="JA19" s="60"/>
      <c r="JB19" s="60"/>
      <c r="JC19" s="60"/>
      <c r="JD19" s="60"/>
      <c r="JE19" s="60"/>
      <c r="JF19" s="60"/>
      <c r="JG19" s="60"/>
      <c r="JH19" s="60"/>
      <c r="JI19" s="13" t="str">
        <f t="shared" si="85"/>
        <v/>
      </c>
      <c r="JJ19" s="13" t="str">
        <f t="shared" si="86"/>
        <v/>
      </c>
      <c r="JK19" s="13" t="str">
        <f t="shared" si="87"/>
        <v/>
      </c>
      <c r="JL19" s="13" t="str">
        <f t="shared" si="88"/>
        <v/>
      </c>
      <c r="JM19" s="13" t="str">
        <f t="shared" si="89"/>
        <v/>
      </c>
      <c r="JN19" s="13" t="str">
        <f t="shared" si="90"/>
        <v/>
      </c>
      <c r="JO19" s="62"/>
      <c r="JP19" s="62"/>
      <c r="JQ19" s="62"/>
      <c r="JR19" s="62"/>
      <c r="JS19" s="62"/>
      <c r="JT19" s="62"/>
      <c r="JU19" s="62"/>
      <c r="JV19" s="62"/>
      <c r="JW19" s="62"/>
      <c r="JX19" s="62"/>
      <c r="JY19" s="62"/>
      <c r="JZ19" s="62"/>
      <c r="KA19" s="62"/>
      <c r="KB19" s="62"/>
      <c r="KC19" s="62"/>
      <c r="KD19" s="17" t="str">
        <f t="shared" si="91"/>
        <v/>
      </c>
      <c r="KE19" s="17" t="str">
        <f t="shared" si="92"/>
        <v/>
      </c>
      <c r="KF19" s="17" t="str">
        <f t="shared" si="93"/>
        <v/>
      </c>
      <c r="KG19" s="17" t="str">
        <f t="shared" si="94"/>
        <v/>
      </c>
      <c r="KH19" s="17" t="str">
        <f t="shared" si="95"/>
        <v/>
      </c>
      <c r="KI19" s="17" t="str">
        <f t="shared" si="96"/>
        <v/>
      </c>
      <c r="KJ19" s="60"/>
      <c r="KK19" s="60"/>
      <c r="KL19" s="60"/>
      <c r="KM19" s="60"/>
      <c r="KN19" s="60"/>
      <c r="KO19" s="60"/>
      <c r="KP19" s="60"/>
      <c r="KQ19" s="60"/>
      <c r="KR19" s="60"/>
      <c r="KS19" s="60"/>
      <c r="KT19" s="60"/>
      <c r="KU19" s="60"/>
      <c r="KV19" s="60"/>
      <c r="KW19" s="60"/>
      <c r="KX19" s="60"/>
      <c r="KY19" s="13" t="str">
        <f t="shared" si="97"/>
        <v/>
      </c>
      <c r="KZ19" s="13" t="str">
        <f t="shared" si="98"/>
        <v/>
      </c>
      <c r="LA19" s="13" t="str">
        <f t="shared" si="99"/>
        <v/>
      </c>
      <c r="LB19" s="13" t="str">
        <f t="shared" si="100"/>
        <v/>
      </c>
      <c r="LC19" s="13" t="str">
        <f t="shared" si="101"/>
        <v/>
      </c>
      <c r="LD19" s="13" t="str">
        <f t="shared" si="102"/>
        <v/>
      </c>
      <c r="LE19" s="62"/>
      <c r="LF19" s="62"/>
      <c r="LG19" s="62"/>
      <c r="LH19" s="62"/>
      <c r="LI19" s="62"/>
      <c r="LJ19" s="62"/>
      <c r="LK19" s="62"/>
      <c r="LL19" s="62"/>
      <c r="LM19" s="62"/>
      <c r="LN19" s="62"/>
      <c r="LO19" s="62"/>
      <c r="LP19" s="62"/>
      <c r="LQ19" s="62"/>
      <c r="LR19" s="62"/>
      <c r="LS19" s="62"/>
      <c r="LT19" s="17" t="str">
        <f t="shared" si="103"/>
        <v/>
      </c>
      <c r="LU19" s="17" t="str">
        <f t="shared" si="104"/>
        <v/>
      </c>
      <c r="LV19" s="17" t="str">
        <f t="shared" si="105"/>
        <v/>
      </c>
      <c r="LW19" s="17" t="str">
        <f t="shared" si="106"/>
        <v/>
      </c>
      <c r="LX19" s="17" t="str">
        <f t="shared" si="107"/>
        <v/>
      </c>
      <c r="LY19" s="17" t="str">
        <f t="shared" si="108"/>
        <v/>
      </c>
    </row>
    <row r="20" spans="1:337" x14ac:dyDescent="0.2">
      <c r="A20" s="6" t="str">
        <f t="shared" ca="1" si="0"/>
        <v/>
      </c>
      <c r="B20" s="9" t="s">
        <v>19</v>
      </c>
      <c r="C20" s="5" t="s">
        <v>8</v>
      </c>
      <c r="D20" s="8">
        <v>2015</v>
      </c>
      <c r="E20" s="18">
        <f t="shared" si="1"/>
        <v>99.13</v>
      </c>
      <c r="F20" s="4" t="str">
        <f t="shared" si="2"/>
        <v/>
      </c>
      <c r="G20" s="4" t="str">
        <f t="shared" ca="1" si="3"/>
        <v/>
      </c>
      <c r="H20" t="str">
        <f t="shared" ca="1" si="4"/>
        <v/>
      </c>
      <c r="I20" s="17">
        <f t="shared" si="5"/>
        <v>99.13</v>
      </c>
      <c r="J20" s="17" t="str">
        <f t="shared" si="6"/>
        <v>2017 Nationals</v>
      </c>
      <c r="K20" s="17">
        <f t="shared" si="7"/>
        <v>0</v>
      </c>
      <c r="L20" s="17" t="str">
        <f t="shared" si="8"/>
        <v/>
      </c>
      <c r="M20" s="17">
        <f t="shared" si="9"/>
        <v>0</v>
      </c>
      <c r="N20" s="17" t="str">
        <f t="shared" si="10"/>
        <v/>
      </c>
      <c r="O20" s="17">
        <f t="shared" si="11"/>
        <v>0</v>
      </c>
      <c r="P20" s="17" t="str">
        <f t="shared" si="12"/>
        <v/>
      </c>
      <c r="Q20" s="17" t="str">
        <f t="shared" si="13"/>
        <v/>
      </c>
      <c r="R20" s="44" t="str">
        <f t="shared" si="14"/>
        <v/>
      </c>
      <c r="S20" s="17" t="str">
        <f t="shared" si="15"/>
        <v/>
      </c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13" t="str">
        <f t="shared" si="16"/>
        <v/>
      </c>
      <c r="AJ20" s="13" t="str">
        <f t="shared" si="17"/>
        <v/>
      </c>
      <c r="AK20" s="13" t="str">
        <f t="shared" si="18"/>
        <v/>
      </c>
      <c r="AL20" s="13" t="str">
        <f t="shared" si="19"/>
        <v/>
      </c>
      <c r="AM20" s="13" t="str">
        <f t="shared" si="20"/>
        <v/>
      </c>
      <c r="AN20" s="13" t="str">
        <f t="shared" si="21"/>
        <v/>
      </c>
      <c r="AO20" s="62">
        <v>18.3</v>
      </c>
      <c r="AP20" s="62">
        <v>9.4</v>
      </c>
      <c r="AQ20" s="62">
        <v>5.0999999999999996</v>
      </c>
      <c r="AR20" s="62">
        <v>16.78</v>
      </c>
      <c r="AS20" s="62">
        <v>0</v>
      </c>
      <c r="AT20" s="62">
        <v>12.9</v>
      </c>
      <c r="AU20" s="62">
        <v>8.6</v>
      </c>
      <c r="AV20" s="62">
        <v>13.6</v>
      </c>
      <c r="AW20" s="62">
        <v>14.45</v>
      </c>
      <c r="AX20" s="62">
        <v>0</v>
      </c>
      <c r="AY20" s="62"/>
      <c r="AZ20" s="62"/>
      <c r="BA20" s="62"/>
      <c r="BB20" s="62"/>
      <c r="BC20" s="62"/>
      <c r="BD20" s="17">
        <f t="shared" si="22"/>
        <v>18.7</v>
      </c>
      <c r="BE20" s="17">
        <f t="shared" si="23"/>
        <v>49.580000000000005</v>
      </c>
      <c r="BF20" s="17">
        <f t="shared" si="24"/>
        <v>49.55</v>
      </c>
      <c r="BG20" s="17">
        <f t="shared" si="25"/>
        <v>99.13</v>
      </c>
      <c r="BH20" s="17" t="str">
        <f t="shared" si="26"/>
        <v/>
      </c>
      <c r="BI20" s="17">
        <f t="shared" si="27"/>
        <v>99.13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13" t="str">
        <f t="shared" si="28"/>
        <v/>
      </c>
      <c r="BZ20" s="13" t="str">
        <f t="shared" si="29"/>
        <v/>
      </c>
      <c r="CA20" s="13" t="str">
        <f t="shared" si="30"/>
        <v/>
      </c>
      <c r="CB20" s="13" t="str">
        <f t="shared" si="31"/>
        <v/>
      </c>
      <c r="CC20" s="13" t="str">
        <f t="shared" si="32"/>
        <v/>
      </c>
      <c r="CD20" s="13" t="str">
        <f t="shared" si="33"/>
        <v/>
      </c>
      <c r="CE20" s="43" t="str">
        <f t="shared" si="34"/>
        <v/>
      </c>
      <c r="CF20" s="43" t="str">
        <f t="shared" si="35"/>
        <v/>
      </c>
      <c r="CG20" s="43" t="str">
        <f t="shared" si="36"/>
        <v/>
      </c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13" t="str">
        <f t="shared" si="37"/>
        <v/>
      </c>
      <c r="CX20" s="13" t="str">
        <f t="shared" si="38"/>
        <v/>
      </c>
      <c r="CY20" s="13" t="str">
        <f t="shared" si="39"/>
        <v/>
      </c>
      <c r="CZ20" s="13" t="str">
        <f t="shared" si="40"/>
        <v/>
      </c>
      <c r="DA20" s="13" t="str">
        <f t="shared" si="41"/>
        <v/>
      </c>
      <c r="DB20" s="13" t="str">
        <f t="shared" si="42"/>
        <v/>
      </c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17" t="str">
        <f t="shared" si="43"/>
        <v/>
      </c>
      <c r="DS20" s="17" t="str">
        <f t="shared" si="44"/>
        <v/>
      </c>
      <c r="DT20" s="17" t="str">
        <f t="shared" si="45"/>
        <v/>
      </c>
      <c r="DU20" s="17" t="str">
        <f t="shared" si="46"/>
        <v/>
      </c>
      <c r="DV20" s="17" t="str">
        <f t="shared" si="47"/>
        <v/>
      </c>
      <c r="DW20" s="17" t="str">
        <f t="shared" si="48"/>
        <v/>
      </c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13" t="str">
        <f t="shared" si="49"/>
        <v/>
      </c>
      <c r="EN20" s="13" t="str">
        <f t="shared" si="50"/>
        <v/>
      </c>
      <c r="EO20" s="13" t="str">
        <f t="shared" si="51"/>
        <v/>
      </c>
      <c r="EP20" s="13" t="str">
        <f t="shared" si="52"/>
        <v/>
      </c>
      <c r="EQ20" s="13" t="str">
        <f t="shared" si="53"/>
        <v/>
      </c>
      <c r="ER20" s="13" t="str">
        <f t="shared" si="54"/>
        <v/>
      </c>
      <c r="ES20" s="62"/>
      <c r="ET20" s="62"/>
      <c r="EU20" s="62"/>
      <c r="EV20" s="62"/>
      <c r="EW20" s="62"/>
      <c r="EX20" s="62"/>
      <c r="EY20" s="62"/>
      <c r="EZ20" s="62"/>
      <c r="FA20" s="62"/>
      <c r="FB20" s="62"/>
      <c r="FC20" s="62"/>
      <c r="FD20" s="62"/>
      <c r="FE20" s="62"/>
      <c r="FF20" s="62"/>
      <c r="FG20" s="62"/>
      <c r="FH20" s="17" t="str">
        <f t="shared" si="55"/>
        <v/>
      </c>
      <c r="FI20" s="17" t="str">
        <f t="shared" si="56"/>
        <v/>
      </c>
      <c r="FJ20" s="17" t="str">
        <f t="shared" si="57"/>
        <v/>
      </c>
      <c r="FK20" s="17" t="str">
        <f t="shared" si="58"/>
        <v/>
      </c>
      <c r="FL20" s="17" t="str">
        <f t="shared" si="59"/>
        <v/>
      </c>
      <c r="FM20" s="17" t="str">
        <f t="shared" si="60"/>
        <v/>
      </c>
      <c r="FN20" s="60"/>
      <c r="FO20" s="60"/>
      <c r="FP20" s="60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13" t="str">
        <f t="shared" si="61"/>
        <v/>
      </c>
      <c r="GD20" s="13" t="str">
        <f t="shared" si="62"/>
        <v/>
      </c>
      <c r="GE20" s="13" t="str">
        <f t="shared" si="63"/>
        <v/>
      </c>
      <c r="GF20" s="13" t="str">
        <f t="shared" si="64"/>
        <v/>
      </c>
      <c r="GG20" s="13" t="str">
        <f t="shared" si="65"/>
        <v/>
      </c>
      <c r="GH20" s="13" t="str">
        <f t="shared" si="66"/>
        <v/>
      </c>
      <c r="GI20" s="62"/>
      <c r="GJ20" s="62"/>
      <c r="GK20" s="62"/>
      <c r="GL20" s="62"/>
      <c r="GM20" s="62"/>
      <c r="GN20" s="62"/>
      <c r="GO20" s="62"/>
      <c r="GP20" s="62"/>
      <c r="GQ20" s="62"/>
      <c r="GR20" s="62"/>
      <c r="GS20" s="62"/>
      <c r="GT20" s="62"/>
      <c r="GU20" s="62"/>
      <c r="GV20" s="62"/>
      <c r="GW20" s="62"/>
      <c r="GX20" s="17" t="str">
        <f t="shared" si="67"/>
        <v/>
      </c>
      <c r="GY20" s="17" t="str">
        <f t="shared" si="68"/>
        <v/>
      </c>
      <c r="GZ20" s="17" t="str">
        <f t="shared" si="69"/>
        <v/>
      </c>
      <c r="HA20" s="17" t="str">
        <f t="shared" si="70"/>
        <v/>
      </c>
      <c r="HB20" s="17" t="str">
        <f t="shared" si="71"/>
        <v/>
      </c>
      <c r="HC20" s="17" t="str">
        <f t="shared" si="72"/>
        <v/>
      </c>
      <c r="HD20" s="60"/>
      <c r="HE20" s="60"/>
      <c r="HF20" s="60"/>
      <c r="HG20" s="60"/>
      <c r="HH20" s="60"/>
      <c r="HI20" s="60"/>
      <c r="HJ20" s="60"/>
      <c r="HK20" s="60"/>
      <c r="HL20" s="60"/>
      <c r="HM20" s="60"/>
      <c r="HN20" s="60"/>
      <c r="HO20" s="60"/>
      <c r="HP20" s="60"/>
      <c r="HQ20" s="60"/>
      <c r="HR20" s="60"/>
      <c r="HS20" s="13" t="str">
        <f t="shared" si="73"/>
        <v/>
      </c>
      <c r="HT20" s="13" t="str">
        <f t="shared" si="74"/>
        <v/>
      </c>
      <c r="HU20" s="13" t="str">
        <f t="shared" si="75"/>
        <v/>
      </c>
      <c r="HV20" s="13" t="str">
        <f t="shared" si="76"/>
        <v/>
      </c>
      <c r="HW20" s="13" t="str">
        <f t="shared" si="77"/>
        <v/>
      </c>
      <c r="HX20" s="13" t="str">
        <f t="shared" si="78"/>
        <v/>
      </c>
      <c r="HY20" s="62"/>
      <c r="HZ20" s="62"/>
      <c r="IA20" s="62"/>
      <c r="IB20" s="62"/>
      <c r="IC20" s="62"/>
      <c r="ID20" s="62"/>
      <c r="IE20" s="62"/>
      <c r="IF20" s="62"/>
      <c r="IG20" s="62"/>
      <c r="IH20" s="62"/>
      <c r="II20" s="62"/>
      <c r="IJ20" s="62"/>
      <c r="IK20" s="62"/>
      <c r="IL20" s="62"/>
      <c r="IM20" s="62"/>
      <c r="IN20" s="17" t="str">
        <f t="shared" si="79"/>
        <v/>
      </c>
      <c r="IO20" s="17" t="str">
        <f t="shared" si="80"/>
        <v/>
      </c>
      <c r="IP20" s="17" t="str">
        <f t="shared" si="81"/>
        <v/>
      </c>
      <c r="IQ20" s="17" t="str">
        <f t="shared" si="82"/>
        <v/>
      </c>
      <c r="IR20" s="17" t="str">
        <f t="shared" si="83"/>
        <v/>
      </c>
      <c r="IS20" s="17" t="str">
        <f t="shared" si="84"/>
        <v/>
      </c>
      <c r="IT20" s="60"/>
      <c r="IU20" s="60"/>
      <c r="IV20" s="60"/>
      <c r="IW20" s="60"/>
      <c r="IX20" s="60"/>
      <c r="IY20" s="60"/>
      <c r="IZ20" s="60"/>
      <c r="JA20" s="60"/>
      <c r="JB20" s="60"/>
      <c r="JC20" s="60"/>
      <c r="JD20" s="60"/>
      <c r="JE20" s="60"/>
      <c r="JF20" s="60"/>
      <c r="JG20" s="60"/>
      <c r="JH20" s="60"/>
      <c r="JI20" s="13" t="str">
        <f t="shared" si="85"/>
        <v/>
      </c>
      <c r="JJ20" s="13" t="str">
        <f t="shared" si="86"/>
        <v/>
      </c>
      <c r="JK20" s="13" t="str">
        <f t="shared" si="87"/>
        <v/>
      </c>
      <c r="JL20" s="13" t="str">
        <f t="shared" si="88"/>
        <v/>
      </c>
      <c r="JM20" s="13" t="str">
        <f t="shared" si="89"/>
        <v/>
      </c>
      <c r="JN20" s="13" t="str">
        <f t="shared" si="90"/>
        <v/>
      </c>
      <c r="JO20" s="62"/>
      <c r="JP20" s="62"/>
      <c r="JQ20" s="62"/>
      <c r="JR20" s="62"/>
      <c r="JS20" s="62"/>
      <c r="JT20" s="62"/>
      <c r="JU20" s="62"/>
      <c r="JV20" s="62"/>
      <c r="JW20" s="62"/>
      <c r="JX20" s="62"/>
      <c r="JY20" s="62"/>
      <c r="JZ20" s="62"/>
      <c r="KA20" s="62"/>
      <c r="KB20" s="62"/>
      <c r="KC20" s="62"/>
      <c r="KD20" s="17" t="str">
        <f t="shared" si="91"/>
        <v/>
      </c>
      <c r="KE20" s="17" t="str">
        <f t="shared" si="92"/>
        <v/>
      </c>
      <c r="KF20" s="17" t="str">
        <f t="shared" si="93"/>
        <v/>
      </c>
      <c r="KG20" s="17" t="str">
        <f t="shared" si="94"/>
        <v/>
      </c>
      <c r="KH20" s="17" t="str">
        <f t="shared" si="95"/>
        <v/>
      </c>
      <c r="KI20" s="17" t="str">
        <f t="shared" si="96"/>
        <v/>
      </c>
      <c r="KJ20" s="60"/>
      <c r="KK20" s="60"/>
      <c r="KL20" s="60"/>
      <c r="KM20" s="60"/>
      <c r="KN20" s="60"/>
      <c r="KO20" s="60"/>
      <c r="KP20" s="60"/>
      <c r="KQ20" s="60"/>
      <c r="KR20" s="60"/>
      <c r="KS20" s="60"/>
      <c r="KT20" s="60"/>
      <c r="KU20" s="60"/>
      <c r="KV20" s="60"/>
      <c r="KW20" s="60"/>
      <c r="KX20" s="60"/>
      <c r="KY20" s="13" t="str">
        <f t="shared" si="97"/>
        <v/>
      </c>
      <c r="KZ20" s="13" t="str">
        <f t="shared" si="98"/>
        <v/>
      </c>
      <c r="LA20" s="13" t="str">
        <f t="shared" si="99"/>
        <v/>
      </c>
      <c r="LB20" s="13" t="str">
        <f t="shared" si="100"/>
        <v/>
      </c>
      <c r="LC20" s="13" t="str">
        <f t="shared" si="101"/>
        <v/>
      </c>
      <c r="LD20" s="13" t="str">
        <f t="shared" si="102"/>
        <v/>
      </c>
      <c r="LE20" s="62"/>
      <c r="LF20" s="62"/>
      <c r="LG20" s="62"/>
      <c r="LH20" s="62"/>
      <c r="LI20" s="62"/>
      <c r="LJ20" s="62"/>
      <c r="LK20" s="62"/>
      <c r="LL20" s="62"/>
      <c r="LM20" s="62"/>
      <c r="LN20" s="62"/>
      <c r="LO20" s="62"/>
      <c r="LP20" s="62"/>
      <c r="LQ20" s="62"/>
      <c r="LR20" s="62"/>
      <c r="LS20" s="62"/>
      <c r="LT20" s="17" t="str">
        <f t="shared" si="103"/>
        <v/>
      </c>
      <c r="LU20" s="17" t="str">
        <f t="shared" si="104"/>
        <v/>
      </c>
      <c r="LV20" s="17" t="str">
        <f t="shared" si="105"/>
        <v/>
      </c>
      <c r="LW20" s="17" t="str">
        <f t="shared" si="106"/>
        <v/>
      </c>
      <c r="LX20" s="17" t="str">
        <f t="shared" si="107"/>
        <v/>
      </c>
      <c r="LY20" s="17" t="str">
        <f t="shared" si="108"/>
        <v/>
      </c>
    </row>
    <row r="21" spans="1:337" x14ac:dyDescent="0.2">
      <c r="D21" s="1"/>
    </row>
    <row r="24" spans="1:337" x14ac:dyDescent="0.2">
      <c r="A24" s="91" t="s">
        <v>44</v>
      </c>
      <c r="B24" s="91"/>
      <c r="C24" s="21">
        <v>20.8</v>
      </c>
      <c r="AJ24" s="85"/>
      <c r="AK24" s="85"/>
      <c r="AL24" s="85"/>
      <c r="AM24" s="85"/>
    </row>
    <row r="25" spans="1:337" x14ac:dyDescent="0.2">
      <c r="A25" s="92" t="s">
        <v>42</v>
      </c>
      <c r="B25" s="92"/>
      <c r="C25" s="22">
        <v>100.7</v>
      </c>
      <c r="AJ25" s="85"/>
      <c r="AK25" s="85"/>
      <c r="AL25" s="85"/>
      <c r="AM25" s="85"/>
    </row>
    <row r="26" spans="1:337" x14ac:dyDescent="0.2">
      <c r="A26" s="93" t="s">
        <v>23</v>
      </c>
      <c r="B26" s="93"/>
      <c r="C26" s="23">
        <v>104.9</v>
      </c>
      <c r="AJ26" s="85"/>
      <c r="AK26" s="85"/>
      <c r="AL26" s="85"/>
      <c r="AM26" s="85"/>
    </row>
    <row r="27" spans="1:337" x14ac:dyDescent="0.2">
      <c r="A27" s="89" t="s">
        <v>43</v>
      </c>
      <c r="B27" s="89"/>
      <c r="C27" s="24">
        <v>108.1</v>
      </c>
      <c r="AJ27" s="85"/>
      <c r="AK27" s="85"/>
      <c r="AL27" s="85"/>
      <c r="AM27" s="85"/>
    </row>
    <row r="28" spans="1:337" x14ac:dyDescent="0.2">
      <c r="A28" s="90" t="s">
        <v>112</v>
      </c>
      <c r="B28" s="90"/>
      <c r="C28" s="25">
        <v>112.7</v>
      </c>
      <c r="AJ28" s="85"/>
      <c r="AK28" s="85"/>
      <c r="AL28" s="85"/>
      <c r="AM28" s="85"/>
    </row>
    <row r="29" spans="1:337" x14ac:dyDescent="0.2">
      <c r="C29" s="3"/>
      <c r="AJ29" s="85"/>
      <c r="AK29" s="85"/>
      <c r="AL29" s="85"/>
      <c r="AM29" s="85"/>
    </row>
    <row r="30" spans="1:337" x14ac:dyDescent="0.2">
      <c r="A30" s="93" t="s">
        <v>86</v>
      </c>
      <c r="B30" s="93"/>
      <c r="C30" s="23">
        <v>265.89999999999998</v>
      </c>
      <c r="AJ30" s="85"/>
      <c r="AK30" s="85"/>
      <c r="AL30" s="85"/>
      <c r="AM30" s="85"/>
    </row>
    <row r="31" spans="1:337" ht="17" x14ac:dyDescent="0.2">
      <c r="A31" s="89" t="s">
        <v>87</v>
      </c>
      <c r="B31" s="89"/>
      <c r="C31" s="24">
        <v>274.3</v>
      </c>
      <c r="Q31" s="31"/>
      <c r="R31" s="31"/>
      <c r="AJ31" s="85"/>
      <c r="AK31" s="85"/>
      <c r="AL31" s="85"/>
      <c r="AM31" s="85"/>
    </row>
    <row r="32" spans="1:337" ht="17" x14ac:dyDescent="0.2">
      <c r="A32" s="90" t="s">
        <v>113</v>
      </c>
      <c r="B32" s="90"/>
      <c r="C32" s="25">
        <v>285.89999999999998</v>
      </c>
      <c r="Q32" s="31"/>
      <c r="AJ32" s="85"/>
      <c r="AK32" s="85"/>
      <c r="AL32" s="85"/>
      <c r="AM32" s="85"/>
    </row>
    <row r="33" spans="17:39" ht="17" x14ac:dyDescent="0.2">
      <c r="Q33" s="31"/>
      <c r="R33" s="31"/>
      <c r="AJ33" s="85"/>
      <c r="AK33" s="85"/>
      <c r="AL33" s="85"/>
      <c r="AM33" s="85"/>
    </row>
    <row r="34" spans="17:39" ht="17" x14ac:dyDescent="0.2">
      <c r="Q34" s="31"/>
      <c r="R34" s="31"/>
      <c r="AJ34" s="85"/>
      <c r="AK34" s="85"/>
      <c r="AL34" s="85"/>
      <c r="AM34" s="85"/>
    </row>
    <row r="35" spans="17:39" ht="17" x14ac:dyDescent="0.2">
      <c r="Q35" s="31"/>
      <c r="R35" s="31"/>
      <c r="AJ35" s="85"/>
      <c r="AK35" s="85"/>
      <c r="AL35" s="85"/>
      <c r="AM35" s="85"/>
    </row>
    <row r="36" spans="17:39" ht="17" x14ac:dyDescent="0.2">
      <c r="Q36" s="31"/>
      <c r="R36" s="31"/>
      <c r="S36" s="31"/>
    </row>
    <row r="37" spans="17:39" ht="17" x14ac:dyDescent="0.2">
      <c r="Q37" s="31"/>
      <c r="R37" s="31"/>
      <c r="S37" s="31"/>
    </row>
    <row r="38" spans="17:39" ht="17" x14ac:dyDescent="0.2">
      <c r="Q38" s="31"/>
      <c r="R38" s="31"/>
      <c r="S38" s="31"/>
    </row>
    <row r="39" spans="17:39" ht="17" x14ac:dyDescent="0.2">
      <c r="Q39" s="31"/>
      <c r="R39" s="31"/>
      <c r="S39" s="31"/>
    </row>
    <row r="40" spans="17:39" ht="17" x14ac:dyDescent="0.2">
      <c r="Q40" s="31"/>
      <c r="R40" s="31"/>
      <c r="S40" s="31"/>
    </row>
    <row r="41" spans="17:39" ht="17" x14ac:dyDescent="0.2">
      <c r="Q41" s="31"/>
      <c r="R41" s="31"/>
      <c r="S41" s="31"/>
    </row>
    <row r="42" spans="17:39" ht="17" x14ac:dyDescent="0.2">
      <c r="Q42" s="31"/>
      <c r="R42" s="31"/>
      <c r="S42" s="31"/>
    </row>
    <row r="43" spans="17:39" ht="17" x14ac:dyDescent="0.2">
      <c r="Q43" s="31"/>
      <c r="R43" s="31"/>
      <c r="S43" s="31"/>
    </row>
    <row r="44" spans="17:39" ht="17" x14ac:dyDescent="0.2">
      <c r="Q44" s="31"/>
      <c r="R44" s="31"/>
      <c r="S44" s="31"/>
    </row>
    <row r="45" spans="17:39" ht="17" x14ac:dyDescent="0.2">
      <c r="Q45" s="31"/>
      <c r="R45" s="31"/>
      <c r="S45" s="31"/>
    </row>
    <row r="46" spans="17:39" ht="17" x14ac:dyDescent="0.2">
      <c r="Q46" s="31"/>
      <c r="R46" s="31"/>
      <c r="S46" s="31"/>
    </row>
    <row r="47" spans="17:39" ht="17" x14ac:dyDescent="0.2">
      <c r="Q47" s="31"/>
      <c r="R47" s="31"/>
      <c r="S47" s="31"/>
    </row>
    <row r="48" spans="17:39" ht="17" x14ac:dyDescent="0.2">
      <c r="Q48" s="31"/>
      <c r="R48" s="31"/>
      <c r="S48" s="31"/>
    </row>
    <row r="49" spans="17:19" ht="17" x14ac:dyDescent="0.2">
      <c r="Q49" s="31"/>
      <c r="R49" s="31"/>
      <c r="S49" s="31"/>
    </row>
    <row r="50" spans="17:19" ht="17" x14ac:dyDescent="0.2">
      <c r="Q50" s="31"/>
      <c r="R50" s="31"/>
      <c r="S50" s="31"/>
    </row>
  </sheetData>
  <sheetProtection sheet="1" objects="1" scenarios="1" formatCells="0" formatColumns="0" formatRows="0"/>
  <autoFilter ref="A1:LY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sortState ref="A6:LY20">
      <sortCondition descending="1" ref="F1:F21"/>
    </sortState>
  </autoFilter>
  <sortState ref="A1:N3">
    <sortCondition ref="A1"/>
  </sortState>
  <mergeCells count="88">
    <mergeCell ref="LE1:LY1"/>
    <mergeCell ref="JO1:KI1"/>
    <mergeCell ref="KJ1:LD1"/>
    <mergeCell ref="HY1:IS1"/>
    <mergeCell ref="IT1:JN1"/>
    <mergeCell ref="HD1:HX1"/>
    <mergeCell ref="IY2:JC2"/>
    <mergeCell ref="IT2:IX2"/>
    <mergeCell ref="II2:IM2"/>
    <mergeCell ref="ID2:IH2"/>
    <mergeCell ref="HY2:IC2"/>
    <mergeCell ref="HN2:HR2"/>
    <mergeCell ref="HI2:HM2"/>
    <mergeCell ref="HD2:HH2"/>
    <mergeCell ref="FN1:GH1"/>
    <mergeCell ref="GI1:HC1"/>
    <mergeCell ref="GN2:GR2"/>
    <mergeCell ref="GI2:GM2"/>
    <mergeCell ref="FX2:GB2"/>
    <mergeCell ref="FS2:FW2"/>
    <mergeCell ref="FN2:FR2"/>
    <mergeCell ref="GS2:GW2"/>
    <mergeCell ref="ES1:FM1"/>
    <mergeCell ref="O1:O3"/>
    <mergeCell ref="Q1:Q3"/>
    <mergeCell ref="CE1:CG1"/>
    <mergeCell ref="S1:S3"/>
    <mergeCell ref="R1:R3"/>
    <mergeCell ref="DC1:DW1"/>
    <mergeCell ref="DX1:ER1"/>
    <mergeCell ref="DC2:DG2"/>
    <mergeCell ref="DH2:DL2"/>
    <mergeCell ref="DM2:DQ2"/>
    <mergeCell ref="DX2:EB2"/>
    <mergeCell ref="CH1:DB1"/>
    <mergeCell ref="Y2:AC2"/>
    <mergeCell ref="AD2:AH2"/>
    <mergeCell ref="AO2:AS2"/>
    <mergeCell ref="A1:A3"/>
    <mergeCell ref="B1:B3"/>
    <mergeCell ref="C1:C3"/>
    <mergeCell ref="E1:E3"/>
    <mergeCell ref="F1:F3"/>
    <mergeCell ref="D1:D3"/>
    <mergeCell ref="T1:AN1"/>
    <mergeCell ref="AO1:BI1"/>
    <mergeCell ref="BJ1:CD1"/>
    <mergeCell ref="G1:G3"/>
    <mergeCell ref="H1:H3"/>
    <mergeCell ref="I1:I3"/>
    <mergeCell ref="K1:K3"/>
    <mergeCell ref="M1:M3"/>
    <mergeCell ref="T2:X2"/>
    <mergeCell ref="J1:J3"/>
    <mergeCell ref="L1:L3"/>
    <mergeCell ref="N1:N3"/>
    <mergeCell ref="P1:P3"/>
    <mergeCell ref="AT2:AX2"/>
    <mergeCell ref="BJ2:BN2"/>
    <mergeCell ref="BO2:BS2"/>
    <mergeCell ref="A31:B31"/>
    <mergeCell ref="A32:B32"/>
    <mergeCell ref="A24:B24"/>
    <mergeCell ref="A25:B25"/>
    <mergeCell ref="A26:B26"/>
    <mergeCell ref="A27:B27"/>
    <mergeCell ref="A28:B28"/>
    <mergeCell ref="A30:B30"/>
    <mergeCell ref="BT2:BX2"/>
    <mergeCell ref="CR2:CV2"/>
    <mergeCell ref="CM2:CQ2"/>
    <mergeCell ref="CH2:CL2"/>
    <mergeCell ref="AY2:BC2"/>
    <mergeCell ref="LO2:LS2"/>
    <mergeCell ref="LJ2:LN2"/>
    <mergeCell ref="LE2:LI2"/>
    <mergeCell ref="KT2:KX2"/>
    <mergeCell ref="KO2:KS2"/>
    <mergeCell ref="KJ2:KN2"/>
    <mergeCell ref="JY2:KC2"/>
    <mergeCell ref="JT2:JX2"/>
    <mergeCell ref="JO2:JS2"/>
    <mergeCell ref="JD2:JH2"/>
    <mergeCell ref="FC2:FG2"/>
    <mergeCell ref="EX2:FB2"/>
    <mergeCell ref="ES2:EW2"/>
    <mergeCell ref="EH2:EL2"/>
    <mergeCell ref="EC2:EG2"/>
  </mergeCells>
  <conditionalFormatting sqref="AI4:AI20 BD4:BD20">
    <cfRule type="cellIs" dxfId="548" priority="433" operator="between">
      <formula>$C$24</formula>
      <formula>100</formula>
    </cfRule>
  </conditionalFormatting>
  <conditionalFormatting sqref="H4:H20">
    <cfRule type="containsText" dxfId="547" priority="425" operator="containsText" text="Merit">
      <formula>NOT(ISERROR(SEARCH("Merit",H4)))</formula>
    </cfRule>
    <cfRule type="containsText" dxfId="546" priority="426" operator="containsText" text="Funding">
      <formula>NOT(ISERROR(SEARCH("Funding",H4)))</formula>
    </cfRule>
    <cfRule type="containsText" dxfId="545" priority="427" operator="containsText" text="Team">
      <formula>NOT(ISERROR(SEARCH("Team",H4)))</formula>
    </cfRule>
    <cfRule type="containsText" dxfId="544" priority="428" operator="containsText" text="First 2 Years">
      <formula>NOT(ISERROR(SEARCH("First 2 Years",H4)))</formula>
    </cfRule>
  </conditionalFormatting>
  <conditionalFormatting sqref="CW4:CW20">
    <cfRule type="cellIs" dxfId="543" priority="380" operator="between">
      <formula>$C$24</formula>
      <formula>100</formula>
    </cfRule>
  </conditionalFormatting>
  <conditionalFormatting sqref="L4:L20">
    <cfRule type="expression" dxfId="542" priority="349">
      <formula>IF(K4=BZ4,1,0)</formula>
    </cfRule>
    <cfRule type="expression" dxfId="541" priority="350">
      <formula>IF(K4=BE4,1,0)</formula>
    </cfRule>
    <cfRule type="expression" dxfId="540" priority="351">
      <formula>IF(K4=AJ4,1,0)</formula>
    </cfRule>
  </conditionalFormatting>
  <conditionalFormatting sqref="J4:J20">
    <cfRule type="expression" dxfId="539" priority="537">
      <formula>IF(I4=CB4,1,0)</formula>
    </cfRule>
    <cfRule type="expression" dxfId="538" priority="538">
      <formula>IF(I4=BG4,1,0)</formula>
    </cfRule>
    <cfRule type="expression" dxfId="537" priority="539">
      <formula>IF(I4=AL4,1,0)</formula>
    </cfRule>
  </conditionalFormatting>
  <conditionalFormatting sqref="N4:N20 P4:P20">
    <cfRule type="expression" dxfId="536" priority="543">
      <formula>IF(M4=CA4,1,0)</formula>
    </cfRule>
    <cfRule type="expression" dxfId="535" priority="544">
      <formula>IF(M4=BF4,1,0)</formula>
    </cfRule>
    <cfRule type="expression" dxfId="534" priority="545">
      <formula>IF(M4=AK4,1,0)</formula>
    </cfRule>
  </conditionalFormatting>
  <conditionalFormatting sqref="DR4:DR20">
    <cfRule type="cellIs" dxfId="533" priority="291" operator="between">
      <formula>$C$24</formula>
      <formula>100</formula>
    </cfRule>
  </conditionalFormatting>
  <conditionalFormatting sqref="EM4:EM20">
    <cfRule type="cellIs" dxfId="532" priority="286" operator="between">
      <formula>$C$24</formula>
      <formula>100</formula>
    </cfRule>
  </conditionalFormatting>
  <conditionalFormatting sqref="FH4:FH20">
    <cfRule type="cellIs" dxfId="531" priority="281" operator="between">
      <formula>$C$24</formula>
      <formula>100</formula>
    </cfRule>
  </conditionalFormatting>
  <conditionalFormatting sqref="GC4:GC20">
    <cfRule type="cellIs" dxfId="530" priority="276" operator="between">
      <formula>$C$24</formula>
      <formula>100</formula>
    </cfRule>
  </conditionalFormatting>
  <conditionalFormatting sqref="GX4:GX20">
    <cfRule type="cellIs" dxfId="529" priority="136" operator="between">
      <formula>$C$24</formula>
      <formula>100</formula>
    </cfRule>
  </conditionalFormatting>
  <conditionalFormatting sqref="HS4:HS20">
    <cfRule type="cellIs" dxfId="528" priority="135" operator="between">
      <formula>$C$24</formula>
      <formula>100</formula>
    </cfRule>
  </conditionalFormatting>
  <conditionalFormatting sqref="IN4:IN20">
    <cfRule type="cellIs" dxfId="527" priority="126" operator="between">
      <formula>$C$24</formula>
      <formula>100</formula>
    </cfRule>
  </conditionalFormatting>
  <conditionalFormatting sqref="JI4:JI20">
    <cfRule type="cellIs" dxfId="526" priority="125" operator="between">
      <formula>$C$24</formula>
      <formula>100</formula>
    </cfRule>
  </conditionalFormatting>
  <conditionalFormatting sqref="KD4:KD20">
    <cfRule type="cellIs" dxfId="525" priority="116" operator="between">
      <formula>$C$24</formula>
      <formula>100</formula>
    </cfRule>
  </conditionalFormatting>
  <conditionalFormatting sqref="KY4:KY20">
    <cfRule type="cellIs" dxfId="524" priority="115" operator="between">
      <formula>$C$24</formula>
      <formula>100</formula>
    </cfRule>
  </conditionalFormatting>
  <conditionalFormatting sqref="LT4:LT20">
    <cfRule type="cellIs" dxfId="523" priority="106" operator="between">
      <formula>$C$24</formula>
      <formula>100</formula>
    </cfRule>
  </conditionalFormatting>
  <conditionalFormatting sqref="BY4:BY20">
    <cfRule type="cellIs" dxfId="522" priority="53" operator="between">
      <formula>$C$24</formula>
      <formula>100</formula>
    </cfRule>
  </conditionalFormatting>
  <conditionalFormatting sqref="AL4:AL20 BG4:BG20 CB4:CB20 CZ4:CZ20 DU4:DU20 EP4:EP20 FK4:FK20 GF4:GF20 HA4:HA20 HV4:HV20 IQ4:IQ20 JL4:JL20 KG4:KG20 LB4:LB20 LW4:LW20">
    <cfRule type="cellIs" dxfId="521" priority="687" operator="between">
      <formula>$C$28</formula>
      <formula>1000</formula>
    </cfRule>
    <cfRule type="cellIs" dxfId="520" priority="688" operator="between">
      <formula>$C$27</formula>
      <formula>$C$28</formula>
    </cfRule>
    <cfRule type="cellIs" dxfId="519" priority="689" operator="between">
      <formula>$C$26</formula>
      <formula>$C$27</formula>
    </cfRule>
    <cfRule type="expression" dxfId="518" priority="690">
      <formula>IF(AND(AL4&gt;=$C$25,AL4&lt;$C$26,YEAR(TODAY())-$D4&lt;2),1,0)</formula>
    </cfRule>
  </conditionalFormatting>
  <conditionalFormatting sqref="A4:A20">
    <cfRule type="expression" dxfId="517" priority="695">
      <formula>AND(H4="First 2 Years",F4="")</formula>
    </cfRule>
    <cfRule type="expression" dxfId="516" priority="696">
      <formula>AND(I4&gt;=$C$26,F4="")</formula>
    </cfRule>
  </conditionalFormatting>
  <conditionalFormatting sqref="B4:C20">
    <cfRule type="expression" dxfId="515" priority="709">
      <formula>$E4&gt;=$C$32</formula>
    </cfRule>
    <cfRule type="expression" dxfId="514" priority="710">
      <formula>AND($E4&gt;=$C$31,$E4&lt;$C$32)</formula>
    </cfRule>
    <cfRule type="expression" dxfId="513" priority="711">
      <formula>AND($E4&gt;=$C$30,$E4&lt;$C$31)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Y25"/>
  <sheetViews>
    <sheetView workbookViewId="0">
      <pane xSplit="3" topLeftCell="AI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38.5" bestFit="1" customWidth="1"/>
    <col min="20" max="34" width="10.83203125" hidden="1" customWidth="1"/>
    <col min="35" max="40" width="10.83203125" customWidth="1"/>
    <col min="41" max="55" width="10.83203125" hidden="1" customWidth="1"/>
    <col min="56" max="61" width="10.83203125" customWidth="1"/>
    <col min="62" max="76" width="10.83203125" hidden="1" customWidth="1"/>
    <col min="77" max="82" width="10.83203125" customWidth="1"/>
    <col min="86" max="100" width="10.83203125" hidden="1" customWidth="1"/>
    <col min="101" max="106" width="10.83203125" customWidth="1"/>
    <col min="107" max="121" width="10.83203125" hidden="1" customWidth="1"/>
    <col min="122" max="127" width="10.83203125" customWidth="1"/>
    <col min="128" max="142" width="10.83203125" hidden="1" customWidth="1"/>
    <col min="143" max="148" width="10.83203125" customWidth="1"/>
    <col min="149" max="163" width="10.83203125" hidden="1" customWidth="1"/>
    <col min="164" max="169" width="10.83203125" customWidth="1"/>
    <col min="170" max="184" width="10.83203125" hidden="1" customWidth="1"/>
    <col min="185" max="190" width="10.83203125" customWidth="1"/>
    <col min="191" max="205" width="10.83203125" hidden="1" customWidth="1"/>
    <col min="206" max="211" width="10.83203125" customWidth="1"/>
    <col min="212" max="226" width="10.83203125" hidden="1" customWidth="1"/>
    <col min="227" max="232" width="10.83203125" customWidth="1"/>
    <col min="233" max="247" width="10.83203125" hidden="1" customWidth="1"/>
    <col min="248" max="253" width="10.83203125" customWidth="1"/>
    <col min="254" max="268" width="10.83203125" hidden="1" customWidth="1"/>
    <col min="269" max="274" width="10.83203125" customWidth="1"/>
    <col min="275" max="289" width="10.83203125" hidden="1" customWidth="1"/>
    <col min="290" max="295" width="10.83203125" customWidth="1"/>
    <col min="296" max="310" width="10.83203125" hidden="1" customWidth="1"/>
    <col min="311" max="316" width="10.83203125" customWidth="1"/>
    <col min="317" max="331" width="10.83203125" hidden="1" customWidth="1"/>
    <col min="332" max="349" width="10.83203125" customWidth="1"/>
  </cols>
  <sheetData>
    <row r="1" spans="1:337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26</v>
      </c>
      <c r="L1" s="97" t="s">
        <v>105</v>
      </c>
      <c r="M1" s="97" t="s">
        <v>27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94" t="s">
        <v>40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5" t="s">
        <v>41</v>
      </c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4" t="s">
        <v>114</v>
      </c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100" t="s">
        <v>29</v>
      </c>
      <c r="CF1" s="100"/>
      <c r="CG1" s="100"/>
      <c r="CH1" s="94" t="s">
        <v>107</v>
      </c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5" t="s">
        <v>108</v>
      </c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  <c r="DR1" s="95"/>
      <c r="DS1" s="95"/>
      <c r="DT1" s="95"/>
      <c r="DU1" s="95"/>
      <c r="DV1" s="95"/>
      <c r="DW1" s="95"/>
      <c r="DX1" s="94" t="s">
        <v>109</v>
      </c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5" t="s">
        <v>106</v>
      </c>
      <c r="ET1" s="95"/>
      <c r="EU1" s="95"/>
      <c r="EV1" s="95"/>
      <c r="EW1" s="95"/>
      <c r="EX1" s="95"/>
      <c r="EY1" s="95"/>
      <c r="EZ1" s="95"/>
      <c r="FA1" s="95"/>
      <c r="FB1" s="95"/>
      <c r="FC1" s="95"/>
      <c r="FD1" s="95"/>
      <c r="FE1" s="95"/>
      <c r="FF1" s="95"/>
      <c r="FG1" s="95"/>
      <c r="FH1" s="95"/>
      <c r="FI1" s="95"/>
      <c r="FJ1" s="95"/>
      <c r="FK1" s="95"/>
      <c r="FL1" s="95"/>
      <c r="FM1" s="95"/>
      <c r="FN1" s="94" t="s">
        <v>124</v>
      </c>
      <c r="FO1" s="94"/>
      <c r="FP1" s="94"/>
      <c r="FQ1" s="94"/>
      <c r="FR1" s="94"/>
      <c r="FS1" s="94"/>
      <c r="FT1" s="94"/>
      <c r="FU1" s="94"/>
      <c r="FV1" s="94"/>
      <c r="FW1" s="94"/>
      <c r="FX1" s="94"/>
      <c r="FY1" s="94"/>
      <c r="FZ1" s="94"/>
      <c r="GA1" s="94"/>
      <c r="GB1" s="94"/>
      <c r="GC1" s="94"/>
      <c r="GD1" s="94"/>
      <c r="GE1" s="94"/>
      <c r="GF1" s="94"/>
      <c r="GG1" s="94"/>
      <c r="GH1" s="94"/>
      <c r="GI1" s="95" t="s">
        <v>125</v>
      </c>
      <c r="GJ1" s="95"/>
      <c r="GK1" s="95"/>
      <c r="GL1" s="95"/>
      <c r="GM1" s="95"/>
      <c r="GN1" s="95"/>
      <c r="GO1" s="95"/>
      <c r="GP1" s="95"/>
      <c r="GQ1" s="95"/>
      <c r="GR1" s="95"/>
      <c r="GS1" s="95"/>
      <c r="GT1" s="95"/>
      <c r="GU1" s="95"/>
      <c r="GV1" s="95"/>
      <c r="GW1" s="95"/>
      <c r="GX1" s="95"/>
      <c r="GY1" s="95"/>
      <c r="GZ1" s="95"/>
      <c r="HA1" s="95"/>
      <c r="HB1" s="95"/>
      <c r="HC1" s="95"/>
      <c r="HD1" s="94" t="s">
        <v>138</v>
      </c>
      <c r="HE1" s="94"/>
      <c r="HF1" s="94"/>
      <c r="HG1" s="94"/>
      <c r="HH1" s="94"/>
      <c r="HI1" s="94"/>
      <c r="HJ1" s="94"/>
      <c r="HK1" s="94"/>
      <c r="HL1" s="94"/>
      <c r="HM1" s="94"/>
      <c r="HN1" s="94"/>
      <c r="HO1" s="94"/>
      <c r="HP1" s="94"/>
      <c r="HQ1" s="94"/>
      <c r="HR1" s="94"/>
      <c r="HS1" s="94"/>
      <c r="HT1" s="94"/>
      <c r="HU1" s="94"/>
      <c r="HV1" s="94"/>
      <c r="HW1" s="94"/>
      <c r="HX1" s="94"/>
      <c r="HY1" s="95" t="s">
        <v>139</v>
      </c>
      <c r="HZ1" s="95"/>
      <c r="IA1" s="95"/>
      <c r="IB1" s="95"/>
      <c r="IC1" s="95"/>
      <c r="ID1" s="95"/>
      <c r="IE1" s="95"/>
      <c r="IF1" s="95"/>
      <c r="IG1" s="95"/>
      <c r="IH1" s="95"/>
      <c r="II1" s="95"/>
      <c r="IJ1" s="95"/>
      <c r="IK1" s="95"/>
      <c r="IL1" s="95"/>
      <c r="IM1" s="95"/>
      <c r="IN1" s="95"/>
      <c r="IO1" s="95"/>
      <c r="IP1" s="95"/>
      <c r="IQ1" s="95"/>
      <c r="IR1" s="95"/>
      <c r="IS1" s="95"/>
      <c r="IT1" s="94" t="s">
        <v>140</v>
      </c>
      <c r="IU1" s="94"/>
      <c r="IV1" s="94"/>
      <c r="IW1" s="94"/>
      <c r="IX1" s="94"/>
      <c r="IY1" s="94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94"/>
      <c r="JK1" s="94"/>
      <c r="JL1" s="94"/>
      <c r="JM1" s="94"/>
      <c r="JN1" s="94"/>
      <c r="JO1" s="95" t="s">
        <v>142</v>
      </c>
      <c r="JP1" s="95"/>
      <c r="JQ1" s="95"/>
      <c r="JR1" s="95"/>
      <c r="JS1" s="95"/>
      <c r="JT1" s="95"/>
      <c r="JU1" s="95"/>
      <c r="JV1" s="95"/>
      <c r="JW1" s="95"/>
      <c r="JX1" s="95"/>
      <c r="JY1" s="95"/>
      <c r="JZ1" s="95"/>
      <c r="KA1" s="95"/>
      <c r="KB1" s="95"/>
      <c r="KC1" s="95"/>
      <c r="KD1" s="95"/>
      <c r="KE1" s="95"/>
      <c r="KF1" s="95"/>
      <c r="KG1" s="95"/>
      <c r="KH1" s="95"/>
      <c r="KI1" s="95"/>
      <c r="KJ1" s="94"/>
      <c r="KK1" s="94"/>
      <c r="KL1" s="94"/>
      <c r="KM1" s="94"/>
      <c r="KN1" s="94"/>
      <c r="KO1" s="94"/>
      <c r="KP1" s="94"/>
      <c r="KQ1" s="94"/>
      <c r="KR1" s="94"/>
      <c r="KS1" s="94"/>
      <c r="KT1" s="94"/>
      <c r="KU1" s="94"/>
      <c r="KV1" s="94"/>
      <c r="KW1" s="94"/>
      <c r="KX1" s="94"/>
      <c r="KY1" s="94"/>
      <c r="KZ1" s="94"/>
      <c r="LA1" s="94"/>
      <c r="LB1" s="94"/>
      <c r="LC1" s="94"/>
      <c r="LD1" s="94"/>
      <c r="LE1" s="95"/>
      <c r="LF1" s="95"/>
      <c r="LG1" s="95"/>
      <c r="LH1" s="95"/>
      <c r="LI1" s="95"/>
      <c r="LJ1" s="95"/>
      <c r="LK1" s="95"/>
      <c r="LL1" s="95"/>
      <c r="LM1" s="95"/>
      <c r="LN1" s="95"/>
      <c r="LO1" s="95"/>
      <c r="LP1" s="95"/>
      <c r="LQ1" s="95"/>
      <c r="LR1" s="95"/>
      <c r="LS1" s="95"/>
      <c r="LT1" s="95"/>
      <c r="LU1" s="95"/>
      <c r="LV1" s="95"/>
      <c r="LW1" s="95"/>
      <c r="LX1" s="95"/>
      <c r="LY1" s="95"/>
    </row>
    <row r="2" spans="1:337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34</v>
      </c>
      <c r="U2" s="88"/>
      <c r="V2" s="88"/>
      <c r="W2" s="88"/>
      <c r="X2" s="88"/>
      <c r="Y2" s="88" t="s">
        <v>35</v>
      </c>
      <c r="Z2" s="88"/>
      <c r="AA2" s="88"/>
      <c r="AB2" s="88"/>
      <c r="AC2" s="88"/>
      <c r="AD2" s="88" t="s">
        <v>38</v>
      </c>
      <c r="AE2" s="88"/>
      <c r="AF2" s="88"/>
      <c r="AG2" s="88"/>
      <c r="AH2" s="88"/>
      <c r="AI2" s="10" t="s">
        <v>45</v>
      </c>
      <c r="AJ2" s="11" t="s">
        <v>36</v>
      </c>
      <c r="AK2" s="11" t="s">
        <v>37</v>
      </c>
      <c r="AL2" s="11" t="s">
        <v>39</v>
      </c>
      <c r="AM2" s="11" t="s">
        <v>38</v>
      </c>
      <c r="AN2" s="11" t="s">
        <v>33</v>
      </c>
      <c r="AO2" s="87" t="s">
        <v>34</v>
      </c>
      <c r="AP2" s="87"/>
      <c r="AQ2" s="87"/>
      <c r="AR2" s="87"/>
      <c r="AS2" s="87"/>
      <c r="AT2" s="87" t="s">
        <v>35</v>
      </c>
      <c r="AU2" s="87"/>
      <c r="AV2" s="87"/>
      <c r="AW2" s="87"/>
      <c r="AX2" s="87"/>
      <c r="AY2" s="87" t="s">
        <v>38</v>
      </c>
      <c r="AZ2" s="87"/>
      <c r="BA2" s="87"/>
      <c r="BB2" s="87"/>
      <c r="BC2" s="87"/>
      <c r="BD2" s="14" t="s">
        <v>45</v>
      </c>
      <c r="BE2" s="15" t="s">
        <v>36</v>
      </c>
      <c r="BF2" s="15" t="s">
        <v>37</v>
      </c>
      <c r="BG2" s="15" t="s">
        <v>39</v>
      </c>
      <c r="BH2" s="15" t="s">
        <v>38</v>
      </c>
      <c r="BI2" s="15" t="s">
        <v>33</v>
      </c>
      <c r="BJ2" s="88" t="s">
        <v>34</v>
      </c>
      <c r="BK2" s="88"/>
      <c r="BL2" s="88"/>
      <c r="BM2" s="88"/>
      <c r="BN2" s="88"/>
      <c r="BO2" s="88" t="s">
        <v>35</v>
      </c>
      <c r="BP2" s="88"/>
      <c r="BQ2" s="88"/>
      <c r="BR2" s="88"/>
      <c r="BS2" s="88"/>
      <c r="BT2" s="88" t="s">
        <v>38</v>
      </c>
      <c r="BU2" s="88"/>
      <c r="BV2" s="88"/>
      <c r="BW2" s="88"/>
      <c r="BX2" s="88"/>
      <c r="BY2" s="10" t="s">
        <v>45</v>
      </c>
      <c r="BZ2" s="11" t="s">
        <v>36</v>
      </c>
      <c r="CA2" s="11" t="s">
        <v>37</v>
      </c>
      <c r="CB2" s="11" t="s">
        <v>39</v>
      </c>
      <c r="CC2" s="11" t="s">
        <v>38</v>
      </c>
      <c r="CD2" s="11" t="s">
        <v>33</v>
      </c>
      <c r="CE2" s="41" t="s">
        <v>36</v>
      </c>
      <c r="CF2" s="41" t="s">
        <v>37</v>
      </c>
      <c r="CG2" s="41" t="s">
        <v>38</v>
      </c>
      <c r="CH2" s="88" t="s">
        <v>34</v>
      </c>
      <c r="CI2" s="88"/>
      <c r="CJ2" s="88"/>
      <c r="CK2" s="88"/>
      <c r="CL2" s="88"/>
      <c r="CM2" s="88" t="s">
        <v>35</v>
      </c>
      <c r="CN2" s="88"/>
      <c r="CO2" s="88"/>
      <c r="CP2" s="88"/>
      <c r="CQ2" s="88"/>
      <c r="CR2" s="88" t="s">
        <v>38</v>
      </c>
      <c r="CS2" s="88"/>
      <c r="CT2" s="88"/>
      <c r="CU2" s="88"/>
      <c r="CV2" s="88"/>
      <c r="CW2" s="33" t="s">
        <v>45</v>
      </c>
      <c r="CX2" s="11" t="s">
        <v>36</v>
      </c>
      <c r="CY2" s="11" t="s">
        <v>37</v>
      </c>
      <c r="CZ2" s="11" t="s">
        <v>39</v>
      </c>
      <c r="DA2" s="11" t="s">
        <v>38</v>
      </c>
      <c r="DB2" s="11" t="s">
        <v>33</v>
      </c>
      <c r="DC2" s="87" t="s">
        <v>34</v>
      </c>
      <c r="DD2" s="87"/>
      <c r="DE2" s="87"/>
      <c r="DF2" s="87"/>
      <c r="DG2" s="87"/>
      <c r="DH2" s="87" t="s">
        <v>35</v>
      </c>
      <c r="DI2" s="87"/>
      <c r="DJ2" s="87"/>
      <c r="DK2" s="87"/>
      <c r="DL2" s="87"/>
      <c r="DM2" s="87" t="s">
        <v>38</v>
      </c>
      <c r="DN2" s="87"/>
      <c r="DO2" s="87"/>
      <c r="DP2" s="87"/>
      <c r="DQ2" s="87"/>
      <c r="DR2" s="32" t="s">
        <v>45</v>
      </c>
      <c r="DS2" s="15" t="s">
        <v>36</v>
      </c>
      <c r="DT2" s="15" t="s">
        <v>37</v>
      </c>
      <c r="DU2" s="15" t="s">
        <v>39</v>
      </c>
      <c r="DV2" s="15" t="s">
        <v>38</v>
      </c>
      <c r="DW2" s="15" t="s">
        <v>33</v>
      </c>
      <c r="DX2" s="88" t="s">
        <v>34</v>
      </c>
      <c r="DY2" s="88"/>
      <c r="DZ2" s="88"/>
      <c r="EA2" s="88"/>
      <c r="EB2" s="88"/>
      <c r="EC2" s="88" t="s">
        <v>35</v>
      </c>
      <c r="ED2" s="88"/>
      <c r="EE2" s="88"/>
      <c r="EF2" s="88"/>
      <c r="EG2" s="88"/>
      <c r="EH2" s="88" t="s">
        <v>38</v>
      </c>
      <c r="EI2" s="88"/>
      <c r="EJ2" s="88"/>
      <c r="EK2" s="88"/>
      <c r="EL2" s="88"/>
      <c r="EM2" s="33" t="s">
        <v>45</v>
      </c>
      <c r="EN2" s="11" t="s">
        <v>36</v>
      </c>
      <c r="EO2" s="11" t="s">
        <v>37</v>
      </c>
      <c r="EP2" s="11" t="s">
        <v>39</v>
      </c>
      <c r="EQ2" s="11" t="s">
        <v>38</v>
      </c>
      <c r="ER2" s="11" t="s">
        <v>33</v>
      </c>
      <c r="ES2" s="87" t="s">
        <v>34</v>
      </c>
      <c r="ET2" s="87"/>
      <c r="EU2" s="87"/>
      <c r="EV2" s="87"/>
      <c r="EW2" s="87"/>
      <c r="EX2" s="87" t="s">
        <v>35</v>
      </c>
      <c r="EY2" s="87"/>
      <c r="EZ2" s="87"/>
      <c r="FA2" s="87"/>
      <c r="FB2" s="87"/>
      <c r="FC2" s="87" t="s">
        <v>38</v>
      </c>
      <c r="FD2" s="87"/>
      <c r="FE2" s="87"/>
      <c r="FF2" s="87"/>
      <c r="FG2" s="87"/>
      <c r="FH2" s="32" t="s">
        <v>45</v>
      </c>
      <c r="FI2" s="15" t="s">
        <v>36</v>
      </c>
      <c r="FJ2" s="15" t="s">
        <v>37</v>
      </c>
      <c r="FK2" s="15" t="s">
        <v>39</v>
      </c>
      <c r="FL2" s="15" t="s">
        <v>38</v>
      </c>
      <c r="FM2" s="15" t="s">
        <v>33</v>
      </c>
      <c r="FN2" s="88" t="s">
        <v>34</v>
      </c>
      <c r="FO2" s="88"/>
      <c r="FP2" s="88"/>
      <c r="FQ2" s="88"/>
      <c r="FR2" s="88"/>
      <c r="FS2" s="88" t="s">
        <v>35</v>
      </c>
      <c r="FT2" s="88"/>
      <c r="FU2" s="88"/>
      <c r="FV2" s="88"/>
      <c r="FW2" s="88"/>
      <c r="FX2" s="88" t="s">
        <v>38</v>
      </c>
      <c r="FY2" s="88"/>
      <c r="FZ2" s="88"/>
      <c r="GA2" s="88"/>
      <c r="GB2" s="88"/>
      <c r="GC2" s="38" t="s">
        <v>45</v>
      </c>
      <c r="GD2" s="11" t="s">
        <v>36</v>
      </c>
      <c r="GE2" s="11" t="s">
        <v>37</v>
      </c>
      <c r="GF2" s="11" t="s">
        <v>39</v>
      </c>
      <c r="GG2" s="11" t="s">
        <v>38</v>
      </c>
      <c r="GH2" s="11" t="s">
        <v>33</v>
      </c>
      <c r="GI2" s="87" t="s">
        <v>34</v>
      </c>
      <c r="GJ2" s="87"/>
      <c r="GK2" s="87"/>
      <c r="GL2" s="87"/>
      <c r="GM2" s="87"/>
      <c r="GN2" s="87" t="s">
        <v>35</v>
      </c>
      <c r="GO2" s="87"/>
      <c r="GP2" s="87"/>
      <c r="GQ2" s="87"/>
      <c r="GR2" s="87"/>
      <c r="GS2" s="87" t="s">
        <v>38</v>
      </c>
      <c r="GT2" s="87"/>
      <c r="GU2" s="87"/>
      <c r="GV2" s="87"/>
      <c r="GW2" s="87"/>
      <c r="GX2" s="37" t="s">
        <v>45</v>
      </c>
      <c r="GY2" s="15" t="s">
        <v>36</v>
      </c>
      <c r="GZ2" s="15" t="s">
        <v>37</v>
      </c>
      <c r="HA2" s="15" t="s">
        <v>39</v>
      </c>
      <c r="HB2" s="15" t="s">
        <v>38</v>
      </c>
      <c r="HC2" s="15" t="s">
        <v>33</v>
      </c>
      <c r="HD2" s="88" t="s">
        <v>34</v>
      </c>
      <c r="HE2" s="88"/>
      <c r="HF2" s="88"/>
      <c r="HG2" s="88"/>
      <c r="HH2" s="88"/>
      <c r="HI2" s="88" t="s">
        <v>35</v>
      </c>
      <c r="HJ2" s="88"/>
      <c r="HK2" s="88"/>
      <c r="HL2" s="88"/>
      <c r="HM2" s="88"/>
      <c r="HN2" s="88" t="s">
        <v>38</v>
      </c>
      <c r="HO2" s="88"/>
      <c r="HP2" s="88"/>
      <c r="HQ2" s="88"/>
      <c r="HR2" s="88"/>
      <c r="HS2" s="38" t="s">
        <v>45</v>
      </c>
      <c r="HT2" s="11" t="s">
        <v>36</v>
      </c>
      <c r="HU2" s="11" t="s">
        <v>37</v>
      </c>
      <c r="HV2" s="11" t="s">
        <v>39</v>
      </c>
      <c r="HW2" s="11" t="s">
        <v>38</v>
      </c>
      <c r="HX2" s="11" t="s">
        <v>33</v>
      </c>
      <c r="HY2" s="87" t="s">
        <v>34</v>
      </c>
      <c r="HZ2" s="87"/>
      <c r="IA2" s="87"/>
      <c r="IB2" s="87"/>
      <c r="IC2" s="87"/>
      <c r="ID2" s="87" t="s">
        <v>35</v>
      </c>
      <c r="IE2" s="87"/>
      <c r="IF2" s="87"/>
      <c r="IG2" s="87"/>
      <c r="IH2" s="87"/>
      <c r="II2" s="87" t="s">
        <v>38</v>
      </c>
      <c r="IJ2" s="87"/>
      <c r="IK2" s="87"/>
      <c r="IL2" s="87"/>
      <c r="IM2" s="87"/>
      <c r="IN2" s="37" t="s">
        <v>45</v>
      </c>
      <c r="IO2" s="15" t="s">
        <v>36</v>
      </c>
      <c r="IP2" s="15" t="s">
        <v>37</v>
      </c>
      <c r="IQ2" s="15" t="s">
        <v>39</v>
      </c>
      <c r="IR2" s="15" t="s">
        <v>38</v>
      </c>
      <c r="IS2" s="15" t="s">
        <v>33</v>
      </c>
      <c r="IT2" s="88" t="s">
        <v>34</v>
      </c>
      <c r="IU2" s="88"/>
      <c r="IV2" s="88"/>
      <c r="IW2" s="88"/>
      <c r="IX2" s="88"/>
      <c r="IY2" s="88" t="s">
        <v>35</v>
      </c>
      <c r="IZ2" s="88"/>
      <c r="JA2" s="88"/>
      <c r="JB2" s="88"/>
      <c r="JC2" s="88"/>
      <c r="JD2" s="88" t="s">
        <v>38</v>
      </c>
      <c r="JE2" s="88"/>
      <c r="JF2" s="88"/>
      <c r="JG2" s="88"/>
      <c r="JH2" s="88"/>
      <c r="JI2" s="38" t="s">
        <v>45</v>
      </c>
      <c r="JJ2" s="11" t="s">
        <v>36</v>
      </c>
      <c r="JK2" s="11" t="s">
        <v>37</v>
      </c>
      <c r="JL2" s="11" t="s">
        <v>39</v>
      </c>
      <c r="JM2" s="11" t="s">
        <v>38</v>
      </c>
      <c r="JN2" s="11" t="s">
        <v>33</v>
      </c>
      <c r="JO2" s="87" t="s">
        <v>34</v>
      </c>
      <c r="JP2" s="87"/>
      <c r="JQ2" s="87"/>
      <c r="JR2" s="87"/>
      <c r="JS2" s="87"/>
      <c r="JT2" s="87" t="s">
        <v>35</v>
      </c>
      <c r="JU2" s="87"/>
      <c r="JV2" s="87"/>
      <c r="JW2" s="87"/>
      <c r="JX2" s="87"/>
      <c r="JY2" s="87" t="s">
        <v>38</v>
      </c>
      <c r="JZ2" s="87"/>
      <c r="KA2" s="87"/>
      <c r="KB2" s="87"/>
      <c r="KC2" s="87"/>
      <c r="KD2" s="37" t="s">
        <v>45</v>
      </c>
      <c r="KE2" s="15" t="s">
        <v>36</v>
      </c>
      <c r="KF2" s="15" t="s">
        <v>37</v>
      </c>
      <c r="KG2" s="15" t="s">
        <v>39</v>
      </c>
      <c r="KH2" s="15" t="s">
        <v>38</v>
      </c>
      <c r="KI2" s="15" t="s">
        <v>33</v>
      </c>
      <c r="KJ2" s="88" t="s">
        <v>34</v>
      </c>
      <c r="KK2" s="88"/>
      <c r="KL2" s="88"/>
      <c r="KM2" s="88"/>
      <c r="KN2" s="88"/>
      <c r="KO2" s="88" t="s">
        <v>35</v>
      </c>
      <c r="KP2" s="88"/>
      <c r="KQ2" s="88"/>
      <c r="KR2" s="88"/>
      <c r="KS2" s="88"/>
      <c r="KT2" s="88" t="s">
        <v>38</v>
      </c>
      <c r="KU2" s="88"/>
      <c r="KV2" s="88"/>
      <c r="KW2" s="88"/>
      <c r="KX2" s="88"/>
      <c r="KY2" s="38" t="s">
        <v>45</v>
      </c>
      <c r="KZ2" s="11" t="s">
        <v>36</v>
      </c>
      <c r="LA2" s="11" t="s">
        <v>37</v>
      </c>
      <c r="LB2" s="11" t="s">
        <v>39</v>
      </c>
      <c r="LC2" s="11" t="s">
        <v>38</v>
      </c>
      <c r="LD2" s="11" t="s">
        <v>33</v>
      </c>
      <c r="LE2" s="87" t="s">
        <v>34</v>
      </c>
      <c r="LF2" s="87"/>
      <c r="LG2" s="87"/>
      <c r="LH2" s="87"/>
      <c r="LI2" s="87"/>
      <c r="LJ2" s="87" t="s">
        <v>35</v>
      </c>
      <c r="LK2" s="87"/>
      <c r="LL2" s="87"/>
      <c r="LM2" s="87"/>
      <c r="LN2" s="87"/>
      <c r="LO2" s="87" t="s">
        <v>38</v>
      </c>
      <c r="LP2" s="87"/>
      <c r="LQ2" s="87"/>
      <c r="LR2" s="87"/>
      <c r="LS2" s="87"/>
      <c r="LT2" s="37" t="s">
        <v>45</v>
      </c>
      <c r="LU2" s="15" t="s">
        <v>36</v>
      </c>
      <c r="LV2" s="15" t="s">
        <v>37</v>
      </c>
      <c r="LW2" s="15" t="s">
        <v>39</v>
      </c>
      <c r="LX2" s="15" t="s">
        <v>38</v>
      </c>
      <c r="LY2" s="15" t="s">
        <v>33</v>
      </c>
    </row>
    <row r="3" spans="1:337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48" t="s">
        <v>30</v>
      </c>
      <c r="U3" s="48" t="s">
        <v>31</v>
      </c>
      <c r="V3" s="48" t="s">
        <v>22</v>
      </c>
      <c r="W3" s="48" t="s">
        <v>32</v>
      </c>
      <c r="X3" s="77" t="s">
        <v>64</v>
      </c>
      <c r="Y3" s="48" t="s">
        <v>30</v>
      </c>
      <c r="Z3" s="48" t="s">
        <v>31</v>
      </c>
      <c r="AA3" s="48" t="s">
        <v>22</v>
      </c>
      <c r="AB3" s="48" t="s">
        <v>32</v>
      </c>
      <c r="AC3" s="77" t="s">
        <v>64</v>
      </c>
      <c r="AD3" s="48" t="s">
        <v>30</v>
      </c>
      <c r="AE3" s="48" t="s">
        <v>31</v>
      </c>
      <c r="AF3" s="48" t="s">
        <v>22</v>
      </c>
      <c r="AG3" s="48" t="s">
        <v>32</v>
      </c>
      <c r="AH3" s="77" t="s">
        <v>64</v>
      </c>
      <c r="AI3" s="12"/>
      <c r="AJ3" s="11"/>
      <c r="AK3" s="11"/>
      <c r="AL3" s="11"/>
      <c r="AM3" s="12"/>
      <c r="AN3" s="12"/>
      <c r="AO3" s="47" t="s">
        <v>30</v>
      </c>
      <c r="AP3" s="47" t="s">
        <v>31</v>
      </c>
      <c r="AQ3" s="47" t="s">
        <v>22</v>
      </c>
      <c r="AR3" s="47" t="s">
        <v>32</v>
      </c>
      <c r="AS3" s="78" t="s">
        <v>64</v>
      </c>
      <c r="AT3" s="47" t="s">
        <v>30</v>
      </c>
      <c r="AU3" s="47" t="s">
        <v>31</v>
      </c>
      <c r="AV3" s="47" t="s">
        <v>22</v>
      </c>
      <c r="AW3" s="47" t="s">
        <v>32</v>
      </c>
      <c r="AX3" s="78" t="s">
        <v>64</v>
      </c>
      <c r="AY3" s="47" t="s">
        <v>30</v>
      </c>
      <c r="AZ3" s="47" t="s">
        <v>31</v>
      </c>
      <c r="BA3" s="47" t="s">
        <v>22</v>
      </c>
      <c r="BB3" s="47" t="s">
        <v>32</v>
      </c>
      <c r="BC3" s="78" t="s">
        <v>64</v>
      </c>
      <c r="BD3" s="16"/>
      <c r="BE3" s="15"/>
      <c r="BF3" s="15"/>
      <c r="BG3" s="15"/>
      <c r="BH3" s="16"/>
      <c r="BI3" s="16"/>
      <c r="BJ3" s="48" t="s">
        <v>30</v>
      </c>
      <c r="BK3" s="48" t="s">
        <v>31</v>
      </c>
      <c r="BL3" s="48" t="s">
        <v>22</v>
      </c>
      <c r="BM3" s="48" t="s">
        <v>32</v>
      </c>
      <c r="BN3" s="77" t="s">
        <v>64</v>
      </c>
      <c r="BO3" s="48" t="s">
        <v>30</v>
      </c>
      <c r="BP3" s="48" t="s">
        <v>31</v>
      </c>
      <c r="BQ3" s="48" t="s">
        <v>22</v>
      </c>
      <c r="BR3" s="48" t="s">
        <v>32</v>
      </c>
      <c r="BS3" s="77" t="s">
        <v>64</v>
      </c>
      <c r="BT3" s="48" t="s">
        <v>30</v>
      </c>
      <c r="BU3" s="48" t="s">
        <v>31</v>
      </c>
      <c r="BV3" s="48" t="s">
        <v>22</v>
      </c>
      <c r="BW3" s="48" t="s">
        <v>32</v>
      </c>
      <c r="BX3" s="77" t="s">
        <v>64</v>
      </c>
      <c r="BY3" s="12"/>
      <c r="BZ3" s="11"/>
      <c r="CA3" s="11"/>
      <c r="CB3" s="11"/>
      <c r="CC3" s="12"/>
      <c r="CD3" s="12"/>
      <c r="CE3" s="42"/>
      <c r="CF3" s="42"/>
      <c r="CG3" s="42"/>
      <c r="CH3" s="48" t="s">
        <v>30</v>
      </c>
      <c r="CI3" s="48" t="s">
        <v>31</v>
      </c>
      <c r="CJ3" s="48" t="s">
        <v>22</v>
      </c>
      <c r="CK3" s="48" t="s">
        <v>32</v>
      </c>
      <c r="CL3" s="77" t="s">
        <v>64</v>
      </c>
      <c r="CM3" s="48" t="s">
        <v>30</v>
      </c>
      <c r="CN3" s="48" t="s">
        <v>31</v>
      </c>
      <c r="CO3" s="48" t="s">
        <v>22</v>
      </c>
      <c r="CP3" s="48" t="s">
        <v>32</v>
      </c>
      <c r="CQ3" s="77" t="s">
        <v>64</v>
      </c>
      <c r="CR3" s="48" t="s">
        <v>30</v>
      </c>
      <c r="CS3" s="48" t="s">
        <v>31</v>
      </c>
      <c r="CT3" s="48" t="s">
        <v>22</v>
      </c>
      <c r="CU3" s="48" t="s">
        <v>32</v>
      </c>
      <c r="CV3" s="77" t="s">
        <v>64</v>
      </c>
      <c r="CW3" s="12"/>
      <c r="CX3" s="11"/>
      <c r="CY3" s="11"/>
      <c r="CZ3" s="11"/>
      <c r="DA3" s="12"/>
      <c r="DB3" s="12"/>
      <c r="DC3" s="47" t="s">
        <v>30</v>
      </c>
      <c r="DD3" s="47" t="s">
        <v>31</v>
      </c>
      <c r="DE3" s="47" t="s">
        <v>22</v>
      </c>
      <c r="DF3" s="47" t="s">
        <v>32</v>
      </c>
      <c r="DG3" s="78" t="s">
        <v>64</v>
      </c>
      <c r="DH3" s="47" t="s">
        <v>30</v>
      </c>
      <c r="DI3" s="47" t="s">
        <v>31</v>
      </c>
      <c r="DJ3" s="47" t="s">
        <v>22</v>
      </c>
      <c r="DK3" s="47" t="s">
        <v>32</v>
      </c>
      <c r="DL3" s="78" t="s">
        <v>64</v>
      </c>
      <c r="DM3" s="47" t="s">
        <v>30</v>
      </c>
      <c r="DN3" s="47" t="s">
        <v>31</v>
      </c>
      <c r="DO3" s="47" t="s">
        <v>22</v>
      </c>
      <c r="DP3" s="47" t="s">
        <v>32</v>
      </c>
      <c r="DQ3" s="78" t="s">
        <v>64</v>
      </c>
      <c r="DR3" s="16"/>
      <c r="DS3" s="15"/>
      <c r="DT3" s="15"/>
      <c r="DU3" s="15"/>
      <c r="DV3" s="16"/>
      <c r="DW3" s="16"/>
      <c r="DX3" s="48" t="s">
        <v>30</v>
      </c>
      <c r="DY3" s="48" t="s">
        <v>31</v>
      </c>
      <c r="DZ3" s="48" t="s">
        <v>22</v>
      </c>
      <c r="EA3" s="48" t="s">
        <v>32</v>
      </c>
      <c r="EB3" s="77" t="s">
        <v>64</v>
      </c>
      <c r="EC3" s="48" t="s">
        <v>30</v>
      </c>
      <c r="ED3" s="48" t="s">
        <v>31</v>
      </c>
      <c r="EE3" s="48" t="s">
        <v>22</v>
      </c>
      <c r="EF3" s="48" t="s">
        <v>32</v>
      </c>
      <c r="EG3" s="77" t="s">
        <v>64</v>
      </c>
      <c r="EH3" s="48" t="s">
        <v>30</v>
      </c>
      <c r="EI3" s="48" t="s">
        <v>31</v>
      </c>
      <c r="EJ3" s="48" t="s">
        <v>22</v>
      </c>
      <c r="EK3" s="48" t="s">
        <v>32</v>
      </c>
      <c r="EL3" s="77" t="s">
        <v>64</v>
      </c>
      <c r="EM3" s="12"/>
      <c r="EN3" s="11"/>
      <c r="EO3" s="11"/>
      <c r="EP3" s="11"/>
      <c r="EQ3" s="12"/>
      <c r="ER3" s="12"/>
      <c r="ES3" s="47" t="s">
        <v>30</v>
      </c>
      <c r="ET3" s="47" t="s">
        <v>31</v>
      </c>
      <c r="EU3" s="47" t="s">
        <v>22</v>
      </c>
      <c r="EV3" s="47" t="s">
        <v>32</v>
      </c>
      <c r="EW3" s="78" t="s">
        <v>64</v>
      </c>
      <c r="EX3" s="47" t="s">
        <v>30</v>
      </c>
      <c r="EY3" s="47" t="s">
        <v>31</v>
      </c>
      <c r="EZ3" s="47" t="s">
        <v>22</v>
      </c>
      <c r="FA3" s="47" t="s">
        <v>32</v>
      </c>
      <c r="FB3" s="78" t="s">
        <v>64</v>
      </c>
      <c r="FC3" s="47" t="s">
        <v>30</v>
      </c>
      <c r="FD3" s="47" t="s">
        <v>31</v>
      </c>
      <c r="FE3" s="47" t="s">
        <v>22</v>
      </c>
      <c r="FF3" s="47" t="s">
        <v>32</v>
      </c>
      <c r="FG3" s="78" t="s">
        <v>64</v>
      </c>
      <c r="FH3" s="16"/>
      <c r="FI3" s="15"/>
      <c r="FJ3" s="15"/>
      <c r="FK3" s="15"/>
      <c r="FL3" s="16"/>
      <c r="FM3" s="16"/>
      <c r="FN3" s="48" t="s">
        <v>30</v>
      </c>
      <c r="FO3" s="48" t="s">
        <v>31</v>
      </c>
      <c r="FP3" s="48" t="s">
        <v>22</v>
      </c>
      <c r="FQ3" s="48" t="s">
        <v>32</v>
      </c>
      <c r="FR3" s="77" t="s">
        <v>64</v>
      </c>
      <c r="FS3" s="48" t="s">
        <v>30</v>
      </c>
      <c r="FT3" s="48" t="s">
        <v>31</v>
      </c>
      <c r="FU3" s="48" t="s">
        <v>22</v>
      </c>
      <c r="FV3" s="48" t="s">
        <v>32</v>
      </c>
      <c r="FW3" s="77" t="s">
        <v>64</v>
      </c>
      <c r="FX3" s="48" t="s">
        <v>30</v>
      </c>
      <c r="FY3" s="48" t="s">
        <v>31</v>
      </c>
      <c r="FZ3" s="48" t="s">
        <v>22</v>
      </c>
      <c r="GA3" s="48" t="s">
        <v>32</v>
      </c>
      <c r="GB3" s="77" t="s">
        <v>64</v>
      </c>
      <c r="GC3" s="12"/>
      <c r="GD3" s="11"/>
      <c r="GE3" s="11"/>
      <c r="GF3" s="11"/>
      <c r="GG3" s="12"/>
      <c r="GH3" s="12"/>
      <c r="GI3" s="47" t="s">
        <v>30</v>
      </c>
      <c r="GJ3" s="47" t="s">
        <v>31</v>
      </c>
      <c r="GK3" s="47" t="s">
        <v>22</v>
      </c>
      <c r="GL3" s="47" t="s">
        <v>32</v>
      </c>
      <c r="GM3" s="78" t="s">
        <v>64</v>
      </c>
      <c r="GN3" s="47" t="s">
        <v>30</v>
      </c>
      <c r="GO3" s="47" t="s">
        <v>31</v>
      </c>
      <c r="GP3" s="47" t="s">
        <v>22</v>
      </c>
      <c r="GQ3" s="47" t="s">
        <v>32</v>
      </c>
      <c r="GR3" s="78" t="s">
        <v>64</v>
      </c>
      <c r="GS3" s="47" t="s">
        <v>30</v>
      </c>
      <c r="GT3" s="47" t="s">
        <v>31</v>
      </c>
      <c r="GU3" s="47" t="s">
        <v>22</v>
      </c>
      <c r="GV3" s="47" t="s">
        <v>32</v>
      </c>
      <c r="GW3" s="78" t="s">
        <v>64</v>
      </c>
      <c r="GX3" s="16"/>
      <c r="GY3" s="15"/>
      <c r="GZ3" s="15"/>
      <c r="HA3" s="15"/>
      <c r="HB3" s="16"/>
      <c r="HC3" s="16"/>
      <c r="HD3" s="48" t="s">
        <v>30</v>
      </c>
      <c r="HE3" s="48" t="s">
        <v>31</v>
      </c>
      <c r="HF3" s="48" t="s">
        <v>22</v>
      </c>
      <c r="HG3" s="48" t="s">
        <v>32</v>
      </c>
      <c r="HH3" s="77" t="s">
        <v>64</v>
      </c>
      <c r="HI3" s="48" t="s">
        <v>30</v>
      </c>
      <c r="HJ3" s="48" t="s">
        <v>31</v>
      </c>
      <c r="HK3" s="48" t="s">
        <v>22</v>
      </c>
      <c r="HL3" s="48" t="s">
        <v>32</v>
      </c>
      <c r="HM3" s="77" t="s">
        <v>64</v>
      </c>
      <c r="HN3" s="48" t="s">
        <v>30</v>
      </c>
      <c r="HO3" s="48" t="s">
        <v>31</v>
      </c>
      <c r="HP3" s="48" t="s">
        <v>22</v>
      </c>
      <c r="HQ3" s="48" t="s">
        <v>32</v>
      </c>
      <c r="HR3" s="77" t="s">
        <v>64</v>
      </c>
      <c r="HS3" s="12"/>
      <c r="HT3" s="11"/>
      <c r="HU3" s="11"/>
      <c r="HV3" s="11"/>
      <c r="HW3" s="12"/>
      <c r="HX3" s="12"/>
      <c r="HY3" s="47" t="s">
        <v>30</v>
      </c>
      <c r="HZ3" s="47" t="s">
        <v>31</v>
      </c>
      <c r="IA3" s="47" t="s">
        <v>22</v>
      </c>
      <c r="IB3" s="47" t="s">
        <v>32</v>
      </c>
      <c r="IC3" s="78" t="s">
        <v>64</v>
      </c>
      <c r="ID3" s="47" t="s">
        <v>30</v>
      </c>
      <c r="IE3" s="47" t="s">
        <v>31</v>
      </c>
      <c r="IF3" s="47" t="s">
        <v>22</v>
      </c>
      <c r="IG3" s="47" t="s">
        <v>32</v>
      </c>
      <c r="IH3" s="78" t="s">
        <v>64</v>
      </c>
      <c r="II3" s="47" t="s">
        <v>30</v>
      </c>
      <c r="IJ3" s="47" t="s">
        <v>31</v>
      </c>
      <c r="IK3" s="47" t="s">
        <v>22</v>
      </c>
      <c r="IL3" s="47" t="s">
        <v>32</v>
      </c>
      <c r="IM3" s="78" t="s">
        <v>64</v>
      </c>
      <c r="IN3" s="16"/>
      <c r="IO3" s="15"/>
      <c r="IP3" s="15"/>
      <c r="IQ3" s="15"/>
      <c r="IR3" s="16"/>
      <c r="IS3" s="16"/>
      <c r="IT3" s="48" t="s">
        <v>30</v>
      </c>
      <c r="IU3" s="48" t="s">
        <v>31</v>
      </c>
      <c r="IV3" s="48" t="s">
        <v>22</v>
      </c>
      <c r="IW3" s="48" t="s">
        <v>32</v>
      </c>
      <c r="IX3" s="77" t="s">
        <v>64</v>
      </c>
      <c r="IY3" s="48" t="s">
        <v>30</v>
      </c>
      <c r="IZ3" s="48" t="s">
        <v>31</v>
      </c>
      <c r="JA3" s="48" t="s">
        <v>22</v>
      </c>
      <c r="JB3" s="48" t="s">
        <v>32</v>
      </c>
      <c r="JC3" s="77" t="s">
        <v>64</v>
      </c>
      <c r="JD3" s="48" t="s">
        <v>30</v>
      </c>
      <c r="JE3" s="48" t="s">
        <v>31</v>
      </c>
      <c r="JF3" s="48" t="s">
        <v>22</v>
      </c>
      <c r="JG3" s="48" t="s">
        <v>32</v>
      </c>
      <c r="JH3" s="77" t="s">
        <v>64</v>
      </c>
      <c r="JI3" s="12"/>
      <c r="JJ3" s="11"/>
      <c r="JK3" s="11"/>
      <c r="JL3" s="11"/>
      <c r="JM3" s="12"/>
      <c r="JN3" s="12"/>
      <c r="JO3" s="47" t="s">
        <v>30</v>
      </c>
      <c r="JP3" s="47" t="s">
        <v>31</v>
      </c>
      <c r="JQ3" s="47" t="s">
        <v>22</v>
      </c>
      <c r="JR3" s="47" t="s">
        <v>32</v>
      </c>
      <c r="JS3" s="78" t="s">
        <v>64</v>
      </c>
      <c r="JT3" s="47" t="s">
        <v>30</v>
      </c>
      <c r="JU3" s="47" t="s">
        <v>31</v>
      </c>
      <c r="JV3" s="47" t="s">
        <v>22</v>
      </c>
      <c r="JW3" s="47" t="s">
        <v>32</v>
      </c>
      <c r="JX3" s="78" t="s">
        <v>64</v>
      </c>
      <c r="JY3" s="47" t="s">
        <v>30</v>
      </c>
      <c r="JZ3" s="47" t="s">
        <v>31</v>
      </c>
      <c r="KA3" s="47" t="s">
        <v>22</v>
      </c>
      <c r="KB3" s="47" t="s">
        <v>32</v>
      </c>
      <c r="KC3" s="78" t="s">
        <v>64</v>
      </c>
      <c r="KD3" s="16"/>
      <c r="KE3" s="15"/>
      <c r="KF3" s="15"/>
      <c r="KG3" s="15"/>
      <c r="KH3" s="16"/>
      <c r="KI3" s="16"/>
      <c r="KJ3" s="48" t="s">
        <v>30</v>
      </c>
      <c r="KK3" s="48" t="s">
        <v>31</v>
      </c>
      <c r="KL3" s="48" t="s">
        <v>22</v>
      </c>
      <c r="KM3" s="48" t="s">
        <v>32</v>
      </c>
      <c r="KN3" s="77" t="s">
        <v>64</v>
      </c>
      <c r="KO3" s="48" t="s">
        <v>30</v>
      </c>
      <c r="KP3" s="48" t="s">
        <v>31</v>
      </c>
      <c r="KQ3" s="48" t="s">
        <v>22</v>
      </c>
      <c r="KR3" s="48" t="s">
        <v>32</v>
      </c>
      <c r="KS3" s="77" t="s">
        <v>64</v>
      </c>
      <c r="KT3" s="48" t="s">
        <v>30</v>
      </c>
      <c r="KU3" s="48" t="s">
        <v>31</v>
      </c>
      <c r="KV3" s="48" t="s">
        <v>22</v>
      </c>
      <c r="KW3" s="48" t="s">
        <v>32</v>
      </c>
      <c r="KX3" s="77" t="s">
        <v>64</v>
      </c>
      <c r="KY3" s="12"/>
      <c r="KZ3" s="11"/>
      <c r="LA3" s="11"/>
      <c r="LB3" s="11"/>
      <c r="LC3" s="12"/>
      <c r="LD3" s="12"/>
      <c r="LE3" s="47" t="s">
        <v>30</v>
      </c>
      <c r="LF3" s="47" t="s">
        <v>31</v>
      </c>
      <c r="LG3" s="47" t="s">
        <v>22</v>
      </c>
      <c r="LH3" s="47" t="s">
        <v>32</v>
      </c>
      <c r="LI3" s="78" t="s">
        <v>64</v>
      </c>
      <c r="LJ3" s="78" t="s">
        <v>30</v>
      </c>
      <c r="LK3" s="47" t="s">
        <v>31</v>
      </c>
      <c r="LL3" s="47" t="s">
        <v>22</v>
      </c>
      <c r="LM3" s="47" t="s">
        <v>32</v>
      </c>
      <c r="LN3" s="78" t="s">
        <v>64</v>
      </c>
      <c r="LO3" s="47" t="s">
        <v>30</v>
      </c>
      <c r="LP3" s="47" t="s">
        <v>31</v>
      </c>
      <c r="LQ3" s="47" t="s">
        <v>22</v>
      </c>
      <c r="LR3" s="47" t="s">
        <v>32</v>
      </c>
      <c r="LS3" s="78" t="s">
        <v>64</v>
      </c>
      <c r="LT3" s="16"/>
      <c r="LU3" s="15"/>
      <c r="LV3" s="15"/>
      <c r="LW3" s="15"/>
      <c r="LX3" s="16"/>
      <c r="LY3" s="16"/>
    </row>
    <row r="4" spans="1:337" x14ac:dyDescent="0.2">
      <c r="A4" s="6">
        <f t="shared" ref="A4:A13" ca="1" si="0">IF(AND(F4="P",G4="P"),SUMPRODUCT((F$4:F$13="P")*(G$4:G$13="P")*(E$4:E$13&gt;E4))+1,IF(G4="P",SUMPRODUCT((F$4:F$13="")*(G$4:G$13="P")*(E$4:E$13&gt;E4))+1+SUMPRODUCT((F$4:F$13="P")*(G$4:G$13="P")),""))</f>
        <v>1</v>
      </c>
      <c r="B4" s="9" t="s">
        <v>47</v>
      </c>
      <c r="C4" s="5" t="s">
        <v>13</v>
      </c>
      <c r="D4" s="46">
        <v>2016</v>
      </c>
      <c r="E4" s="18">
        <f t="shared" ref="E4:E13" si="1">SUM(I4:Q4)</f>
        <v>260.37</v>
      </c>
      <c r="F4" s="4" t="str">
        <f t="shared" ref="F4:F13" si="2">IF(OR(AND(AI4&gt;=C$17,NOT(AI4="")),AND(BD4&gt;=C$17,NOT(BD4="")),AND(BY4&gt;=C$17,NOT(BY4=""))),"P","")</f>
        <v>P</v>
      </c>
      <c r="G4" s="4" t="str">
        <f t="shared" ref="G4:G13" ca="1" si="3">IF(OR(I4&gt;=C$19,AND(I4&gt;$C$18,YEAR(TODAY())-$D4&lt;2)),"P","")</f>
        <v>P</v>
      </c>
      <c r="H4" t="str">
        <f t="shared" ref="H4:H13" ca="1" si="4">IF(F4="P",IF(I4&gt;=C$21,"Merit",IF(I4&gt;=C$20,"Funding",IF(I4&gt;=C$19,"Team",IF(AND(I4&gt;C$18,YEAR(TODAY())-$D4&lt;2),"First 2 Years","")))),IF(AND(I4&gt;C$18,YEAR(TODAY())-$D4&lt;2),"First 2 Years",""))</f>
        <v>Funding</v>
      </c>
      <c r="I4" s="17">
        <f t="shared" ref="I4:I13" si="5">MAX(AL4,BG4,CB4)</f>
        <v>102.155</v>
      </c>
      <c r="J4" s="17" t="str">
        <f t="shared" ref="J4:J13" si="6">IF(I4=CB4,$BJ$1,IF(I4=BG4,$AO$1,IF(I4=AL4,$T$1,"")))</f>
        <v>2017 Canada Cup</v>
      </c>
      <c r="K4" s="17">
        <f t="shared" ref="K4:K13" si="7">IF($I4=$AL4,MAX(BE4,BZ4),IF($I4=$BG4,MAX(AJ4,BZ4),MAX(AJ4,BE4)))</f>
        <v>47.160000000000004</v>
      </c>
      <c r="L4" s="17" t="str">
        <f t="shared" ref="L4:L13" si="8">IF(K4=BZ4,$BJ$1,IF(K4=BE4,$AO$1,IF(K4=AJ4,$T$1,"")))</f>
        <v>2017 3rd Domestic Trial</v>
      </c>
      <c r="M4" s="17">
        <f t="shared" ref="M4:M13" si="9">IF($I4=$AL4,MAX(BF4,CA4),IF($I4=$BG4,MAX(AK4,CA4),MAX(AK4,BF4)))</f>
        <v>55.565000000000005</v>
      </c>
      <c r="N4" s="17" t="str">
        <f t="shared" ref="N4:N13" si="10">IF(M4=CA4,$BJ$1,IF(M4=BF4,$AO$1,IF(M4=AK4,$T$1,"")))</f>
        <v>2017 Nationals</v>
      </c>
      <c r="O4" s="17">
        <f t="shared" ref="O4:O13" si="11">MAX(AM4,BH4,CC4)</f>
        <v>54.34</v>
      </c>
      <c r="P4" s="17" t="str">
        <f t="shared" ref="P4:P13" si="12">IF(O4=CC4,$BJ$1,IF(O4=BH4,$AO$1,IF(O4=AM4,$T$1,"")))</f>
        <v>2017 Canada Cup</v>
      </c>
      <c r="Q4" s="17">
        <f t="shared" ref="Q4:Q13" si="13">IF(MAX(CE4:CG4)&gt;0,MAX(CE4:CG4),"")</f>
        <v>1.1499999999999986</v>
      </c>
      <c r="R4" s="44" t="str">
        <f t="shared" ref="R4:R13" si="14">IF(Q4="","",IF(Q4=CE4,"(Vol 1)",IF(Q4=CF4,"(Vol 2)",IF(Q4=CG4,"(Final)"))))</f>
        <v>(Final)</v>
      </c>
      <c r="S4" s="17" t="str">
        <f t="shared" ref="S4:S13" si="15">IF(Q4="","",IF(Q4=CE4,IF(Q4+K4=LU4,$LE$1,IF(Q4+K4=KZ4,$KJ$1,IF(Q4+K4=KE4,$JO$1,IF(Q4+K4=JJ4,$IT$1,IF(Q4+K4=IO4,$HY$1,IF(Q4+K4=HT4,$HD$1,IF(Q4+K4=GY4,$GI$1,IF(Q4+K4=GD4,$FN$1,IF(Q4+K4=FI4,$ES$1,IF(Q4+K4=EN4,$DX$1,IF(Q4+K4=DS4,$DC$1,IF(Q4+K4=CX4,$CH$1)))))))))))),IF(Q4=CF4,IF(Q4+M4=LV4,$LE$1,IF(Q4+M4=LA4,$KJ$1,IF(Q4+M4=KF4,$JO$1,IF(Q4+M4=JK4,$IT$1,IF(Q4+M4=IP4,$HY$1,IF(Q4+M4=HU4,$HD$1,IF(Q4+M4=GZ4,$GI$1,IF(Q4+M4=GE4,$FN$1,IF(Q4+M4=FJ4,$ES$1,IF(Q4+M4=EO4,$DX$1,IF(Q4+M4=DT4,$DC$1,IF(Q4+M4=CY4,$CH$1)))))))))))),IF(Q4=CG4,IF(Q4+O4=LX4,$LE$1,IF(Q4+O4=LC4,$KJ$1,IF(Q4+O4=KH4,$JO$1,IF(Q4+O4=JM4,$IT$1,IF(Q4+O4=IR4,$HY$1,IF(Q4+O4=HW4,$HD$1,IF(Q4+O4=HB4,$GI$1,IF(Q4+O4=GG4,$FN$1,IF(Q4+O4=FL4,$ES$1,IF(Q4+O4=EQ4,$DX$1,IF(Q4+O4=DV4,$DC$1,IF(Q4+O4=DA4,$CH$1))))))))))))))))</f>
        <v>2017 World Championships (Nov)</v>
      </c>
      <c r="T4" s="60">
        <v>18.5</v>
      </c>
      <c r="U4" s="60">
        <v>9.3000000000000007</v>
      </c>
      <c r="V4" s="60">
        <v>4.0999999999999996</v>
      </c>
      <c r="W4" s="60">
        <v>15.93</v>
      </c>
      <c r="X4" s="60">
        <v>0</v>
      </c>
      <c r="Y4" s="60">
        <v>16.2</v>
      </c>
      <c r="Z4" s="60">
        <v>9.5</v>
      </c>
      <c r="AA4" s="60">
        <v>13.8</v>
      </c>
      <c r="AB4" s="60">
        <v>14.824999999999999</v>
      </c>
      <c r="AC4" s="60">
        <v>0</v>
      </c>
      <c r="AD4" s="60">
        <v>16.2</v>
      </c>
      <c r="AE4" s="60">
        <v>8.9</v>
      </c>
      <c r="AF4" s="60">
        <v>14.4</v>
      </c>
      <c r="AG4" s="60">
        <v>14.84</v>
      </c>
      <c r="AH4" s="60">
        <v>0</v>
      </c>
      <c r="AI4" s="13">
        <f t="shared" ref="AI4:AI13" si="16">IF(SUM(V4,AA4)&gt;0,SUM(V4,AA4),"")</f>
        <v>17.899999999999999</v>
      </c>
      <c r="AJ4" s="13">
        <f t="shared" ref="AJ4:AJ13" si="17">IF(SUM(T4:W4)-X4&gt;0,SUM(T4:W4)-X4,"")</f>
        <v>47.83</v>
      </c>
      <c r="AK4" s="13">
        <f t="shared" ref="AK4:AK13" si="18">IF(SUM(Y4:AB4)-AC4&gt;0,SUM(Y4:AB4)-AC4,"")</f>
        <v>54.325000000000003</v>
      </c>
      <c r="AL4" s="13">
        <f t="shared" ref="AL4:AL13" si="19">IF(SUM(AJ4:AK4)&gt;0,SUM(AJ4:AK4),"")</f>
        <v>102.155</v>
      </c>
      <c r="AM4" s="13">
        <f t="shared" ref="AM4:AM13" si="20">IF(SUM(AD4:AG4)-AH4&gt;0,SUM(AD4:AG4)-AH4,"")</f>
        <v>54.34</v>
      </c>
      <c r="AN4" s="13">
        <f t="shared" ref="AN4:AN13" si="21">IF(SUM(AL4,AM4)&gt;0,SUM(AL4,AM4),"")</f>
        <v>156.495</v>
      </c>
      <c r="AO4" s="62">
        <v>17.3</v>
      </c>
      <c r="AP4" s="62">
        <v>9.1</v>
      </c>
      <c r="AQ4" s="62">
        <v>3.5</v>
      </c>
      <c r="AR4" s="62">
        <v>15.805</v>
      </c>
      <c r="AS4" s="62">
        <v>0</v>
      </c>
      <c r="AT4" s="62">
        <v>17.5</v>
      </c>
      <c r="AU4" s="62">
        <v>9.4</v>
      </c>
      <c r="AV4" s="62">
        <v>13.8</v>
      </c>
      <c r="AW4" s="62">
        <v>14.865</v>
      </c>
      <c r="AX4" s="62">
        <v>0</v>
      </c>
      <c r="AY4" s="62">
        <v>16.5</v>
      </c>
      <c r="AZ4" s="62">
        <v>8.9</v>
      </c>
      <c r="BA4" s="62">
        <v>13.8</v>
      </c>
      <c r="BB4" s="62">
        <v>14.81</v>
      </c>
      <c r="BC4" s="62">
        <v>0</v>
      </c>
      <c r="BD4" s="17">
        <f t="shared" ref="BD4:BD13" si="22">IF(SUM(AQ4,AV4)&gt;0,SUM(AQ4,AV4),"")</f>
        <v>17.3</v>
      </c>
      <c r="BE4" s="17">
        <f t="shared" ref="BE4:BE13" si="23">IF(SUM(AO4:AR4)-AS4&gt;0,SUM(AO4:AR4)-AS4,"")</f>
        <v>45.704999999999998</v>
      </c>
      <c r="BF4" s="17">
        <f t="shared" ref="BF4:BF13" si="24">IF(SUM(AT4:AW4)-AX4&gt;0,SUM(AT4:AW4)-AX4,"")</f>
        <v>55.565000000000005</v>
      </c>
      <c r="BG4" s="17">
        <f t="shared" ref="BG4:BG13" si="25">IF(SUM(BE4:BF4)&gt;0,SUM(BE4:BF4),"")</f>
        <v>101.27000000000001</v>
      </c>
      <c r="BH4" s="17">
        <f t="shared" ref="BH4:BH13" si="26">IF(SUM(AY4:BB4)-BC4&gt;0,SUM(AY4:BB4)-BC4,"")</f>
        <v>54.010000000000005</v>
      </c>
      <c r="BI4" s="17">
        <f t="shared" ref="BI4:BI13" si="27">IF(SUM(BG4,BH4)&gt;0,SUM(BG4,BH4),"")</f>
        <v>155.28000000000003</v>
      </c>
      <c r="BJ4" s="60">
        <v>18.100000000000001</v>
      </c>
      <c r="BK4" s="60">
        <v>9.1</v>
      </c>
      <c r="BL4" s="60">
        <v>4.0999999999999996</v>
      </c>
      <c r="BM4" s="60">
        <v>15.86</v>
      </c>
      <c r="BN4" s="60">
        <v>0</v>
      </c>
      <c r="BO4" s="60">
        <v>8.6</v>
      </c>
      <c r="BP4" s="60">
        <v>4.7</v>
      </c>
      <c r="BQ4" s="60">
        <v>6.9</v>
      </c>
      <c r="BR4" s="60">
        <v>7.7</v>
      </c>
      <c r="BS4" s="60">
        <v>0</v>
      </c>
      <c r="BT4" s="60">
        <v>17.399999999999999</v>
      </c>
      <c r="BU4" s="60">
        <v>9.1</v>
      </c>
      <c r="BV4" s="60">
        <v>12</v>
      </c>
      <c r="BW4" s="60">
        <v>14.815</v>
      </c>
      <c r="BX4" s="60">
        <v>0</v>
      </c>
      <c r="BY4" s="13">
        <f t="shared" ref="BY4:BY13" si="28">IF(SUM(BL4,BQ4)&gt;0,SUM(BL4,BQ4),"")</f>
        <v>11</v>
      </c>
      <c r="BZ4" s="13">
        <f t="shared" ref="BZ4:BZ13" si="29">IF(SUM(BJ4:BM4)-BN4&gt;0,SUM(BJ4:BM4)-BN4,"")</f>
        <v>47.160000000000004</v>
      </c>
      <c r="CA4" s="13">
        <f t="shared" ref="CA4:CA13" si="30">IF(SUM(BO4:BR4)-BS4&gt;0,SUM(BO4:BR4)-BS4,"")</f>
        <v>27.900000000000002</v>
      </c>
      <c r="CB4" s="13">
        <f t="shared" ref="CB4:CB13" si="31">IF(SUM(BZ4:CA4)&gt;0,SUM(BZ4:CA4),"")</f>
        <v>75.06</v>
      </c>
      <c r="CC4" s="13">
        <f t="shared" ref="CC4:CC13" si="32">IF(SUM(BT4:BW4)-BX4&gt;0,SUM(BT4:BW4)-BX4,"")</f>
        <v>53.314999999999998</v>
      </c>
      <c r="CD4" s="13">
        <f t="shared" ref="CD4:CD13" si="33">IF(SUM(CB4,CC4)&gt;0,SUM(CB4,CC4),"")</f>
        <v>128.375</v>
      </c>
      <c r="CE4" s="43">
        <f t="shared" ref="CE4:CE13" si="34">IF(MAX(CX4,DS4,EN4,FI4,GD4,GY4,HT4,IO4,JJ4,KE4,KZ4,LU4)-K4&gt;0.001,MAX(CX4,DS4,EN4,FI4,GD4,GY4,HT4,IO4,JJ4,KE4,KZ4,LU4)-K4,"")</f>
        <v>0.60999999999999233</v>
      </c>
      <c r="CF4" s="43" t="str">
        <f t="shared" ref="CF4:CF13" si="35">IF(MAX(CY4,DT4,EO4,FJ4,GE4,GZ4,HU4,IP4,JK4,KF4,LA4,LV4)-M4&gt;0.001,MAX(CY4,DT4,EO4,FJ4,GE4,GZ4,HU4,IP4,JK4,KF4,LA4,LV4)-M4,"")</f>
        <v/>
      </c>
      <c r="CG4" s="43">
        <f t="shared" ref="CG4:CG13" si="36">IF(MAX(DA4,DV4,EQ4,FL4,GG4,HB4,HW4,IR4,JM4,KH4,LC4,LX4)-O4&gt;0.001,MAX(DA4,DV4,EQ4,FL4,GG4,HB4,HW4,IR4,JM4,KH4,LC4,LX4)-O4,"")</f>
        <v>1.1499999999999986</v>
      </c>
      <c r="CH4" s="60">
        <v>25.2</v>
      </c>
      <c r="CI4" s="60">
        <v>0</v>
      </c>
      <c r="CJ4" s="60">
        <v>3</v>
      </c>
      <c r="CK4" s="60">
        <v>15.545</v>
      </c>
      <c r="CL4" s="60">
        <v>0</v>
      </c>
      <c r="CM4" s="60">
        <v>23.8</v>
      </c>
      <c r="CN4" s="60">
        <v>0</v>
      </c>
      <c r="CO4" s="60">
        <v>13.8</v>
      </c>
      <c r="CP4" s="60">
        <v>15.145</v>
      </c>
      <c r="CQ4" s="60">
        <v>0</v>
      </c>
      <c r="CR4" s="60">
        <v>24.2</v>
      </c>
      <c r="CS4" s="60">
        <v>0</v>
      </c>
      <c r="CT4" s="60">
        <v>13.8</v>
      </c>
      <c r="CU4" s="60">
        <v>15.01</v>
      </c>
      <c r="CV4" s="60">
        <v>0</v>
      </c>
      <c r="CW4" s="13">
        <f t="shared" ref="CW4:CW13" si="37">IF(SUM(CJ4,CO4)&gt;0,SUM(CJ4,CO4),"")</f>
        <v>16.8</v>
      </c>
      <c r="CX4" s="13">
        <f t="shared" ref="CX4:CX13" si="38">IF(SUM(CH4:CK4)-CL4&gt;0,SUM(CH4:CK4)-CL4,"")</f>
        <v>43.744999999999997</v>
      </c>
      <c r="CY4" s="13">
        <f t="shared" ref="CY4:CY13" si="39">IF(SUM(CM4:CP4)-CQ4&gt;0,SUM(CM4:CP4)-CQ4,"")</f>
        <v>52.745000000000005</v>
      </c>
      <c r="CZ4" s="13">
        <f t="shared" ref="CZ4:CZ13" si="40">IF(SUM(CX4:CY4)&gt;0,SUM(CX4:CY4),"")</f>
        <v>96.490000000000009</v>
      </c>
      <c r="DA4" s="13">
        <f t="shared" ref="DA4:DA13" si="41">IF(SUM(CR4:CU4)-CV4&gt;0,SUM(CR4:CU4)-CV4,"")</f>
        <v>53.01</v>
      </c>
      <c r="DB4" s="13">
        <f t="shared" ref="DB4:DB13" si="42">IF(SUM(CZ4,DA4)&gt;0,SUM(CZ4,DA4),"")</f>
        <v>149.5</v>
      </c>
      <c r="DC4" s="62"/>
      <c r="DD4" s="62"/>
      <c r="DE4" s="62"/>
      <c r="DF4" s="62"/>
      <c r="DG4" s="62"/>
      <c r="DH4" s="62"/>
      <c r="DI4" s="62"/>
      <c r="DJ4" s="62"/>
      <c r="DK4" s="62"/>
      <c r="DL4" s="62"/>
      <c r="DM4" s="62">
        <v>22.1</v>
      </c>
      <c r="DN4" s="62">
        <v>0</v>
      </c>
      <c r="DO4" s="62">
        <v>13.8</v>
      </c>
      <c r="DP4" s="62">
        <v>14.91</v>
      </c>
      <c r="DQ4" s="62">
        <v>0</v>
      </c>
      <c r="DR4" s="17" t="str">
        <f t="shared" ref="DR4:DR13" si="43">IF(SUM(DE4,DJ4)&gt;0,SUM(DE4,DJ4),"")</f>
        <v/>
      </c>
      <c r="DS4" s="17" t="str">
        <f t="shared" ref="DS4:DS13" si="44">IF(SUM(DC4:DF4)-DG4&gt;0,SUM(DC4:DF4)-DG4,"")</f>
        <v/>
      </c>
      <c r="DT4" s="17" t="str">
        <f t="shared" ref="DT4:DT13" si="45">IF(SUM(DH4:DK4)-DL4&gt;0,SUM(DH4:DK4)-DL4,"")</f>
        <v/>
      </c>
      <c r="DU4" s="17" t="str">
        <f t="shared" ref="DU4:DU13" si="46">IF(SUM(DS4:DT4)&gt;0,SUM(DS4:DT4),"")</f>
        <v/>
      </c>
      <c r="DV4" s="17">
        <f t="shared" ref="DV4:DV13" si="47">IF(SUM(DM4:DP4)-DQ4&gt;0,SUM(DM4:DP4)-DQ4,"")</f>
        <v>50.81</v>
      </c>
      <c r="DW4" s="17">
        <f t="shared" ref="DW4:DW13" si="48">IF(SUM(DU4,DV4)&gt;0,SUM(DU4,DV4),"")</f>
        <v>50.81</v>
      </c>
      <c r="DX4" s="60">
        <v>17.3</v>
      </c>
      <c r="DY4" s="60">
        <v>9.6</v>
      </c>
      <c r="DZ4" s="60">
        <v>4.2</v>
      </c>
      <c r="EA4" s="60">
        <v>15.95</v>
      </c>
      <c r="EB4" s="60">
        <v>0</v>
      </c>
      <c r="EC4" s="60">
        <v>16.100000000000001</v>
      </c>
      <c r="ED4" s="60">
        <v>9.6999999999999993</v>
      </c>
      <c r="EE4" s="60">
        <v>13.8</v>
      </c>
      <c r="EF4" s="60">
        <v>14.66</v>
      </c>
      <c r="EG4" s="60">
        <v>0</v>
      </c>
      <c r="EH4" s="60">
        <v>14.8</v>
      </c>
      <c r="EI4" s="60">
        <v>9</v>
      </c>
      <c r="EJ4" s="60">
        <v>12.4</v>
      </c>
      <c r="EK4" s="60">
        <v>14.695</v>
      </c>
      <c r="EL4" s="60">
        <v>0</v>
      </c>
      <c r="EM4" s="13">
        <f t="shared" ref="EM4:EM13" si="49">IF(SUM(DZ4,EE4)&gt;0,SUM(DZ4,EE4),"")</f>
        <v>18</v>
      </c>
      <c r="EN4" s="13">
        <f t="shared" ref="EN4:EN13" si="50">IF(SUM(DX4:EA4)-EB4&gt;0,SUM(DX4:EA4)-EB4,"")</f>
        <v>47.05</v>
      </c>
      <c r="EO4" s="13">
        <f t="shared" ref="EO4:EO13" si="51">IF(SUM(EC4:EF4)-EG4&gt;0,SUM(EC4:EF4)-EG4,"")</f>
        <v>54.260000000000005</v>
      </c>
      <c r="EP4" s="13">
        <f t="shared" ref="EP4:EP13" si="52">IF(SUM(EN4:EO4)&gt;0,SUM(EN4:EO4),"")</f>
        <v>101.31</v>
      </c>
      <c r="EQ4" s="13">
        <f t="shared" ref="EQ4:EQ13" si="53">IF(SUM(EH4:EK4)-EL4&gt;0,SUM(EH4:EK4)-EL4,"")</f>
        <v>50.895000000000003</v>
      </c>
      <c r="ER4" s="13">
        <f t="shared" ref="ER4:ER13" si="54">IF(SUM(EP4,EQ4)&gt;0,SUM(EP4,EQ4),"")</f>
        <v>152.20500000000001</v>
      </c>
      <c r="ES4" s="62">
        <v>18.2</v>
      </c>
      <c r="ET4" s="62">
        <v>9.6</v>
      </c>
      <c r="EU4" s="62">
        <v>4.0999999999999996</v>
      </c>
      <c r="EV4" s="62">
        <v>15.64</v>
      </c>
      <c r="EW4" s="62">
        <v>0</v>
      </c>
      <c r="EX4" s="62">
        <v>15.5</v>
      </c>
      <c r="EY4" s="62">
        <v>9.1</v>
      </c>
      <c r="EZ4" s="62">
        <v>13.8</v>
      </c>
      <c r="FA4" s="62">
        <v>14.33</v>
      </c>
      <c r="FB4" s="62">
        <v>0</v>
      </c>
      <c r="FC4" s="62"/>
      <c r="FD4" s="62"/>
      <c r="FE4" s="62"/>
      <c r="FF4" s="62"/>
      <c r="FG4" s="62"/>
      <c r="FH4" s="17">
        <f t="shared" ref="FH4:FH13" si="55">IF(SUM(EU4,EZ4)&gt;0,SUM(EU4,EZ4),"")</f>
        <v>17.899999999999999</v>
      </c>
      <c r="FI4" s="17">
        <f t="shared" ref="FI4:FI13" si="56">IF(SUM(ES4:EV4)-EW4&gt;0,SUM(ES4:EV4)-EW4,"")</f>
        <v>47.54</v>
      </c>
      <c r="FJ4" s="17">
        <f t="shared" ref="FJ4:FJ13" si="57">IF(SUM(EX4:FA4)-FB4&gt;0,SUM(EX4:FA4)-FB4,"")</f>
        <v>52.730000000000004</v>
      </c>
      <c r="FK4" s="17">
        <f t="shared" ref="FK4:FK13" si="58">IF(SUM(FI4:FJ4)&gt;0,SUM(FI4:FJ4),"")</f>
        <v>100.27000000000001</v>
      </c>
      <c r="FL4" s="17" t="str">
        <f t="shared" ref="FL4:FL13" si="59">IF(SUM(FC4:FF4)-FG4&gt;0,SUM(FC4:FF4)-FG4,"")</f>
        <v/>
      </c>
      <c r="FM4" s="17">
        <f t="shared" ref="FM4:FM13" si="60">IF(SUM(FK4,FL4)&gt;0,SUM(FK4,FL4),"")</f>
        <v>100.27000000000001</v>
      </c>
      <c r="FN4" s="60">
        <v>16.3</v>
      </c>
      <c r="FO4" s="60">
        <v>8.5</v>
      </c>
      <c r="FP4" s="60">
        <v>4.8</v>
      </c>
      <c r="FQ4" s="60">
        <v>15.685</v>
      </c>
      <c r="FR4" s="60">
        <v>0</v>
      </c>
      <c r="FS4" s="60">
        <v>16.5</v>
      </c>
      <c r="FT4" s="60">
        <v>9.0500000000000007</v>
      </c>
      <c r="FU4" s="60">
        <v>13.5</v>
      </c>
      <c r="FV4" s="60">
        <v>14.994999999999999</v>
      </c>
      <c r="FW4" s="60">
        <v>0</v>
      </c>
      <c r="FX4" s="60"/>
      <c r="FY4" s="60"/>
      <c r="FZ4" s="60"/>
      <c r="GA4" s="60"/>
      <c r="GB4" s="60"/>
      <c r="GC4" s="13">
        <f t="shared" ref="GC4:GC13" si="61">IF(SUM(FP4,FU4)&gt;0,SUM(FP4,FU4),"")</f>
        <v>18.3</v>
      </c>
      <c r="GD4" s="13">
        <f t="shared" ref="GD4:GD13" si="62">IF(SUM(FN4:FQ4)-FR4&gt;0,SUM(FN4:FQ4)-FR4,"")</f>
        <v>45.285000000000004</v>
      </c>
      <c r="GE4" s="13">
        <f t="shared" ref="GE4:GE13" si="63">IF(SUM(FS4:FV4)-FW4&gt;0,SUM(FS4:FV4)-FW4,"")</f>
        <v>54.044999999999995</v>
      </c>
      <c r="GF4" s="13">
        <f t="shared" ref="GF4:GF13" si="64">IF(SUM(GD4:GE4)&gt;0,SUM(GD4:GE4),"")</f>
        <v>99.33</v>
      </c>
      <c r="GG4" s="13" t="str">
        <f t="shared" ref="GG4:GG13" si="65">IF(SUM(FX4:GA4)-GB4&gt;0,SUM(FX4:GA4)-GB4,"")</f>
        <v/>
      </c>
      <c r="GH4" s="13">
        <f t="shared" ref="GH4:GH13" si="66">IF(SUM(GF4,GG4)&gt;0,SUM(GF4,GG4),"")</f>
        <v>99.33</v>
      </c>
      <c r="GI4" s="62">
        <v>13.2</v>
      </c>
      <c r="GJ4" s="62">
        <v>6.65</v>
      </c>
      <c r="GK4" s="62">
        <v>1.9</v>
      </c>
      <c r="GL4" s="62">
        <v>11.52</v>
      </c>
      <c r="GM4" s="62">
        <v>0</v>
      </c>
      <c r="GN4" s="62">
        <v>16</v>
      </c>
      <c r="GO4" s="62">
        <v>9.35</v>
      </c>
      <c r="GP4" s="62">
        <v>13.5</v>
      </c>
      <c r="GQ4" s="62">
        <v>15.435</v>
      </c>
      <c r="GR4" s="62">
        <v>0</v>
      </c>
      <c r="GS4" s="62"/>
      <c r="GT4" s="62"/>
      <c r="GU4" s="62"/>
      <c r="GV4" s="62"/>
      <c r="GW4" s="62"/>
      <c r="GX4" s="17">
        <f t="shared" ref="GX4:GX13" si="67">IF(SUM(GK4,GP4)&gt;0,SUM(GK4,GP4),"")</f>
        <v>15.4</v>
      </c>
      <c r="GY4" s="17">
        <f t="shared" ref="GY4:GY13" si="68">IF(SUM(GI4:GL4)-GM4&gt;0,SUM(GI4:GL4)-GM4,"")</f>
        <v>33.269999999999996</v>
      </c>
      <c r="GZ4" s="17">
        <f t="shared" ref="GZ4:GZ13" si="69">IF(SUM(GN4:GQ4)-GR4&gt;0,SUM(GN4:GQ4)-GR4,"")</f>
        <v>54.285000000000004</v>
      </c>
      <c r="HA4" s="17">
        <f t="shared" ref="HA4:HA13" si="70">IF(SUM(GY4:GZ4)&gt;0,SUM(GY4:GZ4),"")</f>
        <v>87.555000000000007</v>
      </c>
      <c r="HB4" s="17" t="str">
        <f t="shared" ref="HB4:HB13" si="71">IF(SUM(GS4:GV4)-GW4&gt;0,SUM(GS4:GV4)-GW4,"")</f>
        <v/>
      </c>
      <c r="HC4" s="17">
        <f t="shared" ref="HC4:HC13" si="72">IF(SUM(HA4,HB4)&gt;0,SUM(HA4,HB4),"")</f>
        <v>87.555000000000007</v>
      </c>
      <c r="HD4" s="60">
        <v>18.399999999999999</v>
      </c>
      <c r="HE4" s="60">
        <v>9.25</v>
      </c>
      <c r="HF4" s="60">
        <v>4.0999999999999996</v>
      </c>
      <c r="HG4" s="60">
        <v>16.02</v>
      </c>
      <c r="HH4" s="60">
        <v>0</v>
      </c>
      <c r="HI4" s="60">
        <v>16.2</v>
      </c>
      <c r="HJ4" s="60">
        <v>9.1999999999999993</v>
      </c>
      <c r="HK4" s="60">
        <v>13.5</v>
      </c>
      <c r="HL4" s="60">
        <v>15.28</v>
      </c>
      <c r="HM4" s="60">
        <v>0.2</v>
      </c>
      <c r="HN4" s="60">
        <v>17</v>
      </c>
      <c r="HO4" s="60">
        <v>9.1999999999999993</v>
      </c>
      <c r="HP4" s="60">
        <v>13.8</v>
      </c>
      <c r="HQ4" s="60">
        <v>15.49</v>
      </c>
      <c r="HR4" s="60">
        <v>0</v>
      </c>
      <c r="HS4" s="13">
        <f t="shared" ref="HS4:HS13" si="73">IF(SUM(HF4,HK4)&gt;0,SUM(HF4,HK4),"")</f>
        <v>17.600000000000001</v>
      </c>
      <c r="HT4" s="13">
        <f t="shared" ref="HT4:HT13" si="74">IF(SUM(HD4:HG4)-HH4&gt;0,SUM(HD4:HG4)-HH4,"")</f>
        <v>47.769999999999996</v>
      </c>
      <c r="HU4" s="13">
        <f t="shared" ref="HU4:HU13" si="75">IF(SUM(HI4:HL4)-HM4&gt;0,SUM(HI4:HL4)-HM4,"")</f>
        <v>53.98</v>
      </c>
      <c r="HV4" s="13">
        <f t="shared" ref="HV4:HV13" si="76">IF(SUM(HT4:HU4)&gt;0,SUM(HT4:HU4),"")</f>
        <v>101.75</v>
      </c>
      <c r="HW4" s="13">
        <f t="shared" ref="HW4:HW13" si="77">IF(SUM(HN4:HQ4)-HR4&gt;0,SUM(HN4:HQ4)-HR4,"")</f>
        <v>55.49</v>
      </c>
      <c r="HX4" s="13">
        <f t="shared" ref="HX4:HX13" si="78">IF(SUM(HV4,HW4)&gt;0,SUM(HV4,HW4),"")</f>
        <v>157.24</v>
      </c>
      <c r="HY4" s="62"/>
      <c r="HZ4" s="62"/>
      <c r="IA4" s="62"/>
      <c r="IB4" s="62"/>
      <c r="IC4" s="62"/>
      <c r="ID4" s="62"/>
      <c r="IE4" s="62"/>
      <c r="IF4" s="62"/>
      <c r="IG4" s="62"/>
      <c r="IH4" s="62"/>
      <c r="II4" s="62">
        <v>16.600000000000001</v>
      </c>
      <c r="IJ4" s="62">
        <v>9.3000000000000007</v>
      </c>
      <c r="IK4" s="62">
        <v>13.8</v>
      </c>
      <c r="IL4" s="62">
        <v>15.22</v>
      </c>
      <c r="IM4" s="62">
        <v>0.2</v>
      </c>
      <c r="IN4" s="17" t="str">
        <f t="shared" ref="IN4:IN13" si="79">IF(SUM(IA4,IF4)&gt;0,SUM(IA4,IF4),"")</f>
        <v/>
      </c>
      <c r="IO4" s="17" t="str">
        <f t="shared" ref="IO4:IO13" si="80">IF(SUM(HY4:IB4)-IC4&gt;0,SUM(HY4:IB4)-IC4,"")</f>
        <v/>
      </c>
      <c r="IP4" s="17" t="str">
        <f t="shared" ref="IP4:IP13" si="81">IF(SUM(ID4:IG4)-IH4&gt;0,SUM(ID4:IG4)-IH4,"")</f>
        <v/>
      </c>
      <c r="IQ4" s="17" t="str">
        <f t="shared" ref="IQ4:IQ13" si="82">IF(SUM(IO4:IP4)&gt;0,SUM(IO4:IP4),"")</f>
        <v/>
      </c>
      <c r="IR4" s="17">
        <f t="shared" ref="IR4:IR13" si="83">IF(SUM(II4:IL4)-IM4&gt;0,SUM(II4:IL4)-IM4,"")</f>
        <v>54.72</v>
      </c>
      <c r="IS4" s="17">
        <f t="shared" ref="IS4:IS13" si="84">IF(SUM(IQ4,IR4)&gt;0,SUM(IQ4,IR4),"")</f>
        <v>54.72</v>
      </c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>
        <v>53.44</v>
      </c>
      <c r="JE4" s="60"/>
      <c r="JF4" s="60"/>
      <c r="JG4" s="60"/>
      <c r="JH4" s="60"/>
      <c r="JI4" s="13" t="str">
        <f t="shared" ref="JI4:JI13" si="85">IF(SUM(IV4,JA4)&gt;0,SUM(IV4,JA4),"")</f>
        <v/>
      </c>
      <c r="JJ4" s="13" t="str">
        <f t="shared" ref="JJ4:JJ13" si="86">IF(SUM(IT4:IW4)-IX4&gt;0,SUM(IT4:IW4)-IX4,"")</f>
        <v/>
      </c>
      <c r="JK4" s="13" t="str">
        <f t="shared" ref="JK4:JK13" si="87">IF(SUM(IY4:JB4)-JC4&gt;0,SUM(IY4:JB4)-JC4,"")</f>
        <v/>
      </c>
      <c r="JL4" s="13" t="str">
        <f t="shared" ref="JL4:JL13" si="88">IF(SUM(JJ4:JK4)&gt;0,SUM(JJ4:JK4),"")</f>
        <v/>
      </c>
      <c r="JM4" s="13">
        <f t="shared" ref="JM4:JM13" si="89">IF(SUM(JD4:JG4)-JH4&gt;0,SUM(JD4:JG4)-JH4,"")</f>
        <v>53.44</v>
      </c>
      <c r="JN4" s="13">
        <f t="shared" ref="JN4:JN13" si="90">IF(SUM(JL4,JM4)&gt;0,SUM(JL4,JM4),"")</f>
        <v>53.44</v>
      </c>
      <c r="JO4" s="62"/>
      <c r="JP4" s="62"/>
      <c r="JQ4" s="62"/>
      <c r="JR4" s="62"/>
      <c r="JS4" s="62"/>
      <c r="JT4" s="62"/>
      <c r="JU4" s="62"/>
      <c r="JV4" s="62"/>
      <c r="JW4" s="62"/>
      <c r="JX4" s="62"/>
      <c r="JY4" s="62"/>
      <c r="JZ4" s="62"/>
      <c r="KA4" s="62"/>
      <c r="KB4" s="62"/>
      <c r="KC4" s="62"/>
      <c r="KD4" s="17" t="str">
        <f t="shared" ref="KD4:KD13" si="91">IF(SUM(JQ4,JV4)&gt;0,SUM(JQ4,JV4),"")</f>
        <v/>
      </c>
      <c r="KE4" s="17" t="str">
        <f t="shared" ref="KE4:KE13" si="92">IF(SUM(JO4:JR4)-JS4&gt;0,SUM(JO4:JR4)-JS4,"")</f>
        <v/>
      </c>
      <c r="KF4" s="17" t="str">
        <f t="shared" ref="KF4:KF13" si="93">IF(SUM(JT4:JW4)-JX4&gt;0,SUM(JT4:JW4)-JX4,"")</f>
        <v/>
      </c>
      <c r="KG4" s="17" t="str">
        <f t="shared" ref="KG4:KG13" si="94">IF(SUM(KE4:KF4)&gt;0,SUM(KE4:KF4),"")</f>
        <v/>
      </c>
      <c r="KH4" s="17" t="str">
        <f t="shared" ref="KH4:KH13" si="95">IF(SUM(JY4:KB4)-KC4&gt;0,SUM(JY4:KB4)-KC4,"")</f>
        <v/>
      </c>
      <c r="KI4" s="17" t="str">
        <f t="shared" ref="KI4:KI13" si="96">IF(SUM(KG4,KH4)&gt;0,SUM(KG4,KH4),"")</f>
        <v/>
      </c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13" t="str">
        <f t="shared" ref="KY4:KY13" si="97">IF(SUM(KL4,KQ4)&gt;0,SUM(KL4,KQ4),"")</f>
        <v/>
      </c>
      <c r="KZ4" s="13" t="str">
        <f t="shared" ref="KZ4:KZ13" si="98">IF(SUM(KJ4:KM4)-KN4&gt;0,SUM(KJ4:KM4)-KN4,"")</f>
        <v/>
      </c>
      <c r="LA4" s="13" t="str">
        <f t="shared" ref="LA4:LA13" si="99">IF(SUM(KO4:KR4)-KS4&gt;0,SUM(KO4:KR4)-KS4,"")</f>
        <v/>
      </c>
      <c r="LB4" s="13" t="str">
        <f t="shared" ref="LB4:LB13" si="100">IF(SUM(KZ4:LA4)&gt;0,SUM(KZ4:LA4),"")</f>
        <v/>
      </c>
      <c r="LC4" s="13" t="str">
        <f t="shared" ref="LC4:LC13" si="101">IF(SUM(KT4:KW4)-KX4&gt;0,SUM(KT4:KW4)-KX4,"")</f>
        <v/>
      </c>
      <c r="LD4" s="13" t="str">
        <f t="shared" ref="LD4:LD13" si="102">IF(SUM(LB4,LC4)&gt;0,SUM(LB4,LC4),"")</f>
        <v/>
      </c>
      <c r="LE4" s="62"/>
      <c r="LF4" s="62"/>
      <c r="LG4" s="62"/>
      <c r="LH4" s="62"/>
      <c r="LI4" s="62"/>
      <c r="LJ4" s="62"/>
      <c r="LK4" s="62"/>
      <c r="LL4" s="62"/>
      <c r="LM4" s="62"/>
      <c r="LN4" s="62"/>
      <c r="LO4" s="62"/>
      <c r="LP4" s="62"/>
      <c r="LQ4" s="62"/>
      <c r="LR4" s="62"/>
      <c r="LS4" s="62"/>
      <c r="LT4" s="17" t="str">
        <f t="shared" ref="LT4:LT13" si="103">IF(SUM(LG4,LL4)&gt;0,SUM(LG4,LL4),"")</f>
        <v/>
      </c>
      <c r="LU4" s="17" t="str">
        <f t="shared" ref="LU4:LU13" si="104">IF(SUM(LE4:LH4)-LI4&gt;0,SUM(LE4:LH4)-LI4,"")</f>
        <v/>
      </c>
      <c r="LV4" s="17" t="str">
        <f t="shared" ref="LV4:LV13" si="105">IF(SUM(LJ4:LM4)-LN4&gt;0,SUM(LJ4:LM4)-LN4,"")</f>
        <v/>
      </c>
      <c r="LW4" s="17" t="str">
        <f t="shared" ref="LW4:LW13" si="106">IF(SUM(LU4:LV4)&gt;0,SUM(LU4:LV4),"")</f>
        <v/>
      </c>
      <c r="LX4" s="17" t="str">
        <f t="shared" ref="LX4:LX13" si="107">IF(SUM(LO4:LR4)-LS4&gt;0,SUM(LO4:LR4)-LS4,"")</f>
        <v/>
      </c>
      <c r="LY4" s="17" t="str">
        <f t="shared" ref="LY4:LY13" si="108">IF(SUM(LW4,LX4)&gt;0,SUM(LW4,LX4),"")</f>
        <v/>
      </c>
    </row>
    <row r="5" spans="1:337" x14ac:dyDescent="0.2">
      <c r="A5" s="6">
        <f t="shared" ca="1" si="0"/>
        <v>2</v>
      </c>
      <c r="B5" s="9" t="s">
        <v>49</v>
      </c>
      <c r="C5" s="5" t="s">
        <v>8</v>
      </c>
      <c r="D5" s="46">
        <v>2010</v>
      </c>
      <c r="E5" s="18">
        <f t="shared" si="1"/>
        <v>259.40999999999997</v>
      </c>
      <c r="F5" s="4" t="str">
        <f t="shared" si="2"/>
        <v>P</v>
      </c>
      <c r="G5" s="4" t="str">
        <f t="shared" ca="1" si="3"/>
        <v>P</v>
      </c>
      <c r="H5" t="str">
        <f t="shared" ca="1" si="4"/>
        <v>Funding</v>
      </c>
      <c r="I5" s="17">
        <f t="shared" si="5"/>
        <v>102.01999999999998</v>
      </c>
      <c r="J5" s="17" t="str">
        <f t="shared" si="6"/>
        <v>2017 Nationals</v>
      </c>
      <c r="K5" s="17">
        <f t="shared" si="7"/>
        <v>48.024999999999999</v>
      </c>
      <c r="L5" s="17" t="str">
        <f t="shared" si="8"/>
        <v>2017 3rd Domestic Trial</v>
      </c>
      <c r="M5" s="17">
        <f t="shared" si="9"/>
        <v>53.945</v>
      </c>
      <c r="N5" s="17" t="str">
        <f t="shared" si="10"/>
        <v>2017 3rd Domestic Trial</v>
      </c>
      <c r="O5" s="17">
        <f t="shared" si="11"/>
        <v>54.325000000000003</v>
      </c>
      <c r="P5" s="17" t="str">
        <f t="shared" si="12"/>
        <v>2017 Canada Cup</v>
      </c>
      <c r="Q5" s="17">
        <f t="shared" si="13"/>
        <v>1.0949999999999989</v>
      </c>
      <c r="R5" s="44" t="str">
        <f t="shared" si="14"/>
        <v>(Final)</v>
      </c>
      <c r="S5" s="17" t="str">
        <f t="shared" si="15"/>
        <v>2017 World Championships Team Finals (Nov)</v>
      </c>
      <c r="T5" s="60">
        <v>16.8</v>
      </c>
      <c r="U5" s="60">
        <v>9.4</v>
      </c>
      <c r="V5" s="60">
        <v>5.4</v>
      </c>
      <c r="W5" s="60">
        <v>15.505000000000001</v>
      </c>
      <c r="X5" s="60">
        <v>0</v>
      </c>
      <c r="Y5" s="60">
        <v>12.7</v>
      </c>
      <c r="Z5" s="60">
        <v>8.9</v>
      </c>
      <c r="AA5" s="60">
        <v>14.4</v>
      </c>
      <c r="AB5" s="60">
        <v>14.81</v>
      </c>
      <c r="AC5" s="60">
        <v>0</v>
      </c>
      <c r="AD5" s="60">
        <v>15.4</v>
      </c>
      <c r="AE5" s="60">
        <v>9.3000000000000007</v>
      </c>
      <c r="AF5" s="60">
        <v>14.4</v>
      </c>
      <c r="AG5" s="60">
        <v>15.225</v>
      </c>
      <c r="AH5" s="60">
        <v>0</v>
      </c>
      <c r="AI5" s="13">
        <f t="shared" si="16"/>
        <v>19.8</v>
      </c>
      <c r="AJ5" s="13">
        <f t="shared" si="17"/>
        <v>47.105000000000004</v>
      </c>
      <c r="AK5" s="13">
        <f t="shared" si="18"/>
        <v>50.81</v>
      </c>
      <c r="AL5" s="13">
        <f t="shared" si="19"/>
        <v>97.915000000000006</v>
      </c>
      <c r="AM5" s="13">
        <f t="shared" si="20"/>
        <v>54.325000000000003</v>
      </c>
      <c r="AN5" s="13">
        <f t="shared" si="21"/>
        <v>152.24</v>
      </c>
      <c r="AO5" s="62">
        <v>17.7</v>
      </c>
      <c r="AP5" s="62">
        <v>9.6</v>
      </c>
      <c r="AQ5" s="62">
        <v>5.4</v>
      </c>
      <c r="AR5" s="62">
        <v>15.715</v>
      </c>
      <c r="AS5" s="62">
        <v>0</v>
      </c>
      <c r="AT5" s="62">
        <v>15.6</v>
      </c>
      <c r="AU5" s="62">
        <v>8.6999999999999993</v>
      </c>
      <c r="AV5" s="62">
        <v>14.4</v>
      </c>
      <c r="AW5" s="62">
        <v>14.904999999999999</v>
      </c>
      <c r="AX5" s="62">
        <v>0</v>
      </c>
      <c r="AY5" s="62">
        <v>15.6</v>
      </c>
      <c r="AZ5" s="62">
        <v>9.3000000000000007</v>
      </c>
      <c r="BA5" s="62">
        <v>4.4000000000000004</v>
      </c>
      <c r="BB5" s="62">
        <v>14.85</v>
      </c>
      <c r="BC5" s="62">
        <v>0</v>
      </c>
      <c r="BD5" s="17">
        <f t="shared" si="22"/>
        <v>19.8</v>
      </c>
      <c r="BE5" s="17">
        <f t="shared" si="23"/>
        <v>48.414999999999992</v>
      </c>
      <c r="BF5" s="17">
        <f t="shared" si="24"/>
        <v>53.604999999999997</v>
      </c>
      <c r="BG5" s="17">
        <f t="shared" si="25"/>
        <v>102.01999999999998</v>
      </c>
      <c r="BH5" s="17">
        <f t="shared" si="26"/>
        <v>44.15</v>
      </c>
      <c r="BI5" s="17">
        <f t="shared" si="27"/>
        <v>146.16999999999999</v>
      </c>
      <c r="BJ5" s="60">
        <v>17.7</v>
      </c>
      <c r="BK5" s="60">
        <v>9.3000000000000007</v>
      </c>
      <c r="BL5" s="60">
        <v>5.4</v>
      </c>
      <c r="BM5" s="60">
        <v>15.625</v>
      </c>
      <c r="BN5" s="60">
        <v>0</v>
      </c>
      <c r="BO5" s="60">
        <v>15.4</v>
      </c>
      <c r="BP5" s="60">
        <v>9.3000000000000007</v>
      </c>
      <c r="BQ5" s="60">
        <v>14.4</v>
      </c>
      <c r="BR5" s="60">
        <v>14.845000000000001</v>
      </c>
      <c r="BS5" s="60">
        <v>0</v>
      </c>
      <c r="BT5" s="60">
        <v>15.1</v>
      </c>
      <c r="BU5" s="60">
        <v>9.3000000000000007</v>
      </c>
      <c r="BV5" s="60">
        <v>15</v>
      </c>
      <c r="BW5" s="60">
        <v>14.73</v>
      </c>
      <c r="BX5" s="60">
        <v>0</v>
      </c>
      <c r="BY5" s="13">
        <f t="shared" si="28"/>
        <v>19.8</v>
      </c>
      <c r="BZ5" s="13">
        <f t="shared" si="29"/>
        <v>48.024999999999999</v>
      </c>
      <c r="CA5" s="13">
        <f t="shared" si="30"/>
        <v>53.945</v>
      </c>
      <c r="CB5" s="13">
        <f t="shared" si="31"/>
        <v>101.97</v>
      </c>
      <c r="CC5" s="13">
        <f t="shared" si="32"/>
        <v>54.129999999999995</v>
      </c>
      <c r="CD5" s="13">
        <f t="shared" si="33"/>
        <v>156.1</v>
      </c>
      <c r="CE5" s="43" t="str">
        <f t="shared" si="34"/>
        <v/>
      </c>
      <c r="CF5" s="43">
        <f t="shared" si="35"/>
        <v>0.71999999999999886</v>
      </c>
      <c r="CG5" s="43">
        <f t="shared" si="36"/>
        <v>1.0949999999999989</v>
      </c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13" t="str">
        <f t="shared" si="37"/>
        <v/>
      </c>
      <c r="CX5" s="13" t="str">
        <f t="shared" si="38"/>
        <v/>
      </c>
      <c r="CY5" s="13" t="str">
        <f t="shared" si="39"/>
        <v/>
      </c>
      <c r="CZ5" s="13" t="str">
        <f t="shared" si="40"/>
        <v/>
      </c>
      <c r="DA5" s="13" t="str">
        <f t="shared" si="41"/>
        <v/>
      </c>
      <c r="DB5" s="13" t="str">
        <f t="shared" si="42"/>
        <v/>
      </c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17" t="str">
        <f t="shared" si="43"/>
        <v/>
      </c>
      <c r="DS5" s="17" t="str">
        <f t="shared" si="44"/>
        <v/>
      </c>
      <c r="DT5" s="17" t="str">
        <f t="shared" si="45"/>
        <v/>
      </c>
      <c r="DU5" s="17" t="str">
        <f t="shared" si="46"/>
        <v/>
      </c>
      <c r="DV5" s="17" t="str">
        <f t="shared" si="47"/>
        <v/>
      </c>
      <c r="DW5" s="17" t="str">
        <f t="shared" si="48"/>
        <v/>
      </c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13" t="str">
        <f t="shared" si="49"/>
        <v/>
      </c>
      <c r="EN5" s="13" t="str">
        <f t="shared" si="50"/>
        <v/>
      </c>
      <c r="EO5" s="13" t="str">
        <f t="shared" si="51"/>
        <v/>
      </c>
      <c r="EP5" s="13" t="str">
        <f t="shared" si="52"/>
        <v/>
      </c>
      <c r="EQ5" s="13" t="str">
        <f t="shared" si="53"/>
        <v/>
      </c>
      <c r="ER5" s="13" t="str">
        <f t="shared" si="54"/>
        <v/>
      </c>
      <c r="ES5" s="62"/>
      <c r="ET5" s="62"/>
      <c r="EU5" s="62"/>
      <c r="EV5" s="62"/>
      <c r="EW5" s="62"/>
      <c r="EX5" s="62"/>
      <c r="EY5" s="62"/>
      <c r="EZ5" s="62"/>
      <c r="FA5" s="62"/>
      <c r="FB5" s="62"/>
      <c r="FC5" s="62"/>
      <c r="FD5" s="62"/>
      <c r="FE5" s="62"/>
      <c r="FF5" s="62"/>
      <c r="FG5" s="62"/>
      <c r="FH5" s="17" t="str">
        <f t="shared" si="55"/>
        <v/>
      </c>
      <c r="FI5" s="17" t="str">
        <f t="shared" si="56"/>
        <v/>
      </c>
      <c r="FJ5" s="17" t="str">
        <f t="shared" si="57"/>
        <v/>
      </c>
      <c r="FK5" s="17" t="str">
        <f t="shared" si="58"/>
        <v/>
      </c>
      <c r="FL5" s="17" t="str">
        <f t="shared" si="59"/>
        <v/>
      </c>
      <c r="FM5" s="17" t="str">
        <f t="shared" si="60"/>
        <v/>
      </c>
      <c r="FN5" s="60">
        <v>16.899999999999999</v>
      </c>
      <c r="FO5" s="60">
        <v>9.1</v>
      </c>
      <c r="FP5" s="60">
        <v>5.4</v>
      </c>
      <c r="FQ5" s="60">
        <v>15.49</v>
      </c>
      <c r="FR5" s="60">
        <v>0</v>
      </c>
      <c r="FS5" s="60">
        <v>14.9</v>
      </c>
      <c r="FT5" s="60">
        <v>9.4</v>
      </c>
      <c r="FU5" s="60">
        <v>14.4</v>
      </c>
      <c r="FV5" s="60">
        <v>14.885</v>
      </c>
      <c r="FW5" s="60">
        <v>0</v>
      </c>
      <c r="FX5" s="60">
        <v>15</v>
      </c>
      <c r="FY5" s="60">
        <v>9.0500000000000007</v>
      </c>
      <c r="FZ5" s="60">
        <v>14.4</v>
      </c>
      <c r="GA5" s="60">
        <v>15.074999999999999</v>
      </c>
      <c r="GB5" s="60">
        <v>0</v>
      </c>
      <c r="GC5" s="13">
        <f t="shared" si="61"/>
        <v>19.8</v>
      </c>
      <c r="GD5" s="13">
        <f t="shared" si="62"/>
        <v>46.89</v>
      </c>
      <c r="GE5" s="13">
        <f t="shared" si="63"/>
        <v>53.585000000000001</v>
      </c>
      <c r="GF5" s="13">
        <f t="shared" si="64"/>
        <v>100.47499999999999</v>
      </c>
      <c r="GG5" s="13">
        <f t="shared" si="65"/>
        <v>53.525000000000006</v>
      </c>
      <c r="GH5" s="13">
        <f t="shared" si="66"/>
        <v>154</v>
      </c>
      <c r="GI5" s="62"/>
      <c r="GJ5" s="62"/>
      <c r="GK5" s="62"/>
      <c r="GL5" s="62"/>
      <c r="GM5" s="62"/>
      <c r="GN5" s="62"/>
      <c r="GO5" s="62"/>
      <c r="GP5" s="62"/>
      <c r="GQ5" s="62"/>
      <c r="GR5" s="62"/>
      <c r="GS5" s="62"/>
      <c r="GT5" s="62"/>
      <c r="GU5" s="62"/>
      <c r="GV5" s="62"/>
      <c r="GW5" s="62"/>
      <c r="GX5" s="17" t="str">
        <f t="shared" si="67"/>
        <v/>
      </c>
      <c r="GY5" s="17" t="str">
        <f t="shared" si="68"/>
        <v/>
      </c>
      <c r="GZ5" s="17" t="str">
        <f t="shared" si="69"/>
        <v/>
      </c>
      <c r="HA5" s="17" t="str">
        <f t="shared" si="70"/>
        <v/>
      </c>
      <c r="HB5" s="17" t="str">
        <f t="shared" si="71"/>
        <v/>
      </c>
      <c r="HC5" s="17" t="str">
        <f t="shared" si="72"/>
        <v/>
      </c>
      <c r="HD5" s="60">
        <v>16.899999999999999</v>
      </c>
      <c r="HE5" s="60">
        <v>9.1</v>
      </c>
      <c r="HF5" s="60">
        <v>5.4</v>
      </c>
      <c r="HG5" s="60">
        <v>16.14</v>
      </c>
      <c r="HH5" s="60">
        <v>0</v>
      </c>
      <c r="HI5" s="60">
        <v>15.4</v>
      </c>
      <c r="HJ5" s="60">
        <v>9.5</v>
      </c>
      <c r="HK5" s="60">
        <v>14.4</v>
      </c>
      <c r="HL5" s="60">
        <v>15.365</v>
      </c>
      <c r="HM5" s="60">
        <v>0</v>
      </c>
      <c r="HN5" s="60"/>
      <c r="HO5" s="60"/>
      <c r="HP5" s="60"/>
      <c r="HQ5" s="60"/>
      <c r="HR5" s="60"/>
      <c r="HS5" s="13">
        <f t="shared" si="73"/>
        <v>19.8</v>
      </c>
      <c r="HT5" s="13">
        <f t="shared" si="74"/>
        <v>47.54</v>
      </c>
      <c r="HU5" s="13">
        <f t="shared" si="75"/>
        <v>54.664999999999999</v>
      </c>
      <c r="HV5" s="13">
        <f t="shared" si="76"/>
        <v>102.205</v>
      </c>
      <c r="HW5" s="13" t="str">
        <f t="shared" si="77"/>
        <v/>
      </c>
      <c r="HX5" s="13">
        <f t="shared" si="78"/>
        <v>102.205</v>
      </c>
      <c r="HY5" s="62"/>
      <c r="HZ5" s="62"/>
      <c r="IA5" s="62"/>
      <c r="IB5" s="62"/>
      <c r="IC5" s="62"/>
      <c r="ID5" s="62"/>
      <c r="IE5" s="62"/>
      <c r="IF5" s="62"/>
      <c r="IG5" s="62"/>
      <c r="IH5" s="62"/>
      <c r="II5" s="62">
        <v>14.8</v>
      </c>
      <c r="IJ5" s="62">
        <v>8.9499999999999993</v>
      </c>
      <c r="IK5" s="62">
        <v>14.2</v>
      </c>
      <c r="IL5" s="62">
        <v>15.32</v>
      </c>
      <c r="IM5" s="62">
        <v>0</v>
      </c>
      <c r="IN5" s="17" t="str">
        <f t="shared" si="79"/>
        <v/>
      </c>
      <c r="IO5" s="17" t="str">
        <f t="shared" si="80"/>
        <v/>
      </c>
      <c r="IP5" s="17" t="str">
        <f t="shared" si="81"/>
        <v/>
      </c>
      <c r="IQ5" s="17" t="str">
        <f t="shared" si="82"/>
        <v/>
      </c>
      <c r="IR5" s="17">
        <f t="shared" si="83"/>
        <v>53.27</v>
      </c>
      <c r="IS5" s="17">
        <f t="shared" si="84"/>
        <v>53.27</v>
      </c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>
        <v>55.42</v>
      </c>
      <c r="JE5" s="60"/>
      <c r="JF5" s="60"/>
      <c r="JG5" s="60"/>
      <c r="JH5" s="60"/>
      <c r="JI5" s="13" t="str">
        <f t="shared" si="85"/>
        <v/>
      </c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>
        <f t="shared" si="89"/>
        <v>55.42</v>
      </c>
      <c r="JN5" s="13">
        <f t="shared" si="90"/>
        <v>55.42</v>
      </c>
      <c r="JO5" s="62"/>
      <c r="JP5" s="62"/>
      <c r="JQ5" s="62"/>
      <c r="JR5" s="62"/>
      <c r="JS5" s="62"/>
      <c r="JT5" s="62"/>
      <c r="JU5" s="62"/>
      <c r="JV5" s="62"/>
      <c r="JW5" s="62"/>
      <c r="JX5" s="62"/>
      <c r="JY5" s="62"/>
      <c r="JZ5" s="62"/>
      <c r="KA5" s="62"/>
      <c r="KB5" s="62"/>
      <c r="KC5" s="62"/>
      <c r="KD5" s="17" t="str">
        <f t="shared" si="91"/>
        <v/>
      </c>
      <c r="KE5" s="17" t="str">
        <f t="shared" si="92"/>
        <v/>
      </c>
      <c r="KF5" s="17" t="str">
        <f t="shared" si="93"/>
        <v/>
      </c>
      <c r="KG5" s="17" t="str">
        <f t="shared" si="94"/>
        <v/>
      </c>
      <c r="KH5" s="17" t="str">
        <f t="shared" si="95"/>
        <v/>
      </c>
      <c r="KI5" s="17" t="str">
        <f t="shared" si="96"/>
        <v/>
      </c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13" t="str">
        <f t="shared" si="97"/>
        <v/>
      </c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62"/>
      <c r="LF5" s="62"/>
      <c r="LG5" s="62"/>
      <c r="LH5" s="62"/>
      <c r="LI5" s="62"/>
      <c r="LJ5" s="62"/>
      <c r="LK5" s="62"/>
      <c r="LL5" s="62"/>
      <c r="LM5" s="62"/>
      <c r="LN5" s="62"/>
      <c r="LO5" s="62"/>
      <c r="LP5" s="62"/>
      <c r="LQ5" s="62"/>
      <c r="LR5" s="62"/>
      <c r="LS5" s="62"/>
      <c r="LT5" s="17" t="str">
        <f t="shared" si="103"/>
        <v/>
      </c>
      <c r="LU5" s="17" t="str">
        <f t="shared" si="104"/>
        <v/>
      </c>
      <c r="LV5" s="17" t="str">
        <f t="shared" si="105"/>
        <v/>
      </c>
      <c r="LW5" s="17" t="str">
        <f t="shared" si="106"/>
        <v/>
      </c>
      <c r="LX5" s="17" t="str">
        <f t="shared" si="107"/>
        <v/>
      </c>
      <c r="LY5" s="17" t="str">
        <f t="shared" si="108"/>
        <v/>
      </c>
    </row>
    <row r="6" spans="1:337" x14ac:dyDescent="0.2">
      <c r="A6" s="6">
        <f t="shared" ca="1" si="0"/>
        <v>3</v>
      </c>
      <c r="B6" s="9" t="s">
        <v>48</v>
      </c>
      <c r="C6" s="5" t="s">
        <v>13</v>
      </c>
      <c r="D6" s="46">
        <v>2016</v>
      </c>
      <c r="E6" s="18">
        <f t="shared" si="1"/>
        <v>258.38000000000005</v>
      </c>
      <c r="F6" s="4" t="str">
        <f t="shared" si="2"/>
        <v>P</v>
      </c>
      <c r="G6" s="4" t="str">
        <f t="shared" ca="1" si="3"/>
        <v>P</v>
      </c>
      <c r="H6" t="str">
        <f t="shared" ca="1" si="4"/>
        <v>Funding</v>
      </c>
      <c r="I6" s="17">
        <f t="shared" si="5"/>
        <v>101.93</v>
      </c>
      <c r="J6" s="17" t="str">
        <f t="shared" si="6"/>
        <v>2017 Canada Cup</v>
      </c>
      <c r="K6" s="17">
        <f t="shared" si="7"/>
        <v>42.86</v>
      </c>
      <c r="L6" s="17" t="str">
        <f t="shared" si="8"/>
        <v>2017 Nationals</v>
      </c>
      <c r="M6" s="17">
        <f t="shared" si="9"/>
        <v>53.855000000000004</v>
      </c>
      <c r="N6" s="17" t="str">
        <f t="shared" si="10"/>
        <v>2017 Nationals</v>
      </c>
      <c r="O6" s="17">
        <f t="shared" si="11"/>
        <v>55.045000000000002</v>
      </c>
      <c r="P6" s="17" t="str">
        <f t="shared" si="12"/>
        <v>2017 Canada Cup</v>
      </c>
      <c r="Q6" s="17">
        <f t="shared" si="13"/>
        <v>4.6899999999999977</v>
      </c>
      <c r="R6" s="44" t="str">
        <f t="shared" si="14"/>
        <v>(Vol 1)</v>
      </c>
      <c r="S6" s="17" t="str">
        <f t="shared" si="15"/>
        <v>2017 World Cup BLR (Aug)</v>
      </c>
      <c r="T6" s="60">
        <v>18.3</v>
      </c>
      <c r="U6" s="60">
        <v>9.6</v>
      </c>
      <c r="V6" s="60">
        <v>4.0999999999999996</v>
      </c>
      <c r="W6" s="60">
        <v>16.594999999999999</v>
      </c>
      <c r="X6" s="60">
        <v>0</v>
      </c>
      <c r="Y6" s="60">
        <v>15.9</v>
      </c>
      <c r="Z6" s="60">
        <v>9.3000000000000007</v>
      </c>
      <c r="AA6" s="60">
        <v>13.1</v>
      </c>
      <c r="AB6" s="60">
        <v>15.035</v>
      </c>
      <c r="AC6" s="60">
        <v>0</v>
      </c>
      <c r="AD6" s="60">
        <v>16.5</v>
      </c>
      <c r="AE6" s="60">
        <v>9.3000000000000007</v>
      </c>
      <c r="AF6" s="60">
        <v>13.8</v>
      </c>
      <c r="AG6" s="60">
        <v>15.445</v>
      </c>
      <c r="AH6" s="60">
        <v>0</v>
      </c>
      <c r="AI6" s="13">
        <f t="shared" si="16"/>
        <v>17.2</v>
      </c>
      <c r="AJ6" s="13">
        <f t="shared" si="17"/>
        <v>48.594999999999999</v>
      </c>
      <c r="AK6" s="13">
        <f t="shared" si="18"/>
        <v>53.335000000000008</v>
      </c>
      <c r="AL6" s="13">
        <f t="shared" si="19"/>
        <v>101.93</v>
      </c>
      <c r="AM6" s="13">
        <f t="shared" si="20"/>
        <v>55.045000000000002</v>
      </c>
      <c r="AN6" s="13">
        <f t="shared" si="21"/>
        <v>156.97500000000002</v>
      </c>
      <c r="AO6" s="62">
        <v>17</v>
      </c>
      <c r="AP6" s="62">
        <v>8.6</v>
      </c>
      <c r="AQ6" s="62">
        <v>2.5</v>
      </c>
      <c r="AR6" s="62">
        <v>14.76</v>
      </c>
      <c r="AS6" s="62">
        <v>0</v>
      </c>
      <c r="AT6" s="62">
        <v>15.9</v>
      </c>
      <c r="AU6" s="62">
        <v>8.8000000000000007</v>
      </c>
      <c r="AV6" s="62">
        <v>13.8</v>
      </c>
      <c r="AW6" s="62">
        <v>15.355</v>
      </c>
      <c r="AX6" s="62">
        <v>0</v>
      </c>
      <c r="AY6" s="62">
        <v>15.8</v>
      </c>
      <c r="AZ6" s="62">
        <v>9.1999999999999993</v>
      </c>
      <c r="BA6" s="62">
        <v>13.3</v>
      </c>
      <c r="BB6" s="62">
        <v>15.03</v>
      </c>
      <c r="BC6" s="62">
        <v>0</v>
      </c>
      <c r="BD6" s="17">
        <f t="shared" si="22"/>
        <v>16.3</v>
      </c>
      <c r="BE6" s="17">
        <f t="shared" si="23"/>
        <v>42.86</v>
      </c>
      <c r="BF6" s="17">
        <f t="shared" si="24"/>
        <v>53.855000000000004</v>
      </c>
      <c r="BG6" s="17">
        <f t="shared" si="25"/>
        <v>96.715000000000003</v>
      </c>
      <c r="BH6" s="17">
        <f t="shared" si="26"/>
        <v>53.33</v>
      </c>
      <c r="BI6" s="17">
        <f t="shared" si="27"/>
        <v>150.04500000000002</v>
      </c>
      <c r="BJ6" s="60">
        <v>13.1</v>
      </c>
      <c r="BK6" s="60">
        <v>6.7</v>
      </c>
      <c r="BL6" s="60">
        <v>1.9</v>
      </c>
      <c r="BM6" s="60">
        <v>11.87</v>
      </c>
      <c r="BN6" s="60">
        <v>0</v>
      </c>
      <c r="BO6" s="60">
        <v>15.6</v>
      </c>
      <c r="BP6" s="60">
        <v>8.9</v>
      </c>
      <c r="BQ6" s="60">
        <v>12.8</v>
      </c>
      <c r="BR6" s="60">
        <v>15.57</v>
      </c>
      <c r="BS6" s="60">
        <v>0</v>
      </c>
      <c r="BT6" s="60">
        <v>16.100000000000001</v>
      </c>
      <c r="BU6" s="60">
        <v>8.9</v>
      </c>
      <c r="BV6" s="60">
        <v>13.8</v>
      </c>
      <c r="BW6" s="60">
        <v>15.265000000000001</v>
      </c>
      <c r="BX6" s="60">
        <v>0</v>
      </c>
      <c r="BY6" s="13">
        <f t="shared" si="28"/>
        <v>14.700000000000001</v>
      </c>
      <c r="BZ6" s="13">
        <f t="shared" si="29"/>
        <v>33.57</v>
      </c>
      <c r="CA6" s="13">
        <f t="shared" si="30"/>
        <v>52.87</v>
      </c>
      <c r="CB6" s="13">
        <f t="shared" si="31"/>
        <v>86.44</v>
      </c>
      <c r="CC6" s="13">
        <f t="shared" si="32"/>
        <v>54.064999999999998</v>
      </c>
      <c r="CD6" s="13">
        <f t="shared" si="33"/>
        <v>140.505</v>
      </c>
      <c r="CE6" s="43">
        <f t="shared" si="34"/>
        <v>4.6899999999999977</v>
      </c>
      <c r="CF6" s="43" t="str">
        <f t="shared" si="35"/>
        <v/>
      </c>
      <c r="CG6" s="43" t="str">
        <f t="shared" si="36"/>
        <v/>
      </c>
      <c r="CH6" s="60">
        <v>24.8</v>
      </c>
      <c r="CI6" s="60">
        <v>0</v>
      </c>
      <c r="CJ6" s="60">
        <v>3.3</v>
      </c>
      <c r="CK6" s="60">
        <v>16.489999999999998</v>
      </c>
      <c r="CL6" s="60">
        <v>0</v>
      </c>
      <c r="CM6" s="60">
        <v>23</v>
      </c>
      <c r="CN6" s="60">
        <v>0</v>
      </c>
      <c r="CO6" s="60">
        <v>13.8</v>
      </c>
      <c r="CP6" s="60">
        <v>15.484999999999999</v>
      </c>
      <c r="CQ6" s="60">
        <v>0</v>
      </c>
      <c r="CR6" s="60">
        <v>22.6</v>
      </c>
      <c r="CS6" s="60">
        <v>0</v>
      </c>
      <c r="CT6" s="60">
        <v>13.8</v>
      </c>
      <c r="CU6" s="60">
        <v>15.295</v>
      </c>
      <c r="CV6" s="60">
        <v>0</v>
      </c>
      <c r="CW6" s="13">
        <f t="shared" si="37"/>
        <v>17.100000000000001</v>
      </c>
      <c r="CX6" s="13">
        <f t="shared" si="38"/>
        <v>44.59</v>
      </c>
      <c r="CY6" s="13">
        <f t="shared" si="39"/>
        <v>52.284999999999997</v>
      </c>
      <c r="CZ6" s="13">
        <f t="shared" si="40"/>
        <v>96.875</v>
      </c>
      <c r="DA6" s="13">
        <f t="shared" si="41"/>
        <v>51.695000000000007</v>
      </c>
      <c r="DB6" s="13">
        <f t="shared" si="42"/>
        <v>148.57</v>
      </c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>
        <v>22.3</v>
      </c>
      <c r="DN6" s="62">
        <v>0</v>
      </c>
      <c r="DO6" s="62">
        <v>12.8</v>
      </c>
      <c r="DP6" s="62">
        <v>15.225</v>
      </c>
      <c r="DQ6" s="62">
        <v>0</v>
      </c>
      <c r="DR6" s="17" t="str">
        <f t="shared" si="43"/>
        <v/>
      </c>
      <c r="DS6" s="17" t="str">
        <f t="shared" si="44"/>
        <v/>
      </c>
      <c r="DT6" s="17" t="str">
        <f t="shared" si="45"/>
        <v/>
      </c>
      <c r="DU6" s="17" t="str">
        <f t="shared" si="46"/>
        <v/>
      </c>
      <c r="DV6" s="17">
        <f t="shared" si="47"/>
        <v>50.325000000000003</v>
      </c>
      <c r="DW6" s="17">
        <f t="shared" si="48"/>
        <v>50.325000000000003</v>
      </c>
      <c r="DX6" s="60">
        <v>8.6</v>
      </c>
      <c r="DY6" s="60">
        <v>4.8</v>
      </c>
      <c r="DZ6" s="60">
        <v>1.3</v>
      </c>
      <c r="EA6" s="60">
        <v>8.2149999999999999</v>
      </c>
      <c r="EB6" s="60">
        <v>0</v>
      </c>
      <c r="EC6" s="60">
        <v>7.5</v>
      </c>
      <c r="ED6" s="60">
        <v>4.3499999999999996</v>
      </c>
      <c r="EE6" s="60">
        <v>7.2</v>
      </c>
      <c r="EF6" s="60">
        <v>7.82</v>
      </c>
      <c r="EG6" s="60">
        <v>0</v>
      </c>
      <c r="EH6" s="60"/>
      <c r="EI6" s="60"/>
      <c r="EJ6" s="60"/>
      <c r="EK6" s="60"/>
      <c r="EL6" s="60"/>
      <c r="EM6" s="13">
        <f t="shared" si="49"/>
        <v>8.5</v>
      </c>
      <c r="EN6" s="13">
        <f t="shared" si="50"/>
        <v>22.914999999999999</v>
      </c>
      <c r="EO6" s="13">
        <f t="shared" si="51"/>
        <v>26.87</v>
      </c>
      <c r="EP6" s="13">
        <f t="shared" si="52"/>
        <v>49.784999999999997</v>
      </c>
      <c r="EQ6" s="13" t="str">
        <f t="shared" si="53"/>
        <v/>
      </c>
      <c r="ER6" s="13">
        <f t="shared" si="54"/>
        <v>49.784999999999997</v>
      </c>
      <c r="ES6" s="62">
        <v>17.5</v>
      </c>
      <c r="ET6" s="62">
        <v>9.5500000000000007</v>
      </c>
      <c r="EU6" s="62">
        <v>4.0999999999999996</v>
      </c>
      <c r="EV6" s="62">
        <v>16.399999999999999</v>
      </c>
      <c r="EW6" s="62">
        <v>0</v>
      </c>
      <c r="EX6" s="62">
        <v>14.6</v>
      </c>
      <c r="EY6" s="62">
        <v>9.35</v>
      </c>
      <c r="EZ6" s="62">
        <v>13.8</v>
      </c>
      <c r="FA6" s="62">
        <v>15.04</v>
      </c>
      <c r="FB6" s="62">
        <v>0</v>
      </c>
      <c r="FC6" s="62"/>
      <c r="FD6" s="62"/>
      <c r="FE6" s="62"/>
      <c r="FF6" s="62"/>
      <c r="FG6" s="62"/>
      <c r="FH6" s="17">
        <f t="shared" si="55"/>
        <v>17.899999999999999</v>
      </c>
      <c r="FI6" s="17">
        <f t="shared" si="56"/>
        <v>47.55</v>
      </c>
      <c r="FJ6" s="17">
        <f t="shared" si="57"/>
        <v>52.79</v>
      </c>
      <c r="FK6" s="17">
        <f t="shared" si="58"/>
        <v>100.34</v>
      </c>
      <c r="FL6" s="17" t="str">
        <f t="shared" si="59"/>
        <v/>
      </c>
      <c r="FM6" s="17">
        <f t="shared" si="60"/>
        <v>100.34</v>
      </c>
      <c r="FN6" s="60">
        <v>16</v>
      </c>
      <c r="FO6" s="60">
        <v>4.0999999999999996</v>
      </c>
      <c r="FP6" s="60">
        <v>9.15</v>
      </c>
      <c r="FQ6" s="60">
        <v>15.904999999999999</v>
      </c>
      <c r="FR6" s="60">
        <v>0</v>
      </c>
      <c r="FS6" s="60">
        <v>15.2</v>
      </c>
      <c r="FT6" s="60">
        <v>9.3000000000000007</v>
      </c>
      <c r="FU6" s="60">
        <v>13.8</v>
      </c>
      <c r="FV6" s="60">
        <v>15.33</v>
      </c>
      <c r="FW6" s="60">
        <v>0</v>
      </c>
      <c r="FX6" s="60"/>
      <c r="FY6" s="60"/>
      <c r="FZ6" s="60"/>
      <c r="GA6" s="60"/>
      <c r="GB6" s="60"/>
      <c r="GC6" s="13">
        <f t="shared" si="61"/>
        <v>22.950000000000003</v>
      </c>
      <c r="GD6" s="13">
        <f t="shared" si="62"/>
        <v>45.155000000000001</v>
      </c>
      <c r="GE6" s="13">
        <f t="shared" si="63"/>
        <v>53.629999999999995</v>
      </c>
      <c r="GF6" s="13">
        <f t="shared" si="64"/>
        <v>98.784999999999997</v>
      </c>
      <c r="GG6" s="13" t="str">
        <f t="shared" si="65"/>
        <v/>
      </c>
      <c r="GH6" s="13">
        <f t="shared" si="66"/>
        <v>98.784999999999997</v>
      </c>
      <c r="GI6" s="62">
        <v>15.6</v>
      </c>
      <c r="GJ6" s="62">
        <v>9.0500000000000007</v>
      </c>
      <c r="GK6" s="62">
        <v>4.8</v>
      </c>
      <c r="GL6" s="62">
        <v>16.59</v>
      </c>
      <c r="GM6" s="62">
        <v>0</v>
      </c>
      <c r="GN6" s="62">
        <v>15</v>
      </c>
      <c r="GO6" s="62">
        <v>8.75</v>
      </c>
      <c r="GP6" s="62">
        <v>13.8</v>
      </c>
      <c r="GQ6" s="62">
        <v>15.535</v>
      </c>
      <c r="GR6" s="62">
        <v>0</v>
      </c>
      <c r="GS6" s="62"/>
      <c r="GT6" s="62"/>
      <c r="GU6" s="62"/>
      <c r="GV6" s="62"/>
      <c r="GW6" s="62"/>
      <c r="GX6" s="17">
        <f t="shared" si="67"/>
        <v>18.600000000000001</v>
      </c>
      <c r="GY6" s="17">
        <f t="shared" si="68"/>
        <v>46.04</v>
      </c>
      <c r="GZ6" s="17">
        <f t="shared" si="69"/>
        <v>53.084999999999994</v>
      </c>
      <c r="HA6" s="17">
        <f t="shared" si="70"/>
        <v>99.125</v>
      </c>
      <c r="HB6" s="17" t="str">
        <f t="shared" si="71"/>
        <v/>
      </c>
      <c r="HC6" s="17">
        <f t="shared" si="72"/>
        <v>99.125</v>
      </c>
      <c r="HD6" s="60">
        <v>16.100000000000001</v>
      </c>
      <c r="HE6" s="60">
        <v>8.9499999999999993</v>
      </c>
      <c r="HF6" s="60">
        <v>4.8</v>
      </c>
      <c r="HG6" s="60">
        <v>16.18</v>
      </c>
      <c r="HH6" s="60">
        <v>0</v>
      </c>
      <c r="HI6" s="60">
        <v>15.3</v>
      </c>
      <c r="HJ6" s="60">
        <v>8.9</v>
      </c>
      <c r="HK6" s="60">
        <v>12.9</v>
      </c>
      <c r="HL6" s="60">
        <v>15.395</v>
      </c>
      <c r="HM6" s="60">
        <v>0</v>
      </c>
      <c r="HN6" s="60"/>
      <c r="HO6" s="60"/>
      <c r="HP6" s="60"/>
      <c r="HQ6" s="60"/>
      <c r="HR6" s="60"/>
      <c r="HS6" s="13">
        <f t="shared" si="73"/>
        <v>17.7</v>
      </c>
      <c r="HT6" s="13">
        <f t="shared" si="74"/>
        <v>46.03</v>
      </c>
      <c r="HU6" s="13">
        <f t="shared" si="75"/>
        <v>52.495000000000005</v>
      </c>
      <c r="HV6" s="13">
        <f t="shared" si="76"/>
        <v>98.525000000000006</v>
      </c>
      <c r="HW6" s="13" t="str">
        <f t="shared" si="77"/>
        <v/>
      </c>
      <c r="HX6" s="13">
        <f t="shared" si="78"/>
        <v>98.525000000000006</v>
      </c>
      <c r="HY6" s="62"/>
      <c r="HZ6" s="62"/>
      <c r="IA6" s="62"/>
      <c r="IB6" s="62"/>
      <c r="IC6" s="62"/>
      <c r="ID6" s="62"/>
      <c r="IE6" s="62"/>
      <c r="IF6" s="62"/>
      <c r="IG6" s="62"/>
      <c r="IH6" s="62"/>
      <c r="II6" s="62"/>
      <c r="IJ6" s="62"/>
      <c r="IK6" s="62"/>
      <c r="IL6" s="62"/>
      <c r="IM6" s="62"/>
      <c r="IN6" s="17" t="str">
        <f t="shared" si="79"/>
        <v/>
      </c>
      <c r="IO6" s="17" t="str">
        <f t="shared" si="80"/>
        <v/>
      </c>
      <c r="IP6" s="17" t="str">
        <f t="shared" si="81"/>
        <v/>
      </c>
      <c r="IQ6" s="17" t="str">
        <f t="shared" si="82"/>
        <v/>
      </c>
      <c r="IR6" s="17" t="str">
        <f t="shared" si="83"/>
        <v/>
      </c>
      <c r="IS6" s="17" t="str">
        <f t="shared" si="84"/>
        <v/>
      </c>
      <c r="IT6" s="60"/>
      <c r="IU6" s="60"/>
      <c r="IV6" s="60"/>
      <c r="IW6" s="60"/>
      <c r="IX6" s="60"/>
      <c r="IY6" s="60"/>
      <c r="IZ6" s="60"/>
      <c r="JA6" s="60"/>
      <c r="JB6" s="60"/>
      <c r="JC6" s="60"/>
      <c r="JD6" s="60">
        <v>50.79</v>
      </c>
      <c r="JE6" s="60"/>
      <c r="JF6" s="60"/>
      <c r="JG6" s="60"/>
      <c r="JH6" s="60"/>
      <c r="JI6" s="13" t="str">
        <f t="shared" si="85"/>
        <v/>
      </c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>
        <f t="shared" si="89"/>
        <v>50.79</v>
      </c>
      <c r="JN6" s="13">
        <f t="shared" si="90"/>
        <v>50.79</v>
      </c>
      <c r="JO6" s="62"/>
      <c r="JP6" s="62"/>
      <c r="JQ6" s="62"/>
      <c r="JR6" s="62"/>
      <c r="JS6" s="62"/>
      <c r="JT6" s="62"/>
      <c r="JU6" s="62"/>
      <c r="JV6" s="62"/>
      <c r="JW6" s="62"/>
      <c r="JX6" s="62"/>
      <c r="JY6" s="62"/>
      <c r="JZ6" s="62"/>
      <c r="KA6" s="62"/>
      <c r="KB6" s="62"/>
      <c r="KC6" s="62"/>
      <c r="KD6" s="17" t="str">
        <f t="shared" si="91"/>
        <v/>
      </c>
      <c r="KE6" s="17" t="str">
        <f t="shared" si="92"/>
        <v/>
      </c>
      <c r="KF6" s="17" t="str">
        <f t="shared" si="93"/>
        <v/>
      </c>
      <c r="KG6" s="17" t="str">
        <f t="shared" si="94"/>
        <v/>
      </c>
      <c r="KH6" s="17" t="str">
        <f t="shared" si="95"/>
        <v/>
      </c>
      <c r="KI6" s="17" t="str">
        <f t="shared" si="96"/>
        <v/>
      </c>
      <c r="KJ6" s="60"/>
      <c r="KK6" s="60"/>
      <c r="KL6" s="60"/>
      <c r="KM6" s="60"/>
      <c r="KN6" s="60"/>
      <c r="KO6" s="60"/>
      <c r="KP6" s="60"/>
      <c r="KQ6" s="60"/>
      <c r="KR6" s="60"/>
      <c r="KS6" s="60"/>
      <c r="KT6" s="60"/>
      <c r="KU6" s="60"/>
      <c r="KV6" s="60"/>
      <c r="KW6" s="60"/>
      <c r="KX6" s="60"/>
      <c r="KY6" s="13" t="str">
        <f t="shared" si="97"/>
        <v/>
      </c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62"/>
      <c r="LF6" s="62"/>
      <c r="LG6" s="62"/>
      <c r="LH6" s="62"/>
      <c r="LI6" s="62"/>
      <c r="LJ6" s="62"/>
      <c r="LK6" s="62"/>
      <c r="LL6" s="62"/>
      <c r="LM6" s="62"/>
      <c r="LN6" s="62"/>
      <c r="LO6" s="62"/>
      <c r="LP6" s="62"/>
      <c r="LQ6" s="62"/>
      <c r="LR6" s="62"/>
      <c r="LS6" s="62"/>
      <c r="LT6" s="17" t="str">
        <f t="shared" si="103"/>
        <v/>
      </c>
      <c r="LU6" s="17" t="str">
        <f t="shared" si="104"/>
        <v/>
      </c>
      <c r="LV6" s="17" t="str">
        <f t="shared" si="105"/>
        <v/>
      </c>
      <c r="LW6" s="17" t="str">
        <f t="shared" si="106"/>
        <v/>
      </c>
      <c r="LX6" s="17" t="str">
        <f t="shared" si="107"/>
        <v/>
      </c>
      <c r="LY6" s="17" t="str">
        <f t="shared" si="108"/>
        <v/>
      </c>
    </row>
    <row r="7" spans="1:337" x14ac:dyDescent="0.2">
      <c r="A7" s="6">
        <f t="shared" ca="1" si="0"/>
        <v>4</v>
      </c>
      <c r="B7" s="9" t="s">
        <v>50</v>
      </c>
      <c r="C7" s="5" t="s">
        <v>4</v>
      </c>
      <c r="D7" s="46">
        <v>2014</v>
      </c>
      <c r="E7" s="18">
        <f t="shared" si="1"/>
        <v>256.02</v>
      </c>
      <c r="F7" s="4" t="str">
        <f t="shared" si="2"/>
        <v>P</v>
      </c>
      <c r="G7" s="4" t="str">
        <f t="shared" ca="1" si="3"/>
        <v>P</v>
      </c>
      <c r="H7" t="str">
        <f t="shared" ca="1" si="4"/>
        <v>Funding</v>
      </c>
      <c r="I7" s="17">
        <f t="shared" si="5"/>
        <v>101.15</v>
      </c>
      <c r="J7" s="17" t="str">
        <f t="shared" si="6"/>
        <v>2017 Canada Cup</v>
      </c>
      <c r="K7" s="17">
        <f t="shared" si="7"/>
        <v>47.26</v>
      </c>
      <c r="L7" s="17" t="str">
        <f t="shared" si="8"/>
        <v>2017 Nationals</v>
      </c>
      <c r="M7" s="17">
        <f t="shared" si="9"/>
        <v>53.157499999999999</v>
      </c>
      <c r="N7" s="17" t="str">
        <f t="shared" si="10"/>
        <v>2017 3rd Domestic Trial</v>
      </c>
      <c r="O7" s="17">
        <f t="shared" si="11"/>
        <v>53.185000000000002</v>
      </c>
      <c r="P7" s="17" t="str">
        <f t="shared" si="12"/>
        <v>2017 Canada Cup</v>
      </c>
      <c r="Q7" s="17">
        <f t="shared" si="13"/>
        <v>1.2674999999999983</v>
      </c>
      <c r="R7" s="44" t="str">
        <f t="shared" si="14"/>
        <v>(Vol 2)</v>
      </c>
      <c r="S7" s="17" t="str">
        <f t="shared" si="15"/>
        <v>2017 World Cup BLR (Aug)</v>
      </c>
      <c r="T7" s="60">
        <v>17.399999999999999</v>
      </c>
      <c r="U7" s="60">
        <v>9.3000000000000007</v>
      </c>
      <c r="V7" s="60">
        <v>4.0999999999999996</v>
      </c>
      <c r="W7" s="60">
        <v>16.184999999999999</v>
      </c>
      <c r="X7" s="60">
        <v>0</v>
      </c>
      <c r="Y7" s="60">
        <v>15.3</v>
      </c>
      <c r="Z7" s="60">
        <v>9.6999999999999993</v>
      </c>
      <c r="AA7" s="60">
        <v>13.5</v>
      </c>
      <c r="AB7" s="60">
        <v>15.664999999999999</v>
      </c>
      <c r="AC7" s="60">
        <v>0</v>
      </c>
      <c r="AD7" s="60">
        <v>15</v>
      </c>
      <c r="AE7" s="60">
        <v>9.1999999999999993</v>
      </c>
      <c r="AF7" s="60">
        <v>13.5</v>
      </c>
      <c r="AG7" s="60">
        <v>15.484999999999999</v>
      </c>
      <c r="AH7" s="60">
        <v>0</v>
      </c>
      <c r="AI7" s="13">
        <f t="shared" si="16"/>
        <v>17.600000000000001</v>
      </c>
      <c r="AJ7" s="13">
        <f t="shared" si="17"/>
        <v>46.984999999999999</v>
      </c>
      <c r="AK7" s="13">
        <f t="shared" si="18"/>
        <v>54.164999999999999</v>
      </c>
      <c r="AL7" s="13">
        <f t="shared" si="19"/>
        <v>101.15</v>
      </c>
      <c r="AM7" s="13">
        <f t="shared" si="20"/>
        <v>53.185000000000002</v>
      </c>
      <c r="AN7" s="13">
        <f t="shared" si="21"/>
        <v>154.33500000000001</v>
      </c>
      <c r="AO7" s="62">
        <v>17.3</v>
      </c>
      <c r="AP7" s="62">
        <v>9.6</v>
      </c>
      <c r="AQ7" s="62">
        <v>4.5</v>
      </c>
      <c r="AR7" s="62">
        <v>15.86</v>
      </c>
      <c r="AS7" s="62">
        <v>0</v>
      </c>
      <c r="AT7" s="62">
        <v>15</v>
      </c>
      <c r="AU7" s="62">
        <v>9.3000000000000007</v>
      </c>
      <c r="AV7" s="62">
        <v>12.7</v>
      </c>
      <c r="AW7" s="62">
        <v>15.15</v>
      </c>
      <c r="AX7" s="62">
        <v>0</v>
      </c>
      <c r="AY7" s="62">
        <v>15.4</v>
      </c>
      <c r="AZ7" s="62">
        <v>9.5</v>
      </c>
      <c r="BA7" s="62">
        <v>12.2</v>
      </c>
      <c r="BB7" s="62">
        <v>15.225</v>
      </c>
      <c r="BC7" s="62">
        <v>0</v>
      </c>
      <c r="BD7" s="17">
        <f t="shared" si="22"/>
        <v>17.2</v>
      </c>
      <c r="BE7" s="17">
        <f t="shared" si="23"/>
        <v>47.26</v>
      </c>
      <c r="BF7" s="17">
        <f t="shared" si="24"/>
        <v>52.15</v>
      </c>
      <c r="BG7" s="17">
        <f t="shared" si="25"/>
        <v>99.41</v>
      </c>
      <c r="BH7" s="17">
        <f t="shared" si="26"/>
        <v>52.324999999999996</v>
      </c>
      <c r="BI7" s="17">
        <f t="shared" si="27"/>
        <v>151.73499999999999</v>
      </c>
      <c r="BJ7" s="60">
        <v>13.525</v>
      </c>
      <c r="BK7" s="60">
        <v>14</v>
      </c>
      <c r="BL7" s="60">
        <v>7.7</v>
      </c>
      <c r="BM7" s="60">
        <v>1.3</v>
      </c>
      <c r="BN7" s="60">
        <v>0</v>
      </c>
      <c r="BO7" s="75">
        <v>53.157499999999999</v>
      </c>
      <c r="BP7" s="75">
        <v>0</v>
      </c>
      <c r="BQ7" s="75">
        <v>0</v>
      </c>
      <c r="BR7" s="75">
        <v>0</v>
      </c>
      <c r="BS7" s="75">
        <v>0</v>
      </c>
      <c r="BT7" s="75">
        <v>52.755000000000003</v>
      </c>
      <c r="BU7" s="75">
        <v>0</v>
      </c>
      <c r="BV7" s="75">
        <v>0</v>
      </c>
      <c r="BW7" s="75">
        <v>0</v>
      </c>
      <c r="BX7" s="75">
        <v>0</v>
      </c>
      <c r="BY7" s="13">
        <f t="shared" si="28"/>
        <v>7.7</v>
      </c>
      <c r="BZ7" s="13">
        <f t="shared" si="29"/>
        <v>36.524999999999999</v>
      </c>
      <c r="CA7" s="13">
        <f t="shared" si="30"/>
        <v>53.157499999999999</v>
      </c>
      <c r="CB7" s="13">
        <f t="shared" si="31"/>
        <v>89.682500000000005</v>
      </c>
      <c r="CC7" s="13">
        <f t="shared" si="32"/>
        <v>52.755000000000003</v>
      </c>
      <c r="CD7" s="13">
        <f t="shared" si="33"/>
        <v>142.4375</v>
      </c>
      <c r="CE7" s="43">
        <f t="shared" si="34"/>
        <v>0.6699999999999946</v>
      </c>
      <c r="CF7" s="43">
        <f t="shared" si="35"/>
        <v>1.2674999999999983</v>
      </c>
      <c r="CG7" s="43" t="str">
        <f t="shared" si="36"/>
        <v/>
      </c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13" t="str">
        <f t="shared" si="37"/>
        <v/>
      </c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17" t="str">
        <f t="shared" si="43"/>
        <v/>
      </c>
      <c r="DS7" s="17" t="str">
        <f t="shared" si="44"/>
        <v/>
      </c>
      <c r="DT7" s="17" t="str">
        <f t="shared" si="45"/>
        <v/>
      </c>
      <c r="DU7" s="17" t="str">
        <f t="shared" si="46"/>
        <v/>
      </c>
      <c r="DV7" s="17" t="str">
        <f t="shared" si="47"/>
        <v/>
      </c>
      <c r="DW7" s="17" t="str">
        <f t="shared" si="48"/>
        <v/>
      </c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13" t="str">
        <f t="shared" si="49"/>
        <v/>
      </c>
      <c r="EN7" s="13" t="str">
        <f t="shared" si="50"/>
        <v/>
      </c>
      <c r="EO7" s="13" t="str">
        <f t="shared" si="51"/>
        <v/>
      </c>
      <c r="EP7" s="13" t="str">
        <f t="shared" si="52"/>
        <v/>
      </c>
      <c r="EQ7" s="13" t="str">
        <f t="shared" si="53"/>
        <v/>
      </c>
      <c r="ER7" s="13" t="str">
        <f t="shared" si="54"/>
        <v/>
      </c>
      <c r="ES7" s="62">
        <v>16.2</v>
      </c>
      <c r="ET7" s="62">
        <v>9.6999999999999993</v>
      </c>
      <c r="EU7" s="62">
        <v>5</v>
      </c>
      <c r="EV7" s="62">
        <v>16.504999999999999</v>
      </c>
      <c r="EW7" s="62">
        <v>0</v>
      </c>
      <c r="EX7" s="62">
        <v>15.4</v>
      </c>
      <c r="EY7" s="62">
        <v>9.65</v>
      </c>
      <c r="EZ7" s="62">
        <v>13.5</v>
      </c>
      <c r="FA7" s="62">
        <v>15.875</v>
      </c>
      <c r="FB7" s="62">
        <v>0</v>
      </c>
      <c r="FC7" s="62">
        <v>15.2</v>
      </c>
      <c r="FD7" s="62">
        <v>8.9499999999999993</v>
      </c>
      <c r="FE7" s="62">
        <v>12.6</v>
      </c>
      <c r="FF7" s="62">
        <v>16.03</v>
      </c>
      <c r="FG7" s="62">
        <v>0</v>
      </c>
      <c r="FH7" s="17">
        <f t="shared" si="55"/>
        <v>18.5</v>
      </c>
      <c r="FI7" s="17">
        <f t="shared" si="56"/>
        <v>47.405000000000001</v>
      </c>
      <c r="FJ7" s="17">
        <f t="shared" si="57"/>
        <v>54.424999999999997</v>
      </c>
      <c r="FK7" s="17">
        <f t="shared" si="58"/>
        <v>101.83</v>
      </c>
      <c r="FL7" s="17">
        <f t="shared" si="59"/>
        <v>52.78</v>
      </c>
      <c r="FM7" s="17">
        <f t="shared" si="60"/>
        <v>154.61000000000001</v>
      </c>
      <c r="FN7" s="60"/>
      <c r="FO7" s="60"/>
      <c r="FP7" s="60"/>
      <c r="FQ7" s="60"/>
      <c r="FR7" s="60"/>
      <c r="FS7" s="60"/>
      <c r="FT7" s="60"/>
      <c r="FU7" s="60"/>
      <c r="FV7" s="60"/>
      <c r="FW7" s="60"/>
      <c r="FX7" s="60"/>
      <c r="FY7" s="60"/>
      <c r="FZ7" s="60"/>
      <c r="GA7" s="60"/>
      <c r="GB7" s="60"/>
      <c r="GC7" s="13" t="str">
        <f t="shared" si="61"/>
        <v/>
      </c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62">
        <v>16.899999999999999</v>
      </c>
      <c r="GJ7" s="62">
        <v>9.4</v>
      </c>
      <c r="GK7" s="62">
        <v>4.8</v>
      </c>
      <c r="GL7" s="62">
        <v>16.829999999999998</v>
      </c>
      <c r="GM7" s="62">
        <v>0</v>
      </c>
      <c r="GN7" s="62">
        <v>14.8</v>
      </c>
      <c r="GO7" s="62">
        <v>8.9</v>
      </c>
      <c r="GP7" s="62">
        <v>11.9</v>
      </c>
      <c r="GQ7" s="62">
        <v>15.895</v>
      </c>
      <c r="GR7" s="62">
        <v>0</v>
      </c>
      <c r="GS7" s="62"/>
      <c r="GT7" s="62"/>
      <c r="GU7" s="62"/>
      <c r="GV7" s="62"/>
      <c r="GW7" s="62"/>
      <c r="GX7" s="17">
        <f t="shared" si="67"/>
        <v>16.7</v>
      </c>
      <c r="GY7" s="17">
        <f t="shared" si="68"/>
        <v>47.929999999999993</v>
      </c>
      <c r="GZ7" s="17">
        <f t="shared" si="69"/>
        <v>51.495000000000005</v>
      </c>
      <c r="HA7" s="17">
        <f t="shared" si="70"/>
        <v>99.424999999999997</v>
      </c>
      <c r="HB7" s="17" t="str">
        <f t="shared" si="71"/>
        <v/>
      </c>
      <c r="HC7" s="17">
        <f t="shared" si="72"/>
        <v>99.424999999999997</v>
      </c>
      <c r="HD7" s="60">
        <v>1.6</v>
      </c>
      <c r="HE7" s="60">
        <v>0.8</v>
      </c>
      <c r="HF7" s="60">
        <v>1.3</v>
      </c>
      <c r="HG7" s="60">
        <v>1.74</v>
      </c>
      <c r="HH7" s="60">
        <v>0</v>
      </c>
      <c r="HI7" s="60">
        <v>14.4</v>
      </c>
      <c r="HJ7" s="60">
        <v>9</v>
      </c>
      <c r="HK7" s="60">
        <v>13.5</v>
      </c>
      <c r="HL7" s="60">
        <v>15.555</v>
      </c>
      <c r="HM7" s="60">
        <v>0</v>
      </c>
      <c r="HN7" s="60"/>
      <c r="HO7" s="60"/>
      <c r="HP7" s="60"/>
      <c r="HQ7" s="60"/>
      <c r="HR7" s="60"/>
      <c r="HS7" s="13">
        <f t="shared" si="73"/>
        <v>14.8</v>
      </c>
      <c r="HT7" s="13">
        <f t="shared" si="74"/>
        <v>5.44</v>
      </c>
      <c r="HU7" s="13">
        <f t="shared" si="75"/>
        <v>52.454999999999998</v>
      </c>
      <c r="HV7" s="13">
        <f t="shared" si="76"/>
        <v>57.894999999999996</v>
      </c>
      <c r="HW7" s="13" t="str">
        <f t="shared" si="77"/>
        <v/>
      </c>
      <c r="HX7" s="13">
        <f t="shared" si="78"/>
        <v>57.894999999999996</v>
      </c>
      <c r="HY7" s="62"/>
      <c r="HZ7" s="62"/>
      <c r="IA7" s="62"/>
      <c r="IB7" s="62"/>
      <c r="IC7" s="62"/>
      <c r="ID7" s="62"/>
      <c r="IE7" s="62"/>
      <c r="IF7" s="62"/>
      <c r="IG7" s="62"/>
      <c r="IH7" s="62"/>
      <c r="II7" s="62"/>
      <c r="IJ7" s="62"/>
      <c r="IK7" s="62"/>
      <c r="IL7" s="62"/>
      <c r="IM7" s="62"/>
      <c r="IN7" s="17" t="str">
        <f t="shared" si="79"/>
        <v/>
      </c>
      <c r="IO7" s="17" t="str">
        <f t="shared" si="80"/>
        <v/>
      </c>
      <c r="IP7" s="17" t="str">
        <f t="shared" si="81"/>
        <v/>
      </c>
      <c r="IQ7" s="17" t="str">
        <f t="shared" si="82"/>
        <v/>
      </c>
      <c r="IR7" s="17" t="str">
        <f t="shared" si="83"/>
        <v/>
      </c>
      <c r="IS7" s="17" t="str">
        <f t="shared" si="84"/>
        <v/>
      </c>
      <c r="IT7" s="60"/>
      <c r="IU7" s="60"/>
      <c r="IV7" s="60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13" t="str">
        <f t="shared" si="85"/>
        <v/>
      </c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62"/>
      <c r="JP7" s="62"/>
      <c r="JQ7" s="62"/>
      <c r="JR7" s="62"/>
      <c r="JS7" s="62"/>
      <c r="JT7" s="62"/>
      <c r="JU7" s="62"/>
      <c r="JV7" s="62"/>
      <c r="JW7" s="62"/>
      <c r="JX7" s="62"/>
      <c r="JY7" s="62"/>
      <c r="JZ7" s="62"/>
      <c r="KA7" s="62"/>
      <c r="KB7" s="62"/>
      <c r="KC7" s="62"/>
      <c r="KD7" s="17" t="str">
        <f t="shared" si="91"/>
        <v/>
      </c>
      <c r="KE7" s="17" t="str">
        <f t="shared" si="92"/>
        <v/>
      </c>
      <c r="KF7" s="17" t="str">
        <f t="shared" si="93"/>
        <v/>
      </c>
      <c r="KG7" s="17" t="str">
        <f t="shared" si="94"/>
        <v/>
      </c>
      <c r="KH7" s="17" t="str">
        <f t="shared" si="95"/>
        <v/>
      </c>
      <c r="KI7" s="17" t="str">
        <f t="shared" si="96"/>
        <v/>
      </c>
      <c r="KJ7" s="60"/>
      <c r="KK7" s="60"/>
      <c r="KL7" s="60"/>
      <c r="KM7" s="60"/>
      <c r="KN7" s="60"/>
      <c r="KO7" s="60"/>
      <c r="KP7" s="60"/>
      <c r="KQ7" s="60"/>
      <c r="KR7" s="60"/>
      <c r="KS7" s="60"/>
      <c r="KT7" s="60"/>
      <c r="KU7" s="60"/>
      <c r="KV7" s="60"/>
      <c r="KW7" s="60"/>
      <c r="KX7" s="60"/>
      <c r="KY7" s="13" t="str">
        <f t="shared" si="97"/>
        <v/>
      </c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62"/>
      <c r="LF7" s="62"/>
      <c r="LG7" s="62"/>
      <c r="LH7" s="62"/>
      <c r="LI7" s="62"/>
      <c r="LJ7" s="62"/>
      <c r="LK7" s="62"/>
      <c r="LL7" s="62"/>
      <c r="LM7" s="62"/>
      <c r="LN7" s="62"/>
      <c r="LO7" s="62"/>
      <c r="LP7" s="62"/>
      <c r="LQ7" s="62"/>
      <c r="LR7" s="62"/>
      <c r="LS7" s="62"/>
      <c r="LT7" s="17" t="str">
        <f t="shared" si="103"/>
        <v/>
      </c>
      <c r="LU7" s="17" t="str">
        <f t="shared" si="104"/>
        <v/>
      </c>
      <c r="LV7" s="17" t="str">
        <f t="shared" si="105"/>
        <v/>
      </c>
      <c r="LW7" s="17" t="str">
        <f t="shared" si="106"/>
        <v/>
      </c>
      <c r="LX7" s="17" t="str">
        <f t="shared" si="107"/>
        <v/>
      </c>
      <c r="LY7" s="17" t="str">
        <f t="shared" si="108"/>
        <v/>
      </c>
    </row>
    <row r="8" spans="1:337" x14ac:dyDescent="0.2">
      <c r="A8" s="6">
        <f t="shared" ca="1" si="0"/>
        <v>5</v>
      </c>
      <c r="B8" s="9" t="s">
        <v>51</v>
      </c>
      <c r="C8" s="5" t="s">
        <v>4</v>
      </c>
      <c r="D8" s="46">
        <v>2016</v>
      </c>
      <c r="E8" s="18">
        <f t="shared" si="1"/>
        <v>253.8</v>
      </c>
      <c r="F8" s="4" t="str">
        <f t="shared" si="2"/>
        <v>P</v>
      </c>
      <c r="G8" s="4" t="str">
        <f t="shared" ca="1" si="3"/>
        <v>P</v>
      </c>
      <c r="H8" t="str">
        <f t="shared" ca="1" si="4"/>
        <v>Funding</v>
      </c>
      <c r="I8" s="17">
        <f t="shared" si="5"/>
        <v>101.21</v>
      </c>
      <c r="J8" s="17" t="str">
        <f t="shared" si="6"/>
        <v>2017 3rd Domestic Trial</v>
      </c>
      <c r="K8" s="17">
        <f t="shared" si="7"/>
        <v>44.85</v>
      </c>
      <c r="L8" s="17" t="str">
        <f t="shared" si="8"/>
        <v>2017 Canada Cup</v>
      </c>
      <c r="M8" s="17">
        <f t="shared" si="9"/>
        <v>32.265000000000001</v>
      </c>
      <c r="N8" s="17" t="str">
        <f t="shared" si="10"/>
        <v>2017 Nationals</v>
      </c>
      <c r="O8" s="17">
        <f t="shared" si="11"/>
        <v>53.835000000000001</v>
      </c>
      <c r="P8" s="17" t="str">
        <f t="shared" si="12"/>
        <v>2017 3rd Domestic Trial</v>
      </c>
      <c r="Q8" s="17">
        <f t="shared" si="13"/>
        <v>21.640000000000008</v>
      </c>
      <c r="R8" s="44" t="str">
        <f t="shared" si="14"/>
        <v>(Vol 2)</v>
      </c>
      <c r="S8" s="17" t="str">
        <f t="shared" si="15"/>
        <v>2017 World Cup BLR (Aug)</v>
      </c>
      <c r="T8" s="60">
        <v>16.3</v>
      </c>
      <c r="U8" s="60">
        <v>8.5</v>
      </c>
      <c r="V8" s="60">
        <v>4.9000000000000004</v>
      </c>
      <c r="W8" s="60">
        <v>15.15</v>
      </c>
      <c r="X8" s="60">
        <v>0</v>
      </c>
      <c r="Y8" s="60">
        <v>3.4</v>
      </c>
      <c r="Z8" s="60">
        <v>1.7</v>
      </c>
      <c r="AA8" s="60">
        <v>3</v>
      </c>
      <c r="AB8" s="60">
        <v>3.165</v>
      </c>
      <c r="AC8" s="60">
        <v>0</v>
      </c>
      <c r="AD8" s="60"/>
      <c r="AE8" s="60"/>
      <c r="AF8" s="60"/>
      <c r="AG8" s="60"/>
      <c r="AH8" s="60"/>
      <c r="AI8" s="13">
        <f t="shared" si="16"/>
        <v>7.9</v>
      </c>
      <c r="AJ8" s="13">
        <f t="shared" si="17"/>
        <v>44.85</v>
      </c>
      <c r="AK8" s="13">
        <f t="shared" si="18"/>
        <v>11.265000000000001</v>
      </c>
      <c r="AL8" s="13">
        <f t="shared" si="19"/>
        <v>56.115000000000002</v>
      </c>
      <c r="AM8" s="13" t="str">
        <f t="shared" si="20"/>
        <v/>
      </c>
      <c r="AN8" s="13">
        <f t="shared" si="21"/>
        <v>56.115000000000002</v>
      </c>
      <c r="AO8" s="62">
        <v>1.8</v>
      </c>
      <c r="AP8" s="62">
        <v>0.9</v>
      </c>
      <c r="AQ8" s="62">
        <v>1.5</v>
      </c>
      <c r="AR8" s="62">
        <v>1.585</v>
      </c>
      <c r="AS8" s="62">
        <v>0</v>
      </c>
      <c r="AT8" s="62">
        <v>10</v>
      </c>
      <c r="AU8" s="62">
        <v>5.3</v>
      </c>
      <c r="AV8" s="62">
        <v>7.7</v>
      </c>
      <c r="AW8" s="62">
        <v>9.2650000000000006</v>
      </c>
      <c r="AX8" s="62">
        <v>0</v>
      </c>
      <c r="AY8" s="62"/>
      <c r="AZ8" s="62"/>
      <c r="BA8" s="62"/>
      <c r="BB8" s="62"/>
      <c r="BC8" s="62"/>
      <c r="BD8" s="17">
        <f t="shared" si="22"/>
        <v>9.1999999999999993</v>
      </c>
      <c r="BE8" s="17">
        <f t="shared" si="23"/>
        <v>5.7850000000000001</v>
      </c>
      <c r="BF8" s="17">
        <f t="shared" si="24"/>
        <v>32.265000000000001</v>
      </c>
      <c r="BG8" s="17">
        <f t="shared" si="25"/>
        <v>38.049999999999997</v>
      </c>
      <c r="BH8" s="17" t="str">
        <f t="shared" si="26"/>
        <v/>
      </c>
      <c r="BI8" s="17">
        <f t="shared" si="27"/>
        <v>38.049999999999997</v>
      </c>
      <c r="BJ8" s="60">
        <v>16.7</v>
      </c>
      <c r="BK8" s="60">
        <v>9.1</v>
      </c>
      <c r="BL8" s="60">
        <v>5.8</v>
      </c>
      <c r="BM8" s="60">
        <v>15.475</v>
      </c>
      <c r="BN8" s="60">
        <v>0</v>
      </c>
      <c r="BO8" s="60">
        <v>15.9</v>
      </c>
      <c r="BP8" s="60">
        <v>9.3000000000000007</v>
      </c>
      <c r="BQ8" s="60">
        <v>13.8</v>
      </c>
      <c r="BR8" s="60">
        <v>15.135</v>
      </c>
      <c r="BS8" s="60">
        <v>0</v>
      </c>
      <c r="BT8" s="60">
        <v>16.100000000000001</v>
      </c>
      <c r="BU8" s="60">
        <v>9.1</v>
      </c>
      <c r="BV8" s="60">
        <v>13.8</v>
      </c>
      <c r="BW8" s="60">
        <v>14.835000000000001</v>
      </c>
      <c r="BX8" s="60">
        <v>0</v>
      </c>
      <c r="BY8" s="13">
        <f t="shared" si="28"/>
        <v>19.600000000000001</v>
      </c>
      <c r="BZ8" s="13">
        <f t="shared" si="29"/>
        <v>47.074999999999996</v>
      </c>
      <c r="CA8" s="13">
        <f t="shared" si="30"/>
        <v>54.134999999999998</v>
      </c>
      <c r="CB8" s="13">
        <f t="shared" si="31"/>
        <v>101.21</v>
      </c>
      <c r="CC8" s="13">
        <f t="shared" si="32"/>
        <v>53.835000000000001</v>
      </c>
      <c r="CD8" s="13">
        <f t="shared" si="33"/>
        <v>155.04499999999999</v>
      </c>
      <c r="CE8" s="43">
        <f t="shared" si="34"/>
        <v>2.5999999999999943</v>
      </c>
      <c r="CF8" s="43">
        <f t="shared" si="35"/>
        <v>21.640000000000008</v>
      </c>
      <c r="CG8" s="43" t="str">
        <f t="shared" si="36"/>
        <v/>
      </c>
      <c r="CH8" s="60">
        <v>26.7</v>
      </c>
      <c r="CI8" s="60">
        <v>0</v>
      </c>
      <c r="CJ8" s="60">
        <v>2.2000000000000002</v>
      </c>
      <c r="CK8" s="60">
        <v>16.14</v>
      </c>
      <c r="CL8" s="60">
        <v>0</v>
      </c>
      <c r="CM8" s="60">
        <v>22</v>
      </c>
      <c r="CN8" s="60">
        <v>0</v>
      </c>
      <c r="CO8" s="60">
        <v>13.8</v>
      </c>
      <c r="CP8" s="60">
        <v>15.25</v>
      </c>
      <c r="CQ8" s="60">
        <v>0</v>
      </c>
      <c r="CR8" s="60"/>
      <c r="CS8" s="60"/>
      <c r="CT8" s="60"/>
      <c r="CU8" s="60"/>
      <c r="CV8" s="60"/>
      <c r="CW8" s="13">
        <f t="shared" si="37"/>
        <v>16</v>
      </c>
      <c r="CX8" s="13">
        <f t="shared" si="38"/>
        <v>45.04</v>
      </c>
      <c r="CY8" s="13">
        <f t="shared" si="39"/>
        <v>51.05</v>
      </c>
      <c r="CZ8" s="13">
        <f t="shared" si="40"/>
        <v>96.09</v>
      </c>
      <c r="DA8" s="13" t="str">
        <f t="shared" si="41"/>
        <v/>
      </c>
      <c r="DB8" s="13">
        <f t="shared" si="42"/>
        <v>96.09</v>
      </c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>
        <v>21.3</v>
      </c>
      <c r="DN8" s="62">
        <v>0</v>
      </c>
      <c r="DO8" s="62">
        <v>13.8</v>
      </c>
      <c r="DP8" s="62">
        <v>15.045</v>
      </c>
      <c r="DQ8" s="62">
        <v>0</v>
      </c>
      <c r="DR8" s="17" t="str">
        <f t="shared" si="43"/>
        <v/>
      </c>
      <c r="DS8" s="17" t="str">
        <f t="shared" si="44"/>
        <v/>
      </c>
      <c r="DT8" s="17" t="str">
        <f t="shared" si="45"/>
        <v/>
      </c>
      <c r="DU8" s="17" t="str">
        <f t="shared" si="46"/>
        <v/>
      </c>
      <c r="DV8" s="17">
        <f t="shared" si="47"/>
        <v>50.145000000000003</v>
      </c>
      <c r="DW8" s="17">
        <f t="shared" si="48"/>
        <v>50.145000000000003</v>
      </c>
      <c r="DX8" s="60">
        <v>17.399999999999999</v>
      </c>
      <c r="DY8" s="60">
        <v>9.75</v>
      </c>
      <c r="DZ8" s="60">
        <v>4.9000000000000004</v>
      </c>
      <c r="EA8" s="60">
        <v>15.4</v>
      </c>
      <c r="EB8" s="60">
        <v>0</v>
      </c>
      <c r="EC8" s="60">
        <v>14.3</v>
      </c>
      <c r="ED8" s="60">
        <v>9.1999999999999993</v>
      </c>
      <c r="EE8" s="60">
        <v>13.8</v>
      </c>
      <c r="EF8" s="60">
        <v>14.56</v>
      </c>
      <c r="EG8" s="60">
        <v>0</v>
      </c>
      <c r="EH8" s="60">
        <v>14.3</v>
      </c>
      <c r="EI8" s="60">
        <v>9.0500000000000007</v>
      </c>
      <c r="EJ8" s="60">
        <v>13.6</v>
      </c>
      <c r="EK8" s="60">
        <v>14.625</v>
      </c>
      <c r="EL8" s="60">
        <v>0</v>
      </c>
      <c r="EM8" s="13">
        <f t="shared" si="49"/>
        <v>18.700000000000003</v>
      </c>
      <c r="EN8" s="13">
        <f t="shared" si="50"/>
        <v>47.449999999999996</v>
      </c>
      <c r="EO8" s="13">
        <f t="shared" si="51"/>
        <v>51.86</v>
      </c>
      <c r="EP8" s="13">
        <f t="shared" si="52"/>
        <v>99.31</v>
      </c>
      <c r="EQ8" s="13">
        <f t="shared" si="53"/>
        <v>51.575000000000003</v>
      </c>
      <c r="ER8" s="13">
        <f t="shared" si="54"/>
        <v>150.88499999999999</v>
      </c>
      <c r="ES8" s="62">
        <v>4.8</v>
      </c>
      <c r="ET8" s="62">
        <v>2.7</v>
      </c>
      <c r="EU8" s="62">
        <v>1.7</v>
      </c>
      <c r="EV8" s="62">
        <v>4.6050000000000004</v>
      </c>
      <c r="EW8" s="62">
        <v>0</v>
      </c>
      <c r="EX8" s="62">
        <v>16</v>
      </c>
      <c r="EY8" s="62">
        <v>9.1</v>
      </c>
      <c r="EZ8" s="62">
        <v>13.8</v>
      </c>
      <c r="FA8" s="62">
        <v>15.005000000000001</v>
      </c>
      <c r="FB8" s="62">
        <v>0</v>
      </c>
      <c r="FC8" s="62"/>
      <c r="FD8" s="62"/>
      <c r="FE8" s="62"/>
      <c r="FF8" s="62"/>
      <c r="FG8" s="62"/>
      <c r="FH8" s="17">
        <f t="shared" si="55"/>
        <v>15.5</v>
      </c>
      <c r="FI8" s="17">
        <f t="shared" si="56"/>
        <v>13.805</v>
      </c>
      <c r="FJ8" s="17">
        <f t="shared" si="57"/>
        <v>53.905000000000008</v>
      </c>
      <c r="FK8" s="17">
        <f t="shared" si="58"/>
        <v>67.710000000000008</v>
      </c>
      <c r="FL8" s="17" t="str">
        <f t="shared" si="59"/>
        <v/>
      </c>
      <c r="FM8" s="17">
        <f t="shared" si="60"/>
        <v>67.710000000000008</v>
      </c>
      <c r="FN8" s="60">
        <v>14.2</v>
      </c>
      <c r="FO8" s="60">
        <v>9.4499999999999993</v>
      </c>
      <c r="FP8" s="60">
        <v>5.8</v>
      </c>
      <c r="FQ8" s="60">
        <v>15.195</v>
      </c>
      <c r="FR8" s="60">
        <v>0</v>
      </c>
      <c r="FS8" s="60">
        <v>14.2</v>
      </c>
      <c r="FT8" s="60">
        <v>8.8000000000000007</v>
      </c>
      <c r="FU8" s="60">
        <v>13.8</v>
      </c>
      <c r="FV8" s="60">
        <v>14.765000000000001</v>
      </c>
      <c r="FW8" s="60">
        <v>0</v>
      </c>
      <c r="FX8" s="60"/>
      <c r="FY8" s="60"/>
      <c r="FZ8" s="60"/>
      <c r="GA8" s="60"/>
      <c r="GB8" s="60"/>
      <c r="GC8" s="13">
        <f t="shared" si="61"/>
        <v>19.600000000000001</v>
      </c>
      <c r="GD8" s="13">
        <f t="shared" si="62"/>
        <v>44.644999999999996</v>
      </c>
      <c r="GE8" s="13">
        <f t="shared" si="63"/>
        <v>51.564999999999998</v>
      </c>
      <c r="GF8" s="13">
        <f t="shared" si="64"/>
        <v>96.21</v>
      </c>
      <c r="GG8" s="13" t="str">
        <f t="shared" si="65"/>
        <v/>
      </c>
      <c r="GH8" s="13">
        <f t="shared" si="66"/>
        <v>96.21</v>
      </c>
      <c r="GI8" s="62"/>
      <c r="GJ8" s="62"/>
      <c r="GK8" s="62"/>
      <c r="GL8" s="62"/>
      <c r="GM8" s="62"/>
      <c r="GN8" s="62"/>
      <c r="GO8" s="62"/>
      <c r="GP8" s="62"/>
      <c r="GQ8" s="62"/>
      <c r="GR8" s="62"/>
      <c r="GS8" s="62"/>
      <c r="GT8" s="62"/>
      <c r="GU8" s="62"/>
      <c r="GV8" s="62"/>
      <c r="GW8" s="62"/>
      <c r="GX8" s="17" t="str">
        <f t="shared" si="67"/>
        <v/>
      </c>
      <c r="GY8" s="17" t="str">
        <f t="shared" si="68"/>
        <v/>
      </c>
      <c r="GZ8" s="17" t="str">
        <f t="shared" si="69"/>
        <v/>
      </c>
      <c r="HA8" s="17" t="str">
        <f t="shared" si="70"/>
        <v/>
      </c>
      <c r="HB8" s="17" t="str">
        <f t="shared" si="71"/>
        <v/>
      </c>
      <c r="HC8" s="17" t="str">
        <f t="shared" si="72"/>
        <v/>
      </c>
      <c r="HD8" s="60"/>
      <c r="HE8" s="60"/>
      <c r="HF8" s="60"/>
      <c r="HG8" s="60"/>
      <c r="HH8" s="60"/>
      <c r="HI8" s="60"/>
      <c r="HJ8" s="60"/>
      <c r="HK8" s="60"/>
      <c r="HL8" s="60"/>
      <c r="HM8" s="60"/>
      <c r="HN8" s="60"/>
      <c r="HO8" s="60"/>
      <c r="HP8" s="60"/>
      <c r="HQ8" s="60"/>
      <c r="HR8" s="60"/>
      <c r="HS8" s="13" t="str">
        <f t="shared" si="73"/>
        <v/>
      </c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62"/>
      <c r="HZ8" s="62"/>
      <c r="IA8" s="62"/>
      <c r="IB8" s="62"/>
      <c r="IC8" s="62"/>
      <c r="ID8" s="62"/>
      <c r="IE8" s="62"/>
      <c r="IF8" s="62"/>
      <c r="IG8" s="62"/>
      <c r="IH8" s="62"/>
      <c r="II8" s="62"/>
      <c r="IJ8" s="62"/>
      <c r="IK8" s="62"/>
      <c r="IL8" s="62"/>
      <c r="IM8" s="62"/>
      <c r="IN8" s="17" t="str">
        <f t="shared" si="79"/>
        <v/>
      </c>
      <c r="IO8" s="17" t="str">
        <f t="shared" si="80"/>
        <v/>
      </c>
      <c r="IP8" s="17" t="str">
        <f t="shared" si="81"/>
        <v/>
      </c>
      <c r="IQ8" s="17" t="str">
        <f t="shared" si="82"/>
        <v/>
      </c>
      <c r="IR8" s="17" t="str">
        <f t="shared" si="83"/>
        <v/>
      </c>
      <c r="IS8" s="17" t="str">
        <f t="shared" si="84"/>
        <v/>
      </c>
      <c r="IT8" s="60"/>
      <c r="IU8" s="60"/>
      <c r="IV8" s="60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13" t="str">
        <f t="shared" si="85"/>
        <v/>
      </c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62">
        <v>17.899999999999999</v>
      </c>
      <c r="JP8" s="62">
        <v>9</v>
      </c>
      <c r="JQ8" s="62">
        <v>0</v>
      </c>
      <c r="JR8" s="62">
        <v>16.125</v>
      </c>
      <c r="JS8" s="62">
        <v>0</v>
      </c>
      <c r="JT8" s="62">
        <v>14.8</v>
      </c>
      <c r="JU8" s="62">
        <v>9.5</v>
      </c>
      <c r="JV8" s="62">
        <v>13.6</v>
      </c>
      <c r="JW8" s="62">
        <v>15.145</v>
      </c>
      <c r="JX8" s="62">
        <v>0</v>
      </c>
      <c r="JY8" s="62">
        <v>13.9</v>
      </c>
      <c r="JZ8" s="62">
        <v>8.8000000000000007</v>
      </c>
      <c r="KA8" s="62">
        <v>13.6</v>
      </c>
      <c r="KB8" s="62">
        <v>14.92</v>
      </c>
      <c r="KC8" s="62">
        <v>0</v>
      </c>
      <c r="KD8" s="17">
        <f t="shared" si="91"/>
        <v>13.6</v>
      </c>
      <c r="KE8" s="17">
        <f t="shared" si="92"/>
        <v>43.024999999999999</v>
      </c>
      <c r="KF8" s="17">
        <f t="shared" si="93"/>
        <v>53.045000000000002</v>
      </c>
      <c r="KG8" s="17">
        <f t="shared" si="94"/>
        <v>96.07</v>
      </c>
      <c r="KH8" s="17">
        <f t="shared" si="95"/>
        <v>51.220000000000006</v>
      </c>
      <c r="KI8" s="17">
        <f t="shared" si="96"/>
        <v>147.29</v>
      </c>
      <c r="KJ8" s="60"/>
      <c r="KK8" s="60"/>
      <c r="KL8" s="60"/>
      <c r="KM8" s="60"/>
      <c r="KN8" s="60"/>
      <c r="KO8" s="60"/>
      <c r="KP8" s="60"/>
      <c r="KQ8" s="60"/>
      <c r="KR8" s="60"/>
      <c r="KS8" s="60"/>
      <c r="KT8" s="60"/>
      <c r="KU8" s="60"/>
      <c r="KV8" s="60"/>
      <c r="KW8" s="60"/>
      <c r="KX8" s="60"/>
      <c r="KY8" s="13" t="str">
        <f t="shared" si="97"/>
        <v/>
      </c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62"/>
      <c r="LF8" s="62"/>
      <c r="LG8" s="62"/>
      <c r="LH8" s="62"/>
      <c r="LI8" s="62"/>
      <c r="LJ8" s="62"/>
      <c r="LK8" s="62"/>
      <c r="LL8" s="62"/>
      <c r="LM8" s="62"/>
      <c r="LN8" s="62"/>
      <c r="LO8" s="62"/>
      <c r="LP8" s="62"/>
      <c r="LQ8" s="62"/>
      <c r="LR8" s="62"/>
      <c r="LS8" s="62"/>
      <c r="LT8" s="17" t="str">
        <f t="shared" si="103"/>
        <v/>
      </c>
      <c r="LU8" s="17" t="str">
        <f t="shared" si="104"/>
        <v/>
      </c>
      <c r="LV8" s="17" t="str">
        <f t="shared" si="105"/>
        <v/>
      </c>
      <c r="LW8" s="17" t="str">
        <f t="shared" si="106"/>
        <v/>
      </c>
      <c r="LX8" s="17" t="str">
        <f t="shared" si="107"/>
        <v/>
      </c>
      <c r="LY8" s="17" t="str">
        <f t="shared" si="108"/>
        <v/>
      </c>
    </row>
    <row r="9" spans="1:337" x14ac:dyDescent="0.2">
      <c r="A9" s="6">
        <f t="shared" ca="1" si="0"/>
        <v>6</v>
      </c>
      <c r="B9" s="7" t="s">
        <v>52</v>
      </c>
      <c r="C9" s="8" t="s">
        <v>4</v>
      </c>
      <c r="D9" s="6">
        <v>2004</v>
      </c>
      <c r="E9" s="18">
        <f t="shared" si="1"/>
        <v>237.995</v>
      </c>
      <c r="F9" s="4" t="str">
        <f t="shared" si="2"/>
        <v>P</v>
      </c>
      <c r="G9" s="4" t="str">
        <f t="shared" ca="1" si="3"/>
        <v>P</v>
      </c>
      <c r="H9" t="str">
        <f t="shared" ca="1" si="4"/>
        <v>Merit</v>
      </c>
      <c r="I9" s="17">
        <f t="shared" si="5"/>
        <v>106.01499999999999</v>
      </c>
      <c r="J9" s="17" t="str">
        <f t="shared" si="6"/>
        <v>2017 Nationals</v>
      </c>
      <c r="K9" s="17">
        <f t="shared" si="7"/>
        <v>24.49</v>
      </c>
      <c r="L9" s="17" t="str">
        <f t="shared" si="8"/>
        <v>2017 3rd Domestic Trial</v>
      </c>
      <c r="M9" s="17">
        <f t="shared" si="9"/>
        <v>28.518000000000001</v>
      </c>
      <c r="N9" s="17" t="str">
        <f t="shared" si="10"/>
        <v>2017 3rd Domestic Trial</v>
      </c>
      <c r="O9" s="17">
        <f t="shared" si="11"/>
        <v>52.72</v>
      </c>
      <c r="P9" s="17" t="str">
        <f t="shared" si="12"/>
        <v>2017 Nationals</v>
      </c>
      <c r="Q9" s="17">
        <f t="shared" si="13"/>
        <v>26.252000000000002</v>
      </c>
      <c r="R9" s="44" t="str">
        <f t="shared" si="14"/>
        <v>(Vol 2)</v>
      </c>
      <c r="S9" s="17" t="str">
        <f t="shared" si="15"/>
        <v>2017 World Cup ESP (Oct)</v>
      </c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13" t="str">
        <f t="shared" si="16"/>
        <v/>
      </c>
      <c r="AJ9" s="13" t="str">
        <f t="shared" si="17"/>
        <v/>
      </c>
      <c r="AK9" s="13" t="str">
        <f t="shared" si="18"/>
        <v/>
      </c>
      <c r="AL9" s="13" t="str">
        <f t="shared" si="19"/>
        <v/>
      </c>
      <c r="AM9" s="13" t="str">
        <f t="shared" si="20"/>
        <v/>
      </c>
      <c r="AN9" s="13" t="str">
        <f t="shared" si="21"/>
        <v/>
      </c>
      <c r="AO9" s="62">
        <v>18.8</v>
      </c>
      <c r="AP9" s="62">
        <v>9.1999999999999993</v>
      </c>
      <c r="AQ9" s="62">
        <v>4.3</v>
      </c>
      <c r="AR9" s="62">
        <v>16.68</v>
      </c>
      <c r="AS9" s="62">
        <v>0</v>
      </c>
      <c r="AT9" s="62">
        <v>17.2</v>
      </c>
      <c r="AU9" s="62">
        <v>9.5</v>
      </c>
      <c r="AV9" s="62">
        <v>14.6</v>
      </c>
      <c r="AW9" s="62">
        <v>15.734999999999999</v>
      </c>
      <c r="AX9" s="62">
        <v>0</v>
      </c>
      <c r="AY9" s="62">
        <v>15.1</v>
      </c>
      <c r="AZ9" s="62">
        <v>8.5</v>
      </c>
      <c r="BA9" s="62">
        <v>14.2</v>
      </c>
      <c r="BB9" s="62">
        <v>14.92</v>
      </c>
      <c r="BC9" s="62">
        <v>0</v>
      </c>
      <c r="BD9" s="17">
        <f t="shared" si="22"/>
        <v>18.899999999999999</v>
      </c>
      <c r="BE9" s="17">
        <f t="shared" si="23"/>
        <v>48.98</v>
      </c>
      <c r="BF9" s="17">
        <f t="shared" si="24"/>
        <v>57.034999999999997</v>
      </c>
      <c r="BG9" s="17">
        <f t="shared" si="25"/>
        <v>106.01499999999999</v>
      </c>
      <c r="BH9" s="17">
        <f t="shared" si="26"/>
        <v>52.72</v>
      </c>
      <c r="BI9" s="17">
        <f t="shared" si="27"/>
        <v>158.73499999999999</v>
      </c>
      <c r="BJ9" s="75">
        <v>24.49</v>
      </c>
      <c r="BK9" s="75">
        <v>0</v>
      </c>
      <c r="BL9" s="75">
        <v>0</v>
      </c>
      <c r="BM9" s="75">
        <v>0</v>
      </c>
      <c r="BN9" s="75">
        <v>0</v>
      </c>
      <c r="BO9" s="75">
        <v>28.518000000000001</v>
      </c>
      <c r="BP9" s="75">
        <v>0</v>
      </c>
      <c r="BQ9" s="75">
        <v>0</v>
      </c>
      <c r="BR9" s="75">
        <v>0</v>
      </c>
      <c r="BS9" s="75">
        <v>0</v>
      </c>
      <c r="BT9" s="75">
        <v>26.36</v>
      </c>
      <c r="BU9" s="75">
        <v>0</v>
      </c>
      <c r="BV9" s="75">
        <v>0</v>
      </c>
      <c r="BW9" s="75">
        <v>0</v>
      </c>
      <c r="BX9" s="75">
        <v>0</v>
      </c>
      <c r="BY9" s="13" t="str">
        <f t="shared" si="28"/>
        <v/>
      </c>
      <c r="BZ9" s="13">
        <f t="shared" si="29"/>
        <v>24.49</v>
      </c>
      <c r="CA9" s="13">
        <f t="shared" si="30"/>
        <v>28.518000000000001</v>
      </c>
      <c r="CB9" s="13">
        <f t="shared" si="31"/>
        <v>53.007999999999996</v>
      </c>
      <c r="CC9" s="13">
        <f t="shared" si="32"/>
        <v>26.36</v>
      </c>
      <c r="CD9" s="13">
        <f t="shared" si="33"/>
        <v>79.367999999999995</v>
      </c>
      <c r="CE9" s="43">
        <f t="shared" si="34"/>
        <v>24.27</v>
      </c>
      <c r="CF9" s="43">
        <f t="shared" si="35"/>
        <v>26.252000000000002</v>
      </c>
      <c r="CG9" s="43" t="str">
        <f t="shared" si="36"/>
        <v/>
      </c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13" t="str">
        <f t="shared" si="37"/>
        <v/>
      </c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17" t="str">
        <f t="shared" si="43"/>
        <v/>
      </c>
      <c r="DS9" s="17" t="str">
        <f t="shared" si="44"/>
        <v/>
      </c>
      <c r="DT9" s="17" t="str">
        <f t="shared" si="45"/>
        <v/>
      </c>
      <c r="DU9" s="17" t="str">
        <f t="shared" si="46"/>
        <v/>
      </c>
      <c r="DV9" s="17" t="str">
        <f t="shared" si="47"/>
        <v/>
      </c>
      <c r="DW9" s="17" t="str">
        <f t="shared" si="48"/>
        <v/>
      </c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13" t="str">
        <f t="shared" si="49"/>
        <v/>
      </c>
      <c r="EN9" s="13" t="str">
        <f t="shared" si="50"/>
        <v/>
      </c>
      <c r="EO9" s="13" t="str">
        <f t="shared" si="51"/>
        <v/>
      </c>
      <c r="EP9" s="13" t="str">
        <f t="shared" si="52"/>
        <v/>
      </c>
      <c r="EQ9" s="13" t="str">
        <f t="shared" si="53"/>
        <v/>
      </c>
      <c r="ER9" s="13" t="str">
        <f t="shared" si="54"/>
        <v/>
      </c>
      <c r="ES9" s="62"/>
      <c r="ET9" s="62"/>
      <c r="EU9" s="62"/>
      <c r="EV9" s="62"/>
      <c r="EW9" s="62"/>
      <c r="EX9" s="62"/>
      <c r="EY9" s="62"/>
      <c r="EZ9" s="62"/>
      <c r="FA9" s="62"/>
      <c r="FB9" s="62"/>
      <c r="FC9" s="62"/>
      <c r="FD9" s="62"/>
      <c r="FE9" s="62"/>
      <c r="FF9" s="62"/>
      <c r="FG9" s="62"/>
      <c r="FH9" s="17" t="str">
        <f t="shared" si="55"/>
        <v/>
      </c>
      <c r="FI9" s="17" t="str">
        <f t="shared" si="56"/>
        <v/>
      </c>
      <c r="FJ9" s="17" t="str">
        <f t="shared" si="57"/>
        <v/>
      </c>
      <c r="FK9" s="17" t="str">
        <f t="shared" si="58"/>
        <v/>
      </c>
      <c r="FL9" s="17" t="str">
        <f t="shared" si="59"/>
        <v/>
      </c>
      <c r="FM9" s="17" t="str">
        <f t="shared" si="60"/>
        <v/>
      </c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13" t="str">
        <f t="shared" si="61"/>
        <v/>
      </c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62">
        <v>18.399999999999999</v>
      </c>
      <c r="GJ9" s="62">
        <v>9.4499999999999993</v>
      </c>
      <c r="GK9" s="62">
        <v>4.3</v>
      </c>
      <c r="GL9" s="62">
        <v>16.61</v>
      </c>
      <c r="GM9" s="62">
        <v>0</v>
      </c>
      <c r="GN9" s="62">
        <v>15.8</v>
      </c>
      <c r="GO9" s="62">
        <v>8.65</v>
      </c>
      <c r="GP9" s="62">
        <v>14.6</v>
      </c>
      <c r="GQ9" s="62">
        <v>15.72</v>
      </c>
      <c r="GR9" s="62">
        <v>0</v>
      </c>
      <c r="GS9" s="62"/>
      <c r="GT9" s="62"/>
      <c r="GU9" s="62"/>
      <c r="GV9" s="62"/>
      <c r="GW9" s="62"/>
      <c r="GX9" s="17">
        <f t="shared" si="67"/>
        <v>18.899999999999999</v>
      </c>
      <c r="GY9" s="17">
        <f t="shared" si="68"/>
        <v>48.76</v>
      </c>
      <c r="GZ9" s="17">
        <f t="shared" si="69"/>
        <v>54.77</v>
      </c>
      <c r="HA9" s="17">
        <f t="shared" si="70"/>
        <v>103.53</v>
      </c>
      <c r="HB9" s="17" t="str">
        <f t="shared" si="71"/>
        <v/>
      </c>
      <c r="HC9" s="17">
        <f t="shared" si="72"/>
        <v>103.53</v>
      </c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13" t="str">
        <f t="shared" si="73"/>
        <v/>
      </c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62"/>
      <c r="HZ9" s="62"/>
      <c r="IA9" s="62"/>
      <c r="IB9" s="62"/>
      <c r="IC9" s="62"/>
      <c r="ID9" s="62"/>
      <c r="IE9" s="62"/>
      <c r="IF9" s="62"/>
      <c r="IG9" s="62"/>
      <c r="IH9" s="62"/>
      <c r="II9" s="62"/>
      <c r="IJ9" s="62"/>
      <c r="IK9" s="62"/>
      <c r="IL9" s="62"/>
      <c r="IM9" s="62"/>
      <c r="IN9" s="17" t="str">
        <f t="shared" si="79"/>
        <v/>
      </c>
      <c r="IO9" s="17" t="str">
        <f t="shared" si="80"/>
        <v/>
      </c>
      <c r="IP9" s="17" t="str">
        <f t="shared" si="81"/>
        <v/>
      </c>
      <c r="IQ9" s="17" t="str">
        <f t="shared" si="82"/>
        <v/>
      </c>
      <c r="IR9" s="17" t="str">
        <f t="shared" si="83"/>
        <v/>
      </c>
      <c r="IS9" s="17" t="str">
        <f t="shared" si="84"/>
        <v/>
      </c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13" t="str">
        <f t="shared" si="85"/>
        <v/>
      </c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62"/>
      <c r="JP9" s="62"/>
      <c r="JQ9" s="62"/>
      <c r="JR9" s="62"/>
      <c r="JS9" s="62"/>
      <c r="JT9" s="62"/>
      <c r="JU9" s="62"/>
      <c r="JV9" s="62"/>
      <c r="JW9" s="62"/>
      <c r="JX9" s="62"/>
      <c r="JY9" s="62"/>
      <c r="JZ9" s="62"/>
      <c r="KA9" s="62"/>
      <c r="KB9" s="62"/>
      <c r="KC9" s="62"/>
      <c r="KD9" s="17" t="str">
        <f t="shared" si="91"/>
        <v/>
      </c>
      <c r="KE9" s="17" t="str">
        <f t="shared" si="92"/>
        <v/>
      </c>
      <c r="KF9" s="17" t="str">
        <f t="shared" si="93"/>
        <v/>
      </c>
      <c r="KG9" s="17" t="str">
        <f t="shared" si="94"/>
        <v/>
      </c>
      <c r="KH9" s="17" t="str">
        <f t="shared" si="95"/>
        <v/>
      </c>
      <c r="KI9" s="17" t="str">
        <f t="shared" si="96"/>
        <v/>
      </c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13" t="str">
        <f t="shared" si="97"/>
        <v/>
      </c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62"/>
      <c r="LF9" s="62"/>
      <c r="LG9" s="62"/>
      <c r="LH9" s="62"/>
      <c r="LI9" s="62"/>
      <c r="LJ9" s="62"/>
      <c r="LK9" s="62"/>
      <c r="LL9" s="62"/>
      <c r="LM9" s="62"/>
      <c r="LN9" s="62"/>
      <c r="LO9" s="62"/>
      <c r="LP9" s="62"/>
      <c r="LQ9" s="62"/>
      <c r="LR9" s="62"/>
      <c r="LS9" s="62"/>
      <c r="LT9" s="17" t="str">
        <f t="shared" si="103"/>
        <v/>
      </c>
      <c r="LU9" s="17" t="str">
        <f t="shared" si="104"/>
        <v/>
      </c>
      <c r="LV9" s="17" t="str">
        <f t="shared" si="105"/>
        <v/>
      </c>
      <c r="LW9" s="17" t="str">
        <f t="shared" si="106"/>
        <v/>
      </c>
      <c r="LX9" s="17" t="str">
        <f t="shared" si="107"/>
        <v/>
      </c>
      <c r="LY9" s="17" t="str">
        <f t="shared" si="108"/>
        <v/>
      </c>
    </row>
    <row r="10" spans="1:337" x14ac:dyDescent="0.2">
      <c r="A10" s="6" t="str">
        <f t="shared" ca="1" si="0"/>
        <v/>
      </c>
      <c r="B10" s="9" t="s">
        <v>56</v>
      </c>
      <c r="C10" s="5" t="s">
        <v>13</v>
      </c>
      <c r="D10" s="46">
        <v>2017</v>
      </c>
      <c r="E10" s="18">
        <f t="shared" si="1"/>
        <v>227.82</v>
      </c>
      <c r="F10" s="4" t="str">
        <f t="shared" si="2"/>
        <v/>
      </c>
      <c r="G10" s="4" t="str">
        <f t="shared" ca="1" si="3"/>
        <v/>
      </c>
      <c r="H10" t="str">
        <f t="shared" ca="1" si="4"/>
        <v/>
      </c>
      <c r="I10" s="17">
        <f t="shared" si="5"/>
        <v>92.075000000000003</v>
      </c>
      <c r="J10" s="17" t="str">
        <f t="shared" si="6"/>
        <v>2017 Nationals</v>
      </c>
      <c r="K10" s="17">
        <f t="shared" si="7"/>
        <v>44.08</v>
      </c>
      <c r="L10" s="17" t="str">
        <f t="shared" si="8"/>
        <v>2017 Canada Cup</v>
      </c>
      <c r="M10" s="17">
        <f t="shared" si="9"/>
        <v>46.875</v>
      </c>
      <c r="N10" s="17" t="str">
        <f t="shared" si="10"/>
        <v>2017 3rd Domestic Trial</v>
      </c>
      <c r="O10" s="17">
        <f t="shared" si="11"/>
        <v>44.79</v>
      </c>
      <c r="P10" s="17" t="str">
        <f t="shared" si="12"/>
        <v>2017 Nationals</v>
      </c>
      <c r="Q10" s="17" t="str">
        <f t="shared" si="13"/>
        <v/>
      </c>
      <c r="R10" s="44" t="str">
        <f t="shared" si="14"/>
        <v/>
      </c>
      <c r="S10" s="17" t="str">
        <f t="shared" si="15"/>
        <v/>
      </c>
      <c r="T10" s="60">
        <v>16.8</v>
      </c>
      <c r="U10" s="60">
        <v>9</v>
      </c>
      <c r="V10" s="60">
        <v>3.4</v>
      </c>
      <c r="W10" s="60">
        <v>14.88</v>
      </c>
      <c r="X10" s="60">
        <v>0</v>
      </c>
      <c r="Y10" s="60">
        <v>1.4</v>
      </c>
      <c r="Z10" s="60">
        <v>0.9</v>
      </c>
      <c r="AA10" s="60">
        <v>1.7</v>
      </c>
      <c r="AB10" s="60">
        <v>1.59</v>
      </c>
      <c r="AC10" s="60">
        <v>0</v>
      </c>
      <c r="AD10" s="60"/>
      <c r="AE10" s="60"/>
      <c r="AF10" s="60"/>
      <c r="AG10" s="60"/>
      <c r="AH10" s="60"/>
      <c r="AI10" s="13">
        <f t="shared" si="16"/>
        <v>5.0999999999999996</v>
      </c>
      <c r="AJ10" s="13">
        <f t="shared" si="17"/>
        <v>44.08</v>
      </c>
      <c r="AK10" s="13">
        <f t="shared" si="18"/>
        <v>5.59</v>
      </c>
      <c r="AL10" s="13">
        <f t="shared" si="19"/>
        <v>49.67</v>
      </c>
      <c r="AM10" s="13" t="str">
        <f t="shared" si="20"/>
        <v/>
      </c>
      <c r="AN10" s="13">
        <f t="shared" si="21"/>
        <v>49.67</v>
      </c>
      <c r="AO10" s="62">
        <v>16.100000000000001</v>
      </c>
      <c r="AP10" s="62">
        <v>9</v>
      </c>
      <c r="AQ10" s="62">
        <v>4.8</v>
      </c>
      <c r="AR10" s="62">
        <v>14.55</v>
      </c>
      <c r="AS10" s="62">
        <v>0</v>
      </c>
      <c r="AT10" s="62">
        <v>14.4</v>
      </c>
      <c r="AU10" s="62">
        <v>9.1999999999999993</v>
      </c>
      <c r="AV10" s="62">
        <v>10.4</v>
      </c>
      <c r="AW10" s="62">
        <v>13.625</v>
      </c>
      <c r="AX10" s="62">
        <v>0</v>
      </c>
      <c r="AY10" s="62">
        <v>13.4</v>
      </c>
      <c r="AZ10" s="62">
        <v>8</v>
      </c>
      <c r="BA10" s="62">
        <v>10.4</v>
      </c>
      <c r="BB10" s="62">
        <v>12.99</v>
      </c>
      <c r="BC10" s="62">
        <v>0</v>
      </c>
      <c r="BD10" s="17">
        <f t="shared" si="22"/>
        <v>15.2</v>
      </c>
      <c r="BE10" s="17">
        <f t="shared" si="23"/>
        <v>44.45</v>
      </c>
      <c r="BF10" s="17">
        <f t="shared" si="24"/>
        <v>47.625</v>
      </c>
      <c r="BG10" s="17">
        <f t="shared" si="25"/>
        <v>92.075000000000003</v>
      </c>
      <c r="BH10" s="17">
        <f t="shared" si="26"/>
        <v>44.79</v>
      </c>
      <c r="BI10" s="17">
        <f t="shared" si="27"/>
        <v>136.86500000000001</v>
      </c>
      <c r="BJ10" s="60">
        <v>1.4</v>
      </c>
      <c r="BK10" s="60">
        <v>1</v>
      </c>
      <c r="BL10" s="60">
        <v>2</v>
      </c>
      <c r="BM10" s="60">
        <v>1.5449999999999999</v>
      </c>
      <c r="BN10" s="60">
        <v>0</v>
      </c>
      <c r="BO10" s="60">
        <v>13.1</v>
      </c>
      <c r="BP10" s="60">
        <v>9.1999999999999993</v>
      </c>
      <c r="BQ10" s="60">
        <v>10.5</v>
      </c>
      <c r="BR10" s="60">
        <v>14.074999999999999</v>
      </c>
      <c r="BS10" s="60">
        <v>0</v>
      </c>
      <c r="BT10" s="60"/>
      <c r="BU10" s="60"/>
      <c r="BV10" s="60"/>
      <c r="BW10" s="60"/>
      <c r="BX10" s="60"/>
      <c r="BY10" s="13">
        <f t="shared" si="28"/>
        <v>12.5</v>
      </c>
      <c r="BZ10" s="13">
        <f t="shared" si="29"/>
        <v>5.9450000000000003</v>
      </c>
      <c r="CA10" s="13">
        <f t="shared" si="30"/>
        <v>46.875</v>
      </c>
      <c r="CB10" s="13">
        <f t="shared" si="31"/>
        <v>52.82</v>
      </c>
      <c r="CC10" s="13" t="str">
        <f t="shared" si="32"/>
        <v/>
      </c>
      <c r="CD10" s="13">
        <f t="shared" si="33"/>
        <v>52.82</v>
      </c>
      <c r="CE10" s="43" t="str">
        <f t="shared" si="34"/>
        <v/>
      </c>
      <c r="CF10" s="43" t="str">
        <f t="shared" si="35"/>
        <v/>
      </c>
      <c r="CG10" s="43" t="str">
        <f t="shared" si="36"/>
        <v/>
      </c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13" t="str">
        <f t="shared" si="37"/>
        <v/>
      </c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17" t="str">
        <f t="shared" si="43"/>
        <v/>
      </c>
      <c r="DS10" s="17" t="str">
        <f t="shared" si="44"/>
        <v/>
      </c>
      <c r="DT10" s="17" t="str">
        <f t="shared" si="45"/>
        <v/>
      </c>
      <c r="DU10" s="17" t="str">
        <f t="shared" si="46"/>
        <v/>
      </c>
      <c r="DV10" s="17" t="str">
        <f t="shared" si="47"/>
        <v/>
      </c>
      <c r="DW10" s="17" t="str">
        <f t="shared" si="48"/>
        <v/>
      </c>
      <c r="DX10" s="60"/>
      <c r="DY10" s="60"/>
      <c r="DZ10" s="60"/>
      <c r="EA10" s="60"/>
      <c r="EB10" s="60"/>
      <c r="EC10" s="60"/>
      <c r="ED10" s="60"/>
      <c r="EE10" s="60"/>
      <c r="EF10" s="60"/>
      <c r="EG10" s="60"/>
      <c r="EH10" s="60"/>
      <c r="EI10" s="60"/>
      <c r="EJ10" s="60"/>
      <c r="EK10" s="60"/>
      <c r="EL10" s="60"/>
      <c r="EM10" s="13" t="str">
        <f t="shared" si="49"/>
        <v/>
      </c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62"/>
      <c r="ET10" s="62"/>
      <c r="EU10" s="62"/>
      <c r="EV10" s="62"/>
      <c r="EW10" s="62"/>
      <c r="EX10" s="62"/>
      <c r="EY10" s="62"/>
      <c r="EZ10" s="62"/>
      <c r="FA10" s="62"/>
      <c r="FB10" s="62"/>
      <c r="FC10" s="62"/>
      <c r="FD10" s="62"/>
      <c r="FE10" s="62"/>
      <c r="FF10" s="62"/>
      <c r="FG10" s="62"/>
      <c r="FH10" s="17" t="str">
        <f t="shared" si="55"/>
        <v/>
      </c>
      <c r="FI10" s="17" t="str">
        <f t="shared" si="56"/>
        <v/>
      </c>
      <c r="FJ10" s="17" t="str">
        <f t="shared" si="57"/>
        <v/>
      </c>
      <c r="FK10" s="17" t="str">
        <f t="shared" si="58"/>
        <v/>
      </c>
      <c r="FL10" s="17" t="str">
        <f t="shared" si="59"/>
        <v/>
      </c>
      <c r="FM10" s="17" t="str">
        <f t="shared" si="60"/>
        <v/>
      </c>
      <c r="FN10" s="60"/>
      <c r="FO10" s="60"/>
      <c r="FP10" s="60"/>
      <c r="FQ10" s="60"/>
      <c r="FR10" s="60"/>
      <c r="FS10" s="60"/>
      <c r="FT10" s="60"/>
      <c r="FU10" s="60"/>
      <c r="FV10" s="60"/>
      <c r="FW10" s="60"/>
      <c r="FX10" s="60"/>
      <c r="FY10" s="60"/>
      <c r="FZ10" s="60"/>
      <c r="GA10" s="60"/>
      <c r="GB10" s="60"/>
      <c r="GC10" s="13" t="str">
        <f t="shared" si="61"/>
        <v/>
      </c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62"/>
      <c r="GJ10" s="62"/>
      <c r="GK10" s="62"/>
      <c r="GL10" s="62"/>
      <c r="GM10" s="62"/>
      <c r="GN10" s="62"/>
      <c r="GO10" s="62"/>
      <c r="GP10" s="62"/>
      <c r="GQ10" s="62"/>
      <c r="GR10" s="62"/>
      <c r="GS10" s="62"/>
      <c r="GT10" s="62"/>
      <c r="GU10" s="62"/>
      <c r="GV10" s="62"/>
      <c r="GW10" s="62"/>
      <c r="GX10" s="17" t="str">
        <f t="shared" si="67"/>
        <v/>
      </c>
      <c r="GY10" s="17" t="str">
        <f t="shared" si="68"/>
        <v/>
      </c>
      <c r="GZ10" s="17" t="str">
        <f t="shared" si="69"/>
        <v/>
      </c>
      <c r="HA10" s="17" t="str">
        <f t="shared" si="70"/>
        <v/>
      </c>
      <c r="HB10" s="17" t="str">
        <f t="shared" si="71"/>
        <v/>
      </c>
      <c r="HC10" s="17" t="str">
        <f t="shared" si="72"/>
        <v/>
      </c>
      <c r="HD10" s="60"/>
      <c r="HE10" s="60"/>
      <c r="HF10" s="60"/>
      <c r="HG10" s="60"/>
      <c r="HH10" s="60"/>
      <c r="HI10" s="60"/>
      <c r="HJ10" s="60"/>
      <c r="HK10" s="60"/>
      <c r="HL10" s="60"/>
      <c r="HM10" s="60"/>
      <c r="HN10" s="60"/>
      <c r="HO10" s="60"/>
      <c r="HP10" s="60"/>
      <c r="HQ10" s="60"/>
      <c r="HR10" s="60"/>
      <c r="HS10" s="13" t="str">
        <f t="shared" si="73"/>
        <v/>
      </c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62"/>
      <c r="HZ10" s="62"/>
      <c r="IA10" s="62"/>
      <c r="IB10" s="62"/>
      <c r="IC10" s="62"/>
      <c r="ID10" s="62"/>
      <c r="IE10" s="62"/>
      <c r="IF10" s="62"/>
      <c r="IG10" s="62"/>
      <c r="IH10" s="62"/>
      <c r="II10" s="62"/>
      <c r="IJ10" s="62"/>
      <c r="IK10" s="62"/>
      <c r="IL10" s="62"/>
      <c r="IM10" s="62"/>
      <c r="IN10" s="17" t="str">
        <f t="shared" si="79"/>
        <v/>
      </c>
      <c r="IO10" s="17" t="str">
        <f t="shared" si="80"/>
        <v/>
      </c>
      <c r="IP10" s="17" t="str">
        <f t="shared" si="81"/>
        <v/>
      </c>
      <c r="IQ10" s="17" t="str">
        <f t="shared" si="82"/>
        <v/>
      </c>
      <c r="IR10" s="17" t="str">
        <f t="shared" si="83"/>
        <v/>
      </c>
      <c r="IS10" s="17" t="str">
        <f t="shared" si="84"/>
        <v/>
      </c>
      <c r="IT10" s="60"/>
      <c r="IU10" s="60"/>
      <c r="IV10" s="60"/>
      <c r="IW10" s="60"/>
      <c r="IX10" s="60"/>
      <c r="IY10" s="60"/>
      <c r="IZ10" s="60"/>
      <c r="JA10" s="60"/>
      <c r="JB10" s="60"/>
      <c r="JC10" s="60"/>
      <c r="JD10" s="60"/>
      <c r="JE10" s="60"/>
      <c r="JF10" s="60"/>
      <c r="JG10" s="60"/>
      <c r="JH10" s="60"/>
      <c r="JI10" s="13" t="str">
        <f t="shared" si="85"/>
        <v/>
      </c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62"/>
      <c r="JP10" s="62"/>
      <c r="JQ10" s="62"/>
      <c r="JR10" s="62"/>
      <c r="JS10" s="62"/>
      <c r="JT10" s="62"/>
      <c r="JU10" s="62"/>
      <c r="JV10" s="62"/>
      <c r="JW10" s="62"/>
      <c r="JX10" s="62"/>
      <c r="JY10" s="62"/>
      <c r="JZ10" s="62"/>
      <c r="KA10" s="62"/>
      <c r="KB10" s="62"/>
      <c r="KC10" s="62"/>
      <c r="KD10" s="17" t="str">
        <f t="shared" si="91"/>
        <v/>
      </c>
      <c r="KE10" s="17" t="str">
        <f t="shared" si="92"/>
        <v/>
      </c>
      <c r="KF10" s="17" t="str">
        <f t="shared" si="93"/>
        <v/>
      </c>
      <c r="KG10" s="17" t="str">
        <f t="shared" si="94"/>
        <v/>
      </c>
      <c r="KH10" s="17" t="str">
        <f t="shared" si="95"/>
        <v/>
      </c>
      <c r="KI10" s="17" t="str">
        <f t="shared" si="96"/>
        <v/>
      </c>
      <c r="KJ10" s="60"/>
      <c r="KK10" s="60"/>
      <c r="KL10" s="60"/>
      <c r="KM10" s="60"/>
      <c r="KN10" s="60"/>
      <c r="KO10" s="60"/>
      <c r="KP10" s="60"/>
      <c r="KQ10" s="60"/>
      <c r="KR10" s="60"/>
      <c r="KS10" s="60"/>
      <c r="KT10" s="60"/>
      <c r="KU10" s="60"/>
      <c r="KV10" s="60"/>
      <c r="KW10" s="60"/>
      <c r="KX10" s="60"/>
      <c r="KY10" s="13" t="str">
        <f t="shared" si="97"/>
        <v/>
      </c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62"/>
      <c r="LF10" s="62"/>
      <c r="LG10" s="62"/>
      <c r="LH10" s="62"/>
      <c r="LI10" s="62"/>
      <c r="LJ10" s="62"/>
      <c r="LK10" s="62"/>
      <c r="LL10" s="62"/>
      <c r="LM10" s="62"/>
      <c r="LN10" s="62"/>
      <c r="LO10" s="62"/>
      <c r="LP10" s="62"/>
      <c r="LQ10" s="62"/>
      <c r="LR10" s="62"/>
      <c r="LS10" s="62"/>
      <c r="LT10" s="17" t="str">
        <f t="shared" si="103"/>
        <v/>
      </c>
      <c r="LU10" s="17" t="str">
        <f t="shared" si="104"/>
        <v/>
      </c>
      <c r="LV10" s="17" t="str">
        <f t="shared" si="105"/>
        <v/>
      </c>
      <c r="LW10" s="17" t="str">
        <f t="shared" si="106"/>
        <v/>
      </c>
      <c r="LX10" s="17" t="str">
        <f t="shared" si="107"/>
        <v/>
      </c>
      <c r="LY10" s="17" t="str">
        <f t="shared" si="108"/>
        <v/>
      </c>
    </row>
    <row r="11" spans="1:337" x14ac:dyDescent="0.2">
      <c r="A11" s="6" t="str">
        <f t="shared" ca="1" si="0"/>
        <v/>
      </c>
      <c r="B11" s="9" t="s">
        <v>55</v>
      </c>
      <c r="C11" s="5" t="s">
        <v>6</v>
      </c>
      <c r="D11" s="46">
        <v>2017</v>
      </c>
      <c r="E11" s="18">
        <f t="shared" si="1"/>
        <v>213.04500000000002</v>
      </c>
      <c r="F11" s="4" t="str">
        <f t="shared" si="2"/>
        <v/>
      </c>
      <c r="G11" s="4" t="str">
        <f t="shared" ca="1" si="3"/>
        <v/>
      </c>
      <c r="H11" t="str">
        <f t="shared" ca="1" si="4"/>
        <v/>
      </c>
      <c r="I11" s="17">
        <f t="shared" si="5"/>
        <v>92.77000000000001</v>
      </c>
      <c r="J11" s="17" t="str">
        <f t="shared" si="6"/>
        <v>2017 Canada Cup</v>
      </c>
      <c r="K11" s="17">
        <f t="shared" si="7"/>
        <v>43.69</v>
      </c>
      <c r="L11" s="17" t="str">
        <f t="shared" si="8"/>
        <v>2017 Nationals</v>
      </c>
      <c r="M11" s="17">
        <f t="shared" si="9"/>
        <v>48.940000000000005</v>
      </c>
      <c r="N11" s="17" t="str">
        <f t="shared" si="10"/>
        <v>2017 Nationals</v>
      </c>
      <c r="O11" s="17">
        <f t="shared" si="11"/>
        <v>27.645000000000003</v>
      </c>
      <c r="P11" s="17" t="str">
        <f t="shared" si="12"/>
        <v>2017 Canada Cup</v>
      </c>
      <c r="Q11" s="17" t="str">
        <f t="shared" si="13"/>
        <v/>
      </c>
      <c r="R11" s="44" t="str">
        <f t="shared" si="14"/>
        <v/>
      </c>
      <c r="S11" s="17" t="str">
        <f t="shared" si="15"/>
        <v/>
      </c>
      <c r="T11" s="60">
        <v>16.8</v>
      </c>
      <c r="U11" s="60">
        <v>9.3000000000000007</v>
      </c>
      <c r="V11" s="60">
        <v>3</v>
      </c>
      <c r="W11" s="60">
        <v>14.67</v>
      </c>
      <c r="X11" s="60">
        <v>0</v>
      </c>
      <c r="Y11" s="60">
        <v>14.6</v>
      </c>
      <c r="Z11" s="60">
        <v>8.9</v>
      </c>
      <c r="AA11" s="60">
        <v>11.1</v>
      </c>
      <c r="AB11" s="60">
        <v>14.4</v>
      </c>
      <c r="AC11" s="60">
        <v>0</v>
      </c>
      <c r="AD11" s="60">
        <v>7.6</v>
      </c>
      <c r="AE11" s="60">
        <v>5.2</v>
      </c>
      <c r="AF11" s="60">
        <v>6.3</v>
      </c>
      <c r="AG11" s="60">
        <v>8.5449999999999999</v>
      </c>
      <c r="AH11" s="60">
        <v>0</v>
      </c>
      <c r="AI11" s="13">
        <f t="shared" si="16"/>
        <v>14.1</v>
      </c>
      <c r="AJ11" s="13">
        <f t="shared" si="17"/>
        <v>43.77</v>
      </c>
      <c r="AK11" s="13">
        <f t="shared" si="18"/>
        <v>49</v>
      </c>
      <c r="AL11" s="13">
        <f t="shared" si="19"/>
        <v>92.77000000000001</v>
      </c>
      <c r="AM11" s="13">
        <f t="shared" si="20"/>
        <v>27.645000000000003</v>
      </c>
      <c r="AN11" s="13">
        <f t="shared" si="21"/>
        <v>120.41500000000002</v>
      </c>
      <c r="AO11" s="62">
        <v>16.600000000000001</v>
      </c>
      <c r="AP11" s="62">
        <v>9.4</v>
      </c>
      <c r="AQ11" s="62">
        <v>3</v>
      </c>
      <c r="AR11" s="62">
        <v>14.69</v>
      </c>
      <c r="AS11" s="62">
        <v>0</v>
      </c>
      <c r="AT11" s="62">
        <v>14.7</v>
      </c>
      <c r="AU11" s="62">
        <v>8.9</v>
      </c>
      <c r="AV11" s="62">
        <v>11.1</v>
      </c>
      <c r="AW11" s="62">
        <v>14.24</v>
      </c>
      <c r="AX11" s="62">
        <v>0</v>
      </c>
      <c r="AY11" s="62">
        <v>4.5</v>
      </c>
      <c r="AZ11" s="62">
        <v>2.8</v>
      </c>
      <c r="BA11" s="62">
        <v>3.5</v>
      </c>
      <c r="BB11" s="62">
        <v>4.58</v>
      </c>
      <c r="BC11" s="62">
        <v>0</v>
      </c>
      <c r="BD11" s="17">
        <f t="shared" si="22"/>
        <v>14.1</v>
      </c>
      <c r="BE11" s="17">
        <f t="shared" si="23"/>
        <v>43.69</v>
      </c>
      <c r="BF11" s="17">
        <f t="shared" si="24"/>
        <v>48.940000000000005</v>
      </c>
      <c r="BG11" s="17">
        <f t="shared" si="25"/>
        <v>92.63</v>
      </c>
      <c r="BH11" s="17">
        <f t="shared" si="26"/>
        <v>15.38</v>
      </c>
      <c r="BI11" s="17">
        <f t="shared" si="27"/>
        <v>108.00999999999999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13" t="str">
        <f t="shared" si="28"/>
        <v/>
      </c>
      <c r="BZ11" s="13" t="str">
        <f t="shared" si="29"/>
        <v/>
      </c>
      <c r="CA11" s="13" t="str">
        <f t="shared" si="30"/>
        <v/>
      </c>
      <c r="CB11" s="13" t="str">
        <f t="shared" si="31"/>
        <v/>
      </c>
      <c r="CC11" s="13" t="str">
        <f t="shared" si="32"/>
        <v/>
      </c>
      <c r="CD11" s="13" t="str">
        <f t="shared" si="33"/>
        <v/>
      </c>
      <c r="CE11" s="43" t="str">
        <f t="shared" si="34"/>
        <v/>
      </c>
      <c r="CF11" s="43" t="str">
        <f t="shared" si="35"/>
        <v/>
      </c>
      <c r="CG11" s="43" t="str">
        <f t="shared" si="36"/>
        <v/>
      </c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13" t="str">
        <f t="shared" si="37"/>
        <v/>
      </c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17" t="str">
        <f t="shared" si="43"/>
        <v/>
      </c>
      <c r="DS11" s="17" t="str">
        <f t="shared" si="44"/>
        <v/>
      </c>
      <c r="DT11" s="17" t="str">
        <f t="shared" si="45"/>
        <v/>
      </c>
      <c r="DU11" s="17" t="str">
        <f t="shared" si="46"/>
        <v/>
      </c>
      <c r="DV11" s="17" t="str">
        <f t="shared" si="47"/>
        <v/>
      </c>
      <c r="DW11" s="17" t="str">
        <f t="shared" si="48"/>
        <v/>
      </c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13" t="str">
        <f t="shared" si="49"/>
        <v/>
      </c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17" t="str">
        <f t="shared" si="55"/>
        <v/>
      </c>
      <c r="FI11" s="17" t="str">
        <f t="shared" si="56"/>
        <v/>
      </c>
      <c r="FJ11" s="17" t="str">
        <f t="shared" si="57"/>
        <v/>
      </c>
      <c r="FK11" s="17" t="str">
        <f t="shared" si="58"/>
        <v/>
      </c>
      <c r="FL11" s="17" t="str">
        <f t="shared" si="59"/>
        <v/>
      </c>
      <c r="FM11" s="17" t="str">
        <f t="shared" si="60"/>
        <v/>
      </c>
      <c r="FN11" s="60"/>
      <c r="FO11" s="60"/>
      <c r="FP11" s="60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13" t="str">
        <f t="shared" si="61"/>
        <v/>
      </c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17" t="str">
        <f t="shared" si="67"/>
        <v/>
      </c>
      <c r="GY11" s="17" t="str">
        <f t="shared" si="68"/>
        <v/>
      </c>
      <c r="GZ11" s="17" t="str">
        <f t="shared" si="69"/>
        <v/>
      </c>
      <c r="HA11" s="17" t="str">
        <f t="shared" si="70"/>
        <v/>
      </c>
      <c r="HB11" s="17" t="str">
        <f t="shared" si="71"/>
        <v/>
      </c>
      <c r="HC11" s="17" t="str">
        <f t="shared" si="72"/>
        <v/>
      </c>
      <c r="HD11" s="60"/>
      <c r="HE11" s="60"/>
      <c r="HF11" s="60"/>
      <c r="HG11" s="60"/>
      <c r="HH11" s="60"/>
      <c r="HI11" s="60"/>
      <c r="HJ11" s="60"/>
      <c r="HK11" s="60"/>
      <c r="HL11" s="60"/>
      <c r="HM11" s="60"/>
      <c r="HN11" s="60"/>
      <c r="HO11" s="60"/>
      <c r="HP11" s="60"/>
      <c r="HQ11" s="60"/>
      <c r="HR11" s="60"/>
      <c r="HS11" s="13" t="str">
        <f t="shared" si="73"/>
        <v/>
      </c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62"/>
      <c r="HZ11" s="62"/>
      <c r="IA11" s="62"/>
      <c r="IB11" s="62"/>
      <c r="IC11" s="62"/>
      <c r="ID11" s="62"/>
      <c r="IE11" s="62"/>
      <c r="IF11" s="62"/>
      <c r="IG11" s="62"/>
      <c r="IH11" s="62"/>
      <c r="II11" s="62"/>
      <c r="IJ11" s="62"/>
      <c r="IK11" s="62"/>
      <c r="IL11" s="62"/>
      <c r="IM11" s="62"/>
      <c r="IN11" s="17" t="str">
        <f t="shared" si="79"/>
        <v/>
      </c>
      <c r="IO11" s="17" t="str">
        <f t="shared" si="80"/>
        <v/>
      </c>
      <c r="IP11" s="17" t="str">
        <f t="shared" si="81"/>
        <v/>
      </c>
      <c r="IQ11" s="17" t="str">
        <f t="shared" si="82"/>
        <v/>
      </c>
      <c r="IR11" s="17" t="str">
        <f t="shared" si="83"/>
        <v/>
      </c>
      <c r="IS11" s="17" t="str">
        <f t="shared" si="84"/>
        <v/>
      </c>
      <c r="IT11" s="60"/>
      <c r="IU11" s="60"/>
      <c r="IV11" s="60"/>
      <c r="IW11" s="60"/>
      <c r="IX11" s="60"/>
      <c r="IY11" s="60"/>
      <c r="IZ11" s="60"/>
      <c r="JA11" s="60"/>
      <c r="JB11" s="60"/>
      <c r="JC11" s="60"/>
      <c r="JD11" s="60"/>
      <c r="JE11" s="60"/>
      <c r="JF11" s="60"/>
      <c r="JG11" s="60"/>
      <c r="JH11" s="60"/>
      <c r="JI11" s="13" t="str">
        <f t="shared" si="85"/>
        <v/>
      </c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 t="str">
        <f t="shared" si="90"/>
        <v/>
      </c>
      <c r="JO11" s="62"/>
      <c r="JP11" s="62"/>
      <c r="JQ11" s="62"/>
      <c r="JR11" s="62"/>
      <c r="JS11" s="62"/>
      <c r="JT11" s="62"/>
      <c r="JU11" s="62"/>
      <c r="JV11" s="62"/>
      <c r="JW11" s="62"/>
      <c r="JX11" s="62"/>
      <c r="JY11" s="62"/>
      <c r="JZ11" s="62"/>
      <c r="KA11" s="62"/>
      <c r="KB11" s="62"/>
      <c r="KC11" s="62"/>
      <c r="KD11" s="17" t="str">
        <f t="shared" si="91"/>
        <v/>
      </c>
      <c r="KE11" s="17" t="str">
        <f t="shared" si="92"/>
        <v/>
      </c>
      <c r="KF11" s="17" t="str">
        <f t="shared" si="93"/>
        <v/>
      </c>
      <c r="KG11" s="17" t="str">
        <f t="shared" si="94"/>
        <v/>
      </c>
      <c r="KH11" s="17" t="str">
        <f t="shared" si="95"/>
        <v/>
      </c>
      <c r="KI11" s="17" t="str">
        <f t="shared" si="96"/>
        <v/>
      </c>
      <c r="KJ11" s="60"/>
      <c r="KK11" s="60"/>
      <c r="KL11" s="60"/>
      <c r="KM11" s="60"/>
      <c r="KN11" s="60"/>
      <c r="KO11" s="60"/>
      <c r="KP11" s="60"/>
      <c r="KQ11" s="60"/>
      <c r="KR11" s="60"/>
      <c r="KS11" s="60"/>
      <c r="KT11" s="60"/>
      <c r="KU11" s="60"/>
      <c r="KV11" s="60"/>
      <c r="KW11" s="60"/>
      <c r="KX11" s="60"/>
      <c r="KY11" s="13" t="str">
        <f t="shared" si="97"/>
        <v/>
      </c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62"/>
      <c r="LF11" s="62"/>
      <c r="LG11" s="62"/>
      <c r="LH11" s="62"/>
      <c r="LI11" s="62"/>
      <c r="LJ11" s="62"/>
      <c r="LK11" s="62"/>
      <c r="LL11" s="62"/>
      <c r="LM11" s="62"/>
      <c r="LN11" s="62"/>
      <c r="LO11" s="62"/>
      <c r="LP11" s="62"/>
      <c r="LQ11" s="62"/>
      <c r="LR11" s="62"/>
      <c r="LS11" s="62"/>
      <c r="LT11" s="17" t="str">
        <f t="shared" si="103"/>
        <v/>
      </c>
      <c r="LU11" s="17" t="str">
        <f t="shared" si="104"/>
        <v/>
      </c>
      <c r="LV11" s="17" t="str">
        <f t="shared" si="105"/>
        <v/>
      </c>
      <c r="LW11" s="17" t="str">
        <f t="shared" si="106"/>
        <v/>
      </c>
      <c r="LX11" s="17" t="str">
        <f t="shared" si="107"/>
        <v/>
      </c>
      <c r="LY11" s="17" t="str">
        <f t="shared" si="108"/>
        <v/>
      </c>
    </row>
    <row r="12" spans="1:337" x14ac:dyDescent="0.2">
      <c r="A12" s="6">
        <f t="shared" ca="1" si="0"/>
        <v>7</v>
      </c>
      <c r="B12" s="9" t="s">
        <v>53</v>
      </c>
      <c r="C12" s="5" t="s">
        <v>13</v>
      </c>
      <c r="D12" s="46">
        <v>2016</v>
      </c>
      <c r="E12" s="18">
        <f t="shared" si="1"/>
        <v>202.495</v>
      </c>
      <c r="F12" s="4" t="str">
        <f t="shared" si="2"/>
        <v/>
      </c>
      <c r="G12" s="4" t="str">
        <f t="shared" ca="1" si="3"/>
        <v>P</v>
      </c>
      <c r="H12" t="str">
        <f t="shared" ca="1" si="4"/>
        <v>First 2 Years</v>
      </c>
      <c r="I12" s="17">
        <f t="shared" si="5"/>
        <v>94.53</v>
      </c>
      <c r="J12" s="17" t="str">
        <f t="shared" si="6"/>
        <v>2017 3rd Domestic Trial</v>
      </c>
      <c r="K12" s="17">
        <f t="shared" si="7"/>
        <v>43.745000000000005</v>
      </c>
      <c r="L12" s="17" t="str">
        <f t="shared" si="8"/>
        <v>2017 Canada Cup</v>
      </c>
      <c r="M12" s="17">
        <f t="shared" si="9"/>
        <v>48.205000000000005</v>
      </c>
      <c r="N12" s="17" t="str">
        <f t="shared" si="10"/>
        <v>2017 Nationals</v>
      </c>
      <c r="O12" s="17">
        <f t="shared" si="11"/>
        <v>16.015000000000001</v>
      </c>
      <c r="P12" s="17" t="str">
        <f t="shared" si="12"/>
        <v>2017 3rd Domestic Trial</v>
      </c>
      <c r="Q12" s="17" t="str">
        <f t="shared" si="13"/>
        <v/>
      </c>
      <c r="R12" s="44" t="str">
        <f t="shared" si="14"/>
        <v/>
      </c>
      <c r="S12" s="17" t="str">
        <f t="shared" si="15"/>
        <v/>
      </c>
      <c r="T12" s="60">
        <v>15.3</v>
      </c>
      <c r="U12" s="60">
        <v>9.3000000000000007</v>
      </c>
      <c r="V12" s="60">
        <v>3.7</v>
      </c>
      <c r="W12" s="60">
        <v>15.445</v>
      </c>
      <c r="X12" s="60">
        <v>0</v>
      </c>
      <c r="Y12" s="60">
        <v>14.1</v>
      </c>
      <c r="Z12" s="60">
        <v>9</v>
      </c>
      <c r="AA12" s="60">
        <v>9.3000000000000007</v>
      </c>
      <c r="AB12" s="60">
        <v>14.755000000000001</v>
      </c>
      <c r="AC12" s="60">
        <v>0</v>
      </c>
      <c r="AD12" s="60">
        <v>2.8</v>
      </c>
      <c r="AE12" s="60">
        <v>1.7</v>
      </c>
      <c r="AF12" s="60">
        <v>2.9</v>
      </c>
      <c r="AG12" s="60">
        <v>3.0049999999999999</v>
      </c>
      <c r="AH12" s="60">
        <v>0</v>
      </c>
      <c r="AI12" s="13">
        <f t="shared" si="16"/>
        <v>13</v>
      </c>
      <c r="AJ12" s="13">
        <f t="shared" si="17"/>
        <v>43.745000000000005</v>
      </c>
      <c r="AK12" s="13">
        <f t="shared" si="18"/>
        <v>47.155000000000008</v>
      </c>
      <c r="AL12" s="13">
        <f t="shared" si="19"/>
        <v>90.9</v>
      </c>
      <c r="AM12" s="13">
        <f t="shared" si="20"/>
        <v>10.405000000000001</v>
      </c>
      <c r="AN12" s="13">
        <f t="shared" si="21"/>
        <v>101.30500000000001</v>
      </c>
      <c r="AO12" s="62">
        <v>15.7</v>
      </c>
      <c r="AP12" s="62">
        <v>8.1999999999999993</v>
      </c>
      <c r="AQ12" s="62">
        <v>2.2000000000000002</v>
      </c>
      <c r="AR12" s="62">
        <v>13.815</v>
      </c>
      <c r="AS12" s="62">
        <v>0</v>
      </c>
      <c r="AT12" s="62">
        <v>15.5</v>
      </c>
      <c r="AU12" s="62">
        <v>8.8000000000000007</v>
      </c>
      <c r="AV12" s="62">
        <v>9.9</v>
      </c>
      <c r="AW12" s="62">
        <v>14.005000000000001</v>
      </c>
      <c r="AX12" s="62">
        <v>0</v>
      </c>
      <c r="AY12" s="62"/>
      <c r="AZ12" s="62"/>
      <c r="BA12" s="62"/>
      <c r="BB12" s="62"/>
      <c r="BC12" s="62"/>
      <c r="BD12" s="17">
        <f t="shared" si="22"/>
        <v>12.100000000000001</v>
      </c>
      <c r="BE12" s="17">
        <f t="shared" si="23"/>
        <v>39.914999999999999</v>
      </c>
      <c r="BF12" s="17">
        <f t="shared" si="24"/>
        <v>48.205000000000005</v>
      </c>
      <c r="BG12" s="17">
        <f t="shared" si="25"/>
        <v>88.12</v>
      </c>
      <c r="BH12" s="17" t="str">
        <f t="shared" si="26"/>
        <v/>
      </c>
      <c r="BI12" s="17">
        <f t="shared" si="27"/>
        <v>88.12</v>
      </c>
      <c r="BJ12" s="60">
        <v>15.9</v>
      </c>
      <c r="BK12" s="60">
        <v>9.3000000000000007</v>
      </c>
      <c r="BL12" s="60">
        <v>3.7</v>
      </c>
      <c r="BM12" s="60">
        <v>15.595000000000001</v>
      </c>
      <c r="BN12" s="60">
        <v>0</v>
      </c>
      <c r="BO12" s="60">
        <v>15.1</v>
      </c>
      <c r="BP12" s="60">
        <v>9.3000000000000007</v>
      </c>
      <c r="BQ12" s="60">
        <v>11</v>
      </c>
      <c r="BR12" s="60">
        <v>14.635</v>
      </c>
      <c r="BS12" s="60">
        <v>0</v>
      </c>
      <c r="BT12" s="60">
        <v>4.7</v>
      </c>
      <c r="BU12" s="60">
        <v>2.8</v>
      </c>
      <c r="BV12" s="60">
        <v>4.2</v>
      </c>
      <c r="BW12" s="60">
        <v>4.3150000000000004</v>
      </c>
      <c r="BX12" s="60">
        <v>0</v>
      </c>
      <c r="BY12" s="13">
        <f t="shared" si="28"/>
        <v>14.7</v>
      </c>
      <c r="BZ12" s="13">
        <f t="shared" si="29"/>
        <v>44.495000000000005</v>
      </c>
      <c r="CA12" s="13">
        <f t="shared" si="30"/>
        <v>50.034999999999997</v>
      </c>
      <c r="CB12" s="13">
        <f t="shared" si="31"/>
        <v>94.53</v>
      </c>
      <c r="CC12" s="13">
        <f t="shared" si="32"/>
        <v>16.015000000000001</v>
      </c>
      <c r="CD12" s="13">
        <f t="shared" si="33"/>
        <v>110.545</v>
      </c>
      <c r="CE12" s="43" t="str">
        <f t="shared" si="34"/>
        <v/>
      </c>
      <c r="CF12" s="43" t="str">
        <f t="shared" si="35"/>
        <v/>
      </c>
      <c r="CG12" s="43" t="str">
        <f t="shared" si="36"/>
        <v/>
      </c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13" t="str">
        <f t="shared" si="37"/>
        <v/>
      </c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17" t="str">
        <f t="shared" si="43"/>
        <v/>
      </c>
      <c r="DS12" s="17" t="str">
        <f t="shared" si="44"/>
        <v/>
      </c>
      <c r="DT12" s="17" t="str">
        <f t="shared" si="45"/>
        <v/>
      </c>
      <c r="DU12" s="17" t="str">
        <f t="shared" si="46"/>
        <v/>
      </c>
      <c r="DV12" s="17" t="str">
        <f t="shared" si="47"/>
        <v/>
      </c>
      <c r="DW12" s="17" t="str">
        <f t="shared" si="48"/>
        <v/>
      </c>
      <c r="DX12" s="60"/>
      <c r="DY12" s="60"/>
      <c r="DZ12" s="60"/>
      <c r="EA12" s="60"/>
      <c r="EB12" s="60"/>
      <c r="EC12" s="60"/>
      <c r="ED12" s="60"/>
      <c r="EE12" s="60"/>
      <c r="EF12" s="60"/>
      <c r="EG12" s="60"/>
      <c r="EH12" s="60"/>
      <c r="EI12" s="60"/>
      <c r="EJ12" s="60"/>
      <c r="EK12" s="60"/>
      <c r="EL12" s="60"/>
      <c r="EM12" s="13" t="str">
        <f t="shared" si="49"/>
        <v/>
      </c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17" t="str">
        <f t="shared" si="55"/>
        <v/>
      </c>
      <c r="FI12" s="17" t="str">
        <f t="shared" si="56"/>
        <v/>
      </c>
      <c r="FJ12" s="17" t="str">
        <f t="shared" si="57"/>
        <v/>
      </c>
      <c r="FK12" s="17" t="str">
        <f t="shared" si="58"/>
        <v/>
      </c>
      <c r="FL12" s="17" t="str">
        <f t="shared" si="59"/>
        <v/>
      </c>
      <c r="FM12" s="17" t="str">
        <f t="shared" si="60"/>
        <v/>
      </c>
      <c r="FN12" s="60"/>
      <c r="FO12" s="60"/>
      <c r="FP12" s="60"/>
      <c r="FQ12" s="60"/>
      <c r="FR12" s="60"/>
      <c r="FS12" s="60"/>
      <c r="FT12" s="60"/>
      <c r="FU12" s="60"/>
      <c r="FV12" s="60"/>
      <c r="FW12" s="60"/>
      <c r="FX12" s="60"/>
      <c r="FY12" s="60"/>
      <c r="FZ12" s="60"/>
      <c r="GA12" s="60"/>
      <c r="GB12" s="60"/>
      <c r="GC12" s="13" t="str">
        <f t="shared" si="61"/>
        <v/>
      </c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62"/>
      <c r="GJ12" s="62"/>
      <c r="GK12" s="62"/>
      <c r="GL12" s="62"/>
      <c r="GM12" s="62"/>
      <c r="GN12" s="62"/>
      <c r="GO12" s="62"/>
      <c r="GP12" s="62"/>
      <c r="GQ12" s="62"/>
      <c r="GR12" s="62"/>
      <c r="GS12" s="62"/>
      <c r="GT12" s="62"/>
      <c r="GU12" s="62"/>
      <c r="GV12" s="62"/>
      <c r="GW12" s="62"/>
      <c r="GX12" s="17" t="str">
        <f t="shared" si="67"/>
        <v/>
      </c>
      <c r="GY12" s="17" t="str">
        <f t="shared" si="68"/>
        <v/>
      </c>
      <c r="GZ12" s="17" t="str">
        <f t="shared" si="69"/>
        <v/>
      </c>
      <c r="HA12" s="17" t="str">
        <f t="shared" si="70"/>
        <v/>
      </c>
      <c r="HB12" s="17" t="str">
        <f t="shared" si="71"/>
        <v/>
      </c>
      <c r="HC12" s="17" t="str">
        <f t="shared" si="72"/>
        <v/>
      </c>
      <c r="HD12" s="60"/>
      <c r="HE12" s="60"/>
      <c r="HF12" s="60"/>
      <c r="HG12" s="60"/>
      <c r="HH12" s="60"/>
      <c r="HI12" s="60"/>
      <c r="HJ12" s="60"/>
      <c r="HK12" s="60"/>
      <c r="HL12" s="60"/>
      <c r="HM12" s="60"/>
      <c r="HN12" s="60"/>
      <c r="HO12" s="60"/>
      <c r="HP12" s="60"/>
      <c r="HQ12" s="60"/>
      <c r="HR12" s="60"/>
      <c r="HS12" s="13" t="str">
        <f t="shared" si="73"/>
        <v/>
      </c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62"/>
      <c r="HZ12" s="62"/>
      <c r="IA12" s="62"/>
      <c r="IB12" s="62"/>
      <c r="IC12" s="62"/>
      <c r="ID12" s="62"/>
      <c r="IE12" s="62"/>
      <c r="IF12" s="62"/>
      <c r="IG12" s="62"/>
      <c r="IH12" s="62"/>
      <c r="II12" s="62"/>
      <c r="IJ12" s="62"/>
      <c r="IK12" s="62"/>
      <c r="IL12" s="62"/>
      <c r="IM12" s="62"/>
      <c r="IN12" s="17" t="str">
        <f t="shared" si="79"/>
        <v/>
      </c>
      <c r="IO12" s="17" t="str">
        <f t="shared" si="80"/>
        <v/>
      </c>
      <c r="IP12" s="17" t="str">
        <f t="shared" si="81"/>
        <v/>
      </c>
      <c r="IQ12" s="17" t="str">
        <f t="shared" si="82"/>
        <v/>
      </c>
      <c r="IR12" s="17" t="str">
        <f t="shared" si="83"/>
        <v/>
      </c>
      <c r="IS12" s="17" t="str">
        <f t="shared" si="84"/>
        <v/>
      </c>
      <c r="IT12" s="60"/>
      <c r="IU12" s="60"/>
      <c r="IV12" s="60"/>
      <c r="IW12" s="60"/>
      <c r="IX12" s="60"/>
      <c r="IY12" s="60"/>
      <c r="IZ12" s="60"/>
      <c r="JA12" s="60"/>
      <c r="JB12" s="60"/>
      <c r="JC12" s="60"/>
      <c r="JD12" s="60"/>
      <c r="JE12" s="60"/>
      <c r="JF12" s="60"/>
      <c r="JG12" s="60"/>
      <c r="JH12" s="60"/>
      <c r="JI12" s="13" t="str">
        <f t="shared" si="85"/>
        <v/>
      </c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 t="str">
        <f t="shared" si="90"/>
        <v/>
      </c>
      <c r="JO12" s="62"/>
      <c r="JP12" s="62"/>
      <c r="JQ12" s="62"/>
      <c r="JR12" s="62"/>
      <c r="JS12" s="62"/>
      <c r="JT12" s="62"/>
      <c r="JU12" s="62"/>
      <c r="JV12" s="62"/>
      <c r="JW12" s="62"/>
      <c r="JX12" s="62"/>
      <c r="JY12" s="62"/>
      <c r="JZ12" s="62"/>
      <c r="KA12" s="62"/>
      <c r="KB12" s="62"/>
      <c r="KC12" s="62"/>
      <c r="KD12" s="17" t="str">
        <f t="shared" si="91"/>
        <v/>
      </c>
      <c r="KE12" s="17" t="str">
        <f t="shared" si="92"/>
        <v/>
      </c>
      <c r="KF12" s="17" t="str">
        <f t="shared" si="93"/>
        <v/>
      </c>
      <c r="KG12" s="17" t="str">
        <f t="shared" si="94"/>
        <v/>
      </c>
      <c r="KH12" s="17" t="str">
        <f t="shared" si="95"/>
        <v/>
      </c>
      <c r="KI12" s="17" t="str">
        <f t="shared" si="96"/>
        <v/>
      </c>
      <c r="KJ12" s="60"/>
      <c r="KK12" s="60"/>
      <c r="KL12" s="60"/>
      <c r="KM12" s="60"/>
      <c r="KN12" s="60"/>
      <c r="KO12" s="60"/>
      <c r="KP12" s="60"/>
      <c r="KQ12" s="60"/>
      <c r="KR12" s="60"/>
      <c r="KS12" s="60"/>
      <c r="KT12" s="60"/>
      <c r="KU12" s="60"/>
      <c r="KV12" s="60"/>
      <c r="KW12" s="60"/>
      <c r="KX12" s="60"/>
      <c r="KY12" s="13" t="str">
        <f t="shared" si="97"/>
        <v/>
      </c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62"/>
      <c r="LF12" s="62"/>
      <c r="LG12" s="62"/>
      <c r="LH12" s="62"/>
      <c r="LI12" s="62"/>
      <c r="LJ12" s="62"/>
      <c r="LK12" s="62"/>
      <c r="LL12" s="62"/>
      <c r="LM12" s="62"/>
      <c r="LN12" s="62"/>
      <c r="LO12" s="62"/>
      <c r="LP12" s="62"/>
      <c r="LQ12" s="62"/>
      <c r="LR12" s="62"/>
      <c r="LS12" s="62"/>
      <c r="LT12" s="17" t="str">
        <f t="shared" si="103"/>
        <v/>
      </c>
      <c r="LU12" s="17" t="str">
        <f t="shared" si="104"/>
        <v/>
      </c>
      <c r="LV12" s="17" t="str">
        <f t="shared" si="105"/>
        <v/>
      </c>
      <c r="LW12" s="17" t="str">
        <f t="shared" si="106"/>
        <v/>
      </c>
      <c r="LX12" s="17" t="str">
        <f t="shared" si="107"/>
        <v/>
      </c>
      <c r="LY12" s="17" t="str">
        <f t="shared" si="108"/>
        <v/>
      </c>
    </row>
    <row r="13" spans="1:337" x14ac:dyDescent="0.2">
      <c r="A13" s="6" t="str">
        <f t="shared" ca="1" si="0"/>
        <v/>
      </c>
      <c r="B13" s="9" t="s">
        <v>54</v>
      </c>
      <c r="C13" s="5" t="s">
        <v>13</v>
      </c>
      <c r="D13" s="46">
        <v>2014</v>
      </c>
      <c r="E13" s="18">
        <f t="shared" si="1"/>
        <v>127.53</v>
      </c>
      <c r="F13" s="4" t="str">
        <f t="shared" si="2"/>
        <v/>
      </c>
      <c r="G13" s="4" t="str">
        <f t="shared" ca="1" si="3"/>
        <v/>
      </c>
      <c r="H13" t="str">
        <f t="shared" ca="1" si="4"/>
        <v/>
      </c>
      <c r="I13" s="17">
        <f t="shared" si="5"/>
        <v>69.84</v>
      </c>
      <c r="J13" s="17" t="str">
        <f t="shared" si="6"/>
        <v>2017 Nationals</v>
      </c>
      <c r="K13" s="17">
        <f t="shared" si="7"/>
        <v>41.364999999999995</v>
      </c>
      <c r="L13" s="17" t="str">
        <f t="shared" si="8"/>
        <v>2017 Canada Cup</v>
      </c>
      <c r="M13" s="17">
        <f t="shared" si="9"/>
        <v>16.324999999999999</v>
      </c>
      <c r="N13" s="17" t="str">
        <f t="shared" si="10"/>
        <v>2017 Canada Cup</v>
      </c>
      <c r="O13" s="17">
        <f t="shared" si="11"/>
        <v>0</v>
      </c>
      <c r="P13" s="17" t="str">
        <f t="shared" si="12"/>
        <v/>
      </c>
      <c r="Q13" s="17" t="str">
        <f t="shared" si="13"/>
        <v/>
      </c>
      <c r="R13" s="44" t="str">
        <f t="shared" si="14"/>
        <v/>
      </c>
      <c r="S13" s="17" t="str">
        <f t="shared" si="15"/>
        <v/>
      </c>
      <c r="T13" s="60">
        <v>15.7</v>
      </c>
      <c r="U13" s="60">
        <v>8.1</v>
      </c>
      <c r="V13" s="60">
        <v>3.3</v>
      </c>
      <c r="W13" s="60">
        <v>14.265000000000001</v>
      </c>
      <c r="X13" s="60">
        <v>0</v>
      </c>
      <c r="Y13" s="60">
        <v>4.3</v>
      </c>
      <c r="Z13" s="60">
        <v>2.7</v>
      </c>
      <c r="AA13" s="60">
        <v>4.4000000000000004</v>
      </c>
      <c r="AB13" s="60">
        <v>4.9249999999999998</v>
      </c>
      <c r="AC13" s="60">
        <v>0</v>
      </c>
      <c r="AD13" s="60"/>
      <c r="AE13" s="60"/>
      <c r="AF13" s="60"/>
      <c r="AG13" s="60"/>
      <c r="AH13" s="60"/>
      <c r="AI13" s="13">
        <f t="shared" si="16"/>
        <v>7.7</v>
      </c>
      <c r="AJ13" s="13">
        <f t="shared" si="17"/>
        <v>41.364999999999995</v>
      </c>
      <c r="AK13" s="13">
        <f t="shared" si="18"/>
        <v>16.324999999999999</v>
      </c>
      <c r="AL13" s="13">
        <f t="shared" si="19"/>
        <v>57.69</v>
      </c>
      <c r="AM13" s="13" t="str">
        <f t="shared" si="20"/>
        <v/>
      </c>
      <c r="AN13" s="13">
        <f t="shared" si="21"/>
        <v>57.69</v>
      </c>
      <c r="AO13" s="62">
        <v>13.7</v>
      </c>
      <c r="AP13" s="62">
        <v>7.3</v>
      </c>
      <c r="AQ13" s="62">
        <v>3.3</v>
      </c>
      <c r="AR13" s="62">
        <v>13.3</v>
      </c>
      <c r="AS13" s="62">
        <v>0</v>
      </c>
      <c r="AT13" s="62">
        <v>8.6999999999999993</v>
      </c>
      <c r="AU13" s="62">
        <v>5.3</v>
      </c>
      <c r="AV13" s="62">
        <v>8.6</v>
      </c>
      <c r="AW13" s="62">
        <v>9.64</v>
      </c>
      <c r="AX13" s="62">
        <v>0</v>
      </c>
      <c r="AY13" s="62"/>
      <c r="AZ13" s="62"/>
      <c r="BA13" s="62"/>
      <c r="BB13" s="62"/>
      <c r="BC13" s="62"/>
      <c r="BD13" s="17">
        <f t="shared" si="22"/>
        <v>11.899999999999999</v>
      </c>
      <c r="BE13" s="17">
        <f t="shared" si="23"/>
        <v>37.6</v>
      </c>
      <c r="BF13" s="17">
        <f t="shared" si="24"/>
        <v>32.24</v>
      </c>
      <c r="BG13" s="17">
        <f t="shared" si="25"/>
        <v>69.84</v>
      </c>
      <c r="BH13" s="17" t="str">
        <f t="shared" si="26"/>
        <v/>
      </c>
      <c r="BI13" s="17">
        <f t="shared" si="27"/>
        <v>69.84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13" t="str">
        <f t="shared" si="28"/>
        <v/>
      </c>
      <c r="BZ13" s="13" t="str">
        <f t="shared" si="29"/>
        <v/>
      </c>
      <c r="CA13" s="13" t="str">
        <f t="shared" si="30"/>
        <v/>
      </c>
      <c r="CB13" s="13" t="str">
        <f t="shared" si="31"/>
        <v/>
      </c>
      <c r="CC13" s="13" t="str">
        <f t="shared" si="32"/>
        <v/>
      </c>
      <c r="CD13" s="13" t="str">
        <f t="shared" si="33"/>
        <v/>
      </c>
      <c r="CE13" s="43" t="str">
        <f t="shared" si="34"/>
        <v/>
      </c>
      <c r="CF13" s="43" t="str">
        <f t="shared" si="35"/>
        <v/>
      </c>
      <c r="CG13" s="43" t="str">
        <f t="shared" si="36"/>
        <v/>
      </c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13" t="str">
        <f t="shared" si="37"/>
        <v/>
      </c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17" t="str">
        <f t="shared" si="43"/>
        <v/>
      </c>
      <c r="DS13" s="17" t="str">
        <f t="shared" si="44"/>
        <v/>
      </c>
      <c r="DT13" s="17" t="str">
        <f t="shared" si="45"/>
        <v/>
      </c>
      <c r="DU13" s="17" t="str">
        <f t="shared" si="46"/>
        <v/>
      </c>
      <c r="DV13" s="17" t="str">
        <f t="shared" si="47"/>
        <v/>
      </c>
      <c r="DW13" s="17" t="str">
        <f t="shared" si="48"/>
        <v/>
      </c>
      <c r="DX13" s="60"/>
      <c r="DY13" s="60"/>
      <c r="DZ13" s="60"/>
      <c r="EA13" s="60"/>
      <c r="EB13" s="60"/>
      <c r="EC13" s="60"/>
      <c r="ED13" s="60"/>
      <c r="EE13" s="60"/>
      <c r="EF13" s="60"/>
      <c r="EG13" s="60"/>
      <c r="EH13" s="60"/>
      <c r="EI13" s="60"/>
      <c r="EJ13" s="60"/>
      <c r="EK13" s="60"/>
      <c r="EL13" s="60"/>
      <c r="EM13" s="13" t="str">
        <f t="shared" si="49"/>
        <v/>
      </c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17" t="str">
        <f t="shared" si="55"/>
        <v/>
      </c>
      <c r="FI13" s="17" t="str">
        <f t="shared" si="56"/>
        <v/>
      </c>
      <c r="FJ13" s="17" t="str">
        <f t="shared" si="57"/>
        <v/>
      </c>
      <c r="FK13" s="17" t="str">
        <f t="shared" si="58"/>
        <v/>
      </c>
      <c r="FL13" s="17" t="str">
        <f t="shared" si="59"/>
        <v/>
      </c>
      <c r="FM13" s="17" t="str">
        <f t="shared" si="60"/>
        <v/>
      </c>
      <c r="FN13" s="60"/>
      <c r="FO13" s="60"/>
      <c r="FP13" s="60"/>
      <c r="FQ13" s="60"/>
      <c r="FR13" s="60"/>
      <c r="FS13" s="60"/>
      <c r="FT13" s="60"/>
      <c r="FU13" s="60"/>
      <c r="FV13" s="60"/>
      <c r="FW13" s="60"/>
      <c r="FX13" s="60"/>
      <c r="FY13" s="60"/>
      <c r="FZ13" s="60"/>
      <c r="GA13" s="60"/>
      <c r="GB13" s="60"/>
      <c r="GC13" s="13" t="str">
        <f t="shared" si="61"/>
        <v/>
      </c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62"/>
      <c r="GJ13" s="62"/>
      <c r="GK13" s="62"/>
      <c r="GL13" s="62"/>
      <c r="GM13" s="62"/>
      <c r="GN13" s="62"/>
      <c r="GO13" s="62"/>
      <c r="GP13" s="62"/>
      <c r="GQ13" s="62"/>
      <c r="GR13" s="62"/>
      <c r="GS13" s="62"/>
      <c r="GT13" s="62"/>
      <c r="GU13" s="62"/>
      <c r="GV13" s="62"/>
      <c r="GW13" s="62"/>
      <c r="GX13" s="17" t="str">
        <f t="shared" si="67"/>
        <v/>
      </c>
      <c r="GY13" s="17" t="str">
        <f t="shared" si="68"/>
        <v/>
      </c>
      <c r="GZ13" s="17" t="str">
        <f t="shared" si="69"/>
        <v/>
      </c>
      <c r="HA13" s="17" t="str">
        <f t="shared" si="70"/>
        <v/>
      </c>
      <c r="HB13" s="17" t="str">
        <f t="shared" si="71"/>
        <v/>
      </c>
      <c r="HC13" s="17" t="str">
        <f t="shared" si="72"/>
        <v/>
      </c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  <c r="HO13" s="60"/>
      <c r="HP13" s="60"/>
      <c r="HQ13" s="60"/>
      <c r="HR13" s="60"/>
      <c r="HS13" s="13" t="str">
        <f t="shared" si="73"/>
        <v/>
      </c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62"/>
      <c r="HZ13" s="62"/>
      <c r="IA13" s="62"/>
      <c r="IB13" s="62"/>
      <c r="IC13" s="62"/>
      <c r="ID13" s="62"/>
      <c r="IE13" s="62"/>
      <c r="IF13" s="62"/>
      <c r="IG13" s="62"/>
      <c r="IH13" s="62"/>
      <c r="II13" s="62"/>
      <c r="IJ13" s="62"/>
      <c r="IK13" s="62"/>
      <c r="IL13" s="62"/>
      <c r="IM13" s="62"/>
      <c r="IN13" s="17" t="str">
        <f t="shared" si="79"/>
        <v/>
      </c>
      <c r="IO13" s="17" t="str">
        <f t="shared" si="80"/>
        <v/>
      </c>
      <c r="IP13" s="17" t="str">
        <f t="shared" si="81"/>
        <v/>
      </c>
      <c r="IQ13" s="17" t="str">
        <f t="shared" si="82"/>
        <v/>
      </c>
      <c r="IR13" s="17" t="str">
        <f t="shared" si="83"/>
        <v/>
      </c>
      <c r="IS13" s="17" t="str">
        <f t="shared" si="84"/>
        <v/>
      </c>
      <c r="IT13" s="60"/>
      <c r="IU13" s="60"/>
      <c r="IV13" s="60"/>
      <c r="IW13" s="60"/>
      <c r="IX13" s="60"/>
      <c r="IY13" s="60"/>
      <c r="IZ13" s="60"/>
      <c r="JA13" s="60"/>
      <c r="JB13" s="60"/>
      <c r="JC13" s="60"/>
      <c r="JD13" s="60"/>
      <c r="JE13" s="60"/>
      <c r="JF13" s="60"/>
      <c r="JG13" s="60"/>
      <c r="JH13" s="60"/>
      <c r="JI13" s="13" t="str">
        <f t="shared" si="85"/>
        <v/>
      </c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62"/>
      <c r="JP13" s="62"/>
      <c r="JQ13" s="62"/>
      <c r="JR13" s="62"/>
      <c r="JS13" s="62"/>
      <c r="JT13" s="62"/>
      <c r="JU13" s="62"/>
      <c r="JV13" s="62"/>
      <c r="JW13" s="62"/>
      <c r="JX13" s="62"/>
      <c r="JY13" s="62"/>
      <c r="JZ13" s="62"/>
      <c r="KA13" s="62"/>
      <c r="KB13" s="62"/>
      <c r="KC13" s="62"/>
      <c r="KD13" s="17" t="str">
        <f t="shared" si="91"/>
        <v/>
      </c>
      <c r="KE13" s="17" t="str">
        <f t="shared" si="92"/>
        <v/>
      </c>
      <c r="KF13" s="17" t="str">
        <f t="shared" si="93"/>
        <v/>
      </c>
      <c r="KG13" s="17" t="str">
        <f t="shared" si="94"/>
        <v/>
      </c>
      <c r="KH13" s="17" t="str">
        <f t="shared" si="95"/>
        <v/>
      </c>
      <c r="KI13" s="17" t="str">
        <f t="shared" si="96"/>
        <v/>
      </c>
      <c r="KJ13" s="60"/>
      <c r="KK13" s="60"/>
      <c r="KL13" s="60"/>
      <c r="KM13" s="60"/>
      <c r="KN13" s="60"/>
      <c r="KO13" s="60"/>
      <c r="KP13" s="60"/>
      <c r="KQ13" s="60"/>
      <c r="KR13" s="60"/>
      <c r="KS13" s="60"/>
      <c r="KT13" s="60"/>
      <c r="KU13" s="60"/>
      <c r="KV13" s="60"/>
      <c r="KW13" s="60"/>
      <c r="KX13" s="60"/>
      <c r="KY13" s="13" t="str">
        <f t="shared" si="97"/>
        <v/>
      </c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62"/>
      <c r="LF13" s="62"/>
      <c r="LG13" s="62"/>
      <c r="LH13" s="62"/>
      <c r="LI13" s="62"/>
      <c r="LJ13" s="62"/>
      <c r="LK13" s="62"/>
      <c r="LL13" s="62"/>
      <c r="LM13" s="62"/>
      <c r="LN13" s="62"/>
      <c r="LO13" s="62"/>
      <c r="LP13" s="62"/>
      <c r="LQ13" s="62"/>
      <c r="LR13" s="62"/>
      <c r="LS13" s="62"/>
      <c r="LT13" s="17" t="str">
        <f t="shared" si="103"/>
        <v/>
      </c>
      <c r="LU13" s="17" t="str">
        <f t="shared" si="104"/>
        <v/>
      </c>
      <c r="LV13" s="17" t="str">
        <f t="shared" si="105"/>
        <v/>
      </c>
      <c r="LW13" s="17" t="str">
        <f t="shared" si="106"/>
        <v/>
      </c>
      <c r="LX13" s="17" t="str">
        <f t="shared" si="107"/>
        <v/>
      </c>
      <c r="LY13" s="17" t="str">
        <f t="shared" si="108"/>
        <v/>
      </c>
    </row>
    <row r="17" spans="1:11" x14ac:dyDescent="0.2">
      <c r="A17" s="91" t="s">
        <v>44</v>
      </c>
      <c r="B17" s="91"/>
      <c r="C17" s="21">
        <v>17.2</v>
      </c>
    </row>
    <row r="18" spans="1:11" x14ac:dyDescent="0.2">
      <c r="A18" s="92" t="s">
        <v>42</v>
      </c>
      <c r="B18" s="92"/>
      <c r="C18" s="22">
        <v>93.7</v>
      </c>
    </row>
    <row r="19" spans="1:11" x14ac:dyDescent="0.2">
      <c r="A19" s="93" t="s">
        <v>23</v>
      </c>
      <c r="B19" s="93"/>
      <c r="C19" s="23">
        <v>98.3</v>
      </c>
    </row>
    <row r="20" spans="1:11" x14ac:dyDescent="0.2">
      <c r="A20" s="89" t="s">
        <v>43</v>
      </c>
      <c r="B20" s="89"/>
      <c r="C20" s="24">
        <v>101.1</v>
      </c>
    </row>
    <row r="21" spans="1:11" x14ac:dyDescent="0.2">
      <c r="A21" s="90" t="s">
        <v>112</v>
      </c>
      <c r="B21" s="90"/>
      <c r="C21" s="25">
        <v>104.2</v>
      </c>
      <c r="K21" s="2"/>
    </row>
    <row r="22" spans="1:11" x14ac:dyDescent="0.2">
      <c r="C22" s="3"/>
    </row>
    <row r="23" spans="1:11" x14ac:dyDescent="0.2">
      <c r="A23" s="93" t="s">
        <v>86</v>
      </c>
      <c r="B23" s="93"/>
      <c r="C23" s="23">
        <v>248.9</v>
      </c>
    </row>
    <row r="24" spans="1:11" x14ac:dyDescent="0.2">
      <c r="A24" s="89" t="s">
        <v>87</v>
      </c>
      <c r="B24" s="89"/>
      <c r="C24" s="24">
        <v>256.10000000000002</v>
      </c>
    </row>
    <row r="25" spans="1:11" x14ac:dyDescent="0.2">
      <c r="A25" s="90" t="s">
        <v>113</v>
      </c>
      <c r="B25" s="90"/>
      <c r="C25" s="25">
        <v>264</v>
      </c>
    </row>
  </sheetData>
  <sheetProtection sheet="1" objects="1" scenarios="1" formatCells="0" formatColumns="0" formatRows="0"/>
  <autoFilter ref="A1:LY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sortState ref="A6:LY13">
      <sortCondition descending="1" ref="F1:F13"/>
    </sortState>
  </autoFilter>
  <mergeCells count="88">
    <mergeCell ref="KJ1:LD1"/>
    <mergeCell ref="LE1:LY1"/>
    <mergeCell ref="FN1:GH1"/>
    <mergeCell ref="GI1:HC1"/>
    <mergeCell ref="D1:D3"/>
    <mergeCell ref="R1:R3"/>
    <mergeCell ref="S1:S3"/>
    <mergeCell ref="JO1:KI1"/>
    <mergeCell ref="HD1:HX1"/>
    <mergeCell ref="HY1:IS1"/>
    <mergeCell ref="IT1:JN1"/>
    <mergeCell ref="ES1:FM1"/>
    <mergeCell ref="ES2:EW2"/>
    <mergeCell ref="EX2:FB2"/>
    <mergeCell ref="FC2:FG2"/>
    <mergeCell ref="FN2:FR2"/>
    <mergeCell ref="FS2:FW2"/>
    <mergeCell ref="FX2:GB2"/>
    <mergeCell ref="GI2:GM2"/>
    <mergeCell ref="GN2:GR2"/>
    <mergeCell ref="GS2:GW2"/>
    <mergeCell ref="DC1:DW1"/>
    <mergeCell ref="DX1:ER1"/>
    <mergeCell ref="DC2:DG2"/>
    <mergeCell ref="DH2:DL2"/>
    <mergeCell ref="DM2:DQ2"/>
    <mergeCell ref="DX2:EB2"/>
    <mergeCell ref="EC2:EG2"/>
    <mergeCell ref="EH2:EL2"/>
    <mergeCell ref="T2:X2"/>
    <mergeCell ref="Y2:AC2"/>
    <mergeCell ref="AD2:AH2"/>
    <mergeCell ref="CH1:DB1"/>
    <mergeCell ref="CE1:CG1"/>
    <mergeCell ref="CH2:CL2"/>
    <mergeCell ref="CM2:CQ2"/>
    <mergeCell ref="CR2:CV2"/>
    <mergeCell ref="BJ1:CD1"/>
    <mergeCell ref="AO1:BI1"/>
    <mergeCell ref="AO2:AS2"/>
    <mergeCell ref="AT2:AX2"/>
    <mergeCell ref="AY2:BC2"/>
    <mergeCell ref="BJ2:BN2"/>
    <mergeCell ref="BO2:BS2"/>
    <mergeCell ref="BT2:BX2"/>
    <mergeCell ref="T1:AN1"/>
    <mergeCell ref="A23:B23"/>
    <mergeCell ref="A24:B24"/>
    <mergeCell ref="A25:B25"/>
    <mergeCell ref="A1:A3"/>
    <mergeCell ref="B1:B3"/>
    <mergeCell ref="A17:B17"/>
    <mergeCell ref="A18:B18"/>
    <mergeCell ref="A19:B19"/>
    <mergeCell ref="A20:B20"/>
    <mergeCell ref="A21:B21"/>
    <mergeCell ref="C1:C3"/>
    <mergeCell ref="E1:E3"/>
    <mergeCell ref="F1:F3"/>
    <mergeCell ref="G1:G3"/>
    <mergeCell ref="H1:H3"/>
    <mergeCell ref="Q1:Q3"/>
    <mergeCell ref="I1:I3"/>
    <mergeCell ref="K1:K3"/>
    <mergeCell ref="M1:M3"/>
    <mergeCell ref="O1:O3"/>
    <mergeCell ref="J1:J3"/>
    <mergeCell ref="L1:L3"/>
    <mergeCell ref="N1:N3"/>
    <mergeCell ref="P1:P3"/>
    <mergeCell ref="HD2:HH2"/>
    <mergeCell ref="HI2:HM2"/>
    <mergeCell ref="HN2:HR2"/>
    <mergeCell ref="HY2:IC2"/>
    <mergeCell ref="ID2:IH2"/>
    <mergeCell ref="II2:IM2"/>
    <mergeCell ref="IT2:IX2"/>
    <mergeCell ref="IY2:JC2"/>
    <mergeCell ref="JD2:JH2"/>
    <mergeCell ref="JO2:JS2"/>
    <mergeCell ref="LE2:LI2"/>
    <mergeCell ref="LJ2:LN2"/>
    <mergeCell ref="LO2:LS2"/>
    <mergeCell ref="JT2:JX2"/>
    <mergeCell ref="JY2:KC2"/>
    <mergeCell ref="KJ2:KN2"/>
    <mergeCell ref="KO2:KS2"/>
    <mergeCell ref="KT2:KX2"/>
  </mergeCells>
  <conditionalFormatting sqref="AI4:AI13">
    <cfRule type="cellIs" dxfId="512" priority="379" operator="between">
      <formula>$C$17</formula>
      <formula>100</formula>
    </cfRule>
  </conditionalFormatting>
  <conditionalFormatting sqref="AL4:AL13">
    <cfRule type="cellIs" dxfId="511" priority="385" operator="between">
      <formula>$C$21</formula>
      <formula>1000</formula>
    </cfRule>
    <cfRule type="cellIs" dxfId="510" priority="386" operator="between">
      <formula>$C$20</formula>
      <formula>$C$21</formula>
    </cfRule>
    <cfRule type="cellIs" dxfId="509" priority="387" operator="between">
      <formula>$C$19</formula>
      <formula>$C$20</formula>
    </cfRule>
    <cfRule type="expression" dxfId="508" priority="388">
      <formula>IF(AND(AL4&gt;=$C$18,AL4&lt;$C$19,YEAR(TODAY())-$D4&lt;2),1,0)</formula>
    </cfRule>
  </conditionalFormatting>
  <conditionalFormatting sqref="H4:H13">
    <cfRule type="containsText" dxfId="507" priority="330" operator="containsText" text="Merit">
      <formula>NOT(ISERROR(SEARCH("Merit",H4)))</formula>
    </cfRule>
    <cfRule type="containsText" dxfId="506" priority="331" operator="containsText" text="Funding">
      <formula>NOT(ISERROR(SEARCH("Funding",H4)))</formula>
    </cfRule>
    <cfRule type="containsText" dxfId="505" priority="332" operator="containsText" text="Team">
      <formula>NOT(ISERROR(SEARCH("Team",H4)))</formula>
    </cfRule>
    <cfRule type="containsText" dxfId="504" priority="333" operator="containsText" text="First 2 Years">
      <formula>NOT(ISERROR(SEARCH("First 2 Years",H4)))</formula>
    </cfRule>
  </conditionalFormatting>
  <conditionalFormatting sqref="A4:A13">
    <cfRule type="expression" dxfId="503" priority="278">
      <formula>AND(H4="First 2 Years",F4="")</formula>
    </cfRule>
    <cfRule type="expression" dxfId="502" priority="279">
      <formula>AND(I4&gt;=$C$19,F4="")</formula>
    </cfRule>
  </conditionalFormatting>
  <conditionalFormatting sqref="J4:J13">
    <cfRule type="expression" dxfId="501" priority="275">
      <formula>IF(I4=CB4,1,0)</formula>
    </cfRule>
    <cfRule type="expression" dxfId="500" priority="276">
      <formula>IF(I4=BG4,1,0)</formula>
    </cfRule>
    <cfRule type="expression" dxfId="499" priority="277">
      <formula>IF(I4=AL4,1,0)</formula>
    </cfRule>
  </conditionalFormatting>
  <conditionalFormatting sqref="L4:L13">
    <cfRule type="expression" dxfId="498" priority="272">
      <formula>IF(K4=BZ4,1,0)</formula>
    </cfRule>
    <cfRule type="expression" dxfId="497" priority="273">
      <formula>IF(K4=BE4,1,0)</formula>
    </cfRule>
    <cfRule type="expression" dxfId="496" priority="274">
      <formula>IF(K4=AJ4,1,0)</formula>
    </cfRule>
  </conditionalFormatting>
  <conditionalFormatting sqref="N4:N13 P4:P13">
    <cfRule type="expression" dxfId="495" priority="269">
      <formula>IF(M4=CA4,1,0)</formula>
    </cfRule>
    <cfRule type="expression" dxfId="494" priority="270">
      <formula>IF(M4=BF4,1,0)</formula>
    </cfRule>
    <cfRule type="expression" dxfId="493" priority="271">
      <formula>IF(M4=AK4,1,0)</formula>
    </cfRule>
  </conditionalFormatting>
  <conditionalFormatting sqref="CW4:CW13">
    <cfRule type="cellIs" dxfId="492" priority="220" operator="between">
      <formula>$C$17</formula>
      <formula>100</formula>
    </cfRule>
  </conditionalFormatting>
  <conditionalFormatting sqref="FH4:FH13">
    <cfRule type="cellIs" dxfId="491" priority="163" operator="between">
      <formula>$C$17</formula>
      <formula>100</formula>
    </cfRule>
  </conditionalFormatting>
  <conditionalFormatting sqref="DR4:DR13">
    <cfRule type="cellIs" dxfId="490" priority="173" operator="between">
      <formula>$C$17</formula>
      <formula>100</formula>
    </cfRule>
  </conditionalFormatting>
  <conditionalFormatting sqref="EM4:EM13">
    <cfRule type="cellIs" dxfId="489" priority="168" operator="between">
      <formula>$C$17</formula>
      <formula>100</formula>
    </cfRule>
  </conditionalFormatting>
  <conditionalFormatting sqref="GC4:GC13">
    <cfRule type="cellIs" dxfId="488" priority="158" operator="between">
      <formula>$C$17</formula>
      <formula>100</formula>
    </cfRule>
  </conditionalFormatting>
  <conditionalFormatting sqref="GX4:GX13">
    <cfRule type="cellIs" dxfId="487" priority="153" operator="between">
      <formula>$C$17</formula>
      <formula>100</formula>
    </cfRule>
  </conditionalFormatting>
  <conditionalFormatting sqref="HS4:HS13">
    <cfRule type="cellIs" dxfId="486" priority="148" operator="between">
      <formula>$C$17</formula>
      <formula>100</formula>
    </cfRule>
  </conditionalFormatting>
  <conditionalFormatting sqref="IN4:IN13">
    <cfRule type="cellIs" dxfId="485" priority="143" operator="between">
      <formula>$C$17</formula>
      <formula>100</formula>
    </cfRule>
  </conditionalFormatting>
  <conditionalFormatting sqref="JI4:JI13">
    <cfRule type="cellIs" dxfId="484" priority="138" operator="between">
      <formula>$C$17</formula>
      <formula>100</formula>
    </cfRule>
  </conditionalFormatting>
  <conditionalFormatting sqref="KD4:KD13">
    <cfRule type="cellIs" dxfId="483" priority="133" operator="between">
      <formula>$C$17</formula>
      <formula>100</formula>
    </cfRule>
  </conditionalFormatting>
  <conditionalFormatting sqref="KY4:KY13">
    <cfRule type="cellIs" dxfId="482" priority="128" operator="between">
      <formula>$C$17</formula>
      <formula>100</formula>
    </cfRule>
  </conditionalFormatting>
  <conditionalFormatting sqref="LT4:LT13">
    <cfRule type="cellIs" dxfId="481" priority="123" operator="between">
      <formula>$C$17</formula>
      <formula>100</formula>
    </cfRule>
  </conditionalFormatting>
  <conditionalFormatting sqref="BD4:BD13">
    <cfRule type="cellIs" dxfId="480" priority="118" operator="between">
      <formula>$C$17</formula>
      <formula>100</formula>
    </cfRule>
  </conditionalFormatting>
  <conditionalFormatting sqref="BY4:BY13">
    <cfRule type="cellIs" dxfId="479" priority="113" operator="between">
      <formula>$C$17</formula>
      <formula>100</formula>
    </cfRule>
  </conditionalFormatting>
  <conditionalFormatting sqref="B4:C13">
    <cfRule type="expression" dxfId="478" priority="548">
      <formula>$E4&gt;=$C$25</formula>
    </cfRule>
    <cfRule type="expression" dxfId="477" priority="549">
      <formula>AND($E4&gt;=$C$24,$E4&lt;$C$25)</formula>
    </cfRule>
    <cfRule type="expression" dxfId="476" priority="550">
      <formula>AND($E4&gt;=$C$23,$E4&lt;$C$24)</formula>
    </cfRule>
  </conditionalFormatting>
  <conditionalFormatting sqref="BG4:BG13">
    <cfRule type="cellIs" dxfId="475" priority="53" operator="between">
      <formula>$C$21</formula>
      <formula>1000</formula>
    </cfRule>
    <cfRule type="cellIs" dxfId="474" priority="54" operator="between">
      <formula>$C$20</formula>
      <formula>$C$21</formula>
    </cfRule>
    <cfRule type="cellIs" dxfId="473" priority="55" operator="between">
      <formula>$C$19</formula>
      <formula>$C$20</formula>
    </cfRule>
    <cfRule type="expression" dxfId="472" priority="56">
      <formula>IF(AND(BG4&gt;=$C$18,BG4&lt;$C$19,YEAR(TODAY())-$D4&lt;2),1,0)</formula>
    </cfRule>
  </conditionalFormatting>
  <conditionalFormatting sqref="CB4:CB13">
    <cfRule type="cellIs" dxfId="471" priority="49" operator="between">
      <formula>$C$21</formula>
      <formula>1000</formula>
    </cfRule>
    <cfRule type="cellIs" dxfId="470" priority="50" operator="between">
      <formula>$C$20</formula>
      <formula>$C$21</formula>
    </cfRule>
    <cfRule type="cellIs" dxfId="469" priority="51" operator="between">
      <formula>$C$19</formula>
      <formula>$C$20</formula>
    </cfRule>
    <cfRule type="expression" dxfId="468" priority="52">
      <formula>IF(AND(CB4&gt;=$C$18,CB4&lt;$C$19,YEAR(TODAY())-$D4&lt;2),1,0)</formula>
    </cfRule>
  </conditionalFormatting>
  <conditionalFormatting sqref="CZ4:CZ13">
    <cfRule type="cellIs" dxfId="467" priority="45" operator="between">
      <formula>$C$21</formula>
      <formula>1000</formula>
    </cfRule>
    <cfRule type="cellIs" dxfId="466" priority="46" operator="between">
      <formula>$C$20</formula>
      <formula>$C$21</formula>
    </cfRule>
    <cfRule type="cellIs" dxfId="465" priority="47" operator="between">
      <formula>$C$19</formula>
      <formula>$C$20</formula>
    </cfRule>
    <cfRule type="expression" dxfId="464" priority="48">
      <formula>IF(AND(CZ4&gt;=$C$18,CZ4&lt;$C$19,YEAR(TODAY())-$D4&lt;2),1,0)</formula>
    </cfRule>
  </conditionalFormatting>
  <conditionalFormatting sqref="DU4:DU13">
    <cfRule type="cellIs" dxfId="463" priority="41" operator="between">
      <formula>$C$21</formula>
      <formula>1000</formula>
    </cfRule>
    <cfRule type="cellIs" dxfId="462" priority="42" operator="between">
      <formula>$C$20</formula>
      <formula>$C$21</formula>
    </cfRule>
    <cfRule type="cellIs" dxfId="461" priority="43" operator="between">
      <formula>$C$19</formula>
      <formula>$C$20</formula>
    </cfRule>
    <cfRule type="expression" dxfId="460" priority="44">
      <formula>IF(AND(DU4&gt;=$C$18,DU4&lt;$C$19,YEAR(TODAY())-$D4&lt;2),1,0)</formula>
    </cfRule>
  </conditionalFormatting>
  <conditionalFormatting sqref="EP4:EP13">
    <cfRule type="cellIs" dxfId="459" priority="37" operator="between">
      <formula>$C$21</formula>
      <formula>1000</formula>
    </cfRule>
    <cfRule type="cellIs" dxfId="458" priority="38" operator="between">
      <formula>$C$20</formula>
      <formula>$C$21</formula>
    </cfRule>
    <cfRule type="cellIs" dxfId="457" priority="39" operator="between">
      <formula>$C$19</formula>
      <formula>$C$20</formula>
    </cfRule>
    <cfRule type="expression" dxfId="456" priority="40">
      <formula>IF(AND(EP4&gt;=$C$18,EP4&lt;$C$19,YEAR(TODAY())-$D4&lt;2),1,0)</formula>
    </cfRule>
  </conditionalFormatting>
  <conditionalFormatting sqref="FK4:FK13">
    <cfRule type="cellIs" dxfId="455" priority="33" operator="between">
      <formula>$C$21</formula>
      <formula>1000</formula>
    </cfRule>
    <cfRule type="cellIs" dxfId="454" priority="34" operator="between">
      <formula>$C$20</formula>
      <formula>$C$21</formula>
    </cfRule>
    <cfRule type="cellIs" dxfId="453" priority="35" operator="between">
      <formula>$C$19</formula>
      <formula>$C$20</formula>
    </cfRule>
    <cfRule type="expression" dxfId="452" priority="36">
      <formula>IF(AND(FK4&gt;=$C$18,FK4&lt;$C$19,YEAR(TODAY())-$D4&lt;2),1,0)</formula>
    </cfRule>
  </conditionalFormatting>
  <conditionalFormatting sqref="GF4:GF13">
    <cfRule type="cellIs" dxfId="451" priority="29" operator="between">
      <formula>$C$21</formula>
      <formula>1000</formula>
    </cfRule>
    <cfRule type="cellIs" dxfId="450" priority="30" operator="between">
      <formula>$C$20</formula>
      <formula>$C$21</formula>
    </cfRule>
    <cfRule type="cellIs" dxfId="449" priority="31" operator="between">
      <formula>$C$19</formula>
      <formula>$C$20</formula>
    </cfRule>
    <cfRule type="expression" dxfId="448" priority="32">
      <formula>IF(AND(GF4&gt;=$C$18,GF4&lt;$C$19,YEAR(TODAY())-$D4&lt;2),1,0)</formula>
    </cfRule>
  </conditionalFormatting>
  <conditionalFormatting sqref="HA4:HA13">
    <cfRule type="cellIs" dxfId="447" priority="25" operator="between">
      <formula>$C$21</formula>
      <formula>1000</formula>
    </cfRule>
    <cfRule type="cellIs" dxfId="446" priority="26" operator="between">
      <formula>$C$20</formula>
      <formula>$C$21</formula>
    </cfRule>
    <cfRule type="cellIs" dxfId="445" priority="27" operator="between">
      <formula>$C$19</formula>
      <formula>$C$20</formula>
    </cfRule>
    <cfRule type="expression" dxfId="444" priority="28">
      <formula>IF(AND(HA4&gt;=$C$18,HA4&lt;$C$19,YEAR(TODAY())-$D4&lt;2),1,0)</formula>
    </cfRule>
  </conditionalFormatting>
  <conditionalFormatting sqref="HV4:HV13">
    <cfRule type="cellIs" dxfId="443" priority="21" operator="between">
      <formula>$C$21</formula>
      <formula>1000</formula>
    </cfRule>
    <cfRule type="cellIs" dxfId="442" priority="22" operator="between">
      <formula>$C$20</formula>
      <formula>$C$21</formula>
    </cfRule>
    <cfRule type="cellIs" dxfId="441" priority="23" operator="between">
      <formula>$C$19</formula>
      <formula>$C$20</formula>
    </cfRule>
    <cfRule type="expression" dxfId="440" priority="24">
      <formula>IF(AND(HV4&gt;=$C$18,HV4&lt;$C$19,YEAR(TODAY())-$D4&lt;2),1,0)</formula>
    </cfRule>
  </conditionalFormatting>
  <conditionalFormatting sqref="IQ4:IQ13">
    <cfRule type="cellIs" dxfId="439" priority="17" operator="between">
      <formula>$C$21</formula>
      <formula>1000</formula>
    </cfRule>
    <cfRule type="cellIs" dxfId="438" priority="18" operator="between">
      <formula>$C$20</formula>
      <formula>$C$21</formula>
    </cfRule>
    <cfRule type="cellIs" dxfId="437" priority="19" operator="between">
      <formula>$C$19</formula>
      <formula>$C$20</formula>
    </cfRule>
    <cfRule type="expression" dxfId="436" priority="20">
      <formula>IF(AND(IQ4&gt;=$C$18,IQ4&lt;$C$19,YEAR(TODAY())-$D4&lt;2),1,0)</formula>
    </cfRule>
  </conditionalFormatting>
  <conditionalFormatting sqref="JL4:JL13">
    <cfRule type="cellIs" dxfId="435" priority="13" operator="between">
      <formula>$C$21</formula>
      <formula>1000</formula>
    </cfRule>
    <cfRule type="cellIs" dxfId="434" priority="14" operator="between">
      <formula>$C$20</formula>
      <formula>$C$21</formula>
    </cfRule>
    <cfRule type="cellIs" dxfId="433" priority="15" operator="between">
      <formula>$C$19</formula>
      <formula>$C$20</formula>
    </cfRule>
    <cfRule type="expression" dxfId="432" priority="16">
      <formula>IF(AND(JL4&gt;=$C$18,JL4&lt;$C$19,YEAR(TODAY())-$D4&lt;2),1,0)</formula>
    </cfRule>
  </conditionalFormatting>
  <conditionalFormatting sqref="KG4:KG13">
    <cfRule type="cellIs" dxfId="431" priority="9" operator="between">
      <formula>$C$21</formula>
      <formula>1000</formula>
    </cfRule>
    <cfRule type="cellIs" dxfId="430" priority="10" operator="between">
      <formula>$C$20</formula>
      <formula>$C$21</formula>
    </cfRule>
    <cfRule type="cellIs" dxfId="429" priority="11" operator="between">
      <formula>$C$19</formula>
      <formula>$C$20</formula>
    </cfRule>
    <cfRule type="expression" dxfId="428" priority="12">
      <formula>IF(AND(KG4&gt;=$C$18,KG4&lt;$C$19,YEAR(TODAY())-$D4&lt;2),1,0)</formula>
    </cfRule>
  </conditionalFormatting>
  <conditionalFormatting sqref="LB4:LB13">
    <cfRule type="cellIs" dxfId="427" priority="5" operator="between">
      <formula>$C$21</formula>
      <formula>1000</formula>
    </cfRule>
    <cfRule type="cellIs" dxfId="426" priority="6" operator="between">
      <formula>$C$20</formula>
      <formula>$C$21</formula>
    </cfRule>
    <cfRule type="cellIs" dxfId="425" priority="7" operator="between">
      <formula>$C$19</formula>
      <formula>$C$20</formula>
    </cfRule>
    <cfRule type="expression" dxfId="424" priority="8">
      <formula>IF(AND(LB4&gt;=$C$18,LB4&lt;$C$19,YEAR(TODAY())-$D4&lt;2),1,0)</formula>
    </cfRule>
  </conditionalFormatting>
  <conditionalFormatting sqref="LW4:LW13">
    <cfRule type="cellIs" dxfId="423" priority="1" operator="between">
      <formula>$C$21</formula>
      <formula>1000</formula>
    </cfRule>
    <cfRule type="cellIs" dxfId="422" priority="2" operator="between">
      <formula>$C$20</formula>
      <formula>$C$21</formula>
    </cfRule>
    <cfRule type="cellIs" dxfId="421" priority="3" operator="between">
      <formula>$C$19</formula>
      <formula>$C$20</formula>
    </cfRule>
    <cfRule type="expression" dxfId="420" priority="4">
      <formula>IF(AND(LW4&gt;=$C$18,LW4&lt;$C$19,YEAR(TODAY())-$D4&lt;2),1,0)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Y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customWidth="1"/>
    <col min="18" max="18" width="13" bestFit="1" customWidth="1"/>
    <col min="19" max="19" width="51.1640625" bestFit="1" customWidth="1"/>
    <col min="20" max="34" width="10.83203125" hidden="1" customWidth="1"/>
    <col min="35" max="40" width="10.83203125" customWidth="1"/>
    <col min="41" max="55" width="10.83203125" hidden="1" customWidth="1"/>
    <col min="56" max="61" width="10.83203125" customWidth="1"/>
    <col min="62" max="76" width="10.83203125" hidden="1" customWidth="1"/>
    <col min="77" max="82" width="10.83203125" customWidth="1"/>
    <col min="86" max="100" width="10.83203125" hidden="1" customWidth="1"/>
    <col min="101" max="106" width="10.83203125" customWidth="1"/>
    <col min="107" max="121" width="10.83203125" hidden="1" customWidth="1"/>
    <col min="122" max="127" width="10.83203125" customWidth="1"/>
    <col min="128" max="142" width="10.83203125" hidden="1" customWidth="1"/>
    <col min="143" max="148" width="10.83203125" customWidth="1"/>
    <col min="149" max="163" width="10.83203125" hidden="1" customWidth="1"/>
    <col min="164" max="169" width="10.83203125" customWidth="1"/>
    <col min="170" max="184" width="10.83203125" hidden="1" customWidth="1"/>
    <col min="185" max="190" width="10.83203125" customWidth="1"/>
    <col min="191" max="205" width="10.83203125" hidden="1" customWidth="1"/>
    <col min="206" max="211" width="10.83203125" customWidth="1"/>
    <col min="212" max="226" width="10.83203125" hidden="1" customWidth="1"/>
    <col min="227" max="232" width="10.83203125" customWidth="1"/>
    <col min="233" max="247" width="10.83203125" hidden="1" customWidth="1"/>
    <col min="248" max="253" width="10.83203125" customWidth="1"/>
    <col min="254" max="268" width="10.83203125" hidden="1" customWidth="1"/>
    <col min="269" max="274" width="10.83203125" customWidth="1"/>
    <col min="275" max="289" width="10.83203125" hidden="1" customWidth="1"/>
    <col min="290" max="295" width="10.83203125" customWidth="1"/>
    <col min="296" max="310" width="10.83203125" hidden="1" customWidth="1"/>
    <col min="311" max="316" width="10.83203125" customWidth="1"/>
    <col min="317" max="331" width="10.83203125" hidden="1" customWidth="1"/>
    <col min="332" max="337" width="10.83203125" customWidth="1"/>
  </cols>
  <sheetData>
    <row r="1" spans="1:337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26</v>
      </c>
      <c r="L1" s="97" t="s">
        <v>105</v>
      </c>
      <c r="M1" s="97" t="s">
        <v>27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94" t="s">
        <v>40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5" t="s">
        <v>41</v>
      </c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4" t="s">
        <v>114</v>
      </c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100" t="s">
        <v>29</v>
      </c>
      <c r="CF1" s="100"/>
      <c r="CG1" s="100"/>
      <c r="CH1" s="94" t="s">
        <v>125</v>
      </c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  <c r="DR1" s="95"/>
      <c r="DS1" s="95"/>
      <c r="DT1" s="95"/>
      <c r="DU1" s="95"/>
      <c r="DV1" s="95"/>
      <c r="DW1" s="95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5"/>
      <c r="ET1" s="95"/>
      <c r="EU1" s="95"/>
      <c r="EV1" s="95"/>
      <c r="EW1" s="95"/>
      <c r="EX1" s="95"/>
      <c r="EY1" s="95"/>
      <c r="EZ1" s="95"/>
      <c r="FA1" s="95"/>
      <c r="FB1" s="95"/>
      <c r="FC1" s="95"/>
      <c r="FD1" s="95"/>
      <c r="FE1" s="95"/>
      <c r="FF1" s="95"/>
      <c r="FG1" s="95"/>
      <c r="FH1" s="95"/>
      <c r="FI1" s="95"/>
      <c r="FJ1" s="95"/>
      <c r="FK1" s="95"/>
      <c r="FL1" s="95"/>
      <c r="FM1" s="95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4"/>
      <c r="FY1" s="94"/>
      <c r="FZ1" s="94"/>
      <c r="GA1" s="94"/>
      <c r="GB1" s="94"/>
      <c r="GC1" s="94"/>
      <c r="GD1" s="94"/>
      <c r="GE1" s="94"/>
      <c r="GF1" s="94"/>
      <c r="GG1" s="94"/>
      <c r="GH1" s="94"/>
      <c r="GI1" s="95"/>
      <c r="GJ1" s="95"/>
      <c r="GK1" s="95"/>
      <c r="GL1" s="95"/>
      <c r="GM1" s="95"/>
      <c r="GN1" s="95"/>
      <c r="GO1" s="95"/>
      <c r="GP1" s="95"/>
      <c r="GQ1" s="95"/>
      <c r="GR1" s="95"/>
      <c r="GS1" s="95"/>
      <c r="GT1" s="95"/>
      <c r="GU1" s="95"/>
      <c r="GV1" s="95"/>
      <c r="GW1" s="95"/>
      <c r="GX1" s="95"/>
      <c r="GY1" s="95"/>
      <c r="GZ1" s="95"/>
      <c r="HA1" s="95"/>
      <c r="HB1" s="95"/>
      <c r="HC1" s="95"/>
      <c r="HD1" s="94"/>
      <c r="HE1" s="94"/>
      <c r="HF1" s="94"/>
      <c r="HG1" s="94"/>
      <c r="HH1" s="94"/>
      <c r="HI1" s="94"/>
      <c r="HJ1" s="94"/>
      <c r="HK1" s="94"/>
      <c r="HL1" s="94"/>
      <c r="HM1" s="94"/>
      <c r="HN1" s="94"/>
      <c r="HO1" s="94"/>
      <c r="HP1" s="94"/>
      <c r="HQ1" s="94"/>
      <c r="HR1" s="94"/>
      <c r="HS1" s="94"/>
      <c r="HT1" s="94"/>
      <c r="HU1" s="94"/>
      <c r="HV1" s="94"/>
      <c r="HW1" s="94"/>
      <c r="HX1" s="94"/>
      <c r="HY1" s="95"/>
      <c r="HZ1" s="95"/>
      <c r="IA1" s="95"/>
      <c r="IB1" s="95"/>
      <c r="IC1" s="95"/>
      <c r="ID1" s="95"/>
      <c r="IE1" s="95"/>
      <c r="IF1" s="95"/>
      <c r="IG1" s="95"/>
      <c r="IH1" s="95"/>
      <c r="II1" s="95"/>
      <c r="IJ1" s="95"/>
      <c r="IK1" s="95"/>
      <c r="IL1" s="95"/>
      <c r="IM1" s="95"/>
      <c r="IN1" s="95"/>
      <c r="IO1" s="95"/>
      <c r="IP1" s="95"/>
      <c r="IQ1" s="95"/>
      <c r="IR1" s="95"/>
      <c r="IS1" s="95"/>
      <c r="IT1" s="94"/>
      <c r="IU1" s="94"/>
      <c r="IV1" s="94"/>
      <c r="IW1" s="94"/>
      <c r="IX1" s="94"/>
      <c r="IY1" s="94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94"/>
      <c r="JK1" s="94"/>
      <c r="JL1" s="94"/>
      <c r="JM1" s="94"/>
      <c r="JN1" s="94"/>
      <c r="JO1" s="95"/>
      <c r="JP1" s="95"/>
      <c r="JQ1" s="95"/>
      <c r="JR1" s="95"/>
      <c r="JS1" s="95"/>
      <c r="JT1" s="95"/>
      <c r="JU1" s="95"/>
      <c r="JV1" s="95"/>
      <c r="JW1" s="95"/>
      <c r="JX1" s="95"/>
      <c r="JY1" s="95"/>
      <c r="JZ1" s="95"/>
      <c r="KA1" s="95"/>
      <c r="KB1" s="95"/>
      <c r="KC1" s="95"/>
      <c r="KD1" s="95"/>
      <c r="KE1" s="95"/>
      <c r="KF1" s="95"/>
      <c r="KG1" s="95"/>
      <c r="KH1" s="95"/>
      <c r="KI1" s="95"/>
      <c r="KJ1" s="94"/>
      <c r="KK1" s="94"/>
      <c r="KL1" s="94"/>
      <c r="KM1" s="94"/>
      <c r="KN1" s="94"/>
      <c r="KO1" s="94"/>
      <c r="KP1" s="94"/>
      <c r="KQ1" s="94"/>
      <c r="KR1" s="94"/>
      <c r="KS1" s="94"/>
      <c r="KT1" s="94"/>
      <c r="KU1" s="94"/>
      <c r="KV1" s="94"/>
      <c r="KW1" s="94"/>
      <c r="KX1" s="94"/>
      <c r="KY1" s="94"/>
      <c r="KZ1" s="94"/>
      <c r="LA1" s="94"/>
      <c r="LB1" s="94"/>
      <c r="LC1" s="94"/>
      <c r="LD1" s="94"/>
      <c r="LE1" s="95"/>
      <c r="LF1" s="95"/>
      <c r="LG1" s="95"/>
      <c r="LH1" s="95"/>
      <c r="LI1" s="95"/>
      <c r="LJ1" s="95"/>
      <c r="LK1" s="95"/>
      <c r="LL1" s="95"/>
      <c r="LM1" s="95"/>
      <c r="LN1" s="95"/>
      <c r="LO1" s="95"/>
      <c r="LP1" s="95"/>
      <c r="LQ1" s="95"/>
      <c r="LR1" s="95"/>
      <c r="LS1" s="95"/>
      <c r="LT1" s="95"/>
      <c r="LU1" s="95"/>
      <c r="LV1" s="95"/>
      <c r="LW1" s="95"/>
      <c r="LX1" s="95"/>
      <c r="LY1" s="95"/>
    </row>
    <row r="2" spans="1:337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34</v>
      </c>
      <c r="U2" s="88"/>
      <c r="V2" s="88"/>
      <c r="W2" s="88"/>
      <c r="X2" s="88"/>
      <c r="Y2" s="88" t="s">
        <v>35</v>
      </c>
      <c r="Z2" s="88"/>
      <c r="AA2" s="88"/>
      <c r="AB2" s="88"/>
      <c r="AC2" s="88"/>
      <c r="AD2" s="88" t="s">
        <v>38</v>
      </c>
      <c r="AE2" s="88"/>
      <c r="AF2" s="88"/>
      <c r="AG2" s="88"/>
      <c r="AH2" s="88"/>
      <c r="AI2" s="30" t="s">
        <v>45</v>
      </c>
      <c r="AJ2" s="11" t="s">
        <v>36</v>
      </c>
      <c r="AK2" s="11" t="s">
        <v>37</v>
      </c>
      <c r="AL2" s="11" t="s">
        <v>39</v>
      </c>
      <c r="AM2" s="11" t="s">
        <v>38</v>
      </c>
      <c r="AN2" s="11" t="s">
        <v>33</v>
      </c>
      <c r="AO2" s="87" t="s">
        <v>34</v>
      </c>
      <c r="AP2" s="87"/>
      <c r="AQ2" s="87"/>
      <c r="AR2" s="87"/>
      <c r="AS2" s="87"/>
      <c r="AT2" s="87" t="s">
        <v>35</v>
      </c>
      <c r="AU2" s="87"/>
      <c r="AV2" s="87"/>
      <c r="AW2" s="87"/>
      <c r="AX2" s="87"/>
      <c r="AY2" s="87" t="s">
        <v>38</v>
      </c>
      <c r="AZ2" s="87"/>
      <c r="BA2" s="87"/>
      <c r="BB2" s="87"/>
      <c r="BC2" s="87"/>
      <c r="BD2" s="29" t="s">
        <v>45</v>
      </c>
      <c r="BE2" s="15" t="s">
        <v>36</v>
      </c>
      <c r="BF2" s="15" t="s">
        <v>37</v>
      </c>
      <c r="BG2" s="15" t="s">
        <v>39</v>
      </c>
      <c r="BH2" s="15" t="s">
        <v>38</v>
      </c>
      <c r="BI2" s="15" t="s">
        <v>33</v>
      </c>
      <c r="BJ2" s="88" t="s">
        <v>34</v>
      </c>
      <c r="BK2" s="88"/>
      <c r="BL2" s="88"/>
      <c r="BM2" s="88"/>
      <c r="BN2" s="88"/>
      <c r="BO2" s="88" t="s">
        <v>35</v>
      </c>
      <c r="BP2" s="88"/>
      <c r="BQ2" s="88"/>
      <c r="BR2" s="88"/>
      <c r="BS2" s="88"/>
      <c r="BT2" s="88" t="s">
        <v>38</v>
      </c>
      <c r="BU2" s="88"/>
      <c r="BV2" s="88"/>
      <c r="BW2" s="88"/>
      <c r="BX2" s="88"/>
      <c r="BY2" s="30" t="s">
        <v>45</v>
      </c>
      <c r="BZ2" s="11" t="s">
        <v>36</v>
      </c>
      <c r="CA2" s="11" t="s">
        <v>37</v>
      </c>
      <c r="CB2" s="11" t="s">
        <v>39</v>
      </c>
      <c r="CC2" s="11" t="s">
        <v>38</v>
      </c>
      <c r="CD2" s="11" t="s">
        <v>33</v>
      </c>
      <c r="CE2" s="41" t="s">
        <v>36</v>
      </c>
      <c r="CF2" s="41" t="s">
        <v>37</v>
      </c>
      <c r="CG2" s="41" t="s">
        <v>38</v>
      </c>
      <c r="CH2" s="88" t="s">
        <v>34</v>
      </c>
      <c r="CI2" s="88"/>
      <c r="CJ2" s="88"/>
      <c r="CK2" s="88"/>
      <c r="CL2" s="88"/>
      <c r="CM2" s="88" t="s">
        <v>35</v>
      </c>
      <c r="CN2" s="88"/>
      <c r="CO2" s="88"/>
      <c r="CP2" s="88"/>
      <c r="CQ2" s="88"/>
      <c r="CR2" s="88" t="s">
        <v>38</v>
      </c>
      <c r="CS2" s="88"/>
      <c r="CT2" s="88"/>
      <c r="CU2" s="88"/>
      <c r="CV2" s="88"/>
      <c r="CW2" s="30" t="s">
        <v>45</v>
      </c>
      <c r="CX2" s="11" t="s">
        <v>36</v>
      </c>
      <c r="CY2" s="11" t="s">
        <v>37</v>
      </c>
      <c r="CZ2" s="11" t="s">
        <v>39</v>
      </c>
      <c r="DA2" s="11" t="s">
        <v>38</v>
      </c>
      <c r="DB2" s="11" t="s">
        <v>33</v>
      </c>
      <c r="DC2" s="87" t="s">
        <v>34</v>
      </c>
      <c r="DD2" s="87"/>
      <c r="DE2" s="87"/>
      <c r="DF2" s="87"/>
      <c r="DG2" s="87"/>
      <c r="DH2" s="87" t="s">
        <v>35</v>
      </c>
      <c r="DI2" s="87"/>
      <c r="DJ2" s="87"/>
      <c r="DK2" s="87"/>
      <c r="DL2" s="87"/>
      <c r="DM2" s="87" t="s">
        <v>38</v>
      </c>
      <c r="DN2" s="87"/>
      <c r="DO2" s="87"/>
      <c r="DP2" s="87"/>
      <c r="DQ2" s="87"/>
      <c r="DR2" s="37" t="s">
        <v>45</v>
      </c>
      <c r="DS2" s="15" t="s">
        <v>36</v>
      </c>
      <c r="DT2" s="15" t="s">
        <v>37</v>
      </c>
      <c r="DU2" s="15" t="s">
        <v>39</v>
      </c>
      <c r="DV2" s="15" t="s">
        <v>38</v>
      </c>
      <c r="DW2" s="15" t="s">
        <v>33</v>
      </c>
      <c r="DX2" s="88" t="s">
        <v>34</v>
      </c>
      <c r="DY2" s="88"/>
      <c r="DZ2" s="88"/>
      <c r="EA2" s="88"/>
      <c r="EB2" s="88"/>
      <c r="EC2" s="88" t="s">
        <v>35</v>
      </c>
      <c r="ED2" s="88"/>
      <c r="EE2" s="88"/>
      <c r="EF2" s="88"/>
      <c r="EG2" s="88"/>
      <c r="EH2" s="88" t="s">
        <v>38</v>
      </c>
      <c r="EI2" s="88"/>
      <c r="EJ2" s="88"/>
      <c r="EK2" s="88"/>
      <c r="EL2" s="88"/>
      <c r="EM2" s="38" t="s">
        <v>45</v>
      </c>
      <c r="EN2" s="11" t="s">
        <v>36</v>
      </c>
      <c r="EO2" s="11" t="s">
        <v>37</v>
      </c>
      <c r="EP2" s="11" t="s">
        <v>39</v>
      </c>
      <c r="EQ2" s="11" t="s">
        <v>38</v>
      </c>
      <c r="ER2" s="11" t="s">
        <v>33</v>
      </c>
      <c r="ES2" s="87" t="s">
        <v>34</v>
      </c>
      <c r="ET2" s="87"/>
      <c r="EU2" s="87"/>
      <c r="EV2" s="87"/>
      <c r="EW2" s="87"/>
      <c r="EX2" s="87" t="s">
        <v>35</v>
      </c>
      <c r="EY2" s="87"/>
      <c r="EZ2" s="87"/>
      <c r="FA2" s="87"/>
      <c r="FB2" s="87"/>
      <c r="FC2" s="87" t="s">
        <v>38</v>
      </c>
      <c r="FD2" s="87"/>
      <c r="FE2" s="87"/>
      <c r="FF2" s="87"/>
      <c r="FG2" s="87"/>
      <c r="FH2" s="37" t="s">
        <v>45</v>
      </c>
      <c r="FI2" s="15" t="s">
        <v>36</v>
      </c>
      <c r="FJ2" s="15" t="s">
        <v>37</v>
      </c>
      <c r="FK2" s="15" t="s">
        <v>39</v>
      </c>
      <c r="FL2" s="15" t="s">
        <v>38</v>
      </c>
      <c r="FM2" s="15" t="s">
        <v>33</v>
      </c>
      <c r="FN2" s="88" t="s">
        <v>34</v>
      </c>
      <c r="FO2" s="88"/>
      <c r="FP2" s="88"/>
      <c r="FQ2" s="88"/>
      <c r="FR2" s="88"/>
      <c r="FS2" s="88" t="s">
        <v>35</v>
      </c>
      <c r="FT2" s="88"/>
      <c r="FU2" s="88"/>
      <c r="FV2" s="88"/>
      <c r="FW2" s="88"/>
      <c r="FX2" s="88" t="s">
        <v>38</v>
      </c>
      <c r="FY2" s="88"/>
      <c r="FZ2" s="88"/>
      <c r="GA2" s="88"/>
      <c r="GB2" s="88"/>
      <c r="GC2" s="38" t="s">
        <v>45</v>
      </c>
      <c r="GD2" s="11" t="s">
        <v>36</v>
      </c>
      <c r="GE2" s="11" t="s">
        <v>37</v>
      </c>
      <c r="GF2" s="11" t="s">
        <v>39</v>
      </c>
      <c r="GG2" s="11" t="s">
        <v>38</v>
      </c>
      <c r="GH2" s="11" t="s">
        <v>33</v>
      </c>
      <c r="GI2" s="87" t="s">
        <v>34</v>
      </c>
      <c r="GJ2" s="87"/>
      <c r="GK2" s="87"/>
      <c r="GL2" s="87"/>
      <c r="GM2" s="87"/>
      <c r="GN2" s="87" t="s">
        <v>35</v>
      </c>
      <c r="GO2" s="87"/>
      <c r="GP2" s="87"/>
      <c r="GQ2" s="87"/>
      <c r="GR2" s="87"/>
      <c r="GS2" s="87" t="s">
        <v>38</v>
      </c>
      <c r="GT2" s="87"/>
      <c r="GU2" s="87"/>
      <c r="GV2" s="87"/>
      <c r="GW2" s="87"/>
      <c r="GX2" s="37" t="s">
        <v>45</v>
      </c>
      <c r="GY2" s="15" t="s">
        <v>36</v>
      </c>
      <c r="GZ2" s="15" t="s">
        <v>37</v>
      </c>
      <c r="HA2" s="15" t="s">
        <v>39</v>
      </c>
      <c r="HB2" s="15" t="s">
        <v>38</v>
      </c>
      <c r="HC2" s="15" t="s">
        <v>33</v>
      </c>
      <c r="HD2" s="88" t="s">
        <v>34</v>
      </c>
      <c r="HE2" s="88"/>
      <c r="HF2" s="88"/>
      <c r="HG2" s="88"/>
      <c r="HH2" s="88"/>
      <c r="HI2" s="88" t="s">
        <v>35</v>
      </c>
      <c r="HJ2" s="88"/>
      <c r="HK2" s="88"/>
      <c r="HL2" s="88"/>
      <c r="HM2" s="88"/>
      <c r="HN2" s="88" t="s">
        <v>38</v>
      </c>
      <c r="HO2" s="88"/>
      <c r="HP2" s="88"/>
      <c r="HQ2" s="88"/>
      <c r="HR2" s="88"/>
      <c r="HS2" s="38" t="s">
        <v>45</v>
      </c>
      <c r="HT2" s="11" t="s">
        <v>36</v>
      </c>
      <c r="HU2" s="11" t="s">
        <v>37</v>
      </c>
      <c r="HV2" s="11" t="s">
        <v>39</v>
      </c>
      <c r="HW2" s="11" t="s">
        <v>38</v>
      </c>
      <c r="HX2" s="11" t="s">
        <v>33</v>
      </c>
      <c r="HY2" s="87" t="s">
        <v>34</v>
      </c>
      <c r="HZ2" s="87"/>
      <c r="IA2" s="87"/>
      <c r="IB2" s="87"/>
      <c r="IC2" s="87"/>
      <c r="ID2" s="87" t="s">
        <v>35</v>
      </c>
      <c r="IE2" s="87"/>
      <c r="IF2" s="87"/>
      <c r="IG2" s="87"/>
      <c r="IH2" s="87"/>
      <c r="II2" s="87" t="s">
        <v>38</v>
      </c>
      <c r="IJ2" s="87"/>
      <c r="IK2" s="87"/>
      <c r="IL2" s="87"/>
      <c r="IM2" s="87"/>
      <c r="IN2" s="37" t="s">
        <v>45</v>
      </c>
      <c r="IO2" s="15" t="s">
        <v>36</v>
      </c>
      <c r="IP2" s="15" t="s">
        <v>37</v>
      </c>
      <c r="IQ2" s="15" t="s">
        <v>39</v>
      </c>
      <c r="IR2" s="15" t="s">
        <v>38</v>
      </c>
      <c r="IS2" s="15" t="s">
        <v>33</v>
      </c>
      <c r="IT2" s="88" t="s">
        <v>34</v>
      </c>
      <c r="IU2" s="88"/>
      <c r="IV2" s="88"/>
      <c r="IW2" s="88"/>
      <c r="IX2" s="88"/>
      <c r="IY2" s="88" t="s">
        <v>35</v>
      </c>
      <c r="IZ2" s="88"/>
      <c r="JA2" s="88"/>
      <c r="JB2" s="88"/>
      <c r="JC2" s="88"/>
      <c r="JD2" s="88" t="s">
        <v>38</v>
      </c>
      <c r="JE2" s="88"/>
      <c r="JF2" s="88"/>
      <c r="JG2" s="88"/>
      <c r="JH2" s="88"/>
      <c r="JI2" s="38" t="s">
        <v>45</v>
      </c>
      <c r="JJ2" s="11" t="s">
        <v>36</v>
      </c>
      <c r="JK2" s="11" t="s">
        <v>37</v>
      </c>
      <c r="JL2" s="11" t="s">
        <v>39</v>
      </c>
      <c r="JM2" s="11" t="s">
        <v>38</v>
      </c>
      <c r="JN2" s="11" t="s">
        <v>33</v>
      </c>
      <c r="JO2" s="87" t="s">
        <v>34</v>
      </c>
      <c r="JP2" s="87"/>
      <c r="JQ2" s="87"/>
      <c r="JR2" s="87"/>
      <c r="JS2" s="87"/>
      <c r="JT2" s="87" t="s">
        <v>35</v>
      </c>
      <c r="JU2" s="87"/>
      <c r="JV2" s="87"/>
      <c r="JW2" s="87"/>
      <c r="JX2" s="87"/>
      <c r="JY2" s="87" t="s">
        <v>38</v>
      </c>
      <c r="JZ2" s="87"/>
      <c r="KA2" s="87"/>
      <c r="KB2" s="87"/>
      <c r="KC2" s="87"/>
      <c r="KD2" s="37" t="s">
        <v>45</v>
      </c>
      <c r="KE2" s="15" t="s">
        <v>36</v>
      </c>
      <c r="KF2" s="15" t="s">
        <v>37</v>
      </c>
      <c r="KG2" s="15" t="s">
        <v>39</v>
      </c>
      <c r="KH2" s="15" t="s">
        <v>38</v>
      </c>
      <c r="KI2" s="15" t="s">
        <v>33</v>
      </c>
      <c r="KJ2" s="88" t="s">
        <v>34</v>
      </c>
      <c r="KK2" s="88"/>
      <c r="KL2" s="88"/>
      <c r="KM2" s="88"/>
      <c r="KN2" s="88"/>
      <c r="KO2" s="88" t="s">
        <v>35</v>
      </c>
      <c r="KP2" s="88"/>
      <c r="KQ2" s="88"/>
      <c r="KR2" s="88"/>
      <c r="KS2" s="88"/>
      <c r="KT2" s="88" t="s">
        <v>38</v>
      </c>
      <c r="KU2" s="88"/>
      <c r="KV2" s="88"/>
      <c r="KW2" s="88"/>
      <c r="KX2" s="88"/>
      <c r="KY2" s="38" t="s">
        <v>45</v>
      </c>
      <c r="KZ2" s="11" t="s">
        <v>36</v>
      </c>
      <c r="LA2" s="11" t="s">
        <v>37</v>
      </c>
      <c r="LB2" s="11" t="s">
        <v>39</v>
      </c>
      <c r="LC2" s="11" t="s">
        <v>38</v>
      </c>
      <c r="LD2" s="11" t="s">
        <v>33</v>
      </c>
      <c r="LE2" s="87" t="s">
        <v>34</v>
      </c>
      <c r="LF2" s="87"/>
      <c r="LG2" s="87"/>
      <c r="LH2" s="87"/>
      <c r="LI2" s="87"/>
      <c r="LJ2" s="87" t="s">
        <v>35</v>
      </c>
      <c r="LK2" s="87"/>
      <c r="LL2" s="87"/>
      <c r="LM2" s="87"/>
      <c r="LN2" s="87"/>
      <c r="LO2" s="87" t="s">
        <v>38</v>
      </c>
      <c r="LP2" s="87"/>
      <c r="LQ2" s="87"/>
      <c r="LR2" s="87"/>
      <c r="LS2" s="87"/>
      <c r="LT2" s="37" t="s">
        <v>45</v>
      </c>
      <c r="LU2" s="15" t="s">
        <v>36</v>
      </c>
      <c r="LV2" s="15" t="s">
        <v>37</v>
      </c>
      <c r="LW2" s="15" t="s">
        <v>39</v>
      </c>
      <c r="LX2" s="15" t="s">
        <v>38</v>
      </c>
      <c r="LY2" s="15" t="s">
        <v>33</v>
      </c>
    </row>
    <row r="3" spans="1:337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48" t="s">
        <v>30</v>
      </c>
      <c r="U3" s="48" t="s">
        <v>31</v>
      </c>
      <c r="V3" s="48" t="s">
        <v>22</v>
      </c>
      <c r="W3" s="48" t="s">
        <v>102</v>
      </c>
      <c r="X3" s="77" t="s">
        <v>64</v>
      </c>
      <c r="Y3" s="48" t="s">
        <v>30</v>
      </c>
      <c r="Z3" s="48" t="s">
        <v>31</v>
      </c>
      <c r="AA3" s="48" t="s">
        <v>22</v>
      </c>
      <c r="AB3" s="48" t="s">
        <v>102</v>
      </c>
      <c r="AC3" s="77" t="s">
        <v>64</v>
      </c>
      <c r="AD3" s="48" t="s">
        <v>30</v>
      </c>
      <c r="AE3" s="48" t="s">
        <v>31</v>
      </c>
      <c r="AF3" s="48" t="s">
        <v>22</v>
      </c>
      <c r="AG3" s="48" t="s">
        <v>102</v>
      </c>
      <c r="AH3" s="77" t="s">
        <v>64</v>
      </c>
      <c r="AI3" s="12"/>
      <c r="AJ3" s="11"/>
      <c r="AK3" s="11"/>
      <c r="AL3" s="11"/>
      <c r="AM3" s="12"/>
      <c r="AN3" s="12"/>
      <c r="AO3" s="47" t="s">
        <v>30</v>
      </c>
      <c r="AP3" s="47" t="s">
        <v>31</v>
      </c>
      <c r="AQ3" s="47" t="s">
        <v>22</v>
      </c>
      <c r="AR3" s="47" t="s">
        <v>102</v>
      </c>
      <c r="AS3" s="78" t="s">
        <v>64</v>
      </c>
      <c r="AT3" s="47" t="s">
        <v>30</v>
      </c>
      <c r="AU3" s="47" t="s">
        <v>31</v>
      </c>
      <c r="AV3" s="47" t="s">
        <v>22</v>
      </c>
      <c r="AW3" s="47" t="s">
        <v>102</v>
      </c>
      <c r="AX3" s="78" t="s">
        <v>64</v>
      </c>
      <c r="AY3" s="47" t="s">
        <v>30</v>
      </c>
      <c r="AZ3" s="47" t="s">
        <v>31</v>
      </c>
      <c r="BA3" s="47" t="s">
        <v>22</v>
      </c>
      <c r="BB3" s="47" t="s">
        <v>102</v>
      </c>
      <c r="BC3" s="78" t="s">
        <v>64</v>
      </c>
      <c r="BD3" s="16"/>
      <c r="BE3" s="15"/>
      <c r="BF3" s="15"/>
      <c r="BG3" s="15"/>
      <c r="BH3" s="16"/>
      <c r="BI3" s="16"/>
      <c r="BJ3" s="48" t="s">
        <v>30</v>
      </c>
      <c r="BK3" s="48" t="s">
        <v>31</v>
      </c>
      <c r="BL3" s="48" t="s">
        <v>22</v>
      </c>
      <c r="BM3" s="48" t="s">
        <v>102</v>
      </c>
      <c r="BN3" s="77" t="s">
        <v>64</v>
      </c>
      <c r="BO3" s="48" t="s">
        <v>30</v>
      </c>
      <c r="BP3" s="48" t="s">
        <v>31</v>
      </c>
      <c r="BQ3" s="48" t="s">
        <v>22</v>
      </c>
      <c r="BR3" s="48" t="s">
        <v>102</v>
      </c>
      <c r="BS3" s="77" t="s">
        <v>64</v>
      </c>
      <c r="BT3" s="48" t="s">
        <v>30</v>
      </c>
      <c r="BU3" s="48" t="s">
        <v>31</v>
      </c>
      <c r="BV3" s="48" t="s">
        <v>22</v>
      </c>
      <c r="BW3" s="48" t="s">
        <v>102</v>
      </c>
      <c r="BX3" s="77" t="s">
        <v>64</v>
      </c>
      <c r="BY3" s="12"/>
      <c r="BZ3" s="11"/>
      <c r="CA3" s="11"/>
      <c r="CB3" s="11"/>
      <c r="CC3" s="12"/>
      <c r="CD3" s="12"/>
      <c r="CE3" s="42"/>
      <c r="CF3" s="42"/>
      <c r="CG3" s="42"/>
      <c r="CH3" s="48" t="s">
        <v>30</v>
      </c>
      <c r="CI3" s="48" t="s">
        <v>31</v>
      </c>
      <c r="CJ3" s="48" t="s">
        <v>22</v>
      </c>
      <c r="CK3" s="51" t="s">
        <v>102</v>
      </c>
      <c r="CL3" s="79" t="s">
        <v>64</v>
      </c>
      <c r="CM3" s="48" t="s">
        <v>30</v>
      </c>
      <c r="CN3" s="48" t="s">
        <v>31</v>
      </c>
      <c r="CO3" s="48" t="s">
        <v>22</v>
      </c>
      <c r="CP3" s="51" t="s">
        <v>102</v>
      </c>
      <c r="CQ3" s="79" t="s">
        <v>64</v>
      </c>
      <c r="CR3" s="48" t="s">
        <v>30</v>
      </c>
      <c r="CS3" s="48" t="s">
        <v>31</v>
      </c>
      <c r="CT3" s="48" t="s">
        <v>22</v>
      </c>
      <c r="CU3" s="51" t="s">
        <v>102</v>
      </c>
      <c r="CV3" s="79" t="s">
        <v>64</v>
      </c>
      <c r="CW3" s="12"/>
      <c r="CX3" s="11"/>
      <c r="CY3" s="11"/>
      <c r="CZ3" s="11"/>
      <c r="DA3" s="12"/>
      <c r="DB3" s="12"/>
      <c r="DC3" s="47" t="s">
        <v>30</v>
      </c>
      <c r="DD3" s="47" t="s">
        <v>31</v>
      </c>
      <c r="DE3" s="47" t="s">
        <v>22</v>
      </c>
      <c r="DF3" s="52" t="s">
        <v>102</v>
      </c>
      <c r="DG3" s="81" t="s">
        <v>64</v>
      </c>
      <c r="DH3" s="47" t="s">
        <v>30</v>
      </c>
      <c r="DI3" s="47" t="s">
        <v>31</v>
      </c>
      <c r="DJ3" s="47" t="s">
        <v>22</v>
      </c>
      <c r="DK3" s="52" t="s">
        <v>102</v>
      </c>
      <c r="DL3" s="81" t="s">
        <v>64</v>
      </c>
      <c r="DM3" s="47" t="s">
        <v>30</v>
      </c>
      <c r="DN3" s="47" t="s">
        <v>31</v>
      </c>
      <c r="DO3" s="47" t="s">
        <v>22</v>
      </c>
      <c r="DP3" s="52" t="s">
        <v>102</v>
      </c>
      <c r="DQ3" s="81" t="s">
        <v>64</v>
      </c>
      <c r="DR3" s="16"/>
      <c r="DS3" s="15"/>
      <c r="DT3" s="15"/>
      <c r="DU3" s="15"/>
      <c r="DV3" s="16"/>
      <c r="DW3" s="16"/>
      <c r="DX3" s="48" t="s">
        <v>30</v>
      </c>
      <c r="DY3" s="48" t="s">
        <v>31</v>
      </c>
      <c r="DZ3" s="48" t="s">
        <v>22</v>
      </c>
      <c r="EA3" s="53" t="s">
        <v>102</v>
      </c>
      <c r="EB3" s="80" t="s">
        <v>64</v>
      </c>
      <c r="EC3" s="48" t="s">
        <v>30</v>
      </c>
      <c r="ED3" s="48" t="s">
        <v>31</v>
      </c>
      <c r="EE3" s="48" t="s">
        <v>22</v>
      </c>
      <c r="EF3" s="53" t="s">
        <v>102</v>
      </c>
      <c r="EG3" s="80" t="s">
        <v>64</v>
      </c>
      <c r="EH3" s="48" t="s">
        <v>30</v>
      </c>
      <c r="EI3" s="48" t="s">
        <v>31</v>
      </c>
      <c r="EJ3" s="48" t="s">
        <v>22</v>
      </c>
      <c r="EK3" s="53" t="s">
        <v>102</v>
      </c>
      <c r="EL3" s="80" t="s">
        <v>64</v>
      </c>
      <c r="EM3" s="12"/>
      <c r="EN3" s="11"/>
      <c r="EO3" s="11"/>
      <c r="EP3" s="11"/>
      <c r="EQ3" s="12"/>
      <c r="ER3" s="12"/>
      <c r="ES3" s="47" t="s">
        <v>30</v>
      </c>
      <c r="ET3" s="47" t="s">
        <v>31</v>
      </c>
      <c r="EU3" s="47" t="s">
        <v>22</v>
      </c>
      <c r="EV3" s="52" t="s">
        <v>102</v>
      </c>
      <c r="EW3" s="81" t="s">
        <v>64</v>
      </c>
      <c r="EX3" s="47" t="s">
        <v>30</v>
      </c>
      <c r="EY3" s="47" t="s">
        <v>31</v>
      </c>
      <c r="EZ3" s="47" t="s">
        <v>22</v>
      </c>
      <c r="FA3" s="52" t="s">
        <v>102</v>
      </c>
      <c r="FB3" s="81" t="s">
        <v>64</v>
      </c>
      <c r="FC3" s="47" t="s">
        <v>30</v>
      </c>
      <c r="FD3" s="47" t="s">
        <v>31</v>
      </c>
      <c r="FE3" s="47" t="s">
        <v>22</v>
      </c>
      <c r="FF3" s="52" t="s">
        <v>102</v>
      </c>
      <c r="FG3" s="81" t="s">
        <v>64</v>
      </c>
      <c r="FH3" s="16"/>
      <c r="FI3" s="15"/>
      <c r="FJ3" s="15"/>
      <c r="FK3" s="15"/>
      <c r="FL3" s="16"/>
      <c r="FM3" s="16"/>
      <c r="FN3" s="48" t="s">
        <v>30</v>
      </c>
      <c r="FO3" s="48" t="s">
        <v>31</v>
      </c>
      <c r="FP3" s="48" t="s">
        <v>22</v>
      </c>
      <c r="FQ3" s="53" t="s">
        <v>102</v>
      </c>
      <c r="FR3" s="80" t="s">
        <v>64</v>
      </c>
      <c r="FS3" s="48" t="s">
        <v>30</v>
      </c>
      <c r="FT3" s="48" t="s">
        <v>31</v>
      </c>
      <c r="FU3" s="48" t="s">
        <v>22</v>
      </c>
      <c r="FV3" s="53" t="s">
        <v>102</v>
      </c>
      <c r="FW3" s="80" t="s">
        <v>64</v>
      </c>
      <c r="FX3" s="48" t="s">
        <v>30</v>
      </c>
      <c r="FY3" s="48" t="s">
        <v>31</v>
      </c>
      <c r="FZ3" s="48" t="s">
        <v>22</v>
      </c>
      <c r="GA3" s="53" t="s">
        <v>102</v>
      </c>
      <c r="GB3" s="80" t="s">
        <v>64</v>
      </c>
      <c r="GC3" s="12"/>
      <c r="GD3" s="11"/>
      <c r="GE3" s="11"/>
      <c r="GF3" s="11"/>
      <c r="GG3" s="12"/>
      <c r="GH3" s="12"/>
      <c r="GI3" s="47" t="s">
        <v>30</v>
      </c>
      <c r="GJ3" s="47" t="s">
        <v>31</v>
      </c>
      <c r="GK3" s="47" t="s">
        <v>22</v>
      </c>
      <c r="GL3" s="52" t="s">
        <v>102</v>
      </c>
      <c r="GM3" s="81" t="s">
        <v>64</v>
      </c>
      <c r="GN3" s="47" t="s">
        <v>30</v>
      </c>
      <c r="GO3" s="47" t="s">
        <v>31</v>
      </c>
      <c r="GP3" s="47" t="s">
        <v>22</v>
      </c>
      <c r="GQ3" s="52" t="s">
        <v>102</v>
      </c>
      <c r="GR3" s="81" t="s">
        <v>64</v>
      </c>
      <c r="GS3" s="47" t="s">
        <v>30</v>
      </c>
      <c r="GT3" s="47" t="s">
        <v>31</v>
      </c>
      <c r="GU3" s="47" t="s">
        <v>22</v>
      </c>
      <c r="GV3" s="52" t="s">
        <v>102</v>
      </c>
      <c r="GW3" s="81" t="s">
        <v>64</v>
      </c>
      <c r="GX3" s="16"/>
      <c r="GY3" s="15"/>
      <c r="GZ3" s="15"/>
      <c r="HA3" s="15"/>
      <c r="HB3" s="16"/>
      <c r="HC3" s="16"/>
      <c r="HD3" s="48" t="s">
        <v>30</v>
      </c>
      <c r="HE3" s="48" t="s">
        <v>31</v>
      </c>
      <c r="HF3" s="48" t="s">
        <v>22</v>
      </c>
      <c r="HG3" s="53" t="s">
        <v>102</v>
      </c>
      <c r="HH3" s="80" t="s">
        <v>64</v>
      </c>
      <c r="HI3" s="48" t="s">
        <v>30</v>
      </c>
      <c r="HJ3" s="48" t="s">
        <v>31</v>
      </c>
      <c r="HK3" s="48" t="s">
        <v>22</v>
      </c>
      <c r="HL3" s="53" t="s">
        <v>102</v>
      </c>
      <c r="HM3" s="80" t="s">
        <v>64</v>
      </c>
      <c r="HN3" s="48" t="s">
        <v>30</v>
      </c>
      <c r="HO3" s="48" t="s">
        <v>31</v>
      </c>
      <c r="HP3" s="48" t="s">
        <v>22</v>
      </c>
      <c r="HQ3" s="53" t="s">
        <v>102</v>
      </c>
      <c r="HR3" s="80" t="s">
        <v>64</v>
      </c>
      <c r="HS3" s="12"/>
      <c r="HT3" s="11"/>
      <c r="HU3" s="11"/>
      <c r="HV3" s="11"/>
      <c r="HW3" s="12"/>
      <c r="HX3" s="12"/>
      <c r="HY3" s="47" t="s">
        <v>30</v>
      </c>
      <c r="HZ3" s="47" t="s">
        <v>31</v>
      </c>
      <c r="IA3" s="47" t="s">
        <v>22</v>
      </c>
      <c r="IB3" s="52" t="s">
        <v>102</v>
      </c>
      <c r="IC3" s="81" t="s">
        <v>64</v>
      </c>
      <c r="ID3" s="47" t="s">
        <v>30</v>
      </c>
      <c r="IE3" s="47" t="s">
        <v>31</v>
      </c>
      <c r="IF3" s="47" t="s">
        <v>22</v>
      </c>
      <c r="IG3" s="52" t="s">
        <v>102</v>
      </c>
      <c r="IH3" s="81" t="s">
        <v>64</v>
      </c>
      <c r="II3" s="47" t="s">
        <v>30</v>
      </c>
      <c r="IJ3" s="47" t="s">
        <v>31</v>
      </c>
      <c r="IK3" s="47" t="s">
        <v>22</v>
      </c>
      <c r="IL3" s="52" t="s">
        <v>102</v>
      </c>
      <c r="IM3" s="81" t="s">
        <v>64</v>
      </c>
      <c r="IN3" s="16"/>
      <c r="IO3" s="15"/>
      <c r="IP3" s="15"/>
      <c r="IQ3" s="15"/>
      <c r="IR3" s="16"/>
      <c r="IS3" s="16"/>
      <c r="IT3" s="48" t="s">
        <v>30</v>
      </c>
      <c r="IU3" s="48" t="s">
        <v>31</v>
      </c>
      <c r="IV3" s="48" t="s">
        <v>22</v>
      </c>
      <c r="IW3" s="53" t="s">
        <v>102</v>
      </c>
      <c r="IX3" s="80" t="s">
        <v>64</v>
      </c>
      <c r="IY3" s="48" t="s">
        <v>30</v>
      </c>
      <c r="IZ3" s="48" t="s">
        <v>31</v>
      </c>
      <c r="JA3" s="48" t="s">
        <v>22</v>
      </c>
      <c r="JB3" s="53" t="s">
        <v>102</v>
      </c>
      <c r="JC3" s="80" t="s">
        <v>64</v>
      </c>
      <c r="JD3" s="48" t="s">
        <v>30</v>
      </c>
      <c r="JE3" s="48" t="s">
        <v>31</v>
      </c>
      <c r="JF3" s="48" t="s">
        <v>22</v>
      </c>
      <c r="JG3" s="53" t="s">
        <v>102</v>
      </c>
      <c r="JH3" s="80" t="s">
        <v>64</v>
      </c>
      <c r="JI3" s="12"/>
      <c r="JJ3" s="11"/>
      <c r="JK3" s="11"/>
      <c r="JL3" s="11"/>
      <c r="JM3" s="12"/>
      <c r="JN3" s="12"/>
      <c r="JO3" s="47" t="s">
        <v>30</v>
      </c>
      <c r="JP3" s="47" t="s">
        <v>31</v>
      </c>
      <c r="JQ3" s="47" t="s">
        <v>22</v>
      </c>
      <c r="JR3" s="52" t="s">
        <v>102</v>
      </c>
      <c r="JS3" s="81" t="s">
        <v>64</v>
      </c>
      <c r="JT3" s="47" t="s">
        <v>30</v>
      </c>
      <c r="JU3" s="47" t="s">
        <v>31</v>
      </c>
      <c r="JV3" s="47" t="s">
        <v>22</v>
      </c>
      <c r="JW3" s="52" t="s">
        <v>102</v>
      </c>
      <c r="JX3" s="81" t="s">
        <v>64</v>
      </c>
      <c r="JY3" s="47" t="s">
        <v>30</v>
      </c>
      <c r="JZ3" s="47" t="s">
        <v>31</v>
      </c>
      <c r="KA3" s="47" t="s">
        <v>22</v>
      </c>
      <c r="KB3" s="52" t="s">
        <v>102</v>
      </c>
      <c r="KC3" s="81" t="s">
        <v>64</v>
      </c>
      <c r="KD3" s="16"/>
      <c r="KE3" s="15"/>
      <c r="KF3" s="15"/>
      <c r="KG3" s="15"/>
      <c r="KH3" s="16"/>
      <c r="KI3" s="16"/>
      <c r="KJ3" s="48" t="s">
        <v>30</v>
      </c>
      <c r="KK3" s="48" t="s">
        <v>31</v>
      </c>
      <c r="KL3" s="48" t="s">
        <v>22</v>
      </c>
      <c r="KM3" s="53" t="s">
        <v>102</v>
      </c>
      <c r="KN3" s="80" t="s">
        <v>64</v>
      </c>
      <c r="KO3" s="48" t="s">
        <v>30</v>
      </c>
      <c r="KP3" s="48" t="s">
        <v>31</v>
      </c>
      <c r="KQ3" s="48" t="s">
        <v>22</v>
      </c>
      <c r="KR3" s="53" t="s">
        <v>102</v>
      </c>
      <c r="KS3" s="80" t="s">
        <v>64</v>
      </c>
      <c r="KT3" s="48" t="s">
        <v>30</v>
      </c>
      <c r="KU3" s="48" t="s">
        <v>31</v>
      </c>
      <c r="KV3" s="48" t="s">
        <v>22</v>
      </c>
      <c r="KW3" s="53" t="s">
        <v>102</v>
      </c>
      <c r="KX3" s="80" t="s">
        <v>64</v>
      </c>
      <c r="KY3" s="12"/>
      <c r="KZ3" s="11"/>
      <c r="LA3" s="11"/>
      <c r="LB3" s="11"/>
      <c r="LC3" s="12"/>
      <c r="LD3" s="12"/>
      <c r="LE3" s="47" t="s">
        <v>30</v>
      </c>
      <c r="LF3" s="47" t="s">
        <v>31</v>
      </c>
      <c r="LG3" s="47" t="s">
        <v>22</v>
      </c>
      <c r="LH3" s="52" t="s">
        <v>102</v>
      </c>
      <c r="LI3" s="81" t="s">
        <v>64</v>
      </c>
      <c r="LJ3" s="78" t="s">
        <v>30</v>
      </c>
      <c r="LK3" s="47" t="s">
        <v>31</v>
      </c>
      <c r="LL3" s="47" t="s">
        <v>22</v>
      </c>
      <c r="LM3" s="52" t="s">
        <v>102</v>
      </c>
      <c r="LN3" s="81" t="s">
        <v>64</v>
      </c>
      <c r="LO3" s="47" t="s">
        <v>30</v>
      </c>
      <c r="LP3" s="47" t="s">
        <v>31</v>
      </c>
      <c r="LQ3" s="47" t="s">
        <v>22</v>
      </c>
      <c r="LR3" s="52" t="s">
        <v>102</v>
      </c>
      <c r="LS3" s="81" t="s">
        <v>64</v>
      </c>
      <c r="LT3" s="16"/>
      <c r="LU3" s="15"/>
      <c r="LV3" s="15"/>
      <c r="LW3" s="15"/>
      <c r="LX3" s="16"/>
      <c r="LY3" s="16"/>
    </row>
    <row r="4" spans="1:337" x14ac:dyDescent="0.2">
      <c r="A4" s="6">
        <f ca="1">IF(AND(F4="P",G4="P"),SUMPRODUCT((F$4:F$8="P")*(G$4:G$8="P")*(E$4:E$8&gt;E4))+1,IF(G4="P",SUMPRODUCT((F$4:F$8="")*(G$4:G$8="P")*(E$4:E$8&gt;E4))+1+SUMPRODUCT((F$4:F$8="P")*(G$4:G$8="P")),""))</f>
        <v>1</v>
      </c>
      <c r="B4" s="9" t="s">
        <v>123</v>
      </c>
      <c r="C4" s="5" t="s">
        <v>6</v>
      </c>
      <c r="D4" s="46">
        <v>2007</v>
      </c>
      <c r="E4" s="18">
        <f>SUM(I4:Q4)</f>
        <v>228.51999999999998</v>
      </c>
      <c r="F4" s="4" t="str">
        <f>IF(OR(AND(AI4&gt;=C$12,NOT(AI4="")),AND(BD4&gt;=C$12,NOT(BD4="")),AND(BY4&gt;=C$12,NOT(BY4=""))),"P","")</f>
        <v>P</v>
      </c>
      <c r="G4" s="4" t="str">
        <f ca="1">IF(OR(I4&gt;=C$14,AND(I4&gt;$C$13,YEAR(TODAY())-$D4&lt;2)),"P","")</f>
        <v>P</v>
      </c>
      <c r="H4" t="str">
        <f ca="1">IF(F4="P",IF(I4&gt;=C$16,"Merit",IF(I4&gt;=C$15,"Funding",IF(I4&gt;=C$14,"Team",IF(AND(I4&gt;C$13,YEAR(TODAY())-$D4&lt;2),"First 2 Years","")))),IF(AND(I4&gt;C$13,YEAR(TODAY())-$D4&lt;2),"First 2 Years",""))</f>
        <v>Funding</v>
      </c>
      <c r="I4" s="17">
        <f>MAX(AL4,BG4,CB4)</f>
        <v>90.8</v>
      </c>
      <c r="J4" s="17" t="str">
        <f>IF(I4=CB4,$BJ$1,IF(I4=BG4,$AO$1,IF(I4=AL4,$T$1,"")))</f>
        <v>2017 3rd Domestic Trial</v>
      </c>
      <c r="K4" s="17">
        <f>IF($I4=$AL4,MAX(BE4,BZ4),IF($I4=$BG4,MAX(AJ4,BZ4),MAX(AJ4,BE4)))</f>
        <v>41.68</v>
      </c>
      <c r="L4" s="17" t="str">
        <f>IF(K4=BZ4,$BJ$1,IF(K4=BE4,$AO$1,IF(K4=AJ4,$T$1,"")))</f>
        <v>2017 Canada Cup</v>
      </c>
      <c r="M4" s="17">
        <f>IF($I4=$AL4,MAX(BF4,CA4),IF($I4=$BG4,MAX(AK4,CA4),MAX(AK4,BF4)))</f>
        <v>44.239999999999995</v>
      </c>
      <c r="N4" s="17" t="str">
        <f>IF(M4=CA4,$BJ$1,IF(M4=BF4,$AO$1,IF(M4=AK4,$T$1,"")))</f>
        <v>2017 Canada Cup</v>
      </c>
      <c r="O4" s="17">
        <f>MAX(AM4,BH4,CC4)</f>
        <v>51.8</v>
      </c>
      <c r="P4" s="17" t="str">
        <f>IF(O4=CC4,$BJ$1,IF(O4=BH4,$AO$1,IF(O4=AM4,$T$1,"")))</f>
        <v>2017 3rd Domestic Trial</v>
      </c>
      <c r="Q4" s="17" t="str">
        <f>IF(MAX(CE4:CG4)&gt;0,MAX(CE4:CG4),"")</f>
        <v/>
      </c>
      <c r="R4" s="44" t="str">
        <f>IF(Q4="","",IF(Q4=CE4,"(Vol 1)",IF(Q4=CF4,"(Vol 2)",IF(Q4=CG4,"(Final)"))))</f>
        <v/>
      </c>
      <c r="S4" s="17" t="str">
        <f>IF(Q4="","",IF(Q4=CE4,IF(Q4+K4=LU4,$LE$1,IF(Q4+K4=KZ4,$KJ$1,IF(Q4+K4=KE4,$JO$1,IF(Q4+K4=JJ4,$IT$1,IF(Q4+K4=IO4,$HY$1,IF(Q4+K4=HT4,$HD$1,IF(Q4+K4=GY4,$GI$1,IF(Q4+K4=GD4,$FN$1,IF(Q4+K4=FI4,$ES$1,IF(Q4+K4=EN4,$DX$1,IF(Q4+K4=DS4,$DC$1,IF(Q4+K4=CX4,$CH$1)))))))))))),IF(Q4=CF4,IF(Q4+M4=LV4,$LE$1,IF(Q4+M4=LA4,$KJ$1,IF(Q4+M4=KF4,$JO$1,IF(Q4+M4=JK4,$IT$1,IF(Q4+M4=IP4,$HY$1,IF(Q4+M4=HU4,$HD$1,IF(Q4+M4=GZ4,$GI$1,IF(Q4+M4=GE4,$FN$1,IF(Q4+M4=FJ4,$ES$1,IF(Q4+M4=EO4,$DX$1,IF(Q4+M4=DT4,$DC$1,IF(Q4+M4=CY4,$CH$1)))))))))))),IF(Q4=CG4,IF(Q4+O4=LX4,$LE$1,IF(Q4+O4=LC4,$KJ$1,IF(Q4+O4=KH4,$JO$1,IF(Q4+O4=JM4,$IT$1,IF(Q4+O4=IR4,$HY$1,IF(Q4+O4=HW4,$HD$1,IF(Q4+O4=HB4,$GI$1,IF(Q4+O4=GG4,$FN$1,IF(Q4+O4=FL4,$ES$1,IF(Q4+O4=EQ4,$DX$1,IF(Q4+O4=DV4,$DC$1,IF(Q4+O4=DA4,$CH$1))))))))))))))))</f>
        <v/>
      </c>
      <c r="T4" s="63">
        <v>9.35</v>
      </c>
      <c r="U4" s="63">
        <v>9.35</v>
      </c>
      <c r="V4" s="63">
        <v>4</v>
      </c>
      <c r="W4" s="63">
        <v>18.98</v>
      </c>
      <c r="X4" s="63">
        <v>0</v>
      </c>
      <c r="Y4" s="63">
        <v>7.2</v>
      </c>
      <c r="Z4" s="63">
        <v>8.1999999999999993</v>
      </c>
      <c r="AA4" s="63">
        <v>13.2</v>
      </c>
      <c r="AB4" s="63">
        <v>15.64</v>
      </c>
      <c r="AC4" s="63">
        <v>0</v>
      </c>
      <c r="AD4" s="63">
        <v>8.5</v>
      </c>
      <c r="AE4" s="63">
        <v>9.3000000000000007</v>
      </c>
      <c r="AF4" s="63">
        <v>15</v>
      </c>
      <c r="AG4" s="63">
        <v>18.079999999999998</v>
      </c>
      <c r="AH4" s="63">
        <v>0</v>
      </c>
      <c r="AI4" s="13">
        <f>IF(SUM(V4,AA4)&gt;0,SUM(V4,AA4),"")</f>
        <v>17.2</v>
      </c>
      <c r="AJ4" s="13">
        <f>IF(SUM(T4:W4)-X4&gt;0,SUM(T4:W4)-X4,"")</f>
        <v>41.68</v>
      </c>
      <c r="AK4" s="13">
        <f>IF(SUM(Y4:AB4)-AC4&gt;0,SUM(Y4:AB4)-AC4,"")</f>
        <v>44.239999999999995</v>
      </c>
      <c r="AL4" s="13">
        <f>IF(SUM(AJ4:AK4)&gt;0,SUM(AJ4:AK4),"")</f>
        <v>85.919999999999987</v>
      </c>
      <c r="AM4" s="13">
        <f>IF(SUM(AD4:AG4)-AH4&gt;0,SUM(AD4:AG4)-AH4,"")</f>
        <v>50.879999999999995</v>
      </c>
      <c r="AN4" s="13">
        <f>IF(SUM(AL4,AM4)&gt;0,SUM(AL4,AM4),"")</f>
        <v>136.79999999999998</v>
      </c>
      <c r="AO4" s="64">
        <v>9.35</v>
      </c>
      <c r="AP4" s="64">
        <v>8.9499999999999993</v>
      </c>
      <c r="AQ4" s="64">
        <v>4</v>
      </c>
      <c r="AR4" s="64">
        <v>18.940000000000001</v>
      </c>
      <c r="AS4" s="64">
        <v>0</v>
      </c>
      <c r="AT4" s="64">
        <v>0.85</v>
      </c>
      <c r="AU4" s="64">
        <v>0.9</v>
      </c>
      <c r="AV4" s="64">
        <v>2</v>
      </c>
      <c r="AW4" s="64">
        <v>1.3</v>
      </c>
      <c r="AX4" s="64">
        <v>0</v>
      </c>
      <c r="AY4" s="64"/>
      <c r="AZ4" s="64"/>
      <c r="BA4" s="64"/>
      <c r="BB4" s="64"/>
      <c r="BC4" s="64"/>
      <c r="BD4" s="17">
        <f>IF(SUM(AQ4,AV4)&gt;0,SUM(AQ4,AV4),"")</f>
        <v>6</v>
      </c>
      <c r="BE4" s="17">
        <f>IF(SUM(AO4:AR4)-AS4&gt;0,SUM(AO4:AR4)-AS4,"")</f>
        <v>41.239999999999995</v>
      </c>
      <c r="BF4" s="17">
        <f>IF(SUM(AT4:AW4)-AX4&gt;0,SUM(AT4:AW4)-AX4,"")</f>
        <v>5.05</v>
      </c>
      <c r="BG4" s="17">
        <f>IF(SUM(BE4:BF4)&gt;0,SUM(BE4:BF4),"")</f>
        <v>46.289999999999992</v>
      </c>
      <c r="BH4" s="17" t="str">
        <f>IF(SUM(AY4:BB4)-BC4&gt;0,SUM(AY4:BB4)-BC4,"")</f>
        <v/>
      </c>
      <c r="BI4" s="17">
        <f>IF(SUM(BG4,BH4)&gt;0,SUM(BG4,BH4),"")</f>
        <v>46.289999999999992</v>
      </c>
      <c r="BJ4" s="63">
        <v>9.1999999999999993</v>
      </c>
      <c r="BK4" s="63">
        <v>9.4499999999999993</v>
      </c>
      <c r="BL4" s="63">
        <v>4</v>
      </c>
      <c r="BM4" s="63">
        <v>18.8</v>
      </c>
      <c r="BN4" s="63">
        <v>0</v>
      </c>
      <c r="BO4" s="63">
        <v>7.75</v>
      </c>
      <c r="BP4" s="63">
        <v>9.1999999999999993</v>
      </c>
      <c r="BQ4" s="63">
        <v>15</v>
      </c>
      <c r="BR4" s="63">
        <v>17.399999999999999</v>
      </c>
      <c r="BS4" s="63">
        <v>0</v>
      </c>
      <c r="BT4" s="63">
        <v>8.35</v>
      </c>
      <c r="BU4" s="63">
        <v>9.25</v>
      </c>
      <c r="BV4" s="63">
        <v>15</v>
      </c>
      <c r="BW4" s="63">
        <v>19.2</v>
      </c>
      <c r="BX4" s="63">
        <v>0</v>
      </c>
      <c r="BY4" s="13">
        <f>IF(SUM(BL4,BQ4)&gt;0,SUM(BL4,BQ4),"")</f>
        <v>19</v>
      </c>
      <c r="BZ4" s="13">
        <f>IF(SUM(BJ4:BM4)-BN4&gt;0,SUM(BJ4:BM4)-BN4,"")</f>
        <v>41.45</v>
      </c>
      <c r="CA4" s="13">
        <f>IF(SUM(BO4:BR4)-BS4&gt;0,SUM(BO4:BR4)-BS4,"")</f>
        <v>49.349999999999994</v>
      </c>
      <c r="CB4" s="13">
        <f>IF(SUM(BZ4:CA4)&gt;0,SUM(BZ4:CA4),"")</f>
        <v>90.8</v>
      </c>
      <c r="CC4" s="13">
        <f>IF(SUM(BT4:BW4)-BX4&gt;0,SUM(BT4:BW4)-BX4,"")</f>
        <v>51.8</v>
      </c>
      <c r="CD4" s="13">
        <f>IF(SUM(CB4,CC4)&gt;0,SUM(CB4,CC4),"")</f>
        <v>142.6</v>
      </c>
      <c r="CE4" s="43" t="str">
        <f>IF(MAX(CX4,DS4,EN4,FI4,GD4,GY4,HT4,IO4,JJ4,KE4,KZ4,LU4)-K4&gt;0.001,MAX(CX4,DS4,EN4,FI4,GD4,GY4,HT4,IO4,JJ4,KE4,KZ4,LU4)-K4,"")</f>
        <v/>
      </c>
      <c r="CF4" s="43" t="str">
        <f>IF(MAX(CY4,DT4,EO4,FJ4,GE4,GZ4,HU4,IP4,JK4,KF4,LA4,LV4)-M4&gt;0.001,MAX(CY4,DT4,EO4,FJ4,GE4,GZ4,HU4,IP4,JK4,KF4,LA4,LV4)-M4,"")</f>
        <v/>
      </c>
      <c r="CG4" s="43" t="str">
        <f>IF(MAX(DA4,DV4,EQ4,FL4,GG4,HB4,HW4,IR4,JM4,KH4,LC4,LX4)-O4&gt;0.001,MAX(DA4,DV4,EQ4,FL4,GG4,HB4,HW4,IR4,JM4,KH4,LC4,LX4)-O4,"")</f>
        <v/>
      </c>
      <c r="CH4" s="60">
        <v>8.65</v>
      </c>
      <c r="CI4" s="60">
        <v>9.25</v>
      </c>
      <c r="CJ4" s="60">
        <v>4</v>
      </c>
      <c r="CK4" s="60">
        <v>16.8</v>
      </c>
      <c r="CL4" s="60">
        <v>0</v>
      </c>
      <c r="CM4" s="60">
        <v>5.25</v>
      </c>
      <c r="CN4" s="60">
        <v>6.15</v>
      </c>
      <c r="CO4" s="60">
        <v>10.3</v>
      </c>
      <c r="CP4" s="60">
        <v>11.6</v>
      </c>
      <c r="CQ4" s="60"/>
      <c r="CR4" s="60"/>
      <c r="CS4" s="60"/>
      <c r="CT4" s="60"/>
      <c r="CU4" s="60"/>
      <c r="CV4" s="60"/>
      <c r="CW4" s="13">
        <f>IF(SUM(CJ4,CO4)&gt;0,SUM(CJ4,CO4),"")</f>
        <v>14.3</v>
      </c>
      <c r="CX4" s="13">
        <f>IF(SUM(CH4:CK4)-CL4&gt;0,SUM(CH4:CK4)-CL4,"")</f>
        <v>38.700000000000003</v>
      </c>
      <c r="CY4" s="13">
        <f>IF(SUM(CM4:CP4)-CQ4&gt;0,SUM(CM4:CP4)-CQ4,"")</f>
        <v>33.300000000000004</v>
      </c>
      <c r="CZ4" s="13">
        <f>IF(SUM(CX4:CY4)&gt;0,SUM(CX4:CY4),"")</f>
        <v>72</v>
      </c>
      <c r="DA4" s="13" t="str">
        <f>IF(SUM(CR4:CU4)-CV4&gt;0,SUM(CR4:CU4)-CV4,"")</f>
        <v/>
      </c>
      <c r="DB4" s="13">
        <f>IF(SUM(CZ4,DA4)&gt;0,SUM(CZ4,DA4),"")</f>
        <v>72</v>
      </c>
      <c r="DC4" s="62"/>
      <c r="DD4" s="62"/>
      <c r="DE4" s="62"/>
      <c r="DF4" s="62"/>
      <c r="DG4" s="62"/>
      <c r="DH4" s="62"/>
      <c r="DI4" s="62"/>
      <c r="DJ4" s="62"/>
      <c r="DK4" s="62"/>
      <c r="DL4" s="62"/>
      <c r="DM4" s="62"/>
      <c r="DN4" s="62"/>
      <c r="DO4" s="62"/>
      <c r="DP4" s="62"/>
      <c r="DQ4" s="62"/>
      <c r="DR4" s="17" t="str">
        <f>IF(SUM(DE4,DJ4)&gt;0,SUM(DE4,DJ4),"")</f>
        <v/>
      </c>
      <c r="DS4" s="17" t="str">
        <f>IF(SUM(DC4:DF4)-DG4&gt;0,SUM(DC4:DF4)-DG4,"")</f>
        <v/>
      </c>
      <c r="DT4" s="17" t="str">
        <f>IF(SUM(DH4:DK4)-DL4&gt;0,SUM(DH4:DK4)-DL4,"")</f>
        <v/>
      </c>
      <c r="DU4" s="17" t="str">
        <f>IF(SUM(DS4:DT4)&gt;0,SUM(DS4:DT4),"")</f>
        <v/>
      </c>
      <c r="DV4" s="17" t="str">
        <f>IF(SUM(DM4:DP4)-DQ4&gt;0,SUM(DM4:DP4)-DQ4,"")</f>
        <v/>
      </c>
      <c r="DW4" s="17" t="str">
        <f>IF(SUM(DU4,DV4)&gt;0,SUM(DU4,DV4),"")</f>
        <v/>
      </c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13" t="str">
        <f>IF(SUM(DZ4,EE4)&gt;0,SUM(DZ4,EE4),"")</f>
        <v/>
      </c>
      <c r="EN4" s="13" t="str">
        <f>IF(SUM(DX4:EA4)-EB4&gt;0,SUM(DX4:EA4)-EB4,"")</f>
        <v/>
      </c>
      <c r="EO4" s="13" t="str">
        <f>IF(SUM(EC4:EF4)-EG4&gt;0,SUM(EC4:EF4)-EG4,"")</f>
        <v/>
      </c>
      <c r="EP4" s="13" t="str">
        <f>IF(SUM(EN4:EO4)&gt;0,SUM(EN4:EO4),"")</f>
        <v/>
      </c>
      <c r="EQ4" s="13" t="str">
        <f>IF(SUM(EH4:EK4)-EL4&gt;0,SUM(EH4:EK4)-EL4,"")</f>
        <v/>
      </c>
      <c r="ER4" s="13" t="str">
        <f>IF(SUM(EP4,EQ4)&gt;0,SUM(EP4,EQ4),"")</f>
        <v/>
      </c>
      <c r="ES4" s="62"/>
      <c r="ET4" s="62"/>
      <c r="EU4" s="62"/>
      <c r="EV4" s="62"/>
      <c r="EW4" s="62"/>
      <c r="EX4" s="62"/>
      <c r="EY4" s="62"/>
      <c r="EZ4" s="62"/>
      <c r="FA4" s="62"/>
      <c r="FB4" s="62"/>
      <c r="FC4" s="62"/>
      <c r="FD4" s="62"/>
      <c r="FE4" s="62"/>
      <c r="FF4" s="62"/>
      <c r="FG4" s="62"/>
      <c r="FH4" s="17" t="str">
        <f>IF(SUM(EU4,EZ4)&gt;0,SUM(EU4,EZ4),"")</f>
        <v/>
      </c>
      <c r="FI4" s="17" t="str">
        <f>IF(SUM(ES4:EV4)-EW4&gt;0,SUM(ES4:EV4)-EW4,"")</f>
        <v/>
      </c>
      <c r="FJ4" s="17" t="str">
        <f>IF(SUM(EX4:FA4)-FB4&gt;0,SUM(EX4:FA4)-FB4,"")</f>
        <v/>
      </c>
      <c r="FK4" s="17" t="str">
        <f>IF(SUM(FI4:FJ4)&gt;0,SUM(FI4:FJ4),"")</f>
        <v/>
      </c>
      <c r="FL4" s="17" t="str">
        <f>IF(SUM(FC4:FF4)-FG4&gt;0,SUM(FC4:FF4)-FG4,"")</f>
        <v/>
      </c>
      <c r="FM4" s="17" t="str">
        <f>IF(SUM(FK4,FL4)&gt;0,SUM(FK4,FL4),"")</f>
        <v/>
      </c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13" t="str">
        <f>IF(SUM(FP4,FU4)&gt;0,SUM(FP4,FU4),"")</f>
        <v/>
      </c>
      <c r="GD4" s="13" t="str">
        <f>IF(SUM(FN4:FQ4)-FR4&gt;0,SUM(FN4:FQ4)-FR4,"")</f>
        <v/>
      </c>
      <c r="GE4" s="13" t="str">
        <f>IF(SUM(FS4:FV4)-FW4&gt;0,SUM(FS4:FV4)-FW4,"")</f>
        <v/>
      </c>
      <c r="GF4" s="13" t="str">
        <f>IF(SUM(GD4:GE4)&gt;0,SUM(GD4:GE4),"")</f>
        <v/>
      </c>
      <c r="GG4" s="13" t="str">
        <f>IF(SUM(FX4:GA4)-GB4&gt;0,SUM(FX4:GA4)-GB4,"")</f>
        <v/>
      </c>
      <c r="GH4" s="13" t="str">
        <f>IF(SUM(GF4,GG4)&gt;0,SUM(GF4,GG4),"")</f>
        <v/>
      </c>
      <c r="GI4" s="62"/>
      <c r="GJ4" s="62"/>
      <c r="GK4" s="62"/>
      <c r="GL4" s="62"/>
      <c r="GM4" s="62"/>
      <c r="GN4" s="62"/>
      <c r="GO4" s="62"/>
      <c r="GP4" s="62"/>
      <c r="GQ4" s="62"/>
      <c r="GR4" s="62"/>
      <c r="GS4" s="62"/>
      <c r="GT4" s="62"/>
      <c r="GU4" s="62"/>
      <c r="GV4" s="62"/>
      <c r="GW4" s="62"/>
      <c r="GX4" s="17" t="str">
        <f>IF(SUM(GK4,GP4)&gt;0,SUM(GK4,GP4),"")</f>
        <v/>
      </c>
      <c r="GY4" s="17" t="str">
        <f>IF(SUM(GI4:GL4)-GM4&gt;0,SUM(GI4:GL4)-GM4,"")</f>
        <v/>
      </c>
      <c r="GZ4" s="17" t="str">
        <f>IF(SUM(GN4:GQ4)-GR4&gt;0,SUM(GN4:GQ4)-GR4,"")</f>
        <v/>
      </c>
      <c r="HA4" s="17" t="str">
        <f>IF(SUM(GY4:GZ4)&gt;0,SUM(GY4:GZ4),"")</f>
        <v/>
      </c>
      <c r="HB4" s="17" t="str">
        <f>IF(SUM(GS4:GV4)-GW4&gt;0,SUM(GS4:GV4)-GW4,"")</f>
        <v/>
      </c>
      <c r="HC4" s="17" t="str">
        <f>IF(SUM(HA4,HB4)&gt;0,SUM(HA4,HB4),"")</f>
        <v/>
      </c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13" t="str">
        <f>IF(SUM(HF4,HK4)&gt;0,SUM(HF4,HK4),"")</f>
        <v/>
      </c>
      <c r="HT4" s="13" t="str">
        <f>IF(SUM(HD4:HG4)-HH4&gt;0,SUM(HD4:HG4)-HH4,"")</f>
        <v/>
      </c>
      <c r="HU4" s="13" t="str">
        <f>IF(SUM(HI4:HL4)-HM4&gt;0,SUM(HI4:HL4)-HM4,"")</f>
        <v/>
      </c>
      <c r="HV4" s="13" t="str">
        <f>IF(SUM(HT4:HU4)&gt;0,SUM(HT4:HU4),"")</f>
        <v/>
      </c>
      <c r="HW4" s="13" t="str">
        <f>IF(SUM(HN4:HQ4)-HR4&gt;0,SUM(HN4:HQ4)-HR4,"")</f>
        <v/>
      </c>
      <c r="HX4" s="13" t="str">
        <f>IF(SUM(HV4,HW4)&gt;0,SUM(HV4,HW4),"")</f>
        <v/>
      </c>
      <c r="HY4" s="62"/>
      <c r="HZ4" s="62"/>
      <c r="IA4" s="62"/>
      <c r="IB4" s="62"/>
      <c r="IC4" s="62"/>
      <c r="ID4" s="62"/>
      <c r="IE4" s="62"/>
      <c r="IF4" s="62"/>
      <c r="IG4" s="62"/>
      <c r="IH4" s="62"/>
      <c r="II4" s="62"/>
      <c r="IJ4" s="62"/>
      <c r="IK4" s="62"/>
      <c r="IL4" s="62"/>
      <c r="IM4" s="62"/>
      <c r="IN4" s="17" t="str">
        <f>IF(SUM(IA4,IF4)&gt;0,SUM(IA4,IF4),"")</f>
        <v/>
      </c>
      <c r="IO4" s="17" t="str">
        <f>IF(SUM(HY4:IB4)-IC4&gt;0,SUM(HY4:IB4)-IC4,"")</f>
        <v/>
      </c>
      <c r="IP4" s="17" t="str">
        <f>IF(SUM(ID4:IG4)-IH4&gt;0,SUM(ID4:IG4)-IH4,"")</f>
        <v/>
      </c>
      <c r="IQ4" s="17" t="str">
        <f>IF(SUM(IO4:IP4)&gt;0,SUM(IO4:IP4),"")</f>
        <v/>
      </c>
      <c r="IR4" s="17" t="str">
        <f>IF(SUM(II4:IL4)-IM4&gt;0,SUM(II4:IL4)-IM4,"")</f>
        <v/>
      </c>
      <c r="IS4" s="17" t="str">
        <f>IF(SUM(IQ4,IR4)&gt;0,SUM(IQ4,IR4),"")</f>
        <v/>
      </c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13" t="str">
        <f>IF(SUM(IV4,JA4)&gt;0,SUM(IV4,JA4),"")</f>
        <v/>
      </c>
      <c r="JJ4" s="13" t="str">
        <f>IF(SUM(IT4:IW4)-IX4&gt;0,SUM(IT4:IW4)-IX4,"")</f>
        <v/>
      </c>
      <c r="JK4" s="13" t="str">
        <f>IF(SUM(IY4:JB4)-JC4&gt;0,SUM(IY4:JB4)-JC4,"")</f>
        <v/>
      </c>
      <c r="JL4" s="13" t="str">
        <f>IF(SUM(JJ4:JK4)&gt;0,SUM(JJ4:JK4),"")</f>
        <v/>
      </c>
      <c r="JM4" s="13" t="str">
        <f>IF(SUM(JD4:JG4)-JH4&gt;0,SUM(JD4:JG4)-JH4,"")</f>
        <v/>
      </c>
      <c r="JN4" s="13" t="str">
        <f>IF(SUM(JL4,JM4)&gt;0,SUM(JL4,JM4),"")</f>
        <v/>
      </c>
      <c r="JO4" s="62"/>
      <c r="JP4" s="62"/>
      <c r="JQ4" s="62"/>
      <c r="JR4" s="62"/>
      <c r="JS4" s="62"/>
      <c r="JT4" s="62"/>
      <c r="JU4" s="62"/>
      <c r="JV4" s="62"/>
      <c r="JW4" s="62"/>
      <c r="JX4" s="62"/>
      <c r="JY4" s="62"/>
      <c r="JZ4" s="62"/>
      <c r="KA4" s="62"/>
      <c r="KB4" s="62"/>
      <c r="KC4" s="62"/>
      <c r="KD4" s="17" t="str">
        <f>IF(SUM(JQ4,JV4)&gt;0,SUM(JQ4,JV4),"")</f>
        <v/>
      </c>
      <c r="KE4" s="17" t="str">
        <f>IF(SUM(JO4:JR4)-JS4&gt;0,SUM(JO4:JR4)-JS4,"")</f>
        <v/>
      </c>
      <c r="KF4" s="17" t="str">
        <f>IF(SUM(JT4:JW4)-JX4&gt;0,SUM(JT4:JW4)-JX4,"")</f>
        <v/>
      </c>
      <c r="KG4" s="17" t="str">
        <f>IF(SUM(KE4:KF4)&gt;0,SUM(KE4:KF4),"")</f>
        <v/>
      </c>
      <c r="KH4" s="17" t="str">
        <f>IF(SUM(JY4:KB4)-KC4&gt;0,SUM(JY4:KB4)-KC4,"")</f>
        <v/>
      </c>
      <c r="KI4" s="17" t="str">
        <f>IF(SUM(KG4,KH4)&gt;0,SUM(KG4,KH4),"")</f>
        <v/>
      </c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13" t="str">
        <f>IF(SUM(KL4,KQ4)&gt;0,SUM(KL4,KQ4),"")</f>
        <v/>
      </c>
      <c r="KZ4" s="13" t="str">
        <f>IF(SUM(KJ4:KM4)-KN4&gt;0,SUM(KJ4:KM4)-KN4,"")</f>
        <v/>
      </c>
      <c r="LA4" s="13" t="str">
        <f>IF(SUM(KO4:KR4)-KS4&gt;0,SUM(KO4:KR4)-KS4,"")</f>
        <v/>
      </c>
      <c r="LB4" s="13" t="str">
        <f>IF(SUM(KZ4:LA4)&gt;0,SUM(KZ4:LA4),"")</f>
        <v/>
      </c>
      <c r="LC4" s="13" t="str">
        <f>IF(SUM(KT4:KW4)-KX4&gt;0,SUM(KT4:KW4)-KX4,"")</f>
        <v/>
      </c>
      <c r="LD4" s="13" t="str">
        <f>IF(SUM(LB4,LC4)&gt;0,SUM(LB4,LC4),"")</f>
        <v/>
      </c>
      <c r="LE4" s="62"/>
      <c r="LF4" s="62"/>
      <c r="LG4" s="62"/>
      <c r="LH4" s="62"/>
      <c r="LI4" s="62"/>
      <c r="LJ4" s="62"/>
      <c r="LK4" s="62"/>
      <c r="LL4" s="62"/>
      <c r="LM4" s="62"/>
      <c r="LN4" s="62"/>
      <c r="LO4" s="62"/>
      <c r="LP4" s="62"/>
      <c r="LQ4" s="62"/>
      <c r="LR4" s="62"/>
      <c r="LS4" s="62"/>
      <c r="LT4" s="17" t="str">
        <f>IF(SUM(LG4,LL4)&gt;0,SUM(LG4,LL4),"")</f>
        <v/>
      </c>
      <c r="LU4" s="17" t="str">
        <f>IF(SUM(LE4:LH4)-LI4&gt;0,SUM(LE4:LH4)-LI4,"")</f>
        <v/>
      </c>
      <c r="LV4" s="17" t="str">
        <f>IF(SUM(LJ4:LM4)-LN4&gt;0,SUM(LJ4:LM4)-LN4,"")</f>
        <v/>
      </c>
      <c r="LW4" s="17" t="str">
        <f>IF(SUM(LU4:LV4)&gt;0,SUM(LU4:LV4),"")</f>
        <v/>
      </c>
      <c r="LX4" s="17" t="str">
        <f>IF(SUM(LO4:LR4)-LS4&gt;0,SUM(LO4:LR4)-LS4,"")</f>
        <v/>
      </c>
      <c r="LY4" s="17" t="str">
        <f>IF(SUM(LW4,LX4)&gt;0,SUM(LW4,LX4),"")</f>
        <v/>
      </c>
    </row>
    <row r="5" spans="1:337" x14ac:dyDescent="0.2">
      <c r="A5" s="6" t="str">
        <f ca="1">IF(AND(F5="P",G5="P"),SUMPRODUCT((F$4:F$8="P")*(G$4:G$8="P")*(E$4:E$8&gt;E5))+1,IF(G5="P",SUMPRODUCT((F$4:F$8="")*(G$4:G$8="P")*(E$4:E$8&gt;E5))+1+SUMPRODUCT((F$4:F$8="P")*(G$4:G$8="P")),""))</f>
        <v/>
      </c>
      <c r="B5" s="7" t="s">
        <v>98</v>
      </c>
      <c r="C5" s="8" t="s">
        <v>13</v>
      </c>
      <c r="D5" s="6">
        <v>2011</v>
      </c>
      <c r="E5" s="18">
        <f>SUM(I5:Q5)</f>
        <v>120.62</v>
      </c>
      <c r="F5" s="4" t="str">
        <f>IF(OR(AND(AI5&gt;=C$12,NOT(AI5="")),AND(BD5&gt;=C$12,NOT(BD5="")),AND(BY5&gt;=C$12,NOT(BY5=""))),"P","")</f>
        <v/>
      </c>
      <c r="G5" s="4" t="str">
        <f ca="1">IF(OR(I5&gt;=C$14,AND(I5&gt;$C$13,YEAR(TODAY())-$D5&lt;2)),"P","")</f>
        <v/>
      </c>
      <c r="H5" t="str">
        <f ca="1">IF(F5="P",IF(I5&gt;=C$16,"Merit",IF(I5&gt;=C$15,"Funding",IF(I5&gt;=C$14,"Team",IF(AND(I5&gt;C$13,YEAR(TODAY())-$D5&lt;2),"First 2 Years","")))),IF(AND(I5&gt;C$13,YEAR(TODAY())-$D5&lt;2),"First 2 Years",""))</f>
        <v/>
      </c>
      <c r="I5" s="17">
        <f>MAX(AL5,BG5,CB5)</f>
        <v>68.64</v>
      </c>
      <c r="J5" s="17" t="str">
        <f>IF(I5=CB5,$BJ$1,IF(I5=BG5,$AO$1,IF(I5=AL5,$T$1,"")))</f>
        <v>2017 Canada Cup</v>
      </c>
      <c r="K5" s="17">
        <f>IF($I5=$AL5,MAX(BE5,BZ5),IF($I5=$BG5,MAX(AJ5,BZ5),MAX(AJ5,BE5)))</f>
        <v>5.04</v>
      </c>
      <c r="L5" s="17" t="str">
        <f>IF(K5=BZ5,$BJ$1,IF(K5=BE5,$AO$1,IF(K5=AJ5,$T$1,"")))</f>
        <v>2017 Nationals</v>
      </c>
      <c r="M5" s="17">
        <f>IF($I5=$AL5,MAX(BF5,CA5),IF($I5=$BG5,MAX(AK5,CA5),MAX(AK5,BF5)))</f>
        <v>38.01</v>
      </c>
      <c r="N5" s="17" t="str">
        <f>IF(M5=CA5,$BJ$1,IF(M5=BF5,$AO$1,IF(M5=AK5,$T$1,"")))</f>
        <v>2017 Nationals</v>
      </c>
      <c r="O5" s="17">
        <f>MAX(AM5,BH5,CC5)</f>
        <v>8.93</v>
      </c>
      <c r="P5" s="17" t="str">
        <f>IF(O5=CC5,$BJ$1,IF(O5=BH5,$AO$1,IF(O5=AM5,$T$1,"")))</f>
        <v>2017 Canada Cup</v>
      </c>
      <c r="Q5" s="17" t="str">
        <f>IF(MAX(CE5:CG5)&gt;0,MAX(CE5:CG5),"")</f>
        <v/>
      </c>
      <c r="R5" s="44" t="str">
        <f>IF(Q5="","",IF(Q5=CE5,"(Vol 1)",IF(Q5=CF5,"(Vol 2)",IF(Q5=CG5,"(Final)"))))</f>
        <v/>
      </c>
      <c r="S5" s="17" t="str">
        <f>IF(Q5="","",IF(Q5=CE5,IF(Q5+K5=LU5,$LE$1,IF(Q5+K5=KZ5,$KJ$1,IF(Q5+K5=KE5,$JO$1,IF(Q5+K5=JJ5,$IT$1,IF(Q5+K5=IO5,$HY$1,IF(Q5+K5=HT5,$HD$1,IF(Q5+K5=GY5,$GI$1,IF(Q5+K5=GD5,$FN$1,IF(Q5+K5=FI5,$ES$1,IF(Q5+K5=EN5,$DX$1,IF(Q5+K5=DS5,$DC$1,IF(Q5+K5=CX5,$CH$1)))))))))))),IF(Q5=CF5,IF(Q5+M5=LV5,$LE$1,IF(Q5+M5=LA5,$KJ$1,IF(Q5+M5=KF5,$JO$1,IF(Q5+M5=JK5,$IT$1,IF(Q5+M5=IP5,$HY$1,IF(Q5+M5=HU5,$HD$1,IF(Q5+M5=GZ5,$GI$1,IF(Q5+M5=GE5,$FN$1,IF(Q5+M5=FJ5,$ES$1,IF(Q5+M5=EO5,$DX$1,IF(Q5+M5=DT5,$DC$1,IF(Q5+M5=CY5,$CH$1)))))))))))),IF(Q5=CG5,IF(Q5+O5=LX5,$LE$1,IF(Q5+O5=LC5,$KJ$1,IF(Q5+O5=KH5,$JO$1,IF(Q5+O5=JM5,$IT$1,IF(Q5+O5=IR5,$HY$1,IF(Q5+O5=HW5,$HD$1,IF(Q5+O5=HB5,$GI$1,IF(Q5+O5=GG5,$FN$1,IF(Q5+O5=FL5,$ES$1,IF(Q5+O5=EQ5,$DX$1,IF(Q5+O5=DV5,$DC$1,IF(Q5+O5=DA5,$CH$1))))))))))))))))</f>
        <v/>
      </c>
      <c r="T5" s="63">
        <v>7.65</v>
      </c>
      <c r="U5" s="63">
        <v>8.5500000000000007</v>
      </c>
      <c r="V5" s="63">
        <v>1.8</v>
      </c>
      <c r="W5" s="63">
        <v>11.1</v>
      </c>
      <c r="X5" s="63">
        <v>0</v>
      </c>
      <c r="Y5" s="63">
        <v>8.0500000000000007</v>
      </c>
      <c r="Z5" s="63">
        <v>9.25</v>
      </c>
      <c r="AA5" s="63">
        <v>8.5</v>
      </c>
      <c r="AB5" s="63">
        <v>13.74</v>
      </c>
      <c r="AC5" s="63">
        <v>0</v>
      </c>
      <c r="AD5" s="63">
        <v>1.35</v>
      </c>
      <c r="AE5" s="63">
        <v>1.8</v>
      </c>
      <c r="AF5" s="63">
        <v>2.5</v>
      </c>
      <c r="AG5" s="63">
        <v>3.28</v>
      </c>
      <c r="AH5" s="63">
        <v>0</v>
      </c>
      <c r="AI5" s="13">
        <f>IF(SUM(V5,AA5)&gt;0,SUM(V5,AA5),"")</f>
        <v>10.3</v>
      </c>
      <c r="AJ5" s="13">
        <f>IF(SUM(T5:W5)-X5&gt;0,SUM(T5:W5)-X5,"")</f>
        <v>29.1</v>
      </c>
      <c r="AK5" s="13">
        <f>IF(SUM(Y5:AB5)-AC5&gt;0,SUM(Y5:AB5)-AC5,"")</f>
        <v>39.54</v>
      </c>
      <c r="AL5" s="13">
        <f>IF(SUM(AJ5:AK5)&gt;0,SUM(AJ5:AK5),"")</f>
        <v>68.64</v>
      </c>
      <c r="AM5" s="13">
        <f>IF(SUM(AD5:AG5)-AH5&gt;0,SUM(AD5:AG5)-AH5,"")</f>
        <v>8.93</v>
      </c>
      <c r="AN5" s="13">
        <f>IF(SUM(AL5,AM5)&gt;0,SUM(AL5,AM5),"")</f>
        <v>77.569999999999993</v>
      </c>
      <c r="AO5" s="64">
        <v>0.75</v>
      </c>
      <c r="AP5" s="64">
        <v>0.85</v>
      </c>
      <c r="AQ5" s="64">
        <v>2</v>
      </c>
      <c r="AR5" s="64">
        <v>1.44</v>
      </c>
      <c r="AS5" s="64">
        <v>0</v>
      </c>
      <c r="AT5" s="64">
        <v>7.7</v>
      </c>
      <c r="AU5" s="64">
        <v>9.0500000000000007</v>
      </c>
      <c r="AV5" s="64">
        <v>8.5</v>
      </c>
      <c r="AW5" s="64">
        <v>12.76</v>
      </c>
      <c r="AX5" s="64">
        <v>0</v>
      </c>
      <c r="AY5" s="64"/>
      <c r="AZ5" s="64"/>
      <c r="BA5" s="64"/>
      <c r="BB5" s="64"/>
      <c r="BC5" s="64"/>
      <c r="BD5" s="17">
        <f>IF(SUM(AQ5,AV5)&gt;0,SUM(AQ5,AV5),"")</f>
        <v>10.5</v>
      </c>
      <c r="BE5" s="17">
        <f>IF(SUM(AO5:AR5)-AS5&gt;0,SUM(AO5:AR5)-AS5,"")</f>
        <v>5.04</v>
      </c>
      <c r="BF5" s="17">
        <f>IF(SUM(AT5:AW5)-AX5&gt;0,SUM(AT5:AW5)-AX5,"")</f>
        <v>38.01</v>
      </c>
      <c r="BG5" s="17">
        <f>IF(SUM(BE5:BF5)&gt;0,SUM(BE5:BF5),"")</f>
        <v>43.05</v>
      </c>
      <c r="BH5" s="17" t="str">
        <f>IF(SUM(AY5:BB5)-BC5&gt;0,SUM(AY5:BB5)-BC5,"")</f>
        <v/>
      </c>
      <c r="BI5" s="17">
        <f>IF(SUM(BG5,BH5)&gt;0,SUM(BG5,BH5),"")</f>
        <v>43.05</v>
      </c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13" t="str">
        <f>IF(SUM(BL5,BQ5)&gt;0,SUM(BL5,BQ5),"")</f>
        <v/>
      </c>
      <c r="BZ5" s="13" t="str">
        <f>IF(SUM(BJ5:BM5)-BN5&gt;0,SUM(BJ5:BM5)-BN5,"")</f>
        <v/>
      </c>
      <c r="CA5" s="13" t="str">
        <f>IF(SUM(BO5:BR5)-BS5&gt;0,SUM(BO5:BR5)-BS5,"")</f>
        <v/>
      </c>
      <c r="CB5" s="13" t="str">
        <f>IF(SUM(BZ5:CA5)&gt;0,SUM(BZ5:CA5),"")</f>
        <v/>
      </c>
      <c r="CC5" s="13" t="str">
        <f>IF(SUM(BT5:BW5)-BX5&gt;0,SUM(BT5:BW5)-BX5,"")</f>
        <v/>
      </c>
      <c r="CD5" s="13" t="str">
        <f>IF(SUM(CB5,CC5)&gt;0,SUM(CB5,CC5),"")</f>
        <v/>
      </c>
      <c r="CE5" s="43" t="str">
        <f>IF(MAX(CX5,DS5,EN5,FI5,GD5,GY5,HT5,IO5,JJ5,KE5,KZ5,LU5)-K5&gt;0.001,MAX(CX5,DS5,EN5,FI5,GD5,GY5,HT5,IO5,JJ5,KE5,KZ5,LU5)-K5,"")</f>
        <v/>
      </c>
      <c r="CF5" s="43" t="str">
        <f>IF(MAX(CY5,DT5,EO5,FJ5,GE5,GZ5,HU5,IP5,JK5,KF5,LA5,LV5)-M5&gt;0.001,MAX(CY5,DT5,EO5,FJ5,GE5,GZ5,HU5,IP5,JK5,KF5,LA5,LV5)-M5,"")</f>
        <v/>
      </c>
      <c r="CG5" s="43" t="str">
        <f>IF(MAX(DA5,DV5,EQ5,FL5,GG5,HB5,HW5,IR5,JM5,KH5,LC5,LX5)-O5&gt;0.001,MAX(DA5,DV5,EQ5,FL5,GG5,HB5,HW5,IR5,JM5,KH5,LC5,LX5)-O5,"")</f>
        <v/>
      </c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13" t="str">
        <f>IF(SUM(CJ5,CO5)&gt;0,SUM(CJ5,CO5),"")</f>
        <v/>
      </c>
      <c r="CX5" s="13" t="str">
        <f>IF(SUM(CH5:CK5)-CL5&gt;0,SUM(CH5:CK5)-CL5,"")</f>
        <v/>
      </c>
      <c r="CY5" s="13" t="str">
        <f>IF(SUM(CM5:CP5)-CQ5&gt;0,SUM(CM5:CP5)-CQ5,"")</f>
        <v/>
      </c>
      <c r="CZ5" s="13" t="str">
        <f>IF(SUM(CX5:CY5)&gt;0,SUM(CX5:CY5),"")</f>
        <v/>
      </c>
      <c r="DA5" s="13" t="str">
        <f>IF(SUM(CR5:CU5)-CV5&gt;0,SUM(CR5:CU5)-CV5,"")</f>
        <v/>
      </c>
      <c r="DB5" s="13" t="str">
        <f>IF(SUM(CZ5,DA5)&gt;0,SUM(CZ5,DA5),"")</f>
        <v/>
      </c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17" t="str">
        <f>IF(SUM(DE5,DJ5)&gt;0,SUM(DE5,DJ5),"")</f>
        <v/>
      </c>
      <c r="DS5" s="17" t="str">
        <f>IF(SUM(DC5:DF5)-DG5&gt;0,SUM(DC5:DF5)-DG5,"")</f>
        <v/>
      </c>
      <c r="DT5" s="17" t="str">
        <f>IF(SUM(DH5:DK5)-DL5&gt;0,SUM(DH5:DK5)-DL5,"")</f>
        <v/>
      </c>
      <c r="DU5" s="17" t="str">
        <f>IF(SUM(DS5:DT5)&gt;0,SUM(DS5:DT5),"")</f>
        <v/>
      </c>
      <c r="DV5" s="17" t="str">
        <f>IF(SUM(DM5:DP5)-DQ5&gt;0,SUM(DM5:DP5)-DQ5,"")</f>
        <v/>
      </c>
      <c r="DW5" s="17" t="str">
        <f>IF(SUM(DU5,DV5)&gt;0,SUM(DU5,DV5),"")</f>
        <v/>
      </c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13" t="str">
        <f>IF(SUM(DZ5,EE5)&gt;0,SUM(DZ5,EE5),"")</f>
        <v/>
      </c>
      <c r="EN5" s="13" t="str">
        <f>IF(SUM(DX5:EA5)-EB5&gt;0,SUM(DX5:EA5)-EB5,"")</f>
        <v/>
      </c>
      <c r="EO5" s="13" t="str">
        <f>IF(SUM(EC5:EF5)-EG5&gt;0,SUM(EC5:EF5)-EG5,"")</f>
        <v/>
      </c>
      <c r="EP5" s="13" t="str">
        <f>IF(SUM(EN5:EO5)&gt;0,SUM(EN5:EO5),"")</f>
        <v/>
      </c>
      <c r="EQ5" s="13" t="str">
        <f>IF(SUM(EH5:EK5)-EL5&gt;0,SUM(EH5:EK5)-EL5,"")</f>
        <v/>
      </c>
      <c r="ER5" s="13" t="str">
        <f>IF(SUM(EP5,EQ5)&gt;0,SUM(EP5,EQ5),"")</f>
        <v/>
      </c>
      <c r="ES5" s="62"/>
      <c r="ET5" s="62"/>
      <c r="EU5" s="62"/>
      <c r="EV5" s="62"/>
      <c r="EW5" s="62"/>
      <c r="EX5" s="62"/>
      <c r="EY5" s="62"/>
      <c r="EZ5" s="62"/>
      <c r="FA5" s="62"/>
      <c r="FB5" s="62"/>
      <c r="FC5" s="62"/>
      <c r="FD5" s="62"/>
      <c r="FE5" s="62"/>
      <c r="FF5" s="62"/>
      <c r="FG5" s="62"/>
      <c r="FH5" s="17" t="str">
        <f>IF(SUM(EU5,EZ5)&gt;0,SUM(EU5,EZ5),"")</f>
        <v/>
      </c>
      <c r="FI5" s="17" t="str">
        <f>IF(SUM(ES5:EV5)-EW5&gt;0,SUM(ES5:EV5)-EW5,"")</f>
        <v/>
      </c>
      <c r="FJ5" s="17" t="str">
        <f>IF(SUM(EX5:FA5)-FB5&gt;0,SUM(EX5:FA5)-FB5,"")</f>
        <v/>
      </c>
      <c r="FK5" s="17" t="str">
        <f>IF(SUM(FI5:FJ5)&gt;0,SUM(FI5:FJ5),"")</f>
        <v/>
      </c>
      <c r="FL5" s="17" t="str">
        <f>IF(SUM(FC5:FF5)-FG5&gt;0,SUM(FC5:FF5)-FG5,"")</f>
        <v/>
      </c>
      <c r="FM5" s="17" t="str">
        <f>IF(SUM(FK5,FL5)&gt;0,SUM(FK5,FL5),"")</f>
        <v/>
      </c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13" t="str">
        <f>IF(SUM(FP5,FU5)&gt;0,SUM(FP5,FU5),"")</f>
        <v/>
      </c>
      <c r="GD5" s="13" t="str">
        <f>IF(SUM(FN5:FQ5)-FR5&gt;0,SUM(FN5:FQ5)-FR5,"")</f>
        <v/>
      </c>
      <c r="GE5" s="13" t="str">
        <f>IF(SUM(FS5:FV5)-FW5&gt;0,SUM(FS5:FV5)-FW5,"")</f>
        <v/>
      </c>
      <c r="GF5" s="13" t="str">
        <f>IF(SUM(GD5:GE5)&gt;0,SUM(GD5:GE5),"")</f>
        <v/>
      </c>
      <c r="GG5" s="13" t="str">
        <f>IF(SUM(FX5:GA5)-GB5&gt;0,SUM(FX5:GA5)-GB5,"")</f>
        <v/>
      </c>
      <c r="GH5" s="13" t="str">
        <f>IF(SUM(GF5,GG5)&gt;0,SUM(GF5,GG5),"")</f>
        <v/>
      </c>
      <c r="GI5" s="62"/>
      <c r="GJ5" s="62"/>
      <c r="GK5" s="62"/>
      <c r="GL5" s="62"/>
      <c r="GM5" s="62"/>
      <c r="GN5" s="62"/>
      <c r="GO5" s="62"/>
      <c r="GP5" s="62"/>
      <c r="GQ5" s="62"/>
      <c r="GR5" s="62"/>
      <c r="GS5" s="62"/>
      <c r="GT5" s="62"/>
      <c r="GU5" s="62"/>
      <c r="GV5" s="62"/>
      <c r="GW5" s="62"/>
      <c r="GX5" s="17" t="str">
        <f>IF(SUM(GK5,GP5)&gt;0,SUM(GK5,GP5),"")</f>
        <v/>
      </c>
      <c r="GY5" s="17" t="str">
        <f>IF(SUM(GI5:GL5)-GM5&gt;0,SUM(GI5:GL5)-GM5,"")</f>
        <v/>
      </c>
      <c r="GZ5" s="17" t="str">
        <f>IF(SUM(GN5:GQ5)-GR5&gt;0,SUM(GN5:GQ5)-GR5,"")</f>
        <v/>
      </c>
      <c r="HA5" s="17" t="str">
        <f>IF(SUM(GY5:GZ5)&gt;0,SUM(GY5:GZ5),"")</f>
        <v/>
      </c>
      <c r="HB5" s="17" t="str">
        <f>IF(SUM(GS5:GV5)-GW5&gt;0,SUM(GS5:GV5)-GW5,"")</f>
        <v/>
      </c>
      <c r="HC5" s="17" t="str">
        <f>IF(SUM(HA5,HB5)&gt;0,SUM(HA5,HB5),"")</f>
        <v/>
      </c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13" t="str">
        <f>IF(SUM(HF5,HK5)&gt;0,SUM(HF5,HK5),"")</f>
        <v/>
      </c>
      <c r="HT5" s="13" t="str">
        <f>IF(SUM(HD5:HG5)-HH5&gt;0,SUM(HD5:HG5)-HH5,"")</f>
        <v/>
      </c>
      <c r="HU5" s="13" t="str">
        <f>IF(SUM(HI5:HL5)-HM5&gt;0,SUM(HI5:HL5)-HM5,"")</f>
        <v/>
      </c>
      <c r="HV5" s="13" t="str">
        <f>IF(SUM(HT5:HU5)&gt;0,SUM(HT5:HU5),"")</f>
        <v/>
      </c>
      <c r="HW5" s="13" t="str">
        <f>IF(SUM(HN5:HQ5)-HR5&gt;0,SUM(HN5:HQ5)-HR5,"")</f>
        <v/>
      </c>
      <c r="HX5" s="13" t="str">
        <f>IF(SUM(HV5,HW5)&gt;0,SUM(HV5,HW5),"")</f>
        <v/>
      </c>
      <c r="HY5" s="62"/>
      <c r="HZ5" s="62"/>
      <c r="IA5" s="62"/>
      <c r="IB5" s="62"/>
      <c r="IC5" s="62"/>
      <c r="ID5" s="62"/>
      <c r="IE5" s="62"/>
      <c r="IF5" s="62"/>
      <c r="IG5" s="62"/>
      <c r="IH5" s="62"/>
      <c r="II5" s="62"/>
      <c r="IJ5" s="62"/>
      <c r="IK5" s="62"/>
      <c r="IL5" s="62"/>
      <c r="IM5" s="62"/>
      <c r="IN5" s="17" t="str">
        <f>IF(SUM(IA5,IF5)&gt;0,SUM(IA5,IF5),"")</f>
        <v/>
      </c>
      <c r="IO5" s="17" t="str">
        <f>IF(SUM(HY5:IB5)-IC5&gt;0,SUM(HY5:IB5)-IC5,"")</f>
        <v/>
      </c>
      <c r="IP5" s="17" t="str">
        <f>IF(SUM(ID5:IG5)-IH5&gt;0,SUM(ID5:IG5)-IH5,"")</f>
        <v/>
      </c>
      <c r="IQ5" s="17" t="str">
        <f>IF(SUM(IO5:IP5)&gt;0,SUM(IO5:IP5),"")</f>
        <v/>
      </c>
      <c r="IR5" s="17" t="str">
        <f>IF(SUM(II5:IL5)-IM5&gt;0,SUM(II5:IL5)-IM5,"")</f>
        <v/>
      </c>
      <c r="IS5" s="17" t="str">
        <f>IF(SUM(IQ5,IR5)&gt;0,SUM(IQ5,IR5),"")</f>
        <v/>
      </c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13" t="str">
        <f>IF(SUM(IV5,JA5)&gt;0,SUM(IV5,JA5),"")</f>
        <v/>
      </c>
      <c r="JJ5" s="13" t="str">
        <f>IF(SUM(IT5:IW5)-IX5&gt;0,SUM(IT5:IW5)-IX5,"")</f>
        <v/>
      </c>
      <c r="JK5" s="13" t="str">
        <f>IF(SUM(IY5:JB5)-JC5&gt;0,SUM(IY5:JB5)-JC5,"")</f>
        <v/>
      </c>
      <c r="JL5" s="13" t="str">
        <f>IF(SUM(JJ5:JK5)&gt;0,SUM(JJ5:JK5),"")</f>
        <v/>
      </c>
      <c r="JM5" s="13" t="str">
        <f>IF(SUM(JD5:JG5)-JH5&gt;0,SUM(JD5:JG5)-JH5,"")</f>
        <v/>
      </c>
      <c r="JN5" s="13" t="str">
        <f>IF(SUM(JL5,JM5)&gt;0,SUM(JL5,JM5),"")</f>
        <v/>
      </c>
      <c r="JO5" s="62"/>
      <c r="JP5" s="62"/>
      <c r="JQ5" s="62"/>
      <c r="JR5" s="62"/>
      <c r="JS5" s="62"/>
      <c r="JT5" s="62"/>
      <c r="JU5" s="62"/>
      <c r="JV5" s="62"/>
      <c r="JW5" s="62"/>
      <c r="JX5" s="62"/>
      <c r="JY5" s="62"/>
      <c r="JZ5" s="62"/>
      <c r="KA5" s="62"/>
      <c r="KB5" s="62"/>
      <c r="KC5" s="62"/>
      <c r="KD5" s="17" t="str">
        <f>IF(SUM(JQ5,JV5)&gt;0,SUM(JQ5,JV5),"")</f>
        <v/>
      </c>
      <c r="KE5" s="17" t="str">
        <f>IF(SUM(JO5:JR5)-JS5&gt;0,SUM(JO5:JR5)-JS5,"")</f>
        <v/>
      </c>
      <c r="KF5" s="17" t="str">
        <f>IF(SUM(JT5:JW5)-JX5&gt;0,SUM(JT5:JW5)-JX5,"")</f>
        <v/>
      </c>
      <c r="KG5" s="17" t="str">
        <f>IF(SUM(KE5:KF5)&gt;0,SUM(KE5:KF5),"")</f>
        <v/>
      </c>
      <c r="KH5" s="17" t="str">
        <f>IF(SUM(JY5:KB5)-KC5&gt;0,SUM(JY5:KB5)-KC5,"")</f>
        <v/>
      </c>
      <c r="KI5" s="17" t="str">
        <f>IF(SUM(KG5,KH5)&gt;0,SUM(KG5,KH5),"")</f>
        <v/>
      </c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13" t="str">
        <f>IF(SUM(KL5,KQ5)&gt;0,SUM(KL5,KQ5),"")</f>
        <v/>
      </c>
      <c r="KZ5" s="13" t="str">
        <f>IF(SUM(KJ5:KM5)-KN5&gt;0,SUM(KJ5:KM5)-KN5,"")</f>
        <v/>
      </c>
      <c r="LA5" s="13" t="str">
        <f>IF(SUM(KO5:KR5)-KS5&gt;0,SUM(KO5:KR5)-KS5,"")</f>
        <v/>
      </c>
      <c r="LB5" s="13" t="str">
        <f>IF(SUM(KZ5:LA5)&gt;0,SUM(KZ5:LA5),"")</f>
        <v/>
      </c>
      <c r="LC5" s="13" t="str">
        <f>IF(SUM(KT5:KW5)-KX5&gt;0,SUM(KT5:KW5)-KX5,"")</f>
        <v/>
      </c>
      <c r="LD5" s="13" t="str">
        <f>IF(SUM(LB5,LC5)&gt;0,SUM(LB5,LC5),"")</f>
        <v/>
      </c>
      <c r="LE5" s="62"/>
      <c r="LF5" s="62"/>
      <c r="LG5" s="62"/>
      <c r="LH5" s="62"/>
      <c r="LI5" s="62"/>
      <c r="LJ5" s="62"/>
      <c r="LK5" s="62"/>
      <c r="LL5" s="62"/>
      <c r="LM5" s="62"/>
      <c r="LN5" s="62"/>
      <c r="LO5" s="62"/>
      <c r="LP5" s="62"/>
      <c r="LQ5" s="62"/>
      <c r="LR5" s="62"/>
      <c r="LS5" s="62"/>
      <c r="LT5" s="17" t="str">
        <f>IF(SUM(LG5,LL5)&gt;0,SUM(LG5,LL5),"")</f>
        <v/>
      </c>
      <c r="LU5" s="17" t="str">
        <f>IF(SUM(LE5:LH5)-LI5&gt;0,SUM(LE5:LH5)-LI5,"")</f>
        <v/>
      </c>
      <c r="LV5" s="17" t="str">
        <f>IF(SUM(LJ5:LM5)-LN5&gt;0,SUM(LJ5:LM5)-LN5,"")</f>
        <v/>
      </c>
      <c r="LW5" s="17" t="str">
        <f>IF(SUM(LU5:LV5)&gt;0,SUM(LU5:LV5),"")</f>
        <v/>
      </c>
      <c r="LX5" s="17" t="str">
        <f>IF(SUM(LO5:LR5)-LS5&gt;0,SUM(LO5:LR5)-LS5,"")</f>
        <v/>
      </c>
      <c r="LY5" s="17" t="str">
        <f>IF(SUM(LW5,LX5)&gt;0,SUM(LW5,LX5),"")</f>
        <v/>
      </c>
    </row>
    <row r="6" spans="1:337" x14ac:dyDescent="0.2">
      <c r="A6" s="6" t="str">
        <f ca="1">IF(AND(F6="P",G6="P"),SUMPRODUCT((F$4:F$8="P")*(G$4:G$8="P")*(E$4:E$8&gt;E6))+1,IF(G6="P",SUMPRODUCT((F$4:F$8="")*(G$4:G$8="P")*(E$4:E$8&gt;E6))+1+SUMPRODUCT((F$4:F$8="P")*(G$4:G$8="P")),""))</f>
        <v/>
      </c>
      <c r="B6" s="7" t="s">
        <v>121</v>
      </c>
      <c r="C6" s="8" t="s">
        <v>4</v>
      </c>
      <c r="D6" s="46">
        <v>2006</v>
      </c>
      <c r="E6" s="18">
        <f>SUM(I6:Q6)</f>
        <v>90.300000000000011</v>
      </c>
      <c r="F6" s="4" t="str">
        <f>IF(OR(AND(AI6&gt;=C$12,NOT(AI6="")),AND(BD6&gt;=C$12,NOT(BD6="")),AND(BY6&gt;=C$12,NOT(BY6=""))),"P","")</f>
        <v/>
      </c>
      <c r="G6" s="4" t="str">
        <f ca="1">IF(OR(I6&gt;=C$14,AND(I6&gt;$C$13,YEAR(TODAY())-$D6&lt;2)),"P","")</f>
        <v/>
      </c>
      <c r="H6" t="str">
        <f ca="1">IF(F6="P",IF(I6&gt;=C$16,"Merit",IF(I6&gt;=C$15,"Funding",IF(I6&gt;=C$14,"Team",IF(AND(I6&gt;C$13,YEAR(TODAY())-$D6&lt;2),"First 2 Years","")))),IF(AND(I6&gt;C$13,YEAR(TODAY())-$D6&lt;2),"First 2 Years",""))</f>
        <v/>
      </c>
      <c r="I6" s="17">
        <f>MAX(AL6,BG6,CB6)</f>
        <v>80.800000000000011</v>
      </c>
      <c r="J6" s="17" t="str">
        <f>IF(I6=CB6,$BJ$1,IF(I6=BG6,$AO$1,IF(I6=AL6,$T$1,"")))</f>
        <v>2017 3rd Domestic Trial</v>
      </c>
      <c r="K6" s="17">
        <f>IF($I6=$AL6,MAX(BE6,BZ6),IF($I6=$BG6,MAX(AJ6,BZ6),MAX(AJ6,BE6)))</f>
        <v>0</v>
      </c>
      <c r="L6" s="17" t="str">
        <f>IF(K6=BZ6,$BJ$1,IF(K6=BE6,$AO$1,IF(K6=AJ6,$T$1,"")))</f>
        <v/>
      </c>
      <c r="M6" s="17">
        <f>IF($I6=$AL6,MAX(BF6,CA6),IF($I6=$BG6,MAX(AK6,CA6),MAX(AK6,BF6)))</f>
        <v>0</v>
      </c>
      <c r="N6" s="17" t="str">
        <f>IF(M6=CA6,$BJ$1,IF(M6=BF6,$AO$1,IF(M6=AK6,$T$1,"")))</f>
        <v/>
      </c>
      <c r="O6" s="17">
        <f>MAX(AM6,BH6,CC6)</f>
        <v>9.5</v>
      </c>
      <c r="P6" s="17" t="str">
        <f>IF(O6=CC6,$BJ$1,IF(O6=BH6,$AO$1,IF(O6=AM6,$T$1,"")))</f>
        <v>2017 3rd Domestic Trial</v>
      </c>
      <c r="Q6" s="17" t="str">
        <f>IF(MAX(CE6:CG6)&gt;0,MAX(CE6:CG6),"")</f>
        <v/>
      </c>
      <c r="R6" s="44" t="str">
        <f>IF(Q6="","",IF(Q6=CE6,"(Vol 1)",IF(Q6=CF6,"(Vol 2)",IF(Q6=CG6,"(Final)"))))</f>
        <v/>
      </c>
      <c r="S6" s="17" t="str">
        <f>IF(Q6="","",IF(Q6=CE6,IF(Q6+K6=LU6,$LE$1,IF(Q6+K6=KZ6,$KJ$1,IF(Q6+K6=KE6,$JO$1,IF(Q6+K6=JJ6,$IT$1,IF(Q6+K6=IO6,$HY$1,IF(Q6+K6=HT6,$HD$1,IF(Q6+K6=GY6,$GI$1,IF(Q6+K6=GD6,$FN$1,IF(Q6+K6=FI6,$ES$1,IF(Q6+K6=EN6,$DX$1,IF(Q6+K6=DS6,$DC$1,IF(Q6+K6=CX6,$CH$1)))))))))))),IF(Q6=CF6,IF(Q6+M6=LV6,$LE$1,IF(Q6+M6=LA6,$KJ$1,IF(Q6+M6=KF6,$JO$1,IF(Q6+M6=JK6,$IT$1,IF(Q6+M6=IP6,$HY$1,IF(Q6+M6=HU6,$HD$1,IF(Q6+M6=GZ6,$GI$1,IF(Q6+M6=GE6,$FN$1,IF(Q6+M6=FJ6,$ES$1,IF(Q6+M6=EO6,$DX$1,IF(Q6+M6=DT6,$DC$1,IF(Q6+M6=CY6,$CH$1)))))))))))),IF(Q6=CG6,IF(Q6+O6=LX6,$LE$1,IF(Q6+O6=LC6,$KJ$1,IF(Q6+O6=KH6,$JO$1,IF(Q6+O6=JM6,$IT$1,IF(Q6+O6=IR6,$HY$1,IF(Q6+O6=HW6,$HD$1,IF(Q6+O6=HB6,$GI$1,IF(Q6+O6=GG6,$FN$1,IF(Q6+O6=FL6,$ES$1,IF(Q6+O6=EQ6,$DX$1,IF(Q6+O6=DV6,$DC$1,IF(Q6+O6=DA6,$CH$1))))))))))))))))</f>
        <v/>
      </c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13" t="str">
        <f>IF(SUM(V6,AA6)&gt;0,SUM(V6,AA6),"")</f>
        <v/>
      </c>
      <c r="AJ6" s="13" t="str">
        <f>IF(SUM(T6:W6)-X6&gt;0,SUM(T6:W6)-X6,"")</f>
        <v/>
      </c>
      <c r="AK6" s="13" t="str">
        <f>IF(SUM(Y6:AB6)-AC6&gt;0,SUM(Y6:AB6)-AC6,"")</f>
        <v/>
      </c>
      <c r="AL6" s="13" t="str">
        <f>IF(SUM(AJ6:AK6)&gt;0,SUM(AJ6:AK6),"")</f>
        <v/>
      </c>
      <c r="AM6" s="13" t="str">
        <f>IF(SUM(AD6:AG6)-AH6&gt;0,SUM(AD6:AG6)-AH6,"")</f>
        <v/>
      </c>
      <c r="AN6" s="13" t="str">
        <f>IF(SUM(AL6,AM6)&gt;0,SUM(AL6,AM6),"")</f>
        <v/>
      </c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17" t="str">
        <f>IF(SUM(AQ6,AV6)&gt;0,SUM(AQ6,AV6),"")</f>
        <v/>
      </c>
      <c r="BE6" s="17" t="str">
        <f>IF(SUM(AO6:AR6)-AS6&gt;0,SUM(AO6:AR6)-AS6,"")</f>
        <v/>
      </c>
      <c r="BF6" s="17" t="str">
        <f>IF(SUM(AT6:AW6)-AX6&gt;0,SUM(AT6:AW6)-AX6,"")</f>
        <v/>
      </c>
      <c r="BG6" s="17" t="str">
        <f>IF(SUM(BE6:BF6)&gt;0,SUM(BE6:BF6),"")</f>
        <v/>
      </c>
      <c r="BH6" s="17" t="str">
        <f>IF(SUM(AY6:BB6)-BC6&gt;0,SUM(AY6:BB6)-BC6,"")</f>
        <v/>
      </c>
      <c r="BI6" s="17" t="str">
        <f>IF(SUM(BG6,BH6)&gt;0,SUM(BG6,BH6),"")</f>
        <v/>
      </c>
      <c r="BJ6" s="63">
        <v>8.4499999999999993</v>
      </c>
      <c r="BK6" s="63">
        <v>9.3000000000000007</v>
      </c>
      <c r="BL6" s="63">
        <v>5.2</v>
      </c>
      <c r="BM6" s="63">
        <v>16.8</v>
      </c>
      <c r="BN6" s="63">
        <v>0</v>
      </c>
      <c r="BO6" s="63">
        <v>5.95</v>
      </c>
      <c r="BP6" s="63">
        <v>7.7</v>
      </c>
      <c r="BQ6" s="63">
        <v>10.8</v>
      </c>
      <c r="BR6" s="63">
        <v>16.600000000000001</v>
      </c>
      <c r="BS6" s="63">
        <v>0</v>
      </c>
      <c r="BT6" s="63">
        <v>1.35</v>
      </c>
      <c r="BU6" s="63">
        <v>1.65</v>
      </c>
      <c r="BV6" s="63">
        <v>3.1</v>
      </c>
      <c r="BW6" s="63">
        <v>3.4</v>
      </c>
      <c r="BX6" s="63">
        <v>0</v>
      </c>
      <c r="BY6" s="13">
        <f>IF(SUM(BL6,BQ6)&gt;0,SUM(BL6,BQ6),"")</f>
        <v>16</v>
      </c>
      <c r="BZ6" s="13">
        <f>IF(SUM(BJ6:BM6)-BN6&gt;0,SUM(BJ6:BM6)-BN6,"")</f>
        <v>39.75</v>
      </c>
      <c r="CA6" s="13">
        <f>IF(SUM(BO6:BR6)-BS6&gt;0,SUM(BO6:BR6)-BS6,"")</f>
        <v>41.050000000000004</v>
      </c>
      <c r="CB6" s="13">
        <f>IF(SUM(BZ6:CA6)&gt;0,SUM(BZ6:CA6),"")</f>
        <v>80.800000000000011</v>
      </c>
      <c r="CC6" s="13">
        <f>IF(SUM(BT6:BW6)-BX6&gt;0,SUM(BT6:BW6)-BX6,"")</f>
        <v>9.5</v>
      </c>
      <c r="CD6" s="13">
        <f>IF(SUM(CB6,CC6)&gt;0,SUM(CB6,CC6),"")</f>
        <v>90.300000000000011</v>
      </c>
      <c r="CE6" s="43" t="str">
        <f>IF(MAX(CX6,DS6,EN6,FI6,GD6,GY6,HT6,IO6,JJ6,KE6,KZ6,LU6)-K6&gt;0.001,MAX(CX6,DS6,EN6,FI6,GD6,GY6,HT6,IO6,JJ6,KE6,KZ6,LU6)-K6,"")</f>
        <v/>
      </c>
      <c r="CF6" s="43" t="str">
        <f>IF(MAX(CY6,DT6,EO6,FJ6,GE6,GZ6,HU6,IP6,JK6,KF6,LA6,LV6)-M6&gt;0.001,MAX(CY6,DT6,EO6,FJ6,GE6,GZ6,HU6,IP6,JK6,KF6,LA6,LV6)-M6,"")</f>
        <v/>
      </c>
      <c r="CG6" s="43" t="str">
        <f>IF(MAX(DA6,DV6,EQ6,FL6,GG6,HB6,HW6,IR6,JM6,KH6,LC6,LX6)-O6&gt;0.001,MAX(DA6,DV6,EQ6,FL6,GG6,HB6,HW6,IR6,JM6,KH6,LC6,LX6)-O6,"")</f>
        <v/>
      </c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13" t="str">
        <f>IF(SUM(CJ6,CO6)&gt;0,SUM(CJ6,CO6),"")</f>
        <v/>
      </c>
      <c r="CX6" s="13" t="str">
        <f>IF(SUM(CH6:CK6)-CL6&gt;0,SUM(CH6:CK6)-CL6,"")</f>
        <v/>
      </c>
      <c r="CY6" s="13" t="str">
        <f>IF(SUM(CM6:CP6)-CQ6&gt;0,SUM(CM6:CP6)-CQ6,"")</f>
        <v/>
      </c>
      <c r="CZ6" s="13" t="str">
        <f>IF(SUM(CX6:CY6)&gt;0,SUM(CX6:CY6),"")</f>
        <v/>
      </c>
      <c r="DA6" s="13" t="str">
        <f>IF(SUM(CR6:CU6)-CV6&gt;0,SUM(CR6:CU6)-CV6,"")</f>
        <v/>
      </c>
      <c r="DB6" s="13" t="str">
        <f>IF(SUM(CZ6,DA6)&gt;0,SUM(CZ6,DA6),"")</f>
        <v/>
      </c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17" t="str">
        <f>IF(SUM(DE6,DJ6)&gt;0,SUM(DE6,DJ6),"")</f>
        <v/>
      </c>
      <c r="DS6" s="17" t="str">
        <f>IF(SUM(DC6:DF6)-DG6&gt;0,SUM(DC6:DF6)-DG6,"")</f>
        <v/>
      </c>
      <c r="DT6" s="17" t="str">
        <f>IF(SUM(DH6:DK6)-DL6&gt;0,SUM(DH6:DK6)-DL6,"")</f>
        <v/>
      </c>
      <c r="DU6" s="17" t="str">
        <f>IF(SUM(DS6:DT6)&gt;0,SUM(DS6:DT6),"")</f>
        <v/>
      </c>
      <c r="DV6" s="17" t="str">
        <f>IF(SUM(DM6:DP6)-DQ6&gt;0,SUM(DM6:DP6)-DQ6,"")</f>
        <v/>
      </c>
      <c r="DW6" s="17" t="str">
        <f>IF(SUM(DU6,DV6)&gt;0,SUM(DU6,DV6),"")</f>
        <v/>
      </c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13" t="str">
        <f>IF(SUM(DZ6,EE6)&gt;0,SUM(DZ6,EE6),"")</f>
        <v/>
      </c>
      <c r="EN6" s="13" t="str">
        <f>IF(SUM(DX6:EA6)-EB6&gt;0,SUM(DX6:EA6)-EB6,"")</f>
        <v/>
      </c>
      <c r="EO6" s="13" t="str">
        <f>IF(SUM(EC6:EF6)-EG6&gt;0,SUM(EC6:EF6)-EG6,"")</f>
        <v/>
      </c>
      <c r="EP6" s="13" t="str">
        <f>IF(SUM(EN6:EO6)&gt;0,SUM(EN6:EO6),"")</f>
        <v/>
      </c>
      <c r="EQ6" s="13" t="str">
        <f>IF(SUM(EH6:EK6)-EL6&gt;0,SUM(EH6:EK6)-EL6,"")</f>
        <v/>
      </c>
      <c r="ER6" s="13" t="str">
        <f>IF(SUM(EP6,EQ6)&gt;0,SUM(EP6,EQ6),"")</f>
        <v/>
      </c>
      <c r="ES6" s="62"/>
      <c r="ET6" s="62"/>
      <c r="EU6" s="62"/>
      <c r="EV6" s="62"/>
      <c r="EW6" s="62"/>
      <c r="EX6" s="62"/>
      <c r="EY6" s="62"/>
      <c r="EZ6" s="62"/>
      <c r="FA6" s="62"/>
      <c r="FB6" s="62"/>
      <c r="FC6" s="62"/>
      <c r="FD6" s="62"/>
      <c r="FE6" s="62"/>
      <c r="FF6" s="62"/>
      <c r="FG6" s="62"/>
      <c r="FH6" s="17" t="str">
        <f>IF(SUM(EU6,EZ6)&gt;0,SUM(EU6,EZ6),"")</f>
        <v/>
      </c>
      <c r="FI6" s="17" t="str">
        <f>IF(SUM(ES6:EV6)-EW6&gt;0,SUM(ES6:EV6)-EW6,"")</f>
        <v/>
      </c>
      <c r="FJ6" s="17" t="str">
        <f>IF(SUM(EX6:FA6)-FB6&gt;0,SUM(EX6:FA6)-FB6,"")</f>
        <v/>
      </c>
      <c r="FK6" s="17" t="str">
        <f>IF(SUM(FI6:FJ6)&gt;0,SUM(FI6:FJ6),"")</f>
        <v/>
      </c>
      <c r="FL6" s="17" t="str">
        <f>IF(SUM(FC6:FF6)-FG6&gt;0,SUM(FC6:FF6)-FG6,"")</f>
        <v/>
      </c>
      <c r="FM6" s="17" t="str">
        <f>IF(SUM(FK6,FL6)&gt;0,SUM(FK6,FL6),"")</f>
        <v/>
      </c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13" t="str">
        <f>IF(SUM(FP6,FU6)&gt;0,SUM(FP6,FU6),"")</f>
        <v/>
      </c>
      <c r="GD6" s="13" t="str">
        <f>IF(SUM(FN6:FQ6)-FR6&gt;0,SUM(FN6:FQ6)-FR6,"")</f>
        <v/>
      </c>
      <c r="GE6" s="13" t="str">
        <f>IF(SUM(FS6:FV6)-FW6&gt;0,SUM(FS6:FV6)-FW6,"")</f>
        <v/>
      </c>
      <c r="GF6" s="13" t="str">
        <f>IF(SUM(GD6:GE6)&gt;0,SUM(GD6:GE6),"")</f>
        <v/>
      </c>
      <c r="GG6" s="13" t="str">
        <f>IF(SUM(FX6:GA6)-GB6&gt;0,SUM(FX6:GA6)-GB6,"")</f>
        <v/>
      </c>
      <c r="GH6" s="13" t="str">
        <f>IF(SUM(GF6,GG6)&gt;0,SUM(GF6,GG6),"")</f>
        <v/>
      </c>
      <c r="GI6" s="62"/>
      <c r="GJ6" s="62"/>
      <c r="GK6" s="62"/>
      <c r="GL6" s="62"/>
      <c r="GM6" s="62"/>
      <c r="GN6" s="62"/>
      <c r="GO6" s="62"/>
      <c r="GP6" s="62"/>
      <c r="GQ6" s="62"/>
      <c r="GR6" s="62"/>
      <c r="GS6" s="62"/>
      <c r="GT6" s="62"/>
      <c r="GU6" s="62"/>
      <c r="GV6" s="62"/>
      <c r="GW6" s="62"/>
      <c r="GX6" s="17" t="str">
        <f>IF(SUM(GK6,GP6)&gt;0,SUM(GK6,GP6),"")</f>
        <v/>
      </c>
      <c r="GY6" s="17" t="str">
        <f>IF(SUM(GI6:GL6)-GM6&gt;0,SUM(GI6:GL6)-GM6,"")</f>
        <v/>
      </c>
      <c r="GZ6" s="17" t="str">
        <f>IF(SUM(GN6:GQ6)-GR6&gt;0,SUM(GN6:GQ6)-GR6,"")</f>
        <v/>
      </c>
      <c r="HA6" s="17" t="str">
        <f>IF(SUM(GY6:GZ6)&gt;0,SUM(GY6:GZ6),"")</f>
        <v/>
      </c>
      <c r="HB6" s="17" t="str">
        <f>IF(SUM(GS6:GV6)-GW6&gt;0,SUM(GS6:GV6)-GW6,"")</f>
        <v/>
      </c>
      <c r="HC6" s="17" t="str">
        <f>IF(SUM(HA6,HB6)&gt;0,SUM(HA6,HB6),"")</f>
        <v/>
      </c>
      <c r="HD6" s="60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13" t="str">
        <f>IF(SUM(HF6,HK6)&gt;0,SUM(HF6,HK6),"")</f>
        <v/>
      </c>
      <c r="HT6" s="13" t="str">
        <f>IF(SUM(HD6:HG6)-HH6&gt;0,SUM(HD6:HG6)-HH6,"")</f>
        <v/>
      </c>
      <c r="HU6" s="13" t="str">
        <f>IF(SUM(HI6:HL6)-HM6&gt;0,SUM(HI6:HL6)-HM6,"")</f>
        <v/>
      </c>
      <c r="HV6" s="13" t="str">
        <f>IF(SUM(HT6:HU6)&gt;0,SUM(HT6:HU6),"")</f>
        <v/>
      </c>
      <c r="HW6" s="13" t="str">
        <f>IF(SUM(HN6:HQ6)-HR6&gt;0,SUM(HN6:HQ6)-HR6,"")</f>
        <v/>
      </c>
      <c r="HX6" s="13" t="str">
        <f>IF(SUM(HV6,HW6)&gt;0,SUM(HV6,HW6),"")</f>
        <v/>
      </c>
      <c r="HY6" s="62"/>
      <c r="HZ6" s="62"/>
      <c r="IA6" s="62"/>
      <c r="IB6" s="62"/>
      <c r="IC6" s="62"/>
      <c r="ID6" s="62"/>
      <c r="IE6" s="62"/>
      <c r="IF6" s="62"/>
      <c r="IG6" s="62"/>
      <c r="IH6" s="62"/>
      <c r="II6" s="62"/>
      <c r="IJ6" s="62"/>
      <c r="IK6" s="62"/>
      <c r="IL6" s="62"/>
      <c r="IM6" s="62"/>
      <c r="IN6" s="17" t="str">
        <f>IF(SUM(IA6,IF6)&gt;0,SUM(IA6,IF6),"")</f>
        <v/>
      </c>
      <c r="IO6" s="17" t="str">
        <f>IF(SUM(HY6:IB6)-IC6&gt;0,SUM(HY6:IB6)-IC6,"")</f>
        <v/>
      </c>
      <c r="IP6" s="17" t="str">
        <f>IF(SUM(ID6:IG6)-IH6&gt;0,SUM(ID6:IG6)-IH6,"")</f>
        <v/>
      </c>
      <c r="IQ6" s="17" t="str">
        <f>IF(SUM(IO6:IP6)&gt;0,SUM(IO6:IP6),"")</f>
        <v/>
      </c>
      <c r="IR6" s="17" t="str">
        <f>IF(SUM(II6:IL6)-IM6&gt;0,SUM(II6:IL6)-IM6,"")</f>
        <v/>
      </c>
      <c r="IS6" s="17" t="str">
        <f>IF(SUM(IQ6,IR6)&gt;0,SUM(IQ6,IR6),"")</f>
        <v/>
      </c>
      <c r="IT6" s="60"/>
      <c r="IU6" s="60"/>
      <c r="IV6" s="60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13" t="str">
        <f>IF(SUM(IV6,JA6)&gt;0,SUM(IV6,JA6),"")</f>
        <v/>
      </c>
      <c r="JJ6" s="13" t="str">
        <f>IF(SUM(IT6:IW6)-IX6&gt;0,SUM(IT6:IW6)-IX6,"")</f>
        <v/>
      </c>
      <c r="JK6" s="13" t="str">
        <f>IF(SUM(IY6:JB6)-JC6&gt;0,SUM(IY6:JB6)-JC6,"")</f>
        <v/>
      </c>
      <c r="JL6" s="13" t="str">
        <f>IF(SUM(JJ6:JK6)&gt;0,SUM(JJ6:JK6),"")</f>
        <v/>
      </c>
      <c r="JM6" s="13" t="str">
        <f>IF(SUM(JD6:JG6)-JH6&gt;0,SUM(JD6:JG6)-JH6,"")</f>
        <v/>
      </c>
      <c r="JN6" s="13" t="str">
        <f>IF(SUM(JL6,JM6)&gt;0,SUM(JL6,JM6),"")</f>
        <v/>
      </c>
      <c r="JO6" s="62"/>
      <c r="JP6" s="62"/>
      <c r="JQ6" s="62"/>
      <c r="JR6" s="62"/>
      <c r="JS6" s="62"/>
      <c r="JT6" s="62"/>
      <c r="JU6" s="62"/>
      <c r="JV6" s="62"/>
      <c r="JW6" s="62"/>
      <c r="JX6" s="62"/>
      <c r="JY6" s="62"/>
      <c r="JZ6" s="62"/>
      <c r="KA6" s="62"/>
      <c r="KB6" s="62"/>
      <c r="KC6" s="62"/>
      <c r="KD6" s="17" t="str">
        <f>IF(SUM(JQ6,JV6)&gt;0,SUM(JQ6,JV6),"")</f>
        <v/>
      </c>
      <c r="KE6" s="17" t="str">
        <f>IF(SUM(JO6:JR6)-JS6&gt;0,SUM(JO6:JR6)-JS6,"")</f>
        <v/>
      </c>
      <c r="KF6" s="17" t="str">
        <f>IF(SUM(JT6:JW6)-JX6&gt;0,SUM(JT6:JW6)-JX6,"")</f>
        <v/>
      </c>
      <c r="KG6" s="17" t="str">
        <f>IF(SUM(KE6:KF6)&gt;0,SUM(KE6:KF6),"")</f>
        <v/>
      </c>
      <c r="KH6" s="17" t="str">
        <f>IF(SUM(JY6:KB6)-KC6&gt;0,SUM(JY6:KB6)-KC6,"")</f>
        <v/>
      </c>
      <c r="KI6" s="17" t="str">
        <f>IF(SUM(KG6,KH6)&gt;0,SUM(KG6,KH6),"")</f>
        <v/>
      </c>
      <c r="KJ6" s="60"/>
      <c r="KK6" s="60"/>
      <c r="KL6" s="60"/>
      <c r="KM6" s="60"/>
      <c r="KN6" s="60"/>
      <c r="KO6" s="60"/>
      <c r="KP6" s="60"/>
      <c r="KQ6" s="60"/>
      <c r="KR6" s="60"/>
      <c r="KS6" s="60"/>
      <c r="KT6" s="60"/>
      <c r="KU6" s="60"/>
      <c r="KV6" s="60"/>
      <c r="KW6" s="60"/>
      <c r="KX6" s="60"/>
      <c r="KY6" s="13" t="str">
        <f>IF(SUM(KL6,KQ6)&gt;0,SUM(KL6,KQ6),"")</f>
        <v/>
      </c>
      <c r="KZ6" s="13" t="str">
        <f>IF(SUM(KJ6:KM6)-KN6&gt;0,SUM(KJ6:KM6)-KN6,"")</f>
        <v/>
      </c>
      <c r="LA6" s="13" t="str">
        <f>IF(SUM(KO6:KR6)-KS6&gt;0,SUM(KO6:KR6)-KS6,"")</f>
        <v/>
      </c>
      <c r="LB6" s="13" t="str">
        <f>IF(SUM(KZ6:LA6)&gt;0,SUM(KZ6:LA6),"")</f>
        <v/>
      </c>
      <c r="LC6" s="13" t="str">
        <f>IF(SUM(KT6:KW6)-KX6&gt;0,SUM(KT6:KW6)-KX6,"")</f>
        <v/>
      </c>
      <c r="LD6" s="13" t="str">
        <f>IF(SUM(LB6,LC6)&gt;0,SUM(LB6,LC6),"")</f>
        <v/>
      </c>
      <c r="LE6" s="62"/>
      <c r="LF6" s="62"/>
      <c r="LG6" s="62"/>
      <c r="LH6" s="62"/>
      <c r="LI6" s="62"/>
      <c r="LJ6" s="62"/>
      <c r="LK6" s="62"/>
      <c r="LL6" s="62"/>
      <c r="LM6" s="62"/>
      <c r="LN6" s="62"/>
      <c r="LO6" s="62"/>
      <c r="LP6" s="62"/>
      <c r="LQ6" s="62"/>
      <c r="LR6" s="62"/>
      <c r="LS6" s="62"/>
      <c r="LT6" s="17" t="str">
        <f>IF(SUM(LG6,LL6)&gt;0,SUM(LG6,LL6),"")</f>
        <v/>
      </c>
      <c r="LU6" s="17" t="str">
        <f>IF(SUM(LE6:LH6)-LI6&gt;0,SUM(LE6:LH6)-LI6,"")</f>
        <v/>
      </c>
      <c r="LV6" s="17" t="str">
        <f>IF(SUM(LJ6:LM6)-LN6&gt;0,SUM(LJ6:LM6)-LN6,"")</f>
        <v/>
      </c>
      <c r="LW6" s="17" t="str">
        <f>IF(SUM(LU6:LV6)&gt;0,SUM(LU6:LV6),"")</f>
        <v/>
      </c>
      <c r="LX6" s="17" t="str">
        <f>IF(SUM(LO6:LR6)-LS6&gt;0,SUM(LO6:LR6)-LS6,"")</f>
        <v/>
      </c>
      <c r="LY6" s="17" t="str">
        <f>IF(SUM(LW6,LX6)&gt;0,SUM(LW6,LX6),"")</f>
        <v/>
      </c>
    </row>
    <row r="7" spans="1:337" x14ac:dyDescent="0.2">
      <c r="A7" s="6" t="str">
        <f ca="1">IF(AND(F7="P",G7="P"),SUMPRODUCT((F$4:F$8="P")*(G$4:G$8="P")*(E$4:E$8&gt;E7))+1,IF(G7="P",SUMPRODUCT((F$4:F$8="")*(G$4:G$8="P")*(E$4:E$8&gt;E7))+1+SUMPRODUCT((F$4:F$8="P")*(G$4:G$8="P")),""))</f>
        <v/>
      </c>
      <c r="B7" s="7" t="s">
        <v>99</v>
      </c>
      <c r="C7" s="8" t="s">
        <v>6</v>
      </c>
      <c r="D7" s="46">
        <v>2017</v>
      </c>
      <c r="E7" s="18">
        <f>SUM(I7:Q7)</f>
        <v>43.42</v>
      </c>
      <c r="F7" s="4" t="str">
        <f>IF(OR(AND(AI7&gt;=C$12,NOT(AI7="")),AND(BD7&gt;=C$12,NOT(BD7="")),AND(BY7&gt;=C$12,NOT(BY7=""))),"P","")</f>
        <v/>
      </c>
      <c r="G7" s="4" t="str">
        <f ca="1">IF(OR(I7&gt;=C$14,AND(I7&gt;$C$13,YEAR(TODAY())-$D7&lt;2)),"P","")</f>
        <v/>
      </c>
      <c r="H7" t="str">
        <f ca="1">IF(F7="P",IF(I7&gt;=C$16,"Merit",IF(I7&gt;=C$15,"Funding",IF(I7&gt;=C$14,"Team",IF(AND(I7&gt;C$13,YEAR(TODAY())-$D7&lt;2),"First 2 Years","")))),IF(AND(I7&gt;C$13,YEAR(TODAY())-$D7&lt;2),"First 2 Years",""))</f>
        <v/>
      </c>
      <c r="I7" s="17">
        <f>MAX(AL7,BG7,CB7)</f>
        <v>43.42</v>
      </c>
      <c r="J7" s="17" t="str">
        <f>IF(I7=CB7,$BJ$1,IF(I7=BG7,$AO$1,IF(I7=AL7,$T$1,"")))</f>
        <v>2017 Nationals</v>
      </c>
      <c r="K7" s="17">
        <f>IF($I7=$AL7,MAX(BE7,BZ7),IF($I7=$BG7,MAX(AJ7,BZ7),MAX(AJ7,BE7)))</f>
        <v>0</v>
      </c>
      <c r="L7" s="17" t="str">
        <f>IF(K7=BZ7,$BJ$1,IF(K7=BE7,$AO$1,IF(K7=AJ7,$T$1,"")))</f>
        <v/>
      </c>
      <c r="M7" s="17">
        <f>IF($I7=$AL7,MAX(BF7,CA7),IF($I7=$BG7,MAX(AK7,CA7),MAX(AK7,BF7)))</f>
        <v>0</v>
      </c>
      <c r="N7" s="17" t="str">
        <f>IF(M7=CA7,$BJ$1,IF(M7=BF7,$AO$1,IF(M7=AK7,$T$1,"")))</f>
        <v/>
      </c>
      <c r="O7" s="17">
        <f>MAX(AM7,BH7,CC7)</f>
        <v>0</v>
      </c>
      <c r="P7" s="17" t="str">
        <f>IF(O7=CC7,$BJ$1,IF(O7=BH7,$AO$1,IF(O7=AM7,$T$1,"")))</f>
        <v/>
      </c>
      <c r="Q7" s="17" t="str">
        <f>IF(MAX(CE7:CG7)&gt;0,MAX(CE7:CG7),"")</f>
        <v/>
      </c>
      <c r="R7" s="44" t="str">
        <f>IF(Q7="","",IF(Q7=CE7,"(Vol 1)",IF(Q7=CF7,"(Vol 2)",IF(Q7=CG7,"(Final)"))))</f>
        <v/>
      </c>
      <c r="S7" s="17" t="str">
        <f>IF(Q7="","",IF(Q7=CE7,IF(Q7+K7=LU7,$LE$1,IF(Q7+K7=KZ7,$KJ$1,IF(Q7+K7=KE7,$JO$1,IF(Q7+K7=JJ7,$IT$1,IF(Q7+K7=IO7,$HY$1,IF(Q7+K7=HT7,$HD$1,IF(Q7+K7=GY7,$GI$1,IF(Q7+K7=GD7,$FN$1,IF(Q7+K7=FI7,$ES$1,IF(Q7+K7=EN7,$DX$1,IF(Q7+K7=DS7,$DC$1,IF(Q7+K7=CX7,$CH$1)))))))))))),IF(Q7=CF7,IF(Q7+M7=LV7,$LE$1,IF(Q7+M7=LA7,$KJ$1,IF(Q7+M7=KF7,$JO$1,IF(Q7+M7=JK7,$IT$1,IF(Q7+M7=IP7,$HY$1,IF(Q7+M7=HU7,$HD$1,IF(Q7+M7=GZ7,$GI$1,IF(Q7+M7=GE7,$FN$1,IF(Q7+M7=FJ7,$ES$1,IF(Q7+M7=EO7,$DX$1,IF(Q7+M7=DT7,$DC$1,IF(Q7+M7=CY7,$CH$1)))))))))))),IF(Q7=CG7,IF(Q7+O7=LX7,$LE$1,IF(Q7+O7=LC7,$KJ$1,IF(Q7+O7=KH7,$JO$1,IF(Q7+O7=JM7,$IT$1,IF(Q7+O7=IR7,$HY$1,IF(Q7+O7=HW7,$HD$1,IF(Q7+O7=HB7,$GI$1,IF(Q7+O7=GG7,$FN$1,IF(Q7+O7=FL7,$ES$1,IF(Q7+O7=EQ7,$DX$1,IF(Q7+O7=DV7,$DC$1,IF(Q7+O7=DA7,$CH$1))))))))))))))))</f>
        <v/>
      </c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13" t="str">
        <f>IF(SUM(V7,AA7)&gt;0,SUM(V7,AA7),"")</f>
        <v/>
      </c>
      <c r="AJ7" s="13" t="str">
        <f>IF(SUM(T7:W7)-X7&gt;0,SUM(T7:W7)-X7,"")</f>
        <v/>
      </c>
      <c r="AK7" s="13" t="str">
        <f>IF(SUM(Y7:AB7)-AC7&gt;0,SUM(Y7:AB7)-AC7,"")</f>
        <v/>
      </c>
      <c r="AL7" s="13" t="str">
        <f>IF(SUM(AJ7:AK7)&gt;0,SUM(AJ7:AK7),"")</f>
        <v/>
      </c>
      <c r="AM7" s="13" t="str">
        <f>IF(SUM(AD7:AG7)-AH7&gt;0,SUM(AD7:AG7)-AH7,"")</f>
        <v/>
      </c>
      <c r="AN7" s="13" t="str">
        <f>IF(SUM(AL7,AM7)&gt;0,SUM(AL7,AM7),"")</f>
        <v/>
      </c>
      <c r="AO7" s="64">
        <v>7.25</v>
      </c>
      <c r="AP7" s="64">
        <v>8.9</v>
      </c>
      <c r="AQ7" s="64">
        <v>4.8</v>
      </c>
      <c r="AR7" s="64">
        <v>12.98</v>
      </c>
      <c r="AS7" s="64">
        <v>0</v>
      </c>
      <c r="AT7" s="64">
        <v>1.45</v>
      </c>
      <c r="AU7" s="64">
        <v>1.8</v>
      </c>
      <c r="AV7" s="64">
        <v>3.2</v>
      </c>
      <c r="AW7" s="64">
        <v>3.04</v>
      </c>
      <c r="AX7" s="64">
        <v>0</v>
      </c>
      <c r="AY7" s="64"/>
      <c r="AZ7" s="64"/>
      <c r="BA7" s="64"/>
      <c r="BB7" s="64"/>
      <c r="BC7" s="64"/>
      <c r="BD7" s="17">
        <f>IF(SUM(AQ7,AV7)&gt;0,SUM(AQ7,AV7),"")</f>
        <v>8</v>
      </c>
      <c r="BE7" s="17">
        <f>IF(SUM(AO7:AR7)-AS7&gt;0,SUM(AO7:AR7)-AS7,"")</f>
        <v>33.93</v>
      </c>
      <c r="BF7" s="17">
        <f>IF(SUM(AT7:AW7)-AX7&gt;0,SUM(AT7:AW7)-AX7,"")</f>
        <v>9.49</v>
      </c>
      <c r="BG7" s="17">
        <f>IF(SUM(BE7:BF7)&gt;0,SUM(BE7:BF7),"")</f>
        <v>43.42</v>
      </c>
      <c r="BH7" s="17" t="str">
        <f>IF(SUM(AY7:BB7)-BC7&gt;0,SUM(AY7:BB7)-BC7,"")</f>
        <v/>
      </c>
      <c r="BI7" s="17">
        <f>IF(SUM(BG7,BH7)&gt;0,SUM(BG7,BH7),"")</f>
        <v>43.42</v>
      </c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13" t="str">
        <f>IF(SUM(BL7,BQ7)&gt;0,SUM(BL7,BQ7),"")</f>
        <v/>
      </c>
      <c r="BZ7" s="13" t="str">
        <f>IF(SUM(BJ7:BM7)-BN7&gt;0,SUM(BJ7:BM7)-BN7,"")</f>
        <v/>
      </c>
      <c r="CA7" s="13" t="str">
        <f>IF(SUM(BO7:BR7)-BS7&gt;0,SUM(BO7:BR7)-BS7,"")</f>
        <v/>
      </c>
      <c r="CB7" s="13" t="str">
        <f>IF(SUM(BZ7:CA7)&gt;0,SUM(BZ7:CA7),"")</f>
        <v/>
      </c>
      <c r="CC7" s="13" t="str">
        <f>IF(SUM(BT7:BW7)-BX7&gt;0,SUM(BT7:BW7)-BX7,"")</f>
        <v/>
      </c>
      <c r="CD7" s="13" t="str">
        <f>IF(SUM(CB7,CC7)&gt;0,SUM(CB7,CC7),"")</f>
        <v/>
      </c>
      <c r="CE7" s="43" t="str">
        <f>IF(MAX(CX7,DS7,EN7,FI7,GD7,GY7,HT7,IO7,JJ7,KE7,KZ7,LU7)-K7&gt;0.001,MAX(CX7,DS7,EN7,FI7,GD7,GY7,HT7,IO7,JJ7,KE7,KZ7,LU7)-K7,"")</f>
        <v/>
      </c>
      <c r="CF7" s="43" t="str">
        <f>IF(MAX(CY7,DT7,EO7,FJ7,GE7,GZ7,HU7,IP7,JK7,KF7,LA7,LV7)-M7&gt;0.001,MAX(CY7,DT7,EO7,FJ7,GE7,GZ7,HU7,IP7,JK7,KF7,LA7,LV7)-M7,"")</f>
        <v/>
      </c>
      <c r="CG7" s="43" t="str">
        <f>IF(MAX(DA7,DV7,EQ7,FL7,GG7,HB7,HW7,IR7,JM7,KH7,LC7,LX7)-O7&gt;0.001,MAX(DA7,DV7,EQ7,FL7,GG7,HB7,HW7,IR7,JM7,KH7,LC7,LX7)-O7,"")</f>
        <v/>
      </c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13" t="str">
        <f>IF(SUM(CJ7,CO7)&gt;0,SUM(CJ7,CO7),"")</f>
        <v/>
      </c>
      <c r="CX7" s="13" t="str">
        <f>IF(SUM(CH7:CK7)-CL7&gt;0,SUM(CH7:CK7)-CL7,"")</f>
        <v/>
      </c>
      <c r="CY7" s="13" t="str">
        <f>IF(SUM(CM7:CP7)-CQ7&gt;0,SUM(CM7:CP7)-CQ7,"")</f>
        <v/>
      </c>
      <c r="CZ7" s="13" t="str">
        <f>IF(SUM(CX7:CY7)&gt;0,SUM(CX7:CY7),"")</f>
        <v/>
      </c>
      <c r="DA7" s="13" t="str">
        <f>IF(SUM(CR7:CU7)-CV7&gt;0,SUM(CR7:CU7)-CV7,"")</f>
        <v/>
      </c>
      <c r="DB7" s="13" t="str">
        <f>IF(SUM(CZ7,DA7)&gt;0,SUM(CZ7,DA7),"")</f>
        <v/>
      </c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17" t="str">
        <f>IF(SUM(DE7,DJ7)&gt;0,SUM(DE7,DJ7),"")</f>
        <v/>
      </c>
      <c r="DS7" s="17" t="str">
        <f>IF(SUM(DC7:DF7)-DG7&gt;0,SUM(DC7:DF7)-DG7,"")</f>
        <v/>
      </c>
      <c r="DT7" s="17" t="str">
        <f>IF(SUM(DH7:DK7)-DL7&gt;0,SUM(DH7:DK7)-DL7,"")</f>
        <v/>
      </c>
      <c r="DU7" s="17" t="str">
        <f>IF(SUM(DS7:DT7)&gt;0,SUM(DS7:DT7),"")</f>
        <v/>
      </c>
      <c r="DV7" s="17" t="str">
        <f>IF(SUM(DM7:DP7)-DQ7&gt;0,SUM(DM7:DP7)-DQ7,"")</f>
        <v/>
      </c>
      <c r="DW7" s="17" t="str">
        <f>IF(SUM(DU7,DV7)&gt;0,SUM(DU7,DV7),"")</f>
        <v/>
      </c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13" t="str">
        <f>IF(SUM(DZ7,EE7)&gt;0,SUM(DZ7,EE7),"")</f>
        <v/>
      </c>
      <c r="EN7" s="13" t="str">
        <f>IF(SUM(DX7:EA7)-EB7&gt;0,SUM(DX7:EA7)-EB7,"")</f>
        <v/>
      </c>
      <c r="EO7" s="13" t="str">
        <f>IF(SUM(EC7:EF7)-EG7&gt;0,SUM(EC7:EF7)-EG7,"")</f>
        <v/>
      </c>
      <c r="EP7" s="13" t="str">
        <f>IF(SUM(EN7:EO7)&gt;0,SUM(EN7:EO7),"")</f>
        <v/>
      </c>
      <c r="EQ7" s="13" t="str">
        <f>IF(SUM(EH7:EK7)-EL7&gt;0,SUM(EH7:EK7)-EL7,"")</f>
        <v/>
      </c>
      <c r="ER7" s="13" t="str">
        <f>IF(SUM(EP7,EQ7)&gt;0,SUM(EP7,EQ7),"")</f>
        <v/>
      </c>
      <c r="ES7" s="62"/>
      <c r="ET7" s="62"/>
      <c r="EU7" s="62"/>
      <c r="EV7" s="62"/>
      <c r="EW7" s="62"/>
      <c r="EX7" s="62"/>
      <c r="EY7" s="62"/>
      <c r="EZ7" s="62"/>
      <c r="FA7" s="62"/>
      <c r="FB7" s="62"/>
      <c r="FC7" s="62"/>
      <c r="FD7" s="62"/>
      <c r="FE7" s="62"/>
      <c r="FF7" s="62"/>
      <c r="FG7" s="62"/>
      <c r="FH7" s="17" t="str">
        <f>IF(SUM(EU7,EZ7)&gt;0,SUM(EU7,EZ7),"")</f>
        <v/>
      </c>
      <c r="FI7" s="17" t="str">
        <f>IF(SUM(ES7:EV7)-EW7&gt;0,SUM(ES7:EV7)-EW7,"")</f>
        <v/>
      </c>
      <c r="FJ7" s="17" t="str">
        <f>IF(SUM(EX7:FA7)-FB7&gt;0,SUM(EX7:FA7)-FB7,"")</f>
        <v/>
      </c>
      <c r="FK7" s="17" t="str">
        <f>IF(SUM(FI7:FJ7)&gt;0,SUM(FI7:FJ7),"")</f>
        <v/>
      </c>
      <c r="FL7" s="17" t="str">
        <f>IF(SUM(FC7:FF7)-FG7&gt;0,SUM(FC7:FF7)-FG7,"")</f>
        <v/>
      </c>
      <c r="FM7" s="17" t="str">
        <f>IF(SUM(FK7,FL7)&gt;0,SUM(FK7,FL7),"")</f>
        <v/>
      </c>
      <c r="FN7" s="60"/>
      <c r="FO7" s="60"/>
      <c r="FP7" s="60"/>
      <c r="FQ7" s="60"/>
      <c r="FR7" s="60"/>
      <c r="FS7" s="60"/>
      <c r="FT7" s="60"/>
      <c r="FU7" s="60"/>
      <c r="FV7" s="60"/>
      <c r="FW7" s="60"/>
      <c r="FX7" s="60"/>
      <c r="FY7" s="60"/>
      <c r="FZ7" s="60"/>
      <c r="GA7" s="60"/>
      <c r="GB7" s="60"/>
      <c r="GC7" s="13" t="str">
        <f>IF(SUM(FP7,FU7)&gt;0,SUM(FP7,FU7),"")</f>
        <v/>
      </c>
      <c r="GD7" s="13" t="str">
        <f>IF(SUM(FN7:FQ7)-FR7&gt;0,SUM(FN7:FQ7)-FR7,"")</f>
        <v/>
      </c>
      <c r="GE7" s="13" t="str">
        <f>IF(SUM(FS7:FV7)-FW7&gt;0,SUM(FS7:FV7)-FW7,"")</f>
        <v/>
      </c>
      <c r="GF7" s="13" t="str">
        <f>IF(SUM(GD7:GE7)&gt;0,SUM(GD7:GE7),"")</f>
        <v/>
      </c>
      <c r="GG7" s="13" t="str">
        <f>IF(SUM(FX7:GA7)-GB7&gt;0,SUM(FX7:GA7)-GB7,"")</f>
        <v/>
      </c>
      <c r="GH7" s="13" t="str">
        <f>IF(SUM(GF7,GG7)&gt;0,SUM(GF7,GG7),"")</f>
        <v/>
      </c>
      <c r="GI7" s="62"/>
      <c r="GJ7" s="62"/>
      <c r="GK7" s="62"/>
      <c r="GL7" s="62"/>
      <c r="GM7" s="62"/>
      <c r="GN7" s="62"/>
      <c r="GO7" s="62"/>
      <c r="GP7" s="62"/>
      <c r="GQ7" s="62"/>
      <c r="GR7" s="62"/>
      <c r="GS7" s="62"/>
      <c r="GT7" s="62"/>
      <c r="GU7" s="62"/>
      <c r="GV7" s="62"/>
      <c r="GW7" s="62"/>
      <c r="GX7" s="17" t="str">
        <f>IF(SUM(GK7,GP7)&gt;0,SUM(GK7,GP7),"")</f>
        <v/>
      </c>
      <c r="GY7" s="17" t="str">
        <f>IF(SUM(GI7:GL7)-GM7&gt;0,SUM(GI7:GL7)-GM7,"")</f>
        <v/>
      </c>
      <c r="GZ7" s="17" t="str">
        <f>IF(SUM(GN7:GQ7)-GR7&gt;0,SUM(GN7:GQ7)-GR7,"")</f>
        <v/>
      </c>
      <c r="HA7" s="17" t="str">
        <f>IF(SUM(GY7:GZ7)&gt;0,SUM(GY7:GZ7),"")</f>
        <v/>
      </c>
      <c r="HB7" s="17" t="str">
        <f>IF(SUM(GS7:GV7)-GW7&gt;0,SUM(GS7:GV7)-GW7,"")</f>
        <v/>
      </c>
      <c r="HC7" s="17" t="str">
        <f>IF(SUM(HA7,HB7)&gt;0,SUM(HA7,HB7),"")</f>
        <v/>
      </c>
      <c r="HD7" s="60"/>
      <c r="HE7" s="60"/>
      <c r="HF7" s="60"/>
      <c r="HG7" s="60"/>
      <c r="HH7" s="60"/>
      <c r="HI7" s="60"/>
      <c r="HJ7" s="60"/>
      <c r="HK7" s="60"/>
      <c r="HL7" s="60"/>
      <c r="HM7" s="60"/>
      <c r="HN7" s="60"/>
      <c r="HO7" s="60"/>
      <c r="HP7" s="60"/>
      <c r="HQ7" s="60"/>
      <c r="HR7" s="60"/>
      <c r="HS7" s="13" t="str">
        <f>IF(SUM(HF7,HK7)&gt;0,SUM(HF7,HK7),"")</f>
        <v/>
      </c>
      <c r="HT7" s="13" t="str">
        <f>IF(SUM(HD7:HG7)-HH7&gt;0,SUM(HD7:HG7)-HH7,"")</f>
        <v/>
      </c>
      <c r="HU7" s="13" t="str">
        <f>IF(SUM(HI7:HL7)-HM7&gt;0,SUM(HI7:HL7)-HM7,"")</f>
        <v/>
      </c>
      <c r="HV7" s="13" t="str">
        <f>IF(SUM(HT7:HU7)&gt;0,SUM(HT7:HU7),"")</f>
        <v/>
      </c>
      <c r="HW7" s="13" t="str">
        <f>IF(SUM(HN7:HQ7)-HR7&gt;0,SUM(HN7:HQ7)-HR7,"")</f>
        <v/>
      </c>
      <c r="HX7" s="13" t="str">
        <f>IF(SUM(HV7,HW7)&gt;0,SUM(HV7,HW7),"")</f>
        <v/>
      </c>
      <c r="HY7" s="62"/>
      <c r="HZ7" s="62"/>
      <c r="IA7" s="62"/>
      <c r="IB7" s="62"/>
      <c r="IC7" s="62"/>
      <c r="ID7" s="62"/>
      <c r="IE7" s="62"/>
      <c r="IF7" s="62"/>
      <c r="IG7" s="62"/>
      <c r="IH7" s="62"/>
      <c r="II7" s="62"/>
      <c r="IJ7" s="62"/>
      <c r="IK7" s="62"/>
      <c r="IL7" s="62"/>
      <c r="IM7" s="62"/>
      <c r="IN7" s="17" t="str">
        <f>IF(SUM(IA7,IF7)&gt;0,SUM(IA7,IF7),"")</f>
        <v/>
      </c>
      <c r="IO7" s="17" t="str">
        <f>IF(SUM(HY7:IB7)-IC7&gt;0,SUM(HY7:IB7)-IC7,"")</f>
        <v/>
      </c>
      <c r="IP7" s="17" t="str">
        <f>IF(SUM(ID7:IG7)-IH7&gt;0,SUM(ID7:IG7)-IH7,"")</f>
        <v/>
      </c>
      <c r="IQ7" s="17" t="str">
        <f>IF(SUM(IO7:IP7)&gt;0,SUM(IO7:IP7),"")</f>
        <v/>
      </c>
      <c r="IR7" s="17" t="str">
        <f>IF(SUM(II7:IL7)-IM7&gt;0,SUM(II7:IL7)-IM7,"")</f>
        <v/>
      </c>
      <c r="IS7" s="17" t="str">
        <f>IF(SUM(IQ7,IR7)&gt;0,SUM(IQ7,IR7),"")</f>
        <v/>
      </c>
      <c r="IT7" s="60"/>
      <c r="IU7" s="60"/>
      <c r="IV7" s="60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13" t="str">
        <f>IF(SUM(IV7,JA7)&gt;0,SUM(IV7,JA7),"")</f>
        <v/>
      </c>
      <c r="JJ7" s="13" t="str">
        <f>IF(SUM(IT7:IW7)-IX7&gt;0,SUM(IT7:IW7)-IX7,"")</f>
        <v/>
      </c>
      <c r="JK7" s="13" t="str">
        <f>IF(SUM(IY7:JB7)-JC7&gt;0,SUM(IY7:JB7)-JC7,"")</f>
        <v/>
      </c>
      <c r="JL7" s="13" t="str">
        <f>IF(SUM(JJ7:JK7)&gt;0,SUM(JJ7:JK7),"")</f>
        <v/>
      </c>
      <c r="JM7" s="13" t="str">
        <f>IF(SUM(JD7:JG7)-JH7&gt;0,SUM(JD7:JG7)-JH7,"")</f>
        <v/>
      </c>
      <c r="JN7" s="13" t="str">
        <f>IF(SUM(JL7,JM7)&gt;0,SUM(JL7,JM7),"")</f>
        <v/>
      </c>
      <c r="JO7" s="62"/>
      <c r="JP7" s="62"/>
      <c r="JQ7" s="62"/>
      <c r="JR7" s="62"/>
      <c r="JS7" s="62"/>
      <c r="JT7" s="62"/>
      <c r="JU7" s="62"/>
      <c r="JV7" s="62"/>
      <c r="JW7" s="62"/>
      <c r="JX7" s="62"/>
      <c r="JY7" s="62"/>
      <c r="JZ7" s="62"/>
      <c r="KA7" s="62"/>
      <c r="KB7" s="62"/>
      <c r="KC7" s="62"/>
      <c r="KD7" s="17" t="str">
        <f>IF(SUM(JQ7,JV7)&gt;0,SUM(JQ7,JV7),"")</f>
        <v/>
      </c>
      <c r="KE7" s="17" t="str">
        <f>IF(SUM(JO7:JR7)-JS7&gt;0,SUM(JO7:JR7)-JS7,"")</f>
        <v/>
      </c>
      <c r="KF7" s="17" t="str">
        <f>IF(SUM(JT7:JW7)-JX7&gt;0,SUM(JT7:JW7)-JX7,"")</f>
        <v/>
      </c>
      <c r="KG7" s="17" t="str">
        <f>IF(SUM(KE7:KF7)&gt;0,SUM(KE7:KF7),"")</f>
        <v/>
      </c>
      <c r="KH7" s="17" t="str">
        <f>IF(SUM(JY7:KB7)-KC7&gt;0,SUM(JY7:KB7)-KC7,"")</f>
        <v/>
      </c>
      <c r="KI7" s="17" t="str">
        <f>IF(SUM(KG7,KH7)&gt;0,SUM(KG7,KH7),"")</f>
        <v/>
      </c>
      <c r="KJ7" s="60"/>
      <c r="KK7" s="60"/>
      <c r="KL7" s="60"/>
      <c r="KM7" s="60"/>
      <c r="KN7" s="60"/>
      <c r="KO7" s="60"/>
      <c r="KP7" s="60"/>
      <c r="KQ7" s="60"/>
      <c r="KR7" s="60"/>
      <c r="KS7" s="60"/>
      <c r="KT7" s="60"/>
      <c r="KU7" s="60"/>
      <c r="KV7" s="60"/>
      <c r="KW7" s="60"/>
      <c r="KX7" s="60"/>
      <c r="KY7" s="13" t="str">
        <f>IF(SUM(KL7,KQ7)&gt;0,SUM(KL7,KQ7),"")</f>
        <v/>
      </c>
      <c r="KZ7" s="13" t="str">
        <f>IF(SUM(KJ7:KM7)-KN7&gt;0,SUM(KJ7:KM7)-KN7,"")</f>
        <v/>
      </c>
      <c r="LA7" s="13" t="str">
        <f>IF(SUM(KO7:KR7)-KS7&gt;0,SUM(KO7:KR7)-KS7,"")</f>
        <v/>
      </c>
      <c r="LB7" s="13" t="str">
        <f>IF(SUM(KZ7:LA7)&gt;0,SUM(KZ7:LA7),"")</f>
        <v/>
      </c>
      <c r="LC7" s="13" t="str">
        <f>IF(SUM(KT7:KW7)-KX7&gt;0,SUM(KT7:KW7)-KX7,"")</f>
        <v/>
      </c>
      <c r="LD7" s="13" t="str">
        <f>IF(SUM(LB7,LC7)&gt;0,SUM(LB7,LC7),"")</f>
        <v/>
      </c>
      <c r="LE7" s="62"/>
      <c r="LF7" s="62"/>
      <c r="LG7" s="62"/>
      <c r="LH7" s="62"/>
      <c r="LI7" s="62"/>
      <c r="LJ7" s="62"/>
      <c r="LK7" s="62"/>
      <c r="LL7" s="62"/>
      <c r="LM7" s="62"/>
      <c r="LN7" s="62"/>
      <c r="LO7" s="62"/>
      <c r="LP7" s="62"/>
      <c r="LQ7" s="62"/>
      <c r="LR7" s="62"/>
      <c r="LS7" s="62"/>
      <c r="LT7" s="17" t="str">
        <f>IF(SUM(LG7,LL7)&gt;0,SUM(LG7,LL7),"")</f>
        <v/>
      </c>
      <c r="LU7" s="17" t="str">
        <f>IF(SUM(LE7:LH7)-LI7&gt;0,SUM(LE7:LH7)-LI7,"")</f>
        <v/>
      </c>
      <c r="LV7" s="17" t="str">
        <f>IF(SUM(LJ7:LM7)-LN7&gt;0,SUM(LJ7:LM7)-LN7,"")</f>
        <v/>
      </c>
      <c r="LW7" s="17" t="str">
        <f>IF(SUM(LU7:LV7)&gt;0,SUM(LU7:LV7),"")</f>
        <v/>
      </c>
      <c r="LX7" s="17" t="str">
        <f>IF(SUM(LO7:LR7)-LS7&gt;0,SUM(LO7:LR7)-LS7,"")</f>
        <v/>
      </c>
      <c r="LY7" s="17" t="str">
        <f>IF(SUM(LW7,LX7)&gt;0,SUM(LW7,LX7),"")</f>
        <v/>
      </c>
    </row>
    <row r="8" spans="1:337" x14ac:dyDescent="0.2">
      <c r="A8" s="6" t="str">
        <f ca="1">IF(AND(F8="P",G8="P"),SUMPRODUCT((F$4:F$8="P")*(G$4:G$8="P")*(E$4:E$8&gt;E8))+1,IF(G8="P",SUMPRODUCT((F$4:F$8="")*(G$4:G$8="P")*(E$4:E$8&gt;E8))+1+SUMPRODUCT((F$4:F$8="P")*(G$4:G$8="P")),""))</f>
        <v/>
      </c>
      <c r="B8" s="9" t="s">
        <v>100</v>
      </c>
      <c r="C8" s="5" t="s">
        <v>101</v>
      </c>
      <c r="D8" s="46">
        <v>2017</v>
      </c>
      <c r="E8" s="18">
        <f>SUM(I8:Q8)</f>
        <v>36.49</v>
      </c>
      <c r="F8" s="4" t="str">
        <f>IF(OR(AND(AI8&gt;=C$12,NOT(AI8="")),AND(BD8&gt;=C$12,NOT(BD8="")),AND(BY8&gt;=C$12,NOT(BY8=""))),"P","")</f>
        <v/>
      </c>
      <c r="G8" s="4" t="str">
        <f ca="1">IF(OR(I8&gt;=C$14,AND(I8&gt;$C$13,YEAR(TODAY())-$D8&lt;2)),"P","")</f>
        <v/>
      </c>
      <c r="H8" t="str">
        <f ca="1">IF(F8="P",IF(I8&gt;=C$16,"Merit",IF(I8&gt;=C$15,"Funding",IF(I8&gt;=C$14,"Team",IF(AND(I8&gt;C$13,YEAR(TODAY())-$D8&lt;2),"First 2 Years","")))),IF(AND(I8&gt;C$13,YEAR(TODAY())-$D8&lt;2),"First 2 Years",""))</f>
        <v/>
      </c>
      <c r="I8" s="17">
        <f>MAX(AL8,BG8,CB8)</f>
        <v>36.49</v>
      </c>
      <c r="J8" s="17" t="str">
        <f>IF(I8=CB8,$BJ$1,IF(I8=BG8,$AO$1,IF(I8=AL8,$T$1,"")))</f>
        <v>2017 Nationals</v>
      </c>
      <c r="K8" s="17">
        <f>IF($I8=$AL8,MAX(BE8,BZ8),IF($I8=$BG8,MAX(AJ8,BZ8),MAX(AJ8,BE8)))</f>
        <v>0</v>
      </c>
      <c r="L8" s="17" t="str">
        <f>IF(K8=BZ8,$BJ$1,IF(K8=BE8,$AO$1,IF(K8=AJ8,$T$1,"")))</f>
        <v/>
      </c>
      <c r="M8" s="17">
        <f>IF($I8=$AL8,MAX(BF8,CA8),IF($I8=$BG8,MAX(AK8,CA8),MAX(AK8,BF8)))</f>
        <v>0</v>
      </c>
      <c r="N8" s="17" t="str">
        <f>IF(M8=CA8,$BJ$1,IF(M8=BF8,$AO$1,IF(M8=AK8,$T$1,"")))</f>
        <v/>
      </c>
      <c r="O8" s="17">
        <f>MAX(AM8,BH8,CC8)</f>
        <v>0</v>
      </c>
      <c r="P8" s="17" t="str">
        <f>IF(O8=CC8,$BJ$1,IF(O8=BH8,$AO$1,IF(O8=AM8,$T$1,"")))</f>
        <v/>
      </c>
      <c r="Q8" s="17" t="str">
        <f>IF(MAX(CE8:CG8)&gt;0,MAX(CE8:CG8),"")</f>
        <v/>
      </c>
      <c r="R8" s="44" t="str">
        <f>IF(Q8="","",IF(Q8=CE8,"(Vol 1)",IF(Q8=CF8,"(Vol 2)",IF(Q8=CG8,"(Final)"))))</f>
        <v/>
      </c>
      <c r="S8" s="17" t="str">
        <f>IF(Q8="","",IF(Q8=CE8,IF(Q8+K8=LU8,$LE$1,IF(Q8+K8=KZ8,$KJ$1,IF(Q8+K8=KE8,$JO$1,IF(Q8+K8=JJ8,$IT$1,IF(Q8+K8=IO8,$HY$1,IF(Q8+K8=HT8,$HD$1,IF(Q8+K8=GY8,$GI$1,IF(Q8+K8=GD8,$FN$1,IF(Q8+K8=FI8,$ES$1,IF(Q8+K8=EN8,$DX$1,IF(Q8+K8=DS8,$DC$1,IF(Q8+K8=CX8,$CH$1)))))))))))),IF(Q8=CF8,IF(Q8+M8=LV8,$LE$1,IF(Q8+M8=LA8,$KJ$1,IF(Q8+M8=KF8,$JO$1,IF(Q8+M8=JK8,$IT$1,IF(Q8+M8=IP8,$HY$1,IF(Q8+M8=HU8,$HD$1,IF(Q8+M8=GZ8,$GI$1,IF(Q8+M8=GE8,$FN$1,IF(Q8+M8=FJ8,$ES$1,IF(Q8+M8=EO8,$DX$1,IF(Q8+M8=DT8,$DC$1,IF(Q8+M8=CY8,$CH$1)))))))))))),IF(Q8=CG8,IF(Q8+O8=LX8,$LE$1,IF(Q8+O8=LC8,$KJ$1,IF(Q8+O8=KH8,$JO$1,IF(Q8+O8=JM8,$IT$1,IF(Q8+O8=IR8,$HY$1,IF(Q8+O8=HW8,$HD$1,IF(Q8+O8=HB8,$GI$1,IF(Q8+O8=GG8,$FN$1,IF(Q8+O8=FL8,$ES$1,IF(Q8+O8=EQ8,$DX$1,IF(Q8+O8=DV8,$DC$1,IF(Q8+O8=DA8,$CH$1))))))))))))))))</f>
        <v/>
      </c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13" t="str">
        <f>IF(SUM(V8,AA8)&gt;0,SUM(V8,AA8),"")</f>
        <v/>
      </c>
      <c r="AJ8" s="13" t="str">
        <f>IF(SUM(T8:W8)-X8&gt;0,SUM(T8:W8)-X8,"")</f>
        <v/>
      </c>
      <c r="AK8" s="13" t="str">
        <f>IF(SUM(Y8:AB8)-AC8&gt;0,SUM(Y8:AB8)-AC8,"")</f>
        <v/>
      </c>
      <c r="AL8" s="13" t="str">
        <f>IF(SUM(AJ8:AK8)&gt;0,SUM(AJ8:AK8),"")</f>
        <v/>
      </c>
      <c r="AM8" s="13" t="str">
        <f>IF(SUM(AD8:AG8)-AH8&gt;0,SUM(AD8:AG8)-AH8,"")</f>
        <v/>
      </c>
      <c r="AN8" s="13" t="str">
        <f>IF(SUM(AL8,AM8)&gt;0,SUM(AL8,AM8),"")</f>
        <v/>
      </c>
      <c r="AO8" s="64">
        <v>0</v>
      </c>
      <c r="AP8" s="64">
        <v>0</v>
      </c>
      <c r="AQ8" s="64">
        <v>0</v>
      </c>
      <c r="AR8" s="64">
        <v>0</v>
      </c>
      <c r="AS8" s="64">
        <v>0</v>
      </c>
      <c r="AT8" s="64">
        <v>5.8</v>
      </c>
      <c r="AU8" s="64">
        <v>6.95</v>
      </c>
      <c r="AV8" s="64">
        <v>9.6</v>
      </c>
      <c r="AW8" s="64">
        <v>14.14</v>
      </c>
      <c r="AX8" s="64">
        <v>0</v>
      </c>
      <c r="AY8" s="64"/>
      <c r="AZ8" s="64"/>
      <c r="BA8" s="64"/>
      <c r="BB8" s="64"/>
      <c r="BC8" s="64"/>
      <c r="BD8" s="17">
        <f>IF(SUM(AQ8,AV8)&gt;0,SUM(AQ8,AV8),"")</f>
        <v>9.6</v>
      </c>
      <c r="BE8" s="17" t="str">
        <f>IF(SUM(AO8:AR8)-AS8&gt;0,SUM(AO8:AR8)-AS8,"")</f>
        <v/>
      </c>
      <c r="BF8" s="17">
        <f>IF(SUM(AT8:AW8)-AX8&gt;0,SUM(AT8:AW8)-AX8,"")</f>
        <v>36.49</v>
      </c>
      <c r="BG8" s="17">
        <f>IF(SUM(BE8:BF8)&gt;0,SUM(BE8:BF8),"")</f>
        <v>36.49</v>
      </c>
      <c r="BH8" s="17" t="str">
        <f>IF(SUM(AY8:BB8)-BC8&gt;0,SUM(AY8:BB8)-BC8,"")</f>
        <v/>
      </c>
      <c r="BI8" s="17">
        <f>IF(SUM(BG8,BH8)&gt;0,SUM(BG8,BH8),"")</f>
        <v>36.49</v>
      </c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13" t="str">
        <f>IF(SUM(BL8,BQ8)&gt;0,SUM(BL8,BQ8),"")</f>
        <v/>
      </c>
      <c r="BZ8" s="13" t="str">
        <f>IF(SUM(BJ8:BM8)-BN8&gt;0,SUM(BJ8:BM8)-BN8,"")</f>
        <v/>
      </c>
      <c r="CA8" s="13" t="str">
        <f>IF(SUM(BO8:BR8)-BS8&gt;0,SUM(BO8:BR8)-BS8,"")</f>
        <v/>
      </c>
      <c r="CB8" s="13" t="str">
        <f>IF(SUM(BZ8:CA8)&gt;0,SUM(BZ8:CA8),"")</f>
        <v/>
      </c>
      <c r="CC8" s="13" t="str">
        <f>IF(SUM(BT8:BW8)-BX8&gt;0,SUM(BT8:BW8)-BX8,"")</f>
        <v/>
      </c>
      <c r="CD8" s="13" t="str">
        <f>IF(SUM(CB8,CC8)&gt;0,SUM(CB8,CC8),"")</f>
        <v/>
      </c>
      <c r="CE8" s="43" t="str">
        <f>IF(MAX(CX8,DS8,EN8,FI8,GD8,GY8,HT8,IO8,JJ8,KE8,KZ8,LU8)-K8&gt;0.001,MAX(CX8,DS8,EN8,FI8,GD8,GY8,HT8,IO8,JJ8,KE8,KZ8,LU8)-K8,"")</f>
        <v/>
      </c>
      <c r="CF8" s="43" t="str">
        <f>IF(MAX(CY8,DT8,EO8,FJ8,GE8,GZ8,HU8,IP8,JK8,KF8,LA8,LV8)-M8&gt;0.001,MAX(CY8,DT8,EO8,FJ8,GE8,GZ8,HU8,IP8,JK8,KF8,LA8,LV8)-M8,"")</f>
        <v/>
      </c>
      <c r="CG8" s="43" t="str">
        <f>IF(MAX(DA8,DV8,EQ8,FL8,GG8,HB8,HW8,IR8,JM8,KH8,LC8,LX8)-O8&gt;0.001,MAX(DA8,DV8,EQ8,FL8,GG8,HB8,HW8,IR8,JM8,KH8,LC8,LX8)-O8,"")</f>
        <v/>
      </c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13" t="str">
        <f>IF(SUM(CJ8,CO8)&gt;0,SUM(CJ8,CO8),"")</f>
        <v/>
      </c>
      <c r="CX8" s="13" t="str">
        <f>IF(SUM(CH8:CK8)-CL8&gt;0,SUM(CH8:CK8)-CL8,"")</f>
        <v/>
      </c>
      <c r="CY8" s="13" t="str">
        <f>IF(SUM(CM8:CP8)-CQ8&gt;0,SUM(CM8:CP8)-CQ8,"")</f>
        <v/>
      </c>
      <c r="CZ8" s="13" t="str">
        <f>IF(SUM(CX8:CY8)&gt;0,SUM(CX8:CY8),"")</f>
        <v/>
      </c>
      <c r="DA8" s="13" t="str">
        <f>IF(SUM(CR8:CU8)-CV8&gt;0,SUM(CR8:CU8)-CV8,"")</f>
        <v/>
      </c>
      <c r="DB8" s="13" t="str">
        <f>IF(SUM(CZ8,DA8)&gt;0,SUM(CZ8,DA8),"")</f>
        <v/>
      </c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17" t="str">
        <f>IF(SUM(DE8,DJ8)&gt;0,SUM(DE8,DJ8),"")</f>
        <v/>
      </c>
      <c r="DS8" s="17" t="str">
        <f>IF(SUM(DC8:DF8)-DG8&gt;0,SUM(DC8:DF8)-DG8,"")</f>
        <v/>
      </c>
      <c r="DT8" s="17" t="str">
        <f>IF(SUM(DH8:DK8)-DL8&gt;0,SUM(DH8:DK8)-DL8,"")</f>
        <v/>
      </c>
      <c r="DU8" s="17" t="str">
        <f>IF(SUM(DS8:DT8)&gt;0,SUM(DS8:DT8),"")</f>
        <v/>
      </c>
      <c r="DV8" s="17" t="str">
        <f>IF(SUM(DM8:DP8)-DQ8&gt;0,SUM(DM8:DP8)-DQ8,"")</f>
        <v/>
      </c>
      <c r="DW8" s="17" t="str">
        <f>IF(SUM(DU8,DV8)&gt;0,SUM(DU8,DV8),"")</f>
        <v/>
      </c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13" t="str">
        <f>IF(SUM(DZ8,EE8)&gt;0,SUM(DZ8,EE8),"")</f>
        <v/>
      </c>
      <c r="EN8" s="13" t="str">
        <f>IF(SUM(DX8:EA8)-EB8&gt;0,SUM(DX8:EA8)-EB8,"")</f>
        <v/>
      </c>
      <c r="EO8" s="13" t="str">
        <f>IF(SUM(EC8:EF8)-EG8&gt;0,SUM(EC8:EF8)-EG8,"")</f>
        <v/>
      </c>
      <c r="EP8" s="13" t="str">
        <f>IF(SUM(EN8:EO8)&gt;0,SUM(EN8:EO8),"")</f>
        <v/>
      </c>
      <c r="EQ8" s="13" t="str">
        <f>IF(SUM(EH8:EK8)-EL8&gt;0,SUM(EH8:EK8)-EL8,"")</f>
        <v/>
      </c>
      <c r="ER8" s="13" t="str">
        <f>IF(SUM(EP8,EQ8)&gt;0,SUM(EP8,EQ8),"")</f>
        <v/>
      </c>
      <c r="ES8" s="62"/>
      <c r="ET8" s="62"/>
      <c r="EU8" s="62"/>
      <c r="EV8" s="62"/>
      <c r="EW8" s="62"/>
      <c r="EX8" s="62"/>
      <c r="EY8" s="62"/>
      <c r="EZ8" s="62"/>
      <c r="FA8" s="62"/>
      <c r="FB8" s="62"/>
      <c r="FC8" s="62"/>
      <c r="FD8" s="62"/>
      <c r="FE8" s="62"/>
      <c r="FF8" s="62"/>
      <c r="FG8" s="62"/>
      <c r="FH8" s="17" t="str">
        <f>IF(SUM(EU8,EZ8)&gt;0,SUM(EU8,EZ8),"")</f>
        <v/>
      </c>
      <c r="FI8" s="17" t="str">
        <f>IF(SUM(ES8:EV8)-EW8&gt;0,SUM(ES8:EV8)-EW8,"")</f>
        <v/>
      </c>
      <c r="FJ8" s="17" t="str">
        <f>IF(SUM(EX8:FA8)-FB8&gt;0,SUM(EX8:FA8)-FB8,"")</f>
        <v/>
      </c>
      <c r="FK8" s="17" t="str">
        <f>IF(SUM(FI8:FJ8)&gt;0,SUM(FI8:FJ8),"")</f>
        <v/>
      </c>
      <c r="FL8" s="17" t="str">
        <f>IF(SUM(FC8:FF8)-FG8&gt;0,SUM(FC8:FF8)-FG8,"")</f>
        <v/>
      </c>
      <c r="FM8" s="17" t="str">
        <f>IF(SUM(FK8,FL8)&gt;0,SUM(FK8,FL8),"")</f>
        <v/>
      </c>
      <c r="FN8" s="60"/>
      <c r="FO8" s="60"/>
      <c r="FP8" s="60"/>
      <c r="FQ8" s="60"/>
      <c r="FR8" s="60"/>
      <c r="FS8" s="60"/>
      <c r="FT8" s="60"/>
      <c r="FU8" s="60"/>
      <c r="FV8" s="60"/>
      <c r="FW8" s="60"/>
      <c r="FX8" s="60"/>
      <c r="FY8" s="60"/>
      <c r="FZ8" s="60"/>
      <c r="GA8" s="60"/>
      <c r="GB8" s="60"/>
      <c r="GC8" s="13" t="str">
        <f>IF(SUM(FP8,FU8)&gt;0,SUM(FP8,FU8),"")</f>
        <v/>
      </c>
      <c r="GD8" s="13" t="str">
        <f>IF(SUM(FN8:FQ8)-FR8&gt;0,SUM(FN8:FQ8)-FR8,"")</f>
        <v/>
      </c>
      <c r="GE8" s="13" t="str">
        <f>IF(SUM(FS8:FV8)-FW8&gt;0,SUM(FS8:FV8)-FW8,"")</f>
        <v/>
      </c>
      <c r="GF8" s="13" t="str">
        <f>IF(SUM(GD8:GE8)&gt;0,SUM(GD8:GE8),"")</f>
        <v/>
      </c>
      <c r="GG8" s="13" t="str">
        <f>IF(SUM(FX8:GA8)-GB8&gt;0,SUM(FX8:GA8)-GB8,"")</f>
        <v/>
      </c>
      <c r="GH8" s="13" t="str">
        <f>IF(SUM(GF8,GG8)&gt;0,SUM(GF8,GG8),"")</f>
        <v/>
      </c>
      <c r="GI8" s="62"/>
      <c r="GJ8" s="62"/>
      <c r="GK8" s="62"/>
      <c r="GL8" s="62"/>
      <c r="GM8" s="62"/>
      <c r="GN8" s="62"/>
      <c r="GO8" s="62"/>
      <c r="GP8" s="62"/>
      <c r="GQ8" s="62"/>
      <c r="GR8" s="62"/>
      <c r="GS8" s="62"/>
      <c r="GT8" s="62"/>
      <c r="GU8" s="62"/>
      <c r="GV8" s="62"/>
      <c r="GW8" s="62"/>
      <c r="GX8" s="17" t="str">
        <f>IF(SUM(GK8,GP8)&gt;0,SUM(GK8,GP8),"")</f>
        <v/>
      </c>
      <c r="GY8" s="17" t="str">
        <f>IF(SUM(GI8:GL8)-GM8&gt;0,SUM(GI8:GL8)-GM8,"")</f>
        <v/>
      </c>
      <c r="GZ8" s="17" t="str">
        <f>IF(SUM(GN8:GQ8)-GR8&gt;0,SUM(GN8:GQ8)-GR8,"")</f>
        <v/>
      </c>
      <c r="HA8" s="17" t="str">
        <f>IF(SUM(GY8:GZ8)&gt;0,SUM(GY8:GZ8),"")</f>
        <v/>
      </c>
      <c r="HB8" s="17" t="str">
        <f>IF(SUM(GS8:GV8)-GW8&gt;0,SUM(GS8:GV8)-GW8,"")</f>
        <v/>
      </c>
      <c r="HC8" s="17" t="str">
        <f>IF(SUM(HA8,HB8)&gt;0,SUM(HA8,HB8),"")</f>
        <v/>
      </c>
      <c r="HD8" s="60"/>
      <c r="HE8" s="60"/>
      <c r="HF8" s="60"/>
      <c r="HG8" s="60"/>
      <c r="HH8" s="60"/>
      <c r="HI8" s="60"/>
      <c r="HJ8" s="60"/>
      <c r="HK8" s="60"/>
      <c r="HL8" s="60"/>
      <c r="HM8" s="60"/>
      <c r="HN8" s="60"/>
      <c r="HO8" s="60"/>
      <c r="HP8" s="60"/>
      <c r="HQ8" s="60"/>
      <c r="HR8" s="60"/>
      <c r="HS8" s="13" t="str">
        <f>IF(SUM(HF8,HK8)&gt;0,SUM(HF8,HK8),"")</f>
        <v/>
      </c>
      <c r="HT8" s="13" t="str">
        <f>IF(SUM(HD8:HG8)-HH8&gt;0,SUM(HD8:HG8)-HH8,"")</f>
        <v/>
      </c>
      <c r="HU8" s="13" t="str">
        <f>IF(SUM(HI8:HL8)-HM8&gt;0,SUM(HI8:HL8)-HM8,"")</f>
        <v/>
      </c>
      <c r="HV8" s="13" t="str">
        <f>IF(SUM(HT8:HU8)&gt;0,SUM(HT8:HU8),"")</f>
        <v/>
      </c>
      <c r="HW8" s="13" t="str">
        <f>IF(SUM(HN8:HQ8)-HR8&gt;0,SUM(HN8:HQ8)-HR8,"")</f>
        <v/>
      </c>
      <c r="HX8" s="13" t="str">
        <f>IF(SUM(HV8,HW8)&gt;0,SUM(HV8,HW8),"")</f>
        <v/>
      </c>
      <c r="HY8" s="62"/>
      <c r="HZ8" s="62"/>
      <c r="IA8" s="62"/>
      <c r="IB8" s="62"/>
      <c r="IC8" s="62"/>
      <c r="ID8" s="62"/>
      <c r="IE8" s="62"/>
      <c r="IF8" s="62"/>
      <c r="IG8" s="62"/>
      <c r="IH8" s="62"/>
      <c r="II8" s="62"/>
      <c r="IJ8" s="62"/>
      <c r="IK8" s="62"/>
      <c r="IL8" s="62"/>
      <c r="IM8" s="62"/>
      <c r="IN8" s="17" t="str">
        <f>IF(SUM(IA8,IF8)&gt;0,SUM(IA8,IF8),"")</f>
        <v/>
      </c>
      <c r="IO8" s="17" t="str">
        <f>IF(SUM(HY8:IB8)-IC8&gt;0,SUM(HY8:IB8)-IC8,"")</f>
        <v/>
      </c>
      <c r="IP8" s="17" t="str">
        <f>IF(SUM(ID8:IG8)-IH8&gt;0,SUM(ID8:IG8)-IH8,"")</f>
        <v/>
      </c>
      <c r="IQ8" s="17" t="str">
        <f>IF(SUM(IO8:IP8)&gt;0,SUM(IO8:IP8),"")</f>
        <v/>
      </c>
      <c r="IR8" s="17" t="str">
        <f>IF(SUM(II8:IL8)-IM8&gt;0,SUM(II8:IL8)-IM8,"")</f>
        <v/>
      </c>
      <c r="IS8" s="17" t="str">
        <f>IF(SUM(IQ8,IR8)&gt;0,SUM(IQ8,IR8),"")</f>
        <v/>
      </c>
      <c r="IT8" s="60"/>
      <c r="IU8" s="60"/>
      <c r="IV8" s="60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13" t="str">
        <f>IF(SUM(IV8,JA8)&gt;0,SUM(IV8,JA8),"")</f>
        <v/>
      </c>
      <c r="JJ8" s="13" t="str">
        <f>IF(SUM(IT8:IW8)-IX8&gt;0,SUM(IT8:IW8)-IX8,"")</f>
        <v/>
      </c>
      <c r="JK8" s="13" t="str">
        <f>IF(SUM(IY8:JB8)-JC8&gt;0,SUM(IY8:JB8)-JC8,"")</f>
        <v/>
      </c>
      <c r="JL8" s="13" t="str">
        <f>IF(SUM(JJ8:JK8)&gt;0,SUM(JJ8:JK8),"")</f>
        <v/>
      </c>
      <c r="JM8" s="13" t="str">
        <f>IF(SUM(JD8:JG8)-JH8&gt;0,SUM(JD8:JG8)-JH8,"")</f>
        <v/>
      </c>
      <c r="JN8" s="13" t="str">
        <f>IF(SUM(JL8,JM8)&gt;0,SUM(JL8,JM8),"")</f>
        <v/>
      </c>
      <c r="JO8" s="62"/>
      <c r="JP8" s="62"/>
      <c r="JQ8" s="62"/>
      <c r="JR8" s="62"/>
      <c r="JS8" s="62"/>
      <c r="JT8" s="62"/>
      <c r="JU8" s="62"/>
      <c r="JV8" s="62"/>
      <c r="JW8" s="62"/>
      <c r="JX8" s="62"/>
      <c r="JY8" s="62"/>
      <c r="JZ8" s="62"/>
      <c r="KA8" s="62"/>
      <c r="KB8" s="62"/>
      <c r="KC8" s="62"/>
      <c r="KD8" s="17" t="str">
        <f>IF(SUM(JQ8,JV8)&gt;0,SUM(JQ8,JV8),"")</f>
        <v/>
      </c>
      <c r="KE8" s="17" t="str">
        <f>IF(SUM(JO8:JR8)-JS8&gt;0,SUM(JO8:JR8)-JS8,"")</f>
        <v/>
      </c>
      <c r="KF8" s="17" t="str">
        <f>IF(SUM(JT8:JW8)-JX8&gt;0,SUM(JT8:JW8)-JX8,"")</f>
        <v/>
      </c>
      <c r="KG8" s="17" t="str">
        <f>IF(SUM(KE8:KF8)&gt;0,SUM(KE8:KF8),"")</f>
        <v/>
      </c>
      <c r="KH8" s="17" t="str">
        <f>IF(SUM(JY8:KB8)-KC8&gt;0,SUM(JY8:KB8)-KC8,"")</f>
        <v/>
      </c>
      <c r="KI8" s="17" t="str">
        <f>IF(SUM(KG8,KH8)&gt;0,SUM(KG8,KH8),"")</f>
        <v/>
      </c>
      <c r="KJ8" s="60"/>
      <c r="KK8" s="60"/>
      <c r="KL8" s="60"/>
      <c r="KM8" s="60"/>
      <c r="KN8" s="60"/>
      <c r="KO8" s="60"/>
      <c r="KP8" s="60"/>
      <c r="KQ8" s="60"/>
      <c r="KR8" s="60"/>
      <c r="KS8" s="60"/>
      <c r="KT8" s="60"/>
      <c r="KU8" s="60"/>
      <c r="KV8" s="60"/>
      <c r="KW8" s="60"/>
      <c r="KX8" s="60"/>
      <c r="KY8" s="13" t="str">
        <f>IF(SUM(KL8,KQ8)&gt;0,SUM(KL8,KQ8),"")</f>
        <v/>
      </c>
      <c r="KZ8" s="13" t="str">
        <f>IF(SUM(KJ8:KM8)-KN8&gt;0,SUM(KJ8:KM8)-KN8,"")</f>
        <v/>
      </c>
      <c r="LA8" s="13" t="str">
        <f>IF(SUM(KO8:KR8)-KS8&gt;0,SUM(KO8:KR8)-KS8,"")</f>
        <v/>
      </c>
      <c r="LB8" s="13" t="str">
        <f>IF(SUM(KZ8:LA8)&gt;0,SUM(KZ8:LA8),"")</f>
        <v/>
      </c>
      <c r="LC8" s="13" t="str">
        <f>IF(SUM(KT8:KW8)-KX8&gt;0,SUM(KT8:KW8)-KX8,"")</f>
        <v/>
      </c>
      <c r="LD8" s="13" t="str">
        <f>IF(SUM(LB8,LC8)&gt;0,SUM(LB8,LC8),"")</f>
        <v/>
      </c>
      <c r="LE8" s="62"/>
      <c r="LF8" s="62"/>
      <c r="LG8" s="62"/>
      <c r="LH8" s="62"/>
      <c r="LI8" s="62"/>
      <c r="LJ8" s="62"/>
      <c r="LK8" s="62"/>
      <c r="LL8" s="62"/>
      <c r="LM8" s="62"/>
      <c r="LN8" s="62"/>
      <c r="LO8" s="62"/>
      <c r="LP8" s="62"/>
      <c r="LQ8" s="62"/>
      <c r="LR8" s="62"/>
      <c r="LS8" s="62"/>
      <c r="LT8" s="17" t="str">
        <f>IF(SUM(LG8,LL8)&gt;0,SUM(LG8,LL8),"")</f>
        <v/>
      </c>
      <c r="LU8" s="17" t="str">
        <f>IF(SUM(LE8:LH8)-LI8&gt;0,SUM(LE8:LH8)-LI8,"")</f>
        <v/>
      </c>
      <c r="LV8" s="17" t="str">
        <f>IF(SUM(LJ8:LM8)-LN8&gt;0,SUM(LJ8:LM8)-LN8,"")</f>
        <v/>
      </c>
      <c r="LW8" s="17" t="str">
        <f>IF(SUM(LU8:LV8)&gt;0,SUM(LU8:LV8),"")</f>
        <v/>
      </c>
      <c r="LX8" s="17" t="str">
        <f>IF(SUM(LO8:LR8)-LS8&gt;0,SUM(LO8:LR8)-LS8,"")</f>
        <v/>
      </c>
      <c r="LY8" s="17" t="str">
        <f>IF(SUM(LW8,LX8)&gt;0,SUM(LW8,LX8),"")</f>
        <v/>
      </c>
    </row>
    <row r="9" spans="1:337" x14ac:dyDescent="0.2">
      <c r="D9" s="1"/>
      <c r="R9" s="45"/>
    </row>
    <row r="12" spans="1:337" x14ac:dyDescent="0.2">
      <c r="A12" s="91" t="s">
        <v>44</v>
      </c>
      <c r="B12" s="91"/>
      <c r="C12" s="21">
        <v>18</v>
      </c>
    </row>
    <row r="13" spans="1:337" x14ac:dyDescent="0.2">
      <c r="A13" s="92" t="s">
        <v>42</v>
      </c>
      <c r="B13" s="92"/>
      <c r="C13" s="22">
        <v>86.7</v>
      </c>
    </row>
    <row r="14" spans="1:337" x14ac:dyDescent="0.2">
      <c r="A14" s="93" t="s">
        <v>23</v>
      </c>
      <c r="B14" s="93"/>
      <c r="C14" s="23">
        <v>88.1</v>
      </c>
    </row>
    <row r="15" spans="1:337" x14ac:dyDescent="0.2">
      <c r="A15" s="89" t="s">
        <v>43</v>
      </c>
      <c r="B15" s="89"/>
      <c r="C15" s="24">
        <v>90.5</v>
      </c>
    </row>
    <row r="16" spans="1:337" x14ac:dyDescent="0.2">
      <c r="A16" s="90" t="s">
        <v>112</v>
      </c>
      <c r="B16" s="90"/>
      <c r="C16" s="25">
        <v>93.2</v>
      </c>
    </row>
    <row r="17" spans="1:19" x14ac:dyDescent="0.2">
      <c r="C17" s="3"/>
    </row>
    <row r="18" spans="1:19" x14ac:dyDescent="0.2">
      <c r="A18" s="93" t="s">
        <v>86</v>
      </c>
      <c r="B18" s="93"/>
      <c r="C18" s="23">
        <v>222.1</v>
      </c>
    </row>
    <row r="19" spans="1:19" ht="17" x14ac:dyDescent="0.2">
      <c r="A19" s="89" t="s">
        <v>87</v>
      </c>
      <c r="B19" s="89"/>
      <c r="C19" s="24">
        <v>228.7</v>
      </c>
      <c r="Q19" s="31"/>
      <c r="R19" s="31"/>
      <c r="S19" s="31"/>
    </row>
    <row r="20" spans="1:19" ht="17" x14ac:dyDescent="0.2">
      <c r="A20" s="90" t="s">
        <v>113</v>
      </c>
      <c r="B20" s="90"/>
      <c r="C20" s="25">
        <v>235.7</v>
      </c>
      <c r="Q20" s="31"/>
      <c r="R20" s="31"/>
      <c r="S20" s="31"/>
    </row>
    <row r="21" spans="1:19" ht="17" x14ac:dyDescent="0.2">
      <c r="Q21" s="31"/>
      <c r="R21" s="31"/>
      <c r="S21" s="31"/>
    </row>
    <row r="22" spans="1:19" ht="17" x14ac:dyDescent="0.2">
      <c r="Q22" s="31"/>
      <c r="R22" s="31"/>
      <c r="S22" s="31"/>
    </row>
    <row r="23" spans="1:19" ht="17" x14ac:dyDescent="0.2">
      <c r="Q23" s="31"/>
      <c r="R23" s="31"/>
      <c r="S23" s="31"/>
    </row>
    <row r="24" spans="1:19" ht="17" x14ac:dyDescent="0.2">
      <c r="Q24" s="31"/>
      <c r="R24" s="31"/>
      <c r="S24" s="31"/>
    </row>
    <row r="25" spans="1:19" ht="17" x14ac:dyDescent="0.2">
      <c r="Q25" s="31"/>
      <c r="R25" s="31"/>
      <c r="S25" s="31"/>
    </row>
    <row r="26" spans="1:19" ht="17" x14ac:dyDescent="0.2">
      <c r="Q26" s="31"/>
      <c r="R26" s="31"/>
      <c r="S26" s="31"/>
    </row>
    <row r="27" spans="1:19" ht="17" x14ac:dyDescent="0.2">
      <c r="Q27" s="31"/>
      <c r="R27" s="31"/>
      <c r="S27" s="31"/>
    </row>
    <row r="28" spans="1:19" ht="17" x14ac:dyDescent="0.2">
      <c r="Q28" s="31"/>
      <c r="R28" s="31"/>
      <c r="S28" s="31"/>
    </row>
    <row r="29" spans="1:19" ht="17" x14ac:dyDescent="0.2">
      <c r="Q29" s="31"/>
      <c r="R29" s="31"/>
      <c r="S29" s="31"/>
    </row>
    <row r="30" spans="1:19" ht="17" x14ac:dyDescent="0.2">
      <c r="Q30" s="31"/>
      <c r="R30" s="31"/>
      <c r="S30" s="31"/>
    </row>
    <row r="31" spans="1:19" ht="17" x14ac:dyDescent="0.2">
      <c r="Q31" s="31"/>
      <c r="R31" s="31"/>
      <c r="S31" s="31"/>
    </row>
    <row r="32" spans="1:19" ht="17" x14ac:dyDescent="0.2">
      <c r="Q32" s="31"/>
      <c r="R32" s="31"/>
      <c r="S32" s="31"/>
    </row>
    <row r="33" spans="17:19" ht="17" x14ac:dyDescent="0.2">
      <c r="Q33" s="31"/>
      <c r="R33" s="31"/>
      <c r="S33" s="31"/>
    </row>
    <row r="34" spans="17:19" ht="17" x14ac:dyDescent="0.2">
      <c r="Q34" s="31"/>
      <c r="R34" s="31"/>
      <c r="S34" s="31"/>
    </row>
    <row r="35" spans="17:19" ht="17" x14ac:dyDescent="0.2">
      <c r="Q35" s="31"/>
      <c r="R35" s="31"/>
      <c r="S35" s="31"/>
    </row>
    <row r="36" spans="17:19" ht="17" x14ac:dyDescent="0.2">
      <c r="Q36" s="31"/>
      <c r="R36" s="31"/>
      <c r="S36" s="31"/>
    </row>
    <row r="37" spans="17:19" ht="17" x14ac:dyDescent="0.2">
      <c r="Q37" s="31"/>
      <c r="R37" s="31"/>
      <c r="S37" s="31"/>
    </row>
    <row r="38" spans="17:19" ht="17" x14ac:dyDescent="0.2">
      <c r="Q38" s="31"/>
      <c r="R38" s="31"/>
      <c r="S38" s="31"/>
    </row>
  </sheetData>
  <sheetProtection sheet="1" objects="1" scenarios="1" formatCells="0" formatColumns="0" formatRows="0"/>
  <autoFilter ref="A1:LY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sortState ref="A6:LY8">
      <sortCondition descending="1" ref="F1:F8"/>
    </sortState>
  </autoFilter>
  <mergeCells count="88">
    <mergeCell ref="KJ1:LD1"/>
    <mergeCell ref="LE1:LY1"/>
    <mergeCell ref="LO2:LS2"/>
    <mergeCell ref="LJ2:LN2"/>
    <mergeCell ref="LE2:LI2"/>
    <mergeCell ref="KT2:KX2"/>
    <mergeCell ref="KO2:KS2"/>
    <mergeCell ref="KJ2:KN2"/>
    <mergeCell ref="IT1:JN1"/>
    <mergeCell ref="JO1:KI1"/>
    <mergeCell ref="JY2:KC2"/>
    <mergeCell ref="JT2:JX2"/>
    <mergeCell ref="JO2:JS2"/>
    <mergeCell ref="JD2:JH2"/>
    <mergeCell ref="IY2:JC2"/>
    <mergeCell ref="IT2:IX2"/>
    <mergeCell ref="HD1:HX1"/>
    <mergeCell ref="HY1:IS1"/>
    <mergeCell ref="II2:IM2"/>
    <mergeCell ref="ID2:IH2"/>
    <mergeCell ref="HY2:IC2"/>
    <mergeCell ref="HN2:HR2"/>
    <mergeCell ref="HI2:HM2"/>
    <mergeCell ref="HD2:HH2"/>
    <mergeCell ref="FN1:GH1"/>
    <mergeCell ref="GI1:HC1"/>
    <mergeCell ref="GS2:GW2"/>
    <mergeCell ref="GN2:GR2"/>
    <mergeCell ref="GI2:GM2"/>
    <mergeCell ref="FX2:GB2"/>
    <mergeCell ref="FS2:FW2"/>
    <mergeCell ref="FN2:FR2"/>
    <mergeCell ref="DX1:ER1"/>
    <mergeCell ref="ES1:FM1"/>
    <mergeCell ref="FC2:FG2"/>
    <mergeCell ref="EX2:FB2"/>
    <mergeCell ref="ES2:EW2"/>
    <mergeCell ref="EH2:EL2"/>
    <mergeCell ref="EC2:EG2"/>
    <mergeCell ref="DX2:EB2"/>
    <mergeCell ref="DC1:DW1"/>
    <mergeCell ref="CE1:CG1"/>
    <mergeCell ref="CH1:DB1"/>
    <mergeCell ref="R1:R3"/>
    <mergeCell ref="S1:S3"/>
    <mergeCell ref="T1:AN1"/>
    <mergeCell ref="Y2:AC2"/>
    <mergeCell ref="T2:X2"/>
    <mergeCell ref="DM2:DQ2"/>
    <mergeCell ref="DH2:DL2"/>
    <mergeCell ref="DC2:DG2"/>
    <mergeCell ref="CR2:CV2"/>
    <mergeCell ref="CM2:CQ2"/>
    <mergeCell ref="CH2:CL2"/>
    <mergeCell ref="A1:A3"/>
    <mergeCell ref="B1:B3"/>
    <mergeCell ref="C1:C3"/>
    <mergeCell ref="D1:D3"/>
    <mergeCell ref="E1:E3"/>
    <mergeCell ref="N1:N3"/>
    <mergeCell ref="P1:P3"/>
    <mergeCell ref="O1:O3"/>
    <mergeCell ref="Q1:Q3"/>
    <mergeCell ref="BJ1:CD1"/>
    <mergeCell ref="AO1:BI1"/>
    <mergeCell ref="AT2:AX2"/>
    <mergeCell ref="AO2:AS2"/>
    <mergeCell ref="AD2:AH2"/>
    <mergeCell ref="BT2:BX2"/>
    <mergeCell ref="BO2:BS2"/>
    <mergeCell ref="BJ2:BN2"/>
    <mergeCell ref="AY2:BC2"/>
    <mergeCell ref="A19:B19"/>
    <mergeCell ref="A20:B20"/>
    <mergeCell ref="A12:B12"/>
    <mergeCell ref="A13:B13"/>
    <mergeCell ref="A14:B14"/>
    <mergeCell ref="A15:B15"/>
    <mergeCell ref="A16:B16"/>
    <mergeCell ref="A18:B18"/>
    <mergeCell ref="F1:F3"/>
    <mergeCell ref="G1:G3"/>
    <mergeCell ref="H1:H3"/>
    <mergeCell ref="I1:I3"/>
    <mergeCell ref="M1:M3"/>
    <mergeCell ref="L1:L3"/>
    <mergeCell ref="J1:J3"/>
    <mergeCell ref="K1:K3"/>
  </mergeCells>
  <conditionalFormatting sqref="BY4:BY6 BY8 CW8 DR8 EM8 FH8 GC8 GX8 HS8 IN8 JI8 KD8 KY8 LT8 BD4:BD8 AI4:AI8">
    <cfRule type="cellIs" dxfId="419" priority="391" operator="between">
      <formula>$C$12</formula>
      <formula>100</formula>
    </cfRule>
  </conditionalFormatting>
  <conditionalFormatting sqref="H4:H6 H8">
    <cfRule type="containsText" dxfId="418" priority="384" operator="containsText" text="Merit">
      <formula>NOT(ISERROR(SEARCH("Merit",H4)))</formula>
    </cfRule>
    <cfRule type="containsText" dxfId="417" priority="385" operator="containsText" text="Funding">
      <formula>NOT(ISERROR(SEARCH("Funding",H4)))</formula>
    </cfRule>
    <cfRule type="containsText" dxfId="416" priority="386" operator="containsText" text="Team">
      <formula>NOT(ISERROR(SEARCH("Team",H4)))</formula>
    </cfRule>
    <cfRule type="containsText" dxfId="415" priority="387" operator="containsText" text="First 2 Years">
      <formula>NOT(ISERROR(SEARCH("First 2 Years",H4)))</formula>
    </cfRule>
  </conditionalFormatting>
  <conditionalFormatting sqref="CW4:CW6">
    <cfRule type="cellIs" dxfId="414" priority="379" operator="between">
      <formula>$C$12</formula>
      <formula>100</formula>
    </cfRule>
  </conditionalFormatting>
  <conditionalFormatting sqref="A4:A6 A8">
    <cfRule type="expression" dxfId="413" priority="521">
      <formula>AND(H4="First 2 Years",F4="")</formula>
    </cfRule>
    <cfRule type="expression" dxfId="412" priority="522">
      <formula>AND(I4&gt;=$C$14,F4="")</formula>
    </cfRule>
  </conditionalFormatting>
  <conditionalFormatting sqref="L4:L6 L8">
    <cfRule type="expression" dxfId="411" priority="359">
      <formula>IF(K4=BZ4,1,0)</formula>
    </cfRule>
    <cfRule type="expression" dxfId="410" priority="360">
      <formula>IF(K4=BE4,1,0)</formula>
    </cfRule>
    <cfRule type="expression" dxfId="409" priority="361">
      <formula>IF(K4=AJ4,1,0)</formula>
    </cfRule>
  </conditionalFormatting>
  <conditionalFormatting sqref="J4:J6 J8">
    <cfRule type="expression" dxfId="408" priority="356">
      <formula>IF(I4=CB4,1,0)</formula>
    </cfRule>
    <cfRule type="expression" dxfId="407" priority="357">
      <formula>IF(I4=BG4,1,0)</formula>
    </cfRule>
    <cfRule type="expression" dxfId="406" priority="358">
      <formula>IF(I4=AL4,1,0)</formula>
    </cfRule>
  </conditionalFormatting>
  <conditionalFormatting sqref="P4:P6 P8 N4:N8">
    <cfRule type="expression" dxfId="405" priority="353">
      <formula>IF(M4=CA4,1,0)</formula>
    </cfRule>
    <cfRule type="expression" dxfId="404" priority="354">
      <formula>IF(M4=BF4,1,0)</formula>
    </cfRule>
    <cfRule type="expression" dxfId="403" priority="355">
      <formula>IF(M4=AK4,1,0)</formula>
    </cfRule>
  </conditionalFormatting>
  <conditionalFormatting sqref="DR4:DR6">
    <cfRule type="cellIs" dxfId="402" priority="290" operator="between">
      <formula>$C$12</formula>
      <formula>100</formula>
    </cfRule>
  </conditionalFormatting>
  <conditionalFormatting sqref="EM4:EM6">
    <cfRule type="cellIs" dxfId="401" priority="285" operator="between">
      <formula>$C$12</formula>
      <formula>100</formula>
    </cfRule>
  </conditionalFormatting>
  <conditionalFormatting sqref="FH4:FH6">
    <cfRule type="cellIs" dxfId="400" priority="280" operator="between">
      <formula>$C$12</formula>
      <formula>100</formula>
    </cfRule>
  </conditionalFormatting>
  <conditionalFormatting sqref="GC4:GC6">
    <cfRule type="cellIs" dxfId="399" priority="171" operator="between">
      <formula>$C$12</formula>
      <formula>100</formula>
    </cfRule>
  </conditionalFormatting>
  <conditionalFormatting sqref="GX4:GX6">
    <cfRule type="cellIs" dxfId="398" priority="170" operator="between">
      <formula>$C$12</formula>
      <formula>100</formula>
    </cfRule>
  </conditionalFormatting>
  <conditionalFormatting sqref="HS4:HS6">
    <cfRule type="cellIs" dxfId="397" priority="161" operator="between">
      <formula>$C$12</formula>
      <formula>100</formula>
    </cfRule>
  </conditionalFormatting>
  <conditionalFormatting sqref="IN4:IN6">
    <cfRule type="cellIs" dxfId="396" priority="160" operator="between">
      <formula>$C$12</formula>
      <formula>100</formula>
    </cfRule>
  </conditionalFormatting>
  <conditionalFormatting sqref="JI4:JI6">
    <cfRule type="cellIs" dxfId="395" priority="151" operator="between">
      <formula>$C$12</formula>
      <formula>100</formula>
    </cfRule>
  </conditionalFormatting>
  <conditionalFormatting sqref="KD4:KD6">
    <cfRule type="cellIs" dxfId="394" priority="150" operator="between">
      <formula>$C$12</formula>
      <formula>100</formula>
    </cfRule>
  </conditionalFormatting>
  <conditionalFormatting sqref="KY4:KY6">
    <cfRule type="cellIs" dxfId="393" priority="141" operator="between">
      <formula>$C$12</formula>
      <formula>100</formula>
    </cfRule>
  </conditionalFormatting>
  <conditionalFormatting sqref="LT4:LT6">
    <cfRule type="cellIs" dxfId="392" priority="140" operator="between">
      <formula>$C$12</formula>
      <formula>100</formula>
    </cfRule>
  </conditionalFormatting>
  <conditionalFormatting sqref="BY7">
    <cfRule type="cellIs" dxfId="391" priority="122" operator="between">
      <formula>$C$12</formula>
      <formula>100</formula>
    </cfRule>
  </conditionalFormatting>
  <conditionalFormatting sqref="H7">
    <cfRule type="containsText" dxfId="390" priority="118" operator="containsText" text="Merit">
      <formula>NOT(ISERROR(SEARCH("Merit",H7)))</formula>
    </cfRule>
    <cfRule type="containsText" dxfId="389" priority="119" operator="containsText" text="Funding">
      <formula>NOT(ISERROR(SEARCH("Funding",H7)))</formula>
    </cfRule>
    <cfRule type="containsText" dxfId="388" priority="120" operator="containsText" text="Team">
      <formula>NOT(ISERROR(SEARCH("Team",H7)))</formula>
    </cfRule>
    <cfRule type="containsText" dxfId="387" priority="121" operator="containsText" text="First 2 Years">
      <formula>NOT(ISERROR(SEARCH("First 2 Years",H7)))</formula>
    </cfRule>
  </conditionalFormatting>
  <conditionalFormatting sqref="CW7">
    <cfRule type="cellIs" dxfId="386" priority="117" operator="between">
      <formula>$C$12</formula>
      <formula>100</formula>
    </cfRule>
  </conditionalFormatting>
  <conditionalFormatting sqref="A7">
    <cfRule type="expression" dxfId="385" priority="127">
      <formula>AND(H7="First 2 Years",F7="")</formula>
    </cfRule>
    <cfRule type="expression" dxfId="384" priority="128">
      <formula>AND(I7&gt;=$C$14,F7="")</formula>
    </cfRule>
  </conditionalFormatting>
  <conditionalFormatting sqref="L7">
    <cfRule type="expression" dxfId="383" priority="114">
      <formula>IF(K7=BZ7,1,0)</formula>
    </cfRule>
    <cfRule type="expression" dxfId="382" priority="115">
      <formula>IF(K7=BE7,1,0)</formula>
    </cfRule>
    <cfRule type="expression" dxfId="381" priority="116">
      <formula>IF(K7=AJ7,1,0)</formula>
    </cfRule>
  </conditionalFormatting>
  <conditionalFormatting sqref="J7">
    <cfRule type="expression" dxfId="380" priority="111">
      <formula>IF(I7=CB7,1,0)</formula>
    </cfRule>
    <cfRule type="expression" dxfId="379" priority="112">
      <formula>IF(I7=BG7,1,0)</formula>
    </cfRule>
    <cfRule type="expression" dxfId="378" priority="113">
      <formula>IF(I7=AL7,1,0)</formula>
    </cfRule>
  </conditionalFormatting>
  <conditionalFormatting sqref="P7">
    <cfRule type="expression" dxfId="377" priority="108">
      <formula>IF(O7=CC7,1,0)</formula>
    </cfRule>
    <cfRule type="expression" dxfId="376" priority="109">
      <formula>IF(O7=BH7,1,0)</formula>
    </cfRule>
    <cfRule type="expression" dxfId="375" priority="110">
      <formula>IF(O7=AM7,1,0)</formula>
    </cfRule>
  </conditionalFormatting>
  <conditionalFormatting sqref="DR7">
    <cfRule type="cellIs" dxfId="374" priority="107" operator="between">
      <formula>$C$12</formula>
      <formula>100</formula>
    </cfRule>
  </conditionalFormatting>
  <conditionalFormatting sqref="EM7">
    <cfRule type="cellIs" dxfId="373" priority="106" operator="between">
      <formula>$C$12</formula>
      <formula>100</formula>
    </cfRule>
  </conditionalFormatting>
  <conditionalFormatting sqref="FH7">
    <cfRule type="cellIs" dxfId="372" priority="105" operator="between">
      <formula>$C$12</formula>
      <formula>100</formula>
    </cfRule>
  </conditionalFormatting>
  <conditionalFormatting sqref="GC7">
    <cfRule type="cellIs" dxfId="371" priority="88" operator="between">
      <formula>$C$12</formula>
      <formula>100</formula>
    </cfRule>
  </conditionalFormatting>
  <conditionalFormatting sqref="GX7">
    <cfRule type="cellIs" dxfId="370" priority="87" operator="between">
      <formula>$C$12</formula>
      <formula>100</formula>
    </cfRule>
  </conditionalFormatting>
  <conditionalFormatting sqref="HS7">
    <cfRule type="cellIs" dxfId="369" priority="78" operator="between">
      <formula>$C$12</formula>
      <formula>100</formula>
    </cfRule>
  </conditionalFormatting>
  <conditionalFormatting sqref="IN7">
    <cfRule type="cellIs" dxfId="368" priority="77" operator="between">
      <formula>$C$12</formula>
      <formula>100</formula>
    </cfRule>
  </conditionalFormatting>
  <conditionalFormatting sqref="JI7">
    <cfRule type="cellIs" dxfId="367" priority="68" operator="between">
      <formula>$C$12</formula>
      <formula>100</formula>
    </cfRule>
  </conditionalFormatting>
  <conditionalFormatting sqref="KD7">
    <cfRule type="cellIs" dxfId="366" priority="67" operator="between">
      <formula>$C$12</formula>
      <formula>100</formula>
    </cfRule>
  </conditionalFormatting>
  <conditionalFormatting sqref="KY7">
    <cfRule type="cellIs" dxfId="365" priority="58" operator="between">
      <formula>$C$12</formula>
      <formula>100</formula>
    </cfRule>
  </conditionalFormatting>
  <conditionalFormatting sqref="LT7">
    <cfRule type="cellIs" dxfId="364" priority="57" operator="between">
      <formula>$C$12</formula>
      <formula>100</formula>
    </cfRule>
  </conditionalFormatting>
  <conditionalFormatting sqref="AL4:AL8 BG4:BG8 CB4:CB8 CZ4:CZ8 DU4:DU8 EP4:EP8 FK4:FK8 GF4:GF8 HA4:HA8 HV4:HV8 IQ4:IQ8 JL4:JL8 KG4:KG8 LB4:LB8 LW4:LW8">
    <cfRule type="cellIs" dxfId="363" priority="717" operator="between">
      <formula>$C$16</formula>
      <formula>1000</formula>
    </cfRule>
    <cfRule type="cellIs" dxfId="362" priority="718" operator="between">
      <formula>$C$15</formula>
      <formula>$C$16</formula>
    </cfRule>
    <cfRule type="cellIs" dxfId="361" priority="719" operator="between">
      <formula>$C$14</formula>
      <formula>$C$15</formula>
    </cfRule>
    <cfRule type="expression" dxfId="360" priority="720">
      <formula>IF(AND(AL4&gt;=$C$13,AL4&lt;$C$14,YEAR(TODAY())-$D4&lt;2),1,0)</formula>
    </cfRule>
  </conditionalFormatting>
  <conditionalFormatting sqref="B4:C8">
    <cfRule type="expression" dxfId="359" priority="755">
      <formula>$E4&gt;=$C$20</formula>
    </cfRule>
    <cfRule type="expression" dxfId="358" priority="756">
      <formula>AND($E4&gt;=$C$19,$E4&lt;$C$20)</formula>
    </cfRule>
    <cfRule type="expression" dxfId="357" priority="757">
      <formula>AND($E4&gt;=$C$18,$E4&lt;$C$19)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Y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24.6640625" customWidth="1"/>
    <col min="19" max="19" width="28.33203125" bestFit="1" customWidth="1"/>
    <col min="20" max="34" width="10.83203125" hidden="1" customWidth="1"/>
    <col min="35" max="40" width="10.83203125" customWidth="1"/>
    <col min="41" max="55" width="10.83203125" hidden="1" customWidth="1"/>
    <col min="56" max="61" width="10.83203125" customWidth="1"/>
    <col min="62" max="76" width="10.83203125" hidden="1" customWidth="1"/>
    <col min="77" max="82" width="10.83203125" customWidth="1"/>
    <col min="86" max="100" width="10.83203125" hidden="1" customWidth="1"/>
    <col min="101" max="106" width="10.83203125" customWidth="1"/>
    <col min="107" max="121" width="10.83203125" hidden="1" customWidth="1"/>
    <col min="122" max="127" width="10.83203125" customWidth="1"/>
    <col min="128" max="142" width="10.83203125" hidden="1" customWidth="1"/>
    <col min="143" max="148" width="10.83203125" customWidth="1"/>
    <col min="149" max="163" width="10.83203125" hidden="1" customWidth="1"/>
    <col min="164" max="169" width="10.83203125" customWidth="1"/>
    <col min="170" max="184" width="10.83203125" hidden="1" customWidth="1"/>
    <col min="185" max="190" width="10.83203125" customWidth="1"/>
    <col min="191" max="205" width="10.83203125" hidden="1" customWidth="1"/>
    <col min="206" max="211" width="10.83203125" customWidth="1"/>
    <col min="212" max="226" width="10.83203125" hidden="1" customWidth="1"/>
    <col min="227" max="232" width="10.83203125" customWidth="1"/>
    <col min="233" max="247" width="10.83203125" hidden="1" customWidth="1"/>
    <col min="248" max="253" width="10.83203125" customWidth="1"/>
    <col min="254" max="268" width="10.83203125" hidden="1" customWidth="1"/>
    <col min="269" max="274" width="10.83203125" customWidth="1"/>
    <col min="275" max="289" width="10.83203125" hidden="1" customWidth="1"/>
    <col min="290" max="295" width="10.83203125" customWidth="1"/>
    <col min="296" max="310" width="10.83203125" hidden="1" customWidth="1"/>
    <col min="311" max="316" width="10.83203125" customWidth="1"/>
    <col min="317" max="331" width="10.83203125" hidden="1" customWidth="1"/>
    <col min="332" max="337" width="10.83203125" customWidth="1"/>
  </cols>
  <sheetData>
    <row r="1" spans="1:337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26</v>
      </c>
      <c r="L1" s="97" t="s">
        <v>105</v>
      </c>
      <c r="M1" s="97" t="s">
        <v>27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101" t="s">
        <v>40</v>
      </c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2" t="s">
        <v>41</v>
      </c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94" t="s">
        <v>114</v>
      </c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100" t="s">
        <v>29</v>
      </c>
      <c r="CF1" s="100"/>
      <c r="CG1" s="100"/>
      <c r="CH1" s="94" t="s">
        <v>107</v>
      </c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5" t="s">
        <v>106</v>
      </c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  <c r="DR1" s="95"/>
      <c r="DS1" s="95"/>
      <c r="DT1" s="95"/>
      <c r="DU1" s="95"/>
      <c r="DV1" s="95"/>
      <c r="DW1" s="95"/>
      <c r="DX1" s="94" t="s">
        <v>124</v>
      </c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5" t="s">
        <v>125</v>
      </c>
      <c r="ET1" s="95"/>
      <c r="EU1" s="95"/>
      <c r="EV1" s="95"/>
      <c r="EW1" s="95"/>
      <c r="EX1" s="95"/>
      <c r="EY1" s="95"/>
      <c r="EZ1" s="95"/>
      <c r="FA1" s="95"/>
      <c r="FB1" s="95"/>
      <c r="FC1" s="95"/>
      <c r="FD1" s="95"/>
      <c r="FE1" s="95"/>
      <c r="FF1" s="95"/>
      <c r="FG1" s="95"/>
      <c r="FH1" s="95"/>
      <c r="FI1" s="95"/>
      <c r="FJ1" s="95"/>
      <c r="FK1" s="95"/>
      <c r="FL1" s="95"/>
      <c r="FM1" s="95"/>
      <c r="FN1" s="94" t="s">
        <v>138</v>
      </c>
      <c r="FO1" s="94"/>
      <c r="FP1" s="94"/>
      <c r="FQ1" s="94"/>
      <c r="FR1" s="94"/>
      <c r="FS1" s="94"/>
      <c r="FT1" s="94"/>
      <c r="FU1" s="94"/>
      <c r="FV1" s="94"/>
      <c r="FW1" s="94"/>
      <c r="FX1" s="94"/>
      <c r="FY1" s="94"/>
      <c r="FZ1" s="94"/>
      <c r="GA1" s="94"/>
      <c r="GB1" s="94"/>
      <c r="GC1" s="94"/>
      <c r="GD1" s="94"/>
      <c r="GE1" s="94"/>
      <c r="GF1" s="94"/>
      <c r="GG1" s="94"/>
      <c r="GH1" s="94"/>
      <c r="GI1" s="95"/>
      <c r="GJ1" s="95"/>
      <c r="GK1" s="95"/>
      <c r="GL1" s="95"/>
      <c r="GM1" s="95"/>
      <c r="GN1" s="95"/>
      <c r="GO1" s="95"/>
      <c r="GP1" s="95"/>
      <c r="GQ1" s="95"/>
      <c r="GR1" s="95"/>
      <c r="GS1" s="95"/>
      <c r="GT1" s="95"/>
      <c r="GU1" s="95"/>
      <c r="GV1" s="95"/>
      <c r="GW1" s="95"/>
      <c r="GX1" s="95"/>
      <c r="GY1" s="95"/>
      <c r="GZ1" s="95"/>
      <c r="HA1" s="95"/>
      <c r="HB1" s="95"/>
      <c r="HC1" s="95"/>
      <c r="HD1" s="94"/>
      <c r="HE1" s="94"/>
      <c r="HF1" s="94"/>
      <c r="HG1" s="94"/>
      <c r="HH1" s="94"/>
      <c r="HI1" s="94"/>
      <c r="HJ1" s="94"/>
      <c r="HK1" s="94"/>
      <c r="HL1" s="94"/>
      <c r="HM1" s="94"/>
      <c r="HN1" s="94"/>
      <c r="HO1" s="94"/>
      <c r="HP1" s="94"/>
      <c r="HQ1" s="94"/>
      <c r="HR1" s="94"/>
      <c r="HS1" s="94"/>
      <c r="HT1" s="94"/>
      <c r="HU1" s="94"/>
      <c r="HV1" s="94"/>
      <c r="HW1" s="94"/>
      <c r="HX1" s="94"/>
      <c r="HY1" s="95"/>
      <c r="HZ1" s="95"/>
      <c r="IA1" s="95"/>
      <c r="IB1" s="95"/>
      <c r="IC1" s="95"/>
      <c r="ID1" s="95"/>
      <c r="IE1" s="95"/>
      <c r="IF1" s="95"/>
      <c r="IG1" s="95"/>
      <c r="IH1" s="95"/>
      <c r="II1" s="95"/>
      <c r="IJ1" s="95"/>
      <c r="IK1" s="95"/>
      <c r="IL1" s="95"/>
      <c r="IM1" s="95"/>
      <c r="IN1" s="95"/>
      <c r="IO1" s="95"/>
      <c r="IP1" s="95"/>
      <c r="IQ1" s="95"/>
      <c r="IR1" s="95"/>
      <c r="IS1" s="95"/>
      <c r="IT1" s="94"/>
      <c r="IU1" s="94"/>
      <c r="IV1" s="94"/>
      <c r="IW1" s="94"/>
      <c r="IX1" s="94"/>
      <c r="IY1" s="94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94"/>
      <c r="JK1" s="94"/>
      <c r="JL1" s="94"/>
      <c r="JM1" s="94"/>
      <c r="JN1" s="94"/>
      <c r="JO1" s="95"/>
      <c r="JP1" s="95"/>
      <c r="JQ1" s="95"/>
      <c r="JR1" s="95"/>
      <c r="JS1" s="95"/>
      <c r="JT1" s="95"/>
      <c r="JU1" s="95"/>
      <c r="JV1" s="95"/>
      <c r="JW1" s="95"/>
      <c r="JX1" s="95"/>
      <c r="JY1" s="95"/>
      <c r="JZ1" s="95"/>
      <c r="KA1" s="95"/>
      <c r="KB1" s="95"/>
      <c r="KC1" s="95"/>
      <c r="KD1" s="95"/>
      <c r="KE1" s="95"/>
      <c r="KF1" s="95"/>
      <c r="KG1" s="95"/>
      <c r="KH1" s="95"/>
      <c r="KI1" s="95"/>
      <c r="KJ1" s="94"/>
      <c r="KK1" s="94"/>
      <c r="KL1" s="94"/>
      <c r="KM1" s="94"/>
      <c r="KN1" s="94"/>
      <c r="KO1" s="94"/>
      <c r="KP1" s="94"/>
      <c r="KQ1" s="94"/>
      <c r="KR1" s="94"/>
      <c r="KS1" s="94"/>
      <c r="KT1" s="94"/>
      <c r="KU1" s="94"/>
      <c r="KV1" s="94"/>
      <c r="KW1" s="94"/>
      <c r="KX1" s="94"/>
      <c r="KY1" s="94"/>
      <c r="KZ1" s="94"/>
      <c r="LA1" s="94"/>
      <c r="LB1" s="94"/>
      <c r="LC1" s="94"/>
      <c r="LD1" s="94"/>
      <c r="LE1" s="95"/>
      <c r="LF1" s="95"/>
      <c r="LG1" s="95"/>
      <c r="LH1" s="95"/>
      <c r="LI1" s="95"/>
      <c r="LJ1" s="95"/>
      <c r="LK1" s="95"/>
      <c r="LL1" s="95"/>
      <c r="LM1" s="95"/>
      <c r="LN1" s="95"/>
      <c r="LO1" s="95"/>
      <c r="LP1" s="95"/>
      <c r="LQ1" s="95"/>
      <c r="LR1" s="95"/>
      <c r="LS1" s="95"/>
      <c r="LT1" s="95"/>
      <c r="LU1" s="95"/>
      <c r="LV1" s="95"/>
      <c r="LW1" s="95"/>
      <c r="LX1" s="95"/>
      <c r="LY1" s="95"/>
    </row>
    <row r="2" spans="1:337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34</v>
      </c>
      <c r="U2" s="88"/>
      <c r="V2" s="88"/>
      <c r="W2" s="88"/>
      <c r="X2" s="88"/>
      <c r="Y2" s="88" t="s">
        <v>35</v>
      </c>
      <c r="Z2" s="88"/>
      <c r="AA2" s="88"/>
      <c r="AB2" s="88"/>
      <c r="AC2" s="88"/>
      <c r="AD2" s="88" t="s">
        <v>38</v>
      </c>
      <c r="AE2" s="88"/>
      <c r="AF2" s="88"/>
      <c r="AG2" s="88"/>
      <c r="AH2" s="88"/>
      <c r="AI2" s="30" t="s">
        <v>45</v>
      </c>
      <c r="AJ2" s="11" t="s">
        <v>36</v>
      </c>
      <c r="AK2" s="11" t="s">
        <v>37</v>
      </c>
      <c r="AL2" s="11" t="s">
        <v>39</v>
      </c>
      <c r="AM2" s="11" t="s">
        <v>38</v>
      </c>
      <c r="AN2" s="11" t="s">
        <v>33</v>
      </c>
      <c r="AO2" s="87" t="s">
        <v>34</v>
      </c>
      <c r="AP2" s="87"/>
      <c r="AQ2" s="87"/>
      <c r="AR2" s="87"/>
      <c r="AS2" s="87"/>
      <c r="AT2" s="87" t="s">
        <v>35</v>
      </c>
      <c r="AU2" s="87"/>
      <c r="AV2" s="87"/>
      <c r="AW2" s="87"/>
      <c r="AX2" s="87"/>
      <c r="AY2" s="87" t="s">
        <v>38</v>
      </c>
      <c r="AZ2" s="87"/>
      <c r="BA2" s="87"/>
      <c r="BB2" s="87"/>
      <c r="BC2" s="87"/>
      <c r="BD2" s="29" t="s">
        <v>45</v>
      </c>
      <c r="BE2" s="15" t="s">
        <v>36</v>
      </c>
      <c r="BF2" s="15" t="s">
        <v>37</v>
      </c>
      <c r="BG2" s="15" t="s">
        <v>39</v>
      </c>
      <c r="BH2" s="15" t="s">
        <v>38</v>
      </c>
      <c r="BI2" s="15" t="s">
        <v>33</v>
      </c>
      <c r="BJ2" s="88" t="s">
        <v>34</v>
      </c>
      <c r="BK2" s="88"/>
      <c r="BL2" s="88"/>
      <c r="BM2" s="88"/>
      <c r="BN2" s="88"/>
      <c r="BO2" s="88" t="s">
        <v>35</v>
      </c>
      <c r="BP2" s="88"/>
      <c r="BQ2" s="88"/>
      <c r="BR2" s="88"/>
      <c r="BS2" s="88"/>
      <c r="BT2" s="88" t="s">
        <v>38</v>
      </c>
      <c r="BU2" s="88"/>
      <c r="BV2" s="88"/>
      <c r="BW2" s="88"/>
      <c r="BX2" s="88"/>
      <c r="BY2" s="30" t="s">
        <v>45</v>
      </c>
      <c r="BZ2" s="11" t="s">
        <v>36</v>
      </c>
      <c r="CA2" s="11" t="s">
        <v>37</v>
      </c>
      <c r="CB2" s="11" t="s">
        <v>39</v>
      </c>
      <c r="CC2" s="11" t="s">
        <v>38</v>
      </c>
      <c r="CD2" s="11" t="s">
        <v>33</v>
      </c>
      <c r="CE2" s="41" t="s">
        <v>36</v>
      </c>
      <c r="CF2" s="41" t="s">
        <v>37</v>
      </c>
      <c r="CG2" s="41" t="s">
        <v>38</v>
      </c>
      <c r="CH2" s="88" t="s">
        <v>34</v>
      </c>
      <c r="CI2" s="88"/>
      <c r="CJ2" s="88"/>
      <c r="CK2" s="88"/>
      <c r="CL2" s="88"/>
      <c r="CM2" s="88" t="s">
        <v>35</v>
      </c>
      <c r="CN2" s="88"/>
      <c r="CO2" s="88"/>
      <c r="CP2" s="88"/>
      <c r="CQ2" s="88"/>
      <c r="CR2" s="88" t="s">
        <v>38</v>
      </c>
      <c r="CS2" s="88"/>
      <c r="CT2" s="88"/>
      <c r="CU2" s="88"/>
      <c r="CV2" s="88"/>
      <c r="CW2" s="30" t="s">
        <v>45</v>
      </c>
      <c r="CX2" s="11" t="s">
        <v>36</v>
      </c>
      <c r="CY2" s="11" t="s">
        <v>37</v>
      </c>
      <c r="CZ2" s="11" t="s">
        <v>39</v>
      </c>
      <c r="DA2" s="11" t="s">
        <v>38</v>
      </c>
      <c r="DB2" s="11" t="s">
        <v>33</v>
      </c>
      <c r="DC2" s="87" t="s">
        <v>34</v>
      </c>
      <c r="DD2" s="87"/>
      <c r="DE2" s="87"/>
      <c r="DF2" s="87"/>
      <c r="DG2" s="87"/>
      <c r="DH2" s="87" t="s">
        <v>35</v>
      </c>
      <c r="DI2" s="87"/>
      <c r="DJ2" s="87"/>
      <c r="DK2" s="87"/>
      <c r="DL2" s="87"/>
      <c r="DM2" s="87" t="s">
        <v>38</v>
      </c>
      <c r="DN2" s="87"/>
      <c r="DO2" s="87"/>
      <c r="DP2" s="87"/>
      <c r="DQ2" s="87"/>
      <c r="DR2" s="29" t="s">
        <v>45</v>
      </c>
      <c r="DS2" s="15" t="s">
        <v>36</v>
      </c>
      <c r="DT2" s="15" t="s">
        <v>37</v>
      </c>
      <c r="DU2" s="15" t="s">
        <v>39</v>
      </c>
      <c r="DV2" s="15" t="s">
        <v>38</v>
      </c>
      <c r="DW2" s="15" t="s">
        <v>33</v>
      </c>
      <c r="DX2" s="88" t="s">
        <v>34</v>
      </c>
      <c r="DY2" s="88"/>
      <c r="DZ2" s="88"/>
      <c r="EA2" s="88"/>
      <c r="EB2" s="88"/>
      <c r="EC2" s="88" t="s">
        <v>35</v>
      </c>
      <c r="ED2" s="88"/>
      <c r="EE2" s="88"/>
      <c r="EF2" s="88"/>
      <c r="EG2" s="88"/>
      <c r="EH2" s="88" t="s">
        <v>38</v>
      </c>
      <c r="EI2" s="88"/>
      <c r="EJ2" s="88"/>
      <c r="EK2" s="88"/>
      <c r="EL2" s="88"/>
      <c r="EM2" s="38" t="s">
        <v>45</v>
      </c>
      <c r="EN2" s="11" t="s">
        <v>36</v>
      </c>
      <c r="EO2" s="11" t="s">
        <v>37</v>
      </c>
      <c r="EP2" s="11" t="s">
        <v>39</v>
      </c>
      <c r="EQ2" s="11" t="s">
        <v>38</v>
      </c>
      <c r="ER2" s="11" t="s">
        <v>33</v>
      </c>
      <c r="ES2" s="87" t="s">
        <v>34</v>
      </c>
      <c r="ET2" s="87"/>
      <c r="EU2" s="87"/>
      <c r="EV2" s="87"/>
      <c r="EW2" s="87"/>
      <c r="EX2" s="87" t="s">
        <v>35</v>
      </c>
      <c r="EY2" s="87"/>
      <c r="EZ2" s="87"/>
      <c r="FA2" s="87"/>
      <c r="FB2" s="87"/>
      <c r="FC2" s="87" t="s">
        <v>38</v>
      </c>
      <c r="FD2" s="87"/>
      <c r="FE2" s="87"/>
      <c r="FF2" s="87"/>
      <c r="FG2" s="87"/>
      <c r="FH2" s="37" t="s">
        <v>45</v>
      </c>
      <c r="FI2" s="15" t="s">
        <v>36</v>
      </c>
      <c r="FJ2" s="15" t="s">
        <v>37</v>
      </c>
      <c r="FK2" s="15" t="s">
        <v>39</v>
      </c>
      <c r="FL2" s="15" t="s">
        <v>38</v>
      </c>
      <c r="FM2" s="15" t="s">
        <v>33</v>
      </c>
      <c r="FN2" s="88" t="s">
        <v>34</v>
      </c>
      <c r="FO2" s="88"/>
      <c r="FP2" s="88"/>
      <c r="FQ2" s="88"/>
      <c r="FR2" s="88"/>
      <c r="FS2" s="88" t="s">
        <v>35</v>
      </c>
      <c r="FT2" s="88"/>
      <c r="FU2" s="88"/>
      <c r="FV2" s="88"/>
      <c r="FW2" s="88"/>
      <c r="FX2" s="88" t="s">
        <v>38</v>
      </c>
      <c r="FY2" s="88"/>
      <c r="FZ2" s="88"/>
      <c r="GA2" s="88"/>
      <c r="GB2" s="88"/>
      <c r="GC2" s="38" t="s">
        <v>45</v>
      </c>
      <c r="GD2" s="11" t="s">
        <v>36</v>
      </c>
      <c r="GE2" s="11" t="s">
        <v>37</v>
      </c>
      <c r="GF2" s="11" t="s">
        <v>39</v>
      </c>
      <c r="GG2" s="11" t="s">
        <v>38</v>
      </c>
      <c r="GH2" s="11" t="s">
        <v>33</v>
      </c>
      <c r="GI2" s="87" t="s">
        <v>34</v>
      </c>
      <c r="GJ2" s="87"/>
      <c r="GK2" s="87"/>
      <c r="GL2" s="87"/>
      <c r="GM2" s="87"/>
      <c r="GN2" s="87" t="s">
        <v>35</v>
      </c>
      <c r="GO2" s="87"/>
      <c r="GP2" s="87"/>
      <c r="GQ2" s="87"/>
      <c r="GR2" s="87"/>
      <c r="GS2" s="87" t="s">
        <v>38</v>
      </c>
      <c r="GT2" s="87"/>
      <c r="GU2" s="87"/>
      <c r="GV2" s="87"/>
      <c r="GW2" s="87"/>
      <c r="GX2" s="37" t="s">
        <v>45</v>
      </c>
      <c r="GY2" s="15" t="s">
        <v>36</v>
      </c>
      <c r="GZ2" s="15" t="s">
        <v>37</v>
      </c>
      <c r="HA2" s="15" t="s">
        <v>39</v>
      </c>
      <c r="HB2" s="15" t="s">
        <v>38</v>
      </c>
      <c r="HC2" s="15" t="s">
        <v>33</v>
      </c>
      <c r="HD2" s="88" t="s">
        <v>34</v>
      </c>
      <c r="HE2" s="88"/>
      <c r="HF2" s="88"/>
      <c r="HG2" s="88"/>
      <c r="HH2" s="88"/>
      <c r="HI2" s="88" t="s">
        <v>35</v>
      </c>
      <c r="HJ2" s="88"/>
      <c r="HK2" s="88"/>
      <c r="HL2" s="88"/>
      <c r="HM2" s="88"/>
      <c r="HN2" s="88" t="s">
        <v>38</v>
      </c>
      <c r="HO2" s="88"/>
      <c r="HP2" s="88"/>
      <c r="HQ2" s="88"/>
      <c r="HR2" s="88"/>
      <c r="HS2" s="38" t="s">
        <v>45</v>
      </c>
      <c r="HT2" s="11" t="s">
        <v>36</v>
      </c>
      <c r="HU2" s="11" t="s">
        <v>37</v>
      </c>
      <c r="HV2" s="11" t="s">
        <v>39</v>
      </c>
      <c r="HW2" s="11" t="s">
        <v>38</v>
      </c>
      <c r="HX2" s="11" t="s">
        <v>33</v>
      </c>
      <c r="HY2" s="87" t="s">
        <v>34</v>
      </c>
      <c r="HZ2" s="87"/>
      <c r="IA2" s="87"/>
      <c r="IB2" s="87"/>
      <c r="IC2" s="87"/>
      <c r="ID2" s="87" t="s">
        <v>35</v>
      </c>
      <c r="IE2" s="87"/>
      <c r="IF2" s="87"/>
      <c r="IG2" s="87"/>
      <c r="IH2" s="87"/>
      <c r="II2" s="87" t="s">
        <v>38</v>
      </c>
      <c r="IJ2" s="87"/>
      <c r="IK2" s="87"/>
      <c r="IL2" s="87"/>
      <c r="IM2" s="87"/>
      <c r="IN2" s="37" t="s">
        <v>45</v>
      </c>
      <c r="IO2" s="15" t="s">
        <v>36</v>
      </c>
      <c r="IP2" s="15" t="s">
        <v>37</v>
      </c>
      <c r="IQ2" s="15" t="s">
        <v>39</v>
      </c>
      <c r="IR2" s="15" t="s">
        <v>38</v>
      </c>
      <c r="IS2" s="15" t="s">
        <v>33</v>
      </c>
      <c r="IT2" s="88" t="s">
        <v>34</v>
      </c>
      <c r="IU2" s="88"/>
      <c r="IV2" s="88"/>
      <c r="IW2" s="88"/>
      <c r="IX2" s="88"/>
      <c r="IY2" s="88" t="s">
        <v>35</v>
      </c>
      <c r="IZ2" s="88"/>
      <c r="JA2" s="88"/>
      <c r="JB2" s="88"/>
      <c r="JC2" s="88"/>
      <c r="JD2" s="88" t="s">
        <v>38</v>
      </c>
      <c r="JE2" s="88"/>
      <c r="JF2" s="88"/>
      <c r="JG2" s="88"/>
      <c r="JH2" s="88"/>
      <c r="JI2" s="38" t="s">
        <v>45</v>
      </c>
      <c r="JJ2" s="11" t="s">
        <v>36</v>
      </c>
      <c r="JK2" s="11" t="s">
        <v>37</v>
      </c>
      <c r="JL2" s="11" t="s">
        <v>39</v>
      </c>
      <c r="JM2" s="11" t="s">
        <v>38</v>
      </c>
      <c r="JN2" s="11" t="s">
        <v>33</v>
      </c>
      <c r="JO2" s="87" t="s">
        <v>34</v>
      </c>
      <c r="JP2" s="87"/>
      <c r="JQ2" s="87"/>
      <c r="JR2" s="87"/>
      <c r="JS2" s="87"/>
      <c r="JT2" s="87" t="s">
        <v>35</v>
      </c>
      <c r="JU2" s="87"/>
      <c r="JV2" s="87"/>
      <c r="JW2" s="87"/>
      <c r="JX2" s="87"/>
      <c r="JY2" s="87" t="s">
        <v>38</v>
      </c>
      <c r="JZ2" s="87"/>
      <c r="KA2" s="87"/>
      <c r="KB2" s="87"/>
      <c r="KC2" s="87"/>
      <c r="KD2" s="37" t="s">
        <v>45</v>
      </c>
      <c r="KE2" s="15" t="s">
        <v>36</v>
      </c>
      <c r="KF2" s="15" t="s">
        <v>37</v>
      </c>
      <c r="KG2" s="15" t="s">
        <v>39</v>
      </c>
      <c r="KH2" s="15" t="s">
        <v>38</v>
      </c>
      <c r="KI2" s="15" t="s">
        <v>33</v>
      </c>
      <c r="KJ2" s="88" t="s">
        <v>34</v>
      </c>
      <c r="KK2" s="88"/>
      <c r="KL2" s="88"/>
      <c r="KM2" s="88"/>
      <c r="KN2" s="88"/>
      <c r="KO2" s="88" t="s">
        <v>35</v>
      </c>
      <c r="KP2" s="88"/>
      <c r="KQ2" s="88"/>
      <c r="KR2" s="88"/>
      <c r="KS2" s="88"/>
      <c r="KT2" s="88" t="s">
        <v>38</v>
      </c>
      <c r="KU2" s="88"/>
      <c r="KV2" s="88"/>
      <c r="KW2" s="88"/>
      <c r="KX2" s="88"/>
      <c r="KY2" s="38" t="s">
        <v>45</v>
      </c>
      <c r="KZ2" s="11" t="s">
        <v>36</v>
      </c>
      <c r="LA2" s="11" t="s">
        <v>37</v>
      </c>
      <c r="LB2" s="11" t="s">
        <v>39</v>
      </c>
      <c r="LC2" s="11" t="s">
        <v>38</v>
      </c>
      <c r="LD2" s="11" t="s">
        <v>33</v>
      </c>
      <c r="LE2" s="87" t="s">
        <v>34</v>
      </c>
      <c r="LF2" s="87"/>
      <c r="LG2" s="87"/>
      <c r="LH2" s="87"/>
      <c r="LI2" s="87"/>
      <c r="LJ2" s="87" t="s">
        <v>35</v>
      </c>
      <c r="LK2" s="87"/>
      <c r="LL2" s="87"/>
      <c r="LM2" s="87"/>
      <c r="LN2" s="87"/>
      <c r="LO2" s="87" t="s">
        <v>38</v>
      </c>
      <c r="LP2" s="87"/>
      <c r="LQ2" s="87"/>
      <c r="LR2" s="87"/>
      <c r="LS2" s="87"/>
      <c r="LT2" s="37" t="s">
        <v>45</v>
      </c>
      <c r="LU2" s="15" t="s">
        <v>36</v>
      </c>
      <c r="LV2" s="15" t="s">
        <v>37</v>
      </c>
      <c r="LW2" s="15" t="s">
        <v>39</v>
      </c>
      <c r="LX2" s="15" t="s">
        <v>38</v>
      </c>
      <c r="LY2" s="15" t="s">
        <v>33</v>
      </c>
    </row>
    <row r="3" spans="1:337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48" t="s">
        <v>30</v>
      </c>
      <c r="U3" s="48" t="s">
        <v>31</v>
      </c>
      <c r="V3" s="48" t="s">
        <v>22</v>
      </c>
      <c r="W3" s="48" t="s">
        <v>102</v>
      </c>
      <c r="X3" s="77" t="s">
        <v>64</v>
      </c>
      <c r="Y3" s="48" t="s">
        <v>30</v>
      </c>
      <c r="Z3" s="48" t="s">
        <v>31</v>
      </c>
      <c r="AA3" s="48" t="s">
        <v>22</v>
      </c>
      <c r="AB3" s="48" t="s">
        <v>102</v>
      </c>
      <c r="AC3" s="77" t="s">
        <v>64</v>
      </c>
      <c r="AD3" s="48" t="s">
        <v>30</v>
      </c>
      <c r="AE3" s="48" t="s">
        <v>31</v>
      </c>
      <c r="AF3" s="48" t="s">
        <v>22</v>
      </c>
      <c r="AG3" s="48" t="s">
        <v>102</v>
      </c>
      <c r="AH3" s="77" t="s">
        <v>64</v>
      </c>
      <c r="AI3" s="12"/>
      <c r="AJ3" s="11"/>
      <c r="AK3" s="11"/>
      <c r="AL3" s="11"/>
      <c r="AM3" s="12"/>
      <c r="AN3" s="12"/>
      <c r="AO3" s="47" t="s">
        <v>30</v>
      </c>
      <c r="AP3" s="47" t="s">
        <v>31</v>
      </c>
      <c r="AQ3" s="47" t="s">
        <v>22</v>
      </c>
      <c r="AR3" s="47" t="s">
        <v>102</v>
      </c>
      <c r="AS3" s="78" t="s">
        <v>64</v>
      </c>
      <c r="AT3" s="47" t="s">
        <v>30</v>
      </c>
      <c r="AU3" s="47" t="s">
        <v>31</v>
      </c>
      <c r="AV3" s="47" t="s">
        <v>22</v>
      </c>
      <c r="AW3" s="47" t="s">
        <v>102</v>
      </c>
      <c r="AX3" s="78" t="s">
        <v>64</v>
      </c>
      <c r="AY3" s="47" t="s">
        <v>30</v>
      </c>
      <c r="AZ3" s="47" t="s">
        <v>31</v>
      </c>
      <c r="BA3" s="47" t="s">
        <v>22</v>
      </c>
      <c r="BB3" s="47" t="s">
        <v>102</v>
      </c>
      <c r="BC3" s="78" t="s">
        <v>64</v>
      </c>
      <c r="BD3" s="16"/>
      <c r="BE3" s="15"/>
      <c r="BF3" s="15"/>
      <c r="BG3" s="15"/>
      <c r="BH3" s="16"/>
      <c r="BI3" s="16"/>
      <c r="BJ3" s="48" t="s">
        <v>30</v>
      </c>
      <c r="BK3" s="48" t="s">
        <v>31</v>
      </c>
      <c r="BL3" s="48" t="s">
        <v>22</v>
      </c>
      <c r="BM3" s="48" t="s">
        <v>102</v>
      </c>
      <c r="BN3" s="77" t="s">
        <v>64</v>
      </c>
      <c r="BO3" s="48" t="s">
        <v>30</v>
      </c>
      <c r="BP3" s="48" t="s">
        <v>31</v>
      </c>
      <c r="BQ3" s="48" t="s">
        <v>22</v>
      </c>
      <c r="BR3" s="48" t="s">
        <v>102</v>
      </c>
      <c r="BS3" s="77" t="s">
        <v>64</v>
      </c>
      <c r="BT3" s="48" t="s">
        <v>30</v>
      </c>
      <c r="BU3" s="48" t="s">
        <v>31</v>
      </c>
      <c r="BV3" s="48" t="s">
        <v>22</v>
      </c>
      <c r="BW3" s="48" t="s">
        <v>102</v>
      </c>
      <c r="BX3" s="77" t="s">
        <v>64</v>
      </c>
      <c r="BY3" s="12"/>
      <c r="BZ3" s="11"/>
      <c r="CA3" s="11"/>
      <c r="CB3" s="11"/>
      <c r="CC3" s="12"/>
      <c r="CD3" s="12"/>
      <c r="CE3" s="42"/>
      <c r="CF3" s="42"/>
      <c r="CG3" s="42"/>
      <c r="CH3" s="48" t="s">
        <v>30</v>
      </c>
      <c r="CI3" s="48" t="s">
        <v>31</v>
      </c>
      <c r="CJ3" s="48" t="s">
        <v>22</v>
      </c>
      <c r="CK3" s="51" t="s">
        <v>102</v>
      </c>
      <c r="CL3" s="79" t="s">
        <v>64</v>
      </c>
      <c r="CM3" s="48" t="s">
        <v>30</v>
      </c>
      <c r="CN3" s="48" t="s">
        <v>31</v>
      </c>
      <c r="CO3" s="48" t="s">
        <v>22</v>
      </c>
      <c r="CP3" s="51" t="s">
        <v>102</v>
      </c>
      <c r="CQ3" s="79" t="s">
        <v>64</v>
      </c>
      <c r="CR3" s="48" t="s">
        <v>30</v>
      </c>
      <c r="CS3" s="48" t="s">
        <v>31</v>
      </c>
      <c r="CT3" s="48" t="s">
        <v>22</v>
      </c>
      <c r="CU3" s="51" t="s">
        <v>102</v>
      </c>
      <c r="CV3" s="79" t="s">
        <v>64</v>
      </c>
      <c r="CW3" s="12"/>
      <c r="CX3" s="11"/>
      <c r="CY3" s="11"/>
      <c r="CZ3" s="11"/>
      <c r="DA3" s="12"/>
      <c r="DB3" s="12"/>
      <c r="DC3" s="47" t="s">
        <v>30</v>
      </c>
      <c r="DD3" s="47" t="s">
        <v>31</v>
      </c>
      <c r="DE3" s="47" t="s">
        <v>22</v>
      </c>
      <c r="DF3" s="47" t="s">
        <v>102</v>
      </c>
      <c r="DG3" s="78" t="s">
        <v>64</v>
      </c>
      <c r="DH3" s="47" t="s">
        <v>30</v>
      </c>
      <c r="DI3" s="47" t="s">
        <v>31</v>
      </c>
      <c r="DJ3" s="47" t="s">
        <v>22</v>
      </c>
      <c r="DK3" s="47" t="s">
        <v>102</v>
      </c>
      <c r="DL3" s="78" t="s">
        <v>64</v>
      </c>
      <c r="DM3" s="47" t="s">
        <v>30</v>
      </c>
      <c r="DN3" s="47" t="s">
        <v>31</v>
      </c>
      <c r="DO3" s="47" t="s">
        <v>22</v>
      </c>
      <c r="DP3" s="47" t="s">
        <v>102</v>
      </c>
      <c r="DQ3" s="78" t="s">
        <v>64</v>
      </c>
      <c r="DR3" s="16"/>
      <c r="DS3" s="15"/>
      <c r="DT3" s="15"/>
      <c r="DU3" s="15"/>
      <c r="DV3" s="16"/>
      <c r="DW3" s="16"/>
      <c r="DX3" s="48" t="s">
        <v>30</v>
      </c>
      <c r="DY3" s="48" t="s">
        <v>31</v>
      </c>
      <c r="DZ3" s="48" t="s">
        <v>22</v>
      </c>
      <c r="EA3" s="51" t="s">
        <v>102</v>
      </c>
      <c r="EB3" s="79" t="s">
        <v>64</v>
      </c>
      <c r="EC3" s="48" t="s">
        <v>30</v>
      </c>
      <c r="ED3" s="48" t="s">
        <v>31</v>
      </c>
      <c r="EE3" s="48" t="s">
        <v>22</v>
      </c>
      <c r="EF3" s="51" t="s">
        <v>102</v>
      </c>
      <c r="EG3" s="79" t="s">
        <v>64</v>
      </c>
      <c r="EH3" s="48" t="s">
        <v>30</v>
      </c>
      <c r="EI3" s="48" t="s">
        <v>31</v>
      </c>
      <c r="EJ3" s="48" t="s">
        <v>22</v>
      </c>
      <c r="EK3" s="51" t="s">
        <v>102</v>
      </c>
      <c r="EL3" s="79" t="s">
        <v>64</v>
      </c>
      <c r="EM3" s="12"/>
      <c r="EN3" s="11"/>
      <c r="EO3" s="11"/>
      <c r="EP3" s="11"/>
      <c r="EQ3" s="12"/>
      <c r="ER3" s="12"/>
      <c r="ES3" s="47" t="s">
        <v>30</v>
      </c>
      <c r="ET3" s="47" t="s">
        <v>31</v>
      </c>
      <c r="EU3" s="47" t="s">
        <v>22</v>
      </c>
      <c r="EV3" s="47" t="s">
        <v>102</v>
      </c>
      <c r="EW3" s="78" t="s">
        <v>64</v>
      </c>
      <c r="EX3" s="47" t="s">
        <v>30</v>
      </c>
      <c r="EY3" s="47" t="s">
        <v>31</v>
      </c>
      <c r="EZ3" s="47" t="s">
        <v>22</v>
      </c>
      <c r="FA3" s="47" t="s">
        <v>102</v>
      </c>
      <c r="FB3" s="78" t="s">
        <v>64</v>
      </c>
      <c r="FC3" s="47" t="s">
        <v>30</v>
      </c>
      <c r="FD3" s="47" t="s">
        <v>31</v>
      </c>
      <c r="FE3" s="47" t="s">
        <v>22</v>
      </c>
      <c r="FF3" s="47" t="s">
        <v>102</v>
      </c>
      <c r="FG3" s="78" t="s">
        <v>64</v>
      </c>
      <c r="FH3" s="16"/>
      <c r="FI3" s="15"/>
      <c r="FJ3" s="15"/>
      <c r="FK3" s="15"/>
      <c r="FL3" s="16"/>
      <c r="FM3" s="16"/>
      <c r="FN3" s="48" t="s">
        <v>30</v>
      </c>
      <c r="FO3" s="48" t="s">
        <v>31</v>
      </c>
      <c r="FP3" s="48" t="s">
        <v>22</v>
      </c>
      <c r="FQ3" s="51" t="s">
        <v>102</v>
      </c>
      <c r="FR3" s="79" t="s">
        <v>64</v>
      </c>
      <c r="FS3" s="48" t="s">
        <v>30</v>
      </c>
      <c r="FT3" s="48" t="s">
        <v>31</v>
      </c>
      <c r="FU3" s="48" t="s">
        <v>22</v>
      </c>
      <c r="FV3" s="51" t="s">
        <v>102</v>
      </c>
      <c r="FW3" s="79" t="s">
        <v>64</v>
      </c>
      <c r="FX3" s="48" t="s">
        <v>30</v>
      </c>
      <c r="FY3" s="48" t="s">
        <v>31</v>
      </c>
      <c r="FZ3" s="48" t="s">
        <v>22</v>
      </c>
      <c r="GA3" s="51" t="s">
        <v>102</v>
      </c>
      <c r="GB3" s="79" t="s">
        <v>64</v>
      </c>
      <c r="GC3" s="12"/>
      <c r="GD3" s="11"/>
      <c r="GE3" s="11"/>
      <c r="GF3" s="11"/>
      <c r="GG3" s="12"/>
      <c r="GH3" s="12"/>
      <c r="GI3" s="47" t="s">
        <v>30</v>
      </c>
      <c r="GJ3" s="47" t="s">
        <v>31</v>
      </c>
      <c r="GK3" s="47" t="s">
        <v>22</v>
      </c>
      <c r="GL3" s="47" t="s">
        <v>102</v>
      </c>
      <c r="GM3" s="78" t="s">
        <v>64</v>
      </c>
      <c r="GN3" s="47" t="s">
        <v>30</v>
      </c>
      <c r="GO3" s="47" t="s">
        <v>31</v>
      </c>
      <c r="GP3" s="47" t="s">
        <v>22</v>
      </c>
      <c r="GQ3" s="47" t="s">
        <v>102</v>
      </c>
      <c r="GR3" s="78" t="s">
        <v>64</v>
      </c>
      <c r="GS3" s="47" t="s">
        <v>30</v>
      </c>
      <c r="GT3" s="47" t="s">
        <v>31</v>
      </c>
      <c r="GU3" s="47" t="s">
        <v>22</v>
      </c>
      <c r="GV3" s="47" t="s">
        <v>102</v>
      </c>
      <c r="GW3" s="78" t="s">
        <v>64</v>
      </c>
      <c r="GX3" s="16"/>
      <c r="GY3" s="15"/>
      <c r="GZ3" s="15"/>
      <c r="HA3" s="15"/>
      <c r="HB3" s="16"/>
      <c r="HC3" s="16"/>
      <c r="HD3" s="48" t="s">
        <v>30</v>
      </c>
      <c r="HE3" s="48" t="s">
        <v>31</v>
      </c>
      <c r="HF3" s="48" t="s">
        <v>22</v>
      </c>
      <c r="HG3" s="51" t="s">
        <v>102</v>
      </c>
      <c r="HH3" s="79" t="s">
        <v>64</v>
      </c>
      <c r="HI3" s="48" t="s">
        <v>30</v>
      </c>
      <c r="HJ3" s="48" t="s">
        <v>31</v>
      </c>
      <c r="HK3" s="48" t="s">
        <v>22</v>
      </c>
      <c r="HL3" s="51" t="s">
        <v>102</v>
      </c>
      <c r="HM3" s="79" t="s">
        <v>64</v>
      </c>
      <c r="HN3" s="48" t="s">
        <v>30</v>
      </c>
      <c r="HO3" s="48" t="s">
        <v>31</v>
      </c>
      <c r="HP3" s="48" t="s">
        <v>22</v>
      </c>
      <c r="HQ3" s="51" t="s">
        <v>102</v>
      </c>
      <c r="HR3" s="79" t="s">
        <v>64</v>
      </c>
      <c r="HS3" s="12"/>
      <c r="HT3" s="11"/>
      <c r="HU3" s="11"/>
      <c r="HV3" s="11"/>
      <c r="HW3" s="12"/>
      <c r="HX3" s="12"/>
      <c r="HY3" s="47" t="s">
        <v>30</v>
      </c>
      <c r="HZ3" s="47" t="s">
        <v>31</v>
      </c>
      <c r="IA3" s="47" t="s">
        <v>22</v>
      </c>
      <c r="IB3" s="47" t="s">
        <v>102</v>
      </c>
      <c r="IC3" s="78" t="s">
        <v>64</v>
      </c>
      <c r="ID3" s="47" t="s">
        <v>30</v>
      </c>
      <c r="IE3" s="47" t="s">
        <v>31</v>
      </c>
      <c r="IF3" s="47" t="s">
        <v>22</v>
      </c>
      <c r="IG3" s="47" t="s">
        <v>102</v>
      </c>
      <c r="IH3" s="78" t="s">
        <v>64</v>
      </c>
      <c r="II3" s="47" t="s">
        <v>30</v>
      </c>
      <c r="IJ3" s="47" t="s">
        <v>31</v>
      </c>
      <c r="IK3" s="47" t="s">
        <v>22</v>
      </c>
      <c r="IL3" s="47" t="s">
        <v>102</v>
      </c>
      <c r="IM3" s="78" t="s">
        <v>64</v>
      </c>
      <c r="IN3" s="16"/>
      <c r="IO3" s="15"/>
      <c r="IP3" s="15"/>
      <c r="IQ3" s="15"/>
      <c r="IR3" s="16"/>
      <c r="IS3" s="16"/>
      <c r="IT3" s="48" t="s">
        <v>30</v>
      </c>
      <c r="IU3" s="48" t="s">
        <v>31</v>
      </c>
      <c r="IV3" s="48" t="s">
        <v>22</v>
      </c>
      <c r="IW3" s="51" t="s">
        <v>102</v>
      </c>
      <c r="IX3" s="79" t="s">
        <v>64</v>
      </c>
      <c r="IY3" s="48" t="s">
        <v>30</v>
      </c>
      <c r="IZ3" s="48" t="s">
        <v>31</v>
      </c>
      <c r="JA3" s="48" t="s">
        <v>22</v>
      </c>
      <c r="JB3" s="51" t="s">
        <v>102</v>
      </c>
      <c r="JC3" s="79" t="s">
        <v>64</v>
      </c>
      <c r="JD3" s="48" t="s">
        <v>30</v>
      </c>
      <c r="JE3" s="48" t="s">
        <v>31</v>
      </c>
      <c r="JF3" s="48" t="s">
        <v>22</v>
      </c>
      <c r="JG3" s="51" t="s">
        <v>102</v>
      </c>
      <c r="JH3" s="79" t="s">
        <v>64</v>
      </c>
      <c r="JI3" s="12"/>
      <c r="JJ3" s="11"/>
      <c r="JK3" s="11"/>
      <c r="JL3" s="11"/>
      <c r="JM3" s="12"/>
      <c r="JN3" s="12"/>
      <c r="JO3" s="47" t="s">
        <v>30</v>
      </c>
      <c r="JP3" s="47" t="s">
        <v>31</v>
      </c>
      <c r="JQ3" s="47" t="s">
        <v>22</v>
      </c>
      <c r="JR3" s="47" t="s">
        <v>102</v>
      </c>
      <c r="JS3" s="78" t="s">
        <v>64</v>
      </c>
      <c r="JT3" s="47" t="s">
        <v>30</v>
      </c>
      <c r="JU3" s="47" t="s">
        <v>31</v>
      </c>
      <c r="JV3" s="47" t="s">
        <v>22</v>
      </c>
      <c r="JW3" s="47" t="s">
        <v>102</v>
      </c>
      <c r="JX3" s="78" t="s">
        <v>64</v>
      </c>
      <c r="JY3" s="47" t="s">
        <v>30</v>
      </c>
      <c r="JZ3" s="47" t="s">
        <v>31</v>
      </c>
      <c r="KA3" s="47" t="s">
        <v>22</v>
      </c>
      <c r="KB3" s="47" t="s">
        <v>102</v>
      </c>
      <c r="KC3" s="78" t="s">
        <v>64</v>
      </c>
      <c r="KD3" s="16"/>
      <c r="KE3" s="15"/>
      <c r="KF3" s="15"/>
      <c r="KG3" s="15"/>
      <c r="KH3" s="16"/>
      <c r="KI3" s="16"/>
      <c r="KJ3" s="48" t="s">
        <v>30</v>
      </c>
      <c r="KK3" s="48" t="s">
        <v>31</v>
      </c>
      <c r="KL3" s="48" t="s">
        <v>22</v>
      </c>
      <c r="KM3" s="51" t="s">
        <v>102</v>
      </c>
      <c r="KN3" s="79" t="s">
        <v>64</v>
      </c>
      <c r="KO3" s="48" t="s">
        <v>30</v>
      </c>
      <c r="KP3" s="48" t="s">
        <v>31</v>
      </c>
      <c r="KQ3" s="48" t="s">
        <v>22</v>
      </c>
      <c r="KR3" s="51" t="s">
        <v>102</v>
      </c>
      <c r="KS3" s="79" t="s">
        <v>64</v>
      </c>
      <c r="KT3" s="48" t="s">
        <v>30</v>
      </c>
      <c r="KU3" s="48" t="s">
        <v>31</v>
      </c>
      <c r="KV3" s="48" t="s">
        <v>22</v>
      </c>
      <c r="KW3" s="51" t="s">
        <v>102</v>
      </c>
      <c r="KX3" s="79" t="s">
        <v>64</v>
      </c>
      <c r="KY3" s="12"/>
      <c r="KZ3" s="11"/>
      <c r="LA3" s="11"/>
      <c r="LB3" s="11"/>
      <c r="LC3" s="12"/>
      <c r="LD3" s="12"/>
      <c r="LE3" s="47" t="s">
        <v>30</v>
      </c>
      <c r="LF3" s="47" t="s">
        <v>31</v>
      </c>
      <c r="LG3" s="47" t="s">
        <v>22</v>
      </c>
      <c r="LH3" s="47" t="s">
        <v>102</v>
      </c>
      <c r="LI3" s="78" t="s">
        <v>64</v>
      </c>
      <c r="LJ3" s="47" t="s">
        <v>30</v>
      </c>
      <c r="LK3" s="47" t="s">
        <v>31</v>
      </c>
      <c r="LL3" s="47" t="s">
        <v>22</v>
      </c>
      <c r="LM3" s="47" t="s">
        <v>102</v>
      </c>
      <c r="LN3" s="78" t="s">
        <v>64</v>
      </c>
      <c r="LO3" s="47" t="s">
        <v>30</v>
      </c>
      <c r="LP3" s="47" t="s">
        <v>31</v>
      </c>
      <c r="LQ3" s="47" t="s">
        <v>22</v>
      </c>
      <c r="LR3" s="47" t="s">
        <v>102</v>
      </c>
      <c r="LS3" s="78" t="s">
        <v>64</v>
      </c>
      <c r="LT3" s="16"/>
      <c r="LU3" s="15"/>
      <c r="LV3" s="15"/>
      <c r="LW3" s="15"/>
      <c r="LX3" s="16"/>
      <c r="LY3" s="16"/>
    </row>
    <row r="4" spans="1:337" x14ac:dyDescent="0.2">
      <c r="A4" s="6">
        <f ca="1">IF(AND(F4="P",G4="P"),SUMPRODUCT((F$4:F$6="P")*(G$4:G$6="P")*(E$4:E$6&gt;E4))+1,IF(G4="P",SUMPRODUCT((F$4:F$6="")*(G$4:G$6="P")*(E$4:E$6&gt;E4))+1+SUMPRODUCT((F$4:F$6="P")*(G$4:G$6="P")),""))</f>
        <v>1</v>
      </c>
      <c r="B4" s="9" t="s">
        <v>103</v>
      </c>
      <c r="C4" s="5" t="s">
        <v>13</v>
      </c>
      <c r="D4" s="46">
        <v>2014</v>
      </c>
      <c r="E4" s="18">
        <f>SUM(I4:Q4)</f>
        <v>220.10000000000002</v>
      </c>
      <c r="F4" s="4" t="str">
        <f>IF(OR(AND(AI4&gt;=C$10,NOT(AI4="")),AND(BD4&gt;=C$10,NOT(BD4="")),AND(BY4&gt;=C$10,NOT(BY4=""))),"P","")</f>
        <v>P</v>
      </c>
      <c r="G4" s="4" t="str">
        <f ca="1">IF(OR(I4&gt;=C$12,AND(I4&gt;$C$11,YEAR(TODAY())-$D4&lt;2)),"P","")</f>
        <v>P</v>
      </c>
      <c r="H4" t="str">
        <f ca="1">IF(F4="P",IF(I4&gt;=C$14,"Merit",IF(I4&gt;=C$13,"Funding",IF(I4&gt;=C$12,"Team",IF(AND(I4&gt;C$11,YEAR(TODAY())-$D4&lt;2),"First 2 Years","")))),IF(AND(I4&gt;C$11,YEAR(TODAY())-$D4&lt;2),"First 2 Years",""))</f>
        <v>Team</v>
      </c>
      <c r="I4" s="17">
        <f>MAX(AL4,BG4,CB4)</f>
        <v>85.449999999999989</v>
      </c>
      <c r="J4" s="17" t="str">
        <f>IF(I4=CB4,$BJ$1,IF(I4=BG4,$AO$1,IF(I4=AL4,$T$1,"")))</f>
        <v>2017 3rd Domestic Trial</v>
      </c>
      <c r="K4" s="17">
        <f>IF($I4=$AL4,MAX(BE4,BZ4),IF($I4=$BG4,MAX(AJ4,BZ4),MAX(AJ4,BE4)))</f>
        <v>40.549999999999997</v>
      </c>
      <c r="L4" s="17" t="str">
        <f>IF(K4=BZ4,$BJ$1,IF(K4=BE4,$AO$1,IF(K4=AJ4,$T$1,"")))</f>
        <v>2017 Nationals</v>
      </c>
      <c r="M4" s="17">
        <f>IF($I4=$AL4,MAX(BF4,CA4),IF($I4=$BG4,MAX(AK4,CA4),MAX(AK4,BF4)))</f>
        <v>45.930000000000007</v>
      </c>
      <c r="N4" s="17" t="str">
        <f>IF(M4=CA4,$BJ$1,IF(M4=BF4,$AO$1,IF(M4=AK4,$T$1,"")))</f>
        <v>2017 Canada Cup</v>
      </c>
      <c r="O4" s="17">
        <f>MAX(AM4,BH4,CC4)</f>
        <v>46.550000000000004</v>
      </c>
      <c r="P4" s="17" t="str">
        <f>IF(O4=CC4,$BJ$1,IF(O4=BH4,$AO$1,IF(O4=AM4,$T$1,"")))</f>
        <v>2017 3rd Domestic Trial</v>
      </c>
      <c r="Q4" s="17">
        <f>IF(MAX(CE4:CG4)&gt;0,MAX(CE4:CG4),"")</f>
        <v>1.6199999999999974</v>
      </c>
      <c r="R4" s="44" t="str">
        <f>IF(Q4="","",IF(Q4=CE4,"(Vol 1)",IF(Q4=CF4,"(Vol 2)",IF(Q4=CG4,"(Final)"))))</f>
        <v>(Vol 2)</v>
      </c>
      <c r="S4" s="17" t="str">
        <f>IF(Q4="","",IF(Q4=CE4,IF(Q4+K4=LU4,$LE$1,IF(Q4+K4=KZ4,$KJ$1,IF(Q4+K4=KE4,$JO$1,IF(Q4+K4=JJ4,$IT$1,IF(Q4+K4=IO4,$HY$1,IF(Q4+K4=HT4,$HD$1,IF(Q4+K4=GY4,$GI$1,IF(Q4+K4=GD4,$FN$1,IF(Q4+K4=FI4,$ES$1,IF(Q4+K4=EN4,$DX$1,IF(Q4+K4=DS4,$DC$1,IF(Q4+K4=CX4,$CH$1)))))))))))),IF(Q4=CF4,IF(Q4+M4=LV4,$LE$1,IF(Q4+M4=LA4,$KJ$1,IF(Q4+M4=KF4,$JO$1,IF(Q4+M4=JK4,$IT$1,IF(Q4+M4=IP4,$HY$1,IF(Q4+M4=HU4,$HD$1,IF(Q4+M4=GZ4,$GI$1,IF(Q4+M4=GE4,$FN$1,IF(Q4+M4=FJ4,$ES$1,IF(Q4+M4=EO4,$DX$1,IF(Q4+M4=DT4,$DC$1,IF(Q4+M4=CY4,$CH$1)))))))))))),IF(Q4=CG4,IF(Q4+O4=LX4,$LE$1,IF(Q4+O4=LC4,$KJ$1,IF(Q4+O4=KH4,$JO$1,IF(Q4+O4=JM4,$IT$1,IF(Q4+O4=IR4,$HY$1,IF(Q4+O4=HW4,$HD$1,IF(Q4+O4=HB4,$GI$1,IF(Q4+O4=GG4,$FN$1,IF(Q4+O4=FL4,$ES$1,IF(Q4+O4=EQ4,$DX$1,IF(Q4+O4=DV4,$DC$1,IF(Q4+O4=DA4,$CH$1))))))))))))))))</f>
        <v>2017 World Championships (Nov)</v>
      </c>
      <c r="T4" s="60">
        <v>9.35</v>
      </c>
      <c r="U4" s="60">
        <v>9.5</v>
      </c>
      <c r="V4" s="60">
        <v>3.4</v>
      </c>
      <c r="W4" s="60">
        <v>15.64</v>
      </c>
      <c r="X4" s="60">
        <v>0</v>
      </c>
      <c r="Y4" s="60">
        <v>8.6</v>
      </c>
      <c r="Z4" s="60">
        <v>9.25</v>
      </c>
      <c r="AA4" s="60">
        <v>11.8</v>
      </c>
      <c r="AB4" s="60">
        <v>16.28</v>
      </c>
      <c r="AC4" s="60">
        <v>0</v>
      </c>
      <c r="AD4" s="60">
        <v>7.05</v>
      </c>
      <c r="AE4" s="60">
        <v>7.45</v>
      </c>
      <c r="AF4" s="60">
        <v>10.199999999999999</v>
      </c>
      <c r="AG4" s="60">
        <v>13.4</v>
      </c>
      <c r="AH4" s="60">
        <v>0</v>
      </c>
      <c r="AI4" s="13">
        <f>IF(SUM(V4,AA4)&gt;0,SUM(V4,AA4),"")</f>
        <v>15.200000000000001</v>
      </c>
      <c r="AJ4" s="13">
        <f>IF(SUM(T4:W4)-X4&gt;0,SUM(T4:W4)-X4,"")</f>
        <v>37.89</v>
      </c>
      <c r="AK4" s="13">
        <f>IF(SUM(Y4:AB4)-AC4&gt;0,SUM(Y4:AB4)-AC4,"")</f>
        <v>45.930000000000007</v>
      </c>
      <c r="AL4" s="13">
        <f>IF(SUM(AJ4:AK4)&gt;0,SUM(AJ4:AK4),"")</f>
        <v>83.820000000000007</v>
      </c>
      <c r="AM4" s="13">
        <f>IF(SUM(AD4:AG4)-AH4&gt;0,SUM(AD4:AG4)-AH4,"")</f>
        <v>38.1</v>
      </c>
      <c r="AN4" s="13">
        <f>IF(SUM(AL4,AM4)&gt;0,SUM(AL4,AM4),"")</f>
        <v>121.92000000000002</v>
      </c>
      <c r="AO4" s="62">
        <v>9.3000000000000007</v>
      </c>
      <c r="AP4" s="62">
        <v>9.5500000000000007</v>
      </c>
      <c r="AQ4" s="62">
        <v>3.4</v>
      </c>
      <c r="AR4" s="62">
        <v>18.3</v>
      </c>
      <c r="AS4" s="62">
        <v>0</v>
      </c>
      <c r="AT4" s="62">
        <v>1.75</v>
      </c>
      <c r="AU4" s="62">
        <v>1.9</v>
      </c>
      <c r="AV4" s="62">
        <v>2.9</v>
      </c>
      <c r="AW4" s="62">
        <v>3.1</v>
      </c>
      <c r="AX4" s="62">
        <v>0</v>
      </c>
      <c r="AY4" s="62"/>
      <c r="AZ4" s="62"/>
      <c r="BA4" s="62"/>
      <c r="BB4" s="62"/>
      <c r="BC4" s="62"/>
      <c r="BD4" s="17">
        <f>IF(SUM(AQ4,AV4)&gt;0,SUM(AQ4,AV4),"")</f>
        <v>6.3</v>
      </c>
      <c r="BE4" s="17">
        <f>IF(SUM(AO4:AR4)-AS4&gt;0,SUM(AO4:AR4)-AS4,"")</f>
        <v>40.549999999999997</v>
      </c>
      <c r="BF4" s="17">
        <f>IF(SUM(AT4:AW4)-AX4&gt;0,SUM(AT4:AW4)-AX4,"")</f>
        <v>9.65</v>
      </c>
      <c r="BG4" s="17">
        <f>IF(SUM(BE4:BF4)&gt;0,SUM(BE4:BF4),"")</f>
        <v>50.199999999999996</v>
      </c>
      <c r="BH4" s="17" t="str">
        <f>IF(SUM(AY4:BB4)-BC4&gt;0,SUM(AY4:BB4)-BC4,"")</f>
        <v/>
      </c>
      <c r="BI4" s="17">
        <f>IF(SUM(BG4,BH4)&gt;0,SUM(BG4,BH4),"")</f>
        <v>50.199999999999996</v>
      </c>
      <c r="BJ4" s="60">
        <v>9.1999999999999993</v>
      </c>
      <c r="BK4" s="60">
        <v>9</v>
      </c>
      <c r="BL4" s="60">
        <v>3.4</v>
      </c>
      <c r="BM4" s="60">
        <v>18.399999999999999</v>
      </c>
      <c r="BN4" s="60">
        <v>0</v>
      </c>
      <c r="BO4" s="60">
        <v>8.6</v>
      </c>
      <c r="BP4" s="60">
        <v>9.4499999999999993</v>
      </c>
      <c r="BQ4" s="60">
        <v>11.8</v>
      </c>
      <c r="BR4" s="60">
        <v>15.6</v>
      </c>
      <c r="BS4" s="60">
        <v>0</v>
      </c>
      <c r="BT4" s="60">
        <v>8.65</v>
      </c>
      <c r="BU4" s="60">
        <v>9.3000000000000007</v>
      </c>
      <c r="BV4" s="60">
        <v>11.8</v>
      </c>
      <c r="BW4" s="60">
        <v>16.8</v>
      </c>
      <c r="BX4" s="60">
        <v>0</v>
      </c>
      <c r="BY4" s="13">
        <f>IF(SUM(BL4,BQ4)&gt;0,SUM(BL4,BQ4),"")</f>
        <v>15.200000000000001</v>
      </c>
      <c r="BZ4" s="13">
        <f>IF(SUM(BJ4:BM4)-BN4&gt;0,SUM(BJ4:BM4)-BN4,"")</f>
        <v>40</v>
      </c>
      <c r="CA4" s="13">
        <f>IF(SUM(BO4:BR4)-BS4&gt;0,SUM(BO4:BR4)-BS4,"")</f>
        <v>45.449999999999996</v>
      </c>
      <c r="CB4" s="13">
        <f>IF(SUM(BZ4:CA4)&gt;0,SUM(BZ4:CA4),"")</f>
        <v>85.449999999999989</v>
      </c>
      <c r="CC4" s="13">
        <f>IF(SUM(BT4:BW4)-BX4&gt;0,SUM(BT4:BW4)-BX4,"")</f>
        <v>46.550000000000004</v>
      </c>
      <c r="CD4" s="13">
        <f>IF(SUM(CB4,CC4)&gt;0,SUM(CB4,CC4),"")</f>
        <v>132</v>
      </c>
      <c r="CE4" s="43">
        <f>IF(MAX(CX4,DS4,EN4,FI4,GD4,GY4,HT4,IO4,JJ4,KE4,KZ4,LU4)-K4&gt;0.001,MAX(CX4,DS4,EN4,FI4,GD4,GY4,HT4,IO4,JJ4,KE4,KZ4,LU4)-K4,"")</f>
        <v>0.5</v>
      </c>
      <c r="CF4" s="43">
        <f>IF(MAX(CY4,DT4,EO4,FJ4,GE4,GZ4,HU4,IP4,JK4,KF4,LA4,LV4)-M4&gt;0.001,MAX(CY4,DT4,EO4,FJ4,GE4,GZ4,HU4,IP4,JK4,KF4,LA4,LV4)-M4,"")</f>
        <v>1.6199999999999974</v>
      </c>
      <c r="CG4" s="43">
        <f>IF(MAX(DA4,DV4,EQ4,FL4,GG4,HB4,HW4,IR4,JM4,KH4,LC4,LX4)-O4&gt;0.001,MAX(DA4,DV4,EQ4,FL4,GG4,HB4,HW4,IR4,JM4,KH4,LC4,LX4)-O4,"")</f>
        <v>0.35000000000000142</v>
      </c>
      <c r="CH4" s="60">
        <v>36.9</v>
      </c>
      <c r="CI4" s="60">
        <v>0</v>
      </c>
      <c r="CJ4" s="60">
        <v>0</v>
      </c>
      <c r="CK4" s="60">
        <v>0</v>
      </c>
      <c r="CL4" s="60">
        <v>0</v>
      </c>
      <c r="CM4" s="60">
        <v>30.8</v>
      </c>
      <c r="CN4" s="60">
        <v>0</v>
      </c>
      <c r="CO4" s="60">
        <v>14.3</v>
      </c>
      <c r="CP4" s="60">
        <v>0</v>
      </c>
      <c r="CQ4" s="60">
        <v>0</v>
      </c>
      <c r="CR4" s="60">
        <v>31.599999999999998</v>
      </c>
      <c r="CS4" s="60">
        <v>0</v>
      </c>
      <c r="CT4" s="60">
        <v>14.3</v>
      </c>
      <c r="CU4" s="60">
        <v>0</v>
      </c>
      <c r="CV4" s="60">
        <v>0</v>
      </c>
      <c r="CW4" s="13">
        <f>IF(SUM(CJ4,CO4)&gt;0,SUM(CJ4,CO4),"")</f>
        <v>14.3</v>
      </c>
      <c r="CX4" s="13">
        <f>IF(SUM(CH4:CK4)-CL4&gt;0,SUM(CH4:CK4)-CL4,"")</f>
        <v>36.9</v>
      </c>
      <c r="CY4" s="13">
        <f>IF(SUM(CM4:CP4)-CQ4&gt;0,SUM(CM4:CP4)-CQ4,"")</f>
        <v>45.1</v>
      </c>
      <c r="CZ4" s="13">
        <f>IF(SUM(CX4:CY4)&gt;0,SUM(CX4:CY4),"")</f>
        <v>82</v>
      </c>
      <c r="DA4" s="13">
        <f>IF(SUM(CR4:CU4)-CV4&gt;0,SUM(CR4:CU4)-CV4,"")</f>
        <v>45.9</v>
      </c>
      <c r="DB4" s="13">
        <f>IF(SUM(CZ4,DA4)&gt;0,SUM(CZ4,DA4),"")</f>
        <v>127.9</v>
      </c>
      <c r="DC4" s="62">
        <v>8.5</v>
      </c>
      <c r="DD4" s="62">
        <v>9.5500000000000007</v>
      </c>
      <c r="DE4" s="62">
        <v>3.4</v>
      </c>
      <c r="DF4" s="62">
        <v>16.600000000000001</v>
      </c>
      <c r="DG4" s="62">
        <v>0</v>
      </c>
      <c r="DH4" s="62">
        <v>8.15</v>
      </c>
      <c r="DI4" s="62">
        <v>9.35</v>
      </c>
      <c r="DJ4" s="62">
        <v>11.8</v>
      </c>
      <c r="DK4" s="62">
        <v>17.36</v>
      </c>
      <c r="DL4" s="62">
        <v>0</v>
      </c>
      <c r="DM4" s="62">
        <v>8.0500000000000007</v>
      </c>
      <c r="DN4" s="62">
        <v>8.9</v>
      </c>
      <c r="DO4" s="62">
        <v>11.8</v>
      </c>
      <c r="DP4" s="62">
        <v>17.66</v>
      </c>
      <c r="DQ4" s="62">
        <v>0</v>
      </c>
      <c r="DR4" s="17">
        <f>IF(SUM(DE4,DJ4)&gt;0,SUM(DE4,DJ4),"")</f>
        <v>15.200000000000001</v>
      </c>
      <c r="DS4" s="17">
        <f>IF(SUM(DC4:DF4)-DG4&gt;0,SUM(DC4:DF4)-DG4,"")</f>
        <v>38.049999999999997</v>
      </c>
      <c r="DT4" s="17">
        <f>IF(SUM(DH4:DK4)-DL4&gt;0,SUM(DH4:DK4)-DL4,"")</f>
        <v>46.66</v>
      </c>
      <c r="DU4" s="17">
        <f>IF(SUM(DS4:DT4)&gt;0,SUM(DS4:DT4),"")</f>
        <v>84.71</v>
      </c>
      <c r="DV4" s="17">
        <f>IF(SUM(DM4:DP4)-DQ4&gt;0,SUM(DM4:DP4)-DQ4,"")</f>
        <v>46.410000000000004</v>
      </c>
      <c r="DW4" s="17">
        <f>IF(SUM(DU4,DV4)&gt;0,SUM(DU4,DV4),"")</f>
        <v>131.12</v>
      </c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13" t="str">
        <f>IF(SUM(DZ4,EE4)&gt;0,SUM(DZ4,EE4),"")</f>
        <v/>
      </c>
      <c r="EN4" s="13" t="str">
        <f>IF(SUM(DX4:EA4)-EB4&gt;0,SUM(DX4:EA4)-EB4,"")</f>
        <v/>
      </c>
      <c r="EO4" s="13" t="str">
        <f>IF(SUM(EC4:EF4)-EG4&gt;0,SUM(EC4:EF4)-EG4,"")</f>
        <v/>
      </c>
      <c r="EP4" s="13" t="str">
        <f>IF(SUM(EN4:EO4)&gt;0,SUM(EN4:EO4),"")</f>
        <v/>
      </c>
      <c r="EQ4" s="13" t="str">
        <f>IF(SUM(EH4:EK4)-EL4&gt;0,SUM(EH4:EK4)-EL4,"")</f>
        <v/>
      </c>
      <c r="ER4" s="13" t="str">
        <f>IF(SUM(EP4,EQ4)&gt;0,SUM(EP4,EQ4),"")</f>
        <v/>
      </c>
      <c r="ES4" s="62">
        <v>9.1999999999999993</v>
      </c>
      <c r="ET4" s="62">
        <v>9.65</v>
      </c>
      <c r="EU4" s="62">
        <v>3.4</v>
      </c>
      <c r="EV4" s="62">
        <v>18.8</v>
      </c>
      <c r="EW4" s="62">
        <v>0</v>
      </c>
      <c r="EX4" s="62">
        <v>8.35</v>
      </c>
      <c r="EY4" s="62">
        <v>9.1999999999999993</v>
      </c>
      <c r="EZ4" s="62">
        <v>10.6</v>
      </c>
      <c r="FA4" s="62">
        <v>12.4</v>
      </c>
      <c r="FB4" s="62">
        <v>0</v>
      </c>
      <c r="FC4" s="62"/>
      <c r="FD4" s="62"/>
      <c r="FE4" s="62"/>
      <c r="FF4" s="62"/>
      <c r="FG4" s="62"/>
      <c r="FH4" s="17">
        <f>IF(SUM(EU4,EZ4)&gt;0,SUM(EU4,EZ4),"")</f>
        <v>14</v>
      </c>
      <c r="FI4" s="17">
        <f>IF(SUM(ES4:EV4)-EW4&gt;0,SUM(ES4:EV4)-EW4,"")</f>
        <v>41.05</v>
      </c>
      <c r="FJ4" s="17">
        <f>IF(SUM(EX4:FA4)-FB4&gt;0,SUM(EX4:FA4)-FB4,"")</f>
        <v>40.549999999999997</v>
      </c>
      <c r="FK4" s="17">
        <f>IF(SUM(FI4:FJ4)&gt;0,SUM(FI4:FJ4),"")</f>
        <v>81.599999999999994</v>
      </c>
      <c r="FL4" s="17" t="str">
        <f>IF(SUM(FC4:FF4)-FG4&gt;0,SUM(FC4:FF4)-FG4,"")</f>
        <v/>
      </c>
      <c r="FM4" s="17">
        <f>IF(SUM(FK4,FL4)&gt;0,SUM(FK4,FL4),"")</f>
        <v>81.599999999999994</v>
      </c>
      <c r="FN4" s="60">
        <v>8.8000000000000007</v>
      </c>
      <c r="FO4" s="60">
        <v>9.5500000000000007</v>
      </c>
      <c r="FP4" s="60">
        <v>3.4</v>
      </c>
      <c r="FQ4" s="60">
        <v>17</v>
      </c>
      <c r="FR4" s="60">
        <v>0</v>
      </c>
      <c r="FS4" s="60">
        <v>8.1</v>
      </c>
      <c r="FT4" s="60">
        <v>9.25</v>
      </c>
      <c r="FU4" s="60">
        <v>11.6</v>
      </c>
      <c r="FV4" s="60">
        <v>18.600000000000001</v>
      </c>
      <c r="FW4" s="60">
        <v>0</v>
      </c>
      <c r="FX4" s="60">
        <v>8.1999999999999993</v>
      </c>
      <c r="FY4" s="60">
        <v>9.3000000000000007</v>
      </c>
      <c r="FZ4" s="60">
        <v>11.6</v>
      </c>
      <c r="GA4" s="60">
        <v>17.8</v>
      </c>
      <c r="GB4" s="60">
        <v>0</v>
      </c>
      <c r="GC4" s="13">
        <f>IF(SUM(FP4,FU4)&gt;0,SUM(FP4,FU4),"")</f>
        <v>15</v>
      </c>
      <c r="GD4" s="13">
        <f>IF(SUM(FN4:FQ4)-FR4&gt;0,SUM(FN4:FQ4)-FR4,"")</f>
        <v>38.75</v>
      </c>
      <c r="GE4" s="13">
        <f>IF(SUM(FS4:FV4)-FW4&gt;0,SUM(FS4:FV4)-FW4,"")</f>
        <v>47.550000000000004</v>
      </c>
      <c r="GF4" s="13">
        <f>IF(SUM(GD4:GE4)&gt;0,SUM(GD4:GE4),"")</f>
        <v>86.300000000000011</v>
      </c>
      <c r="GG4" s="13">
        <f>IF(SUM(FX4:GA4)-GB4&gt;0,SUM(FX4:GA4)-GB4,"")</f>
        <v>46.900000000000006</v>
      </c>
      <c r="GH4" s="13">
        <f>IF(SUM(GF4,GG4)&gt;0,SUM(GF4,GG4),"")</f>
        <v>133.20000000000002</v>
      </c>
      <c r="GI4" s="62"/>
      <c r="GJ4" s="62"/>
      <c r="GK4" s="62"/>
      <c r="GL4" s="62"/>
      <c r="GM4" s="62"/>
      <c r="GN4" s="62"/>
      <c r="GO4" s="62"/>
      <c r="GP4" s="62"/>
      <c r="GQ4" s="62"/>
      <c r="GR4" s="62"/>
      <c r="GS4" s="62"/>
      <c r="GT4" s="62"/>
      <c r="GU4" s="62"/>
      <c r="GV4" s="62"/>
      <c r="GW4" s="62"/>
      <c r="GX4" s="17" t="str">
        <f>IF(SUM(GK4,GP4)&gt;0,SUM(GK4,GP4),"")</f>
        <v/>
      </c>
      <c r="GY4" s="17" t="str">
        <f>IF(SUM(GI4:GL4)-GM4&gt;0,SUM(GI4:GL4)-GM4,"")</f>
        <v/>
      </c>
      <c r="GZ4" s="17" t="str">
        <f>IF(SUM(GN4:GQ4)-GR4&gt;0,SUM(GN4:GQ4)-GR4,"")</f>
        <v/>
      </c>
      <c r="HA4" s="17" t="str">
        <f>IF(SUM(GY4:GZ4)&gt;0,SUM(GY4:GZ4),"")</f>
        <v/>
      </c>
      <c r="HB4" s="17" t="str">
        <f>IF(SUM(GS4:GV4)-GW4&gt;0,SUM(GS4:GV4)-GW4,"")</f>
        <v/>
      </c>
      <c r="HC4" s="17" t="str">
        <f>IF(SUM(HA4,HB4)&gt;0,SUM(HA4,HB4),"")</f>
        <v/>
      </c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13" t="str">
        <f>IF(SUM(HF4,HK4)&gt;0,SUM(HF4,HK4),"")</f>
        <v/>
      </c>
      <c r="HT4" s="13" t="str">
        <f>IF(SUM(HD4:HG4)-HH4&gt;0,SUM(HD4:HG4)-HH4,"")</f>
        <v/>
      </c>
      <c r="HU4" s="13" t="str">
        <f>IF(SUM(HI4:HL4)-HM4&gt;0,SUM(HI4:HL4)-HM4,"")</f>
        <v/>
      </c>
      <c r="HV4" s="13" t="str">
        <f>IF(SUM(HT4:HU4)&gt;0,SUM(HT4:HU4),"")</f>
        <v/>
      </c>
      <c r="HW4" s="13" t="str">
        <f>IF(SUM(HN4:HQ4)-HR4&gt;0,SUM(HN4:HQ4)-HR4,"")</f>
        <v/>
      </c>
      <c r="HX4" s="13" t="str">
        <f>IF(SUM(HV4,HW4)&gt;0,SUM(HV4,HW4),"")</f>
        <v/>
      </c>
      <c r="HY4" s="62"/>
      <c r="HZ4" s="62"/>
      <c r="IA4" s="62"/>
      <c r="IB4" s="62"/>
      <c r="IC4" s="62"/>
      <c r="ID4" s="62"/>
      <c r="IE4" s="62"/>
      <c r="IF4" s="62"/>
      <c r="IG4" s="62"/>
      <c r="IH4" s="62"/>
      <c r="II4" s="62"/>
      <c r="IJ4" s="62"/>
      <c r="IK4" s="62"/>
      <c r="IL4" s="62"/>
      <c r="IM4" s="62"/>
      <c r="IN4" s="17" t="str">
        <f>IF(SUM(IA4,IF4)&gt;0,SUM(IA4,IF4),"")</f>
        <v/>
      </c>
      <c r="IO4" s="17" t="str">
        <f>IF(SUM(HY4:IB4)-IC4&gt;0,SUM(HY4:IB4)-IC4,"")</f>
        <v/>
      </c>
      <c r="IP4" s="17" t="str">
        <f>IF(SUM(ID4:IG4)-IH4&gt;0,SUM(ID4:IG4)-IH4,"")</f>
        <v/>
      </c>
      <c r="IQ4" s="17" t="str">
        <f>IF(SUM(IO4:IP4)&gt;0,SUM(IO4:IP4),"")</f>
        <v/>
      </c>
      <c r="IR4" s="17" t="str">
        <f>IF(SUM(II4:IL4)-IM4&gt;0,SUM(II4:IL4)-IM4,"")</f>
        <v/>
      </c>
      <c r="IS4" s="17" t="str">
        <f>IF(SUM(IQ4,IR4)&gt;0,SUM(IQ4,IR4),"")</f>
        <v/>
      </c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13" t="str">
        <f>IF(SUM(IV4,JA4)&gt;0,SUM(IV4,JA4),"")</f>
        <v/>
      </c>
      <c r="JJ4" s="13" t="str">
        <f>IF(SUM(IT4:IW4)-IX4&gt;0,SUM(IT4:IW4)-IX4,"")</f>
        <v/>
      </c>
      <c r="JK4" s="13" t="str">
        <f>IF(SUM(IY4:JB4)-JC4&gt;0,SUM(IY4:JB4)-JC4,"")</f>
        <v/>
      </c>
      <c r="JL4" s="13" t="str">
        <f>IF(SUM(JJ4:JK4)&gt;0,SUM(JJ4:JK4),"")</f>
        <v/>
      </c>
      <c r="JM4" s="13" t="str">
        <f>IF(SUM(JD4:JG4)-JH4&gt;0,SUM(JD4:JG4)-JH4,"")</f>
        <v/>
      </c>
      <c r="JN4" s="13" t="str">
        <f>IF(SUM(JL4,JM4)&gt;0,SUM(JL4,JM4),"")</f>
        <v/>
      </c>
      <c r="JO4" s="62"/>
      <c r="JP4" s="62"/>
      <c r="JQ4" s="62"/>
      <c r="JR4" s="62"/>
      <c r="JS4" s="62"/>
      <c r="JT4" s="62"/>
      <c r="JU4" s="62"/>
      <c r="JV4" s="62"/>
      <c r="JW4" s="62"/>
      <c r="JX4" s="62"/>
      <c r="JY4" s="62"/>
      <c r="JZ4" s="62"/>
      <c r="KA4" s="62"/>
      <c r="KB4" s="62"/>
      <c r="KC4" s="62"/>
      <c r="KD4" s="17" t="str">
        <f>IF(SUM(JQ4,JV4)&gt;0,SUM(JQ4,JV4),"")</f>
        <v/>
      </c>
      <c r="KE4" s="17" t="str">
        <f>IF(SUM(JO4:JR4)-JS4&gt;0,SUM(JO4:JR4)-JS4,"")</f>
        <v/>
      </c>
      <c r="KF4" s="17" t="str">
        <f>IF(SUM(JT4:JW4)-JX4&gt;0,SUM(JT4:JW4)-JX4,"")</f>
        <v/>
      </c>
      <c r="KG4" s="17" t="str">
        <f>IF(SUM(KE4:KF4)&gt;0,SUM(KE4:KF4),"")</f>
        <v/>
      </c>
      <c r="KH4" s="17" t="str">
        <f>IF(SUM(JY4:KB4)-KC4&gt;0,SUM(JY4:KB4)-KC4,"")</f>
        <v/>
      </c>
      <c r="KI4" s="17" t="str">
        <f>IF(SUM(KG4,KH4)&gt;0,SUM(KG4,KH4),"")</f>
        <v/>
      </c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13" t="str">
        <f>IF(SUM(KL4,KQ4)&gt;0,SUM(KL4,KQ4),"")</f>
        <v/>
      </c>
      <c r="KZ4" s="13" t="str">
        <f>IF(SUM(KJ4:KM4)-KN4&gt;0,SUM(KJ4:KM4)-KN4,"")</f>
        <v/>
      </c>
      <c r="LA4" s="13" t="str">
        <f>IF(SUM(KO4:KR4)-KS4&gt;0,SUM(KO4:KR4)-KS4,"")</f>
        <v/>
      </c>
      <c r="LB4" s="13" t="str">
        <f>IF(SUM(KZ4:LA4)&gt;0,SUM(KZ4:LA4),"")</f>
        <v/>
      </c>
      <c r="LC4" s="13" t="str">
        <f>IF(SUM(KT4:KW4)-KX4&gt;0,SUM(KT4:KW4)-KX4,"")</f>
        <v/>
      </c>
      <c r="LD4" s="13" t="str">
        <f>IF(SUM(LB4,LC4)&gt;0,SUM(LB4,LC4),"")</f>
        <v/>
      </c>
      <c r="LE4" s="62"/>
      <c r="LF4" s="62"/>
      <c r="LG4" s="62"/>
      <c r="LH4" s="62"/>
      <c r="LI4" s="62"/>
      <c r="LJ4" s="62"/>
      <c r="LK4" s="62"/>
      <c r="LL4" s="62"/>
      <c r="LM4" s="62"/>
      <c r="LN4" s="62"/>
      <c r="LO4" s="62"/>
      <c r="LP4" s="62"/>
      <c r="LQ4" s="62"/>
      <c r="LR4" s="62"/>
      <c r="LS4" s="62"/>
      <c r="LT4" s="17" t="str">
        <f>IF(SUM(LG4,LL4)&gt;0,SUM(LG4,LL4),"")</f>
        <v/>
      </c>
      <c r="LU4" s="17" t="str">
        <f>IF(SUM(LE4:LH4)-LI4&gt;0,SUM(LE4:LH4)-LI4,"")</f>
        <v/>
      </c>
      <c r="LV4" s="17" t="str">
        <f>IF(SUM(LJ4:LM4)-LN4&gt;0,SUM(LJ4:LM4)-LN4,"")</f>
        <v/>
      </c>
      <c r="LW4" s="17" t="str">
        <f>IF(SUM(LU4:LV4)&gt;0,SUM(LU4:LV4),"")</f>
        <v/>
      </c>
      <c r="LX4" s="17" t="str">
        <f>IF(SUM(LO4:LR4)-LS4&gt;0,SUM(LO4:LR4)-LS4,"")</f>
        <v/>
      </c>
      <c r="LY4" s="17" t="str">
        <f>IF(SUM(LW4,LX4)&gt;0,SUM(LW4,LX4),"")</f>
        <v/>
      </c>
    </row>
    <row r="5" spans="1:337" x14ac:dyDescent="0.2">
      <c r="A5" s="6">
        <f ca="1">IF(AND(F5="P",G5="P"),SUMPRODUCT((F$4:F$6="P")*(G$4:G$6="P")*(E$4:E$6&gt;E5))+1,IF(G5="P",SUMPRODUCT((F$4:F$6="")*(G$4:G$6="P")*(E$4:E$6&gt;E5))+1+SUMPRODUCT((F$4:F$6="P")*(G$4:G$6="P")),""))</f>
        <v>2</v>
      </c>
      <c r="B5" s="7" t="s">
        <v>122</v>
      </c>
      <c r="C5" s="8" t="s">
        <v>4</v>
      </c>
      <c r="D5" s="6">
        <v>2014</v>
      </c>
      <c r="E5" s="18">
        <f>SUM(I5:Q5)</f>
        <v>180.85</v>
      </c>
      <c r="F5" s="4" t="str">
        <f>IF(OR(AND(AI5&gt;=C$10,NOT(AI5="")),AND(BD5&gt;=C$10,NOT(BD5="")),AND(BY5&gt;=C$10,NOT(BY5=""))),"P","")</f>
        <v>P</v>
      </c>
      <c r="G5" s="4" t="str">
        <f ca="1">IF(OR(I5&gt;=C$12,AND(I5&gt;$C$11,YEAR(TODAY())-$D5&lt;2)),"P","")</f>
        <v>P</v>
      </c>
      <c r="H5" t="str">
        <f ca="1">IF(F5="P",IF(I5&gt;=C$14,"Merit",IF(I5&gt;=C$13,"Funding",IF(I5&gt;=C$12,"Team",IF(AND(I5&gt;C$11,YEAR(TODAY())-$D5&lt;2),"First 2 Years","")))),IF(AND(I5&gt;C$11,YEAR(TODAY())-$D5&lt;2),"First 2 Years",""))</f>
        <v>Funding</v>
      </c>
      <c r="I5" s="17">
        <f>MAX(AL5,BG5,CB5)</f>
        <v>89.199999999999989</v>
      </c>
      <c r="J5" s="17" t="str">
        <f>IF(I5=CB5,$BJ$1,IF(I5=BG5,$AO$1,IF(I5=AL5,$T$1,"")))</f>
        <v>2017 3rd Domestic Trial</v>
      </c>
      <c r="K5" s="17">
        <f>IF($I5=$AL5,MAX(BE5,BZ5),IF($I5=$BG5,MAX(AJ5,BZ5),MAX(AJ5,BE5)))</f>
        <v>0</v>
      </c>
      <c r="L5" s="17" t="str">
        <f>IF(K5=BZ5,$BJ$1,IF(K5=BE5,$AO$1,IF(K5=AJ5,$T$1,"")))</f>
        <v/>
      </c>
      <c r="M5" s="17">
        <f>IF($I5=$AL5,MAX(BF5,CA5),IF($I5=$BG5,MAX(AK5,CA5),MAX(AK5,BF5)))</f>
        <v>0</v>
      </c>
      <c r="N5" s="17" t="str">
        <f>IF(M5=CA5,$BJ$1,IF(M5=BF5,$AO$1,IF(M5=AK5,$T$1,"")))</f>
        <v/>
      </c>
      <c r="O5" s="17">
        <f>MAX(AM5,BH5,CC5)</f>
        <v>47.55</v>
      </c>
      <c r="P5" s="17" t="str">
        <f>IF(O5=CC5,$BJ$1,IF(O5=BH5,$AO$1,IF(O5=AM5,$T$1,"")))</f>
        <v>2017 3rd Domestic Trial</v>
      </c>
      <c r="Q5" s="17">
        <f>IF(MAX(CE5:CG5)&gt;0,MAX(CE5:CG5),"")</f>
        <v>44.099999999999994</v>
      </c>
      <c r="R5" s="44" t="str">
        <f>IF(Q5="","",IF(Q5=CE5,"(Vol 1)",IF(Q5=CF5,"(Vol 2)",IF(Q5=CG5,"(Final)"))))</f>
        <v>(Vol 2)</v>
      </c>
      <c r="S5" s="17" t="str">
        <f>IF(Q5="","",IF(Q5=CE5,IF(Q5+K5=LU5,$LE$1,IF(Q5+K5=KZ5,$KJ$1,IF(Q5+K5=KE5,$JO$1,IF(Q5+K5=JJ5,$IT$1,IF(Q5+K5=IO5,$HY$1,IF(Q5+K5=HT5,$HD$1,IF(Q5+K5=GY5,$GI$1,IF(Q5+K5=GD5,$FN$1,IF(Q5+K5=FI5,$ES$1,IF(Q5+K5=EN5,$DX$1,IF(Q5+K5=DS5,$DC$1,IF(Q5+K5=CX5,$CH$1)))))))))))),IF(Q5=CF5,IF(Q5+M5=LV5,$LE$1,IF(Q5+M5=LA5,$KJ$1,IF(Q5+M5=KF5,$JO$1,IF(Q5+M5=JK5,$IT$1,IF(Q5+M5=IP5,$HY$1,IF(Q5+M5=HU5,$HD$1,IF(Q5+M5=GZ5,$GI$1,IF(Q5+M5=GE5,$FN$1,IF(Q5+M5=FJ5,$ES$1,IF(Q5+M5=EO5,$DX$1,IF(Q5+M5=DT5,$DC$1,IF(Q5+M5=CY5,$CH$1)))))))))))),IF(Q5=CG5,IF(Q5+O5=LX5,$LE$1,IF(Q5+O5=LC5,$KJ$1,IF(Q5+O5=KH5,$JO$1,IF(Q5+O5=JM5,$IT$1,IF(Q5+O5=IR5,$HY$1,IF(Q5+O5=HW5,$HD$1,IF(Q5+O5=HB5,$GI$1,IF(Q5+O5=GG5,$FN$1,IF(Q5+O5=FL5,$ES$1,IF(Q5+O5=EQ5,$DX$1,IF(Q5+O5=DV5,$DC$1,IF(Q5+O5=DA5,$CH$1))))))))))))))))</f>
        <v>2017 World Cup POR (Sept)</v>
      </c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13" t="str">
        <f>IF(SUM(V5,AA5)&gt;0,SUM(V5,AA5),"")</f>
        <v/>
      </c>
      <c r="AJ5" s="13" t="str">
        <f>IF(SUM(T5:W5)-X5&gt;0,SUM(T5:W5)-X5,"")</f>
        <v/>
      </c>
      <c r="AK5" s="13" t="str">
        <f>IF(SUM(Y5:AB5)-AC5&gt;0,SUM(Y5:AB5)-AC5,"")</f>
        <v/>
      </c>
      <c r="AL5" s="13" t="str">
        <f>IF(SUM(AJ5:AK5)&gt;0,SUM(AJ5:AK5),"")</f>
        <v/>
      </c>
      <c r="AM5" s="13" t="str">
        <f>IF(SUM(AD5:AG5)-AH5&gt;0,SUM(AD5:AG5)-AH5,"")</f>
        <v/>
      </c>
      <c r="AN5" s="13" t="str">
        <f>IF(SUM(AL5,AM5)&gt;0,SUM(AL5,AM5),"")</f>
        <v/>
      </c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17" t="str">
        <f>IF(SUM(AQ5,AV5)&gt;0,SUM(AQ5,AV5),"")</f>
        <v/>
      </c>
      <c r="BE5" s="17" t="str">
        <f>IF(SUM(AO5:AR5)-AS5&gt;0,SUM(AO5:AR5)-AS5,"")</f>
        <v/>
      </c>
      <c r="BF5" s="17" t="str">
        <f>IF(SUM(AT5:AW5)-AX5&gt;0,SUM(AT5:AW5)-AX5,"")</f>
        <v/>
      </c>
      <c r="BG5" s="17" t="str">
        <f>IF(SUM(BE5:BF5)&gt;0,SUM(BE5:BF5),"")</f>
        <v/>
      </c>
      <c r="BH5" s="17" t="str">
        <f>IF(SUM(AY5:BB5)-BC5&gt;0,SUM(AY5:BB5)-BC5,"")</f>
        <v/>
      </c>
      <c r="BI5" s="17" t="str">
        <f>IF(SUM(BG5,BH5)&gt;0,SUM(BG5,BH5),"")</f>
        <v/>
      </c>
      <c r="BJ5" s="60">
        <v>8.4</v>
      </c>
      <c r="BK5" s="60">
        <v>9.5</v>
      </c>
      <c r="BL5" s="60">
        <v>3.9</v>
      </c>
      <c r="BM5" s="60">
        <v>18.600000000000001</v>
      </c>
      <c r="BN5" s="60">
        <v>0</v>
      </c>
      <c r="BO5" s="60">
        <v>8.0500000000000007</v>
      </c>
      <c r="BP5" s="60">
        <v>9.35</v>
      </c>
      <c r="BQ5" s="60">
        <v>12.4</v>
      </c>
      <c r="BR5" s="60">
        <v>19</v>
      </c>
      <c r="BS5" s="60">
        <v>0</v>
      </c>
      <c r="BT5" s="60">
        <v>7.7</v>
      </c>
      <c r="BU5" s="60">
        <v>9.4499999999999993</v>
      </c>
      <c r="BV5" s="60">
        <v>12.4</v>
      </c>
      <c r="BW5" s="60">
        <v>18</v>
      </c>
      <c r="BX5" s="60">
        <v>0</v>
      </c>
      <c r="BY5" s="13">
        <f>IF(SUM(BL5,BQ5)&gt;0,SUM(BL5,BQ5),"")</f>
        <v>16.3</v>
      </c>
      <c r="BZ5" s="13">
        <f>IF(SUM(BJ5:BM5)-BN5&gt;0,SUM(BJ5:BM5)-BN5,"")</f>
        <v>40.4</v>
      </c>
      <c r="CA5" s="13">
        <f>IF(SUM(BO5:BR5)-BS5&gt;0,SUM(BO5:BR5)-BS5,"")</f>
        <v>48.8</v>
      </c>
      <c r="CB5" s="13">
        <f>IF(SUM(BZ5:CA5)&gt;0,SUM(BZ5:CA5),"")</f>
        <v>89.199999999999989</v>
      </c>
      <c r="CC5" s="13">
        <f>IF(SUM(BT5:BW5)-BX5&gt;0,SUM(BT5:BW5)-BX5,"")</f>
        <v>47.55</v>
      </c>
      <c r="CD5" s="13">
        <f>IF(SUM(CB5,CC5)&gt;0,SUM(CB5,CC5),"")</f>
        <v>136.75</v>
      </c>
      <c r="CE5" s="43">
        <f>IF(MAX(CX5,DS5,EN5,FI5,GD5,GY5,HT5,IO5,JJ5,KE5,KZ5,LU5)-K5&gt;0.001,MAX(CX5,DS5,EN5,FI5,GD5,GY5,HT5,IO5,JJ5,KE5,KZ5,LU5)-K5,"")</f>
        <v>39.61</v>
      </c>
      <c r="CF5" s="43">
        <f>IF(MAX(CY5,DT5,EO5,FJ5,GE5,GZ5,HU5,IP5,JK5,KF5,LA5,LV5)-M5&gt;0.001,MAX(CY5,DT5,EO5,FJ5,GE5,GZ5,HU5,IP5,JK5,KF5,LA5,LV5)-M5,"")</f>
        <v>44.099999999999994</v>
      </c>
      <c r="CG5" s="43" t="str">
        <f>IF(MAX(DA5,DV5,EQ5,FL5,GG5,HB5,HW5,IR5,JM5,KH5,LC5,LX5)-O5&gt;0.001,MAX(DA5,DV5,EQ5,FL5,GG5,HB5,HW5,IR5,JM5,KH5,LC5,LX5)-O5,"")</f>
        <v/>
      </c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13" t="str">
        <f>IF(SUM(CJ5,CO5)&gt;0,SUM(CJ5,CO5),"")</f>
        <v/>
      </c>
      <c r="CX5" s="13" t="str">
        <f>IF(SUM(CH5:CK5)-CL5&gt;0,SUM(CH5:CK5)-CL5,"")</f>
        <v/>
      </c>
      <c r="CY5" s="13" t="str">
        <f>IF(SUM(CM5:CP5)-CQ5&gt;0,SUM(CM5:CP5)-CQ5,"")</f>
        <v/>
      </c>
      <c r="CZ5" s="13" t="str">
        <f>IF(SUM(CX5:CY5)&gt;0,SUM(CX5:CY5),"")</f>
        <v/>
      </c>
      <c r="DA5" s="13" t="str">
        <f>IF(SUM(CR5:CU5)-CV5&gt;0,SUM(CR5:CU5)-CV5,"")</f>
        <v/>
      </c>
      <c r="DB5" s="13" t="str">
        <f>IF(SUM(CZ5,DA5)&gt;0,SUM(CZ5,DA5),"")</f>
        <v/>
      </c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17" t="str">
        <f>IF(SUM(DE5,DJ5)&gt;0,SUM(DE5,DJ5),"")</f>
        <v/>
      </c>
      <c r="DS5" s="17" t="str">
        <f>IF(SUM(DC5:DF5)-DG5&gt;0,SUM(DC5:DF5)-DG5,"")</f>
        <v/>
      </c>
      <c r="DT5" s="17" t="str">
        <f>IF(SUM(DH5:DK5)-DL5&gt;0,SUM(DH5:DK5)-DL5,"")</f>
        <v/>
      </c>
      <c r="DU5" s="17" t="str">
        <f>IF(SUM(DS5:DT5)&gt;0,SUM(DS5:DT5),"")</f>
        <v/>
      </c>
      <c r="DV5" s="17" t="str">
        <f>IF(SUM(DM5:DP5)-DQ5&gt;0,SUM(DM5:DP5)-DQ5,"")</f>
        <v/>
      </c>
      <c r="DW5" s="17" t="str">
        <f>IF(SUM(DU5,DV5)&gt;0,SUM(DU5,DV5),"")</f>
        <v/>
      </c>
      <c r="DX5" s="60">
        <v>8.75</v>
      </c>
      <c r="DY5" s="60">
        <v>9.1999999999999993</v>
      </c>
      <c r="DZ5" s="60">
        <v>3.9</v>
      </c>
      <c r="EA5" s="60">
        <v>17.760000000000002</v>
      </c>
      <c r="EB5" s="60">
        <v>0</v>
      </c>
      <c r="EC5" s="60">
        <v>8.5</v>
      </c>
      <c r="ED5" s="60">
        <v>9.4</v>
      </c>
      <c r="EE5" s="60">
        <v>12.4</v>
      </c>
      <c r="EF5" s="60">
        <v>13.8</v>
      </c>
      <c r="EG5" s="60">
        <v>0</v>
      </c>
      <c r="EH5" s="60"/>
      <c r="EI5" s="60"/>
      <c r="EJ5" s="60"/>
      <c r="EK5" s="60"/>
      <c r="EL5" s="60"/>
      <c r="EM5" s="13">
        <f>IF(SUM(DZ5,EE5)&gt;0,SUM(DZ5,EE5),"")</f>
        <v>16.3</v>
      </c>
      <c r="EN5" s="13">
        <f>IF(SUM(DX5:EA5)-EB5&gt;0,SUM(DX5:EA5)-EB5,"")</f>
        <v>39.61</v>
      </c>
      <c r="EO5" s="13">
        <f>IF(SUM(EC5:EF5)-EG5&gt;0,SUM(EC5:EF5)-EG5,"")</f>
        <v>44.099999999999994</v>
      </c>
      <c r="EP5" s="13">
        <f>IF(SUM(EN5:EO5)&gt;0,SUM(EN5:EO5),"")</f>
        <v>83.71</v>
      </c>
      <c r="EQ5" s="13" t="str">
        <f>IF(SUM(EH5:EK5)-EL5&gt;0,SUM(EH5:EK5)-EL5,"")</f>
        <v/>
      </c>
      <c r="ER5" s="13">
        <f>IF(SUM(EP5,EQ5)&gt;0,SUM(EP5,EQ5),"")</f>
        <v>83.71</v>
      </c>
      <c r="ES5" s="62"/>
      <c r="ET5" s="62"/>
      <c r="EU5" s="62"/>
      <c r="EV5" s="62"/>
      <c r="EW5" s="62"/>
      <c r="EX5" s="62"/>
      <c r="EY5" s="62"/>
      <c r="EZ5" s="62"/>
      <c r="FA5" s="62"/>
      <c r="FB5" s="62"/>
      <c r="FC5" s="62"/>
      <c r="FD5" s="62"/>
      <c r="FE5" s="62"/>
      <c r="FF5" s="62"/>
      <c r="FG5" s="62"/>
      <c r="FH5" s="17" t="str">
        <f>IF(SUM(EU5,EZ5)&gt;0,SUM(EU5,EZ5),"")</f>
        <v/>
      </c>
      <c r="FI5" s="17" t="str">
        <f>IF(SUM(ES5:EV5)-EW5&gt;0,SUM(ES5:EV5)-EW5,"")</f>
        <v/>
      </c>
      <c r="FJ5" s="17" t="str">
        <f>IF(SUM(EX5:FA5)-FB5&gt;0,SUM(EX5:FA5)-FB5,"")</f>
        <v/>
      </c>
      <c r="FK5" s="17" t="str">
        <f>IF(SUM(FI5:FJ5)&gt;0,SUM(FI5:FJ5),"")</f>
        <v/>
      </c>
      <c r="FL5" s="17" t="str">
        <f>IF(SUM(FC5:FF5)-FG5&gt;0,SUM(FC5:FF5)-FG5,"")</f>
        <v/>
      </c>
      <c r="FM5" s="17" t="str">
        <f>IF(SUM(FK5,FL5)&gt;0,SUM(FK5,FL5),"")</f>
        <v/>
      </c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13" t="str">
        <f>IF(SUM(FP5,FU5)&gt;0,SUM(FP5,FU5),"")</f>
        <v/>
      </c>
      <c r="GD5" s="13" t="str">
        <f>IF(SUM(FN5:FQ5)-FR5&gt;0,SUM(FN5:FQ5)-FR5,"")</f>
        <v/>
      </c>
      <c r="GE5" s="13" t="str">
        <f>IF(SUM(FS5:FV5)-FW5&gt;0,SUM(FS5:FV5)-FW5,"")</f>
        <v/>
      </c>
      <c r="GF5" s="13" t="str">
        <f>IF(SUM(GD5:GE5)&gt;0,SUM(GD5:GE5),"")</f>
        <v/>
      </c>
      <c r="GG5" s="13" t="str">
        <f>IF(SUM(FX5:GA5)-GB5&gt;0,SUM(FX5:GA5)-GB5,"")</f>
        <v/>
      </c>
      <c r="GH5" s="13" t="str">
        <f>IF(SUM(GF5,GG5)&gt;0,SUM(GF5,GG5),"")</f>
        <v/>
      </c>
      <c r="GI5" s="62"/>
      <c r="GJ5" s="62"/>
      <c r="GK5" s="62"/>
      <c r="GL5" s="62"/>
      <c r="GM5" s="62"/>
      <c r="GN5" s="62"/>
      <c r="GO5" s="62"/>
      <c r="GP5" s="62"/>
      <c r="GQ5" s="62"/>
      <c r="GR5" s="62"/>
      <c r="GS5" s="62"/>
      <c r="GT5" s="62"/>
      <c r="GU5" s="62"/>
      <c r="GV5" s="62"/>
      <c r="GW5" s="62"/>
      <c r="GX5" s="17" t="str">
        <f>IF(SUM(GK5,GP5)&gt;0,SUM(GK5,GP5),"")</f>
        <v/>
      </c>
      <c r="GY5" s="17" t="str">
        <f>IF(SUM(GI5:GL5)-GM5&gt;0,SUM(GI5:GL5)-GM5,"")</f>
        <v/>
      </c>
      <c r="GZ5" s="17" t="str">
        <f>IF(SUM(GN5:GQ5)-GR5&gt;0,SUM(GN5:GQ5)-GR5,"")</f>
        <v/>
      </c>
      <c r="HA5" s="17" t="str">
        <f>IF(SUM(GY5:GZ5)&gt;0,SUM(GY5:GZ5),"")</f>
        <v/>
      </c>
      <c r="HB5" s="17" t="str">
        <f>IF(SUM(GS5:GV5)-GW5&gt;0,SUM(GS5:GV5)-GW5,"")</f>
        <v/>
      </c>
      <c r="HC5" s="17" t="str">
        <f>IF(SUM(HA5,HB5)&gt;0,SUM(HA5,HB5),"")</f>
        <v/>
      </c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13" t="str">
        <f>IF(SUM(HF5,HK5)&gt;0,SUM(HF5,HK5),"")</f>
        <v/>
      </c>
      <c r="HT5" s="13" t="str">
        <f>IF(SUM(HD5:HG5)-HH5&gt;0,SUM(HD5:HG5)-HH5,"")</f>
        <v/>
      </c>
      <c r="HU5" s="13" t="str">
        <f>IF(SUM(HI5:HL5)-HM5&gt;0,SUM(HI5:HL5)-HM5,"")</f>
        <v/>
      </c>
      <c r="HV5" s="13" t="str">
        <f>IF(SUM(HT5:HU5)&gt;0,SUM(HT5:HU5),"")</f>
        <v/>
      </c>
      <c r="HW5" s="13" t="str">
        <f>IF(SUM(HN5:HQ5)-HR5&gt;0,SUM(HN5:HQ5)-HR5,"")</f>
        <v/>
      </c>
      <c r="HX5" s="13" t="str">
        <f>IF(SUM(HV5,HW5)&gt;0,SUM(HV5,HW5),"")</f>
        <v/>
      </c>
      <c r="HY5" s="62"/>
      <c r="HZ5" s="62"/>
      <c r="IA5" s="62"/>
      <c r="IB5" s="62"/>
      <c r="IC5" s="62"/>
      <c r="ID5" s="62"/>
      <c r="IE5" s="62"/>
      <c r="IF5" s="62"/>
      <c r="IG5" s="62"/>
      <c r="IH5" s="62"/>
      <c r="II5" s="62"/>
      <c r="IJ5" s="62"/>
      <c r="IK5" s="62"/>
      <c r="IL5" s="62"/>
      <c r="IM5" s="62"/>
      <c r="IN5" s="17" t="str">
        <f>IF(SUM(IA5,IF5)&gt;0,SUM(IA5,IF5),"")</f>
        <v/>
      </c>
      <c r="IO5" s="17" t="str">
        <f>IF(SUM(HY5:IB5)-IC5&gt;0,SUM(HY5:IB5)-IC5,"")</f>
        <v/>
      </c>
      <c r="IP5" s="17" t="str">
        <f>IF(SUM(ID5:IG5)-IH5&gt;0,SUM(ID5:IG5)-IH5,"")</f>
        <v/>
      </c>
      <c r="IQ5" s="17" t="str">
        <f>IF(SUM(IO5:IP5)&gt;0,SUM(IO5:IP5),"")</f>
        <v/>
      </c>
      <c r="IR5" s="17" t="str">
        <f>IF(SUM(II5:IL5)-IM5&gt;0,SUM(II5:IL5)-IM5,"")</f>
        <v/>
      </c>
      <c r="IS5" s="17" t="str">
        <f>IF(SUM(IQ5,IR5)&gt;0,SUM(IQ5,IR5),"")</f>
        <v/>
      </c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13" t="str">
        <f>IF(SUM(IV5,JA5)&gt;0,SUM(IV5,JA5),"")</f>
        <v/>
      </c>
      <c r="JJ5" s="13" t="str">
        <f>IF(SUM(IT5:IW5)-IX5&gt;0,SUM(IT5:IW5)-IX5,"")</f>
        <v/>
      </c>
      <c r="JK5" s="13" t="str">
        <f>IF(SUM(IY5:JB5)-JC5&gt;0,SUM(IY5:JB5)-JC5,"")</f>
        <v/>
      </c>
      <c r="JL5" s="13" t="str">
        <f>IF(SUM(JJ5:JK5)&gt;0,SUM(JJ5:JK5),"")</f>
        <v/>
      </c>
      <c r="JM5" s="13" t="str">
        <f>IF(SUM(JD5:JG5)-JH5&gt;0,SUM(JD5:JG5)-JH5,"")</f>
        <v/>
      </c>
      <c r="JN5" s="13" t="str">
        <f>IF(SUM(JL5,JM5)&gt;0,SUM(JL5,JM5),"")</f>
        <v/>
      </c>
      <c r="JO5" s="62"/>
      <c r="JP5" s="62"/>
      <c r="JQ5" s="62"/>
      <c r="JR5" s="62"/>
      <c r="JS5" s="62"/>
      <c r="JT5" s="62"/>
      <c r="JU5" s="62"/>
      <c r="JV5" s="62"/>
      <c r="JW5" s="62"/>
      <c r="JX5" s="62"/>
      <c r="JY5" s="62"/>
      <c r="JZ5" s="62"/>
      <c r="KA5" s="62"/>
      <c r="KB5" s="62"/>
      <c r="KC5" s="62"/>
      <c r="KD5" s="17" t="str">
        <f>IF(SUM(JQ5,JV5)&gt;0,SUM(JQ5,JV5),"")</f>
        <v/>
      </c>
      <c r="KE5" s="17" t="str">
        <f>IF(SUM(JO5:JR5)-JS5&gt;0,SUM(JO5:JR5)-JS5,"")</f>
        <v/>
      </c>
      <c r="KF5" s="17" t="str">
        <f>IF(SUM(JT5:JW5)-JX5&gt;0,SUM(JT5:JW5)-JX5,"")</f>
        <v/>
      </c>
      <c r="KG5" s="17" t="str">
        <f>IF(SUM(KE5:KF5)&gt;0,SUM(KE5:KF5),"")</f>
        <v/>
      </c>
      <c r="KH5" s="17" t="str">
        <f>IF(SUM(JY5:KB5)-KC5&gt;0,SUM(JY5:KB5)-KC5,"")</f>
        <v/>
      </c>
      <c r="KI5" s="17" t="str">
        <f>IF(SUM(KG5,KH5)&gt;0,SUM(KG5,KH5),"")</f>
        <v/>
      </c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13" t="str">
        <f>IF(SUM(KL5,KQ5)&gt;0,SUM(KL5,KQ5),"")</f>
        <v/>
      </c>
      <c r="KZ5" s="13" t="str">
        <f>IF(SUM(KJ5:KM5)-KN5&gt;0,SUM(KJ5:KM5)-KN5,"")</f>
        <v/>
      </c>
      <c r="LA5" s="13" t="str">
        <f>IF(SUM(KO5:KR5)-KS5&gt;0,SUM(KO5:KR5)-KS5,"")</f>
        <v/>
      </c>
      <c r="LB5" s="13" t="str">
        <f>IF(SUM(KZ5:LA5)&gt;0,SUM(KZ5:LA5),"")</f>
        <v/>
      </c>
      <c r="LC5" s="13" t="str">
        <f>IF(SUM(KT5:KW5)-KX5&gt;0,SUM(KT5:KW5)-KX5,"")</f>
        <v/>
      </c>
      <c r="LD5" s="13" t="str">
        <f>IF(SUM(LB5,LC5)&gt;0,SUM(LB5,LC5),"")</f>
        <v/>
      </c>
      <c r="LE5" s="62"/>
      <c r="LF5" s="62"/>
      <c r="LG5" s="62"/>
      <c r="LH5" s="62"/>
      <c r="LI5" s="62"/>
      <c r="LJ5" s="62"/>
      <c r="LK5" s="62"/>
      <c r="LL5" s="62"/>
      <c r="LM5" s="62"/>
      <c r="LN5" s="62"/>
      <c r="LO5" s="62"/>
      <c r="LP5" s="62"/>
      <c r="LQ5" s="62"/>
      <c r="LR5" s="62"/>
      <c r="LS5" s="62"/>
      <c r="LT5" s="17" t="str">
        <f>IF(SUM(LG5,LL5)&gt;0,SUM(LG5,LL5),"")</f>
        <v/>
      </c>
      <c r="LU5" s="17" t="str">
        <f>IF(SUM(LE5:LH5)-LI5&gt;0,SUM(LE5:LH5)-LI5,"")</f>
        <v/>
      </c>
      <c r="LV5" s="17" t="str">
        <f>IF(SUM(LJ5:LM5)-LN5&gt;0,SUM(LJ5:LM5)-LN5,"")</f>
        <v/>
      </c>
      <c r="LW5" s="17" t="str">
        <f>IF(SUM(LU5:LV5)&gt;0,SUM(LU5:LV5),"")</f>
        <v/>
      </c>
      <c r="LX5" s="17" t="str">
        <f>IF(SUM(LO5:LR5)-LS5&gt;0,SUM(LO5:LR5)-LS5,"")</f>
        <v/>
      </c>
      <c r="LY5" s="17" t="str">
        <f>IF(SUM(LW5,LX5)&gt;0,SUM(LW5,LX5),"")</f>
        <v/>
      </c>
    </row>
    <row r="6" spans="1:337" x14ac:dyDescent="0.2">
      <c r="A6" s="6" t="str">
        <f ca="1">IF(AND(F6="P",G6="P"),SUMPRODUCT((F$4:F$6="P")*(G$4:G$6="P")*(E$4:E$6&gt;E6))+1,IF(G6="P",SUMPRODUCT((F$4:F$6="")*(G$4:G$6="P")*(E$4:E$6&gt;E6))+1+SUMPRODUCT((F$4:F$6="P")*(G$4:G$6="P")),""))</f>
        <v/>
      </c>
      <c r="B6" s="7" t="s">
        <v>104</v>
      </c>
      <c r="C6" s="8" t="s">
        <v>13</v>
      </c>
      <c r="D6" s="6">
        <v>2014</v>
      </c>
      <c r="E6" s="18">
        <f>SUM(I6:Q6)</f>
        <v>132.93</v>
      </c>
      <c r="F6" s="4" t="str">
        <f>IF(OR(AND(AI6&gt;=C$10,NOT(AI6="")),AND(BD6&gt;=C$10,NOT(BD6="")),AND(BY6&gt;=C$10,NOT(BY6=""))),"P","")</f>
        <v/>
      </c>
      <c r="G6" s="4" t="str">
        <f ca="1">IF(OR(I6&gt;=C$12,AND(I6&gt;$C$11,YEAR(TODAY())-$D6&lt;2)),"P","")</f>
        <v/>
      </c>
      <c r="H6" t="str">
        <f ca="1">IF(F6="P",IF(I6&gt;=C$14,"Merit",IF(I6&gt;=C$13,"Funding",IF(I6&gt;=C$12,"Team",IF(AND(I6&gt;C$11,YEAR(TODAY())-$D6&lt;2),"First 2 Years","")))),IF(AND(I6&gt;C$11,YEAR(TODAY())-$D6&lt;2),"First 2 Years",""))</f>
        <v/>
      </c>
      <c r="I6" s="17">
        <f>MAX(AL6,BG6,CB6)</f>
        <v>66.680000000000007</v>
      </c>
      <c r="J6" s="17" t="str">
        <f>IF(I6=CB6,$BJ$1,IF(I6=BG6,$AO$1,IF(I6=AL6,$T$1,"")))</f>
        <v>2017 Canada Cup</v>
      </c>
      <c r="K6" s="17">
        <f>IF($I6=$AL6,MAX(BE6,BZ6),IF($I6=$BG6,MAX(AJ6,BZ6),MAX(AJ6,BE6)))</f>
        <v>22.909999999999997</v>
      </c>
      <c r="L6" s="17" t="str">
        <f>IF(K6=BZ6,$BJ$1,IF(K6=BE6,$AO$1,IF(K6=AJ6,$T$1,"")))</f>
        <v>2017 Nationals</v>
      </c>
      <c r="M6" s="17">
        <f>IF($I6=$AL6,MAX(BF6,CA6),IF($I6=$BG6,MAX(AK6,CA6),MAX(AK6,BF6)))</f>
        <v>9.18</v>
      </c>
      <c r="N6" s="17" t="str">
        <f>IF(M6=CA6,$BJ$1,IF(M6=BF6,$AO$1,IF(M6=AK6,$T$1,"")))</f>
        <v>2017 Nationals</v>
      </c>
      <c r="O6" s="17">
        <f>MAX(AM6,BH6,CC6)</f>
        <v>34.160000000000004</v>
      </c>
      <c r="P6" s="17" t="str">
        <f>IF(O6=CC6,$BJ$1,IF(O6=BH6,$AO$1,IF(O6=AM6,$T$1,"")))</f>
        <v>2017 Canada Cup</v>
      </c>
      <c r="Q6" s="17" t="str">
        <f>IF(MAX(CE6:CG6)&gt;0,MAX(CE6:CG6),"")</f>
        <v/>
      </c>
      <c r="R6" s="44" t="str">
        <f>IF(Q6="","",IF(Q6=CE6,"(Vol 1)",IF(Q6=CF6,"(Vol 2)",IF(Q6=CG6,"(Final)"))))</f>
        <v/>
      </c>
      <c r="S6" s="17" t="str">
        <f>IF(Q6="","",IF(Q6=CE6,IF(Q6+K6=LU6,$LE$1,IF(Q6+K6=KZ6,$KJ$1,IF(Q6+K6=KE6,$JO$1,IF(Q6+K6=JJ6,$IT$1,IF(Q6+K6=IO6,$HY$1,IF(Q6+K6=HT6,$HD$1,IF(Q6+K6=GY6,$GI$1,IF(Q6+K6=GD6,$FN$1,IF(Q6+K6=FI6,$ES$1,IF(Q6+K6=EN6,$DX$1,IF(Q6+K6=DS6,$DC$1,IF(Q6+K6=CX6,$CH$1)))))))))))),IF(Q6=CF6,IF(Q6+M6=LV6,$LE$1,IF(Q6+M6=LA6,$KJ$1,IF(Q6+M6=KF6,$JO$1,IF(Q6+M6=JK6,$IT$1,IF(Q6+M6=IP6,$HY$1,IF(Q6+M6=HU6,$HD$1,IF(Q6+M6=GZ6,$GI$1,IF(Q6+M6=GE6,$FN$1,IF(Q6+M6=FJ6,$ES$1,IF(Q6+M6=EO6,$DX$1,IF(Q6+M6=DT6,$DC$1,IF(Q6+M6=CY6,$CH$1)))))))))))),IF(Q6=CG6,IF(Q6+O6=LX6,$LE$1,IF(Q6+O6=LC6,$KJ$1,IF(Q6+O6=KH6,$JO$1,IF(Q6+O6=JM6,$IT$1,IF(Q6+O6=IR6,$HY$1,IF(Q6+O6=HW6,$HD$1,IF(Q6+O6=HB6,$GI$1,IF(Q6+O6=GG6,$FN$1,IF(Q6+O6=FL6,$ES$1,IF(Q6+O6=EQ6,$DX$1,IF(Q6+O6=DV6,$DC$1,IF(Q6+O6=DA6,$CH$1))))))))))))))))</f>
        <v/>
      </c>
      <c r="T6" s="60">
        <v>8.4</v>
      </c>
      <c r="U6" s="60">
        <v>9.4</v>
      </c>
      <c r="V6" s="60">
        <v>3.9</v>
      </c>
      <c r="W6" s="60">
        <v>18.100000000000001</v>
      </c>
      <c r="X6" s="60">
        <v>0</v>
      </c>
      <c r="Y6" s="60">
        <v>4.5999999999999996</v>
      </c>
      <c r="Z6" s="60">
        <v>5</v>
      </c>
      <c r="AA6" s="60">
        <v>6.5</v>
      </c>
      <c r="AB6" s="60">
        <v>10.78</v>
      </c>
      <c r="AC6" s="60">
        <v>0</v>
      </c>
      <c r="AD6" s="60">
        <v>7.4</v>
      </c>
      <c r="AE6" s="60">
        <v>9.1</v>
      </c>
      <c r="AF6" s="60">
        <v>10.1</v>
      </c>
      <c r="AG6" s="60">
        <v>7.56</v>
      </c>
      <c r="AH6" s="60">
        <v>0</v>
      </c>
      <c r="AI6" s="13">
        <f>IF(SUM(V6,AA6)&gt;0,SUM(V6,AA6),"")</f>
        <v>10.4</v>
      </c>
      <c r="AJ6" s="13">
        <f>IF(SUM(T6:W6)-X6&gt;0,SUM(T6:W6)-X6,"")</f>
        <v>39.799999999999997</v>
      </c>
      <c r="AK6" s="13">
        <f>IF(SUM(Y6:AB6)-AC6&gt;0,SUM(Y6:AB6)-AC6,"")</f>
        <v>26.880000000000003</v>
      </c>
      <c r="AL6" s="13">
        <f>IF(SUM(AJ6:AK6)&gt;0,SUM(AJ6:AK6),"")</f>
        <v>66.680000000000007</v>
      </c>
      <c r="AM6" s="13">
        <f>IF(SUM(AD6:AG6)-AH6&gt;0,SUM(AD6:AG6)-AH6,"")</f>
        <v>34.160000000000004</v>
      </c>
      <c r="AN6" s="13">
        <f>IF(SUM(AL6,AM6)&gt;0,SUM(AL6,AM6),"")</f>
        <v>100.84</v>
      </c>
      <c r="AO6" s="62">
        <v>5.15</v>
      </c>
      <c r="AP6" s="62">
        <v>5.8</v>
      </c>
      <c r="AQ6" s="62">
        <v>1.6</v>
      </c>
      <c r="AR6" s="62">
        <v>10.36</v>
      </c>
      <c r="AS6" s="62">
        <v>0</v>
      </c>
      <c r="AT6" s="62">
        <v>1.65</v>
      </c>
      <c r="AU6" s="62">
        <v>1.95</v>
      </c>
      <c r="AV6" s="62">
        <v>2.1</v>
      </c>
      <c r="AW6" s="62">
        <v>3.48</v>
      </c>
      <c r="AX6" s="62">
        <v>0</v>
      </c>
      <c r="AY6" s="62"/>
      <c r="AZ6" s="62"/>
      <c r="BA6" s="62"/>
      <c r="BB6" s="62"/>
      <c r="BC6" s="62"/>
      <c r="BD6" s="17">
        <f>IF(SUM(AQ6,AV6)&gt;0,SUM(AQ6,AV6),"")</f>
        <v>3.7</v>
      </c>
      <c r="BE6" s="17">
        <f>IF(SUM(AO6:AR6)-AS6&gt;0,SUM(AO6:AR6)-AS6,"")</f>
        <v>22.909999999999997</v>
      </c>
      <c r="BF6" s="17">
        <f>IF(SUM(AT6:AW6)-AX6&gt;0,SUM(AT6:AW6)-AX6,"")</f>
        <v>9.18</v>
      </c>
      <c r="BG6" s="17">
        <f>IF(SUM(BE6:BF6)&gt;0,SUM(BE6:BF6),"")</f>
        <v>32.089999999999996</v>
      </c>
      <c r="BH6" s="17" t="str">
        <f>IF(SUM(AY6:BB6)-BC6&gt;0,SUM(AY6:BB6)-BC6,"")</f>
        <v/>
      </c>
      <c r="BI6" s="17">
        <f>IF(SUM(BG6,BH6)&gt;0,SUM(BG6,BH6),"")</f>
        <v>32.089999999999996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13" t="str">
        <f>IF(SUM(BL6,BQ6)&gt;0,SUM(BL6,BQ6),"")</f>
        <v/>
      </c>
      <c r="BZ6" s="13" t="str">
        <f>IF(SUM(BJ6:BM6)-BN6&gt;0,SUM(BJ6:BM6)-BN6,"")</f>
        <v/>
      </c>
      <c r="CA6" s="13" t="str">
        <f>IF(SUM(BO6:BR6)-BS6&gt;0,SUM(BO6:BR6)-BS6,"")</f>
        <v/>
      </c>
      <c r="CB6" s="13" t="str">
        <f>IF(SUM(BZ6:CA6)&gt;0,SUM(BZ6:CA6),"")</f>
        <v/>
      </c>
      <c r="CC6" s="13" t="str">
        <f>IF(SUM(BT6:BW6)-BX6&gt;0,SUM(BT6:BW6)-BX6,"")</f>
        <v/>
      </c>
      <c r="CD6" s="13" t="str">
        <f>IF(SUM(CB6,CC6)&gt;0,SUM(CB6,CC6),"")</f>
        <v/>
      </c>
      <c r="CE6" s="43" t="str">
        <f>IF(MAX(CX6,DS6,EN6,FI6,GD6,GY6,HT6,IO6,JJ6,KE6,KZ6,LU6)-K6&gt;0.001,MAX(CX6,DS6,EN6,FI6,GD6,GY6,HT6,IO6,JJ6,KE6,KZ6,LU6)-K6,"")</f>
        <v/>
      </c>
      <c r="CF6" s="43" t="str">
        <f>IF(MAX(CY6,DT6,EO6,FJ6,GE6,GZ6,HU6,IP6,JK6,KF6,LA6,LV6)-M6&gt;0.001,MAX(CY6,DT6,EO6,FJ6,GE6,GZ6,HU6,IP6,JK6,KF6,LA6,LV6)-M6,"")</f>
        <v/>
      </c>
      <c r="CG6" s="43" t="str">
        <f>IF(MAX(DA6,DV6,EQ6,FL6,GG6,HB6,HW6,IR6,JM6,KH6,LC6,LX6)-O6&gt;0.001,MAX(DA6,DV6,EQ6,FL6,GG6,HB6,HW6,IR6,JM6,KH6,LC6,LX6)-O6,"")</f>
        <v/>
      </c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13" t="str">
        <f>IF(SUM(CJ6,CO6)&gt;0,SUM(CJ6,CO6),"")</f>
        <v/>
      </c>
      <c r="CX6" s="13" t="str">
        <f>IF(SUM(CH6:CK6)-CL6&gt;0,SUM(CH6:CK6)-CL6,"")</f>
        <v/>
      </c>
      <c r="CY6" s="13" t="str">
        <f>IF(SUM(CM6:CP6)-CQ6&gt;0,SUM(CM6:CP6)-CQ6,"")</f>
        <v/>
      </c>
      <c r="CZ6" s="13" t="str">
        <f>IF(SUM(CX6:CY6)&gt;0,SUM(CX6:CY6),"")</f>
        <v/>
      </c>
      <c r="DA6" s="13" t="str">
        <f>IF(SUM(CR6:CU6)-CV6&gt;0,SUM(CR6:CU6)-CV6,"")</f>
        <v/>
      </c>
      <c r="DB6" s="13" t="str">
        <f>IF(SUM(CZ6,DA6)&gt;0,SUM(CZ6,DA6),"")</f>
        <v/>
      </c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17" t="str">
        <f>IF(SUM(DE6,DJ6)&gt;0,SUM(DE6,DJ6),"")</f>
        <v/>
      </c>
      <c r="DS6" s="17" t="str">
        <f>IF(SUM(DC6:DF6)-DG6&gt;0,SUM(DC6:DF6)-DG6,"")</f>
        <v/>
      </c>
      <c r="DT6" s="17" t="str">
        <f>IF(SUM(DH6:DK6)-DL6&gt;0,SUM(DH6:DK6)-DL6,"")</f>
        <v/>
      </c>
      <c r="DU6" s="17" t="str">
        <f>IF(SUM(DS6:DT6)&gt;0,SUM(DS6:DT6),"")</f>
        <v/>
      </c>
      <c r="DV6" s="17" t="str">
        <f>IF(SUM(DM6:DP6)-DQ6&gt;0,SUM(DM6:DP6)-DQ6,"")</f>
        <v/>
      </c>
      <c r="DW6" s="17" t="str">
        <f>IF(SUM(DU6,DV6)&gt;0,SUM(DU6,DV6),"")</f>
        <v/>
      </c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13" t="str">
        <f>IF(SUM(DZ6,EE6)&gt;0,SUM(DZ6,EE6),"")</f>
        <v/>
      </c>
      <c r="EN6" s="13" t="str">
        <f>IF(SUM(DX6:EA6)-EB6&gt;0,SUM(DX6:EA6)-EB6,"")</f>
        <v/>
      </c>
      <c r="EO6" s="13" t="str">
        <f>IF(SUM(EC6:EF6)-EG6&gt;0,SUM(EC6:EF6)-EG6,"")</f>
        <v/>
      </c>
      <c r="EP6" s="13" t="str">
        <f>IF(SUM(EN6:EO6)&gt;0,SUM(EN6:EO6),"")</f>
        <v/>
      </c>
      <c r="EQ6" s="13" t="str">
        <f>IF(SUM(EH6:EK6)-EL6&gt;0,SUM(EH6:EK6)-EL6,"")</f>
        <v/>
      </c>
      <c r="ER6" s="13" t="str">
        <f>IF(SUM(EP6,EQ6)&gt;0,SUM(EP6,EQ6),"")</f>
        <v/>
      </c>
      <c r="ES6" s="62"/>
      <c r="ET6" s="62"/>
      <c r="EU6" s="62"/>
      <c r="EV6" s="62"/>
      <c r="EW6" s="62"/>
      <c r="EX6" s="62"/>
      <c r="EY6" s="62"/>
      <c r="EZ6" s="62"/>
      <c r="FA6" s="62"/>
      <c r="FB6" s="62"/>
      <c r="FC6" s="62"/>
      <c r="FD6" s="62"/>
      <c r="FE6" s="62"/>
      <c r="FF6" s="62"/>
      <c r="FG6" s="62"/>
      <c r="FH6" s="17" t="str">
        <f>IF(SUM(EU6,EZ6)&gt;0,SUM(EU6,EZ6),"")</f>
        <v/>
      </c>
      <c r="FI6" s="17" t="str">
        <f>IF(SUM(ES6:EV6)-EW6&gt;0,SUM(ES6:EV6)-EW6,"")</f>
        <v/>
      </c>
      <c r="FJ6" s="17" t="str">
        <f>IF(SUM(EX6:FA6)-FB6&gt;0,SUM(EX6:FA6)-FB6,"")</f>
        <v/>
      </c>
      <c r="FK6" s="17" t="str">
        <f>IF(SUM(FI6:FJ6)&gt;0,SUM(FI6:FJ6),"")</f>
        <v/>
      </c>
      <c r="FL6" s="17" t="str">
        <f>IF(SUM(FC6:FF6)-FG6&gt;0,SUM(FC6:FF6)-FG6,"")</f>
        <v/>
      </c>
      <c r="FM6" s="17" t="str">
        <f>IF(SUM(FK6,FL6)&gt;0,SUM(FK6,FL6),"")</f>
        <v/>
      </c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13" t="str">
        <f>IF(SUM(FP6,FU6)&gt;0,SUM(FP6,FU6),"")</f>
        <v/>
      </c>
      <c r="GD6" s="13" t="str">
        <f>IF(SUM(FN6:FQ6)-FR6&gt;0,SUM(FN6:FQ6)-FR6,"")</f>
        <v/>
      </c>
      <c r="GE6" s="13" t="str">
        <f>IF(SUM(FS6:FV6)-FW6&gt;0,SUM(FS6:FV6)-FW6,"")</f>
        <v/>
      </c>
      <c r="GF6" s="13" t="str">
        <f>IF(SUM(GD6:GE6)&gt;0,SUM(GD6:GE6),"")</f>
        <v/>
      </c>
      <c r="GG6" s="13" t="str">
        <f>IF(SUM(FX6:GA6)-GB6&gt;0,SUM(FX6:GA6)-GB6,"")</f>
        <v/>
      </c>
      <c r="GH6" s="13" t="str">
        <f>IF(SUM(GF6,GG6)&gt;0,SUM(GF6,GG6),"")</f>
        <v/>
      </c>
      <c r="GI6" s="62"/>
      <c r="GJ6" s="62"/>
      <c r="GK6" s="62"/>
      <c r="GL6" s="62"/>
      <c r="GM6" s="62"/>
      <c r="GN6" s="62"/>
      <c r="GO6" s="62"/>
      <c r="GP6" s="62"/>
      <c r="GQ6" s="62"/>
      <c r="GR6" s="62"/>
      <c r="GS6" s="62"/>
      <c r="GT6" s="62"/>
      <c r="GU6" s="62"/>
      <c r="GV6" s="62"/>
      <c r="GW6" s="62"/>
      <c r="GX6" s="17" t="str">
        <f>IF(SUM(GK6,GP6)&gt;0,SUM(GK6,GP6),"")</f>
        <v/>
      </c>
      <c r="GY6" s="17" t="str">
        <f>IF(SUM(GI6:GL6)-GM6&gt;0,SUM(GI6:GL6)-GM6,"")</f>
        <v/>
      </c>
      <c r="GZ6" s="17" t="str">
        <f>IF(SUM(GN6:GQ6)-GR6&gt;0,SUM(GN6:GQ6)-GR6,"")</f>
        <v/>
      </c>
      <c r="HA6" s="17" t="str">
        <f>IF(SUM(GY6:GZ6)&gt;0,SUM(GY6:GZ6),"")</f>
        <v/>
      </c>
      <c r="HB6" s="17" t="str">
        <f>IF(SUM(GS6:GV6)-GW6&gt;0,SUM(GS6:GV6)-GW6,"")</f>
        <v/>
      </c>
      <c r="HC6" s="17" t="str">
        <f>IF(SUM(HA6,HB6)&gt;0,SUM(HA6,HB6),"")</f>
        <v/>
      </c>
      <c r="HD6" s="60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13" t="str">
        <f>IF(SUM(HF6,HK6)&gt;0,SUM(HF6,HK6),"")</f>
        <v/>
      </c>
      <c r="HT6" s="13" t="str">
        <f>IF(SUM(HD6:HG6)-HH6&gt;0,SUM(HD6:HG6)-HH6,"")</f>
        <v/>
      </c>
      <c r="HU6" s="13" t="str">
        <f>IF(SUM(HI6:HL6)-HM6&gt;0,SUM(HI6:HL6)-HM6,"")</f>
        <v/>
      </c>
      <c r="HV6" s="13" t="str">
        <f>IF(SUM(HT6:HU6)&gt;0,SUM(HT6:HU6),"")</f>
        <v/>
      </c>
      <c r="HW6" s="13" t="str">
        <f>IF(SUM(HN6:HQ6)-HR6&gt;0,SUM(HN6:HQ6)-HR6,"")</f>
        <v/>
      </c>
      <c r="HX6" s="13" t="str">
        <f>IF(SUM(HV6,HW6)&gt;0,SUM(HV6,HW6),"")</f>
        <v/>
      </c>
      <c r="HY6" s="62"/>
      <c r="HZ6" s="62"/>
      <c r="IA6" s="62"/>
      <c r="IB6" s="62"/>
      <c r="IC6" s="62"/>
      <c r="ID6" s="62"/>
      <c r="IE6" s="62"/>
      <c r="IF6" s="62"/>
      <c r="IG6" s="62"/>
      <c r="IH6" s="62"/>
      <c r="II6" s="62"/>
      <c r="IJ6" s="62"/>
      <c r="IK6" s="62"/>
      <c r="IL6" s="62"/>
      <c r="IM6" s="62"/>
      <c r="IN6" s="17" t="str">
        <f>IF(SUM(IA6,IF6)&gt;0,SUM(IA6,IF6),"")</f>
        <v/>
      </c>
      <c r="IO6" s="17" t="str">
        <f>IF(SUM(HY6:IB6)-IC6&gt;0,SUM(HY6:IB6)-IC6,"")</f>
        <v/>
      </c>
      <c r="IP6" s="17" t="str">
        <f>IF(SUM(ID6:IG6)-IH6&gt;0,SUM(ID6:IG6)-IH6,"")</f>
        <v/>
      </c>
      <c r="IQ6" s="17" t="str">
        <f>IF(SUM(IO6:IP6)&gt;0,SUM(IO6:IP6),"")</f>
        <v/>
      </c>
      <c r="IR6" s="17" t="str">
        <f>IF(SUM(II6:IL6)-IM6&gt;0,SUM(II6:IL6)-IM6,"")</f>
        <v/>
      </c>
      <c r="IS6" s="17" t="str">
        <f>IF(SUM(IQ6,IR6)&gt;0,SUM(IQ6,IR6),"")</f>
        <v/>
      </c>
      <c r="IT6" s="60"/>
      <c r="IU6" s="60"/>
      <c r="IV6" s="60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13" t="str">
        <f>IF(SUM(IV6,JA6)&gt;0,SUM(IV6,JA6),"")</f>
        <v/>
      </c>
      <c r="JJ6" s="13" t="str">
        <f>IF(SUM(IT6:IW6)-IX6&gt;0,SUM(IT6:IW6)-IX6,"")</f>
        <v/>
      </c>
      <c r="JK6" s="13" t="str">
        <f>IF(SUM(IY6:JB6)-JC6&gt;0,SUM(IY6:JB6)-JC6,"")</f>
        <v/>
      </c>
      <c r="JL6" s="13" t="str">
        <f>IF(SUM(JJ6:JK6)&gt;0,SUM(JJ6:JK6),"")</f>
        <v/>
      </c>
      <c r="JM6" s="13" t="str">
        <f>IF(SUM(JD6:JG6)-JH6&gt;0,SUM(JD6:JG6)-JH6,"")</f>
        <v/>
      </c>
      <c r="JN6" s="13" t="str">
        <f>IF(SUM(JL6,JM6)&gt;0,SUM(JL6,JM6),"")</f>
        <v/>
      </c>
      <c r="JO6" s="62"/>
      <c r="JP6" s="62"/>
      <c r="JQ6" s="62"/>
      <c r="JR6" s="62"/>
      <c r="JS6" s="62"/>
      <c r="JT6" s="62"/>
      <c r="JU6" s="62"/>
      <c r="JV6" s="62"/>
      <c r="JW6" s="62"/>
      <c r="JX6" s="62"/>
      <c r="JY6" s="62"/>
      <c r="JZ6" s="62"/>
      <c r="KA6" s="62"/>
      <c r="KB6" s="62"/>
      <c r="KC6" s="62"/>
      <c r="KD6" s="17" t="str">
        <f>IF(SUM(JQ6,JV6)&gt;0,SUM(JQ6,JV6),"")</f>
        <v/>
      </c>
      <c r="KE6" s="17" t="str">
        <f>IF(SUM(JO6:JR6)-JS6&gt;0,SUM(JO6:JR6)-JS6,"")</f>
        <v/>
      </c>
      <c r="KF6" s="17" t="str">
        <f>IF(SUM(JT6:JW6)-JX6&gt;0,SUM(JT6:JW6)-JX6,"")</f>
        <v/>
      </c>
      <c r="KG6" s="17" t="str">
        <f>IF(SUM(KE6:KF6)&gt;0,SUM(KE6:KF6),"")</f>
        <v/>
      </c>
      <c r="KH6" s="17" t="str">
        <f>IF(SUM(JY6:KB6)-KC6&gt;0,SUM(JY6:KB6)-KC6,"")</f>
        <v/>
      </c>
      <c r="KI6" s="17" t="str">
        <f>IF(SUM(KG6,KH6)&gt;0,SUM(KG6,KH6),"")</f>
        <v/>
      </c>
      <c r="KJ6" s="60"/>
      <c r="KK6" s="60"/>
      <c r="KL6" s="60"/>
      <c r="KM6" s="60"/>
      <c r="KN6" s="60"/>
      <c r="KO6" s="60"/>
      <c r="KP6" s="60"/>
      <c r="KQ6" s="60"/>
      <c r="KR6" s="60"/>
      <c r="KS6" s="60"/>
      <c r="KT6" s="60"/>
      <c r="KU6" s="60"/>
      <c r="KV6" s="60"/>
      <c r="KW6" s="60"/>
      <c r="KX6" s="60"/>
      <c r="KY6" s="13" t="str">
        <f>IF(SUM(KL6,KQ6)&gt;0,SUM(KL6,KQ6),"")</f>
        <v/>
      </c>
      <c r="KZ6" s="13" t="str">
        <f>IF(SUM(KJ6:KM6)-KN6&gt;0,SUM(KJ6:KM6)-KN6,"")</f>
        <v/>
      </c>
      <c r="LA6" s="13" t="str">
        <f>IF(SUM(KO6:KR6)-KS6&gt;0,SUM(KO6:KR6)-KS6,"")</f>
        <v/>
      </c>
      <c r="LB6" s="13" t="str">
        <f>IF(SUM(KZ6:LA6)&gt;0,SUM(KZ6:LA6),"")</f>
        <v/>
      </c>
      <c r="LC6" s="13" t="str">
        <f>IF(SUM(KT6:KW6)-KX6&gt;0,SUM(KT6:KW6)-KX6,"")</f>
        <v/>
      </c>
      <c r="LD6" s="13" t="str">
        <f>IF(SUM(LB6,LC6)&gt;0,SUM(LB6,LC6),"")</f>
        <v/>
      </c>
      <c r="LE6" s="62"/>
      <c r="LF6" s="62"/>
      <c r="LG6" s="62"/>
      <c r="LH6" s="62"/>
      <c r="LI6" s="62"/>
      <c r="LJ6" s="62"/>
      <c r="LK6" s="62"/>
      <c r="LL6" s="62"/>
      <c r="LM6" s="62"/>
      <c r="LN6" s="62"/>
      <c r="LO6" s="62"/>
      <c r="LP6" s="62"/>
      <c r="LQ6" s="62"/>
      <c r="LR6" s="62"/>
      <c r="LS6" s="62"/>
      <c r="LT6" s="17" t="str">
        <f>IF(SUM(LG6,LL6)&gt;0,SUM(LG6,LL6),"")</f>
        <v/>
      </c>
      <c r="LU6" s="17" t="str">
        <f>IF(SUM(LE6:LH6)-LI6&gt;0,SUM(LE6:LH6)-LI6,"")</f>
        <v/>
      </c>
      <c r="LV6" s="17" t="str">
        <f>IF(SUM(LJ6:LM6)-LN6&gt;0,SUM(LJ6:LM6)-LN6,"")</f>
        <v/>
      </c>
      <c r="LW6" s="17" t="str">
        <f>IF(SUM(LU6:LV6)&gt;0,SUM(LU6:LV6),"")</f>
        <v/>
      </c>
      <c r="LX6" s="17" t="str">
        <f>IF(SUM(LO6:LR6)-LS6&gt;0,SUM(LO6:LR6)-LS6,"")</f>
        <v/>
      </c>
      <c r="LY6" s="17" t="str">
        <f>IF(SUM(LW6,LX6)&gt;0,SUM(LW6,LX6),"")</f>
        <v/>
      </c>
    </row>
    <row r="7" spans="1:337" x14ac:dyDescent="0.2">
      <c r="D7" s="1"/>
    </row>
    <row r="10" spans="1:337" x14ac:dyDescent="0.2">
      <c r="A10" s="91" t="s">
        <v>44</v>
      </c>
      <c r="B10" s="91"/>
      <c r="C10" s="21">
        <v>14.3</v>
      </c>
    </row>
    <row r="11" spans="1:337" x14ac:dyDescent="0.2">
      <c r="A11" s="92" t="s">
        <v>42</v>
      </c>
      <c r="B11" s="92"/>
      <c r="C11" s="22">
        <v>83.4</v>
      </c>
    </row>
    <row r="12" spans="1:337" x14ac:dyDescent="0.2">
      <c r="A12" s="93" t="s">
        <v>23</v>
      </c>
      <c r="B12" s="93"/>
      <c r="C12" s="23">
        <v>84.4</v>
      </c>
    </row>
    <row r="13" spans="1:337" x14ac:dyDescent="0.2">
      <c r="A13" s="89" t="s">
        <v>43</v>
      </c>
      <c r="B13" s="89"/>
      <c r="C13" s="24">
        <v>86.6</v>
      </c>
    </row>
    <row r="14" spans="1:337" x14ac:dyDescent="0.2">
      <c r="A14" s="90" t="s">
        <v>112</v>
      </c>
      <c r="B14" s="90"/>
      <c r="C14" s="25">
        <v>89.6</v>
      </c>
    </row>
    <row r="15" spans="1:337" x14ac:dyDescent="0.2">
      <c r="C15" s="3"/>
    </row>
    <row r="16" spans="1:337" x14ac:dyDescent="0.2">
      <c r="A16" s="93" t="s">
        <v>86</v>
      </c>
      <c r="B16" s="93"/>
      <c r="C16" s="23">
        <v>212.3</v>
      </c>
    </row>
    <row r="17" spans="1:19" ht="17" x14ac:dyDescent="0.2">
      <c r="A17" s="89" t="s">
        <v>87</v>
      </c>
      <c r="B17" s="89"/>
      <c r="C17" s="24">
        <v>218.2</v>
      </c>
      <c r="Q17" s="31"/>
      <c r="R17" s="31"/>
      <c r="S17" s="31"/>
    </row>
    <row r="18" spans="1:19" ht="17" x14ac:dyDescent="0.2">
      <c r="A18" s="90" t="s">
        <v>113</v>
      </c>
      <c r="B18" s="90"/>
      <c r="C18" s="25">
        <v>226</v>
      </c>
      <c r="Q18" s="31"/>
      <c r="R18" s="31"/>
      <c r="S18" s="31"/>
    </row>
    <row r="19" spans="1:19" ht="17" x14ac:dyDescent="0.2">
      <c r="Q19" s="31"/>
      <c r="R19" s="31"/>
      <c r="S19" s="31"/>
    </row>
    <row r="20" spans="1:19" ht="17" x14ac:dyDescent="0.2">
      <c r="Q20" s="31"/>
      <c r="R20" s="31"/>
      <c r="S20" s="31"/>
    </row>
    <row r="21" spans="1:19" ht="17" x14ac:dyDescent="0.2">
      <c r="Q21" s="31"/>
      <c r="R21" s="31"/>
      <c r="S21" s="31"/>
    </row>
    <row r="22" spans="1:19" ht="17" x14ac:dyDescent="0.2">
      <c r="Q22" s="31"/>
      <c r="R22" s="31"/>
      <c r="S22" s="31"/>
    </row>
    <row r="23" spans="1:19" ht="17" x14ac:dyDescent="0.2">
      <c r="Q23" s="31"/>
      <c r="R23" s="31"/>
      <c r="S23" s="31"/>
    </row>
    <row r="24" spans="1:19" ht="17" x14ac:dyDescent="0.2">
      <c r="Q24" s="31"/>
      <c r="R24" s="31"/>
      <c r="S24" s="31"/>
    </row>
    <row r="25" spans="1:19" ht="17" x14ac:dyDescent="0.2">
      <c r="Q25" s="31"/>
      <c r="R25" s="31"/>
      <c r="S25" s="31"/>
    </row>
    <row r="26" spans="1:19" ht="17" x14ac:dyDescent="0.2">
      <c r="Q26" s="31"/>
      <c r="R26" s="31"/>
      <c r="S26" s="31"/>
    </row>
    <row r="27" spans="1:19" ht="17" x14ac:dyDescent="0.2">
      <c r="Q27" s="31"/>
      <c r="R27" s="31"/>
      <c r="S27" s="31"/>
    </row>
    <row r="28" spans="1:19" ht="17" x14ac:dyDescent="0.2">
      <c r="Q28" s="31"/>
      <c r="R28" s="31"/>
      <c r="S28" s="31"/>
    </row>
    <row r="29" spans="1:19" ht="17" x14ac:dyDescent="0.2">
      <c r="Q29" s="31"/>
      <c r="R29" s="31"/>
      <c r="S29" s="31"/>
    </row>
    <row r="30" spans="1:19" ht="17" x14ac:dyDescent="0.2">
      <c r="Q30" s="31"/>
      <c r="R30" s="31"/>
      <c r="S30" s="31"/>
    </row>
    <row r="31" spans="1:19" ht="17" x14ac:dyDescent="0.2">
      <c r="Q31" s="31"/>
      <c r="R31" s="31"/>
      <c r="S31" s="31"/>
    </row>
    <row r="32" spans="1:19" ht="17" x14ac:dyDescent="0.2">
      <c r="Q32" s="31"/>
      <c r="R32" s="31"/>
      <c r="S32" s="31"/>
    </row>
    <row r="33" spans="17:19" ht="17" x14ac:dyDescent="0.2">
      <c r="Q33" s="31"/>
      <c r="R33" s="31"/>
      <c r="S33" s="31"/>
    </row>
    <row r="34" spans="17:19" ht="17" x14ac:dyDescent="0.2">
      <c r="Q34" s="31"/>
      <c r="R34" s="31"/>
      <c r="S34" s="31"/>
    </row>
    <row r="35" spans="17:19" ht="17" x14ac:dyDescent="0.2">
      <c r="Q35" s="31"/>
      <c r="R35" s="31"/>
      <c r="S35" s="31"/>
    </row>
    <row r="36" spans="17:19" ht="17" x14ac:dyDescent="0.2">
      <c r="Q36" s="31"/>
      <c r="R36" s="31"/>
      <c r="S36" s="31"/>
    </row>
  </sheetData>
  <sheetProtection sheet="1" objects="1" scenarios="1" formatCells="0" formatColumns="0" formatRows="0"/>
  <autoFilter ref="A1:LY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sortState ref="A6:LY6">
      <sortCondition descending="1" ref="F1:F5"/>
    </sortState>
  </autoFilter>
  <mergeCells count="88">
    <mergeCell ref="KJ1:LD1"/>
    <mergeCell ref="LE1:LY1"/>
    <mergeCell ref="KJ2:KN2"/>
    <mergeCell ref="KO2:KS2"/>
    <mergeCell ref="KT2:KX2"/>
    <mergeCell ref="LE2:LI2"/>
    <mergeCell ref="LJ2:LN2"/>
    <mergeCell ref="LO2:LS2"/>
    <mergeCell ref="IT1:JN1"/>
    <mergeCell ref="JO1:KI1"/>
    <mergeCell ref="IT2:IX2"/>
    <mergeCell ref="IY2:JC2"/>
    <mergeCell ref="JD2:JH2"/>
    <mergeCell ref="JO2:JS2"/>
    <mergeCell ref="JT2:JX2"/>
    <mergeCell ref="JY2:KC2"/>
    <mergeCell ref="HD1:HX1"/>
    <mergeCell ref="HY1:IS1"/>
    <mergeCell ref="HD2:HH2"/>
    <mergeCell ref="HI2:HM2"/>
    <mergeCell ref="HN2:HR2"/>
    <mergeCell ref="HY2:IC2"/>
    <mergeCell ref="ID2:IH2"/>
    <mergeCell ref="II2:IM2"/>
    <mergeCell ref="FN1:GH1"/>
    <mergeCell ref="GI1:HC1"/>
    <mergeCell ref="FN2:FR2"/>
    <mergeCell ref="FS2:FW2"/>
    <mergeCell ref="FX2:GB2"/>
    <mergeCell ref="GI2:GM2"/>
    <mergeCell ref="GN2:GR2"/>
    <mergeCell ref="GS2:GW2"/>
    <mergeCell ref="DX1:ER1"/>
    <mergeCell ref="ES1:FM1"/>
    <mergeCell ref="DX2:EB2"/>
    <mergeCell ref="EC2:EG2"/>
    <mergeCell ref="EH2:EL2"/>
    <mergeCell ref="ES2:EW2"/>
    <mergeCell ref="EX2:FB2"/>
    <mergeCell ref="FC2:FG2"/>
    <mergeCell ref="S1:S3"/>
    <mergeCell ref="T2:X2"/>
    <mergeCell ref="E1:E3"/>
    <mergeCell ref="A1:A3"/>
    <mergeCell ref="B1:B3"/>
    <mergeCell ref="C1:C3"/>
    <mergeCell ref="D1:D3"/>
    <mergeCell ref="L1:L3"/>
    <mergeCell ref="J1:J3"/>
    <mergeCell ref="N1:N3"/>
    <mergeCell ref="P1:P3"/>
    <mergeCell ref="R1:R3"/>
    <mergeCell ref="A10:B10"/>
    <mergeCell ref="A11:B11"/>
    <mergeCell ref="A12:B12"/>
    <mergeCell ref="CE1:CG1"/>
    <mergeCell ref="CH1:DB1"/>
    <mergeCell ref="M1:M3"/>
    <mergeCell ref="O1:O3"/>
    <mergeCell ref="Q1:Q3"/>
    <mergeCell ref="T1:AN1"/>
    <mergeCell ref="AO1:BI1"/>
    <mergeCell ref="BJ1:CD1"/>
    <mergeCell ref="F1:F3"/>
    <mergeCell ref="G1:G3"/>
    <mergeCell ref="H1:H3"/>
    <mergeCell ref="I1:I3"/>
    <mergeCell ref="K1:K3"/>
    <mergeCell ref="DC1:DW1"/>
    <mergeCell ref="CR2:CV2"/>
    <mergeCell ref="DC2:DG2"/>
    <mergeCell ref="DH2:DL2"/>
    <mergeCell ref="DM2:DQ2"/>
    <mergeCell ref="A13:B13"/>
    <mergeCell ref="A14:B14"/>
    <mergeCell ref="A16:B16"/>
    <mergeCell ref="A17:B17"/>
    <mergeCell ref="A18:B18"/>
    <mergeCell ref="Y2:AC2"/>
    <mergeCell ref="AD2:AH2"/>
    <mergeCell ref="AO2:AS2"/>
    <mergeCell ref="AT2:AX2"/>
    <mergeCell ref="AY2:BC2"/>
    <mergeCell ref="BJ2:BN2"/>
    <mergeCell ref="BO2:BS2"/>
    <mergeCell ref="BT2:BX2"/>
    <mergeCell ref="CH2:CL2"/>
    <mergeCell ref="CM2:CQ2"/>
  </mergeCells>
  <conditionalFormatting sqref="AI4 BD4 BY4 BY6 BD6 AI6">
    <cfRule type="cellIs" dxfId="356" priority="316" operator="between">
      <formula>$C$10</formula>
      <formula>100</formula>
    </cfRule>
  </conditionalFormatting>
  <conditionalFormatting sqref="AL4:AL6 BG4:BG6 CB4:CB6">
    <cfRule type="cellIs" dxfId="355" priority="317" operator="between">
      <formula>$C$14</formula>
      <formula>1000</formula>
    </cfRule>
    <cfRule type="cellIs" dxfId="354" priority="318" operator="between">
      <formula>$C$13</formula>
      <formula>$C$14</formula>
    </cfRule>
    <cfRule type="cellIs" dxfId="353" priority="319" operator="between">
      <formula>$C$12</formula>
      <formula>$C$13</formula>
    </cfRule>
    <cfRule type="expression" dxfId="352" priority="320">
      <formula>IF(AND(AL4&gt;=$C$11,AL4&lt;$C$12,YEAR(TODAY())-$D4&lt;2),1,0)</formula>
    </cfRule>
  </conditionalFormatting>
  <conditionalFormatting sqref="H4 H6">
    <cfRule type="containsText" dxfId="351" priority="312" operator="containsText" text="Merit">
      <formula>NOT(ISERROR(SEARCH("Merit",H4)))</formula>
    </cfRule>
    <cfRule type="containsText" dxfId="350" priority="313" operator="containsText" text="Funding">
      <formula>NOT(ISERROR(SEARCH("Funding",H4)))</formula>
    </cfRule>
    <cfRule type="containsText" dxfId="349" priority="314" operator="containsText" text="Team">
      <formula>NOT(ISERROR(SEARCH("Team",H4)))</formula>
    </cfRule>
    <cfRule type="containsText" dxfId="348" priority="315" operator="containsText" text="First 2 Years">
      <formula>NOT(ISERROR(SEARCH("First 2 Years",H4)))</formula>
    </cfRule>
  </conditionalFormatting>
  <conditionalFormatting sqref="CW4 CW6">
    <cfRule type="cellIs" dxfId="347" priority="307" operator="between">
      <formula>$C$10</formula>
      <formula>100</formula>
    </cfRule>
  </conditionalFormatting>
  <conditionalFormatting sqref="A4 A6">
    <cfRule type="expression" dxfId="346" priority="481">
      <formula>AND(H4="First 2 Years",F4="")</formula>
    </cfRule>
    <cfRule type="expression" dxfId="345" priority="482">
      <formula>AND(I4&gt;=$C$12,F4="")</formula>
    </cfRule>
  </conditionalFormatting>
  <conditionalFormatting sqref="L4 L6">
    <cfRule type="expression" dxfId="344" priority="294">
      <formula>IF(K4=BZ4,1,0)</formula>
    </cfRule>
    <cfRule type="expression" dxfId="343" priority="295">
      <formula>IF(K4=BE4,1,0)</formula>
    </cfRule>
    <cfRule type="expression" dxfId="342" priority="296">
      <formula>IF(K4=AJ4,1,0)</formula>
    </cfRule>
  </conditionalFormatting>
  <conditionalFormatting sqref="J4 J6">
    <cfRule type="expression" dxfId="341" priority="291">
      <formula>IF(I4=CB4,1,0)</formula>
    </cfRule>
    <cfRule type="expression" dxfId="340" priority="292">
      <formula>IF(I4=BG4,1,0)</formula>
    </cfRule>
    <cfRule type="expression" dxfId="339" priority="293">
      <formula>IF(I4=AL4,1,0)</formula>
    </cfRule>
  </conditionalFormatting>
  <conditionalFormatting sqref="P4 P6 N4:N6">
    <cfRule type="expression" dxfId="338" priority="288">
      <formula>IF(M4=CA4,1,0)</formula>
    </cfRule>
    <cfRule type="expression" dxfId="337" priority="289">
      <formula>IF(M4=BF4,1,0)</formula>
    </cfRule>
    <cfRule type="expression" dxfId="336" priority="290">
      <formula>IF(M4=AK4,1,0)</formula>
    </cfRule>
  </conditionalFormatting>
  <conditionalFormatting sqref="DR4 DR6">
    <cfRule type="cellIs" dxfId="335" priority="230" operator="between">
      <formula>$C$10</formula>
      <formula>100</formula>
    </cfRule>
  </conditionalFormatting>
  <conditionalFormatting sqref="EM4 EM6">
    <cfRule type="cellIs" dxfId="334" priority="225" operator="between">
      <formula>$C$10</formula>
      <formula>100</formula>
    </cfRule>
  </conditionalFormatting>
  <conditionalFormatting sqref="FH4 FH6">
    <cfRule type="cellIs" dxfId="333" priority="220" operator="between">
      <formula>$C$10</formula>
      <formula>100</formula>
    </cfRule>
  </conditionalFormatting>
  <conditionalFormatting sqref="GC4 GC6">
    <cfRule type="cellIs" dxfId="332" priority="215" operator="between">
      <formula>$C$10</formula>
      <formula>100</formula>
    </cfRule>
  </conditionalFormatting>
  <conditionalFormatting sqref="GX4 GX6">
    <cfRule type="cellIs" dxfId="331" priority="210" operator="between">
      <formula>$C$10</formula>
      <formula>100</formula>
    </cfRule>
  </conditionalFormatting>
  <conditionalFormatting sqref="HS4 HS6">
    <cfRule type="cellIs" dxfId="330" priority="205" operator="between">
      <formula>$C$10</formula>
      <formula>100</formula>
    </cfRule>
  </conditionalFormatting>
  <conditionalFormatting sqref="IN4 IN6">
    <cfRule type="cellIs" dxfId="329" priority="200" operator="between">
      <formula>$C$10</formula>
      <formula>100</formula>
    </cfRule>
  </conditionalFormatting>
  <conditionalFormatting sqref="JI4 JI6">
    <cfRule type="cellIs" dxfId="328" priority="195" operator="between">
      <formula>$C$10</formula>
      <formula>100</formula>
    </cfRule>
  </conditionalFormatting>
  <conditionalFormatting sqref="KD4 KD6">
    <cfRule type="cellIs" dxfId="327" priority="190" operator="between">
      <formula>$C$10</formula>
      <formula>100</formula>
    </cfRule>
  </conditionalFormatting>
  <conditionalFormatting sqref="KY4 KY6">
    <cfRule type="cellIs" dxfId="326" priority="185" operator="between">
      <formula>$C$10</formula>
      <formula>100</formula>
    </cfRule>
  </conditionalFormatting>
  <conditionalFormatting sqref="LT4 LT6">
    <cfRule type="cellIs" dxfId="325" priority="180" operator="between">
      <formula>$C$10</formula>
      <formula>100</formula>
    </cfRule>
  </conditionalFormatting>
  <conditionalFormatting sqref="B4:C4 B6:C6">
    <cfRule type="expression" dxfId="324" priority="629">
      <formula>$E4&gt;=$C$18</formula>
    </cfRule>
    <cfRule type="expression" dxfId="323" priority="630">
      <formula>AND($E4&gt;=$C$17,$E4&lt;$C$18)</formula>
    </cfRule>
    <cfRule type="expression" dxfId="322" priority="631">
      <formula>AND($E4&gt;=$C$16,$E4&lt;$C$17)</formula>
    </cfRule>
  </conditionalFormatting>
  <conditionalFormatting sqref="BY5 BD5 AI5">
    <cfRule type="cellIs" dxfId="321" priority="122" operator="between">
      <formula>$C$10</formula>
      <formula>100</formula>
    </cfRule>
  </conditionalFormatting>
  <conditionalFormatting sqref="H5">
    <cfRule type="containsText" dxfId="320" priority="118" operator="containsText" text="Merit">
      <formula>NOT(ISERROR(SEARCH("Merit",H5)))</formula>
    </cfRule>
    <cfRule type="containsText" dxfId="319" priority="119" operator="containsText" text="Funding">
      <formula>NOT(ISERROR(SEARCH("Funding",H5)))</formula>
    </cfRule>
    <cfRule type="containsText" dxfId="318" priority="120" operator="containsText" text="Team">
      <formula>NOT(ISERROR(SEARCH("Team",H5)))</formula>
    </cfRule>
    <cfRule type="containsText" dxfId="317" priority="121" operator="containsText" text="First 2 Years">
      <formula>NOT(ISERROR(SEARCH("First 2 Years",H5)))</formula>
    </cfRule>
  </conditionalFormatting>
  <conditionalFormatting sqref="CW5">
    <cfRule type="cellIs" dxfId="316" priority="117" operator="between">
      <formula>$C$10</formula>
      <formula>100</formula>
    </cfRule>
  </conditionalFormatting>
  <conditionalFormatting sqref="A5">
    <cfRule type="expression" dxfId="315" priority="127">
      <formula>AND(H5="First 2 Years",F5="")</formula>
    </cfRule>
    <cfRule type="expression" dxfId="314" priority="128">
      <formula>AND(I5&gt;=$C$12,F5="")</formula>
    </cfRule>
  </conditionalFormatting>
  <conditionalFormatting sqref="L5">
    <cfRule type="expression" dxfId="313" priority="114">
      <formula>IF(K5=BZ5,1,0)</formula>
    </cfRule>
    <cfRule type="expression" dxfId="312" priority="115">
      <formula>IF(K5=BE5,1,0)</formula>
    </cfRule>
    <cfRule type="expression" dxfId="311" priority="116">
      <formula>IF(K5=AJ5,1,0)</formula>
    </cfRule>
  </conditionalFormatting>
  <conditionalFormatting sqref="J5">
    <cfRule type="expression" dxfId="310" priority="111">
      <formula>IF(I5=CB5,1,0)</formula>
    </cfRule>
    <cfRule type="expression" dxfId="309" priority="112">
      <formula>IF(I5=BG5,1,0)</formula>
    </cfRule>
    <cfRule type="expression" dxfId="308" priority="113">
      <formula>IF(I5=AL5,1,0)</formula>
    </cfRule>
  </conditionalFormatting>
  <conditionalFormatting sqref="P5">
    <cfRule type="expression" dxfId="307" priority="108">
      <formula>IF(O5=CC5,1,0)</formula>
    </cfRule>
    <cfRule type="expression" dxfId="306" priority="109">
      <formula>IF(O5=BH5,1,0)</formula>
    </cfRule>
    <cfRule type="expression" dxfId="305" priority="110">
      <formula>IF(O5=AM5,1,0)</formula>
    </cfRule>
  </conditionalFormatting>
  <conditionalFormatting sqref="DR5">
    <cfRule type="cellIs" dxfId="304" priority="107" operator="between">
      <formula>$C$10</formula>
      <formula>100</formula>
    </cfRule>
  </conditionalFormatting>
  <conditionalFormatting sqref="EM5">
    <cfRule type="cellIs" dxfId="303" priority="106" operator="between">
      <formula>$C$10</formula>
      <formula>100</formula>
    </cfRule>
  </conditionalFormatting>
  <conditionalFormatting sqref="FH5">
    <cfRule type="cellIs" dxfId="302" priority="105" operator="between">
      <formula>$C$10</formula>
      <formula>100</formula>
    </cfRule>
  </conditionalFormatting>
  <conditionalFormatting sqref="GC5">
    <cfRule type="cellIs" dxfId="301" priority="104" operator="between">
      <formula>$C$10</formula>
      <formula>100</formula>
    </cfRule>
  </conditionalFormatting>
  <conditionalFormatting sqref="GX5">
    <cfRule type="cellIs" dxfId="300" priority="103" operator="between">
      <formula>$C$10</formula>
      <formula>100</formula>
    </cfRule>
  </conditionalFormatting>
  <conditionalFormatting sqref="HS5">
    <cfRule type="cellIs" dxfId="299" priority="102" operator="between">
      <formula>$C$10</formula>
      <formula>100</formula>
    </cfRule>
  </conditionalFormatting>
  <conditionalFormatting sqref="IN5">
    <cfRule type="cellIs" dxfId="298" priority="101" operator="between">
      <formula>$C$10</formula>
      <formula>100</formula>
    </cfRule>
  </conditionalFormatting>
  <conditionalFormatting sqref="JI5">
    <cfRule type="cellIs" dxfId="297" priority="100" operator="between">
      <formula>$C$10</formula>
      <formula>100</formula>
    </cfRule>
  </conditionalFormatting>
  <conditionalFormatting sqref="KD5">
    <cfRule type="cellIs" dxfId="296" priority="99" operator="between">
      <formula>$C$10</formula>
      <formula>100</formula>
    </cfRule>
  </conditionalFormatting>
  <conditionalFormatting sqref="KY5">
    <cfRule type="cellIs" dxfId="295" priority="98" operator="between">
      <formula>$C$10</formula>
      <formula>100</formula>
    </cfRule>
  </conditionalFormatting>
  <conditionalFormatting sqref="LT5">
    <cfRule type="cellIs" dxfId="294" priority="97" operator="between">
      <formula>$C$10</formula>
      <formula>100</formula>
    </cfRule>
  </conditionalFormatting>
  <conditionalFormatting sqref="B5:C5">
    <cfRule type="expression" dxfId="293" priority="129">
      <formula>$E5&gt;=$C$18</formula>
    </cfRule>
    <cfRule type="expression" dxfId="292" priority="130">
      <formula>AND($E5&gt;=$C$17,$E5&lt;$C$18)</formula>
    </cfRule>
    <cfRule type="expression" dxfId="291" priority="131">
      <formula>AND($E5&gt;=$C$16,$E5&lt;$C$17)</formula>
    </cfRule>
  </conditionalFormatting>
  <conditionalFormatting sqref="CZ4:CZ6">
    <cfRule type="cellIs" dxfId="290" priority="45" operator="between">
      <formula>$C$14</formula>
      <formula>1000</formula>
    </cfRule>
    <cfRule type="cellIs" dxfId="289" priority="46" operator="between">
      <formula>$C$13</formula>
      <formula>$C$14</formula>
    </cfRule>
    <cfRule type="cellIs" dxfId="288" priority="47" operator="between">
      <formula>$C$12</formula>
      <formula>$C$13</formula>
    </cfRule>
    <cfRule type="expression" dxfId="287" priority="48">
      <formula>IF(AND(CZ4&gt;=$C$11,CZ4&lt;$C$12,YEAR(TODAY())-$D4&lt;2),1,0)</formula>
    </cfRule>
  </conditionalFormatting>
  <conditionalFormatting sqref="DU4:DU6">
    <cfRule type="cellIs" dxfId="286" priority="41" operator="between">
      <formula>$C$14</formula>
      <formula>1000</formula>
    </cfRule>
    <cfRule type="cellIs" dxfId="285" priority="42" operator="between">
      <formula>$C$13</formula>
      <formula>$C$14</formula>
    </cfRule>
    <cfRule type="cellIs" dxfId="284" priority="43" operator="between">
      <formula>$C$12</formula>
      <formula>$C$13</formula>
    </cfRule>
    <cfRule type="expression" dxfId="283" priority="44">
      <formula>IF(AND(DU4&gt;=$C$11,DU4&lt;$C$12,YEAR(TODAY())-$D4&lt;2),1,0)</formula>
    </cfRule>
  </conditionalFormatting>
  <conditionalFormatting sqref="EP4:EP6">
    <cfRule type="cellIs" dxfId="282" priority="37" operator="between">
      <formula>$C$14</formula>
      <formula>1000</formula>
    </cfRule>
    <cfRule type="cellIs" dxfId="281" priority="38" operator="between">
      <formula>$C$13</formula>
      <formula>$C$14</formula>
    </cfRule>
    <cfRule type="cellIs" dxfId="280" priority="39" operator="between">
      <formula>$C$12</formula>
      <formula>$C$13</formula>
    </cfRule>
    <cfRule type="expression" dxfId="279" priority="40">
      <formula>IF(AND(EP4&gt;=$C$11,EP4&lt;$C$12,YEAR(TODAY())-$D4&lt;2),1,0)</formula>
    </cfRule>
  </conditionalFormatting>
  <conditionalFormatting sqref="FK4:FK6">
    <cfRule type="cellIs" dxfId="278" priority="33" operator="between">
      <formula>$C$14</formula>
      <formula>1000</formula>
    </cfRule>
    <cfRule type="cellIs" dxfId="277" priority="34" operator="between">
      <formula>$C$13</formula>
      <formula>$C$14</formula>
    </cfRule>
    <cfRule type="cellIs" dxfId="276" priority="35" operator="between">
      <formula>$C$12</formula>
      <formula>$C$13</formula>
    </cfRule>
    <cfRule type="expression" dxfId="275" priority="36">
      <formula>IF(AND(FK4&gt;=$C$11,FK4&lt;$C$12,YEAR(TODAY())-$D4&lt;2),1,0)</formula>
    </cfRule>
  </conditionalFormatting>
  <conditionalFormatting sqref="GF4:GF6">
    <cfRule type="cellIs" dxfId="274" priority="29" operator="between">
      <formula>$C$14</formula>
      <formula>1000</formula>
    </cfRule>
    <cfRule type="cellIs" dxfId="273" priority="30" operator="between">
      <formula>$C$13</formula>
      <formula>$C$14</formula>
    </cfRule>
    <cfRule type="cellIs" dxfId="272" priority="31" operator="between">
      <formula>$C$12</formula>
      <formula>$C$13</formula>
    </cfRule>
    <cfRule type="expression" dxfId="271" priority="32">
      <formula>IF(AND(GF4&gt;=$C$11,GF4&lt;$C$12,YEAR(TODAY())-$D4&lt;2),1,0)</formula>
    </cfRule>
  </conditionalFormatting>
  <conditionalFormatting sqref="HA4:HA6">
    <cfRule type="cellIs" dxfId="270" priority="25" operator="between">
      <formula>$C$14</formula>
      <formula>1000</formula>
    </cfRule>
    <cfRule type="cellIs" dxfId="269" priority="26" operator="between">
      <formula>$C$13</formula>
      <formula>$C$14</formula>
    </cfRule>
    <cfRule type="cellIs" dxfId="268" priority="27" operator="between">
      <formula>$C$12</formula>
      <formula>$C$13</formula>
    </cfRule>
    <cfRule type="expression" dxfId="267" priority="28">
      <formula>IF(AND(HA4&gt;=$C$11,HA4&lt;$C$12,YEAR(TODAY())-$D4&lt;2),1,0)</formula>
    </cfRule>
  </conditionalFormatting>
  <conditionalFormatting sqref="HV4:HV6">
    <cfRule type="cellIs" dxfId="266" priority="21" operator="between">
      <formula>$C$14</formula>
      <formula>1000</formula>
    </cfRule>
    <cfRule type="cellIs" dxfId="265" priority="22" operator="between">
      <formula>$C$13</formula>
      <formula>$C$14</formula>
    </cfRule>
    <cfRule type="cellIs" dxfId="264" priority="23" operator="between">
      <formula>$C$12</formula>
      <formula>$C$13</formula>
    </cfRule>
    <cfRule type="expression" dxfId="263" priority="24">
      <formula>IF(AND(HV4&gt;=$C$11,HV4&lt;$C$12,YEAR(TODAY())-$D4&lt;2),1,0)</formula>
    </cfRule>
  </conditionalFormatting>
  <conditionalFormatting sqref="IQ4:IQ6">
    <cfRule type="cellIs" dxfId="262" priority="17" operator="between">
      <formula>$C$14</formula>
      <formula>1000</formula>
    </cfRule>
    <cfRule type="cellIs" dxfId="261" priority="18" operator="between">
      <formula>$C$13</formula>
      <formula>$C$14</formula>
    </cfRule>
    <cfRule type="cellIs" dxfId="260" priority="19" operator="between">
      <formula>$C$12</formula>
      <formula>$C$13</formula>
    </cfRule>
    <cfRule type="expression" dxfId="259" priority="20">
      <formula>IF(AND(IQ4&gt;=$C$11,IQ4&lt;$C$12,YEAR(TODAY())-$D4&lt;2),1,0)</formula>
    </cfRule>
  </conditionalFormatting>
  <conditionalFormatting sqref="JL4:JL6">
    <cfRule type="cellIs" dxfId="258" priority="13" operator="between">
      <formula>$C$14</formula>
      <formula>1000</formula>
    </cfRule>
    <cfRule type="cellIs" dxfId="257" priority="14" operator="between">
      <formula>$C$13</formula>
      <formula>$C$14</formula>
    </cfRule>
    <cfRule type="cellIs" dxfId="256" priority="15" operator="between">
      <formula>$C$12</formula>
      <formula>$C$13</formula>
    </cfRule>
    <cfRule type="expression" dxfId="255" priority="16">
      <formula>IF(AND(JL4&gt;=$C$11,JL4&lt;$C$12,YEAR(TODAY())-$D4&lt;2),1,0)</formula>
    </cfRule>
  </conditionalFormatting>
  <conditionalFormatting sqref="KG4:KG6">
    <cfRule type="cellIs" dxfId="254" priority="9" operator="between">
      <formula>$C$14</formula>
      <formula>1000</formula>
    </cfRule>
    <cfRule type="cellIs" dxfId="253" priority="10" operator="between">
      <formula>$C$13</formula>
      <formula>$C$14</formula>
    </cfRule>
    <cfRule type="cellIs" dxfId="252" priority="11" operator="between">
      <formula>$C$12</formula>
      <formula>$C$13</formula>
    </cfRule>
    <cfRule type="expression" dxfId="251" priority="12">
      <formula>IF(AND(KG4&gt;=$C$11,KG4&lt;$C$12,YEAR(TODAY())-$D4&lt;2),1,0)</formula>
    </cfRule>
  </conditionalFormatting>
  <conditionalFormatting sqref="LB4:LB6">
    <cfRule type="cellIs" dxfId="250" priority="5" operator="between">
      <formula>$C$14</formula>
      <formula>1000</formula>
    </cfRule>
    <cfRule type="cellIs" dxfId="249" priority="6" operator="between">
      <formula>$C$13</formula>
      <formula>$C$14</formula>
    </cfRule>
    <cfRule type="cellIs" dxfId="248" priority="7" operator="between">
      <formula>$C$12</formula>
      <formula>$C$13</formula>
    </cfRule>
    <cfRule type="expression" dxfId="247" priority="8">
      <formula>IF(AND(LB4&gt;=$C$11,LB4&lt;$C$12,YEAR(TODAY())-$D4&lt;2),1,0)</formula>
    </cfRule>
  </conditionalFormatting>
  <conditionalFormatting sqref="LW4:LW6">
    <cfRule type="cellIs" dxfId="246" priority="1" operator="between">
      <formula>$C$14</formula>
      <formula>1000</formula>
    </cfRule>
    <cfRule type="cellIs" dxfId="245" priority="2" operator="between">
      <formula>$C$13</formula>
      <formula>$C$14</formula>
    </cfRule>
    <cfRule type="cellIs" dxfId="244" priority="3" operator="between">
      <formula>$C$12</formula>
      <formula>$C$13</formula>
    </cfRule>
    <cfRule type="expression" dxfId="243" priority="4">
      <formula>IF(AND(LW4&gt;=$C$11,LW4&lt;$C$12,YEAR(TODAY())-$D4&lt;2),1,0)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NC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29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88" width="10.83203125" customWidth="1"/>
    <col min="92" max="107" width="10.83203125" hidden="1" customWidth="1"/>
    <col min="108" max="114" width="10.83203125" customWidth="1"/>
    <col min="115" max="130" width="10.83203125" hidden="1" customWidth="1"/>
    <col min="131" max="137" width="10.83203125" customWidth="1"/>
    <col min="138" max="153" width="10.83203125" hidden="1" customWidth="1"/>
    <col min="154" max="160" width="10.83203125" customWidth="1"/>
    <col min="161" max="176" width="10.83203125" hidden="1" customWidth="1"/>
    <col min="177" max="183" width="10.83203125" customWidth="1"/>
    <col min="184" max="199" width="10.83203125" hidden="1" customWidth="1"/>
    <col min="200" max="206" width="10.83203125" customWidth="1"/>
    <col min="207" max="222" width="10.83203125" hidden="1" customWidth="1"/>
    <col min="223" max="229" width="10.83203125" customWidth="1"/>
    <col min="230" max="245" width="10.83203125" hidden="1" customWidth="1"/>
    <col min="246" max="252" width="10.83203125" customWidth="1"/>
    <col min="253" max="268" width="10.83203125" hidden="1" customWidth="1"/>
    <col min="269" max="275" width="10.83203125" customWidth="1"/>
    <col min="276" max="291" width="10.83203125" hidden="1" customWidth="1"/>
    <col min="292" max="298" width="10.83203125" customWidth="1"/>
    <col min="299" max="314" width="10.83203125" hidden="1" customWidth="1"/>
    <col min="315" max="320" width="10.83203125" customWidth="1"/>
    <col min="321" max="337" width="10.83203125" hidden="1" customWidth="1"/>
    <col min="338" max="344" width="10.83203125" customWidth="1"/>
    <col min="345" max="360" width="10.83203125" hidden="1" customWidth="1"/>
    <col min="361" max="367" width="10.83203125" customWidth="1"/>
  </cols>
  <sheetData>
    <row r="1" spans="1:367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88</v>
      </c>
      <c r="L1" s="97" t="s">
        <v>105</v>
      </c>
      <c r="M1" s="97" t="s">
        <v>89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94" t="s">
        <v>40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5" t="s">
        <v>41</v>
      </c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4" t="s">
        <v>114</v>
      </c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100" t="s">
        <v>29</v>
      </c>
      <c r="CL1" s="100"/>
      <c r="CM1" s="100"/>
      <c r="CN1" s="94" t="s">
        <v>107</v>
      </c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5" t="s">
        <v>110</v>
      </c>
      <c r="DL1" s="95"/>
      <c r="DM1" s="95"/>
      <c r="DN1" s="95"/>
      <c r="DO1" s="95"/>
      <c r="DP1" s="95"/>
      <c r="DQ1" s="95"/>
      <c r="DR1" s="95"/>
      <c r="DS1" s="95"/>
      <c r="DT1" s="95"/>
      <c r="DU1" s="95"/>
      <c r="DV1" s="95"/>
      <c r="DW1" s="95"/>
      <c r="DX1" s="95"/>
      <c r="DY1" s="95"/>
      <c r="DZ1" s="95"/>
      <c r="EA1" s="95"/>
      <c r="EB1" s="95"/>
      <c r="EC1" s="95"/>
      <c r="ED1" s="95"/>
      <c r="EE1" s="95"/>
      <c r="EF1" s="95"/>
      <c r="EG1" s="95"/>
      <c r="EH1" s="94" t="s">
        <v>124</v>
      </c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94"/>
      <c r="FA1" s="94"/>
      <c r="FB1" s="94"/>
      <c r="FC1" s="94"/>
      <c r="FD1" s="94"/>
      <c r="FE1" s="95" t="s">
        <v>138</v>
      </c>
      <c r="FF1" s="95"/>
      <c r="FG1" s="95"/>
      <c r="FH1" s="95"/>
      <c r="FI1" s="95"/>
      <c r="FJ1" s="95"/>
      <c r="FK1" s="95"/>
      <c r="FL1" s="95"/>
      <c r="FM1" s="95"/>
      <c r="FN1" s="95"/>
      <c r="FO1" s="95"/>
      <c r="FP1" s="95"/>
      <c r="FQ1" s="95"/>
      <c r="FR1" s="95"/>
      <c r="FS1" s="95"/>
      <c r="FT1" s="95"/>
      <c r="FU1" s="95"/>
      <c r="FV1" s="95"/>
      <c r="FW1" s="95"/>
      <c r="FX1" s="95"/>
      <c r="FY1" s="95"/>
      <c r="FZ1" s="95"/>
      <c r="GA1" s="95"/>
      <c r="GB1" s="94"/>
      <c r="GC1" s="94"/>
      <c r="GD1" s="94"/>
      <c r="GE1" s="94"/>
      <c r="GF1" s="94"/>
      <c r="GG1" s="94"/>
      <c r="GH1" s="94"/>
      <c r="GI1" s="94"/>
      <c r="GJ1" s="94"/>
      <c r="GK1" s="94"/>
      <c r="GL1" s="94"/>
      <c r="GM1" s="94"/>
      <c r="GN1" s="94"/>
      <c r="GO1" s="94"/>
      <c r="GP1" s="94"/>
      <c r="GQ1" s="94"/>
      <c r="GR1" s="94"/>
      <c r="GS1" s="94"/>
      <c r="GT1" s="94"/>
      <c r="GU1" s="94"/>
      <c r="GV1" s="94"/>
      <c r="GW1" s="94"/>
      <c r="GX1" s="94"/>
      <c r="GY1" s="95"/>
      <c r="GZ1" s="95"/>
      <c r="HA1" s="95"/>
      <c r="HB1" s="95"/>
      <c r="HC1" s="95"/>
      <c r="HD1" s="95"/>
      <c r="HE1" s="95"/>
      <c r="HF1" s="95"/>
      <c r="HG1" s="95"/>
      <c r="HH1" s="95"/>
      <c r="HI1" s="95"/>
      <c r="HJ1" s="95"/>
      <c r="HK1" s="95"/>
      <c r="HL1" s="95"/>
      <c r="HM1" s="95"/>
      <c r="HN1" s="95"/>
      <c r="HO1" s="95"/>
      <c r="HP1" s="95"/>
      <c r="HQ1" s="95"/>
      <c r="HR1" s="95"/>
      <c r="HS1" s="95"/>
      <c r="HT1" s="95"/>
      <c r="HU1" s="95"/>
      <c r="HV1" s="94"/>
      <c r="HW1" s="94"/>
      <c r="HX1" s="94"/>
      <c r="HY1" s="94"/>
      <c r="HZ1" s="94"/>
      <c r="IA1" s="94"/>
      <c r="IB1" s="94"/>
      <c r="IC1" s="94"/>
      <c r="ID1" s="94"/>
      <c r="IE1" s="94"/>
      <c r="IF1" s="94"/>
      <c r="IG1" s="94"/>
      <c r="IH1" s="94"/>
      <c r="II1" s="94"/>
      <c r="IJ1" s="94"/>
      <c r="IK1" s="94"/>
      <c r="IL1" s="94"/>
      <c r="IM1" s="94"/>
      <c r="IN1" s="94"/>
      <c r="IO1" s="94"/>
      <c r="IP1" s="94"/>
      <c r="IQ1" s="94"/>
      <c r="IR1" s="94"/>
      <c r="IS1" s="95"/>
      <c r="IT1" s="95"/>
      <c r="IU1" s="95"/>
      <c r="IV1" s="95"/>
      <c r="IW1" s="95"/>
      <c r="IX1" s="95"/>
      <c r="IY1" s="95"/>
      <c r="IZ1" s="95"/>
      <c r="JA1" s="95"/>
      <c r="JB1" s="95"/>
      <c r="JC1" s="95"/>
      <c r="JD1" s="95"/>
      <c r="JE1" s="95"/>
      <c r="JF1" s="95"/>
      <c r="JG1" s="95"/>
      <c r="JH1" s="95"/>
      <c r="JI1" s="95"/>
      <c r="JJ1" s="95"/>
      <c r="JK1" s="95"/>
      <c r="JL1" s="95"/>
      <c r="JM1" s="95"/>
      <c r="JN1" s="95"/>
      <c r="JO1" s="95"/>
      <c r="JP1" s="94"/>
      <c r="JQ1" s="94"/>
      <c r="JR1" s="94"/>
      <c r="JS1" s="94"/>
      <c r="JT1" s="94"/>
      <c r="JU1" s="94"/>
      <c r="JV1" s="94"/>
      <c r="JW1" s="94"/>
      <c r="JX1" s="94"/>
      <c r="JY1" s="94"/>
      <c r="JZ1" s="94"/>
      <c r="KA1" s="94"/>
      <c r="KB1" s="94"/>
      <c r="KC1" s="94"/>
      <c r="KD1" s="94"/>
      <c r="KE1" s="94"/>
      <c r="KF1" s="94"/>
      <c r="KG1" s="94"/>
      <c r="KH1" s="94"/>
      <c r="KI1" s="94"/>
      <c r="KJ1" s="94"/>
      <c r="KK1" s="94"/>
      <c r="KL1" s="94"/>
      <c r="KM1" s="95"/>
      <c r="KN1" s="95"/>
      <c r="KO1" s="95"/>
      <c r="KP1" s="95"/>
      <c r="KQ1" s="95"/>
      <c r="KR1" s="95"/>
      <c r="KS1" s="95"/>
      <c r="KT1" s="95"/>
      <c r="KU1" s="95"/>
      <c r="KV1" s="95"/>
      <c r="KW1" s="95"/>
      <c r="KX1" s="95"/>
      <c r="KY1" s="95"/>
      <c r="KZ1" s="95"/>
      <c r="LA1" s="95"/>
      <c r="LB1" s="95"/>
      <c r="LC1" s="95"/>
      <c r="LD1" s="95"/>
      <c r="LE1" s="95"/>
      <c r="LF1" s="95"/>
      <c r="LG1" s="95"/>
      <c r="LH1" s="95"/>
      <c r="LI1" s="95"/>
      <c r="LJ1" s="94"/>
      <c r="LK1" s="94"/>
      <c r="LL1" s="94"/>
      <c r="LM1" s="94"/>
      <c r="LN1" s="94"/>
      <c r="LO1" s="94"/>
      <c r="LP1" s="94"/>
      <c r="LQ1" s="94"/>
      <c r="LR1" s="94"/>
      <c r="LS1" s="94"/>
      <c r="LT1" s="94"/>
      <c r="LU1" s="94"/>
      <c r="LV1" s="94"/>
      <c r="LW1" s="94"/>
      <c r="LX1" s="94"/>
      <c r="LY1" s="94"/>
      <c r="LZ1" s="94"/>
      <c r="MA1" s="94"/>
      <c r="MB1" s="94"/>
      <c r="MC1" s="94"/>
      <c r="MD1" s="94"/>
      <c r="ME1" s="94"/>
      <c r="MF1" s="94"/>
      <c r="MG1" s="95"/>
      <c r="MH1" s="95"/>
      <c r="MI1" s="95"/>
      <c r="MJ1" s="95"/>
      <c r="MK1" s="95"/>
      <c r="ML1" s="95"/>
      <c r="MM1" s="95"/>
      <c r="MN1" s="95"/>
      <c r="MO1" s="95"/>
      <c r="MP1" s="95"/>
      <c r="MQ1" s="95"/>
      <c r="MR1" s="95"/>
      <c r="MS1" s="95"/>
      <c r="MT1" s="95"/>
      <c r="MU1" s="95"/>
      <c r="MV1" s="95"/>
      <c r="MW1" s="95"/>
      <c r="MX1" s="95"/>
      <c r="MY1" s="95"/>
      <c r="MZ1" s="95"/>
      <c r="NA1" s="95"/>
      <c r="NB1" s="95"/>
      <c r="NC1" s="95"/>
    </row>
    <row r="2" spans="1:367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63</v>
      </c>
      <c r="U2" s="88"/>
      <c r="V2" s="88"/>
      <c r="W2" s="88"/>
      <c r="X2" s="88" t="s">
        <v>66</v>
      </c>
      <c r="Y2" s="88"/>
      <c r="Z2" s="88"/>
      <c r="AA2" s="88"/>
      <c r="AB2" s="88" t="s">
        <v>67</v>
      </c>
      <c r="AC2" s="88"/>
      <c r="AD2" s="88"/>
      <c r="AE2" s="88"/>
      <c r="AF2" s="104" t="s">
        <v>68</v>
      </c>
      <c r="AG2" s="104"/>
      <c r="AH2" s="104"/>
      <c r="AI2" s="104"/>
      <c r="AJ2" s="30" t="s">
        <v>45</v>
      </c>
      <c r="AK2" s="30" t="s">
        <v>92</v>
      </c>
      <c r="AL2" s="11" t="s">
        <v>63</v>
      </c>
      <c r="AM2" s="11" t="s">
        <v>66</v>
      </c>
      <c r="AN2" s="11" t="s">
        <v>39</v>
      </c>
      <c r="AO2" s="11" t="s">
        <v>38</v>
      </c>
      <c r="AP2" s="11" t="s">
        <v>33</v>
      </c>
      <c r="AQ2" s="87" t="s">
        <v>63</v>
      </c>
      <c r="AR2" s="87"/>
      <c r="AS2" s="87"/>
      <c r="AT2" s="87"/>
      <c r="AU2" s="87" t="s">
        <v>66</v>
      </c>
      <c r="AV2" s="87"/>
      <c r="AW2" s="87"/>
      <c r="AX2" s="87"/>
      <c r="AY2" s="87" t="s">
        <v>67</v>
      </c>
      <c r="AZ2" s="87"/>
      <c r="BA2" s="87"/>
      <c r="BB2" s="87"/>
      <c r="BC2" s="103" t="s">
        <v>68</v>
      </c>
      <c r="BD2" s="103"/>
      <c r="BE2" s="103"/>
      <c r="BF2" s="103"/>
      <c r="BG2" s="29" t="s">
        <v>45</v>
      </c>
      <c r="BH2" s="29" t="s">
        <v>92</v>
      </c>
      <c r="BI2" s="15" t="s">
        <v>63</v>
      </c>
      <c r="BJ2" s="15" t="s">
        <v>66</v>
      </c>
      <c r="BK2" s="15" t="s">
        <v>39</v>
      </c>
      <c r="BL2" s="15" t="s">
        <v>38</v>
      </c>
      <c r="BM2" s="15" t="s">
        <v>33</v>
      </c>
      <c r="BN2" s="88" t="s">
        <v>63</v>
      </c>
      <c r="BO2" s="88"/>
      <c r="BP2" s="88"/>
      <c r="BQ2" s="88"/>
      <c r="BR2" s="88" t="s">
        <v>66</v>
      </c>
      <c r="BS2" s="88"/>
      <c r="BT2" s="88"/>
      <c r="BU2" s="88"/>
      <c r="BV2" s="88" t="s">
        <v>67</v>
      </c>
      <c r="BW2" s="88"/>
      <c r="BX2" s="88"/>
      <c r="BY2" s="88"/>
      <c r="BZ2" s="104" t="s">
        <v>68</v>
      </c>
      <c r="CA2" s="104"/>
      <c r="CB2" s="104"/>
      <c r="CC2" s="104"/>
      <c r="CD2" s="30" t="s">
        <v>45</v>
      </c>
      <c r="CE2" s="30" t="s">
        <v>92</v>
      </c>
      <c r="CF2" s="11" t="s">
        <v>63</v>
      </c>
      <c r="CG2" s="11" t="s">
        <v>66</v>
      </c>
      <c r="CH2" s="11" t="s">
        <v>39</v>
      </c>
      <c r="CI2" s="11" t="s">
        <v>38</v>
      </c>
      <c r="CJ2" s="11" t="s">
        <v>33</v>
      </c>
      <c r="CK2" s="41" t="s">
        <v>63</v>
      </c>
      <c r="CL2" s="41" t="s">
        <v>66</v>
      </c>
      <c r="CM2" s="41" t="s">
        <v>38</v>
      </c>
      <c r="CN2" s="88" t="s">
        <v>63</v>
      </c>
      <c r="CO2" s="88"/>
      <c r="CP2" s="88"/>
      <c r="CQ2" s="88"/>
      <c r="CR2" s="88" t="s">
        <v>66</v>
      </c>
      <c r="CS2" s="88"/>
      <c r="CT2" s="88"/>
      <c r="CU2" s="88"/>
      <c r="CV2" s="88" t="s">
        <v>67</v>
      </c>
      <c r="CW2" s="88"/>
      <c r="CX2" s="88"/>
      <c r="CY2" s="88"/>
      <c r="CZ2" s="105" t="s">
        <v>68</v>
      </c>
      <c r="DA2" s="105"/>
      <c r="DB2" s="105"/>
      <c r="DC2" s="105"/>
      <c r="DD2" s="33" t="s">
        <v>45</v>
      </c>
      <c r="DE2" s="33" t="s">
        <v>92</v>
      </c>
      <c r="DF2" s="11" t="s">
        <v>63</v>
      </c>
      <c r="DG2" s="11" t="s">
        <v>66</v>
      </c>
      <c r="DH2" s="11" t="s">
        <v>39</v>
      </c>
      <c r="DI2" s="11" t="s">
        <v>38</v>
      </c>
      <c r="DJ2" s="11" t="s">
        <v>33</v>
      </c>
      <c r="DK2" s="87" t="s">
        <v>63</v>
      </c>
      <c r="DL2" s="87"/>
      <c r="DM2" s="87"/>
      <c r="DN2" s="87"/>
      <c r="DO2" s="87" t="s">
        <v>66</v>
      </c>
      <c r="DP2" s="87"/>
      <c r="DQ2" s="87"/>
      <c r="DR2" s="87"/>
      <c r="DS2" s="87" t="s">
        <v>67</v>
      </c>
      <c r="DT2" s="87"/>
      <c r="DU2" s="87"/>
      <c r="DV2" s="87"/>
      <c r="DW2" s="103" t="s">
        <v>68</v>
      </c>
      <c r="DX2" s="103"/>
      <c r="DY2" s="103"/>
      <c r="DZ2" s="103"/>
      <c r="EA2" s="34" t="s">
        <v>45</v>
      </c>
      <c r="EB2" s="34" t="s">
        <v>92</v>
      </c>
      <c r="EC2" s="15" t="s">
        <v>63</v>
      </c>
      <c r="ED2" s="15" t="s">
        <v>66</v>
      </c>
      <c r="EE2" s="15" t="s">
        <v>39</v>
      </c>
      <c r="EF2" s="15" t="s">
        <v>38</v>
      </c>
      <c r="EG2" s="15" t="s">
        <v>33</v>
      </c>
      <c r="EH2" s="88" t="s">
        <v>63</v>
      </c>
      <c r="EI2" s="88"/>
      <c r="EJ2" s="88"/>
      <c r="EK2" s="88"/>
      <c r="EL2" s="88" t="s">
        <v>66</v>
      </c>
      <c r="EM2" s="88"/>
      <c r="EN2" s="88"/>
      <c r="EO2" s="88"/>
      <c r="EP2" s="88" t="s">
        <v>67</v>
      </c>
      <c r="EQ2" s="88"/>
      <c r="ER2" s="88"/>
      <c r="ES2" s="88"/>
      <c r="ET2" s="105" t="s">
        <v>68</v>
      </c>
      <c r="EU2" s="105"/>
      <c r="EV2" s="105"/>
      <c r="EW2" s="105"/>
      <c r="EX2" s="38" t="s">
        <v>45</v>
      </c>
      <c r="EY2" s="38" t="s">
        <v>92</v>
      </c>
      <c r="EZ2" s="11" t="s">
        <v>63</v>
      </c>
      <c r="FA2" s="11" t="s">
        <v>66</v>
      </c>
      <c r="FB2" s="11" t="s">
        <v>39</v>
      </c>
      <c r="FC2" s="11" t="s">
        <v>38</v>
      </c>
      <c r="FD2" s="11" t="s">
        <v>33</v>
      </c>
      <c r="FE2" s="87" t="s">
        <v>63</v>
      </c>
      <c r="FF2" s="87"/>
      <c r="FG2" s="87"/>
      <c r="FH2" s="87"/>
      <c r="FI2" s="87" t="s">
        <v>66</v>
      </c>
      <c r="FJ2" s="87"/>
      <c r="FK2" s="87"/>
      <c r="FL2" s="87"/>
      <c r="FM2" s="87" t="s">
        <v>67</v>
      </c>
      <c r="FN2" s="87"/>
      <c r="FO2" s="87"/>
      <c r="FP2" s="87"/>
      <c r="FQ2" s="103" t="s">
        <v>68</v>
      </c>
      <c r="FR2" s="103"/>
      <c r="FS2" s="103"/>
      <c r="FT2" s="103"/>
      <c r="FU2" s="37" t="s">
        <v>45</v>
      </c>
      <c r="FV2" s="37" t="s">
        <v>92</v>
      </c>
      <c r="FW2" s="15" t="s">
        <v>63</v>
      </c>
      <c r="FX2" s="15" t="s">
        <v>66</v>
      </c>
      <c r="FY2" s="15" t="s">
        <v>39</v>
      </c>
      <c r="FZ2" s="15" t="s">
        <v>38</v>
      </c>
      <c r="GA2" s="15" t="s">
        <v>33</v>
      </c>
      <c r="GB2" s="88" t="s">
        <v>63</v>
      </c>
      <c r="GC2" s="88"/>
      <c r="GD2" s="88"/>
      <c r="GE2" s="88"/>
      <c r="GF2" s="88" t="s">
        <v>66</v>
      </c>
      <c r="GG2" s="88"/>
      <c r="GH2" s="88"/>
      <c r="GI2" s="88"/>
      <c r="GJ2" s="88" t="s">
        <v>67</v>
      </c>
      <c r="GK2" s="88"/>
      <c r="GL2" s="88"/>
      <c r="GM2" s="88"/>
      <c r="GN2" s="105" t="s">
        <v>68</v>
      </c>
      <c r="GO2" s="105"/>
      <c r="GP2" s="105"/>
      <c r="GQ2" s="105"/>
      <c r="GR2" s="38" t="s">
        <v>45</v>
      </c>
      <c r="GS2" s="38" t="s">
        <v>92</v>
      </c>
      <c r="GT2" s="11" t="s">
        <v>63</v>
      </c>
      <c r="GU2" s="11" t="s">
        <v>66</v>
      </c>
      <c r="GV2" s="11" t="s">
        <v>39</v>
      </c>
      <c r="GW2" s="11" t="s">
        <v>38</v>
      </c>
      <c r="GX2" s="11" t="s">
        <v>33</v>
      </c>
      <c r="GY2" s="87" t="s">
        <v>63</v>
      </c>
      <c r="GZ2" s="87"/>
      <c r="HA2" s="87"/>
      <c r="HB2" s="87"/>
      <c r="HC2" s="87" t="s">
        <v>66</v>
      </c>
      <c r="HD2" s="87"/>
      <c r="HE2" s="87"/>
      <c r="HF2" s="87"/>
      <c r="HG2" s="87" t="s">
        <v>67</v>
      </c>
      <c r="HH2" s="87"/>
      <c r="HI2" s="87"/>
      <c r="HJ2" s="87"/>
      <c r="HK2" s="103" t="s">
        <v>68</v>
      </c>
      <c r="HL2" s="103"/>
      <c r="HM2" s="103"/>
      <c r="HN2" s="103"/>
      <c r="HO2" s="37" t="s">
        <v>45</v>
      </c>
      <c r="HP2" s="37" t="s">
        <v>92</v>
      </c>
      <c r="HQ2" s="15" t="s">
        <v>63</v>
      </c>
      <c r="HR2" s="15" t="s">
        <v>66</v>
      </c>
      <c r="HS2" s="15" t="s">
        <v>39</v>
      </c>
      <c r="HT2" s="15" t="s">
        <v>38</v>
      </c>
      <c r="HU2" s="15" t="s">
        <v>33</v>
      </c>
      <c r="HV2" s="88" t="s">
        <v>63</v>
      </c>
      <c r="HW2" s="88"/>
      <c r="HX2" s="88"/>
      <c r="HY2" s="88"/>
      <c r="HZ2" s="88" t="s">
        <v>66</v>
      </c>
      <c r="IA2" s="88"/>
      <c r="IB2" s="88"/>
      <c r="IC2" s="88"/>
      <c r="ID2" s="88" t="s">
        <v>67</v>
      </c>
      <c r="IE2" s="88"/>
      <c r="IF2" s="88"/>
      <c r="IG2" s="88"/>
      <c r="IH2" s="105" t="s">
        <v>68</v>
      </c>
      <c r="II2" s="105"/>
      <c r="IJ2" s="105"/>
      <c r="IK2" s="105"/>
      <c r="IL2" s="38" t="s">
        <v>45</v>
      </c>
      <c r="IM2" s="38" t="s">
        <v>92</v>
      </c>
      <c r="IN2" s="11" t="s">
        <v>63</v>
      </c>
      <c r="IO2" s="11" t="s">
        <v>66</v>
      </c>
      <c r="IP2" s="11" t="s">
        <v>39</v>
      </c>
      <c r="IQ2" s="11" t="s">
        <v>38</v>
      </c>
      <c r="IR2" s="11" t="s">
        <v>33</v>
      </c>
      <c r="IS2" s="87" t="s">
        <v>63</v>
      </c>
      <c r="IT2" s="87"/>
      <c r="IU2" s="87"/>
      <c r="IV2" s="87"/>
      <c r="IW2" s="87" t="s">
        <v>66</v>
      </c>
      <c r="IX2" s="87"/>
      <c r="IY2" s="87"/>
      <c r="IZ2" s="87"/>
      <c r="JA2" s="87" t="s">
        <v>67</v>
      </c>
      <c r="JB2" s="87"/>
      <c r="JC2" s="87"/>
      <c r="JD2" s="87"/>
      <c r="JE2" s="103" t="s">
        <v>68</v>
      </c>
      <c r="JF2" s="103"/>
      <c r="JG2" s="103"/>
      <c r="JH2" s="103"/>
      <c r="JI2" s="37" t="s">
        <v>45</v>
      </c>
      <c r="JJ2" s="37" t="s">
        <v>92</v>
      </c>
      <c r="JK2" s="15" t="s">
        <v>63</v>
      </c>
      <c r="JL2" s="15" t="s">
        <v>66</v>
      </c>
      <c r="JM2" s="15" t="s">
        <v>39</v>
      </c>
      <c r="JN2" s="15" t="s">
        <v>38</v>
      </c>
      <c r="JO2" s="15" t="s">
        <v>33</v>
      </c>
      <c r="JP2" s="88" t="s">
        <v>63</v>
      </c>
      <c r="JQ2" s="88"/>
      <c r="JR2" s="88"/>
      <c r="JS2" s="88"/>
      <c r="JT2" s="88" t="s">
        <v>66</v>
      </c>
      <c r="JU2" s="88"/>
      <c r="JV2" s="88"/>
      <c r="JW2" s="88"/>
      <c r="JX2" s="88" t="s">
        <v>67</v>
      </c>
      <c r="JY2" s="88"/>
      <c r="JZ2" s="88"/>
      <c r="KA2" s="88"/>
      <c r="KB2" s="105" t="s">
        <v>68</v>
      </c>
      <c r="KC2" s="105"/>
      <c r="KD2" s="105"/>
      <c r="KE2" s="105"/>
      <c r="KF2" s="38" t="s">
        <v>45</v>
      </c>
      <c r="KG2" s="38" t="s">
        <v>92</v>
      </c>
      <c r="KH2" s="11" t="s">
        <v>63</v>
      </c>
      <c r="KI2" s="11" t="s">
        <v>66</v>
      </c>
      <c r="KJ2" s="11" t="s">
        <v>39</v>
      </c>
      <c r="KK2" s="11" t="s">
        <v>38</v>
      </c>
      <c r="KL2" s="11" t="s">
        <v>33</v>
      </c>
      <c r="KM2" s="87" t="s">
        <v>63</v>
      </c>
      <c r="KN2" s="87"/>
      <c r="KO2" s="87"/>
      <c r="KP2" s="87"/>
      <c r="KQ2" s="87" t="s">
        <v>66</v>
      </c>
      <c r="KR2" s="87"/>
      <c r="KS2" s="87"/>
      <c r="KT2" s="87"/>
      <c r="KU2" s="87" t="s">
        <v>67</v>
      </c>
      <c r="KV2" s="87"/>
      <c r="KW2" s="87"/>
      <c r="KX2" s="87"/>
      <c r="KY2" s="103" t="s">
        <v>68</v>
      </c>
      <c r="KZ2" s="103"/>
      <c r="LA2" s="103"/>
      <c r="LB2" s="103"/>
      <c r="LC2" s="37" t="s">
        <v>45</v>
      </c>
      <c r="LD2" s="37" t="s">
        <v>92</v>
      </c>
      <c r="LE2" s="15" t="s">
        <v>63</v>
      </c>
      <c r="LF2" s="15" t="s">
        <v>66</v>
      </c>
      <c r="LG2" s="15" t="s">
        <v>39</v>
      </c>
      <c r="LH2" s="15" t="s">
        <v>38</v>
      </c>
      <c r="LI2" s="15" t="s">
        <v>33</v>
      </c>
      <c r="LJ2" s="88" t="s">
        <v>63</v>
      </c>
      <c r="LK2" s="88"/>
      <c r="LL2" s="88"/>
      <c r="LM2" s="88"/>
      <c r="LN2" s="88" t="s">
        <v>66</v>
      </c>
      <c r="LO2" s="88"/>
      <c r="LP2" s="88"/>
      <c r="LQ2" s="88"/>
      <c r="LR2" s="88" t="s">
        <v>67</v>
      </c>
      <c r="LS2" s="88"/>
      <c r="LT2" s="88"/>
      <c r="LU2" s="88"/>
      <c r="LV2" s="105" t="s">
        <v>68</v>
      </c>
      <c r="LW2" s="105"/>
      <c r="LX2" s="105"/>
      <c r="LY2" s="105"/>
      <c r="LZ2" s="38" t="s">
        <v>45</v>
      </c>
      <c r="MA2" s="38" t="s">
        <v>92</v>
      </c>
      <c r="MB2" s="11" t="s">
        <v>63</v>
      </c>
      <c r="MC2" s="11" t="s">
        <v>66</v>
      </c>
      <c r="MD2" s="11" t="s">
        <v>39</v>
      </c>
      <c r="ME2" s="11" t="s">
        <v>38</v>
      </c>
      <c r="MF2" s="11" t="s">
        <v>33</v>
      </c>
      <c r="MG2" s="87" t="s">
        <v>63</v>
      </c>
      <c r="MH2" s="87"/>
      <c r="MI2" s="87"/>
      <c r="MJ2" s="87"/>
      <c r="MK2" s="87" t="s">
        <v>66</v>
      </c>
      <c r="ML2" s="87"/>
      <c r="MM2" s="87"/>
      <c r="MN2" s="87"/>
      <c r="MO2" s="87" t="s">
        <v>67</v>
      </c>
      <c r="MP2" s="87"/>
      <c r="MQ2" s="87"/>
      <c r="MR2" s="87"/>
      <c r="MS2" s="103" t="s">
        <v>68</v>
      </c>
      <c r="MT2" s="103"/>
      <c r="MU2" s="103"/>
      <c r="MV2" s="103"/>
      <c r="MW2" s="37" t="s">
        <v>45</v>
      </c>
      <c r="MX2" s="37" t="s">
        <v>92</v>
      </c>
      <c r="MY2" s="15" t="s">
        <v>63</v>
      </c>
      <c r="MZ2" s="15" t="s">
        <v>66</v>
      </c>
      <c r="NA2" s="15" t="s">
        <v>39</v>
      </c>
      <c r="NB2" s="15" t="s">
        <v>38</v>
      </c>
      <c r="NC2" s="15" t="s">
        <v>33</v>
      </c>
    </row>
    <row r="3" spans="1:367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48" t="s">
        <v>30</v>
      </c>
      <c r="U3" s="48" t="s">
        <v>22</v>
      </c>
      <c r="V3" s="48" t="s">
        <v>64</v>
      </c>
      <c r="W3" s="48" t="s">
        <v>65</v>
      </c>
      <c r="X3" s="48" t="s">
        <v>30</v>
      </c>
      <c r="Y3" s="48" t="s">
        <v>22</v>
      </c>
      <c r="Z3" s="48" t="s">
        <v>64</v>
      </c>
      <c r="AA3" s="48" t="s">
        <v>65</v>
      </c>
      <c r="AB3" s="48" t="s">
        <v>30</v>
      </c>
      <c r="AC3" s="48" t="s">
        <v>22</v>
      </c>
      <c r="AD3" s="48" t="s">
        <v>64</v>
      </c>
      <c r="AE3" s="48" t="s">
        <v>65</v>
      </c>
      <c r="AF3" s="51" t="s">
        <v>30</v>
      </c>
      <c r="AG3" s="51" t="s">
        <v>22</v>
      </c>
      <c r="AH3" s="51" t="s">
        <v>64</v>
      </c>
      <c r="AI3" s="51" t="s">
        <v>65</v>
      </c>
      <c r="AJ3" s="12"/>
      <c r="AK3" s="12"/>
      <c r="AL3" s="11"/>
      <c r="AM3" s="11"/>
      <c r="AN3" s="11"/>
      <c r="AO3" s="12"/>
      <c r="AP3" s="12"/>
      <c r="AQ3" s="47" t="s">
        <v>30</v>
      </c>
      <c r="AR3" s="47" t="s">
        <v>22</v>
      </c>
      <c r="AS3" s="47" t="s">
        <v>64</v>
      </c>
      <c r="AT3" s="47" t="s">
        <v>65</v>
      </c>
      <c r="AU3" s="47" t="s">
        <v>30</v>
      </c>
      <c r="AV3" s="47" t="s">
        <v>22</v>
      </c>
      <c r="AW3" s="47" t="s">
        <v>64</v>
      </c>
      <c r="AX3" s="47" t="s">
        <v>65</v>
      </c>
      <c r="AY3" s="47" t="s">
        <v>30</v>
      </c>
      <c r="AZ3" s="47" t="s">
        <v>22</v>
      </c>
      <c r="BA3" s="47" t="s">
        <v>64</v>
      </c>
      <c r="BB3" s="47" t="s">
        <v>65</v>
      </c>
      <c r="BC3" s="50" t="s">
        <v>30</v>
      </c>
      <c r="BD3" s="50" t="s">
        <v>22</v>
      </c>
      <c r="BE3" s="50" t="s">
        <v>64</v>
      </c>
      <c r="BF3" s="50" t="s">
        <v>65</v>
      </c>
      <c r="BG3" s="16"/>
      <c r="BH3" s="16"/>
      <c r="BI3" s="15"/>
      <c r="BJ3" s="15"/>
      <c r="BK3" s="15"/>
      <c r="BL3" s="16"/>
      <c r="BM3" s="16"/>
      <c r="BN3" s="48" t="s">
        <v>30</v>
      </c>
      <c r="BO3" s="48" t="s">
        <v>22</v>
      </c>
      <c r="BP3" s="48" t="s">
        <v>64</v>
      </c>
      <c r="BQ3" s="48" t="s">
        <v>65</v>
      </c>
      <c r="BR3" s="48" t="s">
        <v>30</v>
      </c>
      <c r="BS3" s="48" t="s">
        <v>22</v>
      </c>
      <c r="BT3" s="48" t="s">
        <v>64</v>
      </c>
      <c r="BU3" s="48" t="s">
        <v>65</v>
      </c>
      <c r="BV3" s="48" t="s">
        <v>30</v>
      </c>
      <c r="BW3" s="48" t="s">
        <v>22</v>
      </c>
      <c r="BX3" s="48" t="s">
        <v>64</v>
      </c>
      <c r="BY3" s="48" t="s">
        <v>65</v>
      </c>
      <c r="BZ3" s="51" t="s">
        <v>30</v>
      </c>
      <c r="CA3" s="51" t="s">
        <v>22</v>
      </c>
      <c r="CB3" s="51" t="s">
        <v>64</v>
      </c>
      <c r="CC3" s="51" t="s">
        <v>65</v>
      </c>
      <c r="CD3" s="12"/>
      <c r="CE3" s="12"/>
      <c r="CF3" s="11"/>
      <c r="CG3" s="11"/>
      <c r="CH3" s="11"/>
      <c r="CI3" s="12"/>
      <c r="CJ3" s="12"/>
      <c r="CK3" s="42"/>
      <c r="CL3" s="42"/>
      <c r="CM3" s="42"/>
      <c r="CN3" s="48" t="s">
        <v>30</v>
      </c>
      <c r="CO3" s="48" t="s">
        <v>22</v>
      </c>
      <c r="CP3" s="48" t="s">
        <v>64</v>
      </c>
      <c r="CQ3" s="48" t="s">
        <v>65</v>
      </c>
      <c r="CR3" s="48" t="s">
        <v>30</v>
      </c>
      <c r="CS3" s="48" t="s">
        <v>22</v>
      </c>
      <c r="CT3" s="48" t="s">
        <v>64</v>
      </c>
      <c r="CU3" s="48" t="s">
        <v>65</v>
      </c>
      <c r="CV3" s="48" t="s">
        <v>30</v>
      </c>
      <c r="CW3" s="48" t="s">
        <v>22</v>
      </c>
      <c r="CX3" s="48" t="s">
        <v>64</v>
      </c>
      <c r="CY3" s="48" t="s">
        <v>65</v>
      </c>
      <c r="CZ3" s="49" t="s">
        <v>30</v>
      </c>
      <c r="DA3" s="49" t="s">
        <v>22</v>
      </c>
      <c r="DB3" s="49" t="s">
        <v>64</v>
      </c>
      <c r="DC3" s="49" t="s">
        <v>65</v>
      </c>
      <c r="DD3" s="12"/>
      <c r="DE3" s="12"/>
      <c r="DF3" s="11"/>
      <c r="DG3" s="11"/>
      <c r="DH3" s="11"/>
      <c r="DI3" s="12"/>
      <c r="DJ3" s="12"/>
      <c r="DK3" s="47" t="s">
        <v>30</v>
      </c>
      <c r="DL3" s="47" t="s">
        <v>22</v>
      </c>
      <c r="DM3" s="47" t="s">
        <v>64</v>
      </c>
      <c r="DN3" s="47" t="s">
        <v>65</v>
      </c>
      <c r="DO3" s="47" t="s">
        <v>30</v>
      </c>
      <c r="DP3" s="47" t="s">
        <v>22</v>
      </c>
      <c r="DQ3" s="47" t="s">
        <v>64</v>
      </c>
      <c r="DR3" s="47" t="s">
        <v>65</v>
      </c>
      <c r="DS3" s="47" t="s">
        <v>30</v>
      </c>
      <c r="DT3" s="47" t="s">
        <v>22</v>
      </c>
      <c r="DU3" s="47" t="s">
        <v>64</v>
      </c>
      <c r="DV3" s="47" t="s">
        <v>65</v>
      </c>
      <c r="DW3" s="50" t="s">
        <v>30</v>
      </c>
      <c r="DX3" s="50" t="s">
        <v>22</v>
      </c>
      <c r="DY3" s="50" t="s">
        <v>64</v>
      </c>
      <c r="DZ3" s="50" t="s">
        <v>65</v>
      </c>
      <c r="EA3" s="16"/>
      <c r="EB3" s="16"/>
      <c r="EC3" s="15"/>
      <c r="ED3" s="15"/>
      <c r="EE3" s="15"/>
      <c r="EF3" s="16"/>
      <c r="EG3" s="16"/>
      <c r="EH3" s="48" t="s">
        <v>30</v>
      </c>
      <c r="EI3" s="48" t="s">
        <v>22</v>
      </c>
      <c r="EJ3" s="48" t="s">
        <v>64</v>
      </c>
      <c r="EK3" s="48" t="s">
        <v>65</v>
      </c>
      <c r="EL3" s="48" t="s">
        <v>30</v>
      </c>
      <c r="EM3" s="48" t="s">
        <v>22</v>
      </c>
      <c r="EN3" s="48" t="s">
        <v>64</v>
      </c>
      <c r="EO3" s="48" t="s">
        <v>65</v>
      </c>
      <c r="EP3" s="48" t="s">
        <v>30</v>
      </c>
      <c r="EQ3" s="48" t="s">
        <v>22</v>
      </c>
      <c r="ER3" s="48" t="s">
        <v>64</v>
      </c>
      <c r="ES3" s="48" t="s">
        <v>65</v>
      </c>
      <c r="ET3" s="49" t="s">
        <v>30</v>
      </c>
      <c r="EU3" s="49" t="s">
        <v>22</v>
      </c>
      <c r="EV3" s="49" t="s">
        <v>64</v>
      </c>
      <c r="EW3" s="49" t="s">
        <v>65</v>
      </c>
      <c r="EX3" s="12"/>
      <c r="EY3" s="12"/>
      <c r="EZ3" s="11"/>
      <c r="FA3" s="11"/>
      <c r="FB3" s="11"/>
      <c r="FC3" s="12"/>
      <c r="FD3" s="12"/>
      <c r="FE3" s="47" t="s">
        <v>30</v>
      </c>
      <c r="FF3" s="47" t="s">
        <v>22</v>
      </c>
      <c r="FG3" s="47" t="s">
        <v>64</v>
      </c>
      <c r="FH3" s="47" t="s">
        <v>65</v>
      </c>
      <c r="FI3" s="47" t="s">
        <v>30</v>
      </c>
      <c r="FJ3" s="47" t="s">
        <v>22</v>
      </c>
      <c r="FK3" s="47" t="s">
        <v>64</v>
      </c>
      <c r="FL3" s="47" t="s">
        <v>65</v>
      </c>
      <c r="FM3" s="47" t="s">
        <v>30</v>
      </c>
      <c r="FN3" s="47" t="s">
        <v>22</v>
      </c>
      <c r="FO3" s="47" t="s">
        <v>64</v>
      </c>
      <c r="FP3" s="47" t="s">
        <v>65</v>
      </c>
      <c r="FQ3" s="50" t="s">
        <v>30</v>
      </c>
      <c r="FR3" s="50" t="s">
        <v>22</v>
      </c>
      <c r="FS3" s="50" t="s">
        <v>64</v>
      </c>
      <c r="FT3" s="50" t="s">
        <v>65</v>
      </c>
      <c r="FU3" s="16"/>
      <c r="FV3" s="16"/>
      <c r="FW3" s="15"/>
      <c r="FX3" s="15"/>
      <c r="FY3" s="15"/>
      <c r="FZ3" s="16"/>
      <c r="GA3" s="16"/>
      <c r="GB3" s="48" t="s">
        <v>30</v>
      </c>
      <c r="GC3" s="48" t="s">
        <v>22</v>
      </c>
      <c r="GD3" s="48" t="s">
        <v>64</v>
      </c>
      <c r="GE3" s="48" t="s">
        <v>65</v>
      </c>
      <c r="GF3" s="48" t="s">
        <v>30</v>
      </c>
      <c r="GG3" s="48" t="s">
        <v>22</v>
      </c>
      <c r="GH3" s="48" t="s">
        <v>64</v>
      </c>
      <c r="GI3" s="48" t="s">
        <v>65</v>
      </c>
      <c r="GJ3" s="48" t="s">
        <v>30</v>
      </c>
      <c r="GK3" s="48" t="s">
        <v>22</v>
      </c>
      <c r="GL3" s="48" t="s">
        <v>64</v>
      </c>
      <c r="GM3" s="48" t="s">
        <v>65</v>
      </c>
      <c r="GN3" s="49" t="s">
        <v>30</v>
      </c>
      <c r="GO3" s="49" t="s">
        <v>22</v>
      </c>
      <c r="GP3" s="49" t="s">
        <v>64</v>
      </c>
      <c r="GQ3" s="49" t="s">
        <v>65</v>
      </c>
      <c r="GR3" s="12"/>
      <c r="GS3" s="12"/>
      <c r="GT3" s="11"/>
      <c r="GU3" s="11"/>
      <c r="GV3" s="11"/>
      <c r="GW3" s="12"/>
      <c r="GX3" s="12"/>
      <c r="GY3" s="47" t="s">
        <v>30</v>
      </c>
      <c r="GZ3" s="47" t="s">
        <v>22</v>
      </c>
      <c r="HA3" s="47" t="s">
        <v>64</v>
      </c>
      <c r="HB3" s="47" t="s">
        <v>65</v>
      </c>
      <c r="HC3" s="47" t="s">
        <v>30</v>
      </c>
      <c r="HD3" s="47" t="s">
        <v>22</v>
      </c>
      <c r="HE3" s="47" t="s">
        <v>64</v>
      </c>
      <c r="HF3" s="47" t="s">
        <v>65</v>
      </c>
      <c r="HG3" s="47" t="s">
        <v>30</v>
      </c>
      <c r="HH3" s="47" t="s">
        <v>22</v>
      </c>
      <c r="HI3" s="47" t="s">
        <v>64</v>
      </c>
      <c r="HJ3" s="47" t="s">
        <v>65</v>
      </c>
      <c r="HK3" s="50" t="s">
        <v>30</v>
      </c>
      <c r="HL3" s="50" t="s">
        <v>22</v>
      </c>
      <c r="HM3" s="50" t="s">
        <v>64</v>
      </c>
      <c r="HN3" s="50" t="s">
        <v>65</v>
      </c>
      <c r="HO3" s="16"/>
      <c r="HP3" s="16"/>
      <c r="HQ3" s="15"/>
      <c r="HR3" s="15"/>
      <c r="HS3" s="15"/>
      <c r="HT3" s="16"/>
      <c r="HU3" s="16"/>
      <c r="HV3" s="48" t="s">
        <v>30</v>
      </c>
      <c r="HW3" s="48" t="s">
        <v>22</v>
      </c>
      <c r="HX3" s="48" t="s">
        <v>64</v>
      </c>
      <c r="HY3" s="48" t="s">
        <v>65</v>
      </c>
      <c r="HZ3" s="48" t="s">
        <v>30</v>
      </c>
      <c r="IA3" s="48" t="s">
        <v>22</v>
      </c>
      <c r="IB3" s="48" t="s">
        <v>64</v>
      </c>
      <c r="IC3" s="48" t="s">
        <v>65</v>
      </c>
      <c r="ID3" s="48" t="s">
        <v>30</v>
      </c>
      <c r="IE3" s="48" t="s">
        <v>22</v>
      </c>
      <c r="IF3" s="48" t="s">
        <v>64</v>
      </c>
      <c r="IG3" s="48" t="s">
        <v>65</v>
      </c>
      <c r="IH3" s="49" t="s">
        <v>30</v>
      </c>
      <c r="II3" s="49" t="s">
        <v>22</v>
      </c>
      <c r="IJ3" s="49" t="s">
        <v>64</v>
      </c>
      <c r="IK3" s="49" t="s">
        <v>65</v>
      </c>
      <c r="IL3" s="12"/>
      <c r="IM3" s="12"/>
      <c r="IN3" s="11"/>
      <c r="IO3" s="11"/>
      <c r="IP3" s="11"/>
      <c r="IQ3" s="12"/>
      <c r="IR3" s="12"/>
      <c r="IS3" s="47" t="s">
        <v>30</v>
      </c>
      <c r="IT3" s="47" t="s">
        <v>22</v>
      </c>
      <c r="IU3" s="47" t="s">
        <v>64</v>
      </c>
      <c r="IV3" s="47" t="s">
        <v>65</v>
      </c>
      <c r="IW3" s="47" t="s">
        <v>30</v>
      </c>
      <c r="IX3" s="47" t="s">
        <v>22</v>
      </c>
      <c r="IY3" s="47" t="s">
        <v>64</v>
      </c>
      <c r="IZ3" s="47" t="s">
        <v>65</v>
      </c>
      <c r="JA3" s="47" t="s">
        <v>30</v>
      </c>
      <c r="JB3" s="47" t="s">
        <v>22</v>
      </c>
      <c r="JC3" s="47" t="s">
        <v>64</v>
      </c>
      <c r="JD3" s="47" t="s">
        <v>65</v>
      </c>
      <c r="JE3" s="50" t="s">
        <v>30</v>
      </c>
      <c r="JF3" s="50" t="s">
        <v>22</v>
      </c>
      <c r="JG3" s="50" t="s">
        <v>64</v>
      </c>
      <c r="JH3" s="50" t="s">
        <v>65</v>
      </c>
      <c r="JI3" s="16"/>
      <c r="JJ3" s="16"/>
      <c r="JK3" s="15"/>
      <c r="JL3" s="15"/>
      <c r="JM3" s="15"/>
      <c r="JN3" s="16"/>
      <c r="JO3" s="16"/>
      <c r="JP3" s="48" t="s">
        <v>30</v>
      </c>
      <c r="JQ3" s="48" t="s">
        <v>22</v>
      </c>
      <c r="JR3" s="48" t="s">
        <v>64</v>
      </c>
      <c r="JS3" s="48" t="s">
        <v>65</v>
      </c>
      <c r="JT3" s="48" t="s">
        <v>30</v>
      </c>
      <c r="JU3" s="48" t="s">
        <v>22</v>
      </c>
      <c r="JV3" s="48" t="s">
        <v>64</v>
      </c>
      <c r="JW3" s="48" t="s">
        <v>65</v>
      </c>
      <c r="JX3" s="48" t="s">
        <v>30</v>
      </c>
      <c r="JY3" s="48" t="s">
        <v>22</v>
      </c>
      <c r="JZ3" s="48" t="s">
        <v>64</v>
      </c>
      <c r="KA3" s="48" t="s">
        <v>65</v>
      </c>
      <c r="KB3" s="49" t="s">
        <v>30</v>
      </c>
      <c r="KC3" s="49" t="s">
        <v>22</v>
      </c>
      <c r="KD3" s="49" t="s">
        <v>64</v>
      </c>
      <c r="KE3" s="49" t="s">
        <v>65</v>
      </c>
      <c r="KF3" s="12"/>
      <c r="KG3" s="12"/>
      <c r="KH3" s="11"/>
      <c r="KI3" s="11"/>
      <c r="KJ3" s="11"/>
      <c r="KK3" s="12"/>
      <c r="KL3" s="12"/>
      <c r="KM3" s="47" t="s">
        <v>30</v>
      </c>
      <c r="KN3" s="47" t="s">
        <v>22</v>
      </c>
      <c r="KO3" s="47" t="s">
        <v>64</v>
      </c>
      <c r="KP3" s="47" t="s">
        <v>65</v>
      </c>
      <c r="KQ3" s="47" t="s">
        <v>30</v>
      </c>
      <c r="KR3" s="47" t="s">
        <v>22</v>
      </c>
      <c r="KS3" s="47" t="s">
        <v>64</v>
      </c>
      <c r="KT3" s="47" t="s">
        <v>65</v>
      </c>
      <c r="KU3" s="47" t="s">
        <v>30</v>
      </c>
      <c r="KV3" s="47" t="s">
        <v>22</v>
      </c>
      <c r="KW3" s="47" t="s">
        <v>64</v>
      </c>
      <c r="KX3" s="47" t="s">
        <v>65</v>
      </c>
      <c r="KY3" s="50" t="s">
        <v>30</v>
      </c>
      <c r="KZ3" s="50" t="s">
        <v>22</v>
      </c>
      <c r="LA3" s="50" t="s">
        <v>64</v>
      </c>
      <c r="LB3" s="50" t="s">
        <v>65</v>
      </c>
      <c r="LC3" s="16"/>
      <c r="LD3" s="16"/>
      <c r="LE3" s="15"/>
      <c r="LF3" s="15"/>
      <c r="LG3" s="15"/>
      <c r="LH3" s="16"/>
      <c r="LI3" s="16"/>
      <c r="LJ3" s="48" t="s">
        <v>30</v>
      </c>
      <c r="LK3" s="48" t="s">
        <v>22</v>
      </c>
      <c r="LL3" s="48" t="s">
        <v>64</v>
      </c>
      <c r="LM3" s="48" t="s">
        <v>65</v>
      </c>
      <c r="LN3" s="48" t="s">
        <v>30</v>
      </c>
      <c r="LO3" s="48" t="s">
        <v>22</v>
      </c>
      <c r="LP3" s="48" t="s">
        <v>64</v>
      </c>
      <c r="LQ3" s="48" t="s">
        <v>65</v>
      </c>
      <c r="LR3" s="48" t="s">
        <v>30</v>
      </c>
      <c r="LS3" s="48" t="s">
        <v>22</v>
      </c>
      <c r="LT3" s="48" t="s">
        <v>64</v>
      </c>
      <c r="LU3" s="48" t="s">
        <v>65</v>
      </c>
      <c r="LV3" s="49" t="s">
        <v>30</v>
      </c>
      <c r="LW3" s="49" t="s">
        <v>22</v>
      </c>
      <c r="LX3" s="49" t="s">
        <v>64</v>
      </c>
      <c r="LY3" s="49" t="s">
        <v>65</v>
      </c>
      <c r="LZ3" s="12"/>
      <c r="MA3" s="12"/>
      <c r="MB3" s="11"/>
      <c r="MC3" s="11"/>
      <c r="MD3" s="11"/>
      <c r="ME3" s="12"/>
      <c r="MF3" s="12"/>
      <c r="MG3" s="47" t="s">
        <v>30</v>
      </c>
      <c r="MH3" s="47" t="s">
        <v>22</v>
      </c>
      <c r="MI3" s="47" t="s">
        <v>64</v>
      </c>
      <c r="MJ3" s="47" t="s">
        <v>65</v>
      </c>
      <c r="MK3" s="47" t="s">
        <v>30</v>
      </c>
      <c r="ML3" s="47" t="s">
        <v>22</v>
      </c>
      <c r="MM3" s="47" t="s">
        <v>64</v>
      </c>
      <c r="MN3" s="47" t="s">
        <v>65</v>
      </c>
      <c r="MO3" s="47" t="s">
        <v>30</v>
      </c>
      <c r="MP3" s="47" t="s">
        <v>22</v>
      </c>
      <c r="MQ3" s="47" t="s">
        <v>64</v>
      </c>
      <c r="MR3" s="47" t="s">
        <v>65</v>
      </c>
      <c r="MS3" s="50" t="s">
        <v>30</v>
      </c>
      <c r="MT3" s="50" t="s">
        <v>22</v>
      </c>
      <c r="MU3" s="50" t="s">
        <v>64</v>
      </c>
      <c r="MV3" s="50" t="s">
        <v>65</v>
      </c>
      <c r="MW3" s="16"/>
      <c r="MX3" s="16"/>
      <c r="MY3" s="15"/>
      <c r="MZ3" s="15"/>
      <c r="NA3" s="15"/>
      <c r="NB3" s="16"/>
      <c r="NC3" s="16"/>
    </row>
    <row r="4" spans="1:367" x14ac:dyDescent="0.2">
      <c r="A4" s="6">
        <f ca="1">IF(AND(F4="P",G4="P"),SUMPRODUCT((F$4:F$8="P")*(G$4:G$8="P")*(E$4:E$8&gt;E4))+1,IF(G4="P",SUMPRODUCT((F$4:F$8="")*(G$4:G$8="P")*(E$4:E$8&gt;E4))+1+SUMPRODUCT((F$4:F$8="P")*(G$4:G$8="P")),""))</f>
        <v>1</v>
      </c>
      <c r="B4" s="9" t="s">
        <v>78</v>
      </c>
      <c r="C4" s="5" t="s">
        <v>4</v>
      </c>
      <c r="D4" s="46">
        <v>2010</v>
      </c>
      <c r="E4" s="18">
        <f>SUM(I4:Q4)</f>
        <v>216.20000000000002</v>
      </c>
      <c r="F4" s="4" t="str">
        <f>IF(OR(AND(AJ4&gt;=C$12,NOT(AJ4="")),AND(AK4&gt;=C$12,NOT(AK4="")),AND(BG4&gt;=C$12,NOT(BG4="")),AND(BH4&gt;=C$12,NOT(BH4="")),AND(CD4&gt;=C$12,NOT(CD4="")),AND(CE4&gt;=C$12,NOT(CE4=""))),"P","")</f>
        <v>P</v>
      </c>
      <c r="G4" s="4" t="str">
        <f ca="1">IF(OR(I4&gt;=C$14,AND(I4&gt;$C$13,YEAR(TODAY())-$D4&lt;2)),"P","")</f>
        <v>P</v>
      </c>
      <c r="H4" t="str">
        <f ca="1">IF(F4="P",IF(I4&gt;=C$16,"Merit",IF(I4&gt;=C$15,"Funding",IF(I4&gt;=C$14,"Team",IF(AND(I4&gt;C$13,YEAR(TODAY())-$D4&lt;2),"First 2 Years","")))),IF(AND(I4&gt;C$13,YEAR(TODAY())-$D4&lt;2),"First 2 Years",""))</f>
        <v>Merit</v>
      </c>
      <c r="I4" s="17">
        <f>MAX(AN4,BK4,CH4)</f>
        <v>72.099999999999994</v>
      </c>
      <c r="J4" s="17" t="str">
        <f>IF(I4=CH4,$BN$1,IF(I4=BK4,$AQ$1,IF(I4=AN4,$T$1,"")))</f>
        <v>2017 Nationals</v>
      </c>
      <c r="K4" s="17">
        <f>IF($I4=$AN4,MAX(BI4,CF4),IF($I4=$BK4,MAX(AL4,CF4),MAX(AL4,BI4)))</f>
        <v>35.5</v>
      </c>
      <c r="L4" s="17" t="str">
        <f>IF(K4=CF4,$BN$1,IF(K4=BI4,$AQ$1,IF(K4=AL4,$T$1,"")))</f>
        <v>2017 3rd Domestic Trial</v>
      </c>
      <c r="M4" s="17">
        <f>IF($I4=$AN4,MAX(BJ4,CG4),IF($I4=$BK4,MAX(AM4,CG4),MAX(AM4,BJ4)))</f>
        <v>36.400000000000006</v>
      </c>
      <c r="N4" s="17" t="str">
        <f>IF(M4=CG4,$BN$1,IF(M4=BJ4,$AQ$1,IF(M4=AM4,$T$1,"")))</f>
        <v>2017 3rd Domestic Trial</v>
      </c>
      <c r="O4" s="17">
        <f>MAX(AO4,BL4,CI4)</f>
        <v>71.8</v>
      </c>
      <c r="P4" s="17" t="str">
        <f>IF(O4=CI4,$BN$1,IF(O4=BL4,$AQ$1,IF(O4=AO4,$T$1,"")))</f>
        <v>2017 Nationals</v>
      </c>
      <c r="Q4" s="17">
        <f>IF(MAX(CK4:CM4)&gt;0,MAX(CK4:CM4),"")</f>
        <v>0.40000000000000568</v>
      </c>
      <c r="R4" s="44" t="str">
        <f>IF(Q4="","",IF(Q4=CK4,"(Pass 1)",IF(Q4=CL4,"(Pass 2)",IF(Q4=CM4,"(Final)"))))</f>
        <v>(Final)</v>
      </c>
      <c r="S4" s="17" t="str">
        <f>IF(Q4="","",IF(Q4=CK4,IF(Q4+K4=MY4,$MG$1,IF(Q4+K4=MB4,$LJ$1,IF(Q4+K4=LE4,$KM$1,IF(Q4+K4=KH4,$JP$1,IF(Q4+K4=JK4,$IS$1,IF(Q4+K4=IN4,$HV$1,IF(Q4+K4=HQ4,$GY$1,IF(Q4+K4=GT4,$GB$1,IF(Q4+K4=FW4,$FE$1,IF(Q4+K4=EZ4,$EH$1,IF(Q4+K4=EC4,$DK$1,IF(Q4+K4=DF4,$CN$1)))))))))))),IF(Q4=CL4,IF(Q4+M4=MZ4,$MG$1,IF(Q4+M4=MC4,$LJ$1,IF(Q4+M4=LF4,$KM$1,IF(Q4+M4=KI4,$JP$1,IF(Q4+M4=JL4,$IS$1,IF(Q4+M4=IO4,$HV$1,IF(Q4+M4=HR4,$GY$1,IF(Q4+M4=GU4,$GB$1,IF(Q4+M4=FX4,$FE$1,IF(Q4+M4=FA4,$EH$1,IF(Q4+M4=ED4,$DK$1,IF(Q4+M4=DG4,$CN$1)))))))))))),IF(Q4=CM4,IF(Q4+O4=NB4,$MG$1,IF(Q4+O4=ME4,$LJ$1,IF(Q4+O4=LH4,$KM$1,IF(Q4+O4=KK4,$JP$1,IF(Q4+O4=JN4,$IS$1,IF(Q4+O4=IQ4,$HV$1,IF(Q4+O4=HT4,$GY$1,IF(Q4+O4=GW4,$GB$1,IF(Q4+O4=FZ4,$FE$1,IF(Q4+O4=FC4,$EH$1,IF(Q4+O4=EF4,$DK$1,IF(Q4+O4=DI4,$CN$1))))))))))))))))</f>
        <v>2017 World Games (Jul)</v>
      </c>
      <c r="T4" s="65">
        <v>26.8</v>
      </c>
      <c r="U4" s="65">
        <v>8</v>
      </c>
      <c r="V4" s="65">
        <v>0</v>
      </c>
      <c r="W4" s="65">
        <v>0</v>
      </c>
      <c r="X4" s="65">
        <v>26.6</v>
      </c>
      <c r="Y4" s="65">
        <v>9.3000000000000007</v>
      </c>
      <c r="Z4" s="65">
        <v>0</v>
      </c>
      <c r="AA4" s="65">
        <v>0</v>
      </c>
      <c r="AB4" s="65">
        <v>25.7</v>
      </c>
      <c r="AC4" s="65">
        <v>9.1</v>
      </c>
      <c r="AD4" s="65">
        <v>0</v>
      </c>
      <c r="AE4" s="65">
        <v>0</v>
      </c>
      <c r="AF4" s="65">
        <v>25.8</v>
      </c>
      <c r="AG4" s="65">
        <v>9.3000000000000007</v>
      </c>
      <c r="AH4" s="65">
        <v>0.3</v>
      </c>
      <c r="AI4" s="65">
        <v>0</v>
      </c>
      <c r="AJ4" s="13">
        <f>IF(SUM(U4,Y4)&gt;0,SUM(U4,Y4),"")</f>
        <v>17.3</v>
      </c>
      <c r="AK4" s="13">
        <f>IF(SUM(AC4,AG4)&gt;0,SUM(AC4,AG4),"")</f>
        <v>18.399999999999999</v>
      </c>
      <c r="AL4" s="13">
        <f>IF(SUM(T4:U4,W4)-V4&gt;0,SUM(T4:U4,W4)-V4,"")</f>
        <v>34.799999999999997</v>
      </c>
      <c r="AM4" s="13">
        <f>IF(SUM(X4:Y4,AA4)-Z4&gt;0,SUM(X4:Y4,AA4)-Z4,"")</f>
        <v>35.900000000000006</v>
      </c>
      <c r="AN4" s="13">
        <f>IF(SUM(AL4:AM4)&gt;0,SUM(AL4:AM4),"")</f>
        <v>70.7</v>
      </c>
      <c r="AO4" s="13">
        <f>IF(SUM(AB4:AC4,AE4:AG4,AI4)-SUM(AD4,AH4)&gt;0,SUM(AB4:AC4,AE4:AG4,AI4)-SUM(AD4,AH4),"")</f>
        <v>69.599999999999994</v>
      </c>
      <c r="AP4" s="13">
        <f>IF(SUM(AN4,AO4)&gt;0,SUM(AN4,AO4),"")</f>
        <v>140.30000000000001</v>
      </c>
      <c r="AQ4" s="62">
        <v>27.4</v>
      </c>
      <c r="AR4" s="62">
        <v>8</v>
      </c>
      <c r="AS4" s="62">
        <v>0</v>
      </c>
      <c r="AT4" s="62">
        <v>0</v>
      </c>
      <c r="AU4" s="62">
        <v>27.2</v>
      </c>
      <c r="AV4" s="62">
        <v>9.5</v>
      </c>
      <c r="AW4" s="62">
        <v>0</v>
      </c>
      <c r="AX4" s="62">
        <v>0</v>
      </c>
      <c r="AY4" s="62">
        <v>27.2</v>
      </c>
      <c r="AZ4" s="62">
        <v>9.1</v>
      </c>
      <c r="BA4" s="62">
        <v>0</v>
      </c>
      <c r="BB4" s="62">
        <v>0</v>
      </c>
      <c r="BC4" s="62">
        <v>26</v>
      </c>
      <c r="BD4" s="62">
        <v>9.5</v>
      </c>
      <c r="BE4" s="62">
        <v>0</v>
      </c>
      <c r="BF4" s="62">
        <v>0</v>
      </c>
      <c r="BG4" s="17">
        <f>IF(SUM(AR4,AV4)&gt;0,SUM(AR4,AV4),"")</f>
        <v>17.5</v>
      </c>
      <c r="BH4" s="17">
        <f>IF(SUM(AZ4,BD4)&gt;0,SUM(AZ4,BD4),"")</f>
        <v>18.600000000000001</v>
      </c>
      <c r="BI4" s="17">
        <f>IF(SUM(AQ4:AR4,AT4)-AS4&gt;0,SUM(AQ4:AR4,AT4)-AS4,"")</f>
        <v>35.4</v>
      </c>
      <c r="BJ4" s="17">
        <f>IF(SUM(AU4:AV4,AX4)-AW4&gt;0,SUM(AU4:AV4,AX4)-AW4,"")</f>
        <v>36.700000000000003</v>
      </c>
      <c r="BK4" s="17">
        <f>IF(SUM(BI4:BJ4)&gt;0,SUM(BI4:BJ4),"")</f>
        <v>72.099999999999994</v>
      </c>
      <c r="BL4" s="17">
        <f>IF(SUM(AY4:AZ4,BB4:BD4,BF4)-SUM(BA4,BE4)&gt;0,SUM(AY4:AZ4,BB4:BD4,BF4)-SUM(BA4,BE4),"")</f>
        <v>71.8</v>
      </c>
      <c r="BM4" s="17">
        <f>IF(SUM(BK4,BL4)&gt;0,SUM(BK4,BL4),"")</f>
        <v>143.89999999999998</v>
      </c>
      <c r="BN4" s="60">
        <v>27.5</v>
      </c>
      <c r="BO4" s="60">
        <v>8</v>
      </c>
      <c r="BP4" s="60">
        <v>0</v>
      </c>
      <c r="BQ4" s="60">
        <v>0</v>
      </c>
      <c r="BR4" s="60">
        <v>27.1</v>
      </c>
      <c r="BS4" s="60">
        <v>9.3000000000000007</v>
      </c>
      <c r="BT4" s="60">
        <v>0</v>
      </c>
      <c r="BU4" s="60">
        <v>0</v>
      </c>
      <c r="BV4" s="60">
        <v>27.4</v>
      </c>
      <c r="BW4" s="60">
        <v>8.1</v>
      </c>
      <c r="BX4" s="60">
        <v>0</v>
      </c>
      <c r="BY4" s="60">
        <v>0</v>
      </c>
      <c r="BZ4" s="60">
        <v>27.3</v>
      </c>
      <c r="CA4" s="60">
        <v>7.7</v>
      </c>
      <c r="CB4" s="60">
        <v>0</v>
      </c>
      <c r="CC4" s="60">
        <v>0</v>
      </c>
      <c r="CD4" s="13">
        <f>IF(SUM(BO4,BS4)&gt;0,SUM(BO4,BS4),"")</f>
        <v>17.3</v>
      </c>
      <c r="CE4" s="13">
        <f>IF(SUM(BW4,CA4)&gt;0,SUM(BW4,CA4),"")</f>
        <v>15.8</v>
      </c>
      <c r="CF4" s="13">
        <f>IF(SUM(BN4:BO4,BQ4)-BP4&gt;0,SUM(BN4:BO4,BQ4)-BP4,"")</f>
        <v>35.5</v>
      </c>
      <c r="CG4" s="13">
        <f>IF(SUM(BR4:BS4,BU4)-BT4&gt;0,SUM(BR4:BS4,BU4)-BT4,"")</f>
        <v>36.400000000000006</v>
      </c>
      <c r="CH4" s="13">
        <f>IF(SUM(CF4:CG4)&gt;0,SUM(CF4:CG4),"")</f>
        <v>71.900000000000006</v>
      </c>
      <c r="CI4" s="13">
        <f>IF(SUM(BV4:BW4,BY4:CA4,CC4)-SUM(BX4,CB4)&gt;0,SUM(BV4:BW4,BY4:CA4,CC4)-SUM(BX4,CB4),"")</f>
        <v>70.5</v>
      </c>
      <c r="CJ4" s="13">
        <f>IF(SUM(CH4,CI4)&gt;0,SUM(CH4,CI4),"")</f>
        <v>142.4</v>
      </c>
      <c r="CK4" s="43" t="str">
        <f>IF(MAX(DF4,EC4,EZ4,FW4,GT4,HQ4,IN4,JK4,KH4,LE4,MB4,MY4)-K4&gt;0.001,MAX(DF4,EC4,EZ4,FW4,GT4,HQ4,IN4,JK4,KH4,LE4,MB4,MY4)-K4,"")</f>
        <v/>
      </c>
      <c r="CL4" s="43" t="str">
        <f>IF(MAX(DG4,ED4,FA4,FX4,GU4,HR4,IO4,JL4,KI4,LF4,MC4,MZ4)-M4&gt;0.001,MAX(DG4,ED4,FA4,FX4,GU4,HR4,IO4,JL4,KI4,LF4,MC4,MZ4)-M4,"")</f>
        <v/>
      </c>
      <c r="CM4" s="43">
        <f>IF(MAX(DI4,EF4,FC4,FZ4,GW4,HT4,IQ4,JN4,KK4,LH4,ME4,NB4)-O4&gt;0.001,MAX(DI4,EF4,FC4,FZ4,GW4,HT4,IQ4,JN4,KK4,LH4,ME4,NB4)-O4,"")</f>
        <v>0.40000000000000568</v>
      </c>
      <c r="CN4" s="60">
        <f>34.7-13.7</f>
        <v>21.000000000000004</v>
      </c>
      <c r="CO4" s="60">
        <v>13.7</v>
      </c>
      <c r="CP4" s="60">
        <v>0</v>
      </c>
      <c r="CQ4" s="60">
        <v>0</v>
      </c>
      <c r="CR4" s="60">
        <v>35.5</v>
      </c>
      <c r="CS4" s="60">
        <v>0</v>
      </c>
      <c r="CT4" s="60">
        <v>0</v>
      </c>
      <c r="CU4" s="60">
        <v>0</v>
      </c>
      <c r="CV4" s="60">
        <f>34.4-13.7</f>
        <v>20.7</v>
      </c>
      <c r="CW4" s="60">
        <v>13.7</v>
      </c>
      <c r="CX4" s="60">
        <v>0</v>
      </c>
      <c r="CY4" s="60">
        <v>0</v>
      </c>
      <c r="CZ4" s="60">
        <v>35.1</v>
      </c>
      <c r="DA4" s="60">
        <v>0</v>
      </c>
      <c r="DB4" s="60">
        <v>0</v>
      </c>
      <c r="DC4" s="60">
        <v>0</v>
      </c>
      <c r="DD4" s="13">
        <f>IF(SUM(CO4,CS4)&gt;0,SUM(CO4,CS4),"")</f>
        <v>13.7</v>
      </c>
      <c r="DE4" s="13">
        <f>IF(SUM(CW4,DA4)&gt;0,SUM(CW4,DA4),"")</f>
        <v>13.7</v>
      </c>
      <c r="DF4" s="13">
        <f>IF(SUM(CN4:CO4,CQ4)-CP4&gt;0,SUM(CN4:CO4,CQ4)-CP4,"")</f>
        <v>34.700000000000003</v>
      </c>
      <c r="DG4" s="13">
        <f>IF(SUM(CR4:CS4,CU4)-CT4&gt;0,SUM(CR4:CS4,CU4)-CT4,"")</f>
        <v>35.5</v>
      </c>
      <c r="DH4" s="13">
        <f>IF(SUM(DF4:DG4)&gt;0,SUM(DF4:DG4),"")</f>
        <v>70.2</v>
      </c>
      <c r="DI4" s="13">
        <f>IF(SUM(CV4:CW4,CY4:DA4,DC4)-SUM(CX4,DB4)&gt;0,SUM(CV4:CW4,CY4:DA4,DC4)-SUM(CX4,DB4),"")</f>
        <v>69.5</v>
      </c>
      <c r="DJ4" s="13">
        <f>IF(SUM(DH4,DI4)&gt;0,SUM(DH4,DI4),"")</f>
        <v>139.69999999999999</v>
      </c>
      <c r="DK4" s="62">
        <v>26.5</v>
      </c>
      <c r="DL4" s="62">
        <v>8</v>
      </c>
      <c r="DM4" s="62">
        <v>0</v>
      </c>
      <c r="DN4" s="62">
        <v>0</v>
      </c>
      <c r="DO4" s="62">
        <v>24.9</v>
      </c>
      <c r="DP4" s="62">
        <v>9.5</v>
      </c>
      <c r="DQ4" s="62">
        <v>0</v>
      </c>
      <c r="DR4" s="62">
        <v>0</v>
      </c>
      <c r="DS4" s="62">
        <v>26.2</v>
      </c>
      <c r="DT4" s="62">
        <v>10.3</v>
      </c>
      <c r="DU4" s="62">
        <v>0</v>
      </c>
      <c r="DV4" s="62">
        <v>0</v>
      </c>
      <c r="DW4" s="62">
        <v>26.2</v>
      </c>
      <c r="DX4" s="62">
        <v>9.5</v>
      </c>
      <c r="DY4" s="62">
        <v>0</v>
      </c>
      <c r="DZ4" s="62">
        <v>0</v>
      </c>
      <c r="EA4" s="17">
        <f>IF(SUM(DL4,DP4)&gt;0,SUM(DL4,DP4),"")</f>
        <v>17.5</v>
      </c>
      <c r="EB4" s="17">
        <f>IF(SUM(DT4,DX4)&gt;0,SUM(DT4,DX4),"")</f>
        <v>19.8</v>
      </c>
      <c r="EC4" s="17">
        <f>IF(SUM(DK4:DL4,DN4)-DM4&gt;0,SUM(DK4:DL4,DN4)-DM4,"")</f>
        <v>34.5</v>
      </c>
      <c r="ED4" s="17">
        <f>IF(SUM(DO4:DP4,DR4)-DQ4&gt;0,SUM(DO4:DP4,DR4)-DQ4,"")</f>
        <v>34.4</v>
      </c>
      <c r="EE4" s="17">
        <f>IF(SUM(EC4:ED4)&gt;0,SUM(EC4:ED4),"")</f>
        <v>68.900000000000006</v>
      </c>
      <c r="EF4" s="17">
        <f>IF(SUM(DS4:DT4,DV4:DX4,DZ4)-SUM(DU4,DY4)&gt;0,SUM(DS4:DT4,DV4:DX4,DZ4)-SUM(DU4,DY4),"")</f>
        <v>72.2</v>
      </c>
      <c r="EG4" s="17">
        <f>IF(SUM(EE4,EF4)&gt;0,SUM(EE4,EF4),"")</f>
        <v>141.10000000000002</v>
      </c>
      <c r="EH4" s="60">
        <v>26.1</v>
      </c>
      <c r="EI4" s="60">
        <v>8</v>
      </c>
      <c r="EJ4" s="60">
        <v>0</v>
      </c>
      <c r="EK4" s="60">
        <v>0</v>
      </c>
      <c r="EL4" s="60">
        <v>25.2</v>
      </c>
      <c r="EM4" s="60">
        <v>9.3000000000000007</v>
      </c>
      <c r="EN4" s="60">
        <v>0</v>
      </c>
      <c r="EO4" s="60">
        <v>0</v>
      </c>
      <c r="EP4" s="60">
        <v>25.9</v>
      </c>
      <c r="EQ4" s="60">
        <v>8.6999999999999993</v>
      </c>
      <c r="ER4" s="60">
        <v>0</v>
      </c>
      <c r="ES4" s="60">
        <v>0</v>
      </c>
      <c r="ET4" s="60">
        <v>25.7</v>
      </c>
      <c r="EU4" s="60">
        <v>9.3000000000000007</v>
      </c>
      <c r="EV4" s="60">
        <v>0</v>
      </c>
      <c r="EW4" s="60">
        <v>0</v>
      </c>
      <c r="EX4" s="13">
        <f>IF(SUM(EI4,EM4)&gt;0,SUM(EI4,EM4),"")</f>
        <v>17.3</v>
      </c>
      <c r="EY4" s="13">
        <f>IF(SUM(EQ4,EU4)&gt;0,SUM(EQ4,EU4),"")</f>
        <v>18</v>
      </c>
      <c r="EZ4" s="13">
        <f>IF(SUM(EH4:EI4,EK4)-EJ4&gt;0,SUM(EH4:EI4,EK4)-EJ4,"")</f>
        <v>34.1</v>
      </c>
      <c r="FA4" s="13">
        <f>IF(SUM(EL4:EM4,EO4)-EN4&gt;0,SUM(EL4:EM4,EO4)-EN4,"")</f>
        <v>34.5</v>
      </c>
      <c r="FB4" s="13">
        <f>IF(SUM(EZ4:FA4)&gt;0,SUM(EZ4:FA4),"")</f>
        <v>68.599999999999994</v>
      </c>
      <c r="FC4" s="13">
        <f>IF(SUM(EP4:EQ4,ES4:EU4,EW4)-SUM(ER4,EV4)&gt;0,SUM(EP4:EQ4,ES4:EU4,EW4)-SUM(ER4,EV4),"")</f>
        <v>69.599999999999994</v>
      </c>
      <c r="FD4" s="13">
        <f>IF(SUM(FB4,FC4)&gt;0,SUM(FB4,FC4),"")</f>
        <v>138.19999999999999</v>
      </c>
      <c r="FE4" s="62">
        <v>26.2</v>
      </c>
      <c r="FF4" s="62">
        <v>8</v>
      </c>
      <c r="FG4" s="62">
        <v>0</v>
      </c>
      <c r="FH4" s="62">
        <v>0</v>
      </c>
      <c r="FI4" s="62">
        <v>24.8</v>
      </c>
      <c r="FJ4" s="62">
        <v>9.9</v>
      </c>
      <c r="FK4" s="62">
        <v>0</v>
      </c>
      <c r="FL4" s="62">
        <v>0</v>
      </c>
      <c r="FM4" s="62"/>
      <c r="FN4" s="62"/>
      <c r="FO4" s="62"/>
      <c r="FP4" s="62"/>
      <c r="FQ4" s="62"/>
      <c r="FR4" s="62"/>
      <c r="FS4" s="62"/>
      <c r="FT4" s="62"/>
      <c r="FU4" s="17">
        <f>IF(SUM(FF4,FJ4)&gt;0,SUM(FF4,FJ4),"")</f>
        <v>17.899999999999999</v>
      </c>
      <c r="FV4" s="17" t="str">
        <f>IF(SUM(FN4,FR4)&gt;0,SUM(FN4,FR4),"")</f>
        <v/>
      </c>
      <c r="FW4" s="17">
        <f>IF(SUM(FE4:FF4,FH4)-FG4&gt;0,SUM(FE4:FF4,FH4)-FG4,"")</f>
        <v>34.200000000000003</v>
      </c>
      <c r="FX4" s="17">
        <f>IF(SUM(FI4:FJ4,FL4)-FK4&gt;0,SUM(FI4:FJ4,FL4)-FK4,"")</f>
        <v>34.700000000000003</v>
      </c>
      <c r="FY4" s="17">
        <f>IF(SUM(FW4:FX4)&gt;0,SUM(FW4:FX4),"")</f>
        <v>68.900000000000006</v>
      </c>
      <c r="FZ4" s="17" t="str">
        <f>IF(SUM(FM4:FN4,FP4:FR4,FT4)-SUM(FO4,FS4)&gt;0,SUM(FM4:FN4,FP4:FR4,FT4)-SUM(FO4,FS4),"")</f>
        <v/>
      </c>
      <c r="GA4" s="17">
        <f>IF(SUM(FY4,FZ4)&gt;0,SUM(FY4,FZ4),"")</f>
        <v>68.900000000000006</v>
      </c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13" t="str">
        <f>IF(SUM(GC4,GG4)&gt;0,SUM(GC4,GG4),"")</f>
        <v/>
      </c>
      <c r="GS4" s="13" t="str">
        <f>IF(SUM(GK4,GO4)&gt;0,SUM(GK4,GO4),"")</f>
        <v/>
      </c>
      <c r="GT4" s="13" t="str">
        <f>IF(SUM(GB4:GC4,GE4)-GD4&gt;0,SUM(GB4:GC4,GE4)-GD4,"")</f>
        <v/>
      </c>
      <c r="GU4" s="13" t="str">
        <f>IF(SUM(GF4:GG4,GI4)-GH4&gt;0,SUM(GF4:GG4,GI4)-GH4,"")</f>
        <v/>
      </c>
      <c r="GV4" s="13" t="str">
        <f>IF(SUM(GT4:GU4)&gt;0,SUM(GT4:GU4),"")</f>
        <v/>
      </c>
      <c r="GW4" s="13" t="str">
        <f>IF(SUM(GJ4:GK4,GM4:GO4,GQ4)-SUM(GL4,GP4)&gt;0,SUM(GJ4:GK4,GM4:GO4,GQ4)-SUM(GL4,GP4),"")</f>
        <v/>
      </c>
      <c r="GX4" s="13" t="str">
        <f>IF(SUM(GV4,GW4)&gt;0,SUM(GV4,GW4),"")</f>
        <v/>
      </c>
      <c r="GY4" s="62"/>
      <c r="GZ4" s="62"/>
      <c r="HA4" s="62"/>
      <c r="HB4" s="62"/>
      <c r="HC4" s="62"/>
      <c r="HD4" s="62"/>
      <c r="HE4" s="62"/>
      <c r="HF4" s="62"/>
      <c r="HG4" s="62"/>
      <c r="HH4" s="62"/>
      <c r="HI4" s="62"/>
      <c r="HJ4" s="62"/>
      <c r="HK4" s="62"/>
      <c r="HL4" s="62"/>
      <c r="HM4" s="62"/>
      <c r="HN4" s="62"/>
      <c r="HO4" s="17" t="str">
        <f>IF(SUM(GZ4,HD4)&gt;0,SUM(GZ4,HD4),"")</f>
        <v/>
      </c>
      <c r="HP4" s="17" t="str">
        <f>IF(SUM(HH4,HL4)&gt;0,SUM(HH4,HL4),"")</f>
        <v/>
      </c>
      <c r="HQ4" s="17" t="str">
        <f>IF(SUM(GY4:GZ4,HB4)-HA4&gt;0,SUM(GY4:GZ4,HB4)-HA4,"")</f>
        <v/>
      </c>
      <c r="HR4" s="17" t="str">
        <f>IF(SUM(HC4:HD4,HF4)-HE4&gt;0,SUM(HC4:HD4,HF4)-HE4,"")</f>
        <v/>
      </c>
      <c r="HS4" s="17" t="str">
        <f>IF(SUM(HQ4:HR4)&gt;0,SUM(HQ4:HR4),"")</f>
        <v/>
      </c>
      <c r="HT4" s="17" t="str">
        <f>IF(SUM(HG4:HH4,HJ4:HL4,HN4)-SUM(HI4,HM4)&gt;0,SUM(HG4:HH4,HJ4:HL4,HN4)-SUM(HI4,HM4),"")</f>
        <v/>
      </c>
      <c r="HU4" s="17" t="str">
        <f>IF(SUM(HS4,HT4)&gt;0,SUM(HS4,HT4),"")</f>
        <v/>
      </c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13" t="str">
        <f>IF(SUM(HW4,IA4)&gt;0,SUM(HW4,IA4),"")</f>
        <v/>
      </c>
      <c r="IM4" s="13" t="str">
        <f>IF(SUM(IE4,II4)&gt;0,SUM(IE4,II4),"")</f>
        <v/>
      </c>
      <c r="IN4" s="13" t="str">
        <f>IF(SUM(HV4:HW4,HY4)-HX4&gt;0,SUM(HV4:HW4,HY4)-HX4,"")</f>
        <v/>
      </c>
      <c r="IO4" s="13" t="str">
        <f>IF(SUM(HZ4:IA4,IC4)-IB4&gt;0,SUM(HZ4:IA4,IC4)-IB4,"")</f>
        <v/>
      </c>
      <c r="IP4" s="13" t="str">
        <f>IF(SUM(IN4:IO4)&gt;0,SUM(IN4:IO4),"")</f>
        <v/>
      </c>
      <c r="IQ4" s="13" t="str">
        <f>IF(SUM(ID4:IE4,IG4:II4,IK4)-SUM(IF4,IJ4)&gt;0,SUM(ID4:IE4,IG4:II4,IK4)-SUM(IF4,IJ4),"")</f>
        <v/>
      </c>
      <c r="IR4" s="13" t="str">
        <f>IF(SUM(IP4,IQ4)&gt;0,SUM(IP4,IQ4),"")</f>
        <v/>
      </c>
      <c r="IS4" s="62"/>
      <c r="IT4" s="62"/>
      <c r="IU4" s="62"/>
      <c r="IV4" s="62"/>
      <c r="IW4" s="62"/>
      <c r="IX4" s="62"/>
      <c r="IY4" s="62"/>
      <c r="IZ4" s="62"/>
      <c r="JA4" s="62"/>
      <c r="JB4" s="62"/>
      <c r="JC4" s="62"/>
      <c r="JD4" s="62"/>
      <c r="JE4" s="62"/>
      <c r="JF4" s="62"/>
      <c r="JG4" s="62"/>
      <c r="JH4" s="62"/>
      <c r="JI4" s="17" t="str">
        <f>IF(SUM(IT4,IX4)&gt;0,SUM(IT4,IX4),"")</f>
        <v/>
      </c>
      <c r="JJ4" s="17" t="str">
        <f>IF(SUM(JB4,JF4)&gt;0,SUM(JB4,JF4),"")</f>
        <v/>
      </c>
      <c r="JK4" s="17" t="str">
        <f>IF(SUM(IS4:IT4,IV4)-IU4&gt;0,SUM(IS4:IT4,IV4)-IU4,"")</f>
        <v/>
      </c>
      <c r="JL4" s="17" t="str">
        <f>IF(SUM(IW4:IX4,IZ4)-IY4&gt;0,SUM(IW4:IX4,IZ4)-IY4,"")</f>
        <v/>
      </c>
      <c r="JM4" s="17" t="str">
        <f>IF(SUM(JK4:JL4)&gt;0,SUM(JK4:JL4),"")</f>
        <v/>
      </c>
      <c r="JN4" s="17" t="str">
        <f>IF(SUM(JA4:JB4,JD4:JF4,JH4)-SUM(JC4,JG4)&gt;0,SUM(JA4:JB4,JD4:JF4,JH4)-SUM(JC4,JG4),"")</f>
        <v/>
      </c>
      <c r="JO4" s="17" t="str">
        <f>IF(SUM(JM4,JN4)&gt;0,SUM(JM4,JN4),"")</f>
        <v/>
      </c>
      <c r="JP4" s="60"/>
      <c r="JQ4" s="60"/>
      <c r="JR4" s="60"/>
      <c r="JS4" s="60"/>
      <c r="JT4" s="60"/>
      <c r="JU4" s="60"/>
      <c r="JV4" s="60"/>
      <c r="JW4" s="60"/>
      <c r="JX4" s="60"/>
      <c r="JY4" s="60"/>
      <c r="JZ4" s="60"/>
      <c r="KA4" s="60"/>
      <c r="KB4" s="60"/>
      <c r="KC4" s="60"/>
      <c r="KD4" s="60"/>
      <c r="KE4" s="60"/>
      <c r="KF4" s="13" t="str">
        <f>IF(SUM(JQ4,JU4)&gt;0,SUM(JQ4,JU4),"")</f>
        <v/>
      </c>
      <c r="KG4" s="13" t="str">
        <f>IF(SUM(JY4,KC4)&gt;0,SUM(JY4,KC4),"")</f>
        <v/>
      </c>
      <c r="KH4" s="13" t="str">
        <f>IF(SUM(JP4:JQ4,JS4)-JR4&gt;0,SUM(JP4:JQ4,JS4)-JR4,"")</f>
        <v/>
      </c>
      <c r="KI4" s="13" t="str">
        <f>IF(SUM(JT4:JU4,JW4)-JV4&gt;0,SUM(JT4:JU4,JW4)-JV4,"")</f>
        <v/>
      </c>
      <c r="KJ4" s="13" t="str">
        <f>IF(SUM(KH4:KI4)&gt;0,SUM(KH4:KI4),"")</f>
        <v/>
      </c>
      <c r="KK4" s="13" t="str">
        <f>IF(SUM(JX4:JY4,KA4:KC4,KE4)-SUM(JZ4,KD4)&gt;0,SUM(JX4:JY4,KA4:KC4,KE4)-SUM(JZ4,KD4),"")</f>
        <v/>
      </c>
      <c r="KL4" s="13" t="str">
        <f>IF(SUM(KJ4,KK4)&gt;0,SUM(KJ4,KK4),"")</f>
        <v/>
      </c>
      <c r="KM4" s="62"/>
      <c r="KN4" s="62"/>
      <c r="KO4" s="62"/>
      <c r="KP4" s="62"/>
      <c r="KQ4" s="62"/>
      <c r="KR4" s="62"/>
      <c r="KS4" s="62"/>
      <c r="KT4" s="62"/>
      <c r="KU4" s="62"/>
      <c r="KV4" s="62"/>
      <c r="KW4" s="62"/>
      <c r="KX4" s="62"/>
      <c r="KY4" s="62"/>
      <c r="KZ4" s="62"/>
      <c r="LA4" s="62"/>
      <c r="LB4" s="62"/>
      <c r="LC4" s="17" t="str">
        <f>IF(SUM(KN4,KR4)&gt;0,SUM(KN4,KR4),"")</f>
        <v/>
      </c>
      <c r="LD4" s="17" t="str">
        <f>IF(SUM(KV4,KZ4)&gt;0,SUM(KV4,KZ4),"")</f>
        <v/>
      </c>
      <c r="LE4" s="17" t="str">
        <f>IF(SUM(KM4:KN4,KP4)-KO4&gt;0,SUM(KM4:KN4,KP4)-KO4,"")</f>
        <v/>
      </c>
      <c r="LF4" s="17" t="str">
        <f>IF(SUM(KQ4:KR4,KT4)-KS4&gt;0,SUM(KQ4:KR4,KT4)-KS4,"")</f>
        <v/>
      </c>
      <c r="LG4" s="17" t="str">
        <f>IF(SUM(LE4:LF4)&gt;0,SUM(LE4:LF4),"")</f>
        <v/>
      </c>
      <c r="LH4" s="17" t="str">
        <f>IF(SUM(KU4:KV4,KX4:KZ4,LB4)-SUM(KW4,LA4)&gt;0,SUM(KU4:KV4,KX4:KZ4,LB4)-SUM(KW4,LA4),"")</f>
        <v/>
      </c>
      <c r="LI4" s="17" t="str">
        <f>IF(SUM(LG4,LH4)&gt;0,SUM(LG4,LH4),"")</f>
        <v/>
      </c>
      <c r="LJ4" s="60"/>
      <c r="LK4" s="60"/>
      <c r="LL4" s="60"/>
      <c r="LM4" s="60"/>
      <c r="LN4" s="60"/>
      <c r="LO4" s="60"/>
      <c r="LP4" s="60"/>
      <c r="LQ4" s="60"/>
      <c r="LR4" s="60"/>
      <c r="LS4" s="60"/>
      <c r="LT4" s="60"/>
      <c r="LU4" s="60"/>
      <c r="LV4" s="60"/>
      <c r="LW4" s="60"/>
      <c r="LX4" s="60"/>
      <c r="LY4" s="60"/>
      <c r="LZ4" s="13" t="str">
        <f>IF(SUM(LK4,LO4)&gt;0,SUM(LK4,LO4),"")</f>
        <v/>
      </c>
      <c r="MA4" s="13" t="str">
        <f>IF(SUM(LS4,LW4)&gt;0,SUM(LS4,LW4),"")</f>
        <v/>
      </c>
      <c r="MB4" s="13" t="str">
        <f>IF(SUM(LJ4:LK4,LM4)-LL4&gt;0,SUM(LJ4:LK4,LM4)-LL4,"")</f>
        <v/>
      </c>
      <c r="MC4" s="13" t="str">
        <f>IF(SUM(LN4:LO4,LQ4)-LP4&gt;0,SUM(LN4:LO4,LQ4)-LP4,"")</f>
        <v/>
      </c>
      <c r="MD4" s="13" t="str">
        <f>IF(SUM(MB4:MC4)&gt;0,SUM(MB4:MC4),"")</f>
        <v/>
      </c>
      <c r="ME4" s="13" t="str">
        <f>IF(SUM(LR4:LS4,LU4:LW4,LY4)-SUM(LT4,LX4)&gt;0,SUM(LR4:LS4,LU4:LW4,LY4)-SUM(LT4,LX4),"")</f>
        <v/>
      </c>
      <c r="MF4" s="13" t="str">
        <f>IF(SUM(MD4,ME4)&gt;0,SUM(MD4,ME4),"")</f>
        <v/>
      </c>
      <c r="MG4" s="62"/>
      <c r="MH4" s="62"/>
      <c r="MI4" s="62"/>
      <c r="MJ4" s="62"/>
      <c r="MK4" s="62"/>
      <c r="ML4" s="62"/>
      <c r="MM4" s="62"/>
      <c r="MN4" s="62"/>
      <c r="MO4" s="62"/>
      <c r="MP4" s="62"/>
      <c r="MQ4" s="62"/>
      <c r="MR4" s="62"/>
      <c r="MS4" s="62"/>
      <c r="MT4" s="62"/>
      <c r="MU4" s="62"/>
      <c r="MV4" s="62"/>
      <c r="MW4" s="17" t="str">
        <f>IF(SUM(MH4,ML4)&gt;0,SUM(MH4,ML4),"")</f>
        <v/>
      </c>
      <c r="MX4" s="17" t="str">
        <f>IF(SUM(MP4,MT4)&gt;0,SUM(MP4,MT4),"")</f>
        <v/>
      </c>
      <c r="MY4" s="17" t="str">
        <f>IF(SUM(MG4:MH4,MJ4)-MI4&gt;0,SUM(MG4:MH4,MJ4)-MI4,"")</f>
        <v/>
      </c>
      <c r="MZ4" s="17" t="str">
        <f>IF(SUM(MK4:ML4,MN4)-MM4&gt;0,SUM(MK4:ML4,MN4)-MM4,"")</f>
        <v/>
      </c>
      <c r="NA4" s="17" t="str">
        <f>IF(SUM(MY4:MZ4)&gt;0,SUM(MY4:MZ4),"")</f>
        <v/>
      </c>
      <c r="NB4" s="17" t="str">
        <f>IF(SUM(MO4:MP4,MR4:MT4,MV4)-SUM(MQ4,MU4)&gt;0,SUM(MO4:MP4,MR4:MT4,MV4)-SUM(MQ4,MU4),"")</f>
        <v/>
      </c>
      <c r="NC4" s="17" t="str">
        <f>IF(SUM(NA4,NB4)&gt;0,SUM(NA4,NB4),"")</f>
        <v/>
      </c>
    </row>
    <row r="5" spans="1:367" x14ac:dyDescent="0.2">
      <c r="A5" s="6">
        <f ca="1">IF(AND(F5="P",G5="P"),SUMPRODUCT((F$4:F$8="P")*(G$4:G$8="P")*(E$4:E$8&gt;E5))+1,IF(G5="P",SUMPRODUCT((F$4:F$8="")*(G$4:G$8="P")*(E$4:E$8&gt;E5))+1+SUMPRODUCT((F$4:F$8="P")*(G$4:G$8="P")),""))</f>
        <v>2</v>
      </c>
      <c r="B5" s="7" t="s">
        <v>90</v>
      </c>
      <c r="C5" s="8" t="s">
        <v>4</v>
      </c>
      <c r="D5" s="6">
        <v>2012</v>
      </c>
      <c r="E5" s="18">
        <f>SUM(I5:Q5)</f>
        <v>167.8</v>
      </c>
      <c r="F5" s="4" t="str">
        <f>IF(OR(AND(AJ5&gt;=C$12,NOT(AJ5="")),AND(AK5&gt;=C$12,NOT(AK5="")),AND(BG5&gt;=C$12,NOT(BG5="")),AND(BH5&gt;=C$12,NOT(BH5="")),AND(CD5&gt;=C$12,NOT(CD5="")),AND(CE5&gt;=C$12,NOT(CE5=""))),"P","")</f>
        <v>P</v>
      </c>
      <c r="G5" s="4" t="str">
        <f ca="1">IF(OR(I5&gt;=C$14,AND(I5&gt;$C$13,YEAR(TODAY())-$D5&lt;2)),"P","")</f>
        <v>P</v>
      </c>
      <c r="H5" t="str">
        <f ca="1">IF(F5="P",IF(I5&gt;=C$16,"Merit",IF(I5&gt;=C$15,"Funding",IF(I5&gt;=C$14,"Team",IF(AND(I5&gt;C$13,YEAR(TODAY())-$D5&lt;2),"First 2 Years","")))),IF(AND(I5&gt;C$13,YEAR(TODAY())-$D5&lt;2),"First 2 Years",""))</f>
        <v>Team</v>
      </c>
      <c r="I5" s="17">
        <f>MAX(AN5,BK5,CH5)</f>
        <v>65.3</v>
      </c>
      <c r="J5" s="17" t="str">
        <f>IF(I5=CH5,$BN$1,IF(I5=BK5,$AQ$1,IF(I5=AN5,$T$1,"")))</f>
        <v>2017 Nationals</v>
      </c>
      <c r="K5" s="17">
        <f>IF($I5=$AN5,MAX(BI5,CF5),IF($I5=$BK5,MAX(AL5,CF5),MAX(AL5,BI5)))</f>
        <v>0</v>
      </c>
      <c r="L5" s="17" t="str">
        <f>IF(K5=CF5,$BN$1,IF(K5=BI5,$AQ$1,IF(K5=AL5,$T$1,"")))</f>
        <v/>
      </c>
      <c r="M5" s="17">
        <f>IF($I5=$AN5,MAX(BJ5,CG5),IF($I5=$BK5,MAX(AM5,CG5),MAX(AM5,BJ5)))</f>
        <v>0</v>
      </c>
      <c r="N5" s="17" t="str">
        <f>IF(M5=CG5,$BN$1,IF(M5=BJ5,$AQ$1,IF(M5=AM5,$T$1,"")))</f>
        <v/>
      </c>
      <c r="O5" s="17">
        <f>MAX(AO5,BL5,CI5)</f>
        <v>67.7</v>
      </c>
      <c r="P5" s="17" t="str">
        <f>IF(O5=CI5,$BN$1,IF(O5=BL5,$AQ$1,IF(O5=AO5,$T$1,"")))</f>
        <v>2017 Nationals</v>
      </c>
      <c r="Q5" s="17">
        <f>IF(MAX(CK5:CM5)&gt;0,MAX(CK5:CM5),"")</f>
        <v>34.799999999999997</v>
      </c>
      <c r="R5" s="44" t="str">
        <f>IF(Q5="","",IF(Q5=CK5,"(Pass 1)",IF(Q5=CL5,"(Pass 2)",IF(Q5=CM5,"(Final)"))))</f>
        <v>(Pass 1)</v>
      </c>
      <c r="S5" s="17" t="str">
        <f>IF(Q5="","",IF(Q5=CK5,IF(Q5+K5=MY5,$MG$1,IF(Q5+K5=MB5,$LJ$1,IF(Q5+K5=LE5,$KM$1,IF(Q5+K5=KH5,$JP$1,IF(Q5+K5=JK5,$IS$1,IF(Q5+K5=IN5,$HV$1,IF(Q5+K5=HQ5,$GY$1,IF(Q5+K5=GT5,$GB$1,IF(Q5+K5=FW5,$FE$1,IF(Q5+K5=EZ5,$EH$1,IF(Q5+K5=EC5,$DK$1,IF(Q5+K5=DF5,$CN$1)))))))))))),IF(Q5=CL5,IF(Q5+M5=MZ5,$MG$1,IF(Q5+M5=MC5,$LJ$1,IF(Q5+M5=LF5,$KM$1,IF(Q5+M5=KI5,$JP$1,IF(Q5+M5=JL5,$IS$1,IF(Q5+M5=IO5,$HV$1,IF(Q5+M5=HR5,$GY$1,IF(Q5+M5=GU5,$GB$1,IF(Q5+M5=FX5,$FE$1,IF(Q5+M5=FA5,$EH$1,IF(Q5+M5=ED5,$DK$1,IF(Q5+M5=DG5,$CN$1)))))))))))),IF(Q5=CM5,IF(Q5+O5=NB5,$MG$1,IF(Q5+O5=ME5,$LJ$1,IF(Q5+O5=LH5,$KM$1,IF(Q5+O5=KK5,$JP$1,IF(Q5+O5=JN5,$IS$1,IF(Q5+O5=IQ5,$HV$1,IF(Q5+O5=HT5,$GY$1,IF(Q5+O5=GW5,$GB$1,IF(Q5+O5=FZ5,$FE$1,IF(Q5+O5=FC5,$EH$1,IF(Q5+O5=EF5,$DK$1,IF(Q5+O5=DI5,$CN$1))))))))))))))))</f>
        <v>2016 Pan Am Championships (Dec)</v>
      </c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13" t="str">
        <f>IF(SUM(U5,Y5)&gt;0,SUM(U5,Y5),"")</f>
        <v/>
      </c>
      <c r="AK5" s="13" t="str">
        <f>IF(SUM(AC5,AG5)&gt;0,SUM(AC5,AG5),"")</f>
        <v/>
      </c>
      <c r="AL5" s="13" t="str">
        <f>IF(SUM(T5:U5,W5)-V5&gt;0,SUM(T5:U5,W5)-V5,"")</f>
        <v/>
      </c>
      <c r="AM5" s="13" t="str">
        <f>IF(SUM(X5:Y5,AA5)-Z5&gt;0,SUM(X5:Y5,AA5)-Z5,"")</f>
        <v/>
      </c>
      <c r="AN5" s="13" t="str">
        <f>IF(SUM(AL5:AM5)&gt;0,SUM(AL5:AM5),"")</f>
        <v/>
      </c>
      <c r="AO5" s="13" t="str">
        <f>IF(SUM(AB5:AC5,AE5:AG5,AI5)-SUM(AD5,AH5)&gt;0,SUM(AB5:AC5,AE5:AG5,AI5)-SUM(AD5,AH5),"")</f>
        <v/>
      </c>
      <c r="AP5" s="13" t="str">
        <f>IF(SUM(AN5,AO5)&gt;0,SUM(AN5,AO5),"")</f>
        <v/>
      </c>
      <c r="AQ5" s="62">
        <v>24.7</v>
      </c>
      <c r="AR5" s="62">
        <v>5.3</v>
      </c>
      <c r="AS5" s="62">
        <v>0</v>
      </c>
      <c r="AT5" s="62">
        <v>0</v>
      </c>
      <c r="AU5" s="62">
        <v>28</v>
      </c>
      <c r="AV5" s="62">
        <v>7.3</v>
      </c>
      <c r="AW5" s="62">
        <v>0</v>
      </c>
      <c r="AX5" s="62">
        <v>0</v>
      </c>
      <c r="AY5" s="62">
        <v>27.2</v>
      </c>
      <c r="AZ5" s="62">
        <v>6.9</v>
      </c>
      <c r="BA5" s="62">
        <v>0</v>
      </c>
      <c r="BB5" s="62">
        <v>0</v>
      </c>
      <c r="BC5" s="62">
        <v>26.7</v>
      </c>
      <c r="BD5" s="62">
        <v>6.9</v>
      </c>
      <c r="BE5" s="62">
        <v>0</v>
      </c>
      <c r="BF5" s="62">
        <v>0</v>
      </c>
      <c r="BG5" s="17">
        <f>IF(SUM(AR5,AV5)&gt;0,SUM(AR5,AV5),"")</f>
        <v>12.6</v>
      </c>
      <c r="BH5" s="17">
        <f>IF(SUM(AZ5,BD5)&gt;0,SUM(AZ5,BD5),"")</f>
        <v>13.8</v>
      </c>
      <c r="BI5" s="17">
        <f>IF(SUM(AQ5:AR5,AT5)-AS5&gt;0,SUM(AQ5:AR5,AT5)-AS5,"")</f>
        <v>30</v>
      </c>
      <c r="BJ5" s="17">
        <f>IF(SUM(AU5:AV5,AX5)-AW5&gt;0,SUM(AU5:AV5,AX5)-AW5,"")</f>
        <v>35.299999999999997</v>
      </c>
      <c r="BK5" s="17">
        <f>IF(SUM(BI5:BJ5)&gt;0,SUM(BI5:BJ5),"")</f>
        <v>65.3</v>
      </c>
      <c r="BL5" s="17">
        <f>IF(SUM(AY5:AZ5,BB5:BD5,BF5)-SUM(BA5,BE5)&gt;0,SUM(AY5:AZ5,BB5:BD5,BF5)-SUM(BA5,BE5),"")</f>
        <v>67.7</v>
      </c>
      <c r="BM5" s="17">
        <f>IF(SUM(BK5,BL5)&gt;0,SUM(BK5,BL5),"")</f>
        <v>133</v>
      </c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13" t="str">
        <f>IF(SUM(BO5,BS5)&gt;0,SUM(BO5,BS5),"")</f>
        <v/>
      </c>
      <c r="CE5" s="13" t="str">
        <f>IF(SUM(BW5,CA5)&gt;0,SUM(BW5,CA5),"")</f>
        <v/>
      </c>
      <c r="CF5" s="13" t="str">
        <f>IF(SUM(BN5:BO5,BQ5)-BP5&gt;0,SUM(BN5:BO5,BQ5)-BP5,"")</f>
        <v/>
      </c>
      <c r="CG5" s="13" t="str">
        <f>IF(SUM(BR5:BS5,BU5)-BT5&gt;0,SUM(BR5:BS5,BU5)-BT5,"")</f>
        <v/>
      </c>
      <c r="CH5" s="13" t="str">
        <f>IF(SUM(CF5:CG5)&gt;0,SUM(CF5:CG5),"")</f>
        <v/>
      </c>
      <c r="CI5" s="13" t="str">
        <f>IF(SUM(BV5:BW5,BY5:CA5,CC5)-SUM(BX5,CB5)&gt;0,SUM(BV5:BW5,BY5:CA5,CC5)-SUM(BX5,CB5),"")</f>
        <v/>
      </c>
      <c r="CJ5" s="13" t="str">
        <f>IF(SUM(CH5,CI5)&gt;0,SUM(CH5,CI5),"")</f>
        <v/>
      </c>
      <c r="CK5" s="43">
        <f>IF(MAX(DF5,EC5,EZ5,FW5,GT5,HQ5,IN5,JK5,KH5,LE5,MB5,MY5)-K5&gt;0.001,MAX(DF5,EC5,EZ5,FW5,GT5,HQ5,IN5,JK5,KH5,LE5,MB5,MY5)-K5,"")</f>
        <v>34.799999999999997</v>
      </c>
      <c r="CL5" s="43">
        <f>IF(MAX(DG5,ED5,FA5,FX5,GU5,HR5,IO5,JL5,KI5,LF5,MC5,MZ5)-M5&gt;0.001,MAX(DG5,ED5,FA5,FX5,GU5,HR5,IO5,JL5,KI5,LF5,MC5,MZ5)-M5,"")</f>
        <v>34.5</v>
      </c>
      <c r="CM5" s="43" t="str">
        <f>IF(MAX(DI5,EF5,FC5,FZ5,GW5,HT5,IQ5,JN5,KK5,LH5,ME5,NB5)-O5&gt;0.001,MAX(DI5,EF5,FC5,FZ5,GW5,HT5,IQ5,JN5,KK5,LH5,ME5,NB5)-O5,"")</f>
        <v/>
      </c>
      <c r="CN5" s="60">
        <v>21.1</v>
      </c>
      <c r="CO5" s="60">
        <v>13.7</v>
      </c>
      <c r="CP5" s="60">
        <v>0</v>
      </c>
      <c r="CQ5" s="60">
        <v>0</v>
      </c>
      <c r="CR5" s="60">
        <v>34.5</v>
      </c>
      <c r="CS5" s="60">
        <v>0</v>
      </c>
      <c r="CT5" s="60">
        <v>0</v>
      </c>
      <c r="CU5" s="60">
        <v>0</v>
      </c>
      <c r="CV5" s="60">
        <v>34.6</v>
      </c>
      <c r="CW5" s="60">
        <v>0</v>
      </c>
      <c r="CX5" s="60">
        <v>0</v>
      </c>
      <c r="CY5" s="60">
        <v>0</v>
      </c>
      <c r="CZ5" s="60">
        <v>30.8</v>
      </c>
      <c r="DA5" s="60">
        <v>0</v>
      </c>
      <c r="DB5" s="60">
        <v>0</v>
      </c>
      <c r="DC5" s="60">
        <v>0</v>
      </c>
      <c r="DD5" s="13">
        <f>IF(SUM(CO5,CS5)&gt;0,SUM(CO5,CS5),"")</f>
        <v>13.7</v>
      </c>
      <c r="DE5" s="13" t="str">
        <f>IF(SUM(CW5,DA5)&gt;0,SUM(CW5,DA5),"")</f>
        <v/>
      </c>
      <c r="DF5" s="13">
        <f>IF(SUM(CN5:CO5,CQ5)-CP5&gt;0,SUM(CN5:CO5,CQ5)-CP5,"")</f>
        <v>34.799999999999997</v>
      </c>
      <c r="DG5" s="13">
        <f>IF(SUM(CR5:CS5,CU5)-CT5&gt;0,SUM(CR5:CS5,CU5)-CT5,"")</f>
        <v>34.5</v>
      </c>
      <c r="DH5" s="13">
        <f>IF(SUM(DF5:DG5)&gt;0,SUM(DF5:DG5),"")</f>
        <v>69.3</v>
      </c>
      <c r="DI5" s="13">
        <f>IF(SUM(CV5:CW5,CY5:DA5,DC5)-SUM(CX5,DB5)&gt;0,SUM(CV5:CW5,CY5:DA5,DC5)-SUM(CX5,DB5),"")</f>
        <v>65.400000000000006</v>
      </c>
      <c r="DJ5" s="13">
        <f>IF(SUM(DH5,DI5)&gt;0,SUM(DH5,DI5),"")</f>
        <v>134.69999999999999</v>
      </c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17" t="str">
        <f>IF(SUM(DL5,DP5)&gt;0,SUM(DL5,DP5),"")</f>
        <v/>
      </c>
      <c r="EB5" s="17" t="str">
        <f>IF(SUM(DT5,DX5)&gt;0,SUM(DT5,DX5),"")</f>
        <v/>
      </c>
      <c r="EC5" s="17" t="str">
        <f>IF(SUM(DK5:DL5,DN5)-DM5&gt;0,SUM(DK5:DL5,DN5)-DM5,"")</f>
        <v/>
      </c>
      <c r="ED5" s="17" t="str">
        <f>IF(SUM(DO5:DP5,DR5)-DQ5&gt;0,SUM(DO5:DP5,DR5)-DQ5,"")</f>
        <v/>
      </c>
      <c r="EE5" s="17" t="str">
        <f>IF(SUM(EC5:ED5)&gt;0,SUM(EC5:ED5),"")</f>
        <v/>
      </c>
      <c r="EF5" s="17" t="str">
        <f>IF(SUM(DS5:DT5,DV5:DX5,DZ5)-SUM(DU5,DY5)&gt;0,SUM(DS5:DT5,DV5:DX5,DZ5)-SUM(DU5,DY5),"")</f>
        <v/>
      </c>
      <c r="EG5" s="17" t="str">
        <f>IF(SUM(EE5,EF5)&gt;0,SUM(EE5,EF5),"")</f>
        <v/>
      </c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13" t="str">
        <f>IF(SUM(EI5,EM5)&gt;0,SUM(EI5,EM5),"")</f>
        <v/>
      </c>
      <c r="EY5" s="13" t="str">
        <f>IF(SUM(EQ5,EU5)&gt;0,SUM(EQ5,EU5),"")</f>
        <v/>
      </c>
      <c r="EZ5" s="13" t="str">
        <f>IF(SUM(EH5:EI5,EK5)-EJ5&gt;0,SUM(EH5:EI5,EK5)-EJ5,"")</f>
        <v/>
      </c>
      <c r="FA5" s="13" t="str">
        <f>IF(SUM(EL5:EM5,EO5)-EN5&gt;0,SUM(EL5:EM5,EO5)-EN5,"")</f>
        <v/>
      </c>
      <c r="FB5" s="13" t="str">
        <f>IF(SUM(EZ5:FA5)&gt;0,SUM(EZ5:FA5),"")</f>
        <v/>
      </c>
      <c r="FC5" s="13" t="str">
        <f>IF(SUM(EP5:EQ5,ES5:EU5,EW5)-SUM(ER5,EV5)&gt;0,SUM(EP5:EQ5,ES5:EU5,EW5)-SUM(ER5,EV5),"")</f>
        <v/>
      </c>
      <c r="FD5" s="13" t="str">
        <f>IF(SUM(FB5,FC5)&gt;0,SUM(FB5,FC5),"")</f>
        <v/>
      </c>
      <c r="FE5" s="62"/>
      <c r="FF5" s="62"/>
      <c r="FG5" s="62"/>
      <c r="FH5" s="62"/>
      <c r="FI5" s="62"/>
      <c r="FJ5" s="62"/>
      <c r="FK5" s="62"/>
      <c r="FL5" s="62"/>
      <c r="FM5" s="62"/>
      <c r="FN5" s="62"/>
      <c r="FO5" s="62"/>
      <c r="FP5" s="62"/>
      <c r="FQ5" s="62"/>
      <c r="FR5" s="62"/>
      <c r="FS5" s="62"/>
      <c r="FT5" s="62"/>
      <c r="FU5" s="17" t="str">
        <f>IF(SUM(FF5,FJ5)&gt;0,SUM(FF5,FJ5),"")</f>
        <v/>
      </c>
      <c r="FV5" s="17" t="str">
        <f>IF(SUM(FN5,FR5)&gt;0,SUM(FN5,FR5),"")</f>
        <v/>
      </c>
      <c r="FW5" s="17" t="str">
        <f>IF(SUM(FE5:FF5,FH5)-FG5&gt;0,SUM(FE5:FF5,FH5)-FG5,"")</f>
        <v/>
      </c>
      <c r="FX5" s="17" t="str">
        <f>IF(SUM(FI5:FJ5,FL5)-FK5&gt;0,SUM(FI5:FJ5,FL5)-FK5,"")</f>
        <v/>
      </c>
      <c r="FY5" s="17" t="str">
        <f>IF(SUM(FW5:FX5)&gt;0,SUM(FW5:FX5),"")</f>
        <v/>
      </c>
      <c r="FZ5" s="17" t="str">
        <f>IF(SUM(FM5:FN5,FP5:FR5,FT5)-SUM(FO5,FS5)&gt;0,SUM(FM5:FN5,FP5:FR5,FT5)-SUM(FO5,FS5),"")</f>
        <v/>
      </c>
      <c r="GA5" s="17" t="str">
        <f>IF(SUM(FY5,FZ5)&gt;0,SUM(FY5,FZ5),"")</f>
        <v/>
      </c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13" t="str">
        <f>IF(SUM(GC5,GG5)&gt;0,SUM(GC5,GG5),"")</f>
        <v/>
      </c>
      <c r="GS5" s="13" t="str">
        <f>IF(SUM(GK5,GO5)&gt;0,SUM(GK5,GO5),"")</f>
        <v/>
      </c>
      <c r="GT5" s="13" t="str">
        <f>IF(SUM(GB5:GC5,GE5)-GD5&gt;0,SUM(GB5:GC5,GE5)-GD5,"")</f>
        <v/>
      </c>
      <c r="GU5" s="13" t="str">
        <f>IF(SUM(GF5:GG5,GI5)-GH5&gt;0,SUM(GF5:GG5,GI5)-GH5,"")</f>
        <v/>
      </c>
      <c r="GV5" s="13" t="str">
        <f>IF(SUM(GT5:GU5)&gt;0,SUM(GT5:GU5),"")</f>
        <v/>
      </c>
      <c r="GW5" s="13" t="str">
        <f>IF(SUM(GJ5:GK5,GM5:GO5,GQ5)-SUM(GL5,GP5)&gt;0,SUM(GJ5:GK5,GM5:GO5,GQ5)-SUM(GL5,GP5),"")</f>
        <v/>
      </c>
      <c r="GX5" s="13" t="str">
        <f>IF(SUM(GV5,GW5)&gt;0,SUM(GV5,GW5),"")</f>
        <v/>
      </c>
      <c r="GY5" s="62"/>
      <c r="GZ5" s="62"/>
      <c r="HA5" s="62"/>
      <c r="HB5" s="62"/>
      <c r="HC5" s="62"/>
      <c r="HD5" s="62"/>
      <c r="HE5" s="62"/>
      <c r="HF5" s="62"/>
      <c r="HG5" s="62"/>
      <c r="HH5" s="62"/>
      <c r="HI5" s="62"/>
      <c r="HJ5" s="62"/>
      <c r="HK5" s="62"/>
      <c r="HL5" s="62"/>
      <c r="HM5" s="62"/>
      <c r="HN5" s="62"/>
      <c r="HO5" s="17" t="str">
        <f>IF(SUM(GZ5,HD5)&gt;0,SUM(GZ5,HD5),"")</f>
        <v/>
      </c>
      <c r="HP5" s="17" t="str">
        <f>IF(SUM(HH5,HL5)&gt;0,SUM(HH5,HL5),"")</f>
        <v/>
      </c>
      <c r="HQ5" s="17" t="str">
        <f>IF(SUM(GY5:GZ5,HB5)-HA5&gt;0,SUM(GY5:GZ5,HB5)-HA5,"")</f>
        <v/>
      </c>
      <c r="HR5" s="17" t="str">
        <f>IF(SUM(HC5:HD5,HF5)-HE5&gt;0,SUM(HC5:HD5,HF5)-HE5,"")</f>
        <v/>
      </c>
      <c r="HS5" s="17" t="str">
        <f>IF(SUM(HQ5:HR5)&gt;0,SUM(HQ5:HR5),"")</f>
        <v/>
      </c>
      <c r="HT5" s="17" t="str">
        <f>IF(SUM(HG5:HH5,HJ5:HL5,HN5)-SUM(HI5,HM5)&gt;0,SUM(HG5:HH5,HJ5:HL5,HN5)-SUM(HI5,HM5),"")</f>
        <v/>
      </c>
      <c r="HU5" s="17" t="str">
        <f>IF(SUM(HS5,HT5)&gt;0,SUM(HS5,HT5),"")</f>
        <v/>
      </c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13" t="str">
        <f>IF(SUM(HW5,IA5)&gt;0,SUM(HW5,IA5),"")</f>
        <v/>
      </c>
      <c r="IM5" s="13" t="str">
        <f>IF(SUM(IE5,II5)&gt;0,SUM(IE5,II5),"")</f>
        <v/>
      </c>
      <c r="IN5" s="13" t="str">
        <f>IF(SUM(HV5:HW5,HY5)-HX5&gt;0,SUM(HV5:HW5,HY5)-HX5,"")</f>
        <v/>
      </c>
      <c r="IO5" s="13" t="str">
        <f>IF(SUM(HZ5:IA5,IC5)-IB5&gt;0,SUM(HZ5:IA5,IC5)-IB5,"")</f>
        <v/>
      </c>
      <c r="IP5" s="13" t="str">
        <f>IF(SUM(IN5:IO5)&gt;0,SUM(IN5:IO5),"")</f>
        <v/>
      </c>
      <c r="IQ5" s="13" t="str">
        <f>IF(SUM(ID5:IE5,IG5:II5,IK5)-SUM(IF5,IJ5)&gt;0,SUM(ID5:IE5,IG5:II5,IK5)-SUM(IF5,IJ5),"")</f>
        <v/>
      </c>
      <c r="IR5" s="13" t="str">
        <f>IF(SUM(IP5,IQ5)&gt;0,SUM(IP5,IQ5),"")</f>
        <v/>
      </c>
      <c r="IS5" s="62"/>
      <c r="IT5" s="62"/>
      <c r="IU5" s="62"/>
      <c r="IV5" s="62"/>
      <c r="IW5" s="62"/>
      <c r="IX5" s="62"/>
      <c r="IY5" s="62"/>
      <c r="IZ5" s="62"/>
      <c r="JA5" s="62"/>
      <c r="JB5" s="62"/>
      <c r="JC5" s="62"/>
      <c r="JD5" s="62"/>
      <c r="JE5" s="62"/>
      <c r="JF5" s="62"/>
      <c r="JG5" s="62"/>
      <c r="JH5" s="62"/>
      <c r="JI5" s="17" t="str">
        <f>IF(SUM(IT5,IX5)&gt;0,SUM(IT5,IX5),"")</f>
        <v/>
      </c>
      <c r="JJ5" s="17" t="str">
        <f>IF(SUM(JB5,JF5)&gt;0,SUM(JB5,JF5),"")</f>
        <v/>
      </c>
      <c r="JK5" s="17" t="str">
        <f>IF(SUM(IS5:IT5,IV5)-IU5&gt;0,SUM(IS5:IT5,IV5)-IU5,"")</f>
        <v/>
      </c>
      <c r="JL5" s="17" t="str">
        <f>IF(SUM(IW5:IX5,IZ5)-IY5&gt;0,SUM(IW5:IX5,IZ5)-IY5,"")</f>
        <v/>
      </c>
      <c r="JM5" s="17" t="str">
        <f>IF(SUM(JK5:JL5)&gt;0,SUM(JK5:JL5),"")</f>
        <v/>
      </c>
      <c r="JN5" s="17" t="str">
        <f>IF(SUM(JA5:JB5,JD5:JF5,JH5)-SUM(JC5,JG5)&gt;0,SUM(JA5:JB5,JD5:JF5,JH5)-SUM(JC5,JG5),"")</f>
        <v/>
      </c>
      <c r="JO5" s="17" t="str">
        <f>IF(SUM(JM5,JN5)&gt;0,SUM(JM5,JN5),"")</f>
        <v/>
      </c>
      <c r="JP5" s="60"/>
      <c r="JQ5" s="60"/>
      <c r="JR5" s="60"/>
      <c r="JS5" s="60"/>
      <c r="JT5" s="60"/>
      <c r="JU5" s="60"/>
      <c r="JV5" s="60"/>
      <c r="JW5" s="60"/>
      <c r="JX5" s="60"/>
      <c r="JY5" s="60"/>
      <c r="JZ5" s="60"/>
      <c r="KA5" s="60"/>
      <c r="KB5" s="60"/>
      <c r="KC5" s="60"/>
      <c r="KD5" s="60"/>
      <c r="KE5" s="60"/>
      <c r="KF5" s="13" t="str">
        <f>IF(SUM(JQ5,JU5)&gt;0,SUM(JQ5,JU5),"")</f>
        <v/>
      </c>
      <c r="KG5" s="13" t="str">
        <f>IF(SUM(JY5,KC5)&gt;0,SUM(JY5,KC5),"")</f>
        <v/>
      </c>
      <c r="KH5" s="13" t="str">
        <f>IF(SUM(JP5:JQ5,JS5)-JR5&gt;0,SUM(JP5:JQ5,JS5)-JR5,"")</f>
        <v/>
      </c>
      <c r="KI5" s="13" t="str">
        <f>IF(SUM(JT5:JU5,JW5)-JV5&gt;0,SUM(JT5:JU5,JW5)-JV5,"")</f>
        <v/>
      </c>
      <c r="KJ5" s="13" t="str">
        <f>IF(SUM(KH5:KI5)&gt;0,SUM(KH5:KI5),"")</f>
        <v/>
      </c>
      <c r="KK5" s="13" t="str">
        <f>IF(SUM(JX5:JY5,KA5:KC5,KE5)-SUM(JZ5,KD5)&gt;0,SUM(JX5:JY5,KA5:KC5,KE5)-SUM(JZ5,KD5),"")</f>
        <v/>
      </c>
      <c r="KL5" s="13" t="str">
        <f>IF(SUM(KJ5,KK5)&gt;0,SUM(KJ5,KK5),"")</f>
        <v/>
      </c>
      <c r="KM5" s="62"/>
      <c r="KN5" s="62"/>
      <c r="KO5" s="62"/>
      <c r="KP5" s="62"/>
      <c r="KQ5" s="62"/>
      <c r="KR5" s="62"/>
      <c r="KS5" s="62"/>
      <c r="KT5" s="62"/>
      <c r="KU5" s="62"/>
      <c r="KV5" s="62"/>
      <c r="KW5" s="62"/>
      <c r="KX5" s="62"/>
      <c r="KY5" s="62"/>
      <c r="KZ5" s="62"/>
      <c r="LA5" s="62"/>
      <c r="LB5" s="62"/>
      <c r="LC5" s="17" t="str">
        <f>IF(SUM(KN5,KR5)&gt;0,SUM(KN5,KR5),"")</f>
        <v/>
      </c>
      <c r="LD5" s="17" t="str">
        <f>IF(SUM(KV5,KZ5)&gt;0,SUM(KV5,KZ5),"")</f>
        <v/>
      </c>
      <c r="LE5" s="17" t="str">
        <f>IF(SUM(KM5:KN5,KP5)-KO5&gt;0,SUM(KM5:KN5,KP5)-KO5,"")</f>
        <v/>
      </c>
      <c r="LF5" s="17" t="str">
        <f>IF(SUM(KQ5:KR5,KT5)-KS5&gt;0,SUM(KQ5:KR5,KT5)-KS5,"")</f>
        <v/>
      </c>
      <c r="LG5" s="17" t="str">
        <f>IF(SUM(LE5:LF5)&gt;0,SUM(LE5:LF5),"")</f>
        <v/>
      </c>
      <c r="LH5" s="17" t="str">
        <f>IF(SUM(KU5:KV5,KX5:KZ5,LB5)-SUM(KW5,LA5)&gt;0,SUM(KU5:KV5,KX5:KZ5,LB5)-SUM(KW5,LA5),"")</f>
        <v/>
      </c>
      <c r="LI5" s="17" t="str">
        <f>IF(SUM(LG5,LH5)&gt;0,SUM(LG5,LH5),"")</f>
        <v/>
      </c>
      <c r="LJ5" s="60"/>
      <c r="LK5" s="60"/>
      <c r="LL5" s="60"/>
      <c r="LM5" s="60"/>
      <c r="LN5" s="60"/>
      <c r="LO5" s="60"/>
      <c r="LP5" s="60"/>
      <c r="LQ5" s="60"/>
      <c r="LR5" s="60"/>
      <c r="LS5" s="60"/>
      <c r="LT5" s="60"/>
      <c r="LU5" s="60"/>
      <c r="LV5" s="60"/>
      <c r="LW5" s="60"/>
      <c r="LX5" s="60"/>
      <c r="LY5" s="60"/>
      <c r="LZ5" s="13" t="str">
        <f>IF(SUM(LK5,LO5)&gt;0,SUM(LK5,LO5),"")</f>
        <v/>
      </c>
      <c r="MA5" s="13" t="str">
        <f>IF(SUM(LS5,LW5)&gt;0,SUM(LS5,LW5),"")</f>
        <v/>
      </c>
      <c r="MB5" s="13" t="str">
        <f>IF(SUM(LJ5:LK5,LM5)-LL5&gt;0,SUM(LJ5:LK5,LM5)-LL5,"")</f>
        <v/>
      </c>
      <c r="MC5" s="13" t="str">
        <f>IF(SUM(LN5:LO5,LQ5)-LP5&gt;0,SUM(LN5:LO5,LQ5)-LP5,"")</f>
        <v/>
      </c>
      <c r="MD5" s="13" t="str">
        <f>IF(SUM(MB5:MC5)&gt;0,SUM(MB5:MC5),"")</f>
        <v/>
      </c>
      <c r="ME5" s="13" t="str">
        <f>IF(SUM(LR5:LS5,LU5:LW5,LY5)-SUM(LT5,LX5)&gt;0,SUM(LR5:LS5,LU5:LW5,LY5)-SUM(LT5,LX5),"")</f>
        <v/>
      </c>
      <c r="MF5" s="13" t="str">
        <f>IF(SUM(MD5,ME5)&gt;0,SUM(MD5,ME5),"")</f>
        <v/>
      </c>
      <c r="MG5" s="62"/>
      <c r="MH5" s="62"/>
      <c r="MI5" s="62"/>
      <c r="MJ5" s="62"/>
      <c r="MK5" s="62"/>
      <c r="ML5" s="62"/>
      <c r="MM5" s="62"/>
      <c r="MN5" s="62"/>
      <c r="MO5" s="62"/>
      <c r="MP5" s="62"/>
      <c r="MQ5" s="62"/>
      <c r="MR5" s="62"/>
      <c r="MS5" s="62"/>
      <c r="MT5" s="62"/>
      <c r="MU5" s="62"/>
      <c r="MV5" s="62"/>
      <c r="MW5" s="17" t="str">
        <f>IF(SUM(MH5,ML5)&gt;0,SUM(MH5,ML5),"")</f>
        <v/>
      </c>
      <c r="MX5" s="17" t="str">
        <f>IF(SUM(MP5,MT5)&gt;0,SUM(MP5,MT5),"")</f>
        <v/>
      </c>
      <c r="MY5" s="17" t="str">
        <f>IF(SUM(MG5:MH5,MJ5)-MI5&gt;0,SUM(MG5:MH5,MJ5)-MI5,"")</f>
        <v/>
      </c>
      <c r="MZ5" s="17" t="str">
        <f>IF(SUM(MK5:ML5,MN5)-MM5&gt;0,SUM(MK5:ML5,MN5)-MM5,"")</f>
        <v/>
      </c>
      <c r="NA5" s="17" t="str">
        <f>IF(SUM(MY5:MZ5)&gt;0,SUM(MY5:MZ5),"")</f>
        <v/>
      </c>
      <c r="NB5" s="17" t="str">
        <f>IF(SUM(MO5:MP5,MR5:MT5,MV5)-SUM(MQ5,MU5)&gt;0,SUM(MO5:MP5,MR5:MT5,MV5)-SUM(MQ5,MU5),"")</f>
        <v/>
      </c>
      <c r="NC5" s="17" t="str">
        <f>IF(SUM(NA5,NB5)&gt;0,SUM(NA5,NB5),"")</f>
        <v/>
      </c>
    </row>
    <row r="6" spans="1:367" x14ac:dyDescent="0.2">
      <c r="A6" s="6" t="str">
        <f ca="1">IF(AND(F6="P",G6="P"),SUMPRODUCT((F$4:F$8="P")*(G$4:G$8="P")*(E$4:E$8&gt;E6))+1,IF(G6="P",SUMPRODUCT((F$4:F$8="")*(G$4:G$8="P")*(E$4:E$8&gt;E6))+1+SUMPRODUCT((F$4:F$8="P")*(G$4:G$8="P")),""))</f>
        <v/>
      </c>
      <c r="B6" s="7" t="s">
        <v>91</v>
      </c>
      <c r="C6" s="8" t="s">
        <v>6</v>
      </c>
      <c r="D6" s="46">
        <v>2017</v>
      </c>
      <c r="E6" s="18">
        <f>SUM(I6:Q6)</f>
        <v>133.85</v>
      </c>
      <c r="F6" s="4" t="str">
        <f>IF(OR(AND(AJ6&gt;=C$12,NOT(AJ6="")),AND(AK6&gt;=C$12,NOT(AK6="")),AND(BG6&gt;=C$12,NOT(BG6="")),AND(BH6&gt;=C$12,NOT(BH6="")),AND(CD6&gt;=C$12,NOT(CD6="")),AND(CE6&gt;=C$12,NOT(CE6=""))),"P","")</f>
        <v/>
      </c>
      <c r="G6" s="4" t="str">
        <f ca="1">IF(OR(I6&gt;=C$14,AND(I6&gt;$C$13,YEAR(TODAY())-$D6&lt;2)),"P","")</f>
        <v/>
      </c>
      <c r="H6" t="str">
        <f ca="1">IF(F6="P",IF(I6&gt;=C$16,"Merit",IF(I6&gt;=C$15,"Funding",IF(I6&gt;=C$14,"Team",IF(AND(I6&gt;C$13,YEAR(TODAY())-$D6&lt;2),"First 2 Years","")))),IF(AND(I6&gt;C$13,YEAR(TODAY())-$D6&lt;2),"First 2 Years",""))</f>
        <v/>
      </c>
      <c r="I6" s="17">
        <f>MAX(AN6,BK6,CH6)</f>
        <v>54.6</v>
      </c>
      <c r="J6" s="17" t="str">
        <f>IF(I6=CH6,$BN$1,IF(I6=BK6,$AQ$1,IF(I6=AN6,$T$1,"")))</f>
        <v>2017 Nationals</v>
      </c>
      <c r="K6" s="17">
        <f>IF($I6=$AN6,MAX(BI6,CF6),IF($I6=$BK6,MAX(AL6,CF6),MAX(AL6,BI6)))</f>
        <v>16.7</v>
      </c>
      <c r="L6" s="17" t="str">
        <f>IF(K6=CF6,$BN$1,IF(K6=BI6,$AQ$1,IF(K6=AL6,$T$1,"")))</f>
        <v>2017 Canada Cup</v>
      </c>
      <c r="M6" s="17">
        <f>IF($I6=$AN6,MAX(BJ6,CG6),IF($I6=$BK6,MAX(AM6,CG6),MAX(AM6,BJ6)))</f>
        <v>31.200000000000003</v>
      </c>
      <c r="N6" s="17" t="str">
        <f>IF(M6=CG6,$BN$1,IF(M6=BJ6,$AQ$1,IF(M6=AM6,$T$1,"")))</f>
        <v>2017 Canada Cup</v>
      </c>
      <c r="O6" s="17">
        <f>MAX(AO6,BL6,CI6)</f>
        <v>31.35</v>
      </c>
      <c r="P6" s="17" t="str">
        <f>IF(O6=CI6,$BN$1,IF(O6=BL6,$AQ$1,IF(O6=AO6,$T$1,"")))</f>
        <v>2017 Nationals</v>
      </c>
      <c r="Q6" s="17" t="str">
        <f>IF(MAX(CK6:CM6)&gt;0,MAX(CK6:CM6),"")</f>
        <v/>
      </c>
      <c r="R6" s="44" t="str">
        <f>IF(Q6="","",IF(Q6=CK6,"(Pass 1)",IF(Q6=CL6,"(Pass 2)",IF(Q6=CM6,"(Final)"))))</f>
        <v/>
      </c>
      <c r="S6" s="17" t="str">
        <f>IF(Q6="","",IF(Q6=CK6,IF(Q6+K6=MY6,$MG$1,IF(Q6+K6=MB6,$LJ$1,IF(Q6+K6=LE6,$KM$1,IF(Q6+K6=KH6,$JP$1,IF(Q6+K6=JK6,$IS$1,IF(Q6+K6=IN6,$HV$1,IF(Q6+K6=HQ6,$GY$1,IF(Q6+K6=GT6,$GB$1,IF(Q6+K6=FW6,$FE$1,IF(Q6+K6=EZ6,$EH$1,IF(Q6+K6=EC6,$DK$1,IF(Q6+K6=DF6,$CN$1)))))))))))),IF(Q6=CL6,IF(Q6+M6=MZ6,$MG$1,IF(Q6+M6=MC6,$LJ$1,IF(Q6+M6=LF6,$KM$1,IF(Q6+M6=KI6,$JP$1,IF(Q6+M6=JL6,$IS$1,IF(Q6+M6=IO6,$HV$1,IF(Q6+M6=HR6,$GY$1,IF(Q6+M6=GU6,$GB$1,IF(Q6+M6=FX6,$FE$1,IF(Q6+M6=FA6,$EH$1,IF(Q6+M6=ED6,$DK$1,IF(Q6+M6=DG6,$CN$1)))))))))))),IF(Q6=CM6,IF(Q6+O6=NB6,$MG$1,IF(Q6+O6=ME6,$LJ$1,IF(Q6+O6=LH6,$KM$1,IF(Q6+O6=KK6,$JP$1,IF(Q6+O6=JN6,$IS$1,IF(Q6+O6=IQ6,$HV$1,IF(Q6+O6=HT6,$GY$1,IF(Q6+O6=GW6,$GB$1,IF(Q6+O6=FZ6,$FE$1,IF(Q6+O6=FC6,$EH$1,IF(Q6+O6=EF6,$DK$1,IF(Q6+O6=DI6,$CN$1))))))))))))))))</f>
        <v/>
      </c>
      <c r="T6" s="65">
        <v>14.2</v>
      </c>
      <c r="U6" s="65">
        <v>2.5</v>
      </c>
      <c r="V6" s="65">
        <v>0</v>
      </c>
      <c r="W6" s="65">
        <v>0</v>
      </c>
      <c r="X6" s="65">
        <v>25.1</v>
      </c>
      <c r="Y6" s="65">
        <v>6.1</v>
      </c>
      <c r="Z6" s="65">
        <v>0</v>
      </c>
      <c r="AA6" s="65">
        <v>0</v>
      </c>
      <c r="AB6" s="65"/>
      <c r="AC6" s="65"/>
      <c r="AD6" s="65"/>
      <c r="AE6" s="65"/>
      <c r="AF6" s="65"/>
      <c r="AG6" s="65"/>
      <c r="AH6" s="65"/>
      <c r="AI6" s="65"/>
      <c r="AJ6" s="13">
        <f>IF(SUM(U6,Y6)&gt;0,SUM(U6,Y6),"")</f>
        <v>8.6</v>
      </c>
      <c r="AK6" s="13" t="str">
        <f>IF(SUM(AC6,AG6)&gt;0,SUM(AC6,AG6),"")</f>
        <v/>
      </c>
      <c r="AL6" s="13">
        <f>IF(SUM(T6:U6,W6)-V6&gt;0,SUM(T6:U6,W6)-V6,"")</f>
        <v>16.7</v>
      </c>
      <c r="AM6" s="13">
        <f>IF(SUM(X6:Y6,AA6)-Z6&gt;0,SUM(X6:Y6,AA6)-Z6,"")</f>
        <v>31.200000000000003</v>
      </c>
      <c r="AN6" s="13">
        <f>IF(SUM(AL6:AM6)&gt;0,SUM(AL6:AM6),"")</f>
        <v>47.900000000000006</v>
      </c>
      <c r="AO6" s="13" t="str">
        <f>IF(SUM(AB6:AC6,AE6:AG6,AI6)-SUM(AD6,AH6)&gt;0,SUM(AB6:AC6,AE6:AG6,AI6)-SUM(AD6,AH6),"")</f>
        <v/>
      </c>
      <c r="AP6" s="13">
        <f>IF(SUM(AN6,AO6)&gt;0,SUM(AN6,AO6),"")</f>
        <v>47.900000000000006</v>
      </c>
      <c r="AQ6" s="72">
        <v>24.25</v>
      </c>
      <c r="AR6" s="72">
        <v>0</v>
      </c>
      <c r="AS6" s="72">
        <v>0</v>
      </c>
      <c r="AT6" s="72">
        <v>0</v>
      </c>
      <c r="AU6" s="72">
        <v>30.35</v>
      </c>
      <c r="AV6" s="72">
        <v>0</v>
      </c>
      <c r="AW6" s="72">
        <v>0</v>
      </c>
      <c r="AX6" s="72">
        <v>0</v>
      </c>
      <c r="AY6" s="72">
        <v>15.675000000000001</v>
      </c>
      <c r="AZ6" s="72">
        <v>0</v>
      </c>
      <c r="BA6" s="72">
        <v>0</v>
      </c>
      <c r="BB6" s="72">
        <v>0</v>
      </c>
      <c r="BC6" s="72">
        <v>15.675000000000001</v>
      </c>
      <c r="BD6" s="72">
        <v>0</v>
      </c>
      <c r="BE6" s="72">
        <v>0</v>
      </c>
      <c r="BF6" s="72">
        <v>0</v>
      </c>
      <c r="BG6" s="17" t="str">
        <f>IF(SUM(AR6,AV6)&gt;0,SUM(AR6,AV6),"")</f>
        <v/>
      </c>
      <c r="BH6" s="17" t="str">
        <f>IF(SUM(AZ6,BD6)&gt;0,SUM(AZ6,BD6),"")</f>
        <v/>
      </c>
      <c r="BI6" s="17">
        <f>IF(SUM(AQ6:AR6,AT6)-AS6&gt;0,SUM(AQ6:AR6,AT6)-AS6,"")</f>
        <v>24.25</v>
      </c>
      <c r="BJ6" s="17">
        <f>IF(SUM(AU6:AV6,AX6)-AW6&gt;0,SUM(AU6:AV6,AX6)-AW6,"")</f>
        <v>30.35</v>
      </c>
      <c r="BK6" s="17">
        <f>IF(SUM(BI6:BJ6)&gt;0,SUM(BI6:BJ6),"")</f>
        <v>54.6</v>
      </c>
      <c r="BL6" s="17">
        <f>IF(SUM(AY6:AZ6,BB6:BD6,BF6)-SUM(BA6,BE6)&gt;0,SUM(AY6:AZ6,BB6:BD6,BF6)-SUM(BA6,BE6),"")</f>
        <v>31.35</v>
      </c>
      <c r="BM6" s="17">
        <f>IF(SUM(BK6,BL6)&gt;0,SUM(BK6,BL6),"")</f>
        <v>85.95</v>
      </c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13" t="str">
        <f>IF(SUM(BO6,BS6)&gt;0,SUM(BO6,BS6),"")</f>
        <v/>
      </c>
      <c r="CE6" s="13" t="str">
        <f>IF(SUM(BW6,CA6)&gt;0,SUM(BW6,CA6),"")</f>
        <v/>
      </c>
      <c r="CF6" s="13" t="str">
        <f>IF(SUM(BN6:BO6,BQ6)-BP6&gt;0,SUM(BN6:BO6,BQ6)-BP6,"")</f>
        <v/>
      </c>
      <c r="CG6" s="13" t="str">
        <f>IF(SUM(BR6:BS6,BU6)-BT6&gt;0,SUM(BR6:BS6,BU6)-BT6,"")</f>
        <v/>
      </c>
      <c r="CH6" s="13" t="str">
        <f>IF(SUM(CF6:CG6)&gt;0,SUM(CF6:CG6),"")</f>
        <v/>
      </c>
      <c r="CI6" s="13" t="str">
        <f>IF(SUM(BV6:BW6,BY6:CA6,CC6)-SUM(BX6,CB6)&gt;0,SUM(BV6:BW6,BY6:CA6,CC6)-SUM(BX6,CB6),"")</f>
        <v/>
      </c>
      <c r="CJ6" s="13" t="str">
        <f>IF(SUM(CH6,CI6)&gt;0,SUM(CH6,CI6),"")</f>
        <v/>
      </c>
      <c r="CK6" s="43" t="str">
        <f>IF(MAX(DF6,EC6,EZ6,FW6,GT6,HQ6,IN6,JK6,KH6,LE6,MB6,MY6)-K6&gt;0.001,MAX(DF6,EC6,EZ6,FW6,GT6,HQ6,IN6,JK6,KH6,LE6,MB6,MY6)-K6,"")</f>
        <v/>
      </c>
      <c r="CL6" s="43" t="str">
        <f>IF(MAX(DG6,ED6,FA6,FX6,GU6,HR6,IO6,JL6,KI6,LF6,MC6,MZ6)-M6&gt;0.001,MAX(DG6,ED6,FA6,FX6,GU6,HR6,IO6,JL6,KI6,LF6,MC6,MZ6)-M6,"")</f>
        <v/>
      </c>
      <c r="CM6" s="43" t="str">
        <f>IF(MAX(DI6,EF6,FC6,FZ6,GW6,HT6,IQ6,JN6,KK6,LH6,ME6,NB6)-O6&gt;0.001,MAX(DI6,EF6,FC6,FZ6,GW6,HT6,IQ6,JN6,KK6,LH6,ME6,NB6)-O6,"")</f>
        <v/>
      </c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13" t="str">
        <f>IF(SUM(CO6,CS6)&gt;0,SUM(CO6,CS6),"")</f>
        <v/>
      </c>
      <c r="DE6" s="13" t="str">
        <f>IF(SUM(CW6,DA6)&gt;0,SUM(CW6,DA6),"")</f>
        <v/>
      </c>
      <c r="DF6" s="13" t="str">
        <f>IF(SUM(CN6:CO6,CQ6)-CP6&gt;0,SUM(CN6:CO6,CQ6)-CP6,"")</f>
        <v/>
      </c>
      <c r="DG6" s="13" t="str">
        <f>IF(SUM(CR6:CS6,CU6)-CT6&gt;0,SUM(CR6:CS6,CU6)-CT6,"")</f>
        <v/>
      </c>
      <c r="DH6" s="13" t="str">
        <f>IF(SUM(DF6:DG6)&gt;0,SUM(DF6:DG6),"")</f>
        <v/>
      </c>
      <c r="DI6" s="13" t="str">
        <f>IF(SUM(CV6:CW6,CY6:DA6,DC6)-SUM(CX6,DB6)&gt;0,SUM(CV6:CW6,CY6:DA6,DC6)-SUM(CX6,DB6),"")</f>
        <v/>
      </c>
      <c r="DJ6" s="13" t="str">
        <f>IF(SUM(DH6,DI6)&gt;0,SUM(DH6,DI6),"")</f>
        <v/>
      </c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17" t="str">
        <f>IF(SUM(DL6,DP6)&gt;0,SUM(DL6,DP6),"")</f>
        <v/>
      </c>
      <c r="EB6" s="17" t="str">
        <f>IF(SUM(DT6,DX6)&gt;0,SUM(DT6,DX6),"")</f>
        <v/>
      </c>
      <c r="EC6" s="17" t="str">
        <f>IF(SUM(DK6:DL6,DN6)-DM6&gt;0,SUM(DK6:DL6,DN6)-DM6,"")</f>
        <v/>
      </c>
      <c r="ED6" s="17" t="str">
        <f>IF(SUM(DO6:DP6,DR6)-DQ6&gt;0,SUM(DO6:DP6,DR6)-DQ6,"")</f>
        <v/>
      </c>
      <c r="EE6" s="17" t="str">
        <f>IF(SUM(EC6:ED6)&gt;0,SUM(EC6:ED6),"")</f>
        <v/>
      </c>
      <c r="EF6" s="17" t="str">
        <f>IF(SUM(DS6:DT6,DV6:DX6,DZ6)-SUM(DU6,DY6)&gt;0,SUM(DS6:DT6,DV6:DX6,DZ6)-SUM(DU6,DY6),"")</f>
        <v/>
      </c>
      <c r="EG6" s="17" t="str">
        <f>IF(SUM(EE6,EF6)&gt;0,SUM(EE6,EF6),"")</f>
        <v/>
      </c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13" t="str">
        <f>IF(SUM(EI6,EM6)&gt;0,SUM(EI6,EM6),"")</f>
        <v/>
      </c>
      <c r="EY6" s="13" t="str">
        <f>IF(SUM(EQ6,EU6)&gt;0,SUM(EQ6,EU6),"")</f>
        <v/>
      </c>
      <c r="EZ6" s="13" t="str">
        <f>IF(SUM(EH6:EI6,EK6)-EJ6&gt;0,SUM(EH6:EI6,EK6)-EJ6,"")</f>
        <v/>
      </c>
      <c r="FA6" s="13" t="str">
        <f>IF(SUM(EL6:EM6,EO6)-EN6&gt;0,SUM(EL6:EM6,EO6)-EN6,"")</f>
        <v/>
      </c>
      <c r="FB6" s="13" t="str">
        <f>IF(SUM(EZ6:FA6)&gt;0,SUM(EZ6:FA6),"")</f>
        <v/>
      </c>
      <c r="FC6" s="13" t="str">
        <f>IF(SUM(EP6:EQ6,ES6:EU6,EW6)-SUM(ER6,EV6)&gt;0,SUM(EP6:EQ6,ES6:EU6,EW6)-SUM(ER6,EV6),"")</f>
        <v/>
      </c>
      <c r="FD6" s="13" t="str">
        <f>IF(SUM(FB6,FC6)&gt;0,SUM(FB6,FC6),"")</f>
        <v/>
      </c>
      <c r="FE6" s="62"/>
      <c r="FF6" s="62"/>
      <c r="FG6" s="62"/>
      <c r="FH6" s="62"/>
      <c r="FI6" s="62"/>
      <c r="FJ6" s="62"/>
      <c r="FK6" s="62"/>
      <c r="FL6" s="62"/>
      <c r="FM6" s="62"/>
      <c r="FN6" s="62"/>
      <c r="FO6" s="62"/>
      <c r="FP6" s="62"/>
      <c r="FQ6" s="62"/>
      <c r="FR6" s="62"/>
      <c r="FS6" s="62"/>
      <c r="FT6" s="62"/>
      <c r="FU6" s="17" t="str">
        <f>IF(SUM(FF6,FJ6)&gt;0,SUM(FF6,FJ6),"")</f>
        <v/>
      </c>
      <c r="FV6" s="17" t="str">
        <f>IF(SUM(FN6,FR6)&gt;0,SUM(FN6,FR6),"")</f>
        <v/>
      </c>
      <c r="FW6" s="17" t="str">
        <f>IF(SUM(FE6:FF6,FH6)-FG6&gt;0,SUM(FE6:FF6,FH6)-FG6,"")</f>
        <v/>
      </c>
      <c r="FX6" s="17" t="str">
        <f>IF(SUM(FI6:FJ6,FL6)-FK6&gt;0,SUM(FI6:FJ6,FL6)-FK6,"")</f>
        <v/>
      </c>
      <c r="FY6" s="17" t="str">
        <f>IF(SUM(FW6:FX6)&gt;0,SUM(FW6:FX6),"")</f>
        <v/>
      </c>
      <c r="FZ6" s="17" t="str">
        <f>IF(SUM(FM6:FN6,FP6:FR6,FT6)-SUM(FO6,FS6)&gt;0,SUM(FM6:FN6,FP6:FR6,FT6)-SUM(FO6,FS6),"")</f>
        <v/>
      </c>
      <c r="GA6" s="17" t="str">
        <f>IF(SUM(FY6,FZ6)&gt;0,SUM(FY6,FZ6),"")</f>
        <v/>
      </c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13" t="str">
        <f>IF(SUM(GC6,GG6)&gt;0,SUM(GC6,GG6),"")</f>
        <v/>
      </c>
      <c r="GS6" s="13" t="str">
        <f>IF(SUM(GK6,GO6)&gt;0,SUM(GK6,GO6),"")</f>
        <v/>
      </c>
      <c r="GT6" s="13" t="str">
        <f>IF(SUM(GB6:GC6,GE6)-GD6&gt;0,SUM(GB6:GC6,GE6)-GD6,"")</f>
        <v/>
      </c>
      <c r="GU6" s="13" t="str">
        <f>IF(SUM(GF6:GG6,GI6)-GH6&gt;0,SUM(GF6:GG6,GI6)-GH6,"")</f>
        <v/>
      </c>
      <c r="GV6" s="13" t="str">
        <f>IF(SUM(GT6:GU6)&gt;0,SUM(GT6:GU6),"")</f>
        <v/>
      </c>
      <c r="GW6" s="13" t="str">
        <f>IF(SUM(GJ6:GK6,GM6:GO6,GQ6)-SUM(GL6,GP6)&gt;0,SUM(GJ6:GK6,GM6:GO6,GQ6)-SUM(GL6,GP6),"")</f>
        <v/>
      </c>
      <c r="GX6" s="13" t="str">
        <f>IF(SUM(GV6,GW6)&gt;0,SUM(GV6,GW6),"")</f>
        <v/>
      </c>
      <c r="GY6" s="62"/>
      <c r="GZ6" s="62"/>
      <c r="HA6" s="62"/>
      <c r="HB6" s="62"/>
      <c r="HC6" s="62"/>
      <c r="HD6" s="62"/>
      <c r="HE6" s="62"/>
      <c r="HF6" s="62"/>
      <c r="HG6" s="62"/>
      <c r="HH6" s="62"/>
      <c r="HI6" s="62"/>
      <c r="HJ6" s="62"/>
      <c r="HK6" s="62"/>
      <c r="HL6" s="62"/>
      <c r="HM6" s="62"/>
      <c r="HN6" s="62"/>
      <c r="HO6" s="17" t="str">
        <f>IF(SUM(GZ6,HD6)&gt;0,SUM(GZ6,HD6),"")</f>
        <v/>
      </c>
      <c r="HP6" s="17" t="str">
        <f>IF(SUM(HH6,HL6)&gt;0,SUM(HH6,HL6),"")</f>
        <v/>
      </c>
      <c r="HQ6" s="17" t="str">
        <f>IF(SUM(GY6:GZ6,HB6)-HA6&gt;0,SUM(GY6:GZ6,HB6)-HA6,"")</f>
        <v/>
      </c>
      <c r="HR6" s="17" t="str">
        <f>IF(SUM(HC6:HD6,HF6)-HE6&gt;0,SUM(HC6:HD6,HF6)-HE6,"")</f>
        <v/>
      </c>
      <c r="HS6" s="17" t="str">
        <f>IF(SUM(HQ6:HR6)&gt;0,SUM(HQ6:HR6),"")</f>
        <v/>
      </c>
      <c r="HT6" s="17" t="str">
        <f>IF(SUM(HG6:HH6,HJ6:HL6,HN6)-SUM(HI6,HM6)&gt;0,SUM(HG6:HH6,HJ6:HL6,HN6)-SUM(HI6,HM6),"")</f>
        <v/>
      </c>
      <c r="HU6" s="17" t="str">
        <f>IF(SUM(HS6,HT6)&gt;0,SUM(HS6,HT6),"")</f>
        <v/>
      </c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13" t="str">
        <f>IF(SUM(HW6,IA6)&gt;0,SUM(HW6,IA6),"")</f>
        <v/>
      </c>
      <c r="IM6" s="13" t="str">
        <f>IF(SUM(IE6,II6)&gt;0,SUM(IE6,II6),"")</f>
        <v/>
      </c>
      <c r="IN6" s="13" t="str">
        <f>IF(SUM(HV6:HW6,HY6)-HX6&gt;0,SUM(HV6:HW6,HY6)-HX6,"")</f>
        <v/>
      </c>
      <c r="IO6" s="13" t="str">
        <f>IF(SUM(HZ6:IA6,IC6)-IB6&gt;0,SUM(HZ6:IA6,IC6)-IB6,"")</f>
        <v/>
      </c>
      <c r="IP6" s="13" t="str">
        <f>IF(SUM(IN6:IO6)&gt;0,SUM(IN6:IO6),"")</f>
        <v/>
      </c>
      <c r="IQ6" s="13" t="str">
        <f>IF(SUM(ID6:IE6,IG6:II6,IK6)-SUM(IF6,IJ6)&gt;0,SUM(ID6:IE6,IG6:II6,IK6)-SUM(IF6,IJ6),"")</f>
        <v/>
      </c>
      <c r="IR6" s="13" t="str">
        <f>IF(SUM(IP6,IQ6)&gt;0,SUM(IP6,IQ6),"")</f>
        <v/>
      </c>
      <c r="IS6" s="62"/>
      <c r="IT6" s="62"/>
      <c r="IU6" s="62"/>
      <c r="IV6" s="62"/>
      <c r="IW6" s="62"/>
      <c r="IX6" s="62"/>
      <c r="IY6" s="62"/>
      <c r="IZ6" s="62"/>
      <c r="JA6" s="62"/>
      <c r="JB6" s="62"/>
      <c r="JC6" s="62"/>
      <c r="JD6" s="62"/>
      <c r="JE6" s="62"/>
      <c r="JF6" s="62"/>
      <c r="JG6" s="62"/>
      <c r="JH6" s="62"/>
      <c r="JI6" s="17" t="str">
        <f>IF(SUM(IT6,IX6)&gt;0,SUM(IT6,IX6),"")</f>
        <v/>
      </c>
      <c r="JJ6" s="17" t="str">
        <f>IF(SUM(JB6,JF6)&gt;0,SUM(JB6,JF6),"")</f>
        <v/>
      </c>
      <c r="JK6" s="17" t="str">
        <f>IF(SUM(IS6:IT6,IV6)-IU6&gt;0,SUM(IS6:IT6,IV6)-IU6,"")</f>
        <v/>
      </c>
      <c r="JL6" s="17" t="str">
        <f>IF(SUM(IW6:IX6,IZ6)-IY6&gt;0,SUM(IW6:IX6,IZ6)-IY6,"")</f>
        <v/>
      </c>
      <c r="JM6" s="17" t="str">
        <f>IF(SUM(JK6:JL6)&gt;0,SUM(JK6:JL6),"")</f>
        <v/>
      </c>
      <c r="JN6" s="17" t="str">
        <f>IF(SUM(JA6:JB6,JD6:JF6,JH6)-SUM(JC6,JG6)&gt;0,SUM(JA6:JB6,JD6:JF6,JH6)-SUM(JC6,JG6),"")</f>
        <v/>
      </c>
      <c r="JO6" s="17" t="str">
        <f>IF(SUM(JM6,JN6)&gt;0,SUM(JM6,JN6),"")</f>
        <v/>
      </c>
      <c r="JP6" s="60"/>
      <c r="JQ6" s="60"/>
      <c r="JR6" s="60"/>
      <c r="JS6" s="60"/>
      <c r="JT6" s="60"/>
      <c r="JU6" s="60"/>
      <c r="JV6" s="60"/>
      <c r="JW6" s="60"/>
      <c r="JX6" s="60"/>
      <c r="JY6" s="60"/>
      <c r="JZ6" s="60"/>
      <c r="KA6" s="60"/>
      <c r="KB6" s="60"/>
      <c r="KC6" s="60"/>
      <c r="KD6" s="60"/>
      <c r="KE6" s="60"/>
      <c r="KF6" s="13" t="str">
        <f>IF(SUM(JQ6,JU6)&gt;0,SUM(JQ6,JU6),"")</f>
        <v/>
      </c>
      <c r="KG6" s="13" t="str">
        <f>IF(SUM(JY6,KC6)&gt;0,SUM(JY6,KC6),"")</f>
        <v/>
      </c>
      <c r="KH6" s="13" t="str">
        <f>IF(SUM(JP6:JQ6,JS6)-JR6&gt;0,SUM(JP6:JQ6,JS6)-JR6,"")</f>
        <v/>
      </c>
      <c r="KI6" s="13" t="str">
        <f>IF(SUM(JT6:JU6,JW6)-JV6&gt;0,SUM(JT6:JU6,JW6)-JV6,"")</f>
        <v/>
      </c>
      <c r="KJ6" s="13" t="str">
        <f>IF(SUM(KH6:KI6)&gt;0,SUM(KH6:KI6),"")</f>
        <v/>
      </c>
      <c r="KK6" s="13" t="str">
        <f>IF(SUM(JX6:JY6,KA6:KC6,KE6)-SUM(JZ6,KD6)&gt;0,SUM(JX6:JY6,KA6:KC6,KE6)-SUM(JZ6,KD6),"")</f>
        <v/>
      </c>
      <c r="KL6" s="13" t="str">
        <f>IF(SUM(KJ6,KK6)&gt;0,SUM(KJ6,KK6),"")</f>
        <v/>
      </c>
      <c r="KM6" s="62"/>
      <c r="KN6" s="62"/>
      <c r="KO6" s="62"/>
      <c r="KP6" s="62"/>
      <c r="KQ6" s="62"/>
      <c r="KR6" s="62"/>
      <c r="KS6" s="62"/>
      <c r="KT6" s="62"/>
      <c r="KU6" s="62"/>
      <c r="KV6" s="62"/>
      <c r="KW6" s="62"/>
      <c r="KX6" s="62"/>
      <c r="KY6" s="62"/>
      <c r="KZ6" s="62"/>
      <c r="LA6" s="62"/>
      <c r="LB6" s="62"/>
      <c r="LC6" s="17" t="str">
        <f>IF(SUM(KN6,KR6)&gt;0,SUM(KN6,KR6),"")</f>
        <v/>
      </c>
      <c r="LD6" s="17" t="str">
        <f>IF(SUM(KV6,KZ6)&gt;0,SUM(KV6,KZ6),"")</f>
        <v/>
      </c>
      <c r="LE6" s="17" t="str">
        <f>IF(SUM(KM6:KN6,KP6)-KO6&gt;0,SUM(KM6:KN6,KP6)-KO6,"")</f>
        <v/>
      </c>
      <c r="LF6" s="17" t="str">
        <f>IF(SUM(KQ6:KR6,KT6)-KS6&gt;0,SUM(KQ6:KR6,KT6)-KS6,"")</f>
        <v/>
      </c>
      <c r="LG6" s="17" t="str">
        <f>IF(SUM(LE6:LF6)&gt;0,SUM(LE6:LF6),"")</f>
        <v/>
      </c>
      <c r="LH6" s="17" t="str">
        <f>IF(SUM(KU6:KV6,KX6:KZ6,LB6)-SUM(KW6,LA6)&gt;0,SUM(KU6:KV6,KX6:KZ6,LB6)-SUM(KW6,LA6),"")</f>
        <v/>
      </c>
      <c r="LI6" s="17" t="str">
        <f>IF(SUM(LG6,LH6)&gt;0,SUM(LG6,LH6),"")</f>
        <v/>
      </c>
      <c r="LJ6" s="60"/>
      <c r="LK6" s="60"/>
      <c r="LL6" s="60"/>
      <c r="LM6" s="60"/>
      <c r="LN6" s="60"/>
      <c r="LO6" s="60"/>
      <c r="LP6" s="60"/>
      <c r="LQ6" s="60"/>
      <c r="LR6" s="60"/>
      <c r="LS6" s="60"/>
      <c r="LT6" s="60"/>
      <c r="LU6" s="60"/>
      <c r="LV6" s="60"/>
      <c r="LW6" s="60"/>
      <c r="LX6" s="60"/>
      <c r="LY6" s="60"/>
      <c r="LZ6" s="13" t="str">
        <f>IF(SUM(LK6,LO6)&gt;0,SUM(LK6,LO6),"")</f>
        <v/>
      </c>
      <c r="MA6" s="13" t="str">
        <f>IF(SUM(LS6,LW6)&gt;0,SUM(LS6,LW6),"")</f>
        <v/>
      </c>
      <c r="MB6" s="13" t="str">
        <f>IF(SUM(LJ6:LK6,LM6)-LL6&gt;0,SUM(LJ6:LK6,LM6)-LL6,"")</f>
        <v/>
      </c>
      <c r="MC6" s="13" t="str">
        <f>IF(SUM(LN6:LO6,LQ6)-LP6&gt;0,SUM(LN6:LO6,LQ6)-LP6,"")</f>
        <v/>
      </c>
      <c r="MD6" s="13" t="str">
        <f>IF(SUM(MB6:MC6)&gt;0,SUM(MB6:MC6),"")</f>
        <v/>
      </c>
      <c r="ME6" s="13" t="str">
        <f>IF(SUM(LR6:LS6,LU6:LW6,LY6)-SUM(LT6,LX6)&gt;0,SUM(LR6:LS6,LU6:LW6,LY6)-SUM(LT6,LX6),"")</f>
        <v/>
      </c>
      <c r="MF6" s="13" t="str">
        <f>IF(SUM(MD6,ME6)&gt;0,SUM(MD6,ME6),"")</f>
        <v/>
      </c>
      <c r="MG6" s="62"/>
      <c r="MH6" s="62"/>
      <c r="MI6" s="62"/>
      <c r="MJ6" s="62"/>
      <c r="MK6" s="62"/>
      <c r="ML6" s="62"/>
      <c r="MM6" s="62"/>
      <c r="MN6" s="62"/>
      <c r="MO6" s="62"/>
      <c r="MP6" s="62"/>
      <c r="MQ6" s="62"/>
      <c r="MR6" s="62"/>
      <c r="MS6" s="62"/>
      <c r="MT6" s="62"/>
      <c r="MU6" s="62"/>
      <c r="MV6" s="62"/>
      <c r="MW6" s="17" t="str">
        <f>IF(SUM(MH6,ML6)&gt;0,SUM(MH6,ML6),"")</f>
        <v/>
      </c>
      <c r="MX6" s="17" t="str">
        <f>IF(SUM(MP6,MT6)&gt;0,SUM(MP6,MT6),"")</f>
        <v/>
      </c>
      <c r="MY6" s="17" t="str">
        <f>IF(SUM(MG6:MH6,MJ6)-MI6&gt;0,SUM(MG6:MH6,MJ6)-MI6,"")</f>
        <v/>
      </c>
      <c r="MZ6" s="17" t="str">
        <f>IF(SUM(MK6:ML6,MN6)-MM6&gt;0,SUM(MK6:ML6,MN6)-MM6,"")</f>
        <v/>
      </c>
      <c r="NA6" s="17" t="str">
        <f>IF(SUM(MY6:MZ6)&gt;0,SUM(MY6:MZ6),"")</f>
        <v/>
      </c>
      <c r="NB6" s="17" t="str">
        <f>IF(SUM(MO6:MP6,MR6:MT6,MV6)-SUM(MQ6,MU6)&gt;0,SUM(MO6:MP6,MR6:MT6,MV6)-SUM(MQ6,MU6),"")</f>
        <v/>
      </c>
      <c r="NC6" s="17" t="str">
        <f>IF(SUM(NA6,NB6)&gt;0,SUM(NA6,NB6),"")</f>
        <v/>
      </c>
    </row>
    <row r="7" spans="1:367" x14ac:dyDescent="0.2">
      <c r="A7" s="6" t="str">
        <f ca="1">IF(AND(F7="P",G7="P"),SUMPRODUCT((F$4:F$8="P")*(G$4:G$8="P")*(E$4:E$8&gt;E7))+1,IF(G7="P",SUMPRODUCT((F$4:F$8="")*(G$4:G$8="P")*(E$4:E$8&gt;E7))+1+SUMPRODUCT((F$4:F$8="P")*(G$4:G$8="P")),""))</f>
        <v/>
      </c>
      <c r="B7" s="9" t="s">
        <v>93</v>
      </c>
      <c r="C7" s="5" t="s">
        <v>8</v>
      </c>
      <c r="D7" s="46">
        <v>2017</v>
      </c>
      <c r="E7" s="18">
        <f>SUM(I7:Q7)</f>
        <v>120.6</v>
      </c>
      <c r="F7" s="4" t="str">
        <f>IF(OR(AND(AJ7&gt;=C$12,NOT(AJ7="")),AND(AK7&gt;=C$12,NOT(AK7="")),AND(BG7&gt;=C$12,NOT(BG7="")),AND(BH7&gt;=C$12,NOT(BH7="")),AND(CD7&gt;=C$12,NOT(CD7="")),AND(CE7&gt;=C$12,NOT(CE7=""))),"P","")</f>
        <v/>
      </c>
      <c r="G7" s="4" t="str">
        <f ca="1">IF(OR(I7&gt;=C$14,AND(I7&gt;$C$13,YEAR(TODAY())-$D7&lt;2)),"P","")</f>
        <v/>
      </c>
      <c r="H7" t="str">
        <f ca="1">IF(F7="P",IF(I7&gt;=C$16,"Merit",IF(I7&gt;=C$15,"Funding",IF(I7&gt;=C$14,"Team",IF(AND(I7&gt;C$13,YEAR(TODAY())-$D7&lt;2),"First 2 Years","")))),IF(AND(I7&gt;C$13,YEAR(TODAY())-$D7&lt;2),"First 2 Years",""))</f>
        <v/>
      </c>
      <c r="I7" s="17">
        <f>MAX(AN7,BK7,CH7)</f>
        <v>57.9</v>
      </c>
      <c r="J7" s="17" t="str">
        <f>IF(I7=CH7,$BN$1,IF(I7=BK7,$AQ$1,IF(I7=AN7,$T$1,"")))</f>
        <v>2017 Nationals</v>
      </c>
      <c r="K7" s="17">
        <f>IF($I7=$AN7,MAX(BI7,CF7),IF($I7=$BK7,MAX(AL7,CF7),MAX(AL7,BI7)))</f>
        <v>0</v>
      </c>
      <c r="L7" s="17" t="str">
        <f>IF(K7=CF7,$BN$1,IF(K7=BI7,$AQ$1,IF(K7=AL7,$T$1,"")))</f>
        <v/>
      </c>
      <c r="M7" s="17">
        <f>IF($I7=$AN7,MAX(BJ7,CG7),IF($I7=$BK7,MAX(AM7,CG7),MAX(AM7,BJ7)))</f>
        <v>0</v>
      </c>
      <c r="N7" s="17" t="str">
        <f>IF(M7=CG7,$BN$1,IF(M7=BJ7,$AQ$1,IF(M7=AM7,$T$1,"")))</f>
        <v/>
      </c>
      <c r="O7" s="17">
        <f>MAX(AO7,BL7,CI7)</f>
        <v>62.699999999999996</v>
      </c>
      <c r="P7" s="17" t="str">
        <f>IF(O7=CI7,$BN$1,IF(O7=BL7,$AQ$1,IF(O7=AO7,$T$1,"")))</f>
        <v>2017 Nationals</v>
      </c>
      <c r="Q7" s="17" t="str">
        <f>IF(MAX(CK7:CM7)&gt;0,MAX(CK7:CM7),"")</f>
        <v/>
      </c>
      <c r="R7" s="44" t="str">
        <f>IF(Q7="","",IF(Q7=CK7,"(Pass 1)",IF(Q7=CL7,"(Pass 2)",IF(Q7=CM7,"(Final)"))))</f>
        <v/>
      </c>
      <c r="S7" s="17" t="str">
        <f>IF(Q7="","",IF(Q7=CK7,IF(Q7+K7=MY7,$MG$1,IF(Q7+K7=MB7,$LJ$1,IF(Q7+K7=LE7,$KM$1,IF(Q7+K7=KH7,$JP$1,IF(Q7+K7=JK7,$IS$1,IF(Q7+K7=IN7,$HV$1,IF(Q7+K7=HQ7,$GY$1,IF(Q7+K7=GT7,$GB$1,IF(Q7+K7=FW7,$FE$1,IF(Q7+K7=EZ7,$EH$1,IF(Q7+K7=EC7,$DK$1,IF(Q7+K7=DF7,$CN$1)))))))))))),IF(Q7=CL7,IF(Q7+M7=MZ7,$MG$1,IF(Q7+M7=MC7,$LJ$1,IF(Q7+M7=LF7,$KM$1,IF(Q7+M7=KI7,$JP$1,IF(Q7+M7=JL7,$IS$1,IF(Q7+M7=IO7,$HV$1,IF(Q7+M7=HR7,$GY$1,IF(Q7+M7=GU7,$GB$1,IF(Q7+M7=FX7,$FE$1,IF(Q7+M7=FA7,$EH$1,IF(Q7+M7=ED7,$DK$1,IF(Q7+M7=DG7,$CN$1)))))))))))),IF(Q7=CM7,IF(Q7+O7=NB7,$MG$1,IF(Q7+O7=ME7,$LJ$1,IF(Q7+O7=LH7,$KM$1,IF(Q7+O7=KK7,$JP$1,IF(Q7+O7=JN7,$IS$1,IF(Q7+O7=IQ7,$HV$1,IF(Q7+O7=HT7,$GY$1,IF(Q7+O7=GW7,$GB$1,IF(Q7+O7=FZ7,$FE$1,IF(Q7+O7=FC7,$EH$1,IF(Q7+O7=EF7,$DK$1,IF(Q7+O7=DI7,$CN$1))))))))))))))))</f>
        <v/>
      </c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13" t="str">
        <f>IF(SUM(U7,Y7)&gt;0,SUM(U7,Y7),"")</f>
        <v/>
      </c>
      <c r="AK7" s="13" t="str">
        <f>IF(SUM(AC7,AG7)&gt;0,SUM(AC7,AG7),"")</f>
        <v/>
      </c>
      <c r="AL7" s="13" t="str">
        <f>IF(SUM(T7:U7,W7)-V7&gt;0,SUM(T7:U7,W7)-V7,"")</f>
        <v/>
      </c>
      <c r="AM7" s="13" t="str">
        <f>IF(SUM(X7:Y7,AA7)-Z7&gt;0,SUM(X7:Y7,AA7)-Z7,"")</f>
        <v/>
      </c>
      <c r="AN7" s="13" t="str">
        <f>IF(SUM(AL7:AM7)&gt;0,SUM(AL7:AM7),"")</f>
        <v/>
      </c>
      <c r="AO7" s="13" t="str">
        <f>IF(SUM(AB7:AC7,AE7:AG7,AI7)-SUM(AD7,AH7)&gt;0,SUM(AB7:AC7,AE7:AG7,AI7)-SUM(AD7,AH7),"")</f>
        <v/>
      </c>
      <c r="AP7" s="13" t="str">
        <f>IF(SUM(AN7,AO7)&gt;0,SUM(AN7,AO7),"")</f>
        <v/>
      </c>
      <c r="AQ7" s="62">
        <v>25.2</v>
      </c>
      <c r="AR7" s="62">
        <v>3.3</v>
      </c>
      <c r="AS7" s="62">
        <v>0</v>
      </c>
      <c r="AT7" s="62">
        <v>0</v>
      </c>
      <c r="AU7" s="62">
        <v>25.4</v>
      </c>
      <c r="AV7" s="62">
        <v>4.5999999999999996</v>
      </c>
      <c r="AW7" s="62">
        <v>0.6</v>
      </c>
      <c r="AX7" s="62">
        <v>0</v>
      </c>
      <c r="AY7" s="62">
        <v>26.4</v>
      </c>
      <c r="AZ7" s="62">
        <v>5.9</v>
      </c>
      <c r="BA7" s="62">
        <v>0.6</v>
      </c>
      <c r="BB7" s="62">
        <v>0</v>
      </c>
      <c r="BC7" s="62">
        <v>25.5</v>
      </c>
      <c r="BD7" s="62">
        <v>6.1</v>
      </c>
      <c r="BE7" s="62">
        <v>0.6</v>
      </c>
      <c r="BF7" s="62">
        <v>0</v>
      </c>
      <c r="BG7" s="17">
        <f>IF(SUM(AR7,AV7)&gt;0,SUM(AR7,AV7),"")</f>
        <v>7.8999999999999995</v>
      </c>
      <c r="BH7" s="17">
        <f>IF(SUM(AZ7,BD7)&gt;0,SUM(AZ7,BD7),"")</f>
        <v>12</v>
      </c>
      <c r="BI7" s="17">
        <f>IF(SUM(AQ7:AR7,AT7)-AS7&gt;0,SUM(AQ7:AR7,AT7)-AS7,"")</f>
        <v>28.5</v>
      </c>
      <c r="BJ7" s="17">
        <f>IF(SUM(AU7:AV7,AX7)-AW7&gt;0,SUM(AU7:AV7,AX7)-AW7,"")</f>
        <v>29.4</v>
      </c>
      <c r="BK7" s="17">
        <f>IF(SUM(BI7:BJ7)&gt;0,SUM(BI7:BJ7),"")</f>
        <v>57.9</v>
      </c>
      <c r="BL7" s="17">
        <f>IF(SUM(AY7:AZ7,BB7:BD7,BF7)-SUM(BA7,BE7)&gt;0,SUM(AY7:AZ7,BB7:BD7,BF7)-SUM(BA7,BE7),"")</f>
        <v>62.699999999999996</v>
      </c>
      <c r="BM7" s="17">
        <f>IF(SUM(BK7,BL7)&gt;0,SUM(BK7,BL7),"")</f>
        <v>120.6</v>
      </c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13" t="str">
        <f>IF(SUM(BO7,BS7)&gt;0,SUM(BO7,BS7),"")</f>
        <v/>
      </c>
      <c r="CE7" s="13" t="str">
        <f>IF(SUM(BW7,CA7)&gt;0,SUM(BW7,CA7),"")</f>
        <v/>
      </c>
      <c r="CF7" s="13" t="str">
        <f>IF(SUM(BN7:BO7,BQ7)-BP7&gt;0,SUM(BN7:BO7,BQ7)-BP7,"")</f>
        <v/>
      </c>
      <c r="CG7" s="13" t="str">
        <f>IF(SUM(BR7:BS7,BU7)-BT7&gt;0,SUM(BR7:BS7,BU7)-BT7,"")</f>
        <v/>
      </c>
      <c r="CH7" s="13" t="str">
        <f>IF(SUM(CF7:CG7)&gt;0,SUM(CF7:CG7),"")</f>
        <v/>
      </c>
      <c r="CI7" s="13" t="str">
        <f>IF(SUM(BV7:BW7,BY7:CA7,CC7)-SUM(BX7,CB7)&gt;0,SUM(BV7:BW7,BY7:CA7,CC7)-SUM(BX7,CB7),"")</f>
        <v/>
      </c>
      <c r="CJ7" s="13" t="str">
        <f>IF(SUM(CH7,CI7)&gt;0,SUM(CH7,CI7),"")</f>
        <v/>
      </c>
      <c r="CK7" s="43" t="str">
        <f>IF(MAX(DF7,EC7,EZ7,FW7,GT7,HQ7,IN7,JK7,KH7,LE7,MB7,MY7)-K7&gt;0.001,MAX(DF7,EC7,EZ7,FW7,GT7,HQ7,IN7,JK7,KH7,LE7,MB7,MY7)-K7,"")</f>
        <v/>
      </c>
      <c r="CL7" s="43" t="str">
        <f>IF(MAX(DG7,ED7,FA7,FX7,GU7,HR7,IO7,JL7,KI7,LF7,MC7,MZ7)-M7&gt;0.001,MAX(DG7,ED7,FA7,FX7,GU7,HR7,IO7,JL7,KI7,LF7,MC7,MZ7)-M7,"")</f>
        <v/>
      </c>
      <c r="CM7" s="43" t="str">
        <f>IF(MAX(DI7,EF7,FC7,FZ7,GW7,HT7,IQ7,JN7,KK7,LH7,ME7,NB7)-O7&gt;0.001,MAX(DI7,EF7,FC7,FZ7,GW7,HT7,IQ7,JN7,KK7,LH7,ME7,NB7)-O7,"")</f>
        <v/>
      </c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13" t="str">
        <f>IF(SUM(CO7,CS7)&gt;0,SUM(CO7,CS7),"")</f>
        <v/>
      </c>
      <c r="DE7" s="13" t="str">
        <f>IF(SUM(CW7,DA7)&gt;0,SUM(CW7,DA7),"")</f>
        <v/>
      </c>
      <c r="DF7" s="13" t="str">
        <f>IF(SUM(CN7:CO7,CQ7)-CP7&gt;0,SUM(CN7:CO7,CQ7)-CP7,"")</f>
        <v/>
      </c>
      <c r="DG7" s="13" t="str">
        <f>IF(SUM(CR7:CS7,CU7)-CT7&gt;0,SUM(CR7:CS7,CU7)-CT7,"")</f>
        <v/>
      </c>
      <c r="DH7" s="13" t="str">
        <f>IF(SUM(DF7:DG7)&gt;0,SUM(DF7:DG7),"")</f>
        <v/>
      </c>
      <c r="DI7" s="13" t="str">
        <f>IF(SUM(CV7:CW7,CY7:DA7,DC7)-SUM(CX7,DB7)&gt;0,SUM(CV7:CW7,CY7:DA7,DC7)-SUM(CX7,DB7),"")</f>
        <v/>
      </c>
      <c r="DJ7" s="13" t="str">
        <f>IF(SUM(DH7,DI7)&gt;0,SUM(DH7,DI7),"")</f>
        <v/>
      </c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17" t="str">
        <f>IF(SUM(DL7,DP7)&gt;0,SUM(DL7,DP7),"")</f>
        <v/>
      </c>
      <c r="EB7" s="17" t="str">
        <f>IF(SUM(DT7,DX7)&gt;0,SUM(DT7,DX7),"")</f>
        <v/>
      </c>
      <c r="EC7" s="17" t="str">
        <f>IF(SUM(DK7:DL7,DN7)-DM7&gt;0,SUM(DK7:DL7,DN7)-DM7,"")</f>
        <v/>
      </c>
      <c r="ED7" s="17" t="str">
        <f>IF(SUM(DO7:DP7,DR7)-DQ7&gt;0,SUM(DO7:DP7,DR7)-DQ7,"")</f>
        <v/>
      </c>
      <c r="EE7" s="17" t="str">
        <f>IF(SUM(EC7:ED7)&gt;0,SUM(EC7:ED7),"")</f>
        <v/>
      </c>
      <c r="EF7" s="17" t="str">
        <f>IF(SUM(DS7:DT7,DV7:DX7,DZ7)-SUM(DU7,DY7)&gt;0,SUM(DS7:DT7,DV7:DX7,DZ7)-SUM(DU7,DY7),"")</f>
        <v/>
      </c>
      <c r="EG7" s="17" t="str">
        <f>IF(SUM(EE7,EF7)&gt;0,SUM(EE7,EF7),"")</f>
        <v/>
      </c>
      <c r="EH7" s="60"/>
      <c r="EI7" s="60"/>
      <c r="EJ7" s="60"/>
      <c r="EK7" s="60"/>
      <c r="EL7" s="60"/>
      <c r="EM7" s="60"/>
      <c r="EN7" s="60"/>
      <c r="EO7" s="60"/>
      <c r="EP7" s="60"/>
      <c r="EQ7" s="60"/>
      <c r="ER7" s="60"/>
      <c r="ES7" s="60"/>
      <c r="ET7" s="60"/>
      <c r="EU7" s="60"/>
      <c r="EV7" s="60"/>
      <c r="EW7" s="60"/>
      <c r="EX7" s="13" t="str">
        <f>IF(SUM(EI7,EM7)&gt;0,SUM(EI7,EM7),"")</f>
        <v/>
      </c>
      <c r="EY7" s="13" t="str">
        <f>IF(SUM(EQ7,EU7)&gt;0,SUM(EQ7,EU7),"")</f>
        <v/>
      </c>
      <c r="EZ7" s="13" t="str">
        <f>IF(SUM(EH7:EI7,EK7)-EJ7&gt;0,SUM(EH7:EI7,EK7)-EJ7,"")</f>
        <v/>
      </c>
      <c r="FA7" s="13" t="str">
        <f>IF(SUM(EL7:EM7,EO7)-EN7&gt;0,SUM(EL7:EM7,EO7)-EN7,"")</f>
        <v/>
      </c>
      <c r="FB7" s="13" t="str">
        <f>IF(SUM(EZ7:FA7)&gt;0,SUM(EZ7:FA7),"")</f>
        <v/>
      </c>
      <c r="FC7" s="13" t="str">
        <f>IF(SUM(EP7:EQ7,ES7:EU7,EW7)-SUM(ER7,EV7)&gt;0,SUM(EP7:EQ7,ES7:EU7,EW7)-SUM(ER7,EV7),"")</f>
        <v/>
      </c>
      <c r="FD7" s="13" t="str">
        <f>IF(SUM(FB7,FC7)&gt;0,SUM(FB7,FC7),"")</f>
        <v/>
      </c>
      <c r="FE7" s="62"/>
      <c r="FF7" s="62"/>
      <c r="FG7" s="62"/>
      <c r="FH7" s="62"/>
      <c r="FI7" s="62"/>
      <c r="FJ7" s="62"/>
      <c r="FK7" s="62"/>
      <c r="FL7" s="62"/>
      <c r="FM7" s="62"/>
      <c r="FN7" s="62"/>
      <c r="FO7" s="62"/>
      <c r="FP7" s="62"/>
      <c r="FQ7" s="62"/>
      <c r="FR7" s="62"/>
      <c r="FS7" s="62"/>
      <c r="FT7" s="62"/>
      <c r="FU7" s="17" t="str">
        <f>IF(SUM(FF7,FJ7)&gt;0,SUM(FF7,FJ7),"")</f>
        <v/>
      </c>
      <c r="FV7" s="17" t="str">
        <f>IF(SUM(FN7,FR7)&gt;0,SUM(FN7,FR7),"")</f>
        <v/>
      </c>
      <c r="FW7" s="17" t="str">
        <f>IF(SUM(FE7:FF7,FH7)-FG7&gt;0,SUM(FE7:FF7,FH7)-FG7,"")</f>
        <v/>
      </c>
      <c r="FX7" s="17" t="str">
        <f>IF(SUM(FI7:FJ7,FL7)-FK7&gt;0,SUM(FI7:FJ7,FL7)-FK7,"")</f>
        <v/>
      </c>
      <c r="FY7" s="17" t="str">
        <f>IF(SUM(FW7:FX7)&gt;0,SUM(FW7:FX7),"")</f>
        <v/>
      </c>
      <c r="FZ7" s="17" t="str">
        <f>IF(SUM(FM7:FN7,FP7:FR7,FT7)-SUM(FO7,FS7)&gt;0,SUM(FM7:FN7,FP7:FR7,FT7)-SUM(FO7,FS7),"")</f>
        <v/>
      </c>
      <c r="GA7" s="17" t="str">
        <f>IF(SUM(FY7,FZ7)&gt;0,SUM(FY7,FZ7),"")</f>
        <v/>
      </c>
      <c r="GB7" s="60"/>
      <c r="GC7" s="60"/>
      <c r="GD7" s="60"/>
      <c r="GE7" s="60"/>
      <c r="GF7" s="60"/>
      <c r="GG7" s="60"/>
      <c r="GH7" s="60"/>
      <c r="GI7" s="60"/>
      <c r="GJ7" s="60"/>
      <c r="GK7" s="60"/>
      <c r="GL7" s="60"/>
      <c r="GM7" s="60"/>
      <c r="GN7" s="60"/>
      <c r="GO7" s="60"/>
      <c r="GP7" s="60"/>
      <c r="GQ7" s="60"/>
      <c r="GR7" s="13" t="str">
        <f>IF(SUM(GC7,GG7)&gt;0,SUM(GC7,GG7),"")</f>
        <v/>
      </c>
      <c r="GS7" s="13" t="str">
        <f>IF(SUM(GK7,GO7)&gt;0,SUM(GK7,GO7),"")</f>
        <v/>
      </c>
      <c r="GT7" s="13" t="str">
        <f>IF(SUM(GB7:GC7,GE7)-GD7&gt;0,SUM(GB7:GC7,GE7)-GD7,"")</f>
        <v/>
      </c>
      <c r="GU7" s="13" t="str">
        <f>IF(SUM(GF7:GG7,GI7)-GH7&gt;0,SUM(GF7:GG7,GI7)-GH7,"")</f>
        <v/>
      </c>
      <c r="GV7" s="13" t="str">
        <f>IF(SUM(GT7:GU7)&gt;0,SUM(GT7:GU7),"")</f>
        <v/>
      </c>
      <c r="GW7" s="13" t="str">
        <f>IF(SUM(GJ7:GK7,GM7:GO7,GQ7)-SUM(GL7,GP7)&gt;0,SUM(GJ7:GK7,GM7:GO7,GQ7)-SUM(GL7,GP7),"")</f>
        <v/>
      </c>
      <c r="GX7" s="13" t="str">
        <f>IF(SUM(GV7,GW7)&gt;0,SUM(GV7,GW7),"")</f>
        <v/>
      </c>
      <c r="GY7" s="62"/>
      <c r="GZ7" s="62"/>
      <c r="HA7" s="62"/>
      <c r="HB7" s="62"/>
      <c r="HC7" s="62"/>
      <c r="HD7" s="62"/>
      <c r="HE7" s="62"/>
      <c r="HF7" s="62"/>
      <c r="HG7" s="62"/>
      <c r="HH7" s="62"/>
      <c r="HI7" s="62"/>
      <c r="HJ7" s="62"/>
      <c r="HK7" s="62"/>
      <c r="HL7" s="62"/>
      <c r="HM7" s="62"/>
      <c r="HN7" s="62"/>
      <c r="HO7" s="17" t="str">
        <f>IF(SUM(GZ7,HD7)&gt;0,SUM(GZ7,HD7),"")</f>
        <v/>
      </c>
      <c r="HP7" s="17" t="str">
        <f>IF(SUM(HH7,HL7)&gt;0,SUM(HH7,HL7),"")</f>
        <v/>
      </c>
      <c r="HQ7" s="17" t="str">
        <f>IF(SUM(GY7:GZ7,HB7)-HA7&gt;0,SUM(GY7:GZ7,HB7)-HA7,"")</f>
        <v/>
      </c>
      <c r="HR7" s="17" t="str">
        <f>IF(SUM(HC7:HD7,HF7)-HE7&gt;0,SUM(HC7:HD7,HF7)-HE7,"")</f>
        <v/>
      </c>
      <c r="HS7" s="17" t="str">
        <f>IF(SUM(HQ7:HR7)&gt;0,SUM(HQ7:HR7),"")</f>
        <v/>
      </c>
      <c r="HT7" s="17" t="str">
        <f>IF(SUM(HG7:HH7,HJ7:HL7,HN7)-SUM(HI7,HM7)&gt;0,SUM(HG7:HH7,HJ7:HL7,HN7)-SUM(HI7,HM7),"")</f>
        <v/>
      </c>
      <c r="HU7" s="17" t="str">
        <f>IF(SUM(HS7,HT7)&gt;0,SUM(HS7,HT7),"")</f>
        <v/>
      </c>
      <c r="HV7" s="60"/>
      <c r="HW7" s="60"/>
      <c r="HX7" s="60"/>
      <c r="HY7" s="60"/>
      <c r="HZ7" s="60"/>
      <c r="IA7" s="60"/>
      <c r="IB7" s="60"/>
      <c r="IC7" s="60"/>
      <c r="ID7" s="60"/>
      <c r="IE7" s="60"/>
      <c r="IF7" s="60"/>
      <c r="IG7" s="60"/>
      <c r="IH7" s="60"/>
      <c r="II7" s="60"/>
      <c r="IJ7" s="60"/>
      <c r="IK7" s="60"/>
      <c r="IL7" s="13" t="str">
        <f>IF(SUM(HW7,IA7)&gt;0,SUM(HW7,IA7),"")</f>
        <v/>
      </c>
      <c r="IM7" s="13" t="str">
        <f>IF(SUM(IE7,II7)&gt;0,SUM(IE7,II7),"")</f>
        <v/>
      </c>
      <c r="IN7" s="13" t="str">
        <f>IF(SUM(HV7:HW7,HY7)-HX7&gt;0,SUM(HV7:HW7,HY7)-HX7,"")</f>
        <v/>
      </c>
      <c r="IO7" s="13" t="str">
        <f>IF(SUM(HZ7:IA7,IC7)-IB7&gt;0,SUM(HZ7:IA7,IC7)-IB7,"")</f>
        <v/>
      </c>
      <c r="IP7" s="13" t="str">
        <f>IF(SUM(IN7:IO7)&gt;0,SUM(IN7:IO7),"")</f>
        <v/>
      </c>
      <c r="IQ7" s="13" t="str">
        <f>IF(SUM(ID7:IE7,IG7:II7,IK7)-SUM(IF7,IJ7)&gt;0,SUM(ID7:IE7,IG7:II7,IK7)-SUM(IF7,IJ7),"")</f>
        <v/>
      </c>
      <c r="IR7" s="13" t="str">
        <f>IF(SUM(IP7,IQ7)&gt;0,SUM(IP7,IQ7),"")</f>
        <v/>
      </c>
      <c r="IS7" s="62"/>
      <c r="IT7" s="62"/>
      <c r="IU7" s="62"/>
      <c r="IV7" s="62"/>
      <c r="IW7" s="62"/>
      <c r="IX7" s="62"/>
      <c r="IY7" s="62"/>
      <c r="IZ7" s="62"/>
      <c r="JA7" s="62"/>
      <c r="JB7" s="62"/>
      <c r="JC7" s="62"/>
      <c r="JD7" s="62"/>
      <c r="JE7" s="62"/>
      <c r="JF7" s="62"/>
      <c r="JG7" s="62"/>
      <c r="JH7" s="62"/>
      <c r="JI7" s="17" t="str">
        <f>IF(SUM(IT7,IX7)&gt;0,SUM(IT7,IX7),"")</f>
        <v/>
      </c>
      <c r="JJ7" s="17" t="str">
        <f>IF(SUM(JB7,JF7)&gt;0,SUM(JB7,JF7),"")</f>
        <v/>
      </c>
      <c r="JK7" s="17" t="str">
        <f>IF(SUM(IS7:IT7,IV7)-IU7&gt;0,SUM(IS7:IT7,IV7)-IU7,"")</f>
        <v/>
      </c>
      <c r="JL7" s="17" t="str">
        <f>IF(SUM(IW7:IX7,IZ7)-IY7&gt;0,SUM(IW7:IX7,IZ7)-IY7,"")</f>
        <v/>
      </c>
      <c r="JM7" s="17" t="str">
        <f>IF(SUM(JK7:JL7)&gt;0,SUM(JK7:JL7),"")</f>
        <v/>
      </c>
      <c r="JN7" s="17" t="str">
        <f>IF(SUM(JA7:JB7,JD7:JF7,JH7)-SUM(JC7,JG7)&gt;0,SUM(JA7:JB7,JD7:JF7,JH7)-SUM(JC7,JG7),"")</f>
        <v/>
      </c>
      <c r="JO7" s="17" t="str">
        <f>IF(SUM(JM7,JN7)&gt;0,SUM(JM7,JN7),"")</f>
        <v/>
      </c>
      <c r="JP7" s="60"/>
      <c r="JQ7" s="60"/>
      <c r="JR7" s="60"/>
      <c r="JS7" s="60"/>
      <c r="JT7" s="60"/>
      <c r="JU7" s="60"/>
      <c r="JV7" s="60"/>
      <c r="JW7" s="60"/>
      <c r="JX7" s="60"/>
      <c r="JY7" s="60"/>
      <c r="JZ7" s="60"/>
      <c r="KA7" s="60"/>
      <c r="KB7" s="60"/>
      <c r="KC7" s="60"/>
      <c r="KD7" s="60"/>
      <c r="KE7" s="60"/>
      <c r="KF7" s="13" t="str">
        <f>IF(SUM(JQ7,JU7)&gt;0,SUM(JQ7,JU7),"")</f>
        <v/>
      </c>
      <c r="KG7" s="13" t="str">
        <f>IF(SUM(JY7,KC7)&gt;0,SUM(JY7,KC7),"")</f>
        <v/>
      </c>
      <c r="KH7" s="13" t="str">
        <f>IF(SUM(JP7:JQ7,JS7)-JR7&gt;0,SUM(JP7:JQ7,JS7)-JR7,"")</f>
        <v/>
      </c>
      <c r="KI7" s="13" t="str">
        <f>IF(SUM(JT7:JU7,JW7)-JV7&gt;0,SUM(JT7:JU7,JW7)-JV7,"")</f>
        <v/>
      </c>
      <c r="KJ7" s="13" t="str">
        <f>IF(SUM(KH7:KI7)&gt;0,SUM(KH7:KI7),"")</f>
        <v/>
      </c>
      <c r="KK7" s="13" t="str">
        <f>IF(SUM(JX7:JY7,KA7:KC7,KE7)-SUM(JZ7,KD7)&gt;0,SUM(JX7:JY7,KA7:KC7,KE7)-SUM(JZ7,KD7),"")</f>
        <v/>
      </c>
      <c r="KL7" s="13" t="str">
        <f>IF(SUM(KJ7,KK7)&gt;0,SUM(KJ7,KK7),"")</f>
        <v/>
      </c>
      <c r="KM7" s="62"/>
      <c r="KN7" s="62"/>
      <c r="KO7" s="62"/>
      <c r="KP7" s="62"/>
      <c r="KQ7" s="62"/>
      <c r="KR7" s="62"/>
      <c r="KS7" s="62"/>
      <c r="KT7" s="62"/>
      <c r="KU7" s="62"/>
      <c r="KV7" s="62"/>
      <c r="KW7" s="62"/>
      <c r="KX7" s="62"/>
      <c r="KY7" s="62"/>
      <c r="KZ7" s="62"/>
      <c r="LA7" s="62"/>
      <c r="LB7" s="62"/>
      <c r="LC7" s="17" t="str">
        <f>IF(SUM(KN7,KR7)&gt;0,SUM(KN7,KR7),"")</f>
        <v/>
      </c>
      <c r="LD7" s="17" t="str">
        <f>IF(SUM(KV7,KZ7)&gt;0,SUM(KV7,KZ7),"")</f>
        <v/>
      </c>
      <c r="LE7" s="17" t="str">
        <f>IF(SUM(KM7:KN7,KP7)-KO7&gt;0,SUM(KM7:KN7,KP7)-KO7,"")</f>
        <v/>
      </c>
      <c r="LF7" s="17" t="str">
        <f>IF(SUM(KQ7:KR7,KT7)-KS7&gt;0,SUM(KQ7:KR7,KT7)-KS7,"")</f>
        <v/>
      </c>
      <c r="LG7" s="17" t="str">
        <f>IF(SUM(LE7:LF7)&gt;0,SUM(LE7:LF7),"")</f>
        <v/>
      </c>
      <c r="LH7" s="17" t="str">
        <f>IF(SUM(KU7:KV7,KX7:KZ7,LB7)-SUM(KW7,LA7)&gt;0,SUM(KU7:KV7,KX7:KZ7,LB7)-SUM(KW7,LA7),"")</f>
        <v/>
      </c>
      <c r="LI7" s="17" t="str">
        <f>IF(SUM(LG7,LH7)&gt;0,SUM(LG7,LH7),"")</f>
        <v/>
      </c>
      <c r="LJ7" s="60"/>
      <c r="LK7" s="60"/>
      <c r="LL7" s="60"/>
      <c r="LM7" s="60"/>
      <c r="LN7" s="60"/>
      <c r="LO7" s="60"/>
      <c r="LP7" s="60"/>
      <c r="LQ7" s="60"/>
      <c r="LR7" s="60"/>
      <c r="LS7" s="60"/>
      <c r="LT7" s="60"/>
      <c r="LU7" s="60"/>
      <c r="LV7" s="60"/>
      <c r="LW7" s="60"/>
      <c r="LX7" s="60"/>
      <c r="LY7" s="60"/>
      <c r="LZ7" s="13" t="str">
        <f>IF(SUM(LK7,LO7)&gt;0,SUM(LK7,LO7),"")</f>
        <v/>
      </c>
      <c r="MA7" s="13" t="str">
        <f>IF(SUM(LS7,LW7)&gt;0,SUM(LS7,LW7),"")</f>
        <v/>
      </c>
      <c r="MB7" s="13" t="str">
        <f>IF(SUM(LJ7:LK7,LM7)-LL7&gt;0,SUM(LJ7:LK7,LM7)-LL7,"")</f>
        <v/>
      </c>
      <c r="MC7" s="13" t="str">
        <f>IF(SUM(LN7:LO7,LQ7)-LP7&gt;0,SUM(LN7:LO7,LQ7)-LP7,"")</f>
        <v/>
      </c>
      <c r="MD7" s="13" t="str">
        <f>IF(SUM(MB7:MC7)&gt;0,SUM(MB7:MC7),"")</f>
        <v/>
      </c>
      <c r="ME7" s="13" t="str">
        <f>IF(SUM(LR7:LS7,LU7:LW7,LY7)-SUM(LT7,LX7)&gt;0,SUM(LR7:LS7,LU7:LW7,LY7)-SUM(LT7,LX7),"")</f>
        <v/>
      </c>
      <c r="MF7" s="13" t="str">
        <f>IF(SUM(MD7,ME7)&gt;0,SUM(MD7,ME7),"")</f>
        <v/>
      </c>
      <c r="MG7" s="62"/>
      <c r="MH7" s="62"/>
      <c r="MI7" s="62"/>
      <c r="MJ7" s="62"/>
      <c r="MK7" s="62"/>
      <c r="ML7" s="62"/>
      <c r="MM7" s="62"/>
      <c r="MN7" s="62"/>
      <c r="MO7" s="62"/>
      <c r="MP7" s="62"/>
      <c r="MQ7" s="62"/>
      <c r="MR7" s="62"/>
      <c r="MS7" s="62"/>
      <c r="MT7" s="62"/>
      <c r="MU7" s="62"/>
      <c r="MV7" s="62"/>
      <c r="MW7" s="17" t="str">
        <f>IF(SUM(MH7,ML7)&gt;0,SUM(MH7,ML7),"")</f>
        <v/>
      </c>
      <c r="MX7" s="17" t="str">
        <f>IF(SUM(MP7,MT7)&gt;0,SUM(MP7,MT7),"")</f>
        <v/>
      </c>
      <c r="MY7" s="17" t="str">
        <f>IF(SUM(MG7:MH7,MJ7)-MI7&gt;0,SUM(MG7:MH7,MJ7)-MI7,"")</f>
        <v/>
      </c>
      <c r="MZ7" s="17" t="str">
        <f>IF(SUM(MK7:ML7,MN7)-MM7&gt;0,SUM(MK7:ML7,MN7)-MM7,"")</f>
        <v/>
      </c>
      <c r="NA7" s="17" t="str">
        <f>IF(SUM(MY7:MZ7)&gt;0,SUM(MY7:MZ7),"")</f>
        <v/>
      </c>
      <c r="NB7" s="17" t="str">
        <f>IF(SUM(MO7:MP7,MR7:MT7,MV7)-SUM(MQ7,MU7)&gt;0,SUM(MO7:MP7,MR7:MT7,MV7)-SUM(MQ7,MU7),"")</f>
        <v/>
      </c>
      <c r="NC7" s="17" t="str">
        <f>IF(SUM(NA7,NB7)&gt;0,SUM(NA7,NB7),"")</f>
        <v/>
      </c>
    </row>
    <row r="8" spans="1:367" x14ac:dyDescent="0.2">
      <c r="A8" s="6" t="str">
        <f ca="1">IF(AND(F8="P",G8="P"),SUMPRODUCT((F$4:F$8="P")*(G$4:G$8="P")*(E$4:E$8&gt;E8))+1,IF(G8="P",SUMPRODUCT((F$4:F$8="")*(G$4:G$8="P")*(E$4:E$8&gt;E8))+1+SUMPRODUCT((F$4:F$8="P")*(G$4:G$8="P")),""))</f>
        <v/>
      </c>
      <c r="B8" s="9" t="s">
        <v>85</v>
      </c>
      <c r="C8" s="5" t="s">
        <v>6</v>
      </c>
      <c r="D8" s="46">
        <v>2017</v>
      </c>
      <c r="E8" s="18">
        <f>SUM(I8:Q8)</f>
        <v>93.8</v>
      </c>
      <c r="F8" s="4" t="str">
        <f>IF(OR(AND(AJ8&gt;=C$12,NOT(AJ8="")),AND(AK8&gt;=C$12,NOT(AK8="")),AND(BG8&gt;=C$12,NOT(BG8="")),AND(BH8&gt;=C$12,NOT(BH8="")),AND(CD8&gt;=C$12,NOT(CD8="")),AND(CE8&gt;=C$12,NOT(CE8=""))),"P","")</f>
        <v/>
      </c>
      <c r="G8" s="4" t="str">
        <f ca="1">IF(OR(I8&gt;=C$14,AND(I8&gt;$C$13,YEAR(TODAY())-$D8&lt;2)),"P","")</f>
        <v/>
      </c>
      <c r="H8" t="str">
        <f ca="1">IF(F8="P",IF(I8&gt;=C$16,"Merit",IF(I8&gt;=C$15,"Funding",IF(I8&gt;=C$14,"Team",IF(AND(I8&gt;C$13,YEAR(TODAY())-$D8&lt;2),"First 2 Years","")))),IF(AND(I8&gt;C$13,YEAR(TODAY())-$D8&lt;2),"First 2 Years",""))</f>
        <v/>
      </c>
      <c r="I8" s="17">
        <f>MAX(AN8,BK8,CH8)</f>
        <v>53</v>
      </c>
      <c r="J8" s="17" t="str">
        <f>IF(I8=CH8,$BN$1,IF(I8=BK8,$AQ$1,IF(I8=AN8,$T$1,"")))</f>
        <v>2017 Nationals</v>
      </c>
      <c r="K8" s="17">
        <f>IF($I8=$AN8,MAX(BI8,CF8),IF($I8=$BK8,MAX(AL8,CF8),MAX(AL8,BI8)))</f>
        <v>22.3</v>
      </c>
      <c r="L8" s="17" t="str">
        <f>IF(K8=CF8,$BN$1,IF(K8=BI8,$AQ$1,IF(K8=AL8,$T$1,"")))</f>
        <v>2017 3rd Domestic Trial</v>
      </c>
      <c r="M8" s="17">
        <f>IF($I8=$AN8,MAX(BJ8,CG8),IF($I8=$BK8,MAX(AM8,CG8),MAX(AM8,BJ8)))</f>
        <v>18.5</v>
      </c>
      <c r="N8" s="17" t="str">
        <f>IF(M8=CG8,$BN$1,IF(M8=BJ8,$AQ$1,IF(M8=AM8,$T$1,"")))</f>
        <v>2017 3rd Domestic Trial</v>
      </c>
      <c r="O8" s="17">
        <f>MAX(AO8,BL8,CI8)</f>
        <v>0</v>
      </c>
      <c r="P8" s="17" t="str">
        <f>IF(O8=CI8,$BN$1,IF(O8=BL8,$AQ$1,IF(O8=AO8,$T$1,"")))</f>
        <v/>
      </c>
      <c r="Q8" s="17" t="str">
        <f>IF(MAX(CK8:CM8)&gt;0,MAX(CK8:CM8),"")</f>
        <v/>
      </c>
      <c r="R8" s="44" t="str">
        <f>IF(Q8="","",IF(Q8=CK8,"(Pass 1)",IF(Q8=CL8,"(Pass 2)",IF(Q8=CM8,"(Final)"))))</f>
        <v/>
      </c>
      <c r="S8" s="17" t="str">
        <f>IF(Q8="","",IF(Q8=CK8,IF(Q8+K8=MY8,$MG$1,IF(Q8+K8=MB8,$LJ$1,IF(Q8+K8=LE8,$KM$1,IF(Q8+K8=KH8,$JP$1,IF(Q8+K8=JK8,$IS$1,IF(Q8+K8=IN8,$HV$1,IF(Q8+K8=HQ8,$GY$1,IF(Q8+K8=GT8,$GB$1,IF(Q8+K8=FW8,$FE$1,IF(Q8+K8=EZ8,$EH$1,IF(Q8+K8=EC8,$DK$1,IF(Q8+K8=DF8,$CN$1)))))))))))),IF(Q8=CL8,IF(Q8+M8=MZ8,$MG$1,IF(Q8+M8=MC8,$LJ$1,IF(Q8+M8=LF8,$KM$1,IF(Q8+M8=KI8,$JP$1,IF(Q8+M8=JL8,$IS$1,IF(Q8+M8=IO8,$HV$1,IF(Q8+M8=HR8,$GY$1,IF(Q8+M8=GU8,$GB$1,IF(Q8+M8=FX8,$FE$1,IF(Q8+M8=FA8,$EH$1,IF(Q8+M8=ED8,$DK$1,IF(Q8+M8=DG8,$CN$1)))))))))))),IF(Q8=CM8,IF(Q8+O8=NB8,$MG$1,IF(Q8+O8=ME8,$LJ$1,IF(Q8+O8=LH8,$KM$1,IF(Q8+O8=KK8,$JP$1,IF(Q8+O8=JN8,$IS$1,IF(Q8+O8=IQ8,$HV$1,IF(Q8+O8=HT8,$GY$1,IF(Q8+O8=GW8,$GB$1,IF(Q8+O8=FZ8,$FE$1,IF(Q8+O8=FC8,$EH$1,IF(Q8+O8=EF8,$DK$1,IF(Q8+O8=DI8,$CN$1))))))))))))))))</f>
        <v/>
      </c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13" t="str">
        <f>IF(SUM(U8,Y8)&gt;0,SUM(U8,Y8),"")</f>
        <v/>
      </c>
      <c r="AK8" s="13" t="str">
        <f>IF(SUM(AC8,AG8)&gt;0,SUM(AC8,AG8),"")</f>
        <v/>
      </c>
      <c r="AL8" s="13" t="str">
        <f>IF(SUM(T8:U8,W8)-V8&gt;0,SUM(T8:U8,W8)-V8,"")</f>
        <v/>
      </c>
      <c r="AM8" s="13" t="str">
        <f>IF(SUM(X8:Y8,AA8)-Z8&gt;0,SUM(X8:Y8,AA8)-Z8,"")</f>
        <v/>
      </c>
      <c r="AN8" s="13" t="str">
        <f>IF(SUM(AL8:AM8)&gt;0,SUM(AL8:AM8),"")</f>
        <v/>
      </c>
      <c r="AO8" s="13" t="str">
        <f>IF(SUM(AB8:AC8,AE8:AG8,AI8)-SUM(AD8,AH8)&gt;0,SUM(AB8:AC8,AE8:AG8,AI8)-SUM(AD8,AH8),"")</f>
        <v/>
      </c>
      <c r="AP8" s="13" t="str">
        <f>IF(SUM(AN8,AO8)&gt;0,SUM(AN8,AO8),"")</f>
        <v/>
      </c>
      <c r="AQ8" s="62">
        <v>25.1</v>
      </c>
      <c r="AR8" s="62">
        <v>5.3</v>
      </c>
      <c r="AS8" s="62">
        <v>0</v>
      </c>
      <c r="AT8" s="62">
        <v>0</v>
      </c>
      <c r="AU8" s="62">
        <v>26.6</v>
      </c>
      <c r="AV8" s="62">
        <v>2</v>
      </c>
      <c r="AW8" s="62">
        <v>6</v>
      </c>
      <c r="AX8" s="62">
        <v>0</v>
      </c>
      <c r="AY8" s="62"/>
      <c r="AZ8" s="62"/>
      <c r="BA8" s="62"/>
      <c r="BB8" s="62"/>
      <c r="BC8" s="62"/>
      <c r="BD8" s="62"/>
      <c r="BE8" s="62"/>
      <c r="BF8" s="62"/>
      <c r="BG8" s="17">
        <f>IF(SUM(AR8,AV8)&gt;0,SUM(AR8,AV8),"")</f>
        <v>7.3</v>
      </c>
      <c r="BH8" s="17" t="str">
        <f>IF(SUM(AZ8,BD8)&gt;0,SUM(AZ8,BD8),"")</f>
        <v/>
      </c>
      <c r="BI8" s="17">
        <f>IF(SUM(AQ8:AR8,AT8)-AS8&gt;0,SUM(AQ8:AR8,AT8)-AS8,"")</f>
        <v>30.400000000000002</v>
      </c>
      <c r="BJ8" s="17">
        <f>IF(SUM(AU8:AV8,AX8)-AW8&gt;0,SUM(AU8:AV8,AX8)-AW8,"")</f>
        <v>22.6</v>
      </c>
      <c r="BK8" s="17">
        <f>IF(SUM(BI8:BJ8)&gt;0,SUM(BI8:BJ8),"")</f>
        <v>53</v>
      </c>
      <c r="BL8" s="17" t="str">
        <f>IF(SUM(AY8:AZ8,BB8:BD8,BF8)-SUM(BA8,BE8)&gt;0,SUM(AY8:AZ8,BB8:BD8,BF8)-SUM(BA8,BE8),"")</f>
        <v/>
      </c>
      <c r="BM8" s="17">
        <f>IF(SUM(BK8,BL8)&gt;0,SUM(BK8,BL8),"")</f>
        <v>53</v>
      </c>
      <c r="BN8" s="60">
        <v>19.100000000000001</v>
      </c>
      <c r="BO8" s="60">
        <v>3.2</v>
      </c>
      <c r="BP8" s="60">
        <v>0</v>
      </c>
      <c r="BQ8" s="60">
        <v>0</v>
      </c>
      <c r="BR8" s="60">
        <v>25.9</v>
      </c>
      <c r="BS8" s="60">
        <v>1.6</v>
      </c>
      <c r="BT8" s="60">
        <v>9</v>
      </c>
      <c r="BU8" s="60">
        <v>0</v>
      </c>
      <c r="BV8" s="60"/>
      <c r="BW8" s="60"/>
      <c r="BX8" s="60"/>
      <c r="BY8" s="60"/>
      <c r="BZ8" s="60"/>
      <c r="CA8" s="60"/>
      <c r="CB8" s="60"/>
      <c r="CC8" s="60"/>
      <c r="CD8" s="13">
        <f>IF(SUM(BO8,BS8)&gt;0,SUM(BO8,BS8),"")</f>
        <v>4.8000000000000007</v>
      </c>
      <c r="CE8" s="13" t="str">
        <f>IF(SUM(BW8,CA8)&gt;0,SUM(BW8,CA8),"")</f>
        <v/>
      </c>
      <c r="CF8" s="13">
        <f>IF(SUM(BN8:BO8,BQ8)-BP8&gt;0,SUM(BN8:BO8,BQ8)-BP8,"")</f>
        <v>22.3</v>
      </c>
      <c r="CG8" s="13">
        <f>IF(SUM(BR8:BS8,BU8)-BT8&gt;0,SUM(BR8:BS8,BU8)-BT8,"")</f>
        <v>18.5</v>
      </c>
      <c r="CH8" s="13">
        <f>IF(SUM(CF8:CG8)&gt;0,SUM(CF8:CG8),"")</f>
        <v>40.799999999999997</v>
      </c>
      <c r="CI8" s="13" t="str">
        <f>IF(SUM(BV8:BW8,BY8:CA8,CC8)-SUM(BX8,CB8)&gt;0,SUM(BV8:BW8,BY8:CA8,CC8)-SUM(BX8,CB8),"")</f>
        <v/>
      </c>
      <c r="CJ8" s="13">
        <f>IF(SUM(CH8,CI8)&gt;0,SUM(CH8,CI8),"")</f>
        <v>40.799999999999997</v>
      </c>
      <c r="CK8" s="43" t="str">
        <f>IF(MAX(DF8,EC8,EZ8,FW8,GT8,HQ8,IN8,JK8,KH8,LE8,MB8,MY8)-K8&gt;0.001,MAX(DF8,EC8,EZ8,FW8,GT8,HQ8,IN8,JK8,KH8,LE8,MB8,MY8)-K8,"")</f>
        <v/>
      </c>
      <c r="CL8" s="43" t="str">
        <f>IF(MAX(DG8,ED8,FA8,FX8,GU8,HR8,IO8,JL8,KI8,LF8,MC8,MZ8)-M8&gt;0.001,MAX(DG8,ED8,FA8,FX8,GU8,HR8,IO8,JL8,KI8,LF8,MC8,MZ8)-M8,"")</f>
        <v/>
      </c>
      <c r="CM8" s="43" t="str">
        <f>IF(MAX(DI8,EF8,FC8,FZ8,GW8,HT8,IQ8,JN8,KK8,LH8,ME8,NB8)-O8&gt;0.001,MAX(DI8,EF8,FC8,FZ8,GW8,HT8,IQ8,JN8,KK8,LH8,ME8,NB8)-O8,"")</f>
        <v/>
      </c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13" t="str">
        <f>IF(SUM(CO8,CS8)&gt;0,SUM(CO8,CS8),"")</f>
        <v/>
      </c>
      <c r="DE8" s="13" t="str">
        <f>IF(SUM(CW8,DA8)&gt;0,SUM(CW8,DA8),"")</f>
        <v/>
      </c>
      <c r="DF8" s="13" t="str">
        <f>IF(SUM(CN8:CO8,CQ8)-CP8&gt;0,SUM(CN8:CO8,CQ8)-CP8,"")</f>
        <v/>
      </c>
      <c r="DG8" s="13" t="str">
        <f>IF(SUM(CR8:CS8,CU8)-CT8&gt;0,SUM(CR8:CS8,CU8)-CT8,"")</f>
        <v/>
      </c>
      <c r="DH8" s="13" t="str">
        <f>IF(SUM(DF8:DG8)&gt;0,SUM(DF8:DG8),"")</f>
        <v/>
      </c>
      <c r="DI8" s="13" t="str">
        <f>IF(SUM(CV8:CW8,CY8:DA8,DC8)-SUM(CX8,DB8)&gt;0,SUM(CV8:CW8,CY8:DA8,DC8)-SUM(CX8,DB8),"")</f>
        <v/>
      </c>
      <c r="DJ8" s="13" t="str">
        <f>IF(SUM(DH8,DI8)&gt;0,SUM(DH8,DI8),"")</f>
        <v/>
      </c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  <c r="EA8" s="17" t="str">
        <f>IF(SUM(DL8,DP8)&gt;0,SUM(DL8,DP8),"")</f>
        <v/>
      </c>
      <c r="EB8" s="17" t="str">
        <f>IF(SUM(DT8,DX8)&gt;0,SUM(DT8,DX8),"")</f>
        <v/>
      </c>
      <c r="EC8" s="17" t="str">
        <f>IF(SUM(DK8:DL8,DN8)-DM8&gt;0,SUM(DK8:DL8,DN8)-DM8,"")</f>
        <v/>
      </c>
      <c r="ED8" s="17" t="str">
        <f>IF(SUM(DO8:DP8,DR8)-DQ8&gt;0,SUM(DO8:DP8,DR8)-DQ8,"")</f>
        <v/>
      </c>
      <c r="EE8" s="17" t="str">
        <f>IF(SUM(EC8:ED8)&gt;0,SUM(EC8:ED8),"")</f>
        <v/>
      </c>
      <c r="EF8" s="17" t="str">
        <f>IF(SUM(DS8:DT8,DV8:DX8,DZ8)-SUM(DU8,DY8)&gt;0,SUM(DS8:DT8,DV8:DX8,DZ8)-SUM(DU8,DY8),"")</f>
        <v/>
      </c>
      <c r="EG8" s="17" t="str">
        <f>IF(SUM(EE8,EF8)&gt;0,SUM(EE8,EF8),"")</f>
        <v/>
      </c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  <c r="ES8" s="60"/>
      <c r="ET8" s="60"/>
      <c r="EU8" s="60"/>
      <c r="EV8" s="60"/>
      <c r="EW8" s="60"/>
      <c r="EX8" s="13" t="str">
        <f>IF(SUM(EI8,EM8)&gt;0,SUM(EI8,EM8),"")</f>
        <v/>
      </c>
      <c r="EY8" s="13" t="str">
        <f>IF(SUM(EQ8,EU8)&gt;0,SUM(EQ8,EU8),"")</f>
        <v/>
      </c>
      <c r="EZ8" s="13" t="str">
        <f>IF(SUM(EH8:EI8,EK8)-EJ8&gt;0,SUM(EH8:EI8,EK8)-EJ8,"")</f>
        <v/>
      </c>
      <c r="FA8" s="13" t="str">
        <f>IF(SUM(EL8:EM8,EO8)-EN8&gt;0,SUM(EL8:EM8,EO8)-EN8,"")</f>
        <v/>
      </c>
      <c r="FB8" s="13" t="str">
        <f>IF(SUM(EZ8:FA8)&gt;0,SUM(EZ8:FA8),"")</f>
        <v/>
      </c>
      <c r="FC8" s="13" t="str">
        <f>IF(SUM(EP8:EQ8,ES8:EU8,EW8)-SUM(ER8,EV8)&gt;0,SUM(EP8:EQ8,ES8:EU8,EW8)-SUM(ER8,EV8),"")</f>
        <v/>
      </c>
      <c r="FD8" s="13" t="str">
        <f>IF(SUM(FB8,FC8)&gt;0,SUM(FB8,FC8),"")</f>
        <v/>
      </c>
      <c r="FE8" s="62"/>
      <c r="FF8" s="62"/>
      <c r="FG8" s="62"/>
      <c r="FH8" s="62"/>
      <c r="FI8" s="62"/>
      <c r="FJ8" s="62"/>
      <c r="FK8" s="62"/>
      <c r="FL8" s="62"/>
      <c r="FM8" s="62"/>
      <c r="FN8" s="62"/>
      <c r="FO8" s="62"/>
      <c r="FP8" s="62"/>
      <c r="FQ8" s="62"/>
      <c r="FR8" s="62"/>
      <c r="FS8" s="62"/>
      <c r="FT8" s="62"/>
      <c r="FU8" s="17" t="str">
        <f>IF(SUM(FF8,FJ8)&gt;0,SUM(FF8,FJ8),"")</f>
        <v/>
      </c>
      <c r="FV8" s="17" t="str">
        <f>IF(SUM(FN8,FR8)&gt;0,SUM(FN8,FR8),"")</f>
        <v/>
      </c>
      <c r="FW8" s="17" t="str">
        <f>IF(SUM(FE8:FF8,FH8)-FG8&gt;0,SUM(FE8:FF8,FH8)-FG8,"")</f>
        <v/>
      </c>
      <c r="FX8" s="17" t="str">
        <f>IF(SUM(FI8:FJ8,FL8)-FK8&gt;0,SUM(FI8:FJ8,FL8)-FK8,"")</f>
        <v/>
      </c>
      <c r="FY8" s="17" t="str">
        <f>IF(SUM(FW8:FX8)&gt;0,SUM(FW8:FX8),"")</f>
        <v/>
      </c>
      <c r="FZ8" s="17" t="str">
        <f>IF(SUM(FM8:FN8,FP8:FR8,FT8)-SUM(FO8,FS8)&gt;0,SUM(FM8:FN8,FP8:FR8,FT8)-SUM(FO8,FS8),"")</f>
        <v/>
      </c>
      <c r="GA8" s="17" t="str">
        <f>IF(SUM(FY8,FZ8)&gt;0,SUM(FY8,FZ8),"")</f>
        <v/>
      </c>
      <c r="GB8" s="60"/>
      <c r="GC8" s="60"/>
      <c r="GD8" s="60"/>
      <c r="GE8" s="60"/>
      <c r="GF8" s="60"/>
      <c r="GG8" s="60"/>
      <c r="GH8" s="60"/>
      <c r="GI8" s="60"/>
      <c r="GJ8" s="60"/>
      <c r="GK8" s="60"/>
      <c r="GL8" s="60"/>
      <c r="GM8" s="60"/>
      <c r="GN8" s="60"/>
      <c r="GO8" s="60"/>
      <c r="GP8" s="60"/>
      <c r="GQ8" s="60"/>
      <c r="GR8" s="13" t="str">
        <f>IF(SUM(GC8,GG8)&gt;0,SUM(GC8,GG8),"")</f>
        <v/>
      </c>
      <c r="GS8" s="13" t="str">
        <f>IF(SUM(GK8,GO8)&gt;0,SUM(GK8,GO8),"")</f>
        <v/>
      </c>
      <c r="GT8" s="13" t="str">
        <f>IF(SUM(GB8:GC8,GE8)-GD8&gt;0,SUM(GB8:GC8,GE8)-GD8,"")</f>
        <v/>
      </c>
      <c r="GU8" s="13" t="str">
        <f>IF(SUM(GF8:GG8,GI8)-GH8&gt;0,SUM(GF8:GG8,GI8)-GH8,"")</f>
        <v/>
      </c>
      <c r="GV8" s="13" t="str">
        <f>IF(SUM(GT8:GU8)&gt;0,SUM(GT8:GU8),"")</f>
        <v/>
      </c>
      <c r="GW8" s="13" t="str">
        <f>IF(SUM(GJ8:GK8,GM8:GO8,GQ8)-SUM(GL8,GP8)&gt;0,SUM(GJ8:GK8,GM8:GO8,GQ8)-SUM(GL8,GP8),"")</f>
        <v/>
      </c>
      <c r="GX8" s="13" t="str">
        <f>IF(SUM(GV8,GW8)&gt;0,SUM(GV8,GW8),"")</f>
        <v/>
      </c>
      <c r="GY8" s="62"/>
      <c r="GZ8" s="62"/>
      <c r="HA8" s="62"/>
      <c r="HB8" s="62"/>
      <c r="HC8" s="62"/>
      <c r="HD8" s="62"/>
      <c r="HE8" s="62"/>
      <c r="HF8" s="62"/>
      <c r="HG8" s="62"/>
      <c r="HH8" s="62"/>
      <c r="HI8" s="62"/>
      <c r="HJ8" s="62"/>
      <c r="HK8" s="62"/>
      <c r="HL8" s="62"/>
      <c r="HM8" s="62"/>
      <c r="HN8" s="62"/>
      <c r="HO8" s="17" t="str">
        <f>IF(SUM(GZ8,HD8)&gt;0,SUM(GZ8,HD8),"")</f>
        <v/>
      </c>
      <c r="HP8" s="17" t="str">
        <f>IF(SUM(HH8,HL8)&gt;0,SUM(HH8,HL8),"")</f>
        <v/>
      </c>
      <c r="HQ8" s="17" t="str">
        <f>IF(SUM(GY8:GZ8,HB8)-HA8&gt;0,SUM(GY8:GZ8,HB8)-HA8,"")</f>
        <v/>
      </c>
      <c r="HR8" s="17" t="str">
        <f>IF(SUM(HC8:HD8,HF8)-HE8&gt;0,SUM(HC8:HD8,HF8)-HE8,"")</f>
        <v/>
      </c>
      <c r="HS8" s="17" t="str">
        <f>IF(SUM(HQ8:HR8)&gt;0,SUM(HQ8:HR8),"")</f>
        <v/>
      </c>
      <c r="HT8" s="17" t="str">
        <f>IF(SUM(HG8:HH8,HJ8:HL8,HN8)-SUM(HI8,HM8)&gt;0,SUM(HG8:HH8,HJ8:HL8,HN8)-SUM(HI8,HM8),"")</f>
        <v/>
      </c>
      <c r="HU8" s="17" t="str">
        <f>IF(SUM(HS8,HT8)&gt;0,SUM(HS8,HT8),"")</f>
        <v/>
      </c>
      <c r="HV8" s="60"/>
      <c r="HW8" s="60"/>
      <c r="HX8" s="60"/>
      <c r="HY8" s="60"/>
      <c r="HZ8" s="60"/>
      <c r="IA8" s="60"/>
      <c r="IB8" s="60"/>
      <c r="IC8" s="60"/>
      <c r="ID8" s="60"/>
      <c r="IE8" s="60"/>
      <c r="IF8" s="60"/>
      <c r="IG8" s="60"/>
      <c r="IH8" s="60"/>
      <c r="II8" s="60"/>
      <c r="IJ8" s="60"/>
      <c r="IK8" s="60"/>
      <c r="IL8" s="13" t="str">
        <f>IF(SUM(HW8,IA8)&gt;0,SUM(HW8,IA8),"")</f>
        <v/>
      </c>
      <c r="IM8" s="13" t="str">
        <f>IF(SUM(IE8,II8)&gt;0,SUM(IE8,II8),"")</f>
        <v/>
      </c>
      <c r="IN8" s="13" t="str">
        <f>IF(SUM(HV8:HW8,HY8)-HX8&gt;0,SUM(HV8:HW8,HY8)-HX8,"")</f>
        <v/>
      </c>
      <c r="IO8" s="13" t="str">
        <f>IF(SUM(HZ8:IA8,IC8)-IB8&gt;0,SUM(HZ8:IA8,IC8)-IB8,"")</f>
        <v/>
      </c>
      <c r="IP8" s="13" t="str">
        <f>IF(SUM(IN8:IO8)&gt;0,SUM(IN8:IO8),"")</f>
        <v/>
      </c>
      <c r="IQ8" s="13" t="str">
        <f>IF(SUM(ID8:IE8,IG8:II8,IK8)-SUM(IF8,IJ8)&gt;0,SUM(ID8:IE8,IG8:II8,IK8)-SUM(IF8,IJ8),"")</f>
        <v/>
      </c>
      <c r="IR8" s="13" t="str">
        <f>IF(SUM(IP8,IQ8)&gt;0,SUM(IP8,IQ8),"")</f>
        <v/>
      </c>
      <c r="IS8" s="62"/>
      <c r="IT8" s="62"/>
      <c r="IU8" s="62"/>
      <c r="IV8" s="62"/>
      <c r="IW8" s="62"/>
      <c r="IX8" s="62"/>
      <c r="IY8" s="62"/>
      <c r="IZ8" s="62"/>
      <c r="JA8" s="62"/>
      <c r="JB8" s="62"/>
      <c r="JC8" s="62"/>
      <c r="JD8" s="62"/>
      <c r="JE8" s="62"/>
      <c r="JF8" s="62"/>
      <c r="JG8" s="62"/>
      <c r="JH8" s="62"/>
      <c r="JI8" s="17" t="str">
        <f>IF(SUM(IT8,IX8)&gt;0,SUM(IT8,IX8),"")</f>
        <v/>
      </c>
      <c r="JJ8" s="17" t="str">
        <f>IF(SUM(JB8,JF8)&gt;0,SUM(JB8,JF8),"")</f>
        <v/>
      </c>
      <c r="JK8" s="17" t="str">
        <f>IF(SUM(IS8:IT8,IV8)-IU8&gt;0,SUM(IS8:IT8,IV8)-IU8,"")</f>
        <v/>
      </c>
      <c r="JL8" s="17" t="str">
        <f>IF(SUM(IW8:IX8,IZ8)-IY8&gt;0,SUM(IW8:IX8,IZ8)-IY8,"")</f>
        <v/>
      </c>
      <c r="JM8" s="17" t="str">
        <f>IF(SUM(JK8:JL8)&gt;0,SUM(JK8:JL8),"")</f>
        <v/>
      </c>
      <c r="JN8" s="17" t="str">
        <f>IF(SUM(JA8:JB8,JD8:JF8,JH8)-SUM(JC8,JG8)&gt;0,SUM(JA8:JB8,JD8:JF8,JH8)-SUM(JC8,JG8),"")</f>
        <v/>
      </c>
      <c r="JO8" s="17" t="str">
        <f>IF(SUM(JM8,JN8)&gt;0,SUM(JM8,JN8),"")</f>
        <v/>
      </c>
      <c r="JP8" s="60"/>
      <c r="JQ8" s="60"/>
      <c r="JR8" s="60"/>
      <c r="JS8" s="60"/>
      <c r="JT8" s="60"/>
      <c r="JU8" s="60"/>
      <c r="JV8" s="60"/>
      <c r="JW8" s="60"/>
      <c r="JX8" s="60"/>
      <c r="JY8" s="60"/>
      <c r="JZ8" s="60"/>
      <c r="KA8" s="60"/>
      <c r="KB8" s="60"/>
      <c r="KC8" s="60"/>
      <c r="KD8" s="60"/>
      <c r="KE8" s="60"/>
      <c r="KF8" s="13" t="str">
        <f>IF(SUM(JQ8,JU8)&gt;0,SUM(JQ8,JU8),"")</f>
        <v/>
      </c>
      <c r="KG8" s="13" t="str">
        <f>IF(SUM(JY8,KC8)&gt;0,SUM(JY8,KC8),"")</f>
        <v/>
      </c>
      <c r="KH8" s="13" t="str">
        <f>IF(SUM(JP8:JQ8,JS8)-JR8&gt;0,SUM(JP8:JQ8,JS8)-JR8,"")</f>
        <v/>
      </c>
      <c r="KI8" s="13" t="str">
        <f>IF(SUM(JT8:JU8,JW8)-JV8&gt;0,SUM(JT8:JU8,JW8)-JV8,"")</f>
        <v/>
      </c>
      <c r="KJ8" s="13" t="str">
        <f>IF(SUM(KH8:KI8)&gt;0,SUM(KH8:KI8),"")</f>
        <v/>
      </c>
      <c r="KK8" s="13" t="str">
        <f>IF(SUM(JX8:JY8,KA8:KC8,KE8)-SUM(JZ8,KD8)&gt;0,SUM(JX8:JY8,KA8:KC8,KE8)-SUM(JZ8,KD8),"")</f>
        <v/>
      </c>
      <c r="KL8" s="13" t="str">
        <f>IF(SUM(KJ8,KK8)&gt;0,SUM(KJ8,KK8),"")</f>
        <v/>
      </c>
      <c r="KM8" s="62"/>
      <c r="KN8" s="62"/>
      <c r="KO8" s="62"/>
      <c r="KP8" s="62"/>
      <c r="KQ8" s="62"/>
      <c r="KR8" s="62"/>
      <c r="KS8" s="62"/>
      <c r="KT8" s="62"/>
      <c r="KU8" s="62"/>
      <c r="KV8" s="62"/>
      <c r="KW8" s="62"/>
      <c r="KX8" s="62"/>
      <c r="KY8" s="62"/>
      <c r="KZ8" s="62"/>
      <c r="LA8" s="62"/>
      <c r="LB8" s="62"/>
      <c r="LC8" s="17" t="str">
        <f>IF(SUM(KN8,KR8)&gt;0,SUM(KN8,KR8),"")</f>
        <v/>
      </c>
      <c r="LD8" s="17" t="str">
        <f>IF(SUM(KV8,KZ8)&gt;0,SUM(KV8,KZ8),"")</f>
        <v/>
      </c>
      <c r="LE8" s="17" t="str">
        <f>IF(SUM(KM8:KN8,KP8)-KO8&gt;0,SUM(KM8:KN8,KP8)-KO8,"")</f>
        <v/>
      </c>
      <c r="LF8" s="17" t="str">
        <f>IF(SUM(KQ8:KR8,KT8)-KS8&gt;0,SUM(KQ8:KR8,KT8)-KS8,"")</f>
        <v/>
      </c>
      <c r="LG8" s="17" t="str">
        <f>IF(SUM(LE8:LF8)&gt;0,SUM(LE8:LF8),"")</f>
        <v/>
      </c>
      <c r="LH8" s="17" t="str">
        <f>IF(SUM(KU8:KV8,KX8:KZ8,LB8)-SUM(KW8,LA8)&gt;0,SUM(KU8:KV8,KX8:KZ8,LB8)-SUM(KW8,LA8),"")</f>
        <v/>
      </c>
      <c r="LI8" s="17" t="str">
        <f>IF(SUM(LG8,LH8)&gt;0,SUM(LG8,LH8),"")</f>
        <v/>
      </c>
      <c r="LJ8" s="60"/>
      <c r="LK8" s="60"/>
      <c r="LL8" s="60"/>
      <c r="LM8" s="60"/>
      <c r="LN8" s="60"/>
      <c r="LO8" s="60"/>
      <c r="LP8" s="60"/>
      <c r="LQ8" s="60"/>
      <c r="LR8" s="60"/>
      <c r="LS8" s="60"/>
      <c r="LT8" s="60"/>
      <c r="LU8" s="60"/>
      <c r="LV8" s="60"/>
      <c r="LW8" s="60"/>
      <c r="LX8" s="60"/>
      <c r="LY8" s="60"/>
      <c r="LZ8" s="13" t="str">
        <f>IF(SUM(LK8,LO8)&gt;0,SUM(LK8,LO8),"")</f>
        <v/>
      </c>
      <c r="MA8" s="13" t="str">
        <f>IF(SUM(LS8,LW8)&gt;0,SUM(LS8,LW8),"")</f>
        <v/>
      </c>
      <c r="MB8" s="13" t="str">
        <f>IF(SUM(LJ8:LK8,LM8)-LL8&gt;0,SUM(LJ8:LK8,LM8)-LL8,"")</f>
        <v/>
      </c>
      <c r="MC8" s="13" t="str">
        <f>IF(SUM(LN8:LO8,LQ8)-LP8&gt;0,SUM(LN8:LO8,LQ8)-LP8,"")</f>
        <v/>
      </c>
      <c r="MD8" s="13" t="str">
        <f>IF(SUM(MB8:MC8)&gt;0,SUM(MB8:MC8),"")</f>
        <v/>
      </c>
      <c r="ME8" s="13" t="str">
        <f>IF(SUM(LR8:LS8,LU8:LW8,LY8)-SUM(LT8,LX8)&gt;0,SUM(LR8:LS8,LU8:LW8,LY8)-SUM(LT8,LX8),"")</f>
        <v/>
      </c>
      <c r="MF8" s="13" t="str">
        <f>IF(SUM(MD8,ME8)&gt;0,SUM(MD8,ME8),"")</f>
        <v/>
      </c>
      <c r="MG8" s="62"/>
      <c r="MH8" s="62"/>
      <c r="MI8" s="62"/>
      <c r="MJ8" s="62"/>
      <c r="MK8" s="62"/>
      <c r="ML8" s="62"/>
      <c r="MM8" s="62"/>
      <c r="MN8" s="62"/>
      <c r="MO8" s="62"/>
      <c r="MP8" s="62"/>
      <c r="MQ8" s="62"/>
      <c r="MR8" s="62"/>
      <c r="MS8" s="62"/>
      <c r="MT8" s="62"/>
      <c r="MU8" s="62"/>
      <c r="MV8" s="62"/>
      <c r="MW8" s="17" t="str">
        <f>IF(SUM(MH8,ML8)&gt;0,SUM(MH8,ML8),"")</f>
        <v/>
      </c>
      <c r="MX8" s="17" t="str">
        <f>IF(SUM(MP8,MT8)&gt;0,SUM(MP8,MT8),"")</f>
        <v/>
      </c>
      <c r="MY8" s="17" t="str">
        <f>IF(SUM(MG8:MH8,MJ8)-MI8&gt;0,SUM(MG8:MH8,MJ8)-MI8,"")</f>
        <v/>
      </c>
      <c r="MZ8" s="17" t="str">
        <f>IF(SUM(MK8:ML8,MN8)-MM8&gt;0,SUM(MK8:ML8,MN8)-MM8,"")</f>
        <v/>
      </c>
      <c r="NA8" s="17" t="str">
        <f>IF(SUM(MY8:MZ8)&gt;0,SUM(MY8:MZ8),"")</f>
        <v/>
      </c>
      <c r="NB8" s="17" t="str">
        <f>IF(SUM(MO8:MP8,MR8:MT8,MV8)-SUM(MQ8,MU8)&gt;0,SUM(MO8:MP8,MR8:MT8,MV8)-SUM(MQ8,MU8),"")</f>
        <v/>
      </c>
      <c r="NC8" s="17" t="str">
        <f>IF(SUM(NA8,NB8)&gt;0,SUM(NA8,NB8),"")</f>
        <v/>
      </c>
    </row>
    <row r="9" spans="1:367" x14ac:dyDescent="0.2">
      <c r="D9" s="1"/>
    </row>
    <row r="12" spans="1:367" x14ac:dyDescent="0.2">
      <c r="A12" s="91" t="s">
        <v>44</v>
      </c>
      <c r="B12" s="91"/>
      <c r="C12" s="21">
        <v>13.7</v>
      </c>
    </row>
    <row r="13" spans="1:367" x14ac:dyDescent="0.2">
      <c r="A13" s="92" t="s">
        <v>42</v>
      </c>
      <c r="B13" s="92"/>
      <c r="C13" s="22">
        <v>62.6</v>
      </c>
    </row>
    <row r="14" spans="1:367" x14ac:dyDescent="0.2">
      <c r="A14" s="93" t="s">
        <v>23</v>
      </c>
      <c r="B14" s="93"/>
      <c r="C14" s="23">
        <v>64.7</v>
      </c>
    </row>
    <row r="15" spans="1:367" x14ac:dyDescent="0.2">
      <c r="A15" s="89" t="s">
        <v>43</v>
      </c>
      <c r="B15" s="89"/>
      <c r="C15" s="24">
        <v>67.2</v>
      </c>
    </row>
    <row r="16" spans="1:367" x14ac:dyDescent="0.2">
      <c r="A16" s="90" t="s">
        <v>112</v>
      </c>
      <c r="B16" s="90"/>
      <c r="C16" s="25">
        <v>71.900000000000006</v>
      </c>
    </row>
    <row r="17" spans="1:19" x14ac:dyDescent="0.2">
      <c r="C17" s="3"/>
    </row>
    <row r="18" spans="1:19" x14ac:dyDescent="0.2">
      <c r="A18" s="93" t="s">
        <v>86</v>
      </c>
      <c r="B18" s="93"/>
      <c r="C18" s="23">
        <f>C14*3</f>
        <v>194.10000000000002</v>
      </c>
    </row>
    <row r="19" spans="1:19" ht="17" x14ac:dyDescent="0.2">
      <c r="A19" s="89" t="s">
        <v>87</v>
      </c>
      <c r="B19" s="89"/>
      <c r="C19" s="24">
        <f>C15*3</f>
        <v>201.60000000000002</v>
      </c>
      <c r="Q19" s="31"/>
      <c r="R19" s="31"/>
      <c r="S19" s="31"/>
    </row>
    <row r="20" spans="1:19" ht="17" x14ac:dyDescent="0.2">
      <c r="A20" s="90" t="s">
        <v>113</v>
      </c>
      <c r="B20" s="90"/>
      <c r="C20" s="25">
        <f>C16*3</f>
        <v>215.70000000000002</v>
      </c>
      <c r="Q20" s="31"/>
      <c r="R20" s="31"/>
      <c r="S20" s="31"/>
    </row>
    <row r="21" spans="1:19" ht="17" x14ac:dyDescent="0.2">
      <c r="Q21" s="31"/>
      <c r="R21" s="31"/>
      <c r="S21" s="31"/>
    </row>
    <row r="22" spans="1:19" ht="17" x14ac:dyDescent="0.2">
      <c r="Q22" s="31"/>
      <c r="R22" s="31"/>
      <c r="S22" s="31"/>
    </row>
    <row r="23" spans="1:19" ht="17" x14ac:dyDescent="0.2">
      <c r="Q23" s="31"/>
      <c r="R23" s="31"/>
      <c r="S23" s="31"/>
    </row>
    <row r="24" spans="1:19" ht="17" x14ac:dyDescent="0.2">
      <c r="Q24" s="31"/>
      <c r="R24" s="31"/>
      <c r="S24" s="31"/>
    </row>
    <row r="25" spans="1:19" ht="17" x14ac:dyDescent="0.2">
      <c r="Q25" s="31"/>
      <c r="R25" s="31"/>
      <c r="S25" s="31"/>
    </row>
    <row r="26" spans="1:19" ht="17" x14ac:dyDescent="0.2">
      <c r="Q26" s="31"/>
      <c r="R26" s="31"/>
      <c r="S26" s="31"/>
    </row>
    <row r="27" spans="1:19" ht="17" x14ac:dyDescent="0.2">
      <c r="Q27" s="31"/>
      <c r="R27" s="31"/>
      <c r="S27" s="31"/>
    </row>
    <row r="28" spans="1:19" ht="17" x14ac:dyDescent="0.2">
      <c r="Q28" s="31"/>
      <c r="R28" s="31"/>
      <c r="S28" s="31"/>
    </row>
    <row r="29" spans="1:19" ht="17" x14ac:dyDescent="0.2">
      <c r="Q29" s="31"/>
      <c r="R29" s="31"/>
      <c r="S29" s="31"/>
    </row>
    <row r="30" spans="1:19" ht="17" x14ac:dyDescent="0.2">
      <c r="Q30" s="31"/>
      <c r="R30" s="31"/>
      <c r="S30" s="31"/>
    </row>
    <row r="31" spans="1:19" ht="17" x14ac:dyDescent="0.2">
      <c r="Q31" s="31"/>
      <c r="R31" s="31"/>
      <c r="S31" s="31"/>
    </row>
    <row r="32" spans="1:19" ht="17" x14ac:dyDescent="0.2">
      <c r="Q32" s="31"/>
      <c r="R32" s="31"/>
      <c r="S32" s="31"/>
    </row>
    <row r="33" spans="17:19" ht="17" x14ac:dyDescent="0.2">
      <c r="Q33" s="31"/>
      <c r="R33" s="31"/>
      <c r="S33" s="31"/>
    </row>
    <row r="34" spans="17:19" ht="17" x14ac:dyDescent="0.2">
      <c r="Q34" s="31"/>
      <c r="R34" s="31"/>
      <c r="S34" s="31"/>
    </row>
    <row r="35" spans="17:19" ht="17" x14ac:dyDescent="0.2">
      <c r="Q35" s="31"/>
      <c r="R35" s="31"/>
      <c r="S35" s="31"/>
    </row>
    <row r="36" spans="17:19" ht="17" x14ac:dyDescent="0.2">
      <c r="Q36" s="31"/>
      <c r="R36" s="31"/>
      <c r="S36" s="31"/>
    </row>
    <row r="37" spans="17:19" ht="17" x14ac:dyDescent="0.2">
      <c r="Q37" s="31"/>
      <c r="R37" s="31"/>
      <c r="S37" s="31"/>
    </row>
    <row r="38" spans="17:19" ht="17" x14ac:dyDescent="0.2">
      <c r="Q38" s="31"/>
      <c r="R38" s="31"/>
      <c r="S38" s="31"/>
    </row>
  </sheetData>
  <sheetProtection sheet="1" objects="1" scenarios="1" formatCells="0" formatColumns="0" formatRows="0"/>
  <autoFilter ref="A1:NC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sortState ref="A6:NC8">
      <sortCondition descending="1" ref="F1:F8"/>
    </sortState>
  </autoFilter>
  <mergeCells count="103">
    <mergeCell ref="LJ1:MF1"/>
    <mergeCell ref="MG1:NC1"/>
    <mergeCell ref="LJ2:LM2"/>
    <mergeCell ref="LN2:LQ2"/>
    <mergeCell ref="LR2:LU2"/>
    <mergeCell ref="LV2:LY2"/>
    <mergeCell ref="MG2:MJ2"/>
    <mergeCell ref="MK2:MN2"/>
    <mergeCell ref="MO2:MR2"/>
    <mergeCell ref="MS2:MV2"/>
    <mergeCell ref="JP1:KL1"/>
    <mergeCell ref="KM1:LI1"/>
    <mergeCell ref="JP2:JS2"/>
    <mergeCell ref="JT2:JW2"/>
    <mergeCell ref="JX2:KA2"/>
    <mergeCell ref="KB2:KE2"/>
    <mergeCell ref="KM2:KP2"/>
    <mergeCell ref="KQ2:KT2"/>
    <mergeCell ref="KU2:KX2"/>
    <mergeCell ref="KY2:LB2"/>
    <mergeCell ref="HV1:IR1"/>
    <mergeCell ref="IS1:JO1"/>
    <mergeCell ref="HV2:HY2"/>
    <mergeCell ref="HZ2:IC2"/>
    <mergeCell ref="ID2:IG2"/>
    <mergeCell ref="IH2:IK2"/>
    <mergeCell ref="IS2:IV2"/>
    <mergeCell ref="IW2:IZ2"/>
    <mergeCell ref="JA2:JD2"/>
    <mergeCell ref="JE2:JH2"/>
    <mergeCell ref="GB1:GX1"/>
    <mergeCell ref="GY1:HU1"/>
    <mergeCell ref="GB2:GE2"/>
    <mergeCell ref="GF2:GI2"/>
    <mergeCell ref="GJ2:GM2"/>
    <mergeCell ref="GN2:GQ2"/>
    <mergeCell ref="GY2:HB2"/>
    <mergeCell ref="HC2:HF2"/>
    <mergeCell ref="HG2:HJ2"/>
    <mergeCell ref="HK2:HN2"/>
    <mergeCell ref="FE1:GA1"/>
    <mergeCell ref="EH2:EK2"/>
    <mergeCell ref="EL2:EO2"/>
    <mergeCell ref="EP2:ES2"/>
    <mergeCell ref="ET2:EW2"/>
    <mergeCell ref="FE2:FH2"/>
    <mergeCell ref="FI2:FL2"/>
    <mergeCell ref="FM2:FP2"/>
    <mergeCell ref="FQ2:FT2"/>
    <mergeCell ref="EH1:FD1"/>
    <mergeCell ref="M1:M3"/>
    <mergeCell ref="O1:O3"/>
    <mergeCell ref="Q1:Q3"/>
    <mergeCell ref="T1:AP1"/>
    <mergeCell ref="AQ1:BM1"/>
    <mergeCell ref="BC2:BF2"/>
    <mergeCell ref="T2:W2"/>
    <mergeCell ref="X2:AA2"/>
    <mergeCell ref="AF2:AI2"/>
    <mergeCell ref="AQ2:AT2"/>
    <mergeCell ref="AU2:AX2"/>
    <mergeCell ref="AB2:AE2"/>
    <mergeCell ref="AY2:BB2"/>
    <mergeCell ref="N1:N3"/>
    <mergeCell ref="P1:P3"/>
    <mergeCell ref="R1:R3"/>
    <mergeCell ref="S1:S3"/>
    <mergeCell ref="A19:B19"/>
    <mergeCell ref="A20:B20"/>
    <mergeCell ref="A12:B12"/>
    <mergeCell ref="A13:B13"/>
    <mergeCell ref="A14:B14"/>
    <mergeCell ref="A15:B15"/>
    <mergeCell ref="A16:B16"/>
    <mergeCell ref="A18:B18"/>
    <mergeCell ref="L1:L3"/>
    <mergeCell ref="J1:J3"/>
    <mergeCell ref="K1:K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DK1:EG1"/>
    <mergeCell ref="DK2:DN2"/>
    <mergeCell ref="DO2:DR2"/>
    <mergeCell ref="DS2:DV2"/>
    <mergeCell ref="DW2:DZ2"/>
    <mergeCell ref="BV2:BY2"/>
    <mergeCell ref="BZ2:CC2"/>
    <mergeCell ref="CK1:CM1"/>
    <mergeCell ref="BN1:CJ1"/>
    <mergeCell ref="BN2:BQ2"/>
    <mergeCell ref="BR2:BU2"/>
    <mergeCell ref="CN1:DJ1"/>
    <mergeCell ref="CN2:CQ2"/>
    <mergeCell ref="CR2:CU2"/>
    <mergeCell ref="CV2:CY2"/>
    <mergeCell ref="CZ2:DC2"/>
  </mergeCells>
  <conditionalFormatting sqref="AJ4:AK8">
    <cfRule type="cellIs" dxfId="242" priority="181" operator="between">
      <formula>$C$12</formula>
      <formula>100</formula>
    </cfRule>
  </conditionalFormatting>
  <conditionalFormatting sqref="AN4:AN8">
    <cfRule type="cellIs" dxfId="241" priority="182" operator="between">
      <formula>$C$16</formula>
      <formula>1000</formula>
    </cfRule>
    <cfRule type="cellIs" dxfId="240" priority="183" operator="between">
      <formula>$C$15</formula>
      <formula>$C$16</formula>
    </cfRule>
    <cfRule type="cellIs" dxfId="239" priority="184" operator="between">
      <formula>$C$14</formula>
      <formula>$C$15</formula>
    </cfRule>
    <cfRule type="expression" dxfId="238" priority="185">
      <formula>IF(AND(AN4&gt;=$C$13,AN4&lt;$C$14,YEAR(TODAY())-$D4&lt;2),1,0)</formula>
    </cfRule>
  </conditionalFormatting>
  <conditionalFormatting sqref="H4:H8">
    <cfRule type="containsText" dxfId="237" priority="174" operator="containsText" text="Merit">
      <formula>NOT(ISERROR(SEARCH("Merit",H4)))</formula>
    </cfRule>
    <cfRule type="containsText" dxfId="236" priority="175" operator="containsText" text="Funding">
      <formula>NOT(ISERROR(SEARCH("Funding",H4)))</formula>
    </cfRule>
    <cfRule type="containsText" dxfId="235" priority="176" operator="containsText" text="Team">
      <formula>NOT(ISERROR(SEARCH("Team",H4)))</formula>
    </cfRule>
    <cfRule type="containsText" dxfId="234" priority="177" operator="containsText" text="First 2 Years">
      <formula>NOT(ISERROR(SEARCH("First 2 Years",H4)))</formula>
    </cfRule>
  </conditionalFormatting>
  <conditionalFormatting sqref="A4:A8">
    <cfRule type="expression" dxfId="233" priority="276">
      <formula>AND(H4="First 2 Years",F4="")</formula>
    </cfRule>
    <cfRule type="expression" dxfId="232" priority="277">
      <formula>AND(I4&gt;=$C$14,F4="")</formula>
    </cfRule>
  </conditionalFormatting>
  <conditionalFormatting sqref="BG4:BH8">
    <cfRule type="cellIs" dxfId="231" priority="147" operator="between">
      <formula>$C$12</formula>
      <formula>100</formula>
    </cfRule>
  </conditionalFormatting>
  <conditionalFormatting sqref="CD4:CE8">
    <cfRule type="cellIs" dxfId="230" priority="142" operator="between">
      <formula>$C$12</formula>
      <formula>100</formula>
    </cfRule>
  </conditionalFormatting>
  <conditionalFormatting sqref="DD4:DE8">
    <cfRule type="cellIs" dxfId="229" priority="137" operator="between">
      <formula>$C$12</formula>
      <formula>100</formula>
    </cfRule>
  </conditionalFormatting>
  <conditionalFormatting sqref="EA4:EB8">
    <cfRule type="cellIs" dxfId="228" priority="127" operator="between">
      <formula>$C$12</formula>
      <formula>100</formula>
    </cfRule>
  </conditionalFormatting>
  <conditionalFormatting sqref="L4:L8">
    <cfRule type="expression" dxfId="227" priority="124">
      <formula>IF(K4=CF4,1,0)</formula>
    </cfRule>
    <cfRule type="expression" dxfId="226" priority="125">
      <formula>IF(K4=BI4,1,0)</formula>
    </cfRule>
    <cfRule type="expression" dxfId="225" priority="126">
      <formula>IF(K4=AL4,1,0)</formula>
    </cfRule>
  </conditionalFormatting>
  <conditionalFormatting sqref="J4:J8">
    <cfRule type="expression" dxfId="224" priority="121">
      <formula>IF(I4=CH4,1,0)</formula>
    </cfRule>
    <cfRule type="expression" dxfId="223" priority="122">
      <formula>IF(I4=BK4,1,0)</formula>
    </cfRule>
    <cfRule type="expression" dxfId="222" priority="123">
      <formula>IF(I4=AN4,1,0)</formula>
    </cfRule>
  </conditionalFormatting>
  <conditionalFormatting sqref="N4:N8 P4:P8">
    <cfRule type="expression" dxfId="221" priority="118">
      <formula>IF(M4=CG4,1,0)</formula>
    </cfRule>
    <cfRule type="expression" dxfId="220" priority="119">
      <formula>IF(M4=BJ4,1,0)</formula>
    </cfRule>
    <cfRule type="expression" dxfId="219" priority="120">
      <formula>IF(M4=AM4,1,0)</formula>
    </cfRule>
  </conditionalFormatting>
  <conditionalFormatting sqref="EX4:EY8">
    <cfRule type="cellIs" dxfId="218" priority="110" operator="between">
      <formula>$C$12</formula>
      <formula>100</formula>
    </cfRule>
  </conditionalFormatting>
  <conditionalFormatting sqref="FU4:FV8">
    <cfRule type="cellIs" dxfId="217" priority="105" operator="between">
      <formula>$C$12</formula>
      <formula>100</formula>
    </cfRule>
  </conditionalFormatting>
  <conditionalFormatting sqref="BK4:BK8">
    <cfRule type="cellIs" dxfId="216" priority="61" operator="between">
      <formula>$C$16</formula>
      <formula>1000</formula>
    </cfRule>
    <cfRule type="cellIs" dxfId="215" priority="62" operator="between">
      <formula>$C$15</formula>
      <formula>$C$16</formula>
    </cfRule>
    <cfRule type="cellIs" dxfId="214" priority="63" operator="between">
      <formula>$C$14</formula>
      <formula>$C$15</formula>
    </cfRule>
    <cfRule type="expression" dxfId="213" priority="64">
      <formula>IF(AND(BK4&gt;=$C$13,BK4&lt;$C$14,YEAR(TODAY())-$D4&lt;2),1,0)</formula>
    </cfRule>
  </conditionalFormatting>
  <conditionalFormatting sqref="CH4:CH8">
    <cfRule type="cellIs" dxfId="212" priority="57" operator="between">
      <formula>$C$16</formula>
      <formula>1000</formula>
    </cfRule>
    <cfRule type="cellIs" dxfId="211" priority="58" operator="between">
      <formula>$C$15</formula>
      <formula>$C$16</formula>
    </cfRule>
    <cfRule type="cellIs" dxfId="210" priority="59" operator="between">
      <formula>$C$14</formula>
      <formula>$C$15</formula>
    </cfRule>
    <cfRule type="expression" dxfId="209" priority="60">
      <formula>IF(AND(CH4&gt;=$C$13,CH4&lt;$C$14,YEAR(TODAY())-$D4&lt;2),1,0)</formula>
    </cfRule>
  </conditionalFormatting>
  <conditionalFormatting sqref="DH4:DH8">
    <cfRule type="cellIs" dxfId="208" priority="53" operator="between">
      <formula>$C$16</formula>
      <formula>1000</formula>
    </cfRule>
    <cfRule type="cellIs" dxfId="207" priority="54" operator="between">
      <formula>$C$15</formula>
      <formula>$C$16</formula>
    </cfRule>
    <cfRule type="cellIs" dxfId="206" priority="55" operator="between">
      <formula>$C$14</formula>
      <formula>$C$15</formula>
    </cfRule>
    <cfRule type="expression" dxfId="205" priority="56">
      <formula>IF(AND(DH4&gt;=$C$13,DH4&lt;$C$14,YEAR(TODAY())-$D4&lt;2),1,0)</formula>
    </cfRule>
  </conditionalFormatting>
  <conditionalFormatting sqref="EE4:EE8">
    <cfRule type="cellIs" dxfId="204" priority="49" operator="between">
      <formula>$C$16</formula>
      <formula>1000</formula>
    </cfRule>
    <cfRule type="cellIs" dxfId="203" priority="50" operator="between">
      <formula>$C$15</formula>
      <formula>$C$16</formula>
    </cfRule>
    <cfRule type="cellIs" dxfId="202" priority="51" operator="between">
      <formula>$C$14</formula>
      <formula>$C$15</formula>
    </cfRule>
    <cfRule type="expression" dxfId="201" priority="52">
      <formula>IF(AND(EE4&gt;=$C$13,EE4&lt;$C$14,YEAR(TODAY())-$D4&lt;2),1,0)</formula>
    </cfRule>
  </conditionalFormatting>
  <conditionalFormatting sqref="FB4:FB8">
    <cfRule type="cellIs" dxfId="200" priority="45" operator="between">
      <formula>$C$16</formula>
      <formula>1000</formula>
    </cfRule>
    <cfRule type="cellIs" dxfId="199" priority="46" operator="between">
      <formula>$C$15</formula>
      <formula>$C$16</formula>
    </cfRule>
    <cfRule type="cellIs" dxfId="198" priority="47" operator="between">
      <formula>$C$14</formula>
      <formula>$C$15</formula>
    </cfRule>
    <cfRule type="expression" dxfId="197" priority="48">
      <formula>IF(AND(FB4&gt;=$C$13,FB4&lt;$C$14,YEAR(TODAY())-$D4&lt;2),1,0)</formula>
    </cfRule>
  </conditionalFormatting>
  <conditionalFormatting sqref="FY4:FY8">
    <cfRule type="cellIs" dxfId="196" priority="41" operator="between">
      <formula>$C$16</formula>
      <formula>1000</formula>
    </cfRule>
    <cfRule type="cellIs" dxfId="195" priority="42" operator="between">
      <formula>$C$15</formula>
      <formula>$C$16</formula>
    </cfRule>
    <cfRule type="cellIs" dxfId="194" priority="43" operator="between">
      <formula>$C$14</formula>
      <formula>$C$15</formula>
    </cfRule>
    <cfRule type="expression" dxfId="193" priority="44">
      <formula>IF(AND(FY4&gt;=$C$13,FY4&lt;$C$14,YEAR(TODAY())-$D4&lt;2),1,0)</formula>
    </cfRule>
  </conditionalFormatting>
  <conditionalFormatting sqref="GR4:GS8">
    <cfRule type="cellIs" dxfId="192" priority="40" operator="between">
      <formula>$C$12</formula>
      <formula>100</formula>
    </cfRule>
  </conditionalFormatting>
  <conditionalFormatting sqref="HO4:HP8">
    <cfRule type="cellIs" dxfId="191" priority="39" operator="between">
      <formula>$C$12</formula>
      <formula>100</formula>
    </cfRule>
  </conditionalFormatting>
  <conditionalFormatting sqref="GV4:GV8">
    <cfRule type="cellIs" dxfId="190" priority="35" operator="between">
      <formula>$C$16</formula>
      <formula>1000</formula>
    </cfRule>
    <cfRule type="cellIs" dxfId="189" priority="36" operator="between">
      <formula>$C$15</formula>
      <formula>$C$16</formula>
    </cfRule>
    <cfRule type="cellIs" dxfId="188" priority="37" operator="between">
      <formula>$C$14</formula>
      <formula>$C$15</formula>
    </cfRule>
    <cfRule type="expression" dxfId="187" priority="38">
      <formula>IF(AND(GV4&gt;=$C$13,GV4&lt;$C$14,YEAR(TODAY())-$D4&lt;2),1,0)</formula>
    </cfRule>
  </conditionalFormatting>
  <conditionalFormatting sqref="HS4:HS8">
    <cfRule type="cellIs" dxfId="186" priority="31" operator="between">
      <formula>$C$16</formula>
      <formula>1000</formula>
    </cfRule>
    <cfRule type="cellIs" dxfId="185" priority="32" operator="between">
      <formula>$C$15</formula>
      <formula>$C$16</formula>
    </cfRule>
    <cfRule type="cellIs" dxfId="184" priority="33" operator="between">
      <formula>$C$14</formula>
      <formula>$C$15</formula>
    </cfRule>
    <cfRule type="expression" dxfId="183" priority="34">
      <formula>IF(AND(HS4&gt;=$C$13,HS4&lt;$C$14,YEAR(TODAY())-$D4&lt;2),1,0)</formula>
    </cfRule>
  </conditionalFormatting>
  <conditionalFormatting sqref="IL4:IM8">
    <cfRule type="cellIs" dxfId="182" priority="30" operator="between">
      <formula>$C$12</formula>
      <formula>100</formula>
    </cfRule>
  </conditionalFormatting>
  <conditionalFormatting sqref="JI4:JJ8">
    <cfRule type="cellIs" dxfId="181" priority="29" operator="between">
      <formula>$C$12</formula>
      <formula>100</formula>
    </cfRule>
  </conditionalFormatting>
  <conditionalFormatting sqref="IP4:IP8">
    <cfRule type="cellIs" dxfId="180" priority="25" operator="between">
      <formula>$C$16</formula>
      <formula>1000</formula>
    </cfRule>
    <cfRule type="cellIs" dxfId="179" priority="26" operator="between">
      <formula>$C$15</formula>
      <formula>$C$16</formula>
    </cfRule>
    <cfRule type="cellIs" dxfId="178" priority="27" operator="between">
      <formula>$C$14</formula>
      <formula>$C$15</formula>
    </cfRule>
    <cfRule type="expression" dxfId="177" priority="28">
      <formula>IF(AND(IP4&gt;=$C$13,IP4&lt;$C$14,YEAR(TODAY())-$D4&lt;2),1,0)</formula>
    </cfRule>
  </conditionalFormatting>
  <conditionalFormatting sqref="JM4:JM8">
    <cfRule type="cellIs" dxfId="176" priority="21" operator="between">
      <formula>$C$16</formula>
      <formula>1000</formula>
    </cfRule>
    <cfRule type="cellIs" dxfId="175" priority="22" operator="between">
      <formula>$C$15</formula>
      <formula>$C$16</formula>
    </cfRule>
    <cfRule type="cellIs" dxfId="174" priority="23" operator="between">
      <formula>$C$14</formula>
      <formula>$C$15</formula>
    </cfRule>
    <cfRule type="expression" dxfId="173" priority="24">
      <formula>IF(AND(JM4&gt;=$C$13,JM4&lt;$C$14,YEAR(TODAY())-$D4&lt;2),1,0)</formula>
    </cfRule>
  </conditionalFormatting>
  <conditionalFormatting sqref="KF4:KG8">
    <cfRule type="cellIs" dxfId="172" priority="20" operator="between">
      <formula>$C$12</formula>
      <formula>100</formula>
    </cfRule>
  </conditionalFormatting>
  <conditionalFormatting sqref="LC4:LD8">
    <cfRule type="cellIs" dxfId="171" priority="19" operator="between">
      <formula>$C$12</formula>
      <formula>100</formula>
    </cfRule>
  </conditionalFormatting>
  <conditionalFormatting sqref="KJ4:KJ8">
    <cfRule type="cellIs" dxfId="170" priority="15" operator="between">
      <formula>$C$16</formula>
      <formula>1000</formula>
    </cfRule>
    <cfRule type="cellIs" dxfId="169" priority="16" operator="between">
      <formula>$C$15</formula>
      <formula>$C$16</formula>
    </cfRule>
    <cfRule type="cellIs" dxfId="168" priority="17" operator="between">
      <formula>$C$14</formula>
      <formula>$C$15</formula>
    </cfRule>
    <cfRule type="expression" dxfId="167" priority="18">
      <formula>IF(AND(KJ4&gt;=$C$13,KJ4&lt;$C$14,YEAR(TODAY())-$D4&lt;2),1,0)</formula>
    </cfRule>
  </conditionalFormatting>
  <conditionalFormatting sqref="LG4:LG8">
    <cfRule type="cellIs" dxfId="166" priority="11" operator="between">
      <formula>$C$16</formula>
      <formula>1000</formula>
    </cfRule>
    <cfRule type="cellIs" dxfId="165" priority="12" operator="between">
      <formula>$C$15</formula>
      <formula>$C$16</formula>
    </cfRule>
    <cfRule type="cellIs" dxfId="164" priority="13" operator="between">
      <formula>$C$14</formula>
      <formula>$C$15</formula>
    </cfRule>
    <cfRule type="expression" dxfId="163" priority="14">
      <formula>IF(AND(LG4&gt;=$C$13,LG4&lt;$C$14,YEAR(TODAY())-$D4&lt;2),1,0)</formula>
    </cfRule>
  </conditionalFormatting>
  <conditionalFormatting sqref="LZ4:MA8">
    <cfRule type="cellIs" dxfId="162" priority="10" operator="between">
      <formula>$C$12</formula>
      <formula>100</formula>
    </cfRule>
  </conditionalFormatting>
  <conditionalFormatting sqref="MW4:MX8">
    <cfRule type="cellIs" dxfId="161" priority="9" operator="between">
      <formula>$C$12</formula>
      <formula>100</formula>
    </cfRule>
  </conditionalFormatting>
  <conditionalFormatting sqref="MD4:MD8">
    <cfRule type="cellIs" dxfId="160" priority="5" operator="between">
      <formula>$C$16</formula>
      <formula>1000</formula>
    </cfRule>
    <cfRule type="cellIs" dxfId="159" priority="6" operator="between">
      <formula>$C$15</formula>
      <formula>$C$16</formula>
    </cfRule>
    <cfRule type="cellIs" dxfId="158" priority="7" operator="between">
      <formula>$C$14</formula>
      <formula>$C$15</formula>
    </cfRule>
    <cfRule type="expression" dxfId="157" priority="8">
      <formula>IF(AND(MD4&gt;=$C$13,MD4&lt;$C$14,YEAR(TODAY())-$D4&lt;2),1,0)</formula>
    </cfRule>
  </conditionalFormatting>
  <conditionalFormatting sqref="NA4:NA8">
    <cfRule type="cellIs" dxfId="156" priority="1" operator="between">
      <formula>$C$16</formula>
      <formula>1000</formula>
    </cfRule>
    <cfRule type="cellIs" dxfId="155" priority="2" operator="between">
      <formula>$C$15</formula>
      <formula>$C$16</formula>
    </cfRule>
    <cfRule type="cellIs" dxfId="154" priority="3" operator="between">
      <formula>$C$14</formula>
      <formula>$C$15</formula>
    </cfRule>
    <cfRule type="expression" dxfId="153" priority="4">
      <formula>IF(AND(NA4&gt;=$C$13,NA4&lt;$C$14,YEAR(TODAY())-$D4&lt;2),1,0)</formula>
    </cfRule>
  </conditionalFormatting>
  <conditionalFormatting sqref="B4:C8">
    <cfRule type="expression" dxfId="152" priority="501">
      <formula>$E4&gt;=$C$20</formula>
    </cfRule>
    <cfRule type="expression" dxfId="151" priority="502">
      <formula>AND($E4&gt;=$C$19,$E4&lt;$C$20)</formula>
    </cfRule>
    <cfRule type="expression" dxfId="150" priority="503">
      <formula>AND($E4&gt;=$C$18,$E4&lt;$C$19)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NC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29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88" width="10.83203125" customWidth="1"/>
    <col min="92" max="107" width="10.83203125" hidden="1" customWidth="1"/>
    <col min="108" max="114" width="10.83203125" customWidth="1"/>
    <col min="115" max="130" width="10.83203125" hidden="1" customWidth="1"/>
    <col min="131" max="137" width="10.83203125" customWidth="1"/>
    <col min="138" max="153" width="10.83203125" hidden="1" customWidth="1"/>
    <col min="154" max="160" width="10.83203125" customWidth="1"/>
    <col min="161" max="176" width="10.83203125" hidden="1" customWidth="1"/>
    <col min="177" max="183" width="10.83203125" customWidth="1"/>
    <col min="184" max="199" width="10.83203125" hidden="1" customWidth="1"/>
    <col min="200" max="206" width="10.83203125" customWidth="1"/>
    <col min="207" max="222" width="10.83203125" hidden="1" customWidth="1"/>
    <col min="223" max="229" width="10.83203125" customWidth="1"/>
    <col min="230" max="245" width="10.83203125" hidden="1" customWidth="1"/>
    <col min="246" max="252" width="10.83203125" customWidth="1"/>
    <col min="253" max="268" width="10.83203125" hidden="1" customWidth="1"/>
    <col min="269" max="275" width="10.83203125" customWidth="1"/>
    <col min="276" max="291" width="10.83203125" hidden="1" customWidth="1"/>
    <col min="292" max="298" width="10.83203125" customWidth="1"/>
    <col min="299" max="314" width="10.83203125" hidden="1" customWidth="1"/>
    <col min="315" max="320" width="10.83203125" customWidth="1"/>
    <col min="321" max="337" width="10.83203125" hidden="1" customWidth="1"/>
    <col min="338" max="344" width="10.83203125" customWidth="1"/>
    <col min="345" max="360" width="10.83203125" hidden="1" customWidth="1"/>
    <col min="361" max="367" width="10.83203125" customWidth="1"/>
  </cols>
  <sheetData>
    <row r="1" spans="1:367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88</v>
      </c>
      <c r="L1" s="97" t="s">
        <v>105</v>
      </c>
      <c r="M1" s="97" t="s">
        <v>89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94" t="s">
        <v>40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5" t="s">
        <v>41</v>
      </c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4" t="s">
        <v>114</v>
      </c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100" t="s">
        <v>29</v>
      </c>
      <c r="CL1" s="100"/>
      <c r="CM1" s="100"/>
      <c r="CN1" s="94" t="s">
        <v>107</v>
      </c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5" t="s">
        <v>110</v>
      </c>
      <c r="DL1" s="95"/>
      <c r="DM1" s="95"/>
      <c r="DN1" s="95"/>
      <c r="DO1" s="95"/>
      <c r="DP1" s="95"/>
      <c r="DQ1" s="95"/>
      <c r="DR1" s="95"/>
      <c r="DS1" s="95"/>
      <c r="DT1" s="95"/>
      <c r="DU1" s="95"/>
      <c r="DV1" s="95"/>
      <c r="DW1" s="95"/>
      <c r="DX1" s="95"/>
      <c r="DY1" s="95"/>
      <c r="DZ1" s="95"/>
      <c r="EA1" s="95"/>
      <c r="EB1" s="95"/>
      <c r="EC1" s="95"/>
      <c r="ED1" s="95"/>
      <c r="EE1" s="95"/>
      <c r="EF1" s="95"/>
      <c r="EG1" s="95"/>
      <c r="EH1" s="94" t="s">
        <v>124</v>
      </c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94"/>
      <c r="FA1" s="94"/>
      <c r="FB1" s="94"/>
      <c r="FC1" s="94"/>
      <c r="FD1" s="94"/>
      <c r="FE1" s="95" t="s">
        <v>138</v>
      </c>
      <c r="FF1" s="95"/>
      <c r="FG1" s="95"/>
      <c r="FH1" s="95"/>
      <c r="FI1" s="95"/>
      <c r="FJ1" s="95"/>
      <c r="FK1" s="95"/>
      <c r="FL1" s="95"/>
      <c r="FM1" s="95"/>
      <c r="FN1" s="95"/>
      <c r="FO1" s="95"/>
      <c r="FP1" s="95"/>
      <c r="FQ1" s="95"/>
      <c r="FR1" s="95"/>
      <c r="FS1" s="95"/>
      <c r="FT1" s="95"/>
      <c r="FU1" s="95"/>
      <c r="FV1" s="95"/>
      <c r="FW1" s="95"/>
      <c r="FX1" s="95"/>
      <c r="FY1" s="95"/>
      <c r="FZ1" s="95"/>
      <c r="GA1" s="95"/>
      <c r="GB1" s="94"/>
      <c r="GC1" s="94"/>
      <c r="GD1" s="94"/>
      <c r="GE1" s="94"/>
      <c r="GF1" s="94"/>
      <c r="GG1" s="94"/>
      <c r="GH1" s="94"/>
      <c r="GI1" s="94"/>
      <c r="GJ1" s="94"/>
      <c r="GK1" s="94"/>
      <c r="GL1" s="94"/>
      <c r="GM1" s="94"/>
      <c r="GN1" s="94"/>
      <c r="GO1" s="94"/>
      <c r="GP1" s="94"/>
      <c r="GQ1" s="94"/>
      <c r="GR1" s="94"/>
      <c r="GS1" s="94"/>
      <c r="GT1" s="94"/>
      <c r="GU1" s="94"/>
      <c r="GV1" s="94"/>
      <c r="GW1" s="94"/>
      <c r="GX1" s="94"/>
      <c r="GY1" s="95"/>
      <c r="GZ1" s="95"/>
      <c r="HA1" s="95"/>
      <c r="HB1" s="95"/>
      <c r="HC1" s="95"/>
      <c r="HD1" s="95"/>
      <c r="HE1" s="95"/>
      <c r="HF1" s="95"/>
      <c r="HG1" s="95"/>
      <c r="HH1" s="95"/>
      <c r="HI1" s="95"/>
      <c r="HJ1" s="95"/>
      <c r="HK1" s="95"/>
      <c r="HL1" s="95"/>
      <c r="HM1" s="95"/>
      <c r="HN1" s="95"/>
      <c r="HO1" s="95"/>
      <c r="HP1" s="95"/>
      <c r="HQ1" s="95"/>
      <c r="HR1" s="95"/>
      <c r="HS1" s="95"/>
      <c r="HT1" s="95"/>
      <c r="HU1" s="95"/>
      <c r="HV1" s="94"/>
      <c r="HW1" s="94"/>
      <c r="HX1" s="94"/>
      <c r="HY1" s="94"/>
      <c r="HZ1" s="94"/>
      <c r="IA1" s="94"/>
      <c r="IB1" s="94"/>
      <c r="IC1" s="94"/>
      <c r="ID1" s="94"/>
      <c r="IE1" s="94"/>
      <c r="IF1" s="94"/>
      <c r="IG1" s="94"/>
      <c r="IH1" s="94"/>
      <c r="II1" s="94"/>
      <c r="IJ1" s="94"/>
      <c r="IK1" s="94"/>
      <c r="IL1" s="94"/>
      <c r="IM1" s="94"/>
      <c r="IN1" s="94"/>
      <c r="IO1" s="94"/>
      <c r="IP1" s="94"/>
      <c r="IQ1" s="94"/>
      <c r="IR1" s="94"/>
      <c r="IS1" s="95"/>
      <c r="IT1" s="95"/>
      <c r="IU1" s="95"/>
      <c r="IV1" s="95"/>
      <c r="IW1" s="95"/>
      <c r="IX1" s="95"/>
      <c r="IY1" s="95"/>
      <c r="IZ1" s="95"/>
      <c r="JA1" s="95"/>
      <c r="JB1" s="95"/>
      <c r="JC1" s="95"/>
      <c r="JD1" s="95"/>
      <c r="JE1" s="95"/>
      <c r="JF1" s="95"/>
      <c r="JG1" s="95"/>
      <c r="JH1" s="95"/>
      <c r="JI1" s="95"/>
      <c r="JJ1" s="95"/>
      <c r="JK1" s="95"/>
      <c r="JL1" s="95"/>
      <c r="JM1" s="95"/>
      <c r="JN1" s="95"/>
      <c r="JO1" s="95"/>
      <c r="JP1" s="94"/>
      <c r="JQ1" s="94"/>
      <c r="JR1" s="94"/>
      <c r="JS1" s="94"/>
      <c r="JT1" s="94"/>
      <c r="JU1" s="94"/>
      <c r="JV1" s="94"/>
      <c r="JW1" s="94"/>
      <c r="JX1" s="94"/>
      <c r="JY1" s="94"/>
      <c r="JZ1" s="94"/>
      <c r="KA1" s="94"/>
      <c r="KB1" s="94"/>
      <c r="KC1" s="94"/>
      <c r="KD1" s="94"/>
      <c r="KE1" s="94"/>
      <c r="KF1" s="94"/>
      <c r="KG1" s="94"/>
      <c r="KH1" s="94"/>
      <c r="KI1" s="94"/>
      <c r="KJ1" s="94"/>
      <c r="KK1" s="94"/>
      <c r="KL1" s="94"/>
      <c r="KM1" s="95"/>
      <c r="KN1" s="95"/>
      <c r="KO1" s="95"/>
      <c r="KP1" s="95"/>
      <c r="KQ1" s="95"/>
      <c r="KR1" s="95"/>
      <c r="KS1" s="95"/>
      <c r="KT1" s="95"/>
      <c r="KU1" s="95"/>
      <c r="KV1" s="95"/>
      <c r="KW1" s="95"/>
      <c r="KX1" s="95"/>
      <c r="KY1" s="95"/>
      <c r="KZ1" s="95"/>
      <c r="LA1" s="95"/>
      <c r="LB1" s="95"/>
      <c r="LC1" s="95"/>
      <c r="LD1" s="95"/>
      <c r="LE1" s="95"/>
      <c r="LF1" s="95"/>
      <c r="LG1" s="95"/>
      <c r="LH1" s="95"/>
      <c r="LI1" s="95"/>
      <c r="LJ1" s="94"/>
      <c r="LK1" s="94"/>
      <c r="LL1" s="94"/>
      <c r="LM1" s="94"/>
      <c r="LN1" s="94"/>
      <c r="LO1" s="94"/>
      <c r="LP1" s="94"/>
      <c r="LQ1" s="94"/>
      <c r="LR1" s="94"/>
      <c r="LS1" s="94"/>
      <c r="LT1" s="94"/>
      <c r="LU1" s="94"/>
      <c r="LV1" s="94"/>
      <c r="LW1" s="94"/>
      <c r="LX1" s="94"/>
      <c r="LY1" s="94"/>
      <c r="LZ1" s="94"/>
      <c r="MA1" s="94"/>
      <c r="MB1" s="94"/>
      <c r="MC1" s="94"/>
      <c r="MD1" s="94"/>
      <c r="ME1" s="94"/>
      <c r="MF1" s="94"/>
      <c r="MG1" s="95"/>
      <c r="MH1" s="95"/>
      <c r="MI1" s="95"/>
      <c r="MJ1" s="95"/>
      <c r="MK1" s="95"/>
      <c r="ML1" s="95"/>
      <c r="MM1" s="95"/>
      <c r="MN1" s="95"/>
      <c r="MO1" s="95"/>
      <c r="MP1" s="95"/>
      <c r="MQ1" s="95"/>
      <c r="MR1" s="95"/>
      <c r="MS1" s="95"/>
      <c r="MT1" s="95"/>
      <c r="MU1" s="95"/>
      <c r="MV1" s="95"/>
      <c r="MW1" s="95"/>
      <c r="MX1" s="95"/>
      <c r="MY1" s="95"/>
      <c r="MZ1" s="95"/>
      <c r="NA1" s="95"/>
      <c r="NB1" s="95"/>
      <c r="NC1" s="95"/>
    </row>
    <row r="2" spans="1:367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63</v>
      </c>
      <c r="U2" s="88"/>
      <c r="V2" s="88"/>
      <c r="W2" s="88"/>
      <c r="X2" s="88" t="s">
        <v>66</v>
      </c>
      <c r="Y2" s="88"/>
      <c r="Z2" s="88"/>
      <c r="AA2" s="88"/>
      <c r="AB2" s="88" t="s">
        <v>67</v>
      </c>
      <c r="AC2" s="88"/>
      <c r="AD2" s="88"/>
      <c r="AE2" s="88"/>
      <c r="AF2" s="104" t="s">
        <v>68</v>
      </c>
      <c r="AG2" s="104"/>
      <c r="AH2" s="104"/>
      <c r="AI2" s="104"/>
      <c r="AJ2" s="30" t="s">
        <v>45</v>
      </c>
      <c r="AK2" s="30" t="s">
        <v>92</v>
      </c>
      <c r="AL2" s="11" t="s">
        <v>63</v>
      </c>
      <c r="AM2" s="11" t="s">
        <v>66</v>
      </c>
      <c r="AN2" s="11" t="s">
        <v>39</v>
      </c>
      <c r="AO2" s="11" t="s">
        <v>38</v>
      </c>
      <c r="AP2" s="11" t="s">
        <v>33</v>
      </c>
      <c r="AQ2" s="87" t="s">
        <v>63</v>
      </c>
      <c r="AR2" s="87"/>
      <c r="AS2" s="87"/>
      <c r="AT2" s="87"/>
      <c r="AU2" s="87" t="s">
        <v>66</v>
      </c>
      <c r="AV2" s="87"/>
      <c r="AW2" s="87"/>
      <c r="AX2" s="87"/>
      <c r="AY2" s="87" t="s">
        <v>67</v>
      </c>
      <c r="AZ2" s="87"/>
      <c r="BA2" s="87"/>
      <c r="BB2" s="87"/>
      <c r="BC2" s="103" t="s">
        <v>68</v>
      </c>
      <c r="BD2" s="103"/>
      <c r="BE2" s="103"/>
      <c r="BF2" s="103"/>
      <c r="BG2" s="29" t="s">
        <v>45</v>
      </c>
      <c r="BH2" s="29" t="s">
        <v>92</v>
      </c>
      <c r="BI2" s="15" t="s">
        <v>63</v>
      </c>
      <c r="BJ2" s="15" t="s">
        <v>66</v>
      </c>
      <c r="BK2" s="15" t="s">
        <v>39</v>
      </c>
      <c r="BL2" s="15" t="s">
        <v>38</v>
      </c>
      <c r="BM2" s="15" t="s">
        <v>33</v>
      </c>
      <c r="BN2" s="88" t="s">
        <v>63</v>
      </c>
      <c r="BO2" s="88"/>
      <c r="BP2" s="88"/>
      <c r="BQ2" s="88"/>
      <c r="BR2" s="88" t="s">
        <v>66</v>
      </c>
      <c r="BS2" s="88"/>
      <c r="BT2" s="88"/>
      <c r="BU2" s="88"/>
      <c r="BV2" s="88" t="s">
        <v>67</v>
      </c>
      <c r="BW2" s="88"/>
      <c r="BX2" s="88"/>
      <c r="BY2" s="88"/>
      <c r="BZ2" s="104" t="s">
        <v>68</v>
      </c>
      <c r="CA2" s="104"/>
      <c r="CB2" s="104"/>
      <c r="CC2" s="104"/>
      <c r="CD2" s="30" t="s">
        <v>45</v>
      </c>
      <c r="CE2" s="30" t="s">
        <v>92</v>
      </c>
      <c r="CF2" s="11" t="s">
        <v>63</v>
      </c>
      <c r="CG2" s="11" t="s">
        <v>66</v>
      </c>
      <c r="CH2" s="11" t="s">
        <v>39</v>
      </c>
      <c r="CI2" s="11" t="s">
        <v>38</v>
      </c>
      <c r="CJ2" s="11" t="s">
        <v>33</v>
      </c>
      <c r="CK2" s="41" t="s">
        <v>63</v>
      </c>
      <c r="CL2" s="41" t="s">
        <v>66</v>
      </c>
      <c r="CM2" s="41" t="s">
        <v>38</v>
      </c>
      <c r="CN2" s="88" t="s">
        <v>63</v>
      </c>
      <c r="CO2" s="88"/>
      <c r="CP2" s="88"/>
      <c r="CQ2" s="88"/>
      <c r="CR2" s="88" t="s">
        <v>66</v>
      </c>
      <c r="CS2" s="88"/>
      <c r="CT2" s="88"/>
      <c r="CU2" s="88"/>
      <c r="CV2" s="88" t="s">
        <v>67</v>
      </c>
      <c r="CW2" s="88"/>
      <c r="CX2" s="88"/>
      <c r="CY2" s="88"/>
      <c r="CZ2" s="105" t="s">
        <v>68</v>
      </c>
      <c r="DA2" s="105"/>
      <c r="DB2" s="105"/>
      <c r="DC2" s="105"/>
      <c r="DD2" s="35" t="s">
        <v>45</v>
      </c>
      <c r="DE2" s="35" t="s">
        <v>92</v>
      </c>
      <c r="DF2" s="11" t="s">
        <v>63</v>
      </c>
      <c r="DG2" s="11" t="s">
        <v>66</v>
      </c>
      <c r="DH2" s="11" t="s">
        <v>39</v>
      </c>
      <c r="DI2" s="11" t="s">
        <v>38</v>
      </c>
      <c r="DJ2" s="11" t="s">
        <v>33</v>
      </c>
      <c r="DK2" s="87" t="s">
        <v>63</v>
      </c>
      <c r="DL2" s="87"/>
      <c r="DM2" s="87"/>
      <c r="DN2" s="87"/>
      <c r="DO2" s="87" t="s">
        <v>66</v>
      </c>
      <c r="DP2" s="87"/>
      <c r="DQ2" s="87"/>
      <c r="DR2" s="87"/>
      <c r="DS2" s="87" t="s">
        <v>67</v>
      </c>
      <c r="DT2" s="87"/>
      <c r="DU2" s="87"/>
      <c r="DV2" s="87"/>
      <c r="DW2" s="103" t="s">
        <v>68</v>
      </c>
      <c r="DX2" s="103"/>
      <c r="DY2" s="103"/>
      <c r="DZ2" s="103"/>
      <c r="EA2" s="34" t="s">
        <v>45</v>
      </c>
      <c r="EB2" s="34" t="s">
        <v>92</v>
      </c>
      <c r="EC2" s="15" t="s">
        <v>63</v>
      </c>
      <c r="ED2" s="15" t="s">
        <v>66</v>
      </c>
      <c r="EE2" s="15" t="s">
        <v>39</v>
      </c>
      <c r="EF2" s="15" t="s">
        <v>38</v>
      </c>
      <c r="EG2" s="15" t="s">
        <v>33</v>
      </c>
      <c r="EH2" s="88" t="s">
        <v>63</v>
      </c>
      <c r="EI2" s="88"/>
      <c r="EJ2" s="88"/>
      <c r="EK2" s="88"/>
      <c r="EL2" s="88" t="s">
        <v>66</v>
      </c>
      <c r="EM2" s="88"/>
      <c r="EN2" s="88"/>
      <c r="EO2" s="88"/>
      <c r="EP2" s="88" t="s">
        <v>67</v>
      </c>
      <c r="EQ2" s="88"/>
      <c r="ER2" s="88"/>
      <c r="ES2" s="88"/>
      <c r="ET2" s="105" t="s">
        <v>68</v>
      </c>
      <c r="EU2" s="105"/>
      <c r="EV2" s="105"/>
      <c r="EW2" s="105"/>
      <c r="EX2" s="38" t="s">
        <v>45</v>
      </c>
      <c r="EY2" s="38" t="s">
        <v>92</v>
      </c>
      <c r="EZ2" s="11" t="s">
        <v>63</v>
      </c>
      <c r="FA2" s="11" t="s">
        <v>66</v>
      </c>
      <c r="FB2" s="11" t="s">
        <v>39</v>
      </c>
      <c r="FC2" s="11" t="s">
        <v>38</v>
      </c>
      <c r="FD2" s="11" t="s">
        <v>33</v>
      </c>
      <c r="FE2" s="87" t="s">
        <v>63</v>
      </c>
      <c r="FF2" s="87"/>
      <c r="FG2" s="87"/>
      <c r="FH2" s="87"/>
      <c r="FI2" s="87" t="s">
        <v>66</v>
      </c>
      <c r="FJ2" s="87"/>
      <c r="FK2" s="87"/>
      <c r="FL2" s="87"/>
      <c r="FM2" s="87" t="s">
        <v>67</v>
      </c>
      <c r="FN2" s="87"/>
      <c r="FO2" s="87"/>
      <c r="FP2" s="87"/>
      <c r="FQ2" s="103" t="s">
        <v>68</v>
      </c>
      <c r="FR2" s="103"/>
      <c r="FS2" s="103"/>
      <c r="FT2" s="103"/>
      <c r="FU2" s="37" t="s">
        <v>45</v>
      </c>
      <c r="FV2" s="37" t="s">
        <v>92</v>
      </c>
      <c r="FW2" s="15" t="s">
        <v>63</v>
      </c>
      <c r="FX2" s="15" t="s">
        <v>66</v>
      </c>
      <c r="FY2" s="15" t="s">
        <v>39</v>
      </c>
      <c r="FZ2" s="15" t="s">
        <v>38</v>
      </c>
      <c r="GA2" s="15" t="s">
        <v>33</v>
      </c>
      <c r="GB2" s="88" t="s">
        <v>63</v>
      </c>
      <c r="GC2" s="88"/>
      <c r="GD2" s="88"/>
      <c r="GE2" s="88"/>
      <c r="GF2" s="88" t="s">
        <v>66</v>
      </c>
      <c r="GG2" s="88"/>
      <c r="GH2" s="88"/>
      <c r="GI2" s="88"/>
      <c r="GJ2" s="88" t="s">
        <v>67</v>
      </c>
      <c r="GK2" s="88"/>
      <c r="GL2" s="88"/>
      <c r="GM2" s="88"/>
      <c r="GN2" s="105" t="s">
        <v>68</v>
      </c>
      <c r="GO2" s="105"/>
      <c r="GP2" s="105"/>
      <c r="GQ2" s="105"/>
      <c r="GR2" s="38" t="s">
        <v>45</v>
      </c>
      <c r="GS2" s="38" t="s">
        <v>92</v>
      </c>
      <c r="GT2" s="11" t="s">
        <v>63</v>
      </c>
      <c r="GU2" s="11" t="s">
        <v>66</v>
      </c>
      <c r="GV2" s="11" t="s">
        <v>39</v>
      </c>
      <c r="GW2" s="11" t="s">
        <v>38</v>
      </c>
      <c r="GX2" s="11" t="s">
        <v>33</v>
      </c>
      <c r="GY2" s="87" t="s">
        <v>63</v>
      </c>
      <c r="GZ2" s="87"/>
      <c r="HA2" s="87"/>
      <c r="HB2" s="87"/>
      <c r="HC2" s="87" t="s">
        <v>66</v>
      </c>
      <c r="HD2" s="87"/>
      <c r="HE2" s="87"/>
      <c r="HF2" s="87"/>
      <c r="HG2" s="87" t="s">
        <v>67</v>
      </c>
      <c r="HH2" s="87"/>
      <c r="HI2" s="87"/>
      <c r="HJ2" s="87"/>
      <c r="HK2" s="103" t="s">
        <v>68</v>
      </c>
      <c r="HL2" s="103"/>
      <c r="HM2" s="103"/>
      <c r="HN2" s="103"/>
      <c r="HO2" s="37" t="s">
        <v>45</v>
      </c>
      <c r="HP2" s="37" t="s">
        <v>92</v>
      </c>
      <c r="HQ2" s="15" t="s">
        <v>63</v>
      </c>
      <c r="HR2" s="15" t="s">
        <v>66</v>
      </c>
      <c r="HS2" s="15" t="s">
        <v>39</v>
      </c>
      <c r="HT2" s="15" t="s">
        <v>38</v>
      </c>
      <c r="HU2" s="15" t="s">
        <v>33</v>
      </c>
      <c r="HV2" s="88" t="s">
        <v>63</v>
      </c>
      <c r="HW2" s="88"/>
      <c r="HX2" s="88"/>
      <c r="HY2" s="88"/>
      <c r="HZ2" s="88" t="s">
        <v>66</v>
      </c>
      <c r="IA2" s="88"/>
      <c r="IB2" s="88"/>
      <c r="IC2" s="88"/>
      <c r="ID2" s="88" t="s">
        <v>67</v>
      </c>
      <c r="IE2" s="88"/>
      <c r="IF2" s="88"/>
      <c r="IG2" s="88"/>
      <c r="IH2" s="105" t="s">
        <v>68</v>
      </c>
      <c r="II2" s="105"/>
      <c r="IJ2" s="105"/>
      <c r="IK2" s="105"/>
      <c r="IL2" s="38" t="s">
        <v>45</v>
      </c>
      <c r="IM2" s="38" t="s">
        <v>92</v>
      </c>
      <c r="IN2" s="11" t="s">
        <v>63</v>
      </c>
      <c r="IO2" s="11" t="s">
        <v>66</v>
      </c>
      <c r="IP2" s="11" t="s">
        <v>39</v>
      </c>
      <c r="IQ2" s="11" t="s">
        <v>38</v>
      </c>
      <c r="IR2" s="11" t="s">
        <v>33</v>
      </c>
      <c r="IS2" s="87" t="s">
        <v>63</v>
      </c>
      <c r="IT2" s="87"/>
      <c r="IU2" s="87"/>
      <c r="IV2" s="87"/>
      <c r="IW2" s="87" t="s">
        <v>66</v>
      </c>
      <c r="IX2" s="87"/>
      <c r="IY2" s="87"/>
      <c r="IZ2" s="87"/>
      <c r="JA2" s="87" t="s">
        <v>67</v>
      </c>
      <c r="JB2" s="87"/>
      <c r="JC2" s="87"/>
      <c r="JD2" s="87"/>
      <c r="JE2" s="103" t="s">
        <v>68</v>
      </c>
      <c r="JF2" s="103"/>
      <c r="JG2" s="103"/>
      <c r="JH2" s="103"/>
      <c r="JI2" s="37" t="s">
        <v>45</v>
      </c>
      <c r="JJ2" s="37" t="s">
        <v>92</v>
      </c>
      <c r="JK2" s="15" t="s">
        <v>63</v>
      </c>
      <c r="JL2" s="15" t="s">
        <v>66</v>
      </c>
      <c r="JM2" s="15" t="s">
        <v>39</v>
      </c>
      <c r="JN2" s="15" t="s">
        <v>38</v>
      </c>
      <c r="JO2" s="15" t="s">
        <v>33</v>
      </c>
      <c r="JP2" s="88" t="s">
        <v>63</v>
      </c>
      <c r="JQ2" s="88"/>
      <c r="JR2" s="88"/>
      <c r="JS2" s="88"/>
      <c r="JT2" s="88" t="s">
        <v>66</v>
      </c>
      <c r="JU2" s="88"/>
      <c r="JV2" s="88"/>
      <c r="JW2" s="88"/>
      <c r="JX2" s="88" t="s">
        <v>67</v>
      </c>
      <c r="JY2" s="88"/>
      <c r="JZ2" s="88"/>
      <c r="KA2" s="88"/>
      <c r="KB2" s="105" t="s">
        <v>68</v>
      </c>
      <c r="KC2" s="105"/>
      <c r="KD2" s="105"/>
      <c r="KE2" s="105"/>
      <c r="KF2" s="38" t="s">
        <v>45</v>
      </c>
      <c r="KG2" s="38" t="s">
        <v>92</v>
      </c>
      <c r="KH2" s="11" t="s">
        <v>63</v>
      </c>
      <c r="KI2" s="11" t="s">
        <v>66</v>
      </c>
      <c r="KJ2" s="11" t="s">
        <v>39</v>
      </c>
      <c r="KK2" s="11" t="s">
        <v>38</v>
      </c>
      <c r="KL2" s="11" t="s">
        <v>33</v>
      </c>
      <c r="KM2" s="87" t="s">
        <v>63</v>
      </c>
      <c r="KN2" s="87"/>
      <c r="KO2" s="87"/>
      <c r="KP2" s="87"/>
      <c r="KQ2" s="87" t="s">
        <v>66</v>
      </c>
      <c r="KR2" s="87"/>
      <c r="KS2" s="87"/>
      <c r="KT2" s="87"/>
      <c r="KU2" s="87" t="s">
        <v>67</v>
      </c>
      <c r="KV2" s="87"/>
      <c r="KW2" s="87"/>
      <c r="KX2" s="87"/>
      <c r="KY2" s="103" t="s">
        <v>68</v>
      </c>
      <c r="KZ2" s="103"/>
      <c r="LA2" s="103"/>
      <c r="LB2" s="103"/>
      <c r="LC2" s="37" t="s">
        <v>45</v>
      </c>
      <c r="LD2" s="37" t="s">
        <v>92</v>
      </c>
      <c r="LE2" s="15" t="s">
        <v>63</v>
      </c>
      <c r="LF2" s="15" t="s">
        <v>66</v>
      </c>
      <c r="LG2" s="15" t="s">
        <v>39</v>
      </c>
      <c r="LH2" s="15" t="s">
        <v>38</v>
      </c>
      <c r="LI2" s="15" t="s">
        <v>33</v>
      </c>
      <c r="LJ2" s="88" t="s">
        <v>63</v>
      </c>
      <c r="LK2" s="88"/>
      <c r="LL2" s="88"/>
      <c r="LM2" s="88"/>
      <c r="LN2" s="88" t="s">
        <v>66</v>
      </c>
      <c r="LO2" s="88"/>
      <c r="LP2" s="88"/>
      <c r="LQ2" s="88"/>
      <c r="LR2" s="88" t="s">
        <v>67</v>
      </c>
      <c r="LS2" s="88"/>
      <c r="LT2" s="88"/>
      <c r="LU2" s="88"/>
      <c r="LV2" s="105" t="s">
        <v>68</v>
      </c>
      <c r="LW2" s="105"/>
      <c r="LX2" s="105"/>
      <c r="LY2" s="105"/>
      <c r="LZ2" s="38" t="s">
        <v>45</v>
      </c>
      <c r="MA2" s="38" t="s">
        <v>92</v>
      </c>
      <c r="MB2" s="11" t="s">
        <v>63</v>
      </c>
      <c r="MC2" s="11" t="s">
        <v>66</v>
      </c>
      <c r="MD2" s="11" t="s">
        <v>39</v>
      </c>
      <c r="ME2" s="11" t="s">
        <v>38</v>
      </c>
      <c r="MF2" s="11" t="s">
        <v>33</v>
      </c>
      <c r="MG2" s="87" t="s">
        <v>63</v>
      </c>
      <c r="MH2" s="87"/>
      <c r="MI2" s="87"/>
      <c r="MJ2" s="87"/>
      <c r="MK2" s="87" t="s">
        <v>66</v>
      </c>
      <c r="ML2" s="87"/>
      <c r="MM2" s="87"/>
      <c r="MN2" s="87"/>
      <c r="MO2" s="87" t="s">
        <v>67</v>
      </c>
      <c r="MP2" s="87"/>
      <c r="MQ2" s="87"/>
      <c r="MR2" s="87"/>
      <c r="MS2" s="103" t="s">
        <v>68</v>
      </c>
      <c r="MT2" s="103"/>
      <c r="MU2" s="103"/>
      <c r="MV2" s="103"/>
      <c r="MW2" s="37" t="s">
        <v>45</v>
      </c>
      <c r="MX2" s="37" t="s">
        <v>92</v>
      </c>
      <c r="MY2" s="15" t="s">
        <v>63</v>
      </c>
      <c r="MZ2" s="15" t="s">
        <v>66</v>
      </c>
      <c r="NA2" s="15" t="s">
        <v>39</v>
      </c>
      <c r="NB2" s="15" t="s">
        <v>38</v>
      </c>
      <c r="NC2" s="15" t="s">
        <v>33</v>
      </c>
    </row>
    <row r="3" spans="1:367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48" t="s">
        <v>30</v>
      </c>
      <c r="U3" s="48" t="s">
        <v>22</v>
      </c>
      <c r="V3" s="48" t="s">
        <v>64</v>
      </c>
      <c r="W3" s="48" t="s">
        <v>65</v>
      </c>
      <c r="X3" s="48" t="s">
        <v>30</v>
      </c>
      <c r="Y3" s="48" t="s">
        <v>22</v>
      </c>
      <c r="Z3" s="48" t="s">
        <v>64</v>
      </c>
      <c r="AA3" s="48" t="s">
        <v>65</v>
      </c>
      <c r="AB3" s="48" t="s">
        <v>30</v>
      </c>
      <c r="AC3" s="48" t="s">
        <v>22</v>
      </c>
      <c r="AD3" s="48" t="s">
        <v>64</v>
      </c>
      <c r="AE3" s="48" t="s">
        <v>65</v>
      </c>
      <c r="AF3" s="51" t="s">
        <v>30</v>
      </c>
      <c r="AG3" s="51" t="s">
        <v>22</v>
      </c>
      <c r="AH3" s="51" t="s">
        <v>64</v>
      </c>
      <c r="AI3" s="51" t="s">
        <v>65</v>
      </c>
      <c r="AJ3" s="12"/>
      <c r="AK3" s="12"/>
      <c r="AL3" s="11"/>
      <c r="AM3" s="11"/>
      <c r="AN3" s="11"/>
      <c r="AO3" s="12"/>
      <c r="AP3" s="12"/>
      <c r="AQ3" s="47" t="s">
        <v>30</v>
      </c>
      <c r="AR3" s="47" t="s">
        <v>22</v>
      </c>
      <c r="AS3" s="47" t="s">
        <v>64</v>
      </c>
      <c r="AT3" s="47" t="s">
        <v>65</v>
      </c>
      <c r="AU3" s="47" t="s">
        <v>30</v>
      </c>
      <c r="AV3" s="47" t="s">
        <v>22</v>
      </c>
      <c r="AW3" s="47" t="s">
        <v>64</v>
      </c>
      <c r="AX3" s="47" t="s">
        <v>65</v>
      </c>
      <c r="AY3" s="47" t="s">
        <v>30</v>
      </c>
      <c r="AZ3" s="47" t="s">
        <v>22</v>
      </c>
      <c r="BA3" s="47" t="s">
        <v>64</v>
      </c>
      <c r="BB3" s="47" t="s">
        <v>65</v>
      </c>
      <c r="BC3" s="50" t="s">
        <v>30</v>
      </c>
      <c r="BD3" s="50" t="s">
        <v>22</v>
      </c>
      <c r="BE3" s="50" t="s">
        <v>64</v>
      </c>
      <c r="BF3" s="50" t="s">
        <v>65</v>
      </c>
      <c r="BG3" s="16"/>
      <c r="BH3" s="16"/>
      <c r="BI3" s="15"/>
      <c r="BJ3" s="15"/>
      <c r="BK3" s="15"/>
      <c r="BL3" s="16"/>
      <c r="BM3" s="16"/>
      <c r="BN3" s="48" t="s">
        <v>30</v>
      </c>
      <c r="BO3" s="48" t="s">
        <v>22</v>
      </c>
      <c r="BP3" s="48" t="s">
        <v>64</v>
      </c>
      <c r="BQ3" s="48" t="s">
        <v>65</v>
      </c>
      <c r="BR3" s="48" t="s">
        <v>30</v>
      </c>
      <c r="BS3" s="48" t="s">
        <v>22</v>
      </c>
      <c r="BT3" s="48" t="s">
        <v>64</v>
      </c>
      <c r="BU3" s="48" t="s">
        <v>65</v>
      </c>
      <c r="BV3" s="48" t="s">
        <v>30</v>
      </c>
      <c r="BW3" s="48" t="s">
        <v>22</v>
      </c>
      <c r="BX3" s="48" t="s">
        <v>64</v>
      </c>
      <c r="BY3" s="48" t="s">
        <v>65</v>
      </c>
      <c r="BZ3" s="51" t="s">
        <v>30</v>
      </c>
      <c r="CA3" s="51" t="s">
        <v>22</v>
      </c>
      <c r="CB3" s="51" t="s">
        <v>64</v>
      </c>
      <c r="CC3" s="51" t="s">
        <v>65</v>
      </c>
      <c r="CD3" s="12"/>
      <c r="CE3" s="12"/>
      <c r="CF3" s="11"/>
      <c r="CG3" s="11"/>
      <c r="CH3" s="11"/>
      <c r="CI3" s="12"/>
      <c r="CJ3" s="12"/>
      <c r="CK3" s="42"/>
      <c r="CL3" s="42"/>
      <c r="CM3" s="42"/>
      <c r="CN3" s="48" t="s">
        <v>30</v>
      </c>
      <c r="CO3" s="48" t="s">
        <v>22</v>
      </c>
      <c r="CP3" s="48" t="s">
        <v>64</v>
      </c>
      <c r="CQ3" s="48" t="s">
        <v>65</v>
      </c>
      <c r="CR3" s="48" t="s">
        <v>30</v>
      </c>
      <c r="CS3" s="48" t="s">
        <v>22</v>
      </c>
      <c r="CT3" s="48" t="s">
        <v>64</v>
      </c>
      <c r="CU3" s="48" t="s">
        <v>65</v>
      </c>
      <c r="CV3" s="48" t="s">
        <v>30</v>
      </c>
      <c r="CW3" s="48" t="s">
        <v>22</v>
      </c>
      <c r="CX3" s="48" t="s">
        <v>64</v>
      </c>
      <c r="CY3" s="48" t="s">
        <v>65</v>
      </c>
      <c r="CZ3" s="49" t="s">
        <v>30</v>
      </c>
      <c r="DA3" s="49" t="s">
        <v>22</v>
      </c>
      <c r="DB3" s="49" t="s">
        <v>64</v>
      </c>
      <c r="DC3" s="49" t="s">
        <v>65</v>
      </c>
      <c r="DD3" s="12"/>
      <c r="DE3" s="12"/>
      <c r="DF3" s="11"/>
      <c r="DG3" s="11"/>
      <c r="DH3" s="11"/>
      <c r="DI3" s="12"/>
      <c r="DJ3" s="12"/>
      <c r="DK3" s="47" t="s">
        <v>30</v>
      </c>
      <c r="DL3" s="47" t="s">
        <v>22</v>
      </c>
      <c r="DM3" s="47" t="s">
        <v>64</v>
      </c>
      <c r="DN3" s="47" t="s">
        <v>65</v>
      </c>
      <c r="DO3" s="47" t="s">
        <v>30</v>
      </c>
      <c r="DP3" s="47" t="s">
        <v>22</v>
      </c>
      <c r="DQ3" s="47" t="s">
        <v>64</v>
      </c>
      <c r="DR3" s="47" t="s">
        <v>65</v>
      </c>
      <c r="DS3" s="47" t="s">
        <v>30</v>
      </c>
      <c r="DT3" s="47" t="s">
        <v>22</v>
      </c>
      <c r="DU3" s="47" t="s">
        <v>64</v>
      </c>
      <c r="DV3" s="47" t="s">
        <v>65</v>
      </c>
      <c r="DW3" s="50" t="s">
        <v>30</v>
      </c>
      <c r="DX3" s="50" t="s">
        <v>22</v>
      </c>
      <c r="DY3" s="50" t="s">
        <v>64</v>
      </c>
      <c r="DZ3" s="50" t="s">
        <v>65</v>
      </c>
      <c r="EA3" s="16"/>
      <c r="EB3" s="16"/>
      <c r="EC3" s="15"/>
      <c r="ED3" s="15"/>
      <c r="EE3" s="15"/>
      <c r="EF3" s="16"/>
      <c r="EG3" s="16"/>
      <c r="EH3" s="48" t="s">
        <v>30</v>
      </c>
      <c r="EI3" s="48" t="s">
        <v>22</v>
      </c>
      <c r="EJ3" s="48" t="s">
        <v>64</v>
      </c>
      <c r="EK3" s="48" t="s">
        <v>65</v>
      </c>
      <c r="EL3" s="48" t="s">
        <v>30</v>
      </c>
      <c r="EM3" s="48" t="s">
        <v>22</v>
      </c>
      <c r="EN3" s="48" t="s">
        <v>64</v>
      </c>
      <c r="EO3" s="48" t="s">
        <v>65</v>
      </c>
      <c r="EP3" s="48" t="s">
        <v>30</v>
      </c>
      <c r="EQ3" s="48" t="s">
        <v>22</v>
      </c>
      <c r="ER3" s="48" t="s">
        <v>64</v>
      </c>
      <c r="ES3" s="48" t="s">
        <v>65</v>
      </c>
      <c r="ET3" s="49" t="s">
        <v>30</v>
      </c>
      <c r="EU3" s="49" t="s">
        <v>22</v>
      </c>
      <c r="EV3" s="49" t="s">
        <v>64</v>
      </c>
      <c r="EW3" s="49" t="s">
        <v>65</v>
      </c>
      <c r="EX3" s="12"/>
      <c r="EY3" s="12"/>
      <c r="EZ3" s="11"/>
      <c r="FA3" s="11"/>
      <c r="FB3" s="11"/>
      <c r="FC3" s="12"/>
      <c r="FD3" s="12"/>
      <c r="FE3" s="47" t="s">
        <v>30</v>
      </c>
      <c r="FF3" s="47" t="s">
        <v>22</v>
      </c>
      <c r="FG3" s="47" t="s">
        <v>64</v>
      </c>
      <c r="FH3" s="47" t="s">
        <v>65</v>
      </c>
      <c r="FI3" s="47" t="s">
        <v>30</v>
      </c>
      <c r="FJ3" s="47" t="s">
        <v>22</v>
      </c>
      <c r="FK3" s="47" t="s">
        <v>64</v>
      </c>
      <c r="FL3" s="47" t="s">
        <v>65</v>
      </c>
      <c r="FM3" s="47" t="s">
        <v>30</v>
      </c>
      <c r="FN3" s="47" t="s">
        <v>22</v>
      </c>
      <c r="FO3" s="47" t="s">
        <v>64</v>
      </c>
      <c r="FP3" s="47" t="s">
        <v>65</v>
      </c>
      <c r="FQ3" s="50" t="s">
        <v>30</v>
      </c>
      <c r="FR3" s="50" t="s">
        <v>22</v>
      </c>
      <c r="FS3" s="50" t="s">
        <v>64</v>
      </c>
      <c r="FT3" s="50" t="s">
        <v>65</v>
      </c>
      <c r="FU3" s="16"/>
      <c r="FV3" s="16"/>
      <c r="FW3" s="15"/>
      <c r="FX3" s="15"/>
      <c r="FY3" s="15"/>
      <c r="FZ3" s="16"/>
      <c r="GA3" s="16"/>
      <c r="GB3" s="48" t="s">
        <v>30</v>
      </c>
      <c r="GC3" s="48" t="s">
        <v>22</v>
      </c>
      <c r="GD3" s="48" t="s">
        <v>64</v>
      </c>
      <c r="GE3" s="48" t="s">
        <v>65</v>
      </c>
      <c r="GF3" s="48" t="s">
        <v>30</v>
      </c>
      <c r="GG3" s="48" t="s">
        <v>22</v>
      </c>
      <c r="GH3" s="48" t="s">
        <v>64</v>
      </c>
      <c r="GI3" s="48" t="s">
        <v>65</v>
      </c>
      <c r="GJ3" s="48" t="s">
        <v>30</v>
      </c>
      <c r="GK3" s="48" t="s">
        <v>22</v>
      </c>
      <c r="GL3" s="48" t="s">
        <v>64</v>
      </c>
      <c r="GM3" s="48" t="s">
        <v>65</v>
      </c>
      <c r="GN3" s="49" t="s">
        <v>30</v>
      </c>
      <c r="GO3" s="49" t="s">
        <v>22</v>
      </c>
      <c r="GP3" s="49" t="s">
        <v>64</v>
      </c>
      <c r="GQ3" s="49" t="s">
        <v>65</v>
      </c>
      <c r="GR3" s="12"/>
      <c r="GS3" s="12"/>
      <c r="GT3" s="11"/>
      <c r="GU3" s="11"/>
      <c r="GV3" s="11"/>
      <c r="GW3" s="12"/>
      <c r="GX3" s="12"/>
      <c r="GY3" s="47" t="s">
        <v>30</v>
      </c>
      <c r="GZ3" s="47" t="s">
        <v>22</v>
      </c>
      <c r="HA3" s="47" t="s">
        <v>64</v>
      </c>
      <c r="HB3" s="47" t="s">
        <v>65</v>
      </c>
      <c r="HC3" s="47" t="s">
        <v>30</v>
      </c>
      <c r="HD3" s="47" t="s">
        <v>22</v>
      </c>
      <c r="HE3" s="47" t="s">
        <v>64</v>
      </c>
      <c r="HF3" s="47" t="s">
        <v>65</v>
      </c>
      <c r="HG3" s="47" t="s">
        <v>30</v>
      </c>
      <c r="HH3" s="47" t="s">
        <v>22</v>
      </c>
      <c r="HI3" s="47" t="s">
        <v>64</v>
      </c>
      <c r="HJ3" s="47" t="s">
        <v>65</v>
      </c>
      <c r="HK3" s="50" t="s">
        <v>30</v>
      </c>
      <c r="HL3" s="50" t="s">
        <v>22</v>
      </c>
      <c r="HM3" s="50" t="s">
        <v>64</v>
      </c>
      <c r="HN3" s="50" t="s">
        <v>65</v>
      </c>
      <c r="HO3" s="16"/>
      <c r="HP3" s="16"/>
      <c r="HQ3" s="15"/>
      <c r="HR3" s="15"/>
      <c r="HS3" s="15"/>
      <c r="HT3" s="16"/>
      <c r="HU3" s="16"/>
      <c r="HV3" s="48" t="s">
        <v>30</v>
      </c>
      <c r="HW3" s="48" t="s">
        <v>22</v>
      </c>
      <c r="HX3" s="48" t="s">
        <v>64</v>
      </c>
      <c r="HY3" s="48" t="s">
        <v>65</v>
      </c>
      <c r="HZ3" s="48" t="s">
        <v>30</v>
      </c>
      <c r="IA3" s="48" t="s">
        <v>22</v>
      </c>
      <c r="IB3" s="48" t="s">
        <v>64</v>
      </c>
      <c r="IC3" s="48" t="s">
        <v>65</v>
      </c>
      <c r="ID3" s="48" t="s">
        <v>30</v>
      </c>
      <c r="IE3" s="48" t="s">
        <v>22</v>
      </c>
      <c r="IF3" s="48" t="s">
        <v>64</v>
      </c>
      <c r="IG3" s="48" t="s">
        <v>65</v>
      </c>
      <c r="IH3" s="49" t="s">
        <v>30</v>
      </c>
      <c r="II3" s="49" t="s">
        <v>22</v>
      </c>
      <c r="IJ3" s="49" t="s">
        <v>64</v>
      </c>
      <c r="IK3" s="49" t="s">
        <v>65</v>
      </c>
      <c r="IL3" s="12"/>
      <c r="IM3" s="12"/>
      <c r="IN3" s="11"/>
      <c r="IO3" s="11"/>
      <c r="IP3" s="11"/>
      <c r="IQ3" s="12"/>
      <c r="IR3" s="12"/>
      <c r="IS3" s="47" t="s">
        <v>30</v>
      </c>
      <c r="IT3" s="47" t="s">
        <v>22</v>
      </c>
      <c r="IU3" s="47" t="s">
        <v>64</v>
      </c>
      <c r="IV3" s="47" t="s">
        <v>65</v>
      </c>
      <c r="IW3" s="47" t="s">
        <v>30</v>
      </c>
      <c r="IX3" s="47" t="s">
        <v>22</v>
      </c>
      <c r="IY3" s="47" t="s">
        <v>64</v>
      </c>
      <c r="IZ3" s="47" t="s">
        <v>65</v>
      </c>
      <c r="JA3" s="47" t="s">
        <v>30</v>
      </c>
      <c r="JB3" s="47" t="s">
        <v>22</v>
      </c>
      <c r="JC3" s="47" t="s">
        <v>64</v>
      </c>
      <c r="JD3" s="47" t="s">
        <v>65</v>
      </c>
      <c r="JE3" s="50" t="s">
        <v>30</v>
      </c>
      <c r="JF3" s="50" t="s">
        <v>22</v>
      </c>
      <c r="JG3" s="50" t="s">
        <v>64</v>
      </c>
      <c r="JH3" s="50" t="s">
        <v>65</v>
      </c>
      <c r="JI3" s="16"/>
      <c r="JJ3" s="16"/>
      <c r="JK3" s="15"/>
      <c r="JL3" s="15"/>
      <c r="JM3" s="15"/>
      <c r="JN3" s="16"/>
      <c r="JO3" s="16"/>
      <c r="JP3" s="48" t="s">
        <v>30</v>
      </c>
      <c r="JQ3" s="48" t="s">
        <v>22</v>
      </c>
      <c r="JR3" s="48" t="s">
        <v>64</v>
      </c>
      <c r="JS3" s="48" t="s">
        <v>65</v>
      </c>
      <c r="JT3" s="48" t="s">
        <v>30</v>
      </c>
      <c r="JU3" s="48" t="s">
        <v>22</v>
      </c>
      <c r="JV3" s="48" t="s">
        <v>64</v>
      </c>
      <c r="JW3" s="48" t="s">
        <v>65</v>
      </c>
      <c r="JX3" s="48" t="s">
        <v>30</v>
      </c>
      <c r="JY3" s="48" t="s">
        <v>22</v>
      </c>
      <c r="JZ3" s="48" t="s">
        <v>64</v>
      </c>
      <c r="KA3" s="48" t="s">
        <v>65</v>
      </c>
      <c r="KB3" s="49" t="s">
        <v>30</v>
      </c>
      <c r="KC3" s="49" t="s">
        <v>22</v>
      </c>
      <c r="KD3" s="49" t="s">
        <v>64</v>
      </c>
      <c r="KE3" s="49" t="s">
        <v>65</v>
      </c>
      <c r="KF3" s="12"/>
      <c r="KG3" s="12"/>
      <c r="KH3" s="11"/>
      <c r="KI3" s="11"/>
      <c r="KJ3" s="11"/>
      <c r="KK3" s="12"/>
      <c r="KL3" s="12"/>
      <c r="KM3" s="47" t="s">
        <v>30</v>
      </c>
      <c r="KN3" s="47" t="s">
        <v>22</v>
      </c>
      <c r="KO3" s="47" t="s">
        <v>64</v>
      </c>
      <c r="KP3" s="47" t="s">
        <v>65</v>
      </c>
      <c r="KQ3" s="47" t="s">
        <v>30</v>
      </c>
      <c r="KR3" s="47" t="s">
        <v>22</v>
      </c>
      <c r="KS3" s="47" t="s">
        <v>64</v>
      </c>
      <c r="KT3" s="47" t="s">
        <v>65</v>
      </c>
      <c r="KU3" s="47" t="s">
        <v>30</v>
      </c>
      <c r="KV3" s="47" t="s">
        <v>22</v>
      </c>
      <c r="KW3" s="47" t="s">
        <v>64</v>
      </c>
      <c r="KX3" s="47" t="s">
        <v>65</v>
      </c>
      <c r="KY3" s="50" t="s">
        <v>30</v>
      </c>
      <c r="KZ3" s="50" t="s">
        <v>22</v>
      </c>
      <c r="LA3" s="50" t="s">
        <v>64</v>
      </c>
      <c r="LB3" s="50" t="s">
        <v>65</v>
      </c>
      <c r="LC3" s="16"/>
      <c r="LD3" s="16"/>
      <c r="LE3" s="15"/>
      <c r="LF3" s="15"/>
      <c r="LG3" s="15"/>
      <c r="LH3" s="16"/>
      <c r="LI3" s="16"/>
      <c r="LJ3" s="48" t="s">
        <v>30</v>
      </c>
      <c r="LK3" s="48" t="s">
        <v>22</v>
      </c>
      <c r="LL3" s="48" t="s">
        <v>64</v>
      </c>
      <c r="LM3" s="48" t="s">
        <v>65</v>
      </c>
      <c r="LN3" s="48" t="s">
        <v>30</v>
      </c>
      <c r="LO3" s="48" t="s">
        <v>22</v>
      </c>
      <c r="LP3" s="48" t="s">
        <v>64</v>
      </c>
      <c r="LQ3" s="48" t="s">
        <v>65</v>
      </c>
      <c r="LR3" s="48" t="s">
        <v>30</v>
      </c>
      <c r="LS3" s="48" t="s">
        <v>22</v>
      </c>
      <c r="LT3" s="48" t="s">
        <v>64</v>
      </c>
      <c r="LU3" s="48" t="s">
        <v>65</v>
      </c>
      <c r="LV3" s="49" t="s">
        <v>30</v>
      </c>
      <c r="LW3" s="49" t="s">
        <v>22</v>
      </c>
      <c r="LX3" s="49" t="s">
        <v>64</v>
      </c>
      <c r="LY3" s="49" t="s">
        <v>65</v>
      </c>
      <c r="LZ3" s="12"/>
      <c r="MA3" s="12"/>
      <c r="MB3" s="11"/>
      <c r="MC3" s="11"/>
      <c r="MD3" s="11"/>
      <c r="ME3" s="12"/>
      <c r="MF3" s="12"/>
      <c r="MG3" s="47" t="s">
        <v>30</v>
      </c>
      <c r="MH3" s="47" t="s">
        <v>22</v>
      </c>
      <c r="MI3" s="47" t="s">
        <v>64</v>
      </c>
      <c r="MJ3" s="47" t="s">
        <v>65</v>
      </c>
      <c r="MK3" s="47" t="s">
        <v>30</v>
      </c>
      <c r="ML3" s="47" t="s">
        <v>22</v>
      </c>
      <c r="MM3" s="47" t="s">
        <v>64</v>
      </c>
      <c r="MN3" s="47" t="s">
        <v>65</v>
      </c>
      <c r="MO3" s="47" t="s">
        <v>30</v>
      </c>
      <c r="MP3" s="47" t="s">
        <v>22</v>
      </c>
      <c r="MQ3" s="47" t="s">
        <v>64</v>
      </c>
      <c r="MR3" s="47" t="s">
        <v>65</v>
      </c>
      <c r="MS3" s="50" t="s">
        <v>30</v>
      </c>
      <c r="MT3" s="50" t="s">
        <v>22</v>
      </c>
      <c r="MU3" s="50" t="s">
        <v>64</v>
      </c>
      <c r="MV3" s="50" t="s">
        <v>65</v>
      </c>
      <c r="MW3" s="16"/>
      <c r="MX3" s="16"/>
      <c r="MY3" s="15"/>
      <c r="MZ3" s="15"/>
      <c r="NA3" s="15"/>
      <c r="NB3" s="16"/>
      <c r="NC3" s="16"/>
    </row>
    <row r="4" spans="1:367" x14ac:dyDescent="0.2">
      <c r="A4" s="6">
        <f ca="1">IF(AND(F4="P",G4="P"),SUMPRODUCT((F$4:F$7="P")*(G$4:G$7="P")*(E$4:E$7&gt;E4))+1,IF(G4="P",SUMPRODUCT((F$4:F$7="")*(G$4:G$7="P")*(E$4:E$7&gt;E4))+1+SUMPRODUCT((F$4:F$7="P")*(G$4:G$7="P")),""))</f>
        <v>1</v>
      </c>
      <c r="B4" s="9" t="s">
        <v>94</v>
      </c>
      <c r="C4" s="5" t="s">
        <v>4</v>
      </c>
      <c r="D4" s="46"/>
      <c r="E4" s="18">
        <f>SUM(I4:Q4)</f>
        <v>201.89999999999998</v>
      </c>
      <c r="F4" s="4" t="str">
        <f>IF(OR(AND(AJ4&gt;=C$11,NOT(AJ4="")),AND(AK4&gt;=C$11,NOT(AK4="")),AND(BG4&gt;=C$11,NOT(BG4="")),AND(BH4&gt;=C$11,NOT(BH4="")),AND(CD4&gt;=C$11,NOT(CD4="")),AND(CE4&gt;=C$11,NOT(CE4=""))),"P","")</f>
        <v>P</v>
      </c>
      <c r="G4" s="4" t="str">
        <f ca="1">IF(OR(I4&gt;=C$13,AND(I4&gt;$C$12,YEAR(TODAY())-$D4&lt;2)),"P","")</f>
        <v>P</v>
      </c>
      <c r="H4" t="str">
        <f ca="1">IF(F4="P",IF(I4&gt;=C$15,"Merit",IF(I4&gt;=C$14,"Funding",IF(I4&gt;=C$13,"Team",IF(AND(I4&gt;C$12,YEAR(TODAY())-$D4&lt;2),"First 2 Years","")))),IF(AND(I4&gt;C$12,YEAR(TODAY())-$D4&lt;2),"First 2 Years",""))</f>
        <v>Funding</v>
      </c>
      <c r="I4" s="17">
        <f>MAX(AN4,BK4,CH4)</f>
        <v>67.699999999999989</v>
      </c>
      <c r="J4" s="17" t="str">
        <f>IF(I4=CH4,$BN$1,IF(I4=BK4,$AQ$1,IF(I4=AN4,$T$1,"")))</f>
        <v>2017 Nationals</v>
      </c>
      <c r="K4" s="17">
        <f>IF($I4=$AN4,MAX(BI4,CF4),IF($I4=$BK4,MAX(AL4,CF4),MAX(AL4,BI4)))</f>
        <v>33.200000000000003</v>
      </c>
      <c r="L4" s="17" t="str">
        <f>IF(K4=CF4,$BN$1,IF(K4=BI4,$AQ$1,IF(K4=AL4,$T$1,"")))</f>
        <v>2017 Canada Cup</v>
      </c>
      <c r="M4" s="17">
        <f>IF($I4=$AN4,MAX(BJ4,CG4),IF($I4=$BK4,MAX(AM4,CG4),MAX(AM4,BJ4)))</f>
        <v>33.9</v>
      </c>
      <c r="N4" s="17" t="str">
        <f>IF(M4=CG4,$BN$1,IF(M4=BJ4,$AQ$1,IF(M4=AM4,$T$1,"")))</f>
        <v>2017 Canada Cup</v>
      </c>
      <c r="O4" s="17">
        <f>MAX(AO4,BL4,CI4)</f>
        <v>67.099999999999994</v>
      </c>
      <c r="P4" s="17" t="str">
        <f>IF(O4=CI4,$BN$1,IF(O4=BL4,$AQ$1,IF(O4=AO4,$T$1,"")))</f>
        <v>2017 Canada Cup</v>
      </c>
      <c r="Q4" s="17" t="str">
        <f>IF(MAX(CK4:CM4)&gt;0,MAX(CK4:CM4),"")</f>
        <v/>
      </c>
      <c r="R4" s="44" t="str">
        <f>IF(Q4="","",IF(Q4=CK4,"(Pass 1)",IF(Q4=CL4,"(Pass 2)",IF(Q4=CM4,"(Final)"))))</f>
        <v/>
      </c>
      <c r="S4" s="17" t="str">
        <f>IF(Q4="","",IF(Q4=CK4,IF(Q4+K4=MY4,$MG$1,IF(Q4+K4=MB4,$LJ$1,IF(Q4+K4=LE4,$KM$1,IF(Q4+K4=KH4,$JP$1,IF(Q4+K4=JK4,$IS$1,IF(Q4+K4=IN4,$HV$1,IF(Q4+K4=HQ4,$GY$1,IF(Q4+K4=GT4,$GB$1,IF(Q4+K4=FW4,$FE$1,IF(Q4+K4=EZ4,$EH$1,IF(Q4+K4=EC4,$DK$1,IF(Q4+K4=DF4,$CN$1)))))))))))),IF(Q4=CL4,IF(Q4+M4=MZ4,$MG$1,IF(Q4+M4=MC4,$LJ$1,IF(Q4+M4=LF4,$KM$1,IF(Q4+M4=KI4,$JP$1,IF(Q4+M4=JL4,$IS$1,IF(Q4+M4=IO4,$HV$1,IF(Q4+M4=HR4,$GY$1,IF(Q4+M4=GU4,$GB$1,IF(Q4+M4=FX4,$FE$1,IF(Q4+M4=FA4,$EH$1,IF(Q4+M4=ED4,$DK$1,IF(Q4+M4=DG4,$CN$1)))))))))))),IF(Q4=CM4,IF(Q4+O4=NB4,$MG$1,IF(Q4+O4=ME4,$LJ$1,IF(Q4+O4=LH4,$KM$1,IF(Q4+O4=KK4,$JP$1,IF(Q4+O4=JN4,$IS$1,IF(Q4+O4=IQ4,$HV$1,IF(Q4+O4=HT4,$GY$1,IF(Q4+O4=GW4,$GB$1,IF(Q4+O4=FZ4,$FE$1,IF(Q4+O4=FC4,$EH$1,IF(Q4+O4=EF4,$DK$1,IF(Q4+O4=DI4,$CN$1))))))))))))))))</f>
        <v/>
      </c>
      <c r="T4" s="60">
        <v>26.7</v>
      </c>
      <c r="U4" s="60">
        <v>6.5</v>
      </c>
      <c r="V4" s="60">
        <v>0</v>
      </c>
      <c r="W4" s="60">
        <v>0</v>
      </c>
      <c r="X4" s="60">
        <v>25.8</v>
      </c>
      <c r="Y4" s="60">
        <v>7.1</v>
      </c>
      <c r="Z4" s="60">
        <v>0</v>
      </c>
      <c r="AA4" s="60">
        <v>1</v>
      </c>
      <c r="AB4" s="60">
        <v>27.2</v>
      </c>
      <c r="AC4" s="60">
        <v>6.7</v>
      </c>
      <c r="AD4" s="60">
        <v>0</v>
      </c>
      <c r="AE4" s="60">
        <v>0</v>
      </c>
      <c r="AF4" s="60">
        <v>25.5</v>
      </c>
      <c r="AG4" s="60">
        <v>6.7</v>
      </c>
      <c r="AH4" s="60">
        <v>0</v>
      </c>
      <c r="AI4" s="60">
        <v>1</v>
      </c>
      <c r="AJ4" s="13">
        <f>IF(SUM(U4,Y4)&gt;0,SUM(U4,Y4),"")</f>
        <v>13.6</v>
      </c>
      <c r="AK4" s="13">
        <f>IF(SUM(AC4,AG4)&gt;0,SUM(AC4,AG4),"")</f>
        <v>13.4</v>
      </c>
      <c r="AL4" s="13">
        <f>IF(SUM(T4:U4,W4)-V4&gt;0,SUM(T4:U4,W4)-V4,"")</f>
        <v>33.200000000000003</v>
      </c>
      <c r="AM4" s="13">
        <f>IF(SUM(X4:Y4,AA4)-Z4&gt;0,SUM(X4:Y4,AA4)-Z4,"")</f>
        <v>33.9</v>
      </c>
      <c r="AN4" s="13">
        <f>IF(SUM(AL4:AM4)&gt;0,SUM(AL4:AM4),"")</f>
        <v>67.099999999999994</v>
      </c>
      <c r="AO4" s="13">
        <f>IF(SUM(AB4:AC4,AE4:AG4,AI4)-SUM(AD4,AH4)&gt;0,SUM(AB4:AC4,AE4:AG4,AI4)-SUM(AD4,AH4),"")</f>
        <v>67.099999999999994</v>
      </c>
      <c r="AP4" s="13">
        <f>IF(SUM(AN4,AO4)&gt;0,SUM(AN4,AO4),"")</f>
        <v>134.19999999999999</v>
      </c>
      <c r="AQ4" s="66">
        <v>26.9</v>
      </c>
      <c r="AR4" s="66">
        <v>6.5</v>
      </c>
      <c r="AS4" s="66">
        <v>0</v>
      </c>
      <c r="AT4" s="66">
        <v>0</v>
      </c>
      <c r="AU4" s="66">
        <v>26.2</v>
      </c>
      <c r="AV4" s="66">
        <v>7.1</v>
      </c>
      <c r="AW4" s="66">
        <v>0</v>
      </c>
      <c r="AX4" s="66">
        <v>1</v>
      </c>
      <c r="AY4" s="66">
        <v>26.1</v>
      </c>
      <c r="AZ4" s="66">
        <v>6.7</v>
      </c>
      <c r="BA4" s="66">
        <v>0</v>
      </c>
      <c r="BB4" s="66">
        <v>0</v>
      </c>
      <c r="BC4" s="66">
        <v>25.4</v>
      </c>
      <c r="BD4" s="66">
        <v>6.9</v>
      </c>
      <c r="BE4" s="66">
        <v>0</v>
      </c>
      <c r="BF4" s="66">
        <v>1</v>
      </c>
      <c r="BG4" s="17">
        <f>IF(SUM(AR4,AV4)&gt;0,SUM(AR4,AV4),"")</f>
        <v>13.6</v>
      </c>
      <c r="BH4" s="17">
        <f>IF(SUM(AZ4,BD4)&gt;0,SUM(AZ4,BD4),"")</f>
        <v>13.600000000000001</v>
      </c>
      <c r="BI4" s="17">
        <f>IF(SUM(AQ4:AR4,AT4)-AS4&gt;0,SUM(AQ4:AR4,AT4)-AS4,"")</f>
        <v>33.4</v>
      </c>
      <c r="BJ4" s="17">
        <f>IF(SUM(AU4:AV4,AX4)-AW4&gt;0,SUM(AU4:AV4,AX4)-AW4,"")</f>
        <v>34.299999999999997</v>
      </c>
      <c r="BK4" s="17">
        <f>IF(SUM(BI4:BJ4)&gt;0,SUM(BI4:BJ4),"")</f>
        <v>67.699999999999989</v>
      </c>
      <c r="BL4" s="17">
        <f>IF(SUM(AY4:AZ4,BB4:BD4,BF4)-SUM(BA4,BE4)&gt;0,SUM(AY4:AZ4,BB4:BD4,BF4)-SUM(BA4,BE4),"")</f>
        <v>66.100000000000009</v>
      </c>
      <c r="BM4" s="17">
        <f>IF(SUM(BK4,BL4)&gt;0,SUM(BK4,BL4),"")</f>
        <v>133.80000000000001</v>
      </c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13" t="str">
        <f>IF(SUM(BO4,BS4)&gt;0,SUM(BO4,BS4),"")</f>
        <v/>
      </c>
      <c r="CE4" s="13" t="str">
        <f>IF(SUM(BW4,CA4)&gt;0,SUM(BW4,CA4),"")</f>
        <v/>
      </c>
      <c r="CF4" s="13" t="str">
        <f>IF(SUM(BN4:BO4,BQ4)-BP4&gt;0,SUM(BN4:BO4,BQ4)-BP4,"")</f>
        <v/>
      </c>
      <c r="CG4" s="13" t="str">
        <f>IF(SUM(BR4:BS4,BU4)-BT4&gt;0,SUM(BR4:BS4,BU4)-BT4,"")</f>
        <v/>
      </c>
      <c r="CH4" s="13" t="str">
        <f>IF(SUM(CF4:CG4)&gt;0,SUM(CF4:CG4),"")</f>
        <v/>
      </c>
      <c r="CI4" s="13" t="str">
        <f>IF(SUM(BV4:BW4,BY4:CA4,CC4)-SUM(BX4,CB4)&gt;0,SUM(BV4:BW4,BY4:CA4,CC4)-SUM(BX4,CB4),"")</f>
        <v/>
      </c>
      <c r="CJ4" s="13" t="str">
        <f>IF(SUM(CH4,CI4)&gt;0,SUM(CH4,CI4),"")</f>
        <v/>
      </c>
      <c r="CK4" s="43" t="str">
        <f>IF(MAX(DF4,EC4,EZ4,FW4,GT4,HQ4,IN4,JK4,KH4,LE4,MB4,MY4)-K4&gt;0.001,MAX(DF4,EC4,EZ4,FW4,GT4,HQ4,IN4,JK4,KH4,LE4,MB4,MY4)-K4,"")</f>
        <v/>
      </c>
      <c r="CL4" s="43" t="str">
        <f>IF(MAX(DG4,ED4,FA4,FX4,GU4,HR4,IO4,JL4,KI4,LF4,MC4,MZ4)-M4&gt;0.001,MAX(DG4,ED4,FA4,FX4,GU4,HR4,IO4,JL4,KI4,LF4,MC4,MZ4)-M4,"")</f>
        <v/>
      </c>
      <c r="CM4" s="43" t="str">
        <f>IF(MAX(DI4,EF4,FC4,FZ4,GW4,HT4,IQ4,JN4,KK4,LH4,ME4,NB4)-O4&gt;0.001,MAX(DI4,EF4,FC4,FZ4,GW4,HT4,IQ4,JN4,KK4,LH4,ME4,NB4)-O4,"")</f>
        <v/>
      </c>
      <c r="CN4" s="60">
        <v>31.9</v>
      </c>
      <c r="CO4" s="60">
        <v>0</v>
      </c>
      <c r="CP4" s="60">
        <v>0</v>
      </c>
      <c r="CQ4" s="60">
        <v>0</v>
      </c>
      <c r="CR4" s="60">
        <v>20.100000000000001</v>
      </c>
      <c r="CS4" s="60">
        <v>0</v>
      </c>
      <c r="CT4" s="60">
        <v>0</v>
      </c>
      <c r="CU4" s="60">
        <v>0</v>
      </c>
      <c r="CV4" s="60"/>
      <c r="CW4" s="60"/>
      <c r="CX4" s="60"/>
      <c r="CY4" s="60"/>
      <c r="CZ4" s="60"/>
      <c r="DA4" s="60"/>
      <c r="DB4" s="60"/>
      <c r="DC4" s="60"/>
      <c r="DD4" s="13" t="str">
        <f>IF(SUM(CO4,CS4)&gt;0,SUM(CO4,CS4),"")</f>
        <v/>
      </c>
      <c r="DE4" s="13" t="str">
        <f>IF(SUM(CW4,DA4)&gt;0,SUM(CW4,DA4),"")</f>
        <v/>
      </c>
      <c r="DF4" s="13">
        <f>IF(SUM(CN4:CO4,CQ4)-CP4&gt;0,SUM(CN4:CO4,CQ4)-CP4,"")</f>
        <v>31.9</v>
      </c>
      <c r="DG4" s="13">
        <f>IF(SUM(CR4:CS4,CU4)-CT4&gt;0,SUM(CR4:CS4,CU4)-CT4,"")</f>
        <v>20.100000000000001</v>
      </c>
      <c r="DH4" s="13">
        <f>IF(SUM(DF4:DG4)&gt;0,SUM(DF4:DG4),"")</f>
        <v>52</v>
      </c>
      <c r="DI4" s="13" t="str">
        <f>IF(SUM(CV4:CW4,CY4:DA4,DC4)-SUM(CX4,DB4)&gt;0,SUM(CV4:CW4,CY4:DA4,DC4)-SUM(CX4,DB4),"")</f>
        <v/>
      </c>
      <c r="DJ4" s="13">
        <f>IF(SUM(DH4,DI4)&gt;0,SUM(DH4,DI4),"")</f>
        <v>52</v>
      </c>
      <c r="DK4" s="62">
        <v>26</v>
      </c>
      <c r="DL4" s="62">
        <v>6.5</v>
      </c>
      <c r="DM4" s="62">
        <v>0</v>
      </c>
      <c r="DN4" s="62">
        <v>0</v>
      </c>
      <c r="DO4" s="62">
        <v>24.9</v>
      </c>
      <c r="DP4" s="62">
        <v>7.1</v>
      </c>
      <c r="DQ4" s="62">
        <v>0</v>
      </c>
      <c r="DR4" s="62">
        <v>0</v>
      </c>
      <c r="DS4" s="62">
        <v>27</v>
      </c>
      <c r="DT4" s="62">
        <v>6.7</v>
      </c>
      <c r="DU4" s="62">
        <v>0</v>
      </c>
      <c r="DV4" s="62">
        <v>0</v>
      </c>
      <c r="DW4" s="62">
        <v>24.9</v>
      </c>
      <c r="DX4" s="62">
        <v>6.7</v>
      </c>
      <c r="DY4" s="62">
        <v>0</v>
      </c>
      <c r="DZ4" s="62">
        <v>0</v>
      </c>
      <c r="EA4" s="17">
        <f>IF(SUM(DL4,DP4)&gt;0,SUM(DL4,DP4),"")</f>
        <v>13.6</v>
      </c>
      <c r="EB4" s="17">
        <f>IF(SUM(DT4,DX4)&gt;0,SUM(DT4,DX4),"")</f>
        <v>13.4</v>
      </c>
      <c r="EC4" s="17">
        <f>IF(SUM(DK4:DL4,DN4)-DM4&gt;0,SUM(DK4:DL4,DN4)-DM4,"")</f>
        <v>32.5</v>
      </c>
      <c r="ED4" s="17">
        <f>IF(SUM(DO4:DP4,DR4)-DQ4&gt;0,SUM(DO4:DP4,DR4)-DQ4,"")</f>
        <v>32</v>
      </c>
      <c r="EE4" s="17">
        <f>IF(SUM(EC4:ED4)&gt;0,SUM(EC4:ED4),"")</f>
        <v>64.5</v>
      </c>
      <c r="EF4" s="17">
        <f>IF(SUM(DS4:DT4,DV4:DX4,DZ4)-SUM(DU4,DY4)&gt;0,SUM(DS4:DT4,DV4:DX4,DZ4)-SUM(DU4,DY4),"")</f>
        <v>65.3</v>
      </c>
      <c r="EG4" s="17">
        <f>IF(SUM(EE4,EF4)&gt;0,SUM(EE4,EF4),"")</f>
        <v>129.80000000000001</v>
      </c>
      <c r="EH4" s="60">
        <v>24.1</v>
      </c>
      <c r="EI4" s="60">
        <v>6.5</v>
      </c>
      <c r="EJ4" s="60">
        <v>0</v>
      </c>
      <c r="EK4" s="60">
        <v>0</v>
      </c>
      <c r="EL4" s="60">
        <v>25.8</v>
      </c>
      <c r="EM4" s="60">
        <v>4.7</v>
      </c>
      <c r="EN4" s="60">
        <v>0</v>
      </c>
      <c r="EO4" s="60">
        <v>0</v>
      </c>
      <c r="EP4" s="60">
        <v>26</v>
      </c>
      <c r="EQ4" s="60">
        <v>6.7</v>
      </c>
      <c r="ER4" s="60">
        <v>0</v>
      </c>
      <c r="ES4" s="60">
        <v>0</v>
      </c>
      <c r="ET4" s="60">
        <v>23.9</v>
      </c>
      <c r="EU4" s="60">
        <v>6.9</v>
      </c>
      <c r="EV4" s="60">
        <v>0</v>
      </c>
      <c r="EW4" s="60">
        <v>0</v>
      </c>
      <c r="EX4" s="13">
        <f>IF(SUM(EI4,EM4)&gt;0,SUM(EI4,EM4),"")</f>
        <v>11.2</v>
      </c>
      <c r="EY4" s="13">
        <f>IF(SUM(EQ4,EU4)&gt;0,SUM(EQ4,EU4),"")</f>
        <v>13.600000000000001</v>
      </c>
      <c r="EZ4" s="13">
        <f>IF(SUM(EH4:EI4,EK4)-EJ4&gt;0,SUM(EH4:EI4,EK4)-EJ4,"")</f>
        <v>30.6</v>
      </c>
      <c r="FA4" s="13">
        <f>IF(SUM(EL4:EM4,EO4)-EN4&gt;0,SUM(EL4:EM4,EO4)-EN4,"")</f>
        <v>30.5</v>
      </c>
      <c r="FB4" s="13">
        <f>IF(SUM(EZ4:FA4)&gt;0,SUM(EZ4:FA4),"")</f>
        <v>61.1</v>
      </c>
      <c r="FC4" s="13">
        <f>IF(SUM(EP4:EQ4,ES4:EU4,EW4)-SUM(ER4,EV4)&gt;0,SUM(EP4:EQ4,ES4:EU4,EW4)-SUM(ER4,EV4),"")</f>
        <v>63.5</v>
      </c>
      <c r="FD4" s="13">
        <f>IF(SUM(FB4,FC4)&gt;0,SUM(FB4,FC4),"")</f>
        <v>124.6</v>
      </c>
      <c r="FE4" s="62">
        <v>23.7</v>
      </c>
      <c r="FF4" s="62">
        <v>6.5</v>
      </c>
      <c r="FG4" s="62">
        <v>0</v>
      </c>
      <c r="FH4" s="62">
        <v>0</v>
      </c>
      <c r="FI4" s="62">
        <v>24.6</v>
      </c>
      <c r="FJ4" s="62">
        <v>4.5999999999999996</v>
      </c>
      <c r="FK4" s="62">
        <v>0</v>
      </c>
      <c r="FL4" s="62">
        <v>0</v>
      </c>
      <c r="FM4" s="62"/>
      <c r="FN4" s="62"/>
      <c r="FO4" s="62"/>
      <c r="FP4" s="62"/>
      <c r="FQ4" s="62"/>
      <c r="FR4" s="62"/>
      <c r="FS4" s="62"/>
      <c r="FT4" s="62"/>
      <c r="FU4" s="17">
        <f>IF(SUM(FF4,FJ4)&gt;0,SUM(FF4,FJ4),"")</f>
        <v>11.1</v>
      </c>
      <c r="FV4" s="17" t="str">
        <f>IF(SUM(FN4,FR4)&gt;0,SUM(FN4,FR4),"")</f>
        <v/>
      </c>
      <c r="FW4" s="17">
        <f>IF(SUM(FE4:FF4,FH4)-FG4&gt;0,SUM(FE4:FF4,FH4)-FG4,"")</f>
        <v>30.2</v>
      </c>
      <c r="FX4" s="17">
        <f>IF(SUM(FI4:FJ4,FL4)-FK4&gt;0,SUM(FI4:FJ4,FL4)-FK4,"")</f>
        <v>29.200000000000003</v>
      </c>
      <c r="FY4" s="17">
        <f>IF(SUM(FW4:FX4)&gt;0,SUM(FW4:FX4),"")</f>
        <v>59.400000000000006</v>
      </c>
      <c r="FZ4" s="17" t="str">
        <f>IF(SUM(FM4:FN4,FP4:FR4,FT4)-SUM(FO4,FS4)&gt;0,SUM(FM4:FN4,FP4:FR4,FT4)-SUM(FO4,FS4),"")</f>
        <v/>
      </c>
      <c r="GA4" s="17">
        <f>IF(SUM(FY4,FZ4)&gt;0,SUM(FY4,FZ4),"")</f>
        <v>59.400000000000006</v>
      </c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13" t="str">
        <f>IF(SUM(GC4,GG4)&gt;0,SUM(GC4,GG4),"")</f>
        <v/>
      </c>
      <c r="GS4" s="13" t="str">
        <f>IF(SUM(GK4,GO4)&gt;0,SUM(GK4,GO4),"")</f>
        <v/>
      </c>
      <c r="GT4" s="13" t="str">
        <f>IF(SUM(GB4:GC4,GE4)-GD4&gt;0,SUM(GB4:GC4,GE4)-GD4,"")</f>
        <v/>
      </c>
      <c r="GU4" s="13" t="str">
        <f>IF(SUM(GF4:GG4,GI4)-GH4&gt;0,SUM(GF4:GG4,GI4)-GH4,"")</f>
        <v/>
      </c>
      <c r="GV4" s="13" t="str">
        <f>IF(SUM(GT4:GU4)&gt;0,SUM(GT4:GU4),"")</f>
        <v/>
      </c>
      <c r="GW4" s="13" t="str">
        <f>IF(SUM(GJ4:GK4,GM4:GO4,GQ4)-SUM(GL4,GP4)&gt;0,SUM(GJ4:GK4,GM4:GO4,GQ4)-SUM(GL4,GP4),"")</f>
        <v/>
      </c>
      <c r="GX4" s="13" t="str">
        <f>IF(SUM(GV4,GW4)&gt;0,SUM(GV4,GW4),"")</f>
        <v/>
      </c>
      <c r="GY4" s="62"/>
      <c r="GZ4" s="62"/>
      <c r="HA4" s="62"/>
      <c r="HB4" s="62"/>
      <c r="HC4" s="62"/>
      <c r="HD4" s="62"/>
      <c r="HE4" s="62"/>
      <c r="HF4" s="62"/>
      <c r="HG4" s="62"/>
      <c r="HH4" s="62"/>
      <c r="HI4" s="62"/>
      <c r="HJ4" s="62"/>
      <c r="HK4" s="62"/>
      <c r="HL4" s="62"/>
      <c r="HM4" s="62"/>
      <c r="HN4" s="62"/>
      <c r="HO4" s="17" t="str">
        <f>IF(SUM(GZ4,HD4)&gt;0,SUM(GZ4,HD4),"")</f>
        <v/>
      </c>
      <c r="HP4" s="17" t="str">
        <f>IF(SUM(HH4,HL4)&gt;0,SUM(HH4,HL4),"")</f>
        <v/>
      </c>
      <c r="HQ4" s="17" t="str">
        <f>IF(SUM(GY4:GZ4,HB4)-HA4&gt;0,SUM(GY4:GZ4,HB4)-HA4,"")</f>
        <v/>
      </c>
      <c r="HR4" s="17" t="str">
        <f>IF(SUM(HC4:HD4,HF4)-HE4&gt;0,SUM(HC4:HD4,HF4)-HE4,"")</f>
        <v/>
      </c>
      <c r="HS4" s="17" t="str">
        <f>IF(SUM(HQ4:HR4)&gt;0,SUM(HQ4:HR4),"")</f>
        <v/>
      </c>
      <c r="HT4" s="17" t="str">
        <f>IF(SUM(HG4:HH4,HJ4:HL4,HN4)-SUM(HI4,HM4)&gt;0,SUM(HG4:HH4,HJ4:HL4,HN4)-SUM(HI4,HM4),"")</f>
        <v/>
      </c>
      <c r="HU4" s="17" t="str">
        <f>IF(SUM(HS4,HT4)&gt;0,SUM(HS4,HT4),"")</f>
        <v/>
      </c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13" t="str">
        <f>IF(SUM(HW4,IA4)&gt;0,SUM(HW4,IA4),"")</f>
        <v/>
      </c>
      <c r="IM4" s="13" t="str">
        <f>IF(SUM(IE4,II4)&gt;0,SUM(IE4,II4),"")</f>
        <v/>
      </c>
      <c r="IN4" s="13" t="str">
        <f>IF(SUM(HV4:HW4,HY4)-HX4&gt;0,SUM(HV4:HW4,HY4)-HX4,"")</f>
        <v/>
      </c>
      <c r="IO4" s="13" t="str">
        <f>IF(SUM(HZ4:IA4,IC4)-IB4&gt;0,SUM(HZ4:IA4,IC4)-IB4,"")</f>
        <v/>
      </c>
      <c r="IP4" s="13" t="str">
        <f>IF(SUM(IN4:IO4)&gt;0,SUM(IN4:IO4),"")</f>
        <v/>
      </c>
      <c r="IQ4" s="13" t="str">
        <f>IF(SUM(ID4:IE4,IG4:II4,IK4)-SUM(IF4,IJ4)&gt;0,SUM(ID4:IE4,IG4:II4,IK4)-SUM(IF4,IJ4),"")</f>
        <v/>
      </c>
      <c r="IR4" s="13" t="str">
        <f>IF(SUM(IP4,IQ4)&gt;0,SUM(IP4,IQ4),"")</f>
        <v/>
      </c>
      <c r="IS4" s="62"/>
      <c r="IT4" s="62"/>
      <c r="IU4" s="62"/>
      <c r="IV4" s="62"/>
      <c r="IW4" s="62"/>
      <c r="IX4" s="62"/>
      <c r="IY4" s="62"/>
      <c r="IZ4" s="62"/>
      <c r="JA4" s="62"/>
      <c r="JB4" s="62"/>
      <c r="JC4" s="62"/>
      <c r="JD4" s="62"/>
      <c r="JE4" s="62"/>
      <c r="JF4" s="62"/>
      <c r="JG4" s="62"/>
      <c r="JH4" s="62"/>
      <c r="JI4" s="17" t="str">
        <f>IF(SUM(IT4,IX4)&gt;0,SUM(IT4,IX4),"")</f>
        <v/>
      </c>
      <c r="JJ4" s="17" t="str">
        <f>IF(SUM(JB4,JF4)&gt;0,SUM(JB4,JF4),"")</f>
        <v/>
      </c>
      <c r="JK4" s="17" t="str">
        <f>IF(SUM(IS4:IT4,IV4)-IU4&gt;0,SUM(IS4:IT4,IV4)-IU4,"")</f>
        <v/>
      </c>
      <c r="JL4" s="17" t="str">
        <f>IF(SUM(IW4:IX4,IZ4)-IY4&gt;0,SUM(IW4:IX4,IZ4)-IY4,"")</f>
        <v/>
      </c>
      <c r="JM4" s="17" t="str">
        <f>IF(SUM(JK4:JL4)&gt;0,SUM(JK4:JL4),"")</f>
        <v/>
      </c>
      <c r="JN4" s="17" t="str">
        <f>IF(SUM(JA4:JB4,JD4:JF4,JH4)-SUM(JC4,JG4)&gt;0,SUM(JA4:JB4,JD4:JF4,JH4)-SUM(JC4,JG4),"")</f>
        <v/>
      </c>
      <c r="JO4" s="17" t="str">
        <f>IF(SUM(JM4,JN4)&gt;0,SUM(JM4,JN4),"")</f>
        <v/>
      </c>
      <c r="JP4" s="60"/>
      <c r="JQ4" s="60"/>
      <c r="JR4" s="60"/>
      <c r="JS4" s="60"/>
      <c r="JT4" s="60"/>
      <c r="JU4" s="60"/>
      <c r="JV4" s="60"/>
      <c r="JW4" s="60"/>
      <c r="JX4" s="60"/>
      <c r="JY4" s="60"/>
      <c r="JZ4" s="60"/>
      <c r="KA4" s="60"/>
      <c r="KB4" s="60"/>
      <c r="KC4" s="60"/>
      <c r="KD4" s="60"/>
      <c r="KE4" s="60"/>
      <c r="KF4" s="13" t="str">
        <f>IF(SUM(JQ4,JU4)&gt;0,SUM(JQ4,JU4),"")</f>
        <v/>
      </c>
      <c r="KG4" s="13" t="str">
        <f>IF(SUM(JY4,KC4)&gt;0,SUM(JY4,KC4),"")</f>
        <v/>
      </c>
      <c r="KH4" s="13" t="str">
        <f>IF(SUM(JP4:JQ4,JS4)-JR4&gt;0,SUM(JP4:JQ4,JS4)-JR4,"")</f>
        <v/>
      </c>
      <c r="KI4" s="13" t="str">
        <f>IF(SUM(JT4:JU4,JW4)-JV4&gt;0,SUM(JT4:JU4,JW4)-JV4,"")</f>
        <v/>
      </c>
      <c r="KJ4" s="13" t="str">
        <f>IF(SUM(KH4:KI4)&gt;0,SUM(KH4:KI4),"")</f>
        <v/>
      </c>
      <c r="KK4" s="13" t="str">
        <f>IF(SUM(JX4:JY4,KA4:KC4,KE4)-SUM(JZ4,KD4)&gt;0,SUM(JX4:JY4,KA4:KC4,KE4)-SUM(JZ4,KD4),"")</f>
        <v/>
      </c>
      <c r="KL4" s="13" t="str">
        <f>IF(SUM(KJ4,KK4)&gt;0,SUM(KJ4,KK4),"")</f>
        <v/>
      </c>
      <c r="KM4" s="62"/>
      <c r="KN4" s="62"/>
      <c r="KO4" s="62"/>
      <c r="KP4" s="62"/>
      <c r="KQ4" s="62"/>
      <c r="KR4" s="62"/>
      <c r="KS4" s="62"/>
      <c r="KT4" s="62"/>
      <c r="KU4" s="62"/>
      <c r="KV4" s="62"/>
      <c r="KW4" s="62"/>
      <c r="KX4" s="62"/>
      <c r="KY4" s="62"/>
      <c r="KZ4" s="62"/>
      <c r="LA4" s="62"/>
      <c r="LB4" s="62"/>
      <c r="LC4" s="17" t="str">
        <f>IF(SUM(KN4,KR4)&gt;0,SUM(KN4,KR4),"")</f>
        <v/>
      </c>
      <c r="LD4" s="17" t="str">
        <f>IF(SUM(KV4,KZ4)&gt;0,SUM(KV4,KZ4),"")</f>
        <v/>
      </c>
      <c r="LE4" s="17" t="str">
        <f>IF(SUM(KM4:KN4,KP4)-KO4&gt;0,SUM(KM4:KN4,KP4)-KO4,"")</f>
        <v/>
      </c>
      <c r="LF4" s="17" t="str">
        <f>IF(SUM(KQ4:KR4,KT4)-KS4&gt;0,SUM(KQ4:KR4,KT4)-KS4,"")</f>
        <v/>
      </c>
      <c r="LG4" s="17" t="str">
        <f>IF(SUM(LE4:LF4)&gt;0,SUM(LE4:LF4),"")</f>
        <v/>
      </c>
      <c r="LH4" s="17" t="str">
        <f>IF(SUM(KU4:KV4,KX4:KZ4,LB4)-SUM(KW4,LA4)&gt;0,SUM(KU4:KV4,KX4:KZ4,LB4)-SUM(KW4,LA4),"")</f>
        <v/>
      </c>
      <c r="LI4" s="17" t="str">
        <f>IF(SUM(LG4,LH4)&gt;0,SUM(LG4,LH4),"")</f>
        <v/>
      </c>
      <c r="LJ4" s="60"/>
      <c r="LK4" s="60"/>
      <c r="LL4" s="60"/>
      <c r="LM4" s="60"/>
      <c r="LN4" s="60"/>
      <c r="LO4" s="60"/>
      <c r="LP4" s="60"/>
      <c r="LQ4" s="60"/>
      <c r="LR4" s="60"/>
      <c r="LS4" s="60"/>
      <c r="LT4" s="60"/>
      <c r="LU4" s="60"/>
      <c r="LV4" s="60"/>
      <c r="LW4" s="60"/>
      <c r="LX4" s="60"/>
      <c r="LY4" s="60"/>
      <c r="LZ4" s="13" t="str">
        <f>IF(SUM(LK4,LO4)&gt;0,SUM(LK4,LO4),"")</f>
        <v/>
      </c>
      <c r="MA4" s="13" t="str">
        <f>IF(SUM(LS4,LW4)&gt;0,SUM(LS4,LW4),"")</f>
        <v/>
      </c>
      <c r="MB4" s="13" t="str">
        <f>IF(SUM(LJ4:LK4,LM4)-LL4&gt;0,SUM(LJ4:LK4,LM4)-LL4,"")</f>
        <v/>
      </c>
      <c r="MC4" s="13" t="str">
        <f>IF(SUM(LN4:LO4,LQ4)-LP4&gt;0,SUM(LN4:LO4,LQ4)-LP4,"")</f>
        <v/>
      </c>
      <c r="MD4" s="13" t="str">
        <f>IF(SUM(MB4:MC4)&gt;0,SUM(MB4:MC4),"")</f>
        <v/>
      </c>
      <c r="ME4" s="13" t="str">
        <f>IF(SUM(LR4:LS4,LU4:LW4,LY4)-SUM(LT4,LX4)&gt;0,SUM(LR4:LS4,LU4:LW4,LY4)-SUM(LT4,LX4),"")</f>
        <v/>
      </c>
      <c r="MF4" s="13" t="str">
        <f>IF(SUM(MD4,ME4)&gt;0,SUM(MD4,ME4),"")</f>
        <v/>
      </c>
      <c r="MG4" s="62"/>
      <c r="MH4" s="62"/>
      <c r="MI4" s="62"/>
      <c r="MJ4" s="62"/>
      <c r="MK4" s="62"/>
      <c r="ML4" s="62"/>
      <c r="MM4" s="62"/>
      <c r="MN4" s="62"/>
      <c r="MO4" s="62"/>
      <c r="MP4" s="62"/>
      <c r="MQ4" s="62"/>
      <c r="MR4" s="62"/>
      <c r="MS4" s="62"/>
      <c r="MT4" s="62"/>
      <c r="MU4" s="62"/>
      <c r="MV4" s="62"/>
      <c r="MW4" s="17" t="str">
        <f>IF(SUM(MH4,ML4)&gt;0,SUM(MH4,ML4),"")</f>
        <v/>
      </c>
      <c r="MX4" s="17" t="str">
        <f>IF(SUM(MP4,MT4)&gt;0,SUM(MP4,MT4),"")</f>
        <v/>
      </c>
      <c r="MY4" s="17" t="str">
        <f>IF(SUM(MG4:MH4,MJ4)-MI4&gt;0,SUM(MG4:MH4,MJ4)-MI4,"")</f>
        <v/>
      </c>
      <c r="MZ4" s="17" t="str">
        <f>IF(SUM(MK4:ML4,MN4)-MM4&gt;0,SUM(MK4:ML4,MN4)-MM4,"")</f>
        <v/>
      </c>
      <c r="NA4" s="17" t="str">
        <f>IF(SUM(MY4:MZ4)&gt;0,SUM(MY4:MZ4),"")</f>
        <v/>
      </c>
      <c r="NB4" s="17" t="str">
        <f>IF(SUM(MO4:MP4,MR4:MT4,MV4)-SUM(MQ4,MU4)&gt;0,SUM(MO4:MP4,MR4:MT4,MV4)-SUM(MQ4,MU4),"")</f>
        <v/>
      </c>
      <c r="NC4" s="17" t="str">
        <f>IF(SUM(NA4,NB4)&gt;0,SUM(NA4,NB4),"")</f>
        <v/>
      </c>
    </row>
    <row r="5" spans="1:367" x14ac:dyDescent="0.2">
      <c r="A5" s="6">
        <f ca="1">IF(AND(F5="P",G5="P"),SUMPRODUCT((F$4:F$7="P")*(G$4:G$7="P")*(E$4:E$7&gt;E5))+1,IF(G5="P",SUMPRODUCT((F$4:F$7="")*(G$4:G$7="P")*(E$4:E$7&gt;E5))+1+SUMPRODUCT((F$4:F$7="P")*(G$4:G$7="P")),""))</f>
        <v>2</v>
      </c>
      <c r="B5" s="7" t="s">
        <v>95</v>
      </c>
      <c r="C5" s="8" t="s">
        <v>13</v>
      </c>
      <c r="D5" s="46">
        <v>2016</v>
      </c>
      <c r="E5" s="18">
        <f>SUM(I5:Q5)</f>
        <v>184.6</v>
      </c>
      <c r="F5" s="4" t="str">
        <f>IF(OR(AND(AJ5&gt;=C$11,NOT(AJ5="")),AND(AK5&gt;=C$11,NOT(AK5="")),AND(BG5&gt;=C$11,NOT(BG5="")),AND(BH5&gt;=C$11,NOT(BH5="")),AND(CD5&gt;=C$11,NOT(CD5="")),AND(CE5&gt;=C$11,NOT(CE5=""))),"P","")</f>
        <v>P</v>
      </c>
      <c r="G5" s="4" t="str">
        <f ca="1">IF(OR(I5&gt;=C$13,AND(I5&gt;$C$12,YEAR(TODAY())-$D5&lt;2)),"P","")</f>
        <v>P</v>
      </c>
      <c r="H5" t="str">
        <f ca="1">IF(F5="P",IF(I5&gt;=C$15,"Merit",IF(I5&gt;=C$14,"Funding",IF(I5&gt;=C$13,"Team",IF(AND(I5&gt;C$12,YEAR(TODAY())-$D5&lt;2),"First 2 Years","")))),IF(AND(I5&gt;C$12,YEAR(TODAY())-$D5&lt;2),"First 2 Years",""))</f>
        <v>First 2 Years</v>
      </c>
      <c r="I5" s="17">
        <f>MAX(AN5,BK5,CH5)</f>
        <v>60.9</v>
      </c>
      <c r="J5" s="17" t="str">
        <f>IF(I5=CH5,$BN$1,IF(I5=BK5,$AQ$1,IF(I5=AN5,$T$1,"")))</f>
        <v>2017 Nationals</v>
      </c>
      <c r="K5" s="17">
        <f>IF($I5=$AN5,MAX(BI5,CF5),IF($I5=$BK5,MAX(AL5,CF5),MAX(AL5,BI5)))</f>
        <v>26.299999999999997</v>
      </c>
      <c r="L5" s="17" t="str">
        <f>IF(K5=CF5,$BN$1,IF(K5=BI5,$AQ$1,IF(K5=AL5,$T$1,"")))</f>
        <v>2017 Canada Cup</v>
      </c>
      <c r="M5" s="17">
        <f>IF($I5=$AN5,MAX(BJ5,CG5),IF($I5=$BK5,MAX(AM5,CG5),MAX(AM5,BJ5)))</f>
        <v>29.900000000000002</v>
      </c>
      <c r="N5" s="17" t="str">
        <f>IF(M5=CG5,$BN$1,IF(M5=BJ5,$AQ$1,IF(M5=AM5,$T$1,"")))</f>
        <v>2017 3rd Domestic Trial</v>
      </c>
      <c r="O5" s="17">
        <f>MAX(AO5,BL5,CI5)</f>
        <v>63.1</v>
      </c>
      <c r="P5" s="17" t="str">
        <f>IF(O5=CI5,$BN$1,IF(O5=BL5,$AQ$1,IF(O5=AO5,$T$1,"")))</f>
        <v>2017 Nationals</v>
      </c>
      <c r="Q5" s="17">
        <f>IF(MAX(CK5:CM5)&gt;0,MAX(CK5:CM5),"")</f>
        <v>4.4000000000000021</v>
      </c>
      <c r="R5" s="44" t="str">
        <f>IF(Q5="","",IF(Q5=CK5,"(Pass 1)",IF(Q5=CL5,"(Pass 2)",IF(Q5=CM5,"(Final)"))))</f>
        <v>(Pass 1)</v>
      </c>
      <c r="S5" s="17" t="str">
        <f>IF(Q5="","",IF(Q5=CK5,IF(Q5+K5=MY5,$MG$1,IF(Q5+K5=MB5,$LJ$1,IF(Q5+K5=LE5,$KM$1,IF(Q5+K5=KH5,$JP$1,IF(Q5+K5=JK5,$IS$1,IF(Q5+K5=IN5,$HV$1,IF(Q5+K5=HQ5,$GY$1,IF(Q5+K5=GT5,$GB$1,IF(Q5+K5=FW5,$FE$1,IF(Q5+K5=EZ5,$EH$1,IF(Q5+K5=EC5,$DK$1,IF(Q5+K5=DF5,$CN$1)))))))))))),IF(Q5=CL5,IF(Q5+M5=MZ5,$MG$1,IF(Q5+M5=MC5,$LJ$1,IF(Q5+M5=LF5,$KM$1,IF(Q5+M5=KI5,$JP$1,IF(Q5+M5=JL5,$IS$1,IF(Q5+M5=IO5,$HV$1,IF(Q5+M5=HR5,$GY$1,IF(Q5+M5=GU5,$GB$1,IF(Q5+M5=FX5,$FE$1,IF(Q5+M5=FA5,$EH$1,IF(Q5+M5=ED5,$DK$1,IF(Q5+M5=DG5,$CN$1)))))))))))),IF(Q5=CM5,IF(Q5+O5=NB5,$MG$1,IF(Q5+O5=ME5,$LJ$1,IF(Q5+O5=LH5,$KM$1,IF(Q5+O5=KK5,$JP$1,IF(Q5+O5=JN5,$IS$1,IF(Q5+O5=IQ5,$HV$1,IF(Q5+O5=HT5,$GY$1,IF(Q5+O5=GW5,$GB$1,IF(Q5+O5=FZ5,$FE$1,IF(Q5+O5=FC5,$EH$1,IF(Q5+O5=EF5,$DK$1,IF(Q5+O5=DI5,$CN$1))))))))))))))))</f>
        <v>2016 Pan Am Championships (Dec)</v>
      </c>
      <c r="T5" s="60">
        <v>23.4</v>
      </c>
      <c r="U5" s="60">
        <v>3.5</v>
      </c>
      <c r="V5" s="60">
        <v>0.6</v>
      </c>
      <c r="W5" s="60">
        <v>0</v>
      </c>
      <c r="X5" s="60">
        <v>24.7</v>
      </c>
      <c r="Y5" s="60">
        <v>1.9</v>
      </c>
      <c r="Z5" s="60">
        <v>0</v>
      </c>
      <c r="AA5" s="60">
        <v>0</v>
      </c>
      <c r="AB5" s="60">
        <v>25.8</v>
      </c>
      <c r="AC5" s="60">
        <v>5.0999999999999996</v>
      </c>
      <c r="AD5" s="60">
        <v>0</v>
      </c>
      <c r="AE5" s="60">
        <v>1</v>
      </c>
      <c r="AF5" s="60">
        <v>26.2</v>
      </c>
      <c r="AG5" s="60">
        <v>4.3</v>
      </c>
      <c r="AH5" s="60">
        <v>0</v>
      </c>
      <c r="AI5" s="60">
        <v>0</v>
      </c>
      <c r="AJ5" s="13">
        <f>IF(SUM(U5,Y5)&gt;0,SUM(U5,Y5),"")</f>
        <v>5.4</v>
      </c>
      <c r="AK5" s="13">
        <f>IF(SUM(AC5,AG5)&gt;0,SUM(AC5,AG5),"")</f>
        <v>9.3999999999999986</v>
      </c>
      <c r="AL5" s="13">
        <f>IF(SUM(T5:U5,W5)-V5&gt;0,SUM(T5:U5,W5)-V5,"")</f>
        <v>26.299999999999997</v>
      </c>
      <c r="AM5" s="13">
        <f>IF(SUM(X5:Y5,AA5)-Z5&gt;0,SUM(X5:Y5,AA5)-Z5,"")</f>
        <v>26.599999999999998</v>
      </c>
      <c r="AN5" s="13">
        <f>IF(SUM(AL5:AM5)&gt;0,SUM(AL5:AM5),"")</f>
        <v>52.899999999999991</v>
      </c>
      <c r="AO5" s="13">
        <f>IF(SUM(AB5:AC5,AE5:AG5,AI5)-SUM(AD5,AH5)&gt;0,SUM(AB5:AC5,AE5:AG5,AI5)-SUM(AD5,AH5),"")</f>
        <v>62.399999999999991</v>
      </c>
      <c r="AP5" s="13">
        <f>IF(SUM(AN5,AO5)&gt;0,SUM(AN5,AO5),"")</f>
        <v>115.29999999999998</v>
      </c>
      <c r="AQ5" s="66">
        <v>24.8</v>
      </c>
      <c r="AR5" s="66">
        <v>6.1</v>
      </c>
      <c r="AS5" s="66">
        <v>0.3</v>
      </c>
      <c r="AT5" s="66">
        <v>0</v>
      </c>
      <c r="AU5" s="66">
        <v>26</v>
      </c>
      <c r="AV5" s="66">
        <v>4.3</v>
      </c>
      <c r="AW5" s="66">
        <v>0</v>
      </c>
      <c r="AX5" s="66">
        <v>0</v>
      </c>
      <c r="AY5" s="66">
        <v>25.7</v>
      </c>
      <c r="AZ5" s="66">
        <v>6.1</v>
      </c>
      <c r="BA5" s="66">
        <v>0</v>
      </c>
      <c r="BB5" s="66">
        <v>0</v>
      </c>
      <c r="BC5" s="66">
        <v>27.7</v>
      </c>
      <c r="BD5" s="66">
        <v>3.6</v>
      </c>
      <c r="BE5" s="66">
        <v>0</v>
      </c>
      <c r="BF5" s="66">
        <v>0</v>
      </c>
      <c r="BG5" s="17">
        <f>IF(SUM(AR5,AV5)&gt;0,SUM(AR5,AV5),"")</f>
        <v>10.399999999999999</v>
      </c>
      <c r="BH5" s="17">
        <f>IF(SUM(AZ5,BD5)&gt;0,SUM(AZ5,BD5),"")</f>
        <v>9.6999999999999993</v>
      </c>
      <c r="BI5" s="17">
        <f>IF(SUM(AQ5:AR5,AT5)-AS5&gt;0,SUM(AQ5:AR5,AT5)-AS5,"")</f>
        <v>30.599999999999998</v>
      </c>
      <c r="BJ5" s="17">
        <f>IF(SUM(AU5:AV5,AX5)-AW5&gt;0,SUM(AU5:AV5,AX5)-AW5,"")</f>
        <v>30.3</v>
      </c>
      <c r="BK5" s="17">
        <f>IF(SUM(BI5:BJ5)&gt;0,SUM(BI5:BJ5),"")</f>
        <v>60.9</v>
      </c>
      <c r="BL5" s="17">
        <f>IF(SUM(AY5:AZ5,BB5:BD5,BF5)-SUM(BA5,BE5)&gt;0,SUM(AY5:AZ5,BB5:BD5,BF5)-SUM(BA5,BE5),"")</f>
        <v>63.1</v>
      </c>
      <c r="BM5" s="17">
        <f>IF(SUM(BK5,BL5)&gt;0,SUM(BK5,BL5),"")</f>
        <v>124</v>
      </c>
      <c r="BN5" s="60">
        <v>17</v>
      </c>
      <c r="BO5" s="60">
        <v>2.6</v>
      </c>
      <c r="BP5" s="60">
        <v>0</v>
      </c>
      <c r="BQ5" s="60">
        <v>0</v>
      </c>
      <c r="BR5" s="60">
        <v>25.6</v>
      </c>
      <c r="BS5" s="60">
        <v>4.3</v>
      </c>
      <c r="BT5" s="60">
        <v>0</v>
      </c>
      <c r="BU5" s="60">
        <v>0</v>
      </c>
      <c r="BV5" s="60"/>
      <c r="BW5" s="60"/>
      <c r="BX5" s="60"/>
      <c r="BY5" s="60"/>
      <c r="BZ5" s="60"/>
      <c r="CA5" s="60"/>
      <c r="CB5" s="60"/>
      <c r="CC5" s="60"/>
      <c r="CD5" s="13">
        <f>IF(SUM(BO5,BS5)&gt;0,SUM(BO5,BS5),"")</f>
        <v>6.9</v>
      </c>
      <c r="CE5" s="13" t="str">
        <f>IF(SUM(BW5,CA5)&gt;0,SUM(BW5,CA5),"")</f>
        <v/>
      </c>
      <c r="CF5" s="13">
        <f>IF(SUM(BN5:BO5,BQ5)-BP5&gt;0,SUM(BN5:BO5,BQ5)-BP5,"")</f>
        <v>19.600000000000001</v>
      </c>
      <c r="CG5" s="13">
        <f>IF(SUM(BR5:BS5,BU5)-BT5&gt;0,SUM(BR5:BS5,BU5)-BT5,"")</f>
        <v>29.900000000000002</v>
      </c>
      <c r="CH5" s="13">
        <f>IF(SUM(CF5:CG5)&gt;0,SUM(CF5:CG5),"")</f>
        <v>49.5</v>
      </c>
      <c r="CI5" s="13" t="str">
        <f>IF(SUM(BV5:BW5,BY5:CA5,CC5)-SUM(BX5,CB5)&gt;0,SUM(BV5:BW5,BY5:CA5,CC5)-SUM(BX5,CB5),"")</f>
        <v/>
      </c>
      <c r="CJ5" s="13">
        <f>IF(SUM(CH5,CI5)&gt;0,SUM(CH5,CI5),"")</f>
        <v>49.5</v>
      </c>
      <c r="CK5" s="43">
        <f>IF(MAX(DF5,EC5,EZ5,FW5,GT5,HQ5,IN5,JK5,KH5,LE5,MB5,MY5)-K5&gt;0.001,MAX(DF5,EC5,EZ5,FW5,GT5,HQ5,IN5,JK5,KH5,LE5,MB5,MY5)-K5,"")</f>
        <v>4.4000000000000021</v>
      </c>
      <c r="CL5" s="43" t="str">
        <f>IF(MAX(DG5,ED5,FA5,FX5,GU5,HR5,IO5,JL5,KI5,LF5,MC5,MZ5)-M5&gt;0.001,MAX(DG5,ED5,FA5,FX5,GU5,HR5,IO5,JL5,KI5,LF5,MC5,MZ5)-M5,"")</f>
        <v/>
      </c>
      <c r="CM5" s="43" t="str">
        <f>IF(MAX(DI5,EF5,FC5,FZ5,GW5,HT5,IQ5,JN5,KK5,LH5,ME5,NB5)-O5&gt;0.001,MAX(DI5,EF5,FC5,FZ5,GW5,HT5,IQ5,JN5,KK5,LH5,ME5,NB5)-O5,"")</f>
        <v/>
      </c>
      <c r="CN5" s="60">
        <v>30.7</v>
      </c>
      <c r="CO5" s="60">
        <v>0</v>
      </c>
      <c r="CP5" s="60">
        <v>0</v>
      </c>
      <c r="CQ5" s="60">
        <v>0</v>
      </c>
      <c r="CR5" s="60">
        <v>28.8</v>
      </c>
      <c r="CS5" s="60">
        <v>0</v>
      </c>
      <c r="CT5" s="60">
        <v>0</v>
      </c>
      <c r="CU5" s="60">
        <v>0</v>
      </c>
      <c r="CV5" s="60">
        <v>30</v>
      </c>
      <c r="CW5" s="60">
        <v>0</v>
      </c>
      <c r="CX5" s="60">
        <v>0</v>
      </c>
      <c r="CY5" s="60">
        <v>0</v>
      </c>
      <c r="CZ5" s="60">
        <v>27</v>
      </c>
      <c r="DA5" s="60">
        <v>0</v>
      </c>
      <c r="DB5" s="60">
        <v>0</v>
      </c>
      <c r="DC5" s="60">
        <v>0</v>
      </c>
      <c r="DD5" s="13" t="str">
        <f>IF(SUM(CO5,CS5)&gt;0,SUM(CO5,CS5),"")</f>
        <v/>
      </c>
      <c r="DE5" s="13" t="str">
        <f>IF(SUM(CW5,DA5)&gt;0,SUM(CW5,DA5),"")</f>
        <v/>
      </c>
      <c r="DF5" s="13">
        <f>IF(SUM(CN5:CO5,CQ5)-CP5&gt;0,SUM(CN5:CO5,CQ5)-CP5,"")</f>
        <v>30.7</v>
      </c>
      <c r="DG5" s="13">
        <f>IF(SUM(CR5:CS5,CU5)-CT5&gt;0,SUM(CR5:CS5,CU5)-CT5,"")</f>
        <v>28.8</v>
      </c>
      <c r="DH5" s="13">
        <f>IF(SUM(DF5:DG5)&gt;0,SUM(DF5:DG5),"")</f>
        <v>59.5</v>
      </c>
      <c r="DI5" s="13">
        <f>IF(SUM(CV5:CW5,CY5:DA5,DC5)-SUM(CX5,DB5)&gt;0,SUM(CV5:CW5,CY5:DA5,DC5)-SUM(CX5,DB5),"")</f>
        <v>57</v>
      </c>
      <c r="DJ5" s="13">
        <f>IF(SUM(DH5,DI5)&gt;0,SUM(DH5,DI5),"")</f>
        <v>116.5</v>
      </c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17" t="str">
        <f>IF(SUM(DL5,DP5)&gt;0,SUM(DL5,DP5),"")</f>
        <v/>
      </c>
      <c r="EB5" s="17" t="str">
        <f>IF(SUM(DT5,DX5)&gt;0,SUM(DT5,DX5),"")</f>
        <v/>
      </c>
      <c r="EC5" s="17" t="str">
        <f>IF(SUM(DK5:DL5,DN5)-DM5&gt;0,SUM(DK5:DL5,DN5)-DM5,"")</f>
        <v/>
      </c>
      <c r="ED5" s="17" t="str">
        <f>IF(SUM(DO5:DP5,DR5)-DQ5&gt;0,SUM(DO5:DP5,DR5)-DQ5,"")</f>
        <v/>
      </c>
      <c r="EE5" s="17" t="str">
        <f>IF(SUM(EC5:ED5)&gt;0,SUM(EC5:ED5),"")</f>
        <v/>
      </c>
      <c r="EF5" s="17" t="str">
        <f>IF(SUM(DS5:DT5,DV5:DX5,DZ5)-SUM(DU5,DY5)&gt;0,SUM(DS5:DT5,DV5:DX5,DZ5)-SUM(DU5,DY5),"")</f>
        <v/>
      </c>
      <c r="EG5" s="17" t="str">
        <f>IF(SUM(EE5,EF5)&gt;0,SUM(EE5,EF5),"")</f>
        <v/>
      </c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13" t="str">
        <f>IF(SUM(EI5,EM5)&gt;0,SUM(EI5,EM5),"")</f>
        <v/>
      </c>
      <c r="EY5" s="13" t="str">
        <f>IF(SUM(EQ5,EU5)&gt;0,SUM(EQ5,EU5),"")</f>
        <v/>
      </c>
      <c r="EZ5" s="13" t="str">
        <f>IF(SUM(EH5:EI5,EK5)-EJ5&gt;0,SUM(EH5:EI5,EK5)-EJ5,"")</f>
        <v/>
      </c>
      <c r="FA5" s="13" t="str">
        <f>IF(SUM(EL5:EM5,EO5)-EN5&gt;0,SUM(EL5:EM5,EO5)-EN5,"")</f>
        <v/>
      </c>
      <c r="FB5" s="13" t="str">
        <f>IF(SUM(EZ5:FA5)&gt;0,SUM(EZ5:FA5),"")</f>
        <v/>
      </c>
      <c r="FC5" s="13" t="str">
        <f>IF(SUM(EP5:EQ5,ES5:EU5,EW5)-SUM(ER5,EV5)&gt;0,SUM(EP5:EQ5,ES5:EU5,EW5)-SUM(ER5,EV5),"")</f>
        <v/>
      </c>
      <c r="FD5" s="13" t="str">
        <f>IF(SUM(FB5,FC5)&gt;0,SUM(FB5,FC5),"")</f>
        <v/>
      </c>
      <c r="FE5" s="62"/>
      <c r="FF5" s="62"/>
      <c r="FG5" s="62"/>
      <c r="FH5" s="62"/>
      <c r="FI5" s="62"/>
      <c r="FJ5" s="62"/>
      <c r="FK5" s="62"/>
      <c r="FL5" s="62"/>
      <c r="FM5" s="62"/>
      <c r="FN5" s="62"/>
      <c r="FO5" s="62"/>
      <c r="FP5" s="62"/>
      <c r="FQ5" s="62"/>
      <c r="FR5" s="62"/>
      <c r="FS5" s="62"/>
      <c r="FT5" s="62"/>
      <c r="FU5" s="17" t="str">
        <f>IF(SUM(FF5,FJ5)&gt;0,SUM(FF5,FJ5),"")</f>
        <v/>
      </c>
      <c r="FV5" s="17" t="str">
        <f>IF(SUM(FN5,FR5)&gt;0,SUM(FN5,FR5),"")</f>
        <v/>
      </c>
      <c r="FW5" s="17" t="str">
        <f>IF(SUM(FE5:FF5,FH5)-FG5&gt;0,SUM(FE5:FF5,FH5)-FG5,"")</f>
        <v/>
      </c>
      <c r="FX5" s="17" t="str">
        <f>IF(SUM(FI5:FJ5,FL5)-FK5&gt;0,SUM(FI5:FJ5,FL5)-FK5,"")</f>
        <v/>
      </c>
      <c r="FY5" s="17" t="str">
        <f>IF(SUM(FW5:FX5)&gt;0,SUM(FW5:FX5),"")</f>
        <v/>
      </c>
      <c r="FZ5" s="17" t="str">
        <f>IF(SUM(FM5:FN5,FP5:FR5,FT5)-SUM(FO5,FS5)&gt;0,SUM(FM5:FN5,FP5:FR5,FT5)-SUM(FO5,FS5),"")</f>
        <v/>
      </c>
      <c r="GA5" s="17" t="str">
        <f>IF(SUM(FY5,FZ5)&gt;0,SUM(FY5,FZ5),"")</f>
        <v/>
      </c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13" t="str">
        <f>IF(SUM(GC5,GG5)&gt;0,SUM(GC5,GG5),"")</f>
        <v/>
      </c>
      <c r="GS5" s="13" t="str">
        <f>IF(SUM(GK5,GO5)&gt;0,SUM(GK5,GO5),"")</f>
        <v/>
      </c>
      <c r="GT5" s="13" t="str">
        <f>IF(SUM(GB5:GC5,GE5)-GD5&gt;0,SUM(GB5:GC5,GE5)-GD5,"")</f>
        <v/>
      </c>
      <c r="GU5" s="13" t="str">
        <f>IF(SUM(GF5:GG5,GI5)-GH5&gt;0,SUM(GF5:GG5,GI5)-GH5,"")</f>
        <v/>
      </c>
      <c r="GV5" s="13" t="str">
        <f>IF(SUM(GT5:GU5)&gt;0,SUM(GT5:GU5),"")</f>
        <v/>
      </c>
      <c r="GW5" s="13" t="str">
        <f>IF(SUM(GJ5:GK5,GM5:GO5,GQ5)-SUM(GL5,GP5)&gt;0,SUM(GJ5:GK5,GM5:GO5,GQ5)-SUM(GL5,GP5),"")</f>
        <v/>
      </c>
      <c r="GX5" s="13" t="str">
        <f>IF(SUM(GV5,GW5)&gt;0,SUM(GV5,GW5),"")</f>
        <v/>
      </c>
      <c r="GY5" s="62"/>
      <c r="GZ5" s="62"/>
      <c r="HA5" s="62"/>
      <c r="HB5" s="62"/>
      <c r="HC5" s="62"/>
      <c r="HD5" s="62"/>
      <c r="HE5" s="62"/>
      <c r="HF5" s="62"/>
      <c r="HG5" s="62"/>
      <c r="HH5" s="62"/>
      <c r="HI5" s="62"/>
      <c r="HJ5" s="62"/>
      <c r="HK5" s="62"/>
      <c r="HL5" s="62"/>
      <c r="HM5" s="62"/>
      <c r="HN5" s="62"/>
      <c r="HO5" s="17" t="str">
        <f>IF(SUM(GZ5,HD5)&gt;0,SUM(GZ5,HD5),"")</f>
        <v/>
      </c>
      <c r="HP5" s="17" t="str">
        <f>IF(SUM(HH5,HL5)&gt;0,SUM(HH5,HL5),"")</f>
        <v/>
      </c>
      <c r="HQ5" s="17" t="str">
        <f>IF(SUM(GY5:GZ5,HB5)-HA5&gt;0,SUM(GY5:GZ5,HB5)-HA5,"")</f>
        <v/>
      </c>
      <c r="HR5" s="17" t="str">
        <f>IF(SUM(HC5:HD5,HF5)-HE5&gt;0,SUM(HC5:HD5,HF5)-HE5,"")</f>
        <v/>
      </c>
      <c r="HS5" s="17" t="str">
        <f>IF(SUM(HQ5:HR5)&gt;0,SUM(HQ5:HR5),"")</f>
        <v/>
      </c>
      <c r="HT5" s="17" t="str">
        <f>IF(SUM(HG5:HH5,HJ5:HL5,HN5)-SUM(HI5,HM5)&gt;0,SUM(HG5:HH5,HJ5:HL5,HN5)-SUM(HI5,HM5),"")</f>
        <v/>
      </c>
      <c r="HU5" s="17" t="str">
        <f>IF(SUM(HS5,HT5)&gt;0,SUM(HS5,HT5),"")</f>
        <v/>
      </c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13" t="str">
        <f>IF(SUM(HW5,IA5)&gt;0,SUM(HW5,IA5),"")</f>
        <v/>
      </c>
      <c r="IM5" s="13" t="str">
        <f>IF(SUM(IE5,II5)&gt;0,SUM(IE5,II5),"")</f>
        <v/>
      </c>
      <c r="IN5" s="13" t="str">
        <f>IF(SUM(HV5:HW5,HY5)-HX5&gt;0,SUM(HV5:HW5,HY5)-HX5,"")</f>
        <v/>
      </c>
      <c r="IO5" s="13" t="str">
        <f>IF(SUM(HZ5:IA5,IC5)-IB5&gt;0,SUM(HZ5:IA5,IC5)-IB5,"")</f>
        <v/>
      </c>
      <c r="IP5" s="13" t="str">
        <f>IF(SUM(IN5:IO5)&gt;0,SUM(IN5:IO5),"")</f>
        <v/>
      </c>
      <c r="IQ5" s="13" t="str">
        <f>IF(SUM(ID5:IE5,IG5:II5,IK5)-SUM(IF5,IJ5)&gt;0,SUM(ID5:IE5,IG5:II5,IK5)-SUM(IF5,IJ5),"")</f>
        <v/>
      </c>
      <c r="IR5" s="13" t="str">
        <f>IF(SUM(IP5,IQ5)&gt;0,SUM(IP5,IQ5),"")</f>
        <v/>
      </c>
      <c r="IS5" s="62"/>
      <c r="IT5" s="62"/>
      <c r="IU5" s="62"/>
      <c r="IV5" s="62"/>
      <c r="IW5" s="62"/>
      <c r="IX5" s="62"/>
      <c r="IY5" s="62"/>
      <c r="IZ5" s="62"/>
      <c r="JA5" s="62"/>
      <c r="JB5" s="62"/>
      <c r="JC5" s="62"/>
      <c r="JD5" s="62"/>
      <c r="JE5" s="62"/>
      <c r="JF5" s="62"/>
      <c r="JG5" s="62"/>
      <c r="JH5" s="62"/>
      <c r="JI5" s="17" t="str">
        <f>IF(SUM(IT5,IX5)&gt;0,SUM(IT5,IX5),"")</f>
        <v/>
      </c>
      <c r="JJ5" s="17" t="str">
        <f>IF(SUM(JB5,JF5)&gt;0,SUM(JB5,JF5),"")</f>
        <v/>
      </c>
      <c r="JK5" s="17" t="str">
        <f>IF(SUM(IS5:IT5,IV5)-IU5&gt;0,SUM(IS5:IT5,IV5)-IU5,"")</f>
        <v/>
      </c>
      <c r="JL5" s="17" t="str">
        <f>IF(SUM(IW5:IX5,IZ5)-IY5&gt;0,SUM(IW5:IX5,IZ5)-IY5,"")</f>
        <v/>
      </c>
      <c r="JM5" s="17" t="str">
        <f>IF(SUM(JK5:JL5)&gt;0,SUM(JK5:JL5),"")</f>
        <v/>
      </c>
      <c r="JN5" s="17" t="str">
        <f>IF(SUM(JA5:JB5,JD5:JF5,JH5)-SUM(JC5,JG5)&gt;0,SUM(JA5:JB5,JD5:JF5,JH5)-SUM(JC5,JG5),"")</f>
        <v/>
      </c>
      <c r="JO5" s="17" t="str">
        <f>IF(SUM(JM5,JN5)&gt;0,SUM(JM5,JN5),"")</f>
        <v/>
      </c>
      <c r="JP5" s="60"/>
      <c r="JQ5" s="60"/>
      <c r="JR5" s="60"/>
      <c r="JS5" s="60"/>
      <c r="JT5" s="60"/>
      <c r="JU5" s="60"/>
      <c r="JV5" s="60"/>
      <c r="JW5" s="60"/>
      <c r="JX5" s="60"/>
      <c r="JY5" s="60"/>
      <c r="JZ5" s="60"/>
      <c r="KA5" s="60"/>
      <c r="KB5" s="60"/>
      <c r="KC5" s="60"/>
      <c r="KD5" s="60"/>
      <c r="KE5" s="60"/>
      <c r="KF5" s="13" t="str">
        <f>IF(SUM(JQ5,JU5)&gt;0,SUM(JQ5,JU5),"")</f>
        <v/>
      </c>
      <c r="KG5" s="13" t="str">
        <f>IF(SUM(JY5,KC5)&gt;0,SUM(JY5,KC5),"")</f>
        <v/>
      </c>
      <c r="KH5" s="13" t="str">
        <f>IF(SUM(JP5:JQ5,JS5)-JR5&gt;0,SUM(JP5:JQ5,JS5)-JR5,"")</f>
        <v/>
      </c>
      <c r="KI5" s="13" t="str">
        <f>IF(SUM(JT5:JU5,JW5)-JV5&gt;0,SUM(JT5:JU5,JW5)-JV5,"")</f>
        <v/>
      </c>
      <c r="KJ5" s="13" t="str">
        <f>IF(SUM(KH5:KI5)&gt;0,SUM(KH5:KI5),"")</f>
        <v/>
      </c>
      <c r="KK5" s="13" t="str">
        <f>IF(SUM(JX5:JY5,KA5:KC5,KE5)-SUM(JZ5,KD5)&gt;0,SUM(JX5:JY5,KA5:KC5,KE5)-SUM(JZ5,KD5),"")</f>
        <v/>
      </c>
      <c r="KL5" s="13" t="str">
        <f>IF(SUM(KJ5,KK5)&gt;0,SUM(KJ5,KK5),"")</f>
        <v/>
      </c>
      <c r="KM5" s="62"/>
      <c r="KN5" s="62"/>
      <c r="KO5" s="62"/>
      <c r="KP5" s="62"/>
      <c r="KQ5" s="62"/>
      <c r="KR5" s="62"/>
      <c r="KS5" s="62"/>
      <c r="KT5" s="62"/>
      <c r="KU5" s="62"/>
      <c r="KV5" s="62"/>
      <c r="KW5" s="62"/>
      <c r="KX5" s="62"/>
      <c r="KY5" s="62"/>
      <c r="KZ5" s="62"/>
      <c r="LA5" s="62"/>
      <c r="LB5" s="62"/>
      <c r="LC5" s="17" t="str">
        <f>IF(SUM(KN5,KR5)&gt;0,SUM(KN5,KR5),"")</f>
        <v/>
      </c>
      <c r="LD5" s="17" t="str">
        <f>IF(SUM(KV5,KZ5)&gt;0,SUM(KV5,KZ5),"")</f>
        <v/>
      </c>
      <c r="LE5" s="17" t="str">
        <f>IF(SUM(KM5:KN5,KP5)-KO5&gt;0,SUM(KM5:KN5,KP5)-KO5,"")</f>
        <v/>
      </c>
      <c r="LF5" s="17" t="str">
        <f>IF(SUM(KQ5:KR5,KT5)-KS5&gt;0,SUM(KQ5:KR5,KT5)-KS5,"")</f>
        <v/>
      </c>
      <c r="LG5" s="17" t="str">
        <f>IF(SUM(LE5:LF5)&gt;0,SUM(LE5:LF5),"")</f>
        <v/>
      </c>
      <c r="LH5" s="17" t="str">
        <f>IF(SUM(KU5:KV5,KX5:KZ5,LB5)-SUM(KW5,LA5)&gt;0,SUM(KU5:KV5,KX5:KZ5,LB5)-SUM(KW5,LA5),"")</f>
        <v/>
      </c>
      <c r="LI5" s="17" t="str">
        <f>IF(SUM(LG5,LH5)&gt;0,SUM(LG5,LH5),"")</f>
        <v/>
      </c>
      <c r="LJ5" s="60"/>
      <c r="LK5" s="60"/>
      <c r="LL5" s="60"/>
      <c r="LM5" s="60"/>
      <c r="LN5" s="60"/>
      <c r="LO5" s="60"/>
      <c r="LP5" s="60"/>
      <c r="LQ5" s="60"/>
      <c r="LR5" s="60"/>
      <c r="LS5" s="60"/>
      <c r="LT5" s="60"/>
      <c r="LU5" s="60"/>
      <c r="LV5" s="60"/>
      <c r="LW5" s="60"/>
      <c r="LX5" s="60"/>
      <c r="LY5" s="60"/>
      <c r="LZ5" s="13" t="str">
        <f>IF(SUM(LK5,LO5)&gt;0,SUM(LK5,LO5),"")</f>
        <v/>
      </c>
      <c r="MA5" s="13" t="str">
        <f>IF(SUM(LS5,LW5)&gt;0,SUM(LS5,LW5),"")</f>
        <v/>
      </c>
      <c r="MB5" s="13" t="str">
        <f>IF(SUM(LJ5:LK5,LM5)-LL5&gt;0,SUM(LJ5:LK5,LM5)-LL5,"")</f>
        <v/>
      </c>
      <c r="MC5" s="13" t="str">
        <f>IF(SUM(LN5:LO5,LQ5)-LP5&gt;0,SUM(LN5:LO5,LQ5)-LP5,"")</f>
        <v/>
      </c>
      <c r="MD5" s="13" t="str">
        <f>IF(SUM(MB5:MC5)&gt;0,SUM(MB5:MC5),"")</f>
        <v/>
      </c>
      <c r="ME5" s="13" t="str">
        <f>IF(SUM(LR5:LS5,LU5:LW5,LY5)-SUM(LT5,LX5)&gt;0,SUM(LR5:LS5,LU5:LW5,LY5)-SUM(LT5,LX5),"")</f>
        <v/>
      </c>
      <c r="MF5" s="13" t="str">
        <f>IF(SUM(MD5,ME5)&gt;0,SUM(MD5,ME5),"")</f>
        <v/>
      </c>
      <c r="MG5" s="62"/>
      <c r="MH5" s="62"/>
      <c r="MI5" s="62"/>
      <c r="MJ5" s="62"/>
      <c r="MK5" s="62"/>
      <c r="ML5" s="62"/>
      <c r="MM5" s="62"/>
      <c r="MN5" s="62"/>
      <c r="MO5" s="62"/>
      <c r="MP5" s="62"/>
      <c r="MQ5" s="62"/>
      <c r="MR5" s="62"/>
      <c r="MS5" s="62"/>
      <c r="MT5" s="62"/>
      <c r="MU5" s="62"/>
      <c r="MV5" s="62"/>
      <c r="MW5" s="17" t="str">
        <f>IF(SUM(MH5,ML5)&gt;0,SUM(MH5,ML5),"")</f>
        <v/>
      </c>
      <c r="MX5" s="17" t="str">
        <f>IF(SUM(MP5,MT5)&gt;0,SUM(MP5,MT5),"")</f>
        <v/>
      </c>
      <c r="MY5" s="17" t="str">
        <f>IF(SUM(MG5:MH5,MJ5)-MI5&gt;0,SUM(MG5:MH5,MJ5)-MI5,"")</f>
        <v/>
      </c>
      <c r="MZ5" s="17" t="str">
        <f>IF(SUM(MK5:ML5,MN5)-MM5&gt;0,SUM(MK5:ML5,MN5)-MM5,"")</f>
        <v/>
      </c>
      <c r="NA5" s="17" t="str">
        <f>IF(SUM(MY5:MZ5)&gt;0,SUM(MY5:MZ5),"")</f>
        <v/>
      </c>
      <c r="NB5" s="17" t="str">
        <f>IF(SUM(MO5:MP5,MR5:MT5,MV5)-SUM(MQ5,MU5)&gt;0,SUM(MO5:MP5,MR5:MT5,MV5)-SUM(MQ5,MU5),"")</f>
        <v/>
      </c>
      <c r="NC5" s="17" t="str">
        <f>IF(SUM(NA5,NB5)&gt;0,SUM(NA5,NB5),"")</f>
        <v/>
      </c>
    </row>
    <row r="6" spans="1:367" x14ac:dyDescent="0.2">
      <c r="A6" s="6" t="str">
        <f ca="1">IF(AND(F6="P",G6="P"),SUMPRODUCT((F$4:F$7="P")*(G$4:G$7="P")*(E$4:E$7&gt;E6))+1,IF(G6="P",SUMPRODUCT((F$4:F$7="")*(G$4:G$7="P")*(E$4:E$7&gt;E6))+1+SUMPRODUCT((F$4:F$7="P")*(G$4:G$7="P")),""))</f>
        <v/>
      </c>
      <c r="B6" s="9" t="s">
        <v>96</v>
      </c>
      <c r="C6" s="5" t="s">
        <v>4</v>
      </c>
      <c r="D6" s="46"/>
      <c r="E6" s="18">
        <f>SUM(I6:Q6)</f>
        <v>178.8</v>
      </c>
      <c r="F6" s="4" t="str">
        <f>IF(OR(AND(AJ6&gt;=C$11,NOT(AJ6="")),AND(AK6&gt;=C$11,NOT(AK6="")),AND(BG6&gt;=C$11,NOT(BG6="")),AND(BH6&gt;=C$11,NOT(BH6="")),AND(CD6&gt;=C$11,NOT(CD6="")),AND(CE6&gt;=C$11,NOT(CE6=""))),"P","")</f>
        <v>P</v>
      </c>
      <c r="G6" s="4" t="str">
        <f ca="1">IF(OR(I6&gt;=C$13,AND(I6&gt;$C$12,YEAR(TODAY())-$D6&lt;2)),"P","")</f>
        <v/>
      </c>
      <c r="H6" t="str">
        <f ca="1">IF(F6="P",IF(I6&gt;=C$15,"Merit",IF(I6&gt;=C$14,"Funding",IF(I6&gt;=C$13,"Team",IF(AND(I6&gt;C$12,YEAR(TODAY())-$D6&lt;2),"First 2 Years","")))),IF(AND(I6&gt;C$12,YEAR(TODAY())-$D6&lt;2),"First 2 Years",""))</f>
        <v/>
      </c>
      <c r="I6" s="17">
        <f>MAX(AN6,BK6,CH6)</f>
        <v>61</v>
      </c>
      <c r="J6" s="17" t="str">
        <f>IF(I6=CH6,$BN$1,IF(I6=BK6,$AQ$1,IF(I6=AN6,$T$1,"")))</f>
        <v>2017 Nationals</v>
      </c>
      <c r="K6" s="17">
        <f>IF($I6=$AN6,MAX(BI6,CF6),IF($I6=$BK6,MAX(AL6,CF6),MAX(AL6,BI6)))</f>
        <v>30.700000000000003</v>
      </c>
      <c r="L6" s="17" t="str">
        <f>IF(K6=CF6,$BN$1,IF(K6=BI6,$AQ$1,IF(K6=AL6,$T$1,"")))</f>
        <v>2017 3rd Domestic Trial</v>
      </c>
      <c r="M6" s="17">
        <f>IF($I6=$AN6,MAX(BJ6,CG6),IF($I6=$BK6,MAX(AM6,CG6),MAX(AM6,BJ6)))</f>
        <v>27.3</v>
      </c>
      <c r="N6" s="17" t="str">
        <f>IF(M6=CG6,$BN$1,IF(M6=BJ6,$AQ$1,IF(M6=AM6,$T$1,"")))</f>
        <v>2017 3rd Domestic Trial</v>
      </c>
      <c r="O6" s="17">
        <f>MAX(AO6,BL6,CI6)</f>
        <v>57.9</v>
      </c>
      <c r="P6" s="17" t="str">
        <f>IF(O6=CI6,$BN$1,IF(O6=BL6,$AQ$1,IF(O6=AO6,$T$1,"")))</f>
        <v>2017 3rd Domestic Trial</v>
      </c>
      <c r="Q6" s="17">
        <f>IF(MAX(CK6:CM6)&gt;0,MAX(CK6:CM6),"")</f>
        <v>1.8999999999999986</v>
      </c>
      <c r="R6" s="44" t="str">
        <f>IF(Q6="","",IF(Q6=CK6,"(Pass 1)",IF(Q6=CL6,"(Pass 2)",IF(Q6=CM6,"(Final)"))))</f>
        <v>(Pass 2)</v>
      </c>
      <c r="S6" s="17" t="str">
        <f>IF(Q6="","",IF(Q6=CK6,IF(Q6+K6=MY6,$MG$1,IF(Q6+K6=MB6,$LJ$1,IF(Q6+K6=LE6,$KM$1,IF(Q6+K6=KH6,$JP$1,IF(Q6+K6=JK6,$IS$1,IF(Q6+K6=IN6,$HV$1,IF(Q6+K6=HQ6,$GY$1,IF(Q6+K6=GT6,$GB$1,IF(Q6+K6=FW6,$FE$1,IF(Q6+K6=EZ6,$EH$1,IF(Q6+K6=EC6,$DK$1,IF(Q6+K6=DF6,$CN$1)))))))))))),IF(Q6=CL6,IF(Q6+M6=MZ6,$MG$1,IF(Q6+M6=MC6,$LJ$1,IF(Q6+M6=LF6,$KM$1,IF(Q6+M6=KI6,$JP$1,IF(Q6+M6=JL6,$IS$1,IF(Q6+M6=IO6,$HV$1,IF(Q6+M6=HR6,$GY$1,IF(Q6+M6=GU6,$GB$1,IF(Q6+M6=FX6,$FE$1,IF(Q6+M6=FA6,$EH$1,IF(Q6+M6=ED6,$DK$1,IF(Q6+M6=DG6,$CN$1)))))))))))),IF(Q6=CM6,IF(Q6+O6=NB6,$MG$1,IF(Q6+O6=ME6,$LJ$1,IF(Q6+O6=LH6,$KM$1,IF(Q6+O6=KK6,$JP$1,IF(Q6+O6=JN6,$IS$1,IF(Q6+O6=IQ6,$HV$1,IF(Q6+O6=HT6,$GY$1,IF(Q6+O6=GW6,$GB$1,IF(Q6+O6=FZ6,$FE$1,IF(Q6+O6=FC6,$EH$1,IF(Q6+O6=EF6,$DK$1,IF(Q6+O6=DI6,$CN$1))))))))))))))))</f>
        <v>2017 World Cup POR (Sept)</v>
      </c>
      <c r="T6" s="60">
        <v>26.3</v>
      </c>
      <c r="U6" s="60">
        <v>3.6</v>
      </c>
      <c r="V6" s="60">
        <v>3.3</v>
      </c>
      <c r="W6" s="60">
        <v>0</v>
      </c>
      <c r="X6" s="60">
        <v>23.6</v>
      </c>
      <c r="Y6" s="60">
        <v>1.9</v>
      </c>
      <c r="Z6" s="60">
        <v>0</v>
      </c>
      <c r="AA6" s="60">
        <v>0</v>
      </c>
      <c r="AB6" s="60">
        <v>24.3</v>
      </c>
      <c r="AC6" s="60">
        <v>3.6</v>
      </c>
      <c r="AD6" s="60">
        <v>0.3</v>
      </c>
      <c r="AE6" s="60">
        <v>0</v>
      </c>
      <c r="AF6" s="60">
        <v>24.1</v>
      </c>
      <c r="AG6" s="60">
        <v>1.9</v>
      </c>
      <c r="AH6" s="60">
        <v>0</v>
      </c>
      <c r="AI6" s="60">
        <v>0</v>
      </c>
      <c r="AJ6" s="13">
        <f>IF(SUM(U6,Y6)&gt;0,SUM(U6,Y6),"")</f>
        <v>5.5</v>
      </c>
      <c r="AK6" s="13">
        <f>IF(SUM(AC6,AG6)&gt;0,SUM(AC6,AG6),"")</f>
        <v>5.5</v>
      </c>
      <c r="AL6" s="13">
        <f>IF(SUM(T6:U6,W6)-V6&gt;0,SUM(T6:U6,W6)-V6,"")</f>
        <v>26.6</v>
      </c>
      <c r="AM6" s="13">
        <f>IF(SUM(X6:Y6,AA6)-Z6&gt;0,SUM(X6:Y6,AA6)-Z6,"")</f>
        <v>25.5</v>
      </c>
      <c r="AN6" s="13">
        <f>IF(SUM(AL6:AM6)&gt;0,SUM(AL6:AM6),"")</f>
        <v>52.1</v>
      </c>
      <c r="AO6" s="13">
        <f>IF(SUM(AB6:AC6,AE6:AG6,AI6)-SUM(AD6,AH6)&gt;0,SUM(AB6:AC6,AE6:AG6,AI6)-SUM(AD6,AH6),"")</f>
        <v>53.6</v>
      </c>
      <c r="AP6" s="13">
        <f>IF(SUM(AN6,AO6)&gt;0,SUM(AN6,AO6),"")</f>
        <v>105.7</v>
      </c>
      <c r="AQ6" s="66">
        <v>24.6</v>
      </c>
      <c r="AR6" s="66">
        <v>6.1</v>
      </c>
      <c r="AS6" s="66">
        <v>0</v>
      </c>
      <c r="AT6" s="66">
        <v>0</v>
      </c>
      <c r="AU6" s="66">
        <v>26</v>
      </c>
      <c r="AV6" s="66">
        <v>4.3</v>
      </c>
      <c r="AW6" s="66">
        <v>0</v>
      </c>
      <c r="AX6" s="66">
        <v>0</v>
      </c>
      <c r="AY6" s="66">
        <v>21.6</v>
      </c>
      <c r="AZ6" s="66">
        <v>2.9</v>
      </c>
      <c r="BA6" s="66">
        <v>0</v>
      </c>
      <c r="BB6" s="66">
        <v>0</v>
      </c>
      <c r="BC6" s="66">
        <v>25.2</v>
      </c>
      <c r="BD6" s="66">
        <v>4.3</v>
      </c>
      <c r="BE6" s="66">
        <v>0</v>
      </c>
      <c r="BF6" s="66">
        <v>0</v>
      </c>
      <c r="BG6" s="17">
        <f>IF(SUM(AR6,AV6)&gt;0,SUM(AR6,AV6),"")</f>
        <v>10.399999999999999</v>
      </c>
      <c r="BH6" s="17">
        <f>IF(SUM(AZ6,BD6)&gt;0,SUM(AZ6,BD6),"")</f>
        <v>7.1999999999999993</v>
      </c>
      <c r="BI6" s="17">
        <f>IF(SUM(AQ6:AR6,AT6)-AS6&gt;0,SUM(AQ6:AR6,AT6)-AS6,"")</f>
        <v>30.700000000000003</v>
      </c>
      <c r="BJ6" s="17">
        <f>IF(SUM(AU6:AV6,AX6)-AW6&gt;0,SUM(AU6:AV6,AX6)-AW6,"")</f>
        <v>30.3</v>
      </c>
      <c r="BK6" s="17">
        <f>IF(SUM(BI6:BJ6)&gt;0,SUM(BI6:BJ6),"")</f>
        <v>61</v>
      </c>
      <c r="BL6" s="17">
        <f>IF(SUM(AY6:AZ6,BB6:BD6,BF6)-SUM(BA6,BE6)&gt;0,SUM(AY6:AZ6,BB6:BD6,BF6)-SUM(BA6,BE6),"")</f>
        <v>54</v>
      </c>
      <c r="BM6" s="17">
        <f>IF(SUM(BK6,BL6)&gt;0,SUM(BK6,BL6),"")</f>
        <v>115</v>
      </c>
      <c r="BN6" s="60">
        <v>24.6</v>
      </c>
      <c r="BO6" s="60">
        <v>5.0999999999999996</v>
      </c>
      <c r="BP6" s="60">
        <v>0</v>
      </c>
      <c r="BQ6" s="60">
        <v>1</v>
      </c>
      <c r="BR6" s="60">
        <v>23.3</v>
      </c>
      <c r="BS6" s="60">
        <v>4.3</v>
      </c>
      <c r="BT6" s="60">
        <v>0.3</v>
      </c>
      <c r="BU6" s="60">
        <v>0</v>
      </c>
      <c r="BV6" s="60">
        <v>25.2</v>
      </c>
      <c r="BW6" s="60">
        <v>6.1</v>
      </c>
      <c r="BX6" s="60">
        <v>0</v>
      </c>
      <c r="BY6" s="60">
        <v>0</v>
      </c>
      <c r="BZ6" s="60">
        <v>24.7</v>
      </c>
      <c r="CA6" s="60">
        <v>1.9</v>
      </c>
      <c r="CB6" s="60">
        <v>0</v>
      </c>
      <c r="CC6" s="60">
        <v>0</v>
      </c>
      <c r="CD6" s="13">
        <f>IF(SUM(BO6,BS6)&gt;0,SUM(BO6,BS6),"")</f>
        <v>9.3999999999999986</v>
      </c>
      <c r="CE6" s="13">
        <f>IF(SUM(BW6,CA6)&gt;0,SUM(BW6,CA6),"")</f>
        <v>8</v>
      </c>
      <c r="CF6" s="13">
        <f>IF(SUM(BN6:BO6,BQ6)-BP6&gt;0,SUM(BN6:BO6,BQ6)-BP6,"")</f>
        <v>30.700000000000003</v>
      </c>
      <c r="CG6" s="13">
        <f>IF(SUM(BR6:BS6,BU6)-BT6&gt;0,SUM(BR6:BS6,BU6)-BT6,"")</f>
        <v>27.3</v>
      </c>
      <c r="CH6" s="13">
        <f>IF(SUM(CF6:CG6)&gt;0,SUM(CF6:CG6),"")</f>
        <v>58</v>
      </c>
      <c r="CI6" s="13">
        <f>IF(SUM(BV6:BW6,BY6:CA6,CC6)-SUM(BX6,CB6)&gt;0,SUM(BV6:BW6,BY6:CA6,CC6)-SUM(BX6,CB6),"")</f>
        <v>57.9</v>
      </c>
      <c r="CJ6" s="13">
        <f>IF(SUM(CH6,CI6)&gt;0,SUM(CH6,CI6),"")</f>
        <v>115.9</v>
      </c>
      <c r="CK6" s="43" t="str">
        <f>IF(MAX(DF6,EC6,EZ6,FW6,GT6,HQ6,IN6,JK6,KH6,LE6,MB6,MY6)-K6&gt;0.001,MAX(DF6,EC6,EZ6,FW6,GT6,HQ6,IN6,JK6,KH6,LE6,MB6,MY6)-K6,"")</f>
        <v/>
      </c>
      <c r="CL6" s="43">
        <f>IF(MAX(DG6,ED6,FA6,FX6,GU6,HR6,IO6,JL6,KI6,LF6,MC6,MZ6)-M6&gt;0.001,MAX(DG6,ED6,FA6,FX6,GU6,HR6,IO6,JL6,KI6,LF6,MC6,MZ6)-M6,"")</f>
        <v>1.8999999999999986</v>
      </c>
      <c r="CM6" s="43" t="str">
        <f>IF(MAX(DI6,EF6,FC6,FZ6,GW6,HT6,IQ6,JN6,KK6,LH6,ME6,NB6)-O6&gt;0.001,MAX(DI6,EF6,FC6,FZ6,GW6,HT6,IQ6,JN6,KK6,LH6,ME6,NB6)-O6,"")</f>
        <v/>
      </c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13" t="str">
        <f>IF(SUM(CO6,CS6)&gt;0,SUM(CO6,CS6),"")</f>
        <v/>
      </c>
      <c r="DE6" s="13" t="str">
        <f>IF(SUM(CW6,DA6)&gt;0,SUM(CW6,DA6),"")</f>
        <v/>
      </c>
      <c r="DF6" s="13" t="str">
        <f>IF(SUM(CN6:CO6,CQ6)-CP6&gt;0,SUM(CN6:CO6,CQ6)-CP6,"")</f>
        <v/>
      </c>
      <c r="DG6" s="13" t="str">
        <f>IF(SUM(CR6:CS6,CU6)-CT6&gt;0,SUM(CR6:CS6,CU6)-CT6,"")</f>
        <v/>
      </c>
      <c r="DH6" s="13" t="str">
        <f>IF(SUM(DF6:DG6)&gt;0,SUM(DF6:DG6),"")</f>
        <v/>
      </c>
      <c r="DI6" s="13" t="str">
        <f>IF(SUM(CV6:CW6,CY6:DA6,DC6)-SUM(CX6,DB6)&gt;0,SUM(CV6:CW6,CY6:DA6,DC6)-SUM(CX6,DB6),"")</f>
        <v/>
      </c>
      <c r="DJ6" s="13" t="str">
        <f>IF(SUM(DH6,DI6)&gt;0,SUM(DH6,DI6),"")</f>
        <v/>
      </c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17" t="str">
        <f>IF(SUM(DL6,DP6)&gt;0,SUM(DL6,DP6),"")</f>
        <v/>
      </c>
      <c r="EB6" s="17" t="str">
        <f>IF(SUM(DT6,DX6)&gt;0,SUM(DT6,DX6),"")</f>
        <v/>
      </c>
      <c r="EC6" s="17" t="str">
        <f>IF(SUM(DK6:DL6,DN6)-DM6&gt;0,SUM(DK6:DL6,DN6)-DM6,"")</f>
        <v/>
      </c>
      <c r="ED6" s="17" t="str">
        <f>IF(SUM(DO6:DP6,DR6)-DQ6&gt;0,SUM(DO6:DP6,DR6)-DQ6,"")</f>
        <v/>
      </c>
      <c r="EE6" s="17" t="str">
        <f>IF(SUM(EC6:ED6)&gt;0,SUM(EC6:ED6),"")</f>
        <v/>
      </c>
      <c r="EF6" s="17" t="str">
        <f>IF(SUM(DS6:DT6,DV6:DX6,DZ6)-SUM(DU6,DY6)&gt;0,SUM(DS6:DT6,DV6:DX6,DZ6)-SUM(DU6,DY6),"")</f>
        <v/>
      </c>
      <c r="EG6" s="17" t="str">
        <f>IF(SUM(EE6,EF6)&gt;0,SUM(EE6,EF6),"")</f>
        <v/>
      </c>
      <c r="EH6" s="60">
        <v>23.4</v>
      </c>
      <c r="EI6" s="60">
        <v>6.5</v>
      </c>
      <c r="EJ6" s="60">
        <v>0</v>
      </c>
      <c r="EK6" s="60">
        <v>0</v>
      </c>
      <c r="EL6" s="60">
        <v>24.9</v>
      </c>
      <c r="EM6" s="60">
        <v>4.3</v>
      </c>
      <c r="EN6" s="60">
        <v>0</v>
      </c>
      <c r="EO6" s="60">
        <v>0</v>
      </c>
      <c r="EP6" s="60"/>
      <c r="EQ6" s="60"/>
      <c r="ER6" s="60"/>
      <c r="ES6" s="60"/>
      <c r="ET6" s="60"/>
      <c r="EU6" s="60"/>
      <c r="EV6" s="60"/>
      <c r="EW6" s="60"/>
      <c r="EX6" s="13">
        <f>IF(SUM(EI6,EM6)&gt;0,SUM(EI6,EM6),"")</f>
        <v>10.8</v>
      </c>
      <c r="EY6" s="13" t="str">
        <f>IF(SUM(EQ6,EU6)&gt;0,SUM(EQ6,EU6),"")</f>
        <v/>
      </c>
      <c r="EZ6" s="13">
        <f>IF(SUM(EH6:EI6,EK6)-EJ6&gt;0,SUM(EH6:EI6,EK6)-EJ6,"")</f>
        <v>29.9</v>
      </c>
      <c r="FA6" s="13">
        <f>IF(SUM(EL6:EM6,EO6)-EN6&gt;0,SUM(EL6:EM6,EO6)-EN6,"")</f>
        <v>29.2</v>
      </c>
      <c r="FB6" s="13">
        <f>IF(SUM(EZ6:FA6)&gt;0,SUM(EZ6:FA6),"")</f>
        <v>59.099999999999994</v>
      </c>
      <c r="FC6" s="13" t="str">
        <f>IF(SUM(EP6:EQ6,ES6:EU6,EW6)-SUM(ER6,EV6)&gt;0,SUM(EP6:EQ6,ES6:EU6,EW6)-SUM(ER6,EV6),"")</f>
        <v/>
      </c>
      <c r="FD6" s="13">
        <f>IF(SUM(FB6,FC6)&gt;0,SUM(FB6,FC6),"")</f>
        <v>59.099999999999994</v>
      </c>
      <c r="FE6" s="62"/>
      <c r="FF6" s="62"/>
      <c r="FG6" s="62"/>
      <c r="FH6" s="62"/>
      <c r="FI6" s="62"/>
      <c r="FJ6" s="62"/>
      <c r="FK6" s="62"/>
      <c r="FL6" s="62"/>
      <c r="FM6" s="62"/>
      <c r="FN6" s="62"/>
      <c r="FO6" s="62"/>
      <c r="FP6" s="62"/>
      <c r="FQ6" s="62"/>
      <c r="FR6" s="62"/>
      <c r="FS6" s="62"/>
      <c r="FT6" s="62"/>
      <c r="FU6" s="17" t="str">
        <f>IF(SUM(FF6,FJ6)&gt;0,SUM(FF6,FJ6),"")</f>
        <v/>
      </c>
      <c r="FV6" s="17" t="str">
        <f>IF(SUM(FN6,FR6)&gt;0,SUM(FN6,FR6),"")</f>
        <v/>
      </c>
      <c r="FW6" s="17" t="str">
        <f>IF(SUM(FE6:FF6,FH6)-FG6&gt;0,SUM(FE6:FF6,FH6)-FG6,"")</f>
        <v/>
      </c>
      <c r="FX6" s="17" t="str">
        <f>IF(SUM(FI6:FJ6,FL6)-FK6&gt;0,SUM(FI6:FJ6,FL6)-FK6,"")</f>
        <v/>
      </c>
      <c r="FY6" s="17" t="str">
        <f>IF(SUM(FW6:FX6)&gt;0,SUM(FW6:FX6),"")</f>
        <v/>
      </c>
      <c r="FZ6" s="17" t="str">
        <f>IF(SUM(FM6:FN6,FP6:FR6,FT6)-SUM(FO6,FS6)&gt;0,SUM(FM6:FN6,FP6:FR6,FT6)-SUM(FO6,FS6),"")</f>
        <v/>
      </c>
      <c r="GA6" s="17" t="str">
        <f>IF(SUM(FY6,FZ6)&gt;0,SUM(FY6,FZ6),"")</f>
        <v/>
      </c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13" t="str">
        <f>IF(SUM(GC6,GG6)&gt;0,SUM(GC6,GG6),"")</f>
        <v/>
      </c>
      <c r="GS6" s="13" t="str">
        <f>IF(SUM(GK6,GO6)&gt;0,SUM(GK6,GO6),"")</f>
        <v/>
      </c>
      <c r="GT6" s="13" t="str">
        <f>IF(SUM(GB6:GC6,GE6)-GD6&gt;0,SUM(GB6:GC6,GE6)-GD6,"")</f>
        <v/>
      </c>
      <c r="GU6" s="13" t="str">
        <f>IF(SUM(GF6:GG6,GI6)-GH6&gt;0,SUM(GF6:GG6,GI6)-GH6,"")</f>
        <v/>
      </c>
      <c r="GV6" s="13" t="str">
        <f>IF(SUM(GT6:GU6)&gt;0,SUM(GT6:GU6),"")</f>
        <v/>
      </c>
      <c r="GW6" s="13" t="str">
        <f>IF(SUM(GJ6:GK6,GM6:GO6,GQ6)-SUM(GL6,GP6)&gt;0,SUM(GJ6:GK6,GM6:GO6,GQ6)-SUM(GL6,GP6),"")</f>
        <v/>
      </c>
      <c r="GX6" s="13" t="str">
        <f>IF(SUM(GV6,GW6)&gt;0,SUM(GV6,GW6),"")</f>
        <v/>
      </c>
      <c r="GY6" s="62"/>
      <c r="GZ6" s="62"/>
      <c r="HA6" s="62"/>
      <c r="HB6" s="62"/>
      <c r="HC6" s="62"/>
      <c r="HD6" s="62"/>
      <c r="HE6" s="62"/>
      <c r="HF6" s="62"/>
      <c r="HG6" s="62"/>
      <c r="HH6" s="62"/>
      <c r="HI6" s="62"/>
      <c r="HJ6" s="62"/>
      <c r="HK6" s="62"/>
      <c r="HL6" s="62"/>
      <c r="HM6" s="62"/>
      <c r="HN6" s="62"/>
      <c r="HO6" s="17" t="str">
        <f>IF(SUM(GZ6,HD6)&gt;0,SUM(GZ6,HD6),"")</f>
        <v/>
      </c>
      <c r="HP6" s="17" t="str">
        <f>IF(SUM(HH6,HL6)&gt;0,SUM(HH6,HL6),"")</f>
        <v/>
      </c>
      <c r="HQ6" s="17" t="str">
        <f>IF(SUM(GY6:GZ6,HB6)-HA6&gt;0,SUM(GY6:GZ6,HB6)-HA6,"")</f>
        <v/>
      </c>
      <c r="HR6" s="17" t="str">
        <f>IF(SUM(HC6:HD6,HF6)-HE6&gt;0,SUM(HC6:HD6,HF6)-HE6,"")</f>
        <v/>
      </c>
      <c r="HS6" s="17" t="str">
        <f>IF(SUM(HQ6:HR6)&gt;0,SUM(HQ6:HR6),"")</f>
        <v/>
      </c>
      <c r="HT6" s="17" t="str">
        <f>IF(SUM(HG6:HH6,HJ6:HL6,HN6)-SUM(HI6,HM6)&gt;0,SUM(HG6:HH6,HJ6:HL6,HN6)-SUM(HI6,HM6),"")</f>
        <v/>
      </c>
      <c r="HU6" s="17" t="str">
        <f>IF(SUM(HS6,HT6)&gt;0,SUM(HS6,HT6),"")</f>
        <v/>
      </c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13" t="str">
        <f>IF(SUM(HW6,IA6)&gt;0,SUM(HW6,IA6),"")</f>
        <v/>
      </c>
      <c r="IM6" s="13" t="str">
        <f>IF(SUM(IE6,II6)&gt;0,SUM(IE6,II6),"")</f>
        <v/>
      </c>
      <c r="IN6" s="13" t="str">
        <f>IF(SUM(HV6:HW6,HY6)-HX6&gt;0,SUM(HV6:HW6,HY6)-HX6,"")</f>
        <v/>
      </c>
      <c r="IO6" s="13" t="str">
        <f>IF(SUM(HZ6:IA6,IC6)-IB6&gt;0,SUM(HZ6:IA6,IC6)-IB6,"")</f>
        <v/>
      </c>
      <c r="IP6" s="13" t="str">
        <f>IF(SUM(IN6:IO6)&gt;0,SUM(IN6:IO6),"")</f>
        <v/>
      </c>
      <c r="IQ6" s="13" t="str">
        <f>IF(SUM(ID6:IE6,IG6:II6,IK6)-SUM(IF6,IJ6)&gt;0,SUM(ID6:IE6,IG6:II6,IK6)-SUM(IF6,IJ6),"")</f>
        <v/>
      </c>
      <c r="IR6" s="13" t="str">
        <f>IF(SUM(IP6,IQ6)&gt;0,SUM(IP6,IQ6),"")</f>
        <v/>
      </c>
      <c r="IS6" s="62"/>
      <c r="IT6" s="62"/>
      <c r="IU6" s="62"/>
      <c r="IV6" s="62"/>
      <c r="IW6" s="62"/>
      <c r="IX6" s="62"/>
      <c r="IY6" s="62"/>
      <c r="IZ6" s="62"/>
      <c r="JA6" s="62"/>
      <c r="JB6" s="62"/>
      <c r="JC6" s="62"/>
      <c r="JD6" s="62"/>
      <c r="JE6" s="62"/>
      <c r="JF6" s="62"/>
      <c r="JG6" s="62"/>
      <c r="JH6" s="62"/>
      <c r="JI6" s="17" t="str">
        <f>IF(SUM(IT6,IX6)&gt;0,SUM(IT6,IX6),"")</f>
        <v/>
      </c>
      <c r="JJ6" s="17" t="str">
        <f>IF(SUM(JB6,JF6)&gt;0,SUM(JB6,JF6),"")</f>
        <v/>
      </c>
      <c r="JK6" s="17" t="str">
        <f>IF(SUM(IS6:IT6,IV6)-IU6&gt;0,SUM(IS6:IT6,IV6)-IU6,"")</f>
        <v/>
      </c>
      <c r="JL6" s="17" t="str">
        <f>IF(SUM(IW6:IX6,IZ6)-IY6&gt;0,SUM(IW6:IX6,IZ6)-IY6,"")</f>
        <v/>
      </c>
      <c r="JM6" s="17" t="str">
        <f>IF(SUM(JK6:JL6)&gt;0,SUM(JK6:JL6),"")</f>
        <v/>
      </c>
      <c r="JN6" s="17" t="str">
        <f>IF(SUM(JA6:JB6,JD6:JF6,JH6)-SUM(JC6,JG6)&gt;0,SUM(JA6:JB6,JD6:JF6,JH6)-SUM(JC6,JG6),"")</f>
        <v/>
      </c>
      <c r="JO6" s="17" t="str">
        <f>IF(SUM(JM6,JN6)&gt;0,SUM(JM6,JN6),"")</f>
        <v/>
      </c>
      <c r="JP6" s="60"/>
      <c r="JQ6" s="60"/>
      <c r="JR6" s="60"/>
      <c r="JS6" s="60"/>
      <c r="JT6" s="60"/>
      <c r="JU6" s="60"/>
      <c r="JV6" s="60"/>
      <c r="JW6" s="60"/>
      <c r="JX6" s="60"/>
      <c r="JY6" s="60"/>
      <c r="JZ6" s="60"/>
      <c r="KA6" s="60"/>
      <c r="KB6" s="60"/>
      <c r="KC6" s="60"/>
      <c r="KD6" s="60"/>
      <c r="KE6" s="60"/>
      <c r="KF6" s="13" t="str">
        <f>IF(SUM(JQ6,JU6)&gt;0,SUM(JQ6,JU6),"")</f>
        <v/>
      </c>
      <c r="KG6" s="13" t="str">
        <f>IF(SUM(JY6,KC6)&gt;0,SUM(JY6,KC6),"")</f>
        <v/>
      </c>
      <c r="KH6" s="13" t="str">
        <f>IF(SUM(JP6:JQ6,JS6)-JR6&gt;0,SUM(JP6:JQ6,JS6)-JR6,"")</f>
        <v/>
      </c>
      <c r="KI6" s="13" t="str">
        <f>IF(SUM(JT6:JU6,JW6)-JV6&gt;0,SUM(JT6:JU6,JW6)-JV6,"")</f>
        <v/>
      </c>
      <c r="KJ6" s="13" t="str">
        <f>IF(SUM(KH6:KI6)&gt;0,SUM(KH6:KI6),"")</f>
        <v/>
      </c>
      <c r="KK6" s="13" t="str">
        <f>IF(SUM(JX6:JY6,KA6:KC6,KE6)-SUM(JZ6,KD6)&gt;0,SUM(JX6:JY6,KA6:KC6,KE6)-SUM(JZ6,KD6),"")</f>
        <v/>
      </c>
      <c r="KL6" s="13" t="str">
        <f>IF(SUM(KJ6,KK6)&gt;0,SUM(KJ6,KK6),"")</f>
        <v/>
      </c>
      <c r="KM6" s="62"/>
      <c r="KN6" s="62"/>
      <c r="KO6" s="62"/>
      <c r="KP6" s="62"/>
      <c r="KQ6" s="62"/>
      <c r="KR6" s="62"/>
      <c r="KS6" s="62"/>
      <c r="KT6" s="62"/>
      <c r="KU6" s="62"/>
      <c r="KV6" s="62"/>
      <c r="KW6" s="62"/>
      <c r="KX6" s="62"/>
      <c r="KY6" s="62"/>
      <c r="KZ6" s="62"/>
      <c r="LA6" s="62"/>
      <c r="LB6" s="62"/>
      <c r="LC6" s="17" t="str">
        <f>IF(SUM(KN6,KR6)&gt;0,SUM(KN6,KR6),"")</f>
        <v/>
      </c>
      <c r="LD6" s="17" t="str">
        <f>IF(SUM(KV6,KZ6)&gt;0,SUM(KV6,KZ6),"")</f>
        <v/>
      </c>
      <c r="LE6" s="17" t="str">
        <f>IF(SUM(KM6:KN6,KP6)-KO6&gt;0,SUM(KM6:KN6,KP6)-KO6,"")</f>
        <v/>
      </c>
      <c r="LF6" s="17" t="str">
        <f>IF(SUM(KQ6:KR6,KT6)-KS6&gt;0,SUM(KQ6:KR6,KT6)-KS6,"")</f>
        <v/>
      </c>
      <c r="LG6" s="17" t="str">
        <f>IF(SUM(LE6:LF6)&gt;0,SUM(LE6:LF6),"")</f>
        <v/>
      </c>
      <c r="LH6" s="17" t="str">
        <f>IF(SUM(KU6:KV6,KX6:KZ6,LB6)-SUM(KW6,LA6)&gt;0,SUM(KU6:KV6,KX6:KZ6,LB6)-SUM(KW6,LA6),"")</f>
        <v/>
      </c>
      <c r="LI6" s="17" t="str">
        <f>IF(SUM(LG6,LH6)&gt;0,SUM(LG6,LH6),"")</f>
        <v/>
      </c>
      <c r="LJ6" s="60"/>
      <c r="LK6" s="60"/>
      <c r="LL6" s="60"/>
      <c r="LM6" s="60"/>
      <c r="LN6" s="60"/>
      <c r="LO6" s="60"/>
      <c r="LP6" s="60"/>
      <c r="LQ6" s="60"/>
      <c r="LR6" s="60"/>
      <c r="LS6" s="60"/>
      <c r="LT6" s="60"/>
      <c r="LU6" s="60"/>
      <c r="LV6" s="60"/>
      <c r="LW6" s="60"/>
      <c r="LX6" s="60"/>
      <c r="LY6" s="60"/>
      <c r="LZ6" s="13" t="str">
        <f>IF(SUM(LK6,LO6)&gt;0,SUM(LK6,LO6),"")</f>
        <v/>
      </c>
      <c r="MA6" s="13" t="str">
        <f>IF(SUM(LS6,LW6)&gt;0,SUM(LS6,LW6),"")</f>
        <v/>
      </c>
      <c r="MB6" s="13" t="str">
        <f>IF(SUM(LJ6:LK6,LM6)-LL6&gt;0,SUM(LJ6:LK6,LM6)-LL6,"")</f>
        <v/>
      </c>
      <c r="MC6" s="13" t="str">
        <f>IF(SUM(LN6:LO6,LQ6)-LP6&gt;0,SUM(LN6:LO6,LQ6)-LP6,"")</f>
        <v/>
      </c>
      <c r="MD6" s="13" t="str">
        <f>IF(SUM(MB6:MC6)&gt;0,SUM(MB6:MC6),"")</f>
        <v/>
      </c>
      <c r="ME6" s="13" t="str">
        <f>IF(SUM(LR6:LS6,LU6:LW6,LY6)-SUM(LT6,LX6)&gt;0,SUM(LR6:LS6,LU6:LW6,LY6)-SUM(LT6,LX6),"")</f>
        <v/>
      </c>
      <c r="MF6" s="13" t="str">
        <f>IF(SUM(MD6,ME6)&gt;0,SUM(MD6,ME6),"")</f>
        <v/>
      </c>
      <c r="MG6" s="62"/>
      <c r="MH6" s="62"/>
      <c r="MI6" s="62"/>
      <c r="MJ6" s="62"/>
      <c r="MK6" s="62"/>
      <c r="ML6" s="62"/>
      <c r="MM6" s="62"/>
      <c r="MN6" s="62"/>
      <c r="MO6" s="62"/>
      <c r="MP6" s="62"/>
      <c r="MQ6" s="62"/>
      <c r="MR6" s="62"/>
      <c r="MS6" s="62"/>
      <c r="MT6" s="62"/>
      <c r="MU6" s="62"/>
      <c r="MV6" s="62"/>
      <c r="MW6" s="17" t="str">
        <f>IF(SUM(MH6,ML6)&gt;0,SUM(MH6,ML6),"")</f>
        <v/>
      </c>
      <c r="MX6" s="17" t="str">
        <f>IF(SUM(MP6,MT6)&gt;0,SUM(MP6,MT6),"")</f>
        <v/>
      </c>
      <c r="MY6" s="17" t="str">
        <f>IF(SUM(MG6:MH6,MJ6)-MI6&gt;0,SUM(MG6:MH6,MJ6)-MI6,"")</f>
        <v/>
      </c>
      <c r="MZ6" s="17" t="str">
        <f>IF(SUM(MK6:ML6,MN6)-MM6&gt;0,SUM(MK6:ML6,MN6)-MM6,"")</f>
        <v/>
      </c>
      <c r="NA6" s="17" t="str">
        <f>IF(SUM(MY6:MZ6)&gt;0,SUM(MY6:MZ6),"")</f>
        <v/>
      </c>
      <c r="NB6" s="17" t="str">
        <f>IF(SUM(MO6:MP6,MR6:MT6,MV6)-SUM(MQ6,MU6)&gt;0,SUM(MO6:MP6,MR6:MT6,MV6)-SUM(MQ6,MU6),"")</f>
        <v/>
      </c>
      <c r="NC6" s="17" t="str">
        <f>IF(SUM(NA6,NB6)&gt;0,SUM(NA6,NB6),"")</f>
        <v/>
      </c>
    </row>
    <row r="7" spans="1:367" x14ac:dyDescent="0.2">
      <c r="A7" s="6" t="str">
        <f ca="1">IF(AND(F7="P",G7="P"),SUMPRODUCT((F$4:F$7="P")*(G$4:G$7="P")*(E$4:E$7&gt;E7))+1,IF(G7="P",SUMPRODUCT((F$4:F$7="")*(G$4:G$7="P")*(E$4:E$7&gt;E7))+1+SUMPRODUCT((F$4:F$7="P")*(G$4:G$7="P")),""))</f>
        <v/>
      </c>
      <c r="B7" s="7" t="s">
        <v>97</v>
      </c>
      <c r="C7" s="8" t="s">
        <v>13</v>
      </c>
      <c r="D7" s="6">
        <v>2015</v>
      </c>
      <c r="E7" s="18">
        <f>SUM(I7:Q7)</f>
        <v>183.05</v>
      </c>
      <c r="F7" s="4" t="str">
        <f>IF(OR(AND(AJ7&gt;=C$11,NOT(AJ7="")),AND(AK7&gt;=C$11,NOT(AK7="")),AND(BG7&gt;=C$11,NOT(BG7="")),AND(BH7&gt;=C$11,NOT(BH7="")),AND(CD7&gt;=C$11,NOT(CD7="")),AND(CE7&gt;=C$11,NOT(CE7=""))),"P","")</f>
        <v/>
      </c>
      <c r="G7" s="4" t="str">
        <f ca="1">IF(OR(I7&gt;=C$13,AND(I7&gt;$C$12,YEAR(TODAY())-$D7&lt;2)),"P","")</f>
        <v/>
      </c>
      <c r="H7" t="str">
        <f ca="1">IF(F7="P",IF(I7&gt;=C$15,"Merit",IF(I7&gt;=C$14,"Funding",IF(I7&gt;=C$13,"Team",IF(AND(I7&gt;C$12,YEAR(TODAY())-$D7&lt;2),"First 2 Years","")))),IF(AND(I7&gt;C$12,YEAR(TODAY())-$D7&lt;2),"First 2 Years",""))</f>
        <v/>
      </c>
      <c r="I7" s="17">
        <f>MAX(AN7,BK7,CH7)</f>
        <v>60.05</v>
      </c>
      <c r="J7" s="17" t="str">
        <f>IF(I7=CH7,$BN$1,IF(I7=BK7,$AQ$1,IF(I7=AN7,$T$1,"")))</f>
        <v>2017 Canada Cup</v>
      </c>
      <c r="K7" s="17">
        <f>IF($I7=$AN7,MAX(BI7,CF7),IF($I7=$BK7,MAX(AL7,CF7),MAX(AL7,BI7)))</f>
        <v>31.6</v>
      </c>
      <c r="L7" s="17" t="str">
        <f>IF(K7=CF7,$BN$1,IF(K7=BI7,$AQ$1,IF(K7=AL7,$T$1,"")))</f>
        <v>2017 Nationals</v>
      </c>
      <c r="M7" s="17">
        <f>IF($I7=$AN7,MAX(BJ7,CG7),IF($I7=$BK7,MAX(AM7,CG7),MAX(AM7,BJ7)))</f>
        <v>27.63</v>
      </c>
      <c r="N7" s="17" t="str">
        <f>IF(M7=CG7,$BN$1,IF(M7=BJ7,$AQ$1,IF(M7=AM7,$T$1,"")))</f>
        <v>2017 Nationals</v>
      </c>
      <c r="O7" s="17">
        <f>MAX(AO7,BL7,CI7)</f>
        <v>61.4</v>
      </c>
      <c r="P7" s="17" t="str">
        <f>IF(O7=CI7,$BN$1,IF(O7=BL7,$AQ$1,IF(O7=AO7,$T$1,"")))</f>
        <v>2017 Canada Cup</v>
      </c>
      <c r="Q7" s="17">
        <f>IF(MAX(CK7:CM7)&gt;0,MAX(CK7:CM7),"")</f>
        <v>2.370000000000001</v>
      </c>
      <c r="R7" s="44" t="str">
        <f>IF(Q7="","",IF(Q7=CK7,"(Pass 1)",IF(Q7=CL7,"(Pass 2)",IF(Q7=CM7,"(Final)"))))</f>
        <v>(Pass 2)</v>
      </c>
      <c r="S7" s="17" t="str">
        <f>IF(Q7="","",IF(Q7=CK7,IF(Q7+K7=MY7,$MG$1,IF(Q7+K7=MB7,$LJ$1,IF(Q7+K7=LE7,$KM$1,IF(Q7+K7=KH7,$JP$1,IF(Q7+K7=JK7,$IS$1,IF(Q7+K7=IN7,$HV$1,IF(Q7+K7=HQ7,$GY$1,IF(Q7+K7=GT7,$GB$1,IF(Q7+K7=FW7,$FE$1,IF(Q7+K7=EZ7,$EH$1,IF(Q7+K7=EC7,$DK$1,IF(Q7+K7=DF7,$CN$1)))))))))))),IF(Q7=CL7,IF(Q7+M7=MZ7,$MG$1,IF(Q7+M7=MC7,$LJ$1,IF(Q7+M7=LF7,$KM$1,IF(Q7+M7=KI7,$JP$1,IF(Q7+M7=JL7,$IS$1,IF(Q7+M7=IO7,$HV$1,IF(Q7+M7=HR7,$GY$1,IF(Q7+M7=GU7,$GB$1,IF(Q7+M7=FX7,$FE$1,IF(Q7+M7=FA7,$EH$1,IF(Q7+M7=ED7,$DK$1,IF(Q7+M7=DG7,$CN$1)))))))))))),IF(Q7=CM7,IF(Q7+O7=NB7,$MG$1,IF(Q7+O7=ME7,$LJ$1,IF(Q7+O7=LH7,$KM$1,IF(Q7+O7=KK7,$JP$1,IF(Q7+O7=JN7,$IS$1,IF(Q7+O7=IQ7,$HV$1,IF(Q7+O7=HT7,$GY$1,IF(Q7+O7=GW7,$GB$1,IF(Q7+O7=FZ7,$FE$1,IF(Q7+O7=FC7,$EH$1,IF(Q7+O7=EF7,$DK$1,IF(Q7+O7=DI7,$CN$1))))))))))))))))</f>
        <v>2016 Pan Am Championships (Dec)</v>
      </c>
      <c r="T7" s="71">
        <v>31.4</v>
      </c>
      <c r="U7" s="71">
        <v>0</v>
      </c>
      <c r="V7" s="71">
        <v>0</v>
      </c>
      <c r="W7" s="71">
        <v>0</v>
      </c>
      <c r="X7" s="71">
        <v>28.65</v>
      </c>
      <c r="Y7" s="71">
        <v>0</v>
      </c>
      <c r="Z7" s="71">
        <v>0</v>
      </c>
      <c r="AA7" s="71">
        <v>0</v>
      </c>
      <c r="AB7" s="71">
        <v>30.7</v>
      </c>
      <c r="AC7" s="71">
        <v>0</v>
      </c>
      <c r="AD7" s="71">
        <v>0</v>
      </c>
      <c r="AE7" s="71">
        <v>0</v>
      </c>
      <c r="AF7" s="71">
        <v>30.7</v>
      </c>
      <c r="AG7" s="71">
        <v>0</v>
      </c>
      <c r="AH7" s="71">
        <v>0</v>
      </c>
      <c r="AI7" s="71">
        <v>0</v>
      </c>
      <c r="AJ7" s="13" t="str">
        <f>IF(SUM(U7,Y7)&gt;0,SUM(U7,Y7),"")</f>
        <v/>
      </c>
      <c r="AK7" s="13" t="str">
        <f>IF(SUM(AC7,AG7)&gt;0,SUM(AC7,AG7),"")</f>
        <v/>
      </c>
      <c r="AL7" s="13">
        <f>IF(SUM(T7:U7,W7)-V7&gt;0,SUM(T7:U7,W7)-V7,"")</f>
        <v>31.4</v>
      </c>
      <c r="AM7" s="13">
        <f>IF(SUM(X7:Y7,AA7)-Z7&gt;0,SUM(X7:Y7,AA7)-Z7,"")</f>
        <v>28.65</v>
      </c>
      <c r="AN7" s="13">
        <f>IF(SUM(AL7:AM7)&gt;0,SUM(AL7:AM7),"")</f>
        <v>60.05</v>
      </c>
      <c r="AO7" s="13">
        <f>IF(SUM(AB7:AC7,AE7:AG7,AI7)-SUM(AD7,AH7)&gt;0,SUM(AB7:AC7,AE7:AG7,AI7)-SUM(AD7,AH7),"")</f>
        <v>61.4</v>
      </c>
      <c r="AP7" s="13">
        <f>IF(SUM(AN7,AO7)&gt;0,SUM(AN7,AO7),"")</f>
        <v>121.44999999999999</v>
      </c>
      <c r="AQ7" s="73">
        <v>31.6</v>
      </c>
      <c r="AR7" s="73">
        <v>0</v>
      </c>
      <c r="AS7" s="73">
        <v>0</v>
      </c>
      <c r="AT7" s="73">
        <v>0</v>
      </c>
      <c r="AU7" s="73">
        <v>27.63</v>
      </c>
      <c r="AV7" s="73">
        <v>0</v>
      </c>
      <c r="AW7" s="73">
        <v>0</v>
      </c>
      <c r="AX7" s="73">
        <v>0</v>
      </c>
      <c r="AY7" s="73">
        <v>30.625</v>
      </c>
      <c r="AZ7" s="73">
        <v>0</v>
      </c>
      <c r="BA7" s="73">
        <v>0</v>
      </c>
      <c r="BB7" s="73">
        <v>0</v>
      </c>
      <c r="BC7" s="73">
        <v>30.625</v>
      </c>
      <c r="BD7" s="73">
        <v>0</v>
      </c>
      <c r="BE7" s="73">
        <v>0</v>
      </c>
      <c r="BF7" s="73">
        <v>0</v>
      </c>
      <c r="BG7" s="17" t="str">
        <f>IF(SUM(AR7,AV7)&gt;0,SUM(AR7,AV7),"")</f>
        <v/>
      </c>
      <c r="BH7" s="17" t="str">
        <f>IF(SUM(AZ7,BD7)&gt;0,SUM(AZ7,BD7),"")</f>
        <v/>
      </c>
      <c r="BI7" s="17">
        <f>IF(SUM(AQ7:AR7,AT7)-AS7&gt;0,SUM(AQ7:AR7,AT7)-AS7,"")</f>
        <v>31.6</v>
      </c>
      <c r="BJ7" s="17">
        <f>IF(SUM(AU7:AV7,AX7)-AW7&gt;0,SUM(AU7:AV7,AX7)-AW7,"")</f>
        <v>27.63</v>
      </c>
      <c r="BK7" s="17">
        <f>IF(SUM(BI7:BJ7)&gt;0,SUM(BI7:BJ7),"")</f>
        <v>59.230000000000004</v>
      </c>
      <c r="BL7" s="17">
        <f>IF(SUM(AY7:AZ7,BB7:BD7,BF7)-SUM(BA7,BE7)&gt;0,SUM(AY7:AZ7,BB7:BD7,BF7)-SUM(BA7,BE7),"")</f>
        <v>61.25</v>
      </c>
      <c r="BM7" s="17">
        <f>IF(SUM(BK7,BL7)&gt;0,SUM(BK7,BL7),"")</f>
        <v>120.48</v>
      </c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13" t="str">
        <f>IF(SUM(BO7,BS7)&gt;0,SUM(BO7,BS7),"")</f>
        <v/>
      </c>
      <c r="CE7" s="13" t="str">
        <f>IF(SUM(BW7,CA7)&gt;0,SUM(BW7,CA7),"")</f>
        <v/>
      </c>
      <c r="CF7" s="13" t="str">
        <f>IF(SUM(BN7:BO7,BQ7)-BP7&gt;0,SUM(BN7:BO7,BQ7)-BP7,"")</f>
        <v/>
      </c>
      <c r="CG7" s="13" t="str">
        <f>IF(SUM(BR7:BS7,BU7)-BT7&gt;0,SUM(BR7:BS7,BU7)-BT7,"")</f>
        <v/>
      </c>
      <c r="CH7" s="13" t="str">
        <f>IF(SUM(CF7:CG7)&gt;0,SUM(CF7:CG7),"")</f>
        <v/>
      </c>
      <c r="CI7" s="13" t="str">
        <f>IF(SUM(BV7:BW7,BY7:CA7,CC7)-SUM(BX7,CB7)&gt;0,SUM(BV7:BW7,BY7:CA7,CC7)-SUM(BX7,CB7),"")</f>
        <v/>
      </c>
      <c r="CJ7" s="13" t="str">
        <f>IF(SUM(CH7,CI7)&gt;0,SUM(CH7,CI7),"")</f>
        <v/>
      </c>
      <c r="CK7" s="43" t="str">
        <f>IF(MAX(DF7,EC7,EZ7,FW7,GT7,HQ7,IN7,JK7,KH7,LE7,MB7,MY7)-K7&gt;0.001,MAX(DF7,EC7,EZ7,FW7,GT7,HQ7,IN7,JK7,KH7,LE7,MB7,MY7)-K7,"")</f>
        <v/>
      </c>
      <c r="CL7" s="43">
        <f>IF(MAX(DG7,ED7,FA7,FX7,GU7,HR7,IO7,JL7,KI7,LF7,MC7,MZ7)-M7&gt;0.001,MAX(DG7,ED7,FA7,FX7,GU7,HR7,IO7,JL7,KI7,LF7,MC7,MZ7)-M7,"")</f>
        <v>2.370000000000001</v>
      </c>
      <c r="CM7" s="43" t="str">
        <f>IF(MAX(DI7,EF7,FC7,FZ7,GW7,HT7,IQ7,JN7,KK7,LH7,ME7,NB7)-O7&gt;0.001,MAX(DI7,EF7,FC7,FZ7,GW7,HT7,IQ7,JN7,KK7,LH7,ME7,NB7)-O7,"")</f>
        <v/>
      </c>
      <c r="CN7" s="60">
        <v>31.3</v>
      </c>
      <c r="CO7" s="60">
        <v>0</v>
      </c>
      <c r="CP7" s="60">
        <v>0</v>
      </c>
      <c r="CQ7" s="60">
        <v>0</v>
      </c>
      <c r="CR7" s="60">
        <v>30</v>
      </c>
      <c r="CS7" s="60">
        <v>0</v>
      </c>
      <c r="CT7" s="60">
        <v>0</v>
      </c>
      <c r="CU7" s="60">
        <v>0</v>
      </c>
      <c r="CV7" s="60">
        <v>30.5</v>
      </c>
      <c r="CW7" s="60">
        <v>0</v>
      </c>
      <c r="CX7" s="60">
        <v>0</v>
      </c>
      <c r="CY7" s="60">
        <v>0</v>
      </c>
      <c r="CZ7" s="60">
        <v>30.1</v>
      </c>
      <c r="DA7" s="60">
        <v>0</v>
      </c>
      <c r="DB7" s="60">
        <v>0</v>
      </c>
      <c r="DC7" s="60">
        <v>0</v>
      </c>
      <c r="DD7" s="13" t="str">
        <f>IF(SUM(CO7,CS7)&gt;0,SUM(CO7,CS7),"")</f>
        <v/>
      </c>
      <c r="DE7" s="13" t="str">
        <f>IF(SUM(CW7,DA7)&gt;0,SUM(CW7,DA7),"")</f>
        <v/>
      </c>
      <c r="DF7" s="13">
        <f>IF(SUM(CN7:CO7,CQ7)-CP7&gt;0,SUM(CN7:CO7,CQ7)-CP7,"")</f>
        <v>31.3</v>
      </c>
      <c r="DG7" s="13">
        <f>IF(SUM(CR7:CS7,CU7)-CT7&gt;0,SUM(CR7:CS7,CU7)-CT7,"")</f>
        <v>30</v>
      </c>
      <c r="DH7" s="13">
        <f>IF(SUM(DF7:DG7)&gt;0,SUM(DF7:DG7),"")</f>
        <v>61.3</v>
      </c>
      <c r="DI7" s="13">
        <f>IF(SUM(CV7:CW7,CY7:DA7,DC7)-SUM(CX7,DB7)&gt;0,SUM(CV7:CW7,CY7:DA7,DC7)-SUM(CX7,DB7),"")</f>
        <v>60.6</v>
      </c>
      <c r="DJ7" s="13">
        <f>IF(SUM(DH7,DI7)&gt;0,SUM(DH7,DI7),"")</f>
        <v>121.9</v>
      </c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17" t="str">
        <f>IF(SUM(DL7,DP7)&gt;0,SUM(DL7,DP7),"")</f>
        <v/>
      </c>
      <c r="EB7" s="17" t="str">
        <f>IF(SUM(DT7,DX7)&gt;0,SUM(DT7,DX7),"")</f>
        <v/>
      </c>
      <c r="EC7" s="17" t="str">
        <f>IF(SUM(DK7:DL7,DN7)-DM7&gt;0,SUM(DK7:DL7,DN7)-DM7,"")</f>
        <v/>
      </c>
      <c r="ED7" s="17" t="str">
        <f>IF(SUM(DO7:DP7,DR7)-DQ7&gt;0,SUM(DO7:DP7,DR7)-DQ7,"")</f>
        <v/>
      </c>
      <c r="EE7" s="17" t="str">
        <f>IF(SUM(EC7:ED7)&gt;0,SUM(EC7:ED7),"")</f>
        <v/>
      </c>
      <c r="EF7" s="17" t="str">
        <f>IF(SUM(DS7:DT7,DV7:DX7,DZ7)-SUM(DU7,DY7)&gt;0,SUM(DS7:DT7,DV7:DX7,DZ7)-SUM(DU7,DY7),"")</f>
        <v/>
      </c>
      <c r="EG7" s="17" t="str">
        <f>IF(SUM(EE7,EF7)&gt;0,SUM(EE7,EF7),"")</f>
        <v/>
      </c>
      <c r="EH7" s="60"/>
      <c r="EI7" s="60"/>
      <c r="EJ7" s="60"/>
      <c r="EK7" s="60"/>
      <c r="EL7" s="60"/>
      <c r="EM7" s="60"/>
      <c r="EN7" s="60"/>
      <c r="EO7" s="60"/>
      <c r="EP7" s="60"/>
      <c r="EQ7" s="60"/>
      <c r="ER7" s="60"/>
      <c r="ES7" s="60"/>
      <c r="ET7" s="60"/>
      <c r="EU7" s="60"/>
      <c r="EV7" s="60"/>
      <c r="EW7" s="60"/>
      <c r="EX7" s="13" t="str">
        <f>IF(SUM(EI7,EM7)&gt;0,SUM(EI7,EM7),"")</f>
        <v/>
      </c>
      <c r="EY7" s="13" t="str">
        <f>IF(SUM(EQ7,EU7)&gt;0,SUM(EQ7,EU7),"")</f>
        <v/>
      </c>
      <c r="EZ7" s="13" t="str">
        <f>IF(SUM(EH7:EI7,EK7)-EJ7&gt;0,SUM(EH7:EI7,EK7)-EJ7,"")</f>
        <v/>
      </c>
      <c r="FA7" s="13" t="str">
        <f>IF(SUM(EL7:EM7,EO7)-EN7&gt;0,SUM(EL7:EM7,EO7)-EN7,"")</f>
        <v/>
      </c>
      <c r="FB7" s="13" t="str">
        <f>IF(SUM(EZ7:FA7)&gt;0,SUM(EZ7:FA7),"")</f>
        <v/>
      </c>
      <c r="FC7" s="13" t="str">
        <f>IF(SUM(EP7:EQ7,ES7:EU7,EW7)-SUM(ER7,EV7)&gt;0,SUM(EP7:EQ7,ES7:EU7,EW7)-SUM(ER7,EV7),"")</f>
        <v/>
      </c>
      <c r="FD7" s="13" t="str">
        <f>IF(SUM(FB7,FC7)&gt;0,SUM(FB7,FC7),"")</f>
        <v/>
      </c>
      <c r="FE7" s="62"/>
      <c r="FF7" s="62"/>
      <c r="FG7" s="62"/>
      <c r="FH7" s="62"/>
      <c r="FI7" s="62"/>
      <c r="FJ7" s="62"/>
      <c r="FK7" s="62"/>
      <c r="FL7" s="62"/>
      <c r="FM7" s="62"/>
      <c r="FN7" s="62"/>
      <c r="FO7" s="62"/>
      <c r="FP7" s="62"/>
      <c r="FQ7" s="62"/>
      <c r="FR7" s="62"/>
      <c r="FS7" s="62"/>
      <c r="FT7" s="62"/>
      <c r="FU7" s="17" t="str">
        <f>IF(SUM(FF7,FJ7)&gt;0,SUM(FF7,FJ7),"")</f>
        <v/>
      </c>
      <c r="FV7" s="17" t="str">
        <f>IF(SUM(FN7,FR7)&gt;0,SUM(FN7,FR7),"")</f>
        <v/>
      </c>
      <c r="FW7" s="17" t="str">
        <f>IF(SUM(FE7:FF7,FH7)-FG7&gt;0,SUM(FE7:FF7,FH7)-FG7,"")</f>
        <v/>
      </c>
      <c r="FX7" s="17" t="str">
        <f>IF(SUM(FI7:FJ7,FL7)-FK7&gt;0,SUM(FI7:FJ7,FL7)-FK7,"")</f>
        <v/>
      </c>
      <c r="FY7" s="17" t="str">
        <f>IF(SUM(FW7:FX7)&gt;0,SUM(FW7:FX7),"")</f>
        <v/>
      </c>
      <c r="FZ7" s="17" t="str">
        <f>IF(SUM(FM7:FN7,FP7:FR7,FT7)-SUM(FO7,FS7)&gt;0,SUM(FM7:FN7,FP7:FR7,FT7)-SUM(FO7,FS7),"")</f>
        <v/>
      </c>
      <c r="GA7" s="17" t="str">
        <f>IF(SUM(FY7,FZ7)&gt;0,SUM(FY7,FZ7),"")</f>
        <v/>
      </c>
      <c r="GB7" s="60"/>
      <c r="GC7" s="60"/>
      <c r="GD7" s="60"/>
      <c r="GE7" s="60"/>
      <c r="GF7" s="60"/>
      <c r="GG7" s="60"/>
      <c r="GH7" s="60"/>
      <c r="GI7" s="60"/>
      <c r="GJ7" s="60"/>
      <c r="GK7" s="60"/>
      <c r="GL7" s="60"/>
      <c r="GM7" s="60"/>
      <c r="GN7" s="60"/>
      <c r="GO7" s="60"/>
      <c r="GP7" s="60"/>
      <c r="GQ7" s="60"/>
      <c r="GR7" s="13" t="str">
        <f>IF(SUM(GC7,GG7)&gt;0,SUM(GC7,GG7),"")</f>
        <v/>
      </c>
      <c r="GS7" s="13" t="str">
        <f>IF(SUM(GK7,GO7)&gt;0,SUM(GK7,GO7),"")</f>
        <v/>
      </c>
      <c r="GT7" s="13" t="str">
        <f>IF(SUM(GB7:GC7,GE7)-GD7&gt;0,SUM(GB7:GC7,GE7)-GD7,"")</f>
        <v/>
      </c>
      <c r="GU7" s="13" t="str">
        <f>IF(SUM(GF7:GG7,GI7)-GH7&gt;0,SUM(GF7:GG7,GI7)-GH7,"")</f>
        <v/>
      </c>
      <c r="GV7" s="13" t="str">
        <f>IF(SUM(GT7:GU7)&gt;0,SUM(GT7:GU7),"")</f>
        <v/>
      </c>
      <c r="GW7" s="13" t="str">
        <f>IF(SUM(GJ7:GK7,GM7:GO7,GQ7)-SUM(GL7,GP7)&gt;0,SUM(GJ7:GK7,GM7:GO7,GQ7)-SUM(GL7,GP7),"")</f>
        <v/>
      </c>
      <c r="GX7" s="13" t="str">
        <f>IF(SUM(GV7,GW7)&gt;0,SUM(GV7,GW7),"")</f>
        <v/>
      </c>
      <c r="GY7" s="62"/>
      <c r="GZ7" s="62"/>
      <c r="HA7" s="62"/>
      <c r="HB7" s="62"/>
      <c r="HC7" s="62"/>
      <c r="HD7" s="62"/>
      <c r="HE7" s="62"/>
      <c r="HF7" s="62"/>
      <c r="HG7" s="62"/>
      <c r="HH7" s="62"/>
      <c r="HI7" s="62"/>
      <c r="HJ7" s="62"/>
      <c r="HK7" s="62"/>
      <c r="HL7" s="62"/>
      <c r="HM7" s="62"/>
      <c r="HN7" s="62"/>
      <c r="HO7" s="17" t="str">
        <f>IF(SUM(GZ7,HD7)&gt;0,SUM(GZ7,HD7),"")</f>
        <v/>
      </c>
      <c r="HP7" s="17" t="str">
        <f>IF(SUM(HH7,HL7)&gt;0,SUM(HH7,HL7),"")</f>
        <v/>
      </c>
      <c r="HQ7" s="17" t="str">
        <f>IF(SUM(GY7:GZ7,HB7)-HA7&gt;0,SUM(GY7:GZ7,HB7)-HA7,"")</f>
        <v/>
      </c>
      <c r="HR7" s="17" t="str">
        <f>IF(SUM(HC7:HD7,HF7)-HE7&gt;0,SUM(HC7:HD7,HF7)-HE7,"")</f>
        <v/>
      </c>
      <c r="HS7" s="17" t="str">
        <f>IF(SUM(HQ7:HR7)&gt;0,SUM(HQ7:HR7),"")</f>
        <v/>
      </c>
      <c r="HT7" s="17" t="str">
        <f>IF(SUM(HG7:HH7,HJ7:HL7,HN7)-SUM(HI7,HM7)&gt;0,SUM(HG7:HH7,HJ7:HL7,HN7)-SUM(HI7,HM7),"")</f>
        <v/>
      </c>
      <c r="HU7" s="17" t="str">
        <f>IF(SUM(HS7,HT7)&gt;0,SUM(HS7,HT7),"")</f>
        <v/>
      </c>
      <c r="HV7" s="60"/>
      <c r="HW7" s="60"/>
      <c r="HX7" s="60"/>
      <c r="HY7" s="60"/>
      <c r="HZ7" s="60"/>
      <c r="IA7" s="60"/>
      <c r="IB7" s="60"/>
      <c r="IC7" s="60"/>
      <c r="ID7" s="60"/>
      <c r="IE7" s="60"/>
      <c r="IF7" s="60"/>
      <c r="IG7" s="60"/>
      <c r="IH7" s="60"/>
      <c r="II7" s="60"/>
      <c r="IJ7" s="60"/>
      <c r="IK7" s="60"/>
      <c r="IL7" s="13" t="str">
        <f>IF(SUM(HW7,IA7)&gt;0,SUM(HW7,IA7),"")</f>
        <v/>
      </c>
      <c r="IM7" s="13" t="str">
        <f>IF(SUM(IE7,II7)&gt;0,SUM(IE7,II7),"")</f>
        <v/>
      </c>
      <c r="IN7" s="13" t="str">
        <f>IF(SUM(HV7:HW7,HY7)-HX7&gt;0,SUM(HV7:HW7,HY7)-HX7,"")</f>
        <v/>
      </c>
      <c r="IO7" s="13" t="str">
        <f>IF(SUM(HZ7:IA7,IC7)-IB7&gt;0,SUM(HZ7:IA7,IC7)-IB7,"")</f>
        <v/>
      </c>
      <c r="IP7" s="13" t="str">
        <f>IF(SUM(IN7:IO7)&gt;0,SUM(IN7:IO7),"")</f>
        <v/>
      </c>
      <c r="IQ7" s="13" t="str">
        <f>IF(SUM(ID7:IE7,IG7:II7,IK7)-SUM(IF7,IJ7)&gt;0,SUM(ID7:IE7,IG7:II7,IK7)-SUM(IF7,IJ7),"")</f>
        <v/>
      </c>
      <c r="IR7" s="13" t="str">
        <f>IF(SUM(IP7,IQ7)&gt;0,SUM(IP7,IQ7),"")</f>
        <v/>
      </c>
      <c r="IS7" s="62"/>
      <c r="IT7" s="62"/>
      <c r="IU7" s="62"/>
      <c r="IV7" s="62"/>
      <c r="IW7" s="62"/>
      <c r="IX7" s="62"/>
      <c r="IY7" s="62"/>
      <c r="IZ7" s="62"/>
      <c r="JA7" s="62"/>
      <c r="JB7" s="62"/>
      <c r="JC7" s="62"/>
      <c r="JD7" s="62"/>
      <c r="JE7" s="62"/>
      <c r="JF7" s="62"/>
      <c r="JG7" s="62"/>
      <c r="JH7" s="62"/>
      <c r="JI7" s="17" t="str">
        <f>IF(SUM(IT7,IX7)&gt;0,SUM(IT7,IX7),"")</f>
        <v/>
      </c>
      <c r="JJ7" s="17" t="str">
        <f>IF(SUM(JB7,JF7)&gt;0,SUM(JB7,JF7),"")</f>
        <v/>
      </c>
      <c r="JK7" s="17" t="str">
        <f>IF(SUM(IS7:IT7,IV7)-IU7&gt;0,SUM(IS7:IT7,IV7)-IU7,"")</f>
        <v/>
      </c>
      <c r="JL7" s="17" t="str">
        <f>IF(SUM(IW7:IX7,IZ7)-IY7&gt;0,SUM(IW7:IX7,IZ7)-IY7,"")</f>
        <v/>
      </c>
      <c r="JM7" s="17" t="str">
        <f>IF(SUM(JK7:JL7)&gt;0,SUM(JK7:JL7),"")</f>
        <v/>
      </c>
      <c r="JN7" s="17" t="str">
        <f>IF(SUM(JA7:JB7,JD7:JF7,JH7)-SUM(JC7,JG7)&gt;0,SUM(JA7:JB7,JD7:JF7,JH7)-SUM(JC7,JG7),"")</f>
        <v/>
      </c>
      <c r="JO7" s="17" t="str">
        <f>IF(SUM(JM7,JN7)&gt;0,SUM(JM7,JN7),"")</f>
        <v/>
      </c>
      <c r="JP7" s="60"/>
      <c r="JQ7" s="60"/>
      <c r="JR7" s="60"/>
      <c r="JS7" s="60"/>
      <c r="JT7" s="60"/>
      <c r="JU7" s="60"/>
      <c r="JV7" s="60"/>
      <c r="JW7" s="60"/>
      <c r="JX7" s="60"/>
      <c r="JY7" s="60"/>
      <c r="JZ7" s="60"/>
      <c r="KA7" s="60"/>
      <c r="KB7" s="60"/>
      <c r="KC7" s="60"/>
      <c r="KD7" s="60"/>
      <c r="KE7" s="60"/>
      <c r="KF7" s="13" t="str">
        <f>IF(SUM(JQ7,JU7)&gt;0,SUM(JQ7,JU7),"")</f>
        <v/>
      </c>
      <c r="KG7" s="13" t="str">
        <f>IF(SUM(JY7,KC7)&gt;0,SUM(JY7,KC7),"")</f>
        <v/>
      </c>
      <c r="KH7" s="13" t="str">
        <f>IF(SUM(JP7:JQ7,JS7)-JR7&gt;0,SUM(JP7:JQ7,JS7)-JR7,"")</f>
        <v/>
      </c>
      <c r="KI7" s="13" t="str">
        <f>IF(SUM(JT7:JU7,JW7)-JV7&gt;0,SUM(JT7:JU7,JW7)-JV7,"")</f>
        <v/>
      </c>
      <c r="KJ7" s="13" t="str">
        <f>IF(SUM(KH7:KI7)&gt;0,SUM(KH7:KI7),"")</f>
        <v/>
      </c>
      <c r="KK7" s="13" t="str">
        <f>IF(SUM(JX7:JY7,KA7:KC7,KE7)-SUM(JZ7,KD7)&gt;0,SUM(JX7:JY7,KA7:KC7,KE7)-SUM(JZ7,KD7),"")</f>
        <v/>
      </c>
      <c r="KL7" s="13" t="str">
        <f>IF(SUM(KJ7,KK7)&gt;0,SUM(KJ7,KK7),"")</f>
        <v/>
      </c>
      <c r="KM7" s="62"/>
      <c r="KN7" s="62"/>
      <c r="KO7" s="62"/>
      <c r="KP7" s="62"/>
      <c r="KQ7" s="62"/>
      <c r="KR7" s="62"/>
      <c r="KS7" s="62"/>
      <c r="KT7" s="62"/>
      <c r="KU7" s="62"/>
      <c r="KV7" s="62"/>
      <c r="KW7" s="62"/>
      <c r="KX7" s="62"/>
      <c r="KY7" s="62"/>
      <c r="KZ7" s="62"/>
      <c r="LA7" s="62"/>
      <c r="LB7" s="62"/>
      <c r="LC7" s="17" t="str">
        <f>IF(SUM(KN7,KR7)&gt;0,SUM(KN7,KR7),"")</f>
        <v/>
      </c>
      <c r="LD7" s="17" t="str">
        <f>IF(SUM(KV7,KZ7)&gt;0,SUM(KV7,KZ7),"")</f>
        <v/>
      </c>
      <c r="LE7" s="17" t="str">
        <f>IF(SUM(KM7:KN7,KP7)-KO7&gt;0,SUM(KM7:KN7,KP7)-KO7,"")</f>
        <v/>
      </c>
      <c r="LF7" s="17" t="str">
        <f>IF(SUM(KQ7:KR7,KT7)-KS7&gt;0,SUM(KQ7:KR7,KT7)-KS7,"")</f>
        <v/>
      </c>
      <c r="LG7" s="17" t="str">
        <f>IF(SUM(LE7:LF7)&gt;0,SUM(LE7:LF7),"")</f>
        <v/>
      </c>
      <c r="LH7" s="17" t="str">
        <f>IF(SUM(KU7:KV7,KX7:KZ7,LB7)-SUM(KW7,LA7)&gt;0,SUM(KU7:KV7,KX7:KZ7,LB7)-SUM(KW7,LA7),"")</f>
        <v/>
      </c>
      <c r="LI7" s="17" t="str">
        <f>IF(SUM(LG7,LH7)&gt;0,SUM(LG7,LH7),"")</f>
        <v/>
      </c>
      <c r="LJ7" s="60"/>
      <c r="LK7" s="60"/>
      <c r="LL7" s="60"/>
      <c r="LM7" s="60"/>
      <c r="LN7" s="60"/>
      <c r="LO7" s="60"/>
      <c r="LP7" s="60"/>
      <c r="LQ7" s="60"/>
      <c r="LR7" s="60"/>
      <c r="LS7" s="60"/>
      <c r="LT7" s="60"/>
      <c r="LU7" s="60"/>
      <c r="LV7" s="60"/>
      <c r="LW7" s="60"/>
      <c r="LX7" s="60"/>
      <c r="LY7" s="60"/>
      <c r="LZ7" s="13" t="str">
        <f>IF(SUM(LK7,LO7)&gt;0,SUM(LK7,LO7),"")</f>
        <v/>
      </c>
      <c r="MA7" s="13" t="str">
        <f>IF(SUM(LS7,LW7)&gt;0,SUM(LS7,LW7),"")</f>
        <v/>
      </c>
      <c r="MB7" s="13" t="str">
        <f>IF(SUM(LJ7:LK7,LM7)-LL7&gt;0,SUM(LJ7:LK7,LM7)-LL7,"")</f>
        <v/>
      </c>
      <c r="MC7" s="13" t="str">
        <f>IF(SUM(LN7:LO7,LQ7)-LP7&gt;0,SUM(LN7:LO7,LQ7)-LP7,"")</f>
        <v/>
      </c>
      <c r="MD7" s="13" t="str">
        <f>IF(SUM(MB7:MC7)&gt;0,SUM(MB7:MC7),"")</f>
        <v/>
      </c>
      <c r="ME7" s="13" t="str">
        <f>IF(SUM(LR7:LS7,LU7:LW7,LY7)-SUM(LT7,LX7)&gt;0,SUM(LR7:LS7,LU7:LW7,LY7)-SUM(LT7,LX7),"")</f>
        <v/>
      </c>
      <c r="MF7" s="13" t="str">
        <f>IF(SUM(MD7,ME7)&gt;0,SUM(MD7,ME7),"")</f>
        <v/>
      </c>
      <c r="MG7" s="62"/>
      <c r="MH7" s="62"/>
      <c r="MI7" s="62"/>
      <c r="MJ7" s="62"/>
      <c r="MK7" s="62"/>
      <c r="ML7" s="62"/>
      <c r="MM7" s="62"/>
      <c r="MN7" s="62"/>
      <c r="MO7" s="62"/>
      <c r="MP7" s="62"/>
      <c r="MQ7" s="62"/>
      <c r="MR7" s="62"/>
      <c r="MS7" s="62"/>
      <c r="MT7" s="62"/>
      <c r="MU7" s="62"/>
      <c r="MV7" s="62"/>
      <c r="MW7" s="17" t="str">
        <f>IF(SUM(MH7,ML7)&gt;0,SUM(MH7,ML7),"")</f>
        <v/>
      </c>
      <c r="MX7" s="17" t="str">
        <f>IF(SUM(MP7,MT7)&gt;0,SUM(MP7,MT7),"")</f>
        <v/>
      </c>
      <c r="MY7" s="17" t="str">
        <f>IF(SUM(MG7:MH7,MJ7)-MI7&gt;0,SUM(MG7:MH7,MJ7)-MI7,"")</f>
        <v/>
      </c>
      <c r="MZ7" s="17" t="str">
        <f>IF(SUM(MK7:ML7,MN7)-MM7&gt;0,SUM(MK7:ML7,MN7)-MM7,"")</f>
        <v/>
      </c>
      <c r="NA7" s="17" t="str">
        <f>IF(SUM(MY7:MZ7)&gt;0,SUM(MY7:MZ7),"")</f>
        <v/>
      </c>
      <c r="NB7" s="17" t="str">
        <f>IF(SUM(MO7:MP7,MR7:MT7,MV7)-SUM(MQ7,MU7)&gt;0,SUM(MO7:MP7,MR7:MT7,MV7)-SUM(MQ7,MU7),"")</f>
        <v/>
      </c>
      <c r="NC7" s="17" t="str">
        <f>IF(SUM(NA7,NB7)&gt;0,SUM(NA7,NB7),"")</f>
        <v/>
      </c>
    </row>
    <row r="8" spans="1:367" ht="17" x14ac:dyDescent="0.2">
      <c r="Q8" s="31"/>
      <c r="R8" s="31"/>
      <c r="S8" s="31"/>
      <c r="KM8" s="67"/>
      <c r="KN8" s="67"/>
      <c r="KO8" s="67"/>
      <c r="KP8" s="67"/>
      <c r="KQ8" s="67"/>
      <c r="KR8" s="67"/>
      <c r="KS8" s="67"/>
      <c r="KT8" s="67"/>
      <c r="KU8" s="67"/>
      <c r="KV8" s="67"/>
      <c r="KW8" s="67"/>
      <c r="KX8" s="67"/>
      <c r="KY8" s="67"/>
      <c r="KZ8" s="67"/>
      <c r="LA8" s="67"/>
      <c r="LB8" s="67"/>
    </row>
    <row r="9" spans="1:367" ht="17" x14ac:dyDescent="0.2">
      <c r="Q9" s="31"/>
      <c r="R9" s="31"/>
      <c r="S9" s="31"/>
    </row>
    <row r="10" spans="1:367" ht="17" x14ac:dyDescent="0.2">
      <c r="Q10" s="31"/>
      <c r="R10" s="31"/>
      <c r="S10" s="31"/>
    </row>
    <row r="11" spans="1:367" ht="17" x14ac:dyDescent="0.2">
      <c r="A11" s="91" t="s">
        <v>44</v>
      </c>
      <c r="B11" s="91"/>
      <c r="C11" s="21">
        <v>9.6</v>
      </c>
      <c r="Q11" s="31"/>
      <c r="R11" s="31"/>
      <c r="S11" s="31"/>
    </row>
    <row r="12" spans="1:367" ht="17" x14ac:dyDescent="0.2">
      <c r="A12" s="92" t="s">
        <v>42</v>
      </c>
      <c r="B12" s="92"/>
      <c r="C12" s="22">
        <v>60.1</v>
      </c>
      <c r="Q12" s="31"/>
      <c r="R12" s="31"/>
      <c r="S12" s="31"/>
    </row>
    <row r="13" spans="1:367" ht="17" x14ac:dyDescent="0.2">
      <c r="A13" s="93" t="s">
        <v>23</v>
      </c>
      <c r="B13" s="93"/>
      <c r="C13" s="23">
        <v>61.6</v>
      </c>
      <c r="Q13" s="31"/>
      <c r="R13" s="31"/>
      <c r="S13" s="31"/>
    </row>
    <row r="14" spans="1:367" ht="17" x14ac:dyDescent="0.2">
      <c r="A14" s="89" t="s">
        <v>43</v>
      </c>
      <c r="B14" s="89"/>
      <c r="C14" s="24">
        <v>66.5</v>
      </c>
      <c r="Q14" s="31"/>
      <c r="R14" s="31"/>
      <c r="S14" s="31"/>
    </row>
    <row r="15" spans="1:367" ht="17" x14ac:dyDescent="0.2">
      <c r="A15" s="90" t="s">
        <v>112</v>
      </c>
      <c r="B15" s="90"/>
      <c r="C15" s="25">
        <v>68.099999999999994</v>
      </c>
      <c r="Q15" s="31"/>
      <c r="R15" s="31"/>
      <c r="S15" s="31"/>
    </row>
    <row r="16" spans="1:367" x14ac:dyDescent="0.2">
      <c r="C16" s="3"/>
    </row>
    <row r="17" spans="1:3" x14ac:dyDescent="0.2">
      <c r="A17" s="93" t="s">
        <v>86</v>
      </c>
      <c r="B17" s="93"/>
      <c r="C17" s="23">
        <f>C13*3</f>
        <v>184.8</v>
      </c>
    </row>
    <row r="18" spans="1:3" x14ac:dyDescent="0.2">
      <c r="A18" s="89" t="s">
        <v>87</v>
      </c>
      <c r="B18" s="89"/>
      <c r="C18" s="24">
        <f>C14*3</f>
        <v>199.5</v>
      </c>
    </row>
    <row r="19" spans="1:3" x14ac:dyDescent="0.2">
      <c r="A19" s="90" t="s">
        <v>113</v>
      </c>
      <c r="B19" s="90"/>
      <c r="C19" s="25">
        <f>C15*3</f>
        <v>204.29999999999998</v>
      </c>
    </row>
  </sheetData>
  <sheetProtection sheet="1" objects="1" scenarios="1" formatCells="0" formatColumns="0" formatRows="0"/>
  <autoFilter ref="A1:NC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sortState ref="A6:NC7">
      <sortCondition descending="1" ref="F1:F7"/>
    </sortState>
  </autoFilter>
  <mergeCells count="103">
    <mergeCell ref="ID2:IG2"/>
    <mergeCell ref="IH2:IK2"/>
    <mergeCell ref="IS2:IV2"/>
    <mergeCell ref="IW2:IZ2"/>
    <mergeCell ref="MK2:MN2"/>
    <mergeCell ref="MO2:MR2"/>
    <mergeCell ref="MS2:MV2"/>
    <mergeCell ref="LJ2:LM2"/>
    <mergeCell ref="LN2:LQ2"/>
    <mergeCell ref="LR2:LU2"/>
    <mergeCell ref="LV2:LY2"/>
    <mergeCell ref="MG2:MJ2"/>
    <mergeCell ref="KB2:KE2"/>
    <mergeCell ref="KM2:KP2"/>
    <mergeCell ref="KQ2:KT2"/>
    <mergeCell ref="KU2:KX2"/>
    <mergeCell ref="KY2:LB2"/>
    <mergeCell ref="JP1:KL1"/>
    <mergeCell ref="KM1:LI1"/>
    <mergeCell ref="LJ1:MF1"/>
    <mergeCell ref="MG1:NC1"/>
    <mergeCell ref="JA2:JD2"/>
    <mergeCell ref="JE2:JH2"/>
    <mergeCell ref="JP2:JS2"/>
    <mergeCell ref="JT2:JW2"/>
    <mergeCell ref="JX2:KA2"/>
    <mergeCell ref="GF2:GI2"/>
    <mergeCell ref="GJ2:GM2"/>
    <mergeCell ref="GN2:GQ2"/>
    <mergeCell ref="FE1:GA1"/>
    <mergeCell ref="GB1:GX1"/>
    <mergeCell ref="GY1:HU1"/>
    <mergeCell ref="HV1:IR1"/>
    <mergeCell ref="IS1:JO1"/>
    <mergeCell ref="L1:L3"/>
    <mergeCell ref="EH2:EK2"/>
    <mergeCell ref="EL2:EO2"/>
    <mergeCell ref="EP2:ES2"/>
    <mergeCell ref="ET2:EW2"/>
    <mergeCell ref="FE2:FH2"/>
    <mergeCell ref="FI2:FL2"/>
    <mergeCell ref="FM2:FP2"/>
    <mergeCell ref="FQ2:FT2"/>
    <mergeCell ref="GB2:GE2"/>
    <mergeCell ref="GY2:HB2"/>
    <mergeCell ref="HC2:HF2"/>
    <mergeCell ref="HG2:HJ2"/>
    <mergeCell ref="HK2:HN2"/>
    <mergeCell ref="HV2:HY2"/>
    <mergeCell ref="HZ2:IC2"/>
    <mergeCell ref="EH1:FD1"/>
    <mergeCell ref="BN2:BQ2"/>
    <mergeCell ref="BR2:BU2"/>
    <mergeCell ref="X2:AA2"/>
    <mergeCell ref="AB2:AE2"/>
    <mergeCell ref="AF2:AI2"/>
    <mergeCell ref="AQ2:AT2"/>
    <mergeCell ref="AU2:AX2"/>
    <mergeCell ref="CR2:CU2"/>
    <mergeCell ref="CV2:CY2"/>
    <mergeCell ref="CZ2:DC2"/>
    <mergeCell ref="CN2:CQ2"/>
    <mergeCell ref="CK1:CM1"/>
    <mergeCell ref="CN1:DJ1"/>
    <mergeCell ref="BN1:CJ1"/>
    <mergeCell ref="BC2:BF2"/>
    <mergeCell ref="T1:AP1"/>
    <mergeCell ref="AQ1:BM1"/>
    <mergeCell ref="A12:B12"/>
    <mergeCell ref="B1:B3"/>
    <mergeCell ref="C1:C3"/>
    <mergeCell ref="D1:D3"/>
    <mergeCell ref="E1:E3"/>
    <mergeCell ref="T2:W2"/>
    <mergeCell ref="J1:J3"/>
    <mergeCell ref="N1:N3"/>
    <mergeCell ref="P1:P3"/>
    <mergeCell ref="R1:R3"/>
    <mergeCell ref="S1:S3"/>
    <mergeCell ref="A14:B14"/>
    <mergeCell ref="A15:B15"/>
    <mergeCell ref="A17:B17"/>
    <mergeCell ref="A18:B18"/>
    <mergeCell ref="A19:B19"/>
    <mergeCell ref="DK1:EG1"/>
    <mergeCell ref="DK2:DN2"/>
    <mergeCell ref="DO2:DR2"/>
    <mergeCell ref="DS2:DV2"/>
    <mergeCell ref="DW2:DZ2"/>
    <mergeCell ref="A13:B13"/>
    <mergeCell ref="BZ2:CC2"/>
    <mergeCell ref="M1:M3"/>
    <mergeCell ref="O1:O3"/>
    <mergeCell ref="Q1:Q3"/>
    <mergeCell ref="BV2:BY2"/>
    <mergeCell ref="F1:F3"/>
    <mergeCell ref="G1:G3"/>
    <mergeCell ref="H1:H3"/>
    <mergeCell ref="I1:I3"/>
    <mergeCell ref="K1:K3"/>
    <mergeCell ref="A1:A3"/>
    <mergeCell ref="AY2:BB2"/>
    <mergeCell ref="A11:B11"/>
  </mergeCells>
  <conditionalFormatting sqref="AJ4:AK7">
    <cfRule type="cellIs" dxfId="149" priority="218" operator="between">
      <formula>$C$11</formula>
      <formula>100</formula>
    </cfRule>
  </conditionalFormatting>
  <conditionalFormatting sqref="H4:H7">
    <cfRule type="containsText" dxfId="148" priority="214" operator="containsText" text="Merit">
      <formula>NOT(ISERROR(SEARCH("Merit",H4)))</formula>
    </cfRule>
    <cfRule type="containsText" dxfId="147" priority="215" operator="containsText" text="Funding">
      <formula>NOT(ISERROR(SEARCH("Funding",H4)))</formula>
    </cfRule>
    <cfRule type="containsText" dxfId="146" priority="216" operator="containsText" text="Team">
      <formula>NOT(ISERROR(SEARCH("Team",H4)))</formula>
    </cfRule>
    <cfRule type="containsText" dxfId="145" priority="217" operator="containsText" text="First 2 Years">
      <formula>NOT(ISERROR(SEARCH("First 2 Years",H4)))</formula>
    </cfRule>
  </conditionalFormatting>
  <conditionalFormatting sqref="BG4:BH7">
    <cfRule type="cellIs" dxfId="144" priority="209" operator="between">
      <formula>$C$11</formula>
      <formula>100</formula>
    </cfRule>
  </conditionalFormatting>
  <conditionalFormatting sqref="CD4:CE7">
    <cfRule type="cellIs" dxfId="143" priority="204" operator="between">
      <formula>$C$11</formula>
      <formula>100</formula>
    </cfRule>
  </conditionalFormatting>
  <conditionalFormatting sqref="DD4:DE7">
    <cfRule type="cellIs" dxfId="142" priority="199" operator="between">
      <formula>$C$11</formula>
      <formula>100</formula>
    </cfRule>
  </conditionalFormatting>
  <conditionalFormatting sqref="EA4:EB7">
    <cfRule type="cellIs" dxfId="141" priority="189" operator="between">
      <formula>$C$11</formula>
      <formula>100</formula>
    </cfRule>
  </conditionalFormatting>
  <conditionalFormatting sqref="A4:A7">
    <cfRule type="expression" dxfId="140" priority="378">
      <formula>AND(H4="First 2 Years",F4="")</formula>
    </cfRule>
    <cfRule type="expression" dxfId="139" priority="379">
      <formula>AND(I4&gt;=$C$13,F4="")</formula>
    </cfRule>
  </conditionalFormatting>
  <conditionalFormatting sqref="J4:J7">
    <cfRule type="expression" dxfId="138" priority="174">
      <formula>IF(I4=CH4,1,0)</formula>
    </cfRule>
    <cfRule type="expression" dxfId="137" priority="175">
      <formula>IF(I4=BK4,1,0)</formula>
    </cfRule>
    <cfRule type="expression" dxfId="136" priority="176">
      <formula>IF(I4=AN4,1,0)</formula>
    </cfRule>
  </conditionalFormatting>
  <conditionalFormatting sqref="L4:L7">
    <cfRule type="expression" dxfId="135" priority="171">
      <formula>IF(K4=CF4,1,0)</formula>
    </cfRule>
    <cfRule type="expression" dxfId="134" priority="172">
      <formula>IF(K4=BI4,1,0)</formula>
    </cfRule>
    <cfRule type="expression" dxfId="133" priority="173">
      <formula>IF(K4=AL4,1,0)</formula>
    </cfRule>
  </conditionalFormatting>
  <conditionalFormatting sqref="N4:N7 P4:P7">
    <cfRule type="expression" dxfId="132" priority="168">
      <formula>IF(M4=CG4,1,0)</formula>
    </cfRule>
    <cfRule type="expression" dxfId="131" priority="169">
      <formula>IF(M4=BJ4,1,0)</formula>
    </cfRule>
    <cfRule type="expression" dxfId="130" priority="170">
      <formula>IF(M4=AM4,1,0)</formula>
    </cfRule>
  </conditionalFormatting>
  <conditionalFormatting sqref="EX4:EY7">
    <cfRule type="cellIs" dxfId="129" priority="110" operator="between">
      <formula>$C$11</formula>
      <formula>100</formula>
    </cfRule>
  </conditionalFormatting>
  <conditionalFormatting sqref="FU4:FV7">
    <cfRule type="cellIs" dxfId="128" priority="105" operator="between">
      <formula>$C$11</formula>
      <formula>100</formula>
    </cfRule>
  </conditionalFormatting>
  <conditionalFormatting sqref="GR4:GS7">
    <cfRule type="cellIs" dxfId="127" priority="40" operator="between">
      <formula>$C$11</formula>
      <formula>100</formula>
    </cfRule>
  </conditionalFormatting>
  <conditionalFormatting sqref="HO4:HP7">
    <cfRule type="cellIs" dxfId="126" priority="39" operator="between">
      <formula>$C$11</formula>
      <formula>100</formula>
    </cfRule>
  </conditionalFormatting>
  <conditionalFormatting sqref="IL4:IM7">
    <cfRule type="cellIs" dxfId="125" priority="30" operator="between">
      <formula>$C$11</formula>
      <formula>100</formula>
    </cfRule>
  </conditionalFormatting>
  <conditionalFormatting sqref="JI4:JJ7">
    <cfRule type="cellIs" dxfId="124" priority="29" operator="between">
      <formula>$C$11</formula>
      <formula>100</formula>
    </cfRule>
  </conditionalFormatting>
  <conditionalFormatting sqref="KF4:KG7">
    <cfRule type="cellIs" dxfId="123" priority="20" operator="between">
      <formula>$C$11</formula>
      <formula>100</formula>
    </cfRule>
  </conditionalFormatting>
  <conditionalFormatting sqref="LC4:LD7">
    <cfRule type="cellIs" dxfId="122" priority="19" operator="between">
      <formula>$C$11</formula>
      <formula>100</formula>
    </cfRule>
  </conditionalFormatting>
  <conditionalFormatting sqref="LZ4:MA7">
    <cfRule type="cellIs" dxfId="121" priority="10" operator="between">
      <formula>$C$11</formula>
      <formula>100</formula>
    </cfRule>
  </conditionalFormatting>
  <conditionalFormatting sqref="MW4:MX7">
    <cfRule type="cellIs" dxfId="120" priority="9" operator="between">
      <formula>$C$11</formula>
      <formula>100</formula>
    </cfRule>
  </conditionalFormatting>
  <conditionalFormatting sqref="AN4:AN7 BK4:BK7 CH4:CH7 DH4:DH7 EE4:EE7 FB4:FB7 FY4:FY7 GV4:GV7 HS4:HS7 IP4:IP7 JM4:JM7 KJ4:KJ7">
    <cfRule type="cellIs" dxfId="119" priority="402" operator="between">
      <formula>$C$15</formula>
      <formula>1000</formula>
    </cfRule>
    <cfRule type="cellIs" dxfId="118" priority="403" operator="between">
      <formula>$C$14</formula>
      <formula>$C$15</formula>
    </cfRule>
    <cfRule type="cellIs" dxfId="117" priority="404" operator="between">
      <formula>$C$13</formula>
      <formula>$C$14</formula>
    </cfRule>
    <cfRule type="expression" dxfId="116" priority="405">
      <formula>IF(AND(AN4&gt;=$C$12,AN4&lt;$C$13,YEAR(TODAY())-$D4&lt;2),1,0)</formula>
    </cfRule>
  </conditionalFormatting>
  <conditionalFormatting sqref="B4:C7">
    <cfRule type="expression" dxfId="115" priority="504">
      <formula>$E4&gt;=$C$19</formula>
    </cfRule>
    <cfRule type="expression" dxfId="114" priority="505">
      <formula>AND($E4&gt;=$C$18,$E4&lt;$C$19)</formula>
    </cfRule>
    <cfRule type="expression" dxfId="113" priority="506">
      <formula>AND($E4&gt;=$C$17,$E4&lt;$C$18)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RD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1" max="11" width="11.83203125" bestFit="1" customWidth="1"/>
    <col min="12" max="12" width="20.5" bestFit="1" customWidth="1"/>
    <col min="13" max="13" width="11.8320312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29.5" bestFit="1" customWidth="1"/>
    <col min="20" max="43" width="10.83203125" hidden="1" customWidth="1"/>
    <col min="44" max="49" width="10.83203125" customWidth="1"/>
    <col min="50" max="73" width="10.83203125" hidden="1" customWidth="1"/>
    <col min="74" max="79" width="10.83203125" customWidth="1"/>
    <col min="80" max="103" width="10.83203125" hidden="1" customWidth="1"/>
    <col min="104" max="109" width="10.83203125" customWidth="1"/>
    <col min="113" max="136" width="10.83203125" hidden="1" customWidth="1"/>
    <col min="137" max="142" width="10.83203125" customWidth="1"/>
    <col min="143" max="166" width="10.83203125" hidden="1" customWidth="1"/>
    <col min="167" max="172" width="10.83203125" customWidth="1"/>
    <col min="173" max="196" width="10.83203125" hidden="1" customWidth="1"/>
    <col min="197" max="202" width="10.83203125" customWidth="1"/>
    <col min="203" max="226" width="10.83203125" hidden="1" customWidth="1"/>
    <col min="227" max="232" width="10.83203125" customWidth="1"/>
    <col min="233" max="256" width="10.83203125" hidden="1" customWidth="1"/>
    <col min="257" max="262" width="10.83203125" customWidth="1"/>
    <col min="263" max="286" width="10.83203125" hidden="1" customWidth="1"/>
    <col min="287" max="292" width="10.83203125" customWidth="1"/>
    <col min="293" max="316" width="10.83203125" hidden="1" customWidth="1"/>
    <col min="317" max="322" width="10.83203125" customWidth="1"/>
    <col min="323" max="346" width="10.83203125" hidden="1" customWidth="1"/>
    <col min="347" max="352" width="10.83203125" customWidth="1"/>
    <col min="353" max="376" width="10.83203125" hidden="1" customWidth="1"/>
    <col min="377" max="382" width="10.83203125" customWidth="1"/>
    <col min="383" max="406" width="10.83203125" hidden="1" customWidth="1"/>
    <col min="407" max="412" width="10.83203125" customWidth="1"/>
    <col min="413" max="436" width="10.83203125" hidden="1" customWidth="1"/>
    <col min="437" max="442" width="10.83203125" customWidth="1"/>
    <col min="443" max="466" width="10.83203125" hidden="1" customWidth="1"/>
    <col min="467" max="472" width="10.83203125" customWidth="1"/>
  </cols>
  <sheetData>
    <row r="1" spans="1:472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61</v>
      </c>
      <c r="L1" s="97" t="s">
        <v>105</v>
      </c>
      <c r="M1" s="97" t="s">
        <v>62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94" t="s">
        <v>40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5" t="s">
        <v>41</v>
      </c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4" t="s">
        <v>114</v>
      </c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100" t="s">
        <v>29</v>
      </c>
      <c r="DG1" s="100"/>
      <c r="DH1" s="100"/>
      <c r="DI1" s="94" t="s">
        <v>107</v>
      </c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108" t="s">
        <v>110</v>
      </c>
      <c r="EN1" s="108"/>
      <c r="EO1" s="108"/>
      <c r="EP1" s="108"/>
      <c r="EQ1" s="108"/>
      <c r="ER1" s="108"/>
      <c r="ES1" s="108"/>
      <c r="ET1" s="108"/>
      <c r="EU1" s="108"/>
      <c r="EV1" s="108"/>
      <c r="EW1" s="108"/>
      <c r="EX1" s="108"/>
      <c r="EY1" s="108"/>
      <c r="EZ1" s="108"/>
      <c r="FA1" s="108"/>
      <c r="FB1" s="108"/>
      <c r="FC1" s="108"/>
      <c r="FD1" s="108"/>
      <c r="FE1" s="108"/>
      <c r="FF1" s="108"/>
      <c r="FG1" s="108"/>
      <c r="FH1" s="108"/>
      <c r="FI1" s="108"/>
      <c r="FJ1" s="108"/>
      <c r="FK1" s="108"/>
      <c r="FL1" s="108"/>
      <c r="FM1" s="108"/>
      <c r="FN1" s="108"/>
      <c r="FO1" s="108"/>
      <c r="FP1" s="108"/>
      <c r="FQ1" s="106" t="s">
        <v>130</v>
      </c>
      <c r="FR1" s="106"/>
      <c r="FS1" s="106"/>
      <c r="FT1" s="106"/>
      <c r="FU1" s="106"/>
      <c r="FV1" s="106"/>
      <c r="FW1" s="106"/>
      <c r="FX1" s="106"/>
      <c r="FY1" s="106"/>
      <c r="FZ1" s="106"/>
      <c r="GA1" s="106"/>
      <c r="GB1" s="106"/>
      <c r="GC1" s="106"/>
      <c r="GD1" s="106"/>
      <c r="GE1" s="106"/>
      <c r="GF1" s="106"/>
      <c r="GG1" s="106"/>
      <c r="GH1" s="106"/>
      <c r="GI1" s="106"/>
      <c r="GJ1" s="106"/>
      <c r="GK1" s="106"/>
      <c r="GL1" s="106"/>
      <c r="GM1" s="106"/>
      <c r="GN1" s="106"/>
      <c r="GO1" s="106"/>
      <c r="GP1" s="106"/>
      <c r="GQ1" s="106"/>
      <c r="GR1" s="106"/>
      <c r="GS1" s="106"/>
      <c r="GT1" s="106"/>
      <c r="GU1" s="108" t="s">
        <v>138</v>
      </c>
      <c r="GV1" s="108"/>
      <c r="GW1" s="108"/>
      <c r="GX1" s="108"/>
      <c r="GY1" s="108"/>
      <c r="GZ1" s="108"/>
      <c r="HA1" s="108"/>
      <c r="HB1" s="108"/>
      <c r="HC1" s="108"/>
      <c r="HD1" s="108"/>
      <c r="HE1" s="108"/>
      <c r="HF1" s="108"/>
      <c r="HG1" s="108"/>
      <c r="HH1" s="108"/>
      <c r="HI1" s="108"/>
      <c r="HJ1" s="108"/>
      <c r="HK1" s="108"/>
      <c r="HL1" s="108"/>
      <c r="HM1" s="108"/>
      <c r="HN1" s="108"/>
      <c r="HO1" s="108"/>
      <c r="HP1" s="108"/>
      <c r="HQ1" s="108"/>
      <c r="HR1" s="108"/>
      <c r="HS1" s="108"/>
      <c r="HT1" s="108"/>
      <c r="HU1" s="108"/>
      <c r="HV1" s="108"/>
      <c r="HW1" s="108"/>
      <c r="HX1" s="108"/>
      <c r="HY1" s="106" t="s">
        <v>142</v>
      </c>
      <c r="HZ1" s="106"/>
      <c r="IA1" s="106"/>
      <c r="IB1" s="106"/>
      <c r="IC1" s="106"/>
      <c r="ID1" s="106"/>
      <c r="IE1" s="106"/>
      <c r="IF1" s="106"/>
      <c r="IG1" s="106"/>
      <c r="IH1" s="106"/>
      <c r="II1" s="106"/>
      <c r="IJ1" s="106"/>
      <c r="IK1" s="106"/>
      <c r="IL1" s="106"/>
      <c r="IM1" s="106"/>
      <c r="IN1" s="106"/>
      <c r="IO1" s="106"/>
      <c r="IP1" s="106"/>
      <c r="IQ1" s="106"/>
      <c r="IR1" s="106"/>
      <c r="IS1" s="106"/>
      <c r="IT1" s="106"/>
      <c r="IU1" s="106"/>
      <c r="IV1" s="106"/>
      <c r="IW1" s="106"/>
      <c r="IX1" s="106"/>
      <c r="IY1" s="106"/>
      <c r="IZ1" s="106"/>
      <c r="JA1" s="106"/>
      <c r="JB1" s="106"/>
      <c r="JC1" s="108"/>
      <c r="JD1" s="108"/>
      <c r="JE1" s="108"/>
      <c r="JF1" s="108"/>
      <c r="JG1" s="108"/>
      <c r="JH1" s="108"/>
      <c r="JI1" s="108"/>
      <c r="JJ1" s="108"/>
      <c r="JK1" s="108"/>
      <c r="JL1" s="108"/>
      <c r="JM1" s="108"/>
      <c r="JN1" s="108"/>
      <c r="JO1" s="108"/>
      <c r="JP1" s="108"/>
      <c r="JQ1" s="108"/>
      <c r="JR1" s="108"/>
      <c r="JS1" s="108"/>
      <c r="JT1" s="108"/>
      <c r="JU1" s="108"/>
      <c r="JV1" s="108"/>
      <c r="JW1" s="108"/>
      <c r="JX1" s="108"/>
      <c r="JY1" s="108"/>
      <c r="JZ1" s="108"/>
      <c r="KA1" s="108"/>
      <c r="KB1" s="108"/>
      <c r="KC1" s="108"/>
      <c r="KD1" s="108"/>
      <c r="KE1" s="108"/>
      <c r="KF1" s="108"/>
      <c r="KG1" s="106"/>
      <c r="KH1" s="106"/>
      <c r="KI1" s="106"/>
      <c r="KJ1" s="106"/>
      <c r="KK1" s="106"/>
      <c r="KL1" s="106"/>
      <c r="KM1" s="106"/>
      <c r="KN1" s="106"/>
      <c r="KO1" s="106"/>
      <c r="KP1" s="106"/>
      <c r="KQ1" s="106"/>
      <c r="KR1" s="106"/>
      <c r="KS1" s="106"/>
      <c r="KT1" s="106"/>
      <c r="KU1" s="106"/>
      <c r="KV1" s="106"/>
      <c r="KW1" s="106"/>
      <c r="KX1" s="106"/>
      <c r="KY1" s="106"/>
      <c r="KZ1" s="106"/>
      <c r="LA1" s="106"/>
      <c r="LB1" s="106"/>
      <c r="LC1" s="106"/>
      <c r="LD1" s="106"/>
      <c r="LE1" s="106"/>
      <c r="LF1" s="106"/>
      <c r="LG1" s="106"/>
      <c r="LH1" s="106"/>
      <c r="LI1" s="106"/>
      <c r="LJ1" s="106"/>
      <c r="LK1" s="108"/>
      <c r="LL1" s="108"/>
      <c r="LM1" s="108"/>
      <c r="LN1" s="108"/>
      <c r="LO1" s="108"/>
      <c r="LP1" s="108"/>
      <c r="LQ1" s="108"/>
      <c r="LR1" s="108"/>
      <c r="LS1" s="108"/>
      <c r="LT1" s="108"/>
      <c r="LU1" s="108"/>
      <c r="LV1" s="108"/>
      <c r="LW1" s="108"/>
      <c r="LX1" s="108"/>
      <c r="LY1" s="108"/>
      <c r="LZ1" s="108"/>
      <c r="MA1" s="108"/>
      <c r="MB1" s="108"/>
      <c r="MC1" s="108"/>
      <c r="MD1" s="108"/>
      <c r="ME1" s="108"/>
      <c r="MF1" s="108"/>
      <c r="MG1" s="108"/>
      <c r="MH1" s="108"/>
      <c r="MI1" s="108"/>
      <c r="MJ1" s="108"/>
      <c r="MK1" s="108"/>
      <c r="ML1" s="108"/>
      <c r="MM1" s="108"/>
      <c r="MN1" s="108"/>
      <c r="MO1" s="106"/>
      <c r="MP1" s="106"/>
      <c r="MQ1" s="106"/>
      <c r="MR1" s="106"/>
      <c r="MS1" s="106"/>
      <c r="MT1" s="106"/>
      <c r="MU1" s="106"/>
      <c r="MV1" s="106"/>
      <c r="MW1" s="106"/>
      <c r="MX1" s="106"/>
      <c r="MY1" s="106"/>
      <c r="MZ1" s="106"/>
      <c r="NA1" s="106"/>
      <c r="NB1" s="106"/>
      <c r="NC1" s="106"/>
      <c r="ND1" s="106"/>
      <c r="NE1" s="106"/>
      <c r="NF1" s="106"/>
      <c r="NG1" s="106"/>
      <c r="NH1" s="106"/>
      <c r="NI1" s="106"/>
      <c r="NJ1" s="106"/>
      <c r="NK1" s="106"/>
      <c r="NL1" s="106"/>
      <c r="NM1" s="106"/>
      <c r="NN1" s="106"/>
      <c r="NO1" s="106"/>
      <c r="NP1" s="106"/>
      <c r="NQ1" s="106"/>
      <c r="NR1" s="106"/>
      <c r="NS1" s="108"/>
      <c r="NT1" s="108"/>
      <c r="NU1" s="108"/>
      <c r="NV1" s="108"/>
      <c r="NW1" s="108"/>
      <c r="NX1" s="108"/>
      <c r="NY1" s="108"/>
      <c r="NZ1" s="108"/>
      <c r="OA1" s="108"/>
      <c r="OB1" s="108"/>
      <c r="OC1" s="108"/>
      <c r="OD1" s="108"/>
      <c r="OE1" s="108"/>
      <c r="OF1" s="108"/>
      <c r="OG1" s="108"/>
      <c r="OH1" s="108"/>
      <c r="OI1" s="108"/>
      <c r="OJ1" s="108"/>
      <c r="OK1" s="108"/>
      <c r="OL1" s="108"/>
      <c r="OM1" s="108"/>
      <c r="ON1" s="108"/>
      <c r="OO1" s="108"/>
      <c r="OP1" s="108"/>
      <c r="OQ1" s="108"/>
      <c r="OR1" s="108"/>
      <c r="OS1" s="108"/>
      <c r="OT1" s="108"/>
      <c r="OU1" s="108"/>
      <c r="OV1" s="108"/>
      <c r="OW1" s="106"/>
      <c r="OX1" s="106"/>
      <c r="OY1" s="106"/>
      <c r="OZ1" s="106"/>
      <c r="PA1" s="106"/>
      <c r="PB1" s="106"/>
      <c r="PC1" s="106"/>
      <c r="PD1" s="106"/>
      <c r="PE1" s="106"/>
      <c r="PF1" s="106"/>
      <c r="PG1" s="106"/>
      <c r="PH1" s="106"/>
      <c r="PI1" s="106"/>
      <c r="PJ1" s="106"/>
      <c r="PK1" s="106"/>
      <c r="PL1" s="106"/>
      <c r="PM1" s="106"/>
      <c r="PN1" s="106"/>
      <c r="PO1" s="106"/>
      <c r="PP1" s="106"/>
      <c r="PQ1" s="106"/>
      <c r="PR1" s="106"/>
      <c r="PS1" s="106"/>
      <c r="PT1" s="106"/>
      <c r="PU1" s="106"/>
      <c r="PV1" s="106"/>
      <c r="PW1" s="106"/>
      <c r="PX1" s="106"/>
      <c r="PY1" s="106"/>
      <c r="PZ1" s="106"/>
      <c r="QA1" s="108"/>
      <c r="QB1" s="108"/>
      <c r="QC1" s="108"/>
      <c r="QD1" s="108"/>
      <c r="QE1" s="108"/>
      <c r="QF1" s="108"/>
      <c r="QG1" s="108"/>
      <c r="QH1" s="108"/>
      <c r="QI1" s="108"/>
      <c r="QJ1" s="108"/>
      <c r="QK1" s="108"/>
      <c r="QL1" s="108"/>
      <c r="QM1" s="108"/>
      <c r="QN1" s="108"/>
      <c r="QO1" s="108"/>
      <c r="QP1" s="108"/>
      <c r="QQ1" s="108"/>
      <c r="QR1" s="108"/>
      <c r="QS1" s="108"/>
      <c r="QT1" s="108"/>
      <c r="QU1" s="108"/>
      <c r="QV1" s="108"/>
      <c r="QW1" s="108"/>
      <c r="QX1" s="108"/>
      <c r="QY1" s="108"/>
      <c r="QZ1" s="108"/>
      <c r="RA1" s="108"/>
      <c r="RB1" s="108"/>
      <c r="RC1" s="108"/>
      <c r="RD1" s="108"/>
    </row>
    <row r="2" spans="1:472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63</v>
      </c>
      <c r="U2" s="88"/>
      <c r="V2" s="88"/>
      <c r="W2" s="88"/>
      <c r="X2" s="88" t="s">
        <v>66</v>
      </c>
      <c r="Y2" s="88"/>
      <c r="Z2" s="88"/>
      <c r="AA2" s="88"/>
      <c r="AB2" s="88" t="s">
        <v>67</v>
      </c>
      <c r="AC2" s="88"/>
      <c r="AD2" s="88"/>
      <c r="AE2" s="88"/>
      <c r="AF2" s="104" t="s">
        <v>68</v>
      </c>
      <c r="AG2" s="104"/>
      <c r="AH2" s="104"/>
      <c r="AI2" s="104"/>
      <c r="AJ2" s="104" t="s">
        <v>69</v>
      </c>
      <c r="AK2" s="104"/>
      <c r="AL2" s="104"/>
      <c r="AM2" s="104"/>
      <c r="AN2" s="104" t="s">
        <v>70</v>
      </c>
      <c r="AO2" s="104"/>
      <c r="AP2" s="104"/>
      <c r="AQ2" s="104"/>
      <c r="AR2" s="20" t="s">
        <v>45</v>
      </c>
      <c r="AS2" s="11" t="s">
        <v>39</v>
      </c>
      <c r="AT2" s="11" t="s">
        <v>76</v>
      </c>
      <c r="AU2" s="11" t="s">
        <v>77</v>
      </c>
      <c r="AV2" s="11" t="s">
        <v>38</v>
      </c>
      <c r="AW2" s="11" t="s">
        <v>33</v>
      </c>
      <c r="AX2" s="87" t="s">
        <v>63</v>
      </c>
      <c r="AY2" s="87"/>
      <c r="AZ2" s="87"/>
      <c r="BA2" s="87"/>
      <c r="BB2" s="87" t="s">
        <v>66</v>
      </c>
      <c r="BC2" s="87"/>
      <c r="BD2" s="87"/>
      <c r="BE2" s="87"/>
      <c r="BF2" s="87" t="s">
        <v>67</v>
      </c>
      <c r="BG2" s="87"/>
      <c r="BH2" s="87"/>
      <c r="BI2" s="87"/>
      <c r="BJ2" s="109" t="s">
        <v>68</v>
      </c>
      <c r="BK2" s="109"/>
      <c r="BL2" s="109"/>
      <c r="BM2" s="109"/>
      <c r="BN2" s="109" t="s">
        <v>69</v>
      </c>
      <c r="BO2" s="109"/>
      <c r="BP2" s="109"/>
      <c r="BQ2" s="109"/>
      <c r="BR2" s="109" t="s">
        <v>70</v>
      </c>
      <c r="BS2" s="109"/>
      <c r="BT2" s="109"/>
      <c r="BU2" s="109"/>
      <c r="BV2" s="19" t="s">
        <v>45</v>
      </c>
      <c r="BW2" s="15" t="s">
        <v>39</v>
      </c>
      <c r="BX2" s="15" t="s">
        <v>76</v>
      </c>
      <c r="BY2" s="15" t="s">
        <v>77</v>
      </c>
      <c r="BZ2" s="15" t="s">
        <v>38</v>
      </c>
      <c r="CA2" s="15" t="s">
        <v>33</v>
      </c>
      <c r="CB2" s="88" t="s">
        <v>63</v>
      </c>
      <c r="CC2" s="88"/>
      <c r="CD2" s="88"/>
      <c r="CE2" s="88"/>
      <c r="CF2" s="88" t="s">
        <v>66</v>
      </c>
      <c r="CG2" s="88"/>
      <c r="CH2" s="88"/>
      <c r="CI2" s="88"/>
      <c r="CJ2" s="88" t="s">
        <v>67</v>
      </c>
      <c r="CK2" s="88"/>
      <c r="CL2" s="88"/>
      <c r="CM2" s="88"/>
      <c r="CN2" s="107" t="s">
        <v>68</v>
      </c>
      <c r="CO2" s="107"/>
      <c r="CP2" s="107"/>
      <c r="CQ2" s="107"/>
      <c r="CR2" s="107" t="s">
        <v>69</v>
      </c>
      <c r="CS2" s="107"/>
      <c r="CT2" s="107"/>
      <c r="CU2" s="107"/>
      <c r="CV2" s="107" t="s">
        <v>70</v>
      </c>
      <c r="CW2" s="107"/>
      <c r="CX2" s="107"/>
      <c r="CY2" s="107"/>
      <c r="CZ2" s="20" t="s">
        <v>45</v>
      </c>
      <c r="DA2" s="11" t="s">
        <v>39</v>
      </c>
      <c r="DB2" s="11" t="s">
        <v>76</v>
      </c>
      <c r="DC2" s="11" t="s">
        <v>77</v>
      </c>
      <c r="DD2" s="11" t="s">
        <v>38</v>
      </c>
      <c r="DE2" s="11" t="s">
        <v>33</v>
      </c>
      <c r="DF2" s="41" t="s">
        <v>76</v>
      </c>
      <c r="DG2" s="41" t="s">
        <v>77</v>
      </c>
      <c r="DH2" s="41" t="s">
        <v>38</v>
      </c>
      <c r="DI2" s="88" t="s">
        <v>63</v>
      </c>
      <c r="DJ2" s="88"/>
      <c r="DK2" s="88"/>
      <c r="DL2" s="88"/>
      <c r="DM2" s="88" t="s">
        <v>66</v>
      </c>
      <c r="DN2" s="88"/>
      <c r="DO2" s="88"/>
      <c r="DP2" s="88"/>
      <c r="DQ2" s="88" t="s">
        <v>67</v>
      </c>
      <c r="DR2" s="88"/>
      <c r="DS2" s="88"/>
      <c r="DT2" s="88"/>
      <c r="DU2" s="107" t="s">
        <v>68</v>
      </c>
      <c r="DV2" s="107"/>
      <c r="DW2" s="107"/>
      <c r="DX2" s="107"/>
      <c r="DY2" s="107" t="s">
        <v>69</v>
      </c>
      <c r="DZ2" s="107"/>
      <c r="EA2" s="107"/>
      <c r="EB2" s="107"/>
      <c r="EC2" s="107" t="s">
        <v>70</v>
      </c>
      <c r="ED2" s="107"/>
      <c r="EE2" s="107"/>
      <c r="EF2" s="107"/>
      <c r="EG2" s="20" t="s">
        <v>45</v>
      </c>
      <c r="EH2" s="11" t="s">
        <v>39</v>
      </c>
      <c r="EI2" s="11" t="s">
        <v>76</v>
      </c>
      <c r="EJ2" s="11" t="s">
        <v>77</v>
      </c>
      <c r="EK2" s="11" t="s">
        <v>38</v>
      </c>
      <c r="EL2" s="11" t="s">
        <v>33</v>
      </c>
      <c r="EM2" s="109" t="s">
        <v>63</v>
      </c>
      <c r="EN2" s="109"/>
      <c r="EO2" s="109"/>
      <c r="EP2" s="109"/>
      <c r="EQ2" s="109" t="s">
        <v>66</v>
      </c>
      <c r="ER2" s="109"/>
      <c r="ES2" s="109"/>
      <c r="ET2" s="109"/>
      <c r="EU2" s="109" t="s">
        <v>67</v>
      </c>
      <c r="EV2" s="109"/>
      <c r="EW2" s="109"/>
      <c r="EX2" s="109"/>
      <c r="EY2" s="109" t="s">
        <v>68</v>
      </c>
      <c r="EZ2" s="109"/>
      <c r="FA2" s="109"/>
      <c r="FB2" s="109"/>
      <c r="FC2" s="109" t="s">
        <v>69</v>
      </c>
      <c r="FD2" s="109"/>
      <c r="FE2" s="109"/>
      <c r="FF2" s="109"/>
      <c r="FG2" s="109" t="s">
        <v>70</v>
      </c>
      <c r="FH2" s="109"/>
      <c r="FI2" s="109"/>
      <c r="FJ2" s="109"/>
      <c r="FK2" s="28" t="s">
        <v>45</v>
      </c>
      <c r="FL2" s="26" t="s">
        <v>39</v>
      </c>
      <c r="FM2" s="26" t="s">
        <v>76</v>
      </c>
      <c r="FN2" s="26" t="s">
        <v>77</v>
      </c>
      <c r="FO2" s="26" t="s">
        <v>38</v>
      </c>
      <c r="FP2" s="26" t="s">
        <v>33</v>
      </c>
      <c r="FQ2" s="107" t="s">
        <v>63</v>
      </c>
      <c r="FR2" s="107"/>
      <c r="FS2" s="107"/>
      <c r="FT2" s="107"/>
      <c r="FU2" s="107" t="s">
        <v>66</v>
      </c>
      <c r="FV2" s="107"/>
      <c r="FW2" s="107"/>
      <c r="FX2" s="107"/>
      <c r="FY2" s="107" t="s">
        <v>67</v>
      </c>
      <c r="FZ2" s="107"/>
      <c r="GA2" s="107"/>
      <c r="GB2" s="107"/>
      <c r="GC2" s="107" t="s">
        <v>68</v>
      </c>
      <c r="GD2" s="107"/>
      <c r="GE2" s="107"/>
      <c r="GF2" s="107"/>
      <c r="GG2" s="107" t="s">
        <v>69</v>
      </c>
      <c r="GH2" s="107"/>
      <c r="GI2" s="107"/>
      <c r="GJ2" s="107"/>
      <c r="GK2" s="107" t="s">
        <v>70</v>
      </c>
      <c r="GL2" s="107"/>
      <c r="GM2" s="107"/>
      <c r="GN2" s="107"/>
      <c r="GO2" s="36" t="s">
        <v>45</v>
      </c>
      <c r="GP2" s="27" t="s">
        <v>39</v>
      </c>
      <c r="GQ2" s="27" t="s">
        <v>76</v>
      </c>
      <c r="GR2" s="27" t="s">
        <v>77</v>
      </c>
      <c r="GS2" s="27" t="s">
        <v>38</v>
      </c>
      <c r="GT2" s="27" t="s">
        <v>33</v>
      </c>
      <c r="GU2" s="109" t="s">
        <v>63</v>
      </c>
      <c r="GV2" s="109"/>
      <c r="GW2" s="109"/>
      <c r="GX2" s="109"/>
      <c r="GY2" s="109" t="s">
        <v>66</v>
      </c>
      <c r="GZ2" s="109"/>
      <c r="HA2" s="109"/>
      <c r="HB2" s="109"/>
      <c r="HC2" s="109" t="s">
        <v>67</v>
      </c>
      <c r="HD2" s="109"/>
      <c r="HE2" s="109"/>
      <c r="HF2" s="109"/>
      <c r="HG2" s="109" t="s">
        <v>68</v>
      </c>
      <c r="HH2" s="109"/>
      <c r="HI2" s="109"/>
      <c r="HJ2" s="109"/>
      <c r="HK2" s="109" t="s">
        <v>69</v>
      </c>
      <c r="HL2" s="109"/>
      <c r="HM2" s="109"/>
      <c r="HN2" s="109"/>
      <c r="HO2" s="109" t="s">
        <v>70</v>
      </c>
      <c r="HP2" s="109"/>
      <c r="HQ2" s="109"/>
      <c r="HR2" s="109"/>
      <c r="HS2" s="39" t="s">
        <v>45</v>
      </c>
      <c r="HT2" s="26" t="s">
        <v>39</v>
      </c>
      <c r="HU2" s="26" t="s">
        <v>76</v>
      </c>
      <c r="HV2" s="26" t="s">
        <v>77</v>
      </c>
      <c r="HW2" s="26" t="s">
        <v>38</v>
      </c>
      <c r="HX2" s="26" t="s">
        <v>33</v>
      </c>
      <c r="HY2" s="107" t="s">
        <v>63</v>
      </c>
      <c r="HZ2" s="107"/>
      <c r="IA2" s="107"/>
      <c r="IB2" s="107"/>
      <c r="IC2" s="107" t="s">
        <v>66</v>
      </c>
      <c r="ID2" s="107"/>
      <c r="IE2" s="107"/>
      <c r="IF2" s="107"/>
      <c r="IG2" s="107" t="s">
        <v>67</v>
      </c>
      <c r="IH2" s="107"/>
      <c r="II2" s="107"/>
      <c r="IJ2" s="107"/>
      <c r="IK2" s="107" t="s">
        <v>68</v>
      </c>
      <c r="IL2" s="107"/>
      <c r="IM2" s="107"/>
      <c r="IN2" s="107"/>
      <c r="IO2" s="107" t="s">
        <v>69</v>
      </c>
      <c r="IP2" s="107"/>
      <c r="IQ2" s="107"/>
      <c r="IR2" s="107"/>
      <c r="IS2" s="107" t="s">
        <v>70</v>
      </c>
      <c r="IT2" s="107"/>
      <c r="IU2" s="107"/>
      <c r="IV2" s="107"/>
      <c r="IW2" s="40" t="s">
        <v>45</v>
      </c>
      <c r="IX2" s="27" t="s">
        <v>39</v>
      </c>
      <c r="IY2" s="27" t="s">
        <v>76</v>
      </c>
      <c r="IZ2" s="27" t="s">
        <v>77</v>
      </c>
      <c r="JA2" s="27" t="s">
        <v>38</v>
      </c>
      <c r="JB2" s="27" t="s">
        <v>33</v>
      </c>
      <c r="JC2" s="109" t="s">
        <v>63</v>
      </c>
      <c r="JD2" s="109"/>
      <c r="JE2" s="109"/>
      <c r="JF2" s="109"/>
      <c r="JG2" s="109" t="s">
        <v>66</v>
      </c>
      <c r="JH2" s="109"/>
      <c r="JI2" s="109"/>
      <c r="JJ2" s="109"/>
      <c r="JK2" s="109" t="s">
        <v>67</v>
      </c>
      <c r="JL2" s="109"/>
      <c r="JM2" s="109"/>
      <c r="JN2" s="109"/>
      <c r="JO2" s="109" t="s">
        <v>68</v>
      </c>
      <c r="JP2" s="109"/>
      <c r="JQ2" s="109"/>
      <c r="JR2" s="109"/>
      <c r="JS2" s="109" t="s">
        <v>69</v>
      </c>
      <c r="JT2" s="109"/>
      <c r="JU2" s="109"/>
      <c r="JV2" s="109"/>
      <c r="JW2" s="109" t="s">
        <v>70</v>
      </c>
      <c r="JX2" s="109"/>
      <c r="JY2" s="109"/>
      <c r="JZ2" s="109"/>
      <c r="KA2" s="39" t="s">
        <v>45</v>
      </c>
      <c r="KB2" s="26" t="s">
        <v>39</v>
      </c>
      <c r="KC2" s="26" t="s">
        <v>76</v>
      </c>
      <c r="KD2" s="26" t="s">
        <v>77</v>
      </c>
      <c r="KE2" s="26" t="s">
        <v>38</v>
      </c>
      <c r="KF2" s="26" t="s">
        <v>33</v>
      </c>
      <c r="KG2" s="107" t="s">
        <v>63</v>
      </c>
      <c r="KH2" s="107"/>
      <c r="KI2" s="107"/>
      <c r="KJ2" s="107"/>
      <c r="KK2" s="107" t="s">
        <v>66</v>
      </c>
      <c r="KL2" s="107"/>
      <c r="KM2" s="107"/>
      <c r="KN2" s="107"/>
      <c r="KO2" s="107" t="s">
        <v>67</v>
      </c>
      <c r="KP2" s="107"/>
      <c r="KQ2" s="107"/>
      <c r="KR2" s="107"/>
      <c r="KS2" s="107" t="s">
        <v>68</v>
      </c>
      <c r="KT2" s="107"/>
      <c r="KU2" s="107"/>
      <c r="KV2" s="107"/>
      <c r="KW2" s="107" t="s">
        <v>69</v>
      </c>
      <c r="KX2" s="107"/>
      <c r="KY2" s="107"/>
      <c r="KZ2" s="107"/>
      <c r="LA2" s="107" t="s">
        <v>70</v>
      </c>
      <c r="LB2" s="107"/>
      <c r="LC2" s="107"/>
      <c r="LD2" s="107"/>
      <c r="LE2" s="40" t="s">
        <v>45</v>
      </c>
      <c r="LF2" s="27" t="s">
        <v>39</v>
      </c>
      <c r="LG2" s="27" t="s">
        <v>76</v>
      </c>
      <c r="LH2" s="27" t="s">
        <v>77</v>
      </c>
      <c r="LI2" s="27" t="s">
        <v>38</v>
      </c>
      <c r="LJ2" s="27" t="s">
        <v>33</v>
      </c>
      <c r="LK2" s="109" t="s">
        <v>63</v>
      </c>
      <c r="LL2" s="109"/>
      <c r="LM2" s="109"/>
      <c r="LN2" s="109"/>
      <c r="LO2" s="109" t="s">
        <v>66</v>
      </c>
      <c r="LP2" s="109"/>
      <c r="LQ2" s="109"/>
      <c r="LR2" s="109"/>
      <c r="LS2" s="109" t="s">
        <v>67</v>
      </c>
      <c r="LT2" s="109"/>
      <c r="LU2" s="109"/>
      <c r="LV2" s="109"/>
      <c r="LW2" s="109" t="s">
        <v>68</v>
      </c>
      <c r="LX2" s="109"/>
      <c r="LY2" s="109"/>
      <c r="LZ2" s="109"/>
      <c r="MA2" s="109" t="s">
        <v>69</v>
      </c>
      <c r="MB2" s="109"/>
      <c r="MC2" s="109"/>
      <c r="MD2" s="109"/>
      <c r="ME2" s="109" t="s">
        <v>70</v>
      </c>
      <c r="MF2" s="109"/>
      <c r="MG2" s="109"/>
      <c r="MH2" s="109"/>
      <c r="MI2" s="39" t="s">
        <v>45</v>
      </c>
      <c r="MJ2" s="26" t="s">
        <v>39</v>
      </c>
      <c r="MK2" s="26" t="s">
        <v>76</v>
      </c>
      <c r="ML2" s="26" t="s">
        <v>77</v>
      </c>
      <c r="MM2" s="26" t="s">
        <v>38</v>
      </c>
      <c r="MN2" s="26" t="s">
        <v>33</v>
      </c>
      <c r="MO2" s="107" t="s">
        <v>63</v>
      </c>
      <c r="MP2" s="107"/>
      <c r="MQ2" s="107"/>
      <c r="MR2" s="107"/>
      <c r="MS2" s="107" t="s">
        <v>66</v>
      </c>
      <c r="MT2" s="107"/>
      <c r="MU2" s="107"/>
      <c r="MV2" s="107"/>
      <c r="MW2" s="107" t="s">
        <v>67</v>
      </c>
      <c r="MX2" s="107"/>
      <c r="MY2" s="107"/>
      <c r="MZ2" s="107"/>
      <c r="NA2" s="107" t="s">
        <v>68</v>
      </c>
      <c r="NB2" s="107"/>
      <c r="NC2" s="107"/>
      <c r="ND2" s="107"/>
      <c r="NE2" s="107" t="s">
        <v>69</v>
      </c>
      <c r="NF2" s="107"/>
      <c r="NG2" s="107"/>
      <c r="NH2" s="107"/>
      <c r="NI2" s="107" t="s">
        <v>70</v>
      </c>
      <c r="NJ2" s="107"/>
      <c r="NK2" s="107"/>
      <c r="NL2" s="107"/>
      <c r="NM2" s="40" t="s">
        <v>45</v>
      </c>
      <c r="NN2" s="27" t="s">
        <v>39</v>
      </c>
      <c r="NO2" s="27" t="s">
        <v>76</v>
      </c>
      <c r="NP2" s="27" t="s">
        <v>77</v>
      </c>
      <c r="NQ2" s="27" t="s">
        <v>38</v>
      </c>
      <c r="NR2" s="27" t="s">
        <v>33</v>
      </c>
      <c r="NS2" s="109" t="s">
        <v>63</v>
      </c>
      <c r="NT2" s="109"/>
      <c r="NU2" s="109"/>
      <c r="NV2" s="109"/>
      <c r="NW2" s="109" t="s">
        <v>66</v>
      </c>
      <c r="NX2" s="109"/>
      <c r="NY2" s="109"/>
      <c r="NZ2" s="109"/>
      <c r="OA2" s="109" t="s">
        <v>67</v>
      </c>
      <c r="OB2" s="109"/>
      <c r="OC2" s="109"/>
      <c r="OD2" s="109"/>
      <c r="OE2" s="109" t="s">
        <v>68</v>
      </c>
      <c r="OF2" s="109"/>
      <c r="OG2" s="109"/>
      <c r="OH2" s="109"/>
      <c r="OI2" s="109" t="s">
        <v>69</v>
      </c>
      <c r="OJ2" s="109"/>
      <c r="OK2" s="109"/>
      <c r="OL2" s="109"/>
      <c r="OM2" s="109" t="s">
        <v>70</v>
      </c>
      <c r="ON2" s="109"/>
      <c r="OO2" s="109"/>
      <c r="OP2" s="109"/>
      <c r="OQ2" s="39" t="s">
        <v>45</v>
      </c>
      <c r="OR2" s="26" t="s">
        <v>39</v>
      </c>
      <c r="OS2" s="26" t="s">
        <v>76</v>
      </c>
      <c r="OT2" s="26" t="s">
        <v>77</v>
      </c>
      <c r="OU2" s="26" t="s">
        <v>38</v>
      </c>
      <c r="OV2" s="26" t="s">
        <v>33</v>
      </c>
      <c r="OW2" s="107" t="s">
        <v>63</v>
      </c>
      <c r="OX2" s="107"/>
      <c r="OY2" s="107"/>
      <c r="OZ2" s="107"/>
      <c r="PA2" s="107" t="s">
        <v>66</v>
      </c>
      <c r="PB2" s="107"/>
      <c r="PC2" s="107"/>
      <c r="PD2" s="107"/>
      <c r="PE2" s="107" t="s">
        <v>67</v>
      </c>
      <c r="PF2" s="107"/>
      <c r="PG2" s="107"/>
      <c r="PH2" s="107"/>
      <c r="PI2" s="107" t="s">
        <v>68</v>
      </c>
      <c r="PJ2" s="107"/>
      <c r="PK2" s="107"/>
      <c r="PL2" s="107"/>
      <c r="PM2" s="107" t="s">
        <v>69</v>
      </c>
      <c r="PN2" s="107"/>
      <c r="PO2" s="107"/>
      <c r="PP2" s="107"/>
      <c r="PQ2" s="107" t="s">
        <v>70</v>
      </c>
      <c r="PR2" s="107"/>
      <c r="PS2" s="107"/>
      <c r="PT2" s="107"/>
      <c r="PU2" s="40" t="s">
        <v>45</v>
      </c>
      <c r="PV2" s="27" t="s">
        <v>39</v>
      </c>
      <c r="PW2" s="27" t="s">
        <v>76</v>
      </c>
      <c r="PX2" s="27" t="s">
        <v>77</v>
      </c>
      <c r="PY2" s="27" t="s">
        <v>38</v>
      </c>
      <c r="PZ2" s="27" t="s">
        <v>33</v>
      </c>
      <c r="QA2" s="109" t="s">
        <v>63</v>
      </c>
      <c r="QB2" s="109"/>
      <c r="QC2" s="109"/>
      <c r="QD2" s="109"/>
      <c r="QE2" s="109" t="s">
        <v>66</v>
      </c>
      <c r="QF2" s="109"/>
      <c r="QG2" s="109"/>
      <c r="QH2" s="109"/>
      <c r="QI2" s="109" t="s">
        <v>67</v>
      </c>
      <c r="QJ2" s="109"/>
      <c r="QK2" s="109"/>
      <c r="QL2" s="109"/>
      <c r="QM2" s="109" t="s">
        <v>68</v>
      </c>
      <c r="QN2" s="109"/>
      <c r="QO2" s="109"/>
      <c r="QP2" s="109"/>
      <c r="QQ2" s="109" t="s">
        <v>69</v>
      </c>
      <c r="QR2" s="109"/>
      <c r="QS2" s="109"/>
      <c r="QT2" s="109"/>
      <c r="QU2" s="109" t="s">
        <v>70</v>
      </c>
      <c r="QV2" s="109"/>
      <c r="QW2" s="109"/>
      <c r="QX2" s="109"/>
      <c r="QY2" s="39" t="s">
        <v>45</v>
      </c>
      <c r="QZ2" s="26" t="s">
        <v>39</v>
      </c>
      <c r="RA2" s="26" t="s">
        <v>76</v>
      </c>
      <c r="RB2" s="26" t="s">
        <v>77</v>
      </c>
      <c r="RC2" s="26" t="s">
        <v>38</v>
      </c>
      <c r="RD2" s="26" t="s">
        <v>33</v>
      </c>
    </row>
    <row r="3" spans="1:472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48" t="s">
        <v>30</v>
      </c>
      <c r="U3" s="48" t="s">
        <v>22</v>
      </c>
      <c r="V3" s="48" t="s">
        <v>64</v>
      </c>
      <c r="W3" s="48" t="s">
        <v>65</v>
      </c>
      <c r="X3" s="48" t="s">
        <v>30</v>
      </c>
      <c r="Y3" s="48" t="s">
        <v>22</v>
      </c>
      <c r="Z3" s="48" t="s">
        <v>64</v>
      </c>
      <c r="AA3" s="48" t="s">
        <v>65</v>
      </c>
      <c r="AB3" s="48" t="s">
        <v>30</v>
      </c>
      <c r="AC3" s="48" t="s">
        <v>22</v>
      </c>
      <c r="AD3" s="48" t="s">
        <v>64</v>
      </c>
      <c r="AE3" s="48" t="s">
        <v>65</v>
      </c>
      <c r="AF3" s="51" t="s">
        <v>30</v>
      </c>
      <c r="AG3" s="51" t="s">
        <v>22</v>
      </c>
      <c r="AH3" s="51" t="s">
        <v>64</v>
      </c>
      <c r="AI3" s="51" t="s">
        <v>65</v>
      </c>
      <c r="AJ3" s="51" t="s">
        <v>30</v>
      </c>
      <c r="AK3" s="51" t="s">
        <v>22</v>
      </c>
      <c r="AL3" s="51" t="s">
        <v>64</v>
      </c>
      <c r="AM3" s="51" t="s">
        <v>65</v>
      </c>
      <c r="AN3" s="51" t="s">
        <v>30</v>
      </c>
      <c r="AO3" s="51" t="s">
        <v>22</v>
      </c>
      <c r="AP3" s="51" t="s">
        <v>64</v>
      </c>
      <c r="AQ3" s="51" t="s">
        <v>65</v>
      </c>
      <c r="AR3" s="12"/>
      <c r="AS3" s="11"/>
      <c r="AT3" s="11"/>
      <c r="AU3" s="11"/>
      <c r="AV3" s="12"/>
      <c r="AW3" s="12"/>
      <c r="AX3" s="47" t="s">
        <v>30</v>
      </c>
      <c r="AY3" s="47" t="s">
        <v>22</v>
      </c>
      <c r="AZ3" s="47" t="s">
        <v>64</v>
      </c>
      <c r="BA3" s="47" t="s">
        <v>65</v>
      </c>
      <c r="BB3" s="47" t="s">
        <v>30</v>
      </c>
      <c r="BC3" s="47" t="s">
        <v>22</v>
      </c>
      <c r="BD3" s="47" t="s">
        <v>64</v>
      </c>
      <c r="BE3" s="47" t="s">
        <v>65</v>
      </c>
      <c r="BF3" s="47" t="s">
        <v>30</v>
      </c>
      <c r="BG3" s="47" t="s">
        <v>22</v>
      </c>
      <c r="BH3" s="47" t="s">
        <v>64</v>
      </c>
      <c r="BI3" s="47" t="s">
        <v>65</v>
      </c>
      <c r="BJ3" s="52" t="s">
        <v>30</v>
      </c>
      <c r="BK3" s="52" t="s">
        <v>22</v>
      </c>
      <c r="BL3" s="52" t="s">
        <v>64</v>
      </c>
      <c r="BM3" s="52" t="s">
        <v>65</v>
      </c>
      <c r="BN3" s="52" t="s">
        <v>30</v>
      </c>
      <c r="BO3" s="52" t="s">
        <v>22</v>
      </c>
      <c r="BP3" s="52" t="s">
        <v>64</v>
      </c>
      <c r="BQ3" s="52" t="s">
        <v>65</v>
      </c>
      <c r="BR3" s="52" t="s">
        <v>30</v>
      </c>
      <c r="BS3" s="52" t="s">
        <v>22</v>
      </c>
      <c r="BT3" s="52" t="s">
        <v>64</v>
      </c>
      <c r="BU3" s="52" t="s">
        <v>65</v>
      </c>
      <c r="BV3" s="16"/>
      <c r="BW3" s="15"/>
      <c r="BX3" s="15"/>
      <c r="BY3" s="15"/>
      <c r="BZ3" s="16"/>
      <c r="CA3" s="16"/>
      <c r="CB3" s="48" t="s">
        <v>30</v>
      </c>
      <c r="CC3" s="48" t="s">
        <v>22</v>
      </c>
      <c r="CD3" s="48" t="s">
        <v>64</v>
      </c>
      <c r="CE3" s="48" t="s">
        <v>65</v>
      </c>
      <c r="CF3" s="48" t="s">
        <v>30</v>
      </c>
      <c r="CG3" s="48" t="s">
        <v>22</v>
      </c>
      <c r="CH3" s="48" t="s">
        <v>64</v>
      </c>
      <c r="CI3" s="48" t="s">
        <v>65</v>
      </c>
      <c r="CJ3" s="48" t="s">
        <v>30</v>
      </c>
      <c r="CK3" s="48" t="s">
        <v>22</v>
      </c>
      <c r="CL3" s="48" t="s">
        <v>64</v>
      </c>
      <c r="CM3" s="48" t="s">
        <v>65</v>
      </c>
      <c r="CN3" s="53" t="s">
        <v>30</v>
      </c>
      <c r="CO3" s="53" t="s">
        <v>22</v>
      </c>
      <c r="CP3" s="53" t="s">
        <v>64</v>
      </c>
      <c r="CQ3" s="53" t="s">
        <v>65</v>
      </c>
      <c r="CR3" s="53" t="s">
        <v>30</v>
      </c>
      <c r="CS3" s="53" t="s">
        <v>22</v>
      </c>
      <c r="CT3" s="53" t="s">
        <v>64</v>
      </c>
      <c r="CU3" s="53" t="s">
        <v>65</v>
      </c>
      <c r="CV3" s="53" t="s">
        <v>30</v>
      </c>
      <c r="CW3" s="53" t="s">
        <v>22</v>
      </c>
      <c r="CX3" s="53" t="s">
        <v>64</v>
      </c>
      <c r="CY3" s="53" t="s">
        <v>65</v>
      </c>
      <c r="CZ3" s="12"/>
      <c r="DA3" s="11"/>
      <c r="DB3" s="11"/>
      <c r="DC3" s="11"/>
      <c r="DD3" s="12"/>
      <c r="DE3" s="12"/>
      <c r="DF3" s="42"/>
      <c r="DG3" s="42"/>
      <c r="DH3" s="42"/>
      <c r="DI3" s="48" t="s">
        <v>30</v>
      </c>
      <c r="DJ3" s="48" t="s">
        <v>22</v>
      </c>
      <c r="DK3" s="48" t="s">
        <v>64</v>
      </c>
      <c r="DL3" s="48" t="s">
        <v>65</v>
      </c>
      <c r="DM3" s="48" t="s">
        <v>30</v>
      </c>
      <c r="DN3" s="48" t="s">
        <v>22</v>
      </c>
      <c r="DO3" s="48" t="s">
        <v>64</v>
      </c>
      <c r="DP3" s="48" t="s">
        <v>65</v>
      </c>
      <c r="DQ3" s="48" t="s">
        <v>30</v>
      </c>
      <c r="DR3" s="48" t="s">
        <v>22</v>
      </c>
      <c r="DS3" s="48" t="s">
        <v>64</v>
      </c>
      <c r="DT3" s="48" t="s">
        <v>65</v>
      </c>
      <c r="DU3" s="53" t="s">
        <v>30</v>
      </c>
      <c r="DV3" s="53" t="s">
        <v>22</v>
      </c>
      <c r="DW3" s="53" t="s">
        <v>64</v>
      </c>
      <c r="DX3" s="53" t="s">
        <v>65</v>
      </c>
      <c r="DY3" s="53" t="s">
        <v>30</v>
      </c>
      <c r="DZ3" s="53" t="s">
        <v>22</v>
      </c>
      <c r="EA3" s="53" t="s">
        <v>64</v>
      </c>
      <c r="EB3" s="53" t="s">
        <v>65</v>
      </c>
      <c r="EC3" s="53" t="s">
        <v>30</v>
      </c>
      <c r="ED3" s="53" t="s">
        <v>22</v>
      </c>
      <c r="EE3" s="53" t="s">
        <v>64</v>
      </c>
      <c r="EF3" s="53" t="s">
        <v>65</v>
      </c>
      <c r="EG3" s="12"/>
      <c r="EH3" s="11"/>
      <c r="EI3" s="11"/>
      <c r="EJ3" s="11"/>
      <c r="EK3" s="12"/>
      <c r="EL3" s="12"/>
      <c r="EM3" s="52" t="s">
        <v>30</v>
      </c>
      <c r="EN3" s="52" t="s">
        <v>22</v>
      </c>
      <c r="EO3" s="52" t="s">
        <v>64</v>
      </c>
      <c r="EP3" s="52" t="s">
        <v>65</v>
      </c>
      <c r="EQ3" s="52" t="s">
        <v>30</v>
      </c>
      <c r="ER3" s="52" t="s">
        <v>22</v>
      </c>
      <c r="ES3" s="52" t="s">
        <v>64</v>
      </c>
      <c r="ET3" s="52" t="s">
        <v>65</v>
      </c>
      <c r="EU3" s="52" t="s">
        <v>30</v>
      </c>
      <c r="EV3" s="52" t="s">
        <v>22</v>
      </c>
      <c r="EW3" s="52" t="s">
        <v>64</v>
      </c>
      <c r="EX3" s="52" t="s">
        <v>65</v>
      </c>
      <c r="EY3" s="52" t="s">
        <v>30</v>
      </c>
      <c r="EZ3" s="52" t="s">
        <v>22</v>
      </c>
      <c r="FA3" s="52" t="s">
        <v>64</v>
      </c>
      <c r="FB3" s="52" t="s">
        <v>65</v>
      </c>
      <c r="FC3" s="52" t="s">
        <v>30</v>
      </c>
      <c r="FD3" s="52" t="s">
        <v>22</v>
      </c>
      <c r="FE3" s="52" t="s">
        <v>64</v>
      </c>
      <c r="FF3" s="52" t="s">
        <v>65</v>
      </c>
      <c r="FG3" s="52" t="s">
        <v>30</v>
      </c>
      <c r="FH3" s="52" t="s">
        <v>22</v>
      </c>
      <c r="FI3" s="52" t="s">
        <v>64</v>
      </c>
      <c r="FJ3" s="52" t="s">
        <v>65</v>
      </c>
      <c r="FK3" s="26"/>
      <c r="FL3" s="26"/>
      <c r="FM3" s="26"/>
      <c r="FN3" s="26"/>
      <c r="FO3" s="26"/>
      <c r="FP3" s="26"/>
      <c r="FQ3" s="53" t="s">
        <v>30</v>
      </c>
      <c r="FR3" s="53" t="s">
        <v>22</v>
      </c>
      <c r="FS3" s="53" t="s">
        <v>64</v>
      </c>
      <c r="FT3" s="53" t="s">
        <v>65</v>
      </c>
      <c r="FU3" s="53" t="s">
        <v>30</v>
      </c>
      <c r="FV3" s="53" t="s">
        <v>22</v>
      </c>
      <c r="FW3" s="53" t="s">
        <v>64</v>
      </c>
      <c r="FX3" s="53" t="s">
        <v>65</v>
      </c>
      <c r="FY3" s="53" t="s">
        <v>30</v>
      </c>
      <c r="FZ3" s="53" t="s">
        <v>22</v>
      </c>
      <c r="GA3" s="53" t="s">
        <v>64</v>
      </c>
      <c r="GB3" s="53" t="s">
        <v>65</v>
      </c>
      <c r="GC3" s="53" t="s">
        <v>30</v>
      </c>
      <c r="GD3" s="53" t="s">
        <v>22</v>
      </c>
      <c r="GE3" s="53" t="s">
        <v>64</v>
      </c>
      <c r="GF3" s="53" t="s">
        <v>65</v>
      </c>
      <c r="GG3" s="53" t="s">
        <v>30</v>
      </c>
      <c r="GH3" s="53" t="s">
        <v>22</v>
      </c>
      <c r="GI3" s="53" t="s">
        <v>64</v>
      </c>
      <c r="GJ3" s="53" t="s">
        <v>65</v>
      </c>
      <c r="GK3" s="53" t="s">
        <v>30</v>
      </c>
      <c r="GL3" s="53" t="s">
        <v>22</v>
      </c>
      <c r="GM3" s="53" t="s">
        <v>64</v>
      </c>
      <c r="GN3" s="53" t="s">
        <v>65</v>
      </c>
      <c r="GO3" s="27"/>
      <c r="GP3" s="27"/>
      <c r="GQ3" s="27"/>
      <c r="GR3" s="27"/>
      <c r="GS3" s="27"/>
      <c r="GT3" s="27"/>
      <c r="GU3" s="52" t="s">
        <v>30</v>
      </c>
      <c r="GV3" s="52" t="s">
        <v>22</v>
      </c>
      <c r="GW3" s="52" t="s">
        <v>64</v>
      </c>
      <c r="GX3" s="52" t="s">
        <v>65</v>
      </c>
      <c r="GY3" s="52" t="s">
        <v>30</v>
      </c>
      <c r="GZ3" s="52" t="s">
        <v>22</v>
      </c>
      <c r="HA3" s="52" t="s">
        <v>64</v>
      </c>
      <c r="HB3" s="52" t="s">
        <v>65</v>
      </c>
      <c r="HC3" s="52" t="s">
        <v>30</v>
      </c>
      <c r="HD3" s="52" t="s">
        <v>22</v>
      </c>
      <c r="HE3" s="52" t="s">
        <v>64</v>
      </c>
      <c r="HF3" s="52" t="s">
        <v>65</v>
      </c>
      <c r="HG3" s="52" t="s">
        <v>30</v>
      </c>
      <c r="HH3" s="52" t="s">
        <v>22</v>
      </c>
      <c r="HI3" s="52" t="s">
        <v>64</v>
      </c>
      <c r="HJ3" s="52" t="s">
        <v>65</v>
      </c>
      <c r="HK3" s="52" t="s">
        <v>30</v>
      </c>
      <c r="HL3" s="52" t="s">
        <v>22</v>
      </c>
      <c r="HM3" s="52" t="s">
        <v>64</v>
      </c>
      <c r="HN3" s="52" t="s">
        <v>65</v>
      </c>
      <c r="HO3" s="52" t="s">
        <v>30</v>
      </c>
      <c r="HP3" s="52" t="s">
        <v>22</v>
      </c>
      <c r="HQ3" s="52" t="s">
        <v>64</v>
      </c>
      <c r="HR3" s="52" t="s">
        <v>65</v>
      </c>
      <c r="HS3" s="26"/>
      <c r="HT3" s="26"/>
      <c r="HU3" s="26"/>
      <c r="HV3" s="26"/>
      <c r="HW3" s="26"/>
      <c r="HX3" s="26"/>
      <c r="HY3" s="53" t="s">
        <v>30</v>
      </c>
      <c r="HZ3" s="53" t="s">
        <v>22</v>
      </c>
      <c r="IA3" s="53" t="s">
        <v>64</v>
      </c>
      <c r="IB3" s="53" t="s">
        <v>65</v>
      </c>
      <c r="IC3" s="53" t="s">
        <v>30</v>
      </c>
      <c r="ID3" s="53" t="s">
        <v>22</v>
      </c>
      <c r="IE3" s="53" t="s">
        <v>64</v>
      </c>
      <c r="IF3" s="53" t="s">
        <v>65</v>
      </c>
      <c r="IG3" s="53" t="s">
        <v>30</v>
      </c>
      <c r="IH3" s="53" t="s">
        <v>22</v>
      </c>
      <c r="II3" s="53" t="s">
        <v>64</v>
      </c>
      <c r="IJ3" s="53" t="s">
        <v>65</v>
      </c>
      <c r="IK3" s="53" t="s">
        <v>30</v>
      </c>
      <c r="IL3" s="53" t="s">
        <v>22</v>
      </c>
      <c r="IM3" s="53" t="s">
        <v>64</v>
      </c>
      <c r="IN3" s="53" t="s">
        <v>65</v>
      </c>
      <c r="IO3" s="53" t="s">
        <v>30</v>
      </c>
      <c r="IP3" s="53" t="s">
        <v>22</v>
      </c>
      <c r="IQ3" s="53" t="s">
        <v>64</v>
      </c>
      <c r="IR3" s="53" t="s">
        <v>65</v>
      </c>
      <c r="IS3" s="53" t="s">
        <v>30</v>
      </c>
      <c r="IT3" s="53" t="s">
        <v>22</v>
      </c>
      <c r="IU3" s="53" t="s">
        <v>64</v>
      </c>
      <c r="IV3" s="53" t="s">
        <v>65</v>
      </c>
      <c r="IW3" s="27"/>
      <c r="IX3" s="27"/>
      <c r="IY3" s="27"/>
      <c r="IZ3" s="27"/>
      <c r="JA3" s="27"/>
      <c r="JB3" s="27"/>
      <c r="JC3" s="52" t="s">
        <v>30</v>
      </c>
      <c r="JD3" s="52" t="s">
        <v>22</v>
      </c>
      <c r="JE3" s="52" t="s">
        <v>64</v>
      </c>
      <c r="JF3" s="52" t="s">
        <v>65</v>
      </c>
      <c r="JG3" s="52" t="s">
        <v>30</v>
      </c>
      <c r="JH3" s="52" t="s">
        <v>22</v>
      </c>
      <c r="JI3" s="52" t="s">
        <v>64</v>
      </c>
      <c r="JJ3" s="52" t="s">
        <v>65</v>
      </c>
      <c r="JK3" s="52" t="s">
        <v>30</v>
      </c>
      <c r="JL3" s="52" t="s">
        <v>22</v>
      </c>
      <c r="JM3" s="52" t="s">
        <v>64</v>
      </c>
      <c r="JN3" s="52" t="s">
        <v>65</v>
      </c>
      <c r="JO3" s="52" t="s">
        <v>30</v>
      </c>
      <c r="JP3" s="52" t="s">
        <v>22</v>
      </c>
      <c r="JQ3" s="52" t="s">
        <v>64</v>
      </c>
      <c r="JR3" s="52" t="s">
        <v>65</v>
      </c>
      <c r="JS3" s="52" t="s">
        <v>30</v>
      </c>
      <c r="JT3" s="52" t="s">
        <v>22</v>
      </c>
      <c r="JU3" s="52" t="s">
        <v>64</v>
      </c>
      <c r="JV3" s="52" t="s">
        <v>65</v>
      </c>
      <c r="JW3" s="52" t="s">
        <v>30</v>
      </c>
      <c r="JX3" s="52" t="s">
        <v>22</v>
      </c>
      <c r="JY3" s="52" t="s">
        <v>64</v>
      </c>
      <c r="JZ3" s="52" t="s">
        <v>65</v>
      </c>
      <c r="KA3" s="26"/>
      <c r="KB3" s="26"/>
      <c r="KC3" s="26"/>
      <c r="KD3" s="26"/>
      <c r="KE3" s="26"/>
      <c r="KF3" s="26"/>
      <c r="KG3" s="53" t="s">
        <v>30</v>
      </c>
      <c r="KH3" s="53" t="s">
        <v>22</v>
      </c>
      <c r="KI3" s="53" t="s">
        <v>64</v>
      </c>
      <c r="KJ3" s="53" t="s">
        <v>65</v>
      </c>
      <c r="KK3" s="53" t="s">
        <v>30</v>
      </c>
      <c r="KL3" s="53" t="s">
        <v>22</v>
      </c>
      <c r="KM3" s="53" t="s">
        <v>64</v>
      </c>
      <c r="KN3" s="53" t="s">
        <v>65</v>
      </c>
      <c r="KO3" s="53" t="s">
        <v>30</v>
      </c>
      <c r="KP3" s="53" t="s">
        <v>22</v>
      </c>
      <c r="KQ3" s="53" t="s">
        <v>64</v>
      </c>
      <c r="KR3" s="53" t="s">
        <v>65</v>
      </c>
      <c r="KS3" s="53" t="s">
        <v>30</v>
      </c>
      <c r="KT3" s="53" t="s">
        <v>22</v>
      </c>
      <c r="KU3" s="53" t="s">
        <v>64</v>
      </c>
      <c r="KV3" s="53" t="s">
        <v>65</v>
      </c>
      <c r="KW3" s="53" t="s">
        <v>30</v>
      </c>
      <c r="KX3" s="53" t="s">
        <v>22</v>
      </c>
      <c r="KY3" s="53" t="s">
        <v>64</v>
      </c>
      <c r="KZ3" s="53" t="s">
        <v>65</v>
      </c>
      <c r="LA3" s="53" t="s">
        <v>30</v>
      </c>
      <c r="LB3" s="53" t="s">
        <v>22</v>
      </c>
      <c r="LC3" s="53" t="s">
        <v>64</v>
      </c>
      <c r="LD3" s="53" t="s">
        <v>65</v>
      </c>
      <c r="LE3" s="27"/>
      <c r="LF3" s="27"/>
      <c r="LG3" s="27"/>
      <c r="LH3" s="27"/>
      <c r="LI3" s="27"/>
      <c r="LJ3" s="27"/>
      <c r="LK3" s="52" t="s">
        <v>30</v>
      </c>
      <c r="LL3" s="52" t="s">
        <v>22</v>
      </c>
      <c r="LM3" s="52" t="s">
        <v>64</v>
      </c>
      <c r="LN3" s="52" t="s">
        <v>65</v>
      </c>
      <c r="LO3" s="52" t="s">
        <v>30</v>
      </c>
      <c r="LP3" s="52" t="s">
        <v>22</v>
      </c>
      <c r="LQ3" s="52" t="s">
        <v>64</v>
      </c>
      <c r="LR3" s="52" t="s">
        <v>65</v>
      </c>
      <c r="LS3" s="52" t="s">
        <v>30</v>
      </c>
      <c r="LT3" s="52" t="s">
        <v>22</v>
      </c>
      <c r="LU3" s="52" t="s">
        <v>64</v>
      </c>
      <c r="LV3" s="52" t="s">
        <v>65</v>
      </c>
      <c r="LW3" s="52" t="s">
        <v>30</v>
      </c>
      <c r="LX3" s="52" t="s">
        <v>22</v>
      </c>
      <c r="LY3" s="52" t="s">
        <v>64</v>
      </c>
      <c r="LZ3" s="52" t="s">
        <v>65</v>
      </c>
      <c r="MA3" s="52" t="s">
        <v>30</v>
      </c>
      <c r="MB3" s="52" t="s">
        <v>22</v>
      </c>
      <c r="MC3" s="52" t="s">
        <v>64</v>
      </c>
      <c r="MD3" s="52" t="s">
        <v>65</v>
      </c>
      <c r="ME3" s="52" t="s">
        <v>30</v>
      </c>
      <c r="MF3" s="52" t="s">
        <v>22</v>
      </c>
      <c r="MG3" s="52" t="s">
        <v>64</v>
      </c>
      <c r="MH3" s="52" t="s">
        <v>65</v>
      </c>
      <c r="MI3" s="26"/>
      <c r="MJ3" s="26"/>
      <c r="MK3" s="26"/>
      <c r="ML3" s="26"/>
      <c r="MM3" s="26"/>
      <c r="MN3" s="26"/>
      <c r="MO3" s="53" t="s">
        <v>30</v>
      </c>
      <c r="MP3" s="53" t="s">
        <v>22</v>
      </c>
      <c r="MQ3" s="53" t="s">
        <v>64</v>
      </c>
      <c r="MR3" s="53" t="s">
        <v>65</v>
      </c>
      <c r="MS3" s="53" t="s">
        <v>30</v>
      </c>
      <c r="MT3" s="53" t="s">
        <v>22</v>
      </c>
      <c r="MU3" s="53" t="s">
        <v>64</v>
      </c>
      <c r="MV3" s="53" t="s">
        <v>65</v>
      </c>
      <c r="MW3" s="53" t="s">
        <v>30</v>
      </c>
      <c r="MX3" s="53" t="s">
        <v>22</v>
      </c>
      <c r="MY3" s="53" t="s">
        <v>64</v>
      </c>
      <c r="MZ3" s="53" t="s">
        <v>65</v>
      </c>
      <c r="NA3" s="53" t="s">
        <v>30</v>
      </c>
      <c r="NB3" s="53" t="s">
        <v>22</v>
      </c>
      <c r="NC3" s="53" t="s">
        <v>64</v>
      </c>
      <c r="ND3" s="53" t="s">
        <v>65</v>
      </c>
      <c r="NE3" s="53" t="s">
        <v>30</v>
      </c>
      <c r="NF3" s="53" t="s">
        <v>22</v>
      </c>
      <c r="NG3" s="53" t="s">
        <v>64</v>
      </c>
      <c r="NH3" s="53" t="s">
        <v>65</v>
      </c>
      <c r="NI3" s="53" t="s">
        <v>30</v>
      </c>
      <c r="NJ3" s="53" t="s">
        <v>22</v>
      </c>
      <c r="NK3" s="53" t="s">
        <v>64</v>
      </c>
      <c r="NL3" s="53" t="s">
        <v>65</v>
      </c>
      <c r="NM3" s="27"/>
      <c r="NN3" s="27"/>
      <c r="NO3" s="27"/>
      <c r="NP3" s="27"/>
      <c r="NQ3" s="27"/>
      <c r="NR3" s="27"/>
      <c r="NS3" s="52" t="s">
        <v>30</v>
      </c>
      <c r="NT3" s="52" t="s">
        <v>22</v>
      </c>
      <c r="NU3" s="52" t="s">
        <v>64</v>
      </c>
      <c r="NV3" s="52" t="s">
        <v>65</v>
      </c>
      <c r="NW3" s="52" t="s">
        <v>30</v>
      </c>
      <c r="NX3" s="52" t="s">
        <v>22</v>
      </c>
      <c r="NY3" s="52" t="s">
        <v>64</v>
      </c>
      <c r="NZ3" s="52" t="s">
        <v>65</v>
      </c>
      <c r="OA3" s="52" t="s">
        <v>30</v>
      </c>
      <c r="OB3" s="52" t="s">
        <v>22</v>
      </c>
      <c r="OC3" s="52" t="s">
        <v>64</v>
      </c>
      <c r="OD3" s="52" t="s">
        <v>65</v>
      </c>
      <c r="OE3" s="52" t="s">
        <v>30</v>
      </c>
      <c r="OF3" s="52" t="s">
        <v>22</v>
      </c>
      <c r="OG3" s="52" t="s">
        <v>64</v>
      </c>
      <c r="OH3" s="52" t="s">
        <v>65</v>
      </c>
      <c r="OI3" s="52" t="s">
        <v>30</v>
      </c>
      <c r="OJ3" s="52" t="s">
        <v>22</v>
      </c>
      <c r="OK3" s="52" t="s">
        <v>64</v>
      </c>
      <c r="OL3" s="52" t="s">
        <v>65</v>
      </c>
      <c r="OM3" s="52" t="s">
        <v>30</v>
      </c>
      <c r="ON3" s="52" t="s">
        <v>22</v>
      </c>
      <c r="OO3" s="52" t="s">
        <v>64</v>
      </c>
      <c r="OP3" s="52" t="s">
        <v>65</v>
      </c>
      <c r="OQ3" s="26"/>
      <c r="OR3" s="26"/>
      <c r="OS3" s="26"/>
      <c r="OT3" s="26"/>
      <c r="OU3" s="26"/>
      <c r="OV3" s="26"/>
      <c r="OW3" s="53" t="s">
        <v>30</v>
      </c>
      <c r="OX3" s="53" t="s">
        <v>22</v>
      </c>
      <c r="OY3" s="53" t="s">
        <v>64</v>
      </c>
      <c r="OZ3" s="53" t="s">
        <v>65</v>
      </c>
      <c r="PA3" s="53" t="s">
        <v>30</v>
      </c>
      <c r="PB3" s="53" t="s">
        <v>22</v>
      </c>
      <c r="PC3" s="53" t="s">
        <v>64</v>
      </c>
      <c r="PD3" s="53" t="s">
        <v>65</v>
      </c>
      <c r="PE3" s="53" t="s">
        <v>30</v>
      </c>
      <c r="PF3" s="53" t="s">
        <v>22</v>
      </c>
      <c r="PG3" s="53" t="s">
        <v>64</v>
      </c>
      <c r="PH3" s="53" t="s">
        <v>65</v>
      </c>
      <c r="PI3" s="53" t="s">
        <v>30</v>
      </c>
      <c r="PJ3" s="53" t="s">
        <v>22</v>
      </c>
      <c r="PK3" s="53" t="s">
        <v>64</v>
      </c>
      <c r="PL3" s="53" t="s">
        <v>65</v>
      </c>
      <c r="PM3" s="53" t="s">
        <v>30</v>
      </c>
      <c r="PN3" s="53" t="s">
        <v>22</v>
      </c>
      <c r="PO3" s="53" t="s">
        <v>64</v>
      </c>
      <c r="PP3" s="53" t="s">
        <v>65</v>
      </c>
      <c r="PQ3" s="53" t="s">
        <v>30</v>
      </c>
      <c r="PR3" s="53" t="s">
        <v>22</v>
      </c>
      <c r="PS3" s="53" t="s">
        <v>64</v>
      </c>
      <c r="PT3" s="53" t="s">
        <v>65</v>
      </c>
      <c r="PU3" s="27"/>
      <c r="PV3" s="27"/>
      <c r="PW3" s="27"/>
      <c r="PX3" s="27"/>
      <c r="PY3" s="27"/>
      <c r="PZ3" s="27"/>
      <c r="QA3" s="52" t="s">
        <v>30</v>
      </c>
      <c r="QB3" s="52" t="s">
        <v>22</v>
      </c>
      <c r="QC3" s="52" t="s">
        <v>64</v>
      </c>
      <c r="QD3" s="52" t="s">
        <v>65</v>
      </c>
      <c r="QE3" s="52" t="s">
        <v>30</v>
      </c>
      <c r="QF3" s="52" t="s">
        <v>22</v>
      </c>
      <c r="QG3" s="52" t="s">
        <v>64</v>
      </c>
      <c r="QH3" s="52" t="s">
        <v>65</v>
      </c>
      <c r="QI3" s="52" t="s">
        <v>30</v>
      </c>
      <c r="QJ3" s="52" t="s">
        <v>22</v>
      </c>
      <c r="QK3" s="52" t="s">
        <v>64</v>
      </c>
      <c r="QL3" s="52" t="s">
        <v>65</v>
      </c>
      <c r="QM3" s="52" t="s">
        <v>30</v>
      </c>
      <c r="QN3" s="52" t="s">
        <v>22</v>
      </c>
      <c r="QO3" s="52" t="s">
        <v>64</v>
      </c>
      <c r="QP3" s="52" t="s">
        <v>65</v>
      </c>
      <c r="QQ3" s="52" t="s">
        <v>30</v>
      </c>
      <c r="QR3" s="52" t="s">
        <v>22</v>
      </c>
      <c r="QS3" s="52" t="s">
        <v>64</v>
      </c>
      <c r="QT3" s="52" t="s">
        <v>65</v>
      </c>
      <c r="QU3" s="52" t="s">
        <v>30</v>
      </c>
      <c r="QV3" s="52" t="s">
        <v>22</v>
      </c>
      <c r="QW3" s="52" t="s">
        <v>64</v>
      </c>
      <c r="QX3" s="52" t="s">
        <v>65</v>
      </c>
      <c r="QY3" s="26"/>
      <c r="QZ3" s="26"/>
      <c r="RA3" s="26"/>
      <c r="RB3" s="26"/>
      <c r="RC3" s="26"/>
      <c r="RD3" s="26"/>
    </row>
    <row r="4" spans="1:472" x14ac:dyDescent="0.2">
      <c r="A4" s="6">
        <f t="shared" ref="A4:A13" ca="1" si="0">IF(AND(F4="P",G4="P"),SUMPRODUCT((F$4:F$13="P")*(G$4:G$13="P")*(E$4:E$13&gt;E4))+1,IF(G4="P",SUMPRODUCT((F$4:F$13="")*(G$4:G$13="P")*(E$4:E$13&gt;E4))+1+SUMPRODUCT((F$4:F$13="P")*(G$4:G$13="P")),""))</f>
        <v>1</v>
      </c>
      <c r="B4" s="9" t="s">
        <v>78</v>
      </c>
      <c r="C4" s="5" t="s">
        <v>4</v>
      </c>
      <c r="D4" s="6">
        <v>2010</v>
      </c>
      <c r="E4" s="18">
        <f t="shared" ref="E4:E13" si="1">SUM(I4:Q4)</f>
        <v>360.79999999999995</v>
      </c>
      <c r="F4" s="4" t="str">
        <f t="shared" ref="F4:F13" si="2">IF(OR(AND(AR4&gt;=C$17,NOT(AR4="")),AND(BV4&gt;=C$17,NOT(BV4="")),AND(CZ4&gt;=C$17,NOT(CZ4=""))),"P","")</f>
        <v>P</v>
      </c>
      <c r="G4" s="4" t="str">
        <f t="shared" ref="G4:G13" ca="1" si="3">IF(OR(I4&gt;=C$19,AND(I4&gt;$C$18,YEAR(TODAY())-$D4&lt;2)),"P","")</f>
        <v>P</v>
      </c>
      <c r="H4" t="str">
        <f t="shared" ref="H4:H13" ca="1" si="4">IF(F4="P",IF(I4&gt;=C$21,"Merit",IF(I4&gt;=C$20,"Funding",IF(I4&gt;=C$19,"Team",IF(AND(I4&gt;C$18,YEAR(TODAY())-$D4&lt;2),"First 2 Years","")))),IF(AND(I4&gt;C$18,YEAR(TODAY())-$D4&lt;2),"First 2 Years",""))</f>
        <v>Funding</v>
      </c>
      <c r="I4" s="17">
        <f t="shared" ref="I4:I13" si="5">MAX(AS4,BW4,DA4)</f>
        <v>146</v>
      </c>
      <c r="J4" s="17" t="str">
        <f t="shared" ref="J4:J13" si="6">IF(I4=DA4,$CB$1,IF(I4=BW4,$AX$1,IF(I4=AS4,$T$1,"")))</f>
        <v>2017 3rd Domestic Trial</v>
      </c>
      <c r="K4" s="17">
        <f t="shared" ref="K4:K13" si="7">IF($I4=$AS4,MAX(BX4,DB4),IF($I4=$BW4,MAX(AT4,DB4),MAX(AT4,BX4)))</f>
        <v>69</v>
      </c>
      <c r="L4" s="17" t="str">
        <f t="shared" ref="L4:L13" si="8">IF(K4=DB4,$CB$1,IF(K4=BX4,$AX$1,IF(K4=AT4,$T$1,"")))</f>
        <v>2017 Canada Cup</v>
      </c>
      <c r="M4" s="17">
        <f t="shared" ref="M4:M13" si="9">IF($I4=$AS4,MAX(BY4,DC4),IF($I4=$BW4,MAX(AU4,DC4),MAX(AU4,BY4)))</f>
        <v>72.400000000000006</v>
      </c>
      <c r="N4" s="17" t="str">
        <f t="shared" ref="N4:N13" si="10">IF(M4=DC4,$CB$1,IF(M4=BY4,$AX$1,IF(M4=AU4,$T$1,"")))</f>
        <v>2017 Nationals</v>
      </c>
      <c r="O4" s="17">
        <f t="shared" ref="O4:O13" si="11">MAX(AV4,BZ4,DD4)</f>
        <v>71.300000000000011</v>
      </c>
      <c r="P4" s="17" t="str">
        <f t="shared" ref="P4:P13" si="12">IF(O4=DD4,$CB$1,IF(O4=BZ4,$AX$1,IF(O4=AV4,$T$1,"")))</f>
        <v>2017 3rd Domestic Trial</v>
      </c>
      <c r="Q4" s="17">
        <f t="shared" ref="Q4:Q13" si="13">IF(MAX(DF4:DH4)&gt;0,MAX(DF4:DH4),"")</f>
        <v>2.0999999999999943</v>
      </c>
      <c r="R4" s="44" t="str">
        <f t="shared" ref="R4:R13" si="14">IF(Q4="","",IF(Q4=DF4,"(Pass 1-2)",IF(Q4=DG4,"(Pass 3-4)",IF(Q4=DH4,"(Final)"))))</f>
        <v>(Pass 1-2)</v>
      </c>
      <c r="S4" s="17" t="str">
        <f t="shared" ref="S4:S13" si="15">IF(Q4="","",IF(Q4=DF4,IF(Q4+K4=RA4,$QA$1,IF(Q4+K4=PW4,$OW$1,IF(Q4+K4=OS4,$NS$1,IF(Q4+K4=NO4,$MO$1,IF(Q4+K4=MK4,$LK$1,IF(Q4+K4=LG4,$KG$1,IF(Q4+K4=KC4,$JC$1,IF(Q4+K4=IY4,$HY$1,IF(Q4+K4=HU4,$GU$1,IF(Q4+K4=GQ4,$FQ$1,IF(Q4+K4=FM4,$EM$1,IF(Q4+K4=EI4,$DI$1)))))))))))),IF(Q4=DG4,IF(Q4+M4=RB4,$QA$1,IF(Q4+M4=PX4,$OW$1,IF(Q4+M4=OT4,$NS$1,IF(Q4+M4=NP4,$MO$1,IF(Q4+M4=ML4,$LK$1,IF(Q4+M4=LH4,$KG$1,IF(Q4+M4=KD4,$JC$1,IF(Q4+M4=IZ4,$HY$1,IF(Q4+M4=HV4,$GU$1,IF(Q4+M4=GR4,$FQ$1,IF(Q4+M4=FN4,$EM$1,IF(Q4+M4=EJ4,$DI$1)))))))))))),IF(Q4=DH4,IF(Q4+O4=RC4,$QA$1,IF(Q4+O4=PY4,$OW$1,IF(Q4+O4=OU4,$NS$1,IF(Q4+O4=NQ4,$MO$1,IF(Q4+O4=MM4,$LK$1,IF(Q4+O4=LI4,$KG$1,IF(Q4+O4=KE4,$JC$1,IF(Q4+O4=JA4,$HY$1,IF(Q4+O4=HW4,$GU$1,IF(Q4+O4=GS4,$FQ$1,IF(Q4+O4=FO4,$EM$1,IF(Q4+O4=EK4,$DI$1))))))))))))))))</f>
        <v>2017 World Championships (Nov)</v>
      </c>
      <c r="T4" s="60">
        <v>28.2</v>
      </c>
      <c r="U4" s="60">
        <v>8.4</v>
      </c>
      <c r="V4" s="60">
        <v>0.3</v>
      </c>
      <c r="W4" s="60">
        <v>0</v>
      </c>
      <c r="X4" s="60">
        <v>27.1</v>
      </c>
      <c r="Y4" s="60">
        <v>5.6</v>
      </c>
      <c r="Z4" s="60">
        <v>0</v>
      </c>
      <c r="AA4" s="60">
        <v>0</v>
      </c>
      <c r="AB4" s="60">
        <v>27.9</v>
      </c>
      <c r="AC4" s="60">
        <v>10</v>
      </c>
      <c r="AD4" s="60">
        <v>0</v>
      </c>
      <c r="AE4" s="60">
        <v>0</v>
      </c>
      <c r="AF4" s="60">
        <v>27.1</v>
      </c>
      <c r="AG4" s="60">
        <v>5.0999999999999996</v>
      </c>
      <c r="AH4" s="60">
        <v>0</v>
      </c>
      <c r="AI4" s="60">
        <v>1</v>
      </c>
      <c r="AJ4" s="60">
        <v>28.1</v>
      </c>
      <c r="AK4" s="60">
        <v>9.1999999999999993</v>
      </c>
      <c r="AL4" s="60">
        <v>0.9</v>
      </c>
      <c r="AM4" s="60">
        <v>0</v>
      </c>
      <c r="AN4" s="60">
        <v>19.8</v>
      </c>
      <c r="AO4" s="60">
        <v>5.0999999999999996</v>
      </c>
      <c r="AP4" s="60">
        <v>0</v>
      </c>
      <c r="AQ4" s="60">
        <v>1</v>
      </c>
      <c r="AR4" s="13">
        <f t="shared" ref="AR4:AR13" si="16">IF(SUM(U4,Y4,AC4,AG4)&gt;0,SUM(U4,Y4,AC4,AG4),"")</f>
        <v>29.1</v>
      </c>
      <c r="AS4" s="13">
        <f t="shared" ref="AS4:AS13" si="17">IF(SUM(T4:U4,W4:Y4,AA4:AC4,AE4:AG4,AI4)-SUM(V4,Z4,AD4,AH4)&gt;0,SUM(T4:U4,W4:Y4,AA4:AC4,AE4:AG4,AI4)-SUM(V4,Z4,AD4,AH4),"")</f>
        <v>140.09999999999997</v>
      </c>
      <c r="AT4" s="13">
        <f t="shared" ref="AT4:AT13" si="18">IF(SUM(T4:U4,W4:Y4,AA4)-SUM(V4,Z4)&gt;0,SUM(T4:U4,W4:Y4,AA4)-SUM(V4,Z4),"")</f>
        <v>69</v>
      </c>
      <c r="AU4" s="13">
        <f t="shared" ref="AU4:AU13" si="19">IF(SUM(AB4:AC4,AE4:AG4,AI4)-SUM(AD4,AH4)&gt;0,SUM(AB4:AC4,AE4:AG4,AI4)-SUM(AD4,AH4),"")</f>
        <v>71.099999999999994</v>
      </c>
      <c r="AV4" s="13">
        <f t="shared" ref="AV4:AV13" si="20">IF(SUM(AJ4:AK4,AM4:AO4,AQ4)-SUM(AL4,AP4)&gt;0,SUM(AJ4:AK4,AM4:AO4,AQ4)-SUM(AL4,AP4),"")</f>
        <v>62.3</v>
      </c>
      <c r="AW4" s="13">
        <f t="shared" ref="AW4:AW13" si="21">IF(SUM(AS4,AV4)&gt;0,SUM(AS4,AV4),"")</f>
        <v>202.39999999999998</v>
      </c>
      <c r="AX4" s="62">
        <v>20.399999999999999</v>
      </c>
      <c r="AY4" s="62">
        <v>3.6</v>
      </c>
      <c r="AZ4" s="62">
        <v>0</v>
      </c>
      <c r="BA4" s="62">
        <v>0</v>
      </c>
      <c r="BB4" s="62">
        <v>27.7</v>
      </c>
      <c r="BC4" s="62">
        <v>9.5</v>
      </c>
      <c r="BD4" s="62">
        <v>1.2</v>
      </c>
      <c r="BE4" s="62">
        <v>1</v>
      </c>
      <c r="BF4" s="62">
        <v>28.2</v>
      </c>
      <c r="BG4" s="62">
        <v>9.3000000000000007</v>
      </c>
      <c r="BH4" s="62">
        <v>1.2</v>
      </c>
      <c r="BI4" s="62">
        <v>0</v>
      </c>
      <c r="BJ4" s="62">
        <v>27</v>
      </c>
      <c r="BK4" s="62">
        <v>10</v>
      </c>
      <c r="BL4" s="62">
        <v>0.9</v>
      </c>
      <c r="BM4" s="62">
        <v>0</v>
      </c>
      <c r="BN4" s="62">
        <v>20.5</v>
      </c>
      <c r="BO4" s="62">
        <v>4</v>
      </c>
      <c r="BP4" s="62">
        <v>0</v>
      </c>
      <c r="BQ4" s="62">
        <v>0</v>
      </c>
      <c r="BR4" s="62">
        <v>28.2</v>
      </c>
      <c r="BS4" s="62">
        <v>10</v>
      </c>
      <c r="BT4" s="62">
        <v>0</v>
      </c>
      <c r="BU4" s="62">
        <v>0</v>
      </c>
      <c r="BV4" s="17">
        <f t="shared" ref="BV4:BV13" si="22">IF(SUM(AY4,BC4,BG4,BK4)&gt;0,SUM(AY4,BC4,BG4,BK4),"")</f>
        <v>32.4</v>
      </c>
      <c r="BW4" s="17">
        <f t="shared" ref="BW4:BW13" si="23">IF(SUM(AX4:AY4,BA4:BC4,BE4:BG4,BI4:BK4,BM4)-SUM(AZ4,BD4,BH4,BL4)&gt;0,SUM(AX4:AY4,BA4:BC4,BE4:BG4,BI4:BK4,BM4)-SUM(AZ4,BD4,BH4,BL4),"")</f>
        <v>133.39999999999998</v>
      </c>
      <c r="BX4" s="17">
        <f t="shared" ref="BX4:BX13" si="24">IF(SUM(AX4:AY4,BA4:BC4,BE4)-SUM(AZ4,BD4)&gt;0,SUM(AX4:AY4,BA4:BC4,BE4)-SUM(AZ4,BD4),"")</f>
        <v>61</v>
      </c>
      <c r="BY4" s="17">
        <f t="shared" ref="BY4:BY13" si="25">IF(SUM(BF4:BG4,BI4:BK4,BM4)-SUM(BH4,BL4)&gt;0,SUM(BF4:BG4,BI4:BK4,BM4)-SUM(BH4,BL4),"")</f>
        <v>72.400000000000006</v>
      </c>
      <c r="BZ4" s="17">
        <f t="shared" ref="BZ4:BZ13" si="26">IF(SUM(BN4:BO4,BQ4:BS4,BU4)-SUM(BP4,BT4)&gt;0,SUM(BN4:BO4,BQ4:BS4,BU4)-SUM(BP4,BT4),"")</f>
        <v>62.7</v>
      </c>
      <c r="CA4" s="17">
        <f t="shared" ref="CA4:CA13" si="27">IF(SUM(BW4,BZ4)&gt;0,SUM(BW4,BZ4),"")</f>
        <v>196.09999999999997</v>
      </c>
      <c r="CB4" s="60">
        <v>28.1</v>
      </c>
      <c r="CC4" s="60">
        <v>8.1</v>
      </c>
      <c r="CD4" s="60">
        <v>0.3</v>
      </c>
      <c r="CE4" s="60">
        <v>0</v>
      </c>
      <c r="CF4" s="60">
        <v>28.4</v>
      </c>
      <c r="CG4" s="60">
        <v>8</v>
      </c>
      <c r="CH4" s="60">
        <v>0</v>
      </c>
      <c r="CI4" s="60">
        <v>0</v>
      </c>
      <c r="CJ4" s="60">
        <v>28.3</v>
      </c>
      <c r="CK4" s="60">
        <v>9.1999999999999993</v>
      </c>
      <c r="CL4" s="60">
        <v>0.3</v>
      </c>
      <c r="CM4" s="60">
        <v>0</v>
      </c>
      <c r="CN4" s="60">
        <v>28.1</v>
      </c>
      <c r="CO4" s="60">
        <v>8.4</v>
      </c>
      <c r="CP4" s="60">
        <v>0</v>
      </c>
      <c r="CQ4" s="60">
        <v>0</v>
      </c>
      <c r="CR4" s="60">
        <v>28.2</v>
      </c>
      <c r="CS4" s="60">
        <v>8</v>
      </c>
      <c r="CT4" s="60">
        <v>0.9</v>
      </c>
      <c r="CU4" s="60">
        <v>0</v>
      </c>
      <c r="CV4" s="60">
        <v>28.5</v>
      </c>
      <c r="CW4" s="60">
        <v>8.4</v>
      </c>
      <c r="CX4" s="60">
        <v>0.9</v>
      </c>
      <c r="CY4" s="60">
        <v>0</v>
      </c>
      <c r="CZ4" s="13">
        <f t="shared" ref="CZ4:CZ13" si="28">IF(SUM(CC4,CG4,CK4,CO4)&gt;0,SUM(CC4,CG4,CK4,CO4),"")</f>
        <v>33.700000000000003</v>
      </c>
      <c r="DA4" s="13">
        <f t="shared" ref="DA4:DA13" si="29">IF(SUM(CB4:CC4,CE4:CG4,CI4:CK4,CM4:CO4,CQ4)-SUM(CD4,CH4,CL4,CP4)&gt;0,SUM(CB4:CC4,CE4:CG4,CI4:CK4,CM4:CO4,CQ4)-SUM(CD4,CH4,CL4,CP4),"")</f>
        <v>146</v>
      </c>
      <c r="DB4" s="13">
        <f t="shared" ref="DB4:DB13" si="30">IF(SUM(CB4:CC4,CE4:CG4,CI4)-SUM(CD4,CH4)&gt;0,SUM(CB4:CC4,CE4:CG4,CI4)-SUM(CD4,CH4),"")</f>
        <v>72.3</v>
      </c>
      <c r="DC4" s="13">
        <f t="shared" ref="DC4:DC13" si="31">IF(SUM(CJ4:CK4,CM4:CO4,CQ4)-SUM(CL4,CP4)&gt;0,SUM(CJ4:CK4,CM4:CO4,CQ4)-SUM(CL4,CP4),"")</f>
        <v>73.7</v>
      </c>
      <c r="DD4" s="13">
        <f t="shared" ref="DD4:DD13" si="32">IF(SUM(CR4:CS4,CU4:CW4,CY4)-SUM(CT4,CX4)&gt;0,SUM(CR4:CS4,CU4:CW4,CY4)-SUM(CT4,CX4),"")</f>
        <v>71.300000000000011</v>
      </c>
      <c r="DE4" s="13">
        <f t="shared" ref="DE4:DE13" si="33">IF(SUM(DA4,DD4)&gt;0,SUM(DA4,DD4),"")</f>
        <v>217.3</v>
      </c>
      <c r="DF4" s="43">
        <f t="shared" ref="DF4:DF13" si="34">IF(MAX(EI4,FM4,GQ4,HU4,IY4,KC4,LG4,MK4,NO4,OS4,PW4,RA4)-K4&gt;0.001,MAX(EI4,FM4,GQ4,HU4,IY4,KC4,LG4,MK4,NO4,OS4,PW4,RA4)-K4,"")</f>
        <v>2.0999999999999943</v>
      </c>
      <c r="DG4" s="43" t="str">
        <f t="shared" ref="DG4:DG13" si="35">IF(MAX(EJ4,FN4,GR4,HV4,IZ4,KD4,LH4,ML4,NP4,OT4,PX4,RB4)-M4&gt;0.001,MAX(EJ4,FN4,GR4,HV4,IZ4,KD4,LH4,ML4,NP4,OT4,PX4,RB4)-M4,"")</f>
        <v/>
      </c>
      <c r="DH4" s="43">
        <f t="shared" ref="DH4:DH13" si="36">IF(MAX(EK4,FO4,GS4,HW4,JA4,KE4,LI4,MM4,OU4,PY4,RC4)-O4&gt;0.001,MAX(EK4,FO4,GS4,HW4,JA4,KE4,LI4,MM4,OU4,PY4,RC4)-O4,"")</f>
        <v>1.2999999999999972</v>
      </c>
      <c r="DI4" s="60">
        <v>34.200000000000003</v>
      </c>
      <c r="DJ4" s="60">
        <v>0</v>
      </c>
      <c r="DK4" s="60">
        <v>0</v>
      </c>
      <c r="DL4" s="60">
        <v>0</v>
      </c>
      <c r="DM4" s="60">
        <v>36.1</v>
      </c>
      <c r="DN4" s="60">
        <v>0</v>
      </c>
      <c r="DO4" s="60">
        <v>0</v>
      </c>
      <c r="DP4" s="60">
        <v>0</v>
      </c>
      <c r="DQ4" s="60"/>
      <c r="DR4" s="60"/>
      <c r="DS4" s="60"/>
      <c r="DT4" s="60"/>
      <c r="DU4" s="60"/>
      <c r="DV4" s="60"/>
      <c r="DW4" s="60"/>
      <c r="DX4" s="60"/>
      <c r="DY4" s="60">
        <v>36.5</v>
      </c>
      <c r="DZ4" s="60">
        <v>0</v>
      </c>
      <c r="EA4" s="60">
        <v>0</v>
      </c>
      <c r="EB4" s="60">
        <v>0</v>
      </c>
      <c r="EC4" s="60">
        <v>36.1</v>
      </c>
      <c r="ED4" s="60">
        <v>0</v>
      </c>
      <c r="EE4" s="60">
        <v>0</v>
      </c>
      <c r="EF4" s="60">
        <v>0</v>
      </c>
      <c r="EG4" s="13" t="str">
        <f t="shared" ref="EG4:EG13" si="37">IF(SUM(DJ4,DN4,DR4,DV4)&gt;0,SUM(DJ4,DN4,DR4,DV4),"")</f>
        <v/>
      </c>
      <c r="EH4" s="13">
        <f t="shared" ref="EH4:EH13" si="38">IF(SUM(DI4:DJ4,DL4:DN4,DP4:DR4,DT4:DV4,DX4)-SUM(DK4,DO4,DS4,DW4)&gt;0,SUM(DI4:DJ4,DL4:DN4,DP4:DR4,DT4:DV4,DX4)-SUM(DK4,DO4,DS4,DW4),"")</f>
        <v>70.300000000000011</v>
      </c>
      <c r="EI4" s="13">
        <f t="shared" ref="EI4:EI13" si="39">IF(SUM(DI4:DJ4,DL4:DN4,DP4)-SUM(DK4,DO4)&gt;0,SUM(DI4:DJ4,DL4:DN4,DP4)-SUM(DK4,DO4),"")</f>
        <v>70.300000000000011</v>
      </c>
      <c r="EJ4" s="13" t="str">
        <f t="shared" ref="EJ4:EJ13" si="40">IF(SUM(DQ4:DR4,DT4:DV4,DX4)-SUM(DS4,DW4)&gt;0,SUM(DQ4:DR4,DT4:DV4,DX4)-SUM(DS4,DW4),"")</f>
        <v/>
      </c>
      <c r="EK4" s="13">
        <f t="shared" ref="EK4:EK13" si="41">IF(SUM(DY4:DZ4,EB4:ED4,EF4)-SUM(EA4,EE4)&gt;0,SUM(DY4:DZ4,EB4:ED4,EF4)-SUM(EA4,EE4),"")</f>
        <v>72.599999999999994</v>
      </c>
      <c r="EL4" s="13">
        <f t="shared" ref="EL4:EL13" si="42">IF(SUM(EH4,EK4)&gt;0,SUM(EH4,EK4),"")</f>
        <v>142.9</v>
      </c>
      <c r="EM4" s="68">
        <v>27.5</v>
      </c>
      <c r="EN4" s="68">
        <v>5.6</v>
      </c>
      <c r="EO4" s="68">
        <v>1.5</v>
      </c>
      <c r="EP4" s="68">
        <v>0</v>
      </c>
      <c r="EQ4" s="68">
        <v>26.1</v>
      </c>
      <c r="ER4" s="68">
        <v>8.6999999999999993</v>
      </c>
      <c r="ES4" s="68">
        <v>1.5</v>
      </c>
      <c r="ET4" s="68">
        <v>0</v>
      </c>
      <c r="EU4" s="68"/>
      <c r="EV4" s="68"/>
      <c r="EW4" s="68"/>
      <c r="EX4" s="68"/>
      <c r="EY4" s="68"/>
      <c r="EZ4" s="68"/>
      <c r="FA4" s="68"/>
      <c r="FB4" s="68"/>
      <c r="FC4" s="68">
        <v>27.6</v>
      </c>
      <c r="FD4" s="68">
        <v>9.3000000000000007</v>
      </c>
      <c r="FE4" s="68">
        <v>1.5</v>
      </c>
      <c r="FF4" s="68">
        <v>0</v>
      </c>
      <c r="FG4" s="68">
        <v>28</v>
      </c>
      <c r="FH4" s="68">
        <v>9.1999999999999993</v>
      </c>
      <c r="FI4" s="68">
        <v>0</v>
      </c>
      <c r="FJ4" s="68">
        <v>0</v>
      </c>
      <c r="FK4" s="17">
        <f t="shared" ref="FK4:FK13" si="43">IF(SUM(EN4,ER4,EV4,EZ4)&gt;0,SUM(EN4,ER4,EV4,EZ4),"")</f>
        <v>14.299999999999999</v>
      </c>
      <c r="FL4" s="17">
        <f t="shared" ref="FL4:FL13" si="44">IF(SUM(EM4:EN4,EP4:ER4,ET4:EV4,EX4:EZ4,FB4)-SUM(EO4,ES4,EW4,FA4)&gt;0,SUM(EM4:EN4,EP4:ER4,ET4:EV4,EX4:EZ4,FB4)-SUM(EO4,ES4,EW4,FA4),"")</f>
        <v>64.900000000000006</v>
      </c>
      <c r="FM4" s="17">
        <f t="shared" ref="FM4:FM13" si="45">IF(SUM(EM4:EN4,EP4:ER4,ET4)-SUM(EO4,ES4)&gt;0,SUM(EM4:EN4,EP4:ER4,ET4)-SUM(EO4,ES4),"")</f>
        <v>64.900000000000006</v>
      </c>
      <c r="FN4" s="17" t="str">
        <f t="shared" ref="FN4:FN13" si="46">IF(SUM(EU4:EV4,EX4:EZ4,FB4)-SUM(EW4,FA4)&gt;0,SUM(EU4:EV4,EX4:EZ4,FB4)-SUM(EW4,FA4),"")</f>
        <v/>
      </c>
      <c r="FO4" s="17">
        <f t="shared" ref="FO4:FO13" si="47">IF(SUM(FC4:FD4,FF4:FH4,FJ4)-SUM(FE4,FI4)&gt;0,SUM(FC4:FD4,FF4:FH4,FJ4)-SUM(FE4,FI4),"")</f>
        <v>72.600000000000009</v>
      </c>
      <c r="FP4" s="17">
        <f t="shared" ref="FP4:FP13" si="48">IF(SUM(FL4,FO4)&gt;0,SUM(FL4,FO4),"")</f>
        <v>137.5</v>
      </c>
      <c r="FQ4" s="69"/>
      <c r="FR4" s="69"/>
      <c r="FS4" s="69"/>
      <c r="FT4" s="69"/>
      <c r="FU4" s="69"/>
      <c r="FV4" s="69"/>
      <c r="FW4" s="69"/>
      <c r="FX4" s="69"/>
      <c r="FY4" s="69"/>
      <c r="FZ4" s="69"/>
      <c r="GA4" s="69"/>
      <c r="GB4" s="69"/>
      <c r="GC4" s="69"/>
      <c r="GD4" s="69"/>
      <c r="GE4" s="69"/>
      <c r="GF4" s="69"/>
      <c r="GG4" s="69"/>
      <c r="GH4" s="69"/>
      <c r="GI4" s="69"/>
      <c r="GJ4" s="69"/>
      <c r="GK4" s="69"/>
      <c r="GL4" s="69"/>
      <c r="GM4" s="69"/>
      <c r="GN4" s="69"/>
      <c r="GO4" s="13" t="str">
        <f t="shared" ref="GO4:GO13" si="49">IF(SUM(FR4,FV4,FZ4,GD4)&gt;0,SUM(FR4,FV4,FZ4,GD4),"")</f>
        <v/>
      </c>
      <c r="GP4" s="13" t="str">
        <f t="shared" ref="GP4:GP13" si="50">IF(SUM(FQ4:FR4,FT4:FV4,FX4:FZ4,GB4:GD4,GF4)-SUM(FS4,FW4,GA4,GE4)&gt;0,SUM(FQ4:FR4,FT4:FV4,FX4:FZ4,GB4:GD4,GF4)-SUM(FS4,FW4,GA4,GE4),"")</f>
        <v/>
      </c>
      <c r="GQ4" s="13" t="str">
        <f t="shared" ref="GQ4:GQ13" si="51">IF(SUM(FQ4:FR4,FT4:FV4,FX4)-SUM(FS4,FW4)&gt;0,SUM(FQ4:FR4,FT4:FV4,FX4)-SUM(FS4,FW4),"")</f>
        <v/>
      </c>
      <c r="GR4" s="13" t="str">
        <f t="shared" ref="GR4:GR13" si="52">IF(SUM(FY4:FZ4,GB4:GD4,GF4)-SUM(GA4,GE4)&gt;0,SUM(FY4:FZ4,GB4:GD4,GF4)-SUM(GA4,GE4),"")</f>
        <v/>
      </c>
      <c r="GS4" s="13" t="str">
        <f t="shared" ref="GS4:GS13" si="53">IF(SUM(GG4:GH4,GJ4:GL4,GN4)-SUM(GI4,GM4)&gt;0,SUM(GG4:GH4,GJ4:GL4,GN4)-SUM(GI4,GM4),"")</f>
        <v/>
      </c>
      <c r="GT4" s="13" t="str">
        <f t="shared" ref="GT4:GT13" si="54">IF(SUM(GP4,GS4)&gt;0,SUM(GP4,GS4),"")</f>
        <v/>
      </c>
      <c r="GU4" s="68">
        <v>26.3</v>
      </c>
      <c r="GV4" s="68">
        <v>8.9</v>
      </c>
      <c r="GW4" s="68">
        <v>0.9</v>
      </c>
      <c r="GX4" s="68">
        <v>0</v>
      </c>
      <c r="GY4" s="68">
        <v>26.8</v>
      </c>
      <c r="GZ4" s="68">
        <v>10</v>
      </c>
      <c r="HA4" s="68">
        <v>0</v>
      </c>
      <c r="HB4" s="68">
        <v>0</v>
      </c>
      <c r="HC4" s="68"/>
      <c r="HD4" s="68"/>
      <c r="HE4" s="68"/>
      <c r="HF4" s="68"/>
      <c r="HG4" s="68"/>
      <c r="HH4" s="68"/>
      <c r="HI4" s="68"/>
      <c r="HJ4" s="68"/>
      <c r="HK4" s="68"/>
      <c r="HL4" s="68"/>
      <c r="HM4" s="68"/>
      <c r="HN4" s="68"/>
      <c r="HO4" s="68"/>
      <c r="HP4" s="68"/>
      <c r="HQ4" s="68"/>
      <c r="HR4" s="68"/>
      <c r="HS4" s="17">
        <f t="shared" ref="HS4:HS13" si="55">IF(SUM(GV4,GZ4,HD4,HH4)&gt;0,SUM(GV4,GZ4,HD4,HH4),"")</f>
        <v>18.899999999999999</v>
      </c>
      <c r="HT4" s="17">
        <f t="shared" ref="HT4:HT13" si="56">IF(SUM(GU4:GV4,GX4:GZ4,HB4:HD4,HF4:HH4,HJ4)-SUM(GW4,HA4,HE4,HI4)&gt;0,SUM(GU4:GV4,GX4:GZ4,HB4:HD4,HF4:HH4,HJ4)-SUM(GW4,HA4,HE4,HI4),"")</f>
        <v>71.099999999999994</v>
      </c>
      <c r="HU4" s="17">
        <f t="shared" ref="HU4:HU13" si="57">IF(SUM(GU4:GV4,GX4:GZ4,HB4)-SUM(GW4,HA4)&gt;0,SUM(GU4:GV4,GX4:GZ4,HB4)-SUM(GW4,HA4),"")</f>
        <v>71.099999999999994</v>
      </c>
      <c r="HV4" s="17" t="str">
        <f t="shared" ref="HV4:HV13" si="58">IF(SUM(HC4:HD4,HF4:HH4,HJ4)-SUM(HE4,HI4)&gt;0,SUM(HC4:HD4,HF4:HH4,HJ4)-SUM(HE4,HI4),"")</f>
        <v/>
      </c>
      <c r="HW4" s="17" t="str">
        <f t="shared" ref="HW4:HW13" si="59">IF(SUM(HK4:HL4,HN4:HP4,HR4)-SUM(HM4,HQ4)&gt;0,SUM(HK4:HL4,HN4:HP4,HR4)-SUM(HM4,HQ4),"")</f>
        <v/>
      </c>
      <c r="HX4" s="17">
        <f t="shared" ref="HX4:HX13" si="60">IF(SUM(HT4,HW4)&gt;0,SUM(HT4,HW4),"")</f>
        <v>71.099999999999994</v>
      </c>
      <c r="HY4" s="69"/>
      <c r="HZ4" s="69"/>
      <c r="IA4" s="69"/>
      <c r="IB4" s="69"/>
      <c r="IC4" s="69"/>
      <c r="ID4" s="69"/>
      <c r="IE4" s="69"/>
      <c r="IF4" s="69"/>
      <c r="IG4" s="69"/>
      <c r="IH4" s="69"/>
      <c r="II4" s="69"/>
      <c r="IJ4" s="69"/>
      <c r="IK4" s="69"/>
      <c r="IL4" s="69"/>
      <c r="IM4" s="69"/>
      <c r="IN4" s="69"/>
      <c r="IO4" s="69"/>
      <c r="IP4" s="69"/>
      <c r="IQ4" s="69"/>
      <c r="IR4" s="69"/>
      <c r="IS4" s="69"/>
      <c r="IT4" s="69"/>
      <c r="IU4" s="69"/>
      <c r="IV4" s="69"/>
      <c r="IW4" s="13" t="str">
        <f t="shared" ref="IW4:IW13" si="61">IF(SUM(HZ4,ID4,IH4,IL4)&gt;0,SUM(HZ4,ID4,IH4,IL4),"")</f>
        <v/>
      </c>
      <c r="IX4" s="13" t="str">
        <f t="shared" ref="IX4:IX13" si="62">IF(SUM(HY4:HZ4,IB4:ID4,IF4:IH4,IJ4:IL4,IN4)-SUM(IA4,IE4,II4,IM4)&gt;0,SUM(HY4:HZ4,IB4:ID4,IF4:IH4,IJ4:IL4,IN4)-SUM(IA4,IE4,II4,IM4),"")</f>
        <v/>
      </c>
      <c r="IY4" s="13" t="str">
        <f t="shared" ref="IY4:IY13" si="63">IF(SUM(HY4:HZ4,IB4:ID4,IF4)-SUM(IA4,IE4)&gt;0,SUM(HY4:HZ4,IB4:ID4,IF4)-SUM(IA4,IE4),"")</f>
        <v/>
      </c>
      <c r="IZ4" s="13" t="str">
        <f t="shared" ref="IZ4:IZ13" si="64">IF(SUM(IG4:IH4,IJ4:IL4,IN4)-SUM(II4,IM4)&gt;0,SUM(IG4:IH4,IJ4:IL4,IN4)-SUM(II4,IM4),"")</f>
        <v/>
      </c>
      <c r="JA4" s="13" t="str">
        <f t="shared" ref="JA4:JA13" si="65">IF(SUM(IO4:IP4,IR4:IT4,IV4)-SUM(IQ4,IU4)&gt;0,SUM(IO4:IP4,IR4:IT4,IV4)-SUM(IQ4,IU4),"")</f>
        <v/>
      </c>
      <c r="JB4" s="13" t="str">
        <f t="shared" ref="JB4:JB13" si="66">IF(SUM(IX4,JA4)&gt;0,SUM(IX4,JA4),"")</f>
        <v/>
      </c>
      <c r="JC4" s="68"/>
      <c r="JD4" s="68"/>
      <c r="JE4" s="68"/>
      <c r="JF4" s="68"/>
      <c r="JG4" s="68"/>
      <c r="JH4" s="68"/>
      <c r="JI4" s="68"/>
      <c r="JJ4" s="68"/>
      <c r="JK4" s="68"/>
      <c r="JL4" s="68"/>
      <c r="JM4" s="68"/>
      <c r="JN4" s="68"/>
      <c r="JO4" s="68"/>
      <c r="JP4" s="68"/>
      <c r="JQ4" s="68"/>
      <c r="JR4" s="68"/>
      <c r="JS4" s="68"/>
      <c r="JT4" s="68"/>
      <c r="JU4" s="68"/>
      <c r="JV4" s="68"/>
      <c r="JW4" s="68"/>
      <c r="JX4" s="68"/>
      <c r="JY4" s="68"/>
      <c r="JZ4" s="68"/>
      <c r="KA4" s="17" t="str">
        <f t="shared" ref="KA4:KA13" si="67">IF(SUM(JD4,JH4,JL4,JP4)&gt;0,SUM(JD4,JH4,JL4,JP4),"")</f>
        <v/>
      </c>
      <c r="KB4" s="17" t="str">
        <f t="shared" ref="KB4:KB13" si="68">IF(SUM(JC4:JD4,JF4:JH4,JJ4:JL4,JN4:JP4,JR4)-SUM(JE4,JI4,JM4,JQ4)&gt;0,SUM(JC4:JD4,JF4:JH4,JJ4:JL4,JN4:JP4,JR4)-SUM(JE4,JI4,JM4,JQ4),"")</f>
        <v/>
      </c>
      <c r="KC4" s="17" t="str">
        <f t="shared" ref="KC4:KC13" si="69">IF(SUM(JC4:JD4,JF4:JH4,JJ4)-SUM(JE4,JI4)&gt;0,SUM(JC4:JD4,JF4:JH4,JJ4)-SUM(JE4,JI4),"")</f>
        <v/>
      </c>
      <c r="KD4" s="17" t="str">
        <f t="shared" ref="KD4:KD13" si="70">IF(SUM(JK4:JL4,JN4:JP4,JR4)-SUM(JM4,JQ4)&gt;0,SUM(JK4:JL4,JN4:JP4,JR4)-SUM(JM4,JQ4),"")</f>
        <v/>
      </c>
      <c r="KE4" s="17" t="str">
        <f t="shared" ref="KE4:KE13" si="71">IF(SUM(JS4:JT4,JV4:JX4,JZ4)-SUM(JU4,JY4)&gt;0,SUM(JS4:JT4,JV4:JX4,JZ4)-SUM(JU4,JY4),"")</f>
        <v/>
      </c>
      <c r="KF4" s="17" t="str">
        <f t="shared" ref="KF4:KF13" si="72">IF(SUM(KB4,KE4)&gt;0,SUM(KB4,KE4),"")</f>
        <v/>
      </c>
      <c r="KG4" s="69"/>
      <c r="KH4" s="69"/>
      <c r="KI4" s="69"/>
      <c r="KJ4" s="69"/>
      <c r="KK4" s="69"/>
      <c r="KL4" s="69"/>
      <c r="KM4" s="69"/>
      <c r="KN4" s="69"/>
      <c r="KO4" s="69"/>
      <c r="KP4" s="69"/>
      <c r="KQ4" s="69"/>
      <c r="KR4" s="69"/>
      <c r="KS4" s="69"/>
      <c r="KT4" s="69"/>
      <c r="KU4" s="69"/>
      <c r="KV4" s="69"/>
      <c r="KW4" s="69"/>
      <c r="KX4" s="69"/>
      <c r="KY4" s="69"/>
      <c r="KZ4" s="69"/>
      <c r="LA4" s="69"/>
      <c r="LB4" s="69"/>
      <c r="LC4" s="69"/>
      <c r="LD4" s="69"/>
      <c r="LE4" s="13" t="str">
        <f t="shared" ref="LE4:LE13" si="73">IF(SUM(KH4,KL4,KP4,KT4)&gt;0,SUM(KH4,KL4,KP4,KT4),"")</f>
        <v/>
      </c>
      <c r="LF4" s="13" t="str">
        <f t="shared" ref="LF4:LF13" si="74">IF(SUM(KG4:KH4,KJ4:KL4,KN4:KP4,KR4:KT4,KV4)-SUM(KI4,KM4,KQ4,KU4)&gt;0,SUM(KG4:KH4,KJ4:KL4,KN4:KP4,KR4:KT4,KV4)-SUM(KI4,KM4,KQ4,KU4),"")</f>
        <v/>
      </c>
      <c r="LG4" s="13" t="str">
        <f t="shared" ref="LG4:LG13" si="75">IF(SUM(KG4:KH4,KJ4:KL4,KN4)-SUM(KI4,KM4)&gt;0,SUM(KG4:KH4,KJ4:KL4,KN4)-SUM(KI4,KM4),"")</f>
        <v/>
      </c>
      <c r="LH4" s="13" t="str">
        <f t="shared" ref="LH4:LH13" si="76">IF(SUM(KO4:KP4,KR4:KT4,KV4)-SUM(KQ4,KU4)&gt;0,SUM(KO4:KP4,KR4:KT4,KV4)-SUM(KQ4,KU4),"")</f>
        <v/>
      </c>
      <c r="LI4" s="13" t="str">
        <f t="shared" ref="LI4:LI13" si="77">IF(SUM(KW4:KX4,KZ4:LB4,LD4)-SUM(KY4,LC4)&gt;0,SUM(KW4:KX4,KZ4:LB4,LD4)-SUM(KY4,LC4),"")</f>
        <v/>
      </c>
      <c r="LJ4" s="13" t="str">
        <f t="shared" ref="LJ4:LJ13" si="78">IF(SUM(LF4,LI4)&gt;0,SUM(LF4,LI4),"")</f>
        <v/>
      </c>
      <c r="LK4" s="68"/>
      <c r="LL4" s="68"/>
      <c r="LM4" s="68"/>
      <c r="LN4" s="68"/>
      <c r="LO4" s="68"/>
      <c r="LP4" s="68"/>
      <c r="LQ4" s="68"/>
      <c r="LR4" s="68"/>
      <c r="LS4" s="68"/>
      <c r="LT4" s="68"/>
      <c r="LU4" s="68"/>
      <c r="LV4" s="68"/>
      <c r="LW4" s="68"/>
      <c r="LX4" s="68"/>
      <c r="LY4" s="68"/>
      <c r="LZ4" s="68"/>
      <c r="MA4" s="68"/>
      <c r="MB4" s="68"/>
      <c r="MC4" s="68"/>
      <c r="MD4" s="68"/>
      <c r="ME4" s="68"/>
      <c r="MF4" s="68"/>
      <c r="MG4" s="68"/>
      <c r="MH4" s="68"/>
      <c r="MI4" s="17" t="str">
        <f t="shared" ref="MI4:MI13" si="79">IF(SUM(LL4,LP4,LT4,LX4)&gt;0,SUM(LL4,LP4,LT4,LX4),"")</f>
        <v/>
      </c>
      <c r="MJ4" s="17" t="str">
        <f t="shared" ref="MJ4:MJ13" si="80">IF(SUM(LK4:LL4,LN4:LP4,LR4:LT4,LV4:LX4,LZ4)-SUM(LM4,LQ4,LU4,LY4)&gt;0,SUM(LK4:LL4,LN4:LP4,LR4:LT4,LV4:LX4,LZ4)-SUM(LM4,LQ4,LU4,LY4),"")</f>
        <v/>
      </c>
      <c r="MK4" s="17" t="str">
        <f t="shared" ref="MK4:MK13" si="81">IF(SUM(LK4:LL4,LN4:LP4,LR4)-SUM(LM4,LQ4)&gt;0,SUM(LK4:LL4,LN4:LP4,LR4)-SUM(LM4,LQ4),"")</f>
        <v/>
      </c>
      <c r="ML4" s="17" t="str">
        <f t="shared" ref="ML4:ML13" si="82">IF(SUM(LS4:LT4,LV4:LX4,LZ4)-SUM(LU4,LY4)&gt;0,SUM(LS4:LT4,LV4:LX4,LZ4)-SUM(LU4,LY4),"")</f>
        <v/>
      </c>
      <c r="MM4" s="17" t="str">
        <f t="shared" ref="MM4:MM13" si="83">IF(SUM(MA4:MB4,MD4:MF4,MH4)-SUM(MC4,MG4)&gt;0,SUM(MA4:MB4,MD4:MF4,MH4)-SUM(MC4,MG4),"")</f>
        <v/>
      </c>
      <c r="MN4" s="17" t="str">
        <f t="shared" ref="MN4:MN13" si="84">IF(SUM(MJ4,MM4)&gt;0,SUM(MJ4,MM4),"")</f>
        <v/>
      </c>
      <c r="MO4" s="69"/>
      <c r="MP4" s="69"/>
      <c r="MQ4" s="69"/>
      <c r="MR4" s="69"/>
      <c r="MS4" s="69"/>
      <c r="MT4" s="69"/>
      <c r="MU4" s="69"/>
      <c r="MV4" s="69"/>
      <c r="MW4" s="69"/>
      <c r="MX4" s="69"/>
      <c r="MY4" s="69"/>
      <c r="MZ4" s="69"/>
      <c r="NA4" s="69"/>
      <c r="NB4" s="69"/>
      <c r="NC4" s="69"/>
      <c r="ND4" s="69"/>
      <c r="NE4" s="69"/>
      <c r="NF4" s="69"/>
      <c r="NG4" s="69"/>
      <c r="NH4" s="69"/>
      <c r="NI4" s="69"/>
      <c r="NJ4" s="69"/>
      <c r="NK4" s="69"/>
      <c r="NL4" s="69"/>
      <c r="NM4" s="13" t="str">
        <f t="shared" ref="NM4:NM13" si="85">IF(SUM(MP4,MT4,MX4,NB4)&gt;0,SUM(MP4,MT4,MX4,NB4),"")</f>
        <v/>
      </c>
      <c r="NN4" s="13" t="str">
        <f t="shared" ref="NN4:NN13" si="86">IF(SUM(MO4:MP4,MR4:MT4,MV4:MX4,MZ4:NB4,ND4)-SUM(MQ4,MU4,MY4,NC4)&gt;0,SUM(MO4:MP4,MR4:MT4,MV4:MX4,MZ4:NB4,ND4)-SUM(MQ4,MU4,MY4,NC4),"")</f>
        <v/>
      </c>
      <c r="NO4" s="13" t="str">
        <f t="shared" ref="NO4:NO13" si="87">IF(SUM(MO4:MP4,MR4:MT4,MV4)-SUM(MQ4,MU4)&gt;0,SUM(MO4:MP4,MR4:MT4,MV4)-SUM(MQ4,MU4),"")</f>
        <v/>
      </c>
      <c r="NP4" s="13" t="str">
        <f t="shared" ref="NP4:NP13" si="88">IF(SUM(MW4:MX4,MZ4:NB4,ND4)-SUM(MY4,NC4)&gt;0,SUM(MW4:MX4,MZ4:NB4,ND4)-SUM(MY4,NC4),"")</f>
        <v/>
      </c>
      <c r="NQ4" s="13" t="str">
        <f t="shared" ref="NQ4:NQ13" si="89">IF(SUM(NE4:NF4,NH4:NJ4,NL4)-SUM(NG4,NK4)&gt;0,SUM(NE4:NF4,NH4:NJ4,NL4)-SUM(NG4,NK4),"")</f>
        <v/>
      </c>
      <c r="NR4" s="13" t="str">
        <f t="shared" ref="NR4:NR13" si="90">IF(SUM(NN4,NQ4)&gt;0,SUM(NN4,NQ4),"")</f>
        <v/>
      </c>
      <c r="NS4" s="68"/>
      <c r="NT4" s="68"/>
      <c r="NU4" s="68"/>
      <c r="NV4" s="68"/>
      <c r="NW4" s="68"/>
      <c r="NX4" s="68"/>
      <c r="NY4" s="68"/>
      <c r="NZ4" s="68"/>
      <c r="OA4" s="68"/>
      <c r="OB4" s="68"/>
      <c r="OC4" s="68"/>
      <c r="OD4" s="68"/>
      <c r="OE4" s="68"/>
      <c r="OF4" s="68"/>
      <c r="OG4" s="68"/>
      <c r="OH4" s="68"/>
      <c r="OI4" s="68"/>
      <c r="OJ4" s="68"/>
      <c r="OK4" s="68"/>
      <c r="OL4" s="68"/>
      <c r="OM4" s="68"/>
      <c r="ON4" s="68"/>
      <c r="OO4" s="68"/>
      <c r="OP4" s="68"/>
      <c r="OQ4" s="17" t="str">
        <f t="shared" ref="OQ4:OQ13" si="91">IF(SUM(NT4,NX4,OB4,OF4)&gt;0,SUM(NT4,NX4,OB4,OF4),"")</f>
        <v/>
      </c>
      <c r="OR4" s="17" t="str">
        <f t="shared" ref="OR4:OR13" si="92">IF(SUM(NS4:NT4,NV4:NX4,NZ4:OB4,OD4:OF4,OH4)-SUM(NU4,NY4,OC4,OG4)&gt;0,SUM(NS4:NT4,NV4:NX4,NZ4:OB4,OD4:OF4,OH4)-SUM(NU4,NY4,OC4,OG4),"")</f>
        <v/>
      </c>
      <c r="OS4" s="17" t="str">
        <f t="shared" ref="OS4:OS13" si="93">IF(SUM(NS4:NT4,NV4:NX4,NZ4)-SUM(NU4,NY4)&gt;0,SUM(NS4:NT4,NV4:NX4,NZ4)-SUM(NU4,NY4),"")</f>
        <v/>
      </c>
      <c r="OT4" s="17" t="str">
        <f t="shared" ref="OT4:OT13" si="94">IF(SUM(OA4:OB4,OD4:OF4,OH4)-SUM(OC4,OG4)&gt;0,SUM(OA4:OB4,OD4:OF4,OH4)-SUM(OC4,OG4),"")</f>
        <v/>
      </c>
      <c r="OU4" s="17" t="str">
        <f t="shared" ref="OU4:OU13" si="95">IF(SUM(OI4:OJ4,OL4:ON4,OP4)-SUM(OK4,OO4)&gt;0,SUM(OI4:OJ4,OL4:ON4,OP4)-SUM(OK4,OO4),"")</f>
        <v/>
      </c>
      <c r="OV4" s="17" t="str">
        <f t="shared" ref="OV4:OV13" si="96">IF(SUM(OR4,OU4)&gt;0,SUM(OR4,OU4),"")</f>
        <v/>
      </c>
      <c r="OW4" s="69"/>
      <c r="OX4" s="69"/>
      <c r="OY4" s="69"/>
      <c r="OZ4" s="69"/>
      <c r="PA4" s="69"/>
      <c r="PB4" s="69"/>
      <c r="PC4" s="69"/>
      <c r="PD4" s="69"/>
      <c r="PE4" s="69"/>
      <c r="PF4" s="69"/>
      <c r="PG4" s="69"/>
      <c r="PH4" s="69"/>
      <c r="PI4" s="69"/>
      <c r="PJ4" s="69"/>
      <c r="PK4" s="69"/>
      <c r="PL4" s="69"/>
      <c r="PM4" s="69"/>
      <c r="PN4" s="69"/>
      <c r="PO4" s="69"/>
      <c r="PP4" s="69"/>
      <c r="PQ4" s="69"/>
      <c r="PR4" s="69"/>
      <c r="PS4" s="69"/>
      <c r="PT4" s="69"/>
      <c r="PU4" s="13" t="str">
        <f t="shared" ref="PU4:PU13" si="97">IF(SUM(OX4,PB4,PF4,PJ4)&gt;0,SUM(OX4,PB4,PF4,PJ4),"")</f>
        <v/>
      </c>
      <c r="PV4" s="13" t="str">
        <f t="shared" ref="PV4:PV13" si="98">IF(SUM(OW4:OX4,OZ4:PB4,PD4:PF4,PH4:PJ4,PL4)-SUM(OY4,PC4,PG4,PK4)&gt;0,SUM(OW4:OX4,OZ4:PB4,PD4:PF4,PH4:PJ4,PL4)-SUM(OY4,PC4,PG4,PK4),"")</f>
        <v/>
      </c>
      <c r="PW4" s="13" t="str">
        <f t="shared" ref="PW4:PW13" si="99">IF(SUM(OW4:OX4,OZ4:PB4,PD4)-SUM(OY4,PC4)&gt;0,SUM(OW4:OX4,OZ4:PB4,PD4)-SUM(OY4,PC4),"")</f>
        <v/>
      </c>
      <c r="PX4" s="13" t="str">
        <f t="shared" ref="PX4:PX13" si="100">IF(SUM(PE4:PF4,PH4:PJ4,PL4)-SUM(PG4,PK4)&gt;0,SUM(PE4:PF4,PH4:PJ4,PL4)-SUM(PG4,PK4),"")</f>
        <v/>
      </c>
      <c r="PY4" s="13" t="str">
        <f t="shared" ref="PY4:PY13" si="101">IF(SUM(PM4:PN4,PP4:PR4,PT4)-SUM(PO4,PS4)&gt;0,SUM(PM4:PN4,PP4:PR4,PT4)-SUM(PO4,PS4),"")</f>
        <v/>
      </c>
      <c r="PZ4" s="13" t="str">
        <f t="shared" ref="PZ4:PZ13" si="102">IF(SUM(PV4,PY4)&gt;0,SUM(PV4,PY4),"")</f>
        <v/>
      </c>
      <c r="QA4" s="68"/>
      <c r="QB4" s="68"/>
      <c r="QC4" s="68"/>
      <c r="QD4" s="68"/>
      <c r="QE4" s="68"/>
      <c r="QF4" s="68"/>
      <c r="QG4" s="68"/>
      <c r="QH4" s="68"/>
      <c r="QI4" s="68"/>
      <c r="QJ4" s="68"/>
      <c r="QK4" s="68"/>
      <c r="QL4" s="68"/>
      <c r="QM4" s="68"/>
      <c r="QN4" s="68"/>
      <c r="QO4" s="68"/>
      <c r="QP4" s="68"/>
      <c r="QQ4" s="68"/>
      <c r="QR4" s="68"/>
      <c r="QS4" s="68"/>
      <c r="QT4" s="68"/>
      <c r="QU4" s="68"/>
      <c r="QV4" s="68"/>
      <c r="QW4" s="68"/>
      <c r="QX4" s="68"/>
      <c r="QY4" s="17" t="str">
        <f t="shared" ref="QY4:QY13" si="103">IF(SUM(QB4,QF4,QJ4,QN4)&gt;0,SUM(QB4,QF4,QJ4,QN4),"")</f>
        <v/>
      </c>
      <c r="QZ4" s="17" t="str">
        <f t="shared" ref="QZ4:QZ13" si="104">IF(SUM(QA4:QB4,QD4:QF4,QH4:QJ4,QL4:QN4,QP4)-SUM(QC4,QG4,QK4,QO4)&gt;0,SUM(QA4:QB4,QD4:QF4,QH4:QJ4,QL4:QN4,QP4)-SUM(QC4,QG4,QK4,QO4),"")</f>
        <v/>
      </c>
      <c r="RA4" s="17" t="str">
        <f t="shared" ref="RA4:RA13" si="105">IF(SUM(QA4:QB4,QD4:QF4,QH4)-SUM(QC4,QG4)&gt;0,SUM(QA4:QB4,QD4:QF4,QH4)-SUM(QC4,QG4),"")</f>
        <v/>
      </c>
      <c r="RB4" s="17" t="str">
        <f t="shared" ref="RB4:RB13" si="106">IF(SUM(QI4:QJ4,QL4:QN4,QP4)-SUM(QK4,QO4)&gt;0,SUM(QI4:QJ4,QL4:QN4,QP4)-SUM(QK4,QO4),"")</f>
        <v/>
      </c>
      <c r="RC4" s="17" t="str">
        <f t="shared" ref="RC4:RC13" si="107">IF(SUM(QQ4:QR4,QT4:QV4,QX4)-SUM(QS4,QW4)&gt;0,SUM(QQ4:QR4,QT4:QV4,QX4)-SUM(QS4,QW4),"")</f>
        <v/>
      </c>
      <c r="RD4" s="17" t="str">
        <f t="shared" ref="RD4:RD13" si="108">IF(SUM(QZ4,RC4)&gt;0,SUM(QZ4,RC4),"")</f>
        <v/>
      </c>
    </row>
    <row r="5" spans="1:472" x14ac:dyDescent="0.2">
      <c r="A5" s="6">
        <f t="shared" ca="1" si="0"/>
        <v>2</v>
      </c>
      <c r="B5" s="9" t="s">
        <v>14</v>
      </c>
      <c r="C5" s="5" t="s">
        <v>6</v>
      </c>
      <c r="D5" s="6">
        <v>2012</v>
      </c>
      <c r="E5" s="18">
        <f t="shared" si="1"/>
        <v>348.2</v>
      </c>
      <c r="F5" s="4" t="str">
        <f t="shared" si="2"/>
        <v>P</v>
      </c>
      <c r="G5" s="4" t="str">
        <f t="shared" ca="1" si="3"/>
        <v>P</v>
      </c>
      <c r="H5" t="str">
        <f t="shared" ca="1" si="4"/>
        <v>Team</v>
      </c>
      <c r="I5" s="17">
        <f t="shared" si="5"/>
        <v>139.1</v>
      </c>
      <c r="J5" s="17" t="str">
        <f t="shared" si="6"/>
        <v>2017 3rd Domestic Trial</v>
      </c>
      <c r="K5" s="17">
        <f t="shared" si="7"/>
        <v>68.399999999999991</v>
      </c>
      <c r="L5" s="17" t="str">
        <f t="shared" si="8"/>
        <v>2017 Nationals</v>
      </c>
      <c r="M5" s="17">
        <f t="shared" si="9"/>
        <v>69.5</v>
      </c>
      <c r="N5" s="17" t="str">
        <f t="shared" si="10"/>
        <v>2017 Nationals</v>
      </c>
      <c r="O5" s="17">
        <f t="shared" si="11"/>
        <v>68.400000000000006</v>
      </c>
      <c r="P5" s="17" t="str">
        <f t="shared" si="12"/>
        <v>2017 Nationals</v>
      </c>
      <c r="Q5" s="17">
        <f t="shared" si="13"/>
        <v>2.8000000000000114</v>
      </c>
      <c r="R5" s="44" t="str">
        <f t="shared" si="14"/>
        <v>(Pass 1-2)</v>
      </c>
      <c r="S5" s="17" t="str">
        <f t="shared" si="15"/>
        <v>2016 Pan Am Championships (Dec)</v>
      </c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13" t="str">
        <f t="shared" si="16"/>
        <v/>
      </c>
      <c r="AS5" s="13" t="str">
        <f t="shared" si="17"/>
        <v/>
      </c>
      <c r="AT5" s="13" t="str">
        <f t="shared" si="18"/>
        <v/>
      </c>
      <c r="AU5" s="13" t="str">
        <f t="shared" si="19"/>
        <v/>
      </c>
      <c r="AV5" s="13" t="str">
        <f t="shared" si="20"/>
        <v/>
      </c>
      <c r="AW5" s="13" t="str">
        <f t="shared" si="21"/>
        <v/>
      </c>
      <c r="AX5" s="62">
        <v>28.5</v>
      </c>
      <c r="AY5" s="62">
        <v>6.8</v>
      </c>
      <c r="AZ5" s="62">
        <v>0.3</v>
      </c>
      <c r="BA5" s="62">
        <v>0</v>
      </c>
      <c r="BB5" s="62">
        <v>27.9</v>
      </c>
      <c r="BC5" s="62">
        <v>6.4</v>
      </c>
      <c r="BD5" s="62">
        <v>0.9</v>
      </c>
      <c r="BE5" s="62">
        <v>0</v>
      </c>
      <c r="BF5" s="62">
        <v>28.4</v>
      </c>
      <c r="BG5" s="62">
        <v>6.8</v>
      </c>
      <c r="BH5" s="62">
        <v>0</v>
      </c>
      <c r="BI5" s="62">
        <v>0</v>
      </c>
      <c r="BJ5" s="62">
        <v>27.8</v>
      </c>
      <c r="BK5" s="62">
        <v>6.8</v>
      </c>
      <c r="BL5" s="62">
        <v>0.3</v>
      </c>
      <c r="BM5" s="62">
        <v>0</v>
      </c>
      <c r="BN5" s="62">
        <v>28</v>
      </c>
      <c r="BO5" s="62">
        <v>6.8</v>
      </c>
      <c r="BP5" s="62">
        <v>1.5</v>
      </c>
      <c r="BQ5" s="62">
        <v>0</v>
      </c>
      <c r="BR5" s="62">
        <v>28.2</v>
      </c>
      <c r="BS5" s="62">
        <v>7.2</v>
      </c>
      <c r="BT5" s="62">
        <v>0.3</v>
      </c>
      <c r="BU5" s="62">
        <v>0</v>
      </c>
      <c r="BV5" s="17">
        <f t="shared" si="22"/>
        <v>26.8</v>
      </c>
      <c r="BW5" s="17">
        <f t="shared" si="23"/>
        <v>137.9</v>
      </c>
      <c r="BX5" s="17">
        <f t="shared" si="24"/>
        <v>68.399999999999991</v>
      </c>
      <c r="BY5" s="17">
        <f t="shared" si="25"/>
        <v>69.5</v>
      </c>
      <c r="BZ5" s="17">
        <f t="shared" si="26"/>
        <v>68.400000000000006</v>
      </c>
      <c r="CA5" s="17">
        <f t="shared" si="27"/>
        <v>206.3</v>
      </c>
      <c r="CB5" s="60">
        <v>26.6</v>
      </c>
      <c r="CC5" s="60">
        <v>7.3</v>
      </c>
      <c r="CD5" s="60">
        <v>0.3</v>
      </c>
      <c r="CE5" s="60">
        <v>0</v>
      </c>
      <c r="CF5" s="60">
        <v>27.6</v>
      </c>
      <c r="CG5" s="60">
        <v>7.2</v>
      </c>
      <c r="CH5" s="60">
        <v>0.9</v>
      </c>
      <c r="CI5" s="60">
        <v>0</v>
      </c>
      <c r="CJ5" s="60">
        <v>28.4</v>
      </c>
      <c r="CK5" s="60">
        <v>7.6</v>
      </c>
      <c r="CL5" s="60">
        <v>0</v>
      </c>
      <c r="CM5" s="60">
        <v>0</v>
      </c>
      <c r="CN5" s="60">
        <v>28</v>
      </c>
      <c r="CO5" s="60">
        <v>7.6</v>
      </c>
      <c r="CP5" s="60">
        <v>0</v>
      </c>
      <c r="CQ5" s="60">
        <v>0</v>
      </c>
      <c r="CR5" s="60">
        <v>28.4</v>
      </c>
      <c r="CS5" s="60">
        <v>4.5</v>
      </c>
      <c r="CT5" s="60">
        <v>3.9</v>
      </c>
      <c r="CU5" s="60">
        <v>0</v>
      </c>
      <c r="CV5" s="60">
        <v>27.6</v>
      </c>
      <c r="CW5" s="60">
        <v>6.8</v>
      </c>
      <c r="CX5" s="60">
        <v>0</v>
      </c>
      <c r="CY5" s="60">
        <v>0</v>
      </c>
      <c r="CZ5" s="13">
        <f t="shared" si="28"/>
        <v>29.700000000000003</v>
      </c>
      <c r="DA5" s="13">
        <f t="shared" si="29"/>
        <v>139.1</v>
      </c>
      <c r="DB5" s="13">
        <f t="shared" si="30"/>
        <v>67.5</v>
      </c>
      <c r="DC5" s="13">
        <f t="shared" si="31"/>
        <v>71.599999999999994</v>
      </c>
      <c r="DD5" s="13">
        <f t="shared" si="32"/>
        <v>63.4</v>
      </c>
      <c r="DE5" s="13">
        <f t="shared" si="33"/>
        <v>202.5</v>
      </c>
      <c r="DF5" s="43">
        <f t="shared" si="34"/>
        <v>2.8000000000000114</v>
      </c>
      <c r="DG5" s="43" t="str">
        <f t="shared" si="35"/>
        <v/>
      </c>
      <c r="DH5" s="43" t="str">
        <f t="shared" si="36"/>
        <v/>
      </c>
      <c r="DI5" s="60">
        <v>35.1</v>
      </c>
      <c r="DJ5" s="60">
        <v>0</v>
      </c>
      <c r="DK5" s="60">
        <v>0</v>
      </c>
      <c r="DL5" s="60">
        <v>0</v>
      </c>
      <c r="DM5" s="60">
        <v>36.1</v>
      </c>
      <c r="DN5" s="60">
        <v>0</v>
      </c>
      <c r="DO5" s="60">
        <v>0</v>
      </c>
      <c r="DP5" s="60">
        <v>0</v>
      </c>
      <c r="DQ5" s="60"/>
      <c r="DR5" s="60"/>
      <c r="DS5" s="60"/>
      <c r="DT5" s="60"/>
      <c r="DU5" s="60"/>
      <c r="DV5" s="60"/>
      <c r="DW5" s="60"/>
      <c r="DX5" s="60"/>
      <c r="DY5" s="60">
        <v>23.2</v>
      </c>
      <c r="DZ5" s="60">
        <v>0</v>
      </c>
      <c r="EA5" s="60">
        <v>0</v>
      </c>
      <c r="EB5" s="60">
        <v>0</v>
      </c>
      <c r="EC5" s="60">
        <v>35.5</v>
      </c>
      <c r="ED5" s="60">
        <v>0</v>
      </c>
      <c r="EE5" s="60">
        <v>0</v>
      </c>
      <c r="EF5" s="60">
        <v>0</v>
      </c>
      <c r="EG5" s="13" t="str">
        <f t="shared" si="37"/>
        <v/>
      </c>
      <c r="EH5" s="13">
        <f t="shared" si="38"/>
        <v>71.2</v>
      </c>
      <c r="EI5" s="13">
        <f t="shared" si="39"/>
        <v>71.2</v>
      </c>
      <c r="EJ5" s="13" t="str">
        <f t="shared" si="40"/>
        <v/>
      </c>
      <c r="EK5" s="13">
        <f t="shared" si="41"/>
        <v>58.7</v>
      </c>
      <c r="EL5" s="13">
        <f t="shared" si="42"/>
        <v>129.9</v>
      </c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  <c r="FA5" s="68"/>
      <c r="FB5" s="68"/>
      <c r="FC5" s="68"/>
      <c r="FD5" s="68"/>
      <c r="FE5" s="68"/>
      <c r="FF5" s="68"/>
      <c r="FG5" s="68"/>
      <c r="FH5" s="68"/>
      <c r="FI5" s="68"/>
      <c r="FJ5" s="68"/>
      <c r="FK5" s="17" t="str">
        <f t="shared" si="43"/>
        <v/>
      </c>
      <c r="FL5" s="17" t="str">
        <f t="shared" si="44"/>
        <v/>
      </c>
      <c r="FM5" s="17" t="str">
        <f t="shared" si="45"/>
        <v/>
      </c>
      <c r="FN5" s="17" t="str">
        <f t="shared" si="46"/>
        <v/>
      </c>
      <c r="FO5" s="17" t="str">
        <f t="shared" si="47"/>
        <v/>
      </c>
      <c r="FP5" s="17" t="str">
        <f t="shared" si="48"/>
        <v/>
      </c>
      <c r="FQ5" s="69">
        <v>27.3</v>
      </c>
      <c r="FR5" s="69">
        <v>6</v>
      </c>
      <c r="FS5" s="69">
        <v>0</v>
      </c>
      <c r="FT5" s="69">
        <v>0</v>
      </c>
      <c r="FU5" s="69">
        <v>27.6</v>
      </c>
      <c r="FV5" s="69">
        <v>7.6</v>
      </c>
      <c r="FW5" s="69">
        <v>0</v>
      </c>
      <c r="FX5" s="69">
        <v>0</v>
      </c>
      <c r="FY5" s="69"/>
      <c r="FZ5" s="69"/>
      <c r="GA5" s="69"/>
      <c r="GB5" s="69"/>
      <c r="GC5" s="69"/>
      <c r="GD5" s="69"/>
      <c r="GE5" s="69"/>
      <c r="GF5" s="69"/>
      <c r="GG5" s="69">
        <v>28</v>
      </c>
      <c r="GH5" s="69">
        <v>7.2</v>
      </c>
      <c r="GI5" s="69">
        <v>0.9</v>
      </c>
      <c r="GJ5" s="69">
        <v>0</v>
      </c>
      <c r="GK5" s="69">
        <v>27.6</v>
      </c>
      <c r="GL5" s="69">
        <v>3.7</v>
      </c>
      <c r="GM5" s="69">
        <v>0</v>
      </c>
      <c r="GN5" s="69">
        <v>0</v>
      </c>
      <c r="GO5" s="13">
        <f t="shared" si="49"/>
        <v>13.6</v>
      </c>
      <c r="GP5" s="13">
        <f t="shared" si="50"/>
        <v>68.5</v>
      </c>
      <c r="GQ5" s="13">
        <f t="shared" si="51"/>
        <v>68.5</v>
      </c>
      <c r="GR5" s="13" t="str">
        <f t="shared" si="52"/>
        <v/>
      </c>
      <c r="GS5" s="13">
        <f t="shared" si="53"/>
        <v>65.599999999999994</v>
      </c>
      <c r="GT5" s="13">
        <f t="shared" si="54"/>
        <v>134.1</v>
      </c>
      <c r="GU5" s="68">
        <v>27.6</v>
      </c>
      <c r="GV5" s="68">
        <v>7.6</v>
      </c>
      <c r="GW5" s="68">
        <v>0.3</v>
      </c>
      <c r="GX5" s="68">
        <v>0</v>
      </c>
      <c r="GY5" s="68">
        <v>26.8</v>
      </c>
      <c r="GZ5" s="68">
        <v>6.8</v>
      </c>
      <c r="HA5" s="68">
        <v>0.9</v>
      </c>
      <c r="HB5" s="68">
        <v>0</v>
      </c>
      <c r="HC5" s="68"/>
      <c r="HD5" s="68"/>
      <c r="HE5" s="68"/>
      <c r="HF5" s="68"/>
      <c r="HG5" s="68"/>
      <c r="HH5" s="68"/>
      <c r="HI5" s="68"/>
      <c r="HJ5" s="68"/>
      <c r="HK5" s="68"/>
      <c r="HL5" s="68"/>
      <c r="HM5" s="68"/>
      <c r="HN5" s="68"/>
      <c r="HO5" s="68"/>
      <c r="HP5" s="68"/>
      <c r="HQ5" s="68"/>
      <c r="HR5" s="68"/>
      <c r="HS5" s="17">
        <f t="shared" si="55"/>
        <v>14.399999999999999</v>
      </c>
      <c r="HT5" s="17">
        <f t="shared" si="56"/>
        <v>67.599999999999994</v>
      </c>
      <c r="HU5" s="17">
        <f t="shared" si="57"/>
        <v>67.599999999999994</v>
      </c>
      <c r="HV5" s="17" t="str">
        <f t="shared" si="58"/>
        <v/>
      </c>
      <c r="HW5" s="17" t="str">
        <f t="shared" si="59"/>
        <v/>
      </c>
      <c r="HX5" s="17">
        <f t="shared" si="60"/>
        <v>67.599999999999994</v>
      </c>
      <c r="HY5" s="69"/>
      <c r="HZ5" s="69"/>
      <c r="IA5" s="69"/>
      <c r="IB5" s="69"/>
      <c r="IC5" s="69"/>
      <c r="ID5" s="69"/>
      <c r="IE5" s="69"/>
      <c r="IF5" s="69"/>
      <c r="IG5" s="69"/>
      <c r="IH5" s="69"/>
      <c r="II5" s="69"/>
      <c r="IJ5" s="69"/>
      <c r="IK5" s="69"/>
      <c r="IL5" s="69"/>
      <c r="IM5" s="69"/>
      <c r="IN5" s="69"/>
      <c r="IO5" s="69"/>
      <c r="IP5" s="69"/>
      <c r="IQ5" s="69"/>
      <c r="IR5" s="69"/>
      <c r="IS5" s="69"/>
      <c r="IT5" s="69"/>
      <c r="IU5" s="69"/>
      <c r="IV5" s="69"/>
      <c r="IW5" s="13" t="str">
        <f t="shared" si="61"/>
        <v/>
      </c>
      <c r="IX5" s="13" t="str">
        <f t="shared" si="62"/>
        <v/>
      </c>
      <c r="IY5" s="13" t="str">
        <f t="shared" si="63"/>
        <v/>
      </c>
      <c r="IZ5" s="13" t="str">
        <f t="shared" si="64"/>
        <v/>
      </c>
      <c r="JA5" s="13" t="str">
        <f t="shared" si="65"/>
        <v/>
      </c>
      <c r="JB5" s="13" t="str">
        <f t="shared" si="66"/>
        <v/>
      </c>
      <c r="JC5" s="68"/>
      <c r="JD5" s="68"/>
      <c r="JE5" s="68"/>
      <c r="JF5" s="68"/>
      <c r="JG5" s="68"/>
      <c r="JH5" s="68"/>
      <c r="JI5" s="68"/>
      <c r="JJ5" s="68"/>
      <c r="JK5" s="68"/>
      <c r="JL5" s="68"/>
      <c r="JM5" s="68"/>
      <c r="JN5" s="68"/>
      <c r="JO5" s="68"/>
      <c r="JP5" s="68"/>
      <c r="JQ5" s="68"/>
      <c r="JR5" s="68"/>
      <c r="JS5" s="68"/>
      <c r="JT5" s="68"/>
      <c r="JU5" s="68"/>
      <c r="JV5" s="68"/>
      <c r="JW5" s="68"/>
      <c r="JX5" s="68"/>
      <c r="JY5" s="68"/>
      <c r="JZ5" s="68"/>
      <c r="KA5" s="17" t="str">
        <f t="shared" si="67"/>
        <v/>
      </c>
      <c r="KB5" s="17" t="str">
        <f t="shared" si="68"/>
        <v/>
      </c>
      <c r="KC5" s="17" t="str">
        <f t="shared" si="69"/>
        <v/>
      </c>
      <c r="KD5" s="17" t="str">
        <f t="shared" si="70"/>
        <v/>
      </c>
      <c r="KE5" s="17" t="str">
        <f t="shared" si="71"/>
        <v/>
      </c>
      <c r="KF5" s="17" t="str">
        <f t="shared" si="72"/>
        <v/>
      </c>
      <c r="KG5" s="69"/>
      <c r="KH5" s="69"/>
      <c r="KI5" s="69"/>
      <c r="KJ5" s="69"/>
      <c r="KK5" s="69"/>
      <c r="KL5" s="69"/>
      <c r="KM5" s="69"/>
      <c r="KN5" s="69"/>
      <c r="KO5" s="69"/>
      <c r="KP5" s="69"/>
      <c r="KQ5" s="69"/>
      <c r="KR5" s="69"/>
      <c r="KS5" s="69"/>
      <c r="KT5" s="69"/>
      <c r="KU5" s="69"/>
      <c r="KV5" s="69"/>
      <c r="KW5" s="69"/>
      <c r="KX5" s="69"/>
      <c r="KY5" s="69"/>
      <c r="KZ5" s="69"/>
      <c r="LA5" s="69"/>
      <c r="LB5" s="69"/>
      <c r="LC5" s="69"/>
      <c r="LD5" s="69"/>
      <c r="LE5" s="13" t="str">
        <f t="shared" si="73"/>
        <v/>
      </c>
      <c r="LF5" s="13" t="str">
        <f t="shared" si="74"/>
        <v/>
      </c>
      <c r="LG5" s="13" t="str">
        <f t="shared" si="75"/>
        <v/>
      </c>
      <c r="LH5" s="13" t="str">
        <f t="shared" si="76"/>
        <v/>
      </c>
      <c r="LI5" s="13" t="str">
        <f t="shared" si="77"/>
        <v/>
      </c>
      <c r="LJ5" s="13" t="str">
        <f t="shared" si="78"/>
        <v/>
      </c>
      <c r="LK5" s="68"/>
      <c r="LL5" s="68"/>
      <c r="LM5" s="68"/>
      <c r="LN5" s="68"/>
      <c r="LO5" s="68"/>
      <c r="LP5" s="68"/>
      <c r="LQ5" s="68"/>
      <c r="LR5" s="68"/>
      <c r="LS5" s="68"/>
      <c r="LT5" s="68"/>
      <c r="LU5" s="68"/>
      <c r="LV5" s="68"/>
      <c r="LW5" s="68"/>
      <c r="LX5" s="68"/>
      <c r="LY5" s="68"/>
      <c r="LZ5" s="68"/>
      <c r="MA5" s="68"/>
      <c r="MB5" s="68"/>
      <c r="MC5" s="68"/>
      <c r="MD5" s="68"/>
      <c r="ME5" s="68"/>
      <c r="MF5" s="68"/>
      <c r="MG5" s="68"/>
      <c r="MH5" s="68"/>
      <c r="MI5" s="17" t="str">
        <f t="shared" si="79"/>
        <v/>
      </c>
      <c r="MJ5" s="17" t="str">
        <f t="shared" si="80"/>
        <v/>
      </c>
      <c r="MK5" s="17" t="str">
        <f t="shared" si="81"/>
        <v/>
      </c>
      <c r="ML5" s="17" t="str">
        <f t="shared" si="82"/>
        <v/>
      </c>
      <c r="MM5" s="17" t="str">
        <f t="shared" si="83"/>
        <v/>
      </c>
      <c r="MN5" s="17" t="str">
        <f t="shared" si="84"/>
        <v/>
      </c>
      <c r="MO5" s="69"/>
      <c r="MP5" s="69"/>
      <c r="MQ5" s="69"/>
      <c r="MR5" s="69"/>
      <c r="MS5" s="69"/>
      <c r="MT5" s="69"/>
      <c r="MU5" s="69"/>
      <c r="MV5" s="69"/>
      <c r="MW5" s="69"/>
      <c r="MX5" s="69"/>
      <c r="MY5" s="69"/>
      <c r="MZ5" s="69"/>
      <c r="NA5" s="69"/>
      <c r="NB5" s="69"/>
      <c r="NC5" s="69"/>
      <c r="ND5" s="69"/>
      <c r="NE5" s="69"/>
      <c r="NF5" s="69"/>
      <c r="NG5" s="69"/>
      <c r="NH5" s="69"/>
      <c r="NI5" s="69"/>
      <c r="NJ5" s="69"/>
      <c r="NK5" s="69"/>
      <c r="NL5" s="69"/>
      <c r="NM5" s="13" t="str">
        <f t="shared" si="85"/>
        <v/>
      </c>
      <c r="NN5" s="13" t="str">
        <f t="shared" si="86"/>
        <v/>
      </c>
      <c r="NO5" s="13" t="str">
        <f t="shared" si="87"/>
        <v/>
      </c>
      <c r="NP5" s="13" t="str">
        <f t="shared" si="88"/>
        <v/>
      </c>
      <c r="NQ5" s="13" t="str">
        <f t="shared" si="89"/>
        <v/>
      </c>
      <c r="NR5" s="13" t="str">
        <f t="shared" si="90"/>
        <v/>
      </c>
      <c r="NS5" s="68"/>
      <c r="NT5" s="68"/>
      <c r="NU5" s="68"/>
      <c r="NV5" s="68"/>
      <c r="NW5" s="68"/>
      <c r="NX5" s="68"/>
      <c r="NY5" s="68"/>
      <c r="NZ5" s="68"/>
      <c r="OA5" s="68"/>
      <c r="OB5" s="68"/>
      <c r="OC5" s="68"/>
      <c r="OD5" s="68"/>
      <c r="OE5" s="68"/>
      <c r="OF5" s="68"/>
      <c r="OG5" s="68"/>
      <c r="OH5" s="68"/>
      <c r="OI5" s="68"/>
      <c r="OJ5" s="68"/>
      <c r="OK5" s="68"/>
      <c r="OL5" s="68"/>
      <c r="OM5" s="68"/>
      <c r="ON5" s="68"/>
      <c r="OO5" s="68"/>
      <c r="OP5" s="68"/>
      <c r="OQ5" s="17" t="str">
        <f t="shared" si="91"/>
        <v/>
      </c>
      <c r="OR5" s="17" t="str">
        <f t="shared" si="92"/>
        <v/>
      </c>
      <c r="OS5" s="17" t="str">
        <f t="shared" si="93"/>
        <v/>
      </c>
      <c r="OT5" s="17" t="str">
        <f t="shared" si="94"/>
        <v/>
      </c>
      <c r="OU5" s="17" t="str">
        <f t="shared" si="95"/>
        <v/>
      </c>
      <c r="OV5" s="17" t="str">
        <f t="shared" si="96"/>
        <v/>
      </c>
      <c r="OW5" s="69"/>
      <c r="OX5" s="69"/>
      <c r="OY5" s="69"/>
      <c r="OZ5" s="69"/>
      <c r="PA5" s="69"/>
      <c r="PB5" s="69"/>
      <c r="PC5" s="69"/>
      <c r="PD5" s="69"/>
      <c r="PE5" s="69"/>
      <c r="PF5" s="69"/>
      <c r="PG5" s="69"/>
      <c r="PH5" s="69"/>
      <c r="PI5" s="69"/>
      <c r="PJ5" s="69"/>
      <c r="PK5" s="69"/>
      <c r="PL5" s="69"/>
      <c r="PM5" s="69"/>
      <c r="PN5" s="69"/>
      <c r="PO5" s="69"/>
      <c r="PP5" s="69"/>
      <c r="PQ5" s="69"/>
      <c r="PR5" s="69"/>
      <c r="PS5" s="69"/>
      <c r="PT5" s="69"/>
      <c r="PU5" s="13" t="str">
        <f t="shared" si="97"/>
        <v/>
      </c>
      <c r="PV5" s="13" t="str">
        <f t="shared" si="98"/>
        <v/>
      </c>
      <c r="PW5" s="13" t="str">
        <f t="shared" si="99"/>
        <v/>
      </c>
      <c r="PX5" s="13" t="str">
        <f t="shared" si="100"/>
        <v/>
      </c>
      <c r="PY5" s="13" t="str">
        <f t="shared" si="101"/>
        <v/>
      </c>
      <c r="PZ5" s="13" t="str">
        <f t="shared" si="102"/>
        <v/>
      </c>
      <c r="QA5" s="68"/>
      <c r="QB5" s="68"/>
      <c r="QC5" s="68"/>
      <c r="QD5" s="68"/>
      <c r="QE5" s="68"/>
      <c r="QF5" s="68"/>
      <c r="QG5" s="68"/>
      <c r="QH5" s="68"/>
      <c r="QI5" s="68"/>
      <c r="QJ5" s="68"/>
      <c r="QK5" s="68"/>
      <c r="QL5" s="68"/>
      <c r="QM5" s="68"/>
      <c r="QN5" s="68"/>
      <c r="QO5" s="68"/>
      <c r="QP5" s="68"/>
      <c r="QQ5" s="68"/>
      <c r="QR5" s="68"/>
      <c r="QS5" s="68"/>
      <c r="QT5" s="68"/>
      <c r="QU5" s="68"/>
      <c r="QV5" s="68"/>
      <c r="QW5" s="68"/>
      <c r="QX5" s="68"/>
      <c r="QY5" s="17" t="str">
        <f t="shared" si="103"/>
        <v/>
      </c>
      <c r="QZ5" s="17" t="str">
        <f t="shared" si="104"/>
        <v/>
      </c>
      <c r="RA5" s="17" t="str">
        <f t="shared" si="105"/>
        <v/>
      </c>
      <c r="RB5" s="17" t="str">
        <f t="shared" si="106"/>
        <v/>
      </c>
      <c r="RC5" s="17" t="str">
        <f t="shared" si="107"/>
        <v/>
      </c>
      <c r="RD5" s="17" t="str">
        <f t="shared" si="108"/>
        <v/>
      </c>
    </row>
    <row r="6" spans="1:472" x14ac:dyDescent="0.2">
      <c r="A6" s="6" t="str">
        <f t="shared" ca="1" si="0"/>
        <v/>
      </c>
      <c r="B6" s="9" t="s">
        <v>85</v>
      </c>
      <c r="C6" s="5" t="s">
        <v>6</v>
      </c>
      <c r="D6" s="6">
        <v>2011</v>
      </c>
      <c r="E6" s="18">
        <f t="shared" si="1"/>
        <v>341.2</v>
      </c>
      <c r="F6" s="4" t="str">
        <f t="shared" si="2"/>
        <v>P</v>
      </c>
      <c r="G6" s="4" t="str">
        <f t="shared" ca="1" si="3"/>
        <v/>
      </c>
      <c r="H6" t="str">
        <f t="shared" ca="1" si="4"/>
        <v/>
      </c>
      <c r="I6" s="17">
        <f t="shared" si="5"/>
        <v>136.10000000000002</v>
      </c>
      <c r="J6" s="17" t="str">
        <f t="shared" si="6"/>
        <v>2017 Nationals</v>
      </c>
      <c r="K6" s="17">
        <f t="shared" si="7"/>
        <v>68.2</v>
      </c>
      <c r="L6" s="17" t="str">
        <f t="shared" si="8"/>
        <v>2017 3rd Domestic Trial</v>
      </c>
      <c r="M6" s="17">
        <f t="shared" si="9"/>
        <v>66.599999999999994</v>
      </c>
      <c r="N6" s="17" t="str">
        <f t="shared" si="10"/>
        <v>2017 3rd Domestic Trial</v>
      </c>
      <c r="O6" s="17">
        <f t="shared" si="11"/>
        <v>70.300000000000011</v>
      </c>
      <c r="P6" s="17" t="str">
        <f t="shared" si="12"/>
        <v>2017 3rd Domestic Trial</v>
      </c>
      <c r="Q6" s="17" t="str">
        <f t="shared" si="13"/>
        <v/>
      </c>
      <c r="R6" s="44" t="str">
        <f t="shared" si="14"/>
        <v/>
      </c>
      <c r="S6" s="17" t="str">
        <f t="shared" si="15"/>
        <v/>
      </c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13" t="str">
        <f t="shared" si="16"/>
        <v/>
      </c>
      <c r="AS6" s="13" t="str">
        <f t="shared" si="17"/>
        <v/>
      </c>
      <c r="AT6" s="13" t="str">
        <f t="shared" si="18"/>
        <v/>
      </c>
      <c r="AU6" s="13" t="str">
        <f t="shared" si="19"/>
        <v/>
      </c>
      <c r="AV6" s="13" t="str">
        <f t="shared" si="20"/>
        <v/>
      </c>
      <c r="AW6" s="13" t="str">
        <f t="shared" si="21"/>
        <v/>
      </c>
      <c r="AX6" s="62">
        <v>28.2</v>
      </c>
      <c r="AY6" s="62">
        <v>7.2</v>
      </c>
      <c r="AZ6" s="62">
        <v>1.2</v>
      </c>
      <c r="BA6" s="62">
        <v>0</v>
      </c>
      <c r="BB6" s="62">
        <v>28.2</v>
      </c>
      <c r="BC6" s="62">
        <v>6</v>
      </c>
      <c r="BD6" s="62">
        <v>1.5</v>
      </c>
      <c r="BE6" s="62">
        <v>0</v>
      </c>
      <c r="BF6" s="62">
        <v>28.2</v>
      </c>
      <c r="BG6" s="62">
        <v>7.2</v>
      </c>
      <c r="BH6" s="62">
        <v>0</v>
      </c>
      <c r="BI6" s="62">
        <v>0</v>
      </c>
      <c r="BJ6" s="62">
        <v>27.3</v>
      </c>
      <c r="BK6" s="62">
        <v>6.8</v>
      </c>
      <c r="BL6" s="62">
        <v>0.3</v>
      </c>
      <c r="BM6" s="62">
        <v>0</v>
      </c>
      <c r="BN6" s="62">
        <v>28.1</v>
      </c>
      <c r="BO6" s="62">
        <v>7.2</v>
      </c>
      <c r="BP6" s="62">
        <v>0.3</v>
      </c>
      <c r="BQ6" s="62">
        <v>0</v>
      </c>
      <c r="BR6" s="62">
        <v>27.8</v>
      </c>
      <c r="BS6" s="62">
        <v>6.8</v>
      </c>
      <c r="BT6" s="62">
        <v>1.2</v>
      </c>
      <c r="BU6" s="62">
        <v>0</v>
      </c>
      <c r="BV6" s="17">
        <f t="shared" si="22"/>
        <v>27.2</v>
      </c>
      <c r="BW6" s="17">
        <f t="shared" si="23"/>
        <v>136.10000000000002</v>
      </c>
      <c r="BX6" s="17">
        <f t="shared" si="24"/>
        <v>66.899999999999991</v>
      </c>
      <c r="BY6" s="17">
        <f t="shared" si="25"/>
        <v>69.2</v>
      </c>
      <c r="BZ6" s="17">
        <f t="shared" si="26"/>
        <v>68.400000000000006</v>
      </c>
      <c r="CA6" s="17">
        <f t="shared" si="27"/>
        <v>204.50000000000003</v>
      </c>
      <c r="CB6" s="60">
        <v>28.1</v>
      </c>
      <c r="CC6" s="60">
        <v>7.2</v>
      </c>
      <c r="CD6" s="60">
        <v>1.2</v>
      </c>
      <c r="CE6" s="60">
        <v>0</v>
      </c>
      <c r="CF6" s="60">
        <v>27.2</v>
      </c>
      <c r="CG6" s="60">
        <v>7.2</v>
      </c>
      <c r="CH6" s="60">
        <v>0.3</v>
      </c>
      <c r="CI6" s="60">
        <v>0</v>
      </c>
      <c r="CJ6" s="60">
        <v>28.2</v>
      </c>
      <c r="CK6" s="60">
        <v>7.6</v>
      </c>
      <c r="CL6" s="60">
        <v>0</v>
      </c>
      <c r="CM6" s="60">
        <v>0</v>
      </c>
      <c r="CN6" s="60">
        <v>24.8</v>
      </c>
      <c r="CO6" s="60">
        <v>7.2</v>
      </c>
      <c r="CP6" s="60">
        <v>1.2</v>
      </c>
      <c r="CQ6" s="60">
        <v>0</v>
      </c>
      <c r="CR6" s="60">
        <v>28.1</v>
      </c>
      <c r="CS6" s="60">
        <v>7.2</v>
      </c>
      <c r="CT6" s="60">
        <v>0.3</v>
      </c>
      <c r="CU6" s="60">
        <v>0</v>
      </c>
      <c r="CV6" s="60">
        <v>28.1</v>
      </c>
      <c r="CW6" s="60">
        <v>7.2</v>
      </c>
      <c r="CX6" s="60">
        <v>0</v>
      </c>
      <c r="CY6" s="60">
        <v>0</v>
      </c>
      <c r="CZ6" s="13">
        <f t="shared" si="28"/>
        <v>29.2</v>
      </c>
      <c r="DA6" s="13">
        <f t="shared" si="29"/>
        <v>134.80000000000001</v>
      </c>
      <c r="DB6" s="13">
        <f t="shared" si="30"/>
        <v>68.2</v>
      </c>
      <c r="DC6" s="13">
        <f t="shared" si="31"/>
        <v>66.599999999999994</v>
      </c>
      <c r="DD6" s="13">
        <f t="shared" si="32"/>
        <v>70.300000000000011</v>
      </c>
      <c r="DE6" s="13">
        <f t="shared" si="33"/>
        <v>205.10000000000002</v>
      </c>
      <c r="DF6" s="43" t="str">
        <f t="shared" si="34"/>
        <v/>
      </c>
      <c r="DG6" s="43" t="str">
        <f t="shared" si="35"/>
        <v/>
      </c>
      <c r="DH6" s="43" t="str">
        <f t="shared" si="36"/>
        <v/>
      </c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13" t="str">
        <f t="shared" si="37"/>
        <v/>
      </c>
      <c r="EH6" s="13" t="str">
        <f t="shared" si="38"/>
        <v/>
      </c>
      <c r="EI6" s="13" t="str">
        <f t="shared" si="39"/>
        <v/>
      </c>
      <c r="EJ6" s="13" t="str">
        <f t="shared" si="40"/>
        <v/>
      </c>
      <c r="EK6" s="13" t="str">
        <f t="shared" si="41"/>
        <v/>
      </c>
      <c r="EL6" s="13" t="str">
        <f t="shared" si="42"/>
        <v/>
      </c>
      <c r="EM6" s="68"/>
      <c r="EN6" s="68"/>
      <c r="EO6" s="68"/>
      <c r="EP6" s="68"/>
      <c r="EQ6" s="68"/>
      <c r="ER6" s="68"/>
      <c r="ES6" s="68"/>
      <c r="ET6" s="68"/>
      <c r="EU6" s="68"/>
      <c r="EV6" s="68"/>
      <c r="EW6" s="68"/>
      <c r="EX6" s="68"/>
      <c r="EY6" s="68"/>
      <c r="EZ6" s="68"/>
      <c r="FA6" s="68"/>
      <c r="FB6" s="68"/>
      <c r="FC6" s="68"/>
      <c r="FD6" s="68"/>
      <c r="FE6" s="68"/>
      <c r="FF6" s="68"/>
      <c r="FG6" s="68"/>
      <c r="FH6" s="68"/>
      <c r="FI6" s="68"/>
      <c r="FJ6" s="68"/>
      <c r="FK6" s="17" t="str">
        <f t="shared" si="43"/>
        <v/>
      </c>
      <c r="FL6" s="17" t="str">
        <f t="shared" si="44"/>
        <v/>
      </c>
      <c r="FM6" s="17" t="str">
        <f t="shared" si="45"/>
        <v/>
      </c>
      <c r="FN6" s="17" t="str">
        <f t="shared" si="46"/>
        <v/>
      </c>
      <c r="FO6" s="17" t="str">
        <f t="shared" si="47"/>
        <v/>
      </c>
      <c r="FP6" s="17" t="str">
        <f t="shared" si="48"/>
        <v/>
      </c>
      <c r="FQ6" s="69">
        <v>27.7</v>
      </c>
      <c r="FR6" s="69">
        <v>7.2</v>
      </c>
      <c r="FS6" s="69">
        <v>1.2</v>
      </c>
      <c r="FT6" s="69">
        <v>0</v>
      </c>
      <c r="FU6" s="69">
        <v>27.4</v>
      </c>
      <c r="FV6" s="69">
        <v>6.4</v>
      </c>
      <c r="FW6" s="69">
        <v>1.2</v>
      </c>
      <c r="FX6" s="69">
        <v>0</v>
      </c>
      <c r="FY6" s="69"/>
      <c r="FZ6" s="69"/>
      <c r="GA6" s="69"/>
      <c r="GB6" s="69"/>
      <c r="GC6" s="69"/>
      <c r="GD6" s="69"/>
      <c r="GE6" s="69"/>
      <c r="GF6" s="69"/>
      <c r="GG6" s="69"/>
      <c r="GH6" s="69"/>
      <c r="GI6" s="69"/>
      <c r="GJ6" s="69"/>
      <c r="GK6" s="69"/>
      <c r="GL6" s="69"/>
      <c r="GM6" s="69"/>
      <c r="GN6" s="69"/>
      <c r="GO6" s="13">
        <f t="shared" si="49"/>
        <v>13.600000000000001</v>
      </c>
      <c r="GP6" s="13">
        <f t="shared" si="50"/>
        <v>66.3</v>
      </c>
      <c r="GQ6" s="13">
        <f t="shared" si="51"/>
        <v>66.3</v>
      </c>
      <c r="GR6" s="13" t="str">
        <f t="shared" si="52"/>
        <v/>
      </c>
      <c r="GS6" s="13" t="str">
        <f t="shared" si="53"/>
        <v/>
      </c>
      <c r="GT6" s="13">
        <f t="shared" si="54"/>
        <v>66.3</v>
      </c>
      <c r="GU6" s="68"/>
      <c r="GV6" s="68"/>
      <c r="GW6" s="68"/>
      <c r="GX6" s="68"/>
      <c r="GY6" s="68"/>
      <c r="GZ6" s="68"/>
      <c r="HA6" s="68"/>
      <c r="HB6" s="68"/>
      <c r="HC6" s="68"/>
      <c r="HD6" s="68"/>
      <c r="HE6" s="68"/>
      <c r="HF6" s="68"/>
      <c r="HG6" s="68"/>
      <c r="HH6" s="68"/>
      <c r="HI6" s="68"/>
      <c r="HJ6" s="68"/>
      <c r="HK6" s="68"/>
      <c r="HL6" s="68"/>
      <c r="HM6" s="68"/>
      <c r="HN6" s="68"/>
      <c r="HO6" s="68"/>
      <c r="HP6" s="68"/>
      <c r="HQ6" s="68"/>
      <c r="HR6" s="68"/>
      <c r="HS6" s="17" t="str">
        <f t="shared" si="55"/>
        <v/>
      </c>
      <c r="HT6" s="17" t="str">
        <f t="shared" si="56"/>
        <v/>
      </c>
      <c r="HU6" s="17" t="str">
        <f t="shared" si="57"/>
        <v/>
      </c>
      <c r="HV6" s="17" t="str">
        <f t="shared" si="58"/>
        <v/>
      </c>
      <c r="HW6" s="17" t="str">
        <f t="shared" si="59"/>
        <v/>
      </c>
      <c r="HX6" s="17" t="str">
        <f t="shared" si="60"/>
        <v/>
      </c>
      <c r="HY6" s="69"/>
      <c r="HZ6" s="69"/>
      <c r="IA6" s="69"/>
      <c r="IB6" s="69"/>
      <c r="IC6" s="69"/>
      <c r="ID6" s="69"/>
      <c r="IE6" s="69"/>
      <c r="IF6" s="69"/>
      <c r="IG6" s="69"/>
      <c r="IH6" s="69"/>
      <c r="II6" s="69"/>
      <c r="IJ6" s="69"/>
      <c r="IK6" s="69"/>
      <c r="IL6" s="69"/>
      <c r="IM6" s="69"/>
      <c r="IN6" s="69"/>
      <c r="IO6" s="69"/>
      <c r="IP6" s="69"/>
      <c r="IQ6" s="69"/>
      <c r="IR6" s="69"/>
      <c r="IS6" s="69"/>
      <c r="IT6" s="69"/>
      <c r="IU6" s="69"/>
      <c r="IV6" s="69"/>
      <c r="IW6" s="13" t="str">
        <f t="shared" si="61"/>
        <v/>
      </c>
      <c r="IX6" s="13" t="str">
        <f t="shared" si="62"/>
        <v/>
      </c>
      <c r="IY6" s="13" t="str">
        <f t="shared" si="63"/>
        <v/>
      </c>
      <c r="IZ6" s="13" t="str">
        <f t="shared" si="64"/>
        <v/>
      </c>
      <c r="JA6" s="13" t="str">
        <f t="shared" si="65"/>
        <v/>
      </c>
      <c r="JB6" s="13" t="str">
        <f t="shared" si="66"/>
        <v/>
      </c>
      <c r="JC6" s="68"/>
      <c r="JD6" s="68"/>
      <c r="JE6" s="68"/>
      <c r="JF6" s="68"/>
      <c r="JG6" s="68"/>
      <c r="JH6" s="68"/>
      <c r="JI6" s="68"/>
      <c r="JJ6" s="68"/>
      <c r="JK6" s="68"/>
      <c r="JL6" s="68"/>
      <c r="JM6" s="68"/>
      <c r="JN6" s="68"/>
      <c r="JO6" s="68"/>
      <c r="JP6" s="68"/>
      <c r="JQ6" s="68"/>
      <c r="JR6" s="68"/>
      <c r="JS6" s="68"/>
      <c r="JT6" s="68"/>
      <c r="JU6" s="68"/>
      <c r="JV6" s="68"/>
      <c r="JW6" s="68"/>
      <c r="JX6" s="68"/>
      <c r="JY6" s="68"/>
      <c r="JZ6" s="68"/>
      <c r="KA6" s="17" t="str">
        <f t="shared" si="67"/>
        <v/>
      </c>
      <c r="KB6" s="17" t="str">
        <f t="shared" si="68"/>
        <v/>
      </c>
      <c r="KC6" s="17" t="str">
        <f t="shared" si="69"/>
        <v/>
      </c>
      <c r="KD6" s="17" t="str">
        <f t="shared" si="70"/>
        <v/>
      </c>
      <c r="KE6" s="17" t="str">
        <f t="shared" si="71"/>
        <v/>
      </c>
      <c r="KF6" s="17" t="str">
        <f t="shared" si="72"/>
        <v/>
      </c>
      <c r="KG6" s="69"/>
      <c r="KH6" s="69"/>
      <c r="KI6" s="69"/>
      <c r="KJ6" s="69"/>
      <c r="KK6" s="69"/>
      <c r="KL6" s="69"/>
      <c r="KM6" s="69"/>
      <c r="KN6" s="69"/>
      <c r="KO6" s="69"/>
      <c r="KP6" s="69"/>
      <c r="KQ6" s="69"/>
      <c r="KR6" s="69"/>
      <c r="KS6" s="69"/>
      <c r="KT6" s="69"/>
      <c r="KU6" s="69"/>
      <c r="KV6" s="69"/>
      <c r="KW6" s="69"/>
      <c r="KX6" s="69"/>
      <c r="KY6" s="69"/>
      <c r="KZ6" s="69"/>
      <c r="LA6" s="69"/>
      <c r="LB6" s="69"/>
      <c r="LC6" s="69"/>
      <c r="LD6" s="69"/>
      <c r="LE6" s="13" t="str">
        <f t="shared" si="73"/>
        <v/>
      </c>
      <c r="LF6" s="13" t="str">
        <f t="shared" si="74"/>
        <v/>
      </c>
      <c r="LG6" s="13" t="str">
        <f t="shared" si="75"/>
        <v/>
      </c>
      <c r="LH6" s="13" t="str">
        <f t="shared" si="76"/>
        <v/>
      </c>
      <c r="LI6" s="13" t="str">
        <f t="shared" si="77"/>
        <v/>
      </c>
      <c r="LJ6" s="13" t="str">
        <f t="shared" si="78"/>
        <v/>
      </c>
      <c r="LK6" s="68"/>
      <c r="LL6" s="68"/>
      <c r="LM6" s="68"/>
      <c r="LN6" s="68"/>
      <c r="LO6" s="68"/>
      <c r="LP6" s="68"/>
      <c r="LQ6" s="68"/>
      <c r="LR6" s="68"/>
      <c r="LS6" s="68"/>
      <c r="LT6" s="68"/>
      <c r="LU6" s="68"/>
      <c r="LV6" s="68"/>
      <c r="LW6" s="68"/>
      <c r="LX6" s="68"/>
      <c r="LY6" s="68"/>
      <c r="LZ6" s="68"/>
      <c r="MA6" s="68"/>
      <c r="MB6" s="68"/>
      <c r="MC6" s="68"/>
      <c r="MD6" s="68"/>
      <c r="ME6" s="68"/>
      <c r="MF6" s="68"/>
      <c r="MG6" s="68"/>
      <c r="MH6" s="68"/>
      <c r="MI6" s="17" t="str">
        <f t="shared" si="79"/>
        <v/>
      </c>
      <c r="MJ6" s="17" t="str">
        <f t="shared" si="80"/>
        <v/>
      </c>
      <c r="MK6" s="17" t="str">
        <f t="shared" si="81"/>
        <v/>
      </c>
      <c r="ML6" s="17" t="str">
        <f t="shared" si="82"/>
        <v/>
      </c>
      <c r="MM6" s="17" t="str">
        <f t="shared" si="83"/>
        <v/>
      </c>
      <c r="MN6" s="17" t="str">
        <f t="shared" si="84"/>
        <v/>
      </c>
      <c r="MO6" s="69"/>
      <c r="MP6" s="69"/>
      <c r="MQ6" s="69"/>
      <c r="MR6" s="69"/>
      <c r="MS6" s="69"/>
      <c r="MT6" s="69"/>
      <c r="MU6" s="69"/>
      <c r="MV6" s="69"/>
      <c r="MW6" s="69"/>
      <c r="MX6" s="69"/>
      <c r="MY6" s="69"/>
      <c r="MZ6" s="69"/>
      <c r="NA6" s="69"/>
      <c r="NB6" s="69"/>
      <c r="NC6" s="69"/>
      <c r="ND6" s="69"/>
      <c r="NE6" s="69"/>
      <c r="NF6" s="69"/>
      <c r="NG6" s="69"/>
      <c r="NH6" s="69"/>
      <c r="NI6" s="69"/>
      <c r="NJ6" s="69"/>
      <c r="NK6" s="69"/>
      <c r="NL6" s="69"/>
      <c r="NM6" s="13" t="str">
        <f t="shared" si="85"/>
        <v/>
      </c>
      <c r="NN6" s="13" t="str">
        <f t="shared" si="86"/>
        <v/>
      </c>
      <c r="NO6" s="13" t="str">
        <f t="shared" si="87"/>
        <v/>
      </c>
      <c r="NP6" s="13" t="str">
        <f t="shared" si="88"/>
        <v/>
      </c>
      <c r="NQ6" s="13" t="str">
        <f t="shared" si="89"/>
        <v/>
      </c>
      <c r="NR6" s="13" t="str">
        <f t="shared" si="90"/>
        <v/>
      </c>
      <c r="NS6" s="68"/>
      <c r="NT6" s="68"/>
      <c r="NU6" s="68"/>
      <c r="NV6" s="68"/>
      <c r="NW6" s="68"/>
      <c r="NX6" s="68"/>
      <c r="NY6" s="68"/>
      <c r="NZ6" s="68"/>
      <c r="OA6" s="68"/>
      <c r="OB6" s="68"/>
      <c r="OC6" s="68"/>
      <c r="OD6" s="68"/>
      <c r="OE6" s="68"/>
      <c r="OF6" s="68"/>
      <c r="OG6" s="68"/>
      <c r="OH6" s="68"/>
      <c r="OI6" s="68"/>
      <c r="OJ6" s="68"/>
      <c r="OK6" s="68"/>
      <c r="OL6" s="68"/>
      <c r="OM6" s="68"/>
      <c r="ON6" s="68"/>
      <c r="OO6" s="68"/>
      <c r="OP6" s="68"/>
      <c r="OQ6" s="17" t="str">
        <f t="shared" si="91"/>
        <v/>
      </c>
      <c r="OR6" s="17" t="str">
        <f t="shared" si="92"/>
        <v/>
      </c>
      <c r="OS6" s="17" t="str">
        <f t="shared" si="93"/>
        <v/>
      </c>
      <c r="OT6" s="17" t="str">
        <f t="shared" si="94"/>
        <v/>
      </c>
      <c r="OU6" s="17" t="str">
        <f t="shared" si="95"/>
        <v/>
      </c>
      <c r="OV6" s="17" t="str">
        <f t="shared" si="96"/>
        <v/>
      </c>
      <c r="OW6" s="69"/>
      <c r="OX6" s="69"/>
      <c r="OY6" s="69"/>
      <c r="OZ6" s="69"/>
      <c r="PA6" s="69"/>
      <c r="PB6" s="69"/>
      <c r="PC6" s="69"/>
      <c r="PD6" s="69"/>
      <c r="PE6" s="69"/>
      <c r="PF6" s="69"/>
      <c r="PG6" s="69"/>
      <c r="PH6" s="69"/>
      <c r="PI6" s="69"/>
      <c r="PJ6" s="69"/>
      <c r="PK6" s="69"/>
      <c r="PL6" s="69"/>
      <c r="PM6" s="69"/>
      <c r="PN6" s="69"/>
      <c r="PO6" s="69"/>
      <c r="PP6" s="69"/>
      <c r="PQ6" s="69"/>
      <c r="PR6" s="69"/>
      <c r="PS6" s="69"/>
      <c r="PT6" s="69"/>
      <c r="PU6" s="13" t="str">
        <f t="shared" si="97"/>
        <v/>
      </c>
      <c r="PV6" s="13" t="str">
        <f t="shared" si="98"/>
        <v/>
      </c>
      <c r="PW6" s="13" t="str">
        <f t="shared" si="99"/>
        <v/>
      </c>
      <c r="PX6" s="13" t="str">
        <f t="shared" si="100"/>
        <v/>
      </c>
      <c r="PY6" s="13" t="str">
        <f t="shared" si="101"/>
        <v/>
      </c>
      <c r="PZ6" s="13" t="str">
        <f t="shared" si="102"/>
        <v/>
      </c>
      <c r="QA6" s="68"/>
      <c r="QB6" s="68"/>
      <c r="QC6" s="68"/>
      <c r="QD6" s="68"/>
      <c r="QE6" s="68"/>
      <c r="QF6" s="68"/>
      <c r="QG6" s="68"/>
      <c r="QH6" s="68"/>
      <c r="QI6" s="68"/>
      <c r="QJ6" s="68"/>
      <c r="QK6" s="68"/>
      <c r="QL6" s="68"/>
      <c r="QM6" s="68"/>
      <c r="QN6" s="68"/>
      <c r="QO6" s="68"/>
      <c r="QP6" s="68"/>
      <c r="QQ6" s="68"/>
      <c r="QR6" s="68"/>
      <c r="QS6" s="68"/>
      <c r="QT6" s="68"/>
      <c r="QU6" s="68"/>
      <c r="QV6" s="68"/>
      <c r="QW6" s="68"/>
      <c r="QX6" s="68"/>
      <c r="QY6" s="17" t="str">
        <f t="shared" si="103"/>
        <v/>
      </c>
      <c r="QZ6" s="17" t="str">
        <f t="shared" si="104"/>
        <v/>
      </c>
      <c r="RA6" s="17" t="str">
        <f t="shared" si="105"/>
        <v/>
      </c>
      <c r="RB6" s="17" t="str">
        <f t="shared" si="106"/>
        <v/>
      </c>
      <c r="RC6" s="17" t="str">
        <f t="shared" si="107"/>
        <v/>
      </c>
      <c r="RD6" s="17" t="str">
        <f t="shared" si="108"/>
        <v/>
      </c>
    </row>
    <row r="7" spans="1:472" x14ac:dyDescent="0.2">
      <c r="A7" s="6">
        <f t="shared" ca="1" si="0"/>
        <v>3</v>
      </c>
      <c r="B7" s="9" t="s">
        <v>80</v>
      </c>
      <c r="C7" s="5" t="s">
        <v>6</v>
      </c>
      <c r="D7" s="6">
        <v>2017</v>
      </c>
      <c r="E7" s="18">
        <f t="shared" si="1"/>
        <v>335.2</v>
      </c>
      <c r="F7" s="4" t="str">
        <f t="shared" si="2"/>
        <v/>
      </c>
      <c r="G7" s="4" t="str">
        <f t="shared" ca="1" si="3"/>
        <v>P</v>
      </c>
      <c r="H7" t="str">
        <f t="shared" ca="1" si="4"/>
        <v>First 2 Years</v>
      </c>
      <c r="I7" s="17">
        <f t="shared" si="5"/>
        <v>136.89999999999998</v>
      </c>
      <c r="J7" s="17" t="str">
        <f t="shared" si="6"/>
        <v>2017 Nationals</v>
      </c>
      <c r="K7" s="17">
        <f t="shared" si="7"/>
        <v>65.699999999999989</v>
      </c>
      <c r="L7" s="17" t="str">
        <f t="shared" si="8"/>
        <v>2017 Canada Cup</v>
      </c>
      <c r="M7" s="17">
        <f t="shared" si="9"/>
        <v>65.800000000000011</v>
      </c>
      <c r="N7" s="17" t="str">
        <f t="shared" si="10"/>
        <v>2017 Canada Cup</v>
      </c>
      <c r="O7" s="17">
        <f t="shared" si="11"/>
        <v>66.8</v>
      </c>
      <c r="P7" s="17" t="str">
        <f t="shared" si="12"/>
        <v>2017 Nationals</v>
      </c>
      <c r="Q7" s="17" t="str">
        <f t="shared" si="13"/>
        <v/>
      </c>
      <c r="R7" s="44" t="str">
        <f t="shared" si="14"/>
        <v/>
      </c>
      <c r="S7" s="17" t="str">
        <f t="shared" si="15"/>
        <v/>
      </c>
      <c r="T7" s="60">
        <v>27.5</v>
      </c>
      <c r="U7" s="60">
        <v>6.8</v>
      </c>
      <c r="V7" s="60">
        <v>0.9</v>
      </c>
      <c r="W7" s="60">
        <v>0</v>
      </c>
      <c r="X7" s="60">
        <v>27.5</v>
      </c>
      <c r="Y7" s="60">
        <v>4.8</v>
      </c>
      <c r="Z7" s="60">
        <v>0</v>
      </c>
      <c r="AA7" s="60">
        <v>0</v>
      </c>
      <c r="AB7" s="60">
        <v>25.1</v>
      </c>
      <c r="AC7" s="60">
        <v>7.2</v>
      </c>
      <c r="AD7" s="60">
        <v>1.2</v>
      </c>
      <c r="AE7" s="60">
        <v>0</v>
      </c>
      <c r="AF7" s="60">
        <v>28</v>
      </c>
      <c r="AG7" s="60">
        <v>7.6</v>
      </c>
      <c r="AH7" s="60">
        <v>0.9</v>
      </c>
      <c r="AI7" s="60">
        <v>0</v>
      </c>
      <c r="AJ7" s="60">
        <v>27.6</v>
      </c>
      <c r="AK7" s="60">
        <v>4.8</v>
      </c>
      <c r="AL7" s="60">
        <v>1.2</v>
      </c>
      <c r="AM7" s="60">
        <v>0</v>
      </c>
      <c r="AN7" s="60">
        <v>27.4</v>
      </c>
      <c r="AO7" s="60">
        <v>7.6</v>
      </c>
      <c r="AP7" s="60">
        <v>1.2</v>
      </c>
      <c r="AQ7" s="60">
        <v>0</v>
      </c>
      <c r="AR7" s="13">
        <f t="shared" si="16"/>
        <v>26.4</v>
      </c>
      <c r="AS7" s="13">
        <f t="shared" si="17"/>
        <v>131.5</v>
      </c>
      <c r="AT7" s="13">
        <f t="shared" si="18"/>
        <v>65.699999999999989</v>
      </c>
      <c r="AU7" s="13">
        <f t="shared" si="19"/>
        <v>65.800000000000011</v>
      </c>
      <c r="AV7" s="13">
        <f t="shared" si="20"/>
        <v>64.999999999999986</v>
      </c>
      <c r="AW7" s="13">
        <f t="shared" si="21"/>
        <v>196.5</v>
      </c>
      <c r="AX7" s="62">
        <v>28.4</v>
      </c>
      <c r="AY7" s="62">
        <v>6.8</v>
      </c>
      <c r="AZ7" s="62">
        <v>0.3</v>
      </c>
      <c r="BA7" s="62">
        <v>0</v>
      </c>
      <c r="BB7" s="62">
        <v>27.2</v>
      </c>
      <c r="BC7" s="62">
        <v>7.3</v>
      </c>
      <c r="BD7" s="62">
        <v>1.5</v>
      </c>
      <c r="BE7" s="62">
        <v>0</v>
      </c>
      <c r="BF7" s="62">
        <v>28.3</v>
      </c>
      <c r="BG7" s="62">
        <v>7.6</v>
      </c>
      <c r="BH7" s="62">
        <v>1.2</v>
      </c>
      <c r="BI7" s="62">
        <v>0</v>
      </c>
      <c r="BJ7" s="62">
        <v>27.8</v>
      </c>
      <c r="BK7" s="62">
        <v>6.8</v>
      </c>
      <c r="BL7" s="62">
        <v>0.3</v>
      </c>
      <c r="BM7" s="62">
        <v>0</v>
      </c>
      <c r="BN7" s="62">
        <v>28.4</v>
      </c>
      <c r="BO7" s="62">
        <v>8.4</v>
      </c>
      <c r="BP7" s="62">
        <v>0.9</v>
      </c>
      <c r="BQ7" s="62">
        <v>0</v>
      </c>
      <c r="BR7" s="62">
        <v>27.6</v>
      </c>
      <c r="BS7" s="62">
        <v>3.6</v>
      </c>
      <c r="BT7" s="62">
        <v>0.3</v>
      </c>
      <c r="BU7" s="62">
        <v>0</v>
      </c>
      <c r="BV7" s="17">
        <f t="shared" si="22"/>
        <v>28.5</v>
      </c>
      <c r="BW7" s="17">
        <f t="shared" si="23"/>
        <v>136.89999999999998</v>
      </c>
      <c r="BX7" s="17">
        <f t="shared" si="24"/>
        <v>67.899999999999991</v>
      </c>
      <c r="BY7" s="17">
        <f t="shared" si="25"/>
        <v>69</v>
      </c>
      <c r="BZ7" s="17">
        <f t="shared" si="26"/>
        <v>66.8</v>
      </c>
      <c r="CA7" s="17">
        <f t="shared" si="27"/>
        <v>203.7</v>
      </c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13" t="str">
        <f t="shared" si="28"/>
        <v/>
      </c>
      <c r="DA7" s="13" t="str">
        <f t="shared" si="29"/>
        <v/>
      </c>
      <c r="DB7" s="13" t="str">
        <f t="shared" si="30"/>
        <v/>
      </c>
      <c r="DC7" s="13" t="str">
        <f t="shared" si="31"/>
        <v/>
      </c>
      <c r="DD7" s="13" t="str">
        <f t="shared" si="32"/>
        <v/>
      </c>
      <c r="DE7" s="13" t="str">
        <f t="shared" si="33"/>
        <v/>
      </c>
      <c r="DF7" s="43" t="str">
        <f t="shared" si="34"/>
        <v/>
      </c>
      <c r="DG7" s="43" t="str">
        <f t="shared" si="35"/>
        <v/>
      </c>
      <c r="DH7" s="43" t="str">
        <f t="shared" si="36"/>
        <v/>
      </c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60"/>
      <c r="ED7" s="60"/>
      <c r="EE7" s="60"/>
      <c r="EF7" s="60"/>
      <c r="EG7" s="13" t="str">
        <f t="shared" si="37"/>
        <v/>
      </c>
      <c r="EH7" s="13" t="str">
        <f t="shared" si="38"/>
        <v/>
      </c>
      <c r="EI7" s="13" t="str">
        <f t="shared" si="39"/>
        <v/>
      </c>
      <c r="EJ7" s="13" t="str">
        <f t="shared" si="40"/>
        <v/>
      </c>
      <c r="EK7" s="13" t="str">
        <f t="shared" si="41"/>
        <v/>
      </c>
      <c r="EL7" s="13" t="str">
        <f t="shared" si="42"/>
        <v/>
      </c>
      <c r="EM7" s="68"/>
      <c r="EN7" s="68"/>
      <c r="EO7" s="68"/>
      <c r="EP7" s="68"/>
      <c r="EQ7" s="68"/>
      <c r="ER7" s="68"/>
      <c r="ES7" s="68"/>
      <c r="ET7" s="68"/>
      <c r="EU7" s="68"/>
      <c r="EV7" s="68"/>
      <c r="EW7" s="68"/>
      <c r="EX7" s="68"/>
      <c r="EY7" s="68"/>
      <c r="EZ7" s="68"/>
      <c r="FA7" s="68"/>
      <c r="FB7" s="68"/>
      <c r="FC7" s="68"/>
      <c r="FD7" s="68"/>
      <c r="FE7" s="68"/>
      <c r="FF7" s="68"/>
      <c r="FG7" s="68"/>
      <c r="FH7" s="68"/>
      <c r="FI7" s="68"/>
      <c r="FJ7" s="68"/>
      <c r="FK7" s="17" t="str">
        <f t="shared" si="43"/>
        <v/>
      </c>
      <c r="FL7" s="17" t="str">
        <f t="shared" si="44"/>
        <v/>
      </c>
      <c r="FM7" s="17" t="str">
        <f t="shared" si="45"/>
        <v/>
      </c>
      <c r="FN7" s="17" t="str">
        <f t="shared" si="46"/>
        <v/>
      </c>
      <c r="FO7" s="17" t="str">
        <f t="shared" si="47"/>
        <v/>
      </c>
      <c r="FP7" s="17" t="str">
        <f t="shared" si="48"/>
        <v/>
      </c>
      <c r="FQ7" s="69"/>
      <c r="FR7" s="69"/>
      <c r="FS7" s="69"/>
      <c r="FT7" s="69"/>
      <c r="FU7" s="69"/>
      <c r="FV7" s="69"/>
      <c r="FW7" s="69"/>
      <c r="FX7" s="69"/>
      <c r="FY7" s="69"/>
      <c r="FZ7" s="69"/>
      <c r="GA7" s="69"/>
      <c r="GB7" s="69"/>
      <c r="GC7" s="69"/>
      <c r="GD7" s="69"/>
      <c r="GE7" s="69"/>
      <c r="GF7" s="69"/>
      <c r="GG7" s="69"/>
      <c r="GH7" s="69"/>
      <c r="GI7" s="69"/>
      <c r="GJ7" s="69"/>
      <c r="GK7" s="69"/>
      <c r="GL7" s="69"/>
      <c r="GM7" s="69"/>
      <c r="GN7" s="69"/>
      <c r="GO7" s="13" t="str">
        <f t="shared" si="49"/>
        <v/>
      </c>
      <c r="GP7" s="13" t="str">
        <f t="shared" si="50"/>
        <v/>
      </c>
      <c r="GQ7" s="13" t="str">
        <f t="shared" si="51"/>
        <v/>
      </c>
      <c r="GR7" s="13" t="str">
        <f t="shared" si="52"/>
        <v/>
      </c>
      <c r="GS7" s="13" t="str">
        <f t="shared" si="53"/>
        <v/>
      </c>
      <c r="GT7" s="13" t="str">
        <f t="shared" si="54"/>
        <v/>
      </c>
      <c r="GU7" s="68"/>
      <c r="GV7" s="68"/>
      <c r="GW7" s="68"/>
      <c r="GX7" s="68"/>
      <c r="GY7" s="68"/>
      <c r="GZ7" s="68"/>
      <c r="HA7" s="68"/>
      <c r="HB7" s="68"/>
      <c r="HC7" s="68"/>
      <c r="HD7" s="68"/>
      <c r="HE7" s="68"/>
      <c r="HF7" s="68"/>
      <c r="HG7" s="68"/>
      <c r="HH7" s="68"/>
      <c r="HI7" s="68"/>
      <c r="HJ7" s="68"/>
      <c r="HK7" s="68"/>
      <c r="HL7" s="68"/>
      <c r="HM7" s="68"/>
      <c r="HN7" s="68"/>
      <c r="HO7" s="68"/>
      <c r="HP7" s="68"/>
      <c r="HQ7" s="68"/>
      <c r="HR7" s="68"/>
      <c r="HS7" s="17" t="str">
        <f t="shared" si="55"/>
        <v/>
      </c>
      <c r="HT7" s="17" t="str">
        <f t="shared" si="56"/>
        <v/>
      </c>
      <c r="HU7" s="17" t="str">
        <f t="shared" si="57"/>
        <v/>
      </c>
      <c r="HV7" s="17" t="str">
        <f t="shared" si="58"/>
        <v/>
      </c>
      <c r="HW7" s="17" t="str">
        <f t="shared" si="59"/>
        <v/>
      </c>
      <c r="HX7" s="17" t="str">
        <f t="shared" si="60"/>
        <v/>
      </c>
      <c r="HY7" s="69">
        <v>27.6</v>
      </c>
      <c r="HZ7" s="69">
        <v>8.1</v>
      </c>
      <c r="IA7" s="69">
        <v>2.4</v>
      </c>
      <c r="IB7" s="69">
        <v>0</v>
      </c>
      <c r="IC7" s="69">
        <v>20</v>
      </c>
      <c r="ID7" s="69">
        <v>4</v>
      </c>
      <c r="IE7" s="69">
        <v>0</v>
      </c>
      <c r="IF7" s="69">
        <v>0</v>
      </c>
      <c r="IG7" s="69"/>
      <c r="IH7" s="69"/>
      <c r="II7" s="69"/>
      <c r="IJ7" s="69"/>
      <c r="IK7" s="69"/>
      <c r="IL7" s="69"/>
      <c r="IM7" s="69"/>
      <c r="IN7" s="69"/>
      <c r="IO7" s="69"/>
      <c r="IP7" s="69"/>
      <c r="IQ7" s="69"/>
      <c r="IR7" s="69"/>
      <c r="IS7" s="69"/>
      <c r="IT7" s="69"/>
      <c r="IU7" s="69"/>
      <c r="IV7" s="69"/>
      <c r="IW7" s="13">
        <f t="shared" si="61"/>
        <v>12.1</v>
      </c>
      <c r="IX7" s="13">
        <f t="shared" si="62"/>
        <v>57.300000000000004</v>
      </c>
      <c r="IY7" s="13">
        <f t="shared" si="63"/>
        <v>57.300000000000004</v>
      </c>
      <c r="IZ7" s="13" t="str">
        <f t="shared" si="64"/>
        <v/>
      </c>
      <c r="JA7" s="13" t="str">
        <f t="shared" si="65"/>
        <v/>
      </c>
      <c r="JB7" s="13">
        <f t="shared" si="66"/>
        <v>57.300000000000004</v>
      </c>
      <c r="JC7" s="68"/>
      <c r="JD7" s="68"/>
      <c r="JE7" s="68"/>
      <c r="JF7" s="68"/>
      <c r="JG7" s="68"/>
      <c r="JH7" s="68"/>
      <c r="JI7" s="68"/>
      <c r="JJ7" s="68"/>
      <c r="JK7" s="68"/>
      <c r="JL7" s="68"/>
      <c r="JM7" s="68"/>
      <c r="JN7" s="68"/>
      <c r="JO7" s="68"/>
      <c r="JP7" s="68"/>
      <c r="JQ7" s="68"/>
      <c r="JR7" s="68"/>
      <c r="JS7" s="68"/>
      <c r="JT7" s="68"/>
      <c r="JU7" s="68"/>
      <c r="JV7" s="68"/>
      <c r="JW7" s="68"/>
      <c r="JX7" s="68"/>
      <c r="JY7" s="68"/>
      <c r="JZ7" s="68"/>
      <c r="KA7" s="17" t="str">
        <f t="shared" si="67"/>
        <v/>
      </c>
      <c r="KB7" s="17" t="str">
        <f t="shared" si="68"/>
        <v/>
      </c>
      <c r="KC7" s="17" t="str">
        <f t="shared" si="69"/>
        <v/>
      </c>
      <c r="KD7" s="17" t="str">
        <f t="shared" si="70"/>
        <v/>
      </c>
      <c r="KE7" s="17" t="str">
        <f t="shared" si="71"/>
        <v/>
      </c>
      <c r="KF7" s="17" t="str">
        <f t="shared" si="72"/>
        <v/>
      </c>
      <c r="KG7" s="69"/>
      <c r="KH7" s="69"/>
      <c r="KI7" s="69"/>
      <c r="KJ7" s="69"/>
      <c r="KK7" s="69"/>
      <c r="KL7" s="69"/>
      <c r="KM7" s="69"/>
      <c r="KN7" s="69"/>
      <c r="KO7" s="69"/>
      <c r="KP7" s="69"/>
      <c r="KQ7" s="69"/>
      <c r="KR7" s="69"/>
      <c r="KS7" s="69"/>
      <c r="KT7" s="69"/>
      <c r="KU7" s="69"/>
      <c r="KV7" s="69"/>
      <c r="KW7" s="69"/>
      <c r="KX7" s="69"/>
      <c r="KY7" s="69"/>
      <c r="KZ7" s="69"/>
      <c r="LA7" s="69"/>
      <c r="LB7" s="69"/>
      <c r="LC7" s="69"/>
      <c r="LD7" s="69"/>
      <c r="LE7" s="13" t="str">
        <f t="shared" si="73"/>
        <v/>
      </c>
      <c r="LF7" s="13" t="str">
        <f t="shared" si="74"/>
        <v/>
      </c>
      <c r="LG7" s="13" t="str">
        <f t="shared" si="75"/>
        <v/>
      </c>
      <c r="LH7" s="13" t="str">
        <f t="shared" si="76"/>
        <v/>
      </c>
      <c r="LI7" s="13" t="str">
        <f t="shared" si="77"/>
        <v/>
      </c>
      <c r="LJ7" s="13" t="str">
        <f t="shared" si="78"/>
        <v/>
      </c>
      <c r="LK7" s="68"/>
      <c r="LL7" s="68"/>
      <c r="LM7" s="68"/>
      <c r="LN7" s="68"/>
      <c r="LO7" s="68"/>
      <c r="LP7" s="68"/>
      <c r="LQ7" s="68"/>
      <c r="LR7" s="68"/>
      <c r="LS7" s="68"/>
      <c r="LT7" s="68"/>
      <c r="LU7" s="68"/>
      <c r="LV7" s="68"/>
      <c r="LW7" s="68"/>
      <c r="LX7" s="68"/>
      <c r="LY7" s="68"/>
      <c r="LZ7" s="68"/>
      <c r="MA7" s="68"/>
      <c r="MB7" s="68"/>
      <c r="MC7" s="68"/>
      <c r="MD7" s="68"/>
      <c r="ME7" s="68"/>
      <c r="MF7" s="68"/>
      <c r="MG7" s="68"/>
      <c r="MH7" s="68"/>
      <c r="MI7" s="17" t="str">
        <f t="shared" si="79"/>
        <v/>
      </c>
      <c r="MJ7" s="17" t="str">
        <f t="shared" si="80"/>
        <v/>
      </c>
      <c r="MK7" s="17" t="str">
        <f t="shared" si="81"/>
        <v/>
      </c>
      <c r="ML7" s="17" t="str">
        <f t="shared" si="82"/>
        <v/>
      </c>
      <c r="MM7" s="17" t="str">
        <f t="shared" si="83"/>
        <v/>
      </c>
      <c r="MN7" s="17" t="str">
        <f t="shared" si="84"/>
        <v/>
      </c>
      <c r="MO7" s="69"/>
      <c r="MP7" s="69"/>
      <c r="MQ7" s="69"/>
      <c r="MR7" s="69"/>
      <c r="MS7" s="69"/>
      <c r="MT7" s="69"/>
      <c r="MU7" s="69"/>
      <c r="MV7" s="69"/>
      <c r="MW7" s="69"/>
      <c r="MX7" s="69"/>
      <c r="MY7" s="69"/>
      <c r="MZ7" s="69"/>
      <c r="NA7" s="69"/>
      <c r="NB7" s="69"/>
      <c r="NC7" s="69"/>
      <c r="ND7" s="69"/>
      <c r="NE7" s="69"/>
      <c r="NF7" s="69"/>
      <c r="NG7" s="69"/>
      <c r="NH7" s="69"/>
      <c r="NI7" s="69"/>
      <c r="NJ7" s="69"/>
      <c r="NK7" s="69"/>
      <c r="NL7" s="69"/>
      <c r="NM7" s="13" t="str">
        <f t="shared" si="85"/>
        <v/>
      </c>
      <c r="NN7" s="13" t="str">
        <f t="shared" si="86"/>
        <v/>
      </c>
      <c r="NO7" s="13" t="str">
        <f t="shared" si="87"/>
        <v/>
      </c>
      <c r="NP7" s="13" t="str">
        <f t="shared" si="88"/>
        <v/>
      </c>
      <c r="NQ7" s="13" t="str">
        <f t="shared" si="89"/>
        <v/>
      </c>
      <c r="NR7" s="13" t="str">
        <f t="shared" si="90"/>
        <v/>
      </c>
      <c r="NS7" s="68"/>
      <c r="NT7" s="68"/>
      <c r="NU7" s="68"/>
      <c r="NV7" s="68"/>
      <c r="NW7" s="68"/>
      <c r="NX7" s="68"/>
      <c r="NY7" s="68"/>
      <c r="NZ7" s="68"/>
      <c r="OA7" s="68"/>
      <c r="OB7" s="68"/>
      <c r="OC7" s="68"/>
      <c r="OD7" s="68"/>
      <c r="OE7" s="68"/>
      <c r="OF7" s="68"/>
      <c r="OG7" s="68"/>
      <c r="OH7" s="68"/>
      <c r="OI7" s="68"/>
      <c r="OJ7" s="68"/>
      <c r="OK7" s="68"/>
      <c r="OL7" s="68"/>
      <c r="OM7" s="68"/>
      <c r="ON7" s="68"/>
      <c r="OO7" s="68"/>
      <c r="OP7" s="68"/>
      <c r="OQ7" s="17" t="str">
        <f t="shared" si="91"/>
        <v/>
      </c>
      <c r="OR7" s="17" t="str">
        <f t="shared" si="92"/>
        <v/>
      </c>
      <c r="OS7" s="17" t="str">
        <f t="shared" si="93"/>
        <v/>
      </c>
      <c r="OT7" s="17" t="str">
        <f t="shared" si="94"/>
        <v/>
      </c>
      <c r="OU7" s="17" t="str">
        <f t="shared" si="95"/>
        <v/>
      </c>
      <c r="OV7" s="17" t="str">
        <f t="shared" si="96"/>
        <v/>
      </c>
      <c r="OW7" s="69"/>
      <c r="OX7" s="69"/>
      <c r="OY7" s="69"/>
      <c r="OZ7" s="69"/>
      <c r="PA7" s="69"/>
      <c r="PB7" s="69"/>
      <c r="PC7" s="69"/>
      <c r="PD7" s="69"/>
      <c r="PE7" s="69"/>
      <c r="PF7" s="69"/>
      <c r="PG7" s="69"/>
      <c r="PH7" s="69"/>
      <c r="PI7" s="69"/>
      <c r="PJ7" s="69"/>
      <c r="PK7" s="69"/>
      <c r="PL7" s="69"/>
      <c r="PM7" s="69"/>
      <c r="PN7" s="69"/>
      <c r="PO7" s="69"/>
      <c r="PP7" s="69"/>
      <c r="PQ7" s="69"/>
      <c r="PR7" s="69"/>
      <c r="PS7" s="69"/>
      <c r="PT7" s="69"/>
      <c r="PU7" s="13" t="str">
        <f t="shared" si="97"/>
        <v/>
      </c>
      <c r="PV7" s="13" t="str">
        <f t="shared" si="98"/>
        <v/>
      </c>
      <c r="PW7" s="13" t="str">
        <f t="shared" si="99"/>
        <v/>
      </c>
      <c r="PX7" s="13" t="str">
        <f t="shared" si="100"/>
        <v/>
      </c>
      <c r="PY7" s="13" t="str">
        <f t="shared" si="101"/>
        <v/>
      </c>
      <c r="PZ7" s="13" t="str">
        <f t="shared" si="102"/>
        <v/>
      </c>
      <c r="QA7" s="68"/>
      <c r="QB7" s="68"/>
      <c r="QC7" s="68"/>
      <c r="QD7" s="68"/>
      <c r="QE7" s="68"/>
      <c r="QF7" s="68"/>
      <c r="QG7" s="68"/>
      <c r="QH7" s="68"/>
      <c r="QI7" s="68"/>
      <c r="QJ7" s="68"/>
      <c r="QK7" s="68"/>
      <c r="QL7" s="68"/>
      <c r="QM7" s="68"/>
      <c r="QN7" s="68"/>
      <c r="QO7" s="68"/>
      <c r="QP7" s="68"/>
      <c r="QQ7" s="68"/>
      <c r="QR7" s="68"/>
      <c r="QS7" s="68"/>
      <c r="QT7" s="68"/>
      <c r="QU7" s="68"/>
      <c r="QV7" s="68"/>
      <c r="QW7" s="68"/>
      <c r="QX7" s="68"/>
      <c r="QY7" s="17" t="str">
        <f t="shared" si="103"/>
        <v/>
      </c>
      <c r="QZ7" s="17" t="str">
        <f t="shared" si="104"/>
        <v/>
      </c>
      <c r="RA7" s="17" t="str">
        <f t="shared" si="105"/>
        <v/>
      </c>
      <c r="RB7" s="17" t="str">
        <f t="shared" si="106"/>
        <v/>
      </c>
      <c r="RC7" s="17" t="str">
        <f t="shared" si="107"/>
        <v/>
      </c>
      <c r="RD7" s="17" t="str">
        <f t="shared" si="108"/>
        <v/>
      </c>
    </row>
    <row r="8" spans="1:472" x14ac:dyDescent="0.2">
      <c r="A8" s="6" t="str">
        <f t="shared" ca="1" si="0"/>
        <v/>
      </c>
      <c r="B8" s="9" t="s">
        <v>19</v>
      </c>
      <c r="C8" s="5" t="s">
        <v>8</v>
      </c>
      <c r="D8" s="6">
        <v>2011</v>
      </c>
      <c r="E8" s="18">
        <f t="shared" si="1"/>
        <v>325.90000000000003</v>
      </c>
      <c r="F8" s="4" t="str">
        <f t="shared" si="2"/>
        <v/>
      </c>
      <c r="G8" s="4" t="str">
        <f t="shared" ca="1" si="3"/>
        <v/>
      </c>
      <c r="H8" t="str">
        <f t="shared" ca="1" si="4"/>
        <v/>
      </c>
      <c r="I8" s="17">
        <f t="shared" si="5"/>
        <v>129</v>
      </c>
      <c r="J8" s="17" t="str">
        <f t="shared" si="6"/>
        <v>2017 Nationals</v>
      </c>
      <c r="K8" s="17">
        <f t="shared" si="7"/>
        <v>70.099999999999994</v>
      </c>
      <c r="L8" s="17" t="str">
        <f t="shared" si="8"/>
        <v>2017 3rd Domestic Trial</v>
      </c>
      <c r="M8" s="17">
        <f t="shared" si="9"/>
        <v>56.800000000000004</v>
      </c>
      <c r="N8" s="17" t="str">
        <f t="shared" si="10"/>
        <v>2017 3rd Domestic Trial</v>
      </c>
      <c r="O8" s="17">
        <f t="shared" si="11"/>
        <v>69.7</v>
      </c>
      <c r="P8" s="17" t="str">
        <f t="shared" si="12"/>
        <v>2017 3rd Domestic Trial</v>
      </c>
      <c r="Q8" s="17">
        <f t="shared" si="13"/>
        <v>0.29999999999999716</v>
      </c>
      <c r="R8" s="44" t="str">
        <f t="shared" si="14"/>
        <v>(Final)</v>
      </c>
      <c r="S8" s="17" t="str">
        <f t="shared" si="15"/>
        <v>Ciudad de Valladolid (Oct)</v>
      </c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13" t="str">
        <f t="shared" si="16"/>
        <v/>
      </c>
      <c r="AS8" s="13" t="str">
        <f t="shared" si="17"/>
        <v/>
      </c>
      <c r="AT8" s="13" t="str">
        <f t="shared" si="18"/>
        <v/>
      </c>
      <c r="AU8" s="13" t="str">
        <f t="shared" si="19"/>
        <v/>
      </c>
      <c r="AV8" s="13" t="str">
        <f t="shared" si="20"/>
        <v/>
      </c>
      <c r="AW8" s="13" t="str">
        <f t="shared" si="21"/>
        <v/>
      </c>
      <c r="AX8" s="62">
        <v>28.3</v>
      </c>
      <c r="AY8" s="62">
        <v>7.6</v>
      </c>
      <c r="AZ8" s="62">
        <v>0.9</v>
      </c>
      <c r="BA8" s="62">
        <v>0</v>
      </c>
      <c r="BB8" s="62">
        <v>27.7</v>
      </c>
      <c r="BC8" s="62">
        <v>8.1</v>
      </c>
      <c r="BD8" s="62">
        <v>0.9</v>
      </c>
      <c r="BE8" s="62">
        <v>0</v>
      </c>
      <c r="BF8" s="62">
        <v>28.7</v>
      </c>
      <c r="BG8" s="62">
        <v>7.6</v>
      </c>
      <c r="BH8" s="62">
        <v>0.9</v>
      </c>
      <c r="BI8" s="62">
        <v>0</v>
      </c>
      <c r="BJ8" s="62">
        <v>20.100000000000001</v>
      </c>
      <c r="BK8" s="62">
        <v>3.6</v>
      </c>
      <c r="BL8" s="62">
        <v>0</v>
      </c>
      <c r="BM8" s="62">
        <v>0</v>
      </c>
      <c r="BN8" s="62"/>
      <c r="BO8" s="62"/>
      <c r="BP8" s="62"/>
      <c r="BQ8" s="62"/>
      <c r="BR8" s="62"/>
      <c r="BS8" s="62"/>
      <c r="BT8" s="62"/>
      <c r="BU8" s="62"/>
      <c r="BV8" s="17">
        <f t="shared" si="22"/>
        <v>26.9</v>
      </c>
      <c r="BW8" s="17">
        <f t="shared" si="23"/>
        <v>129</v>
      </c>
      <c r="BX8" s="17">
        <f t="shared" si="24"/>
        <v>69.899999999999991</v>
      </c>
      <c r="BY8" s="17">
        <f t="shared" si="25"/>
        <v>59.1</v>
      </c>
      <c r="BZ8" s="17" t="str">
        <f t="shared" si="26"/>
        <v/>
      </c>
      <c r="CA8" s="17">
        <f t="shared" si="27"/>
        <v>129</v>
      </c>
      <c r="CB8" s="60">
        <v>28.3</v>
      </c>
      <c r="CC8" s="60">
        <v>6.8</v>
      </c>
      <c r="CD8" s="60">
        <v>0.9</v>
      </c>
      <c r="CE8" s="60">
        <v>0</v>
      </c>
      <c r="CF8" s="60">
        <v>28.1</v>
      </c>
      <c r="CG8" s="60">
        <v>8.1</v>
      </c>
      <c r="CH8" s="60">
        <v>0.3</v>
      </c>
      <c r="CI8" s="60">
        <v>0</v>
      </c>
      <c r="CJ8" s="60">
        <v>27.3</v>
      </c>
      <c r="CK8" s="60">
        <v>6.8</v>
      </c>
      <c r="CL8" s="60">
        <v>0.9</v>
      </c>
      <c r="CM8" s="60">
        <v>0</v>
      </c>
      <c r="CN8" s="60">
        <v>20</v>
      </c>
      <c r="CO8" s="60">
        <v>3.6</v>
      </c>
      <c r="CP8" s="60">
        <v>0</v>
      </c>
      <c r="CQ8" s="60">
        <v>0</v>
      </c>
      <c r="CR8" s="60">
        <v>28.6</v>
      </c>
      <c r="CS8" s="60">
        <v>6.8</v>
      </c>
      <c r="CT8" s="60">
        <v>0.9</v>
      </c>
      <c r="CU8" s="60">
        <v>0</v>
      </c>
      <c r="CV8" s="60">
        <v>28.8</v>
      </c>
      <c r="CW8" s="60">
        <v>6.4</v>
      </c>
      <c r="CX8" s="60">
        <v>0</v>
      </c>
      <c r="CY8" s="60">
        <v>0</v>
      </c>
      <c r="CZ8" s="13">
        <f t="shared" si="28"/>
        <v>25.3</v>
      </c>
      <c r="DA8" s="13">
        <f t="shared" si="29"/>
        <v>126.9</v>
      </c>
      <c r="DB8" s="13">
        <f t="shared" si="30"/>
        <v>70.099999999999994</v>
      </c>
      <c r="DC8" s="13">
        <f t="shared" si="31"/>
        <v>56.800000000000004</v>
      </c>
      <c r="DD8" s="13">
        <f t="shared" si="32"/>
        <v>69.7</v>
      </c>
      <c r="DE8" s="13">
        <f t="shared" si="33"/>
        <v>196.60000000000002</v>
      </c>
      <c r="DF8" s="43" t="str">
        <f t="shared" si="34"/>
        <v/>
      </c>
      <c r="DG8" s="43" t="str">
        <f t="shared" si="35"/>
        <v/>
      </c>
      <c r="DH8" s="43">
        <f t="shared" si="36"/>
        <v>0.29999999999999716</v>
      </c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13" t="str">
        <f t="shared" si="37"/>
        <v/>
      </c>
      <c r="EH8" s="13" t="str">
        <f t="shared" si="38"/>
        <v/>
      </c>
      <c r="EI8" s="13" t="str">
        <f t="shared" si="39"/>
        <v/>
      </c>
      <c r="EJ8" s="13" t="str">
        <f t="shared" si="40"/>
        <v/>
      </c>
      <c r="EK8" s="13" t="str">
        <f t="shared" si="41"/>
        <v/>
      </c>
      <c r="EL8" s="13" t="str">
        <f t="shared" si="42"/>
        <v/>
      </c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/>
      <c r="FF8" s="68"/>
      <c r="FG8" s="68"/>
      <c r="FH8" s="68"/>
      <c r="FI8" s="68"/>
      <c r="FJ8" s="68"/>
      <c r="FK8" s="17" t="str">
        <f t="shared" si="43"/>
        <v/>
      </c>
      <c r="FL8" s="17" t="str">
        <f t="shared" si="44"/>
        <v/>
      </c>
      <c r="FM8" s="17" t="str">
        <f t="shared" si="45"/>
        <v/>
      </c>
      <c r="FN8" s="17" t="str">
        <f t="shared" si="46"/>
        <v/>
      </c>
      <c r="FO8" s="17" t="str">
        <f t="shared" si="47"/>
        <v/>
      </c>
      <c r="FP8" s="17" t="str">
        <f t="shared" si="48"/>
        <v/>
      </c>
      <c r="FQ8" s="69">
        <v>28.1</v>
      </c>
      <c r="FR8" s="69">
        <v>6.8</v>
      </c>
      <c r="FS8" s="69">
        <v>0.9</v>
      </c>
      <c r="FT8" s="69">
        <v>0</v>
      </c>
      <c r="FU8" s="69">
        <v>27.4</v>
      </c>
      <c r="FV8" s="69">
        <v>8.1</v>
      </c>
      <c r="FW8" s="69">
        <v>0</v>
      </c>
      <c r="FX8" s="69">
        <v>0</v>
      </c>
      <c r="FY8" s="69"/>
      <c r="FZ8" s="69"/>
      <c r="GA8" s="69"/>
      <c r="GB8" s="69"/>
      <c r="GC8" s="69"/>
      <c r="GD8" s="69"/>
      <c r="GE8" s="69"/>
      <c r="GF8" s="69"/>
      <c r="GG8" s="69">
        <v>27.9</v>
      </c>
      <c r="GH8" s="69">
        <v>6.8</v>
      </c>
      <c r="GI8" s="69">
        <v>0.3</v>
      </c>
      <c r="GJ8" s="69">
        <v>0</v>
      </c>
      <c r="GK8" s="69">
        <v>27.8</v>
      </c>
      <c r="GL8" s="69">
        <v>8.1</v>
      </c>
      <c r="GM8" s="69">
        <v>0.3</v>
      </c>
      <c r="GN8" s="69">
        <v>0</v>
      </c>
      <c r="GO8" s="13">
        <f t="shared" si="49"/>
        <v>14.899999999999999</v>
      </c>
      <c r="GP8" s="13">
        <f t="shared" si="50"/>
        <v>69.499999999999986</v>
      </c>
      <c r="GQ8" s="13">
        <f t="shared" si="51"/>
        <v>69.499999999999986</v>
      </c>
      <c r="GR8" s="13" t="str">
        <f t="shared" si="52"/>
        <v/>
      </c>
      <c r="GS8" s="13">
        <f t="shared" si="53"/>
        <v>70</v>
      </c>
      <c r="GT8" s="13">
        <f t="shared" si="54"/>
        <v>139.5</v>
      </c>
      <c r="GU8" s="68"/>
      <c r="GV8" s="68"/>
      <c r="GW8" s="68"/>
      <c r="GX8" s="68"/>
      <c r="GY8" s="68"/>
      <c r="GZ8" s="68"/>
      <c r="HA8" s="68"/>
      <c r="HB8" s="68"/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17" t="str">
        <f t="shared" si="55"/>
        <v/>
      </c>
      <c r="HT8" s="17" t="str">
        <f t="shared" si="56"/>
        <v/>
      </c>
      <c r="HU8" s="17" t="str">
        <f t="shared" si="57"/>
        <v/>
      </c>
      <c r="HV8" s="17" t="str">
        <f t="shared" si="58"/>
        <v/>
      </c>
      <c r="HW8" s="17" t="str">
        <f t="shared" si="59"/>
        <v/>
      </c>
      <c r="HX8" s="17" t="str">
        <f t="shared" si="60"/>
        <v/>
      </c>
      <c r="HY8" s="69"/>
      <c r="HZ8" s="69"/>
      <c r="IA8" s="69"/>
      <c r="IB8" s="69"/>
      <c r="IC8" s="69"/>
      <c r="ID8" s="69"/>
      <c r="IE8" s="69"/>
      <c r="IF8" s="69"/>
      <c r="IG8" s="69"/>
      <c r="IH8" s="69"/>
      <c r="II8" s="69"/>
      <c r="IJ8" s="69"/>
      <c r="IK8" s="69"/>
      <c r="IL8" s="69"/>
      <c r="IM8" s="69"/>
      <c r="IN8" s="69"/>
      <c r="IO8" s="69"/>
      <c r="IP8" s="69"/>
      <c r="IQ8" s="69"/>
      <c r="IR8" s="69"/>
      <c r="IS8" s="69"/>
      <c r="IT8" s="69"/>
      <c r="IU8" s="69"/>
      <c r="IV8" s="69"/>
      <c r="IW8" s="13" t="str">
        <f t="shared" si="61"/>
        <v/>
      </c>
      <c r="IX8" s="13" t="str">
        <f t="shared" si="62"/>
        <v/>
      </c>
      <c r="IY8" s="13" t="str">
        <f t="shared" si="63"/>
        <v/>
      </c>
      <c r="IZ8" s="13" t="str">
        <f t="shared" si="64"/>
        <v/>
      </c>
      <c r="JA8" s="13" t="str">
        <f t="shared" si="65"/>
        <v/>
      </c>
      <c r="JB8" s="13" t="str">
        <f t="shared" si="66"/>
        <v/>
      </c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68"/>
      <c r="JW8" s="68"/>
      <c r="JX8" s="68"/>
      <c r="JY8" s="68"/>
      <c r="JZ8" s="68"/>
      <c r="KA8" s="17" t="str">
        <f t="shared" si="67"/>
        <v/>
      </c>
      <c r="KB8" s="17" t="str">
        <f t="shared" si="68"/>
        <v/>
      </c>
      <c r="KC8" s="17" t="str">
        <f t="shared" si="69"/>
        <v/>
      </c>
      <c r="KD8" s="17" t="str">
        <f t="shared" si="70"/>
        <v/>
      </c>
      <c r="KE8" s="17" t="str">
        <f t="shared" si="71"/>
        <v/>
      </c>
      <c r="KF8" s="17" t="str">
        <f t="shared" si="72"/>
        <v/>
      </c>
      <c r="KG8" s="69"/>
      <c r="KH8" s="69"/>
      <c r="KI8" s="69"/>
      <c r="KJ8" s="69"/>
      <c r="KK8" s="69"/>
      <c r="KL8" s="69"/>
      <c r="KM8" s="69"/>
      <c r="KN8" s="69"/>
      <c r="KO8" s="69"/>
      <c r="KP8" s="69"/>
      <c r="KQ8" s="69"/>
      <c r="KR8" s="69"/>
      <c r="KS8" s="69"/>
      <c r="KT8" s="69"/>
      <c r="KU8" s="69"/>
      <c r="KV8" s="69"/>
      <c r="KW8" s="69"/>
      <c r="KX8" s="69"/>
      <c r="KY8" s="69"/>
      <c r="KZ8" s="69"/>
      <c r="LA8" s="69"/>
      <c r="LB8" s="69"/>
      <c r="LC8" s="69"/>
      <c r="LD8" s="69"/>
      <c r="LE8" s="13" t="str">
        <f t="shared" si="73"/>
        <v/>
      </c>
      <c r="LF8" s="13" t="str">
        <f t="shared" si="74"/>
        <v/>
      </c>
      <c r="LG8" s="13" t="str">
        <f t="shared" si="75"/>
        <v/>
      </c>
      <c r="LH8" s="13" t="str">
        <f t="shared" si="76"/>
        <v/>
      </c>
      <c r="LI8" s="13" t="str">
        <f t="shared" si="77"/>
        <v/>
      </c>
      <c r="LJ8" s="13" t="str">
        <f t="shared" si="78"/>
        <v/>
      </c>
      <c r="LK8" s="68"/>
      <c r="LL8" s="68"/>
      <c r="LM8" s="68"/>
      <c r="LN8" s="68"/>
      <c r="LO8" s="68"/>
      <c r="LP8" s="68"/>
      <c r="LQ8" s="68"/>
      <c r="LR8" s="68"/>
      <c r="LS8" s="68"/>
      <c r="LT8" s="68"/>
      <c r="LU8" s="68"/>
      <c r="LV8" s="68"/>
      <c r="LW8" s="68"/>
      <c r="LX8" s="68"/>
      <c r="LY8" s="68"/>
      <c r="LZ8" s="68"/>
      <c r="MA8" s="68"/>
      <c r="MB8" s="68"/>
      <c r="MC8" s="68"/>
      <c r="MD8" s="68"/>
      <c r="ME8" s="68"/>
      <c r="MF8" s="68"/>
      <c r="MG8" s="68"/>
      <c r="MH8" s="68"/>
      <c r="MI8" s="17" t="str">
        <f t="shared" si="79"/>
        <v/>
      </c>
      <c r="MJ8" s="17" t="str">
        <f t="shared" si="80"/>
        <v/>
      </c>
      <c r="MK8" s="17" t="str">
        <f t="shared" si="81"/>
        <v/>
      </c>
      <c r="ML8" s="17" t="str">
        <f t="shared" si="82"/>
        <v/>
      </c>
      <c r="MM8" s="17" t="str">
        <f t="shared" si="83"/>
        <v/>
      </c>
      <c r="MN8" s="17" t="str">
        <f t="shared" si="84"/>
        <v/>
      </c>
      <c r="MO8" s="69"/>
      <c r="MP8" s="69"/>
      <c r="MQ8" s="69"/>
      <c r="MR8" s="69"/>
      <c r="MS8" s="69"/>
      <c r="MT8" s="69"/>
      <c r="MU8" s="69"/>
      <c r="MV8" s="69"/>
      <c r="MW8" s="69"/>
      <c r="MX8" s="69"/>
      <c r="MY8" s="69"/>
      <c r="MZ8" s="69"/>
      <c r="NA8" s="69"/>
      <c r="NB8" s="69"/>
      <c r="NC8" s="69"/>
      <c r="ND8" s="69"/>
      <c r="NE8" s="69"/>
      <c r="NF8" s="69"/>
      <c r="NG8" s="69"/>
      <c r="NH8" s="69"/>
      <c r="NI8" s="69"/>
      <c r="NJ8" s="69"/>
      <c r="NK8" s="69"/>
      <c r="NL8" s="69"/>
      <c r="NM8" s="13" t="str">
        <f t="shared" si="85"/>
        <v/>
      </c>
      <c r="NN8" s="13" t="str">
        <f t="shared" si="86"/>
        <v/>
      </c>
      <c r="NO8" s="13" t="str">
        <f t="shared" si="87"/>
        <v/>
      </c>
      <c r="NP8" s="13" t="str">
        <f t="shared" si="88"/>
        <v/>
      </c>
      <c r="NQ8" s="13" t="str">
        <f t="shared" si="89"/>
        <v/>
      </c>
      <c r="NR8" s="13" t="str">
        <f t="shared" si="90"/>
        <v/>
      </c>
      <c r="NS8" s="68"/>
      <c r="NT8" s="68"/>
      <c r="NU8" s="68"/>
      <c r="NV8" s="68"/>
      <c r="NW8" s="68"/>
      <c r="NX8" s="68"/>
      <c r="NY8" s="68"/>
      <c r="NZ8" s="68"/>
      <c r="OA8" s="68"/>
      <c r="OB8" s="68"/>
      <c r="OC8" s="68"/>
      <c r="OD8" s="68"/>
      <c r="OE8" s="68"/>
      <c r="OF8" s="68"/>
      <c r="OG8" s="68"/>
      <c r="OH8" s="68"/>
      <c r="OI8" s="68"/>
      <c r="OJ8" s="68"/>
      <c r="OK8" s="68"/>
      <c r="OL8" s="68"/>
      <c r="OM8" s="68"/>
      <c r="ON8" s="68"/>
      <c r="OO8" s="68"/>
      <c r="OP8" s="68"/>
      <c r="OQ8" s="17" t="str">
        <f t="shared" si="91"/>
        <v/>
      </c>
      <c r="OR8" s="17" t="str">
        <f t="shared" si="92"/>
        <v/>
      </c>
      <c r="OS8" s="17" t="str">
        <f t="shared" si="93"/>
        <v/>
      </c>
      <c r="OT8" s="17" t="str">
        <f t="shared" si="94"/>
        <v/>
      </c>
      <c r="OU8" s="17" t="str">
        <f t="shared" si="95"/>
        <v/>
      </c>
      <c r="OV8" s="17" t="str">
        <f t="shared" si="96"/>
        <v/>
      </c>
      <c r="OW8" s="69"/>
      <c r="OX8" s="69"/>
      <c r="OY8" s="69"/>
      <c r="OZ8" s="69"/>
      <c r="PA8" s="69"/>
      <c r="PB8" s="69"/>
      <c r="PC8" s="69"/>
      <c r="PD8" s="69"/>
      <c r="PE8" s="69"/>
      <c r="PF8" s="69"/>
      <c r="PG8" s="69"/>
      <c r="PH8" s="69"/>
      <c r="PI8" s="69"/>
      <c r="PJ8" s="69"/>
      <c r="PK8" s="69"/>
      <c r="PL8" s="69"/>
      <c r="PM8" s="69"/>
      <c r="PN8" s="69"/>
      <c r="PO8" s="69"/>
      <c r="PP8" s="69"/>
      <c r="PQ8" s="69"/>
      <c r="PR8" s="69"/>
      <c r="PS8" s="69"/>
      <c r="PT8" s="69"/>
      <c r="PU8" s="13" t="str">
        <f t="shared" si="97"/>
        <v/>
      </c>
      <c r="PV8" s="13" t="str">
        <f t="shared" si="98"/>
        <v/>
      </c>
      <c r="PW8" s="13" t="str">
        <f t="shared" si="99"/>
        <v/>
      </c>
      <c r="PX8" s="13" t="str">
        <f t="shared" si="100"/>
        <v/>
      </c>
      <c r="PY8" s="13" t="str">
        <f t="shared" si="101"/>
        <v/>
      </c>
      <c r="PZ8" s="13" t="str">
        <f t="shared" si="102"/>
        <v/>
      </c>
      <c r="QA8" s="68"/>
      <c r="QB8" s="68"/>
      <c r="QC8" s="68"/>
      <c r="QD8" s="68"/>
      <c r="QE8" s="68"/>
      <c r="QF8" s="68"/>
      <c r="QG8" s="68"/>
      <c r="QH8" s="68"/>
      <c r="QI8" s="68"/>
      <c r="QJ8" s="68"/>
      <c r="QK8" s="68"/>
      <c r="QL8" s="68"/>
      <c r="QM8" s="68"/>
      <c r="QN8" s="68"/>
      <c r="QO8" s="68"/>
      <c r="QP8" s="68"/>
      <c r="QQ8" s="68"/>
      <c r="QR8" s="68"/>
      <c r="QS8" s="68"/>
      <c r="QT8" s="68"/>
      <c r="QU8" s="68"/>
      <c r="QV8" s="68"/>
      <c r="QW8" s="68"/>
      <c r="QX8" s="68"/>
      <c r="QY8" s="17" t="str">
        <f t="shared" si="103"/>
        <v/>
      </c>
      <c r="QZ8" s="17" t="str">
        <f t="shared" si="104"/>
        <v/>
      </c>
      <c r="RA8" s="17" t="str">
        <f t="shared" si="105"/>
        <v/>
      </c>
      <c r="RB8" s="17" t="str">
        <f t="shared" si="106"/>
        <v/>
      </c>
      <c r="RC8" s="17" t="str">
        <f t="shared" si="107"/>
        <v/>
      </c>
      <c r="RD8" s="17" t="str">
        <f t="shared" si="108"/>
        <v/>
      </c>
    </row>
    <row r="9" spans="1:472" x14ac:dyDescent="0.2">
      <c r="A9" s="6" t="str">
        <f t="shared" ca="1" si="0"/>
        <v/>
      </c>
      <c r="B9" s="9" t="s">
        <v>79</v>
      </c>
      <c r="C9" s="5" t="s">
        <v>6</v>
      </c>
      <c r="D9" s="6">
        <v>2016</v>
      </c>
      <c r="E9" s="18">
        <f t="shared" si="1"/>
        <v>314</v>
      </c>
      <c r="F9" s="4" t="str">
        <f t="shared" si="2"/>
        <v/>
      </c>
      <c r="G9" s="4" t="str">
        <f t="shared" ca="1" si="3"/>
        <v/>
      </c>
      <c r="H9" t="str">
        <f t="shared" ca="1" si="4"/>
        <v/>
      </c>
      <c r="I9" s="17">
        <f t="shared" si="5"/>
        <v>134.29999999999998</v>
      </c>
      <c r="J9" s="17" t="str">
        <f t="shared" si="6"/>
        <v>2017 Canada Cup</v>
      </c>
      <c r="K9" s="17">
        <f t="shared" si="7"/>
        <v>56.800000000000004</v>
      </c>
      <c r="L9" s="17" t="str">
        <f t="shared" si="8"/>
        <v>2017 Nationals</v>
      </c>
      <c r="M9" s="17">
        <f t="shared" si="9"/>
        <v>65.5</v>
      </c>
      <c r="N9" s="17" t="str">
        <f t="shared" si="10"/>
        <v>2017 Nationals</v>
      </c>
      <c r="O9" s="17">
        <f t="shared" si="11"/>
        <v>57.4</v>
      </c>
      <c r="P9" s="17" t="str">
        <f t="shared" si="12"/>
        <v>2017 Canada Cup</v>
      </c>
      <c r="Q9" s="17" t="str">
        <f t="shared" si="13"/>
        <v/>
      </c>
      <c r="R9" s="44" t="str">
        <f t="shared" si="14"/>
        <v/>
      </c>
      <c r="S9" s="17" t="str">
        <f t="shared" si="15"/>
        <v/>
      </c>
      <c r="T9" s="60">
        <v>28.5</v>
      </c>
      <c r="U9" s="60">
        <v>6</v>
      </c>
      <c r="V9" s="60">
        <v>0</v>
      </c>
      <c r="W9" s="60">
        <v>0</v>
      </c>
      <c r="X9" s="60">
        <v>28.3</v>
      </c>
      <c r="Y9" s="60">
        <v>5.6</v>
      </c>
      <c r="Z9" s="60">
        <v>0.9</v>
      </c>
      <c r="AA9" s="60">
        <v>0</v>
      </c>
      <c r="AB9" s="60">
        <v>28.2</v>
      </c>
      <c r="AC9" s="60">
        <v>5.6</v>
      </c>
      <c r="AD9" s="60">
        <v>0.9</v>
      </c>
      <c r="AE9" s="60">
        <v>0</v>
      </c>
      <c r="AF9" s="60">
        <v>28.3</v>
      </c>
      <c r="AG9" s="60">
        <v>5.6</v>
      </c>
      <c r="AH9" s="60">
        <v>0</v>
      </c>
      <c r="AI9" s="60">
        <v>0</v>
      </c>
      <c r="AJ9" s="60">
        <v>20.399999999999999</v>
      </c>
      <c r="AK9" s="60">
        <v>2.8</v>
      </c>
      <c r="AL9" s="60"/>
      <c r="AM9" s="60">
        <v>0</v>
      </c>
      <c r="AN9" s="60">
        <v>28.1</v>
      </c>
      <c r="AO9" s="60">
        <v>6.4</v>
      </c>
      <c r="AP9" s="60">
        <v>0.3</v>
      </c>
      <c r="AQ9" s="60">
        <v>0</v>
      </c>
      <c r="AR9" s="13">
        <f t="shared" si="16"/>
        <v>22.799999999999997</v>
      </c>
      <c r="AS9" s="13">
        <f t="shared" si="17"/>
        <v>134.29999999999998</v>
      </c>
      <c r="AT9" s="13">
        <f t="shared" si="18"/>
        <v>67.499999999999986</v>
      </c>
      <c r="AU9" s="13">
        <f t="shared" si="19"/>
        <v>66.799999999999983</v>
      </c>
      <c r="AV9" s="13">
        <f t="shared" si="20"/>
        <v>57.4</v>
      </c>
      <c r="AW9" s="13">
        <f t="shared" si="21"/>
        <v>191.7</v>
      </c>
      <c r="AX9" s="62">
        <v>20.5</v>
      </c>
      <c r="AY9" s="62">
        <v>2.4</v>
      </c>
      <c r="AZ9" s="62">
        <v>0</v>
      </c>
      <c r="BA9" s="62">
        <v>0</v>
      </c>
      <c r="BB9" s="62">
        <v>28.3</v>
      </c>
      <c r="BC9" s="62">
        <v>5.6</v>
      </c>
      <c r="BD9" s="62">
        <v>0</v>
      </c>
      <c r="BE9" s="62">
        <v>0</v>
      </c>
      <c r="BF9" s="62">
        <v>28.4</v>
      </c>
      <c r="BG9" s="62">
        <v>5.6</v>
      </c>
      <c r="BH9" s="62">
        <v>0.9</v>
      </c>
      <c r="BI9" s="62">
        <v>0</v>
      </c>
      <c r="BJ9" s="62">
        <v>27.7</v>
      </c>
      <c r="BK9" s="62">
        <v>5.6</v>
      </c>
      <c r="BL9" s="62">
        <v>0.9</v>
      </c>
      <c r="BM9" s="62">
        <v>0</v>
      </c>
      <c r="BN9" s="62">
        <v>27.9</v>
      </c>
      <c r="BO9" s="62">
        <v>5.6</v>
      </c>
      <c r="BP9" s="62">
        <v>0.9</v>
      </c>
      <c r="BQ9" s="62">
        <v>0</v>
      </c>
      <c r="BR9" s="62">
        <v>20.5</v>
      </c>
      <c r="BS9" s="62">
        <v>2.8</v>
      </c>
      <c r="BT9" s="62">
        <v>0</v>
      </c>
      <c r="BU9" s="62">
        <v>0</v>
      </c>
      <c r="BV9" s="17">
        <f t="shared" si="22"/>
        <v>19.2</v>
      </c>
      <c r="BW9" s="17">
        <f t="shared" si="23"/>
        <v>122.3</v>
      </c>
      <c r="BX9" s="17">
        <f t="shared" si="24"/>
        <v>56.800000000000004</v>
      </c>
      <c r="BY9" s="17">
        <f t="shared" si="25"/>
        <v>65.5</v>
      </c>
      <c r="BZ9" s="17">
        <f t="shared" si="26"/>
        <v>55.9</v>
      </c>
      <c r="CA9" s="17">
        <f t="shared" si="27"/>
        <v>178.2</v>
      </c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13" t="str">
        <f t="shared" si="28"/>
        <v/>
      </c>
      <c r="DA9" s="13" t="str">
        <f t="shared" si="29"/>
        <v/>
      </c>
      <c r="DB9" s="13" t="str">
        <f t="shared" si="30"/>
        <v/>
      </c>
      <c r="DC9" s="13" t="str">
        <f t="shared" si="31"/>
        <v/>
      </c>
      <c r="DD9" s="13" t="str">
        <f t="shared" si="32"/>
        <v/>
      </c>
      <c r="DE9" s="13" t="str">
        <f t="shared" si="33"/>
        <v/>
      </c>
      <c r="DF9" s="43" t="str">
        <f t="shared" si="34"/>
        <v/>
      </c>
      <c r="DG9" s="43" t="str">
        <f t="shared" si="35"/>
        <v/>
      </c>
      <c r="DH9" s="43" t="str">
        <f t="shared" si="36"/>
        <v/>
      </c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13" t="str">
        <f t="shared" si="37"/>
        <v/>
      </c>
      <c r="EH9" s="13" t="str">
        <f t="shared" si="38"/>
        <v/>
      </c>
      <c r="EI9" s="13" t="str">
        <f t="shared" si="39"/>
        <v/>
      </c>
      <c r="EJ9" s="13" t="str">
        <f t="shared" si="40"/>
        <v/>
      </c>
      <c r="EK9" s="13" t="str">
        <f t="shared" si="41"/>
        <v/>
      </c>
      <c r="EL9" s="13" t="str">
        <f t="shared" si="42"/>
        <v/>
      </c>
      <c r="EM9" s="68"/>
      <c r="EN9" s="68"/>
      <c r="EO9" s="68"/>
      <c r="EP9" s="68"/>
      <c r="EQ9" s="68"/>
      <c r="ER9" s="68"/>
      <c r="ES9" s="68"/>
      <c r="ET9" s="68"/>
      <c r="EU9" s="68"/>
      <c r="EV9" s="68"/>
      <c r="EW9" s="68"/>
      <c r="EX9" s="68"/>
      <c r="EY9" s="68"/>
      <c r="EZ9" s="68"/>
      <c r="FA9" s="68"/>
      <c r="FB9" s="68"/>
      <c r="FC9" s="68"/>
      <c r="FD9" s="68"/>
      <c r="FE9" s="68"/>
      <c r="FF9" s="68"/>
      <c r="FG9" s="68"/>
      <c r="FH9" s="68"/>
      <c r="FI9" s="68"/>
      <c r="FJ9" s="68"/>
      <c r="FK9" s="17" t="str">
        <f t="shared" si="43"/>
        <v/>
      </c>
      <c r="FL9" s="17" t="str">
        <f t="shared" si="44"/>
        <v/>
      </c>
      <c r="FM9" s="17" t="str">
        <f t="shared" si="45"/>
        <v/>
      </c>
      <c r="FN9" s="17" t="str">
        <f t="shared" si="46"/>
        <v/>
      </c>
      <c r="FO9" s="17" t="str">
        <f t="shared" si="47"/>
        <v/>
      </c>
      <c r="FP9" s="17" t="str">
        <f t="shared" si="48"/>
        <v/>
      </c>
      <c r="FQ9" s="69"/>
      <c r="FR9" s="69"/>
      <c r="FS9" s="69"/>
      <c r="FT9" s="69"/>
      <c r="FU9" s="69"/>
      <c r="FV9" s="69"/>
      <c r="FW9" s="69"/>
      <c r="FX9" s="69"/>
      <c r="FY9" s="69"/>
      <c r="FZ9" s="69"/>
      <c r="GA9" s="69"/>
      <c r="GB9" s="69"/>
      <c r="GC9" s="69"/>
      <c r="GD9" s="69"/>
      <c r="GE9" s="69"/>
      <c r="GF9" s="69"/>
      <c r="GG9" s="69"/>
      <c r="GH9" s="69"/>
      <c r="GI9" s="69"/>
      <c r="GJ9" s="69"/>
      <c r="GK9" s="69"/>
      <c r="GL9" s="69"/>
      <c r="GM9" s="69"/>
      <c r="GN9" s="69"/>
      <c r="GO9" s="13" t="str">
        <f t="shared" si="49"/>
        <v/>
      </c>
      <c r="GP9" s="13" t="str">
        <f t="shared" si="50"/>
        <v/>
      </c>
      <c r="GQ9" s="13" t="str">
        <f t="shared" si="51"/>
        <v/>
      </c>
      <c r="GR9" s="13" t="str">
        <f t="shared" si="52"/>
        <v/>
      </c>
      <c r="GS9" s="13" t="str">
        <f t="shared" si="53"/>
        <v/>
      </c>
      <c r="GT9" s="13" t="str">
        <f t="shared" si="54"/>
        <v/>
      </c>
      <c r="GU9" s="68"/>
      <c r="GV9" s="68"/>
      <c r="GW9" s="68"/>
      <c r="GX9" s="68"/>
      <c r="GY9" s="68"/>
      <c r="GZ9" s="68"/>
      <c r="HA9" s="68"/>
      <c r="HB9" s="68"/>
      <c r="HC9" s="68"/>
      <c r="HD9" s="68"/>
      <c r="HE9" s="68"/>
      <c r="HF9" s="68"/>
      <c r="HG9" s="68"/>
      <c r="HH9" s="68"/>
      <c r="HI9" s="68"/>
      <c r="HJ9" s="68"/>
      <c r="HK9" s="68"/>
      <c r="HL9" s="68"/>
      <c r="HM9" s="68"/>
      <c r="HN9" s="68"/>
      <c r="HO9" s="68"/>
      <c r="HP9" s="68"/>
      <c r="HQ9" s="68"/>
      <c r="HR9" s="68"/>
      <c r="HS9" s="17" t="str">
        <f t="shared" si="55"/>
        <v/>
      </c>
      <c r="HT9" s="17" t="str">
        <f t="shared" si="56"/>
        <v/>
      </c>
      <c r="HU9" s="17" t="str">
        <f t="shared" si="57"/>
        <v/>
      </c>
      <c r="HV9" s="17" t="str">
        <f t="shared" si="58"/>
        <v/>
      </c>
      <c r="HW9" s="17" t="str">
        <f t="shared" si="59"/>
        <v/>
      </c>
      <c r="HX9" s="17" t="str">
        <f t="shared" si="60"/>
        <v/>
      </c>
      <c r="HY9" s="69"/>
      <c r="HZ9" s="69"/>
      <c r="IA9" s="69"/>
      <c r="IB9" s="69"/>
      <c r="IC9" s="69"/>
      <c r="ID9" s="69"/>
      <c r="IE9" s="69"/>
      <c r="IF9" s="69"/>
      <c r="IG9" s="69"/>
      <c r="IH9" s="69"/>
      <c r="II9" s="69"/>
      <c r="IJ9" s="69"/>
      <c r="IK9" s="69"/>
      <c r="IL9" s="69"/>
      <c r="IM9" s="69"/>
      <c r="IN9" s="69"/>
      <c r="IO9" s="69"/>
      <c r="IP9" s="69"/>
      <c r="IQ9" s="69"/>
      <c r="IR9" s="69"/>
      <c r="IS9" s="69"/>
      <c r="IT9" s="69"/>
      <c r="IU9" s="69"/>
      <c r="IV9" s="69"/>
      <c r="IW9" s="13" t="str">
        <f t="shared" si="61"/>
        <v/>
      </c>
      <c r="IX9" s="13" t="str">
        <f t="shared" si="62"/>
        <v/>
      </c>
      <c r="IY9" s="13" t="str">
        <f t="shared" si="63"/>
        <v/>
      </c>
      <c r="IZ9" s="13" t="str">
        <f t="shared" si="64"/>
        <v/>
      </c>
      <c r="JA9" s="13" t="str">
        <f t="shared" si="65"/>
        <v/>
      </c>
      <c r="JB9" s="13" t="str">
        <f t="shared" si="66"/>
        <v/>
      </c>
      <c r="JC9" s="68"/>
      <c r="JD9" s="68"/>
      <c r="JE9" s="68"/>
      <c r="JF9" s="68"/>
      <c r="JG9" s="68"/>
      <c r="JH9" s="68"/>
      <c r="JI9" s="68"/>
      <c r="JJ9" s="68"/>
      <c r="JK9" s="68"/>
      <c r="JL9" s="68"/>
      <c r="JM9" s="68"/>
      <c r="JN9" s="68"/>
      <c r="JO9" s="68"/>
      <c r="JP9" s="68"/>
      <c r="JQ9" s="68"/>
      <c r="JR9" s="68"/>
      <c r="JS9" s="68"/>
      <c r="JT9" s="68"/>
      <c r="JU9" s="68"/>
      <c r="JV9" s="68"/>
      <c r="JW9" s="68"/>
      <c r="JX9" s="68"/>
      <c r="JY9" s="68"/>
      <c r="JZ9" s="68"/>
      <c r="KA9" s="17" t="str">
        <f t="shared" si="67"/>
        <v/>
      </c>
      <c r="KB9" s="17" t="str">
        <f t="shared" si="68"/>
        <v/>
      </c>
      <c r="KC9" s="17" t="str">
        <f t="shared" si="69"/>
        <v/>
      </c>
      <c r="KD9" s="17" t="str">
        <f t="shared" si="70"/>
        <v/>
      </c>
      <c r="KE9" s="17" t="str">
        <f t="shared" si="71"/>
        <v/>
      </c>
      <c r="KF9" s="17" t="str">
        <f t="shared" si="72"/>
        <v/>
      </c>
      <c r="KG9" s="69"/>
      <c r="KH9" s="69"/>
      <c r="KI9" s="69"/>
      <c r="KJ9" s="69"/>
      <c r="KK9" s="69"/>
      <c r="KL9" s="69"/>
      <c r="KM9" s="69"/>
      <c r="KN9" s="69"/>
      <c r="KO9" s="69"/>
      <c r="KP9" s="69"/>
      <c r="KQ9" s="69"/>
      <c r="KR9" s="69"/>
      <c r="KS9" s="69"/>
      <c r="KT9" s="69"/>
      <c r="KU9" s="69"/>
      <c r="KV9" s="69"/>
      <c r="KW9" s="69"/>
      <c r="KX9" s="69"/>
      <c r="KY9" s="69"/>
      <c r="KZ9" s="69"/>
      <c r="LA9" s="69"/>
      <c r="LB9" s="69"/>
      <c r="LC9" s="69"/>
      <c r="LD9" s="69"/>
      <c r="LE9" s="13" t="str">
        <f t="shared" si="73"/>
        <v/>
      </c>
      <c r="LF9" s="13" t="str">
        <f t="shared" si="74"/>
        <v/>
      </c>
      <c r="LG9" s="13" t="str">
        <f t="shared" si="75"/>
        <v/>
      </c>
      <c r="LH9" s="13" t="str">
        <f t="shared" si="76"/>
        <v/>
      </c>
      <c r="LI9" s="13" t="str">
        <f t="shared" si="77"/>
        <v/>
      </c>
      <c r="LJ9" s="13" t="str">
        <f t="shared" si="78"/>
        <v/>
      </c>
      <c r="LK9" s="68"/>
      <c r="LL9" s="68"/>
      <c r="LM9" s="68"/>
      <c r="LN9" s="68"/>
      <c r="LO9" s="68"/>
      <c r="LP9" s="68"/>
      <c r="LQ9" s="68"/>
      <c r="LR9" s="68"/>
      <c r="LS9" s="68"/>
      <c r="LT9" s="68"/>
      <c r="LU9" s="68"/>
      <c r="LV9" s="68"/>
      <c r="LW9" s="68"/>
      <c r="LX9" s="68"/>
      <c r="LY9" s="68"/>
      <c r="LZ9" s="68"/>
      <c r="MA9" s="68"/>
      <c r="MB9" s="68"/>
      <c r="MC9" s="68"/>
      <c r="MD9" s="68"/>
      <c r="ME9" s="68"/>
      <c r="MF9" s="68"/>
      <c r="MG9" s="68"/>
      <c r="MH9" s="68"/>
      <c r="MI9" s="17" t="str">
        <f t="shared" si="79"/>
        <v/>
      </c>
      <c r="MJ9" s="17" t="str">
        <f t="shared" si="80"/>
        <v/>
      </c>
      <c r="MK9" s="17" t="str">
        <f t="shared" si="81"/>
        <v/>
      </c>
      <c r="ML9" s="17" t="str">
        <f t="shared" si="82"/>
        <v/>
      </c>
      <c r="MM9" s="17" t="str">
        <f t="shared" si="83"/>
        <v/>
      </c>
      <c r="MN9" s="17" t="str">
        <f t="shared" si="84"/>
        <v/>
      </c>
      <c r="MO9" s="69"/>
      <c r="MP9" s="69"/>
      <c r="MQ9" s="69"/>
      <c r="MR9" s="69"/>
      <c r="MS9" s="69"/>
      <c r="MT9" s="69"/>
      <c r="MU9" s="69"/>
      <c r="MV9" s="69"/>
      <c r="MW9" s="69"/>
      <c r="MX9" s="69"/>
      <c r="MY9" s="69"/>
      <c r="MZ9" s="69"/>
      <c r="NA9" s="69"/>
      <c r="NB9" s="69"/>
      <c r="NC9" s="69"/>
      <c r="ND9" s="69"/>
      <c r="NE9" s="69"/>
      <c r="NF9" s="69"/>
      <c r="NG9" s="69"/>
      <c r="NH9" s="69"/>
      <c r="NI9" s="69"/>
      <c r="NJ9" s="69"/>
      <c r="NK9" s="69"/>
      <c r="NL9" s="69"/>
      <c r="NM9" s="13" t="str">
        <f t="shared" si="85"/>
        <v/>
      </c>
      <c r="NN9" s="13" t="str">
        <f t="shared" si="86"/>
        <v/>
      </c>
      <c r="NO9" s="13" t="str">
        <f t="shared" si="87"/>
        <v/>
      </c>
      <c r="NP9" s="13" t="str">
        <f t="shared" si="88"/>
        <v/>
      </c>
      <c r="NQ9" s="13" t="str">
        <f t="shared" si="89"/>
        <v/>
      </c>
      <c r="NR9" s="13" t="str">
        <f t="shared" si="90"/>
        <v/>
      </c>
      <c r="NS9" s="68"/>
      <c r="NT9" s="68"/>
      <c r="NU9" s="68"/>
      <c r="NV9" s="68"/>
      <c r="NW9" s="68"/>
      <c r="NX9" s="68"/>
      <c r="NY9" s="68"/>
      <c r="NZ9" s="68"/>
      <c r="OA9" s="68"/>
      <c r="OB9" s="68"/>
      <c r="OC9" s="68"/>
      <c r="OD9" s="68"/>
      <c r="OE9" s="68"/>
      <c r="OF9" s="68"/>
      <c r="OG9" s="68"/>
      <c r="OH9" s="68"/>
      <c r="OI9" s="68"/>
      <c r="OJ9" s="68"/>
      <c r="OK9" s="68"/>
      <c r="OL9" s="68"/>
      <c r="OM9" s="68"/>
      <c r="ON9" s="68"/>
      <c r="OO9" s="68"/>
      <c r="OP9" s="68"/>
      <c r="OQ9" s="17" t="str">
        <f t="shared" si="91"/>
        <v/>
      </c>
      <c r="OR9" s="17" t="str">
        <f t="shared" si="92"/>
        <v/>
      </c>
      <c r="OS9" s="17" t="str">
        <f t="shared" si="93"/>
        <v/>
      </c>
      <c r="OT9" s="17" t="str">
        <f t="shared" si="94"/>
        <v/>
      </c>
      <c r="OU9" s="17" t="str">
        <f t="shared" si="95"/>
        <v/>
      </c>
      <c r="OV9" s="17" t="str">
        <f t="shared" si="96"/>
        <v/>
      </c>
      <c r="OW9" s="69"/>
      <c r="OX9" s="69"/>
      <c r="OY9" s="69"/>
      <c r="OZ9" s="69"/>
      <c r="PA9" s="69"/>
      <c r="PB9" s="69"/>
      <c r="PC9" s="69"/>
      <c r="PD9" s="69"/>
      <c r="PE9" s="69"/>
      <c r="PF9" s="69"/>
      <c r="PG9" s="69"/>
      <c r="PH9" s="69"/>
      <c r="PI9" s="69"/>
      <c r="PJ9" s="69"/>
      <c r="PK9" s="69"/>
      <c r="PL9" s="69"/>
      <c r="PM9" s="69"/>
      <c r="PN9" s="69"/>
      <c r="PO9" s="69"/>
      <c r="PP9" s="69"/>
      <c r="PQ9" s="69"/>
      <c r="PR9" s="69"/>
      <c r="PS9" s="69"/>
      <c r="PT9" s="69"/>
      <c r="PU9" s="13" t="str">
        <f t="shared" si="97"/>
        <v/>
      </c>
      <c r="PV9" s="13" t="str">
        <f t="shared" si="98"/>
        <v/>
      </c>
      <c r="PW9" s="13" t="str">
        <f t="shared" si="99"/>
        <v/>
      </c>
      <c r="PX9" s="13" t="str">
        <f t="shared" si="100"/>
        <v/>
      </c>
      <c r="PY9" s="13" t="str">
        <f t="shared" si="101"/>
        <v/>
      </c>
      <c r="PZ9" s="13" t="str">
        <f t="shared" si="102"/>
        <v/>
      </c>
      <c r="QA9" s="68"/>
      <c r="QB9" s="68"/>
      <c r="QC9" s="68"/>
      <c r="QD9" s="68"/>
      <c r="QE9" s="68"/>
      <c r="QF9" s="68"/>
      <c r="QG9" s="68"/>
      <c r="QH9" s="68"/>
      <c r="QI9" s="68"/>
      <c r="QJ9" s="68"/>
      <c r="QK9" s="68"/>
      <c r="QL9" s="68"/>
      <c r="QM9" s="68"/>
      <c r="QN9" s="68"/>
      <c r="QO9" s="68"/>
      <c r="QP9" s="68"/>
      <c r="QQ9" s="68"/>
      <c r="QR9" s="68"/>
      <c r="QS9" s="68"/>
      <c r="QT9" s="68"/>
      <c r="QU9" s="68"/>
      <c r="QV9" s="68"/>
      <c r="QW9" s="68"/>
      <c r="QX9" s="68"/>
      <c r="QY9" s="17" t="str">
        <f t="shared" si="103"/>
        <v/>
      </c>
      <c r="QZ9" s="17" t="str">
        <f t="shared" si="104"/>
        <v/>
      </c>
      <c r="RA9" s="17" t="str">
        <f t="shared" si="105"/>
        <v/>
      </c>
      <c r="RB9" s="17" t="str">
        <f t="shared" si="106"/>
        <v/>
      </c>
      <c r="RC9" s="17" t="str">
        <f t="shared" si="107"/>
        <v/>
      </c>
      <c r="RD9" s="17" t="str">
        <f t="shared" si="108"/>
        <v/>
      </c>
    </row>
    <row r="10" spans="1:472" x14ac:dyDescent="0.2">
      <c r="A10" s="6" t="str">
        <f t="shared" ca="1" si="0"/>
        <v/>
      </c>
      <c r="B10" s="9" t="s">
        <v>84</v>
      </c>
      <c r="C10" s="5" t="s">
        <v>8</v>
      </c>
      <c r="D10" s="6">
        <v>2012</v>
      </c>
      <c r="E10" s="18">
        <f t="shared" si="1"/>
        <v>298.3</v>
      </c>
      <c r="F10" s="4" t="str">
        <f t="shared" si="2"/>
        <v/>
      </c>
      <c r="G10" s="4" t="str">
        <f t="shared" ca="1" si="3"/>
        <v/>
      </c>
      <c r="H10" t="str">
        <f t="shared" ca="1" si="4"/>
        <v/>
      </c>
      <c r="I10" s="17">
        <f t="shared" si="5"/>
        <v>124.50000000000001</v>
      </c>
      <c r="J10" s="17" t="str">
        <f t="shared" si="6"/>
        <v>2017 3rd Domestic Trial</v>
      </c>
      <c r="K10" s="17">
        <f t="shared" si="7"/>
        <v>70.899999999999991</v>
      </c>
      <c r="L10" s="17" t="str">
        <f t="shared" si="8"/>
        <v>2017 Nationals</v>
      </c>
      <c r="M10" s="17">
        <f t="shared" si="9"/>
        <v>34</v>
      </c>
      <c r="N10" s="17" t="str">
        <f t="shared" si="10"/>
        <v>2017 Nationals</v>
      </c>
      <c r="O10" s="17">
        <f t="shared" si="11"/>
        <v>68.900000000000006</v>
      </c>
      <c r="P10" s="17" t="str">
        <f t="shared" si="12"/>
        <v>2017 3rd Domestic Trial</v>
      </c>
      <c r="Q10" s="17" t="str">
        <f t="shared" si="13"/>
        <v/>
      </c>
      <c r="R10" s="44" t="str">
        <f t="shared" si="14"/>
        <v/>
      </c>
      <c r="S10" s="17" t="str">
        <f t="shared" si="15"/>
        <v/>
      </c>
      <c r="T10" s="71">
        <v>11.6</v>
      </c>
      <c r="U10" s="71">
        <v>0</v>
      </c>
      <c r="V10" s="71">
        <v>0</v>
      </c>
      <c r="W10" s="71">
        <v>0</v>
      </c>
      <c r="X10" s="71">
        <v>34.4</v>
      </c>
      <c r="Y10" s="71">
        <v>0</v>
      </c>
      <c r="Z10" s="71">
        <v>0</v>
      </c>
      <c r="AA10" s="71">
        <v>0</v>
      </c>
      <c r="AB10" s="71">
        <v>15.6</v>
      </c>
      <c r="AC10" s="71">
        <v>0</v>
      </c>
      <c r="AD10" s="71">
        <v>0</v>
      </c>
      <c r="AE10" s="71">
        <v>0</v>
      </c>
      <c r="AF10" s="71">
        <v>17.600000000000001</v>
      </c>
      <c r="AG10" s="71">
        <v>0</v>
      </c>
      <c r="AH10" s="71">
        <v>0</v>
      </c>
      <c r="AI10" s="71">
        <v>0</v>
      </c>
      <c r="AJ10" s="71"/>
      <c r="AK10" s="71"/>
      <c r="AL10" s="71"/>
      <c r="AM10" s="71"/>
      <c r="AN10" s="71"/>
      <c r="AO10" s="71"/>
      <c r="AP10" s="71"/>
      <c r="AQ10" s="71"/>
      <c r="AR10" s="13" t="str">
        <f t="shared" si="16"/>
        <v/>
      </c>
      <c r="AS10" s="13">
        <f t="shared" si="17"/>
        <v>79.2</v>
      </c>
      <c r="AT10" s="13">
        <f t="shared" si="18"/>
        <v>46</v>
      </c>
      <c r="AU10" s="13">
        <f t="shared" si="19"/>
        <v>33.200000000000003</v>
      </c>
      <c r="AV10" s="13" t="str">
        <f t="shared" si="20"/>
        <v/>
      </c>
      <c r="AW10" s="13">
        <f t="shared" si="21"/>
        <v>79.2</v>
      </c>
      <c r="AX10" s="62">
        <v>27.8</v>
      </c>
      <c r="AY10" s="62">
        <v>7.6</v>
      </c>
      <c r="AZ10" s="62">
        <v>0</v>
      </c>
      <c r="BA10" s="62">
        <v>0</v>
      </c>
      <c r="BB10" s="62">
        <v>28.2</v>
      </c>
      <c r="BC10" s="62">
        <v>7.6</v>
      </c>
      <c r="BD10" s="62">
        <v>0.3</v>
      </c>
      <c r="BE10" s="62">
        <v>0</v>
      </c>
      <c r="BF10" s="62">
        <v>27.9</v>
      </c>
      <c r="BG10" s="62">
        <v>6.4</v>
      </c>
      <c r="BH10" s="62">
        <v>0.3</v>
      </c>
      <c r="BI10" s="62">
        <v>0</v>
      </c>
      <c r="BJ10" s="62">
        <v>0</v>
      </c>
      <c r="BK10" s="62">
        <v>0</v>
      </c>
      <c r="BL10" s="62">
        <v>0</v>
      </c>
      <c r="BM10" s="62">
        <v>0</v>
      </c>
      <c r="BN10" s="62"/>
      <c r="BO10" s="62"/>
      <c r="BP10" s="62"/>
      <c r="BQ10" s="62"/>
      <c r="BR10" s="62"/>
      <c r="BS10" s="62"/>
      <c r="BT10" s="62"/>
      <c r="BU10" s="62"/>
      <c r="BV10" s="17">
        <f t="shared" si="22"/>
        <v>21.6</v>
      </c>
      <c r="BW10" s="17">
        <f t="shared" si="23"/>
        <v>104.9</v>
      </c>
      <c r="BX10" s="17">
        <f t="shared" si="24"/>
        <v>70.899999999999991</v>
      </c>
      <c r="BY10" s="17">
        <f t="shared" si="25"/>
        <v>34</v>
      </c>
      <c r="BZ10" s="17" t="str">
        <f t="shared" si="26"/>
        <v/>
      </c>
      <c r="CA10" s="17">
        <f t="shared" si="27"/>
        <v>104.9</v>
      </c>
      <c r="CB10" s="60">
        <v>27.8</v>
      </c>
      <c r="CC10" s="60">
        <v>7.6</v>
      </c>
      <c r="CD10" s="60">
        <v>0.9</v>
      </c>
      <c r="CE10" s="60">
        <v>0</v>
      </c>
      <c r="CF10" s="60">
        <v>20.100000000000001</v>
      </c>
      <c r="CG10" s="60">
        <v>4</v>
      </c>
      <c r="CH10" s="60">
        <v>0</v>
      </c>
      <c r="CI10" s="60">
        <v>0</v>
      </c>
      <c r="CJ10" s="60">
        <v>27.9</v>
      </c>
      <c r="CK10" s="60">
        <v>6.4</v>
      </c>
      <c r="CL10" s="60">
        <v>0.9</v>
      </c>
      <c r="CM10" s="60">
        <v>0</v>
      </c>
      <c r="CN10" s="60">
        <v>27.4</v>
      </c>
      <c r="CO10" s="60">
        <v>6</v>
      </c>
      <c r="CP10" s="60">
        <v>0.9</v>
      </c>
      <c r="CQ10" s="60">
        <v>0</v>
      </c>
      <c r="CR10" s="60">
        <v>28</v>
      </c>
      <c r="CS10" s="60">
        <v>7.6</v>
      </c>
      <c r="CT10" s="60">
        <v>0.9</v>
      </c>
      <c r="CU10" s="60">
        <v>0</v>
      </c>
      <c r="CV10" s="60">
        <v>27.8</v>
      </c>
      <c r="CW10" s="60">
        <v>6.4</v>
      </c>
      <c r="CX10" s="60">
        <v>0</v>
      </c>
      <c r="CY10" s="60">
        <v>0</v>
      </c>
      <c r="CZ10" s="13">
        <f t="shared" si="28"/>
        <v>24</v>
      </c>
      <c r="DA10" s="13">
        <f t="shared" si="29"/>
        <v>124.50000000000001</v>
      </c>
      <c r="DB10" s="13">
        <f t="shared" si="30"/>
        <v>58.6</v>
      </c>
      <c r="DC10" s="13">
        <f t="shared" si="31"/>
        <v>65.899999999999991</v>
      </c>
      <c r="DD10" s="13">
        <f t="shared" si="32"/>
        <v>68.900000000000006</v>
      </c>
      <c r="DE10" s="13">
        <f t="shared" si="33"/>
        <v>193.40000000000003</v>
      </c>
      <c r="DF10" s="43" t="str">
        <f t="shared" si="34"/>
        <v/>
      </c>
      <c r="DG10" s="43" t="str">
        <f t="shared" si="35"/>
        <v/>
      </c>
      <c r="DH10" s="43" t="str">
        <f t="shared" si="36"/>
        <v/>
      </c>
      <c r="DI10" s="60"/>
      <c r="DJ10" s="60"/>
      <c r="DK10" s="60"/>
      <c r="DL10" s="60"/>
      <c r="DM10" s="60"/>
      <c r="DN10" s="60"/>
      <c r="DO10" s="60"/>
      <c r="DP10" s="60"/>
      <c r="DQ10" s="60"/>
      <c r="DR10" s="60"/>
      <c r="DS10" s="60"/>
      <c r="DT10" s="60"/>
      <c r="DU10" s="60"/>
      <c r="DV10" s="60"/>
      <c r="DW10" s="60"/>
      <c r="DX10" s="60"/>
      <c r="DY10" s="60"/>
      <c r="DZ10" s="60"/>
      <c r="EA10" s="60"/>
      <c r="EB10" s="60"/>
      <c r="EC10" s="60"/>
      <c r="ED10" s="60"/>
      <c r="EE10" s="60"/>
      <c r="EF10" s="60"/>
      <c r="EG10" s="13" t="str">
        <f t="shared" si="37"/>
        <v/>
      </c>
      <c r="EH10" s="13" t="str">
        <f t="shared" si="38"/>
        <v/>
      </c>
      <c r="EI10" s="13" t="str">
        <f t="shared" si="39"/>
        <v/>
      </c>
      <c r="EJ10" s="13" t="str">
        <f t="shared" si="40"/>
        <v/>
      </c>
      <c r="EK10" s="13" t="str">
        <f t="shared" si="41"/>
        <v/>
      </c>
      <c r="EL10" s="13" t="str">
        <f t="shared" si="42"/>
        <v/>
      </c>
      <c r="EM10" s="68"/>
      <c r="EN10" s="68"/>
      <c r="EO10" s="68"/>
      <c r="EP10" s="68"/>
      <c r="EQ10" s="68"/>
      <c r="ER10" s="68"/>
      <c r="ES10" s="68"/>
      <c r="ET10" s="68"/>
      <c r="EU10" s="68"/>
      <c r="EV10" s="68"/>
      <c r="EW10" s="68"/>
      <c r="EX10" s="68"/>
      <c r="EY10" s="68"/>
      <c r="EZ10" s="68"/>
      <c r="FA10" s="68"/>
      <c r="FB10" s="68"/>
      <c r="FC10" s="68"/>
      <c r="FD10" s="68"/>
      <c r="FE10" s="68"/>
      <c r="FF10" s="68"/>
      <c r="FG10" s="68"/>
      <c r="FH10" s="68"/>
      <c r="FI10" s="68"/>
      <c r="FJ10" s="68"/>
      <c r="FK10" s="17" t="str">
        <f t="shared" si="43"/>
        <v/>
      </c>
      <c r="FL10" s="17" t="str">
        <f t="shared" si="44"/>
        <v/>
      </c>
      <c r="FM10" s="17" t="str">
        <f t="shared" si="45"/>
        <v/>
      </c>
      <c r="FN10" s="17" t="str">
        <f t="shared" si="46"/>
        <v/>
      </c>
      <c r="FO10" s="17" t="str">
        <f t="shared" si="47"/>
        <v/>
      </c>
      <c r="FP10" s="17" t="str">
        <f t="shared" si="48"/>
        <v/>
      </c>
      <c r="FQ10" s="69">
        <v>27.3</v>
      </c>
      <c r="FR10" s="69">
        <v>7.6</v>
      </c>
      <c r="FS10" s="69">
        <v>0.9</v>
      </c>
      <c r="FT10" s="69">
        <v>0</v>
      </c>
      <c r="FU10" s="69">
        <v>0</v>
      </c>
      <c r="FV10" s="69">
        <v>0</v>
      </c>
      <c r="FW10" s="69">
        <v>0</v>
      </c>
      <c r="FX10" s="69">
        <v>0</v>
      </c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  <c r="GK10" s="69"/>
      <c r="GL10" s="69"/>
      <c r="GM10" s="69"/>
      <c r="GN10" s="69"/>
      <c r="GO10" s="13">
        <f t="shared" si="49"/>
        <v>7.6</v>
      </c>
      <c r="GP10" s="13">
        <f t="shared" si="50"/>
        <v>34</v>
      </c>
      <c r="GQ10" s="13">
        <f t="shared" si="51"/>
        <v>34</v>
      </c>
      <c r="GR10" s="13" t="str">
        <f t="shared" si="52"/>
        <v/>
      </c>
      <c r="GS10" s="13" t="str">
        <f t="shared" si="53"/>
        <v/>
      </c>
      <c r="GT10" s="13">
        <f t="shared" si="54"/>
        <v>34</v>
      </c>
      <c r="GU10" s="68"/>
      <c r="GV10" s="68"/>
      <c r="GW10" s="68"/>
      <c r="GX10" s="68"/>
      <c r="GY10" s="68"/>
      <c r="GZ10" s="68"/>
      <c r="HA10" s="68"/>
      <c r="HB10" s="68"/>
      <c r="HC10" s="68"/>
      <c r="HD10" s="68"/>
      <c r="HE10" s="68"/>
      <c r="HF10" s="68"/>
      <c r="HG10" s="68"/>
      <c r="HH10" s="68"/>
      <c r="HI10" s="68"/>
      <c r="HJ10" s="68"/>
      <c r="HK10" s="68"/>
      <c r="HL10" s="68"/>
      <c r="HM10" s="68"/>
      <c r="HN10" s="68"/>
      <c r="HO10" s="68"/>
      <c r="HP10" s="68"/>
      <c r="HQ10" s="68"/>
      <c r="HR10" s="68"/>
      <c r="HS10" s="17" t="str">
        <f t="shared" si="55"/>
        <v/>
      </c>
      <c r="HT10" s="17" t="str">
        <f t="shared" si="56"/>
        <v/>
      </c>
      <c r="HU10" s="17" t="str">
        <f t="shared" si="57"/>
        <v/>
      </c>
      <c r="HV10" s="17" t="str">
        <f t="shared" si="58"/>
        <v/>
      </c>
      <c r="HW10" s="17" t="str">
        <f t="shared" si="59"/>
        <v/>
      </c>
      <c r="HX10" s="17" t="str">
        <f t="shared" si="60"/>
        <v/>
      </c>
      <c r="HY10" s="69"/>
      <c r="HZ10" s="69"/>
      <c r="IA10" s="69"/>
      <c r="IB10" s="69"/>
      <c r="IC10" s="69"/>
      <c r="ID10" s="69"/>
      <c r="IE10" s="69"/>
      <c r="IF10" s="69"/>
      <c r="IG10" s="69"/>
      <c r="IH10" s="69"/>
      <c r="II10" s="69"/>
      <c r="IJ10" s="69"/>
      <c r="IK10" s="69"/>
      <c r="IL10" s="69"/>
      <c r="IM10" s="69"/>
      <c r="IN10" s="69"/>
      <c r="IO10" s="69"/>
      <c r="IP10" s="69"/>
      <c r="IQ10" s="69"/>
      <c r="IR10" s="69"/>
      <c r="IS10" s="69"/>
      <c r="IT10" s="69"/>
      <c r="IU10" s="69"/>
      <c r="IV10" s="69"/>
      <c r="IW10" s="13" t="str">
        <f t="shared" si="61"/>
        <v/>
      </c>
      <c r="IX10" s="13" t="str">
        <f t="shared" si="62"/>
        <v/>
      </c>
      <c r="IY10" s="13" t="str">
        <f t="shared" si="63"/>
        <v/>
      </c>
      <c r="IZ10" s="13" t="str">
        <f t="shared" si="64"/>
        <v/>
      </c>
      <c r="JA10" s="13" t="str">
        <f t="shared" si="65"/>
        <v/>
      </c>
      <c r="JB10" s="13" t="str">
        <f t="shared" si="66"/>
        <v/>
      </c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  <c r="JO10" s="68"/>
      <c r="JP10" s="68"/>
      <c r="JQ10" s="68"/>
      <c r="JR10" s="68"/>
      <c r="JS10" s="68"/>
      <c r="JT10" s="68"/>
      <c r="JU10" s="68"/>
      <c r="JV10" s="68"/>
      <c r="JW10" s="68"/>
      <c r="JX10" s="68"/>
      <c r="JY10" s="68"/>
      <c r="JZ10" s="68"/>
      <c r="KA10" s="17" t="str">
        <f t="shared" si="67"/>
        <v/>
      </c>
      <c r="KB10" s="17" t="str">
        <f t="shared" si="68"/>
        <v/>
      </c>
      <c r="KC10" s="17" t="str">
        <f t="shared" si="69"/>
        <v/>
      </c>
      <c r="KD10" s="17" t="str">
        <f t="shared" si="70"/>
        <v/>
      </c>
      <c r="KE10" s="17" t="str">
        <f t="shared" si="71"/>
        <v/>
      </c>
      <c r="KF10" s="17" t="str">
        <f t="shared" si="72"/>
        <v/>
      </c>
      <c r="KG10" s="69"/>
      <c r="KH10" s="69"/>
      <c r="KI10" s="69"/>
      <c r="KJ10" s="69"/>
      <c r="KK10" s="69"/>
      <c r="KL10" s="69"/>
      <c r="KM10" s="69"/>
      <c r="KN10" s="69"/>
      <c r="KO10" s="69"/>
      <c r="KP10" s="69"/>
      <c r="KQ10" s="69"/>
      <c r="KR10" s="69"/>
      <c r="KS10" s="69"/>
      <c r="KT10" s="69"/>
      <c r="KU10" s="69"/>
      <c r="KV10" s="69"/>
      <c r="KW10" s="69"/>
      <c r="KX10" s="69"/>
      <c r="KY10" s="69"/>
      <c r="KZ10" s="69"/>
      <c r="LA10" s="69"/>
      <c r="LB10" s="69"/>
      <c r="LC10" s="69"/>
      <c r="LD10" s="69"/>
      <c r="LE10" s="13" t="str">
        <f t="shared" si="73"/>
        <v/>
      </c>
      <c r="LF10" s="13" t="str">
        <f t="shared" si="74"/>
        <v/>
      </c>
      <c r="LG10" s="13" t="str">
        <f t="shared" si="75"/>
        <v/>
      </c>
      <c r="LH10" s="13" t="str">
        <f t="shared" si="76"/>
        <v/>
      </c>
      <c r="LI10" s="13" t="str">
        <f t="shared" si="77"/>
        <v/>
      </c>
      <c r="LJ10" s="13" t="str">
        <f t="shared" si="78"/>
        <v/>
      </c>
      <c r="LK10" s="68"/>
      <c r="LL10" s="68"/>
      <c r="LM10" s="68"/>
      <c r="LN10" s="68"/>
      <c r="LO10" s="68"/>
      <c r="LP10" s="68"/>
      <c r="LQ10" s="68"/>
      <c r="LR10" s="68"/>
      <c r="LS10" s="68"/>
      <c r="LT10" s="68"/>
      <c r="LU10" s="68"/>
      <c r="LV10" s="68"/>
      <c r="LW10" s="68"/>
      <c r="LX10" s="68"/>
      <c r="LY10" s="68"/>
      <c r="LZ10" s="68"/>
      <c r="MA10" s="68"/>
      <c r="MB10" s="68"/>
      <c r="MC10" s="68"/>
      <c r="MD10" s="68"/>
      <c r="ME10" s="68"/>
      <c r="MF10" s="68"/>
      <c r="MG10" s="68"/>
      <c r="MH10" s="68"/>
      <c r="MI10" s="17" t="str">
        <f t="shared" si="79"/>
        <v/>
      </c>
      <c r="MJ10" s="17" t="str">
        <f t="shared" si="80"/>
        <v/>
      </c>
      <c r="MK10" s="17" t="str">
        <f t="shared" si="81"/>
        <v/>
      </c>
      <c r="ML10" s="17" t="str">
        <f t="shared" si="82"/>
        <v/>
      </c>
      <c r="MM10" s="17" t="str">
        <f t="shared" si="83"/>
        <v/>
      </c>
      <c r="MN10" s="17" t="str">
        <f t="shared" si="84"/>
        <v/>
      </c>
      <c r="MO10" s="69"/>
      <c r="MP10" s="69"/>
      <c r="MQ10" s="69"/>
      <c r="MR10" s="69"/>
      <c r="MS10" s="69"/>
      <c r="MT10" s="69"/>
      <c r="MU10" s="69"/>
      <c r="MV10" s="69"/>
      <c r="MW10" s="69"/>
      <c r="MX10" s="69"/>
      <c r="MY10" s="69"/>
      <c r="MZ10" s="69"/>
      <c r="NA10" s="69"/>
      <c r="NB10" s="69"/>
      <c r="NC10" s="69"/>
      <c r="ND10" s="69"/>
      <c r="NE10" s="69"/>
      <c r="NF10" s="69"/>
      <c r="NG10" s="69"/>
      <c r="NH10" s="69"/>
      <c r="NI10" s="69"/>
      <c r="NJ10" s="69"/>
      <c r="NK10" s="69"/>
      <c r="NL10" s="69"/>
      <c r="NM10" s="13" t="str">
        <f t="shared" si="85"/>
        <v/>
      </c>
      <c r="NN10" s="13" t="str">
        <f t="shared" si="86"/>
        <v/>
      </c>
      <c r="NO10" s="13" t="str">
        <f t="shared" si="87"/>
        <v/>
      </c>
      <c r="NP10" s="13" t="str">
        <f t="shared" si="88"/>
        <v/>
      </c>
      <c r="NQ10" s="13" t="str">
        <f t="shared" si="89"/>
        <v/>
      </c>
      <c r="NR10" s="13" t="str">
        <f t="shared" si="90"/>
        <v/>
      </c>
      <c r="NS10" s="68"/>
      <c r="NT10" s="68"/>
      <c r="NU10" s="68"/>
      <c r="NV10" s="68"/>
      <c r="NW10" s="68"/>
      <c r="NX10" s="68"/>
      <c r="NY10" s="68"/>
      <c r="NZ10" s="68"/>
      <c r="OA10" s="68"/>
      <c r="OB10" s="68"/>
      <c r="OC10" s="68"/>
      <c r="OD10" s="68"/>
      <c r="OE10" s="68"/>
      <c r="OF10" s="68"/>
      <c r="OG10" s="68"/>
      <c r="OH10" s="68"/>
      <c r="OI10" s="68"/>
      <c r="OJ10" s="68"/>
      <c r="OK10" s="68"/>
      <c r="OL10" s="68"/>
      <c r="OM10" s="68"/>
      <c r="ON10" s="68"/>
      <c r="OO10" s="68"/>
      <c r="OP10" s="68"/>
      <c r="OQ10" s="17" t="str">
        <f t="shared" si="91"/>
        <v/>
      </c>
      <c r="OR10" s="17" t="str">
        <f t="shared" si="92"/>
        <v/>
      </c>
      <c r="OS10" s="17" t="str">
        <f t="shared" si="93"/>
        <v/>
      </c>
      <c r="OT10" s="17" t="str">
        <f t="shared" si="94"/>
        <v/>
      </c>
      <c r="OU10" s="17" t="str">
        <f t="shared" si="95"/>
        <v/>
      </c>
      <c r="OV10" s="17" t="str">
        <f t="shared" si="96"/>
        <v/>
      </c>
      <c r="OW10" s="69"/>
      <c r="OX10" s="69"/>
      <c r="OY10" s="69"/>
      <c r="OZ10" s="69"/>
      <c r="PA10" s="69"/>
      <c r="PB10" s="69"/>
      <c r="PC10" s="69"/>
      <c r="PD10" s="69"/>
      <c r="PE10" s="69"/>
      <c r="PF10" s="69"/>
      <c r="PG10" s="69"/>
      <c r="PH10" s="69"/>
      <c r="PI10" s="69"/>
      <c r="PJ10" s="69"/>
      <c r="PK10" s="69"/>
      <c r="PL10" s="69"/>
      <c r="PM10" s="69"/>
      <c r="PN10" s="69"/>
      <c r="PO10" s="69"/>
      <c r="PP10" s="69"/>
      <c r="PQ10" s="69"/>
      <c r="PR10" s="69"/>
      <c r="PS10" s="69"/>
      <c r="PT10" s="69"/>
      <c r="PU10" s="13" t="str">
        <f t="shared" si="97"/>
        <v/>
      </c>
      <c r="PV10" s="13" t="str">
        <f t="shared" si="98"/>
        <v/>
      </c>
      <c r="PW10" s="13" t="str">
        <f t="shared" si="99"/>
        <v/>
      </c>
      <c r="PX10" s="13" t="str">
        <f t="shared" si="100"/>
        <v/>
      </c>
      <c r="PY10" s="13" t="str">
        <f t="shared" si="101"/>
        <v/>
      </c>
      <c r="PZ10" s="13" t="str">
        <f t="shared" si="102"/>
        <v/>
      </c>
      <c r="QA10" s="68"/>
      <c r="QB10" s="68"/>
      <c r="QC10" s="68"/>
      <c r="QD10" s="68"/>
      <c r="QE10" s="68"/>
      <c r="QF10" s="68"/>
      <c r="QG10" s="68"/>
      <c r="QH10" s="68"/>
      <c r="QI10" s="68"/>
      <c r="QJ10" s="68"/>
      <c r="QK10" s="68"/>
      <c r="QL10" s="68"/>
      <c r="QM10" s="68"/>
      <c r="QN10" s="68"/>
      <c r="QO10" s="68"/>
      <c r="QP10" s="68"/>
      <c r="QQ10" s="68"/>
      <c r="QR10" s="68"/>
      <c r="QS10" s="68"/>
      <c r="QT10" s="68"/>
      <c r="QU10" s="68"/>
      <c r="QV10" s="68"/>
      <c r="QW10" s="68"/>
      <c r="QX10" s="68"/>
      <c r="QY10" s="17" t="str">
        <f t="shared" si="103"/>
        <v/>
      </c>
      <c r="QZ10" s="17" t="str">
        <f t="shared" si="104"/>
        <v/>
      </c>
      <c r="RA10" s="17" t="str">
        <f t="shared" si="105"/>
        <v/>
      </c>
      <c r="RB10" s="17" t="str">
        <f t="shared" si="106"/>
        <v/>
      </c>
      <c r="RC10" s="17" t="str">
        <f t="shared" si="107"/>
        <v/>
      </c>
      <c r="RD10" s="17" t="str">
        <f t="shared" si="108"/>
        <v/>
      </c>
    </row>
    <row r="11" spans="1:472" x14ac:dyDescent="0.2">
      <c r="A11" s="6" t="str">
        <f t="shared" ca="1" si="0"/>
        <v/>
      </c>
      <c r="B11" s="9" t="s">
        <v>82</v>
      </c>
      <c r="C11" s="5" t="s">
        <v>13</v>
      </c>
      <c r="D11" s="6">
        <v>2017</v>
      </c>
      <c r="E11" s="18">
        <f t="shared" si="1"/>
        <v>275.60000000000002</v>
      </c>
      <c r="F11" s="4" t="str">
        <f t="shared" si="2"/>
        <v/>
      </c>
      <c r="G11" s="4" t="str">
        <f t="shared" ca="1" si="3"/>
        <v/>
      </c>
      <c r="H11" t="str">
        <f t="shared" ca="1" si="4"/>
        <v/>
      </c>
      <c r="I11" s="17">
        <f t="shared" si="5"/>
        <v>129.10000000000002</v>
      </c>
      <c r="J11" s="17" t="str">
        <f t="shared" si="6"/>
        <v>2017 Nationals</v>
      </c>
      <c r="K11" s="17">
        <f t="shared" si="7"/>
        <v>56.4</v>
      </c>
      <c r="L11" s="17" t="str">
        <f t="shared" si="8"/>
        <v>2017 Canada Cup</v>
      </c>
      <c r="M11" s="17">
        <f t="shared" si="9"/>
        <v>45</v>
      </c>
      <c r="N11" s="17" t="str">
        <f t="shared" si="10"/>
        <v>2017 Canada Cup</v>
      </c>
      <c r="O11" s="17">
        <f t="shared" si="11"/>
        <v>45.099999999999994</v>
      </c>
      <c r="P11" s="17" t="str">
        <f t="shared" si="12"/>
        <v>2017 Nationals</v>
      </c>
      <c r="Q11" s="17" t="str">
        <f t="shared" si="13"/>
        <v/>
      </c>
      <c r="R11" s="44" t="str">
        <f t="shared" si="14"/>
        <v/>
      </c>
      <c r="S11" s="17" t="str">
        <f t="shared" si="15"/>
        <v/>
      </c>
      <c r="T11" s="60">
        <v>20.100000000000001</v>
      </c>
      <c r="U11" s="60">
        <v>2.4</v>
      </c>
      <c r="V11" s="60">
        <v>0</v>
      </c>
      <c r="W11" s="60">
        <v>0</v>
      </c>
      <c r="X11" s="60">
        <v>27.9</v>
      </c>
      <c r="Y11" s="60">
        <v>6</v>
      </c>
      <c r="Z11" s="60">
        <v>0</v>
      </c>
      <c r="AA11" s="60">
        <v>0</v>
      </c>
      <c r="AB11" s="60">
        <v>19.8</v>
      </c>
      <c r="AC11" s="60">
        <v>3.2</v>
      </c>
      <c r="AD11" s="60">
        <v>0</v>
      </c>
      <c r="AE11" s="60">
        <v>0</v>
      </c>
      <c r="AF11" s="60">
        <v>20</v>
      </c>
      <c r="AG11" s="60">
        <v>2</v>
      </c>
      <c r="AH11" s="60">
        <v>0</v>
      </c>
      <c r="AI11" s="60">
        <v>0</v>
      </c>
      <c r="AJ11" s="60"/>
      <c r="AK11" s="60"/>
      <c r="AL11" s="60"/>
      <c r="AM11" s="60"/>
      <c r="AN11" s="60"/>
      <c r="AO11" s="60"/>
      <c r="AP11" s="60"/>
      <c r="AQ11" s="60"/>
      <c r="AR11" s="13">
        <f t="shared" si="16"/>
        <v>13.600000000000001</v>
      </c>
      <c r="AS11" s="13">
        <f t="shared" si="17"/>
        <v>101.4</v>
      </c>
      <c r="AT11" s="13">
        <f t="shared" si="18"/>
        <v>56.4</v>
      </c>
      <c r="AU11" s="13">
        <f t="shared" si="19"/>
        <v>45</v>
      </c>
      <c r="AV11" s="13" t="str">
        <f t="shared" si="20"/>
        <v/>
      </c>
      <c r="AW11" s="13">
        <f t="shared" si="21"/>
        <v>101.4</v>
      </c>
      <c r="AX11" s="62">
        <v>27.9</v>
      </c>
      <c r="AY11" s="62">
        <v>5.2</v>
      </c>
      <c r="AZ11" s="62">
        <v>1.5</v>
      </c>
      <c r="BA11" s="62">
        <v>0</v>
      </c>
      <c r="BB11" s="62">
        <v>27.8</v>
      </c>
      <c r="BC11" s="62">
        <v>6</v>
      </c>
      <c r="BD11" s="62">
        <v>0.3</v>
      </c>
      <c r="BE11" s="62">
        <v>0</v>
      </c>
      <c r="BF11" s="62">
        <v>27.7</v>
      </c>
      <c r="BG11" s="62">
        <v>5.2</v>
      </c>
      <c r="BH11" s="62">
        <v>0</v>
      </c>
      <c r="BI11" s="62">
        <v>0</v>
      </c>
      <c r="BJ11" s="62">
        <v>27.6</v>
      </c>
      <c r="BK11" s="62">
        <v>4.4000000000000004</v>
      </c>
      <c r="BL11" s="62">
        <v>0.9</v>
      </c>
      <c r="BM11" s="62">
        <v>0</v>
      </c>
      <c r="BN11" s="62">
        <v>19.899999999999999</v>
      </c>
      <c r="BO11" s="62">
        <v>2.4</v>
      </c>
      <c r="BP11" s="62">
        <v>0</v>
      </c>
      <c r="BQ11" s="62">
        <v>0</v>
      </c>
      <c r="BR11" s="62">
        <v>20</v>
      </c>
      <c r="BS11" s="62">
        <v>2.8</v>
      </c>
      <c r="BT11" s="62">
        <v>0</v>
      </c>
      <c r="BU11" s="62">
        <v>0</v>
      </c>
      <c r="BV11" s="17">
        <f t="shared" si="22"/>
        <v>20.799999999999997</v>
      </c>
      <c r="BW11" s="17">
        <f t="shared" si="23"/>
        <v>129.10000000000002</v>
      </c>
      <c r="BX11" s="17">
        <f t="shared" si="24"/>
        <v>65.100000000000009</v>
      </c>
      <c r="BY11" s="17">
        <f t="shared" si="25"/>
        <v>64</v>
      </c>
      <c r="BZ11" s="17">
        <f t="shared" si="26"/>
        <v>45.099999999999994</v>
      </c>
      <c r="CA11" s="17">
        <f t="shared" si="27"/>
        <v>174.20000000000002</v>
      </c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13" t="str">
        <f t="shared" si="28"/>
        <v/>
      </c>
      <c r="DA11" s="13" t="str">
        <f t="shared" si="29"/>
        <v/>
      </c>
      <c r="DB11" s="13" t="str">
        <f t="shared" si="30"/>
        <v/>
      </c>
      <c r="DC11" s="13" t="str">
        <f t="shared" si="31"/>
        <v/>
      </c>
      <c r="DD11" s="13" t="str">
        <f t="shared" si="32"/>
        <v/>
      </c>
      <c r="DE11" s="13" t="str">
        <f t="shared" si="33"/>
        <v/>
      </c>
      <c r="DF11" s="43" t="str">
        <f t="shared" si="34"/>
        <v/>
      </c>
      <c r="DG11" s="43" t="str">
        <f t="shared" si="35"/>
        <v/>
      </c>
      <c r="DH11" s="43" t="str">
        <f t="shared" si="36"/>
        <v/>
      </c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60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13" t="str">
        <f t="shared" si="37"/>
        <v/>
      </c>
      <c r="EH11" s="13" t="str">
        <f t="shared" si="38"/>
        <v/>
      </c>
      <c r="EI11" s="13" t="str">
        <f t="shared" si="39"/>
        <v/>
      </c>
      <c r="EJ11" s="13" t="str">
        <f t="shared" si="40"/>
        <v/>
      </c>
      <c r="EK11" s="13" t="str">
        <f t="shared" si="41"/>
        <v/>
      </c>
      <c r="EL11" s="13" t="str">
        <f t="shared" si="42"/>
        <v/>
      </c>
      <c r="EM11" s="68"/>
      <c r="EN11" s="68"/>
      <c r="EO11" s="68"/>
      <c r="EP11" s="68"/>
      <c r="EQ11" s="68"/>
      <c r="ER11" s="68"/>
      <c r="ES11" s="68"/>
      <c r="ET11" s="68"/>
      <c r="EU11" s="68"/>
      <c r="EV11" s="68"/>
      <c r="EW11" s="68"/>
      <c r="EX11" s="68"/>
      <c r="EY11" s="68"/>
      <c r="EZ11" s="68"/>
      <c r="FA11" s="68"/>
      <c r="FB11" s="68"/>
      <c r="FC11" s="68"/>
      <c r="FD11" s="68"/>
      <c r="FE11" s="68"/>
      <c r="FF11" s="68"/>
      <c r="FG11" s="68"/>
      <c r="FH11" s="68"/>
      <c r="FI11" s="68"/>
      <c r="FJ11" s="68"/>
      <c r="FK11" s="17" t="str">
        <f t="shared" si="43"/>
        <v/>
      </c>
      <c r="FL11" s="17" t="str">
        <f t="shared" si="44"/>
        <v/>
      </c>
      <c r="FM11" s="17" t="str">
        <f t="shared" si="45"/>
        <v/>
      </c>
      <c r="FN11" s="17" t="str">
        <f t="shared" si="46"/>
        <v/>
      </c>
      <c r="FO11" s="17" t="str">
        <f t="shared" si="47"/>
        <v/>
      </c>
      <c r="FP11" s="17" t="str">
        <f t="shared" si="48"/>
        <v/>
      </c>
      <c r="FQ11" s="69"/>
      <c r="FR11" s="69"/>
      <c r="FS11" s="69"/>
      <c r="FT11" s="69"/>
      <c r="FU11" s="69"/>
      <c r="FV11" s="69"/>
      <c r="FW11" s="69"/>
      <c r="FX11" s="69"/>
      <c r="FY11" s="69"/>
      <c r="FZ11" s="69"/>
      <c r="GA11" s="69"/>
      <c r="GB11" s="69"/>
      <c r="GC11" s="69"/>
      <c r="GD11" s="69"/>
      <c r="GE11" s="69"/>
      <c r="GF11" s="69"/>
      <c r="GG11" s="69"/>
      <c r="GH11" s="69"/>
      <c r="GI11" s="69"/>
      <c r="GJ11" s="69"/>
      <c r="GK11" s="69"/>
      <c r="GL11" s="69"/>
      <c r="GM11" s="69"/>
      <c r="GN11" s="69"/>
      <c r="GO11" s="13" t="str">
        <f t="shared" si="49"/>
        <v/>
      </c>
      <c r="GP11" s="13" t="str">
        <f t="shared" si="50"/>
        <v/>
      </c>
      <c r="GQ11" s="13" t="str">
        <f t="shared" si="51"/>
        <v/>
      </c>
      <c r="GR11" s="13" t="str">
        <f t="shared" si="52"/>
        <v/>
      </c>
      <c r="GS11" s="13" t="str">
        <f t="shared" si="53"/>
        <v/>
      </c>
      <c r="GT11" s="13" t="str">
        <f t="shared" si="54"/>
        <v/>
      </c>
      <c r="GU11" s="68"/>
      <c r="GV11" s="68"/>
      <c r="GW11" s="68"/>
      <c r="GX11" s="68"/>
      <c r="GY11" s="68"/>
      <c r="GZ11" s="68"/>
      <c r="HA11" s="68"/>
      <c r="HB11" s="68"/>
      <c r="HC11" s="68"/>
      <c r="HD11" s="68"/>
      <c r="HE11" s="68"/>
      <c r="HF11" s="68"/>
      <c r="HG11" s="68"/>
      <c r="HH11" s="68"/>
      <c r="HI11" s="68"/>
      <c r="HJ11" s="68"/>
      <c r="HK11" s="68"/>
      <c r="HL11" s="68"/>
      <c r="HM11" s="68"/>
      <c r="HN11" s="68"/>
      <c r="HO11" s="68"/>
      <c r="HP11" s="68"/>
      <c r="HQ11" s="68"/>
      <c r="HR11" s="68"/>
      <c r="HS11" s="17" t="str">
        <f t="shared" si="55"/>
        <v/>
      </c>
      <c r="HT11" s="17" t="str">
        <f t="shared" si="56"/>
        <v/>
      </c>
      <c r="HU11" s="17" t="str">
        <f t="shared" si="57"/>
        <v/>
      </c>
      <c r="HV11" s="17" t="str">
        <f t="shared" si="58"/>
        <v/>
      </c>
      <c r="HW11" s="17" t="str">
        <f t="shared" si="59"/>
        <v/>
      </c>
      <c r="HX11" s="17" t="str">
        <f t="shared" si="60"/>
        <v/>
      </c>
      <c r="HY11" s="69"/>
      <c r="HZ11" s="69"/>
      <c r="IA11" s="69"/>
      <c r="IB11" s="69"/>
      <c r="IC11" s="69"/>
      <c r="ID11" s="69"/>
      <c r="IE11" s="69"/>
      <c r="IF11" s="69"/>
      <c r="IG11" s="69"/>
      <c r="IH11" s="69"/>
      <c r="II11" s="69"/>
      <c r="IJ11" s="69"/>
      <c r="IK11" s="69"/>
      <c r="IL11" s="69"/>
      <c r="IM11" s="69"/>
      <c r="IN11" s="69"/>
      <c r="IO11" s="69"/>
      <c r="IP11" s="69"/>
      <c r="IQ11" s="69"/>
      <c r="IR11" s="69"/>
      <c r="IS11" s="69"/>
      <c r="IT11" s="69"/>
      <c r="IU11" s="69"/>
      <c r="IV11" s="69"/>
      <c r="IW11" s="13" t="str">
        <f t="shared" si="61"/>
        <v/>
      </c>
      <c r="IX11" s="13" t="str">
        <f t="shared" si="62"/>
        <v/>
      </c>
      <c r="IY11" s="13" t="str">
        <f t="shared" si="63"/>
        <v/>
      </c>
      <c r="IZ11" s="13" t="str">
        <f t="shared" si="64"/>
        <v/>
      </c>
      <c r="JA11" s="13" t="str">
        <f t="shared" si="65"/>
        <v/>
      </c>
      <c r="JB11" s="13" t="str">
        <f t="shared" si="66"/>
        <v/>
      </c>
      <c r="JC11" s="68"/>
      <c r="JD11" s="68"/>
      <c r="JE11" s="68"/>
      <c r="JF11" s="68"/>
      <c r="JG11" s="68"/>
      <c r="JH11" s="68"/>
      <c r="JI11" s="68"/>
      <c r="JJ11" s="68"/>
      <c r="JK11" s="68"/>
      <c r="JL11" s="68"/>
      <c r="JM11" s="68"/>
      <c r="JN11" s="68"/>
      <c r="JO11" s="68"/>
      <c r="JP11" s="68"/>
      <c r="JQ11" s="68"/>
      <c r="JR11" s="68"/>
      <c r="JS11" s="68"/>
      <c r="JT11" s="68"/>
      <c r="JU11" s="68"/>
      <c r="JV11" s="68"/>
      <c r="JW11" s="68"/>
      <c r="JX11" s="68"/>
      <c r="JY11" s="68"/>
      <c r="JZ11" s="68"/>
      <c r="KA11" s="17" t="str">
        <f t="shared" si="67"/>
        <v/>
      </c>
      <c r="KB11" s="17" t="str">
        <f t="shared" si="68"/>
        <v/>
      </c>
      <c r="KC11" s="17" t="str">
        <f t="shared" si="69"/>
        <v/>
      </c>
      <c r="KD11" s="17" t="str">
        <f t="shared" si="70"/>
        <v/>
      </c>
      <c r="KE11" s="17" t="str">
        <f t="shared" si="71"/>
        <v/>
      </c>
      <c r="KF11" s="17" t="str">
        <f t="shared" si="72"/>
        <v/>
      </c>
      <c r="KG11" s="69"/>
      <c r="KH11" s="69"/>
      <c r="KI11" s="69"/>
      <c r="KJ11" s="69"/>
      <c r="KK11" s="69"/>
      <c r="KL11" s="69"/>
      <c r="KM11" s="69"/>
      <c r="KN11" s="69"/>
      <c r="KO11" s="69"/>
      <c r="KP11" s="69"/>
      <c r="KQ11" s="69"/>
      <c r="KR11" s="69"/>
      <c r="KS11" s="69"/>
      <c r="KT11" s="69"/>
      <c r="KU11" s="69"/>
      <c r="KV11" s="69"/>
      <c r="KW11" s="69"/>
      <c r="KX11" s="69"/>
      <c r="KY11" s="69"/>
      <c r="KZ11" s="69"/>
      <c r="LA11" s="69"/>
      <c r="LB11" s="69"/>
      <c r="LC11" s="69"/>
      <c r="LD11" s="69"/>
      <c r="LE11" s="13" t="str">
        <f t="shared" si="73"/>
        <v/>
      </c>
      <c r="LF11" s="13" t="str">
        <f t="shared" si="74"/>
        <v/>
      </c>
      <c r="LG11" s="13" t="str">
        <f t="shared" si="75"/>
        <v/>
      </c>
      <c r="LH11" s="13" t="str">
        <f t="shared" si="76"/>
        <v/>
      </c>
      <c r="LI11" s="13" t="str">
        <f t="shared" si="77"/>
        <v/>
      </c>
      <c r="LJ11" s="13" t="str">
        <f t="shared" si="78"/>
        <v/>
      </c>
      <c r="LK11" s="68"/>
      <c r="LL11" s="68"/>
      <c r="LM11" s="68"/>
      <c r="LN11" s="68"/>
      <c r="LO11" s="68"/>
      <c r="LP11" s="68"/>
      <c r="LQ11" s="68"/>
      <c r="LR11" s="68"/>
      <c r="LS11" s="68"/>
      <c r="LT11" s="68"/>
      <c r="LU11" s="68"/>
      <c r="LV11" s="68"/>
      <c r="LW11" s="68"/>
      <c r="LX11" s="68"/>
      <c r="LY11" s="68"/>
      <c r="LZ11" s="68"/>
      <c r="MA11" s="68"/>
      <c r="MB11" s="68"/>
      <c r="MC11" s="68"/>
      <c r="MD11" s="68"/>
      <c r="ME11" s="68"/>
      <c r="MF11" s="68"/>
      <c r="MG11" s="68"/>
      <c r="MH11" s="68"/>
      <c r="MI11" s="17" t="str">
        <f t="shared" si="79"/>
        <v/>
      </c>
      <c r="MJ11" s="17" t="str">
        <f t="shared" si="80"/>
        <v/>
      </c>
      <c r="MK11" s="17" t="str">
        <f t="shared" si="81"/>
        <v/>
      </c>
      <c r="ML11" s="17" t="str">
        <f t="shared" si="82"/>
        <v/>
      </c>
      <c r="MM11" s="17" t="str">
        <f t="shared" si="83"/>
        <v/>
      </c>
      <c r="MN11" s="17" t="str">
        <f t="shared" si="84"/>
        <v/>
      </c>
      <c r="MO11" s="69"/>
      <c r="MP11" s="69"/>
      <c r="MQ11" s="69"/>
      <c r="MR11" s="69"/>
      <c r="MS11" s="69"/>
      <c r="MT11" s="69"/>
      <c r="MU11" s="69"/>
      <c r="MV11" s="69"/>
      <c r="MW11" s="69"/>
      <c r="MX11" s="69"/>
      <c r="MY11" s="69"/>
      <c r="MZ11" s="69"/>
      <c r="NA11" s="69"/>
      <c r="NB11" s="69"/>
      <c r="NC11" s="69"/>
      <c r="ND11" s="69"/>
      <c r="NE11" s="69"/>
      <c r="NF11" s="69"/>
      <c r="NG11" s="69"/>
      <c r="NH11" s="69"/>
      <c r="NI11" s="69"/>
      <c r="NJ11" s="69"/>
      <c r="NK11" s="69"/>
      <c r="NL11" s="69"/>
      <c r="NM11" s="13" t="str">
        <f t="shared" si="85"/>
        <v/>
      </c>
      <c r="NN11" s="13" t="str">
        <f t="shared" si="86"/>
        <v/>
      </c>
      <c r="NO11" s="13" t="str">
        <f t="shared" si="87"/>
        <v/>
      </c>
      <c r="NP11" s="13" t="str">
        <f t="shared" si="88"/>
        <v/>
      </c>
      <c r="NQ11" s="13" t="str">
        <f t="shared" si="89"/>
        <v/>
      </c>
      <c r="NR11" s="13" t="str">
        <f t="shared" si="90"/>
        <v/>
      </c>
      <c r="NS11" s="68"/>
      <c r="NT11" s="68"/>
      <c r="NU11" s="68"/>
      <c r="NV11" s="68"/>
      <c r="NW11" s="68"/>
      <c r="NX11" s="68"/>
      <c r="NY11" s="68"/>
      <c r="NZ11" s="68"/>
      <c r="OA11" s="68"/>
      <c r="OB11" s="68"/>
      <c r="OC11" s="68"/>
      <c r="OD11" s="68"/>
      <c r="OE11" s="68"/>
      <c r="OF11" s="68"/>
      <c r="OG11" s="68"/>
      <c r="OH11" s="68"/>
      <c r="OI11" s="68"/>
      <c r="OJ11" s="68"/>
      <c r="OK11" s="68"/>
      <c r="OL11" s="68"/>
      <c r="OM11" s="68"/>
      <c r="ON11" s="68"/>
      <c r="OO11" s="68"/>
      <c r="OP11" s="68"/>
      <c r="OQ11" s="17" t="str">
        <f t="shared" si="91"/>
        <v/>
      </c>
      <c r="OR11" s="17" t="str">
        <f t="shared" si="92"/>
        <v/>
      </c>
      <c r="OS11" s="17" t="str">
        <f t="shared" si="93"/>
        <v/>
      </c>
      <c r="OT11" s="17" t="str">
        <f t="shared" si="94"/>
        <v/>
      </c>
      <c r="OU11" s="17" t="str">
        <f t="shared" si="95"/>
        <v/>
      </c>
      <c r="OV11" s="17" t="str">
        <f t="shared" si="96"/>
        <v/>
      </c>
      <c r="OW11" s="69"/>
      <c r="OX11" s="69"/>
      <c r="OY11" s="69"/>
      <c r="OZ11" s="69"/>
      <c r="PA11" s="69"/>
      <c r="PB11" s="69"/>
      <c r="PC11" s="69"/>
      <c r="PD11" s="69"/>
      <c r="PE11" s="69"/>
      <c r="PF11" s="69"/>
      <c r="PG11" s="69"/>
      <c r="PH11" s="69"/>
      <c r="PI11" s="69"/>
      <c r="PJ11" s="69"/>
      <c r="PK11" s="69"/>
      <c r="PL11" s="69"/>
      <c r="PM11" s="69"/>
      <c r="PN11" s="69"/>
      <c r="PO11" s="69"/>
      <c r="PP11" s="69"/>
      <c r="PQ11" s="69"/>
      <c r="PR11" s="69"/>
      <c r="PS11" s="69"/>
      <c r="PT11" s="69"/>
      <c r="PU11" s="13" t="str">
        <f t="shared" si="97"/>
        <v/>
      </c>
      <c r="PV11" s="13" t="str">
        <f t="shared" si="98"/>
        <v/>
      </c>
      <c r="PW11" s="13" t="str">
        <f t="shared" si="99"/>
        <v/>
      </c>
      <c r="PX11" s="13" t="str">
        <f t="shared" si="100"/>
        <v/>
      </c>
      <c r="PY11" s="13" t="str">
        <f t="shared" si="101"/>
        <v/>
      </c>
      <c r="PZ11" s="13" t="str">
        <f t="shared" si="102"/>
        <v/>
      </c>
      <c r="QA11" s="68"/>
      <c r="QB11" s="68"/>
      <c r="QC11" s="68"/>
      <c r="QD11" s="68"/>
      <c r="QE11" s="68"/>
      <c r="QF11" s="68"/>
      <c r="QG11" s="68"/>
      <c r="QH11" s="68"/>
      <c r="QI11" s="68"/>
      <c r="QJ11" s="68"/>
      <c r="QK11" s="68"/>
      <c r="QL11" s="68"/>
      <c r="QM11" s="68"/>
      <c r="QN11" s="68"/>
      <c r="QO11" s="68"/>
      <c r="QP11" s="68"/>
      <c r="QQ11" s="68"/>
      <c r="QR11" s="68"/>
      <c r="QS11" s="68"/>
      <c r="QT11" s="68"/>
      <c r="QU11" s="68"/>
      <c r="QV11" s="68"/>
      <c r="QW11" s="68"/>
      <c r="QX11" s="68"/>
      <c r="QY11" s="17" t="str">
        <f t="shared" si="103"/>
        <v/>
      </c>
      <c r="QZ11" s="17" t="str">
        <f t="shared" si="104"/>
        <v/>
      </c>
      <c r="RA11" s="17" t="str">
        <f t="shared" si="105"/>
        <v/>
      </c>
      <c r="RB11" s="17" t="str">
        <f t="shared" si="106"/>
        <v/>
      </c>
      <c r="RC11" s="17" t="str">
        <f t="shared" si="107"/>
        <v/>
      </c>
      <c r="RD11" s="17" t="str">
        <f t="shared" si="108"/>
        <v/>
      </c>
    </row>
    <row r="12" spans="1:472" x14ac:dyDescent="0.2">
      <c r="A12" s="6" t="str">
        <f t="shared" ca="1" si="0"/>
        <v/>
      </c>
      <c r="B12" s="7" t="s">
        <v>83</v>
      </c>
      <c r="C12" s="8" t="s">
        <v>8</v>
      </c>
      <c r="D12" s="6">
        <v>2016</v>
      </c>
      <c r="E12" s="18">
        <f t="shared" si="1"/>
        <v>222.53</v>
      </c>
      <c r="F12" s="4" t="str">
        <f t="shared" si="2"/>
        <v/>
      </c>
      <c r="G12" s="4" t="str">
        <f t="shared" ca="1" si="3"/>
        <v/>
      </c>
      <c r="H12" t="str">
        <f t="shared" ca="1" si="4"/>
        <v/>
      </c>
      <c r="I12" s="17">
        <f t="shared" si="5"/>
        <v>116.75</v>
      </c>
      <c r="J12" s="17" t="str">
        <f t="shared" si="6"/>
        <v>2017 Canada Cup</v>
      </c>
      <c r="K12" s="17">
        <f t="shared" si="7"/>
        <v>62.129999999999995</v>
      </c>
      <c r="L12" s="17" t="str">
        <f t="shared" si="8"/>
        <v>2017 Nationals</v>
      </c>
      <c r="M12" s="17">
        <f t="shared" si="9"/>
        <v>43.65</v>
      </c>
      <c r="N12" s="17" t="str">
        <f t="shared" si="10"/>
        <v>2017 Nationals</v>
      </c>
      <c r="O12" s="17">
        <f t="shared" si="11"/>
        <v>0</v>
      </c>
      <c r="P12" s="17" t="str">
        <f t="shared" si="12"/>
        <v/>
      </c>
      <c r="Q12" s="17" t="str">
        <f t="shared" si="13"/>
        <v/>
      </c>
      <c r="R12" s="44" t="str">
        <f t="shared" si="14"/>
        <v/>
      </c>
      <c r="S12" s="17" t="str">
        <f t="shared" si="15"/>
        <v/>
      </c>
      <c r="T12" s="71">
        <v>35.700000000000003</v>
      </c>
      <c r="U12" s="71">
        <v>0</v>
      </c>
      <c r="V12" s="71">
        <v>0</v>
      </c>
      <c r="W12" s="71">
        <v>0</v>
      </c>
      <c r="X12" s="71">
        <v>29.55</v>
      </c>
      <c r="Y12" s="71">
        <v>0</v>
      </c>
      <c r="Z12" s="71">
        <v>0</v>
      </c>
      <c r="AA12" s="71">
        <v>0</v>
      </c>
      <c r="AB12" s="71">
        <v>17.3</v>
      </c>
      <c r="AC12" s="71">
        <v>0</v>
      </c>
      <c r="AD12" s="71">
        <v>0</v>
      </c>
      <c r="AE12" s="71">
        <v>0</v>
      </c>
      <c r="AF12" s="71">
        <v>34.200000000000003</v>
      </c>
      <c r="AG12" s="71">
        <v>0</v>
      </c>
      <c r="AH12" s="71">
        <v>0</v>
      </c>
      <c r="AI12" s="71">
        <v>0</v>
      </c>
      <c r="AJ12" s="71"/>
      <c r="AK12" s="71"/>
      <c r="AL12" s="71"/>
      <c r="AM12" s="71"/>
      <c r="AN12" s="71"/>
      <c r="AO12" s="71"/>
      <c r="AP12" s="71"/>
      <c r="AQ12" s="71"/>
      <c r="AR12" s="13" t="str">
        <f t="shared" si="16"/>
        <v/>
      </c>
      <c r="AS12" s="13">
        <f t="shared" si="17"/>
        <v>116.75</v>
      </c>
      <c r="AT12" s="13">
        <f t="shared" si="18"/>
        <v>65.25</v>
      </c>
      <c r="AU12" s="13">
        <f t="shared" si="19"/>
        <v>51.5</v>
      </c>
      <c r="AV12" s="13" t="str">
        <f t="shared" si="20"/>
        <v/>
      </c>
      <c r="AW12" s="13">
        <f t="shared" si="21"/>
        <v>116.75</v>
      </c>
      <c r="AX12" s="72">
        <v>35.75</v>
      </c>
      <c r="AY12" s="72">
        <v>0</v>
      </c>
      <c r="AZ12" s="72">
        <v>0</v>
      </c>
      <c r="BA12" s="72">
        <v>0</v>
      </c>
      <c r="BB12" s="72">
        <v>26.38</v>
      </c>
      <c r="BC12" s="72">
        <v>0</v>
      </c>
      <c r="BD12" s="72">
        <v>0</v>
      </c>
      <c r="BE12" s="72">
        <v>0</v>
      </c>
      <c r="BF12" s="72">
        <v>8.65</v>
      </c>
      <c r="BG12" s="72">
        <v>0</v>
      </c>
      <c r="BH12" s="72">
        <v>0</v>
      </c>
      <c r="BI12" s="72">
        <v>0</v>
      </c>
      <c r="BJ12" s="72">
        <v>35</v>
      </c>
      <c r="BK12" s="72">
        <v>0</v>
      </c>
      <c r="BL12" s="72">
        <v>0</v>
      </c>
      <c r="BM12" s="72">
        <v>0</v>
      </c>
      <c r="BN12" s="74"/>
      <c r="BO12" s="74"/>
      <c r="BP12" s="74"/>
      <c r="BQ12" s="74"/>
      <c r="BR12" s="74"/>
      <c r="BS12" s="74"/>
      <c r="BT12" s="74"/>
      <c r="BU12" s="74"/>
      <c r="BV12" s="17" t="str">
        <f t="shared" si="22"/>
        <v/>
      </c>
      <c r="BW12" s="17">
        <f t="shared" si="23"/>
        <v>105.78</v>
      </c>
      <c r="BX12" s="17">
        <f t="shared" si="24"/>
        <v>62.129999999999995</v>
      </c>
      <c r="BY12" s="17">
        <f t="shared" si="25"/>
        <v>43.65</v>
      </c>
      <c r="BZ12" s="17" t="str">
        <f t="shared" si="26"/>
        <v/>
      </c>
      <c r="CA12" s="17">
        <f t="shared" si="27"/>
        <v>105.78</v>
      </c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13" t="str">
        <f t="shared" si="28"/>
        <v/>
      </c>
      <c r="DA12" s="13" t="str">
        <f t="shared" si="29"/>
        <v/>
      </c>
      <c r="DB12" s="13" t="str">
        <f t="shared" si="30"/>
        <v/>
      </c>
      <c r="DC12" s="13" t="str">
        <f t="shared" si="31"/>
        <v/>
      </c>
      <c r="DD12" s="13" t="str">
        <f t="shared" si="32"/>
        <v/>
      </c>
      <c r="DE12" s="13" t="str">
        <f t="shared" si="33"/>
        <v/>
      </c>
      <c r="DF12" s="43" t="str">
        <f t="shared" si="34"/>
        <v/>
      </c>
      <c r="DG12" s="43" t="str">
        <f t="shared" si="35"/>
        <v/>
      </c>
      <c r="DH12" s="43" t="str">
        <f t="shared" si="36"/>
        <v/>
      </c>
      <c r="DI12" s="60"/>
      <c r="DJ12" s="60"/>
      <c r="DK12" s="60"/>
      <c r="DL12" s="60"/>
      <c r="DM12" s="60"/>
      <c r="DN12" s="60"/>
      <c r="DO12" s="60"/>
      <c r="DP12" s="60"/>
      <c r="DQ12" s="60"/>
      <c r="DR12" s="60"/>
      <c r="DS12" s="60"/>
      <c r="DT12" s="60"/>
      <c r="DU12" s="60"/>
      <c r="DV12" s="60"/>
      <c r="DW12" s="60"/>
      <c r="DX12" s="60"/>
      <c r="DY12" s="60"/>
      <c r="DZ12" s="60"/>
      <c r="EA12" s="60"/>
      <c r="EB12" s="60"/>
      <c r="EC12" s="60"/>
      <c r="ED12" s="60"/>
      <c r="EE12" s="60"/>
      <c r="EF12" s="60"/>
      <c r="EG12" s="13" t="str">
        <f t="shared" si="37"/>
        <v/>
      </c>
      <c r="EH12" s="13" t="str">
        <f t="shared" si="38"/>
        <v/>
      </c>
      <c r="EI12" s="13" t="str">
        <f t="shared" si="39"/>
        <v/>
      </c>
      <c r="EJ12" s="13" t="str">
        <f t="shared" si="40"/>
        <v/>
      </c>
      <c r="EK12" s="13" t="str">
        <f t="shared" si="41"/>
        <v/>
      </c>
      <c r="EL12" s="13" t="str">
        <f t="shared" si="42"/>
        <v/>
      </c>
      <c r="EM12" s="68"/>
      <c r="EN12" s="68"/>
      <c r="EO12" s="68"/>
      <c r="EP12" s="68"/>
      <c r="EQ12" s="68"/>
      <c r="ER12" s="68"/>
      <c r="ES12" s="68"/>
      <c r="ET12" s="68"/>
      <c r="EU12" s="68"/>
      <c r="EV12" s="68"/>
      <c r="EW12" s="68"/>
      <c r="EX12" s="68"/>
      <c r="EY12" s="68"/>
      <c r="EZ12" s="68"/>
      <c r="FA12" s="68"/>
      <c r="FB12" s="68"/>
      <c r="FC12" s="68"/>
      <c r="FD12" s="68"/>
      <c r="FE12" s="68"/>
      <c r="FF12" s="68"/>
      <c r="FG12" s="68"/>
      <c r="FH12" s="68"/>
      <c r="FI12" s="68"/>
      <c r="FJ12" s="68"/>
      <c r="FK12" s="17" t="str">
        <f t="shared" si="43"/>
        <v/>
      </c>
      <c r="FL12" s="17" t="str">
        <f t="shared" si="44"/>
        <v/>
      </c>
      <c r="FM12" s="17" t="str">
        <f t="shared" si="45"/>
        <v/>
      </c>
      <c r="FN12" s="17" t="str">
        <f t="shared" si="46"/>
        <v/>
      </c>
      <c r="FO12" s="17" t="str">
        <f t="shared" si="47"/>
        <v/>
      </c>
      <c r="FP12" s="17" t="str">
        <f t="shared" si="48"/>
        <v/>
      </c>
      <c r="FQ12" s="69"/>
      <c r="FR12" s="69"/>
      <c r="FS12" s="69"/>
      <c r="FT12" s="69"/>
      <c r="FU12" s="69"/>
      <c r="FV12" s="69"/>
      <c r="FW12" s="69"/>
      <c r="FX12" s="69"/>
      <c r="FY12" s="69"/>
      <c r="FZ12" s="69"/>
      <c r="GA12" s="69"/>
      <c r="GB12" s="69"/>
      <c r="GC12" s="69"/>
      <c r="GD12" s="69"/>
      <c r="GE12" s="69"/>
      <c r="GF12" s="69"/>
      <c r="GG12" s="69"/>
      <c r="GH12" s="69"/>
      <c r="GI12" s="69"/>
      <c r="GJ12" s="69"/>
      <c r="GK12" s="69"/>
      <c r="GL12" s="69"/>
      <c r="GM12" s="69"/>
      <c r="GN12" s="69"/>
      <c r="GO12" s="13" t="str">
        <f t="shared" si="49"/>
        <v/>
      </c>
      <c r="GP12" s="13" t="str">
        <f t="shared" si="50"/>
        <v/>
      </c>
      <c r="GQ12" s="13" t="str">
        <f t="shared" si="51"/>
        <v/>
      </c>
      <c r="GR12" s="13" t="str">
        <f t="shared" si="52"/>
        <v/>
      </c>
      <c r="GS12" s="13" t="str">
        <f t="shared" si="53"/>
        <v/>
      </c>
      <c r="GT12" s="13" t="str">
        <f t="shared" si="54"/>
        <v/>
      </c>
      <c r="GU12" s="68"/>
      <c r="GV12" s="68"/>
      <c r="GW12" s="68"/>
      <c r="GX12" s="68"/>
      <c r="GY12" s="68"/>
      <c r="GZ12" s="68"/>
      <c r="HA12" s="68"/>
      <c r="HB12" s="68"/>
      <c r="HC12" s="68"/>
      <c r="HD12" s="68"/>
      <c r="HE12" s="68"/>
      <c r="HF12" s="68"/>
      <c r="HG12" s="68"/>
      <c r="HH12" s="68"/>
      <c r="HI12" s="68"/>
      <c r="HJ12" s="68"/>
      <c r="HK12" s="68"/>
      <c r="HL12" s="68"/>
      <c r="HM12" s="68"/>
      <c r="HN12" s="68"/>
      <c r="HO12" s="68"/>
      <c r="HP12" s="68"/>
      <c r="HQ12" s="68"/>
      <c r="HR12" s="68"/>
      <c r="HS12" s="17" t="str">
        <f t="shared" si="55"/>
        <v/>
      </c>
      <c r="HT12" s="17" t="str">
        <f t="shared" si="56"/>
        <v/>
      </c>
      <c r="HU12" s="17" t="str">
        <f t="shared" si="57"/>
        <v/>
      </c>
      <c r="HV12" s="17" t="str">
        <f t="shared" si="58"/>
        <v/>
      </c>
      <c r="HW12" s="17" t="str">
        <f t="shared" si="59"/>
        <v/>
      </c>
      <c r="HX12" s="17" t="str">
        <f t="shared" si="60"/>
        <v/>
      </c>
      <c r="HY12" s="69"/>
      <c r="HZ12" s="69"/>
      <c r="IA12" s="69"/>
      <c r="IB12" s="69"/>
      <c r="IC12" s="69"/>
      <c r="ID12" s="69"/>
      <c r="IE12" s="69"/>
      <c r="IF12" s="69"/>
      <c r="IG12" s="69"/>
      <c r="IH12" s="69"/>
      <c r="II12" s="69"/>
      <c r="IJ12" s="69"/>
      <c r="IK12" s="69"/>
      <c r="IL12" s="69"/>
      <c r="IM12" s="69"/>
      <c r="IN12" s="69"/>
      <c r="IO12" s="69"/>
      <c r="IP12" s="69"/>
      <c r="IQ12" s="69"/>
      <c r="IR12" s="69"/>
      <c r="IS12" s="69"/>
      <c r="IT12" s="69"/>
      <c r="IU12" s="69"/>
      <c r="IV12" s="69"/>
      <c r="IW12" s="13" t="str">
        <f t="shared" si="61"/>
        <v/>
      </c>
      <c r="IX12" s="13" t="str">
        <f t="shared" si="62"/>
        <v/>
      </c>
      <c r="IY12" s="13" t="str">
        <f t="shared" si="63"/>
        <v/>
      </c>
      <c r="IZ12" s="13" t="str">
        <f t="shared" si="64"/>
        <v/>
      </c>
      <c r="JA12" s="13" t="str">
        <f t="shared" si="65"/>
        <v/>
      </c>
      <c r="JB12" s="13" t="str">
        <f t="shared" si="66"/>
        <v/>
      </c>
      <c r="JC12" s="68"/>
      <c r="JD12" s="68"/>
      <c r="JE12" s="68"/>
      <c r="JF12" s="68"/>
      <c r="JG12" s="68"/>
      <c r="JH12" s="68"/>
      <c r="JI12" s="68"/>
      <c r="JJ12" s="68"/>
      <c r="JK12" s="68"/>
      <c r="JL12" s="68"/>
      <c r="JM12" s="68"/>
      <c r="JN12" s="68"/>
      <c r="JO12" s="68"/>
      <c r="JP12" s="68"/>
      <c r="JQ12" s="68"/>
      <c r="JR12" s="68"/>
      <c r="JS12" s="68"/>
      <c r="JT12" s="68"/>
      <c r="JU12" s="68"/>
      <c r="JV12" s="68"/>
      <c r="JW12" s="68"/>
      <c r="JX12" s="68"/>
      <c r="JY12" s="68"/>
      <c r="JZ12" s="68"/>
      <c r="KA12" s="17" t="str">
        <f t="shared" si="67"/>
        <v/>
      </c>
      <c r="KB12" s="17" t="str">
        <f t="shared" si="68"/>
        <v/>
      </c>
      <c r="KC12" s="17" t="str">
        <f t="shared" si="69"/>
        <v/>
      </c>
      <c r="KD12" s="17" t="str">
        <f t="shared" si="70"/>
        <v/>
      </c>
      <c r="KE12" s="17" t="str">
        <f t="shared" si="71"/>
        <v/>
      </c>
      <c r="KF12" s="17" t="str">
        <f t="shared" si="72"/>
        <v/>
      </c>
      <c r="KG12" s="69"/>
      <c r="KH12" s="69"/>
      <c r="KI12" s="69"/>
      <c r="KJ12" s="69"/>
      <c r="KK12" s="69"/>
      <c r="KL12" s="69"/>
      <c r="KM12" s="69"/>
      <c r="KN12" s="69"/>
      <c r="KO12" s="69"/>
      <c r="KP12" s="69"/>
      <c r="KQ12" s="69"/>
      <c r="KR12" s="69"/>
      <c r="KS12" s="69"/>
      <c r="KT12" s="69"/>
      <c r="KU12" s="69"/>
      <c r="KV12" s="69"/>
      <c r="KW12" s="69"/>
      <c r="KX12" s="69"/>
      <c r="KY12" s="69"/>
      <c r="KZ12" s="69"/>
      <c r="LA12" s="69"/>
      <c r="LB12" s="69"/>
      <c r="LC12" s="69"/>
      <c r="LD12" s="69"/>
      <c r="LE12" s="13" t="str">
        <f t="shared" si="73"/>
        <v/>
      </c>
      <c r="LF12" s="13" t="str">
        <f t="shared" si="74"/>
        <v/>
      </c>
      <c r="LG12" s="13" t="str">
        <f t="shared" si="75"/>
        <v/>
      </c>
      <c r="LH12" s="13" t="str">
        <f t="shared" si="76"/>
        <v/>
      </c>
      <c r="LI12" s="13" t="str">
        <f t="shared" si="77"/>
        <v/>
      </c>
      <c r="LJ12" s="13" t="str">
        <f t="shared" si="78"/>
        <v/>
      </c>
      <c r="LK12" s="68"/>
      <c r="LL12" s="68"/>
      <c r="LM12" s="68"/>
      <c r="LN12" s="68"/>
      <c r="LO12" s="68"/>
      <c r="LP12" s="68"/>
      <c r="LQ12" s="68"/>
      <c r="LR12" s="68"/>
      <c r="LS12" s="68"/>
      <c r="LT12" s="68"/>
      <c r="LU12" s="68"/>
      <c r="LV12" s="68"/>
      <c r="LW12" s="68"/>
      <c r="LX12" s="68"/>
      <c r="LY12" s="68"/>
      <c r="LZ12" s="68"/>
      <c r="MA12" s="68"/>
      <c r="MB12" s="68"/>
      <c r="MC12" s="68"/>
      <c r="MD12" s="68"/>
      <c r="ME12" s="68"/>
      <c r="MF12" s="68"/>
      <c r="MG12" s="68"/>
      <c r="MH12" s="68"/>
      <c r="MI12" s="17" t="str">
        <f t="shared" si="79"/>
        <v/>
      </c>
      <c r="MJ12" s="17" t="str">
        <f t="shared" si="80"/>
        <v/>
      </c>
      <c r="MK12" s="17" t="str">
        <f t="shared" si="81"/>
        <v/>
      </c>
      <c r="ML12" s="17" t="str">
        <f t="shared" si="82"/>
        <v/>
      </c>
      <c r="MM12" s="17" t="str">
        <f t="shared" si="83"/>
        <v/>
      </c>
      <c r="MN12" s="17" t="str">
        <f t="shared" si="84"/>
        <v/>
      </c>
      <c r="MO12" s="69"/>
      <c r="MP12" s="69"/>
      <c r="MQ12" s="69"/>
      <c r="MR12" s="69"/>
      <c r="MS12" s="69"/>
      <c r="MT12" s="69"/>
      <c r="MU12" s="69"/>
      <c r="MV12" s="69"/>
      <c r="MW12" s="69"/>
      <c r="MX12" s="69"/>
      <c r="MY12" s="69"/>
      <c r="MZ12" s="69"/>
      <c r="NA12" s="69"/>
      <c r="NB12" s="69"/>
      <c r="NC12" s="69"/>
      <c r="ND12" s="69"/>
      <c r="NE12" s="69"/>
      <c r="NF12" s="69"/>
      <c r="NG12" s="69"/>
      <c r="NH12" s="69"/>
      <c r="NI12" s="69"/>
      <c r="NJ12" s="69"/>
      <c r="NK12" s="69"/>
      <c r="NL12" s="69"/>
      <c r="NM12" s="13" t="str">
        <f t="shared" si="85"/>
        <v/>
      </c>
      <c r="NN12" s="13" t="str">
        <f t="shared" si="86"/>
        <v/>
      </c>
      <c r="NO12" s="13" t="str">
        <f t="shared" si="87"/>
        <v/>
      </c>
      <c r="NP12" s="13" t="str">
        <f t="shared" si="88"/>
        <v/>
      </c>
      <c r="NQ12" s="13" t="str">
        <f t="shared" si="89"/>
        <v/>
      </c>
      <c r="NR12" s="13" t="str">
        <f t="shared" si="90"/>
        <v/>
      </c>
      <c r="NS12" s="68"/>
      <c r="NT12" s="68"/>
      <c r="NU12" s="68"/>
      <c r="NV12" s="68"/>
      <c r="NW12" s="68"/>
      <c r="NX12" s="68"/>
      <c r="NY12" s="68"/>
      <c r="NZ12" s="68"/>
      <c r="OA12" s="68"/>
      <c r="OB12" s="68"/>
      <c r="OC12" s="68"/>
      <c r="OD12" s="68"/>
      <c r="OE12" s="68"/>
      <c r="OF12" s="68"/>
      <c r="OG12" s="68"/>
      <c r="OH12" s="68"/>
      <c r="OI12" s="68"/>
      <c r="OJ12" s="68"/>
      <c r="OK12" s="68"/>
      <c r="OL12" s="68"/>
      <c r="OM12" s="68"/>
      <c r="ON12" s="68"/>
      <c r="OO12" s="68"/>
      <c r="OP12" s="68"/>
      <c r="OQ12" s="17" t="str">
        <f t="shared" si="91"/>
        <v/>
      </c>
      <c r="OR12" s="17" t="str">
        <f t="shared" si="92"/>
        <v/>
      </c>
      <c r="OS12" s="17" t="str">
        <f t="shared" si="93"/>
        <v/>
      </c>
      <c r="OT12" s="17" t="str">
        <f t="shared" si="94"/>
        <v/>
      </c>
      <c r="OU12" s="17" t="str">
        <f t="shared" si="95"/>
        <v/>
      </c>
      <c r="OV12" s="17" t="str">
        <f t="shared" si="96"/>
        <v/>
      </c>
      <c r="OW12" s="69"/>
      <c r="OX12" s="69"/>
      <c r="OY12" s="69"/>
      <c r="OZ12" s="69"/>
      <c r="PA12" s="69"/>
      <c r="PB12" s="69"/>
      <c r="PC12" s="69"/>
      <c r="PD12" s="69"/>
      <c r="PE12" s="69"/>
      <c r="PF12" s="69"/>
      <c r="PG12" s="69"/>
      <c r="PH12" s="69"/>
      <c r="PI12" s="69"/>
      <c r="PJ12" s="69"/>
      <c r="PK12" s="69"/>
      <c r="PL12" s="69"/>
      <c r="PM12" s="69"/>
      <c r="PN12" s="69"/>
      <c r="PO12" s="69"/>
      <c r="PP12" s="69"/>
      <c r="PQ12" s="69"/>
      <c r="PR12" s="69"/>
      <c r="PS12" s="69"/>
      <c r="PT12" s="69"/>
      <c r="PU12" s="13" t="str">
        <f t="shared" si="97"/>
        <v/>
      </c>
      <c r="PV12" s="13" t="str">
        <f t="shared" si="98"/>
        <v/>
      </c>
      <c r="PW12" s="13" t="str">
        <f t="shared" si="99"/>
        <v/>
      </c>
      <c r="PX12" s="13" t="str">
        <f t="shared" si="100"/>
        <v/>
      </c>
      <c r="PY12" s="13" t="str">
        <f t="shared" si="101"/>
        <v/>
      </c>
      <c r="PZ12" s="13" t="str">
        <f t="shared" si="102"/>
        <v/>
      </c>
      <c r="QA12" s="68"/>
      <c r="QB12" s="68"/>
      <c r="QC12" s="68"/>
      <c r="QD12" s="68"/>
      <c r="QE12" s="68"/>
      <c r="QF12" s="68"/>
      <c r="QG12" s="68"/>
      <c r="QH12" s="68"/>
      <c r="QI12" s="68"/>
      <c r="QJ12" s="68"/>
      <c r="QK12" s="68"/>
      <c r="QL12" s="68"/>
      <c r="QM12" s="68"/>
      <c r="QN12" s="68"/>
      <c r="QO12" s="68"/>
      <c r="QP12" s="68"/>
      <c r="QQ12" s="68"/>
      <c r="QR12" s="68"/>
      <c r="QS12" s="68"/>
      <c r="QT12" s="68"/>
      <c r="QU12" s="68"/>
      <c r="QV12" s="68"/>
      <c r="QW12" s="68"/>
      <c r="QX12" s="68"/>
      <c r="QY12" s="17" t="str">
        <f t="shared" si="103"/>
        <v/>
      </c>
      <c r="QZ12" s="17" t="str">
        <f t="shared" si="104"/>
        <v/>
      </c>
      <c r="RA12" s="17" t="str">
        <f t="shared" si="105"/>
        <v/>
      </c>
      <c r="RB12" s="17" t="str">
        <f t="shared" si="106"/>
        <v/>
      </c>
      <c r="RC12" s="17" t="str">
        <f t="shared" si="107"/>
        <v/>
      </c>
      <c r="RD12" s="17" t="str">
        <f t="shared" si="108"/>
        <v/>
      </c>
    </row>
    <row r="13" spans="1:472" x14ac:dyDescent="0.2">
      <c r="A13" s="6" t="str">
        <f t="shared" ca="1" si="0"/>
        <v/>
      </c>
      <c r="B13" s="9" t="s">
        <v>81</v>
      </c>
      <c r="C13" s="5" t="s">
        <v>6</v>
      </c>
      <c r="D13" s="6">
        <v>2016</v>
      </c>
      <c r="E13" s="18">
        <f t="shared" si="1"/>
        <v>195</v>
      </c>
      <c r="F13" s="4" t="str">
        <f t="shared" si="2"/>
        <v/>
      </c>
      <c r="G13" s="4" t="str">
        <f t="shared" ca="1" si="3"/>
        <v/>
      </c>
      <c r="H13" t="str">
        <f t="shared" ca="1" si="4"/>
        <v/>
      </c>
      <c r="I13" s="17">
        <f t="shared" si="5"/>
        <v>128.69999999999999</v>
      </c>
      <c r="J13" s="17" t="str">
        <f t="shared" si="6"/>
        <v>2017 Nationals</v>
      </c>
      <c r="K13" s="17">
        <f t="shared" si="7"/>
        <v>0</v>
      </c>
      <c r="L13" s="17" t="str">
        <f t="shared" si="8"/>
        <v/>
      </c>
      <c r="M13" s="17">
        <f t="shared" si="9"/>
        <v>0</v>
      </c>
      <c r="N13" s="17" t="str">
        <f t="shared" si="10"/>
        <v/>
      </c>
      <c r="O13" s="17">
        <f t="shared" si="11"/>
        <v>66.3</v>
      </c>
      <c r="P13" s="17" t="str">
        <f t="shared" si="12"/>
        <v>2017 Nationals</v>
      </c>
      <c r="Q13" s="17" t="str">
        <f t="shared" si="13"/>
        <v/>
      </c>
      <c r="R13" s="44" t="str">
        <f t="shared" si="14"/>
        <v/>
      </c>
      <c r="S13" s="17" t="str">
        <f t="shared" si="15"/>
        <v/>
      </c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13" t="str">
        <f t="shared" si="16"/>
        <v/>
      </c>
      <c r="AS13" s="13" t="str">
        <f t="shared" si="17"/>
        <v/>
      </c>
      <c r="AT13" s="13" t="str">
        <f t="shared" si="18"/>
        <v/>
      </c>
      <c r="AU13" s="13" t="str">
        <f t="shared" si="19"/>
        <v/>
      </c>
      <c r="AV13" s="13" t="str">
        <f t="shared" si="20"/>
        <v/>
      </c>
      <c r="AW13" s="13" t="str">
        <f t="shared" si="21"/>
        <v/>
      </c>
      <c r="AX13" s="62">
        <v>27.7</v>
      </c>
      <c r="AY13" s="62">
        <v>5.6</v>
      </c>
      <c r="AZ13" s="62">
        <v>0</v>
      </c>
      <c r="BA13" s="62">
        <v>0</v>
      </c>
      <c r="BB13" s="62">
        <v>27.9</v>
      </c>
      <c r="BC13" s="62">
        <v>5.6</v>
      </c>
      <c r="BD13" s="62">
        <v>0.9</v>
      </c>
      <c r="BE13" s="62">
        <v>0</v>
      </c>
      <c r="BF13" s="62">
        <v>27.3</v>
      </c>
      <c r="BG13" s="62">
        <v>5.2</v>
      </c>
      <c r="BH13" s="62">
        <v>0.3</v>
      </c>
      <c r="BI13" s="62">
        <v>0</v>
      </c>
      <c r="BJ13" s="62">
        <v>26.9</v>
      </c>
      <c r="BK13" s="62">
        <v>5.2</v>
      </c>
      <c r="BL13" s="62">
        <v>1.5</v>
      </c>
      <c r="BM13" s="62">
        <v>0</v>
      </c>
      <c r="BN13" s="62">
        <v>27.8</v>
      </c>
      <c r="BO13" s="62">
        <v>5.6</v>
      </c>
      <c r="BP13" s="62">
        <v>0</v>
      </c>
      <c r="BQ13" s="62">
        <v>0</v>
      </c>
      <c r="BR13" s="62">
        <v>27.6</v>
      </c>
      <c r="BS13" s="62">
        <v>5.6</v>
      </c>
      <c r="BT13" s="62">
        <v>0.3</v>
      </c>
      <c r="BU13" s="62">
        <v>0</v>
      </c>
      <c r="BV13" s="17">
        <f t="shared" si="22"/>
        <v>21.599999999999998</v>
      </c>
      <c r="BW13" s="17">
        <f t="shared" si="23"/>
        <v>128.69999999999999</v>
      </c>
      <c r="BX13" s="17">
        <f t="shared" si="24"/>
        <v>65.899999999999991</v>
      </c>
      <c r="BY13" s="17">
        <f t="shared" si="25"/>
        <v>62.8</v>
      </c>
      <c r="BZ13" s="17">
        <f t="shared" si="26"/>
        <v>66.3</v>
      </c>
      <c r="CA13" s="17">
        <f t="shared" si="27"/>
        <v>195</v>
      </c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13" t="str">
        <f t="shared" si="28"/>
        <v/>
      </c>
      <c r="DA13" s="13" t="str">
        <f t="shared" si="29"/>
        <v/>
      </c>
      <c r="DB13" s="13" t="str">
        <f t="shared" si="30"/>
        <v/>
      </c>
      <c r="DC13" s="13" t="str">
        <f t="shared" si="31"/>
        <v/>
      </c>
      <c r="DD13" s="13" t="str">
        <f t="shared" si="32"/>
        <v/>
      </c>
      <c r="DE13" s="13" t="str">
        <f t="shared" si="33"/>
        <v/>
      </c>
      <c r="DF13" s="43" t="str">
        <f t="shared" si="34"/>
        <v/>
      </c>
      <c r="DG13" s="43" t="str">
        <f t="shared" si="35"/>
        <v/>
      </c>
      <c r="DH13" s="43" t="str">
        <f t="shared" si="36"/>
        <v/>
      </c>
      <c r="DI13" s="60"/>
      <c r="DJ13" s="60"/>
      <c r="DK13" s="60"/>
      <c r="DL13" s="60"/>
      <c r="DM13" s="60"/>
      <c r="DN13" s="60"/>
      <c r="DO13" s="60"/>
      <c r="DP13" s="60"/>
      <c r="DQ13" s="60"/>
      <c r="DR13" s="60"/>
      <c r="DS13" s="60"/>
      <c r="DT13" s="60"/>
      <c r="DU13" s="60"/>
      <c r="DV13" s="60"/>
      <c r="DW13" s="60"/>
      <c r="DX13" s="60"/>
      <c r="DY13" s="60"/>
      <c r="DZ13" s="60"/>
      <c r="EA13" s="60"/>
      <c r="EB13" s="60"/>
      <c r="EC13" s="60"/>
      <c r="ED13" s="60"/>
      <c r="EE13" s="60"/>
      <c r="EF13" s="60"/>
      <c r="EG13" s="13" t="str">
        <f t="shared" si="37"/>
        <v/>
      </c>
      <c r="EH13" s="13" t="str">
        <f t="shared" si="38"/>
        <v/>
      </c>
      <c r="EI13" s="13" t="str">
        <f t="shared" si="39"/>
        <v/>
      </c>
      <c r="EJ13" s="13" t="str">
        <f t="shared" si="40"/>
        <v/>
      </c>
      <c r="EK13" s="13" t="str">
        <f t="shared" si="41"/>
        <v/>
      </c>
      <c r="EL13" s="13" t="str">
        <f t="shared" si="42"/>
        <v/>
      </c>
      <c r="EM13" s="68"/>
      <c r="EN13" s="68"/>
      <c r="EO13" s="68"/>
      <c r="EP13" s="68"/>
      <c r="EQ13" s="68"/>
      <c r="ER13" s="68"/>
      <c r="ES13" s="68"/>
      <c r="ET13" s="68"/>
      <c r="EU13" s="68"/>
      <c r="EV13" s="68"/>
      <c r="EW13" s="68"/>
      <c r="EX13" s="68"/>
      <c r="EY13" s="68"/>
      <c r="EZ13" s="68"/>
      <c r="FA13" s="68"/>
      <c r="FB13" s="68"/>
      <c r="FC13" s="68"/>
      <c r="FD13" s="68"/>
      <c r="FE13" s="68"/>
      <c r="FF13" s="68"/>
      <c r="FG13" s="68"/>
      <c r="FH13" s="68"/>
      <c r="FI13" s="68"/>
      <c r="FJ13" s="68"/>
      <c r="FK13" s="17" t="str">
        <f t="shared" si="43"/>
        <v/>
      </c>
      <c r="FL13" s="17" t="str">
        <f t="shared" si="44"/>
        <v/>
      </c>
      <c r="FM13" s="17" t="str">
        <f t="shared" si="45"/>
        <v/>
      </c>
      <c r="FN13" s="17" t="str">
        <f t="shared" si="46"/>
        <v/>
      </c>
      <c r="FO13" s="17" t="str">
        <f t="shared" si="47"/>
        <v/>
      </c>
      <c r="FP13" s="17" t="str">
        <f t="shared" si="48"/>
        <v/>
      </c>
      <c r="FQ13" s="69"/>
      <c r="FR13" s="69"/>
      <c r="FS13" s="69"/>
      <c r="FT13" s="69"/>
      <c r="FU13" s="69"/>
      <c r="FV13" s="69"/>
      <c r="FW13" s="69"/>
      <c r="FX13" s="69"/>
      <c r="FY13" s="69"/>
      <c r="FZ13" s="69"/>
      <c r="GA13" s="69"/>
      <c r="GB13" s="69"/>
      <c r="GC13" s="69"/>
      <c r="GD13" s="69"/>
      <c r="GE13" s="69"/>
      <c r="GF13" s="69"/>
      <c r="GG13" s="69"/>
      <c r="GH13" s="69"/>
      <c r="GI13" s="69"/>
      <c r="GJ13" s="69"/>
      <c r="GK13" s="69"/>
      <c r="GL13" s="69"/>
      <c r="GM13" s="69"/>
      <c r="GN13" s="69"/>
      <c r="GO13" s="13" t="str">
        <f t="shared" si="49"/>
        <v/>
      </c>
      <c r="GP13" s="13" t="str">
        <f t="shared" si="50"/>
        <v/>
      </c>
      <c r="GQ13" s="13" t="str">
        <f t="shared" si="51"/>
        <v/>
      </c>
      <c r="GR13" s="13" t="str">
        <f t="shared" si="52"/>
        <v/>
      </c>
      <c r="GS13" s="13" t="str">
        <f t="shared" si="53"/>
        <v/>
      </c>
      <c r="GT13" s="13" t="str">
        <f t="shared" si="54"/>
        <v/>
      </c>
      <c r="GU13" s="68"/>
      <c r="GV13" s="68"/>
      <c r="GW13" s="68"/>
      <c r="GX13" s="68"/>
      <c r="GY13" s="68"/>
      <c r="GZ13" s="68"/>
      <c r="HA13" s="68"/>
      <c r="HB13" s="68"/>
      <c r="HC13" s="68"/>
      <c r="HD13" s="68"/>
      <c r="HE13" s="68"/>
      <c r="HF13" s="68"/>
      <c r="HG13" s="68"/>
      <c r="HH13" s="68"/>
      <c r="HI13" s="68"/>
      <c r="HJ13" s="68"/>
      <c r="HK13" s="68"/>
      <c r="HL13" s="68"/>
      <c r="HM13" s="68"/>
      <c r="HN13" s="68"/>
      <c r="HO13" s="68"/>
      <c r="HP13" s="68"/>
      <c r="HQ13" s="68"/>
      <c r="HR13" s="68"/>
      <c r="HS13" s="17" t="str">
        <f t="shared" si="55"/>
        <v/>
      </c>
      <c r="HT13" s="17" t="str">
        <f t="shared" si="56"/>
        <v/>
      </c>
      <c r="HU13" s="17" t="str">
        <f t="shared" si="57"/>
        <v/>
      </c>
      <c r="HV13" s="17" t="str">
        <f t="shared" si="58"/>
        <v/>
      </c>
      <c r="HW13" s="17" t="str">
        <f t="shared" si="59"/>
        <v/>
      </c>
      <c r="HX13" s="17" t="str">
        <f t="shared" si="60"/>
        <v/>
      </c>
      <c r="HY13" s="69"/>
      <c r="HZ13" s="69"/>
      <c r="IA13" s="69"/>
      <c r="IB13" s="69"/>
      <c r="IC13" s="69"/>
      <c r="ID13" s="69"/>
      <c r="IE13" s="69"/>
      <c r="IF13" s="69"/>
      <c r="IG13" s="69"/>
      <c r="IH13" s="69"/>
      <c r="II13" s="69"/>
      <c r="IJ13" s="69"/>
      <c r="IK13" s="69"/>
      <c r="IL13" s="69"/>
      <c r="IM13" s="69"/>
      <c r="IN13" s="69"/>
      <c r="IO13" s="69"/>
      <c r="IP13" s="69"/>
      <c r="IQ13" s="69"/>
      <c r="IR13" s="69"/>
      <c r="IS13" s="69"/>
      <c r="IT13" s="69"/>
      <c r="IU13" s="69"/>
      <c r="IV13" s="69"/>
      <c r="IW13" s="13" t="str">
        <f t="shared" si="61"/>
        <v/>
      </c>
      <c r="IX13" s="13" t="str">
        <f t="shared" si="62"/>
        <v/>
      </c>
      <c r="IY13" s="13" t="str">
        <f t="shared" si="63"/>
        <v/>
      </c>
      <c r="IZ13" s="13" t="str">
        <f t="shared" si="64"/>
        <v/>
      </c>
      <c r="JA13" s="13" t="str">
        <f t="shared" si="65"/>
        <v/>
      </c>
      <c r="JB13" s="13" t="str">
        <f t="shared" si="66"/>
        <v/>
      </c>
      <c r="JC13" s="68"/>
      <c r="JD13" s="68"/>
      <c r="JE13" s="68"/>
      <c r="JF13" s="68"/>
      <c r="JG13" s="68"/>
      <c r="JH13" s="68"/>
      <c r="JI13" s="68"/>
      <c r="JJ13" s="68"/>
      <c r="JK13" s="68"/>
      <c r="JL13" s="68"/>
      <c r="JM13" s="68"/>
      <c r="JN13" s="68"/>
      <c r="JO13" s="68"/>
      <c r="JP13" s="68"/>
      <c r="JQ13" s="68"/>
      <c r="JR13" s="68"/>
      <c r="JS13" s="68"/>
      <c r="JT13" s="68"/>
      <c r="JU13" s="68"/>
      <c r="JV13" s="68"/>
      <c r="JW13" s="68"/>
      <c r="JX13" s="68"/>
      <c r="JY13" s="68"/>
      <c r="JZ13" s="68"/>
      <c r="KA13" s="17" t="str">
        <f t="shared" si="67"/>
        <v/>
      </c>
      <c r="KB13" s="17" t="str">
        <f t="shared" si="68"/>
        <v/>
      </c>
      <c r="KC13" s="17" t="str">
        <f t="shared" si="69"/>
        <v/>
      </c>
      <c r="KD13" s="17" t="str">
        <f t="shared" si="70"/>
        <v/>
      </c>
      <c r="KE13" s="17" t="str">
        <f t="shared" si="71"/>
        <v/>
      </c>
      <c r="KF13" s="17" t="str">
        <f t="shared" si="72"/>
        <v/>
      </c>
      <c r="KG13" s="69"/>
      <c r="KH13" s="69"/>
      <c r="KI13" s="69"/>
      <c r="KJ13" s="69"/>
      <c r="KK13" s="69"/>
      <c r="KL13" s="69"/>
      <c r="KM13" s="69"/>
      <c r="KN13" s="69"/>
      <c r="KO13" s="69"/>
      <c r="KP13" s="69"/>
      <c r="KQ13" s="69"/>
      <c r="KR13" s="69"/>
      <c r="KS13" s="69"/>
      <c r="KT13" s="69"/>
      <c r="KU13" s="69"/>
      <c r="KV13" s="69"/>
      <c r="KW13" s="69"/>
      <c r="KX13" s="69"/>
      <c r="KY13" s="69"/>
      <c r="KZ13" s="69"/>
      <c r="LA13" s="69"/>
      <c r="LB13" s="69"/>
      <c r="LC13" s="69"/>
      <c r="LD13" s="69"/>
      <c r="LE13" s="13" t="str">
        <f t="shared" si="73"/>
        <v/>
      </c>
      <c r="LF13" s="13" t="str">
        <f t="shared" si="74"/>
        <v/>
      </c>
      <c r="LG13" s="13" t="str">
        <f t="shared" si="75"/>
        <v/>
      </c>
      <c r="LH13" s="13" t="str">
        <f t="shared" si="76"/>
        <v/>
      </c>
      <c r="LI13" s="13" t="str">
        <f t="shared" si="77"/>
        <v/>
      </c>
      <c r="LJ13" s="13" t="str">
        <f t="shared" si="78"/>
        <v/>
      </c>
      <c r="LK13" s="68"/>
      <c r="LL13" s="68"/>
      <c r="LM13" s="68"/>
      <c r="LN13" s="68"/>
      <c r="LO13" s="68"/>
      <c r="LP13" s="68"/>
      <c r="LQ13" s="68"/>
      <c r="LR13" s="68"/>
      <c r="LS13" s="68"/>
      <c r="LT13" s="68"/>
      <c r="LU13" s="68"/>
      <c r="LV13" s="68"/>
      <c r="LW13" s="68"/>
      <c r="LX13" s="68"/>
      <c r="LY13" s="68"/>
      <c r="LZ13" s="68"/>
      <c r="MA13" s="68"/>
      <c r="MB13" s="68"/>
      <c r="MC13" s="68"/>
      <c r="MD13" s="68"/>
      <c r="ME13" s="68"/>
      <c r="MF13" s="68"/>
      <c r="MG13" s="68"/>
      <c r="MH13" s="68"/>
      <c r="MI13" s="17" t="str">
        <f t="shared" si="79"/>
        <v/>
      </c>
      <c r="MJ13" s="17" t="str">
        <f t="shared" si="80"/>
        <v/>
      </c>
      <c r="MK13" s="17" t="str">
        <f t="shared" si="81"/>
        <v/>
      </c>
      <c r="ML13" s="17" t="str">
        <f t="shared" si="82"/>
        <v/>
      </c>
      <c r="MM13" s="17" t="str">
        <f t="shared" si="83"/>
        <v/>
      </c>
      <c r="MN13" s="17" t="str">
        <f t="shared" si="84"/>
        <v/>
      </c>
      <c r="MO13" s="69"/>
      <c r="MP13" s="69"/>
      <c r="MQ13" s="69"/>
      <c r="MR13" s="69"/>
      <c r="MS13" s="69"/>
      <c r="MT13" s="69"/>
      <c r="MU13" s="69"/>
      <c r="MV13" s="69"/>
      <c r="MW13" s="69"/>
      <c r="MX13" s="69"/>
      <c r="MY13" s="69"/>
      <c r="MZ13" s="69"/>
      <c r="NA13" s="69"/>
      <c r="NB13" s="69"/>
      <c r="NC13" s="69"/>
      <c r="ND13" s="69"/>
      <c r="NE13" s="69"/>
      <c r="NF13" s="69"/>
      <c r="NG13" s="69"/>
      <c r="NH13" s="69"/>
      <c r="NI13" s="69"/>
      <c r="NJ13" s="69"/>
      <c r="NK13" s="69"/>
      <c r="NL13" s="69"/>
      <c r="NM13" s="13" t="str">
        <f t="shared" si="85"/>
        <v/>
      </c>
      <c r="NN13" s="13" t="str">
        <f t="shared" si="86"/>
        <v/>
      </c>
      <c r="NO13" s="13" t="str">
        <f t="shared" si="87"/>
        <v/>
      </c>
      <c r="NP13" s="13" t="str">
        <f t="shared" si="88"/>
        <v/>
      </c>
      <c r="NQ13" s="13" t="str">
        <f t="shared" si="89"/>
        <v/>
      </c>
      <c r="NR13" s="13" t="str">
        <f t="shared" si="90"/>
        <v/>
      </c>
      <c r="NS13" s="68"/>
      <c r="NT13" s="68"/>
      <c r="NU13" s="68"/>
      <c r="NV13" s="68"/>
      <c r="NW13" s="68"/>
      <c r="NX13" s="68"/>
      <c r="NY13" s="68"/>
      <c r="NZ13" s="68"/>
      <c r="OA13" s="68"/>
      <c r="OB13" s="68"/>
      <c r="OC13" s="68"/>
      <c r="OD13" s="68"/>
      <c r="OE13" s="68"/>
      <c r="OF13" s="68"/>
      <c r="OG13" s="68"/>
      <c r="OH13" s="68"/>
      <c r="OI13" s="68"/>
      <c r="OJ13" s="68"/>
      <c r="OK13" s="68"/>
      <c r="OL13" s="68"/>
      <c r="OM13" s="68"/>
      <c r="ON13" s="68"/>
      <c r="OO13" s="68"/>
      <c r="OP13" s="68"/>
      <c r="OQ13" s="17" t="str">
        <f t="shared" si="91"/>
        <v/>
      </c>
      <c r="OR13" s="17" t="str">
        <f t="shared" si="92"/>
        <v/>
      </c>
      <c r="OS13" s="17" t="str">
        <f t="shared" si="93"/>
        <v/>
      </c>
      <c r="OT13" s="17" t="str">
        <f t="shared" si="94"/>
        <v/>
      </c>
      <c r="OU13" s="17" t="str">
        <f t="shared" si="95"/>
        <v/>
      </c>
      <c r="OV13" s="17" t="str">
        <f t="shared" si="96"/>
        <v/>
      </c>
      <c r="OW13" s="69"/>
      <c r="OX13" s="69"/>
      <c r="OY13" s="69"/>
      <c r="OZ13" s="69"/>
      <c r="PA13" s="69"/>
      <c r="PB13" s="69"/>
      <c r="PC13" s="69"/>
      <c r="PD13" s="69"/>
      <c r="PE13" s="69"/>
      <c r="PF13" s="69"/>
      <c r="PG13" s="69"/>
      <c r="PH13" s="69"/>
      <c r="PI13" s="69"/>
      <c r="PJ13" s="69"/>
      <c r="PK13" s="69"/>
      <c r="PL13" s="69"/>
      <c r="PM13" s="69"/>
      <c r="PN13" s="69"/>
      <c r="PO13" s="69"/>
      <c r="PP13" s="69"/>
      <c r="PQ13" s="69"/>
      <c r="PR13" s="69"/>
      <c r="PS13" s="69"/>
      <c r="PT13" s="69"/>
      <c r="PU13" s="13" t="str">
        <f t="shared" si="97"/>
        <v/>
      </c>
      <c r="PV13" s="13" t="str">
        <f t="shared" si="98"/>
        <v/>
      </c>
      <c r="PW13" s="13" t="str">
        <f t="shared" si="99"/>
        <v/>
      </c>
      <c r="PX13" s="13" t="str">
        <f t="shared" si="100"/>
        <v/>
      </c>
      <c r="PY13" s="13" t="str">
        <f t="shared" si="101"/>
        <v/>
      </c>
      <c r="PZ13" s="13" t="str">
        <f t="shared" si="102"/>
        <v/>
      </c>
      <c r="QA13" s="68"/>
      <c r="QB13" s="68"/>
      <c r="QC13" s="68"/>
      <c r="QD13" s="68"/>
      <c r="QE13" s="68"/>
      <c r="QF13" s="68"/>
      <c r="QG13" s="68"/>
      <c r="QH13" s="68"/>
      <c r="QI13" s="68"/>
      <c r="QJ13" s="68"/>
      <c r="QK13" s="68"/>
      <c r="QL13" s="68"/>
      <c r="QM13" s="68"/>
      <c r="QN13" s="68"/>
      <c r="QO13" s="68"/>
      <c r="QP13" s="68"/>
      <c r="QQ13" s="68"/>
      <c r="QR13" s="68"/>
      <c r="QS13" s="68"/>
      <c r="QT13" s="68"/>
      <c r="QU13" s="68"/>
      <c r="QV13" s="68"/>
      <c r="QW13" s="68"/>
      <c r="QX13" s="68"/>
      <c r="QY13" s="17" t="str">
        <f t="shared" si="103"/>
        <v/>
      </c>
      <c r="QZ13" s="17" t="str">
        <f t="shared" si="104"/>
        <v/>
      </c>
      <c r="RA13" s="17" t="str">
        <f t="shared" si="105"/>
        <v/>
      </c>
      <c r="RB13" s="17" t="str">
        <f t="shared" si="106"/>
        <v/>
      </c>
      <c r="RC13" s="17" t="str">
        <f t="shared" si="107"/>
        <v/>
      </c>
      <c r="RD13" s="17" t="str">
        <f t="shared" si="108"/>
        <v/>
      </c>
    </row>
    <row r="17" spans="1:3" x14ac:dyDescent="0.2">
      <c r="A17" s="91" t="s">
        <v>44</v>
      </c>
      <c r="B17" s="91"/>
      <c r="C17" s="21">
        <v>29.2</v>
      </c>
    </row>
    <row r="18" spans="1:3" x14ac:dyDescent="0.2">
      <c r="A18" s="92" t="s">
        <v>42</v>
      </c>
      <c r="B18" s="92"/>
      <c r="C18" s="22">
        <v>135</v>
      </c>
    </row>
    <row r="19" spans="1:3" x14ac:dyDescent="0.2">
      <c r="A19" s="93" t="s">
        <v>23</v>
      </c>
      <c r="B19" s="93"/>
      <c r="C19" s="23">
        <v>137.80000000000001</v>
      </c>
    </row>
    <row r="20" spans="1:3" x14ac:dyDescent="0.2">
      <c r="A20" s="89" t="s">
        <v>43</v>
      </c>
      <c r="B20" s="89"/>
      <c r="C20" s="24">
        <v>144.5</v>
      </c>
    </row>
    <row r="21" spans="1:3" x14ac:dyDescent="0.2">
      <c r="A21" s="90" t="s">
        <v>112</v>
      </c>
      <c r="B21" s="90"/>
      <c r="C21" s="25">
        <v>149.9</v>
      </c>
    </row>
    <row r="22" spans="1:3" x14ac:dyDescent="0.2">
      <c r="C22" s="3"/>
    </row>
    <row r="23" spans="1:3" x14ac:dyDescent="0.2">
      <c r="A23" s="93" t="s">
        <v>86</v>
      </c>
      <c r="B23" s="93"/>
      <c r="C23" s="23">
        <f>C19*2.5</f>
        <v>344.5</v>
      </c>
    </row>
    <row r="24" spans="1:3" x14ac:dyDescent="0.2">
      <c r="A24" s="89" t="s">
        <v>87</v>
      </c>
      <c r="B24" s="89"/>
      <c r="C24" s="24">
        <f>C20*2.5</f>
        <v>361.25</v>
      </c>
    </row>
    <row r="25" spans="1:3" x14ac:dyDescent="0.2">
      <c r="A25" s="90" t="s">
        <v>113</v>
      </c>
      <c r="B25" s="90"/>
      <c r="C25" s="25">
        <f>C21*2.5</f>
        <v>374.75</v>
      </c>
    </row>
  </sheetData>
  <sheetProtection sheet="1" objects="1" scenarios="1" formatCells="0" formatColumns="0" formatRows="0"/>
  <autoFilter ref="A1:RD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sortState ref="A6:RD13">
      <sortCondition descending="1" ref="F1:F13"/>
    </sortState>
  </autoFilter>
  <mergeCells count="133">
    <mergeCell ref="D1:D3"/>
    <mergeCell ref="R1:R3"/>
    <mergeCell ref="S1:S3"/>
    <mergeCell ref="QA1:RD1"/>
    <mergeCell ref="QA2:QD2"/>
    <mergeCell ref="QE2:QH2"/>
    <mergeCell ref="QI2:QL2"/>
    <mergeCell ref="QM2:QP2"/>
    <mergeCell ref="QQ2:QT2"/>
    <mergeCell ref="QU2:QX2"/>
    <mergeCell ref="NS1:OV1"/>
    <mergeCell ref="OW1:PZ1"/>
    <mergeCell ref="NS2:NV2"/>
    <mergeCell ref="NW2:NZ2"/>
    <mergeCell ref="OA2:OD2"/>
    <mergeCell ref="OE2:OH2"/>
    <mergeCell ref="OI2:OL2"/>
    <mergeCell ref="OM2:OP2"/>
    <mergeCell ref="OW2:OZ2"/>
    <mergeCell ref="PA2:PD2"/>
    <mergeCell ref="PE2:PH2"/>
    <mergeCell ref="PI2:PL2"/>
    <mergeCell ref="PM2:PP2"/>
    <mergeCell ref="PQ2:PT2"/>
    <mergeCell ref="LK1:MN1"/>
    <mergeCell ref="MO1:NR1"/>
    <mergeCell ref="LK2:LN2"/>
    <mergeCell ref="LO2:LR2"/>
    <mergeCell ref="LS2:LV2"/>
    <mergeCell ref="LW2:LZ2"/>
    <mergeCell ref="MA2:MD2"/>
    <mergeCell ref="ME2:MH2"/>
    <mergeCell ref="MO2:MR2"/>
    <mergeCell ref="MS2:MV2"/>
    <mergeCell ref="MW2:MZ2"/>
    <mergeCell ref="NA2:ND2"/>
    <mergeCell ref="NE2:NH2"/>
    <mergeCell ref="NI2:NL2"/>
    <mergeCell ref="JC1:KF1"/>
    <mergeCell ref="KG1:LJ1"/>
    <mergeCell ref="JC2:JF2"/>
    <mergeCell ref="JG2:JJ2"/>
    <mergeCell ref="JK2:JN2"/>
    <mergeCell ref="JO2:JR2"/>
    <mergeCell ref="JS2:JV2"/>
    <mergeCell ref="JW2:JZ2"/>
    <mergeCell ref="KG2:KJ2"/>
    <mergeCell ref="KK2:KN2"/>
    <mergeCell ref="KO2:KR2"/>
    <mergeCell ref="KS2:KV2"/>
    <mergeCell ref="KW2:KZ2"/>
    <mergeCell ref="LA2:LD2"/>
    <mergeCell ref="HY1:JB1"/>
    <mergeCell ref="GU2:GX2"/>
    <mergeCell ref="GY2:HB2"/>
    <mergeCell ref="HC2:HF2"/>
    <mergeCell ref="HG2:HJ2"/>
    <mergeCell ref="HK2:HN2"/>
    <mergeCell ref="HO2:HR2"/>
    <mergeCell ref="HY2:IB2"/>
    <mergeCell ref="IC2:IF2"/>
    <mergeCell ref="IG2:IJ2"/>
    <mergeCell ref="IK2:IN2"/>
    <mergeCell ref="IO2:IR2"/>
    <mergeCell ref="IS2:IV2"/>
    <mergeCell ref="L1:L3"/>
    <mergeCell ref="J1:J3"/>
    <mergeCell ref="N1:N3"/>
    <mergeCell ref="P1:P3"/>
    <mergeCell ref="GU1:HX1"/>
    <mergeCell ref="A24:B24"/>
    <mergeCell ref="A25:B25"/>
    <mergeCell ref="A17:B17"/>
    <mergeCell ref="A18:B18"/>
    <mergeCell ref="A19:B19"/>
    <mergeCell ref="A20:B20"/>
    <mergeCell ref="A21:B21"/>
    <mergeCell ref="A23:B23"/>
    <mergeCell ref="FG2:FJ2"/>
    <mergeCell ref="DI2:DL2"/>
    <mergeCell ref="DM2:DP2"/>
    <mergeCell ref="DQ2:DT2"/>
    <mergeCell ref="DU2:DX2"/>
    <mergeCell ref="DY2:EB2"/>
    <mergeCell ref="EC2:EF2"/>
    <mergeCell ref="EM2:EP2"/>
    <mergeCell ref="EQ2:ET2"/>
    <mergeCell ref="EU2:EX2"/>
    <mergeCell ref="EY2:FB2"/>
    <mergeCell ref="CB1:DE1"/>
    <mergeCell ref="DF1:DH1"/>
    <mergeCell ref="T2:W2"/>
    <mergeCell ref="X2:AA2"/>
    <mergeCell ref="AB2:AE2"/>
    <mergeCell ref="FC2:FF2"/>
    <mergeCell ref="AF2:AI2"/>
    <mergeCell ref="AJ2:AM2"/>
    <mergeCell ref="CV2:CY2"/>
    <mergeCell ref="AX2:BA2"/>
    <mergeCell ref="BB2:BE2"/>
    <mergeCell ref="BF2:BI2"/>
    <mergeCell ref="BJ2:BM2"/>
    <mergeCell ref="BN2:BQ2"/>
    <mergeCell ref="BR2:BU2"/>
    <mergeCell ref="CB2:CE2"/>
    <mergeCell ref="CF2:CI2"/>
    <mergeCell ref="CJ2:CM2"/>
    <mergeCell ref="CN2:CQ2"/>
    <mergeCell ref="CR2:CU2"/>
    <mergeCell ref="G1:G3"/>
    <mergeCell ref="A1:A3"/>
    <mergeCell ref="B1:B3"/>
    <mergeCell ref="C1:C3"/>
    <mergeCell ref="E1:E3"/>
    <mergeCell ref="F1:F3"/>
    <mergeCell ref="FQ1:GT1"/>
    <mergeCell ref="FQ2:FT2"/>
    <mergeCell ref="FU2:FX2"/>
    <mergeCell ref="FY2:GB2"/>
    <mergeCell ref="GC2:GF2"/>
    <mergeCell ref="GG2:GJ2"/>
    <mergeCell ref="GK2:GN2"/>
    <mergeCell ref="DI1:EL1"/>
    <mergeCell ref="EM1:FP1"/>
    <mergeCell ref="H1:H3"/>
    <mergeCell ref="I1:I3"/>
    <mergeCell ref="K1:K3"/>
    <mergeCell ref="M1:M3"/>
    <mergeCell ref="O1:O3"/>
    <mergeCell ref="Q1:Q3"/>
    <mergeCell ref="AN2:AQ2"/>
    <mergeCell ref="T1:AW1"/>
    <mergeCell ref="AX1:CA1"/>
  </mergeCells>
  <conditionalFormatting sqref="AR4:AR13">
    <cfRule type="cellIs" dxfId="112" priority="233" operator="between">
      <formula>$C$17</formula>
      <formula>100</formula>
    </cfRule>
  </conditionalFormatting>
  <conditionalFormatting sqref="H4:H13">
    <cfRule type="containsText" dxfId="111" priority="226" operator="containsText" text="Merit">
      <formula>NOT(ISERROR(SEARCH("Merit",H4)))</formula>
    </cfRule>
    <cfRule type="containsText" dxfId="110" priority="227" operator="containsText" text="Funding">
      <formula>NOT(ISERROR(SEARCH("Funding",H4)))</formula>
    </cfRule>
    <cfRule type="containsText" dxfId="109" priority="228" operator="containsText" text="Team">
      <formula>NOT(ISERROR(SEARCH("Team",H4)))</formula>
    </cfRule>
    <cfRule type="containsText" dxfId="108" priority="229" operator="containsText" text="First 2 Years">
      <formula>NOT(ISERROR(SEARCH("First 2 Years",H4)))</formula>
    </cfRule>
  </conditionalFormatting>
  <conditionalFormatting sqref="EG4:EG13">
    <cfRule type="cellIs" dxfId="107" priority="211" operator="between">
      <formula>$C$17</formula>
      <formula>100</formula>
    </cfRule>
  </conditionalFormatting>
  <conditionalFormatting sqref="L4:L13">
    <cfRule type="expression" dxfId="106" priority="196">
      <formula>IF(K4=DB4,1,0)</formula>
    </cfRule>
    <cfRule type="expression" dxfId="105" priority="197">
      <formula>IF(K4=BX4,1,0)</formula>
    </cfRule>
    <cfRule type="expression" dxfId="104" priority="198">
      <formula>IF(K4=AT4,1,0)</formula>
    </cfRule>
  </conditionalFormatting>
  <conditionalFormatting sqref="J4:J13">
    <cfRule type="expression" dxfId="103" priority="193">
      <formula>IF(I4=DA4,1,0)</formula>
    </cfRule>
    <cfRule type="expression" dxfId="102" priority="194">
      <formula>IF(I4=BW4,1,0)</formula>
    </cfRule>
    <cfRule type="expression" dxfId="101" priority="195">
      <formula>IF(I4=AS4,1,0)</formula>
    </cfRule>
  </conditionalFormatting>
  <conditionalFormatting sqref="N4:N13">
    <cfRule type="expression" dxfId="100" priority="184">
      <formula>IF(M4=DC4,1,0)</formula>
    </cfRule>
    <cfRule type="expression" dxfId="99" priority="185">
      <formula>IF(M4=BY4,1,0)</formula>
    </cfRule>
    <cfRule type="expression" dxfId="98" priority="186">
      <formula>IF(M4=AU4,1,0)</formula>
    </cfRule>
  </conditionalFormatting>
  <conditionalFormatting sqref="BV4:BV13">
    <cfRule type="cellIs" dxfId="97" priority="179" operator="between">
      <formula>$C$17</formula>
      <formula>100</formula>
    </cfRule>
  </conditionalFormatting>
  <conditionalFormatting sqref="CZ4:CZ13">
    <cfRule type="cellIs" dxfId="96" priority="174" operator="between">
      <formula>$C$17</formula>
      <formula>100</formula>
    </cfRule>
  </conditionalFormatting>
  <conditionalFormatting sqref="P4:P13">
    <cfRule type="expression" dxfId="95" priority="171">
      <formula>IF(O4=DD4,1,0)</formula>
    </cfRule>
    <cfRule type="expression" dxfId="94" priority="172">
      <formula>IF(O4=BZ4,1,0)</formula>
    </cfRule>
    <cfRule type="expression" dxfId="93" priority="173">
      <formula>IF(O4=AV4,1,0)</formula>
    </cfRule>
  </conditionalFormatting>
  <conditionalFormatting sqref="FK4:FK13">
    <cfRule type="cellIs" dxfId="92" priority="121" operator="between">
      <formula>$C$17</formula>
      <formula>100</formula>
    </cfRule>
  </conditionalFormatting>
  <conditionalFormatting sqref="GO4:GO13">
    <cfRule type="cellIs" dxfId="91" priority="116" operator="between">
      <formula>$C$17</formula>
      <formula>100</formula>
    </cfRule>
  </conditionalFormatting>
  <conditionalFormatting sqref="HS4:HS13">
    <cfRule type="cellIs" dxfId="90" priority="111" operator="between">
      <formula>$C$17</formula>
      <formula>100</formula>
    </cfRule>
  </conditionalFormatting>
  <conditionalFormatting sqref="IW4:IW13">
    <cfRule type="cellIs" dxfId="89" priority="106" operator="between">
      <formula>$C$17</formula>
      <formula>100</formula>
    </cfRule>
  </conditionalFormatting>
  <conditionalFormatting sqref="KA4:KA13">
    <cfRule type="cellIs" dxfId="88" priority="101" operator="between">
      <formula>$C$17</formula>
      <formula>100</formula>
    </cfRule>
  </conditionalFormatting>
  <conditionalFormatting sqref="LE4:LE13">
    <cfRule type="cellIs" dxfId="87" priority="30" operator="between">
      <formula>$C$17</formula>
      <formula>100</formula>
    </cfRule>
  </conditionalFormatting>
  <conditionalFormatting sqref="MI4:MI13">
    <cfRule type="cellIs" dxfId="86" priority="29" operator="between">
      <formula>$C$17</formula>
      <formula>100</formula>
    </cfRule>
  </conditionalFormatting>
  <conditionalFormatting sqref="NM4:NM13">
    <cfRule type="cellIs" dxfId="85" priority="20" operator="between">
      <formula>$C$17</formula>
      <formula>100</formula>
    </cfRule>
  </conditionalFormatting>
  <conditionalFormatting sqref="OQ4:OQ13">
    <cfRule type="cellIs" dxfId="84" priority="19" operator="between">
      <formula>$C$17</formula>
      <formula>100</formula>
    </cfRule>
  </conditionalFormatting>
  <conditionalFormatting sqref="PU4:PU13">
    <cfRule type="cellIs" dxfId="83" priority="10" operator="between">
      <formula>$C$17</formula>
      <formula>100</formula>
    </cfRule>
  </conditionalFormatting>
  <conditionalFormatting sqref="QY4:QY13">
    <cfRule type="cellIs" dxfId="82" priority="9" operator="between">
      <formula>$C$17</formula>
      <formula>100</formula>
    </cfRule>
  </conditionalFormatting>
  <conditionalFormatting sqref="AS4:AS13 BW4:BW13 DA4:DA13 EH4:EH13 FL4:FL13 GP4:GP13 HT4:HT13 IX4:IX13 KB4:KB13 LF4:LF13 MJ4:MJ13 NN4:NN13 OR4:OR13 PV4:PV13 QZ4:QZ13">
    <cfRule type="cellIs" dxfId="81" priority="609" operator="between">
      <formula>$C$21</formula>
      <formula>1000</formula>
    </cfRule>
    <cfRule type="cellIs" dxfId="80" priority="610" operator="between">
      <formula>$C$20</formula>
      <formula>$C$21</formula>
    </cfRule>
    <cfRule type="cellIs" dxfId="79" priority="611" operator="between">
      <formula>$C$19</formula>
      <formula>$C$20</formula>
    </cfRule>
    <cfRule type="expression" dxfId="78" priority="612">
      <formula>IF(AND(AS4&gt;=$C$18,AS4&lt;$C$19,YEAR(TODAY())-$D4&lt;2),1,0)</formula>
    </cfRule>
  </conditionalFormatting>
  <conditionalFormatting sqref="A4:A13">
    <cfRule type="expression" dxfId="77" priority="613">
      <formula>AND(H4="First 2 Years",F4="")</formula>
    </cfRule>
    <cfRule type="expression" dxfId="76" priority="614">
      <formula>AND(I4&gt;=$C$19,F4="")</formula>
    </cfRule>
  </conditionalFormatting>
  <conditionalFormatting sqref="B4:C13">
    <cfRule type="expression" dxfId="75" priority="683">
      <formula>$E4&gt;=$C$25</formula>
    </cfRule>
    <cfRule type="expression" dxfId="74" priority="684">
      <formula>AND($E4&gt;=$C$24,$E4&lt;$C$25)</formula>
    </cfRule>
    <cfRule type="expression" dxfId="73" priority="685">
      <formula>AND($E4&gt;=$C$23,$E4&lt;$C$24)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RD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1" max="11" width="11.83203125" bestFit="1" customWidth="1"/>
    <col min="12" max="12" width="20.5" bestFit="1" customWidth="1"/>
    <col min="13" max="13" width="11.8320312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32.33203125" bestFit="1" customWidth="1"/>
    <col min="20" max="43" width="10.83203125" hidden="1" customWidth="1"/>
    <col min="44" max="49" width="10.83203125" customWidth="1"/>
    <col min="50" max="73" width="10.83203125" hidden="1" customWidth="1"/>
    <col min="74" max="79" width="10.83203125" customWidth="1"/>
    <col min="80" max="103" width="10.83203125" hidden="1" customWidth="1"/>
    <col min="104" max="109" width="10.83203125" customWidth="1"/>
    <col min="113" max="136" width="10.83203125" hidden="1" customWidth="1"/>
    <col min="137" max="142" width="10.83203125" customWidth="1"/>
    <col min="143" max="166" width="10.83203125" hidden="1" customWidth="1"/>
    <col min="167" max="172" width="10.83203125" customWidth="1"/>
    <col min="173" max="196" width="10.83203125" hidden="1" customWidth="1"/>
    <col min="197" max="202" width="10.83203125" customWidth="1"/>
    <col min="203" max="226" width="10.83203125" hidden="1" customWidth="1"/>
    <col min="227" max="232" width="10.83203125" customWidth="1"/>
    <col min="233" max="256" width="10.83203125" hidden="1" customWidth="1"/>
    <col min="257" max="262" width="10.83203125" customWidth="1"/>
    <col min="263" max="286" width="10.83203125" hidden="1" customWidth="1"/>
    <col min="287" max="292" width="10.83203125" customWidth="1"/>
    <col min="293" max="316" width="10.83203125" hidden="1" customWidth="1"/>
    <col min="317" max="322" width="10.83203125" customWidth="1"/>
    <col min="323" max="346" width="10.83203125" hidden="1" customWidth="1"/>
    <col min="347" max="352" width="10.83203125" customWidth="1"/>
    <col min="353" max="376" width="10.83203125" hidden="1" customWidth="1"/>
    <col min="377" max="382" width="10.83203125" customWidth="1"/>
    <col min="383" max="406" width="10.83203125" hidden="1" customWidth="1"/>
    <col min="407" max="412" width="10.83203125" customWidth="1"/>
    <col min="413" max="436" width="10.83203125" hidden="1" customWidth="1"/>
    <col min="437" max="442" width="10.83203125" customWidth="1"/>
    <col min="443" max="466" width="10.83203125" hidden="1" customWidth="1"/>
    <col min="467" max="472" width="10.83203125" customWidth="1"/>
  </cols>
  <sheetData>
    <row r="1" spans="1:472" x14ac:dyDescent="0.2">
      <c r="A1" s="96" t="s">
        <v>2</v>
      </c>
      <c r="B1" s="96" t="s">
        <v>57</v>
      </c>
      <c r="C1" s="96" t="s">
        <v>0</v>
      </c>
      <c r="D1" s="96" t="s">
        <v>1</v>
      </c>
      <c r="E1" s="96" t="s">
        <v>3</v>
      </c>
      <c r="F1" s="98" t="s">
        <v>22</v>
      </c>
      <c r="G1" s="96" t="s">
        <v>23</v>
      </c>
      <c r="H1" s="96" t="s">
        <v>24</v>
      </c>
      <c r="I1" s="97" t="s">
        <v>25</v>
      </c>
      <c r="J1" s="97" t="s">
        <v>105</v>
      </c>
      <c r="K1" s="97" t="s">
        <v>61</v>
      </c>
      <c r="L1" s="97" t="s">
        <v>105</v>
      </c>
      <c r="M1" s="97" t="s">
        <v>62</v>
      </c>
      <c r="N1" s="97" t="s">
        <v>105</v>
      </c>
      <c r="O1" s="97" t="s">
        <v>28</v>
      </c>
      <c r="P1" s="97" t="s">
        <v>105</v>
      </c>
      <c r="Q1" s="99" t="s">
        <v>29</v>
      </c>
      <c r="R1" s="97" t="s">
        <v>111</v>
      </c>
      <c r="S1" s="97" t="s">
        <v>105</v>
      </c>
      <c r="T1" s="94" t="s">
        <v>40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5" t="s">
        <v>41</v>
      </c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4" t="s">
        <v>114</v>
      </c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100" t="s">
        <v>29</v>
      </c>
      <c r="DG1" s="100"/>
      <c r="DH1" s="100"/>
      <c r="DI1" s="94" t="s">
        <v>107</v>
      </c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108" t="s">
        <v>110</v>
      </c>
      <c r="EN1" s="108"/>
      <c r="EO1" s="108"/>
      <c r="EP1" s="108"/>
      <c r="EQ1" s="108"/>
      <c r="ER1" s="108"/>
      <c r="ES1" s="108"/>
      <c r="ET1" s="108"/>
      <c r="EU1" s="108"/>
      <c r="EV1" s="108"/>
      <c r="EW1" s="108"/>
      <c r="EX1" s="108"/>
      <c r="EY1" s="108"/>
      <c r="EZ1" s="108"/>
      <c r="FA1" s="108"/>
      <c r="FB1" s="108"/>
      <c r="FC1" s="108"/>
      <c r="FD1" s="108"/>
      <c r="FE1" s="108"/>
      <c r="FF1" s="108"/>
      <c r="FG1" s="108"/>
      <c r="FH1" s="108"/>
      <c r="FI1" s="108"/>
      <c r="FJ1" s="108"/>
      <c r="FK1" s="108"/>
      <c r="FL1" s="108"/>
      <c r="FM1" s="108"/>
      <c r="FN1" s="108"/>
      <c r="FO1" s="108"/>
      <c r="FP1" s="108"/>
      <c r="FQ1" s="106" t="s">
        <v>130</v>
      </c>
      <c r="FR1" s="106"/>
      <c r="FS1" s="106"/>
      <c r="FT1" s="106"/>
      <c r="FU1" s="106"/>
      <c r="FV1" s="106"/>
      <c r="FW1" s="106"/>
      <c r="FX1" s="106"/>
      <c r="FY1" s="106"/>
      <c r="FZ1" s="106"/>
      <c r="GA1" s="106"/>
      <c r="GB1" s="106"/>
      <c r="GC1" s="106"/>
      <c r="GD1" s="106"/>
      <c r="GE1" s="106"/>
      <c r="GF1" s="106"/>
      <c r="GG1" s="106"/>
      <c r="GH1" s="106"/>
      <c r="GI1" s="106"/>
      <c r="GJ1" s="106"/>
      <c r="GK1" s="106"/>
      <c r="GL1" s="106"/>
      <c r="GM1" s="106"/>
      <c r="GN1" s="106"/>
      <c r="GO1" s="106"/>
      <c r="GP1" s="106"/>
      <c r="GQ1" s="106"/>
      <c r="GR1" s="106"/>
      <c r="GS1" s="106"/>
      <c r="GT1" s="106"/>
      <c r="GU1" s="108" t="s">
        <v>138</v>
      </c>
      <c r="GV1" s="108"/>
      <c r="GW1" s="108"/>
      <c r="GX1" s="108"/>
      <c r="GY1" s="108"/>
      <c r="GZ1" s="108"/>
      <c r="HA1" s="108"/>
      <c r="HB1" s="108"/>
      <c r="HC1" s="108"/>
      <c r="HD1" s="108"/>
      <c r="HE1" s="108"/>
      <c r="HF1" s="108"/>
      <c r="HG1" s="108"/>
      <c r="HH1" s="108"/>
      <c r="HI1" s="108"/>
      <c r="HJ1" s="108"/>
      <c r="HK1" s="108"/>
      <c r="HL1" s="108"/>
      <c r="HM1" s="108"/>
      <c r="HN1" s="108"/>
      <c r="HO1" s="108"/>
      <c r="HP1" s="108"/>
      <c r="HQ1" s="108"/>
      <c r="HR1" s="108"/>
      <c r="HS1" s="108"/>
      <c r="HT1" s="108"/>
      <c r="HU1" s="108"/>
      <c r="HV1" s="108"/>
      <c r="HW1" s="108"/>
      <c r="HX1" s="108"/>
      <c r="HY1" s="106" t="s">
        <v>140</v>
      </c>
      <c r="HZ1" s="106"/>
      <c r="IA1" s="106"/>
      <c r="IB1" s="106"/>
      <c r="IC1" s="106"/>
      <c r="ID1" s="106"/>
      <c r="IE1" s="106"/>
      <c r="IF1" s="106"/>
      <c r="IG1" s="106"/>
      <c r="IH1" s="106"/>
      <c r="II1" s="106"/>
      <c r="IJ1" s="106"/>
      <c r="IK1" s="106"/>
      <c r="IL1" s="106"/>
      <c r="IM1" s="106"/>
      <c r="IN1" s="106"/>
      <c r="IO1" s="106"/>
      <c r="IP1" s="106"/>
      <c r="IQ1" s="106"/>
      <c r="IR1" s="106"/>
      <c r="IS1" s="106"/>
      <c r="IT1" s="106"/>
      <c r="IU1" s="106"/>
      <c r="IV1" s="106"/>
      <c r="IW1" s="106"/>
      <c r="IX1" s="106"/>
      <c r="IY1" s="106"/>
      <c r="IZ1" s="106"/>
      <c r="JA1" s="106"/>
      <c r="JB1" s="106"/>
      <c r="JC1" s="108" t="s">
        <v>142</v>
      </c>
      <c r="JD1" s="108"/>
      <c r="JE1" s="108"/>
      <c r="JF1" s="108"/>
      <c r="JG1" s="108"/>
      <c r="JH1" s="108"/>
      <c r="JI1" s="108"/>
      <c r="JJ1" s="108"/>
      <c r="JK1" s="108"/>
      <c r="JL1" s="108"/>
      <c r="JM1" s="108"/>
      <c r="JN1" s="108"/>
      <c r="JO1" s="108"/>
      <c r="JP1" s="108"/>
      <c r="JQ1" s="108"/>
      <c r="JR1" s="108"/>
      <c r="JS1" s="108"/>
      <c r="JT1" s="108"/>
      <c r="JU1" s="108"/>
      <c r="JV1" s="108"/>
      <c r="JW1" s="108"/>
      <c r="JX1" s="108"/>
      <c r="JY1" s="108"/>
      <c r="JZ1" s="108"/>
      <c r="KA1" s="108"/>
      <c r="KB1" s="108"/>
      <c r="KC1" s="108"/>
      <c r="KD1" s="108"/>
      <c r="KE1" s="108"/>
      <c r="KF1" s="108"/>
      <c r="KG1" s="106"/>
      <c r="KH1" s="106"/>
      <c r="KI1" s="106"/>
      <c r="KJ1" s="106"/>
      <c r="KK1" s="106"/>
      <c r="KL1" s="106"/>
      <c r="KM1" s="106"/>
      <c r="KN1" s="106"/>
      <c r="KO1" s="106"/>
      <c r="KP1" s="106"/>
      <c r="KQ1" s="106"/>
      <c r="KR1" s="106"/>
      <c r="KS1" s="106"/>
      <c r="KT1" s="106"/>
      <c r="KU1" s="106"/>
      <c r="KV1" s="106"/>
      <c r="KW1" s="106"/>
      <c r="KX1" s="106"/>
      <c r="KY1" s="106"/>
      <c r="KZ1" s="106"/>
      <c r="LA1" s="106"/>
      <c r="LB1" s="106"/>
      <c r="LC1" s="106"/>
      <c r="LD1" s="106"/>
      <c r="LE1" s="106"/>
      <c r="LF1" s="106"/>
      <c r="LG1" s="106"/>
      <c r="LH1" s="106"/>
      <c r="LI1" s="106"/>
      <c r="LJ1" s="106"/>
      <c r="LK1" s="108"/>
      <c r="LL1" s="108"/>
      <c r="LM1" s="108"/>
      <c r="LN1" s="108"/>
      <c r="LO1" s="108"/>
      <c r="LP1" s="108"/>
      <c r="LQ1" s="108"/>
      <c r="LR1" s="108"/>
      <c r="LS1" s="108"/>
      <c r="LT1" s="108"/>
      <c r="LU1" s="108"/>
      <c r="LV1" s="108"/>
      <c r="LW1" s="108"/>
      <c r="LX1" s="108"/>
      <c r="LY1" s="108"/>
      <c r="LZ1" s="108"/>
      <c r="MA1" s="108"/>
      <c r="MB1" s="108"/>
      <c r="MC1" s="108"/>
      <c r="MD1" s="108"/>
      <c r="ME1" s="108"/>
      <c r="MF1" s="108"/>
      <c r="MG1" s="108"/>
      <c r="MH1" s="108"/>
      <c r="MI1" s="108"/>
      <c r="MJ1" s="108"/>
      <c r="MK1" s="108"/>
      <c r="ML1" s="108"/>
      <c r="MM1" s="108"/>
      <c r="MN1" s="108"/>
      <c r="MO1" s="106"/>
      <c r="MP1" s="106"/>
      <c r="MQ1" s="106"/>
      <c r="MR1" s="106"/>
      <c r="MS1" s="106"/>
      <c r="MT1" s="106"/>
      <c r="MU1" s="106"/>
      <c r="MV1" s="106"/>
      <c r="MW1" s="106"/>
      <c r="MX1" s="106"/>
      <c r="MY1" s="106"/>
      <c r="MZ1" s="106"/>
      <c r="NA1" s="106"/>
      <c r="NB1" s="106"/>
      <c r="NC1" s="106"/>
      <c r="ND1" s="106"/>
      <c r="NE1" s="106"/>
      <c r="NF1" s="106"/>
      <c r="NG1" s="106"/>
      <c r="NH1" s="106"/>
      <c r="NI1" s="106"/>
      <c r="NJ1" s="106"/>
      <c r="NK1" s="106"/>
      <c r="NL1" s="106"/>
      <c r="NM1" s="106"/>
      <c r="NN1" s="106"/>
      <c r="NO1" s="106"/>
      <c r="NP1" s="106"/>
      <c r="NQ1" s="106"/>
      <c r="NR1" s="106"/>
      <c r="NS1" s="108"/>
      <c r="NT1" s="108"/>
      <c r="NU1" s="108"/>
      <c r="NV1" s="108"/>
      <c r="NW1" s="108"/>
      <c r="NX1" s="108"/>
      <c r="NY1" s="108"/>
      <c r="NZ1" s="108"/>
      <c r="OA1" s="108"/>
      <c r="OB1" s="108"/>
      <c r="OC1" s="108"/>
      <c r="OD1" s="108"/>
      <c r="OE1" s="108"/>
      <c r="OF1" s="108"/>
      <c r="OG1" s="108"/>
      <c r="OH1" s="108"/>
      <c r="OI1" s="108"/>
      <c r="OJ1" s="108"/>
      <c r="OK1" s="108"/>
      <c r="OL1" s="108"/>
      <c r="OM1" s="108"/>
      <c r="ON1" s="108"/>
      <c r="OO1" s="108"/>
      <c r="OP1" s="108"/>
      <c r="OQ1" s="108"/>
      <c r="OR1" s="108"/>
      <c r="OS1" s="108"/>
      <c r="OT1" s="108"/>
      <c r="OU1" s="108"/>
      <c r="OV1" s="108"/>
      <c r="OW1" s="106"/>
      <c r="OX1" s="106"/>
      <c r="OY1" s="106"/>
      <c r="OZ1" s="106"/>
      <c r="PA1" s="106"/>
      <c r="PB1" s="106"/>
      <c r="PC1" s="106"/>
      <c r="PD1" s="106"/>
      <c r="PE1" s="106"/>
      <c r="PF1" s="106"/>
      <c r="PG1" s="106"/>
      <c r="PH1" s="106"/>
      <c r="PI1" s="106"/>
      <c r="PJ1" s="106"/>
      <c r="PK1" s="106"/>
      <c r="PL1" s="106"/>
      <c r="PM1" s="106"/>
      <c r="PN1" s="106"/>
      <c r="PO1" s="106"/>
      <c r="PP1" s="106"/>
      <c r="PQ1" s="106"/>
      <c r="PR1" s="106"/>
      <c r="PS1" s="106"/>
      <c r="PT1" s="106"/>
      <c r="PU1" s="106"/>
      <c r="PV1" s="106"/>
      <c r="PW1" s="106"/>
      <c r="PX1" s="106"/>
      <c r="PY1" s="106"/>
      <c r="PZ1" s="106"/>
      <c r="QA1" s="108"/>
      <c r="QB1" s="108"/>
      <c r="QC1" s="108"/>
      <c r="QD1" s="108"/>
      <c r="QE1" s="108"/>
      <c r="QF1" s="108"/>
      <c r="QG1" s="108"/>
      <c r="QH1" s="108"/>
      <c r="QI1" s="108"/>
      <c r="QJ1" s="108"/>
      <c r="QK1" s="108"/>
      <c r="QL1" s="108"/>
      <c r="QM1" s="108"/>
      <c r="QN1" s="108"/>
      <c r="QO1" s="108"/>
      <c r="QP1" s="108"/>
      <c r="QQ1" s="108"/>
      <c r="QR1" s="108"/>
      <c r="QS1" s="108"/>
      <c r="QT1" s="108"/>
      <c r="QU1" s="108"/>
      <c r="QV1" s="108"/>
      <c r="QW1" s="108"/>
      <c r="QX1" s="108"/>
      <c r="QY1" s="108"/>
      <c r="QZ1" s="108"/>
      <c r="RA1" s="108"/>
      <c r="RB1" s="108"/>
      <c r="RC1" s="108"/>
      <c r="RD1" s="108"/>
    </row>
    <row r="2" spans="1:472" x14ac:dyDescent="0.2">
      <c r="A2" s="96"/>
      <c r="B2" s="96"/>
      <c r="C2" s="96"/>
      <c r="D2" s="96"/>
      <c r="E2" s="96"/>
      <c r="F2" s="98"/>
      <c r="G2" s="96"/>
      <c r="H2" s="96"/>
      <c r="I2" s="97"/>
      <c r="J2" s="97"/>
      <c r="K2" s="97"/>
      <c r="L2" s="97"/>
      <c r="M2" s="97"/>
      <c r="N2" s="97"/>
      <c r="O2" s="97"/>
      <c r="P2" s="97"/>
      <c r="Q2" s="99"/>
      <c r="R2" s="97"/>
      <c r="S2" s="97"/>
      <c r="T2" s="88" t="s">
        <v>63</v>
      </c>
      <c r="U2" s="88"/>
      <c r="V2" s="88"/>
      <c r="W2" s="88"/>
      <c r="X2" s="88" t="s">
        <v>66</v>
      </c>
      <c r="Y2" s="88"/>
      <c r="Z2" s="88"/>
      <c r="AA2" s="88"/>
      <c r="AB2" s="88" t="s">
        <v>67</v>
      </c>
      <c r="AC2" s="88"/>
      <c r="AD2" s="88"/>
      <c r="AE2" s="88"/>
      <c r="AF2" s="104" t="s">
        <v>68</v>
      </c>
      <c r="AG2" s="104"/>
      <c r="AH2" s="104"/>
      <c r="AI2" s="104"/>
      <c r="AJ2" s="104" t="s">
        <v>69</v>
      </c>
      <c r="AK2" s="104"/>
      <c r="AL2" s="104"/>
      <c r="AM2" s="104"/>
      <c r="AN2" s="104" t="s">
        <v>70</v>
      </c>
      <c r="AO2" s="104"/>
      <c r="AP2" s="104"/>
      <c r="AQ2" s="104"/>
      <c r="AR2" s="10" t="s">
        <v>45</v>
      </c>
      <c r="AS2" s="11" t="s">
        <v>39</v>
      </c>
      <c r="AT2" s="11" t="s">
        <v>76</v>
      </c>
      <c r="AU2" s="11" t="s">
        <v>77</v>
      </c>
      <c r="AV2" s="11" t="s">
        <v>38</v>
      </c>
      <c r="AW2" s="11" t="s">
        <v>33</v>
      </c>
      <c r="AX2" s="87" t="s">
        <v>63</v>
      </c>
      <c r="AY2" s="87"/>
      <c r="AZ2" s="87"/>
      <c r="BA2" s="87"/>
      <c r="BB2" s="87" t="s">
        <v>66</v>
      </c>
      <c r="BC2" s="87"/>
      <c r="BD2" s="87"/>
      <c r="BE2" s="87"/>
      <c r="BF2" s="87" t="s">
        <v>67</v>
      </c>
      <c r="BG2" s="87"/>
      <c r="BH2" s="87"/>
      <c r="BI2" s="87"/>
      <c r="BJ2" s="109" t="s">
        <v>68</v>
      </c>
      <c r="BK2" s="109"/>
      <c r="BL2" s="109"/>
      <c r="BM2" s="109"/>
      <c r="BN2" s="109" t="s">
        <v>69</v>
      </c>
      <c r="BO2" s="109"/>
      <c r="BP2" s="109"/>
      <c r="BQ2" s="109"/>
      <c r="BR2" s="109" t="s">
        <v>70</v>
      </c>
      <c r="BS2" s="109"/>
      <c r="BT2" s="109"/>
      <c r="BU2" s="109"/>
      <c r="BV2" s="14" t="s">
        <v>45</v>
      </c>
      <c r="BW2" s="15" t="s">
        <v>39</v>
      </c>
      <c r="BX2" s="15" t="s">
        <v>76</v>
      </c>
      <c r="BY2" s="15" t="s">
        <v>77</v>
      </c>
      <c r="BZ2" s="15" t="s">
        <v>38</v>
      </c>
      <c r="CA2" s="15" t="s">
        <v>33</v>
      </c>
      <c r="CB2" s="88" t="s">
        <v>63</v>
      </c>
      <c r="CC2" s="88"/>
      <c r="CD2" s="88"/>
      <c r="CE2" s="88"/>
      <c r="CF2" s="88" t="s">
        <v>66</v>
      </c>
      <c r="CG2" s="88"/>
      <c r="CH2" s="88"/>
      <c r="CI2" s="88"/>
      <c r="CJ2" s="88" t="s">
        <v>67</v>
      </c>
      <c r="CK2" s="88"/>
      <c r="CL2" s="88"/>
      <c r="CM2" s="88"/>
      <c r="CN2" s="107" t="s">
        <v>68</v>
      </c>
      <c r="CO2" s="107"/>
      <c r="CP2" s="107"/>
      <c r="CQ2" s="107"/>
      <c r="CR2" s="107" t="s">
        <v>69</v>
      </c>
      <c r="CS2" s="107"/>
      <c r="CT2" s="107"/>
      <c r="CU2" s="107"/>
      <c r="CV2" s="107" t="s">
        <v>70</v>
      </c>
      <c r="CW2" s="107"/>
      <c r="CX2" s="107"/>
      <c r="CY2" s="107"/>
      <c r="CZ2" s="20" t="s">
        <v>45</v>
      </c>
      <c r="DA2" s="11" t="s">
        <v>39</v>
      </c>
      <c r="DB2" s="11" t="s">
        <v>76</v>
      </c>
      <c r="DC2" s="11" t="s">
        <v>77</v>
      </c>
      <c r="DD2" s="11" t="s">
        <v>38</v>
      </c>
      <c r="DE2" s="11" t="s">
        <v>33</v>
      </c>
      <c r="DF2" s="41" t="s">
        <v>76</v>
      </c>
      <c r="DG2" s="41" t="s">
        <v>77</v>
      </c>
      <c r="DH2" s="41" t="s">
        <v>38</v>
      </c>
      <c r="DI2" s="88" t="s">
        <v>63</v>
      </c>
      <c r="DJ2" s="88"/>
      <c r="DK2" s="88"/>
      <c r="DL2" s="88"/>
      <c r="DM2" s="88" t="s">
        <v>66</v>
      </c>
      <c r="DN2" s="88"/>
      <c r="DO2" s="88"/>
      <c r="DP2" s="88"/>
      <c r="DQ2" s="88" t="s">
        <v>67</v>
      </c>
      <c r="DR2" s="88"/>
      <c r="DS2" s="88"/>
      <c r="DT2" s="88"/>
      <c r="DU2" s="107" t="s">
        <v>68</v>
      </c>
      <c r="DV2" s="107"/>
      <c r="DW2" s="107"/>
      <c r="DX2" s="107"/>
      <c r="DY2" s="107" t="s">
        <v>69</v>
      </c>
      <c r="DZ2" s="107"/>
      <c r="EA2" s="107"/>
      <c r="EB2" s="107"/>
      <c r="EC2" s="107" t="s">
        <v>70</v>
      </c>
      <c r="ED2" s="107"/>
      <c r="EE2" s="107"/>
      <c r="EF2" s="107"/>
      <c r="EG2" s="10" t="s">
        <v>45</v>
      </c>
      <c r="EH2" s="11" t="s">
        <v>39</v>
      </c>
      <c r="EI2" s="11" t="s">
        <v>76</v>
      </c>
      <c r="EJ2" s="11" t="s">
        <v>77</v>
      </c>
      <c r="EK2" s="11" t="s">
        <v>38</v>
      </c>
      <c r="EL2" s="11" t="s">
        <v>33</v>
      </c>
      <c r="EM2" s="109" t="s">
        <v>63</v>
      </c>
      <c r="EN2" s="109"/>
      <c r="EO2" s="109"/>
      <c r="EP2" s="109"/>
      <c r="EQ2" s="109" t="s">
        <v>66</v>
      </c>
      <c r="ER2" s="109"/>
      <c r="ES2" s="109"/>
      <c r="ET2" s="109"/>
      <c r="EU2" s="109" t="s">
        <v>67</v>
      </c>
      <c r="EV2" s="109"/>
      <c r="EW2" s="109"/>
      <c r="EX2" s="109"/>
      <c r="EY2" s="109" t="s">
        <v>68</v>
      </c>
      <c r="EZ2" s="109"/>
      <c r="FA2" s="109"/>
      <c r="FB2" s="109"/>
      <c r="FC2" s="109" t="s">
        <v>69</v>
      </c>
      <c r="FD2" s="109"/>
      <c r="FE2" s="109"/>
      <c r="FF2" s="109"/>
      <c r="FG2" s="109" t="s">
        <v>70</v>
      </c>
      <c r="FH2" s="109"/>
      <c r="FI2" s="109"/>
      <c r="FJ2" s="109"/>
      <c r="FK2" s="28" t="s">
        <v>45</v>
      </c>
      <c r="FL2" s="26" t="s">
        <v>39</v>
      </c>
      <c r="FM2" s="26" t="s">
        <v>76</v>
      </c>
      <c r="FN2" s="26" t="s">
        <v>77</v>
      </c>
      <c r="FO2" s="26" t="s">
        <v>38</v>
      </c>
      <c r="FP2" s="26" t="s">
        <v>33</v>
      </c>
      <c r="FQ2" s="107" t="s">
        <v>63</v>
      </c>
      <c r="FR2" s="107"/>
      <c r="FS2" s="107"/>
      <c r="FT2" s="107"/>
      <c r="FU2" s="107" t="s">
        <v>66</v>
      </c>
      <c r="FV2" s="107"/>
      <c r="FW2" s="107"/>
      <c r="FX2" s="107"/>
      <c r="FY2" s="107" t="s">
        <v>67</v>
      </c>
      <c r="FZ2" s="107"/>
      <c r="GA2" s="107"/>
      <c r="GB2" s="107"/>
      <c r="GC2" s="107" t="s">
        <v>68</v>
      </c>
      <c r="GD2" s="107"/>
      <c r="GE2" s="107"/>
      <c r="GF2" s="107"/>
      <c r="GG2" s="107" t="s">
        <v>69</v>
      </c>
      <c r="GH2" s="107"/>
      <c r="GI2" s="107"/>
      <c r="GJ2" s="107"/>
      <c r="GK2" s="107" t="s">
        <v>70</v>
      </c>
      <c r="GL2" s="107"/>
      <c r="GM2" s="107"/>
      <c r="GN2" s="107"/>
      <c r="GO2" s="36" t="s">
        <v>45</v>
      </c>
      <c r="GP2" s="27" t="s">
        <v>39</v>
      </c>
      <c r="GQ2" s="27" t="s">
        <v>76</v>
      </c>
      <c r="GR2" s="27" t="s">
        <v>77</v>
      </c>
      <c r="GS2" s="27" t="s">
        <v>38</v>
      </c>
      <c r="GT2" s="27" t="s">
        <v>33</v>
      </c>
      <c r="GU2" s="109" t="s">
        <v>63</v>
      </c>
      <c r="GV2" s="109"/>
      <c r="GW2" s="109"/>
      <c r="GX2" s="109"/>
      <c r="GY2" s="109" t="s">
        <v>66</v>
      </c>
      <c r="GZ2" s="109"/>
      <c r="HA2" s="109"/>
      <c r="HB2" s="109"/>
      <c r="HC2" s="109" t="s">
        <v>67</v>
      </c>
      <c r="HD2" s="109"/>
      <c r="HE2" s="109"/>
      <c r="HF2" s="109"/>
      <c r="HG2" s="109" t="s">
        <v>68</v>
      </c>
      <c r="HH2" s="109"/>
      <c r="HI2" s="109"/>
      <c r="HJ2" s="109"/>
      <c r="HK2" s="109" t="s">
        <v>69</v>
      </c>
      <c r="HL2" s="109"/>
      <c r="HM2" s="109"/>
      <c r="HN2" s="109"/>
      <c r="HO2" s="109" t="s">
        <v>70</v>
      </c>
      <c r="HP2" s="109"/>
      <c r="HQ2" s="109"/>
      <c r="HR2" s="109"/>
      <c r="HS2" s="39" t="s">
        <v>45</v>
      </c>
      <c r="HT2" s="26" t="s">
        <v>39</v>
      </c>
      <c r="HU2" s="26" t="s">
        <v>76</v>
      </c>
      <c r="HV2" s="26" t="s">
        <v>77</v>
      </c>
      <c r="HW2" s="26" t="s">
        <v>38</v>
      </c>
      <c r="HX2" s="26" t="s">
        <v>33</v>
      </c>
      <c r="HY2" s="107" t="s">
        <v>63</v>
      </c>
      <c r="HZ2" s="107"/>
      <c r="IA2" s="107"/>
      <c r="IB2" s="107"/>
      <c r="IC2" s="107" t="s">
        <v>66</v>
      </c>
      <c r="ID2" s="107"/>
      <c r="IE2" s="107"/>
      <c r="IF2" s="107"/>
      <c r="IG2" s="107" t="s">
        <v>67</v>
      </c>
      <c r="IH2" s="107"/>
      <c r="II2" s="107"/>
      <c r="IJ2" s="107"/>
      <c r="IK2" s="107" t="s">
        <v>68</v>
      </c>
      <c r="IL2" s="107"/>
      <c r="IM2" s="107"/>
      <c r="IN2" s="107"/>
      <c r="IO2" s="107" t="s">
        <v>69</v>
      </c>
      <c r="IP2" s="107"/>
      <c r="IQ2" s="107"/>
      <c r="IR2" s="107"/>
      <c r="IS2" s="107" t="s">
        <v>70</v>
      </c>
      <c r="IT2" s="107"/>
      <c r="IU2" s="107"/>
      <c r="IV2" s="107"/>
      <c r="IW2" s="40" t="s">
        <v>45</v>
      </c>
      <c r="IX2" s="27" t="s">
        <v>39</v>
      </c>
      <c r="IY2" s="27" t="s">
        <v>76</v>
      </c>
      <c r="IZ2" s="27" t="s">
        <v>77</v>
      </c>
      <c r="JA2" s="27" t="s">
        <v>38</v>
      </c>
      <c r="JB2" s="27" t="s">
        <v>33</v>
      </c>
      <c r="JC2" s="109" t="s">
        <v>63</v>
      </c>
      <c r="JD2" s="109"/>
      <c r="JE2" s="109"/>
      <c r="JF2" s="109"/>
      <c r="JG2" s="109" t="s">
        <v>66</v>
      </c>
      <c r="JH2" s="109"/>
      <c r="JI2" s="109"/>
      <c r="JJ2" s="109"/>
      <c r="JK2" s="109" t="s">
        <v>67</v>
      </c>
      <c r="JL2" s="109"/>
      <c r="JM2" s="109"/>
      <c r="JN2" s="109"/>
      <c r="JO2" s="109" t="s">
        <v>68</v>
      </c>
      <c r="JP2" s="109"/>
      <c r="JQ2" s="109"/>
      <c r="JR2" s="109"/>
      <c r="JS2" s="109" t="s">
        <v>69</v>
      </c>
      <c r="JT2" s="109"/>
      <c r="JU2" s="109"/>
      <c r="JV2" s="109"/>
      <c r="JW2" s="109" t="s">
        <v>70</v>
      </c>
      <c r="JX2" s="109"/>
      <c r="JY2" s="109"/>
      <c r="JZ2" s="109"/>
      <c r="KA2" s="39" t="s">
        <v>45</v>
      </c>
      <c r="KB2" s="26" t="s">
        <v>39</v>
      </c>
      <c r="KC2" s="26" t="s">
        <v>76</v>
      </c>
      <c r="KD2" s="26" t="s">
        <v>77</v>
      </c>
      <c r="KE2" s="26" t="s">
        <v>38</v>
      </c>
      <c r="KF2" s="26" t="s">
        <v>33</v>
      </c>
      <c r="KG2" s="107" t="s">
        <v>63</v>
      </c>
      <c r="KH2" s="107"/>
      <c r="KI2" s="107"/>
      <c r="KJ2" s="107"/>
      <c r="KK2" s="107" t="s">
        <v>66</v>
      </c>
      <c r="KL2" s="107"/>
      <c r="KM2" s="107"/>
      <c r="KN2" s="107"/>
      <c r="KO2" s="107" t="s">
        <v>67</v>
      </c>
      <c r="KP2" s="107"/>
      <c r="KQ2" s="107"/>
      <c r="KR2" s="107"/>
      <c r="KS2" s="107" t="s">
        <v>68</v>
      </c>
      <c r="KT2" s="107"/>
      <c r="KU2" s="107"/>
      <c r="KV2" s="107"/>
      <c r="KW2" s="107" t="s">
        <v>69</v>
      </c>
      <c r="KX2" s="107"/>
      <c r="KY2" s="107"/>
      <c r="KZ2" s="107"/>
      <c r="LA2" s="107" t="s">
        <v>70</v>
      </c>
      <c r="LB2" s="107"/>
      <c r="LC2" s="107"/>
      <c r="LD2" s="107"/>
      <c r="LE2" s="40" t="s">
        <v>45</v>
      </c>
      <c r="LF2" s="27" t="s">
        <v>39</v>
      </c>
      <c r="LG2" s="27" t="s">
        <v>76</v>
      </c>
      <c r="LH2" s="27" t="s">
        <v>77</v>
      </c>
      <c r="LI2" s="27" t="s">
        <v>38</v>
      </c>
      <c r="LJ2" s="27" t="s">
        <v>33</v>
      </c>
      <c r="LK2" s="109" t="s">
        <v>63</v>
      </c>
      <c r="LL2" s="109"/>
      <c r="LM2" s="109"/>
      <c r="LN2" s="109"/>
      <c r="LO2" s="109" t="s">
        <v>66</v>
      </c>
      <c r="LP2" s="109"/>
      <c r="LQ2" s="109"/>
      <c r="LR2" s="109"/>
      <c r="LS2" s="109" t="s">
        <v>67</v>
      </c>
      <c r="LT2" s="109"/>
      <c r="LU2" s="109"/>
      <c r="LV2" s="109"/>
      <c r="LW2" s="109" t="s">
        <v>68</v>
      </c>
      <c r="LX2" s="109"/>
      <c r="LY2" s="109"/>
      <c r="LZ2" s="109"/>
      <c r="MA2" s="109" t="s">
        <v>69</v>
      </c>
      <c r="MB2" s="109"/>
      <c r="MC2" s="109"/>
      <c r="MD2" s="109"/>
      <c r="ME2" s="109" t="s">
        <v>70</v>
      </c>
      <c r="MF2" s="109"/>
      <c r="MG2" s="109"/>
      <c r="MH2" s="109"/>
      <c r="MI2" s="39" t="s">
        <v>45</v>
      </c>
      <c r="MJ2" s="26" t="s">
        <v>39</v>
      </c>
      <c r="MK2" s="26" t="s">
        <v>76</v>
      </c>
      <c r="ML2" s="26" t="s">
        <v>77</v>
      </c>
      <c r="MM2" s="26" t="s">
        <v>38</v>
      </c>
      <c r="MN2" s="26" t="s">
        <v>33</v>
      </c>
      <c r="MO2" s="107" t="s">
        <v>63</v>
      </c>
      <c r="MP2" s="107"/>
      <c r="MQ2" s="107"/>
      <c r="MR2" s="107"/>
      <c r="MS2" s="107" t="s">
        <v>66</v>
      </c>
      <c r="MT2" s="107"/>
      <c r="MU2" s="107"/>
      <c r="MV2" s="107"/>
      <c r="MW2" s="107" t="s">
        <v>67</v>
      </c>
      <c r="MX2" s="107"/>
      <c r="MY2" s="107"/>
      <c r="MZ2" s="107"/>
      <c r="NA2" s="107" t="s">
        <v>68</v>
      </c>
      <c r="NB2" s="107"/>
      <c r="NC2" s="107"/>
      <c r="ND2" s="107"/>
      <c r="NE2" s="107" t="s">
        <v>69</v>
      </c>
      <c r="NF2" s="107"/>
      <c r="NG2" s="107"/>
      <c r="NH2" s="107"/>
      <c r="NI2" s="107" t="s">
        <v>70</v>
      </c>
      <c r="NJ2" s="107"/>
      <c r="NK2" s="107"/>
      <c r="NL2" s="107"/>
      <c r="NM2" s="40" t="s">
        <v>45</v>
      </c>
      <c r="NN2" s="27" t="s">
        <v>39</v>
      </c>
      <c r="NO2" s="27" t="s">
        <v>76</v>
      </c>
      <c r="NP2" s="27" t="s">
        <v>77</v>
      </c>
      <c r="NQ2" s="27" t="s">
        <v>38</v>
      </c>
      <c r="NR2" s="27" t="s">
        <v>33</v>
      </c>
      <c r="NS2" s="109" t="s">
        <v>63</v>
      </c>
      <c r="NT2" s="109"/>
      <c r="NU2" s="109"/>
      <c r="NV2" s="109"/>
      <c r="NW2" s="109" t="s">
        <v>66</v>
      </c>
      <c r="NX2" s="109"/>
      <c r="NY2" s="109"/>
      <c r="NZ2" s="109"/>
      <c r="OA2" s="109" t="s">
        <v>67</v>
      </c>
      <c r="OB2" s="109"/>
      <c r="OC2" s="109"/>
      <c r="OD2" s="109"/>
      <c r="OE2" s="109" t="s">
        <v>68</v>
      </c>
      <c r="OF2" s="109"/>
      <c r="OG2" s="109"/>
      <c r="OH2" s="109"/>
      <c r="OI2" s="109" t="s">
        <v>69</v>
      </c>
      <c r="OJ2" s="109"/>
      <c r="OK2" s="109"/>
      <c r="OL2" s="109"/>
      <c r="OM2" s="109" t="s">
        <v>70</v>
      </c>
      <c r="ON2" s="109"/>
      <c r="OO2" s="109"/>
      <c r="OP2" s="109"/>
      <c r="OQ2" s="39" t="s">
        <v>45</v>
      </c>
      <c r="OR2" s="26" t="s">
        <v>39</v>
      </c>
      <c r="OS2" s="26" t="s">
        <v>76</v>
      </c>
      <c r="OT2" s="26" t="s">
        <v>77</v>
      </c>
      <c r="OU2" s="26" t="s">
        <v>38</v>
      </c>
      <c r="OV2" s="26" t="s">
        <v>33</v>
      </c>
      <c r="OW2" s="107" t="s">
        <v>63</v>
      </c>
      <c r="OX2" s="107"/>
      <c r="OY2" s="107"/>
      <c r="OZ2" s="107"/>
      <c r="PA2" s="107" t="s">
        <v>66</v>
      </c>
      <c r="PB2" s="107"/>
      <c r="PC2" s="107"/>
      <c r="PD2" s="107"/>
      <c r="PE2" s="107" t="s">
        <v>67</v>
      </c>
      <c r="PF2" s="107"/>
      <c r="PG2" s="107"/>
      <c r="PH2" s="107"/>
      <c r="PI2" s="107" t="s">
        <v>68</v>
      </c>
      <c r="PJ2" s="107"/>
      <c r="PK2" s="107"/>
      <c r="PL2" s="107"/>
      <c r="PM2" s="107" t="s">
        <v>69</v>
      </c>
      <c r="PN2" s="107"/>
      <c r="PO2" s="107"/>
      <c r="PP2" s="107"/>
      <c r="PQ2" s="107" t="s">
        <v>70</v>
      </c>
      <c r="PR2" s="107"/>
      <c r="PS2" s="107"/>
      <c r="PT2" s="107"/>
      <c r="PU2" s="40" t="s">
        <v>45</v>
      </c>
      <c r="PV2" s="27" t="s">
        <v>39</v>
      </c>
      <c r="PW2" s="27" t="s">
        <v>76</v>
      </c>
      <c r="PX2" s="27" t="s">
        <v>77</v>
      </c>
      <c r="PY2" s="27" t="s">
        <v>38</v>
      </c>
      <c r="PZ2" s="27" t="s">
        <v>33</v>
      </c>
      <c r="QA2" s="109" t="s">
        <v>63</v>
      </c>
      <c r="QB2" s="109"/>
      <c r="QC2" s="109"/>
      <c r="QD2" s="109"/>
      <c r="QE2" s="109" t="s">
        <v>66</v>
      </c>
      <c r="QF2" s="109"/>
      <c r="QG2" s="109"/>
      <c r="QH2" s="109"/>
      <c r="QI2" s="109" t="s">
        <v>67</v>
      </c>
      <c r="QJ2" s="109"/>
      <c r="QK2" s="109"/>
      <c r="QL2" s="109"/>
      <c r="QM2" s="109" t="s">
        <v>68</v>
      </c>
      <c r="QN2" s="109"/>
      <c r="QO2" s="109"/>
      <c r="QP2" s="109"/>
      <c r="QQ2" s="109" t="s">
        <v>69</v>
      </c>
      <c r="QR2" s="109"/>
      <c r="QS2" s="109"/>
      <c r="QT2" s="109"/>
      <c r="QU2" s="109" t="s">
        <v>70</v>
      </c>
      <c r="QV2" s="109"/>
      <c r="QW2" s="109"/>
      <c r="QX2" s="109"/>
      <c r="QY2" s="39" t="s">
        <v>45</v>
      </c>
      <c r="QZ2" s="26" t="s">
        <v>39</v>
      </c>
      <c r="RA2" s="26" t="s">
        <v>76</v>
      </c>
      <c r="RB2" s="26" t="s">
        <v>77</v>
      </c>
      <c r="RC2" s="26" t="s">
        <v>38</v>
      </c>
      <c r="RD2" s="26" t="s">
        <v>33</v>
      </c>
    </row>
    <row r="3" spans="1:472" x14ac:dyDescent="0.2">
      <c r="A3" s="96"/>
      <c r="B3" s="96"/>
      <c r="C3" s="96"/>
      <c r="D3" s="96"/>
      <c r="E3" s="96"/>
      <c r="F3" s="98"/>
      <c r="G3" s="96"/>
      <c r="H3" s="96"/>
      <c r="I3" s="97"/>
      <c r="J3" s="97"/>
      <c r="K3" s="97"/>
      <c r="L3" s="97"/>
      <c r="M3" s="97"/>
      <c r="N3" s="97"/>
      <c r="O3" s="97"/>
      <c r="P3" s="97"/>
      <c r="Q3" s="99"/>
      <c r="R3" s="97"/>
      <c r="S3" s="97"/>
      <c r="T3" s="48" t="s">
        <v>30</v>
      </c>
      <c r="U3" s="48" t="s">
        <v>22</v>
      </c>
      <c r="V3" s="48" t="s">
        <v>64</v>
      </c>
      <c r="W3" s="48" t="s">
        <v>65</v>
      </c>
      <c r="X3" s="48" t="s">
        <v>30</v>
      </c>
      <c r="Y3" s="48" t="s">
        <v>22</v>
      </c>
      <c r="Z3" s="48" t="s">
        <v>64</v>
      </c>
      <c r="AA3" s="48" t="s">
        <v>65</v>
      </c>
      <c r="AB3" s="48" t="s">
        <v>30</v>
      </c>
      <c r="AC3" s="48" t="s">
        <v>22</v>
      </c>
      <c r="AD3" s="48" t="s">
        <v>64</v>
      </c>
      <c r="AE3" s="48" t="s">
        <v>65</v>
      </c>
      <c r="AF3" s="51" t="s">
        <v>30</v>
      </c>
      <c r="AG3" s="51" t="s">
        <v>22</v>
      </c>
      <c r="AH3" s="51" t="s">
        <v>64</v>
      </c>
      <c r="AI3" s="51" t="s">
        <v>65</v>
      </c>
      <c r="AJ3" s="51" t="s">
        <v>30</v>
      </c>
      <c r="AK3" s="51" t="s">
        <v>22</v>
      </c>
      <c r="AL3" s="51" t="s">
        <v>64</v>
      </c>
      <c r="AM3" s="51" t="s">
        <v>65</v>
      </c>
      <c r="AN3" s="51" t="s">
        <v>30</v>
      </c>
      <c r="AO3" s="51" t="s">
        <v>22</v>
      </c>
      <c r="AP3" s="51" t="s">
        <v>64</v>
      </c>
      <c r="AQ3" s="51" t="s">
        <v>65</v>
      </c>
      <c r="AR3" s="12"/>
      <c r="AS3" s="11"/>
      <c r="AT3" s="11"/>
      <c r="AU3" s="11"/>
      <c r="AV3" s="12"/>
      <c r="AW3" s="12"/>
      <c r="AX3" s="47" t="s">
        <v>30</v>
      </c>
      <c r="AY3" s="47" t="s">
        <v>22</v>
      </c>
      <c r="AZ3" s="47" t="s">
        <v>64</v>
      </c>
      <c r="BA3" s="47" t="s">
        <v>65</v>
      </c>
      <c r="BB3" s="47" t="s">
        <v>30</v>
      </c>
      <c r="BC3" s="47" t="s">
        <v>22</v>
      </c>
      <c r="BD3" s="47" t="s">
        <v>64</v>
      </c>
      <c r="BE3" s="47" t="s">
        <v>65</v>
      </c>
      <c r="BF3" s="47" t="s">
        <v>30</v>
      </c>
      <c r="BG3" s="47" t="s">
        <v>22</v>
      </c>
      <c r="BH3" s="47" t="s">
        <v>64</v>
      </c>
      <c r="BI3" s="47" t="s">
        <v>65</v>
      </c>
      <c r="BJ3" s="52" t="s">
        <v>30</v>
      </c>
      <c r="BK3" s="52" t="s">
        <v>22</v>
      </c>
      <c r="BL3" s="52" t="s">
        <v>64</v>
      </c>
      <c r="BM3" s="52" t="s">
        <v>65</v>
      </c>
      <c r="BN3" s="52" t="s">
        <v>30</v>
      </c>
      <c r="BO3" s="52" t="s">
        <v>22</v>
      </c>
      <c r="BP3" s="52" t="s">
        <v>64</v>
      </c>
      <c r="BQ3" s="52" t="s">
        <v>65</v>
      </c>
      <c r="BR3" s="52" t="s">
        <v>30</v>
      </c>
      <c r="BS3" s="52" t="s">
        <v>22</v>
      </c>
      <c r="BT3" s="52" t="s">
        <v>64</v>
      </c>
      <c r="BU3" s="52" t="s">
        <v>65</v>
      </c>
      <c r="BV3" s="16"/>
      <c r="BW3" s="15"/>
      <c r="BX3" s="15"/>
      <c r="BY3" s="15"/>
      <c r="BZ3" s="16"/>
      <c r="CA3" s="16"/>
      <c r="CB3" s="48" t="s">
        <v>30</v>
      </c>
      <c r="CC3" s="48" t="s">
        <v>22</v>
      </c>
      <c r="CD3" s="48" t="s">
        <v>64</v>
      </c>
      <c r="CE3" s="48" t="s">
        <v>65</v>
      </c>
      <c r="CF3" s="48" t="s">
        <v>30</v>
      </c>
      <c r="CG3" s="48" t="s">
        <v>22</v>
      </c>
      <c r="CH3" s="48" t="s">
        <v>64</v>
      </c>
      <c r="CI3" s="48" t="s">
        <v>65</v>
      </c>
      <c r="CJ3" s="48" t="s">
        <v>30</v>
      </c>
      <c r="CK3" s="48" t="s">
        <v>22</v>
      </c>
      <c r="CL3" s="48" t="s">
        <v>64</v>
      </c>
      <c r="CM3" s="48" t="s">
        <v>65</v>
      </c>
      <c r="CN3" s="53" t="s">
        <v>30</v>
      </c>
      <c r="CO3" s="53" t="s">
        <v>22</v>
      </c>
      <c r="CP3" s="53" t="s">
        <v>64</v>
      </c>
      <c r="CQ3" s="53" t="s">
        <v>65</v>
      </c>
      <c r="CR3" s="53" t="s">
        <v>30</v>
      </c>
      <c r="CS3" s="53" t="s">
        <v>22</v>
      </c>
      <c r="CT3" s="53" t="s">
        <v>64</v>
      </c>
      <c r="CU3" s="53" t="s">
        <v>65</v>
      </c>
      <c r="CV3" s="53" t="s">
        <v>30</v>
      </c>
      <c r="CW3" s="53" t="s">
        <v>22</v>
      </c>
      <c r="CX3" s="53" t="s">
        <v>64</v>
      </c>
      <c r="CY3" s="53" t="s">
        <v>65</v>
      </c>
      <c r="CZ3" s="12"/>
      <c r="DA3" s="11"/>
      <c r="DB3" s="11"/>
      <c r="DC3" s="11"/>
      <c r="DD3" s="12"/>
      <c r="DE3" s="12"/>
      <c r="DF3" s="42"/>
      <c r="DG3" s="42"/>
      <c r="DH3" s="42"/>
      <c r="DI3" s="48" t="s">
        <v>30</v>
      </c>
      <c r="DJ3" s="48" t="s">
        <v>22</v>
      </c>
      <c r="DK3" s="48" t="s">
        <v>64</v>
      </c>
      <c r="DL3" s="48" t="s">
        <v>65</v>
      </c>
      <c r="DM3" s="48" t="s">
        <v>30</v>
      </c>
      <c r="DN3" s="48" t="s">
        <v>22</v>
      </c>
      <c r="DO3" s="48" t="s">
        <v>64</v>
      </c>
      <c r="DP3" s="48" t="s">
        <v>65</v>
      </c>
      <c r="DQ3" s="48" t="s">
        <v>30</v>
      </c>
      <c r="DR3" s="48" t="s">
        <v>22</v>
      </c>
      <c r="DS3" s="48" t="s">
        <v>64</v>
      </c>
      <c r="DT3" s="48" t="s">
        <v>65</v>
      </c>
      <c r="DU3" s="53" t="s">
        <v>30</v>
      </c>
      <c r="DV3" s="53" t="s">
        <v>22</v>
      </c>
      <c r="DW3" s="53" t="s">
        <v>64</v>
      </c>
      <c r="DX3" s="53" t="s">
        <v>65</v>
      </c>
      <c r="DY3" s="53" t="s">
        <v>30</v>
      </c>
      <c r="DZ3" s="53" t="s">
        <v>22</v>
      </c>
      <c r="EA3" s="53" t="s">
        <v>64</v>
      </c>
      <c r="EB3" s="53" t="s">
        <v>65</v>
      </c>
      <c r="EC3" s="53" t="s">
        <v>30</v>
      </c>
      <c r="ED3" s="53" t="s">
        <v>22</v>
      </c>
      <c r="EE3" s="53" t="s">
        <v>64</v>
      </c>
      <c r="EF3" s="53" t="s">
        <v>65</v>
      </c>
      <c r="EG3" s="12"/>
      <c r="EH3" s="11"/>
      <c r="EI3" s="11"/>
      <c r="EJ3" s="11"/>
      <c r="EK3" s="12"/>
      <c r="EL3" s="12"/>
      <c r="EM3" s="52" t="s">
        <v>30</v>
      </c>
      <c r="EN3" s="52" t="s">
        <v>22</v>
      </c>
      <c r="EO3" s="52" t="s">
        <v>64</v>
      </c>
      <c r="EP3" s="52" t="s">
        <v>65</v>
      </c>
      <c r="EQ3" s="52" t="s">
        <v>30</v>
      </c>
      <c r="ER3" s="52" t="s">
        <v>22</v>
      </c>
      <c r="ES3" s="52" t="s">
        <v>64</v>
      </c>
      <c r="ET3" s="52" t="s">
        <v>65</v>
      </c>
      <c r="EU3" s="52" t="s">
        <v>30</v>
      </c>
      <c r="EV3" s="52" t="s">
        <v>22</v>
      </c>
      <c r="EW3" s="52" t="s">
        <v>64</v>
      </c>
      <c r="EX3" s="52" t="s">
        <v>65</v>
      </c>
      <c r="EY3" s="52" t="s">
        <v>30</v>
      </c>
      <c r="EZ3" s="52" t="s">
        <v>22</v>
      </c>
      <c r="FA3" s="52" t="s">
        <v>64</v>
      </c>
      <c r="FB3" s="52" t="s">
        <v>65</v>
      </c>
      <c r="FC3" s="52" t="s">
        <v>30</v>
      </c>
      <c r="FD3" s="52" t="s">
        <v>22</v>
      </c>
      <c r="FE3" s="52" t="s">
        <v>64</v>
      </c>
      <c r="FF3" s="52" t="s">
        <v>65</v>
      </c>
      <c r="FG3" s="52" t="s">
        <v>30</v>
      </c>
      <c r="FH3" s="52" t="s">
        <v>22</v>
      </c>
      <c r="FI3" s="52" t="s">
        <v>64</v>
      </c>
      <c r="FJ3" s="52" t="s">
        <v>65</v>
      </c>
      <c r="FK3" s="26"/>
      <c r="FL3" s="26"/>
      <c r="FM3" s="26"/>
      <c r="FN3" s="26"/>
      <c r="FO3" s="26"/>
      <c r="FP3" s="26"/>
      <c r="FQ3" s="53" t="s">
        <v>30</v>
      </c>
      <c r="FR3" s="53" t="s">
        <v>22</v>
      </c>
      <c r="FS3" s="53" t="s">
        <v>64</v>
      </c>
      <c r="FT3" s="53" t="s">
        <v>65</v>
      </c>
      <c r="FU3" s="53" t="s">
        <v>30</v>
      </c>
      <c r="FV3" s="53" t="s">
        <v>22</v>
      </c>
      <c r="FW3" s="53" t="s">
        <v>64</v>
      </c>
      <c r="FX3" s="53" t="s">
        <v>65</v>
      </c>
      <c r="FY3" s="53" t="s">
        <v>30</v>
      </c>
      <c r="FZ3" s="53" t="s">
        <v>22</v>
      </c>
      <c r="GA3" s="53" t="s">
        <v>64</v>
      </c>
      <c r="GB3" s="53" t="s">
        <v>65</v>
      </c>
      <c r="GC3" s="53" t="s">
        <v>30</v>
      </c>
      <c r="GD3" s="53" t="s">
        <v>22</v>
      </c>
      <c r="GE3" s="53" t="s">
        <v>64</v>
      </c>
      <c r="GF3" s="53" t="s">
        <v>65</v>
      </c>
      <c r="GG3" s="53" t="s">
        <v>30</v>
      </c>
      <c r="GH3" s="53" t="s">
        <v>22</v>
      </c>
      <c r="GI3" s="53" t="s">
        <v>64</v>
      </c>
      <c r="GJ3" s="53" t="s">
        <v>65</v>
      </c>
      <c r="GK3" s="53" t="s">
        <v>30</v>
      </c>
      <c r="GL3" s="53" t="s">
        <v>22</v>
      </c>
      <c r="GM3" s="53" t="s">
        <v>64</v>
      </c>
      <c r="GN3" s="53" t="s">
        <v>65</v>
      </c>
      <c r="GO3" s="27"/>
      <c r="GP3" s="27"/>
      <c r="GQ3" s="27"/>
      <c r="GR3" s="27"/>
      <c r="GS3" s="27"/>
      <c r="GT3" s="27"/>
      <c r="GU3" s="52" t="s">
        <v>30</v>
      </c>
      <c r="GV3" s="52" t="s">
        <v>22</v>
      </c>
      <c r="GW3" s="52" t="s">
        <v>64</v>
      </c>
      <c r="GX3" s="52" t="s">
        <v>65</v>
      </c>
      <c r="GY3" s="52" t="s">
        <v>30</v>
      </c>
      <c r="GZ3" s="52" t="s">
        <v>22</v>
      </c>
      <c r="HA3" s="52" t="s">
        <v>64</v>
      </c>
      <c r="HB3" s="52" t="s">
        <v>65</v>
      </c>
      <c r="HC3" s="52" t="s">
        <v>30</v>
      </c>
      <c r="HD3" s="52" t="s">
        <v>22</v>
      </c>
      <c r="HE3" s="52" t="s">
        <v>64</v>
      </c>
      <c r="HF3" s="52" t="s">
        <v>65</v>
      </c>
      <c r="HG3" s="52" t="s">
        <v>30</v>
      </c>
      <c r="HH3" s="52" t="s">
        <v>22</v>
      </c>
      <c r="HI3" s="52" t="s">
        <v>64</v>
      </c>
      <c r="HJ3" s="52" t="s">
        <v>65</v>
      </c>
      <c r="HK3" s="52" t="s">
        <v>30</v>
      </c>
      <c r="HL3" s="52" t="s">
        <v>22</v>
      </c>
      <c r="HM3" s="52" t="s">
        <v>64</v>
      </c>
      <c r="HN3" s="52" t="s">
        <v>65</v>
      </c>
      <c r="HO3" s="52" t="s">
        <v>30</v>
      </c>
      <c r="HP3" s="52" t="s">
        <v>22</v>
      </c>
      <c r="HQ3" s="52" t="s">
        <v>64</v>
      </c>
      <c r="HR3" s="52" t="s">
        <v>65</v>
      </c>
      <c r="HS3" s="26"/>
      <c r="HT3" s="26"/>
      <c r="HU3" s="26"/>
      <c r="HV3" s="26"/>
      <c r="HW3" s="26"/>
      <c r="HX3" s="26"/>
      <c r="HY3" s="53" t="s">
        <v>30</v>
      </c>
      <c r="HZ3" s="53" t="s">
        <v>22</v>
      </c>
      <c r="IA3" s="53" t="s">
        <v>64</v>
      </c>
      <c r="IB3" s="53" t="s">
        <v>65</v>
      </c>
      <c r="IC3" s="53" t="s">
        <v>30</v>
      </c>
      <c r="ID3" s="53" t="s">
        <v>22</v>
      </c>
      <c r="IE3" s="53" t="s">
        <v>64</v>
      </c>
      <c r="IF3" s="53" t="s">
        <v>65</v>
      </c>
      <c r="IG3" s="53" t="s">
        <v>30</v>
      </c>
      <c r="IH3" s="53" t="s">
        <v>22</v>
      </c>
      <c r="II3" s="53" t="s">
        <v>64</v>
      </c>
      <c r="IJ3" s="53" t="s">
        <v>65</v>
      </c>
      <c r="IK3" s="53" t="s">
        <v>30</v>
      </c>
      <c r="IL3" s="53" t="s">
        <v>22</v>
      </c>
      <c r="IM3" s="53" t="s">
        <v>64</v>
      </c>
      <c r="IN3" s="53" t="s">
        <v>65</v>
      </c>
      <c r="IO3" s="53" t="s">
        <v>30</v>
      </c>
      <c r="IP3" s="53" t="s">
        <v>22</v>
      </c>
      <c r="IQ3" s="53" t="s">
        <v>64</v>
      </c>
      <c r="IR3" s="53" t="s">
        <v>65</v>
      </c>
      <c r="IS3" s="53" t="s">
        <v>30</v>
      </c>
      <c r="IT3" s="53" t="s">
        <v>22</v>
      </c>
      <c r="IU3" s="53" t="s">
        <v>64</v>
      </c>
      <c r="IV3" s="53" t="s">
        <v>65</v>
      </c>
      <c r="IW3" s="27"/>
      <c r="IX3" s="27"/>
      <c r="IY3" s="27"/>
      <c r="IZ3" s="27"/>
      <c r="JA3" s="27"/>
      <c r="JB3" s="27"/>
      <c r="JC3" s="52" t="s">
        <v>30</v>
      </c>
      <c r="JD3" s="52" t="s">
        <v>22</v>
      </c>
      <c r="JE3" s="52" t="s">
        <v>64</v>
      </c>
      <c r="JF3" s="52" t="s">
        <v>65</v>
      </c>
      <c r="JG3" s="52" t="s">
        <v>30</v>
      </c>
      <c r="JH3" s="52" t="s">
        <v>22</v>
      </c>
      <c r="JI3" s="52" t="s">
        <v>64</v>
      </c>
      <c r="JJ3" s="52" t="s">
        <v>65</v>
      </c>
      <c r="JK3" s="52" t="s">
        <v>30</v>
      </c>
      <c r="JL3" s="52" t="s">
        <v>22</v>
      </c>
      <c r="JM3" s="52" t="s">
        <v>64</v>
      </c>
      <c r="JN3" s="52" t="s">
        <v>65</v>
      </c>
      <c r="JO3" s="52" t="s">
        <v>30</v>
      </c>
      <c r="JP3" s="52" t="s">
        <v>22</v>
      </c>
      <c r="JQ3" s="52" t="s">
        <v>64</v>
      </c>
      <c r="JR3" s="52" t="s">
        <v>65</v>
      </c>
      <c r="JS3" s="52" t="s">
        <v>30</v>
      </c>
      <c r="JT3" s="52" t="s">
        <v>22</v>
      </c>
      <c r="JU3" s="52" t="s">
        <v>64</v>
      </c>
      <c r="JV3" s="52" t="s">
        <v>65</v>
      </c>
      <c r="JW3" s="52" t="s">
        <v>30</v>
      </c>
      <c r="JX3" s="52" t="s">
        <v>22</v>
      </c>
      <c r="JY3" s="52" t="s">
        <v>64</v>
      </c>
      <c r="JZ3" s="52" t="s">
        <v>65</v>
      </c>
      <c r="KA3" s="26"/>
      <c r="KB3" s="26"/>
      <c r="KC3" s="26"/>
      <c r="KD3" s="26"/>
      <c r="KE3" s="26"/>
      <c r="KF3" s="26"/>
      <c r="KG3" s="53" t="s">
        <v>30</v>
      </c>
      <c r="KH3" s="53" t="s">
        <v>22</v>
      </c>
      <c r="KI3" s="53" t="s">
        <v>64</v>
      </c>
      <c r="KJ3" s="53" t="s">
        <v>65</v>
      </c>
      <c r="KK3" s="53" t="s">
        <v>30</v>
      </c>
      <c r="KL3" s="53" t="s">
        <v>22</v>
      </c>
      <c r="KM3" s="53" t="s">
        <v>64</v>
      </c>
      <c r="KN3" s="53" t="s">
        <v>65</v>
      </c>
      <c r="KO3" s="53" t="s">
        <v>30</v>
      </c>
      <c r="KP3" s="53" t="s">
        <v>22</v>
      </c>
      <c r="KQ3" s="53" t="s">
        <v>64</v>
      </c>
      <c r="KR3" s="53" t="s">
        <v>65</v>
      </c>
      <c r="KS3" s="53" t="s">
        <v>30</v>
      </c>
      <c r="KT3" s="53" t="s">
        <v>22</v>
      </c>
      <c r="KU3" s="53" t="s">
        <v>64</v>
      </c>
      <c r="KV3" s="53" t="s">
        <v>65</v>
      </c>
      <c r="KW3" s="53" t="s">
        <v>30</v>
      </c>
      <c r="KX3" s="53" t="s">
        <v>22</v>
      </c>
      <c r="KY3" s="53" t="s">
        <v>64</v>
      </c>
      <c r="KZ3" s="53" t="s">
        <v>65</v>
      </c>
      <c r="LA3" s="53" t="s">
        <v>30</v>
      </c>
      <c r="LB3" s="53" t="s">
        <v>22</v>
      </c>
      <c r="LC3" s="53" t="s">
        <v>64</v>
      </c>
      <c r="LD3" s="53" t="s">
        <v>65</v>
      </c>
      <c r="LE3" s="27"/>
      <c r="LF3" s="27"/>
      <c r="LG3" s="27"/>
      <c r="LH3" s="27"/>
      <c r="LI3" s="27"/>
      <c r="LJ3" s="27"/>
      <c r="LK3" s="52" t="s">
        <v>30</v>
      </c>
      <c r="LL3" s="52" t="s">
        <v>22</v>
      </c>
      <c r="LM3" s="52" t="s">
        <v>64</v>
      </c>
      <c r="LN3" s="52" t="s">
        <v>65</v>
      </c>
      <c r="LO3" s="52" t="s">
        <v>30</v>
      </c>
      <c r="LP3" s="52" t="s">
        <v>22</v>
      </c>
      <c r="LQ3" s="52" t="s">
        <v>64</v>
      </c>
      <c r="LR3" s="52" t="s">
        <v>65</v>
      </c>
      <c r="LS3" s="52" t="s">
        <v>30</v>
      </c>
      <c r="LT3" s="52" t="s">
        <v>22</v>
      </c>
      <c r="LU3" s="52" t="s">
        <v>64</v>
      </c>
      <c r="LV3" s="52" t="s">
        <v>65</v>
      </c>
      <c r="LW3" s="52" t="s">
        <v>30</v>
      </c>
      <c r="LX3" s="52" t="s">
        <v>22</v>
      </c>
      <c r="LY3" s="52" t="s">
        <v>64</v>
      </c>
      <c r="LZ3" s="52" t="s">
        <v>65</v>
      </c>
      <c r="MA3" s="52" t="s">
        <v>30</v>
      </c>
      <c r="MB3" s="52" t="s">
        <v>22</v>
      </c>
      <c r="MC3" s="52" t="s">
        <v>64</v>
      </c>
      <c r="MD3" s="52" t="s">
        <v>65</v>
      </c>
      <c r="ME3" s="52" t="s">
        <v>30</v>
      </c>
      <c r="MF3" s="52" t="s">
        <v>22</v>
      </c>
      <c r="MG3" s="52" t="s">
        <v>64</v>
      </c>
      <c r="MH3" s="52" t="s">
        <v>65</v>
      </c>
      <c r="MI3" s="26"/>
      <c r="MJ3" s="26"/>
      <c r="MK3" s="26"/>
      <c r="ML3" s="26"/>
      <c r="MM3" s="26"/>
      <c r="MN3" s="26"/>
      <c r="MO3" s="53" t="s">
        <v>30</v>
      </c>
      <c r="MP3" s="53" t="s">
        <v>22</v>
      </c>
      <c r="MQ3" s="53" t="s">
        <v>64</v>
      </c>
      <c r="MR3" s="53" t="s">
        <v>65</v>
      </c>
      <c r="MS3" s="53" t="s">
        <v>30</v>
      </c>
      <c r="MT3" s="53" t="s">
        <v>22</v>
      </c>
      <c r="MU3" s="53" t="s">
        <v>64</v>
      </c>
      <c r="MV3" s="53" t="s">
        <v>65</v>
      </c>
      <c r="MW3" s="53" t="s">
        <v>30</v>
      </c>
      <c r="MX3" s="53" t="s">
        <v>22</v>
      </c>
      <c r="MY3" s="53" t="s">
        <v>64</v>
      </c>
      <c r="MZ3" s="53" t="s">
        <v>65</v>
      </c>
      <c r="NA3" s="53" t="s">
        <v>30</v>
      </c>
      <c r="NB3" s="53" t="s">
        <v>22</v>
      </c>
      <c r="NC3" s="53" t="s">
        <v>64</v>
      </c>
      <c r="ND3" s="53" t="s">
        <v>65</v>
      </c>
      <c r="NE3" s="53" t="s">
        <v>30</v>
      </c>
      <c r="NF3" s="53" t="s">
        <v>22</v>
      </c>
      <c r="NG3" s="53" t="s">
        <v>64</v>
      </c>
      <c r="NH3" s="53" t="s">
        <v>65</v>
      </c>
      <c r="NI3" s="53" t="s">
        <v>30</v>
      </c>
      <c r="NJ3" s="53" t="s">
        <v>22</v>
      </c>
      <c r="NK3" s="53" t="s">
        <v>64</v>
      </c>
      <c r="NL3" s="53" t="s">
        <v>65</v>
      </c>
      <c r="NM3" s="27"/>
      <c r="NN3" s="27"/>
      <c r="NO3" s="27"/>
      <c r="NP3" s="27"/>
      <c r="NQ3" s="27"/>
      <c r="NR3" s="27"/>
      <c r="NS3" s="52" t="s">
        <v>30</v>
      </c>
      <c r="NT3" s="52" t="s">
        <v>22</v>
      </c>
      <c r="NU3" s="52" t="s">
        <v>64</v>
      </c>
      <c r="NV3" s="52" t="s">
        <v>65</v>
      </c>
      <c r="NW3" s="52" t="s">
        <v>30</v>
      </c>
      <c r="NX3" s="52" t="s">
        <v>22</v>
      </c>
      <c r="NY3" s="52" t="s">
        <v>64</v>
      </c>
      <c r="NZ3" s="52" t="s">
        <v>65</v>
      </c>
      <c r="OA3" s="52" t="s">
        <v>30</v>
      </c>
      <c r="OB3" s="52" t="s">
        <v>22</v>
      </c>
      <c r="OC3" s="52" t="s">
        <v>64</v>
      </c>
      <c r="OD3" s="52" t="s">
        <v>65</v>
      </c>
      <c r="OE3" s="52" t="s">
        <v>30</v>
      </c>
      <c r="OF3" s="52" t="s">
        <v>22</v>
      </c>
      <c r="OG3" s="52" t="s">
        <v>64</v>
      </c>
      <c r="OH3" s="52" t="s">
        <v>65</v>
      </c>
      <c r="OI3" s="52" t="s">
        <v>30</v>
      </c>
      <c r="OJ3" s="52" t="s">
        <v>22</v>
      </c>
      <c r="OK3" s="52" t="s">
        <v>64</v>
      </c>
      <c r="OL3" s="52" t="s">
        <v>65</v>
      </c>
      <c r="OM3" s="52" t="s">
        <v>30</v>
      </c>
      <c r="ON3" s="52" t="s">
        <v>22</v>
      </c>
      <c r="OO3" s="52" t="s">
        <v>64</v>
      </c>
      <c r="OP3" s="52" t="s">
        <v>65</v>
      </c>
      <c r="OQ3" s="26"/>
      <c r="OR3" s="26"/>
      <c r="OS3" s="26"/>
      <c r="OT3" s="26"/>
      <c r="OU3" s="26"/>
      <c r="OV3" s="26"/>
      <c r="OW3" s="53" t="s">
        <v>30</v>
      </c>
      <c r="OX3" s="53" t="s">
        <v>22</v>
      </c>
      <c r="OY3" s="53" t="s">
        <v>64</v>
      </c>
      <c r="OZ3" s="53" t="s">
        <v>65</v>
      </c>
      <c r="PA3" s="53" t="s">
        <v>30</v>
      </c>
      <c r="PB3" s="53" t="s">
        <v>22</v>
      </c>
      <c r="PC3" s="53" t="s">
        <v>64</v>
      </c>
      <c r="PD3" s="53" t="s">
        <v>65</v>
      </c>
      <c r="PE3" s="53" t="s">
        <v>30</v>
      </c>
      <c r="PF3" s="53" t="s">
        <v>22</v>
      </c>
      <c r="PG3" s="53" t="s">
        <v>64</v>
      </c>
      <c r="PH3" s="53" t="s">
        <v>65</v>
      </c>
      <c r="PI3" s="53" t="s">
        <v>30</v>
      </c>
      <c r="PJ3" s="53" t="s">
        <v>22</v>
      </c>
      <c r="PK3" s="53" t="s">
        <v>64</v>
      </c>
      <c r="PL3" s="53" t="s">
        <v>65</v>
      </c>
      <c r="PM3" s="53" t="s">
        <v>30</v>
      </c>
      <c r="PN3" s="53" t="s">
        <v>22</v>
      </c>
      <c r="PO3" s="53" t="s">
        <v>64</v>
      </c>
      <c r="PP3" s="53" t="s">
        <v>65</v>
      </c>
      <c r="PQ3" s="53" t="s">
        <v>30</v>
      </c>
      <c r="PR3" s="53" t="s">
        <v>22</v>
      </c>
      <c r="PS3" s="53" t="s">
        <v>64</v>
      </c>
      <c r="PT3" s="53" t="s">
        <v>65</v>
      </c>
      <c r="PU3" s="27"/>
      <c r="PV3" s="27"/>
      <c r="PW3" s="27"/>
      <c r="PX3" s="27"/>
      <c r="PY3" s="27"/>
      <c r="PZ3" s="27"/>
      <c r="QA3" s="52" t="s">
        <v>30</v>
      </c>
      <c r="QB3" s="52" t="s">
        <v>22</v>
      </c>
      <c r="QC3" s="52" t="s">
        <v>64</v>
      </c>
      <c r="QD3" s="52" t="s">
        <v>65</v>
      </c>
      <c r="QE3" s="52" t="s">
        <v>30</v>
      </c>
      <c r="QF3" s="52" t="s">
        <v>22</v>
      </c>
      <c r="QG3" s="52" t="s">
        <v>64</v>
      </c>
      <c r="QH3" s="52" t="s">
        <v>65</v>
      </c>
      <c r="QI3" s="52" t="s">
        <v>30</v>
      </c>
      <c r="QJ3" s="52" t="s">
        <v>22</v>
      </c>
      <c r="QK3" s="52" t="s">
        <v>64</v>
      </c>
      <c r="QL3" s="52" t="s">
        <v>65</v>
      </c>
      <c r="QM3" s="52" t="s">
        <v>30</v>
      </c>
      <c r="QN3" s="52" t="s">
        <v>22</v>
      </c>
      <c r="QO3" s="52" t="s">
        <v>64</v>
      </c>
      <c r="QP3" s="52" t="s">
        <v>65</v>
      </c>
      <c r="QQ3" s="52" t="s">
        <v>30</v>
      </c>
      <c r="QR3" s="52" t="s">
        <v>22</v>
      </c>
      <c r="QS3" s="52" t="s">
        <v>64</v>
      </c>
      <c r="QT3" s="52" t="s">
        <v>65</v>
      </c>
      <c r="QU3" s="52" t="s">
        <v>30</v>
      </c>
      <c r="QV3" s="52" t="s">
        <v>22</v>
      </c>
      <c r="QW3" s="52" t="s">
        <v>64</v>
      </c>
      <c r="QX3" s="52" t="s">
        <v>65</v>
      </c>
      <c r="QY3" s="26"/>
      <c r="QZ3" s="26"/>
      <c r="RA3" s="26"/>
      <c r="RB3" s="26"/>
      <c r="RC3" s="26"/>
      <c r="RD3" s="26"/>
    </row>
    <row r="4" spans="1:472" x14ac:dyDescent="0.2">
      <c r="A4" s="6">
        <f t="shared" ref="A4:A13" ca="1" si="0">IF(AND(F4="P",G4="P"),SUMPRODUCT((F$4:F$13="P")*(G$4:G$13="P")*(E$4:E$13&gt;E4))+1,IF(G4="P",SUMPRODUCT((F$4:F$13="")*(G$4:G$13="P")*(E$4:E$13&gt;E4))+1+SUMPRODUCT((F$4:F$13="P")*(G$4:G$13="P")),""))</f>
        <v>1</v>
      </c>
      <c r="B4" s="9" t="s">
        <v>71</v>
      </c>
      <c r="C4" s="5" t="s">
        <v>8</v>
      </c>
      <c r="D4" s="46">
        <v>2013</v>
      </c>
      <c r="E4" s="18">
        <f t="shared" ref="E4:E13" si="1">SUM(I4:Q4)</f>
        <v>346.09999999999991</v>
      </c>
      <c r="F4" s="4" t="str">
        <f t="shared" ref="F4:F13" si="2">IF(OR(AND(AR4&gt;=C$17,NOT(AR4="")),AND(BV4&gt;=C$17,NOT(BV4="")),AND(CZ4&gt;=C$17,NOT(CZ4=""))),"P","")</f>
        <v>P</v>
      </c>
      <c r="G4" s="4" t="str">
        <f t="shared" ref="G4:G13" ca="1" si="3">IF(OR(I4&gt;=C$19,AND(I4&gt;$C$18,YEAR(TODAY())-$D4&lt;2)),"P","")</f>
        <v>P</v>
      </c>
      <c r="H4" t="str">
        <f t="shared" ref="H4:H13" ca="1" si="4">IF(F4="P",IF(I4&gt;=C$21,"Merit",IF(I4&gt;=C$20,"Funding",IF(I4&gt;=C$19,"Team",IF(AND(I4&gt;C$18,YEAR(TODAY())-$D4&lt;2),"First 2 Years","")))),IF(AND(I4&gt;C$18,YEAR(TODAY())-$D4&lt;2),"First 2 Years",""))</f>
        <v>Funding</v>
      </c>
      <c r="I4" s="17">
        <f t="shared" ref="I4:I13" si="5">MAX(AS4,BW4,DA4)</f>
        <v>137.1</v>
      </c>
      <c r="J4" s="17" t="str">
        <f t="shared" ref="J4:J13" si="6">IF(I4=DA4,$CB$1,IF(I4=BW4,$AX$1,IF(I4=AS4,$T$1,"")))</f>
        <v>2017 Canada Cup</v>
      </c>
      <c r="K4" s="17">
        <f t="shared" ref="K4:K13" si="7">IF($I4=$AS4,MAX(BX4,DB4),IF($I4=$BW4,MAX(AT4,DB4),MAX(AT4,BX4)))</f>
        <v>63.55</v>
      </c>
      <c r="L4" s="17" t="str">
        <f t="shared" ref="L4:L13" si="8">IF(K4=DB4,$CB$1,IF(K4=BX4,$AX$1,IF(K4=AT4,$T$1,"")))</f>
        <v>2017 3rd Domestic Trial</v>
      </c>
      <c r="M4" s="17">
        <f t="shared" ref="M4:M13" si="9">IF($I4=$AS4,MAX(BY4,DC4),IF($I4=$BW4,MAX(AU4,DC4),MAX(AU4,BY4)))</f>
        <v>68.2</v>
      </c>
      <c r="N4" s="17" t="str">
        <f t="shared" ref="N4:N13" si="10">IF(M4=DC4,$CB$1,IF(M4=BY4,$AX$1,IF(M4=AU4,$T$1,"")))</f>
        <v>2017 3rd Domestic Trial</v>
      </c>
      <c r="O4" s="17">
        <f t="shared" ref="O4:O13" si="11">MAX(AV4,BZ4,DD4)</f>
        <v>71.599999999999994</v>
      </c>
      <c r="P4" s="17" t="str">
        <f t="shared" ref="P4:P13" si="12">IF(O4=DD4,$CB$1,IF(O4=BZ4,$AX$1,IF(O4=AV4,$T$1,"")))</f>
        <v>2017 Nationals</v>
      </c>
      <c r="Q4" s="17">
        <f t="shared" ref="Q4:Q13" si="13">IF(MAX(DF4:DH4)&gt;0,MAX(DF4:DH4),"")</f>
        <v>5.6500000000000057</v>
      </c>
      <c r="R4" s="44" t="str">
        <f t="shared" ref="R4:R13" si="14">IF(Q4="","",IF(Q4=DF4,"(Pass 1-2)",IF(Q4=DG4,"(Pass 3-4)",IF(Q4=DH4,"(Final)"))))</f>
        <v>(Pass 1-2)</v>
      </c>
      <c r="S4" s="17" t="str">
        <f t="shared" ref="S4:S13" si="15">IF(Q4="","",IF(Q4=DF4,IF(Q4+K4=RA4,$QA$1,IF(Q4+K4=PW4,$OW$1,IF(Q4+K4=OS4,$NS$1,IF(Q4+K4=NO4,$MO$1,IF(Q4+K4=MK4,$LK$1,IF(Q4+K4=LG4,$KG$1,IF(Q4+K4=KC4,$JC$1,IF(Q4+K4=IY4,$HY$1,IF(Q4+K4=HU4,$GU$1,IF(Q4+K4=GQ4,$FQ$1,IF(Q4+K4=FM4,$EM$1,IF(Q4+K4=EI4,$DI$1)))))))))))),IF(Q4=DG4,IF(Q4+M4=RB4,$QA$1,IF(Q4+M4=PX4,$OW$1,IF(Q4+M4=OT4,$NS$1,IF(Q4+M4=NP4,$MO$1,IF(Q4+M4=ML4,$LK$1,IF(Q4+M4=LH4,$KG$1,IF(Q4+M4=KD4,$JC$1,IF(Q4+M4=IZ4,$HY$1,IF(Q4+M4=HV4,$GU$1,IF(Q4+M4=GR4,$FQ$1,IF(Q4+M4=FN4,$EM$1,IF(Q4+M4=EJ4,$DI$1)))))))))))),IF(Q4=DH4,IF(Q4+O4=RC4,$QA$1,IF(Q4+O4=PY4,$OW$1,IF(Q4+O4=OU4,$NS$1,IF(Q4+O4=NQ4,$MO$1,IF(Q4+O4=MM4,$LK$1,IF(Q4+O4=LI4,$KG$1,IF(Q4+O4=KE4,$JC$1,IF(Q4+O4=JA4,$HY$1,IF(Q4+O4=HW4,$GU$1,IF(Q4+O4=GS4,$FQ$1,IF(Q4+O4=FO4,$EM$1,IF(Q4+O4=EK4,$DI$1))))))))))))))))</f>
        <v>2016 Pan Am Championships (Dec)</v>
      </c>
      <c r="T4" s="60">
        <v>27.9</v>
      </c>
      <c r="U4" s="60">
        <v>6</v>
      </c>
      <c r="V4" s="60">
        <v>0</v>
      </c>
      <c r="W4" s="60">
        <v>0.3</v>
      </c>
      <c r="X4" s="60">
        <v>27.9</v>
      </c>
      <c r="Y4" s="60">
        <v>5.6</v>
      </c>
      <c r="Z4" s="60">
        <v>0</v>
      </c>
      <c r="AA4" s="60">
        <v>0.5</v>
      </c>
      <c r="AB4" s="60">
        <v>28.7</v>
      </c>
      <c r="AC4" s="60">
        <v>5.2</v>
      </c>
      <c r="AD4" s="60">
        <v>0</v>
      </c>
      <c r="AE4" s="60">
        <v>0</v>
      </c>
      <c r="AF4" s="60">
        <v>28.6</v>
      </c>
      <c r="AG4" s="60">
        <v>6.4</v>
      </c>
      <c r="AH4" s="60">
        <v>0</v>
      </c>
      <c r="AI4" s="60">
        <v>0</v>
      </c>
      <c r="AJ4" s="60">
        <v>28.5</v>
      </c>
      <c r="AK4" s="60">
        <v>6.8</v>
      </c>
      <c r="AL4" s="60">
        <v>0</v>
      </c>
      <c r="AM4" s="60">
        <v>0.3</v>
      </c>
      <c r="AN4" s="60">
        <v>28.5</v>
      </c>
      <c r="AO4" s="60">
        <v>6.4</v>
      </c>
      <c r="AP4" s="60">
        <v>0</v>
      </c>
      <c r="AQ4" s="60">
        <v>0</v>
      </c>
      <c r="AR4" s="13">
        <f t="shared" ref="AR4:AR13" si="16">IF(SUM(U4,Y4,AC4,AG4)&gt;0,SUM(U4,Y4,AC4,AG4),"")</f>
        <v>23.200000000000003</v>
      </c>
      <c r="AS4" s="13">
        <f t="shared" ref="AS4:AS13" si="17">IF(SUM(T4:U4,W4:Y4,AA4:AC4,AE4:AG4,AI4)-SUM(V4,Z4,AD4,AH4)&gt;0,SUM(T4:U4,W4:Y4,AA4:AC4,AE4:AG4,AI4)-SUM(V4,Z4,AD4,AH4),"")</f>
        <v>137.1</v>
      </c>
      <c r="AT4" s="13">
        <f t="shared" ref="AT4:AT13" si="18">IF(SUM(T4:U4,W4:Y4,AA4)-SUM(V4,Z4)&gt;0,SUM(T4:U4,W4:Y4,AA4)-SUM(V4,Z4),"")</f>
        <v>68.199999999999989</v>
      </c>
      <c r="AU4" s="13">
        <f t="shared" ref="AU4:AU13" si="19">IF(SUM(AB4:AC4,AE4:AG4,AI4)-SUM(AD4,AH4)&gt;0,SUM(AB4:AC4,AE4:AG4,AI4)-SUM(AD4,AH4),"")</f>
        <v>68.900000000000006</v>
      </c>
      <c r="AV4" s="13">
        <f t="shared" ref="AV4:AV13" si="20">IF(SUM(AJ4:AK4,AM4:AO4,AQ4)-SUM(AL4,AP4)&gt;0,SUM(AJ4:AK4,AM4:AO4,AQ4)-SUM(AL4,AP4),"")</f>
        <v>70.5</v>
      </c>
      <c r="AW4" s="13">
        <f t="shared" ref="AW4:AW13" si="21">IF(SUM(AS4,AV4)&gt;0,SUM(AS4,AV4),"")</f>
        <v>207.6</v>
      </c>
      <c r="AX4" s="62">
        <v>28.3</v>
      </c>
      <c r="AY4" s="62">
        <v>6.8</v>
      </c>
      <c r="AZ4" s="62">
        <v>0</v>
      </c>
      <c r="BA4" s="62">
        <v>0.3</v>
      </c>
      <c r="BB4" s="62">
        <v>19.8</v>
      </c>
      <c r="BC4" s="62">
        <v>3.2</v>
      </c>
      <c r="BD4" s="62">
        <v>0</v>
      </c>
      <c r="BE4" s="62">
        <v>0.5</v>
      </c>
      <c r="BF4" s="62">
        <v>28.5</v>
      </c>
      <c r="BG4" s="62">
        <v>6</v>
      </c>
      <c r="BH4" s="62">
        <v>0.9</v>
      </c>
      <c r="BI4" s="62">
        <v>0.5</v>
      </c>
      <c r="BJ4" s="62">
        <v>27.6</v>
      </c>
      <c r="BK4" s="62">
        <v>6.4</v>
      </c>
      <c r="BL4" s="62">
        <v>0.9</v>
      </c>
      <c r="BM4" s="62">
        <v>0.3</v>
      </c>
      <c r="BN4" s="62">
        <v>28.5</v>
      </c>
      <c r="BO4" s="62">
        <v>6.8</v>
      </c>
      <c r="BP4" s="62">
        <v>0</v>
      </c>
      <c r="BQ4" s="62">
        <v>0.5</v>
      </c>
      <c r="BR4" s="62">
        <v>28.3</v>
      </c>
      <c r="BS4" s="62">
        <v>7.2</v>
      </c>
      <c r="BT4" s="62">
        <v>0</v>
      </c>
      <c r="BU4" s="62">
        <v>0.3</v>
      </c>
      <c r="BV4" s="17">
        <f t="shared" ref="BV4:BV13" si="22">IF(SUM(AY4,BC4,BG4,BK4)&gt;0,SUM(AY4,BC4,BG4,BK4),"")</f>
        <v>22.4</v>
      </c>
      <c r="BW4" s="17">
        <f t="shared" ref="BW4:BW13" si="23">IF(SUM(AX4:AY4,BA4:BC4,BE4:BG4,BI4:BK4,BM4)-SUM(AZ4,BD4,BH4,BL4)&gt;0,SUM(AX4:AY4,BA4:BC4,BE4:BG4,BI4:BK4,BM4)-SUM(AZ4,BD4,BH4,BL4),"")</f>
        <v>126.40000000000002</v>
      </c>
      <c r="BX4" s="17">
        <f t="shared" ref="BX4:BX13" si="24">IF(SUM(AX4:AY4,BA4:BC4,BE4)-SUM(AZ4,BD4)&gt;0,SUM(AX4:AY4,BA4:BC4,BE4)-SUM(AZ4,BD4),"")</f>
        <v>58.900000000000006</v>
      </c>
      <c r="BY4" s="17">
        <f t="shared" ref="BY4:BY13" si="25">IF(SUM(BF4:BG4,BI4:BK4,BM4)-SUM(BH4,BL4)&gt;0,SUM(BF4:BG4,BI4:BK4,BM4)-SUM(BH4,BL4),"")</f>
        <v>67.5</v>
      </c>
      <c r="BZ4" s="17">
        <f t="shared" ref="BZ4:BZ13" si="26">IF(SUM(BN4:BO4,BQ4:BS4,BU4)-SUM(BP4,BT4)&gt;0,SUM(BN4:BO4,BQ4:BS4,BU4)-SUM(BP4,BT4),"")</f>
        <v>71.599999999999994</v>
      </c>
      <c r="CA4" s="17">
        <f t="shared" ref="CA4:CA13" si="27">IF(SUM(BW4,BZ4)&gt;0,SUM(BW4,BZ4),"")</f>
        <v>198</v>
      </c>
      <c r="CB4" s="71">
        <v>31.774999999999999</v>
      </c>
      <c r="CC4" s="71">
        <v>0</v>
      </c>
      <c r="CD4" s="71">
        <v>0</v>
      </c>
      <c r="CE4" s="71">
        <v>0</v>
      </c>
      <c r="CF4" s="71">
        <v>31.774999999999999</v>
      </c>
      <c r="CG4" s="71">
        <v>0</v>
      </c>
      <c r="CH4" s="71">
        <v>0</v>
      </c>
      <c r="CI4" s="71">
        <v>0</v>
      </c>
      <c r="CJ4" s="71">
        <v>34.1</v>
      </c>
      <c r="CK4" s="71">
        <v>0</v>
      </c>
      <c r="CL4" s="71">
        <v>0</v>
      </c>
      <c r="CM4" s="71">
        <v>0</v>
      </c>
      <c r="CN4" s="71">
        <v>34.1</v>
      </c>
      <c r="CO4" s="71">
        <v>0</v>
      </c>
      <c r="CP4" s="71">
        <v>0</v>
      </c>
      <c r="CQ4" s="71">
        <v>0</v>
      </c>
      <c r="CR4" s="75">
        <v>35.524999999999999</v>
      </c>
      <c r="CS4" s="75">
        <v>0</v>
      </c>
      <c r="CT4" s="75">
        <v>0</v>
      </c>
      <c r="CU4" s="75">
        <v>0</v>
      </c>
      <c r="CV4" s="75">
        <v>35.524999999999999</v>
      </c>
      <c r="CW4" s="75">
        <v>0</v>
      </c>
      <c r="CX4" s="75">
        <v>0</v>
      </c>
      <c r="CY4" s="75">
        <v>0</v>
      </c>
      <c r="CZ4" s="13" t="str">
        <f t="shared" ref="CZ4:CZ13" si="28">IF(SUM(CC4,CG4,CK4,CO4)&gt;0,SUM(CC4,CG4,CK4,CO4),"")</f>
        <v/>
      </c>
      <c r="DA4" s="13">
        <f t="shared" ref="DA4:DA13" si="29">IF(SUM(CB4:CC4,CE4:CG4,CI4:CK4,CM4:CO4,CQ4)-SUM(CD4,CH4,CL4,CP4)&gt;0,SUM(CB4:CC4,CE4:CG4,CI4:CK4,CM4:CO4,CQ4)-SUM(CD4,CH4,CL4,CP4),"")</f>
        <v>131.75</v>
      </c>
      <c r="DB4" s="13">
        <f t="shared" ref="DB4:DB13" si="30">IF(SUM(CB4:CC4,CE4:CG4,CI4)-SUM(CD4,CH4)&gt;0,SUM(CB4:CC4,CE4:CG4,CI4)-SUM(CD4,CH4),"")</f>
        <v>63.55</v>
      </c>
      <c r="DC4" s="13">
        <f t="shared" ref="DC4:DC13" si="31">IF(SUM(CJ4:CK4,CM4:CO4,CQ4)-SUM(CL4,CP4)&gt;0,SUM(CJ4:CK4,CM4:CO4,CQ4)-SUM(CL4,CP4),"")</f>
        <v>68.2</v>
      </c>
      <c r="DD4" s="13">
        <f t="shared" ref="DD4:DD13" si="32">IF(SUM(CR4:CS4,CU4:CW4,CY4)-SUM(CT4,CX4)&gt;0,SUM(CR4:CS4,CU4:CW4,CY4)-SUM(CT4,CX4),"")</f>
        <v>71.05</v>
      </c>
      <c r="DE4" s="13">
        <f t="shared" ref="DE4:DE13" si="33">IF(SUM(DA4,DD4)&gt;0,SUM(DA4,DD4),"")</f>
        <v>202.8</v>
      </c>
      <c r="DF4" s="43">
        <f t="shared" ref="DF4:DF13" si="34">IF(MAX(EI4,FM4,GQ4,HU4,IY4,KC4,LG4,MK4,NO4,OS4,PW4,RA4)-K4&gt;0.001,MAX(EI4,FM4,GQ4,HU4,IY4,KC4,LG4,MK4,NO4,OS4,PW4,RA4)-K4,"")</f>
        <v>5.6500000000000057</v>
      </c>
      <c r="DG4" s="43" t="str">
        <f t="shared" ref="DG4:DG13" si="35">IF(MAX(EJ4,FN4,GR4,HV4,IZ4,KD4,LH4,ML4,NP4,OT4,PX4,RB4)-M4&gt;0.001,MAX(EJ4,FN4,GR4,HV4,IZ4,KD4,LH4,ML4,NP4,OT4,PX4,RB4)-M4,"")</f>
        <v/>
      </c>
      <c r="DH4" s="43" t="str">
        <f t="shared" ref="DH4:DH13" si="36">IF(MAX(EK4,FO4,GS4,HW4,JA4,KE4,LI4,MM4,OU4,PY4,RC4)-O4&gt;0.001,MAX(EK4,FO4,GS4,HW4,JA4,KE4,LI4,MM4,OU4,PY4,RC4)-O4,"")</f>
        <v/>
      </c>
      <c r="DI4" s="60">
        <v>34.700000000000003</v>
      </c>
      <c r="DJ4" s="60">
        <v>0</v>
      </c>
      <c r="DK4" s="60">
        <v>0</v>
      </c>
      <c r="DL4" s="60">
        <v>0</v>
      </c>
      <c r="DM4" s="60">
        <v>34.5</v>
      </c>
      <c r="DN4" s="60">
        <v>0</v>
      </c>
      <c r="DO4" s="60">
        <v>0</v>
      </c>
      <c r="DP4" s="60">
        <v>0</v>
      </c>
      <c r="DQ4" s="60"/>
      <c r="DR4" s="60"/>
      <c r="DS4" s="60"/>
      <c r="DT4" s="60"/>
      <c r="DU4" s="60"/>
      <c r="DV4" s="60"/>
      <c r="DW4" s="60"/>
      <c r="DX4" s="60"/>
      <c r="DY4" s="60">
        <v>33.299999999999997</v>
      </c>
      <c r="DZ4" s="60">
        <v>0</v>
      </c>
      <c r="EA4" s="60">
        <v>0</v>
      </c>
      <c r="EB4" s="60">
        <v>0</v>
      </c>
      <c r="EC4" s="60">
        <v>31.5</v>
      </c>
      <c r="ED4" s="60">
        <v>0</v>
      </c>
      <c r="EE4" s="60">
        <v>0</v>
      </c>
      <c r="EF4" s="60">
        <v>0</v>
      </c>
      <c r="EG4" s="13" t="str">
        <f t="shared" ref="EG4:EG13" si="37">IF(SUM(DJ4,DN4,DR4,DV4)&gt;0,SUM(DJ4,DN4,DR4,DV4),"")</f>
        <v/>
      </c>
      <c r="EH4" s="13">
        <f t="shared" ref="EH4:EH13" si="38">IF(SUM(DI4:DJ4,DL4:DN4,DP4:DR4,DT4:DV4,DX4)-SUM(DK4,DO4,DS4,DW4)&gt;0,SUM(DI4:DJ4,DL4:DN4,DP4:DR4,DT4:DV4,DX4)-SUM(DK4,DO4,DS4,DW4),"")</f>
        <v>69.2</v>
      </c>
      <c r="EI4" s="13">
        <f t="shared" ref="EI4:EI13" si="39">IF(SUM(DI4:DJ4,DL4:DN4,DP4)-SUM(DK4,DO4)&gt;0,SUM(DI4:DJ4,DL4:DN4,DP4)-SUM(DK4,DO4),"")</f>
        <v>69.2</v>
      </c>
      <c r="EJ4" s="13" t="str">
        <f t="shared" ref="EJ4:EJ13" si="40">IF(SUM(DQ4:DR4,DT4:DV4,DX4)-SUM(DS4,DW4)&gt;0,SUM(DQ4:DR4,DT4:DV4,DX4)-SUM(DS4,DW4),"")</f>
        <v/>
      </c>
      <c r="EK4" s="13">
        <f t="shared" ref="EK4:EK13" si="41">IF(SUM(DY4:DZ4,EB4:ED4,EF4)-SUM(EA4,EE4)&gt;0,SUM(DY4:DZ4,EB4:ED4,EF4)-SUM(EA4,EE4),"")</f>
        <v>64.8</v>
      </c>
      <c r="EL4" s="13">
        <f t="shared" ref="EL4:EL13" si="42">IF(SUM(EH4,EK4)&gt;0,SUM(EH4,EK4),"")</f>
        <v>134</v>
      </c>
      <c r="EM4" s="68">
        <v>27.8</v>
      </c>
      <c r="EN4" s="68">
        <v>6</v>
      </c>
      <c r="EO4" s="68">
        <v>0.9</v>
      </c>
      <c r="EP4" s="68">
        <v>0</v>
      </c>
      <c r="EQ4" s="68">
        <v>28</v>
      </c>
      <c r="ER4" s="68">
        <v>6</v>
      </c>
      <c r="ES4" s="68">
        <v>0</v>
      </c>
      <c r="ET4" s="68">
        <v>0</v>
      </c>
      <c r="EU4" s="68"/>
      <c r="EV4" s="68"/>
      <c r="EW4" s="68"/>
      <c r="EX4" s="68"/>
      <c r="EY4" s="68"/>
      <c r="EZ4" s="68"/>
      <c r="FA4" s="68"/>
      <c r="FB4" s="68"/>
      <c r="FC4" s="68">
        <v>28.1</v>
      </c>
      <c r="FD4" s="68">
        <v>7.6</v>
      </c>
      <c r="FE4" s="68">
        <v>0</v>
      </c>
      <c r="FF4" s="68">
        <v>0</v>
      </c>
      <c r="FG4" s="68">
        <v>28.1</v>
      </c>
      <c r="FH4" s="68">
        <v>7.2</v>
      </c>
      <c r="FI4" s="68">
        <v>0</v>
      </c>
      <c r="FJ4" s="68">
        <v>0</v>
      </c>
      <c r="FK4" s="17">
        <f t="shared" ref="FK4:FK13" si="43">IF(SUM(EN4,ER4,EV4,EZ4)&gt;0,SUM(EN4,ER4,EV4,EZ4),"")</f>
        <v>12</v>
      </c>
      <c r="FL4" s="17">
        <f t="shared" ref="FL4:FL13" si="44">IF(SUM(EM4:EN4,EP4:ER4,ET4:EV4,EX4:EZ4,FB4)-SUM(EO4,ES4,EW4,FA4)&gt;0,SUM(EM4:EN4,EP4:ER4,ET4:EV4,EX4:EZ4,FB4)-SUM(EO4,ES4,EW4,FA4),"")</f>
        <v>66.899999999999991</v>
      </c>
      <c r="FM4" s="17">
        <f t="shared" ref="FM4:FM13" si="45">IF(SUM(EM4:EN4,EP4:ER4,ET4)-SUM(EO4,ES4)&gt;0,SUM(EM4:EN4,EP4:ER4,ET4)-SUM(EO4,ES4),"")</f>
        <v>66.899999999999991</v>
      </c>
      <c r="FN4" s="17" t="str">
        <f t="shared" ref="FN4:FN13" si="46">IF(SUM(EU4:EV4,EX4:EZ4,FB4)-SUM(EW4,FA4)&gt;0,SUM(EU4:EV4,EX4:EZ4,FB4)-SUM(EW4,FA4),"")</f>
        <v/>
      </c>
      <c r="FO4" s="17">
        <f t="shared" ref="FO4:FO13" si="47">IF(SUM(FC4:FD4,FF4:FH4,FJ4)-SUM(FE4,FI4)&gt;0,SUM(FC4:FD4,FF4:FH4,FJ4)-SUM(FE4,FI4),"")</f>
        <v>71</v>
      </c>
      <c r="FP4" s="17">
        <f t="shared" ref="FP4:FP13" si="48">IF(SUM(FL4,FO4)&gt;0,SUM(FL4,FO4),"")</f>
        <v>137.89999999999998</v>
      </c>
      <c r="FQ4" s="69">
        <v>27.6</v>
      </c>
      <c r="FR4" s="69">
        <v>6.8</v>
      </c>
      <c r="FS4" s="69">
        <v>1.2</v>
      </c>
      <c r="FT4" s="69">
        <v>0</v>
      </c>
      <c r="FU4" s="69">
        <v>28.5</v>
      </c>
      <c r="FV4" s="69">
        <v>5.6</v>
      </c>
      <c r="FW4" s="69">
        <v>0</v>
      </c>
      <c r="FX4" s="69">
        <v>0</v>
      </c>
      <c r="FY4" s="69"/>
      <c r="FZ4" s="69"/>
      <c r="GA4" s="69"/>
      <c r="GB4" s="69"/>
      <c r="GC4" s="69"/>
      <c r="GD4" s="69"/>
      <c r="GE4" s="69"/>
      <c r="GF4" s="69"/>
      <c r="GG4" s="69">
        <v>28.7</v>
      </c>
      <c r="GH4" s="69">
        <v>5.2</v>
      </c>
      <c r="GI4" s="69">
        <v>0</v>
      </c>
      <c r="GJ4" s="69">
        <v>0</v>
      </c>
      <c r="GK4" s="69">
        <v>27.6</v>
      </c>
      <c r="GL4" s="69">
        <v>6.4</v>
      </c>
      <c r="GM4" s="69">
        <v>0</v>
      </c>
      <c r="GN4" s="69">
        <v>0</v>
      </c>
      <c r="GO4" s="13">
        <f t="shared" ref="GO4:GO13" si="49">IF(SUM(FR4,FV4,FZ4,GD4)&gt;0,SUM(FR4,FV4,FZ4,GD4),"")</f>
        <v>12.399999999999999</v>
      </c>
      <c r="GP4" s="13">
        <f t="shared" ref="GP4:GP13" si="50">IF(SUM(FQ4:FR4,FT4:FV4,FX4:FZ4,GB4:GD4,GF4)-SUM(FS4,FW4,GA4,GE4)&gt;0,SUM(FQ4:FR4,FT4:FV4,FX4:FZ4,GB4:GD4,GF4)-SUM(FS4,FW4,GA4,GE4),"")</f>
        <v>67.3</v>
      </c>
      <c r="GQ4" s="13">
        <f t="shared" ref="GQ4:GQ13" si="51">IF(SUM(FQ4:FR4,FT4:FV4,FX4)-SUM(FS4,FW4)&gt;0,SUM(FQ4:FR4,FT4:FV4,FX4)-SUM(FS4,FW4),"")</f>
        <v>67.3</v>
      </c>
      <c r="GR4" s="13" t="str">
        <f t="shared" ref="GR4:GR13" si="52">IF(SUM(FY4:FZ4,GB4:GD4,GF4)-SUM(GA4,GE4)&gt;0,SUM(FY4:FZ4,GB4:GD4,GF4)-SUM(GA4,GE4),"")</f>
        <v/>
      </c>
      <c r="GS4" s="13">
        <f t="shared" ref="GS4:GS13" si="53">IF(SUM(GG4:GH4,GJ4:GL4,GN4)-SUM(GI4,GM4)&gt;0,SUM(GG4:GH4,GJ4:GL4,GN4)-SUM(GI4,GM4),"")</f>
        <v>67.900000000000006</v>
      </c>
      <c r="GT4" s="13">
        <f t="shared" ref="GT4:GT13" si="54">IF(SUM(GP4,GS4)&gt;0,SUM(GP4,GS4),"")</f>
        <v>135.19999999999999</v>
      </c>
      <c r="GU4" s="68"/>
      <c r="GV4" s="68"/>
      <c r="GW4" s="68"/>
      <c r="GX4" s="68"/>
      <c r="GY4" s="68"/>
      <c r="GZ4" s="68"/>
      <c r="HA4" s="68"/>
      <c r="HB4" s="68"/>
      <c r="HC4" s="68"/>
      <c r="HD4" s="68"/>
      <c r="HE4" s="68"/>
      <c r="HF4" s="68"/>
      <c r="HG4" s="68"/>
      <c r="HH4" s="68"/>
      <c r="HI4" s="68"/>
      <c r="HJ4" s="68"/>
      <c r="HK4" s="68"/>
      <c r="HL4" s="68"/>
      <c r="HM4" s="68"/>
      <c r="HN4" s="68"/>
      <c r="HO4" s="68"/>
      <c r="HP4" s="68"/>
      <c r="HQ4" s="68"/>
      <c r="HR4" s="68"/>
      <c r="HS4" s="17" t="str">
        <f t="shared" ref="HS4:HS14" si="55">IF(SUM(GV4,GZ4,HD4,HH4)&gt;0,SUM(GV4,GZ4,HD4,HH4),"")</f>
        <v/>
      </c>
      <c r="HT4" s="17" t="str">
        <f t="shared" ref="HT4:HT14" si="56">IF(SUM(GU4:GV4,GX4:GZ4,HB4:HD4,HF4:HH4,HJ4)-SUM(GW4,HA4,HE4,HI4)&gt;0,SUM(GU4:GV4,GX4:GZ4,HB4:HD4,HF4:HH4,HJ4)-SUM(GW4,HA4,HE4,HI4),"")</f>
        <v/>
      </c>
      <c r="HU4" s="17" t="str">
        <f t="shared" ref="HU4:HU14" si="57">IF(SUM(GU4:GV4,GX4:GZ4,HB4)-SUM(GW4,HA4)&gt;0,SUM(GU4:GV4,GX4:GZ4,HB4)-SUM(GW4,HA4),"")</f>
        <v/>
      </c>
      <c r="HV4" s="17" t="str">
        <f t="shared" ref="HV4:HV14" si="58">IF(SUM(HC4:HD4,HF4:HH4,HJ4)-SUM(HE4,HI4)&gt;0,SUM(HC4:HD4,HF4:HH4,HJ4)-SUM(HE4,HI4),"")</f>
        <v/>
      </c>
      <c r="HW4" s="17" t="str">
        <f t="shared" ref="HW4:HW14" si="59">IF(SUM(HK4:HL4,HN4:HP4,HR4)-SUM(HM4,HQ4)&gt;0,SUM(HK4:HL4,HN4:HP4,HR4)-SUM(HM4,HQ4),"")</f>
        <v/>
      </c>
      <c r="HX4" s="17" t="str">
        <f t="shared" ref="HX4:HX14" si="60">IF(SUM(HT4,HW4)&gt;0,SUM(HT4,HW4),"")</f>
        <v/>
      </c>
      <c r="HY4" s="69"/>
      <c r="HZ4" s="69"/>
      <c r="IA4" s="69"/>
      <c r="IB4" s="69"/>
      <c r="IC4" s="69"/>
      <c r="ID4" s="69"/>
      <c r="IE4" s="69"/>
      <c r="IF4" s="69"/>
      <c r="IG4" s="69"/>
      <c r="IH4" s="69"/>
      <c r="II4" s="69"/>
      <c r="IJ4" s="69"/>
      <c r="IK4" s="69"/>
      <c r="IL4" s="69"/>
      <c r="IM4" s="69"/>
      <c r="IN4" s="69"/>
      <c r="IO4" s="69"/>
      <c r="IP4" s="69"/>
      <c r="IQ4" s="69"/>
      <c r="IR4" s="69"/>
      <c r="IS4" s="69"/>
      <c r="IT4" s="69"/>
      <c r="IU4" s="69"/>
      <c r="IV4" s="69"/>
      <c r="IW4" s="13" t="str">
        <f t="shared" ref="IW4:IW14" si="61">IF(SUM(HZ4,ID4,IH4,IL4)&gt;0,SUM(HZ4,ID4,IH4,IL4),"")</f>
        <v/>
      </c>
      <c r="IX4" s="13" t="str">
        <f t="shared" ref="IX4:IX14" si="62">IF(SUM(HY4:HZ4,IB4:ID4,IF4:IH4,IJ4:IL4,IN4)-SUM(IA4,IE4,II4,IM4)&gt;0,SUM(HY4:HZ4,IB4:ID4,IF4:IH4,IJ4:IL4,IN4)-SUM(IA4,IE4,II4,IM4),"")</f>
        <v/>
      </c>
      <c r="IY4" s="13" t="str">
        <f t="shared" ref="IY4:IY14" si="63">IF(SUM(HY4:HZ4,IB4:ID4,IF4)-SUM(IA4,IE4)&gt;0,SUM(HY4:HZ4,IB4:ID4,IF4)-SUM(IA4,IE4),"")</f>
        <v/>
      </c>
      <c r="IZ4" s="13" t="str">
        <f t="shared" ref="IZ4:IZ14" si="64">IF(SUM(IG4:IH4,IJ4:IL4,IN4)-SUM(II4,IM4)&gt;0,SUM(IG4:IH4,IJ4:IL4,IN4)-SUM(II4,IM4),"")</f>
        <v/>
      </c>
      <c r="JA4" s="13" t="str">
        <f t="shared" ref="JA4:JA14" si="65">IF(SUM(IO4:IP4,IR4:IT4,IV4)-SUM(IQ4,IU4)&gt;0,SUM(IO4:IP4,IR4:IT4,IV4)-SUM(IQ4,IU4),"")</f>
        <v/>
      </c>
      <c r="JB4" s="13" t="str">
        <f t="shared" ref="JB4:JB14" si="66">IF(SUM(IX4,JA4)&gt;0,SUM(IX4,JA4),"")</f>
        <v/>
      </c>
      <c r="JC4" s="68"/>
      <c r="JD4" s="68"/>
      <c r="JE4" s="68"/>
      <c r="JF4" s="68"/>
      <c r="JG4" s="68"/>
      <c r="JH4" s="68"/>
      <c r="JI4" s="68"/>
      <c r="JJ4" s="68"/>
      <c r="JK4" s="68"/>
      <c r="JL4" s="68"/>
      <c r="JM4" s="68"/>
      <c r="JN4" s="68"/>
      <c r="JO4" s="68"/>
      <c r="JP4" s="68"/>
      <c r="JQ4" s="68"/>
      <c r="JR4" s="68"/>
      <c r="JS4" s="68"/>
      <c r="JT4" s="68"/>
      <c r="JU4" s="68"/>
      <c r="JV4" s="68"/>
      <c r="JW4" s="68"/>
      <c r="JX4" s="68"/>
      <c r="JY4" s="68"/>
      <c r="JZ4" s="68"/>
      <c r="KA4" s="17" t="str">
        <f t="shared" ref="KA4:KA14" si="67">IF(SUM(JD4,JH4,JL4,JP4)&gt;0,SUM(JD4,JH4,JL4,JP4),"")</f>
        <v/>
      </c>
      <c r="KB4" s="17" t="str">
        <f t="shared" ref="KB4:KB14" si="68">IF(SUM(JC4:JD4,JF4:JH4,JJ4:JL4,JN4:JP4,JR4)-SUM(JE4,JI4,JM4,JQ4)&gt;0,SUM(JC4:JD4,JF4:JH4,JJ4:JL4,JN4:JP4,JR4)-SUM(JE4,JI4,JM4,JQ4),"")</f>
        <v/>
      </c>
      <c r="KC4" s="17" t="str">
        <f t="shared" ref="KC4:KC14" si="69">IF(SUM(JC4:JD4,JF4:JH4,JJ4)-SUM(JE4,JI4)&gt;0,SUM(JC4:JD4,JF4:JH4,JJ4)-SUM(JE4,JI4),"")</f>
        <v/>
      </c>
      <c r="KD4" s="17" t="str">
        <f t="shared" ref="KD4:KD14" si="70">IF(SUM(JK4:JL4,JN4:JP4,JR4)-SUM(JM4,JQ4)&gt;0,SUM(JK4:JL4,JN4:JP4,JR4)-SUM(JM4,JQ4),"")</f>
        <v/>
      </c>
      <c r="KE4" s="17" t="str">
        <f t="shared" ref="KE4:KE14" si="71">IF(SUM(JS4:JT4,JV4:JX4,JZ4)-SUM(JU4,JY4)&gt;0,SUM(JS4:JT4,JV4:JX4,JZ4)-SUM(JU4,JY4),"")</f>
        <v/>
      </c>
      <c r="KF4" s="17" t="str">
        <f t="shared" ref="KF4:KF14" si="72">IF(SUM(KB4,KE4)&gt;0,SUM(KB4,KE4),"")</f>
        <v/>
      </c>
      <c r="KG4" s="69"/>
      <c r="KH4" s="69"/>
      <c r="KI4" s="69"/>
      <c r="KJ4" s="69"/>
      <c r="KK4" s="69"/>
      <c r="KL4" s="69"/>
      <c r="KM4" s="69"/>
      <c r="KN4" s="69"/>
      <c r="KO4" s="69"/>
      <c r="KP4" s="69"/>
      <c r="KQ4" s="69"/>
      <c r="KR4" s="69"/>
      <c r="KS4" s="69"/>
      <c r="KT4" s="69"/>
      <c r="KU4" s="69"/>
      <c r="KV4" s="69"/>
      <c r="KW4" s="69"/>
      <c r="KX4" s="69"/>
      <c r="KY4" s="69"/>
      <c r="KZ4" s="69"/>
      <c r="LA4" s="69"/>
      <c r="LB4" s="69"/>
      <c r="LC4" s="69"/>
      <c r="LD4" s="69"/>
      <c r="LE4" s="13" t="str">
        <f t="shared" ref="LE4:LE14" si="73">IF(SUM(KH4,KL4,KP4,KT4)&gt;0,SUM(KH4,KL4,KP4,KT4),"")</f>
        <v/>
      </c>
      <c r="LF4" s="13" t="str">
        <f t="shared" ref="LF4:LF14" si="74">IF(SUM(KG4:KH4,KJ4:KL4,KN4:KP4,KR4:KT4,KV4)-SUM(KI4,KM4,KQ4,KU4)&gt;0,SUM(KG4:KH4,KJ4:KL4,KN4:KP4,KR4:KT4,KV4)-SUM(KI4,KM4,KQ4,KU4),"")</f>
        <v/>
      </c>
      <c r="LG4" s="13" t="str">
        <f t="shared" ref="LG4:LG14" si="75">IF(SUM(KG4:KH4,KJ4:KL4,KN4)-SUM(KI4,KM4)&gt;0,SUM(KG4:KH4,KJ4:KL4,KN4)-SUM(KI4,KM4),"")</f>
        <v/>
      </c>
      <c r="LH4" s="13" t="str">
        <f t="shared" ref="LH4:LH14" si="76">IF(SUM(KO4:KP4,KR4:KT4,KV4)-SUM(KQ4,KU4)&gt;0,SUM(KO4:KP4,KR4:KT4,KV4)-SUM(KQ4,KU4),"")</f>
        <v/>
      </c>
      <c r="LI4" s="13" t="str">
        <f t="shared" ref="LI4:LI14" si="77">IF(SUM(KW4:KX4,KZ4:LB4,LD4)-SUM(KY4,LC4)&gt;0,SUM(KW4:KX4,KZ4:LB4,LD4)-SUM(KY4,LC4),"")</f>
        <v/>
      </c>
      <c r="LJ4" s="13" t="str">
        <f t="shared" ref="LJ4:LJ14" si="78">IF(SUM(LF4,LI4)&gt;0,SUM(LF4,LI4),"")</f>
        <v/>
      </c>
      <c r="LK4" s="68"/>
      <c r="LL4" s="68"/>
      <c r="LM4" s="68"/>
      <c r="LN4" s="68"/>
      <c r="LO4" s="68"/>
      <c r="LP4" s="68"/>
      <c r="LQ4" s="68"/>
      <c r="LR4" s="68"/>
      <c r="LS4" s="68"/>
      <c r="LT4" s="68"/>
      <c r="LU4" s="68"/>
      <c r="LV4" s="68"/>
      <c r="LW4" s="68"/>
      <c r="LX4" s="68"/>
      <c r="LY4" s="68"/>
      <c r="LZ4" s="68"/>
      <c r="MA4" s="68"/>
      <c r="MB4" s="68"/>
      <c r="MC4" s="68"/>
      <c r="MD4" s="68"/>
      <c r="ME4" s="68"/>
      <c r="MF4" s="68"/>
      <c r="MG4" s="68"/>
      <c r="MH4" s="68"/>
      <c r="MI4" s="17" t="str">
        <f t="shared" ref="MI4:MI14" si="79">IF(SUM(LL4,LP4,LT4,LX4)&gt;0,SUM(LL4,LP4,LT4,LX4),"")</f>
        <v/>
      </c>
      <c r="MJ4" s="17" t="str">
        <f t="shared" ref="MJ4:MJ14" si="80">IF(SUM(LK4:LL4,LN4:LP4,LR4:LT4,LV4:LX4,LZ4)-SUM(LM4,LQ4,LU4,LY4)&gt;0,SUM(LK4:LL4,LN4:LP4,LR4:LT4,LV4:LX4,LZ4)-SUM(LM4,LQ4,LU4,LY4),"")</f>
        <v/>
      </c>
      <c r="MK4" s="17" t="str">
        <f t="shared" ref="MK4:MK14" si="81">IF(SUM(LK4:LL4,LN4:LP4,LR4)-SUM(LM4,LQ4)&gt;0,SUM(LK4:LL4,LN4:LP4,LR4)-SUM(LM4,LQ4),"")</f>
        <v/>
      </c>
      <c r="ML4" s="17" t="str">
        <f t="shared" ref="ML4:ML14" si="82">IF(SUM(LS4:LT4,LV4:LX4,LZ4)-SUM(LU4,LY4)&gt;0,SUM(LS4:LT4,LV4:LX4,LZ4)-SUM(LU4,LY4),"")</f>
        <v/>
      </c>
      <c r="MM4" s="17" t="str">
        <f t="shared" ref="MM4:MM14" si="83">IF(SUM(MA4:MB4,MD4:MF4,MH4)-SUM(MC4,MG4)&gt;0,SUM(MA4:MB4,MD4:MF4,MH4)-SUM(MC4,MG4),"")</f>
        <v/>
      </c>
      <c r="MN4" s="17" t="str">
        <f t="shared" ref="MN4:MN14" si="84">IF(SUM(MJ4,MM4)&gt;0,SUM(MJ4,MM4),"")</f>
        <v/>
      </c>
      <c r="MO4" s="69"/>
      <c r="MP4" s="69"/>
      <c r="MQ4" s="69"/>
      <c r="MR4" s="69"/>
      <c r="MS4" s="69"/>
      <c r="MT4" s="69"/>
      <c r="MU4" s="69"/>
      <c r="MV4" s="69"/>
      <c r="MW4" s="69"/>
      <c r="MX4" s="69"/>
      <c r="MY4" s="69"/>
      <c r="MZ4" s="69"/>
      <c r="NA4" s="69"/>
      <c r="NB4" s="69"/>
      <c r="NC4" s="69"/>
      <c r="ND4" s="69"/>
      <c r="NE4" s="69"/>
      <c r="NF4" s="69"/>
      <c r="NG4" s="69"/>
      <c r="NH4" s="69"/>
      <c r="NI4" s="69"/>
      <c r="NJ4" s="69"/>
      <c r="NK4" s="69"/>
      <c r="NL4" s="69"/>
      <c r="NM4" s="13" t="str">
        <f t="shared" ref="NM4:NM14" si="85">IF(SUM(MP4,MT4,MX4,NB4)&gt;0,SUM(MP4,MT4,MX4,NB4),"")</f>
        <v/>
      </c>
      <c r="NN4" s="13" t="str">
        <f t="shared" ref="NN4:NN14" si="86">IF(SUM(MO4:MP4,MR4:MT4,MV4:MX4,MZ4:NB4,ND4)-SUM(MQ4,MU4,MY4,NC4)&gt;0,SUM(MO4:MP4,MR4:MT4,MV4:MX4,MZ4:NB4,ND4)-SUM(MQ4,MU4,MY4,NC4),"")</f>
        <v/>
      </c>
      <c r="NO4" s="13" t="str">
        <f t="shared" ref="NO4:NO14" si="87">IF(SUM(MO4:MP4,MR4:MT4,MV4)-SUM(MQ4,MU4)&gt;0,SUM(MO4:MP4,MR4:MT4,MV4)-SUM(MQ4,MU4),"")</f>
        <v/>
      </c>
      <c r="NP4" s="13" t="str">
        <f t="shared" ref="NP4:NP14" si="88">IF(SUM(MW4:MX4,MZ4:NB4,ND4)-SUM(MY4,NC4)&gt;0,SUM(MW4:MX4,MZ4:NB4,ND4)-SUM(MY4,NC4),"")</f>
        <v/>
      </c>
      <c r="NQ4" s="13" t="str">
        <f t="shared" ref="NQ4:NQ14" si="89">IF(SUM(NE4:NF4,NH4:NJ4,NL4)-SUM(NG4,NK4)&gt;0,SUM(NE4:NF4,NH4:NJ4,NL4)-SUM(NG4,NK4),"")</f>
        <v/>
      </c>
      <c r="NR4" s="13" t="str">
        <f t="shared" ref="NR4:NR14" si="90">IF(SUM(NN4,NQ4)&gt;0,SUM(NN4,NQ4),"")</f>
        <v/>
      </c>
      <c r="NS4" s="68"/>
      <c r="NT4" s="68"/>
      <c r="NU4" s="68"/>
      <c r="NV4" s="68"/>
      <c r="NW4" s="68"/>
      <c r="NX4" s="68"/>
      <c r="NY4" s="68"/>
      <c r="NZ4" s="68"/>
      <c r="OA4" s="68"/>
      <c r="OB4" s="68"/>
      <c r="OC4" s="68"/>
      <c r="OD4" s="68"/>
      <c r="OE4" s="68"/>
      <c r="OF4" s="68"/>
      <c r="OG4" s="68"/>
      <c r="OH4" s="68"/>
      <c r="OI4" s="68"/>
      <c r="OJ4" s="68"/>
      <c r="OK4" s="68"/>
      <c r="OL4" s="68"/>
      <c r="OM4" s="68"/>
      <c r="ON4" s="68"/>
      <c r="OO4" s="68"/>
      <c r="OP4" s="68"/>
      <c r="OQ4" s="17" t="str">
        <f t="shared" ref="OQ4:OQ14" si="91">IF(SUM(NT4,NX4,OB4,OF4)&gt;0,SUM(NT4,NX4,OB4,OF4),"")</f>
        <v/>
      </c>
      <c r="OR4" s="17" t="str">
        <f t="shared" ref="OR4:OR14" si="92">IF(SUM(NS4:NT4,NV4:NX4,NZ4:OB4,OD4:OF4,OH4)-SUM(NU4,NY4,OC4,OG4)&gt;0,SUM(NS4:NT4,NV4:NX4,NZ4:OB4,OD4:OF4,OH4)-SUM(NU4,NY4,OC4,OG4),"")</f>
        <v/>
      </c>
      <c r="OS4" s="17" t="str">
        <f t="shared" ref="OS4:OS14" si="93">IF(SUM(NS4:NT4,NV4:NX4,NZ4)-SUM(NU4,NY4)&gt;0,SUM(NS4:NT4,NV4:NX4,NZ4)-SUM(NU4,NY4),"")</f>
        <v/>
      </c>
      <c r="OT4" s="17" t="str">
        <f t="shared" ref="OT4:OT14" si="94">IF(SUM(OA4:OB4,OD4:OF4,OH4)-SUM(OC4,OG4)&gt;0,SUM(OA4:OB4,OD4:OF4,OH4)-SUM(OC4,OG4),"")</f>
        <v/>
      </c>
      <c r="OU4" s="17" t="str">
        <f t="shared" ref="OU4:OU14" si="95">IF(SUM(OI4:OJ4,OL4:ON4,OP4)-SUM(OK4,OO4)&gt;0,SUM(OI4:OJ4,OL4:ON4,OP4)-SUM(OK4,OO4),"")</f>
        <v/>
      </c>
      <c r="OV4" s="17" t="str">
        <f t="shared" ref="OV4:OV14" si="96">IF(SUM(OR4,OU4)&gt;0,SUM(OR4,OU4),"")</f>
        <v/>
      </c>
      <c r="OW4" s="69"/>
      <c r="OX4" s="69"/>
      <c r="OY4" s="69"/>
      <c r="OZ4" s="69"/>
      <c r="PA4" s="69"/>
      <c r="PB4" s="69"/>
      <c r="PC4" s="69"/>
      <c r="PD4" s="69"/>
      <c r="PE4" s="69"/>
      <c r="PF4" s="69"/>
      <c r="PG4" s="69"/>
      <c r="PH4" s="69"/>
      <c r="PI4" s="69"/>
      <c r="PJ4" s="69"/>
      <c r="PK4" s="69"/>
      <c r="PL4" s="69"/>
      <c r="PM4" s="69"/>
      <c r="PN4" s="69"/>
      <c r="PO4" s="69"/>
      <c r="PP4" s="69"/>
      <c r="PQ4" s="69"/>
      <c r="PR4" s="69"/>
      <c r="PS4" s="69"/>
      <c r="PT4" s="69"/>
      <c r="PU4" s="13" t="str">
        <f t="shared" ref="PU4:PU14" si="97">IF(SUM(OX4,PB4,PF4,PJ4)&gt;0,SUM(OX4,PB4,PF4,PJ4),"")</f>
        <v/>
      </c>
      <c r="PV4" s="13" t="str">
        <f t="shared" ref="PV4:PV14" si="98">IF(SUM(OW4:OX4,OZ4:PB4,PD4:PF4,PH4:PJ4,PL4)-SUM(OY4,PC4,PG4,PK4)&gt;0,SUM(OW4:OX4,OZ4:PB4,PD4:PF4,PH4:PJ4,PL4)-SUM(OY4,PC4,PG4,PK4),"")</f>
        <v/>
      </c>
      <c r="PW4" s="13" t="str">
        <f t="shared" ref="PW4:PW14" si="99">IF(SUM(OW4:OX4,OZ4:PB4,PD4)-SUM(OY4,PC4)&gt;0,SUM(OW4:OX4,OZ4:PB4,PD4)-SUM(OY4,PC4),"")</f>
        <v/>
      </c>
      <c r="PX4" s="13" t="str">
        <f t="shared" ref="PX4:PX14" si="100">IF(SUM(PE4:PF4,PH4:PJ4,PL4)-SUM(PG4,PK4)&gt;0,SUM(PE4:PF4,PH4:PJ4,PL4)-SUM(PG4,PK4),"")</f>
        <v/>
      </c>
      <c r="PY4" s="13" t="str">
        <f t="shared" ref="PY4:PY14" si="101">IF(SUM(PM4:PN4,PP4:PR4,PT4)-SUM(PO4,PS4)&gt;0,SUM(PM4:PN4,PP4:PR4,PT4)-SUM(PO4,PS4),"")</f>
        <v/>
      </c>
      <c r="PZ4" s="13" t="str">
        <f t="shared" ref="PZ4:PZ14" si="102">IF(SUM(PV4,PY4)&gt;0,SUM(PV4,PY4),"")</f>
        <v/>
      </c>
      <c r="QA4" s="68"/>
      <c r="QB4" s="68"/>
      <c r="QC4" s="68"/>
      <c r="QD4" s="68"/>
      <c r="QE4" s="68"/>
      <c r="QF4" s="68"/>
      <c r="QG4" s="68"/>
      <c r="QH4" s="68"/>
      <c r="QI4" s="68"/>
      <c r="QJ4" s="68"/>
      <c r="QK4" s="68"/>
      <c r="QL4" s="68"/>
      <c r="QM4" s="68"/>
      <c r="QN4" s="68"/>
      <c r="QO4" s="68"/>
      <c r="QP4" s="68"/>
      <c r="QQ4" s="68"/>
      <c r="QR4" s="68"/>
      <c r="QS4" s="68"/>
      <c r="QT4" s="68"/>
      <c r="QU4" s="68"/>
      <c r="QV4" s="68"/>
      <c r="QW4" s="68"/>
      <c r="QX4" s="68"/>
      <c r="QY4" s="17" t="str">
        <f t="shared" ref="QY4:QY14" si="103">IF(SUM(QB4,QF4,QJ4,QN4)&gt;0,SUM(QB4,QF4,QJ4,QN4),"")</f>
        <v/>
      </c>
      <c r="QZ4" s="17" t="str">
        <f t="shared" ref="QZ4:QZ14" si="104">IF(SUM(QA4:QB4,QD4:QF4,QH4:QJ4,QL4:QN4,QP4)-SUM(QC4,QG4,QK4,QO4)&gt;0,SUM(QA4:QB4,QD4:QF4,QH4:QJ4,QL4:QN4,QP4)-SUM(QC4,QG4,QK4,QO4),"")</f>
        <v/>
      </c>
      <c r="RA4" s="17" t="str">
        <f t="shared" ref="RA4:RA14" si="105">IF(SUM(QA4:QB4,QD4:QF4,QH4)-SUM(QC4,QG4)&gt;0,SUM(QA4:QB4,QD4:QF4,QH4)-SUM(QC4,QG4),"")</f>
        <v/>
      </c>
      <c r="RB4" s="17" t="str">
        <f t="shared" ref="RB4:RB14" si="106">IF(SUM(QI4:QJ4,QL4:QN4,QP4)-SUM(QK4,QO4)&gt;0,SUM(QI4:QJ4,QL4:QN4,QP4)-SUM(QK4,QO4),"")</f>
        <v/>
      </c>
      <c r="RC4" s="17" t="str">
        <f t="shared" ref="RC4:RC14" si="107">IF(SUM(QQ4:QR4,QT4:QV4,QX4)-SUM(QS4,QW4)&gt;0,SUM(QQ4:QR4,QT4:QV4,QX4)-SUM(QS4,QW4),"")</f>
        <v/>
      </c>
      <c r="RD4" s="17" t="str">
        <f t="shared" ref="RD4:RD14" si="108">IF(SUM(QZ4,RC4)&gt;0,SUM(QZ4,RC4),"")</f>
        <v/>
      </c>
    </row>
    <row r="5" spans="1:472" x14ac:dyDescent="0.2">
      <c r="A5" s="6">
        <f t="shared" ca="1" si="0"/>
        <v>2</v>
      </c>
      <c r="B5" s="9" t="s">
        <v>72</v>
      </c>
      <c r="C5" s="5" t="s">
        <v>4</v>
      </c>
      <c r="D5" s="46">
        <v>2011</v>
      </c>
      <c r="E5" s="18">
        <f t="shared" si="1"/>
        <v>343.3</v>
      </c>
      <c r="F5" s="4" t="str">
        <f t="shared" si="2"/>
        <v>P</v>
      </c>
      <c r="G5" s="4" t="str">
        <f t="shared" ca="1" si="3"/>
        <v>P</v>
      </c>
      <c r="H5" t="str">
        <f t="shared" ca="1" si="4"/>
        <v>Merit</v>
      </c>
      <c r="I5" s="17">
        <f t="shared" si="5"/>
        <v>138.4</v>
      </c>
      <c r="J5" s="17" t="str">
        <f t="shared" si="6"/>
        <v>2017 Canada Cup</v>
      </c>
      <c r="K5" s="17">
        <f t="shared" si="7"/>
        <v>67.499999999999986</v>
      </c>
      <c r="L5" s="17" t="str">
        <f t="shared" si="8"/>
        <v>2017 3rd Domestic Trial</v>
      </c>
      <c r="M5" s="17">
        <f t="shared" si="9"/>
        <v>68.599999999999994</v>
      </c>
      <c r="N5" s="17" t="str">
        <f t="shared" si="10"/>
        <v>2017 Nationals</v>
      </c>
      <c r="O5" s="17">
        <f t="shared" si="11"/>
        <v>68.199999999999989</v>
      </c>
      <c r="P5" s="17" t="str">
        <f t="shared" si="12"/>
        <v>2017 3rd Domestic Trial</v>
      </c>
      <c r="Q5" s="17">
        <f t="shared" si="13"/>
        <v>0.60000000000000853</v>
      </c>
      <c r="R5" s="44" t="str">
        <f t="shared" si="14"/>
        <v>(Pass 1-2)</v>
      </c>
      <c r="S5" s="17" t="str">
        <f t="shared" si="15"/>
        <v>2017 World Championships (Nov)</v>
      </c>
      <c r="T5" s="60">
        <v>28.5</v>
      </c>
      <c r="U5" s="60">
        <v>6.8</v>
      </c>
      <c r="V5" s="60">
        <v>0.3</v>
      </c>
      <c r="W5" s="60">
        <v>0.3</v>
      </c>
      <c r="X5" s="60">
        <v>27.9</v>
      </c>
      <c r="Y5" s="60">
        <v>6.4</v>
      </c>
      <c r="Z5" s="60">
        <v>0</v>
      </c>
      <c r="AA5" s="60">
        <v>0.3</v>
      </c>
      <c r="AB5" s="60">
        <v>28.2</v>
      </c>
      <c r="AC5" s="60">
        <v>6.8</v>
      </c>
      <c r="AD5" s="60">
        <v>0</v>
      </c>
      <c r="AE5" s="60">
        <v>0.5</v>
      </c>
      <c r="AF5" s="60">
        <v>28.3</v>
      </c>
      <c r="AG5" s="60">
        <v>5.6</v>
      </c>
      <c r="AH5" s="60">
        <v>0.9</v>
      </c>
      <c r="AI5" s="60">
        <v>0</v>
      </c>
      <c r="AJ5" s="60">
        <v>28.1</v>
      </c>
      <c r="AK5" s="60">
        <v>7.2</v>
      </c>
      <c r="AL5" s="60">
        <v>0.3</v>
      </c>
      <c r="AM5" s="60">
        <v>0.3</v>
      </c>
      <c r="AN5" s="60">
        <v>27.4</v>
      </c>
      <c r="AO5" s="60">
        <v>3.7</v>
      </c>
      <c r="AP5" s="60">
        <v>1.5</v>
      </c>
      <c r="AQ5" s="60">
        <v>0.5</v>
      </c>
      <c r="AR5" s="13">
        <f t="shared" si="16"/>
        <v>25.6</v>
      </c>
      <c r="AS5" s="13">
        <f t="shared" si="17"/>
        <v>138.4</v>
      </c>
      <c r="AT5" s="13">
        <f t="shared" si="18"/>
        <v>69.899999999999991</v>
      </c>
      <c r="AU5" s="13">
        <f t="shared" si="19"/>
        <v>68.499999999999986</v>
      </c>
      <c r="AV5" s="13">
        <f t="shared" si="20"/>
        <v>65.400000000000006</v>
      </c>
      <c r="AW5" s="13">
        <f t="shared" si="21"/>
        <v>203.8</v>
      </c>
      <c r="AX5" s="62">
        <v>28.6</v>
      </c>
      <c r="AY5" s="62">
        <v>6</v>
      </c>
      <c r="AZ5" s="62">
        <v>0.9</v>
      </c>
      <c r="BA5" s="62">
        <v>0.3</v>
      </c>
      <c r="BB5" s="62">
        <v>0</v>
      </c>
      <c r="BC5" s="62">
        <v>0</v>
      </c>
      <c r="BD5" s="62">
        <v>0</v>
      </c>
      <c r="BE5" s="62">
        <v>0</v>
      </c>
      <c r="BF5" s="62">
        <v>28.7</v>
      </c>
      <c r="BG5" s="62">
        <v>6.8</v>
      </c>
      <c r="BH5" s="62">
        <v>0</v>
      </c>
      <c r="BI5" s="62">
        <v>0.5</v>
      </c>
      <c r="BJ5" s="62">
        <v>25.3</v>
      </c>
      <c r="BK5" s="62">
        <v>6.8</v>
      </c>
      <c r="BL5" s="62">
        <v>0.3</v>
      </c>
      <c r="BM5" s="62">
        <v>0.8</v>
      </c>
      <c r="BN5" s="62"/>
      <c r="BO5" s="62"/>
      <c r="BP5" s="62"/>
      <c r="BQ5" s="62"/>
      <c r="BR5" s="62"/>
      <c r="BS5" s="62"/>
      <c r="BT5" s="62"/>
      <c r="BU5" s="62"/>
      <c r="BV5" s="17">
        <f t="shared" si="22"/>
        <v>19.600000000000001</v>
      </c>
      <c r="BW5" s="17">
        <f t="shared" si="23"/>
        <v>102.59999999999998</v>
      </c>
      <c r="BX5" s="17">
        <f t="shared" si="24"/>
        <v>34</v>
      </c>
      <c r="BY5" s="17">
        <f t="shared" si="25"/>
        <v>68.599999999999994</v>
      </c>
      <c r="BZ5" s="17" t="str">
        <f t="shared" si="26"/>
        <v/>
      </c>
      <c r="CA5" s="17">
        <f t="shared" si="27"/>
        <v>102.59999999999998</v>
      </c>
      <c r="CB5" s="60">
        <v>27.4</v>
      </c>
      <c r="CC5" s="60">
        <v>6</v>
      </c>
      <c r="CD5" s="60">
        <v>0.3</v>
      </c>
      <c r="CE5" s="60">
        <v>0.3</v>
      </c>
      <c r="CF5" s="60">
        <v>27.9</v>
      </c>
      <c r="CG5" s="60">
        <v>6.8</v>
      </c>
      <c r="CH5" s="60">
        <v>0.9</v>
      </c>
      <c r="CI5" s="60">
        <v>0.3</v>
      </c>
      <c r="CJ5" s="60">
        <v>26.8</v>
      </c>
      <c r="CK5" s="60">
        <v>6.8</v>
      </c>
      <c r="CL5" s="60">
        <v>0</v>
      </c>
      <c r="CM5" s="60">
        <v>0.5</v>
      </c>
      <c r="CN5" s="60">
        <v>27.5</v>
      </c>
      <c r="CO5" s="60">
        <v>4.4000000000000004</v>
      </c>
      <c r="CP5" s="60">
        <v>0.9</v>
      </c>
      <c r="CQ5" s="60">
        <v>0</v>
      </c>
      <c r="CR5" s="60">
        <v>27.8</v>
      </c>
      <c r="CS5" s="60">
        <v>6.4</v>
      </c>
      <c r="CT5" s="60">
        <v>0.9</v>
      </c>
      <c r="CU5" s="60">
        <v>0.3</v>
      </c>
      <c r="CV5" s="60">
        <v>28.6</v>
      </c>
      <c r="CW5" s="60">
        <v>6</v>
      </c>
      <c r="CX5" s="60">
        <v>0</v>
      </c>
      <c r="CY5" s="60">
        <v>0</v>
      </c>
      <c r="CZ5" s="13">
        <f t="shared" si="28"/>
        <v>24</v>
      </c>
      <c r="DA5" s="13">
        <f t="shared" si="29"/>
        <v>132.6</v>
      </c>
      <c r="DB5" s="13">
        <f t="shared" si="30"/>
        <v>67.499999999999986</v>
      </c>
      <c r="DC5" s="13">
        <f t="shared" si="31"/>
        <v>65.099999999999994</v>
      </c>
      <c r="DD5" s="13">
        <f t="shared" si="32"/>
        <v>68.199999999999989</v>
      </c>
      <c r="DE5" s="13">
        <f t="shared" si="33"/>
        <v>200.79999999999998</v>
      </c>
      <c r="DF5" s="43">
        <f t="shared" si="34"/>
        <v>0.60000000000000853</v>
      </c>
      <c r="DG5" s="43" t="str">
        <f t="shared" si="35"/>
        <v/>
      </c>
      <c r="DH5" s="43" t="str">
        <f t="shared" si="36"/>
        <v/>
      </c>
      <c r="DI5" s="60">
        <v>33.299999999999997</v>
      </c>
      <c r="DJ5" s="60">
        <v>0</v>
      </c>
      <c r="DK5" s="60">
        <v>0</v>
      </c>
      <c r="DL5" s="60">
        <v>0</v>
      </c>
      <c r="DM5" s="60">
        <v>32.9</v>
      </c>
      <c r="DN5" s="60">
        <v>0</v>
      </c>
      <c r="DO5" s="60">
        <v>0</v>
      </c>
      <c r="DP5" s="60">
        <v>0</v>
      </c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13" t="str">
        <f t="shared" si="37"/>
        <v/>
      </c>
      <c r="EH5" s="13">
        <f t="shared" si="38"/>
        <v>66.199999999999989</v>
      </c>
      <c r="EI5" s="13">
        <f t="shared" si="39"/>
        <v>66.199999999999989</v>
      </c>
      <c r="EJ5" s="13" t="str">
        <f t="shared" si="40"/>
        <v/>
      </c>
      <c r="EK5" s="13" t="str">
        <f t="shared" si="41"/>
        <v/>
      </c>
      <c r="EL5" s="13">
        <f t="shared" si="42"/>
        <v>66.199999999999989</v>
      </c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  <c r="FA5" s="68"/>
      <c r="FB5" s="68"/>
      <c r="FC5" s="68"/>
      <c r="FD5" s="68"/>
      <c r="FE5" s="68"/>
      <c r="FF5" s="68"/>
      <c r="FG5" s="68"/>
      <c r="FH5" s="68"/>
      <c r="FI5" s="68"/>
      <c r="FJ5" s="68"/>
      <c r="FK5" s="17" t="str">
        <f t="shared" si="43"/>
        <v/>
      </c>
      <c r="FL5" s="17" t="str">
        <f t="shared" si="44"/>
        <v/>
      </c>
      <c r="FM5" s="17" t="str">
        <f t="shared" si="45"/>
        <v/>
      </c>
      <c r="FN5" s="17" t="str">
        <f t="shared" si="46"/>
        <v/>
      </c>
      <c r="FO5" s="17" t="str">
        <f t="shared" si="47"/>
        <v/>
      </c>
      <c r="FP5" s="17" t="str">
        <f t="shared" si="48"/>
        <v/>
      </c>
      <c r="FQ5" s="69">
        <v>28.2</v>
      </c>
      <c r="FR5" s="69">
        <v>6.8</v>
      </c>
      <c r="FS5" s="69">
        <v>0.9</v>
      </c>
      <c r="FT5" s="69">
        <v>0</v>
      </c>
      <c r="FU5" s="69">
        <v>27.9</v>
      </c>
      <c r="FV5" s="69">
        <v>6.4</v>
      </c>
      <c r="FW5" s="69">
        <v>0.9</v>
      </c>
      <c r="FX5" s="69">
        <v>0</v>
      </c>
      <c r="FY5" s="69"/>
      <c r="FZ5" s="69"/>
      <c r="GA5" s="69"/>
      <c r="GB5" s="69"/>
      <c r="GC5" s="69"/>
      <c r="GD5" s="69"/>
      <c r="GE5" s="69"/>
      <c r="GF5" s="69"/>
      <c r="GG5" s="69">
        <v>27.6</v>
      </c>
      <c r="GH5" s="69">
        <v>6.8</v>
      </c>
      <c r="GI5" s="69">
        <v>0</v>
      </c>
      <c r="GJ5" s="69">
        <v>0</v>
      </c>
      <c r="GK5" s="69">
        <v>27.9</v>
      </c>
      <c r="GL5" s="69">
        <v>6.8</v>
      </c>
      <c r="GM5" s="69">
        <v>1.2</v>
      </c>
      <c r="GN5" s="69">
        <v>0</v>
      </c>
      <c r="GO5" s="13">
        <f t="shared" si="49"/>
        <v>13.2</v>
      </c>
      <c r="GP5" s="13">
        <f t="shared" si="50"/>
        <v>67.5</v>
      </c>
      <c r="GQ5" s="13">
        <f t="shared" si="51"/>
        <v>67.5</v>
      </c>
      <c r="GR5" s="13" t="str">
        <f t="shared" si="52"/>
        <v/>
      </c>
      <c r="GS5" s="13">
        <f t="shared" si="53"/>
        <v>67.899999999999991</v>
      </c>
      <c r="GT5" s="13">
        <f t="shared" si="54"/>
        <v>135.39999999999998</v>
      </c>
      <c r="GU5" s="68">
        <v>27.9</v>
      </c>
      <c r="GV5" s="68">
        <v>6.8</v>
      </c>
      <c r="GW5" s="68">
        <v>0</v>
      </c>
      <c r="GX5" s="68">
        <v>0</v>
      </c>
      <c r="GY5" s="68">
        <v>27.9</v>
      </c>
      <c r="GZ5" s="68">
        <v>6.4</v>
      </c>
      <c r="HA5" s="68">
        <v>0.9</v>
      </c>
      <c r="HB5" s="68">
        <v>0</v>
      </c>
      <c r="HC5" s="68"/>
      <c r="HD5" s="68"/>
      <c r="HE5" s="68"/>
      <c r="HF5" s="68"/>
      <c r="HG5" s="68"/>
      <c r="HH5" s="68"/>
      <c r="HI5" s="68"/>
      <c r="HJ5" s="68"/>
      <c r="HK5" s="68"/>
      <c r="HL5" s="68"/>
      <c r="HM5" s="68"/>
      <c r="HN5" s="68"/>
      <c r="HO5" s="68"/>
      <c r="HP5" s="68"/>
      <c r="HQ5" s="68"/>
      <c r="HR5" s="68"/>
      <c r="HS5" s="17">
        <f t="shared" si="55"/>
        <v>13.2</v>
      </c>
      <c r="HT5" s="17">
        <f t="shared" si="56"/>
        <v>68.099999999999994</v>
      </c>
      <c r="HU5" s="17">
        <f t="shared" si="57"/>
        <v>68.099999999999994</v>
      </c>
      <c r="HV5" s="17" t="str">
        <f t="shared" si="58"/>
        <v/>
      </c>
      <c r="HW5" s="17" t="str">
        <f t="shared" si="59"/>
        <v/>
      </c>
      <c r="HX5" s="17">
        <f t="shared" si="60"/>
        <v>68.099999999999994</v>
      </c>
      <c r="HY5" s="69"/>
      <c r="HZ5" s="69"/>
      <c r="IA5" s="69"/>
      <c r="IB5" s="69"/>
      <c r="IC5" s="69"/>
      <c r="ID5" s="69"/>
      <c r="IE5" s="69"/>
      <c r="IF5" s="69"/>
      <c r="IG5" s="69"/>
      <c r="IH5" s="69"/>
      <c r="II5" s="69"/>
      <c r="IJ5" s="69"/>
      <c r="IK5" s="69"/>
      <c r="IL5" s="69"/>
      <c r="IM5" s="69"/>
      <c r="IN5" s="69"/>
      <c r="IO5" s="69">
        <v>33.9</v>
      </c>
      <c r="IP5" s="69"/>
      <c r="IQ5" s="69"/>
      <c r="IR5" s="69"/>
      <c r="IS5" s="69"/>
      <c r="IT5" s="69"/>
      <c r="IU5" s="69"/>
      <c r="IV5" s="69"/>
      <c r="IW5" s="13" t="str">
        <f t="shared" si="61"/>
        <v/>
      </c>
      <c r="IX5" s="13" t="str">
        <f t="shared" si="62"/>
        <v/>
      </c>
      <c r="IY5" s="13" t="str">
        <f t="shared" si="63"/>
        <v/>
      </c>
      <c r="IZ5" s="13" t="str">
        <f t="shared" si="64"/>
        <v/>
      </c>
      <c r="JA5" s="13">
        <f t="shared" si="65"/>
        <v>33.9</v>
      </c>
      <c r="JB5" s="13">
        <f t="shared" si="66"/>
        <v>33.9</v>
      </c>
      <c r="JC5" s="68"/>
      <c r="JD5" s="68"/>
      <c r="JE5" s="68"/>
      <c r="JF5" s="68"/>
      <c r="JG5" s="68"/>
      <c r="JH5" s="68"/>
      <c r="JI5" s="68"/>
      <c r="JJ5" s="68"/>
      <c r="JK5" s="68"/>
      <c r="JL5" s="68"/>
      <c r="JM5" s="68"/>
      <c r="JN5" s="68"/>
      <c r="JO5" s="68"/>
      <c r="JP5" s="68"/>
      <c r="JQ5" s="68"/>
      <c r="JR5" s="68"/>
      <c r="JS5" s="68"/>
      <c r="JT5" s="68"/>
      <c r="JU5" s="68"/>
      <c r="JV5" s="68"/>
      <c r="JW5" s="68"/>
      <c r="JX5" s="68"/>
      <c r="JY5" s="68"/>
      <c r="JZ5" s="68"/>
      <c r="KA5" s="17" t="str">
        <f t="shared" si="67"/>
        <v/>
      </c>
      <c r="KB5" s="17" t="str">
        <f t="shared" si="68"/>
        <v/>
      </c>
      <c r="KC5" s="17" t="str">
        <f t="shared" si="69"/>
        <v/>
      </c>
      <c r="KD5" s="17" t="str">
        <f t="shared" si="70"/>
        <v/>
      </c>
      <c r="KE5" s="17" t="str">
        <f t="shared" si="71"/>
        <v/>
      </c>
      <c r="KF5" s="17" t="str">
        <f t="shared" si="72"/>
        <v/>
      </c>
      <c r="KG5" s="69"/>
      <c r="KH5" s="69"/>
      <c r="KI5" s="69"/>
      <c r="KJ5" s="69"/>
      <c r="KK5" s="69"/>
      <c r="KL5" s="69"/>
      <c r="KM5" s="69"/>
      <c r="KN5" s="69"/>
      <c r="KO5" s="69"/>
      <c r="KP5" s="69"/>
      <c r="KQ5" s="69"/>
      <c r="KR5" s="69"/>
      <c r="KS5" s="69"/>
      <c r="KT5" s="69"/>
      <c r="KU5" s="69"/>
      <c r="KV5" s="69"/>
      <c r="KW5" s="69"/>
      <c r="KX5" s="69"/>
      <c r="KY5" s="69"/>
      <c r="KZ5" s="69"/>
      <c r="LA5" s="69"/>
      <c r="LB5" s="69"/>
      <c r="LC5" s="69"/>
      <c r="LD5" s="69"/>
      <c r="LE5" s="13" t="str">
        <f t="shared" si="73"/>
        <v/>
      </c>
      <c r="LF5" s="13" t="str">
        <f t="shared" si="74"/>
        <v/>
      </c>
      <c r="LG5" s="13" t="str">
        <f t="shared" si="75"/>
        <v/>
      </c>
      <c r="LH5" s="13" t="str">
        <f t="shared" si="76"/>
        <v/>
      </c>
      <c r="LI5" s="13" t="str">
        <f t="shared" si="77"/>
        <v/>
      </c>
      <c r="LJ5" s="13" t="str">
        <f t="shared" si="78"/>
        <v/>
      </c>
      <c r="LK5" s="68"/>
      <c r="LL5" s="68"/>
      <c r="LM5" s="68"/>
      <c r="LN5" s="68"/>
      <c r="LO5" s="68"/>
      <c r="LP5" s="68"/>
      <c r="LQ5" s="68"/>
      <c r="LR5" s="68"/>
      <c r="LS5" s="68"/>
      <c r="LT5" s="68"/>
      <c r="LU5" s="68"/>
      <c r="LV5" s="68"/>
      <c r="LW5" s="68"/>
      <c r="LX5" s="68"/>
      <c r="LY5" s="68"/>
      <c r="LZ5" s="68"/>
      <c r="MA5" s="68"/>
      <c r="MB5" s="68"/>
      <c r="MC5" s="68"/>
      <c r="MD5" s="68"/>
      <c r="ME5" s="68"/>
      <c r="MF5" s="68"/>
      <c r="MG5" s="68"/>
      <c r="MH5" s="68"/>
      <c r="MI5" s="17" t="str">
        <f t="shared" si="79"/>
        <v/>
      </c>
      <c r="MJ5" s="17" t="str">
        <f t="shared" si="80"/>
        <v/>
      </c>
      <c r="MK5" s="17" t="str">
        <f t="shared" si="81"/>
        <v/>
      </c>
      <c r="ML5" s="17" t="str">
        <f t="shared" si="82"/>
        <v/>
      </c>
      <c r="MM5" s="17" t="str">
        <f t="shared" si="83"/>
        <v/>
      </c>
      <c r="MN5" s="17" t="str">
        <f t="shared" si="84"/>
        <v/>
      </c>
      <c r="MO5" s="69"/>
      <c r="MP5" s="69"/>
      <c r="MQ5" s="69"/>
      <c r="MR5" s="69"/>
      <c r="MS5" s="69"/>
      <c r="MT5" s="69"/>
      <c r="MU5" s="69"/>
      <c r="MV5" s="69"/>
      <c r="MW5" s="69"/>
      <c r="MX5" s="69"/>
      <c r="MY5" s="69"/>
      <c r="MZ5" s="69"/>
      <c r="NA5" s="69"/>
      <c r="NB5" s="69"/>
      <c r="NC5" s="69"/>
      <c r="ND5" s="69"/>
      <c r="NE5" s="69"/>
      <c r="NF5" s="69"/>
      <c r="NG5" s="69"/>
      <c r="NH5" s="69"/>
      <c r="NI5" s="69"/>
      <c r="NJ5" s="69"/>
      <c r="NK5" s="69"/>
      <c r="NL5" s="69"/>
      <c r="NM5" s="13" t="str">
        <f t="shared" si="85"/>
        <v/>
      </c>
      <c r="NN5" s="13" t="str">
        <f t="shared" si="86"/>
        <v/>
      </c>
      <c r="NO5" s="13" t="str">
        <f t="shared" si="87"/>
        <v/>
      </c>
      <c r="NP5" s="13" t="str">
        <f t="shared" si="88"/>
        <v/>
      </c>
      <c r="NQ5" s="13" t="str">
        <f t="shared" si="89"/>
        <v/>
      </c>
      <c r="NR5" s="13" t="str">
        <f t="shared" si="90"/>
        <v/>
      </c>
      <c r="NS5" s="68"/>
      <c r="NT5" s="68"/>
      <c r="NU5" s="68"/>
      <c r="NV5" s="68"/>
      <c r="NW5" s="68"/>
      <c r="NX5" s="68"/>
      <c r="NY5" s="68"/>
      <c r="NZ5" s="68"/>
      <c r="OA5" s="68"/>
      <c r="OB5" s="68"/>
      <c r="OC5" s="68"/>
      <c r="OD5" s="68"/>
      <c r="OE5" s="68"/>
      <c r="OF5" s="68"/>
      <c r="OG5" s="68"/>
      <c r="OH5" s="68"/>
      <c r="OI5" s="68"/>
      <c r="OJ5" s="68"/>
      <c r="OK5" s="68"/>
      <c r="OL5" s="68"/>
      <c r="OM5" s="68"/>
      <c r="ON5" s="68"/>
      <c r="OO5" s="68"/>
      <c r="OP5" s="68"/>
      <c r="OQ5" s="17" t="str">
        <f t="shared" si="91"/>
        <v/>
      </c>
      <c r="OR5" s="17" t="str">
        <f t="shared" si="92"/>
        <v/>
      </c>
      <c r="OS5" s="17" t="str">
        <f t="shared" si="93"/>
        <v/>
      </c>
      <c r="OT5" s="17" t="str">
        <f t="shared" si="94"/>
        <v/>
      </c>
      <c r="OU5" s="17" t="str">
        <f t="shared" si="95"/>
        <v/>
      </c>
      <c r="OV5" s="17" t="str">
        <f t="shared" si="96"/>
        <v/>
      </c>
      <c r="OW5" s="69"/>
      <c r="OX5" s="69"/>
      <c r="OY5" s="69"/>
      <c r="OZ5" s="69"/>
      <c r="PA5" s="69"/>
      <c r="PB5" s="69"/>
      <c r="PC5" s="69"/>
      <c r="PD5" s="69"/>
      <c r="PE5" s="69"/>
      <c r="PF5" s="69"/>
      <c r="PG5" s="69"/>
      <c r="PH5" s="69"/>
      <c r="PI5" s="69"/>
      <c r="PJ5" s="69"/>
      <c r="PK5" s="69"/>
      <c r="PL5" s="69"/>
      <c r="PM5" s="69"/>
      <c r="PN5" s="69"/>
      <c r="PO5" s="69"/>
      <c r="PP5" s="69"/>
      <c r="PQ5" s="69"/>
      <c r="PR5" s="69"/>
      <c r="PS5" s="69"/>
      <c r="PT5" s="69"/>
      <c r="PU5" s="13" t="str">
        <f t="shared" si="97"/>
        <v/>
      </c>
      <c r="PV5" s="13" t="str">
        <f t="shared" si="98"/>
        <v/>
      </c>
      <c r="PW5" s="13" t="str">
        <f t="shared" si="99"/>
        <v/>
      </c>
      <c r="PX5" s="13" t="str">
        <f t="shared" si="100"/>
        <v/>
      </c>
      <c r="PY5" s="13" t="str">
        <f t="shared" si="101"/>
        <v/>
      </c>
      <c r="PZ5" s="13" t="str">
        <f t="shared" si="102"/>
        <v/>
      </c>
      <c r="QA5" s="68"/>
      <c r="QB5" s="68"/>
      <c r="QC5" s="68"/>
      <c r="QD5" s="68"/>
      <c r="QE5" s="68"/>
      <c r="QF5" s="68"/>
      <c r="QG5" s="68"/>
      <c r="QH5" s="68"/>
      <c r="QI5" s="68"/>
      <c r="QJ5" s="68"/>
      <c r="QK5" s="68"/>
      <c r="QL5" s="68"/>
      <c r="QM5" s="68"/>
      <c r="QN5" s="68"/>
      <c r="QO5" s="68"/>
      <c r="QP5" s="68"/>
      <c r="QQ5" s="68"/>
      <c r="QR5" s="68"/>
      <c r="QS5" s="68"/>
      <c r="QT5" s="68"/>
      <c r="QU5" s="68"/>
      <c r="QV5" s="68"/>
      <c r="QW5" s="68"/>
      <c r="QX5" s="68"/>
      <c r="QY5" s="17" t="str">
        <f t="shared" si="103"/>
        <v/>
      </c>
      <c r="QZ5" s="17" t="str">
        <f t="shared" si="104"/>
        <v/>
      </c>
      <c r="RA5" s="17" t="str">
        <f t="shared" si="105"/>
        <v/>
      </c>
      <c r="RB5" s="17" t="str">
        <f t="shared" si="106"/>
        <v/>
      </c>
      <c r="RC5" s="17" t="str">
        <f t="shared" si="107"/>
        <v/>
      </c>
      <c r="RD5" s="17" t="str">
        <f t="shared" si="108"/>
        <v/>
      </c>
    </row>
    <row r="6" spans="1:472" x14ac:dyDescent="0.2">
      <c r="A6" s="6">
        <f t="shared" ca="1" si="0"/>
        <v>3</v>
      </c>
      <c r="B6" s="9" t="s">
        <v>54</v>
      </c>
      <c r="C6" s="5" t="s">
        <v>13</v>
      </c>
      <c r="D6" s="46">
        <v>2014</v>
      </c>
      <c r="E6" s="18">
        <f t="shared" si="1"/>
        <v>338.6</v>
      </c>
      <c r="F6" s="4" t="str">
        <f t="shared" si="2"/>
        <v>P</v>
      </c>
      <c r="G6" s="4" t="str">
        <f t="shared" ca="1" si="3"/>
        <v>P</v>
      </c>
      <c r="H6" t="str">
        <f t="shared" ca="1" si="4"/>
        <v>Funding</v>
      </c>
      <c r="I6" s="17">
        <f t="shared" si="5"/>
        <v>135.30000000000001</v>
      </c>
      <c r="J6" s="17" t="str">
        <f t="shared" si="6"/>
        <v>2017 Nationals</v>
      </c>
      <c r="K6" s="17">
        <f t="shared" si="7"/>
        <v>67.400000000000006</v>
      </c>
      <c r="L6" s="17" t="str">
        <f t="shared" si="8"/>
        <v>2017 Nationals</v>
      </c>
      <c r="M6" s="17">
        <f t="shared" si="9"/>
        <v>67.899999999999991</v>
      </c>
      <c r="N6" s="17" t="str">
        <f t="shared" si="10"/>
        <v>2017 Nationals</v>
      </c>
      <c r="O6" s="17">
        <f t="shared" si="11"/>
        <v>67.999999999999986</v>
      </c>
      <c r="P6" s="17" t="str">
        <f t="shared" si="12"/>
        <v>2017 Canada Cup</v>
      </c>
      <c r="Q6" s="17" t="str">
        <f t="shared" si="13"/>
        <v/>
      </c>
      <c r="R6" s="44" t="str">
        <f t="shared" si="14"/>
        <v/>
      </c>
      <c r="S6" s="17" t="str">
        <f t="shared" si="15"/>
        <v/>
      </c>
      <c r="T6" s="60">
        <v>28.3</v>
      </c>
      <c r="U6" s="60">
        <v>6</v>
      </c>
      <c r="V6" s="60">
        <v>0.9</v>
      </c>
      <c r="W6" s="60">
        <v>0</v>
      </c>
      <c r="X6" s="60">
        <v>27.8</v>
      </c>
      <c r="Y6" s="60">
        <v>6</v>
      </c>
      <c r="Z6" s="60">
        <v>0</v>
      </c>
      <c r="AA6" s="60">
        <v>0.5</v>
      </c>
      <c r="AB6" s="60">
        <v>29.1</v>
      </c>
      <c r="AC6" s="60">
        <v>4.4000000000000004</v>
      </c>
      <c r="AD6" s="60">
        <v>0</v>
      </c>
      <c r="AE6" s="60">
        <v>0</v>
      </c>
      <c r="AF6" s="60">
        <v>28</v>
      </c>
      <c r="AG6" s="60">
        <v>5.6</v>
      </c>
      <c r="AH6" s="60">
        <v>0</v>
      </c>
      <c r="AI6" s="60">
        <v>0.5</v>
      </c>
      <c r="AJ6" s="60">
        <v>28.4</v>
      </c>
      <c r="AK6" s="60">
        <v>6</v>
      </c>
      <c r="AL6" s="60">
        <v>0.9</v>
      </c>
      <c r="AM6" s="60">
        <v>0.5</v>
      </c>
      <c r="AN6" s="60">
        <v>27.9</v>
      </c>
      <c r="AO6" s="60">
        <v>5.6</v>
      </c>
      <c r="AP6" s="60">
        <v>0</v>
      </c>
      <c r="AQ6" s="60">
        <v>0.5</v>
      </c>
      <c r="AR6" s="13">
        <f t="shared" si="16"/>
        <v>22</v>
      </c>
      <c r="AS6" s="13">
        <f t="shared" si="17"/>
        <v>135.29999999999998</v>
      </c>
      <c r="AT6" s="13">
        <f t="shared" si="18"/>
        <v>67.699999999999989</v>
      </c>
      <c r="AU6" s="13">
        <f t="shared" si="19"/>
        <v>67.599999999999994</v>
      </c>
      <c r="AV6" s="13">
        <f t="shared" si="20"/>
        <v>67.999999999999986</v>
      </c>
      <c r="AW6" s="13">
        <f t="shared" si="21"/>
        <v>203.29999999999995</v>
      </c>
      <c r="AX6" s="62">
        <v>28.5</v>
      </c>
      <c r="AY6" s="62">
        <v>6</v>
      </c>
      <c r="AZ6" s="62">
        <v>0.9</v>
      </c>
      <c r="BA6" s="62">
        <v>0</v>
      </c>
      <c r="BB6" s="62">
        <v>28.2</v>
      </c>
      <c r="BC6" s="62">
        <v>6</v>
      </c>
      <c r="BD6" s="62">
        <v>0.9</v>
      </c>
      <c r="BE6" s="62">
        <v>0.5</v>
      </c>
      <c r="BF6" s="62">
        <v>28.1</v>
      </c>
      <c r="BG6" s="62">
        <v>6</v>
      </c>
      <c r="BH6" s="62">
        <v>1.2</v>
      </c>
      <c r="BI6" s="62">
        <v>0.3</v>
      </c>
      <c r="BJ6" s="62">
        <v>28.2</v>
      </c>
      <c r="BK6" s="62">
        <v>6</v>
      </c>
      <c r="BL6" s="62">
        <v>0</v>
      </c>
      <c r="BM6" s="62">
        <v>0.5</v>
      </c>
      <c r="BN6" s="62">
        <v>20.399999999999999</v>
      </c>
      <c r="BO6" s="62">
        <v>2.8</v>
      </c>
      <c r="BP6" s="62">
        <v>0</v>
      </c>
      <c r="BQ6" s="62">
        <v>0</v>
      </c>
      <c r="BR6" s="62">
        <v>28.3</v>
      </c>
      <c r="BS6" s="62">
        <v>6</v>
      </c>
      <c r="BT6" s="62">
        <v>0.9</v>
      </c>
      <c r="BU6" s="62">
        <v>0.5</v>
      </c>
      <c r="BV6" s="17">
        <f t="shared" si="22"/>
        <v>24</v>
      </c>
      <c r="BW6" s="17">
        <f t="shared" si="23"/>
        <v>135.30000000000001</v>
      </c>
      <c r="BX6" s="17">
        <f t="shared" si="24"/>
        <v>67.400000000000006</v>
      </c>
      <c r="BY6" s="17">
        <f t="shared" si="25"/>
        <v>67.899999999999991</v>
      </c>
      <c r="BZ6" s="17">
        <f t="shared" si="26"/>
        <v>57.1</v>
      </c>
      <c r="CA6" s="17">
        <f t="shared" si="27"/>
        <v>192.4</v>
      </c>
      <c r="CB6" s="60">
        <v>27.9</v>
      </c>
      <c r="CC6" s="60">
        <v>6</v>
      </c>
      <c r="CD6" s="60">
        <v>0.9</v>
      </c>
      <c r="CE6" s="60">
        <v>0</v>
      </c>
      <c r="CF6" s="60">
        <v>27.6</v>
      </c>
      <c r="CG6" s="60">
        <v>4.8</v>
      </c>
      <c r="CH6" s="60">
        <v>0.3</v>
      </c>
      <c r="CI6" s="60">
        <v>0</v>
      </c>
      <c r="CJ6" s="60">
        <v>22.7</v>
      </c>
      <c r="CK6" s="60">
        <v>3.2</v>
      </c>
      <c r="CL6" s="60">
        <v>0</v>
      </c>
      <c r="CM6" s="60">
        <v>0.5</v>
      </c>
      <c r="CN6" s="60">
        <v>28.3</v>
      </c>
      <c r="CO6" s="60">
        <v>5.6</v>
      </c>
      <c r="CP6" s="60">
        <v>0</v>
      </c>
      <c r="CQ6" s="60">
        <v>0.5</v>
      </c>
      <c r="CR6" s="60">
        <v>28</v>
      </c>
      <c r="CS6" s="60">
        <v>6</v>
      </c>
      <c r="CT6" s="60">
        <v>0</v>
      </c>
      <c r="CU6" s="60">
        <v>0.5</v>
      </c>
      <c r="CV6" s="60">
        <v>0</v>
      </c>
      <c r="CW6" s="60">
        <v>0</v>
      </c>
      <c r="CX6" s="60">
        <v>0</v>
      </c>
      <c r="CY6" s="60">
        <v>0</v>
      </c>
      <c r="CZ6" s="13">
        <f t="shared" si="28"/>
        <v>19.600000000000001</v>
      </c>
      <c r="DA6" s="13">
        <f t="shared" si="29"/>
        <v>125.89999999999999</v>
      </c>
      <c r="DB6" s="13">
        <f t="shared" si="30"/>
        <v>65.099999999999994</v>
      </c>
      <c r="DC6" s="13">
        <f t="shared" si="31"/>
        <v>60.800000000000004</v>
      </c>
      <c r="DD6" s="13">
        <f t="shared" si="32"/>
        <v>34.5</v>
      </c>
      <c r="DE6" s="13">
        <f t="shared" si="33"/>
        <v>160.39999999999998</v>
      </c>
      <c r="DF6" s="43" t="str">
        <f t="shared" si="34"/>
        <v/>
      </c>
      <c r="DG6" s="43" t="str">
        <f t="shared" si="35"/>
        <v/>
      </c>
      <c r="DH6" s="43" t="str">
        <f t="shared" si="36"/>
        <v/>
      </c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13" t="str">
        <f t="shared" si="37"/>
        <v/>
      </c>
      <c r="EH6" s="13" t="str">
        <f t="shared" si="38"/>
        <v/>
      </c>
      <c r="EI6" s="13" t="str">
        <f t="shared" si="39"/>
        <v/>
      </c>
      <c r="EJ6" s="13" t="str">
        <f t="shared" si="40"/>
        <v/>
      </c>
      <c r="EK6" s="13" t="str">
        <f t="shared" si="41"/>
        <v/>
      </c>
      <c r="EL6" s="13" t="str">
        <f t="shared" si="42"/>
        <v/>
      </c>
      <c r="EM6" s="68"/>
      <c r="EN6" s="68"/>
      <c r="EO6" s="68"/>
      <c r="EP6" s="68"/>
      <c r="EQ6" s="68"/>
      <c r="ER6" s="68"/>
      <c r="ES6" s="68"/>
      <c r="ET6" s="68"/>
      <c r="EU6" s="68"/>
      <c r="EV6" s="68"/>
      <c r="EW6" s="68"/>
      <c r="EX6" s="68"/>
      <c r="EY6" s="68"/>
      <c r="EZ6" s="68"/>
      <c r="FA6" s="68"/>
      <c r="FB6" s="68"/>
      <c r="FC6" s="68"/>
      <c r="FD6" s="68"/>
      <c r="FE6" s="68"/>
      <c r="FF6" s="68"/>
      <c r="FG6" s="68"/>
      <c r="FH6" s="68"/>
      <c r="FI6" s="68"/>
      <c r="FJ6" s="68"/>
      <c r="FK6" s="17" t="str">
        <f t="shared" si="43"/>
        <v/>
      </c>
      <c r="FL6" s="17" t="str">
        <f t="shared" si="44"/>
        <v/>
      </c>
      <c r="FM6" s="17" t="str">
        <f t="shared" si="45"/>
        <v/>
      </c>
      <c r="FN6" s="17" t="str">
        <f t="shared" si="46"/>
        <v/>
      </c>
      <c r="FO6" s="17" t="str">
        <f t="shared" si="47"/>
        <v/>
      </c>
      <c r="FP6" s="17" t="str">
        <f t="shared" si="48"/>
        <v/>
      </c>
      <c r="FQ6" s="69"/>
      <c r="FR6" s="69"/>
      <c r="FS6" s="69"/>
      <c r="FT6" s="69"/>
      <c r="FU6" s="69"/>
      <c r="FV6" s="69"/>
      <c r="FW6" s="69"/>
      <c r="FX6" s="69"/>
      <c r="FY6" s="69"/>
      <c r="FZ6" s="69"/>
      <c r="GA6" s="69"/>
      <c r="GB6" s="69"/>
      <c r="GC6" s="69"/>
      <c r="GD6" s="69"/>
      <c r="GE6" s="69"/>
      <c r="GF6" s="69"/>
      <c r="GG6" s="69"/>
      <c r="GH6" s="69"/>
      <c r="GI6" s="69"/>
      <c r="GJ6" s="69"/>
      <c r="GK6" s="69"/>
      <c r="GL6" s="69"/>
      <c r="GM6" s="69"/>
      <c r="GN6" s="69"/>
      <c r="GO6" s="13" t="str">
        <f t="shared" si="49"/>
        <v/>
      </c>
      <c r="GP6" s="13" t="str">
        <f t="shared" si="50"/>
        <v/>
      </c>
      <c r="GQ6" s="13" t="str">
        <f t="shared" si="51"/>
        <v/>
      </c>
      <c r="GR6" s="13" t="str">
        <f t="shared" si="52"/>
        <v/>
      </c>
      <c r="GS6" s="13" t="str">
        <f t="shared" si="53"/>
        <v/>
      </c>
      <c r="GT6" s="13" t="str">
        <f t="shared" si="54"/>
        <v/>
      </c>
      <c r="GU6" s="68">
        <v>27.3</v>
      </c>
      <c r="GV6" s="68">
        <v>6</v>
      </c>
      <c r="GW6" s="68">
        <v>1.2</v>
      </c>
      <c r="GX6" s="68">
        <v>0</v>
      </c>
      <c r="GY6" s="68">
        <v>27.9</v>
      </c>
      <c r="GZ6" s="68">
        <v>6</v>
      </c>
      <c r="HA6" s="68">
        <v>0.3</v>
      </c>
      <c r="HB6" s="68">
        <v>0</v>
      </c>
      <c r="HC6" s="68"/>
      <c r="HD6" s="68"/>
      <c r="HE6" s="68"/>
      <c r="HF6" s="68"/>
      <c r="HG6" s="68"/>
      <c r="HH6" s="68"/>
      <c r="HI6" s="68"/>
      <c r="HJ6" s="68"/>
      <c r="HK6" s="68"/>
      <c r="HL6" s="68"/>
      <c r="HM6" s="68"/>
      <c r="HN6" s="68"/>
      <c r="HO6" s="68"/>
      <c r="HP6" s="68"/>
      <c r="HQ6" s="68"/>
      <c r="HR6" s="68"/>
      <c r="HS6" s="17">
        <f t="shared" si="55"/>
        <v>12</v>
      </c>
      <c r="HT6" s="17">
        <f t="shared" si="56"/>
        <v>65.699999999999989</v>
      </c>
      <c r="HU6" s="17">
        <f t="shared" si="57"/>
        <v>65.699999999999989</v>
      </c>
      <c r="HV6" s="17" t="str">
        <f t="shared" si="58"/>
        <v/>
      </c>
      <c r="HW6" s="17" t="str">
        <f t="shared" si="59"/>
        <v/>
      </c>
      <c r="HX6" s="17">
        <f t="shared" si="60"/>
        <v>65.699999999999989</v>
      </c>
      <c r="HY6" s="69"/>
      <c r="HZ6" s="69"/>
      <c r="IA6" s="69"/>
      <c r="IB6" s="69"/>
      <c r="IC6" s="69"/>
      <c r="ID6" s="69"/>
      <c r="IE6" s="69"/>
      <c r="IF6" s="69"/>
      <c r="IG6" s="69"/>
      <c r="IH6" s="69"/>
      <c r="II6" s="69"/>
      <c r="IJ6" s="69"/>
      <c r="IK6" s="69"/>
      <c r="IL6" s="69"/>
      <c r="IM6" s="69"/>
      <c r="IN6" s="69"/>
      <c r="IO6" s="69">
        <v>31.6</v>
      </c>
      <c r="IP6" s="69"/>
      <c r="IQ6" s="69"/>
      <c r="IR6" s="69"/>
      <c r="IS6" s="69"/>
      <c r="IT6" s="69"/>
      <c r="IU6" s="69"/>
      <c r="IV6" s="69"/>
      <c r="IW6" s="13" t="str">
        <f t="shared" si="61"/>
        <v/>
      </c>
      <c r="IX6" s="13" t="str">
        <f t="shared" si="62"/>
        <v/>
      </c>
      <c r="IY6" s="13" t="str">
        <f t="shared" si="63"/>
        <v/>
      </c>
      <c r="IZ6" s="13" t="str">
        <f t="shared" si="64"/>
        <v/>
      </c>
      <c r="JA6" s="13">
        <f t="shared" si="65"/>
        <v>31.6</v>
      </c>
      <c r="JB6" s="13">
        <f t="shared" si="66"/>
        <v>31.6</v>
      </c>
      <c r="JC6" s="68"/>
      <c r="JD6" s="68"/>
      <c r="JE6" s="68"/>
      <c r="JF6" s="68"/>
      <c r="JG6" s="68"/>
      <c r="JH6" s="68"/>
      <c r="JI6" s="68"/>
      <c r="JJ6" s="68"/>
      <c r="JK6" s="68"/>
      <c r="JL6" s="68"/>
      <c r="JM6" s="68"/>
      <c r="JN6" s="68"/>
      <c r="JO6" s="68"/>
      <c r="JP6" s="68"/>
      <c r="JQ6" s="68"/>
      <c r="JR6" s="68"/>
      <c r="JS6" s="68"/>
      <c r="JT6" s="68"/>
      <c r="JU6" s="68"/>
      <c r="JV6" s="68"/>
      <c r="JW6" s="68"/>
      <c r="JX6" s="68"/>
      <c r="JY6" s="68"/>
      <c r="JZ6" s="68"/>
      <c r="KA6" s="17" t="str">
        <f t="shared" si="67"/>
        <v/>
      </c>
      <c r="KB6" s="17" t="str">
        <f t="shared" si="68"/>
        <v/>
      </c>
      <c r="KC6" s="17" t="str">
        <f t="shared" si="69"/>
        <v/>
      </c>
      <c r="KD6" s="17" t="str">
        <f t="shared" si="70"/>
        <v/>
      </c>
      <c r="KE6" s="17" t="str">
        <f t="shared" si="71"/>
        <v/>
      </c>
      <c r="KF6" s="17" t="str">
        <f t="shared" si="72"/>
        <v/>
      </c>
      <c r="KG6" s="69"/>
      <c r="KH6" s="69"/>
      <c r="KI6" s="69"/>
      <c r="KJ6" s="69"/>
      <c r="KK6" s="69"/>
      <c r="KL6" s="69"/>
      <c r="KM6" s="69"/>
      <c r="KN6" s="69"/>
      <c r="KO6" s="69"/>
      <c r="KP6" s="69"/>
      <c r="KQ6" s="69"/>
      <c r="KR6" s="69"/>
      <c r="KS6" s="69"/>
      <c r="KT6" s="69"/>
      <c r="KU6" s="69"/>
      <c r="KV6" s="69"/>
      <c r="KW6" s="69"/>
      <c r="KX6" s="69"/>
      <c r="KY6" s="69"/>
      <c r="KZ6" s="69"/>
      <c r="LA6" s="69"/>
      <c r="LB6" s="69"/>
      <c r="LC6" s="69"/>
      <c r="LD6" s="69"/>
      <c r="LE6" s="13" t="str">
        <f t="shared" si="73"/>
        <v/>
      </c>
      <c r="LF6" s="13" t="str">
        <f t="shared" si="74"/>
        <v/>
      </c>
      <c r="LG6" s="13" t="str">
        <f t="shared" si="75"/>
        <v/>
      </c>
      <c r="LH6" s="13" t="str">
        <f t="shared" si="76"/>
        <v/>
      </c>
      <c r="LI6" s="13" t="str">
        <f t="shared" si="77"/>
        <v/>
      </c>
      <c r="LJ6" s="13" t="str">
        <f t="shared" si="78"/>
        <v/>
      </c>
      <c r="LK6" s="68"/>
      <c r="LL6" s="68"/>
      <c r="LM6" s="68"/>
      <c r="LN6" s="68"/>
      <c r="LO6" s="68"/>
      <c r="LP6" s="68"/>
      <c r="LQ6" s="68"/>
      <c r="LR6" s="68"/>
      <c r="LS6" s="68"/>
      <c r="LT6" s="68"/>
      <c r="LU6" s="68"/>
      <c r="LV6" s="68"/>
      <c r="LW6" s="68"/>
      <c r="LX6" s="68"/>
      <c r="LY6" s="68"/>
      <c r="LZ6" s="68"/>
      <c r="MA6" s="68"/>
      <c r="MB6" s="68"/>
      <c r="MC6" s="68"/>
      <c r="MD6" s="68"/>
      <c r="ME6" s="68"/>
      <c r="MF6" s="68"/>
      <c r="MG6" s="68"/>
      <c r="MH6" s="68"/>
      <c r="MI6" s="17" t="str">
        <f t="shared" si="79"/>
        <v/>
      </c>
      <c r="MJ6" s="17" t="str">
        <f t="shared" si="80"/>
        <v/>
      </c>
      <c r="MK6" s="17" t="str">
        <f t="shared" si="81"/>
        <v/>
      </c>
      <c r="ML6" s="17" t="str">
        <f t="shared" si="82"/>
        <v/>
      </c>
      <c r="MM6" s="17" t="str">
        <f t="shared" si="83"/>
        <v/>
      </c>
      <c r="MN6" s="17" t="str">
        <f t="shared" si="84"/>
        <v/>
      </c>
      <c r="MO6" s="69"/>
      <c r="MP6" s="69"/>
      <c r="MQ6" s="69"/>
      <c r="MR6" s="69"/>
      <c r="MS6" s="69"/>
      <c r="MT6" s="69"/>
      <c r="MU6" s="69"/>
      <c r="MV6" s="69"/>
      <c r="MW6" s="69"/>
      <c r="MX6" s="69"/>
      <c r="MY6" s="69"/>
      <c r="MZ6" s="69"/>
      <c r="NA6" s="69"/>
      <c r="NB6" s="69"/>
      <c r="NC6" s="69"/>
      <c r="ND6" s="69"/>
      <c r="NE6" s="69"/>
      <c r="NF6" s="69"/>
      <c r="NG6" s="69"/>
      <c r="NH6" s="69"/>
      <c r="NI6" s="69"/>
      <c r="NJ6" s="69"/>
      <c r="NK6" s="69"/>
      <c r="NL6" s="69"/>
      <c r="NM6" s="13" t="str">
        <f t="shared" si="85"/>
        <v/>
      </c>
      <c r="NN6" s="13" t="str">
        <f t="shared" si="86"/>
        <v/>
      </c>
      <c r="NO6" s="13" t="str">
        <f t="shared" si="87"/>
        <v/>
      </c>
      <c r="NP6" s="13" t="str">
        <f t="shared" si="88"/>
        <v/>
      </c>
      <c r="NQ6" s="13" t="str">
        <f t="shared" si="89"/>
        <v/>
      </c>
      <c r="NR6" s="13" t="str">
        <f t="shared" si="90"/>
        <v/>
      </c>
      <c r="NS6" s="68"/>
      <c r="NT6" s="68"/>
      <c r="NU6" s="68"/>
      <c r="NV6" s="68"/>
      <c r="NW6" s="68"/>
      <c r="NX6" s="68"/>
      <c r="NY6" s="68"/>
      <c r="NZ6" s="68"/>
      <c r="OA6" s="68"/>
      <c r="OB6" s="68"/>
      <c r="OC6" s="68"/>
      <c r="OD6" s="68"/>
      <c r="OE6" s="68"/>
      <c r="OF6" s="68"/>
      <c r="OG6" s="68"/>
      <c r="OH6" s="68"/>
      <c r="OI6" s="68"/>
      <c r="OJ6" s="68"/>
      <c r="OK6" s="68"/>
      <c r="OL6" s="68"/>
      <c r="OM6" s="68"/>
      <c r="ON6" s="68"/>
      <c r="OO6" s="68"/>
      <c r="OP6" s="68"/>
      <c r="OQ6" s="17" t="str">
        <f t="shared" si="91"/>
        <v/>
      </c>
      <c r="OR6" s="17" t="str">
        <f t="shared" si="92"/>
        <v/>
      </c>
      <c r="OS6" s="17" t="str">
        <f t="shared" si="93"/>
        <v/>
      </c>
      <c r="OT6" s="17" t="str">
        <f t="shared" si="94"/>
        <v/>
      </c>
      <c r="OU6" s="17" t="str">
        <f t="shared" si="95"/>
        <v/>
      </c>
      <c r="OV6" s="17" t="str">
        <f t="shared" si="96"/>
        <v/>
      </c>
      <c r="OW6" s="69"/>
      <c r="OX6" s="69"/>
      <c r="OY6" s="69"/>
      <c r="OZ6" s="69"/>
      <c r="PA6" s="69"/>
      <c r="PB6" s="69"/>
      <c r="PC6" s="69"/>
      <c r="PD6" s="69"/>
      <c r="PE6" s="69"/>
      <c r="PF6" s="69"/>
      <c r="PG6" s="69"/>
      <c r="PH6" s="69"/>
      <c r="PI6" s="69"/>
      <c r="PJ6" s="69"/>
      <c r="PK6" s="69"/>
      <c r="PL6" s="69"/>
      <c r="PM6" s="69"/>
      <c r="PN6" s="69"/>
      <c r="PO6" s="69"/>
      <c r="PP6" s="69"/>
      <c r="PQ6" s="69"/>
      <c r="PR6" s="69"/>
      <c r="PS6" s="69"/>
      <c r="PT6" s="69"/>
      <c r="PU6" s="13" t="str">
        <f t="shared" si="97"/>
        <v/>
      </c>
      <c r="PV6" s="13" t="str">
        <f t="shared" si="98"/>
        <v/>
      </c>
      <c r="PW6" s="13" t="str">
        <f t="shared" si="99"/>
        <v/>
      </c>
      <c r="PX6" s="13" t="str">
        <f t="shared" si="100"/>
        <v/>
      </c>
      <c r="PY6" s="13" t="str">
        <f t="shared" si="101"/>
        <v/>
      </c>
      <c r="PZ6" s="13" t="str">
        <f t="shared" si="102"/>
        <v/>
      </c>
      <c r="QA6" s="68"/>
      <c r="QB6" s="68"/>
      <c r="QC6" s="68"/>
      <c r="QD6" s="68"/>
      <c r="QE6" s="68"/>
      <c r="QF6" s="68"/>
      <c r="QG6" s="68"/>
      <c r="QH6" s="68"/>
      <c r="QI6" s="68"/>
      <c r="QJ6" s="68"/>
      <c r="QK6" s="68"/>
      <c r="QL6" s="68"/>
      <c r="QM6" s="68"/>
      <c r="QN6" s="68"/>
      <c r="QO6" s="68"/>
      <c r="QP6" s="68"/>
      <c r="QQ6" s="68"/>
      <c r="QR6" s="68"/>
      <c r="QS6" s="68"/>
      <c r="QT6" s="68"/>
      <c r="QU6" s="68"/>
      <c r="QV6" s="68"/>
      <c r="QW6" s="68"/>
      <c r="QX6" s="68"/>
      <c r="QY6" s="17" t="str">
        <f t="shared" si="103"/>
        <v/>
      </c>
      <c r="QZ6" s="17" t="str">
        <f t="shared" si="104"/>
        <v/>
      </c>
      <c r="RA6" s="17" t="str">
        <f t="shared" si="105"/>
        <v/>
      </c>
      <c r="RB6" s="17" t="str">
        <f t="shared" si="106"/>
        <v/>
      </c>
      <c r="RC6" s="17" t="str">
        <f t="shared" si="107"/>
        <v/>
      </c>
      <c r="RD6" s="17" t="str">
        <f t="shared" si="108"/>
        <v/>
      </c>
    </row>
    <row r="7" spans="1:472" x14ac:dyDescent="0.2">
      <c r="A7" s="6" t="str">
        <f t="shared" ca="1" si="0"/>
        <v/>
      </c>
      <c r="B7" s="9" t="s">
        <v>120</v>
      </c>
      <c r="C7" s="5" t="s">
        <v>119</v>
      </c>
      <c r="D7" s="46">
        <v>2017</v>
      </c>
      <c r="E7" s="18">
        <f t="shared" si="1"/>
        <v>259.3</v>
      </c>
      <c r="F7" s="4" t="str">
        <f t="shared" si="2"/>
        <v>P</v>
      </c>
      <c r="G7" s="4" t="str">
        <f t="shared" ca="1" si="3"/>
        <v/>
      </c>
      <c r="H7" t="str">
        <f t="shared" ca="1" si="4"/>
        <v/>
      </c>
      <c r="I7" s="17">
        <f t="shared" si="5"/>
        <v>126.7</v>
      </c>
      <c r="J7" s="17" t="str">
        <f t="shared" si="6"/>
        <v>2017 3rd Domestic Trial</v>
      </c>
      <c r="K7" s="17">
        <f t="shared" si="7"/>
        <v>0</v>
      </c>
      <c r="L7" s="17" t="str">
        <f t="shared" si="8"/>
        <v/>
      </c>
      <c r="M7" s="17">
        <f t="shared" si="9"/>
        <v>0</v>
      </c>
      <c r="N7" s="17" t="str">
        <f t="shared" si="10"/>
        <v/>
      </c>
      <c r="O7" s="17">
        <f t="shared" si="11"/>
        <v>66.7</v>
      </c>
      <c r="P7" s="17" t="str">
        <f t="shared" si="12"/>
        <v>2017 3rd Domestic Trial</v>
      </c>
      <c r="Q7" s="17">
        <f t="shared" si="13"/>
        <v>65.900000000000006</v>
      </c>
      <c r="R7" s="44" t="str">
        <f t="shared" si="14"/>
        <v>(Pass 1-2)</v>
      </c>
      <c r="S7" s="17" t="str">
        <f t="shared" si="15"/>
        <v>2017 World Age Group Championships (Nov)</v>
      </c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13" t="str">
        <f t="shared" si="16"/>
        <v/>
      </c>
      <c r="AS7" s="13" t="str">
        <f t="shared" si="17"/>
        <v/>
      </c>
      <c r="AT7" s="13" t="str">
        <f t="shared" si="18"/>
        <v/>
      </c>
      <c r="AU7" s="13" t="str">
        <f t="shared" si="19"/>
        <v/>
      </c>
      <c r="AV7" s="13" t="str">
        <f t="shared" si="20"/>
        <v/>
      </c>
      <c r="AW7" s="13" t="str">
        <f t="shared" si="21"/>
        <v/>
      </c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17" t="str">
        <f t="shared" si="22"/>
        <v/>
      </c>
      <c r="BW7" s="17" t="str">
        <f t="shared" si="23"/>
        <v/>
      </c>
      <c r="BX7" s="17" t="str">
        <f t="shared" si="24"/>
        <v/>
      </c>
      <c r="BY7" s="17" t="str">
        <f t="shared" si="25"/>
        <v/>
      </c>
      <c r="BZ7" s="17" t="str">
        <f t="shared" si="26"/>
        <v/>
      </c>
      <c r="CA7" s="17" t="str">
        <f t="shared" si="27"/>
        <v/>
      </c>
      <c r="CB7" s="70">
        <v>28.2</v>
      </c>
      <c r="CC7" s="70">
        <v>5.6</v>
      </c>
      <c r="CD7" s="70">
        <v>0</v>
      </c>
      <c r="CE7" s="70">
        <v>0</v>
      </c>
      <c r="CF7" s="70">
        <v>26.7</v>
      </c>
      <c r="CG7" s="70">
        <v>6</v>
      </c>
      <c r="CH7" s="70">
        <v>0.3</v>
      </c>
      <c r="CI7" s="70">
        <v>0</v>
      </c>
      <c r="CJ7" s="70">
        <v>27.2</v>
      </c>
      <c r="CK7" s="70">
        <v>5.2</v>
      </c>
      <c r="CL7" s="70">
        <v>0</v>
      </c>
      <c r="CM7" s="70">
        <v>0</v>
      </c>
      <c r="CN7" s="70">
        <v>24.4</v>
      </c>
      <c r="CO7" s="70">
        <v>5.2</v>
      </c>
      <c r="CP7" s="70">
        <v>1.5</v>
      </c>
      <c r="CQ7" s="70">
        <v>0</v>
      </c>
      <c r="CR7" s="76">
        <v>28.5</v>
      </c>
      <c r="CS7" s="76">
        <v>5.6</v>
      </c>
      <c r="CT7" s="76">
        <v>0</v>
      </c>
      <c r="CU7" s="76">
        <v>0</v>
      </c>
      <c r="CV7" s="76">
        <v>27.4</v>
      </c>
      <c r="CW7" s="76">
        <v>5.2</v>
      </c>
      <c r="CX7" s="76">
        <v>0</v>
      </c>
      <c r="CY7" s="76">
        <v>0</v>
      </c>
      <c r="CZ7" s="13">
        <f t="shared" si="28"/>
        <v>22</v>
      </c>
      <c r="DA7" s="13">
        <f t="shared" si="29"/>
        <v>126.7</v>
      </c>
      <c r="DB7" s="13">
        <f t="shared" si="30"/>
        <v>66.2</v>
      </c>
      <c r="DC7" s="13">
        <f t="shared" si="31"/>
        <v>60.5</v>
      </c>
      <c r="DD7" s="13">
        <f t="shared" si="32"/>
        <v>66.7</v>
      </c>
      <c r="DE7" s="13">
        <f t="shared" si="33"/>
        <v>193.4</v>
      </c>
      <c r="DF7" s="43">
        <f t="shared" si="34"/>
        <v>65.900000000000006</v>
      </c>
      <c r="DG7" s="43" t="str">
        <f t="shared" si="35"/>
        <v/>
      </c>
      <c r="DH7" s="43" t="str">
        <f t="shared" si="36"/>
        <v/>
      </c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60"/>
      <c r="ED7" s="60"/>
      <c r="EE7" s="60"/>
      <c r="EF7" s="60"/>
      <c r="EG7" s="13" t="str">
        <f t="shared" si="37"/>
        <v/>
      </c>
      <c r="EH7" s="13" t="str">
        <f t="shared" si="38"/>
        <v/>
      </c>
      <c r="EI7" s="13" t="str">
        <f t="shared" si="39"/>
        <v/>
      </c>
      <c r="EJ7" s="13" t="str">
        <f t="shared" si="40"/>
        <v/>
      </c>
      <c r="EK7" s="13" t="str">
        <f t="shared" si="41"/>
        <v/>
      </c>
      <c r="EL7" s="13" t="str">
        <f t="shared" si="42"/>
        <v/>
      </c>
      <c r="EM7" s="68"/>
      <c r="EN7" s="68"/>
      <c r="EO7" s="68"/>
      <c r="EP7" s="68"/>
      <c r="EQ7" s="68"/>
      <c r="ER7" s="68"/>
      <c r="ES7" s="68"/>
      <c r="ET7" s="68"/>
      <c r="EU7" s="68"/>
      <c r="EV7" s="68"/>
      <c r="EW7" s="68"/>
      <c r="EX7" s="68"/>
      <c r="EY7" s="68"/>
      <c r="EZ7" s="68"/>
      <c r="FA7" s="68"/>
      <c r="FB7" s="68"/>
      <c r="FC7" s="68"/>
      <c r="FD7" s="68"/>
      <c r="FE7" s="68"/>
      <c r="FF7" s="68"/>
      <c r="FG7" s="68"/>
      <c r="FH7" s="68"/>
      <c r="FI7" s="68"/>
      <c r="FJ7" s="68"/>
      <c r="FK7" s="17" t="str">
        <f t="shared" si="43"/>
        <v/>
      </c>
      <c r="FL7" s="17" t="str">
        <f t="shared" si="44"/>
        <v/>
      </c>
      <c r="FM7" s="17" t="str">
        <f t="shared" si="45"/>
        <v/>
      </c>
      <c r="FN7" s="17" t="str">
        <f t="shared" si="46"/>
        <v/>
      </c>
      <c r="FO7" s="17" t="str">
        <f t="shared" si="47"/>
        <v/>
      </c>
      <c r="FP7" s="17" t="str">
        <f t="shared" si="48"/>
        <v/>
      </c>
      <c r="FQ7" s="69"/>
      <c r="FR7" s="69"/>
      <c r="FS7" s="69"/>
      <c r="FT7" s="69"/>
      <c r="FU7" s="69"/>
      <c r="FV7" s="69"/>
      <c r="FW7" s="69"/>
      <c r="FX7" s="69"/>
      <c r="FY7" s="69"/>
      <c r="FZ7" s="69"/>
      <c r="GA7" s="69"/>
      <c r="GB7" s="69"/>
      <c r="GC7" s="69"/>
      <c r="GD7" s="69"/>
      <c r="GE7" s="69"/>
      <c r="GF7" s="69"/>
      <c r="GG7" s="69"/>
      <c r="GH7" s="69"/>
      <c r="GI7" s="69"/>
      <c r="GJ7" s="69"/>
      <c r="GK7" s="69"/>
      <c r="GL7" s="69"/>
      <c r="GM7" s="69"/>
      <c r="GN7" s="69"/>
      <c r="GO7" s="13" t="str">
        <f t="shared" si="49"/>
        <v/>
      </c>
      <c r="GP7" s="13" t="str">
        <f t="shared" si="50"/>
        <v/>
      </c>
      <c r="GQ7" s="13" t="str">
        <f t="shared" si="51"/>
        <v/>
      </c>
      <c r="GR7" s="13" t="str">
        <f t="shared" si="52"/>
        <v/>
      </c>
      <c r="GS7" s="13" t="str">
        <f t="shared" si="53"/>
        <v/>
      </c>
      <c r="GT7" s="13" t="str">
        <f t="shared" si="54"/>
        <v/>
      </c>
      <c r="GU7" s="68"/>
      <c r="GV7" s="68"/>
      <c r="GW7" s="68"/>
      <c r="GX7" s="68"/>
      <c r="GY7" s="68"/>
      <c r="GZ7" s="68"/>
      <c r="HA7" s="68"/>
      <c r="HB7" s="68"/>
      <c r="HC7" s="68"/>
      <c r="HD7" s="68"/>
      <c r="HE7" s="68"/>
      <c r="HF7" s="68"/>
      <c r="HG7" s="68"/>
      <c r="HH7" s="68"/>
      <c r="HI7" s="68"/>
      <c r="HJ7" s="68"/>
      <c r="HK7" s="68"/>
      <c r="HL7" s="68"/>
      <c r="HM7" s="68"/>
      <c r="HN7" s="68"/>
      <c r="HO7" s="68"/>
      <c r="HP7" s="68"/>
      <c r="HQ7" s="68"/>
      <c r="HR7" s="68"/>
      <c r="HS7" s="17" t="str">
        <f t="shared" si="55"/>
        <v/>
      </c>
      <c r="HT7" s="17" t="str">
        <f t="shared" si="56"/>
        <v/>
      </c>
      <c r="HU7" s="17" t="str">
        <f t="shared" si="57"/>
        <v/>
      </c>
      <c r="HV7" s="17" t="str">
        <f t="shared" si="58"/>
        <v/>
      </c>
      <c r="HW7" s="17" t="str">
        <f t="shared" si="59"/>
        <v/>
      </c>
      <c r="HX7" s="17" t="str">
        <f t="shared" si="60"/>
        <v/>
      </c>
      <c r="HY7" s="69"/>
      <c r="HZ7" s="69"/>
      <c r="IA7" s="69"/>
      <c r="IB7" s="69"/>
      <c r="IC7" s="69"/>
      <c r="ID7" s="69"/>
      <c r="IE7" s="69"/>
      <c r="IF7" s="69"/>
      <c r="IG7" s="69"/>
      <c r="IH7" s="69"/>
      <c r="II7" s="69"/>
      <c r="IJ7" s="69"/>
      <c r="IK7" s="69"/>
      <c r="IL7" s="69"/>
      <c r="IM7" s="69"/>
      <c r="IN7" s="69"/>
      <c r="IO7" s="69"/>
      <c r="IP7" s="69"/>
      <c r="IQ7" s="69"/>
      <c r="IR7" s="69"/>
      <c r="IS7" s="69"/>
      <c r="IT7" s="69"/>
      <c r="IU7" s="69"/>
      <c r="IV7" s="69"/>
      <c r="IW7" s="13" t="str">
        <f t="shared" si="61"/>
        <v/>
      </c>
      <c r="IX7" s="13" t="str">
        <f t="shared" si="62"/>
        <v/>
      </c>
      <c r="IY7" s="13" t="str">
        <f t="shared" si="63"/>
        <v/>
      </c>
      <c r="IZ7" s="13" t="str">
        <f t="shared" si="64"/>
        <v/>
      </c>
      <c r="JA7" s="13" t="str">
        <f t="shared" si="65"/>
        <v/>
      </c>
      <c r="JB7" s="13" t="str">
        <f t="shared" si="66"/>
        <v/>
      </c>
      <c r="JC7" s="68">
        <v>27.9</v>
      </c>
      <c r="JD7" s="68">
        <v>4.8</v>
      </c>
      <c r="JE7" s="68">
        <v>0.8</v>
      </c>
      <c r="JF7" s="68">
        <v>0</v>
      </c>
      <c r="JG7" s="68">
        <v>28.3</v>
      </c>
      <c r="JH7" s="68">
        <v>6</v>
      </c>
      <c r="JI7" s="68">
        <v>0.3</v>
      </c>
      <c r="JJ7" s="68">
        <v>0</v>
      </c>
      <c r="JK7" s="68"/>
      <c r="JL7" s="68"/>
      <c r="JM7" s="68"/>
      <c r="JN7" s="68"/>
      <c r="JO7" s="68"/>
      <c r="JP7" s="68"/>
      <c r="JQ7" s="68"/>
      <c r="JR7" s="68"/>
      <c r="JS7" s="68">
        <v>28.1</v>
      </c>
      <c r="JT7" s="68">
        <v>5.2</v>
      </c>
      <c r="JU7" s="68">
        <v>0.3</v>
      </c>
      <c r="JV7" s="68">
        <v>0</v>
      </c>
      <c r="JW7" s="68">
        <v>19.8</v>
      </c>
      <c r="JX7" s="68">
        <v>2.8</v>
      </c>
      <c r="JY7" s="68">
        <v>0</v>
      </c>
      <c r="JZ7" s="68">
        <v>0</v>
      </c>
      <c r="KA7" s="17">
        <f t="shared" si="67"/>
        <v>10.8</v>
      </c>
      <c r="KB7" s="17">
        <f t="shared" si="68"/>
        <v>65.900000000000006</v>
      </c>
      <c r="KC7" s="17">
        <f t="shared" si="69"/>
        <v>65.900000000000006</v>
      </c>
      <c r="KD7" s="17" t="str">
        <f t="shared" si="70"/>
        <v/>
      </c>
      <c r="KE7" s="17">
        <f t="shared" si="71"/>
        <v>55.600000000000009</v>
      </c>
      <c r="KF7" s="17">
        <f t="shared" si="72"/>
        <v>121.50000000000001</v>
      </c>
      <c r="KG7" s="69"/>
      <c r="KH7" s="69"/>
      <c r="KI7" s="69"/>
      <c r="KJ7" s="69"/>
      <c r="KK7" s="69"/>
      <c r="KL7" s="69"/>
      <c r="KM7" s="69"/>
      <c r="KN7" s="69"/>
      <c r="KO7" s="69"/>
      <c r="KP7" s="69"/>
      <c r="KQ7" s="69"/>
      <c r="KR7" s="69"/>
      <c r="KS7" s="69"/>
      <c r="KT7" s="69"/>
      <c r="KU7" s="69"/>
      <c r="KV7" s="69"/>
      <c r="KW7" s="69"/>
      <c r="KX7" s="69"/>
      <c r="KY7" s="69"/>
      <c r="KZ7" s="69"/>
      <c r="LA7" s="69"/>
      <c r="LB7" s="69"/>
      <c r="LC7" s="69"/>
      <c r="LD7" s="69"/>
      <c r="LE7" s="13" t="str">
        <f t="shared" si="73"/>
        <v/>
      </c>
      <c r="LF7" s="13" t="str">
        <f t="shared" si="74"/>
        <v/>
      </c>
      <c r="LG7" s="13" t="str">
        <f t="shared" si="75"/>
        <v/>
      </c>
      <c r="LH7" s="13" t="str">
        <f t="shared" si="76"/>
        <v/>
      </c>
      <c r="LI7" s="13" t="str">
        <f t="shared" si="77"/>
        <v/>
      </c>
      <c r="LJ7" s="13" t="str">
        <f t="shared" si="78"/>
        <v/>
      </c>
      <c r="LK7" s="68"/>
      <c r="LL7" s="68"/>
      <c r="LM7" s="68"/>
      <c r="LN7" s="68"/>
      <c r="LO7" s="68"/>
      <c r="LP7" s="68"/>
      <c r="LQ7" s="68"/>
      <c r="LR7" s="68"/>
      <c r="LS7" s="68"/>
      <c r="LT7" s="68"/>
      <c r="LU7" s="68"/>
      <c r="LV7" s="68"/>
      <c r="LW7" s="68"/>
      <c r="LX7" s="68"/>
      <c r="LY7" s="68"/>
      <c r="LZ7" s="68"/>
      <c r="MA7" s="68"/>
      <c r="MB7" s="68"/>
      <c r="MC7" s="68"/>
      <c r="MD7" s="68"/>
      <c r="ME7" s="68"/>
      <c r="MF7" s="68"/>
      <c r="MG7" s="68"/>
      <c r="MH7" s="68"/>
      <c r="MI7" s="17" t="str">
        <f t="shared" si="79"/>
        <v/>
      </c>
      <c r="MJ7" s="17" t="str">
        <f t="shared" si="80"/>
        <v/>
      </c>
      <c r="MK7" s="17" t="str">
        <f t="shared" si="81"/>
        <v/>
      </c>
      <c r="ML7" s="17" t="str">
        <f t="shared" si="82"/>
        <v/>
      </c>
      <c r="MM7" s="17" t="str">
        <f t="shared" si="83"/>
        <v/>
      </c>
      <c r="MN7" s="17" t="str">
        <f t="shared" si="84"/>
        <v/>
      </c>
      <c r="MO7" s="69"/>
      <c r="MP7" s="69"/>
      <c r="MQ7" s="69"/>
      <c r="MR7" s="69"/>
      <c r="MS7" s="69"/>
      <c r="MT7" s="69"/>
      <c r="MU7" s="69"/>
      <c r="MV7" s="69"/>
      <c r="MW7" s="69"/>
      <c r="MX7" s="69"/>
      <c r="MY7" s="69"/>
      <c r="MZ7" s="69"/>
      <c r="NA7" s="69"/>
      <c r="NB7" s="69"/>
      <c r="NC7" s="69"/>
      <c r="ND7" s="69"/>
      <c r="NE7" s="69"/>
      <c r="NF7" s="69"/>
      <c r="NG7" s="69"/>
      <c r="NH7" s="69"/>
      <c r="NI7" s="69"/>
      <c r="NJ7" s="69"/>
      <c r="NK7" s="69"/>
      <c r="NL7" s="69"/>
      <c r="NM7" s="13" t="str">
        <f t="shared" si="85"/>
        <v/>
      </c>
      <c r="NN7" s="13" t="str">
        <f t="shared" si="86"/>
        <v/>
      </c>
      <c r="NO7" s="13" t="str">
        <f t="shared" si="87"/>
        <v/>
      </c>
      <c r="NP7" s="13" t="str">
        <f t="shared" si="88"/>
        <v/>
      </c>
      <c r="NQ7" s="13" t="str">
        <f t="shared" si="89"/>
        <v/>
      </c>
      <c r="NR7" s="13" t="str">
        <f t="shared" si="90"/>
        <v/>
      </c>
      <c r="NS7" s="68"/>
      <c r="NT7" s="68"/>
      <c r="NU7" s="68"/>
      <c r="NV7" s="68"/>
      <c r="NW7" s="68"/>
      <c r="NX7" s="68"/>
      <c r="NY7" s="68"/>
      <c r="NZ7" s="68"/>
      <c r="OA7" s="68"/>
      <c r="OB7" s="68"/>
      <c r="OC7" s="68"/>
      <c r="OD7" s="68"/>
      <c r="OE7" s="68"/>
      <c r="OF7" s="68"/>
      <c r="OG7" s="68"/>
      <c r="OH7" s="68"/>
      <c r="OI7" s="68"/>
      <c r="OJ7" s="68"/>
      <c r="OK7" s="68"/>
      <c r="OL7" s="68"/>
      <c r="OM7" s="68"/>
      <c r="ON7" s="68"/>
      <c r="OO7" s="68"/>
      <c r="OP7" s="68"/>
      <c r="OQ7" s="17" t="str">
        <f t="shared" si="91"/>
        <v/>
      </c>
      <c r="OR7" s="17" t="str">
        <f t="shared" si="92"/>
        <v/>
      </c>
      <c r="OS7" s="17" t="str">
        <f t="shared" si="93"/>
        <v/>
      </c>
      <c r="OT7" s="17" t="str">
        <f t="shared" si="94"/>
        <v/>
      </c>
      <c r="OU7" s="17" t="str">
        <f t="shared" si="95"/>
        <v/>
      </c>
      <c r="OV7" s="17" t="str">
        <f t="shared" si="96"/>
        <v/>
      </c>
      <c r="OW7" s="69"/>
      <c r="OX7" s="69"/>
      <c r="OY7" s="69"/>
      <c r="OZ7" s="69"/>
      <c r="PA7" s="69"/>
      <c r="PB7" s="69"/>
      <c r="PC7" s="69"/>
      <c r="PD7" s="69"/>
      <c r="PE7" s="69"/>
      <c r="PF7" s="69"/>
      <c r="PG7" s="69"/>
      <c r="PH7" s="69"/>
      <c r="PI7" s="69"/>
      <c r="PJ7" s="69"/>
      <c r="PK7" s="69"/>
      <c r="PL7" s="69"/>
      <c r="PM7" s="69"/>
      <c r="PN7" s="69"/>
      <c r="PO7" s="69"/>
      <c r="PP7" s="69"/>
      <c r="PQ7" s="69"/>
      <c r="PR7" s="69"/>
      <c r="PS7" s="69"/>
      <c r="PT7" s="69"/>
      <c r="PU7" s="13" t="str">
        <f t="shared" si="97"/>
        <v/>
      </c>
      <c r="PV7" s="13" t="str">
        <f t="shared" si="98"/>
        <v/>
      </c>
      <c r="PW7" s="13" t="str">
        <f t="shared" si="99"/>
        <v/>
      </c>
      <c r="PX7" s="13" t="str">
        <f t="shared" si="100"/>
        <v/>
      </c>
      <c r="PY7" s="13" t="str">
        <f t="shared" si="101"/>
        <v/>
      </c>
      <c r="PZ7" s="13" t="str">
        <f t="shared" si="102"/>
        <v/>
      </c>
      <c r="QA7" s="68"/>
      <c r="QB7" s="68"/>
      <c r="QC7" s="68"/>
      <c r="QD7" s="68"/>
      <c r="QE7" s="68"/>
      <c r="QF7" s="68"/>
      <c r="QG7" s="68"/>
      <c r="QH7" s="68"/>
      <c r="QI7" s="68"/>
      <c r="QJ7" s="68"/>
      <c r="QK7" s="68"/>
      <c r="QL7" s="68"/>
      <c r="QM7" s="68"/>
      <c r="QN7" s="68"/>
      <c r="QO7" s="68"/>
      <c r="QP7" s="68"/>
      <c r="QQ7" s="68"/>
      <c r="QR7" s="68"/>
      <c r="QS7" s="68"/>
      <c r="QT7" s="68"/>
      <c r="QU7" s="68"/>
      <c r="QV7" s="68"/>
      <c r="QW7" s="68"/>
      <c r="QX7" s="68"/>
      <c r="QY7" s="17" t="str">
        <f t="shared" si="103"/>
        <v/>
      </c>
      <c r="QZ7" s="17" t="str">
        <f t="shared" si="104"/>
        <v/>
      </c>
      <c r="RA7" s="17" t="str">
        <f t="shared" si="105"/>
        <v/>
      </c>
      <c r="RB7" s="17" t="str">
        <f t="shared" si="106"/>
        <v/>
      </c>
      <c r="RC7" s="17" t="str">
        <f t="shared" si="107"/>
        <v/>
      </c>
      <c r="RD7" s="17" t="str">
        <f t="shared" si="108"/>
        <v/>
      </c>
    </row>
    <row r="8" spans="1:472" x14ac:dyDescent="0.2">
      <c r="A8" s="6">
        <f t="shared" ca="1" si="0"/>
        <v>4</v>
      </c>
      <c r="B8" s="7" t="s">
        <v>118</v>
      </c>
      <c r="C8" s="8" t="s">
        <v>119</v>
      </c>
      <c r="D8" s="46">
        <v>2017</v>
      </c>
      <c r="E8" s="18">
        <f t="shared" si="1"/>
        <v>253</v>
      </c>
      <c r="F8" s="4" t="str">
        <f t="shared" si="2"/>
        <v>P</v>
      </c>
      <c r="G8" s="4" t="str">
        <f t="shared" ca="1" si="3"/>
        <v>P</v>
      </c>
      <c r="H8" t="str">
        <f t="shared" ca="1" si="4"/>
        <v>Team</v>
      </c>
      <c r="I8" s="17">
        <f t="shared" si="5"/>
        <v>132.5</v>
      </c>
      <c r="J8" s="17" t="str">
        <f t="shared" si="6"/>
        <v>2017 3rd Domestic Trial</v>
      </c>
      <c r="K8" s="17">
        <f t="shared" si="7"/>
        <v>0</v>
      </c>
      <c r="L8" s="17" t="str">
        <f t="shared" si="8"/>
        <v/>
      </c>
      <c r="M8" s="17">
        <f t="shared" si="9"/>
        <v>0</v>
      </c>
      <c r="N8" s="17" t="str">
        <f t="shared" si="10"/>
        <v/>
      </c>
      <c r="O8" s="17">
        <f t="shared" si="11"/>
        <v>55.2</v>
      </c>
      <c r="P8" s="17" t="str">
        <f t="shared" si="12"/>
        <v>2017 3rd Domestic Trial</v>
      </c>
      <c r="Q8" s="17">
        <f t="shared" si="13"/>
        <v>65.3</v>
      </c>
      <c r="R8" s="44" t="str">
        <f t="shared" si="14"/>
        <v>(Pass 1-2)</v>
      </c>
      <c r="S8" s="17" t="str">
        <f t="shared" si="15"/>
        <v>Ciudad de Valladolid (Oct)</v>
      </c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13" t="str">
        <f t="shared" si="16"/>
        <v/>
      </c>
      <c r="AS8" s="13" t="str">
        <f t="shared" si="17"/>
        <v/>
      </c>
      <c r="AT8" s="13" t="str">
        <f t="shared" si="18"/>
        <v/>
      </c>
      <c r="AU8" s="13" t="str">
        <f t="shared" si="19"/>
        <v/>
      </c>
      <c r="AV8" s="13" t="str">
        <f t="shared" si="20"/>
        <v/>
      </c>
      <c r="AW8" s="13" t="str">
        <f t="shared" si="21"/>
        <v/>
      </c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17" t="str">
        <f t="shared" si="22"/>
        <v/>
      </c>
      <c r="BW8" s="17" t="str">
        <f t="shared" si="23"/>
        <v/>
      </c>
      <c r="BX8" s="17" t="str">
        <f t="shared" si="24"/>
        <v/>
      </c>
      <c r="BY8" s="17" t="str">
        <f t="shared" si="25"/>
        <v/>
      </c>
      <c r="BZ8" s="17" t="str">
        <f t="shared" si="26"/>
        <v/>
      </c>
      <c r="CA8" s="17" t="str">
        <f t="shared" si="27"/>
        <v/>
      </c>
      <c r="CB8" s="60">
        <v>28</v>
      </c>
      <c r="CC8" s="60">
        <v>5.6</v>
      </c>
      <c r="CD8" s="60">
        <v>0.3</v>
      </c>
      <c r="CE8" s="60">
        <v>0</v>
      </c>
      <c r="CF8" s="60">
        <v>27.6</v>
      </c>
      <c r="CG8" s="60">
        <v>6</v>
      </c>
      <c r="CH8" s="60">
        <v>0</v>
      </c>
      <c r="CI8" s="60">
        <v>0.3</v>
      </c>
      <c r="CJ8" s="60">
        <v>27.8</v>
      </c>
      <c r="CK8" s="60">
        <v>5.2</v>
      </c>
      <c r="CL8" s="60">
        <v>0.3</v>
      </c>
      <c r="CM8" s="60">
        <v>0</v>
      </c>
      <c r="CN8" s="60">
        <v>27.4</v>
      </c>
      <c r="CO8" s="60">
        <v>5.2</v>
      </c>
      <c r="CP8" s="60">
        <v>0</v>
      </c>
      <c r="CQ8" s="60">
        <v>0</v>
      </c>
      <c r="CR8" s="60">
        <v>20.100000000000001</v>
      </c>
      <c r="CS8" s="60">
        <v>2.8</v>
      </c>
      <c r="CT8" s="60">
        <v>0</v>
      </c>
      <c r="CU8" s="60">
        <v>0</v>
      </c>
      <c r="CV8" s="60">
        <v>27.4</v>
      </c>
      <c r="CW8" s="60">
        <v>5.2</v>
      </c>
      <c r="CX8" s="60">
        <v>0.3</v>
      </c>
      <c r="CY8" s="60">
        <v>0</v>
      </c>
      <c r="CZ8" s="13">
        <f t="shared" si="28"/>
        <v>22</v>
      </c>
      <c r="DA8" s="13">
        <f t="shared" si="29"/>
        <v>132.5</v>
      </c>
      <c r="DB8" s="13">
        <f t="shared" si="30"/>
        <v>67.2</v>
      </c>
      <c r="DC8" s="13">
        <f t="shared" si="31"/>
        <v>65.3</v>
      </c>
      <c r="DD8" s="13">
        <f t="shared" si="32"/>
        <v>55.2</v>
      </c>
      <c r="DE8" s="13">
        <f t="shared" si="33"/>
        <v>187.7</v>
      </c>
      <c r="DF8" s="43">
        <f t="shared" si="34"/>
        <v>65.3</v>
      </c>
      <c r="DG8" s="43" t="str">
        <f t="shared" si="35"/>
        <v/>
      </c>
      <c r="DH8" s="43" t="str">
        <f t="shared" si="36"/>
        <v/>
      </c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13" t="str">
        <f t="shared" si="37"/>
        <v/>
      </c>
      <c r="EH8" s="13" t="str">
        <f t="shared" si="38"/>
        <v/>
      </c>
      <c r="EI8" s="13" t="str">
        <f t="shared" si="39"/>
        <v/>
      </c>
      <c r="EJ8" s="13" t="str">
        <f t="shared" si="40"/>
        <v/>
      </c>
      <c r="EK8" s="13" t="str">
        <f t="shared" si="41"/>
        <v/>
      </c>
      <c r="EL8" s="13" t="str">
        <f t="shared" si="42"/>
        <v/>
      </c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/>
      <c r="FF8" s="68"/>
      <c r="FG8" s="68"/>
      <c r="FH8" s="68"/>
      <c r="FI8" s="68"/>
      <c r="FJ8" s="68"/>
      <c r="FK8" s="17" t="str">
        <f t="shared" si="43"/>
        <v/>
      </c>
      <c r="FL8" s="17" t="str">
        <f t="shared" si="44"/>
        <v/>
      </c>
      <c r="FM8" s="17" t="str">
        <f t="shared" si="45"/>
        <v/>
      </c>
      <c r="FN8" s="17" t="str">
        <f t="shared" si="46"/>
        <v/>
      </c>
      <c r="FO8" s="17" t="str">
        <f t="shared" si="47"/>
        <v/>
      </c>
      <c r="FP8" s="17" t="str">
        <f t="shared" si="48"/>
        <v/>
      </c>
      <c r="FQ8" s="69">
        <v>27.7</v>
      </c>
      <c r="FR8" s="69">
        <v>5.6</v>
      </c>
      <c r="FS8" s="69">
        <v>1.2</v>
      </c>
      <c r="FT8" s="69">
        <v>0</v>
      </c>
      <c r="FU8" s="69">
        <v>27.5</v>
      </c>
      <c r="FV8" s="69">
        <v>6</v>
      </c>
      <c r="FW8" s="69">
        <v>0.3</v>
      </c>
      <c r="FX8" s="69">
        <v>0</v>
      </c>
      <c r="FY8" s="69"/>
      <c r="FZ8" s="69"/>
      <c r="GA8" s="69"/>
      <c r="GB8" s="69"/>
      <c r="GC8" s="69"/>
      <c r="GD8" s="69"/>
      <c r="GE8" s="69"/>
      <c r="GF8" s="69"/>
      <c r="GG8" s="69">
        <v>0</v>
      </c>
      <c r="GH8" s="69">
        <v>0</v>
      </c>
      <c r="GI8" s="69">
        <v>0</v>
      </c>
      <c r="GJ8" s="69">
        <v>0</v>
      </c>
      <c r="GK8" s="69">
        <v>27.6</v>
      </c>
      <c r="GL8" s="69">
        <v>5.2</v>
      </c>
      <c r="GM8" s="69">
        <v>0.3</v>
      </c>
      <c r="GN8" s="69">
        <v>0</v>
      </c>
      <c r="GO8" s="13">
        <f t="shared" si="49"/>
        <v>11.6</v>
      </c>
      <c r="GP8" s="13">
        <f t="shared" si="50"/>
        <v>65.3</v>
      </c>
      <c r="GQ8" s="13">
        <f t="shared" si="51"/>
        <v>65.3</v>
      </c>
      <c r="GR8" s="13" t="str">
        <f t="shared" si="52"/>
        <v/>
      </c>
      <c r="GS8" s="13">
        <f t="shared" si="53"/>
        <v>32.500000000000007</v>
      </c>
      <c r="GT8" s="13">
        <f t="shared" si="54"/>
        <v>97.800000000000011</v>
      </c>
      <c r="GU8" s="68">
        <v>27.8</v>
      </c>
      <c r="GV8" s="68">
        <v>6.4</v>
      </c>
      <c r="GW8" s="68">
        <v>0</v>
      </c>
      <c r="GX8" s="68">
        <v>0</v>
      </c>
      <c r="GY8" s="68">
        <v>25.1</v>
      </c>
      <c r="GZ8" s="68">
        <v>6</v>
      </c>
      <c r="HA8" s="68">
        <v>0.3</v>
      </c>
      <c r="HB8" s="68">
        <v>0</v>
      </c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17">
        <f t="shared" si="55"/>
        <v>12.4</v>
      </c>
      <c r="HT8" s="17">
        <f t="shared" si="56"/>
        <v>65.000000000000014</v>
      </c>
      <c r="HU8" s="17">
        <f t="shared" si="57"/>
        <v>65.000000000000014</v>
      </c>
      <c r="HV8" s="17" t="str">
        <f t="shared" si="58"/>
        <v/>
      </c>
      <c r="HW8" s="17" t="str">
        <f t="shared" si="59"/>
        <v/>
      </c>
      <c r="HX8" s="17">
        <f t="shared" si="60"/>
        <v>65.000000000000014</v>
      </c>
      <c r="HY8" s="69"/>
      <c r="HZ8" s="69"/>
      <c r="IA8" s="69"/>
      <c r="IB8" s="69"/>
      <c r="IC8" s="69"/>
      <c r="ID8" s="69"/>
      <c r="IE8" s="69"/>
      <c r="IF8" s="69"/>
      <c r="IG8" s="69"/>
      <c r="IH8" s="69"/>
      <c r="II8" s="69"/>
      <c r="IJ8" s="69"/>
      <c r="IK8" s="69"/>
      <c r="IL8" s="69"/>
      <c r="IM8" s="69"/>
      <c r="IN8" s="69"/>
      <c r="IO8" s="69">
        <v>33.4</v>
      </c>
      <c r="IP8" s="69"/>
      <c r="IQ8" s="69"/>
      <c r="IR8" s="69"/>
      <c r="IS8" s="69"/>
      <c r="IT8" s="69"/>
      <c r="IU8" s="69"/>
      <c r="IV8" s="69"/>
      <c r="IW8" s="13" t="str">
        <f t="shared" si="61"/>
        <v/>
      </c>
      <c r="IX8" s="13" t="str">
        <f t="shared" si="62"/>
        <v/>
      </c>
      <c r="IY8" s="13" t="str">
        <f t="shared" si="63"/>
        <v/>
      </c>
      <c r="IZ8" s="13" t="str">
        <f t="shared" si="64"/>
        <v/>
      </c>
      <c r="JA8" s="13">
        <f t="shared" si="65"/>
        <v>33.4</v>
      </c>
      <c r="JB8" s="13">
        <f t="shared" si="66"/>
        <v>33.4</v>
      </c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68"/>
      <c r="JW8" s="68"/>
      <c r="JX8" s="68"/>
      <c r="JY8" s="68"/>
      <c r="JZ8" s="68"/>
      <c r="KA8" s="17" t="str">
        <f t="shared" si="67"/>
        <v/>
      </c>
      <c r="KB8" s="17" t="str">
        <f t="shared" si="68"/>
        <v/>
      </c>
      <c r="KC8" s="17" t="str">
        <f t="shared" si="69"/>
        <v/>
      </c>
      <c r="KD8" s="17" t="str">
        <f t="shared" si="70"/>
        <v/>
      </c>
      <c r="KE8" s="17" t="str">
        <f t="shared" si="71"/>
        <v/>
      </c>
      <c r="KF8" s="17" t="str">
        <f t="shared" si="72"/>
        <v/>
      </c>
      <c r="KG8" s="69"/>
      <c r="KH8" s="69"/>
      <c r="KI8" s="69"/>
      <c r="KJ8" s="69"/>
      <c r="KK8" s="69"/>
      <c r="KL8" s="69"/>
      <c r="KM8" s="69"/>
      <c r="KN8" s="69"/>
      <c r="KO8" s="69"/>
      <c r="KP8" s="69"/>
      <c r="KQ8" s="69"/>
      <c r="KR8" s="69"/>
      <c r="KS8" s="69"/>
      <c r="KT8" s="69"/>
      <c r="KU8" s="69"/>
      <c r="KV8" s="69"/>
      <c r="KW8" s="69"/>
      <c r="KX8" s="69"/>
      <c r="KY8" s="69"/>
      <c r="KZ8" s="69"/>
      <c r="LA8" s="69"/>
      <c r="LB8" s="69"/>
      <c r="LC8" s="69"/>
      <c r="LD8" s="69"/>
      <c r="LE8" s="13" t="str">
        <f t="shared" si="73"/>
        <v/>
      </c>
      <c r="LF8" s="13" t="str">
        <f t="shared" si="74"/>
        <v/>
      </c>
      <c r="LG8" s="13" t="str">
        <f t="shared" si="75"/>
        <v/>
      </c>
      <c r="LH8" s="13" t="str">
        <f t="shared" si="76"/>
        <v/>
      </c>
      <c r="LI8" s="13" t="str">
        <f t="shared" si="77"/>
        <v/>
      </c>
      <c r="LJ8" s="13" t="str">
        <f t="shared" si="78"/>
        <v/>
      </c>
      <c r="LK8" s="68"/>
      <c r="LL8" s="68"/>
      <c r="LM8" s="68"/>
      <c r="LN8" s="68"/>
      <c r="LO8" s="68"/>
      <c r="LP8" s="68"/>
      <c r="LQ8" s="68"/>
      <c r="LR8" s="68"/>
      <c r="LS8" s="68"/>
      <c r="LT8" s="68"/>
      <c r="LU8" s="68"/>
      <c r="LV8" s="68"/>
      <c r="LW8" s="68"/>
      <c r="LX8" s="68"/>
      <c r="LY8" s="68"/>
      <c r="LZ8" s="68"/>
      <c r="MA8" s="68"/>
      <c r="MB8" s="68"/>
      <c r="MC8" s="68"/>
      <c r="MD8" s="68"/>
      <c r="ME8" s="68"/>
      <c r="MF8" s="68"/>
      <c r="MG8" s="68"/>
      <c r="MH8" s="68"/>
      <c r="MI8" s="17" t="str">
        <f t="shared" si="79"/>
        <v/>
      </c>
      <c r="MJ8" s="17" t="str">
        <f t="shared" si="80"/>
        <v/>
      </c>
      <c r="MK8" s="17" t="str">
        <f t="shared" si="81"/>
        <v/>
      </c>
      <c r="ML8" s="17" t="str">
        <f t="shared" si="82"/>
        <v/>
      </c>
      <c r="MM8" s="17" t="str">
        <f t="shared" si="83"/>
        <v/>
      </c>
      <c r="MN8" s="17" t="str">
        <f t="shared" si="84"/>
        <v/>
      </c>
      <c r="MO8" s="69"/>
      <c r="MP8" s="69"/>
      <c r="MQ8" s="69"/>
      <c r="MR8" s="69"/>
      <c r="MS8" s="69"/>
      <c r="MT8" s="69"/>
      <c r="MU8" s="69"/>
      <c r="MV8" s="69"/>
      <c r="MW8" s="69"/>
      <c r="MX8" s="69"/>
      <c r="MY8" s="69"/>
      <c r="MZ8" s="69"/>
      <c r="NA8" s="69"/>
      <c r="NB8" s="69"/>
      <c r="NC8" s="69"/>
      <c r="ND8" s="69"/>
      <c r="NE8" s="69"/>
      <c r="NF8" s="69"/>
      <c r="NG8" s="69"/>
      <c r="NH8" s="69"/>
      <c r="NI8" s="69"/>
      <c r="NJ8" s="69"/>
      <c r="NK8" s="69"/>
      <c r="NL8" s="69"/>
      <c r="NM8" s="13" t="str">
        <f t="shared" si="85"/>
        <v/>
      </c>
      <c r="NN8" s="13" t="str">
        <f t="shared" si="86"/>
        <v/>
      </c>
      <c r="NO8" s="13" t="str">
        <f t="shared" si="87"/>
        <v/>
      </c>
      <c r="NP8" s="13" t="str">
        <f t="shared" si="88"/>
        <v/>
      </c>
      <c r="NQ8" s="13" t="str">
        <f t="shared" si="89"/>
        <v/>
      </c>
      <c r="NR8" s="13" t="str">
        <f t="shared" si="90"/>
        <v/>
      </c>
      <c r="NS8" s="68"/>
      <c r="NT8" s="68"/>
      <c r="NU8" s="68"/>
      <c r="NV8" s="68"/>
      <c r="NW8" s="68"/>
      <c r="NX8" s="68"/>
      <c r="NY8" s="68"/>
      <c r="NZ8" s="68"/>
      <c r="OA8" s="68"/>
      <c r="OB8" s="68"/>
      <c r="OC8" s="68"/>
      <c r="OD8" s="68"/>
      <c r="OE8" s="68"/>
      <c r="OF8" s="68"/>
      <c r="OG8" s="68"/>
      <c r="OH8" s="68"/>
      <c r="OI8" s="68"/>
      <c r="OJ8" s="68"/>
      <c r="OK8" s="68"/>
      <c r="OL8" s="68"/>
      <c r="OM8" s="68"/>
      <c r="ON8" s="68"/>
      <c r="OO8" s="68"/>
      <c r="OP8" s="68"/>
      <c r="OQ8" s="17" t="str">
        <f t="shared" si="91"/>
        <v/>
      </c>
      <c r="OR8" s="17" t="str">
        <f t="shared" si="92"/>
        <v/>
      </c>
      <c r="OS8" s="17" t="str">
        <f t="shared" si="93"/>
        <v/>
      </c>
      <c r="OT8" s="17" t="str">
        <f t="shared" si="94"/>
        <v/>
      </c>
      <c r="OU8" s="17" t="str">
        <f t="shared" si="95"/>
        <v/>
      </c>
      <c r="OV8" s="17" t="str">
        <f t="shared" si="96"/>
        <v/>
      </c>
      <c r="OW8" s="69"/>
      <c r="OX8" s="69"/>
      <c r="OY8" s="69"/>
      <c r="OZ8" s="69"/>
      <c r="PA8" s="69"/>
      <c r="PB8" s="69"/>
      <c r="PC8" s="69"/>
      <c r="PD8" s="69"/>
      <c r="PE8" s="69"/>
      <c r="PF8" s="69"/>
      <c r="PG8" s="69"/>
      <c r="PH8" s="69"/>
      <c r="PI8" s="69"/>
      <c r="PJ8" s="69"/>
      <c r="PK8" s="69"/>
      <c r="PL8" s="69"/>
      <c r="PM8" s="69"/>
      <c r="PN8" s="69"/>
      <c r="PO8" s="69"/>
      <c r="PP8" s="69"/>
      <c r="PQ8" s="69"/>
      <c r="PR8" s="69"/>
      <c r="PS8" s="69"/>
      <c r="PT8" s="69"/>
      <c r="PU8" s="13" t="str">
        <f t="shared" si="97"/>
        <v/>
      </c>
      <c r="PV8" s="13" t="str">
        <f t="shared" si="98"/>
        <v/>
      </c>
      <c r="PW8" s="13" t="str">
        <f t="shared" si="99"/>
        <v/>
      </c>
      <c r="PX8" s="13" t="str">
        <f t="shared" si="100"/>
        <v/>
      </c>
      <c r="PY8" s="13" t="str">
        <f t="shared" si="101"/>
        <v/>
      </c>
      <c r="PZ8" s="13" t="str">
        <f t="shared" si="102"/>
        <v/>
      </c>
      <c r="QA8" s="68"/>
      <c r="QB8" s="68"/>
      <c r="QC8" s="68"/>
      <c r="QD8" s="68"/>
      <c r="QE8" s="68"/>
      <c r="QF8" s="68"/>
      <c r="QG8" s="68"/>
      <c r="QH8" s="68"/>
      <c r="QI8" s="68"/>
      <c r="QJ8" s="68"/>
      <c r="QK8" s="68"/>
      <c r="QL8" s="68"/>
      <c r="QM8" s="68"/>
      <c r="QN8" s="68"/>
      <c r="QO8" s="68"/>
      <c r="QP8" s="68"/>
      <c r="QQ8" s="68"/>
      <c r="QR8" s="68"/>
      <c r="QS8" s="68"/>
      <c r="QT8" s="68"/>
      <c r="QU8" s="68"/>
      <c r="QV8" s="68"/>
      <c r="QW8" s="68"/>
      <c r="QX8" s="68"/>
      <c r="QY8" s="17" t="str">
        <f t="shared" si="103"/>
        <v/>
      </c>
      <c r="QZ8" s="17" t="str">
        <f t="shared" si="104"/>
        <v/>
      </c>
      <c r="RA8" s="17" t="str">
        <f t="shared" si="105"/>
        <v/>
      </c>
      <c r="RB8" s="17" t="str">
        <f t="shared" si="106"/>
        <v/>
      </c>
      <c r="RC8" s="17" t="str">
        <f t="shared" si="107"/>
        <v/>
      </c>
      <c r="RD8" s="17" t="str">
        <f t="shared" si="108"/>
        <v/>
      </c>
    </row>
    <row r="9" spans="1:472" x14ac:dyDescent="0.2">
      <c r="A9" s="6" t="str">
        <f t="shared" ca="1" si="0"/>
        <v/>
      </c>
      <c r="B9" s="9" t="s">
        <v>55</v>
      </c>
      <c r="C9" s="5" t="s">
        <v>6</v>
      </c>
      <c r="D9" s="5">
        <v>2009</v>
      </c>
      <c r="E9" s="18">
        <f t="shared" si="1"/>
        <v>321.3</v>
      </c>
      <c r="F9" s="4" t="str">
        <f t="shared" si="2"/>
        <v/>
      </c>
      <c r="G9" s="4" t="str">
        <f t="shared" ca="1" si="3"/>
        <v/>
      </c>
      <c r="H9" t="str">
        <f t="shared" ca="1" si="4"/>
        <v/>
      </c>
      <c r="I9" s="17">
        <f t="shared" si="5"/>
        <v>128.9</v>
      </c>
      <c r="J9" s="17" t="str">
        <f t="shared" si="6"/>
        <v>2017 Nationals</v>
      </c>
      <c r="K9" s="17">
        <f t="shared" si="7"/>
        <v>64.400000000000006</v>
      </c>
      <c r="L9" s="17" t="str">
        <f t="shared" si="8"/>
        <v>2017 Canada Cup</v>
      </c>
      <c r="M9" s="17">
        <f t="shared" si="9"/>
        <v>64.3</v>
      </c>
      <c r="N9" s="17" t="str">
        <f t="shared" si="10"/>
        <v>2017 Canada Cup</v>
      </c>
      <c r="O9" s="17">
        <f t="shared" si="11"/>
        <v>63.70000000000001</v>
      </c>
      <c r="P9" s="17" t="str">
        <f t="shared" si="12"/>
        <v>2017 Canada Cup</v>
      </c>
      <c r="Q9" s="17" t="str">
        <f t="shared" si="13"/>
        <v/>
      </c>
      <c r="R9" s="44" t="str">
        <f t="shared" si="14"/>
        <v/>
      </c>
      <c r="S9" s="17" t="str">
        <f t="shared" si="15"/>
        <v/>
      </c>
      <c r="T9" s="60">
        <v>27.8</v>
      </c>
      <c r="U9" s="60">
        <v>4.8</v>
      </c>
      <c r="V9" s="60">
        <v>0</v>
      </c>
      <c r="W9" s="60">
        <v>0</v>
      </c>
      <c r="X9" s="60">
        <v>27</v>
      </c>
      <c r="Y9" s="60">
        <v>4.8</v>
      </c>
      <c r="Z9" s="60">
        <v>0</v>
      </c>
      <c r="AA9" s="60">
        <v>0</v>
      </c>
      <c r="AB9" s="60">
        <v>27.7</v>
      </c>
      <c r="AC9" s="60">
        <v>5.2</v>
      </c>
      <c r="AD9" s="60">
        <v>0.9</v>
      </c>
      <c r="AE9" s="60">
        <v>0</v>
      </c>
      <c r="AF9" s="60">
        <v>27.9</v>
      </c>
      <c r="AG9" s="60">
        <v>4.4000000000000004</v>
      </c>
      <c r="AH9" s="60">
        <v>0</v>
      </c>
      <c r="AI9" s="60">
        <v>0</v>
      </c>
      <c r="AJ9" s="60">
        <v>27.5</v>
      </c>
      <c r="AK9" s="60">
        <v>5.2</v>
      </c>
      <c r="AL9" s="60"/>
      <c r="AM9" s="60">
        <v>0</v>
      </c>
      <c r="AN9" s="60">
        <v>26.7</v>
      </c>
      <c r="AO9" s="60">
        <v>5.2</v>
      </c>
      <c r="AP9" s="60">
        <v>0.9</v>
      </c>
      <c r="AQ9" s="60">
        <v>0</v>
      </c>
      <c r="AR9" s="13">
        <f t="shared" si="16"/>
        <v>19.200000000000003</v>
      </c>
      <c r="AS9" s="13">
        <f t="shared" si="17"/>
        <v>128.70000000000002</v>
      </c>
      <c r="AT9" s="13">
        <f t="shared" si="18"/>
        <v>64.400000000000006</v>
      </c>
      <c r="AU9" s="13">
        <f t="shared" si="19"/>
        <v>64.3</v>
      </c>
      <c r="AV9" s="13">
        <f t="shared" si="20"/>
        <v>63.70000000000001</v>
      </c>
      <c r="AW9" s="13">
        <f t="shared" si="21"/>
        <v>192.40000000000003</v>
      </c>
      <c r="AX9" s="62">
        <v>27</v>
      </c>
      <c r="AY9" s="62">
        <v>5.2</v>
      </c>
      <c r="AZ9" s="62">
        <v>0.3</v>
      </c>
      <c r="BA9" s="62">
        <v>0</v>
      </c>
      <c r="BB9" s="62">
        <v>27.9</v>
      </c>
      <c r="BC9" s="62">
        <v>4.4000000000000004</v>
      </c>
      <c r="BD9" s="62">
        <v>0</v>
      </c>
      <c r="BE9" s="62">
        <v>0</v>
      </c>
      <c r="BF9" s="62">
        <v>27.5</v>
      </c>
      <c r="BG9" s="62">
        <v>4.8</v>
      </c>
      <c r="BH9" s="62">
        <v>0</v>
      </c>
      <c r="BI9" s="62">
        <v>0</v>
      </c>
      <c r="BJ9" s="62">
        <v>27.6</v>
      </c>
      <c r="BK9" s="62">
        <v>4.8</v>
      </c>
      <c r="BL9" s="62">
        <v>0</v>
      </c>
      <c r="BM9" s="62">
        <v>0</v>
      </c>
      <c r="BN9" s="62">
        <v>28.2</v>
      </c>
      <c r="BO9" s="62">
        <v>3</v>
      </c>
      <c r="BP9" s="62">
        <v>0.9</v>
      </c>
      <c r="BQ9" s="62">
        <v>0</v>
      </c>
      <c r="BR9" s="62">
        <v>26.9</v>
      </c>
      <c r="BS9" s="62">
        <v>3.3</v>
      </c>
      <c r="BT9" s="62">
        <v>4.2</v>
      </c>
      <c r="BU9" s="62">
        <v>0</v>
      </c>
      <c r="BV9" s="17">
        <f t="shared" si="22"/>
        <v>19.200000000000003</v>
      </c>
      <c r="BW9" s="17">
        <f t="shared" si="23"/>
        <v>128.9</v>
      </c>
      <c r="BX9" s="17">
        <f t="shared" si="24"/>
        <v>64.2</v>
      </c>
      <c r="BY9" s="17">
        <f t="shared" si="25"/>
        <v>64.7</v>
      </c>
      <c r="BZ9" s="17">
        <f t="shared" si="26"/>
        <v>56.29999999999999</v>
      </c>
      <c r="CA9" s="17">
        <f t="shared" si="27"/>
        <v>185.2</v>
      </c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13" t="str">
        <f t="shared" si="28"/>
        <v/>
      </c>
      <c r="DA9" s="13" t="str">
        <f t="shared" si="29"/>
        <v/>
      </c>
      <c r="DB9" s="13" t="str">
        <f t="shared" si="30"/>
        <v/>
      </c>
      <c r="DC9" s="13" t="str">
        <f t="shared" si="31"/>
        <v/>
      </c>
      <c r="DD9" s="13" t="str">
        <f t="shared" si="32"/>
        <v/>
      </c>
      <c r="DE9" s="13" t="str">
        <f t="shared" si="33"/>
        <v/>
      </c>
      <c r="DF9" s="43" t="str">
        <f t="shared" si="34"/>
        <v/>
      </c>
      <c r="DG9" s="43" t="str">
        <f t="shared" si="35"/>
        <v/>
      </c>
      <c r="DH9" s="43" t="str">
        <f t="shared" si="36"/>
        <v/>
      </c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13" t="str">
        <f t="shared" si="37"/>
        <v/>
      </c>
      <c r="EH9" s="13" t="str">
        <f t="shared" si="38"/>
        <v/>
      </c>
      <c r="EI9" s="13" t="str">
        <f t="shared" si="39"/>
        <v/>
      </c>
      <c r="EJ9" s="13" t="str">
        <f t="shared" si="40"/>
        <v/>
      </c>
      <c r="EK9" s="13" t="str">
        <f t="shared" si="41"/>
        <v/>
      </c>
      <c r="EL9" s="13" t="str">
        <f t="shared" si="42"/>
        <v/>
      </c>
      <c r="EM9" s="68"/>
      <c r="EN9" s="68"/>
      <c r="EO9" s="68"/>
      <c r="EP9" s="68"/>
      <c r="EQ9" s="68"/>
      <c r="ER9" s="68"/>
      <c r="ES9" s="68"/>
      <c r="ET9" s="68"/>
      <c r="EU9" s="68"/>
      <c r="EV9" s="68"/>
      <c r="EW9" s="68"/>
      <c r="EX9" s="68"/>
      <c r="EY9" s="68"/>
      <c r="EZ9" s="68"/>
      <c r="FA9" s="68"/>
      <c r="FB9" s="68"/>
      <c r="FC9" s="68"/>
      <c r="FD9" s="68"/>
      <c r="FE9" s="68"/>
      <c r="FF9" s="68"/>
      <c r="FG9" s="68"/>
      <c r="FH9" s="68"/>
      <c r="FI9" s="68"/>
      <c r="FJ9" s="68"/>
      <c r="FK9" s="17" t="str">
        <f t="shared" si="43"/>
        <v/>
      </c>
      <c r="FL9" s="17" t="str">
        <f t="shared" si="44"/>
        <v/>
      </c>
      <c r="FM9" s="17" t="str">
        <f t="shared" si="45"/>
        <v/>
      </c>
      <c r="FN9" s="17" t="str">
        <f t="shared" si="46"/>
        <v/>
      </c>
      <c r="FO9" s="17" t="str">
        <f t="shared" si="47"/>
        <v/>
      </c>
      <c r="FP9" s="17" t="str">
        <f t="shared" si="48"/>
        <v/>
      </c>
      <c r="FQ9" s="69"/>
      <c r="FR9" s="69"/>
      <c r="FS9" s="69"/>
      <c r="FT9" s="69"/>
      <c r="FU9" s="69"/>
      <c r="FV9" s="69"/>
      <c r="FW9" s="69"/>
      <c r="FX9" s="69"/>
      <c r="FY9" s="69"/>
      <c r="FZ9" s="69"/>
      <c r="GA9" s="69"/>
      <c r="GB9" s="69"/>
      <c r="GC9" s="69"/>
      <c r="GD9" s="69"/>
      <c r="GE9" s="69"/>
      <c r="GF9" s="69"/>
      <c r="GG9" s="69"/>
      <c r="GH9" s="69"/>
      <c r="GI9" s="69"/>
      <c r="GJ9" s="69"/>
      <c r="GK9" s="69"/>
      <c r="GL9" s="69"/>
      <c r="GM9" s="69"/>
      <c r="GN9" s="69"/>
      <c r="GO9" s="13" t="str">
        <f t="shared" si="49"/>
        <v/>
      </c>
      <c r="GP9" s="13" t="str">
        <f t="shared" si="50"/>
        <v/>
      </c>
      <c r="GQ9" s="13" t="str">
        <f t="shared" si="51"/>
        <v/>
      </c>
      <c r="GR9" s="13" t="str">
        <f t="shared" si="52"/>
        <v/>
      </c>
      <c r="GS9" s="13" t="str">
        <f t="shared" si="53"/>
        <v/>
      </c>
      <c r="GT9" s="13" t="str">
        <f t="shared" si="54"/>
        <v/>
      </c>
      <c r="GU9" s="68"/>
      <c r="GV9" s="68"/>
      <c r="GW9" s="68"/>
      <c r="GX9" s="68"/>
      <c r="GY9" s="68"/>
      <c r="GZ9" s="68"/>
      <c r="HA9" s="68"/>
      <c r="HB9" s="68"/>
      <c r="HC9" s="68"/>
      <c r="HD9" s="68"/>
      <c r="HE9" s="68"/>
      <c r="HF9" s="68"/>
      <c r="HG9" s="68"/>
      <c r="HH9" s="68"/>
      <c r="HI9" s="68"/>
      <c r="HJ9" s="68"/>
      <c r="HK9" s="68"/>
      <c r="HL9" s="68"/>
      <c r="HM9" s="68"/>
      <c r="HN9" s="68"/>
      <c r="HO9" s="68"/>
      <c r="HP9" s="68"/>
      <c r="HQ9" s="68"/>
      <c r="HR9" s="68"/>
      <c r="HS9" s="17" t="str">
        <f t="shared" si="55"/>
        <v/>
      </c>
      <c r="HT9" s="17" t="str">
        <f t="shared" si="56"/>
        <v/>
      </c>
      <c r="HU9" s="17" t="str">
        <f t="shared" si="57"/>
        <v/>
      </c>
      <c r="HV9" s="17" t="str">
        <f t="shared" si="58"/>
        <v/>
      </c>
      <c r="HW9" s="17" t="str">
        <f t="shared" si="59"/>
        <v/>
      </c>
      <c r="HX9" s="17" t="str">
        <f t="shared" si="60"/>
        <v/>
      </c>
      <c r="HY9" s="69"/>
      <c r="HZ9" s="69"/>
      <c r="IA9" s="69"/>
      <c r="IB9" s="69"/>
      <c r="IC9" s="69"/>
      <c r="ID9" s="69"/>
      <c r="IE9" s="69"/>
      <c r="IF9" s="69"/>
      <c r="IG9" s="69"/>
      <c r="IH9" s="69"/>
      <c r="II9" s="69"/>
      <c r="IJ9" s="69"/>
      <c r="IK9" s="69"/>
      <c r="IL9" s="69"/>
      <c r="IM9" s="69"/>
      <c r="IN9" s="69"/>
      <c r="IO9" s="69"/>
      <c r="IP9" s="69"/>
      <c r="IQ9" s="69"/>
      <c r="IR9" s="69"/>
      <c r="IS9" s="69"/>
      <c r="IT9" s="69"/>
      <c r="IU9" s="69"/>
      <c r="IV9" s="69"/>
      <c r="IW9" s="13" t="str">
        <f t="shared" si="61"/>
        <v/>
      </c>
      <c r="IX9" s="13" t="str">
        <f t="shared" si="62"/>
        <v/>
      </c>
      <c r="IY9" s="13" t="str">
        <f t="shared" si="63"/>
        <v/>
      </c>
      <c r="IZ9" s="13" t="str">
        <f t="shared" si="64"/>
        <v/>
      </c>
      <c r="JA9" s="13" t="str">
        <f t="shared" si="65"/>
        <v/>
      </c>
      <c r="JB9" s="13" t="str">
        <f t="shared" si="66"/>
        <v/>
      </c>
      <c r="JC9" s="68"/>
      <c r="JD9" s="68"/>
      <c r="JE9" s="68"/>
      <c r="JF9" s="68"/>
      <c r="JG9" s="68"/>
      <c r="JH9" s="68"/>
      <c r="JI9" s="68"/>
      <c r="JJ9" s="68"/>
      <c r="JK9" s="68"/>
      <c r="JL9" s="68"/>
      <c r="JM9" s="68"/>
      <c r="JN9" s="68"/>
      <c r="JO9" s="68"/>
      <c r="JP9" s="68"/>
      <c r="JQ9" s="68"/>
      <c r="JR9" s="68"/>
      <c r="JS9" s="68"/>
      <c r="JT9" s="68"/>
      <c r="JU9" s="68"/>
      <c r="JV9" s="68"/>
      <c r="JW9" s="68"/>
      <c r="JX9" s="68"/>
      <c r="JY9" s="68"/>
      <c r="JZ9" s="68"/>
      <c r="KA9" s="17" t="str">
        <f t="shared" si="67"/>
        <v/>
      </c>
      <c r="KB9" s="17" t="str">
        <f t="shared" si="68"/>
        <v/>
      </c>
      <c r="KC9" s="17" t="str">
        <f t="shared" si="69"/>
        <v/>
      </c>
      <c r="KD9" s="17" t="str">
        <f t="shared" si="70"/>
        <v/>
      </c>
      <c r="KE9" s="17" t="str">
        <f t="shared" si="71"/>
        <v/>
      </c>
      <c r="KF9" s="17" t="str">
        <f t="shared" si="72"/>
        <v/>
      </c>
      <c r="KG9" s="69"/>
      <c r="KH9" s="69"/>
      <c r="KI9" s="69"/>
      <c r="KJ9" s="69"/>
      <c r="KK9" s="69"/>
      <c r="KL9" s="69"/>
      <c r="KM9" s="69"/>
      <c r="KN9" s="69"/>
      <c r="KO9" s="69"/>
      <c r="KP9" s="69"/>
      <c r="KQ9" s="69"/>
      <c r="KR9" s="69"/>
      <c r="KS9" s="69"/>
      <c r="KT9" s="69"/>
      <c r="KU9" s="69"/>
      <c r="KV9" s="69"/>
      <c r="KW9" s="69"/>
      <c r="KX9" s="69"/>
      <c r="KY9" s="69"/>
      <c r="KZ9" s="69"/>
      <c r="LA9" s="69"/>
      <c r="LB9" s="69"/>
      <c r="LC9" s="69"/>
      <c r="LD9" s="69"/>
      <c r="LE9" s="13" t="str">
        <f t="shared" si="73"/>
        <v/>
      </c>
      <c r="LF9" s="13" t="str">
        <f t="shared" si="74"/>
        <v/>
      </c>
      <c r="LG9" s="13" t="str">
        <f t="shared" si="75"/>
        <v/>
      </c>
      <c r="LH9" s="13" t="str">
        <f t="shared" si="76"/>
        <v/>
      </c>
      <c r="LI9" s="13" t="str">
        <f t="shared" si="77"/>
        <v/>
      </c>
      <c r="LJ9" s="13" t="str">
        <f t="shared" si="78"/>
        <v/>
      </c>
      <c r="LK9" s="68"/>
      <c r="LL9" s="68"/>
      <c r="LM9" s="68"/>
      <c r="LN9" s="68"/>
      <c r="LO9" s="68"/>
      <c r="LP9" s="68"/>
      <c r="LQ9" s="68"/>
      <c r="LR9" s="68"/>
      <c r="LS9" s="68"/>
      <c r="LT9" s="68"/>
      <c r="LU9" s="68"/>
      <c r="LV9" s="68"/>
      <c r="LW9" s="68"/>
      <c r="LX9" s="68"/>
      <c r="LY9" s="68"/>
      <c r="LZ9" s="68"/>
      <c r="MA9" s="68"/>
      <c r="MB9" s="68"/>
      <c r="MC9" s="68"/>
      <c r="MD9" s="68"/>
      <c r="ME9" s="68"/>
      <c r="MF9" s="68"/>
      <c r="MG9" s="68"/>
      <c r="MH9" s="68"/>
      <c r="MI9" s="17" t="str">
        <f t="shared" si="79"/>
        <v/>
      </c>
      <c r="MJ9" s="17" t="str">
        <f t="shared" si="80"/>
        <v/>
      </c>
      <c r="MK9" s="17" t="str">
        <f t="shared" si="81"/>
        <v/>
      </c>
      <c r="ML9" s="17" t="str">
        <f t="shared" si="82"/>
        <v/>
      </c>
      <c r="MM9" s="17" t="str">
        <f t="shared" si="83"/>
        <v/>
      </c>
      <c r="MN9" s="17" t="str">
        <f t="shared" si="84"/>
        <v/>
      </c>
      <c r="MO9" s="69"/>
      <c r="MP9" s="69"/>
      <c r="MQ9" s="69"/>
      <c r="MR9" s="69"/>
      <c r="MS9" s="69"/>
      <c r="MT9" s="69"/>
      <c r="MU9" s="69"/>
      <c r="MV9" s="69"/>
      <c r="MW9" s="69"/>
      <c r="MX9" s="69"/>
      <c r="MY9" s="69"/>
      <c r="MZ9" s="69"/>
      <c r="NA9" s="69"/>
      <c r="NB9" s="69"/>
      <c r="NC9" s="69"/>
      <c r="ND9" s="69"/>
      <c r="NE9" s="69"/>
      <c r="NF9" s="69"/>
      <c r="NG9" s="69"/>
      <c r="NH9" s="69"/>
      <c r="NI9" s="69"/>
      <c r="NJ9" s="69"/>
      <c r="NK9" s="69"/>
      <c r="NL9" s="69"/>
      <c r="NM9" s="13" t="str">
        <f t="shared" si="85"/>
        <v/>
      </c>
      <c r="NN9" s="13" t="str">
        <f t="shared" si="86"/>
        <v/>
      </c>
      <c r="NO9" s="13" t="str">
        <f t="shared" si="87"/>
        <v/>
      </c>
      <c r="NP9" s="13" t="str">
        <f t="shared" si="88"/>
        <v/>
      </c>
      <c r="NQ9" s="13" t="str">
        <f t="shared" si="89"/>
        <v/>
      </c>
      <c r="NR9" s="13" t="str">
        <f t="shared" si="90"/>
        <v/>
      </c>
      <c r="NS9" s="68"/>
      <c r="NT9" s="68"/>
      <c r="NU9" s="68"/>
      <c r="NV9" s="68"/>
      <c r="NW9" s="68"/>
      <c r="NX9" s="68"/>
      <c r="NY9" s="68"/>
      <c r="NZ9" s="68"/>
      <c r="OA9" s="68"/>
      <c r="OB9" s="68"/>
      <c r="OC9" s="68"/>
      <c r="OD9" s="68"/>
      <c r="OE9" s="68"/>
      <c r="OF9" s="68"/>
      <c r="OG9" s="68"/>
      <c r="OH9" s="68"/>
      <c r="OI9" s="68"/>
      <c r="OJ9" s="68"/>
      <c r="OK9" s="68"/>
      <c r="OL9" s="68"/>
      <c r="OM9" s="68"/>
      <c r="ON9" s="68"/>
      <c r="OO9" s="68"/>
      <c r="OP9" s="68"/>
      <c r="OQ9" s="17" t="str">
        <f t="shared" si="91"/>
        <v/>
      </c>
      <c r="OR9" s="17" t="str">
        <f t="shared" si="92"/>
        <v/>
      </c>
      <c r="OS9" s="17" t="str">
        <f t="shared" si="93"/>
        <v/>
      </c>
      <c r="OT9" s="17" t="str">
        <f t="shared" si="94"/>
        <v/>
      </c>
      <c r="OU9" s="17" t="str">
        <f t="shared" si="95"/>
        <v/>
      </c>
      <c r="OV9" s="17" t="str">
        <f t="shared" si="96"/>
        <v/>
      </c>
      <c r="OW9" s="69"/>
      <c r="OX9" s="69"/>
      <c r="OY9" s="69"/>
      <c r="OZ9" s="69"/>
      <c r="PA9" s="69"/>
      <c r="PB9" s="69"/>
      <c r="PC9" s="69"/>
      <c r="PD9" s="69"/>
      <c r="PE9" s="69"/>
      <c r="PF9" s="69"/>
      <c r="PG9" s="69"/>
      <c r="PH9" s="69"/>
      <c r="PI9" s="69"/>
      <c r="PJ9" s="69"/>
      <c r="PK9" s="69"/>
      <c r="PL9" s="69"/>
      <c r="PM9" s="69"/>
      <c r="PN9" s="69"/>
      <c r="PO9" s="69"/>
      <c r="PP9" s="69"/>
      <c r="PQ9" s="69"/>
      <c r="PR9" s="69"/>
      <c r="PS9" s="69"/>
      <c r="PT9" s="69"/>
      <c r="PU9" s="13" t="str">
        <f t="shared" si="97"/>
        <v/>
      </c>
      <c r="PV9" s="13" t="str">
        <f t="shared" si="98"/>
        <v/>
      </c>
      <c r="PW9" s="13" t="str">
        <f t="shared" si="99"/>
        <v/>
      </c>
      <c r="PX9" s="13" t="str">
        <f t="shared" si="100"/>
        <v/>
      </c>
      <c r="PY9" s="13" t="str">
        <f t="shared" si="101"/>
        <v/>
      </c>
      <c r="PZ9" s="13" t="str">
        <f t="shared" si="102"/>
        <v/>
      </c>
      <c r="QA9" s="68"/>
      <c r="QB9" s="68"/>
      <c r="QC9" s="68"/>
      <c r="QD9" s="68"/>
      <c r="QE9" s="68"/>
      <c r="QF9" s="68"/>
      <c r="QG9" s="68"/>
      <c r="QH9" s="68"/>
      <c r="QI9" s="68"/>
      <c r="QJ9" s="68"/>
      <c r="QK9" s="68"/>
      <c r="QL9" s="68"/>
      <c r="QM9" s="68"/>
      <c r="QN9" s="68"/>
      <c r="QO9" s="68"/>
      <c r="QP9" s="68"/>
      <c r="QQ9" s="68"/>
      <c r="QR9" s="68"/>
      <c r="QS9" s="68"/>
      <c r="QT9" s="68"/>
      <c r="QU9" s="68"/>
      <c r="QV9" s="68"/>
      <c r="QW9" s="68"/>
      <c r="QX9" s="68"/>
      <c r="QY9" s="17" t="str">
        <f t="shared" si="103"/>
        <v/>
      </c>
      <c r="QZ9" s="17" t="str">
        <f t="shared" si="104"/>
        <v/>
      </c>
      <c r="RA9" s="17" t="str">
        <f t="shared" si="105"/>
        <v/>
      </c>
      <c r="RB9" s="17" t="str">
        <f t="shared" si="106"/>
        <v/>
      </c>
      <c r="RC9" s="17" t="str">
        <f t="shared" si="107"/>
        <v/>
      </c>
      <c r="RD9" s="17" t="str">
        <f t="shared" si="108"/>
        <v/>
      </c>
    </row>
    <row r="10" spans="1:472" x14ac:dyDescent="0.2">
      <c r="A10" s="6" t="str">
        <f t="shared" ca="1" si="0"/>
        <v/>
      </c>
      <c r="B10" s="9" t="s">
        <v>75</v>
      </c>
      <c r="C10" s="5" t="s">
        <v>6</v>
      </c>
      <c r="D10" s="46">
        <v>2017</v>
      </c>
      <c r="E10" s="18">
        <f t="shared" si="1"/>
        <v>313.39999999999998</v>
      </c>
      <c r="F10" s="4" t="str">
        <f t="shared" si="2"/>
        <v/>
      </c>
      <c r="G10" s="4" t="str">
        <f t="shared" ca="1" si="3"/>
        <v/>
      </c>
      <c r="H10" t="str">
        <f t="shared" ca="1" si="4"/>
        <v/>
      </c>
      <c r="I10" s="17">
        <f t="shared" si="5"/>
        <v>122.99999999999999</v>
      </c>
      <c r="J10" s="17" t="str">
        <f t="shared" si="6"/>
        <v>2017 Nationals</v>
      </c>
      <c r="K10" s="17">
        <f t="shared" si="7"/>
        <v>62.800000000000004</v>
      </c>
      <c r="L10" s="17" t="str">
        <f t="shared" si="8"/>
        <v>2017 3rd Domestic Trial</v>
      </c>
      <c r="M10" s="17">
        <f t="shared" si="9"/>
        <v>61.8</v>
      </c>
      <c r="N10" s="17" t="str">
        <f t="shared" si="10"/>
        <v>2017 Canada Cup</v>
      </c>
      <c r="O10" s="17">
        <f t="shared" si="11"/>
        <v>65.799999999999983</v>
      </c>
      <c r="P10" s="17" t="str">
        <f t="shared" si="12"/>
        <v>2017 Nationals</v>
      </c>
      <c r="Q10" s="17" t="str">
        <f t="shared" si="13"/>
        <v/>
      </c>
      <c r="R10" s="44" t="str">
        <f t="shared" si="14"/>
        <v/>
      </c>
      <c r="S10" s="17" t="str">
        <f t="shared" si="15"/>
        <v/>
      </c>
      <c r="T10" s="60">
        <v>19.5</v>
      </c>
      <c r="U10" s="60">
        <v>2.4</v>
      </c>
      <c r="V10" s="60">
        <v>0</v>
      </c>
      <c r="W10" s="60">
        <v>0</v>
      </c>
      <c r="X10" s="60">
        <v>26.5</v>
      </c>
      <c r="Y10" s="60">
        <v>5.6</v>
      </c>
      <c r="Z10" s="60">
        <v>1.2</v>
      </c>
      <c r="AA10" s="60">
        <v>0</v>
      </c>
      <c r="AB10" s="60">
        <v>27.7</v>
      </c>
      <c r="AC10" s="60">
        <v>4.8</v>
      </c>
      <c r="AD10" s="60">
        <v>0.9</v>
      </c>
      <c r="AE10" s="60">
        <v>0</v>
      </c>
      <c r="AF10" s="60">
        <v>27</v>
      </c>
      <c r="AG10" s="60">
        <v>4.4000000000000004</v>
      </c>
      <c r="AH10" s="60">
        <v>1.2</v>
      </c>
      <c r="AI10" s="60">
        <v>0</v>
      </c>
      <c r="AJ10" s="60"/>
      <c r="AK10" s="60"/>
      <c r="AL10" s="60"/>
      <c r="AM10" s="60"/>
      <c r="AN10" s="60"/>
      <c r="AO10" s="60"/>
      <c r="AP10" s="60"/>
      <c r="AQ10" s="60"/>
      <c r="AR10" s="13">
        <f t="shared" si="16"/>
        <v>17.200000000000003</v>
      </c>
      <c r="AS10" s="13">
        <f t="shared" si="17"/>
        <v>114.60000000000001</v>
      </c>
      <c r="AT10" s="13">
        <f t="shared" si="18"/>
        <v>52.8</v>
      </c>
      <c r="AU10" s="13">
        <f t="shared" si="19"/>
        <v>61.8</v>
      </c>
      <c r="AV10" s="13" t="str">
        <f t="shared" si="20"/>
        <v/>
      </c>
      <c r="AW10" s="13">
        <f t="shared" si="21"/>
        <v>114.60000000000001</v>
      </c>
      <c r="AX10" s="62">
        <v>27.3</v>
      </c>
      <c r="AY10" s="62">
        <v>6</v>
      </c>
      <c r="AZ10" s="62">
        <v>0.3</v>
      </c>
      <c r="BA10" s="62">
        <v>0</v>
      </c>
      <c r="BB10" s="62">
        <v>24.9</v>
      </c>
      <c r="BC10" s="62">
        <v>5.6</v>
      </c>
      <c r="BD10" s="62">
        <v>1.2</v>
      </c>
      <c r="BE10" s="62">
        <v>0</v>
      </c>
      <c r="BF10" s="62">
        <v>28</v>
      </c>
      <c r="BG10" s="62">
        <v>4.8</v>
      </c>
      <c r="BH10" s="62">
        <v>0</v>
      </c>
      <c r="BI10" s="62">
        <v>0</v>
      </c>
      <c r="BJ10" s="62">
        <v>24.6</v>
      </c>
      <c r="BK10" s="62">
        <v>4.8</v>
      </c>
      <c r="BL10" s="62">
        <v>1.5</v>
      </c>
      <c r="BM10" s="62">
        <v>0</v>
      </c>
      <c r="BN10" s="62">
        <v>27.8</v>
      </c>
      <c r="BO10" s="62">
        <v>6</v>
      </c>
      <c r="BP10" s="62">
        <v>0</v>
      </c>
      <c r="BQ10" s="62">
        <v>0</v>
      </c>
      <c r="BR10" s="62">
        <v>27.3</v>
      </c>
      <c r="BS10" s="62">
        <v>5.6</v>
      </c>
      <c r="BT10" s="62">
        <v>0.9</v>
      </c>
      <c r="BU10" s="62">
        <v>0</v>
      </c>
      <c r="BV10" s="17">
        <f t="shared" si="22"/>
        <v>21.2</v>
      </c>
      <c r="BW10" s="17">
        <f t="shared" si="23"/>
        <v>122.99999999999999</v>
      </c>
      <c r="BX10" s="17">
        <f t="shared" si="24"/>
        <v>62.3</v>
      </c>
      <c r="BY10" s="17">
        <f t="shared" si="25"/>
        <v>60.699999999999996</v>
      </c>
      <c r="BZ10" s="17">
        <f t="shared" si="26"/>
        <v>65.799999999999983</v>
      </c>
      <c r="CA10" s="17">
        <f t="shared" si="27"/>
        <v>188.79999999999995</v>
      </c>
      <c r="CB10" s="60">
        <v>26.4</v>
      </c>
      <c r="CC10" s="60">
        <v>5.2</v>
      </c>
      <c r="CD10" s="60">
        <v>0.3</v>
      </c>
      <c r="CE10" s="60">
        <v>0.3</v>
      </c>
      <c r="CF10" s="60">
        <v>26.3</v>
      </c>
      <c r="CG10" s="60">
        <v>5.2</v>
      </c>
      <c r="CH10" s="60">
        <v>0.3</v>
      </c>
      <c r="CI10" s="60">
        <v>0</v>
      </c>
      <c r="CJ10" s="60">
        <v>26.5</v>
      </c>
      <c r="CK10" s="60">
        <v>6</v>
      </c>
      <c r="CL10" s="60">
        <v>0.9</v>
      </c>
      <c r="CM10" s="60">
        <v>0</v>
      </c>
      <c r="CN10" s="60">
        <v>19.7</v>
      </c>
      <c r="CO10" s="60">
        <v>2.8</v>
      </c>
      <c r="CP10" s="60">
        <v>0</v>
      </c>
      <c r="CQ10" s="60">
        <v>0</v>
      </c>
      <c r="CR10" s="60">
        <v>19.899999999999999</v>
      </c>
      <c r="CS10" s="60">
        <v>2.4</v>
      </c>
      <c r="CT10" s="60">
        <v>0</v>
      </c>
      <c r="CU10" s="60">
        <v>0</v>
      </c>
      <c r="CV10" s="60">
        <v>0</v>
      </c>
      <c r="CW10" s="60">
        <v>0</v>
      </c>
      <c r="CX10" s="60">
        <v>0</v>
      </c>
      <c r="CY10" s="60">
        <v>0</v>
      </c>
      <c r="CZ10" s="13">
        <f t="shared" si="28"/>
        <v>19.2</v>
      </c>
      <c r="DA10" s="13">
        <f t="shared" si="29"/>
        <v>116.9</v>
      </c>
      <c r="DB10" s="13">
        <f t="shared" si="30"/>
        <v>62.800000000000004</v>
      </c>
      <c r="DC10" s="13">
        <f t="shared" si="31"/>
        <v>54.1</v>
      </c>
      <c r="DD10" s="13">
        <f t="shared" si="32"/>
        <v>22.299999999999997</v>
      </c>
      <c r="DE10" s="13">
        <f t="shared" si="33"/>
        <v>139.19999999999999</v>
      </c>
      <c r="DF10" s="43" t="str">
        <f t="shared" si="34"/>
        <v/>
      </c>
      <c r="DG10" s="43" t="str">
        <f t="shared" si="35"/>
        <v/>
      </c>
      <c r="DH10" s="43" t="str">
        <f t="shared" si="36"/>
        <v/>
      </c>
      <c r="DI10" s="60"/>
      <c r="DJ10" s="60"/>
      <c r="DK10" s="60"/>
      <c r="DL10" s="60"/>
      <c r="DM10" s="60"/>
      <c r="DN10" s="60"/>
      <c r="DO10" s="60"/>
      <c r="DP10" s="60"/>
      <c r="DQ10" s="60"/>
      <c r="DR10" s="60"/>
      <c r="DS10" s="60"/>
      <c r="DT10" s="60"/>
      <c r="DU10" s="60"/>
      <c r="DV10" s="60"/>
      <c r="DW10" s="60"/>
      <c r="DX10" s="60"/>
      <c r="DY10" s="60"/>
      <c r="DZ10" s="60"/>
      <c r="EA10" s="60"/>
      <c r="EB10" s="60"/>
      <c r="EC10" s="60"/>
      <c r="ED10" s="60"/>
      <c r="EE10" s="60"/>
      <c r="EF10" s="60"/>
      <c r="EG10" s="13" t="str">
        <f t="shared" si="37"/>
        <v/>
      </c>
      <c r="EH10" s="13" t="str">
        <f t="shared" si="38"/>
        <v/>
      </c>
      <c r="EI10" s="13" t="str">
        <f t="shared" si="39"/>
        <v/>
      </c>
      <c r="EJ10" s="13" t="str">
        <f t="shared" si="40"/>
        <v/>
      </c>
      <c r="EK10" s="13" t="str">
        <f t="shared" si="41"/>
        <v/>
      </c>
      <c r="EL10" s="13" t="str">
        <f t="shared" si="42"/>
        <v/>
      </c>
      <c r="EM10" s="68"/>
      <c r="EN10" s="68"/>
      <c r="EO10" s="68"/>
      <c r="EP10" s="68"/>
      <c r="EQ10" s="68"/>
      <c r="ER10" s="68"/>
      <c r="ES10" s="68"/>
      <c r="ET10" s="68"/>
      <c r="EU10" s="68"/>
      <c r="EV10" s="68"/>
      <c r="EW10" s="68"/>
      <c r="EX10" s="68"/>
      <c r="EY10" s="68"/>
      <c r="EZ10" s="68"/>
      <c r="FA10" s="68"/>
      <c r="FB10" s="68"/>
      <c r="FC10" s="68"/>
      <c r="FD10" s="68"/>
      <c r="FE10" s="68"/>
      <c r="FF10" s="68"/>
      <c r="FG10" s="68"/>
      <c r="FH10" s="68"/>
      <c r="FI10" s="68"/>
      <c r="FJ10" s="68"/>
      <c r="FK10" s="17" t="str">
        <f t="shared" si="43"/>
        <v/>
      </c>
      <c r="FL10" s="17" t="str">
        <f t="shared" si="44"/>
        <v/>
      </c>
      <c r="FM10" s="17" t="str">
        <f t="shared" si="45"/>
        <v/>
      </c>
      <c r="FN10" s="17" t="str">
        <f t="shared" si="46"/>
        <v/>
      </c>
      <c r="FO10" s="17" t="str">
        <f t="shared" si="47"/>
        <v/>
      </c>
      <c r="FP10" s="17" t="str">
        <f t="shared" si="48"/>
        <v/>
      </c>
      <c r="FQ10" s="69"/>
      <c r="FR10" s="69"/>
      <c r="FS10" s="69"/>
      <c r="FT10" s="69"/>
      <c r="FU10" s="69"/>
      <c r="FV10" s="69"/>
      <c r="FW10" s="69"/>
      <c r="FX10" s="69"/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  <c r="GK10" s="69"/>
      <c r="GL10" s="69"/>
      <c r="GM10" s="69"/>
      <c r="GN10" s="69"/>
      <c r="GO10" s="13" t="str">
        <f t="shared" si="49"/>
        <v/>
      </c>
      <c r="GP10" s="13" t="str">
        <f t="shared" si="50"/>
        <v/>
      </c>
      <c r="GQ10" s="13" t="str">
        <f t="shared" si="51"/>
        <v/>
      </c>
      <c r="GR10" s="13" t="str">
        <f t="shared" si="52"/>
        <v/>
      </c>
      <c r="GS10" s="13" t="str">
        <f t="shared" si="53"/>
        <v/>
      </c>
      <c r="GT10" s="13" t="str">
        <f t="shared" si="54"/>
        <v/>
      </c>
      <c r="GU10" s="68"/>
      <c r="GV10" s="68"/>
      <c r="GW10" s="68"/>
      <c r="GX10" s="68"/>
      <c r="GY10" s="68"/>
      <c r="GZ10" s="68"/>
      <c r="HA10" s="68"/>
      <c r="HB10" s="68"/>
      <c r="HC10" s="68"/>
      <c r="HD10" s="68"/>
      <c r="HE10" s="68"/>
      <c r="HF10" s="68"/>
      <c r="HG10" s="68"/>
      <c r="HH10" s="68"/>
      <c r="HI10" s="68"/>
      <c r="HJ10" s="68"/>
      <c r="HK10" s="68"/>
      <c r="HL10" s="68"/>
      <c r="HM10" s="68"/>
      <c r="HN10" s="68"/>
      <c r="HO10" s="68"/>
      <c r="HP10" s="68"/>
      <c r="HQ10" s="68"/>
      <c r="HR10" s="68"/>
      <c r="HS10" s="17" t="str">
        <f t="shared" si="55"/>
        <v/>
      </c>
      <c r="HT10" s="17" t="str">
        <f t="shared" si="56"/>
        <v/>
      </c>
      <c r="HU10" s="17" t="str">
        <f t="shared" si="57"/>
        <v/>
      </c>
      <c r="HV10" s="17" t="str">
        <f t="shared" si="58"/>
        <v/>
      </c>
      <c r="HW10" s="17" t="str">
        <f t="shared" si="59"/>
        <v/>
      </c>
      <c r="HX10" s="17" t="str">
        <f t="shared" si="60"/>
        <v/>
      </c>
      <c r="HY10" s="69"/>
      <c r="HZ10" s="69"/>
      <c r="IA10" s="69"/>
      <c r="IB10" s="69"/>
      <c r="IC10" s="69"/>
      <c r="ID10" s="69"/>
      <c r="IE10" s="69"/>
      <c r="IF10" s="69"/>
      <c r="IG10" s="69"/>
      <c r="IH10" s="69"/>
      <c r="II10" s="69"/>
      <c r="IJ10" s="69"/>
      <c r="IK10" s="69"/>
      <c r="IL10" s="69"/>
      <c r="IM10" s="69"/>
      <c r="IN10" s="69"/>
      <c r="IO10" s="69"/>
      <c r="IP10" s="69"/>
      <c r="IQ10" s="69"/>
      <c r="IR10" s="69"/>
      <c r="IS10" s="69"/>
      <c r="IT10" s="69"/>
      <c r="IU10" s="69"/>
      <c r="IV10" s="69"/>
      <c r="IW10" s="13" t="str">
        <f t="shared" si="61"/>
        <v/>
      </c>
      <c r="IX10" s="13" t="str">
        <f t="shared" si="62"/>
        <v/>
      </c>
      <c r="IY10" s="13" t="str">
        <f t="shared" si="63"/>
        <v/>
      </c>
      <c r="IZ10" s="13" t="str">
        <f t="shared" si="64"/>
        <v/>
      </c>
      <c r="JA10" s="13" t="str">
        <f t="shared" si="65"/>
        <v/>
      </c>
      <c r="JB10" s="13" t="str">
        <f t="shared" si="66"/>
        <v/>
      </c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  <c r="JO10" s="68"/>
      <c r="JP10" s="68"/>
      <c r="JQ10" s="68"/>
      <c r="JR10" s="68"/>
      <c r="JS10" s="68"/>
      <c r="JT10" s="68"/>
      <c r="JU10" s="68"/>
      <c r="JV10" s="68"/>
      <c r="JW10" s="68"/>
      <c r="JX10" s="68"/>
      <c r="JY10" s="68"/>
      <c r="JZ10" s="68"/>
      <c r="KA10" s="17" t="str">
        <f t="shared" si="67"/>
        <v/>
      </c>
      <c r="KB10" s="17" t="str">
        <f t="shared" si="68"/>
        <v/>
      </c>
      <c r="KC10" s="17" t="str">
        <f t="shared" si="69"/>
        <v/>
      </c>
      <c r="KD10" s="17" t="str">
        <f t="shared" si="70"/>
        <v/>
      </c>
      <c r="KE10" s="17" t="str">
        <f t="shared" si="71"/>
        <v/>
      </c>
      <c r="KF10" s="17" t="str">
        <f t="shared" si="72"/>
        <v/>
      </c>
      <c r="KG10" s="69"/>
      <c r="KH10" s="69"/>
      <c r="KI10" s="69"/>
      <c r="KJ10" s="69"/>
      <c r="KK10" s="69"/>
      <c r="KL10" s="69"/>
      <c r="KM10" s="69"/>
      <c r="KN10" s="69"/>
      <c r="KO10" s="69"/>
      <c r="KP10" s="69"/>
      <c r="KQ10" s="69"/>
      <c r="KR10" s="69"/>
      <c r="KS10" s="69"/>
      <c r="KT10" s="69"/>
      <c r="KU10" s="69"/>
      <c r="KV10" s="69"/>
      <c r="KW10" s="69"/>
      <c r="KX10" s="69"/>
      <c r="KY10" s="69"/>
      <c r="KZ10" s="69"/>
      <c r="LA10" s="69"/>
      <c r="LB10" s="69"/>
      <c r="LC10" s="69"/>
      <c r="LD10" s="69"/>
      <c r="LE10" s="13" t="str">
        <f t="shared" si="73"/>
        <v/>
      </c>
      <c r="LF10" s="13" t="str">
        <f t="shared" si="74"/>
        <v/>
      </c>
      <c r="LG10" s="13" t="str">
        <f t="shared" si="75"/>
        <v/>
      </c>
      <c r="LH10" s="13" t="str">
        <f t="shared" si="76"/>
        <v/>
      </c>
      <c r="LI10" s="13" t="str">
        <f t="shared" si="77"/>
        <v/>
      </c>
      <c r="LJ10" s="13" t="str">
        <f t="shared" si="78"/>
        <v/>
      </c>
      <c r="LK10" s="68"/>
      <c r="LL10" s="68"/>
      <c r="LM10" s="68"/>
      <c r="LN10" s="68"/>
      <c r="LO10" s="68"/>
      <c r="LP10" s="68"/>
      <c r="LQ10" s="68"/>
      <c r="LR10" s="68"/>
      <c r="LS10" s="68"/>
      <c r="LT10" s="68"/>
      <c r="LU10" s="68"/>
      <c r="LV10" s="68"/>
      <c r="LW10" s="68"/>
      <c r="LX10" s="68"/>
      <c r="LY10" s="68"/>
      <c r="LZ10" s="68"/>
      <c r="MA10" s="68"/>
      <c r="MB10" s="68"/>
      <c r="MC10" s="68"/>
      <c r="MD10" s="68"/>
      <c r="ME10" s="68"/>
      <c r="MF10" s="68"/>
      <c r="MG10" s="68"/>
      <c r="MH10" s="68"/>
      <c r="MI10" s="17" t="str">
        <f t="shared" si="79"/>
        <v/>
      </c>
      <c r="MJ10" s="17" t="str">
        <f t="shared" si="80"/>
        <v/>
      </c>
      <c r="MK10" s="17" t="str">
        <f t="shared" si="81"/>
        <v/>
      </c>
      <c r="ML10" s="17" t="str">
        <f t="shared" si="82"/>
        <v/>
      </c>
      <c r="MM10" s="17" t="str">
        <f t="shared" si="83"/>
        <v/>
      </c>
      <c r="MN10" s="17" t="str">
        <f t="shared" si="84"/>
        <v/>
      </c>
      <c r="MO10" s="69"/>
      <c r="MP10" s="69"/>
      <c r="MQ10" s="69"/>
      <c r="MR10" s="69"/>
      <c r="MS10" s="69"/>
      <c r="MT10" s="69"/>
      <c r="MU10" s="69"/>
      <c r="MV10" s="69"/>
      <c r="MW10" s="69"/>
      <c r="MX10" s="69"/>
      <c r="MY10" s="69"/>
      <c r="MZ10" s="69"/>
      <c r="NA10" s="69"/>
      <c r="NB10" s="69"/>
      <c r="NC10" s="69"/>
      <c r="ND10" s="69"/>
      <c r="NE10" s="69"/>
      <c r="NF10" s="69"/>
      <c r="NG10" s="69"/>
      <c r="NH10" s="69"/>
      <c r="NI10" s="69"/>
      <c r="NJ10" s="69"/>
      <c r="NK10" s="69"/>
      <c r="NL10" s="69"/>
      <c r="NM10" s="13" t="str">
        <f t="shared" si="85"/>
        <v/>
      </c>
      <c r="NN10" s="13" t="str">
        <f t="shared" si="86"/>
        <v/>
      </c>
      <c r="NO10" s="13" t="str">
        <f t="shared" si="87"/>
        <v/>
      </c>
      <c r="NP10" s="13" t="str">
        <f t="shared" si="88"/>
        <v/>
      </c>
      <c r="NQ10" s="13" t="str">
        <f t="shared" si="89"/>
        <v/>
      </c>
      <c r="NR10" s="13" t="str">
        <f t="shared" si="90"/>
        <v/>
      </c>
      <c r="NS10" s="68"/>
      <c r="NT10" s="68"/>
      <c r="NU10" s="68"/>
      <c r="NV10" s="68"/>
      <c r="NW10" s="68"/>
      <c r="NX10" s="68"/>
      <c r="NY10" s="68"/>
      <c r="NZ10" s="68"/>
      <c r="OA10" s="68"/>
      <c r="OB10" s="68"/>
      <c r="OC10" s="68"/>
      <c r="OD10" s="68"/>
      <c r="OE10" s="68"/>
      <c r="OF10" s="68"/>
      <c r="OG10" s="68"/>
      <c r="OH10" s="68"/>
      <c r="OI10" s="68"/>
      <c r="OJ10" s="68"/>
      <c r="OK10" s="68"/>
      <c r="OL10" s="68"/>
      <c r="OM10" s="68"/>
      <c r="ON10" s="68"/>
      <c r="OO10" s="68"/>
      <c r="OP10" s="68"/>
      <c r="OQ10" s="17" t="str">
        <f t="shared" si="91"/>
        <v/>
      </c>
      <c r="OR10" s="17" t="str">
        <f t="shared" si="92"/>
        <v/>
      </c>
      <c r="OS10" s="17" t="str">
        <f t="shared" si="93"/>
        <v/>
      </c>
      <c r="OT10" s="17" t="str">
        <f t="shared" si="94"/>
        <v/>
      </c>
      <c r="OU10" s="17" t="str">
        <f t="shared" si="95"/>
        <v/>
      </c>
      <c r="OV10" s="17" t="str">
        <f t="shared" si="96"/>
        <v/>
      </c>
      <c r="OW10" s="69"/>
      <c r="OX10" s="69"/>
      <c r="OY10" s="69"/>
      <c r="OZ10" s="69"/>
      <c r="PA10" s="69"/>
      <c r="PB10" s="69"/>
      <c r="PC10" s="69"/>
      <c r="PD10" s="69"/>
      <c r="PE10" s="69"/>
      <c r="PF10" s="69"/>
      <c r="PG10" s="69"/>
      <c r="PH10" s="69"/>
      <c r="PI10" s="69"/>
      <c r="PJ10" s="69"/>
      <c r="PK10" s="69"/>
      <c r="PL10" s="69"/>
      <c r="PM10" s="69"/>
      <c r="PN10" s="69"/>
      <c r="PO10" s="69"/>
      <c r="PP10" s="69"/>
      <c r="PQ10" s="69"/>
      <c r="PR10" s="69"/>
      <c r="PS10" s="69"/>
      <c r="PT10" s="69"/>
      <c r="PU10" s="13" t="str">
        <f t="shared" si="97"/>
        <v/>
      </c>
      <c r="PV10" s="13" t="str">
        <f t="shared" si="98"/>
        <v/>
      </c>
      <c r="PW10" s="13" t="str">
        <f t="shared" si="99"/>
        <v/>
      </c>
      <c r="PX10" s="13" t="str">
        <f t="shared" si="100"/>
        <v/>
      </c>
      <c r="PY10" s="13" t="str">
        <f t="shared" si="101"/>
        <v/>
      </c>
      <c r="PZ10" s="13" t="str">
        <f t="shared" si="102"/>
        <v/>
      </c>
      <c r="QA10" s="68"/>
      <c r="QB10" s="68"/>
      <c r="QC10" s="68"/>
      <c r="QD10" s="68"/>
      <c r="QE10" s="68"/>
      <c r="QF10" s="68"/>
      <c r="QG10" s="68"/>
      <c r="QH10" s="68"/>
      <c r="QI10" s="68"/>
      <c r="QJ10" s="68"/>
      <c r="QK10" s="68"/>
      <c r="QL10" s="68"/>
      <c r="QM10" s="68"/>
      <c r="QN10" s="68"/>
      <c r="QO10" s="68"/>
      <c r="QP10" s="68"/>
      <c r="QQ10" s="68"/>
      <c r="QR10" s="68"/>
      <c r="QS10" s="68"/>
      <c r="QT10" s="68"/>
      <c r="QU10" s="68"/>
      <c r="QV10" s="68"/>
      <c r="QW10" s="68"/>
      <c r="QX10" s="68"/>
      <c r="QY10" s="17" t="str">
        <f t="shared" si="103"/>
        <v/>
      </c>
      <c r="QZ10" s="17" t="str">
        <f t="shared" si="104"/>
        <v/>
      </c>
      <c r="RA10" s="17" t="str">
        <f t="shared" si="105"/>
        <v/>
      </c>
      <c r="RB10" s="17" t="str">
        <f t="shared" si="106"/>
        <v/>
      </c>
      <c r="RC10" s="17" t="str">
        <f t="shared" si="107"/>
        <v/>
      </c>
      <c r="RD10" s="17" t="str">
        <f t="shared" si="108"/>
        <v/>
      </c>
    </row>
    <row r="11" spans="1:472" x14ac:dyDescent="0.2">
      <c r="A11" s="6">
        <f t="shared" ca="1" si="0"/>
        <v>5</v>
      </c>
      <c r="B11" s="9" t="s">
        <v>53</v>
      </c>
      <c r="C11" s="5" t="s">
        <v>13</v>
      </c>
      <c r="D11" s="46">
        <v>2017</v>
      </c>
      <c r="E11" s="18">
        <f t="shared" si="1"/>
        <v>296.99999999999994</v>
      </c>
      <c r="F11" s="4" t="str">
        <f t="shared" si="2"/>
        <v/>
      </c>
      <c r="G11" s="4" t="str">
        <f t="shared" ca="1" si="3"/>
        <v>P</v>
      </c>
      <c r="H11" t="str">
        <f t="shared" ca="1" si="4"/>
        <v>First 2 Years</v>
      </c>
      <c r="I11" s="17">
        <f t="shared" si="5"/>
        <v>130.30000000000001</v>
      </c>
      <c r="J11" s="17" t="str">
        <f t="shared" si="6"/>
        <v>2017 3rd Domestic Trial</v>
      </c>
      <c r="K11" s="17">
        <f t="shared" si="7"/>
        <v>67.399999999999991</v>
      </c>
      <c r="L11" s="17" t="str">
        <f t="shared" si="8"/>
        <v>2017 Canada Cup</v>
      </c>
      <c r="M11" s="17">
        <f t="shared" si="9"/>
        <v>65.599999999999994</v>
      </c>
      <c r="N11" s="17" t="str">
        <f t="shared" si="10"/>
        <v>2017 Nationals</v>
      </c>
      <c r="O11" s="17">
        <f t="shared" si="11"/>
        <v>33.700000000000003</v>
      </c>
      <c r="P11" s="17" t="str">
        <f t="shared" si="12"/>
        <v>2017 3rd Domestic Trial</v>
      </c>
      <c r="Q11" s="17" t="str">
        <f t="shared" si="13"/>
        <v/>
      </c>
      <c r="R11" s="44" t="str">
        <f t="shared" si="14"/>
        <v/>
      </c>
      <c r="S11" s="17" t="str">
        <f t="shared" si="15"/>
        <v/>
      </c>
      <c r="T11" s="60">
        <v>28.3</v>
      </c>
      <c r="U11" s="60">
        <v>5.6</v>
      </c>
      <c r="V11" s="60">
        <v>0</v>
      </c>
      <c r="W11" s="60">
        <v>0</v>
      </c>
      <c r="X11" s="60">
        <v>27.9</v>
      </c>
      <c r="Y11" s="60">
        <v>5.6</v>
      </c>
      <c r="Z11" s="60">
        <v>0</v>
      </c>
      <c r="AA11" s="60">
        <v>0</v>
      </c>
      <c r="AB11" s="60">
        <v>28.4</v>
      </c>
      <c r="AC11" s="60">
        <v>4.8</v>
      </c>
      <c r="AD11" s="60">
        <v>0</v>
      </c>
      <c r="AE11" s="60">
        <v>0</v>
      </c>
      <c r="AF11" s="60">
        <v>0</v>
      </c>
      <c r="AG11" s="60">
        <v>0</v>
      </c>
      <c r="AH11" s="60">
        <v>0</v>
      </c>
      <c r="AI11" s="60">
        <v>0</v>
      </c>
      <c r="AJ11" s="60"/>
      <c r="AK11" s="60"/>
      <c r="AL11" s="60"/>
      <c r="AM11" s="60"/>
      <c r="AN11" s="60"/>
      <c r="AO11" s="60"/>
      <c r="AP11" s="60"/>
      <c r="AQ11" s="60"/>
      <c r="AR11" s="13">
        <f t="shared" si="16"/>
        <v>16</v>
      </c>
      <c r="AS11" s="13">
        <f t="shared" si="17"/>
        <v>100.59999999999998</v>
      </c>
      <c r="AT11" s="13">
        <f t="shared" si="18"/>
        <v>67.399999999999991</v>
      </c>
      <c r="AU11" s="13">
        <f t="shared" si="19"/>
        <v>33.199999999999996</v>
      </c>
      <c r="AV11" s="13" t="str">
        <f t="shared" si="20"/>
        <v/>
      </c>
      <c r="AW11" s="13">
        <f t="shared" si="21"/>
        <v>100.59999999999998</v>
      </c>
      <c r="AX11" s="62">
        <v>28.4</v>
      </c>
      <c r="AY11" s="62">
        <v>5.6</v>
      </c>
      <c r="AZ11" s="62">
        <v>0</v>
      </c>
      <c r="BA11" s="62">
        <v>0</v>
      </c>
      <c r="BB11" s="62">
        <v>0</v>
      </c>
      <c r="BC11" s="62">
        <v>0</v>
      </c>
      <c r="BD11" s="62">
        <v>0</v>
      </c>
      <c r="BE11" s="62">
        <v>0</v>
      </c>
      <c r="BF11" s="62">
        <v>27.7</v>
      </c>
      <c r="BG11" s="62">
        <v>5.6</v>
      </c>
      <c r="BH11" s="62">
        <v>0</v>
      </c>
      <c r="BI11" s="62">
        <v>0</v>
      </c>
      <c r="BJ11" s="62">
        <v>28.4</v>
      </c>
      <c r="BK11" s="62">
        <v>4.8</v>
      </c>
      <c r="BL11" s="62">
        <v>0.9</v>
      </c>
      <c r="BM11" s="62">
        <v>0</v>
      </c>
      <c r="BN11" s="62"/>
      <c r="BO11" s="62"/>
      <c r="BP11" s="62"/>
      <c r="BQ11" s="62"/>
      <c r="BR11" s="62"/>
      <c r="BS11" s="62"/>
      <c r="BT11" s="62"/>
      <c r="BU11" s="62"/>
      <c r="BV11" s="17">
        <f t="shared" si="22"/>
        <v>16</v>
      </c>
      <c r="BW11" s="17">
        <f t="shared" si="23"/>
        <v>99.59999999999998</v>
      </c>
      <c r="BX11" s="17">
        <f t="shared" si="24"/>
        <v>34</v>
      </c>
      <c r="BY11" s="17">
        <f t="shared" si="25"/>
        <v>65.599999999999994</v>
      </c>
      <c r="BZ11" s="17" t="str">
        <f t="shared" si="26"/>
        <v/>
      </c>
      <c r="CA11" s="17">
        <f t="shared" si="27"/>
        <v>99.59999999999998</v>
      </c>
      <c r="CB11" s="60">
        <v>28.1</v>
      </c>
      <c r="CC11" s="60">
        <v>5.6</v>
      </c>
      <c r="CD11" s="60">
        <v>0</v>
      </c>
      <c r="CE11" s="60">
        <v>0</v>
      </c>
      <c r="CF11" s="60">
        <v>28.4</v>
      </c>
      <c r="CG11" s="60">
        <v>5.6</v>
      </c>
      <c r="CH11" s="60">
        <v>0.9</v>
      </c>
      <c r="CI11" s="60">
        <v>0</v>
      </c>
      <c r="CJ11" s="60">
        <v>27.5</v>
      </c>
      <c r="CK11" s="60">
        <v>4.4000000000000004</v>
      </c>
      <c r="CL11" s="60">
        <v>0.9</v>
      </c>
      <c r="CM11" s="60">
        <v>0</v>
      </c>
      <c r="CN11" s="60">
        <v>28.2</v>
      </c>
      <c r="CO11" s="60">
        <v>5.2</v>
      </c>
      <c r="CP11" s="60">
        <v>0.9</v>
      </c>
      <c r="CQ11" s="60">
        <v>0</v>
      </c>
      <c r="CR11" s="60">
        <v>0</v>
      </c>
      <c r="CS11" s="60">
        <v>0</v>
      </c>
      <c r="CT11" s="60">
        <v>0</v>
      </c>
      <c r="CU11" s="60">
        <v>0</v>
      </c>
      <c r="CV11" s="60">
        <v>27.7</v>
      </c>
      <c r="CW11" s="60">
        <v>6</v>
      </c>
      <c r="CX11" s="60">
        <v>0</v>
      </c>
      <c r="CY11" s="60">
        <v>0</v>
      </c>
      <c r="CZ11" s="13">
        <f t="shared" si="28"/>
        <v>20.8</v>
      </c>
      <c r="DA11" s="13">
        <f t="shared" si="29"/>
        <v>130.30000000000001</v>
      </c>
      <c r="DB11" s="13">
        <f t="shared" si="30"/>
        <v>66.8</v>
      </c>
      <c r="DC11" s="13">
        <f t="shared" si="31"/>
        <v>63.5</v>
      </c>
      <c r="DD11" s="13">
        <f t="shared" si="32"/>
        <v>33.700000000000003</v>
      </c>
      <c r="DE11" s="13">
        <f t="shared" si="33"/>
        <v>164</v>
      </c>
      <c r="DF11" s="43" t="str">
        <f t="shared" si="34"/>
        <v/>
      </c>
      <c r="DG11" s="43" t="str">
        <f t="shared" si="35"/>
        <v/>
      </c>
      <c r="DH11" s="43" t="str">
        <f t="shared" si="36"/>
        <v/>
      </c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60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13" t="str">
        <f t="shared" si="37"/>
        <v/>
      </c>
      <c r="EH11" s="13" t="str">
        <f t="shared" si="38"/>
        <v/>
      </c>
      <c r="EI11" s="13" t="str">
        <f t="shared" si="39"/>
        <v/>
      </c>
      <c r="EJ11" s="13" t="str">
        <f t="shared" si="40"/>
        <v/>
      </c>
      <c r="EK11" s="13" t="str">
        <f t="shared" si="41"/>
        <v/>
      </c>
      <c r="EL11" s="13" t="str">
        <f t="shared" si="42"/>
        <v/>
      </c>
      <c r="EM11" s="68"/>
      <c r="EN11" s="68"/>
      <c r="EO11" s="68"/>
      <c r="EP11" s="68"/>
      <c r="EQ11" s="68"/>
      <c r="ER11" s="68"/>
      <c r="ES11" s="68"/>
      <c r="ET11" s="68"/>
      <c r="EU11" s="68"/>
      <c r="EV11" s="68"/>
      <c r="EW11" s="68"/>
      <c r="EX11" s="68"/>
      <c r="EY11" s="68"/>
      <c r="EZ11" s="68"/>
      <c r="FA11" s="68"/>
      <c r="FB11" s="68"/>
      <c r="FC11" s="68"/>
      <c r="FD11" s="68"/>
      <c r="FE11" s="68"/>
      <c r="FF11" s="68"/>
      <c r="FG11" s="68"/>
      <c r="FH11" s="68"/>
      <c r="FI11" s="68"/>
      <c r="FJ11" s="68"/>
      <c r="FK11" s="17" t="str">
        <f t="shared" si="43"/>
        <v/>
      </c>
      <c r="FL11" s="17" t="str">
        <f t="shared" si="44"/>
        <v/>
      </c>
      <c r="FM11" s="17" t="str">
        <f t="shared" si="45"/>
        <v/>
      </c>
      <c r="FN11" s="17" t="str">
        <f t="shared" si="46"/>
        <v/>
      </c>
      <c r="FO11" s="17" t="str">
        <f t="shared" si="47"/>
        <v/>
      </c>
      <c r="FP11" s="17" t="str">
        <f t="shared" si="48"/>
        <v/>
      </c>
      <c r="FQ11" s="69"/>
      <c r="FR11" s="69"/>
      <c r="FS11" s="69"/>
      <c r="FT11" s="69"/>
      <c r="FU11" s="69"/>
      <c r="FV11" s="69"/>
      <c r="FW11" s="69"/>
      <c r="FX11" s="69"/>
      <c r="FY11" s="69"/>
      <c r="FZ11" s="69"/>
      <c r="GA11" s="69"/>
      <c r="GB11" s="69"/>
      <c r="GC11" s="69"/>
      <c r="GD11" s="69"/>
      <c r="GE11" s="69"/>
      <c r="GF11" s="69"/>
      <c r="GG11" s="69"/>
      <c r="GH11" s="69"/>
      <c r="GI11" s="69"/>
      <c r="GJ11" s="69"/>
      <c r="GK11" s="69"/>
      <c r="GL11" s="69"/>
      <c r="GM11" s="69"/>
      <c r="GN11" s="69"/>
      <c r="GO11" s="13" t="str">
        <f t="shared" si="49"/>
        <v/>
      </c>
      <c r="GP11" s="13" t="str">
        <f t="shared" si="50"/>
        <v/>
      </c>
      <c r="GQ11" s="13" t="str">
        <f t="shared" si="51"/>
        <v/>
      </c>
      <c r="GR11" s="13" t="str">
        <f t="shared" si="52"/>
        <v/>
      </c>
      <c r="GS11" s="13" t="str">
        <f t="shared" si="53"/>
        <v/>
      </c>
      <c r="GT11" s="13" t="str">
        <f t="shared" si="54"/>
        <v/>
      </c>
      <c r="GU11" s="68"/>
      <c r="GV11" s="68"/>
      <c r="GW11" s="68"/>
      <c r="GX11" s="68"/>
      <c r="GY11" s="68"/>
      <c r="GZ11" s="68"/>
      <c r="HA11" s="68"/>
      <c r="HB11" s="68"/>
      <c r="HC11" s="68"/>
      <c r="HD11" s="68"/>
      <c r="HE11" s="68"/>
      <c r="HF11" s="68"/>
      <c r="HG11" s="68"/>
      <c r="HH11" s="68"/>
      <c r="HI11" s="68"/>
      <c r="HJ11" s="68"/>
      <c r="HK11" s="68"/>
      <c r="HL11" s="68"/>
      <c r="HM11" s="68"/>
      <c r="HN11" s="68"/>
      <c r="HO11" s="68"/>
      <c r="HP11" s="68"/>
      <c r="HQ11" s="68"/>
      <c r="HR11" s="68"/>
      <c r="HS11" s="17" t="str">
        <f t="shared" si="55"/>
        <v/>
      </c>
      <c r="HT11" s="17" t="str">
        <f t="shared" si="56"/>
        <v/>
      </c>
      <c r="HU11" s="17" t="str">
        <f t="shared" si="57"/>
        <v/>
      </c>
      <c r="HV11" s="17" t="str">
        <f t="shared" si="58"/>
        <v/>
      </c>
      <c r="HW11" s="17" t="str">
        <f t="shared" si="59"/>
        <v/>
      </c>
      <c r="HX11" s="17" t="str">
        <f t="shared" si="60"/>
        <v/>
      </c>
      <c r="HY11" s="69"/>
      <c r="HZ11" s="69"/>
      <c r="IA11" s="69"/>
      <c r="IB11" s="69"/>
      <c r="IC11" s="69"/>
      <c r="ID11" s="69"/>
      <c r="IE11" s="69"/>
      <c r="IF11" s="69"/>
      <c r="IG11" s="69"/>
      <c r="IH11" s="69"/>
      <c r="II11" s="69"/>
      <c r="IJ11" s="69"/>
      <c r="IK11" s="69"/>
      <c r="IL11" s="69"/>
      <c r="IM11" s="69"/>
      <c r="IN11" s="69"/>
      <c r="IO11" s="69"/>
      <c r="IP11" s="69"/>
      <c r="IQ11" s="69"/>
      <c r="IR11" s="69"/>
      <c r="IS11" s="69"/>
      <c r="IT11" s="69"/>
      <c r="IU11" s="69"/>
      <c r="IV11" s="69"/>
      <c r="IW11" s="13" t="str">
        <f t="shared" si="61"/>
        <v/>
      </c>
      <c r="IX11" s="13" t="str">
        <f t="shared" si="62"/>
        <v/>
      </c>
      <c r="IY11" s="13" t="str">
        <f t="shared" si="63"/>
        <v/>
      </c>
      <c r="IZ11" s="13" t="str">
        <f t="shared" si="64"/>
        <v/>
      </c>
      <c r="JA11" s="13" t="str">
        <f t="shared" si="65"/>
        <v/>
      </c>
      <c r="JB11" s="13" t="str">
        <f t="shared" si="66"/>
        <v/>
      </c>
      <c r="JC11" s="68"/>
      <c r="JD11" s="68"/>
      <c r="JE11" s="68"/>
      <c r="JF11" s="68"/>
      <c r="JG11" s="68"/>
      <c r="JH11" s="68"/>
      <c r="JI11" s="68"/>
      <c r="JJ11" s="68"/>
      <c r="JK11" s="68"/>
      <c r="JL11" s="68"/>
      <c r="JM11" s="68"/>
      <c r="JN11" s="68"/>
      <c r="JO11" s="68"/>
      <c r="JP11" s="68"/>
      <c r="JQ11" s="68"/>
      <c r="JR11" s="68"/>
      <c r="JS11" s="68"/>
      <c r="JT11" s="68"/>
      <c r="JU11" s="68"/>
      <c r="JV11" s="68"/>
      <c r="JW11" s="68"/>
      <c r="JX11" s="68"/>
      <c r="JY11" s="68"/>
      <c r="JZ11" s="68"/>
      <c r="KA11" s="17" t="str">
        <f t="shared" si="67"/>
        <v/>
      </c>
      <c r="KB11" s="17" t="str">
        <f t="shared" si="68"/>
        <v/>
      </c>
      <c r="KC11" s="17" t="str">
        <f t="shared" si="69"/>
        <v/>
      </c>
      <c r="KD11" s="17" t="str">
        <f t="shared" si="70"/>
        <v/>
      </c>
      <c r="KE11" s="17" t="str">
        <f t="shared" si="71"/>
        <v/>
      </c>
      <c r="KF11" s="17" t="str">
        <f t="shared" si="72"/>
        <v/>
      </c>
      <c r="KG11" s="69"/>
      <c r="KH11" s="69"/>
      <c r="KI11" s="69"/>
      <c r="KJ11" s="69"/>
      <c r="KK11" s="69"/>
      <c r="KL11" s="69"/>
      <c r="KM11" s="69"/>
      <c r="KN11" s="69"/>
      <c r="KO11" s="69"/>
      <c r="KP11" s="69"/>
      <c r="KQ11" s="69"/>
      <c r="KR11" s="69"/>
      <c r="KS11" s="69"/>
      <c r="KT11" s="69"/>
      <c r="KU11" s="69"/>
      <c r="KV11" s="69"/>
      <c r="KW11" s="69"/>
      <c r="KX11" s="69"/>
      <c r="KY11" s="69"/>
      <c r="KZ11" s="69"/>
      <c r="LA11" s="69"/>
      <c r="LB11" s="69"/>
      <c r="LC11" s="69"/>
      <c r="LD11" s="69"/>
      <c r="LE11" s="13" t="str">
        <f t="shared" si="73"/>
        <v/>
      </c>
      <c r="LF11" s="13" t="str">
        <f t="shared" si="74"/>
        <v/>
      </c>
      <c r="LG11" s="13" t="str">
        <f t="shared" si="75"/>
        <v/>
      </c>
      <c r="LH11" s="13" t="str">
        <f t="shared" si="76"/>
        <v/>
      </c>
      <c r="LI11" s="13" t="str">
        <f t="shared" si="77"/>
        <v/>
      </c>
      <c r="LJ11" s="13" t="str">
        <f t="shared" si="78"/>
        <v/>
      </c>
      <c r="LK11" s="68"/>
      <c r="LL11" s="68"/>
      <c r="LM11" s="68"/>
      <c r="LN11" s="68"/>
      <c r="LO11" s="68"/>
      <c r="LP11" s="68"/>
      <c r="LQ11" s="68"/>
      <c r="LR11" s="68"/>
      <c r="LS11" s="68"/>
      <c r="LT11" s="68"/>
      <c r="LU11" s="68"/>
      <c r="LV11" s="68"/>
      <c r="LW11" s="68"/>
      <c r="LX11" s="68"/>
      <c r="LY11" s="68"/>
      <c r="LZ11" s="68"/>
      <c r="MA11" s="68"/>
      <c r="MB11" s="68"/>
      <c r="MC11" s="68"/>
      <c r="MD11" s="68"/>
      <c r="ME11" s="68"/>
      <c r="MF11" s="68"/>
      <c r="MG11" s="68"/>
      <c r="MH11" s="68"/>
      <c r="MI11" s="17" t="str">
        <f t="shared" si="79"/>
        <v/>
      </c>
      <c r="MJ11" s="17" t="str">
        <f t="shared" si="80"/>
        <v/>
      </c>
      <c r="MK11" s="17" t="str">
        <f t="shared" si="81"/>
        <v/>
      </c>
      <c r="ML11" s="17" t="str">
        <f t="shared" si="82"/>
        <v/>
      </c>
      <c r="MM11" s="17" t="str">
        <f t="shared" si="83"/>
        <v/>
      </c>
      <c r="MN11" s="17" t="str">
        <f t="shared" si="84"/>
        <v/>
      </c>
      <c r="MO11" s="69"/>
      <c r="MP11" s="69"/>
      <c r="MQ11" s="69"/>
      <c r="MR11" s="69"/>
      <c r="MS11" s="69"/>
      <c r="MT11" s="69"/>
      <c r="MU11" s="69"/>
      <c r="MV11" s="69"/>
      <c r="MW11" s="69"/>
      <c r="MX11" s="69"/>
      <c r="MY11" s="69"/>
      <c r="MZ11" s="69"/>
      <c r="NA11" s="69"/>
      <c r="NB11" s="69"/>
      <c r="NC11" s="69"/>
      <c r="ND11" s="69"/>
      <c r="NE11" s="69"/>
      <c r="NF11" s="69"/>
      <c r="NG11" s="69"/>
      <c r="NH11" s="69"/>
      <c r="NI11" s="69"/>
      <c r="NJ11" s="69"/>
      <c r="NK11" s="69"/>
      <c r="NL11" s="69"/>
      <c r="NM11" s="13" t="str">
        <f t="shared" si="85"/>
        <v/>
      </c>
      <c r="NN11" s="13" t="str">
        <f t="shared" si="86"/>
        <v/>
      </c>
      <c r="NO11" s="13" t="str">
        <f t="shared" si="87"/>
        <v/>
      </c>
      <c r="NP11" s="13" t="str">
        <f t="shared" si="88"/>
        <v/>
      </c>
      <c r="NQ11" s="13" t="str">
        <f t="shared" si="89"/>
        <v/>
      </c>
      <c r="NR11" s="13" t="str">
        <f t="shared" si="90"/>
        <v/>
      </c>
      <c r="NS11" s="68"/>
      <c r="NT11" s="68"/>
      <c r="NU11" s="68"/>
      <c r="NV11" s="68"/>
      <c r="NW11" s="68"/>
      <c r="NX11" s="68"/>
      <c r="NY11" s="68"/>
      <c r="NZ11" s="68"/>
      <c r="OA11" s="68"/>
      <c r="OB11" s="68"/>
      <c r="OC11" s="68"/>
      <c r="OD11" s="68"/>
      <c r="OE11" s="68"/>
      <c r="OF11" s="68"/>
      <c r="OG11" s="68"/>
      <c r="OH11" s="68"/>
      <c r="OI11" s="68"/>
      <c r="OJ11" s="68"/>
      <c r="OK11" s="68"/>
      <c r="OL11" s="68"/>
      <c r="OM11" s="68"/>
      <c r="ON11" s="68"/>
      <c r="OO11" s="68"/>
      <c r="OP11" s="68"/>
      <c r="OQ11" s="17" t="str">
        <f t="shared" si="91"/>
        <v/>
      </c>
      <c r="OR11" s="17" t="str">
        <f t="shared" si="92"/>
        <v/>
      </c>
      <c r="OS11" s="17" t="str">
        <f t="shared" si="93"/>
        <v/>
      </c>
      <c r="OT11" s="17" t="str">
        <f t="shared" si="94"/>
        <v/>
      </c>
      <c r="OU11" s="17" t="str">
        <f t="shared" si="95"/>
        <v/>
      </c>
      <c r="OV11" s="17" t="str">
        <f t="shared" si="96"/>
        <v/>
      </c>
      <c r="OW11" s="69"/>
      <c r="OX11" s="69"/>
      <c r="OY11" s="69"/>
      <c r="OZ11" s="69"/>
      <c r="PA11" s="69"/>
      <c r="PB11" s="69"/>
      <c r="PC11" s="69"/>
      <c r="PD11" s="69"/>
      <c r="PE11" s="69"/>
      <c r="PF11" s="69"/>
      <c r="PG11" s="69"/>
      <c r="PH11" s="69"/>
      <c r="PI11" s="69"/>
      <c r="PJ11" s="69"/>
      <c r="PK11" s="69"/>
      <c r="PL11" s="69"/>
      <c r="PM11" s="69"/>
      <c r="PN11" s="69"/>
      <c r="PO11" s="69"/>
      <c r="PP11" s="69"/>
      <c r="PQ11" s="69"/>
      <c r="PR11" s="69"/>
      <c r="PS11" s="69"/>
      <c r="PT11" s="69"/>
      <c r="PU11" s="13" t="str">
        <f t="shared" si="97"/>
        <v/>
      </c>
      <c r="PV11" s="13" t="str">
        <f t="shared" si="98"/>
        <v/>
      </c>
      <c r="PW11" s="13" t="str">
        <f t="shared" si="99"/>
        <v/>
      </c>
      <c r="PX11" s="13" t="str">
        <f t="shared" si="100"/>
        <v/>
      </c>
      <c r="PY11" s="13" t="str">
        <f t="shared" si="101"/>
        <v/>
      </c>
      <c r="PZ11" s="13" t="str">
        <f t="shared" si="102"/>
        <v/>
      </c>
      <c r="QA11" s="68"/>
      <c r="QB11" s="68"/>
      <c r="QC11" s="68"/>
      <c r="QD11" s="68"/>
      <c r="QE11" s="68"/>
      <c r="QF11" s="68"/>
      <c r="QG11" s="68"/>
      <c r="QH11" s="68"/>
      <c r="QI11" s="68"/>
      <c r="QJ11" s="68"/>
      <c r="QK11" s="68"/>
      <c r="QL11" s="68"/>
      <c r="QM11" s="68"/>
      <c r="QN11" s="68"/>
      <c r="QO11" s="68"/>
      <c r="QP11" s="68"/>
      <c r="QQ11" s="68"/>
      <c r="QR11" s="68"/>
      <c r="QS11" s="68"/>
      <c r="QT11" s="68"/>
      <c r="QU11" s="68"/>
      <c r="QV11" s="68"/>
      <c r="QW11" s="68"/>
      <c r="QX11" s="68"/>
      <c r="QY11" s="17" t="str">
        <f t="shared" si="103"/>
        <v/>
      </c>
      <c r="QZ11" s="17" t="str">
        <f t="shared" si="104"/>
        <v/>
      </c>
      <c r="RA11" s="17" t="str">
        <f t="shared" si="105"/>
        <v/>
      </c>
      <c r="RB11" s="17" t="str">
        <f t="shared" si="106"/>
        <v/>
      </c>
      <c r="RC11" s="17" t="str">
        <f t="shared" si="107"/>
        <v/>
      </c>
      <c r="RD11" s="17" t="str">
        <f t="shared" si="108"/>
        <v/>
      </c>
    </row>
    <row r="12" spans="1:472" x14ac:dyDescent="0.2">
      <c r="A12" s="6" t="str">
        <f t="shared" ca="1" si="0"/>
        <v/>
      </c>
      <c r="B12" s="9" t="s">
        <v>74</v>
      </c>
      <c r="C12" s="5" t="s">
        <v>6</v>
      </c>
      <c r="D12" s="46">
        <v>2014</v>
      </c>
      <c r="E12" s="18">
        <f t="shared" si="1"/>
        <v>285.97500000000002</v>
      </c>
      <c r="F12" s="4" t="str">
        <f t="shared" si="2"/>
        <v/>
      </c>
      <c r="G12" s="4" t="str">
        <f t="shared" ca="1" si="3"/>
        <v/>
      </c>
      <c r="H12" t="str">
        <f t="shared" ca="1" si="4"/>
        <v/>
      </c>
      <c r="I12" s="17">
        <f t="shared" si="5"/>
        <v>112.05000000000001</v>
      </c>
      <c r="J12" s="17" t="str">
        <f t="shared" si="6"/>
        <v>2017 Nationals</v>
      </c>
      <c r="K12" s="17">
        <f t="shared" si="7"/>
        <v>69.3</v>
      </c>
      <c r="L12" s="17" t="str">
        <f t="shared" si="8"/>
        <v>2017 Canada Cup</v>
      </c>
      <c r="M12" s="17">
        <f t="shared" si="9"/>
        <v>39.524999999999999</v>
      </c>
      <c r="N12" s="17" t="str">
        <f t="shared" si="10"/>
        <v>2017 3rd Domestic Trial</v>
      </c>
      <c r="O12" s="17">
        <f t="shared" si="11"/>
        <v>27.45</v>
      </c>
      <c r="P12" s="17" t="str">
        <f t="shared" si="12"/>
        <v>2017 Nationals</v>
      </c>
      <c r="Q12" s="17">
        <f t="shared" si="13"/>
        <v>37.649999999999991</v>
      </c>
      <c r="R12" s="44" t="str">
        <f t="shared" si="14"/>
        <v>(Final)</v>
      </c>
      <c r="S12" s="17" t="str">
        <f t="shared" si="15"/>
        <v>2016 Pan Am Championships (Dec)</v>
      </c>
      <c r="T12" s="60">
        <v>28.8</v>
      </c>
      <c r="U12" s="60">
        <v>6</v>
      </c>
      <c r="V12" s="60">
        <v>0</v>
      </c>
      <c r="W12" s="60">
        <v>0</v>
      </c>
      <c r="X12" s="60">
        <v>28.4</v>
      </c>
      <c r="Y12" s="60">
        <v>5.6</v>
      </c>
      <c r="Z12" s="60">
        <v>0</v>
      </c>
      <c r="AA12" s="60">
        <v>0.5</v>
      </c>
      <c r="AB12" s="60">
        <v>0</v>
      </c>
      <c r="AC12" s="60">
        <v>0</v>
      </c>
      <c r="AD12" s="60">
        <v>0</v>
      </c>
      <c r="AE12" s="60">
        <v>0</v>
      </c>
      <c r="AF12" s="60">
        <v>28.8</v>
      </c>
      <c r="AG12" s="60">
        <v>5.6</v>
      </c>
      <c r="AH12" s="60">
        <v>0</v>
      </c>
      <c r="AI12" s="60">
        <v>0</v>
      </c>
      <c r="AJ12" s="60"/>
      <c r="AK12" s="60"/>
      <c r="AL12" s="60"/>
      <c r="AM12" s="60"/>
      <c r="AN12" s="60"/>
      <c r="AO12" s="60"/>
      <c r="AP12" s="60"/>
      <c r="AQ12" s="60"/>
      <c r="AR12" s="13">
        <f t="shared" si="16"/>
        <v>17.2</v>
      </c>
      <c r="AS12" s="13">
        <f t="shared" si="17"/>
        <v>103.69999999999999</v>
      </c>
      <c r="AT12" s="13">
        <f t="shared" si="18"/>
        <v>69.3</v>
      </c>
      <c r="AU12" s="13">
        <f t="shared" si="19"/>
        <v>34.4</v>
      </c>
      <c r="AV12" s="13" t="str">
        <f t="shared" si="20"/>
        <v/>
      </c>
      <c r="AW12" s="13">
        <f t="shared" si="21"/>
        <v>103.69999999999999</v>
      </c>
      <c r="AX12" s="72">
        <v>33.299999999999997</v>
      </c>
      <c r="AY12" s="72">
        <v>0</v>
      </c>
      <c r="AZ12" s="72">
        <v>0</v>
      </c>
      <c r="BA12" s="72">
        <v>0</v>
      </c>
      <c r="BB12" s="72">
        <v>34.1</v>
      </c>
      <c r="BC12" s="72">
        <v>0</v>
      </c>
      <c r="BD12" s="72">
        <v>0</v>
      </c>
      <c r="BE12" s="72">
        <v>0</v>
      </c>
      <c r="BF12" s="72">
        <v>11.5</v>
      </c>
      <c r="BG12" s="72">
        <v>0</v>
      </c>
      <c r="BH12" s="72">
        <v>0</v>
      </c>
      <c r="BI12" s="72">
        <v>0</v>
      </c>
      <c r="BJ12" s="72">
        <v>33.15</v>
      </c>
      <c r="BK12" s="72">
        <v>0</v>
      </c>
      <c r="BL12" s="72">
        <v>0</v>
      </c>
      <c r="BM12" s="72">
        <v>0</v>
      </c>
      <c r="BN12" s="72">
        <v>11.5</v>
      </c>
      <c r="BO12" s="72">
        <v>0</v>
      </c>
      <c r="BP12" s="72">
        <v>0</v>
      </c>
      <c r="BQ12" s="72">
        <v>0</v>
      </c>
      <c r="BR12" s="72">
        <v>15.95</v>
      </c>
      <c r="BS12" s="72">
        <v>0</v>
      </c>
      <c r="BT12" s="72">
        <v>0</v>
      </c>
      <c r="BU12" s="72">
        <v>0</v>
      </c>
      <c r="BV12" s="17" t="str">
        <f t="shared" si="22"/>
        <v/>
      </c>
      <c r="BW12" s="17">
        <f t="shared" si="23"/>
        <v>112.05000000000001</v>
      </c>
      <c r="BX12" s="17">
        <f t="shared" si="24"/>
        <v>67.400000000000006</v>
      </c>
      <c r="BY12" s="17">
        <f t="shared" si="25"/>
        <v>44.65</v>
      </c>
      <c r="BZ12" s="17">
        <f t="shared" si="26"/>
        <v>27.45</v>
      </c>
      <c r="CA12" s="17">
        <f t="shared" si="27"/>
        <v>139.5</v>
      </c>
      <c r="CB12" s="75">
        <v>34.174999999999997</v>
      </c>
      <c r="CC12" s="75">
        <v>0</v>
      </c>
      <c r="CD12" s="75">
        <v>0</v>
      </c>
      <c r="CE12" s="75">
        <v>0</v>
      </c>
      <c r="CF12" s="75">
        <v>34.174999999999997</v>
      </c>
      <c r="CG12" s="75">
        <v>0</v>
      </c>
      <c r="CH12" s="75">
        <v>0</v>
      </c>
      <c r="CI12" s="75">
        <v>0</v>
      </c>
      <c r="CJ12" s="75">
        <v>19.762499999999999</v>
      </c>
      <c r="CK12" s="75">
        <v>0</v>
      </c>
      <c r="CL12" s="75">
        <v>0</v>
      </c>
      <c r="CM12" s="75">
        <v>0</v>
      </c>
      <c r="CN12" s="75">
        <v>19.762499999999999</v>
      </c>
      <c r="CO12" s="75">
        <v>0</v>
      </c>
      <c r="CP12" s="75">
        <v>0</v>
      </c>
      <c r="CQ12" s="75">
        <v>0</v>
      </c>
      <c r="CR12" s="75">
        <v>6.8624999999999998</v>
      </c>
      <c r="CS12" s="75">
        <v>0</v>
      </c>
      <c r="CT12" s="75">
        <v>0</v>
      </c>
      <c r="CU12" s="75">
        <v>0</v>
      </c>
      <c r="CV12" s="75">
        <v>6.8624999999999998</v>
      </c>
      <c r="CW12" s="75">
        <v>0</v>
      </c>
      <c r="CX12" s="75">
        <v>0</v>
      </c>
      <c r="CY12" s="75">
        <v>0</v>
      </c>
      <c r="CZ12" s="13" t="str">
        <f t="shared" si="28"/>
        <v/>
      </c>
      <c r="DA12" s="13">
        <f t="shared" si="29"/>
        <v>107.875</v>
      </c>
      <c r="DB12" s="13">
        <f t="shared" si="30"/>
        <v>68.349999999999994</v>
      </c>
      <c r="DC12" s="13">
        <f t="shared" si="31"/>
        <v>39.524999999999999</v>
      </c>
      <c r="DD12" s="13">
        <f t="shared" si="32"/>
        <v>13.725</v>
      </c>
      <c r="DE12" s="13">
        <f t="shared" si="33"/>
        <v>121.6</v>
      </c>
      <c r="DF12" s="43" t="str">
        <f t="shared" si="34"/>
        <v/>
      </c>
      <c r="DG12" s="43" t="str">
        <f t="shared" si="35"/>
        <v/>
      </c>
      <c r="DH12" s="43">
        <f t="shared" si="36"/>
        <v>37.649999999999991</v>
      </c>
      <c r="DI12" s="60">
        <v>33.1</v>
      </c>
      <c r="DJ12" s="60">
        <v>0</v>
      </c>
      <c r="DK12" s="60">
        <v>0</v>
      </c>
      <c r="DL12" s="60">
        <v>0</v>
      </c>
      <c r="DM12" s="60">
        <v>34.200000000000003</v>
      </c>
      <c r="DN12" s="60">
        <v>0</v>
      </c>
      <c r="DO12" s="60">
        <v>0</v>
      </c>
      <c r="DP12" s="60">
        <v>0</v>
      </c>
      <c r="DQ12" s="60"/>
      <c r="DR12" s="60"/>
      <c r="DS12" s="60"/>
      <c r="DT12" s="60"/>
      <c r="DU12" s="60"/>
      <c r="DV12" s="60"/>
      <c r="DW12" s="60"/>
      <c r="DX12" s="60"/>
      <c r="DY12" s="60">
        <v>32.9</v>
      </c>
      <c r="DZ12" s="60">
        <v>0</v>
      </c>
      <c r="EA12" s="60">
        <v>0</v>
      </c>
      <c r="EB12" s="60">
        <v>0</v>
      </c>
      <c r="EC12" s="60">
        <v>32.200000000000003</v>
      </c>
      <c r="ED12" s="60">
        <v>0</v>
      </c>
      <c r="EE12" s="60">
        <v>0</v>
      </c>
      <c r="EF12" s="60">
        <v>0</v>
      </c>
      <c r="EG12" s="13" t="str">
        <f t="shared" si="37"/>
        <v/>
      </c>
      <c r="EH12" s="13">
        <f t="shared" si="38"/>
        <v>67.300000000000011</v>
      </c>
      <c r="EI12" s="13">
        <f t="shared" si="39"/>
        <v>67.300000000000011</v>
      </c>
      <c r="EJ12" s="13" t="str">
        <f t="shared" si="40"/>
        <v/>
      </c>
      <c r="EK12" s="13">
        <f t="shared" si="41"/>
        <v>65.099999999999994</v>
      </c>
      <c r="EL12" s="13">
        <f t="shared" si="42"/>
        <v>132.4</v>
      </c>
      <c r="EM12" s="68"/>
      <c r="EN12" s="68"/>
      <c r="EO12" s="68"/>
      <c r="EP12" s="68"/>
      <c r="EQ12" s="68"/>
      <c r="ER12" s="68"/>
      <c r="ES12" s="68"/>
      <c r="ET12" s="68"/>
      <c r="EU12" s="68"/>
      <c r="EV12" s="68"/>
      <c r="EW12" s="68"/>
      <c r="EX12" s="68"/>
      <c r="EY12" s="68"/>
      <c r="EZ12" s="68"/>
      <c r="FA12" s="68"/>
      <c r="FB12" s="68"/>
      <c r="FC12" s="68"/>
      <c r="FD12" s="68"/>
      <c r="FE12" s="68"/>
      <c r="FF12" s="68"/>
      <c r="FG12" s="68"/>
      <c r="FH12" s="68"/>
      <c r="FI12" s="68"/>
      <c r="FJ12" s="68"/>
      <c r="FK12" s="17" t="str">
        <f t="shared" si="43"/>
        <v/>
      </c>
      <c r="FL12" s="17" t="str">
        <f t="shared" si="44"/>
        <v/>
      </c>
      <c r="FM12" s="17" t="str">
        <f t="shared" si="45"/>
        <v/>
      </c>
      <c r="FN12" s="17" t="str">
        <f t="shared" si="46"/>
        <v/>
      </c>
      <c r="FO12" s="17" t="str">
        <f t="shared" si="47"/>
        <v/>
      </c>
      <c r="FP12" s="17" t="str">
        <f t="shared" si="48"/>
        <v/>
      </c>
      <c r="FQ12" s="69"/>
      <c r="FR12" s="69"/>
      <c r="FS12" s="69"/>
      <c r="FT12" s="69"/>
      <c r="FU12" s="69"/>
      <c r="FV12" s="69"/>
      <c r="FW12" s="69"/>
      <c r="FX12" s="69"/>
      <c r="FY12" s="69"/>
      <c r="FZ12" s="69"/>
      <c r="GA12" s="69"/>
      <c r="GB12" s="69"/>
      <c r="GC12" s="69"/>
      <c r="GD12" s="69"/>
      <c r="GE12" s="69"/>
      <c r="GF12" s="69"/>
      <c r="GG12" s="69"/>
      <c r="GH12" s="69"/>
      <c r="GI12" s="69"/>
      <c r="GJ12" s="69"/>
      <c r="GK12" s="69"/>
      <c r="GL12" s="69"/>
      <c r="GM12" s="69"/>
      <c r="GN12" s="69"/>
      <c r="GO12" s="13" t="str">
        <f t="shared" si="49"/>
        <v/>
      </c>
      <c r="GP12" s="13" t="str">
        <f t="shared" si="50"/>
        <v/>
      </c>
      <c r="GQ12" s="13" t="str">
        <f t="shared" si="51"/>
        <v/>
      </c>
      <c r="GR12" s="13" t="str">
        <f t="shared" si="52"/>
        <v/>
      </c>
      <c r="GS12" s="13" t="str">
        <f t="shared" si="53"/>
        <v/>
      </c>
      <c r="GT12" s="13" t="str">
        <f t="shared" si="54"/>
        <v/>
      </c>
      <c r="GU12" s="68"/>
      <c r="GV12" s="68"/>
      <c r="GW12" s="68"/>
      <c r="GX12" s="68"/>
      <c r="GY12" s="68"/>
      <c r="GZ12" s="68"/>
      <c r="HA12" s="68"/>
      <c r="HB12" s="68"/>
      <c r="HC12" s="68"/>
      <c r="HD12" s="68"/>
      <c r="HE12" s="68"/>
      <c r="HF12" s="68"/>
      <c r="HG12" s="68"/>
      <c r="HH12" s="68"/>
      <c r="HI12" s="68"/>
      <c r="HJ12" s="68"/>
      <c r="HK12" s="68"/>
      <c r="HL12" s="68"/>
      <c r="HM12" s="68"/>
      <c r="HN12" s="68"/>
      <c r="HO12" s="68"/>
      <c r="HP12" s="68"/>
      <c r="HQ12" s="68"/>
      <c r="HR12" s="68"/>
      <c r="HS12" s="17" t="str">
        <f t="shared" si="55"/>
        <v/>
      </c>
      <c r="HT12" s="17" t="str">
        <f t="shared" si="56"/>
        <v/>
      </c>
      <c r="HU12" s="17" t="str">
        <f t="shared" si="57"/>
        <v/>
      </c>
      <c r="HV12" s="17" t="str">
        <f t="shared" si="58"/>
        <v/>
      </c>
      <c r="HW12" s="17" t="str">
        <f t="shared" si="59"/>
        <v/>
      </c>
      <c r="HX12" s="17" t="str">
        <f t="shared" si="60"/>
        <v/>
      </c>
      <c r="HY12" s="69"/>
      <c r="HZ12" s="69"/>
      <c r="IA12" s="69"/>
      <c r="IB12" s="69"/>
      <c r="IC12" s="69"/>
      <c r="ID12" s="69"/>
      <c r="IE12" s="69"/>
      <c r="IF12" s="69"/>
      <c r="IG12" s="69"/>
      <c r="IH12" s="69"/>
      <c r="II12" s="69"/>
      <c r="IJ12" s="69"/>
      <c r="IK12" s="69"/>
      <c r="IL12" s="69"/>
      <c r="IM12" s="69"/>
      <c r="IN12" s="69"/>
      <c r="IO12" s="69"/>
      <c r="IP12" s="69"/>
      <c r="IQ12" s="69"/>
      <c r="IR12" s="69"/>
      <c r="IS12" s="69"/>
      <c r="IT12" s="69"/>
      <c r="IU12" s="69"/>
      <c r="IV12" s="69"/>
      <c r="IW12" s="13" t="str">
        <f t="shared" si="61"/>
        <v/>
      </c>
      <c r="IX12" s="13" t="str">
        <f t="shared" si="62"/>
        <v/>
      </c>
      <c r="IY12" s="13" t="str">
        <f t="shared" si="63"/>
        <v/>
      </c>
      <c r="IZ12" s="13" t="str">
        <f t="shared" si="64"/>
        <v/>
      </c>
      <c r="JA12" s="13" t="str">
        <f t="shared" si="65"/>
        <v/>
      </c>
      <c r="JB12" s="13" t="str">
        <f t="shared" si="66"/>
        <v/>
      </c>
      <c r="JC12" s="68"/>
      <c r="JD12" s="68"/>
      <c r="JE12" s="68"/>
      <c r="JF12" s="68"/>
      <c r="JG12" s="68"/>
      <c r="JH12" s="68"/>
      <c r="JI12" s="68"/>
      <c r="JJ12" s="68"/>
      <c r="JK12" s="68"/>
      <c r="JL12" s="68"/>
      <c r="JM12" s="68"/>
      <c r="JN12" s="68"/>
      <c r="JO12" s="68"/>
      <c r="JP12" s="68"/>
      <c r="JQ12" s="68"/>
      <c r="JR12" s="68"/>
      <c r="JS12" s="68"/>
      <c r="JT12" s="68"/>
      <c r="JU12" s="68"/>
      <c r="JV12" s="68"/>
      <c r="JW12" s="68"/>
      <c r="JX12" s="68"/>
      <c r="JY12" s="68"/>
      <c r="JZ12" s="68"/>
      <c r="KA12" s="17" t="str">
        <f t="shared" si="67"/>
        <v/>
      </c>
      <c r="KB12" s="17" t="str">
        <f t="shared" si="68"/>
        <v/>
      </c>
      <c r="KC12" s="17" t="str">
        <f t="shared" si="69"/>
        <v/>
      </c>
      <c r="KD12" s="17" t="str">
        <f t="shared" si="70"/>
        <v/>
      </c>
      <c r="KE12" s="17" t="str">
        <f t="shared" si="71"/>
        <v/>
      </c>
      <c r="KF12" s="17" t="str">
        <f t="shared" si="72"/>
        <v/>
      </c>
      <c r="KG12" s="69"/>
      <c r="KH12" s="69"/>
      <c r="KI12" s="69"/>
      <c r="KJ12" s="69"/>
      <c r="KK12" s="69"/>
      <c r="KL12" s="69"/>
      <c r="KM12" s="69"/>
      <c r="KN12" s="69"/>
      <c r="KO12" s="69"/>
      <c r="KP12" s="69"/>
      <c r="KQ12" s="69"/>
      <c r="KR12" s="69"/>
      <c r="KS12" s="69"/>
      <c r="KT12" s="69"/>
      <c r="KU12" s="69"/>
      <c r="KV12" s="69"/>
      <c r="KW12" s="69"/>
      <c r="KX12" s="69"/>
      <c r="KY12" s="69"/>
      <c r="KZ12" s="69"/>
      <c r="LA12" s="69"/>
      <c r="LB12" s="69"/>
      <c r="LC12" s="69"/>
      <c r="LD12" s="69"/>
      <c r="LE12" s="13" t="str">
        <f t="shared" si="73"/>
        <v/>
      </c>
      <c r="LF12" s="13" t="str">
        <f t="shared" si="74"/>
        <v/>
      </c>
      <c r="LG12" s="13" t="str">
        <f t="shared" si="75"/>
        <v/>
      </c>
      <c r="LH12" s="13" t="str">
        <f t="shared" si="76"/>
        <v/>
      </c>
      <c r="LI12" s="13" t="str">
        <f t="shared" si="77"/>
        <v/>
      </c>
      <c r="LJ12" s="13" t="str">
        <f t="shared" si="78"/>
        <v/>
      </c>
      <c r="LK12" s="68"/>
      <c r="LL12" s="68"/>
      <c r="LM12" s="68"/>
      <c r="LN12" s="68"/>
      <c r="LO12" s="68"/>
      <c r="LP12" s="68"/>
      <c r="LQ12" s="68"/>
      <c r="LR12" s="68"/>
      <c r="LS12" s="68"/>
      <c r="LT12" s="68"/>
      <c r="LU12" s="68"/>
      <c r="LV12" s="68"/>
      <c r="LW12" s="68"/>
      <c r="LX12" s="68"/>
      <c r="LY12" s="68"/>
      <c r="LZ12" s="68"/>
      <c r="MA12" s="68"/>
      <c r="MB12" s="68"/>
      <c r="MC12" s="68"/>
      <c r="MD12" s="68"/>
      <c r="ME12" s="68"/>
      <c r="MF12" s="68"/>
      <c r="MG12" s="68"/>
      <c r="MH12" s="68"/>
      <c r="MI12" s="17" t="str">
        <f t="shared" si="79"/>
        <v/>
      </c>
      <c r="MJ12" s="17" t="str">
        <f t="shared" si="80"/>
        <v/>
      </c>
      <c r="MK12" s="17" t="str">
        <f t="shared" si="81"/>
        <v/>
      </c>
      <c r="ML12" s="17" t="str">
        <f t="shared" si="82"/>
        <v/>
      </c>
      <c r="MM12" s="17" t="str">
        <f t="shared" si="83"/>
        <v/>
      </c>
      <c r="MN12" s="17" t="str">
        <f t="shared" si="84"/>
        <v/>
      </c>
      <c r="MO12" s="69"/>
      <c r="MP12" s="69"/>
      <c r="MQ12" s="69"/>
      <c r="MR12" s="69"/>
      <c r="MS12" s="69"/>
      <c r="MT12" s="69"/>
      <c r="MU12" s="69"/>
      <c r="MV12" s="69"/>
      <c r="MW12" s="69"/>
      <c r="MX12" s="69"/>
      <c r="MY12" s="69"/>
      <c r="MZ12" s="69"/>
      <c r="NA12" s="69"/>
      <c r="NB12" s="69"/>
      <c r="NC12" s="69"/>
      <c r="ND12" s="69"/>
      <c r="NE12" s="69"/>
      <c r="NF12" s="69"/>
      <c r="NG12" s="69"/>
      <c r="NH12" s="69"/>
      <c r="NI12" s="69"/>
      <c r="NJ12" s="69"/>
      <c r="NK12" s="69"/>
      <c r="NL12" s="69"/>
      <c r="NM12" s="13" t="str">
        <f t="shared" si="85"/>
        <v/>
      </c>
      <c r="NN12" s="13" t="str">
        <f t="shared" si="86"/>
        <v/>
      </c>
      <c r="NO12" s="13" t="str">
        <f t="shared" si="87"/>
        <v/>
      </c>
      <c r="NP12" s="13" t="str">
        <f t="shared" si="88"/>
        <v/>
      </c>
      <c r="NQ12" s="13" t="str">
        <f t="shared" si="89"/>
        <v/>
      </c>
      <c r="NR12" s="13" t="str">
        <f t="shared" si="90"/>
        <v/>
      </c>
      <c r="NS12" s="68"/>
      <c r="NT12" s="68"/>
      <c r="NU12" s="68"/>
      <c r="NV12" s="68"/>
      <c r="NW12" s="68"/>
      <c r="NX12" s="68"/>
      <c r="NY12" s="68"/>
      <c r="NZ12" s="68"/>
      <c r="OA12" s="68"/>
      <c r="OB12" s="68"/>
      <c r="OC12" s="68"/>
      <c r="OD12" s="68"/>
      <c r="OE12" s="68"/>
      <c r="OF12" s="68"/>
      <c r="OG12" s="68"/>
      <c r="OH12" s="68"/>
      <c r="OI12" s="68"/>
      <c r="OJ12" s="68"/>
      <c r="OK12" s="68"/>
      <c r="OL12" s="68"/>
      <c r="OM12" s="68"/>
      <c r="ON12" s="68"/>
      <c r="OO12" s="68"/>
      <c r="OP12" s="68"/>
      <c r="OQ12" s="17" t="str">
        <f t="shared" si="91"/>
        <v/>
      </c>
      <c r="OR12" s="17" t="str">
        <f t="shared" si="92"/>
        <v/>
      </c>
      <c r="OS12" s="17" t="str">
        <f t="shared" si="93"/>
        <v/>
      </c>
      <c r="OT12" s="17" t="str">
        <f t="shared" si="94"/>
        <v/>
      </c>
      <c r="OU12" s="17" t="str">
        <f t="shared" si="95"/>
        <v/>
      </c>
      <c r="OV12" s="17" t="str">
        <f t="shared" si="96"/>
        <v/>
      </c>
      <c r="OW12" s="69"/>
      <c r="OX12" s="69"/>
      <c r="OY12" s="69"/>
      <c r="OZ12" s="69"/>
      <c r="PA12" s="69"/>
      <c r="PB12" s="69"/>
      <c r="PC12" s="69"/>
      <c r="PD12" s="69"/>
      <c r="PE12" s="69"/>
      <c r="PF12" s="69"/>
      <c r="PG12" s="69"/>
      <c r="PH12" s="69"/>
      <c r="PI12" s="69"/>
      <c r="PJ12" s="69"/>
      <c r="PK12" s="69"/>
      <c r="PL12" s="69"/>
      <c r="PM12" s="69"/>
      <c r="PN12" s="69"/>
      <c r="PO12" s="69"/>
      <c r="PP12" s="69"/>
      <c r="PQ12" s="69"/>
      <c r="PR12" s="69"/>
      <c r="PS12" s="69"/>
      <c r="PT12" s="69"/>
      <c r="PU12" s="13" t="str">
        <f t="shared" si="97"/>
        <v/>
      </c>
      <c r="PV12" s="13" t="str">
        <f t="shared" si="98"/>
        <v/>
      </c>
      <c r="PW12" s="13" t="str">
        <f t="shared" si="99"/>
        <v/>
      </c>
      <c r="PX12" s="13" t="str">
        <f t="shared" si="100"/>
        <v/>
      </c>
      <c r="PY12" s="13" t="str">
        <f t="shared" si="101"/>
        <v/>
      </c>
      <c r="PZ12" s="13" t="str">
        <f t="shared" si="102"/>
        <v/>
      </c>
      <c r="QA12" s="68"/>
      <c r="QB12" s="68"/>
      <c r="QC12" s="68"/>
      <c r="QD12" s="68"/>
      <c r="QE12" s="68"/>
      <c r="QF12" s="68"/>
      <c r="QG12" s="68"/>
      <c r="QH12" s="68"/>
      <c r="QI12" s="68"/>
      <c r="QJ12" s="68"/>
      <c r="QK12" s="68"/>
      <c r="QL12" s="68"/>
      <c r="QM12" s="68"/>
      <c r="QN12" s="68"/>
      <c r="QO12" s="68"/>
      <c r="QP12" s="68"/>
      <c r="QQ12" s="68"/>
      <c r="QR12" s="68"/>
      <c r="QS12" s="68"/>
      <c r="QT12" s="68"/>
      <c r="QU12" s="68"/>
      <c r="QV12" s="68"/>
      <c r="QW12" s="68"/>
      <c r="QX12" s="68"/>
      <c r="QY12" s="17" t="str">
        <f t="shared" si="103"/>
        <v/>
      </c>
      <c r="QZ12" s="17" t="str">
        <f t="shared" si="104"/>
        <v/>
      </c>
      <c r="RA12" s="17" t="str">
        <f t="shared" si="105"/>
        <v/>
      </c>
      <c r="RB12" s="17" t="str">
        <f t="shared" si="106"/>
        <v/>
      </c>
      <c r="RC12" s="17" t="str">
        <f t="shared" si="107"/>
        <v/>
      </c>
      <c r="RD12" s="17" t="str">
        <f t="shared" si="108"/>
        <v/>
      </c>
    </row>
    <row r="13" spans="1:472" x14ac:dyDescent="0.2">
      <c r="A13" s="6" t="str">
        <f t="shared" ca="1" si="0"/>
        <v/>
      </c>
      <c r="B13" s="9" t="s">
        <v>73</v>
      </c>
      <c r="C13" s="5" t="s">
        <v>4</v>
      </c>
      <c r="D13" s="46">
        <v>2015</v>
      </c>
      <c r="E13" s="18">
        <f t="shared" si="1"/>
        <v>181.125</v>
      </c>
      <c r="F13" s="4" t="str">
        <f t="shared" si="2"/>
        <v/>
      </c>
      <c r="G13" s="4" t="str">
        <f t="shared" ca="1" si="3"/>
        <v/>
      </c>
      <c r="H13" t="str">
        <f t="shared" ca="1" si="4"/>
        <v/>
      </c>
      <c r="I13" s="17">
        <f t="shared" si="5"/>
        <v>65.7</v>
      </c>
      <c r="J13" s="17" t="str">
        <f t="shared" si="6"/>
        <v>2017 Nationals</v>
      </c>
      <c r="K13" s="17">
        <f t="shared" si="7"/>
        <v>30.799999999999997</v>
      </c>
      <c r="L13" s="17" t="str">
        <f t="shared" si="8"/>
        <v>2017 3rd Domestic Trial</v>
      </c>
      <c r="M13" s="17">
        <f t="shared" si="9"/>
        <v>16.074999999999999</v>
      </c>
      <c r="N13" s="17" t="str">
        <f t="shared" si="10"/>
        <v>2017 3rd Domestic Trial</v>
      </c>
      <c r="O13" s="17">
        <f t="shared" si="11"/>
        <v>32.15</v>
      </c>
      <c r="P13" s="17" t="str">
        <f t="shared" si="12"/>
        <v>2017 Nationals</v>
      </c>
      <c r="Q13" s="17">
        <f t="shared" si="13"/>
        <v>36.400000000000006</v>
      </c>
      <c r="R13" s="44" t="str">
        <f t="shared" si="14"/>
        <v>(Pass 1-2)</v>
      </c>
      <c r="S13" s="17" t="str">
        <f t="shared" si="15"/>
        <v>2016 Pan Am Championships (Dec)</v>
      </c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13" t="str">
        <f t="shared" si="16"/>
        <v/>
      </c>
      <c r="AS13" s="13" t="str">
        <f t="shared" si="17"/>
        <v/>
      </c>
      <c r="AT13" s="13" t="str">
        <f t="shared" si="18"/>
        <v/>
      </c>
      <c r="AU13" s="13" t="str">
        <f t="shared" si="19"/>
        <v/>
      </c>
      <c r="AV13" s="13" t="str">
        <f t="shared" si="20"/>
        <v/>
      </c>
      <c r="AW13" s="13" t="str">
        <f t="shared" si="21"/>
        <v/>
      </c>
      <c r="AX13" s="72">
        <v>16.75</v>
      </c>
      <c r="AY13" s="72">
        <v>0</v>
      </c>
      <c r="AZ13" s="72">
        <v>0</v>
      </c>
      <c r="BA13" s="72">
        <v>0</v>
      </c>
      <c r="BB13" s="72">
        <v>16.8</v>
      </c>
      <c r="BC13" s="72">
        <v>0</v>
      </c>
      <c r="BD13" s="72">
        <v>0</v>
      </c>
      <c r="BE13" s="72">
        <v>0</v>
      </c>
      <c r="BF13" s="72">
        <v>15.45</v>
      </c>
      <c r="BG13" s="72">
        <v>0</v>
      </c>
      <c r="BH13" s="72">
        <v>0</v>
      </c>
      <c r="BI13" s="72">
        <v>0</v>
      </c>
      <c r="BJ13" s="72">
        <v>16.7</v>
      </c>
      <c r="BK13" s="72">
        <v>0</v>
      </c>
      <c r="BL13" s="72">
        <v>0</v>
      </c>
      <c r="BM13" s="72">
        <v>0</v>
      </c>
      <c r="BN13" s="72">
        <v>15.45</v>
      </c>
      <c r="BO13" s="72">
        <v>0</v>
      </c>
      <c r="BP13" s="72">
        <v>0</v>
      </c>
      <c r="BQ13" s="72">
        <v>0</v>
      </c>
      <c r="BR13" s="72">
        <v>16.7</v>
      </c>
      <c r="BS13" s="72">
        <v>0</v>
      </c>
      <c r="BT13" s="72">
        <v>0</v>
      </c>
      <c r="BU13" s="72">
        <v>0</v>
      </c>
      <c r="BV13" s="17" t="str">
        <f t="shared" si="22"/>
        <v/>
      </c>
      <c r="BW13" s="17">
        <f t="shared" si="23"/>
        <v>65.7</v>
      </c>
      <c r="BX13" s="17">
        <f t="shared" si="24"/>
        <v>33.549999999999997</v>
      </c>
      <c r="BY13" s="17">
        <f t="shared" si="25"/>
        <v>32.15</v>
      </c>
      <c r="BZ13" s="17">
        <f t="shared" si="26"/>
        <v>32.15</v>
      </c>
      <c r="CA13" s="17">
        <f t="shared" si="27"/>
        <v>97.85</v>
      </c>
      <c r="CB13" s="60">
        <v>20</v>
      </c>
      <c r="CC13" s="60">
        <v>2.4</v>
      </c>
      <c r="CD13" s="60">
        <v>0</v>
      </c>
      <c r="CE13" s="60">
        <v>0</v>
      </c>
      <c r="CF13" s="75">
        <v>8.4</v>
      </c>
      <c r="CG13" s="75">
        <v>0</v>
      </c>
      <c r="CH13" s="75">
        <v>0</v>
      </c>
      <c r="CI13" s="75">
        <v>0</v>
      </c>
      <c r="CJ13" s="75">
        <v>7.7249999999999996</v>
      </c>
      <c r="CK13" s="75">
        <v>0</v>
      </c>
      <c r="CL13" s="75">
        <v>0</v>
      </c>
      <c r="CM13" s="75">
        <v>0</v>
      </c>
      <c r="CN13" s="75">
        <v>8.35</v>
      </c>
      <c r="CO13" s="75">
        <v>0</v>
      </c>
      <c r="CP13" s="75">
        <v>0</v>
      </c>
      <c r="CQ13" s="75">
        <v>0</v>
      </c>
      <c r="CR13" s="75">
        <v>7.7249999999999996</v>
      </c>
      <c r="CS13" s="75">
        <v>0</v>
      </c>
      <c r="CT13" s="75">
        <v>0</v>
      </c>
      <c r="CU13" s="75">
        <v>0</v>
      </c>
      <c r="CV13" s="75">
        <v>8.35</v>
      </c>
      <c r="CW13" s="75">
        <v>0</v>
      </c>
      <c r="CX13" s="75">
        <v>0</v>
      </c>
      <c r="CY13" s="75">
        <v>0</v>
      </c>
      <c r="CZ13" s="13">
        <f t="shared" si="28"/>
        <v>2.4</v>
      </c>
      <c r="DA13" s="13">
        <f t="shared" si="29"/>
        <v>46.875</v>
      </c>
      <c r="DB13" s="13">
        <f t="shared" si="30"/>
        <v>30.799999999999997</v>
      </c>
      <c r="DC13" s="13">
        <f t="shared" si="31"/>
        <v>16.074999999999999</v>
      </c>
      <c r="DD13" s="13">
        <f t="shared" si="32"/>
        <v>16.074999999999999</v>
      </c>
      <c r="DE13" s="13">
        <f t="shared" si="33"/>
        <v>62.95</v>
      </c>
      <c r="DF13" s="43">
        <f t="shared" si="34"/>
        <v>36.400000000000006</v>
      </c>
      <c r="DG13" s="43" t="str">
        <f t="shared" si="35"/>
        <v/>
      </c>
      <c r="DH13" s="43" t="str">
        <f t="shared" si="36"/>
        <v/>
      </c>
      <c r="DI13" s="60">
        <v>34.200000000000003</v>
      </c>
      <c r="DJ13" s="60">
        <v>0</v>
      </c>
      <c r="DK13" s="60">
        <v>0</v>
      </c>
      <c r="DL13" s="60">
        <v>0</v>
      </c>
      <c r="DM13" s="60">
        <v>33</v>
      </c>
      <c r="DN13" s="60">
        <v>0</v>
      </c>
      <c r="DO13" s="60">
        <v>0</v>
      </c>
      <c r="DP13" s="60">
        <v>0</v>
      </c>
      <c r="DQ13" s="60"/>
      <c r="DR13" s="60"/>
      <c r="DS13" s="60"/>
      <c r="DT13" s="60"/>
      <c r="DU13" s="60"/>
      <c r="DV13" s="60"/>
      <c r="DW13" s="60"/>
      <c r="DX13" s="60"/>
      <c r="DY13" s="60"/>
      <c r="DZ13" s="60"/>
      <c r="EA13" s="60"/>
      <c r="EB13" s="60"/>
      <c r="EC13" s="60"/>
      <c r="ED13" s="60"/>
      <c r="EE13" s="60"/>
      <c r="EF13" s="60"/>
      <c r="EG13" s="13" t="str">
        <f t="shared" si="37"/>
        <v/>
      </c>
      <c r="EH13" s="13">
        <f t="shared" si="38"/>
        <v>67.2</v>
      </c>
      <c r="EI13" s="13">
        <f t="shared" si="39"/>
        <v>67.2</v>
      </c>
      <c r="EJ13" s="13" t="str">
        <f t="shared" si="40"/>
        <v/>
      </c>
      <c r="EK13" s="13" t="str">
        <f t="shared" si="41"/>
        <v/>
      </c>
      <c r="EL13" s="13">
        <f t="shared" si="42"/>
        <v>67.2</v>
      </c>
      <c r="EM13" s="68"/>
      <c r="EN13" s="68"/>
      <c r="EO13" s="68"/>
      <c r="EP13" s="68"/>
      <c r="EQ13" s="68"/>
      <c r="ER13" s="68"/>
      <c r="ES13" s="68"/>
      <c r="ET13" s="68"/>
      <c r="EU13" s="68"/>
      <c r="EV13" s="68"/>
      <c r="EW13" s="68"/>
      <c r="EX13" s="68"/>
      <c r="EY13" s="68"/>
      <c r="EZ13" s="68"/>
      <c r="FA13" s="68"/>
      <c r="FB13" s="68"/>
      <c r="FC13" s="68"/>
      <c r="FD13" s="68"/>
      <c r="FE13" s="68"/>
      <c r="FF13" s="68"/>
      <c r="FG13" s="68"/>
      <c r="FH13" s="68"/>
      <c r="FI13" s="68"/>
      <c r="FJ13" s="68"/>
      <c r="FK13" s="17" t="str">
        <f t="shared" si="43"/>
        <v/>
      </c>
      <c r="FL13" s="17" t="str">
        <f t="shared" si="44"/>
        <v/>
      </c>
      <c r="FM13" s="17" t="str">
        <f t="shared" si="45"/>
        <v/>
      </c>
      <c r="FN13" s="17" t="str">
        <f t="shared" si="46"/>
        <v/>
      </c>
      <c r="FO13" s="17" t="str">
        <f t="shared" si="47"/>
        <v/>
      </c>
      <c r="FP13" s="17" t="str">
        <f t="shared" si="48"/>
        <v/>
      </c>
      <c r="FQ13" s="69"/>
      <c r="FR13" s="69"/>
      <c r="FS13" s="69"/>
      <c r="FT13" s="69"/>
      <c r="FU13" s="69"/>
      <c r="FV13" s="69"/>
      <c r="FW13" s="69"/>
      <c r="FX13" s="69"/>
      <c r="FY13" s="69"/>
      <c r="FZ13" s="69"/>
      <c r="GA13" s="69"/>
      <c r="GB13" s="69"/>
      <c r="GC13" s="69"/>
      <c r="GD13" s="69"/>
      <c r="GE13" s="69"/>
      <c r="GF13" s="69"/>
      <c r="GG13" s="69"/>
      <c r="GH13" s="69"/>
      <c r="GI13" s="69"/>
      <c r="GJ13" s="69"/>
      <c r="GK13" s="69"/>
      <c r="GL13" s="69"/>
      <c r="GM13" s="69"/>
      <c r="GN13" s="69"/>
      <c r="GO13" s="13" t="str">
        <f t="shared" si="49"/>
        <v/>
      </c>
      <c r="GP13" s="13" t="str">
        <f t="shared" si="50"/>
        <v/>
      </c>
      <c r="GQ13" s="13" t="str">
        <f t="shared" si="51"/>
        <v/>
      </c>
      <c r="GR13" s="13" t="str">
        <f t="shared" si="52"/>
        <v/>
      </c>
      <c r="GS13" s="13" t="str">
        <f t="shared" si="53"/>
        <v/>
      </c>
      <c r="GT13" s="13" t="str">
        <f t="shared" si="54"/>
        <v/>
      </c>
      <c r="GU13" s="68"/>
      <c r="GV13" s="68"/>
      <c r="GW13" s="68"/>
      <c r="GX13" s="68"/>
      <c r="GY13" s="68"/>
      <c r="GZ13" s="68"/>
      <c r="HA13" s="68"/>
      <c r="HB13" s="68"/>
      <c r="HC13" s="68"/>
      <c r="HD13" s="68"/>
      <c r="HE13" s="68"/>
      <c r="HF13" s="68"/>
      <c r="HG13" s="68"/>
      <c r="HH13" s="68"/>
      <c r="HI13" s="68"/>
      <c r="HJ13" s="68"/>
      <c r="HK13" s="68"/>
      <c r="HL13" s="68"/>
      <c r="HM13" s="68"/>
      <c r="HN13" s="68"/>
      <c r="HO13" s="68"/>
      <c r="HP13" s="68"/>
      <c r="HQ13" s="68"/>
      <c r="HR13" s="68"/>
      <c r="HS13" s="17" t="str">
        <f t="shared" si="55"/>
        <v/>
      </c>
      <c r="HT13" s="17" t="str">
        <f t="shared" si="56"/>
        <v/>
      </c>
      <c r="HU13" s="17" t="str">
        <f t="shared" si="57"/>
        <v/>
      </c>
      <c r="HV13" s="17" t="str">
        <f t="shared" si="58"/>
        <v/>
      </c>
      <c r="HW13" s="17" t="str">
        <f t="shared" si="59"/>
        <v/>
      </c>
      <c r="HX13" s="17" t="str">
        <f t="shared" si="60"/>
        <v/>
      </c>
      <c r="HY13" s="69"/>
      <c r="HZ13" s="69"/>
      <c r="IA13" s="69"/>
      <c r="IB13" s="69"/>
      <c r="IC13" s="69"/>
      <c r="ID13" s="69"/>
      <c r="IE13" s="69"/>
      <c r="IF13" s="69"/>
      <c r="IG13" s="69"/>
      <c r="IH13" s="69"/>
      <c r="II13" s="69"/>
      <c r="IJ13" s="69"/>
      <c r="IK13" s="69"/>
      <c r="IL13" s="69"/>
      <c r="IM13" s="69"/>
      <c r="IN13" s="69"/>
      <c r="IO13" s="69"/>
      <c r="IP13" s="69"/>
      <c r="IQ13" s="69"/>
      <c r="IR13" s="69"/>
      <c r="IS13" s="69"/>
      <c r="IT13" s="69"/>
      <c r="IU13" s="69"/>
      <c r="IV13" s="69"/>
      <c r="IW13" s="13" t="str">
        <f t="shared" si="61"/>
        <v/>
      </c>
      <c r="IX13" s="13" t="str">
        <f t="shared" si="62"/>
        <v/>
      </c>
      <c r="IY13" s="13" t="str">
        <f t="shared" si="63"/>
        <v/>
      </c>
      <c r="IZ13" s="13" t="str">
        <f t="shared" si="64"/>
        <v/>
      </c>
      <c r="JA13" s="13" t="str">
        <f t="shared" si="65"/>
        <v/>
      </c>
      <c r="JB13" s="13" t="str">
        <f t="shared" si="66"/>
        <v/>
      </c>
      <c r="JC13" s="68"/>
      <c r="JD13" s="68"/>
      <c r="JE13" s="68"/>
      <c r="JF13" s="68"/>
      <c r="JG13" s="68"/>
      <c r="JH13" s="68"/>
      <c r="JI13" s="68"/>
      <c r="JJ13" s="68"/>
      <c r="JK13" s="68"/>
      <c r="JL13" s="68"/>
      <c r="JM13" s="68"/>
      <c r="JN13" s="68"/>
      <c r="JO13" s="68"/>
      <c r="JP13" s="68"/>
      <c r="JQ13" s="68"/>
      <c r="JR13" s="68"/>
      <c r="JS13" s="68"/>
      <c r="JT13" s="68"/>
      <c r="JU13" s="68"/>
      <c r="JV13" s="68"/>
      <c r="JW13" s="68"/>
      <c r="JX13" s="68"/>
      <c r="JY13" s="68"/>
      <c r="JZ13" s="68"/>
      <c r="KA13" s="17" t="str">
        <f t="shared" si="67"/>
        <v/>
      </c>
      <c r="KB13" s="17" t="str">
        <f t="shared" si="68"/>
        <v/>
      </c>
      <c r="KC13" s="17" t="str">
        <f t="shared" si="69"/>
        <v/>
      </c>
      <c r="KD13" s="17" t="str">
        <f t="shared" si="70"/>
        <v/>
      </c>
      <c r="KE13" s="17" t="str">
        <f t="shared" si="71"/>
        <v/>
      </c>
      <c r="KF13" s="17" t="str">
        <f t="shared" si="72"/>
        <v/>
      </c>
      <c r="KG13" s="69"/>
      <c r="KH13" s="69"/>
      <c r="KI13" s="69"/>
      <c r="KJ13" s="69"/>
      <c r="KK13" s="69"/>
      <c r="KL13" s="69"/>
      <c r="KM13" s="69"/>
      <c r="KN13" s="69"/>
      <c r="KO13" s="69"/>
      <c r="KP13" s="69"/>
      <c r="KQ13" s="69"/>
      <c r="KR13" s="69"/>
      <c r="KS13" s="69"/>
      <c r="KT13" s="69"/>
      <c r="KU13" s="69"/>
      <c r="KV13" s="69"/>
      <c r="KW13" s="69"/>
      <c r="KX13" s="69"/>
      <c r="KY13" s="69"/>
      <c r="KZ13" s="69"/>
      <c r="LA13" s="69"/>
      <c r="LB13" s="69"/>
      <c r="LC13" s="69"/>
      <c r="LD13" s="69"/>
      <c r="LE13" s="13" t="str">
        <f t="shared" si="73"/>
        <v/>
      </c>
      <c r="LF13" s="13" t="str">
        <f t="shared" si="74"/>
        <v/>
      </c>
      <c r="LG13" s="13" t="str">
        <f t="shared" si="75"/>
        <v/>
      </c>
      <c r="LH13" s="13" t="str">
        <f t="shared" si="76"/>
        <v/>
      </c>
      <c r="LI13" s="13" t="str">
        <f t="shared" si="77"/>
        <v/>
      </c>
      <c r="LJ13" s="13" t="str">
        <f t="shared" si="78"/>
        <v/>
      </c>
      <c r="LK13" s="68"/>
      <c r="LL13" s="68"/>
      <c r="LM13" s="68"/>
      <c r="LN13" s="68"/>
      <c r="LO13" s="68"/>
      <c r="LP13" s="68"/>
      <c r="LQ13" s="68"/>
      <c r="LR13" s="68"/>
      <c r="LS13" s="68"/>
      <c r="LT13" s="68"/>
      <c r="LU13" s="68"/>
      <c r="LV13" s="68"/>
      <c r="LW13" s="68"/>
      <c r="LX13" s="68"/>
      <c r="LY13" s="68"/>
      <c r="LZ13" s="68"/>
      <c r="MA13" s="68"/>
      <c r="MB13" s="68"/>
      <c r="MC13" s="68"/>
      <c r="MD13" s="68"/>
      <c r="ME13" s="68"/>
      <c r="MF13" s="68"/>
      <c r="MG13" s="68"/>
      <c r="MH13" s="68"/>
      <c r="MI13" s="17" t="str">
        <f t="shared" si="79"/>
        <v/>
      </c>
      <c r="MJ13" s="17" t="str">
        <f t="shared" si="80"/>
        <v/>
      </c>
      <c r="MK13" s="17" t="str">
        <f t="shared" si="81"/>
        <v/>
      </c>
      <c r="ML13" s="17" t="str">
        <f t="shared" si="82"/>
        <v/>
      </c>
      <c r="MM13" s="17" t="str">
        <f t="shared" si="83"/>
        <v/>
      </c>
      <c r="MN13" s="17" t="str">
        <f t="shared" si="84"/>
        <v/>
      </c>
      <c r="MO13" s="69"/>
      <c r="MP13" s="69"/>
      <c r="MQ13" s="69"/>
      <c r="MR13" s="69"/>
      <c r="MS13" s="69"/>
      <c r="MT13" s="69"/>
      <c r="MU13" s="69"/>
      <c r="MV13" s="69"/>
      <c r="MW13" s="69"/>
      <c r="MX13" s="69"/>
      <c r="MY13" s="69"/>
      <c r="MZ13" s="69"/>
      <c r="NA13" s="69"/>
      <c r="NB13" s="69"/>
      <c r="NC13" s="69"/>
      <c r="ND13" s="69"/>
      <c r="NE13" s="69"/>
      <c r="NF13" s="69"/>
      <c r="NG13" s="69"/>
      <c r="NH13" s="69"/>
      <c r="NI13" s="69"/>
      <c r="NJ13" s="69"/>
      <c r="NK13" s="69"/>
      <c r="NL13" s="69"/>
      <c r="NM13" s="13" t="str">
        <f t="shared" si="85"/>
        <v/>
      </c>
      <c r="NN13" s="13" t="str">
        <f t="shared" si="86"/>
        <v/>
      </c>
      <c r="NO13" s="13" t="str">
        <f t="shared" si="87"/>
        <v/>
      </c>
      <c r="NP13" s="13" t="str">
        <f t="shared" si="88"/>
        <v/>
      </c>
      <c r="NQ13" s="13" t="str">
        <f t="shared" si="89"/>
        <v/>
      </c>
      <c r="NR13" s="13" t="str">
        <f t="shared" si="90"/>
        <v/>
      </c>
      <c r="NS13" s="68"/>
      <c r="NT13" s="68"/>
      <c r="NU13" s="68"/>
      <c r="NV13" s="68"/>
      <c r="NW13" s="68"/>
      <c r="NX13" s="68"/>
      <c r="NY13" s="68"/>
      <c r="NZ13" s="68"/>
      <c r="OA13" s="68"/>
      <c r="OB13" s="68"/>
      <c r="OC13" s="68"/>
      <c r="OD13" s="68"/>
      <c r="OE13" s="68"/>
      <c r="OF13" s="68"/>
      <c r="OG13" s="68"/>
      <c r="OH13" s="68"/>
      <c r="OI13" s="68"/>
      <c r="OJ13" s="68"/>
      <c r="OK13" s="68"/>
      <c r="OL13" s="68"/>
      <c r="OM13" s="68"/>
      <c r="ON13" s="68"/>
      <c r="OO13" s="68"/>
      <c r="OP13" s="68"/>
      <c r="OQ13" s="17" t="str">
        <f t="shared" si="91"/>
        <v/>
      </c>
      <c r="OR13" s="17" t="str">
        <f t="shared" si="92"/>
        <v/>
      </c>
      <c r="OS13" s="17" t="str">
        <f t="shared" si="93"/>
        <v/>
      </c>
      <c r="OT13" s="17" t="str">
        <f t="shared" si="94"/>
        <v/>
      </c>
      <c r="OU13" s="17" t="str">
        <f t="shared" si="95"/>
        <v/>
      </c>
      <c r="OV13" s="17" t="str">
        <f t="shared" si="96"/>
        <v/>
      </c>
      <c r="OW13" s="69"/>
      <c r="OX13" s="69"/>
      <c r="OY13" s="69"/>
      <c r="OZ13" s="69"/>
      <c r="PA13" s="69"/>
      <c r="PB13" s="69"/>
      <c r="PC13" s="69"/>
      <c r="PD13" s="69"/>
      <c r="PE13" s="69"/>
      <c r="PF13" s="69"/>
      <c r="PG13" s="69"/>
      <c r="PH13" s="69"/>
      <c r="PI13" s="69"/>
      <c r="PJ13" s="69"/>
      <c r="PK13" s="69"/>
      <c r="PL13" s="69"/>
      <c r="PM13" s="69"/>
      <c r="PN13" s="69"/>
      <c r="PO13" s="69"/>
      <c r="PP13" s="69"/>
      <c r="PQ13" s="69"/>
      <c r="PR13" s="69"/>
      <c r="PS13" s="69"/>
      <c r="PT13" s="69"/>
      <c r="PU13" s="13" t="str">
        <f t="shared" si="97"/>
        <v/>
      </c>
      <c r="PV13" s="13" t="str">
        <f t="shared" si="98"/>
        <v/>
      </c>
      <c r="PW13" s="13" t="str">
        <f t="shared" si="99"/>
        <v/>
      </c>
      <c r="PX13" s="13" t="str">
        <f t="shared" si="100"/>
        <v/>
      </c>
      <c r="PY13" s="13" t="str">
        <f t="shared" si="101"/>
        <v/>
      </c>
      <c r="PZ13" s="13" t="str">
        <f t="shared" si="102"/>
        <v/>
      </c>
      <c r="QA13" s="68"/>
      <c r="QB13" s="68"/>
      <c r="QC13" s="68"/>
      <c r="QD13" s="68"/>
      <c r="QE13" s="68"/>
      <c r="QF13" s="68"/>
      <c r="QG13" s="68"/>
      <c r="QH13" s="68"/>
      <c r="QI13" s="68"/>
      <c r="QJ13" s="68"/>
      <c r="QK13" s="68"/>
      <c r="QL13" s="68"/>
      <c r="QM13" s="68"/>
      <c r="QN13" s="68"/>
      <c r="QO13" s="68"/>
      <c r="QP13" s="68"/>
      <c r="QQ13" s="68"/>
      <c r="QR13" s="68"/>
      <c r="QS13" s="68"/>
      <c r="QT13" s="68"/>
      <c r="QU13" s="68"/>
      <c r="QV13" s="68"/>
      <c r="QW13" s="68"/>
      <c r="QX13" s="68"/>
      <c r="QY13" s="17" t="str">
        <f t="shared" si="103"/>
        <v/>
      </c>
      <c r="QZ13" s="17" t="str">
        <f t="shared" si="104"/>
        <v/>
      </c>
      <c r="RA13" s="17" t="str">
        <f t="shared" si="105"/>
        <v/>
      </c>
      <c r="RB13" s="17" t="str">
        <f t="shared" si="106"/>
        <v/>
      </c>
      <c r="RC13" s="17" t="str">
        <f t="shared" si="107"/>
        <v/>
      </c>
      <c r="RD13" s="17" t="str">
        <f t="shared" si="108"/>
        <v/>
      </c>
    </row>
    <row r="14" spans="1:472" s="56" customFormat="1" x14ac:dyDescent="0.2">
      <c r="GU14" s="57"/>
      <c r="GV14" s="57"/>
      <c r="GW14" s="57"/>
      <c r="GX14" s="57"/>
      <c r="GY14" s="57"/>
      <c r="GZ14" s="57"/>
      <c r="HA14" s="57"/>
      <c r="HB14" s="57"/>
      <c r="HC14" s="57"/>
      <c r="HD14" s="57"/>
      <c r="HE14" s="57"/>
      <c r="HF14" s="57"/>
      <c r="HG14" s="57"/>
      <c r="HH14" s="57"/>
      <c r="HI14" s="57"/>
      <c r="HJ14" s="57"/>
      <c r="HK14" s="57"/>
      <c r="HL14" s="57"/>
      <c r="HM14" s="57"/>
      <c r="HN14" s="57"/>
      <c r="HO14" s="57"/>
      <c r="HP14" s="57"/>
      <c r="HQ14" s="57"/>
      <c r="HR14" s="57"/>
      <c r="HS14" s="58" t="str">
        <f t="shared" si="55"/>
        <v/>
      </c>
      <c r="HT14" s="58" t="str">
        <f t="shared" si="56"/>
        <v/>
      </c>
      <c r="HU14" s="58" t="str">
        <f t="shared" si="57"/>
        <v/>
      </c>
      <c r="HV14" s="58" t="str">
        <f t="shared" si="58"/>
        <v/>
      </c>
      <c r="HW14" s="58" t="str">
        <f t="shared" si="59"/>
        <v/>
      </c>
      <c r="HX14" s="58" t="str">
        <f t="shared" si="60"/>
        <v/>
      </c>
      <c r="HY14" s="59"/>
      <c r="HZ14" s="59"/>
      <c r="IA14" s="59"/>
      <c r="IB14" s="59"/>
      <c r="IC14" s="59"/>
      <c r="ID14" s="59"/>
      <c r="IE14" s="59"/>
      <c r="IF14" s="59"/>
      <c r="IG14" s="59"/>
      <c r="IH14" s="59"/>
      <c r="II14" s="59"/>
      <c r="IJ14" s="59"/>
      <c r="IK14" s="59"/>
      <c r="IL14" s="59"/>
      <c r="IM14" s="59"/>
      <c r="IN14" s="59"/>
      <c r="IO14" s="59"/>
      <c r="IP14" s="59"/>
      <c r="IQ14" s="59"/>
      <c r="IR14" s="59"/>
      <c r="IS14" s="59"/>
      <c r="IT14" s="59"/>
      <c r="IU14" s="59"/>
      <c r="IV14" s="59"/>
      <c r="IW14" s="58" t="str">
        <f t="shared" si="61"/>
        <v/>
      </c>
      <c r="IX14" s="58" t="str">
        <f t="shared" si="62"/>
        <v/>
      </c>
      <c r="IY14" s="58" t="str">
        <f t="shared" si="63"/>
        <v/>
      </c>
      <c r="IZ14" s="58" t="str">
        <f t="shared" si="64"/>
        <v/>
      </c>
      <c r="JA14" s="58" t="str">
        <f t="shared" si="65"/>
        <v/>
      </c>
      <c r="JB14" s="58" t="str">
        <f t="shared" si="66"/>
        <v/>
      </c>
      <c r="JC14" s="57"/>
      <c r="JD14" s="57"/>
      <c r="JE14" s="57"/>
      <c r="JF14" s="57"/>
      <c r="JG14" s="57"/>
      <c r="JH14" s="57"/>
      <c r="JI14" s="57"/>
      <c r="JJ14" s="57"/>
      <c r="JK14" s="57"/>
      <c r="JL14" s="57"/>
      <c r="JM14" s="57"/>
      <c r="JN14" s="57"/>
      <c r="JO14" s="57"/>
      <c r="JP14" s="57"/>
      <c r="JQ14" s="57"/>
      <c r="JR14" s="57"/>
      <c r="JS14" s="57"/>
      <c r="JT14" s="57"/>
      <c r="JU14" s="57"/>
      <c r="JV14" s="57"/>
      <c r="JW14" s="57"/>
      <c r="JX14" s="57"/>
      <c r="JY14" s="57"/>
      <c r="JZ14" s="57"/>
      <c r="KA14" s="58" t="str">
        <f t="shared" si="67"/>
        <v/>
      </c>
      <c r="KB14" s="58" t="str">
        <f t="shared" si="68"/>
        <v/>
      </c>
      <c r="KC14" s="58" t="str">
        <f t="shared" si="69"/>
        <v/>
      </c>
      <c r="KD14" s="58" t="str">
        <f t="shared" si="70"/>
        <v/>
      </c>
      <c r="KE14" s="58" t="str">
        <f t="shared" si="71"/>
        <v/>
      </c>
      <c r="KF14" s="58" t="str">
        <f t="shared" si="72"/>
        <v/>
      </c>
      <c r="KG14" s="59"/>
      <c r="KH14" s="59"/>
      <c r="KI14" s="59"/>
      <c r="KJ14" s="59"/>
      <c r="KK14" s="59"/>
      <c r="KL14" s="59"/>
      <c r="KM14" s="59"/>
      <c r="KN14" s="59"/>
      <c r="KO14" s="59"/>
      <c r="KP14" s="59"/>
      <c r="KQ14" s="59"/>
      <c r="KR14" s="59"/>
      <c r="KS14" s="59"/>
      <c r="KT14" s="59"/>
      <c r="KU14" s="59"/>
      <c r="KV14" s="59"/>
      <c r="KW14" s="59"/>
      <c r="KX14" s="59"/>
      <c r="KY14" s="59"/>
      <c r="KZ14" s="59"/>
      <c r="LA14" s="59"/>
      <c r="LB14" s="59"/>
      <c r="LC14" s="59"/>
      <c r="LD14" s="59"/>
      <c r="LE14" s="58" t="str">
        <f t="shared" si="73"/>
        <v/>
      </c>
      <c r="LF14" s="58" t="str">
        <f t="shared" si="74"/>
        <v/>
      </c>
      <c r="LG14" s="58" t="str">
        <f t="shared" si="75"/>
        <v/>
      </c>
      <c r="LH14" s="58" t="str">
        <f t="shared" si="76"/>
        <v/>
      </c>
      <c r="LI14" s="58" t="str">
        <f t="shared" si="77"/>
        <v/>
      </c>
      <c r="LJ14" s="58" t="str">
        <f t="shared" si="78"/>
        <v/>
      </c>
      <c r="LK14" s="57"/>
      <c r="LL14" s="57"/>
      <c r="LM14" s="57"/>
      <c r="LN14" s="57"/>
      <c r="LO14" s="57"/>
      <c r="LP14" s="57"/>
      <c r="LQ14" s="57"/>
      <c r="LR14" s="57"/>
      <c r="LS14" s="57"/>
      <c r="LT14" s="57"/>
      <c r="LU14" s="57"/>
      <c r="LV14" s="57"/>
      <c r="LW14" s="57"/>
      <c r="LX14" s="57"/>
      <c r="LY14" s="57"/>
      <c r="LZ14" s="57"/>
      <c r="MA14" s="57"/>
      <c r="MB14" s="57"/>
      <c r="MC14" s="57"/>
      <c r="MD14" s="57"/>
      <c r="ME14" s="57"/>
      <c r="MF14" s="57"/>
      <c r="MG14" s="57"/>
      <c r="MH14" s="57"/>
      <c r="MI14" s="58" t="str">
        <f t="shared" si="79"/>
        <v/>
      </c>
      <c r="MJ14" s="58" t="str">
        <f t="shared" si="80"/>
        <v/>
      </c>
      <c r="MK14" s="58" t="str">
        <f t="shared" si="81"/>
        <v/>
      </c>
      <c r="ML14" s="58" t="str">
        <f t="shared" si="82"/>
        <v/>
      </c>
      <c r="MM14" s="58" t="str">
        <f t="shared" si="83"/>
        <v/>
      </c>
      <c r="MN14" s="58" t="str">
        <f t="shared" si="84"/>
        <v/>
      </c>
      <c r="MO14" s="59"/>
      <c r="MP14" s="59"/>
      <c r="MQ14" s="59"/>
      <c r="MR14" s="59"/>
      <c r="MS14" s="59"/>
      <c r="MT14" s="59"/>
      <c r="MU14" s="59"/>
      <c r="MV14" s="59"/>
      <c r="MW14" s="59"/>
      <c r="MX14" s="59"/>
      <c r="MY14" s="59"/>
      <c r="MZ14" s="59"/>
      <c r="NA14" s="59"/>
      <c r="NB14" s="59"/>
      <c r="NC14" s="59"/>
      <c r="ND14" s="59"/>
      <c r="NE14" s="59"/>
      <c r="NF14" s="59"/>
      <c r="NG14" s="59"/>
      <c r="NH14" s="59"/>
      <c r="NI14" s="59"/>
      <c r="NJ14" s="59"/>
      <c r="NK14" s="59"/>
      <c r="NL14" s="59"/>
      <c r="NM14" s="58" t="str">
        <f t="shared" si="85"/>
        <v/>
      </c>
      <c r="NN14" s="58" t="str">
        <f t="shared" si="86"/>
        <v/>
      </c>
      <c r="NO14" s="58" t="str">
        <f t="shared" si="87"/>
        <v/>
      </c>
      <c r="NP14" s="58" t="str">
        <f t="shared" si="88"/>
        <v/>
      </c>
      <c r="NQ14" s="58" t="str">
        <f t="shared" si="89"/>
        <v/>
      </c>
      <c r="NR14" s="58" t="str">
        <f t="shared" si="90"/>
        <v/>
      </c>
      <c r="NS14" s="57"/>
      <c r="NT14" s="57"/>
      <c r="NU14" s="57"/>
      <c r="NV14" s="57"/>
      <c r="NW14" s="57"/>
      <c r="NX14" s="57"/>
      <c r="NY14" s="57"/>
      <c r="NZ14" s="57"/>
      <c r="OA14" s="57"/>
      <c r="OB14" s="57"/>
      <c r="OC14" s="57"/>
      <c r="OD14" s="57"/>
      <c r="OE14" s="57"/>
      <c r="OF14" s="57"/>
      <c r="OG14" s="57"/>
      <c r="OH14" s="57"/>
      <c r="OI14" s="57"/>
      <c r="OJ14" s="57"/>
      <c r="OK14" s="57"/>
      <c r="OL14" s="57"/>
      <c r="OM14" s="57"/>
      <c r="ON14" s="57"/>
      <c r="OO14" s="57"/>
      <c r="OP14" s="57"/>
      <c r="OQ14" s="58" t="str">
        <f t="shared" si="91"/>
        <v/>
      </c>
      <c r="OR14" s="58" t="str">
        <f t="shared" si="92"/>
        <v/>
      </c>
      <c r="OS14" s="58" t="str">
        <f t="shared" si="93"/>
        <v/>
      </c>
      <c r="OT14" s="58" t="str">
        <f t="shared" si="94"/>
        <v/>
      </c>
      <c r="OU14" s="58" t="str">
        <f t="shared" si="95"/>
        <v/>
      </c>
      <c r="OV14" s="58" t="str">
        <f t="shared" si="96"/>
        <v/>
      </c>
      <c r="OW14" s="59"/>
      <c r="OX14" s="59"/>
      <c r="OY14" s="59"/>
      <c r="OZ14" s="59"/>
      <c r="PA14" s="59"/>
      <c r="PB14" s="59"/>
      <c r="PC14" s="59"/>
      <c r="PD14" s="59"/>
      <c r="PE14" s="59"/>
      <c r="PF14" s="59"/>
      <c r="PG14" s="59"/>
      <c r="PH14" s="59"/>
      <c r="PI14" s="59"/>
      <c r="PJ14" s="59"/>
      <c r="PK14" s="59"/>
      <c r="PL14" s="59"/>
      <c r="PM14" s="59"/>
      <c r="PN14" s="59"/>
      <c r="PO14" s="59"/>
      <c r="PP14" s="59"/>
      <c r="PQ14" s="59"/>
      <c r="PR14" s="59"/>
      <c r="PS14" s="59"/>
      <c r="PT14" s="59"/>
      <c r="PU14" s="58" t="str">
        <f t="shared" si="97"/>
        <v/>
      </c>
      <c r="PV14" s="58" t="str">
        <f t="shared" si="98"/>
        <v/>
      </c>
      <c r="PW14" s="58" t="str">
        <f t="shared" si="99"/>
        <v/>
      </c>
      <c r="PX14" s="58" t="str">
        <f t="shared" si="100"/>
        <v/>
      </c>
      <c r="PY14" s="58" t="str">
        <f t="shared" si="101"/>
        <v/>
      </c>
      <c r="PZ14" s="58" t="str">
        <f t="shared" si="102"/>
        <v/>
      </c>
      <c r="QA14" s="57"/>
      <c r="QB14" s="57"/>
      <c r="QC14" s="57"/>
      <c r="QD14" s="57"/>
      <c r="QE14" s="57"/>
      <c r="QF14" s="57"/>
      <c r="QG14" s="57"/>
      <c r="QH14" s="57"/>
      <c r="QI14" s="57"/>
      <c r="QJ14" s="57"/>
      <c r="QK14" s="57"/>
      <c r="QL14" s="57"/>
      <c r="QM14" s="57"/>
      <c r="QN14" s="57"/>
      <c r="QO14" s="57"/>
      <c r="QP14" s="57"/>
      <c r="QQ14" s="57"/>
      <c r="QR14" s="57"/>
      <c r="QS14" s="57"/>
      <c r="QT14" s="57"/>
      <c r="QU14" s="57"/>
      <c r="QV14" s="57"/>
      <c r="QW14" s="57"/>
      <c r="QX14" s="57"/>
      <c r="QY14" s="58" t="str">
        <f t="shared" si="103"/>
        <v/>
      </c>
      <c r="QZ14" s="58" t="str">
        <f t="shared" si="104"/>
        <v/>
      </c>
      <c r="RA14" s="58" t="str">
        <f t="shared" si="105"/>
        <v/>
      </c>
      <c r="RB14" s="58" t="str">
        <f t="shared" si="106"/>
        <v/>
      </c>
      <c r="RC14" s="58" t="str">
        <f t="shared" si="107"/>
        <v/>
      </c>
      <c r="RD14" s="58" t="str">
        <f t="shared" si="108"/>
        <v/>
      </c>
    </row>
    <row r="17" spans="1:110" x14ac:dyDescent="0.2">
      <c r="A17" s="91" t="s">
        <v>44</v>
      </c>
      <c r="B17" s="91"/>
      <c r="C17" s="21">
        <v>22</v>
      </c>
    </row>
    <row r="18" spans="1:110" x14ac:dyDescent="0.2">
      <c r="A18" s="92" t="s">
        <v>42</v>
      </c>
      <c r="B18" s="92"/>
      <c r="C18" s="22">
        <v>128.19999999999999</v>
      </c>
    </row>
    <row r="19" spans="1:110" x14ac:dyDescent="0.2">
      <c r="A19" s="93" t="s">
        <v>23</v>
      </c>
      <c r="B19" s="93"/>
      <c r="C19" s="23">
        <v>130.6</v>
      </c>
    </row>
    <row r="20" spans="1:110" x14ac:dyDescent="0.2">
      <c r="A20" s="89" t="s">
        <v>43</v>
      </c>
      <c r="B20" s="89"/>
      <c r="C20" s="24">
        <v>134.1</v>
      </c>
    </row>
    <row r="21" spans="1:110" x14ac:dyDescent="0.2">
      <c r="A21" s="90" t="s">
        <v>112</v>
      </c>
      <c r="B21" s="90"/>
      <c r="C21" s="25">
        <v>137.80000000000001</v>
      </c>
    </row>
    <row r="22" spans="1:110" x14ac:dyDescent="0.2">
      <c r="C22" s="3"/>
    </row>
    <row r="23" spans="1:110" x14ac:dyDescent="0.2">
      <c r="A23" s="93" t="s">
        <v>86</v>
      </c>
      <c r="B23" s="93"/>
      <c r="C23" s="23">
        <f>C19*2.5</f>
        <v>326.5</v>
      </c>
    </row>
    <row r="24" spans="1:110" x14ac:dyDescent="0.2">
      <c r="A24" s="89" t="s">
        <v>87</v>
      </c>
      <c r="B24" s="89"/>
      <c r="C24" s="24">
        <f>C20*2.5</f>
        <v>335.25</v>
      </c>
    </row>
    <row r="25" spans="1:110" x14ac:dyDescent="0.2">
      <c r="A25" s="90" t="s">
        <v>113</v>
      </c>
      <c r="B25" s="90"/>
      <c r="C25" s="25">
        <f>C21*2.5</f>
        <v>344.5</v>
      </c>
    </row>
    <row r="28" spans="1:110" x14ac:dyDescent="0.2">
      <c r="DF28" s="3"/>
    </row>
  </sheetData>
  <sheetProtection sheet="1" objects="1" scenarios="1" formatCells="0" formatColumns="0" formatRows="0"/>
  <autoFilter ref="A1:RD14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sortState ref="A6:RD14">
      <sortCondition descending="1" ref="F1:F14"/>
    </sortState>
  </autoFilter>
  <mergeCells count="133">
    <mergeCell ref="QU2:QX2"/>
    <mergeCell ref="QA2:QD2"/>
    <mergeCell ref="QE2:QH2"/>
    <mergeCell ref="QI2:QL2"/>
    <mergeCell ref="QM2:QP2"/>
    <mergeCell ref="QQ2:QT2"/>
    <mergeCell ref="PA2:PD2"/>
    <mergeCell ref="PE2:PH2"/>
    <mergeCell ref="PI2:PL2"/>
    <mergeCell ref="PM2:PP2"/>
    <mergeCell ref="PQ2:PT2"/>
    <mergeCell ref="OA2:OD2"/>
    <mergeCell ref="OE2:OH2"/>
    <mergeCell ref="OI2:OL2"/>
    <mergeCell ref="OM2:OP2"/>
    <mergeCell ref="OW2:OZ2"/>
    <mergeCell ref="NA2:ND2"/>
    <mergeCell ref="NE2:NH2"/>
    <mergeCell ref="NI2:NL2"/>
    <mergeCell ref="NS2:NV2"/>
    <mergeCell ref="NW2:NZ2"/>
    <mergeCell ref="MA2:MD2"/>
    <mergeCell ref="ME2:MH2"/>
    <mergeCell ref="MO2:MR2"/>
    <mergeCell ref="MS2:MV2"/>
    <mergeCell ref="MW2:MZ2"/>
    <mergeCell ref="LA2:LD2"/>
    <mergeCell ref="LK2:LN2"/>
    <mergeCell ref="LO2:LR2"/>
    <mergeCell ref="LS2:LV2"/>
    <mergeCell ref="LW2:LZ2"/>
    <mergeCell ref="KK2:KN2"/>
    <mergeCell ref="KO2:KR2"/>
    <mergeCell ref="KS2:KV2"/>
    <mergeCell ref="KW2:KZ2"/>
    <mergeCell ref="JG2:JJ2"/>
    <mergeCell ref="JK2:JN2"/>
    <mergeCell ref="JO2:JR2"/>
    <mergeCell ref="JS2:JV2"/>
    <mergeCell ref="JW2:JZ2"/>
    <mergeCell ref="CJ2:CM2"/>
    <mergeCell ref="EM2:EP2"/>
    <mergeCell ref="NS1:OV1"/>
    <mergeCell ref="OW1:PZ1"/>
    <mergeCell ref="QA1:RD1"/>
    <mergeCell ref="GU2:GX2"/>
    <mergeCell ref="GY2:HB2"/>
    <mergeCell ref="HC2:HF2"/>
    <mergeCell ref="HG2:HJ2"/>
    <mergeCell ref="HK2:HN2"/>
    <mergeCell ref="HO2:HR2"/>
    <mergeCell ref="HY2:IB2"/>
    <mergeCell ref="IC2:IF2"/>
    <mergeCell ref="IG2:IJ2"/>
    <mergeCell ref="IK2:IN2"/>
    <mergeCell ref="IO2:IR2"/>
    <mergeCell ref="IS2:IV2"/>
    <mergeCell ref="JC2:JF2"/>
    <mergeCell ref="HY1:JB1"/>
    <mergeCell ref="JC1:KF1"/>
    <mergeCell ref="KG1:LJ1"/>
    <mergeCell ref="LK1:MN1"/>
    <mergeCell ref="MO1:NR1"/>
    <mergeCell ref="KG2:KJ2"/>
    <mergeCell ref="CN2:CQ2"/>
    <mergeCell ref="L1:L3"/>
    <mergeCell ref="GU1:HX1"/>
    <mergeCell ref="G1:G3"/>
    <mergeCell ref="A1:A3"/>
    <mergeCell ref="B1:B3"/>
    <mergeCell ref="C1:C3"/>
    <mergeCell ref="E1:E3"/>
    <mergeCell ref="F1:F3"/>
    <mergeCell ref="T1:AW1"/>
    <mergeCell ref="DF1:DH1"/>
    <mergeCell ref="CB1:DE1"/>
    <mergeCell ref="H1:H3"/>
    <mergeCell ref="I1:I3"/>
    <mergeCell ref="K1:K3"/>
    <mergeCell ref="M1:M3"/>
    <mergeCell ref="O1:O3"/>
    <mergeCell ref="Q1:Q3"/>
    <mergeCell ref="X2:AA2"/>
    <mergeCell ref="AB2:AE2"/>
    <mergeCell ref="BJ2:BM2"/>
    <mergeCell ref="CB2:CE2"/>
    <mergeCell ref="CF2:CI2"/>
    <mergeCell ref="FC2:FF2"/>
    <mergeCell ref="A25:B25"/>
    <mergeCell ref="AF2:AI2"/>
    <mergeCell ref="AJ2:AM2"/>
    <mergeCell ref="AN2:AQ2"/>
    <mergeCell ref="AX1:CA1"/>
    <mergeCell ref="AX2:BA2"/>
    <mergeCell ref="BB2:BE2"/>
    <mergeCell ref="BF2:BI2"/>
    <mergeCell ref="A18:B18"/>
    <mergeCell ref="A19:B19"/>
    <mergeCell ref="A20:B20"/>
    <mergeCell ref="A21:B21"/>
    <mergeCell ref="A23:B23"/>
    <mergeCell ref="A24:B24"/>
    <mergeCell ref="A17:B17"/>
    <mergeCell ref="T2:W2"/>
    <mergeCell ref="BN2:BQ2"/>
    <mergeCell ref="R1:R3"/>
    <mergeCell ref="S1:S3"/>
    <mergeCell ref="BR2:BU2"/>
    <mergeCell ref="J1:J3"/>
    <mergeCell ref="N1:N3"/>
    <mergeCell ref="P1:P3"/>
    <mergeCell ref="D1:D3"/>
    <mergeCell ref="FG2:FJ2"/>
    <mergeCell ref="FQ1:GT1"/>
    <mergeCell ref="FQ2:FT2"/>
    <mergeCell ref="FU2:FX2"/>
    <mergeCell ref="FY2:GB2"/>
    <mergeCell ref="GC2:GF2"/>
    <mergeCell ref="GG2:GJ2"/>
    <mergeCell ref="GK2:GN2"/>
    <mergeCell ref="EM1:FP1"/>
    <mergeCell ref="EU2:EX2"/>
    <mergeCell ref="EQ2:ET2"/>
    <mergeCell ref="EY2:FB2"/>
    <mergeCell ref="DI1:EL1"/>
    <mergeCell ref="DI2:DL2"/>
    <mergeCell ref="DM2:DP2"/>
    <mergeCell ref="DQ2:DT2"/>
    <mergeCell ref="DU2:DX2"/>
    <mergeCell ref="DY2:EB2"/>
    <mergeCell ref="EC2:EF2"/>
    <mergeCell ref="CR2:CU2"/>
    <mergeCell ref="CV2:CY2"/>
  </mergeCells>
  <conditionalFormatting sqref="AR4:AR11 AR13 EG13 BV13 CZ13 FK13 GO13 HS13:HS14 IW13:IW14 KA13:KA14 LE13:LE14 MI13:MI14 NM13:NM14 OQ13:OQ14 PU13:PU14 QY13:QY14">
    <cfRule type="cellIs" dxfId="72" priority="418" operator="between">
      <formula>$C$17</formula>
      <formula>100</formula>
    </cfRule>
  </conditionalFormatting>
  <conditionalFormatting sqref="H4:H11 H13">
    <cfRule type="containsText" dxfId="71" priority="410" operator="containsText" text="Merit">
      <formula>NOT(ISERROR(SEARCH("Merit",H4)))</formula>
    </cfRule>
    <cfRule type="containsText" dxfId="70" priority="411" operator="containsText" text="Funding">
      <formula>NOT(ISERROR(SEARCH("Funding",H4)))</formula>
    </cfRule>
    <cfRule type="containsText" dxfId="69" priority="412" operator="containsText" text="Team">
      <formula>NOT(ISERROR(SEARCH("Team",H4)))</formula>
    </cfRule>
    <cfRule type="containsText" dxfId="68" priority="413" operator="containsText" text="First 2 Years">
      <formula>NOT(ISERROR(SEARCH("First 2 Years",H4)))</formula>
    </cfRule>
  </conditionalFormatting>
  <conditionalFormatting sqref="EG4:EG11">
    <cfRule type="cellIs" dxfId="67" priority="360" operator="between">
      <formula>$C$17</formula>
      <formula>100</formula>
    </cfRule>
  </conditionalFormatting>
  <conditionalFormatting sqref="A4:A11 A13">
    <cfRule type="expression" dxfId="66" priority="348">
      <formula>AND(H4="First 2 Years",F4="")</formula>
    </cfRule>
    <cfRule type="expression" dxfId="65" priority="349">
      <formula>AND(I4&gt;=$C$19,F4="")</formula>
    </cfRule>
  </conditionalFormatting>
  <conditionalFormatting sqref="J4:J11 J13">
    <cfRule type="expression" dxfId="64" priority="328">
      <formula>IF(I4=DA4,1,0)</formula>
    </cfRule>
    <cfRule type="expression" dxfId="63" priority="329">
      <formula>IF(I4=BW4,1,0)</formula>
    </cfRule>
    <cfRule type="expression" dxfId="62" priority="330">
      <formula>IF(I4=AS4,1,0)</formula>
    </cfRule>
  </conditionalFormatting>
  <conditionalFormatting sqref="L4:L11 L13">
    <cfRule type="expression" dxfId="61" priority="325">
      <formula>IF(K4=DB4,1,0)</formula>
    </cfRule>
    <cfRule type="expression" dxfId="60" priority="326">
      <formula>IF(K4=BX4,1,0)</formula>
    </cfRule>
    <cfRule type="expression" dxfId="59" priority="327">
      <formula>IF(K4=AT4,1,0)</formula>
    </cfRule>
  </conditionalFormatting>
  <conditionalFormatting sqref="N4:N11 N13">
    <cfRule type="expression" dxfId="58" priority="322">
      <formula>IF(M4=DC4,1,0)</formula>
    </cfRule>
    <cfRule type="expression" dxfId="57" priority="323">
      <formula>IF(M4=BY4,1,0)</formula>
    </cfRule>
    <cfRule type="expression" dxfId="56" priority="324">
      <formula>IF(M4=AU4,1,0)</formula>
    </cfRule>
  </conditionalFormatting>
  <conditionalFormatting sqref="P4:P11 P13">
    <cfRule type="expression" dxfId="55" priority="319">
      <formula>IF(O4=DD4,1,0)</formula>
    </cfRule>
    <cfRule type="expression" dxfId="54" priority="320">
      <formula>IF(O4=BZ4,1,0)</formula>
    </cfRule>
    <cfRule type="expression" dxfId="53" priority="321">
      <formula>IF(O4=AV4,1,0)</formula>
    </cfRule>
  </conditionalFormatting>
  <conditionalFormatting sqref="BV4:BV11">
    <cfRule type="cellIs" dxfId="52" priority="269" operator="between">
      <formula>$C$17</formula>
      <formula>100</formula>
    </cfRule>
  </conditionalFormatting>
  <conditionalFormatting sqref="CZ4:CZ11">
    <cfRule type="cellIs" dxfId="51" priority="264" operator="between">
      <formula>$C$17</formula>
      <formula>100</formula>
    </cfRule>
  </conditionalFormatting>
  <conditionalFormatting sqref="FK4:FK11">
    <cfRule type="cellIs" dxfId="50" priority="209" operator="between">
      <formula>$C$17</formula>
      <formula>100</formula>
    </cfRule>
  </conditionalFormatting>
  <conditionalFormatting sqref="GO4:GO11">
    <cfRule type="cellIs" dxfId="49" priority="204" operator="between">
      <formula>$C$17</formula>
      <formula>100</formula>
    </cfRule>
  </conditionalFormatting>
  <conditionalFormatting sqref="HS4:HS11">
    <cfRule type="cellIs" dxfId="48" priority="199" operator="between">
      <formula>$C$17</formula>
      <formula>100</formula>
    </cfRule>
  </conditionalFormatting>
  <conditionalFormatting sqref="IW4:IW11">
    <cfRule type="cellIs" dxfId="47" priority="194" operator="between">
      <formula>$C$17</formula>
      <formula>100</formula>
    </cfRule>
  </conditionalFormatting>
  <conditionalFormatting sqref="KA4:KA11">
    <cfRule type="cellIs" dxfId="46" priority="189" operator="between">
      <formula>$C$17</formula>
      <formula>100</formula>
    </cfRule>
  </conditionalFormatting>
  <conditionalFormatting sqref="LE4:LE11">
    <cfRule type="cellIs" dxfId="45" priority="126" operator="between">
      <formula>$C$17</formula>
      <formula>100</formula>
    </cfRule>
  </conditionalFormatting>
  <conditionalFormatting sqref="MI4:MI11">
    <cfRule type="cellIs" dxfId="44" priority="125" operator="between">
      <formula>$C$17</formula>
      <formula>100</formula>
    </cfRule>
  </conditionalFormatting>
  <conditionalFormatting sqref="NM4:NM11">
    <cfRule type="cellIs" dxfId="43" priority="116" operator="between">
      <formula>$C$17</formula>
      <formula>100</formula>
    </cfRule>
  </conditionalFormatting>
  <conditionalFormatting sqref="OQ4:OQ11">
    <cfRule type="cellIs" dxfId="42" priority="115" operator="between">
      <formula>$C$17</formula>
      <formula>100</formula>
    </cfRule>
  </conditionalFormatting>
  <conditionalFormatting sqref="PU4:PU11">
    <cfRule type="cellIs" dxfId="41" priority="106" operator="between">
      <formula>$C$17</formula>
      <formula>100</formula>
    </cfRule>
  </conditionalFormatting>
  <conditionalFormatting sqref="QY4:QY11">
    <cfRule type="cellIs" dxfId="40" priority="105" operator="between">
      <formula>$C$17</formula>
      <formula>100</formula>
    </cfRule>
  </conditionalFormatting>
  <conditionalFormatting sqref="AR12">
    <cfRule type="cellIs" dxfId="39" priority="89" operator="between">
      <formula>$C$17</formula>
      <formula>100</formula>
    </cfRule>
  </conditionalFormatting>
  <conditionalFormatting sqref="H12">
    <cfRule type="containsText" dxfId="38" priority="85" operator="containsText" text="Merit">
      <formula>NOT(ISERROR(SEARCH("Merit",H12)))</formula>
    </cfRule>
    <cfRule type="containsText" dxfId="37" priority="86" operator="containsText" text="Funding">
      <formula>NOT(ISERROR(SEARCH("Funding",H12)))</formula>
    </cfRule>
    <cfRule type="containsText" dxfId="36" priority="87" operator="containsText" text="Team">
      <formula>NOT(ISERROR(SEARCH("Team",H12)))</formula>
    </cfRule>
    <cfRule type="containsText" dxfId="35" priority="88" operator="containsText" text="First 2 Years">
      <formula>NOT(ISERROR(SEARCH("First 2 Years",H12)))</formula>
    </cfRule>
  </conditionalFormatting>
  <conditionalFormatting sqref="EG12">
    <cfRule type="cellIs" dxfId="34" priority="84" operator="between">
      <formula>$C$17</formula>
      <formula>100</formula>
    </cfRule>
  </conditionalFormatting>
  <conditionalFormatting sqref="A12">
    <cfRule type="expression" dxfId="33" priority="82">
      <formula>AND(H12="First 2 Years",F12="")</formula>
    </cfRule>
    <cfRule type="expression" dxfId="32" priority="83">
      <formula>AND(I12&gt;=$C$19,F12="")</formula>
    </cfRule>
  </conditionalFormatting>
  <conditionalFormatting sqref="J12">
    <cfRule type="expression" dxfId="31" priority="79">
      <formula>IF(I12=DA12,1,0)</formula>
    </cfRule>
    <cfRule type="expression" dxfId="30" priority="80">
      <formula>IF(I12=BW12,1,0)</formula>
    </cfRule>
    <cfRule type="expression" dxfId="29" priority="81">
      <formula>IF(I12=AS12,1,0)</formula>
    </cfRule>
  </conditionalFormatting>
  <conditionalFormatting sqref="L12">
    <cfRule type="expression" dxfId="28" priority="76">
      <formula>IF(K12=DB12,1,0)</formula>
    </cfRule>
    <cfRule type="expression" dxfId="27" priority="77">
      <formula>IF(K12=BX12,1,0)</formula>
    </cfRule>
    <cfRule type="expression" dxfId="26" priority="78">
      <formula>IF(K12=AT12,1,0)</formula>
    </cfRule>
  </conditionalFormatting>
  <conditionalFormatting sqref="N12">
    <cfRule type="expression" dxfId="25" priority="73">
      <formula>IF(M12=DC12,1,0)</formula>
    </cfRule>
    <cfRule type="expression" dxfId="24" priority="74">
      <formula>IF(M12=BY12,1,0)</formula>
    </cfRule>
    <cfRule type="expression" dxfId="23" priority="75">
      <formula>IF(M12=AU12,1,0)</formula>
    </cfRule>
  </conditionalFormatting>
  <conditionalFormatting sqref="P12">
    <cfRule type="expression" dxfId="22" priority="70">
      <formula>IF(O12=DD12,1,0)</formula>
    </cfRule>
    <cfRule type="expression" dxfId="21" priority="71">
      <formula>IF(O12=BZ12,1,0)</formula>
    </cfRule>
    <cfRule type="expression" dxfId="20" priority="72">
      <formula>IF(O12=AV12,1,0)</formula>
    </cfRule>
  </conditionalFormatting>
  <conditionalFormatting sqref="BV12">
    <cfRule type="cellIs" dxfId="19" priority="69" operator="between">
      <formula>$C$17</formula>
      <formula>100</formula>
    </cfRule>
  </conditionalFormatting>
  <conditionalFormatting sqref="CZ12">
    <cfRule type="cellIs" dxfId="18" priority="68" operator="between">
      <formula>$C$17</formula>
      <formula>100</formula>
    </cfRule>
  </conditionalFormatting>
  <conditionalFormatting sqref="FK12">
    <cfRule type="cellIs" dxfId="17" priority="67" operator="between">
      <formula>$C$17</formula>
      <formula>100</formula>
    </cfRule>
  </conditionalFormatting>
  <conditionalFormatting sqref="GO12">
    <cfRule type="cellIs" dxfId="16" priority="66" operator="between">
      <formula>$C$17</formula>
      <formula>100</formula>
    </cfRule>
  </conditionalFormatting>
  <conditionalFormatting sqref="HS12">
    <cfRule type="cellIs" dxfId="15" priority="65" operator="between">
      <formula>$C$17</formula>
      <formula>100</formula>
    </cfRule>
  </conditionalFormatting>
  <conditionalFormatting sqref="IW12">
    <cfRule type="cellIs" dxfId="14" priority="64" operator="between">
      <formula>$C$17</formula>
      <formula>100</formula>
    </cfRule>
  </conditionalFormatting>
  <conditionalFormatting sqref="KA12">
    <cfRule type="cellIs" dxfId="13" priority="63" operator="between">
      <formula>$C$17</formula>
      <formula>100</formula>
    </cfRule>
  </conditionalFormatting>
  <conditionalFormatting sqref="LE12">
    <cfRule type="cellIs" dxfId="12" priority="30" operator="between">
      <formula>$C$17</formula>
      <formula>100</formula>
    </cfRule>
  </conditionalFormatting>
  <conditionalFormatting sqref="MI12">
    <cfRule type="cellIs" dxfId="11" priority="29" operator="between">
      <formula>$C$17</formula>
      <formula>100</formula>
    </cfRule>
  </conditionalFormatting>
  <conditionalFormatting sqref="NM12">
    <cfRule type="cellIs" dxfId="10" priority="20" operator="between">
      <formula>$C$17</formula>
      <formula>100</formula>
    </cfRule>
  </conditionalFormatting>
  <conditionalFormatting sqref="OQ12">
    <cfRule type="cellIs" dxfId="9" priority="19" operator="between">
      <formula>$C$17</formula>
      <formula>100</formula>
    </cfRule>
  </conditionalFormatting>
  <conditionalFormatting sqref="PU12">
    <cfRule type="cellIs" dxfId="8" priority="10" operator="between">
      <formula>$C$17</formula>
      <formula>100</formula>
    </cfRule>
  </conditionalFormatting>
  <conditionalFormatting sqref="QY12">
    <cfRule type="cellIs" dxfId="7" priority="9" operator="between">
      <formula>$C$17</formula>
      <formula>100</formula>
    </cfRule>
  </conditionalFormatting>
  <conditionalFormatting sqref="AS4:AS13 BW4:BW13 DA4:DA13 EH4:EH13 FL4:FL13 GP4:GP13 HT4:HT14 IX4:IX14 KB4:KB14 LF4:LF14 MJ4:MJ14 NN4:NN14 OR4:OR14 PV4:PV14 QZ4:QZ14">
    <cfRule type="cellIs" dxfId="6" priority="759" operator="between">
      <formula>$C$21</formula>
      <formula>1000</formula>
    </cfRule>
    <cfRule type="cellIs" dxfId="5" priority="760" operator="between">
      <formula>$C$20</formula>
      <formula>$C$21</formula>
    </cfRule>
    <cfRule type="cellIs" dxfId="4" priority="761" operator="between">
      <formula>$C$19</formula>
      <formula>$C$20</formula>
    </cfRule>
    <cfRule type="expression" dxfId="3" priority="762">
      <formula>IF(AND(AS4&gt;=$C$18,AS4&lt;$C$19,YEAR(TODAY())-$D4&lt;2),1,0)</formula>
    </cfRule>
  </conditionalFormatting>
  <conditionalFormatting sqref="B4:C13">
    <cfRule type="expression" dxfId="2" priority="952">
      <formula>$E4&gt;=$C$25</formula>
    </cfRule>
    <cfRule type="expression" dxfId="1" priority="953">
      <formula>AND($E4&gt;=$C$24,$E4&lt;$C$25)</formula>
    </cfRule>
    <cfRule type="expression" dxfId="0" priority="954">
      <formula>AND($E4&gt;=$C$23,$E4&lt;$C$24)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2017-12-07T23:00:20Z</dcterms:modified>
</cp:coreProperties>
</file>