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8D8BD75-0261-804B-8A7F-CD535AB30B04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7" i="23" l="1"/>
  <c r="AF7" i="23"/>
  <c r="AG7" i="23"/>
  <c r="AK7" i="23" s="1"/>
  <c r="AH7" i="23"/>
  <c r="AI7" i="23"/>
  <c r="AJ7" i="23"/>
  <c r="AL7" i="23"/>
  <c r="AM7" i="23"/>
  <c r="AN7" i="23"/>
  <c r="BF7" i="23"/>
  <c r="BG7" i="23"/>
  <c r="BH7" i="23"/>
  <c r="BL7" i="23" s="1"/>
  <c r="BP7" i="23" s="1"/>
  <c r="BI7" i="23"/>
  <c r="BJ7" i="23"/>
  <c r="BK7" i="23"/>
  <c r="BM7" i="23"/>
  <c r="BN7" i="23"/>
  <c r="BO7" i="23"/>
  <c r="CG7" i="23"/>
  <c r="CH7" i="23"/>
  <c r="CI7" i="23"/>
  <c r="CM7" i="23" s="1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R7" i="23" s="1"/>
  <c r="HY7" i="23" s="1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X7" i="23" s="1"/>
  <c r="MY7" i="23"/>
  <c r="MZ7" i="23"/>
  <c r="NA7" i="23"/>
  <c r="NB7" i="23"/>
  <c r="NC7" i="23"/>
  <c r="ND7" i="23"/>
  <c r="NZ7" i="23"/>
  <c r="OA7" i="23"/>
  <c r="OB7" i="23"/>
  <c r="OF7" i="23" s="1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AE4" i="23"/>
  <c r="AF4" i="23"/>
  <c r="AG4" i="23"/>
  <c r="AK4" i="23" s="1"/>
  <c r="AH4" i="23"/>
  <c r="AI4" i="23"/>
  <c r="AJ4" i="23"/>
  <c r="AL4" i="23"/>
  <c r="AM4" i="23"/>
  <c r="AN4" i="23"/>
  <c r="BF4" i="23"/>
  <c r="BG4" i="23"/>
  <c r="BH4" i="23"/>
  <c r="BL4" i="23" s="1"/>
  <c r="BP4" i="23" s="1"/>
  <c r="BI4" i="23"/>
  <c r="BJ4" i="23"/>
  <c r="BK4" i="23"/>
  <c r="BM4" i="23"/>
  <c r="BN4" i="23"/>
  <c r="BO4" i="23"/>
  <c r="CG4" i="23"/>
  <c r="CH4" i="23"/>
  <c r="CI4" i="23"/>
  <c r="CM4" i="23" s="1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AE4" i="24"/>
  <c r="AF4" i="24"/>
  <c r="AG4" i="24"/>
  <c r="AK4" i="24" s="1"/>
  <c r="AH4" i="24"/>
  <c r="AI4" i="24"/>
  <c r="AJ4" i="24"/>
  <c r="AL4" i="24"/>
  <c r="AM4" i="24"/>
  <c r="AN4" i="24"/>
  <c r="BF4" i="24"/>
  <c r="BG4" i="24"/>
  <c r="BH4" i="24"/>
  <c r="BL4" i="24" s="1"/>
  <c r="BI4" i="24"/>
  <c r="BJ4" i="24"/>
  <c r="BK4" i="24"/>
  <c r="BM4" i="24"/>
  <c r="BN4" i="24"/>
  <c r="BO4" i="24"/>
  <c r="CG4" i="24"/>
  <c r="CH4" i="24"/>
  <c r="CI4" i="24"/>
  <c r="CM4" i="24" s="1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D4" i="24" s="1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6" i="24"/>
  <c r="SY6" i="24"/>
  <c r="TJ6" i="24" s="1"/>
  <c r="SX6" i="24"/>
  <c r="TI6" i="24" s="1"/>
  <c r="SW6" i="24"/>
  <c r="SV6" i="24"/>
  <c r="SU6" i="24"/>
  <c r="ST6" i="24"/>
  <c r="TF6" i="24" s="1"/>
  <c r="SS6" i="24"/>
  <c r="TE6" i="24" s="1"/>
  <c r="SR6" i="24"/>
  <c r="SQ6" i="24"/>
  <c r="SP6" i="24"/>
  <c r="SO6" i="24"/>
  <c r="TC6" i="24" s="1"/>
  <c r="SN6" i="24"/>
  <c r="TB6" i="24" s="1"/>
  <c r="SM6" i="24"/>
  <c r="SL6" i="24"/>
  <c r="SJ6" i="24"/>
  <c r="SI6" i="24"/>
  <c r="SH6" i="24"/>
  <c r="SG6" i="24"/>
  <c r="SF6" i="24"/>
  <c r="SE6" i="24"/>
  <c r="SC6" i="24"/>
  <c r="SB6" i="24"/>
  <c r="SA6" i="24"/>
  <c r="RZ6" i="24"/>
  <c r="RY6" i="24"/>
  <c r="RX6" i="24"/>
  <c r="RB6" i="24"/>
  <c r="RA6" i="24"/>
  <c r="QZ6" i="24"/>
  <c r="QY6" i="24"/>
  <c r="QX6" i="24"/>
  <c r="QW6" i="24"/>
  <c r="QU6" i="24"/>
  <c r="QT6" i="24"/>
  <c r="QS6" i="24"/>
  <c r="QR6" i="24"/>
  <c r="QQ6" i="24"/>
  <c r="QP6" i="24"/>
  <c r="PT6" i="24"/>
  <c r="PS6" i="24"/>
  <c r="PR6" i="24"/>
  <c r="PQ6" i="24"/>
  <c r="PP6" i="24"/>
  <c r="PO6" i="24"/>
  <c r="PM6" i="24"/>
  <c r="PL6" i="24"/>
  <c r="PK6" i="24"/>
  <c r="PJ6" i="24"/>
  <c r="PI6" i="24"/>
  <c r="PH6" i="24"/>
  <c r="OL6" i="24"/>
  <c r="OK6" i="24"/>
  <c r="OJ6" i="24"/>
  <c r="OI6" i="24"/>
  <c r="OH6" i="24"/>
  <c r="OG6" i="24"/>
  <c r="OE6" i="24"/>
  <c r="OD6" i="24"/>
  <c r="OC6" i="24"/>
  <c r="OB6" i="24"/>
  <c r="OA6" i="24"/>
  <c r="NZ6" i="24"/>
  <c r="ND6" i="24"/>
  <c r="NC6" i="24"/>
  <c r="NB6" i="24"/>
  <c r="NA6" i="24"/>
  <c r="MZ6" i="24"/>
  <c r="MY6" i="24"/>
  <c r="MW6" i="24"/>
  <c r="MV6" i="24"/>
  <c r="MU6" i="24"/>
  <c r="MT6" i="24"/>
  <c r="MS6" i="24"/>
  <c r="MR6" i="24"/>
  <c r="LV6" i="24"/>
  <c r="LU6" i="24"/>
  <c r="LT6" i="24"/>
  <c r="LS6" i="24"/>
  <c r="LR6" i="24"/>
  <c r="LQ6" i="24"/>
  <c r="LO6" i="24"/>
  <c r="LN6" i="24"/>
  <c r="LM6" i="24"/>
  <c r="LL6" i="24"/>
  <c r="LK6" i="24"/>
  <c r="LJ6" i="24"/>
  <c r="KN6" i="24"/>
  <c r="KM6" i="24"/>
  <c r="KL6" i="24"/>
  <c r="KK6" i="24"/>
  <c r="KJ6" i="24"/>
  <c r="KI6" i="24"/>
  <c r="KG6" i="24"/>
  <c r="KF6" i="24"/>
  <c r="KE6" i="24"/>
  <c r="KD6" i="24"/>
  <c r="KC6" i="24"/>
  <c r="KB6" i="24"/>
  <c r="JF6" i="24"/>
  <c r="JE6" i="24"/>
  <c r="JD6" i="24"/>
  <c r="JC6" i="24"/>
  <c r="JB6" i="24"/>
  <c r="JA6" i="24"/>
  <c r="IY6" i="24"/>
  <c r="IX6" i="24"/>
  <c r="IW6" i="24"/>
  <c r="IV6" i="24"/>
  <c r="IU6" i="24"/>
  <c r="IT6" i="24"/>
  <c r="HX6" i="24"/>
  <c r="HW6" i="24"/>
  <c r="HV6" i="24"/>
  <c r="HU6" i="24"/>
  <c r="HT6" i="24"/>
  <c r="HS6" i="24"/>
  <c r="HQ6" i="24"/>
  <c r="HP6" i="24"/>
  <c r="HO6" i="24"/>
  <c r="HN6" i="24"/>
  <c r="HM6" i="24"/>
  <c r="HL6" i="24"/>
  <c r="GP6" i="24"/>
  <c r="GO6" i="24"/>
  <c r="GN6" i="24"/>
  <c r="GM6" i="24"/>
  <c r="GL6" i="24"/>
  <c r="GK6" i="24"/>
  <c r="GI6" i="24"/>
  <c r="GH6" i="24"/>
  <c r="GG6" i="24"/>
  <c r="GF6" i="24"/>
  <c r="GE6" i="24"/>
  <c r="GD6" i="24"/>
  <c r="FH6" i="24"/>
  <c r="FG6" i="24"/>
  <c r="FF6" i="24"/>
  <c r="FE6" i="24"/>
  <c r="FD6" i="24"/>
  <c r="FC6" i="24"/>
  <c r="FA6" i="24"/>
  <c r="EZ6" i="24"/>
  <c r="EY6" i="24"/>
  <c r="EX6" i="24"/>
  <c r="EW6" i="24"/>
  <c r="EV6" i="24"/>
  <c r="DZ6" i="24"/>
  <c r="DY6" i="24"/>
  <c r="DX6" i="24"/>
  <c r="DW6" i="24"/>
  <c r="DV6" i="24"/>
  <c r="DU6" i="24"/>
  <c r="DS6" i="24"/>
  <c r="DR6" i="24"/>
  <c r="DQ6" i="24"/>
  <c r="DP6" i="24"/>
  <c r="DO6" i="24"/>
  <c r="DN6" i="24"/>
  <c r="CP6" i="24"/>
  <c r="CO6" i="24"/>
  <c r="CN6" i="24"/>
  <c r="CL6" i="24"/>
  <c r="CK6" i="24"/>
  <c r="CJ6" i="24"/>
  <c r="CI6" i="24"/>
  <c r="CM6" i="24" s="1"/>
  <c r="CH6" i="24"/>
  <c r="CG6" i="24"/>
  <c r="BO6" i="24"/>
  <c r="BN6" i="24"/>
  <c r="BM6" i="24"/>
  <c r="BK6" i="24"/>
  <c r="BJ6" i="24"/>
  <c r="BI6" i="24"/>
  <c r="BH6" i="24"/>
  <c r="BL6" i="24" s="1"/>
  <c r="BG6" i="24"/>
  <c r="BF6" i="24"/>
  <c r="AN6" i="24"/>
  <c r="AM6" i="24"/>
  <c r="AL6" i="24"/>
  <c r="AJ6" i="24"/>
  <c r="AI6" i="24"/>
  <c r="AH6" i="24"/>
  <c r="AG6" i="24"/>
  <c r="AK6" i="24" s="1"/>
  <c r="AF6" i="24"/>
  <c r="AE6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P5" i="24" s="1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M5" i="24" s="1"/>
  <c r="CH5" i="24"/>
  <c r="CG5" i="24"/>
  <c r="BO5" i="24"/>
  <c r="BN5" i="24"/>
  <c r="BM5" i="24"/>
  <c r="BK5" i="24"/>
  <c r="BJ5" i="24"/>
  <c r="BI5" i="24"/>
  <c r="BH5" i="24"/>
  <c r="BL5" i="24" s="1"/>
  <c r="BG5" i="24"/>
  <c r="BF5" i="24"/>
  <c r="AN5" i="24"/>
  <c r="AM5" i="24"/>
  <c r="AL5" i="24"/>
  <c r="AJ5" i="24"/>
  <c r="AI5" i="24"/>
  <c r="AH5" i="24"/>
  <c r="AG5" i="24"/>
  <c r="AK5" i="24" s="1"/>
  <c r="AF5" i="24"/>
  <c r="AE5" i="24"/>
  <c r="AE5" i="23"/>
  <c r="AF5" i="23"/>
  <c r="AG5" i="23"/>
  <c r="AH5" i="23"/>
  <c r="AI5" i="23"/>
  <c r="AJ5" i="23"/>
  <c r="AL5" i="23"/>
  <c r="AM5" i="23"/>
  <c r="AN5" i="23"/>
  <c r="BF5" i="23"/>
  <c r="BG5" i="23"/>
  <c r="BH5" i="23"/>
  <c r="BI5" i="23"/>
  <c r="BJ5" i="23"/>
  <c r="BK5" i="23"/>
  <c r="BM5" i="23"/>
  <c r="BN5" i="23"/>
  <c r="BO5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ST5" i="23"/>
  <c r="TF5" i="23" s="1"/>
  <c r="SU5" i="23"/>
  <c r="SV5" i="23"/>
  <c r="SW5" i="23"/>
  <c r="SX5" i="23"/>
  <c r="TI5" i="23" s="1"/>
  <c r="SY5" i="23"/>
  <c r="TJ5" i="23" s="1"/>
  <c r="SZ5" i="23"/>
  <c r="AE6" i="23"/>
  <c r="AF6" i="23"/>
  <c r="AG6" i="23"/>
  <c r="AH6" i="23"/>
  <c r="AI6" i="23"/>
  <c r="AJ6" i="23"/>
  <c r="AL6" i="23"/>
  <c r="AM6" i="23"/>
  <c r="AN6" i="23"/>
  <c r="BF6" i="23"/>
  <c r="BG6" i="23"/>
  <c r="BH6" i="23"/>
  <c r="BL6" i="23" s="1"/>
  <c r="BI6" i="23"/>
  <c r="BJ6" i="23"/>
  <c r="BK6" i="23"/>
  <c r="BM6" i="23"/>
  <c r="BN6" i="23"/>
  <c r="BO6" i="23"/>
  <c r="CG6" i="23"/>
  <c r="CH6" i="23"/>
  <c r="CI6" i="23"/>
  <c r="CM6" i="23" s="1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TE6" i="23" s="1"/>
  <c r="ST6" i="23"/>
  <c r="TF6" i="23" s="1"/>
  <c r="SU6" i="23"/>
  <c r="SV6" i="23"/>
  <c r="SW6" i="23"/>
  <c r="SX6" i="23"/>
  <c r="TI6" i="23" s="1"/>
  <c r="SY6" i="23"/>
  <c r="TJ6" i="23" s="1"/>
  <c r="SZ6" i="23"/>
  <c r="TJ14" i="22"/>
  <c r="TI14" i="22"/>
  <c r="TT14" i="22" s="1"/>
  <c r="TH14" i="22"/>
  <c r="TS14" i="22" s="1"/>
  <c r="TG14" i="22"/>
  <c r="TF14" i="22"/>
  <c r="TU14" i="22" s="1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CZ14" i="22"/>
  <c r="CY14" i="22"/>
  <c r="CX14" i="22"/>
  <c r="CV14" i="22"/>
  <c r="CU14" i="22"/>
  <c r="CT14" i="22"/>
  <c r="CS14" i="22"/>
  <c r="CW14" i="22" s="1"/>
  <c r="CR14" i="22"/>
  <c r="CQ14" i="22"/>
  <c r="BY14" i="22"/>
  <c r="BX14" i="22"/>
  <c r="BW14" i="22"/>
  <c r="BU14" i="22"/>
  <c r="BT14" i="22"/>
  <c r="BS14" i="22"/>
  <c r="BR14" i="22"/>
  <c r="BQ14" i="22"/>
  <c r="BP14" i="22"/>
  <c r="AX14" i="22"/>
  <c r="AW14" i="22"/>
  <c r="AV14" i="22"/>
  <c r="AT14" i="22"/>
  <c r="AS14" i="22"/>
  <c r="AR14" i="22"/>
  <c r="AQ14" i="22"/>
  <c r="AP14" i="22"/>
  <c r="AO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CZ13" i="22"/>
  <c r="CY13" i="22"/>
  <c r="CX13" i="22"/>
  <c r="CV13" i="22"/>
  <c r="CU13" i="22"/>
  <c r="CT13" i="22"/>
  <c r="CS13" i="22"/>
  <c r="CR13" i="22"/>
  <c r="CQ13" i="22"/>
  <c r="BY13" i="22"/>
  <c r="BX13" i="22"/>
  <c r="BW13" i="22"/>
  <c r="BU13" i="22"/>
  <c r="BT13" i="22"/>
  <c r="BS13" i="22"/>
  <c r="BR13" i="22"/>
  <c r="BQ13" i="22"/>
  <c r="BP13" i="22"/>
  <c r="AX13" i="22"/>
  <c r="AW13" i="22"/>
  <c r="AV13" i="22"/>
  <c r="AT13" i="22"/>
  <c r="AS13" i="22"/>
  <c r="AR13" i="22"/>
  <c r="AQ13" i="22"/>
  <c r="AP13" i="22"/>
  <c r="AO13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IH12" i="22"/>
  <c r="IG12" i="22"/>
  <c r="IF12" i="22"/>
  <c r="IE12" i="22"/>
  <c r="ID12" i="22"/>
  <c r="IC12" i="22"/>
  <c r="IA12" i="22"/>
  <c r="HZ12" i="22"/>
  <c r="HY12" i="22"/>
  <c r="HX12" i="22"/>
  <c r="IB12" i="22" s="1"/>
  <c r="HW12" i="22"/>
  <c r="HV12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CZ12" i="22"/>
  <c r="CY12" i="22"/>
  <c r="CX12" i="22"/>
  <c r="CV12" i="22"/>
  <c r="CU12" i="22"/>
  <c r="CT12" i="22"/>
  <c r="CS12" i="22"/>
  <c r="CR12" i="22"/>
  <c r="CQ12" i="22"/>
  <c r="BY12" i="22"/>
  <c r="BX12" i="22"/>
  <c r="BW12" i="22"/>
  <c r="BU12" i="22"/>
  <c r="BT12" i="22"/>
  <c r="BS12" i="22"/>
  <c r="BR12" i="22"/>
  <c r="BQ12" i="22"/>
  <c r="BP12" i="22"/>
  <c r="AX12" i="22"/>
  <c r="AW12" i="22"/>
  <c r="AV12" i="22"/>
  <c r="AT12" i="22"/>
  <c r="AS12" i="22"/>
  <c r="AR12" i="22"/>
  <c r="AQ12" i="22"/>
  <c r="AP12" i="22"/>
  <c r="AO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CZ11" i="22"/>
  <c r="CY11" i="22"/>
  <c r="CX11" i="22"/>
  <c r="CV11" i="22"/>
  <c r="CU11" i="22"/>
  <c r="CT11" i="22"/>
  <c r="CS11" i="22"/>
  <c r="CW11" i="22" s="1"/>
  <c r="CR11" i="22"/>
  <c r="CQ11" i="22"/>
  <c r="BY11" i="22"/>
  <c r="BX11" i="22"/>
  <c r="BW11" i="22"/>
  <c r="BU11" i="22"/>
  <c r="BT11" i="22"/>
  <c r="BS11" i="22"/>
  <c r="BR11" i="22"/>
  <c r="BQ11" i="22"/>
  <c r="BP11" i="22"/>
  <c r="AX11" i="22"/>
  <c r="AW11" i="22"/>
  <c r="AV11" i="22"/>
  <c r="AT11" i="22"/>
  <c r="AS11" i="22"/>
  <c r="AR11" i="22"/>
  <c r="AQ11" i="22"/>
  <c r="AP11" i="22"/>
  <c r="AO11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CZ10" i="22"/>
  <c r="CY10" i="22"/>
  <c r="CX10" i="22"/>
  <c r="CV10" i="22"/>
  <c r="CU10" i="22"/>
  <c r="CT10" i="22"/>
  <c r="CS10" i="22"/>
  <c r="CR10" i="22"/>
  <c r="CQ10" i="22"/>
  <c r="BY10" i="22"/>
  <c r="BX10" i="22"/>
  <c r="BW10" i="22"/>
  <c r="BU10" i="22"/>
  <c r="BT10" i="22"/>
  <c r="BS10" i="22"/>
  <c r="BR10" i="22"/>
  <c r="BQ10" i="22"/>
  <c r="BP10" i="22"/>
  <c r="AX10" i="22"/>
  <c r="AW10" i="22"/>
  <c r="AV10" i="22"/>
  <c r="AT10" i="22"/>
  <c r="AS10" i="22"/>
  <c r="AR10" i="22"/>
  <c r="AQ10" i="22"/>
  <c r="AP10" i="22"/>
  <c r="AO10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IH9" i="22"/>
  <c r="IG9" i="22"/>
  <c r="IF9" i="22"/>
  <c r="IE9" i="22"/>
  <c r="ID9" i="22"/>
  <c r="IC9" i="22"/>
  <c r="IA9" i="22"/>
  <c r="IB9" i="22" s="1"/>
  <c r="HZ9" i="22"/>
  <c r="HY9" i="22"/>
  <c r="HX9" i="22"/>
  <c r="HW9" i="22"/>
  <c r="HV9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CZ9" i="22"/>
  <c r="CY9" i="22"/>
  <c r="CX9" i="22"/>
  <c r="CV9" i="22"/>
  <c r="CU9" i="22"/>
  <c r="CT9" i="22"/>
  <c r="CS9" i="22"/>
  <c r="CR9" i="22"/>
  <c r="CQ9" i="22"/>
  <c r="BY9" i="22"/>
  <c r="BX9" i="22"/>
  <c r="BW9" i="22"/>
  <c r="BU9" i="22"/>
  <c r="BT9" i="22"/>
  <c r="BS9" i="22"/>
  <c r="BR9" i="22"/>
  <c r="BQ9" i="22"/>
  <c r="BP9" i="22"/>
  <c r="AX9" i="22"/>
  <c r="AW9" i="22"/>
  <c r="AV9" i="22"/>
  <c r="AT9" i="22"/>
  <c r="AS9" i="22"/>
  <c r="AR9" i="22"/>
  <c r="AQ9" i="22"/>
  <c r="AP9" i="22"/>
  <c r="AO9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CZ8" i="22"/>
  <c r="CY8" i="22"/>
  <c r="CX8" i="22"/>
  <c r="CW8" i="22"/>
  <c r="CV8" i="22"/>
  <c r="CU8" i="22"/>
  <c r="CT8" i="22"/>
  <c r="CS8" i="22"/>
  <c r="CR8" i="22"/>
  <c r="CQ8" i="22"/>
  <c r="BY8" i="22"/>
  <c r="BX8" i="22"/>
  <c r="BW8" i="22"/>
  <c r="BU8" i="22"/>
  <c r="BT8" i="22"/>
  <c r="BS8" i="22"/>
  <c r="BR8" i="22"/>
  <c r="BQ8" i="22"/>
  <c r="BP8" i="22"/>
  <c r="AX8" i="22"/>
  <c r="AW8" i="22"/>
  <c r="AV8" i="22"/>
  <c r="AT8" i="22"/>
  <c r="AS8" i="22"/>
  <c r="AR8" i="22"/>
  <c r="AQ8" i="22"/>
  <c r="AP8" i="22"/>
  <c r="AO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OV7" i="22"/>
  <c r="OU7" i="22"/>
  <c r="OT7" i="22"/>
  <c r="OS7" i="22"/>
  <c r="OR7" i="22"/>
  <c r="OQ7" i="22"/>
  <c r="OO7" i="22"/>
  <c r="ON7" i="22"/>
  <c r="OM7" i="22"/>
  <c r="OL7" i="22"/>
  <c r="OP7" i="22" s="1"/>
  <c r="OK7" i="22"/>
  <c r="OJ7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CZ7" i="22"/>
  <c r="CY7" i="22"/>
  <c r="CX7" i="22"/>
  <c r="CV7" i="22"/>
  <c r="CU7" i="22"/>
  <c r="CT7" i="22"/>
  <c r="CS7" i="22"/>
  <c r="CW7" i="22" s="1"/>
  <c r="CR7" i="22"/>
  <c r="CQ7" i="22"/>
  <c r="BY7" i="22"/>
  <c r="BX7" i="22"/>
  <c r="BW7" i="22"/>
  <c r="BU7" i="22"/>
  <c r="BT7" i="22"/>
  <c r="BS7" i="22"/>
  <c r="BR7" i="22"/>
  <c r="BQ7" i="22"/>
  <c r="BP7" i="22"/>
  <c r="AX7" i="22"/>
  <c r="AW7" i="22"/>
  <c r="AV7" i="22"/>
  <c r="AT7" i="22"/>
  <c r="AS7" i="22"/>
  <c r="AR7" i="22"/>
  <c r="AQ7" i="22"/>
  <c r="AP7" i="22"/>
  <c r="AO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5" i="22"/>
  <c r="ME5" i="22"/>
  <c r="MD5" i="22"/>
  <c r="MC5" i="22"/>
  <c r="MB5" i="22"/>
  <c r="MA5" i="22"/>
  <c r="LY5" i="22"/>
  <c r="LX5" i="22"/>
  <c r="LW5" i="22"/>
  <c r="LV5" i="22"/>
  <c r="LZ5" i="22" s="1"/>
  <c r="LU5" i="22"/>
  <c r="LT5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5" i="22"/>
  <c r="GY5" i="22"/>
  <c r="GX5" i="22"/>
  <c r="GW5" i="22"/>
  <c r="GV5" i="22"/>
  <c r="GU5" i="22"/>
  <c r="GS5" i="22"/>
  <c r="GR5" i="22"/>
  <c r="GQ5" i="22"/>
  <c r="GP5" i="22"/>
  <c r="GT5" i="22" s="1"/>
  <c r="GO5" i="22"/>
  <c r="GN5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CZ5" i="22"/>
  <c r="CY5" i="22"/>
  <c r="CX5" i="22"/>
  <c r="CV5" i="22"/>
  <c r="CU5" i="22"/>
  <c r="CT5" i="22"/>
  <c r="CS5" i="22"/>
  <c r="CR5" i="22"/>
  <c r="CQ5" i="22"/>
  <c r="BY5" i="22"/>
  <c r="BX5" i="22"/>
  <c r="BW5" i="22"/>
  <c r="BU5" i="22"/>
  <c r="BT5" i="22"/>
  <c r="BS5" i="22"/>
  <c r="BR5" i="22"/>
  <c r="BQ5" i="22"/>
  <c r="BP5" i="22"/>
  <c r="AX5" i="22"/>
  <c r="AW5" i="22"/>
  <c r="AV5" i="22"/>
  <c r="AT5" i="22"/>
  <c r="AS5" i="22"/>
  <c r="AR5" i="22"/>
  <c r="AQ5" i="22"/>
  <c r="AP5" i="22"/>
  <c r="AO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CZ6" i="22"/>
  <c r="CY6" i="22"/>
  <c r="CX6" i="22"/>
  <c r="CV6" i="22"/>
  <c r="CU6" i="22"/>
  <c r="CT6" i="22"/>
  <c r="CS6" i="22"/>
  <c r="CR6" i="22"/>
  <c r="CQ6" i="22"/>
  <c r="BY6" i="22"/>
  <c r="BX6" i="22"/>
  <c r="BW6" i="22"/>
  <c r="BU6" i="22"/>
  <c r="BT6" i="22"/>
  <c r="BS6" i="22"/>
  <c r="BR6" i="22"/>
  <c r="BQ6" i="22"/>
  <c r="BP6" i="22"/>
  <c r="AX6" i="22"/>
  <c r="AW6" i="22"/>
  <c r="AV6" i="22"/>
  <c r="AT6" i="22"/>
  <c r="AS6" i="22"/>
  <c r="AR6" i="22"/>
  <c r="AQ6" i="22"/>
  <c r="AP6" i="22"/>
  <c r="AO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Z4" i="22"/>
  <c r="CY4" i="22"/>
  <c r="CX4" i="22"/>
  <c r="CV4" i="22"/>
  <c r="CU4" i="22"/>
  <c r="CT4" i="22"/>
  <c r="CS4" i="22"/>
  <c r="CR4" i="22"/>
  <c r="CQ4" i="22"/>
  <c r="BY4" i="22"/>
  <c r="BX4" i="22"/>
  <c r="BW4" i="22"/>
  <c r="BU4" i="22"/>
  <c r="BT4" i="22"/>
  <c r="BS4" i="22"/>
  <c r="BR4" i="22"/>
  <c r="BV4" i="22" s="1"/>
  <c r="BQ4" i="22"/>
  <c r="BP4" i="22"/>
  <c r="AX4" i="22"/>
  <c r="AW4" i="22"/>
  <c r="AV4" i="22"/>
  <c r="AT4" i="22"/>
  <c r="AS4" i="22"/>
  <c r="AR4" i="22"/>
  <c r="AQ4" i="22"/>
  <c r="AP4" i="22"/>
  <c r="AO4" i="22"/>
  <c r="ED8" i="19"/>
  <c r="AR8" i="19"/>
  <c r="AS8" i="19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QV4" i="24" l="1"/>
  <c r="RC4" i="24" s="1"/>
  <c r="OF4" i="24"/>
  <c r="OM4" i="24" s="1"/>
  <c r="LP4" i="24"/>
  <c r="LW4" i="24" s="1"/>
  <c r="IZ4" i="24"/>
  <c r="JG4" i="24" s="1"/>
  <c r="GJ4" i="24"/>
  <c r="GQ4" i="24" s="1"/>
  <c r="SD7" i="23"/>
  <c r="PN7" i="23"/>
  <c r="QV4" i="23"/>
  <c r="RC4" i="23" s="1"/>
  <c r="MX4" i="23"/>
  <c r="NE4" i="23" s="1"/>
  <c r="CQ4" i="23"/>
  <c r="DA8" i="22"/>
  <c r="GT9" i="22"/>
  <c r="II9" i="22"/>
  <c r="DT4" i="24"/>
  <c r="EA4" i="24" s="1"/>
  <c r="MX4" i="24"/>
  <c r="NE4" i="24" s="1"/>
  <c r="HR4" i="24"/>
  <c r="HY4" i="24" s="1"/>
  <c r="BP4" i="24"/>
  <c r="CQ4" i="24"/>
  <c r="PN4" i="24"/>
  <c r="PU4" i="24" s="1"/>
  <c r="NE7" i="23"/>
  <c r="DT7" i="23"/>
  <c r="EA7" i="23" s="1"/>
  <c r="CQ7" i="23"/>
  <c r="LP4" i="23"/>
  <c r="OM7" i="23"/>
  <c r="AO7" i="23"/>
  <c r="QV5" i="23"/>
  <c r="RC5" i="23" s="1"/>
  <c r="AO4" i="23"/>
  <c r="SK7" i="23"/>
  <c r="PU7" i="23"/>
  <c r="KH7" i="23"/>
  <c r="KO7" i="23" s="1"/>
  <c r="FB4" i="23"/>
  <c r="FI4" i="23" s="1"/>
  <c r="QV7" i="23"/>
  <c r="RC7" i="23" s="1"/>
  <c r="LP7" i="23"/>
  <c r="LW7" i="23" s="1"/>
  <c r="IZ7" i="23"/>
  <c r="JG7" i="23" s="1"/>
  <c r="FS6" i="22"/>
  <c r="II6" i="22"/>
  <c r="MG7" i="22"/>
  <c r="OW7" i="22"/>
  <c r="P5" i="22"/>
  <c r="GJ7" i="23"/>
  <c r="GQ7" i="23" s="1"/>
  <c r="GJ4" i="23"/>
  <c r="GQ4" i="23" s="1"/>
  <c r="FB7" i="23"/>
  <c r="FI7" i="23" s="1"/>
  <c r="TK7" i="23"/>
  <c r="TG7" i="23"/>
  <c r="TD7" i="23"/>
  <c r="J7" i="23"/>
  <c r="CR7" i="23" s="1"/>
  <c r="F7" i="23"/>
  <c r="CS7" i="23"/>
  <c r="I7" i="23"/>
  <c r="G7" i="23"/>
  <c r="HR4" i="23"/>
  <c r="HY4" i="23" s="1"/>
  <c r="PN4" i="23"/>
  <c r="PU4" i="23" s="1"/>
  <c r="SD4" i="23"/>
  <c r="SK4" i="23" s="1"/>
  <c r="OF4" i="23"/>
  <c r="OM4" i="23" s="1"/>
  <c r="LW4" i="23"/>
  <c r="KH4" i="23"/>
  <c r="KO4" i="23" s="1"/>
  <c r="IZ4" i="23"/>
  <c r="JG4" i="23" s="1"/>
  <c r="DT4" i="23"/>
  <c r="EA4" i="23" s="1"/>
  <c r="TK4" i="23"/>
  <c r="TG4" i="23"/>
  <c r="TD4" i="23"/>
  <c r="F4" i="23"/>
  <c r="J4" i="23"/>
  <c r="I4" i="23"/>
  <c r="G4" i="23"/>
  <c r="LP5" i="23"/>
  <c r="LW5" i="23" s="1"/>
  <c r="SK4" i="24"/>
  <c r="KH4" i="24"/>
  <c r="KO4" i="24" s="1"/>
  <c r="FB4" i="24"/>
  <c r="FI4" i="24" s="1"/>
  <c r="TK4" i="24"/>
  <c r="TD4" i="24"/>
  <c r="F4" i="24"/>
  <c r="AO4" i="24"/>
  <c r="J4" i="24"/>
  <c r="I4" i="24"/>
  <c r="G4" i="24"/>
  <c r="TG4" i="24"/>
  <c r="NH4" i="22"/>
  <c r="NO4" i="22" s="1"/>
  <c r="LP6" i="24"/>
  <c r="LW6" i="24" s="1"/>
  <c r="PX4" i="22"/>
  <c r="QE4" i="22" s="1"/>
  <c r="SN4" i="22"/>
  <c r="SU4" i="22" s="1"/>
  <c r="BV7" i="22"/>
  <c r="BZ7" i="22" s="1"/>
  <c r="LZ9" i="22"/>
  <c r="RF9" i="22"/>
  <c r="RM9" i="22" s="1"/>
  <c r="GT6" i="22"/>
  <c r="HA6" i="22" s="1"/>
  <c r="ED12" i="22"/>
  <c r="HA5" i="22"/>
  <c r="JQ5" i="22"/>
  <c r="MG5" i="22"/>
  <c r="GT11" i="22"/>
  <c r="HA11" i="22" s="1"/>
  <c r="JJ11" i="22"/>
  <c r="JQ11" i="22" s="1"/>
  <c r="LZ11" i="22"/>
  <c r="MG11" i="22" s="1"/>
  <c r="RF11" i="22"/>
  <c r="RM11" i="22" s="1"/>
  <c r="FL13" i="22"/>
  <c r="FS13" i="22" s="1"/>
  <c r="PX13" i="22"/>
  <c r="QE13" i="22" s="1"/>
  <c r="SN13" i="22"/>
  <c r="SU13" i="22" s="1"/>
  <c r="P14" i="22"/>
  <c r="Q14" i="22" s="1"/>
  <c r="F5" i="24"/>
  <c r="I6" i="24"/>
  <c r="I5" i="24"/>
  <c r="BP5" i="24"/>
  <c r="FB6" i="24"/>
  <c r="FI6" i="24" s="1"/>
  <c r="HR6" i="24"/>
  <c r="HY6" i="24" s="1"/>
  <c r="KH6" i="24"/>
  <c r="KO6" i="24" s="1"/>
  <c r="CQ5" i="24"/>
  <c r="FB5" i="24"/>
  <c r="FI5" i="24" s="1"/>
  <c r="MX6" i="24"/>
  <c r="NE6" i="24" s="1"/>
  <c r="PN6" i="24"/>
  <c r="PU6" i="24" s="1"/>
  <c r="DT5" i="24"/>
  <c r="EA5" i="24" s="1"/>
  <c r="IZ5" i="24"/>
  <c r="JG5" i="24" s="1"/>
  <c r="OF5" i="24"/>
  <c r="QV5" i="24"/>
  <c r="RC5" i="24" s="1"/>
  <c r="J5" i="24"/>
  <c r="TG6" i="24"/>
  <c r="F6" i="24"/>
  <c r="OF6" i="24"/>
  <c r="OM6" i="24" s="1"/>
  <c r="QV6" i="24"/>
  <c r="RC6" i="24" s="1"/>
  <c r="G6" i="24"/>
  <c r="AO5" i="24"/>
  <c r="G5" i="24"/>
  <c r="J6" i="24"/>
  <c r="K6" i="24" s="1"/>
  <c r="PN6" i="23"/>
  <c r="PU6" i="23" s="1"/>
  <c r="P9" i="22"/>
  <c r="Q9" i="22" s="1"/>
  <c r="IB7" i="22"/>
  <c r="II7" i="22" s="1"/>
  <c r="JJ8" i="22"/>
  <c r="JQ8" i="22" s="1"/>
  <c r="OP8" i="22"/>
  <c r="OW8" i="22" s="1"/>
  <c r="RF8" i="22"/>
  <c r="RM8" i="22" s="1"/>
  <c r="GT10" i="22"/>
  <c r="FL10" i="22"/>
  <c r="FS10" i="22" s="1"/>
  <c r="IB10" i="22"/>
  <c r="II10" i="22" s="1"/>
  <c r="NH10" i="22"/>
  <c r="NO10" i="22" s="1"/>
  <c r="SN10" i="22"/>
  <c r="SU10" i="22" s="1"/>
  <c r="HA9" i="22"/>
  <c r="NH9" i="22"/>
  <c r="NO9" i="22" s="1"/>
  <c r="SN9" i="22"/>
  <c r="RM13" i="22"/>
  <c r="BV14" i="22"/>
  <c r="BZ14" i="22" s="1"/>
  <c r="DA7" i="22"/>
  <c r="PX7" i="22"/>
  <c r="QE7" i="22" s="1"/>
  <c r="ED8" i="22"/>
  <c r="CW5" i="22"/>
  <c r="RM7" i="22"/>
  <c r="FS8" i="22"/>
  <c r="ED5" i="22"/>
  <c r="ED9" i="22"/>
  <c r="LZ12" i="22"/>
  <c r="MG12" i="22" s="1"/>
  <c r="SN12" i="22"/>
  <c r="SU12" i="22" s="1"/>
  <c r="JJ6" i="22"/>
  <c r="JQ6" i="22" s="1"/>
  <c r="FL5" i="22"/>
  <c r="FS5" i="22" s="1"/>
  <c r="PX5" i="22"/>
  <c r="QE5" i="22" s="1"/>
  <c r="SN5" i="22"/>
  <c r="SU5" i="22" s="1"/>
  <c r="FL9" i="22"/>
  <c r="FS9" i="22" s="1"/>
  <c r="KR11" i="22"/>
  <c r="KY11" i="22" s="1"/>
  <c r="PX11" i="22"/>
  <c r="QE11" i="22" s="1"/>
  <c r="RF12" i="22"/>
  <c r="RF14" i="22"/>
  <c r="RM14" i="22" s="1"/>
  <c r="JJ4" i="22"/>
  <c r="JQ4" i="22" s="1"/>
  <c r="RF4" i="22"/>
  <c r="AU5" i="22"/>
  <c r="JJ7" i="22"/>
  <c r="JQ7" i="22" s="1"/>
  <c r="NH8" i="22"/>
  <c r="NO8" i="22" s="1"/>
  <c r="SN8" i="22"/>
  <c r="JJ10" i="22"/>
  <c r="JQ10" i="22" s="1"/>
  <c r="AU11" i="22"/>
  <c r="AY11" i="22" s="1"/>
  <c r="IB13" i="22"/>
  <c r="II13" i="22" s="1"/>
  <c r="NH13" i="22"/>
  <c r="NO13" i="22" s="1"/>
  <c r="IB14" i="22"/>
  <c r="II14" i="22" s="1"/>
  <c r="PX14" i="22"/>
  <c r="OW10" i="22"/>
  <c r="RM10" i="22"/>
  <c r="JQ13" i="22"/>
  <c r="P10" i="22"/>
  <c r="FS12" i="22"/>
  <c r="II12" i="22"/>
  <c r="KY12" i="22"/>
  <c r="TD5" i="24"/>
  <c r="TG5" i="24"/>
  <c r="LW5" i="24"/>
  <c r="OM5" i="24"/>
  <c r="TK5" i="24"/>
  <c r="TD6" i="24"/>
  <c r="AO6" i="24"/>
  <c r="GJ5" i="24"/>
  <c r="GQ5" i="24" s="1"/>
  <c r="BP6" i="24"/>
  <c r="SD6" i="24"/>
  <c r="SK6" i="24" s="1"/>
  <c r="TK6" i="24"/>
  <c r="HR5" i="24"/>
  <c r="HY5" i="24" s="1"/>
  <c r="KH5" i="24"/>
  <c r="KO5" i="24" s="1"/>
  <c r="MX5" i="24"/>
  <c r="NE5" i="24" s="1"/>
  <c r="PN5" i="24"/>
  <c r="PU5" i="24" s="1"/>
  <c r="SD5" i="24"/>
  <c r="SK5" i="24" s="1"/>
  <c r="CQ6" i="24"/>
  <c r="DT6" i="24"/>
  <c r="EA6" i="24" s="1"/>
  <c r="GJ6" i="24"/>
  <c r="GQ6" i="24" s="1"/>
  <c r="IZ6" i="24"/>
  <c r="JG6" i="24" s="1"/>
  <c r="J6" i="23"/>
  <c r="J5" i="23"/>
  <c r="K5" i="23" s="1"/>
  <c r="SD5" i="23"/>
  <c r="SK5" i="23" s="1"/>
  <c r="PN5" i="23"/>
  <c r="PU5" i="23" s="1"/>
  <c r="KH5" i="23"/>
  <c r="KO5" i="23" s="1"/>
  <c r="FB5" i="23"/>
  <c r="FI5" i="23" s="1"/>
  <c r="OF6" i="23"/>
  <c r="OM6" i="23" s="1"/>
  <c r="LP6" i="23"/>
  <c r="LW6" i="23" s="1"/>
  <c r="IZ6" i="23"/>
  <c r="JG6" i="23" s="1"/>
  <c r="DT6" i="23"/>
  <c r="EA6" i="23" s="1"/>
  <c r="KH6" i="23"/>
  <c r="KO6" i="23" s="1"/>
  <c r="FB6" i="23"/>
  <c r="FI6" i="23" s="1"/>
  <c r="IZ5" i="23"/>
  <c r="JG5" i="23" s="1"/>
  <c r="DT5" i="23"/>
  <c r="EA5" i="23" s="1"/>
  <c r="CQ5" i="23"/>
  <c r="TG6" i="23"/>
  <c r="TD5" i="23"/>
  <c r="BP6" i="23"/>
  <c r="TG5" i="23"/>
  <c r="SD6" i="23"/>
  <c r="SK6" i="23" s="1"/>
  <c r="GJ6" i="23"/>
  <c r="GQ6" i="23" s="1"/>
  <c r="CQ6" i="23"/>
  <c r="MX5" i="23"/>
  <c r="NE5" i="23" s="1"/>
  <c r="F6" i="23"/>
  <c r="HR5" i="23"/>
  <c r="HY5" i="23" s="1"/>
  <c r="BL5" i="23"/>
  <c r="BP5" i="23" s="1"/>
  <c r="TD6" i="23"/>
  <c r="MX6" i="23"/>
  <c r="NE6" i="23" s="1"/>
  <c r="GJ5" i="23"/>
  <c r="GQ5" i="23" s="1"/>
  <c r="TK5" i="23"/>
  <c r="QV6" i="23"/>
  <c r="RC6" i="23" s="1"/>
  <c r="HR6" i="23"/>
  <c r="HY6" i="23" s="1"/>
  <c r="OF5" i="23"/>
  <c r="OM5" i="23" s="1"/>
  <c r="I5" i="23"/>
  <c r="TK6" i="23"/>
  <c r="AK5" i="23"/>
  <c r="AO5" i="23" s="1"/>
  <c r="G5" i="23"/>
  <c r="TE5" i="23"/>
  <c r="F5" i="23"/>
  <c r="I6" i="23"/>
  <c r="AK6" i="23"/>
  <c r="AO6" i="23" s="1"/>
  <c r="G6" i="23"/>
  <c r="LZ10" i="22"/>
  <c r="LZ8" i="22"/>
  <c r="MG8" i="22" s="1"/>
  <c r="LZ13" i="22"/>
  <c r="MG13" i="22" s="1"/>
  <c r="KR6" i="22"/>
  <c r="KY6" i="22" s="1"/>
  <c r="KR14" i="22"/>
  <c r="KY14" i="22" s="1"/>
  <c r="KR5" i="22"/>
  <c r="KY5" i="22" s="1"/>
  <c r="II4" i="22"/>
  <c r="GT4" i="22"/>
  <c r="HA4" i="22" s="1"/>
  <c r="GT14" i="22"/>
  <c r="HA14" i="22" s="1"/>
  <c r="GT13" i="22"/>
  <c r="HA13" i="22" s="1"/>
  <c r="FL4" i="22"/>
  <c r="FS4" i="22" s="1"/>
  <c r="FL14" i="22"/>
  <c r="J4" i="22"/>
  <c r="TU10" i="22"/>
  <c r="TU12" i="22"/>
  <c r="CW4" i="22"/>
  <c r="L7" i="22"/>
  <c r="M7" i="22" s="1"/>
  <c r="P12" i="22"/>
  <c r="TQ5" i="22"/>
  <c r="TN7" i="22"/>
  <c r="TU4" i="22"/>
  <c r="BV5" i="22"/>
  <c r="BZ5" i="22" s="1"/>
  <c r="TN10" i="22"/>
  <c r="BV8" i="22"/>
  <c r="BZ8" i="22" s="1"/>
  <c r="TQ8" i="22"/>
  <c r="TU8" i="22"/>
  <c r="BV12" i="22"/>
  <c r="L9" i="22"/>
  <c r="R5" i="22"/>
  <c r="S5" i="22" s="1"/>
  <c r="R12" i="22"/>
  <c r="S12" i="22" s="1"/>
  <c r="L8" i="22"/>
  <c r="M8" i="22" s="1"/>
  <c r="L10" i="22"/>
  <c r="T10" i="22"/>
  <c r="U10" i="22" s="1"/>
  <c r="I6" i="22"/>
  <c r="TU5" i="22"/>
  <c r="TQ7" i="22"/>
  <c r="TR7" i="22" s="1"/>
  <c r="R8" i="22"/>
  <c r="S8" i="22" s="1"/>
  <c r="MG9" i="22"/>
  <c r="TN9" i="22"/>
  <c r="N10" i="22"/>
  <c r="O10" i="22" s="1"/>
  <c r="TN11" i="22"/>
  <c r="FS14" i="22"/>
  <c r="QE6" i="22"/>
  <c r="AY5" i="22"/>
  <c r="EK7" i="22"/>
  <c r="EK8" i="22"/>
  <c r="EK9" i="22"/>
  <c r="SU9" i="22"/>
  <c r="TQ9" i="22"/>
  <c r="DA11" i="22"/>
  <c r="MG14" i="22"/>
  <c r="BZ4" i="22"/>
  <c r="F4" i="22"/>
  <c r="P6" i="22"/>
  <c r="Q6" i="22" s="1"/>
  <c r="TN6" i="22"/>
  <c r="TQ6" i="22"/>
  <c r="N9" i="22"/>
  <c r="O9" i="22" s="1"/>
  <c r="IB11" i="22"/>
  <c r="II11" i="22" s="1"/>
  <c r="TU11" i="22"/>
  <c r="BZ12" i="22"/>
  <c r="JJ12" i="22"/>
  <c r="JQ12" i="22" s="1"/>
  <c r="P13" i="22"/>
  <c r="L4" i="22"/>
  <c r="M4" i="22" s="1"/>
  <c r="AU4" i="22"/>
  <c r="AY4" i="22" s="1"/>
  <c r="ED4" i="22"/>
  <c r="EK4" i="22" s="1"/>
  <c r="BV6" i="22"/>
  <c r="BZ6" i="22" s="1"/>
  <c r="J5" i="22"/>
  <c r="AU7" i="22"/>
  <c r="AY7" i="22" s="1"/>
  <c r="J8" i="22"/>
  <c r="K8" i="22" s="1"/>
  <c r="AU8" i="22"/>
  <c r="JJ9" i="22"/>
  <c r="JQ9" i="22" s="1"/>
  <c r="TU9" i="22"/>
  <c r="TQ10" i="22"/>
  <c r="TR10" i="22" s="1"/>
  <c r="TV10" i="22" s="1"/>
  <c r="NH11" i="22"/>
  <c r="NO11" i="22" s="1"/>
  <c r="OP12" i="22"/>
  <c r="OW12" i="22" s="1"/>
  <c r="TN13" i="22"/>
  <c r="DA14" i="22"/>
  <c r="N4" i="22"/>
  <c r="O4" i="22" s="1"/>
  <c r="T4" i="22"/>
  <c r="KR4" i="22"/>
  <c r="KY4" i="22" s="1"/>
  <c r="TQ4" i="22"/>
  <c r="T6" i="22"/>
  <c r="U6" i="22" s="1"/>
  <c r="CW6" i="22"/>
  <c r="DA6" i="22" s="1"/>
  <c r="LZ6" i="22"/>
  <c r="MG6" i="22" s="1"/>
  <c r="N5" i="22"/>
  <c r="O5" i="22" s="1"/>
  <c r="IB5" i="22"/>
  <c r="II5" i="22" s="1"/>
  <c r="RF5" i="22"/>
  <c r="RM5" i="22" s="1"/>
  <c r="J7" i="22"/>
  <c r="K7" i="22" s="1"/>
  <c r="NH7" i="22"/>
  <c r="NO7" i="22" s="1"/>
  <c r="KR8" i="22"/>
  <c r="KY8" i="22" s="1"/>
  <c r="G9" i="22"/>
  <c r="KR9" i="22"/>
  <c r="KY9" i="22" s="1"/>
  <c r="OP9" i="22"/>
  <c r="OW9" i="22" s="1"/>
  <c r="BV10" i="22"/>
  <c r="BZ10" i="22" s="1"/>
  <c r="KR10" i="22"/>
  <c r="KY10" i="22" s="1"/>
  <c r="OP11" i="22"/>
  <c r="OW11" i="22" s="1"/>
  <c r="F12" i="22"/>
  <c r="PX12" i="22"/>
  <c r="QE12" i="22" s="1"/>
  <c r="TQ12" i="22"/>
  <c r="BV13" i="22"/>
  <c r="BZ13" i="22" s="1"/>
  <c r="TQ13" i="22"/>
  <c r="TR13" i="22" s="1"/>
  <c r="ED14" i="22"/>
  <c r="EK14" i="22" s="1"/>
  <c r="P4" i="22"/>
  <c r="Q4" i="22" s="1"/>
  <c r="I4" i="22"/>
  <c r="LZ4" i="22"/>
  <c r="MG4" i="22" s="1"/>
  <c r="OP4" i="22"/>
  <c r="OW4" i="22" s="1"/>
  <c r="NH6" i="22"/>
  <c r="NO6" i="22" s="1"/>
  <c r="RF6" i="22"/>
  <c r="RM6" i="22" s="1"/>
  <c r="FL7" i="22"/>
  <c r="FS7" i="22" s="1"/>
  <c r="SN7" i="22"/>
  <c r="SU7" i="22" s="1"/>
  <c r="TU7" i="22"/>
  <c r="TN8" i="22"/>
  <c r="CW9" i="22"/>
  <c r="DA9" i="22" s="1"/>
  <c r="P11" i="22"/>
  <c r="DC11" i="22" s="1"/>
  <c r="SN11" i="22"/>
  <c r="SU11" i="22" s="1"/>
  <c r="T12" i="22"/>
  <c r="U12" i="22" s="1"/>
  <c r="CW13" i="22"/>
  <c r="DA13" i="22" s="1"/>
  <c r="KR13" i="22"/>
  <c r="KY13" i="22" s="1"/>
  <c r="JJ14" i="22"/>
  <c r="JQ14" i="22" s="1"/>
  <c r="NH14" i="22"/>
  <c r="NO14" i="22" s="1"/>
  <c r="TN14" i="22"/>
  <c r="TR14" i="22" s="1"/>
  <c r="TV14" i="22" s="1"/>
  <c r="NH5" i="22"/>
  <c r="NO5" i="22" s="1"/>
  <c r="TN5" i="22"/>
  <c r="TR5" i="22" s="1"/>
  <c r="TV5" i="22" s="1"/>
  <c r="KR7" i="22"/>
  <c r="KY7" i="22" s="1"/>
  <c r="GT8" i="22"/>
  <c r="HA8" i="22" s="1"/>
  <c r="PX8" i="22"/>
  <c r="QE8" i="22" s="1"/>
  <c r="AU9" i="22"/>
  <c r="AY9" i="22" s="1"/>
  <c r="ED10" i="22"/>
  <c r="EK10" i="22" s="1"/>
  <c r="PX10" i="22"/>
  <c r="QE10" i="22" s="1"/>
  <c r="FL11" i="22"/>
  <c r="FS11" i="22" s="1"/>
  <c r="GT12" i="22"/>
  <c r="HA12" i="22" s="1"/>
  <c r="AU13" i="22"/>
  <c r="AY13" i="22" s="1"/>
  <c r="T14" i="22"/>
  <c r="U14" i="22" s="1"/>
  <c r="OP14" i="22"/>
  <c r="OW14" i="22" s="1"/>
  <c r="SN14" i="22"/>
  <c r="SU14" i="22" s="1"/>
  <c r="TQ14" i="22"/>
  <c r="K4" i="22"/>
  <c r="G4" i="22"/>
  <c r="T5" i="22"/>
  <c r="U5" i="22" s="1"/>
  <c r="OW5" i="22"/>
  <c r="I8" i="22"/>
  <c r="II8" i="22"/>
  <c r="DC9" i="22"/>
  <c r="I9" i="22"/>
  <c r="R10" i="22"/>
  <c r="S10" i="22" s="1"/>
  <c r="DC10" i="22"/>
  <c r="Q10" i="22"/>
  <c r="M10" i="22"/>
  <c r="DA4" i="22"/>
  <c r="RM4" i="22"/>
  <c r="DA5" i="22"/>
  <c r="PX9" i="22"/>
  <c r="QE9" i="22" s="1"/>
  <c r="HA10" i="22"/>
  <c r="BV11" i="22"/>
  <c r="BZ11" i="22" s="1"/>
  <c r="TQ11" i="22"/>
  <c r="L12" i="22"/>
  <c r="EK12" i="22"/>
  <c r="F11" i="22"/>
  <c r="T11" i="22"/>
  <c r="U11" i="22" s="1"/>
  <c r="R11" i="22"/>
  <c r="S11" i="22" s="1"/>
  <c r="R7" i="22"/>
  <c r="S7" i="22" s="1"/>
  <c r="P8" i="22"/>
  <c r="G8" i="22"/>
  <c r="R4" i="22"/>
  <c r="S4" i="22" s="1"/>
  <c r="TN4" i="22"/>
  <c r="TR4" i="22" s="1"/>
  <c r="TV4" i="22" s="1"/>
  <c r="L6" i="22"/>
  <c r="T7" i="22"/>
  <c r="M9" i="22"/>
  <c r="F5" i="22"/>
  <c r="I5" i="22"/>
  <c r="R6" i="22"/>
  <c r="S6" i="22" s="1"/>
  <c r="F6" i="22"/>
  <c r="ED6" i="22"/>
  <c r="EK6" i="22" s="1"/>
  <c r="SN6" i="22"/>
  <c r="SU6" i="22" s="1"/>
  <c r="K5" i="22"/>
  <c r="P7" i="22"/>
  <c r="GT7" i="22"/>
  <c r="HA7" i="22" s="1"/>
  <c r="F9" i="22"/>
  <c r="H9" i="22" s="1"/>
  <c r="I10" i="22"/>
  <c r="F10" i="22"/>
  <c r="MG10" i="22"/>
  <c r="DC13" i="22"/>
  <c r="Q13" i="22"/>
  <c r="I13" i="22"/>
  <c r="J6" i="22"/>
  <c r="AU6" i="22"/>
  <c r="AY6" i="22" s="1"/>
  <c r="G6" i="22"/>
  <c r="N6" i="22"/>
  <c r="O6" i="22" s="1"/>
  <c r="OP6" i="22"/>
  <c r="OW6" i="22" s="1"/>
  <c r="EK5" i="22"/>
  <c r="AY8" i="22"/>
  <c r="SU8" i="22"/>
  <c r="CW10" i="22"/>
  <c r="DA10" i="22" s="1"/>
  <c r="I11" i="22"/>
  <c r="ED11" i="22"/>
  <c r="EK11" i="22" s="1"/>
  <c r="N12" i="22"/>
  <c r="O12" i="22" s="1"/>
  <c r="I14" i="22"/>
  <c r="N14" i="22"/>
  <c r="O14" i="22" s="1"/>
  <c r="F14" i="22"/>
  <c r="DC5" i="22"/>
  <c r="Q5" i="22"/>
  <c r="G7" i="22"/>
  <c r="T8" i="22"/>
  <c r="U8" i="22" s="1"/>
  <c r="TR9" i="22"/>
  <c r="TV9" i="22" s="1"/>
  <c r="J10" i="22"/>
  <c r="Q11" i="22"/>
  <c r="DC14" i="22"/>
  <c r="TU6" i="22"/>
  <c r="F7" i="22"/>
  <c r="N7" i="22"/>
  <c r="O7" i="22" s="1"/>
  <c r="J11" i="22"/>
  <c r="G12" i="22"/>
  <c r="AU12" i="22"/>
  <c r="AY12" i="22" s="1"/>
  <c r="J13" i="22"/>
  <c r="TU13" i="22"/>
  <c r="TV13" i="22" s="1"/>
  <c r="TT13" i="22"/>
  <c r="DC12" i="22"/>
  <c r="J9" i="22"/>
  <c r="R9" i="22"/>
  <c r="S9" i="22" s="1"/>
  <c r="BV9" i="22"/>
  <c r="BZ9" i="22" s="1"/>
  <c r="G10" i="22"/>
  <c r="AU10" i="22"/>
  <c r="AY10" i="22" s="1"/>
  <c r="L11" i="22"/>
  <c r="I12" i="22"/>
  <c r="Q12" i="22"/>
  <c r="CW12" i="22"/>
  <c r="DA12" i="22" s="1"/>
  <c r="OP13" i="22"/>
  <c r="OW13" i="22" s="1"/>
  <c r="L5" i="22"/>
  <c r="I7" i="22"/>
  <c r="F8" i="22"/>
  <c r="N8" i="22"/>
  <c r="O8" i="22" s="1"/>
  <c r="J12" i="22"/>
  <c r="RM12" i="22"/>
  <c r="T9" i="22"/>
  <c r="U9" i="22" s="1"/>
  <c r="N11" i="22"/>
  <c r="O11" i="22" s="1"/>
  <c r="N13" i="22"/>
  <c r="O13" i="22" s="1"/>
  <c r="L13" i="22"/>
  <c r="ED13" i="22"/>
  <c r="EK13" i="22" s="1"/>
  <c r="L14" i="22"/>
  <c r="G11" i="22"/>
  <c r="G5" i="22"/>
  <c r="TN12" i="22"/>
  <c r="TR12" i="22" s="1"/>
  <c r="TV12" i="22" s="1"/>
  <c r="F13" i="22"/>
  <c r="T13" i="22"/>
  <c r="U13" i="22" s="1"/>
  <c r="R13" i="22"/>
  <c r="S13" i="22" s="1"/>
  <c r="QE14" i="22"/>
  <c r="G14" i="22"/>
  <c r="AU14" i="22"/>
  <c r="AY14" i="22" s="1"/>
  <c r="J14" i="22"/>
  <c r="R14" i="22"/>
  <c r="S14" i="22" s="1"/>
  <c r="G13" i="22"/>
  <c r="AV8" i="19"/>
  <c r="QC8" i="19"/>
  <c r="LU8" i="19"/>
  <c r="NY8" i="19"/>
  <c r="JQ8" i="19"/>
  <c r="FI8" i="19"/>
  <c r="DB8" i="19"/>
  <c r="R8" i="19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G8" i="19"/>
  <c r="AY8" i="19"/>
  <c r="TH4" i="24" l="1"/>
  <c r="TL4" i="24" s="1"/>
  <c r="K4" i="24"/>
  <c r="TH7" i="23"/>
  <c r="TL7" i="23" s="1"/>
  <c r="K7" i="23"/>
  <c r="H7" i="23"/>
  <c r="A7" i="23" a="1"/>
  <c r="A7" i="23" s="1"/>
  <c r="L7" i="23"/>
  <c r="H4" i="23"/>
  <c r="TH4" i="23"/>
  <c r="TL4" i="23" s="1"/>
  <c r="K4" i="23"/>
  <c r="CS4" i="23"/>
  <c r="CR4" i="23"/>
  <c r="TH6" i="23"/>
  <c r="TL6" i="23" s="1"/>
  <c r="CS4" i="24"/>
  <c r="CR4" i="24"/>
  <c r="H4" i="24"/>
  <c r="H5" i="22"/>
  <c r="DB8" i="22"/>
  <c r="TR8" i="22"/>
  <c r="TV8" i="22" s="1"/>
  <c r="H5" i="24"/>
  <c r="TH6" i="24"/>
  <c r="TL6" i="24" s="1"/>
  <c r="CS6" i="24"/>
  <c r="CR6" i="24"/>
  <c r="K5" i="24"/>
  <c r="CS5" i="24"/>
  <c r="CR5" i="24"/>
  <c r="H6" i="24"/>
  <c r="CR5" i="23"/>
  <c r="CS5" i="23"/>
  <c r="U7" i="22"/>
  <c r="CS6" i="23"/>
  <c r="CR6" i="23"/>
  <c r="K6" i="23"/>
  <c r="TH5" i="24"/>
  <c r="TL5" i="24" s="1"/>
  <c r="TH5" i="23"/>
  <c r="TL5" i="23" s="1"/>
  <c r="A6" i="24" a="1"/>
  <c r="A6" i="24" s="1"/>
  <c r="H6" i="23"/>
  <c r="A5" i="23" a="1"/>
  <c r="A5" i="23" s="1"/>
  <c r="H5" i="23"/>
  <c r="DB7" i="22"/>
  <c r="H12" i="22"/>
  <c r="TR11" i="22"/>
  <c r="TV11" i="22" s="1"/>
  <c r="H4" i="22"/>
  <c r="DC6" i="22"/>
  <c r="H10" i="22"/>
  <c r="TV7" i="22"/>
  <c r="U4" i="22"/>
  <c r="DC4" i="22"/>
  <c r="H13" i="22"/>
  <c r="H14" i="22"/>
  <c r="DB10" i="22"/>
  <c r="V10" i="22" s="1"/>
  <c r="TR6" i="22"/>
  <c r="TV6" i="22" s="1"/>
  <c r="H11" i="22"/>
  <c r="DB4" i="22"/>
  <c r="K9" i="22"/>
  <c r="M14" i="22"/>
  <c r="DB14" i="22"/>
  <c r="V14" i="22" s="1"/>
  <c r="M5" i="22"/>
  <c r="DB5" i="22"/>
  <c r="V5" i="22" s="1"/>
  <c r="A14" i="22" a="1"/>
  <c r="A14" i="22" s="1"/>
  <c r="K6" i="22"/>
  <c r="K14" i="22"/>
  <c r="K11" i="22"/>
  <c r="K10" i="22"/>
  <c r="DB6" i="22"/>
  <c r="M6" i="22"/>
  <c r="M13" i="22"/>
  <c r="DB13" i="22"/>
  <c r="V13" i="22" s="1"/>
  <c r="M11" i="22"/>
  <c r="DB11" i="22"/>
  <c r="V11" i="22" s="1"/>
  <c r="K12" i="22"/>
  <c r="H7" i="22"/>
  <c r="DC7" i="22"/>
  <c r="Q7" i="22"/>
  <c r="H8" i="22"/>
  <c r="M12" i="22"/>
  <c r="DB12" i="22"/>
  <c r="V12" i="22" s="1"/>
  <c r="K13" i="22"/>
  <c r="H6" i="22"/>
  <c r="DB9" i="22"/>
  <c r="V9" i="22" s="1"/>
  <c r="E9" i="22" s="1"/>
  <c r="Q8" i="22"/>
  <c r="DC8" i="22"/>
  <c r="V8" i="22" s="1"/>
  <c r="Q8" i="19"/>
  <c r="DG8" i="19"/>
  <c r="S8" i="19"/>
  <c r="DH8" i="19"/>
  <c r="M8" i="19"/>
  <c r="RF8" i="19"/>
  <c r="I8" i="19"/>
  <c r="H8" i="19" s="1"/>
  <c r="RI8" i="19"/>
  <c r="T8" i="19" l="1"/>
  <c r="U8" i="19" s="1"/>
  <c r="L4" i="24"/>
  <c r="M7" i="23"/>
  <c r="N7" i="23"/>
  <c r="E7" i="23"/>
  <c r="L4" i="23"/>
  <c r="M4" i="23" s="1"/>
  <c r="V7" i="22"/>
  <c r="X7" i="22" s="1"/>
  <c r="L5" i="24"/>
  <c r="E5" i="24" s="1"/>
  <c r="L5" i="23"/>
  <c r="M5" i="23" s="1"/>
  <c r="L6" i="24"/>
  <c r="L6" i="23"/>
  <c r="N6" i="23" s="1"/>
  <c r="E12" i="22"/>
  <c r="V6" i="22"/>
  <c r="W6" i="22" s="1"/>
  <c r="V4" i="22"/>
  <c r="E4" i="22" s="1"/>
  <c r="E5" i="22"/>
  <c r="E14" i="22"/>
  <c r="E10" i="22"/>
  <c r="E13" i="22"/>
  <c r="E11" i="22"/>
  <c r="X8" i="22"/>
  <c r="W8" i="22"/>
  <c r="E8" i="22"/>
  <c r="X11" i="22"/>
  <c r="W11" i="22"/>
  <c r="X12" i="22"/>
  <c r="W12" i="22"/>
  <c r="X10" i="22"/>
  <c r="W10" i="22"/>
  <c r="X14" i="22"/>
  <c r="W14" i="22"/>
  <c r="X13" i="22"/>
  <c r="W13" i="22"/>
  <c r="X9" i="22"/>
  <c r="W9" i="22"/>
  <c r="W5" i="22"/>
  <c r="X5" i="22"/>
  <c r="V8" i="19"/>
  <c r="E8" i="19" l="1"/>
  <c r="M4" i="24"/>
  <c r="E4" i="24"/>
  <c r="N4" i="24"/>
  <c r="E4" i="23"/>
  <c r="N4" i="23"/>
  <c r="E7" i="22"/>
  <c r="W7" i="22"/>
  <c r="M5" i="24"/>
  <c r="N5" i="24"/>
  <c r="N5" i="23"/>
  <c r="E5" i="23"/>
  <c r="N6" i="24"/>
  <c r="M6" i="24"/>
  <c r="E6" i="24"/>
  <c r="A4" i="24" s="1" a="1"/>
  <c r="A4" i="24" s="1"/>
  <c r="M6" i="23"/>
  <c r="E6" i="23"/>
  <c r="A6" i="23" s="1" a="1"/>
  <c r="A6" i="23" s="1"/>
  <c r="X4" i="22"/>
  <c r="W4" i="22"/>
  <c r="E6" i="22"/>
  <c r="X6" i="22"/>
  <c r="A12" i="22" a="1"/>
  <c r="A12" i="22" s="1"/>
  <c r="AR17" i="19"/>
  <c r="AS17" i="19"/>
  <c r="AT17" i="19"/>
  <c r="AU17" i="19"/>
  <c r="AW17" i="19"/>
  <c r="AX17" i="19"/>
  <c r="BU17" i="19"/>
  <c r="BV17" i="19"/>
  <c r="BW17" i="19"/>
  <c r="BX17" i="19"/>
  <c r="BZ17" i="19"/>
  <c r="CA17" i="19"/>
  <c r="CX17" i="19"/>
  <c r="CY17" i="19"/>
  <c r="CZ17" i="19"/>
  <c r="DA17" i="19"/>
  <c r="DC17" i="19"/>
  <c r="DD17" i="19"/>
  <c r="EC17" i="19"/>
  <c r="ED17" i="19"/>
  <c r="EE17" i="19"/>
  <c r="EF17" i="19"/>
  <c r="EH17" i="19"/>
  <c r="EI17" i="19"/>
  <c r="FE17" i="19"/>
  <c r="FF17" i="19"/>
  <c r="FG17" i="19"/>
  <c r="FH17" i="19"/>
  <c r="FJ17" i="19"/>
  <c r="FK17" i="19"/>
  <c r="GG17" i="19"/>
  <c r="GH17" i="19"/>
  <c r="GI17" i="19"/>
  <c r="GJ17" i="19"/>
  <c r="GL17" i="19"/>
  <c r="GM17" i="19"/>
  <c r="HI17" i="19"/>
  <c r="HJ17" i="19"/>
  <c r="HK17" i="19"/>
  <c r="HL17" i="19"/>
  <c r="HN17" i="19"/>
  <c r="HO17" i="19"/>
  <c r="IK17" i="19"/>
  <c r="IL17" i="19"/>
  <c r="IM17" i="19"/>
  <c r="IN17" i="19"/>
  <c r="IP17" i="19"/>
  <c r="IQ17" i="19"/>
  <c r="JM17" i="19"/>
  <c r="JN17" i="19"/>
  <c r="JO17" i="19"/>
  <c r="JP17" i="19"/>
  <c r="JR17" i="19"/>
  <c r="JS17" i="19"/>
  <c r="KO17" i="19"/>
  <c r="KP17" i="19"/>
  <c r="KQ17" i="19"/>
  <c r="KR17" i="19"/>
  <c r="KT17" i="19"/>
  <c r="KU17" i="19"/>
  <c r="LQ17" i="19"/>
  <c r="LR17" i="19"/>
  <c r="LS17" i="19"/>
  <c r="LT17" i="19"/>
  <c r="LV17" i="19"/>
  <c r="LW17" i="19"/>
  <c r="MS17" i="19"/>
  <c r="MT17" i="19"/>
  <c r="MU17" i="19"/>
  <c r="MV17" i="19"/>
  <c r="MX17" i="19"/>
  <c r="MY17" i="19"/>
  <c r="NU17" i="19"/>
  <c r="NV17" i="19"/>
  <c r="NW17" i="19"/>
  <c r="NX17" i="19"/>
  <c r="NZ17" i="19"/>
  <c r="OA17" i="19"/>
  <c r="OW17" i="19"/>
  <c r="OX17" i="19"/>
  <c r="OY17" i="19"/>
  <c r="OZ17" i="19"/>
  <c r="PB17" i="19"/>
  <c r="PC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4" i="23" l="1" a="1"/>
  <c r="A4" i="23" s="1"/>
  <c r="D18" i="11" s="1"/>
  <c r="A5" i="24" a="1"/>
  <c r="A5" i="24" s="1"/>
  <c r="C22" i="11" s="1"/>
  <c r="A11" i="22" a="1"/>
  <c r="A11" i="22" s="1"/>
  <c r="GK17" i="19"/>
  <c r="BY17" i="19"/>
  <c r="A10" i="22" a="1"/>
  <c r="A10" i="22" s="1"/>
  <c r="A8" i="22" a="1"/>
  <c r="A8" i="22" s="1"/>
  <c r="FL18" i="4"/>
  <c r="FS18" i="4" s="1"/>
  <c r="R18" i="4"/>
  <c r="S18" i="4" s="1"/>
  <c r="T18" i="4"/>
  <c r="U18" i="4" s="1"/>
  <c r="A7" i="22" a="1"/>
  <c r="A7" i="22" s="1"/>
  <c r="A13" i="22" a="1"/>
  <c r="A13" i="22" s="1"/>
  <c r="A6" i="22" a="1"/>
  <c r="A6" i="22" s="1"/>
  <c r="A9" i="22" a="1"/>
  <c r="A9" i="22" s="1"/>
  <c r="A4" i="22" a="1"/>
  <c r="A4" i="22" s="1"/>
  <c r="A5" i="22" a="1"/>
  <c r="A5" i="22" s="1"/>
  <c r="DE17" i="19"/>
  <c r="KR18" i="4"/>
  <c r="KY18" i="4" s="1"/>
  <c r="RF18" i="4"/>
  <c r="RM18" i="4" s="1"/>
  <c r="GT18" i="4"/>
  <c r="HA18" i="4" s="1"/>
  <c r="BZ18" i="4"/>
  <c r="ED18" i="4"/>
  <c r="EK18" i="4" s="1"/>
  <c r="IO17" i="19"/>
  <c r="EG17" i="19"/>
  <c r="MW17" i="19"/>
  <c r="HM17" i="19"/>
  <c r="CW18" i="4"/>
  <c r="DA18" i="4" s="1"/>
  <c r="QC17" i="19"/>
  <c r="PA17" i="19"/>
  <c r="NY17" i="19"/>
  <c r="LU17" i="19"/>
  <c r="KS17" i="19"/>
  <c r="JQ17" i="19"/>
  <c r="FI17" i="19"/>
  <c r="N17" i="19"/>
  <c r="O17" i="19" s="1"/>
  <c r="RG17" i="19"/>
  <c r="DB17" i="19"/>
  <c r="L17" i="19"/>
  <c r="RH17" i="19"/>
  <c r="CB17" i="19"/>
  <c r="RD17" i="19"/>
  <c r="RC17" i="19"/>
  <c r="RB17" i="19"/>
  <c r="R17" i="19"/>
  <c r="DH17" i="19" s="1"/>
  <c r="F17" i="19"/>
  <c r="AV17" i="19"/>
  <c r="J17" i="19"/>
  <c r="K17" i="19" s="1"/>
  <c r="RE17" i="19"/>
  <c r="QF17" i="19"/>
  <c r="PD17" i="19"/>
  <c r="OB17" i="19"/>
  <c r="MZ17" i="19"/>
  <c r="LX17" i="19"/>
  <c r="KV17" i="19"/>
  <c r="JT17" i="19"/>
  <c r="IR17" i="19"/>
  <c r="HP17" i="19"/>
  <c r="GN17" i="19"/>
  <c r="FL17" i="19"/>
  <c r="EJ17" i="19"/>
  <c r="P17" i="19"/>
  <c r="G17" i="19"/>
  <c r="AY17" i="19"/>
  <c r="SN18" i="4"/>
  <c r="SU18" i="4" s="1"/>
  <c r="J18" i="4"/>
  <c r="K18" i="4" s="1"/>
  <c r="AY18" i="4"/>
  <c r="LZ18" i="4"/>
  <c r="MG18" i="4" s="1"/>
  <c r="PX18" i="4"/>
  <c r="QE18" i="4" s="1"/>
  <c r="TN18" i="4"/>
  <c r="OP18" i="4"/>
  <c r="OW18" i="4" s="1"/>
  <c r="NH18" i="4"/>
  <c r="NO18" i="4" s="1"/>
  <c r="JJ18" i="4"/>
  <c r="JQ18" i="4" s="1"/>
  <c r="IB18" i="4"/>
  <c r="II18" i="4" s="1"/>
  <c r="TQ18" i="4"/>
  <c r="TU18" i="4"/>
  <c r="L18" i="4"/>
  <c r="G18" i="4"/>
  <c r="I18" i="4"/>
  <c r="P18" i="4"/>
  <c r="DC18" i="4" s="1"/>
  <c r="N18" i="4"/>
  <c r="O18" i="4" s="1"/>
  <c r="F18" i="4"/>
  <c r="C21" i="11" l="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7" i="19"/>
  <c r="DF17" i="19"/>
  <c r="Q17" i="19"/>
  <c r="DG17" i="19"/>
  <c r="M18" i="4"/>
  <c r="DB18" i="4"/>
  <c r="V18" i="4" s="1"/>
  <c r="S17" i="19"/>
  <c r="I17" i="19"/>
  <c r="H17" i="19" s="1"/>
  <c r="RI17" i="19"/>
  <c r="A18" i="4" a="1"/>
  <c r="A18" i="4" s="1"/>
  <c r="RF17" i="19"/>
  <c r="A17" i="19"/>
  <c r="TR18" i="4"/>
  <c r="TV18" i="4" s="1"/>
  <c r="Q18" i="4"/>
  <c r="H18" i="4"/>
  <c r="T17" i="19" l="1"/>
  <c r="U17" i="19" s="1"/>
  <c r="X18" i="4"/>
  <c r="W18" i="4"/>
  <c r="E18" i="4"/>
  <c r="E17" i="19" l="1"/>
  <c r="V17" i="19"/>
  <c r="AO13" i="4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JJ13" i="4"/>
  <c r="JQ13" i="4" s="1"/>
  <c r="RF13" i="4"/>
  <c r="RM13" i="4" s="1"/>
  <c r="OP13" i="4"/>
  <c r="OW13" i="4" s="1"/>
  <c r="LZ13" i="4"/>
  <c r="MG13" i="4" s="1"/>
  <c r="ED13" i="4"/>
  <c r="EK13" i="4" s="1"/>
  <c r="GT13" i="4"/>
  <c r="HA13" i="4" s="1"/>
  <c r="NH13" i="4"/>
  <c r="NO13" i="4" s="1"/>
  <c r="IB13" i="4"/>
  <c r="II13" i="4" s="1"/>
  <c r="SN13" i="4"/>
  <c r="SU13" i="4" s="1"/>
  <c r="BV13" i="4"/>
  <c r="BZ13" i="4" s="1"/>
  <c r="CW13" i="4"/>
  <c r="DA13" i="4" s="1"/>
  <c r="PX13" i="4"/>
  <c r="QE13" i="4" s="1"/>
  <c r="KR13" i="4"/>
  <c r="KY13" i="4" s="1"/>
  <c r="FL13" i="4"/>
  <c r="FS13" i="4" s="1"/>
  <c r="TQ13" i="4"/>
  <c r="TU13" i="4"/>
  <c r="P13" i="4"/>
  <c r="DC13" i="4" s="1"/>
  <c r="L13" i="4"/>
  <c r="F13" i="4"/>
  <c r="J13" i="4"/>
  <c r="I13" i="4"/>
  <c r="TN13" i="4"/>
  <c r="AU13" i="4"/>
  <c r="AY13" i="4" s="1"/>
  <c r="G13" i="4"/>
  <c r="N13" i="4"/>
  <c r="O13" i="4" s="1"/>
  <c r="M13" i="4" l="1"/>
  <c r="DB13" i="4"/>
  <c r="V13" i="4" s="1"/>
  <c r="TR13" i="4"/>
  <c r="TV13" i="4" s="1"/>
  <c r="Q13" i="4"/>
  <c r="H13" i="4"/>
  <c r="K13" i="4"/>
  <c r="A13" i="4" a="1"/>
  <c r="A13" i="4" s="1"/>
  <c r="X13" i="4" l="1"/>
  <c r="W13" i="4"/>
  <c r="E13" i="4"/>
  <c r="CA13" i="21" l="1"/>
  <c r="BZ13" i="21"/>
  <c r="BX13" i="21"/>
  <c r="BW13" i="21"/>
  <c r="BV13" i="21"/>
  <c r="BU13" i="21"/>
  <c r="CA9" i="21"/>
  <c r="BZ9" i="21"/>
  <c r="BX9" i="21"/>
  <c r="BW9" i="21"/>
  <c r="BV9" i="21"/>
  <c r="BU9" i="21"/>
  <c r="CA10" i="21"/>
  <c r="BZ10" i="21"/>
  <c r="BX10" i="21"/>
  <c r="BW10" i="21"/>
  <c r="BV10" i="21"/>
  <c r="BU10" i="21"/>
  <c r="CA14" i="21"/>
  <c r="BZ14" i="21"/>
  <c r="BX14" i="21"/>
  <c r="BW14" i="21"/>
  <c r="BV14" i="21"/>
  <c r="BU14" i="21"/>
  <c r="CA8" i="21"/>
  <c r="BZ8" i="21"/>
  <c r="BX8" i="21"/>
  <c r="BW8" i="21"/>
  <c r="BV8" i="21"/>
  <c r="BU8" i="21"/>
  <c r="CA11" i="21"/>
  <c r="BZ11" i="21"/>
  <c r="BX11" i="21"/>
  <c r="BW11" i="21"/>
  <c r="BV11" i="21"/>
  <c r="BU11" i="21"/>
  <c r="CA12" i="21"/>
  <c r="BZ12" i="21"/>
  <c r="BX12" i="21"/>
  <c r="BW12" i="21"/>
  <c r="BV12" i="21"/>
  <c r="BU12" i="21"/>
  <c r="CA7" i="21"/>
  <c r="BZ7" i="21"/>
  <c r="BX7" i="21"/>
  <c r="BW7" i="21"/>
  <c r="BV7" i="21"/>
  <c r="BU7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3" i="21"/>
  <c r="AW13" i="21"/>
  <c r="AU13" i="21"/>
  <c r="AT13" i="21"/>
  <c r="AS13" i="21"/>
  <c r="AR13" i="21"/>
  <c r="AX9" i="21"/>
  <c r="AW9" i="21"/>
  <c r="AU9" i="21"/>
  <c r="AT9" i="21"/>
  <c r="AS9" i="21"/>
  <c r="AR9" i="21"/>
  <c r="AX10" i="21"/>
  <c r="AW10" i="21"/>
  <c r="AU10" i="21"/>
  <c r="AT10" i="21"/>
  <c r="AS10" i="21"/>
  <c r="AR10" i="21"/>
  <c r="AX14" i="21"/>
  <c r="AW14" i="21"/>
  <c r="AU14" i="21"/>
  <c r="AT14" i="21"/>
  <c r="AS14" i="21"/>
  <c r="AR14" i="21"/>
  <c r="AX8" i="21"/>
  <c r="AW8" i="21"/>
  <c r="AU8" i="21"/>
  <c r="AT8" i="21"/>
  <c r="AS8" i="21"/>
  <c r="AR8" i="21"/>
  <c r="AX11" i="21"/>
  <c r="AW11" i="21"/>
  <c r="AU11" i="21"/>
  <c r="AT11" i="21"/>
  <c r="AS11" i="21"/>
  <c r="AR11" i="21"/>
  <c r="AX12" i="21"/>
  <c r="AW12" i="21"/>
  <c r="AU12" i="21"/>
  <c r="AT12" i="21"/>
  <c r="AS12" i="21"/>
  <c r="AR12" i="21"/>
  <c r="AX7" i="21"/>
  <c r="AW7" i="21"/>
  <c r="AU7" i="21"/>
  <c r="AT7" i="21"/>
  <c r="AS7" i="21"/>
  <c r="AR7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4" i="19"/>
  <c r="BZ14" i="19"/>
  <c r="BX14" i="19"/>
  <c r="BW14" i="19"/>
  <c r="BV14" i="19"/>
  <c r="BU14" i="19"/>
  <c r="CA15" i="19"/>
  <c r="BZ15" i="19"/>
  <c r="BX15" i="19"/>
  <c r="BW15" i="19"/>
  <c r="BV15" i="19"/>
  <c r="BU15" i="19"/>
  <c r="CA6" i="19"/>
  <c r="BZ6" i="19"/>
  <c r="BX6" i="19"/>
  <c r="BW6" i="19"/>
  <c r="BV6" i="19"/>
  <c r="BU6" i="19"/>
  <c r="CA12" i="19"/>
  <c r="BZ12" i="19"/>
  <c r="BX12" i="19"/>
  <c r="BW12" i="19"/>
  <c r="BV12" i="19"/>
  <c r="BU12" i="19"/>
  <c r="CA11" i="19"/>
  <c r="BZ11" i="19"/>
  <c r="BX11" i="19"/>
  <c r="BW11" i="19"/>
  <c r="BV11" i="19"/>
  <c r="BU11" i="19"/>
  <c r="CA16" i="19"/>
  <c r="BZ16" i="19"/>
  <c r="BX16" i="19"/>
  <c r="BW16" i="19"/>
  <c r="BV16" i="19"/>
  <c r="BU16" i="19"/>
  <c r="CA13" i="19"/>
  <c r="BZ13" i="19"/>
  <c r="BX13" i="19"/>
  <c r="BW13" i="19"/>
  <c r="BV13" i="19"/>
  <c r="BU13" i="19"/>
  <c r="CA7" i="19"/>
  <c r="BZ7" i="19"/>
  <c r="BX7" i="19"/>
  <c r="BW7" i="19"/>
  <c r="BV7" i="19"/>
  <c r="BU7" i="19"/>
  <c r="CA4" i="19"/>
  <c r="BZ4" i="19"/>
  <c r="BX4" i="19"/>
  <c r="BW4" i="19"/>
  <c r="BV4" i="19"/>
  <c r="BU4" i="19"/>
  <c r="CA5" i="19"/>
  <c r="BZ5" i="19"/>
  <c r="BX5" i="19"/>
  <c r="BW5" i="19"/>
  <c r="BV5" i="19"/>
  <c r="BU5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4" i="19"/>
  <c r="AW14" i="19"/>
  <c r="AU14" i="19"/>
  <c r="AT14" i="19"/>
  <c r="AS14" i="19"/>
  <c r="AR14" i="19"/>
  <c r="AX15" i="19"/>
  <c r="AW15" i="19"/>
  <c r="AU15" i="19"/>
  <c r="AT15" i="19"/>
  <c r="AS15" i="19"/>
  <c r="AR15" i="19"/>
  <c r="AX6" i="19"/>
  <c r="AW6" i="19"/>
  <c r="AU6" i="19"/>
  <c r="AT6" i="19"/>
  <c r="AS6" i="19"/>
  <c r="AR6" i="19"/>
  <c r="AX12" i="19"/>
  <c r="AW12" i="19"/>
  <c r="AU12" i="19"/>
  <c r="AT12" i="19"/>
  <c r="AS12" i="19"/>
  <c r="AR12" i="19"/>
  <c r="AX11" i="19"/>
  <c r="AW11" i="19"/>
  <c r="AU11" i="19"/>
  <c r="AT11" i="19"/>
  <c r="AS11" i="19"/>
  <c r="AR11" i="19"/>
  <c r="AX16" i="19"/>
  <c r="AW16" i="19"/>
  <c r="AU16" i="19"/>
  <c r="AT16" i="19"/>
  <c r="AS16" i="19"/>
  <c r="AR16" i="19"/>
  <c r="AX13" i="19"/>
  <c r="AW13" i="19"/>
  <c r="AU13" i="19"/>
  <c r="AT13" i="19"/>
  <c r="AS13" i="19"/>
  <c r="AR13" i="19"/>
  <c r="AX7" i="19"/>
  <c r="AW7" i="19"/>
  <c r="AU7" i="19"/>
  <c r="AT7" i="19"/>
  <c r="AS7" i="19"/>
  <c r="AR7" i="19"/>
  <c r="AX4" i="19"/>
  <c r="AW4" i="19"/>
  <c r="AU4" i="19"/>
  <c r="AT4" i="19"/>
  <c r="AS4" i="19"/>
  <c r="AR4" i="19"/>
  <c r="AX5" i="19"/>
  <c r="AW5" i="19"/>
  <c r="AU5" i="19"/>
  <c r="AT5" i="19"/>
  <c r="AS5" i="19"/>
  <c r="AR5" i="19"/>
  <c r="BS5" i="8"/>
  <c r="BR5" i="8"/>
  <c r="BQ5" i="8"/>
  <c r="BP5" i="8"/>
  <c r="BO5" i="8"/>
  <c r="BS6" i="8"/>
  <c r="BR6" i="8"/>
  <c r="BQ6" i="8"/>
  <c r="BP6" i="8"/>
  <c r="BO6" i="8"/>
  <c r="BS7" i="8"/>
  <c r="BR7" i="8"/>
  <c r="BQ7" i="8"/>
  <c r="BP7" i="8"/>
  <c r="BO7" i="8"/>
  <c r="BS4" i="8"/>
  <c r="BR4" i="8"/>
  <c r="BQ4" i="8"/>
  <c r="BP4" i="8"/>
  <c r="BO4" i="8"/>
  <c r="AR5" i="8"/>
  <c r="AQ5" i="8"/>
  <c r="AP5" i="8"/>
  <c r="AO5" i="8"/>
  <c r="AN5" i="8"/>
  <c r="AR6" i="8"/>
  <c r="AQ6" i="8"/>
  <c r="AP6" i="8"/>
  <c r="AO6" i="8"/>
  <c r="AN6" i="8"/>
  <c r="AR7" i="8"/>
  <c r="AQ7" i="8"/>
  <c r="AP7" i="8"/>
  <c r="AO7" i="8"/>
  <c r="AN7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0" i="19"/>
  <c r="QB14" i="19"/>
  <c r="QB15" i="19"/>
  <c r="QB6" i="19"/>
  <c r="QB12" i="19"/>
  <c r="QB11" i="19"/>
  <c r="QB16" i="19"/>
  <c r="QB13" i="19"/>
  <c r="QB7" i="19"/>
  <c r="QB4" i="19"/>
  <c r="QB5" i="19"/>
  <c r="OZ9" i="19"/>
  <c r="OZ10" i="19"/>
  <c r="OZ14" i="19"/>
  <c r="OZ15" i="19"/>
  <c r="OZ6" i="19"/>
  <c r="OZ12" i="19"/>
  <c r="OZ11" i="19"/>
  <c r="OZ16" i="19"/>
  <c r="OZ13" i="19"/>
  <c r="OZ7" i="19"/>
  <c r="OZ4" i="19"/>
  <c r="OZ5" i="19"/>
  <c r="NX9" i="19"/>
  <c r="NX10" i="19"/>
  <c r="NX14" i="19"/>
  <c r="NX15" i="19"/>
  <c r="NX6" i="19"/>
  <c r="NX12" i="19"/>
  <c r="NX11" i="19"/>
  <c r="NX16" i="19"/>
  <c r="NX13" i="19"/>
  <c r="NX7" i="19"/>
  <c r="NX4" i="19"/>
  <c r="NX5" i="19"/>
  <c r="MV9" i="19"/>
  <c r="MV10" i="19"/>
  <c r="MV14" i="19"/>
  <c r="MV15" i="19"/>
  <c r="MV6" i="19"/>
  <c r="MV12" i="19"/>
  <c r="MV11" i="19"/>
  <c r="MV16" i="19"/>
  <c r="MV13" i="19"/>
  <c r="MV7" i="19"/>
  <c r="MV4" i="19"/>
  <c r="MV5" i="19"/>
  <c r="LT9" i="19"/>
  <c r="LT10" i="19"/>
  <c r="LT14" i="19"/>
  <c r="LT15" i="19"/>
  <c r="LT6" i="19"/>
  <c r="LT12" i="19"/>
  <c r="LT11" i="19"/>
  <c r="LT16" i="19"/>
  <c r="LT13" i="19"/>
  <c r="LT7" i="19"/>
  <c r="LT4" i="19"/>
  <c r="LT5" i="19"/>
  <c r="KR9" i="19"/>
  <c r="KR10" i="19"/>
  <c r="KR14" i="19"/>
  <c r="KR15" i="19"/>
  <c r="KR6" i="19"/>
  <c r="KR12" i="19"/>
  <c r="KR11" i="19"/>
  <c r="KR16" i="19"/>
  <c r="KR13" i="19"/>
  <c r="KR7" i="19"/>
  <c r="KR4" i="19"/>
  <c r="KR5" i="19"/>
  <c r="JP9" i="19"/>
  <c r="JP10" i="19"/>
  <c r="JP14" i="19"/>
  <c r="JP15" i="19"/>
  <c r="JP6" i="19"/>
  <c r="JP12" i="19"/>
  <c r="JP11" i="19"/>
  <c r="JP16" i="19"/>
  <c r="JP13" i="19"/>
  <c r="JP7" i="19"/>
  <c r="JP4" i="19"/>
  <c r="JP5" i="19"/>
  <c r="IN9" i="19"/>
  <c r="IN10" i="19"/>
  <c r="IN14" i="19"/>
  <c r="IN15" i="19"/>
  <c r="IN6" i="19"/>
  <c r="IN12" i="19"/>
  <c r="IN11" i="19"/>
  <c r="IN16" i="19"/>
  <c r="IN13" i="19"/>
  <c r="IN7" i="19"/>
  <c r="IN4" i="19"/>
  <c r="IN5" i="19"/>
  <c r="HL9" i="19"/>
  <c r="HL10" i="19"/>
  <c r="HL14" i="19"/>
  <c r="HL15" i="19"/>
  <c r="HL6" i="19"/>
  <c r="HL12" i="19"/>
  <c r="HL11" i="19"/>
  <c r="HL16" i="19"/>
  <c r="HL13" i="19"/>
  <c r="HL7" i="19"/>
  <c r="HL4" i="19"/>
  <c r="HL5" i="19"/>
  <c r="GJ9" i="19"/>
  <c r="GJ10" i="19"/>
  <c r="GJ14" i="19"/>
  <c r="GJ15" i="19"/>
  <c r="GJ6" i="19"/>
  <c r="GJ12" i="19"/>
  <c r="GJ11" i="19"/>
  <c r="GJ16" i="19"/>
  <c r="GJ13" i="19"/>
  <c r="GJ7" i="19"/>
  <c r="GJ4" i="19"/>
  <c r="GJ5" i="19"/>
  <c r="FH9" i="19"/>
  <c r="FH10" i="19"/>
  <c r="FH14" i="19"/>
  <c r="FH15" i="19"/>
  <c r="FH6" i="19"/>
  <c r="FH12" i="19"/>
  <c r="FH11" i="19"/>
  <c r="FH16" i="19"/>
  <c r="FH13" i="19"/>
  <c r="FH7" i="19"/>
  <c r="FH4" i="19"/>
  <c r="FH5" i="19"/>
  <c r="EF4" i="19"/>
  <c r="EF7" i="19"/>
  <c r="EF13" i="19"/>
  <c r="EF16" i="19"/>
  <c r="EF11" i="19"/>
  <c r="EF12" i="19"/>
  <c r="EF6" i="19"/>
  <c r="EF15" i="19"/>
  <c r="EF14" i="19"/>
  <c r="EF10" i="19"/>
  <c r="EF9" i="19"/>
  <c r="EF5" i="19"/>
  <c r="DA9" i="19"/>
  <c r="DA10" i="19"/>
  <c r="DA14" i="19"/>
  <c r="DA15" i="19"/>
  <c r="DA6" i="19"/>
  <c r="DA12" i="19"/>
  <c r="DA11" i="19"/>
  <c r="DA16" i="19"/>
  <c r="DA13" i="19"/>
  <c r="DA7" i="19"/>
  <c r="DA4" i="19"/>
  <c r="DA5" i="19"/>
  <c r="OT4" i="8"/>
  <c r="OT7" i="8"/>
  <c r="OT6" i="8"/>
  <c r="OT5" i="8"/>
  <c r="NT7" i="8"/>
  <c r="NT6" i="8"/>
  <c r="NT5" i="8"/>
  <c r="NT4" i="8"/>
  <c r="MT7" i="8"/>
  <c r="MT6" i="8"/>
  <c r="MT5" i="8"/>
  <c r="MT4" i="8"/>
  <c r="LT7" i="8"/>
  <c r="LT6" i="8"/>
  <c r="LT5" i="8"/>
  <c r="LT4" i="8"/>
  <c r="KT7" i="8"/>
  <c r="KT6" i="8"/>
  <c r="KT5" i="8"/>
  <c r="KT4" i="8"/>
  <c r="JT7" i="8"/>
  <c r="JT6" i="8"/>
  <c r="JT5" i="8"/>
  <c r="JT4" i="8"/>
  <c r="IT7" i="8"/>
  <c r="IT6" i="8"/>
  <c r="IT5" i="8"/>
  <c r="IT4" i="8"/>
  <c r="HT7" i="8"/>
  <c r="HT6" i="8"/>
  <c r="HT5" i="8"/>
  <c r="HT4" i="8"/>
  <c r="GT7" i="8"/>
  <c r="GT6" i="8"/>
  <c r="GT5" i="8"/>
  <c r="GT4" i="8"/>
  <c r="FT7" i="8"/>
  <c r="FT6" i="8"/>
  <c r="FT5" i="8"/>
  <c r="FT4" i="8"/>
  <c r="ET7" i="8"/>
  <c r="ET6" i="8"/>
  <c r="ET5" i="8"/>
  <c r="ET4" i="8"/>
  <c r="DT7" i="8"/>
  <c r="DT6" i="8"/>
  <c r="DT5" i="8"/>
  <c r="DT4" i="8"/>
  <c r="CR7" i="8"/>
  <c r="CR6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7" i="19"/>
  <c r="QA13" i="19"/>
  <c r="QA16" i="19"/>
  <c r="QA11" i="19"/>
  <c r="QA12" i="19"/>
  <c r="QA6" i="19"/>
  <c r="QA15" i="19"/>
  <c r="QA14" i="19"/>
  <c r="QA10" i="19"/>
  <c r="QA9" i="19"/>
  <c r="QA5" i="19"/>
  <c r="OY4" i="19"/>
  <c r="OY7" i="19"/>
  <c r="OY13" i="19"/>
  <c r="OY16" i="19"/>
  <c r="OY11" i="19"/>
  <c r="OY12" i="19"/>
  <c r="OY6" i="19"/>
  <c r="OY15" i="19"/>
  <c r="OY14" i="19"/>
  <c r="OY10" i="19"/>
  <c r="OY9" i="19"/>
  <c r="OY5" i="19"/>
  <c r="NW4" i="19"/>
  <c r="NW7" i="19"/>
  <c r="NW13" i="19"/>
  <c r="NW16" i="19"/>
  <c r="NW11" i="19"/>
  <c r="NW12" i="19"/>
  <c r="NW6" i="19"/>
  <c r="NW15" i="19"/>
  <c r="NW14" i="19"/>
  <c r="NW10" i="19"/>
  <c r="NW9" i="19"/>
  <c r="NW5" i="19"/>
  <c r="MU4" i="19"/>
  <c r="MU7" i="19"/>
  <c r="MU13" i="19"/>
  <c r="MU16" i="19"/>
  <c r="MU11" i="19"/>
  <c r="MU12" i="19"/>
  <c r="MU6" i="19"/>
  <c r="MU15" i="19"/>
  <c r="MU14" i="19"/>
  <c r="MU10" i="19"/>
  <c r="MU9" i="19"/>
  <c r="MU5" i="19"/>
  <c r="LS4" i="19"/>
  <c r="LS7" i="19"/>
  <c r="LS13" i="19"/>
  <c r="LS16" i="19"/>
  <c r="LS11" i="19"/>
  <c r="LS12" i="19"/>
  <c r="LS6" i="19"/>
  <c r="LS15" i="19"/>
  <c r="LS14" i="19"/>
  <c r="LS10" i="19"/>
  <c r="LS9" i="19"/>
  <c r="LS5" i="19"/>
  <c r="KQ4" i="19"/>
  <c r="KQ7" i="19"/>
  <c r="KQ13" i="19"/>
  <c r="KQ16" i="19"/>
  <c r="KQ11" i="19"/>
  <c r="KQ12" i="19"/>
  <c r="KQ6" i="19"/>
  <c r="KQ15" i="19"/>
  <c r="KQ14" i="19"/>
  <c r="KQ10" i="19"/>
  <c r="KQ9" i="19"/>
  <c r="KQ5" i="19"/>
  <c r="JO5" i="19"/>
  <c r="JO4" i="19"/>
  <c r="JO7" i="19"/>
  <c r="JO13" i="19"/>
  <c r="JO16" i="19"/>
  <c r="JO11" i="19"/>
  <c r="JO12" i="19"/>
  <c r="JO6" i="19"/>
  <c r="JO15" i="19"/>
  <c r="JO14" i="19"/>
  <c r="JO10" i="19"/>
  <c r="JO9" i="19"/>
  <c r="IM4" i="19"/>
  <c r="IM7" i="19"/>
  <c r="IM13" i="19"/>
  <c r="IM16" i="19"/>
  <c r="IM11" i="19"/>
  <c r="IM12" i="19"/>
  <c r="IM6" i="19"/>
  <c r="IM15" i="19"/>
  <c r="IM14" i="19"/>
  <c r="IM10" i="19"/>
  <c r="IM9" i="19"/>
  <c r="IM5" i="19"/>
  <c r="HK4" i="19"/>
  <c r="HK7" i="19"/>
  <c r="HK13" i="19"/>
  <c r="HK16" i="19"/>
  <c r="HK11" i="19"/>
  <c r="HK12" i="19"/>
  <c r="HK6" i="19"/>
  <c r="HK15" i="19"/>
  <c r="HK14" i="19"/>
  <c r="HK10" i="19"/>
  <c r="HK9" i="19"/>
  <c r="HK5" i="19"/>
  <c r="GI4" i="19"/>
  <c r="GI7" i="19"/>
  <c r="GI13" i="19"/>
  <c r="GI16" i="19"/>
  <c r="GI11" i="19"/>
  <c r="GI12" i="19"/>
  <c r="GI6" i="19"/>
  <c r="GI15" i="19"/>
  <c r="GI14" i="19"/>
  <c r="GI10" i="19"/>
  <c r="GI9" i="19"/>
  <c r="GI5" i="19"/>
  <c r="FG4" i="19"/>
  <c r="FG7" i="19"/>
  <c r="FG13" i="19"/>
  <c r="FG16" i="19"/>
  <c r="FG11" i="19"/>
  <c r="FG12" i="19"/>
  <c r="FG6" i="19"/>
  <c r="FG15" i="19"/>
  <c r="FG14" i="19"/>
  <c r="FG10" i="19"/>
  <c r="FG9" i="19"/>
  <c r="FG5" i="19"/>
  <c r="EE4" i="19"/>
  <c r="EE7" i="19"/>
  <c r="EE13" i="19"/>
  <c r="EE16" i="19"/>
  <c r="EE11" i="19"/>
  <c r="EE12" i="19"/>
  <c r="EE6" i="19"/>
  <c r="EE15" i="19"/>
  <c r="EE14" i="19"/>
  <c r="EE10" i="19"/>
  <c r="EE9" i="19"/>
  <c r="EE5" i="19"/>
  <c r="CZ5" i="19"/>
  <c r="CZ4" i="19"/>
  <c r="CZ7" i="19"/>
  <c r="CZ13" i="19"/>
  <c r="CZ16" i="19"/>
  <c r="CZ11" i="19"/>
  <c r="CZ12" i="19"/>
  <c r="CZ6" i="19"/>
  <c r="CZ15" i="19"/>
  <c r="CZ14" i="19"/>
  <c r="CZ10" i="19"/>
  <c r="CZ9" i="19"/>
  <c r="N9" i="19" s="1"/>
  <c r="O9" i="19" s="1"/>
  <c r="CX16" i="19"/>
  <c r="CY16" i="19"/>
  <c r="DC16" i="19"/>
  <c r="DD16" i="19"/>
  <c r="EC16" i="19"/>
  <c r="ED16" i="19"/>
  <c r="EH16" i="19"/>
  <c r="EI16" i="19"/>
  <c r="FE16" i="19"/>
  <c r="FF16" i="19"/>
  <c r="FJ16" i="19"/>
  <c r="FK16" i="19"/>
  <c r="GG16" i="19"/>
  <c r="GH16" i="19"/>
  <c r="GL16" i="19"/>
  <c r="GM16" i="19"/>
  <c r="HI16" i="19"/>
  <c r="HJ16" i="19"/>
  <c r="HN16" i="19"/>
  <c r="HO16" i="19"/>
  <c r="IK16" i="19"/>
  <c r="IL16" i="19"/>
  <c r="IP16" i="19"/>
  <c r="IQ16" i="19"/>
  <c r="JM16" i="19"/>
  <c r="JN16" i="19"/>
  <c r="JQ16" i="19" s="1"/>
  <c r="JR16" i="19"/>
  <c r="JS16" i="19"/>
  <c r="KO16" i="19"/>
  <c r="KP16" i="19"/>
  <c r="KS16" i="19" s="1"/>
  <c r="KT16" i="19"/>
  <c r="KU16" i="19"/>
  <c r="LQ16" i="19"/>
  <c r="LR16" i="19"/>
  <c r="LV16" i="19"/>
  <c r="LW16" i="19"/>
  <c r="MS16" i="19"/>
  <c r="MT16" i="19"/>
  <c r="MW16" i="19" s="1"/>
  <c r="MX16" i="19"/>
  <c r="MY16" i="19"/>
  <c r="NU16" i="19"/>
  <c r="NV16" i="19"/>
  <c r="NZ16" i="19"/>
  <c r="OA16" i="19"/>
  <c r="OW16" i="19"/>
  <c r="OX16" i="19"/>
  <c r="PA16" i="19" s="1"/>
  <c r="PB16" i="19"/>
  <c r="PC16" i="19"/>
  <c r="PY16" i="19"/>
  <c r="PZ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1" i="19"/>
  <c r="CY11" i="19"/>
  <c r="DB11" i="19" s="1"/>
  <c r="DC11" i="19"/>
  <c r="DD11" i="19"/>
  <c r="EC11" i="19"/>
  <c r="ED11" i="19"/>
  <c r="EH11" i="19"/>
  <c r="EI11" i="19"/>
  <c r="FE11" i="19"/>
  <c r="FF11" i="19"/>
  <c r="FI11" i="19" s="1"/>
  <c r="FJ11" i="19"/>
  <c r="FK11" i="19"/>
  <c r="GG11" i="19"/>
  <c r="GH11" i="19"/>
  <c r="GL11" i="19"/>
  <c r="GM11" i="19"/>
  <c r="HI11" i="19"/>
  <c r="HJ11" i="19"/>
  <c r="HM11" i="19" s="1"/>
  <c r="HN11" i="19"/>
  <c r="HO11" i="19"/>
  <c r="IK11" i="19"/>
  <c r="IL11" i="19"/>
  <c r="IP11" i="19"/>
  <c r="IQ11" i="19"/>
  <c r="JM11" i="19"/>
  <c r="JN11" i="19"/>
  <c r="JQ11" i="19" s="1"/>
  <c r="JR11" i="19"/>
  <c r="JS11" i="19"/>
  <c r="KO11" i="19"/>
  <c r="KP11" i="19"/>
  <c r="KT11" i="19"/>
  <c r="KU11" i="19"/>
  <c r="LQ11" i="19"/>
  <c r="LR11" i="19"/>
  <c r="LU11" i="19" s="1"/>
  <c r="LV11" i="19"/>
  <c r="LW11" i="19"/>
  <c r="MS11" i="19"/>
  <c r="MT11" i="19"/>
  <c r="MX11" i="19"/>
  <c r="MY11" i="19"/>
  <c r="NU11" i="19"/>
  <c r="NV11" i="19"/>
  <c r="NY11" i="19" s="1"/>
  <c r="NZ11" i="19"/>
  <c r="OA11" i="19"/>
  <c r="OW11" i="19"/>
  <c r="OX11" i="19"/>
  <c r="PB11" i="19"/>
  <c r="PC11" i="19"/>
  <c r="PY11" i="19"/>
  <c r="PZ11" i="19"/>
  <c r="QC11" i="19" s="1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12" i="19"/>
  <c r="CY12" i="19"/>
  <c r="DC12" i="19"/>
  <c r="DD12" i="19"/>
  <c r="EC12" i="19"/>
  <c r="ED12" i="19"/>
  <c r="EG12" i="19" s="1"/>
  <c r="EH12" i="19"/>
  <c r="EI12" i="19"/>
  <c r="FE12" i="19"/>
  <c r="FF12" i="19"/>
  <c r="FI12" i="19" s="1"/>
  <c r="FJ12" i="19"/>
  <c r="FK12" i="19"/>
  <c r="GG12" i="19"/>
  <c r="GH12" i="19"/>
  <c r="GK12" i="19" s="1"/>
  <c r="GL12" i="19"/>
  <c r="GM12" i="19"/>
  <c r="HI12" i="19"/>
  <c r="HJ12" i="19"/>
  <c r="HM12" i="19" s="1"/>
  <c r="HN12" i="19"/>
  <c r="HO12" i="19"/>
  <c r="IK12" i="19"/>
  <c r="IL12" i="19"/>
  <c r="IO12" i="19" s="1"/>
  <c r="IP12" i="19"/>
  <c r="IQ12" i="19"/>
  <c r="JM12" i="19"/>
  <c r="JN12" i="19"/>
  <c r="JQ12" i="19" s="1"/>
  <c r="JR12" i="19"/>
  <c r="JS12" i="19"/>
  <c r="KO12" i="19"/>
  <c r="KP12" i="19"/>
  <c r="KS12" i="19" s="1"/>
  <c r="KT12" i="19"/>
  <c r="KU12" i="19"/>
  <c r="LQ12" i="19"/>
  <c r="LR12" i="19"/>
  <c r="LU12" i="19" s="1"/>
  <c r="LV12" i="19"/>
  <c r="LW12" i="19"/>
  <c r="MS12" i="19"/>
  <c r="MT12" i="19"/>
  <c r="MW12" i="19" s="1"/>
  <c r="MX12" i="19"/>
  <c r="MY12" i="19"/>
  <c r="NU12" i="19"/>
  <c r="NV12" i="19"/>
  <c r="NY12" i="19" s="1"/>
  <c r="NZ12" i="19"/>
  <c r="OA12" i="19"/>
  <c r="OW12" i="19"/>
  <c r="OX12" i="19"/>
  <c r="PA12" i="19" s="1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6" i="19"/>
  <c r="CY6" i="19"/>
  <c r="DC6" i="19"/>
  <c r="DD6" i="19"/>
  <c r="EC6" i="19"/>
  <c r="ED6" i="19"/>
  <c r="EG6" i="19" s="1"/>
  <c r="EH6" i="19"/>
  <c r="EI6" i="19"/>
  <c r="FE6" i="19"/>
  <c r="FF6" i="19"/>
  <c r="FI6" i="19" s="1"/>
  <c r="FJ6" i="19"/>
  <c r="FK6" i="19"/>
  <c r="GG6" i="19"/>
  <c r="GH6" i="19"/>
  <c r="GK6" i="19" s="1"/>
  <c r="GL6" i="19"/>
  <c r="GM6" i="19"/>
  <c r="HI6" i="19"/>
  <c r="HJ6" i="19"/>
  <c r="HM6" i="19" s="1"/>
  <c r="HN6" i="19"/>
  <c r="HO6" i="19"/>
  <c r="IK6" i="19"/>
  <c r="IL6" i="19"/>
  <c r="IO6" i="19" s="1"/>
  <c r="IP6" i="19"/>
  <c r="IQ6" i="19"/>
  <c r="JM6" i="19"/>
  <c r="JN6" i="19"/>
  <c r="JR6" i="19"/>
  <c r="JS6" i="19"/>
  <c r="KO6" i="19"/>
  <c r="KP6" i="19"/>
  <c r="KS6" i="19" s="1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5" i="19"/>
  <c r="CY15" i="19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4" i="19"/>
  <c r="CY14" i="19"/>
  <c r="DB14" i="19" s="1"/>
  <c r="DC14" i="19"/>
  <c r="DD14" i="19"/>
  <c r="EC14" i="19"/>
  <c r="ED14" i="19"/>
  <c r="EG14" i="19" s="1"/>
  <c r="EH14" i="19"/>
  <c r="EI14" i="19"/>
  <c r="FE14" i="19"/>
  <c r="FF14" i="19"/>
  <c r="FJ14" i="19"/>
  <c r="FK14" i="19"/>
  <c r="GG14" i="19"/>
  <c r="GH14" i="19"/>
  <c r="GK14" i="19" s="1"/>
  <c r="GL14" i="19"/>
  <c r="GM14" i="19"/>
  <c r="HI14" i="19"/>
  <c r="HJ14" i="19"/>
  <c r="HN14" i="19"/>
  <c r="HO14" i="19"/>
  <c r="IK14" i="19"/>
  <c r="IL14" i="19"/>
  <c r="IO14" i="19" s="1"/>
  <c r="IP14" i="19"/>
  <c r="IQ14" i="19"/>
  <c r="JM14" i="19"/>
  <c r="JN14" i="19"/>
  <c r="JQ14" i="19" s="1"/>
  <c r="JR14" i="19"/>
  <c r="JS14" i="19"/>
  <c r="KO14" i="19"/>
  <c r="KP14" i="19"/>
  <c r="KS14" i="19" s="1"/>
  <c r="KT14" i="19"/>
  <c r="KU14" i="19"/>
  <c r="LQ14" i="19"/>
  <c r="LR14" i="19"/>
  <c r="LV14" i="19"/>
  <c r="LW14" i="19"/>
  <c r="MS14" i="19"/>
  <c r="MT14" i="19"/>
  <c r="MW14" i="19" s="1"/>
  <c r="MX14" i="19"/>
  <c r="MY14" i="19"/>
  <c r="NU14" i="19"/>
  <c r="NV14" i="19"/>
  <c r="NZ14" i="19"/>
  <c r="OA14" i="19"/>
  <c r="OW14" i="19"/>
  <c r="OX14" i="19"/>
  <c r="PA14" i="19" s="1"/>
  <c r="PB14" i="19"/>
  <c r="PC14" i="19"/>
  <c r="PY14" i="19"/>
  <c r="PZ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0" i="19"/>
  <c r="CY10" i="19"/>
  <c r="DC10" i="19"/>
  <c r="DD10" i="19"/>
  <c r="EC10" i="19"/>
  <c r="ED10" i="19"/>
  <c r="EH10" i="19"/>
  <c r="EI10" i="19"/>
  <c r="FE10" i="19"/>
  <c r="FF10" i="19"/>
  <c r="FI10" i="19" s="1"/>
  <c r="FJ10" i="19"/>
  <c r="FK10" i="19"/>
  <c r="GG10" i="19"/>
  <c r="GH10" i="19"/>
  <c r="GL10" i="19"/>
  <c r="GM10" i="19"/>
  <c r="HI10" i="19"/>
  <c r="HJ10" i="19"/>
  <c r="HM10" i="19" s="1"/>
  <c r="HN10" i="19"/>
  <c r="HO10" i="19"/>
  <c r="IK10" i="19"/>
  <c r="IL10" i="19"/>
  <c r="IP10" i="19"/>
  <c r="IQ10" i="19"/>
  <c r="JM10" i="19"/>
  <c r="JN10" i="19"/>
  <c r="JR10" i="19"/>
  <c r="JS10" i="19"/>
  <c r="KO10" i="19"/>
  <c r="KP10" i="19"/>
  <c r="KT10" i="19"/>
  <c r="KU10" i="19"/>
  <c r="LQ10" i="19"/>
  <c r="LR10" i="19"/>
  <c r="LU10" i="19" s="1"/>
  <c r="LV10" i="19"/>
  <c r="LW10" i="19"/>
  <c r="MS10" i="19"/>
  <c r="MT10" i="19"/>
  <c r="MX10" i="19"/>
  <c r="MY10" i="19"/>
  <c r="NU10" i="19"/>
  <c r="NV10" i="19"/>
  <c r="NY10" i="19" s="1"/>
  <c r="NZ10" i="19"/>
  <c r="OA10" i="19"/>
  <c r="OW10" i="19"/>
  <c r="OX10" i="19"/>
  <c r="PA10" i="19" s="1"/>
  <c r="PB10" i="19"/>
  <c r="PC10" i="19"/>
  <c r="PY10" i="19"/>
  <c r="PZ10" i="19"/>
  <c r="QC10" i="19" s="1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3" i="19"/>
  <c r="QY13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E13" i="19"/>
  <c r="QD13" i="19"/>
  <c r="PZ13" i="19"/>
  <c r="PY13" i="19"/>
  <c r="PC13" i="19"/>
  <c r="PB13" i="19"/>
  <c r="OX13" i="19"/>
  <c r="PA13" i="19" s="1"/>
  <c r="OW13" i="19"/>
  <c r="OA13" i="19"/>
  <c r="NZ13" i="19"/>
  <c r="NV13" i="19"/>
  <c r="NU13" i="19"/>
  <c r="MY13" i="19"/>
  <c r="MX13" i="19"/>
  <c r="MT13" i="19"/>
  <c r="MW13" i="19" s="1"/>
  <c r="MS13" i="19"/>
  <c r="LW13" i="19"/>
  <c r="LV13" i="19"/>
  <c r="LR13" i="19"/>
  <c r="LQ13" i="19"/>
  <c r="KU13" i="19"/>
  <c r="KT13" i="19"/>
  <c r="KP13" i="19"/>
  <c r="KS13" i="19" s="1"/>
  <c r="KO13" i="19"/>
  <c r="JS13" i="19"/>
  <c r="JR13" i="19"/>
  <c r="JN13" i="19"/>
  <c r="JQ13" i="19" s="1"/>
  <c r="JM13" i="19"/>
  <c r="IQ13" i="19"/>
  <c r="IP13" i="19"/>
  <c r="IL13" i="19"/>
  <c r="IO13" i="19" s="1"/>
  <c r="IK13" i="19"/>
  <c r="HO13" i="19"/>
  <c r="HN13" i="19"/>
  <c r="HJ13" i="19"/>
  <c r="HI13" i="19"/>
  <c r="GM13" i="19"/>
  <c r="GL13" i="19"/>
  <c r="GH13" i="19"/>
  <c r="GK13" i="19" s="1"/>
  <c r="GG13" i="19"/>
  <c r="FK13" i="19"/>
  <c r="FJ13" i="19"/>
  <c r="FF13" i="19"/>
  <c r="FE13" i="19"/>
  <c r="EI13" i="19"/>
  <c r="EH13" i="19"/>
  <c r="ED13" i="19"/>
  <c r="EG13" i="19" s="1"/>
  <c r="EC13" i="19"/>
  <c r="DD13" i="19"/>
  <c r="DC13" i="19"/>
  <c r="CY13" i="19"/>
  <c r="DB13" i="19" s="1"/>
  <c r="CX13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PA7" i="19" s="1"/>
  <c r="OW7" i="19"/>
  <c r="OA7" i="19"/>
  <c r="NZ7" i="19"/>
  <c r="NV7" i="19"/>
  <c r="NY7" i="19" s="1"/>
  <c r="NU7" i="19"/>
  <c r="MY7" i="19"/>
  <c r="MX7" i="19"/>
  <c r="MT7" i="19"/>
  <c r="MW7" i="19" s="1"/>
  <c r="MS7" i="19"/>
  <c r="LW7" i="19"/>
  <c r="LV7" i="19"/>
  <c r="LR7" i="19"/>
  <c r="LU7" i="19" s="1"/>
  <c r="LQ7" i="19"/>
  <c r="KU7" i="19"/>
  <c r="KT7" i="19"/>
  <c r="KP7" i="19"/>
  <c r="KS7" i="19" s="1"/>
  <c r="KO7" i="19"/>
  <c r="JS7" i="19"/>
  <c r="JR7" i="19"/>
  <c r="JN7" i="19"/>
  <c r="JM7" i="19"/>
  <c r="IQ7" i="19"/>
  <c r="IP7" i="19"/>
  <c r="IL7" i="19"/>
  <c r="IO7" i="19" s="1"/>
  <c r="IK7" i="19"/>
  <c r="HO7" i="19"/>
  <c r="HN7" i="19"/>
  <c r="HJ7" i="19"/>
  <c r="HM7" i="19" s="1"/>
  <c r="HI7" i="19"/>
  <c r="GM7" i="19"/>
  <c r="GL7" i="19"/>
  <c r="GH7" i="19"/>
  <c r="GK7" i="19" s="1"/>
  <c r="GG7" i="19"/>
  <c r="FK7" i="19"/>
  <c r="FJ7" i="19"/>
  <c r="FF7" i="19"/>
  <c r="FI7" i="19" s="1"/>
  <c r="FE7" i="19"/>
  <c r="EI7" i="19"/>
  <c r="EH7" i="19"/>
  <c r="ED7" i="19"/>
  <c r="EG7" i="19" s="1"/>
  <c r="EC7" i="19"/>
  <c r="DD7" i="19"/>
  <c r="DC7" i="19"/>
  <c r="CY7" i="19"/>
  <c r="CX7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7" i="8"/>
  <c r="PF7" i="8"/>
  <c r="PG7" i="8"/>
  <c r="PH7" i="8"/>
  <c r="PI7" i="8"/>
  <c r="PE6" i="8"/>
  <c r="PF6" i="8"/>
  <c r="PG6" i="8"/>
  <c r="PH6" i="8"/>
  <c r="PI6" i="8"/>
  <c r="PE5" i="8"/>
  <c r="PF5" i="8"/>
  <c r="PG5" i="8"/>
  <c r="PH5" i="8"/>
  <c r="PI5" i="8"/>
  <c r="PF4" i="8"/>
  <c r="PG4" i="8"/>
  <c r="PH4" i="8"/>
  <c r="PI4" i="8"/>
  <c r="BT7" i="8" l="1"/>
  <c r="IO16" i="19"/>
  <c r="GK16" i="19"/>
  <c r="EG16" i="19"/>
  <c r="Q4" i="19"/>
  <c r="DG4" i="19"/>
  <c r="JQ9" i="19"/>
  <c r="DB9" i="19"/>
  <c r="QC16" i="19"/>
  <c r="NY16" i="19"/>
  <c r="LU16" i="19"/>
  <c r="HM16" i="19"/>
  <c r="FI16" i="19"/>
  <c r="FI5" i="19"/>
  <c r="HM5" i="19"/>
  <c r="LU5" i="19"/>
  <c r="NY5" i="19"/>
  <c r="QC5" i="19"/>
  <c r="PA15" i="19"/>
  <c r="MW15" i="19"/>
  <c r="KS15" i="19"/>
  <c r="IO15" i="19"/>
  <c r="GK15" i="19"/>
  <c r="EG15" i="19"/>
  <c r="PA6" i="21"/>
  <c r="KS12" i="21"/>
  <c r="GK10" i="21"/>
  <c r="KS10" i="21"/>
  <c r="BT4" i="18"/>
  <c r="AU12" i="4"/>
  <c r="AY12" i="4" s="1"/>
  <c r="AU19" i="4"/>
  <c r="AY19" i="4" s="1"/>
  <c r="CB6" i="19"/>
  <c r="CB9" i="19"/>
  <c r="IO7" i="21"/>
  <c r="FI12" i="21"/>
  <c r="FI5" i="21"/>
  <c r="DB16" i="19"/>
  <c r="MW10" i="19"/>
  <c r="KS10" i="19"/>
  <c r="IO10" i="19"/>
  <c r="GK10" i="19"/>
  <c r="EG10" i="19"/>
  <c r="CB14" i="21"/>
  <c r="CB13" i="21"/>
  <c r="KS13" i="21"/>
  <c r="PA13" i="21"/>
  <c r="FI10" i="21"/>
  <c r="JQ10" i="21"/>
  <c r="NY10" i="21"/>
  <c r="AY5" i="19"/>
  <c r="AY16" i="19"/>
  <c r="AY15" i="19"/>
  <c r="CB5" i="19"/>
  <c r="AS5" i="8"/>
  <c r="AS4" i="8"/>
  <c r="AY15" i="4"/>
  <c r="AU5" i="4"/>
  <c r="AY5" i="4" s="1"/>
  <c r="BV4" i="4"/>
  <c r="BZ4" i="4" s="1"/>
  <c r="EJ6" i="21"/>
  <c r="IR6" i="21"/>
  <c r="GN4" i="21"/>
  <c r="RB10" i="21"/>
  <c r="LU6" i="21"/>
  <c r="KS7" i="21"/>
  <c r="LU12" i="21"/>
  <c r="FI9" i="21"/>
  <c r="NY9" i="21"/>
  <c r="R9" i="21"/>
  <c r="IR13" i="21"/>
  <c r="RB13" i="21"/>
  <c r="RG13" i="21"/>
  <c r="AY4" i="21"/>
  <c r="AY8" i="21"/>
  <c r="AY9" i="21"/>
  <c r="CB4" i="21"/>
  <c r="CB8" i="21"/>
  <c r="CB9" i="21"/>
  <c r="AY5" i="21"/>
  <c r="AY11" i="21"/>
  <c r="CB5" i="21"/>
  <c r="CB11" i="21"/>
  <c r="QC14" i="19"/>
  <c r="NY14" i="19"/>
  <c r="LU14" i="19"/>
  <c r="HM14" i="19"/>
  <c r="FI14" i="19"/>
  <c r="PA11" i="19"/>
  <c r="MW11" i="19"/>
  <c r="AY14" i="19"/>
  <c r="CB4" i="19"/>
  <c r="CB14" i="19"/>
  <c r="CB12" i="19"/>
  <c r="CB10" i="19"/>
  <c r="KS11" i="19"/>
  <c r="IO11" i="19"/>
  <c r="GK11" i="19"/>
  <c r="EG11" i="19"/>
  <c r="AS6" i="8"/>
  <c r="BV21" i="4"/>
  <c r="BZ21" i="4" s="1"/>
  <c r="BV7" i="4"/>
  <c r="BZ7" i="4" s="1"/>
  <c r="BV17" i="4"/>
  <c r="BZ17" i="4" s="1"/>
  <c r="BZ20" i="4"/>
  <c r="BZ22" i="4"/>
  <c r="BV8" i="4"/>
  <c r="BZ8" i="4" s="1"/>
  <c r="BV14" i="4"/>
  <c r="BZ14" i="4" s="1"/>
  <c r="AU10" i="4"/>
  <c r="AY10" i="4" s="1"/>
  <c r="AU20" i="4"/>
  <c r="AY20" i="4" s="1"/>
  <c r="BV12" i="4"/>
  <c r="BZ12" i="4" s="1"/>
  <c r="BV19" i="4"/>
  <c r="BZ19" i="4" s="1"/>
  <c r="MZ9" i="21"/>
  <c r="PD9" i="21"/>
  <c r="QF6" i="21"/>
  <c r="AY6" i="21"/>
  <c r="AY12" i="21"/>
  <c r="AY10" i="21"/>
  <c r="CB6" i="21"/>
  <c r="CB12" i="21"/>
  <c r="CB10" i="21"/>
  <c r="HP5" i="21"/>
  <c r="JT5" i="21"/>
  <c r="LX5" i="21"/>
  <c r="AY7" i="21"/>
  <c r="AY14" i="21"/>
  <c r="AY13" i="21"/>
  <c r="CB7" i="21"/>
  <c r="JQ13" i="21"/>
  <c r="NY13" i="21"/>
  <c r="QF9" i="21"/>
  <c r="EG13" i="21"/>
  <c r="IO13" i="21"/>
  <c r="CB16" i="19"/>
  <c r="AY13" i="19"/>
  <c r="AY6" i="19"/>
  <c r="AY9" i="19"/>
  <c r="CB13" i="19"/>
  <c r="AY7" i="19"/>
  <c r="CB15" i="19"/>
  <c r="AY12" i="19"/>
  <c r="AY10" i="19"/>
  <c r="CB7" i="19"/>
  <c r="AY4" i="19"/>
  <c r="AY11" i="19"/>
  <c r="CB11" i="19"/>
  <c r="AS7" i="8"/>
  <c r="BT6" i="8"/>
  <c r="BT5" i="8"/>
  <c r="BT4" i="8"/>
  <c r="AS5" i="18"/>
  <c r="AS4" i="18"/>
  <c r="BT5" i="18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9" i="4"/>
  <c r="BZ9" i="4" s="1"/>
  <c r="BZ10" i="4"/>
  <c r="AU9" i="4"/>
  <c r="AY9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9" i="21"/>
  <c r="RG10" i="21"/>
  <c r="DB12" i="21"/>
  <c r="BY6" i="21"/>
  <c r="BY5" i="21"/>
  <c r="BY4" i="21"/>
  <c r="BY7" i="21"/>
  <c r="BY12" i="21"/>
  <c r="BY11" i="21"/>
  <c r="BY8" i="21"/>
  <c r="BY14" i="21"/>
  <c r="BY10" i="21"/>
  <c r="BY9" i="21"/>
  <c r="BY13" i="21"/>
  <c r="RH13" i="21"/>
  <c r="AV6" i="21"/>
  <c r="AV5" i="21"/>
  <c r="AV4" i="21"/>
  <c r="AV7" i="21"/>
  <c r="AV12" i="21"/>
  <c r="AV11" i="21"/>
  <c r="AV8" i="21"/>
  <c r="AV14" i="21"/>
  <c r="AV10" i="21"/>
  <c r="AV9" i="21"/>
  <c r="AV13" i="21"/>
  <c r="DB12" i="19"/>
  <c r="BY5" i="19"/>
  <c r="BY4" i="19"/>
  <c r="BY7" i="19"/>
  <c r="BY13" i="19"/>
  <c r="BY16" i="19"/>
  <c r="BY11" i="19"/>
  <c r="BY12" i="19"/>
  <c r="BY6" i="19"/>
  <c r="BY15" i="19"/>
  <c r="BY14" i="19"/>
  <c r="BY10" i="19"/>
  <c r="BY9" i="19"/>
  <c r="AV5" i="19"/>
  <c r="AV4" i="19"/>
  <c r="AV7" i="19"/>
  <c r="AV13" i="19"/>
  <c r="AV16" i="19"/>
  <c r="AV11" i="19"/>
  <c r="AV12" i="19"/>
  <c r="AV6" i="19"/>
  <c r="AV15" i="19"/>
  <c r="AV14" i="19"/>
  <c r="AV10" i="19"/>
  <c r="AV9" i="19"/>
  <c r="PS4" i="18"/>
  <c r="PV5" i="18"/>
  <c r="QC5" i="21"/>
  <c r="PA4" i="21"/>
  <c r="FI7" i="21"/>
  <c r="JQ12" i="21"/>
  <c r="QC9" i="21"/>
  <c r="L13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HM12" i="21"/>
  <c r="FI13" i="21"/>
  <c r="GN11" i="21"/>
  <c r="KV11" i="21"/>
  <c r="PD11" i="21"/>
  <c r="DE8" i="21"/>
  <c r="FL8" i="21"/>
  <c r="JT8" i="21"/>
  <c r="OB8" i="21"/>
  <c r="EJ14" i="21"/>
  <c r="IR14" i="21"/>
  <c r="MZ14" i="21"/>
  <c r="RE14" i="21"/>
  <c r="R10" i="21"/>
  <c r="DE10" i="21"/>
  <c r="L9" i="21"/>
  <c r="DF9" i="21" s="1"/>
  <c r="MZ6" i="21"/>
  <c r="GN5" i="21"/>
  <c r="OB7" i="21"/>
  <c r="MZ12" i="21"/>
  <c r="P10" i="21"/>
  <c r="P9" i="21"/>
  <c r="FI6" i="21"/>
  <c r="FL11" i="21"/>
  <c r="JT11" i="21"/>
  <c r="OB11" i="21"/>
  <c r="R14" i="21"/>
  <c r="DH14" i="21" s="1"/>
  <c r="DE14" i="21"/>
  <c r="HP14" i="21"/>
  <c r="LX14" i="21"/>
  <c r="QF14" i="21"/>
  <c r="PA10" i="21"/>
  <c r="EJ9" i="21"/>
  <c r="IR9" i="21"/>
  <c r="R13" i="21"/>
  <c r="RD13" i="21"/>
  <c r="N6" i="21"/>
  <c r="O6" i="21" s="1"/>
  <c r="JQ6" i="21"/>
  <c r="NY6" i="21"/>
  <c r="RB4" i="21"/>
  <c r="HM7" i="21"/>
  <c r="KV7" i="21"/>
  <c r="RE7" i="21"/>
  <c r="LX12" i="21"/>
  <c r="NY12" i="21"/>
  <c r="JT13" i="21"/>
  <c r="QC9" i="19"/>
  <c r="NY9" i="19"/>
  <c r="LU9" i="19"/>
  <c r="HM9" i="19"/>
  <c r="FI9" i="19"/>
  <c r="JQ10" i="19"/>
  <c r="DB10" i="19"/>
  <c r="P7" i="19"/>
  <c r="DB7" i="19"/>
  <c r="JQ7" i="19"/>
  <c r="FI13" i="19"/>
  <c r="HM13" i="19"/>
  <c r="LU13" i="19"/>
  <c r="NY13" i="19"/>
  <c r="QC13" i="19"/>
  <c r="IR4" i="21"/>
  <c r="KV4" i="21"/>
  <c r="GK7" i="21"/>
  <c r="QF7" i="21"/>
  <c r="JT12" i="21"/>
  <c r="MW12" i="21"/>
  <c r="LX6" i="21"/>
  <c r="FL5" i="21"/>
  <c r="MZ4" i="21"/>
  <c r="IR7" i="21"/>
  <c r="EJ11" i="21"/>
  <c r="IR11" i="21"/>
  <c r="MZ11" i="21"/>
  <c r="RB11" i="21"/>
  <c r="R8" i="21"/>
  <c r="DH8" i="21" s="1"/>
  <c r="DB8" i="21"/>
  <c r="LX9" i="21"/>
  <c r="P13" i="21"/>
  <c r="R6" i="21"/>
  <c r="KV6" i="21"/>
  <c r="HM5" i="21"/>
  <c r="HP4" i="21"/>
  <c r="JQ4" i="21"/>
  <c r="P7" i="21"/>
  <c r="PD7" i="21"/>
  <c r="GN12" i="21"/>
  <c r="KV9" i="21"/>
  <c r="HP6" i="21"/>
  <c r="GK5" i="21"/>
  <c r="P4" i="21"/>
  <c r="NY4" i="21"/>
  <c r="EG7" i="21"/>
  <c r="GN7" i="21"/>
  <c r="JQ7" i="21"/>
  <c r="P12" i="21"/>
  <c r="OB12" i="21"/>
  <c r="QC12" i="21"/>
  <c r="HP11" i="21"/>
  <c r="LX11" i="21"/>
  <c r="QF11" i="21"/>
  <c r="GN8" i="21"/>
  <c r="KV8" i="21"/>
  <c r="PD8" i="21"/>
  <c r="N10" i="21"/>
  <c r="O10" i="21" s="1"/>
  <c r="HP9" i="21"/>
  <c r="RB6" i="21"/>
  <c r="DB5" i="21"/>
  <c r="NY5" i="21"/>
  <c r="EG4" i="21"/>
  <c r="IO4" i="21"/>
  <c r="JT9" i="21"/>
  <c r="RE9" i="21"/>
  <c r="DB13" i="21"/>
  <c r="HM13" i="21"/>
  <c r="KV13" i="21"/>
  <c r="MW13" i="21"/>
  <c r="GK6" i="21"/>
  <c r="P5" i="21"/>
  <c r="MW4" i="21"/>
  <c r="PA12" i="21"/>
  <c r="P11" i="21"/>
  <c r="RG14" i="21"/>
  <c r="RC10" i="21"/>
  <c r="RD10" i="21"/>
  <c r="GK9" i="21"/>
  <c r="DB4" i="21"/>
  <c r="MW7" i="21"/>
  <c r="IO12" i="21"/>
  <c r="RC14" i="21"/>
  <c r="RD14" i="21"/>
  <c r="RH14" i="21"/>
  <c r="HM10" i="21"/>
  <c r="LU10" i="21"/>
  <c r="QC10" i="21"/>
  <c r="KS9" i="21"/>
  <c r="GK13" i="21"/>
  <c r="LU13" i="21"/>
  <c r="QC13" i="21"/>
  <c r="RD12" i="21"/>
  <c r="RD11" i="21"/>
  <c r="P8" i="21"/>
  <c r="G14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DE12" i="21"/>
  <c r="FL12" i="21"/>
  <c r="KV12" i="21"/>
  <c r="N11" i="21"/>
  <c r="O11" i="21" s="1"/>
  <c r="P14" i="21"/>
  <c r="N9" i="21"/>
  <c r="O9" i="21" s="1"/>
  <c r="EG9" i="21"/>
  <c r="MW9" i="21"/>
  <c r="RB9" i="21"/>
  <c r="RG9" i="21"/>
  <c r="G13" i="21"/>
  <c r="P6" i="21"/>
  <c r="DE6" i="21"/>
  <c r="RG7" i="21"/>
  <c r="G12" i="21"/>
  <c r="R12" i="21"/>
  <c r="DH12" i="21" s="1"/>
  <c r="RG12" i="21"/>
  <c r="L11" i="21"/>
  <c r="DF11" i="21" s="1"/>
  <c r="FI11" i="21"/>
  <c r="GK11" i="21"/>
  <c r="HM11" i="21"/>
  <c r="IO11" i="21"/>
  <c r="JQ11" i="21"/>
  <c r="KS11" i="21"/>
  <c r="LU11" i="21"/>
  <c r="MW11" i="21"/>
  <c r="NY11" i="21"/>
  <c r="PA11" i="21"/>
  <c r="QC11" i="21"/>
  <c r="RH11" i="21"/>
  <c r="L8" i="21"/>
  <c r="DF8" i="21" s="1"/>
  <c r="EJ8" i="21"/>
  <c r="IR8" i="21"/>
  <c r="MZ8" i="21"/>
  <c r="RE8" i="21"/>
  <c r="RG8" i="21"/>
  <c r="DB14" i="21"/>
  <c r="GN14" i="21"/>
  <c r="KV14" i="21"/>
  <c r="PD14" i="21"/>
  <c r="N13" i="21"/>
  <c r="O13" i="21" s="1"/>
  <c r="HP13" i="21"/>
  <c r="QF13" i="21"/>
  <c r="KS6" i="21"/>
  <c r="RH6" i="21"/>
  <c r="N5" i="21"/>
  <c r="O5" i="21" s="1"/>
  <c r="JQ5" i="21"/>
  <c r="FL7" i="21"/>
  <c r="L12" i="21"/>
  <c r="DF12" i="21" s="1"/>
  <c r="EJ12" i="21"/>
  <c r="GK12" i="21"/>
  <c r="IR12" i="21"/>
  <c r="RG11" i="21"/>
  <c r="N8" i="21"/>
  <c r="O8" i="21" s="1"/>
  <c r="RD8" i="21"/>
  <c r="GN13" i="21"/>
  <c r="PD13" i="21"/>
  <c r="GN6" i="21"/>
  <c r="PD6" i="21"/>
  <c r="EJ4" i="21"/>
  <c r="JT4" i="21"/>
  <c r="QF4" i="21"/>
  <c r="EJ7" i="21"/>
  <c r="MZ7" i="21"/>
  <c r="N12" i="21"/>
  <c r="O12" i="21" s="1"/>
  <c r="HP12" i="21"/>
  <c r="QF12" i="21"/>
  <c r="HP8" i="21"/>
  <c r="LX8" i="21"/>
  <c r="QF8" i="21"/>
  <c r="FL14" i="21"/>
  <c r="JT14" i="21"/>
  <c r="OB14" i="21"/>
  <c r="RH10" i="21"/>
  <c r="GN9" i="21"/>
  <c r="JQ9" i="21"/>
  <c r="RD9" i="21"/>
  <c r="FL13" i="21"/>
  <c r="OB13" i="21"/>
  <c r="RE13" i="21"/>
  <c r="FL6" i="21"/>
  <c r="IO6" i="21"/>
  <c r="OB6" i="21"/>
  <c r="RG6" i="21"/>
  <c r="EG5" i="21"/>
  <c r="QF5" i="21"/>
  <c r="LU4" i="21"/>
  <c r="PD4" i="21"/>
  <c r="RC4" i="21"/>
  <c r="RD4" i="21"/>
  <c r="LX7" i="21"/>
  <c r="PD12" i="21"/>
  <c r="DB11" i="21"/>
  <c r="RH8" i="21"/>
  <c r="FL9" i="21"/>
  <c r="IO9" i="21"/>
  <c r="OB9" i="21"/>
  <c r="EJ13" i="21"/>
  <c r="MZ13" i="21"/>
  <c r="HM6" i="21"/>
  <c r="QC6" i="21"/>
  <c r="RD6" i="21"/>
  <c r="FI4" i="21"/>
  <c r="KS4" i="21"/>
  <c r="EG10" i="21"/>
  <c r="IO10" i="21"/>
  <c r="MW10" i="21"/>
  <c r="HM9" i="21"/>
  <c r="LX13" i="21"/>
  <c r="RE5" i="19"/>
  <c r="RE13" i="19"/>
  <c r="PU4" i="8"/>
  <c r="FW4" i="18"/>
  <c r="CU5" i="18"/>
  <c r="EW5" i="18"/>
  <c r="GW5" i="18"/>
  <c r="IW5" i="18"/>
  <c r="MW5" i="18"/>
  <c r="OW5" i="18"/>
  <c r="EW4" i="18"/>
  <c r="JQ15" i="19"/>
  <c r="DB15" i="19"/>
  <c r="RE16" i="19"/>
  <c r="JQ6" i="19"/>
  <c r="DB6" i="19"/>
  <c r="RE11" i="19"/>
  <c r="RE9" i="19"/>
  <c r="RE4" i="19"/>
  <c r="RE10" i="19"/>
  <c r="RE14" i="19"/>
  <c r="RE7" i="19"/>
  <c r="RE15" i="19"/>
  <c r="F5" i="19"/>
  <c r="RE6" i="19"/>
  <c r="G5" i="19"/>
  <c r="DB5" i="19"/>
  <c r="JQ5" i="19"/>
  <c r="RE12" i="19"/>
  <c r="EG11" i="21"/>
  <c r="EG12" i="21"/>
  <c r="G8" i="21"/>
  <c r="J12" i="21"/>
  <c r="DE11" i="21"/>
  <c r="RC12" i="21"/>
  <c r="F4" i="21"/>
  <c r="L5" i="21"/>
  <c r="RC8" i="21"/>
  <c r="F6" i="21"/>
  <c r="RE5" i="21"/>
  <c r="RC11" i="21"/>
  <c r="F10" i="21"/>
  <c r="G6" i="21"/>
  <c r="RC6" i="21"/>
  <c r="RE4" i="21"/>
  <c r="RB7" i="21"/>
  <c r="G10" i="21"/>
  <c r="F12" i="21"/>
  <c r="J11" i="21"/>
  <c r="RE6" i="21"/>
  <c r="RE11" i="21"/>
  <c r="J8" i="21"/>
  <c r="K8" i="21" s="1"/>
  <c r="F13" i="21"/>
  <c r="RC13" i="21"/>
  <c r="RF13" i="21" s="1"/>
  <c r="F8" i="21"/>
  <c r="L6" i="21"/>
  <c r="DF6" i="21" s="1"/>
  <c r="J5" i="21"/>
  <c r="F5" i="21"/>
  <c r="J14" i="21"/>
  <c r="G5" i="21"/>
  <c r="J10" i="21"/>
  <c r="L14" i="21"/>
  <c r="DF14" i="21" s="1"/>
  <c r="F14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11" i="21"/>
  <c r="DB7" i="21"/>
  <c r="DE7" i="21"/>
  <c r="R11" i="21"/>
  <c r="DH11" i="21" s="1"/>
  <c r="DE5" i="21"/>
  <c r="PD5" i="21"/>
  <c r="RH4" i="21"/>
  <c r="RG4" i="21"/>
  <c r="RI14" i="21"/>
  <c r="IO5" i="21"/>
  <c r="OB5" i="21"/>
  <c r="M12" i="21"/>
  <c r="MZ5" i="21"/>
  <c r="RC5" i="21"/>
  <c r="G4" i="21"/>
  <c r="F7" i="21"/>
  <c r="RH7" i="21"/>
  <c r="S12" i="21"/>
  <c r="RH12" i="21"/>
  <c r="G7" i="21"/>
  <c r="L7" i="21"/>
  <c r="DF7" i="21" s="1"/>
  <c r="J7" i="21"/>
  <c r="RE12" i="21"/>
  <c r="RB12" i="21"/>
  <c r="EJ10" i="21"/>
  <c r="FL10" i="21"/>
  <c r="GN10" i="21"/>
  <c r="HP10" i="21"/>
  <c r="IR10" i="21"/>
  <c r="JT10" i="21"/>
  <c r="KV10" i="21"/>
  <c r="LX10" i="21"/>
  <c r="MZ10" i="21"/>
  <c r="OB10" i="21"/>
  <c r="PD10" i="21"/>
  <c r="QF10" i="21"/>
  <c r="RE10" i="21"/>
  <c r="F9" i="21"/>
  <c r="DE9" i="21"/>
  <c r="RC9" i="21"/>
  <c r="S8" i="21"/>
  <c r="G9" i="21"/>
  <c r="DE13" i="21"/>
  <c r="EG8" i="21"/>
  <c r="FI8" i="21"/>
  <c r="GK8" i="21"/>
  <c r="HM8" i="21"/>
  <c r="IO8" i="21"/>
  <c r="JQ8" i="21"/>
  <c r="KS8" i="21"/>
  <c r="LU8" i="21"/>
  <c r="MW8" i="21"/>
  <c r="NY8" i="21"/>
  <c r="PA8" i="21"/>
  <c r="QC8" i="21"/>
  <c r="RB8" i="21"/>
  <c r="DB10" i="21"/>
  <c r="G11" i="21"/>
  <c r="EG14" i="21"/>
  <c r="FI14" i="21"/>
  <c r="GK14" i="21"/>
  <c r="HM14" i="21"/>
  <c r="IO14" i="21"/>
  <c r="JQ14" i="21"/>
  <c r="KS14" i="21"/>
  <c r="LU14" i="21"/>
  <c r="MW14" i="21"/>
  <c r="NY14" i="21"/>
  <c r="PA14" i="21"/>
  <c r="QC14" i="21"/>
  <c r="RB14" i="21"/>
  <c r="L10" i="21"/>
  <c r="DF10" i="21" s="1"/>
  <c r="J9" i="21"/>
  <c r="N14" i="21"/>
  <c r="O14" i="21" s="1"/>
  <c r="J13" i="21"/>
  <c r="IR15" i="19"/>
  <c r="GN15" i="19"/>
  <c r="J5" i="19"/>
  <c r="P14" i="19"/>
  <c r="N10" i="19"/>
  <c r="O10" i="19" s="1"/>
  <c r="N5" i="19"/>
  <c r="O5" i="19" s="1"/>
  <c r="DE9" i="19"/>
  <c r="QF9" i="19"/>
  <c r="QF14" i="19"/>
  <c r="P16" i="19"/>
  <c r="N14" i="19"/>
  <c r="O14" i="19" s="1"/>
  <c r="N7" i="19"/>
  <c r="O7" i="19" s="1"/>
  <c r="EJ12" i="19"/>
  <c r="N4" i="19"/>
  <c r="O4" i="19" s="1"/>
  <c r="P9" i="19"/>
  <c r="P10" i="19"/>
  <c r="OB14" i="19"/>
  <c r="OB6" i="19"/>
  <c r="PD16" i="19"/>
  <c r="KV16" i="19"/>
  <c r="P12" i="19"/>
  <c r="LX11" i="19"/>
  <c r="P11" i="19"/>
  <c r="PU5" i="8"/>
  <c r="PU7" i="8"/>
  <c r="PU6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5" i="19"/>
  <c r="P6" i="19"/>
  <c r="N16" i="19"/>
  <c r="O16" i="19" s="1"/>
  <c r="N12" i="19"/>
  <c r="O12" i="19" s="1"/>
  <c r="N11" i="19"/>
  <c r="O11" i="19" s="1"/>
  <c r="N13" i="19"/>
  <c r="O13" i="19" s="1"/>
  <c r="N15" i="19"/>
  <c r="O15" i="19" s="1"/>
  <c r="N6" i="19"/>
  <c r="O6" i="19" s="1"/>
  <c r="P5" i="19"/>
  <c r="P13" i="19"/>
  <c r="FL6" i="19"/>
  <c r="HP10" i="19"/>
  <c r="KV15" i="19"/>
  <c r="LX14" i="19"/>
  <c r="PD12" i="19"/>
  <c r="GN12" i="19"/>
  <c r="MZ9" i="19"/>
  <c r="KV9" i="19"/>
  <c r="MZ12" i="19"/>
  <c r="DE16" i="19"/>
  <c r="QF11" i="19"/>
  <c r="QF10" i="19"/>
  <c r="RG14" i="19"/>
  <c r="JT15" i="19"/>
  <c r="HP15" i="19"/>
  <c r="FL15" i="19"/>
  <c r="DE6" i="19"/>
  <c r="GN11" i="19"/>
  <c r="EJ11" i="19"/>
  <c r="RD14" i="19"/>
  <c r="J10" i="19"/>
  <c r="K10" i="19" s="1"/>
  <c r="MZ14" i="19"/>
  <c r="KV14" i="19"/>
  <c r="IR14" i="19"/>
  <c r="OB9" i="19"/>
  <c r="KV10" i="19"/>
  <c r="DE11" i="19"/>
  <c r="RB14" i="19"/>
  <c r="QF16" i="19"/>
  <c r="FL10" i="19"/>
  <c r="R6" i="19"/>
  <c r="LX12" i="19"/>
  <c r="RG9" i="19"/>
  <c r="RB9" i="19"/>
  <c r="EJ9" i="19"/>
  <c r="OB15" i="19"/>
  <c r="PD6" i="19"/>
  <c r="IR6" i="19"/>
  <c r="MZ16" i="19"/>
  <c r="RC6" i="19"/>
  <c r="JT9" i="19"/>
  <c r="FL9" i="19"/>
  <c r="GN10" i="19"/>
  <c r="EJ10" i="19"/>
  <c r="EJ6" i="19"/>
  <c r="R12" i="19"/>
  <c r="PD11" i="19"/>
  <c r="MZ11" i="19"/>
  <c r="PD9" i="19"/>
  <c r="PD15" i="19"/>
  <c r="DE12" i="19"/>
  <c r="R16" i="19"/>
  <c r="RG10" i="19"/>
  <c r="OB10" i="19"/>
  <c r="LX10" i="19"/>
  <c r="R14" i="19"/>
  <c r="RD15" i="19"/>
  <c r="LX6" i="19"/>
  <c r="JT6" i="19"/>
  <c r="RD16" i="19"/>
  <c r="RC16" i="19"/>
  <c r="JT16" i="19"/>
  <c r="HP16" i="19"/>
  <c r="HP14" i="19"/>
  <c r="FL14" i="19"/>
  <c r="DE14" i="19"/>
  <c r="KV12" i="19"/>
  <c r="IR12" i="19"/>
  <c r="RG16" i="19"/>
  <c r="RB16" i="19"/>
  <c r="EJ13" i="19"/>
  <c r="GN13" i="19"/>
  <c r="IR13" i="19"/>
  <c r="KV13" i="19"/>
  <c r="MZ13" i="19"/>
  <c r="PD13" i="19"/>
  <c r="MZ10" i="19"/>
  <c r="LX15" i="19"/>
  <c r="JT11" i="19"/>
  <c r="HP11" i="19"/>
  <c r="GN16" i="19"/>
  <c r="EJ16" i="19"/>
  <c r="IR10" i="19"/>
  <c r="RD6" i="19"/>
  <c r="GN6" i="19"/>
  <c r="RB12" i="19"/>
  <c r="QF12" i="19"/>
  <c r="JT12" i="19"/>
  <c r="RC14" i="19"/>
  <c r="F14" i="19"/>
  <c r="G15" i="19"/>
  <c r="RH9" i="19"/>
  <c r="RD9" i="19"/>
  <c r="R9" i="19"/>
  <c r="DH9" i="19" s="1"/>
  <c r="JT10" i="19"/>
  <c r="MZ15" i="19"/>
  <c r="HP6" i="19"/>
  <c r="RH12" i="19"/>
  <c r="OB12" i="19"/>
  <c r="FL11" i="19"/>
  <c r="R11" i="19"/>
  <c r="DH11" i="19" s="1"/>
  <c r="F9" i="19"/>
  <c r="RH10" i="19"/>
  <c r="RD10" i="19"/>
  <c r="RC10" i="19"/>
  <c r="PD10" i="19"/>
  <c r="RH14" i="19"/>
  <c r="J14" i="19"/>
  <c r="RC15" i="19"/>
  <c r="DE15" i="19"/>
  <c r="MZ6" i="19"/>
  <c r="G12" i="19"/>
  <c r="KV11" i="19"/>
  <c r="FL16" i="19"/>
  <c r="RC9" i="19"/>
  <c r="GN14" i="19"/>
  <c r="RG15" i="19"/>
  <c r="RB15" i="19"/>
  <c r="QF15" i="19"/>
  <c r="KV6" i="19"/>
  <c r="RD12" i="19"/>
  <c r="RC12" i="19"/>
  <c r="IR11" i="19"/>
  <c r="IR9" i="19"/>
  <c r="GN9" i="19"/>
  <c r="L9" i="19"/>
  <c r="DF9" i="19" s="1"/>
  <c r="R10" i="19"/>
  <c r="EJ14" i="19"/>
  <c r="RH15" i="19"/>
  <c r="RG6" i="19"/>
  <c r="RB6" i="19"/>
  <c r="QF6" i="19"/>
  <c r="RG12" i="19"/>
  <c r="OB11" i="19"/>
  <c r="G11" i="19"/>
  <c r="IR16" i="19"/>
  <c r="RB10" i="19"/>
  <c r="DE10" i="19"/>
  <c r="JT14" i="19"/>
  <c r="RH6" i="19"/>
  <c r="HP12" i="19"/>
  <c r="RD11" i="19"/>
  <c r="RC11" i="19"/>
  <c r="F11" i="19"/>
  <c r="L16" i="19"/>
  <c r="LX9" i="19"/>
  <c r="HP9" i="19"/>
  <c r="PD14" i="19"/>
  <c r="EJ15" i="19"/>
  <c r="FL12" i="19"/>
  <c r="RG11" i="19"/>
  <c r="RB11" i="19"/>
  <c r="OB16" i="19"/>
  <c r="LX16" i="19"/>
  <c r="F16" i="19"/>
  <c r="G6" i="19"/>
  <c r="F15" i="19"/>
  <c r="F12" i="19"/>
  <c r="F10" i="19"/>
  <c r="F6" i="19"/>
  <c r="L11" i="19"/>
  <c r="DF11" i="19" s="1"/>
  <c r="G14" i="19"/>
  <c r="R15" i="19"/>
  <c r="DH15" i="19" s="1"/>
  <c r="L12" i="19"/>
  <c r="DF12" i="19" s="1"/>
  <c r="J16" i="19"/>
  <c r="J9" i="19"/>
  <c r="G10" i="19"/>
  <c r="L6" i="19"/>
  <c r="DF6" i="19" s="1"/>
  <c r="J11" i="19"/>
  <c r="RH16" i="19"/>
  <c r="G9" i="19"/>
  <c r="L15" i="19"/>
  <c r="DF15" i="19" s="1"/>
  <c r="J12" i="19"/>
  <c r="RH11" i="19"/>
  <c r="L14" i="19"/>
  <c r="DF14" i="19" s="1"/>
  <c r="J6" i="19"/>
  <c r="G16" i="19"/>
  <c r="L10" i="19"/>
  <c r="DF10" i="19" s="1"/>
  <c r="J15" i="19"/>
  <c r="HP13" i="19"/>
  <c r="JT13" i="19"/>
  <c r="OB13" i="19"/>
  <c r="QF13" i="19"/>
  <c r="GN5" i="19"/>
  <c r="KV5" i="19"/>
  <c r="PD5" i="19"/>
  <c r="DE7" i="19"/>
  <c r="FL7" i="19"/>
  <c r="HP7" i="19"/>
  <c r="JT7" i="19"/>
  <c r="LX7" i="19"/>
  <c r="OB7" i="19"/>
  <c r="QF7" i="19"/>
  <c r="RH13" i="19"/>
  <c r="JT4" i="19"/>
  <c r="RG13" i="19"/>
  <c r="R7" i="19"/>
  <c r="EJ4" i="19"/>
  <c r="GN4" i="19"/>
  <c r="IR4" i="19"/>
  <c r="KV4" i="19"/>
  <c r="MZ4" i="19"/>
  <c r="PD4" i="19"/>
  <c r="RB4" i="19"/>
  <c r="KV7" i="19"/>
  <c r="MZ7" i="19"/>
  <c r="LX5" i="19"/>
  <c r="OB5" i="19"/>
  <c r="QF5" i="19"/>
  <c r="RG5" i="19"/>
  <c r="L5" i="19"/>
  <c r="RB7" i="19"/>
  <c r="R4" i="19"/>
  <c r="RH4" i="19"/>
  <c r="GN7" i="19"/>
  <c r="R5" i="19"/>
  <c r="DH5" i="19" s="1"/>
  <c r="DE5" i="19"/>
  <c r="HP5" i="19"/>
  <c r="JT5" i="19"/>
  <c r="J4" i="19"/>
  <c r="PD7" i="19"/>
  <c r="LX13" i="19"/>
  <c r="RC7" i="19"/>
  <c r="RH5" i="19"/>
  <c r="RH7" i="19"/>
  <c r="L13" i="19"/>
  <c r="RC4" i="19"/>
  <c r="RD4" i="19"/>
  <c r="RG7" i="19"/>
  <c r="R13" i="19"/>
  <c r="EJ5" i="19"/>
  <c r="RB5" i="19"/>
  <c r="J13" i="19"/>
  <c r="RB13" i="19"/>
  <c r="IR5" i="19"/>
  <c r="MZ5" i="19"/>
  <c r="RC5" i="19"/>
  <c r="RD5" i="19"/>
  <c r="FL4" i="19"/>
  <c r="HP4" i="19"/>
  <c r="LX4" i="19"/>
  <c r="J7" i="19"/>
  <c r="DE13" i="19"/>
  <c r="RC13" i="19"/>
  <c r="RD13" i="19"/>
  <c r="RD7" i="19"/>
  <c r="FL5" i="19"/>
  <c r="DE4" i="19"/>
  <c r="OB4" i="19"/>
  <c r="QF4" i="19"/>
  <c r="RG4" i="19"/>
  <c r="EJ7" i="19"/>
  <c r="IR7" i="19"/>
  <c r="FL13" i="19"/>
  <c r="L7" i="19"/>
  <c r="DF7" i="19" s="1"/>
  <c r="L4" i="19"/>
  <c r="DF4" i="19" s="1"/>
  <c r="F13" i="19"/>
  <c r="F7" i="19"/>
  <c r="G13" i="19"/>
  <c r="F4" i="19"/>
  <c r="G7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3" i="21"/>
  <c r="DH13" i="21"/>
  <c r="S4" i="21"/>
  <c r="DH4" i="21"/>
  <c r="M13" i="21"/>
  <c r="DF13" i="21"/>
  <c r="S9" i="21"/>
  <c r="DH9" i="21"/>
  <c r="Q11" i="21"/>
  <c r="DG11" i="21"/>
  <c r="M5" i="21"/>
  <c r="DF5" i="21"/>
  <c r="T5" i="21" s="1"/>
  <c r="Q14" i="21"/>
  <c r="DG14" i="21"/>
  <c r="T14" i="21" s="1"/>
  <c r="V14" i="21" s="1"/>
  <c r="Q6" i="21"/>
  <c r="DG6" i="21"/>
  <c r="S7" i="21"/>
  <c r="DH7" i="21"/>
  <c r="Q12" i="21"/>
  <c r="DG12" i="21"/>
  <c r="S6" i="21"/>
  <c r="DH6" i="21"/>
  <c r="T6" i="21" s="1"/>
  <c r="Q5" i="21"/>
  <c r="DG5" i="21"/>
  <c r="Q13" i="21"/>
  <c r="DG13" i="21"/>
  <c r="Q8" i="21"/>
  <c r="DG8" i="21"/>
  <c r="T8" i="21" s="1"/>
  <c r="Q9" i="21"/>
  <c r="DG9" i="21"/>
  <c r="T9" i="21" s="1"/>
  <c r="U9" i="21" s="1"/>
  <c r="S10" i="21"/>
  <c r="DH10" i="21"/>
  <c r="Q7" i="21"/>
  <c r="DG7" i="21"/>
  <c r="Q10" i="21"/>
  <c r="DG10" i="21"/>
  <c r="T10" i="21" s="1"/>
  <c r="S4" i="19"/>
  <c r="DH4" i="19"/>
  <c r="S7" i="19"/>
  <c r="DH7" i="19"/>
  <c r="Q7" i="19"/>
  <c r="DG7" i="19"/>
  <c r="S16" i="19"/>
  <c r="DH16" i="19"/>
  <c r="Q10" i="19"/>
  <c r="DG10" i="19"/>
  <c r="M5" i="19"/>
  <c r="DF5" i="19"/>
  <c r="Q11" i="19"/>
  <c r="DG11" i="19"/>
  <c r="T11" i="19" s="1"/>
  <c r="Q9" i="19"/>
  <c r="DG9" i="19"/>
  <c r="M13" i="19"/>
  <c r="DF13" i="19"/>
  <c r="M16" i="19"/>
  <c r="DF16" i="19"/>
  <c r="Q12" i="19"/>
  <c r="DG12" i="19"/>
  <c r="S14" i="19"/>
  <c r="DH14" i="19"/>
  <c r="Q13" i="19"/>
  <c r="DG13" i="19"/>
  <c r="Q6" i="19"/>
  <c r="DG6" i="19"/>
  <c r="Q14" i="19"/>
  <c r="DG14" i="19"/>
  <c r="S10" i="19"/>
  <c r="DH10" i="19"/>
  <c r="S6" i="19"/>
  <c r="DH6" i="19"/>
  <c r="Q5" i="19"/>
  <c r="DG5" i="19"/>
  <c r="Q15" i="19"/>
  <c r="DG15" i="19"/>
  <c r="S13" i="19"/>
  <c r="DH13" i="19"/>
  <c r="S12" i="19"/>
  <c r="DH12" i="19"/>
  <c r="Q16" i="19"/>
  <c r="DG16" i="19"/>
  <c r="O5" i="18"/>
  <c r="CW5" i="18"/>
  <c r="M4" i="18"/>
  <c r="CV4" i="18"/>
  <c r="M5" i="18"/>
  <c r="CV5" i="18"/>
  <c r="CW4" i="18"/>
  <c r="M9" i="21"/>
  <c r="M8" i="21"/>
  <c r="I13" i="21"/>
  <c r="H13" i="21" s="1"/>
  <c r="RF8" i="21"/>
  <c r="RF14" i="21"/>
  <c r="I16" i="19"/>
  <c r="I9" i="21"/>
  <c r="RF12" i="21"/>
  <c r="RI6" i="21"/>
  <c r="RI10" i="21"/>
  <c r="I10" i="19"/>
  <c r="I14" i="19"/>
  <c r="H14" i="19" s="1"/>
  <c r="I4" i="19"/>
  <c r="I11" i="19"/>
  <c r="H11" i="19" s="1"/>
  <c r="RF10" i="21"/>
  <c r="RF10" i="19"/>
  <c r="RF13" i="19"/>
  <c r="I12" i="19"/>
  <c r="H12" i="19" s="1"/>
  <c r="A14" i="21"/>
  <c r="RI4" i="21"/>
  <c r="RI8" i="21"/>
  <c r="RF4" i="21"/>
  <c r="RI11" i="21"/>
  <c r="RF6" i="21"/>
  <c r="S14" i="21"/>
  <c r="K5" i="21"/>
  <c r="K11" i="21"/>
  <c r="K12" i="21"/>
  <c r="K10" i="21"/>
  <c r="K14" i="21"/>
  <c r="I6" i="19"/>
  <c r="H6" i="19" s="1"/>
  <c r="K4" i="19"/>
  <c r="K13" i="19"/>
  <c r="K7" i="19"/>
  <c r="K14" i="19"/>
  <c r="I9" i="19"/>
  <c r="H9" i="19" s="1"/>
  <c r="I12" i="21"/>
  <c r="H12" i="21" s="1"/>
  <c r="RF11" i="21"/>
  <c r="M14" i="21"/>
  <c r="RI12" i="21"/>
  <c r="RF11" i="19"/>
  <c r="I7" i="19"/>
  <c r="H7" i="19" s="1"/>
  <c r="I15" i="19"/>
  <c r="H15" i="19" s="1"/>
  <c r="I13" i="19"/>
  <c r="H13" i="19" s="1"/>
  <c r="M11" i="21"/>
  <c r="I11" i="21"/>
  <c r="I4" i="21"/>
  <c r="H4" i="21" s="1"/>
  <c r="A13" i="21"/>
  <c r="I8" i="21"/>
  <c r="H8" i="21" s="1"/>
  <c r="I14" i="21"/>
  <c r="H14" i="21" s="1"/>
  <c r="RI13" i="21"/>
  <c r="RF16" i="19"/>
  <c r="RF4" i="19"/>
  <c r="H5" i="19"/>
  <c r="PX4" i="18"/>
  <c r="H4" i="19"/>
  <c r="RF15" i="19"/>
  <c r="RF7" i="19"/>
  <c r="I5" i="19"/>
  <c r="RF6" i="19"/>
  <c r="RI5" i="19"/>
  <c r="RF5" i="19"/>
  <c r="RF12" i="19"/>
  <c r="RI9" i="19"/>
  <c r="RF9" i="19"/>
  <c r="RF14" i="19"/>
  <c r="H16" i="19"/>
  <c r="I6" i="21"/>
  <c r="H6" i="21" s="1"/>
  <c r="I7" i="21"/>
  <c r="H7" i="21" s="1"/>
  <c r="H11" i="21"/>
  <c r="M6" i="21"/>
  <c r="M4" i="21"/>
  <c r="I5" i="21"/>
  <c r="H5" i="21" s="1"/>
  <c r="K4" i="21"/>
  <c r="H9" i="21"/>
  <c r="RI5" i="21"/>
  <c r="RF5" i="21"/>
  <c r="T12" i="21"/>
  <c r="I10" i="21"/>
  <c r="H10" i="21" s="1"/>
  <c r="RI9" i="21"/>
  <c r="RF9" i="21"/>
  <c r="K7" i="21"/>
  <c r="T11" i="21"/>
  <c r="S11" i="21"/>
  <c r="RI7" i="21"/>
  <c r="RF7" i="21"/>
  <c r="K13" i="21"/>
  <c r="M7" i="21"/>
  <c r="S5" i="21"/>
  <c r="M10" i="21"/>
  <c r="K9" i="21"/>
  <c r="K6" i="21"/>
  <c r="H10" i="19"/>
  <c r="S11" i="19"/>
  <c r="PX5" i="18"/>
  <c r="H5" i="18"/>
  <c r="RI10" i="19"/>
  <c r="RI11" i="19"/>
  <c r="RI12" i="19"/>
  <c r="M9" i="19"/>
  <c r="RI15" i="19"/>
  <c r="S9" i="19"/>
  <c r="RI6" i="19"/>
  <c r="RI16" i="19"/>
  <c r="RI14" i="19"/>
  <c r="M6" i="19"/>
  <c r="M10" i="19"/>
  <c r="M11" i="19"/>
  <c r="M14" i="19"/>
  <c r="K11" i="19"/>
  <c r="S15" i="19"/>
  <c r="K12" i="19"/>
  <c r="M15" i="19"/>
  <c r="K15" i="19"/>
  <c r="K9" i="19"/>
  <c r="K16" i="19"/>
  <c r="T9" i="19"/>
  <c r="K6" i="19"/>
  <c r="M12" i="19"/>
  <c r="S5" i="19"/>
  <c r="RI13" i="19"/>
  <c r="RI4" i="19"/>
  <c r="RI7" i="19"/>
  <c r="M7" i="19"/>
  <c r="M4" i="19"/>
  <c r="K5" i="19"/>
  <c r="K4" i="18"/>
  <c r="K5" i="18"/>
  <c r="T5" i="19" l="1"/>
  <c r="V5" i="19" s="1"/>
  <c r="T13" i="21"/>
  <c r="U13" i="21" s="1"/>
  <c r="E8" i="21"/>
  <c r="E9" i="21"/>
  <c r="T7" i="21"/>
  <c r="V7" i="21" s="1"/>
  <c r="U8" i="21"/>
  <c r="V8" i="21"/>
  <c r="T4" i="21"/>
  <c r="E4" i="21" s="1"/>
  <c r="V9" i="21"/>
  <c r="T16" i="19"/>
  <c r="U16" i="19" s="1"/>
  <c r="P5" i="18"/>
  <c r="R5" i="18" s="1"/>
  <c r="E12" i="21"/>
  <c r="V6" i="21"/>
  <c r="U6" i="21"/>
  <c r="E6" i="21"/>
  <c r="E5" i="19"/>
  <c r="U14" i="21"/>
  <c r="E14" i="21"/>
  <c r="E11" i="21"/>
  <c r="E10" i="21"/>
  <c r="E5" i="21"/>
  <c r="E9" i="19"/>
  <c r="E11" i="19"/>
  <c r="T12" i="19"/>
  <c r="E12" i="19" s="1"/>
  <c r="P4" i="18"/>
  <c r="T6" i="19"/>
  <c r="U6" i="19" s="1"/>
  <c r="V11" i="21"/>
  <c r="U11" i="21"/>
  <c r="V5" i="21"/>
  <c r="U5" i="21"/>
  <c r="V10" i="21"/>
  <c r="U10" i="21"/>
  <c r="U12" i="21"/>
  <c r="V12" i="21"/>
  <c r="T14" i="19"/>
  <c r="E14" i="19" s="1"/>
  <c r="T10" i="19"/>
  <c r="V10" i="19" s="1"/>
  <c r="U11" i="19"/>
  <c r="V11" i="19"/>
  <c r="U9" i="19"/>
  <c r="V9" i="19"/>
  <c r="T15" i="19"/>
  <c r="E15" i="19" s="1"/>
  <c r="T7" i="19"/>
  <c r="V7" i="19" s="1"/>
  <c r="T4" i="19"/>
  <c r="V4" i="19" s="1"/>
  <c r="T13" i="19"/>
  <c r="E13" i="19" s="1"/>
  <c r="U5" i="19" l="1"/>
  <c r="E13" i="21"/>
  <c r="V13" i="21"/>
  <c r="E7" i="21"/>
  <c r="A12" i="21" s="1"/>
  <c r="U7" i="21"/>
  <c r="R4" i="18"/>
  <c r="DR4" i="18"/>
  <c r="V4" i="21"/>
  <c r="U4" i="21"/>
  <c r="Q5" i="18"/>
  <c r="V16" i="19"/>
  <c r="E16" i="19"/>
  <c r="E5" i="18"/>
  <c r="A8" i="21"/>
  <c r="A5" i="21"/>
  <c r="A6" i="21" a="1"/>
  <c r="A6" i="21" s="1"/>
  <c r="E4" i="19"/>
  <c r="E6" i="19"/>
  <c r="V6" i="19"/>
  <c r="E7" i="19"/>
  <c r="V12" i="19"/>
  <c r="E10" i="19"/>
  <c r="U12" i="19"/>
  <c r="E4" i="18"/>
  <c r="Q4" i="18"/>
  <c r="V14" i="19"/>
  <c r="U14" i="19"/>
  <c r="U10" i="19"/>
  <c r="U4" i="19"/>
  <c r="U15" i="19"/>
  <c r="V15" i="19"/>
  <c r="A12" i="19"/>
  <c r="A11" i="19"/>
  <c r="A10" i="19"/>
  <c r="U7" i="19"/>
  <c r="U13" i="19"/>
  <c r="V13" i="19"/>
  <c r="A11" i="21" l="1"/>
  <c r="A4" i="21"/>
  <c r="A7" i="21"/>
  <c r="A10" i="21"/>
  <c r="A9" i="21"/>
  <c r="A8" i="19"/>
  <c r="A5" i="19" a="1"/>
  <c r="A5" i="19" s="1"/>
  <c r="A13" i="19"/>
  <c r="A15" i="19"/>
  <c r="A14" i="19"/>
  <c r="A16" i="19"/>
  <c r="A9" i="19"/>
  <c r="A6" i="19"/>
  <c r="A4" i="19"/>
  <c r="A7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19" i="4"/>
  <c r="SS19" i="4"/>
  <c r="SR19" i="4"/>
  <c r="SQ19" i="4"/>
  <c r="SP19" i="4"/>
  <c r="SO19" i="4"/>
  <c r="SM19" i="4"/>
  <c r="SL19" i="4"/>
  <c r="SK19" i="4"/>
  <c r="SJ19" i="4"/>
  <c r="SI19" i="4"/>
  <c r="SH1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ST15" i="4"/>
  <c r="SS15" i="4"/>
  <c r="SR15" i="4"/>
  <c r="SQ15" i="4"/>
  <c r="SP15" i="4"/>
  <c r="SO15" i="4"/>
  <c r="SM15" i="4"/>
  <c r="SN15" i="4" s="1"/>
  <c r="SL15" i="4"/>
  <c r="SK15" i="4"/>
  <c r="SJ15" i="4"/>
  <c r="SI15" i="4"/>
  <c r="SH1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NN15" i="4"/>
  <c r="NM15" i="4"/>
  <c r="NL15" i="4"/>
  <c r="NK15" i="4"/>
  <c r="NJ15" i="4"/>
  <c r="NI15" i="4"/>
  <c r="NG15" i="4"/>
  <c r="NH15" i="4" s="1"/>
  <c r="NF15" i="4"/>
  <c r="NE15" i="4"/>
  <c r="ND15" i="4"/>
  <c r="NC15" i="4"/>
  <c r="NB1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ST9" i="4"/>
  <c r="SS9" i="4"/>
  <c r="SR9" i="4"/>
  <c r="SQ9" i="4"/>
  <c r="SP9" i="4"/>
  <c r="SO9" i="4"/>
  <c r="SM9" i="4"/>
  <c r="SL9" i="4"/>
  <c r="SK9" i="4"/>
  <c r="SJ9" i="4"/>
  <c r="SI9" i="4"/>
  <c r="SH9" i="4"/>
  <c r="RL9" i="4"/>
  <c r="RK9" i="4"/>
  <c r="RJ9" i="4"/>
  <c r="RI9" i="4"/>
  <c r="RH9" i="4"/>
  <c r="RG9" i="4"/>
  <c r="RE9" i="4"/>
  <c r="RD9" i="4"/>
  <c r="RC9" i="4"/>
  <c r="RB9" i="4"/>
  <c r="RA9" i="4"/>
  <c r="QZ9" i="4"/>
  <c r="QD9" i="4"/>
  <c r="QC9" i="4"/>
  <c r="QB9" i="4"/>
  <c r="QA9" i="4"/>
  <c r="PZ9" i="4"/>
  <c r="PY9" i="4"/>
  <c r="PW9" i="4"/>
  <c r="PV9" i="4"/>
  <c r="PU9" i="4"/>
  <c r="PT9" i="4"/>
  <c r="PS9" i="4"/>
  <c r="PR9" i="4"/>
  <c r="OV9" i="4"/>
  <c r="OU9" i="4"/>
  <c r="OT9" i="4"/>
  <c r="OS9" i="4"/>
  <c r="OR9" i="4"/>
  <c r="OQ9" i="4"/>
  <c r="OO9" i="4"/>
  <c r="ON9" i="4"/>
  <c r="OM9" i="4"/>
  <c r="OL9" i="4"/>
  <c r="OK9" i="4"/>
  <c r="OJ9" i="4"/>
  <c r="NN9" i="4"/>
  <c r="NM9" i="4"/>
  <c r="NL9" i="4"/>
  <c r="NK9" i="4"/>
  <c r="NJ9" i="4"/>
  <c r="NI9" i="4"/>
  <c r="NG9" i="4"/>
  <c r="NF9" i="4"/>
  <c r="NE9" i="4"/>
  <c r="ND9" i="4"/>
  <c r="NC9" i="4"/>
  <c r="NB9" i="4"/>
  <c r="MF9" i="4"/>
  <c r="ME9" i="4"/>
  <c r="MD9" i="4"/>
  <c r="MC9" i="4"/>
  <c r="MB9" i="4"/>
  <c r="MA9" i="4"/>
  <c r="LY9" i="4"/>
  <c r="LX9" i="4"/>
  <c r="LW9" i="4"/>
  <c r="LV9" i="4"/>
  <c r="LU9" i="4"/>
  <c r="LT9" i="4"/>
  <c r="ST8" i="4"/>
  <c r="SS8" i="4"/>
  <c r="SR8" i="4"/>
  <c r="SQ8" i="4"/>
  <c r="SP8" i="4"/>
  <c r="SO8" i="4"/>
  <c r="SM8" i="4"/>
  <c r="SL8" i="4"/>
  <c r="SK8" i="4"/>
  <c r="SJ8" i="4"/>
  <c r="SI8" i="4"/>
  <c r="SH8" i="4"/>
  <c r="RL8" i="4"/>
  <c r="RK8" i="4"/>
  <c r="RJ8" i="4"/>
  <c r="RI8" i="4"/>
  <c r="RH8" i="4"/>
  <c r="RG8" i="4"/>
  <c r="RE8" i="4"/>
  <c r="RD8" i="4"/>
  <c r="RC8" i="4"/>
  <c r="RB8" i="4"/>
  <c r="RA8" i="4"/>
  <c r="QZ8" i="4"/>
  <c r="QD8" i="4"/>
  <c r="QC8" i="4"/>
  <c r="QB8" i="4"/>
  <c r="QA8" i="4"/>
  <c r="PZ8" i="4"/>
  <c r="PY8" i="4"/>
  <c r="PW8" i="4"/>
  <c r="PV8" i="4"/>
  <c r="PU8" i="4"/>
  <c r="PT8" i="4"/>
  <c r="PS8" i="4"/>
  <c r="PR8" i="4"/>
  <c r="OV8" i="4"/>
  <c r="OU8" i="4"/>
  <c r="OT8" i="4"/>
  <c r="OS8" i="4"/>
  <c r="OR8" i="4"/>
  <c r="OQ8" i="4"/>
  <c r="OO8" i="4"/>
  <c r="ON8" i="4"/>
  <c r="OM8" i="4"/>
  <c r="OL8" i="4"/>
  <c r="OK8" i="4"/>
  <c r="OJ8" i="4"/>
  <c r="NN8" i="4"/>
  <c r="NM8" i="4"/>
  <c r="NL8" i="4"/>
  <c r="NK8" i="4"/>
  <c r="NJ8" i="4"/>
  <c r="NI8" i="4"/>
  <c r="NG8" i="4"/>
  <c r="NF8" i="4"/>
  <c r="NE8" i="4"/>
  <c r="ND8" i="4"/>
  <c r="NC8" i="4"/>
  <c r="NB8" i="4"/>
  <c r="MF8" i="4"/>
  <c r="ME8" i="4"/>
  <c r="MD8" i="4"/>
  <c r="MC8" i="4"/>
  <c r="MB8" i="4"/>
  <c r="MA8" i="4"/>
  <c r="LY8" i="4"/>
  <c r="LX8" i="4"/>
  <c r="LW8" i="4"/>
  <c r="LV8" i="4"/>
  <c r="LU8" i="4"/>
  <c r="LT8" i="4"/>
  <c r="ST7" i="4"/>
  <c r="SS7" i="4"/>
  <c r="SR7" i="4"/>
  <c r="SQ7" i="4"/>
  <c r="SP7" i="4"/>
  <c r="SO7" i="4"/>
  <c r="SM7" i="4"/>
  <c r="SL7" i="4"/>
  <c r="SK7" i="4"/>
  <c r="SJ7" i="4"/>
  <c r="SI7" i="4"/>
  <c r="SH7" i="4"/>
  <c r="RL7" i="4"/>
  <c r="RK7" i="4"/>
  <c r="RJ7" i="4"/>
  <c r="RI7" i="4"/>
  <c r="RH7" i="4"/>
  <c r="RG7" i="4"/>
  <c r="RE7" i="4"/>
  <c r="RD7" i="4"/>
  <c r="RC7" i="4"/>
  <c r="RB7" i="4"/>
  <c r="RA7" i="4"/>
  <c r="QZ7" i="4"/>
  <c r="QD7" i="4"/>
  <c r="QC7" i="4"/>
  <c r="QB7" i="4"/>
  <c r="QA7" i="4"/>
  <c r="PZ7" i="4"/>
  <c r="PY7" i="4"/>
  <c r="PW7" i="4"/>
  <c r="PV7" i="4"/>
  <c r="PU7" i="4"/>
  <c r="PT7" i="4"/>
  <c r="PS7" i="4"/>
  <c r="PR7" i="4"/>
  <c r="OV7" i="4"/>
  <c r="OU7" i="4"/>
  <c r="OT7" i="4"/>
  <c r="OS7" i="4"/>
  <c r="OR7" i="4"/>
  <c r="OQ7" i="4"/>
  <c r="OO7" i="4"/>
  <c r="ON7" i="4"/>
  <c r="OM7" i="4"/>
  <c r="OL7" i="4"/>
  <c r="OK7" i="4"/>
  <c r="OJ7" i="4"/>
  <c r="NN7" i="4"/>
  <c r="NM7" i="4"/>
  <c r="NL7" i="4"/>
  <c r="NK7" i="4"/>
  <c r="NJ7" i="4"/>
  <c r="NI7" i="4"/>
  <c r="NG7" i="4"/>
  <c r="NF7" i="4"/>
  <c r="NE7" i="4"/>
  <c r="ND7" i="4"/>
  <c r="NC7" i="4"/>
  <c r="NB7" i="4"/>
  <c r="MF7" i="4"/>
  <c r="ME7" i="4"/>
  <c r="MD7" i="4"/>
  <c r="MC7" i="4"/>
  <c r="MB7" i="4"/>
  <c r="MA7" i="4"/>
  <c r="LY7" i="4"/>
  <c r="LX7" i="4"/>
  <c r="LW7" i="4"/>
  <c r="LV7" i="4"/>
  <c r="LU7" i="4"/>
  <c r="LT7" i="4"/>
  <c r="ST6" i="4"/>
  <c r="SS6" i="4"/>
  <c r="SR6" i="4"/>
  <c r="SQ6" i="4"/>
  <c r="SP6" i="4"/>
  <c r="SO6" i="4"/>
  <c r="SM6" i="4"/>
  <c r="SL6" i="4"/>
  <c r="SK6" i="4"/>
  <c r="SJ6" i="4"/>
  <c r="SI6" i="4"/>
  <c r="SH6" i="4"/>
  <c r="RL6" i="4"/>
  <c r="RK6" i="4"/>
  <c r="RJ6" i="4"/>
  <c r="RI6" i="4"/>
  <c r="RH6" i="4"/>
  <c r="RG6" i="4"/>
  <c r="RE6" i="4"/>
  <c r="RD6" i="4"/>
  <c r="RC6" i="4"/>
  <c r="RB6" i="4"/>
  <c r="RA6" i="4"/>
  <c r="QZ6" i="4"/>
  <c r="QD6" i="4"/>
  <c r="QC6" i="4"/>
  <c r="QB6" i="4"/>
  <c r="QA6" i="4"/>
  <c r="PZ6" i="4"/>
  <c r="PY6" i="4"/>
  <c r="PW6" i="4"/>
  <c r="PV6" i="4"/>
  <c r="PU6" i="4"/>
  <c r="PT6" i="4"/>
  <c r="PS6" i="4"/>
  <c r="PR6" i="4"/>
  <c r="OV6" i="4"/>
  <c r="OU6" i="4"/>
  <c r="OT6" i="4"/>
  <c r="OS6" i="4"/>
  <c r="OR6" i="4"/>
  <c r="OQ6" i="4"/>
  <c r="OO6" i="4"/>
  <c r="ON6" i="4"/>
  <c r="OM6" i="4"/>
  <c r="OL6" i="4"/>
  <c r="OK6" i="4"/>
  <c r="OJ6" i="4"/>
  <c r="NN6" i="4"/>
  <c r="NM6" i="4"/>
  <c r="NL6" i="4"/>
  <c r="NK6" i="4"/>
  <c r="NJ6" i="4"/>
  <c r="NI6" i="4"/>
  <c r="NG6" i="4"/>
  <c r="NF6" i="4"/>
  <c r="NE6" i="4"/>
  <c r="ND6" i="4"/>
  <c r="NC6" i="4"/>
  <c r="NB6" i="4"/>
  <c r="MF6" i="4"/>
  <c r="ME6" i="4"/>
  <c r="MD6" i="4"/>
  <c r="MC6" i="4"/>
  <c r="MB6" i="4"/>
  <c r="MA6" i="4"/>
  <c r="LY6" i="4"/>
  <c r="LX6" i="4"/>
  <c r="LW6" i="4"/>
  <c r="LV6" i="4"/>
  <c r="LU6" i="4"/>
  <c r="LT6" i="4"/>
  <c r="ST5" i="4"/>
  <c r="SS5" i="4"/>
  <c r="SR5" i="4"/>
  <c r="SQ5" i="4"/>
  <c r="SP5" i="4"/>
  <c r="SO5" i="4"/>
  <c r="SM5" i="4"/>
  <c r="SL5" i="4"/>
  <c r="SK5" i="4"/>
  <c r="SJ5" i="4"/>
  <c r="SI5" i="4"/>
  <c r="SH5" i="4"/>
  <c r="RL5" i="4"/>
  <c r="RK5" i="4"/>
  <c r="RJ5" i="4"/>
  <c r="RI5" i="4"/>
  <c r="RH5" i="4"/>
  <c r="RG5" i="4"/>
  <c r="RE5" i="4"/>
  <c r="RD5" i="4"/>
  <c r="RC5" i="4"/>
  <c r="RB5" i="4"/>
  <c r="RA5" i="4"/>
  <c r="QZ5" i="4"/>
  <c r="QD5" i="4"/>
  <c r="QC5" i="4"/>
  <c r="QB5" i="4"/>
  <c r="QA5" i="4"/>
  <c r="PZ5" i="4"/>
  <c r="PY5" i="4"/>
  <c r="PW5" i="4"/>
  <c r="PV5" i="4"/>
  <c r="PU5" i="4"/>
  <c r="PT5" i="4"/>
  <c r="PS5" i="4"/>
  <c r="PR5" i="4"/>
  <c r="OV5" i="4"/>
  <c r="OU5" i="4"/>
  <c r="OT5" i="4"/>
  <c r="OS5" i="4"/>
  <c r="OR5" i="4"/>
  <c r="OQ5" i="4"/>
  <c r="OO5" i="4"/>
  <c r="ON5" i="4"/>
  <c r="OM5" i="4"/>
  <c r="OL5" i="4"/>
  <c r="OK5" i="4"/>
  <c r="OJ5" i="4"/>
  <c r="NN5" i="4"/>
  <c r="NM5" i="4"/>
  <c r="NL5" i="4"/>
  <c r="NK5" i="4"/>
  <c r="NJ5" i="4"/>
  <c r="NI5" i="4"/>
  <c r="NG5" i="4"/>
  <c r="NF5" i="4"/>
  <c r="NE5" i="4"/>
  <c r="ND5" i="4"/>
  <c r="NC5" i="4"/>
  <c r="NB5" i="4"/>
  <c r="MF5" i="4"/>
  <c r="ME5" i="4"/>
  <c r="MD5" i="4"/>
  <c r="MC5" i="4"/>
  <c r="MB5" i="4"/>
  <c r="MA5" i="4"/>
  <c r="LY5" i="4"/>
  <c r="LX5" i="4"/>
  <c r="LW5" i="4"/>
  <c r="LV5" i="4"/>
  <c r="LU5" i="4"/>
  <c r="LT5" i="4"/>
  <c r="ST4" i="4"/>
  <c r="SS4" i="4"/>
  <c r="SR4" i="4"/>
  <c r="SQ4" i="4"/>
  <c r="SP4" i="4"/>
  <c r="SO4" i="4"/>
  <c r="SM4" i="4"/>
  <c r="SL4" i="4"/>
  <c r="SK4" i="4"/>
  <c r="SJ4" i="4"/>
  <c r="SI4" i="4"/>
  <c r="SH4" i="4"/>
  <c r="RL4" i="4"/>
  <c r="RK4" i="4"/>
  <c r="RJ4" i="4"/>
  <c r="RI4" i="4"/>
  <c r="RH4" i="4"/>
  <c r="RG4" i="4"/>
  <c r="RE4" i="4"/>
  <c r="RD4" i="4"/>
  <c r="RC4" i="4"/>
  <c r="RB4" i="4"/>
  <c r="RA4" i="4"/>
  <c r="QZ4" i="4"/>
  <c r="QD4" i="4"/>
  <c r="QC4" i="4"/>
  <c r="QB4" i="4"/>
  <c r="QA4" i="4"/>
  <c r="PZ4" i="4"/>
  <c r="PY4" i="4"/>
  <c r="PW4" i="4"/>
  <c r="PV4" i="4"/>
  <c r="PU4" i="4"/>
  <c r="PT4" i="4"/>
  <c r="PS4" i="4"/>
  <c r="PR4" i="4"/>
  <c r="OV4" i="4"/>
  <c r="OU4" i="4"/>
  <c r="OT4" i="4"/>
  <c r="OS4" i="4"/>
  <c r="OR4" i="4"/>
  <c r="OQ4" i="4"/>
  <c r="OO4" i="4"/>
  <c r="ON4" i="4"/>
  <c r="OM4" i="4"/>
  <c r="OL4" i="4"/>
  <c r="OK4" i="4"/>
  <c r="OJ4" i="4"/>
  <c r="NN4" i="4"/>
  <c r="NM4" i="4"/>
  <c r="NL4" i="4"/>
  <c r="NK4" i="4"/>
  <c r="NJ4" i="4"/>
  <c r="NI4" i="4"/>
  <c r="NG4" i="4"/>
  <c r="NF4" i="4"/>
  <c r="NE4" i="4"/>
  <c r="ND4" i="4"/>
  <c r="NC4" i="4"/>
  <c r="NB4" i="4"/>
  <c r="MF4" i="4"/>
  <c r="ME4" i="4"/>
  <c r="MD4" i="4"/>
  <c r="MC4" i="4"/>
  <c r="MB4" i="4"/>
  <c r="MA4" i="4"/>
  <c r="LY4" i="4"/>
  <c r="LX4" i="4"/>
  <c r="LW4" i="4"/>
  <c r="LV4" i="4"/>
  <c r="LU4" i="4"/>
  <c r="LT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KX9" i="4"/>
  <c r="KW9" i="4"/>
  <c r="KV9" i="4"/>
  <c r="KU9" i="4"/>
  <c r="KT9" i="4"/>
  <c r="KS9" i="4"/>
  <c r="KQ9" i="4"/>
  <c r="KP9" i="4"/>
  <c r="KO9" i="4"/>
  <c r="KN9" i="4"/>
  <c r="KM9" i="4"/>
  <c r="KL9" i="4"/>
  <c r="JP9" i="4"/>
  <c r="JO9" i="4"/>
  <c r="JN9" i="4"/>
  <c r="JM9" i="4"/>
  <c r="JL9" i="4"/>
  <c r="JK9" i="4"/>
  <c r="JI9" i="4"/>
  <c r="JH9" i="4"/>
  <c r="JG9" i="4"/>
  <c r="JF9" i="4"/>
  <c r="JE9" i="4"/>
  <c r="JD9" i="4"/>
  <c r="KX8" i="4"/>
  <c r="KW8" i="4"/>
  <c r="KV8" i="4"/>
  <c r="KU8" i="4"/>
  <c r="KT8" i="4"/>
  <c r="KS8" i="4"/>
  <c r="KQ8" i="4"/>
  <c r="KP8" i="4"/>
  <c r="KO8" i="4"/>
  <c r="KN8" i="4"/>
  <c r="KM8" i="4"/>
  <c r="KL8" i="4"/>
  <c r="JP8" i="4"/>
  <c r="JO8" i="4"/>
  <c r="JN8" i="4"/>
  <c r="JM8" i="4"/>
  <c r="JL8" i="4"/>
  <c r="JK8" i="4"/>
  <c r="JI8" i="4"/>
  <c r="JH8" i="4"/>
  <c r="JG8" i="4"/>
  <c r="JF8" i="4"/>
  <c r="JE8" i="4"/>
  <c r="JD8" i="4"/>
  <c r="KX7" i="4"/>
  <c r="KW7" i="4"/>
  <c r="KV7" i="4"/>
  <c r="KU7" i="4"/>
  <c r="KT7" i="4"/>
  <c r="KS7" i="4"/>
  <c r="KQ7" i="4"/>
  <c r="KP7" i="4"/>
  <c r="KO7" i="4"/>
  <c r="KN7" i="4"/>
  <c r="KM7" i="4"/>
  <c r="KL7" i="4"/>
  <c r="JP7" i="4"/>
  <c r="JO7" i="4"/>
  <c r="JN7" i="4"/>
  <c r="JM7" i="4"/>
  <c r="JL7" i="4"/>
  <c r="JK7" i="4"/>
  <c r="JI7" i="4"/>
  <c r="JH7" i="4"/>
  <c r="JG7" i="4"/>
  <c r="JF7" i="4"/>
  <c r="JE7" i="4"/>
  <c r="JD7" i="4"/>
  <c r="KX6" i="4"/>
  <c r="KW6" i="4"/>
  <c r="KV6" i="4"/>
  <c r="KU6" i="4"/>
  <c r="KT6" i="4"/>
  <c r="KS6" i="4"/>
  <c r="KQ6" i="4"/>
  <c r="KP6" i="4"/>
  <c r="KO6" i="4"/>
  <c r="KN6" i="4"/>
  <c r="KM6" i="4"/>
  <c r="KL6" i="4"/>
  <c r="JP6" i="4"/>
  <c r="JO6" i="4"/>
  <c r="JN6" i="4"/>
  <c r="JM6" i="4"/>
  <c r="JL6" i="4"/>
  <c r="JK6" i="4"/>
  <c r="JI6" i="4"/>
  <c r="JH6" i="4"/>
  <c r="JG6" i="4"/>
  <c r="JF6" i="4"/>
  <c r="JE6" i="4"/>
  <c r="JD6" i="4"/>
  <c r="KX5" i="4"/>
  <c r="KW5" i="4"/>
  <c r="KV5" i="4"/>
  <c r="KU5" i="4"/>
  <c r="KT5" i="4"/>
  <c r="KS5" i="4"/>
  <c r="KQ5" i="4"/>
  <c r="KP5" i="4"/>
  <c r="KO5" i="4"/>
  <c r="KN5" i="4"/>
  <c r="KM5" i="4"/>
  <c r="KL5" i="4"/>
  <c r="JP5" i="4"/>
  <c r="JO5" i="4"/>
  <c r="JN5" i="4"/>
  <c r="JM5" i="4"/>
  <c r="JL5" i="4"/>
  <c r="JK5" i="4"/>
  <c r="JI5" i="4"/>
  <c r="JH5" i="4"/>
  <c r="JG5" i="4"/>
  <c r="JF5" i="4"/>
  <c r="JE5" i="4"/>
  <c r="JD5" i="4"/>
  <c r="KX4" i="4"/>
  <c r="KW4" i="4"/>
  <c r="KV4" i="4"/>
  <c r="KU4" i="4"/>
  <c r="KT4" i="4"/>
  <c r="KS4" i="4"/>
  <c r="KQ4" i="4"/>
  <c r="KP4" i="4"/>
  <c r="KO4" i="4"/>
  <c r="KN4" i="4"/>
  <c r="KM4" i="4"/>
  <c r="KL4" i="4"/>
  <c r="JP4" i="4"/>
  <c r="JO4" i="4"/>
  <c r="JN4" i="4"/>
  <c r="JM4" i="4"/>
  <c r="JL4" i="4"/>
  <c r="JK4" i="4"/>
  <c r="JI4" i="4"/>
  <c r="JH4" i="4"/>
  <c r="JG4" i="4"/>
  <c r="JF4" i="4"/>
  <c r="JE4" i="4"/>
  <c r="JD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IH9" i="4"/>
  <c r="IG9" i="4"/>
  <c r="IF9" i="4"/>
  <c r="IE9" i="4"/>
  <c r="ID9" i="4"/>
  <c r="IC9" i="4"/>
  <c r="IA9" i="4"/>
  <c r="HZ9" i="4"/>
  <c r="HY9" i="4"/>
  <c r="HX9" i="4"/>
  <c r="HW9" i="4"/>
  <c r="HV9" i="4"/>
  <c r="GZ9" i="4"/>
  <c r="GY9" i="4"/>
  <c r="GX9" i="4"/>
  <c r="GW9" i="4"/>
  <c r="GV9" i="4"/>
  <c r="GU9" i="4"/>
  <c r="GS9" i="4"/>
  <c r="GR9" i="4"/>
  <c r="GQ9" i="4"/>
  <c r="GP9" i="4"/>
  <c r="GO9" i="4"/>
  <c r="GN9" i="4"/>
  <c r="IH8" i="4"/>
  <c r="IG8" i="4"/>
  <c r="IF8" i="4"/>
  <c r="IE8" i="4"/>
  <c r="ID8" i="4"/>
  <c r="IC8" i="4"/>
  <c r="IA8" i="4"/>
  <c r="HZ8" i="4"/>
  <c r="HY8" i="4"/>
  <c r="HX8" i="4"/>
  <c r="HW8" i="4"/>
  <c r="HV8" i="4"/>
  <c r="GZ8" i="4"/>
  <c r="GY8" i="4"/>
  <c r="GX8" i="4"/>
  <c r="GW8" i="4"/>
  <c r="GV8" i="4"/>
  <c r="GU8" i="4"/>
  <c r="GS8" i="4"/>
  <c r="GR8" i="4"/>
  <c r="GQ8" i="4"/>
  <c r="GP8" i="4"/>
  <c r="GO8" i="4"/>
  <c r="GN8" i="4"/>
  <c r="IH7" i="4"/>
  <c r="IG7" i="4"/>
  <c r="IF7" i="4"/>
  <c r="IE7" i="4"/>
  <c r="ID7" i="4"/>
  <c r="IC7" i="4"/>
  <c r="IA7" i="4"/>
  <c r="HZ7" i="4"/>
  <c r="HY7" i="4"/>
  <c r="HX7" i="4"/>
  <c r="HW7" i="4"/>
  <c r="HV7" i="4"/>
  <c r="GZ7" i="4"/>
  <c r="GY7" i="4"/>
  <c r="GX7" i="4"/>
  <c r="GW7" i="4"/>
  <c r="GV7" i="4"/>
  <c r="GU7" i="4"/>
  <c r="GS7" i="4"/>
  <c r="GR7" i="4"/>
  <c r="GQ7" i="4"/>
  <c r="GP7" i="4"/>
  <c r="GO7" i="4"/>
  <c r="GN7" i="4"/>
  <c r="IH6" i="4"/>
  <c r="IG6" i="4"/>
  <c r="IF6" i="4"/>
  <c r="IE6" i="4"/>
  <c r="ID6" i="4"/>
  <c r="IC6" i="4"/>
  <c r="IA6" i="4"/>
  <c r="HZ6" i="4"/>
  <c r="HY6" i="4"/>
  <c r="HX6" i="4"/>
  <c r="HW6" i="4"/>
  <c r="HV6" i="4"/>
  <c r="GZ6" i="4"/>
  <c r="GY6" i="4"/>
  <c r="GX6" i="4"/>
  <c r="GW6" i="4"/>
  <c r="GV6" i="4"/>
  <c r="GU6" i="4"/>
  <c r="GS6" i="4"/>
  <c r="GR6" i="4"/>
  <c r="GQ6" i="4"/>
  <c r="GP6" i="4"/>
  <c r="GO6" i="4"/>
  <c r="GN6" i="4"/>
  <c r="IH5" i="4"/>
  <c r="IG5" i="4"/>
  <c r="IF5" i="4"/>
  <c r="IE5" i="4"/>
  <c r="ID5" i="4"/>
  <c r="IC5" i="4"/>
  <c r="IA5" i="4"/>
  <c r="HZ5" i="4"/>
  <c r="HY5" i="4"/>
  <c r="HX5" i="4"/>
  <c r="HW5" i="4"/>
  <c r="HV5" i="4"/>
  <c r="GZ5" i="4"/>
  <c r="GY5" i="4"/>
  <c r="GX5" i="4"/>
  <c r="GW5" i="4"/>
  <c r="GV5" i="4"/>
  <c r="GU5" i="4"/>
  <c r="GS5" i="4"/>
  <c r="GR5" i="4"/>
  <c r="GQ5" i="4"/>
  <c r="GP5" i="4"/>
  <c r="GO5" i="4"/>
  <c r="GN5" i="4"/>
  <c r="IH4" i="4"/>
  <c r="IG4" i="4"/>
  <c r="IF4" i="4"/>
  <c r="IE4" i="4"/>
  <c r="ID4" i="4"/>
  <c r="IC4" i="4"/>
  <c r="IA4" i="4"/>
  <c r="HZ4" i="4"/>
  <c r="HY4" i="4"/>
  <c r="HX4" i="4"/>
  <c r="HW4" i="4"/>
  <c r="HV4" i="4"/>
  <c r="GZ4" i="4"/>
  <c r="GY4" i="4"/>
  <c r="GX4" i="4"/>
  <c r="GW4" i="4"/>
  <c r="GV4" i="4"/>
  <c r="GU4" i="4"/>
  <c r="GS4" i="4"/>
  <c r="GR4" i="4"/>
  <c r="GQ4" i="4"/>
  <c r="GP4" i="4"/>
  <c r="GO4" i="4"/>
  <c r="GN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EE4" i="4"/>
  <c r="EF4" i="4"/>
  <c r="EE5" i="4"/>
  <c r="EF5" i="4"/>
  <c r="EG5" i="4"/>
  <c r="EE6" i="4"/>
  <c r="EF6" i="4"/>
  <c r="EG6" i="4"/>
  <c r="EE7" i="4"/>
  <c r="EF7" i="4"/>
  <c r="EG7" i="4"/>
  <c r="EE8" i="4"/>
  <c r="EF8" i="4"/>
  <c r="EG8" i="4"/>
  <c r="EE9" i="4"/>
  <c r="EF9" i="4"/>
  <c r="EG9" i="4"/>
  <c r="EE12" i="4"/>
  <c r="EF12" i="4"/>
  <c r="EG12" i="4"/>
  <c r="EE16" i="4"/>
  <c r="EF16" i="4"/>
  <c r="EG16" i="4"/>
  <c r="EE11" i="4"/>
  <c r="EF11" i="4"/>
  <c r="EG11" i="4"/>
  <c r="EE21" i="4"/>
  <c r="EF21" i="4"/>
  <c r="EG21" i="4"/>
  <c r="EE20" i="4"/>
  <c r="EF20" i="4"/>
  <c r="EG20" i="4"/>
  <c r="EE14" i="4"/>
  <c r="EF14" i="4"/>
  <c r="EG14" i="4"/>
  <c r="EE17" i="4"/>
  <c r="EF17" i="4"/>
  <c r="EG17" i="4"/>
  <c r="EE15" i="4"/>
  <c r="EF15" i="4"/>
  <c r="EG15" i="4"/>
  <c r="EE22" i="4"/>
  <c r="EF22" i="4"/>
  <c r="EG22" i="4"/>
  <c r="EE19" i="4"/>
  <c r="EF19" i="4"/>
  <c r="EG19" i="4"/>
  <c r="EG10" i="4"/>
  <c r="DZ10" i="4"/>
  <c r="EF10" i="4"/>
  <c r="EE10" i="4"/>
  <c r="EA10" i="4"/>
  <c r="EH4" i="4"/>
  <c r="EI4" i="4"/>
  <c r="EJ4" i="4"/>
  <c r="DX5" i="4"/>
  <c r="DY5" i="4"/>
  <c r="DZ5" i="4"/>
  <c r="EA5" i="4"/>
  <c r="EB5" i="4"/>
  <c r="EC5" i="4"/>
  <c r="EH5" i="4"/>
  <c r="EI5" i="4"/>
  <c r="EJ5" i="4"/>
  <c r="DX6" i="4"/>
  <c r="DY6" i="4"/>
  <c r="DZ6" i="4"/>
  <c r="EA6" i="4"/>
  <c r="EB6" i="4"/>
  <c r="EC6" i="4"/>
  <c r="EH6" i="4"/>
  <c r="EI6" i="4"/>
  <c r="EJ6" i="4"/>
  <c r="DX7" i="4"/>
  <c r="DY7" i="4"/>
  <c r="DZ7" i="4"/>
  <c r="EA7" i="4"/>
  <c r="EB7" i="4"/>
  <c r="EC7" i="4"/>
  <c r="EH7" i="4"/>
  <c r="EI7" i="4"/>
  <c r="EJ7" i="4"/>
  <c r="DX8" i="4"/>
  <c r="DY8" i="4"/>
  <c r="DZ8" i="4"/>
  <c r="EA8" i="4"/>
  <c r="EB8" i="4"/>
  <c r="EC8" i="4"/>
  <c r="EH8" i="4"/>
  <c r="EI8" i="4"/>
  <c r="EJ8" i="4"/>
  <c r="DX9" i="4"/>
  <c r="DY9" i="4"/>
  <c r="DZ9" i="4"/>
  <c r="EA9" i="4"/>
  <c r="EB9" i="4"/>
  <c r="EC9" i="4"/>
  <c r="EH9" i="4"/>
  <c r="EI9" i="4"/>
  <c r="EJ9" i="4"/>
  <c r="DX12" i="4"/>
  <c r="DY12" i="4"/>
  <c r="DZ12" i="4"/>
  <c r="EA12" i="4"/>
  <c r="EB12" i="4"/>
  <c r="EC12" i="4"/>
  <c r="EH12" i="4"/>
  <c r="EI12" i="4"/>
  <c r="EJ12" i="4"/>
  <c r="DX16" i="4"/>
  <c r="DY16" i="4"/>
  <c r="DZ16" i="4"/>
  <c r="EA16" i="4"/>
  <c r="EB16" i="4"/>
  <c r="EC16" i="4"/>
  <c r="EH16" i="4"/>
  <c r="EI16" i="4"/>
  <c r="EJ16" i="4"/>
  <c r="DX11" i="4"/>
  <c r="DY11" i="4"/>
  <c r="DZ11" i="4"/>
  <c r="EA11" i="4"/>
  <c r="EB11" i="4"/>
  <c r="EC11" i="4"/>
  <c r="EH11" i="4"/>
  <c r="EI11" i="4"/>
  <c r="EJ11" i="4"/>
  <c r="DX21" i="4"/>
  <c r="DY21" i="4"/>
  <c r="DZ21" i="4"/>
  <c r="EA21" i="4"/>
  <c r="EB21" i="4"/>
  <c r="EC21" i="4"/>
  <c r="EH21" i="4"/>
  <c r="EI21" i="4"/>
  <c r="EJ21" i="4"/>
  <c r="DX20" i="4"/>
  <c r="DY20" i="4"/>
  <c r="DZ20" i="4"/>
  <c r="EA20" i="4"/>
  <c r="EB20" i="4"/>
  <c r="EC20" i="4"/>
  <c r="EH20" i="4"/>
  <c r="EI20" i="4"/>
  <c r="EJ20" i="4"/>
  <c r="DX14" i="4"/>
  <c r="DY14" i="4"/>
  <c r="DZ14" i="4"/>
  <c r="EA14" i="4"/>
  <c r="EB14" i="4"/>
  <c r="EC14" i="4"/>
  <c r="EH14" i="4"/>
  <c r="EI14" i="4"/>
  <c r="EJ14" i="4"/>
  <c r="DX17" i="4"/>
  <c r="DY17" i="4"/>
  <c r="DZ17" i="4"/>
  <c r="EA17" i="4"/>
  <c r="EB17" i="4"/>
  <c r="EC17" i="4"/>
  <c r="EH17" i="4"/>
  <c r="EI17" i="4"/>
  <c r="EJ17" i="4"/>
  <c r="DX15" i="4"/>
  <c r="DY15" i="4"/>
  <c r="DZ15" i="4"/>
  <c r="EA15" i="4"/>
  <c r="EB15" i="4"/>
  <c r="EC15" i="4"/>
  <c r="EH15" i="4"/>
  <c r="EI15" i="4"/>
  <c r="EJ15" i="4"/>
  <c r="DX22" i="4"/>
  <c r="DY22" i="4"/>
  <c r="DZ22" i="4"/>
  <c r="EA22" i="4"/>
  <c r="EB22" i="4"/>
  <c r="EC22" i="4"/>
  <c r="EH22" i="4"/>
  <c r="EI22" i="4"/>
  <c r="EJ22" i="4"/>
  <c r="DX19" i="4"/>
  <c r="DY19" i="4"/>
  <c r="DZ19" i="4"/>
  <c r="EA19" i="4"/>
  <c r="EB19" i="4"/>
  <c r="EC19" i="4"/>
  <c r="EH19" i="4"/>
  <c r="EI19" i="4"/>
  <c r="EJ19" i="4"/>
  <c r="EJ10" i="4"/>
  <c r="EI10" i="4"/>
  <c r="EH10" i="4"/>
  <c r="EC10" i="4"/>
  <c r="EB10" i="4"/>
  <c r="DY10" i="4"/>
  <c r="DX10" i="4"/>
  <c r="CY10" i="4"/>
  <c r="CY5" i="4"/>
  <c r="CY6" i="4"/>
  <c r="CY7" i="4"/>
  <c r="CY8" i="4"/>
  <c r="CY9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9" i="4"/>
  <c r="CU12" i="4"/>
  <c r="CU16" i="4"/>
  <c r="CU11" i="4"/>
  <c r="CU21" i="4"/>
  <c r="CU20" i="4"/>
  <c r="CU14" i="4"/>
  <c r="CU17" i="4"/>
  <c r="CU15" i="4"/>
  <c r="CU22" i="4"/>
  <c r="CU19" i="4"/>
  <c r="CU10" i="4"/>
  <c r="CT10" i="4"/>
  <c r="CR4" i="4"/>
  <c r="CR5" i="4"/>
  <c r="CR6" i="4"/>
  <c r="CR7" i="4"/>
  <c r="CR8" i="4"/>
  <c r="CR9" i="4"/>
  <c r="CR12" i="4"/>
  <c r="CR16" i="4"/>
  <c r="CR11" i="4"/>
  <c r="CR21" i="4"/>
  <c r="CR20" i="4"/>
  <c r="CR14" i="4"/>
  <c r="CR17" i="4"/>
  <c r="CR15" i="4"/>
  <c r="CR22" i="4"/>
  <c r="CR19" i="4"/>
  <c r="CR10" i="4"/>
  <c r="CQ10" i="4"/>
  <c r="CQ4" i="4"/>
  <c r="CQ5" i="4"/>
  <c r="CQ6" i="4"/>
  <c r="CQ7" i="4"/>
  <c r="CQ8" i="4"/>
  <c r="CQ9" i="4"/>
  <c r="CQ12" i="4"/>
  <c r="CQ16" i="4"/>
  <c r="CQ11" i="4"/>
  <c r="CQ21" i="4"/>
  <c r="CQ20" i="4"/>
  <c r="CQ14" i="4"/>
  <c r="CQ17" i="4"/>
  <c r="CQ15" i="4"/>
  <c r="CQ22" i="4"/>
  <c r="CQ19" i="4"/>
  <c r="GT6" i="4" l="1"/>
  <c r="HA6" i="4" s="1"/>
  <c r="GT7" i="4"/>
  <c r="HA7" i="4" s="1"/>
  <c r="OP20" i="4"/>
  <c r="MG21" i="4"/>
  <c r="EA4" i="4"/>
  <c r="EG4" i="4"/>
  <c r="RF17" i="4"/>
  <c r="RM17" i="4" s="1"/>
  <c r="LZ15" i="4"/>
  <c r="MG15" i="4" s="1"/>
  <c r="OP15" i="4"/>
  <c r="OW15" i="4" s="1"/>
  <c r="RF15" i="4"/>
  <c r="RM15" i="4" s="1"/>
  <c r="LZ22" i="4"/>
  <c r="MG22" i="4" s="1"/>
  <c r="OP22" i="4"/>
  <c r="OW22" i="4" s="1"/>
  <c r="RF22" i="4"/>
  <c r="RM22" i="4" s="1"/>
  <c r="LZ19" i="4"/>
  <c r="MG19" i="4" s="1"/>
  <c r="OP19" i="4"/>
  <c r="OW19" i="4" s="1"/>
  <c r="RF19" i="4"/>
  <c r="RM19" i="4" s="1"/>
  <c r="JJ4" i="4"/>
  <c r="JQ4" i="4" s="1"/>
  <c r="JJ6" i="4"/>
  <c r="JQ6" i="4" s="1"/>
  <c r="JJ8" i="4"/>
  <c r="JQ8" i="4" s="1"/>
  <c r="NO15" i="4"/>
  <c r="SU15" i="4"/>
  <c r="GT8" i="4"/>
  <c r="HA8" i="4" s="1"/>
  <c r="GT9" i="4"/>
  <c r="HA9" i="4" s="1"/>
  <c r="NH21" i="4"/>
  <c r="NO21" i="4" s="1"/>
  <c r="SN21" i="4"/>
  <c r="SU21" i="4" s="1"/>
  <c r="OP9" i="4"/>
  <c r="OW9" i="4" s="1"/>
  <c r="LZ12" i="4"/>
  <c r="MG12" i="4" s="1"/>
  <c r="RF12" i="4"/>
  <c r="RM12" i="4" s="1"/>
  <c r="KR9" i="4"/>
  <c r="KY9" i="4" s="1"/>
  <c r="PX10" i="4"/>
  <c r="QE10" i="4" s="1"/>
  <c r="SN10" i="4"/>
  <c r="SU10" i="4" s="1"/>
  <c r="NH4" i="4"/>
  <c r="NO4" i="4" s="1"/>
  <c r="PX4" i="4"/>
  <c r="QE4" i="4" s="1"/>
  <c r="SN4" i="4"/>
  <c r="SU4" i="4" s="1"/>
  <c r="NH5" i="4"/>
  <c r="NO5" i="4" s="1"/>
  <c r="PX5" i="4"/>
  <c r="QE5" i="4" s="1"/>
  <c r="SN5" i="4"/>
  <c r="SU5" i="4" s="1"/>
  <c r="NH6" i="4"/>
  <c r="NO6" i="4" s="1"/>
  <c r="PX6" i="4"/>
  <c r="QE6" i="4" s="1"/>
  <c r="SN7" i="4"/>
  <c r="SU7" i="4" s="1"/>
  <c r="SN8" i="4"/>
  <c r="SU8" i="4" s="1"/>
  <c r="NH9" i="4"/>
  <c r="NO9" i="4" s="1"/>
  <c r="PX9" i="4"/>
  <c r="QE9" i="4" s="1"/>
  <c r="SN9" i="4"/>
  <c r="SU9" i="4" s="1"/>
  <c r="NH12" i="4"/>
  <c r="NO12" i="4" s="1"/>
  <c r="PX12" i="4"/>
  <c r="QE12" i="4" s="1"/>
  <c r="SN12" i="4"/>
  <c r="SU12" i="4" s="1"/>
  <c r="NH16" i="4"/>
  <c r="NO16" i="4" s="1"/>
  <c r="PX16" i="4"/>
  <c r="QE16" i="4" s="1"/>
  <c r="SN16" i="4"/>
  <c r="SU16" i="4" s="1"/>
  <c r="OW20" i="4"/>
  <c r="IB5" i="4"/>
  <c r="II5" i="4" s="1"/>
  <c r="IB14" i="4"/>
  <c r="II14" i="4" s="1"/>
  <c r="KR5" i="4"/>
  <c r="KY5" i="4" s="1"/>
  <c r="NH10" i="4"/>
  <c r="NO10" i="4" s="1"/>
  <c r="RF20" i="4"/>
  <c r="RM20" i="4" s="1"/>
  <c r="OP14" i="4"/>
  <c r="OW14" i="4" s="1"/>
  <c r="JJ17" i="4"/>
  <c r="JQ17" i="4" s="1"/>
  <c r="LZ10" i="4"/>
  <c r="MG10" i="4" s="1"/>
  <c r="OP10" i="4"/>
  <c r="OW10" i="4" s="1"/>
  <c r="RF10" i="4"/>
  <c r="RM10" i="4" s="1"/>
  <c r="LZ6" i="4"/>
  <c r="MG6" i="4" s="1"/>
  <c r="OP6" i="4"/>
  <c r="OW6" i="4" s="1"/>
  <c r="NH7" i="4"/>
  <c r="NO7" i="4" s="1"/>
  <c r="NH20" i="4"/>
  <c r="NO20" i="4" s="1"/>
  <c r="PX20" i="4"/>
  <c r="QE20" i="4" s="1"/>
  <c r="SN20" i="4"/>
  <c r="SU20" i="4" s="1"/>
  <c r="NH14" i="4"/>
  <c r="NO14" i="4" s="1"/>
  <c r="PX14" i="4"/>
  <c r="QE14" i="4" s="1"/>
  <c r="SN14" i="4"/>
  <c r="SU14" i="4" s="1"/>
  <c r="NH17" i="4"/>
  <c r="NO17" i="4" s="1"/>
  <c r="PX17" i="4"/>
  <c r="QE17" i="4" s="1"/>
  <c r="SN17" i="4"/>
  <c r="SU17" i="4" s="1"/>
  <c r="RF6" i="4"/>
  <c r="RM6" i="4" s="1"/>
  <c r="LZ7" i="4"/>
  <c r="MG7" i="4" s="1"/>
  <c r="OP7" i="4"/>
  <c r="OW7" i="4" s="1"/>
  <c r="RF7" i="4"/>
  <c r="RM7" i="4" s="1"/>
  <c r="PX8" i="4"/>
  <c r="QE8" i="4" s="1"/>
  <c r="OP8" i="4"/>
  <c r="OW8" i="4" s="1"/>
  <c r="LZ9" i="4"/>
  <c r="MG9" i="4" s="1"/>
  <c r="RF16" i="4"/>
  <c r="RM16" i="4" s="1"/>
  <c r="PX11" i="4"/>
  <c r="QE11" i="4" s="1"/>
  <c r="GT10" i="4"/>
  <c r="HA10" i="4" s="1"/>
  <c r="OW11" i="4"/>
  <c r="OP16" i="4"/>
  <c r="OW16" i="4" s="1"/>
  <c r="RM21" i="4"/>
  <c r="LZ11" i="4"/>
  <c r="MG11" i="4" s="1"/>
  <c r="FL10" i="4"/>
  <c r="FS10" i="4" s="1"/>
  <c r="FL5" i="4"/>
  <c r="FS5" i="4" s="1"/>
  <c r="FL9" i="4"/>
  <c r="FS9" i="4" s="1"/>
  <c r="IB10" i="4"/>
  <c r="II10" i="4" s="1"/>
  <c r="IB4" i="4"/>
  <c r="II4" i="4" s="1"/>
  <c r="GT19" i="4"/>
  <c r="HA19" i="4" s="1"/>
  <c r="JJ10" i="4"/>
  <c r="JQ10" i="4" s="1"/>
  <c r="LZ4" i="4"/>
  <c r="MG4" i="4" s="1"/>
  <c r="OP4" i="4"/>
  <c r="OW4" i="4" s="1"/>
  <c r="SN6" i="4"/>
  <c r="SU6" i="4" s="1"/>
  <c r="RF9" i="4"/>
  <c r="RM9" i="4" s="1"/>
  <c r="NH11" i="4"/>
  <c r="NO11" i="4" s="1"/>
  <c r="RF11" i="4"/>
  <c r="RM11" i="4" s="1"/>
  <c r="LZ14" i="4"/>
  <c r="MG14" i="4" s="1"/>
  <c r="PX15" i="4"/>
  <c r="QE15" i="4" s="1"/>
  <c r="IB9" i="4"/>
  <c r="II9" i="4" s="1"/>
  <c r="IB12" i="4"/>
  <c r="II12" i="4" s="1"/>
  <c r="IB16" i="4"/>
  <c r="II16" i="4" s="1"/>
  <c r="IB11" i="4"/>
  <c r="II11" i="4" s="1"/>
  <c r="IB21" i="4"/>
  <c r="II21" i="4" s="1"/>
  <c r="KR10" i="4"/>
  <c r="KY10" i="4" s="1"/>
  <c r="KR7" i="4"/>
  <c r="KY7" i="4" s="1"/>
  <c r="KR8" i="4"/>
  <c r="KY8" i="4" s="1"/>
  <c r="JJ16" i="4"/>
  <c r="JQ16" i="4" s="1"/>
  <c r="JJ21" i="4"/>
  <c r="JQ21" i="4" s="1"/>
  <c r="JJ14" i="4"/>
  <c r="JQ14" i="4" s="1"/>
  <c r="JJ19" i="4"/>
  <c r="JQ19" i="4" s="1"/>
  <c r="RF4" i="4"/>
  <c r="RM4" i="4" s="1"/>
  <c r="LZ5" i="4"/>
  <c r="MG5" i="4" s="1"/>
  <c r="PX7" i="4"/>
  <c r="QE7" i="4" s="1"/>
  <c r="LZ8" i="4"/>
  <c r="MG8" i="4" s="1"/>
  <c r="OP12" i="4"/>
  <c r="OW12" i="4" s="1"/>
  <c r="SN11" i="4"/>
  <c r="SU11" i="4" s="1"/>
  <c r="OP21" i="4"/>
  <c r="OW21" i="4" s="1"/>
  <c r="RF14" i="4"/>
  <c r="RM14" i="4" s="1"/>
  <c r="NH22" i="4"/>
  <c r="NO22" i="4" s="1"/>
  <c r="PX22" i="4"/>
  <c r="QE22" i="4" s="1"/>
  <c r="SN22" i="4"/>
  <c r="SU22" i="4" s="1"/>
  <c r="NH19" i="4"/>
  <c r="NO19" i="4" s="1"/>
  <c r="PX19" i="4"/>
  <c r="QE19" i="4" s="1"/>
  <c r="SN19" i="4"/>
  <c r="SU19" i="4" s="1"/>
  <c r="KR16" i="4"/>
  <c r="KY16" i="4" s="1"/>
  <c r="KR11" i="4"/>
  <c r="KY11" i="4" s="1"/>
  <c r="KR21" i="4"/>
  <c r="KY21" i="4" s="1"/>
  <c r="KR20" i="4"/>
  <c r="KY20" i="4" s="1"/>
  <c r="KR14" i="4"/>
  <c r="KY14" i="4" s="1"/>
  <c r="KR17" i="4"/>
  <c r="KY17" i="4" s="1"/>
  <c r="KR15" i="4"/>
  <c r="KY15" i="4" s="1"/>
  <c r="KR19" i="4"/>
  <c r="KY19" i="4" s="1"/>
  <c r="OP5" i="4"/>
  <c r="OW5" i="4" s="1"/>
  <c r="RF5" i="4"/>
  <c r="RM5" i="4" s="1"/>
  <c r="NH8" i="4"/>
  <c r="NO8" i="4" s="1"/>
  <c r="RF8" i="4"/>
  <c r="RM8" i="4" s="1"/>
  <c r="LZ16" i="4"/>
  <c r="MG16" i="4" s="1"/>
  <c r="PX21" i="4"/>
  <c r="QE21" i="4" s="1"/>
  <c r="LZ20" i="4"/>
  <c r="MG20" i="4" s="1"/>
  <c r="LZ17" i="4"/>
  <c r="MG17" i="4" s="1"/>
  <c r="OP17" i="4"/>
  <c r="OW17" i="4" s="1"/>
  <c r="IB15" i="4"/>
  <c r="II15" i="4" s="1"/>
  <c r="IB22" i="4"/>
  <c r="II22" i="4" s="1"/>
  <c r="IB19" i="4"/>
  <c r="II19" i="4" s="1"/>
  <c r="JJ5" i="4"/>
  <c r="JQ5" i="4" s="1"/>
  <c r="JJ12" i="4"/>
  <c r="JQ12" i="4" s="1"/>
  <c r="KR22" i="4"/>
  <c r="KY22" i="4" s="1"/>
  <c r="KR4" i="4"/>
  <c r="KY4" i="4" s="1"/>
  <c r="JJ7" i="4"/>
  <c r="JQ7" i="4" s="1"/>
  <c r="JJ11" i="4"/>
  <c r="JQ11" i="4" s="1"/>
  <c r="IB7" i="4"/>
  <c r="II7" i="4" s="1"/>
  <c r="KR6" i="4"/>
  <c r="KY6" i="4" s="1"/>
  <c r="JJ9" i="4"/>
  <c r="JQ9" i="4" s="1"/>
  <c r="JJ20" i="4"/>
  <c r="JQ20" i="4" s="1"/>
  <c r="GT20" i="4"/>
  <c r="HA20" i="4" s="1"/>
  <c r="GT14" i="4"/>
  <c r="HA14" i="4" s="1"/>
  <c r="GT17" i="4"/>
  <c r="HA17" i="4" s="1"/>
  <c r="GT15" i="4"/>
  <c r="HA15" i="4" s="1"/>
  <c r="KR12" i="4"/>
  <c r="KY12" i="4" s="1"/>
  <c r="JJ22" i="4"/>
  <c r="JQ22" i="4" s="1"/>
  <c r="FL16" i="4"/>
  <c r="FS16" i="4" s="1"/>
  <c r="FL21" i="4"/>
  <c r="FS21" i="4" s="1"/>
  <c r="FL14" i="4"/>
  <c r="FS14" i="4" s="1"/>
  <c r="FL15" i="4"/>
  <c r="FS15" i="4" s="1"/>
  <c r="FL19" i="4"/>
  <c r="FS19" i="4" s="1"/>
  <c r="GT5" i="4"/>
  <c r="HA5" i="4" s="1"/>
  <c r="GT16" i="4"/>
  <c r="HA16" i="4" s="1"/>
  <c r="GT21" i="4"/>
  <c r="HA21" i="4" s="1"/>
  <c r="JJ15" i="4"/>
  <c r="JQ15" i="4" s="1"/>
  <c r="FL6" i="4"/>
  <c r="FS6" i="4" s="1"/>
  <c r="FL8" i="4"/>
  <c r="FS8" i="4" s="1"/>
  <c r="FL12" i="4"/>
  <c r="FS12" i="4" s="1"/>
  <c r="IB6" i="4"/>
  <c r="II6" i="4" s="1"/>
  <c r="GT12" i="4"/>
  <c r="HA12" i="4" s="1"/>
  <c r="IB20" i="4"/>
  <c r="II20" i="4" s="1"/>
  <c r="GT22" i="4"/>
  <c r="HA22" i="4" s="1"/>
  <c r="GT4" i="4"/>
  <c r="HA4" i="4" s="1"/>
  <c r="IB8" i="4"/>
  <c r="II8" i="4" s="1"/>
  <c r="GT11" i="4"/>
  <c r="HA11" i="4" s="1"/>
  <c r="IB17" i="4"/>
  <c r="II17" i="4" s="1"/>
  <c r="FL11" i="4"/>
  <c r="FS11" i="4" s="1"/>
  <c r="FL20" i="4"/>
  <c r="FS20" i="4" s="1"/>
  <c r="FL17" i="4"/>
  <c r="FS17" i="4" s="1"/>
  <c r="FL22" i="4"/>
  <c r="FS22" i="4" s="1"/>
  <c r="FL7" i="4"/>
  <c r="FS7" i="4" s="1"/>
  <c r="FL4" i="4"/>
  <c r="FS4" i="4" s="1"/>
  <c r="ED6" i="4"/>
  <c r="ED9" i="4"/>
  <c r="ED21" i="4"/>
  <c r="ED11" i="4"/>
  <c r="ED19" i="4"/>
  <c r="ED14" i="4"/>
  <c r="ED22" i="4"/>
  <c r="ED7" i="4"/>
  <c r="ED15" i="4"/>
  <c r="ED10" i="4"/>
  <c r="ED20" i="4"/>
  <c r="ED16" i="4"/>
  <c r="ED17" i="4"/>
  <c r="ED12" i="4"/>
  <c r="ED5" i="4"/>
  <c r="ED8" i="4"/>
  <c r="CP7" i="8"/>
  <c r="CQ7" i="8"/>
  <c r="CS7" i="8"/>
  <c r="CT7" i="8"/>
  <c r="DR7" i="8"/>
  <c r="DS7" i="8"/>
  <c r="DU7" i="8"/>
  <c r="DV7" i="8"/>
  <c r="ER7" i="8"/>
  <c r="ES7" i="8"/>
  <c r="EU7" i="8"/>
  <c r="EV7" i="8"/>
  <c r="FR7" i="8"/>
  <c r="FS7" i="8"/>
  <c r="FU7" i="8"/>
  <c r="FV7" i="8"/>
  <c r="GR7" i="8"/>
  <c r="GS7" i="8"/>
  <c r="GU7" i="8"/>
  <c r="GV7" i="8"/>
  <c r="HR7" i="8"/>
  <c r="HS7" i="8"/>
  <c r="HU7" i="8"/>
  <c r="HV7" i="8"/>
  <c r="IR7" i="8"/>
  <c r="IS7" i="8"/>
  <c r="IU7" i="8"/>
  <c r="IV7" i="8"/>
  <c r="JR7" i="8"/>
  <c r="JS7" i="8"/>
  <c r="JU7" i="8"/>
  <c r="JV7" i="8"/>
  <c r="KR7" i="8"/>
  <c r="KS7" i="8"/>
  <c r="KU7" i="8"/>
  <c r="KV7" i="8"/>
  <c r="LR7" i="8"/>
  <c r="LS7" i="8"/>
  <c r="LU7" i="8"/>
  <c r="LV7" i="8"/>
  <c r="MR7" i="8"/>
  <c r="MS7" i="8"/>
  <c r="MU7" i="8"/>
  <c r="MV7" i="8"/>
  <c r="NR7" i="8"/>
  <c r="NS7" i="8"/>
  <c r="NU7" i="8"/>
  <c r="NV7" i="8"/>
  <c r="OR7" i="8"/>
  <c r="OS7" i="8"/>
  <c r="OU7" i="8"/>
  <c r="OV7" i="8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G7" i="8" l="1"/>
  <c r="I7" i="8"/>
  <c r="F7" i="8"/>
  <c r="J7" i="8"/>
  <c r="L7" i="8"/>
  <c r="CV7" i="8" s="1"/>
  <c r="N7" i="8"/>
  <c r="EK10" i="4"/>
  <c r="EK9" i="4"/>
  <c r="EK6" i="4"/>
  <c r="EK15" i="4"/>
  <c r="EK12" i="4"/>
  <c r="EK14" i="4"/>
  <c r="EK5" i="4"/>
  <c r="EK22" i="4"/>
  <c r="EK16" i="4"/>
  <c r="EK19" i="4"/>
  <c r="EK8" i="4"/>
  <c r="EK7" i="4"/>
  <c r="EK17" i="4"/>
  <c r="EK11" i="4"/>
  <c r="EK20" i="4"/>
  <c r="EK21" i="4"/>
  <c r="NW7" i="8"/>
  <c r="JW7" i="8"/>
  <c r="DW7" i="8"/>
  <c r="LW7" i="8"/>
  <c r="GW7" i="8"/>
  <c r="KW7" i="8"/>
  <c r="EW7" i="8"/>
  <c r="MW7" i="8"/>
  <c r="IW7" i="8"/>
  <c r="CU7" i="8"/>
  <c r="PV7" i="8"/>
  <c r="PS7" i="8"/>
  <c r="OW7" i="8"/>
  <c r="HW7" i="8"/>
  <c r="FW7" i="8"/>
  <c r="PW7" i="8"/>
  <c r="PT7" i="8"/>
  <c r="O7" i="8" l="1"/>
  <c r="CW7" i="8"/>
  <c r="M7" i="8"/>
  <c r="PX7" i="8"/>
  <c r="K7" i="8"/>
  <c r="P7" i="8" l="1"/>
  <c r="E7" i="8" s="1"/>
  <c r="R7" i="8" l="1"/>
  <c r="Q7" i="8"/>
  <c r="CS19" i="4"/>
  <c r="CT19" i="4"/>
  <c r="CV19" i="4"/>
  <c r="CX19" i="4"/>
  <c r="CZ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T19" i="4" l="1"/>
  <c r="U19" i="4" s="1"/>
  <c r="R19" i="4"/>
  <c r="S19" i="4" s="1"/>
  <c r="N19" i="4"/>
  <c r="O19" i="4" s="1"/>
  <c r="L19" i="4"/>
  <c r="DB19" i="4" s="1"/>
  <c r="J19" i="4"/>
  <c r="TU19" i="4"/>
  <c r="G19" i="4"/>
  <c r="I19" i="4"/>
  <c r="F19" i="4"/>
  <c r="TQ19" i="4"/>
  <c r="TN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8"/>
  <c r="CS6" i="8"/>
  <c r="NV6" i="8"/>
  <c r="NU6" i="8"/>
  <c r="NS6" i="8"/>
  <c r="NR6" i="8"/>
  <c r="NV5" i="8"/>
  <c r="NU5" i="8"/>
  <c r="NS5" i="8"/>
  <c r="NR5" i="8"/>
  <c r="NV4" i="8"/>
  <c r="NU4" i="8"/>
  <c r="NS4" i="8"/>
  <c r="NR4" i="8"/>
  <c r="MV6" i="8"/>
  <c r="MU6" i="8"/>
  <c r="MS6" i="8"/>
  <c r="MR6" i="8"/>
  <c r="MV5" i="8"/>
  <c r="MU5" i="8"/>
  <c r="MS5" i="8"/>
  <c r="MR5" i="8"/>
  <c r="MV4" i="8"/>
  <c r="MU4" i="8"/>
  <c r="MS4" i="8"/>
  <c r="MR4" i="8"/>
  <c r="LV6" i="8"/>
  <c r="LU6" i="8"/>
  <c r="LS6" i="8"/>
  <c r="LR6" i="8"/>
  <c r="LV5" i="8"/>
  <c r="LU5" i="8"/>
  <c r="LS5" i="8"/>
  <c r="LR5" i="8"/>
  <c r="LV4" i="8"/>
  <c r="LU4" i="8"/>
  <c r="LS4" i="8"/>
  <c r="LR4" i="8"/>
  <c r="KV6" i="8"/>
  <c r="KU6" i="8"/>
  <c r="KS6" i="8"/>
  <c r="KR6" i="8"/>
  <c r="KV5" i="8"/>
  <c r="KU5" i="8"/>
  <c r="KS5" i="8"/>
  <c r="KR5" i="8"/>
  <c r="KV4" i="8"/>
  <c r="KU4" i="8"/>
  <c r="KS4" i="8"/>
  <c r="KR4" i="8"/>
  <c r="JV6" i="8"/>
  <c r="JU6" i="8"/>
  <c r="JS6" i="8"/>
  <c r="JR6" i="8"/>
  <c r="JV5" i="8"/>
  <c r="JU5" i="8"/>
  <c r="JS5" i="8"/>
  <c r="JR5" i="8"/>
  <c r="JV4" i="8"/>
  <c r="JU4" i="8"/>
  <c r="JS4" i="8"/>
  <c r="JR4" i="8"/>
  <c r="IV6" i="8"/>
  <c r="IU6" i="8"/>
  <c r="IS6" i="8"/>
  <c r="IR6" i="8"/>
  <c r="IV5" i="8"/>
  <c r="IU5" i="8"/>
  <c r="IS5" i="8"/>
  <c r="IR5" i="8"/>
  <c r="IV4" i="8"/>
  <c r="IU4" i="8"/>
  <c r="IS4" i="8"/>
  <c r="IR4" i="8"/>
  <c r="HV6" i="8"/>
  <c r="HU6" i="8"/>
  <c r="HS6" i="8"/>
  <c r="HR6" i="8"/>
  <c r="HV5" i="8"/>
  <c r="HU5" i="8"/>
  <c r="HS5" i="8"/>
  <c r="HR5" i="8"/>
  <c r="HV4" i="8"/>
  <c r="HU4" i="8"/>
  <c r="HS4" i="8"/>
  <c r="HR4" i="8"/>
  <c r="GV6" i="8"/>
  <c r="GU6" i="8"/>
  <c r="GS6" i="8"/>
  <c r="GR6" i="8"/>
  <c r="GV5" i="8"/>
  <c r="GU5" i="8"/>
  <c r="GS5" i="8"/>
  <c r="GR5" i="8"/>
  <c r="GV4" i="8"/>
  <c r="GU4" i="8"/>
  <c r="GS4" i="8"/>
  <c r="GR4" i="8"/>
  <c r="FV6" i="8"/>
  <c r="FU6" i="8"/>
  <c r="FS6" i="8"/>
  <c r="FR6" i="8"/>
  <c r="FV5" i="8"/>
  <c r="FU5" i="8"/>
  <c r="FS5" i="8"/>
  <c r="FR5" i="8"/>
  <c r="FV4" i="8"/>
  <c r="FU4" i="8"/>
  <c r="FS4" i="8"/>
  <c r="FR4" i="8"/>
  <c r="EV6" i="8"/>
  <c r="EU6" i="8"/>
  <c r="ES6" i="8"/>
  <c r="ER6" i="8"/>
  <c r="EV5" i="8"/>
  <c r="EU5" i="8"/>
  <c r="ES5" i="8"/>
  <c r="ER5" i="8"/>
  <c r="EV4" i="8"/>
  <c r="EU4" i="8"/>
  <c r="ES4" i="8"/>
  <c r="ER4" i="8"/>
  <c r="DV6" i="8"/>
  <c r="DU6" i="8"/>
  <c r="DS6" i="8"/>
  <c r="DR6" i="8"/>
  <c r="DV5" i="8"/>
  <c r="DU5" i="8"/>
  <c r="DS5" i="8"/>
  <c r="DR5" i="8"/>
  <c r="DV4" i="8"/>
  <c r="DU4" i="8"/>
  <c r="DS4" i="8"/>
  <c r="DR4" i="8"/>
  <c r="CP5" i="8"/>
  <c r="CQ5" i="8"/>
  <c r="L5" i="8" s="1"/>
  <c r="CV5" i="8" s="1"/>
  <c r="CT5" i="8"/>
  <c r="N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R17" i="4" l="1"/>
  <c r="S17" i="4" s="1"/>
  <c r="T17" i="4"/>
  <c r="U17" i="4" s="1"/>
  <c r="V19" i="4"/>
  <c r="R16" i="4"/>
  <c r="S16" i="4" s="1"/>
  <c r="T16" i="4"/>
  <c r="U16" i="4" s="1"/>
  <c r="T15" i="4"/>
  <c r="U15" i="4" s="1"/>
  <c r="R15" i="4"/>
  <c r="S15" i="4" s="1"/>
  <c r="R9" i="4"/>
  <c r="S9" i="4" s="1"/>
  <c r="T9" i="4"/>
  <c r="U9" i="4" s="1"/>
  <c r="O5" i="8"/>
  <c r="CW5" i="8"/>
  <c r="N15" i="4"/>
  <c r="O15" i="4" s="1"/>
  <c r="N9" i="4"/>
  <c r="O9" i="4" s="1"/>
  <c r="N17" i="4"/>
  <c r="O17" i="4" s="1"/>
  <c r="N16" i="4"/>
  <c r="O16" i="4" s="1"/>
  <c r="K19" i="4"/>
  <c r="L9" i="4"/>
  <c r="DB9" i="4" s="1"/>
  <c r="V9" i="4" s="1"/>
  <c r="I5" i="8"/>
  <c r="G5" i="8"/>
  <c r="F5" i="8"/>
  <c r="G17" i="4"/>
  <c r="G16" i="4"/>
  <c r="M5" i="8"/>
  <c r="J5" i="8"/>
  <c r="J17" i="4"/>
  <c r="I9" i="4"/>
  <c r="F15" i="4"/>
  <c r="J9" i="4"/>
  <c r="L16" i="4"/>
  <c r="DB16" i="4" s="1"/>
  <c r="V16" i="4" s="1"/>
  <c r="J16" i="4"/>
  <c r="I17" i="4"/>
  <c r="L15" i="4"/>
  <c r="DB15" i="4" s="1"/>
  <c r="V15" i="4" s="1"/>
  <c r="L17" i="4"/>
  <c r="DB17" i="4" s="1"/>
  <c r="V17" i="4" s="1"/>
  <c r="J15" i="4"/>
  <c r="F9" i="4"/>
  <c r="G15" i="4"/>
  <c r="F16" i="4"/>
  <c r="TR19" i="4"/>
  <c r="TV19" i="4" s="1"/>
  <c r="I16" i="4"/>
  <c r="G9" i="4"/>
  <c r="I15" i="4"/>
  <c r="F17" i="4"/>
  <c r="TU9" i="4"/>
  <c r="TN16" i="4"/>
  <c r="TN9" i="4"/>
  <c r="H19" i="4"/>
  <c r="Q15" i="4"/>
  <c r="Q17" i="4"/>
  <c r="TU16" i="4"/>
  <c r="TQ15" i="4"/>
  <c r="TQ17" i="4"/>
  <c r="Q16" i="4"/>
  <c r="Q9" i="4"/>
  <c r="M19" i="4"/>
  <c r="TU15" i="4"/>
  <c r="TU17" i="4"/>
  <c r="TQ16" i="4"/>
  <c r="TQ9" i="4"/>
  <c r="TN15" i="4"/>
  <c r="TN17" i="4"/>
  <c r="Q19" i="4"/>
  <c r="CW9" i="4"/>
  <c r="DA9" i="4" s="1"/>
  <c r="CW15" i="4"/>
  <c r="DA15" i="4" s="1"/>
  <c r="CW16" i="4"/>
  <c r="DA16" i="4" s="1"/>
  <c r="K17" i="4"/>
  <c r="CW17" i="4"/>
  <c r="DA17" i="4" s="1"/>
  <c r="K16" i="4"/>
  <c r="EW6" i="8"/>
  <c r="LW6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6" i="8"/>
  <c r="KW5" i="8"/>
  <c r="KW6" i="8"/>
  <c r="DW5" i="8"/>
  <c r="DW6" i="8"/>
  <c r="JW5" i="8"/>
  <c r="JW6" i="8"/>
  <c r="NW5" i="8"/>
  <c r="NW6" i="8"/>
  <c r="GW6" i="8"/>
  <c r="HW5" i="8"/>
  <c r="HW6" i="8"/>
  <c r="IW5" i="8"/>
  <c r="IW6" i="8"/>
  <c r="MW6" i="8"/>
  <c r="OW5" i="8"/>
  <c r="PV5" i="8"/>
  <c r="PS5" i="8"/>
  <c r="CU5" i="8"/>
  <c r="PT5" i="8"/>
  <c r="PW5" i="8"/>
  <c r="X16" i="4" l="1"/>
  <c r="W16" i="4"/>
  <c r="X19" i="4"/>
  <c r="W19" i="4"/>
  <c r="X17" i="4"/>
  <c r="W17" i="4"/>
  <c r="X9" i="4"/>
  <c r="W9" i="4"/>
  <c r="W15" i="4"/>
  <c r="X15" i="4"/>
  <c r="H16" i="4"/>
  <c r="H17" i="4"/>
  <c r="TR17" i="4"/>
  <c r="TV17" i="4" s="1"/>
  <c r="K9" i="4"/>
  <c r="K15" i="4"/>
  <c r="H15" i="4"/>
  <c r="H9" i="4"/>
  <c r="TR16" i="4"/>
  <c r="TV16" i="4" s="1"/>
  <c r="TR15" i="4"/>
  <c r="TV15" i="4" s="1"/>
  <c r="TR9" i="4"/>
  <c r="TV9" i="4" s="1"/>
  <c r="M15" i="4"/>
  <c r="M17" i="4"/>
  <c r="M9" i="4"/>
  <c r="M16" i="4"/>
  <c r="PX5" i="8"/>
  <c r="P5" i="8"/>
  <c r="K5" i="8"/>
  <c r="E5" i="8" l="1"/>
  <c r="R5" i="8"/>
  <c r="Q5" i="8"/>
  <c r="E15" i="4" l="1"/>
  <c r="E19" i="4"/>
  <c r="E17" i="4"/>
  <c r="E16" i="4" l="1"/>
  <c r="E9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10" i="4"/>
  <c r="CS10" i="4"/>
  <c r="OU6" i="8"/>
  <c r="OU4" i="8"/>
  <c r="CS4" i="8"/>
  <c r="T5" i="4" l="1"/>
  <c r="U5" i="4" s="1"/>
  <c r="R5" i="4"/>
  <c r="S5" i="4" s="1"/>
  <c r="T12" i="4"/>
  <c r="U12" i="4" s="1"/>
  <c r="R12" i="4"/>
  <c r="S12" i="4" s="1"/>
  <c r="R8" i="4"/>
  <c r="S8" i="4" s="1"/>
  <c r="T8" i="4"/>
  <c r="U8" i="4" s="1"/>
  <c r="T14" i="4"/>
  <c r="U14" i="4" s="1"/>
  <c r="R14" i="4"/>
  <c r="S14" i="4" s="1"/>
  <c r="T20" i="4"/>
  <c r="U20" i="4" s="1"/>
  <c r="R20" i="4"/>
  <c r="S20" i="4" s="1"/>
  <c r="T22" i="4"/>
  <c r="U22" i="4" s="1"/>
  <c r="R22" i="4"/>
  <c r="S22" i="4" s="1"/>
  <c r="T11" i="4"/>
  <c r="U11" i="4" s="1"/>
  <c r="R11" i="4"/>
  <c r="S11" i="4" s="1"/>
  <c r="T6" i="4"/>
  <c r="U6" i="4" s="1"/>
  <c r="R6" i="4"/>
  <c r="S6" i="4" s="1"/>
  <c r="T21" i="4"/>
  <c r="U21" i="4" s="1"/>
  <c r="R21" i="4"/>
  <c r="S21" i="4" s="1"/>
  <c r="T7" i="4"/>
  <c r="U7" i="4" s="1"/>
  <c r="R7" i="4"/>
  <c r="S7" i="4" s="1"/>
  <c r="N12" i="4"/>
  <c r="O12" i="4" s="1"/>
  <c r="N14" i="4"/>
  <c r="O14" i="4" s="1"/>
  <c r="N5" i="4"/>
  <c r="O5" i="4" s="1"/>
  <c r="N20" i="4"/>
  <c r="O20" i="4" s="1"/>
  <c r="N22" i="4"/>
  <c r="O22" i="4" s="1"/>
  <c r="N11" i="4"/>
  <c r="O11" i="4" s="1"/>
  <c r="N10" i="4"/>
  <c r="O10" i="4" s="1"/>
  <c r="N21" i="4"/>
  <c r="O21" i="4" s="1"/>
  <c r="N6" i="4"/>
  <c r="O6" i="4" s="1"/>
  <c r="N7" i="4"/>
  <c r="O7" i="4" s="1"/>
  <c r="L4" i="4"/>
  <c r="M4" i="4" s="1"/>
  <c r="N4" i="4"/>
  <c r="O4" i="4" s="1"/>
  <c r="N8" i="4"/>
  <c r="O8" i="4" s="1"/>
  <c r="J20" i="4"/>
  <c r="K20" i="4" s="1"/>
  <c r="L20" i="4"/>
  <c r="DB20" i="4" s="1"/>
  <c r="V20" i="4" s="1"/>
  <c r="L11" i="4"/>
  <c r="DB11" i="4" s="1"/>
  <c r="V11" i="4" s="1"/>
  <c r="J11" i="4"/>
  <c r="K11" i="4" s="1"/>
  <c r="L10" i="4"/>
  <c r="DB10" i="4" s="1"/>
  <c r="J10" i="4"/>
  <c r="L21" i="4"/>
  <c r="DB21" i="4" s="1"/>
  <c r="V21" i="4" s="1"/>
  <c r="J21" i="4"/>
  <c r="L6" i="4"/>
  <c r="DB6" i="4" s="1"/>
  <c r="V6" i="4" s="1"/>
  <c r="J6" i="4"/>
  <c r="J7" i="4"/>
  <c r="K7" i="4" s="1"/>
  <c r="L7" i="4"/>
  <c r="DB7" i="4" s="1"/>
  <c r="V7" i="4" s="1"/>
  <c r="L5" i="4"/>
  <c r="DB5" i="4" s="1"/>
  <c r="V5" i="4" s="1"/>
  <c r="J5" i="4"/>
  <c r="K5" i="4" s="1"/>
  <c r="L22" i="4"/>
  <c r="DB22" i="4" s="1"/>
  <c r="V22" i="4" s="1"/>
  <c r="J22" i="4"/>
  <c r="K22" i="4" s="1"/>
  <c r="L8" i="4"/>
  <c r="DB8" i="4" s="1"/>
  <c r="V8" i="4" s="1"/>
  <c r="J8" i="4"/>
  <c r="J14" i="4"/>
  <c r="K14" i="4" s="1"/>
  <c r="L14" i="4"/>
  <c r="DB14" i="4" s="1"/>
  <c r="V14" i="4" s="1"/>
  <c r="J12" i="4"/>
  <c r="K12" i="4" s="1"/>
  <c r="L12" i="4"/>
  <c r="DB12" i="4" s="1"/>
  <c r="V12" i="4" s="1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20" i="4"/>
  <c r="G20" i="4"/>
  <c r="F20" i="4"/>
  <c r="G22" i="4"/>
  <c r="I22" i="4"/>
  <c r="F22" i="4"/>
  <c r="F11" i="4"/>
  <c r="G11" i="4"/>
  <c r="I11" i="4"/>
  <c r="TU22" i="4"/>
  <c r="TQ12" i="4"/>
  <c r="TU4" i="4"/>
  <c r="TQ7" i="4"/>
  <c r="Q8" i="4"/>
  <c r="TU20" i="4"/>
  <c r="TQ14" i="4"/>
  <c r="TU8" i="4"/>
  <c r="TQ5" i="4"/>
  <c r="TN11" i="4"/>
  <c r="Q11" i="4"/>
  <c r="Q20" i="4"/>
  <c r="TU12" i="4"/>
  <c r="TQ6" i="4"/>
  <c r="TQ21" i="4"/>
  <c r="TU5" i="4"/>
  <c r="TQ11" i="4"/>
  <c r="Q21" i="4"/>
  <c r="TQ10" i="4"/>
  <c r="TU7" i="4"/>
  <c r="Q4" i="4"/>
  <c r="TU14" i="4"/>
  <c r="Q5" i="4"/>
  <c r="TQ20" i="4"/>
  <c r="TU6" i="4"/>
  <c r="TQ8" i="4"/>
  <c r="Q22" i="4"/>
  <c r="Q6" i="4"/>
  <c r="Q7" i="4"/>
  <c r="TQ22" i="4"/>
  <c r="Q14" i="4"/>
  <c r="Q12" i="4"/>
  <c r="TU10" i="4"/>
  <c r="TU21" i="4"/>
  <c r="TQ4" i="4"/>
  <c r="TU11" i="4"/>
  <c r="CW21" i="4"/>
  <c r="DA21" i="4" s="1"/>
  <c r="K21" i="4"/>
  <c r="CW11" i="4"/>
  <c r="DA11" i="4" s="1"/>
  <c r="CW6" i="4"/>
  <c r="DA6" i="4" s="1"/>
  <c r="CW5" i="4"/>
  <c r="DA5" i="4" s="1"/>
  <c r="CW22" i="4"/>
  <c r="DA22" i="4" s="1"/>
  <c r="CW10" i="4"/>
  <c r="CW4" i="4"/>
  <c r="DA4" i="4" s="1"/>
  <c r="CW7" i="4"/>
  <c r="DA7" i="4" s="1"/>
  <c r="CW14" i="4"/>
  <c r="DA14" i="4" s="1"/>
  <c r="CW12" i="4"/>
  <c r="DA12" i="4" s="1"/>
  <c r="CW20" i="4"/>
  <c r="DA20" i="4" s="1"/>
  <c r="CW8" i="4"/>
  <c r="DA8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V10" i="4"/>
  <c r="CT6" i="8"/>
  <c r="N6" i="8" s="1"/>
  <c r="CQ6" i="8"/>
  <c r="CP6" i="8"/>
  <c r="CT4" i="8"/>
  <c r="N4" i="8" s="1"/>
  <c r="CQ4" i="8"/>
  <c r="CP4" i="8"/>
  <c r="SW10" i="4"/>
  <c r="SX10" i="4"/>
  <c r="TL10" i="4" s="1"/>
  <c r="SY10" i="4"/>
  <c r="TM10" i="4" s="1"/>
  <c r="SZ10" i="4"/>
  <c r="SW5" i="4"/>
  <c r="SX5" i="4"/>
  <c r="TL5" i="4" s="1"/>
  <c r="SY5" i="4"/>
  <c r="TM5" i="4" s="1"/>
  <c r="SW8" i="4"/>
  <c r="SX8" i="4"/>
  <c r="TL8" i="4" s="1"/>
  <c r="SY8" i="4"/>
  <c r="TM8" i="4" s="1"/>
  <c r="SW6" i="4"/>
  <c r="SX6" i="4"/>
  <c r="TL6" i="4" s="1"/>
  <c r="SY6" i="4"/>
  <c r="TM6" i="4" s="1"/>
  <c r="SW12" i="4"/>
  <c r="SX12" i="4"/>
  <c r="TL12" i="4" s="1"/>
  <c r="SY12" i="4"/>
  <c r="TM12" i="4" s="1"/>
  <c r="SW22" i="4"/>
  <c r="SX22" i="4"/>
  <c r="TL22" i="4" s="1"/>
  <c r="SY22" i="4"/>
  <c r="TM22" i="4" s="1"/>
  <c r="SW7" i="4"/>
  <c r="SX7" i="4"/>
  <c r="TL7" i="4" s="1"/>
  <c r="SY7" i="4"/>
  <c r="TM7" i="4" s="1"/>
  <c r="SW4" i="4"/>
  <c r="SX4" i="4"/>
  <c r="TL4" i="4" s="1"/>
  <c r="SY4" i="4"/>
  <c r="TM4" i="4" s="1"/>
  <c r="SW21" i="4"/>
  <c r="SX21" i="4"/>
  <c r="TL21" i="4" s="1"/>
  <c r="SY21" i="4"/>
  <c r="TM21" i="4" s="1"/>
  <c r="SW14" i="4"/>
  <c r="SX14" i="4"/>
  <c r="TL14" i="4" s="1"/>
  <c r="SY14" i="4"/>
  <c r="TM14" i="4" s="1"/>
  <c r="SW20" i="4"/>
  <c r="SX20" i="4"/>
  <c r="TL20" i="4" s="1"/>
  <c r="SY20" i="4"/>
  <c r="TM20" i="4" s="1"/>
  <c r="SV5" i="4"/>
  <c r="SV8" i="4"/>
  <c r="SV6" i="4"/>
  <c r="SV12" i="4"/>
  <c r="SV22" i="4"/>
  <c r="SV7" i="4"/>
  <c r="SV4" i="4"/>
  <c r="SV21" i="4"/>
  <c r="SV14" i="4"/>
  <c r="SV20" i="4"/>
  <c r="X5" i="4" l="1"/>
  <c r="W5" i="4"/>
  <c r="X14" i="4"/>
  <c r="W14" i="4"/>
  <c r="X7" i="4"/>
  <c r="W7" i="4"/>
  <c r="X11" i="4"/>
  <c r="W11" i="4"/>
  <c r="X20" i="4"/>
  <c r="W20" i="4"/>
  <c r="X8" i="4"/>
  <c r="W8" i="4"/>
  <c r="X6" i="4"/>
  <c r="W6" i="4"/>
  <c r="X22" i="4"/>
  <c r="W22" i="4"/>
  <c r="W21" i="4"/>
  <c r="X21" i="4"/>
  <c r="W12" i="4"/>
  <c r="X12" i="4"/>
  <c r="O4" i="8"/>
  <c r="O6" i="8"/>
  <c r="K8" i="4"/>
  <c r="K6" i="4"/>
  <c r="PT4" i="8"/>
  <c r="L4" i="8"/>
  <c r="CV4" i="8" s="1"/>
  <c r="J4" i="8"/>
  <c r="J6" i="8"/>
  <c r="L6" i="8"/>
  <c r="CV6" i="8" s="1"/>
  <c r="H14" i="4"/>
  <c r="H22" i="4"/>
  <c r="H12" i="4"/>
  <c r="H8" i="4"/>
  <c r="H6" i="4"/>
  <c r="H7" i="4"/>
  <c r="H20" i="4"/>
  <c r="H5" i="4"/>
  <c r="H21" i="4"/>
  <c r="TN6" i="4"/>
  <c r="TR6" i="4" s="1"/>
  <c r="TV6" i="4" s="1"/>
  <c r="H11" i="4"/>
  <c r="TN7" i="4"/>
  <c r="TR7" i="4" s="1"/>
  <c r="TV7" i="4" s="1"/>
  <c r="M20" i="4"/>
  <c r="M10" i="4"/>
  <c r="M6" i="4"/>
  <c r="TN22" i="4"/>
  <c r="TR22" i="4" s="1"/>
  <c r="TV22" i="4" s="1"/>
  <c r="M22" i="4"/>
  <c r="TN12" i="4"/>
  <c r="TR12" i="4" s="1"/>
  <c r="TV12" i="4" s="1"/>
  <c r="M12" i="4"/>
  <c r="M11" i="4"/>
  <c r="TN4" i="4"/>
  <c r="TR4" i="4" s="1"/>
  <c r="TV4" i="4" s="1"/>
  <c r="M7" i="4"/>
  <c r="TN20" i="4"/>
  <c r="TR20" i="4" s="1"/>
  <c r="TV20" i="4" s="1"/>
  <c r="TN5" i="4"/>
  <c r="TR5" i="4" s="1"/>
  <c r="TV5" i="4" s="1"/>
  <c r="M8" i="4"/>
  <c r="M14" i="4"/>
  <c r="M5" i="4"/>
  <c r="M21" i="4"/>
  <c r="TN8" i="4"/>
  <c r="TR8" i="4" s="1"/>
  <c r="TV8" i="4" s="1"/>
  <c r="TN14" i="4"/>
  <c r="TR14" i="4" s="1"/>
  <c r="TV14" i="4" s="1"/>
  <c r="TN10" i="4"/>
  <c r="TR10" i="4" s="1"/>
  <c r="TV10" i="4" s="1"/>
  <c r="TN21" i="4"/>
  <c r="TR21" i="4" s="1"/>
  <c r="TV21" i="4" s="1"/>
  <c r="TR11" i="4"/>
  <c r="TV11" i="4" s="1"/>
  <c r="K10" i="4"/>
  <c r="PV6" i="8"/>
  <c r="PV4" i="8"/>
  <c r="CU6" i="8"/>
  <c r="CU4" i="8"/>
  <c r="CZ10" i="4"/>
  <c r="G10" i="4" s="1"/>
  <c r="CX10" i="4"/>
  <c r="OR6" i="8"/>
  <c r="OS6" i="8"/>
  <c r="OV6" i="8"/>
  <c r="CW6" i="8" s="1"/>
  <c r="R10" i="4" l="1"/>
  <c r="S10" i="4" s="1"/>
  <c r="T10" i="4"/>
  <c r="U10" i="4" s="1"/>
  <c r="F10" i="4"/>
  <c r="G6" i="8"/>
  <c r="I6" i="8"/>
  <c r="F6" i="8"/>
  <c r="M6" i="8"/>
  <c r="M4" i="8"/>
  <c r="I10" i="4"/>
  <c r="P10" i="4"/>
  <c r="DC10" i="4" s="1"/>
  <c r="V10" i="4" s="1"/>
  <c r="DA10" i="4"/>
  <c r="K6" i="8"/>
  <c r="OW6" i="8"/>
  <c r="PS6" i="8"/>
  <c r="PT6" i="8"/>
  <c r="PW6" i="8"/>
  <c r="X10" i="4" l="1"/>
  <c r="W10" i="4"/>
  <c r="H10" i="4"/>
  <c r="Q10" i="4"/>
  <c r="E11" i="4"/>
  <c r="PX6" i="8"/>
  <c r="P6" i="8" l="1"/>
  <c r="E6" i="8" s="1"/>
  <c r="R6" i="8" l="1"/>
  <c r="Q6" i="8"/>
  <c r="E20" i="4" l="1"/>
  <c r="PS4" i="8" l="1"/>
  <c r="PW4" i="8"/>
  <c r="PX4" i="8" l="1"/>
  <c r="E21" i="4" l="1"/>
  <c r="OS4" i="8"/>
  <c r="A7" i="8" l="1"/>
  <c r="K4" i="8"/>
  <c r="E10" i="4" l="1"/>
  <c r="A19" i="4" l="1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OR4" i="8"/>
  <c r="G4" i="8" l="1"/>
  <c r="CW4" i="8"/>
  <c r="I4" i="8"/>
  <c r="F4" i="8"/>
  <c r="H4" i="8" s="1"/>
  <c r="OW4" i="8"/>
  <c r="E14" i="4" l="1"/>
  <c r="A14" i="4" a="1"/>
  <c r="A14" i="4" s="1"/>
  <c r="P4" i="8"/>
  <c r="E4" i="8" s="1"/>
  <c r="Q4" i="8" l="1"/>
  <c r="R4" i="8"/>
  <c r="A5" i="8"/>
  <c r="E12" i="4" l="1"/>
  <c r="E6" i="4" l="1"/>
  <c r="E22" i="4"/>
  <c r="E8" i="4"/>
  <c r="E7" i="4" l="1"/>
  <c r="E5" i="4"/>
  <c r="A6" i="8"/>
  <c r="A20" i="4" l="1" a="1"/>
  <c r="A20" i="4" s="1"/>
  <c r="A21" i="4" a="1"/>
  <c r="A21" i="4" s="1"/>
  <c r="A22" i="4" a="1"/>
  <c r="A2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H6" i="8"/>
  <c r="H5" i="8"/>
  <c r="D35" i="11" s="1"/>
  <c r="H7" i="8"/>
  <c r="D34" i="11" l="1"/>
  <c r="EC4" i="4"/>
  <c r="EB4" i="4"/>
  <c r="DY4" i="4"/>
  <c r="DZ4" i="4"/>
  <c r="DX4" i="4"/>
  <c r="T4" i="4" l="1"/>
  <c r="U4" i="4" s="1"/>
  <c r="R4" i="4"/>
  <c r="S4" i="4" s="1"/>
  <c r="F4" i="4"/>
  <c r="ED4" i="4"/>
  <c r="G4" i="4"/>
  <c r="I4" i="4"/>
  <c r="H4" i="4" l="1"/>
  <c r="EK4" i="4"/>
  <c r="DB4" i="4"/>
  <c r="V4" i="4" s="1"/>
  <c r="W4" i="4" l="1"/>
  <c r="X4" i="4"/>
  <c r="E4" i="4"/>
  <c r="A10" i="4" l="1" a="1"/>
  <c r="A10" i="4" s="1"/>
  <c r="A12" i="4" a="1"/>
  <c r="A12" i="4" s="1"/>
  <c r="A8" i="4" a="1"/>
  <c r="A8" i="4" s="1"/>
  <c r="A9" i="4" a="1"/>
  <c r="A9" i="4" s="1"/>
  <c r="A4" i="4" a="1"/>
  <c r="A4" i="4" s="1"/>
  <c r="A7" i="4" a="1"/>
  <c r="A7" i="4" s="1"/>
  <c r="A5" i="4" a="1"/>
  <c r="A5" i="4" s="1"/>
  <c r="A6" i="4" a="1"/>
  <c r="A6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s="1"/>
  <c r="I4" i="18" l="1"/>
  <c r="G4" i="18"/>
  <c r="F4" i="18"/>
  <c r="A5" i="18" s="1"/>
  <c r="A4" i="18" l="1"/>
  <c r="C28" i="11" s="1"/>
  <c r="H4" i="18"/>
  <c r="D33" i="11" l="1"/>
  <c r="C26" i="11"/>
  <c r="C27" i="11"/>
  <c r="D26" i="11"/>
  <c r="D27" i="11"/>
  <c r="C29" i="11"/>
  <c r="D32" i="11"/>
  <c r="D30" i="11"/>
  <c r="D31" i="11"/>
  <c r="C32" i="1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<sst xmlns="http://schemas.openxmlformats.org/spreadsheetml/2006/main" count="4963" uniqueCount="190">
  <si>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</si>
  <si>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</si>
  <si>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</si>
  <si>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</si>
  <si>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</si>
  <si>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</si>
  <si>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</si>
  <si>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</si>
  <si>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</si>
  <si>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</si>
  <si>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</si>
  <si>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</si>
  <si>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</si>
  <si>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</si>
  <si>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</si>
  <si>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</si>
  <si>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</si>
  <si>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</si>
  <si>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</si>
  <si>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</si>
  <si>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</si>
  <si>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</si>
  <si>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</si>
  <si>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</si>
  <si>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</si>
  <si>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</si>
  <si>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</si>
  <si>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</si>
  <si>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</si>
  <si>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</si>
  <si>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</si>
  <si>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</si>
  <si>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</si>
  <si>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</si>
  <si>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</si>
  <si>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</si>
  <si>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</si>
  <si>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</si>
  <si>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</si>
  <si>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</si>
  <si>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</si>
  <si>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</si>
  <si>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</si>
  <si>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</si>
  <si>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</si>
  <si>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</si>
  <si>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</si>
  <si>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</si>
  <si>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</si>
  <si>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</si>
  <si>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</si>
  <si>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</si>
  <si>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</si>
  <si>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</si>
  <si>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</si>
  <si>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</si>
  <si>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</si>
  <si>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</si>
  <si>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</si>
  <si>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</si>
  <si>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</si>
  <si>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</si>
  <si>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</si>
  <si>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</si>
  <si>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</si>
  <si>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</si>
  <si>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</si>
  <si>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</si>
  <si>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</si>
  <si>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</si>
  <si>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</si>
  <si>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</si>
  <si>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</si>
  <si>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</si>
  <si>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</si>
  <si>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</si>
  <si>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</si>
  <si>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</si>
  <si>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</si>
  <si>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</si>
  <si>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</si>
  <si>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</si>
  <si>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</si>
  <si>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</si>
  <si>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</si>
  <si>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</si>
  <si>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</si>
  <si>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</si>
  <si>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</si>
  <si>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</si>
  <si>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</si>
  <si>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</si>
  <si>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</si>
  <si>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</si>
  <si>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</si>
  <si>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</si>
  <si>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</si>
  <si>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</si>
  <si>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</si>
  <si>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</si>
  <si>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</si>
  <si>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</si>
  <si>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</si>
  <si>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</si>
  <si>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</si>
  <si>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</si>
  <si>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</si>
  <si>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</si>
  <si>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</si>
  <si>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</si>
  <si>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World Cup ITA/Olympic Technical Trial (June 4/9)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</si>
  <si>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</si>
  <si>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</si>
  <si>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</si>
  <si>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</si>
  <si>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</si>
  <si>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</si>
  <si>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</si>
  <si>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</si>
  <si>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</si>
  <si>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</si>
  <si>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</si>
  <si>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</si>
  <si>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</si>
  <si>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</si>
  <si>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</si>
  <si>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</si>
  <si>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</si>
  <si>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</si>
  <si>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</si>
  <si>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</si>
  <si>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</si>
  <si>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</si>
  <si>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</si>
  <si>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</si>
  <si>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</si>
  <si>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</si>
  <si>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</si>
  <si>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</si>
  <si>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</si>
  <si>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</si>
  <si>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</si>
  <si>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</si>
  <si>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</si>
  <si>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</si>
  <si>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</si>
  <si>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</si>
  <si>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</si>
  <si>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</si>
  <si>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</si>
  <si>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</si>
  <si>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</si>
  <si>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</si>
  <si>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</si>
  <si>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</si>
  <si>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</si>
  <si>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</si>
  <si>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</si>
  <si>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</si>
  <si>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</si>
  <si>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</si>
  <si>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</si>
  <si>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</si>
  <si>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</si>
  <si>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</si>
  <si>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</si>
  <si>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</si>
  <si>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</si>
  <si>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</si>
  <si>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</si>
  <si>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</si>
  <si>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</si>
  <si>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</si>
  <si>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</si>
  <si>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</si>
  <si>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</si>
  <si>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</si>
  <si>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</si>
  <si>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</si>
  <si>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</si>
  <si>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</si>
  <si>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</si>
  <si>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</si>
  <si>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</si>
  <si>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</si>
  <si>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</si>
  <si>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</si>
  <si>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</si>
  <si>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</si>
  <si>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World Cup 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</si>
</sst>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6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Worlds Team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CHARTIER, Jérémy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MILETTE, Sarah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MÉTHOT, Sophiane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National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x14ac:dyDescent="0.2">
      <c r="A18" s="10" t="s">
        <v>49</v>
      </c>
      <c r="B18" s="10">
        <v>1</v>
      </c>
      <c r="C18" s="10" t="str">
        <f>IF(B2&gt;MAX('SYN-M'!A:A),"",INDEX('SYN-M'!B:B,MATCH(B2,'SYN-M'!A:A,0)))</f>
        <v>SHUH &amp; SOEHN</v>
      </c>
      <c r="D18" s="67" t="str">
        <f>IF(B2&gt;MAX('SYN-M'!A:A),"",INDEX('SYN-M'!H:H,MATCH(B2,'SYN-M'!A:A,0)))</f>
        <v>Worlds Team</v>
      </c>
      <c r="J18" s="31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01" t="str">
        <f>IF(B3&gt;MAX('SYN-M'!A:A),"",INDEX('SYN-M'!H:H,MATCH(B3,'SYN-M'!A:A,0)))</f>
        <v/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01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National Team</v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10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PILLINGER, Taylor</v>
      </c>
      <c r="D36" s="68" t="str">
        <f>IF(B4&gt;MAX('TUM-W'!A:A),"",INDEX('TUM-W'!H:H,MATCH(B4,'TUM-W'!A:A,0)))</f>
        <v>No DD</v>
      </c>
    </row>
    <row r="37" spans="1:4" hidden="1" x14ac:dyDescent="0.2">
      <c r="A37" s="12"/>
      <c r="B37" s="12">
        <v>4</v>
      </c>
      <c r="C37" s="12" t="str">
        <f>IF(B5&gt;MAX('TUM-W'!A:A),"",INDEX('TUM-W'!B:B,MATCH(B5,'TUM-W'!A:A,0)))</f>
        <v/>
      </c>
      <c r="D37" s="68" t="str">
        <f>IF(B5&gt;MAX('TUM-W'!A:A),"",INDEX('TUM-W'!H:H,MATCH(B5,'TUM-W'!A:A,0)))</f>
        <v/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DODD, Kristina</v>
      </c>
      <c r="D54" s="95" t="str">
        <f>IF(B6&gt;MAX('DMT-W'!A:A),"",INDEX('DMT-W'!H:H,MATCH(B6,'DMT-W'!A:A,0)))</f>
        <v>Worlds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BODNAR, Cassidy</v>
      </c>
      <c r="D56" s="95" t="str">
        <f>IF(B8&gt;MAX('DMT-W'!A:A),"",INDEX('DMT-W'!H:H,MATCH(B8,'DMT-W'!A:A,0)))</f>
        <v>National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HOWELL, Kayla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11">
        <v>44709</v>
      </c>
      <c r="C66" s="111"/>
    </row>
    <row r="67" spans="1:4" x14ac:dyDescent="0.2">
      <c r="B67" s="59" t="s">
        <v>189</v>
      </c>
    </row>
    <row r="68" spans="1:4" x14ac:dyDescent="0.2">
      <c r="B68" s="59"/>
    </row>
    <row r="69" spans="1:4" x14ac:dyDescent="0.2">
      <c r="B69" s="31"/>
    </row>
    <row r="70" spans="1:4" x14ac:dyDescent="0.2">
      <c r="B70" s="31"/>
    </row>
    <row r="71" spans="1:4" x14ac:dyDescent="0.2">
      <c r="B71" s="31"/>
    </row>
  </sheetData>
  <sheetProtection formatCells="0" formatColumns="0" formatRows="0"/>
  <mergeCells count="1">
    <mergeCell ref="B66:C66"/>
  </mergeCells>
  <conditionalFormatting sqref="D2:D57">
    <cfRule type="containsText" dxfId="760" priority="1" operator="containsText" text="No DD">
      <formula>NOT(ISERROR(SEARCH("No DD",D2)))</formula>
    </cfRule>
    <cfRule type="containsText" dxfId="759" priority="4" operator="containsText" text="Merit">
      <formula>NOT(ISERROR(SEARCH("Merit",D2)))</formula>
    </cfRule>
    <cfRule type="containsText" dxfId="758" priority="5" operator="containsText" text="Excellence">
      <formula>NOT(ISERROR(SEARCH("Excellence",D2)))</formula>
    </cfRule>
    <cfRule type="containsText" dxfId="757" priority="6" operator="containsText" text="Worlds Team">
      <formula>NOT(ISERROR(SEARCH("Worlds Team",D2)))</formula>
    </cfRule>
    <cfRule type="containsText" dxfId="75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542" width="10.83203125" hidden="1" customWidth="1"/>
  </cols>
  <sheetData>
    <row r="1" spans="1:542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2" t="s">
        <v>12</v>
      </c>
      <c r="H1" s="112" t="s">
        <v>13</v>
      </c>
      <c r="I1" s="112" t="s">
        <v>96</v>
      </c>
      <c r="J1" s="118" t="s">
        <v>131</v>
      </c>
      <c r="K1" s="114" t="s">
        <v>37</v>
      </c>
      <c r="L1" s="118" t="s">
        <v>132</v>
      </c>
      <c r="M1" s="114" t="s">
        <v>37</v>
      </c>
      <c r="N1" s="118" t="s">
        <v>160</v>
      </c>
      <c r="O1" s="114" t="s">
        <v>37</v>
      </c>
      <c r="P1" s="114" t="s">
        <v>14</v>
      </c>
      <c r="Q1" s="114" t="s">
        <v>37</v>
      </c>
      <c r="R1" s="114" t="s">
        <v>133</v>
      </c>
      <c r="S1" s="114" t="s">
        <v>37</v>
      </c>
      <c r="T1" s="118" t="s">
        <v>134</v>
      </c>
      <c r="U1" s="114" t="s">
        <v>37</v>
      </c>
      <c r="V1" s="117" t="s">
        <v>15</v>
      </c>
      <c r="W1" s="114" t="s">
        <v>38</v>
      </c>
      <c r="X1" s="114" t="s">
        <v>37</v>
      </c>
      <c r="Y1" s="115" t="s">
        <v>104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111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146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15</v>
      </c>
      <c r="DC1" s="121"/>
      <c r="DD1" s="115" t="s">
        <v>110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114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125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130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176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72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20</v>
      </c>
      <c r="Z2" s="116"/>
      <c r="AA2" s="116"/>
      <c r="AB2" s="116"/>
      <c r="AC2" s="116"/>
      <c r="AD2" s="116" t="s">
        <v>21</v>
      </c>
      <c r="AE2" s="116"/>
      <c r="AF2" s="116"/>
      <c r="AG2" s="116"/>
      <c r="AH2" s="116"/>
      <c r="AI2" s="116" t="s">
        <v>24</v>
      </c>
      <c r="AJ2" s="116"/>
      <c r="AK2" s="116"/>
      <c r="AL2" s="116"/>
      <c r="AM2" s="116"/>
      <c r="AN2" s="48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19" t="s">
        <v>20</v>
      </c>
      <c r="BA2" s="119"/>
      <c r="BB2" s="119"/>
      <c r="BC2" s="119"/>
      <c r="BD2" s="119"/>
      <c r="BE2" s="119" t="s">
        <v>21</v>
      </c>
      <c r="BF2" s="119"/>
      <c r="BG2" s="119"/>
      <c r="BH2" s="119"/>
      <c r="BI2" s="119"/>
      <c r="BJ2" s="119" t="s">
        <v>24</v>
      </c>
      <c r="BK2" s="119"/>
      <c r="BL2" s="119"/>
      <c r="BM2" s="119"/>
      <c r="BN2" s="119"/>
      <c r="BO2" s="47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16" t="s">
        <v>20</v>
      </c>
      <c r="CB2" s="116"/>
      <c r="CC2" s="116"/>
      <c r="CD2" s="116"/>
      <c r="CE2" s="116"/>
      <c r="CF2" s="116" t="s">
        <v>21</v>
      </c>
      <c r="CG2" s="116"/>
      <c r="CH2" s="116"/>
      <c r="CI2" s="116"/>
      <c r="CJ2" s="116"/>
      <c r="CK2" s="116" t="s">
        <v>24</v>
      </c>
      <c r="CL2" s="116"/>
      <c r="CM2" s="116"/>
      <c r="CN2" s="116"/>
      <c r="CO2" s="116"/>
      <c r="CP2" s="60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116" t="s">
        <v>20</v>
      </c>
      <c r="DE2" s="116"/>
      <c r="DF2" s="116"/>
      <c r="DG2" s="116"/>
      <c r="DH2" s="116"/>
      <c r="DI2" s="116" t="s">
        <v>21</v>
      </c>
      <c r="DJ2" s="116"/>
      <c r="DK2" s="116"/>
      <c r="DL2" s="116"/>
      <c r="DM2" s="116"/>
      <c r="DN2" s="116" t="s">
        <v>140</v>
      </c>
      <c r="DO2" s="116"/>
      <c r="DP2" s="116"/>
      <c r="DQ2" s="116"/>
      <c r="DR2" s="116"/>
      <c r="DS2" s="116" t="s">
        <v>24</v>
      </c>
      <c r="DT2" s="116"/>
      <c r="DU2" s="116"/>
      <c r="DV2" s="116"/>
      <c r="DW2" s="116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19" t="s">
        <v>20</v>
      </c>
      <c r="EM2" s="119"/>
      <c r="EN2" s="119"/>
      <c r="EO2" s="119"/>
      <c r="EP2" s="119"/>
      <c r="EQ2" s="119" t="s">
        <v>21</v>
      </c>
      <c r="ER2" s="119"/>
      <c r="ES2" s="119"/>
      <c r="ET2" s="119"/>
      <c r="EU2" s="119"/>
      <c r="EV2" s="119" t="s">
        <v>140</v>
      </c>
      <c r="EW2" s="119"/>
      <c r="EX2" s="119"/>
      <c r="EY2" s="119"/>
      <c r="EZ2" s="119"/>
      <c r="FA2" s="119" t="s">
        <v>24</v>
      </c>
      <c r="FB2" s="119"/>
      <c r="FC2" s="119"/>
      <c r="FD2" s="119"/>
      <c r="FE2" s="119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16" t="s">
        <v>20</v>
      </c>
      <c r="FU2" s="116"/>
      <c r="FV2" s="116"/>
      <c r="FW2" s="116"/>
      <c r="FX2" s="116"/>
      <c r="FY2" s="116" t="s">
        <v>21</v>
      </c>
      <c r="FZ2" s="116"/>
      <c r="GA2" s="116"/>
      <c r="GB2" s="116"/>
      <c r="GC2" s="116"/>
      <c r="GD2" s="116" t="s">
        <v>140</v>
      </c>
      <c r="GE2" s="116"/>
      <c r="GF2" s="116"/>
      <c r="GG2" s="116"/>
      <c r="GH2" s="116"/>
      <c r="GI2" s="116" t="s">
        <v>24</v>
      </c>
      <c r="GJ2" s="116"/>
      <c r="GK2" s="116"/>
      <c r="GL2" s="116"/>
      <c r="GM2" s="116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19" t="s">
        <v>20</v>
      </c>
      <c r="HC2" s="119"/>
      <c r="HD2" s="119"/>
      <c r="HE2" s="119"/>
      <c r="HF2" s="119"/>
      <c r="HG2" s="119" t="s">
        <v>21</v>
      </c>
      <c r="HH2" s="119"/>
      <c r="HI2" s="119"/>
      <c r="HJ2" s="119"/>
      <c r="HK2" s="119"/>
      <c r="HL2" s="119" t="s">
        <v>140</v>
      </c>
      <c r="HM2" s="119"/>
      <c r="HN2" s="119"/>
      <c r="HO2" s="119"/>
      <c r="HP2" s="119"/>
      <c r="HQ2" s="119" t="s">
        <v>24</v>
      </c>
      <c r="HR2" s="119"/>
      <c r="HS2" s="119"/>
      <c r="HT2" s="119"/>
      <c r="HU2" s="119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99" t="s">
        <v>19</v>
      </c>
      <c r="IJ2" s="116" t="s">
        <v>20</v>
      </c>
      <c r="IK2" s="116"/>
      <c r="IL2" s="116"/>
      <c r="IM2" s="116"/>
      <c r="IN2" s="116"/>
      <c r="IO2" s="116" t="s">
        <v>21</v>
      </c>
      <c r="IP2" s="116"/>
      <c r="IQ2" s="116"/>
      <c r="IR2" s="116"/>
      <c r="IS2" s="116"/>
      <c r="IT2" s="116" t="s">
        <v>140</v>
      </c>
      <c r="IU2" s="116"/>
      <c r="IV2" s="116"/>
      <c r="IW2" s="116"/>
      <c r="IX2" s="116"/>
      <c r="IY2" s="116" t="s">
        <v>24</v>
      </c>
      <c r="IZ2" s="116"/>
      <c r="JA2" s="116"/>
      <c r="JB2" s="116"/>
      <c r="JC2" s="116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100" t="s">
        <v>19</v>
      </c>
      <c r="JR2" s="119" t="s">
        <v>20</v>
      </c>
      <c r="JS2" s="119"/>
      <c r="JT2" s="119"/>
      <c r="JU2" s="119"/>
      <c r="JV2" s="119"/>
      <c r="JW2" s="119" t="s">
        <v>21</v>
      </c>
      <c r="JX2" s="119"/>
      <c r="JY2" s="119"/>
      <c r="JZ2" s="119"/>
      <c r="KA2" s="119"/>
      <c r="KB2" s="119" t="s">
        <v>140</v>
      </c>
      <c r="KC2" s="119"/>
      <c r="KD2" s="119"/>
      <c r="KE2" s="119"/>
      <c r="KF2" s="119"/>
      <c r="KG2" s="119" t="s">
        <v>24</v>
      </c>
      <c r="KH2" s="119"/>
      <c r="KI2" s="119"/>
      <c r="KJ2" s="119"/>
      <c r="KK2" s="119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16" t="s">
        <v>20</v>
      </c>
      <c r="LA2" s="116"/>
      <c r="LB2" s="116"/>
      <c r="LC2" s="116"/>
      <c r="LD2" s="116"/>
      <c r="LE2" s="116" t="s">
        <v>21</v>
      </c>
      <c r="LF2" s="116"/>
      <c r="LG2" s="116"/>
      <c r="LH2" s="116"/>
      <c r="LI2" s="116"/>
      <c r="LJ2" s="116" t="s">
        <v>140</v>
      </c>
      <c r="LK2" s="116"/>
      <c r="LL2" s="116"/>
      <c r="LM2" s="116"/>
      <c r="LN2" s="116"/>
      <c r="LO2" s="116" t="s">
        <v>24</v>
      </c>
      <c r="LP2" s="116"/>
      <c r="LQ2" s="116"/>
      <c r="LR2" s="116"/>
      <c r="LS2" s="116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19" t="s">
        <v>20</v>
      </c>
      <c r="MI2" s="119"/>
      <c r="MJ2" s="119"/>
      <c r="MK2" s="119"/>
      <c r="ML2" s="119"/>
      <c r="MM2" s="119" t="s">
        <v>21</v>
      </c>
      <c r="MN2" s="119"/>
      <c r="MO2" s="119"/>
      <c r="MP2" s="119"/>
      <c r="MQ2" s="119"/>
      <c r="MR2" s="119" t="s">
        <v>140</v>
      </c>
      <c r="MS2" s="119"/>
      <c r="MT2" s="119"/>
      <c r="MU2" s="119"/>
      <c r="MV2" s="119"/>
      <c r="MW2" s="119" t="s">
        <v>24</v>
      </c>
      <c r="MX2" s="119"/>
      <c r="MY2" s="119"/>
      <c r="MZ2" s="119"/>
      <c r="NA2" s="119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16" t="s">
        <v>20</v>
      </c>
      <c r="NQ2" s="116"/>
      <c r="NR2" s="116"/>
      <c r="NS2" s="116"/>
      <c r="NT2" s="116"/>
      <c r="NU2" s="116" t="s">
        <v>21</v>
      </c>
      <c r="NV2" s="116"/>
      <c r="NW2" s="116"/>
      <c r="NX2" s="116"/>
      <c r="NY2" s="116"/>
      <c r="NZ2" s="116" t="s">
        <v>140</v>
      </c>
      <c r="OA2" s="116"/>
      <c r="OB2" s="116"/>
      <c r="OC2" s="116"/>
      <c r="OD2" s="116"/>
      <c r="OE2" s="116" t="s">
        <v>24</v>
      </c>
      <c r="OF2" s="116"/>
      <c r="OG2" s="116"/>
      <c r="OH2" s="116"/>
      <c r="OI2" s="116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19" t="s">
        <v>20</v>
      </c>
      <c r="OY2" s="119"/>
      <c r="OZ2" s="119"/>
      <c r="PA2" s="119"/>
      <c r="PB2" s="119"/>
      <c r="PC2" s="119" t="s">
        <v>21</v>
      </c>
      <c r="PD2" s="119"/>
      <c r="PE2" s="119"/>
      <c r="PF2" s="119"/>
      <c r="PG2" s="119"/>
      <c r="PH2" s="119" t="s">
        <v>140</v>
      </c>
      <c r="PI2" s="119"/>
      <c r="PJ2" s="119"/>
      <c r="PK2" s="119"/>
      <c r="PL2" s="119"/>
      <c r="PM2" s="119" t="s">
        <v>24</v>
      </c>
      <c r="PN2" s="119"/>
      <c r="PO2" s="119"/>
      <c r="PP2" s="119"/>
      <c r="PQ2" s="119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16" t="s">
        <v>20</v>
      </c>
      <c r="QG2" s="116"/>
      <c r="QH2" s="116"/>
      <c r="QI2" s="116"/>
      <c r="QJ2" s="116"/>
      <c r="QK2" s="116" t="s">
        <v>21</v>
      </c>
      <c r="QL2" s="116"/>
      <c r="QM2" s="116"/>
      <c r="QN2" s="116"/>
      <c r="QO2" s="116"/>
      <c r="QP2" s="116" t="s">
        <v>140</v>
      </c>
      <c r="QQ2" s="116"/>
      <c r="QR2" s="116"/>
      <c r="QS2" s="116"/>
      <c r="QT2" s="116"/>
      <c r="QU2" s="116" t="s">
        <v>24</v>
      </c>
      <c r="QV2" s="116"/>
      <c r="QW2" s="116"/>
      <c r="QX2" s="116"/>
      <c r="QY2" s="116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19" t="s">
        <v>20</v>
      </c>
      <c r="RO2" s="119"/>
      <c r="RP2" s="119"/>
      <c r="RQ2" s="119"/>
      <c r="RR2" s="119"/>
      <c r="RS2" s="119" t="s">
        <v>21</v>
      </c>
      <c r="RT2" s="119"/>
      <c r="RU2" s="119"/>
      <c r="RV2" s="119"/>
      <c r="RW2" s="119"/>
      <c r="RX2" s="119" t="s">
        <v>140</v>
      </c>
      <c r="RY2" s="119"/>
      <c r="RZ2" s="119"/>
      <c r="SA2" s="119"/>
      <c r="SB2" s="119"/>
      <c r="SC2" s="119" t="s">
        <v>24</v>
      </c>
      <c r="SD2" s="119"/>
      <c r="SE2" s="119"/>
      <c r="SF2" s="119"/>
      <c r="SG2" s="119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16" t="s">
        <v>20</v>
      </c>
      <c r="SW2" s="116"/>
      <c r="SX2" s="116"/>
      <c r="SY2" s="116"/>
      <c r="SZ2" s="116"/>
      <c r="TA2" s="116" t="s">
        <v>21</v>
      </c>
      <c r="TB2" s="116"/>
      <c r="TC2" s="116"/>
      <c r="TD2" s="116"/>
      <c r="TE2" s="116"/>
      <c r="TF2" s="116" t="s">
        <v>24</v>
      </c>
      <c r="TG2" s="116"/>
      <c r="TH2" s="116"/>
      <c r="TI2" s="116"/>
      <c r="TJ2" s="116"/>
      <c r="TK2" s="57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34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34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34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34</v>
      </c>
      <c r="TK3" s="57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>SUM(J4:V4)+SUM(J4:T4)*0.0000001+SUM(J4)*0.0000000000001</f>
        <v>266.55502665550586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Excellence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58.6</v>
      </c>
      <c r="K4" s="13" t="str">
        <f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58.885000000000005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15.6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Elite Canada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17.399999999999999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 t="str">
        <f>IF(MAX(DB4,DC4)&gt;0,MAX(DB4,DC4),"")</f>
        <v/>
      </c>
      <c r="W4" s="16" t="str">
        <f>IF(V4="","",IF(V4=DB4,"("&amp;DB$2&amp;")",IF(V4=DC4,"("&amp;DC$2&amp;")")))</f>
        <v/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>IF(AA4&gt;0,AA4,"")</f>
        <v>15.6</v>
      </c>
      <c r="AP4" s="74">
        <f>IF(AB4&gt;0,AB4,"")</f>
        <v>17.25</v>
      </c>
      <c r="AQ4" s="76">
        <f>IF(SUM(Y4:AB4)-AC4&gt;0,SUM(Y4:AB4)-AC4,"")</f>
        <v>58.15</v>
      </c>
      <c r="AR4" s="76">
        <f>IF(AF4&gt;0,AF4,"")</f>
        <v>15.6</v>
      </c>
      <c r="AS4" s="76">
        <f>IF(AG4&gt;0,AG4,"")</f>
        <v>17.399999999999999</v>
      </c>
      <c r="AT4" s="76">
        <f>IF(SUM(AD4:AG4)-AH4&gt;0,SUM(AD4:AG4)-AH4,"")</f>
        <v>58.6</v>
      </c>
      <c r="AU4" s="76">
        <f>IF(AQ4="","",MAX(AQ4,AT4))</f>
        <v>58.6</v>
      </c>
      <c r="AV4" s="76" t="str">
        <f>IF(AK4&gt;0,AK4,"")</f>
        <v/>
      </c>
      <c r="AW4" s="76" t="str">
        <f>IF(AL4&gt;0,AL4,"")</f>
        <v/>
      </c>
      <c r="AX4" s="76" t="str">
        <f>IF(SUM(AI4:AL4)-AM4&gt;0,SUM(AI4:AL4)-AM4,"")</f>
        <v/>
      </c>
      <c r="AY4" s="76">
        <f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>IF(BB4&gt;0,BB4,"")</f>
        <v>15</v>
      </c>
      <c r="BQ4" s="75">
        <f>IF(BC4&gt;0,BC4,"")</f>
        <v>16.75</v>
      </c>
      <c r="BR4" s="16">
        <f>IF(SUM(AZ4:BC4)-BD4&gt;0,SUM(AZ4:BC4)-BD4,"")</f>
        <v>56.65</v>
      </c>
      <c r="BS4" s="16">
        <f>IF(BG4&gt;0,BG4,"")</f>
        <v>15.6</v>
      </c>
      <c r="BT4" s="16">
        <f>IF(BH4&gt;0,BH4,"")</f>
        <v>17.22</v>
      </c>
      <c r="BU4" s="16">
        <f>IF(SUM(BE4:BH4)-BI4&gt;0,SUM(BE4:BH4)-BI4,"")</f>
        <v>57.92</v>
      </c>
      <c r="BV4" s="16">
        <f>IF(BR4="","",MAX(BR4,BU4))</f>
        <v>57.92</v>
      </c>
      <c r="BW4" s="16">
        <f>IF(BL4&gt;0,BL4,"")</f>
        <v>15.6</v>
      </c>
      <c r="BX4" s="16">
        <f>IF(BM4&gt;0,BM4,"")</f>
        <v>17.184999999999999</v>
      </c>
      <c r="BY4" s="16">
        <f>IF(SUM(BJ4:BM4)-BN4&gt;0,SUM(BJ4:BM4)-BN4,"")</f>
        <v>58.885000000000005</v>
      </c>
      <c r="BZ4" s="16">
        <f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>IF(CC4&gt;0,CC4,"")</f>
        <v>15</v>
      </c>
      <c r="CR4" s="74">
        <f>IF(CD4&gt;0,CD4,"")</f>
        <v>17.309999999999999</v>
      </c>
      <c r="CS4" s="76">
        <f>IF(SUM(CA4:CD4)-CE4&gt;0,SUM(CA4:CD4)-CE4,"")</f>
        <v>57.41</v>
      </c>
      <c r="CT4" s="76">
        <f>IF(CH4&gt;0,CH4,"")</f>
        <v>12.7</v>
      </c>
      <c r="CU4" s="76">
        <f>IF(CI4&gt;0,CI4,"")</f>
        <v>17.29</v>
      </c>
      <c r="CV4" s="76">
        <f>IF(SUM(CF4:CI4)-CJ4&gt;0,SUM(CF4:CI4)-CJ4,"")</f>
        <v>53.089999999999996</v>
      </c>
      <c r="CW4" s="76">
        <f>IF(CS4="","",MAX(CS4,CV4))</f>
        <v>57.41</v>
      </c>
      <c r="CX4" s="76">
        <f>IF(CM4&gt;0,CM4,"")</f>
        <v>15.6</v>
      </c>
      <c r="CY4" s="76">
        <f>IF(CN4&gt;0,CN4,"")</f>
        <v>17.350000000000001</v>
      </c>
      <c r="CZ4" s="76">
        <f>IF(SUM(CK4:CN4)-CO4&gt;0,SUM(CK4:CN4)-CO4,"")</f>
        <v>58.050000000000004</v>
      </c>
      <c r="DA4" s="76">
        <f>IF(SUM(CW4,CZ4)&gt;0,SUM(CW4,CZ4),"")</f>
        <v>115.46000000000001</v>
      </c>
      <c r="DB4" s="87" t="str">
        <f>IF(L4&gt;=0.001,IF(MAX(ED4,FL4,GT4,IB4,JJ4,KR4,LZ4,NH4,OP4,PX4,RF4,SN4)-IF(L4="",0,L4)&gt;0.001,MAX(ED4,FL4,GT4,IB4,JJ4,KR4,LZ4,NH4,OP4,PX4,RF4,SN4)-IF(L4="",0,L4),""),"")</f>
        <v/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>
        <v>15.8</v>
      </c>
      <c r="DE4" s="25">
        <v>9.4</v>
      </c>
      <c r="DF4" s="25">
        <v>15.6</v>
      </c>
      <c r="DG4" s="25">
        <v>17.399999999999999</v>
      </c>
      <c r="DH4" s="25">
        <v>0.6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14.8</v>
      </c>
      <c r="DT4" s="25">
        <v>8.9</v>
      </c>
      <c r="DU4" s="25">
        <v>15.6</v>
      </c>
      <c r="DV4" s="25">
        <v>17.079999999999998</v>
      </c>
      <c r="DW4" s="25">
        <v>0</v>
      </c>
      <c r="DX4" s="76">
        <f>IF(DF4&gt;0,DF4,"")</f>
        <v>15.6</v>
      </c>
      <c r="DY4" s="76">
        <f>IF(DG4&gt;0,DG4,"")</f>
        <v>17.399999999999999</v>
      </c>
      <c r="DZ4" s="76">
        <f>IF(SUM(DD4:DG4)-DH4&gt;0,SUM(DD4:DG4)-DH4,"")</f>
        <v>57.6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57.6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15.6</v>
      </c>
      <c r="EI4" s="76">
        <f>IF(DV4&gt;0,DV4,"")</f>
        <v>17.079999999999998</v>
      </c>
      <c r="EJ4" s="76">
        <f>IF(SUM(DS4:DV4)-DW4&gt;0,SUM(DS4:DV4)-DW4,"")</f>
        <v>56.38</v>
      </c>
      <c r="EK4" s="76">
        <f>IF(SUM(ED4,EJ4)&gt;0,SUM(ED4,EJ4),"")</f>
        <v>113.98</v>
      </c>
      <c r="EL4" s="26">
        <v>14.9</v>
      </c>
      <c r="EM4" s="26">
        <v>9.1999999999999993</v>
      </c>
      <c r="EN4" s="26">
        <v>15.4</v>
      </c>
      <c r="EO4" s="26">
        <v>16.43</v>
      </c>
      <c r="EP4" s="26">
        <v>0</v>
      </c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>
        <f>IF(EN4&gt;0,EN4,"")</f>
        <v>15.4</v>
      </c>
      <c r="FG4" s="16">
        <f>IF(EO4&gt;0,EO4,"")</f>
        <v>16.43</v>
      </c>
      <c r="FH4" s="16">
        <f>IF(SUM(EL4:EO4)-EP4&gt;0,SUM(EL4:EO4)-EP4,"")</f>
        <v>55.93</v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>
        <f>IF(MAX(FH4,FK4)&gt;0,MAX(FH4,FK4),"")</f>
        <v>55.93</v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>
        <f>IF(SUM(FL4,FR4)&gt;0,SUM(FL4,FR4),"")</f>
        <v>55.93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14.8</v>
      </c>
      <c r="GJ4" s="25">
        <v>9.4</v>
      </c>
      <c r="GK4" s="25">
        <v>15.6</v>
      </c>
      <c r="GL4" s="25">
        <v>16.614999999999998</v>
      </c>
      <c r="GM4" s="25">
        <v>0</v>
      </c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>
        <f>IF(GK4&gt;0,GK4,"")</f>
        <v>15.6</v>
      </c>
      <c r="GY4" s="76">
        <f>IF(GL4&gt;0,GL4,"")</f>
        <v>16.614999999999998</v>
      </c>
      <c r="GZ4" s="76">
        <f>IF(SUM(GI4:GL4)-GM4&gt;0,SUM(GI4:GL4)-GM4,"")</f>
        <v>56.415000000000006</v>
      </c>
      <c r="HA4" s="76">
        <f>IF(SUM(GT4,GZ4)&gt;0,SUM(GT4,GZ4),"")</f>
        <v>56.415000000000006</v>
      </c>
      <c r="HB4" s="26">
        <v>14.4</v>
      </c>
      <c r="HC4" s="26">
        <v>9.5</v>
      </c>
      <c r="HD4" s="26">
        <v>15.4</v>
      </c>
      <c r="HE4" s="26">
        <v>16.574999999999999</v>
      </c>
      <c r="HF4" s="26">
        <v>0</v>
      </c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>
        <v>3</v>
      </c>
      <c r="HR4" s="26">
        <v>1.8</v>
      </c>
      <c r="HS4" s="26">
        <v>3.2</v>
      </c>
      <c r="HT4" s="26">
        <v>3.5649999999999999</v>
      </c>
      <c r="HU4" s="26">
        <v>0</v>
      </c>
      <c r="HV4" s="16">
        <f>IF(HD4&gt;0,HD4,"")</f>
        <v>15.4</v>
      </c>
      <c r="HW4" s="16">
        <f>IF(HE4&gt;0,HE4,"")</f>
        <v>16.574999999999999</v>
      </c>
      <c r="HX4" s="16">
        <f>IF(SUM(HB4:HE4)-HF4&gt;0,SUM(HB4:HE4)-HF4,"")</f>
        <v>55.875</v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>
        <f>IF(MAX(HX4,IA4)&gt;0,MAX(HX4,IA4),"")</f>
        <v>55.875</v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>
        <f>IF(HS4&gt;0,HS4,"")</f>
        <v>3.2</v>
      </c>
      <c r="IG4" s="16">
        <f>IF(HT4&gt;0,HT4,"")</f>
        <v>3.5649999999999999</v>
      </c>
      <c r="IH4" s="16">
        <f>IF(SUM(HQ4:HT4)-HU4&gt;0,SUM(HQ4:HT4)-HU4,"")</f>
        <v>11.565</v>
      </c>
      <c r="II4" s="16">
        <f>IF(SUM(IB4,IH4)&gt;0,SUM(IB4,IH4),"")</f>
        <v>67.44</v>
      </c>
      <c r="IJ4" s="25">
        <v>13.2</v>
      </c>
      <c r="IK4" s="25">
        <v>8.6999999999999993</v>
      </c>
      <c r="IL4" s="25">
        <v>15</v>
      </c>
      <c r="IM4" s="25">
        <v>16.04</v>
      </c>
      <c r="IN4" s="25">
        <v>0</v>
      </c>
      <c r="IO4" s="25">
        <v>1.4</v>
      </c>
      <c r="IP4" s="25">
        <v>1</v>
      </c>
      <c r="IQ4" s="25">
        <v>2</v>
      </c>
      <c r="IR4" s="25">
        <v>1.77</v>
      </c>
      <c r="IS4" s="25">
        <v>0</v>
      </c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>
        <f>IF(IL4&gt;0,IL4,"")</f>
        <v>15</v>
      </c>
      <c r="JE4" s="76">
        <f>IF(IM4&gt;0,IM4,"")</f>
        <v>16.04</v>
      </c>
      <c r="JF4" s="76">
        <f>IF(SUM(IJ4:IM4)-IN4&gt;0,SUM(IJ4:IM4)-IN4,"")</f>
        <v>52.94</v>
      </c>
      <c r="JG4" s="76">
        <f>IF(IQ4&gt;0,IQ4,"")</f>
        <v>2</v>
      </c>
      <c r="JH4" s="76">
        <f>IF(IR4&gt;0,IR4,"")</f>
        <v>1.77</v>
      </c>
      <c r="JI4" s="76">
        <f>IF(SUM(IO4:IR4)-IS4&gt;0,SUM(IO4:IR4)-IS4,"")</f>
        <v>6.17</v>
      </c>
      <c r="JJ4" s="76">
        <f>IF(MAX(JF4,JI4)&gt;0,MAX(JF4,JI4),"")</f>
        <v>52.94</v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>
        <f>IF(SUM(JJ4,JP4)&gt;0,SUM(JJ4,JP4),"")</f>
        <v>52.94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15.950000000000001</v>
      </c>
      <c r="SW4" s="42">
        <f>IF($CP4="P",CB4,(CB4+BA4)/2)</f>
        <v>9.0500000000000007</v>
      </c>
      <c r="SX4" s="42">
        <f>IF($CP4="P",CC4,(CC4+BB4)/2)</f>
        <v>15</v>
      </c>
      <c r="SY4" s="42">
        <f>IF($CP4="P",CD4,(CD4+BC4)/2)</f>
        <v>17.03</v>
      </c>
      <c r="SZ4" s="42">
        <f>IF($CP4="P",CE4,(CE4+BD4)/2)</f>
        <v>0</v>
      </c>
      <c r="TA4" s="42">
        <f>IF($CP4="P",CF4,(CF4+BE4)/2)</f>
        <v>15.5</v>
      </c>
      <c r="TB4" s="42">
        <f>IF($CP4="P",CG4,(CG4+BF4)/2)</f>
        <v>9</v>
      </c>
      <c r="TC4" s="42">
        <f>IF($CP4="P",CH4,(CH4+BG4)/2)</f>
        <v>14.149999999999999</v>
      </c>
      <c r="TD4" s="42">
        <f>IF($CP4="P",CI4,(CI4+BH4)/2)</f>
        <v>17.254999999999999</v>
      </c>
      <c r="TE4" s="42">
        <f>IF($CP4="P",CJ4,(CJ4+BI4)/2)</f>
        <v>0.4</v>
      </c>
      <c r="TF4" s="42">
        <f>IF($CP4="P",CK4,(CK4+BJ4)/2)</f>
        <v>16.2</v>
      </c>
      <c r="TG4" s="42">
        <f>IF($CP4="P",CL4,(CL4+BK4)/2)</f>
        <v>9.4</v>
      </c>
      <c r="TH4" s="42">
        <f>IF($CP4="P",CM4,(CM4+BL4)/2)</f>
        <v>15.6</v>
      </c>
      <c r="TI4" s="42">
        <f>IF($CP4="P",CN4,(CN4+BM4)/2)</f>
        <v>17.267499999999998</v>
      </c>
      <c r="TJ4" s="42">
        <f>IF($CP4="P",CO4,(CO4+BN4)/2)</f>
        <v>0</v>
      </c>
      <c r="TK4" s="51" t="s">
        <v>61</v>
      </c>
      <c r="TL4" s="76">
        <f>IF(SX4&gt;0,SX4,"")</f>
        <v>15</v>
      </c>
      <c r="TM4" s="76">
        <f>IF(SY4&gt;0,SY4,"")</f>
        <v>17.03</v>
      </c>
      <c r="TN4" s="76">
        <f>IF(SUM(SV4:SY4)-SZ4&gt;0,SUM(SV4:SY4)-SZ4,"")</f>
        <v>57.03</v>
      </c>
      <c r="TO4" s="76">
        <f>IF(TC4&gt;0,TC4,"")</f>
        <v>14.149999999999999</v>
      </c>
      <c r="TP4" s="76">
        <f>IF(TD4&gt;0,TD4,"")</f>
        <v>17.254999999999999</v>
      </c>
      <c r="TQ4" s="76">
        <f>IF(SUM(TA4:TD4)-TE4&gt;0,SUM(TA4:TD4)-TE4,"")</f>
        <v>55.505000000000003</v>
      </c>
      <c r="TR4" s="76">
        <f>IF(MAX(TN4,TQ4)&gt;0,MAX(TN4,TQ4),"")</f>
        <v>57.03</v>
      </c>
      <c r="TS4" s="76">
        <f>IF(TH4&gt;0,TH4,"")</f>
        <v>15.6</v>
      </c>
      <c r="TT4" s="76">
        <f>IF(TI4&gt;0,TI4,"")</f>
        <v>17.267499999999998</v>
      </c>
      <c r="TU4" s="76">
        <f>IF(SUM(TF4:TI4)-TJ4&gt;0,SUM(TF4:TI4)-TJ4,"")</f>
        <v>58.467500000000001</v>
      </c>
      <c r="TV4" s="76">
        <f>IF(SUM(TR4,TU4)&gt;0,SUM(TR4,TU4),"")</f>
        <v>115.4975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264.70002647000587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Worlds Team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58.174999999999997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57.91</v>
      </c>
      <c r="M5" s="13" t="str">
        <f>IF(L5="","",IF(OR(L5=CS5,L5=CV5),$CA$1,IF(OR(L5=BR5,L5=BU5),$AZ$1,IF(OR(L5=AQ5,L5=AT5),$Y$1,""))))</f>
        <v>2021 Canadian Championships</v>
      </c>
      <c r="N5" s="13">
        <f>IF(COUNT(AQ5,AT5,BR5,BU5,CS5,CV5)&gt;2,LARGE((AQ5,AT5,BR5,BU5,CS5,CV5),3),0)</f>
        <v>57.89500000000001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57.510000000000005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16.3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Elite Canada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16.91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2021 Canadian Championships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/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>IF(AA5&gt;0,AA5,"")</f>
        <v>15.2</v>
      </c>
      <c r="AP5" s="74">
        <f>IF(AB5&gt;0,AB5,"")</f>
        <v>16.225000000000001</v>
      </c>
      <c r="AQ5" s="76">
        <f>IF(SUM(Y5:AB5)-AC5&gt;0,SUM(Y5:AB5)-AC5,"")</f>
        <v>57.524999999999999</v>
      </c>
      <c r="AR5" s="76">
        <f>IF(AF5&gt;0,AF5,"")</f>
        <v>15.2</v>
      </c>
      <c r="AS5" s="76">
        <f>IF(AG5&gt;0,AG5,"")</f>
        <v>16.11</v>
      </c>
      <c r="AT5" s="76">
        <f>IF(SUM(AD5:AG5)-AH5&gt;0,SUM(AD5:AG5)-AH5,"")</f>
        <v>57.61</v>
      </c>
      <c r="AU5" s="76">
        <f>IF(AQ5="","",MAX(AQ5,AT5))</f>
        <v>57.61</v>
      </c>
      <c r="AV5" s="76">
        <f>IF(AK5&gt;0,AK5,"")</f>
        <v>15.6</v>
      </c>
      <c r="AW5" s="76">
        <f>IF(AL5&gt;0,AL5,"")</f>
        <v>16.04</v>
      </c>
      <c r="AX5" s="76">
        <f>IF(SUM(AI5:AL5)-AM5&gt;0,SUM(AI5:AL5)-AM5,"")</f>
        <v>55.84</v>
      </c>
      <c r="AY5" s="76">
        <f>IF(SUM(AU5,AX5)&gt;0,SUM(AU5,AX5),"")</f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>IF(BB5&gt;0,BB5,"")</f>
        <v>15</v>
      </c>
      <c r="BQ5" s="75">
        <f>IF(BC5&gt;0,BC5,"")</f>
        <v>16.91</v>
      </c>
      <c r="BR5" s="16">
        <f>IF(SUM(AZ5:BC5)-BD5&gt;0,SUM(AZ5:BC5)-BD5,"")</f>
        <v>57.91</v>
      </c>
      <c r="BS5" s="16">
        <f>IF(BG5&gt;0,BG5,"")</f>
        <v>15</v>
      </c>
      <c r="BT5" s="16">
        <f>IF(BH5&gt;0,BH5,"")</f>
        <v>16.495000000000001</v>
      </c>
      <c r="BU5" s="16">
        <f>IF(SUM(BE5:BH5)-BI5&gt;0,SUM(BE5:BH5)-BI5,"")</f>
        <v>57.89500000000001</v>
      </c>
      <c r="BV5" s="16">
        <f>IF(BR5="","",MAX(BR5,BU5))</f>
        <v>57.91</v>
      </c>
      <c r="BW5" s="16">
        <f>IF(BL5&gt;0,BL5,"")</f>
        <v>15</v>
      </c>
      <c r="BX5" s="16">
        <f>IF(BM5&gt;0,BM5,"")</f>
        <v>16.41</v>
      </c>
      <c r="BY5" s="16">
        <f>IF(SUM(BJ5:BM5)-BN5&gt;0,SUM(BJ5:BM5)-BN5,"")</f>
        <v>57.510000000000005</v>
      </c>
      <c r="BZ5" s="16">
        <f>IF(SUM(BV5,BY5)&gt;0,SUM(BV5,BY5),"")</f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>IF(CC5&gt;0,CC5,"")</f>
        <v>15.4</v>
      </c>
      <c r="CR5" s="74">
        <f>IF(CD5&gt;0,CD5,"")</f>
        <v>16.574999999999999</v>
      </c>
      <c r="CS5" s="76">
        <f>IF(SUM(CA5:CD5)-CE5&gt;0,SUM(CA5:CD5)-CE5,"")</f>
        <v>58.174999999999997</v>
      </c>
      <c r="CT5" s="76">
        <f>IF(CH5&gt;0,CH5,"")</f>
        <v>3.6</v>
      </c>
      <c r="CU5" s="76">
        <f>IF(CI5&gt;0,CI5,"")</f>
        <v>3.5150000000000001</v>
      </c>
      <c r="CV5" s="76">
        <f>IF(SUM(CF5:CI5)-CJ5&gt;0,SUM(CF5:CI5)-CJ5,"")</f>
        <v>11.815000000000001</v>
      </c>
      <c r="CW5" s="76">
        <f>IF(CS5="","",MAX(CS5,CV5))</f>
        <v>58.174999999999997</v>
      </c>
      <c r="CX5" s="76">
        <f>IF(CM5&gt;0,CM5,"")</f>
        <v>16.3</v>
      </c>
      <c r="CY5" s="76">
        <f>IF(CN5&gt;0,CN5,"")</f>
        <v>16.295000000000002</v>
      </c>
      <c r="CZ5" s="76">
        <f>IF(SUM(CK5:CN5)-CO5&gt;0,SUM(CK5:CN5)-CO5,"")</f>
        <v>56.995000000000005</v>
      </c>
      <c r="DA5" s="76">
        <f>IF(SUM(CW5,CZ5)&gt;0,SUM(CW5,CZ5),"")</f>
        <v>115.17</v>
      </c>
      <c r="DB5" s="87" t="str">
        <f>IF(L5&gt;=0.001,IF(MAX(ED5,FL5,GT5,IB5,JJ5,KR5,LZ5,NH5,OP5,PX5,RF5,SN5)-IF(L5="",0,L5)&gt;0.001,MAX(ED5,FL5,GT5,IB5,JJ5,KR5,LZ5,NH5,OP5,PX5,RF5,SN5)-IF(L5="",0,L5),""),"")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17</v>
      </c>
      <c r="DE5" s="25">
        <v>9.6</v>
      </c>
      <c r="DF5" s="25">
        <v>15</v>
      </c>
      <c r="DG5" s="25">
        <v>15.76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>
        <v>16.600000000000001</v>
      </c>
      <c r="DT5" s="25">
        <v>9.4</v>
      </c>
      <c r="DU5" s="25">
        <v>15</v>
      </c>
      <c r="DV5" s="25">
        <v>15.994999999999999</v>
      </c>
      <c r="DW5" s="25">
        <v>0</v>
      </c>
      <c r="DX5" s="76">
        <f>IF(DF5&gt;0,DF5,"")</f>
        <v>15</v>
      </c>
      <c r="DY5" s="76">
        <f>IF(DG5&gt;0,DG5,"")</f>
        <v>15.76</v>
      </c>
      <c r="DZ5" s="76">
        <f>IF(SUM(DD5:DG5)-DH5&gt;0,SUM(DD5:DG5)-DH5,"")</f>
        <v>57.36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57.36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>
        <f>IF(DU5&gt;0,DU5,"")</f>
        <v>15</v>
      </c>
      <c r="EI5" s="76">
        <f>IF(DV5&gt;0,DV5,"")</f>
        <v>15.994999999999999</v>
      </c>
      <c r="EJ5" s="76">
        <f>IF(SUM(DS5:DV5)-DW5&gt;0,SUM(DS5:DV5)-DW5,"")</f>
        <v>56.994999999999997</v>
      </c>
      <c r="EK5" s="76">
        <f>IF(SUM(ED5,EJ5)&gt;0,SUM(ED5,EJ5),"")</f>
        <v>114.35499999999999</v>
      </c>
      <c r="EL5" s="26">
        <v>14.1</v>
      </c>
      <c r="EM5" s="26">
        <v>8.6999999999999993</v>
      </c>
      <c r="EN5" s="26">
        <v>15.9</v>
      </c>
      <c r="EO5" s="26">
        <v>15.9</v>
      </c>
      <c r="EP5" s="26">
        <v>0</v>
      </c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>
        <f>IF(EN5&gt;0,EN5,"")</f>
        <v>15.9</v>
      </c>
      <c r="FG5" s="16">
        <f>IF(EO5&gt;0,EO5,"")</f>
        <v>15.9</v>
      </c>
      <c r="FH5" s="16">
        <f>IF(SUM(EL5:EO5)-EP5&gt;0,SUM(EL5:EO5)-EP5,"")</f>
        <v>54.599999999999994</v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>
        <f>IF(MAX(FH5,FK5)&gt;0,MAX(FH5,FK5),"")</f>
        <v>54.599999999999994</v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>
        <f>IF(SUM(FL5,FR5)&gt;0,SUM(FL5,FR5),"")</f>
        <v>54.599999999999994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>
        <v>11.7</v>
      </c>
      <c r="IK5" s="25">
        <v>7.4</v>
      </c>
      <c r="IL5" s="25">
        <v>13</v>
      </c>
      <c r="IM5" s="25">
        <v>12.7</v>
      </c>
      <c r="IN5" s="25">
        <v>0</v>
      </c>
      <c r="IO5" s="25">
        <v>15</v>
      </c>
      <c r="IP5" s="25">
        <v>8.9</v>
      </c>
      <c r="IQ5" s="25">
        <v>15.5</v>
      </c>
      <c r="IR5" s="25">
        <v>15.53</v>
      </c>
      <c r="IS5" s="25">
        <v>0</v>
      </c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>
        <f>IF(IL5&gt;0,IL5,"")</f>
        <v>13</v>
      </c>
      <c r="JE5" s="76">
        <f>IF(IM5&gt;0,IM5,"")</f>
        <v>12.7</v>
      </c>
      <c r="JF5" s="76">
        <f>IF(SUM(IJ5:IM5)-IN5&gt;0,SUM(IJ5:IM5)-IN5,"")</f>
        <v>44.8</v>
      </c>
      <c r="JG5" s="76">
        <f>IF(IQ5&gt;0,IQ5,"")</f>
        <v>15.5</v>
      </c>
      <c r="JH5" s="76">
        <f>IF(IR5&gt;0,IR5,"")</f>
        <v>15.53</v>
      </c>
      <c r="JI5" s="76">
        <f>IF(SUM(IO5:IR5)-IS5&gt;0,SUM(IO5:IR5)-IS5,"")</f>
        <v>54.93</v>
      </c>
      <c r="JJ5" s="76">
        <f>IF(MAX(JF5,JI5)&gt;0,MAX(JF5,JI5),"")</f>
        <v>54.93</v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>
        <f>IF(SUM(JJ5,JP5)&gt;0,SUM(JJ5,JP5),"")</f>
        <v>54.93</v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16.850000000000001</v>
      </c>
      <c r="SW5" s="42">
        <f>IF($CP5="P",CB5,(CB5+BA5)/2)</f>
        <v>9.25</v>
      </c>
      <c r="SX5" s="42">
        <f>IF($CP5="P",CC5,(CC5+BB5)/2)</f>
        <v>15.2</v>
      </c>
      <c r="SY5" s="42">
        <f>IF($CP5="P",CD5,(CD5+BC5)/2)</f>
        <v>16.7425</v>
      </c>
      <c r="SZ5" s="42">
        <f>IF($CP5="P",CE5,(CE5+BD5)/2)</f>
        <v>0</v>
      </c>
      <c r="TA5" s="42">
        <f>IF($CP5="P",CF5,(CF5+BE5)/2)</f>
        <v>10.100000000000001</v>
      </c>
      <c r="TB5" s="42">
        <f>IF($CP5="P",CG5,(CG5+BF5)/2)</f>
        <v>5.45</v>
      </c>
      <c r="TC5" s="42">
        <f>IF($CP5="P",CH5,(CH5+BG5)/2)</f>
        <v>9.3000000000000007</v>
      </c>
      <c r="TD5" s="42">
        <f>IF($CP5="P",CI5,(CI5+BH5)/2)</f>
        <v>10.005000000000001</v>
      </c>
      <c r="TE5" s="42">
        <f>IF($CP5="P",CJ5,(CJ5+BI5)/2)</f>
        <v>0</v>
      </c>
      <c r="TF5" s="42">
        <f>IF($CP5="P",CK5,(CK5+BJ5)/2)</f>
        <v>16.399999999999999</v>
      </c>
      <c r="TG5" s="42">
        <f>IF($CP5="P",CL5,(CL5+BK5)/2)</f>
        <v>8.85</v>
      </c>
      <c r="TH5" s="42">
        <f>IF($CP5="P",CM5,(CM5+BL5)/2)</f>
        <v>15.65</v>
      </c>
      <c r="TI5" s="42">
        <f>IF($CP5="P",CN5,(CN5+BM5)/2)</f>
        <v>16.352499999999999</v>
      </c>
      <c r="TJ5" s="42">
        <f>IF($CP5="P",CO5,(CO5+BN5)/2)</f>
        <v>0</v>
      </c>
      <c r="TK5" s="51" t="s">
        <v>61</v>
      </c>
      <c r="TL5" s="76">
        <f>IF(SX5&gt;0,SX5,"")</f>
        <v>15.2</v>
      </c>
      <c r="TM5" s="76">
        <f>IF(SY5&gt;0,SY5,"")</f>
        <v>16.7425</v>
      </c>
      <c r="TN5" s="76">
        <f>IF(SUM(SV5:SY5)-SZ5&gt;0,SUM(SV5:SY5)-SZ5,"")</f>
        <v>58.042499999999997</v>
      </c>
      <c r="TO5" s="76">
        <f>IF(TC5&gt;0,TC5,"")</f>
        <v>9.3000000000000007</v>
      </c>
      <c r="TP5" s="76">
        <f>IF(TD5&gt;0,TD5,"")</f>
        <v>10.005000000000001</v>
      </c>
      <c r="TQ5" s="76">
        <f>IF(SUM(TA5:TD5)-TE5&gt;0,SUM(TA5:TD5)-TE5,"")</f>
        <v>34.855000000000004</v>
      </c>
      <c r="TR5" s="76">
        <f>IF(MAX(TN5,TQ5)&gt;0,MAX(TN5,TQ5),"")</f>
        <v>58.042499999999997</v>
      </c>
      <c r="TS5" s="76">
        <f>IF(TH5&gt;0,TH5,"")</f>
        <v>15.65</v>
      </c>
      <c r="TT5" s="76">
        <f>IF(TI5&gt;0,TI5,"")</f>
        <v>16.352499999999999</v>
      </c>
      <c r="TU5" s="76">
        <f>IF(SUM(TF5:TI5)-TJ5&gt;0,SUM(TF5:TI5)-TJ5,"")</f>
        <v>57.252499999999998</v>
      </c>
      <c r="TV5" s="76">
        <f>IF(SUM(TR5,TU5)&gt;0,SUM(TR5,TU5),"")</f>
        <v>115.29499999999999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>SUM(J6:V6)+SUM(J6:T6)*0.0000001+SUM(J6)*0.0000000000001</f>
        <v>261.34002613400565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Worlds Team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56.930000000000007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56.72999999999999</v>
      </c>
      <c r="M6" s="13" t="str">
        <f>IF(L6="","",IF(OR(L6=CS6,L6=CV6),$CA$1,IF(OR(L6=BR6,L6=BU6),$AZ$1,IF(OR(L6=AQ6,L6=AT6),$Y$1,""))))</f>
        <v>2021 Canadian Championships</v>
      </c>
      <c r="N6" s="13">
        <f>IF(COUNT(AQ6,AT6,BR6,BU6,CS6,CV6)&gt;2,LARGE((AQ6,AT6,BR6,BU6,CS6,CV6),3),0)</f>
        <v>56.69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57.894999999999996</v>
      </c>
      <c r="Q6" s="13" t="str">
        <f>IF(P6="","",IF(P6=CZ6,$CA$1,IF(P6=BY6,$AZ$1,IF(P6=AX6,$Y$1,""))))</f>
        <v>2021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Elite Canada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16.895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2021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>IF(AA6&gt;0,AA6,"")</f>
        <v>3.8</v>
      </c>
      <c r="AP6" s="74">
        <f>IF(AB6&gt;0,AB6,"")</f>
        <v>3.63</v>
      </c>
      <c r="AQ6" s="76">
        <f>IF(SUM(Y6:AB6)-AC6&gt;0,SUM(Y6:AB6)-AC6,"")</f>
        <v>12.43</v>
      </c>
      <c r="AR6" s="76">
        <f>IF(AF6&gt;0,AF6,"")</f>
        <v>7.1</v>
      </c>
      <c r="AS6" s="76">
        <f>IF(AG6&gt;0,AG6,"")</f>
        <v>7.08</v>
      </c>
      <c r="AT6" s="76">
        <f>IF(SUM(AD6:AG6)-AH6&gt;0,SUM(AD6:AG6)-AH6,"")</f>
        <v>24.479999999999997</v>
      </c>
      <c r="AU6" s="76">
        <f>IF(AQ6="","",MAX(AQ6,AT6))</f>
        <v>24.479999999999997</v>
      </c>
      <c r="AV6" s="76">
        <f>IF(AK6&gt;0,AK6,"")</f>
        <v>15.8</v>
      </c>
      <c r="AW6" s="76">
        <f>IF(AL6&gt;0,AL6,"")</f>
        <v>16.895</v>
      </c>
      <c r="AX6" s="76">
        <f>IF(SUM(AI6:AL6)-AM6&gt;0,SUM(AI6:AL6)-AM6,"")</f>
        <v>57.894999999999996</v>
      </c>
      <c r="AY6" s="76">
        <f>IF(SUM(AU6,AX6)&gt;0,SUM(AU6,AX6),"")</f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>IF(BB6&gt;0,BB6,"")</f>
        <v>16.2</v>
      </c>
      <c r="BQ6" s="75">
        <f>IF(BC6&gt;0,BC6,"")</f>
        <v>16.63</v>
      </c>
      <c r="BR6" s="16">
        <f>IF(SUM(AZ6:BC6)-BD6&gt;0,SUM(AZ6:BC6)-BD6,"")</f>
        <v>56.72999999999999</v>
      </c>
      <c r="BS6" s="16">
        <f>IF(BG6&gt;0,BG6,"")</f>
        <v>16.2</v>
      </c>
      <c r="BT6" s="16">
        <f>IF(BH6&gt;0,BH6,"")</f>
        <v>16.73</v>
      </c>
      <c r="BU6" s="16">
        <f>IF(SUM(BE6:BH6)-BI6&gt;0,SUM(BE6:BH6)-BI6,"")</f>
        <v>56.930000000000007</v>
      </c>
      <c r="BV6" s="16">
        <f>IF(BR6="","",MAX(BR6,BU6))</f>
        <v>56.930000000000007</v>
      </c>
      <c r="BW6" s="16">
        <f>IF(BL6&gt;0,BL6,"")</f>
        <v>2</v>
      </c>
      <c r="BX6" s="16">
        <f>IF(BM6&gt;0,BM6,"")</f>
        <v>1.8</v>
      </c>
      <c r="BY6" s="16">
        <f>IF(SUM(BJ6:BM6)-BN6&gt;0,SUM(BJ6:BM6)-BN6,"")</f>
        <v>6.3</v>
      </c>
      <c r="BZ6" s="16">
        <f>IF(SUM(BV6,BY6)&gt;0,SUM(BV6,BY6),"")</f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>IF(CC6&gt;0,CC6,"")</f>
        <v>16.2</v>
      </c>
      <c r="CR6" s="74">
        <f>IF(CD6&gt;0,CD6,"")</f>
        <v>16.07</v>
      </c>
      <c r="CS6" s="76">
        <f>IF(SUM(CA6:CD6)-CE6&gt;0,SUM(CA6:CD6)-CE6,"")</f>
        <v>56.57</v>
      </c>
      <c r="CT6" s="76">
        <f>IF(CH6&gt;0,CH6,"")</f>
        <v>16.2</v>
      </c>
      <c r="CU6" s="76">
        <f>IF(CI6&gt;0,CI6,"")</f>
        <v>16.39</v>
      </c>
      <c r="CV6" s="76">
        <f>IF(SUM(CF6:CI6)-CJ6&gt;0,SUM(CF6:CI6)-CJ6,"")</f>
        <v>56.69</v>
      </c>
      <c r="CW6" s="76">
        <f>IF(CS6="","",MAX(CS6,CV6))</f>
        <v>56.69</v>
      </c>
      <c r="CX6" s="76">
        <f>IF(CM6&gt;0,CM6,"")</f>
        <v>16.2</v>
      </c>
      <c r="CY6" s="76">
        <f>IF(CN6&gt;0,CN6,"")</f>
        <v>16.11</v>
      </c>
      <c r="CZ6" s="76">
        <f>IF(SUM(CK6:CN6)-CO6&gt;0,SUM(CK6:CN6)-CO6,"")</f>
        <v>55.209999999999994</v>
      </c>
      <c r="DA6" s="76">
        <f>IF(SUM(CW6,CZ6)&gt;0,SUM(CW6,CZ6),"")</f>
        <v>111.89999999999999</v>
      </c>
      <c r="DB6" s="87" t="str">
        <f>IF(L6&gt;=0.001,IF(MAX(ED6,FL6,GT6,IB6,JJ6,KR6,LZ6,NH6,OP6,PX6,RF6,SN6)-IF(L6="",0,L6)&gt;0.001,MAX(ED6,FL6,GT6,IB6,JJ6,KR6,LZ6,NH6,OP6,PX6,RF6,SN6)-IF(L6="",0,L6),""),"")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>IF(DF6&gt;0,DF6,"")</f>
        <v/>
      </c>
      <c r="DY6" s="76" t="str">
        <f>IF(DG6&gt;0,DG6,"")</f>
        <v/>
      </c>
      <c r="DZ6" s="76" t="str">
        <f>IF(SUM(DD6:DG6)-DH6&gt;0,SUM(DD6:DG6)-DH6,"")</f>
        <v/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 t="str">
        <f>IF(MAX(DZ6,EC6)&gt;0,MAX(DZ6,EC6),"")</f>
        <v/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 t="str">
        <f>IF(SUM(ED6,EJ6)&gt;0,SUM(ED6,EJ6),"")</f>
        <v/>
      </c>
      <c r="EL6" s="26">
        <v>13.8</v>
      </c>
      <c r="EM6" s="26">
        <v>9.1999999999999993</v>
      </c>
      <c r="EN6" s="26">
        <v>15.6</v>
      </c>
      <c r="EO6" s="26">
        <v>15.6</v>
      </c>
      <c r="EP6" s="26">
        <v>0</v>
      </c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>
        <f>IF(EN6&gt;0,EN6,"")</f>
        <v>15.6</v>
      </c>
      <c r="FG6" s="16">
        <f>IF(EO6&gt;0,EO6,"")</f>
        <v>15.6</v>
      </c>
      <c r="FH6" s="16">
        <f>IF(SUM(EL6:EO6)-EP6&gt;0,SUM(EL6:EO6)-EP6,"")</f>
        <v>54.2</v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>
        <f>IF(MAX(FH6,FK6)&gt;0,MAX(FH6,FK6),"")</f>
        <v>54.2</v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>
        <f>IF(SUM(FL6,FR6)&gt;0,SUM(FL6,FR6),"")</f>
        <v>54.2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>
        <v>13.3</v>
      </c>
      <c r="IK6" s="25">
        <v>9.4</v>
      </c>
      <c r="IL6" s="25">
        <v>16.2</v>
      </c>
      <c r="IM6" s="25">
        <v>15.25</v>
      </c>
      <c r="IN6" s="25">
        <v>0</v>
      </c>
      <c r="IO6" s="25">
        <v>13.8</v>
      </c>
      <c r="IP6" s="25">
        <v>9.3000000000000007</v>
      </c>
      <c r="IQ6" s="25">
        <v>16.2</v>
      </c>
      <c r="IR6" s="25">
        <v>15.32</v>
      </c>
      <c r="IS6" s="25">
        <v>0</v>
      </c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>
        <f>IF(IL6&gt;0,IL6,"")</f>
        <v>16.2</v>
      </c>
      <c r="JE6" s="76">
        <f>IF(IM6&gt;0,IM6,"")</f>
        <v>15.25</v>
      </c>
      <c r="JF6" s="76">
        <f>IF(SUM(IJ6:IM6)-IN6&gt;0,SUM(IJ6:IM6)-IN6,"")</f>
        <v>54.150000000000006</v>
      </c>
      <c r="JG6" s="76">
        <f>IF(IQ6&gt;0,IQ6,"")</f>
        <v>16.2</v>
      </c>
      <c r="JH6" s="76">
        <f>IF(IR6&gt;0,IR6,"")</f>
        <v>15.32</v>
      </c>
      <c r="JI6" s="76">
        <f>IF(SUM(IO6:IR6)-IS6&gt;0,SUM(IO6:IR6)-IS6,"")</f>
        <v>54.62</v>
      </c>
      <c r="JJ6" s="76">
        <f>IF(MAX(JF6,JI6)&gt;0,MAX(JF6,JI6),"")</f>
        <v>54.62</v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>
        <f>IF(SUM(JJ6,JP6)&gt;0,SUM(JJ6,JP6),"")</f>
        <v>54.62</v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14.8</v>
      </c>
      <c r="SW6" s="42">
        <f>IF($CP6="P",CB6,(CB6+BA6)/2)</f>
        <v>9.3000000000000007</v>
      </c>
      <c r="SX6" s="42">
        <f>IF($CP6="P",CC6,(CC6+BB6)/2)</f>
        <v>16.2</v>
      </c>
      <c r="SY6" s="42">
        <f>IF($CP6="P",CD6,(CD6+BC6)/2)</f>
        <v>16.350000000000001</v>
      </c>
      <c r="SZ6" s="42">
        <f>IF($CP6="P",CE6,(CE6+BD6)/2)</f>
        <v>0</v>
      </c>
      <c r="TA6" s="42">
        <f>IF($CP6="P",CF6,(CF6+BE6)/2)</f>
        <v>14.9</v>
      </c>
      <c r="TB6" s="42">
        <f>IF($CP6="P",CG6,(CG6+BF6)/2)</f>
        <v>9.1499999999999986</v>
      </c>
      <c r="TC6" s="42">
        <f>IF($CP6="P",CH6,(CH6+BG6)/2)</f>
        <v>16.2</v>
      </c>
      <c r="TD6" s="42">
        <f>IF($CP6="P",CI6,(CI6+BH6)/2)</f>
        <v>16.560000000000002</v>
      </c>
      <c r="TE6" s="42">
        <f>IF($CP6="P",CJ6,(CJ6+BI6)/2)</f>
        <v>0</v>
      </c>
      <c r="TF6" s="42">
        <f>IF($CP6="P",CK6,(CK6+BJ6)/2)</f>
        <v>7.8999999999999995</v>
      </c>
      <c r="TG6" s="42">
        <f>IF($CP6="P",CL6,(CL6+BK6)/2)</f>
        <v>4.9000000000000004</v>
      </c>
      <c r="TH6" s="42">
        <f>IF($CP6="P",CM6,(CM6+BL6)/2)</f>
        <v>9.1</v>
      </c>
      <c r="TI6" s="42">
        <f>IF($CP6="P",CN6,(CN6+BM6)/2)</f>
        <v>8.9550000000000001</v>
      </c>
      <c r="TJ6" s="42">
        <f>IF($CP6="P",CO6,(CO6+BN6)/2)</f>
        <v>0.1</v>
      </c>
      <c r="TK6" s="51" t="s">
        <v>61</v>
      </c>
      <c r="TL6" s="76">
        <f>IF(SX6&gt;0,SX6,"")</f>
        <v>16.2</v>
      </c>
      <c r="TM6" s="76">
        <f>IF(SY6&gt;0,SY6,"")</f>
        <v>16.350000000000001</v>
      </c>
      <c r="TN6" s="76">
        <f>IF(SUM(SV6:SY6)-SZ6&gt;0,SUM(SV6:SY6)-SZ6,"")</f>
        <v>56.65</v>
      </c>
      <c r="TO6" s="76">
        <f>IF(TC6&gt;0,TC6,"")</f>
        <v>16.2</v>
      </c>
      <c r="TP6" s="76">
        <f>IF(TD6&gt;0,TD6,"")</f>
        <v>16.560000000000002</v>
      </c>
      <c r="TQ6" s="76">
        <f>IF(SUM(TA6:TD6)-TE6&gt;0,SUM(TA6:TD6)-TE6,"")</f>
        <v>56.81</v>
      </c>
      <c r="TR6" s="76">
        <f>IF(MAX(TN6,TQ6)&gt;0,MAX(TN6,TQ6),"")</f>
        <v>56.81</v>
      </c>
      <c r="TS6" s="76">
        <f>IF(TH6&gt;0,TH6,"")</f>
        <v>9.1</v>
      </c>
      <c r="TT6" s="76">
        <f>IF(TI6&gt;0,TI6,"")</f>
        <v>8.9550000000000001</v>
      </c>
      <c r="TU6" s="76">
        <f>IF(SUM(TF6:TI6)-TJ6&gt;0,SUM(TF6:TI6)-TJ6,"")</f>
        <v>30.754999999999995</v>
      </c>
      <c r="TV6" s="76">
        <f>IF(SUM(TR6,TU6)&gt;0,SUM(TR6,TU6),"")</f>
        <v>87.564999999999998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>SUM(J7:V7)+SUM(J7:T7)*0.0000001+SUM(J7)*0.0000000000001</f>
        <v>258.38002583800568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56.83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56.614999999999995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</v>
      </c>
      <c r="O7" s="13" t="str">
        <f>IF(N7="","",IF(OR(N7=CS7,N7=CV7),$CA$1,IF(OR(N7=BR7,N7=BU7),$AZ$1,IF(OR(N7=AQ7,N7=AT7),$Y$1,""))))</f>
        <v>2021 Elite Canada</v>
      </c>
      <c r="P7" s="13">
        <f>IF(MAX(AX7,BY7,CZ7)&gt;0,MAX(AX7,BY7,CZ7),0)</f>
        <v>56.304999999999993</v>
      </c>
      <c r="Q7" s="13" t="str">
        <f>IF(P7="","",IF(P7=CZ7,$CA$1,IF(P7=BY7,$AZ$1,IF(P7=AX7,$Y$1,""))))</f>
        <v>2021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15.4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Elite Canada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16.829999999999998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>2021 Canadian Championships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>IF(AA7&gt;0,AA7,"")</f>
        <v>15</v>
      </c>
      <c r="AP7" s="74">
        <f>IF(AB7&gt;0,AB7,"")</f>
        <v>15.86</v>
      </c>
      <c r="AQ7" s="76">
        <f>IF(SUM(Y7:AB7)-AC7&gt;0,SUM(Y7:AB7)-AC7,"")</f>
        <v>55.06</v>
      </c>
      <c r="AR7" s="76">
        <f>IF(AF7&gt;0,AF7,"")</f>
        <v>15.4</v>
      </c>
      <c r="AS7" s="76">
        <f>IF(AG7&gt;0,AG7,"")</f>
        <v>16.600000000000001</v>
      </c>
      <c r="AT7" s="76">
        <f>IF(SUM(AD7:AG7)-AH7&gt;0,SUM(AD7:AG7)-AH7,"")</f>
        <v>56.4</v>
      </c>
      <c r="AU7" s="76">
        <f>IF(AQ7="","",MAX(AQ7,AT7))</f>
        <v>56.4</v>
      </c>
      <c r="AV7" s="76">
        <f>IF(AK7&gt;0,AK7,"")</f>
        <v>15</v>
      </c>
      <c r="AW7" s="76">
        <f>IF(AL7&gt;0,AL7,"")</f>
        <v>16.504999999999999</v>
      </c>
      <c r="AX7" s="76">
        <f>IF(SUM(AI7:AL7)-AM7&gt;0,SUM(AI7:AL7)-AM7,"")</f>
        <v>56.304999999999993</v>
      </c>
      <c r="AY7" s="76">
        <f>IF(SUM(AU7,AX7)&gt;0,SUM(AU7,AX7),"")</f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>IF(BB7&gt;0,BB7,"")</f>
        <v>15</v>
      </c>
      <c r="BQ7" s="75">
        <f>IF(BC7&gt;0,BC7,"")</f>
        <v>16.565000000000001</v>
      </c>
      <c r="BR7" s="16">
        <f>IF(SUM(AZ7:BC7)-BD7&gt;0,SUM(AZ7:BC7)-BD7,"")</f>
        <v>56.364999999999995</v>
      </c>
      <c r="BS7" s="16">
        <f>IF(BG7&gt;0,BG7,"")</f>
        <v>15.4</v>
      </c>
      <c r="BT7" s="16">
        <f>IF(BH7&gt;0,BH7,"")</f>
        <v>16.829999999999998</v>
      </c>
      <c r="BU7" s="16">
        <f>IF(SUM(BE7:BH7)-BI7&gt;0,SUM(BE7:BH7)-BI7,"")</f>
        <v>56.83</v>
      </c>
      <c r="BV7" s="16">
        <f>IF(BR7="","",MAX(BR7,BU7))</f>
        <v>56.83</v>
      </c>
      <c r="BW7" s="16">
        <f>IF(BL7&gt;0,BL7,"")</f>
        <v>13.4</v>
      </c>
      <c r="BX7" s="16">
        <f>IF(BM7&gt;0,BM7,"")</f>
        <v>16.350000000000001</v>
      </c>
      <c r="BY7" s="16">
        <f>IF(SUM(BJ7:BM7)-BN7&gt;0,SUM(BJ7:BM7)-BN7,"")</f>
        <v>53.75</v>
      </c>
      <c r="BZ7" s="16">
        <f>IF(SUM(BV7,BY7)&gt;0,SUM(BV7,BY7),"")</f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>IF(CC7&gt;0,CC7,"")</f>
        <v>15</v>
      </c>
      <c r="CR7" s="74">
        <f>IF(CD7&gt;0,CD7,"")</f>
        <v>16.213000000000001</v>
      </c>
      <c r="CS7" s="76">
        <f>IF(SUM(CA7:CD7)-CE7&gt;0,SUM(CA7:CD7)-CE7,"")</f>
        <v>55.713000000000001</v>
      </c>
      <c r="CT7" s="76">
        <f>IF(CH7&gt;0,CH7,"")</f>
        <v>15.4</v>
      </c>
      <c r="CU7" s="76">
        <f>IF(CI7&gt;0,CI7,"")</f>
        <v>16.715</v>
      </c>
      <c r="CV7" s="76">
        <f>IF(SUM(CF7:CI7)-CJ7&gt;0,SUM(CF7:CI7)-CJ7,"")</f>
        <v>56.614999999999995</v>
      </c>
      <c r="CW7" s="76">
        <f>IF(CS7="","",MAX(CS7,CV7))</f>
        <v>56.614999999999995</v>
      </c>
      <c r="CX7" s="76">
        <f>IF(CM7&gt;0,CM7,"")</f>
        <v>14.2</v>
      </c>
      <c r="CY7" s="76">
        <f>IF(CN7&gt;0,CN7,"")</f>
        <v>16.428000000000001</v>
      </c>
      <c r="CZ7" s="76">
        <f>IF(SUM(CK7:CN7)-CO7&gt;0,SUM(CK7:CN7)-CO7,"")</f>
        <v>55.028000000000006</v>
      </c>
      <c r="DA7" s="76">
        <f>IF(SUM(CW7,CZ7)&gt;0,SUM(CW7,CZ7),"")</f>
        <v>111.643</v>
      </c>
      <c r="DB7" s="87" t="str">
        <f>IF(L7&gt;=0.001,IF(MAX(ED7,FL7,GT7,IB7,JJ7,KR7,LZ7,NH7,OP7,PX7,RF7,SN7)-IF(L7="",0,L7)&gt;0.001,MAX(ED7,FL7,GT7,IB7,JJ7,KR7,LZ7,NH7,OP7,PX7,RF7,SN7)-IF(L7="",0,L7),""),"")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>IF(DF7&gt;0,DF7,"")</f>
        <v/>
      </c>
      <c r="DY7" s="76" t="str">
        <f>IF(DG7&gt;0,DG7,"")</f>
        <v/>
      </c>
      <c r="DZ7" s="76" t="str">
        <f>IF(SUM(DD7:DG7)-DH7&gt;0,SUM(DD7:DG7)-DH7,"")</f>
        <v/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 t="str">
        <f>IF(MAX(DZ7,EC7)&gt;0,MAX(DZ7,EC7),"")</f>
        <v/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 t="str">
        <f>IF(SUM(ED7,EJ7)&gt;0,SUM(ED7,EJ7),"")</f>
        <v/>
      </c>
      <c r="EL7" s="26">
        <v>14</v>
      </c>
      <c r="EM7" s="26">
        <v>9.5</v>
      </c>
      <c r="EN7" s="26">
        <v>15</v>
      </c>
      <c r="EO7" s="26">
        <v>15.64</v>
      </c>
      <c r="EP7" s="26">
        <v>0</v>
      </c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>
        <f>IF(EN7&gt;0,EN7,"")</f>
        <v>15</v>
      </c>
      <c r="FG7" s="16">
        <f>IF(EO7&gt;0,EO7,"")</f>
        <v>15.64</v>
      </c>
      <c r="FH7" s="16">
        <f>IF(SUM(EL7:EO7)-EP7&gt;0,SUM(EL7:EO7)-EP7,"")</f>
        <v>54.14</v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>
        <f>IF(MAX(FH7,FK7)&gt;0,MAX(FH7,FK7),"")</f>
        <v>54.14</v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>
        <f>IF(SUM(FL7,FR7)&gt;0,SUM(FL7,FR7),"")</f>
        <v>54.14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15.25</v>
      </c>
      <c r="SW7" s="42">
        <f>IF($CP7="P",CB7,(CB7+BA7)/2)</f>
        <v>9.25</v>
      </c>
      <c r="SX7" s="42">
        <f>IF($CP7="P",CC7,(CC7+BB7)/2)</f>
        <v>15</v>
      </c>
      <c r="SY7" s="42">
        <f>IF($CP7="P",CD7,(CD7+BC7)/2)</f>
        <v>16.213000000000001</v>
      </c>
      <c r="SZ7" s="42">
        <f>IF($CP7="P",CE7,(CE7+BD7)/2)</f>
        <v>0</v>
      </c>
      <c r="TA7" s="42">
        <f>IF($CP7="P",CF7,(CF7+BE7)/2)</f>
        <v>15.4</v>
      </c>
      <c r="TB7" s="42">
        <f>IF($CP7="P",CG7,(CG7+BF7)/2)</f>
        <v>9.1</v>
      </c>
      <c r="TC7" s="42">
        <f>IF($CP7="P",CH7,(CH7+BG7)/2)</f>
        <v>15.4</v>
      </c>
      <c r="TD7" s="42">
        <f>IF($CP7="P",CI7,(CI7+BH7)/2)</f>
        <v>16.715</v>
      </c>
      <c r="TE7" s="42">
        <f>IF($CP7="P",CJ7,(CJ7+BI7)/2)</f>
        <v>0</v>
      </c>
      <c r="TF7" s="42">
        <f>IF($CP7="P",CK7,(CK7+BJ7)/2)</f>
        <v>15.55</v>
      </c>
      <c r="TG7" s="42">
        <f>IF($CP7="P",CL7,(CL7+BK7)/2)</f>
        <v>8.8999999999999986</v>
      </c>
      <c r="TH7" s="42">
        <f>IF($CP7="P",CM7,(CM7+BL7)/2)</f>
        <v>14.2</v>
      </c>
      <c r="TI7" s="42">
        <f>IF($CP7="P",CN7,(CN7+BM7)/2)</f>
        <v>16.428000000000001</v>
      </c>
      <c r="TJ7" s="42">
        <f>IF($CP7="P",CO7,(CO7+BN7)/2)</f>
        <v>0.05</v>
      </c>
      <c r="TK7" s="51" t="s">
        <v>61</v>
      </c>
      <c r="TL7" s="76">
        <f>IF(SX7&gt;0,SX7,"")</f>
        <v>15</v>
      </c>
      <c r="TM7" s="76">
        <f>IF(SY7&gt;0,SY7,"")</f>
        <v>16.213000000000001</v>
      </c>
      <c r="TN7" s="76">
        <f>IF(SUM(SV7:SY7)-SZ7&gt;0,SUM(SV7:SY7)-SZ7,"")</f>
        <v>55.713000000000001</v>
      </c>
      <c r="TO7" s="76">
        <f>IF(TC7&gt;0,TC7,"")</f>
        <v>15.4</v>
      </c>
      <c r="TP7" s="76">
        <f>IF(TD7&gt;0,TD7,"")</f>
        <v>16.715</v>
      </c>
      <c r="TQ7" s="76">
        <f>IF(SUM(TA7:TD7)-TE7&gt;0,SUM(TA7:TD7)-TE7,"")</f>
        <v>56.614999999999995</v>
      </c>
      <c r="TR7" s="76">
        <f>IF(MAX(TN7,TQ7)&gt;0,MAX(TN7,TQ7),"")</f>
        <v>56.614999999999995</v>
      </c>
      <c r="TS7" s="76">
        <f>IF(TH7&gt;0,TH7,"")</f>
        <v>14.2</v>
      </c>
      <c r="TT7" s="76">
        <f>IF(TI7&gt;0,TI7,"")</f>
        <v>16.428000000000001</v>
      </c>
      <c r="TU7" s="76">
        <f>IF(SUM(TF7:TI7)-TJ7&gt;0,SUM(TF7:TI7)-TJ7,"")</f>
        <v>55.028000000000006</v>
      </c>
      <c r="TV7" s="76">
        <f>IF(SUM(TR7,TU7)&gt;0,SUM(TR7,TU7),"")</f>
        <v>111.643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>SUM(J8:V8)+SUM(J8:T8)*0.0000001+SUM(J8)*0.0000000000001</f>
        <v>257.37502573750567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Worlds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J8" s="13">
        <f>IF(COUNT(AQ8,AT8,BR8,BU8,CS8,CV8)&gt;0,LARGE((AQ8,AT8,BR8,BU8,CS8,CV8),1),0)</f>
        <v>57.125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56.305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55.164999999999999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56.74</v>
      </c>
      <c r="Q8" s="13" t="str">
        <f>IF(P8="","",IF(P8=CZ8,$CA$1,IF(P8=BY8,$AZ$1,IF(P8=AX8,$Y$1,""))))</f>
        <v>2021 Canadian Championships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15.5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16.54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>IF(AA8&gt;0,AA8,"")</f>
        <v>15.4</v>
      </c>
      <c r="AP8" s="74">
        <f>IF(AB8&gt;0,AB8,"")</f>
        <v>16.425000000000001</v>
      </c>
      <c r="AQ8" s="76">
        <f>IF(SUM(Y8:AB8)-AC8&gt;0,SUM(Y8:AB8)-AC8,"")</f>
        <v>57.125</v>
      </c>
      <c r="AR8" s="76">
        <f>IF(AF8&gt;0,AF8,"")</f>
        <v>14.4</v>
      </c>
      <c r="AS8" s="76">
        <f>IF(AG8&gt;0,AG8,"")</f>
        <v>16.164999999999999</v>
      </c>
      <c r="AT8" s="76">
        <f>IF(SUM(AD8:AG8)-AH8&gt;0,SUM(AD8:AG8)-AH8,"")</f>
        <v>55.164999999999999</v>
      </c>
      <c r="AU8" s="76">
        <f>IF(AQ8="","",MAX(AQ8,AT8))</f>
        <v>57.125</v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>
        <f>IF(SUM(AU8,AX8)&gt;0,SUM(AU8,AX8),"")</f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>IF(BB8&gt;0,BB8,"")</f>
        <v>5.0999999999999996</v>
      </c>
      <c r="BQ8" s="75">
        <f>IF(BC8&gt;0,BC8,"")</f>
        <v>5.335</v>
      </c>
      <c r="BR8" s="16">
        <f>IF(SUM(AZ8:BC8)-BD8&gt;0,SUM(AZ8:BC8)-BD8,"")</f>
        <v>17.835000000000001</v>
      </c>
      <c r="BS8" s="16">
        <f>IF(BG8&gt;0,BG8,"")</f>
        <v>15.4</v>
      </c>
      <c r="BT8" s="16">
        <f>IF(BH8&gt;0,BH8,"")</f>
        <v>16.405000000000001</v>
      </c>
      <c r="BU8" s="16">
        <f>IF(SUM(BE8:BH8)-BI8&gt;0,SUM(BE8:BH8)-BI8,"")</f>
        <v>56.305</v>
      </c>
      <c r="BV8" s="16">
        <f>IF(BR8="","",MAX(BR8,BU8))</f>
        <v>56.305</v>
      </c>
      <c r="BW8" s="16">
        <f>IF(BL8&gt;0,BL8,"")</f>
        <v>15.5</v>
      </c>
      <c r="BX8" s="16">
        <f>IF(BM8&gt;0,BM8,"")</f>
        <v>16.54</v>
      </c>
      <c r="BY8" s="16">
        <f>IF(SUM(BJ8:BM8)-BN8&gt;0,SUM(BJ8:BM8)-BN8,"")</f>
        <v>56.74</v>
      </c>
      <c r="BZ8" s="16">
        <f>IF(SUM(BV8,BY8)&gt;0,SUM(BV8,BY8),"")</f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>
        <v>6.4</v>
      </c>
      <c r="DE8" s="25">
        <v>3.4</v>
      </c>
      <c r="DF8" s="25">
        <v>6.5</v>
      </c>
      <c r="DG8" s="25">
        <v>6.89</v>
      </c>
      <c r="DH8" s="25">
        <v>0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>
        <v>15.4</v>
      </c>
      <c r="DT8" s="25">
        <v>9.3000000000000007</v>
      </c>
      <c r="DU8" s="25">
        <v>14.8</v>
      </c>
      <c r="DV8" s="25">
        <v>16.21</v>
      </c>
      <c r="DW8" s="25">
        <v>0</v>
      </c>
      <c r="DX8" s="76">
        <f>IF(DF8&gt;0,DF8,"")</f>
        <v>6.5</v>
      </c>
      <c r="DY8" s="76">
        <f>IF(DG8&gt;0,DG8,"")</f>
        <v>6.89</v>
      </c>
      <c r="DZ8" s="76">
        <f>IF(SUM(DD8:DG8)-DH8&gt;0,SUM(DD8:DG8)-DH8,"")</f>
        <v>23.19</v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>
        <f>IF(MAX(DZ8,EC8)&gt;0,MAX(DZ8,EC8),"")</f>
        <v>23.19</v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>
        <f>IF(DU8&gt;0,DU8,"")</f>
        <v>14.8</v>
      </c>
      <c r="EI8" s="76">
        <f>IF(DV8&gt;0,DV8,"")</f>
        <v>16.21</v>
      </c>
      <c r="EJ8" s="76">
        <f>IF(SUM(DS8:DV8)-DW8&gt;0,SUM(DS8:DV8)-DW8,"")</f>
        <v>55.71</v>
      </c>
      <c r="EK8" s="76">
        <f>IF(SUM(ED8,EJ8)&gt;0,SUM(ED8,EJ8),"")</f>
        <v>78.900000000000006</v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2.4</v>
      </c>
      <c r="SW8" s="42">
        <f>IF($CP8="P",CB8,(CB8+BA8)/2)</f>
        <v>1.3</v>
      </c>
      <c r="SX8" s="42">
        <f>IF($CP8="P",CC8,(CC8+BB8)/2)</f>
        <v>2.5499999999999998</v>
      </c>
      <c r="SY8" s="42">
        <f>IF($CP8="P",CD8,(CD8+BC8)/2)</f>
        <v>2.6675</v>
      </c>
      <c r="SZ8" s="42">
        <f>IF($CP8="P",CE8,(CE8+BD8)/2)</f>
        <v>0</v>
      </c>
      <c r="TA8" s="42">
        <f>IF($CP8="P",CF8,(CF8+BE8)/2)</f>
        <v>7.9</v>
      </c>
      <c r="TB8" s="42">
        <f>IF($CP8="P",CG8,(CG8+BF8)/2)</f>
        <v>4.3499999999999996</v>
      </c>
      <c r="TC8" s="42">
        <f>IF($CP8="P",CH8,(CH8+BG8)/2)</f>
        <v>7.7</v>
      </c>
      <c r="TD8" s="42">
        <f>IF($CP8="P",CI8,(CI8+BH8)/2)</f>
        <v>8.2025000000000006</v>
      </c>
      <c r="TE8" s="42">
        <f>IF($CP8="P",CJ8,(CJ8+BI8)/2)</f>
        <v>0</v>
      </c>
      <c r="TF8" s="42">
        <f>IF($CP8="P",CK8,(CK8+BJ8)/2)</f>
        <v>7.85</v>
      </c>
      <c r="TG8" s="42">
        <f>IF($CP8="P",CL8,(CL8+BK8)/2)</f>
        <v>4.5</v>
      </c>
      <c r="TH8" s="42">
        <f>IF($CP8="P",CM8,(CM8+BL8)/2)</f>
        <v>7.75</v>
      </c>
      <c r="TI8" s="42">
        <f>IF($CP8="P",CN8,(CN8+BM8)/2)</f>
        <v>8.27</v>
      </c>
      <c r="TJ8" s="42">
        <f>IF($CP8="P",CO8,(CO8+BN8)/2)</f>
        <v>0</v>
      </c>
      <c r="TK8" s="51" t="s">
        <v>61</v>
      </c>
      <c r="TL8" s="76">
        <f>IF(SX8&gt;0,SX8,"")</f>
        <v>2.5499999999999998</v>
      </c>
      <c r="TM8" s="76">
        <f>IF(SY8&gt;0,SY8,"")</f>
        <v>2.6675</v>
      </c>
      <c r="TN8" s="76">
        <f>IF(SUM(SV8:SY8)-SZ8&gt;0,SUM(SV8:SY8)-SZ8,"")</f>
        <v>8.9175000000000004</v>
      </c>
      <c r="TO8" s="76">
        <f>IF(TC8&gt;0,TC8,"")</f>
        <v>7.7</v>
      </c>
      <c r="TP8" s="76">
        <f>IF(TD8&gt;0,TD8,"")</f>
        <v>8.2025000000000006</v>
      </c>
      <c r="TQ8" s="76">
        <f>IF(SUM(TA8:TD8)-TE8&gt;0,SUM(TA8:TD8)-TE8,"")</f>
        <v>28.1525</v>
      </c>
      <c r="TR8" s="76">
        <f>IF(MAX(TN8,TQ8)&gt;0,MAX(TN8,TQ8),"")</f>
        <v>28.1525</v>
      </c>
      <c r="TS8" s="76">
        <f>IF(TH8&gt;0,TH8,"")</f>
        <v>7.75</v>
      </c>
      <c r="TT8" s="76">
        <f>IF(TI8&gt;0,TI8,"")</f>
        <v>8.27</v>
      </c>
      <c r="TU8" s="76">
        <f>IF(SUM(TF8:TI8)-TJ8&gt;0,SUM(TF8:TI8)-TJ8,"")</f>
        <v>28.37</v>
      </c>
      <c r="TV8" s="76">
        <f>IF(SUM(TR8,TU8)&gt;0,SUM(TR8,TU8),"")</f>
        <v>56.522500000000001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106</v>
      </c>
      <c r="C9" s="7" t="s">
        <v>3</v>
      </c>
      <c r="D9" s="5">
        <v>1988</v>
      </c>
      <c r="E9" s="14">
        <f>SUM(J9:V9)+SUM(J9:T9)*0.0000001+SUM(J9)*0.0000000000001</f>
        <v>250.54502505450552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54.8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15.404999999999999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2021 Canadian Championships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9</v>
      </c>
      <c r="Z9" s="42">
        <v>5.5</v>
      </c>
      <c r="AA9" s="42">
        <v>9.1999999999999993</v>
      </c>
      <c r="AB9" s="42">
        <v>9.2850000000000001</v>
      </c>
      <c r="AC9" s="42">
        <v>0</v>
      </c>
      <c r="AD9" s="42">
        <v>14.8</v>
      </c>
      <c r="AE9" s="42">
        <v>9.6</v>
      </c>
      <c r="AF9" s="42">
        <v>15.2</v>
      </c>
      <c r="AG9" s="42">
        <v>15.2</v>
      </c>
      <c r="AH9" s="42">
        <v>0</v>
      </c>
      <c r="AI9" s="42">
        <v>14.5</v>
      </c>
      <c r="AJ9" s="42">
        <v>9</v>
      </c>
      <c r="AK9" s="42">
        <v>15.2</v>
      </c>
      <c r="AL9" s="42">
        <v>15.07</v>
      </c>
      <c r="AM9" s="42">
        <v>0</v>
      </c>
      <c r="AN9" s="51"/>
      <c r="AO9" s="74">
        <f>IF(AA9&gt;0,AA9,"")</f>
        <v>9.1999999999999993</v>
      </c>
      <c r="AP9" s="74">
        <f>IF(AB9&gt;0,AB9,"")</f>
        <v>9.2850000000000001</v>
      </c>
      <c r="AQ9" s="76">
        <f>IF(SUM(Y9:AB9)-AC9&gt;0,SUM(Y9:AB9)-AC9,"")</f>
        <v>32.984999999999999</v>
      </c>
      <c r="AR9" s="76">
        <f>IF(AF9&gt;0,AF9,"")</f>
        <v>15.2</v>
      </c>
      <c r="AS9" s="76">
        <f>IF(AG9&gt;0,AG9,"")</f>
        <v>15.2</v>
      </c>
      <c r="AT9" s="76">
        <f>IF(SUM(AD9:AG9)-AH9&gt;0,SUM(AD9:AG9)-AH9,"")</f>
        <v>54.8</v>
      </c>
      <c r="AU9" s="76">
        <f>IF(AQ9="","",MAX(AQ9,AT9))</f>
        <v>54.8</v>
      </c>
      <c r="AV9" s="76">
        <f>IF(AK9&gt;0,AK9,"")</f>
        <v>15.2</v>
      </c>
      <c r="AW9" s="76">
        <f>IF(AL9&gt;0,AL9,"")</f>
        <v>15.07</v>
      </c>
      <c r="AX9" s="76">
        <f>IF(SUM(AI9:AL9)-AM9&gt;0,SUM(AI9:AL9)-AM9,"")</f>
        <v>53.77</v>
      </c>
      <c r="AY9" s="76">
        <f>IF(SUM(AU9,AX9)&gt;0,SUM(AU9,AX9),"")</f>
        <v>108.57</v>
      </c>
      <c r="AZ9" s="46">
        <v>14.4</v>
      </c>
      <c r="BA9" s="46">
        <v>9</v>
      </c>
      <c r="BB9" s="46">
        <v>15.2</v>
      </c>
      <c r="BC9" s="46">
        <v>15.025</v>
      </c>
      <c r="BD9" s="46">
        <v>0</v>
      </c>
      <c r="BE9" s="46">
        <v>15.2</v>
      </c>
      <c r="BF9" s="46">
        <v>9.5</v>
      </c>
      <c r="BG9" s="46">
        <v>15.2</v>
      </c>
      <c r="BH9" s="46">
        <v>15.404999999999999</v>
      </c>
      <c r="BI9" s="46">
        <v>0</v>
      </c>
      <c r="BJ9" s="46">
        <v>14.7</v>
      </c>
      <c r="BK9" s="46">
        <v>9.3000000000000007</v>
      </c>
      <c r="BL9" s="46">
        <v>15.2</v>
      </c>
      <c r="BM9" s="46">
        <v>15.14</v>
      </c>
      <c r="BN9" s="46">
        <v>0</v>
      </c>
      <c r="BO9" s="52"/>
      <c r="BP9" s="75">
        <f>IF(BB9&gt;0,BB9,"")</f>
        <v>15.2</v>
      </c>
      <c r="BQ9" s="75">
        <f>IF(BC9&gt;0,BC9,"")</f>
        <v>15.025</v>
      </c>
      <c r="BR9" s="16">
        <f>IF(SUM(AZ9:BC9)-BD9&gt;0,SUM(AZ9:BC9)-BD9,"")</f>
        <v>53.624999999999993</v>
      </c>
      <c r="BS9" s="16">
        <f>IF(BG9&gt;0,BG9,"")</f>
        <v>15.2</v>
      </c>
      <c r="BT9" s="16">
        <f>IF(BH9&gt;0,BH9,"")</f>
        <v>15.404999999999999</v>
      </c>
      <c r="BU9" s="16">
        <f>IF(SUM(BE9:BH9)-BI9&gt;0,SUM(BE9:BH9)-BI9,"")</f>
        <v>55.305</v>
      </c>
      <c r="BV9" s="16">
        <f>IF(BR9="","",MAX(BR9,BU9))</f>
        <v>55.305</v>
      </c>
      <c r="BW9" s="16">
        <f>IF(BL9&gt;0,BL9,"")</f>
        <v>15.2</v>
      </c>
      <c r="BX9" s="16">
        <f>IF(BM9&gt;0,BM9,"")</f>
        <v>15.14</v>
      </c>
      <c r="BY9" s="16">
        <f>IF(SUM(BJ9:BM9)-BN9&gt;0,SUM(BJ9:BM9)-BN9,"")</f>
        <v>54.34</v>
      </c>
      <c r="BZ9" s="16">
        <f>IF(SUM(BV9,BY9)&gt;0,SUM(BV9,BY9),"")</f>
        <v>109.64500000000001</v>
      </c>
      <c r="CA9" s="42">
        <v>15.4</v>
      </c>
      <c r="CB9" s="42">
        <v>9.1</v>
      </c>
      <c r="CC9" s="42">
        <v>15.4</v>
      </c>
      <c r="CD9" s="42">
        <v>15.395</v>
      </c>
      <c r="CE9" s="42">
        <v>0</v>
      </c>
      <c r="CF9" s="42">
        <v>3</v>
      </c>
      <c r="CG9" s="42">
        <v>1.8</v>
      </c>
      <c r="CH9" s="42">
        <v>3.4</v>
      </c>
      <c r="CI9" s="42">
        <v>3.3</v>
      </c>
      <c r="CJ9" s="42">
        <v>0</v>
      </c>
      <c r="CK9" s="42">
        <v>11.6</v>
      </c>
      <c r="CL9" s="42">
        <v>7.1</v>
      </c>
      <c r="CM9" s="42">
        <v>12.3</v>
      </c>
      <c r="CN9" s="42">
        <v>12.595000000000001</v>
      </c>
      <c r="CO9" s="42">
        <v>0</v>
      </c>
      <c r="CP9" s="51"/>
      <c r="CQ9" s="74">
        <f>IF(CC9&gt;0,CC9,"")</f>
        <v>15.4</v>
      </c>
      <c r="CR9" s="74">
        <f>IF(CD9&gt;0,CD9,"")</f>
        <v>15.395</v>
      </c>
      <c r="CS9" s="76">
        <f>IF(SUM(CA9:CD9)-CE9&gt;0,SUM(CA9:CD9)-CE9,"")</f>
        <v>55.295000000000002</v>
      </c>
      <c r="CT9" s="76">
        <f>IF(CH9&gt;0,CH9,"")</f>
        <v>3.4</v>
      </c>
      <c r="CU9" s="76">
        <f>IF(CI9&gt;0,CI9,"")</f>
        <v>3.3</v>
      </c>
      <c r="CV9" s="76">
        <f>IF(SUM(CF9:CI9)-CJ9&gt;0,SUM(CF9:CI9)-CJ9,"")</f>
        <v>11.5</v>
      </c>
      <c r="CW9" s="76">
        <f>IF(CS9="","",MAX(CS9,CV9))</f>
        <v>55.295000000000002</v>
      </c>
      <c r="CX9" s="76">
        <f>IF(CM9&gt;0,CM9,"")</f>
        <v>12.3</v>
      </c>
      <c r="CY9" s="76">
        <f>IF(CN9&gt;0,CN9,"")</f>
        <v>12.595000000000001</v>
      </c>
      <c r="CZ9" s="76">
        <f>IF(SUM(CK9:CN9)-CO9&gt;0,SUM(CK9:CN9)-CO9,"")</f>
        <v>43.594999999999999</v>
      </c>
      <c r="DA9" s="76">
        <f>IF(SUM(CW9,CZ9)&gt;0,SUM(CW9,CZ9),"")</f>
        <v>98.89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14.9</v>
      </c>
      <c r="SW9" s="42">
        <f>IF($CP9="P",CB9,(CB9+BA9)/2)</f>
        <v>9.0500000000000007</v>
      </c>
      <c r="SX9" s="42">
        <f>IF($CP9="P",CC9,(CC9+BB9)/2)</f>
        <v>15.3</v>
      </c>
      <c r="SY9" s="42">
        <f>IF($CP9="P",CD9,(CD9+BC9)/2)</f>
        <v>15.21</v>
      </c>
      <c r="SZ9" s="42">
        <f>IF($CP9="P",CE9,(CE9+BD9)/2)</f>
        <v>0</v>
      </c>
      <c r="TA9" s="42">
        <f>IF($CP9="P",CF9,(CF9+BE9)/2)</f>
        <v>9.1</v>
      </c>
      <c r="TB9" s="42">
        <f>IF($CP9="P",CG9,(CG9+BF9)/2)</f>
        <v>5.65</v>
      </c>
      <c r="TC9" s="42">
        <f>IF($CP9="P",CH9,(CH9+BG9)/2)</f>
        <v>9.2999999999999989</v>
      </c>
      <c r="TD9" s="42">
        <f>IF($CP9="P",CI9,(CI9+BH9)/2)</f>
        <v>9.3524999999999991</v>
      </c>
      <c r="TE9" s="42">
        <f>IF($CP9="P",CJ9,(CJ9+BI9)/2)</f>
        <v>0</v>
      </c>
      <c r="TF9" s="42">
        <f>IF($CP9="P",CK9,(CK9+BJ9)/2)</f>
        <v>13.149999999999999</v>
      </c>
      <c r="TG9" s="42">
        <f>IF($CP9="P",CL9,(CL9+BK9)/2)</f>
        <v>8.1999999999999993</v>
      </c>
      <c r="TH9" s="42">
        <f>IF($CP9="P",CM9,(CM9+BL9)/2)</f>
        <v>13.75</v>
      </c>
      <c r="TI9" s="42">
        <f>IF($CP9="P",CN9,(CN9+BM9)/2)</f>
        <v>13.8675</v>
      </c>
      <c r="TJ9" s="42">
        <f>IF($CP9="P",CO9,(CO9+BN9)/2)</f>
        <v>0</v>
      </c>
      <c r="TK9" s="51" t="s">
        <v>61</v>
      </c>
      <c r="TL9" s="76">
        <f>IF(SX9&gt;0,SX9,"")</f>
        <v>15.3</v>
      </c>
      <c r="TM9" s="76">
        <f>IF(SY9&gt;0,SY9,"")</f>
        <v>15.21</v>
      </c>
      <c r="TN9" s="76">
        <f>IF(SUM(SV9:SY9)-SZ9&gt;0,SUM(SV9:SY9)-SZ9,"")</f>
        <v>54.46</v>
      </c>
      <c r="TO9" s="76">
        <f>IF(TC9&gt;0,TC9,"")</f>
        <v>9.2999999999999989</v>
      </c>
      <c r="TP9" s="76">
        <f>IF(TD9&gt;0,TD9,"")</f>
        <v>9.3524999999999991</v>
      </c>
      <c r="TQ9" s="76">
        <f>IF(SUM(TA9:TD9)-TE9&gt;0,SUM(TA9:TD9)-TE9,"")</f>
        <v>33.402499999999996</v>
      </c>
      <c r="TR9" s="76">
        <f>IF(MAX(TN9,TQ9)&gt;0,MAX(TN9,TQ9),"")</f>
        <v>54.46</v>
      </c>
      <c r="TS9" s="76">
        <f>IF(TH9&gt;0,TH9,"")</f>
        <v>13.75</v>
      </c>
      <c r="TT9" s="76">
        <f>IF(TI9&gt;0,TI9,"")</f>
        <v>13.8675</v>
      </c>
      <c r="TU9" s="76">
        <f>IF(SUM(TF9:TI9)-TJ9&gt;0,SUM(TF9:TI9)-TJ9,"")</f>
        <v>48.967499999999994</v>
      </c>
      <c r="TV9" s="76">
        <f>IF(SUM(TR9,TU9)&gt;0,SUM(TR9,TU9),"")</f>
        <v>103.42749999999999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67</v>
      </c>
      <c r="C10" s="7" t="s">
        <v>9</v>
      </c>
      <c r="D10" s="7">
        <v>2001</v>
      </c>
      <c r="E10" s="14">
        <f>SUM(J10:V10)+SUM(J10:T10)*0.0000001+SUM(J10)*0.0000000000001</f>
        <v>244.0675238085058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Worlds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>P</v>
      </c>
      <c r="J10" s="13">
        <f>IF(COUNT(AQ10,AT10,BR10,BU10,CS10,CV10)&gt;0,LARGE((AQ10,AT10,BR10,BU10,CS10,CV10),1),0)</f>
        <v>58.054999999999993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51.827500000000001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51.827500000000001</v>
      </c>
      <c r="O10" s="13" t="str">
        <f>IF(N10="","",IF(OR(N10=CS10,N10=CV10),$CA$1,IF(OR(N10=BR10,N10=BU10),$AZ$1,IF(OR(N10=AQ10,N10=AT10),$Y$1,""))))</f>
        <v>2021 Canadian Championships</v>
      </c>
      <c r="P10" s="13">
        <f>IF(MAX(AX10,BY10,CZ10)&gt;0,MAX(AX10,BY10,CZ10),0)</f>
        <v>42.02</v>
      </c>
      <c r="Q10" s="13" t="str">
        <f>IF(P10="","",IF(P10=CZ10,$CA$1,IF(P10=BY10,$AZ$1,IF(P10=AX10,$Y$1,""))))</f>
        <v>2021 Canadian Championships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17.100000000000001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2021 World Cup ITA/Olympic Technical Trial (June 4/9)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17.254999999999999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2022 Elite Canada</v>
      </c>
      <c r="V10" s="13">
        <f>IF(MAX(DB10,DC10)&gt;0,MAX(DB10,DC10),"")</f>
        <v>5.9825000000000017</v>
      </c>
      <c r="W10" s="16" t="str">
        <f>IF(V10="","",IF(V10=DB10,"("&amp;DB$2&amp;")",IF(V10=DC10,"("&amp;DC$2&amp;")")))</f>
        <v>(Prelim)</v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>2021 World Cup ITA/Olympic Technical Trial (June 4/9)</v>
      </c>
      <c r="Y10" s="42">
        <v>15</v>
      </c>
      <c r="Z10" s="42">
        <v>7.7750000000000004</v>
      </c>
      <c r="AA10" s="42">
        <v>13.75</v>
      </c>
      <c r="AB10" s="42">
        <v>15.302499999999998</v>
      </c>
      <c r="AC10" s="42">
        <v>0</v>
      </c>
      <c r="AD10" s="42">
        <v>10</v>
      </c>
      <c r="AE10" s="42">
        <v>5.3999999999999995</v>
      </c>
      <c r="AF10" s="42">
        <v>9.7999999999999989</v>
      </c>
      <c r="AG10" s="42">
        <v>10.385</v>
      </c>
      <c r="AH10" s="42">
        <v>0</v>
      </c>
      <c r="AI10" s="42">
        <v>12</v>
      </c>
      <c r="AJ10" s="42">
        <v>6.3</v>
      </c>
      <c r="AK10" s="42">
        <v>11.45</v>
      </c>
      <c r="AL10" s="42">
        <v>12.270000000000001</v>
      </c>
      <c r="AM10" s="42">
        <v>0</v>
      </c>
      <c r="AN10" s="51" t="s">
        <v>61</v>
      </c>
      <c r="AO10" s="74">
        <f>IF(AA10&gt;0,AA10,"")</f>
        <v>13.75</v>
      </c>
      <c r="AP10" s="74">
        <f>IF(AB10&gt;0,AB10,"")</f>
        <v>15.302499999999998</v>
      </c>
      <c r="AQ10" s="76">
        <f>IF(SUM(Y10:AB10)-AC10&gt;0,SUM(Y10:AB10)-AC10,"")</f>
        <v>51.827500000000001</v>
      </c>
      <c r="AR10" s="76">
        <f>IF(AF10&gt;0,AF10,"")</f>
        <v>9.7999999999999989</v>
      </c>
      <c r="AS10" s="76">
        <f>IF(AG10&gt;0,AG10,"")</f>
        <v>10.385</v>
      </c>
      <c r="AT10" s="76">
        <f>IF(SUM(AD10:AG10)-AH10&gt;0,SUM(AD10:AG10)-AH10,"")</f>
        <v>35.584999999999994</v>
      </c>
      <c r="AU10" s="76">
        <f>IF(AQ10="","",MAX(AQ10,AT10))</f>
        <v>51.827500000000001</v>
      </c>
      <c r="AV10" s="76">
        <f>IF(AK10&gt;0,AK10,"")</f>
        <v>11.45</v>
      </c>
      <c r="AW10" s="76">
        <f>IF(AL10&gt;0,AL10,"")</f>
        <v>12.270000000000001</v>
      </c>
      <c r="AX10" s="76">
        <f>IF(SUM(AI10:AL10)-AM10&gt;0,SUM(AI10:AL10)-AM10,"")</f>
        <v>42.02</v>
      </c>
      <c r="AY10" s="76">
        <f>IF(SUM(AU10,AX10)&gt;0,SUM(AU10,AX10),"")</f>
        <v>93.847499999999997</v>
      </c>
      <c r="AZ10" s="46">
        <v>15</v>
      </c>
      <c r="BA10" s="46">
        <v>7.7750000000000004</v>
      </c>
      <c r="BB10" s="46">
        <v>13.75</v>
      </c>
      <c r="BC10" s="46">
        <v>15.302499999999998</v>
      </c>
      <c r="BD10" s="46">
        <v>0</v>
      </c>
      <c r="BE10" s="46">
        <v>10</v>
      </c>
      <c r="BF10" s="46">
        <v>5.3999999999999995</v>
      </c>
      <c r="BG10" s="46">
        <v>9.7999999999999989</v>
      </c>
      <c r="BH10" s="46">
        <v>10.385</v>
      </c>
      <c r="BI10" s="46">
        <v>0</v>
      </c>
      <c r="BJ10" s="46">
        <v>12</v>
      </c>
      <c r="BK10" s="46">
        <v>6.3</v>
      </c>
      <c r="BL10" s="46">
        <v>11.45</v>
      </c>
      <c r="BM10" s="46">
        <v>12.270000000000001</v>
      </c>
      <c r="BN10" s="46">
        <v>0</v>
      </c>
      <c r="BO10" s="52" t="s">
        <v>61</v>
      </c>
      <c r="BP10" s="75">
        <f>IF(BB10&gt;0,BB10,"")</f>
        <v>13.75</v>
      </c>
      <c r="BQ10" s="75">
        <f>IF(BC10&gt;0,BC10,"")</f>
        <v>15.302499999999998</v>
      </c>
      <c r="BR10" s="16">
        <f>IF(SUM(AZ10:BC10)-BD10&gt;0,SUM(AZ10:BC10)-BD10,"")</f>
        <v>51.827500000000001</v>
      </c>
      <c r="BS10" s="16">
        <f>IF(BG10&gt;0,BG10,"")</f>
        <v>9.7999999999999989</v>
      </c>
      <c r="BT10" s="16">
        <f>IF(BH10&gt;0,BH10,"")</f>
        <v>10.385</v>
      </c>
      <c r="BU10" s="16">
        <f>IF(SUM(BE10:BH10)-BI10&gt;0,SUM(BE10:BH10)-BI10,"")</f>
        <v>35.584999999999994</v>
      </c>
      <c r="BV10" s="16">
        <f>IF(BR10="","",MAX(BR10,BU10))</f>
        <v>51.827500000000001</v>
      </c>
      <c r="BW10" s="16">
        <f>IF(BL10&gt;0,BL10,"")</f>
        <v>11.45</v>
      </c>
      <c r="BX10" s="16">
        <f>IF(BM10&gt;0,BM10,"")</f>
        <v>12.270000000000001</v>
      </c>
      <c r="BY10" s="16">
        <f>IF(SUM(BJ10:BM10)-BN10&gt;0,SUM(BJ10:BM10)-BN10,"")</f>
        <v>42.02</v>
      </c>
      <c r="BZ10" s="16">
        <f>IF(SUM(BV10,BY10)&gt;0,SUM(BV10,BY10),"")</f>
        <v>93.847499999999997</v>
      </c>
      <c r="CA10" s="42">
        <v>13.8</v>
      </c>
      <c r="CB10" s="42">
        <v>6.6</v>
      </c>
      <c r="CC10" s="42">
        <v>12.1</v>
      </c>
      <c r="CD10" s="42">
        <v>13.935</v>
      </c>
      <c r="CE10" s="42">
        <v>0</v>
      </c>
      <c r="CF10" s="42">
        <v>16.899999999999999</v>
      </c>
      <c r="CG10" s="42">
        <v>8.3000000000000007</v>
      </c>
      <c r="CH10" s="42">
        <v>15.6</v>
      </c>
      <c r="CI10" s="42">
        <v>17.254999999999999</v>
      </c>
      <c r="CJ10" s="42">
        <v>0</v>
      </c>
      <c r="CK10" s="42">
        <v>3.1</v>
      </c>
      <c r="CL10" s="42">
        <v>1.7</v>
      </c>
      <c r="CM10" s="42">
        <v>3.8</v>
      </c>
      <c r="CN10" s="42">
        <v>3.55</v>
      </c>
      <c r="CO10" s="42">
        <v>0</v>
      </c>
      <c r="CP10" s="51"/>
      <c r="CQ10" s="74">
        <f>IF(CC10&gt;0,CC10,"")</f>
        <v>12.1</v>
      </c>
      <c r="CR10" s="74">
        <f>IF(CD10&gt;0,CD10,"")</f>
        <v>13.935</v>
      </c>
      <c r="CS10" s="76">
        <f>IF(SUM(CA10:CD10)-CE10&gt;0,SUM(CA10:CD10)-CE10,"")</f>
        <v>46.435000000000002</v>
      </c>
      <c r="CT10" s="76">
        <f>IF(CH10&gt;0,CH10,"")</f>
        <v>15.6</v>
      </c>
      <c r="CU10" s="76">
        <f>IF(CI10&gt;0,CI10,"")</f>
        <v>17.254999999999999</v>
      </c>
      <c r="CV10" s="76">
        <f>IF(SUM(CF10:CI10)-CJ10&gt;0,SUM(CF10:CI10)-CJ10,"")</f>
        <v>58.054999999999993</v>
      </c>
      <c r="CW10" s="76">
        <f>IF(CS10="","",MAX(CS10,CV10))</f>
        <v>58.054999999999993</v>
      </c>
      <c r="CX10" s="76">
        <f>IF(CM10&gt;0,CM10,"")</f>
        <v>3.8</v>
      </c>
      <c r="CY10" s="76">
        <f>IF(CN10&gt;0,CN10,"")</f>
        <v>3.55</v>
      </c>
      <c r="CZ10" s="76">
        <f>IF(SUM(CK10:CN10)-CO10&gt;0,SUM(CK10:CN10)-CO10,"")</f>
        <v>12.149999999999999</v>
      </c>
      <c r="DA10" s="76">
        <f>IF(SUM(CW10,CZ10)&gt;0,SUM(CW10,CZ10),"")</f>
        <v>70.204999999999984</v>
      </c>
      <c r="DB10" s="87">
        <f>IF(L10&gt;=0.001,IF(MAX(ED10,FL10,GT10,IB10,JJ10,KR10,LZ10,NH10,OP10,PX10,RF10,SN10)-IF(L10="",0,L10)&gt;0.001,MAX(ED10,FL10,GT10,IB10,JJ10,KR10,LZ10,NH10,OP10,PX10,RF10,SN10)-IF(L10="",0,L10),""),"")</f>
        <v>5.9825000000000017</v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>
        <v>15.5</v>
      </c>
      <c r="DE10" s="25">
        <v>8.6999999999999993</v>
      </c>
      <c r="DF10" s="25">
        <v>17.100000000000001</v>
      </c>
      <c r="DG10" s="25">
        <v>16.510000000000002</v>
      </c>
      <c r="DH10" s="25">
        <v>0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>
        <f>IF(DF10&gt;0,DF10,"")</f>
        <v>17.100000000000001</v>
      </c>
      <c r="DY10" s="76">
        <f>IF(DG10&gt;0,DG10,"")</f>
        <v>16.510000000000002</v>
      </c>
      <c r="DZ10" s="76">
        <f>IF(SUM(DD10:DG10)-DH10&gt;0,SUM(DD10:DG10)-DH10,"")</f>
        <v>57.81</v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>
        <f>IF(MAX(DZ10,EC10)&gt;0,MAX(DZ10,EC10),"")</f>
        <v>57.81</v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>
        <f>IF(SUM(ED10,EJ10)&gt;0,SUM(ED10,EJ10),"")</f>
        <v>57.81</v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>
        <v>14.8</v>
      </c>
      <c r="IK10" s="25">
        <v>9.1999999999999993</v>
      </c>
      <c r="IL10" s="25">
        <v>16.2</v>
      </c>
      <c r="IM10" s="25">
        <v>16.760000000000002</v>
      </c>
      <c r="IN10" s="25">
        <v>0</v>
      </c>
      <c r="IO10" s="25">
        <v>4.5999999999999996</v>
      </c>
      <c r="IP10" s="25">
        <v>2.7</v>
      </c>
      <c r="IQ10" s="25">
        <v>5.6</v>
      </c>
      <c r="IR10" s="25">
        <v>5.32</v>
      </c>
      <c r="IS10" s="25">
        <v>0</v>
      </c>
      <c r="IT10" s="25">
        <v>7.8</v>
      </c>
      <c r="IU10" s="25">
        <v>4.5</v>
      </c>
      <c r="IV10" s="25">
        <v>8.6</v>
      </c>
      <c r="IW10" s="25">
        <v>8.66</v>
      </c>
      <c r="IX10" s="25">
        <v>0</v>
      </c>
      <c r="IY10" s="25"/>
      <c r="IZ10" s="25"/>
      <c r="JA10" s="25"/>
      <c r="JB10" s="25"/>
      <c r="JC10" s="25"/>
      <c r="JD10" s="76">
        <f>IF(IL10&gt;0,IL10,"")</f>
        <v>16.2</v>
      </c>
      <c r="JE10" s="76">
        <f>IF(IM10&gt;0,IM10,"")</f>
        <v>16.760000000000002</v>
      </c>
      <c r="JF10" s="76">
        <f>IF(SUM(IJ10:IM10)-IN10&gt;0,SUM(IJ10:IM10)-IN10,"")</f>
        <v>56.960000000000008</v>
      </c>
      <c r="JG10" s="76">
        <f>IF(IQ10&gt;0,IQ10,"")</f>
        <v>5.6</v>
      </c>
      <c r="JH10" s="76">
        <f>IF(IR10&gt;0,IR10,"")</f>
        <v>5.32</v>
      </c>
      <c r="JI10" s="76">
        <f>IF(SUM(IO10:IR10)-IS10&gt;0,SUM(IO10:IR10)-IS10,"")</f>
        <v>18.22</v>
      </c>
      <c r="JJ10" s="76">
        <f>IF(MAX(JF10,JI10)&gt;0,MAX(JF10,JI10),"")</f>
        <v>56.960000000000008</v>
      </c>
      <c r="JK10" s="76">
        <f>IF(IV10&gt;0,IV10,"")</f>
        <v>8.6</v>
      </c>
      <c r="JL10" s="76">
        <f>IF(IW10&gt;0,IW10,"")</f>
        <v>8.66</v>
      </c>
      <c r="JM10" s="76">
        <f>IF(SUM(IT10:IW10)-IX10&gt;0,SUM(IT10:IW10)-IX10,"")</f>
        <v>29.56</v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>
        <f>IF(SUM(JJ10,JP10)&gt;0,SUM(JJ10,JP10),"")</f>
        <v>56.960000000000008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14.4</v>
      </c>
      <c r="SW10" s="42">
        <f>IF($CP10="P",CB10,(CB10+BA10)/2)</f>
        <v>7.1875</v>
      </c>
      <c r="SX10" s="42">
        <f>IF($CP10="P",CC10,(CC10+BB10)/2)</f>
        <v>12.925000000000001</v>
      </c>
      <c r="SY10" s="42">
        <f>IF($CP10="P",CD10,(CD10+BC10)/2)</f>
        <v>14.618749999999999</v>
      </c>
      <c r="SZ10" s="42">
        <f>IF($CP10="P",CE10,(CE10+BD10)/2)</f>
        <v>0</v>
      </c>
      <c r="TA10" s="42">
        <f>IF($CP10="P",CF10,(CF10+BE10)/2)</f>
        <v>13.45</v>
      </c>
      <c r="TB10" s="42">
        <f>IF($CP10="P",CG10,(CG10+BF10)/2)</f>
        <v>6.85</v>
      </c>
      <c r="TC10" s="42">
        <f>IF($CP10="P",CH10,(CH10+BG10)/2)</f>
        <v>12.7</v>
      </c>
      <c r="TD10" s="42">
        <f>IF($CP10="P",CI10,(CI10+BH10)/2)</f>
        <v>13.82</v>
      </c>
      <c r="TE10" s="42">
        <f>IF($CP10="P",CJ10,(CJ10+BI10)/2)</f>
        <v>0</v>
      </c>
      <c r="TF10" s="42">
        <f>IF($CP10="P",CK10,(CK10+BJ10)/2)</f>
        <v>7.55</v>
      </c>
      <c r="TG10" s="42">
        <f>IF($CP10="P",CL10,(CL10+BK10)/2)</f>
        <v>4</v>
      </c>
      <c r="TH10" s="42">
        <f>IF($CP10="P",CM10,(CM10+BL10)/2)</f>
        <v>7.625</v>
      </c>
      <c r="TI10" s="42">
        <f>IF($CP10="P",CN10,(CN10+BM10)/2)</f>
        <v>7.91</v>
      </c>
      <c r="TJ10" s="42">
        <f>IF($CP10="P",CO10,(CO10+BN10)/2)</f>
        <v>0</v>
      </c>
      <c r="TK10" s="51" t="s">
        <v>61</v>
      </c>
      <c r="TL10" s="76">
        <f>IF(SX10&gt;0,SX10,"")</f>
        <v>12.925000000000001</v>
      </c>
      <c r="TM10" s="76">
        <f>IF(SY10&gt;0,SY10,"")</f>
        <v>14.618749999999999</v>
      </c>
      <c r="TN10" s="76">
        <f>IF(SUM(SV10:SY10)-SZ10&gt;0,SUM(SV10:SY10)-SZ10,"")</f>
        <v>49.131250000000001</v>
      </c>
      <c r="TO10" s="76">
        <f>IF(TC10&gt;0,TC10,"")</f>
        <v>12.7</v>
      </c>
      <c r="TP10" s="76">
        <f>IF(TD10&gt;0,TD10,"")</f>
        <v>13.82</v>
      </c>
      <c r="TQ10" s="76">
        <f>IF(SUM(TA10:TD10)-TE10&gt;0,SUM(TA10:TD10)-TE10,"")</f>
        <v>46.82</v>
      </c>
      <c r="TR10" s="76">
        <f>IF(MAX(TN10,TQ10)&gt;0,MAX(TN10,TQ10),"")</f>
        <v>49.131250000000001</v>
      </c>
      <c r="TS10" s="76">
        <f>IF(TH10&gt;0,TH10,"")</f>
        <v>7.625</v>
      </c>
      <c r="TT10" s="76">
        <f>IF(TI10&gt;0,TI10,"")</f>
        <v>7.91</v>
      </c>
      <c r="TU10" s="76">
        <f>IF(SUM(TF10:TI10)-TJ10&gt;0,SUM(TF10:TI10)-TJ10,"")</f>
        <v>27.085000000000001</v>
      </c>
      <c r="TV10" s="76">
        <f>IF(SUM(TR10,TU10)&gt;0,SUM(TR10,TU10),"")</f>
        <v>76.216250000000002</v>
      </c>
    </row>
    <row r="11" spans="1:542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>SUM(J11:V11)+SUM(J11:T11)*0.0000001+SUM(J11)*0.0000000000001</f>
        <v>241.20002412000537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/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/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53.53</v>
      </c>
      <c r="K11" s="13" t="str">
        <f>IF(J11="","",IF(OR(J11=CS11,J11=CV11),$CA$1,IF(OR(J11=BR11,J11=BU11),$AZ$1,IF(OR(J11=AQ11,J11=AT11),$Y$1,""))))</f>
        <v>2021 Canadian Championships</v>
      </c>
      <c r="L11" s="13">
        <f>IF(COUNT(AQ11,AT11,BR11,BU11,CS11,CV11)&gt;1,LARGE((AQ11,AT11,BR11,BU11,CS11,CV11),2),0)</f>
        <v>53.145000000000003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52.18</v>
      </c>
      <c r="O11" s="13" t="str">
        <f>IF(N11="","",IF(OR(N11=CS11,N11=CV11),$CA$1,IF(OR(N11=BR11,N11=BU11),$AZ$1,IF(OR(N11=AQ11,N11=AT11),$Y$1,""))))</f>
        <v>2021 Elite Canada</v>
      </c>
      <c r="P11" s="13">
        <f>IF(MAX(AX11,BY11,CZ11)&gt;0,MAX(AX11,BY11,CZ11),0)</f>
        <v>51.919999999999995</v>
      </c>
      <c r="Q11" s="13" t="str">
        <f>IF(P11="","",IF(P11=CZ11,$CA$1,IF(P11=BY11,$AZ$1,IF(P11=AX11,$Y$1,""))))</f>
        <v>2021 Canadian Championships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2021 Canadian Championships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16.024999999999999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>IF(AA11&gt;0,AA11,"")</f>
        <v>14.4</v>
      </c>
      <c r="AP11" s="74">
        <f>IF(AB11&gt;0,AB11,"")</f>
        <v>15.945</v>
      </c>
      <c r="AQ11" s="76">
        <f>IF(SUM(Y11:AB11)-AC11&gt;0,SUM(Y11:AB11)-AC11,"")</f>
        <v>53.145000000000003</v>
      </c>
      <c r="AR11" s="76">
        <f>IF(AF11&gt;0,AF11,"")</f>
        <v>14.4</v>
      </c>
      <c r="AS11" s="76">
        <f>IF(AG11&gt;0,AG11,"")</f>
        <v>15.88</v>
      </c>
      <c r="AT11" s="76">
        <f>IF(SUM(AD11:AG11)-AH11&gt;0,SUM(AD11:AG11)-AH11,"")</f>
        <v>52.18</v>
      </c>
      <c r="AU11" s="76">
        <f>IF(AQ11="","",MAX(AQ11,AT11))</f>
        <v>53.145000000000003</v>
      </c>
      <c r="AV11" s="76">
        <f>IF(AK11&gt;0,AK11,"")</f>
        <v>14.4</v>
      </c>
      <c r="AW11" s="76">
        <f>IF(AL11&gt;0,AL11,"")</f>
        <v>16.024999999999999</v>
      </c>
      <c r="AX11" s="76">
        <f>IF(SUM(AI11:AL11)-AM11&gt;0,SUM(AI11:AL11)-AM11,"")</f>
        <v>49.524999999999999</v>
      </c>
      <c r="AY11" s="76">
        <f>IF(SUM(AU11,AX11)&gt;0,SUM(AU11,AX11),"")</f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>IF(BB11&gt;0,BB11,"")</f>
        <v>14.4</v>
      </c>
      <c r="BQ11" s="75">
        <f>IF(BC11&gt;0,BC11,"")</f>
        <v>15.83</v>
      </c>
      <c r="BR11" s="16">
        <f>IF(SUM(AZ11:BC11)-BD11&gt;0,SUM(AZ11:BC11)-BD11,"")</f>
        <v>53.53</v>
      </c>
      <c r="BS11" s="16">
        <f>IF(BG11&gt;0,BG11,"")</f>
        <v>3.4</v>
      </c>
      <c r="BT11" s="16">
        <f>IF(BH11&gt;0,BH11,"")</f>
        <v>3.4</v>
      </c>
      <c r="BU11" s="16">
        <f>IF(SUM(BE11:BH11)-BI11&gt;0,SUM(BE11:BH11)-BI11,"")</f>
        <v>11.4</v>
      </c>
      <c r="BV11" s="16">
        <f>IF(BR11="","",MAX(BR11,BU11))</f>
        <v>53.53</v>
      </c>
      <c r="BW11" s="16">
        <f>IF(BL11&gt;0,BL11,"")</f>
        <v>14.4</v>
      </c>
      <c r="BX11" s="16">
        <f>IF(BM11&gt;0,BM11,"")</f>
        <v>15.62</v>
      </c>
      <c r="BY11" s="16">
        <f>IF(SUM(BJ11:BM11)-BN11&gt;0,SUM(BJ11:BM11)-BN11,"")</f>
        <v>51.919999999999995</v>
      </c>
      <c r="BZ11" s="16">
        <f>IF(SUM(BV11,BY11)&gt;0,SUM(BV11,BY11),"")</f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>IF(CC11&gt;0,CC11,"")</f>
        <v>8.1999999999999993</v>
      </c>
      <c r="CR11" s="74">
        <f>IF(CD11&gt;0,CD11,"")</f>
        <v>8.0500000000000007</v>
      </c>
      <c r="CS11" s="76">
        <f>IF(SUM(CA11:CD11)-CE11&gt;0,SUM(CA11:CD11)-CE11,"")</f>
        <v>27.65</v>
      </c>
      <c r="CT11" s="76">
        <f>IF(CH11&gt;0,CH11,"")</f>
        <v>13.6</v>
      </c>
      <c r="CU11" s="76">
        <f>IF(CI11&gt;0,CI11,"")</f>
        <v>15.505000000000001</v>
      </c>
      <c r="CV11" s="76">
        <f>IF(SUM(CF11:CI11)-CJ11&gt;0,SUM(CF11:CI11)-CJ11,"")</f>
        <v>48.805000000000007</v>
      </c>
      <c r="CW11" s="76">
        <f>IF(CS11="","",MAX(CS11,CV11))</f>
        <v>48.805000000000007</v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>
        <f>IF(SUM(CW11,CZ11)&gt;0,SUM(CW11,CZ11),"")</f>
        <v>48.805000000000007</v>
      </c>
      <c r="DB11" s="87" t="str">
        <f>IF(L11&gt;=0.001,IF(MAX(ED11,FL11,GT11,IB11,JJ11,KR11,LZ11,NH11,OP11,PX11,RF11,SN11)-IF(L11="",0,L11)&gt;0.001,MAX(ED11,FL11,GT11,IB11,JJ11,KR11,LZ11,NH11,OP11,PX11,RF11,SN11)-IF(L11="",0,L11),""),"")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10.55</v>
      </c>
      <c r="SW11" s="42">
        <f>IF($CP11="P",CB11,(CB11+BA11)/2)</f>
        <v>6.8</v>
      </c>
      <c r="SX11" s="42">
        <f>IF($CP11="P",CC11,(CC11+BB11)/2)</f>
        <v>11.3</v>
      </c>
      <c r="SY11" s="42">
        <f>IF($CP11="P",CD11,(CD11+BC11)/2)</f>
        <v>11.940000000000001</v>
      </c>
      <c r="SZ11" s="42">
        <f>IF($CP11="P",CE11,(CE11+BD11)/2)</f>
        <v>0</v>
      </c>
      <c r="TA11" s="42">
        <f>IF($CP11="P",CF11,(CF11+BE11)/2)</f>
        <v>6.8500000000000005</v>
      </c>
      <c r="TB11" s="42">
        <f>IF($CP11="P",CG11,(CG11+BF11)/2)</f>
        <v>5.3</v>
      </c>
      <c r="TC11" s="42">
        <f>IF($CP11="P",CH11,(CH11+BG11)/2)</f>
        <v>8.5</v>
      </c>
      <c r="TD11" s="42">
        <f>IF($CP11="P",CI11,(CI11+BH11)/2)</f>
        <v>9.4525000000000006</v>
      </c>
      <c r="TE11" s="42">
        <f>IF($CP11="P",CJ11,(CJ11+BI11)/2)</f>
        <v>0</v>
      </c>
      <c r="TF11" s="42">
        <f>IF($CP11="P",CK11,(CK11+BJ11)/2)</f>
        <v>6.7</v>
      </c>
      <c r="TG11" s="42">
        <f>IF($CP11="P",CL11,(CL11+BK11)/2)</f>
        <v>4.25</v>
      </c>
      <c r="TH11" s="42">
        <f>IF($CP11="P",CM11,(CM11+BL11)/2)</f>
        <v>7.2</v>
      </c>
      <c r="TI11" s="42">
        <f>IF($CP11="P",CN11,(CN11+BM11)/2)</f>
        <v>7.81</v>
      </c>
      <c r="TJ11" s="42">
        <f>IF($CP11="P",CO11,(CO11+BN11)/2)</f>
        <v>0</v>
      </c>
      <c r="TK11" s="51" t="s">
        <v>61</v>
      </c>
      <c r="TL11" s="76">
        <f>IF(SX11&gt;0,SX11,"")</f>
        <v>11.3</v>
      </c>
      <c r="TM11" s="76">
        <f>IF(SY11&gt;0,SY11,"")</f>
        <v>11.940000000000001</v>
      </c>
      <c r="TN11" s="76">
        <f>IF(SUM(SV11:SY11)-SZ11&gt;0,SUM(SV11:SY11)-SZ11,"")</f>
        <v>40.590000000000003</v>
      </c>
      <c r="TO11" s="76">
        <f>IF(TC11&gt;0,TC11,"")</f>
        <v>8.5</v>
      </c>
      <c r="TP11" s="76">
        <f>IF(TD11&gt;0,TD11,"")</f>
        <v>9.4525000000000006</v>
      </c>
      <c r="TQ11" s="76">
        <f>IF(SUM(TA11:TD11)-TE11&gt;0,SUM(TA11:TD11)-TE11,"")</f>
        <v>30.102499999999999</v>
      </c>
      <c r="TR11" s="76">
        <f>IF(MAX(TN11,TQ11)&gt;0,MAX(TN11,TQ11),"")</f>
        <v>40.590000000000003</v>
      </c>
      <c r="TS11" s="76">
        <f>IF(TH11&gt;0,TH11,"")</f>
        <v>7.2</v>
      </c>
      <c r="TT11" s="76">
        <f>IF(TI11&gt;0,TI11,"")</f>
        <v>7.81</v>
      </c>
      <c r="TU11" s="76">
        <f>IF(SUM(TF11:TI11)-TJ11&gt;0,SUM(TF11:TI11)-TJ11,"")</f>
        <v>25.959999999999997</v>
      </c>
      <c r="TV11" s="76">
        <f>IF(SUM(TR11,TU11)&gt;0,SUM(TR11,TU11),"")</f>
        <v>66.55</v>
      </c>
    </row>
    <row r="12" spans="1:542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>SUM(J12:V12)+SUM(J12:T12)*0.0000001+SUM(J12)*0.0000000000001</f>
        <v>228.00002280000535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>P</v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>No DD</v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53.500000000000007</v>
      </c>
      <c r="K12" s="13" t="str">
        <f>IF(J12="","",IF(OR(J12=CS12,J12=CV12),$CA$1,IF(OR(J12=BR12,J12=BU12),$AZ$1,IF(OR(J12=AQ12,J12=AT12),$Y$1,""))))</f>
        <v>2021 Elite Canada</v>
      </c>
      <c r="L12" s="13">
        <f>IF(COUNT(AQ12,AT12,BR12,BU12,CS12,CV12)&gt;1,LARGE((AQ12,AT12,BR12,BU12,CS12,CV12),2),0)</f>
        <v>53.36</v>
      </c>
      <c r="M12" s="13" t="str">
        <f>IF(L12="","",IF(OR(L12=CS12,L12=CV12),$CA$1,IF(OR(L12=BR12,L12=BU12),$AZ$1,IF(OR(L12=AQ12,L12=AT12),$Y$1,""))))</f>
        <v>2022 Elite Canada</v>
      </c>
      <c r="N12" s="13">
        <f>IF(COUNT(AQ12,AT12,BR12,BU12,CS12,CV12)&gt;2,LARGE((AQ12,AT12,BR12,BU12,CS12,CV12),3),0)</f>
        <v>52.169999999999995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54.169999999999995</v>
      </c>
      <c r="Q12" s="13" t="str">
        <f>IF(P12="","",IF(P12=CZ12,$CA$1,IF(P12=BY12,$AZ$1,IF(P12=AX12,$Y$1,""))))</f>
        <v>2022 Elite Canada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Elite Canada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>IF(AA12&gt;0,AA12,"")</f>
        <v>14.2</v>
      </c>
      <c r="AP12" s="74">
        <f>IF(AB12&gt;0,AB12,"")</f>
        <v>15.1</v>
      </c>
      <c r="AQ12" s="76">
        <f>IF(SUM(Y12:AB12)-AC12&gt;0,SUM(Y12:AB12)-AC12,"")</f>
        <v>53.500000000000007</v>
      </c>
      <c r="AR12" s="76" t="str">
        <f>IF(AF12&gt;0,AF12,"")</f>
        <v/>
      </c>
      <c r="AS12" s="76" t="str">
        <f>IF(AG12&gt;0,AG12,"")</f>
        <v/>
      </c>
      <c r="AT12" s="76" t="str">
        <f>IF(SUM(AD12:AG12)-AH12&gt;0,SUM(AD12:AG12)-AH12,"")</f>
        <v/>
      </c>
      <c r="AU12" s="76">
        <f>IF(AQ12="","",MAX(AQ12,AT12))</f>
        <v>53.500000000000007</v>
      </c>
      <c r="AV12" s="76">
        <f>IF(AK12&gt;0,AK12,"")</f>
        <v>6.7</v>
      </c>
      <c r="AW12" s="76">
        <f>IF(AL12&gt;0,AL12,"")</f>
        <v>6.13</v>
      </c>
      <c r="AX12" s="76">
        <f>IF(SUM(AI12:AL12)-AM12&gt;0,SUM(AI12:AL12)-AM12,"")</f>
        <v>32.53</v>
      </c>
      <c r="AY12" s="76">
        <f>IF(SUM(AU12,AX12)&gt;0,SUM(AU12,AX12),"")</f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5.0999999999999996</v>
      </c>
      <c r="BQ12" s="75">
        <f>IF(BC12&gt;0,BC12,"")</f>
        <v>4.8650000000000002</v>
      </c>
      <c r="BR12" s="16">
        <f>IF(SUM(AZ12:BC12)-BD12&gt;0,SUM(AZ12:BC12)-BD12,"")</f>
        <v>17.365000000000002</v>
      </c>
      <c r="BS12" s="16">
        <f>IF(BG12&gt;0,BG12,"")</f>
        <v>5.0999999999999996</v>
      </c>
      <c r="BT12" s="16">
        <f>IF(BH12&gt;0,BH12,"")</f>
        <v>5.05</v>
      </c>
      <c r="BU12" s="16">
        <f>IF(SUM(BE12:BH12)-BI12&gt;0,SUM(BE12:BH12)-BI12,"")</f>
        <v>17.349999999999998</v>
      </c>
      <c r="BV12" s="16">
        <f>IF(BR12="","",MAX(BR12,BU12))</f>
        <v>17.365000000000002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>IF(CC12&gt;0,CC12,"")</f>
        <v>14.8</v>
      </c>
      <c r="CR12" s="74">
        <f>IF(CD12&gt;0,CD12,"")</f>
        <v>15.36</v>
      </c>
      <c r="CS12" s="76">
        <f>IF(SUM(CA12:CD12)-CE12&gt;0,SUM(CA12:CD12)-CE12,"")</f>
        <v>53.36</v>
      </c>
      <c r="CT12" s="76">
        <f>IF(CH12&gt;0,CH12,"")</f>
        <v>12.7</v>
      </c>
      <c r="CU12" s="76">
        <f>IF(CI12&gt;0,CI12,"")</f>
        <v>15.87</v>
      </c>
      <c r="CV12" s="76">
        <f>IF(SUM(CF12:CI12)-CJ12&gt;0,SUM(CF12:CI12)-CJ12,"")</f>
        <v>52.169999999999995</v>
      </c>
      <c r="CW12" s="76">
        <f>IF(CS12="","",MAX(CS12,CV12))</f>
        <v>53.36</v>
      </c>
      <c r="CX12" s="76">
        <f>IF(CM12&gt;0,CM12,"")</f>
        <v>14.6</v>
      </c>
      <c r="CY12" s="76">
        <f>IF(CN12&gt;0,CN12,"")</f>
        <v>15.87</v>
      </c>
      <c r="CZ12" s="76">
        <f>IF(SUM(CK12:CN12)-CO12&gt;0,SUM(CK12:CN12)-CO12,"")</f>
        <v>54.169999999999995</v>
      </c>
      <c r="DA12" s="76">
        <f>IF(SUM(CW12,CZ12)&gt;0,SUM(CW12,CZ12),"")</f>
        <v>107.53</v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9.4</v>
      </c>
      <c r="SW12" s="42">
        <f>IF($CP12="P",CB12,(CB12+BA12)/2)</f>
        <v>5.9</v>
      </c>
      <c r="SX12" s="42">
        <f>IF($CP12="P",CC12,(CC12+BB12)/2)</f>
        <v>9.9499999999999993</v>
      </c>
      <c r="SY12" s="42">
        <f>IF($CP12="P",CD12,(CD12+BC12)/2)</f>
        <v>10.112500000000001</v>
      </c>
      <c r="SZ12" s="42">
        <f>IF($CP12="P",CE12,(CE12+BD12)/2)</f>
        <v>0</v>
      </c>
      <c r="TA12" s="42">
        <f>IF($CP12="P",CF12,(CF12+BE12)/2)</f>
        <v>9.65</v>
      </c>
      <c r="TB12" s="42">
        <f>IF($CP12="P",CG12,(CG12+BF12)/2)</f>
        <v>6.15</v>
      </c>
      <c r="TC12" s="42">
        <f>IF($CP12="P",CH12,(CH12+BG12)/2)</f>
        <v>8.8999999999999986</v>
      </c>
      <c r="TD12" s="42">
        <f>IF($CP12="P",CI12,(CI12+BH12)/2)</f>
        <v>10.459999999999999</v>
      </c>
      <c r="TE12" s="42">
        <f>IF($CP12="P",CJ12,(CJ12+BI12)/2)</f>
        <v>0.4</v>
      </c>
      <c r="TF12" s="42">
        <f>IF($CP12="P",CK12,(CK12+BJ12)/2)</f>
        <v>7.3</v>
      </c>
      <c r="TG12" s="42">
        <f>IF($CP12="P",CL12,(CL12+BK12)/2)</f>
        <v>4.55</v>
      </c>
      <c r="TH12" s="42">
        <f>IF($CP12="P",CM12,(CM12+BL12)/2)</f>
        <v>7.3</v>
      </c>
      <c r="TI12" s="42">
        <f>IF($CP12="P",CN12,(CN12+BM12)/2)</f>
        <v>7.9349999999999996</v>
      </c>
      <c r="TJ12" s="42">
        <f>IF($CP12="P",CO12,(CO12+BN12)/2)</f>
        <v>0</v>
      </c>
      <c r="TK12" s="51" t="s">
        <v>61</v>
      </c>
      <c r="TL12" s="76">
        <f>IF(SX12&gt;0,SX12,"")</f>
        <v>9.9499999999999993</v>
      </c>
      <c r="TM12" s="76">
        <f>IF(SY12&gt;0,SY12,"")</f>
        <v>10.112500000000001</v>
      </c>
      <c r="TN12" s="76">
        <f>IF(SUM(SV12:SY12)-SZ12&gt;0,SUM(SV12:SY12)-SZ12,"")</f>
        <v>35.362499999999997</v>
      </c>
      <c r="TO12" s="76">
        <f>IF(TC12&gt;0,TC12,"")</f>
        <v>8.8999999999999986</v>
      </c>
      <c r="TP12" s="76">
        <f>IF(TD12&gt;0,TD12,"")</f>
        <v>10.459999999999999</v>
      </c>
      <c r="TQ12" s="76">
        <f>IF(SUM(TA12:TD12)-TE12&gt;0,SUM(TA12:TD12)-TE12,"")</f>
        <v>34.76</v>
      </c>
      <c r="TR12" s="76">
        <f>IF(MAX(TN12,TQ12)&gt;0,MAX(TN12,TQ12),"")</f>
        <v>35.362499999999997</v>
      </c>
      <c r="TS12" s="76">
        <f>IF(TH12&gt;0,TH12,"")</f>
        <v>7.3</v>
      </c>
      <c r="TT12" s="76">
        <f>IF(TI12&gt;0,TI12,"")</f>
        <v>7.9349999999999996</v>
      </c>
      <c r="TU12" s="76">
        <f>IF(SUM(TF12:TI12)-TJ12&gt;0,SUM(TF12:TI12)-TJ12,"")</f>
        <v>27.084999999999997</v>
      </c>
      <c r="TV12" s="76">
        <f>IF(SUM(TR12,TU12)&gt;0,SUM(TR12,TU12),"")</f>
        <v>62.447499999999991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161</v>
      </c>
      <c r="C13" s="7" t="s">
        <v>9</v>
      </c>
      <c r="D13" s="5">
        <v>2005</v>
      </c>
      <c r="E13" s="14">
        <f>SUM(J13:V13)+SUM(J13:T13)*0.0000001+SUM(J13)*0.0000000000001</f>
        <v>223.64502236450537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53.3</v>
      </c>
      <c r="K13" s="13" t="str">
        <f>IF(J13="","",IF(OR(J13=CS13,J13=CV13),$CA$1,IF(OR(J13=BR13,J13=BU13),$AZ$1,IF(OR(J13=AQ13,J13=AT13),$Y$1,""))))</f>
        <v>2021 Elite Canada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52.715000000000003</v>
      </c>
      <c r="Q13" s="13" t="str">
        <f>IF(P13="","",IF(P13=CZ13,$CA$1,IF(P13=BY13,$AZ$1,IF(P13=AX13,$Y$1,""))))</f>
        <v>2021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>IF(AA13&gt;0,AA13,"")</f>
        <v>13.5</v>
      </c>
      <c r="AP13" s="74">
        <f>IF(AB13&gt;0,AB13,"")</f>
        <v>14.9</v>
      </c>
      <c r="AQ13" s="76">
        <f>IF(SUM(Y13:AB13)-AC13&gt;0,SUM(Y13:AB13)-AC13,"")</f>
        <v>53.3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53.3</v>
      </c>
      <c r="AV13" s="76">
        <f>IF(AK13&gt;0,AK13,"")</f>
        <v>13.3</v>
      </c>
      <c r="AW13" s="76">
        <f>IF(AL13&gt;0,AL13,"")</f>
        <v>14.715</v>
      </c>
      <c r="AX13" s="76">
        <f>IF(SUM(AI13:AL13)-AM13&gt;0,SUM(AI13:AL13)-AM13,"")</f>
        <v>52.715000000000003</v>
      </c>
      <c r="AY13" s="76">
        <f>IF(SUM(AU13,AX13)&gt;0,SUM(AU13,AX13),"")</f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>IF(BB13&gt;0,BB13,"")</f>
        <v>12.5</v>
      </c>
      <c r="BQ13" s="75">
        <f>IF(BC13&gt;0,BC13,"")</f>
        <v>14.185</v>
      </c>
      <c r="BR13" s="16">
        <f>IF(SUM(AZ13:BC13)-BD13&gt;0,SUM(AZ13:BC13)-BD13,"")</f>
        <v>51.085000000000001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51.085000000000001</v>
      </c>
      <c r="BW13" s="16">
        <f>IF(BL13&gt;0,BL13,"")</f>
        <v>13.5</v>
      </c>
      <c r="BX13" s="16">
        <f>IF(BM13&gt;0,BM13,"")</f>
        <v>14.605</v>
      </c>
      <c r="BY13" s="16">
        <f>IF(SUM(BJ13:BM13)-BN13&gt;0,SUM(BJ13:BM13)-BN13,"")</f>
        <v>52.305000000000007</v>
      </c>
      <c r="BZ13" s="16">
        <f>IF(SUM(BV13,BY13)&gt;0,SUM(BV13,BY13),"")</f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>IF(CC13&gt;0,CC13,"")</f>
        <v>13.5</v>
      </c>
      <c r="CR13" s="74">
        <f>IF(CD13&gt;0,CD13,"")</f>
        <v>14.744999999999999</v>
      </c>
      <c r="CS13" s="76">
        <f>IF(SUM(CA13:CD13)-CE13&gt;0,SUM(CA13:CD13)-CE13,"")</f>
        <v>53.044999999999995</v>
      </c>
      <c r="CT13" s="76">
        <f>IF(CH13&gt;0,CH13,"")</f>
        <v>12.5</v>
      </c>
      <c r="CU13" s="76">
        <f>IF(CI13&gt;0,CI13,"")</f>
        <v>14.91</v>
      </c>
      <c r="CV13" s="76">
        <f>IF(SUM(CF13:CI13)-CJ13&gt;0,SUM(CF13:CI13)-CJ13,"")</f>
        <v>49.41</v>
      </c>
      <c r="CW13" s="76">
        <f>IF(CS13="","",MAX(CS13,CV13))</f>
        <v>53.044999999999995</v>
      </c>
      <c r="CX13" s="76">
        <f>IF(CM13&gt;0,CM13,"")</f>
        <v>5.6</v>
      </c>
      <c r="CY13" s="76">
        <f>IF(CN13&gt;0,CN13,"")</f>
        <v>6.29</v>
      </c>
      <c r="CZ13" s="76">
        <f>IF(SUM(CK13:CN13)-CO13&gt;0,SUM(CK13:CN13)-CO13,"")</f>
        <v>21.39</v>
      </c>
      <c r="DA13" s="76">
        <f>IF(SUM(CW13,CZ13)&gt;0,SUM(CW13,CZ13),"")</f>
        <v>74.435000000000002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15.5</v>
      </c>
      <c r="SW13" s="42">
        <f>IF($CP13="P",CB13,(CB13+BA13)/2)</f>
        <v>9.1999999999999993</v>
      </c>
      <c r="SX13" s="42">
        <f>IF($CP13="P",CC13,(CC13+BB13)/2)</f>
        <v>13</v>
      </c>
      <c r="SY13" s="42">
        <f>IF($CP13="P",CD13,(CD13+BC13)/2)</f>
        <v>14.465</v>
      </c>
      <c r="SZ13" s="42">
        <f>IF($CP13="P",CE13,(CE13+BD13)/2)</f>
        <v>0.1</v>
      </c>
      <c r="TA13" s="42">
        <f>IF($CP13="P",CF13,(CF13+BE13)/2)</f>
        <v>6.95</v>
      </c>
      <c r="TB13" s="42">
        <f>IF($CP13="P",CG13,(CG13+BF13)/2)</f>
        <v>4.55</v>
      </c>
      <c r="TC13" s="42">
        <f>IF($CP13="P",CH13,(CH13+BG13)/2)</f>
        <v>6.25</v>
      </c>
      <c r="TD13" s="42">
        <f>IF($CP13="P",CI13,(CI13+BH13)/2)</f>
        <v>7.4550000000000001</v>
      </c>
      <c r="TE13" s="42">
        <f>IF($CP13="P",CJ13,(CJ13+BI13)/2)</f>
        <v>0.5</v>
      </c>
      <c r="TF13" s="42">
        <f>IF($CP13="P",CK13,(CK13+BJ13)/2)</f>
        <v>10.8</v>
      </c>
      <c r="TG13" s="42">
        <f>IF($CP13="P",CL13,(CL13+BK13)/2)</f>
        <v>6.0500000000000007</v>
      </c>
      <c r="TH13" s="42">
        <f>IF($CP13="P",CM13,(CM13+BL13)/2)</f>
        <v>9.5500000000000007</v>
      </c>
      <c r="TI13" s="42">
        <f>IF($CP13="P",CN13,(CN13+BM13)/2)</f>
        <v>10.4475</v>
      </c>
      <c r="TJ13" s="42">
        <f>IF($CP13="P",CO13,(CO13+BN13)/2)</f>
        <v>0</v>
      </c>
      <c r="TK13" s="51" t="s">
        <v>61</v>
      </c>
      <c r="TL13" s="76">
        <f>IF(SX13&gt;0,SX13,"")</f>
        <v>13</v>
      </c>
      <c r="TM13" s="76">
        <f>IF(SY13&gt;0,SY13,"")</f>
        <v>14.465</v>
      </c>
      <c r="TN13" s="76">
        <f>IF(SUM(SV13:SY13)-SZ13&gt;0,SUM(SV13:SY13)-SZ13,"")</f>
        <v>52.065000000000005</v>
      </c>
      <c r="TO13" s="76">
        <f>IF(TC13&gt;0,TC13,"")</f>
        <v>6.25</v>
      </c>
      <c r="TP13" s="76">
        <f>IF(TD13&gt;0,TD13,"")</f>
        <v>7.4550000000000001</v>
      </c>
      <c r="TQ13" s="76">
        <f>IF(SUM(TA13:TD13)-TE13&gt;0,SUM(TA13:TD13)-TE13,"")</f>
        <v>24.704999999999998</v>
      </c>
      <c r="TR13" s="76">
        <f>IF(MAX(TN13,TQ13)&gt;0,MAX(TN13,TQ13),"")</f>
        <v>52.065000000000005</v>
      </c>
      <c r="TS13" s="76">
        <f>IF(TH13&gt;0,TH13,"")</f>
        <v>9.5500000000000007</v>
      </c>
      <c r="TT13" s="76">
        <f>IF(TI13&gt;0,TI13,"")</f>
        <v>10.4475</v>
      </c>
      <c r="TU13" s="76">
        <f>IF(SUM(TF13:TI13)-TJ13&gt;0,SUM(TF13:TI13)-TJ13,"")</f>
        <v>36.847500000000004</v>
      </c>
      <c r="TV13" s="76">
        <f>IF(SUM(TR13,TU13)&gt;0,SUM(TR13,TU13),"")</f>
        <v>88.912500000000009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>SUM(J14:V14)+SUM(J14:T14)*0.0000001+SUM(J14)*0.0000000000001</f>
        <v>217.17002171700526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52.464999999999996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49.515000000000001</v>
      </c>
      <c r="M14" s="13" t="str">
        <f>IF(L14="","",IF(OR(L14=CS14,L14=CV14),$CA$1,IF(OR(L14=BR14,L14=BU14),$AZ$1,IF(OR(L14=AQ14,L14=AT14),$Y$1,""))))</f>
        <v>2021 Elite Canada</v>
      </c>
      <c r="N14" s="13">
        <f>IF(COUNT(AQ14,AT14,BR14,BU14,CS14,CV14)&gt;2,LARGE((AQ14,AT14,BR14,BU14,CS14,CV14),3),0)</f>
        <v>48.969999999999992</v>
      </c>
      <c r="O14" s="13" t="str">
        <f>IF(N14="","",IF(OR(N14=CS14,N14=CV14),$CA$1,IF(OR(N14=BR14,N14=BU14),$AZ$1,IF(OR(N14=AQ14,N14=AT14),$Y$1,""))))</f>
        <v>2022 Elite Canada</v>
      </c>
      <c r="P14" s="13">
        <f>IF(MAX(AX14,BY14,CZ14)&gt;0,MAX(AX14,BY14,CZ14),0)</f>
        <v>52.419999999999995</v>
      </c>
      <c r="Q14" s="13" t="str">
        <f>IF(P14="","",IF(P14=CZ14,$CA$1,IF(P14=BY14,$AZ$1,IF(P14=AX14,$Y$1,""))))</f>
        <v>2021 Elite Canada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13.8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>IF(AA14&gt;0,AA14,"")</f>
        <v>11.8</v>
      </c>
      <c r="AP14" s="74">
        <f>IF(AB14&gt;0,AB14,"")</f>
        <v>15.215</v>
      </c>
      <c r="AQ14" s="76">
        <f>IF(SUM(Y14:AB14)-AC14&gt;0,SUM(Y14:AB14)-AC14,"")</f>
        <v>49.515000000000001</v>
      </c>
      <c r="AR14" s="76">
        <f>IF(AF14&gt;0,AF14,"")</f>
        <v>9.1999999999999993</v>
      </c>
      <c r="AS14" s="76">
        <f>IF(AG14&gt;0,AG14,"")</f>
        <v>10.7</v>
      </c>
      <c r="AT14" s="76">
        <f>IF(SUM(AD14:AG14)-AH14&gt;0,SUM(AD14:AG14)-AH14,"")</f>
        <v>37</v>
      </c>
      <c r="AU14" s="76">
        <f>IF(AQ14="","",MAX(AQ14,AT14))</f>
        <v>49.515000000000001</v>
      </c>
      <c r="AV14" s="76">
        <f>IF(AK14&gt;0,AK14,"")</f>
        <v>13.3</v>
      </c>
      <c r="AW14" s="76">
        <f>IF(AL14&gt;0,AL14,"")</f>
        <v>15.62</v>
      </c>
      <c r="AX14" s="76">
        <f>IF(SUM(AI14:AL14)-AM14&gt;0,SUM(AI14:AL14)-AM14,"")</f>
        <v>52.419999999999995</v>
      </c>
      <c r="AY14" s="76">
        <f>IF(SUM(AU14,AX14)&gt;0,SUM(AU14,AX14),"")</f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>IF(BB14&gt;0,BB14,"")</f>
        <v>4.5999999999999996</v>
      </c>
      <c r="BQ14" s="75">
        <f>IF(BC14&gt;0,BC14,"")</f>
        <v>4.8250000000000002</v>
      </c>
      <c r="BR14" s="16">
        <f>IF(SUM(AZ14:BC14)-BD14&gt;0,SUM(AZ14:BC14)-BD14,"")</f>
        <v>16.324999999999999</v>
      </c>
      <c r="BS14" s="16">
        <f>IF(BG14&gt;0,BG14,"")</f>
        <v>3.1</v>
      </c>
      <c r="BT14" s="16">
        <f>IF(BH14&gt;0,BH14,"")</f>
        <v>3.28</v>
      </c>
      <c r="BU14" s="16">
        <f>IF(SUM(BE14:BH14)-BI14&gt;0,SUM(BE14:BH14)-BI14,"")</f>
        <v>10.979999999999999</v>
      </c>
      <c r="BV14" s="16">
        <f>IF(BR14="","",MAX(BR14,BU14))</f>
        <v>16.324999999999999</v>
      </c>
      <c r="BW14" s="16" t="str">
        <f>IF(BL14&gt;0,BL14,"")</f>
        <v/>
      </c>
      <c r="BX14" s="16" t="str">
        <f>IF(BM14&gt;0,BM14,"")</f>
        <v/>
      </c>
      <c r="BY14" s="16" t="str">
        <f>IF(SUM(BJ14:BM14)-BN14&gt;0,SUM(BJ14:BM14)-BN14,"")</f>
        <v/>
      </c>
      <c r="BZ14" s="16">
        <f>IF(SUM(BV14,BY14)&gt;0,SUM(BV14,BY14),"")</f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>IF(CC14&gt;0,CC14,"")</f>
        <v>12.8</v>
      </c>
      <c r="CR14" s="74">
        <f>IF(CD14&gt;0,CD14,"")</f>
        <v>15.57</v>
      </c>
      <c r="CS14" s="76">
        <f>IF(SUM(CA14:CD14)-CE14&gt;0,SUM(CA14:CD14)-CE14,"")</f>
        <v>48.969999999999992</v>
      </c>
      <c r="CT14" s="76">
        <f>IF(CH14&gt;0,CH14,"")</f>
        <v>13.8</v>
      </c>
      <c r="CU14" s="76">
        <f>IF(CI14&gt;0,CI14,"")</f>
        <v>15.565</v>
      </c>
      <c r="CV14" s="76">
        <f>IF(SUM(CF14:CI14)-CJ14&gt;0,SUM(CF14:CI14)-CJ14,"")</f>
        <v>52.464999999999996</v>
      </c>
      <c r="CW14" s="76">
        <f>IF(CS14="","",MAX(CS14,CV14))</f>
        <v>52.464999999999996</v>
      </c>
      <c r="CX14" s="76">
        <f>IF(CM14&gt;0,CM14,"")</f>
        <v>3.4</v>
      </c>
      <c r="CY14" s="76">
        <f>IF(CN14&gt;0,CN14,"")</f>
        <v>3.33</v>
      </c>
      <c r="CZ14" s="76">
        <f>IF(SUM(CK14:CN14)-CO14&gt;0,SUM(CK14:CN14)-CO14,"")</f>
        <v>11.33</v>
      </c>
      <c r="DA14" s="76">
        <f>IF(SUM(CW14,CZ14)&gt;0,SUM(CW14,CZ14),"")</f>
        <v>63.794999999999995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8.1</v>
      </c>
      <c r="SW14" s="42">
        <f>IF($CP14="P",CB14,(CB14+BA14)/2)</f>
        <v>6</v>
      </c>
      <c r="SX14" s="42">
        <f>IF($CP14="P",CC14,(CC14+BB14)/2)</f>
        <v>8.6999999999999993</v>
      </c>
      <c r="SY14" s="42">
        <f>IF($CP14="P",CD14,(CD14+BC14)/2)</f>
        <v>10.1975</v>
      </c>
      <c r="SZ14" s="42">
        <f>IF($CP14="P",CE14,(CE14+BD14)/2)</f>
        <v>0.35</v>
      </c>
      <c r="TA14" s="42">
        <f>IF($CP14="P",CF14,(CF14+BE14)/2)</f>
        <v>8.5500000000000007</v>
      </c>
      <c r="TB14" s="42">
        <f>IF($CP14="P",CG14,(CG14+BF14)/2)</f>
        <v>5.4</v>
      </c>
      <c r="TC14" s="42">
        <f>IF($CP14="P",CH14,(CH14+BG14)/2)</f>
        <v>8.4500000000000011</v>
      </c>
      <c r="TD14" s="42">
        <f>IF($CP14="P",CI14,(CI14+BH14)/2)</f>
        <v>9.4224999999999994</v>
      </c>
      <c r="TE14" s="42">
        <f>IF($CP14="P",CJ14,(CJ14+BI14)/2)</f>
        <v>0.1</v>
      </c>
      <c r="TF14" s="42">
        <f>IF($CP14="P",CK14,(CK14+BJ14)/2)</f>
        <v>1.45</v>
      </c>
      <c r="TG14" s="42">
        <f>IF($CP14="P",CL14,(CL14+BK14)/2)</f>
        <v>0.85</v>
      </c>
      <c r="TH14" s="42">
        <f>IF($CP14="P",CM14,(CM14+BL14)/2)</f>
        <v>1.7</v>
      </c>
      <c r="TI14" s="42">
        <f>IF($CP14="P",CN14,(CN14+BM14)/2)</f>
        <v>1.665</v>
      </c>
      <c r="TJ14" s="42">
        <f>IF($CP14="P",CO14,(CO14+BN14)/2)</f>
        <v>0</v>
      </c>
      <c r="TK14" s="51" t="s">
        <v>61</v>
      </c>
      <c r="TL14" s="76">
        <f>IF(SX14&gt;0,SX14,"")</f>
        <v>8.6999999999999993</v>
      </c>
      <c r="TM14" s="76">
        <f>IF(SY14&gt;0,SY14,"")</f>
        <v>10.1975</v>
      </c>
      <c r="TN14" s="76">
        <f>IF(SUM(SV14:SY14)-SZ14&gt;0,SUM(SV14:SY14)-SZ14,"")</f>
        <v>32.647499999999994</v>
      </c>
      <c r="TO14" s="76">
        <f>IF(TC14&gt;0,TC14,"")</f>
        <v>8.4500000000000011</v>
      </c>
      <c r="TP14" s="76">
        <f>IF(TD14&gt;0,TD14,"")</f>
        <v>9.4224999999999994</v>
      </c>
      <c r="TQ14" s="76">
        <f>IF(SUM(TA14:TD14)-TE14&gt;0,SUM(TA14:TD14)-TE14,"")</f>
        <v>31.7225</v>
      </c>
      <c r="TR14" s="76">
        <f>IF(MAX(TN14,TQ14)&gt;0,MAX(TN14,TQ14),"")</f>
        <v>32.647499999999994</v>
      </c>
      <c r="TS14" s="76">
        <f>IF(TH14&gt;0,TH14,"")</f>
        <v>1.7</v>
      </c>
      <c r="TT14" s="76">
        <f>IF(TI14&gt;0,TI14,"")</f>
        <v>1.665</v>
      </c>
      <c r="TU14" s="76">
        <f>IF(SUM(TF14:TI14)-TJ14&gt;0,SUM(TF14:TI14)-TJ14,"")</f>
        <v>5.665</v>
      </c>
      <c r="TV14" s="76">
        <f>IF(SUM(TR14,TU14)&gt;0,SUM(TR14,TU14),"")</f>
        <v>38.312499999999993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>SUM(J15:V15)+SUM(J15:T15)*0.0000001+SUM(J15)*0.0000000000001</f>
        <v>216.64502166450529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49.445</v>
      </c>
      <c r="O15" s="13" t="str">
        <f>IF(N15="","",IF(OR(N15=CS15,N15=CV15),$CA$1,IF(OR(N15=BR15,N15=BU15),$AZ$1,IF(OR(N15=AQ15,N15=AT15),$Y$1,""))))</f>
        <v>2022 Elite Canada</v>
      </c>
      <c r="P15" s="13">
        <f>IF(MAX(AX15,BY15,CZ15)&gt;0,MAX(AX15,BY15,CZ15),0)</f>
        <v>48.845000000000006</v>
      </c>
      <c r="Q15" s="13" t="str">
        <f>IF(P15="","",IF(P15=CZ15,$CA$1,IF(P15=BY15,$AZ$1,IF(P15=AX15,$Y$1,""))))</f>
        <v>2022 Elite Canada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Elite Canada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R15=SI15,R15=SL15,R15=SP15,R15=SS15),$RN$1,IF(OR(R15=RA15,R15=RD15,R15=RH15,R15=RK15),$QF$1,IF(OR(R15=PS15,R15=PV15,R15=PZ15,R15=QC15),$OX$1,IF(OR(R15=OK15,R15=ON15,R15=OR15,R15=OU15),$NP$1,IF(OR(R15=NC15,R15=NF15,R15=NJ15,R15=NM15),$MH$1,IF(OR(R15=LU15,R15=LX15,R15=MB15,R15=ME15),$KZ$1,IF(OR(R15=KM15,R15=KP15,R15=KT15,R15=KW15),$JR$1,IF(OR(R15=JE15,R15=JH15,R15=JL15,R15=JO15),$IJ$1,IF(OR(R15=HW15,R15=HZ15,R15=ID15,R15=IG15),$HB$1,IF(OR(R15=GO15,R15=GR15,R15=GV15,R15=GY15),$FT$1,IF(OR(R15=FG15,R15=FJ15,R15=FN15,R15=FQ15),$EL$1,IF(OR(R15=DY15,R15=EB15,R15=EF15,R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L15="",0,L15)=SN15,$RN$1,IF(V15+IF(L15="",0,L15)=RF15,$QF$1,IF(V15+IF(L15="",0,L15)=PX15,$OX$1,IF(V15+IF(L15="",0,L15)=OP15,$NP$1,IF(V15+IF(L15="",0,L15)=NH15,$MH$1,IF(V15+IF(L15="",0,L15)=LZ15,$KZ$1,IF(V15+IF(L15="",0,L15)=KR15,$JR$1,IF(V15+IF(L15="",0,L15)=JJ15,$IJ$1,IF(V15+IF(L15="",0,L15)=IB15,$HB$1,IF(V15+IF(L15="",0,L15)=GT15,$FT$1,IF(V15+IF(L15="",0,L15)=FL15,$EL$1,IF(V15+IF(L15="",0,L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$1)))))))))))))))</f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>IF(AA15&gt;0,AA15,"")</f>
        <v/>
      </c>
      <c r="AP15" s="74" t="str">
        <f>IF(AB15&gt;0,AB15,"")</f>
        <v/>
      </c>
      <c r="AQ15" s="76" t="str">
        <f>IF(SUM(Y15:AB15)-AC15&gt;0,SUM(Y15:AB15)-AC15,"")</f>
        <v/>
      </c>
      <c r="AR15" s="76" t="str">
        <f>IF(AF15&gt;0,AF15,"")</f>
        <v/>
      </c>
      <c r="AS15" s="76" t="str">
        <f>IF(AG15&gt;0,AG15,"")</f>
        <v/>
      </c>
      <c r="AT15" s="76" t="str">
        <f>IF(SUM(AD15:AG15)-AH15&gt;0,SUM(AD15:AG15)-AH15,"")</f>
        <v/>
      </c>
      <c r="AU15" s="76" t="str">
        <f>IF(AQ15="","",MAX(AQ15,AT15))</f>
        <v/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 t="str">
        <f>IF(SUM(AU15,AX15)&gt;0,SUM(AU15,AX15),"")</f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>IF(BB15&gt;0,BB15,"")</f>
        <v>8.3000000000000007</v>
      </c>
      <c r="BQ15" s="75">
        <f>IF(BC15&gt;0,BC15,"")</f>
        <v>11.654999999999999</v>
      </c>
      <c r="BR15" s="16">
        <f>IF(SUM(AZ15:BC15)-BD15&gt;0,SUM(AZ15:BC15)-BD15,"")</f>
        <v>38.155000000000001</v>
      </c>
      <c r="BS15" s="16">
        <f>IF(BG15&gt;0,BG15,"")</f>
        <v>13.1</v>
      </c>
      <c r="BT15" s="16">
        <f>IF(BH15&gt;0,BH15,"")</f>
        <v>15.06</v>
      </c>
      <c r="BU15" s="16">
        <f>IF(SUM(BE15:BH15)-BI15&gt;0,SUM(BE15:BH15)-BI15,"")</f>
        <v>52.06</v>
      </c>
      <c r="BV15" s="16">
        <f>IF(BR15="","",MAX(BR15,BU15))</f>
        <v>52.06</v>
      </c>
      <c r="BW15" s="16">
        <f>IF(BL15&gt;0,BL15,"")</f>
        <v>5.4</v>
      </c>
      <c r="BX15" s="16">
        <f>IF(BM15&gt;0,BM15,"")</f>
        <v>6.085</v>
      </c>
      <c r="BY15" s="16">
        <f>IF(SUM(BJ15:BM15)-BN15&gt;0,SUM(BJ15:BM15)-BN15,"")</f>
        <v>21.285</v>
      </c>
      <c r="BZ15" s="16">
        <f>IF(SUM(BV15,BY15)&gt;0,SUM(BV15,BY15),"")</f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>IF(CC15&gt;0,CC15,"")</f>
        <v>12.6</v>
      </c>
      <c r="CR15" s="74">
        <f>IF(CD15&gt;0,CD15,"")</f>
        <v>14.345000000000001</v>
      </c>
      <c r="CS15" s="76">
        <f>IF(SUM(CA15:CD15)-CE15&gt;0,SUM(CA15:CD15)-CE15,"")</f>
        <v>49.445</v>
      </c>
      <c r="CT15" s="76">
        <f>IF(CH15&gt;0,CH15,"")</f>
        <v>13.5</v>
      </c>
      <c r="CU15" s="76">
        <f>IF(CI15&gt;0,CI15,"")</f>
        <v>14.895</v>
      </c>
      <c r="CV15" s="76">
        <f>IF(SUM(CF15:CI15)-CJ15&gt;0,SUM(CF15:CI15)-CJ15,"")</f>
        <v>52.795000000000002</v>
      </c>
      <c r="CW15" s="76">
        <f>IF(CS15="","",MAX(CS15,CV15))</f>
        <v>52.795000000000002</v>
      </c>
      <c r="CX15" s="76">
        <f>IF(CM15&gt;0,CM15,"")</f>
        <v>12.6</v>
      </c>
      <c r="CY15" s="76">
        <f>IF(CN15&gt;0,CN15,"")</f>
        <v>14.545</v>
      </c>
      <c r="CZ15" s="76">
        <f>IF(SUM(CK15:CN15)-CO15&gt;0,SUM(CK15:CN15)-CO15,"")</f>
        <v>48.845000000000006</v>
      </c>
      <c r="DA15" s="76">
        <f>IF(SUM(CW15,CZ15)&gt;0,SUM(CW15,CZ15),"")</f>
        <v>101.64000000000001</v>
      </c>
      <c r="DB15" s="87" t="str">
        <f>IF(L15&gt;=0.001,IF(MAX(ED15,FL15,GT15,IB15,JJ15,KR15,LZ15,NH15,OP15,PX15,RF15,SN15)-IF(L15="",0,L15)&gt;0.001,MAX(ED15,FL15,GT15,IB15,JJ15,KR15,LZ15,NH15,OP15,PX15,RF15,SN15)-IF(L15="",0,L15),""),"")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12.7</v>
      </c>
      <c r="SW15" s="42">
        <f>IF($CP15="P",CB15,(CB15+BA15)/2)</f>
        <v>8.1</v>
      </c>
      <c r="SX15" s="42">
        <f>IF($CP15="P",CC15,(CC15+BB15)/2)</f>
        <v>10.45</v>
      </c>
      <c r="SY15" s="42">
        <f>IF($CP15="P",CD15,(CD15+BC15)/2)</f>
        <v>13</v>
      </c>
      <c r="SZ15" s="42">
        <f>IF($CP15="P",CE15,(CE15+BD15)/2)</f>
        <v>0.45</v>
      </c>
      <c r="TA15" s="42">
        <f>IF($CP15="P",CF15,(CF15+BE15)/2)</f>
        <v>14.85</v>
      </c>
      <c r="TB15" s="42">
        <f>IF($CP15="P",CG15,(CG15+BF15)/2)</f>
        <v>9.5</v>
      </c>
      <c r="TC15" s="42">
        <f>IF($CP15="P",CH15,(CH15+BG15)/2)</f>
        <v>13.3</v>
      </c>
      <c r="TD15" s="42">
        <f>IF($CP15="P",CI15,(CI15+BH15)/2)</f>
        <v>14.977499999999999</v>
      </c>
      <c r="TE15" s="42">
        <f>IF($CP15="P",CJ15,(CJ15+BI15)/2)</f>
        <v>0.2</v>
      </c>
      <c r="TF15" s="42">
        <f>IF($CP15="P",CK15,(CK15+BJ15)/2)</f>
        <v>9.4</v>
      </c>
      <c r="TG15" s="42">
        <f>IF($CP15="P",CL15,(CL15+BK15)/2)</f>
        <v>6.8</v>
      </c>
      <c r="TH15" s="42">
        <f>IF($CP15="P",CM15,(CM15+BL15)/2)</f>
        <v>9</v>
      </c>
      <c r="TI15" s="42">
        <f>IF($CP15="P",CN15,(CN15+BM15)/2)</f>
        <v>10.315</v>
      </c>
      <c r="TJ15" s="42">
        <f>IF($CP15="P",CO15,(CO15+BN15)/2)</f>
        <v>0.45</v>
      </c>
      <c r="TK15" s="51" t="s">
        <v>61</v>
      </c>
      <c r="TL15" s="76">
        <f>IF(SX15&gt;0,SX15,"")</f>
        <v>10.45</v>
      </c>
      <c r="TM15" s="76">
        <f>IF(SY15&gt;0,SY15,"")</f>
        <v>13</v>
      </c>
      <c r="TN15" s="76">
        <f>IF(SUM(SV15:SY15)-SZ15&gt;0,SUM(SV15:SY15)-SZ15,"")</f>
        <v>43.8</v>
      </c>
      <c r="TO15" s="76">
        <f>IF(TC15&gt;0,TC15,"")</f>
        <v>13.3</v>
      </c>
      <c r="TP15" s="76">
        <f>IF(TD15&gt;0,TD15,"")</f>
        <v>14.977499999999999</v>
      </c>
      <c r="TQ15" s="76">
        <f>IF(SUM(TA15:TD15)-TE15&gt;0,SUM(TA15:TD15)-TE15,"")</f>
        <v>52.427500000000002</v>
      </c>
      <c r="TR15" s="76">
        <f>IF(MAX(TN15,TQ15)&gt;0,MAX(TN15,TQ15),"")</f>
        <v>52.427500000000002</v>
      </c>
      <c r="TS15" s="76">
        <f>IF(TH15&gt;0,TH15,"")</f>
        <v>9</v>
      </c>
      <c r="TT15" s="76">
        <f>IF(TI15&gt;0,TI15,"")</f>
        <v>10.315</v>
      </c>
      <c r="TU15" s="76">
        <f>IF(SUM(TF15:TI15)-TJ15&gt;0,SUM(TF15:TI15)-TJ15,"")</f>
        <v>35.064999999999998</v>
      </c>
      <c r="TV15" s="76">
        <f>IF(SUM(TR15,TU15)&gt;0,SUM(TR15,TU15),"")</f>
        <v>87.492500000000007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>SUM(J16:V16)+SUM(J16:T16)*0.0000001+SUM(J16)*0.0000000000001</f>
        <v>210.03502100350542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53.894999999999996</v>
      </c>
      <c r="K16" s="13" t="str">
        <f>IF(J16="","",IF(OR(J16=CS16,J16=CV16),$CA$1,IF(OR(J16=BR16,J16=BU16),$AZ$1,IF(OR(J16=AQ16,J16=AT16),$Y$1,""))))</f>
        <v>2021 Elite Canada</v>
      </c>
      <c r="L16" s="13">
        <f>IF(COUNT(AQ16,AT16,BR16,BU16,CS16,CV16)&gt;1,LARGE((AQ16,AT16,BR16,BU16,CS16,CV16),2),0)</f>
        <v>52.78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26.125</v>
      </c>
      <c r="O16" s="13" t="str">
        <f>IF(N16="","",IF(OR(N16=CS16,N16=CV16),$CA$1,IF(OR(N16=BR16,N16=BU16),$AZ$1,IF(OR(N16=AQ16,N16=AT16),$Y$1,""))))</f>
        <v>2021 Canadian Championships</v>
      </c>
      <c r="P16" s="13">
        <f>IF(MAX(AX16,BY16,CZ16)&gt;0,MAX(AX16,BY16,CZ16),0)</f>
        <v>46.44</v>
      </c>
      <c r="Q16" s="13" t="str">
        <f>IF(P16="","",IF(P16=CZ16,$CA$1,IF(P16=BY16,$AZ$1,IF(P16=AX16,$Y$1,""))))</f>
        <v>2021 Canadian Championships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14.4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2021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16.395</v>
      </c>
      <c r="U16" s="13" t="str">
        <f>IF(T16=0,"",IF(OR(T16=CR16,T16=CU16,T16=CY16),$CA$1,IF(OR(T16=BQ16,T16=BT16,T16=BX16),$AZ$1,IF(OR(T16=AP16,T16=AS16,T16=AW16),$Y$1,IF(OR(R16=SI16,R16=SL16,R16=SP16,R16=SS16),$RN$1,IF(OR(R16=RA16,R16=RD16,R16=RH16,R16=RK16),$QF$1,IF(OR(R16=PS16,R16=PV16,R16=PZ16,R16=QC16),$OX$1,IF(OR(R16=OK16,R16=ON16,R16=OR16,R16=OU16),$NP$1,IF(OR(R16=NC16,R16=NF16,R16=NJ16,R16=NM16),$MH$1,IF(OR(R16=LU16,R16=LX16,R16=MB16,R16=ME16),$KZ$1,IF(OR(R16=KM16,R16=KP16,R16=KT16,R16=KW16),$JR$1,IF(OR(R16=JE16,R16=JH16,R16=JL16,R16=JO16),$IJ$1,IF(OR(R16=HW16,R16=HZ16,R16=ID16,R16=IG16),$HB$1,IF(OR(R16=GO16,R16=GR16,R16=GV16,R16=GY16),$FT$1,IF(OR(R16=FG16,R16=FJ16,R16=FN16,R16=FQ16),$EL$1,IF(OR(R16=DY16,R16=EB16,R16=EF16,R16=EI16),$DD$1,""))))))))))))))))</f>
        <v>2021 Elite Canada</v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L16="",0,L16)=SN16,$RN$1,IF(V16+IF(L16="",0,L16)=RF16,$QF$1,IF(V16+IF(L16="",0,L16)=PX16,$OX$1,IF(V16+IF(L16="",0,L16)=OP16,$NP$1,IF(V16+IF(L16="",0,L16)=NH16,$MH$1,IF(V16+IF(L16="",0,L16)=LZ16,$KZ$1,IF(V16+IF(L16="",0,L16)=KR16,$JR$1,IF(V16+IF(L16="",0,L16)=JJ16,$IJ$1,IF(V16+IF(L16="",0,L16)=IB16,$HB$1,IF(V16+IF(L16="",0,L16)=GT16,$FT$1,IF(V16+IF(L16="",0,L16)=FL16,$EL$1,IF(V16+IF(L16="",0,L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$1)))))))))))))))</f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>IF(AA16&gt;0,AA16,"")</f>
        <v>14.4</v>
      </c>
      <c r="AP16" s="74">
        <f>IF(AB16&gt;0,AB16,"")</f>
        <v>16.395</v>
      </c>
      <c r="AQ16" s="76">
        <f>IF(SUM(Y16:AB16)-AC16&gt;0,SUM(Y16:AB16)-AC16,"")</f>
        <v>53.894999999999996</v>
      </c>
      <c r="AR16" s="76">
        <f>IF(AF16&gt;0,AF16,"")</f>
        <v>3.2</v>
      </c>
      <c r="AS16" s="76">
        <f>IF(AG16&gt;0,AG16,"")</f>
        <v>3.4550000000000001</v>
      </c>
      <c r="AT16" s="76">
        <f>IF(SUM(AD16:AG16)-AH16&gt;0,SUM(AD16:AG16)-AH16,"")</f>
        <v>11.155000000000001</v>
      </c>
      <c r="AU16" s="76">
        <f>IF(AQ16="","",MAX(AQ16,AT16))</f>
        <v>53.894999999999996</v>
      </c>
      <c r="AV16" s="76">
        <f>IF(AK16&gt;0,AK16,"")</f>
        <v>3.8</v>
      </c>
      <c r="AW16" s="76">
        <f>IF(AL16&gt;0,AL16,"")</f>
        <v>4.95</v>
      </c>
      <c r="AX16" s="76">
        <f>IF(SUM(AI16:AL16)-AM16&gt;0,SUM(AI16:AL16)-AM16,"")</f>
        <v>16.05</v>
      </c>
      <c r="AY16" s="76">
        <f>IF(SUM(AU16,AX16)&gt;0,SUM(AU16,AX16),"")</f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>IF(BB16&gt;0,BB16,"")</f>
        <v>6.8</v>
      </c>
      <c r="BQ16" s="75">
        <f>IF(BC16&gt;0,BC16,"")</f>
        <v>8.0250000000000004</v>
      </c>
      <c r="BR16" s="16">
        <f>IF(SUM(AZ16:BC16)-BD16&gt;0,SUM(AZ16:BC16)-BD16,"")</f>
        <v>26.125</v>
      </c>
      <c r="BS16" s="16">
        <f>IF(BG16&gt;0,BG16,"")</f>
        <v>14.2</v>
      </c>
      <c r="BT16" s="16">
        <f>IF(BH16&gt;0,BH16,"")</f>
        <v>15.98</v>
      </c>
      <c r="BU16" s="16">
        <f>IF(SUM(BE16:BH16)-BI16&gt;0,SUM(BE16:BH16)-BI16,"")</f>
        <v>52.78</v>
      </c>
      <c r="BV16" s="16">
        <f>IF(BR16="","",MAX(BR16,BU16))</f>
        <v>52.78</v>
      </c>
      <c r="BW16" s="16">
        <f>IF(BL16&gt;0,BL16,"")</f>
        <v>11.9</v>
      </c>
      <c r="BX16" s="16">
        <f>IF(BM16&gt;0,BM16,"")</f>
        <v>14.44</v>
      </c>
      <c r="BY16" s="16">
        <f>IF(SUM(BJ16:BM16)-BN16&gt;0,SUM(BJ16:BM16)-BN16,"")</f>
        <v>46.44</v>
      </c>
      <c r="BZ16" s="16">
        <f>IF(SUM(BV16,BY16)&gt;0,SUM(BV16,BY16),"")</f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IF(L16&gt;=0.001,IF(MAX(ED16,FL16,GT16,IB16,JJ16,KR16,LZ16,NH16,OP16,PX16,RF16,SN16)-IF(L16="",0,L16)&gt;0.001,MAX(ED16,FL16,GT16,IB16,JJ16,KR16,LZ16,NH16,OP16,PX16,RF16,SN16)-IF(L16="",0,L16),""),"")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3.3</v>
      </c>
      <c r="SW16" s="42">
        <f>IF($CP16="P",CB16,(CB16+BA16)/2)</f>
        <v>2.35</v>
      </c>
      <c r="SX16" s="42">
        <f>IF($CP16="P",CC16,(CC16+BB16)/2)</f>
        <v>3.4</v>
      </c>
      <c r="SY16" s="42">
        <f>IF($CP16="P",CD16,(CD16+BC16)/2)</f>
        <v>4.0125000000000002</v>
      </c>
      <c r="SZ16" s="42">
        <f>IF($CP16="P",CE16,(CE16+BD16)/2)</f>
        <v>0</v>
      </c>
      <c r="TA16" s="42">
        <f>IF($CP16="P",CF16,(CF16+BE16)/2)</f>
        <v>6.9</v>
      </c>
      <c r="TB16" s="42">
        <f>IF($CP16="P",CG16,(CG16+BF16)/2)</f>
        <v>4.4000000000000004</v>
      </c>
      <c r="TC16" s="42">
        <f>IF($CP16="P",CH16,(CH16+BG16)/2)</f>
        <v>7.1</v>
      </c>
      <c r="TD16" s="42">
        <f>IF($CP16="P",CI16,(CI16+BH16)/2)</f>
        <v>7.99</v>
      </c>
      <c r="TE16" s="42">
        <f>IF($CP16="P",CJ16,(CJ16+BI16)/2)</f>
        <v>0</v>
      </c>
      <c r="TF16" s="42">
        <f>IF($CP16="P",CK16,(CK16+BJ16)/2)</f>
        <v>6.1</v>
      </c>
      <c r="TG16" s="42">
        <f>IF($CP16="P",CL16,(CL16+BK16)/2)</f>
        <v>3.95</v>
      </c>
      <c r="TH16" s="42">
        <f>IF($CP16="P",CM16,(CM16+BL16)/2)</f>
        <v>5.95</v>
      </c>
      <c r="TI16" s="42">
        <f>IF($CP16="P",CN16,(CN16+BM16)/2)</f>
        <v>7.22</v>
      </c>
      <c r="TJ16" s="42">
        <f>IF($CP16="P",CO16,(CO16+BN16)/2)</f>
        <v>0</v>
      </c>
      <c r="TK16" s="51" t="s">
        <v>61</v>
      </c>
      <c r="TL16" s="76">
        <f>IF(SX16&gt;0,SX16,"")</f>
        <v>3.4</v>
      </c>
      <c r="TM16" s="76">
        <f>IF(SY16&gt;0,SY16,"")</f>
        <v>4.0125000000000002</v>
      </c>
      <c r="TN16" s="76">
        <f>IF(SUM(SV16:SY16)-SZ16&gt;0,SUM(SV16:SY16)-SZ16,"")</f>
        <v>13.0625</v>
      </c>
      <c r="TO16" s="76">
        <f>IF(TC16&gt;0,TC16,"")</f>
        <v>7.1</v>
      </c>
      <c r="TP16" s="76">
        <f>IF(TD16&gt;0,TD16,"")</f>
        <v>7.99</v>
      </c>
      <c r="TQ16" s="76">
        <f>IF(SUM(TA16:TD16)-TE16&gt;0,SUM(TA16:TD16)-TE16,"")</f>
        <v>26.39</v>
      </c>
      <c r="TR16" s="76">
        <f>IF(MAX(TN16,TQ16)&gt;0,MAX(TN16,TQ16),"")</f>
        <v>26.39</v>
      </c>
      <c r="TS16" s="76">
        <f>IF(TH16&gt;0,TH16,"")</f>
        <v>5.95</v>
      </c>
      <c r="TT16" s="76">
        <f>IF(TI16&gt;0,TI16,"")</f>
        <v>7.22</v>
      </c>
      <c r="TU16" s="76">
        <f>IF(SUM(TF16:TI16)-TJ16&gt;0,SUM(TF16:TI16)-TJ16,"")</f>
        <v>23.22</v>
      </c>
      <c r="TV16" s="76">
        <f>IF(SUM(TR16,TU16)&gt;0,SUM(TR16,TU16),"")</f>
        <v>49.61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>SUM(J17:V17)+SUM(J17:T17)*0.0000001+SUM(J17)*0.0000000000001</f>
        <v>203.24502032450516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51.35</v>
      </c>
      <c r="K17" s="13" t="str">
        <f>IF(J17="","",IF(OR(J17=CS17,J17=CV17),$CA$1,IF(OR(J17=BR17,J17=BU17),$AZ$1,IF(OR(J17=AQ17,J17=AT17),$Y$1,""))))</f>
        <v>2021 Elite Canada</v>
      </c>
      <c r="L17" s="13">
        <f>IF(COUNT(AQ17,AT17,BR17,BU17,CS17,CV17)&gt;1,LARGE((AQ17,AT17,BR17,BU17,CS17,CV17),2),0)</f>
        <v>50.65</v>
      </c>
      <c r="M17" s="13" t="str">
        <f>IF(L17="","",IF(OR(L17=CS17,L17=CV17),$CA$1,IF(OR(L17=BR17,L17=BU17),$AZ$1,IF(OR(L17=AQ17,L17=AT17),$Y$1,""))))</f>
        <v>2021 Elite Canada</v>
      </c>
      <c r="N17" s="13">
        <f>IF(COUNT(AQ17,AT17,BR17,BU17,CS17,CV17)&gt;2,LARGE((AQ17,AT17,BR17,BU17,CS17,CV17),3),0)</f>
        <v>38.614999999999995</v>
      </c>
      <c r="O17" s="13" t="str">
        <f>IF(N17="","",IF(OR(N17=CS17,N17=CV17),$CA$1,IF(OR(N17=BR17,N17=BU17),$AZ$1,IF(OR(N17=AQ17,N17=AT17),$Y$1,""))))</f>
        <v>2021 Canadian Championships</v>
      </c>
      <c r="P17" s="13">
        <f>IF(MAX(AX17,BY17,CZ17)&gt;0,MAX(AX17,BY17,CZ17),0)</f>
        <v>49.13</v>
      </c>
      <c r="Q17" s="13" t="str">
        <f>IF(P17="","",IF(P17=CZ17,$CA$1,IF(P17=BY17,$AZ$1,IF(P17=AX17,$Y$1,""))))</f>
        <v>2021 Elite Canada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2021 Elite Canada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R17=SI17,R17=SL17,R17=SP17,R17=SS17),$RN$1,IF(OR(R17=RA17,R17=RD17,R17=RH17,R17=RK17),$QF$1,IF(OR(R17=PS17,R17=PV17,R17=PZ17,R17=QC17),$OX$1,IF(OR(R17=OK17,R17=ON17,R17=OR17,R17=OU17),$NP$1,IF(OR(R17=NC17,R17=NF17,R17=NJ17,R17=NM17),$MH$1,IF(OR(R17=LU17,R17=LX17,R17=MB17,R17=ME17),$KZ$1,IF(OR(R17=KM17,R17=KP17,R17=KT17,R17=KW17),$JR$1,IF(OR(R17=JE17,R17=JH17,R17=JL17,R17=JO17),$IJ$1,IF(OR(R17=HW17,R17=HZ17,R17=ID17,R17=IG17),$HB$1,IF(OR(R17=GO17,R17=GR17,R17=GV17,R17=GY17),$FT$1,IF(OR(R17=FG17,R17=FJ17,R17=FN17,R17=FQ17),$EL$1,IF(OR(R17=DY17,R17=EB17,R17=EF17,R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L17="",0,L17)=SN17,$RN$1,IF(V17+IF(L17="",0,L17)=RF17,$QF$1,IF(V17+IF(L17="",0,L17)=PX17,$OX$1,IF(V17+IF(L17="",0,L17)=OP17,$NP$1,IF(V17+IF(L17="",0,L17)=NH17,$MH$1,IF(V17+IF(L17="",0,L17)=LZ17,$KZ$1,IF(V17+IF(L17="",0,L17)=KR17,$JR$1,IF(V17+IF(L17="",0,L17)=JJ17,$IJ$1,IF(V17+IF(L17="",0,L17)=IB17,$HB$1,IF(V17+IF(L17="",0,L17)=GT17,$FT$1,IF(V17+IF(L17="",0,L17)=FL17,$EL$1,IF(V17+IF(L17="",0,L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$1)))))))))))))))</f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>IF(AA17&gt;0,AA17,"")</f>
        <v>13.5</v>
      </c>
      <c r="AP17" s="74">
        <f>IF(AB17&gt;0,AB17,"")</f>
        <v>14.75</v>
      </c>
      <c r="AQ17" s="76">
        <f>IF(SUM(Y17:AB17)-AC17&gt;0,SUM(Y17:AB17)-AC17,"")</f>
        <v>50.65</v>
      </c>
      <c r="AR17" s="76">
        <f>IF(AF17&gt;0,AF17,"")</f>
        <v>13.5</v>
      </c>
      <c r="AS17" s="76">
        <f>IF(AG17&gt;0,AG17,"")</f>
        <v>14.65</v>
      </c>
      <c r="AT17" s="76">
        <f>IF(SUM(AD17:AG17)-AH17&gt;0,SUM(AD17:AG17)-AH17,"")</f>
        <v>51.35</v>
      </c>
      <c r="AU17" s="76">
        <f>IF(AQ17="","",MAX(AQ17,AT17))</f>
        <v>51.35</v>
      </c>
      <c r="AV17" s="76">
        <f>IF(AK17&gt;0,AK17,"")</f>
        <v>12.1</v>
      </c>
      <c r="AW17" s="76">
        <f>IF(AL17&gt;0,AL17,"")</f>
        <v>14.43</v>
      </c>
      <c r="AX17" s="76">
        <f>IF(SUM(AI17:AL17)-AM17&gt;0,SUM(AI17:AL17)-AM17,"")</f>
        <v>49.13</v>
      </c>
      <c r="AY17" s="76">
        <f>IF(SUM(AU17,AX17)&gt;0,SUM(AU17,AX17),"")</f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>IF(BB17&gt;0,BB17,"")</f>
        <v>9.6</v>
      </c>
      <c r="BQ17" s="75">
        <f>IF(BC17&gt;0,BC17,"")</f>
        <v>12.215</v>
      </c>
      <c r="BR17" s="16">
        <f>IF(SUM(AZ17:BC17)-BD17&gt;0,SUM(AZ17:BC17)-BD17,"")</f>
        <v>38.614999999999995</v>
      </c>
      <c r="BS17" s="16">
        <f>IF(BG17&gt;0,BG17,"")</f>
        <v>9.6</v>
      </c>
      <c r="BT17" s="16">
        <f>IF(BH17&gt;0,BH17,"")</f>
        <v>10.914999999999999</v>
      </c>
      <c r="BU17" s="16">
        <f>IF(SUM(BE17:BH17)-BI17&gt;0,SUM(BE17:BH17)-BI17,"")</f>
        <v>36.914999999999999</v>
      </c>
      <c r="BV17" s="16">
        <f>IF(BR17="","",MAX(BR17,BU17))</f>
        <v>38.614999999999995</v>
      </c>
      <c r="BW17" s="16">
        <f>IF(BL17&gt;0,BL17,"")</f>
        <v>2.7</v>
      </c>
      <c r="BX17" s="16">
        <f>IF(BM17&gt;0,BM17,"")</f>
        <v>3.15</v>
      </c>
      <c r="BY17" s="16">
        <f>IF(SUM(BJ17:BM17)-BN17&gt;0,SUM(BJ17:BM17)-BN17,"")</f>
        <v>10.45</v>
      </c>
      <c r="BZ17" s="16">
        <f>IF(SUM(BV17,BY17)&gt;0,SUM(BV17,BY17),"")</f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IF(L17&gt;=0.001,IF(MAX(ED17,FL17,GT17,IB17,JJ17,KR17,LZ17,NH17,OP17,PX17,RF17,SN17)-IF(L17="",0,L17)&gt;0.001,MAX(ED17,FL17,GT17,IB17,JJ17,KR17,LZ17,NH17,OP17,PX17,RF17,SN17)-IF(L17="",0,L17),""),"")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5.0999999999999996</v>
      </c>
      <c r="SW17" s="42">
        <f>IF($CP17="P",CB17,(CB17+BA17)/2)</f>
        <v>3.3</v>
      </c>
      <c r="SX17" s="42">
        <f>IF($CP17="P",CC17,(CC17+BB17)/2)</f>
        <v>4.8</v>
      </c>
      <c r="SY17" s="42">
        <f>IF($CP17="P",CD17,(CD17+BC17)/2)</f>
        <v>6.1074999999999999</v>
      </c>
      <c r="SZ17" s="42">
        <f>IF($CP17="P",CE17,(CE17+BD17)/2)</f>
        <v>0</v>
      </c>
      <c r="TA17" s="42">
        <f>IF($CP17="P",CF17,(CF17+BE17)/2)</f>
        <v>4.9000000000000004</v>
      </c>
      <c r="TB17" s="42">
        <f>IF($CP17="P",CG17,(CG17+BF17)/2)</f>
        <v>3.3</v>
      </c>
      <c r="TC17" s="42">
        <f>IF($CP17="P",CH17,(CH17+BG17)/2)</f>
        <v>4.8</v>
      </c>
      <c r="TD17" s="42">
        <f>IF($CP17="P",CI17,(CI17+BH17)/2)</f>
        <v>5.4574999999999996</v>
      </c>
      <c r="TE17" s="42">
        <f>IF($CP17="P",CJ17,(CJ17+BI17)/2)</f>
        <v>0</v>
      </c>
      <c r="TF17" s="42">
        <f>IF($CP17="P",CK17,(CK17+BJ17)/2)</f>
        <v>1.4</v>
      </c>
      <c r="TG17" s="42">
        <f>IF($CP17="P",CL17,(CL17+BK17)/2)</f>
        <v>0.9</v>
      </c>
      <c r="TH17" s="42">
        <f>IF($CP17="P",CM17,(CM17+BL17)/2)</f>
        <v>1.35</v>
      </c>
      <c r="TI17" s="42">
        <f>IF($CP17="P",CN17,(CN17+BM17)/2)</f>
        <v>1.575</v>
      </c>
      <c r="TJ17" s="42">
        <f>IF($CP17="P",CO17,(CO17+BN17)/2)</f>
        <v>0</v>
      </c>
      <c r="TK17" s="51" t="s">
        <v>61</v>
      </c>
      <c r="TL17" s="76">
        <f>IF(SX17&gt;0,SX17,"")</f>
        <v>4.8</v>
      </c>
      <c r="TM17" s="76">
        <f>IF(SY17&gt;0,SY17,"")</f>
        <v>6.1074999999999999</v>
      </c>
      <c r="TN17" s="76">
        <f>IF(SUM(SV17:SY17)-SZ17&gt;0,SUM(SV17:SY17)-SZ17,"")</f>
        <v>19.307499999999997</v>
      </c>
      <c r="TO17" s="76">
        <f>IF(TC17&gt;0,TC17,"")</f>
        <v>4.8</v>
      </c>
      <c r="TP17" s="76">
        <f>IF(TD17&gt;0,TD17,"")</f>
        <v>5.4574999999999996</v>
      </c>
      <c r="TQ17" s="76">
        <f>IF(SUM(TA17:TD17)-TE17&gt;0,SUM(TA17:TD17)-TE17,"")</f>
        <v>18.4575</v>
      </c>
      <c r="TR17" s="76">
        <f>IF(MAX(TN17,TQ17)&gt;0,MAX(TN17,TQ17),"")</f>
        <v>19.307499999999997</v>
      </c>
      <c r="TS17" s="76">
        <f>IF(TH17&gt;0,TH17,"")</f>
        <v>1.35</v>
      </c>
      <c r="TT17" s="76">
        <f>IF(TI17&gt;0,TI17,"")</f>
        <v>1.575</v>
      </c>
      <c r="TU17" s="76">
        <f>IF(SUM(TF17:TI17)-TJ17&gt;0,SUM(TF17:TI17)-TJ17,"")</f>
        <v>5.2249999999999996</v>
      </c>
      <c r="TV17" s="76">
        <f>IF(SUM(TR17,TU17)&gt;0,SUM(TR17,TU17),"")</f>
        <v>24.532499999999999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R18=SI18,R18=SL18,R18=SP18,R18=SS18),$RN$1,IF(OR(R18=RA18,R18=RD18,R18=RH18,R18=RK18),$QF$1,IF(OR(R18=PS18,R18=PV18,R18=PZ18,R18=QC18),$OX$1,IF(OR(R18=OK18,R18=ON18,R18=OR18,R18=OU18),$NP$1,IF(OR(R18=NC18,R18=NF18,R18=NJ18,R18=NM18),$MH$1,IF(OR(R18=LU18,R18=LX18,R18=MB18,R18=ME18),$KZ$1,IF(OR(R18=KM18,R18=KP18,R18=KT18,R18=KW18),$JR$1,IF(OR(R18=JE18,R18=JH18,R18=JL18,R18=JO18),$IJ$1,IF(OR(R18=HW18,R18=HZ18,R18=ID18,R18=IG18),$HB$1,IF(OR(R18=GO18,R18=GR18,R18=GV18,R18=GY18),$FT$1,IF(OR(R18=FG18,R18=FJ18,R18=FN18,R18=FQ18),$EL$1,IF(OR(R18=DY18,R18=EB18,R18=EF18,R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L18="",0,L18)=SN18,$RN$1,IF(V18+IF(L18="",0,L18)=RF18,$QF$1,IF(V18+IF(L18="",0,L18)=PX18,$OX$1,IF(V18+IF(L18="",0,L18)=OP18,$NP$1,IF(V18+IF(L18="",0,L18)=NH18,$MH$1,IF(V18+IF(L18="",0,L18)=LZ18,$KZ$1,IF(V18+IF(L18="",0,L18)=KR18,$JR$1,IF(V18+IF(L18="",0,L18)=JJ18,$IJ$1,IF(V18+IF(L18="",0,L18)=IB18,$HB$1,IF(V18+IF(L18="",0,L18)=GT18,$FT$1,IF(V18+IF(L18="",0,L18)=FL18,$EL$1,IF(V18+IF(L18="",0,L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$1)))))))))))))))</f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>IF(AA18&gt;0,AA18,"")</f>
        <v/>
      </c>
      <c r="AP18" s="74" t="str">
        <f>IF(AB18&gt;0,AB18,"")</f>
        <v/>
      </c>
      <c r="AQ18" s="76" t="str">
        <f>IF(SUM(Y18:AB18)-AC18&gt;0,SUM(Y18:AB18)-AC18,"")</f>
        <v/>
      </c>
      <c r="AR18" s="76" t="str">
        <f>IF(AF18&gt;0,AF18,"")</f>
        <v/>
      </c>
      <c r="AS18" s="76" t="str">
        <f>IF(AG18&gt;0,AG18,"")</f>
        <v/>
      </c>
      <c r="AT18" s="76" t="str">
        <f>IF(SUM(AD18:AG18)-AH18&gt;0,SUM(AD18:AG18)-AH18,"")</f>
        <v/>
      </c>
      <c r="AU18" s="76" t="str">
        <f>IF(AQ18="","",MAX(AQ18,AT18))</f>
        <v/>
      </c>
      <c r="AV18" s="76" t="str">
        <f>IF(AK18&gt;0,AK18,"")</f>
        <v/>
      </c>
      <c r="AW18" s="76" t="str">
        <f>IF(AL18&gt;0,AL18,"")</f>
        <v/>
      </c>
      <c r="AX18" s="76" t="str">
        <f>IF(SUM(AI18:AL18)-AM18&gt;0,SUM(AI18:AL18)-AM18,"")</f>
        <v/>
      </c>
      <c r="AY18" s="76" t="str">
        <f>IF(SUM(AU18,AX18)&gt;0,SUM(AU18,AX18),"")</f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>IF(CC18&gt;0,CC18,"")</f>
        <v>14.6</v>
      </c>
      <c r="CR18" s="74">
        <f>IF(CD18&gt;0,CD18,"")</f>
        <v>15.37</v>
      </c>
      <c r="CS18" s="76">
        <f>IF(SUM(CA18:CD18)-CE18&gt;0,SUM(CA18:CD18)-CE18,"")</f>
        <v>51.769999999999996</v>
      </c>
      <c r="CT18" s="76">
        <f>IF(CH18&gt;0,CH18,"")</f>
        <v>11.9</v>
      </c>
      <c r="CU18" s="76">
        <f>IF(CI18&gt;0,CI18,"")</f>
        <v>12.055</v>
      </c>
      <c r="CV18" s="76">
        <f>IF(SUM(CF18:CI18)-CJ18&gt;0,SUM(CF18:CI18)-CJ18,"")</f>
        <v>43.155000000000001</v>
      </c>
      <c r="CW18" s="76">
        <f>IF(CS18="","",MAX(CS18,CV18))</f>
        <v>51.769999999999996</v>
      </c>
      <c r="CX18" s="76">
        <f>IF(CM18&gt;0,CM18,"")</f>
        <v>14.2</v>
      </c>
      <c r="CY18" s="76">
        <f>IF(CN18&gt;0,CN18,"")</f>
        <v>14.885</v>
      </c>
      <c r="CZ18" s="76">
        <f>IF(SUM(CK18:CN18)-CO18&gt;0,SUM(CK18:CN18)-CO18,"")</f>
        <v>51.684999999999995</v>
      </c>
      <c r="DA18" s="76">
        <f>IF(SUM(CW18,CZ18)&gt;0,SUM(CW18,CZ18),"")</f>
        <v>103.45499999999998</v>
      </c>
      <c r="DB18" s="87" t="str">
        <f>IF(L18&gt;=0.001,IF(MAX(ED18,FL18,GT18,IB18,JJ18,KR18,LZ18,NH18,OP18,PX18,RF18,SN18)-IF(L18="",0,L18)&gt;0.001,MAX(ED18,FL18,GT18,IB18,JJ18,KR18,LZ18,NH18,OP18,PX18,RF18,SN18)-IF(L18="",0,L18),""),"")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6.35</v>
      </c>
      <c r="SW18" s="42">
        <f>IF($CP18="P",CB18,(CB18+BA18)/2)</f>
        <v>4.55</v>
      </c>
      <c r="SX18" s="42">
        <f>IF($CP18="P",CC18,(CC18+BB18)/2)</f>
        <v>7.3</v>
      </c>
      <c r="SY18" s="42">
        <f>IF($CP18="P",CD18,(CD18+BC18)/2)</f>
        <v>7.6849999999999996</v>
      </c>
      <c r="SZ18" s="42">
        <f>IF($CP18="P",CE18,(CE18+BD18)/2)</f>
        <v>0</v>
      </c>
      <c r="TA18" s="42">
        <f>IF($CP18="P",CF18,(CF18+BE18)/2)</f>
        <v>5.85</v>
      </c>
      <c r="TB18" s="42">
        <f>IF($CP18="P",CG18,(CG18+BF18)/2)</f>
        <v>3.75</v>
      </c>
      <c r="TC18" s="42">
        <f>IF($CP18="P",CH18,(CH18+BG18)/2)</f>
        <v>5.95</v>
      </c>
      <c r="TD18" s="42">
        <f>IF($CP18="P",CI18,(CI18+BH18)/2)</f>
        <v>6.0274999999999999</v>
      </c>
      <c r="TE18" s="42">
        <f>IF($CP18="P",CJ18,(CJ18+BI18)/2)</f>
        <v>0</v>
      </c>
      <c r="TF18" s="42">
        <f>IF($CP18="P",CK18,(CK18+BJ18)/2)</f>
        <v>6.75</v>
      </c>
      <c r="TG18" s="42">
        <f>IF($CP18="P",CL18,(CL18+BK18)/2)</f>
        <v>4.55</v>
      </c>
      <c r="TH18" s="42">
        <f>IF($CP18="P",CM18,(CM18+BL18)/2)</f>
        <v>7.1</v>
      </c>
      <c r="TI18" s="42">
        <f>IF($CP18="P",CN18,(CN18+BM18)/2)</f>
        <v>7.4424999999999999</v>
      </c>
      <c r="TJ18" s="42">
        <f>IF($CP18="P",CO18,(CO18+BN18)/2)</f>
        <v>0</v>
      </c>
      <c r="TK18" s="51" t="s">
        <v>61</v>
      </c>
      <c r="TL18" s="76">
        <f>IF(SX18&gt;0,SX18,"")</f>
        <v>7.3</v>
      </c>
      <c r="TM18" s="76">
        <f>IF(SY18&gt;0,SY18,"")</f>
        <v>7.6849999999999996</v>
      </c>
      <c r="TN18" s="76">
        <f>IF(SUM(SV18:SY18)-SZ18&gt;0,SUM(SV18:SY18)-SZ18,"")</f>
        <v>25.884999999999998</v>
      </c>
      <c r="TO18" s="76">
        <f>IF(TC18&gt;0,TC18,"")</f>
        <v>5.95</v>
      </c>
      <c r="TP18" s="76">
        <f>IF(TD18&gt;0,TD18,"")</f>
        <v>6.0274999999999999</v>
      </c>
      <c r="TQ18" s="76">
        <f>IF(SUM(TA18:TD18)-TE18&gt;0,SUM(TA18:TD18)-TE18,"")</f>
        <v>21.577500000000001</v>
      </c>
      <c r="TR18" s="76">
        <f>IF(MAX(TN18,TQ18)&gt;0,MAX(TN18,TQ18),"")</f>
        <v>25.884999999999998</v>
      </c>
      <c r="TS18" s="76">
        <f>IF(TH18&gt;0,TH18,"")</f>
        <v>7.1</v>
      </c>
      <c r="TT18" s="76">
        <f>IF(TI18&gt;0,TI18,"")</f>
        <v>7.4424999999999999</v>
      </c>
      <c r="TU18" s="76">
        <f>IF(SUM(TF18:TI18)-TJ18&gt;0,SUM(TF18:TI18)-TJ18,"")</f>
        <v>25.842499999999998</v>
      </c>
      <c r="TV18" s="76">
        <f>IF(SUM(TR18,TU18)&gt;0,SUM(TR18,TU18),"")</f>
        <v>51.727499999999992</v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>SUM(J19:V19)+SUM(J19:T19)*0.0000001+SUM(J19)*0.0000000000001</f>
        <v>146.70501467050514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51.33</v>
      </c>
      <c r="K19" s="13" t="str">
        <f>IF(J19="","",IF(OR(J19=CS19,J19=CV19),$CA$1,IF(OR(J19=BR19,J19=BU19),$AZ$1,IF(OR(J19=AQ19,J19=AT19),$Y$1,""))))</f>
        <v>2021 Elite Canada</v>
      </c>
      <c r="L19" s="13">
        <f>IF(COUNT(AQ19,AT19,BR19,BU19,CS19,CV19)&gt;1,LARGE((AQ19,AT19,BR19,BU19,CS19,CV19),2),0)</f>
        <v>43.92</v>
      </c>
      <c r="M19" s="13" t="str">
        <f>IF(L19="","",IF(OR(L19=CS19,L19=CV19),$CA$1,IF(OR(L19=BR19,L19=BU19),$AZ$1,IF(OR(L19=AQ19,L19=AT19),$Y$1,""))))</f>
        <v>2021 Canadian Championships</v>
      </c>
      <c r="N19" s="13">
        <f>IF(COUNT(AQ19,AT19,BR19,BU19,CS19,CV19)&gt;2,LARGE((AQ19,AT19,BR19,BU19,CS19,CV19),3),0)</f>
        <v>6.1150000000000002</v>
      </c>
      <c r="O19" s="13" t="str">
        <f>IF(N19="","",IF(OR(N19=CS19,N19=CV19),$CA$1,IF(OR(N19=BR19,N19=BU19),$AZ$1,IF(OR(N19=AQ19,N19=AT19),$Y$1,""))))</f>
        <v>2021 Canadian Championships</v>
      </c>
      <c r="P19" s="13">
        <f>IF(MAX(AX19,BY19,CZ19)&gt;0,MAX(AX19,BY19,CZ19),0)</f>
        <v>32.74</v>
      </c>
      <c r="Q19" s="13" t="str">
        <f>IF(P19="","",IF(P19=CZ19,$CA$1,IF(P19=BY19,$AZ$1,IF(P19=AX19,$Y$1,""))))</f>
        <v>2021 Elite Canada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12.6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2021 Elite Canada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R19=SI19,R19=SL19,R19=SP19,R19=SS19),$RN$1,IF(OR(R19=RA19,R19=RD19,R19=RH19,R19=RK19),$QF$1,IF(OR(R19=PS19,R19=PV19,R19=PZ19,R19=QC19),$OX$1,IF(OR(R19=OK19,R19=ON19,R19=OR19,R19=OU19),$NP$1,IF(OR(R19=NC19,R19=NF19,R19=NJ19,R19=NM19),$MH$1,IF(OR(R19=LU19,R19=LX19,R19=MB19,R19=ME19),$KZ$1,IF(OR(R19=KM19,R19=KP19,R19=KT19,R19=KW19),$JR$1,IF(OR(R19=JE19,R19=JH19,R19=JL19,R19=JO19),$IJ$1,IF(OR(R19=HW19,R19=HZ19,R19=ID19,R19=IG19),$HB$1,IF(OR(R19=GO19,R19=GR19,R19=GV19,R19=GY19),$FT$1,IF(OR(R19=FG19,R19=FJ19,R19=FN19,R19=FQ19),$EL$1,IF(OR(R19=DY19,R19=EB19,R19=EF19,R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L19="",0,L19)=SN19,$RN$1,IF(V19+IF(L19="",0,L19)=RF19,$QF$1,IF(V19+IF(L19="",0,L19)=PX19,$OX$1,IF(V19+IF(L19="",0,L19)=OP19,$NP$1,IF(V19+IF(L19="",0,L19)=NH19,$MH$1,IF(V19+IF(L19="",0,L19)=LZ19,$KZ$1,IF(V19+IF(L19="",0,L19)=KR19,$JR$1,IF(V19+IF(L19="",0,L19)=JJ19,$IJ$1,IF(V19+IF(L19="",0,L19)=IB19,$HB$1,IF(V19+IF(L19="",0,L19)=GT19,$FT$1,IF(V19+IF(L19="",0,L19)=FL19,$EL$1,IF(V19+IF(L19="",0,L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$1)))))))))))))))</f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>IF(AA19&gt;0,AA19,"")</f>
        <v>12.6</v>
      </c>
      <c r="AP19" s="74">
        <f>IF(AB19&gt;0,AB19,"")</f>
        <v>15.73</v>
      </c>
      <c r="AQ19" s="76">
        <f>IF(SUM(Y19:AB19)-AC19&gt;0,SUM(Y19:AB19)-AC19,"")</f>
        <v>51.33</v>
      </c>
      <c r="AR19" s="76">
        <f>IF(AF19&gt;0,AF19,"")</f>
        <v>2</v>
      </c>
      <c r="AS19" s="76">
        <f>IF(AG19&gt;0,AG19,"")</f>
        <v>1.7350000000000001</v>
      </c>
      <c r="AT19" s="76">
        <f>IF(SUM(AD19:AG19)-AH19&gt;0,SUM(AD19:AG19)-AH19,"")</f>
        <v>5.9350000000000005</v>
      </c>
      <c r="AU19" s="76">
        <f>IF(AQ19="","",MAX(AQ19,AT19))</f>
        <v>51.33</v>
      </c>
      <c r="AV19" s="76">
        <f>IF(AK19&gt;0,AK19,"")</f>
        <v>8.6</v>
      </c>
      <c r="AW19" s="76">
        <f>IF(AL19&gt;0,AL19,"")</f>
        <v>9.74</v>
      </c>
      <c r="AX19" s="76">
        <f>IF(SUM(AI19:AL19)-AM19&gt;0,SUM(AI19:AL19)-AM19,"")</f>
        <v>32.74</v>
      </c>
      <c r="AY19" s="76">
        <f>IF(SUM(AU19,AX19)&gt;0,SUM(AU19,AX19),"")</f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>IF(BB19&gt;0,BB19,"")</f>
        <v>2</v>
      </c>
      <c r="BQ19" s="75">
        <f>IF(BC19&gt;0,BC19,"")</f>
        <v>1.7150000000000001</v>
      </c>
      <c r="BR19" s="16">
        <f>IF(SUM(AZ19:BC19)-BD19&gt;0,SUM(AZ19:BC19)-BD19,"")</f>
        <v>6.1150000000000002</v>
      </c>
      <c r="BS19" s="16">
        <f>IF(BG19&gt;0,BG19,"")</f>
        <v>11</v>
      </c>
      <c r="BT19" s="16">
        <f>IF(BH19&gt;0,BH19,"")</f>
        <v>13.22</v>
      </c>
      <c r="BU19" s="16">
        <f>IF(SUM(BE19:BH19)-BI19&gt;0,SUM(BE19:BH19)-BI19,"")</f>
        <v>43.92</v>
      </c>
      <c r="BV19" s="16">
        <f>IF(BR19="","",MAX(BR19,BU19))</f>
        <v>43.92</v>
      </c>
      <c r="BW19" s="16">
        <f>IF(BL19&gt;0,BL19,"")</f>
        <v>4.5</v>
      </c>
      <c r="BX19" s="16">
        <f>IF(BM19&gt;0,BM19,"")</f>
        <v>5.03</v>
      </c>
      <c r="BY19" s="16">
        <f>IF(SUM(BJ19:BM19)-BN19&gt;0,SUM(BJ19:BM19)-BN19,"")</f>
        <v>16.73</v>
      </c>
      <c r="BZ19" s="16">
        <f>IF(SUM(BV19,BY19)&gt;0,SUM(BV19,BY19),"")</f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IF(L19&gt;=0.001,IF(MAX(ED19,FL19,GT19,IB19,JJ19,KR19,LZ19,NH19,OP19,PX19,RF19,SN19)-IF(L19="",0,L19)&gt;0.001,MAX(ED19,FL19,GT19,IB19,JJ19,KR19,LZ19,NH19,OP19,PX19,RF19,SN19)-IF(L19="",0,L19),""),"")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0.7</v>
      </c>
      <c r="SW19" s="42">
        <f>IF($CP19="P",CB19,(CB19+BA19)/2)</f>
        <v>0.5</v>
      </c>
      <c r="SX19" s="42">
        <f>IF($CP19="P",CC19,(CC19+BB19)/2)</f>
        <v>1</v>
      </c>
      <c r="SY19" s="42">
        <f>IF($CP19="P",CD19,(CD19+BC19)/2)</f>
        <v>0.85750000000000004</v>
      </c>
      <c r="SZ19" s="42">
        <f>IF($CP19="P",CE19,(CE19+BD19)/2)</f>
        <v>0</v>
      </c>
      <c r="TA19" s="42">
        <f>IF($CP19="P",CF19,(CF19+BE19)/2)</f>
        <v>6</v>
      </c>
      <c r="TB19" s="42">
        <f>IF($CP19="P",CG19,(CG19+BF19)/2)</f>
        <v>3.85</v>
      </c>
      <c r="TC19" s="42">
        <f>IF($CP19="P",CH19,(CH19+BG19)/2)</f>
        <v>5.5</v>
      </c>
      <c r="TD19" s="42">
        <f>IF($CP19="P",CI19,(CI19+BH19)/2)</f>
        <v>6.61</v>
      </c>
      <c r="TE19" s="42">
        <f>IF($CP19="P",CJ19,(CJ19+BI19)/2)</f>
        <v>0</v>
      </c>
      <c r="TF19" s="42">
        <f>IF($CP19="P",CK19,(CK19+BJ19)/2)</f>
        <v>2.2000000000000002</v>
      </c>
      <c r="TG19" s="42">
        <f>IF($CP19="P",CL19,(CL19+BK19)/2)</f>
        <v>1.4</v>
      </c>
      <c r="TH19" s="42">
        <f>IF($CP19="P",CM19,(CM19+BL19)/2)</f>
        <v>2.25</v>
      </c>
      <c r="TI19" s="42">
        <f>IF($CP19="P",CN19,(CN19+BM19)/2)</f>
        <v>2.5150000000000001</v>
      </c>
      <c r="TJ19" s="42">
        <f>IF($CP19="P",CO19,(CO19+BN19)/2)</f>
        <v>0</v>
      </c>
      <c r="TK19" s="51" t="s">
        <v>61</v>
      </c>
      <c r="TL19" s="76">
        <f>IF(SX19&gt;0,SX19,"")</f>
        <v>1</v>
      </c>
      <c r="TM19" s="76">
        <f>IF(SY19&gt;0,SY19,"")</f>
        <v>0.85750000000000004</v>
      </c>
      <c r="TN19" s="76">
        <f>IF(SUM(SV19:SY19)-SZ19&gt;0,SUM(SV19:SY19)-SZ19,"")</f>
        <v>3.0575000000000001</v>
      </c>
      <c r="TO19" s="76">
        <f>IF(TC19&gt;0,TC19,"")</f>
        <v>5.5</v>
      </c>
      <c r="TP19" s="76">
        <f>IF(TD19&gt;0,TD19,"")</f>
        <v>6.61</v>
      </c>
      <c r="TQ19" s="76">
        <f>IF(SUM(TA19:TD19)-TE19&gt;0,SUM(TA19:TD19)-TE19,"")</f>
        <v>21.96</v>
      </c>
      <c r="TR19" s="76">
        <f>IF(MAX(TN19,TQ19)&gt;0,MAX(TN19,TQ19),"")</f>
        <v>21.96</v>
      </c>
      <c r="TS19" s="76">
        <f>IF(TH19&gt;0,TH19,"")</f>
        <v>2.25</v>
      </c>
      <c r="TT19" s="76">
        <f>IF(TI19&gt;0,TI19,"")</f>
        <v>2.5150000000000001</v>
      </c>
      <c r="TU19" s="76">
        <f>IF(SUM(TF19:TI19)-TJ19&gt;0,SUM(TF19:TI19)-TJ19,"")</f>
        <v>8.3650000000000002</v>
      </c>
      <c r="TV19" s="76">
        <f>IF(SUM(TR19,TU19)&gt;0,SUM(TR19,TU19),"")</f>
        <v>30.325000000000003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>SUM(J20:V20)+SUM(J20:T20)*0.0000001+SUM(J20)*0.0000000000001</f>
        <v>130.00001300000491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49.16</v>
      </c>
      <c r="K20" s="13" t="str">
        <f>IF(J20="","",IF(OR(J20=CS20,J20=CV20),$CA$1,IF(OR(J20=BR20,J20=BU20),$AZ$1,IF(OR(J20=AQ20,J20=AT20),$Y$1,""))))</f>
        <v>2022 Elite Canada</v>
      </c>
      <c r="L20" s="13">
        <f>IF(COUNT(AQ20,AT20,BR20,BU20,CS20,CV20)&gt;1,LARGE((AQ20,AT20,BR20,BU20,CS20,CV20),2),0)</f>
        <v>46.47</v>
      </c>
      <c r="M20" s="13" t="str">
        <f>IF(L20="","",IF(OR(L20=CS20,L20=CV20),$CA$1,IF(OR(L20=BR20,L20=BU20),$AZ$1,IF(OR(L20=AQ20,L20=AT20),$Y$1,""))))</f>
        <v>2022 Elite Canada</v>
      </c>
      <c r="N20" s="13">
        <f>IF(COUNT(AQ20,AT20,BR20,BU20,CS20,CV20)&gt;2,LARGE((AQ20,AT20,BR20,BU20,CS20,CV20),3),0)</f>
        <v>21.37</v>
      </c>
      <c r="O20" s="13" t="str">
        <f>IF(N20="","",IF(OR(N20=CS20,N20=CV20),$CA$1,IF(OR(N20=BR20,N20=BU20),$AZ$1,IF(OR(N20=AQ20,N20=AT20),$Y$1,""))))</f>
        <v>2021 Elite Canada</v>
      </c>
      <c r="P20" s="13">
        <f>IF(MAX(AX20,BY20,CZ20)&gt;0,MAX(AX20,BY20,CZ20),0)</f>
        <v>0</v>
      </c>
      <c r="Q20" s="13" t="str">
        <f>IF(P20="","",IF(P20=CZ20,$CA$1,IF(P20=BY20,$AZ$1,IF(P20=AX20,$Y$1,""))))</f>
        <v/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Elite Canada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R20=SI20,R20=SL20,R20=SP20,R20=SS20),$RN$1,IF(OR(R20=RA20,R20=RD20,R20=RH20,R20=RK20),$QF$1,IF(OR(R20=PS20,R20=PV20,R20=PZ20,R20=QC20),$OX$1,IF(OR(R20=OK20,R20=ON20,R20=OR20,R20=OU20),$NP$1,IF(OR(R20=NC20,R20=NF20,R20=NJ20,R20=NM20),$MH$1,IF(OR(R20=LU20,R20=LX20,R20=MB20,R20=ME20),$KZ$1,IF(OR(R20=KM20,R20=KP20,R20=KT20,R20=KW20),$JR$1,IF(OR(R20=JE20,R20=JH20,R20=JL20,R20=JO20),$IJ$1,IF(OR(R20=HW20,R20=HZ20,R20=ID20,R20=IG20),$HB$1,IF(OR(R20=GO20,R20=GR20,R20=GV20,R20=GY20),$FT$1,IF(OR(R20=FG20,R20=FJ20,R20=FN20,R20=FQ20),$EL$1,IF(OR(R20=DY20,R20=EB20,R20=EF20,R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L20="",0,L20)=SN20,$RN$1,IF(V20+IF(L20="",0,L20)=RF20,$QF$1,IF(V20+IF(L20="",0,L20)=PX20,$OX$1,IF(V20+IF(L20="",0,L20)=OP20,$NP$1,IF(V20+IF(L20="",0,L20)=NH20,$MH$1,IF(V20+IF(L20="",0,L20)=LZ20,$KZ$1,IF(V20+IF(L20="",0,L20)=KR20,$JR$1,IF(V20+IF(L20="",0,L20)=JJ20,$IJ$1,IF(V20+IF(L20="",0,L20)=IB20,$HB$1,IF(V20+IF(L20="",0,L20)=GT20,$FT$1,IF(V20+IF(L20="",0,L20)=FL20,$EL$1,IF(V20+IF(L20="",0,L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$1)))))))))))))))</f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>IF(AA20&gt;0,AA20,"")</f>
        <v>6.3</v>
      </c>
      <c r="AP20" s="74">
        <f>IF(AB20&gt;0,AB20,"")</f>
        <v>6.37</v>
      </c>
      <c r="AQ20" s="76">
        <f>IF(SUM(Y20:AB20)-AC20&gt;0,SUM(Y20:AB20)-AC20,"")</f>
        <v>21.37</v>
      </c>
      <c r="AR20" s="76">
        <f>IF(AF20&gt;0,AF20,"")</f>
        <v>4.9000000000000004</v>
      </c>
      <c r="AS20" s="76">
        <f>IF(AG20&gt;0,AG20,"")</f>
        <v>4.835</v>
      </c>
      <c r="AT20" s="76">
        <f>IF(SUM(AD20:AG20)-AH20&gt;0,SUM(AD20:AG20)-AH20,"")</f>
        <v>16.234999999999999</v>
      </c>
      <c r="AU20" s="76">
        <f>IF(AQ20="","",MAX(AQ20,AT20))</f>
        <v>21.37</v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>
        <f>IF(SUM(AU20,AX20)&gt;0,SUM(AU20,AX20),"")</f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>IF(CC20&gt;0,CC20,"")</f>
        <v>12.3</v>
      </c>
      <c r="CR20" s="74">
        <f>IF(CD20&gt;0,CD20,"")</f>
        <v>15.16</v>
      </c>
      <c r="CS20" s="76">
        <f>IF(SUM(CA20:CD20)-CE20&gt;0,SUM(CA20:CD20)-CE20,"")</f>
        <v>49.16</v>
      </c>
      <c r="CT20" s="76">
        <f>IF(CH20&gt;0,CH20,"")</f>
        <v>13</v>
      </c>
      <c r="CU20" s="76">
        <f>IF(CI20&gt;0,CI20,"")</f>
        <v>13.67</v>
      </c>
      <c r="CV20" s="76">
        <f>IF(SUM(CF20:CI20)-CJ20&gt;0,SUM(CF20:CI20)-CJ20,"")</f>
        <v>46.47</v>
      </c>
      <c r="CW20" s="76">
        <f>IF(CS20="","",MAX(CS20,CV20))</f>
        <v>49.16</v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>
        <f>IF(SUM(CW20,CZ20)&gt;0,SUM(CW20,CZ20),"")</f>
        <v>49.16</v>
      </c>
      <c r="DB20" s="87" t="str">
        <f>IF(L20&gt;=0.001,IF(MAX(ED20,FL20,GT20,IB20,JJ20,KR20,LZ20,NH20,OP20,PX20,RF20,SN20)-IF(L20="",0,L20)&gt;0.001,MAX(ED20,FL20,GT20,IB20,JJ20,KR20,LZ20,NH20,OP20,PX20,RF20,SN20)-IF(L20="",0,L20),""),"")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6.85</v>
      </c>
      <c r="SW20" s="42">
        <f>IF($CP20="P",CB20,(CB20+BA20)/2)</f>
        <v>4.5999999999999996</v>
      </c>
      <c r="SX20" s="42">
        <f>IF($CP20="P",CC20,(CC20+BB20)/2)</f>
        <v>6.15</v>
      </c>
      <c r="SY20" s="42">
        <f>IF($CP20="P",CD20,(CD20+BC20)/2)</f>
        <v>7.58</v>
      </c>
      <c r="SZ20" s="42">
        <f>IF($CP20="P",CE20,(CE20+BD20)/2)</f>
        <v>0.6</v>
      </c>
      <c r="TA20" s="42">
        <f>IF($CP20="P",CF20,(CF20+BE20)/2)</f>
        <v>6.05</v>
      </c>
      <c r="TB20" s="42">
        <f>IF($CP20="P",CG20,(CG20+BF20)/2)</f>
        <v>3.85</v>
      </c>
      <c r="TC20" s="42">
        <f>IF($CP20="P",CH20,(CH20+BG20)/2)</f>
        <v>6.5</v>
      </c>
      <c r="TD20" s="42">
        <f>IF($CP20="P",CI20,(CI20+BH20)/2)</f>
        <v>6.835</v>
      </c>
      <c r="TE20" s="42">
        <f>IF($CP20="P",CJ20,(CJ20+BI20)/2)</f>
        <v>0</v>
      </c>
      <c r="TF20" s="42">
        <f>IF($CP20="P",CK20,(CK20+BJ20)/2)</f>
        <v>0</v>
      </c>
      <c r="TG20" s="42">
        <f>IF($CP20="P",CL20,(CL20+BK20)/2)</f>
        <v>0</v>
      </c>
      <c r="TH20" s="42">
        <f>IF($CP20="P",CM20,(CM20+BL20)/2)</f>
        <v>0</v>
      </c>
      <c r="TI20" s="42">
        <f>IF($CP20="P",CN20,(CN20+BM20)/2)</f>
        <v>0</v>
      </c>
      <c r="TJ20" s="42">
        <f>IF($CP20="P",CO20,(CO20+BN20)/2)</f>
        <v>0</v>
      </c>
      <c r="TK20" s="51" t="s">
        <v>61</v>
      </c>
      <c r="TL20" s="76">
        <f>IF(SX20&gt;0,SX20,"")</f>
        <v>6.15</v>
      </c>
      <c r="TM20" s="76">
        <f>IF(SY20&gt;0,SY20,"")</f>
        <v>7.58</v>
      </c>
      <c r="TN20" s="76">
        <f>IF(SUM(SV20:SY20)-SZ20&gt;0,SUM(SV20:SY20)-SZ20,"")</f>
        <v>24.58</v>
      </c>
      <c r="TO20" s="76">
        <f>IF(TC20&gt;0,TC20,"")</f>
        <v>6.5</v>
      </c>
      <c r="TP20" s="76">
        <f>IF(TD20&gt;0,TD20,"")</f>
        <v>6.835</v>
      </c>
      <c r="TQ20" s="76">
        <f>IF(SUM(TA20:TD20)-TE20&gt;0,SUM(TA20:TD20)-TE20,"")</f>
        <v>23.234999999999999</v>
      </c>
      <c r="TR20" s="76">
        <f>IF(MAX(TN20,TQ20)&gt;0,MAX(TN20,TQ20),"")</f>
        <v>24.58</v>
      </c>
      <c r="TS20" s="76" t="str">
        <f>IF(TH20&gt;0,TH20,"")</f>
        <v/>
      </c>
      <c r="TT20" s="76" t="str">
        <f>IF(TI20&gt;0,TI20,"")</f>
        <v/>
      </c>
      <c r="TU20" s="76" t="str">
        <f>IF(SUM(TF20:TI20)-TJ20&gt;0,SUM(TF20:TI20)-TJ20,"")</f>
        <v/>
      </c>
      <c r="TV20" s="76">
        <f>IF(SUM(TR20,TU20)&gt;0,SUM(TR20,TU20),"")</f>
        <v>24.58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>SUM(J21:V21)+SUM(J21:T21)*0.0000001+SUM(J21)*0.0000000000001</f>
        <v>86.095008609504703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47.085000000000001</v>
      </c>
      <c r="K21" s="13" t="str">
        <f>IF(J21="","",IF(OR(J21=CS21,J21=CV21),$CA$1,IF(OR(J21=BR21,J21=BU21),$AZ$1,IF(OR(J21=AQ21,J21=AT21),$Y$1,""))))</f>
        <v>2021 Canadian Championships</v>
      </c>
      <c r="L21" s="13">
        <f>IF(COUNT(AQ21,AT21,BR21,BU21,CS21,CV21)&gt;1,LARGE((AQ21,AT21,BR21,BU21,CS21,CV21),2),0)</f>
        <v>16.130000000000003</v>
      </c>
      <c r="M21" s="13" t="str">
        <f>IF(L21="","",IF(OR(L21=CS21,L21=CV21),$CA$1,IF(OR(L21=BR21,L21=BU21),$AZ$1,IF(OR(L21=AQ21,L21=AT21),$Y$1,""))))</f>
        <v>2021 Elite Canada</v>
      </c>
      <c r="N21" s="13">
        <f>IF(COUNT(AQ21,AT21,BR21,BU21,CS21,CV21)&gt;2,LARGE((AQ21,AT21,BR21,BU21,CS21,CV21),3),0)</f>
        <v>10.38</v>
      </c>
      <c r="O21" s="13" t="str">
        <f>IF(N21="","",IF(OR(N21=CS21,N21=CV21),$CA$1,IF(OR(N21=BR21,N21=BU21),$AZ$1,IF(OR(N21=AQ21,N21=AT21),$Y$1,""))))</f>
        <v>2021 Canadian Championships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12.5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2021 Canadian Championships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R21=SI21,R21=SL21,R21=SP21,R21=SS21),$RN$1,IF(OR(R21=RA21,R21=RD21,R21=RH21,R21=RK21),$QF$1,IF(OR(R21=PS21,R21=PV21,R21=PZ21,R21=QC21),$OX$1,IF(OR(R21=OK21,R21=ON21,R21=OR21,R21=OU21),$NP$1,IF(OR(R21=NC21,R21=NF21,R21=NJ21,R21=NM21),$MH$1,IF(OR(R21=LU21,R21=LX21,R21=MB21,R21=ME21),$KZ$1,IF(OR(R21=KM21,R21=KP21,R21=KT21,R21=KW21),$JR$1,IF(OR(R21=JE21,R21=JH21,R21=JL21,R21=JO21),$IJ$1,IF(OR(R21=HW21,R21=HZ21,R21=ID21,R21=IG21),$HB$1,IF(OR(R21=GO21,R21=GR21,R21=GV21,R21=GY21),$FT$1,IF(OR(R21=FG21,R21=FJ21,R21=FN21,R21=FQ21),$EL$1,IF(OR(R21=DY21,R21=EB21,R21=EF21,R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L21="",0,L21)=SN21,$RN$1,IF(V21+IF(L21="",0,L21)=RF21,$QF$1,IF(V21+IF(L21="",0,L21)=PX21,$OX$1,IF(V21+IF(L21="",0,L21)=OP21,$NP$1,IF(V21+IF(L21="",0,L21)=NH21,$MH$1,IF(V21+IF(L21="",0,L21)=LZ21,$KZ$1,IF(V21+IF(L21="",0,L21)=KR21,$JR$1,IF(V21+IF(L21="",0,L21)=JJ21,$IJ$1,IF(V21+IF(L21="",0,L21)=IB21,$HB$1,IF(V21+IF(L21="",0,L21)=GT21,$FT$1,IF(V21+IF(L21="",0,L21)=FL21,$EL$1,IF(V21+IF(L21="",0,L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$1)))))))))))))))</f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>IF(AA21&gt;0,AA21,"")</f>
        <v>3.7</v>
      </c>
      <c r="AP21" s="74">
        <f>IF(AB21&gt;0,AB21,"")</f>
        <v>5.33</v>
      </c>
      <c r="AQ21" s="76">
        <f>IF(SUM(Y21:AB21)-AC21&gt;0,SUM(Y21:AB21)-AC21,"")</f>
        <v>16.130000000000003</v>
      </c>
      <c r="AR21" s="76">
        <f>IF(AF21&gt;0,AF21,"")</f>
        <v>2</v>
      </c>
      <c r="AS21" s="76">
        <f>IF(AG21&gt;0,AG21,"")</f>
        <v>1.8</v>
      </c>
      <c r="AT21" s="76">
        <f>IF(SUM(AD21:AG21)-AH21&gt;0,SUM(AD21:AG21)-AH21,"")</f>
        <v>6.2</v>
      </c>
      <c r="AU21" s="76">
        <f>IF(AQ21="","",MAX(AQ21,AT21))</f>
        <v>16.130000000000003</v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>
        <f>IF(SUM(AU21,AX21)&gt;0,SUM(AU21,AX21),"")</f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12.5</v>
      </c>
      <c r="BQ21" s="75">
        <f>IF(BC21&gt;0,BC21,"")</f>
        <v>14.885</v>
      </c>
      <c r="BR21" s="16">
        <f>IF(SUM(AZ21:BC21)-BD21&gt;0,SUM(AZ21:BC21)-BD21,"")</f>
        <v>47.085000000000001</v>
      </c>
      <c r="BS21" s="16">
        <f>IF(BG21&gt;0,BG21,"")</f>
        <v>2.5</v>
      </c>
      <c r="BT21" s="16">
        <f>IF(BH21&gt;0,BH21,"")</f>
        <v>3.68</v>
      </c>
      <c r="BU21" s="16">
        <f>IF(SUM(BE21:BH21)-BI21&gt;0,SUM(BE21:BH21)-BI21,"")</f>
        <v>10.38</v>
      </c>
      <c r="BV21" s="16">
        <f>IF(BR21="","",MAX(BR21,BU21))</f>
        <v>47.085000000000001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IF(L21&gt;=0.001,IF(MAX(ED21,FL21,GT21,IB21,JJ21,KR21,LZ21,NH21,OP21,PX21,RF21,SN21)-IF(L21="",0,L21)&gt;0.001,MAX(ED21,FL21,GT21,IB21,JJ21,KR21,LZ21,NH21,OP21,PX21,RF21,SN21)-IF(L21="",0,L21),""),"")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4.05</v>
      </c>
      <c r="SX21" s="42">
        <f>IF($CP21="P",CC21,(CC21+BB21)/2)</f>
        <v>6.25</v>
      </c>
      <c r="SY21" s="42">
        <f>IF($CP21="P",CD21,(CD21+BC21)/2)</f>
        <v>7.4424999999999999</v>
      </c>
      <c r="SZ21" s="42">
        <f>IF($CP21="P",CE21,(CE21+BD21)/2)</f>
        <v>0</v>
      </c>
      <c r="TA21" s="42">
        <f>IF($CP21="P",CF21,(CF21+BE21)/2)</f>
        <v>1.2</v>
      </c>
      <c r="TB21" s="42">
        <f>IF($CP21="P",CG21,(CG21+BF21)/2)</f>
        <v>0.9</v>
      </c>
      <c r="TC21" s="42">
        <f>IF($CP21="P",CH21,(CH21+BG21)/2)</f>
        <v>1.25</v>
      </c>
      <c r="TD21" s="42">
        <f>IF($CP21="P",CI21,(CI21+BH21)/2)</f>
        <v>1.84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61</v>
      </c>
      <c r="TL21" s="76">
        <f>IF(SX21&gt;0,SX21,"")</f>
        <v>6.25</v>
      </c>
      <c r="TM21" s="76">
        <f>IF(SY21&gt;0,SY21,"")</f>
        <v>7.4424999999999999</v>
      </c>
      <c r="TN21" s="76">
        <f>IF(SUM(SV21:SY21)-SZ21&gt;0,SUM(SV21:SY21)-SZ21,"")</f>
        <v>23.5425</v>
      </c>
      <c r="TO21" s="76">
        <f>IF(TC21&gt;0,TC21,"")</f>
        <v>1.25</v>
      </c>
      <c r="TP21" s="76">
        <f>IF(TD21&gt;0,TD21,"")</f>
        <v>1.84</v>
      </c>
      <c r="TQ21" s="76">
        <f>IF(SUM(TA21:TD21)-TE21&gt;0,SUM(TA21:TD21)-TE21,"")</f>
        <v>5.19</v>
      </c>
      <c r="TR21" s="76">
        <f>IF(MAX(TN21,TQ21)&gt;0,MAX(TN21,TQ21),"")</f>
        <v>23.5425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23.5425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>SUM(J22:V22)+SUM(J22:T22)*0.0000001+SUM(J22)*0.0000000000001</f>
        <v>15.565001556501217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12.164999999999999</v>
      </c>
      <c r="K22" s="13" t="str">
        <f>IF(J22="","",IF(OR(J22=CS22,J22=CV22),$CA$1,IF(OR(J22=BR22,J22=BU22),$AZ$1,IF(OR(J22=AQ22,J22=AT22),$Y$1,""))))</f>
        <v>2021 Elite Canada</v>
      </c>
      <c r="L22" s="13">
        <f>IF(COUNT(AQ22,AT22,BR22,BU22,CS22,CV22)&gt;1,LARGE((AQ22,AT22,BR22,BU22,CS22,CV22),2),0)</f>
        <v>0</v>
      </c>
      <c r="M22" s="13" t="str">
        <f>IF(L22="","",IF(OR(L22=CS22,L22=CV22),$CA$1,IF(OR(L22=BR22,L22=BU22),$AZ$1,IF(OR(L22=AQ22,L22=AT22),$Y$1,""))))</f>
        <v/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3.4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2021 Elite Canada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R22=SI22,R22=SL22,R22=SP22,R22=SS22),$RN$1,IF(OR(R22=RA22,R22=RD22,R22=RH22,R22=RK22),$QF$1,IF(OR(R22=PS22,R22=PV22,R22=PZ22,R22=QC22),$OX$1,IF(OR(R22=OK22,R22=ON22,R22=OR22,R22=OU22),$NP$1,IF(OR(R22=NC22,R22=NF22,R22=NJ22,R22=NM22),$MH$1,IF(OR(R22=LU22,R22=LX22,R22=MB22,R22=ME22),$KZ$1,IF(OR(R22=KM22,R22=KP22,R22=KT22,R22=KW22),$JR$1,IF(OR(R22=JE22,R22=JH22,R22=JL22,R22=JO22),$IJ$1,IF(OR(R22=HW22,R22=HZ22,R22=ID22,R22=IG22),$HB$1,IF(OR(R22=GO22,R22=GR22,R22=GV22,R22=GY22),$FT$1,IF(OR(R22=FG22,R22=FJ22,R22=FN22,R22=FQ22),$EL$1,IF(OR(R22=DY22,R22=EB22,R22=EF22,R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L22="",0,L22)=SN22,$RN$1,IF(V22+IF(L22="",0,L22)=RF22,$QF$1,IF(V22+IF(L22="",0,L22)=PX22,$OX$1,IF(V22+IF(L22="",0,L22)=OP22,$NP$1,IF(V22+IF(L22="",0,L22)=NH22,$MH$1,IF(V22+IF(L22="",0,L22)=LZ22,$KZ$1,IF(V22+IF(L22="",0,L22)=KR22,$JR$1,IF(V22+IF(L22="",0,L22)=JJ22,$IJ$1,IF(V22+IF(L22="",0,L22)=IB22,$HB$1,IF(V22+IF(L22="",0,L22)=GT22,$FT$1,IF(V22+IF(L22="",0,L22)=FL22,$EL$1,IF(V22+IF(L22="",0,L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$1)))))))))))))))</f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>
        <f>IF(AF22&gt;0,AF22,"")</f>
        <v>3.4</v>
      </c>
      <c r="AS22" s="76">
        <f>IF(AG22&gt;0,AG22,"")</f>
        <v>3.5649999999999999</v>
      </c>
      <c r="AT22" s="76">
        <f>IF(SUM(AD22:AG22)-AH22&gt;0,SUM(AD22:AG22)-AH22,"")</f>
        <v>12.164999999999999</v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IF(L22&gt;=0.001,IF(MAX(ED22,FL22,GT22,IB22,JJ22,KR22,LZ22,NH22,OP22,PX22,RF22,SN22)-IF(L22="",0,L22)&gt;0.001,MAX(ED22,FL22,GT22,IB22,JJ22,KR22,LZ22,NH22,OP22,PX22,RF22,SN22)-IF(L22="",0,L22),""),"")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</v>
      </c>
      <c r="SW22" s="42">
        <f>IF($CP22="P",CB22,(CB22+BA22)/2)</f>
        <v>0</v>
      </c>
      <c r="SX22" s="42">
        <f>IF($CP22="P",CC22,(CC22+BB22)/2)</f>
        <v>0</v>
      </c>
      <c r="SY22" s="42">
        <f>IF($CP22="P",CD22,(CD22+BC22)/2)</f>
        <v>0</v>
      </c>
      <c r="SZ22" s="42">
        <f>IF($CP22="P",CE22,(CE22+BD22)/2)</f>
        <v>0</v>
      </c>
      <c r="TA22" s="42">
        <f>IF($CP22="P",CF22,(CF22+BE22)/2)</f>
        <v>0</v>
      </c>
      <c r="TB22" s="42">
        <f>IF($CP22="P",CG22,(CG22+BF22)/2)</f>
        <v>0</v>
      </c>
      <c r="TC22" s="42">
        <f>IF($CP22="P",CH22,(CH22+BG22)/2)</f>
        <v>0</v>
      </c>
      <c r="TD22" s="42">
        <f>IF($CP22="P",CI22,(CI22+BH22)/2)</f>
        <v>0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61</v>
      </c>
      <c r="TL22" s="76" t="str">
        <f>IF(SX22&gt;0,SX22,"")</f>
        <v/>
      </c>
      <c r="TM22" s="76" t="str">
        <f>IF(SY22&gt;0,SY22,"")</f>
        <v/>
      </c>
      <c r="TN22" s="76" t="str">
        <f>IF(SUM(SV22:SY22)-SZ22&gt;0,SUM(SV22:SY22)-SZ22,"")</f>
        <v/>
      </c>
      <c r="TO22" s="76" t="str">
        <f>IF(TC22&gt;0,TC22,"")</f>
        <v/>
      </c>
      <c r="TP22" s="76" t="str">
        <f>IF(TD22&gt;0,TD22,"")</f>
        <v/>
      </c>
      <c r="TQ22" s="76" t="str">
        <f>IF(SUM(TA22:TD22)-TE22&gt;0,SUM(TA22:TD22)-TE22,"")</f>
        <v/>
      </c>
      <c r="TR22" s="76" t="str">
        <f>IF(MAX(TN22,TQ22)&gt;0,MAX(TN22,TQ22),"")</f>
        <v/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 t="str">
        <f>IF(SUM(TR22,TU22)&gt;0,SUM(TR22,TU22),"")</f>
        <v/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14.4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15.4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71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15.4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86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15.4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56</v>
      </c>
      <c r="FF29" s="35"/>
      <c r="FG29" s="35"/>
      <c r="FP29" s="33"/>
      <c r="FQ29" s="33"/>
      <c r="FS29" s="82">
        <v>54.5</v>
      </c>
      <c r="GN29" s="35"/>
      <c r="GO29" s="35"/>
      <c r="GX29" s="33"/>
      <c r="GY29" s="33"/>
      <c r="HA29" s="82">
        <v>58</v>
      </c>
      <c r="HV29" s="35"/>
      <c r="HW29" s="35"/>
      <c r="IF29" s="33"/>
      <c r="IG29" s="33"/>
      <c r="II29" s="82">
        <v>55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57</v>
      </c>
      <c r="FF30" s="35"/>
      <c r="FG30" s="35"/>
      <c r="FP30" s="33"/>
      <c r="FQ30" s="33"/>
      <c r="FS30" s="83">
        <v>54.6</v>
      </c>
      <c r="GN30" s="35"/>
      <c r="GO30" s="35"/>
      <c r="GX30" s="33"/>
      <c r="GY30" s="33"/>
      <c r="HA30" s="83">
        <v>58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58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143</v>
      </c>
      <c r="AW32" s="77"/>
      <c r="AX32" s="56"/>
      <c r="AY32" s="85">
        <v>59.4</v>
      </c>
      <c r="BS32" s="77"/>
      <c r="BT32" s="77"/>
      <c r="BU32" s="77"/>
      <c r="BW32" s="77" t="s">
        <v>143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143</v>
      </c>
      <c r="EI32" s="33"/>
      <c r="EK32" s="85">
        <v>59.4</v>
      </c>
      <c r="FF32" s="35"/>
      <c r="FG32" s="35"/>
      <c r="FP32" s="77" t="s">
        <v>143</v>
      </c>
      <c r="FQ32" s="33"/>
      <c r="FS32" s="85">
        <v>59.4</v>
      </c>
      <c r="GN32" s="35"/>
      <c r="GO32" s="35"/>
      <c r="GX32" s="33"/>
      <c r="GY32" s="33"/>
      <c r="HA32" s="85">
        <v>59.4</v>
      </c>
      <c r="HV32" s="35"/>
      <c r="HW32" s="35"/>
      <c r="IF32" s="77" t="s">
        <v>143</v>
      </c>
      <c r="IG32" s="33"/>
      <c r="II32" s="85">
        <v>59.4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55" priority="228" operator="containsText" text="No DD">
      <formula>NOT(ISERROR(SEARCH("No DD",H1)))</formula>
    </cfRule>
    <cfRule type="containsText" dxfId="754" priority="229" operator="containsText" text="Merit">
      <formula>NOT(ISERROR(SEARCH("Merit",H1)))</formula>
    </cfRule>
    <cfRule type="containsText" dxfId="753" priority="230" operator="containsText" text="Excellence">
      <formula>NOT(ISERROR(SEARCH("Excellence",H1)))</formula>
    </cfRule>
    <cfRule type="containsText" dxfId="752" priority="231" operator="containsText" text="Worlds Team">
      <formula>NOT(ISERROR(SEARCH("Worlds Team",H1)))</formula>
    </cfRule>
    <cfRule type="containsText" dxfId="751" priority="232" operator="containsText" text="National Team">
      <formula>NOT(ISERROR(SEARCH("National Team",H1)))</formula>
    </cfRule>
  </conditionalFormatting>
  <conditionalFormatting sqref="A1:A1048576">
    <cfRule type="expression" dxfId="750" priority="37562">
      <formula>AND(G1&lt;&gt;"",F1="")</formula>
    </cfRule>
  </conditionalFormatting>
  <conditionalFormatting sqref="Y4:AY22">
    <cfRule type="expression" dxfId="749" priority="51274" stopIfTrue="1">
      <formula>IF($AN4&lt;&gt;"",1,0)</formula>
    </cfRule>
  </conditionalFormatting>
  <conditionalFormatting sqref="AZ4:BZ22">
    <cfRule type="expression" dxfId="748" priority="209" stopIfTrue="1">
      <formula>IF($BO4&lt;&gt;"",1,0)</formula>
    </cfRule>
  </conditionalFormatting>
  <conditionalFormatting sqref="CA4:DA22">
    <cfRule type="expression" dxfId="747" priority="205" stopIfTrue="1">
      <formula>IF($CP4&lt;&gt;"",1,0)</formula>
    </cfRule>
  </conditionalFormatting>
  <conditionalFormatting sqref="M1:M3 O1:O3 K1:K1048576 Q1:Q1048576 M4:O1048576 S1:S1048576 U1:U1048576">
    <cfRule type="expression" dxfId="746" priority="52650">
      <formula>IF(K1=$CA$1,1,0)</formula>
    </cfRule>
    <cfRule type="expression" dxfId="745" priority="52651">
      <formula>IF(K1=$AZ$1,1,0)</formula>
    </cfRule>
    <cfRule type="expression" dxfId="744" priority="52652">
      <formula>IF(K1=$Y$1,1,0)</formula>
    </cfRule>
  </conditionalFormatting>
  <conditionalFormatting sqref="BW33:BW1048576 BP1:BP1048576 BS1:BS1048576 BW1:BW31">
    <cfRule type="cellIs" dxfId="743" priority="52631" operator="between">
      <formula>$BZ$28</formula>
      <formula>1000</formula>
    </cfRule>
    <cfRule type="cellIs" dxfId="742" priority="52632" operator="between">
      <formula>$BZ$27</formula>
      <formula>$BZ$28</formula>
    </cfRule>
    <cfRule type="cellIs" dxfId="741" priority="52633" operator="between">
      <formula>$BZ$26</formula>
      <formula>$BZ$27</formula>
    </cfRule>
    <cfRule type="cellIs" dxfId="740" priority="52634" operator="between">
      <formula>$BZ$25</formula>
      <formula>$BZ$26</formula>
    </cfRule>
  </conditionalFormatting>
  <conditionalFormatting sqref="CX33:CX1048576 CQ1:CQ1048576 CT1:CT1048576 CX1:CX31">
    <cfRule type="cellIs" dxfId="739" priority="51508" operator="between">
      <formula>$DA$28</formula>
      <formula>1000</formula>
    </cfRule>
    <cfRule type="cellIs" dxfId="738" priority="51509" operator="between">
      <formula>$DA$27</formula>
      <formula>$DA$28</formula>
    </cfRule>
    <cfRule type="cellIs" dxfId="737" priority="51510" operator="between">
      <formula>$DA$26</formula>
      <formula>$DA$27</formula>
    </cfRule>
    <cfRule type="cellIs" dxfId="736" priority="51511" operator="between">
      <formula>$DA$25</formula>
      <formula>$DA$26</formula>
    </cfRule>
  </conditionalFormatting>
  <conditionalFormatting sqref="EH33:EH1048576 DX1:DX1048576 EA1:EA1048576 EE1:EE1048576 EH1:EH31">
    <cfRule type="cellIs" dxfId="735" priority="52659" operator="between">
      <formula>$EK$28</formula>
      <formula>1000</formula>
    </cfRule>
    <cfRule type="cellIs" dxfId="734" priority="52660" operator="between">
      <formula>$EK$27</formula>
      <formula>$EK$28</formula>
    </cfRule>
    <cfRule type="cellIs" dxfId="733" priority="52661" operator="between">
      <formula>$EK$26</formula>
      <formula>$EK$27</formula>
    </cfRule>
    <cfRule type="cellIs" dxfId="732" priority="52662" operator="between">
      <formula>$EK$25</formula>
      <formula>$EK$26</formula>
    </cfRule>
  </conditionalFormatting>
  <conditionalFormatting sqref="FP33:FP1048576 FF1:FF1048576 FI1:FI1048576 FM1:FM1048576 FP1:FP31">
    <cfRule type="cellIs" dxfId="731" priority="189" operator="between">
      <formula>$FS$28</formula>
      <formula>1000</formula>
    </cfRule>
    <cfRule type="cellIs" dxfId="730" priority="190" operator="between">
      <formula>$FS$27</formula>
      <formula>$FS$28</formula>
    </cfRule>
    <cfRule type="cellIs" dxfId="729" priority="191" operator="between">
      <formula>$FS$26</formula>
      <formula>$FS$27</formula>
    </cfRule>
    <cfRule type="cellIs" dxfId="728" priority="192" operator="between">
      <formula>$FS$25</formula>
      <formula>$FS$26</formula>
    </cfRule>
  </conditionalFormatting>
  <conditionalFormatting sqref="IF33:IF1048576 HV1:HV1048576 HY1:HY1048576 IC1:IC1048576 IF1:IF31">
    <cfRule type="cellIs" dxfId="727" priority="157" operator="between">
      <formula>$II$28</formula>
      <formula>1000</formula>
    </cfRule>
    <cfRule type="cellIs" dxfId="726" priority="158" operator="between">
      <formula>$II$27</formula>
      <formula>$II$28</formula>
    </cfRule>
    <cfRule type="cellIs" dxfId="725" priority="159" operator="between">
      <formula>$II$26</formula>
      <formula>$II$27</formula>
    </cfRule>
    <cfRule type="cellIs" dxfId="724" priority="160" operator="between">
      <formula>$II$25</formula>
      <formula>$II$26</formula>
    </cfRule>
  </conditionalFormatting>
  <conditionalFormatting sqref="AW32 AO1:AO1048576 AR1:AR1048576 AV1:AV1048576">
    <cfRule type="cellIs" dxfId="723" priority="21" operator="between">
      <formula>$AY$28</formula>
      <formula>1000</formula>
    </cfRule>
    <cfRule type="cellIs" dxfId="722" priority="22" operator="between">
      <formula>$AY$27</formula>
      <formula>$AY$28</formula>
    </cfRule>
    <cfRule type="cellIs" dxfId="721" priority="23" operator="between">
      <formula>$AY$26</formula>
      <formula>$AY$27</formula>
    </cfRule>
    <cfRule type="cellIs" dxfId="720" priority="24" operator="between">
      <formula>$AY$25</formula>
      <formula>$AY$26</formula>
    </cfRule>
  </conditionalFormatting>
  <conditionalFormatting sqref="BW32">
    <cfRule type="cellIs" dxfId="719" priority="17" operator="between">
      <formula>$AY$28</formula>
      <formula>1000</formula>
    </cfRule>
    <cfRule type="cellIs" dxfId="718" priority="18" operator="between">
      <formula>$AY$27</formula>
      <formula>$AY$28</formula>
    </cfRule>
    <cfRule type="cellIs" dxfId="717" priority="19" operator="between">
      <formula>$AY$26</formula>
      <formula>$AY$27</formula>
    </cfRule>
    <cfRule type="cellIs" dxfId="716" priority="20" operator="between">
      <formula>$AY$25</formula>
      <formula>$AY$26</formula>
    </cfRule>
  </conditionalFormatting>
  <conditionalFormatting sqref="CX32">
    <cfRule type="cellIs" dxfId="715" priority="13" operator="between">
      <formula>$AY$28</formula>
      <formula>1000</formula>
    </cfRule>
    <cfRule type="cellIs" dxfId="714" priority="14" operator="between">
      <formula>$AY$27</formula>
      <formula>$AY$28</formula>
    </cfRule>
    <cfRule type="cellIs" dxfId="713" priority="15" operator="between">
      <formula>$AY$26</formula>
      <formula>$AY$27</formula>
    </cfRule>
    <cfRule type="cellIs" dxfId="712" priority="16" operator="between">
      <formula>$AY$25</formula>
      <formula>$AY$26</formula>
    </cfRule>
  </conditionalFormatting>
  <conditionalFormatting sqref="EH32">
    <cfRule type="cellIs" dxfId="711" priority="9" operator="between">
      <formula>$AY$28</formula>
      <formula>1000</formula>
    </cfRule>
    <cfRule type="cellIs" dxfId="710" priority="10" operator="between">
      <formula>$AY$27</formula>
      <formula>$AY$28</formula>
    </cfRule>
    <cfRule type="cellIs" dxfId="709" priority="11" operator="between">
      <formula>$AY$26</formula>
      <formula>$AY$27</formula>
    </cfRule>
    <cfRule type="cellIs" dxfId="708" priority="12" operator="between">
      <formula>$AY$25</formula>
      <formula>$AY$26</formula>
    </cfRule>
  </conditionalFormatting>
  <conditionalFormatting sqref="FP32">
    <cfRule type="cellIs" dxfId="707" priority="5" operator="between">
      <formula>$AY$28</formula>
      <formula>1000</formula>
    </cfRule>
    <cfRule type="cellIs" dxfId="706" priority="6" operator="between">
      <formula>$AY$27</formula>
      <formula>$AY$28</formula>
    </cfRule>
    <cfRule type="cellIs" dxfId="705" priority="7" operator="between">
      <formula>$AY$26</formula>
      <formula>$AY$27</formula>
    </cfRule>
    <cfRule type="cellIs" dxfId="704" priority="8" operator="between">
      <formula>$AY$25</formula>
      <formula>$AY$26</formula>
    </cfRule>
  </conditionalFormatting>
  <conditionalFormatting sqref="IF32">
    <cfRule type="cellIs" dxfId="703" priority="1" operator="between">
      <formula>$AY$28</formula>
      <formula>1000</formula>
    </cfRule>
    <cfRule type="cellIs" dxfId="702" priority="2" operator="between">
      <formula>$AY$27</formula>
      <formula>$AY$28</formula>
    </cfRule>
    <cfRule type="cellIs" dxfId="701" priority="3" operator="between">
      <formula>$AY$26</formula>
      <formula>$AY$27</formula>
    </cfRule>
    <cfRule type="cellIs" dxfId="700" priority="4" operator="between">
      <formula>$AY$25</formula>
      <formula>$AY$26</formula>
    </cfRule>
  </conditionalFormatting>
  <conditionalFormatting sqref="CV1:CV1048576 AT1:AT1048576">
    <cfRule type="cellIs" dxfId="699" priority="55729" operator="between">
      <formula>AY$32</formula>
      <formula>1000</formula>
    </cfRule>
    <cfRule type="cellIs" dxfId="698" priority="55730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7" priority="55789" operator="between">
      <formula>EK$32</formula>
      <formula>1000</formula>
    </cfRule>
    <cfRule type="cellIs" dxfId="696" priority="55790" operator="between">
      <formula>EK$31</formula>
      <formula>EK$32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695" priority="55795" operator="between">
      <formula>EK$30</formula>
      <formula>1000</formula>
    </cfRule>
    <cfRule type="cellIs" dxfId="694" priority="55796" operator="between">
      <formula>EK$29</formula>
      <formula>EK$30</formula>
    </cfRule>
  </conditionalFormatting>
  <conditionalFormatting sqref="AQ1:AQ1048576 AT1:AT1048576 AX1:AX1048576">
    <cfRule type="cellIs" dxfId="693" priority="55901" operator="between">
      <formula>$AY$32</formula>
      <formula>1000</formula>
    </cfRule>
    <cfRule type="cellIs" dxfId="692" priority="55902" operator="between">
      <formula>$AY$31</formula>
      <formula>$AY$32</formula>
    </cfRule>
    <cfRule type="cellIs" dxfId="691" priority="55903" operator="between">
      <formula>$AY$30</formula>
      <formula>$AY$31</formula>
    </cfRule>
    <cfRule type="cellIs" dxfId="690" priority="55904" operator="between">
      <formula>$AY$29</formula>
      <formula>$AY$30</formula>
    </cfRule>
  </conditionalFormatting>
  <conditionalFormatting sqref="BR1:BR1048576 BU1:BU1048576 BY1:BY1048576">
    <cfRule type="cellIs" dxfId="689" priority="55937" operator="between">
      <formula>$BZ$32</formula>
      <formula>1000</formula>
    </cfRule>
    <cfRule type="cellIs" dxfId="688" priority="55938" operator="between">
      <formula>$BZ$31</formula>
      <formula>$BZ$32</formula>
    </cfRule>
    <cfRule type="cellIs" dxfId="687" priority="55939" operator="between">
      <formula>$BZ$30</formula>
      <formula>$BZ$31</formula>
    </cfRule>
    <cfRule type="cellIs" dxfId="686" priority="55940" operator="between">
      <formula>$BZ$29</formula>
      <formula>$BZ$30</formula>
    </cfRule>
  </conditionalFormatting>
  <conditionalFormatting sqref="CS1:CS1048576 CV1:CV1048576 CZ1:CZ1048576">
    <cfRule type="cellIs" dxfId="685" priority="55973" operator="between">
      <formula>$DA$32</formula>
      <formula>1000</formula>
    </cfRule>
    <cfRule type="cellIs" dxfId="684" priority="55974" operator="between">
      <formula>$DA$31</formula>
      <formula>$DA$32</formula>
    </cfRule>
    <cfRule type="cellIs" dxfId="683" priority="55975" operator="between">
      <formula>$DA$30</formula>
      <formula>$DA$31</formula>
    </cfRule>
    <cfRule type="cellIs" dxfId="682" priority="55976" operator="between">
      <formula>$DA$29</formula>
      <formula>$DA$30</formula>
    </cfRule>
  </conditionalFormatting>
  <conditionalFormatting sqref="NB1:NB1048576 NE1:NE1048576 NI1:NI1048576 NL1:NL1048576">
    <cfRule type="cellIs" dxfId="681" priority="56093" operator="between">
      <formula>$NO$25</formula>
      <formula>$NO$26</formula>
    </cfRule>
  </conditionalFormatting>
  <conditionalFormatting sqref="DZ1:DZ1048576 EC1:EC1048576 EG1:EG1048576 EJ1:EJ1048576">
    <cfRule type="cellIs" dxfId="680" priority="56197" operator="between">
      <formula>$EK$32</formula>
      <formula>1000</formula>
    </cfRule>
    <cfRule type="cellIs" dxfId="679" priority="56198" operator="between">
      <formula>$EK$31</formula>
      <formula>$EK$32</formula>
    </cfRule>
    <cfRule type="cellIs" dxfId="678" priority="56199" operator="between">
      <formula>$EK$30</formula>
      <formula>$EK$31</formula>
    </cfRule>
    <cfRule type="cellIs" dxfId="677" priority="56200" operator="between">
      <formula>$EK$29</formula>
      <formula>$EK$30</formula>
    </cfRule>
  </conditionalFormatting>
  <conditionalFormatting sqref="FH1:FH1048576 FK1:FK1048576 FO1:FO1048576 FR1:FR1048576">
    <cfRule type="cellIs" dxfId="676" priority="56289" operator="between">
      <formula>$FS$32</formula>
      <formula>1000</formula>
    </cfRule>
    <cfRule type="cellIs" dxfId="675" priority="56290" operator="between">
      <formula>$FS$31</formula>
      <formula>$FS$32</formula>
    </cfRule>
    <cfRule type="cellIs" dxfId="674" priority="56291" operator="between">
      <formula>$FS$30</formula>
      <formula>$FS$31</formula>
    </cfRule>
    <cfRule type="cellIs" dxfId="673" priority="56292" operator="between">
      <formula>$FS$29</formula>
      <formula>$FS$30</formula>
    </cfRule>
  </conditionalFormatting>
  <conditionalFormatting sqref="GN1:GN1048576 GQ1:GQ1048576 GU1:GU1048576 GX1:GX1048576">
    <cfRule type="cellIs" dxfId="672" priority="56337" operator="between">
      <formula>$HA$28</formula>
      <formula>1000</formula>
    </cfRule>
    <cfRule type="cellIs" dxfId="671" priority="56338" operator="between">
      <formula>$HA$27</formula>
      <formula>$HA$28</formula>
    </cfRule>
    <cfRule type="cellIs" dxfId="670" priority="56339" operator="between">
      <formula>$HA$26</formula>
      <formula>$HA$27</formula>
    </cfRule>
    <cfRule type="cellIs" dxfId="669" priority="56340" operator="between">
      <formula>$HA$25</formula>
      <formula>$HA$26</formula>
    </cfRule>
  </conditionalFormatting>
  <conditionalFormatting sqref="GP1:GP1048576 GS1:GS1048576 GW1:GW1048576 GZ1:GZ1048576">
    <cfRule type="cellIs" dxfId="668" priority="56385" operator="between">
      <formula>$HA$32</formula>
      <formula>1000</formula>
    </cfRule>
    <cfRule type="cellIs" dxfId="667" priority="56386" operator="between">
      <formula>$HA$31</formula>
      <formula>$HA$32</formula>
    </cfRule>
    <cfRule type="cellIs" dxfId="666" priority="56387" operator="between">
      <formula>$HA$30</formula>
      <formula>$HA$31</formula>
    </cfRule>
    <cfRule type="cellIs" dxfId="665" priority="56388" operator="between">
      <formula>$HA$29</formula>
      <formula>$HA$30</formula>
    </cfRule>
  </conditionalFormatting>
  <conditionalFormatting sqref="HX1:HX1048576 IA1:IA1048576 IE1:IE1048576 IH1:IH1048576">
    <cfRule type="cellIs" dxfId="664" priority="56477" operator="between">
      <formula>$II$32</formula>
      <formula>1000</formula>
    </cfRule>
    <cfRule type="cellIs" dxfId="663" priority="56478" operator="between">
      <formula>$II$31</formula>
      <formula>$II$32</formula>
    </cfRule>
    <cfRule type="cellIs" dxfId="662" priority="56479" operator="between">
      <formula>$II$30</formula>
      <formula>$II$31</formula>
    </cfRule>
    <cfRule type="cellIs" dxfId="661" priority="56480" operator="between">
      <formula>$II$29</formula>
      <formula>$II$30</formula>
    </cfRule>
  </conditionalFormatting>
  <conditionalFormatting sqref="JD1:JD1048576 JG1:JG1048576 JK1:JK1048576 JN1:JN1048576">
    <cfRule type="cellIs" dxfId="660" priority="56525" operator="between">
      <formula>$JQ$28</formula>
      <formula>1000</formula>
    </cfRule>
    <cfRule type="cellIs" dxfId="659" priority="56526" operator="between">
      <formula>$JQ$27</formula>
      <formula>$JQ$28</formula>
    </cfRule>
    <cfRule type="cellIs" dxfId="658" priority="56527" operator="between">
      <formula>$JQ$26</formula>
      <formula>$JQ$27</formula>
    </cfRule>
    <cfRule type="cellIs" dxfId="657" priority="56528" operator="between">
      <formula>$JQ$25</formula>
      <formula>$JQ$26</formula>
    </cfRule>
  </conditionalFormatting>
  <conditionalFormatting sqref="JF1:JF1048576 JI1:JI1048576 JM1:JM1048576 JP1:JP1048576">
    <cfRule type="cellIs" dxfId="656" priority="56573" operator="between">
      <formula>$JQ$32</formula>
      <formula>1000</formula>
    </cfRule>
    <cfRule type="cellIs" dxfId="655" priority="56574" operator="between">
      <formula>$JQ$31</formula>
      <formula>$JQ$32</formula>
    </cfRule>
    <cfRule type="cellIs" dxfId="654" priority="56575" operator="between">
      <formula>$JQ$30</formula>
      <formula>$JQ$31</formula>
    </cfRule>
    <cfRule type="cellIs" dxfId="653" priority="56576" operator="between">
      <formula>$JQ$29</formula>
      <formula>$JQ$30</formula>
    </cfRule>
  </conditionalFormatting>
  <conditionalFormatting sqref="KL1:KL1048576 KO1:KO1048576 KS1:KS1048576 KV1:KV1048576">
    <cfRule type="cellIs" dxfId="652" priority="56621" operator="between">
      <formula>$KY$28</formula>
      <formula>1000</formula>
    </cfRule>
    <cfRule type="cellIs" dxfId="651" priority="56622" operator="between">
      <formula>$KY$27</formula>
      <formula>$KY$28</formula>
    </cfRule>
    <cfRule type="cellIs" dxfId="650" priority="56623" operator="between">
      <formula>$KY$26</formula>
      <formula>$KY$27</formula>
    </cfRule>
    <cfRule type="cellIs" dxfId="649" priority="56624" operator="between">
      <formula>$KY$25</formula>
      <formula>$KY$26</formula>
    </cfRule>
  </conditionalFormatting>
  <conditionalFormatting sqref="KN1:KN1048576 KQ1:KQ1048576 KU1:KU1048576 KX1:KX1048576">
    <cfRule type="cellIs" dxfId="648" priority="56669" operator="between">
      <formula>$KY$32</formula>
      <formula>1000</formula>
    </cfRule>
    <cfRule type="cellIs" dxfId="647" priority="56670" operator="between">
      <formula>$KY$31</formula>
      <formula>$KY$32</formula>
    </cfRule>
    <cfRule type="cellIs" dxfId="646" priority="56671" operator="between">
      <formula>$KY$30</formula>
      <formula>$KY$31</formula>
    </cfRule>
    <cfRule type="cellIs" dxfId="645" priority="56672" operator="between">
      <formula>$KY$29</formula>
      <formula>$KY$30</formula>
    </cfRule>
  </conditionalFormatting>
  <conditionalFormatting sqref="LT1:LT1048576 LW1:LW1048576 MA1:MA1048576 MD1:MD1048576">
    <cfRule type="cellIs" dxfId="644" priority="56717" operator="between">
      <formula>$MG$28</formula>
      <formula>1000</formula>
    </cfRule>
    <cfRule type="cellIs" dxfId="643" priority="56718" operator="between">
      <formula>$MG$27</formula>
      <formula>$MG$28</formula>
    </cfRule>
    <cfRule type="cellIs" dxfId="642" priority="56719" operator="between">
      <formula>$MG$26</formula>
      <formula>$MG$27</formula>
    </cfRule>
    <cfRule type="cellIs" dxfId="641" priority="56720" operator="between">
      <formula>$MG$25</formula>
      <formula>$MG$26</formula>
    </cfRule>
  </conditionalFormatting>
  <conditionalFormatting sqref="LV1:LV1048576 LY1:LY1048576 MC1:MC1048576 MF1:MF1048576">
    <cfRule type="cellIs" dxfId="640" priority="56765" operator="between">
      <formula>$MG$32</formula>
      <formula>1000</formula>
    </cfRule>
    <cfRule type="cellIs" dxfId="639" priority="56766" operator="between">
      <formula>$MG$31</formula>
      <formula>$MG$32</formula>
    </cfRule>
    <cfRule type="cellIs" dxfId="638" priority="56767" operator="between">
      <formula>$MG$30</formula>
      <formula>$MG$31</formula>
    </cfRule>
    <cfRule type="cellIs" dxfId="637" priority="56768" operator="between">
      <formula>$MG$29</formula>
      <formula>$MG$30</formula>
    </cfRule>
  </conditionalFormatting>
  <conditionalFormatting sqref="NB1:NB1048576 NE1:NE1048576 NI1:NI1048576">
    <cfRule type="cellIs" dxfId="636" priority="56813" operator="between">
      <formula>$NO$28</formula>
      <formula>1000</formula>
    </cfRule>
    <cfRule type="cellIs" dxfId="635" priority="56814" operator="between">
      <formula>$NO$27</formula>
      <formula>$NO$28</formula>
    </cfRule>
    <cfRule type="cellIs" dxfId="634" priority="56815" operator="between">
      <formula>$NO$26</formula>
      <formula>$NO$27</formula>
    </cfRule>
  </conditionalFormatting>
  <conditionalFormatting sqref="ND1:ND1048576 NG1:NG1048576 NK1:NK1048576 NN1:NN1048576">
    <cfRule type="cellIs" dxfId="633" priority="56840" operator="between">
      <formula>$NO$32</formula>
      <formula>1000</formula>
    </cfRule>
    <cfRule type="cellIs" dxfId="632" priority="56841" operator="between">
      <formula>$NO$31</formula>
      <formula>$NO$32</formula>
    </cfRule>
    <cfRule type="cellIs" dxfId="631" priority="56842" operator="between">
      <formula>$NO$30</formula>
      <formula>$NO$31</formula>
    </cfRule>
    <cfRule type="cellIs" dxfId="630" priority="56843" operator="between">
      <formula>$NO$29</formula>
      <formula>$NO$30</formula>
    </cfRule>
  </conditionalFormatting>
  <conditionalFormatting sqref="OJ1:OJ1048576 OM1:OM1048576 OQ1:OQ1048576 OT1:OT1048576">
    <cfRule type="cellIs" dxfId="629" priority="56888" operator="between">
      <formula>$OW$28</formula>
      <formula>1000</formula>
    </cfRule>
    <cfRule type="cellIs" dxfId="628" priority="56889" operator="between">
      <formula>$OW$27</formula>
      <formula>$OW$28</formula>
    </cfRule>
    <cfRule type="cellIs" dxfId="627" priority="56890" operator="between">
      <formula>$OW$26</formula>
      <formula>$OW$27</formula>
    </cfRule>
    <cfRule type="cellIs" dxfId="626" priority="56891" operator="between">
      <formula>$OW$25</formula>
      <formula>$OW$26</formula>
    </cfRule>
  </conditionalFormatting>
  <conditionalFormatting sqref="OL1:OL1048576 OO1:OO1048576 OS1:OS1048576 OV1:OV1048576">
    <cfRule type="cellIs" dxfId="625" priority="56936" operator="between">
      <formula>$OW$32</formula>
      <formula>1000</formula>
    </cfRule>
    <cfRule type="cellIs" dxfId="624" priority="56937" operator="between">
      <formula>$OW$31</formula>
      <formula>$OW$32</formula>
    </cfRule>
    <cfRule type="cellIs" dxfId="623" priority="56938" operator="between">
      <formula>$OW$30</formula>
      <formula>$OW$31</formula>
    </cfRule>
    <cfRule type="cellIs" dxfId="622" priority="56939" operator="between">
      <formula>$OW$29</formula>
      <formula>$OW$30</formula>
    </cfRule>
  </conditionalFormatting>
  <conditionalFormatting sqref="PR1:PR1048576 PU1:PU1048576 PY1:PY1048576 QB1:QB1048576">
    <cfRule type="cellIs" dxfId="621" priority="56984" operator="between">
      <formula>$QE$28</formula>
      <formula>1000</formula>
    </cfRule>
    <cfRule type="cellIs" dxfId="620" priority="56985" operator="between">
      <formula>$QE$27</formula>
      <formula>$QE$28</formula>
    </cfRule>
    <cfRule type="cellIs" dxfId="619" priority="56986" operator="between">
      <formula>$QE$26</formula>
      <formula>$QE$27</formula>
    </cfRule>
    <cfRule type="cellIs" dxfId="618" priority="56987" operator="between">
      <formula>$QE$25</formula>
      <formula>$QE$26</formula>
    </cfRule>
  </conditionalFormatting>
  <conditionalFormatting sqref="PT1:PT1048576 PW1:PW1048576 QA1:QA1048576 QD1:QD1048576">
    <cfRule type="cellIs" dxfId="617" priority="57032" operator="between">
      <formula>$QE$32</formula>
      <formula>1000</formula>
    </cfRule>
    <cfRule type="cellIs" dxfId="616" priority="57033" operator="between">
      <formula>$QE$31</formula>
      <formula>$QE$32</formula>
    </cfRule>
    <cfRule type="cellIs" dxfId="615" priority="57034" operator="between">
      <formula>$QE$30</formula>
      <formula>$QE$31</formula>
    </cfRule>
    <cfRule type="cellIs" dxfId="614" priority="57035" operator="between">
      <formula>$QE$29</formula>
      <formula>$QE$30</formula>
    </cfRule>
  </conditionalFormatting>
  <conditionalFormatting sqref="QZ1:QZ1048576 RC1:RC1048576 RG1:RG1048576 RJ1:RJ1048576">
    <cfRule type="cellIs" dxfId="613" priority="57080" operator="between">
      <formula>$RM$28</formula>
      <formula>1000</formula>
    </cfRule>
    <cfRule type="cellIs" dxfId="612" priority="57081" operator="between">
      <formula>$RM$27</formula>
      <formula>$RM$28</formula>
    </cfRule>
    <cfRule type="cellIs" dxfId="611" priority="57082" operator="between">
      <formula>$RM$26</formula>
      <formula>$RM$27</formula>
    </cfRule>
    <cfRule type="cellIs" dxfId="610" priority="57083" operator="between">
      <formula>$RM$25</formula>
      <formula>$RM$26</formula>
    </cfRule>
  </conditionalFormatting>
  <conditionalFormatting sqref="RB1:RB1048576 RE1:RE1048576 RI1:RI1048576 RL1:RL1048576">
    <cfRule type="cellIs" dxfId="609" priority="57128" operator="between">
      <formula>$RM$32</formula>
      <formula>1000</formula>
    </cfRule>
    <cfRule type="cellIs" dxfId="608" priority="57129" operator="between">
      <formula>$RM$31</formula>
      <formula>$RM$32</formula>
    </cfRule>
    <cfRule type="cellIs" dxfId="607" priority="57130" operator="between">
      <formula>$RM$30</formula>
      <formula>$RM$31</formula>
    </cfRule>
    <cfRule type="cellIs" dxfId="606" priority="57131" operator="between">
      <formula>$RM$29</formula>
      <formula>$RM$30</formula>
    </cfRule>
  </conditionalFormatting>
  <conditionalFormatting sqref="SH1:SH1048576 SK1:SK1048576 SO1:SO1048576 SR1:SR1048576">
    <cfRule type="cellIs" dxfId="605" priority="57176" operator="between">
      <formula>$SU$28</formula>
      <formula>1000</formula>
    </cfRule>
    <cfRule type="cellIs" dxfId="604" priority="57177" operator="between">
      <formula>$SU$27</formula>
      <formula>$SU$28</formula>
    </cfRule>
    <cfRule type="cellIs" dxfId="603" priority="57178" operator="between">
      <formula>$SU$26</formula>
      <formula>$SU$27</formula>
    </cfRule>
    <cfRule type="cellIs" dxfId="602" priority="57179" operator="between">
      <formula>$SU$25</formula>
      <formula>$SU$26</formula>
    </cfRule>
  </conditionalFormatting>
  <conditionalFormatting sqref="SJ1:SJ1048576 SM1:SM1048576 SQ1:SQ1048576 ST1:ST1048576">
    <cfRule type="cellIs" dxfId="601" priority="57224" operator="between">
      <formula>$SU$32</formula>
      <formula>1000</formula>
    </cfRule>
    <cfRule type="cellIs" dxfId="600" priority="57225" operator="between">
      <formula>$SU$31</formula>
      <formula>$SU$32</formula>
    </cfRule>
    <cfRule type="cellIs" dxfId="599" priority="57226" operator="between">
      <formula>$SU$30</formula>
      <formula>$SU$31</formula>
    </cfRule>
    <cfRule type="cellIs" dxfId="598" priority="57227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2" t="s">
        <v>12</v>
      </c>
      <c r="H1" s="112" t="s">
        <v>13</v>
      </c>
      <c r="I1" s="112" t="s">
        <v>96</v>
      </c>
      <c r="J1" s="118" t="s">
        <v>131</v>
      </c>
      <c r="K1" s="114" t="s">
        <v>37</v>
      </c>
      <c r="L1" s="118" t="s">
        <v>132</v>
      </c>
      <c r="M1" s="114" t="s">
        <v>37</v>
      </c>
      <c r="N1" s="118" t="s">
        <v>160</v>
      </c>
      <c r="O1" s="114" t="s">
        <v>37</v>
      </c>
      <c r="P1" s="114" t="s">
        <v>14</v>
      </c>
      <c r="Q1" s="114" t="s">
        <v>37</v>
      </c>
      <c r="R1" s="114" t="s">
        <v>133</v>
      </c>
      <c r="S1" s="114" t="s">
        <v>37</v>
      </c>
      <c r="T1" s="118" t="s">
        <v>134</v>
      </c>
      <c r="U1" s="114" t="s">
        <v>37</v>
      </c>
      <c r="V1" s="117" t="s">
        <v>15</v>
      </c>
      <c r="W1" s="114" t="s">
        <v>38</v>
      </c>
      <c r="X1" s="114" t="s">
        <v>37</v>
      </c>
      <c r="Y1" s="115" t="s">
        <v>104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111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146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15</v>
      </c>
      <c r="DC1" s="121"/>
      <c r="DD1" s="115" t="s">
        <v>110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105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144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115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125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 t="s">
        <v>126</v>
      </c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 t="s">
        <v>130</v>
      </c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 t="s">
        <v>176</v>
      </c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72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20</v>
      </c>
      <c r="Z2" s="116"/>
      <c r="AA2" s="116"/>
      <c r="AB2" s="116"/>
      <c r="AC2" s="116"/>
      <c r="AD2" s="116" t="s">
        <v>21</v>
      </c>
      <c r="AE2" s="116"/>
      <c r="AF2" s="116"/>
      <c r="AG2" s="116"/>
      <c r="AH2" s="116"/>
      <c r="AI2" s="116" t="s">
        <v>24</v>
      </c>
      <c r="AJ2" s="116"/>
      <c r="AK2" s="116"/>
      <c r="AL2" s="116"/>
      <c r="AM2" s="116"/>
      <c r="AN2" s="101"/>
      <c r="AO2" s="101" t="s">
        <v>135</v>
      </c>
      <c r="AP2" s="101" t="s">
        <v>136</v>
      </c>
      <c r="AQ2" s="101" t="s">
        <v>22</v>
      </c>
      <c r="AR2" s="101" t="s">
        <v>87</v>
      </c>
      <c r="AS2" s="101" t="s">
        <v>137</v>
      </c>
      <c r="AT2" s="101" t="s">
        <v>23</v>
      </c>
      <c r="AU2" s="101" t="s">
        <v>25</v>
      </c>
      <c r="AV2" s="101" t="s">
        <v>138</v>
      </c>
      <c r="AW2" s="101" t="s">
        <v>139</v>
      </c>
      <c r="AX2" s="101" t="s">
        <v>24</v>
      </c>
      <c r="AY2" s="101" t="s">
        <v>19</v>
      </c>
      <c r="AZ2" s="119" t="s">
        <v>20</v>
      </c>
      <c r="BA2" s="119"/>
      <c r="BB2" s="119"/>
      <c r="BC2" s="119"/>
      <c r="BD2" s="119"/>
      <c r="BE2" s="119" t="s">
        <v>21</v>
      </c>
      <c r="BF2" s="119"/>
      <c r="BG2" s="119"/>
      <c r="BH2" s="119"/>
      <c r="BI2" s="119"/>
      <c r="BJ2" s="119" t="s">
        <v>24</v>
      </c>
      <c r="BK2" s="119"/>
      <c r="BL2" s="119"/>
      <c r="BM2" s="119"/>
      <c r="BN2" s="119"/>
      <c r="BO2" s="102"/>
      <c r="BP2" s="102" t="s">
        <v>135</v>
      </c>
      <c r="BQ2" s="102" t="s">
        <v>136</v>
      </c>
      <c r="BR2" s="102" t="s">
        <v>22</v>
      </c>
      <c r="BS2" s="102" t="s">
        <v>87</v>
      </c>
      <c r="BT2" s="102" t="s">
        <v>137</v>
      </c>
      <c r="BU2" s="102" t="s">
        <v>23</v>
      </c>
      <c r="BV2" s="102" t="s">
        <v>25</v>
      </c>
      <c r="BW2" s="102" t="s">
        <v>138</v>
      </c>
      <c r="BX2" s="102" t="s">
        <v>139</v>
      </c>
      <c r="BY2" s="102" t="s">
        <v>24</v>
      </c>
      <c r="BZ2" s="102" t="s">
        <v>19</v>
      </c>
      <c r="CA2" s="116" t="s">
        <v>20</v>
      </c>
      <c r="CB2" s="116"/>
      <c r="CC2" s="116"/>
      <c r="CD2" s="116"/>
      <c r="CE2" s="116"/>
      <c r="CF2" s="116" t="s">
        <v>21</v>
      </c>
      <c r="CG2" s="116"/>
      <c r="CH2" s="116"/>
      <c r="CI2" s="116"/>
      <c r="CJ2" s="116"/>
      <c r="CK2" s="116" t="s">
        <v>24</v>
      </c>
      <c r="CL2" s="116"/>
      <c r="CM2" s="116"/>
      <c r="CN2" s="116"/>
      <c r="CO2" s="116"/>
      <c r="CP2" s="101"/>
      <c r="CQ2" s="101" t="s">
        <v>135</v>
      </c>
      <c r="CR2" s="101" t="s">
        <v>136</v>
      </c>
      <c r="CS2" s="101" t="s">
        <v>22</v>
      </c>
      <c r="CT2" s="101" t="s">
        <v>87</v>
      </c>
      <c r="CU2" s="101" t="s">
        <v>137</v>
      </c>
      <c r="CV2" s="101" t="s">
        <v>23</v>
      </c>
      <c r="CW2" s="101" t="s">
        <v>25</v>
      </c>
      <c r="CX2" s="101" t="s">
        <v>138</v>
      </c>
      <c r="CY2" s="101" t="s">
        <v>139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6" t="s">
        <v>20</v>
      </c>
      <c r="DE2" s="116"/>
      <c r="DF2" s="116"/>
      <c r="DG2" s="116"/>
      <c r="DH2" s="116"/>
      <c r="DI2" s="116" t="s">
        <v>21</v>
      </c>
      <c r="DJ2" s="116"/>
      <c r="DK2" s="116"/>
      <c r="DL2" s="116"/>
      <c r="DM2" s="116"/>
      <c r="DN2" s="116" t="s">
        <v>140</v>
      </c>
      <c r="DO2" s="116"/>
      <c r="DP2" s="116"/>
      <c r="DQ2" s="116"/>
      <c r="DR2" s="116"/>
      <c r="DS2" s="116" t="s">
        <v>24</v>
      </c>
      <c r="DT2" s="116"/>
      <c r="DU2" s="116"/>
      <c r="DV2" s="116"/>
      <c r="DW2" s="116"/>
      <c r="DX2" s="101" t="s">
        <v>135</v>
      </c>
      <c r="DY2" s="101" t="s">
        <v>136</v>
      </c>
      <c r="DZ2" s="101" t="s">
        <v>22</v>
      </c>
      <c r="EA2" s="101" t="s">
        <v>87</v>
      </c>
      <c r="EB2" s="101" t="s">
        <v>137</v>
      </c>
      <c r="EC2" s="101" t="s">
        <v>23</v>
      </c>
      <c r="ED2" s="101" t="s">
        <v>25</v>
      </c>
      <c r="EE2" s="101" t="s">
        <v>141</v>
      </c>
      <c r="EF2" s="101" t="s">
        <v>142</v>
      </c>
      <c r="EG2" s="101" t="s">
        <v>140</v>
      </c>
      <c r="EH2" s="101" t="s">
        <v>138</v>
      </c>
      <c r="EI2" s="101" t="s">
        <v>139</v>
      </c>
      <c r="EJ2" s="101" t="s">
        <v>24</v>
      </c>
      <c r="EK2" s="101" t="s">
        <v>19</v>
      </c>
      <c r="EL2" s="119" t="s">
        <v>20</v>
      </c>
      <c r="EM2" s="119"/>
      <c r="EN2" s="119"/>
      <c r="EO2" s="119"/>
      <c r="EP2" s="119"/>
      <c r="EQ2" s="119" t="s">
        <v>21</v>
      </c>
      <c r="ER2" s="119"/>
      <c r="ES2" s="119"/>
      <c r="ET2" s="119"/>
      <c r="EU2" s="119"/>
      <c r="EV2" s="119" t="s">
        <v>140</v>
      </c>
      <c r="EW2" s="119"/>
      <c r="EX2" s="119"/>
      <c r="EY2" s="119"/>
      <c r="EZ2" s="119"/>
      <c r="FA2" s="119" t="s">
        <v>24</v>
      </c>
      <c r="FB2" s="119"/>
      <c r="FC2" s="119"/>
      <c r="FD2" s="119"/>
      <c r="FE2" s="119"/>
      <c r="FF2" s="102" t="s">
        <v>135</v>
      </c>
      <c r="FG2" s="102" t="s">
        <v>136</v>
      </c>
      <c r="FH2" s="102" t="s">
        <v>22</v>
      </c>
      <c r="FI2" s="102" t="s">
        <v>87</v>
      </c>
      <c r="FJ2" s="102" t="s">
        <v>137</v>
      </c>
      <c r="FK2" s="102" t="s">
        <v>23</v>
      </c>
      <c r="FL2" s="102" t="s">
        <v>25</v>
      </c>
      <c r="FM2" s="102" t="s">
        <v>141</v>
      </c>
      <c r="FN2" s="102" t="s">
        <v>142</v>
      </c>
      <c r="FO2" s="102" t="s">
        <v>140</v>
      </c>
      <c r="FP2" s="102" t="s">
        <v>138</v>
      </c>
      <c r="FQ2" s="102" t="s">
        <v>139</v>
      </c>
      <c r="FR2" s="102" t="s">
        <v>24</v>
      </c>
      <c r="FS2" s="102" t="s">
        <v>19</v>
      </c>
      <c r="FT2" s="116" t="s">
        <v>20</v>
      </c>
      <c r="FU2" s="116"/>
      <c r="FV2" s="116"/>
      <c r="FW2" s="116"/>
      <c r="FX2" s="116"/>
      <c r="FY2" s="116" t="s">
        <v>21</v>
      </c>
      <c r="FZ2" s="116"/>
      <c r="GA2" s="116"/>
      <c r="GB2" s="116"/>
      <c r="GC2" s="116"/>
      <c r="GD2" s="116" t="s">
        <v>140</v>
      </c>
      <c r="GE2" s="116"/>
      <c r="GF2" s="116"/>
      <c r="GG2" s="116"/>
      <c r="GH2" s="116"/>
      <c r="GI2" s="116" t="s">
        <v>24</v>
      </c>
      <c r="GJ2" s="116"/>
      <c r="GK2" s="116"/>
      <c r="GL2" s="116"/>
      <c r="GM2" s="116"/>
      <c r="GN2" s="101" t="s">
        <v>135</v>
      </c>
      <c r="GO2" s="101" t="s">
        <v>136</v>
      </c>
      <c r="GP2" s="101" t="s">
        <v>22</v>
      </c>
      <c r="GQ2" s="101" t="s">
        <v>87</v>
      </c>
      <c r="GR2" s="101" t="s">
        <v>137</v>
      </c>
      <c r="GS2" s="101" t="s">
        <v>23</v>
      </c>
      <c r="GT2" s="101" t="s">
        <v>25</v>
      </c>
      <c r="GU2" s="101" t="s">
        <v>141</v>
      </c>
      <c r="GV2" s="101" t="s">
        <v>142</v>
      </c>
      <c r="GW2" s="101" t="s">
        <v>140</v>
      </c>
      <c r="GX2" s="101" t="s">
        <v>138</v>
      </c>
      <c r="GY2" s="101" t="s">
        <v>139</v>
      </c>
      <c r="GZ2" s="101" t="s">
        <v>24</v>
      </c>
      <c r="HA2" s="101" t="s">
        <v>19</v>
      </c>
      <c r="HB2" s="119" t="s">
        <v>20</v>
      </c>
      <c r="HC2" s="119"/>
      <c r="HD2" s="119"/>
      <c r="HE2" s="119"/>
      <c r="HF2" s="119"/>
      <c r="HG2" s="119" t="s">
        <v>21</v>
      </c>
      <c r="HH2" s="119"/>
      <c r="HI2" s="119"/>
      <c r="HJ2" s="119"/>
      <c r="HK2" s="119"/>
      <c r="HL2" s="119" t="s">
        <v>140</v>
      </c>
      <c r="HM2" s="119"/>
      <c r="HN2" s="119"/>
      <c r="HO2" s="119"/>
      <c r="HP2" s="119"/>
      <c r="HQ2" s="119" t="s">
        <v>24</v>
      </c>
      <c r="HR2" s="119"/>
      <c r="HS2" s="119"/>
      <c r="HT2" s="119"/>
      <c r="HU2" s="119"/>
      <c r="HV2" s="102" t="s">
        <v>135</v>
      </c>
      <c r="HW2" s="102" t="s">
        <v>136</v>
      </c>
      <c r="HX2" s="102" t="s">
        <v>22</v>
      </c>
      <c r="HY2" s="102" t="s">
        <v>87</v>
      </c>
      <c r="HZ2" s="102" t="s">
        <v>137</v>
      </c>
      <c r="IA2" s="102" t="s">
        <v>23</v>
      </c>
      <c r="IB2" s="102" t="s">
        <v>25</v>
      </c>
      <c r="IC2" s="102" t="s">
        <v>141</v>
      </c>
      <c r="ID2" s="102" t="s">
        <v>142</v>
      </c>
      <c r="IE2" s="102" t="s">
        <v>140</v>
      </c>
      <c r="IF2" s="102" t="s">
        <v>138</v>
      </c>
      <c r="IG2" s="102" t="s">
        <v>139</v>
      </c>
      <c r="IH2" s="102" t="s">
        <v>24</v>
      </c>
      <c r="II2" s="102" t="s">
        <v>19</v>
      </c>
      <c r="IJ2" s="116" t="s">
        <v>20</v>
      </c>
      <c r="IK2" s="116"/>
      <c r="IL2" s="116"/>
      <c r="IM2" s="116"/>
      <c r="IN2" s="116"/>
      <c r="IO2" s="116" t="s">
        <v>21</v>
      </c>
      <c r="IP2" s="116"/>
      <c r="IQ2" s="116"/>
      <c r="IR2" s="116"/>
      <c r="IS2" s="116"/>
      <c r="IT2" s="116" t="s">
        <v>140</v>
      </c>
      <c r="IU2" s="116"/>
      <c r="IV2" s="116"/>
      <c r="IW2" s="116"/>
      <c r="IX2" s="116"/>
      <c r="IY2" s="116" t="s">
        <v>24</v>
      </c>
      <c r="IZ2" s="116"/>
      <c r="JA2" s="116"/>
      <c r="JB2" s="116"/>
      <c r="JC2" s="116"/>
      <c r="JD2" s="101" t="s">
        <v>135</v>
      </c>
      <c r="JE2" s="101" t="s">
        <v>136</v>
      </c>
      <c r="JF2" s="101" t="s">
        <v>22</v>
      </c>
      <c r="JG2" s="101" t="s">
        <v>87</v>
      </c>
      <c r="JH2" s="101" t="s">
        <v>137</v>
      </c>
      <c r="JI2" s="101" t="s">
        <v>23</v>
      </c>
      <c r="JJ2" s="101" t="s">
        <v>25</v>
      </c>
      <c r="JK2" s="101" t="s">
        <v>141</v>
      </c>
      <c r="JL2" s="101" t="s">
        <v>142</v>
      </c>
      <c r="JM2" s="101" t="s">
        <v>140</v>
      </c>
      <c r="JN2" s="101" t="s">
        <v>138</v>
      </c>
      <c r="JO2" s="101" t="s">
        <v>139</v>
      </c>
      <c r="JP2" s="101" t="s">
        <v>24</v>
      </c>
      <c r="JQ2" s="101" t="s">
        <v>19</v>
      </c>
      <c r="JR2" s="119" t="s">
        <v>20</v>
      </c>
      <c r="JS2" s="119"/>
      <c r="JT2" s="119"/>
      <c r="JU2" s="119"/>
      <c r="JV2" s="119"/>
      <c r="JW2" s="119" t="s">
        <v>21</v>
      </c>
      <c r="JX2" s="119"/>
      <c r="JY2" s="119"/>
      <c r="JZ2" s="119"/>
      <c r="KA2" s="119"/>
      <c r="KB2" s="119" t="s">
        <v>140</v>
      </c>
      <c r="KC2" s="119"/>
      <c r="KD2" s="119"/>
      <c r="KE2" s="119"/>
      <c r="KF2" s="119"/>
      <c r="KG2" s="119" t="s">
        <v>24</v>
      </c>
      <c r="KH2" s="119"/>
      <c r="KI2" s="119"/>
      <c r="KJ2" s="119"/>
      <c r="KK2" s="119"/>
      <c r="KL2" s="102" t="s">
        <v>135</v>
      </c>
      <c r="KM2" s="102" t="s">
        <v>136</v>
      </c>
      <c r="KN2" s="102" t="s">
        <v>22</v>
      </c>
      <c r="KO2" s="102" t="s">
        <v>87</v>
      </c>
      <c r="KP2" s="102" t="s">
        <v>137</v>
      </c>
      <c r="KQ2" s="102" t="s">
        <v>23</v>
      </c>
      <c r="KR2" s="102" t="s">
        <v>25</v>
      </c>
      <c r="KS2" s="102" t="s">
        <v>141</v>
      </c>
      <c r="KT2" s="102" t="s">
        <v>142</v>
      </c>
      <c r="KU2" s="102" t="s">
        <v>140</v>
      </c>
      <c r="KV2" s="102" t="s">
        <v>138</v>
      </c>
      <c r="KW2" s="102" t="s">
        <v>139</v>
      </c>
      <c r="KX2" s="102" t="s">
        <v>24</v>
      </c>
      <c r="KY2" s="102" t="s">
        <v>19</v>
      </c>
      <c r="KZ2" s="116" t="s">
        <v>20</v>
      </c>
      <c r="LA2" s="116"/>
      <c r="LB2" s="116"/>
      <c r="LC2" s="116"/>
      <c r="LD2" s="116"/>
      <c r="LE2" s="116" t="s">
        <v>21</v>
      </c>
      <c r="LF2" s="116"/>
      <c r="LG2" s="116"/>
      <c r="LH2" s="116"/>
      <c r="LI2" s="116"/>
      <c r="LJ2" s="116" t="s">
        <v>140</v>
      </c>
      <c r="LK2" s="116"/>
      <c r="LL2" s="116"/>
      <c r="LM2" s="116"/>
      <c r="LN2" s="116"/>
      <c r="LO2" s="116" t="s">
        <v>24</v>
      </c>
      <c r="LP2" s="116"/>
      <c r="LQ2" s="116"/>
      <c r="LR2" s="116"/>
      <c r="LS2" s="116"/>
      <c r="LT2" s="101" t="s">
        <v>135</v>
      </c>
      <c r="LU2" s="101" t="s">
        <v>136</v>
      </c>
      <c r="LV2" s="101" t="s">
        <v>22</v>
      </c>
      <c r="LW2" s="101" t="s">
        <v>87</v>
      </c>
      <c r="LX2" s="101" t="s">
        <v>137</v>
      </c>
      <c r="LY2" s="101" t="s">
        <v>23</v>
      </c>
      <c r="LZ2" s="101" t="s">
        <v>25</v>
      </c>
      <c r="MA2" s="101" t="s">
        <v>141</v>
      </c>
      <c r="MB2" s="101" t="s">
        <v>142</v>
      </c>
      <c r="MC2" s="101" t="s">
        <v>140</v>
      </c>
      <c r="MD2" s="101" t="s">
        <v>138</v>
      </c>
      <c r="ME2" s="101" t="s">
        <v>139</v>
      </c>
      <c r="MF2" s="101" t="s">
        <v>24</v>
      </c>
      <c r="MG2" s="101" t="s">
        <v>19</v>
      </c>
      <c r="MH2" s="119" t="s">
        <v>20</v>
      </c>
      <c r="MI2" s="119"/>
      <c r="MJ2" s="119"/>
      <c r="MK2" s="119"/>
      <c r="ML2" s="119"/>
      <c r="MM2" s="119" t="s">
        <v>21</v>
      </c>
      <c r="MN2" s="119"/>
      <c r="MO2" s="119"/>
      <c r="MP2" s="119"/>
      <c r="MQ2" s="119"/>
      <c r="MR2" s="119" t="s">
        <v>140</v>
      </c>
      <c r="MS2" s="119"/>
      <c r="MT2" s="119"/>
      <c r="MU2" s="119"/>
      <c r="MV2" s="119"/>
      <c r="MW2" s="119" t="s">
        <v>24</v>
      </c>
      <c r="MX2" s="119"/>
      <c r="MY2" s="119"/>
      <c r="MZ2" s="119"/>
      <c r="NA2" s="119"/>
      <c r="NB2" s="102" t="s">
        <v>135</v>
      </c>
      <c r="NC2" s="102" t="s">
        <v>136</v>
      </c>
      <c r="ND2" s="102" t="s">
        <v>22</v>
      </c>
      <c r="NE2" s="102" t="s">
        <v>87</v>
      </c>
      <c r="NF2" s="102" t="s">
        <v>137</v>
      </c>
      <c r="NG2" s="102" t="s">
        <v>23</v>
      </c>
      <c r="NH2" s="102" t="s">
        <v>25</v>
      </c>
      <c r="NI2" s="102" t="s">
        <v>141</v>
      </c>
      <c r="NJ2" s="102" t="s">
        <v>142</v>
      </c>
      <c r="NK2" s="102" t="s">
        <v>140</v>
      </c>
      <c r="NL2" s="102" t="s">
        <v>138</v>
      </c>
      <c r="NM2" s="102" t="s">
        <v>139</v>
      </c>
      <c r="NN2" s="102" t="s">
        <v>24</v>
      </c>
      <c r="NO2" s="102" t="s">
        <v>19</v>
      </c>
      <c r="NP2" s="116" t="s">
        <v>20</v>
      </c>
      <c r="NQ2" s="116"/>
      <c r="NR2" s="116"/>
      <c r="NS2" s="116"/>
      <c r="NT2" s="116"/>
      <c r="NU2" s="116" t="s">
        <v>21</v>
      </c>
      <c r="NV2" s="116"/>
      <c r="NW2" s="116"/>
      <c r="NX2" s="116"/>
      <c r="NY2" s="116"/>
      <c r="NZ2" s="116" t="s">
        <v>140</v>
      </c>
      <c r="OA2" s="116"/>
      <c r="OB2" s="116"/>
      <c r="OC2" s="116"/>
      <c r="OD2" s="116"/>
      <c r="OE2" s="116" t="s">
        <v>24</v>
      </c>
      <c r="OF2" s="116"/>
      <c r="OG2" s="116"/>
      <c r="OH2" s="116"/>
      <c r="OI2" s="116"/>
      <c r="OJ2" s="101" t="s">
        <v>135</v>
      </c>
      <c r="OK2" s="101" t="s">
        <v>136</v>
      </c>
      <c r="OL2" s="101" t="s">
        <v>22</v>
      </c>
      <c r="OM2" s="101" t="s">
        <v>87</v>
      </c>
      <c r="ON2" s="101" t="s">
        <v>137</v>
      </c>
      <c r="OO2" s="101" t="s">
        <v>23</v>
      </c>
      <c r="OP2" s="101" t="s">
        <v>25</v>
      </c>
      <c r="OQ2" s="101" t="s">
        <v>141</v>
      </c>
      <c r="OR2" s="101" t="s">
        <v>142</v>
      </c>
      <c r="OS2" s="101" t="s">
        <v>140</v>
      </c>
      <c r="OT2" s="101" t="s">
        <v>138</v>
      </c>
      <c r="OU2" s="101" t="s">
        <v>139</v>
      </c>
      <c r="OV2" s="101" t="s">
        <v>24</v>
      </c>
      <c r="OW2" s="101" t="s">
        <v>19</v>
      </c>
      <c r="OX2" s="119" t="s">
        <v>20</v>
      </c>
      <c r="OY2" s="119"/>
      <c r="OZ2" s="119"/>
      <c r="PA2" s="119"/>
      <c r="PB2" s="119"/>
      <c r="PC2" s="119" t="s">
        <v>21</v>
      </c>
      <c r="PD2" s="119"/>
      <c r="PE2" s="119"/>
      <c r="PF2" s="119"/>
      <c r="PG2" s="119"/>
      <c r="PH2" s="119" t="s">
        <v>140</v>
      </c>
      <c r="PI2" s="119"/>
      <c r="PJ2" s="119"/>
      <c r="PK2" s="119"/>
      <c r="PL2" s="119"/>
      <c r="PM2" s="119" t="s">
        <v>24</v>
      </c>
      <c r="PN2" s="119"/>
      <c r="PO2" s="119"/>
      <c r="PP2" s="119"/>
      <c r="PQ2" s="119"/>
      <c r="PR2" s="102" t="s">
        <v>135</v>
      </c>
      <c r="PS2" s="102" t="s">
        <v>136</v>
      </c>
      <c r="PT2" s="102" t="s">
        <v>22</v>
      </c>
      <c r="PU2" s="102" t="s">
        <v>87</v>
      </c>
      <c r="PV2" s="102" t="s">
        <v>137</v>
      </c>
      <c r="PW2" s="102" t="s">
        <v>23</v>
      </c>
      <c r="PX2" s="102" t="s">
        <v>25</v>
      </c>
      <c r="PY2" s="102" t="s">
        <v>141</v>
      </c>
      <c r="PZ2" s="102" t="s">
        <v>142</v>
      </c>
      <c r="QA2" s="102" t="s">
        <v>140</v>
      </c>
      <c r="QB2" s="102" t="s">
        <v>138</v>
      </c>
      <c r="QC2" s="102" t="s">
        <v>139</v>
      </c>
      <c r="QD2" s="102" t="s">
        <v>24</v>
      </c>
      <c r="QE2" s="102" t="s">
        <v>19</v>
      </c>
      <c r="QF2" s="116" t="s">
        <v>20</v>
      </c>
      <c r="QG2" s="116"/>
      <c r="QH2" s="116"/>
      <c r="QI2" s="116"/>
      <c r="QJ2" s="116"/>
      <c r="QK2" s="116" t="s">
        <v>21</v>
      </c>
      <c r="QL2" s="116"/>
      <c r="QM2" s="116"/>
      <c r="QN2" s="116"/>
      <c r="QO2" s="116"/>
      <c r="QP2" s="116" t="s">
        <v>140</v>
      </c>
      <c r="QQ2" s="116"/>
      <c r="QR2" s="116"/>
      <c r="QS2" s="116"/>
      <c r="QT2" s="116"/>
      <c r="QU2" s="116" t="s">
        <v>24</v>
      </c>
      <c r="QV2" s="116"/>
      <c r="QW2" s="116"/>
      <c r="QX2" s="116"/>
      <c r="QY2" s="116"/>
      <c r="QZ2" s="101" t="s">
        <v>135</v>
      </c>
      <c r="RA2" s="101" t="s">
        <v>136</v>
      </c>
      <c r="RB2" s="101" t="s">
        <v>22</v>
      </c>
      <c r="RC2" s="101" t="s">
        <v>87</v>
      </c>
      <c r="RD2" s="101" t="s">
        <v>137</v>
      </c>
      <c r="RE2" s="101" t="s">
        <v>23</v>
      </c>
      <c r="RF2" s="101" t="s">
        <v>25</v>
      </c>
      <c r="RG2" s="101" t="s">
        <v>141</v>
      </c>
      <c r="RH2" s="101" t="s">
        <v>142</v>
      </c>
      <c r="RI2" s="101" t="s">
        <v>140</v>
      </c>
      <c r="RJ2" s="101" t="s">
        <v>138</v>
      </c>
      <c r="RK2" s="101" t="s">
        <v>139</v>
      </c>
      <c r="RL2" s="101" t="s">
        <v>24</v>
      </c>
      <c r="RM2" s="101" t="s">
        <v>19</v>
      </c>
      <c r="RN2" s="119" t="s">
        <v>20</v>
      </c>
      <c r="RO2" s="119"/>
      <c r="RP2" s="119"/>
      <c r="RQ2" s="119"/>
      <c r="RR2" s="119"/>
      <c r="RS2" s="119" t="s">
        <v>21</v>
      </c>
      <c r="RT2" s="119"/>
      <c r="RU2" s="119"/>
      <c r="RV2" s="119"/>
      <c r="RW2" s="119"/>
      <c r="RX2" s="119" t="s">
        <v>140</v>
      </c>
      <c r="RY2" s="119"/>
      <c r="RZ2" s="119"/>
      <c r="SA2" s="119"/>
      <c r="SB2" s="119"/>
      <c r="SC2" s="119" t="s">
        <v>24</v>
      </c>
      <c r="SD2" s="119"/>
      <c r="SE2" s="119"/>
      <c r="SF2" s="119"/>
      <c r="SG2" s="119"/>
      <c r="SH2" s="102" t="s">
        <v>135</v>
      </c>
      <c r="SI2" s="102" t="s">
        <v>136</v>
      </c>
      <c r="SJ2" s="102" t="s">
        <v>22</v>
      </c>
      <c r="SK2" s="102" t="s">
        <v>87</v>
      </c>
      <c r="SL2" s="102" t="s">
        <v>137</v>
      </c>
      <c r="SM2" s="102" t="s">
        <v>23</v>
      </c>
      <c r="SN2" s="102" t="s">
        <v>25</v>
      </c>
      <c r="SO2" s="102" t="s">
        <v>141</v>
      </c>
      <c r="SP2" s="102" t="s">
        <v>142</v>
      </c>
      <c r="SQ2" s="102" t="s">
        <v>140</v>
      </c>
      <c r="SR2" s="102" t="s">
        <v>138</v>
      </c>
      <c r="SS2" s="102" t="s">
        <v>139</v>
      </c>
      <c r="ST2" s="102" t="s">
        <v>24</v>
      </c>
      <c r="SU2" s="102" t="s">
        <v>19</v>
      </c>
      <c r="SV2" s="116" t="s">
        <v>20</v>
      </c>
      <c r="SW2" s="116"/>
      <c r="SX2" s="116"/>
      <c r="SY2" s="116"/>
      <c r="SZ2" s="116"/>
      <c r="TA2" s="116" t="s">
        <v>21</v>
      </c>
      <c r="TB2" s="116"/>
      <c r="TC2" s="116"/>
      <c r="TD2" s="116"/>
      <c r="TE2" s="116"/>
      <c r="TF2" s="116" t="s">
        <v>24</v>
      </c>
      <c r="TG2" s="116"/>
      <c r="TH2" s="116"/>
      <c r="TI2" s="116"/>
      <c r="TJ2" s="116"/>
      <c r="TK2" s="101"/>
      <c r="TL2" s="101" t="s">
        <v>135</v>
      </c>
      <c r="TM2" s="101" t="s">
        <v>136</v>
      </c>
      <c r="TN2" s="101" t="s">
        <v>22</v>
      </c>
      <c r="TO2" s="101" t="s">
        <v>87</v>
      </c>
      <c r="TP2" s="101" t="s">
        <v>137</v>
      </c>
      <c r="TQ2" s="101" t="s">
        <v>23</v>
      </c>
      <c r="TR2" s="101" t="s">
        <v>25</v>
      </c>
      <c r="TS2" s="101" t="s">
        <v>138</v>
      </c>
      <c r="TT2" s="101" t="s">
        <v>139</v>
      </c>
      <c r="TU2" s="101" t="s">
        <v>24</v>
      </c>
      <c r="TV2" s="101" t="s">
        <v>19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34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34</v>
      </c>
      <c r="AN3" s="101" t="s">
        <v>60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34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34</v>
      </c>
      <c r="BO3" s="102" t="s">
        <v>60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34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34</v>
      </c>
      <c r="CP3" s="101" t="s">
        <v>60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34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34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34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34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34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34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34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34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34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34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34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34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34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34</v>
      </c>
      <c r="TK3" s="101" t="s">
        <v>60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27</v>
      </c>
      <c r="C4" s="7" t="s">
        <v>9</v>
      </c>
      <c r="D4" s="18">
        <v>1997</v>
      </c>
      <c r="E4" s="14">
        <f>SUM(J4:V4)+SUM(J4:T4)*0.0000001+SUM(J4)*0.0000000000001</f>
        <v>250.10627492263052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55.284999999999997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54.808749999999996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54.555000000000007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54.519999999999996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14.4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2021 Canadian Championships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15.657499999999999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>
        <f>IF(MAX(DB4,DC4)&gt;0,MAX(DB4,DC4),"")</f>
        <v>0.88000000000000256</v>
      </c>
      <c r="W4" s="16" t="str">
        <f>IF(V4="","",IF(V4=DB4,"("&amp;DB$2&amp;")",IF(V4=DC4,"("&amp;DC$2&amp;")")))</f>
        <v>(Final)</v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>2021 World Cup ITA/Olympic Technical Trial (June 4/9)</v>
      </c>
      <c r="Y4" s="42">
        <v>16.399999999999999</v>
      </c>
      <c r="Z4" s="42">
        <v>8.9750000000000014</v>
      </c>
      <c r="AA4" s="42">
        <v>13.3</v>
      </c>
      <c r="AB4" s="42">
        <v>15.657499999999999</v>
      </c>
      <c r="AC4" s="42">
        <v>0</v>
      </c>
      <c r="AD4" s="42">
        <v>12.05</v>
      </c>
      <c r="AE4" s="42">
        <v>6.8</v>
      </c>
      <c r="AF4" s="42">
        <v>10.8</v>
      </c>
      <c r="AG4" s="42">
        <v>11.727499999999999</v>
      </c>
      <c r="AH4" s="42">
        <v>0</v>
      </c>
      <c r="AI4" s="42">
        <v>15.15</v>
      </c>
      <c r="AJ4" s="42">
        <v>9.1999999999999993</v>
      </c>
      <c r="AK4" s="42">
        <v>13.45</v>
      </c>
      <c r="AL4" s="42">
        <v>15.18</v>
      </c>
      <c r="AM4" s="42">
        <v>0</v>
      </c>
      <c r="AN4" s="51" t="s">
        <v>61</v>
      </c>
      <c r="AO4" s="74">
        <f>IF(AA4&gt;0,AA4,"")</f>
        <v>13.3</v>
      </c>
      <c r="AP4" s="74">
        <f>IF(AB4&gt;0,AB4,"")</f>
        <v>15.657499999999999</v>
      </c>
      <c r="AQ4" s="76">
        <f>IF(SUM(Y4:AB4)-AC4&gt;0,SUM(Y4:AB4)-AC4,"")</f>
        <v>54.332499999999996</v>
      </c>
      <c r="AR4" s="76">
        <f>IF(AF4&gt;0,AF4,"")</f>
        <v>10.8</v>
      </c>
      <c r="AS4" s="76">
        <f>IF(AG4&gt;0,AG4,"")</f>
        <v>11.727499999999999</v>
      </c>
      <c r="AT4" s="76">
        <f>IF(SUM(AD4:AG4)-AH4&gt;0,SUM(AD4:AG4)-AH4,"")</f>
        <v>41.377499999999998</v>
      </c>
      <c r="AU4" s="76">
        <f>IF(AQ4="","",MAX(AQ4,AT4))</f>
        <v>54.332499999999996</v>
      </c>
      <c r="AV4" s="76">
        <f>IF(AK4&gt;0,AK4,"")</f>
        <v>13.45</v>
      </c>
      <c r="AW4" s="76">
        <f>IF(AL4&gt;0,AL4,"")</f>
        <v>15.18</v>
      </c>
      <c r="AX4" s="76">
        <f>IF(SUM(AI4:AL4)-AM4&gt;0,SUM(AI4:AL4)-AM4,"")</f>
        <v>52.98</v>
      </c>
      <c r="AY4" s="76">
        <f>IF(SUM(AU4,AX4)&gt;0,SUM(AU4,AX4),"")</f>
        <v>107.3125</v>
      </c>
      <c r="AZ4" s="46">
        <v>16.2</v>
      </c>
      <c r="BA4" s="46">
        <v>9.1999999999999993</v>
      </c>
      <c r="BB4" s="46">
        <v>14.4</v>
      </c>
      <c r="BC4" s="46">
        <v>15.484999999999999</v>
      </c>
      <c r="BD4" s="46">
        <v>0</v>
      </c>
      <c r="BE4" s="46">
        <v>15.9</v>
      </c>
      <c r="BF4" s="46">
        <v>8.9</v>
      </c>
      <c r="BG4" s="46">
        <v>14.4</v>
      </c>
      <c r="BH4" s="46">
        <v>15.355</v>
      </c>
      <c r="BI4" s="46">
        <v>0</v>
      </c>
      <c r="BJ4" s="46">
        <v>16.2</v>
      </c>
      <c r="BK4" s="46">
        <v>9.1999999999999993</v>
      </c>
      <c r="BL4" s="46">
        <v>13.6</v>
      </c>
      <c r="BM4" s="46">
        <v>15.52</v>
      </c>
      <c r="BN4" s="46">
        <v>0</v>
      </c>
      <c r="BO4" s="52"/>
      <c r="BP4" s="75">
        <f>IF(BB4&gt;0,BB4,"")</f>
        <v>14.4</v>
      </c>
      <c r="BQ4" s="75">
        <f>IF(BC4&gt;0,BC4,"")</f>
        <v>15.484999999999999</v>
      </c>
      <c r="BR4" s="16">
        <f>IF(SUM(AZ4:BC4)-BD4&gt;0,SUM(AZ4:BC4)-BD4,"")</f>
        <v>55.284999999999997</v>
      </c>
      <c r="BS4" s="16">
        <f>IF(BG4&gt;0,BG4,"")</f>
        <v>14.4</v>
      </c>
      <c r="BT4" s="16">
        <f>IF(BH4&gt;0,BH4,"")</f>
        <v>15.355</v>
      </c>
      <c r="BU4" s="16">
        <f>IF(SUM(BE4:BH4)-BI4&gt;0,SUM(BE4:BH4)-BI4,"")</f>
        <v>54.555000000000007</v>
      </c>
      <c r="BV4" s="16">
        <f>IF(BR4="","",MAX(BR4,BU4))</f>
        <v>55.284999999999997</v>
      </c>
      <c r="BW4" s="16">
        <f>IF(BL4&gt;0,BL4,"")</f>
        <v>13.6</v>
      </c>
      <c r="BX4" s="16">
        <f>IF(BM4&gt;0,BM4,"")</f>
        <v>15.52</v>
      </c>
      <c r="BY4" s="16">
        <f>IF(SUM(BJ4:BM4)-BN4&gt;0,SUM(BJ4:BM4)-BN4,"")</f>
        <v>54.519999999999996</v>
      </c>
      <c r="BZ4" s="16">
        <f>IF(SUM(BV4,BY4)&gt;0,SUM(BV4,BY4),"")</f>
        <v>109.80499999999999</v>
      </c>
      <c r="CA4" s="42">
        <v>16.299999999999997</v>
      </c>
      <c r="CB4" s="42">
        <v>9.0875000000000004</v>
      </c>
      <c r="CC4" s="42">
        <v>13.850000000000001</v>
      </c>
      <c r="CD4" s="42">
        <v>15.571249999999999</v>
      </c>
      <c r="CE4" s="42">
        <v>0</v>
      </c>
      <c r="CF4" s="42">
        <v>13.975000000000001</v>
      </c>
      <c r="CG4" s="42">
        <v>7.85</v>
      </c>
      <c r="CH4" s="42">
        <v>12.600000000000001</v>
      </c>
      <c r="CI4" s="42">
        <v>13.54125</v>
      </c>
      <c r="CJ4" s="42">
        <v>0</v>
      </c>
      <c r="CK4" s="42">
        <v>15.675000000000001</v>
      </c>
      <c r="CL4" s="42">
        <v>9.1999999999999993</v>
      </c>
      <c r="CM4" s="42">
        <v>13.524999999999999</v>
      </c>
      <c r="CN4" s="42">
        <v>15.35</v>
      </c>
      <c r="CO4" s="42">
        <v>0</v>
      </c>
      <c r="CP4" s="51" t="s">
        <v>61</v>
      </c>
      <c r="CQ4" s="74">
        <f>IF(CC4&gt;0,CC4,"")</f>
        <v>13.850000000000001</v>
      </c>
      <c r="CR4" s="74">
        <f>IF(CD4&gt;0,CD4,"")</f>
        <v>15.571249999999999</v>
      </c>
      <c r="CS4" s="76">
        <f>IF(SUM(CA4:CD4)-CE4&gt;0,SUM(CA4:CD4)-CE4,"")</f>
        <v>54.808749999999996</v>
      </c>
      <c r="CT4" s="76">
        <f>IF(CH4&gt;0,CH4,"")</f>
        <v>12.600000000000001</v>
      </c>
      <c r="CU4" s="76">
        <f>IF(CI4&gt;0,CI4,"")</f>
        <v>13.54125</v>
      </c>
      <c r="CV4" s="76">
        <f>IF(SUM(CF4:CI4)-CJ4&gt;0,SUM(CF4:CI4)-CJ4,"")</f>
        <v>47.966250000000002</v>
      </c>
      <c r="CW4" s="76">
        <f>IF(CS4="","",MAX(CS4,CV4))</f>
        <v>54.808749999999996</v>
      </c>
      <c r="CX4" s="76">
        <f>IF(CM4&gt;0,CM4,"")</f>
        <v>13.524999999999999</v>
      </c>
      <c r="CY4" s="76">
        <f>IF(CN4&gt;0,CN4,"")</f>
        <v>15.35</v>
      </c>
      <c r="CZ4" s="76">
        <f>IF(SUM(CK4:CN4)-CO4&gt;0,SUM(CK4:CN4)-CO4,"")</f>
        <v>53.75</v>
      </c>
      <c r="DA4" s="76">
        <f>IF(SUM(CW4,CZ4)&gt;0,SUM(CW4,CZ4),"")</f>
        <v>108.55875</v>
      </c>
      <c r="DB4" s="87">
        <f>IF(L4&gt;=0.001,IF(MAX(ED4,FL4,GT4,IB4,JJ4,KR4,LZ4,NH4,OP4,PX4,RF4,SN4)-IF(L4="",0,L4)&gt;0.001,MAX(ED4,FL4,GT4,IB4,JJ4,KR4,LZ4,NH4,OP4,PX4,RF4,SN4)-IF(L4="",0,L4),""),"")</f>
        <v>9.1250000000002274E-2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0.88000000000000256</v>
      </c>
      <c r="DD4" s="25">
        <v>15.7</v>
      </c>
      <c r="DE4" s="25">
        <v>9.1999999999999993</v>
      </c>
      <c r="DF4" s="25">
        <v>14.4</v>
      </c>
      <c r="DG4" s="25">
        <v>15.6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16.100000000000001</v>
      </c>
      <c r="DT4" s="25">
        <v>9.5</v>
      </c>
      <c r="DU4" s="25">
        <v>14.4</v>
      </c>
      <c r="DV4" s="25">
        <v>15.4</v>
      </c>
      <c r="DW4" s="25">
        <v>0</v>
      </c>
      <c r="DX4" s="76">
        <f>IF(DF4&gt;0,DF4,"")</f>
        <v>14.4</v>
      </c>
      <c r="DY4" s="76">
        <f>IF(DG4&gt;0,DG4,"")</f>
        <v>15.6</v>
      </c>
      <c r="DZ4" s="76">
        <f>IF(SUM(DD4:DG4)-DH4&gt;0,SUM(DD4:DG4)-DH4,"")</f>
        <v>54.9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54.9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14.4</v>
      </c>
      <c r="EI4" s="76">
        <f>IF(DV4&gt;0,DV4,"")</f>
        <v>15.4</v>
      </c>
      <c r="EJ4" s="76">
        <f>IF(SUM(DS4:DV4)-DW4&gt;0,SUM(DS4:DV4)-DW4,"")</f>
        <v>55.4</v>
      </c>
      <c r="EK4" s="76">
        <f>IF(SUM(ED4,EJ4)&gt;0,SUM(ED4,EJ4),"")</f>
        <v>110.3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>
        <v>15.4</v>
      </c>
      <c r="FU4" s="25">
        <v>9.1999999999999993</v>
      </c>
      <c r="FV4" s="25">
        <v>13.3</v>
      </c>
      <c r="FW4" s="25">
        <v>15.154999999999999</v>
      </c>
      <c r="FX4" s="25">
        <v>0</v>
      </c>
      <c r="FY4" s="25"/>
      <c r="FZ4" s="25"/>
      <c r="GA4" s="25"/>
      <c r="GB4" s="25"/>
      <c r="GC4" s="25"/>
      <c r="GD4" s="25">
        <v>15.2</v>
      </c>
      <c r="GE4" s="25">
        <v>9.1</v>
      </c>
      <c r="GF4" s="25">
        <v>14.4</v>
      </c>
      <c r="GG4" s="25">
        <v>15.21</v>
      </c>
      <c r="GH4" s="25">
        <v>0</v>
      </c>
      <c r="GI4" s="25">
        <v>14.9</v>
      </c>
      <c r="GJ4" s="25">
        <v>9.1</v>
      </c>
      <c r="GK4" s="25">
        <v>11.9</v>
      </c>
      <c r="GL4" s="25">
        <v>14.984999999999999</v>
      </c>
      <c r="GM4" s="25"/>
      <c r="GN4" s="76">
        <f>IF(FV4&gt;0,FV4,"")</f>
        <v>13.3</v>
      </c>
      <c r="GO4" s="76">
        <f>IF(FW4&gt;0,FW4,"")</f>
        <v>15.154999999999999</v>
      </c>
      <c r="GP4" s="76">
        <f>IF(SUM(FT4:FW4)-FX4&gt;0,SUM(FT4:FW4)-FX4,"")</f>
        <v>53.055000000000007</v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>
        <f>IF(MAX(GP4,GS4)&gt;0,MAX(GP4,GS4),"")</f>
        <v>53.055000000000007</v>
      </c>
      <c r="GU4" s="76">
        <f>IF(GF4&gt;0,GF4,"")</f>
        <v>14.4</v>
      </c>
      <c r="GV4" s="76">
        <f>IF(GG4&gt;0,GG4,"")</f>
        <v>15.21</v>
      </c>
      <c r="GW4" s="76">
        <f>IF(SUM(GD4:GG4)-GH4&gt;0,SUM(GD4:GG4)-GH4,"")</f>
        <v>53.91</v>
      </c>
      <c r="GX4" s="76">
        <f>IF(GK4&gt;0,GK4,"")</f>
        <v>11.9</v>
      </c>
      <c r="GY4" s="76">
        <f>IF(GL4&gt;0,GL4,"")</f>
        <v>14.984999999999999</v>
      </c>
      <c r="GZ4" s="76">
        <f>IF(SUM(GI4:GL4)-GM4&gt;0,SUM(GI4:GL4)-GM4,"")</f>
        <v>50.884999999999998</v>
      </c>
      <c r="HA4" s="76">
        <f>IF(SUM(GT4,GZ4)&gt;0,SUM(GT4,GZ4),"")</f>
        <v>103.94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>
        <v>14.8</v>
      </c>
      <c r="HR4" s="26">
        <v>9.5</v>
      </c>
      <c r="HS4" s="26">
        <v>14.2</v>
      </c>
      <c r="HT4" s="26">
        <v>15.145</v>
      </c>
      <c r="HU4" s="26">
        <v>0</v>
      </c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>
        <f>IF(HS4&gt;0,HS4,"")</f>
        <v>14.2</v>
      </c>
      <c r="IG4" s="16">
        <f>IF(HT4&gt;0,HT4,"")</f>
        <v>15.145</v>
      </c>
      <c r="IH4" s="16">
        <f>IF(SUM(HQ4:HT4)-HU4&gt;0,SUM(HQ4:HT4)-HU4,"")</f>
        <v>53.644999999999996</v>
      </c>
      <c r="II4" s="16">
        <f>IF(SUM(IB4,IH4)&gt;0,SUM(IB4,IH4),"")</f>
        <v>53.644999999999996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>
        <v>15.3</v>
      </c>
      <c r="IZ4" s="25">
        <v>9.5</v>
      </c>
      <c r="JA4" s="25">
        <v>14.4</v>
      </c>
      <c r="JB4" s="25">
        <v>15.065</v>
      </c>
      <c r="JC4" s="25">
        <v>0</v>
      </c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14.4</v>
      </c>
      <c r="JO4" s="76">
        <f>IF(JB4&gt;0,JB4,"")</f>
        <v>15.065</v>
      </c>
      <c r="JP4" s="76">
        <f>IF(SUM(IY4:JB4)-JC4&gt;0,SUM(IY4:JB4)-JC4,"")</f>
        <v>54.265000000000001</v>
      </c>
      <c r="JQ4" s="76">
        <f>IF(SUM(JJ4,JP4)&gt;0,SUM(JJ4,JP4),"")</f>
        <v>54.265000000000001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>
        <v>14.9</v>
      </c>
      <c r="MI4" s="26">
        <v>9.3000000000000007</v>
      </c>
      <c r="MJ4" s="26">
        <v>13</v>
      </c>
      <c r="MK4" s="26">
        <v>14.53</v>
      </c>
      <c r="ML4" s="26">
        <v>0</v>
      </c>
      <c r="MM4" s="26">
        <v>14.9</v>
      </c>
      <c r="MN4" s="26">
        <v>9.6999999999999993</v>
      </c>
      <c r="MO4" s="26">
        <v>12.8</v>
      </c>
      <c r="MP4" s="26">
        <v>14.81</v>
      </c>
      <c r="MQ4" s="26">
        <v>0</v>
      </c>
      <c r="MR4" s="26">
        <v>1.6</v>
      </c>
      <c r="MS4" s="26">
        <v>0.9</v>
      </c>
      <c r="MT4" s="26">
        <v>2</v>
      </c>
      <c r="MU4" s="26">
        <v>1.65</v>
      </c>
      <c r="MV4" s="26">
        <v>0</v>
      </c>
      <c r="MW4" s="26"/>
      <c r="MX4" s="26"/>
      <c r="MY4" s="26"/>
      <c r="MZ4" s="26"/>
      <c r="NA4" s="26"/>
      <c r="NB4" s="16">
        <f>IF(MJ4&gt;0,MJ4,"")</f>
        <v>13</v>
      </c>
      <c r="NC4" s="16">
        <f>IF(MK4&gt;0,MK4,"")</f>
        <v>14.53</v>
      </c>
      <c r="ND4" s="16">
        <f>IF(SUM(MH4:MK4)-ML4&gt;0,SUM(MH4:MK4)-ML4,"")</f>
        <v>51.730000000000004</v>
      </c>
      <c r="NE4" s="16">
        <f>IF(MO4&gt;0,MO4,"")</f>
        <v>12.8</v>
      </c>
      <c r="NF4" s="16">
        <f>IF(MP4&gt;0,MP4,"")</f>
        <v>14.81</v>
      </c>
      <c r="NG4" s="16">
        <f>IF(SUM(MM4:MP4)-MQ4&gt;0,SUM(MM4:MP4)-MQ4,"")</f>
        <v>52.210000000000008</v>
      </c>
      <c r="NH4" s="16">
        <f>IF(MAX(ND4,NG4)&gt;0,MAX(ND4,NG4),"")</f>
        <v>52.210000000000008</v>
      </c>
      <c r="NI4" s="16">
        <f>IF(MT4&gt;0,MT4,"")</f>
        <v>2</v>
      </c>
      <c r="NJ4" s="16">
        <f>IF(MU4&gt;0,MU4,"")</f>
        <v>1.65</v>
      </c>
      <c r="NK4" s="16">
        <f>IF(SUM(MR4:MU4)-MV4&gt;0,SUM(MR4:MU4)-MV4,"")</f>
        <v>6.15</v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>
        <f>IF(SUM(NH4,NN4)&gt;0,SUM(NH4,NN4),"")</f>
        <v>52.210000000000008</v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16.299999999999997</v>
      </c>
      <c r="SW4" s="42">
        <f>IF($CP4="P",CB4,(CB4+BA4)/2)</f>
        <v>9.0875000000000004</v>
      </c>
      <c r="SX4" s="42">
        <f>IF($CP4="P",CC4,(CC4+BB4)/2)</f>
        <v>13.850000000000001</v>
      </c>
      <c r="SY4" s="42">
        <f>IF($CP4="P",CD4,(CD4+BC4)/2)</f>
        <v>15.571249999999999</v>
      </c>
      <c r="SZ4" s="42">
        <f>IF($CP4="P",CE4,(CE4+BD4)/2)</f>
        <v>0</v>
      </c>
      <c r="TA4" s="42">
        <f>IF($CP4="P",CF4,(CF4+BE4)/2)</f>
        <v>13.975000000000001</v>
      </c>
      <c r="TB4" s="42">
        <f>IF($CP4="P",CG4,(CG4+BF4)/2)</f>
        <v>7.85</v>
      </c>
      <c r="TC4" s="42">
        <f>IF($CP4="P",CH4,(CH4+BG4)/2)</f>
        <v>12.600000000000001</v>
      </c>
      <c r="TD4" s="42">
        <f>IF($CP4="P",CI4,(CI4+BH4)/2)</f>
        <v>13.54125</v>
      </c>
      <c r="TE4" s="42">
        <f>IF($CP4="P",CJ4,(CJ4+BI4)/2)</f>
        <v>0</v>
      </c>
      <c r="TF4" s="42">
        <f>IF($CP4="P",CK4,(CK4+BJ4)/2)</f>
        <v>15.675000000000001</v>
      </c>
      <c r="TG4" s="42">
        <f>IF($CP4="P",CL4,(CL4+BK4)/2)</f>
        <v>9.1999999999999993</v>
      </c>
      <c r="TH4" s="42">
        <f>IF($CP4="P",CM4,(CM4+BL4)/2)</f>
        <v>13.524999999999999</v>
      </c>
      <c r="TI4" s="42">
        <f>IF($CP4="P",CN4,(CN4+BM4)/2)</f>
        <v>15.35</v>
      </c>
      <c r="TJ4" s="42">
        <f>IF($CP4="P",CO4,(CO4+BN4)/2)</f>
        <v>0</v>
      </c>
      <c r="TK4" s="51" t="s">
        <v>61</v>
      </c>
      <c r="TL4" s="76">
        <f>IF(SX4&gt;0,SX4,"")</f>
        <v>13.850000000000001</v>
      </c>
      <c r="TM4" s="76">
        <f>IF(SY4&gt;0,SY4,"")</f>
        <v>15.571249999999999</v>
      </c>
      <c r="TN4" s="76">
        <f>IF(SUM(SV4:SY4)-SZ4&gt;0,SUM(SV4:SY4)-SZ4,"")</f>
        <v>54.808749999999996</v>
      </c>
      <c r="TO4" s="76">
        <f>IF(TC4&gt;0,TC4,"")</f>
        <v>12.600000000000001</v>
      </c>
      <c r="TP4" s="76">
        <f>IF(TD4&gt;0,TD4,"")</f>
        <v>13.54125</v>
      </c>
      <c r="TQ4" s="76">
        <f>IF(SUM(TA4:TD4)-TE4&gt;0,SUM(TA4:TD4)-TE4,"")</f>
        <v>47.966250000000002</v>
      </c>
      <c r="TR4" s="76">
        <f>IF(MAX(TN4,TQ4)&gt;0,MAX(TN4,TQ4),"")</f>
        <v>54.808749999999996</v>
      </c>
      <c r="TS4" s="76">
        <f>IF(TH4&gt;0,TH4,"")</f>
        <v>13.524999999999999</v>
      </c>
      <c r="TT4" s="76">
        <f>IF(TI4&gt;0,TI4,"")</f>
        <v>15.35</v>
      </c>
      <c r="TU4" s="76">
        <f>IF(SUM(TF4:TI4)-TJ4&gt;0,SUM(TF4:TI4)-TJ4,"")</f>
        <v>53.75</v>
      </c>
      <c r="TV4" s="76">
        <f>IF(SUM(TR4,TU4)&gt;0,SUM(TR4,TU4),"")</f>
        <v>108.55875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9</v>
      </c>
      <c r="D5" s="18">
        <v>1998</v>
      </c>
      <c r="E5" s="14">
        <f>SUM(J5:V5)+SUM(J5:T5)*0.0000001+SUM(J5)*0.0000000000001</f>
        <v>248.95502488850553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Merit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55.199999999999996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54.55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54.52</v>
      </c>
      <c r="O5" s="13" t="str">
        <f>IF(N5="","",IF(OR(N5=CS5,N5=CV5),$CA$1,IF(OR(N5=BR5,N5=BU5),$AZ$1,IF(OR(N5=AQ5,N5=AT5),$Y$1,""))))</f>
        <v>2022 Elite Canada</v>
      </c>
      <c r="P5" s="13">
        <f>IF(MAX(AX5,BY5,CZ5)&gt;0,MAX(AX5,BY5,CZ5),0)</f>
        <v>55.050000000000004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World Cup ITA (May 28)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15.164999999999999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2021 Elite Canada</v>
      </c>
      <c r="V5" s="13">
        <f>IF(MAX(DB5,DC5)&gt;0,MAX(DB5,DC5),"")</f>
        <v>7.0000000000000284E-2</v>
      </c>
      <c r="W5" s="16" t="str">
        <f>IF(V5="","",IF(V5=DB5,"("&amp;DB$2&amp;")",IF(V5=DC5,"("&amp;DC$2&amp;")")))</f>
        <v>(Prelim)</v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>2021 World Cup ITA/Olympic Technical Trial (June 4/9)</v>
      </c>
      <c r="Y5" s="42">
        <v>16.149999999999999</v>
      </c>
      <c r="Z5" s="42">
        <v>9.1999999999999993</v>
      </c>
      <c r="AA5" s="42">
        <v>12.6</v>
      </c>
      <c r="AB5" s="42">
        <v>15.164999999999999</v>
      </c>
      <c r="AC5" s="42">
        <v>0.3</v>
      </c>
      <c r="AD5" s="42">
        <v>16.850000000000001</v>
      </c>
      <c r="AE5" s="42">
        <v>9.25</v>
      </c>
      <c r="AF5" s="42">
        <v>13.3</v>
      </c>
      <c r="AG5" s="42">
        <v>15</v>
      </c>
      <c r="AH5" s="42">
        <v>0</v>
      </c>
      <c r="AI5" s="42">
        <v>17</v>
      </c>
      <c r="AJ5" s="42">
        <v>9.4</v>
      </c>
      <c r="AK5" s="42">
        <v>13.3</v>
      </c>
      <c r="AL5" s="42">
        <v>15.015000000000001</v>
      </c>
      <c r="AM5" s="42">
        <v>0</v>
      </c>
      <c r="AN5" s="51" t="s">
        <v>61</v>
      </c>
      <c r="AO5" s="74">
        <f>IF(AA5&gt;0,AA5,"")</f>
        <v>12.6</v>
      </c>
      <c r="AP5" s="74">
        <f>IF(AB5&gt;0,AB5,"")</f>
        <v>15.164999999999999</v>
      </c>
      <c r="AQ5" s="76">
        <f>IF(SUM(Y5:AB5)-AC5&gt;0,SUM(Y5:AB5)-AC5,"")</f>
        <v>52.814999999999998</v>
      </c>
      <c r="AR5" s="76">
        <f>IF(AF5&gt;0,AF5,"")</f>
        <v>13.3</v>
      </c>
      <c r="AS5" s="76">
        <f>IF(AG5&gt;0,AG5,"")</f>
        <v>15</v>
      </c>
      <c r="AT5" s="76">
        <f>IF(SUM(AD5:AG5)-AH5&gt;0,SUM(AD5:AG5)-AH5,"")</f>
        <v>54.400000000000006</v>
      </c>
      <c r="AU5" s="76">
        <f>IF(AQ5="","",MAX(AQ5,AT5))</f>
        <v>54.400000000000006</v>
      </c>
      <c r="AV5" s="76">
        <f>IF(AK5&gt;0,AK5,"")</f>
        <v>13.3</v>
      </c>
      <c r="AW5" s="76">
        <f>IF(AL5&gt;0,AL5,"")</f>
        <v>15.015000000000001</v>
      </c>
      <c r="AX5" s="76">
        <f>IF(SUM(AI5:AL5)-AM5&gt;0,SUM(AI5:AL5)-AM5,"")</f>
        <v>54.715000000000003</v>
      </c>
      <c r="AY5" s="76">
        <f>IF(SUM(AU5,AX5)&gt;0,SUM(AU5,AX5),"")</f>
        <v>109.11500000000001</v>
      </c>
      <c r="AZ5" s="46">
        <v>16.600000000000001</v>
      </c>
      <c r="BA5" s="46">
        <v>9.1999999999999993</v>
      </c>
      <c r="BB5" s="46">
        <v>13.7</v>
      </c>
      <c r="BC5" s="46">
        <v>14.885</v>
      </c>
      <c r="BD5" s="46">
        <v>0</v>
      </c>
      <c r="BE5" s="46">
        <v>16.899999999999999</v>
      </c>
      <c r="BF5" s="46">
        <v>9.5</v>
      </c>
      <c r="BG5" s="46">
        <v>13.7</v>
      </c>
      <c r="BH5" s="46">
        <v>15.1</v>
      </c>
      <c r="BI5" s="46">
        <v>0</v>
      </c>
      <c r="BJ5" s="46">
        <v>16.7</v>
      </c>
      <c r="BK5" s="46">
        <v>9.5</v>
      </c>
      <c r="BL5" s="46">
        <v>14</v>
      </c>
      <c r="BM5" s="46">
        <v>14.85</v>
      </c>
      <c r="BN5" s="46">
        <v>0</v>
      </c>
      <c r="BO5" s="52"/>
      <c r="BP5" s="75">
        <f>IF(BB5&gt;0,BB5,"")</f>
        <v>13.7</v>
      </c>
      <c r="BQ5" s="75">
        <f>IF(BC5&gt;0,BC5,"")</f>
        <v>14.885</v>
      </c>
      <c r="BR5" s="16">
        <f>IF(SUM(AZ5:BC5)-BD5&gt;0,SUM(AZ5:BC5)-BD5,"")</f>
        <v>54.384999999999998</v>
      </c>
      <c r="BS5" s="16">
        <f>IF(BG5&gt;0,BG5,"")</f>
        <v>13.7</v>
      </c>
      <c r="BT5" s="16">
        <f>IF(BH5&gt;0,BH5,"")</f>
        <v>15.1</v>
      </c>
      <c r="BU5" s="16">
        <f>IF(SUM(BE5:BH5)-BI5&gt;0,SUM(BE5:BH5)-BI5,"")</f>
        <v>55.199999999999996</v>
      </c>
      <c r="BV5" s="16">
        <f>IF(BR5="","",MAX(BR5,BU5))</f>
        <v>55.199999999999996</v>
      </c>
      <c r="BW5" s="16">
        <f>IF(BL5&gt;0,BL5,"")</f>
        <v>14</v>
      </c>
      <c r="BX5" s="16">
        <f>IF(BM5&gt;0,BM5,"")</f>
        <v>14.85</v>
      </c>
      <c r="BY5" s="16">
        <f>IF(SUM(BJ5:BM5)-BN5&gt;0,SUM(BJ5:BM5)-BN5,"")</f>
        <v>55.050000000000004</v>
      </c>
      <c r="BZ5" s="16">
        <f>IF(SUM(BV5,BY5)&gt;0,SUM(BV5,BY5),"")</f>
        <v>110.25</v>
      </c>
      <c r="CA5" s="42">
        <v>16.5</v>
      </c>
      <c r="CB5" s="42">
        <v>9.6</v>
      </c>
      <c r="CC5" s="42">
        <v>13.5</v>
      </c>
      <c r="CD5" s="42">
        <v>14.95</v>
      </c>
      <c r="CE5" s="42">
        <v>0</v>
      </c>
      <c r="CF5" s="42">
        <v>16.600000000000001</v>
      </c>
      <c r="CG5" s="42">
        <v>9.3000000000000007</v>
      </c>
      <c r="CH5" s="42">
        <v>13.7</v>
      </c>
      <c r="CI5" s="42">
        <v>14.92</v>
      </c>
      <c r="CJ5" s="42">
        <v>0</v>
      </c>
      <c r="CK5" s="42">
        <v>8.1999999999999993</v>
      </c>
      <c r="CL5" s="42">
        <v>4.3</v>
      </c>
      <c r="CM5" s="42">
        <v>6.5</v>
      </c>
      <c r="CN5" s="42">
        <v>7.77</v>
      </c>
      <c r="CO5" s="42">
        <v>0</v>
      </c>
      <c r="CP5" s="51"/>
      <c r="CQ5" s="74">
        <f>IF(CC5&gt;0,CC5,"")</f>
        <v>13.5</v>
      </c>
      <c r="CR5" s="74">
        <f>IF(CD5&gt;0,CD5,"")</f>
        <v>14.95</v>
      </c>
      <c r="CS5" s="76">
        <f>IF(SUM(CA5:CD5)-CE5&gt;0,SUM(CA5:CD5)-CE5,"")</f>
        <v>54.55</v>
      </c>
      <c r="CT5" s="76">
        <f>IF(CH5&gt;0,CH5,"")</f>
        <v>13.7</v>
      </c>
      <c r="CU5" s="76">
        <f>IF(CI5&gt;0,CI5,"")</f>
        <v>14.92</v>
      </c>
      <c r="CV5" s="76">
        <f>IF(SUM(CF5:CI5)-CJ5&gt;0,SUM(CF5:CI5)-CJ5,"")</f>
        <v>54.52</v>
      </c>
      <c r="CW5" s="76">
        <f>IF(CS5="","",MAX(CS5,CV5))</f>
        <v>54.55</v>
      </c>
      <c r="CX5" s="76">
        <f>IF(CM5&gt;0,CM5,"")</f>
        <v>6.5</v>
      </c>
      <c r="CY5" s="76">
        <f>IF(CN5&gt;0,CN5,"")</f>
        <v>7.77</v>
      </c>
      <c r="CZ5" s="76">
        <f>IF(SUM(CK5:CN5)-CO5&gt;0,SUM(CK5:CN5)-CO5,"")</f>
        <v>26.77</v>
      </c>
      <c r="DA5" s="76">
        <f>IF(SUM(CW5,CZ5)&gt;0,SUM(CW5,CZ5),"")</f>
        <v>81.319999999999993</v>
      </c>
      <c r="DB5" s="87">
        <f>IF(L5&gt;=0.001,IF(MAX(ED5,FL5,GT5,IB5,JJ5,KR5,LZ5,NH5,OP5,PX5,RF5,SN5)-IF(L5="",0,L5)&gt;0.001,MAX(ED5,FL5,GT5,IB5,JJ5,KR5,LZ5,NH5,OP5,PX5,RF5,SN5)-IF(L5="",0,L5),""),"")</f>
        <v>7.0000000000000284E-2</v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16.5</v>
      </c>
      <c r="DE5" s="25">
        <v>9.4</v>
      </c>
      <c r="DF5" s="25">
        <v>14</v>
      </c>
      <c r="DG5" s="25">
        <v>14.72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>
        <v>16.100000000000001</v>
      </c>
      <c r="DT5" s="25">
        <v>9</v>
      </c>
      <c r="DU5" s="25">
        <v>13.8</v>
      </c>
      <c r="DV5" s="25">
        <v>14.76</v>
      </c>
      <c r="DW5" s="25">
        <v>0</v>
      </c>
      <c r="DX5" s="76">
        <f>IF(DF5&gt;0,DF5,"")</f>
        <v>14</v>
      </c>
      <c r="DY5" s="76">
        <f>IF(DG5&gt;0,DG5,"")</f>
        <v>14.72</v>
      </c>
      <c r="DZ5" s="76">
        <f>IF(SUM(DD5:DG5)-DH5&gt;0,SUM(DD5:DG5)-DH5,"")</f>
        <v>54.62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54.62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>
        <f>IF(DU5&gt;0,DU5,"")</f>
        <v>13.8</v>
      </c>
      <c r="EI5" s="76">
        <f>IF(DV5&gt;0,DV5,"")</f>
        <v>14.76</v>
      </c>
      <c r="EJ5" s="76">
        <f>IF(SUM(DS5:DV5)-DW5&gt;0,SUM(DS5:DV5)-DW5,"")</f>
        <v>53.660000000000004</v>
      </c>
      <c r="EK5" s="76">
        <f>IF(SUM(ED5,EJ5)&gt;0,SUM(ED5,EJ5),"")</f>
        <v>108.28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>
        <v>15.6</v>
      </c>
      <c r="FU5" s="25">
        <v>8.9</v>
      </c>
      <c r="FV5" s="25">
        <v>13.7</v>
      </c>
      <c r="FW5" s="25">
        <v>14.355</v>
      </c>
      <c r="FX5" s="25">
        <v>0</v>
      </c>
      <c r="FY5" s="25"/>
      <c r="FZ5" s="25"/>
      <c r="GA5" s="25"/>
      <c r="GB5" s="25"/>
      <c r="GC5" s="25"/>
      <c r="GD5" s="25">
        <v>15.1</v>
      </c>
      <c r="GE5" s="25">
        <v>9.3000000000000007</v>
      </c>
      <c r="GF5" s="25">
        <v>13.3</v>
      </c>
      <c r="GG5" s="25">
        <v>14.535</v>
      </c>
      <c r="GH5" s="25">
        <v>0</v>
      </c>
      <c r="GI5" s="25"/>
      <c r="GJ5" s="25"/>
      <c r="GK5" s="25"/>
      <c r="GL5" s="25"/>
      <c r="GM5" s="25"/>
      <c r="GN5" s="76">
        <f>IF(FV5&gt;0,FV5,"")</f>
        <v>13.7</v>
      </c>
      <c r="GO5" s="76">
        <f>IF(FW5&gt;0,FW5,"")</f>
        <v>14.355</v>
      </c>
      <c r="GP5" s="76">
        <f>IF(SUM(FT5:FW5)-FX5&gt;0,SUM(FT5:FW5)-FX5,"")</f>
        <v>52.555000000000007</v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>
        <f>IF(MAX(GP5,GS5)&gt;0,MAX(GP5,GS5),"")</f>
        <v>52.555000000000007</v>
      </c>
      <c r="GU5" s="76">
        <f>IF(GF5&gt;0,GF5,"")</f>
        <v>13.3</v>
      </c>
      <c r="GV5" s="76">
        <f>IF(GG5&gt;0,GG5,"")</f>
        <v>14.535</v>
      </c>
      <c r="GW5" s="76">
        <f>IF(SUM(GD5:GG5)-GH5&gt;0,SUM(GD5:GG5)-GH5,"")</f>
        <v>52.234999999999999</v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>
        <f>IF(SUM(GT5,GZ5)&gt;0,SUM(GT5,GZ5),"")</f>
        <v>52.555000000000007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>
        <v>14</v>
      </c>
      <c r="HR5" s="26">
        <v>13.19</v>
      </c>
      <c r="HS5" s="26">
        <v>12.1</v>
      </c>
      <c r="HT5" s="26">
        <v>8.6999999999999993</v>
      </c>
      <c r="HU5" s="26">
        <v>0</v>
      </c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>
        <f>IF(HS5&gt;0,HS5,"")</f>
        <v>12.1</v>
      </c>
      <c r="IG5" s="16">
        <f>IF(HT5&gt;0,HT5,"")</f>
        <v>8.6999999999999993</v>
      </c>
      <c r="IH5" s="16">
        <f>IF(SUM(HQ5:HT5)-HU5&gt;0,SUM(HQ5:HT5)-HU5,"")</f>
        <v>47.989999999999995</v>
      </c>
      <c r="II5" s="16">
        <f>IF(SUM(IB5,IH5)&gt;0,SUM(IB5,IH5),"")</f>
        <v>47.989999999999995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>
        <v>14.7</v>
      </c>
      <c r="MI5" s="26">
        <v>9.3000000000000007</v>
      </c>
      <c r="MJ5" s="26">
        <v>14.2</v>
      </c>
      <c r="MK5" s="26">
        <v>14.38</v>
      </c>
      <c r="ML5" s="26">
        <v>0</v>
      </c>
      <c r="MM5" s="26"/>
      <c r="MN5" s="26"/>
      <c r="MO5" s="26"/>
      <c r="MP5" s="26"/>
      <c r="MQ5" s="26"/>
      <c r="MR5" s="26">
        <v>15.6</v>
      </c>
      <c r="MS5" s="26">
        <v>9.3000000000000007</v>
      </c>
      <c r="MT5" s="26">
        <v>14.4</v>
      </c>
      <c r="MU5" s="26">
        <v>14.75</v>
      </c>
      <c r="MV5" s="26">
        <v>0</v>
      </c>
      <c r="MW5" s="26">
        <v>1.6</v>
      </c>
      <c r="MX5" s="26">
        <v>0.8</v>
      </c>
      <c r="MY5" s="26">
        <v>2</v>
      </c>
      <c r="MZ5" s="26">
        <v>1.61</v>
      </c>
      <c r="NA5" s="26">
        <v>0</v>
      </c>
      <c r="NB5" s="16">
        <f>IF(MJ5&gt;0,MJ5,"")</f>
        <v>14.2</v>
      </c>
      <c r="NC5" s="16">
        <f>IF(MK5&gt;0,MK5,"")</f>
        <v>14.38</v>
      </c>
      <c r="ND5" s="16">
        <f>IF(SUM(MH5:MK5)-ML5&gt;0,SUM(MH5:MK5)-ML5,"")</f>
        <v>52.580000000000005</v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>
        <f>IF(MAX(ND5,NG5)&gt;0,MAX(ND5,NG5),"")</f>
        <v>52.580000000000005</v>
      </c>
      <c r="NI5" s="16">
        <f>IF(MT5&gt;0,MT5,"")</f>
        <v>14.4</v>
      </c>
      <c r="NJ5" s="16">
        <f>IF(MU5&gt;0,MU5,"")</f>
        <v>14.75</v>
      </c>
      <c r="NK5" s="16">
        <f>IF(SUM(MR5:MU5)-MV5&gt;0,SUM(MR5:MU5)-MV5,"")</f>
        <v>54.05</v>
      </c>
      <c r="NL5" s="16">
        <f>IF(MY5&gt;0,MY5,"")</f>
        <v>2</v>
      </c>
      <c r="NM5" s="16">
        <f>IF(MZ5&gt;0,MZ5,"")</f>
        <v>1.61</v>
      </c>
      <c r="NN5" s="16">
        <f>IF(SUM(MW5:MZ5)-NA5&gt;0,SUM(MW5:MZ5)-NA5,"")</f>
        <v>6.0100000000000007</v>
      </c>
      <c r="NO5" s="16">
        <f>IF(SUM(NH5,NN5)&gt;0,SUM(NH5,NN5),"")</f>
        <v>58.59</v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16.55</v>
      </c>
      <c r="SW5" s="42">
        <f>IF($CP5="P",CB5,(CB5+BA5)/2)</f>
        <v>9.3999999999999986</v>
      </c>
      <c r="SX5" s="42">
        <f>IF($CP5="P",CC5,(CC5+BB5)/2)</f>
        <v>13.6</v>
      </c>
      <c r="SY5" s="42">
        <f>IF($CP5="P",CD5,(CD5+BC5)/2)</f>
        <v>14.9175</v>
      </c>
      <c r="SZ5" s="42">
        <f>IF($CP5="P",CE5,(CE5+BD5)/2)</f>
        <v>0</v>
      </c>
      <c r="TA5" s="42">
        <f>IF($CP5="P",CF5,(CF5+BE5)/2)</f>
        <v>16.75</v>
      </c>
      <c r="TB5" s="42">
        <f>IF($CP5="P",CG5,(CG5+BF5)/2)</f>
        <v>9.4</v>
      </c>
      <c r="TC5" s="42">
        <f>IF($CP5="P",CH5,(CH5+BG5)/2)</f>
        <v>13.7</v>
      </c>
      <c r="TD5" s="42">
        <f>IF($CP5="P",CI5,(CI5+BH5)/2)</f>
        <v>15.01</v>
      </c>
      <c r="TE5" s="42">
        <f>IF($CP5="P",CJ5,(CJ5+BI5)/2)</f>
        <v>0</v>
      </c>
      <c r="TF5" s="42">
        <f>IF($CP5="P",CK5,(CK5+BJ5)/2)</f>
        <v>12.45</v>
      </c>
      <c r="TG5" s="42">
        <f>IF($CP5="P",CL5,(CL5+BK5)/2)</f>
        <v>6.9</v>
      </c>
      <c r="TH5" s="42">
        <f>IF($CP5="P",CM5,(CM5+BL5)/2)</f>
        <v>10.25</v>
      </c>
      <c r="TI5" s="42">
        <f>IF($CP5="P",CN5,(CN5+BM5)/2)</f>
        <v>11.309999999999999</v>
      </c>
      <c r="TJ5" s="42">
        <f>IF($CP5="P",CO5,(CO5+BN5)/2)</f>
        <v>0</v>
      </c>
      <c r="TK5" s="51" t="s">
        <v>61</v>
      </c>
      <c r="TL5" s="76">
        <f>IF(SX5&gt;0,SX5,"")</f>
        <v>13.6</v>
      </c>
      <c r="TM5" s="76">
        <f>IF(SY5&gt;0,SY5,"")</f>
        <v>14.9175</v>
      </c>
      <c r="TN5" s="76">
        <f>IF(SUM(SV5:SY5)-SZ5&gt;0,SUM(SV5:SY5)-SZ5,"")</f>
        <v>54.467500000000001</v>
      </c>
      <c r="TO5" s="76">
        <f>IF(TC5&gt;0,TC5,"")</f>
        <v>13.7</v>
      </c>
      <c r="TP5" s="76">
        <f>IF(TD5&gt;0,TD5,"")</f>
        <v>15.01</v>
      </c>
      <c r="TQ5" s="76">
        <f>IF(SUM(TA5:TD5)-TE5&gt;0,SUM(TA5:TD5)-TE5,"")</f>
        <v>54.859999999999992</v>
      </c>
      <c r="TR5" s="76">
        <f>IF(MAX(TN5,TQ5)&gt;0,MAX(TN5,TQ5),"")</f>
        <v>54.859999999999992</v>
      </c>
      <c r="TS5" s="76">
        <f>IF(TH5&gt;0,TH5,"")</f>
        <v>10.25</v>
      </c>
      <c r="TT5" s="76">
        <f>IF(TI5&gt;0,TI5,"")</f>
        <v>11.309999999999999</v>
      </c>
      <c r="TU5" s="76">
        <f>IF(SUM(TF5:TI5)-TJ5&gt;0,SUM(TF5:TI5)-TJ5,"")</f>
        <v>40.909999999999997</v>
      </c>
      <c r="TV5" s="76">
        <f>IF(SUM(TR5,TU5)&gt;0,SUM(TR5,TU5),"")</f>
        <v>95.769999999999982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29</v>
      </c>
      <c r="C6" s="4" t="s">
        <v>3</v>
      </c>
      <c r="D6" s="5">
        <v>1998</v>
      </c>
      <c r="E6" s="14">
        <f>SUM(J6:V6)+SUM(J6:T6)*0.0000001+SUM(J6)*0.0000000000001</f>
        <v>248.71002487100546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54.83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54.67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54.51</v>
      </c>
      <c r="O6" s="13" t="str">
        <f>IF(N6="","",IF(OR(N6=CS6,N6=CV6),$CA$1,IF(OR(N6=BR6,N6=BU6),$AZ$1,IF(OR(N6=AQ6,N6=AT6),$Y$1,""))))</f>
        <v>2021 Elite Canada</v>
      </c>
      <c r="P6" s="13">
        <f>IF(MAX(AX6,BY6,CZ6)&gt;0,MAX(AX6,BY6,CZ6),0)</f>
        <v>55.1</v>
      </c>
      <c r="Q6" s="13" t="str">
        <f>IF(P6="","",IF(P6=CZ6,$CA$1,IF(P6=BY6,$AZ$1,IF(P6=AX6,$Y$1,""))))</f>
        <v>2021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2021 Canadian Championships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15.4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2022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/>
      </c>
      <c r="Y6" s="42">
        <v>16</v>
      </c>
      <c r="Z6" s="42">
        <v>9.3000000000000007</v>
      </c>
      <c r="AA6" s="42">
        <v>13.8</v>
      </c>
      <c r="AB6" s="42">
        <v>15.244999999999999</v>
      </c>
      <c r="AC6" s="42">
        <v>0</v>
      </c>
      <c r="AD6" s="42">
        <v>16.3</v>
      </c>
      <c r="AE6" s="42">
        <v>9.1999999999999993</v>
      </c>
      <c r="AF6" s="42">
        <v>13.8</v>
      </c>
      <c r="AG6" s="42">
        <v>15.21</v>
      </c>
      <c r="AH6" s="42">
        <v>0</v>
      </c>
      <c r="AI6" s="42">
        <v>16.600000000000001</v>
      </c>
      <c r="AJ6" s="42">
        <v>9.3000000000000007</v>
      </c>
      <c r="AK6" s="42">
        <v>13.8</v>
      </c>
      <c r="AL6" s="42">
        <v>15.4</v>
      </c>
      <c r="AM6" s="42">
        <v>0</v>
      </c>
      <c r="AN6" s="51"/>
      <c r="AO6" s="74">
        <f>IF(AA6&gt;0,AA6,"")</f>
        <v>13.8</v>
      </c>
      <c r="AP6" s="74">
        <f>IF(AB6&gt;0,AB6,"")</f>
        <v>15.244999999999999</v>
      </c>
      <c r="AQ6" s="76">
        <f>IF(SUM(Y6:AB6)-AC6&gt;0,SUM(Y6:AB6)-AC6,"")</f>
        <v>54.344999999999999</v>
      </c>
      <c r="AR6" s="76">
        <f>IF(AF6&gt;0,AF6,"")</f>
        <v>13.8</v>
      </c>
      <c r="AS6" s="76">
        <f>IF(AG6&gt;0,AG6,"")</f>
        <v>15.21</v>
      </c>
      <c r="AT6" s="76">
        <f>IF(SUM(AD6:AG6)-AH6&gt;0,SUM(AD6:AG6)-AH6,"")</f>
        <v>54.51</v>
      </c>
      <c r="AU6" s="76">
        <f>IF(AQ6="","",MAX(AQ6,AT6))</f>
        <v>54.51</v>
      </c>
      <c r="AV6" s="76">
        <f>IF(AK6&gt;0,AK6,"")</f>
        <v>13.8</v>
      </c>
      <c r="AW6" s="76">
        <f>IF(AL6&gt;0,AL6,"")</f>
        <v>15.4</v>
      </c>
      <c r="AX6" s="76">
        <f>IF(SUM(AI6:AL6)-AM6&gt;0,SUM(AI6:AL6)-AM6,"")</f>
        <v>55.1</v>
      </c>
      <c r="AY6" s="76">
        <f>IF(SUM(AU6,AX6)&gt;0,SUM(AU6,AX6),"")</f>
        <v>109.61</v>
      </c>
      <c r="AZ6" s="46">
        <v>7.2</v>
      </c>
      <c r="BA6" s="46">
        <v>4.4000000000000004</v>
      </c>
      <c r="BB6" s="46">
        <v>7.4</v>
      </c>
      <c r="BC6" s="46">
        <v>7.8</v>
      </c>
      <c r="BD6" s="46">
        <v>0</v>
      </c>
      <c r="BE6" s="46">
        <v>16.2</v>
      </c>
      <c r="BF6" s="46">
        <v>9.6</v>
      </c>
      <c r="BG6" s="46">
        <v>13.8</v>
      </c>
      <c r="BH6" s="46">
        <v>15.23</v>
      </c>
      <c r="BI6" s="46">
        <v>0</v>
      </c>
      <c r="BJ6" s="46">
        <v>15.9</v>
      </c>
      <c r="BK6" s="46">
        <v>9.1999999999999993</v>
      </c>
      <c r="BL6" s="46">
        <v>14.2</v>
      </c>
      <c r="BM6" s="46">
        <v>15.4</v>
      </c>
      <c r="BN6" s="46">
        <v>0</v>
      </c>
      <c r="BO6" s="52"/>
      <c r="BP6" s="75">
        <f>IF(BB6&gt;0,BB6,"")</f>
        <v>7.4</v>
      </c>
      <c r="BQ6" s="75">
        <f>IF(BC6&gt;0,BC6,"")</f>
        <v>7.8</v>
      </c>
      <c r="BR6" s="16">
        <f>IF(SUM(AZ6:BC6)-BD6&gt;0,SUM(AZ6:BC6)-BD6,"")</f>
        <v>26.8</v>
      </c>
      <c r="BS6" s="16">
        <f>IF(BG6&gt;0,BG6,"")</f>
        <v>13.8</v>
      </c>
      <c r="BT6" s="16">
        <f>IF(BH6&gt;0,BH6,"")</f>
        <v>15.23</v>
      </c>
      <c r="BU6" s="16">
        <f>IF(SUM(BE6:BH6)-BI6&gt;0,SUM(BE6:BH6)-BI6,"")</f>
        <v>54.83</v>
      </c>
      <c r="BV6" s="16">
        <f>IF(BR6="","",MAX(BR6,BU6))</f>
        <v>54.83</v>
      </c>
      <c r="BW6" s="16">
        <f>IF(BL6&gt;0,BL6,"")</f>
        <v>14.2</v>
      </c>
      <c r="BX6" s="16">
        <f>IF(BM6&gt;0,BM6,"")</f>
        <v>15.4</v>
      </c>
      <c r="BY6" s="16">
        <f>IF(SUM(BJ6:BM6)-BN6&gt;0,SUM(BJ6:BM6)-BN6,"")</f>
        <v>54.699999999999996</v>
      </c>
      <c r="BZ6" s="16">
        <f>IF(SUM(BV6,BY6)&gt;0,SUM(BV6,BY6),"")</f>
        <v>109.53</v>
      </c>
      <c r="CA6" s="42">
        <v>11.6</v>
      </c>
      <c r="CB6" s="42">
        <v>6.8500000000000005</v>
      </c>
      <c r="CC6" s="42">
        <v>10.600000000000001</v>
      </c>
      <c r="CD6" s="42">
        <v>11.522499999999999</v>
      </c>
      <c r="CE6" s="42">
        <v>0</v>
      </c>
      <c r="CF6" s="42">
        <v>16.25</v>
      </c>
      <c r="CG6" s="42">
        <v>9.3999999999999986</v>
      </c>
      <c r="CH6" s="42">
        <v>13.8</v>
      </c>
      <c r="CI6" s="42">
        <v>15.22</v>
      </c>
      <c r="CJ6" s="42">
        <v>0</v>
      </c>
      <c r="CK6" s="42">
        <v>16.25</v>
      </c>
      <c r="CL6" s="42">
        <v>9.25</v>
      </c>
      <c r="CM6" s="42">
        <v>14</v>
      </c>
      <c r="CN6" s="42">
        <v>15.4</v>
      </c>
      <c r="CO6" s="42">
        <v>0</v>
      </c>
      <c r="CP6" s="51" t="s">
        <v>61</v>
      </c>
      <c r="CQ6" s="74">
        <f>IF(CC6&gt;0,CC6,"")</f>
        <v>10.600000000000001</v>
      </c>
      <c r="CR6" s="74">
        <f>IF(CD6&gt;0,CD6,"")</f>
        <v>11.522499999999999</v>
      </c>
      <c r="CS6" s="76">
        <f>IF(SUM(CA6:CD6)-CE6&gt;0,SUM(CA6:CD6)-CE6,"")</f>
        <v>40.572499999999998</v>
      </c>
      <c r="CT6" s="76">
        <f>IF(CH6&gt;0,CH6,"")</f>
        <v>13.8</v>
      </c>
      <c r="CU6" s="76">
        <f>IF(CI6&gt;0,CI6,"")</f>
        <v>15.22</v>
      </c>
      <c r="CV6" s="76">
        <f>IF(SUM(CF6:CI6)-CJ6&gt;0,SUM(CF6:CI6)-CJ6,"")</f>
        <v>54.67</v>
      </c>
      <c r="CW6" s="76">
        <f>IF(CS6="","",MAX(CS6,CV6))</f>
        <v>54.67</v>
      </c>
      <c r="CX6" s="76">
        <f>IF(CM6&gt;0,CM6,"")</f>
        <v>14</v>
      </c>
      <c r="CY6" s="76">
        <f>IF(CN6&gt;0,CN6,"")</f>
        <v>15.4</v>
      </c>
      <c r="CZ6" s="76">
        <f>IF(SUM(CK6:CN6)-CO6&gt;0,SUM(CK6:CN6)-CO6,"")</f>
        <v>54.9</v>
      </c>
      <c r="DA6" s="76">
        <f>IF(SUM(CW6,CZ6)&gt;0,SUM(CW6,CZ6),"")</f>
        <v>109.57</v>
      </c>
      <c r="DB6" s="87" t="str">
        <f>IF(L6&gt;=0.001,IF(MAX(ED6,FL6,GT6,IB6,JJ6,KR6,LZ6,NH6,OP6,PX6,RF6,SN6)-IF(L6="",0,L6)&gt;0.001,MAX(ED6,FL6,GT6,IB6,JJ6,KR6,LZ6,NH6,OP6,PX6,RF6,SN6)-IF(L6="",0,L6),""),"")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>IF(DF6&gt;0,DF6,"")</f>
        <v/>
      </c>
      <c r="DY6" s="76" t="str">
        <f>IF(DG6&gt;0,DG6,"")</f>
        <v/>
      </c>
      <c r="DZ6" s="76" t="str">
        <f>IF(SUM(DD6:DG6)-DH6&gt;0,SUM(DD6:DG6)-DH6,"")</f>
        <v/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 t="str">
        <f>IF(MAX(DZ6,EC6)&gt;0,MAX(DZ6,EC6),"")</f>
        <v/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 t="str">
        <f>IF(SUM(ED6,EJ6)&gt;0,SUM(ED6,EJ6),"")</f>
        <v/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 t="str">
        <f>IF(SUM(FL6,FR6)&gt;0,SUM(FL6,FR6),"")</f>
        <v/>
      </c>
      <c r="FT6" s="25">
        <v>14.8</v>
      </c>
      <c r="FU6" s="25">
        <v>9.5</v>
      </c>
      <c r="FV6" s="25">
        <v>14.2</v>
      </c>
      <c r="FW6" s="25">
        <v>14.595000000000001</v>
      </c>
      <c r="FX6" s="25">
        <v>0</v>
      </c>
      <c r="FY6" s="25"/>
      <c r="FZ6" s="25"/>
      <c r="GA6" s="25"/>
      <c r="GB6" s="25"/>
      <c r="GC6" s="25"/>
      <c r="GD6" s="25">
        <v>15.4</v>
      </c>
      <c r="GE6" s="25">
        <v>9.3000000000000007</v>
      </c>
      <c r="GF6" s="25">
        <v>14.2</v>
      </c>
      <c r="GG6" s="25">
        <v>14.435</v>
      </c>
      <c r="GH6" s="25">
        <v>0</v>
      </c>
      <c r="GI6" s="25"/>
      <c r="GJ6" s="25"/>
      <c r="GK6" s="25"/>
      <c r="GL6" s="25"/>
      <c r="GM6" s="25"/>
      <c r="GN6" s="76">
        <f>IF(FV6&gt;0,FV6,"")</f>
        <v>14.2</v>
      </c>
      <c r="GO6" s="76">
        <f>IF(FW6&gt;0,FW6,"")</f>
        <v>14.595000000000001</v>
      </c>
      <c r="GP6" s="76">
        <f>IF(SUM(FT6:FW6)-FX6&gt;0,SUM(FT6:FW6)-FX6,"")</f>
        <v>53.094999999999999</v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>
        <f>IF(MAX(GP6,GS6)&gt;0,MAX(GP6,GS6),"")</f>
        <v>53.094999999999999</v>
      </c>
      <c r="GU6" s="76">
        <f>IF(GF6&gt;0,GF6,"")</f>
        <v>14.2</v>
      </c>
      <c r="GV6" s="76">
        <f>IF(GG6&gt;0,GG6,"")</f>
        <v>14.435</v>
      </c>
      <c r="GW6" s="76">
        <f>IF(SUM(GD6:GG6)-GH6&gt;0,SUM(GD6:GG6)-GH6,"")</f>
        <v>53.335000000000008</v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>
        <f>IF(SUM(GT6,GZ6)&gt;0,SUM(GT6,GZ6),"")</f>
        <v>53.094999999999999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>
        <v>14.9</v>
      </c>
      <c r="HR6" s="26">
        <v>9.5</v>
      </c>
      <c r="HS6" s="26">
        <v>14.2</v>
      </c>
      <c r="HT6" s="26">
        <v>14.67</v>
      </c>
      <c r="HU6" s="26">
        <v>0</v>
      </c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>
        <f>IF(HS6&gt;0,HS6,"")</f>
        <v>14.2</v>
      </c>
      <c r="IG6" s="16">
        <f>IF(HT6&gt;0,HT6,"")</f>
        <v>14.67</v>
      </c>
      <c r="IH6" s="16">
        <f>IF(SUM(HQ6:HT6)-HU6&gt;0,SUM(HQ6:HT6)-HU6,"")</f>
        <v>53.269999999999996</v>
      </c>
      <c r="II6" s="16">
        <f>IF(SUM(IB6,IH6)&gt;0,SUM(IB6,IH6),"")</f>
        <v>53.269999999999996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>
        <v>13.7</v>
      </c>
      <c r="MI6" s="26">
        <v>8.9</v>
      </c>
      <c r="MJ6" s="26">
        <v>14.2</v>
      </c>
      <c r="MK6" s="26">
        <v>14.04</v>
      </c>
      <c r="ML6" s="26">
        <v>0</v>
      </c>
      <c r="MM6" s="26">
        <v>14.3</v>
      </c>
      <c r="MN6" s="26">
        <v>9.3000000000000007</v>
      </c>
      <c r="MO6" s="26">
        <v>14.2</v>
      </c>
      <c r="MP6" s="26">
        <v>14.15</v>
      </c>
      <c r="MQ6" s="26">
        <v>0</v>
      </c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>
        <f>IF(MJ6&gt;0,MJ6,"")</f>
        <v>14.2</v>
      </c>
      <c r="NC6" s="16">
        <f>IF(MK6&gt;0,MK6,"")</f>
        <v>14.04</v>
      </c>
      <c r="ND6" s="16">
        <f>IF(SUM(MH6:MK6)-ML6&gt;0,SUM(MH6:MK6)-ML6,"")</f>
        <v>50.839999999999996</v>
      </c>
      <c r="NE6" s="16">
        <f>IF(MO6&gt;0,MO6,"")</f>
        <v>14.2</v>
      </c>
      <c r="NF6" s="16">
        <f>IF(MP6&gt;0,MP6,"")</f>
        <v>14.15</v>
      </c>
      <c r="NG6" s="16">
        <f>IF(SUM(MM6:MP6)-MQ6&gt;0,SUM(MM6:MP6)-MQ6,"")</f>
        <v>51.949999999999996</v>
      </c>
      <c r="NH6" s="16">
        <f>IF(MAX(ND6,NG6)&gt;0,MAX(ND6,NG6),"")</f>
        <v>51.949999999999996</v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>
        <f>IF(SUM(NH6,NN6)&gt;0,SUM(NH6,NN6),"")</f>
        <v>51.949999999999996</v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11.6</v>
      </c>
      <c r="SW6" s="42">
        <f>IF($CP6="P",CB6,(CB6+BA6)/2)</f>
        <v>6.8500000000000005</v>
      </c>
      <c r="SX6" s="42">
        <f>IF($CP6="P",CC6,(CC6+BB6)/2)</f>
        <v>10.600000000000001</v>
      </c>
      <c r="SY6" s="42">
        <f>IF($CP6="P",CD6,(CD6+BC6)/2)</f>
        <v>11.522499999999999</v>
      </c>
      <c r="SZ6" s="42">
        <f>IF($CP6="P",CE6,(CE6+BD6)/2)</f>
        <v>0</v>
      </c>
      <c r="TA6" s="42">
        <f>IF($CP6="P",CF6,(CF6+BE6)/2)</f>
        <v>16.25</v>
      </c>
      <c r="TB6" s="42">
        <f>IF($CP6="P",CG6,(CG6+BF6)/2)</f>
        <v>9.3999999999999986</v>
      </c>
      <c r="TC6" s="42">
        <f>IF($CP6="P",CH6,(CH6+BG6)/2)</f>
        <v>13.8</v>
      </c>
      <c r="TD6" s="42">
        <f>IF($CP6="P",CI6,(CI6+BH6)/2)</f>
        <v>15.22</v>
      </c>
      <c r="TE6" s="42">
        <f>IF($CP6="P",CJ6,(CJ6+BI6)/2)</f>
        <v>0</v>
      </c>
      <c r="TF6" s="42">
        <f>IF($CP6="P",CK6,(CK6+BJ6)/2)</f>
        <v>16.25</v>
      </c>
      <c r="TG6" s="42">
        <f>IF($CP6="P",CL6,(CL6+BK6)/2)</f>
        <v>9.25</v>
      </c>
      <c r="TH6" s="42">
        <f>IF($CP6="P",CM6,(CM6+BL6)/2)</f>
        <v>14</v>
      </c>
      <c r="TI6" s="42">
        <f>IF($CP6="P",CN6,(CN6+BM6)/2)</f>
        <v>15.4</v>
      </c>
      <c r="TJ6" s="42">
        <f>IF($CP6="P",CO6,(CO6+BN6)/2)</f>
        <v>0</v>
      </c>
      <c r="TK6" s="51" t="s">
        <v>61</v>
      </c>
      <c r="TL6" s="76">
        <f>IF(SX6&gt;0,SX6,"")</f>
        <v>10.600000000000001</v>
      </c>
      <c r="TM6" s="76">
        <f>IF(SY6&gt;0,SY6,"")</f>
        <v>11.522499999999999</v>
      </c>
      <c r="TN6" s="76">
        <f>IF(SUM(SV6:SY6)-SZ6&gt;0,SUM(SV6:SY6)-SZ6,"")</f>
        <v>40.572499999999998</v>
      </c>
      <c r="TO6" s="76">
        <f>IF(TC6&gt;0,TC6,"")</f>
        <v>13.8</v>
      </c>
      <c r="TP6" s="76">
        <f>IF(TD6&gt;0,TD6,"")</f>
        <v>15.22</v>
      </c>
      <c r="TQ6" s="76">
        <f>IF(SUM(TA6:TD6)-TE6&gt;0,SUM(TA6:TD6)-TE6,"")</f>
        <v>54.67</v>
      </c>
      <c r="TR6" s="76">
        <f>IF(MAX(TN6,TQ6)&gt;0,MAX(TN6,TQ6),"")</f>
        <v>54.67</v>
      </c>
      <c r="TS6" s="76">
        <f>IF(TH6&gt;0,TH6,"")</f>
        <v>14</v>
      </c>
      <c r="TT6" s="76">
        <f>IF(TI6&gt;0,TI6,"")</f>
        <v>15.4</v>
      </c>
      <c r="TU6" s="76">
        <f>IF(SUM(TF6:TI6)-TJ6&gt;0,SUM(TF6:TI6)-TJ6,"")</f>
        <v>54.9</v>
      </c>
      <c r="TV6" s="76">
        <f>IF(SUM(TR6,TU6)&gt;0,SUM(TR6,TU6),"")</f>
        <v>109.57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246.12002437600543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54.215000000000003</v>
      </c>
      <c r="K7" s="13" t="str">
        <f>IF(J7="","",IF(OR(J7=CS7,J7=CV7),$CA$1,IF(OR(J7=BR7,J7=BU7),$AZ$1,IF(OR(J7=AQ7,J7=AT7),$Y$1,""))))</f>
        <v>2021 Elite Canada</v>
      </c>
      <c r="L7" s="13">
        <f>IF(COUNT(AQ7,AT7,BR7,BU7,CS7,CV7)&gt;1,LARGE((AQ7,AT7,BR7,BU7,CS7,CV7),2),0)</f>
        <v>53.550000000000004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53.445</v>
      </c>
      <c r="O7" s="13" t="str">
        <f>IF(N7="","",IF(OR(N7=CS7,N7=CV7),$CA$1,IF(OR(N7=BR7,N7=BU7),$AZ$1,IF(OR(N7=AQ7,N7=AT7),$Y$1,""))))</f>
        <v>2021 Canadian Championships</v>
      </c>
      <c r="P7" s="13">
        <f>IF(MAX(AX7,BY7,CZ7)&gt;0,MAX(AX7,BY7,CZ7),0)</f>
        <v>52.3</v>
      </c>
      <c r="Q7" s="13" t="str">
        <f>IF(P7="","",IF(P7=CZ7,$CA$1,IF(P7=BY7,$AZ$1,IF(P7=AX7,$Y$1,""))))</f>
        <v>2022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14.8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2021 World Cup ITA/Olympic Technical Trial (June 4/9)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15.45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/>
      </c>
      <c r="V7" s="13">
        <f>IF(MAX(DB7,DC7)&gt;0,MAX(DB7,DC7),"")</f>
        <v>2.3599999999999994</v>
      </c>
      <c r="W7" s="16" t="str">
        <f>IF(V7="","",IF(V7=DB7,"("&amp;DB$2&amp;")",IF(V7=DC7,"("&amp;DC$2&amp;")")))</f>
        <v>(Final)</v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>2021 World Cup ITA/Olympic Technical Trial (June 4/9)</v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>IF(AA7&gt;0,AA7,"")</f>
        <v>14.2</v>
      </c>
      <c r="AP7" s="74">
        <f>IF(AB7&gt;0,AB7,"")</f>
        <v>15.34</v>
      </c>
      <c r="AQ7" s="76">
        <f>IF(SUM(Y7:AB7)-AC7&gt;0,SUM(Y7:AB7)-AC7,"")</f>
        <v>54.215000000000003</v>
      </c>
      <c r="AR7" s="76">
        <f>IF(AF7&gt;0,AF7,"")</f>
        <v>7.4</v>
      </c>
      <c r="AS7" s="76">
        <f>IF(AG7&gt;0,AG7,"")</f>
        <v>7.67</v>
      </c>
      <c r="AT7" s="76">
        <f>IF(SUM(AD7:AG7)-AH7&gt;0,SUM(AD7:AG7)-AH7,"")</f>
        <v>27.520000000000003</v>
      </c>
      <c r="AU7" s="76">
        <f>IF(AQ7="","",MAX(AQ7,AT7))</f>
        <v>54.215000000000003</v>
      </c>
      <c r="AV7" s="76">
        <f>IF(AK7&gt;0,AK7,"")</f>
        <v>12.649999999999999</v>
      </c>
      <c r="AW7" s="76">
        <f>IF(AL7&gt;0,AL7,"")</f>
        <v>12.940000000000001</v>
      </c>
      <c r="AX7" s="76">
        <f>IF(SUM(AI7:AL7)-AM7&gt;0,SUM(AI7:AL7)-AM7,"")</f>
        <v>46.364999999999995</v>
      </c>
      <c r="AY7" s="76">
        <f>IF(SUM(AU7,AX7)&gt;0,SUM(AU7,AX7),"")</f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15.04</v>
      </c>
      <c r="BR7" s="16">
        <f>IF(SUM(AZ7:BC7)-BD7&gt;0,SUM(AZ7:BC7)-BD7,"")</f>
        <v>52.94</v>
      </c>
      <c r="BS7" s="16">
        <f>IF(BG7&gt;0,BG7,"")</f>
        <v>13.5</v>
      </c>
      <c r="BT7" s="16">
        <f>IF(BH7&gt;0,BH7,"")</f>
        <v>15.045</v>
      </c>
      <c r="BU7" s="16">
        <f>IF(SUM(BE7:BH7)-BI7&gt;0,SUM(BE7:BH7)-BI7,"")</f>
        <v>53.445</v>
      </c>
      <c r="BV7" s="16">
        <f>IF(BR7="","",MAX(BR7,BU7))</f>
        <v>53.445</v>
      </c>
      <c r="BW7" s="16">
        <f>IF(BL7&gt;0,BL7,"")</f>
        <v>14.2</v>
      </c>
      <c r="BX7" s="16">
        <f>IF(BM7&gt;0,BM7,"")</f>
        <v>14.59</v>
      </c>
      <c r="BY7" s="16">
        <f>IF(SUM(BJ7:BM7)-BN7&gt;0,SUM(BJ7:BM7)-BN7,"")</f>
        <v>51.790000000000006</v>
      </c>
      <c r="BZ7" s="16">
        <f>IF(SUM(BV7,BY7)&gt;0,SUM(BV7,BY7),"")</f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>IF(CC7&gt;0,CC7,"")</f>
        <v>14</v>
      </c>
      <c r="CR7" s="74">
        <f>IF(CD7&gt;0,CD7,"")</f>
        <v>14.73</v>
      </c>
      <c r="CS7" s="76">
        <f>IF(SUM(CA7:CD7)-CE7&gt;0,SUM(CA7:CD7)-CE7,"")</f>
        <v>53.430000000000007</v>
      </c>
      <c r="CT7" s="76">
        <f>IF(CH7&gt;0,CH7,"")</f>
        <v>14</v>
      </c>
      <c r="CU7" s="76">
        <f>IF(CI7&gt;0,CI7,"")</f>
        <v>14.85</v>
      </c>
      <c r="CV7" s="76">
        <f>IF(SUM(CF7:CI7)-CJ7&gt;0,SUM(CF7:CI7)-CJ7,"")</f>
        <v>53.550000000000004</v>
      </c>
      <c r="CW7" s="76">
        <f>IF(CS7="","",MAX(CS7,CV7))</f>
        <v>53.550000000000004</v>
      </c>
      <c r="CX7" s="76">
        <f>IF(CM7&gt;0,CM7,"")</f>
        <v>14</v>
      </c>
      <c r="CY7" s="76">
        <f>IF(CN7&gt;0,CN7,"")</f>
        <v>14.5</v>
      </c>
      <c r="CZ7" s="76">
        <f>IF(SUM(CK7:CN7)-CO7&gt;0,SUM(CK7:CN7)-CO7,"")</f>
        <v>52.3</v>
      </c>
      <c r="DA7" s="76">
        <f>IF(SUM(CW7,CZ7)&gt;0,SUM(CW7,CZ7),"")</f>
        <v>105.85</v>
      </c>
      <c r="DB7" s="87">
        <f>IF(L7&gt;=0.001,IF(MAX(ED7,FL7,GT7,IB7,JJ7,KR7,LZ7,NH7,OP7,PX7,RF7,SN7)-IF(L7="",0,L7)&gt;0.001,MAX(ED7,FL7,GT7,IB7,JJ7,KR7,LZ7,NH7,OP7,PX7,RF7,SN7)-IF(L7="",0,L7),""),"")</f>
        <v>2.1999999999999957</v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2.3599999999999994</v>
      </c>
      <c r="DD7" s="25">
        <v>15.8</v>
      </c>
      <c r="DE7" s="25">
        <v>9.6999999999999993</v>
      </c>
      <c r="DF7" s="25">
        <v>14.8</v>
      </c>
      <c r="DG7" s="25">
        <v>15.45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>
        <v>15.5</v>
      </c>
      <c r="DT7" s="25">
        <v>9.1999999999999993</v>
      </c>
      <c r="DU7" s="25">
        <v>14.8</v>
      </c>
      <c r="DV7" s="25">
        <v>15.16</v>
      </c>
      <c r="DW7" s="25">
        <v>0</v>
      </c>
      <c r="DX7" s="76">
        <f>IF(DF7&gt;0,DF7,"")</f>
        <v>14.8</v>
      </c>
      <c r="DY7" s="76">
        <f>IF(DG7&gt;0,DG7,"")</f>
        <v>15.45</v>
      </c>
      <c r="DZ7" s="76">
        <f>IF(SUM(DD7:DG7)-DH7&gt;0,SUM(DD7:DG7)-DH7,"")</f>
        <v>55.75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55.75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>
        <f>IF(DU7&gt;0,DU7,"")</f>
        <v>14.8</v>
      </c>
      <c r="EI7" s="76">
        <f>IF(DV7&gt;0,DV7,"")</f>
        <v>15.16</v>
      </c>
      <c r="EJ7" s="76">
        <f>IF(SUM(DS7:DV7)-DW7&gt;0,SUM(DS7:DV7)-DW7,"")</f>
        <v>54.66</v>
      </c>
      <c r="EK7" s="76">
        <f>IF(SUM(ED7,EJ7)&gt;0,SUM(ED7,EJ7),"")</f>
        <v>110.41</v>
      </c>
      <c r="EL7" s="26">
        <v>2.8</v>
      </c>
      <c r="EM7" s="26">
        <v>1.7</v>
      </c>
      <c r="EN7" s="26">
        <v>3.4</v>
      </c>
      <c r="EO7" s="26">
        <v>3.31</v>
      </c>
      <c r="EP7" s="26">
        <v>0</v>
      </c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>
        <f>IF(EN7&gt;0,EN7,"")</f>
        <v>3.4</v>
      </c>
      <c r="FG7" s="16">
        <f>IF(EO7&gt;0,EO7,"")</f>
        <v>3.31</v>
      </c>
      <c r="FH7" s="16">
        <f>IF(SUM(EL7:EO7)-EP7&gt;0,SUM(EL7:EO7)-EP7,"")</f>
        <v>11.21</v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>
        <f>IF(MAX(FH7,FK7)&gt;0,MAX(FH7,FK7),"")</f>
        <v>11.21</v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>
        <f>IF(SUM(FL7,FR7)&gt;0,SUM(FL7,FR7),"")</f>
        <v>11.21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>
        <v>14.1</v>
      </c>
      <c r="MI7" s="26">
        <v>9.1999999999999993</v>
      </c>
      <c r="MJ7" s="26">
        <v>14</v>
      </c>
      <c r="MK7" s="26">
        <v>14.28</v>
      </c>
      <c r="ML7" s="26">
        <v>0</v>
      </c>
      <c r="MM7" s="26">
        <v>15.1</v>
      </c>
      <c r="MN7" s="26">
        <v>9.1</v>
      </c>
      <c r="MO7" s="26">
        <v>14</v>
      </c>
      <c r="MP7" s="26">
        <v>14.41</v>
      </c>
      <c r="MQ7" s="26">
        <v>0</v>
      </c>
      <c r="MR7" s="26">
        <v>14.2</v>
      </c>
      <c r="MS7" s="26">
        <v>9.1</v>
      </c>
      <c r="MT7" s="26">
        <v>14</v>
      </c>
      <c r="MU7" s="26">
        <v>13.89</v>
      </c>
      <c r="MV7" s="26">
        <v>0</v>
      </c>
      <c r="MW7" s="26"/>
      <c r="MX7" s="26"/>
      <c r="MY7" s="26"/>
      <c r="MZ7" s="26"/>
      <c r="NA7" s="26"/>
      <c r="NB7" s="16">
        <f>IF(MJ7&gt;0,MJ7,"")</f>
        <v>14</v>
      </c>
      <c r="NC7" s="16">
        <f>IF(MK7&gt;0,MK7,"")</f>
        <v>14.28</v>
      </c>
      <c r="ND7" s="16">
        <f>IF(SUM(MH7:MK7)-ML7&gt;0,SUM(MH7:MK7)-ML7,"")</f>
        <v>51.58</v>
      </c>
      <c r="NE7" s="16">
        <f>IF(MO7&gt;0,MO7,"")</f>
        <v>14</v>
      </c>
      <c r="NF7" s="16">
        <f>IF(MP7&gt;0,MP7,"")</f>
        <v>14.41</v>
      </c>
      <c r="NG7" s="16">
        <f>IF(SUM(MM7:MP7)-MQ7&gt;0,SUM(MM7:MP7)-MQ7,"")</f>
        <v>52.61</v>
      </c>
      <c r="NH7" s="16">
        <f>IF(MAX(ND7,NG7)&gt;0,MAX(ND7,NG7),"")</f>
        <v>52.61</v>
      </c>
      <c r="NI7" s="16">
        <f>IF(MT7&gt;0,MT7,"")</f>
        <v>14</v>
      </c>
      <c r="NJ7" s="16">
        <f>IF(MU7&gt;0,MU7,"")</f>
        <v>13.89</v>
      </c>
      <c r="NK7" s="16">
        <f>IF(SUM(MR7:MU7)-MV7&gt;0,SUM(MR7:MU7)-MV7,"")</f>
        <v>51.19</v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>
        <f>IF(SUM(NH7,NN7)&gt;0,SUM(NH7,NN7),"")</f>
        <v>52.61</v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14.95</v>
      </c>
      <c r="SW7" s="42">
        <f>IF($CP7="P",CB7,(CB7+BA7)/2)</f>
        <v>9.35</v>
      </c>
      <c r="SX7" s="42">
        <f>IF($CP7="P",CC7,(CC7+BB7)/2)</f>
        <v>14</v>
      </c>
      <c r="SY7" s="42">
        <f>IF($CP7="P",CD7,(CD7+BC7)/2)</f>
        <v>14.885</v>
      </c>
      <c r="SZ7" s="42">
        <f>IF($CP7="P",CE7,(CE7+BD7)/2)</f>
        <v>0</v>
      </c>
      <c r="TA7" s="42">
        <f>IF($CP7="P",CF7,(CF7+BE7)/2)</f>
        <v>15.3</v>
      </c>
      <c r="TB7" s="42">
        <f>IF($CP7="P",CG7,(CG7+BF7)/2)</f>
        <v>9.5</v>
      </c>
      <c r="TC7" s="42">
        <f>IF($CP7="P",CH7,(CH7+BG7)/2)</f>
        <v>13.75</v>
      </c>
      <c r="TD7" s="42">
        <f>IF($CP7="P",CI7,(CI7+BH7)/2)</f>
        <v>14.9475</v>
      </c>
      <c r="TE7" s="42">
        <f>IF($CP7="P",CJ7,(CJ7+BI7)/2)</f>
        <v>0</v>
      </c>
      <c r="TF7" s="42">
        <f>IF($CP7="P",CK7,(CK7+BJ7)/2)</f>
        <v>14.2</v>
      </c>
      <c r="TG7" s="42">
        <f>IF($CP7="P",CL7,(CL7+BK7)/2)</f>
        <v>9.1999999999999993</v>
      </c>
      <c r="TH7" s="42">
        <f>IF($CP7="P",CM7,(CM7+BL7)/2)</f>
        <v>14.1</v>
      </c>
      <c r="TI7" s="42">
        <f>IF($CP7="P",CN7,(CN7+BM7)/2)</f>
        <v>14.545</v>
      </c>
      <c r="TJ7" s="42">
        <f>IF($CP7="P",CO7,(CO7+BN7)/2)</f>
        <v>0</v>
      </c>
      <c r="TK7" s="51" t="s">
        <v>61</v>
      </c>
      <c r="TL7" s="76">
        <f>IF(SX7&gt;0,SX7,"")</f>
        <v>14</v>
      </c>
      <c r="TM7" s="76">
        <f>IF(SY7&gt;0,SY7,"")</f>
        <v>14.885</v>
      </c>
      <c r="TN7" s="76">
        <f>IF(SUM(SV7:SY7)-SZ7&gt;0,SUM(SV7:SY7)-SZ7,"")</f>
        <v>53.184999999999995</v>
      </c>
      <c r="TO7" s="76">
        <f>IF(TC7&gt;0,TC7,"")</f>
        <v>13.75</v>
      </c>
      <c r="TP7" s="76">
        <f>IF(TD7&gt;0,TD7,"")</f>
        <v>14.9475</v>
      </c>
      <c r="TQ7" s="76">
        <f>IF(SUM(TA7:TD7)-TE7&gt;0,SUM(TA7:TD7)-TE7,"")</f>
        <v>53.497499999999995</v>
      </c>
      <c r="TR7" s="76">
        <f>IF(MAX(TN7,TQ7)&gt;0,MAX(TN7,TQ7),"")</f>
        <v>53.497499999999995</v>
      </c>
      <c r="TS7" s="76">
        <f>IF(TH7&gt;0,TH7,"")</f>
        <v>14.1</v>
      </c>
      <c r="TT7" s="76">
        <f>IF(TI7&gt;0,TI7,"")</f>
        <v>14.545</v>
      </c>
      <c r="TU7" s="76">
        <f>IF(SUM(TF7:TI7)-TJ7&gt;0,SUM(TF7:TI7)-TJ7,"")</f>
        <v>52.045000000000002</v>
      </c>
      <c r="TV7" s="76">
        <f>IF(SUM(TR7,TU7)&gt;0,SUM(TR7,TU7),"")</f>
        <v>105.54249999999999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>SUM(J8:V8)+SUM(J8:T8)*0.0000001+SUM(J8)*0.0000000000001</f>
        <v>235.09002350900525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52.75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52.534999999999997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50.684999999999995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51.984999999999999</v>
      </c>
      <c r="Q8" s="13" t="str">
        <f>IF(P8="","",IF(P8=CZ8,$CA$1,IF(P8=BY8,$AZ$1,IF(P8=AX8,$Y$1,""))))</f>
        <v>2021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12.2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14.935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>IF(AA8&gt;0,AA8,"")</f>
        <v>11.5</v>
      </c>
      <c r="AP8" s="74">
        <f>IF(AB8&gt;0,AB8,"")</f>
        <v>14.85</v>
      </c>
      <c r="AQ8" s="76">
        <f>IF(SUM(Y8:AB8)-AC8&gt;0,SUM(Y8:AB8)-AC8,"")</f>
        <v>52.75</v>
      </c>
      <c r="AR8" s="76">
        <f>IF(AF8&gt;0,AF8,"")</f>
        <v>12.2</v>
      </c>
      <c r="AS8" s="76">
        <f>IF(AG8&gt;0,AG8,"")</f>
        <v>14.585000000000001</v>
      </c>
      <c r="AT8" s="76">
        <f>IF(SUM(AD8:AG8)-AH8&gt;0,SUM(AD8:AG8)-AH8,"")</f>
        <v>50.684999999999995</v>
      </c>
      <c r="AU8" s="76">
        <f>IF(AQ8="","",MAX(AQ8,AT8))</f>
        <v>52.75</v>
      </c>
      <c r="AV8" s="76">
        <f>IF(AK8&gt;0,AK8,"")</f>
        <v>12.2</v>
      </c>
      <c r="AW8" s="76">
        <f>IF(AL8&gt;0,AL8,"")</f>
        <v>14.585000000000001</v>
      </c>
      <c r="AX8" s="76">
        <f>IF(SUM(AI8:AL8)-AM8&gt;0,SUM(AI8:AL8)-AM8,"")</f>
        <v>51.984999999999999</v>
      </c>
      <c r="AY8" s="76">
        <f>IF(SUM(AU8,AX8)&gt;0,SUM(AU8,AX8),"")</f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>IF(BB8&gt;0,BB8,"")</f>
        <v>10.6</v>
      </c>
      <c r="BQ8" s="75">
        <f>IF(BC8&gt;0,BC8,"")</f>
        <v>14.8</v>
      </c>
      <c r="BR8" s="16">
        <f>IF(SUM(AZ8:BC8)-BD8&gt;0,SUM(AZ8:BC8)-BD8,"")</f>
        <v>49.900000000000006</v>
      </c>
      <c r="BS8" s="16">
        <f>IF(BG8&gt;0,BG8,"")</f>
        <v>12.2</v>
      </c>
      <c r="BT8" s="16">
        <f>IF(BH8&gt;0,BH8,"")</f>
        <v>14.935</v>
      </c>
      <c r="BU8" s="16">
        <f>IF(SUM(BE8:BH8)-BI8&gt;0,SUM(BE8:BH8)-BI8,"")</f>
        <v>52.534999999999997</v>
      </c>
      <c r="BV8" s="16">
        <f>IF(BR8="","",MAX(BR8,BU8))</f>
        <v>52.534999999999997</v>
      </c>
      <c r="BW8" s="16">
        <f>IF(BL8&gt;0,BL8,"")</f>
        <v>11</v>
      </c>
      <c r="BX8" s="16">
        <f>IF(BM8&gt;0,BM8,"")</f>
        <v>12.05</v>
      </c>
      <c r="BY8" s="16">
        <f>IF(SUM(BJ8:BM8)-BN8&gt;0,SUM(BJ8:BM8)-BN8,"")</f>
        <v>44.849999999999994</v>
      </c>
      <c r="BZ8" s="16">
        <f>IF(SUM(BV8,BY8)&gt;0,SUM(BV8,BY8),"")</f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7.85</v>
      </c>
      <c r="SW8" s="42">
        <f>IF($CP8="P",CB8,(CB8+BA8)/2)</f>
        <v>4.4000000000000004</v>
      </c>
      <c r="SX8" s="42">
        <f>IF($CP8="P",CC8,(CC8+BB8)/2)</f>
        <v>5.3</v>
      </c>
      <c r="SY8" s="42">
        <f>IF($CP8="P",CD8,(CD8+BC8)/2)</f>
        <v>7.4</v>
      </c>
      <c r="SZ8" s="42">
        <f>IF($CP8="P",CE8,(CE8+BD8)/2)</f>
        <v>0</v>
      </c>
      <c r="TA8" s="42">
        <f>IF($CP8="P",CF8,(CF8+BE8)/2)</f>
        <v>8.1999999999999993</v>
      </c>
      <c r="TB8" s="42">
        <f>IF($CP8="P",CG8,(CG8+BF8)/2)</f>
        <v>4.5</v>
      </c>
      <c r="TC8" s="42">
        <f>IF($CP8="P",CH8,(CH8+BG8)/2)</f>
        <v>6.1</v>
      </c>
      <c r="TD8" s="42">
        <f>IF($CP8="P",CI8,(CI8+BH8)/2)</f>
        <v>7.4675000000000002</v>
      </c>
      <c r="TE8" s="42">
        <f>IF($CP8="P",CJ8,(CJ8+BI8)/2)</f>
        <v>0</v>
      </c>
      <c r="TF8" s="42">
        <f>IF($CP8="P",CK8,(CK8+BJ8)/2)</f>
        <v>6.8</v>
      </c>
      <c r="TG8" s="42">
        <f>IF($CP8="P",CL8,(CL8+BK8)/2)</f>
        <v>4.0999999999999996</v>
      </c>
      <c r="TH8" s="42">
        <f>IF($CP8="P",CM8,(CM8+BL8)/2)</f>
        <v>5.5</v>
      </c>
      <c r="TI8" s="42">
        <f>IF($CP8="P",CN8,(CN8+BM8)/2)</f>
        <v>6.0250000000000004</v>
      </c>
      <c r="TJ8" s="42">
        <f>IF($CP8="P",CO8,(CO8+BN8)/2)</f>
        <v>0</v>
      </c>
      <c r="TK8" s="51" t="s">
        <v>61</v>
      </c>
      <c r="TL8" s="76">
        <f>IF(SX8&gt;0,SX8,"")</f>
        <v>5.3</v>
      </c>
      <c r="TM8" s="76">
        <f>IF(SY8&gt;0,SY8,"")</f>
        <v>7.4</v>
      </c>
      <c r="TN8" s="76">
        <f>IF(SUM(SV8:SY8)-SZ8&gt;0,SUM(SV8:SY8)-SZ8,"")</f>
        <v>24.950000000000003</v>
      </c>
      <c r="TO8" s="76">
        <f>IF(TC8&gt;0,TC8,"")</f>
        <v>6.1</v>
      </c>
      <c r="TP8" s="76">
        <f>IF(TD8&gt;0,TD8,"")</f>
        <v>7.4675000000000002</v>
      </c>
      <c r="TQ8" s="76">
        <f>IF(SUM(TA8:TD8)-TE8&gt;0,SUM(TA8:TD8)-TE8,"")</f>
        <v>26.267499999999998</v>
      </c>
      <c r="TR8" s="76">
        <f>IF(MAX(TN8,TQ8)&gt;0,MAX(TN8,TQ8),"")</f>
        <v>26.267499999999998</v>
      </c>
      <c r="TS8" s="76">
        <f>IF(TH8&gt;0,TH8,"")</f>
        <v>5.5</v>
      </c>
      <c r="TT8" s="76">
        <f>IF(TI8&gt;0,TI8,"")</f>
        <v>6.0250000000000004</v>
      </c>
      <c r="TU8" s="76">
        <f>IF(SUM(TF8:TI8)-TJ8&gt;0,SUM(TF8:TI8)-TJ8,"")</f>
        <v>22.424999999999997</v>
      </c>
      <c r="TV8" s="76">
        <f>IF(SUM(TR8,TU8)&gt;0,SUM(TR8,TU8),"")</f>
        <v>48.692499999999995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>SUM(J9:V9)+SUM(J9:T9)*0.0000001+SUM(J9)*0.0000000000001</f>
        <v>231.27502312750511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/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50.730000000000004</v>
      </c>
      <c r="M9" s="13" t="str">
        <f>IF(L9="","",IF(OR(L9=CS9,L9=CV9),$CA$1,IF(OR(L9=BR9,L9=BU9),$AZ$1,IF(OR(L9=AQ9,L9=AT9),$Y$1,""))))</f>
        <v>2021 Elite Canada</v>
      </c>
      <c r="N9" s="13">
        <f>IF(COUNT(AQ9,AT9,BR9,BU9,CS9,CV9)&gt;2,LARGE((AQ9,AT9,BR9,BU9,CS9,CV9),3),0)</f>
        <v>49.865000000000002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51.56</v>
      </c>
      <c r="Q9" s="13" t="str">
        <f>IF(P9="","",IF(P9=CZ9,$CA$1,IF(P9=BY9,$AZ$1,IF(P9=AX9,$Y$1,""))))</f>
        <v>2021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14.71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2022 Elite Canada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>IF(AA9&gt;0,AA9,"")</f>
        <v>13.3</v>
      </c>
      <c r="AP9" s="74">
        <f>IF(AB9&gt;0,AB9,"")</f>
        <v>14.365</v>
      </c>
      <c r="AQ9" s="76">
        <f>IF(SUM(Y9:AB9)-AC9&gt;0,SUM(Y9:AB9)-AC9,"")</f>
        <v>49.865000000000002</v>
      </c>
      <c r="AR9" s="76">
        <f>IF(AF9&gt;0,AF9,"")</f>
        <v>13.3</v>
      </c>
      <c r="AS9" s="76">
        <f>IF(AG9&gt;0,AG9,"")</f>
        <v>14.63</v>
      </c>
      <c r="AT9" s="76">
        <f>IF(SUM(AD9:AG9)-AH9&gt;0,SUM(AD9:AG9)-AH9,"")</f>
        <v>50.730000000000004</v>
      </c>
      <c r="AU9" s="76">
        <f>IF(AQ9="","",MAX(AQ9,AT9))</f>
        <v>50.730000000000004</v>
      </c>
      <c r="AV9" s="76">
        <f>IF(AK9&gt;0,AK9,"")</f>
        <v>13.3</v>
      </c>
      <c r="AW9" s="76">
        <f>IF(AL9&gt;0,AL9,"")</f>
        <v>14.66</v>
      </c>
      <c r="AX9" s="76">
        <f>IF(SUM(AI9:AL9)-AM9&gt;0,SUM(AI9:AL9)-AM9,"")</f>
        <v>51.56</v>
      </c>
      <c r="AY9" s="76">
        <f>IF(SUM(AU9,AX9)&gt;0,SUM(AU9,AX9),"")</f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>IF(BB9&gt;0,BB9,"")</f>
        <v>11.9</v>
      </c>
      <c r="BQ9" s="75">
        <f>IF(BC9&gt;0,BC9,"")</f>
        <v>14.21</v>
      </c>
      <c r="BR9" s="16">
        <f>IF(SUM(AZ9:BC9)-BD9&gt;0,SUM(AZ9:BC9)-BD9,"")</f>
        <v>46.410000000000004</v>
      </c>
      <c r="BS9" s="16">
        <f>IF(BG9&gt;0,BG9,"")</f>
        <v>7.1</v>
      </c>
      <c r="BT9" s="16">
        <f>IF(BH9&gt;0,BH9,"")</f>
        <v>7.5949999999999998</v>
      </c>
      <c r="BU9" s="16">
        <f>IF(SUM(BE9:BH9)-BI9&gt;0,SUM(BE9:BH9)-BI9,"")</f>
        <v>25.695</v>
      </c>
      <c r="BV9" s="16">
        <f>IF(BR9="","",MAX(BR9,BU9))</f>
        <v>46.410000000000004</v>
      </c>
      <c r="BW9" s="16">
        <f>IF(BL9&gt;0,BL9,"")</f>
        <v>11.7</v>
      </c>
      <c r="BX9" s="16">
        <f>IF(BM9&gt;0,BM9,"")</f>
        <v>13.29</v>
      </c>
      <c r="BY9" s="16">
        <f>IF(SUM(BJ9:BM9)-BN9&gt;0,SUM(BJ9:BM9)-BN9,"")</f>
        <v>44.19</v>
      </c>
      <c r="BZ9" s="16">
        <f>IF(SUM(BV9,BY9)&gt;0,SUM(BV9,BY9),"")</f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>IF(CC9&gt;0,CC9,"")</f>
        <v>13.3</v>
      </c>
      <c r="CR9" s="74">
        <f>IF(CD9&gt;0,CD9,"")</f>
        <v>14.71</v>
      </c>
      <c r="CS9" s="76">
        <f>IF(SUM(CA9:CD9)-CE9&gt;0,SUM(CA9:CD9)-CE9,"")</f>
        <v>51.01</v>
      </c>
      <c r="CT9" s="76">
        <f>IF(CH9&gt;0,CH9,"")</f>
        <v>13.4</v>
      </c>
      <c r="CU9" s="76">
        <f>IF(CI9&gt;0,CI9,"")</f>
        <v>14.34</v>
      </c>
      <c r="CV9" s="76">
        <f>IF(SUM(CF9:CI9)-CJ9&gt;0,SUM(CF9:CI9)-CJ9,"")</f>
        <v>49.039999999999992</v>
      </c>
      <c r="CW9" s="76">
        <f>IF(CS9="","",MAX(CS9,CV9))</f>
        <v>51.01</v>
      </c>
      <c r="CX9" s="76">
        <f>IF(CM9&gt;0,CM9,"")</f>
        <v>8.1</v>
      </c>
      <c r="CY9" s="76">
        <f>IF(CN9&gt;0,CN9,"")</f>
        <v>8.99</v>
      </c>
      <c r="CZ9" s="76">
        <f>IF(SUM(CK9:CN9)-CO9&gt;0,SUM(CK9:CN9)-CO9,"")</f>
        <v>30.490000000000002</v>
      </c>
      <c r="DA9" s="76">
        <f>IF(SUM(CW9,CZ9)&gt;0,SUM(CW9,CZ9),"")</f>
        <v>81.5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>
        <v>12.8</v>
      </c>
      <c r="LA9" s="25">
        <v>8.6999999999999993</v>
      </c>
      <c r="LB9" s="25">
        <v>11.1</v>
      </c>
      <c r="LC9" s="25">
        <v>14.565</v>
      </c>
      <c r="LD9" s="25">
        <v>0</v>
      </c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>
        <v>3.2</v>
      </c>
      <c r="LP9" s="25">
        <v>1.8</v>
      </c>
      <c r="LQ9" s="25">
        <v>2</v>
      </c>
      <c r="LR9" s="25">
        <v>3.31</v>
      </c>
      <c r="LS9" s="25">
        <v>0</v>
      </c>
      <c r="LT9" s="76">
        <f>IF(LB9&gt;0,LB9,"")</f>
        <v>11.1</v>
      </c>
      <c r="LU9" s="76">
        <f>IF(LC9&gt;0,LC9,"")</f>
        <v>14.565</v>
      </c>
      <c r="LV9" s="76">
        <f>IF(SUM(KZ9:LC9)-LD9&gt;0,SUM(KZ9:LC9)-LD9,"")</f>
        <v>47.164999999999999</v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>
        <f>IF(MAX(LV9,LY9)&gt;0,MAX(LV9,LY9),"")</f>
        <v>47.164999999999999</v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>
        <f>IF(LQ9&gt;0,LQ9,"")</f>
        <v>2</v>
      </c>
      <c r="ME9" s="76">
        <f>IF(LR9&gt;0,LR9,"")</f>
        <v>3.31</v>
      </c>
      <c r="MF9" s="76">
        <f>IF(SUM(LO9:LR9)-LS9&gt;0,SUM(LO9:LR9)-LS9,"")</f>
        <v>10.31</v>
      </c>
      <c r="MG9" s="76">
        <f>IF(SUM(LZ9,MF9)&gt;0,SUM(LZ9,MF9),"")</f>
        <v>57.475000000000001</v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12.7</v>
      </c>
      <c r="SW9" s="42">
        <f>IF($CP9="P",CB9,(CB9+BA9)/2)</f>
        <v>8.9499999999999993</v>
      </c>
      <c r="SX9" s="42">
        <f>IF($CP9="P",CC9,(CC9+BB9)/2)</f>
        <v>12.600000000000001</v>
      </c>
      <c r="SY9" s="42">
        <f>IF($CP9="P",CD9,(CD9+BC9)/2)</f>
        <v>14.46</v>
      </c>
      <c r="SZ9" s="42">
        <f>IF($CP9="P",CE9,(CE9+BD9)/2)</f>
        <v>0</v>
      </c>
      <c r="TA9" s="42">
        <f>IF($CP9="P",CF9,(CF9+BE9)/2)</f>
        <v>9.35</v>
      </c>
      <c r="TB9" s="42">
        <f>IF($CP9="P",CG9,(CG9+BF9)/2)</f>
        <v>6.8</v>
      </c>
      <c r="TC9" s="42">
        <f>IF($CP9="P",CH9,(CH9+BG9)/2)</f>
        <v>10.25</v>
      </c>
      <c r="TD9" s="42">
        <f>IF($CP9="P",CI9,(CI9+BH9)/2)</f>
        <v>10.967499999999999</v>
      </c>
      <c r="TE9" s="42">
        <f>IF($CP9="P",CJ9,(CJ9+BI9)/2)</f>
        <v>0</v>
      </c>
      <c r="TF9" s="42">
        <f>IF($CP9="P",CK9,(CK9+BJ9)/2)</f>
        <v>9.5</v>
      </c>
      <c r="TG9" s="42">
        <f>IF($CP9="P",CL9,(CL9+BK9)/2)</f>
        <v>6.8000000000000007</v>
      </c>
      <c r="TH9" s="42">
        <f>IF($CP9="P",CM9,(CM9+BL9)/2)</f>
        <v>9.8999999999999986</v>
      </c>
      <c r="TI9" s="42">
        <f>IF($CP9="P",CN9,(CN9+BM9)/2)</f>
        <v>11.14</v>
      </c>
      <c r="TJ9" s="42">
        <f>IF($CP9="P",CO9,(CO9+BN9)/2)</f>
        <v>0</v>
      </c>
      <c r="TK9" s="51" t="s">
        <v>61</v>
      </c>
      <c r="TL9" s="76">
        <f>IF(SX9&gt;0,SX9,"")</f>
        <v>12.600000000000001</v>
      </c>
      <c r="TM9" s="76">
        <f>IF(SY9&gt;0,SY9,"")</f>
        <v>14.46</v>
      </c>
      <c r="TN9" s="76">
        <f>IF(SUM(SV9:SY9)-SZ9&gt;0,SUM(SV9:SY9)-SZ9,"")</f>
        <v>48.71</v>
      </c>
      <c r="TO9" s="76">
        <f>IF(TC9&gt;0,TC9,"")</f>
        <v>10.25</v>
      </c>
      <c r="TP9" s="76">
        <f>IF(TD9&gt;0,TD9,"")</f>
        <v>10.967499999999999</v>
      </c>
      <c r="TQ9" s="76">
        <f>IF(SUM(TA9:TD9)-TE9&gt;0,SUM(TA9:TD9)-TE9,"")</f>
        <v>37.3675</v>
      </c>
      <c r="TR9" s="76">
        <f>IF(MAX(TN9,TQ9)&gt;0,MAX(TN9,TQ9),"")</f>
        <v>48.71</v>
      </c>
      <c r="TS9" s="76">
        <f>IF(TH9&gt;0,TH9,"")</f>
        <v>9.8999999999999986</v>
      </c>
      <c r="TT9" s="76">
        <f>IF(TI9&gt;0,TI9,"")</f>
        <v>11.14</v>
      </c>
      <c r="TU9" s="76">
        <f>IF(SUM(TF9:TI9)-TJ9&gt;0,SUM(TF9:TI9)-TJ9,"")</f>
        <v>37.340000000000003</v>
      </c>
      <c r="TV9" s="76">
        <f>IF(SUM(TR9,TU9)&gt;0,SUM(TR9,TU9),"")</f>
        <v>86.050000000000011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7">
        <v>2002</v>
      </c>
      <c r="E10" s="14">
        <f>SUM(J10:V10)+SUM(J10:T10)*0.0000001+SUM(J10)*0.0000000000001</f>
        <v>229.50502295050509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50.795000000000002</v>
      </c>
      <c r="K10" s="13" t="str">
        <f>IF(J10="","",IF(OR(J10=CS10,J10=CV10),$CA$1,IF(OR(J10=BR10,J10=BU10),$AZ$1,IF(OR(J10=AQ10,J10=AT10),$Y$1,""))))</f>
        <v>2021 Elite Canada</v>
      </c>
      <c r="L10" s="13">
        <f>IF(COUNT(AQ10,AT10,BR10,BU10,CS10,CV10)&gt;1,LARGE((AQ10,AT10,BR10,BU10,CS10,CV10),2),0)</f>
        <v>50.564999999999998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49.774999999999999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51.075000000000003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12.9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14.395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2021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/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>IF(AA10&gt;0,AA10,"")</f>
        <v>12.7</v>
      </c>
      <c r="AP10" s="74">
        <f>IF(AB10&gt;0,AB10,"")</f>
        <v>14.395</v>
      </c>
      <c r="AQ10" s="76">
        <f>IF(SUM(Y10:AB10)-AC10&gt;0,SUM(Y10:AB10)-AC10,"")</f>
        <v>50.795000000000002</v>
      </c>
      <c r="AR10" s="76">
        <f>IF(AF10&gt;0,AF10,"")</f>
        <v>12.7</v>
      </c>
      <c r="AS10" s="76">
        <f>IF(AG10&gt;0,AG10,"")</f>
        <v>14.265000000000001</v>
      </c>
      <c r="AT10" s="76">
        <f>IF(SUM(AD10:AG10)-AH10&gt;0,SUM(AD10:AG10)-AH10,"")</f>
        <v>50.564999999999998</v>
      </c>
      <c r="AU10" s="76">
        <f>IF(AQ10="","",MAX(AQ10,AT10))</f>
        <v>50.795000000000002</v>
      </c>
      <c r="AV10" s="76">
        <f>IF(AK10&gt;0,AK10,"")</f>
        <v>11.4</v>
      </c>
      <c r="AW10" s="76">
        <f>IF(AL10&gt;0,AL10,"")</f>
        <v>13.994999999999999</v>
      </c>
      <c r="AX10" s="76">
        <f>IF(SUM(AI10:AL10)-AM10&gt;0,SUM(AI10:AL10)-AM10,"")</f>
        <v>48.294999999999995</v>
      </c>
      <c r="AY10" s="76">
        <f>IF(SUM(AU10,AX10)&gt;0,SUM(AU10,AX10),"")</f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>IF(BB10&gt;0,BB10,"")</f>
        <v>11.2</v>
      </c>
      <c r="BQ10" s="75">
        <f>IF(BC10&gt;0,BC10,"")</f>
        <v>12.154999999999999</v>
      </c>
      <c r="BR10" s="16">
        <f>IF(SUM(AZ10:BC10)-BD10&gt;0,SUM(AZ10:BC10)-BD10,"")</f>
        <v>43.454999999999998</v>
      </c>
      <c r="BS10" s="16">
        <f>IF(BG10&gt;0,BG10,"")</f>
        <v>3.4</v>
      </c>
      <c r="BT10" s="16">
        <f>IF(BH10&gt;0,BH10,"")</f>
        <v>4.4950000000000001</v>
      </c>
      <c r="BU10" s="16">
        <f>IF(SUM(BE10:BH10)-BI10&gt;0,SUM(BE10:BH10)-BI10,"")</f>
        <v>14.795000000000002</v>
      </c>
      <c r="BV10" s="16">
        <f>IF(BR10="","",MAX(BR10,BU10))</f>
        <v>43.454999999999998</v>
      </c>
      <c r="BW10" s="16">
        <f>IF(BL10&gt;0,BL10,"")</f>
        <v>11.5</v>
      </c>
      <c r="BX10" s="16">
        <f>IF(BM10&gt;0,BM10,"")</f>
        <v>12.61</v>
      </c>
      <c r="BY10" s="16">
        <f>IF(SUM(BJ10:BM10)-BN10&gt;0,SUM(BJ10:BM10)-BN10,"")</f>
        <v>44.51</v>
      </c>
      <c r="BZ10" s="16">
        <f>IF(SUM(BV10,BY10)&gt;0,SUM(BV10,BY10),"")</f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>IF(CC10&gt;0,CC10,"")</f>
        <v>12.9</v>
      </c>
      <c r="CR10" s="74">
        <f>IF(CD10&gt;0,CD10,"")</f>
        <v>13.875</v>
      </c>
      <c r="CS10" s="76">
        <f>IF(SUM(CA10:CD10)-CE10&gt;0,SUM(CA10:CD10)-CE10,"")</f>
        <v>49.774999999999999</v>
      </c>
      <c r="CT10" s="76">
        <f>IF(CH10&gt;0,CH10,"")</f>
        <v>4.4000000000000004</v>
      </c>
      <c r="CU10" s="76">
        <f>IF(CI10&gt;0,CI10,"")</f>
        <v>4.3449999999999998</v>
      </c>
      <c r="CV10" s="76">
        <f>IF(SUM(CF10:CI10)-CJ10&gt;0,SUM(CF10:CI10)-CJ10,"")</f>
        <v>15.945</v>
      </c>
      <c r="CW10" s="76">
        <f>IF(CS10="","",MAX(CS10,CV10))</f>
        <v>49.774999999999999</v>
      </c>
      <c r="CX10" s="76">
        <f>IF(CM10&gt;0,CM10,"")</f>
        <v>12.9</v>
      </c>
      <c r="CY10" s="76">
        <f>IF(CN10&gt;0,CN10,"")</f>
        <v>14.074999999999999</v>
      </c>
      <c r="CZ10" s="76">
        <f>IF(SUM(CK10:CN10)-CO10&gt;0,SUM(CK10:CN10)-CO10,"")</f>
        <v>51.075000000000003</v>
      </c>
      <c r="DA10" s="76">
        <f>IF(SUM(CW10,CZ10)&gt;0,SUM(CW10,CZ10),"")</f>
        <v>100.85</v>
      </c>
      <c r="DB10" s="87" t="str">
        <f>IF(L10&gt;=0.001,IF(MAX(ED10,FL10,GT10,IB10,JJ10,KR10,LZ10,NH10,OP10,PX10,RF10,SN10)-IF(L10="",0,L10)&gt;0.001,MAX(ED10,FL10,GT10,IB10,JJ10,KR10,LZ10,NH10,OP10,PX10,RF10,SN10)-IF(L10="",0,L10),""),"")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>
        <v>14.5</v>
      </c>
      <c r="JS10" s="26">
        <v>8.9</v>
      </c>
      <c r="JT10" s="26">
        <v>10.7</v>
      </c>
      <c r="JU10" s="26">
        <v>13.74</v>
      </c>
      <c r="JV10" s="26">
        <v>0</v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>
        <f>IF(JT10&gt;0,JT10,"")</f>
        <v>10.7</v>
      </c>
      <c r="KM10" s="16">
        <f>IF(JU10&gt;0,JU10,"")</f>
        <v>13.74</v>
      </c>
      <c r="KN10" s="16">
        <f>IF(SUM(JR10:JU10)-JV10&gt;0,SUM(JR10:JU10)-JV10,"")</f>
        <v>47.839999999999996</v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>
        <f>IF(MAX(KN10,KQ10)&gt;0,MAX(KN10,KQ10),"")</f>
        <v>47.839999999999996</v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>
        <f>IF(SUM(KR10,KX10)&gt;0,SUM(KR10,KX10),"")</f>
        <v>47.839999999999996</v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12.95</v>
      </c>
      <c r="SW10" s="42">
        <f>IF($CP10="P",CB10,(CB10+BA10)/2)</f>
        <v>8.6000000000000014</v>
      </c>
      <c r="SX10" s="42">
        <f>IF($CP10="P",CC10,(CC10+BB10)/2)</f>
        <v>12.05</v>
      </c>
      <c r="SY10" s="42">
        <f>IF($CP10="P",CD10,(CD10+BC10)/2)</f>
        <v>13.015000000000001</v>
      </c>
      <c r="SZ10" s="42">
        <f>IF($CP10="P",CE10,(CE10+BD10)/2)</f>
        <v>0</v>
      </c>
      <c r="TA10" s="42">
        <f>IF($CP10="P",CF10,(CF10+BE10)/2)</f>
        <v>4.3000000000000007</v>
      </c>
      <c r="TB10" s="42">
        <f>IF($CP10="P",CG10,(CG10+BF10)/2)</f>
        <v>2.75</v>
      </c>
      <c r="TC10" s="42">
        <f>IF($CP10="P",CH10,(CH10+BG10)/2)</f>
        <v>3.9000000000000004</v>
      </c>
      <c r="TD10" s="42">
        <f>IF($CP10="P",CI10,(CI10+BH10)/2)</f>
        <v>4.42</v>
      </c>
      <c r="TE10" s="42">
        <f>IF($CP10="P",CJ10,(CJ10+BI10)/2)</f>
        <v>0</v>
      </c>
      <c r="TF10" s="42">
        <f>IF($CP10="P",CK10,(CK10+BJ10)/2)</f>
        <v>13.55</v>
      </c>
      <c r="TG10" s="42">
        <f>IF($CP10="P",CL10,(CL10+BK10)/2)</f>
        <v>8.6999999999999993</v>
      </c>
      <c r="TH10" s="42">
        <f>IF($CP10="P",CM10,(CM10+BL10)/2)</f>
        <v>12.2</v>
      </c>
      <c r="TI10" s="42">
        <f>IF($CP10="P",CN10,(CN10+BM10)/2)</f>
        <v>13.342499999999999</v>
      </c>
      <c r="TJ10" s="42">
        <f>IF($CP10="P",CO10,(CO10+BN10)/2)</f>
        <v>0</v>
      </c>
      <c r="TK10" s="51" t="s">
        <v>61</v>
      </c>
      <c r="TL10" s="76">
        <f>IF(SX10&gt;0,SX10,"")</f>
        <v>12.05</v>
      </c>
      <c r="TM10" s="76">
        <f>IF(SY10&gt;0,SY10,"")</f>
        <v>13.015000000000001</v>
      </c>
      <c r="TN10" s="76">
        <f>IF(SUM(SV10:SY10)-SZ10&gt;0,SUM(SV10:SY10)-SZ10,"")</f>
        <v>46.615000000000002</v>
      </c>
      <c r="TO10" s="76">
        <f>IF(TC10&gt;0,TC10,"")</f>
        <v>3.9000000000000004</v>
      </c>
      <c r="TP10" s="76">
        <f>IF(TD10&gt;0,TD10,"")</f>
        <v>4.42</v>
      </c>
      <c r="TQ10" s="76">
        <f>IF(SUM(TA10:TD10)-TE10&gt;0,SUM(TA10:TD10)-TE10,"")</f>
        <v>15.370000000000001</v>
      </c>
      <c r="TR10" s="76">
        <f>IF(MAX(TN10,TQ10)&gt;0,MAX(TN10,TQ10),"")</f>
        <v>46.615000000000002</v>
      </c>
      <c r="TS10" s="76">
        <f>IF(TH10&gt;0,TH10,"")</f>
        <v>12.2</v>
      </c>
      <c r="TT10" s="76">
        <f>IF(TI10&gt;0,TI10,"")</f>
        <v>13.342499999999999</v>
      </c>
      <c r="TU10" s="76">
        <f>IF(SUM(TF10:TI10)-TJ10&gt;0,SUM(TF10:TI10)-TJ10,"")</f>
        <v>47.792500000000004</v>
      </c>
      <c r="TV10" s="76">
        <f>IF(SUM(TR10,TU10)&gt;0,SUM(TR10,TU10),"")</f>
        <v>94.407499999999999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18">
        <v>1988</v>
      </c>
      <c r="E11" s="14">
        <f>SUM(J11:V11)+SUM(J11:T11)*0.0000001+SUM(J11)*0.0000000000001</f>
        <v>195.75001921500547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Merit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>P</v>
      </c>
      <c r="J11" s="13">
        <f>IF(COUNT(AQ11,AT11,BR11,BU11,CS11,CV11)&gt;0,LARGE((AQ11,AT11,BR11,BU11,CS11,CV11),1),0)</f>
        <v>54.330000000000005</v>
      </c>
      <c r="K11" s="13" t="str">
        <f>IF(J11="","",IF(OR(J11=CS11,J11=CV11),$CA$1,IF(OR(J11=BR11,J11=BU11),$AZ$1,IF(OR(J11=AQ11,J11=AT11),$Y$1,""))))</f>
        <v>2021 Elite Canada</v>
      </c>
      <c r="L11" s="13">
        <f>IF(COUNT(AQ11,AT11,BR11,BU11,CS11,CV11)&gt;1,LARGE((AQ11,AT11,BR11,BU11,CS11,CV11),2),0)</f>
        <v>51.995000000000005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54.994999999999997</v>
      </c>
      <c r="Q11" s="13" t="str">
        <f>IF(P11="","",IF(P11=CZ11,$CA$1,IF(P11=BY11,$AZ$1,IF(P11=AX11,$Y$1,""))))</f>
        <v>2021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2020 Olympic Games (July 30, 2021)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15.93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>
        <f>IF(MAX(DB11,DC11)&gt;0,MAX(DB11,DC11),"")</f>
        <v>3.5999999999999943</v>
      </c>
      <c r="W11" s="16" t="str">
        <f>IF(V11="","",IF(V11=DB11,"("&amp;DB$2&amp;")",IF(V11=DC11,"("&amp;DC$2&amp;")")))</f>
        <v>(Prelim)</v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>IF(AA11&gt;0,AA11,"")</f>
        <v>11.8</v>
      </c>
      <c r="AP11" s="74">
        <f>IF(AB11&gt;0,AB11,"")</f>
        <v>16.395</v>
      </c>
      <c r="AQ11" s="76">
        <f>IF(SUM(Y11:AB11)-AC11&gt;0,SUM(Y11:AB11)-AC11,"")</f>
        <v>51.995000000000005</v>
      </c>
      <c r="AR11" s="76">
        <f>IF(AF11&gt;0,AF11,"")</f>
        <v>13.3</v>
      </c>
      <c r="AS11" s="76">
        <f>IF(AG11&gt;0,AG11,"")</f>
        <v>15.93</v>
      </c>
      <c r="AT11" s="76">
        <f>IF(SUM(AD11:AG11)-AH11&gt;0,SUM(AD11:AG11)-AH11,"")</f>
        <v>54.330000000000005</v>
      </c>
      <c r="AU11" s="76">
        <f>IF(AQ11="","",MAX(AQ11,AT11))</f>
        <v>54.330000000000005</v>
      </c>
      <c r="AV11" s="76">
        <f>IF(AK11&gt;0,AK11,"")</f>
        <v>13.6</v>
      </c>
      <c r="AW11" s="76">
        <f>IF(AL11&gt;0,AL11,"")</f>
        <v>15.595000000000001</v>
      </c>
      <c r="AX11" s="76">
        <f>IF(SUM(AI11:AL11)-AM11&gt;0,SUM(AI11:AL11)-AM11,"")</f>
        <v>54.994999999999997</v>
      </c>
      <c r="AY11" s="76">
        <f>IF(SUM(AU11,AX11)&gt;0,SUM(AU11,AX11),"")</f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>
        <f>IF(L11&gt;=0.001,IF(MAX(ED11,FL11,GT11,IB11,JJ11,KR11,LZ11,NH11,OP11,PX11,RF11,SN11)-IF(L11="",0,L11)&gt;0.001,MAX(ED11,FL11,GT11,IB11,JJ11,KR11,LZ11,NH11,OP11,PX11,RF11,SN11)-IF(L11="",0,L11),""),"")</f>
        <v>3.5999999999999943</v>
      </c>
      <c r="DC11" s="87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>0.46499999999999631</v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>
        <v>15.5</v>
      </c>
      <c r="EM11" s="26">
        <v>9.5</v>
      </c>
      <c r="EN11" s="26">
        <v>14.9</v>
      </c>
      <c r="EO11" s="26">
        <v>15.695</v>
      </c>
      <c r="EP11" s="26">
        <v>0</v>
      </c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>
        <v>15.6</v>
      </c>
      <c r="FB11" s="26">
        <v>9.1999999999999993</v>
      </c>
      <c r="FC11" s="26">
        <v>14.9</v>
      </c>
      <c r="FD11" s="26">
        <v>15.76</v>
      </c>
      <c r="FE11" s="26">
        <v>0</v>
      </c>
      <c r="FF11" s="16">
        <f>IF(EN11&gt;0,EN11,"")</f>
        <v>14.9</v>
      </c>
      <c r="FG11" s="16">
        <f>IF(EO11&gt;0,EO11,"")</f>
        <v>15.695</v>
      </c>
      <c r="FH11" s="16">
        <f>IF(SUM(EL11:EO11)-EP11&gt;0,SUM(EL11:EO11)-EP11,"")</f>
        <v>55.594999999999999</v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>
        <f>IF(MAX(FH11,FK11)&gt;0,MAX(FH11,FK11),"")</f>
        <v>55.594999999999999</v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>
        <f>IF(FC11&gt;0,FC11,"")</f>
        <v>14.9</v>
      </c>
      <c r="FQ11" s="16">
        <f>IF(FD11&gt;0,FD11,"")</f>
        <v>15.76</v>
      </c>
      <c r="FR11" s="16">
        <f>IF(SUM(FA11:FD11)-FE11&gt;0,SUM(FA11:FD11)-FE11,"")</f>
        <v>55.459999999999994</v>
      </c>
      <c r="FS11" s="16">
        <f>IF(SUM(FL11,FR11)&gt;0,SUM(FL11,FR11),"")</f>
        <v>111.05499999999999</v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0</v>
      </c>
      <c r="SW11" s="42">
        <f>IF($CP11="P",CB11,(CB11+BA11)/2)</f>
        <v>0</v>
      </c>
      <c r="SX11" s="42">
        <f>IF($CP11="P",CC11,(CC11+BB11)/2)</f>
        <v>0</v>
      </c>
      <c r="SY11" s="42">
        <f>IF($CP11="P",CD11,(CD11+BC11)/2)</f>
        <v>0</v>
      </c>
      <c r="SZ11" s="42">
        <f>IF($CP11="P",CE11,(CE11+BD11)/2)</f>
        <v>0</v>
      </c>
      <c r="TA11" s="42">
        <f>IF($CP11="P",CF11,(CF11+BE11)/2)</f>
        <v>0</v>
      </c>
      <c r="TB11" s="42">
        <f>IF($CP11="P",CG11,(CG11+BF11)/2)</f>
        <v>0</v>
      </c>
      <c r="TC11" s="42">
        <f>IF($CP11="P",CH11,(CH11+BG11)/2)</f>
        <v>0</v>
      </c>
      <c r="TD11" s="42">
        <f>IF($CP11="P",CI11,(CI11+BH11)/2)</f>
        <v>0</v>
      </c>
      <c r="TE11" s="42">
        <f>IF($CP11="P",CJ11,(CJ11+BI11)/2)</f>
        <v>0</v>
      </c>
      <c r="TF11" s="42">
        <f>IF($CP11="P",CK11,(CK11+BJ11)/2)</f>
        <v>0</v>
      </c>
      <c r="TG11" s="42">
        <f>IF($CP11="P",CL11,(CL11+BK11)/2)</f>
        <v>0</v>
      </c>
      <c r="TH11" s="42">
        <f>IF($CP11="P",CM11,(CM11+BL11)/2)</f>
        <v>0</v>
      </c>
      <c r="TI11" s="42">
        <f>IF($CP11="P",CN11,(CN11+BM11)/2)</f>
        <v>0</v>
      </c>
      <c r="TJ11" s="42">
        <f>IF($CP11="P",CO11,(CO11+BN11)/2)</f>
        <v>0</v>
      </c>
      <c r="TK11" s="51" t="s">
        <v>61</v>
      </c>
      <c r="TL11" s="76" t="str">
        <f>IF(SX11&gt;0,SX11,"")</f>
        <v/>
      </c>
      <c r="TM11" s="76" t="str">
        <f>IF(SY11&gt;0,SY11,"")</f>
        <v/>
      </c>
      <c r="TN11" s="76" t="str">
        <f>IF(SUM(SV11:SY11)-SZ11&gt;0,SUM(SV11:SY11)-SZ11,"")</f>
        <v/>
      </c>
      <c r="TO11" s="76" t="str">
        <f>IF(TC11&gt;0,TC11,"")</f>
        <v/>
      </c>
      <c r="TP11" s="76" t="str">
        <f>IF(TD11&gt;0,TD11,"")</f>
        <v/>
      </c>
      <c r="TQ11" s="76" t="str">
        <f>IF(SUM(TA11:TD11)-TE11&gt;0,SUM(TA11:TD11)-TE11,"")</f>
        <v/>
      </c>
      <c r="TR11" s="76" t="str">
        <f>IF(MAX(TN11,TQ11)&gt;0,MAX(TN11,TQ11),"")</f>
        <v/>
      </c>
      <c r="TS11" s="76" t="str">
        <f>IF(TH11&gt;0,TH11,"")</f>
        <v/>
      </c>
      <c r="TT11" s="76" t="str">
        <f>IF(TI11&gt;0,TI11,"")</f>
        <v/>
      </c>
      <c r="TU11" s="76" t="str">
        <f>IF(SUM(TF11:TI11)-TJ11&gt;0,SUM(TF11:TI11)-TJ11,"")</f>
        <v/>
      </c>
      <c r="TV11" s="76" t="str">
        <f>IF(SUM(TR11,TU11)&gt;0,SUM(TR11,TU11),"")</f>
        <v/>
      </c>
    </row>
    <row r="12" spans="1:542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18">
        <v>1993</v>
      </c>
      <c r="E12" s="14">
        <f>SUM(J12:V12)+SUM(J12:T12)*0.0000001+SUM(J12)*0.0000000000001</f>
        <v>218.04502180450518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/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/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51.94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51.94</v>
      </c>
      <c r="M12" s="13" t="str">
        <f>IF(L12="","",IF(OR(L12=CS12,L12=CV12),$CA$1,IF(OR(L12=BR12,L12=BU12),$AZ$1,IF(OR(L12=AQ12,L12=AT12),$Y$1,""))))</f>
        <v>2021 Canadian Championships</v>
      </c>
      <c r="N12" s="13">
        <f>IF(COUNT(AQ12,AT12,BR12,BU12,CS12,CV12)&gt;2,LARGE((AQ12,AT12,BR12,BU12,CS12,CV12),3),0)</f>
        <v>51.564999999999998</v>
      </c>
      <c r="O12" s="13" t="str">
        <f>IF(N12="","",IF(OR(N12=CS12,N12=CV12),$CA$1,IF(OR(N12=BR12,N12=BU12),$AZ$1,IF(OR(N12=AQ12,N12=AT12),$Y$1,""))))</f>
        <v>2021 Canadian Championships</v>
      </c>
      <c r="P12" s="13">
        <f>IF(MAX(AX12,BY12,CZ12)&gt;0,MAX(AX12,BY12,CZ12),0)</f>
        <v>50.65</v>
      </c>
      <c r="Q12" s="13" t="str">
        <f>IF(P12="","",IF(P12=CZ12,$CA$1,IF(P12=BY12,$AZ$1,IF(P12=AX12,$Y$1,""))))</f>
        <v>2021 Canadian Championships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11.95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2021 Canadian Championships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>IF(AA12&gt;0,AA12,"")</f>
        <v>11.95</v>
      </c>
      <c r="AP12" s="74">
        <f>IF(AB12&gt;0,AB12,"")</f>
        <v>14.715</v>
      </c>
      <c r="AQ12" s="76">
        <f>IF(SUM(Y12:AB12)-AC12&gt;0,SUM(Y12:AB12)-AC12,"")</f>
        <v>51.564999999999998</v>
      </c>
      <c r="AR12" s="76">
        <f>IF(AF12&gt;0,AF12,"")</f>
        <v>11.95</v>
      </c>
      <c r="AS12" s="76">
        <f>IF(AG12&gt;0,AG12,"")</f>
        <v>14.765000000000001</v>
      </c>
      <c r="AT12" s="76">
        <f>IF(SUM(AD12:AG12)-AH12&gt;0,SUM(AD12:AG12)-AH12,"")</f>
        <v>51.94</v>
      </c>
      <c r="AU12" s="76">
        <f>IF(AQ12="","",MAX(AQ12,AT12))</f>
        <v>51.94</v>
      </c>
      <c r="AV12" s="76">
        <f>IF(AK12&gt;0,AK12,"")</f>
        <v>11.95</v>
      </c>
      <c r="AW12" s="76">
        <f>IF(AL12&gt;0,AL12,"")</f>
        <v>14.725</v>
      </c>
      <c r="AX12" s="76">
        <f>IF(SUM(AI12:AL12)-AM12&gt;0,SUM(AI12:AL12)-AM12,"")</f>
        <v>50.65</v>
      </c>
      <c r="AY12" s="76">
        <f>IF(SUM(AU12,AX12)&gt;0,SUM(AU12,AX12),"")</f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>IF(BB12&gt;0,BB12,"")</f>
        <v>11.95</v>
      </c>
      <c r="BQ12" s="75">
        <f>IF(BC12&gt;0,BC12,"")</f>
        <v>14.715</v>
      </c>
      <c r="BR12" s="16">
        <f>IF(SUM(AZ12:BC12)-BD12&gt;0,SUM(AZ12:BC12)-BD12,"")</f>
        <v>51.564999999999998</v>
      </c>
      <c r="BS12" s="16">
        <f>IF(BG12&gt;0,BG12,"")</f>
        <v>11.95</v>
      </c>
      <c r="BT12" s="16">
        <f>IF(BH12&gt;0,BH12,"")</f>
        <v>14.765000000000001</v>
      </c>
      <c r="BU12" s="16">
        <f>IF(SUM(BE12:BH12)-BI12&gt;0,SUM(BE12:BH12)-BI12,"")</f>
        <v>51.94</v>
      </c>
      <c r="BV12" s="16">
        <f>IF(BR12="","",MAX(BR12,BU12))</f>
        <v>51.94</v>
      </c>
      <c r="BW12" s="16">
        <f>IF(BL12&gt;0,BL12,"")</f>
        <v>11.95</v>
      </c>
      <c r="BX12" s="16">
        <f>IF(BM12&gt;0,BM12,"")</f>
        <v>14.725</v>
      </c>
      <c r="BY12" s="16">
        <f>IF(SUM(BJ12:BM12)-BN12&gt;0,SUM(BJ12:BM12)-BN12,"")</f>
        <v>50.65</v>
      </c>
      <c r="BZ12" s="16">
        <f>IF(SUM(BV12,BY12)&gt;0,SUM(BV12,BY12),"")</f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7.7249999999999996</v>
      </c>
      <c r="SW12" s="42">
        <f>IF($CP12="P",CB12,(CB12+BA12)/2)</f>
        <v>4.7249999999999996</v>
      </c>
      <c r="SX12" s="42">
        <f>IF($CP12="P",CC12,(CC12+BB12)/2)</f>
        <v>5.9749999999999996</v>
      </c>
      <c r="SY12" s="42">
        <f>IF($CP12="P",CD12,(CD12+BC12)/2)</f>
        <v>7.3574999999999999</v>
      </c>
      <c r="SZ12" s="42">
        <f>IF($CP12="P",CE12,(CE12+BD12)/2)</f>
        <v>0</v>
      </c>
      <c r="TA12" s="42">
        <f>IF($CP12="P",CF12,(CF12+BE12)/2)</f>
        <v>8</v>
      </c>
      <c r="TB12" s="42">
        <f>IF($CP12="P",CG12,(CG12+BF12)/2)</f>
        <v>4.6125000000000007</v>
      </c>
      <c r="TC12" s="42">
        <f>IF($CP12="P",CH12,(CH12+BG12)/2)</f>
        <v>5.9749999999999996</v>
      </c>
      <c r="TD12" s="42">
        <f>IF($CP12="P",CI12,(CI12+BH12)/2)</f>
        <v>7.3825000000000003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4.6375000000000002</v>
      </c>
      <c r="TH12" s="42">
        <f>IF($CP12="P",CM12,(CM12+BL12)/2)</f>
        <v>5.9749999999999996</v>
      </c>
      <c r="TI12" s="42">
        <f>IF($CP12="P",CN12,(CN12+BM12)/2)</f>
        <v>7.3624999999999998</v>
      </c>
      <c r="TJ12" s="42">
        <f>IF($CP12="P",CO12,(CO12+BN12)/2)</f>
        <v>0</v>
      </c>
      <c r="TK12" s="51" t="s">
        <v>61</v>
      </c>
      <c r="TL12" s="76">
        <f>IF(SX12&gt;0,SX12,"")</f>
        <v>5.9749999999999996</v>
      </c>
      <c r="TM12" s="76">
        <f>IF(SY12&gt;0,SY12,"")</f>
        <v>7.3574999999999999</v>
      </c>
      <c r="TN12" s="76">
        <f>IF(SUM(SV12:SY12)-SZ12&gt;0,SUM(SV12:SY12)-SZ12,"")</f>
        <v>25.782499999999999</v>
      </c>
      <c r="TO12" s="76">
        <f>IF(TC12&gt;0,TC12,"")</f>
        <v>5.9749999999999996</v>
      </c>
      <c r="TP12" s="76">
        <f>IF(TD12&gt;0,TD12,"")</f>
        <v>7.3825000000000003</v>
      </c>
      <c r="TQ12" s="76">
        <f>IF(SUM(TA12:TD12)-TE12&gt;0,SUM(TA12:TD12)-TE12,"")</f>
        <v>25.97</v>
      </c>
      <c r="TR12" s="76">
        <f>IF(MAX(TN12,TQ12)&gt;0,MAX(TN12,TQ12),"")</f>
        <v>25.97</v>
      </c>
      <c r="TS12" s="76">
        <f>IF(TH12&gt;0,TH12,"")</f>
        <v>5.9749999999999996</v>
      </c>
      <c r="TT12" s="76">
        <f>IF(TI12&gt;0,TI12,"")</f>
        <v>7.3624999999999998</v>
      </c>
      <c r="TU12" s="76">
        <f>IF(SUM(TF12:TI12)-TJ12&gt;0,SUM(TF12:TI12)-TJ12,"")</f>
        <v>25.324999999999999</v>
      </c>
      <c r="TV12" s="76">
        <f>IF(SUM(TR12,TU12)&gt;0,SUM(TR12,TU12),"")</f>
        <v>51.295000000000002</v>
      </c>
    </row>
    <row r="13" spans="1:542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162</v>
      </c>
      <c r="C13" s="7" t="s">
        <v>3</v>
      </c>
      <c r="D13" s="5">
        <v>2001</v>
      </c>
      <c r="E13" s="14">
        <f>SUM(J13:V13)+SUM(J13:T13)*0.0000001+SUM(J13)*0.0000000000001</f>
        <v>207.06502070650501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>P</v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>No DD</v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47.305000000000007</v>
      </c>
      <c r="M13" s="13" t="str">
        <f>IF(L13="","",IF(OR(L13=CS13,L13=CV13),$CA$1,IF(OR(L13=BR13,L13=BU13),$AZ$1,IF(OR(L13=AQ13,L13=AT13),$Y$1,""))))</f>
        <v>2021 Canadian Championships</v>
      </c>
      <c r="N13" s="13">
        <f>IF(COUNT(AQ13,AT13,BR13,BU13,CS13,CV13)&gt;2,LARGE((AQ13,AT13,BR13,BU13,CS13,CV13),3),0)</f>
        <v>46.370000000000005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>IF(AA13&gt;0,AA13,"")</f>
        <v/>
      </c>
      <c r="AP13" s="74" t="str">
        <f>IF(AB13&gt;0,AB13,"")</f>
        <v/>
      </c>
      <c r="AQ13" s="76" t="str">
        <f>IF(SUM(Y13:AB13)-AC13&gt;0,SUM(Y13:AB13)-AC13,"")</f>
        <v/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 t="str">
        <f>IF(AQ13="","",MAX(AQ13,AT13))</f>
        <v/>
      </c>
      <c r="AV13" s="76" t="str">
        <f>IF(AK13&gt;0,AK13,"")</f>
        <v/>
      </c>
      <c r="AW13" s="76" t="str">
        <f>IF(AL13&gt;0,AL13,"")</f>
        <v/>
      </c>
      <c r="AX13" s="76" t="str">
        <f>IF(SUM(AI13:AL13)-AM13&gt;0,SUM(AI13:AL13)-AM13,"")</f>
        <v/>
      </c>
      <c r="AY13" s="76" t="str">
        <f>IF(SUM(AU13,AX13)&gt;0,SUM(AU13,AX13),"")</f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>IF(BB13&gt;0,BB13,"")</f>
        <v>8.5</v>
      </c>
      <c r="BQ13" s="75">
        <f>IF(BC13&gt;0,BC13,"")</f>
        <v>14.505000000000001</v>
      </c>
      <c r="BR13" s="16">
        <f>IF(SUM(AZ13:BC13)-BD13&gt;0,SUM(AZ13:BC13)-BD13,"")</f>
        <v>47.305000000000007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47.305000000000007</v>
      </c>
      <c r="BW13" s="16">
        <f>IF(BL13&gt;0,BL13,"")</f>
        <v>10.4</v>
      </c>
      <c r="BX13" s="16">
        <f>IF(BM13&gt;0,BM13,"")</f>
        <v>14.64</v>
      </c>
      <c r="BY13" s="16">
        <f>IF(SUM(BJ13:BM13)-BN13&gt;0,SUM(BJ13:BM13)-BN13,"")</f>
        <v>49.64</v>
      </c>
      <c r="BZ13" s="16">
        <f>IF(SUM(BV13,BY13)&gt;0,SUM(BV13,BY13),"")</f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>IF(CC13&gt;0,CC13,"")</f>
        <v>10.8</v>
      </c>
      <c r="CR13" s="74">
        <f>IF(CD13&gt;0,CD13,"")</f>
        <v>13.17</v>
      </c>
      <c r="CS13" s="76">
        <f>IF(SUM(CA13:CD13)-CE13&gt;0,SUM(CA13:CD13)-CE13,"")</f>
        <v>46.370000000000005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50.069999999999993</v>
      </c>
      <c r="CW13" s="76">
        <f>IF(CS13="","",MAX(CS13,CV13))</f>
        <v>50.069999999999993</v>
      </c>
      <c r="CX13" s="76">
        <f>IF(CM13&gt;0,CM13,"")</f>
        <v>12.2</v>
      </c>
      <c r="CY13" s="76">
        <f>IF(CN13&gt;0,CN13,"")</f>
        <v>14.72</v>
      </c>
      <c r="CZ13" s="76">
        <f>IF(SUM(CK13:CN13)-CO13&gt;0,SUM(CK13:CN13)-CO13,"")</f>
        <v>51.120000000000005</v>
      </c>
      <c r="DA13" s="76">
        <f>IF(SUM(CW13,CZ13)&gt;0,SUM(CW13,CZ13),"")</f>
        <v>101.19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14.899999999999999</v>
      </c>
      <c r="SW13" s="42">
        <f>IF($CP13="P",CB13,(CB13+BA13)/2)</f>
        <v>8.6000000000000014</v>
      </c>
      <c r="SX13" s="42">
        <f>IF($CP13="P",CC13,(CC13+BB13)/2)</f>
        <v>9.65</v>
      </c>
      <c r="SY13" s="42">
        <f>IF($CP13="P",CD13,(CD13+BC13)/2)</f>
        <v>13.8375</v>
      </c>
      <c r="SZ13" s="42">
        <f>IF($CP13="P",CE13,(CE13+BD13)/2)</f>
        <v>0.15</v>
      </c>
      <c r="TA13" s="42">
        <f>IF($CP13="P",CF13,(CF13+BE13)/2)</f>
        <v>7.1</v>
      </c>
      <c r="TB13" s="42">
        <f>IF($CP13="P",CG13,(CG13+BF13)/2)</f>
        <v>4.7</v>
      </c>
      <c r="TC13" s="42">
        <f>IF($CP13="P",CH13,(CH13+BG13)/2)</f>
        <v>6.1</v>
      </c>
      <c r="TD13" s="42">
        <f>IF($CP13="P",CI13,(CI13+BH13)/2)</f>
        <v>7.1349999999999998</v>
      </c>
      <c r="TE13" s="42">
        <f>IF($CP13="P",CJ13,(CJ13+BI13)/2)</f>
        <v>0</v>
      </c>
      <c r="TF13" s="42">
        <f>IF($CP13="P",CK13,(CK13+BJ13)/2)</f>
        <v>15.100000000000001</v>
      </c>
      <c r="TG13" s="42">
        <f>IF($CP13="P",CL13,(CL13+BK13)/2)</f>
        <v>9.3000000000000007</v>
      </c>
      <c r="TH13" s="42">
        <f>IF($CP13="P",CM13,(CM13+BL13)/2)</f>
        <v>11.3</v>
      </c>
      <c r="TI13" s="42">
        <f>IF($CP13="P",CN13,(CN13+BM13)/2)</f>
        <v>14.68</v>
      </c>
      <c r="TJ13" s="42">
        <f>IF($CP13="P",CO13,(CO13+BN13)/2)</f>
        <v>0</v>
      </c>
      <c r="TK13" s="51" t="s">
        <v>61</v>
      </c>
      <c r="TL13" s="76">
        <f>IF(SX13&gt;0,SX13,"")</f>
        <v>9.65</v>
      </c>
      <c r="TM13" s="76">
        <f>IF(SY13&gt;0,SY13,"")</f>
        <v>13.8375</v>
      </c>
      <c r="TN13" s="76">
        <f>IF(SUM(SV13:SY13)-SZ13&gt;0,SUM(SV13:SY13)-SZ13,"")</f>
        <v>46.837499999999999</v>
      </c>
      <c r="TO13" s="76">
        <f>IF(TC13&gt;0,TC13,"")</f>
        <v>6.1</v>
      </c>
      <c r="TP13" s="76">
        <f>IF(TD13&gt;0,TD13,"")</f>
        <v>7.1349999999999998</v>
      </c>
      <c r="TQ13" s="76">
        <f>IF(SUM(TA13:TD13)-TE13&gt;0,SUM(TA13:TD13)-TE13,"")</f>
        <v>25.034999999999997</v>
      </c>
      <c r="TR13" s="76">
        <f>IF(MAX(TN13,TQ13)&gt;0,MAX(TN13,TQ13),"")</f>
        <v>46.837499999999999</v>
      </c>
      <c r="TS13" s="76">
        <f>IF(TH13&gt;0,TH13,"")</f>
        <v>11.3</v>
      </c>
      <c r="TT13" s="76">
        <f>IF(TI13&gt;0,TI13,"")</f>
        <v>14.68</v>
      </c>
      <c r="TU13" s="76">
        <f>IF(SUM(TF13:TI13)-TJ13&gt;0,SUM(TF13:TI13)-TJ13,"")</f>
        <v>50.38</v>
      </c>
      <c r="TV13" s="76">
        <f>IF(SUM(TR13,TU13)&gt;0,SUM(TR13,TU13),"")</f>
        <v>97.217500000000001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>SUM(J14:V14)+SUM(J14:T14)*0.0000001+SUM(J14)*0.0000000000001</f>
        <v>194.38501943850471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47.089999999999996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45.684999999999995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44.945000000000007</v>
      </c>
      <c r="O14" s="13" t="str">
        <f>IF(N14="","",IF(OR(N14=CS14,N14=CV14),$CA$1,IF(OR(N14=BR14,N14=BU14),$AZ$1,IF(OR(N14=AQ14,N14=AT14),$Y$1,""))))</f>
        <v>2021 Elite Canada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10.6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>IF(AA14&gt;0,AA14,"")</f>
        <v>8.6</v>
      </c>
      <c r="AP14" s="74">
        <f>IF(AB14&gt;0,AB14,"")</f>
        <v>14.645</v>
      </c>
      <c r="AQ14" s="76">
        <f>IF(SUM(Y14:AB14)-AC14&gt;0,SUM(Y14:AB14)-AC14,"")</f>
        <v>44.945000000000007</v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>
        <f>IF(AQ14="","",MAX(AQ14,AT14))</f>
        <v>44.945000000000007</v>
      </c>
      <c r="AV14" s="76">
        <f>IF(AK14&gt;0,AK14,"")</f>
        <v>9.1999999999999993</v>
      </c>
      <c r="AW14" s="76">
        <f>IF(AL14&gt;0,AL14,"")</f>
        <v>14.175000000000001</v>
      </c>
      <c r="AX14" s="76">
        <f>IF(SUM(AI14:AL14)-AM14&gt;0,SUM(AI14:AL14)-AM14,"")</f>
        <v>45.074999999999989</v>
      </c>
      <c r="AY14" s="76">
        <f>IF(SUM(AU14,AX14)&gt;0,SUM(AU14,AX14),"")</f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>IF(BB14&gt;0,BB14,"")</f>
        <v>2.7</v>
      </c>
      <c r="BQ14" s="75">
        <f>IF(BC14&gt;0,BC14,"")</f>
        <v>3.03</v>
      </c>
      <c r="BR14" s="16">
        <f>IF(SUM(AZ14:BC14)-BD14&gt;0,SUM(AZ14:BC14)-BD14,"")</f>
        <v>10.029999999999999</v>
      </c>
      <c r="BS14" s="16">
        <f>IF(BG14&gt;0,BG14,"")</f>
        <v>7</v>
      </c>
      <c r="BT14" s="16">
        <f>IF(BH14&gt;0,BH14,"")</f>
        <v>11.715</v>
      </c>
      <c r="BU14" s="16">
        <f>IF(SUM(BE14:BH14)-BI14&gt;0,SUM(BE14:BH14)-BI14,"")</f>
        <v>36.715000000000003</v>
      </c>
      <c r="BV14" s="16">
        <f>IF(BR14="","",MAX(BR14,BU14))</f>
        <v>36.715000000000003</v>
      </c>
      <c r="BW14" s="16">
        <f>IF(BL14&gt;0,BL14,"")</f>
        <v>10.5</v>
      </c>
      <c r="BX14" s="16">
        <f>IF(BM14&gt;0,BM14,"")</f>
        <v>13.965</v>
      </c>
      <c r="BY14" s="16">
        <f>IF(SUM(BJ14:BM14)-BN14&gt;0,SUM(BJ14:BM14)-BN14,"")</f>
        <v>46.064999999999998</v>
      </c>
      <c r="BZ14" s="16">
        <f>IF(SUM(BV14,BY14)&gt;0,SUM(BV14,BY14),"")</f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>IF(CC14&gt;0,CC14,"")</f>
        <v>10.6</v>
      </c>
      <c r="CR14" s="74">
        <f>IF(CD14&gt;0,CD14,"")</f>
        <v>13.984999999999999</v>
      </c>
      <c r="CS14" s="76">
        <f>IF(SUM(CA14:CD14)-CE14&gt;0,SUM(CA14:CD14)-CE14,"")</f>
        <v>45.684999999999995</v>
      </c>
      <c r="CT14" s="76">
        <f>IF(CH14&gt;0,CH14,"")</f>
        <v>10.6</v>
      </c>
      <c r="CU14" s="76">
        <f>IF(CI14&gt;0,CI14,"")</f>
        <v>14.59</v>
      </c>
      <c r="CV14" s="76">
        <f>IF(SUM(CF14:CI14)-CJ14&gt;0,SUM(CF14:CI14)-CJ14,"")</f>
        <v>47.089999999999996</v>
      </c>
      <c r="CW14" s="76">
        <f>IF(CS14="","",MAX(CS14,CV14))</f>
        <v>47.089999999999996</v>
      </c>
      <c r="CX14" s="76">
        <f>IF(CM14&gt;0,CM14,"")</f>
        <v>9.9</v>
      </c>
      <c r="CY14" s="76">
        <f>IF(CN14&gt;0,CN14,"")</f>
        <v>12.885</v>
      </c>
      <c r="CZ14" s="76">
        <f>IF(SUM(CK14:CN14)-CO14&gt;0,SUM(CK14:CN14)-CO14,"")</f>
        <v>43.884999999999998</v>
      </c>
      <c r="DA14" s="76">
        <f>IF(SUM(CW14,CZ14)&gt;0,SUM(CW14,CZ14),"")</f>
        <v>90.974999999999994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7.55</v>
      </c>
      <c r="SW14" s="42">
        <f>IF($CP14="P",CB14,(CB14+BA14)/2)</f>
        <v>5.4499999999999993</v>
      </c>
      <c r="SX14" s="42">
        <f>IF($CP14="P",CC14,(CC14+BB14)/2)</f>
        <v>6.65</v>
      </c>
      <c r="SY14" s="42">
        <f>IF($CP14="P",CD14,(CD14+BC14)/2)</f>
        <v>8.5075000000000003</v>
      </c>
      <c r="SZ14" s="42">
        <f>IF($CP14="P",CE14,(CE14+BD14)/2)</f>
        <v>0.3</v>
      </c>
      <c r="TA14" s="42">
        <f>IF($CP14="P",CF14,(CF14+BE14)/2)</f>
        <v>12.350000000000001</v>
      </c>
      <c r="TB14" s="42">
        <f>IF($CP14="P",CG14,(CG14+BF14)/2)</f>
        <v>7.9</v>
      </c>
      <c r="TC14" s="42">
        <f>IF($CP14="P",CH14,(CH14+BG14)/2)</f>
        <v>8.8000000000000007</v>
      </c>
      <c r="TD14" s="42">
        <f>IF($CP14="P",CI14,(CI14+BH14)/2)</f>
        <v>13.1525</v>
      </c>
      <c r="TE14" s="42">
        <f>IF($CP14="P",CJ14,(CJ14+BI14)/2)</f>
        <v>0.3</v>
      </c>
      <c r="TF14" s="42">
        <f>IF($CP14="P",CK14,(CK14+BJ14)/2)</f>
        <v>13.350000000000001</v>
      </c>
      <c r="TG14" s="42">
        <f>IF($CP14="P",CL14,(CL14+BK14)/2)</f>
        <v>8.35</v>
      </c>
      <c r="TH14" s="42">
        <f>IF($CP14="P",CM14,(CM14+BL14)/2)</f>
        <v>10.199999999999999</v>
      </c>
      <c r="TI14" s="42">
        <f>IF($CP14="P",CN14,(CN14+BM14)/2)</f>
        <v>13.425000000000001</v>
      </c>
      <c r="TJ14" s="42">
        <f>IF($CP14="P",CO14,(CO14+BN14)/2)</f>
        <v>0.35</v>
      </c>
      <c r="TK14" s="51" t="s">
        <v>61</v>
      </c>
      <c r="TL14" s="76">
        <f>IF(SX14&gt;0,SX14,"")</f>
        <v>6.65</v>
      </c>
      <c r="TM14" s="76">
        <f>IF(SY14&gt;0,SY14,"")</f>
        <v>8.5075000000000003</v>
      </c>
      <c r="TN14" s="76">
        <f>IF(SUM(SV14:SY14)-SZ14&gt;0,SUM(SV14:SY14)-SZ14,"")</f>
        <v>27.857499999999998</v>
      </c>
      <c r="TO14" s="76">
        <f>IF(TC14&gt;0,TC14,"")</f>
        <v>8.8000000000000007</v>
      </c>
      <c r="TP14" s="76">
        <f>IF(TD14&gt;0,TD14,"")</f>
        <v>13.1525</v>
      </c>
      <c r="TQ14" s="76">
        <f>IF(SUM(TA14:TD14)-TE14&gt;0,SUM(TA14:TD14)-TE14,"")</f>
        <v>41.902500000000003</v>
      </c>
      <c r="TR14" s="76">
        <f>IF(MAX(TN14,TQ14)&gt;0,MAX(TN14,TQ14),"")</f>
        <v>41.902500000000003</v>
      </c>
      <c r="TS14" s="76">
        <f>IF(TH14&gt;0,TH14,"")</f>
        <v>10.199999999999999</v>
      </c>
      <c r="TT14" s="76">
        <f>IF(TI14&gt;0,TI14,"")</f>
        <v>13.425000000000001</v>
      </c>
      <c r="TU14" s="76">
        <f>IF(SUM(TF14:TI14)-TJ14&gt;0,SUM(TF14:TI14)-TJ14,"")</f>
        <v>44.975000000000001</v>
      </c>
      <c r="TV14" s="76">
        <f>IF(SUM(TR14,TU14)&gt;0,SUM(TR14,TU14),"")</f>
        <v>86.877499999999998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12.2</v>
      </c>
      <c r="LT17" s="35"/>
      <c r="LU17" s="35"/>
      <c r="MD17" s="33"/>
      <c r="ME17" s="33"/>
      <c r="MG17" s="78">
        <v>12.2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12.2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71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13.1</v>
      </c>
      <c r="LT19" s="35"/>
      <c r="LU19" s="35"/>
      <c r="MD19" s="33"/>
      <c r="ME19" s="33"/>
      <c r="MG19" s="80">
        <v>13.1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13.1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86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13.1</v>
      </c>
      <c r="LT20" s="35"/>
      <c r="LU20" s="35"/>
      <c r="MD20" s="33"/>
      <c r="ME20" s="33"/>
      <c r="MG20" s="81">
        <v>13.1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13.1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53</v>
      </c>
      <c r="LT21" s="35"/>
      <c r="LU21" s="35"/>
      <c r="MD21" s="33"/>
      <c r="ME21" s="33"/>
      <c r="MG21" s="82">
        <v>53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53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53</v>
      </c>
      <c r="LT22" s="35"/>
      <c r="LU22" s="35"/>
      <c r="MD22" s="33"/>
      <c r="ME22" s="33"/>
      <c r="MG22" s="83">
        <v>53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53</v>
      </c>
      <c r="LT23" s="35"/>
      <c r="LU23" s="35"/>
      <c r="MD23" s="33"/>
      <c r="ME23" s="33"/>
      <c r="MF23" s="71"/>
      <c r="MG23" s="84">
        <v>53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53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143</v>
      </c>
      <c r="AW24" s="77"/>
      <c r="AX24" s="56"/>
      <c r="AY24" s="85">
        <v>54.5</v>
      </c>
      <c r="BS24" s="77"/>
      <c r="BT24" s="77"/>
      <c r="BU24" s="77"/>
      <c r="BW24" s="77" t="s">
        <v>143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 t="s">
        <v>143</v>
      </c>
      <c r="EI24" s="33"/>
      <c r="EK24" s="85">
        <v>54.5</v>
      </c>
      <c r="FF24" s="35"/>
      <c r="FG24" s="35"/>
      <c r="FP24" s="77" t="s">
        <v>143</v>
      </c>
      <c r="FQ24" s="33"/>
      <c r="FS24" s="85">
        <v>54.5</v>
      </c>
      <c r="GN24" s="35"/>
      <c r="GO24" s="35"/>
      <c r="GX24" s="33"/>
      <c r="GY24" s="33"/>
      <c r="HA24" s="85">
        <v>54.5</v>
      </c>
      <c r="HV24" s="35"/>
      <c r="HW24" s="35"/>
      <c r="IF24" s="77" t="s">
        <v>143</v>
      </c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54.5</v>
      </c>
      <c r="LT24" s="35"/>
      <c r="LU24" s="35"/>
      <c r="MD24" s="33"/>
      <c r="ME24" s="33"/>
      <c r="MG24" s="85">
        <v>54.5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54.5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62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7" priority="35" operator="containsText" text="No DD">
      <formula>NOT(ISERROR(SEARCH("No DD",H1)))</formula>
    </cfRule>
    <cfRule type="containsText" dxfId="596" priority="36" operator="containsText" text="Merit">
      <formula>NOT(ISERROR(SEARCH("Merit",H1)))</formula>
    </cfRule>
    <cfRule type="containsText" dxfId="595" priority="37" operator="containsText" text="Excellence">
      <formula>NOT(ISERROR(SEARCH("Excellence",H1)))</formula>
    </cfRule>
    <cfRule type="containsText" dxfId="594" priority="38" operator="containsText" text="Worlds Team">
      <formula>NOT(ISERROR(SEARCH("Worlds Team",H1)))</formula>
    </cfRule>
    <cfRule type="containsText" dxfId="593" priority="39" operator="containsText" text="National Team">
      <formula>NOT(ISERROR(SEARCH("National Team",H1)))</formula>
    </cfRule>
  </conditionalFormatting>
  <conditionalFormatting sqref="A1:A1048576">
    <cfRule type="expression" dxfId="592" priority="40">
      <formula>AND(G1&lt;&gt;"",F1="")</formula>
    </cfRule>
  </conditionalFormatting>
  <conditionalFormatting sqref="Y4:AY14">
    <cfRule type="expression" dxfId="591" priority="41" stopIfTrue="1">
      <formula>IF($AN4&lt;&gt;"",1,0)</formula>
    </cfRule>
  </conditionalFormatting>
  <conditionalFormatting sqref="AZ4:BZ14">
    <cfRule type="expression" dxfId="590" priority="34" stopIfTrue="1">
      <formula>IF($BO4&lt;&gt;"",1,0)</formula>
    </cfRule>
  </conditionalFormatting>
  <conditionalFormatting sqref="CA4:DA14">
    <cfRule type="expression" dxfId="589" priority="33" stopIfTrue="1">
      <formula>IF($CP4&lt;&gt;"",1,0)</formula>
    </cfRule>
  </conditionalFormatting>
  <conditionalFormatting sqref="M1:M3 O1:O3 K1:K1048576 Q1:Q1048576 M4:O1048576 S1:S1048576 U1:U1048576">
    <cfRule type="expression" dxfId="588" priority="50">
      <formula>IF(K1=$CA$1,1,0)</formula>
    </cfRule>
    <cfRule type="expression" dxfId="587" priority="51">
      <formula>IF(K1=$AZ$1,1,0)</formula>
    </cfRule>
    <cfRule type="expression" dxfId="586" priority="52">
      <formula>IF(K1=$Y$1,1,0)</formula>
    </cfRule>
  </conditionalFormatting>
  <conditionalFormatting sqref="BW25:BW1048576 BP1:BP1048576 BS1:BS1048576 BW1:BW23">
    <cfRule type="cellIs" dxfId="585" priority="46" operator="between">
      <formula>$BZ$20</formula>
      <formula>1000</formula>
    </cfRule>
    <cfRule type="cellIs" dxfId="584" priority="47" operator="between">
      <formula>$BZ$19</formula>
      <formula>$BZ$20</formula>
    </cfRule>
    <cfRule type="cellIs" dxfId="583" priority="48" operator="between">
      <formula>$BZ$18</formula>
      <formula>$BZ$19</formula>
    </cfRule>
    <cfRule type="cellIs" dxfId="582" priority="49" operator="between">
      <formula>$BZ$17</formula>
      <formula>$BZ$18</formula>
    </cfRule>
  </conditionalFormatting>
  <conditionalFormatting sqref="CX25:CX1048576 CQ1:CQ1048576 CT1:CT1048576 CX1:CX23">
    <cfRule type="cellIs" dxfId="581" priority="42" operator="between">
      <formula>$DA$20</formula>
      <formula>1000</formula>
    </cfRule>
    <cfRule type="cellIs" dxfId="580" priority="43" operator="between">
      <formula>$DA$19</formula>
      <formula>$DA$20</formula>
    </cfRule>
    <cfRule type="cellIs" dxfId="579" priority="44" operator="between">
      <formula>$DA$18</formula>
      <formula>$DA$19</formula>
    </cfRule>
    <cfRule type="cellIs" dxfId="578" priority="45" operator="between">
      <formula>$DA$17</formula>
      <formula>$DA$18</formula>
    </cfRule>
  </conditionalFormatting>
  <conditionalFormatting sqref="EH25:EH1048576 DX1:DX1048576 EA1:EA1048576 EE1:EE1048576 EH1:EH23">
    <cfRule type="cellIs" dxfId="577" priority="53" operator="between">
      <formula>$EK$20</formula>
      <formula>1000</formula>
    </cfRule>
    <cfRule type="cellIs" dxfId="576" priority="54" operator="between">
      <formula>$EK$19</formula>
      <formula>$EK$20</formula>
    </cfRule>
    <cfRule type="cellIs" dxfId="575" priority="55" operator="between">
      <formula>$EK$18</formula>
      <formula>$EK$19</formula>
    </cfRule>
    <cfRule type="cellIs" dxfId="574" priority="56" operator="between">
      <formula>$EK$17</formula>
      <formula>$EK$18</formula>
    </cfRule>
  </conditionalFormatting>
  <conditionalFormatting sqref="FP25:FP1048576 FF1:FF1048576 FI1:FI1048576 FM1:FM1048576 FP1:FP23">
    <cfRule type="cellIs" dxfId="573" priority="29" operator="between">
      <formula>$FS$20</formula>
      <formula>1000</formula>
    </cfRule>
    <cfRule type="cellIs" dxfId="572" priority="30" operator="between">
      <formula>$FS$19</formula>
      <formula>$FS$20</formula>
    </cfRule>
    <cfRule type="cellIs" dxfId="571" priority="31" operator="between">
      <formula>$FS$18</formula>
      <formula>$FS$19</formula>
    </cfRule>
    <cfRule type="cellIs" dxfId="570" priority="32" operator="between">
      <formula>$FS$17</formula>
      <formula>$FS$18</formula>
    </cfRule>
  </conditionalFormatting>
  <conditionalFormatting sqref="IF25:IF1048576 HV1:HV1048576 HY1:HY1048576 IC1:IC1048576 IF1:IF23">
    <cfRule type="cellIs" dxfId="569" priority="25" operator="between">
      <formula>$II$20</formula>
      <formula>1000</formula>
    </cfRule>
    <cfRule type="cellIs" dxfId="568" priority="26" operator="between">
      <formula>$II$19</formula>
      <formula>$II$20</formula>
    </cfRule>
    <cfRule type="cellIs" dxfId="567" priority="27" operator="between">
      <formula>$II$18</formula>
      <formula>$II$19</formula>
    </cfRule>
    <cfRule type="cellIs" dxfId="566" priority="28" operator="between">
      <formula>$II$17</formula>
      <formula>$II$18</formula>
    </cfRule>
  </conditionalFormatting>
  <conditionalFormatting sqref="AW24 AO1:AO1048576 AR1:AR1048576 AV1:AV1048576">
    <cfRule type="cellIs" dxfId="565" priority="21" operator="between">
      <formula>$AY$20</formula>
      <formula>1000</formula>
    </cfRule>
    <cfRule type="cellIs" dxfId="564" priority="22" operator="between">
      <formula>$AY$19</formula>
      <formula>$AY$20</formula>
    </cfRule>
    <cfRule type="cellIs" dxfId="563" priority="23" operator="between">
      <formula>$AY$18</formula>
      <formula>$AY$19</formula>
    </cfRule>
    <cfRule type="cellIs" dxfId="562" priority="24" operator="between">
      <formula>$AY$17</formula>
      <formula>$AY$18</formula>
    </cfRule>
  </conditionalFormatting>
  <conditionalFormatting sqref="BW24">
    <cfRule type="cellIs" dxfId="561" priority="17" operator="between">
      <formula>$AY$20</formula>
      <formula>1000</formula>
    </cfRule>
    <cfRule type="cellIs" dxfId="560" priority="18" operator="between">
      <formula>$AY$19</formula>
      <formula>$AY$20</formula>
    </cfRule>
    <cfRule type="cellIs" dxfId="559" priority="19" operator="between">
      <formula>$AY$18</formula>
      <formula>$AY$19</formula>
    </cfRule>
    <cfRule type="cellIs" dxfId="558" priority="20" operator="between">
      <formula>$AY$17</formula>
      <formula>$AY$18</formula>
    </cfRule>
  </conditionalFormatting>
  <conditionalFormatting sqref="CX24">
    <cfRule type="cellIs" dxfId="557" priority="13" operator="between">
      <formula>$AY$20</formula>
      <formula>1000</formula>
    </cfRule>
    <cfRule type="cellIs" dxfId="556" priority="14" operator="between">
      <formula>$AY$19</formula>
      <formula>$AY$20</formula>
    </cfRule>
    <cfRule type="cellIs" dxfId="555" priority="15" operator="between">
      <formula>$AY$18</formula>
      <formula>$AY$19</formula>
    </cfRule>
    <cfRule type="cellIs" dxfId="554" priority="16" operator="between">
      <formula>$AY$17</formula>
      <formula>$AY$18</formula>
    </cfRule>
  </conditionalFormatting>
  <conditionalFormatting sqref="EH24">
    <cfRule type="cellIs" dxfId="553" priority="9" operator="between">
      <formula>$AY$20</formula>
      <formula>1000</formula>
    </cfRule>
    <cfRule type="cellIs" dxfId="552" priority="10" operator="between">
      <formula>$AY$19</formula>
      <formula>$AY$20</formula>
    </cfRule>
    <cfRule type="cellIs" dxfId="551" priority="11" operator="between">
      <formula>$AY$18</formula>
      <formula>$AY$19</formula>
    </cfRule>
    <cfRule type="cellIs" dxfId="550" priority="12" operator="between">
      <formula>$AY$17</formula>
      <formula>$AY$18</formula>
    </cfRule>
  </conditionalFormatting>
  <conditionalFormatting sqref="FP24">
    <cfRule type="cellIs" dxfId="549" priority="5" operator="between">
      <formula>$AY$20</formula>
      <formula>1000</formula>
    </cfRule>
    <cfRule type="cellIs" dxfId="548" priority="6" operator="between">
      <formula>$AY$19</formula>
      <formula>$AY$20</formula>
    </cfRule>
    <cfRule type="cellIs" dxfId="547" priority="7" operator="between">
      <formula>$AY$18</formula>
      <formula>$AY$19</formula>
    </cfRule>
    <cfRule type="cellIs" dxfId="546" priority="8" operator="between">
      <formula>$AY$17</formula>
      <formula>$AY$18</formula>
    </cfRule>
  </conditionalFormatting>
  <conditionalFormatting sqref="IF24">
    <cfRule type="cellIs" dxfId="545" priority="1" operator="between">
      <formula>$AY$20</formula>
      <formula>1000</formula>
    </cfRule>
    <cfRule type="cellIs" dxfId="544" priority="2" operator="between">
      <formula>$AY$19</formula>
      <formula>$AY$20</formula>
    </cfRule>
    <cfRule type="cellIs" dxfId="543" priority="3" operator="between">
      <formula>$AY$18</formula>
      <formula>$AY$19</formula>
    </cfRule>
    <cfRule type="cellIs" dxfId="542" priority="4" operator="between">
      <formula>$AY$17</formula>
      <formula>$AY$18</formula>
    </cfRule>
  </conditionalFormatting>
  <conditionalFormatting sqref="CV1:CV1048576 AT1:AT1048576">
    <cfRule type="cellIs" dxfId="541" priority="62321" operator="between">
      <formula>AY$24</formula>
      <formula>1000</formula>
    </cfRule>
    <cfRule type="cellIs" dxfId="540" priority="62322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9" priority="62333" operator="between">
      <formula>EK$24</formula>
      <formula>1000</formula>
    </cfRule>
    <cfRule type="cellIs" dxfId="538" priority="62334" operator="between">
      <formula>EK$23</formula>
      <formula>EK$24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537" priority="62405" operator="between">
      <formula>EK$22</formula>
      <formula>1000</formula>
    </cfRule>
    <cfRule type="cellIs" dxfId="536" priority="62406" operator="between">
      <formula>EK$21</formula>
      <formula>EK$22</formula>
    </cfRule>
  </conditionalFormatting>
  <conditionalFormatting sqref="AQ1:AQ1048576 AT1:AT1048576 AX1:AX1048576">
    <cfRule type="cellIs" dxfId="535" priority="62477" operator="between">
      <formula>$AY$24</formula>
      <formula>1000</formula>
    </cfRule>
    <cfRule type="cellIs" dxfId="534" priority="62478" operator="between">
      <formula>$AY$23</formula>
      <formula>$AY$24</formula>
    </cfRule>
    <cfRule type="cellIs" dxfId="533" priority="62479" operator="between">
      <formula>$AY$22</formula>
      <formula>$AY$23</formula>
    </cfRule>
    <cfRule type="cellIs" dxfId="532" priority="62480" operator="between">
      <formula>$AY$21</formula>
      <formula>$AY$22</formula>
    </cfRule>
  </conditionalFormatting>
  <conditionalFormatting sqref="BR1:BR1048576 BU1:BU1048576 BY1:BY1048576">
    <cfRule type="cellIs" dxfId="531" priority="62513" operator="between">
      <formula>$BZ$24</formula>
      <formula>1000</formula>
    </cfRule>
    <cfRule type="cellIs" dxfId="530" priority="62514" operator="between">
      <formula>$BZ$23</formula>
      <formula>$BZ$24</formula>
    </cfRule>
    <cfRule type="cellIs" dxfId="529" priority="62515" operator="between">
      <formula>$BZ$22</formula>
      <formula>$BZ$23</formula>
    </cfRule>
    <cfRule type="cellIs" dxfId="528" priority="62516" operator="between">
      <formula>$BZ$21</formula>
      <formula>$BZ$22</formula>
    </cfRule>
  </conditionalFormatting>
  <conditionalFormatting sqref="CS1:CS1048576 CV1:CV1048576 CZ1:CZ1048576">
    <cfRule type="cellIs" dxfId="527" priority="62549" operator="between">
      <formula>$DA$24</formula>
      <formula>1000</formula>
    </cfRule>
    <cfRule type="cellIs" dxfId="526" priority="62550" operator="between">
      <formula>$DA$23</formula>
      <formula>$DA$24</formula>
    </cfRule>
    <cfRule type="cellIs" dxfId="525" priority="62551" operator="between">
      <formula>$DA$22</formula>
      <formula>$DA$23</formula>
    </cfRule>
    <cfRule type="cellIs" dxfId="524" priority="62552" operator="between">
      <formula>$DA$21</formula>
      <formula>$DA$22</formula>
    </cfRule>
  </conditionalFormatting>
  <conditionalFormatting sqref="NB1:NB1048576 NE1:NE1048576 NI1:NI1048576 NL1:NL1048576">
    <cfRule type="cellIs" dxfId="523" priority="62585" operator="between">
      <formula>$NO$17</formula>
      <formula>$NO$18</formula>
    </cfRule>
  </conditionalFormatting>
  <conditionalFormatting sqref="DZ1:DZ1048576 EC1:EC1048576 EG1:EG1048576 EJ1:EJ1048576">
    <cfRule type="cellIs" dxfId="522" priority="62597" operator="between">
      <formula>$EK$24</formula>
      <formula>1000</formula>
    </cfRule>
    <cfRule type="cellIs" dxfId="521" priority="62598" operator="between">
      <formula>$EK$23</formula>
      <formula>$EK$24</formula>
    </cfRule>
    <cfRule type="cellIs" dxfId="520" priority="62599" operator="between">
      <formula>$EK$22</formula>
      <formula>$EK$23</formula>
    </cfRule>
    <cfRule type="cellIs" dxfId="519" priority="62600" operator="between">
      <formula>$EK$21</formula>
      <formula>$EK$22</formula>
    </cfRule>
  </conditionalFormatting>
  <conditionalFormatting sqref="FH1:FH1048576 FK1:FK1048576 FO1:FO1048576 FR1:FR1048576">
    <cfRule type="cellIs" dxfId="518" priority="62645" operator="between">
      <formula>$FS$24</formula>
      <formula>1000</formula>
    </cfRule>
    <cfRule type="cellIs" dxfId="517" priority="62646" operator="between">
      <formula>$FS$23</formula>
      <formula>$FS$24</formula>
    </cfRule>
    <cfRule type="cellIs" dxfId="516" priority="62647" operator="between">
      <formula>$FS$22</formula>
      <formula>$FS$23</formula>
    </cfRule>
    <cfRule type="cellIs" dxfId="515" priority="62648" operator="between">
      <formula>$FS$21</formula>
      <formula>$FS$22</formula>
    </cfRule>
  </conditionalFormatting>
  <conditionalFormatting sqref="GN1:GN1048576 GQ1:GQ1048576 GU1:GU1048576 GX1:GX1048576">
    <cfRule type="cellIs" dxfId="514" priority="62693" operator="between">
      <formula>$HA$20</formula>
      <formula>1000</formula>
    </cfRule>
    <cfRule type="cellIs" dxfId="513" priority="62694" operator="between">
      <formula>$HA$19</formula>
      <formula>$HA$20</formula>
    </cfRule>
    <cfRule type="cellIs" dxfId="512" priority="62695" operator="between">
      <formula>$HA$18</formula>
      <formula>$HA$19</formula>
    </cfRule>
    <cfRule type="cellIs" dxfId="511" priority="62696" operator="between">
      <formula>$HA$17</formula>
      <formula>$HA$18</formula>
    </cfRule>
  </conditionalFormatting>
  <conditionalFormatting sqref="GP1:GP1048576 GS1:GS1048576 GW1:GW1048576 GZ1:GZ1048576">
    <cfRule type="cellIs" dxfId="510" priority="62741" operator="between">
      <formula>$HA$24</formula>
      <formula>1000</formula>
    </cfRule>
    <cfRule type="cellIs" dxfId="509" priority="62742" operator="between">
      <formula>$HA$23</formula>
      <formula>$HA$24</formula>
    </cfRule>
    <cfRule type="cellIs" dxfId="508" priority="62743" operator="between">
      <formula>$HA$22</formula>
      <formula>$HA$23</formula>
    </cfRule>
    <cfRule type="cellIs" dxfId="507" priority="62744" operator="between">
      <formula>$HA$21</formula>
      <formula>$HA$22</formula>
    </cfRule>
  </conditionalFormatting>
  <conditionalFormatting sqref="HX1:HX1048576 IA1:IA1048576 IE1:IE1048576 IH1:IH1048576">
    <cfRule type="cellIs" dxfId="506" priority="62789" operator="between">
      <formula>$II$24</formula>
      <formula>1000</formula>
    </cfRule>
    <cfRule type="cellIs" dxfId="505" priority="62790" operator="between">
      <formula>$II$23</formula>
      <formula>$II$24</formula>
    </cfRule>
    <cfRule type="cellIs" dxfId="504" priority="62791" operator="between">
      <formula>$II$22</formula>
      <formula>$II$23</formula>
    </cfRule>
    <cfRule type="cellIs" dxfId="503" priority="62792" operator="between">
      <formula>$II$21</formula>
      <formula>$II$22</formula>
    </cfRule>
  </conditionalFormatting>
  <conditionalFormatting sqref="JD1:JD1048576 JG1:JG1048576 JK1:JK1048576 JN1:JN1048576">
    <cfRule type="cellIs" dxfId="502" priority="62837" operator="between">
      <formula>$JQ$20</formula>
      <formula>1000</formula>
    </cfRule>
    <cfRule type="cellIs" dxfId="501" priority="62838" operator="between">
      <formula>$JQ$19</formula>
      <formula>$JQ$20</formula>
    </cfRule>
    <cfRule type="cellIs" dxfId="500" priority="62839" operator="between">
      <formula>$JQ$18</formula>
      <formula>$JQ$19</formula>
    </cfRule>
    <cfRule type="cellIs" dxfId="499" priority="62840" operator="between">
      <formula>$JQ$17</formula>
      <formula>$JQ$18</formula>
    </cfRule>
  </conditionalFormatting>
  <conditionalFormatting sqref="JF1:JF1048576 JI1:JI1048576 JM1:JM1048576 JP1:JP1048576">
    <cfRule type="cellIs" dxfId="498" priority="62885" operator="between">
      <formula>$JQ$24</formula>
      <formula>1000</formula>
    </cfRule>
    <cfRule type="cellIs" dxfId="497" priority="62886" operator="between">
      <formula>$JQ$23</formula>
      <formula>$JQ$24</formula>
    </cfRule>
    <cfRule type="cellIs" dxfId="496" priority="62887" operator="between">
      <formula>$JQ$22</formula>
      <formula>$JQ$23</formula>
    </cfRule>
    <cfRule type="cellIs" dxfId="495" priority="62888" operator="between">
      <formula>$JQ$21</formula>
      <formula>$JQ$22</formula>
    </cfRule>
  </conditionalFormatting>
  <conditionalFormatting sqref="KL1:KL1048576 KO1:KO1048576 KS1:KS1048576 KV1:KV1048576">
    <cfRule type="cellIs" dxfId="494" priority="62933" operator="between">
      <formula>$KY$20</formula>
      <formula>1000</formula>
    </cfRule>
    <cfRule type="cellIs" dxfId="493" priority="62934" operator="between">
      <formula>$KY$19</formula>
      <formula>$KY$20</formula>
    </cfRule>
    <cfRule type="cellIs" dxfId="492" priority="62935" operator="between">
      <formula>$KY$18</formula>
      <formula>$KY$19</formula>
    </cfRule>
    <cfRule type="cellIs" dxfId="491" priority="62936" operator="between">
      <formula>$KY$17</formula>
      <formula>$KY$18</formula>
    </cfRule>
  </conditionalFormatting>
  <conditionalFormatting sqref="KN1:KN1048576 KQ1:KQ1048576 KU1:KU1048576 KX1:KX1048576">
    <cfRule type="cellIs" dxfId="490" priority="62981" operator="between">
      <formula>$KY$24</formula>
      <formula>1000</formula>
    </cfRule>
    <cfRule type="cellIs" dxfId="489" priority="62982" operator="between">
      <formula>$KY$23</formula>
      <formula>$KY$24</formula>
    </cfRule>
    <cfRule type="cellIs" dxfId="488" priority="62983" operator="between">
      <formula>$KY$22</formula>
      <formula>$KY$23</formula>
    </cfRule>
    <cfRule type="cellIs" dxfId="487" priority="62984" operator="between">
      <formula>$KY$21</formula>
      <formula>$KY$22</formula>
    </cfRule>
  </conditionalFormatting>
  <conditionalFormatting sqref="LT1:LT1048576 LW1:LW1048576 MA1:MA1048576 MD1:MD1048576">
    <cfRule type="cellIs" dxfId="486" priority="63029" operator="between">
      <formula>$MG$20</formula>
      <formula>1000</formula>
    </cfRule>
    <cfRule type="cellIs" dxfId="485" priority="63030" operator="between">
      <formula>$MG$19</formula>
      <formula>$MG$20</formula>
    </cfRule>
    <cfRule type="cellIs" dxfId="484" priority="63031" operator="between">
      <formula>$MG$18</formula>
      <formula>$MG$19</formula>
    </cfRule>
    <cfRule type="cellIs" dxfId="483" priority="63032" operator="between">
      <formula>$MG$17</formula>
      <formula>$MG$18</formula>
    </cfRule>
  </conditionalFormatting>
  <conditionalFormatting sqref="LV1:LV1048576 LY1:LY1048576 MC1:MC1048576 MF1:MF1048576">
    <cfRule type="cellIs" dxfId="482" priority="63077" operator="between">
      <formula>$MG$24</formula>
      <formula>1000</formula>
    </cfRule>
    <cfRule type="cellIs" dxfId="481" priority="63078" operator="between">
      <formula>$MG$23</formula>
      <formula>$MG$24</formula>
    </cfRule>
    <cfRule type="cellIs" dxfId="480" priority="63079" operator="between">
      <formula>$MG$22</formula>
      <formula>$MG$23</formula>
    </cfRule>
    <cfRule type="cellIs" dxfId="479" priority="63080" operator="between">
      <formula>$MG$21</formula>
      <formula>$MG$22</formula>
    </cfRule>
  </conditionalFormatting>
  <conditionalFormatting sqref="NB1:NB1048576 NE1:NE1048576 NI1:NI1048576">
    <cfRule type="cellIs" dxfId="478" priority="63125" operator="between">
      <formula>$NO$20</formula>
      <formula>1000</formula>
    </cfRule>
    <cfRule type="cellIs" dxfId="477" priority="63126" operator="between">
      <formula>$NO$19</formula>
      <formula>$NO$20</formula>
    </cfRule>
    <cfRule type="cellIs" dxfId="476" priority="63127" operator="between">
      <formula>$NO$18</formula>
      <formula>$NO$19</formula>
    </cfRule>
  </conditionalFormatting>
  <conditionalFormatting sqref="ND1:ND1048576 NG1:NG1048576 NK1:NK1048576 NN1:NN1048576">
    <cfRule type="cellIs" dxfId="475" priority="63152" operator="between">
      <formula>$NO$24</formula>
      <formula>1000</formula>
    </cfRule>
    <cfRule type="cellIs" dxfId="474" priority="63153" operator="between">
      <formula>$NO$23</formula>
      <formula>$NO$24</formula>
    </cfRule>
    <cfRule type="cellIs" dxfId="473" priority="63154" operator="between">
      <formula>$NO$22</formula>
      <formula>$NO$23</formula>
    </cfRule>
    <cfRule type="cellIs" dxfId="472" priority="63155" operator="between">
      <formula>$NO$21</formula>
      <formula>$NO$22</formula>
    </cfRule>
  </conditionalFormatting>
  <conditionalFormatting sqref="OJ1:OJ1048576 OM1:OM1048576 OQ1:OQ1048576 OT1:OT1048576">
    <cfRule type="cellIs" dxfId="471" priority="63200" operator="between">
      <formula>$OW$20</formula>
      <formula>1000</formula>
    </cfRule>
    <cfRule type="cellIs" dxfId="470" priority="63201" operator="between">
      <formula>$OW$19</formula>
      <formula>$OW$20</formula>
    </cfRule>
    <cfRule type="cellIs" dxfId="469" priority="63202" operator="between">
      <formula>$OW$18</formula>
      <formula>$OW$19</formula>
    </cfRule>
    <cfRule type="cellIs" dxfId="468" priority="63203" operator="between">
      <formula>$OW$17</formula>
      <formula>$OW$18</formula>
    </cfRule>
  </conditionalFormatting>
  <conditionalFormatting sqref="OL1:OL1048576 OO1:OO1048576 OS1:OS1048576 OV1:OV1048576">
    <cfRule type="cellIs" dxfId="467" priority="63248" operator="between">
      <formula>$OW$24</formula>
      <formula>1000</formula>
    </cfRule>
    <cfRule type="cellIs" dxfId="466" priority="63249" operator="between">
      <formula>$OW$23</formula>
      <formula>$OW$24</formula>
    </cfRule>
    <cfRule type="cellIs" dxfId="465" priority="63250" operator="between">
      <formula>$OW$22</formula>
      <formula>$OW$23</formula>
    </cfRule>
    <cfRule type="cellIs" dxfId="464" priority="63251" operator="between">
      <formula>$OW$21</formula>
      <formula>$OW$22</formula>
    </cfRule>
  </conditionalFormatting>
  <conditionalFormatting sqref="PR1:PR1048576 PU1:PU1048576 PY1:PY1048576 QB1:QB1048576">
    <cfRule type="cellIs" dxfId="463" priority="63296" operator="between">
      <formula>$QE$20</formula>
      <formula>1000</formula>
    </cfRule>
    <cfRule type="cellIs" dxfId="462" priority="63297" operator="between">
      <formula>$QE$19</formula>
      <formula>$QE$20</formula>
    </cfRule>
    <cfRule type="cellIs" dxfId="461" priority="63298" operator="between">
      <formula>$QE$18</formula>
      <formula>$QE$19</formula>
    </cfRule>
    <cfRule type="cellIs" dxfId="460" priority="63299" operator="between">
      <formula>$QE$17</formula>
      <formula>$QE$18</formula>
    </cfRule>
  </conditionalFormatting>
  <conditionalFormatting sqref="PT1:PT1048576 PW1:PW1048576 QA1:QA1048576 QD1:QD1048576">
    <cfRule type="cellIs" dxfId="459" priority="63344" operator="between">
      <formula>$QE$24</formula>
      <formula>1000</formula>
    </cfRule>
    <cfRule type="cellIs" dxfId="458" priority="63345" operator="between">
      <formula>$QE$23</formula>
      <formula>$QE$24</formula>
    </cfRule>
    <cfRule type="cellIs" dxfId="457" priority="63346" operator="between">
      <formula>$QE$22</formula>
      <formula>$QE$23</formula>
    </cfRule>
    <cfRule type="cellIs" dxfId="456" priority="63347" operator="between">
      <formula>$QE$21</formula>
      <formula>$QE$22</formula>
    </cfRule>
  </conditionalFormatting>
  <conditionalFormatting sqref="QZ1:QZ1048576 RC1:RC1048576 RG1:RG1048576 RJ1:RJ1048576">
    <cfRule type="cellIs" dxfId="455" priority="63392" operator="between">
      <formula>$RM$20</formula>
      <formula>1000</formula>
    </cfRule>
    <cfRule type="cellIs" dxfId="454" priority="63393" operator="between">
      <formula>$RM$19</formula>
      <formula>$RM$20</formula>
    </cfRule>
    <cfRule type="cellIs" dxfId="453" priority="63394" operator="between">
      <formula>$RM$18</formula>
      <formula>$RM$19</formula>
    </cfRule>
    <cfRule type="cellIs" dxfId="452" priority="63395" operator="between">
      <formula>$RM$17</formula>
      <formula>$RM$18</formula>
    </cfRule>
  </conditionalFormatting>
  <conditionalFormatting sqref="RB1:RB1048576 RE1:RE1048576 RI1:RI1048576 RL1:RL1048576">
    <cfRule type="cellIs" dxfId="451" priority="63440" operator="between">
      <formula>$RM$24</formula>
      <formula>1000</formula>
    </cfRule>
    <cfRule type="cellIs" dxfId="450" priority="63441" operator="between">
      <formula>$RM$23</formula>
      <formula>$RM$24</formula>
    </cfRule>
    <cfRule type="cellIs" dxfId="449" priority="63442" operator="between">
      <formula>$RM$22</formula>
      <formula>$RM$23</formula>
    </cfRule>
    <cfRule type="cellIs" dxfId="448" priority="63443" operator="between">
      <formula>$RM$21</formula>
      <formula>$RM$22</formula>
    </cfRule>
  </conditionalFormatting>
  <conditionalFormatting sqref="SH1:SH1048576 SK1:SK1048576 SO1:SO1048576 SR1:SR1048576">
    <cfRule type="cellIs" dxfId="447" priority="63488" operator="between">
      <formula>$SU$20</formula>
      <formula>1000</formula>
    </cfRule>
    <cfRule type="cellIs" dxfId="446" priority="63489" operator="between">
      <formula>$SU$19</formula>
      <formula>$SU$20</formula>
    </cfRule>
    <cfRule type="cellIs" dxfId="445" priority="63490" operator="between">
      <formula>$SU$18</formula>
      <formula>$SU$19</formula>
    </cfRule>
    <cfRule type="cellIs" dxfId="444" priority="63491" operator="between">
      <formula>$SU$17</formula>
      <formula>$SU$18</formula>
    </cfRule>
  </conditionalFormatting>
  <conditionalFormatting sqref="SJ1:SJ1048576 SM1:SM1048576 SQ1:SQ1048576 ST1:ST1048576">
    <cfRule type="cellIs" dxfId="443" priority="63536" operator="between">
      <formula>$SU$24</formula>
      <formula>1000</formula>
    </cfRule>
    <cfRule type="cellIs" dxfId="442" priority="63537" operator="between">
      <formula>$SU$23</formula>
      <formula>$SU$24</formula>
    </cfRule>
    <cfRule type="cellIs" dxfId="441" priority="63538" operator="between">
      <formula>$SU$22</formula>
      <formula>$SU$23</formula>
    </cfRule>
    <cfRule type="cellIs" dxfId="440" priority="63539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3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32" width="10.83203125" hidden="1" customWidth="1"/>
    <col min="233" max="233" width="10.83203125" style="70" hidden="1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2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2" t="s">
        <v>12</v>
      </c>
      <c r="H1" s="112" t="s">
        <v>13</v>
      </c>
      <c r="I1" s="112" t="s">
        <v>96</v>
      </c>
      <c r="J1" s="118" t="s">
        <v>145</v>
      </c>
      <c r="K1" s="114" t="s">
        <v>37</v>
      </c>
      <c r="L1" s="117" t="s">
        <v>15</v>
      </c>
      <c r="M1" s="114" t="s">
        <v>38</v>
      </c>
      <c r="N1" s="114" t="s">
        <v>37</v>
      </c>
      <c r="O1" s="115" t="s">
        <v>104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111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146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15</v>
      </c>
      <c r="CS1" s="121"/>
      <c r="CT1" s="115" t="s">
        <v>116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125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176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72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20</v>
      </c>
      <c r="P2" s="116"/>
      <c r="Q2" s="116"/>
      <c r="R2" s="116"/>
      <c r="S2" s="116"/>
      <c r="T2" s="116" t="s">
        <v>21</v>
      </c>
      <c r="U2" s="116"/>
      <c r="V2" s="116"/>
      <c r="W2" s="116"/>
      <c r="X2" s="116"/>
      <c r="Y2" s="116" t="s">
        <v>24</v>
      </c>
      <c r="Z2" s="116"/>
      <c r="AA2" s="116"/>
      <c r="AB2" s="116"/>
      <c r="AC2" s="116"/>
      <c r="AD2" s="101"/>
      <c r="AE2" s="101" t="s">
        <v>135</v>
      </c>
      <c r="AF2" s="101" t="s">
        <v>186</v>
      </c>
      <c r="AG2" s="101" t="s">
        <v>22</v>
      </c>
      <c r="AH2" s="101" t="s">
        <v>87</v>
      </c>
      <c r="AI2" s="101" t="s">
        <v>185</v>
      </c>
      <c r="AJ2" s="101" t="s">
        <v>23</v>
      </c>
      <c r="AK2" s="101" t="s">
        <v>25</v>
      </c>
      <c r="AL2" s="101" t="s">
        <v>138</v>
      </c>
      <c r="AM2" s="101" t="s">
        <v>187</v>
      </c>
      <c r="AN2" s="101" t="s">
        <v>24</v>
      </c>
      <c r="AO2" s="101" t="s">
        <v>19</v>
      </c>
      <c r="AP2" s="119" t="s">
        <v>20</v>
      </c>
      <c r="AQ2" s="119"/>
      <c r="AR2" s="119"/>
      <c r="AS2" s="119"/>
      <c r="AT2" s="119"/>
      <c r="AU2" s="119" t="s">
        <v>21</v>
      </c>
      <c r="AV2" s="119"/>
      <c r="AW2" s="119"/>
      <c r="AX2" s="119"/>
      <c r="AY2" s="119"/>
      <c r="AZ2" s="119" t="s">
        <v>24</v>
      </c>
      <c r="BA2" s="119"/>
      <c r="BB2" s="119"/>
      <c r="BC2" s="119"/>
      <c r="BD2" s="119"/>
      <c r="BE2" s="102"/>
      <c r="BF2" s="102" t="s">
        <v>135</v>
      </c>
      <c r="BG2" s="102" t="s">
        <v>186</v>
      </c>
      <c r="BH2" s="102" t="s">
        <v>22</v>
      </c>
      <c r="BI2" s="102" t="s">
        <v>87</v>
      </c>
      <c r="BJ2" s="102" t="s">
        <v>185</v>
      </c>
      <c r="BK2" s="102" t="s">
        <v>23</v>
      </c>
      <c r="BL2" s="102" t="s">
        <v>25</v>
      </c>
      <c r="BM2" s="102" t="s">
        <v>138</v>
      </c>
      <c r="BN2" s="102" t="s">
        <v>187</v>
      </c>
      <c r="BO2" s="102" t="s">
        <v>24</v>
      </c>
      <c r="BP2" s="102" t="s">
        <v>19</v>
      </c>
      <c r="BQ2" s="116" t="s">
        <v>20</v>
      </c>
      <c r="BR2" s="116"/>
      <c r="BS2" s="116"/>
      <c r="BT2" s="116"/>
      <c r="BU2" s="116"/>
      <c r="BV2" s="116" t="s">
        <v>21</v>
      </c>
      <c r="BW2" s="116"/>
      <c r="BX2" s="116"/>
      <c r="BY2" s="116"/>
      <c r="BZ2" s="116"/>
      <c r="CA2" s="116" t="s">
        <v>24</v>
      </c>
      <c r="CB2" s="116"/>
      <c r="CC2" s="116"/>
      <c r="CD2" s="116"/>
      <c r="CE2" s="116"/>
      <c r="CF2" s="101"/>
      <c r="CG2" s="101" t="s">
        <v>135</v>
      </c>
      <c r="CH2" s="101" t="s">
        <v>186</v>
      </c>
      <c r="CI2" s="101" t="s">
        <v>22</v>
      </c>
      <c r="CJ2" s="101" t="s">
        <v>87</v>
      </c>
      <c r="CK2" s="101" t="s">
        <v>185</v>
      </c>
      <c r="CL2" s="101" t="s">
        <v>23</v>
      </c>
      <c r="CM2" s="101" t="s">
        <v>25</v>
      </c>
      <c r="CN2" s="101" t="s">
        <v>138</v>
      </c>
      <c r="CO2" s="101" t="s">
        <v>187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6" t="s">
        <v>20</v>
      </c>
      <c r="CU2" s="116"/>
      <c r="CV2" s="116"/>
      <c r="CW2" s="116"/>
      <c r="CX2" s="116"/>
      <c r="CY2" s="116" t="s">
        <v>21</v>
      </c>
      <c r="CZ2" s="116"/>
      <c r="DA2" s="116"/>
      <c r="DB2" s="116"/>
      <c r="DC2" s="116"/>
      <c r="DD2" s="116" t="s">
        <v>140</v>
      </c>
      <c r="DE2" s="116"/>
      <c r="DF2" s="116"/>
      <c r="DG2" s="116"/>
      <c r="DH2" s="116"/>
      <c r="DI2" s="116" t="s">
        <v>24</v>
      </c>
      <c r="DJ2" s="116"/>
      <c r="DK2" s="116"/>
      <c r="DL2" s="116"/>
      <c r="DM2" s="116"/>
      <c r="DN2" s="101" t="s">
        <v>135</v>
      </c>
      <c r="DO2" s="101" t="s">
        <v>186</v>
      </c>
      <c r="DP2" s="101" t="s">
        <v>22</v>
      </c>
      <c r="DQ2" s="101" t="s">
        <v>87</v>
      </c>
      <c r="DR2" s="101" t="s">
        <v>185</v>
      </c>
      <c r="DS2" s="101" t="s">
        <v>23</v>
      </c>
      <c r="DT2" s="101" t="s">
        <v>25</v>
      </c>
      <c r="DU2" s="101" t="s">
        <v>141</v>
      </c>
      <c r="DV2" s="101" t="s">
        <v>188</v>
      </c>
      <c r="DW2" s="101" t="s">
        <v>140</v>
      </c>
      <c r="DX2" s="101" t="s">
        <v>138</v>
      </c>
      <c r="DY2" s="101" t="s">
        <v>187</v>
      </c>
      <c r="DZ2" s="101" t="s">
        <v>24</v>
      </c>
      <c r="EA2" s="101" t="s">
        <v>19</v>
      </c>
      <c r="EB2" s="119" t="s">
        <v>20</v>
      </c>
      <c r="EC2" s="119"/>
      <c r="ED2" s="119"/>
      <c r="EE2" s="119"/>
      <c r="EF2" s="119"/>
      <c r="EG2" s="119" t="s">
        <v>21</v>
      </c>
      <c r="EH2" s="119"/>
      <c r="EI2" s="119"/>
      <c r="EJ2" s="119"/>
      <c r="EK2" s="119"/>
      <c r="EL2" s="119" t="s">
        <v>140</v>
      </c>
      <c r="EM2" s="119"/>
      <c r="EN2" s="119"/>
      <c r="EO2" s="119"/>
      <c r="EP2" s="119"/>
      <c r="EQ2" s="119" t="s">
        <v>24</v>
      </c>
      <c r="ER2" s="119"/>
      <c r="ES2" s="119"/>
      <c r="ET2" s="119"/>
      <c r="EU2" s="119"/>
      <c r="EV2" s="102" t="s">
        <v>135</v>
      </c>
      <c r="EW2" s="102" t="s">
        <v>186</v>
      </c>
      <c r="EX2" s="102" t="s">
        <v>22</v>
      </c>
      <c r="EY2" s="102" t="s">
        <v>87</v>
      </c>
      <c r="EZ2" s="102" t="s">
        <v>185</v>
      </c>
      <c r="FA2" s="102" t="s">
        <v>23</v>
      </c>
      <c r="FB2" s="102" t="s">
        <v>25</v>
      </c>
      <c r="FC2" s="102" t="s">
        <v>141</v>
      </c>
      <c r="FD2" s="102" t="s">
        <v>188</v>
      </c>
      <c r="FE2" s="102" t="s">
        <v>140</v>
      </c>
      <c r="FF2" s="102" t="s">
        <v>138</v>
      </c>
      <c r="FG2" s="102" t="s">
        <v>187</v>
      </c>
      <c r="FH2" s="102" t="s">
        <v>24</v>
      </c>
      <c r="FI2" s="102" t="s">
        <v>19</v>
      </c>
      <c r="FJ2" s="116" t="s">
        <v>20</v>
      </c>
      <c r="FK2" s="116"/>
      <c r="FL2" s="116"/>
      <c r="FM2" s="116"/>
      <c r="FN2" s="116"/>
      <c r="FO2" s="116" t="s">
        <v>21</v>
      </c>
      <c r="FP2" s="116"/>
      <c r="FQ2" s="116"/>
      <c r="FR2" s="116"/>
      <c r="FS2" s="116"/>
      <c r="FT2" s="116" t="s">
        <v>140</v>
      </c>
      <c r="FU2" s="116"/>
      <c r="FV2" s="116"/>
      <c r="FW2" s="116"/>
      <c r="FX2" s="116"/>
      <c r="FY2" s="116" t="s">
        <v>24</v>
      </c>
      <c r="FZ2" s="116"/>
      <c r="GA2" s="116"/>
      <c r="GB2" s="116"/>
      <c r="GC2" s="116"/>
      <c r="GD2" s="101" t="s">
        <v>135</v>
      </c>
      <c r="GE2" s="101" t="s">
        <v>186</v>
      </c>
      <c r="GF2" s="101" t="s">
        <v>22</v>
      </c>
      <c r="GG2" s="101" t="s">
        <v>87</v>
      </c>
      <c r="GH2" s="101" t="s">
        <v>185</v>
      </c>
      <c r="GI2" s="101" t="s">
        <v>23</v>
      </c>
      <c r="GJ2" s="101" t="s">
        <v>25</v>
      </c>
      <c r="GK2" s="101" t="s">
        <v>141</v>
      </c>
      <c r="GL2" s="101" t="s">
        <v>188</v>
      </c>
      <c r="GM2" s="101" t="s">
        <v>140</v>
      </c>
      <c r="GN2" s="101" t="s">
        <v>138</v>
      </c>
      <c r="GO2" s="101" t="s">
        <v>187</v>
      </c>
      <c r="GP2" s="101" t="s">
        <v>24</v>
      </c>
      <c r="GQ2" s="101" t="s">
        <v>19</v>
      </c>
      <c r="GR2" s="119" t="s">
        <v>20</v>
      </c>
      <c r="GS2" s="119"/>
      <c r="GT2" s="119"/>
      <c r="GU2" s="119"/>
      <c r="GV2" s="119"/>
      <c r="GW2" s="119" t="s">
        <v>21</v>
      </c>
      <c r="GX2" s="119"/>
      <c r="GY2" s="119"/>
      <c r="GZ2" s="119"/>
      <c r="HA2" s="119"/>
      <c r="HB2" s="119" t="s">
        <v>140</v>
      </c>
      <c r="HC2" s="119"/>
      <c r="HD2" s="119"/>
      <c r="HE2" s="119"/>
      <c r="HF2" s="119"/>
      <c r="HG2" s="119" t="s">
        <v>24</v>
      </c>
      <c r="HH2" s="119"/>
      <c r="HI2" s="119"/>
      <c r="HJ2" s="119"/>
      <c r="HK2" s="119"/>
      <c r="HL2" s="102" t="s">
        <v>135</v>
      </c>
      <c r="HM2" s="102" t="s">
        <v>186</v>
      </c>
      <c r="HN2" s="102" t="s">
        <v>22</v>
      </c>
      <c r="HO2" s="102" t="s">
        <v>87</v>
      </c>
      <c r="HP2" s="102" t="s">
        <v>185</v>
      </c>
      <c r="HQ2" s="102" t="s">
        <v>23</v>
      </c>
      <c r="HR2" s="102" t="s">
        <v>25</v>
      </c>
      <c r="HS2" s="102" t="s">
        <v>141</v>
      </c>
      <c r="HT2" s="102" t="s">
        <v>188</v>
      </c>
      <c r="HU2" s="102" t="s">
        <v>140</v>
      </c>
      <c r="HV2" s="102" t="s">
        <v>138</v>
      </c>
      <c r="HW2" s="102" t="s">
        <v>187</v>
      </c>
      <c r="HX2" s="102" t="s">
        <v>24</v>
      </c>
      <c r="HY2" s="102" t="s">
        <v>19</v>
      </c>
      <c r="HZ2" s="116" t="s">
        <v>20</v>
      </c>
      <c r="IA2" s="116"/>
      <c r="IB2" s="116"/>
      <c r="IC2" s="116"/>
      <c r="ID2" s="116"/>
      <c r="IE2" s="116" t="s">
        <v>21</v>
      </c>
      <c r="IF2" s="116"/>
      <c r="IG2" s="116"/>
      <c r="IH2" s="116"/>
      <c r="II2" s="116"/>
      <c r="IJ2" s="116" t="s">
        <v>140</v>
      </c>
      <c r="IK2" s="116"/>
      <c r="IL2" s="116"/>
      <c r="IM2" s="116"/>
      <c r="IN2" s="116"/>
      <c r="IO2" s="116" t="s">
        <v>24</v>
      </c>
      <c r="IP2" s="116"/>
      <c r="IQ2" s="116"/>
      <c r="IR2" s="116"/>
      <c r="IS2" s="116"/>
      <c r="IT2" s="101" t="s">
        <v>135</v>
      </c>
      <c r="IU2" s="101" t="s">
        <v>186</v>
      </c>
      <c r="IV2" s="101" t="s">
        <v>22</v>
      </c>
      <c r="IW2" s="101" t="s">
        <v>87</v>
      </c>
      <c r="IX2" s="101" t="s">
        <v>185</v>
      </c>
      <c r="IY2" s="101" t="s">
        <v>23</v>
      </c>
      <c r="IZ2" s="101" t="s">
        <v>25</v>
      </c>
      <c r="JA2" s="101" t="s">
        <v>141</v>
      </c>
      <c r="JB2" s="101" t="s">
        <v>188</v>
      </c>
      <c r="JC2" s="101" t="s">
        <v>140</v>
      </c>
      <c r="JD2" s="101" t="s">
        <v>138</v>
      </c>
      <c r="JE2" s="101" t="s">
        <v>187</v>
      </c>
      <c r="JF2" s="101" t="s">
        <v>24</v>
      </c>
      <c r="JG2" s="101" t="s">
        <v>19</v>
      </c>
      <c r="JH2" s="119" t="s">
        <v>20</v>
      </c>
      <c r="JI2" s="119"/>
      <c r="JJ2" s="119"/>
      <c r="JK2" s="119"/>
      <c r="JL2" s="119"/>
      <c r="JM2" s="119" t="s">
        <v>21</v>
      </c>
      <c r="JN2" s="119"/>
      <c r="JO2" s="119"/>
      <c r="JP2" s="119"/>
      <c r="JQ2" s="119"/>
      <c r="JR2" s="119" t="s">
        <v>140</v>
      </c>
      <c r="JS2" s="119"/>
      <c r="JT2" s="119"/>
      <c r="JU2" s="119"/>
      <c r="JV2" s="119"/>
      <c r="JW2" s="119" t="s">
        <v>24</v>
      </c>
      <c r="JX2" s="119"/>
      <c r="JY2" s="119"/>
      <c r="JZ2" s="119"/>
      <c r="KA2" s="119"/>
      <c r="KB2" s="102" t="s">
        <v>135</v>
      </c>
      <c r="KC2" s="102" t="s">
        <v>186</v>
      </c>
      <c r="KD2" s="102" t="s">
        <v>22</v>
      </c>
      <c r="KE2" s="102" t="s">
        <v>87</v>
      </c>
      <c r="KF2" s="102" t="s">
        <v>185</v>
      </c>
      <c r="KG2" s="102" t="s">
        <v>23</v>
      </c>
      <c r="KH2" s="102" t="s">
        <v>25</v>
      </c>
      <c r="KI2" s="102" t="s">
        <v>141</v>
      </c>
      <c r="KJ2" s="102" t="s">
        <v>188</v>
      </c>
      <c r="KK2" s="102" t="s">
        <v>140</v>
      </c>
      <c r="KL2" s="102" t="s">
        <v>138</v>
      </c>
      <c r="KM2" s="102" t="s">
        <v>187</v>
      </c>
      <c r="KN2" s="102" t="s">
        <v>24</v>
      </c>
      <c r="KO2" s="102" t="s">
        <v>19</v>
      </c>
      <c r="KP2" s="116" t="s">
        <v>20</v>
      </c>
      <c r="KQ2" s="116"/>
      <c r="KR2" s="116"/>
      <c r="KS2" s="116"/>
      <c r="KT2" s="116"/>
      <c r="KU2" s="116" t="s">
        <v>21</v>
      </c>
      <c r="KV2" s="116"/>
      <c r="KW2" s="116"/>
      <c r="KX2" s="116"/>
      <c r="KY2" s="116"/>
      <c r="KZ2" s="116" t="s">
        <v>140</v>
      </c>
      <c r="LA2" s="116"/>
      <c r="LB2" s="116"/>
      <c r="LC2" s="116"/>
      <c r="LD2" s="116"/>
      <c r="LE2" s="116" t="s">
        <v>24</v>
      </c>
      <c r="LF2" s="116"/>
      <c r="LG2" s="116"/>
      <c r="LH2" s="116"/>
      <c r="LI2" s="116"/>
      <c r="LJ2" s="101" t="s">
        <v>135</v>
      </c>
      <c r="LK2" s="101" t="s">
        <v>186</v>
      </c>
      <c r="LL2" s="101" t="s">
        <v>22</v>
      </c>
      <c r="LM2" s="101" t="s">
        <v>87</v>
      </c>
      <c r="LN2" s="101" t="s">
        <v>185</v>
      </c>
      <c r="LO2" s="101" t="s">
        <v>23</v>
      </c>
      <c r="LP2" s="101" t="s">
        <v>25</v>
      </c>
      <c r="LQ2" s="101" t="s">
        <v>141</v>
      </c>
      <c r="LR2" s="101" t="s">
        <v>188</v>
      </c>
      <c r="LS2" s="101" t="s">
        <v>140</v>
      </c>
      <c r="LT2" s="101" t="s">
        <v>138</v>
      </c>
      <c r="LU2" s="101" t="s">
        <v>187</v>
      </c>
      <c r="LV2" s="101" t="s">
        <v>24</v>
      </c>
      <c r="LW2" s="101" t="s">
        <v>19</v>
      </c>
      <c r="LX2" s="119" t="s">
        <v>20</v>
      </c>
      <c r="LY2" s="119"/>
      <c r="LZ2" s="119"/>
      <c r="MA2" s="119"/>
      <c r="MB2" s="119"/>
      <c r="MC2" s="119" t="s">
        <v>21</v>
      </c>
      <c r="MD2" s="119"/>
      <c r="ME2" s="119"/>
      <c r="MF2" s="119"/>
      <c r="MG2" s="119"/>
      <c r="MH2" s="119" t="s">
        <v>140</v>
      </c>
      <c r="MI2" s="119"/>
      <c r="MJ2" s="119"/>
      <c r="MK2" s="119"/>
      <c r="ML2" s="119"/>
      <c r="MM2" s="119" t="s">
        <v>24</v>
      </c>
      <c r="MN2" s="119"/>
      <c r="MO2" s="119"/>
      <c r="MP2" s="119"/>
      <c r="MQ2" s="119"/>
      <c r="MR2" s="102" t="s">
        <v>135</v>
      </c>
      <c r="MS2" s="102" t="s">
        <v>186</v>
      </c>
      <c r="MT2" s="102" t="s">
        <v>22</v>
      </c>
      <c r="MU2" s="102" t="s">
        <v>87</v>
      </c>
      <c r="MV2" s="102" t="s">
        <v>185</v>
      </c>
      <c r="MW2" s="102" t="s">
        <v>23</v>
      </c>
      <c r="MX2" s="102" t="s">
        <v>25</v>
      </c>
      <c r="MY2" s="102" t="s">
        <v>141</v>
      </c>
      <c r="MZ2" s="102" t="s">
        <v>188</v>
      </c>
      <c r="NA2" s="102" t="s">
        <v>140</v>
      </c>
      <c r="NB2" s="102" t="s">
        <v>138</v>
      </c>
      <c r="NC2" s="102" t="s">
        <v>187</v>
      </c>
      <c r="ND2" s="102" t="s">
        <v>24</v>
      </c>
      <c r="NE2" s="102" t="s">
        <v>19</v>
      </c>
      <c r="NF2" s="116" t="s">
        <v>20</v>
      </c>
      <c r="NG2" s="116"/>
      <c r="NH2" s="116"/>
      <c r="NI2" s="116"/>
      <c r="NJ2" s="116"/>
      <c r="NK2" s="116" t="s">
        <v>21</v>
      </c>
      <c r="NL2" s="116"/>
      <c r="NM2" s="116"/>
      <c r="NN2" s="116"/>
      <c r="NO2" s="116"/>
      <c r="NP2" s="116" t="s">
        <v>140</v>
      </c>
      <c r="NQ2" s="116"/>
      <c r="NR2" s="116"/>
      <c r="NS2" s="116"/>
      <c r="NT2" s="116"/>
      <c r="NU2" s="116" t="s">
        <v>24</v>
      </c>
      <c r="NV2" s="116"/>
      <c r="NW2" s="116"/>
      <c r="NX2" s="116"/>
      <c r="NY2" s="116"/>
      <c r="NZ2" s="101" t="s">
        <v>135</v>
      </c>
      <c r="OA2" s="101" t="s">
        <v>186</v>
      </c>
      <c r="OB2" s="101" t="s">
        <v>22</v>
      </c>
      <c r="OC2" s="101" t="s">
        <v>87</v>
      </c>
      <c r="OD2" s="101" t="s">
        <v>185</v>
      </c>
      <c r="OE2" s="101" t="s">
        <v>23</v>
      </c>
      <c r="OF2" s="101" t="s">
        <v>25</v>
      </c>
      <c r="OG2" s="101" t="s">
        <v>141</v>
      </c>
      <c r="OH2" s="101" t="s">
        <v>188</v>
      </c>
      <c r="OI2" s="101" t="s">
        <v>140</v>
      </c>
      <c r="OJ2" s="101" t="s">
        <v>138</v>
      </c>
      <c r="OK2" s="101" t="s">
        <v>187</v>
      </c>
      <c r="OL2" s="101" t="s">
        <v>24</v>
      </c>
      <c r="OM2" s="101" t="s">
        <v>19</v>
      </c>
      <c r="ON2" s="119" t="s">
        <v>20</v>
      </c>
      <c r="OO2" s="119"/>
      <c r="OP2" s="119"/>
      <c r="OQ2" s="119"/>
      <c r="OR2" s="119"/>
      <c r="OS2" s="119" t="s">
        <v>21</v>
      </c>
      <c r="OT2" s="119"/>
      <c r="OU2" s="119"/>
      <c r="OV2" s="119"/>
      <c r="OW2" s="119"/>
      <c r="OX2" s="119" t="s">
        <v>140</v>
      </c>
      <c r="OY2" s="119"/>
      <c r="OZ2" s="119"/>
      <c r="PA2" s="119"/>
      <c r="PB2" s="119"/>
      <c r="PC2" s="119" t="s">
        <v>24</v>
      </c>
      <c r="PD2" s="119"/>
      <c r="PE2" s="119"/>
      <c r="PF2" s="119"/>
      <c r="PG2" s="119"/>
      <c r="PH2" s="102" t="s">
        <v>135</v>
      </c>
      <c r="PI2" s="102" t="s">
        <v>186</v>
      </c>
      <c r="PJ2" s="102" t="s">
        <v>22</v>
      </c>
      <c r="PK2" s="102" t="s">
        <v>87</v>
      </c>
      <c r="PL2" s="102" t="s">
        <v>185</v>
      </c>
      <c r="PM2" s="102" t="s">
        <v>23</v>
      </c>
      <c r="PN2" s="102" t="s">
        <v>25</v>
      </c>
      <c r="PO2" s="102" t="s">
        <v>141</v>
      </c>
      <c r="PP2" s="102" t="s">
        <v>188</v>
      </c>
      <c r="PQ2" s="102" t="s">
        <v>140</v>
      </c>
      <c r="PR2" s="102" t="s">
        <v>138</v>
      </c>
      <c r="PS2" s="102" t="s">
        <v>187</v>
      </c>
      <c r="PT2" s="102" t="s">
        <v>24</v>
      </c>
      <c r="PU2" s="102" t="s">
        <v>19</v>
      </c>
      <c r="PV2" s="116" t="s">
        <v>20</v>
      </c>
      <c r="PW2" s="116"/>
      <c r="PX2" s="116"/>
      <c r="PY2" s="116"/>
      <c r="PZ2" s="116"/>
      <c r="QA2" s="116" t="s">
        <v>21</v>
      </c>
      <c r="QB2" s="116"/>
      <c r="QC2" s="116"/>
      <c r="QD2" s="116"/>
      <c r="QE2" s="116"/>
      <c r="QF2" s="116" t="s">
        <v>140</v>
      </c>
      <c r="QG2" s="116"/>
      <c r="QH2" s="116"/>
      <c r="QI2" s="116"/>
      <c r="QJ2" s="116"/>
      <c r="QK2" s="116" t="s">
        <v>24</v>
      </c>
      <c r="QL2" s="116"/>
      <c r="QM2" s="116"/>
      <c r="QN2" s="116"/>
      <c r="QO2" s="116"/>
      <c r="QP2" s="101" t="s">
        <v>135</v>
      </c>
      <c r="QQ2" s="101" t="s">
        <v>186</v>
      </c>
      <c r="QR2" s="101" t="s">
        <v>22</v>
      </c>
      <c r="QS2" s="101" t="s">
        <v>87</v>
      </c>
      <c r="QT2" s="101" t="s">
        <v>185</v>
      </c>
      <c r="QU2" s="101" t="s">
        <v>23</v>
      </c>
      <c r="QV2" s="101" t="s">
        <v>25</v>
      </c>
      <c r="QW2" s="101" t="s">
        <v>141</v>
      </c>
      <c r="QX2" s="101" t="s">
        <v>188</v>
      </c>
      <c r="QY2" s="101" t="s">
        <v>140</v>
      </c>
      <c r="QZ2" s="101" t="s">
        <v>138</v>
      </c>
      <c r="RA2" s="101" t="s">
        <v>187</v>
      </c>
      <c r="RB2" s="101" t="s">
        <v>24</v>
      </c>
      <c r="RC2" s="101" t="s">
        <v>19</v>
      </c>
      <c r="RD2" s="119" t="s">
        <v>20</v>
      </c>
      <c r="RE2" s="119"/>
      <c r="RF2" s="119"/>
      <c r="RG2" s="119"/>
      <c r="RH2" s="119"/>
      <c r="RI2" s="119" t="s">
        <v>21</v>
      </c>
      <c r="RJ2" s="119"/>
      <c r="RK2" s="119"/>
      <c r="RL2" s="119"/>
      <c r="RM2" s="119"/>
      <c r="RN2" s="119" t="s">
        <v>140</v>
      </c>
      <c r="RO2" s="119"/>
      <c r="RP2" s="119"/>
      <c r="RQ2" s="119"/>
      <c r="RR2" s="119"/>
      <c r="RS2" s="119" t="s">
        <v>24</v>
      </c>
      <c r="RT2" s="119"/>
      <c r="RU2" s="119"/>
      <c r="RV2" s="119"/>
      <c r="RW2" s="119"/>
      <c r="RX2" s="102" t="s">
        <v>135</v>
      </c>
      <c r="RY2" s="102" t="s">
        <v>186</v>
      </c>
      <c r="RZ2" s="102" t="s">
        <v>22</v>
      </c>
      <c r="SA2" s="102" t="s">
        <v>87</v>
      </c>
      <c r="SB2" s="102" t="s">
        <v>185</v>
      </c>
      <c r="SC2" s="102" t="s">
        <v>23</v>
      </c>
      <c r="SD2" s="102" t="s">
        <v>25</v>
      </c>
      <c r="SE2" s="102" t="s">
        <v>141</v>
      </c>
      <c r="SF2" s="102" t="s">
        <v>188</v>
      </c>
      <c r="SG2" s="102" t="s">
        <v>140</v>
      </c>
      <c r="SH2" s="102" t="s">
        <v>138</v>
      </c>
      <c r="SI2" s="102" t="s">
        <v>187</v>
      </c>
      <c r="SJ2" s="102" t="s">
        <v>24</v>
      </c>
      <c r="SK2" s="102" t="s">
        <v>19</v>
      </c>
      <c r="SL2" s="116" t="s">
        <v>20</v>
      </c>
      <c r="SM2" s="116"/>
      <c r="SN2" s="116"/>
      <c r="SO2" s="116"/>
      <c r="SP2" s="116"/>
      <c r="SQ2" s="116" t="s">
        <v>21</v>
      </c>
      <c r="SR2" s="116"/>
      <c r="SS2" s="116"/>
      <c r="ST2" s="116"/>
      <c r="SU2" s="116"/>
      <c r="SV2" s="116" t="s">
        <v>24</v>
      </c>
      <c r="SW2" s="116"/>
      <c r="SX2" s="116"/>
      <c r="SY2" s="116"/>
      <c r="SZ2" s="116"/>
      <c r="TA2" s="101"/>
      <c r="TB2" s="101" t="s">
        <v>135</v>
      </c>
      <c r="TC2" s="101" t="s">
        <v>186</v>
      </c>
      <c r="TD2" s="101" t="s">
        <v>22</v>
      </c>
      <c r="TE2" s="101" t="s">
        <v>87</v>
      </c>
      <c r="TF2" s="101" t="s">
        <v>185</v>
      </c>
      <c r="TG2" s="101" t="s">
        <v>23</v>
      </c>
      <c r="TH2" s="101" t="s">
        <v>25</v>
      </c>
      <c r="TI2" s="101" t="s">
        <v>138</v>
      </c>
      <c r="TJ2" s="101" t="s">
        <v>187</v>
      </c>
      <c r="TK2" s="101" t="s">
        <v>24</v>
      </c>
      <c r="TL2" s="101" t="s">
        <v>19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16</v>
      </c>
      <c r="P3" s="101" t="s">
        <v>17</v>
      </c>
      <c r="Q3" s="101" t="s">
        <v>11</v>
      </c>
      <c r="R3" s="101" t="s">
        <v>184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184</v>
      </c>
      <c r="X3" s="101" t="s">
        <v>34</v>
      </c>
      <c r="Y3" s="101" t="s">
        <v>16</v>
      </c>
      <c r="Z3" s="101" t="s">
        <v>17</v>
      </c>
      <c r="AA3" s="101" t="s">
        <v>11</v>
      </c>
      <c r="AB3" s="101" t="s">
        <v>184</v>
      </c>
      <c r="AC3" s="101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184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184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184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184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184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184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184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184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184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184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184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184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184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184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184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184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184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184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184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184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184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184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184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184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184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184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184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184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184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184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184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184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184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184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184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184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184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184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184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184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184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184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184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184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184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184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184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184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184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184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184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184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184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184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184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184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184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IF(AND(F4&lt;&gt;"",G4&lt;&gt;""),SUMPRODUCT((F$4:F$8&lt;&gt;"")*(G$4:G$8&lt;&gt;"")*(E$4:E$8&gt;E4))+1,IF(G4&lt;&gt;"",SUMPRODUCT((H$4:H$8="No DD")*(E$4:E$8&gt;E4))+1+SUMPRODUCT((F$4:F$8&lt;&gt;"")*(G$4:G$8&lt;&gt;"")),""))</f>
        <v>1</v>
      </c>
      <c r="B4" s="6" t="s">
        <v>182</v>
      </c>
      <c r="C4" s="7" t="s">
        <v>181</v>
      </c>
      <c r="D4" s="5" t="s">
        <v>180</v>
      </c>
      <c r="E4" s="14">
        <f>SUM(J4,L4)</f>
        <v>0</v>
      </c>
      <c r="F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G4" s="3" t="str">
        <f>IF(OR(AND(AG4&gt;=AO$14,AG4&lt;&gt;"",AD4=""),AND(AJ4&gt;=AO$14,AJ4&lt;&gt;"",AD4=""),AND(AN4&gt;=AO$14,AN4&lt;&gt;"",AD4=""),AND(BH4&gt;=BP$14,BH4&lt;&gt;"",BE4=""),AND(BK4&gt;=BP$14,BK4&lt;&gt;"",BE4=""),AND(BO4&gt;=BP$14,BO4&lt;&gt;"",BE4=""),AND(CI4&gt;=CQ$14,CI4&lt;&gt;"",CF4=""),AND(CL4&gt;=CQ$14,CL4&lt;&gt;"",CF4=""),AND(CP4&gt;=CQ$14,CP4&lt;&gt;"",CF4=""),AND(DP4&gt;=EA$14,DP4&lt;&gt;""),AND(DS4&gt;=EA$14,DS4&lt;&gt;""),AND(DW4&gt;=EA$14,DW4&lt;&gt;""),AND(DZ4&gt;=EA$14,DZ4&lt;&gt;""),AND(EX4&gt;=FI$14,EX4&lt;&gt;""),AND(FA4&gt;=FI$14,FA4&lt;&gt;""),AND(FE4&gt;=FI$14,FE4&lt;&gt;""),AND(FH4&gt;=FI$14,FH4&lt;&gt;""),AND(GF4&gt;=GQ$14,GF4&lt;&gt;""),AND(GI4&gt;=GQ$14,GI4&lt;&gt;""),AND(GM4&gt;=GQ$14,GM4&lt;&gt;""),AND(GP4&gt;=GQ$14,GP4&lt;&gt;""),AND(HN4&gt;=HY$14,HN4&lt;&gt;""),AND(HQ4&gt;=HY$14,HQ4&lt;&gt;""),AND(HU4&gt;=HY$14,HU4&lt;&gt;""),AND(HX4&gt;=HY$14,HX4&lt;&gt;""),AND(IV4&gt;=JG$14,IV4&lt;&gt;""),AND(IY4&gt;=JG$14,IY4&lt;&gt;""),AND(JC4&gt;=JG$14,JC4&lt;&gt;""),AND(JF4&gt;=JG$14,JF4&lt;&gt;""),AND(KD4&gt;=KO$14,KD4&lt;&gt;""),AND(KG4&gt;=KO$14,KG4&lt;&gt;""),AND(KK4&gt;=KO$14,KK4&lt;&gt;""),AND(KN4&gt;=KO$14,KN4&lt;&gt;""),AND(LL4&gt;=LW$14,LL4&lt;&gt;""),AND(LO4&gt;=LW$14,LO4&lt;&gt;""),AND(LS4&gt;=LW$14,LS4&lt;&gt;""),AND(LV4&gt;=LW$14,LV4&lt;&gt;""),AND(MT4&gt;=NE$14,MT4&lt;&gt;""),AND(MW4&gt;=NE$14,MW4&lt;&gt;""),AND(NA4&gt;=NE$14,NA4&lt;&gt;""),AND(ND4&gt;=NE$14,ND4&lt;&gt;""),AND(OB4&gt;=OM$14,OB4&lt;&gt;""),AND(OE4&gt;=OM$14,OE4&lt;&gt;""),AND(OI4&gt;=OM$14,OI4&lt;&gt;""),AND(OL4&gt;=OM$14,OL4&lt;&gt;""),AND(PJ4&gt;=PU$14,PJ4&lt;&gt;""),AND(PM4&gt;=PU$14,PM4&lt;&gt;""),AND(PQ4&gt;=PU$14,PQ4&lt;&gt;""),AND(PT4&gt;=PU$14,PT4&lt;&gt;""),AND(QR4&gt;=RC$14,QR4&lt;&gt;""),AND(QU4&gt;=RC$14,QU4&lt;&gt;""),AND(QY4&gt;=RC$14,QY4&lt;&gt;""),AND(RB4&gt;=RC$14,RB4&lt;&gt;""),AND(RZ4&gt;=SK$14,RZ4&lt;&gt;""),AND(SC4&gt;=SK$14,SC4&lt;&gt;""),AND(SG4&gt;=SK$14,SG4&lt;&gt;""),AND(SJ4&gt;=SK$14,SJ4&lt;&gt;"")),"P","")</f>
        <v>P</v>
      </c>
      <c r="H4" s="70" t="str">
        <f>IF(AND(G4="P",F4=""),"No DD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Merit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Excellence",IF(I4="P","Worlds Team",IF(F4="P","National Team","")))))</f>
        <v>Worlds Team</v>
      </c>
      <c r="I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7.2</v>
      </c>
      <c r="FK4" s="25">
        <v>9.3000000000000007</v>
      </c>
      <c r="FL4" s="25">
        <v>15.2</v>
      </c>
      <c r="FM4" s="25">
        <v>17.62</v>
      </c>
      <c r="FN4" s="25">
        <v>0.4</v>
      </c>
      <c r="FO4" s="25">
        <v>1.55</v>
      </c>
      <c r="FP4" s="25">
        <v>1.85</v>
      </c>
      <c r="FQ4" s="25">
        <v>3.4</v>
      </c>
      <c r="FR4" s="25">
        <v>3.5</v>
      </c>
      <c r="FS4" s="25">
        <v>0</v>
      </c>
      <c r="FT4" s="25"/>
      <c r="FU4" s="25"/>
      <c r="FV4" s="25"/>
      <c r="FW4" s="25"/>
      <c r="FX4" s="25"/>
      <c r="FY4" s="25">
        <v>7.15</v>
      </c>
      <c r="FZ4" s="25">
        <v>9.25</v>
      </c>
      <c r="GA4" s="25">
        <v>15.2</v>
      </c>
      <c r="GB4" s="25">
        <v>16.48</v>
      </c>
      <c r="GC4" s="25">
        <v>0</v>
      </c>
      <c r="GD4" s="76">
        <f>IF(FL4&gt;0,FL4,"")</f>
        <v>15.2</v>
      </c>
      <c r="GE4" s="76">
        <f>IF(FM4&gt;0,FM4,"")</f>
        <v>17.62</v>
      </c>
      <c r="GF4" s="76">
        <f>IF(SUM(FJ4:FM4)-FN4&gt;0,SUM(FJ4:FM4)-FN4,"")</f>
        <v>48.92</v>
      </c>
      <c r="GG4" s="76">
        <f>IF(FQ4&gt;0,FQ4,"")</f>
        <v>3.4</v>
      </c>
      <c r="GH4" s="76">
        <f>IF(FR4&gt;0,FR4,"")</f>
        <v>3.5</v>
      </c>
      <c r="GI4" s="76">
        <f>IF(SUM(FO4:FR4)-FS4&gt;0,SUM(FO4:FR4)-FS4,"")</f>
        <v>10.3</v>
      </c>
      <c r="GJ4" s="76">
        <f>IF(MAX(GF4,GI4)&gt;0,MAX(GF4,GI4),"")</f>
        <v>48.92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>
        <f>IF(GA4&gt;0,GA4,"")</f>
        <v>15.2</v>
      </c>
      <c r="GO4" s="76">
        <f>IF(GB4&gt;0,GB4,"")</f>
        <v>16.48</v>
      </c>
      <c r="GP4" s="76">
        <f>IF(SUM(FY4:GB4)-GC4&gt;0,SUM(FY4:GB4)-GC4,"")</f>
        <v>48.08</v>
      </c>
      <c r="GQ4" s="76">
        <f>IF(SUM(GJ4,GP4)&gt;0,SUM(GJ4,GP4),"")</f>
        <v>97</v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>IF(GT4&gt;0,GT4,"")</f>
        <v/>
      </c>
      <c r="HM4" s="16" t="str">
        <f>IF(GU4&gt;0,GU4,"")</f>
        <v/>
      </c>
      <c r="HN4" s="16" t="str">
        <f>IF(SUM(GR4:GU4)-GV4&gt;0,SUM(GR4:GU4)-GV4,"")</f>
        <v/>
      </c>
      <c r="HO4" s="16" t="str">
        <f>IF(GY4&gt;0,GY4,"")</f>
        <v/>
      </c>
      <c r="HP4" s="16" t="str">
        <f>IF(GZ4&gt;0,GZ4,"")</f>
        <v/>
      </c>
      <c r="HQ4" s="16" t="str">
        <f>IF(SUM(GW4:GZ4)-HA4&gt;0,SUM(GW4:GZ4)-HA4,"")</f>
        <v/>
      </c>
      <c r="HR4" s="16" t="str">
        <f>IF(MAX(HN4,HQ4)&gt;0,MAX(HN4,HQ4),"")</f>
        <v/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 t="str">
        <f>IF(HI4&gt;0,HI4,"")</f>
        <v/>
      </c>
      <c r="HW4" s="16" t="str">
        <f>IF(HJ4&gt;0,HJ4,"")</f>
        <v/>
      </c>
      <c r="HX4" s="16" t="str">
        <f>IF(SUM(HG4:HJ4)-HK4&gt;0,SUM(HG4:HJ4)-HK4,"")</f>
        <v/>
      </c>
      <c r="HY4" s="16" t="str">
        <f>IF(SUM(HR4,HX4)&gt;0,SUM(HR4,HX4),"")</f>
        <v/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t="str" cm="1">
        <f t="array" ref="A5">IF(AND(F5&lt;&gt;"",G5&lt;&gt;""),SUMPRODUCT((F$4:F$8&lt;&gt;"")*(G$4:G$8&lt;&gt;"")*(E$4:E$8&gt;E5))+1,IF(G5&lt;&gt;"",SUMPRODUCT((H$4:H$8="No DD")*(E$4:E$8&gt;E5))+1+SUMPRODUCT((F$4:F$8&lt;&gt;"")*(G$4:G$8&lt;&gt;"")),""))</f>
        <v/>
      </c>
      <c r="B5" s="6" t="s">
        <v>119</v>
      </c>
      <c r="C5" s="7" t="s">
        <v>118</v>
      </c>
      <c r="D5" s="18" t="s">
        <v>117</v>
      </c>
      <c r="E5" s="14">
        <f>SUM(J5,L5)</f>
        <v>0</v>
      </c>
      <c r="F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/>
      </c>
      <c r="G5" s="3" t="str">
        <f>IF(OR(AND(AG5&gt;=AO$14,AG5&lt;&gt;"",AD5=""),AND(AJ5&gt;=AO$14,AJ5&lt;&gt;"",AD5=""),AND(AN5&gt;=AO$14,AN5&lt;&gt;"",AD5=""),AND(BH5&gt;=BP$14,BH5&lt;&gt;"",BE5=""),AND(BK5&gt;=BP$14,BK5&lt;&gt;"",BE5=""),AND(BO5&gt;=BP$14,BO5&lt;&gt;"",BE5=""),AND(CI5&gt;=CQ$14,CI5&lt;&gt;"",CF5=""),AND(CL5&gt;=CQ$14,CL5&lt;&gt;"",CF5=""),AND(CP5&gt;=CQ$14,CP5&lt;&gt;"",CF5=""),AND(DP5&gt;=EA$14,DP5&lt;&gt;""),AND(DS5&gt;=EA$14,DS5&lt;&gt;""),AND(DW5&gt;=EA$14,DW5&lt;&gt;""),AND(DZ5&gt;=EA$14,DZ5&lt;&gt;""),AND(EX5&gt;=FI$14,EX5&lt;&gt;""),AND(FA5&gt;=FI$14,FA5&lt;&gt;""),AND(FE5&gt;=FI$14,FE5&lt;&gt;""),AND(FH5&gt;=FI$14,FH5&lt;&gt;""),AND(GF5&gt;=GQ$14,GF5&lt;&gt;""),AND(GI5&gt;=GQ$14,GI5&lt;&gt;""),AND(GM5&gt;=GQ$14,GM5&lt;&gt;""),AND(GP5&gt;=GQ$14,GP5&lt;&gt;""),AND(HN5&gt;=HY$14,HN5&lt;&gt;""),AND(HQ5&gt;=HY$14,HQ5&lt;&gt;""),AND(HU5&gt;=HY$14,HU5&lt;&gt;""),AND(HX5&gt;=HY$14,HX5&lt;&gt;""),AND(IV5&gt;=JG$14,IV5&lt;&gt;""),AND(IY5&gt;=JG$14,IY5&lt;&gt;""),AND(JC5&gt;=JG$14,JC5&lt;&gt;""),AND(JF5&gt;=JG$14,JF5&lt;&gt;""),AND(KD5&gt;=KO$14,KD5&lt;&gt;""),AND(KG5&gt;=KO$14,KG5&lt;&gt;""),AND(KK5&gt;=KO$14,KK5&lt;&gt;""),AND(KN5&gt;=KO$14,KN5&lt;&gt;""),AND(LL5&gt;=LW$14,LL5&lt;&gt;""),AND(LO5&gt;=LW$14,LO5&lt;&gt;""),AND(LS5&gt;=LW$14,LS5&lt;&gt;""),AND(LV5&gt;=LW$14,LV5&lt;&gt;""),AND(MT5&gt;=NE$14,MT5&lt;&gt;""),AND(MW5&gt;=NE$14,MW5&lt;&gt;""),AND(NA5&gt;=NE$14,NA5&lt;&gt;""),AND(ND5&gt;=NE$14,ND5&lt;&gt;""),AND(OB5&gt;=OM$14,OB5&lt;&gt;""),AND(OE5&gt;=OM$14,OE5&lt;&gt;""),AND(OI5&gt;=OM$14,OI5&lt;&gt;""),AND(OL5&gt;=OM$14,OL5&lt;&gt;""),AND(PJ5&gt;=PU$14,PJ5&lt;&gt;""),AND(PM5&gt;=PU$14,PM5&lt;&gt;""),AND(PQ5&gt;=PU$14,PQ5&lt;&gt;""),AND(PT5&gt;=PU$14,PT5&lt;&gt;""),AND(QR5&gt;=RC$14,QR5&lt;&gt;""),AND(QU5&gt;=RC$14,QU5&lt;&gt;""),AND(QY5&gt;=RC$14,QY5&lt;&gt;""),AND(RB5&gt;=RC$14,RB5&lt;&gt;""),AND(RZ5&gt;=SK$14,RZ5&lt;&gt;""),AND(SC5&gt;=SK$14,SC5&lt;&gt;""),AND(SG5&gt;=SK$14,SG5&lt;&gt;""),AND(SJ5&gt;=SK$14,SJ5&lt;&gt;"")),"P","")</f>
        <v/>
      </c>
      <c r="H5" s="70" t="str">
        <f>IF(AND(G5="P",F5=""),"No DD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Merit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Excellence",IF(I5="P","Worlds Team",IF(F5="P","National Team","")))))</f>
        <v/>
      </c>
      <c r="I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2.2999999999999998</v>
      </c>
      <c r="CU5" s="25">
        <v>2.95</v>
      </c>
      <c r="CV5" s="25">
        <v>5.0999999999999996</v>
      </c>
      <c r="CW5" s="25">
        <v>5.64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>
        <f>IF(CV5&gt;0,CV5,"")</f>
        <v>5.0999999999999996</v>
      </c>
      <c r="DO5" s="76">
        <f>IF(CW5&gt;0,CW5,"")</f>
        <v>5.64</v>
      </c>
      <c r="DP5" s="76">
        <f>IF(SUM(CT5:CW5)-CX5&gt;0,SUM(CT5:CW5)-CX5,"")</f>
        <v>15.989999999999998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15.989999999999998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>
        <f>IF(SUM(DT5,DZ5)&gt;0,SUM(DT5,DZ5),"")</f>
        <v>15.989999999999998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7.05</v>
      </c>
      <c r="ER5" s="26">
        <v>9.1</v>
      </c>
      <c r="ES5" s="26">
        <v>14.4</v>
      </c>
      <c r="ET5" s="26">
        <v>15.96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14.4</v>
      </c>
      <c r="FG5" s="16">
        <f>IF(ET5&gt;0,ET5,"")</f>
        <v>15.96</v>
      </c>
      <c r="FH5" s="16">
        <f>IF(SUM(EQ5:ET5)-EU5&gt;0,SUM(EQ5:ET5)-EU5,"")</f>
        <v>46.51</v>
      </c>
      <c r="FI5" s="16">
        <f>IF(SUM(FB5,FH5)&gt;0,SUM(FB5,FH5),"")</f>
        <v>46.51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IF(AND(F6&lt;&gt;"",G6&lt;&gt;""),SUMPRODUCT((F$4:F$8&lt;&gt;"")*(G$4:G$8&lt;&gt;"")*(E$4:E$8&gt;E6))+1,IF(G6&lt;&gt;"",SUMPRODUCT((H$4:H$8="No DD")*(E$4:E$8&gt;E6))+1+SUMPRODUCT((F$4:F$8&lt;&gt;"")*(G$4:G$8&lt;&gt;"")),""))</f>
        <v/>
      </c>
      <c r="B6" s="6" t="s">
        <v>122</v>
      </c>
      <c r="C6" s="7" t="s">
        <v>121</v>
      </c>
      <c r="D6" s="5" t="s">
        <v>120</v>
      </c>
      <c r="E6" s="14">
        <f>SUM(J6,L6)</f>
        <v>0</v>
      </c>
      <c r="F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G6" s="3" t="str">
        <f>IF(OR(AND(AG6&gt;=AO$14,AG6&lt;&gt;"",AD6=""),AND(AJ6&gt;=AO$14,AJ6&lt;&gt;"",AD6=""),AND(AN6&gt;=AO$14,AN6&lt;&gt;"",AD6=""),AND(BH6&gt;=BP$14,BH6&lt;&gt;"",BE6=""),AND(BK6&gt;=BP$14,BK6&lt;&gt;"",BE6=""),AND(BO6&gt;=BP$14,BO6&lt;&gt;"",BE6=""),AND(CI6&gt;=CQ$14,CI6&lt;&gt;"",CF6=""),AND(CL6&gt;=CQ$14,CL6&lt;&gt;"",CF6=""),AND(CP6&gt;=CQ$14,CP6&lt;&gt;"",CF6=""),AND(DP6&gt;=EA$14,DP6&lt;&gt;""),AND(DS6&gt;=EA$14,DS6&lt;&gt;""),AND(DW6&gt;=EA$14,DW6&lt;&gt;""),AND(DZ6&gt;=EA$14,DZ6&lt;&gt;""),AND(EX6&gt;=FI$14,EX6&lt;&gt;""),AND(FA6&gt;=FI$14,FA6&lt;&gt;""),AND(FE6&gt;=FI$14,FE6&lt;&gt;""),AND(FH6&gt;=FI$14,FH6&lt;&gt;""),AND(GF6&gt;=GQ$14,GF6&lt;&gt;""),AND(GI6&gt;=GQ$14,GI6&lt;&gt;""),AND(GM6&gt;=GQ$14,GM6&lt;&gt;""),AND(GP6&gt;=GQ$14,GP6&lt;&gt;""),AND(HN6&gt;=HY$14,HN6&lt;&gt;""),AND(HQ6&gt;=HY$14,HQ6&lt;&gt;""),AND(HU6&gt;=HY$14,HU6&lt;&gt;""),AND(HX6&gt;=HY$14,HX6&lt;&gt;""),AND(IV6&gt;=JG$14,IV6&lt;&gt;""),AND(IY6&gt;=JG$14,IY6&lt;&gt;""),AND(JC6&gt;=JG$14,JC6&lt;&gt;""),AND(JF6&gt;=JG$14,JF6&lt;&gt;""),AND(KD6&gt;=KO$14,KD6&lt;&gt;""),AND(KG6&gt;=KO$14,KG6&lt;&gt;""),AND(KK6&gt;=KO$14,KK6&lt;&gt;""),AND(KN6&gt;=KO$14,KN6&lt;&gt;""),AND(LL6&gt;=LW$14,LL6&lt;&gt;""),AND(LO6&gt;=LW$14,LO6&lt;&gt;""),AND(LS6&gt;=LW$14,LS6&lt;&gt;""),AND(LV6&gt;=LW$14,LV6&lt;&gt;""),AND(MT6&gt;=NE$14,MT6&lt;&gt;""),AND(MW6&gt;=NE$14,MW6&lt;&gt;""),AND(NA6&gt;=NE$14,NA6&lt;&gt;""),AND(ND6&gt;=NE$14,ND6&lt;&gt;""),AND(OB6&gt;=OM$14,OB6&lt;&gt;""),AND(OE6&gt;=OM$14,OE6&lt;&gt;""),AND(OI6&gt;=OM$14,OI6&lt;&gt;""),AND(OL6&gt;=OM$14,OL6&lt;&gt;""),AND(PJ6&gt;=PU$14,PJ6&lt;&gt;""),AND(PM6&gt;=PU$14,PM6&lt;&gt;""),AND(PQ6&gt;=PU$14,PQ6&lt;&gt;""),AND(PT6&gt;=PU$14,PT6&lt;&gt;""),AND(QR6&gt;=RC$14,QR6&lt;&gt;""),AND(QU6&gt;=RC$14,QU6&lt;&gt;""),AND(QY6&gt;=RC$14,QY6&lt;&gt;""),AND(RB6&gt;=RC$14,RB6&lt;&gt;""),AND(RZ6&gt;=SK$14,RZ6&lt;&gt;""),AND(SC6&gt;=SK$14,SC6&lt;&gt;""),AND(SG6&gt;=SK$14,SG6&lt;&gt;""),AND(SJ6&gt;=SK$14,SJ6&lt;&gt;"")),"P","")</f>
        <v/>
      </c>
      <c r="H6" s="70" t="str">
        <f>IF(AND(G6="P",F6=""),"No DD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Merit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Excellence",IF(I6="P","Worlds Team",IF(F6="P","National Team","")))))</f>
        <v/>
      </c>
      <c r="I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5="",0,J5)=SD6,$RD$1,IF(L6+IF(J5="",0,J5)=QV6,$PV$1,IF(L6+IF(J5="",0,J5)=PN6,$ON$1,IF(L6+IF(J5="",0,J5)=OF6,$NF$1,IF(L6+IF(J5="",0,J5)=MX6,$LX$1,IF(L6+IF(J5="",0,J5)=LP6,$KP$1,IF(L6+IF(J5="",0,J5)=KH6,$JH$1,IF(L6+IF(J5="",0,J5)=IZ6,$HZ$1,IF(L6+IF(J5="",0,J5)=HR6,$GR$1,IF(L6+IF(J5="",0,J5)=GJ6,$FJ$1,IF(L6+IF(J5="",0,J5)=FB6,$EB$1,IF(L6+IF(J5="",0,J5)=DT6,$CT$1)))))))))))),IF(L6=CS6,IF(L6+IF(J5="",0,J5)=SJ6,$RD$1,IF(L6+IF(J5="",0,J5)=RB6,$PV$1,IF(L6+IF(J5="",0,J5)=PT6,$ON$1,IF(L6+IF(J5="",0,J5)=OL6,$NF$1,IF(L6+IF(J5="",0,J5)=ND6,$LX$1,IF(L6+IF(J5="",0,J5)=LV6,$KP$1,IF(L6+IF(J5="",0,J5)=KN6,$JH$1,IF(L6+IF(J5="",0,J5)=JF6,$HZ$1,IF(L6+IF(J5="",0,J5)=HX6,$GR$1,IF(L6+IF(J5="",0,J5)=GP6,$FJ$1,IF(L6+IF(J5="",0,J5)=FH6,$EB$1,IF(L6+IF(J5="",0,J5)=DZ6,$CT$1)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0.75</v>
      </c>
      <c r="CU6" s="25">
        <v>1</v>
      </c>
      <c r="CV6" s="25">
        <v>2</v>
      </c>
      <c r="CW6" s="25">
        <v>1.36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2</v>
      </c>
      <c r="DO6" s="76">
        <f>IF(CW6&gt;0,CW6,"")</f>
        <v>1.36</v>
      </c>
      <c r="DP6" s="76">
        <f>IF(SUM(CT6:CW6)-CX6&gt;0,SUM(CT6:CW6)-CX6,"")</f>
        <v>5.1100000000000003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5.1100000000000003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5.1100000000000003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0</v>
      </c>
      <c r="SM6" s="42">
        <f>IF($CF6="P",BR6,(BR6+AQ6)/2)</f>
        <v>0</v>
      </c>
      <c r="SN6" s="42">
        <f>IF($CF6="P",BS6,(BS6+AR6)/2)</f>
        <v>0</v>
      </c>
      <c r="SO6" s="42">
        <f>IF($CF6="P",BT6,(BT6+AS6)/2)</f>
        <v>0</v>
      </c>
      <c r="SP6" s="42">
        <f>IF($CF6="P",BU6,(BU6+AT6)/2)</f>
        <v>0</v>
      </c>
      <c r="SQ6" s="42">
        <f>IF($CF6="P",BV6,(BV6+AU6)/2)</f>
        <v>0</v>
      </c>
      <c r="SR6" s="42">
        <f>IF($CF6="P",BW6,(BW6+AV6)/2)</f>
        <v>0</v>
      </c>
      <c r="SS6" s="42">
        <f>IF($CF6="P",BX6,(BX6+AW6)/2)</f>
        <v>0</v>
      </c>
      <c r="ST6" s="42">
        <f>IF($CF6="P",BY6,(BY6+AX6)/2)</f>
        <v>0</v>
      </c>
      <c r="SU6" s="42">
        <f>IF($CF6="P",BZ6,(BZ6+AY6)/2)</f>
        <v>0</v>
      </c>
      <c r="SV6" s="42">
        <f>IF($CF6="P",CA6,(CA6+AZ6)/2)</f>
        <v>0</v>
      </c>
      <c r="SW6" s="42">
        <f>IF($CF6="P",CB6,(CB6+BA6)/2)</f>
        <v>0</v>
      </c>
      <c r="SX6" s="42">
        <f>IF($CF6="P",CC6,(CC6+BB6)/2)</f>
        <v>0</v>
      </c>
      <c r="SY6" s="42">
        <f>IF($CF6="P",CD6,(CD6+BC6)/2)</f>
        <v>0</v>
      </c>
      <c r="SZ6" s="42">
        <f>IF($CF6="P",CE6,(CE6+BD6)/2)</f>
        <v>0</v>
      </c>
      <c r="TA6" s="51" t="s">
        <v>61</v>
      </c>
      <c r="TB6" s="76" t="str">
        <f>IF(SN6&gt;0,SN6,"")</f>
        <v/>
      </c>
      <c r="TC6" s="76" t="str">
        <f>IF(SO6&gt;0,SO6,"")</f>
        <v/>
      </c>
      <c r="TD6" s="76" t="str">
        <f>IF(SUM(SL6:SO6)-SP6&gt;0,SUM(SL6:SO6)-SP6,"")</f>
        <v/>
      </c>
      <c r="TE6" s="76" t="str">
        <f>IF(SS6&gt;0,SS6,"")</f>
        <v/>
      </c>
      <c r="TF6" s="76" t="str">
        <f>IF(ST6&gt;0,ST6,"")</f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>IF(SX6&gt;0,SX6,"")</f>
        <v/>
      </c>
      <c r="TJ6" s="76" t="str">
        <f>IF(SY6&gt;0,SY6,"")</f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A7" s="5" t="str" cm="1">
        <f t="array" ref="A7">IF(AND(F7&lt;&gt;"",G7&lt;&gt;""),SUMPRODUCT((F$4:F$8&lt;&gt;"")*(G$4:G$8&lt;&gt;"")*(E$4:E$8&gt;E7))+1,IF(G7&lt;&gt;"",SUMPRODUCT((H$4:H$8="No DD")*(E$4:E$8&gt;E7))+1+SUMPRODUCT((F$4:F$8&lt;&gt;"")*(G$4:G$8&lt;&gt;"")),""))</f>
        <v/>
      </c>
      <c r="B7" s="6" t="s">
        <v>183</v>
      </c>
      <c r="C7" s="7" t="s">
        <v>9</v>
      </c>
      <c r="D7" s="5">
        <v>2001</v>
      </c>
      <c r="E7" s="14">
        <f>SUM(J7,L7)</f>
        <v>0</v>
      </c>
      <c r="F7" s="3" t="str">
        <f>IF(OR(AND(AE7&gt;=AO$10,AE7&lt;&gt;"",AG7&gt;=AO$14,AG7&lt;&gt;"",AD7=""),AND(AH7&gt;=AO$10,AH7&lt;&gt;"",AJ7&gt;=AO$14,AJ7&lt;&gt;"",AD7=""),AND(AL7&gt;=AO$10,AL7&lt;&gt;"",AN7&gt;=AO$14,AN7&lt;&gt;"",AD7=""),AND(BF7&gt;=BP$10,BF7&lt;&gt;"",BH7&gt;=BP$14,BH7&lt;&gt;"",BE7=""),AND(BI7&gt;=BP$10,BI7&lt;&gt;"",BK7&gt;=BP$14,BK7&lt;&gt;"",BE7=""),AND(BM7&gt;=BP$10,BM7&lt;&gt;"",BO7&gt;=BP$14,BO7&lt;&gt;"",BE7=""),AND(CG7&gt;=CQ$10,CG7&lt;&gt;"",CI7&gt;=CQ$14,CI7&lt;&gt;"",CF7=""),AND(CJ7&gt;=CQ$10,CJ7&lt;&gt;"",CL7&gt;=CQ$14,CL7&lt;&gt;"",CF7=""),AND(CN7&gt;=CQ$10,CN7&lt;&gt;"",CP7&gt;=CQ$14,CP7&lt;&gt;"",CF7=""),AND(DN7&gt;=EA$10,DN7&lt;&gt;"",DP7&gt;=EA$14,DP7&lt;&gt;""),AND(DQ7&gt;=EA$10,DQ7&lt;&gt;"",DS7&gt;=EA$14,DS7&lt;&gt;""),AND(DU7&gt;=EA$10,DU7&lt;&gt;"",DW7&gt;=EA$14,DW7&lt;&gt;""),AND(DX7&gt;=EA$10,DX7&lt;&gt;"",DZ7&gt;=EA$14,DZ7&lt;&gt;""),AND(EV7&gt;=FI$10,EV7&lt;&gt;"",EX7&gt;=FI$14,EX7&lt;&gt;""),AND(EY7&gt;=FI$10,EY7&lt;&gt;"",FA7&gt;=FI$14,FA7&lt;&gt;""),AND(FC7&gt;=FI$10,FC7&lt;&gt;"",FE7&gt;=FI$14,FE7&lt;&gt;""),AND(FF7&gt;=FI$10,FF7&lt;&gt;"",FH7&gt;=FI$14,FH7&lt;&gt;""),AND(GD7&gt;=GQ$10,GD7&lt;&gt;"",GF7&gt;=GQ$14,GF7&lt;&gt;""),AND(GG7&gt;=GQ$10,GG7&lt;&gt;"",GI7&gt;=GQ$14,GI7&lt;&gt;""),AND(GK7&gt;=GQ$10,GK7&lt;&gt;"",GM7&gt;=GQ$14,GM7&lt;&gt;""),AND(GN7&gt;=GQ$10,GN7&lt;&gt;"",GP7&gt;=GQ$14,GP7&lt;&gt;""),AND(HL7&gt;=HY$10,HL7&lt;&gt;"",HN7&gt;=HY$14,HN7&lt;&gt;""),AND(HO7&gt;=HY$10,HO7&lt;&gt;"",HQ7&gt;=HY$14,HQ7&lt;&gt;""),AND(HS7&gt;=HY$10,HS7&lt;&gt;"",HU7&gt;=HY$14,HU7&lt;&gt;""),AND(HV7&gt;=HY$10,HV7&lt;&gt;"",HX7&gt;=HY$14,HX7&lt;&gt;""),AND(IT7&gt;=JG$10,IT7&lt;&gt;"",IV7&gt;=JG$14,IV7&lt;&gt;""),AND(IW7&gt;=JG$10,IW7&lt;&gt;"",IY7&gt;=JG$14,IY7&lt;&gt;""),AND(JA7&gt;=JG$10,JA7&lt;&gt;"",JC7&gt;=JG$14,JC7&lt;&gt;""),AND(JD7&gt;=JG$10,JD7&lt;&gt;"",JF7&gt;=JG$14,JF7&lt;&gt;""),AND(KB7&gt;=KO$10,KB7&lt;&gt;"",KD7&gt;=KO$14,KD7&lt;&gt;""),AND(KE7&gt;=KO$10,KE7&lt;&gt;"",KG7&gt;=KO$14,KG7&lt;&gt;""),AND(KI7&gt;=KO$10,KI7&lt;&gt;"",KK7&gt;=KO$14,KK7&lt;&gt;""),AND(KL7&gt;=KO$10,KL7&lt;&gt;"",KN7&gt;=KO$14,KN7&lt;&gt;""),AND(LJ7&gt;=LW$10,LJ7&lt;&gt;"",LL7&gt;=LW$14,LL7&lt;&gt;""),AND(LM7&gt;=LW$10,LM7&lt;&gt;"",LO7&gt;=LW$14,LO7&lt;&gt;""),AND(LQ7&gt;=LW$10,LQ7&lt;&gt;"",LS7&gt;=LW$14,LS7&lt;&gt;""),AND(LT7&gt;=LW$10,LT7&lt;&gt;"",LV7&gt;=LW$14,LV7&lt;&gt;""),AND(MR7&gt;=NE$10,MR7&lt;&gt;"",MT7&gt;=NE$14,MT7&lt;&gt;""),AND(MU7&gt;=NE$10,MU7&lt;&gt;"",MW7&gt;=NE$14,MW7&lt;&gt;""),AND(MY7&gt;=NE$10,MY7&lt;&gt;"",NA7&gt;=NE$14,NA7&lt;&gt;""),AND(NB7&gt;=NE$10,NB7&lt;&gt;"",ND7&gt;=NE$14,ND7&lt;&gt;""),AND(NZ7&gt;=OM$10,NZ7&lt;&gt;"",OB7&gt;=OM$14,OB7&lt;&gt;""),AND(OC7&gt;=OM$10,OC7&lt;&gt;"",OE7&gt;=OM$14,OE7&lt;&gt;""),AND(OG7&gt;=OM$10,OG7&lt;&gt;"",OI7&gt;=OM$14,OI7&lt;&gt;""),AND(OJ7&gt;=OM$10,OJ7&lt;&gt;"",OL7&gt;=OM$14,OL7&lt;&gt;""),AND(PH7&gt;=PU$10,PH7&lt;&gt;"",PJ7&gt;=PU$14,PJ7&lt;&gt;""),AND(PK7&gt;=PU$10,PK7&lt;&gt;"",PM7&gt;=PU$14,PM7&lt;&gt;""),AND(PO7&gt;=PU$10,PO7&lt;&gt;"",PQ7&gt;=PU$14,PQ7&lt;&gt;""),AND(PR7&gt;=PU$10,PR7&lt;&gt;"",PT7&gt;=PU$14,PT7&lt;&gt;""),AND(QP7&gt;=RC$10,QP7&lt;&gt;"",QR7&gt;=RC$14,QR7&lt;&gt;""),AND(QS7&gt;=RC$10,QS7&lt;&gt;"",QU7&gt;=RC$14,QU7&lt;&gt;""),AND(QW7&gt;=RC$10,QW7&lt;&gt;"",QY7&gt;=RC$14,QY7&lt;&gt;""),AND(QZ7&gt;=RC$10,QZ7&lt;&gt;"",RB7&gt;=RC$14,RB7&lt;&gt;""),AND(RX7&gt;=SK$10,RX7&lt;&gt;"",RZ7&gt;=SK$14,RZ7&lt;&gt;""),AND(SA7&gt;=SK$10,SA7&lt;&gt;"",SC7&gt;=SK$14,SC7&lt;&gt;""),AND(SE7&gt;=SK$10,SE7&lt;&gt;"",SG7&gt;=SK$14,SG7&lt;&gt;""),AND(SH7&gt;=SK$10,SH7&lt;&gt;"",SJ7&gt;=SK$14,SJ7&lt;&gt;"")),"P","")</f>
        <v/>
      </c>
      <c r="G7" s="3" t="str">
        <f>IF(OR(AND(AG7&gt;=AO$14,AG7&lt;&gt;"",AD7=""),AND(AJ7&gt;=AO$14,AJ7&lt;&gt;"",AD7=""),AND(AN7&gt;=AO$14,AN7&lt;&gt;"",AD7=""),AND(BH7&gt;=BP$14,BH7&lt;&gt;"",BE7=""),AND(BK7&gt;=BP$14,BK7&lt;&gt;"",BE7=""),AND(BO7&gt;=BP$14,BO7&lt;&gt;"",BE7=""),AND(CI7&gt;=CQ$14,CI7&lt;&gt;"",CF7=""),AND(CL7&gt;=CQ$14,CL7&lt;&gt;"",CF7=""),AND(CP7&gt;=CQ$14,CP7&lt;&gt;"",CF7=""),AND(DP7&gt;=EA$14,DP7&lt;&gt;""),AND(DS7&gt;=EA$14,DS7&lt;&gt;""),AND(DW7&gt;=EA$14,DW7&lt;&gt;""),AND(DZ7&gt;=EA$14,DZ7&lt;&gt;""),AND(EX7&gt;=FI$14,EX7&lt;&gt;""),AND(FA7&gt;=FI$14,FA7&lt;&gt;""),AND(FE7&gt;=FI$14,FE7&lt;&gt;""),AND(FH7&gt;=FI$14,FH7&lt;&gt;""),AND(GF7&gt;=GQ$14,GF7&lt;&gt;""),AND(GI7&gt;=GQ$14,GI7&lt;&gt;""),AND(GM7&gt;=GQ$14,GM7&lt;&gt;""),AND(GP7&gt;=GQ$14,GP7&lt;&gt;""),AND(HN7&gt;=HY$14,HN7&lt;&gt;""),AND(HQ7&gt;=HY$14,HQ7&lt;&gt;""),AND(HU7&gt;=HY$14,HU7&lt;&gt;""),AND(HX7&gt;=HY$14,HX7&lt;&gt;""),AND(IV7&gt;=JG$14,IV7&lt;&gt;""),AND(IY7&gt;=JG$14,IY7&lt;&gt;""),AND(JC7&gt;=JG$14,JC7&lt;&gt;""),AND(JF7&gt;=JG$14,JF7&lt;&gt;""),AND(KD7&gt;=KO$14,KD7&lt;&gt;""),AND(KG7&gt;=KO$14,KG7&lt;&gt;""),AND(KK7&gt;=KO$14,KK7&lt;&gt;""),AND(KN7&gt;=KO$14,KN7&lt;&gt;""),AND(LL7&gt;=LW$14,LL7&lt;&gt;""),AND(LO7&gt;=LW$14,LO7&lt;&gt;""),AND(LS7&gt;=LW$14,LS7&lt;&gt;""),AND(LV7&gt;=LW$14,LV7&lt;&gt;""),AND(MT7&gt;=NE$14,MT7&lt;&gt;""),AND(MW7&gt;=NE$14,MW7&lt;&gt;""),AND(NA7&gt;=NE$14,NA7&lt;&gt;""),AND(ND7&gt;=NE$14,ND7&lt;&gt;""),AND(OB7&gt;=OM$14,OB7&lt;&gt;""),AND(OE7&gt;=OM$14,OE7&lt;&gt;""),AND(OI7&gt;=OM$14,OI7&lt;&gt;""),AND(OL7&gt;=OM$14,OL7&lt;&gt;""),AND(PJ7&gt;=PU$14,PJ7&lt;&gt;""),AND(PM7&gt;=PU$14,PM7&lt;&gt;""),AND(PQ7&gt;=PU$14,PQ7&lt;&gt;""),AND(PT7&gt;=PU$14,PT7&lt;&gt;""),AND(QR7&gt;=RC$14,QR7&lt;&gt;""),AND(QU7&gt;=RC$14,QU7&lt;&gt;""),AND(QY7&gt;=RC$14,QY7&lt;&gt;""),AND(RB7&gt;=RC$14,RB7&lt;&gt;""),AND(RZ7&gt;=SK$14,RZ7&lt;&gt;""),AND(SC7&gt;=SK$14,SC7&lt;&gt;""),AND(SG7&gt;=SK$14,SG7&lt;&gt;""),AND(SJ7&gt;=SK$14,SJ7&lt;&gt;"")),"P","")</f>
        <v/>
      </c>
      <c r="H7" s="70" t="str">
        <f>IF(AND(G7="P",F7=""),"No DD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Merit",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Excellence",IF(I7="P","Worlds Team",IF(F7="P","National Team","")))))</f>
        <v/>
      </c>
      <c r="I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J7" s="13">
        <f>IF(COUNT(AG7,AJ7,AN7,BH7,BK7,BO7,CI7,CL7,CP7)&gt;0,LARGE((AG7,AJ7,AN7,BH7,BK7,BO7,CI7,CL7,CP7),1),0)</f>
        <v>0</v>
      </c>
      <c r="K7" s="13" t="str">
        <f>IF(J7="","",IF(OR(J7=CI7,J7=CL7,J7=CP7),$BQ$1,IF(OR(J7=BH7,J7=BK7,J7=BO7),$AP$1,IF(OR(J7=AG7,J7=AJ7,J7=AN7),$O$1,""))))</f>
        <v/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6="",0,J6)=SD7,$RD$1,IF(L7+IF(J6="",0,J6)=QV7,$PV$1,IF(L7+IF(J6="",0,J6)=PN7,$ON$1,IF(L7+IF(J6="",0,J6)=OF7,$NF$1,IF(L7+IF(J6="",0,J6)=MX7,$LX$1,IF(L7+IF(J6="",0,J6)=LP7,$KP$1,IF(L7+IF(J6="",0,J6)=KH7,$JH$1,IF(L7+IF(J6="",0,J6)=IZ7,$HZ$1,IF(L7+IF(J6="",0,J6)=HR7,$GR$1,IF(L7+IF(J6="",0,J6)=GJ7,$FJ$1,IF(L7+IF(J6="",0,J6)=FB7,$EB$1,IF(L7+IF(J6="",0,J6)=DT7,$CT$1)))))))))))),IF(L7=CS7,IF(L7+IF(J6="",0,J6)=SJ7,$RD$1,IF(L7+IF(J6="",0,J6)=RB7,$PV$1,IF(L7+IF(J6="",0,J6)=PT7,$ON$1,IF(L7+IF(J6="",0,J6)=OL7,$NF$1,IF(L7+IF(J6="",0,J6)=ND7,$LX$1,IF(L7+IF(J6="",0,J6)=LV7,$KP$1,IF(L7+IF(J6="",0,J6)=KN7,$JH$1,IF(L7+IF(J6="",0,J6)=JF7,$HZ$1,IF(L7+IF(J6="",0,J6)=HX7,$GR$1,IF(L7+IF(J6="",0,J6)=GP7,$FJ$1,IF(L7+IF(J6="",0,J6)=FH7,$EB$1,IF(L7+IF(J6="",0,J6)=DZ7,$CT$1)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>IF(AR7&gt;0,AR7,"")</f>
        <v/>
      </c>
      <c r="BG7" s="75" t="str">
        <f>IF(AS7&gt;0,AS7,"")</f>
        <v/>
      </c>
      <c r="BH7" s="16" t="str">
        <f>IF(SUM(AP7:AS7)-AT7&gt;0,SUM(AP7:AS7)-AT7,"")</f>
        <v/>
      </c>
      <c r="BI7" s="16" t="str">
        <f>IF(AW7&gt;0,AW7,"")</f>
        <v/>
      </c>
      <c r="BJ7" s="16" t="str">
        <f>IF(AX7&gt;0,AX7,"")</f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 t="str">
        <f>IF(SUM(BL7,BO7)&gt;0,SUM(BL7,BO7),"")</f>
        <v/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3.7</v>
      </c>
      <c r="FK7" s="25">
        <v>4.3</v>
      </c>
      <c r="FL7" s="25">
        <v>8.1999999999999993</v>
      </c>
      <c r="FM7" s="25">
        <v>9.02</v>
      </c>
      <c r="FN7" s="25">
        <v>0</v>
      </c>
      <c r="FO7" s="25">
        <v>1.45</v>
      </c>
      <c r="FP7" s="25">
        <v>1.9</v>
      </c>
      <c r="FQ7" s="25">
        <v>3.4</v>
      </c>
      <c r="FR7" s="25">
        <v>3.46</v>
      </c>
      <c r="FS7" s="25">
        <v>0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8.1999999999999993</v>
      </c>
      <c r="GE7" s="76">
        <f>IF(FM7&gt;0,FM7,"")</f>
        <v>9.02</v>
      </c>
      <c r="GF7" s="76">
        <f>IF(SUM(FJ7:FM7)-FN7&gt;0,SUM(FJ7:FM7)-FN7,"")</f>
        <v>25.22</v>
      </c>
      <c r="GG7" s="76">
        <f>IF(FQ7&gt;0,FQ7,"")</f>
        <v>3.4</v>
      </c>
      <c r="GH7" s="76">
        <f>IF(FR7&gt;0,FR7,"")</f>
        <v>3.46</v>
      </c>
      <c r="GI7" s="76">
        <f>IF(SUM(FO7:FR7)-FS7&gt;0,SUM(FO7:FR7)-FS7,"")</f>
        <v>10.210000000000001</v>
      </c>
      <c r="GJ7" s="76">
        <f>IF(MAX(GF7,GI7)&gt;0,MAX(GF7,GI7),"")</f>
        <v>25.22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25.22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0</v>
      </c>
      <c r="SM7" s="42">
        <f>IF($CF7="P",BR7,(BR7+AQ7)/2)</f>
        <v>0</v>
      </c>
      <c r="SN7" s="42">
        <f>IF($CF7="P",BS7,(BS7+AR7)/2)</f>
        <v>0</v>
      </c>
      <c r="SO7" s="42">
        <f>IF($CF7="P",BT7,(BT7+AS7)/2)</f>
        <v>0</v>
      </c>
      <c r="SP7" s="42">
        <f>IF($CF7="P",BU7,(BU7+AT7)/2)</f>
        <v>0</v>
      </c>
      <c r="SQ7" s="42">
        <f>IF($CF7="P",BV7,(BV7+AU7)/2)</f>
        <v>0</v>
      </c>
      <c r="SR7" s="42">
        <f>IF($CF7="P",BW7,(BW7+AV7)/2)</f>
        <v>0</v>
      </c>
      <c r="SS7" s="42">
        <f>IF($CF7="P",BX7,(BX7+AW7)/2)</f>
        <v>0</v>
      </c>
      <c r="ST7" s="42">
        <f>IF($CF7="P",BY7,(BY7+AX7)/2)</f>
        <v>0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61</v>
      </c>
      <c r="TB7" s="76" t="str">
        <f>IF(SN7&gt;0,SN7,"")</f>
        <v/>
      </c>
      <c r="TC7" s="76" t="str">
        <f>IF(SO7&gt;0,SO7,"")</f>
        <v/>
      </c>
      <c r="TD7" s="76" t="str">
        <f>IF(SUM(SL7:SO7)-SP7&gt;0,SUM(SL7:SO7)-SP7,"")</f>
        <v/>
      </c>
      <c r="TE7" s="76" t="str">
        <f>IF(SS7&gt;0,SS7,"")</f>
        <v/>
      </c>
      <c r="TF7" s="76" t="str">
        <f>IF(ST7&gt;0,ST7,"")</f>
        <v/>
      </c>
      <c r="TG7" s="76" t="str">
        <f>IF(SUM(SQ7:ST7)-SU7&gt;0,SUM(SQ7:ST7)-SU7,"")</f>
        <v/>
      </c>
      <c r="TH7" s="76" t="str">
        <f>IF(MAX(TD7,TG7)&gt;0,MAX(TD7,TG7),"")</f>
        <v/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 t="str">
        <f>IF(SUM(TH7,TK7)&gt;0,SUM(TH7,TK7),"")</f>
        <v/>
      </c>
    </row>
    <row r="8" spans="1:532" x14ac:dyDescent="0.2">
      <c r="B8" s="6"/>
      <c r="D8" s="1"/>
    </row>
    <row r="9" spans="1:532" x14ac:dyDescent="0.2">
      <c r="G9" s="69"/>
      <c r="I9" s="69"/>
    </row>
    <row r="10" spans="1:532" x14ac:dyDescent="0.2">
      <c r="B10" s="43" t="s">
        <v>58</v>
      </c>
      <c r="C10" s="35"/>
      <c r="G10" s="3"/>
      <c r="AH10" s="77"/>
      <c r="AI10" s="77"/>
      <c r="AJ10" s="77"/>
      <c r="AL10" s="56"/>
      <c r="AM10" s="56"/>
      <c r="AO10" s="103">
        <v>14.2</v>
      </c>
      <c r="BI10" s="77"/>
      <c r="BJ10" s="77"/>
      <c r="BK10" s="77"/>
      <c r="BM10" s="56"/>
      <c r="BN10" s="56"/>
      <c r="BP10" s="103">
        <v>14.2</v>
      </c>
      <c r="CJ10" s="77"/>
      <c r="CK10" s="77"/>
      <c r="CL10" s="77"/>
      <c r="CN10" s="56"/>
      <c r="CO10" s="56"/>
      <c r="CQ10" s="103">
        <v>14.2</v>
      </c>
      <c r="DN10" s="35"/>
      <c r="DO10" s="35"/>
      <c r="DX10" s="33"/>
      <c r="DY10" s="33"/>
      <c r="EA10" s="78">
        <v>13.5</v>
      </c>
      <c r="EV10" s="35"/>
      <c r="EW10" s="35"/>
      <c r="FF10" s="33"/>
      <c r="FG10" s="33"/>
      <c r="FI10" s="78">
        <v>13.5</v>
      </c>
      <c r="GD10" s="35"/>
      <c r="GE10" s="35"/>
      <c r="GN10" s="33"/>
      <c r="GO10" s="33"/>
      <c r="GQ10" s="103">
        <v>14.2</v>
      </c>
      <c r="HL10" s="35"/>
      <c r="HM10" s="35"/>
      <c r="HV10" s="33"/>
      <c r="HW10" s="33"/>
      <c r="HY10" s="103">
        <v>14.2</v>
      </c>
      <c r="IT10" s="35"/>
      <c r="IU10" s="35"/>
      <c r="JD10" s="33"/>
      <c r="JE10" s="33"/>
      <c r="JG10" s="103">
        <v>14.2</v>
      </c>
      <c r="KB10" s="35"/>
      <c r="KC10" s="35"/>
      <c r="KL10" s="33"/>
      <c r="KM10" s="33"/>
      <c r="KO10" s="103">
        <v>14.2</v>
      </c>
      <c r="LJ10" s="35"/>
      <c r="LK10" s="35"/>
      <c r="LT10" s="33"/>
      <c r="LU10" s="33"/>
      <c r="LW10" s="103">
        <v>14.2</v>
      </c>
      <c r="MR10" s="35"/>
      <c r="MS10" s="35"/>
      <c r="NB10" s="33"/>
      <c r="NC10" s="33"/>
      <c r="NE10" s="103">
        <v>14.2</v>
      </c>
      <c r="NZ10" s="35"/>
      <c r="OA10" s="35"/>
      <c r="OJ10" s="33"/>
      <c r="OK10" s="33"/>
      <c r="OM10" s="103">
        <v>14.2</v>
      </c>
      <c r="PH10" s="35"/>
      <c r="PI10" s="35"/>
      <c r="PR10" s="33"/>
      <c r="PS10" s="33"/>
      <c r="PU10" s="103">
        <v>14.2</v>
      </c>
      <c r="QP10" s="35"/>
      <c r="QQ10" s="35"/>
      <c r="QZ10" s="33"/>
      <c r="RA10" s="33"/>
      <c r="RC10" s="103">
        <v>14.2</v>
      </c>
      <c r="RX10" s="35"/>
      <c r="RY10" s="35"/>
      <c r="SH10" s="33"/>
      <c r="SI10" s="33"/>
      <c r="SK10" s="103">
        <v>14.2</v>
      </c>
    </row>
    <row r="11" spans="1:532" x14ac:dyDescent="0.2">
      <c r="B11" s="54" t="s">
        <v>57</v>
      </c>
      <c r="C11" s="35"/>
      <c r="N11" s="2"/>
      <c r="AH11" s="77"/>
      <c r="AI11" s="77"/>
      <c r="AJ11" s="77"/>
      <c r="AL11" s="56"/>
      <c r="AM11" s="56"/>
      <c r="AO11" s="79">
        <v>14.6</v>
      </c>
      <c r="BI11" s="77"/>
      <c r="BJ11" s="77"/>
      <c r="BK11" s="77"/>
      <c r="BM11" s="56"/>
      <c r="BN11" s="56"/>
      <c r="BP11" s="79">
        <v>14.6</v>
      </c>
      <c r="CJ11" s="77"/>
      <c r="CK11" s="77"/>
      <c r="CL11" s="77"/>
      <c r="CN11" s="56"/>
      <c r="CO11" s="56"/>
      <c r="CQ11" s="79">
        <v>14.6</v>
      </c>
      <c r="DN11" s="35"/>
      <c r="DO11" s="35"/>
      <c r="DX11" s="33"/>
      <c r="DY11" s="33"/>
      <c r="EA11" s="79">
        <v>14.4</v>
      </c>
      <c r="EV11" s="35"/>
      <c r="EW11" s="35"/>
      <c r="FF11" s="33"/>
      <c r="FG11" s="33"/>
      <c r="FI11" s="79">
        <v>14.4</v>
      </c>
      <c r="GD11" s="35"/>
      <c r="GE11" s="35"/>
      <c r="GN11" s="33"/>
      <c r="GO11" s="33"/>
      <c r="GQ11" s="79">
        <v>14.6</v>
      </c>
      <c r="HL11" s="35"/>
      <c r="HM11" s="35"/>
      <c r="HV11" s="33"/>
      <c r="HW11" s="33"/>
      <c r="HY11" s="79">
        <v>14.6</v>
      </c>
      <c r="IT11" s="35"/>
      <c r="IU11" s="35"/>
      <c r="JD11" s="33"/>
      <c r="JE11" s="33"/>
      <c r="JG11" s="79">
        <v>14.6</v>
      </c>
      <c r="KB11" s="35"/>
      <c r="KC11" s="35"/>
      <c r="KL11" s="33"/>
      <c r="KM11" s="33"/>
      <c r="KO11" s="79">
        <v>14.6</v>
      </c>
      <c r="LJ11" s="35"/>
      <c r="LK11" s="35"/>
      <c r="LT11" s="33"/>
      <c r="LU11" s="33"/>
      <c r="LW11" s="79">
        <v>14.6</v>
      </c>
      <c r="MR11" s="35"/>
      <c r="MS11" s="35"/>
      <c r="NB11" s="33"/>
      <c r="NC11" s="33"/>
      <c r="NE11" s="79">
        <v>14.6</v>
      </c>
      <c r="NZ11" s="35"/>
      <c r="OA11" s="35"/>
      <c r="OJ11" s="33"/>
      <c r="OK11" s="33"/>
      <c r="OM11" s="79">
        <v>14.6</v>
      </c>
      <c r="PH11" s="35"/>
      <c r="PI11" s="35"/>
      <c r="PR11" s="33"/>
      <c r="PS11" s="33"/>
      <c r="PU11" s="79">
        <v>14.6</v>
      </c>
      <c r="QP11" s="35"/>
      <c r="QQ11" s="35"/>
      <c r="QZ11" s="33"/>
      <c r="RA11" s="33"/>
      <c r="RC11" s="79">
        <v>14.6</v>
      </c>
      <c r="RX11" s="35"/>
      <c r="RY11" s="35"/>
      <c r="SH11" s="33"/>
      <c r="SI11" s="33"/>
      <c r="SK11" s="79">
        <v>14.6</v>
      </c>
    </row>
    <row r="12" spans="1:532" x14ac:dyDescent="0.2">
      <c r="A12" s="35"/>
      <c r="B12" s="55" t="s">
        <v>71</v>
      </c>
      <c r="C12" s="35"/>
      <c r="E12" s="2"/>
      <c r="AH12" s="77"/>
      <c r="AI12" s="77"/>
      <c r="AJ12" s="77"/>
      <c r="AK12" s="56"/>
      <c r="AL12" s="56"/>
      <c r="AM12" s="56"/>
      <c r="AN12" s="56"/>
      <c r="AO12" s="104">
        <v>15.2</v>
      </c>
      <c r="BI12" s="77"/>
      <c r="BJ12" s="77"/>
      <c r="BK12" s="77"/>
      <c r="BM12" s="56"/>
      <c r="BN12" s="56"/>
      <c r="BP12" s="104">
        <v>15.2</v>
      </c>
      <c r="CJ12" s="77"/>
      <c r="CK12" s="77"/>
      <c r="CL12" s="77"/>
      <c r="CM12" s="56"/>
      <c r="CN12" s="56"/>
      <c r="CO12" s="56"/>
      <c r="CP12" s="56"/>
      <c r="CQ12" s="104">
        <v>15.2</v>
      </c>
      <c r="DN12" s="35"/>
      <c r="DO12" s="35"/>
      <c r="DX12" s="33"/>
      <c r="DY12" s="33"/>
      <c r="EA12" s="80">
        <v>15.4</v>
      </c>
      <c r="EV12" s="35"/>
      <c r="EW12" s="35"/>
      <c r="FF12" s="33"/>
      <c r="FG12" s="33"/>
      <c r="FI12" s="80">
        <v>15.4</v>
      </c>
      <c r="GD12" s="35"/>
      <c r="GE12" s="35"/>
      <c r="GN12" s="33"/>
      <c r="GO12" s="33"/>
      <c r="GQ12" s="104">
        <v>15.2</v>
      </c>
      <c r="HL12" s="35"/>
      <c r="HM12" s="35"/>
      <c r="HV12" s="33"/>
      <c r="HW12" s="33"/>
      <c r="HY12" s="104">
        <v>15.2</v>
      </c>
      <c r="IT12" s="35"/>
      <c r="IU12" s="35"/>
      <c r="JD12" s="33"/>
      <c r="JE12" s="33"/>
      <c r="JG12" s="104">
        <v>15.2</v>
      </c>
      <c r="KB12" s="35"/>
      <c r="KC12" s="35"/>
      <c r="KL12" s="33"/>
      <c r="KM12" s="33"/>
      <c r="KO12" s="104">
        <v>15.2</v>
      </c>
      <c r="LJ12" s="35"/>
      <c r="LK12" s="35"/>
      <c r="LT12" s="33"/>
      <c r="LU12" s="33"/>
      <c r="LW12" s="104">
        <v>15.2</v>
      </c>
      <c r="MR12" s="35"/>
      <c r="MS12" s="35"/>
      <c r="NB12" s="33"/>
      <c r="NC12" s="33"/>
      <c r="NE12" s="104">
        <v>15.2</v>
      </c>
      <c r="NZ12" s="35"/>
      <c r="OA12" s="35"/>
      <c r="OJ12" s="33"/>
      <c r="OK12" s="33"/>
      <c r="OM12" s="104">
        <v>15.2</v>
      </c>
      <c r="PH12" s="35"/>
      <c r="PI12" s="35"/>
      <c r="PR12" s="33"/>
      <c r="PS12" s="33"/>
      <c r="PU12" s="104">
        <v>15.2</v>
      </c>
      <c r="QP12" s="35"/>
      <c r="QQ12" s="35"/>
      <c r="QZ12" s="33"/>
      <c r="RA12" s="33"/>
      <c r="RC12" s="104">
        <v>15.2</v>
      </c>
      <c r="RX12" s="35"/>
      <c r="RY12" s="35"/>
      <c r="SH12" s="33"/>
      <c r="SI12" s="33"/>
      <c r="SK12" s="104">
        <v>15.2</v>
      </c>
    </row>
    <row r="13" spans="1:532" x14ac:dyDescent="0.2">
      <c r="A13" s="35"/>
      <c r="B13" s="66" t="s">
        <v>86</v>
      </c>
      <c r="C13" s="35"/>
      <c r="E13" s="2"/>
      <c r="AH13" s="77"/>
      <c r="AI13" s="77"/>
      <c r="AJ13" s="77"/>
      <c r="AK13" s="56"/>
      <c r="AL13" s="56"/>
      <c r="AM13" s="56"/>
      <c r="AN13" s="56"/>
      <c r="AO13" s="105">
        <v>16</v>
      </c>
      <c r="BI13" s="77"/>
      <c r="BJ13" s="77"/>
      <c r="BK13" s="77"/>
      <c r="BM13" s="56"/>
      <c r="BN13" s="56"/>
      <c r="BP13" s="105">
        <v>16</v>
      </c>
      <c r="CJ13" s="77"/>
      <c r="CK13" s="77"/>
      <c r="CL13" s="77"/>
      <c r="CM13" s="56"/>
      <c r="CN13" s="56"/>
      <c r="CO13" s="56"/>
      <c r="CP13" s="56"/>
      <c r="CQ13" s="105">
        <v>16</v>
      </c>
      <c r="DN13" s="35"/>
      <c r="DO13" s="35"/>
      <c r="DX13" s="33"/>
      <c r="DY13" s="33"/>
      <c r="EA13" s="81">
        <v>15.4</v>
      </c>
      <c r="EV13" s="35"/>
      <c r="EW13" s="35"/>
      <c r="FF13" s="33"/>
      <c r="FG13" s="33"/>
      <c r="FI13" s="81">
        <v>15.4</v>
      </c>
      <c r="GD13" s="35"/>
      <c r="GE13" s="35"/>
      <c r="GN13" s="33"/>
      <c r="GO13" s="33"/>
      <c r="GQ13" s="105">
        <v>16</v>
      </c>
      <c r="HL13" s="35"/>
      <c r="HM13" s="35"/>
      <c r="HV13" s="33"/>
      <c r="HW13" s="33"/>
      <c r="HY13" s="105">
        <v>16</v>
      </c>
      <c r="IT13" s="35"/>
      <c r="IU13" s="35"/>
      <c r="JD13" s="33"/>
      <c r="JE13" s="33"/>
      <c r="JG13" s="105">
        <v>16</v>
      </c>
      <c r="KB13" s="35"/>
      <c r="KC13" s="35"/>
      <c r="KL13" s="33"/>
      <c r="KM13" s="33"/>
      <c r="KO13" s="105">
        <v>16</v>
      </c>
      <c r="LJ13" s="35"/>
      <c r="LK13" s="35"/>
      <c r="LT13" s="33"/>
      <c r="LU13" s="33"/>
      <c r="LW13" s="105">
        <v>16</v>
      </c>
      <c r="MR13" s="35"/>
      <c r="MS13" s="35"/>
      <c r="NB13" s="33"/>
      <c r="NC13" s="33"/>
      <c r="NE13" s="105">
        <v>16</v>
      </c>
      <c r="NZ13" s="35"/>
      <c r="OA13" s="35"/>
      <c r="OJ13" s="33"/>
      <c r="OK13" s="33"/>
      <c r="OM13" s="105">
        <v>16</v>
      </c>
      <c r="PH13" s="35"/>
      <c r="PI13" s="35"/>
      <c r="PR13" s="33"/>
      <c r="PS13" s="33"/>
      <c r="PU13" s="105">
        <v>16</v>
      </c>
      <c r="QP13" s="35"/>
      <c r="QQ13" s="35"/>
      <c r="QZ13" s="33"/>
      <c r="RA13" s="33"/>
      <c r="RC13" s="105">
        <v>16</v>
      </c>
      <c r="RX13" s="35"/>
      <c r="RY13" s="35"/>
      <c r="SH13" s="33"/>
      <c r="SI13" s="33"/>
      <c r="SK13" s="105">
        <v>16</v>
      </c>
    </row>
    <row r="14" spans="1:532" x14ac:dyDescent="0.2">
      <c r="A14" s="35"/>
      <c r="B14" s="65" t="s">
        <v>55</v>
      </c>
      <c r="C14" s="35"/>
      <c r="AH14" s="77"/>
      <c r="AI14" s="77"/>
      <c r="AJ14" s="77"/>
      <c r="AK14" s="56"/>
      <c r="AL14" s="56"/>
      <c r="AM14" s="56"/>
      <c r="AN14" s="56"/>
      <c r="AO14" s="106">
        <v>47.2</v>
      </c>
      <c r="BI14" s="77"/>
      <c r="BJ14" s="77"/>
      <c r="BK14" s="77"/>
      <c r="BM14" s="56"/>
      <c r="BN14" s="56"/>
      <c r="BP14" s="106">
        <v>47.2</v>
      </c>
      <c r="CJ14" s="77"/>
      <c r="CK14" s="77"/>
      <c r="CL14" s="77"/>
      <c r="CM14" s="56"/>
      <c r="CN14" s="56"/>
      <c r="CO14" s="56"/>
      <c r="CP14" s="56"/>
      <c r="CQ14" s="106">
        <v>47.2</v>
      </c>
      <c r="DN14" s="35"/>
      <c r="DO14" s="35"/>
      <c r="DX14" s="33"/>
      <c r="DY14" s="33"/>
      <c r="EA14" s="82">
        <v>49</v>
      </c>
      <c r="EV14" s="35"/>
      <c r="EW14" s="35"/>
      <c r="FF14" s="33"/>
      <c r="FG14" s="33"/>
      <c r="FI14" s="82">
        <v>49</v>
      </c>
      <c r="GD14" s="35"/>
      <c r="GE14" s="35"/>
      <c r="GN14" s="33"/>
      <c r="GO14" s="33"/>
      <c r="GQ14" s="106">
        <v>47.2</v>
      </c>
      <c r="HL14" s="35"/>
      <c r="HM14" s="35"/>
      <c r="HV14" s="33"/>
      <c r="HW14" s="33"/>
      <c r="HY14" s="106">
        <v>47.2</v>
      </c>
      <c r="IT14" s="35"/>
      <c r="IU14" s="35"/>
      <c r="JD14" s="33"/>
      <c r="JE14" s="33"/>
      <c r="JG14" s="106">
        <v>47.2</v>
      </c>
      <c r="KB14" s="35"/>
      <c r="KC14" s="35"/>
      <c r="KL14" s="33"/>
      <c r="KM14" s="33"/>
      <c r="KO14" s="106">
        <v>47.2</v>
      </c>
      <c r="LJ14" s="35"/>
      <c r="LK14" s="35"/>
      <c r="LT14" s="33"/>
      <c r="LU14" s="33"/>
      <c r="LW14" s="106">
        <v>47.2</v>
      </c>
      <c r="MR14" s="35"/>
      <c r="MS14" s="35"/>
      <c r="NB14" s="33"/>
      <c r="NC14" s="33"/>
      <c r="NE14" s="106">
        <v>47.2</v>
      </c>
      <c r="NZ14" s="35"/>
      <c r="OA14" s="35"/>
      <c r="OJ14" s="33"/>
      <c r="OK14" s="33"/>
      <c r="OM14" s="106">
        <v>47.2</v>
      </c>
      <c r="PH14" s="35"/>
      <c r="PI14" s="35"/>
      <c r="PR14" s="33"/>
      <c r="PS14" s="33"/>
      <c r="PU14" s="106">
        <v>47.2</v>
      </c>
      <c r="QP14" s="35"/>
      <c r="QQ14" s="35"/>
      <c r="QZ14" s="33"/>
      <c r="RA14" s="33"/>
      <c r="RC14" s="106">
        <v>47.2</v>
      </c>
      <c r="RX14" s="35"/>
      <c r="RY14" s="35"/>
      <c r="SH14" s="33"/>
      <c r="SI14" s="33"/>
      <c r="SK14" s="106">
        <v>47.2</v>
      </c>
    </row>
    <row r="15" spans="1:532" x14ac:dyDescent="0.2">
      <c r="A15" s="35"/>
      <c r="B15" s="44" t="s">
        <v>56</v>
      </c>
      <c r="C15" s="35"/>
      <c r="AH15" s="77"/>
      <c r="AI15" s="77"/>
      <c r="AJ15" s="77"/>
      <c r="AK15" s="56"/>
      <c r="AL15" s="56"/>
      <c r="AM15" s="56"/>
      <c r="AN15" s="56"/>
      <c r="AO15" s="107">
        <v>48.5</v>
      </c>
      <c r="BI15" s="77"/>
      <c r="BJ15" s="77"/>
      <c r="BK15" s="77"/>
      <c r="BM15" s="56"/>
      <c r="BN15" s="56"/>
      <c r="BP15" s="107">
        <v>48.5</v>
      </c>
      <c r="CJ15" s="77"/>
      <c r="CK15" s="77"/>
      <c r="CL15" s="77"/>
      <c r="CM15" s="56"/>
      <c r="CN15" s="56"/>
      <c r="CO15" s="56"/>
      <c r="CP15" s="56"/>
      <c r="CQ15" s="107">
        <v>48.5</v>
      </c>
      <c r="DN15" s="35"/>
      <c r="DO15" s="35"/>
      <c r="DX15" s="33"/>
      <c r="DY15" s="33"/>
      <c r="EA15" s="83">
        <v>49</v>
      </c>
      <c r="EV15" s="35"/>
      <c r="EW15" s="35"/>
      <c r="FF15" s="33"/>
      <c r="FG15" s="33"/>
      <c r="FI15" s="83">
        <v>49</v>
      </c>
      <c r="GD15" s="35"/>
      <c r="GE15" s="35"/>
      <c r="GN15" s="33"/>
      <c r="GO15" s="33"/>
      <c r="GQ15" s="107">
        <v>48.5</v>
      </c>
      <c r="HL15" s="35"/>
      <c r="HM15" s="35"/>
      <c r="HV15" s="33"/>
      <c r="HW15" s="33"/>
      <c r="HY15" s="107">
        <v>48.5</v>
      </c>
      <c r="IT15" s="35"/>
      <c r="IU15" s="35"/>
      <c r="JD15" s="33"/>
      <c r="JE15" s="33"/>
      <c r="JG15" s="107">
        <v>48.5</v>
      </c>
      <c r="KB15" s="35"/>
      <c r="KC15" s="35"/>
      <c r="KL15" s="33"/>
      <c r="KM15" s="33"/>
      <c r="KO15" s="107">
        <v>48.5</v>
      </c>
      <c r="LJ15" s="35"/>
      <c r="LK15" s="35"/>
      <c r="LT15" s="33"/>
      <c r="LU15" s="33"/>
      <c r="LW15" s="107">
        <v>48.5</v>
      </c>
      <c r="MR15" s="35"/>
      <c r="MS15" s="35"/>
      <c r="NB15" s="33"/>
      <c r="NC15" s="33"/>
      <c r="NE15" s="107">
        <v>48.5</v>
      </c>
      <c r="NZ15" s="35"/>
      <c r="OA15" s="35"/>
      <c r="OJ15" s="33"/>
      <c r="OK15" s="33"/>
      <c r="OM15" s="107">
        <v>48.5</v>
      </c>
      <c r="PH15" s="35"/>
      <c r="PI15" s="35"/>
      <c r="PR15" s="33"/>
      <c r="PS15" s="33"/>
      <c r="PU15" s="107">
        <v>48.5</v>
      </c>
      <c r="QP15" s="35"/>
      <c r="QQ15" s="35"/>
      <c r="QZ15" s="33"/>
      <c r="RA15" s="33"/>
      <c r="RC15" s="107">
        <v>48.5</v>
      </c>
      <c r="RX15" s="35"/>
      <c r="RY15" s="35"/>
      <c r="SH15" s="33"/>
      <c r="SI15" s="33"/>
      <c r="SK15" s="107">
        <v>48.5</v>
      </c>
    </row>
    <row r="16" spans="1:532" x14ac:dyDescent="0.2">
      <c r="A16" s="35"/>
      <c r="B16" s="64" t="s">
        <v>70</v>
      </c>
      <c r="C16" s="35"/>
      <c r="AH16" s="77"/>
      <c r="AI16" s="77"/>
      <c r="AJ16" s="77"/>
      <c r="AK16" s="56"/>
      <c r="AL16" s="56"/>
      <c r="AM16" s="56"/>
      <c r="AN16" s="56"/>
      <c r="AO16" s="108">
        <v>49.2</v>
      </c>
      <c r="BI16" s="77"/>
      <c r="BJ16" s="77"/>
      <c r="BK16" s="77"/>
      <c r="BM16" s="56"/>
      <c r="BN16" s="56"/>
      <c r="BP16" s="108">
        <v>49.2</v>
      </c>
      <c r="CJ16" s="77"/>
      <c r="CK16" s="77"/>
      <c r="CL16" s="77"/>
      <c r="CM16" s="56"/>
      <c r="CN16" s="56"/>
      <c r="CO16" s="56"/>
      <c r="CP16" s="56"/>
      <c r="CQ16" s="108">
        <v>49.2</v>
      </c>
      <c r="DN16" s="35"/>
      <c r="DO16" s="35"/>
      <c r="DX16" s="33"/>
      <c r="DY16" s="33"/>
      <c r="DZ16" s="71"/>
      <c r="EA16" s="84">
        <v>49</v>
      </c>
      <c r="EV16" s="35"/>
      <c r="EW16" s="35"/>
      <c r="FF16" s="33"/>
      <c r="FG16" s="33"/>
      <c r="FH16" s="71"/>
      <c r="FI16" s="84">
        <v>49</v>
      </c>
      <c r="GD16" s="35"/>
      <c r="GE16" s="35"/>
      <c r="GN16" s="33"/>
      <c r="GO16" s="33"/>
      <c r="GP16" s="71"/>
      <c r="GQ16" s="108">
        <v>49.2</v>
      </c>
      <c r="HL16" s="35"/>
      <c r="HM16" s="35"/>
      <c r="HV16" s="33"/>
      <c r="HW16" s="33"/>
      <c r="HX16" s="71"/>
      <c r="HY16" s="108">
        <v>49.2</v>
      </c>
      <c r="IT16" s="35"/>
      <c r="IU16" s="35"/>
      <c r="JD16" s="33"/>
      <c r="JE16" s="33"/>
      <c r="JF16" s="71"/>
      <c r="JG16" s="108">
        <v>49.2</v>
      </c>
      <c r="KB16" s="35"/>
      <c r="KC16" s="35"/>
      <c r="KL16" s="33"/>
      <c r="KM16" s="33"/>
      <c r="KN16" s="71"/>
      <c r="KO16" s="108">
        <v>49.2</v>
      </c>
      <c r="LJ16" s="35"/>
      <c r="LK16" s="35"/>
      <c r="LT16" s="33"/>
      <c r="LU16" s="33"/>
      <c r="LV16" s="71"/>
      <c r="LW16" s="108">
        <v>49.2</v>
      </c>
      <c r="MR16" s="35"/>
      <c r="MS16" s="35"/>
      <c r="NB16" s="33"/>
      <c r="NC16" s="33"/>
      <c r="ND16" s="71"/>
      <c r="NE16" s="108">
        <v>49.2</v>
      </c>
      <c r="NZ16" s="35"/>
      <c r="OA16" s="35"/>
      <c r="OJ16" s="33"/>
      <c r="OK16" s="33"/>
      <c r="OL16" s="71"/>
      <c r="OM16" s="108">
        <v>49.2</v>
      </c>
      <c r="PH16" s="35"/>
      <c r="PI16" s="35"/>
      <c r="PR16" s="33"/>
      <c r="PS16" s="33"/>
      <c r="PT16" s="71"/>
      <c r="PU16" s="108">
        <v>49.2</v>
      </c>
      <c r="QP16" s="35"/>
      <c r="QQ16" s="35"/>
      <c r="QZ16" s="33"/>
      <c r="RA16" s="33"/>
      <c r="RB16" s="71"/>
      <c r="RC16" s="108">
        <v>49.2</v>
      </c>
      <c r="RX16" s="35"/>
      <c r="RY16" s="35"/>
      <c r="SH16" s="33"/>
      <c r="SI16" s="33"/>
      <c r="SJ16" s="71"/>
      <c r="SK16" s="108">
        <v>49.2</v>
      </c>
    </row>
    <row r="17" spans="1:534" x14ac:dyDescent="0.2">
      <c r="A17" s="35"/>
      <c r="B17" s="45" t="s">
        <v>39</v>
      </c>
      <c r="C17" s="35"/>
      <c r="AH17" s="77"/>
      <c r="AI17" s="77"/>
      <c r="AJ17" s="77"/>
      <c r="AK17" s="56"/>
      <c r="AL17" s="77"/>
      <c r="AM17" s="77"/>
      <c r="AN17" s="56"/>
      <c r="AO17" s="109">
        <v>50</v>
      </c>
      <c r="BI17" s="77"/>
      <c r="BJ17" s="77"/>
      <c r="BK17" s="77"/>
      <c r="BM17" s="77"/>
      <c r="BN17" s="56"/>
      <c r="BP17" s="109">
        <v>50</v>
      </c>
      <c r="CJ17" s="77"/>
      <c r="CK17" s="77"/>
      <c r="CL17" s="77"/>
      <c r="CM17" s="56"/>
      <c r="CN17" s="77"/>
      <c r="CO17" s="56"/>
      <c r="CP17" s="56"/>
      <c r="CQ17" s="109">
        <v>50</v>
      </c>
      <c r="DN17" s="35"/>
      <c r="DO17" s="35"/>
      <c r="DX17" s="77" t="s">
        <v>143</v>
      </c>
      <c r="DY17" s="33"/>
      <c r="EA17" s="85">
        <v>50.2</v>
      </c>
      <c r="EV17" s="35"/>
      <c r="EW17" s="35"/>
      <c r="FF17" s="77" t="s">
        <v>143</v>
      </c>
      <c r="FG17" s="33"/>
      <c r="FI17" s="85">
        <v>50.2</v>
      </c>
      <c r="GD17" s="35"/>
      <c r="GE17" s="35"/>
      <c r="GN17" s="33"/>
      <c r="GO17" s="33"/>
      <c r="GQ17" s="109">
        <v>50</v>
      </c>
      <c r="HL17" s="35"/>
      <c r="HM17" s="35"/>
      <c r="HV17" s="77" t="s">
        <v>143</v>
      </c>
      <c r="HW17" s="33"/>
      <c r="HY17" s="109">
        <v>50</v>
      </c>
      <c r="IT17" s="35"/>
      <c r="IU17" s="35"/>
      <c r="JD17" s="33"/>
      <c r="JE17" s="33"/>
      <c r="JG17" s="109">
        <v>50</v>
      </c>
      <c r="KB17" s="35"/>
      <c r="KC17" s="35"/>
      <c r="KL17" s="33"/>
      <c r="KM17" s="33"/>
      <c r="KO17" s="109">
        <v>50</v>
      </c>
      <c r="LJ17" s="35"/>
      <c r="LK17" s="35"/>
      <c r="LT17" s="33"/>
      <c r="LU17" s="33"/>
      <c r="LW17" s="109">
        <v>50</v>
      </c>
      <c r="MR17" s="35"/>
      <c r="MS17" s="35"/>
      <c r="NB17" s="33"/>
      <c r="NC17" s="33"/>
      <c r="NE17" s="109">
        <v>50</v>
      </c>
      <c r="NZ17" s="35"/>
      <c r="OA17" s="35"/>
      <c r="OJ17" s="33"/>
      <c r="OK17" s="33"/>
      <c r="OM17" s="109">
        <v>50</v>
      </c>
      <c r="PH17" s="35"/>
      <c r="PI17" s="35"/>
      <c r="PR17" s="33"/>
      <c r="PS17" s="33"/>
      <c r="PU17" s="109">
        <v>50</v>
      </c>
      <c r="QP17" s="35"/>
      <c r="QQ17" s="35"/>
      <c r="QZ17" s="33"/>
      <c r="RA17" s="33"/>
      <c r="RC17" s="109">
        <v>50</v>
      </c>
      <c r="RX17" s="35"/>
      <c r="RY17" s="35"/>
      <c r="SH17" s="33"/>
      <c r="SI17" s="33"/>
      <c r="SK17" s="109">
        <v>50</v>
      </c>
    </row>
    <row r="18" spans="1:534" s="70" customFormat="1" x14ac:dyDescent="0.2">
      <c r="A18"/>
      <c r="B18" s="53" t="s">
        <v>62</v>
      </c>
      <c r="C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ht="17" x14ac:dyDescent="0.2">
      <c r="L34" s="15"/>
      <c r="M34" s="15"/>
      <c r="N34" s="15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7">
      <sortCondition descending="1" ref="F1:F8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439" priority="35" operator="containsText" text="No DD">
      <formula>NOT(ISERROR(SEARCH("No DD",H1)))</formula>
    </cfRule>
    <cfRule type="containsText" dxfId="438" priority="36" operator="containsText" text="Merit">
      <formula>NOT(ISERROR(SEARCH("Merit",H1)))</formula>
    </cfRule>
    <cfRule type="containsText" dxfId="437" priority="37" operator="containsText" text="Excellence">
      <formula>NOT(ISERROR(SEARCH("Excellence",H1)))</formula>
    </cfRule>
    <cfRule type="containsText" dxfId="436" priority="38" operator="containsText" text="Worlds Team">
      <formula>NOT(ISERROR(SEARCH("Worlds Team",H1)))</formula>
    </cfRule>
    <cfRule type="containsText" dxfId="435" priority="39" operator="containsText" text="National Team">
      <formula>NOT(ISERROR(SEARCH("National Team",H1)))</formula>
    </cfRule>
  </conditionalFormatting>
  <conditionalFormatting sqref="A1:A1048576">
    <cfRule type="expression" dxfId="434" priority="40">
      <formula>AND(G1&lt;&gt;"",F1="")</formula>
    </cfRule>
  </conditionalFormatting>
  <conditionalFormatting sqref="O4:AO7">
    <cfRule type="expression" dxfId="433" priority="41" stopIfTrue="1">
      <formula>IF($AD4&lt;&gt;"",1,0)</formula>
    </cfRule>
  </conditionalFormatting>
  <conditionalFormatting sqref="AP4:BP7">
    <cfRule type="expression" dxfId="432" priority="34" stopIfTrue="1">
      <formula>IF($BE4&lt;&gt;"",1,0)</formula>
    </cfRule>
  </conditionalFormatting>
  <conditionalFormatting sqref="BQ4:CQ7">
    <cfRule type="expression" dxfId="431" priority="33" stopIfTrue="1">
      <formula>IF($CF4&lt;&gt;"",1,0)</formula>
    </cfRule>
  </conditionalFormatting>
  <conditionalFormatting sqref="K1:K1048576">
    <cfRule type="expression" dxfId="430" priority="50">
      <formula>IF(K1=$BQ$1,1,0)</formula>
    </cfRule>
    <cfRule type="expression" dxfId="429" priority="51">
      <formula>IF(K1=$AP$1,1,0)</formula>
    </cfRule>
    <cfRule type="expression" dxfId="428" priority="52">
      <formula>IF(K1=$O$1,1,0)</formula>
    </cfRule>
  </conditionalFormatting>
  <conditionalFormatting sqref="BM18:BM1048576 BF1:BF1048576 BI1:BI1048576 BM1:BM16">
    <cfRule type="cellIs" dxfId="427" priority="46" operator="between">
      <formula>$BP$13</formula>
      <formula>1000</formula>
    </cfRule>
    <cfRule type="cellIs" dxfId="426" priority="47" operator="between">
      <formula>$BP$12</formula>
      <formula>$BP$13</formula>
    </cfRule>
    <cfRule type="cellIs" dxfId="425" priority="48" operator="between">
      <formula>$BP$11</formula>
      <formula>$BP$12</formula>
    </cfRule>
    <cfRule type="cellIs" dxfId="424" priority="49" operator="between">
      <formula>$BP$10</formula>
      <formula>$BP$11</formula>
    </cfRule>
  </conditionalFormatting>
  <conditionalFormatting sqref="CN18:CN1048576 CG1:CG1048576 CJ1:CJ1048576 CN1:CN16">
    <cfRule type="cellIs" dxfId="423" priority="42" operator="between">
      <formula>$CQ$13</formula>
      <formula>1000</formula>
    </cfRule>
    <cfRule type="cellIs" dxfId="422" priority="43" operator="between">
      <formula>$CQ$12</formula>
      <formula>$CQ$13</formula>
    </cfRule>
    <cfRule type="cellIs" dxfId="421" priority="44" operator="between">
      <formula>$CQ$11</formula>
      <formula>$CQ$12</formula>
    </cfRule>
    <cfRule type="cellIs" dxfId="420" priority="45" operator="between">
      <formula>$CQ$10</formula>
      <formula>$CQ$11</formula>
    </cfRule>
  </conditionalFormatting>
  <conditionalFormatting sqref="DX18:DX1048576 DN1:DN1048576 DQ1:DQ1048576 DU1:DU1048576 DX1:DX16">
    <cfRule type="cellIs" dxfId="419" priority="53" operator="between">
      <formula>$EA$13</formula>
      <formula>1000</formula>
    </cfRule>
    <cfRule type="cellIs" dxfId="418" priority="54" operator="between">
      <formula>$EA$12</formula>
      <formula>$EA$13</formula>
    </cfRule>
    <cfRule type="cellIs" dxfId="417" priority="55" operator="between">
      <formula>$EA$11</formula>
      <formula>$EA$12</formula>
    </cfRule>
    <cfRule type="cellIs" dxfId="416" priority="56" operator="between">
      <formula>$EA$10</formula>
      <formula>$EA$11</formula>
    </cfRule>
  </conditionalFormatting>
  <conditionalFormatting sqref="FF18:FF1048576 EV1:EV1048576 EY1:EY1048576 FC1:FC1048576 FF1:FF16">
    <cfRule type="cellIs" dxfId="415" priority="29" operator="between">
      <formula>$FI$13</formula>
      <formula>1000</formula>
    </cfRule>
    <cfRule type="cellIs" dxfId="414" priority="30" operator="between">
      <formula>$FI$12</formula>
      <formula>$FI$13</formula>
    </cfRule>
    <cfRule type="cellIs" dxfId="413" priority="31" operator="between">
      <formula>$FI$11</formula>
      <formula>$FI$12</formula>
    </cfRule>
    <cfRule type="cellIs" dxfId="412" priority="32" operator="between">
      <formula>$FI$10</formula>
      <formula>$FI$11</formula>
    </cfRule>
  </conditionalFormatting>
  <conditionalFormatting sqref="HV18:HV1048576 HL1:HL1048576 HO1:HO1048576 HS1:HS1048576 HV1:HV16">
    <cfRule type="cellIs" dxfId="411" priority="25" operator="between">
      <formula>$HY$13</formula>
      <formula>1000</formula>
    </cfRule>
    <cfRule type="cellIs" dxfId="410" priority="26" operator="between">
      <formula>$HY$12</formula>
      <formula>$HY$13</formula>
    </cfRule>
    <cfRule type="cellIs" dxfId="409" priority="27" operator="between">
      <formula>$HY$11</formula>
      <formula>$HY$12</formula>
    </cfRule>
    <cfRule type="cellIs" dxfId="408" priority="28" operator="between">
      <formula>$HY$10</formula>
      <formula>$HY$11</formula>
    </cfRule>
  </conditionalFormatting>
  <conditionalFormatting sqref="AM17 AE1:AE1048576 AH1:AH1048576 AL1:AL1048576">
    <cfRule type="cellIs" dxfId="407" priority="21" operator="between">
      <formula>$AO$13</formula>
      <formula>1000</formula>
    </cfRule>
    <cfRule type="cellIs" dxfId="406" priority="22" operator="between">
      <formula>$AO$12</formula>
      <formula>$AO$13</formula>
    </cfRule>
    <cfRule type="cellIs" dxfId="405" priority="23" operator="between">
      <formula>$AO$11</formula>
      <formula>$AO$12</formula>
    </cfRule>
    <cfRule type="cellIs" dxfId="404" priority="24" operator="between">
      <formula>$AO$10</formula>
      <formula>$AO$11</formula>
    </cfRule>
  </conditionalFormatting>
  <conditionalFormatting sqref="BM17">
    <cfRule type="cellIs" dxfId="403" priority="17" operator="between">
      <formula>$AO$13</formula>
      <formula>1000</formula>
    </cfRule>
    <cfRule type="cellIs" dxfId="402" priority="18" operator="between">
      <formula>$AO$12</formula>
      <formula>$AO$13</formula>
    </cfRule>
    <cfRule type="cellIs" dxfId="401" priority="19" operator="between">
      <formula>$AO$11</formula>
      <formula>$AO$12</formula>
    </cfRule>
    <cfRule type="cellIs" dxfId="400" priority="20" operator="between">
      <formula>$AO$10</formula>
      <formula>$AO$11</formula>
    </cfRule>
  </conditionalFormatting>
  <conditionalFormatting sqref="CN17">
    <cfRule type="cellIs" dxfId="399" priority="13" operator="between">
      <formula>$AO$13</formula>
      <formula>1000</formula>
    </cfRule>
    <cfRule type="cellIs" dxfId="398" priority="14" operator="between">
      <formula>$AO$12</formula>
      <formula>$AO$13</formula>
    </cfRule>
    <cfRule type="cellIs" dxfId="397" priority="15" operator="between">
      <formula>$AO$11</formula>
      <formula>$AO$12</formula>
    </cfRule>
    <cfRule type="cellIs" dxfId="396" priority="16" operator="between">
      <formula>$AO$10</formula>
      <formula>$AO$11</formula>
    </cfRule>
  </conditionalFormatting>
  <conditionalFormatting sqref="DX17">
    <cfRule type="cellIs" dxfId="395" priority="9" operator="between">
      <formula>$AO$13</formula>
      <formula>1000</formula>
    </cfRule>
    <cfRule type="cellIs" dxfId="394" priority="10" operator="between">
      <formula>$AO$12</formula>
      <formula>$AO$13</formula>
    </cfRule>
    <cfRule type="cellIs" dxfId="393" priority="11" operator="between">
      <formula>$AO$11</formula>
      <formula>$AO$12</formula>
    </cfRule>
    <cfRule type="cellIs" dxfId="392" priority="12" operator="between">
      <formula>$AO$10</formula>
      <formula>$AO$11</formula>
    </cfRule>
  </conditionalFormatting>
  <conditionalFormatting sqref="FF17">
    <cfRule type="cellIs" dxfId="391" priority="5" operator="between">
      <formula>$AO$13</formula>
      <formula>1000</formula>
    </cfRule>
    <cfRule type="cellIs" dxfId="390" priority="6" operator="between">
      <formula>$AO$12</formula>
      <formula>$AO$13</formula>
    </cfRule>
    <cfRule type="cellIs" dxfId="389" priority="7" operator="between">
      <formula>$AO$11</formula>
      <formula>$AO$12</formula>
    </cfRule>
    <cfRule type="cellIs" dxfId="388" priority="8" operator="between">
      <formula>$AO$10</formula>
      <formula>$AO$11</formula>
    </cfRule>
  </conditionalFormatting>
  <conditionalFormatting sqref="HV17">
    <cfRule type="cellIs" dxfId="387" priority="1" operator="between">
      <formula>$AO$13</formula>
      <formula>1000</formula>
    </cfRule>
    <cfRule type="cellIs" dxfId="386" priority="2" operator="between">
      <formula>$AO$12</formula>
      <formula>$AO$13</formula>
    </cfRule>
    <cfRule type="cellIs" dxfId="385" priority="3" operator="between">
      <formula>$AO$11</formula>
      <formula>$AO$12</formula>
    </cfRule>
    <cfRule type="cellIs" dxfId="384" priority="4" operator="between">
      <formula>$AO$10</formula>
      <formula>$AO$11</formula>
    </cfRule>
  </conditionalFormatting>
  <conditionalFormatting sqref="CL1:CL1048576 AJ1:AJ1048576">
    <cfRule type="cellIs" dxfId="383" priority="63835" operator="between">
      <formula>AO$17</formula>
      <formula>1000</formula>
    </cfRule>
    <cfRule type="cellIs" dxfId="382" priority="63836" operator="between">
      <formula>AO$16</formula>
      <formula>AO$17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81" priority="63847" operator="between">
      <formula>EA$17</formula>
      <formula>1000</formula>
    </cfRule>
    <cfRule type="cellIs" dxfId="380" priority="63848" operator="between">
      <formula>EA$16</formula>
      <formula>EA$17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379" priority="63919" operator="between">
      <formula>EA$15</formula>
      <formula>1000</formula>
    </cfRule>
    <cfRule type="cellIs" dxfId="378" priority="63920" operator="between">
      <formula>EA$14</formula>
      <formula>EA$15</formula>
    </cfRule>
  </conditionalFormatting>
  <conditionalFormatting sqref="AG1:AG1048576 AJ1:AJ1048576 AN1:AN1048576">
    <cfRule type="cellIs" dxfId="377" priority="63991" operator="between">
      <formula>$AO$17</formula>
      <formula>1000</formula>
    </cfRule>
    <cfRule type="cellIs" dxfId="376" priority="63992" operator="between">
      <formula>$AO$16</formula>
      <formula>$AO$17</formula>
    </cfRule>
    <cfRule type="cellIs" dxfId="375" priority="63993" operator="between">
      <formula>$AO$15</formula>
      <formula>$AO$16</formula>
    </cfRule>
    <cfRule type="cellIs" dxfId="374" priority="63994" operator="between">
      <formula>$AO$14</formula>
      <formula>$AO$15</formula>
    </cfRule>
  </conditionalFormatting>
  <conditionalFormatting sqref="BH1:BH1048576 BK1:BK1048576 BO1:BO1048576">
    <cfRule type="cellIs" dxfId="373" priority="64027" operator="between">
      <formula>$BP$17</formula>
      <formula>1000</formula>
    </cfRule>
    <cfRule type="cellIs" dxfId="372" priority="64028" operator="between">
      <formula>$BP$16</formula>
      <formula>$BP$17</formula>
    </cfRule>
    <cfRule type="cellIs" dxfId="371" priority="64029" operator="between">
      <formula>$BP$15</formula>
      <formula>$BP$16</formula>
    </cfRule>
    <cfRule type="cellIs" dxfId="370" priority="64030" operator="between">
      <formula>$BP$14</formula>
      <formula>$BP$15</formula>
    </cfRule>
  </conditionalFormatting>
  <conditionalFormatting sqref="CI1:CI1048576 CL1:CL1048576 CP1:CP1048576">
    <cfRule type="cellIs" dxfId="369" priority="64063" operator="between">
      <formula>$CQ$17</formula>
      <formula>1000</formula>
    </cfRule>
    <cfRule type="cellIs" dxfId="368" priority="64064" operator="between">
      <formula>$CQ$16</formula>
      <formula>$CQ$17</formula>
    </cfRule>
    <cfRule type="cellIs" dxfId="367" priority="64065" operator="between">
      <formula>$CQ$15</formula>
      <formula>$CQ$16</formula>
    </cfRule>
    <cfRule type="cellIs" dxfId="366" priority="64066" operator="between">
      <formula>$CQ$14</formula>
      <formula>$CQ$15</formula>
    </cfRule>
  </conditionalFormatting>
  <conditionalFormatting sqref="MR1:MR1048576 MU1:MU1048576 MY1:MY1048576 NB1:NB1048576">
    <cfRule type="cellIs" dxfId="365" priority="64099" operator="between">
      <formula>$NE$10</formula>
      <formula>$NE$11</formula>
    </cfRule>
  </conditionalFormatting>
  <conditionalFormatting sqref="DP1:DP1048576 DS1:DS1048576 DW1:DW1048576 DZ1:DZ1048576">
    <cfRule type="cellIs" dxfId="364" priority="64111" operator="between">
      <formula>$EA$17</formula>
      <formula>1000</formula>
    </cfRule>
    <cfRule type="cellIs" dxfId="363" priority="64112" operator="between">
      <formula>$EA$16</formula>
      <formula>$EA$17</formula>
    </cfRule>
    <cfRule type="cellIs" dxfId="362" priority="64113" operator="between">
      <formula>$EA$15</formula>
      <formula>$EA$16</formula>
    </cfRule>
    <cfRule type="cellIs" dxfId="361" priority="64114" operator="between">
      <formula>$EA$14</formula>
      <formula>$EA$15</formula>
    </cfRule>
  </conditionalFormatting>
  <conditionalFormatting sqref="EX1:EX1048576 FA1:FA1048576 FE1:FE1048576 FH1:FH1048576">
    <cfRule type="cellIs" dxfId="360" priority="64159" operator="between">
      <formula>$FI$17</formula>
      <formula>1000</formula>
    </cfRule>
    <cfRule type="cellIs" dxfId="359" priority="64160" operator="between">
      <formula>$FI$16</formula>
      <formula>$FI$17</formula>
    </cfRule>
    <cfRule type="cellIs" dxfId="358" priority="64161" operator="between">
      <formula>$FI$15</formula>
      <formula>$FI$16</formula>
    </cfRule>
    <cfRule type="cellIs" dxfId="357" priority="64162" operator="between">
      <formula>$FI$14</formula>
      <formula>$FI$15</formula>
    </cfRule>
  </conditionalFormatting>
  <conditionalFormatting sqref="GD1:GD1048576 GG1:GG1048576 GK1:GK1048576 GN1:GN1048576">
    <cfRule type="cellIs" dxfId="356" priority="64207" operator="between">
      <formula>$GQ$13</formula>
      <formula>1000</formula>
    </cfRule>
    <cfRule type="cellIs" dxfId="355" priority="64208" operator="between">
      <formula>$GQ$12</formula>
      <formula>$GQ$13</formula>
    </cfRule>
    <cfRule type="cellIs" dxfId="354" priority="64209" operator="between">
      <formula>$GQ$11</formula>
      <formula>$GQ$12</formula>
    </cfRule>
    <cfRule type="cellIs" dxfId="353" priority="64210" operator="between">
      <formula>$GQ$10</formula>
      <formula>$GQ$11</formula>
    </cfRule>
  </conditionalFormatting>
  <conditionalFormatting sqref="GF1:GF1048576 GI1:GI1048576 GM1:GM1048576 GP1:GP1048576">
    <cfRule type="cellIs" dxfId="352" priority="64255" operator="between">
      <formula>$GQ$17</formula>
      <formula>1000</formula>
    </cfRule>
    <cfRule type="cellIs" dxfId="351" priority="64256" operator="between">
      <formula>$GQ$16</formula>
      <formula>$GQ$17</formula>
    </cfRule>
    <cfRule type="cellIs" dxfId="350" priority="64257" operator="between">
      <formula>$GQ$15</formula>
      <formula>$GQ$16</formula>
    </cfRule>
    <cfRule type="cellIs" dxfId="349" priority="64258" operator="between">
      <formula>$GQ$14</formula>
      <formula>$GQ$15</formula>
    </cfRule>
  </conditionalFormatting>
  <conditionalFormatting sqref="HN1:HN1048576 HQ1:HQ1048576 HU1:HU1048576 HX1:HX1048576">
    <cfRule type="cellIs" dxfId="348" priority="64303" operator="between">
      <formula>$HY$17</formula>
      <formula>1000</formula>
    </cfRule>
    <cfRule type="cellIs" dxfId="347" priority="64304" operator="between">
      <formula>$HY$16</formula>
      <formula>$HY$17</formula>
    </cfRule>
    <cfRule type="cellIs" dxfId="346" priority="64305" operator="between">
      <formula>$HY$15</formula>
      <formula>$HY$16</formula>
    </cfRule>
    <cfRule type="cellIs" dxfId="345" priority="64306" operator="between">
      <formula>$HY$14</formula>
      <formula>$HY$15</formula>
    </cfRule>
  </conditionalFormatting>
  <conditionalFormatting sqref="IT1:IT1048576 IW1:IW1048576 JA1:JA1048576 JD1:JD1048576">
    <cfRule type="cellIs" dxfId="344" priority="64351" operator="between">
      <formula>$JG$13</formula>
      <formula>1000</formula>
    </cfRule>
    <cfRule type="cellIs" dxfId="343" priority="64352" operator="between">
      <formula>$JG$12</formula>
      <formula>$JG$13</formula>
    </cfRule>
    <cfRule type="cellIs" dxfId="342" priority="64353" operator="between">
      <formula>$JG$11</formula>
      <formula>$JG$12</formula>
    </cfRule>
    <cfRule type="cellIs" dxfId="341" priority="64354" operator="between">
      <formula>$JG$10</formula>
      <formula>$JG$11</formula>
    </cfRule>
  </conditionalFormatting>
  <conditionalFormatting sqref="IV1:IV1048576 IY1:IY1048576 JC1:JC1048576 JF1:JF1048576">
    <cfRule type="cellIs" dxfId="340" priority="64399" operator="between">
      <formula>$JG$17</formula>
      <formula>1000</formula>
    </cfRule>
    <cfRule type="cellIs" dxfId="339" priority="64400" operator="between">
      <formula>$JG$16</formula>
      <formula>$JG$17</formula>
    </cfRule>
    <cfRule type="cellIs" dxfId="338" priority="64401" operator="between">
      <formula>$JG$15</formula>
      <formula>$JG$16</formula>
    </cfRule>
    <cfRule type="cellIs" dxfId="337" priority="64402" operator="between">
      <formula>$JG$14</formula>
      <formula>$JG$15</formula>
    </cfRule>
  </conditionalFormatting>
  <conditionalFormatting sqref="KB1:KB1048576 KE1:KE1048576 KI1:KI1048576 KL1:KL1048576">
    <cfRule type="cellIs" dxfId="336" priority="64447" operator="between">
      <formula>$KO$13</formula>
      <formula>1000</formula>
    </cfRule>
    <cfRule type="cellIs" dxfId="335" priority="64448" operator="between">
      <formula>$KO$12</formula>
      <formula>$KO$13</formula>
    </cfRule>
    <cfRule type="cellIs" dxfId="334" priority="64449" operator="between">
      <formula>$KO$11</formula>
      <formula>$KO$12</formula>
    </cfRule>
    <cfRule type="cellIs" dxfId="333" priority="64450" operator="between">
      <formula>$KO$10</formula>
      <formula>$KO$11</formula>
    </cfRule>
  </conditionalFormatting>
  <conditionalFormatting sqref="KD1:KD1048576 KG1:KG1048576 KK1:KK1048576 KN1:KN1048576">
    <cfRule type="cellIs" dxfId="332" priority="64495" operator="between">
      <formula>$KO$17</formula>
      <formula>1000</formula>
    </cfRule>
    <cfRule type="cellIs" dxfId="331" priority="64496" operator="between">
      <formula>$KO$16</formula>
      <formula>$KO$17</formula>
    </cfRule>
    <cfRule type="cellIs" dxfId="330" priority="64497" operator="between">
      <formula>$KO$15</formula>
      <formula>$KO$16</formula>
    </cfRule>
    <cfRule type="cellIs" dxfId="329" priority="64498" operator="between">
      <formula>$KO$14</formula>
      <formula>$KO$15</formula>
    </cfRule>
  </conditionalFormatting>
  <conditionalFormatting sqref="LJ1:LJ1048576 LM1:LM1048576 LQ1:LQ1048576 LT1:LT1048576">
    <cfRule type="cellIs" dxfId="328" priority="64543" operator="between">
      <formula>$LW$13</formula>
      <formula>1000</formula>
    </cfRule>
    <cfRule type="cellIs" dxfId="327" priority="64544" operator="between">
      <formula>$LW$12</formula>
      <formula>$LW$13</formula>
    </cfRule>
    <cfRule type="cellIs" dxfId="326" priority="64545" operator="between">
      <formula>$LW$11</formula>
      <formula>$LW$12</formula>
    </cfRule>
    <cfRule type="cellIs" dxfId="325" priority="64546" operator="between">
      <formula>$LW$10</formula>
      <formula>$LW$11</formula>
    </cfRule>
  </conditionalFormatting>
  <conditionalFormatting sqref="LL1:LL1048576 LO1:LO1048576 LS1:LS1048576 LV1:LV1048576">
    <cfRule type="cellIs" dxfId="324" priority="64591" operator="between">
      <formula>$LW$17</formula>
      <formula>1000</formula>
    </cfRule>
    <cfRule type="cellIs" dxfId="323" priority="64592" operator="between">
      <formula>$LW$16</formula>
      <formula>$LW$17</formula>
    </cfRule>
    <cfRule type="cellIs" dxfId="322" priority="64593" operator="between">
      <formula>$LW$15</formula>
      <formula>$LW$16</formula>
    </cfRule>
    <cfRule type="cellIs" dxfId="321" priority="64594" operator="between">
      <formula>$LW$14</formula>
      <formula>$LW$15</formula>
    </cfRule>
  </conditionalFormatting>
  <conditionalFormatting sqref="MR1:MR1048576 MU1:MU1048576 MY1:MY1048576">
    <cfRule type="cellIs" dxfId="320" priority="64639" operator="between">
      <formula>$NE$13</formula>
      <formula>1000</formula>
    </cfRule>
    <cfRule type="cellIs" dxfId="319" priority="64640" operator="between">
      <formula>$NE$12</formula>
      <formula>$NE$13</formula>
    </cfRule>
    <cfRule type="cellIs" dxfId="318" priority="64641" operator="between">
      <formula>$NE$11</formula>
      <formula>$NE$12</formula>
    </cfRule>
  </conditionalFormatting>
  <conditionalFormatting sqref="MT1:MT1048576 MW1:MW1048576 NA1:NA1048576 ND1:ND1048576">
    <cfRule type="cellIs" dxfId="317" priority="64666" operator="between">
      <formula>$NE$17</formula>
      <formula>1000</formula>
    </cfRule>
    <cfRule type="cellIs" dxfId="316" priority="64667" operator="between">
      <formula>$NE$16</formula>
      <formula>$NE$17</formula>
    </cfRule>
    <cfRule type="cellIs" dxfId="315" priority="64668" operator="between">
      <formula>$NE$15</formula>
      <formula>$NE$16</formula>
    </cfRule>
    <cfRule type="cellIs" dxfId="314" priority="64669" operator="between">
      <formula>$NE$14</formula>
      <formula>$NE$15</formula>
    </cfRule>
  </conditionalFormatting>
  <conditionalFormatting sqref="NZ1:NZ1048576 OC1:OC1048576 OG1:OG1048576 OJ1:OJ1048576">
    <cfRule type="cellIs" dxfId="313" priority="64714" operator="between">
      <formula>$OM$13</formula>
      <formula>1000</formula>
    </cfRule>
    <cfRule type="cellIs" dxfId="312" priority="64715" operator="between">
      <formula>$OM$12</formula>
      <formula>$OM$13</formula>
    </cfRule>
    <cfRule type="cellIs" dxfId="311" priority="64716" operator="between">
      <formula>$OM$11</formula>
      <formula>$OM$12</formula>
    </cfRule>
    <cfRule type="cellIs" dxfId="310" priority="64717" operator="between">
      <formula>$OM$10</formula>
      <formula>$OM$11</formula>
    </cfRule>
  </conditionalFormatting>
  <conditionalFormatting sqref="OB1:OB1048576 OE1:OE1048576 OI1:OI1048576 OL1:OL1048576">
    <cfRule type="cellIs" dxfId="309" priority="64762" operator="between">
      <formula>$OM$17</formula>
      <formula>1000</formula>
    </cfRule>
    <cfRule type="cellIs" dxfId="308" priority="64763" operator="between">
      <formula>$OM$16</formula>
      <formula>$OM$17</formula>
    </cfRule>
    <cfRule type="cellIs" dxfId="307" priority="64764" operator="between">
      <formula>$OM$15</formula>
      <formula>$OM$16</formula>
    </cfRule>
    <cfRule type="cellIs" dxfId="306" priority="64765" operator="between">
      <formula>$OM$14</formula>
      <formula>$OM$15</formula>
    </cfRule>
  </conditionalFormatting>
  <conditionalFormatting sqref="PH1:PH1048576 PK1:PK1048576 PO1:PO1048576 PR1:PR1048576">
    <cfRule type="cellIs" dxfId="305" priority="64810" operator="between">
      <formula>$PU$13</formula>
      <formula>1000</formula>
    </cfRule>
    <cfRule type="cellIs" dxfId="304" priority="64811" operator="between">
      <formula>$PU$12</formula>
      <formula>$PU$13</formula>
    </cfRule>
    <cfRule type="cellIs" dxfId="303" priority="64812" operator="between">
      <formula>$PU$11</formula>
      <formula>$PU$12</formula>
    </cfRule>
    <cfRule type="cellIs" dxfId="302" priority="64813" operator="between">
      <formula>$PU$10</formula>
      <formula>$PU$11</formula>
    </cfRule>
  </conditionalFormatting>
  <conditionalFormatting sqref="PJ1:PJ1048576 PM1:PM1048576 PQ1:PQ1048576 PT1:PT1048576">
    <cfRule type="cellIs" dxfId="301" priority="64858" operator="between">
      <formula>$PU$17</formula>
      <formula>1000</formula>
    </cfRule>
    <cfRule type="cellIs" dxfId="300" priority="64859" operator="between">
      <formula>$PU$16</formula>
      <formula>$PU$17</formula>
    </cfRule>
    <cfRule type="cellIs" dxfId="299" priority="64860" operator="between">
      <formula>$PU$15</formula>
      <formula>$PU$16</formula>
    </cfRule>
    <cfRule type="cellIs" dxfId="298" priority="64861" operator="between">
      <formula>$PU$14</formula>
      <formula>$PU$15</formula>
    </cfRule>
  </conditionalFormatting>
  <conditionalFormatting sqref="QP1:QP1048576 QS1:QS1048576 QW1:QW1048576 QZ1:QZ1048576">
    <cfRule type="cellIs" dxfId="297" priority="64906" operator="between">
      <formula>$RC$13</formula>
      <formula>1000</formula>
    </cfRule>
    <cfRule type="cellIs" dxfId="296" priority="64907" operator="between">
      <formula>$RC$12</formula>
      <formula>$RC$13</formula>
    </cfRule>
    <cfRule type="cellIs" dxfId="295" priority="64908" operator="between">
      <formula>$RC$11</formula>
      <formula>$RC$12</formula>
    </cfRule>
    <cfRule type="cellIs" dxfId="294" priority="64909" operator="between">
      <formula>$RC$10</formula>
      <formula>$RC$11</formula>
    </cfRule>
  </conditionalFormatting>
  <conditionalFormatting sqref="QR1:QR1048576 QU1:QU1048576 QY1:QY1048576 RB1:RB1048576">
    <cfRule type="cellIs" dxfId="293" priority="64954" operator="between">
      <formula>$RC$17</formula>
      <formula>1000</formula>
    </cfRule>
    <cfRule type="cellIs" dxfId="292" priority="64955" operator="between">
      <formula>$RC$16</formula>
      <formula>$RC$17</formula>
    </cfRule>
    <cfRule type="cellIs" dxfId="291" priority="64956" operator="between">
      <formula>$RC$15</formula>
      <formula>$RC$16</formula>
    </cfRule>
    <cfRule type="cellIs" dxfId="290" priority="64957" operator="between">
      <formula>$RC$14</formula>
      <formula>$RC$15</formula>
    </cfRule>
  </conditionalFormatting>
  <conditionalFormatting sqref="RX1:RX1048576 SA1:SA1048576 SE1:SE1048576 SH1:SH1048576">
    <cfRule type="cellIs" dxfId="289" priority="65002" operator="between">
      <formula>$SK$13</formula>
      <formula>1000</formula>
    </cfRule>
    <cfRule type="cellIs" dxfId="288" priority="65003" operator="between">
      <formula>$SK$12</formula>
      <formula>$SK$13</formula>
    </cfRule>
    <cfRule type="cellIs" dxfId="287" priority="65004" operator="between">
      <formula>$SK$11</formula>
      <formula>$SK$12</formula>
    </cfRule>
    <cfRule type="cellIs" dxfId="286" priority="65005" operator="between">
      <formula>$SK$10</formula>
      <formula>$SK$11</formula>
    </cfRule>
  </conditionalFormatting>
  <conditionalFormatting sqref="RZ1:RZ1048576 SC1:SC1048576 SG1:SG1048576 SJ1:SJ1048576">
    <cfRule type="cellIs" dxfId="285" priority="65050" operator="between">
      <formula>$SK$17</formula>
      <formula>1000</formula>
    </cfRule>
    <cfRule type="cellIs" dxfId="284" priority="65051" operator="between">
      <formula>$SK$16</formula>
      <formula>$SK$17</formula>
    </cfRule>
    <cfRule type="cellIs" dxfId="283" priority="65052" operator="between">
      <formula>$SK$15</formula>
      <formula>$SK$16</formula>
    </cfRule>
    <cfRule type="cellIs" dxfId="282" priority="65053" operator="between">
      <formula>$SK$14</formula>
      <formula>$SK$15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2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2" t="s">
        <v>12</v>
      </c>
      <c r="H1" s="112" t="s">
        <v>13</v>
      </c>
      <c r="I1" s="112" t="s">
        <v>96</v>
      </c>
      <c r="J1" s="118" t="s">
        <v>145</v>
      </c>
      <c r="K1" s="114" t="s">
        <v>37</v>
      </c>
      <c r="L1" s="117" t="s">
        <v>15</v>
      </c>
      <c r="M1" s="114" t="s">
        <v>38</v>
      </c>
      <c r="N1" s="114" t="s">
        <v>37</v>
      </c>
      <c r="O1" s="115" t="s">
        <v>104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111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146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15</v>
      </c>
      <c r="CS1" s="121"/>
      <c r="CT1" s="115" t="s">
        <v>116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125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129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 t="s">
        <v>176</v>
      </c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72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20</v>
      </c>
      <c r="P2" s="116"/>
      <c r="Q2" s="116"/>
      <c r="R2" s="116"/>
      <c r="S2" s="116"/>
      <c r="T2" s="116" t="s">
        <v>21</v>
      </c>
      <c r="U2" s="116"/>
      <c r="V2" s="116"/>
      <c r="W2" s="116"/>
      <c r="X2" s="116"/>
      <c r="Y2" s="116" t="s">
        <v>24</v>
      </c>
      <c r="Z2" s="116"/>
      <c r="AA2" s="116"/>
      <c r="AB2" s="116"/>
      <c r="AC2" s="116"/>
      <c r="AD2" s="101"/>
      <c r="AE2" s="101" t="s">
        <v>135</v>
      </c>
      <c r="AF2" s="101" t="s">
        <v>186</v>
      </c>
      <c r="AG2" s="101" t="s">
        <v>22</v>
      </c>
      <c r="AH2" s="101" t="s">
        <v>87</v>
      </c>
      <c r="AI2" s="101" t="s">
        <v>185</v>
      </c>
      <c r="AJ2" s="101" t="s">
        <v>23</v>
      </c>
      <c r="AK2" s="101" t="s">
        <v>25</v>
      </c>
      <c r="AL2" s="101" t="s">
        <v>138</v>
      </c>
      <c r="AM2" s="101" t="s">
        <v>187</v>
      </c>
      <c r="AN2" s="101" t="s">
        <v>24</v>
      </c>
      <c r="AO2" s="101" t="s">
        <v>19</v>
      </c>
      <c r="AP2" s="119" t="s">
        <v>20</v>
      </c>
      <c r="AQ2" s="119"/>
      <c r="AR2" s="119"/>
      <c r="AS2" s="119"/>
      <c r="AT2" s="119"/>
      <c r="AU2" s="119" t="s">
        <v>21</v>
      </c>
      <c r="AV2" s="119"/>
      <c r="AW2" s="119"/>
      <c r="AX2" s="119"/>
      <c r="AY2" s="119"/>
      <c r="AZ2" s="119" t="s">
        <v>24</v>
      </c>
      <c r="BA2" s="119"/>
      <c r="BB2" s="119"/>
      <c r="BC2" s="119"/>
      <c r="BD2" s="119"/>
      <c r="BE2" s="102"/>
      <c r="BF2" s="102" t="s">
        <v>135</v>
      </c>
      <c r="BG2" s="102" t="s">
        <v>186</v>
      </c>
      <c r="BH2" s="102" t="s">
        <v>22</v>
      </c>
      <c r="BI2" s="102" t="s">
        <v>87</v>
      </c>
      <c r="BJ2" s="102" t="s">
        <v>185</v>
      </c>
      <c r="BK2" s="102" t="s">
        <v>23</v>
      </c>
      <c r="BL2" s="102" t="s">
        <v>25</v>
      </c>
      <c r="BM2" s="102" t="s">
        <v>138</v>
      </c>
      <c r="BN2" s="102" t="s">
        <v>187</v>
      </c>
      <c r="BO2" s="102" t="s">
        <v>24</v>
      </c>
      <c r="BP2" s="102" t="s">
        <v>19</v>
      </c>
      <c r="BQ2" s="116" t="s">
        <v>20</v>
      </c>
      <c r="BR2" s="116"/>
      <c r="BS2" s="116"/>
      <c r="BT2" s="116"/>
      <c r="BU2" s="116"/>
      <c r="BV2" s="116" t="s">
        <v>21</v>
      </c>
      <c r="BW2" s="116"/>
      <c r="BX2" s="116"/>
      <c r="BY2" s="116"/>
      <c r="BZ2" s="116"/>
      <c r="CA2" s="116" t="s">
        <v>24</v>
      </c>
      <c r="CB2" s="116"/>
      <c r="CC2" s="116"/>
      <c r="CD2" s="116"/>
      <c r="CE2" s="116"/>
      <c r="CF2" s="101"/>
      <c r="CG2" s="101" t="s">
        <v>135</v>
      </c>
      <c r="CH2" s="101" t="s">
        <v>186</v>
      </c>
      <c r="CI2" s="101" t="s">
        <v>22</v>
      </c>
      <c r="CJ2" s="101" t="s">
        <v>87</v>
      </c>
      <c r="CK2" s="101" t="s">
        <v>185</v>
      </c>
      <c r="CL2" s="101" t="s">
        <v>23</v>
      </c>
      <c r="CM2" s="101" t="s">
        <v>25</v>
      </c>
      <c r="CN2" s="101" t="s">
        <v>138</v>
      </c>
      <c r="CO2" s="101" t="s">
        <v>187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6" t="s">
        <v>20</v>
      </c>
      <c r="CU2" s="116"/>
      <c r="CV2" s="116"/>
      <c r="CW2" s="116"/>
      <c r="CX2" s="116"/>
      <c r="CY2" s="116" t="s">
        <v>21</v>
      </c>
      <c r="CZ2" s="116"/>
      <c r="DA2" s="116"/>
      <c r="DB2" s="116"/>
      <c r="DC2" s="116"/>
      <c r="DD2" s="116" t="s">
        <v>140</v>
      </c>
      <c r="DE2" s="116"/>
      <c r="DF2" s="116"/>
      <c r="DG2" s="116"/>
      <c r="DH2" s="116"/>
      <c r="DI2" s="116" t="s">
        <v>24</v>
      </c>
      <c r="DJ2" s="116"/>
      <c r="DK2" s="116"/>
      <c r="DL2" s="116"/>
      <c r="DM2" s="116"/>
      <c r="DN2" s="101" t="s">
        <v>135</v>
      </c>
      <c r="DO2" s="101" t="s">
        <v>186</v>
      </c>
      <c r="DP2" s="101" t="s">
        <v>22</v>
      </c>
      <c r="DQ2" s="101" t="s">
        <v>87</v>
      </c>
      <c r="DR2" s="101" t="s">
        <v>185</v>
      </c>
      <c r="DS2" s="101" t="s">
        <v>23</v>
      </c>
      <c r="DT2" s="101" t="s">
        <v>25</v>
      </c>
      <c r="DU2" s="101" t="s">
        <v>141</v>
      </c>
      <c r="DV2" s="101" t="s">
        <v>188</v>
      </c>
      <c r="DW2" s="101" t="s">
        <v>140</v>
      </c>
      <c r="DX2" s="101" t="s">
        <v>138</v>
      </c>
      <c r="DY2" s="101" t="s">
        <v>187</v>
      </c>
      <c r="DZ2" s="101" t="s">
        <v>24</v>
      </c>
      <c r="EA2" s="101" t="s">
        <v>19</v>
      </c>
      <c r="EB2" s="119" t="s">
        <v>20</v>
      </c>
      <c r="EC2" s="119"/>
      <c r="ED2" s="119"/>
      <c r="EE2" s="119"/>
      <c r="EF2" s="119"/>
      <c r="EG2" s="119" t="s">
        <v>21</v>
      </c>
      <c r="EH2" s="119"/>
      <c r="EI2" s="119"/>
      <c r="EJ2" s="119"/>
      <c r="EK2" s="119"/>
      <c r="EL2" s="119" t="s">
        <v>140</v>
      </c>
      <c r="EM2" s="119"/>
      <c r="EN2" s="119"/>
      <c r="EO2" s="119"/>
      <c r="EP2" s="119"/>
      <c r="EQ2" s="119" t="s">
        <v>24</v>
      </c>
      <c r="ER2" s="119"/>
      <c r="ES2" s="119"/>
      <c r="ET2" s="119"/>
      <c r="EU2" s="119"/>
      <c r="EV2" s="102" t="s">
        <v>135</v>
      </c>
      <c r="EW2" s="102" t="s">
        <v>186</v>
      </c>
      <c r="EX2" s="102" t="s">
        <v>22</v>
      </c>
      <c r="EY2" s="102" t="s">
        <v>87</v>
      </c>
      <c r="EZ2" s="102" t="s">
        <v>185</v>
      </c>
      <c r="FA2" s="102" t="s">
        <v>23</v>
      </c>
      <c r="FB2" s="102" t="s">
        <v>25</v>
      </c>
      <c r="FC2" s="102" t="s">
        <v>141</v>
      </c>
      <c r="FD2" s="102" t="s">
        <v>188</v>
      </c>
      <c r="FE2" s="102" t="s">
        <v>140</v>
      </c>
      <c r="FF2" s="102" t="s">
        <v>138</v>
      </c>
      <c r="FG2" s="102" t="s">
        <v>187</v>
      </c>
      <c r="FH2" s="102" t="s">
        <v>24</v>
      </c>
      <c r="FI2" s="102" t="s">
        <v>19</v>
      </c>
      <c r="FJ2" s="116" t="s">
        <v>20</v>
      </c>
      <c r="FK2" s="116"/>
      <c r="FL2" s="116"/>
      <c r="FM2" s="116"/>
      <c r="FN2" s="116"/>
      <c r="FO2" s="116" t="s">
        <v>21</v>
      </c>
      <c r="FP2" s="116"/>
      <c r="FQ2" s="116"/>
      <c r="FR2" s="116"/>
      <c r="FS2" s="116"/>
      <c r="FT2" s="116" t="s">
        <v>140</v>
      </c>
      <c r="FU2" s="116"/>
      <c r="FV2" s="116"/>
      <c r="FW2" s="116"/>
      <c r="FX2" s="116"/>
      <c r="FY2" s="116" t="s">
        <v>24</v>
      </c>
      <c r="FZ2" s="116"/>
      <c r="GA2" s="116"/>
      <c r="GB2" s="116"/>
      <c r="GC2" s="116"/>
      <c r="GD2" s="101" t="s">
        <v>135</v>
      </c>
      <c r="GE2" s="101" t="s">
        <v>186</v>
      </c>
      <c r="GF2" s="101" t="s">
        <v>22</v>
      </c>
      <c r="GG2" s="101" t="s">
        <v>87</v>
      </c>
      <c r="GH2" s="101" t="s">
        <v>185</v>
      </c>
      <c r="GI2" s="101" t="s">
        <v>23</v>
      </c>
      <c r="GJ2" s="101" t="s">
        <v>25</v>
      </c>
      <c r="GK2" s="101" t="s">
        <v>141</v>
      </c>
      <c r="GL2" s="101" t="s">
        <v>188</v>
      </c>
      <c r="GM2" s="101" t="s">
        <v>140</v>
      </c>
      <c r="GN2" s="101" t="s">
        <v>138</v>
      </c>
      <c r="GO2" s="101" t="s">
        <v>187</v>
      </c>
      <c r="GP2" s="101" t="s">
        <v>24</v>
      </c>
      <c r="GQ2" s="101" t="s">
        <v>19</v>
      </c>
      <c r="GR2" s="119" t="s">
        <v>20</v>
      </c>
      <c r="GS2" s="119"/>
      <c r="GT2" s="119"/>
      <c r="GU2" s="119"/>
      <c r="GV2" s="119"/>
      <c r="GW2" s="119" t="s">
        <v>21</v>
      </c>
      <c r="GX2" s="119"/>
      <c r="GY2" s="119"/>
      <c r="GZ2" s="119"/>
      <c r="HA2" s="119"/>
      <c r="HB2" s="119" t="s">
        <v>140</v>
      </c>
      <c r="HC2" s="119"/>
      <c r="HD2" s="119"/>
      <c r="HE2" s="119"/>
      <c r="HF2" s="119"/>
      <c r="HG2" s="119" t="s">
        <v>24</v>
      </c>
      <c r="HH2" s="119"/>
      <c r="HI2" s="119"/>
      <c r="HJ2" s="119"/>
      <c r="HK2" s="119"/>
      <c r="HL2" s="102" t="s">
        <v>135</v>
      </c>
      <c r="HM2" s="102" t="s">
        <v>186</v>
      </c>
      <c r="HN2" s="102" t="s">
        <v>22</v>
      </c>
      <c r="HO2" s="102" t="s">
        <v>87</v>
      </c>
      <c r="HP2" s="102" t="s">
        <v>185</v>
      </c>
      <c r="HQ2" s="102" t="s">
        <v>23</v>
      </c>
      <c r="HR2" s="102" t="s">
        <v>25</v>
      </c>
      <c r="HS2" s="102" t="s">
        <v>141</v>
      </c>
      <c r="HT2" s="102" t="s">
        <v>188</v>
      </c>
      <c r="HU2" s="102" t="s">
        <v>140</v>
      </c>
      <c r="HV2" s="102" t="s">
        <v>138</v>
      </c>
      <c r="HW2" s="102" t="s">
        <v>187</v>
      </c>
      <c r="HX2" s="102" t="s">
        <v>24</v>
      </c>
      <c r="HY2" s="102" t="s">
        <v>19</v>
      </c>
      <c r="HZ2" s="116" t="s">
        <v>20</v>
      </c>
      <c r="IA2" s="116"/>
      <c r="IB2" s="116"/>
      <c r="IC2" s="116"/>
      <c r="ID2" s="116"/>
      <c r="IE2" s="116" t="s">
        <v>21</v>
      </c>
      <c r="IF2" s="116"/>
      <c r="IG2" s="116"/>
      <c r="IH2" s="116"/>
      <c r="II2" s="116"/>
      <c r="IJ2" s="116" t="s">
        <v>140</v>
      </c>
      <c r="IK2" s="116"/>
      <c r="IL2" s="116"/>
      <c r="IM2" s="116"/>
      <c r="IN2" s="116"/>
      <c r="IO2" s="116" t="s">
        <v>24</v>
      </c>
      <c r="IP2" s="116"/>
      <c r="IQ2" s="116"/>
      <c r="IR2" s="116"/>
      <c r="IS2" s="116"/>
      <c r="IT2" s="101" t="s">
        <v>135</v>
      </c>
      <c r="IU2" s="101" t="s">
        <v>186</v>
      </c>
      <c r="IV2" s="101" t="s">
        <v>22</v>
      </c>
      <c r="IW2" s="101" t="s">
        <v>87</v>
      </c>
      <c r="IX2" s="101" t="s">
        <v>185</v>
      </c>
      <c r="IY2" s="101" t="s">
        <v>23</v>
      </c>
      <c r="IZ2" s="101" t="s">
        <v>25</v>
      </c>
      <c r="JA2" s="101" t="s">
        <v>141</v>
      </c>
      <c r="JB2" s="101" t="s">
        <v>188</v>
      </c>
      <c r="JC2" s="101" t="s">
        <v>140</v>
      </c>
      <c r="JD2" s="101" t="s">
        <v>138</v>
      </c>
      <c r="JE2" s="101" t="s">
        <v>187</v>
      </c>
      <c r="JF2" s="101" t="s">
        <v>24</v>
      </c>
      <c r="JG2" s="101" t="s">
        <v>19</v>
      </c>
      <c r="JH2" s="119" t="s">
        <v>20</v>
      </c>
      <c r="JI2" s="119"/>
      <c r="JJ2" s="119"/>
      <c r="JK2" s="119"/>
      <c r="JL2" s="119"/>
      <c r="JM2" s="119" t="s">
        <v>21</v>
      </c>
      <c r="JN2" s="119"/>
      <c r="JO2" s="119"/>
      <c r="JP2" s="119"/>
      <c r="JQ2" s="119"/>
      <c r="JR2" s="119" t="s">
        <v>140</v>
      </c>
      <c r="JS2" s="119"/>
      <c r="JT2" s="119"/>
      <c r="JU2" s="119"/>
      <c r="JV2" s="119"/>
      <c r="JW2" s="119" t="s">
        <v>24</v>
      </c>
      <c r="JX2" s="119"/>
      <c r="JY2" s="119"/>
      <c r="JZ2" s="119"/>
      <c r="KA2" s="119"/>
      <c r="KB2" s="102" t="s">
        <v>135</v>
      </c>
      <c r="KC2" s="102" t="s">
        <v>186</v>
      </c>
      <c r="KD2" s="102" t="s">
        <v>22</v>
      </c>
      <c r="KE2" s="102" t="s">
        <v>87</v>
      </c>
      <c r="KF2" s="102" t="s">
        <v>185</v>
      </c>
      <c r="KG2" s="102" t="s">
        <v>23</v>
      </c>
      <c r="KH2" s="102" t="s">
        <v>25</v>
      </c>
      <c r="KI2" s="102" t="s">
        <v>141</v>
      </c>
      <c r="KJ2" s="102" t="s">
        <v>188</v>
      </c>
      <c r="KK2" s="102" t="s">
        <v>140</v>
      </c>
      <c r="KL2" s="102" t="s">
        <v>138</v>
      </c>
      <c r="KM2" s="102" t="s">
        <v>187</v>
      </c>
      <c r="KN2" s="102" t="s">
        <v>24</v>
      </c>
      <c r="KO2" s="102" t="s">
        <v>19</v>
      </c>
      <c r="KP2" s="116" t="s">
        <v>20</v>
      </c>
      <c r="KQ2" s="116"/>
      <c r="KR2" s="116"/>
      <c r="KS2" s="116"/>
      <c r="KT2" s="116"/>
      <c r="KU2" s="116" t="s">
        <v>21</v>
      </c>
      <c r="KV2" s="116"/>
      <c r="KW2" s="116"/>
      <c r="KX2" s="116"/>
      <c r="KY2" s="116"/>
      <c r="KZ2" s="116" t="s">
        <v>140</v>
      </c>
      <c r="LA2" s="116"/>
      <c r="LB2" s="116"/>
      <c r="LC2" s="116"/>
      <c r="LD2" s="116"/>
      <c r="LE2" s="116" t="s">
        <v>24</v>
      </c>
      <c r="LF2" s="116"/>
      <c r="LG2" s="116"/>
      <c r="LH2" s="116"/>
      <c r="LI2" s="116"/>
      <c r="LJ2" s="101" t="s">
        <v>135</v>
      </c>
      <c r="LK2" s="101" t="s">
        <v>186</v>
      </c>
      <c r="LL2" s="101" t="s">
        <v>22</v>
      </c>
      <c r="LM2" s="101" t="s">
        <v>87</v>
      </c>
      <c r="LN2" s="101" t="s">
        <v>185</v>
      </c>
      <c r="LO2" s="101" t="s">
        <v>23</v>
      </c>
      <c r="LP2" s="101" t="s">
        <v>25</v>
      </c>
      <c r="LQ2" s="101" t="s">
        <v>141</v>
      </c>
      <c r="LR2" s="101" t="s">
        <v>188</v>
      </c>
      <c r="LS2" s="101" t="s">
        <v>140</v>
      </c>
      <c r="LT2" s="101" t="s">
        <v>138</v>
      </c>
      <c r="LU2" s="101" t="s">
        <v>187</v>
      </c>
      <c r="LV2" s="101" t="s">
        <v>24</v>
      </c>
      <c r="LW2" s="101" t="s">
        <v>19</v>
      </c>
      <c r="LX2" s="119" t="s">
        <v>20</v>
      </c>
      <c r="LY2" s="119"/>
      <c r="LZ2" s="119"/>
      <c r="MA2" s="119"/>
      <c r="MB2" s="119"/>
      <c r="MC2" s="119" t="s">
        <v>21</v>
      </c>
      <c r="MD2" s="119"/>
      <c r="ME2" s="119"/>
      <c r="MF2" s="119"/>
      <c r="MG2" s="119"/>
      <c r="MH2" s="119" t="s">
        <v>140</v>
      </c>
      <c r="MI2" s="119"/>
      <c r="MJ2" s="119"/>
      <c r="MK2" s="119"/>
      <c r="ML2" s="119"/>
      <c r="MM2" s="119" t="s">
        <v>24</v>
      </c>
      <c r="MN2" s="119"/>
      <c r="MO2" s="119"/>
      <c r="MP2" s="119"/>
      <c r="MQ2" s="119"/>
      <c r="MR2" s="102" t="s">
        <v>135</v>
      </c>
      <c r="MS2" s="102" t="s">
        <v>186</v>
      </c>
      <c r="MT2" s="102" t="s">
        <v>22</v>
      </c>
      <c r="MU2" s="102" t="s">
        <v>87</v>
      </c>
      <c r="MV2" s="102" t="s">
        <v>185</v>
      </c>
      <c r="MW2" s="102" t="s">
        <v>23</v>
      </c>
      <c r="MX2" s="102" t="s">
        <v>25</v>
      </c>
      <c r="MY2" s="102" t="s">
        <v>141</v>
      </c>
      <c r="MZ2" s="102" t="s">
        <v>188</v>
      </c>
      <c r="NA2" s="102" t="s">
        <v>140</v>
      </c>
      <c r="NB2" s="102" t="s">
        <v>138</v>
      </c>
      <c r="NC2" s="102" t="s">
        <v>187</v>
      </c>
      <c r="ND2" s="102" t="s">
        <v>24</v>
      </c>
      <c r="NE2" s="102" t="s">
        <v>19</v>
      </c>
      <c r="NF2" s="116" t="s">
        <v>20</v>
      </c>
      <c r="NG2" s="116"/>
      <c r="NH2" s="116"/>
      <c r="NI2" s="116"/>
      <c r="NJ2" s="116"/>
      <c r="NK2" s="116" t="s">
        <v>21</v>
      </c>
      <c r="NL2" s="116"/>
      <c r="NM2" s="116"/>
      <c r="NN2" s="116"/>
      <c r="NO2" s="116"/>
      <c r="NP2" s="116" t="s">
        <v>140</v>
      </c>
      <c r="NQ2" s="116"/>
      <c r="NR2" s="116"/>
      <c r="NS2" s="116"/>
      <c r="NT2" s="116"/>
      <c r="NU2" s="116" t="s">
        <v>24</v>
      </c>
      <c r="NV2" s="116"/>
      <c r="NW2" s="116"/>
      <c r="NX2" s="116"/>
      <c r="NY2" s="116"/>
      <c r="NZ2" s="101" t="s">
        <v>135</v>
      </c>
      <c r="OA2" s="101" t="s">
        <v>186</v>
      </c>
      <c r="OB2" s="101" t="s">
        <v>22</v>
      </c>
      <c r="OC2" s="101" t="s">
        <v>87</v>
      </c>
      <c r="OD2" s="101" t="s">
        <v>185</v>
      </c>
      <c r="OE2" s="101" t="s">
        <v>23</v>
      </c>
      <c r="OF2" s="101" t="s">
        <v>25</v>
      </c>
      <c r="OG2" s="101" t="s">
        <v>141</v>
      </c>
      <c r="OH2" s="101" t="s">
        <v>188</v>
      </c>
      <c r="OI2" s="101" t="s">
        <v>140</v>
      </c>
      <c r="OJ2" s="101" t="s">
        <v>138</v>
      </c>
      <c r="OK2" s="101" t="s">
        <v>187</v>
      </c>
      <c r="OL2" s="101" t="s">
        <v>24</v>
      </c>
      <c r="OM2" s="101" t="s">
        <v>19</v>
      </c>
      <c r="ON2" s="119" t="s">
        <v>20</v>
      </c>
      <c r="OO2" s="119"/>
      <c r="OP2" s="119"/>
      <c r="OQ2" s="119"/>
      <c r="OR2" s="119"/>
      <c r="OS2" s="119" t="s">
        <v>21</v>
      </c>
      <c r="OT2" s="119"/>
      <c r="OU2" s="119"/>
      <c r="OV2" s="119"/>
      <c r="OW2" s="119"/>
      <c r="OX2" s="119" t="s">
        <v>140</v>
      </c>
      <c r="OY2" s="119"/>
      <c r="OZ2" s="119"/>
      <c r="PA2" s="119"/>
      <c r="PB2" s="119"/>
      <c r="PC2" s="119" t="s">
        <v>24</v>
      </c>
      <c r="PD2" s="119"/>
      <c r="PE2" s="119"/>
      <c r="PF2" s="119"/>
      <c r="PG2" s="119"/>
      <c r="PH2" s="102" t="s">
        <v>135</v>
      </c>
      <c r="PI2" s="102" t="s">
        <v>186</v>
      </c>
      <c r="PJ2" s="102" t="s">
        <v>22</v>
      </c>
      <c r="PK2" s="102" t="s">
        <v>87</v>
      </c>
      <c r="PL2" s="102" t="s">
        <v>185</v>
      </c>
      <c r="PM2" s="102" t="s">
        <v>23</v>
      </c>
      <c r="PN2" s="102" t="s">
        <v>25</v>
      </c>
      <c r="PO2" s="102" t="s">
        <v>141</v>
      </c>
      <c r="PP2" s="102" t="s">
        <v>188</v>
      </c>
      <c r="PQ2" s="102" t="s">
        <v>140</v>
      </c>
      <c r="PR2" s="102" t="s">
        <v>138</v>
      </c>
      <c r="PS2" s="102" t="s">
        <v>187</v>
      </c>
      <c r="PT2" s="102" t="s">
        <v>24</v>
      </c>
      <c r="PU2" s="102" t="s">
        <v>19</v>
      </c>
      <c r="PV2" s="116" t="s">
        <v>20</v>
      </c>
      <c r="PW2" s="116"/>
      <c r="PX2" s="116"/>
      <c r="PY2" s="116"/>
      <c r="PZ2" s="116"/>
      <c r="QA2" s="116" t="s">
        <v>21</v>
      </c>
      <c r="QB2" s="116"/>
      <c r="QC2" s="116"/>
      <c r="QD2" s="116"/>
      <c r="QE2" s="116"/>
      <c r="QF2" s="116" t="s">
        <v>140</v>
      </c>
      <c r="QG2" s="116"/>
      <c r="QH2" s="116"/>
      <c r="QI2" s="116"/>
      <c r="QJ2" s="116"/>
      <c r="QK2" s="116" t="s">
        <v>24</v>
      </c>
      <c r="QL2" s="116"/>
      <c r="QM2" s="116"/>
      <c r="QN2" s="116"/>
      <c r="QO2" s="116"/>
      <c r="QP2" s="101" t="s">
        <v>135</v>
      </c>
      <c r="QQ2" s="101" t="s">
        <v>186</v>
      </c>
      <c r="QR2" s="101" t="s">
        <v>22</v>
      </c>
      <c r="QS2" s="101" t="s">
        <v>87</v>
      </c>
      <c r="QT2" s="101" t="s">
        <v>185</v>
      </c>
      <c r="QU2" s="101" t="s">
        <v>23</v>
      </c>
      <c r="QV2" s="101" t="s">
        <v>25</v>
      </c>
      <c r="QW2" s="101" t="s">
        <v>141</v>
      </c>
      <c r="QX2" s="101" t="s">
        <v>188</v>
      </c>
      <c r="QY2" s="101" t="s">
        <v>140</v>
      </c>
      <c r="QZ2" s="101" t="s">
        <v>138</v>
      </c>
      <c r="RA2" s="101" t="s">
        <v>187</v>
      </c>
      <c r="RB2" s="101" t="s">
        <v>24</v>
      </c>
      <c r="RC2" s="101" t="s">
        <v>19</v>
      </c>
      <c r="RD2" s="119" t="s">
        <v>20</v>
      </c>
      <c r="RE2" s="119"/>
      <c r="RF2" s="119"/>
      <c r="RG2" s="119"/>
      <c r="RH2" s="119"/>
      <c r="RI2" s="119" t="s">
        <v>21</v>
      </c>
      <c r="RJ2" s="119"/>
      <c r="RK2" s="119"/>
      <c r="RL2" s="119"/>
      <c r="RM2" s="119"/>
      <c r="RN2" s="119" t="s">
        <v>140</v>
      </c>
      <c r="RO2" s="119"/>
      <c r="RP2" s="119"/>
      <c r="RQ2" s="119"/>
      <c r="RR2" s="119"/>
      <c r="RS2" s="119" t="s">
        <v>24</v>
      </c>
      <c r="RT2" s="119"/>
      <c r="RU2" s="119"/>
      <c r="RV2" s="119"/>
      <c r="RW2" s="119"/>
      <c r="RX2" s="102" t="s">
        <v>135</v>
      </c>
      <c r="RY2" s="102" t="s">
        <v>186</v>
      </c>
      <c r="RZ2" s="102" t="s">
        <v>22</v>
      </c>
      <c r="SA2" s="102" t="s">
        <v>87</v>
      </c>
      <c r="SB2" s="102" t="s">
        <v>185</v>
      </c>
      <c r="SC2" s="102" t="s">
        <v>23</v>
      </c>
      <c r="SD2" s="102" t="s">
        <v>25</v>
      </c>
      <c r="SE2" s="102" t="s">
        <v>141</v>
      </c>
      <c r="SF2" s="102" t="s">
        <v>188</v>
      </c>
      <c r="SG2" s="102" t="s">
        <v>140</v>
      </c>
      <c r="SH2" s="102" t="s">
        <v>138</v>
      </c>
      <c r="SI2" s="102" t="s">
        <v>187</v>
      </c>
      <c r="SJ2" s="102" t="s">
        <v>24</v>
      </c>
      <c r="SK2" s="102" t="s">
        <v>19</v>
      </c>
      <c r="SL2" s="116" t="s">
        <v>20</v>
      </c>
      <c r="SM2" s="116"/>
      <c r="SN2" s="116"/>
      <c r="SO2" s="116"/>
      <c r="SP2" s="116"/>
      <c r="SQ2" s="116" t="s">
        <v>21</v>
      </c>
      <c r="SR2" s="116"/>
      <c r="SS2" s="116"/>
      <c r="ST2" s="116"/>
      <c r="SU2" s="116"/>
      <c r="SV2" s="116" t="s">
        <v>24</v>
      </c>
      <c r="SW2" s="116"/>
      <c r="SX2" s="116"/>
      <c r="SY2" s="116"/>
      <c r="SZ2" s="116"/>
      <c r="TA2" s="101"/>
      <c r="TB2" s="101" t="s">
        <v>135</v>
      </c>
      <c r="TC2" s="101" t="s">
        <v>186</v>
      </c>
      <c r="TD2" s="101" t="s">
        <v>22</v>
      </c>
      <c r="TE2" s="101" t="s">
        <v>87</v>
      </c>
      <c r="TF2" s="101" t="s">
        <v>185</v>
      </c>
      <c r="TG2" s="101" t="s">
        <v>23</v>
      </c>
      <c r="TH2" s="101" t="s">
        <v>25</v>
      </c>
      <c r="TI2" s="101" t="s">
        <v>138</v>
      </c>
      <c r="TJ2" s="101" t="s">
        <v>187</v>
      </c>
      <c r="TK2" s="101" t="s">
        <v>24</v>
      </c>
      <c r="TL2" s="101" t="s">
        <v>19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16</v>
      </c>
      <c r="P3" s="101" t="s">
        <v>17</v>
      </c>
      <c r="Q3" s="101" t="s">
        <v>11</v>
      </c>
      <c r="R3" s="101" t="s">
        <v>184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184</v>
      </c>
      <c r="X3" s="101" t="s">
        <v>34</v>
      </c>
      <c r="Y3" s="110" t="s">
        <v>16</v>
      </c>
      <c r="Z3" s="110" t="s">
        <v>17</v>
      </c>
      <c r="AA3" s="110" t="s">
        <v>11</v>
      </c>
      <c r="AB3" s="110" t="s">
        <v>184</v>
      </c>
      <c r="AC3" s="110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184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184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184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184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184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184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184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184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184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184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184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184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184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184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184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184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184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184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184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184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184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184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184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184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184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184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184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184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184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184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184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184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184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184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184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184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184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184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184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184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184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184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184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184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184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184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184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184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184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184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184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184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184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184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184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184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184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6" t="s">
        <v>179</v>
      </c>
      <c r="C4" s="7" t="s">
        <v>178</v>
      </c>
      <c r="D4" s="5" t="s">
        <v>177</v>
      </c>
      <c r="E4" s="14">
        <f>SUM(J4,L4)+0.0001</f>
        <v>1E-4</v>
      </c>
      <c r="F4" s="3" t="str">
        <f>IF(OR(AND(AE4&gt;=AO$9,AE4&lt;&gt;"",AG4&gt;=AO$13,AG4&lt;&gt;"",AD4=""),AND(AH4&gt;=AO$9,AH4&lt;&gt;"",AJ4&gt;=AO$13,AJ4&lt;&gt;"",AD4=""),AND(AL4&gt;=AO$9,AL4&lt;&gt;"",AN4&gt;=AO$13,AN4&lt;&gt;"",AD4=""),AND(BF4&gt;=BP$9,BF4&lt;&gt;"",BH4&gt;=BP$13,BH4&lt;&gt;"",BE4=""),AND(BI4&gt;=BP$9,BI4&lt;&gt;"",BK4&gt;=BP$13,BK4&lt;&gt;"",BE4=""),AND(BM4&gt;=BP$9,BM4&lt;&gt;"",BO4&gt;=BP$13,BO4&lt;&gt;"",BE4=""),AND(CG4&gt;=CQ$9,CG4&lt;&gt;"",CI4&gt;=CQ$13,CI4&lt;&gt;"",CF4=""),AND(CJ4&gt;=CQ$9,CJ4&lt;&gt;"",CL4&gt;=CQ$13,CL4&lt;&gt;"",CF4=""),AND(CN4&gt;=CQ$9,CN4&lt;&gt;"",CP4&gt;=CQ$13,CP4&lt;&gt;"",CF4=""),AND(DN4&gt;=EA$9,DN4&lt;&gt;"",DP4&gt;=EA$13,DP4&lt;&gt;""),AND(DQ4&gt;=EA$9,DQ4&lt;&gt;"",DS4&gt;=EA$13,DS4&lt;&gt;""),AND(DU4&gt;=EA$9,DU4&lt;&gt;"",DW4&gt;=EA$13,DW4&lt;&gt;""),AND(DX4&gt;=EA$9,DX4&lt;&gt;"",DZ4&gt;=EA$13,DZ4&lt;&gt;""),AND(EV4&gt;=FI$9,EV4&lt;&gt;"",EX4&gt;=FI$13,EX4&lt;&gt;""),AND(EY4&gt;=FI$9,EY4&lt;&gt;"",FA4&gt;=FI$13,FA4&lt;&gt;""),AND(FC4&gt;=FI$9,FC4&lt;&gt;"",FE4&gt;=FI$13,FE4&lt;&gt;""),AND(FF4&gt;=FI$9,FF4&lt;&gt;"",FH4&gt;=FI$13,FH4&lt;&gt;""),AND(GD4&gt;=GQ$9,GD4&lt;&gt;"",GF4&gt;=GQ$13,GF4&lt;&gt;""),AND(GG4&gt;=GQ$9,GG4&lt;&gt;"",GI4&gt;=GQ$13,GI4&lt;&gt;""),AND(GK4&gt;=GQ$9,GK4&lt;&gt;"",GM4&gt;=GQ$13,GM4&lt;&gt;""),AND(GN4&gt;=GQ$9,GN4&lt;&gt;"",GP4&gt;=GQ$13,GP4&lt;&gt;""),AND(HL4&gt;=HY$9,HL4&lt;&gt;"",HN4&gt;=HY$13,HN4&lt;&gt;""),AND(HO4&gt;=HY$9,HO4&lt;&gt;"",HQ4&gt;=HY$13,HQ4&lt;&gt;""),AND(HS4&gt;=HY$9,HS4&lt;&gt;"",HU4&gt;=HY$13,HU4&lt;&gt;""),AND(HV4&gt;=HY$9,HV4&lt;&gt;"",HX4&gt;=HY$13,HX4&lt;&gt;""),AND(IT4&gt;=JG$9,IT4&lt;&gt;"",IV4&gt;=JG$13,IV4&lt;&gt;""),AND(IW4&gt;=JG$9,IW4&lt;&gt;"",IY4&gt;=JG$13,IY4&lt;&gt;""),AND(JA4&gt;=JG$9,JA4&lt;&gt;"",JC4&gt;=JG$13,JC4&lt;&gt;""),AND(JD4&gt;=JG$9,JD4&lt;&gt;"",JF4&gt;=JG$13,JF4&lt;&gt;""),AND(KB4&gt;=KO$9,KB4&lt;&gt;"",KD4&gt;=KO$13,KD4&lt;&gt;""),AND(KE4&gt;=KO$9,KE4&lt;&gt;"",KG4&gt;=KO$13,KG4&lt;&gt;""),AND(KI4&gt;=KO$9,KI4&lt;&gt;"",KK4&gt;=KO$13,KK4&lt;&gt;""),AND(KL4&gt;=KO$9,KL4&lt;&gt;"",KN4&gt;=KO$13,KN4&lt;&gt;""),AND(LJ4&gt;=LW$9,LJ4&lt;&gt;"",LL4&gt;=LW$13,LL4&lt;&gt;""),AND(LM4&gt;=LW$9,LM4&lt;&gt;"",LO4&gt;=LW$13,LO4&lt;&gt;""),AND(LQ4&gt;=LW$9,LQ4&lt;&gt;"",LS4&gt;=LW$13,LS4&lt;&gt;""),AND(LT4&gt;=LW$9,LT4&lt;&gt;"",LV4&gt;=LW$13,LV4&lt;&gt;""),AND(MR4&gt;=NE$9,MR4&lt;&gt;"",MT4&gt;=NE$13,MT4&lt;&gt;""),AND(MU4&gt;=NE$9,MU4&lt;&gt;"",MW4&gt;=NE$13,MW4&lt;&gt;""),AND(MY4&gt;=NE$9,MY4&lt;&gt;"",NA4&gt;=NE$13,NA4&lt;&gt;""),AND(NB4&gt;=NE$9,NB4&lt;&gt;"",ND4&gt;=NE$13,ND4&lt;&gt;""),AND(NZ4&gt;=OM$9,NZ4&lt;&gt;"",OB4&gt;=OM$13,OB4&lt;&gt;""),AND(OC4&gt;=OM$9,OC4&lt;&gt;"",OE4&gt;=OM$13,OE4&lt;&gt;""),AND(OG4&gt;=OM$9,OG4&lt;&gt;"",OI4&gt;=OM$13,OI4&lt;&gt;""),AND(OJ4&gt;=OM$9,OJ4&lt;&gt;"",OL4&gt;=OM$13,OL4&lt;&gt;""),AND(PH4&gt;=PU$9,PH4&lt;&gt;"",PJ4&gt;=PU$13,PJ4&lt;&gt;""),AND(PK4&gt;=PU$9,PK4&lt;&gt;"",PM4&gt;=PU$13,PM4&lt;&gt;""),AND(PO4&gt;=PU$9,PO4&lt;&gt;"",PQ4&gt;=PU$13,PQ4&lt;&gt;""),AND(PR4&gt;=PU$9,PR4&lt;&gt;"",PT4&gt;=PU$13,PT4&lt;&gt;""),AND(QP4&gt;=RC$9,QP4&lt;&gt;"",QR4&gt;=RC$13,QR4&lt;&gt;""),AND(QS4&gt;=RC$9,QS4&lt;&gt;"",QU4&gt;=RC$13,QU4&lt;&gt;""),AND(QW4&gt;=RC$9,QW4&lt;&gt;"",QY4&gt;=RC$13,QY4&lt;&gt;""),AND(QZ4&gt;=RC$9,QZ4&lt;&gt;"",RB4&gt;=RC$13,RB4&lt;&gt;""),AND(RX4&gt;=SK$9,RX4&lt;&gt;"",RZ4&gt;=SK$13,RZ4&lt;&gt;""),AND(SA4&gt;=SK$9,SA4&lt;&gt;"",SC4&gt;=SK$13,SC4&lt;&gt;""),AND(SE4&gt;=SK$9,SE4&lt;&gt;"",SG4&gt;=SK$13,SG4&lt;&gt;""),AND(SH4&gt;=SK$9,SH4&lt;&gt;"",SJ4&gt;=SK$13,SJ4&lt;&gt;"")),"P","")</f>
        <v>P</v>
      </c>
      <c r="G4" s="3" t="str">
        <f>IF(OR(AND(AG4&gt;=AO$13,AG4&lt;&gt;"",AD4=""),AND(AJ4&gt;=AO$13,AJ4&lt;&gt;"",AD4=""),AND(AN4&gt;=AO$13,AN4&lt;&gt;"",AD4=""),AND(BH4&gt;=BP$13,BH4&lt;&gt;"",BE4=""),AND(BK4&gt;=BP$13,BK4&lt;&gt;"",BE4=""),AND(BO4&gt;=BP$13,BO4&lt;&gt;"",BE4=""),AND(CI4&gt;=CQ$13,CI4&lt;&gt;"",CF4=""),AND(CL4&gt;=CQ$13,CL4&lt;&gt;"",CF4=""),AND(CP4&gt;=CQ$13,CP4&lt;&gt;"",CF4=""),AND(DP4&gt;=EA$13,DP4&lt;&gt;""),AND(DS4&gt;=EA$13,DS4&lt;&gt;""),AND(DW4&gt;=EA$13,DW4&lt;&gt;""),AND(DZ4&gt;=EA$13,DZ4&lt;&gt;""),AND(EX4&gt;=FI$13,EX4&lt;&gt;""),AND(FA4&gt;=FI$13,FA4&lt;&gt;""),AND(FE4&gt;=FI$13,FE4&lt;&gt;""),AND(FH4&gt;=FI$13,FH4&lt;&gt;""),AND(GF4&gt;=GQ$13,GF4&lt;&gt;""),AND(GI4&gt;=GQ$13,GI4&lt;&gt;""),AND(GM4&gt;=GQ$13,GM4&lt;&gt;""),AND(GP4&gt;=GQ$13,GP4&lt;&gt;""),AND(HN4&gt;=HY$13,HN4&lt;&gt;""),AND(HQ4&gt;=HY$13,HQ4&lt;&gt;""),AND(HU4&gt;=HY$13,HU4&lt;&gt;""),AND(HX4&gt;=HY$13,HX4&lt;&gt;""),AND(IV4&gt;=JG$13,IV4&lt;&gt;""),AND(IY4&gt;=JG$13,IY4&lt;&gt;""),AND(JC4&gt;=JG$13,JC4&lt;&gt;""),AND(JF4&gt;=JG$13,JF4&lt;&gt;""),AND(KD4&gt;=KO$13,KD4&lt;&gt;""),AND(KG4&gt;=KO$13,KG4&lt;&gt;""),AND(KK4&gt;=KO$13,KK4&lt;&gt;""),AND(KN4&gt;=KO$13,KN4&lt;&gt;""),AND(LL4&gt;=LW$13,LL4&lt;&gt;""),AND(LO4&gt;=LW$13,LO4&lt;&gt;""),AND(LS4&gt;=LW$13,LS4&lt;&gt;""),AND(LV4&gt;=LW$13,LV4&lt;&gt;""),AND(MT4&gt;=NE$13,MT4&lt;&gt;""),AND(MW4&gt;=NE$13,MW4&lt;&gt;""),AND(NA4&gt;=NE$13,NA4&lt;&gt;""),AND(ND4&gt;=NE$13,ND4&lt;&gt;""),AND(OB4&gt;=OM$13,OB4&lt;&gt;""),AND(OE4&gt;=OM$13,OE4&lt;&gt;""),AND(OI4&gt;=OM$13,OI4&lt;&gt;""),AND(OL4&gt;=OM$13,OL4&lt;&gt;""),AND(PJ4&gt;=PU$13,PJ4&lt;&gt;""),AND(PM4&gt;=PU$13,PM4&lt;&gt;""),AND(PQ4&gt;=PU$13,PQ4&lt;&gt;""),AND(PT4&gt;=PU$13,PT4&lt;&gt;""),AND(QR4&gt;=RC$13,QR4&lt;&gt;""),AND(QU4&gt;=RC$13,QU4&lt;&gt;""),AND(QY4&gt;=RC$13,QY4&lt;&gt;""),AND(RB4&gt;=RC$13,RB4&lt;&gt;""),AND(RZ4&gt;=SK$13,RZ4&lt;&gt;""),AND(SC4&gt;=SK$13,SC4&lt;&gt;""),AND(SG4&gt;=SK$13,SG4&lt;&gt;""),AND(SJ4&gt;=SK$13,SJ4&lt;&gt;"")),"P","")</f>
        <v>P</v>
      </c>
      <c r="H4" s="70" t="str">
        <f>IF(AND(G4="P",F4=""),"No DD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Merit",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Excellence",IF(I4="P","Worlds Team",IF(F4="P","National Team","")))))</f>
        <v>Merit</v>
      </c>
      <c r="I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cm="1">
        <f t="array" ref="A5">IF(AND(F5&lt;&gt;"",G5&lt;&gt;""),SUMPRODUCT((F$4:F$7&lt;&gt;"")*(G$4:G$7&lt;&gt;"")*(E$4:E$7&gt;E5))+1,IF(G5&lt;&gt;"",SUMPRODUCT((H$4:H$7="No DD")*(E$4:E$7&gt;E5))+1+SUMPRODUCT((F$4:F$7&lt;&gt;"")*(G$4:G$7&lt;&gt;"")),""))</f>
        <v>2</v>
      </c>
      <c r="B5" s="6" t="s">
        <v>124</v>
      </c>
      <c r="C5" s="7" t="s">
        <v>9</v>
      </c>
      <c r="D5" s="18" t="s">
        <v>123</v>
      </c>
      <c r="E5" s="14">
        <f>SUM(J5,L5)</f>
        <v>0</v>
      </c>
      <c r="F5" s="3" t="str">
        <f>IF(OR(AND(AE5&gt;=AO$9,AE5&lt;&gt;"",AG5&gt;=AO$13,AG5&lt;&gt;"",AD5=""),AND(AH5&gt;=AO$9,AH5&lt;&gt;"",AJ5&gt;=AO$13,AJ5&lt;&gt;"",AD5=""),AND(AL5&gt;=AO$9,AL5&lt;&gt;"",AN5&gt;=AO$13,AN5&lt;&gt;"",AD5=""),AND(BF5&gt;=BP$9,BF5&lt;&gt;"",BH5&gt;=BP$13,BH5&lt;&gt;"",BE5=""),AND(BI5&gt;=BP$9,BI5&lt;&gt;"",BK5&gt;=BP$13,BK5&lt;&gt;"",BE5=""),AND(BM5&gt;=BP$9,BM5&lt;&gt;"",BO5&gt;=BP$13,BO5&lt;&gt;"",BE5=""),AND(CG5&gt;=CQ$9,CG5&lt;&gt;"",CI5&gt;=CQ$13,CI5&lt;&gt;"",CF5=""),AND(CJ5&gt;=CQ$9,CJ5&lt;&gt;"",CL5&gt;=CQ$13,CL5&lt;&gt;"",CF5=""),AND(CN5&gt;=CQ$9,CN5&lt;&gt;"",CP5&gt;=CQ$13,CP5&lt;&gt;"",CF5=""),AND(DN5&gt;=EA$9,DN5&lt;&gt;"",DP5&gt;=EA$13,DP5&lt;&gt;""),AND(DQ5&gt;=EA$9,DQ5&lt;&gt;"",DS5&gt;=EA$13,DS5&lt;&gt;""),AND(DU5&gt;=EA$9,DU5&lt;&gt;"",DW5&gt;=EA$13,DW5&lt;&gt;""),AND(DX5&gt;=EA$9,DX5&lt;&gt;"",DZ5&gt;=EA$13,DZ5&lt;&gt;""),AND(EV5&gt;=FI$9,EV5&lt;&gt;"",EX5&gt;=FI$13,EX5&lt;&gt;""),AND(EY5&gt;=FI$9,EY5&lt;&gt;"",FA5&gt;=FI$13,FA5&lt;&gt;""),AND(FC5&gt;=FI$9,FC5&lt;&gt;"",FE5&gt;=FI$13,FE5&lt;&gt;""),AND(FF5&gt;=FI$9,FF5&lt;&gt;"",FH5&gt;=FI$13,FH5&lt;&gt;""),AND(GD5&gt;=GQ$9,GD5&lt;&gt;"",GF5&gt;=GQ$13,GF5&lt;&gt;""),AND(GG5&gt;=GQ$9,GG5&lt;&gt;"",GI5&gt;=GQ$13,GI5&lt;&gt;""),AND(GK5&gt;=GQ$9,GK5&lt;&gt;"",GM5&gt;=GQ$13,GM5&lt;&gt;""),AND(GN5&gt;=GQ$9,GN5&lt;&gt;"",GP5&gt;=GQ$13,GP5&lt;&gt;""),AND(HL5&gt;=HY$9,HL5&lt;&gt;"",HN5&gt;=HY$13,HN5&lt;&gt;""),AND(HO5&gt;=HY$9,HO5&lt;&gt;"",HQ5&gt;=HY$13,HQ5&lt;&gt;""),AND(HS5&gt;=HY$9,HS5&lt;&gt;"",HU5&gt;=HY$13,HU5&lt;&gt;""),AND(HV5&gt;=HY$9,HV5&lt;&gt;"",HX5&gt;=HY$13,HX5&lt;&gt;""),AND(IT5&gt;=JG$9,IT5&lt;&gt;"",IV5&gt;=JG$13,IV5&lt;&gt;""),AND(IW5&gt;=JG$9,IW5&lt;&gt;"",IY5&gt;=JG$13,IY5&lt;&gt;""),AND(JA5&gt;=JG$9,JA5&lt;&gt;"",JC5&gt;=JG$13,JC5&lt;&gt;""),AND(JD5&gt;=JG$9,JD5&lt;&gt;"",JF5&gt;=JG$13,JF5&lt;&gt;""),AND(KB5&gt;=KO$9,KB5&lt;&gt;"",KD5&gt;=KO$13,KD5&lt;&gt;""),AND(KE5&gt;=KO$9,KE5&lt;&gt;"",KG5&gt;=KO$13,KG5&lt;&gt;""),AND(KI5&gt;=KO$9,KI5&lt;&gt;"",KK5&gt;=KO$13,KK5&lt;&gt;""),AND(KL5&gt;=KO$9,KL5&lt;&gt;"",KN5&gt;=KO$13,KN5&lt;&gt;""),AND(LJ5&gt;=LW$9,LJ5&lt;&gt;"",LL5&gt;=LW$13,LL5&lt;&gt;""),AND(LM5&gt;=LW$9,LM5&lt;&gt;"",LO5&gt;=LW$13,LO5&lt;&gt;""),AND(LQ5&gt;=LW$9,LQ5&lt;&gt;"",LS5&gt;=LW$13,LS5&lt;&gt;""),AND(LT5&gt;=LW$9,LT5&lt;&gt;"",LV5&gt;=LW$13,LV5&lt;&gt;""),AND(MR5&gt;=NE$9,MR5&lt;&gt;"",MT5&gt;=NE$13,MT5&lt;&gt;""),AND(MU5&gt;=NE$9,MU5&lt;&gt;"",MW5&gt;=NE$13,MW5&lt;&gt;""),AND(MY5&gt;=NE$9,MY5&lt;&gt;"",NA5&gt;=NE$13,NA5&lt;&gt;""),AND(NB5&gt;=NE$9,NB5&lt;&gt;"",ND5&gt;=NE$13,ND5&lt;&gt;""),AND(NZ5&gt;=OM$9,NZ5&lt;&gt;"",OB5&gt;=OM$13,OB5&lt;&gt;""),AND(OC5&gt;=OM$9,OC5&lt;&gt;"",OE5&gt;=OM$13,OE5&lt;&gt;""),AND(OG5&gt;=OM$9,OG5&lt;&gt;"",OI5&gt;=OM$13,OI5&lt;&gt;""),AND(OJ5&gt;=OM$9,OJ5&lt;&gt;"",OL5&gt;=OM$13,OL5&lt;&gt;""),AND(PH5&gt;=PU$9,PH5&lt;&gt;"",PJ5&gt;=PU$13,PJ5&lt;&gt;""),AND(PK5&gt;=PU$9,PK5&lt;&gt;"",PM5&gt;=PU$13,PM5&lt;&gt;""),AND(PO5&gt;=PU$9,PO5&lt;&gt;"",PQ5&gt;=PU$13,PQ5&lt;&gt;""),AND(PR5&gt;=PU$9,PR5&lt;&gt;"",PT5&gt;=PU$13,PT5&lt;&gt;""),AND(QP5&gt;=RC$9,QP5&lt;&gt;"",QR5&gt;=RC$13,QR5&lt;&gt;""),AND(QS5&gt;=RC$9,QS5&lt;&gt;"",QU5&gt;=RC$13,QU5&lt;&gt;""),AND(QW5&gt;=RC$9,QW5&lt;&gt;"",QY5&gt;=RC$13,QY5&lt;&gt;""),AND(QZ5&gt;=RC$9,QZ5&lt;&gt;"",RB5&gt;=RC$13,RB5&lt;&gt;""),AND(RX5&gt;=SK$9,RX5&lt;&gt;"",RZ5&gt;=SK$13,RZ5&lt;&gt;""),AND(SA5&gt;=SK$9,SA5&lt;&gt;"",SC5&gt;=SK$13,SC5&lt;&gt;""),AND(SE5&gt;=SK$9,SE5&lt;&gt;"",SG5&gt;=SK$13,SG5&lt;&gt;""),AND(SH5&gt;=SK$9,SH5&lt;&gt;"",SJ5&gt;=SK$13,SJ5&lt;&gt;"")),"P","")</f>
        <v>P</v>
      </c>
      <c r="G5" s="3" t="str">
        <f>IF(OR(AND(AG5&gt;=AO$13,AG5&lt;&gt;"",AD5=""),AND(AJ5&gt;=AO$13,AJ5&lt;&gt;"",AD5=""),AND(AN5&gt;=AO$13,AN5&lt;&gt;"",AD5=""),AND(BH5&gt;=BP$13,BH5&lt;&gt;"",BE5=""),AND(BK5&gt;=BP$13,BK5&lt;&gt;"",BE5=""),AND(BO5&gt;=BP$13,BO5&lt;&gt;"",BE5=""),AND(CI5&gt;=CQ$13,CI5&lt;&gt;"",CF5=""),AND(CL5&gt;=CQ$13,CL5&lt;&gt;"",CF5=""),AND(CP5&gt;=CQ$13,CP5&lt;&gt;"",CF5=""),AND(DP5&gt;=EA$13,DP5&lt;&gt;""),AND(DS5&gt;=EA$13,DS5&lt;&gt;""),AND(DW5&gt;=EA$13,DW5&lt;&gt;""),AND(DZ5&gt;=EA$13,DZ5&lt;&gt;""),AND(EX5&gt;=FI$13,EX5&lt;&gt;""),AND(FA5&gt;=FI$13,FA5&lt;&gt;""),AND(FE5&gt;=FI$13,FE5&lt;&gt;""),AND(FH5&gt;=FI$13,FH5&lt;&gt;""),AND(GF5&gt;=GQ$13,GF5&lt;&gt;""),AND(GI5&gt;=GQ$13,GI5&lt;&gt;""),AND(GM5&gt;=GQ$13,GM5&lt;&gt;""),AND(GP5&gt;=GQ$13,GP5&lt;&gt;""),AND(HN5&gt;=HY$13,HN5&lt;&gt;""),AND(HQ5&gt;=HY$13,HQ5&lt;&gt;""),AND(HU5&gt;=HY$13,HU5&lt;&gt;""),AND(HX5&gt;=HY$13,HX5&lt;&gt;""),AND(IV5&gt;=JG$13,IV5&lt;&gt;""),AND(IY5&gt;=JG$13,IY5&lt;&gt;""),AND(JC5&gt;=JG$13,JC5&lt;&gt;""),AND(JF5&gt;=JG$13,JF5&lt;&gt;""),AND(KD5&gt;=KO$13,KD5&lt;&gt;""),AND(KG5&gt;=KO$13,KG5&lt;&gt;""),AND(KK5&gt;=KO$13,KK5&lt;&gt;""),AND(KN5&gt;=KO$13,KN5&lt;&gt;""),AND(LL5&gt;=LW$13,LL5&lt;&gt;""),AND(LO5&gt;=LW$13,LO5&lt;&gt;""),AND(LS5&gt;=LW$13,LS5&lt;&gt;""),AND(LV5&gt;=LW$13,LV5&lt;&gt;""),AND(MT5&gt;=NE$13,MT5&lt;&gt;""),AND(MW5&gt;=NE$13,MW5&lt;&gt;""),AND(NA5&gt;=NE$13,NA5&lt;&gt;""),AND(ND5&gt;=NE$13,ND5&lt;&gt;""),AND(OB5&gt;=OM$13,OB5&lt;&gt;""),AND(OE5&gt;=OM$13,OE5&lt;&gt;""),AND(OI5&gt;=OM$13,OI5&lt;&gt;""),AND(OL5&gt;=OM$13,OL5&lt;&gt;""),AND(PJ5&gt;=PU$13,PJ5&lt;&gt;""),AND(PM5&gt;=PU$13,PM5&lt;&gt;""),AND(PQ5&gt;=PU$13,PQ5&lt;&gt;""),AND(PT5&gt;=PU$13,PT5&lt;&gt;""),AND(QR5&gt;=RC$13,QR5&lt;&gt;""),AND(QU5&gt;=RC$13,QU5&lt;&gt;""),AND(QY5&gt;=RC$13,QY5&lt;&gt;""),AND(RB5&gt;=RC$13,RB5&lt;&gt;""),AND(RZ5&gt;=SK$13,RZ5&lt;&gt;""),AND(SC5&gt;=SK$13,SC5&lt;&gt;""),AND(SG5&gt;=SK$13,SG5&lt;&gt;""),AND(SJ5&gt;=SK$13,SJ5&lt;&gt;"")),"P","")</f>
        <v>P</v>
      </c>
      <c r="H5" s="70" t="str">
        <f>IF(AND(G5="P",F5=""),"No DD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Merit",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Excellence",IF(I5="P","Worlds Team",IF(F5="P","National Team","")))))</f>
        <v>National Team</v>
      </c>
      <c r="I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6" t="s">
        <v>127</v>
      </c>
      <c r="C6" s="7" t="s">
        <v>6</v>
      </c>
      <c r="D6" s="5" t="s">
        <v>128</v>
      </c>
      <c r="E6" s="14">
        <f>SUM(J6,L6)</f>
        <v>0</v>
      </c>
      <c r="F6" s="3" t="str">
        <f>IF(OR(AND(AE6&gt;=AO$9,AE6&lt;&gt;"",AG6&gt;=AO$13,AG6&lt;&gt;"",AD6=""),AND(AH6&gt;=AO$9,AH6&lt;&gt;"",AJ6&gt;=AO$13,AJ6&lt;&gt;"",AD6=""),AND(AL6&gt;=AO$9,AL6&lt;&gt;"",AN6&gt;=AO$13,AN6&lt;&gt;"",AD6=""),AND(BF6&gt;=BP$9,BF6&lt;&gt;"",BH6&gt;=BP$13,BH6&lt;&gt;"",BE6=""),AND(BI6&gt;=BP$9,BI6&lt;&gt;"",BK6&gt;=BP$13,BK6&lt;&gt;"",BE6=""),AND(BM6&gt;=BP$9,BM6&lt;&gt;"",BO6&gt;=BP$13,BO6&lt;&gt;"",BE6=""),AND(CG6&gt;=CQ$9,CG6&lt;&gt;"",CI6&gt;=CQ$13,CI6&lt;&gt;"",CF6=""),AND(CJ6&gt;=CQ$9,CJ6&lt;&gt;"",CL6&gt;=CQ$13,CL6&lt;&gt;"",CF6=""),AND(CN6&gt;=CQ$9,CN6&lt;&gt;"",CP6&gt;=CQ$13,CP6&lt;&gt;"",CF6=""),AND(DN6&gt;=EA$9,DN6&lt;&gt;"",DP6&gt;=EA$13,DP6&lt;&gt;""),AND(DQ6&gt;=EA$9,DQ6&lt;&gt;"",DS6&gt;=EA$13,DS6&lt;&gt;""),AND(DU6&gt;=EA$9,DU6&lt;&gt;"",DW6&gt;=EA$13,DW6&lt;&gt;""),AND(DX6&gt;=EA$9,DX6&lt;&gt;"",DZ6&gt;=EA$13,DZ6&lt;&gt;""),AND(EV6&gt;=FI$9,EV6&lt;&gt;"",EX6&gt;=FI$13,EX6&lt;&gt;""),AND(EY6&gt;=FI$9,EY6&lt;&gt;"",FA6&gt;=FI$13,FA6&lt;&gt;""),AND(FC6&gt;=FI$9,FC6&lt;&gt;"",FE6&gt;=FI$13,FE6&lt;&gt;""),AND(FF6&gt;=FI$9,FF6&lt;&gt;"",FH6&gt;=FI$13,FH6&lt;&gt;""),AND(GD6&gt;=GQ$9,GD6&lt;&gt;"",GF6&gt;=GQ$13,GF6&lt;&gt;""),AND(GG6&gt;=GQ$9,GG6&lt;&gt;"",GI6&gt;=GQ$13,GI6&lt;&gt;""),AND(GK6&gt;=GQ$9,GK6&lt;&gt;"",GM6&gt;=GQ$13,GM6&lt;&gt;""),AND(GN6&gt;=GQ$9,GN6&lt;&gt;"",GP6&gt;=GQ$13,GP6&lt;&gt;""),AND(HL6&gt;=HY$9,HL6&lt;&gt;"",HN6&gt;=HY$13,HN6&lt;&gt;""),AND(HO6&gt;=HY$9,HO6&lt;&gt;"",HQ6&gt;=HY$13,HQ6&lt;&gt;""),AND(HS6&gt;=HY$9,HS6&lt;&gt;"",HU6&gt;=HY$13,HU6&lt;&gt;""),AND(HV6&gt;=HY$9,HV6&lt;&gt;"",HX6&gt;=HY$13,HX6&lt;&gt;""),AND(IT6&gt;=JG$9,IT6&lt;&gt;"",IV6&gt;=JG$13,IV6&lt;&gt;""),AND(IW6&gt;=JG$9,IW6&lt;&gt;"",IY6&gt;=JG$13,IY6&lt;&gt;""),AND(JA6&gt;=JG$9,JA6&lt;&gt;"",JC6&gt;=JG$13,JC6&lt;&gt;""),AND(JD6&gt;=JG$9,JD6&lt;&gt;"",JF6&gt;=JG$13,JF6&lt;&gt;""),AND(KB6&gt;=KO$9,KB6&lt;&gt;"",KD6&gt;=KO$13,KD6&lt;&gt;""),AND(KE6&gt;=KO$9,KE6&lt;&gt;"",KG6&gt;=KO$13,KG6&lt;&gt;""),AND(KI6&gt;=KO$9,KI6&lt;&gt;"",KK6&gt;=KO$13,KK6&lt;&gt;""),AND(KL6&gt;=KO$9,KL6&lt;&gt;"",KN6&gt;=KO$13,KN6&lt;&gt;""),AND(LJ6&gt;=LW$9,LJ6&lt;&gt;"",LL6&gt;=LW$13,LL6&lt;&gt;""),AND(LM6&gt;=LW$9,LM6&lt;&gt;"",LO6&gt;=LW$13,LO6&lt;&gt;""),AND(LQ6&gt;=LW$9,LQ6&lt;&gt;"",LS6&gt;=LW$13,LS6&lt;&gt;""),AND(LT6&gt;=LW$9,LT6&lt;&gt;"",LV6&gt;=LW$13,LV6&lt;&gt;""),AND(MR6&gt;=NE$9,MR6&lt;&gt;"",MT6&gt;=NE$13,MT6&lt;&gt;""),AND(MU6&gt;=NE$9,MU6&lt;&gt;"",MW6&gt;=NE$13,MW6&lt;&gt;""),AND(MY6&gt;=NE$9,MY6&lt;&gt;"",NA6&gt;=NE$13,NA6&lt;&gt;""),AND(NB6&gt;=NE$9,NB6&lt;&gt;"",ND6&gt;=NE$13,ND6&lt;&gt;""),AND(NZ6&gt;=OM$9,NZ6&lt;&gt;"",OB6&gt;=OM$13,OB6&lt;&gt;""),AND(OC6&gt;=OM$9,OC6&lt;&gt;"",OE6&gt;=OM$13,OE6&lt;&gt;""),AND(OG6&gt;=OM$9,OG6&lt;&gt;"",OI6&gt;=OM$13,OI6&lt;&gt;""),AND(OJ6&gt;=OM$9,OJ6&lt;&gt;"",OL6&gt;=OM$13,OL6&lt;&gt;""),AND(PH6&gt;=PU$9,PH6&lt;&gt;"",PJ6&gt;=PU$13,PJ6&lt;&gt;""),AND(PK6&gt;=PU$9,PK6&lt;&gt;"",PM6&gt;=PU$13,PM6&lt;&gt;""),AND(PO6&gt;=PU$9,PO6&lt;&gt;"",PQ6&gt;=PU$13,PQ6&lt;&gt;""),AND(PR6&gt;=PU$9,PR6&lt;&gt;"",PT6&gt;=PU$13,PT6&lt;&gt;""),AND(QP6&gt;=RC$9,QP6&lt;&gt;"",QR6&gt;=RC$13,QR6&lt;&gt;""),AND(QS6&gt;=RC$9,QS6&lt;&gt;"",QU6&gt;=RC$13,QU6&lt;&gt;""),AND(QW6&gt;=RC$9,QW6&lt;&gt;"",QY6&gt;=RC$13,QY6&lt;&gt;""),AND(QZ6&gt;=RC$9,QZ6&lt;&gt;"",RB6&gt;=RC$13,RB6&lt;&gt;""),AND(RX6&gt;=SK$9,RX6&lt;&gt;"",RZ6&gt;=SK$13,RZ6&lt;&gt;""),AND(SA6&gt;=SK$9,SA6&lt;&gt;"",SC6&gt;=SK$13,SC6&lt;&gt;""),AND(SE6&gt;=SK$9,SE6&lt;&gt;"",SG6&gt;=SK$13,SG6&lt;&gt;""),AND(SH6&gt;=SK$9,SH6&lt;&gt;"",SJ6&gt;=SK$13,SJ6&lt;&gt;"")),"P","")</f>
        <v/>
      </c>
      <c r="G6" s="3" t="str">
        <f>IF(OR(AND(AG6&gt;=AO$13,AG6&lt;&gt;"",AD6=""),AND(AJ6&gt;=AO$13,AJ6&lt;&gt;"",AD6=""),AND(AN6&gt;=AO$13,AN6&lt;&gt;"",AD6=""),AND(BH6&gt;=BP$13,BH6&lt;&gt;"",BE6=""),AND(BK6&gt;=BP$13,BK6&lt;&gt;"",BE6=""),AND(BO6&gt;=BP$13,BO6&lt;&gt;"",BE6=""),AND(CI6&gt;=CQ$13,CI6&lt;&gt;"",CF6=""),AND(CL6&gt;=CQ$13,CL6&lt;&gt;"",CF6=""),AND(CP6&gt;=CQ$13,CP6&lt;&gt;"",CF6=""),AND(DP6&gt;=EA$13,DP6&lt;&gt;""),AND(DS6&gt;=EA$13,DS6&lt;&gt;""),AND(DW6&gt;=EA$13,DW6&lt;&gt;""),AND(DZ6&gt;=EA$13,DZ6&lt;&gt;""),AND(EX6&gt;=FI$13,EX6&lt;&gt;""),AND(FA6&gt;=FI$13,FA6&lt;&gt;""),AND(FE6&gt;=FI$13,FE6&lt;&gt;""),AND(FH6&gt;=FI$13,FH6&lt;&gt;""),AND(GF6&gt;=GQ$13,GF6&lt;&gt;""),AND(GI6&gt;=GQ$13,GI6&lt;&gt;""),AND(GM6&gt;=GQ$13,GM6&lt;&gt;""),AND(GP6&gt;=GQ$13,GP6&lt;&gt;""),AND(HN6&gt;=HY$13,HN6&lt;&gt;""),AND(HQ6&gt;=HY$13,HQ6&lt;&gt;""),AND(HU6&gt;=HY$13,HU6&lt;&gt;""),AND(HX6&gt;=HY$13,HX6&lt;&gt;""),AND(IV6&gt;=JG$13,IV6&lt;&gt;""),AND(IY6&gt;=JG$13,IY6&lt;&gt;""),AND(JC6&gt;=JG$13,JC6&lt;&gt;""),AND(JF6&gt;=JG$13,JF6&lt;&gt;""),AND(KD6&gt;=KO$13,KD6&lt;&gt;""),AND(KG6&gt;=KO$13,KG6&lt;&gt;""),AND(KK6&gt;=KO$13,KK6&lt;&gt;""),AND(KN6&gt;=KO$13,KN6&lt;&gt;""),AND(LL6&gt;=LW$13,LL6&lt;&gt;""),AND(LO6&gt;=LW$13,LO6&lt;&gt;""),AND(LS6&gt;=LW$13,LS6&lt;&gt;""),AND(LV6&gt;=LW$13,LV6&lt;&gt;""),AND(MT6&gt;=NE$13,MT6&lt;&gt;""),AND(MW6&gt;=NE$13,MW6&lt;&gt;""),AND(NA6&gt;=NE$13,NA6&lt;&gt;""),AND(ND6&gt;=NE$13,ND6&lt;&gt;""),AND(OB6&gt;=OM$13,OB6&lt;&gt;""),AND(OE6&gt;=OM$13,OE6&lt;&gt;""),AND(OI6&gt;=OM$13,OI6&lt;&gt;""),AND(OL6&gt;=OM$13,OL6&lt;&gt;""),AND(PJ6&gt;=PU$13,PJ6&lt;&gt;""),AND(PM6&gt;=PU$13,PM6&lt;&gt;""),AND(PQ6&gt;=PU$13,PQ6&lt;&gt;""),AND(PT6&gt;=PU$13,PT6&lt;&gt;""),AND(QR6&gt;=RC$13,QR6&lt;&gt;""),AND(QU6&gt;=RC$13,QU6&lt;&gt;""),AND(QY6&gt;=RC$13,QY6&lt;&gt;""),AND(RB6&gt;=RC$13,RB6&lt;&gt;""),AND(RZ6&gt;=SK$13,RZ6&lt;&gt;""),AND(SC6&gt;=SK$13,SC6&lt;&gt;""),AND(SG6&gt;=SK$13,SG6&lt;&gt;""),AND(SJ6&gt;=SK$13,SJ6&lt;&gt;"")),"P","")</f>
        <v/>
      </c>
      <c r="H6" s="70" t="str">
        <f>IF(AND(G6="P",F6=""),"No DD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Merit",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Excellence",IF(I6="P","Worlds Team",IF(F6="P","National Team","")))))</f>
        <v/>
      </c>
      <c r="I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5="",0,J5)=SD6,$RD$1,IF(L6+IF(J5="",0,J5)=QV6,$PV$1,IF(L6+IF(J5="",0,J5)=PN6,$ON$1,IF(L6+IF(J5="",0,J5)=OF6,$NF$1,IF(L6+IF(J5="",0,J5)=MX6,$LX$1,IF(L6+IF(J5="",0,J5)=LP6,$KP$1,IF(L6+IF(J5="",0,J5)=KH6,$JH$1,IF(L6+IF(J5="",0,J5)=IZ6,$HZ$1,IF(L6+IF(J5="",0,J5)=HR6,$GR$1,IF(L6+IF(J5="",0,J5)=GJ6,$FJ$1,IF(L6+IF(J5="",0,J5)=FB6,$EB$1,IF(L6+IF(J5="",0,J5)=DT6,$CT$1)))))))))))),IF(L6=CS6,IF(L6+IF(J5="",0,J5)=SJ6,$RD$1,IF(L6+IF(J5="",0,J5)=RB6,$PV$1,IF(L6+IF(J5="",0,J5)=PT6,$ON$1,IF(L6+IF(J5="",0,J5)=OL6,$NF$1,IF(L6+IF(J5="",0,J5)=ND6,$LX$1,IF(L6+IF(J5="",0,J5)=LV6,$KP$1,IF(L6+IF(J5="",0,J5)=KN6,$JH$1,IF(L6+IF(J5="",0,J5)=JF6,$HZ$1,IF(L6+IF(J5="",0,J5)=HX6,$GR$1,IF(L6+IF(J5="",0,J5)=GP6,$FJ$1,IF(L6+IF(J5="",0,J5)=FH6,$EB$1,IF(L6+IF(J5="",0,J5)=DZ6,$CT$1)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>
        <v>8</v>
      </c>
      <c r="FK6" s="25">
        <v>9.4</v>
      </c>
      <c r="FL6" s="25">
        <v>8.9</v>
      </c>
      <c r="FM6" s="25">
        <v>16.48</v>
      </c>
      <c r="FN6" s="25">
        <v>0</v>
      </c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>
        <f>IF(FL6&gt;0,FL6,"")</f>
        <v>8.9</v>
      </c>
      <c r="GE6" s="76">
        <f>IF(FM6&gt;0,FM6,"")</f>
        <v>16.48</v>
      </c>
      <c r="GF6" s="76">
        <f>IF(SUM(FJ6:FM6)-FN6&gt;0,SUM(FJ6:FM6)-FN6,"")</f>
        <v>42.78</v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>
        <f>IF(MAX(GF6,GI6)&gt;0,MAX(GF6,GI6),"")</f>
        <v>42.78</v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>
        <f>IF(SUM(GJ6,GP6)&gt;0,SUM(GJ6,GP6),"")</f>
        <v>42.78</v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0</v>
      </c>
      <c r="SM6" s="42">
        <f>IF($CF6="P",BR6,(BR6+AQ6)/2)</f>
        <v>0</v>
      </c>
      <c r="SN6" s="42">
        <f>IF($CF6="P",BS6,(BS6+AR6)/2)</f>
        <v>0</v>
      </c>
      <c r="SO6" s="42">
        <f>IF($CF6="P",BT6,(BT6+AS6)/2)</f>
        <v>0</v>
      </c>
      <c r="SP6" s="42">
        <f>IF($CF6="P",BU6,(BU6+AT6)/2)</f>
        <v>0</v>
      </c>
      <c r="SQ6" s="42">
        <f>IF($CF6="P",BV6,(BV6+AU6)/2)</f>
        <v>0</v>
      </c>
      <c r="SR6" s="42">
        <f>IF($CF6="P",BW6,(BW6+AV6)/2)</f>
        <v>0</v>
      </c>
      <c r="SS6" s="42">
        <f>IF($CF6="P",BX6,(BX6+AW6)/2)</f>
        <v>0</v>
      </c>
      <c r="ST6" s="42">
        <f>IF($CF6="P",BY6,(BY6+AX6)/2)</f>
        <v>0</v>
      </c>
      <c r="SU6" s="42">
        <f>IF($CF6="P",BZ6,(BZ6+AY6)/2)</f>
        <v>0</v>
      </c>
      <c r="SV6" s="42">
        <f>IF($CF6="P",CA6,(CA6+AZ6)/2)</f>
        <v>0</v>
      </c>
      <c r="SW6" s="42">
        <f>IF($CF6="P",CB6,(CB6+BA6)/2)</f>
        <v>0</v>
      </c>
      <c r="SX6" s="42">
        <f>IF($CF6="P",CC6,(CC6+BB6)/2)</f>
        <v>0</v>
      </c>
      <c r="SY6" s="42">
        <f>IF($CF6="P",CD6,(CD6+BC6)/2)</f>
        <v>0</v>
      </c>
      <c r="SZ6" s="42">
        <f>IF($CF6="P",CE6,(CE6+BD6)/2)</f>
        <v>0</v>
      </c>
      <c r="TA6" s="51" t="s">
        <v>61</v>
      </c>
      <c r="TB6" s="76" t="str">
        <f>IF(SN6&gt;0,SN6,"")</f>
        <v/>
      </c>
      <c r="TC6" s="76" t="str">
        <f>IF(SO6&gt;0,SO6,"")</f>
        <v/>
      </c>
      <c r="TD6" s="76" t="str">
        <f>IF(SUM(SL6:SO6)-SP6&gt;0,SUM(SL6:SO6)-SP6,"")</f>
        <v/>
      </c>
      <c r="TE6" s="76" t="str">
        <f>IF(SS6&gt;0,SS6,"")</f>
        <v/>
      </c>
      <c r="TF6" s="76" t="str">
        <f>IF(ST6&gt;0,ST6,"")</f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>IF(SX6&gt;0,SX6,"")</f>
        <v/>
      </c>
      <c r="TJ6" s="76" t="str">
        <f>IF(SY6&gt;0,SY6,"")</f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B7" s="6"/>
      <c r="D7" s="1"/>
    </row>
    <row r="8" spans="1:532" x14ac:dyDescent="0.2">
      <c r="G8" s="69"/>
      <c r="I8" s="69"/>
    </row>
    <row r="9" spans="1:532" x14ac:dyDescent="0.2">
      <c r="B9" s="43" t="s">
        <v>58</v>
      </c>
      <c r="C9" s="35"/>
      <c r="G9" s="3"/>
      <c r="AH9" s="77"/>
      <c r="AI9" s="77"/>
      <c r="AJ9" s="77"/>
      <c r="AL9" s="56"/>
      <c r="AM9" s="56"/>
      <c r="AO9" s="78">
        <v>10.4</v>
      </c>
      <c r="BI9" s="77"/>
      <c r="BJ9" s="77"/>
      <c r="BK9" s="77"/>
      <c r="BM9" s="56"/>
      <c r="BN9" s="56"/>
      <c r="BP9" s="78">
        <v>10.4</v>
      </c>
      <c r="CJ9" s="77"/>
      <c r="CK9" s="77"/>
      <c r="CL9" s="77"/>
      <c r="CN9" s="56"/>
      <c r="CO9" s="56"/>
      <c r="CQ9" s="78">
        <v>10.4</v>
      </c>
      <c r="DN9" s="35"/>
      <c r="DO9" s="35"/>
      <c r="DX9" s="33"/>
      <c r="DY9" s="33"/>
      <c r="EA9" s="78">
        <v>11.2</v>
      </c>
      <c r="EV9" s="35"/>
      <c r="EW9" s="35"/>
      <c r="FF9" s="33"/>
      <c r="FG9" s="33"/>
      <c r="FI9" s="78">
        <v>11.2</v>
      </c>
      <c r="GD9" s="35"/>
      <c r="GE9" s="35"/>
      <c r="GN9" s="33"/>
      <c r="GO9" s="33"/>
      <c r="GQ9" s="78">
        <v>11.2</v>
      </c>
      <c r="HL9" s="35"/>
      <c r="HM9" s="35"/>
      <c r="HV9" s="33"/>
      <c r="HW9" s="33"/>
      <c r="HY9" s="78">
        <v>10.4</v>
      </c>
      <c r="IT9" s="35"/>
      <c r="IU9" s="35"/>
      <c r="JD9" s="33"/>
      <c r="JE9" s="33"/>
      <c r="JG9" s="78">
        <v>10.4</v>
      </c>
      <c r="KB9" s="35"/>
      <c r="KC9" s="35"/>
      <c r="KL9" s="33"/>
      <c r="KM9" s="33"/>
      <c r="KO9" s="78">
        <v>10.4</v>
      </c>
      <c r="LJ9" s="35"/>
      <c r="LK9" s="35"/>
      <c r="LT9" s="33"/>
      <c r="LU9" s="33"/>
      <c r="LW9" s="78">
        <v>10.4</v>
      </c>
      <c r="MR9" s="35"/>
      <c r="MS9" s="35"/>
      <c r="NB9" s="33"/>
      <c r="NC9" s="33"/>
      <c r="NE9" s="78">
        <v>10.4</v>
      </c>
      <c r="NZ9" s="35"/>
      <c r="OA9" s="35"/>
      <c r="OJ9" s="33"/>
      <c r="OK9" s="33"/>
      <c r="OM9" s="78">
        <v>10.4</v>
      </c>
      <c r="PH9" s="35"/>
      <c r="PI9" s="35"/>
      <c r="PR9" s="33"/>
      <c r="PS9" s="33"/>
      <c r="PU9" s="78">
        <v>10.4</v>
      </c>
      <c r="QP9" s="35"/>
      <c r="QQ9" s="35"/>
      <c r="QZ9" s="33"/>
      <c r="RA9" s="33"/>
      <c r="RC9" s="78">
        <v>10.4</v>
      </c>
      <c r="RX9" s="35"/>
      <c r="RY9" s="35"/>
      <c r="SH9" s="33"/>
      <c r="SI9" s="33"/>
      <c r="SK9" s="78">
        <v>10.4</v>
      </c>
    </row>
    <row r="10" spans="1:532" x14ac:dyDescent="0.2">
      <c r="B10" s="54" t="s">
        <v>57</v>
      </c>
      <c r="C10" s="35"/>
      <c r="N10" s="2"/>
      <c r="AH10" s="77"/>
      <c r="AI10" s="77"/>
      <c r="AJ10" s="77"/>
      <c r="AL10" s="56"/>
      <c r="AM10" s="56"/>
      <c r="AO10" s="79">
        <v>11.2</v>
      </c>
      <c r="BI10" s="77"/>
      <c r="BJ10" s="77"/>
      <c r="BK10" s="77"/>
      <c r="BM10" s="56"/>
      <c r="BN10" s="56"/>
      <c r="BP10" s="79">
        <v>11.2</v>
      </c>
      <c r="CJ10" s="77"/>
      <c r="CK10" s="77"/>
      <c r="CL10" s="77"/>
      <c r="CN10" s="56"/>
      <c r="CO10" s="56"/>
      <c r="CQ10" s="79">
        <v>11.2</v>
      </c>
      <c r="DN10" s="35"/>
      <c r="DO10" s="35"/>
      <c r="DX10" s="33"/>
      <c r="DY10" s="33"/>
      <c r="EA10" s="79">
        <v>12</v>
      </c>
      <c r="EV10" s="35"/>
      <c r="EW10" s="35"/>
      <c r="FF10" s="33"/>
      <c r="FG10" s="33"/>
      <c r="FI10" s="79">
        <v>12</v>
      </c>
      <c r="GD10" s="35"/>
      <c r="GE10" s="35"/>
      <c r="GN10" s="33"/>
      <c r="GO10" s="33"/>
      <c r="GQ10" s="79">
        <v>12</v>
      </c>
      <c r="HL10" s="35"/>
      <c r="HM10" s="35"/>
      <c r="HV10" s="33"/>
      <c r="HW10" s="33"/>
      <c r="HY10" s="79">
        <v>11.2</v>
      </c>
      <c r="IT10" s="35"/>
      <c r="IU10" s="35"/>
      <c r="JD10" s="33"/>
      <c r="JE10" s="33"/>
      <c r="JG10" s="79">
        <v>11.2</v>
      </c>
      <c r="KB10" s="35"/>
      <c r="KC10" s="35"/>
      <c r="KL10" s="33"/>
      <c r="KM10" s="33"/>
      <c r="KO10" s="79">
        <v>11.2</v>
      </c>
      <c r="LJ10" s="35"/>
      <c r="LK10" s="35"/>
      <c r="LT10" s="33"/>
      <c r="LU10" s="33"/>
      <c r="LW10" s="79">
        <v>11.2</v>
      </c>
      <c r="MR10" s="35"/>
      <c r="MS10" s="35"/>
      <c r="NB10" s="33"/>
      <c r="NC10" s="33"/>
      <c r="NE10" s="79">
        <v>11.2</v>
      </c>
      <c r="NZ10" s="35"/>
      <c r="OA10" s="35"/>
      <c r="OJ10" s="33"/>
      <c r="OK10" s="33"/>
      <c r="OM10" s="79">
        <v>11.2</v>
      </c>
      <c r="PH10" s="35"/>
      <c r="PI10" s="35"/>
      <c r="PR10" s="33"/>
      <c r="PS10" s="33"/>
      <c r="PU10" s="79">
        <v>11.2</v>
      </c>
      <c r="QP10" s="35"/>
      <c r="QQ10" s="35"/>
      <c r="QZ10" s="33"/>
      <c r="RA10" s="33"/>
      <c r="RC10" s="79">
        <v>11.2</v>
      </c>
      <c r="RX10" s="35"/>
      <c r="RY10" s="35"/>
      <c r="SH10" s="33"/>
      <c r="SI10" s="33"/>
      <c r="SK10" s="79">
        <v>11.2</v>
      </c>
    </row>
    <row r="11" spans="1:532" x14ac:dyDescent="0.2">
      <c r="A11" s="35"/>
      <c r="B11" s="55" t="s">
        <v>71</v>
      </c>
      <c r="C11" s="35"/>
      <c r="E11" s="2"/>
      <c r="AH11" s="77"/>
      <c r="AI11" s="77"/>
      <c r="AJ11" s="77"/>
      <c r="AK11" s="56"/>
      <c r="AL11" s="56"/>
      <c r="AM11" s="56"/>
      <c r="AN11" s="56"/>
      <c r="AO11" s="80">
        <v>12</v>
      </c>
      <c r="BI11" s="77"/>
      <c r="BJ11" s="77"/>
      <c r="BK11" s="77"/>
      <c r="BM11" s="56"/>
      <c r="BN11" s="56"/>
      <c r="BP11" s="80">
        <v>12</v>
      </c>
      <c r="CJ11" s="77"/>
      <c r="CK11" s="77"/>
      <c r="CL11" s="77"/>
      <c r="CM11" s="56"/>
      <c r="CN11" s="56"/>
      <c r="CO11" s="56"/>
      <c r="CP11" s="56"/>
      <c r="CQ11" s="80">
        <v>12</v>
      </c>
      <c r="DN11" s="35"/>
      <c r="DO11" s="35"/>
      <c r="DX11" s="33"/>
      <c r="DY11" s="33"/>
      <c r="EA11" s="80">
        <v>12</v>
      </c>
      <c r="EV11" s="35"/>
      <c r="EW11" s="35"/>
      <c r="FF11" s="33"/>
      <c r="FG11" s="33"/>
      <c r="FI11" s="80">
        <v>12</v>
      </c>
      <c r="GD11" s="35"/>
      <c r="GE11" s="35"/>
      <c r="GN11" s="33"/>
      <c r="GO11" s="33"/>
      <c r="GQ11" s="80">
        <v>12</v>
      </c>
      <c r="HL11" s="35"/>
      <c r="HM11" s="35"/>
      <c r="HV11" s="33"/>
      <c r="HW11" s="33"/>
      <c r="HY11" s="80">
        <v>12</v>
      </c>
      <c r="IT11" s="35"/>
      <c r="IU11" s="35"/>
      <c r="JD11" s="33"/>
      <c r="JE11" s="33"/>
      <c r="JG11" s="80">
        <v>12</v>
      </c>
      <c r="KB11" s="35"/>
      <c r="KC11" s="35"/>
      <c r="KL11" s="33"/>
      <c r="KM11" s="33"/>
      <c r="KO11" s="80">
        <v>12</v>
      </c>
      <c r="LJ11" s="35"/>
      <c r="LK11" s="35"/>
      <c r="LT11" s="33"/>
      <c r="LU11" s="33"/>
      <c r="LW11" s="80">
        <v>12</v>
      </c>
      <c r="MR11" s="35"/>
      <c r="MS11" s="35"/>
      <c r="NB11" s="33"/>
      <c r="NC11" s="33"/>
      <c r="NE11" s="80">
        <v>12</v>
      </c>
      <c r="NZ11" s="35"/>
      <c r="OA11" s="35"/>
      <c r="OJ11" s="33"/>
      <c r="OK11" s="33"/>
      <c r="OM11" s="80">
        <v>12</v>
      </c>
      <c r="PH11" s="35"/>
      <c r="PI11" s="35"/>
      <c r="PR11" s="33"/>
      <c r="PS11" s="33"/>
      <c r="PU11" s="80">
        <v>12</v>
      </c>
      <c r="QP11" s="35"/>
      <c r="QQ11" s="35"/>
      <c r="QZ11" s="33"/>
      <c r="RA11" s="33"/>
      <c r="RC11" s="80">
        <v>12</v>
      </c>
      <c r="RX11" s="35"/>
      <c r="RY11" s="35"/>
      <c r="SH11" s="33"/>
      <c r="SI11" s="33"/>
      <c r="SK11" s="80">
        <v>12</v>
      </c>
    </row>
    <row r="12" spans="1:532" x14ac:dyDescent="0.2">
      <c r="A12" s="35"/>
      <c r="B12" s="66" t="s">
        <v>86</v>
      </c>
      <c r="C12" s="35"/>
      <c r="E12" s="2"/>
      <c r="AH12" s="77"/>
      <c r="AI12" s="77"/>
      <c r="AJ12" s="77"/>
      <c r="AK12" s="56"/>
      <c r="AL12" s="56"/>
      <c r="AM12" s="56"/>
      <c r="AN12" s="56"/>
      <c r="AO12" s="81">
        <v>12.4</v>
      </c>
      <c r="BI12" s="77"/>
      <c r="BJ12" s="77"/>
      <c r="BK12" s="77"/>
      <c r="BM12" s="56"/>
      <c r="BN12" s="56"/>
      <c r="BP12" s="81">
        <v>12.4</v>
      </c>
      <c r="CJ12" s="77"/>
      <c r="CK12" s="77"/>
      <c r="CL12" s="77"/>
      <c r="CM12" s="56"/>
      <c r="CN12" s="56"/>
      <c r="CO12" s="56"/>
      <c r="CP12" s="56"/>
      <c r="CQ12" s="81">
        <v>12.4</v>
      </c>
      <c r="DN12" s="35"/>
      <c r="DO12" s="35"/>
      <c r="DX12" s="33"/>
      <c r="DY12" s="33"/>
      <c r="EA12" s="81">
        <v>12</v>
      </c>
      <c r="EV12" s="35"/>
      <c r="EW12" s="35"/>
      <c r="FF12" s="33"/>
      <c r="FG12" s="33"/>
      <c r="FI12" s="81">
        <v>12</v>
      </c>
      <c r="GD12" s="35"/>
      <c r="GE12" s="35"/>
      <c r="GN12" s="33"/>
      <c r="GO12" s="33"/>
      <c r="GQ12" s="81">
        <v>12</v>
      </c>
      <c r="HL12" s="35"/>
      <c r="HM12" s="35"/>
      <c r="HV12" s="33"/>
      <c r="HW12" s="33"/>
      <c r="HY12" s="81">
        <v>12.4</v>
      </c>
      <c r="IT12" s="35"/>
      <c r="IU12" s="35"/>
      <c r="JD12" s="33"/>
      <c r="JE12" s="33"/>
      <c r="JG12" s="81">
        <v>12.4</v>
      </c>
      <c r="KB12" s="35"/>
      <c r="KC12" s="35"/>
      <c r="KL12" s="33"/>
      <c r="KM12" s="33"/>
      <c r="KO12" s="81">
        <v>12.4</v>
      </c>
      <c r="LJ12" s="35"/>
      <c r="LK12" s="35"/>
      <c r="LT12" s="33"/>
      <c r="LU12" s="33"/>
      <c r="LW12" s="81">
        <v>12.4</v>
      </c>
      <c r="MR12" s="35"/>
      <c r="MS12" s="35"/>
      <c r="NB12" s="33"/>
      <c r="NC12" s="33"/>
      <c r="NE12" s="81">
        <v>12.4</v>
      </c>
      <c r="NZ12" s="35"/>
      <c r="OA12" s="35"/>
      <c r="OJ12" s="33"/>
      <c r="OK12" s="33"/>
      <c r="OM12" s="81">
        <v>12.4</v>
      </c>
      <c r="PH12" s="35"/>
      <c r="PI12" s="35"/>
      <c r="PR12" s="33"/>
      <c r="PS12" s="33"/>
      <c r="PU12" s="81">
        <v>12.4</v>
      </c>
      <c r="QP12" s="35"/>
      <c r="QQ12" s="35"/>
      <c r="QZ12" s="33"/>
      <c r="RA12" s="33"/>
      <c r="RC12" s="81">
        <v>12.4</v>
      </c>
      <c r="RX12" s="35"/>
      <c r="RY12" s="35"/>
      <c r="SH12" s="33"/>
      <c r="SI12" s="33"/>
      <c r="SK12" s="81">
        <v>12.4</v>
      </c>
    </row>
    <row r="13" spans="1:532" x14ac:dyDescent="0.2">
      <c r="A13" s="35"/>
      <c r="B13" s="65" t="s">
        <v>55</v>
      </c>
      <c r="C13" s="35"/>
      <c r="AH13" s="77"/>
      <c r="AI13" s="77"/>
      <c r="AJ13" s="77"/>
      <c r="AK13" s="56"/>
      <c r="AL13" s="56"/>
      <c r="AM13" s="56"/>
      <c r="AN13" s="56"/>
      <c r="AO13" s="82">
        <v>44</v>
      </c>
      <c r="BI13" s="77"/>
      <c r="BJ13" s="77"/>
      <c r="BK13" s="77"/>
      <c r="BM13" s="56"/>
      <c r="BN13" s="56"/>
      <c r="BP13" s="82">
        <v>44</v>
      </c>
      <c r="CJ13" s="77"/>
      <c r="CK13" s="77"/>
      <c r="CL13" s="77"/>
      <c r="CM13" s="56"/>
      <c r="CN13" s="56"/>
      <c r="CO13" s="56"/>
      <c r="CP13" s="56"/>
      <c r="CQ13" s="82">
        <v>44</v>
      </c>
      <c r="DN13" s="35"/>
      <c r="DO13" s="35"/>
      <c r="DX13" s="33"/>
      <c r="DY13" s="33"/>
      <c r="EA13" s="82">
        <v>45</v>
      </c>
      <c r="EV13" s="35"/>
      <c r="EW13" s="35"/>
      <c r="FF13" s="33"/>
      <c r="FG13" s="33"/>
      <c r="FI13" s="82">
        <v>45.7</v>
      </c>
      <c r="GD13" s="35"/>
      <c r="GE13" s="35"/>
      <c r="GN13" s="33"/>
      <c r="GO13" s="33"/>
      <c r="GQ13" s="82">
        <v>45.7</v>
      </c>
      <c r="HL13" s="35"/>
      <c r="HM13" s="35"/>
      <c r="HV13" s="33"/>
      <c r="HW13" s="33"/>
      <c r="HY13" s="82">
        <v>44</v>
      </c>
      <c r="IT13" s="35"/>
      <c r="IU13" s="35"/>
      <c r="JD13" s="33"/>
      <c r="JE13" s="33"/>
      <c r="JG13" s="82">
        <v>44</v>
      </c>
      <c r="KB13" s="35"/>
      <c r="KC13" s="35"/>
      <c r="KL13" s="33"/>
      <c r="KM13" s="33"/>
      <c r="KO13" s="82">
        <v>44</v>
      </c>
      <c r="LJ13" s="35"/>
      <c r="LK13" s="35"/>
      <c r="LT13" s="33"/>
      <c r="LU13" s="33"/>
      <c r="LW13" s="82">
        <v>44</v>
      </c>
      <c r="MR13" s="35"/>
      <c r="MS13" s="35"/>
      <c r="NB13" s="33"/>
      <c r="NC13" s="33"/>
      <c r="NE13" s="82">
        <v>44</v>
      </c>
      <c r="NZ13" s="35"/>
      <c r="OA13" s="35"/>
      <c r="OJ13" s="33"/>
      <c r="OK13" s="33"/>
      <c r="OM13" s="82">
        <v>44</v>
      </c>
      <c r="PH13" s="35"/>
      <c r="PI13" s="35"/>
      <c r="PR13" s="33"/>
      <c r="PS13" s="33"/>
      <c r="PU13" s="82">
        <v>44</v>
      </c>
      <c r="QP13" s="35"/>
      <c r="QQ13" s="35"/>
      <c r="QZ13" s="33"/>
      <c r="RA13" s="33"/>
      <c r="RC13" s="82">
        <v>44</v>
      </c>
      <c r="RX13" s="35"/>
      <c r="RY13" s="35"/>
      <c r="SH13" s="33"/>
      <c r="SI13" s="33"/>
      <c r="SK13" s="82">
        <v>44</v>
      </c>
    </row>
    <row r="14" spans="1:532" x14ac:dyDescent="0.2">
      <c r="A14" s="35"/>
      <c r="B14" s="44" t="s">
        <v>56</v>
      </c>
      <c r="C14" s="35"/>
      <c r="AH14" s="77"/>
      <c r="AI14" s="77"/>
      <c r="AJ14" s="77"/>
      <c r="AK14" s="56"/>
      <c r="AL14" s="56"/>
      <c r="AM14" s="56"/>
      <c r="AN14" s="56"/>
      <c r="AO14" s="83">
        <v>45.3</v>
      </c>
      <c r="BI14" s="77"/>
      <c r="BJ14" s="77"/>
      <c r="BK14" s="77"/>
      <c r="BM14" s="56"/>
      <c r="BN14" s="56"/>
      <c r="BP14" s="83">
        <v>45.3</v>
      </c>
      <c r="CJ14" s="77"/>
      <c r="CK14" s="77"/>
      <c r="CL14" s="77"/>
      <c r="CM14" s="56"/>
      <c r="CN14" s="56"/>
      <c r="CO14" s="56"/>
      <c r="CP14" s="56"/>
      <c r="CQ14" s="83">
        <v>45.3</v>
      </c>
      <c r="DN14" s="35"/>
      <c r="DO14" s="35"/>
      <c r="DX14" s="33"/>
      <c r="DY14" s="33"/>
      <c r="EA14" s="83">
        <v>45</v>
      </c>
      <c r="EV14" s="35"/>
      <c r="EW14" s="35"/>
      <c r="FF14" s="33"/>
      <c r="FG14" s="33"/>
      <c r="FI14" s="83">
        <v>45.7</v>
      </c>
      <c r="GD14" s="35"/>
      <c r="GE14" s="35"/>
      <c r="GN14" s="33"/>
      <c r="GO14" s="33"/>
      <c r="GQ14" s="83">
        <v>45.7</v>
      </c>
      <c r="HL14" s="35"/>
      <c r="HM14" s="35"/>
      <c r="HV14" s="33"/>
      <c r="HW14" s="33"/>
      <c r="HY14" s="83">
        <v>45.3</v>
      </c>
      <c r="IT14" s="35"/>
      <c r="IU14" s="35"/>
      <c r="JD14" s="33"/>
      <c r="JE14" s="33"/>
      <c r="JG14" s="83">
        <v>45.3</v>
      </c>
      <c r="KB14" s="35"/>
      <c r="KC14" s="35"/>
      <c r="KL14" s="33"/>
      <c r="KM14" s="33"/>
      <c r="KO14" s="83">
        <v>45.3</v>
      </c>
      <c r="LJ14" s="35"/>
      <c r="LK14" s="35"/>
      <c r="LT14" s="33"/>
      <c r="LU14" s="33"/>
      <c r="LW14" s="83">
        <v>45.3</v>
      </c>
      <c r="MR14" s="35"/>
      <c r="MS14" s="35"/>
      <c r="NB14" s="33"/>
      <c r="NC14" s="33"/>
      <c r="NE14" s="83">
        <v>45.3</v>
      </c>
      <c r="NZ14" s="35"/>
      <c r="OA14" s="35"/>
      <c r="OJ14" s="33"/>
      <c r="OK14" s="33"/>
      <c r="OM14" s="83">
        <v>45.3</v>
      </c>
      <c r="PH14" s="35"/>
      <c r="PI14" s="35"/>
      <c r="PR14" s="33"/>
      <c r="PS14" s="33"/>
      <c r="PU14" s="83">
        <v>45.3</v>
      </c>
      <c r="QP14" s="35"/>
      <c r="QQ14" s="35"/>
      <c r="QZ14" s="33"/>
      <c r="RA14" s="33"/>
      <c r="RC14" s="83">
        <v>45.3</v>
      </c>
      <c r="RX14" s="35"/>
      <c r="RY14" s="35"/>
      <c r="SH14" s="33"/>
      <c r="SI14" s="33"/>
      <c r="SK14" s="83">
        <v>45.3</v>
      </c>
    </row>
    <row r="15" spans="1:532" x14ac:dyDescent="0.2">
      <c r="A15" s="35"/>
      <c r="B15" s="64" t="s">
        <v>70</v>
      </c>
      <c r="C15" s="35"/>
      <c r="AH15" s="77"/>
      <c r="AI15" s="77"/>
      <c r="AJ15" s="77"/>
      <c r="AK15" s="56"/>
      <c r="AL15" s="56"/>
      <c r="AM15" s="56"/>
      <c r="AN15" s="56"/>
      <c r="AO15" s="84">
        <v>46</v>
      </c>
      <c r="BI15" s="77"/>
      <c r="BJ15" s="77"/>
      <c r="BK15" s="77"/>
      <c r="BM15" s="56"/>
      <c r="BN15" s="56"/>
      <c r="BP15" s="84">
        <v>46</v>
      </c>
      <c r="CJ15" s="77"/>
      <c r="CK15" s="77"/>
      <c r="CL15" s="77"/>
      <c r="CM15" s="56"/>
      <c r="CN15" s="56"/>
      <c r="CO15" s="56"/>
      <c r="CP15" s="56"/>
      <c r="CQ15" s="84">
        <v>46</v>
      </c>
      <c r="DN15" s="35"/>
      <c r="DO15" s="35"/>
      <c r="DX15" s="33"/>
      <c r="DY15" s="33"/>
      <c r="DZ15" s="71"/>
      <c r="EA15" s="84">
        <v>45.7</v>
      </c>
      <c r="EV15" s="35"/>
      <c r="EW15" s="35"/>
      <c r="FF15" s="33"/>
      <c r="FG15" s="33"/>
      <c r="FH15" s="71"/>
      <c r="FI15" s="84">
        <v>45.7</v>
      </c>
      <c r="GD15" s="35"/>
      <c r="GE15" s="35"/>
      <c r="GN15" s="33"/>
      <c r="GO15" s="33"/>
      <c r="GP15" s="71"/>
      <c r="GQ15" s="84">
        <v>45.7</v>
      </c>
      <c r="HL15" s="35"/>
      <c r="HM15" s="35"/>
      <c r="HV15" s="33"/>
      <c r="HW15" s="33"/>
      <c r="HX15" s="71"/>
      <c r="HY15" s="84">
        <v>46</v>
      </c>
      <c r="IT15" s="35"/>
      <c r="IU15" s="35"/>
      <c r="JD15" s="33"/>
      <c r="JE15" s="33"/>
      <c r="JF15" s="71"/>
      <c r="JG15" s="84">
        <v>46</v>
      </c>
      <c r="KB15" s="35"/>
      <c r="KC15" s="35"/>
      <c r="KL15" s="33"/>
      <c r="KM15" s="33"/>
      <c r="KN15" s="71"/>
      <c r="KO15" s="84">
        <v>46</v>
      </c>
      <c r="LJ15" s="35"/>
      <c r="LK15" s="35"/>
      <c r="LT15" s="33"/>
      <c r="LU15" s="33"/>
      <c r="LV15" s="71"/>
      <c r="LW15" s="84">
        <v>46</v>
      </c>
      <c r="MR15" s="35"/>
      <c r="MS15" s="35"/>
      <c r="NB15" s="33"/>
      <c r="NC15" s="33"/>
      <c r="ND15" s="71"/>
      <c r="NE15" s="84">
        <v>46</v>
      </c>
      <c r="NZ15" s="35"/>
      <c r="OA15" s="35"/>
      <c r="OJ15" s="33"/>
      <c r="OK15" s="33"/>
      <c r="OL15" s="71"/>
      <c r="OM15" s="84">
        <v>46</v>
      </c>
      <c r="PH15" s="35"/>
      <c r="PI15" s="35"/>
      <c r="PR15" s="33"/>
      <c r="PS15" s="33"/>
      <c r="PT15" s="71"/>
      <c r="PU15" s="84">
        <v>46</v>
      </c>
      <c r="QP15" s="35"/>
      <c r="QQ15" s="35"/>
      <c r="QZ15" s="33"/>
      <c r="RA15" s="33"/>
      <c r="RB15" s="71"/>
      <c r="RC15" s="84">
        <v>46</v>
      </c>
      <c r="RX15" s="35"/>
      <c r="RY15" s="35"/>
      <c r="SH15" s="33"/>
      <c r="SI15" s="33"/>
      <c r="SJ15" s="71"/>
      <c r="SK15" s="84">
        <v>46</v>
      </c>
    </row>
    <row r="16" spans="1:532" x14ac:dyDescent="0.2">
      <c r="A16" s="35"/>
      <c r="B16" s="45" t="s">
        <v>39</v>
      </c>
      <c r="C16" s="35"/>
      <c r="AH16" s="77"/>
      <c r="AI16" s="77"/>
      <c r="AJ16" s="77"/>
      <c r="AK16" s="56"/>
      <c r="AL16" s="77"/>
      <c r="AM16" s="77"/>
      <c r="AN16" s="56"/>
      <c r="AO16" s="85">
        <v>46.6</v>
      </c>
      <c r="BI16" s="77"/>
      <c r="BJ16" s="77"/>
      <c r="BK16" s="77"/>
      <c r="BM16" s="77"/>
      <c r="BN16" s="56"/>
      <c r="BP16" s="85">
        <v>46.6</v>
      </c>
      <c r="CJ16" s="77"/>
      <c r="CK16" s="77"/>
      <c r="CL16" s="77"/>
      <c r="CM16" s="56"/>
      <c r="CN16" s="77"/>
      <c r="CO16" s="56"/>
      <c r="CP16" s="56"/>
      <c r="CQ16" s="85">
        <v>46.6</v>
      </c>
      <c r="DN16" s="35"/>
      <c r="DO16" s="35"/>
      <c r="DX16" s="77" t="s">
        <v>143</v>
      </c>
      <c r="DY16" s="33"/>
      <c r="EA16" s="85">
        <v>46.8</v>
      </c>
      <c r="EV16" s="35"/>
      <c r="EW16" s="35"/>
      <c r="FF16" s="77" t="s">
        <v>143</v>
      </c>
      <c r="FG16" s="33"/>
      <c r="FI16" s="85">
        <v>46.8</v>
      </c>
      <c r="GD16" s="35"/>
      <c r="GE16" s="35"/>
      <c r="GN16" s="77" t="s">
        <v>143</v>
      </c>
      <c r="GO16" s="33"/>
      <c r="GQ16" s="85">
        <v>46.8</v>
      </c>
      <c r="HL16" s="35"/>
      <c r="HM16" s="35"/>
      <c r="HV16" s="77" t="s">
        <v>143</v>
      </c>
      <c r="HW16" s="33"/>
      <c r="HY16" s="85">
        <v>46.6</v>
      </c>
      <c r="IT16" s="35"/>
      <c r="IU16" s="35"/>
      <c r="JD16" s="33"/>
      <c r="JE16" s="33"/>
      <c r="JG16" s="85">
        <v>46.6</v>
      </c>
      <c r="KB16" s="35"/>
      <c r="KC16" s="35"/>
      <c r="KL16" s="33"/>
      <c r="KM16" s="33"/>
      <c r="KO16" s="85">
        <v>46.6</v>
      </c>
      <c r="LJ16" s="35"/>
      <c r="LK16" s="35"/>
      <c r="LT16" s="33"/>
      <c r="LU16" s="33"/>
      <c r="LW16" s="85">
        <v>46.6</v>
      </c>
      <c r="MR16" s="35"/>
      <c r="MS16" s="35"/>
      <c r="NB16" s="33"/>
      <c r="NC16" s="33"/>
      <c r="NE16" s="85">
        <v>46.6</v>
      </c>
      <c r="NZ16" s="35"/>
      <c r="OA16" s="35"/>
      <c r="OJ16" s="33"/>
      <c r="OK16" s="33"/>
      <c r="OM16" s="85">
        <v>46.6</v>
      </c>
      <c r="PH16" s="35"/>
      <c r="PI16" s="35"/>
      <c r="PR16" s="33"/>
      <c r="PS16" s="33"/>
      <c r="PU16" s="85">
        <v>46.6</v>
      </c>
      <c r="QP16" s="35"/>
      <c r="QQ16" s="35"/>
      <c r="QZ16" s="33"/>
      <c r="RA16" s="33"/>
      <c r="RC16" s="85">
        <v>46.6</v>
      </c>
      <c r="RX16" s="35"/>
      <c r="RY16" s="35"/>
      <c r="SH16" s="33"/>
      <c r="SI16" s="33"/>
      <c r="SK16" s="85">
        <v>46.6</v>
      </c>
    </row>
    <row r="17" spans="1:534" s="70" customFormat="1" x14ac:dyDescent="0.2">
      <c r="A17"/>
      <c r="B17" s="53" t="s">
        <v>62</v>
      </c>
      <c r="C17" s="2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K17" s="56"/>
      <c r="AN17" s="56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M17" s="56"/>
      <c r="CP17" s="56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</row>
    <row r="18" spans="1:534" s="70" customFormat="1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G18" s="56"/>
      <c r="AH18" s="56"/>
      <c r="AI18" s="56"/>
      <c r="AJ18" s="56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I18" s="56"/>
      <c r="CJ18" s="56"/>
      <c r="CK18" s="56"/>
      <c r="CL18" s="56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 s="15"/>
      <c r="M19" s="15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 s="15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2:14" ht="17" x14ac:dyDescent="0.2">
      <c r="L33" s="15"/>
      <c r="M33" s="15"/>
      <c r="N33" s="15"/>
    </row>
    <row r="34" spans="12:14" ht="17" x14ac:dyDescent="0.2">
      <c r="L34" s="15"/>
      <c r="M34" s="15"/>
      <c r="N34" s="15"/>
    </row>
    <row r="35" spans="12:14" ht="17" x14ac:dyDescent="0.2">
      <c r="L35" s="15"/>
      <c r="M35" s="15"/>
      <c r="N35" s="15"/>
    </row>
    <row r="36" spans="12:14" ht="17" x14ac:dyDescent="0.2">
      <c r="L36" s="15"/>
      <c r="M36" s="15"/>
      <c r="N36" s="15"/>
    </row>
    <row r="37" spans="12:14" ht="17" x14ac:dyDescent="0.2">
      <c r="L37" s="15"/>
      <c r="M37" s="15"/>
      <c r="N37" s="15"/>
    </row>
    <row r="38" spans="12:14" ht="17" x14ac:dyDescent="0.2">
      <c r="L38" s="15"/>
      <c r="M38" s="15"/>
      <c r="N38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6">
      <sortCondition descending="1" ref="F1:F7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281" priority="39" operator="containsText" text="No DD">
      <formula>NOT(ISERROR(SEARCH("No DD",H1)))</formula>
    </cfRule>
    <cfRule type="containsText" dxfId="280" priority="40" operator="containsText" text="Merit">
      <formula>NOT(ISERROR(SEARCH("Merit",H1)))</formula>
    </cfRule>
    <cfRule type="containsText" dxfId="279" priority="41" operator="containsText" text="Excellence">
      <formula>NOT(ISERROR(SEARCH("Excellence",H1)))</formula>
    </cfRule>
    <cfRule type="containsText" dxfId="278" priority="42" operator="containsText" text="Worlds Team">
      <formula>NOT(ISERROR(SEARCH("Worlds Team",H1)))</formula>
    </cfRule>
    <cfRule type="containsText" dxfId="277" priority="43" operator="containsText" text="National Team">
      <formula>NOT(ISERROR(SEARCH("National Team",H1)))</formula>
    </cfRule>
  </conditionalFormatting>
  <conditionalFormatting sqref="A1:A1048576">
    <cfRule type="expression" dxfId="276" priority="44">
      <formula>AND(G1&lt;&gt;"",F1="")</formula>
    </cfRule>
  </conditionalFormatting>
  <conditionalFormatting sqref="O4:AO6">
    <cfRule type="expression" dxfId="275" priority="45" stopIfTrue="1">
      <formula>IF($AD4&lt;&gt;"",1,0)</formula>
    </cfRule>
  </conditionalFormatting>
  <conditionalFormatting sqref="AP4:BP6">
    <cfRule type="expression" dxfId="274" priority="38" stopIfTrue="1">
      <formula>IF($BE4&lt;&gt;"",1,0)</formula>
    </cfRule>
  </conditionalFormatting>
  <conditionalFormatting sqref="BQ4:CQ6">
    <cfRule type="expression" dxfId="273" priority="37" stopIfTrue="1">
      <formula>IF($CF4&lt;&gt;"",1,0)</formula>
    </cfRule>
  </conditionalFormatting>
  <conditionalFormatting sqref="K1:K1048576">
    <cfRule type="expression" dxfId="272" priority="54">
      <formula>IF(K1=$BQ$1,1,0)</formula>
    </cfRule>
    <cfRule type="expression" dxfId="271" priority="55">
      <formula>IF(K1=$AP$1,1,0)</formula>
    </cfRule>
    <cfRule type="expression" dxfId="270" priority="56">
      <formula>IF(K1=$O$1,1,0)</formula>
    </cfRule>
  </conditionalFormatting>
  <conditionalFormatting sqref="BM17:BM1048576 BF1:BF1048576 BI1:BI1048576 BM1:BM15">
    <cfRule type="cellIs" dxfId="269" priority="50" operator="between">
      <formula>$BP$12</formula>
      <formula>1000</formula>
    </cfRule>
    <cfRule type="cellIs" dxfId="268" priority="51" operator="between">
      <formula>$BP$11</formula>
      <formula>$BP$12</formula>
    </cfRule>
    <cfRule type="cellIs" dxfId="267" priority="52" operator="between">
      <formula>$BP$10</formula>
      <formula>$BP$11</formula>
    </cfRule>
    <cfRule type="cellIs" dxfId="266" priority="53" operator="between">
      <formula>$BP$9</formula>
      <formula>$BP$10</formula>
    </cfRule>
  </conditionalFormatting>
  <conditionalFormatting sqref="CN17:CN1048576 CG1:CG1048576 CJ1:CJ1048576 CN1:CN15">
    <cfRule type="cellIs" dxfId="265" priority="46" operator="between">
      <formula>$CQ$12</formula>
      <formula>1000</formula>
    </cfRule>
    <cfRule type="cellIs" dxfId="264" priority="47" operator="between">
      <formula>$CQ$11</formula>
      <formula>$CQ$12</formula>
    </cfRule>
    <cfRule type="cellIs" dxfId="263" priority="48" operator="between">
      <formula>$CQ$10</formula>
      <formula>$CQ$11</formula>
    </cfRule>
    <cfRule type="cellIs" dxfId="262" priority="49" operator="between">
      <formula>$CQ$9</formula>
      <formula>$CQ$10</formula>
    </cfRule>
  </conditionalFormatting>
  <conditionalFormatting sqref="DX17:DX1048576 DN1:DN1048576 DQ1:DQ1048576 DU1:DU1048576 DX1:DX15">
    <cfRule type="cellIs" dxfId="261" priority="57" operator="between">
      <formula>$EA$12</formula>
      <formula>1000</formula>
    </cfRule>
    <cfRule type="cellIs" dxfId="260" priority="58" operator="between">
      <formula>$EA$11</formula>
      <formula>$EA$12</formula>
    </cfRule>
    <cfRule type="cellIs" dxfId="259" priority="59" operator="between">
      <formula>$EA$10</formula>
      <formula>$EA$11</formula>
    </cfRule>
    <cfRule type="cellIs" dxfId="258" priority="60" operator="between">
      <formula>$EA$9</formula>
      <formula>$EA$10</formula>
    </cfRule>
  </conditionalFormatting>
  <conditionalFormatting sqref="FF17:FF1048576 EV1:EV1048576 EY1:EY1048576 FC1:FC1048576 FF1:FF15">
    <cfRule type="cellIs" dxfId="257" priority="33" operator="between">
      <formula>$FI$12</formula>
      <formula>1000</formula>
    </cfRule>
    <cfRule type="cellIs" dxfId="256" priority="34" operator="between">
      <formula>$FI$11</formula>
      <formula>$FI$12</formula>
    </cfRule>
    <cfRule type="cellIs" dxfId="255" priority="35" operator="between">
      <formula>$FI$10</formula>
      <formula>$FI$11</formula>
    </cfRule>
    <cfRule type="cellIs" dxfId="254" priority="36" operator="between">
      <formula>$FI$9</formula>
      <formula>$FI$10</formula>
    </cfRule>
  </conditionalFormatting>
  <conditionalFormatting sqref="HV17:HV1048576 HL1:HL1048576 HO1:HO1048576 HS1:HS1048576 HV1:HV15">
    <cfRule type="cellIs" dxfId="253" priority="29" operator="between">
      <formula>$HY$12</formula>
      <formula>1000</formula>
    </cfRule>
    <cfRule type="cellIs" dxfId="252" priority="30" operator="between">
      <formula>$HY$11</formula>
      <formula>$HY$12</formula>
    </cfRule>
    <cfRule type="cellIs" dxfId="251" priority="31" operator="between">
      <formula>$HY$10</formula>
      <formula>$HY$11</formula>
    </cfRule>
    <cfRule type="cellIs" dxfId="250" priority="32" operator="between">
      <formula>$HY$9</formula>
      <formula>$HY$10</formula>
    </cfRule>
  </conditionalFormatting>
  <conditionalFormatting sqref="AM16 AE1:AE1048576 AH1:AH1048576 AL1:AL1048576">
    <cfRule type="cellIs" dxfId="249" priority="25" operator="between">
      <formula>$AO$12</formula>
      <formula>1000</formula>
    </cfRule>
    <cfRule type="cellIs" dxfId="248" priority="26" operator="between">
      <formula>$AO$11</formula>
      <formula>$AO$12</formula>
    </cfRule>
    <cfRule type="cellIs" dxfId="247" priority="27" operator="between">
      <formula>$AO$10</formula>
      <formula>$AO$11</formula>
    </cfRule>
    <cfRule type="cellIs" dxfId="246" priority="28" operator="between">
      <formula>$AO$9</formula>
      <formula>$AO$10</formula>
    </cfRule>
  </conditionalFormatting>
  <conditionalFormatting sqref="BM16">
    <cfRule type="cellIs" dxfId="245" priority="21" operator="between">
      <formula>$AO$12</formula>
      <formula>1000</formula>
    </cfRule>
    <cfRule type="cellIs" dxfId="244" priority="22" operator="between">
      <formula>$AO$11</formula>
      <formula>$AO$12</formula>
    </cfRule>
    <cfRule type="cellIs" dxfId="243" priority="23" operator="between">
      <formula>$AO$10</formula>
      <formula>$AO$11</formula>
    </cfRule>
    <cfRule type="cellIs" dxfId="242" priority="24" operator="between">
      <formula>$AO$9</formula>
      <formula>$AO$10</formula>
    </cfRule>
  </conditionalFormatting>
  <conditionalFormatting sqref="CN16">
    <cfRule type="cellIs" dxfId="241" priority="17" operator="between">
      <formula>$AO$12</formula>
      <formula>1000</formula>
    </cfRule>
    <cfRule type="cellIs" dxfId="240" priority="18" operator="between">
      <formula>$AO$11</formula>
      <formula>$AO$12</formula>
    </cfRule>
    <cfRule type="cellIs" dxfId="239" priority="19" operator="between">
      <formula>$AO$10</formula>
      <formula>$AO$11</formula>
    </cfRule>
    <cfRule type="cellIs" dxfId="238" priority="20" operator="between">
      <formula>$AO$9</formula>
      <formula>$AO$10</formula>
    </cfRule>
  </conditionalFormatting>
  <conditionalFormatting sqref="DX16">
    <cfRule type="cellIs" dxfId="237" priority="13" operator="between">
      <formula>$AO$12</formula>
      <formula>1000</formula>
    </cfRule>
    <cfRule type="cellIs" dxfId="236" priority="14" operator="between">
      <formula>$AO$11</formula>
      <formula>$AO$12</formula>
    </cfRule>
    <cfRule type="cellIs" dxfId="235" priority="15" operator="between">
      <formula>$AO$10</formula>
      <formula>$AO$11</formula>
    </cfRule>
    <cfRule type="cellIs" dxfId="234" priority="16" operator="between">
      <formula>$AO$9</formula>
      <formula>$AO$10</formula>
    </cfRule>
  </conditionalFormatting>
  <conditionalFormatting sqref="FF16">
    <cfRule type="cellIs" dxfId="233" priority="9" operator="between">
      <formula>$AO$12</formula>
      <formula>1000</formula>
    </cfRule>
    <cfRule type="cellIs" dxfId="232" priority="10" operator="between">
      <formula>$AO$11</formula>
      <formula>$AO$12</formula>
    </cfRule>
    <cfRule type="cellIs" dxfId="231" priority="11" operator="between">
      <formula>$AO$10</formula>
      <formula>$AO$11</formula>
    </cfRule>
    <cfRule type="cellIs" dxfId="230" priority="12" operator="between">
      <formula>$AO$9</formula>
      <formula>$AO$10</formula>
    </cfRule>
  </conditionalFormatting>
  <conditionalFormatting sqref="HV16">
    <cfRule type="cellIs" dxfId="229" priority="5" operator="between">
      <formula>$AO$12</formula>
      <formula>1000</formula>
    </cfRule>
    <cfRule type="cellIs" dxfId="228" priority="6" operator="between">
      <formula>$AO$11</formula>
      <formula>$AO$12</formula>
    </cfRule>
    <cfRule type="cellIs" dxfId="227" priority="7" operator="between">
      <formula>$AO$10</formula>
      <formula>$AO$11</formula>
    </cfRule>
    <cfRule type="cellIs" dxfId="226" priority="8" operator="between">
      <formula>$AO$9</formula>
      <formula>$AO$10</formula>
    </cfRule>
  </conditionalFormatting>
  <conditionalFormatting sqref="CL1:CL1048576 AJ1:AJ1048576">
    <cfRule type="cellIs" dxfId="225" priority="61" operator="between">
      <formula>AO$16</formula>
      <formula>1000</formula>
    </cfRule>
    <cfRule type="cellIs" dxfId="224" priority="62" operator="between">
      <formula>AO$15</formula>
      <formula>AO$16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3" priority="63" operator="between">
      <formula>EA$16</formula>
      <formula>1000</formula>
    </cfRule>
    <cfRule type="cellIs" dxfId="222" priority="64" operator="between">
      <formula>EA$15</formula>
      <formula>EA$16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221" priority="65" operator="between">
      <formula>EA$14</formula>
      <formula>1000</formula>
    </cfRule>
    <cfRule type="cellIs" dxfId="220" priority="66" operator="between">
      <formula>EA$13</formula>
      <formula>EA$14</formula>
    </cfRule>
  </conditionalFormatting>
  <conditionalFormatting sqref="AG1:AG1048576 AJ1:AJ1048576 AN1:AN1048576">
    <cfRule type="cellIs" dxfId="219" priority="67" operator="between">
      <formula>$AO$16</formula>
      <formula>1000</formula>
    </cfRule>
    <cfRule type="cellIs" dxfId="218" priority="68" operator="between">
      <formula>$AO$15</formula>
      <formula>$AO$16</formula>
    </cfRule>
    <cfRule type="cellIs" dxfId="217" priority="69" operator="between">
      <formula>$AO$14</formula>
      <formula>$AO$15</formula>
    </cfRule>
    <cfRule type="cellIs" dxfId="216" priority="70" operator="between">
      <formula>$AO$13</formula>
      <formula>$AO$14</formula>
    </cfRule>
  </conditionalFormatting>
  <conditionalFormatting sqref="BH1:BH1048576 BK1:BK1048576 BO1:BO1048576">
    <cfRule type="cellIs" dxfId="215" priority="71" operator="between">
      <formula>$BP$16</formula>
      <formula>1000</formula>
    </cfRule>
    <cfRule type="cellIs" dxfId="214" priority="72" operator="between">
      <formula>$BP$15</formula>
      <formula>$BP$16</formula>
    </cfRule>
    <cfRule type="cellIs" dxfId="213" priority="73" operator="between">
      <formula>$BP$14</formula>
      <formula>$BP$15</formula>
    </cfRule>
    <cfRule type="cellIs" dxfId="212" priority="74" operator="between">
      <formula>$BP$13</formula>
      <formula>$BP$14</formula>
    </cfRule>
  </conditionalFormatting>
  <conditionalFormatting sqref="CI1:CI1048576 CL1:CL1048576 CP1:CP1048576">
    <cfRule type="cellIs" dxfId="211" priority="75" operator="between">
      <formula>$CQ$16</formula>
      <formula>1000</formula>
    </cfRule>
    <cfRule type="cellIs" dxfId="210" priority="76" operator="between">
      <formula>$CQ$15</formula>
      <formula>$CQ$16</formula>
    </cfRule>
    <cfRule type="cellIs" dxfId="209" priority="77" operator="between">
      <formula>$CQ$14</formula>
      <formula>$CQ$15</formula>
    </cfRule>
    <cfRule type="cellIs" dxfId="208" priority="78" operator="between">
      <formula>$CQ$13</formula>
      <formula>$CQ$14</formula>
    </cfRule>
  </conditionalFormatting>
  <conditionalFormatting sqref="MR1:MR1048576 MU1:MU1048576 MY1:MY1048576 NB1:NB1048576">
    <cfRule type="cellIs" dxfId="207" priority="79" operator="between">
      <formula>$NE$9</formula>
      <formula>$NE$10</formula>
    </cfRule>
  </conditionalFormatting>
  <conditionalFormatting sqref="DP1:DP1048576 DS1:DS1048576 DW1:DW1048576 DZ1:DZ1048576">
    <cfRule type="cellIs" dxfId="206" priority="80" operator="between">
      <formula>$EA$16</formula>
      <formula>1000</formula>
    </cfRule>
    <cfRule type="cellIs" dxfId="205" priority="81" operator="between">
      <formula>$EA$15</formula>
      <formula>$EA$16</formula>
    </cfRule>
    <cfRule type="cellIs" dxfId="204" priority="82" operator="between">
      <formula>$EA$14</formula>
      <formula>$EA$15</formula>
    </cfRule>
    <cfRule type="cellIs" dxfId="203" priority="83" operator="between">
      <formula>$EA$13</formula>
      <formula>$EA$14</formula>
    </cfRule>
  </conditionalFormatting>
  <conditionalFormatting sqref="EX1:EX1048576 FA1:FA1048576 FE1:FE1048576 FH1:FH1048576">
    <cfRule type="cellIs" dxfId="202" priority="84" operator="between">
      <formula>$FI$16</formula>
      <formula>1000</formula>
    </cfRule>
    <cfRule type="cellIs" dxfId="201" priority="85" operator="between">
      <formula>$FI$15</formula>
      <formula>$FI$16</formula>
    </cfRule>
    <cfRule type="cellIs" dxfId="200" priority="86" operator="between">
      <formula>$FI$14</formula>
      <formula>$FI$15</formula>
    </cfRule>
    <cfRule type="cellIs" dxfId="199" priority="87" operator="between">
      <formula>$FI$13</formula>
      <formula>$FI$14</formula>
    </cfRule>
  </conditionalFormatting>
  <conditionalFormatting sqref="GN17:GN1048576 GD1:GD1048576 GG1:GG1048576 GK1:GK1048576 GN1:GN15">
    <cfRule type="cellIs" dxfId="198" priority="88" operator="between">
      <formula>$GQ$12</formula>
      <formula>1000</formula>
    </cfRule>
    <cfRule type="cellIs" dxfId="197" priority="89" operator="between">
      <formula>$GQ$11</formula>
      <formula>$GQ$12</formula>
    </cfRule>
    <cfRule type="cellIs" dxfId="196" priority="90" operator="between">
      <formula>$GQ$10</formula>
      <formula>$GQ$11</formula>
    </cfRule>
    <cfRule type="cellIs" dxfId="195" priority="91" operator="between">
      <formula>$GQ$9</formula>
      <formula>$GQ$10</formula>
    </cfRule>
  </conditionalFormatting>
  <conditionalFormatting sqref="GF1:GF1048576 GI1:GI1048576 GM1:GM1048576 GP1:GP1048576">
    <cfRule type="cellIs" dxfId="194" priority="92" operator="between">
      <formula>$GQ$16</formula>
      <formula>1000</formula>
    </cfRule>
    <cfRule type="cellIs" dxfId="193" priority="93" operator="between">
      <formula>$GQ$15</formula>
      <formula>$GQ$16</formula>
    </cfRule>
    <cfRule type="cellIs" dxfId="192" priority="94" operator="between">
      <formula>$GQ$14</formula>
      <formula>$GQ$15</formula>
    </cfRule>
    <cfRule type="cellIs" dxfId="191" priority="95" operator="between">
      <formula>$GQ$13</formula>
      <formula>$GQ$14</formula>
    </cfRule>
  </conditionalFormatting>
  <conditionalFormatting sqref="HN1:HN1048576 HQ1:HQ1048576 HU1:HU1048576 HX1:HX1048576">
    <cfRule type="cellIs" dxfId="190" priority="96" operator="between">
      <formula>$HY$16</formula>
      <formula>1000</formula>
    </cfRule>
    <cfRule type="cellIs" dxfId="189" priority="97" operator="between">
      <formula>$HY$15</formula>
      <formula>$HY$16</formula>
    </cfRule>
    <cfRule type="cellIs" dxfId="188" priority="98" operator="between">
      <formula>$HY$14</formula>
      <formula>$HY$15</formula>
    </cfRule>
    <cfRule type="cellIs" dxfId="187" priority="99" operator="between">
      <formula>$HY$13</formula>
      <formula>$HY$14</formula>
    </cfRule>
  </conditionalFormatting>
  <conditionalFormatting sqref="IT1:IT1048576 IW1:IW1048576 JA1:JA1048576 JD1:JD1048576">
    <cfRule type="cellIs" dxfId="186" priority="100" operator="between">
      <formula>$JG$12</formula>
      <formula>1000</formula>
    </cfRule>
    <cfRule type="cellIs" dxfId="185" priority="101" operator="between">
      <formula>$JG$11</formula>
      <formula>$JG$12</formula>
    </cfRule>
    <cfRule type="cellIs" dxfId="184" priority="102" operator="between">
      <formula>$JG$10</formula>
      <formula>$JG$11</formula>
    </cfRule>
    <cfRule type="cellIs" dxfId="183" priority="103" operator="between">
      <formula>$JG$9</formula>
      <formula>$JG$10</formula>
    </cfRule>
  </conditionalFormatting>
  <conditionalFormatting sqref="IV1:IV1048576 IY1:IY1048576 JC1:JC1048576 JF1:JF1048576">
    <cfRule type="cellIs" dxfId="182" priority="104" operator="between">
      <formula>$JG$16</formula>
      <formula>1000</formula>
    </cfRule>
    <cfRule type="cellIs" dxfId="181" priority="105" operator="between">
      <formula>$JG$15</formula>
      <formula>$JG$16</formula>
    </cfRule>
    <cfRule type="cellIs" dxfId="180" priority="106" operator="between">
      <formula>$JG$14</formula>
      <formula>$JG$15</formula>
    </cfRule>
    <cfRule type="cellIs" dxfId="179" priority="107" operator="between">
      <formula>$JG$13</formula>
      <formula>$JG$14</formula>
    </cfRule>
  </conditionalFormatting>
  <conditionalFormatting sqref="KB1:KB1048576 KE1:KE1048576 KI1:KI1048576 KL1:KL1048576">
    <cfRule type="cellIs" dxfId="178" priority="108" operator="between">
      <formula>$KO$12</formula>
      <formula>1000</formula>
    </cfRule>
    <cfRule type="cellIs" dxfId="177" priority="109" operator="between">
      <formula>$KO$11</formula>
      <formula>$KO$12</formula>
    </cfRule>
    <cfRule type="cellIs" dxfId="176" priority="110" operator="between">
      <formula>$KO$10</formula>
      <formula>$KO$11</formula>
    </cfRule>
    <cfRule type="cellIs" dxfId="175" priority="111" operator="between">
      <formula>$KO$9</formula>
      <formula>$KO$10</formula>
    </cfRule>
  </conditionalFormatting>
  <conditionalFormatting sqref="KD1:KD1048576 KG1:KG1048576 KK1:KK1048576 KN1:KN1048576">
    <cfRule type="cellIs" dxfId="174" priority="112" operator="between">
      <formula>$KO$16</formula>
      <formula>1000</formula>
    </cfRule>
    <cfRule type="cellIs" dxfId="173" priority="113" operator="between">
      <formula>$KO$15</formula>
      <formula>$KO$16</formula>
    </cfRule>
    <cfRule type="cellIs" dxfId="172" priority="114" operator="between">
      <formula>$KO$14</formula>
      <formula>$KO$15</formula>
    </cfRule>
    <cfRule type="cellIs" dxfId="171" priority="115" operator="between">
      <formula>$KO$13</formula>
      <formula>$KO$14</formula>
    </cfRule>
  </conditionalFormatting>
  <conditionalFormatting sqref="LJ1:LJ1048576 LM1:LM1048576 LQ1:LQ1048576 LT1:LT1048576">
    <cfRule type="cellIs" dxfId="170" priority="116" operator="between">
      <formula>$LW$12</formula>
      <formula>1000</formula>
    </cfRule>
    <cfRule type="cellIs" dxfId="169" priority="117" operator="between">
      <formula>$LW$11</formula>
      <formula>$LW$12</formula>
    </cfRule>
    <cfRule type="cellIs" dxfId="168" priority="118" operator="between">
      <formula>$LW$10</formula>
      <formula>$LW$11</formula>
    </cfRule>
    <cfRule type="cellIs" dxfId="167" priority="119" operator="between">
      <formula>$LW$9</formula>
      <formula>$LW$10</formula>
    </cfRule>
  </conditionalFormatting>
  <conditionalFormatting sqref="LL1:LL1048576 LO1:LO1048576 LS1:LS1048576 LV1:LV1048576">
    <cfRule type="cellIs" dxfId="166" priority="120" operator="between">
      <formula>$LW$16</formula>
      <formula>1000</formula>
    </cfRule>
    <cfRule type="cellIs" dxfId="165" priority="121" operator="between">
      <formula>$LW$15</formula>
      <formula>$LW$16</formula>
    </cfRule>
    <cfRule type="cellIs" dxfId="164" priority="122" operator="between">
      <formula>$LW$14</formula>
      <formula>$LW$15</formula>
    </cfRule>
    <cfRule type="cellIs" dxfId="163" priority="123" operator="between">
      <formula>$LW$13</formula>
      <formula>$LW$14</formula>
    </cfRule>
  </conditionalFormatting>
  <conditionalFormatting sqref="MR1:MR1048576 MU1:MU1048576 MY1:MY1048576">
    <cfRule type="cellIs" dxfId="162" priority="124" operator="between">
      <formula>$NE$12</formula>
      <formula>1000</formula>
    </cfRule>
    <cfRule type="cellIs" dxfId="161" priority="125" operator="between">
      <formula>$NE$11</formula>
      <formula>$NE$12</formula>
    </cfRule>
    <cfRule type="cellIs" dxfId="160" priority="126" operator="between">
      <formula>$NE$10</formula>
      <formula>$NE$11</formula>
    </cfRule>
  </conditionalFormatting>
  <conditionalFormatting sqref="MT1:MT1048576 MW1:MW1048576 NA1:NA1048576 ND1:ND1048576">
    <cfRule type="cellIs" dxfId="159" priority="127" operator="between">
      <formula>$NE$16</formula>
      <formula>1000</formula>
    </cfRule>
    <cfRule type="cellIs" dxfId="158" priority="128" operator="between">
      <formula>$NE$15</formula>
      <formula>$NE$16</formula>
    </cfRule>
    <cfRule type="cellIs" dxfId="157" priority="129" operator="between">
      <formula>$NE$14</formula>
      <formula>$NE$15</formula>
    </cfRule>
    <cfRule type="cellIs" dxfId="156" priority="130" operator="between">
      <formula>$NE$13</formula>
      <formula>$NE$14</formula>
    </cfRule>
  </conditionalFormatting>
  <conditionalFormatting sqref="NZ1:NZ1048576 OC1:OC1048576 OG1:OG1048576 OJ1:OJ1048576">
    <cfRule type="cellIs" dxfId="155" priority="131" operator="between">
      <formula>$OM$12</formula>
      <formula>1000</formula>
    </cfRule>
    <cfRule type="cellIs" dxfId="154" priority="132" operator="between">
      <formula>$OM$11</formula>
      <formula>$OM$12</formula>
    </cfRule>
    <cfRule type="cellIs" dxfId="153" priority="133" operator="between">
      <formula>$OM$10</formula>
      <formula>$OM$11</formula>
    </cfRule>
    <cfRule type="cellIs" dxfId="152" priority="134" operator="between">
      <formula>$OM$9</formula>
      <formula>$OM$10</formula>
    </cfRule>
  </conditionalFormatting>
  <conditionalFormatting sqref="OB1:OB1048576 OE1:OE1048576 OI1:OI1048576 OL1:OL1048576">
    <cfRule type="cellIs" dxfId="151" priority="135" operator="between">
      <formula>$OM$16</formula>
      <formula>1000</formula>
    </cfRule>
    <cfRule type="cellIs" dxfId="150" priority="136" operator="between">
      <formula>$OM$15</formula>
      <formula>$OM$16</formula>
    </cfRule>
    <cfRule type="cellIs" dxfId="149" priority="137" operator="between">
      <formula>$OM$14</formula>
      <formula>$OM$15</formula>
    </cfRule>
    <cfRule type="cellIs" dxfId="148" priority="138" operator="between">
      <formula>$OM$13</formula>
      <formula>$OM$14</formula>
    </cfRule>
  </conditionalFormatting>
  <conditionalFormatting sqref="PH1:PH1048576 PK1:PK1048576 PO1:PO1048576 PR1:PR1048576">
    <cfRule type="cellIs" dxfId="147" priority="139" operator="between">
      <formula>$PU$12</formula>
      <formula>1000</formula>
    </cfRule>
    <cfRule type="cellIs" dxfId="146" priority="140" operator="between">
      <formula>$PU$11</formula>
      <formula>$PU$12</formula>
    </cfRule>
    <cfRule type="cellIs" dxfId="145" priority="141" operator="between">
      <formula>$PU$10</formula>
      <formula>$PU$11</formula>
    </cfRule>
    <cfRule type="cellIs" dxfId="144" priority="142" operator="between">
      <formula>$PU$9</formula>
      <formula>$PU$10</formula>
    </cfRule>
  </conditionalFormatting>
  <conditionalFormatting sqref="PJ1:PJ1048576 PM1:PM1048576 PQ1:PQ1048576 PT1:PT1048576">
    <cfRule type="cellIs" dxfId="143" priority="143" operator="between">
      <formula>$PU$16</formula>
      <formula>1000</formula>
    </cfRule>
    <cfRule type="cellIs" dxfId="142" priority="144" operator="between">
      <formula>$PU$15</formula>
      <formula>$PU$16</formula>
    </cfRule>
    <cfRule type="cellIs" dxfId="141" priority="145" operator="between">
      <formula>$PU$14</formula>
      <formula>$PU$15</formula>
    </cfRule>
    <cfRule type="cellIs" dxfId="140" priority="146" operator="between">
      <formula>$PU$13</formula>
      <formula>$PU$14</formula>
    </cfRule>
  </conditionalFormatting>
  <conditionalFormatting sqref="QP1:QP1048576 QS1:QS1048576 QW1:QW1048576 QZ1:QZ1048576">
    <cfRule type="cellIs" dxfId="139" priority="147" operator="between">
      <formula>$RC$12</formula>
      <formula>1000</formula>
    </cfRule>
    <cfRule type="cellIs" dxfId="138" priority="148" operator="between">
      <formula>$RC$11</formula>
      <formula>$RC$12</formula>
    </cfRule>
    <cfRule type="cellIs" dxfId="137" priority="149" operator="between">
      <formula>$RC$10</formula>
      <formula>$RC$11</formula>
    </cfRule>
    <cfRule type="cellIs" dxfId="136" priority="150" operator="between">
      <formula>$RC$9</formula>
      <formula>$RC$10</formula>
    </cfRule>
  </conditionalFormatting>
  <conditionalFormatting sqref="QR1:QR1048576 QU1:QU1048576 QY1:QY1048576 RB1:RB1048576">
    <cfRule type="cellIs" dxfId="135" priority="151" operator="between">
      <formula>$RC$16</formula>
      <formula>1000</formula>
    </cfRule>
    <cfRule type="cellIs" dxfId="134" priority="152" operator="between">
      <formula>$RC$15</formula>
      <formula>$RC$16</formula>
    </cfRule>
    <cfRule type="cellIs" dxfId="133" priority="153" operator="between">
      <formula>$RC$14</formula>
      <formula>$RC$15</formula>
    </cfRule>
    <cfRule type="cellIs" dxfId="132" priority="154" operator="between">
      <formula>$RC$13</formula>
      <formula>$RC$14</formula>
    </cfRule>
  </conditionalFormatting>
  <conditionalFormatting sqref="RX1:RX1048576 SA1:SA1048576 SE1:SE1048576 SH1:SH1048576">
    <cfRule type="cellIs" dxfId="131" priority="155" operator="between">
      <formula>$SK$12</formula>
      <formula>1000</formula>
    </cfRule>
    <cfRule type="cellIs" dxfId="130" priority="156" operator="between">
      <formula>$SK$11</formula>
      <formula>$SK$12</formula>
    </cfRule>
    <cfRule type="cellIs" dxfId="129" priority="157" operator="between">
      <formula>$SK$10</formula>
      <formula>$SK$11</formula>
    </cfRule>
    <cfRule type="cellIs" dxfId="128" priority="158" operator="between">
      <formula>$SK$9</formula>
      <formula>$SK$10</formula>
    </cfRule>
  </conditionalFormatting>
  <conditionalFormatting sqref="RZ1:RZ1048576 SC1:SC1048576 SG1:SG1048576 SJ1:SJ1048576">
    <cfRule type="cellIs" dxfId="127" priority="159" operator="between">
      <formula>$SK$16</formula>
      <formula>1000</formula>
    </cfRule>
    <cfRule type="cellIs" dxfId="126" priority="160" operator="between">
      <formula>$SK$15</formula>
      <formula>$SK$16</formula>
    </cfRule>
    <cfRule type="cellIs" dxfId="125" priority="161" operator="between">
      <formula>$SK$14</formula>
      <formula>$SK$15</formula>
    </cfRule>
    <cfRule type="cellIs" dxfId="124" priority="162" operator="between">
      <formula>$SK$13</formula>
      <formula>$SK$14</formula>
    </cfRule>
  </conditionalFormatting>
  <conditionalFormatting sqref="GN16">
    <cfRule type="cellIs" dxfId="123" priority="1" operator="between">
      <formula>$AO$12</formula>
      <formula>1000</formula>
    </cfRule>
    <cfRule type="cellIs" dxfId="122" priority="2" operator="between">
      <formula>$AO$11</formula>
      <formula>$AO$12</formula>
    </cfRule>
    <cfRule type="cellIs" dxfId="121" priority="3" operator="between">
      <formula>$AO$10</formula>
      <formula>$AO$11</formula>
    </cfRule>
    <cfRule type="cellIs" dxfId="120" priority="4" operator="between">
      <formula>$AO$9</formula>
      <formula>$AO$10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31.5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3" t="s">
        <v>12</v>
      </c>
      <c r="H1" s="112" t="s">
        <v>13</v>
      </c>
      <c r="I1" s="113" t="s">
        <v>96</v>
      </c>
      <c r="J1" s="118" t="s">
        <v>155</v>
      </c>
      <c r="K1" s="114" t="s">
        <v>37</v>
      </c>
      <c r="L1" s="118" t="s">
        <v>156</v>
      </c>
      <c r="M1" s="114" t="s">
        <v>37</v>
      </c>
      <c r="N1" s="114" t="s">
        <v>14</v>
      </c>
      <c r="O1" s="114" t="s">
        <v>37</v>
      </c>
      <c r="P1" s="117" t="s">
        <v>15</v>
      </c>
      <c r="Q1" s="114" t="s">
        <v>38</v>
      </c>
      <c r="R1" s="114" t="s">
        <v>37</v>
      </c>
      <c r="S1" s="115" t="s">
        <v>104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111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146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68</v>
      </c>
      <c r="CW1" s="121"/>
      <c r="CX1" s="115" t="s">
        <v>114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172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175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 t="s">
        <v>176</v>
      </c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72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147</v>
      </c>
      <c r="T2" s="116"/>
      <c r="U2" s="116"/>
      <c r="V2" s="116"/>
      <c r="W2" s="116" t="s">
        <v>148</v>
      </c>
      <c r="X2" s="116"/>
      <c r="Y2" s="116"/>
      <c r="Z2" s="116"/>
      <c r="AA2" s="116" t="s">
        <v>149</v>
      </c>
      <c r="AB2" s="116"/>
      <c r="AC2" s="116"/>
      <c r="AD2" s="116"/>
      <c r="AE2" s="116" t="s">
        <v>150</v>
      </c>
      <c r="AF2" s="116"/>
      <c r="AG2" s="116"/>
      <c r="AH2" s="116"/>
      <c r="AI2" s="122" t="s">
        <v>151</v>
      </c>
      <c r="AJ2" s="122"/>
      <c r="AK2" s="122"/>
      <c r="AL2" s="122"/>
      <c r="AM2" s="88"/>
      <c r="AN2" s="88" t="s">
        <v>152</v>
      </c>
      <c r="AO2" s="88" t="s">
        <v>153</v>
      </c>
      <c r="AP2" s="88" t="s">
        <v>149</v>
      </c>
      <c r="AQ2" s="88" t="s">
        <v>76</v>
      </c>
      <c r="AR2" s="88" t="s">
        <v>154</v>
      </c>
      <c r="AS2" s="88" t="s">
        <v>19</v>
      </c>
      <c r="AT2" s="119" t="s">
        <v>147</v>
      </c>
      <c r="AU2" s="119"/>
      <c r="AV2" s="119"/>
      <c r="AW2" s="119"/>
      <c r="AX2" s="119" t="s">
        <v>148</v>
      </c>
      <c r="AY2" s="119"/>
      <c r="AZ2" s="119"/>
      <c r="BA2" s="119"/>
      <c r="BB2" s="119" t="s">
        <v>149</v>
      </c>
      <c r="BC2" s="119"/>
      <c r="BD2" s="119"/>
      <c r="BE2" s="119"/>
      <c r="BF2" s="119" t="s">
        <v>150</v>
      </c>
      <c r="BG2" s="119"/>
      <c r="BH2" s="119"/>
      <c r="BI2" s="119"/>
      <c r="BJ2" s="123" t="s">
        <v>151</v>
      </c>
      <c r="BK2" s="123"/>
      <c r="BL2" s="123"/>
      <c r="BM2" s="123"/>
      <c r="BN2" s="89"/>
      <c r="BO2" s="89" t="s">
        <v>152</v>
      </c>
      <c r="BP2" s="89" t="s">
        <v>153</v>
      </c>
      <c r="BQ2" s="89" t="s">
        <v>149</v>
      </c>
      <c r="BR2" s="89" t="s">
        <v>76</v>
      </c>
      <c r="BS2" s="89" t="s">
        <v>154</v>
      </c>
      <c r="BT2" s="89" t="s">
        <v>19</v>
      </c>
      <c r="BU2" s="116" t="s">
        <v>147</v>
      </c>
      <c r="BV2" s="116"/>
      <c r="BW2" s="116"/>
      <c r="BX2" s="116"/>
      <c r="BY2" s="116" t="s">
        <v>148</v>
      </c>
      <c r="BZ2" s="116"/>
      <c r="CA2" s="116"/>
      <c r="CB2" s="116"/>
      <c r="CC2" s="116" t="s">
        <v>149</v>
      </c>
      <c r="CD2" s="116"/>
      <c r="CE2" s="116"/>
      <c r="CF2" s="116"/>
      <c r="CG2" s="116" t="s">
        <v>150</v>
      </c>
      <c r="CH2" s="116"/>
      <c r="CI2" s="116"/>
      <c r="CJ2" s="116"/>
      <c r="CK2" s="122" t="s">
        <v>151</v>
      </c>
      <c r="CL2" s="122"/>
      <c r="CM2" s="122"/>
      <c r="CN2" s="122"/>
      <c r="CO2" s="88"/>
      <c r="CP2" s="88" t="s">
        <v>152</v>
      </c>
      <c r="CQ2" s="88" t="s">
        <v>153</v>
      </c>
      <c r="CR2" s="88" t="s">
        <v>149</v>
      </c>
      <c r="CS2" s="88" t="s">
        <v>76</v>
      </c>
      <c r="CT2" s="88" t="s">
        <v>154</v>
      </c>
      <c r="CU2" s="88" t="s">
        <v>19</v>
      </c>
      <c r="CV2" s="86" t="s">
        <v>153</v>
      </c>
      <c r="CW2" s="86" t="s">
        <v>24</v>
      </c>
      <c r="CX2" s="116" t="s">
        <v>147</v>
      </c>
      <c r="CY2" s="116"/>
      <c r="CZ2" s="116"/>
      <c r="DA2" s="116"/>
      <c r="DB2" s="116" t="s">
        <v>148</v>
      </c>
      <c r="DC2" s="116"/>
      <c r="DD2" s="116"/>
      <c r="DE2" s="116"/>
      <c r="DF2" s="116" t="s">
        <v>149</v>
      </c>
      <c r="DG2" s="116"/>
      <c r="DH2" s="116"/>
      <c r="DI2" s="116"/>
      <c r="DJ2" s="116" t="s">
        <v>150</v>
      </c>
      <c r="DK2" s="116"/>
      <c r="DL2" s="116"/>
      <c r="DM2" s="116"/>
      <c r="DN2" s="124" t="s">
        <v>151</v>
      </c>
      <c r="DO2" s="124"/>
      <c r="DP2" s="124"/>
      <c r="DQ2" s="124"/>
      <c r="DR2" s="88" t="s">
        <v>152</v>
      </c>
      <c r="DS2" s="88" t="s">
        <v>153</v>
      </c>
      <c r="DT2" s="88" t="s">
        <v>149</v>
      </c>
      <c r="DU2" s="88" t="s">
        <v>76</v>
      </c>
      <c r="DV2" s="88" t="s">
        <v>154</v>
      </c>
      <c r="DW2" s="88" t="s">
        <v>19</v>
      </c>
      <c r="DX2" s="119" t="s">
        <v>147</v>
      </c>
      <c r="DY2" s="119"/>
      <c r="DZ2" s="119"/>
      <c r="EA2" s="119"/>
      <c r="EB2" s="119" t="s">
        <v>148</v>
      </c>
      <c r="EC2" s="119"/>
      <c r="ED2" s="119"/>
      <c r="EE2" s="119"/>
      <c r="EF2" s="119" t="s">
        <v>149</v>
      </c>
      <c r="EG2" s="119"/>
      <c r="EH2" s="119"/>
      <c r="EI2" s="119"/>
      <c r="EJ2" s="119" t="s">
        <v>150</v>
      </c>
      <c r="EK2" s="119"/>
      <c r="EL2" s="119"/>
      <c r="EM2" s="119"/>
      <c r="EN2" s="123" t="s">
        <v>151</v>
      </c>
      <c r="EO2" s="123"/>
      <c r="EP2" s="123"/>
      <c r="EQ2" s="123"/>
      <c r="ER2" s="89" t="s">
        <v>152</v>
      </c>
      <c r="ES2" s="89" t="s">
        <v>153</v>
      </c>
      <c r="ET2" s="89" t="s">
        <v>149</v>
      </c>
      <c r="EU2" s="89" t="s">
        <v>76</v>
      </c>
      <c r="EV2" s="89" t="s">
        <v>154</v>
      </c>
      <c r="EW2" s="89" t="s">
        <v>19</v>
      </c>
      <c r="EX2" s="116" t="s">
        <v>147</v>
      </c>
      <c r="EY2" s="116"/>
      <c r="EZ2" s="116"/>
      <c r="FA2" s="116"/>
      <c r="FB2" s="116" t="s">
        <v>148</v>
      </c>
      <c r="FC2" s="116"/>
      <c r="FD2" s="116"/>
      <c r="FE2" s="116"/>
      <c r="FF2" s="116" t="s">
        <v>149</v>
      </c>
      <c r="FG2" s="116"/>
      <c r="FH2" s="116"/>
      <c r="FI2" s="116"/>
      <c r="FJ2" s="116" t="s">
        <v>150</v>
      </c>
      <c r="FK2" s="116"/>
      <c r="FL2" s="116"/>
      <c r="FM2" s="116"/>
      <c r="FN2" s="124" t="s">
        <v>151</v>
      </c>
      <c r="FO2" s="124"/>
      <c r="FP2" s="124"/>
      <c r="FQ2" s="124"/>
      <c r="FR2" s="88" t="s">
        <v>152</v>
      </c>
      <c r="FS2" s="88" t="s">
        <v>153</v>
      </c>
      <c r="FT2" s="88" t="s">
        <v>149</v>
      </c>
      <c r="FU2" s="88" t="s">
        <v>76</v>
      </c>
      <c r="FV2" s="88" t="s">
        <v>154</v>
      </c>
      <c r="FW2" s="88" t="s">
        <v>19</v>
      </c>
      <c r="FX2" s="119" t="s">
        <v>147</v>
      </c>
      <c r="FY2" s="119"/>
      <c r="FZ2" s="119"/>
      <c r="GA2" s="119"/>
      <c r="GB2" s="119" t="s">
        <v>148</v>
      </c>
      <c r="GC2" s="119"/>
      <c r="GD2" s="119"/>
      <c r="GE2" s="119"/>
      <c r="GF2" s="119" t="s">
        <v>149</v>
      </c>
      <c r="GG2" s="119"/>
      <c r="GH2" s="119"/>
      <c r="GI2" s="119"/>
      <c r="GJ2" s="119" t="s">
        <v>150</v>
      </c>
      <c r="GK2" s="119"/>
      <c r="GL2" s="119"/>
      <c r="GM2" s="119"/>
      <c r="GN2" s="123" t="s">
        <v>151</v>
      </c>
      <c r="GO2" s="123"/>
      <c r="GP2" s="123"/>
      <c r="GQ2" s="123"/>
      <c r="GR2" s="89" t="s">
        <v>152</v>
      </c>
      <c r="GS2" s="89" t="s">
        <v>153</v>
      </c>
      <c r="GT2" s="89" t="s">
        <v>149</v>
      </c>
      <c r="GU2" s="89" t="s">
        <v>76</v>
      </c>
      <c r="GV2" s="89" t="s">
        <v>154</v>
      </c>
      <c r="GW2" s="89" t="s">
        <v>19</v>
      </c>
      <c r="GX2" s="116" t="s">
        <v>147</v>
      </c>
      <c r="GY2" s="116"/>
      <c r="GZ2" s="116"/>
      <c r="HA2" s="116"/>
      <c r="HB2" s="116" t="s">
        <v>148</v>
      </c>
      <c r="HC2" s="116"/>
      <c r="HD2" s="116"/>
      <c r="HE2" s="116"/>
      <c r="HF2" s="116" t="s">
        <v>149</v>
      </c>
      <c r="HG2" s="116"/>
      <c r="HH2" s="116"/>
      <c r="HI2" s="116"/>
      <c r="HJ2" s="116" t="s">
        <v>150</v>
      </c>
      <c r="HK2" s="116"/>
      <c r="HL2" s="116"/>
      <c r="HM2" s="116"/>
      <c r="HN2" s="124" t="s">
        <v>151</v>
      </c>
      <c r="HO2" s="124"/>
      <c r="HP2" s="124"/>
      <c r="HQ2" s="124"/>
      <c r="HR2" s="88" t="s">
        <v>152</v>
      </c>
      <c r="HS2" s="88" t="s">
        <v>153</v>
      </c>
      <c r="HT2" s="88" t="s">
        <v>149</v>
      </c>
      <c r="HU2" s="88" t="s">
        <v>76</v>
      </c>
      <c r="HV2" s="88" t="s">
        <v>154</v>
      </c>
      <c r="HW2" s="88" t="s">
        <v>19</v>
      </c>
      <c r="HX2" s="119" t="s">
        <v>147</v>
      </c>
      <c r="HY2" s="119"/>
      <c r="HZ2" s="119"/>
      <c r="IA2" s="119"/>
      <c r="IB2" s="119" t="s">
        <v>148</v>
      </c>
      <c r="IC2" s="119"/>
      <c r="ID2" s="119"/>
      <c r="IE2" s="119"/>
      <c r="IF2" s="119" t="s">
        <v>149</v>
      </c>
      <c r="IG2" s="119"/>
      <c r="IH2" s="119"/>
      <c r="II2" s="119"/>
      <c r="IJ2" s="119" t="s">
        <v>150</v>
      </c>
      <c r="IK2" s="119"/>
      <c r="IL2" s="119"/>
      <c r="IM2" s="119"/>
      <c r="IN2" s="123" t="s">
        <v>151</v>
      </c>
      <c r="IO2" s="123"/>
      <c r="IP2" s="123"/>
      <c r="IQ2" s="123"/>
      <c r="IR2" s="89" t="s">
        <v>152</v>
      </c>
      <c r="IS2" s="89" t="s">
        <v>153</v>
      </c>
      <c r="IT2" s="89" t="s">
        <v>149</v>
      </c>
      <c r="IU2" s="89" t="s">
        <v>76</v>
      </c>
      <c r="IV2" s="89" t="s">
        <v>154</v>
      </c>
      <c r="IW2" s="89" t="s">
        <v>19</v>
      </c>
      <c r="IX2" s="116" t="s">
        <v>147</v>
      </c>
      <c r="IY2" s="116"/>
      <c r="IZ2" s="116"/>
      <c r="JA2" s="116"/>
      <c r="JB2" s="116" t="s">
        <v>148</v>
      </c>
      <c r="JC2" s="116"/>
      <c r="JD2" s="116"/>
      <c r="JE2" s="116"/>
      <c r="JF2" s="116" t="s">
        <v>149</v>
      </c>
      <c r="JG2" s="116"/>
      <c r="JH2" s="116"/>
      <c r="JI2" s="116"/>
      <c r="JJ2" s="116" t="s">
        <v>150</v>
      </c>
      <c r="JK2" s="116"/>
      <c r="JL2" s="116"/>
      <c r="JM2" s="116"/>
      <c r="JN2" s="124" t="s">
        <v>151</v>
      </c>
      <c r="JO2" s="124"/>
      <c r="JP2" s="124"/>
      <c r="JQ2" s="124"/>
      <c r="JR2" s="88" t="s">
        <v>152</v>
      </c>
      <c r="JS2" s="88" t="s">
        <v>153</v>
      </c>
      <c r="JT2" s="88" t="s">
        <v>149</v>
      </c>
      <c r="JU2" s="88" t="s">
        <v>76</v>
      </c>
      <c r="JV2" s="88" t="s">
        <v>154</v>
      </c>
      <c r="JW2" s="88" t="s">
        <v>19</v>
      </c>
      <c r="JX2" s="119" t="s">
        <v>147</v>
      </c>
      <c r="JY2" s="119"/>
      <c r="JZ2" s="119"/>
      <c r="KA2" s="119"/>
      <c r="KB2" s="119" t="s">
        <v>148</v>
      </c>
      <c r="KC2" s="119"/>
      <c r="KD2" s="119"/>
      <c r="KE2" s="119"/>
      <c r="KF2" s="119" t="s">
        <v>149</v>
      </c>
      <c r="KG2" s="119"/>
      <c r="KH2" s="119"/>
      <c r="KI2" s="119"/>
      <c r="KJ2" s="119" t="s">
        <v>150</v>
      </c>
      <c r="KK2" s="119"/>
      <c r="KL2" s="119"/>
      <c r="KM2" s="119"/>
      <c r="KN2" s="123" t="s">
        <v>151</v>
      </c>
      <c r="KO2" s="123"/>
      <c r="KP2" s="123"/>
      <c r="KQ2" s="123"/>
      <c r="KR2" s="89" t="s">
        <v>152</v>
      </c>
      <c r="KS2" s="89" t="s">
        <v>153</v>
      </c>
      <c r="KT2" s="89" t="s">
        <v>149</v>
      </c>
      <c r="KU2" s="89" t="s">
        <v>76</v>
      </c>
      <c r="KV2" s="89" t="s">
        <v>154</v>
      </c>
      <c r="KW2" s="89" t="s">
        <v>19</v>
      </c>
      <c r="KX2" s="116" t="s">
        <v>147</v>
      </c>
      <c r="KY2" s="116"/>
      <c r="KZ2" s="116"/>
      <c r="LA2" s="116"/>
      <c r="LB2" s="116" t="s">
        <v>148</v>
      </c>
      <c r="LC2" s="116"/>
      <c r="LD2" s="116"/>
      <c r="LE2" s="116"/>
      <c r="LF2" s="116" t="s">
        <v>149</v>
      </c>
      <c r="LG2" s="116"/>
      <c r="LH2" s="116"/>
      <c r="LI2" s="116"/>
      <c r="LJ2" s="116" t="s">
        <v>150</v>
      </c>
      <c r="LK2" s="116"/>
      <c r="LL2" s="116"/>
      <c r="LM2" s="116"/>
      <c r="LN2" s="124" t="s">
        <v>151</v>
      </c>
      <c r="LO2" s="124"/>
      <c r="LP2" s="124"/>
      <c r="LQ2" s="124"/>
      <c r="LR2" s="88" t="s">
        <v>152</v>
      </c>
      <c r="LS2" s="88" t="s">
        <v>153</v>
      </c>
      <c r="LT2" s="88" t="s">
        <v>149</v>
      </c>
      <c r="LU2" s="88" t="s">
        <v>76</v>
      </c>
      <c r="LV2" s="88" t="s">
        <v>154</v>
      </c>
      <c r="LW2" s="88" t="s">
        <v>19</v>
      </c>
      <c r="LX2" s="119" t="s">
        <v>147</v>
      </c>
      <c r="LY2" s="119"/>
      <c r="LZ2" s="119"/>
      <c r="MA2" s="119"/>
      <c r="MB2" s="119" t="s">
        <v>148</v>
      </c>
      <c r="MC2" s="119"/>
      <c r="MD2" s="119"/>
      <c r="ME2" s="119"/>
      <c r="MF2" s="119" t="s">
        <v>149</v>
      </c>
      <c r="MG2" s="119"/>
      <c r="MH2" s="119"/>
      <c r="MI2" s="119"/>
      <c r="MJ2" s="119" t="s">
        <v>150</v>
      </c>
      <c r="MK2" s="119"/>
      <c r="ML2" s="119"/>
      <c r="MM2" s="119"/>
      <c r="MN2" s="123" t="s">
        <v>151</v>
      </c>
      <c r="MO2" s="123"/>
      <c r="MP2" s="123"/>
      <c r="MQ2" s="123"/>
      <c r="MR2" s="89" t="s">
        <v>152</v>
      </c>
      <c r="MS2" s="89" t="s">
        <v>153</v>
      </c>
      <c r="MT2" s="89" t="s">
        <v>149</v>
      </c>
      <c r="MU2" s="89" t="s">
        <v>76</v>
      </c>
      <c r="MV2" s="89" t="s">
        <v>154</v>
      </c>
      <c r="MW2" s="89" t="s">
        <v>19</v>
      </c>
      <c r="MX2" s="116" t="s">
        <v>147</v>
      </c>
      <c r="MY2" s="116"/>
      <c r="MZ2" s="116"/>
      <c r="NA2" s="116"/>
      <c r="NB2" s="116" t="s">
        <v>148</v>
      </c>
      <c r="NC2" s="116"/>
      <c r="ND2" s="116"/>
      <c r="NE2" s="116"/>
      <c r="NF2" s="116" t="s">
        <v>149</v>
      </c>
      <c r="NG2" s="116"/>
      <c r="NH2" s="116"/>
      <c r="NI2" s="116"/>
      <c r="NJ2" s="116" t="s">
        <v>150</v>
      </c>
      <c r="NK2" s="116"/>
      <c r="NL2" s="116"/>
      <c r="NM2" s="116"/>
      <c r="NN2" s="124" t="s">
        <v>151</v>
      </c>
      <c r="NO2" s="124"/>
      <c r="NP2" s="124"/>
      <c r="NQ2" s="124"/>
      <c r="NR2" s="88" t="s">
        <v>152</v>
      </c>
      <c r="NS2" s="88" t="s">
        <v>153</v>
      </c>
      <c r="NT2" s="88" t="s">
        <v>149</v>
      </c>
      <c r="NU2" s="88" t="s">
        <v>76</v>
      </c>
      <c r="NV2" s="88" t="s">
        <v>154</v>
      </c>
      <c r="NW2" s="88" t="s">
        <v>19</v>
      </c>
      <c r="NX2" s="119" t="s">
        <v>147</v>
      </c>
      <c r="NY2" s="119"/>
      <c r="NZ2" s="119"/>
      <c r="OA2" s="119"/>
      <c r="OB2" s="119" t="s">
        <v>148</v>
      </c>
      <c r="OC2" s="119"/>
      <c r="OD2" s="119"/>
      <c r="OE2" s="119"/>
      <c r="OF2" s="119" t="s">
        <v>149</v>
      </c>
      <c r="OG2" s="119"/>
      <c r="OH2" s="119"/>
      <c r="OI2" s="119"/>
      <c r="OJ2" s="119" t="s">
        <v>150</v>
      </c>
      <c r="OK2" s="119"/>
      <c r="OL2" s="119"/>
      <c r="OM2" s="119"/>
      <c r="ON2" s="123" t="s">
        <v>151</v>
      </c>
      <c r="OO2" s="123"/>
      <c r="OP2" s="123"/>
      <c r="OQ2" s="123"/>
      <c r="OR2" s="89" t="s">
        <v>152</v>
      </c>
      <c r="OS2" s="89" t="s">
        <v>153</v>
      </c>
      <c r="OT2" s="89" t="s">
        <v>149</v>
      </c>
      <c r="OU2" s="89" t="s">
        <v>76</v>
      </c>
      <c r="OV2" s="89" t="s">
        <v>154</v>
      </c>
      <c r="OW2" s="89" t="s">
        <v>19</v>
      </c>
      <c r="OX2" s="116" t="s">
        <v>147</v>
      </c>
      <c r="OY2" s="116"/>
      <c r="OZ2" s="116"/>
      <c r="PA2" s="116"/>
      <c r="PB2" s="116" t="s">
        <v>148</v>
      </c>
      <c r="PC2" s="116"/>
      <c r="PD2" s="116"/>
      <c r="PE2" s="116"/>
      <c r="PF2" s="116" t="s">
        <v>149</v>
      </c>
      <c r="PG2" s="116"/>
      <c r="PH2" s="116"/>
      <c r="PI2" s="116"/>
      <c r="PJ2" s="116" t="s">
        <v>150</v>
      </c>
      <c r="PK2" s="116"/>
      <c r="PL2" s="116"/>
      <c r="PM2" s="116"/>
      <c r="PN2" s="122" t="s">
        <v>151</v>
      </c>
      <c r="PO2" s="122"/>
      <c r="PP2" s="122"/>
      <c r="PQ2" s="122"/>
      <c r="PR2" s="88"/>
      <c r="PS2" s="88" t="s">
        <v>152</v>
      </c>
      <c r="PT2" s="88" t="s">
        <v>153</v>
      </c>
      <c r="PU2" s="88" t="s">
        <v>149</v>
      </c>
      <c r="PV2" s="88" t="s">
        <v>76</v>
      </c>
      <c r="PW2" s="88" t="s">
        <v>154</v>
      </c>
      <c r="PX2" s="88" t="s">
        <v>19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163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$8,AO4&gt;=AS$12,AN4&lt;&gt;"",AM4=""),AND(AQ4&gt;=AS$8,AR4&gt;=AS$12,AQ4&lt;&gt;"",AM4=""),AND(BO4&gt;=BT$8,BP4&gt;=BT$12,BO4&lt;&gt;"",BN4=""),AND(BR4&gt;=BT$8,BS4&gt;=BT$12,BR4&lt;&gt;"",BN4=""),AND(CP4&gt;=CU$8,CQ4&gt;=CU$12,CP4&lt;&gt;"",CO4=""),AND(CS4&gt;=CU$8,CT4&gt;=CU$12,CS4&lt;&gt;""),AND(DR4&gt;=DW$8,DS4&gt;=DW$12,DR4&lt;&gt;""),AND(DU4&gt;=DW$8,DV4&gt;=DW$12,DU4&lt;&gt;""),AND(ER4&gt;=EW$8,ES4&gt;=EW$12,ER4&lt;&gt;""),AND(EU4&gt;=EW$8,EV4&gt;=EW$12,EU4&lt;&gt;""),AND(FR4&gt;=FW$8,FS4&gt;=FW$12,FR4&lt;&gt;""),AND(FU4&gt;=FW$8,FV4&gt;=FW$12,FU4&lt;&gt;""),AND(GR4&gt;=GW$8,GS4&gt;=GW$12,GR4&lt;&gt;""),AND(GU4&gt;=GW$8,GV4&gt;=GW$12,GU4&lt;&gt;""),AND(HR4&gt;=HW$8,HS4&gt;=HW$12,HR4&lt;&gt;""),AND(HU4&gt;=HW$8,HV4&gt;=HW$12,HU4&lt;&gt;""),AND(IR4&gt;=IW$8,IS4&gt;=IW$12,IR4&lt;&gt;""),AND(IU4&gt;=IW$8,IV4&gt;=IW$12,IU4&lt;&gt;""),AND(JR4&gt;=JW$8,JS4&gt;=JW$12,JR4&lt;&gt;""),AND(JU4&gt;=JW$8,JV4&gt;=JW$12,JU4&lt;&gt;""),AND(KR4&gt;=KW$8,KS4&gt;=KW$12,KR4&lt;&gt;""),AND(KU4&gt;=KW$8,KV4&gt;=KW$12,KU4&lt;&gt;""),AND(LR4&gt;=LW$8,LS4&gt;=LW$12,LR4&lt;&gt;""),AND(LU4&gt;=LW$8,LV4&gt;=LW$12,LU4&lt;&gt;""),AND(MR4&gt;=MW$8,MS4&gt;=MW$12,MR4&lt;&gt;""),AND(MU4&gt;=MW$8,MV4&gt;=MW$12,MU4&lt;&gt;""),AND(NR4&gt;=NW$8,NS4&gt;=NW$12,NR4&lt;&gt;""),AND(NU4&gt;=NW$8,NV4&gt;=NW$12,NU4&lt;&gt;""),AND(OR4&gt;=OW$8,OS4&gt;=OW$12,OR4&lt;&gt;""),AND(OU4&gt;=OW$8,OV4&gt;=OW$12,OU4&lt;&gt;"")),"P","")</f>
        <v>P</v>
      </c>
      <c r="G4" s="3" t="str">
        <f>IF(OR(AND(AO4&gt;=AS$12,AO4&lt;&gt;"",AM4=""),AND(AR4&gt;=AS$12,AR4&lt;&gt;"",AM4=""),AND(BP4&gt;=BT$12,BP4&lt;&gt;"",BN4=""),AND(BS4&gt;=BT$12,BS4&lt;&gt;"",BN4=""),AND(CQ4&gt;=CU$12,CQ4&lt;&gt;"",CO4=""),AND(CT4&gt;=CU$12,CT4&lt;&gt;"",CO4=""),AND(DS4&gt;=DW$12,DS4&lt;&gt;""),AND(DV4&gt;=DW$12,DV4&lt;&gt;""),AND(ES4&gt;=EW$12,ES4&lt;&gt;""),AND(EV4&gt;=EW$12,EV4&lt;&gt;""),AND(FS4&gt;=FW$12,FS4&lt;&gt;""),AND(FV4&gt;=FW$12,FV4&lt;&gt;""),AND(GS4&gt;=GW$12,GS4&lt;&gt;""),AND(GV4&gt;=GW$12,GV4&lt;&gt;""),AND(HS4&gt;=HW$12,HS4&lt;&gt;""),AND(HV4&gt;=HW$12,HV4&lt;&gt;""),AND(IS4&gt;=IW$12,IS4&lt;&gt;""),AND(IV4&gt;=IW$12,IV4&lt;&gt;""),AND(JS4&gt;=JW$12,JS4&lt;&gt;""),AND(JV4&gt;=JW$12,JV4&lt;&gt;""),AND(KS4&gt;=KW$12,KS4&lt;&gt;""),AND(KV4&gt;=KW$12,KV4&lt;&gt;""),AND(LS4&gt;=LW$12,LS4&lt;&gt;""),AND(LV4&gt;=LW$12,LV4&lt;&gt;""),AND(MS4&gt;=MW$12,MS4&lt;&gt;""),AND(MV4&gt;=MW$12,MV4&lt;&gt;""),AND(NS4&gt;=NW$12,NS4&lt;&gt;""),AND(NV4&gt;=NW$12,NV4&lt;&gt;""),AND(OS4&gt;=OW$12,OS4&lt;&gt;""),AND(OV4&gt;=OW$12,OV4&lt;&gt;"")),"P","")</f>
        <v>P</v>
      </c>
      <c r="H4" s="70" t="str">
        <f>IF(AND(G4="P",F4=""),"No DD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Merit",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Excellence",IF(I4="P","Worlds Team",IF(F4="P","National Team","")))))</f>
        <v>Excellence</v>
      </c>
      <c r="I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87.900206476690812</v>
      </c>
      <c r="F5" s="3" t="str">
        <f>IF(OR(AND(AN5&gt;=AS$8,AO5&gt;=AS$12,AN5&lt;&gt;"",AM5=""),AND(AQ5&gt;=AS$8,AR5&gt;=AS$12,AQ5&lt;&gt;"",AM5=""),AND(BO5&gt;=BT$8,BP5&gt;=BT$12,BO5&lt;&gt;"",BN5=""),AND(BR5&gt;=BT$8,BS5&gt;=BT$12,BR5&lt;&gt;"",BN5=""),AND(CP5&gt;=CU$8,CQ5&gt;=CU$12,CP5&lt;&gt;"",CO5=""),AND(CS5&gt;=CU$8,CT5&gt;=CU$12,CS5&lt;&gt;""),AND(DR5&gt;=DW$8,DS5&gt;=DW$12,DR5&lt;&gt;""),AND(DU5&gt;=DW$8,DV5&gt;=DW$12,DU5&lt;&gt;""),AND(ER5&gt;=EW$8,ES5&gt;=EW$12,ER5&lt;&gt;""),AND(EU5&gt;=EW$8,EV5&gt;=EW$12,EU5&lt;&gt;""),AND(FR5&gt;=FW$8,FS5&gt;=FW$12,FR5&lt;&gt;""),AND(FU5&gt;=FW$8,FV5&gt;=FW$12,FU5&lt;&gt;""),AND(GR5&gt;=GW$8,GS5&gt;=GW$12,GR5&lt;&gt;""),AND(GU5&gt;=GW$8,GV5&gt;=GW$12,GU5&lt;&gt;""),AND(HR5&gt;=HW$8,HS5&gt;=HW$12,HR5&lt;&gt;""),AND(HU5&gt;=HW$8,HV5&gt;=HW$12,HU5&lt;&gt;""),AND(IR5&gt;=IW$8,IS5&gt;=IW$12,IR5&lt;&gt;""),AND(IU5&gt;=IW$8,IV5&gt;=IW$12,IU5&lt;&gt;""),AND(JR5&gt;=JW$8,JS5&gt;=JW$12,JR5&lt;&gt;""),AND(JU5&gt;=JW$8,JV5&gt;=JW$12,JU5&lt;&gt;""),AND(KR5&gt;=KW$8,KS5&gt;=KW$12,KR5&lt;&gt;""),AND(KU5&gt;=KW$8,KV5&gt;=KW$12,KU5&lt;&gt;""),AND(LR5&gt;=LW$8,LS5&gt;=LW$12,LR5&lt;&gt;""),AND(LU5&gt;=LW$8,LV5&gt;=LW$12,LU5&lt;&gt;""),AND(MR5&gt;=MW$8,MS5&gt;=MW$12,MR5&lt;&gt;""),AND(MU5&gt;=MW$8,MV5&gt;=MW$12,MU5&lt;&gt;""),AND(NR5&gt;=NW$8,NS5&gt;=NW$12,NR5&lt;&gt;""),AND(NU5&gt;=NW$8,NV5&gt;=NW$12,NU5&lt;&gt;""),AND(OR5&gt;=OW$8,OS5&gt;=OW$12,OR5&lt;&gt;""),AND(OU5&gt;=OW$8,OV5&gt;=OW$12,OU5&lt;&gt;"")),"P","")</f>
        <v>P</v>
      </c>
      <c r="G5" s="3" t="str">
        <f>IF(OR(AND(AO5&gt;=AS$12,AO5&lt;&gt;"",AM5=""),AND(AR5&gt;=AS$12,AR5&lt;&gt;"",AM5=""),AND(BP5&gt;=BT$12,BP5&lt;&gt;"",BN5=""),AND(BS5&gt;=BT$12,BS5&lt;&gt;"",BN5=""),AND(CQ5&gt;=CU$12,CQ5&lt;&gt;"",CO5=""),AND(CT5&gt;=CU$12,CT5&lt;&gt;"",CO5=""),AND(DS5&gt;=DW$12,DS5&lt;&gt;""),AND(DV5&gt;=DW$12,DV5&lt;&gt;""),AND(ES5&gt;=EW$12,ES5&lt;&gt;""),AND(EV5&gt;=EW$12,EV5&lt;&gt;""),AND(FS5&gt;=FW$12,FS5&lt;&gt;""),AND(FV5&gt;=FW$12,FV5&lt;&gt;""),AND(GS5&gt;=GW$12,GS5&lt;&gt;""),AND(GV5&gt;=GW$12,GV5&lt;&gt;""),AND(HS5&gt;=HW$12,HS5&lt;&gt;""),AND(HV5&gt;=HW$12,HV5&lt;&gt;""),AND(IS5&gt;=IW$12,IS5&lt;&gt;""),AND(IV5&gt;=IW$12,IV5&lt;&gt;""),AND(JS5&gt;=JW$12,JS5&lt;&gt;""),AND(JV5&gt;=JW$12,JV5&lt;&gt;""),AND(KS5&gt;=KW$12,KS5&lt;&gt;""),AND(KV5&gt;=KW$12,KV5&lt;&gt;""),AND(LS5&gt;=LW$12,LS5&lt;&gt;""),AND(LV5&gt;=LW$12,LV5&lt;&gt;""),AND(MS5&gt;=MW$12,MS5&lt;&gt;""),AND(MV5&gt;=MW$12,MV5&lt;&gt;""),AND(NS5&gt;=NW$12,NS5&lt;&gt;""),AND(NV5&gt;=NW$12,NV5&lt;&gt;""),AND(OS5&gt;=OW$12,OS5&lt;&gt;""),AND(OV5&gt;=OW$12,OV5&lt;&gt;"")),"P","")</f>
        <v>P</v>
      </c>
      <c r="H5" s="70" t="str">
        <f>IF(AND(G5="P",F5=""),"No DD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Merit",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Excellence",IF(I5="P","Worlds Team",IF(F5="P","National Team","")))))</f>
        <v>Worlds Team</v>
      </c>
      <c r="I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>P</v>
      </c>
      <c r="J5" s="13">
        <f>IF(COUNT(AO5,BP5,CQ5)&gt;0,LARGE((AO5,BP5,CQ5),1),0)</f>
        <v>41.300000000000004</v>
      </c>
      <c r="K5" s="13" t="str">
        <f>IF(J5=0,"",IF(J5=CQ5,$BU$1,IF(J5=BP5,$AT$1,IF(J5=AO5,$S$1,""))))</f>
        <v>2022 Elite Canada</v>
      </c>
      <c r="L5" s="13">
        <f>IF(COUNT(AO5,BP5,CQ5)&gt;1,LARGE((AO5,BP5,CQ5),2),0)</f>
        <v>2.0000000000000001E-4</v>
      </c>
      <c r="M5" s="13" t="str">
        <f>IF(L5=0,"",IF(L5=CQ5,$BU$1,IF(L5=BP5,$AT$1,IF(L5=AO5,$S$1,""))))</f>
        <v>2021 Elite Canada</v>
      </c>
      <c r="N5" s="13">
        <f>IF(MAX(AR5,BS5,CT5)&gt;0,MAX(AR5,BS5,CT5),0)</f>
        <v>23.466666666666669</v>
      </c>
      <c r="O5" s="13" t="str">
        <f>IF(N5=0,"",IF(N5=CT5,$BU$1,IF(N5=BS5,$AT$1,IF(N5=AR5,$S$1,""))))</f>
        <v>2022 Elite Canada</v>
      </c>
      <c r="P5" s="13">
        <f>IF(MAX(CV5:CW5)&gt;0,MAX(CV5:CW5),"")</f>
        <v>23.133333333333333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#2 (May 15)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>
        <v>16.666666666666668</v>
      </c>
      <c r="BV5" s="27">
        <v>4.4000000000000004</v>
      </c>
      <c r="BW5" s="27">
        <v>0</v>
      </c>
      <c r="BX5" s="27">
        <v>0</v>
      </c>
      <c r="BY5" s="27">
        <v>15.333333333333332</v>
      </c>
      <c r="BZ5" s="27">
        <v>4.9000000000000004</v>
      </c>
      <c r="CA5" s="27">
        <v>0</v>
      </c>
      <c r="CB5" s="27">
        <v>0</v>
      </c>
      <c r="CC5" s="27"/>
      <c r="CD5" s="27"/>
      <c r="CE5" s="27"/>
      <c r="CF5" s="27"/>
      <c r="CG5" s="27">
        <v>8.7999999999999989</v>
      </c>
      <c r="CH5" s="27">
        <v>3.45</v>
      </c>
      <c r="CI5" s="27">
        <v>0</v>
      </c>
      <c r="CJ5" s="27">
        <v>0</v>
      </c>
      <c r="CK5" s="27">
        <v>8.3666666666666671</v>
      </c>
      <c r="CL5" s="27">
        <v>2.85</v>
      </c>
      <c r="CM5" s="27">
        <v>0</v>
      </c>
      <c r="CN5" s="27">
        <v>0</v>
      </c>
      <c r="CO5" s="51" t="s">
        <v>61</v>
      </c>
      <c r="CP5" s="76">
        <f>IF(SUM(BV5,BZ5)&gt;0,SUM(BV5,BZ5),"")</f>
        <v>9.3000000000000007</v>
      </c>
      <c r="CQ5" s="76">
        <f>IF(SUM(BU5:BV5,BX5:BZ5,CB5)-BW5-CA5&gt;0,SUM(BU5:BV5,BX5:BZ5,CB5)-BW5-CA5,"")</f>
        <v>41.300000000000004</v>
      </c>
      <c r="CR5" s="76" t="str">
        <f>IF(SUM(CC5:CD5,CF5)-CE5&gt;0,SUM(CC5:CD5,CF5)-CE5,"")</f>
        <v/>
      </c>
      <c r="CS5" s="76">
        <f>IF(SUM(CH5,CL5)&gt;0,SUM(CH5,CL5),"")</f>
        <v>6.3000000000000007</v>
      </c>
      <c r="CT5" s="76">
        <f>IF(SUM(CG5:CH5,CJ5:CL5,CN5)-SUM(CI5,CM5)&gt;0,SUM(CG5:CH5,CJ5:CL5,CN5)-SUM(CI5,CM5),"")</f>
        <v>23.466666666666669</v>
      </c>
      <c r="CU5" s="76">
        <f>IF(SUM(CQ5,CT5)&gt;0,SUM(CQ5,CT5),"")</f>
        <v>64.76666666666668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23.133333333333333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16.666666666666668</v>
      </c>
      <c r="OY5" s="42">
        <f>IF($CO5="P",BV5,(BV5+AU5)/2)</f>
        <v>4.4000000000000004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15.333333333333332</v>
      </c>
      <c r="PC5" s="42">
        <f>IF($CO5="P",BZ5,(BZ5+AY5)/2)</f>
        <v>4.9000000000000004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8.7999999999999989</v>
      </c>
      <c r="PK5" s="42">
        <f>IF($CO5="P",CH5,(CH5+BG5)/2)</f>
        <v>3.45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8.3666666666666671</v>
      </c>
      <c r="PO5" s="42">
        <f>IF($CO5="P",CL5,(CL5+BK5)/2)</f>
        <v>2.85</v>
      </c>
      <c r="PP5" s="42">
        <f>IF($CO5="P",CM5,(CM5+BL5)/2)</f>
        <v>0</v>
      </c>
      <c r="PQ5" s="42">
        <f>IF($CO5="P",CN5,(CN5+BM5)/2)</f>
        <v>0</v>
      </c>
      <c r="PR5" s="51" t="s">
        <v>61</v>
      </c>
      <c r="PS5" s="76">
        <f>IF(SUM(OY5,PC5)&gt;0,SUM(OY5,PC5),"")</f>
        <v>9.3000000000000007</v>
      </c>
      <c r="PT5" s="76">
        <f>IF(SUM(OX5:OY5,PA5:PC5,PE5)-OZ5-PD5&gt;0,SUM(OX5:OY5,PA5:PC5,PE5)-OZ5-PD5,"")</f>
        <v>41.300000000000004</v>
      </c>
      <c r="PU5" s="76" t="str">
        <f>IF(SUM(PF5:PG5,PI5)-PH5&gt;0,SUM(PF5:PG5,PI5)-PH5,"")</f>
        <v/>
      </c>
      <c r="PV5" s="76">
        <f>IF(SUM(PK5,PO5)&gt;0,SUM(PK5,PO5),"")</f>
        <v>6.3000000000000007</v>
      </c>
      <c r="PW5" s="76">
        <f>IF(SUM(PJ5:PK5,PM5:PO5,PQ5)-SUM(PL5,PP5)&gt;0,SUM(PJ5:PK5,PM5:PO5,PQ5)-SUM(PL5,PP5),"")</f>
        <v>23.466666666666669</v>
      </c>
      <c r="PX5" s="76">
        <f>IF(SUM(PT5,PW5)&gt;0,SUM(PT5,PW5),"")</f>
        <v>64.76666666666668</v>
      </c>
    </row>
    <row r="6" spans="1:440" ht="17" x14ac:dyDescent="0.2">
      <c r="P6" s="15"/>
      <c r="Q6" s="15"/>
      <c r="R6" s="15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</row>
    <row r="7" spans="1:440" ht="17" x14ac:dyDescent="0.2">
      <c r="P7" s="15"/>
      <c r="Q7" s="15"/>
      <c r="R7" s="15"/>
    </row>
    <row r="8" spans="1:440" ht="17" x14ac:dyDescent="0.2">
      <c r="B8" s="43" t="s">
        <v>58</v>
      </c>
      <c r="P8" s="15"/>
      <c r="Q8" s="15"/>
      <c r="R8" s="15"/>
      <c r="AN8" s="7"/>
      <c r="AS8" s="78">
        <v>1E-4</v>
      </c>
      <c r="BO8" s="7"/>
      <c r="BT8" s="78">
        <v>2.0000000000000001E-4</v>
      </c>
      <c r="CP8" s="7"/>
      <c r="CU8" s="78">
        <v>11</v>
      </c>
      <c r="DR8" s="7"/>
      <c r="DW8" s="78">
        <v>1E-4</v>
      </c>
      <c r="ER8" s="7"/>
      <c r="EW8" s="78">
        <v>11</v>
      </c>
      <c r="FR8" s="7"/>
      <c r="FW8" s="78">
        <v>11</v>
      </c>
      <c r="GR8" s="7"/>
      <c r="GW8" s="78">
        <v>11</v>
      </c>
      <c r="HR8" s="7"/>
      <c r="HW8" s="78">
        <v>11</v>
      </c>
      <c r="IR8" s="7"/>
      <c r="IW8" s="78">
        <v>11</v>
      </c>
      <c r="JR8" s="7"/>
      <c r="JW8" s="78">
        <v>11</v>
      </c>
      <c r="KR8" s="7"/>
      <c r="KW8" s="78">
        <v>11</v>
      </c>
      <c r="LR8" s="7"/>
      <c r="LW8" s="78">
        <v>11</v>
      </c>
      <c r="MR8" s="7"/>
      <c r="MW8" s="78">
        <v>11</v>
      </c>
      <c r="NR8" s="7"/>
      <c r="NW8" s="78">
        <v>11</v>
      </c>
      <c r="OR8" s="7"/>
      <c r="OW8" s="78">
        <v>11</v>
      </c>
    </row>
    <row r="9" spans="1:440" ht="17" x14ac:dyDescent="0.2">
      <c r="B9" s="54" t="s">
        <v>57</v>
      </c>
      <c r="P9" s="15"/>
      <c r="Q9" s="15"/>
      <c r="R9" s="15"/>
      <c r="AN9" s="7"/>
      <c r="AS9" s="93">
        <v>1E-4</v>
      </c>
      <c r="BO9" s="7"/>
      <c r="BT9" s="93">
        <v>2.0000000000000001E-4</v>
      </c>
      <c r="CP9" s="7"/>
      <c r="CU9" s="93">
        <v>11</v>
      </c>
      <c r="DR9" s="7"/>
      <c r="DW9" s="93">
        <v>2.0000000000000001E-4</v>
      </c>
      <c r="ER9" s="7"/>
      <c r="EW9" s="93">
        <v>11</v>
      </c>
      <c r="FR9" s="7"/>
      <c r="FW9" s="93">
        <v>11</v>
      </c>
      <c r="GR9" s="7"/>
      <c r="GW9" s="93">
        <v>11</v>
      </c>
      <c r="HR9" s="7"/>
      <c r="HW9" s="93">
        <v>11</v>
      </c>
      <c r="IR9" s="7"/>
      <c r="IW9" s="93">
        <v>11</v>
      </c>
      <c r="JR9" s="7"/>
      <c r="JW9" s="93">
        <v>11</v>
      </c>
      <c r="KR9" s="7"/>
      <c r="KW9" s="93">
        <v>11</v>
      </c>
      <c r="LR9" s="7"/>
      <c r="LW9" s="93">
        <v>11</v>
      </c>
      <c r="MR9" s="7"/>
      <c r="MW9" s="93">
        <v>11</v>
      </c>
      <c r="NR9" s="7"/>
      <c r="NW9" s="93">
        <v>11</v>
      </c>
      <c r="OR9" s="7"/>
      <c r="OW9" s="93">
        <v>11</v>
      </c>
    </row>
    <row r="10" spans="1:440" ht="17" x14ac:dyDescent="0.2">
      <c r="A10" s="35"/>
      <c r="B10" s="55" t="s">
        <v>71</v>
      </c>
      <c r="C10" s="34"/>
      <c r="P10" s="15"/>
      <c r="Q10" s="15"/>
      <c r="R10" s="15"/>
      <c r="AN10" s="7"/>
      <c r="AS10" s="80">
        <v>2.0000000000000001E-4</v>
      </c>
      <c r="BO10" s="7"/>
      <c r="BT10" s="80">
        <v>2.9999999999999997E-4</v>
      </c>
      <c r="CP10" s="7"/>
      <c r="CU10" s="80">
        <v>11</v>
      </c>
      <c r="DR10" s="7"/>
      <c r="DW10" s="80">
        <v>2.9999999999999997E-4</v>
      </c>
      <c r="ER10" s="7"/>
      <c r="EW10" s="80">
        <v>11</v>
      </c>
      <c r="FR10" s="7"/>
      <c r="FW10" s="80">
        <v>11</v>
      </c>
      <c r="GR10" s="7"/>
      <c r="GW10" s="80">
        <v>11</v>
      </c>
      <c r="HR10" s="7"/>
      <c r="HW10" s="80">
        <v>11</v>
      </c>
      <c r="IR10" s="7"/>
      <c r="IW10" s="80">
        <v>11</v>
      </c>
      <c r="JR10" s="7"/>
      <c r="JW10" s="80">
        <v>11</v>
      </c>
      <c r="KR10" s="7"/>
      <c r="KW10" s="80">
        <v>11</v>
      </c>
      <c r="LR10" s="7"/>
      <c r="LW10" s="80">
        <v>11</v>
      </c>
      <c r="MR10" s="7"/>
      <c r="MW10" s="80">
        <v>11</v>
      </c>
      <c r="NR10" s="7"/>
      <c r="NW10" s="80">
        <v>11</v>
      </c>
      <c r="OR10" s="7"/>
      <c r="OW10" s="80">
        <v>11</v>
      </c>
    </row>
    <row r="11" spans="1:440" ht="17" x14ac:dyDescent="0.2">
      <c r="A11" s="35"/>
      <c r="B11" s="66" t="s">
        <v>86</v>
      </c>
      <c r="C11" s="34"/>
      <c r="P11" s="15"/>
      <c r="Q11" s="15"/>
      <c r="R11" s="15"/>
      <c r="AN11" s="7"/>
      <c r="AS11" s="81">
        <v>2.0000000000000001E-4</v>
      </c>
      <c r="BO11" s="7"/>
      <c r="BT11" s="81">
        <v>2.9999999999999997E-4</v>
      </c>
      <c r="CP11" s="7"/>
      <c r="CU11" s="81">
        <v>14.6</v>
      </c>
      <c r="DR11" s="7"/>
      <c r="DW11" s="81">
        <v>2.9999999999999997E-4</v>
      </c>
      <c r="ER11" s="7"/>
      <c r="EW11" s="81">
        <v>14.6</v>
      </c>
      <c r="FR11" s="7"/>
      <c r="FW11" s="81">
        <v>14.6</v>
      </c>
      <c r="GR11" s="7"/>
      <c r="GW11" s="81">
        <v>14.6</v>
      </c>
      <c r="HR11" s="7"/>
      <c r="HW11" s="81">
        <v>14.6</v>
      </c>
      <c r="IR11" s="7"/>
      <c r="IW11" s="81">
        <v>14.6</v>
      </c>
      <c r="JR11" s="7"/>
      <c r="JW11" s="81">
        <v>14.6</v>
      </c>
      <c r="KR11" s="7"/>
      <c r="KW11" s="81">
        <v>14.6</v>
      </c>
      <c r="LR11" s="7"/>
      <c r="LW11" s="81">
        <v>14.6</v>
      </c>
      <c r="MR11" s="7"/>
      <c r="MW11" s="81">
        <v>14.6</v>
      </c>
      <c r="NR11" s="7"/>
      <c r="NW11" s="81">
        <v>14.6</v>
      </c>
      <c r="OR11" s="7"/>
      <c r="OW11" s="81">
        <v>14.6</v>
      </c>
    </row>
    <row r="12" spans="1:440" ht="17" x14ac:dyDescent="0.2">
      <c r="A12" s="35"/>
      <c r="B12" s="65" t="s">
        <v>55</v>
      </c>
      <c r="C12" s="34"/>
      <c r="P12" s="15"/>
      <c r="Q12" s="15"/>
      <c r="R12" s="15"/>
      <c r="AN12" s="7"/>
      <c r="AS12" s="82">
        <v>2.0000000000000001E-4</v>
      </c>
      <c r="BO12" s="7"/>
      <c r="BT12" s="82">
        <v>4.0000000000000002E-4</v>
      </c>
      <c r="CP12" s="7"/>
      <c r="CU12" s="82">
        <v>45</v>
      </c>
      <c r="DR12" s="7"/>
      <c r="DW12" s="82">
        <v>4.0000000000000002E-4</v>
      </c>
      <c r="ER12" s="7"/>
      <c r="EW12" s="82">
        <v>45</v>
      </c>
      <c r="FR12" s="7"/>
      <c r="FW12" s="82">
        <v>45</v>
      </c>
      <c r="GR12" s="7"/>
      <c r="GW12" s="82">
        <v>45</v>
      </c>
      <c r="HR12" s="7"/>
      <c r="HW12" s="82">
        <v>45</v>
      </c>
      <c r="IR12" s="7"/>
      <c r="IW12" s="82">
        <v>45</v>
      </c>
      <c r="JR12" s="7"/>
      <c r="JW12" s="82">
        <v>45</v>
      </c>
      <c r="KR12" s="7"/>
      <c r="KW12" s="82">
        <v>45</v>
      </c>
      <c r="LR12" s="7"/>
      <c r="LW12" s="82">
        <v>45</v>
      </c>
      <c r="MR12" s="7"/>
      <c r="MW12" s="82">
        <v>45</v>
      </c>
      <c r="NR12" s="7"/>
      <c r="NW12" s="82">
        <v>45</v>
      </c>
      <c r="OR12" s="7"/>
      <c r="OW12" s="82">
        <v>45</v>
      </c>
    </row>
    <row r="13" spans="1:440" ht="17" x14ac:dyDescent="0.2">
      <c r="A13" s="35"/>
      <c r="B13" s="44" t="s">
        <v>56</v>
      </c>
      <c r="C13" s="34"/>
      <c r="P13" s="15"/>
      <c r="Q13" s="15"/>
      <c r="R13" s="15"/>
      <c r="AN13" s="7"/>
      <c r="AS13" s="83">
        <v>2.9999999999999997E-4</v>
      </c>
      <c r="BO13" s="7"/>
      <c r="BT13" s="83">
        <v>4.0000000000000002E-4</v>
      </c>
      <c r="CP13" s="7"/>
      <c r="CU13" s="83">
        <v>46.2</v>
      </c>
      <c r="DR13" s="7"/>
      <c r="DW13" s="83">
        <v>4.0000000000000002E-4</v>
      </c>
      <c r="ER13" s="7"/>
      <c r="EW13" s="83">
        <v>46.2</v>
      </c>
      <c r="FR13" s="7"/>
      <c r="FW13" s="83">
        <v>46.2</v>
      </c>
      <c r="GR13" s="7"/>
      <c r="GW13" s="83">
        <v>46.2</v>
      </c>
      <c r="HR13" s="7"/>
      <c r="HW13" s="83">
        <v>46.2</v>
      </c>
      <c r="IR13" s="7"/>
      <c r="IW13" s="83">
        <v>46.2</v>
      </c>
      <c r="JR13" s="7"/>
      <c r="JW13" s="83">
        <v>46.2</v>
      </c>
      <c r="KR13" s="7"/>
      <c r="KW13" s="83">
        <v>46.2</v>
      </c>
      <c r="LR13" s="7"/>
      <c r="LW13" s="83">
        <v>46.2</v>
      </c>
      <c r="MR13" s="7"/>
      <c r="MW13" s="83">
        <v>46.2</v>
      </c>
      <c r="NR13" s="7"/>
      <c r="NW13" s="83">
        <v>46.2</v>
      </c>
      <c r="OR13" s="7"/>
      <c r="OW13" s="83">
        <v>46.2</v>
      </c>
    </row>
    <row r="14" spans="1:440" ht="17" x14ac:dyDescent="0.2">
      <c r="A14" s="35"/>
      <c r="B14" s="64" t="s">
        <v>70</v>
      </c>
      <c r="C14" s="34"/>
      <c r="P14" s="15"/>
      <c r="Q14" s="15"/>
      <c r="R14" s="15"/>
      <c r="AN14" s="7"/>
      <c r="AS14" s="84">
        <v>2.9999999999999997E-4</v>
      </c>
      <c r="BO14" s="7"/>
      <c r="BT14" s="84">
        <v>4.0000000000000002E-4</v>
      </c>
      <c r="CP14" s="7"/>
      <c r="CU14" s="84">
        <v>47.4</v>
      </c>
      <c r="DR14" s="7"/>
      <c r="DW14" s="84">
        <v>4.0000000000000002E-4</v>
      </c>
      <c r="ER14" s="7"/>
      <c r="EW14" s="84">
        <v>47.4</v>
      </c>
      <c r="FR14" s="7"/>
      <c r="FW14" s="84">
        <v>47.4</v>
      </c>
      <c r="GR14" s="7"/>
      <c r="GW14" s="84">
        <v>47.4</v>
      </c>
      <c r="HR14" s="7"/>
      <c r="HW14" s="84">
        <v>47.4</v>
      </c>
      <c r="IR14" s="7"/>
      <c r="IW14" s="84">
        <v>47.4</v>
      </c>
      <c r="JR14" s="7"/>
      <c r="JW14" s="84">
        <v>47.4</v>
      </c>
      <c r="KR14" s="7"/>
      <c r="KW14" s="84">
        <v>47.4</v>
      </c>
      <c r="LR14" s="7"/>
      <c r="LW14" s="84">
        <v>47.4</v>
      </c>
      <c r="MR14" s="7"/>
      <c r="MW14" s="84">
        <v>47.4</v>
      </c>
      <c r="NR14" s="7"/>
      <c r="NW14" s="84">
        <v>47.4</v>
      </c>
      <c r="OR14" s="7"/>
      <c r="OW14" s="84">
        <v>47.4</v>
      </c>
    </row>
    <row r="15" spans="1:440" ht="17" x14ac:dyDescent="0.2">
      <c r="A15" s="35"/>
      <c r="B15" s="45" t="s">
        <v>39</v>
      </c>
      <c r="C15" s="34"/>
      <c r="P15" s="15"/>
      <c r="Q15" s="15"/>
      <c r="R15" s="15"/>
      <c r="AN15" s="7"/>
      <c r="AP15" s="70" t="s">
        <v>174</v>
      </c>
      <c r="AS15" s="85">
        <v>2.9999999999999997E-4</v>
      </c>
      <c r="BO15" s="7"/>
      <c r="BQ15" s="70" t="s">
        <v>174</v>
      </c>
      <c r="BT15" s="85">
        <v>4.0000000000000002E-4</v>
      </c>
      <c r="CP15" s="7"/>
      <c r="CU15" s="85">
        <v>51</v>
      </c>
      <c r="DR15" s="7"/>
      <c r="DT15" s="70" t="s">
        <v>174</v>
      </c>
      <c r="DW15" s="85">
        <v>4.0000000000000002E-4</v>
      </c>
      <c r="ER15" s="7"/>
      <c r="EW15" s="85">
        <v>51</v>
      </c>
      <c r="FR15" s="7"/>
      <c r="FW15" s="85">
        <v>51</v>
      </c>
      <c r="GR15" s="7"/>
      <c r="GW15" s="85">
        <v>51</v>
      </c>
      <c r="HR15" s="7"/>
      <c r="HW15" s="85">
        <v>51</v>
      </c>
      <c r="IR15" s="7"/>
      <c r="IW15" s="85">
        <v>51</v>
      </c>
      <c r="JR15" s="7"/>
      <c r="JW15" s="85">
        <v>51</v>
      </c>
      <c r="KR15" s="7"/>
      <c r="KW15" s="85">
        <v>51</v>
      </c>
      <c r="LR15" s="7"/>
      <c r="LW15" s="85">
        <v>51</v>
      </c>
      <c r="MR15" s="7"/>
      <c r="MW15" s="85">
        <v>51</v>
      </c>
      <c r="NR15" s="7"/>
      <c r="NW15" s="85">
        <v>51</v>
      </c>
      <c r="OR15" s="7"/>
      <c r="OW15" s="85">
        <v>51</v>
      </c>
    </row>
    <row r="16" spans="1:440" x14ac:dyDescent="0.2">
      <c r="B16" s="53" t="s">
        <v>62</v>
      </c>
      <c r="C16" s="2"/>
    </row>
    <row r="17" spans="1:3" x14ac:dyDescent="0.2">
      <c r="A17" s="35"/>
      <c r="B17" s="35"/>
      <c r="C17" s="34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6"/>
      <c r="B20" s="6"/>
      <c r="C20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5">
      <sortCondition descending="1" ref="F1:F6"/>
    </sortState>
  </autoFilter>
  <mergeCells count="11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</mergeCells>
  <conditionalFormatting sqref="S4:AS5">
    <cfRule type="expression" dxfId="119" priority="5" stopIfTrue="1">
      <formula>IF($AM4&lt;&gt;"",1,0)</formula>
    </cfRule>
  </conditionalFormatting>
  <conditionalFormatting sqref="AT4:BT5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5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AS$11</formula>
      <formula>1000</formula>
    </cfRule>
    <cfRule type="cellIs" dxfId="106" priority="57299" operator="between">
      <formula>AS$10</formula>
      <formula>AS$11</formula>
    </cfRule>
    <cfRule type="cellIs" dxfId="105" priority="57300" operator="between">
      <formula>AS$9</formula>
      <formula>AS$10</formula>
    </cfRule>
    <cfRule type="cellIs" dxfId="104" priority="57301" operator="between">
      <formula>AS$8</formula>
      <formula>AS$9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AS$15</formula>
      <formula>1000</formula>
    </cfRule>
    <cfRule type="cellIs" dxfId="102" priority="57479" operator="between">
      <formula>AS$14</formula>
      <formula>AS$15</formula>
    </cfRule>
    <cfRule type="cellIs" dxfId="101" priority="57480" operator="between">
      <formula>AS$13</formula>
      <formula>AS$14</formula>
    </cfRule>
    <cfRule type="cellIs" dxfId="100" priority="57481" operator="between">
      <formula>AS$12</formula>
      <formula>AS$13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AS$8</formula>
      <formula>AS$9</formula>
    </cfRule>
    <cfRule type="cellIs" dxfId="98" priority="57659" operator="between">
      <formula>AS$9</formula>
      <formula>AS$10</formula>
    </cfRule>
    <cfRule type="cellIs" dxfId="97" priority="57660" operator="between">
      <formula>AS$10</formula>
      <formula>AS$11</formula>
    </cfRule>
    <cfRule type="cellIs" dxfId="96" priority="57661" operator="between">
      <formula>AS$11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AS$12</formula>
      <formula>AS$13</formula>
    </cfRule>
    <cfRule type="cellIs" dxfId="94" priority="57839" operator="between">
      <formula>AS$13</formula>
      <formula>AS$14</formula>
    </cfRule>
    <cfRule type="cellIs" dxfId="93" priority="57840" operator="between">
      <formula>AS$14</formula>
      <formula>AS$15</formula>
    </cfRule>
    <cfRule type="cellIs" dxfId="92" priority="57841" operator="between">
      <formula>AS$15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3" t="s">
        <v>12</v>
      </c>
      <c r="H1" s="112" t="s">
        <v>13</v>
      </c>
      <c r="I1" s="113" t="s">
        <v>96</v>
      </c>
      <c r="J1" s="118" t="s">
        <v>155</v>
      </c>
      <c r="K1" s="114" t="s">
        <v>37</v>
      </c>
      <c r="L1" s="118" t="s">
        <v>156</v>
      </c>
      <c r="M1" s="114" t="s">
        <v>37</v>
      </c>
      <c r="N1" s="114" t="s">
        <v>14</v>
      </c>
      <c r="O1" s="114" t="s">
        <v>37</v>
      </c>
      <c r="P1" s="117" t="s">
        <v>15</v>
      </c>
      <c r="Q1" s="114" t="s">
        <v>38</v>
      </c>
      <c r="R1" s="114" t="s">
        <v>37</v>
      </c>
      <c r="S1" s="115" t="s">
        <v>104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111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146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68</v>
      </c>
      <c r="CW1" s="121"/>
      <c r="CX1" s="115" t="s">
        <v>114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172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175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72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147</v>
      </c>
      <c r="T2" s="116"/>
      <c r="U2" s="116"/>
      <c r="V2" s="116"/>
      <c r="W2" s="116" t="s">
        <v>148</v>
      </c>
      <c r="X2" s="116"/>
      <c r="Y2" s="116"/>
      <c r="Z2" s="116"/>
      <c r="AA2" s="116" t="s">
        <v>149</v>
      </c>
      <c r="AB2" s="116"/>
      <c r="AC2" s="116"/>
      <c r="AD2" s="116"/>
      <c r="AE2" s="116" t="s">
        <v>150</v>
      </c>
      <c r="AF2" s="116"/>
      <c r="AG2" s="116"/>
      <c r="AH2" s="116"/>
      <c r="AI2" s="122" t="s">
        <v>151</v>
      </c>
      <c r="AJ2" s="122"/>
      <c r="AK2" s="122"/>
      <c r="AL2" s="122"/>
      <c r="AM2" s="49"/>
      <c r="AN2" s="88" t="s">
        <v>152</v>
      </c>
      <c r="AO2" s="88" t="s">
        <v>153</v>
      </c>
      <c r="AP2" s="88" t="s">
        <v>149</v>
      </c>
      <c r="AQ2" s="88" t="s">
        <v>76</v>
      </c>
      <c r="AR2" s="88" t="s">
        <v>154</v>
      </c>
      <c r="AS2" s="88" t="s">
        <v>19</v>
      </c>
      <c r="AT2" s="119" t="s">
        <v>147</v>
      </c>
      <c r="AU2" s="119"/>
      <c r="AV2" s="119"/>
      <c r="AW2" s="119"/>
      <c r="AX2" s="119" t="s">
        <v>148</v>
      </c>
      <c r="AY2" s="119"/>
      <c r="AZ2" s="119"/>
      <c r="BA2" s="119"/>
      <c r="BB2" s="119" t="s">
        <v>149</v>
      </c>
      <c r="BC2" s="119"/>
      <c r="BD2" s="119"/>
      <c r="BE2" s="119"/>
      <c r="BF2" s="119" t="s">
        <v>150</v>
      </c>
      <c r="BG2" s="119"/>
      <c r="BH2" s="119"/>
      <c r="BI2" s="119"/>
      <c r="BJ2" s="123" t="s">
        <v>151</v>
      </c>
      <c r="BK2" s="123"/>
      <c r="BL2" s="123"/>
      <c r="BM2" s="123"/>
      <c r="BN2" s="50"/>
      <c r="BO2" s="89" t="s">
        <v>152</v>
      </c>
      <c r="BP2" s="89" t="s">
        <v>153</v>
      </c>
      <c r="BQ2" s="89" t="s">
        <v>149</v>
      </c>
      <c r="BR2" s="89" t="s">
        <v>76</v>
      </c>
      <c r="BS2" s="89" t="s">
        <v>154</v>
      </c>
      <c r="BT2" s="89" t="s">
        <v>19</v>
      </c>
      <c r="BU2" s="116" t="s">
        <v>147</v>
      </c>
      <c r="BV2" s="116"/>
      <c r="BW2" s="116"/>
      <c r="BX2" s="116"/>
      <c r="BY2" s="116" t="s">
        <v>148</v>
      </c>
      <c r="BZ2" s="116"/>
      <c r="CA2" s="116"/>
      <c r="CB2" s="116"/>
      <c r="CC2" s="116" t="s">
        <v>149</v>
      </c>
      <c r="CD2" s="116"/>
      <c r="CE2" s="116"/>
      <c r="CF2" s="116"/>
      <c r="CG2" s="116" t="s">
        <v>150</v>
      </c>
      <c r="CH2" s="116"/>
      <c r="CI2" s="116"/>
      <c r="CJ2" s="116"/>
      <c r="CK2" s="122" t="s">
        <v>151</v>
      </c>
      <c r="CL2" s="122"/>
      <c r="CM2" s="122"/>
      <c r="CN2" s="122"/>
      <c r="CO2" s="60"/>
      <c r="CP2" s="88" t="s">
        <v>152</v>
      </c>
      <c r="CQ2" s="88" t="s">
        <v>153</v>
      </c>
      <c r="CR2" s="88" t="s">
        <v>149</v>
      </c>
      <c r="CS2" s="88" t="s">
        <v>76</v>
      </c>
      <c r="CT2" s="88" t="s">
        <v>154</v>
      </c>
      <c r="CU2" s="88" t="s">
        <v>19</v>
      </c>
      <c r="CV2" s="86" t="s">
        <v>153</v>
      </c>
      <c r="CW2" s="86" t="s">
        <v>24</v>
      </c>
      <c r="CX2" s="116" t="s">
        <v>147</v>
      </c>
      <c r="CY2" s="116"/>
      <c r="CZ2" s="116"/>
      <c r="DA2" s="116"/>
      <c r="DB2" s="116" t="s">
        <v>148</v>
      </c>
      <c r="DC2" s="116"/>
      <c r="DD2" s="116"/>
      <c r="DE2" s="116"/>
      <c r="DF2" s="116" t="s">
        <v>149</v>
      </c>
      <c r="DG2" s="116"/>
      <c r="DH2" s="116"/>
      <c r="DI2" s="116"/>
      <c r="DJ2" s="116" t="s">
        <v>150</v>
      </c>
      <c r="DK2" s="116"/>
      <c r="DL2" s="116"/>
      <c r="DM2" s="116"/>
      <c r="DN2" s="124" t="s">
        <v>151</v>
      </c>
      <c r="DO2" s="124"/>
      <c r="DP2" s="124"/>
      <c r="DQ2" s="124"/>
      <c r="DR2" s="88" t="s">
        <v>152</v>
      </c>
      <c r="DS2" s="88" t="s">
        <v>153</v>
      </c>
      <c r="DT2" s="88" t="s">
        <v>149</v>
      </c>
      <c r="DU2" s="88" t="s">
        <v>76</v>
      </c>
      <c r="DV2" s="88" t="s">
        <v>154</v>
      </c>
      <c r="DW2" s="88" t="s">
        <v>19</v>
      </c>
      <c r="DX2" s="119" t="s">
        <v>147</v>
      </c>
      <c r="DY2" s="119"/>
      <c r="DZ2" s="119"/>
      <c r="EA2" s="119"/>
      <c r="EB2" s="119" t="s">
        <v>148</v>
      </c>
      <c r="EC2" s="119"/>
      <c r="ED2" s="119"/>
      <c r="EE2" s="119"/>
      <c r="EF2" s="119" t="s">
        <v>149</v>
      </c>
      <c r="EG2" s="119"/>
      <c r="EH2" s="119"/>
      <c r="EI2" s="119"/>
      <c r="EJ2" s="119" t="s">
        <v>150</v>
      </c>
      <c r="EK2" s="119"/>
      <c r="EL2" s="119"/>
      <c r="EM2" s="119"/>
      <c r="EN2" s="123" t="s">
        <v>151</v>
      </c>
      <c r="EO2" s="123"/>
      <c r="EP2" s="123"/>
      <c r="EQ2" s="123"/>
      <c r="ER2" s="89" t="s">
        <v>152</v>
      </c>
      <c r="ES2" s="89" t="s">
        <v>153</v>
      </c>
      <c r="ET2" s="89" t="s">
        <v>149</v>
      </c>
      <c r="EU2" s="89" t="s">
        <v>76</v>
      </c>
      <c r="EV2" s="89" t="s">
        <v>154</v>
      </c>
      <c r="EW2" s="89" t="s">
        <v>19</v>
      </c>
      <c r="EX2" s="116" t="s">
        <v>147</v>
      </c>
      <c r="EY2" s="116"/>
      <c r="EZ2" s="116"/>
      <c r="FA2" s="116"/>
      <c r="FB2" s="116" t="s">
        <v>148</v>
      </c>
      <c r="FC2" s="116"/>
      <c r="FD2" s="116"/>
      <c r="FE2" s="116"/>
      <c r="FF2" s="116" t="s">
        <v>149</v>
      </c>
      <c r="FG2" s="116"/>
      <c r="FH2" s="116"/>
      <c r="FI2" s="116"/>
      <c r="FJ2" s="116" t="s">
        <v>150</v>
      </c>
      <c r="FK2" s="116"/>
      <c r="FL2" s="116"/>
      <c r="FM2" s="116"/>
      <c r="FN2" s="124" t="s">
        <v>151</v>
      </c>
      <c r="FO2" s="124"/>
      <c r="FP2" s="124"/>
      <c r="FQ2" s="124"/>
      <c r="FR2" s="88" t="s">
        <v>152</v>
      </c>
      <c r="FS2" s="88" t="s">
        <v>153</v>
      </c>
      <c r="FT2" s="88" t="s">
        <v>149</v>
      </c>
      <c r="FU2" s="88" t="s">
        <v>76</v>
      </c>
      <c r="FV2" s="88" t="s">
        <v>154</v>
      </c>
      <c r="FW2" s="88" t="s">
        <v>19</v>
      </c>
      <c r="FX2" s="119" t="s">
        <v>147</v>
      </c>
      <c r="FY2" s="119"/>
      <c r="FZ2" s="119"/>
      <c r="GA2" s="119"/>
      <c r="GB2" s="119" t="s">
        <v>148</v>
      </c>
      <c r="GC2" s="119"/>
      <c r="GD2" s="119"/>
      <c r="GE2" s="119"/>
      <c r="GF2" s="119" t="s">
        <v>149</v>
      </c>
      <c r="GG2" s="119"/>
      <c r="GH2" s="119"/>
      <c r="GI2" s="119"/>
      <c r="GJ2" s="119" t="s">
        <v>150</v>
      </c>
      <c r="GK2" s="119"/>
      <c r="GL2" s="119"/>
      <c r="GM2" s="119"/>
      <c r="GN2" s="123" t="s">
        <v>151</v>
      </c>
      <c r="GO2" s="123"/>
      <c r="GP2" s="123"/>
      <c r="GQ2" s="123"/>
      <c r="GR2" s="89" t="s">
        <v>152</v>
      </c>
      <c r="GS2" s="89" t="s">
        <v>153</v>
      </c>
      <c r="GT2" s="89" t="s">
        <v>149</v>
      </c>
      <c r="GU2" s="89" t="s">
        <v>76</v>
      </c>
      <c r="GV2" s="89" t="s">
        <v>154</v>
      </c>
      <c r="GW2" s="89" t="s">
        <v>19</v>
      </c>
      <c r="GX2" s="116" t="s">
        <v>147</v>
      </c>
      <c r="GY2" s="116"/>
      <c r="GZ2" s="116"/>
      <c r="HA2" s="116"/>
      <c r="HB2" s="116" t="s">
        <v>148</v>
      </c>
      <c r="HC2" s="116"/>
      <c r="HD2" s="116"/>
      <c r="HE2" s="116"/>
      <c r="HF2" s="116" t="s">
        <v>149</v>
      </c>
      <c r="HG2" s="116"/>
      <c r="HH2" s="116"/>
      <c r="HI2" s="116"/>
      <c r="HJ2" s="116" t="s">
        <v>150</v>
      </c>
      <c r="HK2" s="116"/>
      <c r="HL2" s="116"/>
      <c r="HM2" s="116"/>
      <c r="HN2" s="124" t="s">
        <v>151</v>
      </c>
      <c r="HO2" s="124"/>
      <c r="HP2" s="124"/>
      <c r="HQ2" s="124"/>
      <c r="HR2" s="88" t="s">
        <v>152</v>
      </c>
      <c r="HS2" s="88" t="s">
        <v>153</v>
      </c>
      <c r="HT2" s="88" t="s">
        <v>149</v>
      </c>
      <c r="HU2" s="88" t="s">
        <v>76</v>
      </c>
      <c r="HV2" s="88" t="s">
        <v>154</v>
      </c>
      <c r="HW2" s="88" t="s">
        <v>19</v>
      </c>
      <c r="HX2" s="119" t="s">
        <v>147</v>
      </c>
      <c r="HY2" s="119"/>
      <c r="HZ2" s="119"/>
      <c r="IA2" s="119"/>
      <c r="IB2" s="119" t="s">
        <v>148</v>
      </c>
      <c r="IC2" s="119"/>
      <c r="ID2" s="119"/>
      <c r="IE2" s="119"/>
      <c r="IF2" s="119" t="s">
        <v>149</v>
      </c>
      <c r="IG2" s="119"/>
      <c r="IH2" s="119"/>
      <c r="II2" s="119"/>
      <c r="IJ2" s="119" t="s">
        <v>150</v>
      </c>
      <c r="IK2" s="119"/>
      <c r="IL2" s="119"/>
      <c r="IM2" s="119"/>
      <c r="IN2" s="123" t="s">
        <v>151</v>
      </c>
      <c r="IO2" s="123"/>
      <c r="IP2" s="123"/>
      <c r="IQ2" s="123"/>
      <c r="IR2" s="89" t="s">
        <v>152</v>
      </c>
      <c r="IS2" s="89" t="s">
        <v>153</v>
      </c>
      <c r="IT2" s="89" t="s">
        <v>149</v>
      </c>
      <c r="IU2" s="89" t="s">
        <v>76</v>
      </c>
      <c r="IV2" s="89" t="s">
        <v>154</v>
      </c>
      <c r="IW2" s="89" t="s">
        <v>19</v>
      </c>
      <c r="IX2" s="116" t="s">
        <v>147</v>
      </c>
      <c r="IY2" s="116"/>
      <c r="IZ2" s="116"/>
      <c r="JA2" s="116"/>
      <c r="JB2" s="116" t="s">
        <v>148</v>
      </c>
      <c r="JC2" s="116"/>
      <c r="JD2" s="116"/>
      <c r="JE2" s="116"/>
      <c r="JF2" s="116" t="s">
        <v>149</v>
      </c>
      <c r="JG2" s="116"/>
      <c r="JH2" s="116"/>
      <c r="JI2" s="116"/>
      <c r="JJ2" s="116" t="s">
        <v>150</v>
      </c>
      <c r="JK2" s="116"/>
      <c r="JL2" s="116"/>
      <c r="JM2" s="116"/>
      <c r="JN2" s="124" t="s">
        <v>151</v>
      </c>
      <c r="JO2" s="124"/>
      <c r="JP2" s="124"/>
      <c r="JQ2" s="124"/>
      <c r="JR2" s="88" t="s">
        <v>152</v>
      </c>
      <c r="JS2" s="88" t="s">
        <v>153</v>
      </c>
      <c r="JT2" s="88" t="s">
        <v>149</v>
      </c>
      <c r="JU2" s="88" t="s">
        <v>76</v>
      </c>
      <c r="JV2" s="88" t="s">
        <v>154</v>
      </c>
      <c r="JW2" s="88" t="s">
        <v>19</v>
      </c>
      <c r="JX2" s="119" t="s">
        <v>147</v>
      </c>
      <c r="JY2" s="119"/>
      <c r="JZ2" s="119"/>
      <c r="KA2" s="119"/>
      <c r="KB2" s="119" t="s">
        <v>148</v>
      </c>
      <c r="KC2" s="119"/>
      <c r="KD2" s="119"/>
      <c r="KE2" s="119"/>
      <c r="KF2" s="119" t="s">
        <v>149</v>
      </c>
      <c r="KG2" s="119"/>
      <c r="KH2" s="119"/>
      <c r="KI2" s="119"/>
      <c r="KJ2" s="119" t="s">
        <v>150</v>
      </c>
      <c r="KK2" s="119"/>
      <c r="KL2" s="119"/>
      <c r="KM2" s="119"/>
      <c r="KN2" s="123" t="s">
        <v>151</v>
      </c>
      <c r="KO2" s="123"/>
      <c r="KP2" s="123"/>
      <c r="KQ2" s="123"/>
      <c r="KR2" s="89" t="s">
        <v>152</v>
      </c>
      <c r="KS2" s="89" t="s">
        <v>153</v>
      </c>
      <c r="KT2" s="89" t="s">
        <v>149</v>
      </c>
      <c r="KU2" s="89" t="s">
        <v>76</v>
      </c>
      <c r="KV2" s="89" t="s">
        <v>154</v>
      </c>
      <c r="KW2" s="89" t="s">
        <v>19</v>
      </c>
      <c r="KX2" s="116" t="s">
        <v>147</v>
      </c>
      <c r="KY2" s="116"/>
      <c r="KZ2" s="116"/>
      <c r="LA2" s="116"/>
      <c r="LB2" s="116" t="s">
        <v>148</v>
      </c>
      <c r="LC2" s="116"/>
      <c r="LD2" s="116"/>
      <c r="LE2" s="116"/>
      <c r="LF2" s="116" t="s">
        <v>149</v>
      </c>
      <c r="LG2" s="116"/>
      <c r="LH2" s="116"/>
      <c r="LI2" s="116"/>
      <c r="LJ2" s="116" t="s">
        <v>150</v>
      </c>
      <c r="LK2" s="116"/>
      <c r="LL2" s="116"/>
      <c r="LM2" s="116"/>
      <c r="LN2" s="124" t="s">
        <v>151</v>
      </c>
      <c r="LO2" s="124"/>
      <c r="LP2" s="124"/>
      <c r="LQ2" s="124"/>
      <c r="LR2" s="88" t="s">
        <v>152</v>
      </c>
      <c r="LS2" s="88" t="s">
        <v>153</v>
      </c>
      <c r="LT2" s="88" t="s">
        <v>149</v>
      </c>
      <c r="LU2" s="88" t="s">
        <v>76</v>
      </c>
      <c r="LV2" s="88" t="s">
        <v>154</v>
      </c>
      <c r="LW2" s="88" t="s">
        <v>19</v>
      </c>
      <c r="LX2" s="119" t="s">
        <v>147</v>
      </c>
      <c r="LY2" s="119"/>
      <c r="LZ2" s="119"/>
      <c r="MA2" s="119"/>
      <c r="MB2" s="119" t="s">
        <v>148</v>
      </c>
      <c r="MC2" s="119"/>
      <c r="MD2" s="119"/>
      <c r="ME2" s="119"/>
      <c r="MF2" s="119" t="s">
        <v>149</v>
      </c>
      <c r="MG2" s="119"/>
      <c r="MH2" s="119"/>
      <c r="MI2" s="119"/>
      <c r="MJ2" s="119" t="s">
        <v>150</v>
      </c>
      <c r="MK2" s="119"/>
      <c r="ML2" s="119"/>
      <c r="MM2" s="119"/>
      <c r="MN2" s="123" t="s">
        <v>151</v>
      </c>
      <c r="MO2" s="123"/>
      <c r="MP2" s="123"/>
      <c r="MQ2" s="123"/>
      <c r="MR2" s="89" t="s">
        <v>152</v>
      </c>
      <c r="MS2" s="89" t="s">
        <v>153</v>
      </c>
      <c r="MT2" s="89" t="s">
        <v>149</v>
      </c>
      <c r="MU2" s="89" t="s">
        <v>76</v>
      </c>
      <c r="MV2" s="89" t="s">
        <v>154</v>
      </c>
      <c r="MW2" s="89" t="s">
        <v>19</v>
      </c>
      <c r="MX2" s="116" t="s">
        <v>147</v>
      </c>
      <c r="MY2" s="116"/>
      <c r="MZ2" s="116"/>
      <c r="NA2" s="116"/>
      <c r="NB2" s="116" t="s">
        <v>148</v>
      </c>
      <c r="NC2" s="116"/>
      <c r="ND2" s="116"/>
      <c r="NE2" s="116"/>
      <c r="NF2" s="116" t="s">
        <v>149</v>
      </c>
      <c r="NG2" s="116"/>
      <c r="NH2" s="116"/>
      <c r="NI2" s="116"/>
      <c r="NJ2" s="116" t="s">
        <v>150</v>
      </c>
      <c r="NK2" s="116"/>
      <c r="NL2" s="116"/>
      <c r="NM2" s="116"/>
      <c r="NN2" s="124" t="s">
        <v>151</v>
      </c>
      <c r="NO2" s="124"/>
      <c r="NP2" s="124"/>
      <c r="NQ2" s="124"/>
      <c r="NR2" s="88" t="s">
        <v>152</v>
      </c>
      <c r="NS2" s="88" t="s">
        <v>153</v>
      </c>
      <c r="NT2" s="88" t="s">
        <v>149</v>
      </c>
      <c r="NU2" s="88" t="s">
        <v>76</v>
      </c>
      <c r="NV2" s="88" t="s">
        <v>154</v>
      </c>
      <c r="NW2" s="88" t="s">
        <v>19</v>
      </c>
      <c r="NX2" s="119" t="s">
        <v>147</v>
      </c>
      <c r="NY2" s="119"/>
      <c r="NZ2" s="119"/>
      <c r="OA2" s="119"/>
      <c r="OB2" s="119" t="s">
        <v>148</v>
      </c>
      <c r="OC2" s="119"/>
      <c r="OD2" s="119"/>
      <c r="OE2" s="119"/>
      <c r="OF2" s="119" t="s">
        <v>149</v>
      </c>
      <c r="OG2" s="119"/>
      <c r="OH2" s="119"/>
      <c r="OI2" s="119"/>
      <c r="OJ2" s="119" t="s">
        <v>150</v>
      </c>
      <c r="OK2" s="119"/>
      <c r="OL2" s="119"/>
      <c r="OM2" s="119"/>
      <c r="ON2" s="123" t="s">
        <v>151</v>
      </c>
      <c r="OO2" s="123"/>
      <c r="OP2" s="123"/>
      <c r="OQ2" s="123"/>
      <c r="OR2" s="89" t="s">
        <v>152</v>
      </c>
      <c r="OS2" s="89" t="s">
        <v>153</v>
      </c>
      <c r="OT2" s="89" t="s">
        <v>149</v>
      </c>
      <c r="OU2" s="89" t="s">
        <v>76</v>
      </c>
      <c r="OV2" s="89" t="s">
        <v>154</v>
      </c>
      <c r="OW2" s="89" t="s">
        <v>19</v>
      </c>
      <c r="OX2" s="116" t="s">
        <v>147</v>
      </c>
      <c r="OY2" s="116"/>
      <c r="OZ2" s="116"/>
      <c r="PA2" s="116"/>
      <c r="PB2" s="116" t="s">
        <v>148</v>
      </c>
      <c r="PC2" s="116"/>
      <c r="PD2" s="116"/>
      <c r="PE2" s="116"/>
      <c r="PF2" s="116" t="s">
        <v>149</v>
      </c>
      <c r="PG2" s="116"/>
      <c r="PH2" s="116"/>
      <c r="PI2" s="116"/>
      <c r="PJ2" s="116" t="s">
        <v>150</v>
      </c>
      <c r="PK2" s="116"/>
      <c r="PL2" s="116"/>
      <c r="PM2" s="116"/>
      <c r="PN2" s="122" t="s">
        <v>151</v>
      </c>
      <c r="PO2" s="122"/>
      <c r="PP2" s="122"/>
      <c r="PQ2" s="122"/>
      <c r="PR2" s="57"/>
      <c r="PS2" s="88" t="s">
        <v>152</v>
      </c>
      <c r="PT2" s="88" t="s">
        <v>153</v>
      </c>
      <c r="PU2" s="88" t="s">
        <v>149</v>
      </c>
      <c r="PV2" s="88" t="s">
        <v>76</v>
      </c>
      <c r="PW2" s="88" t="s">
        <v>154</v>
      </c>
      <c r="PX2" s="88" t="s">
        <v>19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164</v>
      </c>
      <c r="C4" s="7" t="s">
        <v>3</v>
      </c>
      <c r="D4" s="18">
        <v>1991</v>
      </c>
      <c r="E4" s="14">
        <f>SUM(J4:P4)+SUM(J4:N4)*0.0000001+SUM(J4)*0.0000000000001</f>
        <v>91.260009126004519</v>
      </c>
      <c r="F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G4" s="3" t="str">
        <f>IF(OR(AND(AO4&gt;=AS$14,AO4&lt;&gt;"",AM4=""),AND(AR4&gt;=AS$14,AR4&lt;&gt;"",AM4=""),AND(BP4&gt;=BT$14,BP4&lt;&gt;"",BN4=""),AND(BS4&gt;=BT$14,BS4&lt;&gt;"",BN4=""),AND(CQ4&gt;=CU$14,CQ4&lt;&gt;"",CO4=""),AND(CT4&gt;=CU$14,CT4&lt;&gt;"",CO4=""),AND(DS4&gt;=DW$14,DS4&lt;&gt;""),AND(DV4&gt;=DW$14,DV4&lt;&gt;""),AND(ES4&gt;=EW$14,ES4&lt;&gt;""),AND(EV4&gt;=EW$14,EV4&lt;&gt;""),AND(FS4&gt;=FW$14,FS4&lt;&gt;""),AND(FV4&gt;=FW$14,FV4&lt;&gt;""),AND(GS4&gt;=GW$14,GS4&lt;&gt;""),AND(GV4&gt;=GW$14,GV4&lt;&gt;""),AND(HS4&gt;=HW$14,HS4&lt;&gt;""),AND(HV4&gt;=HW$14,HV4&lt;&gt;""),AND(IS4&gt;=IW$14,IS4&lt;&gt;""),AND(IV4&gt;=IW$14,IV4&lt;&gt;""),AND(JS4&gt;=JW$14,JS4&lt;&gt;""),AND(JV4&gt;=JW$14,JV4&lt;&gt;""),AND(KS4&gt;=KW$14,KS4&lt;&gt;""),AND(KV4&gt;=KW$14,KV4&lt;&gt;""),AND(LS4&gt;=LW$14,LS4&lt;&gt;""),AND(LV4&gt;=LW$14,LV4&lt;&gt;""),AND(MS4&gt;=MW$14,MS4&lt;&gt;""),AND(MV4&gt;=MW$14,MV4&lt;&gt;""),AND(NS4&gt;=NW$14,NS4&lt;&gt;""),AND(NV4&gt;=NW$14,NV4&lt;&gt;""),AND(OS4&gt;=OW$14,OS4&lt;&gt;""),AND(OV4&gt;=OW$14,OV4&lt;&gt;"")),"P","")</f>
        <v>P</v>
      </c>
      <c r="H4" s="70" t="str">
        <f>IF(AND(G4="P",F4=""),"No DD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Merit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Excellence",IF(I4="P","Worlds Team",IF(F4="P","National Team","")))))</f>
        <v>Excellence</v>
      </c>
      <c r="I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8.85</v>
      </c>
      <c r="OY4" s="42">
        <f>IF($CO4="P",BV4,(BV4+AU4)/2)</f>
        <v>2.35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8.85</v>
      </c>
      <c r="PC4" s="42">
        <f>IF($CO4="P",BZ4,(BZ4+AY4)/2)</f>
        <v>2.35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9.0299999999999994</v>
      </c>
      <c r="PK4" s="42">
        <f>IF($CO4="P",CH4,(CH4+BG4)/2)</f>
        <v>2.35</v>
      </c>
      <c r="PL4" s="42">
        <f>IF($CO4="P",CI4,(CI4+BH4)/2)</f>
        <v>0</v>
      </c>
      <c r="PM4" s="42">
        <f>IF($CO4="P",CJ4,(CJ4+BI4)/2)</f>
        <v>0.15</v>
      </c>
      <c r="PN4" s="42">
        <f>IF($CO4="P",CK4,(CK4+BJ4)/2)</f>
        <v>8.9</v>
      </c>
      <c r="PO4" s="42">
        <f>IF($CO4="P",CL4,(CL4+BK4)/2)</f>
        <v>2.35</v>
      </c>
      <c r="PP4" s="42">
        <f>IF($CO4="P",CM4,(CM4+BL4)/2)</f>
        <v>0</v>
      </c>
      <c r="PQ4" s="42">
        <f>IF($CO4="P",CN4,(CN4+BM4)/2)</f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165</v>
      </c>
      <c r="C5" s="7" t="s">
        <v>3</v>
      </c>
      <c r="D5" s="18">
        <v>2004</v>
      </c>
      <c r="E5" s="14">
        <f>SUM(J5:P5)+SUM(J5:N5)*0.0000001+SUM(J5)*0.0000000000001</f>
        <v>88.100308794034419</v>
      </c>
      <c r="F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G5" s="3" t="str">
        <f>IF(OR(AND(AO5&gt;=AS$14,AO5&lt;&gt;"",AM5=""),AND(AR5&gt;=AS$14,AR5&lt;&gt;"",AM5=""),AND(BP5&gt;=BT$14,BP5&lt;&gt;"",BN5=""),AND(BS5&gt;=BT$14,BS5&lt;&gt;"",BN5=""),AND(CQ5&gt;=CU$14,CQ5&lt;&gt;"",CO5=""),AND(CT5&gt;=CU$14,CT5&lt;&gt;"",CO5=""),AND(DS5&gt;=DW$14,DS5&lt;&gt;""),AND(DV5&gt;=DW$14,DV5&lt;&gt;""),AND(ES5&gt;=EW$14,ES5&lt;&gt;""),AND(EV5&gt;=EW$14,EV5&lt;&gt;""),AND(FS5&gt;=FW$14,FS5&lt;&gt;""),AND(FV5&gt;=FW$14,FV5&lt;&gt;""),AND(GS5&gt;=GW$14,GS5&lt;&gt;""),AND(GV5&gt;=GW$14,GV5&lt;&gt;""),AND(HS5&gt;=HW$14,HS5&lt;&gt;""),AND(HV5&gt;=HW$14,HV5&lt;&gt;""),AND(IS5&gt;=IW$14,IS5&lt;&gt;""),AND(IV5&gt;=IW$14,IV5&lt;&gt;""),AND(JS5&gt;=JW$14,JS5&lt;&gt;""),AND(JV5&gt;=JW$14,JV5&lt;&gt;""),AND(KS5&gt;=KW$14,KS5&lt;&gt;""),AND(KV5&gt;=KW$14,KV5&lt;&gt;""),AND(LS5&gt;=LW$14,LS5&lt;&gt;""),AND(LV5&gt;=LW$14,LV5&lt;&gt;""),AND(MS5&gt;=MW$14,MS5&lt;&gt;""),AND(MV5&gt;=MW$14,MV5&lt;&gt;""),AND(NS5&gt;=NW$14,NS5&lt;&gt;""),AND(NV5&gt;=NW$14,NV5&lt;&gt;""),AND(OS5&gt;=OW$14,OS5&lt;&gt;""),AND(OV5&gt;=OW$14,OV5&lt;&gt;"")),"P","")</f>
        <v>P</v>
      </c>
      <c r="H5" s="70" t="str">
        <f>IF(AND(G5="P",F5=""),"No DD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Merit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Excellence",IF(I5="P","Worlds Team",IF(F5="P","National Team","")))))</f>
        <v>National Team</v>
      </c>
      <c r="I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0.16000000000000369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>
        <v>16.7</v>
      </c>
      <c r="EY5" s="25">
        <v>4.5</v>
      </c>
      <c r="EZ5" s="25">
        <v>0</v>
      </c>
      <c r="FA5" s="25">
        <v>0.3</v>
      </c>
      <c r="FB5" s="25">
        <v>17.100000000000001</v>
      </c>
      <c r="FC5" s="25">
        <v>4.3</v>
      </c>
      <c r="FD5" s="25">
        <v>0</v>
      </c>
      <c r="FE5" s="25">
        <v>0.3</v>
      </c>
      <c r="FF5" s="25"/>
      <c r="FG5" s="25"/>
      <c r="FH5" s="25"/>
      <c r="FI5" s="25"/>
      <c r="FJ5" s="25">
        <v>16.600000000000001</v>
      </c>
      <c r="FK5" s="25">
        <v>4.5</v>
      </c>
      <c r="FL5" s="25">
        <v>0</v>
      </c>
      <c r="FM5" s="25">
        <v>0.3</v>
      </c>
      <c r="FN5" s="25">
        <v>17.100000000000001</v>
      </c>
      <c r="FO5" s="25">
        <v>4.3</v>
      </c>
      <c r="FP5" s="25">
        <v>0</v>
      </c>
      <c r="FQ5" s="25">
        <v>0.3</v>
      </c>
      <c r="FR5" s="76">
        <f>IF(SUM(EY5,FC5)&gt;0,SUM(EY5,FC5),"")</f>
        <v>8.8000000000000007</v>
      </c>
      <c r="FS5" s="76">
        <f>IF(SUM(EX5:EY5,FA5:FC5,FE5)-EZ5-FD5&gt;0,SUM(EX5:EY5,FA5:FC5,FE5)-EZ5-FD5,"")</f>
        <v>43.199999999999996</v>
      </c>
      <c r="FT5" s="76" t="str">
        <f>IF(SUM(FF5:FG5,FI5)-FH5&gt;0,SUM(FF5:FG5,FI5)-FH5,"")</f>
        <v/>
      </c>
      <c r="FU5" s="76">
        <f>IF(SUM(FK5,FO5)&gt;0,SUM(FK5,FO5),"")</f>
        <v>8.8000000000000007</v>
      </c>
      <c r="FV5" s="76">
        <f>IF(SUM(FJ5:FK5,FM5:FO5,FQ5)-SUM(FL5,FP5)&gt;0,SUM(FJ5:FK5,FM5:FO5,FQ5)-SUM(FL5,FP5),"")</f>
        <v>43.099999999999994</v>
      </c>
      <c r="FW5" s="76">
        <f>IF(SUM(FS5,FV5)&gt;0,SUM(FS5,FV5),"")</f>
        <v>86.299999999999983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9.1000499999999995</v>
      </c>
      <c r="OY5" s="42">
        <f>IF($CO5="P",BV5,(BV5+AU5)/2)</f>
        <v>1.8001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8.8000000000000007</v>
      </c>
      <c r="PC5" s="42">
        <f>IF($CO5="P",BZ5,(BZ5+AY5)/2)</f>
        <v>2.25</v>
      </c>
      <c r="PD5" s="42">
        <f>IF($CO5="P",CA5,(CA5+AZ5)/2)</f>
        <v>0</v>
      </c>
      <c r="PE5" s="42">
        <f>IF($CO5="P",CB5,(CB5+BA5)/2)</f>
        <v>0.15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8.9700000000000006</v>
      </c>
      <c r="PK5" s="42">
        <f>IF($CO5="P",CH5,(CH5+BG5)/2)</f>
        <v>1.8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8.6999999999999993</v>
      </c>
      <c r="PO5" s="42">
        <f>IF($CO5="P",CL5,(CL5+BK5)/2)</f>
        <v>2.25</v>
      </c>
      <c r="PP5" s="42">
        <f>IF($CO5="P",CM5,(CM5+BL5)/2)</f>
        <v>0</v>
      </c>
      <c r="PQ5" s="42">
        <f>IF($CO5="P",CN5,(CN5+BM5)/2)</f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>
        <f>IF(AND(F6="P",G6="P"),SUMPRODUCT((F$4:F$8="P")*(G$4:G$8="P")*(E$4:E$8&gt;E6))+1,IF(G6="P",SUMPRODUCT((F$4:F$8="")*(G$4:G$8="P")*(E$4:E$8&gt;E6))+1+SUMPRODUCT((F$4:F$8="P")*(G$4:G$8="P")),""))</f>
        <v>3</v>
      </c>
      <c r="B6" s="6" t="s">
        <v>84</v>
      </c>
      <c r="C6" s="7" t="s">
        <v>3</v>
      </c>
      <c r="D6" s="18">
        <v>2003</v>
      </c>
      <c r="E6" s="14">
        <f>SUM(J6:P6)+SUM(J6:N6)*0.0000001+SUM(J6)*0.0000000000001</f>
        <v>81.600207946023886</v>
      </c>
      <c r="F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G6" s="3" t="str">
        <f>IF(OR(AND(AO6&gt;=AS$14,AO6&lt;&gt;"",AM6=""),AND(AR6&gt;=AS$14,AR6&lt;&gt;"",AM6=""),AND(BP6&gt;=BT$14,BP6&lt;&gt;"",BN6=""),AND(BS6&gt;=BT$14,BS6&lt;&gt;"",BN6=""),AND(CQ6&gt;=CU$14,CQ6&lt;&gt;"",CO6=""),AND(CT6&gt;=CU$14,CT6&lt;&gt;"",CO6=""),AND(DS6&gt;=DW$14,DS6&lt;&gt;""),AND(DV6&gt;=DW$14,DV6&lt;&gt;""),AND(ES6&gt;=EW$14,ES6&lt;&gt;""),AND(EV6&gt;=EW$14,EV6&lt;&gt;""),AND(FS6&gt;=FW$14,FS6&lt;&gt;""),AND(FV6&gt;=FW$14,FV6&lt;&gt;""),AND(GS6&gt;=GW$14,GS6&lt;&gt;""),AND(GV6&gt;=GW$14,GV6&lt;&gt;""),AND(HS6&gt;=HW$14,HS6&lt;&gt;""),AND(HV6&gt;=HW$14,HV6&lt;&gt;""),AND(IS6&gt;=IW$14,IS6&lt;&gt;""),AND(IV6&gt;=IW$14,IV6&lt;&gt;""),AND(JS6&gt;=JW$14,JS6&lt;&gt;""),AND(JV6&gt;=JW$14,JV6&lt;&gt;""),AND(KS6&gt;=KW$14,KS6&lt;&gt;""),AND(KV6&gt;=KW$14,KV6&lt;&gt;""),AND(LS6&gt;=LW$14,LS6&lt;&gt;""),AND(LV6&gt;=LW$14,LV6&lt;&gt;""),AND(MS6&gt;=MW$14,MS6&lt;&gt;""),AND(MV6&gt;=MW$14,MV6&lt;&gt;""),AND(NS6&gt;=NW$14,NS6&lt;&gt;""),AND(NV6&gt;=NW$14,NV6&lt;&gt;""),AND(OS6&gt;=OW$14,OS6&lt;&gt;""),AND(OV6&gt;=OW$14,OV6&lt;&gt;"")),"P","")</f>
        <v>P</v>
      </c>
      <c r="H6" s="70" t="str">
        <f>IF(AND(G6="P",F6=""),"No DD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Merit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Excellence",IF(I6="P","Worlds Team",IF(F6="P","National Team","")))))</f>
        <v>No DD</v>
      </c>
      <c r="I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/>
      </c>
      <c r="J6" s="13">
        <f>IF(COUNT(AO6,BP6,CQ6)&gt;0,LARGE((AO6,BP6,CQ6),1),0)</f>
        <v>38.9</v>
      </c>
      <c r="K6" s="13" t="str">
        <f>IF(J6=0,"",IF(J6=CQ6,$BU$1,IF(J6=BP6,$AT$1,IF(J6=AO6,$S$1,""))))</f>
        <v>2022 Elite Canada</v>
      </c>
      <c r="L6" s="13">
        <f>IF(COUNT(AO6,BP6,CQ6)&gt;1,LARGE((AO6,BP6,CQ6),2),0)</f>
        <v>2.0000000000000001E-4</v>
      </c>
      <c r="M6" s="13" t="str">
        <f>IF(L6=0,"",IF(L6=CQ6,$BU$1,IF(L6=BP6,$AT$1,IF(L6=AO6,$S$1,""))))</f>
        <v>2021 Canadian Championships</v>
      </c>
      <c r="N6" s="13">
        <f>IF(MAX(AR6,BS6,CT6)&gt;0,MAX(AR6,BS6,CT6),0)</f>
        <v>40.559999999999995</v>
      </c>
      <c r="O6" s="13" t="str">
        <f>IF(N6=0,"",IF(N6=CT6,$BU$1,IF(N6=BS6,$AT$1,IF(N6=AR6,$S$1,""))))</f>
        <v>2022 Elite Canada</v>
      </c>
      <c r="P6" s="13">
        <f>IF(MAX(CV6:CW6)&gt;0,MAX(CV6:CW6),"")</f>
        <v>2.1400000000000006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World Games Technical Trial #2 (May 15)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>
        <v>2.0000000000000001E-4</v>
      </c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>
        <f>IF(SUM(AU6,AY6)&gt;0,SUM(AU6,AY6),"")</f>
        <v>2.0000000000000001E-4</v>
      </c>
      <c r="BP6" s="16">
        <f>IF(SUM(AT6:AU6,AW6:AY6,BA6)-AV6-AZ6&gt;0,SUM(AT6:AU6,AW6:AY6,BA6)-AV6-AZ6,"")</f>
        <v>2.0000000000000001E-4</v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>
        <f>IF(SUM(BP6,BS6)&gt;0,SUM(BP6,BS6),"")</f>
        <v>2.0000000000000001E-4</v>
      </c>
      <c r="BU6" s="27">
        <v>16.600000000000001</v>
      </c>
      <c r="BV6" s="27">
        <v>3.9</v>
      </c>
      <c r="BW6" s="27">
        <v>0</v>
      </c>
      <c r="BX6" s="27">
        <v>0.3</v>
      </c>
      <c r="BY6" s="27">
        <v>15.9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15.1</v>
      </c>
      <c r="CH6" s="27">
        <v>4.0999999999999996</v>
      </c>
      <c r="CI6" s="27">
        <v>0.2</v>
      </c>
      <c r="CJ6" s="27">
        <v>0.3</v>
      </c>
      <c r="CK6" s="27">
        <v>16.46</v>
      </c>
      <c r="CL6" s="27">
        <v>4.5</v>
      </c>
      <c r="CM6" s="27">
        <v>0</v>
      </c>
      <c r="CN6" s="27">
        <v>0.3</v>
      </c>
      <c r="CO6" s="51"/>
      <c r="CP6" s="76">
        <f>IF(SUM(BV6,BZ6)&gt;0,SUM(BV6,BZ6),"")</f>
        <v>5.8</v>
      </c>
      <c r="CQ6" s="76">
        <f>IF(SUM(BU6:BV6,BX6:BZ6,CB6)-BW6-CA6&gt;0,SUM(BU6:BV6,BX6:BZ6,CB6)-BW6-CA6,"")</f>
        <v>38.9</v>
      </c>
      <c r="CR6" s="76" t="str">
        <f>IF(SUM(CC6:CD6,CF6)-CE6&gt;0,SUM(CC6:CD6,CF6)-CE6,"")</f>
        <v/>
      </c>
      <c r="CS6" s="76">
        <f>IF(SUM(CH6,CL6)&gt;0,SUM(CH6,CL6),"")</f>
        <v>8.6</v>
      </c>
      <c r="CT6" s="76">
        <f>IF(SUM(CG6:CH6,CJ6:CL6,CN6)-SUM(CI6,CM6)&gt;0,SUM(CG6:CH6,CJ6:CL6,CN6)-SUM(CI6,CM6),"")</f>
        <v>40.559999999999995</v>
      </c>
      <c r="CU6" s="76">
        <f>IF(SUM(CQ6,CT6)&gt;0,SUM(CQ6,CT6),"")</f>
        <v>79.459999999999994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2.1400000000000006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>IF(SUM(DY6,EC6)&gt;0,SUM(DY6,EC6),"")</f>
        <v>3.3</v>
      </c>
      <c r="ES6" s="16">
        <f>IF(SUM(DX6:DY6,EA6:EC6,EE6)-DZ6-ED6&gt;0,SUM(DX6:DY6,EA6:EC6,EE6)-DZ6-ED6,"")</f>
        <v>29.1</v>
      </c>
      <c r="ET6" s="16" t="str">
        <f>IF(SUM(EF6:EG6,EI6)-EH6&gt;0,SUM(EF6:EG6,EI6)-EH6,"")</f>
        <v/>
      </c>
      <c r="EU6" s="16">
        <f>IF(SUM(EK6,EO6)&gt;0,SUM(EK6,EO6),"")</f>
        <v>1.7</v>
      </c>
      <c r="EV6" s="16">
        <f>IF(SUM(EJ6:EK6,EM6:EO6,EQ6)-SUM(EL6,EP6)&gt;0,SUM(EJ6:EK6,EM6:EO6,EQ6)-SUM(EL6,EP6),"")</f>
        <v>15.999999999999998</v>
      </c>
      <c r="EW6" s="16">
        <f>IF(SUM(ES6,EV6)&gt;0,SUM(ES6,EV6),"")</f>
        <v>45.1</v>
      </c>
      <c r="EX6" s="25">
        <v>16.2</v>
      </c>
      <c r="EY6" s="25">
        <v>1.2</v>
      </c>
      <c r="EZ6" s="25">
        <v>0</v>
      </c>
      <c r="FA6" s="25">
        <v>0</v>
      </c>
      <c r="FB6" s="25">
        <v>16.3</v>
      </c>
      <c r="FC6" s="25">
        <v>3.9</v>
      </c>
      <c r="FD6" s="25">
        <v>0.2</v>
      </c>
      <c r="FE6" s="25">
        <v>0.3</v>
      </c>
      <c r="FF6" s="25"/>
      <c r="FG6" s="25"/>
      <c r="FH6" s="25"/>
      <c r="FI6" s="25"/>
      <c r="FJ6" s="25">
        <v>17.5</v>
      </c>
      <c r="FK6" s="25">
        <v>3.6</v>
      </c>
      <c r="FL6" s="25">
        <v>0</v>
      </c>
      <c r="FM6" s="25">
        <v>0</v>
      </c>
      <c r="FN6" s="25">
        <v>17</v>
      </c>
      <c r="FO6" s="25">
        <v>4.3</v>
      </c>
      <c r="FP6" s="25">
        <v>0</v>
      </c>
      <c r="FQ6" s="25">
        <v>0.3</v>
      </c>
      <c r="FR6" s="76">
        <f>IF(SUM(EY6,FC6)&gt;0,SUM(EY6,FC6),"")</f>
        <v>5.0999999999999996</v>
      </c>
      <c r="FS6" s="76">
        <f>IF(SUM(EX6:EY6,FA6:FC6,FE6)-EZ6-FD6&gt;0,SUM(EX6:EY6,FA6:FC6,FE6)-EZ6-FD6,"")</f>
        <v>37.699999999999996</v>
      </c>
      <c r="FT6" s="76" t="str">
        <f>IF(SUM(FF6:FG6,FI6)-FH6&gt;0,SUM(FF6:FG6,FI6)-FH6,"")</f>
        <v/>
      </c>
      <c r="FU6" s="76">
        <f>IF(SUM(FK6,FO6)&gt;0,SUM(FK6,FO6),"")</f>
        <v>7.9</v>
      </c>
      <c r="FV6" s="76">
        <f>IF(SUM(FJ6:FK6,FM6:FO6,FQ6)-SUM(FL6,FP6)&gt;0,SUM(FJ6:FK6,FM6:FO6,FQ6)-SUM(FL6,FP6),"")</f>
        <v>42.699999999999996</v>
      </c>
      <c r="FW6" s="76">
        <f>IF(SUM(FS6,FV6)&gt;0,SUM(FS6,FV6),"")</f>
        <v>80.399999999999991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8.3000000000000007</v>
      </c>
      <c r="OY6" s="42">
        <f>IF($CO6="P",BV6,(BV6+AU6)/2)</f>
        <v>1.9500999999999999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7.95</v>
      </c>
      <c r="PC6" s="42">
        <f>IF($CO6="P",BZ6,(BZ6+AY6)/2)</f>
        <v>0.95</v>
      </c>
      <c r="PD6" s="42">
        <f>IF($CO6="P",CA6,(CA6+AZ6)/2)</f>
        <v>0</v>
      </c>
      <c r="PE6" s="42">
        <f>IF($CO6="P",CB6,(CB6+BA6)/2)</f>
        <v>0.15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7.55</v>
      </c>
      <c r="PK6" s="42">
        <f>IF($CO6="P",CH6,(CH6+BG6)/2)</f>
        <v>2.0499999999999998</v>
      </c>
      <c r="PL6" s="42">
        <f>IF($CO6="P",CI6,(CI6+BH6)/2)</f>
        <v>0.1</v>
      </c>
      <c r="PM6" s="42">
        <f>IF($CO6="P",CJ6,(CJ6+BI6)/2)</f>
        <v>0.15</v>
      </c>
      <c r="PN6" s="42">
        <f>IF($CO6="P",CK6,(CK6+BJ6)/2)</f>
        <v>8.23</v>
      </c>
      <c r="PO6" s="42">
        <f>IF($CO6="P",CL6,(CL6+BK6)/2)</f>
        <v>2.25</v>
      </c>
      <c r="PP6" s="42">
        <f>IF($CO6="P",CM6,(CM6+BL6)/2)</f>
        <v>0</v>
      </c>
      <c r="PQ6" s="42">
        <f>IF($CO6="P",CN6,(CN6+BM6)/2)</f>
        <v>0.15</v>
      </c>
      <c r="PR6" s="51" t="s">
        <v>61</v>
      </c>
      <c r="PS6" s="76">
        <f>IF(SUM(OY6,PC6)&gt;0,SUM(OY6,PC6),"")</f>
        <v>2.9001000000000001</v>
      </c>
      <c r="PT6" s="76">
        <f>IF(SUM(OX6:OY6,PA6:PC6,PE6)-OZ6-PD6&gt;0,SUM(OX6:OY6,PA6:PC6,PE6)-OZ6-PD6,"")</f>
        <v>19.450099999999999</v>
      </c>
      <c r="PU6" s="76" t="str">
        <f>IF(SUM(PF6:PG6,PI6)-PH6&gt;0,SUM(PF6:PG6,PI6)-PH6,"")</f>
        <v/>
      </c>
      <c r="PV6" s="76">
        <f>IF(SUM(PK6,PO6)&gt;0,SUM(PK6,PO6),"")</f>
        <v>4.3</v>
      </c>
      <c r="PW6" s="76">
        <f>IF(SUM(PJ6:PK6,PM6:PO6,PQ6)-SUM(PL6,PP6)&gt;0,SUM(PJ6:PK6,PM6:PO6,PQ6)-SUM(PL6,PP6),"")</f>
        <v>20.279999999999998</v>
      </c>
      <c r="PX6" s="76">
        <f>IF(SUM(PT6,PW6)&gt;0,SUM(PT6,PW6),"")</f>
        <v>39.730099999999993</v>
      </c>
    </row>
    <row r="7" spans="1:440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112</v>
      </c>
      <c r="C7" s="7" t="s">
        <v>3</v>
      </c>
      <c r="D7" s="18">
        <v>2003</v>
      </c>
      <c r="E7" s="14">
        <f>SUM(J7:P7)+SUM(J7:N7)*0.0000001+SUM(J7)*0.0000000000001</f>
        <v>4.0000004000002003E-4</v>
      </c>
      <c r="F7" s="3" t="str">
        <f>IF(OR(AND(AN7&gt;=AS$10,AO7&gt;=AS$14,AN7&lt;&gt;"",AM7=""),AND(AQ7&gt;=AS$10,AR7&gt;=AS$14,AQ7&lt;&gt;"",AM7=""),AND(BO7&gt;=BT$10,BP7&gt;=BT$14,BO7&lt;&gt;"",BN7=""),AND(BR7&gt;=BT$10,BS7&gt;=BT$14,BR7&lt;&gt;"",BN7=""),AND(CP7&gt;=CU$10,CQ7&gt;=CU$14,CP7&lt;&gt;"",CO7=""),AND(CS7&gt;=CU$10,CT7&gt;=CU$14,CS7&lt;&gt;""),AND(DR7&gt;=DW$10,DS7&gt;=DW$14,DR7&lt;&gt;""),AND(DU7&gt;=DW$10,DV7&gt;=DW$14,DU7&lt;&gt;""),AND(ER7&gt;=EW$10,ES7&gt;=EW$14,ER7&lt;&gt;""),AND(EU7&gt;=EW$10,EV7&gt;=EW$14,EU7&lt;&gt;""),AND(FR7&gt;=FW$10,FS7&gt;=FW$14,FR7&lt;&gt;""),AND(FU7&gt;=FW$10,FV7&gt;=FW$14,FU7&lt;&gt;""),AND(GR7&gt;=GW$10,GS7&gt;=GW$14,GR7&lt;&gt;""),AND(GU7&gt;=GW$10,GV7&gt;=GW$14,GU7&lt;&gt;""),AND(HR7&gt;=HW$10,HS7&gt;=HW$14,HR7&lt;&gt;""),AND(HU7&gt;=HW$10,HV7&gt;=HW$14,HU7&lt;&gt;""),AND(IR7&gt;=IW$10,IS7&gt;=IW$14,IR7&lt;&gt;""),AND(IU7&gt;=IW$10,IV7&gt;=IW$14,IU7&lt;&gt;""),AND(JR7&gt;=JW$10,JS7&gt;=JW$14,JR7&lt;&gt;""),AND(JU7&gt;=JW$10,JV7&gt;=JW$14,JU7&lt;&gt;""),AND(KR7&gt;=KW$10,KS7&gt;=KW$14,KR7&lt;&gt;""),AND(KU7&gt;=KW$10,KV7&gt;=KW$14,KU7&lt;&gt;""),AND(LR7&gt;=LW$10,LS7&gt;=LW$14,LR7&lt;&gt;""),AND(LU7&gt;=LW$10,LV7&gt;=LW$14,LU7&lt;&gt;""),AND(MR7&gt;=MW$10,MS7&gt;=MW$14,MR7&lt;&gt;""),AND(MU7&gt;=MW$10,MV7&gt;=MW$14,MU7&lt;&gt;""),AND(NR7&gt;=NW$10,NS7&gt;=NW$14,NR7&lt;&gt;""),AND(NU7&gt;=NW$10,NV7&gt;=NW$14,NU7&lt;&gt;""),AND(OR7&gt;=OW$10,OS7&gt;=OW$14,OR7&lt;&gt;""),AND(OU7&gt;=OW$10,OV7&gt;=OW$14,OU7&lt;&gt;"")),"P","")</f>
        <v/>
      </c>
      <c r="G7" s="3" t="str">
        <f>IF(OR(AND(AO7&gt;=AS$14,AO7&lt;&gt;"",AM7=""),AND(AR7&gt;=AS$14,AR7&lt;&gt;"",AM7=""),AND(BP7&gt;=BT$14,BP7&lt;&gt;"",BN7=""),AND(BS7&gt;=BT$14,BS7&lt;&gt;"",BN7=""),AND(CQ7&gt;=CU$14,CQ7&lt;&gt;"",CO7=""),AND(CT7&gt;=CU$14,CT7&lt;&gt;"",CO7=""),AND(DS7&gt;=DW$14,DS7&lt;&gt;""),AND(DV7&gt;=DW$14,DV7&lt;&gt;""),AND(ES7&gt;=EW$14,ES7&lt;&gt;""),AND(EV7&gt;=EW$14,EV7&lt;&gt;""),AND(FS7&gt;=FW$14,FS7&lt;&gt;""),AND(FV7&gt;=FW$14,FV7&lt;&gt;""),AND(GS7&gt;=GW$14,GS7&lt;&gt;""),AND(GV7&gt;=GW$14,GV7&lt;&gt;""),AND(HS7&gt;=HW$14,HS7&lt;&gt;""),AND(HV7&gt;=HW$14,HV7&lt;&gt;""),AND(IS7&gt;=IW$14,IS7&lt;&gt;""),AND(IV7&gt;=IW$14,IV7&lt;&gt;""),AND(JS7&gt;=JW$14,JS7&lt;&gt;""),AND(JV7&gt;=JW$14,JV7&lt;&gt;""),AND(KS7&gt;=KW$14,KS7&lt;&gt;""),AND(KV7&gt;=KW$14,KV7&lt;&gt;""),AND(LS7&gt;=LW$14,LS7&lt;&gt;""),AND(LV7&gt;=LW$14,LV7&lt;&gt;""),AND(MS7&gt;=MW$14,MS7&lt;&gt;""),AND(MV7&gt;=MW$14,MV7&lt;&gt;""),AND(NS7&gt;=NW$14,NS7&lt;&gt;""),AND(NV7&gt;=NW$14,NV7&lt;&gt;""),AND(OS7&gt;=OW$14,OS7&lt;&gt;""),AND(OV7&gt;=OW$14,OV7&lt;&gt;"")),"P","")</f>
        <v/>
      </c>
      <c r="H7" s="70" t="str">
        <f>IF(AND(G7="P",F7=""),"No DD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Merit",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Excellence",IF(I7="P","Worlds Team",IF(F7="P","National Team","")))))</f>
        <v/>
      </c>
      <c r="I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J7" s="13">
        <f>IF(COUNT(AO7,BP7,CQ7)&gt;0,LARGE((AO7,BP7,CQ7),1),0)</f>
        <v>2.0000000000000001E-4</v>
      </c>
      <c r="K7" s="13" t="str">
        <f>IF(J7=0,"",IF(J7=CQ7,$BU$1,IF(J7=BP7,$AT$1,IF(J7=AO7,$S$1,""))))</f>
        <v>2021 Canadian Championships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0</v>
      </c>
      <c r="O7" s="13" t="str">
        <f>IF(N7=0,"",IF(N7=CT7,$BU$1,IF(N7=BS7,$AT$1,IF(N7=AR7,$S$1,""))))</f>
        <v/>
      </c>
      <c r="P7" s="13" t="str">
        <f>IF(MAX(CV7:CW7)&gt;0,MAX(CV7:CW7),"")</f>
        <v/>
      </c>
      <c r="Q7" s="16" t="str">
        <f>IF(P7="","",IF(P7=CV7,"("&amp;CV$2&amp;")",IF(P7=CW7,"("&amp;CW$2&amp;")")))</f>
        <v/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/>
      </c>
      <c r="S7" s="27"/>
      <c r="T7" s="27">
        <v>2.0000000000000001E-4</v>
      </c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>
        <f>IF(SUM(T7,X7)&gt;0,SUM(T7,X7),"")</f>
        <v>2.0000000000000001E-4</v>
      </c>
      <c r="AO7" s="76">
        <f>IF(SUM(S7:T7,V7:X7,Z7)-U7-Y7&gt;0,SUM(S7:T7,V7:X7,Z7)-U7-Y7,"")</f>
        <v>2.0000000000000001E-4</v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>
        <f>IF(SUM(AO7,AR7)&gt;0,SUM(AO7,AR7),"")</f>
        <v>2.0000000000000001E-4</v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>IF(SUM(BV7,BZ7)&gt;0,SUM(BV7,BZ7),"")</f>
        <v/>
      </c>
      <c r="CQ7" s="76" t="str">
        <f>IF(SUM(BU7:BV7,BX7:BZ7,CB7)-BW7-CA7&gt;0,SUM(BU7:BV7,BX7:BZ7,CB7)-BW7-CA7,"")</f>
        <v/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 t="str">
        <f>IF(SUM(CQ7,CT7)&gt;0,SUM(CQ7,CT7),"")</f>
        <v/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>
        <v>2.0000000000000001E-4</v>
      </c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>
        <f>IF(SUM(CY7,DC7)&gt;0,SUM(CY7,DC7),"")</f>
        <v>2.0000000000000001E-4</v>
      </c>
      <c r="DS7" s="76">
        <f>IF(SUM(CX7:CY7,DA7:DC7,DE7)-CZ7-DD7&gt;0,SUM(CX7:CY7,DA7:DC7,DE7)-CZ7-DD7,"")</f>
        <v>2.0000000000000001E-4</v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>
        <f>IF(SUM(DS7,DV7)&gt;0,SUM(DS7,DV7),"")</f>
        <v>2.0000000000000001E-4</v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0</v>
      </c>
      <c r="OY7" s="42">
        <f>IF($CO7="P",BV7,(BV7+AU7)/2)</f>
        <v>1E-4</v>
      </c>
      <c r="OZ7" s="42">
        <f>IF($CO7="P",BW7,(BW7+AV7)/2)</f>
        <v>0</v>
      </c>
      <c r="PA7" s="42">
        <f>IF($CO7="P",BX7,(BX7+AW7)/2)</f>
        <v>0</v>
      </c>
      <c r="PB7" s="42">
        <f>IF($CO7="P",BY7,(BY7+AX7)/2)</f>
        <v>0</v>
      </c>
      <c r="PC7" s="42">
        <f>IF($CO7="P",BZ7,(BZ7+AY7)/2)</f>
        <v>0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0</v>
      </c>
      <c r="PK7" s="42">
        <f>IF($CO7="P",CH7,(CH7+BG7)/2)</f>
        <v>0</v>
      </c>
      <c r="PL7" s="42">
        <f>IF($CO7="P",CI7,(CI7+BH7)/2)</f>
        <v>0</v>
      </c>
      <c r="PM7" s="42">
        <f>IF($CO7="P",CJ7,(CJ7+BI7)/2)</f>
        <v>0</v>
      </c>
      <c r="PN7" s="42">
        <f>IF($CO7="P",CK7,(CK7+BJ7)/2)</f>
        <v>0</v>
      </c>
      <c r="PO7" s="42">
        <f>IF($CO7="P",CL7,(CL7+BK7)/2)</f>
        <v>0</v>
      </c>
      <c r="PP7" s="42">
        <f>IF($CO7="P",CM7,(CM7+BL7)/2)</f>
        <v>0</v>
      </c>
      <c r="PQ7" s="42">
        <f>IF($CO7="P",CN7,(CN7+BM7)/2)</f>
        <v>0</v>
      </c>
      <c r="PR7" s="51" t="s">
        <v>61</v>
      </c>
      <c r="PS7" s="76">
        <f>IF(SUM(OY7,PC7)&gt;0,SUM(OY7,PC7),"")</f>
        <v>1E-4</v>
      </c>
      <c r="PT7" s="76">
        <f>IF(SUM(OX7:OY7,PA7:PC7,PE7)-OZ7-PD7&gt;0,SUM(OX7:OY7,PA7:PC7,PE7)-OZ7-PD7,"")</f>
        <v>1E-4</v>
      </c>
      <c r="PU7" s="76" t="str">
        <f>IF(SUM(PF7:PG7,PI7)-PH7&gt;0,SUM(PF7:PG7,PI7)-PH7,"")</f>
        <v/>
      </c>
      <c r="PV7" s="76" t="str">
        <f>IF(SUM(PK7,PO7)&gt;0,SUM(PK7,PO7),"")</f>
        <v/>
      </c>
      <c r="PW7" s="76" t="str">
        <f>IF(SUM(PJ7:PK7,PM7:PO7,PQ7)-SUM(PL7,PP7)&gt;0,SUM(PJ7:PK7,PM7:PO7,PQ7)-SUM(PL7,PP7),"")</f>
        <v/>
      </c>
      <c r="PX7" s="76">
        <f>IF(SUM(PT7,PW7)&gt;0,SUM(PT7,PW7),"")</f>
        <v>1E-4</v>
      </c>
    </row>
    <row r="8" spans="1:440" ht="17" x14ac:dyDescent="0.2">
      <c r="P8" s="15"/>
      <c r="Q8" s="15"/>
      <c r="R8" s="15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</row>
    <row r="9" spans="1:440" ht="17" x14ac:dyDescent="0.2">
      <c r="P9" s="15"/>
      <c r="Q9" s="15"/>
      <c r="R9" s="15"/>
    </row>
    <row r="10" spans="1:440" ht="17" x14ac:dyDescent="0.2">
      <c r="B10" s="43" t="s">
        <v>58</v>
      </c>
      <c r="P10" s="15"/>
      <c r="Q10" s="15"/>
      <c r="R10" s="15"/>
      <c r="AN10" s="7"/>
      <c r="AS10" s="78">
        <v>2.0000000000000001E-4</v>
      </c>
      <c r="BO10" s="7"/>
      <c r="BT10" s="78">
        <v>2.0000000000000001E-4</v>
      </c>
      <c r="CP10" s="7"/>
      <c r="CU10" s="78">
        <v>8.6</v>
      </c>
      <c r="DR10" s="7"/>
      <c r="DW10" s="78">
        <v>1E-4</v>
      </c>
      <c r="ER10" s="7"/>
      <c r="EW10" s="78">
        <v>8.6</v>
      </c>
      <c r="FR10" s="7"/>
      <c r="FW10" s="78">
        <v>8.6</v>
      </c>
      <c r="GR10" s="7"/>
      <c r="GW10" s="78">
        <v>8.6</v>
      </c>
      <c r="HR10" s="7"/>
      <c r="HW10" s="78">
        <v>8.6</v>
      </c>
      <c r="IR10" s="7"/>
      <c r="IW10" s="78">
        <v>8.6</v>
      </c>
      <c r="JR10" s="7"/>
      <c r="JW10" s="78">
        <v>8.6</v>
      </c>
      <c r="KR10" s="7"/>
      <c r="KW10" s="78">
        <v>8.6</v>
      </c>
      <c r="LR10" s="7"/>
      <c r="LW10" s="78">
        <v>8.6</v>
      </c>
      <c r="MR10" s="7"/>
      <c r="MW10" s="78">
        <v>8.6</v>
      </c>
      <c r="NR10" s="7"/>
      <c r="NW10" s="78">
        <v>8.6</v>
      </c>
      <c r="OR10" s="7"/>
      <c r="OW10" s="78">
        <v>8.6</v>
      </c>
    </row>
    <row r="11" spans="1:440" ht="17" x14ac:dyDescent="0.2">
      <c r="B11" s="54" t="s">
        <v>57</v>
      </c>
      <c r="P11" s="15"/>
      <c r="Q11" s="15"/>
      <c r="R11" s="15"/>
      <c r="AN11" s="7"/>
      <c r="AS11" s="93">
        <v>2.0000000000000001E-4</v>
      </c>
      <c r="BO11" s="7"/>
      <c r="BT11" s="93">
        <v>2.0000000000000001E-4</v>
      </c>
      <c r="CP11" s="7"/>
      <c r="CU11" s="93">
        <v>8.6</v>
      </c>
      <c r="DR11" s="7"/>
      <c r="DW11" s="93">
        <v>2.0000000000000001E-4</v>
      </c>
      <c r="ER11" s="7"/>
      <c r="EW11" s="93">
        <v>8.6</v>
      </c>
      <c r="FR11" s="7"/>
      <c r="FW11" s="93">
        <v>8.6</v>
      </c>
      <c r="GR11" s="7"/>
      <c r="GW11" s="93">
        <v>8.6</v>
      </c>
      <c r="HR11" s="7"/>
      <c r="HW11" s="93">
        <v>8.6</v>
      </c>
      <c r="IR11" s="7"/>
      <c r="IW11" s="93">
        <v>8.6</v>
      </c>
      <c r="JR11" s="7"/>
      <c r="JW11" s="93">
        <v>8.6</v>
      </c>
      <c r="KR11" s="7"/>
      <c r="KW11" s="93">
        <v>8.6</v>
      </c>
      <c r="LR11" s="7"/>
      <c r="LW11" s="93">
        <v>8.6</v>
      </c>
      <c r="MR11" s="7"/>
      <c r="MW11" s="93">
        <v>8.6</v>
      </c>
      <c r="NR11" s="7"/>
      <c r="NW11" s="93">
        <v>8.6</v>
      </c>
      <c r="OR11" s="7"/>
      <c r="OW11" s="93">
        <v>8.6</v>
      </c>
    </row>
    <row r="12" spans="1:440" ht="17" x14ac:dyDescent="0.2">
      <c r="A12" s="35"/>
      <c r="B12" s="55" t="s">
        <v>71</v>
      </c>
      <c r="C12" s="34"/>
      <c r="P12" s="15"/>
      <c r="Q12" s="15"/>
      <c r="R12" s="15"/>
      <c r="AN12" s="7"/>
      <c r="AS12" s="80">
        <v>2.9999999999999997E-4</v>
      </c>
      <c r="BO12" s="7"/>
      <c r="BT12" s="80">
        <v>2.9999999999999997E-4</v>
      </c>
      <c r="CP12" s="7"/>
      <c r="CU12" s="80">
        <v>8.6</v>
      </c>
      <c r="DR12" s="7"/>
      <c r="DW12" s="80">
        <v>2.9999999999999997E-4</v>
      </c>
      <c r="ER12" s="7"/>
      <c r="EW12" s="80">
        <v>8.6</v>
      </c>
      <c r="FR12" s="7"/>
      <c r="FW12" s="80">
        <v>8.6</v>
      </c>
      <c r="GR12" s="7"/>
      <c r="GW12" s="80">
        <v>8.6</v>
      </c>
      <c r="HR12" s="7"/>
      <c r="HW12" s="80">
        <v>8.6</v>
      </c>
      <c r="IR12" s="7"/>
      <c r="IW12" s="80">
        <v>8.6</v>
      </c>
      <c r="JR12" s="7"/>
      <c r="JW12" s="80">
        <v>8.6</v>
      </c>
      <c r="KR12" s="7"/>
      <c r="KW12" s="80">
        <v>8.6</v>
      </c>
      <c r="LR12" s="7"/>
      <c r="LW12" s="80">
        <v>8.6</v>
      </c>
      <c r="MR12" s="7"/>
      <c r="MW12" s="80">
        <v>8.6</v>
      </c>
      <c r="NR12" s="7"/>
      <c r="NW12" s="80">
        <v>8.6</v>
      </c>
      <c r="OR12" s="7"/>
      <c r="OW12" s="80">
        <v>8.6</v>
      </c>
    </row>
    <row r="13" spans="1:440" ht="17" x14ac:dyDescent="0.2">
      <c r="A13" s="35"/>
      <c r="B13" s="66" t="s">
        <v>86</v>
      </c>
      <c r="C13" s="34"/>
      <c r="P13" s="15"/>
      <c r="Q13" s="15"/>
      <c r="R13" s="15"/>
      <c r="AN13" s="7"/>
      <c r="AS13" s="81">
        <v>2.9999999999999997E-4</v>
      </c>
      <c r="BO13" s="7"/>
      <c r="BT13" s="81">
        <v>2.9999999999999997E-4</v>
      </c>
      <c r="CP13" s="7"/>
      <c r="CU13" s="81">
        <v>10.6</v>
      </c>
      <c r="DR13" s="7"/>
      <c r="DW13" s="81">
        <v>2.9999999999999997E-4</v>
      </c>
      <c r="ER13" s="7"/>
      <c r="EW13" s="81">
        <v>10.6</v>
      </c>
      <c r="FR13" s="7"/>
      <c r="FW13" s="81">
        <v>10.6</v>
      </c>
      <c r="GR13" s="7"/>
      <c r="GW13" s="81">
        <v>10.6</v>
      </c>
      <c r="HR13" s="7"/>
      <c r="HW13" s="81">
        <v>10.6</v>
      </c>
      <c r="IR13" s="7"/>
      <c r="IW13" s="81">
        <v>10.6</v>
      </c>
      <c r="JR13" s="7"/>
      <c r="JW13" s="81">
        <v>10.6</v>
      </c>
      <c r="KR13" s="7"/>
      <c r="KW13" s="81">
        <v>10.6</v>
      </c>
      <c r="LR13" s="7"/>
      <c r="LW13" s="81">
        <v>10.6</v>
      </c>
      <c r="MR13" s="7"/>
      <c r="MW13" s="81">
        <v>10.6</v>
      </c>
      <c r="NR13" s="7"/>
      <c r="NW13" s="81">
        <v>10.6</v>
      </c>
      <c r="OR13" s="7"/>
      <c r="OW13" s="81">
        <v>10.6</v>
      </c>
    </row>
    <row r="14" spans="1:440" ht="17" x14ac:dyDescent="0.2">
      <c r="A14" s="35"/>
      <c r="B14" s="65" t="s">
        <v>55</v>
      </c>
      <c r="C14" s="34"/>
      <c r="P14" s="15"/>
      <c r="Q14" s="15"/>
      <c r="R14" s="15"/>
      <c r="AN14" s="7"/>
      <c r="AS14" s="82">
        <v>4.0000000000000002E-4</v>
      </c>
      <c r="BO14" s="7"/>
      <c r="BT14" s="82">
        <v>2.9999999999999997E-4</v>
      </c>
      <c r="CP14" s="7"/>
      <c r="CU14" s="82">
        <v>42.6</v>
      </c>
      <c r="DR14" s="7"/>
      <c r="DW14" s="82">
        <v>4.0000000000000002E-4</v>
      </c>
      <c r="ER14" s="7"/>
      <c r="EW14" s="82">
        <v>42.6</v>
      </c>
      <c r="FR14" s="7"/>
      <c r="FW14" s="82">
        <v>42.6</v>
      </c>
      <c r="GR14" s="7"/>
      <c r="GW14" s="82">
        <v>42.6</v>
      </c>
      <c r="HR14" s="7"/>
      <c r="HW14" s="82">
        <v>42.6</v>
      </c>
      <c r="IR14" s="7"/>
      <c r="IW14" s="82">
        <v>42.6</v>
      </c>
      <c r="JR14" s="7"/>
      <c r="JW14" s="82">
        <v>42.6</v>
      </c>
      <c r="KR14" s="7"/>
      <c r="KW14" s="82">
        <v>42.6</v>
      </c>
      <c r="LR14" s="7"/>
      <c r="LW14" s="82">
        <v>42.6</v>
      </c>
      <c r="MR14" s="7"/>
      <c r="MW14" s="82">
        <v>42.6</v>
      </c>
      <c r="NR14" s="7"/>
      <c r="NW14" s="82">
        <v>42.6</v>
      </c>
      <c r="OR14" s="7"/>
      <c r="OW14" s="82">
        <v>42.6</v>
      </c>
    </row>
    <row r="15" spans="1:440" ht="17" x14ac:dyDescent="0.2">
      <c r="A15" s="35"/>
      <c r="B15" s="44" t="s">
        <v>56</v>
      </c>
      <c r="C15" s="34"/>
      <c r="P15" s="15"/>
      <c r="Q15" s="15"/>
      <c r="R15" s="15"/>
      <c r="AN15" s="7"/>
      <c r="AS15" s="83">
        <v>4.0000000000000002E-4</v>
      </c>
      <c r="BO15" s="7"/>
      <c r="BT15" s="83">
        <v>4.0000000000000002E-4</v>
      </c>
      <c r="CP15" s="7"/>
      <c r="CU15" s="83">
        <v>43.4</v>
      </c>
      <c r="DR15" s="7"/>
      <c r="DW15" s="83">
        <v>4.0000000000000002E-4</v>
      </c>
      <c r="ER15" s="7"/>
      <c r="EW15" s="83">
        <v>43.4</v>
      </c>
      <c r="FR15" s="7"/>
      <c r="FW15" s="83">
        <v>43.4</v>
      </c>
      <c r="GR15" s="7"/>
      <c r="GW15" s="83">
        <v>43.4</v>
      </c>
      <c r="HR15" s="7"/>
      <c r="HW15" s="83">
        <v>43.4</v>
      </c>
      <c r="IR15" s="7"/>
      <c r="IW15" s="83">
        <v>43.4</v>
      </c>
      <c r="JR15" s="7"/>
      <c r="JW15" s="83">
        <v>43.4</v>
      </c>
      <c r="KR15" s="7"/>
      <c r="KW15" s="83">
        <v>43.4</v>
      </c>
      <c r="LR15" s="7"/>
      <c r="LW15" s="83">
        <v>43.4</v>
      </c>
      <c r="MR15" s="7"/>
      <c r="MW15" s="83">
        <v>43.4</v>
      </c>
      <c r="NR15" s="7"/>
      <c r="NW15" s="83">
        <v>43.4</v>
      </c>
      <c r="OR15" s="7"/>
      <c r="OW15" s="83">
        <v>43.4</v>
      </c>
    </row>
    <row r="16" spans="1:440" ht="17" x14ac:dyDescent="0.2">
      <c r="A16" s="35"/>
      <c r="B16" s="64" t="s">
        <v>70</v>
      </c>
      <c r="C16" s="34"/>
      <c r="P16" s="15"/>
      <c r="Q16" s="15"/>
      <c r="R16" s="15"/>
      <c r="AN16" s="7"/>
      <c r="AS16" s="84">
        <v>4.0000000000000002E-4</v>
      </c>
      <c r="BO16" s="7"/>
      <c r="BT16" s="84">
        <v>4.0000000000000002E-4</v>
      </c>
      <c r="CP16" s="7"/>
      <c r="CU16" s="84">
        <v>44.6</v>
      </c>
      <c r="DR16" s="7"/>
      <c r="DW16" s="84">
        <v>4.0000000000000002E-4</v>
      </c>
      <c r="ER16" s="7"/>
      <c r="EW16" s="84">
        <v>44.6</v>
      </c>
      <c r="FR16" s="7"/>
      <c r="FW16" s="84">
        <v>44.6</v>
      </c>
      <c r="GR16" s="7"/>
      <c r="GW16" s="84">
        <v>44.6</v>
      </c>
      <c r="HR16" s="7"/>
      <c r="HW16" s="84">
        <v>44.6</v>
      </c>
      <c r="IR16" s="7"/>
      <c r="IW16" s="84">
        <v>44.6</v>
      </c>
      <c r="JR16" s="7"/>
      <c r="JW16" s="84">
        <v>44.6</v>
      </c>
      <c r="KR16" s="7"/>
      <c r="KW16" s="84">
        <v>44.6</v>
      </c>
      <c r="LR16" s="7"/>
      <c r="LW16" s="84">
        <v>44.6</v>
      </c>
      <c r="MR16" s="7"/>
      <c r="MW16" s="84">
        <v>44.6</v>
      </c>
      <c r="NR16" s="7"/>
      <c r="NW16" s="84">
        <v>44.6</v>
      </c>
      <c r="OR16" s="7"/>
      <c r="OW16" s="84">
        <v>44.6</v>
      </c>
    </row>
    <row r="17" spans="1:413" ht="17" x14ac:dyDescent="0.2">
      <c r="A17" s="35"/>
      <c r="B17" s="45" t="s">
        <v>39</v>
      </c>
      <c r="C17" s="34"/>
      <c r="P17" s="15"/>
      <c r="Q17" s="15"/>
      <c r="R17" s="15"/>
      <c r="AN17" s="7"/>
      <c r="AP17" s="70" t="s">
        <v>174</v>
      </c>
      <c r="AS17" s="85">
        <v>4.0000000000000002E-4</v>
      </c>
      <c r="BO17" s="7"/>
      <c r="BQ17" s="70" t="s">
        <v>174</v>
      </c>
      <c r="BT17" s="85">
        <v>4.0000000000000002E-4</v>
      </c>
      <c r="CP17" s="7"/>
      <c r="CU17" s="85">
        <v>46</v>
      </c>
      <c r="DR17" s="7"/>
      <c r="DT17" s="70" t="s">
        <v>174</v>
      </c>
      <c r="DW17" s="85">
        <v>4.0000000000000002E-4</v>
      </c>
      <c r="ER17" s="7"/>
      <c r="EW17" s="85">
        <v>46</v>
      </c>
      <c r="FR17" s="7"/>
      <c r="FW17" s="85">
        <v>46</v>
      </c>
      <c r="GR17" s="7"/>
      <c r="GW17" s="85">
        <v>46</v>
      </c>
      <c r="HR17" s="7"/>
      <c r="HW17" s="85">
        <v>46</v>
      </c>
      <c r="IR17" s="7"/>
      <c r="IW17" s="85">
        <v>46</v>
      </c>
      <c r="JR17" s="7"/>
      <c r="JW17" s="85">
        <v>46</v>
      </c>
      <c r="KR17" s="7"/>
      <c r="KW17" s="85">
        <v>46</v>
      </c>
      <c r="LR17" s="7"/>
      <c r="LW17" s="85">
        <v>46</v>
      </c>
      <c r="MR17" s="7"/>
      <c r="MW17" s="85">
        <v>46</v>
      </c>
      <c r="NR17" s="7"/>
      <c r="NW17" s="85">
        <v>46</v>
      </c>
      <c r="OR17" s="7"/>
      <c r="OW17" s="85">
        <v>46</v>
      </c>
    </row>
    <row r="18" spans="1:413" x14ac:dyDescent="0.2">
      <c r="B18" s="53" t="s">
        <v>62</v>
      </c>
      <c r="C18" s="2"/>
    </row>
    <row r="19" spans="1:413" x14ac:dyDescent="0.2">
      <c r="A19" s="35"/>
      <c r="B19" s="35"/>
      <c r="C19" s="34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6"/>
      <c r="B22" s="6"/>
      <c r="C22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7">
      <sortCondition descending="1" ref="F1:F8"/>
    </sortState>
  </autoFilter>
  <mergeCells count="115"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</mergeCells>
  <conditionalFormatting sqref="S4:AS7">
    <cfRule type="expression" dxfId="91" priority="5" stopIfTrue="1">
      <formula>IF($AM4&lt;&gt;"",1,0)</formula>
    </cfRule>
  </conditionalFormatting>
  <conditionalFormatting sqref="AT4:BT7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7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">
    <cfRule type="cellIs" dxfId="79" priority="49846" operator="between">
      <formula>OW$13</formula>
      <formula>1000</formula>
    </cfRule>
    <cfRule type="cellIs" dxfId="78" priority="49847" operator="between">
      <formula>OW$12</formula>
      <formula>OW$13</formula>
    </cfRule>
    <cfRule type="cellIs" dxfId="77" priority="49848" operator="between">
      <formula>OW$11</formula>
      <formula>OW$12</formula>
    </cfRule>
    <cfRule type="cellIs" dxfId="76" priority="49849" operator="between">
      <formula>OW$10</formula>
      <formula>OW$11</formula>
    </cfRule>
  </conditionalFormatting>
  <conditionalFormatting sqref="AN1:AN1048576 BO1:BO1048576 CP1:CP1048576 DR1:DR1048576 ER1:ER1048576 FR1:FR1048576 GR1:GR1048576 HR1:HR1048576 IR1:IR1048576 JR1:JR1048576 KR1:KR1048576 LR1:LR1048576 MR1:MR1048576 NR1:NR1048576">
    <cfRule type="cellIs" dxfId="75" priority="57242" operator="between">
      <formula>AS$13</formula>
      <formula>1000</formula>
    </cfRule>
    <cfRule type="cellIs" dxfId="74" priority="57243" operator="between">
      <formula>AS$12</formula>
      <formula>AS$13</formula>
    </cfRule>
    <cfRule type="cellIs" dxfId="73" priority="57244" operator="between">
      <formula>AS$11</formula>
      <formula>AS$12</formula>
    </cfRule>
    <cfRule type="cellIs" dxfId="72" priority="57245" operator="between">
      <formula>AS$10</formula>
      <formula>AS$11</formula>
    </cfRule>
  </conditionalFormatting>
  <conditionalFormatting sqref="OS1:OS1048576">
    <cfRule type="cellIs" dxfId="71" priority="50026" operator="between">
      <formula>OW$17</formula>
      <formula>1000</formula>
    </cfRule>
    <cfRule type="cellIs" dxfId="70" priority="50027" operator="between">
      <formula>OW$16</formula>
      <formula>OW$17</formula>
    </cfRule>
    <cfRule type="cellIs" dxfId="69" priority="50028" operator="between">
      <formula>OW$15</formula>
      <formula>OW$16</formula>
    </cfRule>
    <cfRule type="cellIs" dxfId="68" priority="50029" operator="between">
      <formula>OW$14</formula>
      <formula>OW$15</formula>
    </cfRule>
  </conditionalFormatting>
  <conditionalFormatting sqref="AO1:AO1048576 BP1:BP1048576 CQ1:CQ1048576 DS1:DS1048576 ES1:ES1048576 FS1:FS1048576 GS1:GS1048576 HS1:HS1048576 IS1:IS1048576 JS1:JS1048576 KS1:KS1048576 LS1:LS1048576 MS1:MS1048576 NS1:NS1048576">
    <cfRule type="cellIs" dxfId="67" priority="57246" operator="between">
      <formula>AS$17</formula>
      <formula>1000</formula>
    </cfRule>
    <cfRule type="cellIs" dxfId="66" priority="57247" operator="between">
      <formula>AS$16</formula>
      <formula>AS$17</formula>
    </cfRule>
    <cfRule type="cellIs" dxfId="65" priority="57248" operator="between">
      <formula>AS$15</formula>
      <formula>AS$16</formula>
    </cfRule>
    <cfRule type="cellIs" dxfId="64" priority="57249" operator="between">
      <formula>AS$14</formula>
      <formula>AS$15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AS$10</formula>
      <formula>AS$11</formula>
    </cfRule>
    <cfRule type="cellIs" dxfId="62" priority="7" operator="between">
      <formula>AS$11</formula>
      <formula>AS$12</formula>
    </cfRule>
    <cfRule type="cellIs" dxfId="61" priority="8" operator="between">
      <formula>AS$12</formula>
      <formula>AS$13</formula>
    </cfRule>
    <cfRule type="cellIs" dxfId="60" priority="9" operator="between">
      <formula>AS$13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AS$14</formula>
      <formula>AS$15</formula>
    </cfRule>
    <cfRule type="cellIs" dxfId="58" priority="2" operator="between">
      <formula>AS$15</formula>
      <formula>AS$16</formula>
    </cfRule>
    <cfRule type="cellIs" dxfId="57" priority="3" operator="between">
      <formula>AS$16</formula>
      <formula>AS$17</formula>
    </cfRule>
    <cfRule type="cellIs" dxfId="56" priority="4" operator="between">
      <formula>AS$17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3" t="s">
        <v>12</v>
      </c>
      <c r="H1" s="112" t="s">
        <v>13</v>
      </c>
      <c r="I1" s="113" t="s">
        <v>96</v>
      </c>
      <c r="J1" s="118" t="s">
        <v>155</v>
      </c>
      <c r="K1" s="114" t="s">
        <v>37</v>
      </c>
      <c r="L1" s="118" t="s">
        <v>156</v>
      </c>
      <c r="M1" s="114" t="s">
        <v>37</v>
      </c>
      <c r="N1" s="118" t="s">
        <v>157</v>
      </c>
      <c r="O1" s="114" t="s">
        <v>37</v>
      </c>
      <c r="P1" s="118" t="s">
        <v>158</v>
      </c>
      <c r="Q1" s="114" t="s">
        <v>37</v>
      </c>
      <c r="R1" s="114" t="s">
        <v>14</v>
      </c>
      <c r="S1" s="114" t="s">
        <v>37</v>
      </c>
      <c r="T1" s="117" t="s">
        <v>15</v>
      </c>
      <c r="U1" s="114" t="s">
        <v>38</v>
      </c>
      <c r="V1" s="114" t="s">
        <v>37</v>
      </c>
      <c r="W1" s="115" t="s">
        <v>104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111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146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68</v>
      </c>
      <c r="DG1" s="121"/>
      <c r="DH1" s="121"/>
      <c r="DI1" s="115" t="s">
        <v>114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172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175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176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72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147</v>
      </c>
      <c r="X2" s="116"/>
      <c r="Y2" s="116"/>
      <c r="Z2" s="116"/>
      <c r="AA2" s="116" t="s">
        <v>148</v>
      </c>
      <c r="AB2" s="116"/>
      <c r="AC2" s="116"/>
      <c r="AD2" s="116"/>
      <c r="AE2" s="116" t="s">
        <v>149</v>
      </c>
      <c r="AF2" s="116"/>
      <c r="AG2" s="116"/>
      <c r="AH2" s="116"/>
      <c r="AI2" s="116" t="s">
        <v>150</v>
      </c>
      <c r="AJ2" s="116"/>
      <c r="AK2" s="116"/>
      <c r="AL2" s="116"/>
      <c r="AM2" s="122" t="s">
        <v>151</v>
      </c>
      <c r="AN2" s="122"/>
      <c r="AO2" s="122"/>
      <c r="AP2" s="122"/>
      <c r="AQ2" s="88"/>
      <c r="AR2" s="88" t="s">
        <v>152</v>
      </c>
      <c r="AS2" s="88" t="s">
        <v>153</v>
      </c>
      <c r="AT2" s="88" t="s">
        <v>149</v>
      </c>
      <c r="AU2" s="94" t="s">
        <v>159</v>
      </c>
      <c r="AV2" s="94" t="s">
        <v>25</v>
      </c>
      <c r="AW2" s="88" t="s">
        <v>76</v>
      </c>
      <c r="AX2" s="88" t="s">
        <v>154</v>
      </c>
      <c r="AY2" s="88" t="s">
        <v>19</v>
      </c>
      <c r="AZ2" s="119" t="s">
        <v>147</v>
      </c>
      <c r="BA2" s="119"/>
      <c r="BB2" s="119"/>
      <c r="BC2" s="119"/>
      <c r="BD2" s="119" t="s">
        <v>148</v>
      </c>
      <c r="BE2" s="119"/>
      <c r="BF2" s="119"/>
      <c r="BG2" s="119"/>
      <c r="BH2" s="119" t="s">
        <v>149</v>
      </c>
      <c r="BI2" s="119"/>
      <c r="BJ2" s="119"/>
      <c r="BK2" s="119"/>
      <c r="BL2" s="119" t="s">
        <v>150</v>
      </c>
      <c r="BM2" s="119"/>
      <c r="BN2" s="119"/>
      <c r="BO2" s="119"/>
      <c r="BP2" s="123" t="s">
        <v>151</v>
      </c>
      <c r="BQ2" s="123"/>
      <c r="BR2" s="123"/>
      <c r="BS2" s="123"/>
      <c r="BT2" s="89"/>
      <c r="BU2" s="89" t="s">
        <v>152</v>
      </c>
      <c r="BV2" s="89" t="s">
        <v>153</v>
      </c>
      <c r="BW2" s="89" t="s">
        <v>149</v>
      </c>
      <c r="BX2" s="95" t="s">
        <v>159</v>
      </c>
      <c r="BY2" s="95" t="s">
        <v>25</v>
      </c>
      <c r="BZ2" s="89" t="s">
        <v>76</v>
      </c>
      <c r="CA2" s="89" t="s">
        <v>154</v>
      </c>
      <c r="CB2" s="89" t="s">
        <v>19</v>
      </c>
      <c r="CC2" s="116" t="s">
        <v>147</v>
      </c>
      <c r="CD2" s="116"/>
      <c r="CE2" s="116"/>
      <c r="CF2" s="116"/>
      <c r="CG2" s="116" t="s">
        <v>148</v>
      </c>
      <c r="CH2" s="116"/>
      <c r="CI2" s="116"/>
      <c r="CJ2" s="116"/>
      <c r="CK2" s="116" t="s">
        <v>149</v>
      </c>
      <c r="CL2" s="116"/>
      <c r="CM2" s="116"/>
      <c r="CN2" s="116"/>
      <c r="CO2" s="116" t="s">
        <v>150</v>
      </c>
      <c r="CP2" s="116"/>
      <c r="CQ2" s="116"/>
      <c r="CR2" s="116"/>
      <c r="CS2" s="122" t="s">
        <v>151</v>
      </c>
      <c r="CT2" s="122"/>
      <c r="CU2" s="122"/>
      <c r="CV2" s="122"/>
      <c r="CW2" s="88"/>
      <c r="CX2" s="88" t="s">
        <v>152</v>
      </c>
      <c r="CY2" s="88" t="s">
        <v>153</v>
      </c>
      <c r="CZ2" s="88" t="s">
        <v>149</v>
      </c>
      <c r="DA2" s="94" t="s">
        <v>159</v>
      </c>
      <c r="DB2" s="94" t="s">
        <v>25</v>
      </c>
      <c r="DC2" s="88" t="s">
        <v>76</v>
      </c>
      <c r="DD2" s="88" t="s">
        <v>154</v>
      </c>
      <c r="DE2" s="88" t="s">
        <v>19</v>
      </c>
      <c r="DF2" s="86" t="s">
        <v>153</v>
      </c>
      <c r="DG2" s="86" t="s">
        <v>149</v>
      </c>
      <c r="DH2" s="86" t="s">
        <v>24</v>
      </c>
      <c r="DI2" s="116" t="s">
        <v>147</v>
      </c>
      <c r="DJ2" s="116"/>
      <c r="DK2" s="116"/>
      <c r="DL2" s="116"/>
      <c r="DM2" s="116" t="s">
        <v>148</v>
      </c>
      <c r="DN2" s="116"/>
      <c r="DO2" s="116"/>
      <c r="DP2" s="116"/>
      <c r="DQ2" s="116" t="s">
        <v>149</v>
      </c>
      <c r="DR2" s="116"/>
      <c r="DS2" s="116"/>
      <c r="DT2" s="116"/>
      <c r="DU2" s="116" t="s">
        <v>150</v>
      </c>
      <c r="DV2" s="116"/>
      <c r="DW2" s="116"/>
      <c r="DX2" s="116"/>
      <c r="DY2" s="124" t="s">
        <v>151</v>
      </c>
      <c r="DZ2" s="124"/>
      <c r="EA2" s="124"/>
      <c r="EB2" s="124"/>
      <c r="EC2" s="88" t="s">
        <v>152</v>
      </c>
      <c r="ED2" s="88" t="s">
        <v>153</v>
      </c>
      <c r="EE2" s="88" t="s">
        <v>149</v>
      </c>
      <c r="EF2" s="94" t="s">
        <v>159</v>
      </c>
      <c r="EG2" s="94" t="s">
        <v>25</v>
      </c>
      <c r="EH2" s="88" t="s">
        <v>76</v>
      </c>
      <c r="EI2" s="88" t="s">
        <v>154</v>
      </c>
      <c r="EJ2" s="88" t="s">
        <v>19</v>
      </c>
      <c r="EK2" s="119" t="s">
        <v>147</v>
      </c>
      <c r="EL2" s="119"/>
      <c r="EM2" s="119"/>
      <c r="EN2" s="119"/>
      <c r="EO2" s="119" t="s">
        <v>148</v>
      </c>
      <c r="EP2" s="119"/>
      <c r="EQ2" s="119"/>
      <c r="ER2" s="119"/>
      <c r="ES2" s="119" t="s">
        <v>149</v>
      </c>
      <c r="ET2" s="119"/>
      <c r="EU2" s="119"/>
      <c r="EV2" s="119"/>
      <c r="EW2" s="119" t="s">
        <v>150</v>
      </c>
      <c r="EX2" s="119"/>
      <c r="EY2" s="119"/>
      <c r="EZ2" s="119"/>
      <c r="FA2" s="123" t="s">
        <v>151</v>
      </c>
      <c r="FB2" s="123"/>
      <c r="FC2" s="123"/>
      <c r="FD2" s="123"/>
      <c r="FE2" s="89" t="s">
        <v>152</v>
      </c>
      <c r="FF2" s="89" t="s">
        <v>153</v>
      </c>
      <c r="FG2" s="89" t="s">
        <v>149</v>
      </c>
      <c r="FH2" s="95" t="s">
        <v>159</v>
      </c>
      <c r="FI2" s="95" t="s">
        <v>25</v>
      </c>
      <c r="FJ2" s="89" t="s">
        <v>76</v>
      </c>
      <c r="FK2" s="89" t="s">
        <v>154</v>
      </c>
      <c r="FL2" s="89" t="s">
        <v>19</v>
      </c>
      <c r="FM2" s="116" t="s">
        <v>147</v>
      </c>
      <c r="FN2" s="116"/>
      <c r="FO2" s="116"/>
      <c r="FP2" s="116"/>
      <c r="FQ2" s="116" t="s">
        <v>148</v>
      </c>
      <c r="FR2" s="116"/>
      <c r="FS2" s="116"/>
      <c r="FT2" s="116"/>
      <c r="FU2" s="116" t="s">
        <v>149</v>
      </c>
      <c r="FV2" s="116"/>
      <c r="FW2" s="116"/>
      <c r="FX2" s="116"/>
      <c r="FY2" s="116" t="s">
        <v>150</v>
      </c>
      <c r="FZ2" s="116"/>
      <c r="GA2" s="116"/>
      <c r="GB2" s="116"/>
      <c r="GC2" s="124" t="s">
        <v>151</v>
      </c>
      <c r="GD2" s="124"/>
      <c r="GE2" s="124"/>
      <c r="GF2" s="124"/>
      <c r="GG2" s="88" t="s">
        <v>152</v>
      </c>
      <c r="GH2" s="88" t="s">
        <v>153</v>
      </c>
      <c r="GI2" s="88" t="s">
        <v>149</v>
      </c>
      <c r="GJ2" s="94" t="s">
        <v>159</v>
      </c>
      <c r="GK2" s="94" t="s">
        <v>25</v>
      </c>
      <c r="GL2" s="88" t="s">
        <v>76</v>
      </c>
      <c r="GM2" s="88" t="s">
        <v>154</v>
      </c>
      <c r="GN2" s="88" t="s">
        <v>19</v>
      </c>
      <c r="GO2" s="119" t="s">
        <v>147</v>
      </c>
      <c r="GP2" s="119"/>
      <c r="GQ2" s="119"/>
      <c r="GR2" s="119"/>
      <c r="GS2" s="119" t="s">
        <v>148</v>
      </c>
      <c r="GT2" s="119"/>
      <c r="GU2" s="119"/>
      <c r="GV2" s="119"/>
      <c r="GW2" s="119" t="s">
        <v>149</v>
      </c>
      <c r="GX2" s="119"/>
      <c r="GY2" s="119"/>
      <c r="GZ2" s="119"/>
      <c r="HA2" s="119" t="s">
        <v>150</v>
      </c>
      <c r="HB2" s="119"/>
      <c r="HC2" s="119"/>
      <c r="HD2" s="119"/>
      <c r="HE2" s="123" t="s">
        <v>151</v>
      </c>
      <c r="HF2" s="123"/>
      <c r="HG2" s="123"/>
      <c r="HH2" s="123"/>
      <c r="HI2" s="89" t="s">
        <v>152</v>
      </c>
      <c r="HJ2" s="89" t="s">
        <v>153</v>
      </c>
      <c r="HK2" s="89" t="s">
        <v>149</v>
      </c>
      <c r="HL2" s="95" t="s">
        <v>159</v>
      </c>
      <c r="HM2" s="95" t="s">
        <v>25</v>
      </c>
      <c r="HN2" s="89" t="s">
        <v>76</v>
      </c>
      <c r="HO2" s="89" t="s">
        <v>154</v>
      </c>
      <c r="HP2" s="89" t="s">
        <v>19</v>
      </c>
      <c r="HQ2" s="116" t="s">
        <v>147</v>
      </c>
      <c r="HR2" s="116"/>
      <c r="HS2" s="116"/>
      <c r="HT2" s="116"/>
      <c r="HU2" s="116" t="s">
        <v>148</v>
      </c>
      <c r="HV2" s="116"/>
      <c r="HW2" s="116"/>
      <c r="HX2" s="116"/>
      <c r="HY2" s="116" t="s">
        <v>149</v>
      </c>
      <c r="HZ2" s="116"/>
      <c r="IA2" s="116"/>
      <c r="IB2" s="116"/>
      <c r="IC2" s="116" t="s">
        <v>150</v>
      </c>
      <c r="ID2" s="116"/>
      <c r="IE2" s="116"/>
      <c r="IF2" s="116"/>
      <c r="IG2" s="124" t="s">
        <v>151</v>
      </c>
      <c r="IH2" s="124"/>
      <c r="II2" s="124"/>
      <c r="IJ2" s="124"/>
      <c r="IK2" s="88" t="s">
        <v>152</v>
      </c>
      <c r="IL2" s="88" t="s">
        <v>153</v>
      </c>
      <c r="IM2" s="88" t="s">
        <v>149</v>
      </c>
      <c r="IN2" s="94" t="s">
        <v>159</v>
      </c>
      <c r="IO2" s="94" t="s">
        <v>25</v>
      </c>
      <c r="IP2" s="88" t="s">
        <v>76</v>
      </c>
      <c r="IQ2" s="88" t="s">
        <v>154</v>
      </c>
      <c r="IR2" s="88" t="s">
        <v>19</v>
      </c>
      <c r="IS2" s="119" t="s">
        <v>147</v>
      </c>
      <c r="IT2" s="119"/>
      <c r="IU2" s="119"/>
      <c r="IV2" s="119"/>
      <c r="IW2" s="119" t="s">
        <v>148</v>
      </c>
      <c r="IX2" s="119"/>
      <c r="IY2" s="119"/>
      <c r="IZ2" s="119"/>
      <c r="JA2" s="119" t="s">
        <v>149</v>
      </c>
      <c r="JB2" s="119"/>
      <c r="JC2" s="119"/>
      <c r="JD2" s="119"/>
      <c r="JE2" s="119" t="s">
        <v>150</v>
      </c>
      <c r="JF2" s="119"/>
      <c r="JG2" s="119"/>
      <c r="JH2" s="119"/>
      <c r="JI2" s="123" t="s">
        <v>151</v>
      </c>
      <c r="JJ2" s="123"/>
      <c r="JK2" s="123"/>
      <c r="JL2" s="123"/>
      <c r="JM2" s="89" t="s">
        <v>152</v>
      </c>
      <c r="JN2" s="89" t="s">
        <v>153</v>
      </c>
      <c r="JO2" s="89" t="s">
        <v>149</v>
      </c>
      <c r="JP2" s="95" t="s">
        <v>159</v>
      </c>
      <c r="JQ2" s="95" t="s">
        <v>25</v>
      </c>
      <c r="JR2" s="89" t="s">
        <v>76</v>
      </c>
      <c r="JS2" s="89" t="s">
        <v>154</v>
      </c>
      <c r="JT2" s="89" t="s">
        <v>19</v>
      </c>
      <c r="JU2" s="116" t="s">
        <v>147</v>
      </c>
      <c r="JV2" s="116"/>
      <c r="JW2" s="116"/>
      <c r="JX2" s="116"/>
      <c r="JY2" s="116" t="s">
        <v>148</v>
      </c>
      <c r="JZ2" s="116"/>
      <c r="KA2" s="116"/>
      <c r="KB2" s="116"/>
      <c r="KC2" s="116" t="s">
        <v>149</v>
      </c>
      <c r="KD2" s="116"/>
      <c r="KE2" s="116"/>
      <c r="KF2" s="116"/>
      <c r="KG2" s="116" t="s">
        <v>150</v>
      </c>
      <c r="KH2" s="116"/>
      <c r="KI2" s="116"/>
      <c r="KJ2" s="116"/>
      <c r="KK2" s="124" t="s">
        <v>151</v>
      </c>
      <c r="KL2" s="124"/>
      <c r="KM2" s="124"/>
      <c r="KN2" s="124"/>
      <c r="KO2" s="88" t="s">
        <v>152</v>
      </c>
      <c r="KP2" s="88" t="s">
        <v>153</v>
      </c>
      <c r="KQ2" s="88" t="s">
        <v>149</v>
      </c>
      <c r="KR2" s="94" t="s">
        <v>159</v>
      </c>
      <c r="KS2" s="94" t="s">
        <v>25</v>
      </c>
      <c r="KT2" s="88" t="s">
        <v>76</v>
      </c>
      <c r="KU2" s="88" t="s">
        <v>154</v>
      </c>
      <c r="KV2" s="88" t="s">
        <v>19</v>
      </c>
      <c r="KW2" s="119" t="s">
        <v>147</v>
      </c>
      <c r="KX2" s="119"/>
      <c r="KY2" s="119"/>
      <c r="KZ2" s="119"/>
      <c r="LA2" s="119" t="s">
        <v>148</v>
      </c>
      <c r="LB2" s="119"/>
      <c r="LC2" s="119"/>
      <c r="LD2" s="119"/>
      <c r="LE2" s="119" t="s">
        <v>149</v>
      </c>
      <c r="LF2" s="119"/>
      <c r="LG2" s="119"/>
      <c r="LH2" s="119"/>
      <c r="LI2" s="119" t="s">
        <v>150</v>
      </c>
      <c r="LJ2" s="119"/>
      <c r="LK2" s="119"/>
      <c r="LL2" s="119"/>
      <c r="LM2" s="123" t="s">
        <v>151</v>
      </c>
      <c r="LN2" s="123"/>
      <c r="LO2" s="123"/>
      <c r="LP2" s="123"/>
      <c r="LQ2" s="89" t="s">
        <v>152</v>
      </c>
      <c r="LR2" s="89" t="s">
        <v>153</v>
      </c>
      <c r="LS2" s="89" t="s">
        <v>149</v>
      </c>
      <c r="LT2" s="95" t="s">
        <v>159</v>
      </c>
      <c r="LU2" s="95" t="s">
        <v>25</v>
      </c>
      <c r="LV2" s="89" t="s">
        <v>76</v>
      </c>
      <c r="LW2" s="89" t="s">
        <v>154</v>
      </c>
      <c r="LX2" s="89" t="s">
        <v>19</v>
      </c>
      <c r="LY2" s="116" t="s">
        <v>147</v>
      </c>
      <c r="LZ2" s="116"/>
      <c r="MA2" s="116"/>
      <c r="MB2" s="116"/>
      <c r="MC2" s="116" t="s">
        <v>148</v>
      </c>
      <c r="MD2" s="116"/>
      <c r="ME2" s="116"/>
      <c r="MF2" s="116"/>
      <c r="MG2" s="116" t="s">
        <v>149</v>
      </c>
      <c r="MH2" s="116"/>
      <c r="MI2" s="116"/>
      <c r="MJ2" s="116"/>
      <c r="MK2" s="116" t="s">
        <v>150</v>
      </c>
      <c r="ML2" s="116"/>
      <c r="MM2" s="116"/>
      <c r="MN2" s="116"/>
      <c r="MO2" s="124" t="s">
        <v>151</v>
      </c>
      <c r="MP2" s="124"/>
      <c r="MQ2" s="124"/>
      <c r="MR2" s="124"/>
      <c r="MS2" s="88" t="s">
        <v>152</v>
      </c>
      <c r="MT2" s="88" t="s">
        <v>153</v>
      </c>
      <c r="MU2" s="88" t="s">
        <v>149</v>
      </c>
      <c r="MV2" s="94" t="s">
        <v>159</v>
      </c>
      <c r="MW2" s="94" t="s">
        <v>25</v>
      </c>
      <c r="MX2" s="88" t="s">
        <v>76</v>
      </c>
      <c r="MY2" s="88" t="s">
        <v>154</v>
      </c>
      <c r="MZ2" s="88" t="s">
        <v>19</v>
      </c>
      <c r="NA2" s="119" t="s">
        <v>147</v>
      </c>
      <c r="NB2" s="119"/>
      <c r="NC2" s="119"/>
      <c r="ND2" s="119"/>
      <c r="NE2" s="119" t="s">
        <v>148</v>
      </c>
      <c r="NF2" s="119"/>
      <c r="NG2" s="119"/>
      <c r="NH2" s="119"/>
      <c r="NI2" s="119" t="s">
        <v>149</v>
      </c>
      <c r="NJ2" s="119"/>
      <c r="NK2" s="119"/>
      <c r="NL2" s="119"/>
      <c r="NM2" s="119" t="s">
        <v>150</v>
      </c>
      <c r="NN2" s="119"/>
      <c r="NO2" s="119"/>
      <c r="NP2" s="119"/>
      <c r="NQ2" s="123" t="s">
        <v>151</v>
      </c>
      <c r="NR2" s="123"/>
      <c r="NS2" s="123"/>
      <c r="NT2" s="123"/>
      <c r="NU2" s="89" t="s">
        <v>152</v>
      </c>
      <c r="NV2" s="89" t="s">
        <v>153</v>
      </c>
      <c r="NW2" s="89" t="s">
        <v>149</v>
      </c>
      <c r="NX2" s="95" t="s">
        <v>159</v>
      </c>
      <c r="NY2" s="95" t="s">
        <v>25</v>
      </c>
      <c r="NZ2" s="89" t="s">
        <v>76</v>
      </c>
      <c r="OA2" s="89" t="s">
        <v>154</v>
      </c>
      <c r="OB2" s="89" t="s">
        <v>19</v>
      </c>
      <c r="OC2" s="116" t="s">
        <v>147</v>
      </c>
      <c r="OD2" s="116"/>
      <c r="OE2" s="116"/>
      <c r="OF2" s="116"/>
      <c r="OG2" s="116" t="s">
        <v>148</v>
      </c>
      <c r="OH2" s="116"/>
      <c r="OI2" s="116"/>
      <c r="OJ2" s="116"/>
      <c r="OK2" s="116" t="s">
        <v>149</v>
      </c>
      <c r="OL2" s="116"/>
      <c r="OM2" s="116"/>
      <c r="ON2" s="116"/>
      <c r="OO2" s="116" t="s">
        <v>150</v>
      </c>
      <c r="OP2" s="116"/>
      <c r="OQ2" s="116"/>
      <c r="OR2" s="116"/>
      <c r="OS2" s="124" t="s">
        <v>151</v>
      </c>
      <c r="OT2" s="124"/>
      <c r="OU2" s="124"/>
      <c r="OV2" s="124"/>
      <c r="OW2" s="88" t="s">
        <v>152</v>
      </c>
      <c r="OX2" s="88" t="s">
        <v>153</v>
      </c>
      <c r="OY2" s="88" t="s">
        <v>149</v>
      </c>
      <c r="OZ2" s="94" t="s">
        <v>159</v>
      </c>
      <c r="PA2" s="94" t="s">
        <v>25</v>
      </c>
      <c r="PB2" s="88" t="s">
        <v>76</v>
      </c>
      <c r="PC2" s="88" t="s">
        <v>154</v>
      </c>
      <c r="PD2" s="88" t="s">
        <v>19</v>
      </c>
      <c r="PE2" s="119" t="s">
        <v>147</v>
      </c>
      <c r="PF2" s="119"/>
      <c r="PG2" s="119"/>
      <c r="PH2" s="119"/>
      <c r="PI2" s="119" t="s">
        <v>148</v>
      </c>
      <c r="PJ2" s="119"/>
      <c r="PK2" s="119"/>
      <c r="PL2" s="119"/>
      <c r="PM2" s="119" t="s">
        <v>149</v>
      </c>
      <c r="PN2" s="119"/>
      <c r="PO2" s="119"/>
      <c r="PP2" s="119"/>
      <c r="PQ2" s="119" t="s">
        <v>150</v>
      </c>
      <c r="PR2" s="119"/>
      <c r="PS2" s="119"/>
      <c r="PT2" s="119"/>
      <c r="PU2" s="123" t="s">
        <v>151</v>
      </c>
      <c r="PV2" s="123"/>
      <c r="PW2" s="123"/>
      <c r="PX2" s="123"/>
      <c r="PY2" s="89" t="s">
        <v>152</v>
      </c>
      <c r="PZ2" s="89" t="s">
        <v>153</v>
      </c>
      <c r="QA2" s="89" t="s">
        <v>149</v>
      </c>
      <c r="QB2" s="95" t="s">
        <v>159</v>
      </c>
      <c r="QC2" s="95" t="s">
        <v>25</v>
      </c>
      <c r="QD2" s="89" t="s">
        <v>76</v>
      </c>
      <c r="QE2" s="89" t="s">
        <v>154</v>
      </c>
      <c r="QF2" s="89" t="s">
        <v>19</v>
      </c>
      <c r="QG2" s="116" t="s">
        <v>147</v>
      </c>
      <c r="QH2" s="116"/>
      <c r="QI2" s="116"/>
      <c r="QJ2" s="116"/>
      <c r="QK2" s="116" t="s">
        <v>148</v>
      </c>
      <c r="QL2" s="116"/>
      <c r="QM2" s="116"/>
      <c r="QN2" s="116"/>
      <c r="QO2" s="116" t="s">
        <v>149</v>
      </c>
      <c r="QP2" s="116"/>
      <c r="QQ2" s="116"/>
      <c r="QR2" s="116"/>
      <c r="QS2" s="116" t="s">
        <v>150</v>
      </c>
      <c r="QT2" s="116"/>
      <c r="QU2" s="116"/>
      <c r="QV2" s="116"/>
      <c r="QW2" s="122" t="s">
        <v>151</v>
      </c>
      <c r="QX2" s="122"/>
      <c r="QY2" s="122"/>
      <c r="QZ2" s="122"/>
      <c r="RA2" s="88"/>
      <c r="RB2" s="88" t="s">
        <v>152</v>
      </c>
      <c r="RC2" s="88" t="s">
        <v>153</v>
      </c>
      <c r="RD2" s="88" t="s">
        <v>149</v>
      </c>
      <c r="RE2" s="94" t="s">
        <v>159</v>
      </c>
      <c r="RF2" s="94" t="s">
        <v>25</v>
      </c>
      <c r="RG2" s="88" t="s">
        <v>76</v>
      </c>
      <c r="RH2" s="88" t="s">
        <v>154</v>
      </c>
      <c r="RI2" s="88" t="s">
        <v>19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IF(AND(F4="P",G4="P"),SUMPRODUCT((F$4:F$18="P")*(G$4:G$18="P")*(E$4:E$18&gt;E4))+1,IF(G4="P",SUMPRODUCT((F$4:F$18="")*(G$4:G$18="P")*(E$4:E$18&gt;E4))+1+SUMPRODUCT((F$4:F$18="P")*(G$4:G$18="P")),""))</f>
        <v>1</v>
      </c>
      <c r="B4" s="6" t="s">
        <v>98</v>
      </c>
      <c r="C4" s="7" t="s">
        <v>6</v>
      </c>
      <c r="D4" s="18">
        <v>2003</v>
      </c>
      <c r="E4" s="14">
        <f>SUM(J4:T4)+SUM(J4:P4)*0.0000001+SUM(J4)*0.0000000000001</f>
        <v>134.04008790401329</v>
      </c>
      <c r="F4" s="3" t="str">
        <f>IF(OR(AND(AR4&gt;=AY$20,AS4&gt;=AY$24,AR4&lt;&gt;"",AQ4=""),AND(AW4&gt;=AY$20,AX4&gt;=AY$24,AW4&lt;&gt;"",AQ4=""),AND(BU4&gt;=CB$20,BV4&gt;=CB$24,BU4&lt;&gt;"",BT4=""),AND(BZ4&gt;=CB$20,CA4&gt;=CB$24,BZ4&lt;&gt;"",BT4=""),AND(CX4&gt;=DE$20,CY4&gt;=DE$24,CX4&lt;&gt;"",CW4=""),AND(DC4&gt;=DE$20,DD4&gt;=DE$24,DC4&lt;&gt;""),AND(EC4&gt;=EJ$20,ED4&gt;=EJ$24,EC4&lt;&gt;""),AND(EH4&gt;=EJ$20,EI4&gt;=EJ$24,EH4&lt;&gt;""),AND(FE4&gt;=FL$20,FF4&gt;=FL$24,FE4&lt;&gt;""),AND(FJ4&gt;=FL$20,FK4&gt;=FL$24,FJ4&lt;&gt;""),AND(GG4&gt;=GN$20,GH4&gt;=GN$24,GG4&lt;&gt;""),AND(GL4&gt;=GN$20,GM4&gt;=GN$24,GL4&lt;&gt;""),AND(HI4&gt;=HP$20,HJ4&gt;=HP$24,HI4&lt;&gt;""),AND(HN4&gt;=HP$20,HO4&gt;=HP$24,HN4&lt;&gt;""),AND(IK4&gt;=IR$20,IL4&gt;=IR$24,IK4&lt;&gt;""),AND(IP4&gt;=IR$20,IQ4&gt;=IR$24,IP4&lt;&gt;""),AND(JM4&gt;=JT$20,JN4&gt;=JT$24,JM4&lt;&gt;""),AND(JR4&gt;=JT$20,JS4&gt;=JT$24,JR4&lt;&gt;""),AND(KO4&gt;=KV$20,KP4&gt;=KV$24,KO4&lt;&gt;""),AND(KT4&gt;=KV$20,KU4&gt;=KV$24,KT4&lt;&gt;""),AND(LQ4&gt;=LX$20,LR4&gt;=LX$24,LQ4&lt;&gt;""),AND(LV4&gt;=LX$20,LW4&gt;=LX$24,LV4&lt;&gt;""),AND(MS4&gt;=MZ$20,MT4&gt;=MZ$24,MS4&lt;&gt;""),AND(MX4&gt;=MZ$20,MY4&gt;=MZ$24,MX4&lt;&gt;""),AND(NU4&gt;=OB$20,NV4&gt;=OB$24,NU4&lt;&gt;""),AND(NZ4&gt;=OB$20,OA4&gt;=OB$24,NZ4&lt;&gt;""),AND(OW4&gt;=PD$20,OX4&gt;=PD$24,OW4&lt;&gt;""),AND(PB4&gt;=PD$20,PC4&gt;=PD$24,PB4&lt;&gt;""),AND(PY4&gt;=QF$20,PZ4&gt;=QF$24,PY4&lt;&gt;""),AND(QD4&gt;=QF$20,QE4&gt;=QF$24,QD4&lt;&gt;"")),"P","")</f>
        <v>P</v>
      </c>
      <c r="G4" s="3" t="str">
        <f>IF(OR(AND(AS4&gt;=AY$24,AS4&lt;&gt;"",AQ4=""),AND(AX4&gt;=AY$24,AX4&lt;&gt;"",AQ4=""),AND(BV4&gt;=CB$24,BV4&lt;&gt;"",BT4=""),AND(CA4&gt;=CB$24,CA4&lt;&gt;"",BT4=""),AND(CY4&gt;=DE$24,CY4&lt;&gt;"",CW4=""),AND(DD4&gt;=DE$24,DD4&lt;&gt;"",CW4=""),AND(ED4&gt;=EJ$24,ED4&lt;&gt;""),AND(EI4&gt;=EJ$24,EI4&lt;&gt;""),AND(FF4&gt;=FL$24,FF4&lt;&gt;""),AND(FK4&gt;=FL$24,FK4&lt;&gt;""),AND(GH4&gt;=GN$24,GH4&lt;&gt;""),AND(GM4&gt;=GN$24,GM4&lt;&gt;""),AND(HJ4&gt;=HP$24,HJ4&lt;&gt;""),AND(HO4&gt;=HP$24,HO4&lt;&gt;""),AND(IL4&gt;=IR$24,IL4&lt;&gt;""),AND(IQ4&gt;=IR$24,IQ4&lt;&gt;""),AND(JN4&gt;=JT$24,JN4&lt;&gt;""),AND(JS4&gt;=JT$24,JS4&lt;&gt;""),AND(KP4&gt;=KV$24,KP4&lt;&gt;""),AND(KU4&gt;=KV$24,KU4&lt;&gt;""),AND(LR4&gt;=LX$24,LR4&lt;&gt;""),AND(LW4&gt;=LX$24,LW4&lt;&gt;""),AND(MT4&gt;=MZ$24,MT4&lt;&gt;""),AND(MY4&gt;=MZ$24,MY4&lt;&gt;""),AND(NV4&gt;=OB$24,NV4&lt;&gt;""),AND(OA4&gt;=OB$24,OA4&lt;&gt;""),AND(OX4&gt;=PD$24,OX4&lt;&gt;""),AND(PC4&gt;=PD$24,PC4&lt;&gt;""),AND(PZ4&gt;=QF$24,PZ4&lt;&gt;""),AND(QE4&gt;=QF$24,QE4&lt;&gt;"")),"P","")</f>
        <v>P</v>
      </c>
      <c r="H4" s="70" t="str">
        <f>IF(AND(G4="P",F4=""),"No DD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Merit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Excellence",IF(I4="P","Worlds Team",IF(F4="P","National Team","")))))</f>
        <v>Excellence</v>
      </c>
      <c r="I4" s="3" t="str">
        <f>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P","")</f>
        <v>P</v>
      </c>
      <c r="J4" s="13">
        <f>IF(COUNT(AS4,BV4,CY4)&gt;0,LARGE((AS4,BV4,CY4),1),0)</f>
        <v>53.239999999999995</v>
      </c>
      <c r="K4" s="13" t="str">
        <f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>IF(L4=0,"",IF(L4=CY4,$CC$1,IF(L4=BV4,$AZ$1,IF(L4=AS4,$W$1,""))))</f>
        <v>2021 Elite Canada</v>
      </c>
      <c r="N4" s="13">
        <f>IF(COUNT(AT4,BW4,CZ4)&gt;0,LARGE((AT4,BW4,CZ4),1),0)</f>
        <v>25.8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51.999999999999993</v>
      </c>
      <c r="S4" s="13" t="str">
        <f>IF(R4=0,"",IF(R4=DD4,$CC$1,IF(R4=CA4,$AZ$1,IF(R4=AX4,$W$1,""))))</f>
        <v>2022 Elite Canada</v>
      </c>
      <c r="T4" s="13">
        <f>IF(MAX(DF4:DH4)&gt;0,MAX(DF4:DH4),"")</f>
        <v>3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5.0000000000000002E-5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3.0000000000000001E-5</v>
      </c>
      <c r="AS4" s="76">
        <f>IF(SUM(W4:X4,Z4:AB4,AD4)-Y4-AC4&gt;0,SUM(W4:X4,Z4:AB4,AD4)-Y4-AC4,"")</f>
        <v>8.0000000000000007E-5</v>
      </c>
      <c r="AT4" s="76" t="str">
        <f>IF(SUM(AE4:AF4,AH4)-AG4&gt;0,SUM(AE4:AF4,AH4)-AG4,"")</f>
        <v/>
      </c>
      <c r="AU4" s="76">
        <f>IF(SUM(X4,AB4,AF4)&gt;0,SUM(X4,AB4,AF4),"")</f>
        <v>3.0000000000000001E-5</v>
      </c>
      <c r="AV4" s="76">
        <f>IF(SUM(AS4,AT4)&gt;0,SUM(AS4,AT4),"")</f>
        <v>8.0000000000000007E-5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8.0000000000000007E-5</v>
      </c>
      <c r="AZ4" s="26">
        <v>3.0000000000000001E-5</v>
      </c>
      <c r="BA4" s="26">
        <v>3.0000000000000001E-5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3.0000000000000001E-5</v>
      </c>
      <c r="BV4" s="16">
        <f>IF(SUM(AZ4:BA4,BC4:BE4,BG4)-BB4-BF4&gt;0,SUM(AZ4:BA4,BC4:BE4,BG4)-BB4-BF4,"")</f>
        <v>6.0000000000000002E-5</v>
      </c>
      <c r="BW4" s="16" t="str">
        <f>IF(SUM(BH4:BI4,BK4)-BJ4&gt;0,SUM(BH4:BI4,BK4)-BJ4,"")</f>
        <v/>
      </c>
      <c r="BX4" s="16">
        <f>IF(SUM(BA4,BE4,BI4)&gt;0,SUM(BA4,BE4,BI4),"")</f>
        <v>3.0000000000000001E-5</v>
      </c>
      <c r="BY4" s="16">
        <f>IF(SUM(BV4,BW4)&gt;0,SUM(BV4,BW4),"")</f>
        <v>6.0000000000000002E-5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6.0000000000000002E-5</v>
      </c>
      <c r="CC4" s="27">
        <v>18.34</v>
      </c>
      <c r="CD4" s="27">
        <v>7.2</v>
      </c>
      <c r="CE4" s="27">
        <v>0</v>
      </c>
      <c r="CF4" s="27">
        <v>0</v>
      </c>
      <c r="CG4" s="27">
        <v>18.600000000000001</v>
      </c>
      <c r="CH4" s="27">
        <v>8.8000000000000007</v>
      </c>
      <c r="CI4" s="27">
        <v>0</v>
      </c>
      <c r="CJ4" s="27">
        <v>0.3</v>
      </c>
      <c r="CK4" s="27">
        <v>18.399999999999999</v>
      </c>
      <c r="CL4" s="27">
        <v>7.1</v>
      </c>
      <c r="CM4" s="27">
        <v>0</v>
      </c>
      <c r="CN4" s="27">
        <v>0.3</v>
      </c>
      <c r="CO4" s="27">
        <v>18.3</v>
      </c>
      <c r="CP4" s="27">
        <v>6.4</v>
      </c>
      <c r="CQ4" s="27">
        <v>0.6</v>
      </c>
      <c r="CR4" s="27">
        <v>0</v>
      </c>
      <c r="CS4" s="27">
        <v>18.8</v>
      </c>
      <c r="CT4" s="27">
        <v>8.8000000000000007</v>
      </c>
      <c r="CU4" s="27">
        <v>0</v>
      </c>
      <c r="CV4" s="27">
        <v>0.3</v>
      </c>
      <c r="CW4" s="51"/>
      <c r="CX4" s="76">
        <f>IF(SUM(CD4,CH4)&gt;0,SUM(CD4,CH4),"")</f>
        <v>16</v>
      </c>
      <c r="CY4" s="76">
        <f>IF(SUM(CC4:CD4,CF4:CH4,CJ4)-CE4-CI4&gt;0,SUM(CC4:CD4,CF4:CH4,CJ4)-CE4-CI4,"")</f>
        <v>53.239999999999995</v>
      </c>
      <c r="CZ4" s="76">
        <f>IF(SUM(CK4:CL4,CN4)-CM4&gt;0,SUM(CK4:CL4,CN4)-CM4,"")</f>
        <v>25.8</v>
      </c>
      <c r="DA4" s="76">
        <f>IF(SUM(CD4,CH4,CL4)&gt;0,SUM(CD4,CH4,CL4),"")</f>
        <v>23.1</v>
      </c>
      <c r="DB4" s="76">
        <f>IF(SUM(CY4,CZ4)&gt;0,SUM(CY4,CZ4),"")</f>
        <v>79.039999999999992</v>
      </c>
      <c r="DC4" s="76">
        <f>IF(SUM(CP4,CT4)&gt;0,SUM(CP4,CT4),"")</f>
        <v>15.200000000000001</v>
      </c>
      <c r="DD4" s="76">
        <f>IF(SUM(CO4:CP4,CR4:CT4,CV4)-SUM(CQ4,CU4)&gt;0,SUM(CO4:CP4,CR4:CT4,CV4)-SUM(CQ4,CU4),"")</f>
        <v>51.999999999999993</v>
      </c>
      <c r="DE4" s="76">
        <f>IF(SUM(CY4,DD4)&gt;0,SUM(CY4,DD4),"")</f>
        <v>105.23999999999998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3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9.1700149999999994</v>
      </c>
      <c r="QH4" s="42">
        <f>IF($CW4="P",CD4,(CD4+BA4)/2)</f>
        <v>3.600015</v>
      </c>
      <c r="QI4" s="42">
        <f>IF($CW4="P",CE4,(CE4+BB4)/2)</f>
        <v>0</v>
      </c>
      <c r="QJ4" s="42">
        <f>IF($CW4="P",CF4,(CF4+BC4)/2)</f>
        <v>0</v>
      </c>
      <c r="QK4" s="42">
        <f>IF($CW4="P",CG4,(CG4+BD4)/2)</f>
        <v>9.3000000000000007</v>
      </c>
      <c r="QL4" s="42">
        <f>IF($CW4="P",CH4,(CH4+BE4)/2)</f>
        <v>4.4000000000000004</v>
      </c>
      <c r="QM4" s="42">
        <f>IF($CW4="P",CI4,(CI4+BF4)/2)</f>
        <v>0</v>
      </c>
      <c r="QN4" s="42">
        <f>IF($CW4="P",CJ4,(CJ4+BG4)/2)</f>
        <v>0.15</v>
      </c>
      <c r="QO4" s="42">
        <f>IF($CW4="P",CK4,(CK4+BH4)/2)</f>
        <v>9.1999999999999993</v>
      </c>
      <c r="QP4" s="42">
        <f>IF($CW4="P",CL4,(CL4+BI4)/2)</f>
        <v>3.55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9.15</v>
      </c>
      <c r="QT4" s="42">
        <f>IF($CW4="P",CP4,(CP4+BM4)/2)</f>
        <v>3.2</v>
      </c>
      <c r="QU4" s="42">
        <f>IF($CW4="P",CQ4,(CQ4+BN4)/2)</f>
        <v>0.3</v>
      </c>
      <c r="QV4" s="42">
        <f>IF($CW4="P",CR4,(CR4+BO4)/2)</f>
        <v>0</v>
      </c>
      <c r="QW4" s="42">
        <f>IF($CW4="P",CS4,(CS4+BP4)/2)</f>
        <v>9.4</v>
      </c>
      <c r="QX4" s="42">
        <f>IF($CW4="P",CT4,(CT4+BQ4)/2)</f>
        <v>4.4000000000000004</v>
      </c>
      <c r="QY4" s="42">
        <f>IF($CW4="P",CU4,(CU4+BR4)/2)</f>
        <v>0</v>
      </c>
      <c r="QZ4" s="42">
        <f>IF($CW4="P",CV4,(CV4+BS4)/2)</f>
        <v>0.15</v>
      </c>
      <c r="RA4" s="51" t="s">
        <v>61</v>
      </c>
      <c r="RB4" s="76">
        <f>IF(SUM(QH4,QL4)&gt;0,SUM(QH4,QL4),"")</f>
        <v>8.0000150000000012</v>
      </c>
      <c r="RC4" s="76">
        <f>IF(SUM(QG4:QH4,QJ4:QL4,QN4)-QI4-QM4&gt;0,SUM(QG4:QH4,QJ4:QL4,QN4)-QI4-QM4,"")</f>
        <v>26.62003</v>
      </c>
      <c r="RD4" s="76">
        <f>IF(SUM(QO4:QP4,QR4)-QQ4&gt;0,SUM(QO4:QP4,QR4)-QQ4,"")</f>
        <v>12.9</v>
      </c>
      <c r="RE4" s="76">
        <f>IF(SUM(QH4,QL4,QP4)&gt;0,SUM(QH4,QL4,QP4),"")</f>
        <v>11.550015000000002</v>
      </c>
      <c r="RF4" s="76">
        <f>IF(SUM(RC4,RD4)&gt;0,SUM(RC4,RD4),"")</f>
        <v>39.520029999999998</v>
      </c>
      <c r="RG4" s="76">
        <f>IF(SUM(QT4,QX4)&gt;0,SUM(QT4,QX4),"")</f>
        <v>7.6000000000000005</v>
      </c>
      <c r="RH4" s="76">
        <f>IF(SUM(QS4:QT4,QV4:QX4,QZ4)-SUM(QU4,QY4)&gt;0,SUM(QS4:QT4,QV4:QX4,QZ4)-SUM(QU4,QY4),"")</f>
        <v>25.999999999999996</v>
      </c>
      <c r="RI4" s="76">
        <f>IF(SUM(RC4,RH4)&gt;0,SUM(RC4,RH4),"")</f>
        <v>52.62003</v>
      </c>
    </row>
    <row r="5" spans="1:477" x14ac:dyDescent="0.2">
      <c r="A5" s="5" cm="1">
        <f t="array" ref="A5">IF(AND(F5="P",G5="P"),SUMPRODUCT((F$4:F$18="P")*(G$4:G$18="P")*(E$4:E$18&gt;E5))+1,IF(G5="P",SUMPRODUCT((F$4:F$18="")*(G$4:G$18="P")*(E$4:E$18&gt;E5))+1+SUMPRODUCT((F$4:F$18="P")*(G$4:G$18="P")),""))</f>
        <v>2</v>
      </c>
      <c r="B5" s="6" t="s">
        <v>85</v>
      </c>
      <c r="C5" s="7" t="s">
        <v>3</v>
      </c>
      <c r="D5" s="18">
        <v>2003</v>
      </c>
      <c r="E5" s="14">
        <f>SUM(J5:T5)+SUM(J5:P5)*0.0000001+SUM(J5)*0.0000000000001</f>
        <v>133.20008766001359</v>
      </c>
      <c r="F5" s="3" t="str">
        <f>IF(OR(AND(AR5&gt;=AY$20,AS5&gt;=AY$24,AR5&lt;&gt;"",AQ5=""),AND(AW5&gt;=AY$20,AX5&gt;=AY$24,AW5&lt;&gt;"",AQ5=""),AND(BU5&gt;=CB$20,BV5&gt;=CB$24,BU5&lt;&gt;"",BT5=""),AND(BZ5&gt;=CB$20,CA5&gt;=CB$24,BZ5&lt;&gt;"",BT5=""),AND(CX5&gt;=DE$20,CY5&gt;=DE$24,CX5&lt;&gt;"",CW5=""),AND(DC5&gt;=DE$20,DD5&gt;=DE$24,DC5&lt;&gt;""),AND(EC5&gt;=EJ$20,ED5&gt;=EJ$24,EC5&lt;&gt;""),AND(EH5&gt;=EJ$20,EI5&gt;=EJ$24,EH5&lt;&gt;""),AND(FE5&gt;=FL$20,FF5&gt;=FL$24,FE5&lt;&gt;""),AND(FJ5&gt;=FL$20,FK5&gt;=FL$24,FJ5&lt;&gt;""),AND(GG5&gt;=GN$20,GH5&gt;=GN$24,GG5&lt;&gt;""),AND(GL5&gt;=GN$20,GM5&gt;=GN$24,GL5&lt;&gt;""),AND(HI5&gt;=HP$20,HJ5&gt;=HP$24,HI5&lt;&gt;""),AND(HN5&gt;=HP$20,HO5&gt;=HP$24,HN5&lt;&gt;""),AND(IK5&gt;=IR$20,IL5&gt;=IR$24,IK5&lt;&gt;""),AND(IP5&gt;=IR$20,IQ5&gt;=IR$24,IP5&lt;&gt;""),AND(JM5&gt;=JT$20,JN5&gt;=JT$24,JM5&lt;&gt;""),AND(JR5&gt;=JT$20,JS5&gt;=JT$24,JR5&lt;&gt;""),AND(KO5&gt;=KV$20,KP5&gt;=KV$24,KO5&lt;&gt;""),AND(KT5&gt;=KV$20,KU5&gt;=KV$24,KT5&lt;&gt;""),AND(LQ5&gt;=LX$20,LR5&gt;=LX$24,LQ5&lt;&gt;""),AND(LV5&gt;=LX$20,LW5&gt;=LX$24,LV5&lt;&gt;""),AND(MS5&gt;=MZ$20,MT5&gt;=MZ$24,MS5&lt;&gt;""),AND(MX5&gt;=MZ$20,MY5&gt;=MZ$24,MX5&lt;&gt;""),AND(NU5&gt;=OB$20,NV5&gt;=OB$24,NU5&lt;&gt;""),AND(NZ5&gt;=OB$20,OA5&gt;=OB$24,NZ5&lt;&gt;""),AND(OW5&gt;=PD$20,OX5&gt;=PD$24,OW5&lt;&gt;""),AND(PB5&gt;=PD$20,PC5&gt;=PD$24,PB5&lt;&gt;""),AND(PY5&gt;=QF$20,PZ5&gt;=QF$24,PY5&lt;&gt;""),AND(QD5&gt;=QF$20,QE5&gt;=QF$24,QD5&lt;&gt;"")),"P","")</f>
        <v>P</v>
      </c>
      <c r="G5" s="3" t="str">
        <f>IF(OR(AND(AS5&gt;=AY$24,AS5&lt;&gt;"",AQ5=""),AND(AX5&gt;=AY$24,AX5&lt;&gt;"",AQ5=""),AND(BV5&gt;=CB$24,BV5&lt;&gt;"",BT5=""),AND(CA5&gt;=CB$24,CA5&lt;&gt;"",BT5=""),AND(CY5&gt;=DE$24,CY5&lt;&gt;"",CW5=""),AND(DD5&gt;=DE$24,DD5&lt;&gt;"",CW5=""),AND(ED5&gt;=EJ$24,ED5&lt;&gt;""),AND(EI5&gt;=EJ$24,EI5&lt;&gt;""),AND(FF5&gt;=FL$24,FF5&lt;&gt;""),AND(FK5&gt;=FL$24,FK5&lt;&gt;""),AND(GH5&gt;=GN$24,GH5&lt;&gt;""),AND(GM5&gt;=GN$24,GM5&lt;&gt;""),AND(HJ5&gt;=HP$24,HJ5&lt;&gt;""),AND(HO5&gt;=HP$24,HO5&lt;&gt;""),AND(IL5&gt;=IR$24,IL5&lt;&gt;""),AND(IQ5&gt;=IR$24,IQ5&lt;&gt;""),AND(JN5&gt;=JT$24,JN5&lt;&gt;""),AND(JS5&gt;=JT$24,JS5&lt;&gt;""),AND(KP5&gt;=KV$24,KP5&lt;&gt;""),AND(KU5&gt;=KV$24,KU5&lt;&gt;""),AND(LR5&gt;=LX$24,LR5&lt;&gt;""),AND(LW5&gt;=LX$24,LW5&lt;&gt;""),AND(MT5&gt;=MZ$24,MT5&lt;&gt;""),AND(MY5&gt;=MZ$24,MY5&lt;&gt;""),AND(NV5&gt;=OB$24,NV5&lt;&gt;""),AND(OA5&gt;=OB$24,OA5&lt;&gt;""),AND(OX5&gt;=PD$24,OX5&lt;&gt;""),AND(PC5&gt;=PD$24,PC5&lt;&gt;""),AND(PZ5&gt;=QF$24,PZ5&lt;&gt;""),AND(QE5&gt;=QF$24,QE5&lt;&gt;"")),"P","")</f>
        <v>P</v>
      </c>
      <c r="H5" s="70" t="str">
        <f>IF(AND(G5="P",F5=""),"No DD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Merit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Excellence",IF(I5="P","Worlds Team",IF(F5="P","National Team","")))))</f>
        <v>Merit</v>
      </c>
      <c r="I5" s="3" t="str">
        <f>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8.0000000000000007E-5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20.6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54.599999999999994</v>
      </c>
      <c r="S5" s="13" t="str">
        <f>IF(R5=0,"",IF(R5=DD5,$CC$1,IF(R5=CA5,$AZ$1,IF(R5=AX5,$W$1,""))))</f>
        <v>2022 Elite Canada</v>
      </c>
      <c r="T5" s="13">
        <f>IF(MAX(DF5:DH5)&gt;0,MAX(DF5:DH5),"")</f>
        <v>2.0000000000000071</v>
      </c>
      <c r="U5" s="16" t="str">
        <f>IF(T5="","",IF(T5=DF5,"("&amp;DF$2&amp;")",IF(T5=DH5,"("&amp;DH$2&amp;")")))</f>
        <v>(Final)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4.0000000000000003E-5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4.0000000000000003E-5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4.0000000000000003E-5</v>
      </c>
      <c r="BA5" s="26">
        <v>4.0000000000000003E-5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4.0000000000000003E-5</v>
      </c>
      <c r="BV5" s="16">
        <f>IF(SUM(AZ5:BA5,BC5:BE5,BG5)-BB5-BF5&gt;0,SUM(AZ5:BA5,BC5:BE5,BG5)-BB5-BF5,"")</f>
        <v>8.0000000000000007E-5</v>
      </c>
      <c r="BW5" s="16" t="str">
        <f>IF(SUM(BH5:BI5,BK5)-BJ5&gt;0,SUM(BH5:BI5,BK5)-BJ5,"")</f>
        <v/>
      </c>
      <c r="BX5" s="16">
        <f>IF(SUM(BA5,BE5,BI5)&gt;0,SUM(BA5,BE5,BI5),"")</f>
        <v>4.0000000000000003E-5</v>
      </c>
      <c r="BY5" s="16">
        <f>IF(SUM(BV5,BW5)&gt;0,SUM(BV5,BW5),"")</f>
        <v>8.0000000000000007E-5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8.0000000000000007E-5</v>
      </c>
      <c r="CC5" s="27">
        <v>18.8</v>
      </c>
      <c r="CD5" s="27">
        <v>9.1999999999999993</v>
      </c>
      <c r="CE5" s="27">
        <v>0.6</v>
      </c>
      <c r="CF5" s="27">
        <v>0.3</v>
      </c>
      <c r="CG5" s="27">
        <v>19</v>
      </c>
      <c r="CH5" s="27">
        <v>9.1999999999999993</v>
      </c>
      <c r="CI5" s="27">
        <v>0.2</v>
      </c>
      <c r="CJ5" s="27">
        <v>0.3</v>
      </c>
      <c r="CK5" s="27">
        <v>17.8</v>
      </c>
      <c r="CL5" s="27">
        <v>2.8</v>
      </c>
      <c r="CM5" s="27">
        <v>0</v>
      </c>
      <c r="CN5" s="27">
        <v>0</v>
      </c>
      <c r="CO5" s="27">
        <v>19</v>
      </c>
      <c r="CP5" s="27">
        <v>8.5</v>
      </c>
      <c r="CQ5" s="27">
        <v>0</v>
      </c>
      <c r="CR5" s="27">
        <v>0.3</v>
      </c>
      <c r="CS5" s="27">
        <v>18.7</v>
      </c>
      <c r="CT5" s="27">
        <v>8.4</v>
      </c>
      <c r="CU5" s="27">
        <v>0.6</v>
      </c>
      <c r="CV5" s="27">
        <v>0.3</v>
      </c>
      <c r="CW5" s="51"/>
      <c r="CX5" s="76">
        <f>IF(SUM(CD5,CH5)&gt;0,SUM(CD5,CH5),"")</f>
        <v>18.399999999999999</v>
      </c>
      <c r="CY5" s="76">
        <f>IF(SUM(CC5:CD5,CF5:CH5,CJ5)-CE5-CI5&gt;0,SUM(CC5:CD5,CF5:CH5,CJ5)-CE5-CI5,"")</f>
        <v>55.999999999999993</v>
      </c>
      <c r="CZ5" s="76">
        <f>IF(SUM(CK5:CL5,CN5)-CM5&gt;0,SUM(CK5:CL5,CN5)-CM5,"")</f>
        <v>20.6</v>
      </c>
      <c r="DA5" s="76">
        <f>IF(SUM(CD5,CH5,CL5)&gt;0,SUM(CD5,CH5,CL5),"")</f>
        <v>21.2</v>
      </c>
      <c r="DB5" s="76">
        <f>IF(SUM(CY5,CZ5)&gt;0,SUM(CY5,CZ5),"")</f>
        <v>76.599999999999994</v>
      </c>
      <c r="DC5" s="76">
        <f>IF(SUM(CP5,CT5)&gt;0,SUM(CP5,CT5),"")</f>
        <v>16.899999999999999</v>
      </c>
      <c r="DD5" s="76">
        <f>IF(SUM(CO5:CP5,CR5:CT5,CV5)-SUM(CQ5,CU5)&gt;0,SUM(CO5:CP5,CR5:CT5,CV5)-SUM(CQ5,CU5),"")</f>
        <v>54.599999999999994</v>
      </c>
      <c r="DE5" s="76">
        <f>IF(SUM(CY5,DD5)&gt;0,SUM(CY5,DD5),"")</f>
        <v>110.6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>
        <f>IF(R5&gt;=0.001,IF(MAX(EI5,FK5,GM5,HO5,IQ5,JS5,KU5,LW5,MY5,OA5,PC5,QE5)-IF(R5="",0,R5)&gt;0.001,MAX(EI5,FK5,GM5,HO5,IQ5,JS5,KU5,LW5,MY5,OA5,PC5,QE5)-IF(R5="",0,R5),""),"")</f>
        <v>2.0000000000000071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9.4000199999999996</v>
      </c>
      <c r="QH5" s="42">
        <f>IF($CW5="P",CD5,(CD5+BA5)/2)</f>
        <v>4.6000199999999998</v>
      </c>
      <c r="QI5" s="42">
        <f>IF($CW5="P",CE5,(CE5+BB5)/2)</f>
        <v>0.3</v>
      </c>
      <c r="QJ5" s="42">
        <f>IF($CW5="P",CF5,(CF5+BC5)/2)</f>
        <v>0.15</v>
      </c>
      <c r="QK5" s="42">
        <f>IF($CW5="P",CG5,(CG5+BD5)/2)</f>
        <v>9.5</v>
      </c>
      <c r="QL5" s="42">
        <f>IF($CW5="P",CH5,(CH5+BE5)/2)</f>
        <v>4.5999999999999996</v>
      </c>
      <c r="QM5" s="42">
        <f>IF($CW5="P",CI5,(CI5+BF5)/2)</f>
        <v>0.1</v>
      </c>
      <c r="QN5" s="42">
        <f>IF($CW5="P",CJ5,(CJ5+BG5)/2)</f>
        <v>0.15</v>
      </c>
      <c r="QO5" s="42">
        <f>IF($CW5="P",CK5,(CK5+BH5)/2)</f>
        <v>8.9</v>
      </c>
      <c r="QP5" s="42">
        <f>IF($CW5="P",CL5,(CL5+BI5)/2)</f>
        <v>1.4</v>
      </c>
      <c r="QQ5" s="42">
        <f>IF($CW5="P",CM5,(CM5+BJ5)/2)</f>
        <v>0</v>
      </c>
      <c r="QR5" s="42">
        <f>IF($CW5="P",CN5,(CN5+BK5)/2)</f>
        <v>0</v>
      </c>
      <c r="QS5" s="42">
        <f>IF($CW5="P",CO5,(CO5+BL5)/2)</f>
        <v>9.5</v>
      </c>
      <c r="QT5" s="42">
        <f>IF($CW5="P",CP5,(CP5+BM5)/2)</f>
        <v>4.25</v>
      </c>
      <c r="QU5" s="42">
        <f>IF($CW5="P",CQ5,(CQ5+BN5)/2)</f>
        <v>0</v>
      </c>
      <c r="QV5" s="42">
        <f>IF($CW5="P",CR5,(CR5+BO5)/2)</f>
        <v>0.15</v>
      </c>
      <c r="QW5" s="42">
        <f>IF($CW5="P",CS5,(CS5+BP5)/2)</f>
        <v>9.35</v>
      </c>
      <c r="QX5" s="42">
        <f>IF($CW5="P",CT5,(CT5+BQ5)/2)</f>
        <v>4.2</v>
      </c>
      <c r="QY5" s="42">
        <f>IF($CW5="P",CU5,(CU5+BR5)/2)</f>
        <v>0.3</v>
      </c>
      <c r="QZ5" s="42">
        <f>IF($CW5="P",CV5,(CV5+BS5)/2)</f>
        <v>0.15</v>
      </c>
      <c r="RA5" s="51" t="s">
        <v>61</v>
      </c>
      <c r="RB5" s="76">
        <f>IF(SUM(QH5,QL5)&gt;0,SUM(QH5,QL5),"")</f>
        <v>9.2000199999999985</v>
      </c>
      <c r="RC5" s="76">
        <f>IF(SUM(QG5:QH5,QJ5:QL5,QN5)-QI5-QM5&gt;0,SUM(QG5:QH5,QJ5:QL5,QN5)-QI5-QM5,"")</f>
        <v>28.000039999999995</v>
      </c>
      <c r="RD5" s="76">
        <f>IF(SUM(QO5:QP5,QR5)-QQ5&gt;0,SUM(QO5:QP5,QR5)-QQ5,"")</f>
        <v>10.3</v>
      </c>
      <c r="RE5" s="76">
        <f>IF(SUM(QH5,QL5,QP5)&gt;0,SUM(QH5,QL5,QP5),"")</f>
        <v>10.600019999999999</v>
      </c>
      <c r="RF5" s="76">
        <f>IF(SUM(RC5,RD5)&gt;0,SUM(RC5,RD5),"")</f>
        <v>38.300039999999996</v>
      </c>
      <c r="RG5" s="76">
        <f>IF(SUM(QT5,QX5)&gt;0,SUM(QT5,QX5),"")</f>
        <v>8.4499999999999993</v>
      </c>
      <c r="RH5" s="76">
        <f>IF(SUM(QS5:QT5,QV5:QX5,QZ5)-SUM(QU5,QY5)&gt;0,SUM(QS5:QT5,QV5:QX5,QZ5)-SUM(QU5,QY5),"")</f>
        <v>27.299999999999997</v>
      </c>
      <c r="RI5" s="76">
        <f>IF(SUM(RC5,RH5)&gt;0,SUM(RC5,RH5),"")</f>
        <v>55.300039999999996</v>
      </c>
    </row>
    <row r="6" spans="1:477" x14ac:dyDescent="0.2">
      <c r="A6" s="5">
        <f>IF(AND(F6="P",G6="P"),SUMPRODUCT((F$4:F$18="P")*(G$4:G$18="P")*(E$4:E$18&gt;E6))+1,IF(G6="P",SUMPRODUCT((F$4:F$18="")*(G$4:G$18="P")*(E$4:E$18&gt;E6))+1+SUMPRODUCT((F$4:F$18="P")*(G$4:G$18="P")),""))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131.30000785000527</v>
      </c>
      <c r="F6" s="3" t="str">
        <f>IF(OR(AND(AR6&gt;=AY$20,AS6&gt;=AY$24,AR6&lt;&gt;"",AQ6=""),AND(AW6&gt;=AY$20,AX6&gt;=AY$24,AW6&lt;&gt;"",AQ6=""),AND(BU6&gt;=CB$20,BV6&gt;=CB$24,BU6&lt;&gt;"",BT6=""),AND(BZ6&gt;=CB$20,CA6&gt;=CB$24,BZ6&lt;&gt;"",BT6=""),AND(CX6&gt;=DE$20,CY6&gt;=DE$24,CX6&lt;&gt;"",CW6=""),AND(DC6&gt;=DE$20,DD6&gt;=DE$24,DC6&lt;&gt;""),AND(EC6&gt;=EJ$20,ED6&gt;=EJ$24,EC6&lt;&gt;""),AND(EH6&gt;=EJ$20,EI6&gt;=EJ$24,EH6&lt;&gt;""),AND(FE6&gt;=FL$20,FF6&gt;=FL$24,FE6&lt;&gt;""),AND(FJ6&gt;=FL$20,FK6&gt;=FL$24,FJ6&lt;&gt;""),AND(GG6&gt;=GN$20,GH6&gt;=GN$24,GG6&lt;&gt;""),AND(GL6&gt;=GN$20,GM6&gt;=GN$24,GL6&lt;&gt;""),AND(HI6&gt;=HP$20,HJ6&gt;=HP$24,HI6&lt;&gt;""),AND(HN6&gt;=HP$20,HO6&gt;=HP$24,HN6&lt;&gt;""),AND(IK6&gt;=IR$20,IL6&gt;=IR$24,IK6&lt;&gt;""),AND(IP6&gt;=IR$20,IQ6&gt;=IR$24,IP6&lt;&gt;""),AND(JM6&gt;=JT$20,JN6&gt;=JT$24,JM6&lt;&gt;""),AND(JR6&gt;=JT$20,JS6&gt;=JT$24,JR6&lt;&gt;""),AND(KO6&gt;=KV$20,KP6&gt;=KV$24,KO6&lt;&gt;""),AND(KT6&gt;=KV$20,KU6&gt;=KV$24,KT6&lt;&gt;""),AND(LQ6&gt;=LX$20,LR6&gt;=LX$24,LQ6&lt;&gt;""),AND(LV6&gt;=LX$20,LW6&gt;=LX$24,LV6&lt;&gt;""),AND(MS6&gt;=MZ$20,MT6&gt;=MZ$24,MS6&lt;&gt;""),AND(MX6&gt;=MZ$20,MY6&gt;=MZ$24,MX6&lt;&gt;""),AND(NU6&gt;=OB$20,NV6&gt;=OB$24,NU6&lt;&gt;""),AND(NZ6&gt;=OB$20,OA6&gt;=OB$24,NZ6&lt;&gt;""),AND(OW6&gt;=PD$20,OX6&gt;=PD$24,OW6&lt;&gt;""),AND(PB6&gt;=PD$20,PC6&gt;=PD$24,PB6&lt;&gt;""),AND(PY6&gt;=QF$20,PZ6&gt;=QF$24,PY6&lt;&gt;""),AND(QD6&gt;=QF$20,QE6&gt;=QF$24,QD6&lt;&gt;"")),"P","")</f>
        <v>P</v>
      </c>
      <c r="G6" s="3" t="str">
        <f>IF(OR(AND(AS6&gt;=AY$24,AS6&lt;&gt;"",AQ6=""),AND(AX6&gt;=AY$24,AX6&lt;&gt;"",AQ6=""),AND(BV6&gt;=CB$24,BV6&lt;&gt;"",BT6=""),AND(CA6&gt;=CB$24,CA6&lt;&gt;"",BT6=""),AND(CY6&gt;=DE$24,CY6&lt;&gt;"",CW6=""),AND(DD6&gt;=DE$24,DD6&lt;&gt;"",CW6=""),AND(ED6&gt;=EJ$24,ED6&lt;&gt;""),AND(EI6&gt;=EJ$24,EI6&lt;&gt;""),AND(FF6&gt;=FL$24,FF6&lt;&gt;""),AND(FK6&gt;=FL$24,FK6&lt;&gt;""),AND(GH6&gt;=GN$24,GH6&lt;&gt;""),AND(GM6&gt;=GN$24,GM6&lt;&gt;""),AND(HJ6&gt;=HP$24,HJ6&lt;&gt;""),AND(HO6&gt;=HP$24,HO6&lt;&gt;""),AND(IL6&gt;=IR$24,IL6&lt;&gt;""),AND(IQ6&gt;=IR$24,IQ6&lt;&gt;""),AND(JN6&gt;=JT$24,JN6&lt;&gt;""),AND(JS6&gt;=JT$24,JS6&lt;&gt;""),AND(KP6&gt;=KV$24,KP6&lt;&gt;""),AND(KU6&gt;=KV$24,KU6&lt;&gt;""),AND(LR6&gt;=LX$24,LR6&lt;&gt;""),AND(LW6&gt;=LX$24,LW6&lt;&gt;""),AND(MT6&gt;=MZ$24,MT6&lt;&gt;""),AND(MY6&gt;=MZ$24,MY6&lt;&gt;""),AND(NV6&gt;=OB$24,NV6&lt;&gt;""),AND(OA6&gt;=OB$24,OA6&lt;&gt;""),AND(OX6&gt;=PD$24,OX6&lt;&gt;""),AND(PC6&gt;=PD$24,PC6&lt;&gt;""),AND(PZ6&gt;=QF$24,PZ6&lt;&gt;""),AND(QE6&gt;=QF$24,QE6&lt;&gt;"")),"P","")</f>
        <v>P</v>
      </c>
      <c r="H6" s="70" t="str">
        <f>IF(AND(G6="P",F6=""),"No DD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Merit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Excellence",IF(I6="P","Worlds Team",IF(F6="P","National Team","")))))</f>
        <v>Worlds Team</v>
      </c>
      <c r="I6" s="3" t="str">
        <f>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0</v>
      </c>
      <c r="M6" s="13" t="str">
        <f>IF(L6=0,"",IF(L6=CY6,$CC$1,IF(L6=BV6,$AZ$1,IF(L6=AS6,$W$1,""))))</f>
        <v/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26.199999999999996</v>
      </c>
      <c r="S6" s="13" t="str">
        <f>IF(R6=0,"",IF(R6=DD6,$CC$1,IF(R6=CA6,$AZ$1,IF(R6=AX6,$W$1,""))))</f>
        <v>2022 Elite Canada</v>
      </c>
      <c r="T6" s="13">
        <f>IF(MAX(DF6:DH6)&gt;0,MAX(DF6:DH6),"")</f>
        <v>26.6</v>
      </c>
      <c r="U6" s="16" t="str">
        <f>IF(T6="","",IF(T6=DF6,"("&amp;DF$2&amp;")",IF(T6=DH6,"("&amp;DH$2&amp;")")))</f>
        <v>(Final)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>IF(SUM(BA6,BE6)&gt;0,SUM(BA6,BE6),"")</f>
        <v/>
      </c>
      <c r="BV6" s="16" t="str">
        <f>IF(SUM(AZ6:BA6,BC6:BE6,BG6)-BB6-BF6&gt;0,SUM(AZ6:BA6,BC6:BE6,BG6)-BB6-BF6,"")</f>
        <v/>
      </c>
      <c r="BW6" s="16" t="str">
        <f>IF(SUM(BH6:BI6,BK6)-BJ6&gt;0,SUM(BH6:BI6,BK6)-BJ6,"")</f>
        <v/>
      </c>
      <c r="BX6" s="16" t="str">
        <f>IF(SUM(BA6,BE6,BI6)&gt;0,SUM(BA6,BE6,BI6),"")</f>
        <v/>
      </c>
      <c r="BY6" s="16" t="str">
        <f>IF(SUM(BV6,BW6)&gt;0,SUM(BV6,BW6),"")</f>
        <v/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 t="str">
        <f>IF(SUM(BV6,CA6)&gt;0,SUM(BV6,CA6),"")</f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>IF(SUM(CD6,CH6)&gt;0,SUM(CD6,CH6),"")</f>
        <v>15.7</v>
      </c>
      <c r="CY6" s="76">
        <f>IF(SUM(CC6:CD6,CF6:CH6,CJ6)-CE6-CI6&gt;0,SUM(CC6:CD6,CF6:CH6,CJ6)-CE6-CI6,"")</f>
        <v>53</v>
      </c>
      <c r="CZ6" s="76">
        <f>IF(SUM(CK6:CL6,CN6)-CM6&gt;0,SUM(CK6:CL6,CN6)-CM6,"")</f>
        <v>25.5</v>
      </c>
      <c r="DA6" s="76">
        <f>IF(SUM(CD6,CH6,CL6)&gt;0,SUM(CD6,CH6,CL6),"")</f>
        <v>22.9</v>
      </c>
      <c r="DB6" s="76">
        <f>IF(SUM(CY6,CZ6)&gt;0,SUM(CY6,CZ6),"")</f>
        <v>78.5</v>
      </c>
      <c r="DC6" s="76">
        <f>IF(SUM(CP6,CT6)&gt;0,SUM(CP6,CT6),"")</f>
        <v>8.4</v>
      </c>
      <c r="DD6" s="76">
        <f>IF(SUM(CO6:CP6,CR6:CT6,CV6)-SUM(CQ6,CU6)&gt;0,SUM(CO6:CP6,CR6:CT6,CV6)-SUM(CQ6,CU6),"")</f>
        <v>26.199999999999996</v>
      </c>
      <c r="DE6" s="76">
        <f>IF(SUM(CY6,DD6)&gt;0,SUM(CY6,DD6),"")</f>
        <v>79.199999999999989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>IF(SUM(FN6,FR6)&gt;0,SUM(FN6,FR6),"")</f>
        <v>11.2</v>
      </c>
      <c r="GH6" s="76">
        <f>IF(SUM(FM6:FN6,FP6:FR6,FT6)-FO6-FS6&gt;0,SUM(FM6:FN6,FP6:FR6,FT6)-FO6-FS6,"")</f>
        <v>47.5</v>
      </c>
      <c r="GI6" s="76" t="str">
        <f>IF(SUM(FU6:FV6,FX6)-FW6&gt;0,SUM(FU6:FV6,FX6)-FW6,"")</f>
        <v/>
      </c>
      <c r="GJ6" s="76">
        <f>IF(SUM(FN6,FR6,FV6)&gt;0,SUM(FN6,FR6,FV6),"")</f>
        <v>11.2</v>
      </c>
      <c r="GK6" s="76">
        <f>IF(SUM(GH6,GI6)&gt;0,SUM(GH6,GI6),"")</f>
        <v>47.5</v>
      </c>
      <c r="GL6" s="76">
        <f>IF(SUM(FZ6,GD6)&gt;0,SUM(FZ6,GD6),"")</f>
        <v>11.2</v>
      </c>
      <c r="GM6" s="76">
        <f>IF(SUM(FY6:FZ6,GB6:GD6,GF6)-SUM(GA6,GE6)&gt;0,SUM(FY6:FZ6,GB6:GD6,GF6)-SUM(GA6,GE6),"")</f>
        <v>46.500000000000007</v>
      </c>
      <c r="GN6" s="76">
        <f>IF(SUM(GH6,GM6)&gt;0,SUM(GH6,GM6),"")</f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9.3000000000000007</v>
      </c>
      <c r="QH6" s="42">
        <f>IF($CW6="P",CD6,(CD6+BA6)/2)</f>
        <v>4.2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9.35</v>
      </c>
      <c r="QL6" s="42">
        <f>IF($CW6="P",CH6,(CH6+BE6)/2)</f>
        <v>3.65</v>
      </c>
      <c r="QM6" s="42">
        <f>IF($CW6="P",CI6,(CI6+BF6)/2)</f>
        <v>0</v>
      </c>
      <c r="QN6" s="42">
        <f>IF($CW6="P",CJ6,(CJ6+BG6)/2)</f>
        <v>0</v>
      </c>
      <c r="QO6" s="42">
        <f>IF($CW6="P",CK6,(CK6+BH6)/2)</f>
        <v>9.15</v>
      </c>
      <c r="QP6" s="42">
        <f>IF($CW6="P",CL6,(CL6+BI6)/2)</f>
        <v>3.6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9.1999999999999993</v>
      </c>
      <c r="QT6" s="42">
        <f>IF($CW6="P",CP6,(CP6+BM6)/2)</f>
        <v>4.2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0</v>
      </c>
      <c r="QX6" s="42">
        <f>IF($CW6="P",CT6,(CT6+BQ6)/2)</f>
        <v>0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7.85</v>
      </c>
      <c r="RC6" s="76">
        <f>IF(SUM(QG6:QH6,QJ6:QL6,QN6)-QI6-QM6&gt;0,SUM(QG6:QH6,QJ6:QL6,QN6)-QI6-QM6,"")</f>
        <v>26.5</v>
      </c>
      <c r="RD6" s="76">
        <f>IF(SUM(QO6:QP6,QR6)-QQ6&gt;0,SUM(QO6:QP6,QR6)-QQ6,"")</f>
        <v>12.75</v>
      </c>
      <c r="RE6" s="76">
        <f>IF(SUM(QH6,QL6,QP6)&gt;0,SUM(QH6,QL6,QP6),"")</f>
        <v>11.45</v>
      </c>
      <c r="RF6" s="76">
        <f>IF(SUM(RC6,RD6)&gt;0,SUM(RC6,RD6),"")</f>
        <v>39.25</v>
      </c>
      <c r="RG6" s="76">
        <f>IF(SUM(QT6,QX6)&gt;0,SUM(QT6,QX6),"")</f>
        <v>4.2</v>
      </c>
      <c r="RH6" s="76">
        <f>IF(SUM(QS6:QT6,QV6:QX6,QZ6)-SUM(QU6,QY6)&gt;0,SUM(QS6:QT6,QV6:QX6,QZ6)-SUM(QU6,QY6),"")</f>
        <v>13.099999999999998</v>
      </c>
      <c r="RI6" s="76">
        <f>IF(SUM(RC6,RH6)&gt;0,SUM(RC6,RH6),"")</f>
        <v>39.599999999999994</v>
      </c>
    </row>
    <row r="7" spans="1:477" x14ac:dyDescent="0.2">
      <c r="A7" s="5">
        <f>IF(AND(F7="P",G7="P"),SUMPRODUCT((F$4:F$18="P")*(G$4:G$18="P")*(E$4:E$18&gt;E7))+1,IF(G7="P",SUMPRODUCT((F$4:F$18="")*(G$4:G$18="P")*(E$4:E$18&gt;E7))+1+SUMPRODUCT((F$4:F$18="P")*(G$4:G$18="P")),""))</f>
        <v>4</v>
      </c>
      <c r="B7" s="6" t="s">
        <v>91</v>
      </c>
      <c r="C7" s="7" t="s">
        <v>5</v>
      </c>
      <c r="D7" s="18">
        <v>2002</v>
      </c>
      <c r="E7" s="14">
        <f>SUM(J7:T7)+SUM(J7:P7)*0.0000001+SUM(J7)*0.0000000000001</f>
        <v>126.50005743000987</v>
      </c>
      <c r="F7" s="3" t="str">
        <f>IF(OR(AND(AR7&gt;=AY$20,AS7&gt;=AY$24,AR7&lt;&gt;"",AQ7=""),AND(AW7&gt;=AY$20,AX7&gt;=AY$24,AW7&lt;&gt;"",AQ7=""),AND(BU7&gt;=CB$20,BV7&gt;=CB$24,BU7&lt;&gt;"",BT7=""),AND(BZ7&gt;=CB$20,CA7&gt;=CB$24,BZ7&lt;&gt;"",BT7=""),AND(CX7&gt;=DE$20,CY7&gt;=DE$24,CX7&lt;&gt;"",CW7=""),AND(DC7&gt;=DE$20,DD7&gt;=DE$24,DC7&lt;&gt;""),AND(EC7&gt;=EJ$20,ED7&gt;=EJ$24,EC7&lt;&gt;""),AND(EH7&gt;=EJ$20,EI7&gt;=EJ$24,EH7&lt;&gt;""),AND(FE7&gt;=FL$20,FF7&gt;=FL$24,FE7&lt;&gt;""),AND(FJ7&gt;=FL$20,FK7&gt;=FL$24,FJ7&lt;&gt;""),AND(GG7&gt;=GN$20,GH7&gt;=GN$24,GG7&lt;&gt;""),AND(GL7&gt;=GN$20,GM7&gt;=GN$24,GL7&lt;&gt;""),AND(HI7&gt;=HP$20,HJ7&gt;=HP$24,HI7&lt;&gt;""),AND(HN7&gt;=HP$20,HO7&gt;=HP$24,HN7&lt;&gt;""),AND(IK7&gt;=IR$20,IL7&gt;=IR$24,IK7&lt;&gt;""),AND(IP7&gt;=IR$20,IQ7&gt;=IR$24,IP7&lt;&gt;""),AND(JM7&gt;=JT$20,JN7&gt;=JT$24,JM7&lt;&gt;""),AND(JR7&gt;=JT$20,JS7&gt;=JT$24,JR7&lt;&gt;""),AND(KO7&gt;=KV$20,KP7&gt;=KV$24,KO7&lt;&gt;""),AND(KT7&gt;=KV$20,KU7&gt;=KV$24,KT7&lt;&gt;""),AND(LQ7&gt;=LX$20,LR7&gt;=LX$24,LQ7&lt;&gt;""),AND(LV7&gt;=LX$20,LW7&gt;=LX$24,LV7&lt;&gt;""),AND(MS7&gt;=MZ$20,MT7&gt;=MZ$24,MS7&lt;&gt;""),AND(MX7&gt;=MZ$20,MY7&gt;=MZ$24,MX7&lt;&gt;""),AND(NU7&gt;=OB$20,NV7&gt;=OB$24,NU7&lt;&gt;""),AND(NZ7&gt;=OB$20,OA7&gt;=OB$24,NZ7&lt;&gt;""),AND(OW7&gt;=PD$20,OX7&gt;=PD$24,OW7&lt;&gt;""),AND(PB7&gt;=PD$20,PC7&gt;=PD$24,PB7&lt;&gt;""),AND(PY7&gt;=QF$20,PZ7&gt;=QF$24,PY7&lt;&gt;""),AND(QD7&gt;=QF$20,QE7&gt;=QF$24,QD7&lt;&gt;"")),"P","")</f>
        <v>P</v>
      </c>
      <c r="G7" s="3" t="str">
        <f>IF(OR(AND(AS7&gt;=AY$24,AS7&lt;&gt;"",AQ7=""),AND(AX7&gt;=AY$24,AX7&lt;&gt;"",AQ7=""),AND(BV7&gt;=CB$24,BV7&lt;&gt;"",BT7=""),AND(CA7&gt;=CB$24,CA7&lt;&gt;"",BT7=""),AND(CY7&gt;=DE$24,CY7&lt;&gt;"",CW7=""),AND(DD7&gt;=DE$24,DD7&lt;&gt;"",CW7=""),AND(ED7&gt;=EJ$24,ED7&lt;&gt;""),AND(EI7&gt;=EJ$24,EI7&lt;&gt;""),AND(FF7&gt;=FL$24,FF7&lt;&gt;""),AND(FK7&gt;=FL$24,FK7&lt;&gt;""),AND(GH7&gt;=GN$24,GH7&lt;&gt;""),AND(GM7&gt;=GN$24,GM7&lt;&gt;""),AND(HJ7&gt;=HP$24,HJ7&lt;&gt;""),AND(HO7&gt;=HP$24,HO7&lt;&gt;""),AND(IL7&gt;=IR$24,IL7&lt;&gt;""),AND(IQ7&gt;=IR$24,IQ7&lt;&gt;""),AND(JN7&gt;=JT$24,JN7&lt;&gt;""),AND(JS7&gt;=JT$24,JS7&lt;&gt;""),AND(KP7&gt;=KV$24,KP7&lt;&gt;""),AND(KU7&gt;=KV$24,KU7&lt;&gt;""),AND(LR7&gt;=LX$24,LR7&lt;&gt;""),AND(LW7&gt;=LX$24,LW7&lt;&gt;""),AND(MT7&gt;=MZ$24,MT7&lt;&gt;""),AND(MY7&gt;=MZ$24,MY7&lt;&gt;""),AND(NV7&gt;=OB$24,NV7&lt;&gt;""),AND(OA7&gt;=OB$24,OA7&lt;&gt;""),AND(OX7&gt;=PD$24,OX7&lt;&gt;""),AND(PC7&gt;=PD$24,PC7&lt;&gt;""),AND(PZ7&gt;=QF$24,PZ7&lt;&gt;""),AND(QE7&gt;=QF$24,QE7&lt;&gt;"")),"P","")</f>
        <v>P</v>
      </c>
      <c r="H7" s="70" t="str">
        <f>IF(AND(G7="P",F7=""),"No DD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Merit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Excellence",IF(I7="P","Worlds Team",IF(F7="P","National Team","")))))</f>
        <v>National Team</v>
      </c>
      <c r="I7" s="3" t="str">
        <f>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P","")</f>
        <v/>
      </c>
      <c r="J7" s="13">
        <f>IF(COUNT(AS7,BV7,CY7)&gt;0,LARGE((AS7,BV7,CY7),1),0)</f>
        <v>48.8</v>
      </c>
      <c r="K7" s="13" t="str">
        <f>IF(J7=0,"",IF(J7=CY7,$CC$1,IF(J7=BV7,$AZ$1,IF(J7=AS7,$W$1,""))))</f>
        <v>2022 Elite Canada</v>
      </c>
      <c r="L7" s="13">
        <f>IF(COUNT(AS7,BV7,CY7)&gt;1,LARGE((AS7,BV7,CY7),2),0)</f>
        <v>5.0000000000000002E-5</v>
      </c>
      <c r="M7" s="13" t="str">
        <f>IF(L7=0,"",IF(L7=CY7,$CC$1,IF(L7=BV7,$AZ$1,IF(L7=AS7,$W$1,""))))</f>
        <v>2021 Elite Canada</v>
      </c>
      <c r="N7" s="13">
        <f>IF(COUNT(AT7,BW7,CZ7)&gt;0,LARGE((AT7,BW7,CZ7),1),0)</f>
        <v>25.5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26.700000000000003</v>
      </c>
      <c r="S7" s="13" t="str">
        <f>IF(R7=0,"",IF(R7=DD7,$CC$1,IF(R7=CA7,$AZ$1,IF(R7=AX7,$W$1,""))))</f>
        <v>2022 Elite Canada</v>
      </c>
      <c r="T7" s="13">
        <f>IF(MAX(DF7:DH7)&gt;0,MAX(DF7:DH7),"")</f>
        <v>25.5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5.0000000000000002E-5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5.0000000000000002E-5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>IF(SUM(CD7,CH7)&gt;0,SUM(CD7,CH7),"")</f>
        <v>13.7</v>
      </c>
      <c r="CY7" s="76">
        <f>IF(SUM(CC7:CD7,CF7:CH7,CJ7)-CE7-CI7&gt;0,SUM(CC7:CD7,CF7:CH7,CJ7)-CE7-CI7,"")</f>
        <v>48.8</v>
      </c>
      <c r="CZ7" s="76">
        <f>IF(SUM(CK7:CL7,CN7)-CM7&gt;0,SUM(CK7:CL7,CN7)-CM7,"")</f>
        <v>25.5</v>
      </c>
      <c r="DA7" s="76">
        <f>IF(SUM(CD7,CH7,CL7)&gt;0,SUM(CD7,CH7,CL7),"")</f>
        <v>21.299999999999997</v>
      </c>
      <c r="DB7" s="76">
        <f>IF(SUM(CY7,CZ7)&gt;0,SUM(CY7,CZ7),"")</f>
        <v>74.3</v>
      </c>
      <c r="DC7" s="76">
        <f>IF(SUM(CP7,CT7)&gt;0,SUM(CP7,CT7),"")</f>
        <v>8.1</v>
      </c>
      <c r="DD7" s="76">
        <f>IF(SUM(CO7:CP7,CR7:CT7,CV7)-SUM(CQ7,CU7)&gt;0,SUM(CO7:CP7,CR7:CT7,CV7)-SUM(CQ7,CU7),"")</f>
        <v>26.700000000000003</v>
      </c>
      <c r="DE7" s="76">
        <f>IF(SUM(CY7,DD7)&gt;0,SUM(CY7,DD7),"")</f>
        <v>75.5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25.5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>IF(SUM(EL7,EP7)&gt;0,SUM(EL7,EP7),"")</f>
        <v>14.899999999999999</v>
      </c>
      <c r="FF7" s="16">
        <f>IF(SUM(EK7:EL7,EN7:EP7,ER7)-EM7-EQ7&gt;0,SUM(EK7:EL7,EN7:EP7,ER7)-EM7-EQ7,"")</f>
        <v>51.800000000000004</v>
      </c>
      <c r="FG7" s="16" t="str">
        <f>IF(SUM(ES7:ET7,EV7)-EU7&gt;0,SUM(ES7:ET7,EV7)-EU7,"")</f>
        <v/>
      </c>
      <c r="FH7" s="16">
        <f>IF(SUM(EL7,EP7,ET7)&gt;0,SUM(EL7,EP7,ET7),"")</f>
        <v>14.899999999999999</v>
      </c>
      <c r="FI7" s="16">
        <f>IF(SUM(FF7,FG7)&gt;0,SUM(FF7,FG7),"")</f>
        <v>51.800000000000004</v>
      </c>
      <c r="FJ7" s="16">
        <f>IF(SUM(EX7,FB7)&gt;0,SUM(EX7,FB7),"")</f>
        <v>11.3</v>
      </c>
      <c r="FK7" s="16">
        <f>IF(SUM(EW7:EX7,EZ7:FB7,FD7)-SUM(EY7,FC7)&gt;0,SUM(EW7:EX7,EZ7:FB7,FD7)-SUM(EY7,FC7),"")</f>
        <v>46.29999999999999</v>
      </c>
      <c r="FL7" s="16">
        <f>IF(SUM(FF7,FK7)&gt;0,SUM(FF7,FK7),"")</f>
        <v>98.1</v>
      </c>
      <c r="FM7" s="25">
        <v>18.899999999999999</v>
      </c>
      <c r="FN7" s="25">
        <v>7.2</v>
      </c>
      <c r="FO7" s="25">
        <v>0</v>
      </c>
      <c r="FP7" s="25">
        <v>0</v>
      </c>
      <c r="FQ7" s="25">
        <v>18.7</v>
      </c>
      <c r="FR7" s="25">
        <v>8.5</v>
      </c>
      <c r="FS7" s="25">
        <v>0.2</v>
      </c>
      <c r="FT7" s="25">
        <v>0</v>
      </c>
      <c r="FU7" s="25"/>
      <c r="FV7" s="25"/>
      <c r="FW7" s="25"/>
      <c r="FX7" s="25"/>
      <c r="FY7" s="25">
        <v>18.3</v>
      </c>
      <c r="FZ7" s="25">
        <v>8.5</v>
      </c>
      <c r="GA7" s="25">
        <v>0.2</v>
      </c>
      <c r="GB7" s="25">
        <v>0</v>
      </c>
      <c r="GC7" s="25">
        <v>19</v>
      </c>
      <c r="GD7" s="25">
        <v>7.2</v>
      </c>
      <c r="GE7" s="25">
        <v>0.6</v>
      </c>
      <c r="GF7" s="25">
        <v>0</v>
      </c>
      <c r="GG7" s="76">
        <f>IF(SUM(FN7,FR7)&gt;0,SUM(FN7,FR7),"")</f>
        <v>15.7</v>
      </c>
      <c r="GH7" s="76">
        <f>IF(SUM(FM7:FN7,FP7:FR7,FT7)-FO7-FS7&gt;0,SUM(FM7:FN7,FP7:FR7,FT7)-FO7-FS7,"")</f>
        <v>53.099999999999994</v>
      </c>
      <c r="GI7" s="76" t="str">
        <f>IF(SUM(FU7:FV7,FX7)-FW7&gt;0,SUM(FU7:FV7,FX7)-FW7,"")</f>
        <v/>
      </c>
      <c r="GJ7" s="76">
        <f>IF(SUM(FN7,FR7,FV7)&gt;0,SUM(FN7,FR7,FV7),"")</f>
        <v>15.7</v>
      </c>
      <c r="GK7" s="76">
        <f>IF(SUM(GH7,GI7)&gt;0,SUM(GH7,GI7),"")</f>
        <v>53.099999999999994</v>
      </c>
      <c r="GL7" s="76">
        <f>IF(SUM(FZ7,GD7)&gt;0,SUM(FZ7,GD7),"")</f>
        <v>15.7</v>
      </c>
      <c r="GM7" s="76">
        <f>IF(SUM(FY7:FZ7,GB7:GD7,GF7)-SUM(GA7,GE7)&gt;0,SUM(FY7:FZ7,GB7:GD7,GF7)-SUM(GA7,GE7),"")</f>
        <v>52.2</v>
      </c>
      <c r="GN7" s="76">
        <f>IF(SUM(GH7,GM7)&gt;0,SUM(GH7,GM7),"")</f>
        <v>105.3</v>
      </c>
      <c r="GO7" s="26">
        <v>17.399999999999999</v>
      </c>
      <c r="GP7" s="26">
        <v>4</v>
      </c>
      <c r="GQ7" s="26">
        <v>0</v>
      </c>
      <c r="GR7" s="26">
        <v>0</v>
      </c>
      <c r="GS7" s="26">
        <v>18.7</v>
      </c>
      <c r="GT7" s="26">
        <v>7.2</v>
      </c>
      <c r="GU7" s="26">
        <v>0.6</v>
      </c>
      <c r="GV7" s="26">
        <v>0</v>
      </c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>
        <f>IF(SUM(GP7,GT7)&gt;0,SUM(GP7,GT7),"")</f>
        <v>11.2</v>
      </c>
      <c r="HJ7" s="16">
        <f>IF(SUM(GO7:GP7,GR7:GT7,GV7)-GQ7-GU7&gt;0,SUM(GO7:GP7,GR7:GT7,GV7)-GQ7-GU7,"")</f>
        <v>46.699999999999996</v>
      </c>
      <c r="HK7" s="16" t="str">
        <f>IF(SUM(GW7:GX7,GZ7)-GY7&gt;0,SUM(GW7:GX7,GZ7)-GY7,"")</f>
        <v/>
      </c>
      <c r="HL7" s="16">
        <f>IF(SUM(GP7,GT7,GX7)&gt;0,SUM(GP7,GT7,GX7),"")</f>
        <v>11.2</v>
      </c>
      <c r="HM7" s="16">
        <f>IF(SUM(HJ7,HK7)&gt;0,SUM(HJ7,HK7),"")</f>
        <v>46.699999999999996</v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>
        <f>IF(SUM(HJ7,HO7)&gt;0,SUM(HJ7,HO7),"")</f>
        <v>46.699999999999996</v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9.35</v>
      </c>
      <c r="QH7" s="42">
        <f>IF($CW7="P",CD7,(CD7+BA7)/2)</f>
        <v>3.65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8.9</v>
      </c>
      <c r="QL7" s="42">
        <f>IF($CW7="P",CH7,(CH7+BE7)/2)</f>
        <v>3.2</v>
      </c>
      <c r="QM7" s="42">
        <f>IF($CW7="P",CI7,(CI7+BF7)/2)</f>
        <v>0.4</v>
      </c>
      <c r="QN7" s="42">
        <f>IF($CW7="P",CJ7,(CJ7+BG7)/2)</f>
        <v>0</v>
      </c>
      <c r="QO7" s="42">
        <f>IF($CW7="P",CK7,(CK7+BH7)/2)</f>
        <v>9.25</v>
      </c>
      <c r="QP7" s="42">
        <f>IF($CW7="P",CL7,(CL7+BI7)/2)</f>
        <v>3.8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9.25</v>
      </c>
      <c r="QT7" s="42">
        <f>IF($CW7="P",CP7,(CP7+BM7)/2)</f>
        <v>4.05</v>
      </c>
      <c r="QU7" s="42">
        <f>IF($CW7="P",CQ7,(CQ7+BN7)/2)</f>
        <v>0.1</v>
      </c>
      <c r="QV7" s="42">
        <f>IF($CW7="P",CR7,(CR7+BO7)/2)</f>
        <v>0.15</v>
      </c>
      <c r="QW7" s="42">
        <f>IF($CW7="P",CS7,(CS7+BP7)/2)</f>
        <v>0</v>
      </c>
      <c r="QX7" s="42">
        <f>IF($CW7="P",CT7,(CT7+BQ7)/2)</f>
        <v>0</v>
      </c>
      <c r="QY7" s="42">
        <f>IF($CW7="P",CU7,(CU7+BR7)/2)</f>
        <v>0</v>
      </c>
      <c r="QZ7" s="42">
        <f>IF($CW7="P",CV7,(CV7+BS7)/2)</f>
        <v>0</v>
      </c>
      <c r="RA7" s="51" t="s">
        <v>61</v>
      </c>
      <c r="RB7" s="76">
        <f>IF(SUM(QH7,QL7)&gt;0,SUM(QH7,QL7),"")</f>
        <v>6.85</v>
      </c>
      <c r="RC7" s="76">
        <f>IF(SUM(QG7:QH7,QJ7:QL7,QN7)-QI7-QM7&gt;0,SUM(QG7:QH7,QJ7:QL7,QN7)-QI7-QM7,"")</f>
        <v>24.4</v>
      </c>
      <c r="RD7" s="76">
        <f>IF(SUM(QO7:QP7,QR7)-QQ7&gt;0,SUM(QO7:QP7,QR7)-QQ7,"")</f>
        <v>12.75</v>
      </c>
      <c r="RE7" s="76">
        <f>IF(SUM(QH7,QL7,QP7)&gt;0,SUM(QH7,QL7,QP7),"")</f>
        <v>10.649999999999999</v>
      </c>
      <c r="RF7" s="76">
        <f>IF(SUM(RC7,RD7)&gt;0,SUM(RC7,RD7),"")</f>
        <v>37.15</v>
      </c>
      <c r="RG7" s="76">
        <f>IF(SUM(QT7,QX7)&gt;0,SUM(QT7,QX7),"")</f>
        <v>4.05</v>
      </c>
      <c r="RH7" s="76">
        <f>IF(SUM(QS7:QT7,QV7:QX7,QZ7)-SUM(QU7,QY7)&gt;0,SUM(QS7:QT7,QV7:QX7,QZ7)-SUM(QU7,QY7),"")</f>
        <v>13.350000000000001</v>
      </c>
      <c r="RI7" s="76">
        <f>IF(SUM(RC7,RH7)&gt;0,SUM(RC7,RH7),"")</f>
        <v>37.75</v>
      </c>
    </row>
    <row r="8" spans="1:477" x14ac:dyDescent="0.2">
      <c r="A8" s="5">
        <f>IF(AND(F8="P",G8="P"),SUMPRODUCT((F$4:F$18="P")*(G$4:G$18="P")*(E$4:E$18&gt;E8))+1,IF(G8="P",SUMPRODUCT((F$4:F$18="")*(G$4:G$18="P")*(E$4:E$18&gt;E8))+1+SUMPRODUCT((F$4:F$18="P")*(G$4:G$18="P")),""))</f>
        <v>5</v>
      </c>
      <c r="B8" s="6" t="s">
        <v>173</v>
      </c>
      <c r="C8" s="7" t="s">
        <v>6</v>
      </c>
      <c r="D8" s="18">
        <v>2001</v>
      </c>
      <c r="E8" s="14">
        <f>SUM(J8:T8)+SUM(J8:P8)*0.0000001+SUM(J8)*0.0000000000001</f>
        <v>20.000002000001999</v>
      </c>
      <c r="F8" s="3" t="str">
        <f>IF(OR(AND(AR8&gt;=AY$20,AS8&gt;=AY$24,AR8&lt;&gt;"",AQ8=""),AND(AW8&gt;=AY$20,AX8&gt;=AY$24,AW8&lt;&gt;"",AQ8=""),AND(BU8&gt;=CB$20,BV8&gt;=CB$24,BU8&lt;&gt;"",BT8=""),AND(BZ8&gt;=CB$20,CA8&gt;=CB$24,BZ8&lt;&gt;"",BT8=""),AND(CX8&gt;=DE$20,CY8&gt;=DE$24,CX8&lt;&gt;"",CW8=""),AND(DC8&gt;=DE$20,DD8&gt;=DE$24,DC8&lt;&gt;""),AND(EC8&gt;=EJ$20,ED8&gt;=EJ$24,EC8&lt;&gt;""),AND(EH8&gt;=EJ$20,EI8&gt;=EJ$24,EH8&lt;&gt;""),AND(FE8&gt;=FL$20,FF8&gt;=FL$24,FE8&lt;&gt;""),AND(FJ8&gt;=FL$20,FK8&gt;=FL$24,FJ8&lt;&gt;""),AND(GG8&gt;=GN$20,GH8&gt;=GN$24,GG8&lt;&gt;""),AND(GL8&gt;=GN$20,GM8&gt;=GN$24,GL8&lt;&gt;""),AND(HI8&gt;=HP$20,HJ8&gt;=HP$24,HI8&lt;&gt;""),AND(HN8&gt;=HP$20,HO8&gt;=HP$24,HN8&lt;&gt;""),AND(IK8&gt;=IR$20,IL8&gt;=IR$24,IK8&lt;&gt;""),AND(IP8&gt;=IR$20,IQ8&gt;=IR$24,IP8&lt;&gt;""),AND(JM8&gt;=JT$20,JN8&gt;=JT$24,JM8&lt;&gt;""),AND(JR8&gt;=JT$20,JS8&gt;=JT$24,JR8&lt;&gt;""),AND(KO8&gt;=KV$20,KP8&gt;=KV$24,KO8&lt;&gt;""),AND(KT8&gt;=KV$20,KU8&gt;=KV$24,KT8&lt;&gt;""),AND(LQ8&gt;=LX$20,LR8&gt;=LX$24,LQ8&lt;&gt;""),AND(LV8&gt;=LX$20,LW8&gt;=LX$24,LV8&lt;&gt;""),AND(MS8&gt;=MZ$20,MT8&gt;=MZ$24,MS8&lt;&gt;""),AND(MX8&gt;=MZ$20,MY8&gt;=MZ$24,MX8&lt;&gt;""),AND(NU8&gt;=OB$20,NV8&gt;=OB$24,NU8&lt;&gt;""),AND(NZ8&gt;=OB$20,OA8&gt;=OB$24,NZ8&lt;&gt;""),AND(OW8&gt;=PD$20,OX8&gt;=PD$24,OW8&lt;&gt;""),AND(PB8&gt;=PD$20,PC8&gt;=PD$24,PB8&lt;&gt;""),AND(PY8&gt;=QF$20,PZ8&gt;=QF$24,PY8&lt;&gt;""),AND(QD8&gt;=QF$20,QE8&gt;=QF$24,QD8&lt;&gt;"")),"P","")</f>
        <v>P</v>
      </c>
      <c r="G8" s="3" t="str">
        <f>IF(OR(AND(AS8&gt;=AY$24,AS8&lt;&gt;"",AQ8=""),AND(AX8&gt;=AY$24,AX8&lt;&gt;"",AQ8=""),AND(BV8&gt;=CB$24,BV8&lt;&gt;"",BT8=""),AND(CA8&gt;=CB$24,CA8&lt;&gt;"",BT8=""),AND(CY8&gt;=DE$24,CY8&lt;&gt;"",CW8=""),AND(DD8&gt;=DE$24,DD8&lt;&gt;"",CW8=""),AND(ED8&gt;=EJ$24,ED8&lt;&gt;""),AND(EI8&gt;=EJ$24,EI8&lt;&gt;""),AND(FF8&gt;=FL$24,FF8&lt;&gt;""),AND(FK8&gt;=FL$24,FK8&lt;&gt;""),AND(GH8&gt;=GN$24,GH8&lt;&gt;""),AND(GM8&gt;=GN$24,GM8&lt;&gt;""),AND(HJ8&gt;=HP$24,HJ8&lt;&gt;""),AND(HO8&gt;=HP$24,HO8&lt;&gt;""),AND(IL8&gt;=IR$24,IL8&lt;&gt;""),AND(IQ8&gt;=IR$24,IQ8&lt;&gt;""),AND(JN8&gt;=JT$24,JN8&lt;&gt;""),AND(JS8&gt;=JT$24,JS8&lt;&gt;""),AND(KP8&gt;=KV$24,KP8&lt;&gt;""),AND(KU8&gt;=KV$24,KU8&lt;&gt;""),AND(LR8&gt;=LX$24,LR8&lt;&gt;""),AND(LW8&gt;=LX$24,LW8&lt;&gt;""),AND(MT8&gt;=MZ$24,MT8&lt;&gt;""),AND(MY8&gt;=MZ$24,MY8&lt;&gt;""),AND(NV8&gt;=OB$24,NV8&lt;&gt;""),AND(OA8&gt;=OB$24,OA8&lt;&gt;""),AND(OX8&gt;=PD$24,OX8&lt;&gt;""),AND(PC8&gt;=PD$24,PC8&lt;&gt;""),AND(PZ8&gt;=QF$24,PZ8&lt;&gt;""),AND(QE8&gt;=QF$24,QE8&lt;&gt;"")),"P","")</f>
        <v>P</v>
      </c>
      <c r="H8" s="70" t="str">
        <f>IF(AND(G8="P",F8=""),"No DD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Merit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Excellence",IF(I8="P","Worlds Team",IF(F8="P","National Team","")))))</f>
        <v>National Team</v>
      </c>
      <c r="I8" s="3" t="str">
        <f>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P","")</f>
        <v/>
      </c>
      <c r="J8" s="13">
        <f>IF(COUNT(AS8,BV8,CY8)&gt;0,LARGE((AS8,BV8,CY8),1),0)</f>
        <v>20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0</v>
      </c>
      <c r="O8" s="13" t="str">
        <f>IF(N8=0,"",IF(N8=CZ8,$CC$1,IF(N8=BW8,$AZ$1,IF(N8=AT8,$W$1,""))))</f>
        <v/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0</v>
      </c>
      <c r="S8" s="13" t="str">
        <f>IF(R8=0,"",IF(R8=DD8,$CC$1,IF(R8=CA8,$AZ$1,IF(R8=AX8,$W$1,""))))</f>
        <v/>
      </c>
      <c r="T8" s="13" t="str">
        <f>IF(MAX(DF8:DH8)&gt;0,MAX(DF8:DH8),"")</f>
        <v/>
      </c>
      <c r="U8" s="16" t="str">
        <f>IF(T8="","",IF(T8=DF8,"("&amp;DF$2&amp;")",IF(T8=DH8,"("&amp;DH$2&amp;")")))</f>
        <v/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/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>IF(SUM(CD8,CH8)&gt;0,SUM(CD8,CH8),"")</f>
        <v>2.4</v>
      </c>
      <c r="CY8" s="76">
        <f>IF(SUM(CC8:CD8,CF8:CH8,CJ8)-CE8-CI8&gt;0,SUM(CC8:CD8,CF8:CH8,CJ8)-CE8-CI8,"")</f>
        <v>20</v>
      </c>
      <c r="CZ8" s="76" t="str">
        <f>IF(SUM(CK8:CL8,CN8)-CM8&gt;0,SUM(CK8:CL8,CN8)-CM8,"")</f>
        <v/>
      </c>
      <c r="DA8" s="76">
        <f>IF(SUM(CD8,CH8,CL8)&gt;0,SUM(CD8,CH8,CL8),"")</f>
        <v>2.4</v>
      </c>
      <c r="DB8" s="76">
        <f>IF(SUM(CY8,CZ8)&gt;0,SUM(CY8,CZ8),"")</f>
        <v>20</v>
      </c>
      <c r="DC8" s="76" t="str">
        <f>IF(SUM(CP8,CT8)&gt;0,SUM(CP8,CT8),"")</f>
        <v/>
      </c>
      <c r="DD8" s="76" t="str">
        <f>IF(SUM(CO8:CP8,CR8:CT8,CV8)-SUM(CQ8,CU8)&gt;0,SUM(CO8:CP8,CR8:CT8,CV8)-SUM(CQ8,CU8),"")</f>
        <v/>
      </c>
      <c r="DE8" s="76">
        <f>IF(SUM(CY8,DD8)&gt;0,SUM(CY8,DD8),"")</f>
        <v>20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>IF(SUM(EL8,EP8)&gt;0,SUM(EL8,EP8),"")</f>
        <v>15.3</v>
      </c>
      <c r="FF8" s="16">
        <f>IF(SUM(EK8:EL8,EN8:EP8,ER8)-EM8-EQ8&gt;0,SUM(EK8:EL8,EN8:EP8,ER8)-EM8-EQ8,"")</f>
        <v>51.9</v>
      </c>
      <c r="FG8" s="16" t="str">
        <f>IF(SUM(ES8:ET8,EV8)-EU8&gt;0,SUM(ES8:ET8,EV8)-EU8,"")</f>
        <v/>
      </c>
      <c r="FH8" s="16">
        <f>IF(SUM(EL8,EP8,ET8)&gt;0,SUM(EL8,EP8,ET8),"")</f>
        <v>15.3</v>
      </c>
      <c r="FI8" s="16">
        <f>IF(SUM(FF8,FG8)&gt;0,SUM(FF8,FG8),"")</f>
        <v>51.9</v>
      </c>
      <c r="FJ8" s="16">
        <f>IF(SUM(EX8,FB8)&gt;0,SUM(EX8,FB8),"")</f>
        <v>10.5</v>
      </c>
      <c r="FK8" s="16">
        <f>IF(SUM(EW8:EX8,EZ8:FB8,FD8)-SUM(EY8,FC8)&gt;0,SUM(EW8:EX8,EZ8:FB8,FD8)-SUM(EY8,FC8),"")</f>
        <v>45.500000000000007</v>
      </c>
      <c r="FL8" s="16">
        <f>IF(SUM(FF8,FK8)&gt;0,SUM(FF8,FK8),"")</f>
        <v>97.4</v>
      </c>
      <c r="FM8" s="25">
        <v>18.399999999999999</v>
      </c>
      <c r="FN8" s="25">
        <v>6</v>
      </c>
      <c r="FO8" s="25">
        <v>0.8</v>
      </c>
      <c r="FP8" s="25">
        <v>0</v>
      </c>
      <c r="FQ8" s="25">
        <v>18.600000000000001</v>
      </c>
      <c r="FR8" s="25">
        <v>6</v>
      </c>
      <c r="FS8" s="25">
        <v>0</v>
      </c>
      <c r="FT8" s="25">
        <v>0</v>
      </c>
      <c r="FU8" s="25"/>
      <c r="FV8" s="25"/>
      <c r="FW8" s="25"/>
      <c r="FX8" s="25"/>
      <c r="FY8" s="25">
        <v>19.3</v>
      </c>
      <c r="FZ8" s="25">
        <v>7.6</v>
      </c>
      <c r="GA8" s="25">
        <v>0</v>
      </c>
      <c r="GB8" s="25">
        <v>0.3</v>
      </c>
      <c r="GC8" s="25">
        <v>18.3</v>
      </c>
      <c r="GD8" s="25">
        <v>3.7</v>
      </c>
      <c r="GE8" s="25">
        <v>2.2999999999999998</v>
      </c>
      <c r="GF8" s="25">
        <v>0</v>
      </c>
      <c r="GG8" s="76">
        <f>IF(SUM(FN8,FR8)&gt;0,SUM(FN8,FR8),"")</f>
        <v>12</v>
      </c>
      <c r="GH8" s="76">
        <f>IF(SUM(FM8:FN8,FP8:FR8,FT8)-FO8-FS8&gt;0,SUM(FM8:FN8,FP8:FR8,FT8)-FO8-FS8,"")</f>
        <v>48.2</v>
      </c>
      <c r="GI8" s="76" t="str">
        <f>IF(SUM(FU8:FV8,FX8)-FW8&gt;0,SUM(FU8:FV8,FX8)-FW8,"")</f>
        <v/>
      </c>
      <c r="GJ8" s="76">
        <f>IF(SUM(FN8,FR8,FV8)&gt;0,SUM(FN8,FR8,FV8),"")</f>
        <v>12</v>
      </c>
      <c r="GK8" s="76">
        <f>IF(SUM(GH8,GI8)&gt;0,SUM(GH8,GI8),"")</f>
        <v>48.2</v>
      </c>
      <c r="GL8" s="76">
        <f>IF(SUM(FZ8,GD8)&gt;0,SUM(FZ8,GD8),"")</f>
        <v>11.3</v>
      </c>
      <c r="GM8" s="76">
        <f>IF(SUM(FY8:FZ8,GB8:GD8,GF8)-SUM(GA8,GE8)&gt;0,SUM(FY8:FZ8,GB8:GD8,GF8)-SUM(GA8,GE8),"")</f>
        <v>46.900000000000006</v>
      </c>
      <c r="GN8" s="76">
        <f>IF(SUM(GH8,GM8)&gt;0,SUM(GH8,GM8),"")</f>
        <v>95.100000000000009</v>
      </c>
      <c r="GO8" s="26">
        <v>18.8</v>
      </c>
      <c r="GP8" s="26">
        <v>8</v>
      </c>
      <c r="GQ8" s="26">
        <v>0.6</v>
      </c>
      <c r="GR8" s="26">
        <v>0</v>
      </c>
      <c r="GS8" s="26">
        <v>18.100000000000001</v>
      </c>
      <c r="GT8" s="26">
        <v>7.6</v>
      </c>
      <c r="GU8" s="26">
        <v>0.6</v>
      </c>
      <c r="GV8" s="26">
        <v>0</v>
      </c>
      <c r="GW8" s="26"/>
      <c r="GX8" s="26"/>
      <c r="GY8" s="26"/>
      <c r="GZ8" s="26"/>
      <c r="HA8" s="26">
        <v>18.100000000000001</v>
      </c>
      <c r="HB8" s="26">
        <v>8.9</v>
      </c>
      <c r="HC8" s="26">
        <v>1</v>
      </c>
      <c r="HD8" s="26">
        <v>0</v>
      </c>
      <c r="HE8" s="26"/>
      <c r="HF8" s="26"/>
      <c r="HG8" s="26"/>
      <c r="HH8" s="26"/>
      <c r="HI8" s="16">
        <f>IF(SUM(GP8,GT8)&gt;0,SUM(GP8,GT8),"")</f>
        <v>15.6</v>
      </c>
      <c r="HJ8" s="16">
        <f>IF(SUM(GO8:GP8,GR8:GT8,GV8)-GQ8-GU8&gt;0,SUM(GO8:GP8,GR8:GT8,GV8)-GQ8-GU8,"")</f>
        <v>51.300000000000004</v>
      </c>
      <c r="HK8" s="16" t="str">
        <f>IF(SUM(GW8:GX8,GZ8)-GY8&gt;0,SUM(GW8:GX8,GZ8)-GY8,"")</f>
        <v/>
      </c>
      <c r="HL8" s="16">
        <f>IF(SUM(GP8,GT8,GX8)&gt;0,SUM(GP8,GT8,GX8),"")</f>
        <v>15.6</v>
      </c>
      <c r="HM8" s="16">
        <f>IF(SUM(HJ8,HK8)&gt;0,SUM(HJ8,HK8),"")</f>
        <v>51.300000000000004</v>
      </c>
      <c r="HN8" s="16">
        <f>IF(SUM(HB8,HF8)&gt;0,SUM(HB8,HF8),"")</f>
        <v>8.9</v>
      </c>
      <c r="HO8" s="16">
        <f>IF(SUM(HA8:HB8,HD8:HF8,HH8)-SUM(HC8,HG8)&gt;0,SUM(HA8:HB8,HD8:HF8,HH8)-SUM(HC8,HG8),"")</f>
        <v>26</v>
      </c>
      <c r="HP8" s="16">
        <f>IF(SUM(HJ8,HO8)&gt;0,SUM(HJ8,HO8),"")</f>
        <v>77.300000000000011</v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8.8000000000000007</v>
      </c>
      <c r="QH8" s="42">
        <f>IF($CW8="P",CD8,(CD8+BA8)/2)</f>
        <v>1.2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0</v>
      </c>
      <c r="QL8" s="42">
        <f>IF($CW8="P",CH8,(CH8+BE8)/2)</f>
        <v>0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0</v>
      </c>
      <c r="QP8" s="42">
        <f>IF($CW8="P",CL8,(CL8+BI8)/2)</f>
        <v>0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0</v>
      </c>
      <c r="QT8" s="42">
        <f>IF($CW8="P",CP8,(CP8+BM8)/2)</f>
        <v>0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0</v>
      </c>
      <c r="QX8" s="42">
        <f>IF($CW8="P",CT8,(CT8+BQ8)/2)</f>
        <v>0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1.2</v>
      </c>
      <c r="RC8" s="76">
        <f>IF(SUM(QG8:QH8,QJ8:QL8,QN8)-QI8-QM8&gt;0,SUM(QG8:QH8,QJ8:QL8,QN8)-QI8-QM8,"")</f>
        <v>10</v>
      </c>
      <c r="RD8" s="76" t="str">
        <f>IF(SUM(QO8:QP8,QR8)-QQ8&gt;0,SUM(QO8:QP8,QR8)-QQ8,"")</f>
        <v/>
      </c>
      <c r="RE8" s="76">
        <f>IF(SUM(QH8,QL8,QP8)&gt;0,SUM(QH8,QL8,QP8),"")</f>
        <v>1.2</v>
      </c>
      <c r="RF8" s="76">
        <f>IF(SUM(RC8,RD8)&gt;0,SUM(RC8,RD8),"")</f>
        <v>10</v>
      </c>
      <c r="RG8" s="76" t="str">
        <f>IF(SUM(QT8,QX8)&gt;0,SUM(QT8,QX8),"")</f>
        <v/>
      </c>
      <c r="RH8" s="76" t="str">
        <f>IF(SUM(QS8:QT8,QV8:QX8,QZ8)-SUM(QU8,QY8)&gt;0,SUM(QS8:QT8,QV8:QX8,QZ8)-SUM(QU8,QY8),"")</f>
        <v/>
      </c>
      <c r="RI8" s="76">
        <f>IF(SUM(RC8,RH8)&gt;0,SUM(RC8,RH8),"")</f>
        <v>10</v>
      </c>
    </row>
    <row r="9" spans="1:477" x14ac:dyDescent="0.2">
      <c r="A9" s="5" t="str">
        <f>IF(AND(F9="P",G9="P"),SUMPRODUCT((F$4:F$18="P")*(G$4:G$18="P")*(E$4:E$18&gt;E9))+1,IF(G9="P",SUMPRODUCT((F$4:F$18="")*(G$4:G$18="P")*(E$4:E$18&gt;E9))+1+SUMPRODUCT((F$4:F$18="P")*(G$4:G$18="P")),""))</f>
        <v/>
      </c>
      <c r="B9" s="6" t="s">
        <v>167</v>
      </c>
      <c r="C9" s="7" t="s">
        <v>5</v>
      </c>
      <c r="D9" s="18">
        <v>1999</v>
      </c>
      <c r="E9" s="14">
        <f>SUM(J9:T9)+SUM(J9:P9)*0.0000001+SUM(J9)*0.0000000000001</f>
        <v>126.20000756000505</v>
      </c>
      <c r="F9" s="3" t="str">
        <f>IF(OR(AND(AR9&gt;=AY$20,AS9&gt;=AY$24,AR9&lt;&gt;"",AQ9=""),AND(AW9&gt;=AY$20,AX9&gt;=AY$24,AW9&lt;&gt;"",AQ9=""),AND(BU9&gt;=CB$20,BV9&gt;=CB$24,BU9&lt;&gt;"",BT9=""),AND(BZ9&gt;=CB$20,CA9&gt;=CB$24,BZ9&lt;&gt;"",BT9=""),AND(CX9&gt;=DE$20,CY9&gt;=DE$24,CX9&lt;&gt;"",CW9=""),AND(DC9&gt;=DE$20,DD9&gt;=DE$24,DC9&lt;&gt;""),AND(EC9&gt;=EJ$20,ED9&gt;=EJ$24,EC9&lt;&gt;""),AND(EH9&gt;=EJ$20,EI9&gt;=EJ$24,EH9&lt;&gt;""),AND(FE9&gt;=FL$20,FF9&gt;=FL$24,FE9&lt;&gt;""),AND(FJ9&gt;=FL$20,FK9&gt;=FL$24,FJ9&lt;&gt;""),AND(GG9&gt;=GN$20,GH9&gt;=GN$24,GG9&lt;&gt;""),AND(GL9&gt;=GN$20,GM9&gt;=GN$24,GL9&lt;&gt;""),AND(HI9&gt;=HP$20,HJ9&gt;=HP$24,HI9&lt;&gt;""),AND(HN9&gt;=HP$20,HO9&gt;=HP$24,HN9&lt;&gt;""),AND(IK9&gt;=IR$20,IL9&gt;=IR$24,IK9&lt;&gt;""),AND(IP9&gt;=IR$20,IQ9&gt;=IR$24,IP9&lt;&gt;""),AND(JM9&gt;=JT$20,JN9&gt;=JT$24,JM9&lt;&gt;""),AND(JR9&gt;=JT$20,JS9&gt;=JT$24,JR9&lt;&gt;""),AND(KO9&gt;=KV$20,KP9&gt;=KV$24,KO9&lt;&gt;""),AND(KT9&gt;=KV$20,KU9&gt;=KV$24,KT9&lt;&gt;""),AND(LQ9&gt;=LX$20,LR9&gt;=LX$24,LQ9&lt;&gt;""),AND(LV9&gt;=LX$20,LW9&gt;=LX$24,LV9&lt;&gt;""),AND(MS9&gt;=MZ$20,MT9&gt;=MZ$24,MS9&lt;&gt;""),AND(MX9&gt;=MZ$20,MY9&gt;=MZ$24,MX9&lt;&gt;""),AND(NU9&gt;=OB$20,NV9&gt;=OB$24,NU9&lt;&gt;""),AND(NZ9&gt;=OB$20,OA9&gt;=OB$24,NZ9&lt;&gt;""),AND(OW9&gt;=PD$20,OX9&gt;=PD$24,OW9&lt;&gt;""),AND(PB9&gt;=PD$20,PC9&gt;=PD$24,PB9&lt;&gt;""),AND(PY9&gt;=QF$20,PZ9&gt;=QF$24,PY9&lt;&gt;""),AND(QD9&gt;=QF$20,QE9&gt;=QF$24,QD9&lt;&gt;"")),"P","")</f>
        <v/>
      </c>
      <c r="G9" s="3" t="str">
        <f>IF(OR(AND(AS9&gt;=AY$24,AS9&lt;&gt;"",AQ9=""),AND(AX9&gt;=AY$24,AX9&lt;&gt;"",AQ9=""),AND(BV9&gt;=CB$24,BV9&lt;&gt;"",BT9=""),AND(CA9&gt;=CB$24,CA9&lt;&gt;"",BT9=""),AND(CY9&gt;=DE$24,CY9&lt;&gt;"",CW9=""),AND(DD9&gt;=DE$24,DD9&lt;&gt;"",CW9=""),AND(ED9&gt;=EJ$24,ED9&lt;&gt;""),AND(EI9&gt;=EJ$24,EI9&lt;&gt;""),AND(FF9&gt;=FL$24,FF9&lt;&gt;""),AND(FK9&gt;=FL$24,FK9&lt;&gt;""),AND(GH9&gt;=GN$24,GH9&lt;&gt;""),AND(GM9&gt;=GN$24,GM9&lt;&gt;""),AND(HJ9&gt;=HP$24,HJ9&lt;&gt;""),AND(HO9&gt;=HP$24,HO9&lt;&gt;""),AND(IL9&gt;=IR$24,IL9&lt;&gt;""),AND(IQ9&gt;=IR$24,IQ9&lt;&gt;""),AND(JN9&gt;=JT$24,JN9&lt;&gt;""),AND(JS9&gt;=JT$24,JS9&lt;&gt;""),AND(KP9&gt;=KV$24,KP9&lt;&gt;""),AND(KU9&gt;=KV$24,KU9&lt;&gt;""),AND(LR9&gt;=LX$24,LR9&lt;&gt;""),AND(LW9&gt;=LX$24,LW9&lt;&gt;""),AND(MT9&gt;=MZ$24,MT9&lt;&gt;""),AND(MY9&gt;=MZ$24,MY9&lt;&gt;""),AND(NV9&gt;=OB$24,NV9&lt;&gt;""),AND(OA9&gt;=OB$24,OA9&lt;&gt;""),AND(OX9&gt;=PD$24,OX9&lt;&gt;""),AND(PC9&gt;=PD$24,PC9&lt;&gt;""),AND(PZ9&gt;=QF$24,PZ9&lt;&gt;""),AND(QE9&gt;=QF$24,QE9&lt;&gt;"")),"P","")</f>
        <v/>
      </c>
      <c r="H9" s="70" t="str">
        <f>IF(AND(G9="P",F9=""),"No DD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Merit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Excellence",IF(I9="P","Worlds Team",IF(F9="P","National Team","")))))</f>
        <v/>
      </c>
      <c r="I9" s="3" t="str">
        <f>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P","")</f>
        <v/>
      </c>
      <c r="J9" s="13">
        <f>IF(COUNT(AS9,BV9,CY9)&gt;0,LARGE((AS9,BV9,CY9),1),0)</f>
        <v>50.599999999999994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25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50.400000000000006</v>
      </c>
      <c r="S9" s="13" t="str">
        <f>IF(R9=0,"",IF(R9=DD9,$CC$1,IF(R9=CA9,$AZ$1,IF(R9=AX9,$W$1,""))))</f>
        <v>2022 Elite Canada</v>
      </c>
      <c r="T9" s="13">
        <f>IF(MAX(DF9:DH9)&gt;0,MAX(DF9:DH9),"")</f>
        <v>0.19999999999998863</v>
      </c>
      <c r="U9" s="16" t="str">
        <f>IF(T9="","",IF(T9=DF9,"("&amp;DF$2&amp;")",IF(T9=DH9,"("&amp;DH$2&amp;")")))</f>
        <v>(Final)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>IF(SUM(CD9,CH9)&gt;0,SUM(CD9,CH9),"")</f>
        <v>13.2</v>
      </c>
      <c r="CY9" s="76">
        <f>IF(SUM(CC9:CD9,CF9:CH9,CJ9)-CE9-CI9&gt;0,SUM(CC9:CD9,CF9:CH9,CJ9)-CE9-CI9,"")</f>
        <v>50.599999999999994</v>
      </c>
      <c r="CZ9" s="76">
        <f>IF(SUM(CK9:CL9,CN9)-CM9&gt;0,SUM(CK9:CL9,CN9)-CM9,"")</f>
        <v>25</v>
      </c>
      <c r="DA9" s="76">
        <f>IF(SUM(CD9,CH9,CL9)&gt;0,SUM(CD9,CH9,CL9),"")</f>
        <v>19.2</v>
      </c>
      <c r="DB9" s="76">
        <f>IF(SUM(CY9,CZ9)&gt;0,SUM(CY9,CZ9),"")</f>
        <v>75.599999999999994</v>
      </c>
      <c r="DC9" s="76">
        <f>IF(SUM(CP9,CT9)&gt;0,SUM(CP9,CT9),"")</f>
        <v>13.2</v>
      </c>
      <c r="DD9" s="76">
        <f>IF(SUM(CO9:CP9,CR9:CT9,CV9)-SUM(CQ9,CU9)&gt;0,SUM(CO9:CP9,CR9:CT9,CV9)-SUM(CQ9,CU9),"")</f>
        <v>50.400000000000006</v>
      </c>
      <c r="DE9" s="76">
        <f>IF(SUM(CY9,DD9)&gt;0,SUM(CY9,DD9),"")</f>
        <v>101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>IF(SUM(EL9,EP9)&gt;0,SUM(EL9,EP9),"")</f>
        <v>13.2</v>
      </c>
      <c r="FF9" s="16">
        <f>IF(SUM(EK9:EL9,EN9:EP9,ER9)-EM9-EQ9&gt;0,SUM(EK9:EL9,EN9:EP9,ER9)-EM9-EQ9,"")</f>
        <v>50.3</v>
      </c>
      <c r="FG9" s="16" t="str">
        <f>IF(SUM(ES9:ET9,EV9)-EU9&gt;0,SUM(ES9:ET9,EV9)-EU9,"")</f>
        <v/>
      </c>
      <c r="FH9" s="16">
        <f>IF(SUM(EL9,EP9,ET9)&gt;0,SUM(EL9,EP9,ET9),"")</f>
        <v>13.2</v>
      </c>
      <c r="FI9" s="16">
        <f>IF(SUM(FF9,FG9)&gt;0,SUM(FF9,FG9),"")</f>
        <v>50.3</v>
      </c>
      <c r="FJ9" s="16">
        <f>IF(SUM(EX9,FB9)&gt;0,SUM(EX9,FB9),"")</f>
        <v>14</v>
      </c>
      <c r="FK9" s="16">
        <f>IF(SUM(EW9:EX9,EZ9:FB9,FD9)-SUM(EY9,FC9)&gt;0,SUM(EW9:EX9,EZ9:FB9,FD9)-SUM(EY9,FC9),"")</f>
        <v>50.599999999999994</v>
      </c>
      <c r="FL9" s="16">
        <f>IF(SUM(FF9,FK9)&gt;0,SUM(FF9,FK9),"")</f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9.5</v>
      </c>
      <c r="QH9" s="42">
        <f>IF($CW9="P",CD9,(CD9+BA9)/2)</f>
        <v>3.6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9.1999999999999993</v>
      </c>
      <c r="QL9" s="42">
        <f>IF($CW9="P",CH9,(CH9+BE9)/2)</f>
        <v>3</v>
      </c>
      <c r="QM9" s="42">
        <f>IF($CW9="P",CI9,(CI9+BF9)/2)</f>
        <v>0</v>
      </c>
      <c r="QN9" s="42">
        <f>IF($CW9="P",CJ9,(CJ9+BG9)/2)</f>
        <v>0</v>
      </c>
      <c r="QO9" s="42">
        <f>IF($CW9="P",CK9,(CK9+BH9)/2)</f>
        <v>9.5</v>
      </c>
      <c r="QP9" s="42">
        <f>IF($CW9="P",CL9,(CL9+BI9)/2)</f>
        <v>3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9.4</v>
      </c>
      <c r="QT9" s="42">
        <f>IF($CW9="P",CP9,(CP9+BM9)/2)</f>
        <v>3.2</v>
      </c>
      <c r="QU9" s="42">
        <f>IF($CW9="P",CQ9,(CQ9+BN9)/2)</f>
        <v>0.4</v>
      </c>
      <c r="QV9" s="42">
        <f>IF($CW9="P",CR9,(CR9+BO9)/2)</f>
        <v>0</v>
      </c>
      <c r="QW9" s="42">
        <f>IF($CW9="P",CS9,(CS9+BP9)/2)</f>
        <v>9.6</v>
      </c>
      <c r="QX9" s="42">
        <f>IF($CW9="P",CT9,(CT9+BQ9)/2)</f>
        <v>3.4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6.6</v>
      </c>
      <c r="RC9" s="76">
        <f>IF(SUM(QG9:QH9,QJ9:QL9,QN9)-QI9-QM9&gt;0,SUM(QG9:QH9,QJ9:QL9,QN9)-QI9-QM9,"")</f>
        <v>25.299999999999997</v>
      </c>
      <c r="RD9" s="76">
        <f>IF(SUM(QO9:QP9,QR9)-QQ9&gt;0,SUM(QO9:QP9,QR9)-QQ9,"")</f>
        <v>12.5</v>
      </c>
      <c r="RE9" s="76">
        <f>IF(SUM(QH9,QL9,QP9)&gt;0,SUM(QH9,QL9,QP9),"")</f>
        <v>9.6</v>
      </c>
      <c r="RF9" s="76">
        <f>IF(SUM(RC9,RD9)&gt;0,SUM(RC9,RD9),"")</f>
        <v>37.799999999999997</v>
      </c>
      <c r="RG9" s="76">
        <f>IF(SUM(QT9,QX9)&gt;0,SUM(QT9,QX9),"")</f>
        <v>6.6</v>
      </c>
      <c r="RH9" s="76">
        <f>IF(SUM(QS9:QT9,QV9:QX9,QZ9)-SUM(QU9,QY9)&gt;0,SUM(QS9:QT9,QV9:QX9,QZ9)-SUM(QU9,QY9),"")</f>
        <v>25.200000000000003</v>
      </c>
      <c r="RI9" s="76">
        <f>IF(SUM(RC9,RH9)&gt;0,SUM(RC9,RH9),"")</f>
        <v>50.5</v>
      </c>
    </row>
    <row r="10" spans="1:477" x14ac:dyDescent="0.2">
      <c r="A10" s="5" t="str">
        <f>IF(AND(F10="P",G10="P"),SUMPRODUCT((F$4:F$18="P")*(G$4:G$18="P")*(E$4:E$18&gt;E10))+1,IF(G10="P",SUMPRODUCT((F$4:F$18="")*(G$4:G$18="P")*(E$4:E$18&gt;E10))+1+SUMPRODUCT((F$4:F$18="P")*(G$4:G$18="P")),""))</f>
        <v/>
      </c>
      <c r="B10" s="6" t="s">
        <v>169</v>
      </c>
      <c r="C10" s="7" t="s">
        <v>5</v>
      </c>
      <c r="D10" s="18">
        <v>2004</v>
      </c>
      <c r="E10" s="14">
        <f>SUM(J10:T10)+SUM(J10:P10)*0.0000001+SUM(J10)*0.0000000000001</f>
        <v>122.50000756000509</v>
      </c>
      <c r="F10" s="3" t="str">
        <f>IF(OR(AND(AR10&gt;=AY$20,AS10&gt;=AY$24,AR10&lt;&gt;"",AQ10=""),AND(AW10&gt;=AY$20,AX10&gt;=AY$24,AW10&lt;&gt;"",AQ10=""),AND(BU10&gt;=CB$20,BV10&gt;=CB$24,BU10&lt;&gt;"",BT10=""),AND(BZ10&gt;=CB$20,CA10&gt;=CB$24,BZ10&lt;&gt;"",BT10=""),AND(CX10&gt;=DE$20,CY10&gt;=DE$24,CX10&lt;&gt;"",CW10=""),AND(DC10&gt;=DE$20,DD10&gt;=DE$24,DC10&lt;&gt;""),AND(EC10&gt;=EJ$20,ED10&gt;=EJ$24,EC10&lt;&gt;""),AND(EH10&gt;=EJ$20,EI10&gt;=EJ$24,EH10&lt;&gt;""),AND(FE10&gt;=FL$20,FF10&gt;=FL$24,FE10&lt;&gt;""),AND(FJ10&gt;=FL$20,FK10&gt;=FL$24,FJ10&lt;&gt;""),AND(GG10&gt;=GN$20,GH10&gt;=GN$24,GG10&lt;&gt;""),AND(GL10&gt;=GN$20,GM10&gt;=GN$24,GL10&lt;&gt;""),AND(HI10&gt;=HP$20,HJ10&gt;=HP$24,HI10&lt;&gt;""),AND(HN10&gt;=HP$20,HO10&gt;=HP$24,HN10&lt;&gt;""),AND(IK10&gt;=IR$20,IL10&gt;=IR$24,IK10&lt;&gt;""),AND(IP10&gt;=IR$20,IQ10&gt;=IR$24,IP10&lt;&gt;""),AND(JM10&gt;=JT$20,JN10&gt;=JT$24,JM10&lt;&gt;""),AND(JR10&gt;=JT$20,JS10&gt;=JT$24,JR10&lt;&gt;""),AND(KO10&gt;=KV$20,KP10&gt;=KV$24,KO10&lt;&gt;""),AND(KT10&gt;=KV$20,KU10&gt;=KV$24,KT10&lt;&gt;""),AND(LQ10&gt;=LX$20,LR10&gt;=LX$24,LQ10&lt;&gt;""),AND(LV10&gt;=LX$20,LW10&gt;=LX$24,LV10&lt;&gt;""),AND(MS10&gt;=MZ$20,MT10&gt;=MZ$24,MS10&lt;&gt;""),AND(MX10&gt;=MZ$20,MY10&gt;=MZ$24,MX10&lt;&gt;""),AND(NU10&gt;=OB$20,NV10&gt;=OB$24,NU10&lt;&gt;""),AND(NZ10&gt;=OB$20,OA10&gt;=OB$24,NZ10&lt;&gt;""),AND(OW10&gt;=PD$20,OX10&gt;=PD$24,OW10&lt;&gt;""),AND(PB10&gt;=PD$20,PC10&gt;=PD$24,PB10&lt;&gt;""),AND(PY10&gt;=QF$20,PZ10&gt;=QF$24,PY10&lt;&gt;""),AND(QD10&gt;=QF$20,QE10&gt;=QF$24,QD10&lt;&gt;"")),"P","")</f>
        <v/>
      </c>
      <c r="G10" s="3" t="str">
        <f>IF(OR(AND(AS10&gt;=AY$24,AS10&lt;&gt;"",AQ10=""),AND(AX10&gt;=AY$24,AX10&lt;&gt;"",AQ10=""),AND(BV10&gt;=CB$24,BV10&lt;&gt;"",BT10=""),AND(CA10&gt;=CB$24,CA10&lt;&gt;"",BT10=""),AND(CY10&gt;=DE$24,CY10&lt;&gt;"",CW10=""),AND(DD10&gt;=DE$24,DD10&lt;&gt;"",CW10=""),AND(ED10&gt;=EJ$24,ED10&lt;&gt;""),AND(EI10&gt;=EJ$24,EI10&lt;&gt;""),AND(FF10&gt;=FL$24,FF10&lt;&gt;""),AND(FK10&gt;=FL$24,FK10&lt;&gt;""),AND(GH10&gt;=GN$24,GH10&lt;&gt;""),AND(GM10&gt;=GN$24,GM10&lt;&gt;""),AND(HJ10&gt;=HP$24,HJ10&lt;&gt;""),AND(HO10&gt;=HP$24,HO10&lt;&gt;""),AND(IL10&gt;=IR$24,IL10&lt;&gt;""),AND(IQ10&gt;=IR$24,IQ10&lt;&gt;""),AND(JN10&gt;=JT$24,JN10&lt;&gt;""),AND(JS10&gt;=JT$24,JS10&lt;&gt;""),AND(KP10&gt;=KV$24,KP10&lt;&gt;""),AND(KU10&gt;=KV$24,KU10&lt;&gt;""),AND(LR10&gt;=LX$24,LR10&lt;&gt;""),AND(LW10&gt;=LX$24,LW10&lt;&gt;""),AND(MT10&gt;=MZ$24,MT10&lt;&gt;""),AND(MY10&gt;=MZ$24,MY10&lt;&gt;""),AND(NV10&gt;=OB$24,NV10&lt;&gt;""),AND(OA10&gt;=OB$24,OA10&lt;&gt;""),AND(OX10&gt;=PD$24,OX10&lt;&gt;""),AND(PC10&gt;=PD$24,PC10&lt;&gt;""),AND(PZ10&gt;=QF$24,PZ10&lt;&gt;""),AND(QE10&gt;=QF$24,QE10&lt;&gt;"")),"P","")</f>
        <v/>
      </c>
      <c r="H10" s="70" t="str">
        <f>IF(AND(G10="P",F10=""),"No DD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Merit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Excellence",IF(I10="P","Worlds Team",IF(F10="P","National Team","")))))</f>
        <v/>
      </c>
      <c r="I10" s="3" t="str">
        <f>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P","")</f>
        <v/>
      </c>
      <c r="J10" s="13">
        <f>IF(COUNT(AS10,BV10,CY10)&gt;0,LARGE((AS10,BV10,CY10),1),0)</f>
        <v>50.900000000000006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24.7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25</v>
      </c>
      <c r="S10" s="13" t="str">
        <f>IF(R10=0,"",IF(R10=DD10,$CC$1,IF(R10=CA10,$AZ$1,IF(R10=AX10,$W$1,""))))</f>
        <v>2022 Elite Canada</v>
      </c>
      <c r="T10" s="13">
        <f>IF(MAX(DF10:DH10)&gt;0,MAX(DF10:DH10),"")</f>
        <v>21.9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#2 (May 15)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19</v>
      </c>
      <c r="CD10" s="27">
        <v>6.8</v>
      </c>
      <c r="CE10" s="27">
        <v>0.6</v>
      </c>
      <c r="CF10" s="27">
        <v>0</v>
      </c>
      <c r="CG10" s="27">
        <v>19.100000000000001</v>
      </c>
      <c r="CH10" s="27">
        <v>7.2</v>
      </c>
      <c r="CI10" s="27">
        <v>0.6</v>
      </c>
      <c r="CJ10" s="27">
        <v>0</v>
      </c>
      <c r="CK10" s="27">
        <v>18.399999999999999</v>
      </c>
      <c r="CL10" s="27">
        <v>7.3</v>
      </c>
      <c r="CM10" s="27">
        <v>1</v>
      </c>
      <c r="CN10" s="27">
        <v>0</v>
      </c>
      <c r="CO10" s="27">
        <v>18.8</v>
      </c>
      <c r="CP10" s="27">
        <v>6.8</v>
      </c>
      <c r="CQ10" s="27">
        <v>0.6</v>
      </c>
      <c r="CR10" s="27">
        <v>0</v>
      </c>
      <c r="CS10" s="27">
        <v>0</v>
      </c>
      <c r="CT10" s="27">
        <v>0</v>
      </c>
      <c r="CU10" s="27">
        <v>0</v>
      </c>
      <c r="CV10" s="27">
        <v>0</v>
      </c>
      <c r="CW10" s="51"/>
      <c r="CX10" s="76">
        <f>IF(SUM(CD10,CH10)&gt;0,SUM(CD10,CH10),"")</f>
        <v>14</v>
      </c>
      <c r="CY10" s="76">
        <f>IF(SUM(CC10:CD10,CF10:CH10,CJ10)-CE10-CI10&gt;0,SUM(CC10:CD10,CF10:CH10,CJ10)-CE10-CI10,"")</f>
        <v>50.900000000000006</v>
      </c>
      <c r="CZ10" s="76">
        <f>IF(SUM(CK10:CL10,CN10)-CM10&gt;0,SUM(CK10:CL10,CN10)-CM10,"")</f>
        <v>24.7</v>
      </c>
      <c r="DA10" s="76">
        <f>IF(SUM(CD10,CH10,CL10)&gt;0,SUM(CD10,CH10,CL10),"")</f>
        <v>21.3</v>
      </c>
      <c r="DB10" s="76">
        <f>IF(SUM(CY10,CZ10)&gt;0,SUM(CY10,CZ10),"")</f>
        <v>75.600000000000009</v>
      </c>
      <c r="DC10" s="76">
        <f>IF(SUM(CP10,CT10)&gt;0,SUM(CP10,CT10),"")</f>
        <v>6.8</v>
      </c>
      <c r="DD10" s="76">
        <f>IF(SUM(CO10:CP10,CR10:CT10,CV10)-SUM(CQ10,CU10)&gt;0,SUM(CO10:CP10,CR10:CT10,CV10)-SUM(CQ10,CU10),"")</f>
        <v>25</v>
      </c>
      <c r="DE10" s="76">
        <f>IF(SUM(CY10,DD10)&gt;0,SUM(CY10,DD10),"")</f>
        <v>75.900000000000006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21.9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>
        <v>18.3</v>
      </c>
      <c r="FN10" s="25">
        <v>6.4</v>
      </c>
      <c r="FO10" s="25">
        <v>0.8</v>
      </c>
      <c r="FP10" s="25">
        <v>0</v>
      </c>
      <c r="FQ10" s="25">
        <v>18.8</v>
      </c>
      <c r="FR10" s="25">
        <v>8</v>
      </c>
      <c r="FS10" s="25">
        <v>0.6</v>
      </c>
      <c r="FT10" s="25">
        <v>0</v>
      </c>
      <c r="FU10" s="25"/>
      <c r="FV10" s="25"/>
      <c r="FW10" s="25"/>
      <c r="FX10" s="25"/>
      <c r="FY10" s="25">
        <v>17.399999999999999</v>
      </c>
      <c r="FZ10" s="25">
        <v>2.8</v>
      </c>
      <c r="GA10" s="25">
        <v>0</v>
      </c>
      <c r="GB10" s="25">
        <v>0</v>
      </c>
      <c r="GC10" s="25">
        <v>18.7</v>
      </c>
      <c r="GD10" s="25">
        <v>8</v>
      </c>
      <c r="GE10" s="25">
        <v>0</v>
      </c>
      <c r="GF10" s="25">
        <v>0</v>
      </c>
      <c r="GG10" s="76">
        <f>IF(SUM(FN10,FR10)&gt;0,SUM(FN10,FR10),"")</f>
        <v>14.4</v>
      </c>
      <c r="GH10" s="76">
        <f>IF(SUM(FM10:FN10,FP10:FR10,FT10)-FO10-FS10&gt;0,SUM(FM10:FN10,FP10:FR10,FT10)-FO10-FS10,"")</f>
        <v>50.1</v>
      </c>
      <c r="GI10" s="76" t="str">
        <f>IF(SUM(FU10:FV10,FX10)-FW10&gt;0,SUM(FU10:FV10,FX10)-FW10,"")</f>
        <v/>
      </c>
      <c r="GJ10" s="76">
        <f>IF(SUM(FN10,FR10,FV10)&gt;0,SUM(FN10,FR10,FV10),"")</f>
        <v>14.4</v>
      </c>
      <c r="GK10" s="76">
        <f>IF(SUM(GH10,GI10)&gt;0,SUM(GH10,GI10),"")</f>
        <v>50.1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46.9</v>
      </c>
      <c r="GN10" s="76">
        <f>IF(SUM(GH10,GM10)&gt;0,SUM(GH10,GM10),"")</f>
        <v>97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9.5</v>
      </c>
      <c r="QH10" s="42">
        <f>IF($CW10="P",CD10,(CD10+BA10)/2)</f>
        <v>3.4</v>
      </c>
      <c r="QI10" s="42">
        <f>IF($CW10="P",CE10,(CE10+BB10)/2)</f>
        <v>0.3</v>
      </c>
      <c r="QJ10" s="42">
        <f>IF($CW10="P",CF10,(CF10+BC10)/2)</f>
        <v>0</v>
      </c>
      <c r="QK10" s="42">
        <f>IF($CW10="P",CG10,(CG10+BD10)/2)</f>
        <v>9.5500000000000007</v>
      </c>
      <c r="QL10" s="42">
        <f>IF($CW10="P",CH10,(CH10+BE10)/2)</f>
        <v>3.6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9.1999999999999993</v>
      </c>
      <c r="QP10" s="42">
        <f>IF($CW10="P",CL10,(CL10+BI10)/2)</f>
        <v>3.65</v>
      </c>
      <c r="QQ10" s="42">
        <f>IF($CW10="P",CM10,(CM10+BJ10)/2)</f>
        <v>0.5</v>
      </c>
      <c r="QR10" s="42">
        <f>IF($CW10="P",CN10,(CN10+BK10)/2)</f>
        <v>0</v>
      </c>
      <c r="QS10" s="42">
        <f>IF($CW10="P",CO10,(CO10+BL10)/2)</f>
        <v>9.4</v>
      </c>
      <c r="QT10" s="42">
        <f>IF($CW10="P",CP10,(CP10+BM10)/2)</f>
        <v>3.4</v>
      </c>
      <c r="QU10" s="42">
        <f>IF($CW10="P",CQ10,(CQ10+BN10)/2)</f>
        <v>0.3</v>
      </c>
      <c r="QV10" s="42">
        <f>IF($CW10="P",CR10,(CR10+BO10)/2)</f>
        <v>0</v>
      </c>
      <c r="QW10" s="42">
        <f>IF($CW10="P",CS10,(CS10+BP10)/2)</f>
        <v>0</v>
      </c>
      <c r="QX10" s="42">
        <f>IF($CW10="P",CT10,(CT10+BQ10)/2)</f>
        <v>0</v>
      </c>
      <c r="QY10" s="42">
        <f>IF($CW10="P",CU10,(CU10+BR10)/2)</f>
        <v>0</v>
      </c>
      <c r="QZ10" s="42">
        <f>IF($CW10="P",CV10,(CV10+BS10)/2)</f>
        <v>0</v>
      </c>
      <c r="RA10" s="51" t="s">
        <v>61</v>
      </c>
      <c r="RB10" s="76">
        <f>IF(SUM(QH10,QL10)&gt;0,SUM(QH10,QL10),"")</f>
        <v>7</v>
      </c>
      <c r="RC10" s="76">
        <f>IF(SUM(QG10:QH10,QJ10:QL10,QN10)-QI10-QM10&gt;0,SUM(QG10:QH10,QJ10:QL10,QN10)-QI10-QM10,"")</f>
        <v>25.450000000000003</v>
      </c>
      <c r="RD10" s="76">
        <f>IF(SUM(QO10:QP10,QR10)-QQ10&gt;0,SUM(QO10:QP10,QR10)-QQ10,"")</f>
        <v>12.35</v>
      </c>
      <c r="RE10" s="76">
        <f>IF(SUM(QH10,QL10,QP10)&gt;0,SUM(QH10,QL10,QP10),"")</f>
        <v>10.65</v>
      </c>
      <c r="RF10" s="76">
        <f>IF(SUM(RC10,RD10)&gt;0,SUM(RC10,RD10),"")</f>
        <v>37.800000000000004</v>
      </c>
      <c r="RG10" s="76">
        <f>IF(SUM(QT10,QX10)&gt;0,SUM(QT10,QX10),"")</f>
        <v>3.4</v>
      </c>
      <c r="RH10" s="76">
        <f>IF(SUM(QS10:QT10,QV10:QX10,QZ10)-SUM(QU10,QY10)&gt;0,SUM(QS10:QT10,QV10:QX10,QZ10)-SUM(QU10,QY10),"")</f>
        <v>12.5</v>
      </c>
      <c r="RI10" s="76">
        <f>IF(SUM(RC10,RH10)&gt;0,SUM(RC10,RH10),"")</f>
        <v>37.950000000000003</v>
      </c>
    </row>
    <row r="11" spans="1:477" x14ac:dyDescent="0.2">
      <c r="A11" s="5" t="str">
        <f>IF(AND(F11="P",G11="P"),SUMPRODUCT((F$4:F$18="P")*(G$4:G$18="P")*(E$4:E$18&gt;E11))+1,IF(G11="P",SUMPRODUCT((F$4:F$18="")*(G$4:G$18="P")*(E$4:E$18&gt;E11))+1+SUMPRODUCT((F$4:F$18="P")*(G$4:G$18="P")),""))</f>
        <v/>
      </c>
      <c r="B11" s="6" t="s">
        <v>166</v>
      </c>
      <c r="C11" s="7" t="s">
        <v>6</v>
      </c>
      <c r="D11" s="18">
        <v>2003</v>
      </c>
      <c r="E11" s="14">
        <f>SUM(J11:T11)+SUM(J11:P11)*0.0000001+SUM(J11)*0.0000000000001</f>
        <v>121.80000714000495</v>
      </c>
      <c r="F11" s="3" t="str">
        <f>IF(OR(AND(AR11&gt;=AY$20,AS11&gt;=AY$24,AR11&lt;&gt;"",AQ11=""),AND(AW11&gt;=AY$20,AX11&gt;=AY$24,AW11&lt;&gt;"",AQ11=""),AND(BU11&gt;=CB$20,BV11&gt;=CB$24,BU11&lt;&gt;"",BT11=""),AND(BZ11&gt;=CB$20,CA11&gt;=CB$24,BZ11&lt;&gt;"",BT11=""),AND(CX11&gt;=DE$20,CY11&gt;=DE$24,CX11&lt;&gt;"",CW11=""),AND(DC11&gt;=DE$20,DD11&gt;=DE$24,DC11&lt;&gt;""),AND(EC11&gt;=EJ$20,ED11&gt;=EJ$24,EC11&lt;&gt;""),AND(EH11&gt;=EJ$20,EI11&gt;=EJ$24,EH11&lt;&gt;""),AND(FE11&gt;=FL$20,FF11&gt;=FL$24,FE11&lt;&gt;""),AND(FJ11&gt;=FL$20,FK11&gt;=FL$24,FJ11&lt;&gt;""),AND(GG11&gt;=GN$20,GH11&gt;=GN$24,GG11&lt;&gt;""),AND(GL11&gt;=GN$20,GM11&gt;=GN$24,GL11&lt;&gt;""),AND(HI11&gt;=HP$20,HJ11&gt;=HP$24,HI11&lt;&gt;""),AND(HN11&gt;=HP$20,HO11&gt;=HP$24,HN11&lt;&gt;""),AND(IK11&gt;=IR$20,IL11&gt;=IR$24,IK11&lt;&gt;""),AND(IP11&gt;=IR$20,IQ11&gt;=IR$24,IP11&lt;&gt;""),AND(JM11&gt;=JT$20,JN11&gt;=JT$24,JM11&lt;&gt;""),AND(JR11&gt;=JT$20,JS11&gt;=JT$24,JR11&lt;&gt;""),AND(KO11&gt;=KV$20,KP11&gt;=KV$24,KO11&lt;&gt;""),AND(KT11&gt;=KV$20,KU11&gt;=KV$24,KT11&lt;&gt;""),AND(LQ11&gt;=LX$20,LR11&gt;=LX$24,LQ11&lt;&gt;""),AND(LV11&gt;=LX$20,LW11&gt;=LX$24,LV11&lt;&gt;""),AND(MS11&gt;=MZ$20,MT11&gt;=MZ$24,MS11&lt;&gt;""),AND(MX11&gt;=MZ$20,MY11&gt;=MZ$24,MX11&lt;&gt;""),AND(NU11&gt;=OB$20,NV11&gt;=OB$24,NU11&lt;&gt;""),AND(NZ11&gt;=OB$20,OA11&gt;=OB$24,NZ11&lt;&gt;""),AND(OW11&gt;=PD$20,OX11&gt;=PD$24,OW11&lt;&gt;""),AND(PB11&gt;=PD$20,PC11&gt;=PD$24,PB11&lt;&gt;""),AND(PY11&gt;=QF$20,PZ11&gt;=QF$24,PY11&lt;&gt;""),AND(QD11&gt;=QF$20,QE11&gt;=QF$24,QD11&lt;&gt;"")),"P","")</f>
        <v/>
      </c>
      <c r="G11" s="3" t="str">
        <f>IF(OR(AND(AS11&gt;=AY$24,AS11&lt;&gt;"",AQ11=""),AND(AX11&gt;=AY$24,AX11&lt;&gt;"",AQ11=""),AND(BV11&gt;=CB$24,BV11&lt;&gt;"",BT11=""),AND(CA11&gt;=CB$24,CA11&lt;&gt;"",BT11=""),AND(CY11&gt;=DE$24,CY11&lt;&gt;"",CW11=""),AND(DD11&gt;=DE$24,DD11&lt;&gt;"",CW11=""),AND(ED11&gt;=EJ$24,ED11&lt;&gt;""),AND(EI11&gt;=EJ$24,EI11&lt;&gt;""),AND(FF11&gt;=FL$24,FF11&lt;&gt;""),AND(FK11&gt;=FL$24,FK11&lt;&gt;""),AND(GH11&gt;=GN$24,GH11&lt;&gt;""),AND(GM11&gt;=GN$24,GM11&lt;&gt;""),AND(HJ11&gt;=HP$24,HJ11&lt;&gt;""),AND(HO11&gt;=HP$24,HO11&lt;&gt;""),AND(IL11&gt;=IR$24,IL11&lt;&gt;""),AND(IQ11&gt;=IR$24,IQ11&lt;&gt;""),AND(JN11&gt;=JT$24,JN11&lt;&gt;""),AND(JS11&gt;=JT$24,JS11&lt;&gt;""),AND(KP11&gt;=KV$24,KP11&lt;&gt;""),AND(KU11&gt;=KV$24,KU11&lt;&gt;""),AND(LR11&gt;=LX$24,LR11&lt;&gt;""),AND(LW11&gt;=LX$24,LW11&lt;&gt;""),AND(MT11&gt;=MZ$24,MT11&lt;&gt;""),AND(MY11&gt;=MZ$24,MY11&lt;&gt;""),AND(NV11&gt;=OB$24,NV11&lt;&gt;""),AND(OA11&gt;=OB$24,OA11&lt;&gt;""),AND(OX11&gt;=PD$24,OX11&lt;&gt;""),AND(PC11&gt;=PD$24,PC11&lt;&gt;""),AND(PZ11&gt;=QF$24,PZ11&lt;&gt;""),AND(QE11&gt;=QF$24,QE11&lt;&gt;"")),"P","")</f>
        <v/>
      </c>
      <c r="H11" s="70" t="str">
        <f>IF(AND(G11="P",F11=""),"No DD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Merit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Excellence",IF(I11="P","Worlds Team",IF(F11="P","National Team","")))))</f>
        <v/>
      </c>
      <c r="I11" s="3" t="str">
        <f>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P","")</f>
        <v/>
      </c>
      <c r="J11" s="13">
        <f>IF(COUNT(AS11,BV11,CY11)&gt;0,LARGE((AS11,BV11,CY11),1),0)</f>
        <v>49.5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21.9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45.100000000000009</v>
      </c>
      <c r="S11" s="13" t="str">
        <f>IF(R11=0,"",IF(R11=DD11,$CC$1,IF(R11=CA11,$AZ$1,IF(R11=AX11,$W$1,""))))</f>
        <v>2022 Elite Canada</v>
      </c>
      <c r="T11" s="13">
        <f>IF(MAX(DF11:DH11)&gt;0,MAX(DF11:DH11),"")</f>
        <v>5.2999999999999972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18.899999999999999</v>
      </c>
      <c r="CD11" s="27">
        <v>6.4</v>
      </c>
      <c r="CE11" s="27">
        <v>0.8</v>
      </c>
      <c r="CF11" s="27">
        <v>0</v>
      </c>
      <c r="CG11" s="27">
        <v>18.3</v>
      </c>
      <c r="CH11" s="27">
        <v>7.7</v>
      </c>
      <c r="CI11" s="27">
        <v>1</v>
      </c>
      <c r="CJ11" s="27">
        <v>0</v>
      </c>
      <c r="CK11" s="27">
        <v>18.3</v>
      </c>
      <c r="CL11" s="27">
        <v>5.2</v>
      </c>
      <c r="CM11" s="27">
        <v>1.6</v>
      </c>
      <c r="CN11" s="27">
        <v>0</v>
      </c>
      <c r="CO11" s="27">
        <v>19</v>
      </c>
      <c r="CP11" s="27">
        <v>6.4</v>
      </c>
      <c r="CQ11" s="27">
        <v>0.8</v>
      </c>
      <c r="CR11" s="27">
        <v>0</v>
      </c>
      <c r="CS11" s="27">
        <v>17.3</v>
      </c>
      <c r="CT11" s="27">
        <v>3.2</v>
      </c>
      <c r="CU11" s="27">
        <v>0</v>
      </c>
      <c r="CV11" s="27">
        <v>0</v>
      </c>
      <c r="CW11" s="51"/>
      <c r="CX11" s="76">
        <f>IF(SUM(CD11,CH11)&gt;0,SUM(CD11,CH11),"")</f>
        <v>14.100000000000001</v>
      </c>
      <c r="CY11" s="76">
        <f>IF(SUM(CC11:CD11,CF11:CH11,CJ11)-CE11-CI11&gt;0,SUM(CC11:CD11,CF11:CH11,CJ11)-CE11-CI11,"")</f>
        <v>49.5</v>
      </c>
      <c r="CZ11" s="76">
        <f>IF(SUM(CK11:CL11,CN11)-CM11&gt;0,SUM(CK11:CL11,CN11)-CM11,"")</f>
        <v>21.9</v>
      </c>
      <c r="DA11" s="76">
        <f>IF(SUM(CD11,CH11,CL11)&gt;0,SUM(CD11,CH11,CL11),"")</f>
        <v>19.3</v>
      </c>
      <c r="DB11" s="76">
        <f>IF(SUM(CY11,CZ11)&gt;0,SUM(CY11,CZ11),"")</f>
        <v>71.400000000000006</v>
      </c>
      <c r="DC11" s="76">
        <f>IF(SUM(CP11,CT11)&gt;0,SUM(CP11,CT11),"")</f>
        <v>9.6000000000000014</v>
      </c>
      <c r="DD11" s="76">
        <f>IF(SUM(CO11:CP11,CR11:CT11,CV11)-SUM(CQ11,CU11)&gt;0,SUM(CO11:CP11,CR11:CT11,CV11)-SUM(CQ11,CU11),"")</f>
        <v>45.100000000000009</v>
      </c>
      <c r="DE11" s="76">
        <f>IF(SUM(CY11,DD11)&gt;0,SUM(CY11,DD11),"")</f>
        <v>94.600000000000009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5.2999999999999972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19.2</v>
      </c>
      <c r="EL11" s="26">
        <v>6.4</v>
      </c>
      <c r="EM11" s="26">
        <v>0</v>
      </c>
      <c r="EN11" s="26">
        <v>0</v>
      </c>
      <c r="EO11" s="26">
        <v>18</v>
      </c>
      <c r="EP11" s="26">
        <v>7.7</v>
      </c>
      <c r="EQ11" s="26">
        <v>0.6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7.2</v>
      </c>
      <c r="EY11" s="26">
        <v>0.6</v>
      </c>
      <c r="EZ11" s="26">
        <v>0</v>
      </c>
      <c r="FA11" s="26">
        <v>18.3</v>
      </c>
      <c r="FB11" s="26">
        <v>7.7</v>
      </c>
      <c r="FC11" s="26">
        <v>0.8</v>
      </c>
      <c r="FD11" s="26">
        <v>0</v>
      </c>
      <c r="FE11" s="16">
        <f>IF(SUM(EL11,EP11)&gt;0,SUM(EL11,EP11),"")</f>
        <v>14.100000000000001</v>
      </c>
      <c r="FF11" s="16">
        <f>IF(SUM(EK11:EL11,EN11:EP11,ER11)-EM11-EQ11&gt;0,SUM(EK11:EL11,EN11:EP11,ER11)-EM11-EQ11,"")</f>
        <v>50.7</v>
      </c>
      <c r="FG11" s="16" t="str">
        <f>IF(SUM(ES11:ET11,EV11)-EU11&gt;0,SUM(ES11:ET11,EV11)-EU11,"")</f>
        <v/>
      </c>
      <c r="FH11" s="16">
        <f>IF(SUM(EL11,EP11,ET11)&gt;0,SUM(EL11,EP11,ET11),"")</f>
        <v>14.100000000000001</v>
      </c>
      <c r="FI11" s="16">
        <f>IF(SUM(FF11,FG11)&gt;0,SUM(FF11,FG11),"")</f>
        <v>50.7</v>
      </c>
      <c r="FJ11" s="16">
        <f>IF(SUM(EX11,FB11)&gt;0,SUM(EX11,FB11),"")</f>
        <v>14.9</v>
      </c>
      <c r="FK11" s="16">
        <f>IF(SUM(EW11:EX11,EZ11:FB11,FD11)-SUM(EY11,FC11)&gt;0,SUM(EW11:EX11,EZ11:FB11,FD11)-SUM(EY11,FC11),"")</f>
        <v>50.400000000000006</v>
      </c>
      <c r="FL11" s="16">
        <f>IF(SUM(FF11,FK11)&gt;0,SUM(FF11,FK11),"")</f>
        <v>101.10000000000001</v>
      </c>
      <c r="FM11" s="25">
        <v>18.7</v>
      </c>
      <c r="FN11" s="25">
        <v>7.7</v>
      </c>
      <c r="FO11" s="25">
        <v>0</v>
      </c>
      <c r="FP11" s="25">
        <v>0</v>
      </c>
      <c r="FQ11" s="25">
        <v>17.600000000000001</v>
      </c>
      <c r="FR11" s="25">
        <v>2.8</v>
      </c>
      <c r="FS11" s="25">
        <v>0</v>
      </c>
      <c r="FT11" s="25">
        <v>0</v>
      </c>
      <c r="FU11" s="25"/>
      <c r="FV11" s="25"/>
      <c r="FW11" s="25"/>
      <c r="FX11" s="25"/>
      <c r="FY11" s="25">
        <v>16.600000000000001</v>
      </c>
      <c r="FZ11" s="25">
        <v>7.7</v>
      </c>
      <c r="GA11" s="25">
        <v>0.8</v>
      </c>
      <c r="GB11" s="25">
        <v>0</v>
      </c>
      <c r="GC11" s="25">
        <v>17.5</v>
      </c>
      <c r="GD11" s="25">
        <v>2.8</v>
      </c>
      <c r="GE11" s="25">
        <v>0</v>
      </c>
      <c r="GF11" s="25">
        <v>0</v>
      </c>
      <c r="GG11" s="76">
        <f>IF(SUM(FN11,FR11)&gt;0,SUM(FN11,FR11),"")</f>
        <v>10.5</v>
      </c>
      <c r="GH11" s="76">
        <f>IF(SUM(FM11:FN11,FP11:FR11,FT11)-FO11-FS11&gt;0,SUM(FM11:FN11,FP11:FR11,FT11)-FO11-FS11,"")</f>
        <v>46.8</v>
      </c>
      <c r="GI11" s="76" t="str">
        <f>IF(SUM(FU11:FV11,FX11)-FW11&gt;0,SUM(FU11:FV11,FX11)-FW11,"")</f>
        <v/>
      </c>
      <c r="GJ11" s="76">
        <f>IF(SUM(FN11,FR11,FV11)&gt;0,SUM(FN11,FR11,FV11),"")</f>
        <v>10.5</v>
      </c>
      <c r="GK11" s="76">
        <f>IF(SUM(GH11,GI11)&gt;0,SUM(GH11,GI11),"")</f>
        <v>46.8</v>
      </c>
      <c r="GL11" s="76">
        <f>IF(SUM(FZ11,GD11)&gt;0,SUM(FZ11,GD11),"")</f>
        <v>10.5</v>
      </c>
      <c r="GM11" s="76">
        <f>IF(SUM(FY11:FZ11,GB11:GD11,GF11)-SUM(GA11,GE11)&gt;0,SUM(FY11:FZ11,GB11:GD11,GF11)-SUM(GA11,GE11),"")</f>
        <v>43.8</v>
      </c>
      <c r="GN11" s="76">
        <f>IF(SUM(GH11,GM11)&gt;0,SUM(GH11,GM11),"")</f>
        <v>90.6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9.4499999999999993</v>
      </c>
      <c r="QH11" s="42">
        <f>IF($CW11="P",CD11,(CD11+BA11)/2)</f>
        <v>3.2</v>
      </c>
      <c r="QI11" s="42">
        <f>IF($CW11="P",CE11,(CE11+BB11)/2)</f>
        <v>0.4</v>
      </c>
      <c r="QJ11" s="42">
        <f>IF($CW11="P",CF11,(CF11+BC11)/2)</f>
        <v>0</v>
      </c>
      <c r="QK11" s="42">
        <f>IF($CW11="P",CG11,(CG11+BD11)/2)</f>
        <v>9.15</v>
      </c>
      <c r="QL11" s="42">
        <f>IF($CW11="P",CH11,(CH11+BE11)/2)</f>
        <v>3.85</v>
      </c>
      <c r="QM11" s="42">
        <f>IF($CW11="P",CI11,(CI11+BF11)/2)</f>
        <v>0.5</v>
      </c>
      <c r="QN11" s="42">
        <f>IF($CW11="P",CJ11,(CJ11+BG11)/2)</f>
        <v>0</v>
      </c>
      <c r="QO11" s="42">
        <f>IF($CW11="P",CK11,(CK11+BH11)/2)</f>
        <v>9.15</v>
      </c>
      <c r="QP11" s="42">
        <f>IF($CW11="P",CL11,(CL11+BI11)/2)</f>
        <v>2.6</v>
      </c>
      <c r="QQ11" s="42">
        <f>IF($CW11="P",CM11,(CM11+BJ11)/2)</f>
        <v>0.8</v>
      </c>
      <c r="QR11" s="42">
        <f>IF($CW11="P",CN11,(CN11+BK11)/2)</f>
        <v>0</v>
      </c>
      <c r="QS11" s="42">
        <f>IF($CW11="P",CO11,(CO11+BL11)/2)</f>
        <v>9.5</v>
      </c>
      <c r="QT11" s="42">
        <f>IF($CW11="P",CP11,(CP11+BM11)/2)</f>
        <v>3.2</v>
      </c>
      <c r="QU11" s="42">
        <f>IF($CW11="P",CQ11,(CQ11+BN11)/2)</f>
        <v>0.4</v>
      </c>
      <c r="QV11" s="42">
        <f>IF($CW11="P",CR11,(CR11+BO11)/2)</f>
        <v>0</v>
      </c>
      <c r="QW11" s="42">
        <f>IF($CW11="P",CS11,(CS11+BP11)/2)</f>
        <v>8.65</v>
      </c>
      <c r="QX11" s="42">
        <f>IF($CW11="P",CT11,(CT11+BQ11)/2)</f>
        <v>1.6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7.0500000000000007</v>
      </c>
      <c r="RC11" s="76">
        <f>IF(SUM(QG11:QH11,QJ11:QL11,QN11)-QI11-QM11&gt;0,SUM(QG11:QH11,QJ11:QL11,QN11)-QI11-QM11,"")</f>
        <v>24.75</v>
      </c>
      <c r="RD11" s="76">
        <f>IF(SUM(QO11:QP11,QR11)-QQ11&gt;0,SUM(QO11:QP11,QR11)-QQ11,"")</f>
        <v>10.95</v>
      </c>
      <c r="RE11" s="76">
        <f>IF(SUM(QH11,QL11,QP11)&gt;0,SUM(QH11,QL11,QP11),"")</f>
        <v>9.65</v>
      </c>
      <c r="RF11" s="76">
        <f>IF(SUM(RC11,RD11)&gt;0,SUM(RC11,RD11),"")</f>
        <v>35.700000000000003</v>
      </c>
      <c r="RG11" s="76">
        <f>IF(SUM(QT11,QX11)&gt;0,SUM(QT11,QX11),"")</f>
        <v>4.8000000000000007</v>
      </c>
      <c r="RH11" s="76">
        <f>IF(SUM(QS11:QT11,QV11:QX11,QZ11)-SUM(QU11,QY11)&gt;0,SUM(QS11:QT11,QV11:QX11,QZ11)-SUM(QU11,QY11),"")</f>
        <v>22.550000000000004</v>
      </c>
      <c r="RI11" s="76">
        <f>IF(SUM(RC11,RH11)&gt;0,SUM(RC11,RH11),"")</f>
        <v>47.300000000000004</v>
      </c>
    </row>
    <row r="12" spans="1:477" x14ac:dyDescent="0.2">
      <c r="A12" s="5" t="str">
        <f>IF(AND(F12="P",G12="P"),SUMPRODUCT((F$4:F$18="P")*(G$4:G$18="P")*(E$4:E$18&gt;E12))+1,IF(G12="P",SUMPRODUCT((F$4:F$18="")*(G$4:G$18="P")*(E$4:E$18&gt;E12))+1+SUMPRODUCT((F$4:F$18="P")*(G$4:G$18="P")),""))</f>
        <v/>
      </c>
      <c r="B12" s="6" t="s">
        <v>99</v>
      </c>
      <c r="C12" s="7" t="s">
        <v>9</v>
      </c>
      <c r="D12" s="18">
        <v>2000</v>
      </c>
      <c r="E12" s="14">
        <f>SUM(J12:T12)+SUM(J12:P12)*0.0000001+SUM(J12)*0.0000000000001</f>
        <v>115.10000727000484</v>
      </c>
      <c r="F12" s="3" t="str">
        <f>IF(OR(AND(AR12&gt;=AY$20,AS12&gt;=AY$24,AR12&lt;&gt;"",AQ12=""),AND(AW12&gt;=AY$20,AX12&gt;=AY$24,AW12&lt;&gt;"",AQ12=""),AND(BU12&gt;=CB$20,BV12&gt;=CB$24,BU12&lt;&gt;"",BT12=""),AND(BZ12&gt;=CB$20,CA12&gt;=CB$24,BZ12&lt;&gt;"",BT12=""),AND(CX12&gt;=DE$20,CY12&gt;=DE$24,CX12&lt;&gt;"",CW12=""),AND(DC12&gt;=DE$20,DD12&gt;=DE$24,DC12&lt;&gt;""),AND(EC12&gt;=EJ$20,ED12&gt;=EJ$24,EC12&lt;&gt;""),AND(EH12&gt;=EJ$20,EI12&gt;=EJ$24,EH12&lt;&gt;""),AND(FE12&gt;=FL$20,FF12&gt;=FL$24,FE12&lt;&gt;""),AND(FJ12&gt;=FL$20,FK12&gt;=FL$24,FJ12&lt;&gt;""),AND(GG12&gt;=GN$20,GH12&gt;=GN$24,GG12&lt;&gt;""),AND(GL12&gt;=GN$20,GM12&gt;=GN$24,GL12&lt;&gt;""),AND(HI12&gt;=HP$20,HJ12&gt;=HP$24,HI12&lt;&gt;""),AND(HN12&gt;=HP$20,HO12&gt;=HP$24,HN12&lt;&gt;""),AND(IK12&gt;=IR$20,IL12&gt;=IR$24,IK12&lt;&gt;""),AND(IP12&gt;=IR$20,IQ12&gt;=IR$24,IP12&lt;&gt;""),AND(JM12&gt;=JT$20,JN12&gt;=JT$24,JM12&lt;&gt;""),AND(JR12&gt;=JT$20,JS12&gt;=JT$24,JR12&lt;&gt;""),AND(KO12&gt;=KV$20,KP12&gt;=KV$24,KO12&lt;&gt;""),AND(KT12&gt;=KV$20,KU12&gt;=KV$24,KT12&lt;&gt;""),AND(LQ12&gt;=LX$20,LR12&gt;=LX$24,LQ12&lt;&gt;""),AND(LV12&gt;=LX$20,LW12&gt;=LX$24,LV12&lt;&gt;""),AND(MS12&gt;=MZ$20,MT12&gt;=MZ$24,MS12&lt;&gt;""),AND(MX12&gt;=MZ$20,MY12&gt;=MZ$24,MX12&lt;&gt;""),AND(NU12&gt;=OB$20,NV12&gt;=OB$24,NU12&lt;&gt;""),AND(NZ12&gt;=OB$20,OA12&gt;=OB$24,NZ12&lt;&gt;""),AND(OW12&gt;=PD$20,OX12&gt;=PD$24,OW12&lt;&gt;""),AND(PB12&gt;=PD$20,PC12&gt;=PD$24,PB12&lt;&gt;""),AND(PY12&gt;=QF$20,PZ12&gt;=QF$24,PY12&lt;&gt;""),AND(QD12&gt;=QF$20,QE12&gt;=QF$24,QD12&lt;&gt;"")),"P","")</f>
        <v/>
      </c>
      <c r="G12" s="3" t="str">
        <f>IF(OR(AND(AS12&gt;=AY$24,AS12&lt;&gt;"",AQ12=""),AND(AX12&gt;=AY$24,AX12&lt;&gt;"",AQ12=""),AND(BV12&gt;=CB$24,BV12&lt;&gt;"",BT12=""),AND(CA12&gt;=CB$24,CA12&lt;&gt;"",BT12=""),AND(CY12&gt;=DE$24,CY12&lt;&gt;"",CW12=""),AND(DD12&gt;=DE$24,DD12&lt;&gt;"",CW12=""),AND(ED12&gt;=EJ$24,ED12&lt;&gt;""),AND(EI12&gt;=EJ$24,EI12&lt;&gt;""),AND(FF12&gt;=FL$24,FF12&lt;&gt;""),AND(FK12&gt;=FL$24,FK12&lt;&gt;""),AND(GH12&gt;=GN$24,GH12&lt;&gt;""),AND(GM12&gt;=GN$24,GM12&lt;&gt;""),AND(HJ12&gt;=HP$24,HJ12&lt;&gt;""),AND(HO12&gt;=HP$24,HO12&lt;&gt;""),AND(IL12&gt;=IR$24,IL12&lt;&gt;""),AND(IQ12&gt;=IR$24,IQ12&lt;&gt;""),AND(JN12&gt;=JT$24,JN12&lt;&gt;""),AND(JS12&gt;=JT$24,JS12&lt;&gt;""),AND(KP12&gt;=KV$24,KP12&lt;&gt;""),AND(KU12&gt;=KV$24,KU12&lt;&gt;""),AND(LR12&gt;=LX$24,LR12&lt;&gt;""),AND(LW12&gt;=LX$24,LW12&lt;&gt;""),AND(MT12&gt;=MZ$24,MT12&lt;&gt;""),AND(MY12&gt;=MZ$24,MY12&lt;&gt;""),AND(NV12&gt;=OB$24,NV12&lt;&gt;""),AND(OA12&gt;=OB$24,OA12&lt;&gt;""),AND(OX12&gt;=PD$24,OX12&lt;&gt;""),AND(PC12&gt;=PD$24,PC12&lt;&gt;""),AND(PZ12&gt;=QF$24,PZ12&lt;&gt;""),AND(QE12&gt;=QF$24,QE12&lt;&gt;"")),"P","")</f>
        <v/>
      </c>
      <c r="H12" s="70" t="str">
        <f>IF(AND(G12="P",F12=""),"No DD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Merit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Excellence",IF(I12="P","Worlds Team",IF(F12="P","National Team","")))))</f>
        <v/>
      </c>
      <c r="I12" s="3" t="str">
        <f>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P","")</f>
        <v/>
      </c>
      <c r="J12" s="13">
        <f>IF(COUNT(AS12,BV12,CY12)&gt;0,LARGE((AS12,BV12,CY12),1),0)</f>
        <v>48.499999999999993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24.200000000000003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42.4</v>
      </c>
      <c r="S12" s="13" t="str">
        <f>IF(R12=0,"",IF(R12=DD12,$CC$1,IF(R12=CA12,$AZ$1,IF(R12=AX12,$W$1,""))))</f>
        <v>2022 Elite Canada</v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>
        <v>18.2</v>
      </c>
      <c r="CD12" s="27">
        <v>6</v>
      </c>
      <c r="CE12" s="27">
        <v>0.2</v>
      </c>
      <c r="CF12" s="27">
        <v>0</v>
      </c>
      <c r="CG12" s="27">
        <v>18.3</v>
      </c>
      <c r="CH12" s="27">
        <v>6.4</v>
      </c>
      <c r="CI12" s="27">
        <v>0.2</v>
      </c>
      <c r="CJ12" s="27">
        <v>0</v>
      </c>
      <c r="CK12" s="27">
        <v>18.8</v>
      </c>
      <c r="CL12" s="27">
        <v>6.4</v>
      </c>
      <c r="CM12" s="27">
        <v>1</v>
      </c>
      <c r="CN12" s="27">
        <v>0</v>
      </c>
      <c r="CO12" s="27">
        <v>18.3</v>
      </c>
      <c r="CP12" s="27">
        <v>5.6</v>
      </c>
      <c r="CQ12" s="27">
        <v>0.6</v>
      </c>
      <c r="CR12" s="27">
        <v>0</v>
      </c>
      <c r="CS12" s="27">
        <v>17.899999999999999</v>
      </c>
      <c r="CT12" s="27">
        <v>3.7</v>
      </c>
      <c r="CU12" s="27">
        <v>2.5</v>
      </c>
      <c r="CV12" s="27">
        <v>0</v>
      </c>
      <c r="CW12" s="51"/>
      <c r="CX12" s="76">
        <f>IF(SUM(CD12,CH12)&gt;0,SUM(CD12,CH12),"")</f>
        <v>12.4</v>
      </c>
      <c r="CY12" s="76">
        <f>IF(SUM(CC12:CD12,CF12:CH12,CJ12)-CE12-CI12&gt;0,SUM(CC12:CD12,CF12:CH12,CJ12)-CE12-CI12,"")</f>
        <v>48.499999999999993</v>
      </c>
      <c r="CZ12" s="76">
        <f>IF(SUM(CK12:CL12,CN12)-CM12&gt;0,SUM(CK12:CL12,CN12)-CM12,"")</f>
        <v>24.200000000000003</v>
      </c>
      <c r="DA12" s="76">
        <f>IF(SUM(CD12,CH12,CL12)&gt;0,SUM(CD12,CH12,CL12),"")</f>
        <v>18.8</v>
      </c>
      <c r="DB12" s="76">
        <f>IF(SUM(CY12,CZ12)&gt;0,SUM(CY12,CZ12),"")</f>
        <v>72.699999999999989</v>
      </c>
      <c r="DC12" s="76">
        <f>IF(SUM(CP12,CT12)&gt;0,SUM(CP12,CT12),"")</f>
        <v>9.3000000000000007</v>
      </c>
      <c r="DD12" s="76">
        <f>IF(SUM(CO12:CP12,CR12:CT12,CV12)-SUM(CQ12,CU12)&gt;0,SUM(CO12:CP12,CR12:CT12,CV12)-SUM(CQ12,CU12),"")</f>
        <v>42.4</v>
      </c>
      <c r="DE12" s="76">
        <f>IF(SUM(CY12,DD12)&gt;0,SUM(CY12,DD12),"")</f>
        <v>90.899999999999991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9.1</v>
      </c>
      <c r="QH12" s="42">
        <f>IF($CW12="P",CD12,(CD12+BA12)/2)</f>
        <v>3</v>
      </c>
      <c r="QI12" s="42">
        <f>IF($CW12="P",CE12,(CE12+BB12)/2)</f>
        <v>0.1</v>
      </c>
      <c r="QJ12" s="42">
        <f>IF($CW12="P",CF12,(CF12+BC12)/2)</f>
        <v>0</v>
      </c>
      <c r="QK12" s="42">
        <f>IF($CW12="P",CG12,(CG12+BD12)/2)</f>
        <v>9.15</v>
      </c>
      <c r="QL12" s="42">
        <f>IF($CW12="P",CH12,(CH12+BE12)/2)</f>
        <v>3.2</v>
      </c>
      <c r="QM12" s="42">
        <f>IF($CW12="P",CI12,(CI12+BF12)/2)</f>
        <v>0.1</v>
      </c>
      <c r="QN12" s="42">
        <f>IF($CW12="P",CJ12,(CJ12+BG12)/2)</f>
        <v>0</v>
      </c>
      <c r="QO12" s="42">
        <f>IF($CW12="P",CK12,(CK12+BH12)/2)</f>
        <v>9.4</v>
      </c>
      <c r="QP12" s="42">
        <f>IF($CW12="P",CL12,(CL12+BI12)/2)</f>
        <v>3.2</v>
      </c>
      <c r="QQ12" s="42">
        <f>IF($CW12="P",CM12,(CM12+BJ12)/2)</f>
        <v>0.5</v>
      </c>
      <c r="QR12" s="42">
        <f>IF($CW12="P",CN12,(CN12+BK12)/2)</f>
        <v>0</v>
      </c>
      <c r="QS12" s="42">
        <f>IF($CW12="P",CO12,(CO12+BL12)/2)</f>
        <v>9.15</v>
      </c>
      <c r="QT12" s="42">
        <f>IF($CW12="P",CP12,(CP12+BM12)/2)</f>
        <v>2.8</v>
      </c>
      <c r="QU12" s="42">
        <f>IF($CW12="P",CQ12,(CQ12+BN12)/2)</f>
        <v>0.3</v>
      </c>
      <c r="QV12" s="42">
        <f>IF($CW12="P",CR12,(CR12+BO12)/2)</f>
        <v>0</v>
      </c>
      <c r="QW12" s="42">
        <f>IF($CW12="P",CS12,(CS12+BP12)/2)</f>
        <v>8.9499999999999993</v>
      </c>
      <c r="QX12" s="42">
        <f>IF($CW12="P",CT12,(CT12+BQ12)/2)</f>
        <v>1.85</v>
      </c>
      <c r="QY12" s="42">
        <f>IF($CW12="P",CU12,(CU12+BR12)/2)</f>
        <v>1.25</v>
      </c>
      <c r="QZ12" s="42">
        <f>IF($CW12="P",CV12,(CV12+BS12)/2)</f>
        <v>0</v>
      </c>
      <c r="RA12" s="51" t="s">
        <v>61</v>
      </c>
      <c r="RB12" s="76">
        <f>IF(SUM(QH12,QL12)&gt;0,SUM(QH12,QL12),"")</f>
        <v>6.2</v>
      </c>
      <c r="RC12" s="76">
        <f>IF(SUM(QG12:QH12,QJ12:QL12,QN12)-QI12-QM12&gt;0,SUM(QG12:QH12,QJ12:QL12,QN12)-QI12-QM12,"")</f>
        <v>24.249999999999996</v>
      </c>
      <c r="RD12" s="76">
        <f>IF(SUM(QO12:QP12,QR12)-QQ12&gt;0,SUM(QO12:QP12,QR12)-QQ12,"")</f>
        <v>12.100000000000001</v>
      </c>
      <c r="RE12" s="76">
        <f>IF(SUM(QH12,QL12,QP12)&gt;0,SUM(QH12,QL12,QP12),"")</f>
        <v>9.4</v>
      </c>
      <c r="RF12" s="76">
        <f>IF(SUM(RC12,RD12)&gt;0,SUM(RC12,RD12),"")</f>
        <v>36.349999999999994</v>
      </c>
      <c r="RG12" s="76">
        <f>IF(SUM(QT12,QX12)&gt;0,SUM(QT12,QX12),"")</f>
        <v>4.6500000000000004</v>
      </c>
      <c r="RH12" s="76">
        <f>IF(SUM(QS12:QT12,QV12:QX12,QZ12)-SUM(QU12,QY12)&gt;0,SUM(QS12:QT12,QV12:QX12,QZ12)-SUM(QU12,QY12),"")</f>
        <v>21.2</v>
      </c>
      <c r="RI12" s="76">
        <f>IF(SUM(RC12,RH12)&gt;0,SUM(RC12,RH12),"")</f>
        <v>45.449999999999996</v>
      </c>
    </row>
    <row r="13" spans="1:477" x14ac:dyDescent="0.2">
      <c r="A13" s="5" t="str">
        <f>IF(AND(F13="P",G13="P"),SUMPRODUCT((F$4:F$18="P")*(G$4:G$18="P")*(E$4:E$18&gt;E13))+1,IF(G13="P",SUMPRODUCT((F$4:F$18="")*(G$4:G$18="P")*(E$4:E$18&gt;E13))+1+SUMPRODUCT((F$4:F$18="P")*(G$4:G$18="P")),""))</f>
        <v/>
      </c>
      <c r="B13" s="6" t="s">
        <v>94</v>
      </c>
      <c r="C13" s="7" t="s">
        <v>5</v>
      </c>
      <c r="D13" s="18">
        <v>2003</v>
      </c>
      <c r="E13" s="14">
        <f>SUM(J13:T13)+SUM(J13:P13)*0.0000001+SUM(J13)*0.0000000000001</f>
        <v>112.60002696000699</v>
      </c>
      <c r="F13" s="3" t="str">
        <f>IF(OR(AND(AR13&gt;=AY$20,AS13&gt;=AY$24,AR13&lt;&gt;"",AQ13=""),AND(AW13&gt;=AY$20,AX13&gt;=AY$24,AW13&lt;&gt;"",AQ13=""),AND(BU13&gt;=CB$20,BV13&gt;=CB$24,BU13&lt;&gt;"",BT13=""),AND(BZ13&gt;=CB$20,CA13&gt;=CB$24,BZ13&lt;&gt;"",BT13=""),AND(CX13&gt;=DE$20,CY13&gt;=DE$24,CX13&lt;&gt;"",CW13=""),AND(DC13&gt;=DE$20,DD13&gt;=DE$24,DC13&lt;&gt;""),AND(EC13&gt;=EJ$20,ED13&gt;=EJ$24,EC13&lt;&gt;""),AND(EH13&gt;=EJ$20,EI13&gt;=EJ$24,EH13&lt;&gt;""),AND(FE13&gt;=FL$20,FF13&gt;=FL$24,FE13&lt;&gt;""),AND(FJ13&gt;=FL$20,FK13&gt;=FL$24,FJ13&lt;&gt;""),AND(GG13&gt;=GN$20,GH13&gt;=GN$24,GG13&lt;&gt;""),AND(GL13&gt;=GN$20,GM13&gt;=GN$24,GL13&lt;&gt;""),AND(HI13&gt;=HP$20,HJ13&gt;=HP$24,HI13&lt;&gt;""),AND(HN13&gt;=HP$20,HO13&gt;=HP$24,HN13&lt;&gt;""),AND(IK13&gt;=IR$20,IL13&gt;=IR$24,IK13&lt;&gt;""),AND(IP13&gt;=IR$20,IQ13&gt;=IR$24,IP13&lt;&gt;""),AND(JM13&gt;=JT$20,JN13&gt;=JT$24,JM13&lt;&gt;""),AND(JR13&gt;=JT$20,JS13&gt;=JT$24,JR13&lt;&gt;""),AND(KO13&gt;=KV$20,KP13&gt;=KV$24,KO13&lt;&gt;""),AND(KT13&gt;=KV$20,KU13&gt;=KV$24,KT13&lt;&gt;""),AND(LQ13&gt;=LX$20,LR13&gt;=LX$24,LQ13&lt;&gt;""),AND(LV13&gt;=LX$20,LW13&gt;=LX$24,LV13&lt;&gt;""),AND(MS13&gt;=MZ$20,MT13&gt;=MZ$24,MS13&lt;&gt;""),AND(MX13&gt;=MZ$20,MY13&gt;=MZ$24,MX13&lt;&gt;""),AND(NU13&gt;=OB$20,NV13&gt;=OB$24,NU13&lt;&gt;""),AND(NZ13&gt;=OB$20,OA13&gt;=OB$24,NZ13&lt;&gt;""),AND(OW13&gt;=PD$20,OX13&gt;=PD$24,OW13&lt;&gt;""),AND(PB13&gt;=PD$20,PC13&gt;=PD$24,PB13&lt;&gt;""),AND(PY13&gt;=QF$20,PZ13&gt;=QF$24,PY13&lt;&gt;""),AND(QD13&gt;=QF$20,QE13&gt;=QF$24,QD13&lt;&gt;"")),"P","")</f>
        <v/>
      </c>
      <c r="G13" s="3" t="str">
        <f>IF(OR(AND(AS13&gt;=AY$24,AS13&lt;&gt;"",AQ13=""),AND(AX13&gt;=AY$24,AX13&lt;&gt;"",AQ13=""),AND(BV13&gt;=CB$24,BV13&lt;&gt;"",BT13=""),AND(CA13&gt;=CB$24,CA13&lt;&gt;"",BT13=""),AND(CY13&gt;=DE$24,CY13&lt;&gt;"",CW13=""),AND(DD13&gt;=DE$24,DD13&lt;&gt;"",CW13=""),AND(ED13&gt;=EJ$24,ED13&lt;&gt;""),AND(EI13&gt;=EJ$24,EI13&lt;&gt;""),AND(FF13&gt;=FL$24,FF13&lt;&gt;""),AND(FK13&gt;=FL$24,FK13&lt;&gt;""),AND(GH13&gt;=GN$24,GH13&lt;&gt;""),AND(GM13&gt;=GN$24,GM13&lt;&gt;""),AND(HJ13&gt;=HP$24,HJ13&lt;&gt;""),AND(HO13&gt;=HP$24,HO13&lt;&gt;""),AND(IL13&gt;=IR$24,IL13&lt;&gt;""),AND(IQ13&gt;=IR$24,IQ13&lt;&gt;""),AND(JN13&gt;=JT$24,JN13&lt;&gt;""),AND(JS13&gt;=JT$24,JS13&lt;&gt;""),AND(KP13&gt;=KV$24,KP13&lt;&gt;""),AND(KU13&gt;=KV$24,KU13&lt;&gt;""),AND(LR13&gt;=LX$24,LR13&lt;&gt;""),AND(LW13&gt;=LX$24,LW13&lt;&gt;""),AND(MT13&gt;=MZ$24,MT13&lt;&gt;""),AND(MY13&gt;=MZ$24,MY13&lt;&gt;""),AND(NV13&gt;=OB$24,NV13&lt;&gt;""),AND(OA13&gt;=OB$24,OA13&lt;&gt;""),AND(OX13&gt;=PD$24,OX13&lt;&gt;""),AND(PC13&gt;=PD$24,PC13&lt;&gt;""),AND(PZ13&gt;=QF$24,PZ13&lt;&gt;""),AND(QE13&gt;=QF$24,QE13&lt;&gt;"")),"P","")</f>
        <v/>
      </c>
      <c r="H13" s="70" t="str">
        <f>IF(AND(G13="P",F13=""),"No DD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Merit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Excellence",IF(I13="P","Worlds Team",IF(F13="P","National Team","")))))</f>
        <v/>
      </c>
      <c r="I13" s="3" t="str">
        <f>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P","")</f>
        <v/>
      </c>
      <c r="J13" s="13">
        <f>IF(COUNT(AS13,BV13,CY13)&gt;0,LARGE((AS13,BV13,CY13),1),0)</f>
        <v>49.900000000000013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2.0000000000000002E-5</v>
      </c>
      <c r="M13" s="13" t="str">
        <f>IF(L13=0,"",IF(L13=CY13,$CC$1,IF(L13=BV13,$AZ$1,IF(L13=AS13,$W$1,""))))</f>
        <v>2021 Elite Canada</v>
      </c>
      <c r="N13" s="13">
        <f>IF(COUNT(AT13,BW13,CZ13)&gt;0,LARGE((AT13,BW13,CZ13),1),0)</f>
        <v>19.7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42.999999999999993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>
        <v>2.0000000000000002E-5</v>
      </c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>
        <f>IF(SUM(X13,AB13)&gt;0,SUM(X13,AB13),"")</f>
        <v>2.0000000000000002E-5</v>
      </c>
      <c r="AS13" s="76">
        <f>IF(SUM(W13:X13,Z13:AB13,AD13)-Y13-AC13&gt;0,SUM(W13:X13,Z13:AB13,AD13)-Y13-AC13,"")</f>
        <v>2.0000000000000002E-5</v>
      </c>
      <c r="AT13" s="76" t="str">
        <f>IF(SUM(AE13:AF13,AH13)-AG13&gt;0,SUM(AE13:AF13,AH13)-AG13,"")</f>
        <v/>
      </c>
      <c r="AU13" s="76">
        <f>IF(SUM(X13,AB13,AF13)&gt;0,SUM(X13,AB13,AF13),"")</f>
        <v>2.0000000000000002E-5</v>
      </c>
      <c r="AV13" s="76">
        <f>IF(SUM(AS13,AT13)&gt;0,SUM(AS13,AT13),"")</f>
        <v>2.0000000000000002E-5</v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>
        <f>IF(SUM(AS13,AX13)&gt;0,SUM(AS13,AX13),"")</f>
        <v>2.0000000000000002E-5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18.600000000000001</v>
      </c>
      <c r="CD13" s="27">
        <v>7.6</v>
      </c>
      <c r="CE13" s="27">
        <v>0.8</v>
      </c>
      <c r="CF13" s="27">
        <v>0</v>
      </c>
      <c r="CG13" s="27">
        <v>18.100000000000001</v>
      </c>
      <c r="CH13" s="27">
        <v>7.2</v>
      </c>
      <c r="CI13" s="27">
        <v>0.8</v>
      </c>
      <c r="CJ13" s="27">
        <v>0</v>
      </c>
      <c r="CK13" s="27">
        <v>17.3</v>
      </c>
      <c r="CL13" s="27">
        <v>2.4</v>
      </c>
      <c r="CM13" s="27">
        <v>0</v>
      </c>
      <c r="CN13" s="27">
        <v>0</v>
      </c>
      <c r="CO13" s="27">
        <v>18.5</v>
      </c>
      <c r="CP13" s="27">
        <v>6.8</v>
      </c>
      <c r="CQ13" s="27">
        <v>0.2</v>
      </c>
      <c r="CR13" s="27">
        <v>0</v>
      </c>
      <c r="CS13" s="27">
        <v>18.5</v>
      </c>
      <c r="CT13" s="27">
        <v>2.8</v>
      </c>
      <c r="CU13" s="27">
        <v>3.4</v>
      </c>
      <c r="CV13" s="27">
        <v>0</v>
      </c>
      <c r="CW13" s="51"/>
      <c r="CX13" s="76">
        <f>IF(SUM(CD13,CH13)&gt;0,SUM(CD13,CH13),"")</f>
        <v>14.8</v>
      </c>
      <c r="CY13" s="76">
        <f>IF(SUM(CC13:CD13,CF13:CH13,CJ13)-CE13-CI13&gt;0,SUM(CC13:CD13,CF13:CH13,CJ13)-CE13-CI13,"")</f>
        <v>49.900000000000013</v>
      </c>
      <c r="CZ13" s="76">
        <f>IF(SUM(CK13:CL13,CN13)-CM13&gt;0,SUM(CK13:CL13,CN13)-CM13,"")</f>
        <v>19.7</v>
      </c>
      <c r="DA13" s="76">
        <f>IF(SUM(CD13,CH13,CL13)&gt;0,SUM(CD13,CH13,CL13),"")</f>
        <v>17.2</v>
      </c>
      <c r="DB13" s="76">
        <f>IF(SUM(CY13,CZ13)&gt;0,SUM(CY13,CZ13),"")</f>
        <v>69.600000000000009</v>
      </c>
      <c r="DC13" s="76">
        <f>IF(SUM(CP13,CT13)&gt;0,SUM(CP13,CT13),"")</f>
        <v>9.6</v>
      </c>
      <c r="DD13" s="76">
        <f>IF(SUM(CO13:CP13,CR13:CT13,CV13)-SUM(CQ13,CU13)&gt;0,SUM(CO13:CP13,CR13:CT13,CV13)-SUM(CQ13,CU13),"")</f>
        <v>42.999999999999993</v>
      </c>
      <c r="DE13" s="76">
        <f>IF(SUM(CY13,DD13)&gt;0,SUM(CY13,DD13),"")</f>
        <v>92.9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>
        <v>2.0000000000000002E-5</v>
      </c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>
        <f>IF(SUM(DJ13,DN13)&gt;0,SUM(DJ13,DN13),"")</f>
        <v>2.0000000000000002E-5</v>
      </c>
      <c r="ED13" s="76">
        <f>IF(SUM(DI13:DJ13,DL13:DN13,DP13)-DK13-DO13&gt;0,SUM(DI13:DJ13,DL13:DN13,DP13)-DK13-DO13,"")</f>
        <v>2.0000000000000002E-5</v>
      </c>
      <c r="EE13" s="76" t="str">
        <f>IF(SUM(DQ13:DR13,DT13)-DS13&gt;0,SUM(DQ13:DR13,DT13)-DS13,"")</f>
        <v/>
      </c>
      <c r="EF13" s="76">
        <f>IF(SUM(DJ13,DN13,DR13)&gt;0,SUM(DJ13,DN13,DR13),"")</f>
        <v>2.0000000000000002E-5</v>
      </c>
      <c r="EG13" s="76">
        <f>IF(SUM(ED13,EE13)&gt;0,SUM(ED13,EE13),"")</f>
        <v>2.0000000000000002E-5</v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>
        <f>IF(SUM(ED13,EI13)&gt;0,SUM(ED13,EI13),"")</f>
        <v>2.0000000000000002E-5</v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>
        <v>19</v>
      </c>
      <c r="FN13" s="25">
        <v>8</v>
      </c>
      <c r="FO13" s="25">
        <v>0.8</v>
      </c>
      <c r="FP13" s="25">
        <v>0.3</v>
      </c>
      <c r="FQ13" s="25">
        <v>18.399999999999999</v>
      </c>
      <c r="FR13" s="25">
        <v>6.8</v>
      </c>
      <c r="FS13" s="25">
        <v>0.8</v>
      </c>
      <c r="FT13" s="25">
        <v>0</v>
      </c>
      <c r="FU13" s="25"/>
      <c r="FV13" s="25"/>
      <c r="FW13" s="25"/>
      <c r="FX13" s="25"/>
      <c r="FY13" s="25">
        <v>17.600000000000001</v>
      </c>
      <c r="FZ13" s="25">
        <v>2.8</v>
      </c>
      <c r="GA13" s="25">
        <v>0</v>
      </c>
      <c r="GB13" s="25">
        <v>0</v>
      </c>
      <c r="GC13" s="25">
        <v>18.8</v>
      </c>
      <c r="GD13" s="25">
        <v>4.5999999999999996</v>
      </c>
      <c r="GE13" s="25">
        <v>1.4</v>
      </c>
      <c r="GF13" s="25">
        <v>0</v>
      </c>
      <c r="GG13" s="76">
        <f>IF(SUM(FN13,FR13)&gt;0,SUM(FN13,FR13),"")</f>
        <v>14.8</v>
      </c>
      <c r="GH13" s="76">
        <f>IF(SUM(FM13:FN13,FP13:FR13,FT13)-FO13-FS13&gt;0,SUM(FM13:FN13,FP13:FR13,FT13)-FO13-FS13,"")</f>
        <v>50.900000000000006</v>
      </c>
      <c r="GI13" s="76" t="str">
        <f>IF(SUM(FU13:FV13,FX13)-FW13&gt;0,SUM(FU13:FV13,FX13)-FW13,"")</f>
        <v/>
      </c>
      <c r="GJ13" s="76">
        <f>IF(SUM(FN13,FR13,FV13)&gt;0,SUM(FN13,FR13,FV13),"")</f>
        <v>14.8</v>
      </c>
      <c r="GK13" s="76">
        <f>IF(SUM(GH13,GI13)&gt;0,SUM(GH13,GI13),"")</f>
        <v>50.900000000000006</v>
      </c>
      <c r="GL13" s="76">
        <f>IF(SUM(FZ13,GD13)&gt;0,SUM(FZ13,GD13),"")</f>
        <v>7.3999999999999995</v>
      </c>
      <c r="GM13" s="76">
        <f>IF(SUM(FY13:FZ13,GB13:GD13,GF13)-SUM(GA13,GE13)&gt;0,SUM(FY13:FZ13,GB13:GD13,GF13)-SUM(GA13,GE13),"")</f>
        <v>42.400000000000006</v>
      </c>
      <c r="GN13" s="76">
        <f>IF(SUM(GH13,GM13)&gt;0,SUM(GH13,GM13),"")</f>
        <v>93.300000000000011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9.3000000000000007</v>
      </c>
      <c r="QH13" s="42">
        <f>IF($CW13="P",CD13,(CD13+BA13)/2)</f>
        <v>3.8</v>
      </c>
      <c r="QI13" s="42">
        <f>IF($CW13="P",CE13,(CE13+BB13)/2)</f>
        <v>0.4</v>
      </c>
      <c r="QJ13" s="42">
        <f>IF($CW13="P",CF13,(CF13+BC13)/2)</f>
        <v>0</v>
      </c>
      <c r="QK13" s="42">
        <f>IF($CW13="P",CG13,(CG13+BD13)/2)</f>
        <v>9.0500000000000007</v>
      </c>
      <c r="QL13" s="42">
        <f>IF($CW13="P",CH13,(CH13+BE13)/2)</f>
        <v>3.6</v>
      </c>
      <c r="QM13" s="42">
        <f>IF($CW13="P",CI13,(CI13+BF13)/2)</f>
        <v>0.4</v>
      </c>
      <c r="QN13" s="42">
        <f>IF($CW13="P",CJ13,(CJ13+BG13)/2)</f>
        <v>0</v>
      </c>
      <c r="QO13" s="42">
        <f>IF($CW13="P",CK13,(CK13+BH13)/2)</f>
        <v>8.65</v>
      </c>
      <c r="QP13" s="42">
        <f>IF($CW13="P",CL13,(CL13+BI13)/2)</f>
        <v>1.2</v>
      </c>
      <c r="QQ13" s="42">
        <f>IF($CW13="P",CM13,(CM13+BJ13)/2)</f>
        <v>0</v>
      </c>
      <c r="QR13" s="42">
        <f>IF($CW13="P",CN13,(CN13+BK13)/2)</f>
        <v>0</v>
      </c>
      <c r="QS13" s="42">
        <f>IF($CW13="P",CO13,(CO13+BL13)/2)</f>
        <v>9.25</v>
      </c>
      <c r="QT13" s="42">
        <f>IF($CW13="P",CP13,(CP13+BM13)/2)</f>
        <v>3.4</v>
      </c>
      <c r="QU13" s="42">
        <f>IF($CW13="P",CQ13,(CQ13+BN13)/2)</f>
        <v>0.1</v>
      </c>
      <c r="QV13" s="42">
        <f>IF($CW13="P",CR13,(CR13+BO13)/2)</f>
        <v>0</v>
      </c>
      <c r="QW13" s="42">
        <f>IF($CW13="P",CS13,(CS13+BP13)/2)</f>
        <v>9.25</v>
      </c>
      <c r="QX13" s="42">
        <f>IF($CW13="P",CT13,(CT13+BQ13)/2)</f>
        <v>1.4</v>
      </c>
      <c r="QY13" s="42">
        <f>IF($CW13="P",CU13,(CU13+BR13)/2)</f>
        <v>1.7</v>
      </c>
      <c r="QZ13" s="42">
        <f>IF($CW13="P",CV13,(CV13+BS13)/2)</f>
        <v>0</v>
      </c>
      <c r="RA13" s="51" t="s">
        <v>61</v>
      </c>
      <c r="RB13" s="76">
        <f>IF(SUM(QH13,QL13)&gt;0,SUM(QH13,QL13),"")</f>
        <v>7.4</v>
      </c>
      <c r="RC13" s="76">
        <f>IF(SUM(QG13:QH13,QJ13:QL13,QN13)-QI13-QM13&gt;0,SUM(QG13:QH13,QJ13:QL13,QN13)-QI13-QM13,"")</f>
        <v>24.950000000000006</v>
      </c>
      <c r="RD13" s="76">
        <f>IF(SUM(QO13:QP13,QR13)-QQ13&gt;0,SUM(QO13:QP13,QR13)-QQ13,"")</f>
        <v>9.85</v>
      </c>
      <c r="RE13" s="76">
        <f>IF(SUM(QH13,QL13,QP13)&gt;0,SUM(QH13,QL13,QP13),"")</f>
        <v>8.6</v>
      </c>
      <c r="RF13" s="76">
        <f>IF(SUM(RC13,RD13)&gt;0,SUM(RC13,RD13),"")</f>
        <v>34.800000000000004</v>
      </c>
      <c r="RG13" s="76">
        <f>IF(SUM(QT13,QX13)&gt;0,SUM(QT13,QX13),"")</f>
        <v>4.8</v>
      </c>
      <c r="RH13" s="76">
        <f>IF(SUM(QS13:QT13,QV13:QX13,QZ13)-SUM(QU13,QY13)&gt;0,SUM(QS13:QT13,QV13:QX13,QZ13)-SUM(QU13,QY13),"")</f>
        <v>21.499999999999996</v>
      </c>
      <c r="RI13" s="76">
        <f>IF(SUM(RC13,RH13)&gt;0,SUM(RC13,RH13),"")</f>
        <v>46.45</v>
      </c>
    </row>
    <row r="14" spans="1:477" x14ac:dyDescent="0.2">
      <c r="A14" s="5" t="str">
        <f>IF(AND(F14="P",G14="P"),SUMPRODUCT((F$4:F$18="P")*(G$4:G$18="P")*(E$4:E$18&gt;E14))+1,IF(G14="P",SUMPRODUCT((F$4:F$18="")*(G$4:G$18="P")*(E$4:E$18&gt;E14))+1+SUMPRODUCT((F$4:F$18="P")*(G$4:G$18="P")),""))</f>
        <v/>
      </c>
      <c r="B14" s="6" t="s">
        <v>168</v>
      </c>
      <c r="C14" s="7" t="s">
        <v>6</v>
      </c>
      <c r="D14" s="18">
        <v>2005</v>
      </c>
      <c r="E14" s="14">
        <f>SUM(J14:T14)+SUM(J14:P14)*0.0000001+SUM(J14)*0.0000000000001</f>
        <v>112.0000072000047</v>
      </c>
      <c r="F14" s="3" t="str">
        <f>IF(OR(AND(AR14&gt;=AY$20,AS14&gt;=AY$24,AR14&lt;&gt;"",AQ14=""),AND(AW14&gt;=AY$20,AX14&gt;=AY$24,AW14&lt;&gt;"",AQ14=""),AND(BU14&gt;=CB$20,BV14&gt;=CB$24,BU14&lt;&gt;"",BT14=""),AND(BZ14&gt;=CB$20,CA14&gt;=CB$24,BZ14&lt;&gt;"",BT14=""),AND(CX14&gt;=DE$20,CY14&gt;=DE$24,CX14&lt;&gt;"",CW14=""),AND(DC14&gt;=DE$20,DD14&gt;=DE$24,DC14&lt;&gt;""),AND(EC14&gt;=EJ$20,ED14&gt;=EJ$24,EC14&lt;&gt;""),AND(EH14&gt;=EJ$20,EI14&gt;=EJ$24,EH14&lt;&gt;""),AND(FE14&gt;=FL$20,FF14&gt;=FL$24,FE14&lt;&gt;""),AND(FJ14&gt;=FL$20,FK14&gt;=FL$24,FJ14&lt;&gt;""),AND(GG14&gt;=GN$20,GH14&gt;=GN$24,GG14&lt;&gt;""),AND(GL14&gt;=GN$20,GM14&gt;=GN$24,GL14&lt;&gt;""),AND(HI14&gt;=HP$20,HJ14&gt;=HP$24,HI14&lt;&gt;""),AND(HN14&gt;=HP$20,HO14&gt;=HP$24,HN14&lt;&gt;""),AND(IK14&gt;=IR$20,IL14&gt;=IR$24,IK14&lt;&gt;""),AND(IP14&gt;=IR$20,IQ14&gt;=IR$24,IP14&lt;&gt;""),AND(JM14&gt;=JT$20,JN14&gt;=JT$24,JM14&lt;&gt;""),AND(JR14&gt;=JT$20,JS14&gt;=JT$24,JR14&lt;&gt;""),AND(KO14&gt;=KV$20,KP14&gt;=KV$24,KO14&lt;&gt;""),AND(KT14&gt;=KV$20,KU14&gt;=KV$24,KT14&lt;&gt;""),AND(LQ14&gt;=LX$20,LR14&gt;=LX$24,LQ14&lt;&gt;""),AND(LV14&gt;=LX$20,LW14&gt;=LX$24,LV14&lt;&gt;""),AND(MS14&gt;=MZ$20,MT14&gt;=MZ$24,MS14&lt;&gt;""),AND(MX14&gt;=MZ$20,MY14&gt;=MZ$24,MX14&lt;&gt;""),AND(NU14&gt;=OB$20,NV14&gt;=OB$24,NU14&lt;&gt;""),AND(NZ14&gt;=OB$20,OA14&gt;=OB$24,NZ14&lt;&gt;""),AND(OW14&gt;=PD$20,OX14&gt;=PD$24,OW14&lt;&gt;""),AND(PB14&gt;=PD$20,PC14&gt;=PD$24,PB14&lt;&gt;""),AND(PY14&gt;=QF$20,PZ14&gt;=QF$24,PY14&lt;&gt;""),AND(QD14&gt;=QF$20,QE14&gt;=QF$24,QD14&lt;&gt;"")),"P","")</f>
        <v/>
      </c>
      <c r="G14" s="3" t="str">
        <f>IF(OR(AND(AS14&gt;=AY$24,AS14&lt;&gt;"",AQ14=""),AND(AX14&gt;=AY$24,AX14&lt;&gt;"",AQ14=""),AND(BV14&gt;=CB$24,BV14&lt;&gt;"",BT14=""),AND(CA14&gt;=CB$24,CA14&lt;&gt;"",BT14=""),AND(CY14&gt;=DE$24,CY14&lt;&gt;"",CW14=""),AND(DD14&gt;=DE$24,DD14&lt;&gt;"",CW14=""),AND(ED14&gt;=EJ$24,ED14&lt;&gt;""),AND(EI14&gt;=EJ$24,EI14&lt;&gt;""),AND(FF14&gt;=FL$24,FF14&lt;&gt;""),AND(FK14&gt;=FL$24,FK14&lt;&gt;""),AND(GH14&gt;=GN$24,GH14&lt;&gt;""),AND(GM14&gt;=GN$24,GM14&lt;&gt;""),AND(HJ14&gt;=HP$24,HJ14&lt;&gt;""),AND(HO14&gt;=HP$24,HO14&lt;&gt;""),AND(IL14&gt;=IR$24,IL14&lt;&gt;""),AND(IQ14&gt;=IR$24,IQ14&lt;&gt;""),AND(JN14&gt;=JT$24,JN14&lt;&gt;""),AND(JS14&gt;=JT$24,JS14&lt;&gt;""),AND(KP14&gt;=KV$24,KP14&lt;&gt;""),AND(KU14&gt;=KV$24,KU14&lt;&gt;""),AND(LR14&gt;=LX$24,LR14&lt;&gt;""),AND(LW14&gt;=LX$24,LW14&lt;&gt;""),AND(MT14&gt;=MZ$24,MT14&lt;&gt;""),AND(MY14&gt;=MZ$24,MY14&lt;&gt;""),AND(NV14&gt;=OB$24,NV14&lt;&gt;""),AND(OA14&gt;=OB$24,OA14&lt;&gt;""),AND(OX14&gt;=PD$24,OX14&lt;&gt;""),AND(PC14&gt;=PD$24,PC14&lt;&gt;""),AND(PZ14&gt;=QF$24,PZ14&lt;&gt;""),AND(QE14&gt;=QF$24,QE14&lt;&gt;"")),"P","")</f>
        <v/>
      </c>
      <c r="H14" s="70" t="str">
        <f>IF(AND(G14="P",F14=""),"No DD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Merit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Excellence",IF(I14="P","Worlds Team",IF(F14="P","National Team","")))))</f>
        <v/>
      </c>
      <c r="I14" s="3" t="str">
        <f>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P","")</f>
        <v/>
      </c>
      <c r="J14" s="13">
        <f>IF(COUNT(AS14,BV14,CY14)&gt;0,LARGE((AS14,BV14,CY14),1),0)</f>
        <v>47.1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24.9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39.999999999999993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18.899999999999999</v>
      </c>
      <c r="CD14" s="27">
        <v>7.2</v>
      </c>
      <c r="CE14" s="27">
        <v>0</v>
      </c>
      <c r="CF14" s="27">
        <v>0</v>
      </c>
      <c r="CG14" s="27">
        <v>17.399999999999999</v>
      </c>
      <c r="CH14" s="27">
        <v>3.6</v>
      </c>
      <c r="CI14" s="27">
        <v>0</v>
      </c>
      <c r="CJ14" s="27">
        <v>0</v>
      </c>
      <c r="CK14" s="27">
        <v>18.899999999999999</v>
      </c>
      <c r="CL14" s="27">
        <v>6</v>
      </c>
      <c r="CM14" s="27">
        <v>0</v>
      </c>
      <c r="CN14" s="27">
        <v>0</v>
      </c>
      <c r="CO14" s="27">
        <v>17.399999999999999</v>
      </c>
      <c r="CP14" s="27">
        <v>2.8</v>
      </c>
      <c r="CQ14" s="27">
        <v>0</v>
      </c>
      <c r="CR14" s="27">
        <v>0</v>
      </c>
      <c r="CS14" s="27">
        <v>17.399999999999999</v>
      </c>
      <c r="CT14" s="27">
        <v>2.4</v>
      </c>
      <c r="CU14" s="27">
        <v>0</v>
      </c>
      <c r="CV14" s="27">
        <v>0</v>
      </c>
      <c r="CW14" s="51"/>
      <c r="CX14" s="76">
        <f>IF(SUM(CD14,CH14)&gt;0,SUM(CD14,CH14),"")</f>
        <v>10.8</v>
      </c>
      <c r="CY14" s="76">
        <f>IF(SUM(CC14:CD14,CF14:CH14,CJ14)-CE14-CI14&gt;0,SUM(CC14:CD14,CF14:CH14,CJ14)-CE14-CI14,"")</f>
        <v>47.1</v>
      </c>
      <c r="CZ14" s="76">
        <f>IF(SUM(CK14:CL14,CN14)-CM14&gt;0,SUM(CK14:CL14,CN14)-CM14,"")</f>
        <v>24.9</v>
      </c>
      <c r="DA14" s="76">
        <f>IF(SUM(CD14,CH14,CL14)&gt;0,SUM(CD14,CH14,CL14),"")</f>
        <v>16.8</v>
      </c>
      <c r="DB14" s="76">
        <f>IF(SUM(CY14,CZ14)&gt;0,SUM(CY14,CZ14),"")</f>
        <v>72</v>
      </c>
      <c r="DC14" s="76">
        <f>IF(SUM(CP14,CT14)&gt;0,SUM(CP14,CT14),"")</f>
        <v>5.1999999999999993</v>
      </c>
      <c r="DD14" s="76">
        <f>IF(SUM(CO14:CP14,CR14:CT14,CV14)-SUM(CQ14,CU14)&gt;0,SUM(CO14:CP14,CR14:CT14,CV14)-SUM(CQ14,CU14),"")</f>
        <v>39.999999999999993</v>
      </c>
      <c r="DE14" s="76">
        <f>IF(SUM(CY14,DD14)&gt;0,SUM(CY14,DD14),"")</f>
        <v>87.1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>
        <v>18.600000000000001</v>
      </c>
      <c r="EL14" s="26">
        <v>7.2</v>
      </c>
      <c r="EM14" s="26">
        <v>0.6</v>
      </c>
      <c r="EN14" s="26">
        <v>0</v>
      </c>
      <c r="EO14" s="26">
        <v>17.8</v>
      </c>
      <c r="EP14" s="26">
        <v>6.8</v>
      </c>
      <c r="EQ14" s="26">
        <v>0.2</v>
      </c>
      <c r="ER14" s="26">
        <v>0</v>
      </c>
      <c r="ES14" s="26"/>
      <c r="ET14" s="26"/>
      <c r="EU14" s="26"/>
      <c r="EV14" s="26"/>
      <c r="EW14" s="26">
        <v>18.600000000000001</v>
      </c>
      <c r="EX14" s="26">
        <v>7.2</v>
      </c>
      <c r="EY14" s="26">
        <v>0.2</v>
      </c>
      <c r="EZ14" s="26">
        <v>0</v>
      </c>
      <c r="FA14" s="26">
        <v>0</v>
      </c>
      <c r="FB14" s="26">
        <v>0</v>
      </c>
      <c r="FC14" s="26">
        <v>0</v>
      </c>
      <c r="FD14" s="26">
        <v>0</v>
      </c>
      <c r="FE14" s="16">
        <f>IF(SUM(EL14,EP14)&gt;0,SUM(EL14,EP14),"")</f>
        <v>14</v>
      </c>
      <c r="FF14" s="16">
        <f>IF(SUM(EK14:EL14,EN14:EP14,ER14)-EM14-EQ14&gt;0,SUM(EK14:EL14,EN14:EP14,ER14)-EM14-EQ14,"")</f>
        <v>49.599999999999994</v>
      </c>
      <c r="FG14" s="16" t="str">
        <f>IF(SUM(ES14:ET14,EV14)-EU14&gt;0,SUM(ES14:ET14,EV14)-EU14,"")</f>
        <v/>
      </c>
      <c r="FH14" s="16">
        <f>IF(SUM(EL14,EP14,ET14)&gt;0,SUM(EL14,EP14,ET14),"")</f>
        <v>14</v>
      </c>
      <c r="FI14" s="16">
        <f>IF(SUM(FF14,FG14)&gt;0,SUM(FF14,FG14),"")</f>
        <v>49.599999999999994</v>
      </c>
      <c r="FJ14" s="16">
        <f>IF(SUM(EX14,FB14)&gt;0,SUM(EX14,FB14),"")</f>
        <v>7.2</v>
      </c>
      <c r="FK14" s="16">
        <f>IF(SUM(EW14:EX14,EZ14:FB14,FD14)-SUM(EY14,FC14)&gt;0,SUM(EW14:EX14,EZ14:FB14,FD14)-SUM(EY14,FC14),"")</f>
        <v>25.6</v>
      </c>
      <c r="FL14" s="16">
        <f>IF(SUM(FF14,FK14)&gt;0,SUM(FF14,FK14),"")</f>
        <v>75.199999999999989</v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9.4499999999999993</v>
      </c>
      <c r="QH14" s="42">
        <f>IF($CW14="P",CD14,(CD14+BA14)/2)</f>
        <v>3.6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8.6999999999999993</v>
      </c>
      <c r="QL14" s="42">
        <f>IF($CW14="P",CH14,(CH14+BE14)/2)</f>
        <v>1.8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9.4499999999999993</v>
      </c>
      <c r="QP14" s="42">
        <f>IF($CW14="P",CL14,(CL14+BI14)/2)</f>
        <v>3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8.6999999999999993</v>
      </c>
      <c r="QT14" s="42">
        <f>IF($CW14="P",CP14,(CP14+BM14)/2)</f>
        <v>1.4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8.6999999999999993</v>
      </c>
      <c r="QX14" s="42">
        <f>IF($CW14="P",CT14,(CT14+BQ14)/2)</f>
        <v>1.2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5.4</v>
      </c>
      <c r="RC14" s="76">
        <f>IF(SUM(QG14:QH14,QJ14:QL14,QN14)-QI14-QM14&gt;0,SUM(QG14:QH14,QJ14:QL14,QN14)-QI14-QM14,"")</f>
        <v>23.55</v>
      </c>
      <c r="RD14" s="76">
        <f>IF(SUM(QO14:QP14,QR14)-QQ14&gt;0,SUM(QO14:QP14,QR14)-QQ14,"")</f>
        <v>12.45</v>
      </c>
      <c r="RE14" s="76">
        <f>IF(SUM(QH14,QL14,QP14)&gt;0,SUM(QH14,QL14,QP14),"")</f>
        <v>8.4</v>
      </c>
      <c r="RF14" s="76">
        <f>IF(SUM(RC14,RD14)&gt;0,SUM(RC14,RD14),"")</f>
        <v>36</v>
      </c>
      <c r="RG14" s="76">
        <f>IF(SUM(QT14,QX14)&gt;0,SUM(QT14,QX14),"")</f>
        <v>2.5999999999999996</v>
      </c>
      <c r="RH14" s="76">
        <f>IF(SUM(QS14:QT14,QV14:QX14,QZ14)-SUM(QU14,QY14)&gt;0,SUM(QS14:QT14,QV14:QX14,QZ14)-SUM(QU14,QY14),"")</f>
        <v>19.999999999999996</v>
      </c>
      <c r="RI14" s="76">
        <f>IF(SUM(RC14,RH14)&gt;0,SUM(RC14,RH14),"")</f>
        <v>43.55</v>
      </c>
    </row>
    <row r="15" spans="1:477" x14ac:dyDescent="0.2">
      <c r="A15" s="5" t="str">
        <f>IF(AND(F15="P",G15="P"),SUMPRODUCT((F$4:F$18="P")*(G$4:G$18="P")*(E$4:E$18&gt;E15))+1,IF(G15="P",SUMPRODUCT((F$4:F$18="")*(G$4:G$18="P")*(E$4:E$18&gt;E15))+1+SUMPRODUCT((F$4:F$18="P")*(G$4:G$18="P")),""))</f>
        <v/>
      </c>
      <c r="B15" s="6" t="s">
        <v>95</v>
      </c>
      <c r="C15" s="7" t="s">
        <v>6</v>
      </c>
      <c r="D15" s="18">
        <v>2002</v>
      </c>
      <c r="E15" s="14">
        <f>SUM(J15:T15)+SUM(J15:P15)*0.0000001+SUM(J15)*0.0000000000001</f>
        <v>67.500006750004815</v>
      </c>
      <c r="F15" s="3" t="str">
        <f>IF(OR(AND(AR15&gt;=AY$20,AS15&gt;=AY$24,AR15&lt;&gt;"",AQ15=""),AND(AW15&gt;=AY$20,AX15&gt;=AY$24,AW15&lt;&gt;"",AQ15=""),AND(BU15&gt;=CB$20,BV15&gt;=CB$24,BU15&lt;&gt;"",BT15=""),AND(BZ15&gt;=CB$20,CA15&gt;=CB$24,BZ15&lt;&gt;"",BT15=""),AND(CX15&gt;=DE$20,CY15&gt;=DE$24,CX15&lt;&gt;"",CW15=""),AND(DC15&gt;=DE$20,DD15&gt;=DE$24,DC15&lt;&gt;""),AND(EC15&gt;=EJ$20,ED15&gt;=EJ$24,EC15&lt;&gt;""),AND(EH15&gt;=EJ$20,EI15&gt;=EJ$24,EH15&lt;&gt;""),AND(FE15&gt;=FL$20,FF15&gt;=FL$24,FE15&lt;&gt;""),AND(FJ15&gt;=FL$20,FK15&gt;=FL$24,FJ15&lt;&gt;""),AND(GG15&gt;=GN$20,GH15&gt;=GN$24,GG15&lt;&gt;""),AND(GL15&gt;=GN$20,GM15&gt;=GN$24,GL15&lt;&gt;""),AND(HI15&gt;=HP$20,HJ15&gt;=HP$24,HI15&lt;&gt;""),AND(HN15&gt;=HP$20,HO15&gt;=HP$24,HN15&lt;&gt;""),AND(IK15&gt;=IR$20,IL15&gt;=IR$24,IK15&lt;&gt;""),AND(IP15&gt;=IR$20,IQ15&gt;=IR$24,IP15&lt;&gt;""),AND(JM15&gt;=JT$20,JN15&gt;=JT$24,JM15&lt;&gt;""),AND(JR15&gt;=JT$20,JS15&gt;=JT$24,JR15&lt;&gt;""),AND(KO15&gt;=KV$20,KP15&gt;=KV$24,KO15&lt;&gt;""),AND(KT15&gt;=KV$20,KU15&gt;=KV$24,KT15&lt;&gt;""),AND(LQ15&gt;=LX$20,LR15&gt;=LX$24,LQ15&lt;&gt;""),AND(LV15&gt;=LX$20,LW15&gt;=LX$24,LV15&lt;&gt;""),AND(MS15&gt;=MZ$20,MT15&gt;=MZ$24,MS15&lt;&gt;""),AND(MX15&gt;=MZ$20,MY15&gt;=MZ$24,MX15&lt;&gt;""),AND(NU15&gt;=OB$20,NV15&gt;=OB$24,NU15&lt;&gt;""),AND(NZ15&gt;=OB$20,OA15&gt;=OB$24,NZ15&lt;&gt;""),AND(OW15&gt;=PD$20,OX15&gt;=PD$24,OW15&lt;&gt;""),AND(PB15&gt;=PD$20,PC15&gt;=PD$24,PB15&lt;&gt;""),AND(PY15&gt;=QF$20,PZ15&gt;=QF$24,PY15&lt;&gt;""),AND(QD15&gt;=QF$20,QE15&gt;=QF$24,QD15&lt;&gt;"")),"P","")</f>
        <v/>
      </c>
      <c r="G15" s="3" t="str">
        <f>IF(OR(AND(AS15&gt;=AY$24,AS15&lt;&gt;"",AQ15=""),AND(AX15&gt;=AY$24,AX15&lt;&gt;"",AQ15=""),AND(BV15&gt;=CB$24,BV15&lt;&gt;"",BT15=""),AND(CA15&gt;=CB$24,CA15&lt;&gt;"",BT15=""),AND(CY15&gt;=DE$24,CY15&lt;&gt;"",CW15=""),AND(DD15&gt;=DE$24,DD15&lt;&gt;"",CW15=""),AND(ED15&gt;=EJ$24,ED15&lt;&gt;""),AND(EI15&gt;=EJ$24,EI15&lt;&gt;""),AND(FF15&gt;=FL$24,FF15&lt;&gt;""),AND(FK15&gt;=FL$24,FK15&lt;&gt;""),AND(GH15&gt;=GN$24,GH15&lt;&gt;""),AND(GM15&gt;=GN$24,GM15&lt;&gt;""),AND(HJ15&gt;=HP$24,HJ15&lt;&gt;""),AND(HO15&gt;=HP$24,HO15&lt;&gt;""),AND(IL15&gt;=IR$24,IL15&lt;&gt;""),AND(IQ15&gt;=IR$24,IQ15&lt;&gt;""),AND(JN15&gt;=JT$24,JN15&lt;&gt;""),AND(JS15&gt;=JT$24,JS15&lt;&gt;""),AND(KP15&gt;=KV$24,KP15&lt;&gt;""),AND(KU15&gt;=KV$24,KU15&lt;&gt;""),AND(LR15&gt;=LX$24,LR15&lt;&gt;""),AND(LW15&gt;=LX$24,LW15&lt;&gt;""),AND(MT15&gt;=MZ$24,MT15&lt;&gt;""),AND(MY15&gt;=MZ$24,MY15&lt;&gt;""),AND(NV15&gt;=OB$24,NV15&lt;&gt;""),AND(OA15&gt;=OB$24,OA15&lt;&gt;""),AND(OX15&gt;=PD$24,OX15&lt;&gt;""),AND(PC15&gt;=PD$24,PC15&lt;&gt;""),AND(PZ15&gt;=QF$24,PZ15&lt;&gt;""),AND(QE15&gt;=QF$24,QE15&lt;&gt;"")),"P","")</f>
        <v/>
      </c>
      <c r="H15" s="70" t="str">
        <f>IF(AND(G15="P",F15=""),"No DD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Merit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Excellence",IF(I15="P","Worlds Team",IF(F15="P","National Team","")))))</f>
        <v/>
      </c>
      <c r="I15" s="3" t="str">
        <f>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P","")</f>
        <v/>
      </c>
      <c r="J15" s="13">
        <f>IF(COUNT(AS15,BV15,CY15)&gt;0,LARGE((AS15,BV15,CY15),1),0)</f>
        <v>48.2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19.300000000000004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0</v>
      </c>
      <c r="S15" s="13" t="str">
        <f>IF(R15=0,"",IF(R15=DD15,$CC$1,IF(R15=CA15,$AZ$1,IF(R15=AX15,$W$1,""))))</f>
        <v/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18.2</v>
      </c>
      <c r="CD15" s="27">
        <v>6</v>
      </c>
      <c r="CE15" s="27">
        <v>0.8</v>
      </c>
      <c r="CF15" s="27">
        <v>0</v>
      </c>
      <c r="CG15" s="27">
        <v>19</v>
      </c>
      <c r="CH15" s="27">
        <v>6.4</v>
      </c>
      <c r="CI15" s="27">
        <v>0.6</v>
      </c>
      <c r="CJ15" s="27">
        <v>0</v>
      </c>
      <c r="CK15" s="27">
        <v>18.100000000000001</v>
      </c>
      <c r="CL15" s="27">
        <v>4.0999999999999996</v>
      </c>
      <c r="CM15" s="27">
        <v>2.9</v>
      </c>
      <c r="CN15" s="27">
        <v>0</v>
      </c>
      <c r="CO15" s="27"/>
      <c r="CP15" s="27"/>
      <c r="CQ15" s="27"/>
      <c r="CR15" s="27"/>
      <c r="CS15" s="27"/>
      <c r="CT15" s="27"/>
      <c r="CU15" s="27"/>
      <c r="CV15" s="27"/>
      <c r="CW15" s="51"/>
      <c r="CX15" s="76">
        <f>IF(SUM(CD15,CH15)&gt;0,SUM(CD15,CH15),"")</f>
        <v>12.4</v>
      </c>
      <c r="CY15" s="76">
        <f>IF(SUM(CC15:CD15,CF15:CH15,CJ15)-CE15-CI15&gt;0,SUM(CC15:CD15,CF15:CH15,CJ15)-CE15-CI15,"")</f>
        <v>48.2</v>
      </c>
      <c r="CZ15" s="76">
        <f>IF(SUM(CK15:CL15,CN15)-CM15&gt;0,SUM(CK15:CL15,CN15)-CM15,"")</f>
        <v>19.300000000000004</v>
      </c>
      <c r="DA15" s="76">
        <f>IF(SUM(CD15,CH15,CL15)&gt;0,SUM(CD15,CH15,CL15),"")</f>
        <v>16.5</v>
      </c>
      <c r="DB15" s="76">
        <f>IF(SUM(CY15,CZ15)&gt;0,SUM(CY15,CZ15),"")</f>
        <v>67.5</v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>
        <f>IF(SUM(CY15,DD15)&gt;0,SUM(CY15,DD15),"")</f>
        <v>48.2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>
        <v>18</v>
      </c>
      <c r="EL15" s="26">
        <v>3.2</v>
      </c>
      <c r="EM15" s="26">
        <v>0</v>
      </c>
      <c r="EN15" s="26">
        <v>0</v>
      </c>
      <c r="EO15" s="26">
        <v>18.399999999999999</v>
      </c>
      <c r="EP15" s="26">
        <v>6.4</v>
      </c>
      <c r="EQ15" s="26">
        <v>0.2</v>
      </c>
      <c r="ER15" s="26">
        <v>0</v>
      </c>
      <c r="ES15" s="26"/>
      <c r="ET15" s="26"/>
      <c r="EU15" s="26"/>
      <c r="EV15" s="26"/>
      <c r="EW15" s="26">
        <v>0</v>
      </c>
      <c r="EX15" s="26">
        <v>0</v>
      </c>
      <c r="EY15" s="26">
        <v>0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16">
        <f>IF(SUM(EL15,EP15)&gt;0,SUM(EL15,EP15),"")</f>
        <v>9.6000000000000014</v>
      </c>
      <c r="FF15" s="16">
        <f>IF(SUM(EK15:EL15,EN15:EP15,ER15)-EM15-EQ15&gt;0,SUM(EK15:EL15,EN15:EP15,ER15)-EM15-EQ15,"")</f>
        <v>45.79999999999999</v>
      </c>
      <c r="FG15" s="16" t="str">
        <f>IF(SUM(ES15:ET15,EV15)-EU15&gt;0,SUM(ES15:ET15,EV15)-EU15,"")</f>
        <v/>
      </c>
      <c r="FH15" s="16">
        <f>IF(SUM(EL15,EP15,ET15)&gt;0,SUM(EL15,EP15,ET15),"")</f>
        <v>9.6000000000000014</v>
      </c>
      <c r="FI15" s="16">
        <f>IF(SUM(FF15,FG15)&gt;0,SUM(FF15,FG15),"")</f>
        <v>45.79999999999999</v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>
        <f>IF(SUM(FF15,FK15)&gt;0,SUM(FF15,FK15),"")</f>
        <v>45.79999999999999</v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9.1</v>
      </c>
      <c r="QH15" s="42">
        <f>IF($CW15="P",CD15,(CD15+BA15)/2)</f>
        <v>3</v>
      </c>
      <c r="QI15" s="42">
        <f>IF($CW15="P",CE15,(CE15+BB15)/2)</f>
        <v>0.4</v>
      </c>
      <c r="QJ15" s="42">
        <f>IF($CW15="P",CF15,(CF15+BC15)/2)</f>
        <v>0</v>
      </c>
      <c r="QK15" s="42">
        <f>IF($CW15="P",CG15,(CG15+BD15)/2)</f>
        <v>9.5</v>
      </c>
      <c r="QL15" s="42">
        <f>IF($CW15="P",CH15,(CH15+BE15)/2)</f>
        <v>3.2</v>
      </c>
      <c r="QM15" s="42">
        <f>IF($CW15="P",CI15,(CI15+BF15)/2)</f>
        <v>0.3</v>
      </c>
      <c r="QN15" s="42">
        <f>IF($CW15="P",CJ15,(CJ15+BG15)/2)</f>
        <v>0</v>
      </c>
      <c r="QO15" s="42">
        <f>IF($CW15="P",CK15,(CK15+BH15)/2)</f>
        <v>9.0500000000000007</v>
      </c>
      <c r="QP15" s="42">
        <f>IF($CW15="P",CL15,(CL15+BI15)/2)</f>
        <v>2.0499999999999998</v>
      </c>
      <c r="QQ15" s="42">
        <f>IF($CW15="P",CM15,(CM15+BJ15)/2)</f>
        <v>1.45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61</v>
      </c>
      <c r="RB15" s="76">
        <f>IF(SUM(QH15,QL15)&gt;0,SUM(QH15,QL15),"")</f>
        <v>6.2</v>
      </c>
      <c r="RC15" s="76">
        <f>IF(SUM(QG15:QH15,QJ15:QL15,QN15)-QI15-QM15&gt;0,SUM(QG15:QH15,QJ15:QL15,QN15)-QI15-QM15,"")</f>
        <v>24.1</v>
      </c>
      <c r="RD15" s="76">
        <f>IF(SUM(QO15:QP15,QR15)-QQ15&gt;0,SUM(QO15:QP15,QR15)-QQ15,"")</f>
        <v>9.6500000000000021</v>
      </c>
      <c r="RE15" s="76">
        <f>IF(SUM(QH15,QL15,QP15)&gt;0,SUM(QH15,QL15,QP15),"")</f>
        <v>8.25</v>
      </c>
      <c r="RF15" s="76">
        <f>IF(SUM(RC15,RD15)&gt;0,SUM(RC15,RD15),"")</f>
        <v>33.75</v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>
        <f>IF(SUM(RC15,RH15)&gt;0,SUM(RC15,RH15),"")</f>
        <v>24.1</v>
      </c>
    </row>
    <row r="16" spans="1:477" x14ac:dyDescent="0.2">
      <c r="A16" s="5" t="str">
        <f>IF(AND(F16="P",G16="P"),SUMPRODUCT((F$4:F$18="P")*(G$4:G$18="P")*(E$4:E$18&gt;E16))+1,IF(G16="P",SUMPRODUCT((F$4:F$18="")*(G$4:G$18="P")*(E$4:E$18&gt;E16))+1+SUMPRODUCT((F$4:F$18="P")*(G$4:G$18="P")),""))</f>
        <v/>
      </c>
      <c r="B16" s="6" t="s">
        <v>36</v>
      </c>
      <c r="C16" s="7" t="s">
        <v>9</v>
      </c>
      <c r="D16" s="18">
        <v>1998</v>
      </c>
      <c r="E16" s="14">
        <f>SUM(J16:T16)+SUM(J16:P16)*0.0000001+SUM(J16)*0.0000000000001</f>
        <v>50.300005030005025</v>
      </c>
      <c r="F16" s="3" t="str">
        <f>IF(OR(AND(AR16&gt;=AY$20,AS16&gt;=AY$24,AR16&lt;&gt;"",AQ16=""),AND(AW16&gt;=AY$20,AX16&gt;=AY$24,AW16&lt;&gt;"",AQ16=""),AND(BU16&gt;=CB$20,BV16&gt;=CB$24,BU16&lt;&gt;"",BT16=""),AND(BZ16&gt;=CB$20,CA16&gt;=CB$24,BZ16&lt;&gt;"",BT16=""),AND(CX16&gt;=DE$20,CY16&gt;=DE$24,CX16&lt;&gt;"",CW16=""),AND(DC16&gt;=DE$20,DD16&gt;=DE$24,DC16&lt;&gt;""),AND(EC16&gt;=EJ$20,ED16&gt;=EJ$24,EC16&lt;&gt;""),AND(EH16&gt;=EJ$20,EI16&gt;=EJ$24,EH16&lt;&gt;""),AND(FE16&gt;=FL$20,FF16&gt;=FL$24,FE16&lt;&gt;""),AND(FJ16&gt;=FL$20,FK16&gt;=FL$24,FJ16&lt;&gt;""),AND(GG16&gt;=GN$20,GH16&gt;=GN$24,GG16&lt;&gt;""),AND(GL16&gt;=GN$20,GM16&gt;=GN$24,GL16&lt;&gt;""),AND(HI16&gt;=HP$20,HJ16&gt;=HP$24,HI16&lt;&gt;""),AND(HN16&gt;=HP$20,HO16&gt;=HP$24,HN16&lt;&gt;""),AND(IK16&gt;=IR$20,IL16&gt;=IR$24,IK16&lt;&gt;""),AND(IP16&gt;=IR$20,IQ16&gt;=IR$24,IP16&lt;&gt;""),AND(JM16&gt;=JT$20,JN16&gt;=JT$24,JM16&lt;&gt;""),AND(JR16&gt;=JT$20,JS16&gt;=JT$24,JR16&lt;&gt;""),AND(KO16&gt;=KV$20,KP16&gt;=KV$24,KO16&lt;&gt;""),AND(KT16&gt;=KV$20,KU16&gt;=KV$24,KT16&lt;&gt;""),AND(LQ16&gt;=LX$20,LR16&gt;=LX$24,LQ16&lt;&gt;""),AND(LV16&gt;=LX$20,LW16&gt;=LX$24,LV16&lt;&gt;""),AND(MS16&gt;=MZ$20,MT16&gt;=MZ$24,MS16&lt;&gt;""),AND(MX16&gt;=MZ$20,MY16&gt;=MZ$24,MX16&lt;&gt;""),AND(NU16&gt;=OB$20,NV16&gt;=OB$24,NU16&lt;&gt;""),AND(NZ16&gt;=OB$20,OA16&gt;=OB$24,NZ16&lt;&gt;""),AND(OW16&gt;=PD$20,OX16&gt;=PD$24,OW16&lt;&gt;""),AND(PB16&gt;=PD$20,PC16&gt;=PD$24,PB16&lt;&gt;""),AND(PY16&gt;=QF$20,PZ16&gt;=QF$24,PY16&lt;&gt;""),AND(QD16&gt;=QF$20,QE16&gt;=QF$24,QD16&lt;&gt;"")),"P","")</f>
        <v/>
      </c>
      <c r="G16" s="3" t="str">
        <f>IF(OR(AND(AS16&gt;=AY$24,AS16&lt;&gt;"",AQ16=""),AND(AX16&gt;=AY$24,AX16&lt;&gt;"",AQ16=""),AND(BV16&gt;=CB$24,BV16&lt;&gt;"",BT16=""),AND(CA16&gt;=CB$24,CA16&lt;&gt;"",BT16=""),AND(CY16&gt;=DE$24,CY16&lt;&gt;"",CW16=""),AND(DD16&gt;=DE$24,DD16&lt;&gt;"",CW16=""),AND(ED16&gt;=EJ$24,ED16&lt;&gt;""),AND(EI16&gt;=EJ$24,EI16&lt;&gt;""),AND(FF16&gt;=FL$24,FF16&lt;&gt;""),AND(FK16&gt;=FL$24,FK16&lt;&gt;""),AND(GH16&gt;=GN$24,GH16&lt;&gt;""),AND(GM16&gt;=GN$24,GM16&lt;&gt;""),AND(HJ16&gt;=HP$24,HJ16&lt;&gt;""),AND(HO16&gt;=HP$24,HO16&lt;&gt;""),AND(IL16&gt;=IR$24,IL16&lt;&gt;""),AND(IQ16&gt;=IR$24,IQ16&lt;&gt;""),AND(JN16&gt;=JT$24,JN16&lt;&gt;""),AND(JS16&gt;=JT$24,JS16&lt;&gt;""),AND(KP16&gt;=KV$24,KP16&lt;&gt;""),AND(KU16&gt;=KV$24,KU16&lt;&gt;""),AND(LR16&gt;=LX$24,LR16&lt;&gt;""),AND(LW16&gt;=LX$24,LW16&lt;&gt;""),AND(MT16&gt;=MZ$24,MT16&lt;&gt;""),AND(MY16&gt;=MZ$24,MY16&lt;&gt;""),AND(NV16&gt;=OB$24,NV16&lt;&gt;""),AND(OA16&gt;=OB$24,OA16&lt;&gt;""),AND(OX16&gt;=PD$24,OX16&lt;&gt;""),AND(PC16&gt;=PD$24,PC16&lt;&gt;""),AND(PZ16&gt;=QF$24,PZ16&lt;&gt;""),AND(QE16&gt;=QF$24,QE16&lt;&gt;"")),"P","")</f>
        <v/>
      </c>
      <c r="H16" s="70" t="str">
        <f>IF(AND(G16="P",F16=""),"No DD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Merit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Excellence",IF(I16="P","Worlds Team",IF(F16="P","National Team","")))))</f>
        <v/>
      </c>
      <c r="I16" s="3" t="str">
        <f>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P","")</f>
        <v/>
      </c>
      <c r="J16" s="13">
        <f>IF(COUNT(AS16,BV16,CY16)&gt;0,LARGE((AS16,BV16,CY16),1),0)</f>
        <v>50.3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0</v>
      </c>
      <c r="O16" s="13" t="str">
        <f>IF(N16=0,"",IF(N16=CZ16,$CC$1,IF(N16=BW16,$AZ$1,IF(N16=AT16,$W$1,""))))</f>
        <v/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18.2</v>
      </c>
      <c r="CD16" s="27">
        <v>7.2</v>
      </c>
      <c r="CE16" s="27">
        <v>0.6</v>
      </c>
      <c r="CF16" s="27">
        <v>0</v>
      </c>
      <c r="CG16" s="27">
        <v>18.5</v>
      </c>
      <c r="CH16" s="27">
        <v>7.2</v>
      </c>
      <c r="CI16" s="27">
        <v>0.2</v>
      </c>
      <c r="CJ16" s="27">
        <v>0</v>
      </c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>IF(SUM(CD16,CH16)&gt;0,SUM(CD16,CH16),"")</f>
        <v>14.4</v>
      </c>
      <c r="CY16" s="76">
        <f>IF(SUM(CC16:CD16,CF16:CH16,CJ16)-CE16-CI16&gt;0,SUM(CC16:CD16,CF16:CH16,CJ16)-CE16-CI16,"")</f>
        <v>50.3</v>
      </c>
      <c r="CZ16" s="76" t="str">
        <f>IF(SUM(CK16:CL16,CN16)-CM16&gt;0,SUM(CK16:CL16,CN16)-CM16,"")</f>
        <v/>
      </c>
      <c r="DA16" s="76">
        <f>IF(SUM(CD16,CH16,CL16)&gt;0,SUM(CD16,CH16,CL16),"")</f>
        <v>14.4</v>
      </c>
      <c r="DB16" s="76">
        <f>IF(SUM(CY16,CZ16)&gt;0,SUM(CY16,CZ16),"")</f>
        <v>50.3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50.3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>
        <v>17.5</v>
      </c>
      <c r="FN16" s="25">
        <v>2.8</v>
      </c>
      <c r="FO16" s="25">
        <v>0</v>
      </c>
      <c r="FP16" s="25">
        <v>0</v>
      </c>
      <c r="FQ16" s="25">
        <v>18.399999999999999</v>
      </c>
      <c r="FR16" s="25">
        <v>6</v>
      </c>
      <c r="FS16" s="25">
        <v>0.8</v>
      </c>
      <c r="FT16" s="25">
        <v>0</v>
      </c>
      <c r="FU16" s="25"/>
      <c r="FV16" s="25"/>
      <c r="FW16" s="25"/>
      <c r="FX16" s="25"/>
      <c r="FY16" s="25">
        <v>17.600000000000001</v>
      </c>
      <c r="FZ16" s="25">
        <v>2.8</v>
      </c>
      <c r="GA16" s="25">
        <v>0</v>
      </c>
      <c r="GB16" s="25">
        <v>0</v>
      </c>
      <c r="GC16" s="25">
        <v>18.2</v>
      </c>
      <c r="GD16" s="25">
        <v>6.8</v>
      </c>
      <c r="GE16" s="25">
        <v>0.6</v>
      </c>
      <c r="GF16" s="25">
        <v>0</v>
      </c>
      <c r="GG16" s="76">
        <f>IF(SUM(FN16,FR16)&gt;0,SUM(FN16,FR16),"")</f>
        <v>8.8000000000000007</v>
      </c>
      <c r="GH16" s="76">
        <f>IF(SUM(FM16:FN16,FP16:FR16,FT16)-FO16-FS16&gt;0,SUM(FM16:FN16,FP16:FR16,FT16)-FO16-FS16,"")</f>
        <v>43.900000000000006</v>
      </c>
      <c r="GI16" s="76" t="str">
        <f>IF(SUM(FU16:FV16,FX16)-FW16&gt;0,SUM(FU16:FV16,FX16)-FW16,"")</f>
        <v/>
      </c>
      <c r="GJ16" s="76">
        <f>IF(SUM(FN16,FR16,FV16)&gt;0,SUM(FN16,FR16,FV16),"")</f>
        <v>8.8000000000000007</v>
      </c>
      <c r="GK16" s="76">
        <f>IF(SUM(GH16,GI16)&gt;0,SUM(GH16,GI16),"")</f>
        <v>43.900000000000006</v>
      </c>
      <c r="GL16" s="76">
        <f>IF(SUM(FZ16,GD16)&gt;0,SUM(FZ16,GD16),"")</f>
        <v>9.6</v>
      </c>
      <c r="GM16" s="76">
        <f>IF(SUM(FY16:FZ16,GB16:GD16,GF16)-SUM(GA16,GE16)&gt;0,SUM(FY16:FZ16,GB16:GD16,GF16)-SUM(GA16,GE16),"")</f>
        <v>44.8</v>
      </c>
      <c r="GN16" s="76">
        <f>IF(SUM(GH16,GM16)&gt;0,SUM(GH16,GM16),"")</f>
        <v>88.7</v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</v>
      </c>
      <c r="QH16" s="42">
        <f>IF($CW16="P",CD16,(CD16+BA16)/2)</f>
        <v>3.6</v>
      </c>
      <c r="QI16" s="42">
        <f>IF($CW16="P",CE16,(CE16+BB16)/2)</f>
        <v>0.3</v>
      </c>
      <c r="QJ16" s="42">
        <f>IF($CW16="P",CF16,(CF16+BC16)/2)</f>
        <v>0</v>
      </c>
      <c r="QK16" s="42">
        <f>IF($CW16="P",CG16,(CG16+BD16)/2)</f>
        <v>9.25</v>
      </c>
      <c r="QL16" s="42">
        <f>IF($CW16="P",CH16,(CH16+BE16)/2)</f>
        <v>3.6</v>
      </c>
      <c r="QM16" s="42">
        <f>IF($CW16="P",CI16,(CI16+BF16)/2)</f>
        <v>0.1</v>
      </c>
      <c r="QN16" s="42">
        <f>IF($CW16="P",CJ16,(CJ16+BG16)/2)</f>
        <v>0</v>
      </c>
      <c r="QO16" s="42">
        <f>IF($CW16="P",CK16,(CK16+BH16)/2)</f>
        <v>0</v>
      </c>
      <c r="QP16" s="42">
        <f>IF($CW16="P",CL16,(CL16+BI16)/2)</f>
        <v>0</v>
      </c>
      <c r="QQ16" s="42">
        <f>IF($CW16="P",CM16,(CM16+BJ16)/2)</f>
        <v>0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7.2</v>
      </c>
      <c r="RC16" s="76">
        <f>IF(SUM(QG16:QH16,QJ16:QL16,QN16)-QI16-QM16&gt;0,SUM(QG16:QH16,QJ16:QL16,QN16)-QI16-QM16,"")</f>
        <v>25.15</v>
      </c>
      <c r="RD16" s="76" t="str">
        <f>IF(SUM(QO16:QP16,QR16)-QQ16&gt;0,SUM(QO16:QP16,QR16)-QQ16,"")</f>
        <v/>
      </c>
      <c r="RE16" s="76">
        <f>IF(SUM(QH16,QL16,QP16)&gt;0,SUM(QH16,QL16,QP16),"")</f>
        <v>7.2</v>
      </c>
      <c r="RF16" s="76">
        <f>IF(SUM(RC16,RD16)&gt;0,SUM(RC16,RD16),"")</f>
        <v>25.15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25.15</v>
      </c>
    </row>
    <row r="17" spans="1:477" x14ac:dyDescent="0.2">
      <c r="A17" s="5" t="str">
        <f>IF(AND(F17="P",G17="P"),SUMPRODUCT((F$4:F$18="P")*(G$4:G$18="P")*(E$4:E$18&gt;E17))+1,IF(G17="P",SUMPRODUCT((F$4:F$18="")*(G$4:G$18="P")*(E$4:E$18&gt;E17))+1+SUMPRODUCT((F$4:F$18="P")*(G$4:G$18="P")),""))</f>
        <v/>
      </c>
      <c r="B17" s="6" t="s">
        <v>170</v>
      </c>
      <c r="C17" s="7" t="s">
        <v>9</v>
      </c>
      <c r="D17" s="18">
        <v>2005</v>
      </c>
      <c r="E17" s="14">
        <f>SUM(J17:T17)+SUM(J17:P17)*0.0000001+SUM(J17)*0.0000000000001</f>
        <v>20.000002000001999</v>
      </c>
      <c r="F17" s="3" t="str">
        <f>IF(OR(AND(AR17&gt;=AY$20,AS17&gt;=AY$24,AR17&lt;&gt;"",AQ17=""),AND(AW17&gt;=AY$20,AX17&gt;=AY$24,AW17&lt;&gt;"",AQ17=""),AND(BU17&gt;=CB$20,BV17&gt;=CB$24,BU17&lt;&gt;"",BT17=""),AND(BZ17&gt;=CB$20,CA17&gt;=CB$24,BZ17&lt;&gt;"",BT17=""),AND(CX17&gt;=DE$20,CY17&gt;=DE$24,CX17&lt;&gt;"",CW17=""),AND(DC17&gt;=DE$20,DD17&gt;=DE$24,DC17&lt;&gt;""),AND(EC17&gt;=EJ$20,ED17&gt;=EJ$24,EC17&lt;&gt;""),AND(EH17&gt;=EJ$20,EI17&gt;=EJ$24,EH17&lt;&gt;""),AND(FE17&gt;=FL$20,FF17&gt;=FL$24,FE17&lt;&gt;""),AND(FJ17&gt;=FL$20,FK17&gt;=FL$24,FJ17&lt;&gt;""),AND(GG17&gt;=GN$20,GH17&gt;=GN$24,GG17&lt;&gt;""),AND(GL17&gt;=GN$20,GM17&gt;=GN$24,GL17&lt;&gt;""),AND(HI17&gt;=HP$20,HJ17&gt;=HP$24,HI17&lt;&gt;""),AND(HN17&gt;=HP$20,HO17&gt;=HP$24,HN17&lt;&gt;""),AND(IK17&gt;=IR$20,IL17&gt;=IR$24,IK17&lt;&gt;""),AND(IP17&gt;=IR$20,IQ17&gt;=IR$24,IP17&lt;&gt;""),AND(JM17&gt;=JT$20,JN17&gt;=JT$24,JM17&lt;&gt;""),AND(JR17&gt;=JT$20,JS17&gt;=JT$24,JR17&lt;&gt;""),AND(KO17&gt;=KV$20,KP17&gt;=KV$24,KO17&lt;&gt;""),AND(KT17&gt;=KV$20,KU17&gt;=KV$24,KT17&lt;&gt;""),AND(LQ17&gt;=LX$20,LR17&gt;=LX$24,LQ17&lt;&gt;""),AND(LV17&gt;=LX$20,LW17&gt;=LX$24,LV17&lt;&gt;""),AND(MS17&gt;=MZ$20,MT17&gt;=MZ$24,MS17&lt;&gt;""),AND(MX17&gt;=MZ$20,MY17&gt;=MZ$24,MX17&lt;&gt;""),AND(NU17&gt;=OB$20,NV17&gt;=OB$24,NU17&lt;&gt;""),AND(NZ17&gt;=OB$20,OA17&gt;=OB$24,NZ17&lt;&gt;""),AND(OW17&gt;=PD$20,OX17&gt;=PD$24,OW17&lt;&gt;""),AND(PB17&gt;=PD$20,PC17&gt;=PD$24,PB17&lt;&gt;""),AND(PY17&gt;=QF$20,PZ17&gt;=QF$24,PY17&lt;&gt;""),AND(QD17&gt;=QF$20,QE17&gt;=QF$24,QD17&lt;&gt;"")),"P","")</f>
        <v/>
      </c>
      <c r="G17" s="3" t="str">
        <f>IF(OR(AND(AS17&gt;=AY$24,AS17&lt;&gt;"",AQ17=""),AND(AX17&gt;=AY$24,AX17&lt;&gt;"",AQ17=""),AND(BV17&gt;=CB$24,BV17&lt;&gt;"",BT17=""),AND(CA17&gt;=CB$24,CA17&lt;&gt;"",BT17=""),AND(CY17&gt;=DE$24,CY17&lt;&gt;"",CW17=""),AND(DD17&gt;=DE$24,DD17&lt;&gt;"",CW17=""),AND(ED17&gt;=EJ$24,ED17&lt;&gt;""),AND(EI17&gt;=EJ$24,EI17&lt;&gt;""),AND(FF17&gt;=FL$24,FF17&lt;&gt;""),AND(FK17&gt;=FL$24,FK17&lt;&gt;""),AND(GH17&gt;=GN$24,GH17&lt;&gt;""),AND(GM17&gt;=GN$24,GM17&lt;&gt;""),AND(HJ17&gt;=HP$24,HJ17&lt;&gt;""),AND(HO17&gt;=HP$24,HO17&lt;&gt;""),AND(IL17&gt;=IR$24,IL17&lt;&gt;""),AND(IQ17&gt;=IR$24,IQ17&lt;&gt;""),AND(JN17&gt;=JT$24,JN17&lt;&gt;""),AND(JS17&gt;=JT$24,JS17&lt;&gt;""),AND(KP17&gt;=KV$24,KP17&lt;&gt;""),AND(KU17&gt;=KV$24,KU17&lt;&gt;""),AND(LR17&gt;=LX$24,LR17&lt;&gt;""),AND(LW17&gt;=LX$24,LW17&lt;&gt;""),AND(MT17&gt;=MZ$24,MT17&lt;&gt;""),AND(MY17&gt;=MZ$24,MY17&lt;&gt;""),AND(NV17&gt;=OB$24,NV17&lt;&gt;""),AND(OA17&gt;=OB$24,OA17&lt;&gt;""),AND(OX17&gt;=PD$24,OX17&lt;&gt;""),AND(PC17&gt;=PD$24,PC17&lt;&gt;""),AND(PZ17&gt;=QF$24,PZ17&lt;&gt;""),AND(QE17&gt;=QF$24,QE17&lt;&gt;"")),"P","")</f>
        <v/>
      </c>
      <c r="H17" s="70" t="str">
        <f>IF(AND(G17="P",F17=""),"No DD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Merit",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Excellence",IF(I17="P","Worlds Team",IF(F17="P","National Team","")))))</f>
        <v/>
      </c>
      <c r="I17" s="3" t="str">
        <f>IF(OR(AND(AU17&gt;=AY$21,AV17&gt;=AY$25,AU17&lt;&gt;"",AQ17=""),AND(BX17&gt;=CB$21,BY17&gt;=CB$25,BX17&lt;&gt;"",BT17=""),AND(DA17&gt;=DE$21,DB17&gt;=DE$25,DA17&lt;&gt;"",CW17=""),AND(EF17&gt;=EJ$21,EG17&gt;=EJ$25,EF17&lt;&gt;""),AND(FH17&gt;=FL$21,FI17&gt;=FL$25,FH17&lt;&gt;""),AND(GJ17&gt;=GN$21,GK17&gt;=GN$25,GJ17&lt;&gt;""),AND(HL17&gt;=HP$21,HM17&gt;=HP$25,HL17&lt;&gt;""),AND(IN17&gt;=IR$21,IO17&gt;=IR$25,IN17&lt;&gt;""),AND(JP17&gt;=JT$21,JQ17&gt;=JT$25,JP17&lt;&gt;""),AND(KR17&gt;=KV$21,KS17&gt;=KV$25,KR17&lt;&gt;""),AND(LT17&gt;=LX$21,LU17&gt;=LX$25,LT17&lt;&gt;""),AND(MV17&gt;=MZ$21,MW17&gt;=MZ$25,MV17&lt;&gt;""),AND(NX17&gt;=OB$21,NY17&gt;=OB$25,NX17&lt;&gt;""),AND(OZ17&gt;=PD$21,PA17&gt;=PD$25,OZ17&lt;&gt;""),AND(QB17&gt;=QF$21,QC17&gt;=QF$25,QB17&lt;&gt;"")),"P","")</f>
        <v/>
      </c>
      <c r="J17" s="13">
        <f>IF(COUNT(AS17,BV17,CY17)&gt;0,LARGE((AS17,BV17,CY17),1),0)</f>
        <v>20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0</v>
      </c>
      <c r="M17" s="13" t="str">
        <f>IF(L17=0,"",IF(L17=CY17,$CC$1,IF(L17=BV17,$AZ$1,IF(L17=AS17,$W$1,""))))</f>
        <v/>
      </c>
      <c r="N17" s="13">
        <f>IF(COUNT(AT17,BW17,CZ17)&gt;0,LARGE((AT17,BW17,CZ17),1),0)</f>
        <v>0</v>
      </c>
      <c r="O17" s="13" t="str">
        <f>IF(N17=0,"",IF(N17=CZ17,$CC$1,IF(N17=BW17,$AZ$1,IF(N17=AT17,$W$1,""))))</f>
        <v/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0</v>
      </c>
      <c r="S17" s="13" t="str">
        <f>IF(R17=0,"",IF(R17=DD17,$CC$1,IF(R17=CA17,$AZ$1,IF(R17=AX17,$W$1,""))))</f>
        <v/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>IF(SUM(BA17,BE17)&gt;0,SUM(BA17,BE17),"")</f>
        <v/>
      </c>
      <c r="BV17" s="16" t="str">
        <f>IF(SUM(AZ17:BA17,BC17:BE17,BG17)-BB17-BF17&gt;0,SUM(AZ17:BA17,BC17:BE17,BG17)-BB17-BF17,"")</f>
        <v/>
      </c>
      <c r="BW17" s="16" t="str">
        <f>IF(SUM(BH17:BI17,BK17)-BJ17&gt;0,SUM(BH17:BI17,BK17)-BJ17,"")</f>
        <v/>
      </c>
      <c r="BX17" s="16" t="str">
        <f>IF(SUM(BA17,BE17,BI17)&gt;0,SUM(BA17,BE17,BI17),"")</f>
        <v/>
      </c>
      <c r="BY17" s="16" t="str">
        <f>IF(SUM(BV17,BW17)&gt;0,SUM(BV17,BW17),"")</f>
        <v/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 t="str">
        <f>IF(SUM(BV17,CA17)&gt;0,SUM(BV17,CA17),"")</f>
        <v/>
      </c>
      <c r="CC17" s="27">
        <v>17.600000000000001</v>
      </c>
      <c r="CD17" s="27">
        <v>2.4</v>
      </c>
      <c r="CE17" s="27">
        <v>0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2.4</v>
      </c>
      <c r="CY17" s="76">
        <f>IF(SUM(CC17:CD17,CF17:CH17,CJ17)-CE17-CI17&gt;0,SUM(CC17:CD17,CF17:CH17,CJ17)-CE17-CI17,"")</f>
        <v>20</v>
      </c>
      <c r="CZ17" s="76" t="str">
        <f>IF(SUM(CK17:CL17,CN17)-CM17&gt;0,SUM(CK17:CL17,CN17)-CM17,"")</f>
        <v/>
      </c>
      <c r="DA17" s="76">
        <f>IF(SUM(CD17,CH17,CL17)&gt;0,SUM(CD17,CH17,CL17),"")</f>
        <v>2.4</v>
      </c>
      <c r="DB17" s="76">
        <f>IF(SUM(CY17,CZ17)&gt;0,SUM(CY17,CZ17),"")</f>
        <v>20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20</v>
      </c>
      <c r="DF17" s="87" t="str">
        <f>IF(L17&gt;=0.001,IF(MAX(ED17,FF17,GH17,HJ17,IL17,JN17,KP17,LR17,MT17,NV17,OX17,PZ17)-IF(L17="",0,L17)&gt;0.001,MAX(ED17,FF17,GH17,HJ17,IL17,JN17,KP17,LR17,MT17,NV17,OX17,PZ17)-IF(L17="",0,L17),""),"")</f>
        <v/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8.8000000000000007</v>
      </c>
      <c r="QH17" s="42">
        <f>IF($CW17="P",CD17,(CD17+BA17)/2)</f>
        <v>1.2</v>
      </c>
      <c r="QI17" s="42">
        <f>IF($CW17="P",CE17,(CE17+BB17)/2)</f>
        <v>0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0</v>
      </c>
      <c r="QP17" s="42">
        <f>IF($CW17="P",CL17,(CL17+BI17)/2)</f>
        <v>0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61</v>
      </c>
      <c r="RB17" s="76">
        <f>IF(SUM(QH17,QL17)&gt;0,SUM(QH17,QL17),"")</f>
        <v>1.2</v>
      </c>
      <c r="RC17" s="76">
        <f>IF(SUM(QG17:QH17,QJ17:QL17,QN17)-QI17-QM17&gt;0,SUM(QG17:QH17,QJ17:QL17,QN17)-QI17-QM17,"")</f>
        <v>10</v>
      </c>
      <c r="RD17" s="76" t="str">
        <f>IF(SUM(QO17:QP17,QR17)-QQ17&gt;0,SUM(QO17:QP17,QR17)-QQ17,"")</f>
        <v/>
      </c>
      <c r="RE17" s="76">
        <f>IF(SUM(QH17,QL17,QP17)&gt;0,SUM(QH17,QL17,QP17),"")</f>
        <v>1.2</v>
      </c>
      <c r="RF17" s="76">
        <f>IF(SUM(RC17,RD17)&gt;0,SUM(RC17,RD17),"")</f>
        <v>10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10</v>
      </c>
    </row>
    <row r="18" spans="1:477" ht="17" x14ac:dyDescent="0.2">
      <c r="T18" s="15"/>
      <c r="U18" s="15"/>
      <c r="V18" s="15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</row>
    <row r="19" spans="1:477" ht="17" x14ac:dyDescent="0.2">
      <c r="T19" s="15"/>
      <c r="U19" s="15"/>
      <c r="V19" s="15"/>
    </row>
    <row r="20" spans="1:477" ht="17" x14ac:dyDescent="0.2">
      <c r="B20" s="43" t="s">
        <v>58</v>
      </c>
      <c r="T20" s="15"/>
      <c r="U20" s="15"/>
      <c r="V20" s="15"/>
      <c r="AR20" s="7"/>
      <c r="AY20" s="78">
        <v>1.0000000000000001E-5</v>
      </c>
      <c r="BU20" s="7"/>
      <c r="CB20" s="78">
        <v>1.0000000000000001E-5</v>
      </c>
      <c r="CX20" s="7"/>
      <c r="DE20" s="78">
        <v>14.4</v>
      </c>
      <c r="EC20" s="7"/>
      <c r="EJ20" s="78">
        <v>1.0000000000000001E-5</v>
      </c>
      <c r="FE20" s="7"/>
      <c r="FL20" s="78">
        <v>14.4</v>
      </c>
      <c r="GG20" s="7"/>
      <c r="GN20" s="78">
        <v>14.4</v>
      </c>
      <c r="HI20" s="7"/>
      <c r="HP20" s="78">
        <v>14.4</v>
      </c>
      <c r="IK20" s="7"/>
      <c r="IR20" s="78">
        <v>14.4</v>
      </c>
      <c r="JM20" s="7"/>
      <c r="JT20" s="78">
        <v>14.4</v>
      </c>
      <c r="KO20" s="7"/>
      <c r="KV20" s="78">
        <v>14.4</v>
      </c>
      <c r="LQ20" s="7"/>
      <c r="LX20" s="78">
        <v>14.4</v>
      </c>
      <c r="MS20" s="7"/>
      <c r="MZ20" s="78">
        <v>14.4</v>
      </c>
      <c r="NU20" s="7"/>
      <c r="OB20" s="78">
        <v>14.4</v>
      </c>
      <c r="OW20" s="7"/>
      <c r="PD20" s="78">
        <v>14.4</v>
      </c>
      <c r="PY20" s="7"/>
      <c r="QF20" s="78">
        <v>14.4</v>
      </c>
    </row>
    <row r="21" spans="1:477" ht="17" x14ac:dyDescent="0.2">
      <c r="B21" s="54" t="s">
        <v>57</v>
      </c>
      <c r="T21" s="15"/>
      <c r="U21" s="15"/>
      <c r="V21" s="15"/>
      <c r="AR21" s="7"/>
      <c r="AY21" s="93">
        <v>2.0000000000000002E-5</v>
      </c>
      <c r="BU21" s="7"/>
      <c r="CB21" s="93">
        <v>2.0000000000000002E-5</v>
      </c>
      <c r="CX21" s="7"/>
      <c r="DE21" s="93">
        <v>21.6</v>
      </c>
      <c r="EC21" s="7"/>
      <c r="EJ21" s="93">
        <v>2.0000000000000002E-5</v>
      </c>
      <c r="FE21" s="7"/>
      <c r="FL21" s="93">
        <v>21.6</v>
      </c>
      <c r="GG21" s="7"/>
      <c r="GN21" s="93">
        <v>21.6</v>
      </c>
      <c r="HI21" s="7"/>
      <c r="HP21" s="93">
        <v>21.6</v>
      </c>
      <c r="IK21" s="7"/>
      <c r="IR21" s="93">
        <v>21.6</v>
      </c>
      <c r="JM21" s="7"/>
      <c r="JT21" s="93">
        <v>21.6</v>
      </c>
      <c r="KO21" s="7"/>
      <c r="KV21" s="93">
        <v>21.6</v>
      </c>
      <c r="LQ21" s="7"/>
      <c r="LX21" s="93">
        <v>21.6</v>
      </c>
      <c r="MS21" s="7"/>
      <c r="MZ21" s="93">
        <v>21.6</v>
      </c>
      <c r="NU21" s="7"/>
      <c r="OB21" s="93">
        <v>21.6</v>
      </c>
      <c r="OW21" s="7"/>
      <c r="PD21" s="93">
        <v>21.6</v>
      </c>
      <c r="PY21" s="7"/>
      <c r="QF21" s="93">
        <v>21.6</v>
      </c>
    </row>
    <row r="22" spans="1:477" ht="17" x14ac:dyDescent="0.2">
      <c r="A22" s="35"/>
      <c r="B22" s="55" t="s">
        <v>71</v>
      </c>
      <c r="C22" s="34"/>
      <c r="T22" s="15"/>
      <c r="U22" s="15"/>
      <c r="V22" s="15"/>
      <c r="AR22" s="7"/>
      <c r="AY22" s="80">
        <v>3.0000000000000001E-5</v>
      </c>
      <c r="BU22" s="7"/>
      <c r="CB22" s="80">
        <v>3.0000000000000001E-5</v>
      </c>
      <c r="CX22" s="7"/>
      <c r="DE22" s="80">
        <v>23.2</v>
      </c>
      <c r="EC22" s="7"/>
      <c r="EJ22" s="80">
        <v>3.0000000000000001E-5</v>
      </c>
      <c r="FE22" s="7"/>
      <c r="FL22" s="80">
        <v>23.2</v>
      </c>
      <c r="GG22" s="7"/>
      <c r="GN22" s="80">
        <v>23.2</v>
      </c>
      <c r="HI22" s="7"/>
      <c r="HP22" s="80">
        <v>23.2</v>
      </c>
      <c r="IK22" s="7"/>
      <c r="IR22" s="80">
        <v>23.2</v>
      </c>
      <c r="JM22" s="7"/>
      <c r="JT22" s="80">
        <v>23.2</v>
      </c>
      <c r="KO22" s="7"/>
      <c r="KV22" s="80">
        <v>23.2</v>
      </c>
      <c r="LQ22" s="7"/>
      <c r="LX22" s="80">
        <v>23.2</v>
      </c>
      <c r="MS22" s="7"/>
      <c r="MZ22" s="80">
        <v>23.2</v>
      </c>
      <c r="NU22" s="7"/>
      <c r="OB22" s="80">
        <v>23.2</v>
      </c>
      <c r="OW22" s="7"/>
      <c r="PD22" s="80">
        <v>23.2</v>
      </c>
      <c r="PY22" s="7"/>
      <c r="QF22" s="80">
        <v>23.2</v>
      </c>
    </row>
    <row r="23" spans="1:477" ht="17" x14ac:dyDescent="0.2">
      <c r="A23" s="35"/>
      <c r="B23" s="66" t="s">
        <v>86</v>
      </c>
      <c r="C23" s="34"/>
      <c r="T23" s="15"/>
      <c r="U23" s="15"/>
      <c r="V23" s="15"/>
      <c r="AR23" s="7"/>
      <c r="AY23" s="81">
        <v>4.0000000000000003E-5</v>
      </c>
      <c r="BU23" s="7"/>
      <c r="CB23" s="81">
        <v>4.0000000000000003E-5</v>
      </c>
      <c r="CX23" s="7"/>
      <c r="DE23" s="81">
        <v>25.6</v>
      </c>
      <c r="EC23" s="7"/>
      <c r="EJ23" s="81">
        <v>4.0000000000000003E-5</v>
      </c>
      <c r="FE23" s="7"/>
      <c r="FL23" s="81">
        <v>25.6</v>
      </c>
      <c r="GG23" s="7"/>
      <c r="GN23" s="81">
        <v>25.6</v>
      </c>
      <c r="HI23" s="7"/>
      <c r="HP23" s="81">
        <v>25.6</v>
      </c>
      <c r="IK23" s="7"/>
      <c r="IR23" s="81">
        <v>25.6</v>
      </c>
      <c r="JM23" s="7"/>
      <c r="JT23" s="81">
        <v>25.6</v>
      </c>
      <c r="KO23" s="7"/>
      <c r="KV23" s="81">
        <v>25.6</v>
      </c>
      <c r="LQ23" s="7"/>
      <c r="LX23" s="81">
        <v>25.6</v>
      </c>
      <c r="MS23" s="7"/>
      <c r="MZ23" s="81">
        <v>25.6</v>
      </c>
      <c r="NU23" s="7"/>
      <c r="OB23" s="81">
        <v>25.6</v>
      </c>
      <c r="OW23" s="7"/>
      <c r="PD23" s="81">
        <v>25.6</v>
      </c>
      <c r="PY23" s="7"/>
      <c r="QF23" s="81">
        <v>25.6</v>
      </c>
    </row>
    <row r="24" spans="1:477" ht="17" x14ac:dyDescent="0.2">
      <c r="A24" s="35"/>
      <c r="B24" s="65" t="s">
        <v>55</v>
      </c>
      <c r="C24" s="34"/>
      <c r="T24" s="15"/>
      <c r="U24" s="15"/>
      <c r="V24" s="15"/>
      <c r="AR24" s="7"/>
      <c r="AY24" s="82">
        <v>5.0000000000000002E-5</v>
      </c>
      <c r="BU24" s="7"/>
      <c r="CB24" s="82">
        <v>5.0000000000000002E-5</v>
      </c>
      <c r="CX24" s="7"/>
      <c r="DE24" s="82">
        <v>51.2</v>
      </c>
      <c r="EC24" s="7"/>
      <c r="EJ24" s="82">
        <v>5.0000000000000002E-5</v>
      </c>
      <c r="FE24" s="7"/>
      <c r="FL24" s="82">
        <v>51.2</v>
      </c>
      <c r="GG24" s="7"/>
      <c r="GN24" s="82">
        <v>51.2</v>
      </c>
      <c r="HI24" s="7"/>
      <c r="HP24" s="82">
        <v>51.2</v>
      </c>
      <c r="IK24" s="7"/>
      <c r="IR24" s="82">
        <v>51.2</v>
      </c>
      <c r="JM24" s="7"/>
      <c r="JT24" s="82">
        <v>51.2</v>
      </c>
      <c r="KO24" s="7"/>
      <c r="KV24" s="82">
        <v>51.2</v>
      </c>
      <c r="LQ24" s="7"/>
      <c r="LX24" s="82">
        <v>51.2</v>
      </c>
      <c r="MS24" s="7"/>
      <c r="MZ24" s="82">
        <v>51.2</v>
      </c>
      <c r="NU24" s="7"/>
      <c r="OB24" s="82">
        <v>51.2</v>
      </c>
      <c r="OW24" s="7"/>
      <c r="PD24" s="82">
        <v>51.2</v>
      </c>
      <c r="PY24" s="7"/>
      <c r="QF24" s="82">
        <v>51.2</v>
      </c>
    </row>
    <row r="25" spans="1:477" ht="17" x14ac:dyDescent="0.2">
      <c r="A25" s="35"/>
      <c r="B25" s="44" t="s">
        <v>56</v>
      </c>
      <c r="C25" s="34"/>
      <c r="T25" s="15"/>
      <c r="U25" s="15"/>
      <c r="V25" s="15"/>
      <c r="AR25" s="7"/>
      <c r="AY25" s="83">
        <v>6.0000000000000002E-5</v>
      </c>
      <c r="BU25" s="7"/>
      <c r="CB25" s="83">
        <v>6.0000000000000002E-5</v>
      </c>
      <c r="CX25" s="7"/>
      <c r="DE25" s="83">
        <v>77.2</v>
      </c>
      <c r="EC25" s="7"/>
      <c r="EJ25" s="83">
        <v>6.0000000000000002E-5</v>
      </c>
      <c r="FE25" s="7"/>
      <c r="FL25" s="83">
        <v>77.2</v>
      </c>
      <c r="GG25" s="7"/>
      <c r="GN25" s="83">
        <v>77.2</v>
      </c>
      <c r="HI25" s="7"/>
      <c r="HP25" s="83">
        <v>77.2</v>
      </c>
      <c r="IK25" s="7"/>
      <c r="IR25" s="83">
        <v>77.2</v>
      </c>
      <c r="JM25" s="7"/>
      <c r="JT25" s="83">
        <v>77.2</v>
      </c>
      <c r="KO25" s="7"/>
      <c r="KV25" s="83">
        <v>77.2</v>
      </c>
      <c r="LQ25" s="7"/>
      <c r="LX25" s="83">
        <v>77.2</v>
      </c>
      <c r="MS25" s="7"/>
      <c r="MZ25" s="83">
        <v>77.2</v>
      </c>
      <c r="NU25" s="7"/>
      <c r="OB25" s="83">
        <v>77.2</v>
      </c>
      <c r="OW25" s="7"/>
      <c r="PD25" s="83">
        <v>77.2</v>
      </c>
      <c r="PY25" s="7"/>
      <c r="QF25" s="83">
        <v>77.2</v>
      </c>
    </row>
    <row r="26" spans="1:477" ht="17" x14ac:dyDescent="0.2">
      <c r="A26" s="35"/>
      <c r="B26" s="64" t="s">
        <v>70</v>
      </c>
      <c r="C26" s="34"/>
      <c r="T26" s="15"/>
      <c r="U26" s="15"/>
      <c r="V26" s="15"/>
      <c r="AR26" s="7"/>
      <c r="AY26" s="84">
        <v>6.9999999999999994E-5</v>
      </c>
      <c r="BU26" s="7"/>
      <c r="CB26" s="84">
        <v>6.9999999999999994E-5</v>
      </c>
      <c r="CX26" s="7"/>
      <c r="DE26" s="84">
        <v>79.8</v>
      </c>
      <c r="EC26" s="7"/>
      <c r="EJ26" s="84">
        <v>6.9999999999999994E-5</v>
      </c>
      <c r="FE26" s="7"/>
      <c r="FL26" s="84">
        <v>79.8</v>
      </c>
      <c r="GG26" s="7"/>
      <c r="GN26" s="84">
        <v>79.8</v>
      </c>
      <c r="HI26" s="7"/>
      <c r="HP26" s="84">
        <v>79.8</v>
      </c>
      <c r="IK26" s="7"/>
      <c r="IR26" s="84">
        <v>79.8</v>
      </c>
      <c r="JM26" s="7"/>
      <c r="JT26" s="84">
        <v>79.8</v>
      </c>
      <c r="KO26" s="7"/>
      <c r="KV26" s="84">
        <v>79.8</v>
      </c>
      <c r="LQ26" s="7"/>
      <c r="LX26" s="84">
        <v>79.8</v>
      </c>
      <c r="MS26" s="7"/>
      <c r="MZ26" s="84">
        <v>79.8</v>
      </c>
      <c r="NU26" s="7"/>
      <c r="OB26" s="84">
        <v>79.8</v>
      </c>
      <c r="OW26" s="7"/>
      <c r="PD26" s="84">
        <v>79.8</v>
      </c>
      <c r="PY26" s="7"/>
      <c r="QF26" s="84">
        <v>79.8</v>
      </c>
    </row>
    <row r="27" spans="1:477" ht="17" x14ac:dyDescent="0.2">
      <c r="A27" s="35"/>
      <c r="B27" s="45" t="s">
        <v>39</v>
      </c>
      <c r="C27" s="34"/>
      <c r="T27" s="15"/>
      <c r="U27" s="15"/>
      <c r="V27" s="15"/>
      <c r="AR27" s="7"/>
      <c r="AV27" s="70" t="s">
        <v>174</v>
      </c>
      <c r="AY27" s="85">
        <v>8.0000000000000007E-5</v>
      </c>
      <c r="BU27" s="7"/>
      <c r="BY27" s="70" t="s">
        <v>174</v>
      </c>
      <c r="CB27" s="85">
        <v>8.0000000000000007E-5</v>
      </c>
      <c r="CX27" s="7"/>
      <c r="DE27" s="85">
        <v>82.2</v>
      </c>
      <c r="EC27" s="7"/>
      <c r="EG27" s="70" t="s">
        <v>174</v>
      </c>
      <c r="EJ27" s="85">
        <v>8.0000000000000007E-5</v>
      </c>
      <c r="FE27" s="7"/>
      <c r="FL27" s="85">
        <v>82.2</v>
      </c>
      <c r="GG27" s="7"/>
      <c r="GN27" s="85">
        <v>82.2</v>
      </c>
      <c r="HI27" s="7"/>
      <c r="HP27" s="85">
        <v>82.2</v>
      </c>
      <c r="IK27" s="7"/>
      <c r="IR27" s="85">
        <v>82.2</v>
      </c>
      <c r="JM27" s="7"/>
      <c r="JT27" s="85">
        <v>82.2</v>
      </c>
      <c r="KO27" s="7"/>
      <c r="KV27" s="85">
        <v>82.2</v>
      </c>
      <c r="LQ27" s="7"/>
      <c r="LX27" s="85">
        <v>82.2</v>
      </c>
      <c r="MS27" s="7"/>
      <c r="MZ27" s="85">
        <v>82.2</v>
      </c>
      <c r="NU27" s="7"/>
      <c r="OB27" s="85">
        <v>82.2</v>
      </c>
      <c r="OW27" s="7"/>
      <c r="PD27" s="85">
        <v>82.2</v>
      </c>
      <c r="PY27" s="7"/>
      <c r="QF27" s="85">
        <v>82.2</v>
      </c>
    </row>
    <row r="28" spans="1:477" x14ac:dyDescent="0.2">
      <c r="B28" s="53" t="s">
        <v>62</v>
      </c>
      <c r="C28" s="2"/>
    </row>
    <row r="29" spans="1:477" x14ac:dyDescent="0.2">
      <c r="A29" s="35"/>
      <c r="B29" s="35"/>
      <c r="C29" s="34"/>
      <c r="QH29" s="2"/>
      <c r="QI29" s="2"/>
      <c r="QJ29" s="2"/>
      <c r="QK29" s="2"/>
      <c r="QL29" s="2"/>
      <c r="QM29" s="2"/>
      <c r="QN29" s="2"/>
      <c r="QO29" s="2"/>
      <c r="QP29" s="2"/>
    </row>
    <row r="30" spans="1:477" x14ac:dyDescent="0.2">
      <c r="A30" s="35"/>
      <c r="B30" s="35"/>
      <c r="C30" s="34"/>
    </row>
    <row r="31" spans="1:477" x14ac:dyDescent="0.2">
      <c r="A31" s="35"/>
      <c r="B31" s="35"/>
      <c r="C31" s="34"/>
    </row>
    <row r="32" spans="1:477" x14ac:dyDescent="0.2">
      <c r="A32" s="6"/>
      <c r="B32" s="6"/>
      <c r="C32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7">
      <sortCondition descending="1" ref="F1:F18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R1:R3"/>
    <mergeCell ref="S1:S3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</mergeCells>
  <conditionalFormatting sqref="W4:AY17">
    <cfRule type="expression" dxfId="55" priority="5" stopIfTrue="1">
      <formula>IF($AQ4&lt;&gt;"",1,0)</formula>
    </cfRule>
  </conditionalFormatting>
  <conditionalFormatting sqref="AZ4:CB17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17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AY$24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AY$20</formula>
      <formula>AY$21</formula>
    </cfRule>
    <cfRule type="cellIs" dxfId="40" priority="58727" operator="between">
      <formula>AY$21</formula>
      <formula>AY$22</formula>
    </cfRule>
    <cfRule type="cellIs" dxfId="39" priority="58728" operator="between">
      <formula>AY$22</formula>
      <formula>AY$23</formula>
    </cfRule>
    <cfRule type="cellIs" dxfId="38" priority="58729" operator="between">
      <formula>AY$23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AY$24</formula>
      <formula>AY$25</formula>
    </cfRule>
    <cfRule type="cellIs" dxfId="36" priority="58907" operator="between">
      <formula>AY$25</formula>
      <formula>AY$26</formula>
    </cfRule>
    <cfRule type="cellIs" dxfId="35" priority="58908" operator="between">
      <formula>AY$26</formula>
      <formula>AY$27</formula>
    </cfRule>
    <cfRule type="cellIs" dxfId="34" priority="58909" operator="between">
      <formula>AY$27</formula>
      <formula>1000</formula>
    </cfRule>
  </conditionalFormatting>
  <conditionalFormatting sqref="BY1:BY26 DB1:DB1048576 EG1:EG26 FI1:FI26 GK1:GK1048576 HM1:HM1048576 IO1:IO1048576 JQ1:JQ1048576 KS1:KS1048576 LU1:LU1048576 MW1:MW1048576 NY1:NY1048576 PA1:PA1048576 QC1:QC1048576 AV1:AV26 AV28:AV1048576 BY28:BY1048576 EG28:EG1048576 FI28:FI1048576">
    <cfRule type="cellIs" dxfId="33" priority="59086" operator="between">
      <formula>AY$27</formula>
      <formula>1000</formula>
    </cfRule>
    <cfRule type="cellIs" dxfId="32" priority="59087" operator="between">
      <formula>AY$26</formula>
      <formula>AY$27</formula>
    </cfRule>
    <cfRule type="cellIs" dxfId="31" priority="59088" operator="between">
      <formula>AY$25</formula>
      <formula>AY$26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AY$23</formula>
      <formula>1000</formula>
    </cfRule>
    <cfRule type="cellIs" dxfId="29" priority="59222" operator="between">
      <formula>AY$22</formula>
      <formula>AY$23</formula>
    </cfRule>
    <cfRule type="cellIs" dxfId="28" priority="59223" operator="between">
      <formula>AY$21</formula>
      <formula>AY$22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32</v>
      </c>
      <c r="C1" s="112" t="s">
        <v>0</v>
      </c>
      <c r="D1" s="112" t="s">
        <v>63</v>
      </c>
      <c r="E1" s="112" t="s">
        <v>2</v>
      </c>
      <c r="F1" s="113" t="s">
        <v>69</v>
      </c>
      <c r="G1" s="113" t="s">
        <v>12</v>
      </c>
      <c r="H1" s="112" t="s">
        <v>13</v>
      </c>
      <c r="I1" s="113" t="s">
        <v>96</v>
      </c>
      <c r="J1" s="118" t="s">
        <v>155</v>
      </c>
      <c r="K1" s="114" t="s">
        <v>37</v>
      </c>
      <c r="L1" s="118" t="s">
        <v>156</v>
      </c>
      <c r="M1" s="114" t="s">
        <v>37</v>
      </c>
      <c r="N1" s="118" t="s">
        <v>157</v>
      </c>
      <c r="O1" s="114" t="s">
        <v>37</v>
      </c>
      <c r="P1" s="118" t="s">
        <v>158</v>
      </c>
      <c r="Q1" s="114" t="s">
        <v>37</v>
      </c>
      <c r="R1" s="114" t="s">
        <v>14</v>
      </c>
      <c r="S1" s="114" t="s">
        <v>37</v>
      </c>
      <c r="T1" s="117" t="s">
        <v>15</v>
      </c>
      <c r="U1" s="114" t="s">
        <v>38</v>
      </c>
      <c r="V1" s="114" t="s">
        <v>37</v>
      </c>
      <c r="W1" s="115" t="s">
        <v>104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111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146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68</v>
      </c>
      <c r="DG1" s="121"/>
      <c r="DH1" s="121"/>
      <c r="DI1" s="115" t="s">
        <v>114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172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175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176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72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147</v>
      </c>
      <c r="X2" s="116"/>
      <c r="Y2" s="116"/>
      <c r="Z2" s="116"/>
      <c r="AA2" s="116" t="s">
        <v>148</v>
      </c>
      <c r="AB2" s="116"/>
      <c r="AC2" s="116"/>
      <c r="AD2" s="116"/>
      <c r="AE2" s="116" t="s">
        <v>149</v>
      </c>
      <c r="AF2" s="116"/>
      <c r="AG2" s="116"/>
      <c r="AH2" s="116"/>
      <c r="AI2" s="116" t="s">
        <v>150</v>
      </c>
      <c r="AJ2" s="116"/>
      <c r="AK2" s="116"/>
      <c r="AL2" s="116"/>
      <c r="AM2" s="122" t="s">
        <v>151</v>
      </c>
      <c r="AN2" s="122"/>
      <c r="AO2" s="122"/>
      <c r="AP2" s="122"/>
      <c r="AQ2" s="94"/>
      <c r="AR2" s="94" t="s">
        <v>152</v>
      </c>
      <c r="AS2" s="94" t="s">
        <v>153</v>
      </c>
      <c r="AT2" s="94" t="s">
        <v>149</v>
      </c>
      <c r="AU2" s="94" t="s">
        <v>159</v>
      </c>
      <c r="AV2" s="94" t="s">
        <v>25</v>
      </c>
      <c r="AW2" s="94" t="s">
        <v>76</v>
      </c>
      <c r="AX2" s="94" t="s">
        <v>154</v>
      </c>
      <c r="AY2" s="94" t="s">
        <v>19</v>
      </c>
      <c r="AZ2" s="119" t="s">
        <v>147</v>
      </c>
      <c r="BA2" s="119"/>
      <c r="BB2" s="119"/>
      <c r="BC2" s="119"/>
      <c r="BD2" s="119" t="s">
        <v>148</v>
      </c>
      <c r="BE2" s="119"/>
      <c r="BF2" s="119"/>
      <c r="BG2" s="119"/>
      <c r="BH2" s="119" t="s">
        <v>149</v>
      </c>
      <c r="BI2" s="119"/>
      <c r="BJ2" s="119"/>
      <c r="BK2" s="119"/>
      <c r="BL2" s="119" t="s">
        <v>150</v>
      </c>
      <c r="BM2" s="119"/>
      <c r="BN2" s="119"/>
      <c r="BO2" s="119"/>
      <c r="BP2" s="123" t="s">
        <v>151</v>
      </c>
      <c r="BQ2" s="123"/>
      <c r="BR2" s="123"/>
      <c r="BS2" s="123"/>
      <c r="BT2" s="95"/>
      <c r="BU2" s="95" t="s">
        <v>152</v>
      </c>
      <c r="BV2" s="95" t="s">
        <v>153</v>
      </c>
      <c r="BW2" s="95" t="s">
        <v>149</v>
      </c>
      <c r="BX2" s="95" t="s">
        <v>159</v>
      </c>
      <c r="BY2" s="95" t="s">
        <v>25</v>
      </c>
      <c r="BZ2" s="95" t="s">
        <v>76</v>
      </c>
      <c r="CA2" s="95" t="s">
        <v>154</v>
      </c>
      <c r="CB2" s="95" t="s">
        <v>19</v>
      </c>
      <c r="CC2" s="116" t="s">
        <v>147</v>
      </c>
      <c r="CD2" s="116"/>
      <c r="CE2" s="116"/>
      <c r="CF2" s="116"/>
      <c r="CG2" s="116" t="s">
        <v>148</v>
      </c>
      <c r="CH2" s="116"/>
      <c r="CI2" s="116"/>
      <c r="CJ2" s="116"/>
      <c r="CK2" s="116" t="s">
        <v>149</v>
      </c>
      <c r="CL2" s="116"/>
      <c r="CM2" s="116"/>
      <c r="CN2" s="116"/>
      <c r="CO2" s="116" t="s">
        <v>150</v>
      </c>
      <c r="CP2" s="116"/>
      <c r="CQ2" s="116"/>
      <c r="CR2" s="116"/>
      <c r="CS2" s="122" t="s">
        <v>151</v>
      </c>
      <c r="CT2" s="122"/>
      <c r="CU2" s="122"/>
      <c r="CV2" s="122"/>
      <c r="CW2" s="94"/>
      <c r="CX2" s="94" t="s">
        <v>152</v>
      </c>
      <c r="CY2" s="94" t="s">
        <v>153</v>
      </c>
      <c r="CZ2" s="94" t="s">
        <v>149</v>
      </c>
      <c r="DA2" s="94" t="s">
        <v>159</v>
      </c>
      <c r="DB2" s="94" t="s">
        <v>25</v>
      </c>
      <c r="DC2" s="94" t="s">
        <v>76</v>
      </c>
      <c r="DD2" s="94" t="s">
        <v>154</v>
      </c>
      <c r="DE2" s="94" t="s">
        <v>19</v>
      </c>
      <c r="DF2" s="86" t="s">
        <v>153</v>
      </c>
      <c r="DG2" s="86" t="s">
        <v>149</v>
      </c>
      <c r="DH2" s="86" t="s">
        <v>24</v>
      </c>
      <c r="DI2" s="116" t="s">
        <v>147</v>
      </c>
      <c r="DJ2" s="116"/>
      <c r="DK2" s="116"/>
      <c r="DL2" s="116"/>
      <c r="DM2" s="116" t="s">
        <v>148</v>
      </c>
      <c r="DN2" s="116"/>
      <c r="DO2" s="116"/>
      <c r="DP2" s="116"/>
      <c r="DQ2" s="116" t="s">
        <v>149</v>
      </c>
      <c r="DR2" s="116"/>
      <c r="DS2" s="116"/>
      <c r="DT2" s="116"/>
      <c r="DU2" s="116" t="s">
        <v>150</v>
      </c>
      <c r="DV2" s="116"/>
      <c r="DW2" s="116"/>
      <c r="DX2" s="116"/>
      <c r="DY2" s="124" t="s">
        <v>151</v>
      </c>
      <c r="DZ2" s="124"/>
      <c r="EA2" s="124"/>
      <c r="EB2" s="124"/>
      <c r="EC2" s="94" t="s">
        <v>152</v>
      </c>
      <c r="ED2" s="94" t="s">
        <v>153</v>
      </c>
      <c r="EE2" s="94" t="s">
        <v>149</v>
      </c>
      <c r="EF2" s="94" t="s">
        <v>159</v>
      </c>
      <c r="EG2" s="94" t="s">
        <v>25</v>
      </c>
      <c r="EH2" s="94" t="s">
        <v>76</v>
      </c>
      <c r="EI2" s="94" t="s">
        <v>154</v>
      </c>
      <c r="EJ2" s="94" t="s">
        <v>19</v>
      </c>
      <c r="EK2" s="119" t="s">
        <v>147</v>
      </c>
      <c r="EL2" s="119"/>
      <c r="EM2" s="119"/>
      <c r="EN2" s="119"/>
      <c r="EO2" s="119" t="s">
        <v>148</v>
      </c>
      <c r="EP2" s="119"/>
      <c r="EQ2" s="119"/>
      <c r="ER2" s="119"/>
      <c r="ES2" s="119" t="s">
        <v>149</v>
      </c>
      <c r="ET2" s="119"/>
      <c r="EU2" s="119"/>
      <c r="EV2" s="119"/>
      <c r="EW2" s="119" t="s">
        <v>150</v>
      </c>
      <c r="EX2" s="119"/>
      <c r="EY2" s="119"/>
      <c r="EZ2" s="119"/>
      <c r="FA2" s="123" t="s">
        <v>151</v>
      </c>
      <c r="FB2" s="123"/>
      <c r="FC2" s="123"/>
      <c r="FD2" s="123"/>
      <c r="FE2" s="95" t="s">
        <v>152</v>
      </c>
      <c r="FF2" s="95" t="s">
        <v>153</v>
      </c>
      <c r="FG2" s="95" t="s">
        <v>149</v>
      </c>
      <c r="FH2" s="95" t="s">
        <v>159</v>
      </c>
      <c r="FI2" s="95" t="s">
        <v>25</v>
      </c>
      <c r="FJ2" s="95" t="s">
        <v>76</v>
      </c>
      <c r="FK2" s="95" t="s">
        <v>154</v>
      </c>
      <c r="FL2" s="95" t="s">
        <v>19</v>
      </c>
      <c r="FM2" s="116" t="s">
        <v>147</v>
      </c>
      <c r="FN2" s="116"/>
      <c r="FO2" s="116"/>
      <c r="FP2" s="116"/>
      <c r="FQ2" s="116" t="s">
        <v>148</v>
      </c>
      <c r="FR2" s="116"/>
      <c r="FS2" s="116"/>
      <c r="FT2" s="116"/>
      <c r="FU2" s="116" t="s">
        <v>149</v>
      </c>
      <c r="FV2" s="116"/>
      <c r="FW2" s="116"/>
      <c r="FX2" s="116"/>
      <c r="FY2" s="116" t="s">
        <v>150</v>
      </c>
      <c r="FZ2" s="116"/>
      <c r="GA2" s="116"/>
      <c r="GB2" s="116"/>
      <c r="GC2" s="124" t="s">
        <v>151</v>
      </c>
      <c r="GD2" s="124"/>
      <c r="GE2" s="124"/>
      <c r="GF2" s="124"/>
      <c r="GG2" s="94" t="s">
        <v>152</v>
      </c>
      <c r="GH2" s="94" t="s">
        <v>153</v>
      </c>
      <c r="GI2" s="94" t="s">
        <v>149</v>
      </c>
      <c r="GJ2" s="94" t="s">
        <v>159</v>
      </c>
      <c r="GK2" s="94" t="s">
        <v>25</v>
      </c>
      <c r="GL2" s="94" t="s">
        <v>76</v>
      </c>
      <c r="GM2" s="94" t="s">
        <v>154</v>
      </c>
      <c r="GN2" s="94" t="s">
        <v>19</v>
      </c>
      <c r="GO2" s="119" t="s">
        <v>147</v>
      </c>
      <c r="GP2" s="119"/>
      <c r="GQ2" s="119"/>
      <c r="GR2" s="119"/>
      <c r="GS2" s="119" t="s">
        <v>148</v>
      </c>
      <c r="GT2" s="119"/>
      <c r="GU2" s="119"/>
      <c r="GV2" s="119"/>
      <c r="GW2" s="119" t="s">
        <v>149</v>
      </c>
      <c r="GX2" s="119"/>
      <c r="GY2" s="119"/>
      <c r="GZ2" s="119"/>
      <c r="HA2" s="119" t="s">
        <v>150</v>
      </c>
      <c r="HB2" s="119"/>
      <c r="HC2" s="119"/>
      <c r="HD2" s="119"/>
      <c r="HE2" s="123" t="s">
        <v>151</v>
      </c>
      <c r="HF2" s="123"/>
      <c r="HG2" s="123"/>
      <c r="HH2" s="123"/>
      <c r="HI2" s="95" t="s">
        <v>152</v>
      </c>
      <c r="HJ2" s="95" t="s">
        <v>153</v>
      </c>
      <c r="HK2" s="95" t="s">
        <v>149</v>
      </c>
      <c r="HL2" s="95" t="s">
        <v>159</v>
      </c>
      <c r="HM2" s="95" t="s">
        <v>25</v>
      </c>
      <c r="HN2" s="95" t="s">
        <v>76</v>
      </c>
      <c r="HO2" s="95" t="s">
        <v>154</v>
      </c>
      <c r="HP2" s="95" t="s">
        <v>19</v>
      </c>
      <c r="HQ2" s="116" t="s">
        <v>147</v>
      </c>
      <c r="HR2" s="116"/>
      <c r="HS2" s="116"/>
      <c r="HT2" s="116"/>
      <c r="HU2" s="116" t="s">
        <v>148</v>
      </c>
      <c r="HV2" s="116"/>
      <c r="HW2" s="116"/>
      <c r="HX2" s="116"/>
      <c r="HY2" s="116" t="s">
        <v>149</v>
      </c>
      <c r="HZ2" s="116"/>
      <c r="IA2" s="116"/>
      <c r="IB2" s="116"/>
      <c r="IC2" s="116" t="s">
        <v>150</v>
      </c>
      <c r="ID2" s="116"/>
      <c r="IE2" s="116"/>
      <c r="IF2" s="116"/>
      <c r="IG2" s="124" t="s">
        <v>151</v>
      </c>
      <c r="IH2" s="124"/>
      <c r="II2" s="124"/>
      <c r="IJ2" s="124"/>
      <c r="IK2" s="94" t="s">
        <v>152</v>
      </c>
      <c r="IL2" s="94" t="s">
        <v>153</v>
      </c>
      <c r="IM2" s="94" t="s">
        <v>149</v>
      </c>
      <c r="IN2" s="94" t="s">
        <v>159</v>
      </c>
      <c r="IO2" s="94" t="s">
        <v>25</v>
      </c>
      <c r="IP2" s="94" t="s">
        <v>76</v>
      </c>
      <c r="IQ2" s="94" t="s">
        <v>154</v>
      </c>
      <c r="IR2" s="94" t="s">
        <v>19</v>
      </c>
      <c r="IS2" s="119" t="s">
        <v>147</v>
      </c>
      <c r="IT2" s="119"/>
      <c r="IU2" s="119"/>
      <c r="IV2" s="119"/>
      <c r="IW2" s="119" t="s">
        <v>148</v>
      </c>
      <c r="IX2" s="119"/>
      <c r="IY2" s="119"/>
      <c r="IZ2" s="119"/>
      <c r="JA2" s="119" t="s">
        <v>149</v>
      </c>
      <c r="JB2" s="119"/>
      <c r="JC2" s="119"/>
      <c r="JD2" s="119"/>
      <c r="JE2" s="119" t="s">
        <v>150</v>
      </c>
      <c r="JF2" s="119"/>
      <c r="JG2" s="119"/>
      <c r="JH2" s="119"/>
      <c r="JI2" s="123" t="s">
        <v>151</v>
      </c>
      <c r="JJ2" s="123"/>
      <c r="JK2" s="123"/>
      <c r="JL2" s="123"/>
      <c r="JM2" s="95" t="s">
        <v>152</v>
      </c>
      <c r="JN2" s="95" t="s">
        <v>153</v>
      </c>
      <c r="JO2" s="95" t="s">
        <v>149</v>
      </c>
      <c r="JP2" s="95" t="s">
        <v>159</v>
      </c>
      <c r="JQ2" s="95" t="s">
        <v>25</v>
      </c>
      <c r="JR2" s="95" t="s">
        <v>76</v>
      </c>
      <c r="JS2" s="95" t="s">
        <v>154</v>
      </c>
      <c r="JT2" s="95" t="s">
        <v>19</v>
      </c>
      <c r="JU2" s="116" t="s">
        <v>147</v>
      </c>
      <c r="JV2" s="116"/>
      <c r="JW2" s="116"/>
      <c r="JX2" s="116"/>
      <c r="JY2" s="116" t="s">
        <v>148</v>
      </c>
      <c r="JZ2" s="116"/>
      <c r="KA2" s="116"/>
      <c r="KB2" s="116"/>
      <c r="KC2" s="116" t="s">
        <v>149</v>
      </c>
      <c r="KD2" s="116"/>
      <c r="KE2" s="116"/>
      <c r="KF2" s="116"/>
      <c r="KG2" s="116" t="s">
        <v>150</v>
      </c>
      <c r="KH2" s="116"/>
      <c r="KI2" s="116"/>
      <c r="KJ2" s="116"/>
      <c r="KK2" s="124" t="s">
        <v>151</v>
      </c>
      <c r="KL2" s="124"/>
      <c r="KM2" s="124"/>
      <c r="KN2" s="124"/>
      <c r="KO2" s="94" t="s">
        <v>152</v>
      </c>
      <c r="KP2" s="94" t="s">
        <v>153</v>
      </c>
      <c r="KQ2" s="94" t="s">
        <v>149</v>
      </c>
      <c r="KR2" s="94" t="s">
        <v>159</v>
      </c>
      <c r="KS2" s="94" t="s">
        <v>25</v>
      </c>
      <c r="KT2" s="94" t="s">
        <v>76</v>
      </c>
      <c r="KU2" s="94" t="s">
        <v>154</v>
      </c>
      <c r="KV2" s="94" t="s">
        <v>19</v>
      </c>
      <c r="KW2" s="119" t="s">
        <v>147</v>
      </c>
      <c r="KX2" s="119"/>
      <c r="KY2" s="119"/>
      <c r="KZ2" s="119"/>
      <c r="LA2" s="119" t="s">
        <v>148</v>
      </c>
      <c r="LB2" s="119"/>
      <c r="LC2" s="119"/>
      <c r="LD2" s="119"/>
      <c r="LE2" s="119" t="s">
        <v>149</v>
      </c>
      <c r="LF2" s="119"/>
      <c r="LG2" s="119"/>
      <c r="LH2" s="119"/>
      <c r="LI2" s="119" t="s">
        <v>150</v>
      </c>
      <c r="LJ2" s="119"/>
      <c r="LK2" s="119"/>
      <c r="LL2" s="119"/>
      <c r="LM2" s="123" t="s">
        <v>151</v>
      </c>
      <c r="LN2" s="123"/>
      <c r="LO2" s="123"/>
      <c r="LP2" s="123"/>
      <c r="LQ2" s="95" t="s">
        <v>152</v>
      </c>
      <c r="LR2" s="95" t="s">
        <v>153</v>
      </c>
      <c r="LS2" s="95" t="s">
        <v>149</v>
      </c>
      <c r="LT2" s="95" t="s">
        <v>159</v>
      </c>
      <c r="LU2" s="95" t="s">
        <v>25</v>
      </c>
      <c r="LV2" s="95" t="s">
        <v>76</v>
      </c>
      <c r="LW2" s="95" t="s">
        <v>154</v>
      </c>
      <c r="LX2" s="95" t="s">
        <v>19</v>
      </c>
      <c r="LY2" s="116" t="s">
        <v>147</v>
      </c>
      <c r="LZ2" s="116"/>
      <c r="MA2" s="116"/>
      <c r="MB2" s="116"/>
      <c r="MC2" s="116" t="s">
        <v>148</v>
      </c>
      <c r="MD2" s="116"/>
      <c r="ME2" s="116"/>
      <c r="MF2" s="116"/>
      <c r="MG2" s="116" t="s">
        <v>149</v>
      </c>
      <c r="MH2" s="116"/>
      <c r="MI2" s="116"/>
      <c r="MJ2" s="116"/>
      <c r="MK2" s="116" t="s">
        <v>150</v>
      </c>
      <c r="ML2" s="116"/>
      <c r="MM2" s="116"/>
      <c r="MN2" s="116"/>
      <c r="MO2" s="124" t="s">
        <v>151</v>
      </c>
      <c r="MP2" s="124"/>
      <c r="MQ2" s="124"/>
      <c r="MR2" s="124"/>
      <c r="MS2" s="94" t="s">
        <v>152</v>
      </c>
      <c r="MT2" s="94" t="s">
        <v>153</v>
      </c>
      <c r="MU2" s="94" t="s">
        <v>149</v>
      </c>
      <c r="MV2" s="94" t="s">
        <v>159</v>
      </c>
      <c r="MW2" s="94" t="s">
        <v>25</v>
      </c>
      <c r="MX2" s="94" t="s">
        <v>76</v>
      </c>
      <c r="MY2" s="94" t="s">
        <v>154</v>
      </c>
      <c r="MZ2" s="94" t="s">
        <v>19</v>
      </c>
      <c r="NA2" s="119" t="s">
        <v>147</v>
      </c>
      <c r="NB2" s="119"/>
      <c r="NC2" s="119"/>
      <c r="ND2" s="119"/>
      <c r="NE2" s="119" t="s">
        <v>148</v>
      </c>
      <c r="NF2" s="119"/>
      <c r="NG2" s="119"/>
      <c r="NH2" s="119"/>
      <c r="NI2" s="119" t="s">
        <v>149</v>
      </c>
      <c r="NJ2" s="119"/>
      <c r="NK2" s="119"/>
      <c r="NL2" s="119"/>
      <c r="NM2" s="119" t="s">
        <v>150</v>
      </c>
      <c r="NN2" s="119"/>
      <c r="NO2" s="119"/>
      <c r="NP2" s="119"/>
      <c r="NQ2" s="123" t="s">
        <v>151</v>
      </c>
      <c r="NR2" s="123"/>
      <c r="NS2" s="123"/>
      <c r="NT2" s="123"/>
      <c r="NU2" s="95" t="s">
        <v>152</v>
      </c>
      <c r="NV2" s="95" t="s">
        <v>153</v>
      </c>
      <c r="NW2" s="95" t="s">
        <v>149</v>
      </c>
      <c r="NX2" s="95" t="s">
        <v>159</v>
      </c>
      <c r="NY2" s="95" t="s">
        <v>25</v>
      </c>
      <c r="NZ2" s="95" t="s">
        <v>76</v>
      </c>
      <c r="OA2" s="95" t="s">
        <v>154</v>
      </c>
      <c r="OB2" s="95" t="s">
        <v>19</v>
      </c>
      <c r="OC2" s="116" t="s">
        <v>147</v>
      </c>
      <c r="OD2" s="116"/>
      <c r="OE2" s="116"/>
      <c r="OF2" s="116"/>
      <c r="OG2" s="116" t="s">
        <v>148</v>
      </c>
      <c r="OH2" s="116"/>
      <c r="OI2" s="116"/>
      <c r="OJ2" s="116"/>
      <c r="OK2" s="116" t="s">
        <v>149</v>
      </c>
      <c r="OL2" s="116"/>
      <c r="OM2" s="116"/>
      <c r="ON2" s="116"/>
      <c r="OO2" s="116" t="s">
        <v>150</v>
      </c>
      <c r="OP2" s="116"/>
      <c r="OQ2" s="116"/>
      <c r="OR2" s="116"/>
      <c r="OS2" s="124" t="s">
        <v>151</v>
      </c>
      <c r="OT2" s="124"/>
      <c r="OU2" s="124"/>
      <c r="OV2" s="124"/>
      <c r="OW2" s="94" t="s">
        <v>152</v>
      </c>
      <c r="OX2" s="94" t="s">
        <v>153</v>
      </c>
      <c r="OY2" s="94" t="s">
        <v>149</v>
      </c>
      <c r="OZ2" s="94" t="s">
        <v>159</v>
      </c>
      <c r="PA2" s="94" t="s">
        <v>25</v>
      </c>
      <c r="PB2" s="94" t="s">
        <v>76</v>
      </c>
      <c r="PC2" s="94" t="s">
        <v>154</v>
      </c>
      <c r="PD2" s="94" t="s">
        <v>19</v>
      </c>
      <c r="PE2" s="119" t="s">
        <v>147</v>
      </c>
      <c r="PF2" s="119"/>
      <c r="PG2" s="119"/>
      <c r="PH2" s="119"/>
      <c r="PI2" s="119" t="s">
        <v>148</v>
      </c>
      <c r="PJ2" s="119"/>
      <c r="PK2" s="119"/>
      <c r="PL2" s="119"/>
      <c r="PM2" s="119" t="s">
        <v>149</v>
      </c>
      <c r="PN2" s="119"/>
      <c r="PO2" s="119"/>
      <c r="PP2" s="119"/>
      <c r="PQ2" s="119" t="s">
        <v>150</v>
      </c>
      <c r="PR2" s="119"/>
      <c r="PS2" s="119"/>
      <c r="PT2" s="119"/>
      <c r="PU2" s="123" t="s">
        <v>151</v>
      </c>
      <c r="PV2" s="123"/>
      <c r="PW2" s="123"/>
      <c r="PX2" s="123"/>
      <c r="PY2" s="95" t="s">
        <v>152</v>
      </c>
      <c r="PZ2" s="95" t="s">
        <v>153</v>
      </c>
      <c r="QA2" s="95" t="s">
        <v>149</v>
      </c>
      <c r="QB2" s="95" t="s">
        <v>159</v>
      </c>
      <c r="QC2" s="95" t="s">
        <v>25</v>
      </c>
      <c r="QD2" s="95" t="s">
        <v>76</v>
      </c>
      <c r="QE2" s="95" t="s">
        <v>154</v>
      </c>
      <c r="QF2" s="95" t="s">
        <v>19</v>
      </c>
      <c r="QG2" s="116" t="s">
        <v>147</v>
      </c>
      <c r="QH2" s="116"/>
      <c r="QI2" s="116"/>
      <c r="QJ2" s="116"/>
      <c r="QK2" s="116" t="s">
        <v>148</v>
      </c>
      <c r="QL2" s="116"/>
      <c r="QM2" s="116"/>
      <c r="QN2" s="116"/>
      <c r="QO2" s="116" t="s">
        <v>149</v>
      </c>
      <c r="QP2" s="116"/>
      <c r="QQ2" s="116"/>
      <c r="QR2" s="116"/>
      <c r="QS2" s="116" t="s">
        <v>150</v>
      </c>
      <c r="QT2" s="116"/>
      <c r="QU2" s="116"/>
      <c r="QV2" s="116"/>
      <c r="QW2" s="122" t="s">
        <v>151</v>
      </c>
      <c r="QX2" s="122"/>
      <c r="QY2" s="122"/>
      <c r="QZ2" s="122"/>
      <c r="RA2" s="94"/>
      <c r="RB2" s="94" t="s">
        <v>152</v>
      </c>
      <c r="RC2" s="94" t="s">
        <v>153</v>
      </c>
      <c r="RD2" s="94" t="s">
        <v>149</v>
      </c>
      <c r="RE2" s="94" t="s">
        <v>159</v>
      </c>
      <c r="RF2" s="94" t="s">
        <v>25</v>
      </c>
      <c r="RG2" s="94" t="s">
        <v>76</v>
      </c>
      <c r="RH2" s="94" t="s">
        <v>154</v>
      </c>
      <c r="RI2" s="94" t="s">
        <v>19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80</v>
      </c>
      <c r="C4" s="7" t="s">
        <v>6</v>
      </c>
      <c r="D4" s="18">
        <v>2001</v>
      </c>
      <c r="E4" s="14">
        <f>SUM(J4:T4)+SUM(J4:P4)*0.0000001+SUM(J4)*0.0000000000001</f>
        <v>125.60006743001108</v>
      </c>
      <c r="F4" s="3" t="str">
        <f>IF(OR(AND(AR4&gt;=AY$17,AS4&gt;=AY$21,AR4&lt;&gt;"",AQ4=""),AND(AW4&gt;=AY$17,AX4&gt;=AY$21,AW4&lt;&gt;"",AQ4=""),AND(BU4&gt;=CB$17,BV4&gt;=CB$21,BU4&lt;&gt;"",BT4=""),AND(BZ4&gt;=CB$17,CA4&gt;=CB$21,BZ4&lt;&gt;"",BT4=""),AND(CX4&gt;=DE$17,CY4&gt;=DE$21,CX4&lt;&gt;"",CW4=""),AND(DC4&gt;=DE$17,DD4&gt;=DE$21,DC4&lt;&gt;""),AND(EC4&gt;=EJ$17,ED4&gt;=EJ$21,EC4&lt;&gt;""),AND(EH4&gt;=EJ$17,EI4&gt;=EJ$21,EH4&lt;&gt;""),AND(FE4&gt;=FL$17,FF4&gt;=FL$21,FE4&lt;&gt;""),AND(FJ4&gt;=FL$17,FK4&gt;=FL$21,FJ4&lt;&gt;""),AND(GG4&gt;=GN$17,GH4&gt;=GN$21,GG4&lt;&gt;""),AND(GL4&gt;=GN$17,GM4&gt;=GN$21,GL4&lt;&gt;""),AND(HI4&gt;=HP$17,HJ4&gt;=HP$21,HI4&lt;&gt;""),AND(HN4&gt;=HP$17,HO4&gt;=HP$21,HN4&lt;&gt;""),AND(IK4&gt;=IR$17,IL4&gt;=IR$21,IK4&lt;&gt;""),AND(IP4&gt;=IR$17,IQ4&gt;=IR$21,IP4&lt;&gt;""),AND(JM4&gt;=JT$17,JN4&gt;=JT$21,JM4&lt;&gt;""),AND(JR4&gt;=JT$17,JS4&gt;=JT$21,JR4&lt;&gt;""),AND(KO4&gt;=KV$17,KP4&gt;=KV$21,KO4&lt;&gt;""),AND(KT4&gt;=KV$17,KU4&gt;=KV$21,KT4&lt;&gt;""),AND(LQ4&gt;=LX$17,LR4&gt;=LX$21,LQ4&lt;&gt;""),AND(LV4&gt;=LX$17,LW4&gt;=LX$21,LV4&lt;&gt;""),AND(MS4&gt;=MZ$17,MT4&gt;=MZ$21,MS4&lt;&gt;""),AND(MX4&gt;=MZ$17,MY4&gt;=MZ$21,MX4&lt;&gt;""),AND(NU4&gt;=OB$17,NV4&gt;=OB$21,NU4&lt;&gt;""),AND(NZ4&gt;=OB$17,OA4&gt;=OB$21,NZ4&lt;&gt;""),AND(OW4&gt;=PD$17,OX4&gt;=PD$21,OW4&lt;&gt;""),AND(PB4&gt;=PD$17,PC4&gt;=PD$21,PB4&lt;&gt;""),AND(PY4&gt;=QF$17,PZ4&gt;=QF$21,PY4&lt;&gt;""),AND(QD4&gt;=QF$17,QE4&gt;=QF$21,QD4&lt;&gt;"")),"P","")</f>
        <v>P</v>
      </c>
      <c r="G4" s="3" t="str">
        <f>IF(OR(AND(AS4&gt;=AY$21,AS4&lt;&gt;"",AQ4=""),AND(AX4&gt;=AY$21,AX4&lt;&gt;"",AQ4=""),AND(BV4&gt;=CB$21,BV4&lt;&gt;"",BT4=""),AND(CA4&gt;=CB$21,CA4&lt;&gt;"",BT4=""),AND(CY4&gt;=DE$21,CY4&lt;&gt;"",CW4=""),AND(DD4&gt;=DE$21,DD4&lt;&gt;"",CW4=""),AND(ED4&gt;=EJ$21,ED4&lt;&gt;""),AND(EI4&gt;=EJ$21,EI4&lt;&gt;""),AND(FF4&gt;=FL$21,FF4&lt;&gt;""),AND(FK4&gt;=FL$21,FK4&lt;&gt;""),AND(GH4&gt;=GN$21,GH4&lt;&gt;""),AND(GM4&gt;=GN$21,GM4&lt;&gt;""),AND(HJ4&gt;=HP$21,HJ4&lt;&gt;""),AND(HO4&gt;=HP$21,HO4&lt;&gt;""),AND(IL4&gt;=IR$21,IL4&lt;&gt;""),AND(IQ4&gt;=IR$21,IQ4&lt;&gt;""),AND(JN4&gt;=JT$21,JN4&lt;&gt;""),AND(JS4&gt;=JT$21,JS4&lt;&gt;""),AND(KP4&gt;=KV$21,KP4&lt;&gt;""),AND(KU4&gt;=KV$21,KU4&lt;&gt;""),AND(LR4&gt;=LX$21,LR4&lt;&gt;""),AND(LW4&gt;=LX$21,LW4&lt;&gt;""),AND(MT4&gt;=MZ$21,MT4&lt;&gt;""),AND(MY4&gt;=MZ$21,MY4&lt;&gt;""),AND(NV4&gt;=OB$21,NV4&lt;&gt;""),AND(OA4&gt;=OB$21,OA4&lt;&gt;""),AND(OX4&gt;=PD$21,OX4&lt;&gt;""),AND(PC4&gt;=PD$21,PC4&lt;&gt;""),AND(PZ4&gt;=QF$21,PZ4&lt;&gt;""),AND(QE4&gt;=QF$21,QE4&lt;&gt;"")),"P","")</f>
        <v>P</v>
      </c>
      <c r="H4" s="70" t="str">
        <f>IF(AND(G4="P",F4=""),"No DD",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Merit",IF(OR(AND(AU4&gt;=AY$19,AV4&gt;=AY$23,AU4&lt;&gt;"",AQ4=""),AND(BX4&gt;=CB$19,BY4&gt;=CB$23,BX4&lt;&gt;"",BT4=""),AND(DA4&gt;=DE$19,DB4&gt;=DE$23,DA4&lt;&gt;"",CW4=""),AND(EF4&gt;=EJ$19,EG4&gt;=EJ$23,EF4&lt;&gt;""),AND(FH4&gt;=FL$19,FI4&gt;=FL$23,FH4&lt;&gt;""),AND(GJ4&gt;=GN$19,GK4&gt;=GN$23,GJ4&lt;&gt;""),AND(HL4&gt;=HP$19,HM4&gt;=HP$23,HL4&lt;&gt;""),AND(IN4&gt;=IR$19,IO4&gt;=IR$23,IN4&lt;&gt;""),AND(JP4&gt;=JT$19,JQ4&gt;=JT$23,JP4&lt;&gt;""),AND(KR4&gt;=KV$19,KS4&gt;=KV$23,KR4&lt;&gt;""),AND(LT4&gt;=LX$19,LU4&gt;=LX$23,LT4&lt;&gt;""),AND(MV4&gt;=MZ$19,MW4&gt;=MZ$23,MV4&lt;&gt;""),AND(NX4&gt;=OB$19,NY4&gt;=OB$23,NX4&lt;&gt;""),AND(OZ4&gt;=PD$19,PA4&gt;=PD$23,OZ4&lt;&gt;""),AND(QB4&gt;=QF$19,QC4&gt;=QF$23,QB4&lt;&gt;"")),"Excellence",IF(I4="P","Worlds Team",IF(F4="P","National Team","")))))</f>
        <v>Excellence</v>
      </c>
      <c r="I4" s="3" t="str">
        <f>IF(OR(AND(AU4&gt;=AY$18,AV4&gt;=AY$22,AU4&lt;&gt;"",AQ4=""),AND(BX4&gt;=CB$18,BY4&gt;=CB$22,BX4&lt;&gt;"",BT4=""),AND(DA4&gt;=DE$18,DB4&gt;=DE$22,DA4&lt;&gt;"",CW4=""),AND(EF4&gt;=EJ$18,EG4&gt;=EJ$22,EF4&lt;&gt;""),AND(FH4&gt;=FL$18,FI4&gt;=FL$22,FH4&lt;&gt;""),AND(GJ4&gt;=GN$18,GK4&gt;=GN$22,GJ4&lt;&gt;""),AND(HL4&gt;=HP$18,HM4&gt;=HP$22,HL4&lt;&gt;""),AND(IN4&gt;=IR$18,IO4&gt;=IR$22,IN4&lt;&gt;""),AND(JP4&gt;=JT$18,JQ4&gt;=JT$22,JP4&lt;&gt;""),AND(KR4&gt;=KV$18,KS4&gt;=KV$22,KR4&lt;&gt;""),AND(LT4&gt;=LX$18,LU4&gt;=LX$22,LT4&lt;&gt;""),AND(MV4&gt;=MZ$18,MW4&gt;=MZ$22,MV4&lt;&gt;""),AND(NX4&gt;=OB$18,NY4&gt;=OB$22,NX4&lt;&gt;""),AND(OZ4&gt;=PD$18,PA4&gt;=PD$22,OZ4&lt;&gt;""),AND(QB4&gt;=QF$18,QC4&gt;=QF$22,QB4&lt;&gt;"")),"P","")</f>
        <v>P</v>
      </c>
      <c r="J4" s="13">
        <f>IF(COUNT(AS4,BV4,CY4)&gt;0,LARGE((AS4,BV4,CY4),1),0)</f>
        <v>50.8</v>
      </c>
      <c r="K4" s="13" t="str">
        <f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>
        <f>IF(MAX(DF4:DH4)&gt;0,MAX(DF4:DH4),"")</f>
        <v>0.80000000000000426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Cup ITA (May 28)</v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>IF(SUM(X4,AB4)&gt;0,SUM(X4,AB4),"")</f>
        <v/>
      </c>
      <c r="AS4" s="76" t="str">
        <f>IF(SUM(W4:X4,Z4:AB4,AD4)-Y4-AC4&gt;0,SUM(W4:X4,Z4:AB4,AD4)-Y4-AC4,"")</f>
        <v/>
      </c>
      <c r="AT4" s="76" t="str">
        <f>IF(SUM(AE4:AF4,AH4)-AG4&gt;0,SUM(AE4:AF4,AH4)-AG4,"")</f>
        <v/>
      </c>
      <c r="AU4" s="76" t="str">
        <f>IF(SUM(X4,AB4,AF4)&gt;0,SUM(X4,AB4,AF4),"")</f>
        <v/>
      </c>
      <c r="AV4" s="76" t="str">
        <f>IF(SUM(AS4,AT4)&gt;0,SUM(AS4,AT4),"")</f>
        <v/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 t="str">
        <f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6.0000000000000008E-5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6.0000000000000008E-5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50.8</v>
      </c>
      <c r="CZ4" s="76">
        <f>IF(SUM(CK4:CL4,CN4)-CM4&gt;0,SUM(CK4:CL4,CN4)-CM4,"")</f>
        <v>23.5</v>
      </c>
      <c r="DA4" s="76">
        <f>IF(SUM(CD4,CH4,CL4)&gt;0,SUM(CD4,CH4,CL4),"")</f>
        <v>19.2</v>
      </c>
      <c r="DB4" s="76">
        <f>IF(SUM(CY4,CZ4)&gt;0,SUM(CY4,CZ4),"")</f>
        <v>74.3</v>
      </c>
      <c r="DC4" s="76">
        <f>IF(SUM(CP4,CT4)&gt;0,SUM(CP4,CT4),"")</f>
        <v>13.2</v>
      </c>
      <c r="DD4" s="76">
        <f>IF(SUM(CO4:CP4,CR4:CT4,CV4)-SUM(CQ4,CU4)&gt;0,SUM(CO4:CP4,CR4:CT4,CV4)-SUM(CQ4,CU4),"")</f>
        <v>50.5</v>
      </c>
      <c r="DE4" s="76">
        <f>IF(SUM(CY4,DD4)&gt;0,SUM(CY4,DD4),"")</f>
        <v>101.3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0.80000000000000426</v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</v>
      </c>
      <c r="QH4" s="42">
        <f>IF($CW4="P",CD4,(CD4+BA4)/2)</f>
        <v>3.40002</v>
      </c>
      <c r="QI4" s="42">
        <f>IF($CW4="P",CE4,(CE4+BB4)/2)</f>
        <v>0</v>
      </c>
      <c r="QJ4" s="42">
        <f>IF($CW4="P",CF4,(CF4+BC4)/2)</f>
        <v>0.15</v>
      </c>
      <c r="QK4" s="42">
        <f>IF($CW4="P",CG4,(CG4+BD4)/2)</f>
        <v>9.3000000000000007</v>
      </c>
      <c r="QL4" s="42">
        <f>IF($CW4="P",CH4,(CH4+BE4)/2)</f>
        <v>3.4</v>
      </c>
      <c r="QM4" s="42">
        <f>IF($CW4="P",CI4,(CI4+BF4)/2)</f>
        <v>0.4</v>
      </c>
      <c r="QN4" s="42">
        <f>IF($CW4="P",CJ4,(CJ4+BG4)/2)</f>
        <v>0.15</v>
      </c>
      <c r="QO4" s="42">
        <f>IF($CW4="P",CK4,(CK4+BH4)/2)</f>
        <v>9.25</v>
      </c>
      <c r="QP4" s="42">
        <f>IF($CW4="P",CL4,(CL4+BI4)/2)</f>
        <v>2.8</v>
      </c>
      <c r="QQ4" s="42">
        <f>IF($CW4="P",CM4,(CM4+BJ4)/2)</f>
        <v>0.3</v>
      </c>
      <c r="QR4" s="42">
        <f>IF($CW4="P",CN4,(CN4+BK4)/2)</f>
        <v>0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9.4</v>
      </c>
      <c r="QX4" s="42">
        <f>IF($CW4="P",CT4,(CT4+BQ4)/2)</f>
        <v>3.2</v>
      </c>
      <c r="QY4" s="42">
        <f>IF($CW4="P",CU4,(CU4+BR4)/2)</f>
        <v>0</v>
      </c>
      <c r="QZ4" s="42">
        <f>IF($CW4="P",CV4,(CV4+BS4)/2)</f>
        <v>0</v>
      </c>
      <c r="RA4" s="51" t="s">
        <v>61</v>
      </c>
      <c r="RB4" s="76">
        <f>IF(SUM(QH4,QL4)&gt;0,SUM(QH4,QL4),"")</f>
        <v>6.80002</v>
      </c>
      <c r="RC4" s="76">
        <f>IF(SUM(QG4:QH4,QJ4:QL4,QN4)-QI4-QM4&gt;0,SUM(QG4:QH4,QJ4:QL4,QN4)-QI4-QM4,"")</f>
        <v>25.400030000000001</v>
      </c>
      <c r="RD4" s="76">
        <f>IF(SUM(QO4:QP4,QR4)-QQ4&gt;0,SUM(QO4:QP4,QR4)-QQ4,"")</f>
        <v>11.75</v>
      </c>
      <c r="RE4" s="76">
        <f>IF(SUM(QH4,QL4,QP4)&gt;0,SUM(QH4,QL4,QP4),"")</f>
        <v>9.6000200000000007</v>
      </c>
      <c r="RF4" s="76">
        <f>IF(SUM(RC4,RD4)&gt;0,SUM(RC4,RD4),"")</f>
        <v>37.150030000000001</v>
      </c>
      <c r="RG4" s="76">
        <f>IF(SUM(QT4,QX4)&gt;0,SUM(QT4,QX4),"")</f>
        <v>6.6</v>
      </c>
      <c r="RH4" s="76">
        <f>IF(SUM(QS4:QT4,QV4:QX4,QZ4)-SUM(QU4,QY4)&gt;0,SUM(QS4:QT4,QV4:QX4,QZ4)-SUM(QU4,QY4),"")</f>
        <v>25.25</v>
      </c>
      <c r="RI4" s="76">
        <f>IF(SUM(RC4,RH4)&gt;0,SUM(RC4,RH4),"")</f>
        <v>50.650030000000001</v>
      </c>
    </row>
    <row r="5" spans="1:477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108</v>
      </c>
      <c r="C5" s="7" t="s">
        <v>43</v>
      </c>
      <c r="D5" s="18">
        <v>2002</v>
      </c>
      <c r="E5" s="14">
        <f>SUM(J5:T5)+SUM(J5:P5)*0.0000001+SUM(J5)*0.0000000000001</f>
        <v>122.60005728000984</v>
      </c>
      <c r="F5" s="3" t="str">
        <f>IF(OR(AND(AR5&gt;=AY$17,AS5&gt;=AY$21,AR5&lt;&gt;"",AQ5=""),AND(AW5&gt;=AY$17,AX5&gt;=AY$21,AW5&lt;&gt;"",AQ5=""),AND(BU5&gt;=CB$17,BV5&gt;=CB$21,BU5&lt;&gt;"",BT5=""),AND(BZ5&gt;=CB$17,CA5&gt;=CB$21,BZ5&lt;&gt;"",BT5=""),AND(CX5&gt;=DE$17,CY5&gt;=DE$21,CX5&lt;&gt;"",CW5=""),AND(DC5&gt;=DE$17,DD5&gt;=DE$21,DC5&lt;&gt;""),AND(EC5&gt;=EJ$17,ED5&gt;=EJ$21,EC5&lt;&gt;""),AND(EH5&gt;=EJ$17,EI5&gt;=EJ$21,EH5&lt;&gt;""),AND(FE5&gt;=FL$17,FF5&gt;=FL$21,FE5&lt;&gt;""),AND(FJ5&gt;=FL$17,FK5&gt;=FL$21,FJ5&lt;&gt;""),AND(GG5&gt;=GN$17,GH5&gt;=GN$21,GG5&lt;&gt;""),AND(GL5&gt;=GN$17,GM5&gt;=GN$21,GL5&lt;&gt;""),AND(HI5&gt;=HP$17,HJ5&gt;=HP$21,HI5&lt;&gt;""),AND(HN5&gt;=HP$17,HO5&gt;=HP$21,HN5&lt;&gt;""),AND(IK5&gt;=IR$17,IL5&gt;=IR$21,IK5&lt;&gt;""),AND(IP5&gt;=IR$17,IQ5&gt;=IR$21,IP5&lt;&gt;""),AND(JM5&gt;=JT$17,JN5&gt;=JT$21,JM5&lt;&gt;""),AND(JR5&gt;=JT$17,JS5&gt;=JT$21,JR5&lt;&gt;""),AND(KO5&gt;=KV$17,KP5&gt;=KV$21,KO5&lt;&gt;""),AND(KT5&gt;=KV$17,KU5&gt;=KV$21,KT5&lt;&gt;""),AND(LQ5&gt;=LX$17,LR5&gt;=LX$21,LQ5&lt;&gt;""),AND(LV5&gt;=LX$17,LW5&gt;=LX$21,LV5&lt;&gt;""),AND(MS5&gt;=MZ$17,MT5&gt;=MZ$21,MS5&lt;&gt;""),AND(MX5&gt;=MZ$17,MY5&gt;=MZ$21,MX5&lt;&gt;""),AND(NU5&gt;=OB$17,NV5&gt;=OB$21,NU5&lt;&gt;""),AND(NZ5&gt;=OB$17,OA5&gt;=OB$21,NZ5&lt;&gt;""),AND(OW5&gt;=PD$17,OX5&gt;=PD$21,OW5&lt;&gt;""),AND(PB5&gt;=PD$17,PC5&gt;=PD$21,PB5&lt;&gt;""),AND(PY5&gt;=QF$17,PZ5&gt;=QF$21,PY5&lt;&gt;""),AND(QD5&gt;=QF$17,QE5&gt;=QF$21,QD5&lt;&gt;"")),"P","")</f>
        <v>P</v>
      </c>
      <c r="G5" s="3" t="str">
        <f>IF(OR(AND(AS5&gt;=AY$21,AS5&lt;&gt;"",AQ5=""),AND(AX5&gt;=AY$21,AX5&lt;&gt;"",AQ5=""),AND(BV5&gt;=CB$21,BV5&lt;&gt;"",BT5=""),AND(CA5&gt;=CB$21,CA5&lt;&gt;"",BT5=""),AND(CY5&gt;=DE$21,CY5&lt;&gt;"",CW5=""),AND(DD5&gt;=DE$21,DD5&lt;&gt;"",CW5=""),AND(ED5&gt;=EJ$21,ED5&lt;&gt;""),AND(EI5&gt;=EJ$21,EI5&lt;&gt;""),AND(FF5&gt;=FL$21,FF5&lt;&gt;""),AND(FK5&gt;=FL$21,FK5&lt;&gt;""),AND(GH5&gt;=GN$21,GH5&lt;&gt;""),AND(GM5&gt;=GN$21,GM5&lt;&gt;""),AND(HJ5&gt;=HP$21,HJ5&lt;&gt;""),AND(HO5&gt;=HP$21,HO5&lt;&gt;""),AND(IL5&gt;=IR$21,IL5&lt;&gt;""),AND(IQ5&gt;=IR$21,IQ5&lt;&gt;""),AND(JN5&gt;=JT$21,JN5&lt;&gt;""),AND(JS5&gt;=JT$21,JS5&lt;&gt;""),AND(KP5&gt;=KV$21,KP5&lt;&gt;""),AND(KU5&gt;=KV$21,KU5&lt;&gt;""),AND(LR5&gt;=LX$21,LR5&lt;&gt;""),AND(LW5&gt;=LX$21,LW5&lt;&gt;""),AND(MT5&gt;=MZ$21,MT5&lt;&gt;""),AND(MY5&gt;=MZ$21,MY5&lt;&gt;""),AND(NV5&gt;=OB$21,NV5&lt;&gt;""),AND(OA5&gt;=OB$21,OA5&lt;&gt;""),AND(OX5&gt;=PD$21,OX5&lt;&gt;""),AND(PC5&gt;=PD$21,PC5&lt;&gt;""),AND(PZ5&gt;=QF$21,PZ5&lt;&gt;""),AND(QE5&gt;=QF$21,QE5&lt;&gt;"")),"P","")</f>
        <v>P</v>
      </c>
      <c r="H5" s="70" t="str">
        <f>IF(AND(G5="P",F5=""),"No DD",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Merit",IF(OR(AND(AU5&gt;=AY$19,AV5&gt;=AY$23,AU5&lt;&gt;"",AQ5=""),AND(BX5&gt;=CB$19,BY5&gt;=CB$23,BX5&lt;&gt;"",BT5=""),AND(DA5&gt;=DE$19,DB5&gt;=DE$23,DA5&lt;&gt;"",CW5=""),AND(EF5&gt;=EJ$19,EG5&gt;=EJ$23,EF5&lt;&gt;""),AND(FH5&gt;=FL$19,FI5&gt;=FL$23,FH5&lt;&gt;""),AND(GJ5&gt;=GN$19,GK5&gt;=GN$23,GJ5&lt;&gt;""),AND(HL5&gt;=HP$19,HM5&gt;=HP$23,HL5&lt;&gt;""),AND(IN5&gt;=IR$19,IO5&gt;=IR$23,IN5&lt;&gt;""),AND(JP5&gt;=JT$19,JQ5&gt;=JT$23,JP5&lt;&gt;""),AND(KR5&gt;=KV$19,KS5&gt;=KV$23,KR5&lt;&gt;""),AND(LT5&gt;=LX$19,LU5&gt;=LX$23,LT5&lt;&gt;""),AND(MV5&gt;=MZ$19,MW5&gt;=MZ$23,MV5&lt;&gt;""),AND(NX5&gt;=OB$19,NY5&gt;=OB$23,NX5&lt;&gt;""),AND(OZ5&gt;=PD$19,PA5&gt;=PD$23,OZ5&lt;&gt;""),AND(QB5&gt;=QF$19,QC5&gt;=QF$23,QB5&lt;&gt;"")),"Excellence",IF(I5="P","Worlds Team",IF(F5="P","National Team","")))))</f>
        <v>Worlds Team</v>
      </c>
      <c r="I5" s="3" t="str">
        <f>IF(OR(AND(AU5&gt;=AY$18,AV5&gt;=AY$22,AU5&lt;&gt;"",AQ5=""),AND(BX5&gt;=CB$18,BY5&gt;=CB$22,BX5&lt;&gt;"",BT5=""),AND(DA5&gt;=DE$18,DB5&gt;=DE$22,DA5&lt;&gt;"",CW5=""),AND(EF5&gt;=EJ$18,EG5&gt;=EJ$22,EF5&lt;&gt;""),AND(FH5&gt;=FL$18,FI5&gt;=FL$22,FH5&lt;&gt;""),AND(GJ5&gt;=GN$18,GK5&gt;=GN$22,GJ5&lt;&gt;""),AND(HL5&gt;=HP$18,HM5&gt;=HP$22,HL5&lt;&gt;""),AND(IN5&gt;=IR$18,IO5&gt;=IR$22,IN5&lt;&gt;""),AND(JP5&gt;=JT$18,JQ5&gt;=JT$22,JP5&lt;&gt;""),AND(KR5&gt;=KV$18,KS5&gt;=KV$22,KR5&lt;&gt;""),AND(LT5&gt;=LX$18,LU5&gt;=LX$22,LT5&lt;&gt;""),AND(MV5&gt;=MZ$18,MW5&gt;=MZ$22,MV5&lt;&gt;""),AND(NX5&gt;=OB$18,NY5&gt;=OB$22,NX5&lt;&gt;""),AND(OZ5&gt;=PD$18,PA5&gt;=PD$22,OZ5&lt;&gt;""),AND(QB5&gt;=QF$18,QC5&gt;=QF$22,QB5&lt;&gt;"")),"P","")</f>
        <v>P</v>
      </c>
      <c r="J5" s="13">
        <f>IF(COUNT(AS5,BV5,CY5)&gt;0,LARGE((AS5,BV5,CY5),1),0)</f>
        <v>48.5</v>
      </c>
      <c r="K5" s="13" t="str">
        <f>IF(J5=0,"",IF(J5=CY5,$CC$1,IF(J5=BV5,$AZ$1,IF(J5=AS5,$W$1,""))))</f>
        <v>2022 Elite Canada</v>
      </c>
      <c r="L5" s="13">
        <f>IF(COUNT(AS5,BV5,CY5)&gt;1,LARGE((AS5,BV5,CY5),2),0)</f>
        <v>5.0000000000000002E-5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24.3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49.8</v>
      </c>
      <c r="S5" s="13" t="str">
        <f>IF(R5=0,"",IF(R5=DD5,$CC$1,IF(R5=CA5,$AZ$1,IF(R5=AX5,$W$1,""))))</f>
        <v>2022 Elite Canada</v>
      </c>
      <c r="T5" s="13" t="str">
        <f>IF(MAX(DF5:DH5)&gt;0,MAX(DF5:DH5),"")</f>
        <v/>
      </c>
      <c r="U5" s="16" t="str">
        <f>IF(T5="","",IF(T5=DF5,"("&amp;DF$2&amp;")",IF(T5=DH5,"("&amp;DH$2&amp;")")))</f>
        <v/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/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2.0000000000000002E-5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2.0000000000000002E-5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2.0000000000000002E-5</v>
      </c>
      <c r="BV5" s="16">
        <f>IF(SUM(AZ5:BA5,BC5:BE5,BG5)-BB5-BF5&gt;0,SUM(AZ5:BA5,BC5:BE5,BG5)-BB5-BF5,"")</f>
        <v>5.0000000000000002E-5</v>
      </c>
      <c r="BW5" s="16" t="str">
        <f>IF(SUM(BH5:BI5,BK5)-BJ5&gt;0,SUM(BH5:BI5,BK5)-BJ5,"")</f>
        <v/>
      </c>
      <c r="BX5" s="16">
        <f>IF(SUM(BA5,BE5,BI5)&gt;0,SUM(BA5,BE5,BI5),"")</f>
        <v>2.0000000000000002E-5</v>
      </c>
      <c r="BY5" s="16">
        <f>IF(SUM(BV5,BW5)&gt;0,SUM(BV5,BW5),"")</f>
        <v>5.0000000000000002E-5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48.5</v>
      </c>
      <c r="CZ5" s="76">
        <f>IF(SUM(CK5:CL5,CN5)-CM5&gt;0,SUM(CK5:CL5,CN5)-CM5,"")</f>
        <v>24.3</v>
      </c>
      <c r="DA5" s="76">
        <f>IF(SUM(CD5,CH5,CL5)&gt;0,SUM(CD5,CH5,CL5),"")</f>
        <v>17.600000000000001</v>
      </c>
      <c r="DB5" s="76">
        <f>IF(SUM(CY5,CZ5)&gt;0,SUM(CY5,CZ5),"")</f>
        <v>72.8</v>
      </c>
      <c r="DC5" s="76">
        <f>IF(SUM(CP5,CT5)&gt;0,SUM(CP5,CT5),"")</f>
        <v>11.600000000000001</v>
      </c>
      <c r="DD5" s="76">
        <f>IF(SUM(CO5:CP5,CR5:CT5,CV5)-SUM(CQ5,CU5)&gt;0,SUM(CO5:CP5,CR5:CT5,CV5)-SUM(CQ5,CU5),"")</f>
        <v>49.8</v>
      </c>
      <c r="DE5" s="76">
        <f>IF(SUM(CY5,DD5)&gt;0,SUM(CY5,DD5),"")</f>
        <v>98.3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9.3000150000000001</v>
      </c>
      <c r="QH5" s="42">
        <f>IF($CW5="P",CD5,(CD5+BA5)/2)</f>
        <v>2.8000099999999999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9.4499999999999993</v>
      </c>
      <c r="QL5" s="42">
        <f>IF($CW5="P",CH5,(CH5+BE5)/2)</f>
        <v>3</v>
      </c>
      <c r="QM5" s="42">
        <f>IF($CW5="P",CI5,(CI5+BF5)/2)</f>
        <v>0</v>
      </c>
      <c r="QN5" s="42">
        <f>IF($CW5="P",CJ5,(CJ5+BG5)/2)</f>
        <v>0</v>
      </c>
      <c r="QO5" s="42">
        <f>IF($CW5="P",CK5,(CK5+BH5)/2)</f>
        <v>9.3000000000000007</v>
      </c>
      <c r="QP5" s="42">
        <f>IF($CW5="P",CL5,(CL5+BI5)/2)</f>
        <v>3</v>
      </c>
      <c r="QQ5" s="42">
        <f>IF($CW5="P",CM5,(CM5+BJ5)/2)</f>
        <v>0.3</v>
      </c>
      <c r="QR5" s="42">
        <f>IF($CW5="P",CN5,(CN5+BK5)/2)</f>
        <v>0.15</v>
      </c>
      <c r="QS5" s="42">
        <f>IF($CW5="P",CO5,(CO5+BL5)/2)</f>
        <v>9.5</v>
      </c>
      <c r="QT5" s="42">
        <f>IF($CW5="P",CP5,(CP5+BM5)/2)</f>
        <v>3.2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9.6</v>
      </c>
      <c r="QX5" s="42">
        <f>IF($CW5="P",CT5,(CT5+BQ5)/2)</f>
        <v>2.6</v>
      </c>
      <c r="QY5" s="42">
        <f>IF($CW5="P",CU5,(CU5+BR5)/2)</f>
        <v>0</v>
      </c>
      <c r="QZ5" s="42">
        <f>IF($CW5="P",CV5,(CV5+BS5)/2)</f>
        <v>0</v>
      </c>
      <c r="RA5" s="51" t="s">
        <v>61</v>
      </c>
      <c r="RB5" s="76">
        <f>IF(SUM(QH5,QL5)&gt;0,SUM(QH5,QL5),"")</f>
        <v>5.8000100000000003</v>
      </c>
      <c r="RC5" s="76">
        <f>IF(SUM(QG5:QH5,QJ5:QL5,QN5)-QI5-QM5&gt;0,SUM(QG5:QH5,QJ5:QL5,QN5)-QI5-QM5,"")</f>
        <v>24.250024999999997</v>
      </c>
      <c r="RD5" s="76">
        <f>IF(SUM(QO5:QP5,QR5)-QQ5&gt;0,SUM(QO5:QP5,QR5)-QQ5,"")</f>
        <v>12.15</v>
      </c>
      <c r="RE5" s="76">
        <f>IF(SUM(QH5,QL5,QP5)&gt;0,SUM(QH5,QL5,QP5),"")</f>
        <v>8.8000100000000003</v>
      </c>
      <c r="RF5" s="76">
        <f>IF(SUM(RC5,RD5)&gt;0,SUM(RC5,RD5),"")</f>
        <v>36.400024999999999</v>
      </c>
      <c r="RG5" s="76">
        <f>IF(SUM(QT5,QX5)&gt;0,SUM(QT5,QX5),"")</f>
        <v>5.8000000000000007</v>
      </c>
      <c r="RH5" s="76">
        <f>IF(SUM(QS5:QT5,QV5:QX5,QZ5)-SUM(QU5,QY5)&gt;0,SUM(QS5:QT5,QV5:QX5,QZ5)-SUM(QU5,QY5),"")</f>
        <v>24.9</v>
      </c>
      <c r="RI5" s="76">
        <f>IF(SUM(RC5,RH5)&gt;0,SUM(RC5,RH5),"")</f>
        <v>49.150024999999999</v>
      </c>
    </row>
    <row r="6" spans="1:477" x14ac:dyDescent="0.2">
      <c r="A6" s="5" cm="1">
        <f t="array" ref="A6">IF(AND(F6="P",G6="P"),SUMPRODUCT((F$4:F$15="P")*(G$4:G$15="P")*(E$4:E$15&gt;E6))+1,IF(G6="P",SUMPRODUCT((F$4:F$15="")*(G$4:G$15="P")*(E$4:E$15&gt;E6))+1+SUMPRODUCT((F$4:F$15="P")*(G$4:G$15="P")),""))</f>
        <v>3</v>
      </c>
      <c r="B6" s="6" t="s">
        <v>93</v>
      </c>
      <c r="C6" s="7" t="s">
        <v>6</v>
      </c>
      <c r="D6" s="18">
        <v>1996</v>
      </c>
      <c r="E6" s="14">
        <f>SUM(J6:T6)+SUM(J6:P6)*0.0000001+SUM(J6)*0.0000000000001</f>
        <v>121.7000672600109</v>
      </c>
      <c r="F6" s="3" t="str">
        <f>IF(OR(AND(AR6&gt;=AY$17,AS6&gt;=AY$21,AR6&lt;&gt;"",AQ6=""),AND(AW6&gt;=AY$17,AX6&gt;=AY$21,AW6&lt;&gt;"",AQ6=""),AND(BU6&gt;=CB$17,BV6&gt;=CB$21,BU6&lt;&gt;"",BT6=""),AND(BZ6&gt;=CB$17,CA6&gt;=CB$21,BZ6&lt;&gt;"",BT6=""),AND(CX6&gt;=DE$17,CY6&gt;=DE$21,CX6&lt;&gt;"",CW6=""),AND(DC6&gt;=DE$17,DD6&gt;=DE$21,DC6&lt;&gt;""),AND(EC6&gt;=EJ$17,ED6&gt;=EJ$21,EC6&lt;&gt;""),AND(EH6&gt;=EJ$17,EI6&gt;=EJ$21,EH6&lt;&gt;""),AND(FE6&gt;=FL$17,FF6&gt;=FL$21,FE6&lt;&gt;""),AND(FJ6&gt;=FL$17,FK6&gt;=FL$21,FJ6&lt;&gt;""),AND(GG6&gt;=GN$17,GH6&gt;=GN$21,GG6&lt;&gt;""),AND(GL6&gt;=GN$17,GM6&gt;=GN$21,GL6&lt;&gt;""),AND(HI6&gt;=HP$17,HJ6&gt;=HP$21,HI6&lt;&gt;""),AND(HN6&gt;=HP$17,HO6&gt;=HP$21,HN6&lt;&gt;""),AND(IK6&gt;=IR$17,IL6&gt;=IR$21,IK6&lt;&gt;""),AND(IP6&gt;=IR$17,IQ6&gt;=IR$21,IP6&lt;&gt;""),AND(JM6&gt;=JT$17,JN6&gt;=JT$21,JM6&lt;&gt;""),AND(JR6&gt;=JT$17,JS6&gt;=JT$21,JR6&lt;&gt;""),AND(KO6&gt;=KV$17,KP6&gt;=KV$21,KO6&lt;&gt;""),AND(KT6&gt;=KV$17,KU6&gt;=KV$21,KT6&lt;&gt;""),AND(LQ6&gt;=LX$17,LR6&gt;=LX$21,LQ6&lt;&gt;""),AND(LV6&gt;=LX$17,LW6&gt;=LX$21,LV6&lt;&gt;""),AND(MS6&gt;=MZ$17,MT6&gt;=MZ$21,MS6&lt;&gt;""),AND(MX6&gt;=MZ$17,MY6&gt;=MZ$21,MX6&lt;&gt;""),AND(NU6&gt;=OB$17,NV6&gt;=OB$21,NU6&lt;&gt;""),AND(NZ6&gt;=OB$17,OA6&gt;=OB$21,NZ6&lt;&gt;""),AND(OW6&gt;=PD$17,OX6&gt;=PD$21,OW6&lt;&gt;""),AND(PB6&gt;=PD$17,PC6&gt;=PD$21,PB6&lt;&gt;""),AND(PY6&gt;=QF$17,PZ6&gt;=QF$21,PY6&lt;&gt;""),AND(QD6&gt;=QF$17,QE6&gt;=QF$21,QD6&lt;&gt;"")),"P","")</f>
        <v>P</v>
      </c>
      <c r="G6" s="3" t="str">
        <f>IF(OR(AND(AS6&gt;=AY$21,AS6&lt;&gt;"",AQ6=""),AND(AX6&gt;=AY$21,AX6&lt;&gt;"",AQ6=""),AND(BV6&gt;=CB$21,BV6&lt;&gt;"",BT6=""),AND(CA6&gt;=CB$21,CA6&lt;&gt;"",BT6=""),AND(CY6&gt;=DE$21,CY6&lt;&gt;"",CW6=""),AND(DD6&gt;=DE$21,DD6&lt;&gt;"",CW6=""),AND(ED6&gt;=EJ$21,ED6&lt;&gt;""),AND(EI6&gt;=EJ$21,EI6&lt;&gt;""),AND(FF6&gt;=FL$21,FF6&lt;&gt;""),AND(FK6&gt;=FL$21,FK6&lt;&gt;""),AND(GH6&gt;=GN$21,GH6&lt;&gt;""),AND(GM6&gt;=GN$21,GM6&lt;&gt;""),AND(HJ6&gt;=HP$21,HJ6&lt;&gt;""),AND(HO6&gt;=HP$21,HO6&lt;&gt;""),AND(IL6&gt;=IR$21,IL6&lt;&gt;""),AND(IQ6&gt;=IR$21,IQ6&lt;&gt;""),AND(JN6&gt;=JT$21,JN6&lt;&gt;""),AND(JS6&gt;=JT$21,JS6&lt;&gt;""),AND(KP6&gt;=KV$21,KP6&lt;&gt;""),AND(KU6&gt;=KV$21,KU6&lt;&gt;""),AND(LR6&gt;=LX$21,LR6&lt;&gt;""),AND(LW6&gt;=LX$21,LW6&lt;&gt;""),AND(MT6&gt;=MZ$21,MT6&lt;&gt;""),AND(MY6&gt;=MZ$21,MY6&lt;&gt;""),AND(NV6&gt;=OB$21,NV6&lt;&gt;""),AND(OA6&gt;=OB$21,OA6&lt;&gt;""),AND(OX6&gt;=PD$21,OX6&lt;&gt;""),AND(PC6&gt;=PD$21,PC6&lt;&gt;""),AND(PZ6&gt;=QF$21,PZ6&lt;&gt;""),AND(QE6&gt;=QF$21,QE6&lt;&gt;"")),"P","")</f>
        <v>P</v>
      </c>
      <c r="H6" s="70" t="str">
        <f>IF(AND(G6="P",F6=""),"No DD",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Merit",IF(OR(AND(AU6&gt;=AY$19,AV6&gt;=AY$23,AU6&lt;&gt;"",AQ6=""),AND(BX6&gt;=CB$19,BY6&gt;=CB$23,BX6&lt;&gt;"",BT6=""),AND(DA6&gt;=DE$19,DB6&gt;=DE$23,DA6&lt;&gt;"",CW6=""),AND(EF6&gt;=EJ$19,EG6&gt;=EJ$23,EF6&lt;&gt;""),AND(FH6&gt;=FL$19,FI6&gt;=FL$23,FH6&lt;&gt;""),AND(GJ6&gt;=GN$19,GK6&gt;=GN$23,GJ6&lt;&gt;""),AND(HL6&gt;=HP$19,HM6&gt;=HP$23,HL6&lt;&gt;""),AND(IN6&gt;=IR$19,IO6&gt;=IR$23,IN6&lt;&gt;""),AND(JP6&gt;=JT$19,JQ6&gt;=JT$23,JP6&lt;&gt;""),AND(KR6&gt;=KV$19,KS6&gt;=KV$23,KR6&lt;&gt;""),AND(LT6&gt;=LX$19,LU6&gt;=LX$23,LT6&lt;&gt;""),AND(MV6&gt;=MZ$19,MW6&gt;=MZ$23,MV6&lt;&gt;""),AND(NX6&gt;=OB$19,NY6&gt;=OB$23,NX6&lt;&gt;""),AND(OZ6&gt;=PD$19,PA6&gt;=PD$23,OZ6&lt;&gt;""),AND(QB6&gt;=QF$19,QC6&gt;=QF$23,QB6&lt;&gt;"")),"Excellence",IF(I6="P","Worlds Team",IF(F6="P","National Team","")))))</f>
        <v>Worlds Team</v>
      </c>
      <c r="I6" s="3" t="str">
        <f>IF(OR(AND(AU6&gt;=AY$18,AV6&gt;=AY$22,AU6&lt;&gt;"",AQ6=""),AND(BX6&gt;=CB$18,BY6&gt;=CB$22,BX6&lt;&gt;"",BT6=""),AND(DA6&gt;=DE$18,DB6&gt;=DE$22,DA6&lt;&gt;"",CW6=""),AND(EF6&gt;=EJ$18,EG6&gt;=EJ$22,EF6&lt;&gt;""),AND(FH6&gt;=FL$18,FI6&gt;=FL$22,FH6&lt;&gt;""),AND(GJ6&gt;=GN$18,GK6&gt;=GN$22,GJ6&lt;&gt;""),AND(HL6&gt;=HP$18,HM6&gt;=HP$22,HL6&lt;&gt;""),AND(IN6&gt;=IR$18,IO6&gt;=IR$22,IN6&lt;&gt;""),AND(JP6&gt;=JT$18,JQ6&gt;=JT$22,JP6&lt;&gt;""),AND(KR6&gt;=KV$18,KS6&gt;=KV$22,KR6&lt;&gt;""),AND(LT6&gt;=LX$18,LU6&gt;=LX$22,LT6&lt;&gt;""),AND(MV6&gt;=MZ$18,MW6&gt;=MZ$22,MV6&lt;&gt;""),AND(NX6&gt;=OB$18,NY6&gt;=OB$22,NX6&lt;&gt;""),AND(OZ6&gt;=PD$18,PA6&gt;=PD$22,OZ6&lt;&gt;""),AND(QB6&gt;=QF$18,QC6&gt;=QF$22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6.0000000000000002E-5</v>
      </c>
      <c r="M6" s="13" t="str">
        <f>IF(L6=0,"",IF(L6=CY6,$CC$1,IF(L6=BV6,$AZ$1,IF(L6=AS6,$W$1,""))))</f>
        <v>2021 Elite Canada</v>
      </c>
      <c r="N6" s="13">
        <f>IF(COUNT(AT6,BW6,CZ6)&gt;0,LARGE((AT6,BW6,CZ6),1),0)</f>
        <v>23.6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>IF(SUM(X6,AB6)&gt;0,SUM(X6,AB6),"")</f>
        <v>3.0000000000000001E-5</v>
      </c>
      <c r="AS6" s="76">
        <f>IF(SUM(W6:X6,Z6:AB6,AD6)-Y6-AC6&gt;0,SUM(W6:X6,Z6:AB6,AD6)-Y6-AC6,"")</f>
        <v>6.0000000000000002E-5</v>
      </c>
      <c r="AT6" s="76" t="str">
        <f>IF(SUM(AE6:AF6,AH6)-AG6&gt;0,SUM(AE6:AF6,AH6)-AG6,"")</f>
        <v/>
      </c>
      <c r="AU6" s="76">
        <f>IF(SUM(X6,AB6,AF6)&gt;0,SUM(X6,AB6,AF6),"")</f>
        <v>3.0000000000000001E-5</v>
      </c>
      <c r="AV6" s="76">
        <f>IF(SUM(AS6,AT6)&gt;0,SUM(AS6,AT6),"")</f>
        <v>6.0000000000000002E-5</v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>
        <f>IF(SUM(AS6,AX6)&gt;0,SUM(AS6,AX6),"")</f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>IF(SUM(BA6,BE6)&gt;0,SUM(BA6,BE6),"")</f>
        <v>1.0000000000000001E-5</v>
      </c>
      <c r="BV6" s="16">
        <f>IF(SUM(AZ6:BA6,BC6:BE6,BG6)-BB6-BF6&gt;0,SUM(AZ6:BA6,BC6:BE6,BG6)-BB6-BF6,"")</f>
        <v>1.0000000000000001E-5</v>
      </c>
      <c r="BW6" s="16" t="str">
        <f>IF(SUM(BH6:BI6,BK6)-BJ6&gt;0,SUM(BH6:BI6,BK6)-BJ6,"")</f>
        <v/>
      </c>
      <c r="BX6" s="16">
        <f>IF(SUM(BA6,BE6,BI6)&gt;0,SUM(BA6,BE6,BI6),"")</f>
        <v>1.0000000000000001E-5</v>
      </c>
      <c r="BY6" s="16">
        <f>IF(SUM(BV6,BW6)&gt;0,SUM(BV6,BW6),"")</f>
        <v>1.0000000000000001E-5</v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>
        <f>IF(SUM(BV6,CA6)&gt;0,SUM(BV6,CA6),"")</f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>IF(SUM(CD6,CH6)&gt;0,SUM(CD6,CH6),"")</f>
        <v>11.600000000000001</v>
      </c>
      <c r="CY6" s="76">
        <f>IF(SUM(CC6:CD6,CF6:CH6,CJ6)-CE6-CI6&gt;0,SUM(CC6:CD6,CF6:CH6,CJ6)-CE6-CI6,"")</f>
        <v>48.999999999999993</v>
      </c>
      <c r="CZ6" s="76">
        <f>IF(SUM(CK6:CL6,CN6)-CM6&gt;0,SUM(CK6:CL6,CN6)-CM6,"")</f>
        <v>23.6</v>
      </c>
      <c r="DA6" s="76">
        <f>IF(SUM(CD6,CH6,CL6)&gt;0,SUM(CD6,CH6,CL6),"")</f>
        <v>16.400000000000002</v>
      </c>
      <c r="DB6" s="76">
        <f>IF(SUM(CY6,CZ6)&gt;0,SUM(CY6,CZ6),"")</f>
        <v>72.599999999999994</v>
      </c>
      <c r="DC6" s="76">
        <f>IF(SUM(CP6,CT6)&gt;0,SUM(CP6,CT6),"")</f>
        <v>11.600000000000001</v>
      </c>
      <c r="DD6" s="76">
        <f>IF(SUM(CO6:CP6,CR6:CT6,CV6)-SUM(CQ6,CU6)&gt;0,SUM(CO6:CP6,CR6:CT6,CV6)-SUM(CQ6,CU6),"")</f>
        <v>49.100000000000009</v>
      </c>
      <c r="DE6" s="76">
        <f>IF(SUM(CY6,DD6)&gt;0,SUM(CY6,DD6),"")</f>
        <v>98.1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>IF(SUM(GP6,GT6)&gt;0,SUM(GP6,GT6),"")</f>
        <v>11.600000000000001</v>
      </c>
      <c r="HJ6" s="16">
        <f>IF(SUM(GO6:GP6,GR6:GT6,GV6)-GQ6-GU6&gt;0,SUM(GO6:GP6,GR6:GT6,GV6)-GQ6-GU6,"")</f>
        <v>48.6</v>
      </c>
      <c r="HK6" s="16" t="str">
        <f>IF(SUM(GW6:GX6,GZ6)-GY6&gt;0,SUM(GW6:GX6,GZ6)-GY6,"")</f>
        <v/>
      </c>
      <c r="HL6" s="16">
        <f>IF(SUM(GP6,GT6,GX6)&gt;0,SUM(GP6,GT6,GX6),"")</f>
        <v>11.600000000000001</v>
      </c>
      <c r="HM6" s="16">
        <f>IF(SUM(HJ6,HK6)&gt;0,SUM(HJ6,HK6),"")</f>
        <v>48.6</v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>
        <f>IF(SUM(HJ6,HO6)&gt;0,SUM(HJ6,HO6),"")</f>
        <v>48.6</v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9.4499999999999993</v>
      </c>
      <c r="QH6" s="42">
        <f>IF($CW6="P",CD6,(CD6+BA6)/2)</f>
        <v>3.200005</v>
      </c>
      <c r="QI6" s="42">
        <f>IF($CW6="P",CE6,(CE6+BB6)/2)</f>
        <v>0.1</v>
      </c>
      <c r="QJ6" s="42">
        <f>IF($CW6="P",CF6,(CF6+BC6)/2)</f>
        <v>0</v>
      </c>
      <c r="QK6" s="42">
        <f>IF($CW6="P",CG6,(CG6+BD6)/2)</f>
        <v>9.4499999999999993</v>
      </c>
      <c r="QL6" s="42">
        <f>IF($CW6="P",CH6,(CH6+BE6)/2)</f>
        <v>2.6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9.4</v>
      </c>
      <c r="QP6" s="42">
        <f>IF($CW6="P",CL6,(CL6+BI6)/2)</f>
        <v>2.4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9.35</v>
      </c>
      <c r="QT6" s="42">
        <f>IF($CW6="P",CP6,(CP6+BM6)/2)</f>
        <v>3.2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9.4</v>
      </c>
      <c r="QX6" s="42">
        <f>IF($CW6="P",CT6,(CT6+BQ6)/2)</f>
        <v>2.6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5.8000050000000005</v>
      </c>
      <c r="RC6" s="76">
        <f>IF(SUM(QG6:QH6,QJ6:QL6,QN6)-QI6-QM6&gt;0,SUM(QG6:QH6,QJ6:QL6,QN6)-QI6-QM6,"")</f>
        <v>24.500004999999998</v>
      </c>
      <c r="RD6" s="76">
        <f>IF(SUM(QO6:QP6,QR6)-QQ6&gt;0,SUM(QO6:QP6,QR6)-QQ6,"")</f>
        <v>11.8</v>
      </c>
      <c r="RE6" s="76">
        <f>IF(SUM(QH6,QL6,QP6)&gt;0,SUM(QH6,QL6,QP6),"")</f>
        <v>8.2000050000000009</v>
      </c>
      <c r="RF6" s="76">
        <f>IF(SUM(RC6,RD6)&gt;0,SUM(RC6,RD6),"")</f>
        <v>36.300004999999999</v>
      </c>
      <c r="RG6" s="76">
        <f>IF(SUM(QT6,QX6)&gt;0,SUM(QT6,QX6),"")</f>
        <v>5.8000000000000007</v>
      </c>
      <c r="RH6" s="76">
        <f>IF(SUM(QS6:QT6,QV6:QX6,QZ6)-SUM(QU6,QY6)&gt;0,SUM(QS6:QT6,QV6:QX6,QZ6)-SUM(QU6,QY6),"")</f>
        <v>24.550000000000004</v>
      </c>
      <c r="RI6" s="76">
        <f>IF(SUM(RC6,RH6)&gt;0,SUM(RC6,RH6),"")</f>
        <v>49.050004999999999</v>
      </c>
    </row>
    <row r="7" spans="1:477" x14ac:dyDescent="0.2">
      <c r="A7" s="5">
        <f>IF(AND(F7="P",G7="P"),SUMPRODUCT((F$4:F$15="P")*(G$4:G$15="P")*(E$4:E$15&gt;E7))+1,IF(G7="P",SUMPRODUCT((F$4:F$15="")*(G$4:G$15="P")*(E$4:E$15&gt;E7))+1+SUMPRODUCT((F$4:F$15="P")*(G$4:G$15="P")),""))</f>
        <v>4</v>
      </c>
      <c r="B7" s="6" t="s">
        <v>92</v>
      </c>
      <c r="C7" s="7" t="s">
        <v>5</v>
      </c>
      <c r="D7" s="18">
        <v>2003</v>
      </c>
      <c r="E7" s="14">
        <f>SUM(J7:T7)+SUM(J7:P7)*0.0000001+SUM(J7)*0.0000000000001</f>
        <v>120.30000722000493</v>
      </c>
      <c r="F7" s="3" t="str">
        <f>IF(OR(AND(AR7&gt;=AY$17,AS7&gt;=AY$21,AR7&lt;&gt;"",AQ7=""),AND(AW7&gt;=AY$17,AX7&gt;=AY$21,AW7&lt;&gt;"",AQ7=""),AND(BU7&gt;=CB$17,BV7&gt;=CB$21,BU7&lt;&gt;"",BT7=""),AND(BZ7&gt;=CB$17,CA7&gt;=CB$21,BZ7&lt;&gt;"",BT7=""),AND(CX7&gt;=DE$17,CY7&gt;=DE$21,CX7&lt;&gt;"",CW7=""),AND(DC7&gt;=DE$17,DD7&gt;=DE$21,DC7&lt;&gt;""),AND(EC7&gt;=EJ$17,ED7&gt;=EJ$21,EC7&lt;&gt;""),AND(EH7&gt;=EJ$17,EI7&gt;=EJ$21,EH7&lt;&gt;""),AND(FE7&gt;=FL$17,FF7&gt;=FL$21,FE7&lt;&gt;""),AND(FJ7&gt;=FL$17,FK7&gt;=FL$21,FJ7&lt;&gt;""),AND(GG7&gt;=GN$17,GH7&gt;=GN$21,GG7&lt;&gt;""),AND(GL7&gt;=GN$17,GM7&gt;=GN$21,GL7&lt;&gt;""),AND(HI7&gt;=HP$17,HJ7&gt;=HP$21,HI7&lt;&gt;""),AND(HN7&gt;=HP$17,HO7&gt;=HP$21,HN7&lt;&gt;""),AND(IK7&gt;=IR$17,IL7&gt;=IR$21,IK7&lt;&gt;""),AND(IP7&gt;=IR$17,IQ7&gt;=IR$21,IP7&lt;&gt;""),AND(JM7&gt;=JT$17,JN7&gt;=JT$21,JM7&lt;&gt;""),AND(JR7&gt;=JT$17,JS7&gt;=JT$21,JR7&lt;&gt;""),AND(KO7&gt;=KV$17,KP7&gt;=KV$21,KO7&lt;&gt;""),AND(KT7&gt;=KV$17,KU7&gt;=KV$21,KT7&lt;&gt;""),AND(LQ7&gt;=LX$17,LR7&gt;=LX$21,LQ7&lt;&gt;""),AND(LV7&gt;=LX$17,LW7&gt;=LX$21,LV7&lt;&gt;""),AND(MS7&gt;=MZ$17,MT7&gt;=MZ$21,MS7&lt;&gt;""),AND(MX7&gt;=MZ$17,MY7&gt;=MZ$21,MX7&lt;&gt;""),AND(NU7&gt;=OB$17,NV7&gt;=OB$21,NU7&lt;&gt;""),AND(NZ7&gt;=OB$17,OA7&gt;=OB$21,NZ7&lt;&gt;""),AND(OW7&gt;=PD$17,OX7&gt;=PD$21,OW7&lt;&gt;""),AND(PB7&gt;=PD$17,PC7&gt;=PD$21,PB7&lt;&gt;""),AND(PY7&gt;=QF$17,PZ7&gt;=QF$21,PY7&lt;&gt;""),AND(QD7&gt;=QF$17,QE7&gt;=QF$21,QD7&lt;&gt;"")),"P","")</f>
        <v>P</v>
      </c>
      <c r="G7" s="3" t="str">
        <f>IF(OR(AND(AS7&gt;=AY$21,AS7&lt;&gt;"",AQ7=""),AND(AX7&gt;=AY$21,AX7&lt;&gt;"",AQ7=""),AND(BV7&gt;=CB$21,BV7&lt;&gt;"",BT7=""),AND(CA7&gt;=CB$21,CA7&lt;&gt;"",BT7=""),AND(CY7&gt;=DE$21,CY7&lt;&gt;"",CW7=""),AND(DD7&gt;=DE$21,DD7&lt;&gt;"",CW7=""),AND(ED7&gt;=EJ$21,ED7&lt;&gt;""),AND(EI7&gt;=EJ$21,EI7&lt;&gt;""),AND(FF7&gt;=FL$21,FF7&lt;&gt;""),AND(FK7&gt;=FL$21,FK7&lt;&gt;""),AND(GH7&gt;=GN$21,GH7&lt;&gt;""),AND(GM7&gt;=GN$21,GM7&lt;&gt;""),AND(HJ7&gt;=HP$21,HJ7&lt;&gt;""),AND(HO7&gt;=HP$21,HO7&lt;&gt;""),AND(IL7&gt;=IR$21,IL7&lt;&gt;""),AND(IQ7&gt;=IR$21,IQ7&lt;&gt;""),AND(JN7&gt;=JT$21,JN7&lt;&gt;""),AND(JS7&gt;=JT$21,JS7&lt;&gt;""),AND(KP7&gt;=KV$21,KP7&lt;&gt;""),AND(KU7&gt;=KV$21,KU7&lt;&gt;""),AND(LR7&gt;=LX$21,LR7&lt;&gt;""),AND(LW7&gt;=LX$21,LW7&lt;&gt;""),AND(MT7&gt;=MZ$21,MT7&lt;&gt;""),AND(MY7&gt;=MZ$21,MY7&lt;&gt;""),AND(NV7&gt;=OB$21,NV7&lt;&gt;""),AND(OA7&gt;=OB$21,OA7&lt;&gt;""),AND(OX7&gt;=PD$21,OX7&lt;&gt;""),AND(PC7&gt;=PD$21,PC7&lt;&gt;""),AND(PZ7&gt;=QF$21,PZ7&lt;&gt;""),AND(QE7&gt;=QF$21,QE7&lt;&gt;"")),"P","")</f>
        <v>P</v>
      </c>
      <c r="H7" s="70" t="str">
        <f>IF(AND(G7="P",F7=""),"No DD",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Merit",IF(OR(AND(AU7&gt;=AY$19,AV7&gt;=AY$23,AU7&lt;&gt;"",AQ7=""),AND(BX7&gt;=CB$19,BY7&gt;=CB$23,BX7&lt;&gt;"",BT7=""),AND(DA7&gt;=DE$19,DB7&gt;=DE$23,DA7&lt;&gt;"",CW7=""),AND(EF7&gt;=EJ$19,EG7&gt;=EJ$23,EF7&lt;&gt;""),AND(FH7&gt;=FL$19,FI7&gt;=FL$23,FH7&lt;&gt;""),AND(GJ7&gt;=GN$19,GK7&gt;=GN$23,GJ7&lt;&gt;""),AND(HL7&gt;=HP$19,HM7&gt;=HP$23,HL7&lt;&gt;""),AND(IN7&gt;=IR$19,IO7&gt;=IR$23,IN7&lt;&gt;""),AND(JP7&gt;=JT$19,JQ7&gt;=JT$23,JP7&lt;&gt;""),AND(KR7&gt;=KV$19,KS7&gt;=KV$23,KR7&lt;&gt;""),AND(LT7&gt;=LX$19,LU7&gt;=LX$23,LT7&lt;&gt;""),AND(MV7&gt;=MZ$19,MW7&gt;=MZ$23,MV7&lt;&gt;""),AND(NX7&gt;=OB$19,NY7&gt;=OB$23,NX7&lt;&gt;""),AND(OZ7&gt;=PD$19,PA7&gt;=PD$23,OZ7&lt;&gt;""),AND(QB7&gt;=QF$19,QC7&gt;=QF$23,QB7&lt;&gt;"")),"Excellence",IF(I7="P","Worlds Team",IF(F7="P","National Team","")))))</f>
        <v>Worlds Team</v>
      </c>
      <c r="I7" s="3" t="str">
        <f>IF(OR(AND(AU7&gt;=AY$18,AV7&gt;=AY$22,AU7&lt;&gt;"",AQ7=""),AND(BX7&gt;=CB$18,BY7&gt;=CB$22,BX7&lt;&gt;"",BT7=""),AND(DA7&gt;=DE$18,DB7&gt;=DE$22,DA7&lt;&gt;"",CW7=""),AND(EF7&gt;=EJ$18,EG7&gt;=EJ$22,EF7&lt;&gt;""),AND(FH7&gt;=FL$18,FI7&gt;=FL$22,FH7&lt;&gt;""),AND(GJ7&gt;=GN$18,GK7&gt;=GN$22,GJ7&lt;&gt;""),AND(HL7&gt;=HP$18,HM7&gt;=HP$22,HL7&lt;&gt;""),AND(IN7&gt;=IR$18,IO7&gt;=IR$22,IN7&lt;&gt;""),AND(JP7&gt;=JT$18,JQ7&gt;=JT$22,JP7&lt;&gt;""),AND(KR7&gt;=KV$18,KS7&gt;=KV$22,KR7&lt;&gt;""),AND(LT7&gt;=LX$18,LU7&gt;=LX$22,LT7&lt;&gt;""),AND(MV7&gt;=MZ$18,MW7&gt;=MZ$22,MV7&lt;&gt;""),AND(NX7&gt;=OB$18,NY7&gt;=OB$22,NX7&lt;&gt;""),AND(OZ7&gt;=PD$18,PA7&gt;=PD$22,OZ7&lt;&gt;""),AND(QB7&gt;=QF$18,QC7&gt;=QF$22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0</v>
      </c>
      <c r="M7" s="13" t="str">
        <f>IF(L7=0,"",IF(L7=CY7,$CC$1,IF(L7=BV7,$AZ$1,IF(L7=AS7,$W$1,""))))</f>
        <v/>
      </c>
      <c r="N7" s="13">
        <f>IF(COUNT(AT7,BW7,CZ7)&gt;0,LARGE((AT7,BW7,CZ7),1),0)</f>
        <v>22.999999999999996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48.000000000000007</v>
      </c>
      <c r="S7" s="13" t="str">
        <f>IF(R7=0,"",IF(R7=DD7,$CC$1,IF(R7=CA7,$AZ$1,IF(R7=AX7,$W$1,""))))</f>
        <v>2022 Elite Canada</v>
      </c>
      <c r="T7" s="13">
        <f>IF(MAX(DF7:DH7)&gt;0,MAX(DF7:DH7),"")</f>
        <v>9.9999999999994316E-2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>IF(SUM(X7,AB7)&gt;0,SUM(X7,AB7),"")</f>
        <v/>
      </c>
      <c r="AS7" s="76" t="str">
        <f>IF(SUM(W7:X7,Z7:AB7,AD7)-Y7-AC7&gt;0,SUM(W7:X7,Z7:AB7,AD7)-Y7-AC7,"")</f>
        <v/>
      </c>
      <c r="AT7" s="76" t="str">
        <f>IF(SUM(AE7:AF7,AH7)-AG7&gt;0,SUM(AE7:AF7,AH7)-AG7,"")</f>
        <v/>
      </c>
      <c r="AU7" s="76" t="str">
        <f>IF(SUM(X7,AB7,AF7)&gt;0,SUM(X7,AB7,AF7),"")</f>
        <v/>
      </c>
      <c r="AV7" s="76" t="str">
        <f>IF(SUM(AS7,AT7)&gt;0,SUM(AS7,AT7),"")</f>
        <v/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 t="str">
        <f>IF(SUM(AS7,AX7)&gt;0,SUM(AS7,AX7),"")</f>
        <v/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19</v>
      </c>
      <c r="CD7" s="27">
        <v>5.6</v>
      </c>
      <c r="CE7" s="27">
        <v>0</v>
      </c>
      <c r="CF7" s="27">
        <v>0</v>
      </c>
      <c r="CG7" s="27">
        <v>18.600000000000001</v>
      </c>
      <c r="CH7" s="27">
        <v>6</v>
      </c>
      <c r="CI7" s="27">
        <v>0</v>
      </c>
      <c r="CJ7" s="27">
        <v>0</v>
      </c>
      <c r="CK7" s="27">
        <v>18.399999999999999</v>
      </c>
      <c r="CL7" s="27">
        <v>5.2</v>
      </c>
      <c r="CM7" s="27">
        <v>0.6</v>
      </c>
      <c r="CN7" s="27">
        <v>0</v>
      </c>
      <c r="CO7" s="27">
        <v>18.600000000000001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>IF(SUM(CD7,CH7)&gt;0,SUM(CD7,CH7),"")</f>
        <v>11.6</v>
      </c>
      <c r="CY7" s="76">
        <f>IF(SUM(CC7:CD7,CF7:CH7,CJ7)-CE7-CI7&gt;0,SUM(CC7:CD7,CF7:CH7,CJ7)-CE7-CI7,"")</f>
        <v>49.2</v>
      </c>
      <c r="CZ7" s="76">
        <f>IF(SUM(CK7:CL7,CN7)-CM7&gt;0,SUM(CK7:CL7,CN7)-CM7,"")</f>
        <v>22.999999999999996</v>
      </c>
      <c r="DA7" s="76">
        <f>IF(SUM(CD7,CH7,CL7)&gt;0,SUM(CD7,CH7,CL7),"")</f>
        <v>16.8</v>
      </c>
      <c r="DB7" s="76">
        <f>IF(SUM(CY7,CZ7)&gt;0,SUM(CY7,CZ7),"")</f>
        <v>72.2</v>
      </c>
      <c r="DC7" s="76">
        <f>IF(SUM(CP7,CT7)&gt;0,SUM(CP7,CT7),"")</f>
        <v>11.6</v>
      </c>
      <c r="DD7" s="76">
        <f>IF(SUM(CO7:CP7,CR7:CT7,CV7)-SUM(CQ7,CU7)&gt;0,SUM(CO7:CP7,CR7:CT7,CV7)-SUM(CQ7,CU7),"")</f>
        <v>48.000000000000007</v>
      </c>
      <c r="DE7" s="76">
        <f>IF(SUM(CY7,DD7)&gt;0,SUM(CY7,DD7),"")</f>
        <v>97.200000000000017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9.9999999999994316E-2</v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>IF(SUM(GP7,GT7)&gt;0,SUM(GP7,GT7),"")</f>
        <v>12.399999999999999</v>
      </c>
      <c r="HJ7" s="16">
        <f>IF(SUM(GO7:GP7,GR7:GT7,GV7)-GQ7-GU7&gt;0,SUM(GO7:GP7,GR7:GT7,GV7)-GQ7-GU7,"")</f>
        <v>49.199999999999996</v>
      </c>
      <c r="HK7" s="16" t="str">
        <f>IF(SUM(GW7:GX7,GZ7)-GY7&gt;0,SUM(GW7:GX7,GZ7)-GY7,"")</f>
        <v/>
      </c>
      <c r="HL7" s="16">
        <f>IF(SUM(GP7,GT7,GX7)&gt;0,SUM(GP7,GT7,GX7),"")</f>
        <v>12.399999999999999</v>
      </c>
      <c r="HM7" s="16">
        <f>IF(SUM(HJ7,HK7)&gt;0,SUM(HJ7,HK7),"")</f>
        <v>49.199999999999996</v>
      </c>
      <c r="HN7" s="16">
        <f>IF(SUM(HB7,HF7)&gt;0,SUM(HB7,HF7),"")</f>
        <v>6.4</v>
      </c>
      <c r="HO7" s="16">
        <f>IF(SUM(HA7:HB7,HD7:HF7,HH7)-SUM(HC7,HG7)&gt;0,SUM(HA7:HB7,HD7:HF7,HH7)-SUM(HC7,HG7),"")</f>
        <v>23.8</v>
      </c>
      <c r="HP7" s="16">
        <f>IF(SUM(HJ7,HO7)&gt;0,SUM(HJ7,HO7),"")</f>
        <v>73</v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9.5</v>
      </c>
      <c r="QH7" s="42">
        <f>IF($CW7="P",CD7,(CD7+BA7)/2)</f>
        <v>2.8</v>
      </c>
      <c r="QI7" s="42">
        <f>IF($CW7="P",CE7,(CE7+BB7)/2)</f>
        <v>0</v>
      </c>
      <c r="QJ7" s="42">
        <f>IF($CW7="P",CF7,(CF7+BC7)/2)</f>
        <v>0</v>
      </c>
      <c r="QK7" s="42">
        <f>IF($CW7="P",CG7,(CG7+BD7)/2)</f>
        <v>9.3000000000000007</v>
      </c>
      <c r="QL7" s="42">
        <f>IF($CW7="P",CH7,(CH7+BE7)/2)</f>
        <v>3</v>
      </c>
      <c r="QM7" s="42">
        <f>IF($CW7="P",CI7,(CI7+BF7)/2)</f>
        <v>0</v>
      </c>
      <c r="QN7" s="42">
        <f>IF($CW7="P",CJ7,(CJ7+BG7)/2)</f>
        <v>0</v>
      </c>
      <c r="QO7" s="42">
        <f>IF($CW7="P",CK7,(CK7+BH7)/2)</f>
        <v>9.1999999999999993</v>
      </c>
      <c r="QP7" s="42">
        <f>IF($CW7="P",CL7,(CL7+BI7)/2)</f>
        <v>2.6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9.3000000000000007</v>
      </c>
      <c r="QT7" s="42">
        <f>IF($CW7="P",CP7,(CP7+BM7)/2)</f>
        <v>2.8</v>
      </c>
      <c r="QU7" s="42">
        <f>IF($CW7="P",CQ7,(CQ7+BN7)/2)</f>
        <v>0</v>
      </c>
      <c r="QV7" s="42">
        <f>IF($CW7="P",CR7,(CR7+BO7)/2)</f>
        <v>0</v>
      </c>
      <c r="QW7" s="42">
        <f>IF($CW7="P",CS7,(CS7+BP7)/2)</f>
        <v>9.3000000000000007</v>
      </c>
      <c r="QX7" s="42">
        <f>IF($CW7="P",CT7,(CT7+BQ7)/2)</f>
        <v>3</v>
      </c>
      <c r="QY7" s="42">
        <f>IF($CW7="P",CU7,(CU7+BR7)/2)</f>
        <v>0.4</v>
      </c>
      <c r="QZ7" s="42">
        <f>IF($CW7="P",CV7,(CV7+BS7)/2)</f>
        <v>0</v>
      </c>
      <c r="RA7" s="51" t="s">
        <v>61</v>
      </c>
      <c r="RB7" s="76">
        <f>IF(SUM(QH7,QL7)&gt;0,SUM(QH7,QL7),"")</f>
        <v>5.8</v>
      </c>
      <c r="RC7" s="76">
        <f>IF(SUM(QG7:QH7,QJ7:QL7,QN7)-QI7-QM7&gt;0,SUM(QG7:QH7,QJ7:QL7,QN7)-QI7-QM7,"")</f>
        <v>24.6</v>
      </c>
      <c r="RD7" s="76">
        <f>IF(SUM(QO7:QP7,QR7)-QQ7&gt;0,SUM(QO7:QP7,QR7)-QQ7,"")</f>
        <v>11.499999999999998</v>
      </c>
      <c r="RE7" s="76">
        <f>IF(SUM(QH7,QL7,QP7)&gt;0,SUM(QH7,QL7,QP7),"")</f>
        <v>8.4</v>
      </c>
      <c r="RF7" s="76">
        <f>IF(SUM(RC7,RD7)&gt;0,SUM(RC7,RD7),"")</f>
        <v>36.1</v>
      </c>
      <c r="RG7" s="76">
        <f>IF(SUM(QT7,QX7)&gt;0,SUM(QT7,QX7),"")</f>
        <v>5.8</v>
      </c>
      <c r="RH7" s="76">
        <f>IF(SUM(QS7:QT7,QV7:QX7,QZ7)-SUM(QU7,QY7)&gt;0,SUM(QS7:QT7,QV7:QX7,QZ7)-SUM(QU7,QY7),"")</f>
        <v>24.000000000000004</v>
      </c>
      <c r="RI7" s="76">
        <f>IF(SUM(RC7,RH7)&gt;0,SUM(RC7,RH7),"")</f>
        <v>48.600000000000009</v>
      </c>
    </row>
    <row r="8" spans="1:477" x14ac:dyDescent="0.2">
      <c r="A8" s="5">
        <f>IF(AND(F8="P",G8="P"),SUMPRODUCT((F$4:F$15="P")*(G$4:G$15="P")*(E$4:E$15&gt;E8))+1,IF(G8="P",SUMPRODUCT((F$4:F$15="")*(G$4:G$15="P")*(E$4:E$15&gt;E8))+1+SUMPRODUCT((F$4:F$15="P")*(G$4:G$15="P")),""))</f>
        <v>5</v>
      </c>
      <c r="B8" s="6" t="s">
        <v>81</v>
      </c>
      <c r="C8" s="7" t="s">
        <v>6</v>
      </c>
      <c r="D8" s="18">
        <v>2001</v>
      </c>
      <c r="E8" s="14">
        <f>SUM(J8:T8)+SUM(J8:P8)*0.0000001+SUM(J8)*0.0000000000001</f>
        <v>119.90002723000684</v>
      </c>
      <c r="F8" s="3" t="str">
        <f>IF(OR(AND(AR8&gt;=AY$17,AS8&gt;=AY$21,AR8&lt;&gt;"",AQ8=""),AND(AW8&gt;=AY$17,AX8&gt;=AY$21,AW8&lt;&gt;"",AQ8=""),AND(BU8&gt;=CB$17,BV8&gt;=CB$21,BU8&lt;&gt;"",BT8=""),AND(BZ8&gt;=CB$17,CA8&gt;=CB$21,BZ8&lt;&gt;"",BT8=""),AND(CX8&gt;=DE$17,CY8&gt;=DE$21,CX8&lt;&gt;"",CW8=""),AND(DC8&gt;=DE$17,DD8&gt;=DE$21,DC8&lt;&gt;""),AND(EC8&gt;=EJ$17,ED8&gt;=EJ$21,EC8&lt;&gt;""),AND(EH8&gt;=EJ$17,EI8&gt;=EJ$21,EH8&lt;&gt;""),AND(FE8&gt;=FL$17,FF8&gt;=FL$21,FE8&lt;&gt;""),AND(FJ8&gt;=FL$17,FK8&gt;=FL$21,FJ8&lt;&gt;""),AND(GG8&gt;=GN$17,GH8&gt;=GN$21,GG8&lt;&gt;""),AND(GL8&gt;=GN$17,GM8&gt;=GN$21,GL8&lt;&gt;""),AND(HI8&gt;=HP$17,HJ8&gt;=HP$21,HI8&lt;&gt;""),AND(HN8&gt;=HP$17,HO8&gt;=HP$21,HN8&lt;&gt;""),AND(IK8&gt;=IR$17,IL8&gt;=IR$21,IK8&lt;&gt;""),AND(IP8&gt;=IR$17,IQ8&gt;=IR$21,IP8&lt;&gt;""),AND(JM8&gt;=JT$17,JN8&gt;=JT$21,JM8&lt;&gt;""),AND(JR8&gt;=JT$17,JS8&gt;=JT$21,JR8&lt;&gt;""),AND(KO8&gt;=KV$17,KP8&gt;=KV$21,KO8&lt;&gt;""),AND(KT8&gt;=KV$17,KU8&gt;=KV$21,KT8&lt;&gt;""),AND(LQ8&gt;=LX$17,LR8&gt;=LX$21,LQ8&lt;&gt;""),AND(LV8&gt;=LX$17,LW8&gt;=LX$21,LV8&lt;&gt;""),AND(MS8&gt;=MZ$17,MT8&gt;=MZ$21,MS8&lt;&gt;""),AND(MX8&gt;=MZ$17,MY8&gt;=MZ$21,MX8&lt;&gt;""),AND(NU8&gt;=OB$17,NV8&gt;=OB$21,NU8&lt;&gt;""),AND(NZ8&gt;=OB$17,OA8&gt;=OB$21,NZ8&lt;&gt;""),AND(OW8&gt;=PD$17,OX8&gt;=PD$21,OW8&lt;&gt;""),AND(PB8&gt;=PD$17,PC8&gt;=PD$21,PB8&lt;&gt;""),AND(PY8&gt;=QF$17,PZ8&gt;=QF$21,PY8&lt;&gt;""),AND(QD8&gt;=QF$17,QE8&gt;=QF$21,QD8&lt;&gt;"")),"P","")</f>
        <v>P</v>
      </c>
      <c r="G8" s="3" t="str">
        <f>IF(OR(AND(AS8&gt;=AY$21,AS8&lt;&gt;"",AQ8=""),AND(AX8&gt;=AY$21,AX8&lt;&gt;"",AQ8=""),AND(BV8&gt;=CB$21,BV8&lt;&gt;"",BT8=""),AND(CA8&gt;=CB$21,CA8&lt;&gt;"",BT8=""),AND(CY8&gt;=DE$21,CY8&lt;&gt;"",CW8=""),AND(DD8&gt;=DE$21,DD8&lt;&gt;"",CW8=""),AND(ED8&gt;=EJ$21,ED8&lt;&gt;""),AND(EI8&gt;=EJ$21,EI8&lt;&gt;""),AND(FF8&gt;=FL$21,FF8&lt;&gt;""),AND(FK8&gt;=FL$21,FK8&lt;&gt;""),AND(GH8&gt;=GN$21,GH8&lt;&gt;""),AND(GM8&gt;=GN$21,GM8&lt;&gt;""),AND(HJ8&gt;=HP$21,HJ8&lt;&gt;""),AND(HO8&gt;=HP$21,HO8&lt;&gt;""),AND(IL8&gt;=IR$21,IL8&lt;&gt;""),AND(IQ8&gt;=IR$21,IQ8&lt;&gt;""),AND(JN8&gt;=JT$21,JN8&lt;&gt;""),AND(JS8&gt;=JT$21,JS8&lt;&gt;""),AND(KP8&gt;=KV$21,KP8&lt;&gt;""),AND(KU8&gt;=KV$21,KU8&lt;&gt;""),AND(LR8&gt;=LX$21,LR8&lt;&gt;""),AND(LW8&gt;=LX$21,LW8&lt;&gt;""),AND(MT8&gt;=MZ$21,MT8&lt;&gt;""),AND(MY8&gt;=MZ$21,MY8&lt;&gt;""),AND(NV8&gt;=OB$21,NV8&lt;&gt;""),AND(OA8&gt;=OB$21,OA8&lt;&gt;""),AND(OX8&gt;=PD$21,OX8&lt;&gt;""),AND(PC8&gt;=PD$21,PC8&lt;&gt;""),AND(PZ8&gt;=QF$21,PZ8&lt;&gt;""),AND(QE8&gt;=QF$21,QE8&lt;&gt;"")),"P","")</f>
        <v>P</v>
      </c>
      <c r="H8" s="70" t="str">
        <f>IF(AND(G8="P",F8=""),"No DD",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Merit",IF(OR(AND(AU8&gt;=AY$19,AV8&gt;=AY$23,AU8&lt;&gt;"",AQ8=""),AND(BX8&gt;=CB$19,BY8&gt;=CB$23,BX8&lt;&gt;"",BT8=""),AND(DA8&gt;=DE$19,DB8&gt;=DE$23,DA8&lt;&gt;"",CW8=""),AND(EF8&gt;=EJ$19,EG8&gt;=EJ$23,EF8&lt;&gt;""),AND(FH8&gt;=FL$19,FI8&gt;=FL$23,FH8&lt;&gt;""),AND(GJ8&gt;=GN$19,GK8&gt;=GN$23,GJ8&lt;&gt;""),AND(HL8&gt;=HP$19,HM8&gt;=HP$23,HL8&lt;&gt;""),AND(IN8&gt;=IR$19,IO8&gt;=IR$23,IN8&lt;&gt;""),AND(JP8&gt;=JT$19,JQ8&gt;=JT$23,JP8&lt;&gt;""),AND(KR8&gt;=KV$19,KS8&gt;=KV$23,KR8&lt;&gt;""),AND(LT8&gt;=LX$19,LU8&gt;=LX$23,LT8&lt;&gt;""),AND(MV8&gt;=MZ$19,MW8&gt;=MZ$23,MV8&lt;&gt;""),AND(NX8&gt;=OB$19,NY8&gt;=OB$23,NX8&lt;&gt;""),AND(OZ8&gt;=PD$19,PA8&gt;=PD$23,OZ8&lt;&gt;""),AND(QB8&gt;=QF$19,QC8&gt;=QF$23,QB8&lt;&gt;"")),"Excellence",IF(I8="P","Worlds Team",IF(F8="P","National Team","")))))</f>
        <v>Worlds Team</v>
      </c>
      <c r="I8" s="3" t="str">
        <f>IF(OR(AND(AU8&gt;=AY$18,AV8&gt;=AY$22,AU8&lt;&gt;"",AQ8=""),AND(BX8&gt;=CB$18,BY8&gt;=CB$22,BX8&lt;&gt;"",BT8=""),AND(DA8&gt;=DE$18,DB8&gt;=DE$22,DA8&lt;&gt;"",CW8=""),AND(EF8&gt;=EJ$18,EG8&gt;=EJ$22,EF8&lt;&gt;""),AND(FH8&gt;=FL$18,FI8&gt;=FL$22,FH8&lt;&gt;""),AND(GJ8&gt;=GN$18,GK8&gt;=GN$22,GJ8&lt;&gt;""),AND(HL8&gt;=HP$18,HM8&gt;=HP$22,HL8&lt;&gt;""),AND(IN8&gt;=IR$18,IO8&gt;=IR$22,IN8&lt;&gt;""),AND(JP8&gt;=JT$18,JQ8&gt;=JT$22,JP8&lt;&gt;""),AND(KR8&gt;=KV$18,KS8&gt;=KV$22,KR8&lt;&gt;""),AND(LT8&gt;=LX$18,LU8&gt;=LX$22,LT8&lt;&gt;""),AND(MV8&gt;=MZ$18,MW8&gt;=MZ$22,MV8&lt;&gt;""),AND(NX8&gt;=OB$18,NY8&gt;=OB$22,NX8&lt;&gt;""),AND(OZ8&gt;=PD$18,PA8&gt;=PD$22,OZ8&lt;&gt;""),AND(QB8&gt;=QF$18,QC8&gt;=QF$22,QB8&lt;&gt;"")),"P","")</f>
        <v>P</v>
      </c>
      <c r="J8" s="13">
        <f>IF(COUNT(AS8,BV8,CY8)&gt;0,LARGE((AS8,BV8,CY8),1),0)</f>
        <v>48.5</v>
      </c>
      <c r="K8" s="13" t="str">
        <f>IF(J8=0,"",IF(J8=CY8,$CC$1,IF(J8=BV8,$AZ$1,IF(J8=AS8,$W$1,""))))</f>
        <v>2022 Elite Canada</v>
      </c>
      <c r="L8" s="13">
        <f>IF(COUNT(AS8,BV8,CY8)&gt;1,LARGE((AS8,BV8,CY8),2),0)</f>
        <v>2.0000000000000002E-5</v>
      </c>
      <c r="M8" s="13" t="str">
        <f>IF(L8=0,"",IF(L8=CY8,$CC$1,IF(L8=BV8,$AZ$1,IF(L8=AS8,$W$1,""))))</f>
        <v>2021 Canadian Championships</v>
      </c>
      <c r="N8" s="13">
        <f>IF(COUNT(AT8,BW8,CZ8)&gt;0,LARGE((AT8,BW8,CZ8),1),0)</f>
        <v>23.8</v>
      </c>
      <c r="O8" s="13" t="str">
        <f>IF(N8=0,"",IF(N8=CZ8,$CC$1,IF(N8=BW8,$AZ$1,IF(N8=AT8,$W$1,""))))</f>
        <v>2022 Elite Canada</v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47.5</v>
      </c>
      <c r="S8" s="13" t="str">
        <f>IF(R8=0,"",IF(R8=DD8,$CC$1,IF(R8=CA8,$AZ$1,IF(R8=AX8,$W$1,""))))</f>
        <v>2022 Elite Canada</v>
      </c>
      <c r="T8" s="13">
        <f>IF(MAX(DF8:DH8)&gt;0,MAX(DF8:DH8),"")</f>
        <v>9.9999999999994316E-2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>
        <v>1.0000000000000001E-5</v>
      </c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>
        <f>IF(SUM(X8,AB8)&gt;0,SUM(X8,AB8),"")</f>
        <v>1.0000000000000001E-5</v>
      </c>
      <c r="AS8" s="76">
        <f>IF(SUM(W8:X8,Z8:AB8,AD8)-Y8-AC8&gt;0,SUM(W8:X8,Z8:AB8,AD8)-Y8-AC8,"")</f>
        <v>1.0000000000000001E-5</v>
      </c>
      <c r="AT8" s="76" t="str">
        <f>IF(SUM(AE8:AF8,AH8)-AG8&gt;0,SUM(AE8:AF8,AH8)-AG8,"")</f>
        <v/>
      </c>
      <c r="AU8" s="76">
        <f>IF(SUM(X8,AB8,AF8)&gt;0,SUM(X8,AB8,AF8),"")</f>
        <v>1.0000000000000001E-5</v>
      </c>
      <c r="AV8" s="76">
        <f>IF(SUM(AS8,AT8)&gt;0,SUM(AS8,AT8),"")</f>
        <v>1.0000000000000001E-5</v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>
        <f>IF(SUM(AS8,AX8)&gt;0,SUM(AS8,AX8),"")</f>
        <v>1.0000000000000001E-5</v>
      </c>
      <c r="AZ8" s="26"/>
      <c r="BA8" s="26">
        <v>2.0000000000000002E-5</v>
      </c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>
        <f>IF(SUM(BA8,BE8)&gt;0,SUM(BA8,BE8),"")</f>
        <v>2.0000000000000002E-5</v>
      </c>
      <c r="BV8" s="16">
        <f>IF(SUM(AZ8:BA8,BC8:BE8,BG8)-BB8-BF8&gt;0,SUM(AZ8:BA8,BC8:BE8,BG8)-BB8-BF8,"")</f>
        <v>2.0000000000000002E-5</v>
      </c>
      <c r="BW8" s="16" t="str">
        <f>IF(SUM(BH8:BI8,BK8)-BJ8&gt;0,SUM(BH8:BI8,BK8)-BJ8,"")</f>
        <v/>
      </c>
      <c r="BX8" s="16">
        <f>IF(SUM(BA8,BE8,BI8)&gt;0,SUM(BA8,BE8,BI8),"")</f>
        <v>2.0000000000000002E-5</v>
      </c>
      <c r="BY8" s="16">
        <f>IF(SUM(BV8,BW8)&gt;0,SUM(BV8,BW8),"")</f>
        <v>2.0000000000000002E-5</v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>
        <f>IF(SUM(BV8,CA8)&gt;0,SUM(BV8,CA8),"")</f>
        <v>2.0000000000000002E-5</v>
      </c>
      <c r="CC8" s="27">
        <v>18.600000000000001</v>
      </c>
      <c r="CD8" s="27">
        <v>5.6</v>
      </c>
      <c r="CE8" s="27">
        <v>0.2</v>
      </c>
      <c r="CF8" s="27">
        <v>0</v>
      </c>
      <c r="CG8" s="27">
        <v>18.5</v>
      </c>
      <c r="CH8" s="27">
        <v>6</v>
      </c>
      <c r="CI8" s="27">
        <v>0</v>
      </c>
      <c r="CJ8" s="27">
        <v>0</v>
      </c>
      <c r="CK8" s="27">
        <v>19</v>
      </c>
      <c r="CL8" s="27">
        <v>4.8</v>
      </c>
      <c r="CM8" s="27">
        <v>0</v>
      </c>
      <c r="CN8" s="27">
        <v>0</v>
      </c>
      <c r="CO8" s="27">
        <v>18.3</v>
      </c>
      <c r="CP8" s="27">
        <v>5.6</v>
      </c>
      <c r="CQ8" s="27">
        <v>0.2</v>
      </c>
      <c r="CR8" s="27">
        <v>0</v>
      </c>
      <c r="CS8" s="27">
        <v>18</v>
      </c>
      <c r="CT8" s="27">
        <v>6</v>
      </c>
      <c r="CU8" s="27">
        <v>0.2</v>
      </c>
      <c r="CV8" s="27">
        <v>0</v>
      </c>
      <c r="CW8" s="51"/>
      <c r="CX8" s="76">
        <f>IF(SUM(CD8,CH8)&gt;0,SUM(CD8,CH8),"")</f>
        <v>11.6</v>
      </c>
      <c r="CY8" s="76">
        <f>IF(SUM(CC8:CD8,CF8:CH8,CJ8)-CE8-CI8&gt;0,SUM(CC8:CD8,CF8:CH8,CJ8)-CE8-CI8,"")</f>
        <v>48.5</v>
      </c>
      <c r="CZ8" s="76">
        <f>IF(SUM(CK8:CL8,CN8)-CM8&gt;0,SUM(CK8:CL8,CN8)-CM8,"")</f>
        <v>23.8</v>
      </c>
      <c r="DA8" s="76">
        <f>IF(SUM(CD8,CH8,CL8)&gt;0,SUM(CD8,CH8,CL8),"")</f>
        <v>16.399999999999999</v>
      </c>
      <c r="DB8" s="76">
        <f>IF(SUM(CY8,CZ8)&gt;0,SUM(CY8,CZ8),"")</f>
        <v>72.3</v>
      </c>
      <c r="DC8" s="76">
        <f>IF(SUM(CP8,CT8)&gt;0,SUM(CP8,CT8),"")</f>
        <v>11.6</v>
      </c>
      <c r="DD8" s="76">
        <f>IF(SUM(CO8:CP8,CR8:CT8,CV8)-SUM(CQ8,CU8)&gt;0,SUM(CO8:CP8,CR8:CT8,CV8)-SUM(CQ8,CU8),"")</f>
        <v>47.5</v>
      </c>
      <c r="DE8" s="76">
        <f>IF(SUM(CY8,DD8)&gt;0,SUM(CY8,DD8),"")</f>
        <v>96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9.9999999999994316E-2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5.6</v>
      </c>
      <c r="EM8" s="26">
        <v>0</v>
      </c>
      <c r="EN8" s="26">
        <v>0</v>
      </c>
      <c r="EO8" s="26">
        <v>18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</v>
      </c>
      <c r="EX8" s="26">
        <v>5.6</v>
      </c>
      <c r="EY8" s="26">
        <v>0.2</v>
      </c>
      <c r="EZ8" s="26">
        <v>0</v>
      </c>
      <c r="FA8" s="26">
        <v>18.2</v>
      </c>
      <c r="FB8" s="26">
        <v>6</v>
      </c>
      <c r="FC8" s="26">
        <v>0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47.6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47.6</v>
      </c>
      <c r="FJ8" s="16">
        <f>IF(SUM(EX8,FB8)&gt;0,SUM(EX8,FB8),"")</f>
        <v>11.6</v>
      </c>
      <c r="FK8" s="16">
        <f>IF(SUM(EW8:EX8,EZ8:FB8,FD8)-SUM(EY8,FC8)&gt;0,SUM(EW8:EX8,EZ8:FB8,FD8)-SUM(EY8,FC8),"")</f>
        <v>47.599999999999994</v>
      </c>
      <c r="FL8" s="16">
        <f>IF(SUM(FF8,FK8)&gt;0,SUM(FF8,FK8),"")</f>
        <v>95.199999999999989</v>
      </c>
      <c r="FM8" s="25">
        <v>18.600000000000001</v>
      </c>
      <c r="FN8" s="25">
        <v>5.6</v>
      </c>
      <c r="FO8" s="25">
        <v>0</v>
      </c>
      <c r="FP8" s="25">
        <v>0</v>
      </c>
      <c r="FQ8" s="25">
        <v>18.2</v>
      </c>
      <c r="FR8" s="25">
        <v>5.6</v>
      </c>
      <c r="FS8" s="25">
        <v>0.6</v>
      </c>
      <c r="FT8" s="25">
        <v>0</v>
      </c>
      <c r="FU8" s="25"/>
      <c r="FV8" s="25"/>
      <c r="FW8" s="25"/>
      <c r="FX8" s="25"/>
      <c r="FY8" s="25">
        <v>18.100000000000001</v>
      </c>
      <c r="FZ8" s="25">
        <v>4.8</v>
      </c>
      <c r="GA8" s="25">
        <v>0.6</v>
      </c>
      <c r="GB8" s="25">
        <v>0</v>
      </c>
      <c r="GC8" s="25">
        <v>16.600000000000001</v>
      </c>
      <c r="GD8" s="25">
        <v>6</v>
      </c>
      <c r="GE8" s="25">
        <v>0.2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47.400000000000006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47.400000000000006</v>
      </c>
      <c r="GL8" s="76">
        <f>IF(SUM(FZ8,GD8)&gt;0,SUM(FZ8,GD8),"")</f>
        <v>10.8</v>
      </c>
      <c r="GM8" s="76">
        <f>IF(SUM(FY8:FZ8,GB8:GD8,GF8)-SUM(GA8,GE8)&gt;0,SUM(FY8:FZ8,GB8:GD8,GF8)-SUM(GA8,GE8),"")</f>
        <v>44.7</v>
      </c>
      <c r="GN8" s="76">
        <f>IF(SUM(GH8,GM8)&gt;0,SUM(GH8,GM8),"")</f>
        <v>92.100000000000009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9.3000000000000007</v>
      </c>
      <c r="QH8" s="42">
        <f>IF($CW8="P",CD8,(CD8+BA8)/2)</f>
        <v>2.8000099999999999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9.25</v>
      </c>
      <c r="QL8" s="42">
        <f>IF($CW8="P",CH8,(CH8+BE8)/2)</f>
        <v>3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9.5</v>
      </c>
      <c r="QP8" s="42">
        <f>IF($CW8="P",CL8,(CL8+BI8)/2)</f>
        <v>2.4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9.15</v>
      </c>
      <c r="QT8" s="42">
        <f>IF($CW8="P",CP8,(CP8+BM8)/2)</f>
        <v>2.8</v>
      </c>
      <c r="QU8" s="42">
        <f>IF($CW8="P",CQ8,(CQ8+BN8)/2)</f>
        <v>0.1</v>
      </c>
      <c r="QV8" s="42">
        <f>IF($CW8="P",CR8,(CR8+BO8)/2)</f>
        <v>0</v>
      </c>
      <c r="QW8" s="42">
        <f>IF($CW8="P",CS8,(CS8+BP8)/2)</f>
        <v>9</v>
      </c>
      <c r="QX8" s="42">
        <f>IF($CW8="P",CT8,(CT8+BQ8)/2)</f>
        <v>3</v>
      </c>
      <c r="QY8" s="42">
        <f>IF($CW8="P",CU8,(CU8+BR8)/2)</f>
        <v>0.1</v>
      </c>
      <c r="QZ8" s="42">
        <f>IF($CW8="P",CV8,(CV8+BS8)/2)</f>
        <v>0</v>
      </c>
      <c r="RA8" s="51" t="s">
        <v>61</v>
      </c>
      <c r="RB8" s="76">
        <f>IF(SUM(QH8,QL8)&gt;0,SUM(QH8,QL8),"")</f>
        <v>5.8000100000000003</v>
      </c>
      <c r="RC8" s="76">
        <f>IF(SUM(QG8:QH8,QJ8:QL8,QN8)-QI8-QM8&gt;0,SUM(QG8:QH8,QJ8:QL8,QN8)-QI8-QM8,"")</f>
        <v>24.25001</v>
      </c>
      <c r="RD8" s="76">
        <f>IF(SUM(QO8:QP8,QR8)-QQ8&gt;0,SUM(QO8:QP8,QR8)-QQ8,"")</f>
        <v>11.9</v>
      </c>
      <c r="RE8" s="76">
        <f>IF(SUM(QH8,QL8,QP8)&gt;0,SUM(QH8,QL8,QP8),"")</f>
        <v>8.2000100000000007</v>
      </c>
      <c r="RF8" s="76">
        <f>IF(SUM(RC8,RD8)&gt;0,SUM(RC8,RD8),"")</f>
        <v>36.150010000000002</v>
      </c>
      <c r="RG8" s="76">
        <f>IF(SUM(QT8,QX8)&gt;0,SUM(QT8,QX8),"")</f>
        <v>5.8</v>
      </c>
      <c r="RH8" s="76">
        <f>IF(SUM(QS8:QT8,QV8:QX8,QZ8)-SUM(QU8,QY8)&gt;0,SUM(QS8:QT8,QV8:QX8,QZ8)-SUM(QU8,QY8),"")</f>
        <v>23.75</v>
      </c>
      <c r="RI8" s="76">
        <f>IF(SUM(RC8,RH8)&gt;0,SUM(RC8,RH8),"")</f>
        <v>48.000010000000003</v>
      </c>
    </row>
    <row r="9" spans="1:477" x14ac:dyDescent="0.2">
      <c r="A9" s="5">
        <f>IF(AND(F9="P",G9="P"),SUMPRODUCT((F$4:F$15="P")*(G$4:G$15="P")*(E$4:E$15&gt;E9))+1,IF(G9="P",SUMPRODUCT((F$4:F$15="")*(G$4:G$15="P")*(E$4:E$15&gt;E9))+1+SUMPRODUCT((F$4:F$15="P")*(G$4:G$15="P")),""))</f>
        <v>6</v>
      </c>
      <c r="B9" s="6" t="s">
        <v>113</v>
      </c>
      <c r="C9" s="7" t="s">
        <v>5</v>
      </c>
      <c r="D9" s="18">
        <v>1999</v>
      </c>
      <c r="E9" s="14">
        <f>SUM(J9:T9)+SUM(J9:P9)*0.0000001+SUM(J9)*0.0000000000001</f>
        <v>117.6000068800045</v>
      </c>
      <c r="F9" s="3" t="str">
        <f>IF(OR(AND(AR9&gt;=AY$17,AS9&gt;=AY$21,AR9&lt;&gt;"",AQ9=""),AND(AW9&gt;=AY$17,AX9&gt;=AY$21,AW9&lt;&gt;"",AQ9=""),AND(BU9&gt;=CB$17,BV9&gt;=CB$21,BU9&lt;&gt;"",BT9=""),AND(BZ9&gt;=CB$17,CA9&gt;=CB$21,BZ9&lt;&gt;"",BT9=""),AND(CX9&gt;=DE$17,CY9&gt;=DE$21,CX9&lt;&gt;"",CW9=""),AND(DC9&gt;=DE$17,DD9&gt;=DE$21,DC9&lt;&gt;""),AND(EC9&gt;=EJ$17,ED9&gt;=EJ$21,EC9&lt;&gt;""),AND(EH9&gt;=EJ$17,EI9&gt;=EJ$21,EH9&lt;&gt;""),AND(FE9&gt;=FL$17,FF9&gt;=FL$21,FE9&lt;&gt;""),AND(FJ9&gt;=FL$17,FK9&gt;=FL$21,FJ9&lt;&gt;""),AND(GG9&gt;=GN$17,GH9&gt;=GN$21,GG9&lt;&gt;""),AND(GL9&gt;=GN$17,GM9&gt;=GN$21,GL9&lt;&gt;""),AND(HI9&gt;=HP$17,HJ9&gt;=HP$21,HI9&lt;&gt;""),AND(HN9&gt;=HP$17,HO9&gt;=HP$21,HN9&lt;&gt;""),AND(IK9&gt;=IR$17,IL9&gt;=IR$21,IK9&lt;&gt;""),AND(IP9&gt;=IR$17,IQ9&gt;=IR$21,IP9&lt;&gt;""),AND(JM9&gt;=JT$17,JN9&gt;=JT$21,JM9&lt;&gt;""),AND(JR9&gt;=JT$17,JS9&gt;=JT$21,JR9&lt;&gt;""),AND(KO9&gt;=KV$17,KP9&gt;=KV$21,KO9&lt;&gt;""),AND(KT9&gt;=KV$17,KU9&gt;=KV$21,KT9&lt;&gt;""),AND(LQ9&gt;=LX$17,LR9&gt;=LX$21,LQ9&lt;&gt;""),AND(LV9&gt;=LX$17,LW9&gt;=LX$21,LV9&lt;&gt;""),AND(MS9&gt;=MZ$17,MT9&gt;=MZ$21,MS9&lt;&gt;""),AND(MX9&gt;=MZ$17,MY9&gt;=MZ$21,MX9&lt;&gt;""),AND(NU9&gt;=OB$17,NV9&gt;=OB$21,NU9&lt;&gt;""),AND(NZ9&gt;=OB$17,OA9&gt;=OB$21,NZ9&lt;&gt;""),AND(OW9&gt;=PD$17,OX9&gt;=PD$21,OW9&lt;&gt;""),AND(PB9&gt;=PD$17,PC9&gt;=PD$21,PB9&lt;&gt;""),AND(PY9&gt;=QF$17,PZ9&gt;=QF$21,PY9&lt;&gt;""),AND(QD9&gt;=QF$17,QE9&gt;=QF$21,QD9&lt;&gt;"")),"P","")</f>
        <v>P</v>
      </c>
      <c r="G9" s="3" t="str">
        <f>IF(OR(AND(AS9&gt;=AY$21,AS9&lt;&gt;"",AQ9=""),AND(AX9&gt;=AY$21,AX9&lt;&gt;"",AQ9=""),AND(BV9&gt;=CB$21,BV9&lt;&gt;"",BT9=""),AND(CA9&gt;=CB$21,CA9&lt;&gt;"",BT9=""),AND(CY9&gt;=DE$21,CY9&lt;&gt;"",CW9=""),AND(DD9&gt;=DE$21,DD9&lt;&gt;"",CW9=""),AND(ED9&gt;=EJ$21,ED9&lt;&gt;""),AND(EI9&gt;=EJ$21,EI9&lt;&gt;""),AND(FF9&gt;=FL$21,FF9&lt;&gt;""),AND(FK9&gt;=FL$21,FK9&lt;&gt;""),AND(GH9&gt;=GN$21,GH9&lt;&gt;""),AND(GM9&gt;=GN$21,GM9&lt;&gt;""),AND(HJ9&gt;=HP$21,HJ9&lt;&gt;""),AND(HO9&gt;=HP$21,HO9&lt;&gt;""),AND(IL9&gt;=IR$21,IL9&lt;&gt;""),AND(IQ9&gt;=IR$21,IQ9&lt;&gt;""),AND(JN9&gt;=JT$21,JN9&lt;&gt;""),AND(JS9&gt;=JT$21,JS9&lt;&gt;""),AND(KP9&gt;=KV$21,KP9&lt;&gt;""),AND(KU9&gt;=KV$21,KU9&lt;&gt;""),AND(LR9&gt;=LX$21,LR9&lt;&gt;""),AND(LW9&gt;=LX$21,LW9&lt;&gt;""),AND(MT9&gt;=MZ$21,MT9&lt;&gt;""),AND(MY9&gt;=MZ$21,MY9&lt;&gt;""),AND(NV9&gt;=OB$21,NV9&lt;&gt;""),AND(OA9&gt;=OB$21,OA9&lt;&gt;""),AND(OX9&gt;=PD$21,OX9&lt;&gt;""),AND(PC9&gt;=PD$21,PC9&lt;&gt;""),AND(PZ9&gt;=QF$21,PZ9&lt;&gt;""),AND(QE9&gt;=QF$21,QE9&lt;&gt;"")),"P","")</f>
        <v>P</v>
      </c>
      <c r="H9" s="70" t="str">
        <f>IF(AND(G9="P",F9=""),"No DD",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Merit",IF(OR(AND(AU9&gt;=AY$19,AV9&gt;=AY$23,AU9&lt;&gt;"",AQ9=""),AND(BX9&gt;=CB$19,BY9&gt;=CB$23,BX9&lt;&gt;"",BT9=""),AND(DA9&gt;=DE$19,DB9&gt;=DE$23,DA9&lt;&gt;"",CW9=""),AND(EF9&gt;=EJ$19,EG9&gt;=EJ$23,EF9&lt;&gt;""),AND(FH9&gt;=FL$19,FI9&gt;=FL$23,FH9&lt;&gt;""),AND(GJ9&gt;=GN$19,GK9&gt;=GN$23,GJ9&lt;&gt;""),AND(HL9&gt;=HP$19,HM9&gt;=HP$23,HL9&lt;&gt;""),AND(IN9&gt;=IR$19,IO9&gt;=IR$23,IN9&lt;&gt;""),AND(JP9&gt;=JT$19,JQ9&gt;=JT$23,JP9&lt;&gt;""),AND(KR9&gt;=KV$19,KS9&gt;=KV$23,KR9&lt;&gt;""),AND(LT9&gt;=LX$19,LU9&gt;=LX$23,LT9&lt;&gt;""),AND(MV9&gt;=MZ$19,MW9&gt;=MZ$23,MV9&lt;&gt;""),AND(NX9&gt;=OB$19,NY9&gt;=OB$23,NX9&lt;&gt;""),AND(OZ9&gt;=PD$19,PA9&gt;=PD$23,OZ9&lt;&gt;""),AND(QB9&gt;=QF$19,QC9&gt;=QF$23,QB9&lt;&gt;"")),"Excellence",IF(I9="P","Worlds Team",IF(F9="P","National Team","")))))</f>
        <v>National Team</v>
      </c>
      <c r="I9" s="3" t="str">
        <f>IF(OR(AND(AU9&gt;=AY$18,AV9&gt;=AY$22,AU9&lt;&gt;"",AQ9=""),AND(BX9&gt;=CB$18,BY9&gt;=CB$22,BX9&lt;&gt;"",BT9=""),AND(DA9&gt;=DE$18,DB9&gt;=DE$22,DA9&lt;&gt;"",CW9=""),AND(EF9&gt;=EJ$18,EG9&gt;=EJ$22,EF9&lt;&gt;""),AND(FH9&gt;=FL$18,FI9&gt;=FL$22,FH9&lt;&gt;""),AND(GJ9&gt;=GN$18,GK9&gt;=GN$22,GJ9&lt;&gt;""),AND(HL9&gt;=HP$18,HM9&gt;=HP$22,HL9&lt;&gt;""),AND(IN9&gt;=IR$18,IO9&gt;=IR$22,IN9&lt;&gt;""),AND(JP9&gt;=JT$18,JQ9&gt;=JT$22,JP9&lt;&gt;""),AND(KR9&gt;=KV$18,KS9&gt;=KV$22,KR9&lt;&gt;""),AND(LT9&gt;=LX$18,LU9&gt;=LX$22,LT9&lt;&gt;""),AND(MV9&gt;=MZ$18,MW9&gt;=MZ$22,MV9&lt;&gt;""),AND(NX9&gt;=OB$18,NY9&gt;=OB$22,NX9&lt;&gt;""),AND(OZ9&gt;=PD$18,PA9&gt;=PD$22,OZ9&lt;&gt;""),AND(QB9&gt;=QF$18,QC9&gt;=QF$22,QB9&lt;&gt;"")),"P","")</f>
        <v/>
      </c>
      <c r="J9" s="13">
        <f>IF(COUNT(AS9,BV9,CY9)&gt;0,LARGE((AS9,BV9,CY9),1),0)</f>
        <v>45.099999999999994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23.7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48.8</v>
      </c>
      <c r="S9" s="13" t="str">
        <f>IF(R9=0,"",IF(R9=DD9,$CC$1,IF(R9=CA9,$AZ$1,IF(R9=AX9,$W$1,""))))</f>
        <v>2022 Elite Canada</v>
      </c>
      <c r="T9" s="13" t="str">
        <f>IF(MAX(DF9:DH9)&gt;0,MAX(DF9:DH9),"")</f>
        <v/>
      </c>
      <c r="U9" s="16" t="str">
        <f>IF(T9="","",IF(T9=DF9,"("&amp;DF$2&amp;")",IF(T9=DH9,"("&amp;DH$2&amp;")")))</f>
        <v/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/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18.7</v>
      </c>
      <c r="CD9" s="27">
        <v>5.6</v>
      </c>
      <c r="CE9" s="27">
        <v>0</v>
      </c>
      <c r="CF9" s="27">
        <v>0</v>
      </c>
      <c r="CG9" s="27">
        <v>18.600000000000001</v>
      </c>
      <c r="CH9" s="27">
        <v>3.3</v>
      </c>
      <c r="CI9" s="27">
        <v>1.1000000000000001</v>
      </c>
      <c r="CJ9" s="27">
        <v>0</v>
      </c>
      <c r="CK9" s="27">
        <v>19.100000000000001</v>
      </c>
      <c r="CL9" s="27">
        <v>5.2</v>
      </c>
      <c r="CM9" s="27">
        <v>0.6</v>
      </c>
      <c r="CN9" s="27">
        <v>0</v>
      </c>
      <c r="CO9" s="27">
        <v>18.7</v>
      </c>
      <c r="CP9" s="27">
        <v>5.6</v>
      </c>
      <c r="CQ9" s="27">
        <v>0</v>
      </c>
      <c r="CR9" s="27">
        <v>0</v>
      </c>
      <c r="CS9" s="27">
        <v>18.899999999999999</v>
      </c>
      <c r="CT9" s="27">
        <v>5.6</v>
      </c>
      <c r="CU9" s="27">
        <v>0</v>
      </c>
      <c r="CV9" s="27">
        <v>0</v>
      </c>
      <c r="CW9" s="51"/>
      <c r="CX9" s="76">
        <f>IF(SUM(CD9,CH9)&gt;0,SUM(CD9,CH9),"")</f>
        <v>8.8999999999999986</v>
      </c>
      <c r="CY9" s="76">
        <f>IF(SUM(CC9:CD9,CF9:CH9,CJ9)-CE9-CI9&gt;0,SUM(CC9:CD9,CF9:CH9,CJ9)-CE9-CI9,"")</f>
        <v>45.099999999999994</v>
      </c>
      <c r="CZ9" s="76">
        <f>IF(SUM(CK9:CL9,CN9)-CM9&gt;0,SUM(CK9:CL9,CN9)-CM9,"")</f>
        <v>23.7</v>
      </c>
      <c r="DA9" s="76">
        <f>IF(SUM(CD9,CH9,CL9)&gt;0,SUM(CD9,CH9,CL9),"")</f>
        <v>14.099999999999998</v>
      </c>
      <c r="DB9" s="76">
        <f>IF(SUM(CY9,CZ9)&gt;0,SUM(CY9,CZ9),"")</f>
        <v>68.8</v>
      </c>
      <c r="DC9" s="76">
        <f>IF(SUM(CP9,CT9)&gt;0,SUM(CP9,CT9),"")</f>
        <v>11.2</v>
      </c>
      <c r="DD9" s="76">
        <f>IF(SUM(CO9:CP9,CR9:CT9,CV9)-SUM(CQ9,CU9)&gt;0,SUM(CO9:CP9,CR9:CT9,CV9)-SUM(CQ9,CU9),"")</f>
        <v>48.8</v>
      </c>
      <c r="DE9" s="76">
        <f>IF(SUM(CY9,DD9)&gt;0,SUM(CY9,DD9),"")</f>
        <v>93.899999999999991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9.35</v>
      </c>
      <c r="QH9" s="42">
        <f>IF($CW9="P",CD9,(CD9+BA9)/2)</f>
        <v>2.8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9.3000000000000007</v>
      </c>
      <c r="QL9" s="42">
        <f>IF($CW9="P",CH9,(CH9+BE9)/2)</f>
        <v>1.65</v>
      </c>
      <c r="QM9" s="42">
        <f>IF($CW9="P",CI9,(CI9+BF9)/2)</f>
        <v>0.55000000000000004</v>
      </c>
      <c r="QN9" s="42">
        <f>IF($CW9="P",CJ9,(CJ9+BG9)/2)</f>
        <v>0</v>
      </c>
      <c r="QO9" s="42">
        <f>IF($CW9="P",CK9,(CK9+BH9)/2)</f>
        <v>9.5500000000000007</v>
      </c>
      <c r="QP9" s="42">
        <f>IF($CW9="P",CL9,(CL9+BI9)/2)</f>
        <v>2.6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9.35</v>
      </c>
      <c r="QT9" s="42">
        <f>IF($CW9="P",CP9,(CP9+BM9)/2)</f>
        <v>2.8</v>
      </c>
      <c r="QU9" s="42">
        <f>IF($CW9="P",CQ9,(CQ9+BN9)/2)</f>
        <v>0</v>
      </c>
      <c r="QV9" s="42">
        <f>IF($CW9="P",CR9,(CR9+BO9)/2)</f>
        <v>0</v>
      </c>
      <c r="QW9" s="42">
        <f>IF($CW9="P",CS9,(CS9+BP9)/2)</f>
        <v>9.4499999999999993</v>
      </c>
      <c r="QX9" s="42">
        <f>IF($CW9="P",CT9,(CT9+BQ9)/2)</f>
        <v>2.8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4.4499999999999993</v>
      </c>
      <c r="RC9" s="76">
        <f>IF(SUM(QG9:QH9,QJ9:QL9,QN9)-QI9-QM9&gt;0,SUM(QG9:QH9,QJ9:QL9,QN9)-QI9-QM9,"")</f>
        <v>22.549999999999997</v>
      </c>
      <c r="RD9" s="76">
        <f>IF(SUM(QO9:QP9,QR9)-QQ9&gt;0,SUM(QO9:QP9,QR9)-QQ9,"")</f>
        <v>11.85</v>
      </c>
      <c r="RE9" s="76">
        <f>IF(SUM(QH9,QL9,QP9)&gt;0,SUM(QH9,QL9,QP9),"")</f>
        <v>7.0499999999999989</v>
      </c>
      <c r="RF9" s="76">
        <f>IF(SUM(RC9,RD9)&gt;0,SUM(RC9,RD9),"")</f>
        <v>34.4</v>
      </c>
      <c r="RG9" s="76">
        <f>IF(SUM(QT9,QX9)&gt;0,SUM(QT9,QX9),"")</f>
        <v>5.6</v>
      </c>
      <c r="RH9" s="76">
        <f>IF(SUM(QS9:QT9,QV9:QX9,QZ9)-SUM(QU9,QY9)&gt;0,SUM(QS9:QT9,QV9:QX9,QZ9)-SUM(QU9,QY9),"")</f>
        <v>24.4</v>
      </c>
      <c r="RI9" s="76">
        <f>IF(SUM(RC9,RH9)&gt;0,SUM(RC9,RH9),"")</f>
        <v>46.949999999999996</v>
      </c>
    </row>
    <row r="10" spans="1:477" x14ac:dyDescent="0.2">
      <c r="A10" s="5">
        <f>IF(AND(F10="P",G10="P"),SUMPRODUCT((F$4:F$15="P")*(G$4:G$15="P")*(E$4:E$15&gt;E10))+1,IF(G10="P",SUMPRODUCT((F$4:F$15="")*(G$4:G$15="P")*(E$4:E$15&gt;E10))+1+SUMPRODUCT((F$4:F$15="P")*(G$4:G$15="P")),""))</f>
        <v>7</v>
      </c>
      <c r="B10" s="6" t="s">
        <v>100</v>
      </c>
      <c r="C10" s="7" t="s">
        <v>6</v>
      </c>
      <c r="D10" s="18">
        <v>2003</v>
      </c>
      <c r="E10" s="14">
        <f>SUM(J10:T10)+SUM(J10:P10)*0.0000001+SUM(J10)*0.0000000000001</f>
        <v>117.54000688400487</v>
      </c>
      <c r="F10" s="3" t="str">
        <f>IF(OR(AND(AR10&gt;=AY$17,AS10&gt;=AY$21,AR10&lt;&gt;"",AQ10=""),AND(AW10&gt;=AY$17,AX10&gt;=AY$21,AW10&lt;&gt;"",AQ10=""),AND(BU10&gt;=CB$17,BV10&gt;=CB$21,BU10&lt;&gt;"",BT10=""),AND(BZ10&gt;=CB$17,CA10&gt;=CB$21,BZ10&lt;&gt;"",BT10=""),AND(CX10&gt;=DE$17,CY10&gt;=DE$21,CX10&lt;&gt;"",CW10=""),AND(DC10&gt;=DE$17,DD10&gt;=DE$21,DC10&lt;&gt;""),AND(EC10&gt;=EJ$17,ED10&gt;=EJ$21,EC10&lt;&gt;""),AND(EH10&gt;=EJ$17,EI10&gt;=EJ$21,EH10&lt;&gt;""),AND(FE10&gt;=FL$17,FF10&gt;=FL$21,FE10&lt;&gt;""),AND(FJ10&gt;=FL$17,FK10&gt;=FL$21,FJ10&lt;&gt;""),AND(GG10&gt;=GN$17,GH10&gt;=GN$21,GG10&lt;&gt;""),AND(GL10&gt;=GN$17,GM10&gt;=GN$21,GL10&lt;&gt;""),AND(HI10&gt;=HP$17,HJ10&gt;=HP$21,HI10&lt;&gt;""),AND(HN10&gt;=HP$17,HO10&gt;=HP$21,HN10&lt;&gt;""),AND(IK10&gt;=IR$17,IL10&gt;=IR$21,IK10&lt;&gt;""),AND(IP10&gt;=IR$17,IQ10&gt;=IR$21,IP10&lt;&gt;""),AND(JM10&gt;=JT$17,JN10&gt;=JT$21,JM10&lt;&gt;""),AND(JR10&gt;=JT$17,JS10&gt;=JT$21,JR10&lt;&gt;""),AND(KO10&gt;=KV$17,KP10&gt;=KV$21,KO10&lt;&gt;""),AND(KT10&gt;=KV$17,KU10&gt;=KV$21,KT10&lt;&gt;""),AND(LQ10&gt;=LX$17,LR10&gt;=LX$21,LQ10&lt;&gt;""),AND(LV10&gt;=LX$17,LW10&gt;=LX$21,LV10&lt;&gt;""),AND(MS10&gt;=MZ$17,MT10&gt;=MZ$21,MS10&lt;&gt;""),AND(MX10&gt;=MZ$17,MY10&gt;=MZ$21,MX10&lt;&gt;""),AND(NU10&gt;=OB$17,NV10&gt;=OB$21,NU10&lt;&gt;""),AND(NZ10&gt;=OB$17,OA10&gt;=OB$21,NZ10&lt;&gt;""),AND(OW10&gt;=PD$17,OX10&gt;=PD$21,OW10&lt;&gt;""),AND(PB10&gt;=PD$17,PC10&gt;=PD$21,PB10&lt;&gt;""),AND(PY10&gt;=QF$17,PZ10&gt;=QF$21,PY10&lt;&gt;""),AND(QD10&gt;=QF$17,QE10&gt;=QF$21,QD10&lt;&gt;"")),"P","")</f>
        <v>P</v>
      </c>
      <c r="G10" s="3" t="str">
        <f>IF(OR(AND(AS10&gt;=AY$21,AS10&lt;&gt;"",AQ10=""),AND(AX10&gt;=AY$21,AX10&lt;&gt;"",AQ10=""),AND(BV10&gt;=CB$21,BV10&lt;&gt;"",BT10=""),AND(CA10&gt;=CB$21,CA10&lt;&gt;"",BT10=""),AND(CY10&gt;=DE$21,CY10&lt;&gt;"",CW10=""),AND(DD10&gt;=DE$21,DD10&lt;&gt;"",CW10=""),AND(ED10&gt;=EJ$21,ED10&lt;&gt;""),AND(EI10&gt;=EJ$21,EI10&lt;&gt;""),AND(FF10&gt;=FL$21,FF10&lt;&gt;""),AND(FK10&gt;=FL$21,FK10&lt;&gt;""),AND(GH10&gt;=GN$21,GH10&lt;&gt;""),AND(GM10&gt;=GN$21,GM10&lt;&gt;""),AND(HJ10&gt;=HP$21,HJ10&lt;&gt;""),AND(HO10&gt;=HP$21,HO10&lt;&gt;""),AND(IL10&gt;=IR$21,IL10&lt;&gt;""),AND(IQ10&gt;=IR$21,IQ10&lt;&gt;""),AND(JN10&gt;=JT$21,JN10&lt;&gt;""),AND(JS10&gt;=JT$21,JS10&lt;&gt;""),AND(KP10&gt;=KV$21,KP10&lt;&gt;""),AND(KU10&gt;=KV$21,KU10&lt;&gt;""),AND(LR10&gt;=LX$21,LR10&lt;&gt;""),AND(LW10&gt;=LX$21,LW10&lt;&gt;""),AND(MT10&gt;=MZ$21,MT10&lt;&gt;""),AND(MY10&gt;=MZ$21,MY10&lt;&gt;""),AND(NV10&gt;=OB$21,NV10&lt;&gt;""),AND(OA10&gt;=OB$21,OA10&lt;&gt;""),AND(OX10&gt;=PD$21,OX10&lt;&gt;""),AND(PC10&gt;=PD$21,PC10&lt;&gt;""),AND(PZ10&gt;=QF$21,PZ10&lt;&gt;""),AND(QE10&gt;=QF$21,QE10&lt;&gt;"")),"P","")</f>
        <v>P</v>
      </c>
      <c r="H10" s="70" t="str">
        <f>IF(AND(G10="P",F10=""),"No DD",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Merit",IF(OR(AND(AU10&gt;=AY$19,AV10&gt;=AY$23,AU10&lt;&gt;"",AQ10=""),AND(BX10&gt;=CB$19,BY10&gt;=CB$23,BX10&lt;&gt;"",BT10=""),AND(DA10&gt;=DE$19,DB10&gt;=DE$23,DA10&lt;&gt;"",CW10=""),AND(EF10&gt;=EJ$19,EG10&gt;=EJ$23,EF10&lt;&gt;""),AND(FH10&gt;=FL$19,FI10&gt;=FL$23,FH10&lt;&gt;""),AND(GJ10&gt;=GN$19,GK10&gt;=GN$23,GJ10&lt;&gt;""),AND(HL10&gt;=HP$19,HM10&gt;=HP$23,HL10&lt;&gt;""),AND(IN10&gt;=IR$19,IO10&gt;=IR$23,IN10&lt;&gt;""),AND(JP10&gt;=JT$19,JQ10&gt;=JT$23,JP10&lt;&gt;""),AND(KR10&gt;=KV$19,KS10&gt;=KV$23,KR10&lt;&gt;""),AND(LT10&gt;=LX$19,LU10&gt;=LX$23,LT10&lt;&gt;""),AND(MV10&gt;=MZ$19,MW10&gt;=MZ$23,MV10&lt;&gt;""),AND(NX10&gt;=OB$19,NY10&gt;=OB$23,NX10&lt;&gt;""),AND(OZ10&gt;=PD$19,PA10&gt;=PD$23,OZ10&lt;&gt;""),AND(QB10&gt;=QF$19,QC10&gt;=QF$23,QB10&lt;&gt;"")),"Excellence",IF(I10="P","Worlds Team",IF(F10="P","National Team","")))))</f>
        <v>National Team</v>
      </c>
      <c r="I10" s="3" t="str">
        <f>IF(OR(AND(AU10&gt;=AY$18,AV10&gt;=AY$22,AU10&lt;&gt;"",AQ10=""),AND(BX10&gt;=CB$18,BY10&gt;=CB$22,BX10&lt;&gt;"",BT10=""),AND(DA10&gt;=DE$18,DB10&gt;=DE$22,DA10&lt;&gt;"",CW10=""),AND(EF10&gt;=EJ$18,EG10&gt;=EJ$22,EF10&lt;&gt;""),AND(FH10&gt;=FL$18,FI10&gt;=FL$22,FH10&lt;&gt;""),AND(GJ10&gt;=GN$18,GK10&gt;=GN$22,GJ10&lt;&gt;""),AND(HL10&gt;=HP$18,HM10&gt;=HP$22,HL10&lt;&gt;""),AND(IN10&gt;=IR$18,IO10&gt;=IR$22,IN10&lt;&gt;""),AND(JP10&gt;=JT$18,JQ10&gt;=JT$22,JP10&lt;&gt;""),AND(KR10&gt;=KV$18,KS10&gt;=KV$22,KR10&lt;&gt;""),AND(LT10&gt;=LX$18,LU10&gt;=LX$22,LT10&lt;&gt;""),AND(MV10&gt;=MZ$18,MW10&gt;=MZ$22,MV10&lt;&gt;""),AND(NX10&gt;=OB$18,NY10&gt;=OB$22,NX10&lt;&gt;""),AND(OZ10&gt;=PD$18,PA10&gt;=PD$22,OZ10&lt;&gt;""),AND(QB10&gt;=QF$18,QC10&gt;=QF$22,QB10&lt;&gt;"")),"P","")</f>
        <v/>
      </c>
      <c r="J10" s="13">
        <f>IF(COUNT(AS10,BV10,CY10)&gt;0,LARGE((AS10,BV10,CY10),1),0)</f>
        <v>48.64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20.2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42.499999999999993</v>
      </c>
      <c r="S10" s="13" t="str">
        <f>IF(R10=0,"",IF(R10=DD10,$CC$1,IF(R10=CA10,$AZ$1,IF(R10=AX10,$W$1,""))))</f>
        <v>2022 Elite Canada</v>
      </c>
      <c r="T10" s="13">
        <f>IF(MAX(DF10:DH10)&gt;0,MAX(DF10:DH10),"")</f>
        <v>6.2000000000000028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18.64</v>
      </c>
      <c r="CD10" s="27">
        <v>6</v>
      </c>
      <c r="CE10" s="27">
        <v>0</v>
      </c>
      <c r="CF10" s="27">
        <v>0</v>
      </c>
      <c r="CG10" s="27">
        <v>19</v>
      </c>
      <c r="CH10" s="27">
        <v>5.6</v>
      </c>
      <c r="CI10" s="27">
        <v>0.6</v>
      </c>
      <c r="CJ10" s="27">
        <v>0</v>
      </c>
      <c r="CK10" s="27">
        <v>17.399999999999999</v>
      </c>
      <c r="CL10" s="27">
        <v>2.8</v>
      </c>
      <c r="CM10" s="27">
        <v>0</v>
      </c>
      <c r="CN10" s="27">
        <v>0</v>
      </c>
      <c r="CO10" s="27">
        <v>17.399999999999999</v>
      </c>
      <c r="CP10" s="27">
        <v>2.4</v>
      </c>
      <c r="CQ10" s="27">
        <v>0</v>
      </c>
      <c r="CR10" s="27">
        <v>0</v>
      </c>
      <c r="CS10" s="27">
        <v>16.899999999999999</v>
      </c>
      <c r="CT10" s="27">
        <v>6.4</v>
      </c>
      <c r="CU10" s="27">
        <v>0.6</v>
      </c>
      <c r="CV10" s="27">
        <v>0</v>
      </c>
      <c r="CW10" s="51"/>
      <c r="CX10" s="76">
        <f>IF(SUM(CD10,CH10)&gt;0,SUM(CD10,CH10),"")</f>
        <v>11.6</v>
      </c>
      <c r="CY10" s="76">
        <f>IF(SUM(CC10:CD10,CF10:CH10,CJ10)-CE10-CI10&gt;0,SUM(CC10:CD10,CF10:CH10,CJ10)-CE10-CI10,"")</f>
        <v>48.64</v>
      </c>
      <c r="CZ10" s="76">
        <f>IF(SUM(CK10:CL10,CN10)-CM10&gt;0,SUM(CK10:CL10,CN10)-CM10,"")</f>
        <v>20.2</v>
      </c>
      <c r="DA10" s="76">
        <f>IF(SUM(CD10,CH10,CL10)&gt;0,SUM(CD10,CH10,CL10),"")</f>
        <v>14.399999999999999</v>
      </c>
      <c r="DB10" s="76">
        <f>IF(SUM(CY10,CZ10)&gt;0,SUM(CY10,CZ10),"")</f>
        <v>68.84</v>
      </c>
      <c r="DC10" s="76">
        <f>IF(SUM(CP10,CT10)&gt;0,SUM(CP10,CT10),"")</f>
        <v>8.8000000000000007</v>
      </c>
      <c r="DD10" s="76">
        <f>IF(SUM(CO10:CP10,CR10:CT10,CV10)-SUM(CQ10,CU10)&gt;0,SUM(CO10:CP10,CR10:CT10,CV10)-SUM(CQ10,CU10),"")</f>
        <v>42.499999999999993</v>
      </c>
      <c r="DE10" s="76">
        <f>IF(SUM(CY10,DD10)&gt;0,SUM(CY10,DD10),"")</f>
        <v>91.139999999999986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6.2000000000000028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6</v>
      </c>
      <c r="EM10" s="26">
        <v>0.2</v>
      </c>
      <c r="EN10" s="26">
        <v>0</v>
      </c>
      <c r="EO10" s="26">
        <v>18.600000000000001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6</v>
      </c>
      <c r="EY10" s="26">
        <v>0.2</v>
      </c>
      <c r="EZ10" s="26">
        <v>0</v>
      </c>
      <c r="FA10" s="26">
        <v>18.7</v>
      </c>
      <c r="FB10" s="26">
        <v>5.6</v>
      </c>
      <c r="FC10" s="26">
        <v>0</v>
      </c>
      <c r="FD10" s="26">
        <v>0</v>
      </c>
      <c r="FE10" s="16">
        <f>IF(SUM(EL10,EP10)&gt;0,SUM(EL10,EP10),"")</f>
        <v>11.6</v>
      </c>
      <c r="FF10" s="16">
        <f>IF(SUM(EK10:EL10,EN10:EP10,ER10)-EM10-EQ10&gt;0,SUM(EK10:EL10,EN10:EP10,ER10)-EM10-EQ10,"")</f>
        <v>48.4</v>
      </c>
      <c r="FG10" s="16" t="str">
        <f>IF(SUM(ES10:ET10,EV10)-EU10&gt;0,SUM(ES10:ET10,EV10)-EU10,"")</f>
        <v/>
      </c>
      <c r="FH10" s="16">
        <f>IF(SUM(EL10,EP10,ET10)&gt;0,SUM(EL10,EP10,ET10),"")</f>
        <v>11.6</v>
      </c>
      <c r="FI10" s="16">
        <f>IF(SUM(FF10,FG10)&gt;0,SUM(FF10,FG10),"")</f>
        <v>48.4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48.699999999999996</v>
      </c>
      <c r="FL10" s="16">
        <f>IF(SUM(FF10,FK10)&gt;0,SUM(FF10,FK10),"")</f>
        <v>97.1</v>
      </c>
      <c r="FM10" s="25">
        <v>18.600000000000001</v>
      </c>
      <c r="FN10" s="25">
        <v>6</v>
      </c>
      <c r="FO10" s="25">
        <v>0.2</v>
      </c>
      <c r="FP10" s="25">
        <v>0</v>
      </c>
      <c r="FQ10" s="25">
        <v>18.8</v>
      </c>
      <c r="FR10" s="25">
        <v>5.6</v>
      </c>
      <c r="FS10" s="25">
        <v>0.2</v>
      </c>
      <c r="FT10" s="25">
        <v>0</v>
      </c>
      <c r="FU10" s="25"/>
      <c r="FV10" s="25"/>
      <c r="FW10" s="25"/>
      <c r="FX10" s="25"/>
      <c r="FY10" s="25">
        <v>18.2</v>
      </c>
      <c r="FZ10" s="25">
        <v>4.4000000000000004</v>
      </c>
      <c r="GA10" s="25">
        <v>0.2</v>
      </c>
      <c r="GB10" s="25">
        <v>0</v>
      </c>
      <c r="GC10" s="25">
        <v>18.5</v>
      </c>
      <c r="GD10" s="25">
        <v>6.4</v>
      </c>
      <c r="GE10" s="25">
        <v>0</v>
      </c>
      <c r="GF10" s="25">
        <v>0</v>
      </c>
      <c r="GG10" s="76">
        <f>IF(SUM(FN10,FR10)&gt;0,SUM(FN10,FR10),"")</f>
        <v>11.6</v>
      </c>
      <c r="GH10" s="76">
        <f>IF(SUM(FM10:FN10,FP10:FR10,FT10)-FO10-FS10&gt;0,SUM(FM10:FN10,FP10:FR10,FT10)-FO10-FS10,"")</f>
        <v>48.6</v>
      </c>
      <c r="GI10" s="76" t="str">
        <f>IF(SUM(FU10:FV10,FX10)-FW10&gt;0,SUM(FU10:FV10,FX10)-FW10,"")</f>
        <v/>
      </c>
      <c r="GJ10" s="76">
        <f>IF(SUM(FN10,FR10,FV10)&gt;0,SUM(FN10,FR10,FV10),"")</f>
        <v>11.6</v>
      </c>
      <c r="GK10" s="76">
        <f>IF(SUM(GH10,GI10)&gt;0,SUM(GH10,GI10),"")</f>
        <v>48.6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47.3</v>
      </c>
      <c r="GN10" s="76">
        <f>IF(SUM(GH10,GM10)&gt;0,SUM(GH10,GM10),"")</f>
        <v>95.9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9.32</v>
      </c>
      <c r="QH10" s="42">
        <f>IF($CW10="P",CD10,(CD10+BA10)/2)</f>
        <v>3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9.5</v>
      </c>
      <c r="QL10" s="42">
        <f>IF($CW10="P",CH10,(CH10+BE10)/2)</f>
        <v>2.8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8.6999999999999993</v>
      </c>
      <c r="QP10" s="42">
        <f>IF($CW10="P",CL10,(CL10+BI10)/2)</f>
        <v>1.4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8.6999999999999993</v>
      </c>
      <c r="QT10" s="42">
        <f>IF($CW10="P",CP10,(CP10+BM10)/2)</f>
        <v>1.2</v>
      </c>
      <c r="QU10" s="42">
        <f>IF($CW10="P",CQ10,(CQ10+BN10)/2)</f>
        <v>0</v>
      </c>
      <c r="QV10" s="42">
        <f>IF($CW10="P",CR10,(CR10+BO10)/2)</f>
        <v>0</v>
      </c>
      <c r="QW10" s="42">
        <f>IF($CW10="P",CS10,(CS10+BP10)/2)</f>
        <v>8.4499999999999993</v>
      </c>
      <c r="QX10" s="42">
        <f>IF($CW10="P",CT10,(CT10+BQ10)/2)</f>
        <v>3.2</v>
      </c>
      <c r="QY10" s="42">
        <f>IF($CW10="P",CU10,(CU10+BR10)/2)</f>
        <v>0.3</v>
      </c>
      <c r="QZ10" s="42">
        <f>IF($CW10="P",CV10,(CV10+BS10)/2)</f>
        <v>0</v>
      </c>
      <c r="RA10" s="51" t="s">
        <v>61</v>
      </c>
      <c r="RB10" s="76">
        <f>IF(SUM(QH10,QL10)&gt;0,SUM(QH10,QL10),"")</f>
        <v>5.8</v>
      </c>
      <c r="RC10" s="76">
        <f>IF(SUM(QG10:QH10,QJ10:QL10,QN10)-QI10-QM10&gt;0,SUM(QG10:QH10,QJ10:QL10,QN10)-QI10-QM10,"")</f>
        <v>24.32</v>
      </c>
      <c r="RD10" s="76">
        <f>IF(SUM(QO10:QP10,QR10)-QQ10&gt;0,SUM(QO10:QP10,QR10)-QQ10,"")</f>
        <v>10.1</v>
      </c>
      <c r="RE10" s="76">
        <f>IF(SUM(QH10,QL10,QP10)&gt;0,SUM(QH10,QL10,QP10),"")</f>
        <v>7.1999999999999993</v>
      </c>
      <c r="RF10" s="76">
        <f>IF(SUM(RC10,RD10)&gt;0,SUM(RC10,RD10),"")</f>
        <v>34.42</v>
      </c>
      <c r="RG10" s="76">
        <f>IF(SUM(QT10,QX10)&gt;0,SUM(QT10,QX10),"")</f>
        <v>4.4000000000000004</v>
      </c>
      <c r="RH10" s="76">
        <f>IF(SUM(QS10:QT10,QV10:QX10,QZ10)-SUM(QU10,QY10)&gt;0,SUM(QS10:QT10,QV10:QX10,QZ10)-SUM(QU10,QY10),"")</f>
        <v>21.249999999999996</v>
      </c>
      <c r="RI10" s="76">
        <f>IF(SUM(RC10,RH10)&gt;0,SUM(RC10,RH10),"")</f>
        <v>45.569999999999993</v>
      </c>
    </row>
    <row r="11" spans="1:477" x14ac:dyDescent="0.2">
      <c r="A11" s="5">
        <f>IF(AND(F11="P",G11="P"),SUMPRODUCT((F$4:F$15="P")*(G$4:G$15="P")*(E$4:E$15&gt;E11))+1,IF(G11="P",SUMPRODUCT((F$4:F$15="")*(G$4:G$15="P")*(E$4:E$15&gt;E11))+1+SUMPRODUCT((F$4:F$15="P")*(G$4:G$15="P")),""))</f>
        <v>8</v>
      </c>
      <c r="B11" s="6" t="s">
        <v>109</v>
      </c>
      <c r="C11" s="7" t="s">
        <v>6</v>
      </c>
      <c r="D11" s="18">
        <v>2004</v>
      </c>
      <c r="E11" s="14">
        <f>SUM(J11:T11)+SUM(J11:P11)*0.0000001+SUM(J11)*0.0000000000001</f>
        <v>117.4000569200097</v>
      </c>
      <c r="F11" s="3" t="str">
        <f>IF(OR(AND(AR11&gt;=AY$17,AS11&gt;=AY$21,AR11&lt;&gt;"",AQ11=""),AND(AW11&gt;=AY$17,AX11&gt;=AY$21,AW11&lt;&gt;"",AQ11=""),AND(BU11&gt;=CB$17,BV11&gt;=CB$21,BU11&lt;&gt;"",BT11=""),AND(BZ11&gt;=CB$17,CA11&gt;=CB$21,BZ11&lt;&gt;"",BT11=""),AND(CX11&gt;=DE$17,CY11&gt;=DE$21,CX11&lt;&gt;"",CW11=""),AND(DC11&gt;=DE$17,DD11&gt;=DE$21,DC11&lt;&gt;""),AND(EC11&gt;=EJ$17,ED11&gt;=EJ$21,EC11&lt;&gt;""),AND(EH11&gt;=EJ$17,EI11&gt;=EJ$21,EH11&lt;&gt;""),AND(FE11&gt;=FL$17,FF11&gt;=FL$21,FE11&lt;&gt;""),AND(FJ11&gt;=FL$17,FK11&gt;=FL$21,FJ11&lt;&gt;""),AND(GG11&gt;=GN$17,GH11&gt;=GN$21,GG11&lt;&gt;""),AND(GL11&gt;=GN$17,GM11&gt;=GN$21,GL11&lt;&gt;""),AND(HI11&gt;=HP$17,HJ11&gt;=HP$21,HI11&lt;&gt;""),AND(HN11&gt;=HP$17,HO11&gt;=HP$21,HN11&lt;&gt;""),AND(IK11&gt;=IR$17,IL11&gt;=IR$21,IK11&lt;&gt;""),AND(IP11&gt;=IR$17,IQ11&gt;=IR$21,IP11&lt;&gt;""),AND(JM11&gt;=JT$17,JN11&gt;=JT$21,JM11&lt;&gt;""),AND(JR11&gt;=JT$17,JS11&gt;=JT$21,JR11&lt;&gt;""),AND(KO11&gt;=KV$17,KP11&gt;=KV$21,KO11&lt;&gt;""),AND(KT11&gt;=KV$17,KU11&gt;=KV$21,KT11&lt;&gt;""),AND(LQ11&gt;=LX$17,LR11&gt;=LX$21,LQ11&lt;&gt;""),AND(LV11&gt;=LX$17,LW11&gt;=LX$21,LV11&lt;&gt;""),AND(MS11&gt;=MZ$17,MT11&gt;=MZ$21,MS11&lt;&gt;""),AND(MX11&gt;=MZ$17,MY11&gt;=MZ$21,MX11&lt;&gt;""),AND(NU11&gt;=OB$17,NV11&gt;=OB$21,NU11&lt;&gt;""),AND(NZ11&gt;=OB$17,OA11&gt;=OB$21,NZ11&lt;&gt;""),AND(OW11&gt;=PD$17,OX11&gt;=PD$21,OW11&lt;&gt;""),AND(PB11&gt;=PD$17,PC11&gt;=PD$21,PB11&lt;&gt;""),AND(PY11&gt;=QF$17,PZ11&gt;=QF$21,PY11&lt;&gt;""),AND(QD11&gt;=QF$17,QE11&gt;=QF$21,QD11&lt;&gt;"")),"P","")</f>
        <v>P</v>
      </c>
      <c r="G11" s="3" t="str">
        <f>IF(OR(AND(AS11&gt;=AY$21,AS11&lt;&gt;"",AQ11=""),AND(AX11&gt;=AY$21,AX11&lt;&gt;"",AQ11=""),AND(BV11&gt;=CB$21,BV11&lt;&gt;"",BT11=""),AND(CA11&gt;=CB$21,CA11&lt;&gt;"",BT11=""),AND(CY11&gt;=DE$21,CY11&lt;&gt;"",CW11=""),AND(DD11&gt;=DE$21,DD11&lt;&gt;"",CW11=""),AND(ED11&gt;=EJ$21,ED11&lt;&gt;""),AND(EI11&gt;=EJ$21,EI11&lt;&gt;""),AND(FF11&gt;=FL$21,FF11&lt;&gt;""),AND(FK11&gt;=FL$21,FK11&lt;&gt;""),AND(GH11&gt;=GN$21,GH11&lt;&gt;""),AND(GM11&gt;=GN$21,GM11&lt;&gt;""),AND(HJ11&gt;=HP$21,HJ11&lt;&gt;""),AND(HO11&gt;=HP$21,HO11&lt;&gt;""),AND(IL11&gt;=IR$21,IL11&lt;&gt;""),AND(IQ11&gt;=IR$21,IQ11&lt;&gt;""),AND(JN11&gt;=JT$21,JN11&lt;&gt;""),AND(JS11&gt;=JT$21,JS11&lt;&gt;""),AND(KP11&gt;=KV$21,KP11&lt;&gt;""),AND(KU11&gt;=KV$21,KU11&lt;&gt;""),AND(LR11&gt;=LX$21,LR11&lt;&gt;""),AND(LW11&gt;=LX$21,LW11&lt;&gt;""),AND(MT11&gt;=MZ$21,MT11&lt;&gt;""),AND(MY11&gt;=MZ$21,MY11&lt;&gt;""),AND(NV11&gt;=OB$21,NV11&lt;&gt;""),AND(OA11&gt;=OB$21,OA11&lt;&gt;""),AND(OX11&gt;=PD$21,OX11&lt;&gt;""),AND(PC11&gt;=PD$21,PC11&lt;&gt;""),AND(PZ11&gt;=QF$21,PZ11&lt;&gt;""),AND(QE11&gt;=QF$21,QE11&lt;&gt;"")),"P","")</f>
        <v>P</v>
      </c>
      <c r="H11" s="70" t="str">
        <f>IF(AND(G11="P",F11=""),"No DD",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Merit",IF(OR(AND(AU11&gt;=AY$19,AV11&gt;=AY$23,AU11&lt;&gt;"",AQ11=""),AND(BX11&gt;=CB$19,BY11&gt;=CB$23,BX11&lt;&gt;"",BT11=""),AND(DA11&gt;=DE$19,DB11&gt;=DE$23,DA11&lt;&gt;"",CW11=""),AND(EF11&gt;=EJ$19,EG11&gt;=EJ$23,EF11&lt;&gt;""),AND(FH11&gt;=FL$19,FI11&gt;=FL$23,FH11&lt;&gt;""),AND(GJ11&gt;=GN$19,GK11&gt;=GN$23,GJ11&lt;&gt;""),AND(HL11&gt;=HP$19,HM11&gt;=HP$23,HL11&lt;&gt;""),AND(IN11&gt;=IR$19,IO11&gt;=IR$23,IN11&lt;&gt;""),AND(JP11&gt;=JT$19,JQ11&gt;=JT$23,JP11&lt;&gt;""),AND(KR11&gt;=KV$19,KS11&gt;=KV$23,KR11&lt;&gt;""),AND(LT11&gt;=LX$19,LU11&gt;=LX$23,LT11&lt;&gt;""),AND(MV11&gt;=MZ$19,MW11&gt;=MZ$23,MV11&lt;&gt;""),AND(NX11&gt;=OB$19,NY11&gt;=OB$23,NX11&lt;&gt;""),AND(OZ11&gt;=PD$19,PA11&gt;=PD$23,OZ11&lt;&gt;""),AND(QB11&gt;=QF$19,QC11&gt;=QF$23,QB11&lt;&gt;"")),"Excellence",IF(I11="P","Worlds Team",IF(F11="P","National Team","")))))</f>
        <v>National Team</v>
      </c>
      <c r="I11" s="3" t="str">
        <f>IF(OR(AND(AU11&gt;=AY$18,AV11&gt;=AY$22,AU11&lt;&gt;"",AQ11=""),AND(BX11&gt;=CB$18,BY11&gt;=CB$22,BX11&lt;&gt;"",BT11=""),AND(DA11&gt;=DE$18,DB11&gt;=DE$22,DA11&lt;&gt;"",CW11=""),AND(EF11&gt;=EJ$18,EG11&gt;=EJ$22,EF11&lt;&gt;""),AND(FH11&gt;=FL$18,FI11&gt;=FL$22,FH11&lt;&gt;""),AND(GJ11&gt;=GN$18,GK11&gt;=GN$22,GJ11&lt;&gt;""),AND(HL11&gt;=HP$18,HM11&gt;=HP$22,HL11&lt;&gt;""),AND(IN11&gt;=IR$18,IO11&gt;=IR$22,IN11&lt;&gt;""),AND(JP11&gt;=JT$18,JQ11&gt;=JT$22,JP11&lt;&gt;""),AND(KR11&gt;=KV$18,KS11&gt;=KV$22,KR11&lt;&gt;""),AND(LT11&gt;=LX$18,LU11&gt;=LX$22,LT11&lt;&gt;""),AND(MV11&gt;=MZ$18,MW11&gt;=MZ$22,MV11&lt;&gt;""),AND(NX11&gt;=OB$18,NY11&gt;=OB$22,NX11&lt;&gt;""),AND(OZ11&gt;=PD$18,PA11&gt;=PD$22,OZ11&lt;&gt;""),AND(QB11&gt;=QF$18,QC11&gt;=QF$22,QB11&lt;&gt;"")),"P","")</f>
        <v/>
      </c>
      <c r="J11" s="13">
        <f>IF(COUNT(AS11,BV11,CY11)&gt;0,LARGE((AS11,BV11,CY11),1),0)</f>
        <v>47.000000000000007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5.0000000000000002E-5</v>
      </c>
      <c r="M11" s="13" t="str">
        <f>IF(L11=0,"",IF(L11=CY11,$CC$1,IF(L11=BV11,$AZ$1,IF(L11=AS11,$W$1,""))))</f>
        <v>2021 Canadian Championships</v>
      </c>
      <c r="N11" s="13">
        <f>IF(COUNT(AT11,BW11,CZ11)&gt;0,LARGE((AT11,BW11,CZ11),1),0)</f>
        <v>22.2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48.1</v>
      </c>
      <c r="S11" s="13" t="str">
        <f>IF(R11=0,"",IF(R11=DD11,$CC$1,IF(R11=CA11,$AZ$1,IF(R11=AX11,$W$1,""))))</f>
        <v>2022 Elite Canada</v>
      </c>
      <c r="T11" s="13">
        <f>IF(MAX(DF11:DH11)&gt;0,MAX(DF11:DH11),"")</f>
        <v>9.9999999999994316E-2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/>
      <c r="X11" s="27">
        <v>1.0000000000000001E-5</v>
      </c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>
        <f>IF(SUM(X11,AB11)&gt;0,SUM(X11,AB11),"")</f>
        <v>1.0000000000000001E-5</v>
      </c>
      <c r="AS11" s="76">
        <f>IF(SUM(W11:X11,Z11:AB11,AD11)-Y11-AC11&gt;0,SUM(W11:X11,Z11:AB11,AD11)-Y11-AC11,"")</f>
        <v>1.0000000000000001E-5</v>
      </c>
      <c r="AT11" s="76" t="str">
        <f>IF(SUM(AE11:AF11,AH11)-AG11&gt;0,SUM(AE11:AF11,AH11)-AG11,"")</f>
        <v/>
      </c>
      <c r="AU11" s="76">
        <f>IF(SUM(X11,AB11,AF11)&gt;0,SUM(X11,AB11,AF11),"")</f>
        <v>1.0000000000000001E-5</v>
      </c>
      <c r="AV11" s="76">
        <f>IF(SUM(AS11,AT11)&gt;0,SUM(AS11,AT11),"")</f>
        <v>1.0000000000000001E-5</v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>
        <f>IF(SUM(AS11,AX11)&gt;0,SUM(AS11,AX11),"")</f>
        <v>1.0000000000000001E-5</v>
      </c>
      <c r="AZ11" s="26">
        <v>5.0000000000000002E-5</v>
      </c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>
        <f>IF(SUM(AZ11:BA11,BC11:BE11,BG11)-BB11-BF11&gt;0,SUM(AZ11:BA11,BC11:BE11,BG11)-BB11-BF11,"")</f>
        <v>5.0000000000000002E-5</v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>
        <f>IF(SUM(BV11,BW11)&gt;0,SUM(BV11,BW11),"")</f>
        <v>5.0000000000000002E-5</v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>
        <f>IF(SUM(BV11,CA11)&gt;0,SUM(BV11,CA11),"")</f>
        <v>5.0000000000000002E-5</v>
      </c>
      <c r="CC11" s="27">
        <v>18.600000000000001</v>
      </c>
      <c r="CD11" s="27">
        <v>5.2</v>
      </c>
      <c r="CE11" s="27">
        <v>0.8</v>
      </c>
      <c r="CF11" s="27">
        <v>0</v>
      </c>
      <c r="CG11" s="27">
        <v>18.600000000000001</v>
      </c>
      <c r="CH11" s="27">
        <v>5.6</v>
      </c>
      <c r="CI11" s="27">
        <v>0.2</v>
      </c>
      <c r="CJ11" s="27">
        <v>0</v>
      </c>
      <c r="CK11" s="27">
        <v>18</v>
      </c>
      <c r="CL11" s="27">
        <v>4.8</v>
      </c>
      <c r="CM11" s="27">
        <v>0.6</v>
      </c>
      <c r="CN11" s="27">
        <v>0</v>
      </c>
      <c r="CO11" s="27">
        <v>18.5</v>
      </c>
      <c r="CP11" s="27">
        <v>5.2</v>
      </c>
      <c r="CQ11" s="27">
        <v>0.2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10.8</v>
      </c>
      <c r="CY11" s="76">
        <f>IF(SUM(CC11:CD11,CF11:CH11,CJ11)-CE11-CI11&gt;0,SUM(CC11:CD11,CF11:CH11,CJ11)-CE11-CI11,"")</f>
        <v>47.000000000000007</v>
      </c>
      <c r="CZ11" s="76">
        <f>IF(SUM(CK11:CL11,CN11)-CM11&gt;0,SUM(CK11:CL11,CN11)-CM11,"")</f>
        <v>22.2</v>
      </c>
      <c r="DA11" s="76">
        <f>IF(SUM(CD11,CH11,CL11)&gt;0,SUM(CD11,CH11,CL11),"")</f>
        <v>15.600000000000001</v>
      </c>
      <c r="DB11" s="76">
        <f>IF(SUM(CY11,CZ11)&gt;0,SUM(CY11,CZ11),"")</f>
        <v>69.2</v>
      </c>
      <c r="DC11" s="76">
        <f>IF(SUM(CP11,CT11)&gt;0,SUM(CP11,CT11),"")</f>
        <v>10.8</v>
      </c>
      <c r="DD11" s="76">
        <f>IF(SUM(CO11:CP11,CR11:CT11,CV11)-SUM(CQ11,CU11)&gt;0,SUM(CO11:CP11,CR11:CT11,CV11)-SUM(CQ11,CU11),"")</f>
        <v>48.1</v>
      </c>
      <c r="DE11" s="76">
        <f>IF(SUM(CY11,DD11)&gt;0,SUM(CY11,DD11),"")</f>
        <v>95.100000000000009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9.9999999999994316E-2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5.2</v>
      </c>
      <c r="EM11" s="26">
        <v>0.6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18.399999999999999</v>
      </c>
      <c r="EX11" s="26">
        <v>5.2</v>
      </c>
      <c r="EY11" s="26">
        <v>0</v>
      </c>
      <c r="EZ11" s="26">
        <v>0</v>
      </c>
      <c r="FA11" s="26">
        <v>18.8</v>
      </c>
      <c r="FB11" s="26">
        <v>5.6</v>
      </c>
      <c r="FC11" s="26">
        <v>0.2</v>
      </c>
      <c r="FD11" s="26">
        <v>0</v>
      </c>
      <c r="FE11" s="16">
        <f>IF(SUM(EL11,EP11)&gt;0,SUM(EL11,EP11),"")</f>
        <v>10.8</v>
      </c>
      <c r="FF11" s="16">
        <f>IF(SUM(EK11:EL11,EN11:EP11,ER11)-EM11-EQ11&gt;0,SUM(EK11:EL11,EN11:EP11,ER11)-EM11-EQ11,"")</f>
        <v>47.2</v>
      </c>
      <c r="FG11" s="16" t="str">
        <f>IF(SUM(ES11:ET11,EV11)-EU11&gt;0,SUM(ES11:ET11,EV11)-EU11,"")</f>
        <v/>
      </c>
      <c r="FH11" s="16">
        <f>IF(SUM(EL11,EP11,ET11)&gt;0,SUM(EL11,EP11,ET11),"")</f>
        <v>10.8</v>
      </c>
      <c r="FI11" s="16">
        <f>IF(SUM(FF11,FG11)&gt;0,SUM(FF11,FG11),"")</f>
        <v>47.2</v>
      </c>
      <c r="FJ11" s="16">
        <f>IF(SUM(EX11,FB11)&gt;0,SUM(EX11,FB11),"")</f>
        <v>10.8</v>
      </c>
      <c r="FK11" s="16">
        <f>IF(SUM(EW11:EX11,EZ11:FB11,FD11)-SUM(EY11,FC11)&gt;0,SUM(EW11:EX11,EZ11:FB11,FD11)-SUM(EY11,FC11),"")</f>
        <v>47.8</v>
      </c>
      <c r="FL11" s="16">
        <f>IF(SUM(FF11,FK11)&gt;0,SUM(FF11,FK11),"")</f>
        <v>95</v>
      </c>
      <c r="FM11" s="25">
        <v>17.399999999999999</v>
      </c>
      <c r="FN11" s="25">
        <v>2.4</v>
      </c>
      <c r="FO11" s="25">
        <v>0</v>
      </c>
      <c r="FP11" s="25">
        <v>0</v>
      </c>
      <c r="FQ11" s="25">
        <v>18.2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18.399999999999999</v>
      </c>
      <c r="FZ11" s="25">
        <v>5.6</v>
      </c>
      <c r="GA11" s="25">
        <v>0.2</v>
      </c>
      <c r="GB11" s="25">
        <v>0</v>
      </c>
      <c r="GC11" s="25">
        <v>18.8</v>
      </c>
      <c r="GD11" s="25">
        <v>5.6</v>
      </c>
      <c r="GE11" s="25">
        <v>0</v>
      </c>
      <c r="GF11" s="25">
        <v>0</v>
      </c>
      <c r="GG11" s="76">
        <f>IF(SUM(FN11,FR11)&gt;0,SUM(FN11,FR11),"")</f>
        <v>8</v>
      </c>
      <c r="GH11" s="76">
        <f>IF(SUM(FM11:FN11,FP11:FR11,FT11)-FO11-FS11&gt;0,SUM(FM11:FN11,FP11:FR11,FT11)-FO11-FS11,"")</f>
        <v>43.4</v>
      </c>
      <c r="GI11" s="76" t="str">
        <f>IF(SUM(FU11:FV11,FX11)-FW11&gt;0,SUM(FU11:FV11,FX11)-FW11,"")</f>
        <v/>
      </c>
      <c r="GJ11" s="76">
        <f>IF(SUM(FN11,FR11,FV11)&gt;0,SUM(FN11,FR11,FV11),"")</f>
        <v>8</v>
      </c>
      <c r="GK11" s="76">
        <f>IF(SUM(GH11,GI11)&gt;0,SUM(GH11,GI11),"")</f>
        <v>43.4</v>
      </c>
      <c r="GL11" s="76">
        <f>IF(SUM(FZ11,GD11)&gt;0,SUM(FZ11,GD11),"")</f>
        <v>11.2</v>
      </c>
      <c r="GM11" s="76">
        <f>IF(SUM(FY11:FZ11,GB11:GD11,GF11)-SUM(GA11,GE11)&gt;0,SUM(FY11:FZ11,GB11:GD11,GF11)-SUM(GA11,GE11),"")</f>
        <v>48.199999999999996</v>
      </c>
      <c r="GN11" s="76">
        <f>IF(SUM(GH11,GM11)&gt;0,SUM(GH11,GM11),"")</f>
        <v>91.6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9.3000250000000015</v>
      </c>
      <c r="QH11" s="42">
        <f>IF($CW11="P",CD11,(CD11+BA11)/2)</f>
        <v>2.6</v>
      </c>
      <c r="QI11" s="42">
        <f>IF($CW11="P",CE11,(CE11+BB11)/2)</f>
        <v>0.4</v>
      </c>
      <c r="QJ11" s="42">
        <f>IF($CW11="P",CF11,(CF11+BC11)/2)</f>
        <v>0</v>
      </c>
      <c r="QK11" s="42">
        <f>IF($CW11="P",CG11,(CG11+BD11)/2)</f>
        <v>9.3000000000000007</v>
      </c>
      <c r="QL11" s="42">
        <f>IF($CW11="P",CH11,(CH11+BE11)/2)</f>
        <v>2.8</v>
      </c>
      <c r="QM11" s="42">
        <f>IF($CW11="P",CI11,(CI11+BF11)/2)</f>
        <v>0.1</v>
      </c>
      <c r="QN11" s="42">
        <f>IF($CW11="P",CJ11,(CJ11+BG11)/2)</f>
        <v>0</v>
      </c>
      <c r="QO11" s="42">
        <f>IF($CW11="P",CK11,(CK11+BH11)/2)</f>
        <v>9</v>
      </c>
      <c r="QP11" s="42">
        <f>IF($CW11="P",CL11,(CL11+BI11)/2)</f>
        <v>2.4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9.25</v>
      </c>
      <c r="QT11" s="42">
        <f>IF($CW11="P",CP11,(CP11+BM11)/2)</f>
        <v>2.6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9.5</v>
      </c>
      <c r="QX11" s="42">
        <f>IF($CW11="P",CT11,(CT11+BQ11)/2)</f>
        <v>2.8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5.4</v>
      </c>
      <c r="RC11" s="76">
        <f>IF(SUM(QG11:QH11,QJ11:QL11,QN11)-QI11-QM11&gt;0,SUM(QG11:QH11,QJ11:QL11,QN11)-QI11-QM11,"")</f>
        <v>23.500025000000004</v>
      </c>
      <c r="RD11" s="76">
        <f>IF(SUM(QO11:QP11,QR11)-QQ11&gt;0,SUM(QO11:QP11,QR11)-QQ11,"")</f>
        <v>11.1</v>
      </c>
      <c r="RE11" s="76">
        <f>IF(SUM(QH11,QL11,QP11)&gt;0,SUM(QH11,QL11,QP11),"")</f>
        <v>7.8000000000000007</v>
      </c>
      <c r="RF11" s="76">
        <f>IF(SUM(RC11,RD11)&gt;0,SUM(RC11,RD11),"")</f>
        <v>34.600025000000002</v>
      </c>
      <c r="RG11" s="76">
        <f>IF(SUM(QT11,QX11)&gt;0,SUM(QT11,QX11),"")</f>
        <v>5.4</v>
      </c>
      <c r="RH11" s="76">
        <f>IF(SUM(QS11:QT11,QV11:QX11,QZ11)-SUM(QU11,QY11)&gt;0,SUM(QS11:QT11,QV11:QX11,QZ11)-SUM(QU11,QY11),"")</f>
        <v>24.05</v>
      </c>
      <c r="RI11" s="76">
        <f>IF(SUM(RC11,RH11)&gt;0,SUM(RC11,RH11),"")</f>
        <v>47.550025000000005</v>
      </c>
    </row>
    <row r="12" spans="1:477" x14ac:dyDescent="0.2">
      <c r="A12" s="5">
        <f>IF(AND(F12="P",G12="P"),SUMPRODUCT((F$4:F$15="P")*(G$4:G$15="P")*(E$4:E$15&gt;E12))+1,IF(G12="P",SUMPRODUCT((F$4:F$15="")*(G$4:G$15="P")*(E$4:E$15&gt;E12))+1+SUMPRODUCT((F$4:F$15="P")*(G$4:G$15="P")),""))</f>
        <v>9</v>
      </c>
      <c r="B12" s="6" t="s">
        <v>31</v>
      </c>
      <c r="C12" s="7" t="s">
        <v>9</v>
      </c>
      <c r="D12" s="18">
        <v>1998</v>
      </c>
      <c r="E12" s="14">
        <f>SUM(J12:T12)+SUM(J12:P12)*0.0000001+SUM(J12)*0.0000000000001</f>
        <v>5.0000005000005004E-5</v>
      </c>
      <c r="F12" s="3" t="str">
        <f>IF(OR(AND(AR12&gt;=AY$17,AS12&gt;=AY$21,AR12&lt;&gt;"",AQ12=""),AND(AW12&gt;=AY$17,AX12&gt;=AY$21,AW12&lt;&gt;"",AQ12=""),AND(BU12&gt;=CB$17,BV12&gt;=CB$21,BU12&lt;&gt;"",BT12=""),AND(BZ12&gt;=CB$17,CA12&gt;=CB$21,BZ12&lt;&gt;"",BT12=""),AND(CX12&gt;=DE$17,CY12&gt;=DE$21,CX12&lt;&gt;"",CW12=""),AND(DC12&gt;=DE$17,DD12&gt;=DE$21,DC12&lt;&gt;""),AND(EC12&gt;=EJ$17,ED12&gt;=EJ$21,EC12&lt;&gt;""),AND(EH12&gt;=EJ$17,EI12&gt;=EJ$21,EH12&lt;&gt;""),AND(FE12&gt;=FL$17,FF12&gt;=FL$21,FE12&lt;&gt;""),AND(FJ12&gt;=FL$17,FK12&gt;=FL$21,FJ12&lt;&gt;""),AND(GG12&gt;=GN$17,GH12&gt;=GN$21,GG12&lt;&gt;""),AND(GL12&gt;=GN$17,GM12&gt;=GN$21,GL12&lt;&gt;""),AND(HI12&gt;=HP$17,HJ12&gt;=HP$21,HI12&lt;&gt;""),AND(HN12&gt;=HP$17,HO12&gt;=HP$21,HN12&lt;&gt;""),AND(IK12&gt;=IR$17,IL12&gt;=IR$21,IK12&lt;&gt;""),AND(IP12&gt;=IR$17,IQ12&gt;=IR$21,IP12&lt;&gt;""),AND(JM12&gt;=JT$17,JN12&gt;=JT$21,JM12&lt;&gt;""),AND(JR12&gt;=JT$17,JS12&gt;=JT$21,JR12&lt;&gt;""),AND(KO12&gt;=KV$17,KP12&gt;=KV$21,KO12&lt;&gt;""),AND(KT12&gt;=KV$17,KU12&gt;=KV$21,KT12&lt;&gt;""),AND(LQ12&gt;=LX$17,LR12&gt;=LX$21,LQ12&lt;&gt;""),AND(LV12&gt;=LX$17,LW12&gt;=LX$21,LV12&lt;&gt;""),AND(MS12&gt;=MZ$17,MT12&gt;=MZ$21,MS12&lt;&gt;""),AND(MX12&gt;=MZ$17,MY12&gt;=MZ$21,MX12&lt;&gt;""),AND(NU12&gt;=OB$17,NV12&gt;=OB$21,NU12&lt;&gt;""),AND(NZ12&gt;=OB$17,OA12&gt;=OB$21,NZ12&lt;&gt;""),AND(OW12&gt;=PD$17,OX12&gt;=PD$21,OW12&lt;&gt;""),AND(PB12&gt;=PD$17,PC12&gt;=PD$21,PB12&lt;&gt;""),AND(PY12&gt;=QF$17,PZ12&gt;=QF$21,PY12&lt;&gt;""),AND(QD12&gt;=QF$17,QE12&gt;=QF$21,QD12&lt;&gt;"")),"P","")</f>
        <v>P</v>
      </c>
      <c r="G12" s="3" t="str">
        <f>IF(OR(AND(AS12&gt;=AY$21,AS12&lt;&gt;"",AQ12=""),AND(AX12&gt;=AY$21,AX12&lt;&gt;"",AQ12=""),AND(BV12&gt;=CB$21,BV12&lt;&gt;"",BT12=""),AND(CA12&gt;=CB$21,CA12&lt;&gt;"",BT12=""),AND(CY12&gt;=DE$21,CY12&lt;&gt;"",CW12=""),AND(DD12&gt;=DE$21,DD12&lt;&gt;"",CW12=""),AND(ED12&gt;=EJ$21,ED12&lt;&gt;""),AND(EI12&gt;=EJ$21,EI12&lt;&gt;""),AND(FF12&gt;=FL$21,FF12&lt;&gt;""),AND(FK12&gt;=FL$21,FK12&lt;&gt;""),AND(GH12&gt;=GN$21,GH12&lt;&gt;""),AND(GM12&gt;=GN$21,GM12&lt;&gt;""),AND(HJ12&gt;=HP$21,HJ12&lt;&gt;""),AND(HO12&gt;=HP$21,HO12&lt;&gt;""),AND(IL12&gt;=IR$21,IL12&lt;&gt;""),AND(IQ12&gt;=IR$21,IQ12&lt;&gt;""),AND(JN12&gt;=JT$21,JN12&lt;&gt;""),AND(JS12&gt;=JT$21,JS12&lt;&gt;""),AND(KP12&gt;=KV$21,KP12&lt;&gt;""),AND(KU12&gt;=KV$21,KU12&lt;&gt;""),AND(LR12&gt;=LX$21,LR12&lt;&gt;""),AND(LW12&gt;=LX$21,LW12&lt;&gt;""),AND(MT12&gt;=MZ$21,MT12&lt;&gt;""),AND(MY12&gt;=MZ$21,MY12&lt;&gt;""),AND(NV12&gt;=OB$21,NV12&lt;&gt;""),AND(OA12&gt;=OB$21,OA12&lt;&gt;""),AND(OX12&gt;=PD$21,OX12&lt;&gt;""),AND(PC12&gt;=PD$21,PC12&lt;&gt;""),AND(PZ12&gt;=QF$21,PZ12&lt;&gt;""),AND(QE12&gt;=QF$21,QE12&lt;&gt;"")),"P","")</f>
        <v>P</v>
      </c>
      <c r="H12" s="70" t="str">
        <f>IF(AND(G12="P",F12=""),"No DD",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Merit",IF(OR(AND(AU12&gt;=AY$19,AV12&gt;=AY$23,AU12&lt;&gt;"",AQ12=""),AND(BX12&gt;=CB$19,BY12&gt;=CB$23,BX12&lt;&gt;"",BT12=""),AND(DA12&gt;=DE$19,DB12&gt;=DE$23,DA12&lt;&gt;"",CW12=""),AND(EF12&gt;=EJ$19,EG12&gt;=EJ$23,EF12&lt;&gt;""),AND(FH12&gt;=FL$19,FI12&gt;=FL$23,FH12&lt;&gt;""),AND(GJ12&gt;=GN$19,GK12&gt;=GN$23,GJ12&lt;&gt;""),AND(HL12&gt;=HP$19,HM12&gt;=HP$23,HL12&lt;&gt;""),AND(IN12&gt;=IR$19,IO12&gt;=IR$23,IN12&lt;&gt;""),AND(JP12&gt;=JT$19,JQ12&gt;=JT$23,JP12&lt;&gt;""),AND(KR12&gt;=KV$19,KS12&gt;=KV$23,KR12&lt;&gt;""),AND(LT12&gt;=LX$19,LU12&gt;=LX$23,LT12&lt;&gt;""),AND(MV12&gt;=MZ$19,MW12&gt;=MZ$23,MV12&lt;&gt;""),AND(NX12&gt;=OB$19,NY12&gt;=OB$23,NX12&lt;&gt;""),AND(OZ12&gt;=PD$19,PA12&gt;=PD$23,OZ12&lt;&gt;""),AND(QB12&gt;=QF$19,QC12&gt;=QF$23,QB12&lt;&gt;"")),"Excellence",IF(I12="P","Worlds Team",IF(F12="P","National Team","")))))</f>
        <v>National Team</v>
      </c>
      <c r="I12" s="3" t="str">
        <f>IF(OR(AND(AU12&gt;=AY$18,AV12&gt;=AY$22,AU12&lt;&gt;"",AQ12=""),AND(BX12&gt;=CB$18,BY12&gt;=CB$22,BX12&lt;&gt;"",BT12=""),AND(DA12&gt;=DE$18,DB12&gt;=DE$22,DA12&lt;&gt;"",CW12=""),AND(EF12&gt;=EJ$18,EG12&gt;=EJ$22,EF12&lt;&gt;""),AND(FH12&gt;=FL$18,FI12&gt;=FL$22,FH12&lt;&gt;""),AND(GJ12&gt;=GN$18,GK12&gt;=GN$22,GJ12&lt;&gt;""),AND(HL12&gt;=HP$18,HM12&gt;=HP$22,HL12&lt;&gt;""),AND(IN12&gt;=IR$18,IO12&gt;=IR$22,IN12&lt;&gt;""),AND(JP12&gt;=JT$18,JQ12&gt;=JT$22,JP12&lt;&gt;""),AND(KR12&gt;=KV$18,KS12&gt;=KV$22,KR12&lt;&gt;""),AND(LT12&gt;=LX$18,LU12&gt;=LX$22,LT12&lt;&gt;""),AND(MV12&gt;=MZ$18,MW12&gt;=MZ$22,MV12&lt;&gt;""),AND(NX12&gt;=OB$18,NY12&gt;=OB$22,NX12&lt;&gt;""),AND(OZ12&gt;=PD$18,PA12&gt;=PD$22,OZ12&lt;&gt;""),AND(QB12&gt;=QF$18,QC12&gt;=QF$22,QB12&lt;&gt;"")),"P","")</f>
        <v/>
      </c>
      <c r="J12" s="13">
        <f>IF(COUNT(AS12,BV12,CY12)&gt;0,LARGE((AS12,BV12,CY12),1),0)</f>
        <v>5.0000000000000002E-5</v>
      </c>
      <c r="K12" s="13" t="str">
        <f>IF(J12=0,"",IF(J12=CY12,$CC$1,IF(J12=BV12,$AZ$1,IF(J12=AS12,$W$1,""))))</f>
        <v>2021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0</v>
      </c>
      <c r="O12" s="13" t="str">
        <f>IF(N12=0,"",IF(N12=CZ12,$CC$1,IF(N12=BW12,$AZ$1,IF(N12=AT12,$W$1,""))))</f>
        <v/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0</v>
      </c>
      <c r="S12" s="13" t="str">
        <f>IF(R12=0,"",IF(R12=DD12,$CC$1,IF(R12=CA12,$AZ$1,IF(R12=AX12,$W$1,""))))</f>
        <v/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>
        <v>3.0000000000000001E-5</v>
      </c>
      <c r="X12" s="27">
        <v>2.0000000000000002E-5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2.0000000000000002E-5</v>
      </c>
      <c r="AS12" s="76">
        <f>IF(SUM(W12:X12,Z12:AB12,AD12)-Y12-AC12&gt;0,SUM(W12:X12,Z12:AB12,AD12)-Y12-AC12,"")</f>
        <v>5.0000000000000002E-5</v>
      </c>
      <c r="AT12" s="76" t="str">
        <f>IF(SUM(AE12:AF12,AH12)-AG12&gt;0,SUM(AE12:AF12,AH12)-AG12,"")</f>
        <v/>
      </c>
      <c r="AU12" s="76">
        <f>IF(SUM(X12,AB12,AF12)&gt;0,SUM(X12,AB12,AF12),"")</f>
        <v>2.0000000000000002E-5</v>
      </c>
      <c r="AV12" s="76">
        <f>IF(SUM(AS12,AT12)&gt;0,SUM(AS12,AT12),"")</f>
        <v>5.0000000000000002E-5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5.0000000000000002E-5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51"/>
      <c r="CX12" s="76" t="str">
        <f>IF(SUM(CD12,CH12)&gt;0,SUM(CD12,CH12),"")</f>
        <v/>
      </c>
      <c r="CY12" s="76" t="str">
        <f>IF(SUM(CC12:CD12,CF12:CH12,CJ12)-CE12-CI12&gt;0,SUM(CC12:CD12,CF12:CH12,CJ12)-CE12-CI12,"")</f>
        <v/>
      </c>
      <c r="CZ12" s="76" t="str">
        <f>IF(SUM(CK12:CL12,CN12)-CM12&gt;0,SUM(CK12:CL12,CN12)-CM12,"")</f>
        <v/>
      </c>
      <c r="DA12" s="76" t="str">
        <f>IF(SUM(CD12,CH12,CL12)&gt;0,SUM(CD12,CH12,CL12),"")</f>
        <v/>
      </c>
      <c r="DB12" s="76" t="str">
        <f>IF(SUM(CY12,CZ12)&gt;0,SUM(CY12,CZ12),"")</f>
        <v/>
      </c>
      <c r="DC12" s="76" t="str">
        <f>IF(SUM(CP12,CT12)&gt;0,SUM(CP12,CT12),"")</f>
        <v/>
      </c>
      <c r="DD12" s="76" t="str">
        <f>IF(SUM(CO12:CP12,CR12:CT12,CV12)-SUM(CQ12,CU12)&gt;0,SUM(CO12:CP12,CR12:CT12,CV12)-SUM(CQ12,CU12),"")</f>
        <v/>
      </c>
      <c r="DE12" s="76" t="str">
        <f>IF(SUM(CY12,DD12)&gt;0,SUM(CY12,DD12),"")</f>
        <v/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0</v>
      </c>
      <c r="QH12" s="42">
        <f>IF($CW12="P",CD12,(CD12+BA12)/2)</f>
        <v>0</v>
      </c>
      <c r="QI12" s="42">
        <f>IF($CW12="P",CE12,(CE12+BB12)/2)</f>
        <v>0</v>
      </c>
      <c r="QJ12" s="42">
        <f>IF($CW12="P",CF12,(CF12+BC12)/2)</f>
        <v>0</v>
      </c>
      <c r="QK12" s="42">
        <f>IF($CW12="P",CG12,(CG12+BD12)/2)</f>
        <v>0</v>
      </c>
      <c r="QL12" s="42">
        <f>IF($CW12="P",CH12,(CH12+BE12)/2)</f>
        <v>0</v>
      </c>
      <c r="QM12" s="42">
        <f>IF($CW12="P",CI12,(CI12+BF12)/2)</f>
        <v>0</v>
      </c>
      <c r="QN12" s="42">
        <f>IF($CW12="P",CJ12,(CJ12+BG12)/2)</f>
        <v>0</v>
      </c>
      <c r="QO12" s="42">
        <f>IF($CW12="P",CK12,(CK12+BH12)/2)</f>
        <v>0</v>
      </c>
      <c r="QP12" s="42">
        <f>IF($CW12="P",CL12,(CL12+BI12)/2)</f>
        <v>0</v>
      </c>
      <c r="QQ12" s="42">
        <f>IF($CW12="P",CM12,(CM12+BJ12)/2)</f>
        <v>0</v>
      </c>
      <c r="QR12" s="42">
        <f>IF($CW12="P",CN12,(CN12+BK12)/2)</f>
        <v>0</v>
      </c>
      <c r="QS12" s="42">
        <f>IF($CW12="P",CO12,(CO12+BL12)/2)</f>
        <v>0</v>
      </c>
      <c r="QT12" s="42">
        <f>IF($CW12="P",CP12,(CP12+BM12)/2)</f>
        <v>0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0</v>
      </c>
      <c r="QX12" s="42">
        <f>IF($CW12="P",CT12,(CT12+BQ12)/2)</f>
        <v>0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 t="str">
        <f>IF(SUM(QH12,QL12)&gt;0,SUM(QH12,QL12),"")</f>
        <v/>
      </c>
      <c r="RC12" s="76" t="str">
        <f>IF(SUM(QG12:QH12,QJ12:QL12,QN12)-QI12-QM12&gt;0,SUM(QG12:QH12,QJ12:QL12,QN12)-QI12-QM12,"")</f>
        <v/>
      </c>
      <c r="RD12" s="76" t="str">
        <f>IF(SUM(QO12:QP12,QR12)-QQ12&gt;0,SUM(QO12:QP12,QR12)-QQ12,"")</f>
        <v/>
      </c>
      <c r="RE12" s="76" t="str">
        <f>IF(SUM(QH12,QL12,QP12)&gt;0,SUM(QH12,QL12,QP12),"")</f>
        <v/>
      </c>
      <c r="RF12" s="76" t="str">
        <f>IF(SUM(RC12,RD12)&gt;0,SUM(RC12,RD12),"")</f>
        <v/>
      </c>
      <c r="RG12" s="76" t="str">
        <f>IF(SUM(QT12,QX12)&gt;0,SUM(QT12,QX12),"")</f>
        <v/>
      </c>
      <c r="RH12" s="76" t="str">
        <f>IF(SUM(QS12:QT12,QV12:QX12,QZ12)-SUM(QU12,QY12)&gt;0,SUM(QS12:QT12,QV12:QX12,QZ12)-SUM(QU12,QY12),"")</f>
        <v/>
      </c>
      <c r="RI12" s="76" t="str">
        <f>IF(SUM(RC12,RH12)&gt;0,SUM(RC12,RH12),"")</f>
        <v/>
      </c>
    </row>
    <row r="13" spans="1:477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171</v>
      </c>
      <c r="C13" s="7" t="s">
        <v>43</v>
      </c>
      <c r="D13" s="18">
        <v>2000</v>
      </c>
      <c r="E13" s="14">
        <f>SUM(J13:T13)+SUM(J13:P13)*0.0000001+SUM(J13)*0.0000000000001</f>
        <v>118.20000708000472</v>
      </c>
      <c r="F13" s="3" t="str">
        <f>IF(OR(AND(AR13&gt;=AY$17,AS13&gt;=AY$21,AR13&lt;&gt;"",AQ13=""),AND(AW13&gt;=AY$17,AX13&gt;=AY$21,AW13&lt;&gt;"",AQ13=""),AND(BU13&gt;=CB$17,BV13&gt;=CB$21,BU13&lt;&gt;"",BT13=""),AND(BZ13&gt;=CB$17,CA13&gt;=CB$21,BZ13&lt;&gt;"",BT13=""),AND(CX13&gt;=DE$17,CY13&gt;=DE$21,CX13&lt;&gt;"",CW13=""),AND(DC13&gt;=DE$17,DD13&gt;=DE$21,DC13&lt;&gt;""),AND(EC13&gt;=EJ$17,ED13&gt;=EJ$21,EC13&lt;&gt;""),AND(EH13&gt;=EJ$17,EI13&gt;=EJ$21,EH13&lt;&gt;""),AND(FE13&gt;=FL$17,FF13&gt;=FL$21,FE13&lt;&gt;""),AND(FJ13&gt;=FL$17,FK13&gt;=FL$21,FJ13&lt;&gt;""),AND(GG13&gt;=GN$17,GH13&gt;=GN$21,GG13&lt;&gt;""),AND(GL13&gt;=GN$17,GM13&gt;=GN$21,GL13&lt;&gt;""),AND(HI13&gt;=HP$17,HJ13&gt;=HP$21,HI13&lt;&gt;""),AND(HN13&gt;=HP$17,HO13&gt;=HP$21,HN13&lt;&gt;""),AND(IK13&gt;=IR$17,IL13&gt;=IR$21,IK13&lt;&gt;""),AND(IP13&gt;=IR$17,IQ13&gt;=IR$21,IP13&lt;&gt;""),AND(JM13&gt;=JT$17,JN13&gt;=JT$21,JM13&lt;&gt;""),AND(JR13&gt;=JT$17,JS13&gt;=JT$21,JR13&lt;&gt;""),AND(KO13&gt;=KV$17,KP13&gt;=KV$21,KO13&lt;&gt;""),AND(KT13&gt;=KV$17,KU13&gt;=KV$21,KT13&lt;&gt;""),AND(LQ13&gt;=LX$17,LR13&gt;=LX$21,LQ13&lt;&gt;""),AND(LV13&gt;=LX$17,LW13&gt;=LX$21,LV13&lt;&gt;""),AND(MS13&gt;=MZ$17,MT13&gt;=MZ$21,MS13&lt;&gt;""),AND(MX13&gt;=MZ$17,MY13&gt;=MZ$21,MX13&lt;&gt;""),AND(NU13&gt;=OB$17,NV13&gt;=OB$21,NU13&lt;&gt;""),AND(NZ13&gt;=OB$17,OA13&gt;=OB$21,NZ13&lt;&gt;""),AND(OW13&gt;=PD$17,OX13&gt;=PD$21,OW13&lt;&gt;""),AND(PB13&gt;=PD$17,PC13&gt;=PD$21,PB13&lt;&gt;""),AND(PY13&gt;=QF$17,PZ13&gt;=QF$21,PY13&lt;&gt;""),AND(QD13&gt;=QF$17,QE13&gt;=QF$21,QD13&lt;&gt;"")),"P","")</f>
        <v/>
      </c>
      <c r="G13" s="3" t="str">
        <f>IF(OR(AND(AS13&gt;=AY$21,AS13&lt;&gt;"",AQ13=""),AND(AX13&gt;=AY$21,AX13&lt;&gt;"",AQ13=""),AND(BV13&gt;=CB$21,BV13&lt;&gt;"",BT13=""),AND(CA13&gt;=CB$21,CA13&lt;&gt;"",BT13=""),AND(CY13&gt;=DE$21,CY13&lt;&gt;"",CW13=""),AND(DD13&gt;=DE$21,DD13&lt;&gt;"",CW13=""),AND(ED13&gt;=EJ$21,ED13&lt;&gt;""),AND(EI13&gt;=EJ$21,EI13&lt;&gt;""),AND(FF13&gt;=FL$21,FF13&lt;&gt;""),AND(FK13&gt;=FL$21,FK13&lt;&gt;""),AND(GH13&gt;=GN$21,GH13&lt;&gt;""),AND(GM13&gt;=GN$21,GM13&lt;&gt;""),AND(HJ13&gt;=HP$21,HJ13&lt;&gt;""),AND(HO13&gt;=HP$21,HO13&lt;&gt;""),AND(IL13&gt;=IR$21,IL13&lt;&gt;""),AND(IQ13&gt;=IR$21,IQ13&lt;&gt;""),AND(JN13&gt;=JT$21,JN13&lt;&gt;""),AND(JS13&gt;=JT$21,JS13&lt;&gt;""),AND(KP13&gt;=KV$21,KP13&lt;&gt;""),AND(KU13&gt;=KV$21,KU13&lt;&gt;""),AND(LR13&gt;=LX$21,LR13&lt;&gt;""),AND(LW13&gt;=LX$21,LW13&lt;&gt;""),AND(MT13&gt;=MZ$21,MT13&lt;&gt;""),AND(MY13&gt;=MZ$21,MY13&lt;&gt;""),AND(NV13&gt;=OB$21,NV13&lt;&gt;""),AND(OA13&gt;=OB$21,OA13&lt;&gt;""),AND(OX13&gt;=PD$21,OX13&lt;&gt;""),AND(PC13&gt;=PD$21,PC13&lt;&gt;""),AND(PZ13&gt;=QF$21,PZ13&lt;&gt;""),AND(QE13&gt;=QF$21,QE13&lt;&gt;"")),"P","")</f>
        <v/>
      </c>
      <c r="H13" s="70" t="str">
        <f>IF(AND(G13="P",F13=""),"No DD",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Merit",IF(OR(AND(AU13&gt;=AY$19,AV13&gt;=AY$23,AU13&lt;&gt;"",AQ13=""),AND(BX13&gt;=CB$19,BY13&gt;=CB$23,BX13&lt;&gt;"",BT13=""),AND(DA13&gt;=DE$19,DB13&gt;=DE$23,DA13&lt;&gt;"",CW13=""),AND(EF13&gt;=EJ$19,EG13&gt;=EJ$23,EF13&lt;&gt;""),AND(FH13&gt;=FL$19,FI13&gt;=FL$23,FH13&lt;&gt;""),AND(GJ13&gt;=GN$19,GK13&gt;=GN$23,GJ13&lt;&gt;""),AND(HL13&gt;=HP$19,HM13&gt;=HP$23,HL13&lt;&gt;""),AND(IN13&gt;=IR$19,IO13&gt;=IR$23,IN13&lt;&gt;""),AND(JP13&gt;=JT$19,JQ13&gt;=JT$23,JP13&lt;&gt;""),AND(KR13&gt;=KV$19,KS13&gt;=KV$23,KR13&lt;&gt;""),AND(LT13&gt;=LX$19,LU13&gt;=LX$23,LT13&lt;&gt;""),AND(MV13&gt;=MZ$19,MW13&gt;=MZ$23,MV13&lt;&gt;""),AND(NX13&gt;=OB$19,NY13&gt;=OB$23,NX13&lt;&gt;""),AND(OZ13&gt;=PD$19,PA13&gt;=PD$23,OZ13&lt;&gt;""),AND(QB13&gt;=QF$19,QC13&gt;=QF$23,QB13&lt;&gt;"")),"Excellence",IF(I13="P","Worlds Team",IF(F13="P","National Team","")))))</f>
        <v/>
      </c>
      <c r="I13" s="3" t="str">
        <f>IF(OR(AND(AU13&gt;=AY$18,AV13&gt;=AY$22,AU13&lt;&gt;"",AQ13=""),AND(BX13&gt;=CB$18,BY13&gt;=CB$22,BX13&lt;&gt;"",BT13=""),AND(DA13&gt;=DE$18,DB13&gt;=DE$22,DA13&lt;&gt;"",CW13=""),AND(EF13&gt;=EJ$18,EG13&gt;=EJ$22,EF13&lt;&gt;""),AND(FH13&gt;=FL$18,FI13&gt;=FL$22,FH13&lt;&gt;""),AND(GJ13&gt;=GN$18,GK13&gt;=GN$22,GJ13&lt;&gt;""),AND(HL13&gt;=HP$18,HM13&gt;=HP$22,HL13&lt;&gt;""),AND(IN13&gt;=IR$18,IO13&gt;=IR$22,IN13&lt;&gt;""),AND(JP13&gt;=JT$18,JQ13&gt;=JT$22,JP13&lt;&gt;""),AND(KR13&gt;=KV$18,KS13&gt;=KV$22,KR13&lt;&gt;""),AND(LT13&gt;=LX$18,LU13&gt;=LX$22,LT13&lt;&gt;""),AND(MV13&gt;=MZ$18,MW13&gt;=MZ$22,MV13&lt;&gt;""),AND(NX13&gt;=OB$18,NY13&gt;=OB$22,NX13&lt;&gt;""),AND(OZ13&gt;=PD$18,PA13&gt;=PD$22,OZ13&lt;&gt;""),AND(QB13&gt;=QF$18,QC13&gt;=QF$22,QB13&lt;&gt;"")),"P","")</f>
        <v/>
      </c>
      <c r="J13" s="13">
        <f>IF(COUNT(AS13,BV13,CY13)&gt;0,LARGE((AS13,BV13,CY13),1),0)</f>
        <v>47.3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23.5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47.4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18.5</v>
      </c>
      <c r="CD13" s="27">
        <v>5.2</v>
      </c>
      <c r="CE13" s="27">
        <v>0</v>
      </c>
      <c r="CF13" s="27">
        <v>0</v>
      </c>
      <c r="CG13" s="27">
        <v>18.600000000000001</v>
      </c>
      <c r="CH13" s="27">
        <v>5.6</v>
      </c>
      <c r="CI13" s="27">
        <v>0.6</v>
      </c>
      <c r="CJ13" s="27">
        <v>0</v>
      </c>
      <c r="CK13" s="27">
        <v>18.2</v>
      </c>
      <c r="CL13" s="27">
        <v>5.2</v>
      </c>
      <c r="CM13" s="27">
        <v>0.2</v>
      </c>
      <c r="CN13" s="27">
        <v>0.3</v>
      </c>
      <c r="CO13" s="27">
        <v>18.399999999999999</v>
      </c>
      <c r="CP13" s="27">
        <v>5.2</v>
      </c>
      <c r="CQ13" s="27">
        <v>0.6</v>
      </c>
      <c r="CR13" s="27">
        <v>0</v>
      </c>
      <c r="CS13" s="27">
        <v>19</v>
      </c>
      <c r="CT13" s="27">
        <v>5.6</v>
      </c>
      <c r="CU13" s="27">
        <v>0.2</v>
      </c>
      <c r="CV13" s="27">
        <v>0</v>
      </c>
      <c r="CW13" s="51"/>
      <c r="CX13" s="76">
        <f>IF(SUM(CD13,CH13)&gt;0,SUM(CD13,CH13),"")</f>
        <v>10.8</v>
      </c>
      <c r="CY13" s="76">
        <f>IF(SUM(CC13:CD13,CF13:CH13,CJ13)-CE13-CI13&gt;0,SUM(CC13:CD13,CF13:CH13,CJ13)-CE13-CI13,"")</f>
        <v>47.3</v>
      </c>
      <c r="CZ13" s="76">
        <f>IF(SUM(CK13:CL13,CN13)-CM13&gt;0,SUM(CK13:CL13,CN13)-CM13,"")</f>
        <v>23.5</v>
      </c>
      <c r="DA13" s="76">
        <f>IF(SUM(CD13,CH13,CL13)&gt;0,SUM(CD13,CH13,CL13),"")</f>
        <v>16</v>
      </c>
      <c r="DB13" s="76">
        <f>IF(SUM(CY13,CZ13)&gt;0,SUM(CY13,CZ13),"")</f>
        <v>70.8</v>
      </c>
      <c r="DC13" s="76">
        <f>IF(SUM(CP13,CT13)&gt;0,SUM(CP13,CT13),"")</f>
        <v>10.8</v>
      </c>
      <c r="DD13" s="76">
        <f>IF(SUM(CO13:CP13,CR13:CT13,CV13)-SUM(CQ13,CU13)&gt;0,SUM(CO13:CP13,CR13:CT13,CV13)-SUM(CQ13,CU13),"")</f>
        <v>47.4</v>
      </c>
      <c r="DE13" s="76">
        <f>IF(SUM(CY13,DD13)&gt;0,SUM(CY13,DD13),"")</f>
        <v>94.699999999999989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9.25</v>
      </c>
      <c r="QH13" s="42">
        <f>IF($CW13="P",CD13,(CD13+BA13)/2)</f>
        <v>2.6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9.3000000000000007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9.1</v>
      </c>
      <c r="QP13" s="42">
        <f>IF($CW13="P",CL13,(CL13+BI13)/2)</f>
        <v>2.6</v>
      </c>
      <c r="QQ13" s="42">
        <f>IF($CW13="P",CM13,(CM13+BJ13)/2)</f>
        <v>0.1</v>
      </c>
      <c r="QR13" s="42">
        <f>IF($CW13="P",CN13,(CN13+BK13)/2)</f>
        <v>0.15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9.5</v>
      </c>
      <c r="QX13" s="42">
        <f>IF($CW13="P",CT13,(CT13+BQ13)/2)</f>
        <v>2.8</v>
      </c>
      <c r="QY13" s="42">
        <f>IF($CW13="P",CU13,(CU13+BR13)/2)</f>
        <v>0.1</v>
      </c>
      <c r="QZ13" s="42">
        <f>IF($CW13="P",CV13,(CV13+BS13)/2)</f>
        <v>0</v>
      </c>
      <c r="RA13" s="51" t="s">
        <v>61</v>
      </c>
      <c r="RB13" s="76">
        <f>IF(SUM(QH13,QL13)&gt;0,SUM(QH13,QL13),"")</f>
        <v>5.4</v>
      </c>
      <c r="RC13" s="76">
        <f>IF(SUM(QG13:QH13,QJ13:QL13,QN13)-QI13-QM13&gt;0,SUM(QG13:QH13,QJ13:QL13,QN13)-QI13-QM13,"")</f>
        <v>23.65</v>
      </c>
      <c r="RD13" s="76">
        <f>IF(SUM(QO13:QP13,QR13)-QQ13&gt;0,SUM(QO13:QP13,QR13)-QQ13,"")</f>
        <v>11.75</v>
      </c>
      <c r="RE13" s="76">
        <f>IF(SUM(QH13,QL13,QP13)&gt;0,SUM(QH13,QL13,QP13),"")</f>
        <v>8</v>
      </c>
      <c r="RF13" s="76">
        <f>IF(SUM(RC13,RD13)&gt;0,SUM(RC13,RD13),"")</f>
        <v>35.4</v>
      </c>
      <c r="RG13" s="76">
        <f>IF(SUM(QT13,QX13)&gt;0,SUM(QT13,QX13),"")</f>
        <v>5.4</v>
      </c>
      <c r="RH13" s="76">
        <f>IF(SUM(QS13:QT13,QV13:QX13,QZ13)-SUM(QU13,QY13)&gt;0,SUM(QS13:QT13,QV13:QX13,QZ13)-SUM(QU13,QY13),"")</f>
        <v>23.7</v>
      </c>
      <c r="RI13" s="76">
        <f>IF(SUM(RC13,RH13)&gt;0,SUM(RC13,RH13),"")</f>
        <v>47.349999999999994</v>
      </c>
    </row>
    <row r="14" spans="1:477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101</v>
      </c>
      <c r="C14" s="7" t="s">
        <v>6</v>
      </c>
      <c r="D14" s="18">
        <v>2003</v>
      </c>
      <c r="E14" s="14">
        <f>SUM(J14:T14)+SUM(J14:P14)*0.0000001+SUM(J14)*0.0000000000001</f>
        <v>40.500004050004051</v>
      </c>
      <c r="F14" s="3" t="str">
        <f>IF(OR(AND(AR14&gt;=AY$17,AS14&gt;=AY$21,AR14&lt;&gt;"",AQ14=""),AND(AW14&gt;=AY$17,AX14&gt;=AY$21,AW14&lt;&gt;"",AQ14=""),AND(BU14&gt;=CB$17,BV14&gt;=CB$21,BU14&lt;&gt;"",BT14=""),AND(BZ14&gt;=CB$17,CA14&gt;=CB$21,BZ14&lt;&gt;"",BT14=""),AND(CX14&gt;=DE$17,CY14&gt;=DE$21,CX14&lt;&gt;"",CW14=""),AND(DC14&gt;=DE$17,DD14&gt;=DE$21,DC14&lt;&gt;""),AND(EC14&gt;=EJ$17,ED14&gt;=EJ$21,EC14&lt;&gt;""),AND(EH14&gt;=EJ$17,EI14&gt;=EJ$21,EH14&lt;&gt;""),AND(FE14&gt;=FL$17,FF14&gt;=FL$21,FE14&lt;&gt;""),AND(FJ14&gt;=FL$17,FK14&gt;=FL$21,FJ14&lt;&gt;""),AND(GG14&gt;=GN$17,GH14&gt;=GN$21,GG14&lt;&gt;""),AND(GL14&gt;=GN$17,GM14&gt;=GN$21,GL14&lt;&gt;""),AND(HI14&gt;=HP$17,HJ14&gt;=HP$21,HI14&lt;&gt;""),AND(HN14&gt;=HP$17,HO14&gt;=HP$21,HN14&lt;&gt;""),AND(IK14&gt;=IR$17,IL14&gt;=IR$21,IK14&lt;&gt;""),AND(IP14&gt;=IR$17,IQ14&gt;=IR$21,IP14&lt;&gt;""),AND(JM14&gt;=JT$17,JN14&gt;=JT$21,JM14&lt;&gt;""),AND(JR14&gt;=JT$17,JS14&gt;=JT$21,JR14&lt;&gt;""),AND(KO14&gt;=KV$17,KP14&gt;=KV$21,KO14&lt;&gt;""),AND(KT14&gt;=KV$17,KU14&gt;=KV$21,KT14&lt;&gt;""),AND(LQ14&gt;=LX$17,LR14&gt;=LX$21,LQ14&lt;&gt;""),AND(LV14&gt;=LX$17,LW14&gt;=LX$21,LV14&lt;&gt;""),AND(MS14&gt;=MZ$17,MT14&gt;=MZ$21,MS14&lt;&gt;""),AND(MX14&gt;=MZ$17,MY14&gt;=MZ$21,MX14&lt;&gt;""),AND(NU14&gt;=OB$17,NV14&gt;=OB$21,NU14&lt;&gt;""),AND(NZ14&gt;=OB$17,OA14&gt;=OB$21,NZ14&lt;&gt;""),AND(OW14&gt;=PD$17,OX14&gt;=PD$21,OW14&lt;&gt;""),AND(PB14&gt;=PD$17,PC14&gt;=PD$21,PB14&lt;&gt;""),AND(PY14&gt;=QF$17,PZ14&gt;=QF$21,PY14&lt;&gt;""),AND(QD14&gt;=QF$17,QE14&gt;=QF$21,QD14&lt;&gt;"")),"P","")</f>
        <v/>
      </c>
      <c r="G14" s="3" t="str">
        <f>IF(OR(AND(AS14&gt;=AY$21,AS14&lt;&gt;"",AQ14=""),AND(AX14&gt;=AY$21,AX14&lt;&gt;"",AQ14=""),AND(BV14&gt;=CB$21,BV14&lt;&gt;"",BT14=""),AND(CA14&gt;=CB$21,CA14&lt;&gt;"",BT14=""),AND(CY14&gt;=DE$21,CY14&lt;&gt;"",CW14=""),AND(DD14&gt;=DE$21,DD14&lt;&gt;"",CW14=""),AND(ED14&gt;=EJ$21,ED14&lt;&gt;""),AND(EI14&gt;=EJ$21,EI14&lt;&gt;""),AND(FF14&gt;=FL$21,FF14&lt;&gt;""),AND(FK14&gt;=FL$21,FK14&lt;&gt;""),AND(GH14&gt;=GN$21,GH14&lt;&gt;""),AND(GM14&gt;=GN$21,GM14&lt;&gt;""),AND(HJ14&gt;=HP$21,HJ14&lt;&gt;""),AND(HO14&gt;=HP$21,HO14&lt;&gt;""),AND(IL14&gt;=IR$21,IL14&lt;&gt;""),AND(IQ14&gt;=IR$21,IQ14&lt;&gt;""),AND(JN14&gt;=JT$21,JN14&lt;&gt;""),AND(JS14&gt;=JT$21,JS14&lt;&gt;""),AND(KP14&gt;=KV$21,KP14&lt;&gt;""),AND(KU14&gt;=KV$21,KU14&lt;&gt;""),AND(LR14&gt;=LX$21,LR14&lt;&gt;""),AND(LW14&gt;=LX$21,LW14&lt;&gt;""),AND(MT14&gt;=MZ$21,MT14&lt;&gt;""),AND(MY14&gt;=MZ$21,MY14&lt;&gt;""),AND(NV14&gt;=OB$21,NV14&lt;&gt;""),AND(OA14&gt;=OB$21,OA14&lt;&gt;""),AND(OX14&gt;=PD$21,OX14&lt;&gt;""),AND(PC14&gt;=PD$21,PC14&lt;&gt;""),AND(PZ14&gt;=QF$21,PZ14&lt;&gt;""),AND(QE14&gt;=QF$21,QE14&lt;&gt;"")),"P","")</f>
        <v/>
      </c>
      <c r="H14" s="70" t="str">
        <f>IF(AND(G14="P",F14=""),"No DD",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Merit",IF(OR(AND(AU14&gt;=AY$19,AV14&gt;=AY$23,AU14&lt;&gt;"",AQ14=""),AND(BX14&gt;=CB$19,BY14&gt;=CB$23,BX14&lt;&gt;"",BT14=""),AND(DA14&gt;=DE$19,DB14&gt;=DE$23,DA14&lt;&gt;"",CW14=""),AND(EF14&gt;=EJ$19,EG14&gt;=EJ$23,EF14&lt;&gt;""),AND(FH14&gt;=FL$19,FI14&gt;=FL$23,FH14&lt;&gt;""),AND(GJ14&gt;=GN$19,GK14&gt;=GN$23,GJ14&lt;&gt;""),AND(HL14&gt;=HP$19,HM14&gt;=HP$23,HL14&lt;&gt;""),AND(IN14&gt;=IR$19,IO14&gt;=IR$23,IN14&lt;&gt;""),AND(JP14&gt;=JT$19,JQ14&gt;=JT$23,JP14&lt;&gt;""),AND(KR14&gt;=KV$19,KS14&gt;=KV$23,KR14&lt;&gt;""),AND(LT14&gt;=LX$19,LU14&gt;=LX$23,LT14&lt;&gt;""),AND(MV14&gt;=MZ$19,MW14&gt;=MZ$23,MV14&lt;&gt;""),AND(NX14&gt;=OB$19,NY14&gt;=OB$23,NX14&lt;&gt;""),AND(OZ14&gt;=PD$19,PA14&gt;=PD$23,OZ14&lt;&gt;""),AND(QB14&gt;=QF$19,QC14&gt;=QF$23,QB14&lt;&gt;"")),"Excellence",IF(I14="P","Worlds Team",IF(F14="P","National Team","")))))</f>
        <v/>
      </c>
      <c r="I14" s="3" t="str">
        <f>IF(OR(AND(AU14&gt;=AY$18,AV14&gt;=AY$22,AU14&lt;&gt;"",AQ14=""),AND(BX14&gt;=CB$18,BY14&gt;=CB$22,BX14&lt;&gt;"",BT14=""),AND(DA14&gt;=DE$18,DB14&gt;=DE$22,DA14&lt;&gt;"",CW14=""),AND(EF14&gt;=EJ$18,EG14&gt;=EJ$22,EF14&lt;&gt;""),AND(FH14&gt;=FL$18,FI14&gt;=FL$22,FH14&lt;&gt;""),AND(GJ14&gt;=GN$18,GK14&gt;=GN$22,GJ14&lt;&gt;""),AND(HL14&gt;=HP$18,HM14&gt;=HP$22,HL14&lt;&gt;""),AND(IN14&gt;=IR$18,IO14&gt;=IR$22,IN14&lt;&gt;""),AND(JP14&gt;=JT$18,JQ14&gt;=JT$22,JP14&lt;&gt;""),AND(KR14&gt;=KV$18,KS14&gt;=KV$22,KR14&lt;&gt;""),AND(LT14&gt;=LX$18,LU14&gt;=LX$22,LT14&lt;&gt;""),AND(MV14&gt;=MZ$18,MW14&gt;=MZ$22,MV14&lt;&gt;""),AND(NX14&gt;=OB$18,NY14&gt;=OB$22,NX14&lt;&gt;""),AND(OZ14&gt;=PD$18,PA14&gt;=PD$22,OZ14&lt;&gt;""),AND(QB14&gt;=QF$18,QC14&gt;=QF$22,QB14&lt;&gt;"")),"P","")</f>
        <v/>
      </c>
      <c r="J14" s="13">
        <f>IF(COUNT(AS14,BV14,CY14)&gt;0,LARGE((AS14,BV14,CY14),1),0)</f>
        <v>40.5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0</v>
      </c>
      <c r="O14" s="13" t="str">
        <f>IF(N14=0,"",IF(N14=CZ14,$CC$1,IF(N14=BW14,$AZ$1,IF(N14=AT14,$W$1,""))))</f>
        <v/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18.399999999999999</v>
      </c>
      <c r="CD14" s="27">
        <v>5.2</v>
      </c>
      <c r="CE14" s="27">
        <v>0.2</v>
      </c>
      <c r="CF14" s="27">
        <v>0</v>
      </c>
      <c r="CG14" s="27">
        <v>17.100000000000001</v>
      </c>
      <c r="CH14" s="27">
        <v>0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0</v>
      </c>
      <c r="CS14" s="27">
        <v>0</v>
      </c>
      <c r="CT14" s="27">
        <v>0</v>
      </c>
      <c r="CU14" s="27">
        <v>0</v>
      </c>
      <c r="CV14" s="27">
        <v>0</v>
      </c>
      <c r="CW14" s="51"/>
      <c r="CX14" s="76">
        <f>IF(SUM(CD14,CH14)&gt;0,SUM(CD14,CH14),"")</f>
        <v>5.2</v>
      </c>
      <c r="CY14" s="76">
        <f>IF(SUM(CC14:CD14,CF14:CH14,CJ14)-CE14-CI14&gt;0,SUM(CC14:CD14,CF14:CH14,CJ14)-CE14-CI14,"")</f>
        <v>40.5</v>
      </c>
      <c r="CZ14" s="76" t="str">
        <f>IF(SUM(CK14:CL14,CN14)-CM14&gt;0,SUM(CK14:CL14,CN14)-CM14,"")</f>
        <v/>
      </c>
      <c r="DA14" s="76">
        <f>IF(SUM(CD14,CH14,CL14)&gt;0,SUM(CD14,CH14,CL14),"")</f>
        <v>5.2</v>
      </c>
      <c r="DB14" s="76">
        <f>IF(SUM(CY14,CZ14)&gt;0,SUM(CY14,CZ14),"")</f>
        <v>40.5</v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>
        <f>IF(SUM(CY14,DD14)&gt;0,SUM(CY14,DD14),"")</f>
        <v>40.5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0.1</v>
      </c>
      <c r="QJ14" s="42">
        <f>IF($CW14="P",CF14,(CF14+BC14)/2)</f>
        <v>0</v>
      </c>
      <c r="QK14" s="42">
        <f>IF($CW14="P",CG14,(CG14+BD14)/2)</f>
        <v>8.5500000000000007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0</v>
      </c>
      <c r="QP14" s="42">
        <f>IF($CW14="P",CL14,(CL14+BI14)/2)</f>
        <v>0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2.6</v>
      </c>
      <c r="RC14" s="76">
        <f>IF(SUM(QG14:QH14,QJ14:QL14,QN14)-QI14-QM14&gt;0,SUM(QG14:QH14,QJ14:QL14,QN14)-QI14-QM14,"")</f>
        <v>20.25</v>
      </c>
      <c r="RD14" s="76" t="str">
        <f>IF(SUM(QO14:QP14,QR14)-QQ14&gt;0,SUM(QO14:QP14,QR14)-QQ14,"")</f>
        <v/>
      </c>
      <c r="RE14" s="76">
        <f>IF(SUM(QH14,QL14,QP14)&gt;0,SUM(QH14,QL14,QP14),"")</f>
        <v>2.6</v>
      </c>
      <c r="RF14" s="76">
        <f>IF(SUM(RC14,RD14)&gt;0,SUM(RC14,RD14),"")</f>
        <v>20.25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20.25</v>
      </c>
    </row>
    <row r="15" spans="1:477" ht="17" x14ac:dyDescent="0.2">
      <c r="T15" s="15"/>
      <c r="U15" s="15"/>
      <c r="V15" s="15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</row>
    <row r="16" spans="1:477" ht="17" x14ac:dyDescent="0.2">
      <c r="T16" s="15"/>
      <c r="U16" s="15"/>
      <c r="V16" s="15"/>
    </row>
    <row r="17" spans="1:458" ht="17" x14ac:dyDescent="0.2">
      <c r="B17" s="43" t="s">
        <v>58</v>
      </c>
      <c r="T17" s="15"/>
      <c r="U17" s="15"/>
      <c r="V17" s="15"/>
      <c r="AR17" s="7"/>
      <c r="AY17" s="78">
        <v>1.0000000000000001E-5</v>
      </c>
      <c r="BU17" s="7"/>
      <c r="CB17" s="78">
        <v>1.0000000000000001E-5</v>
      </c>
      <c r="CX17" s="7"/>
      <c r="DE17" s="78">
        <v>10.8</v>
      </c>
      <c r="EC17" s="7"/>
      <c r="EJ17" s="78">
        <v>1.0000000000000001E-5</v>
      </c>
      <c r="FE17" s="7"/>
      <c r="FL17" s="78">
        <v>10.8</v>
      </c>
      <c r="GG17" s="7"/>
      <c r="GN17" s="78">
        <v>10.8</v>
      </c>
      <c r="HI17" s="7"/>
      <c r="HP17" s="78">
        <v>10.8</v>
      </c>
      <c r="IK17" s="7"/>
      <c r="IR17" s="78">
        <v>10.8</v>
      </c>
      <c r="JM17" s="7"/>
      <c r="JT17" s="78">
        <v>10.8</v>
      </c>
      <c r="KO17" s="7"/>
      <c r="KV17" s="78">
        <v>10.8</v>
      </c>
      <c r="LQ17" s="7"/>
      <c r="LX17" s="78">
        <v>10.8</v>
      </c>
      <c r="MS17" s="7"/>
      <c r="MZ17" s="78">
        <v>10.8</v>
      </c>
      <c r="NU17" s="7"/>
      <c r="OB17" s="78">
        <v>10.8</v>
      </c>
      <c r="OW17" s="7"/>
      <c r="PD17" s="78">
        <v>10.8</v>
      </c>
      <c r="PY17" s="7"/>
      <c r="QF17" s="78">
        <v>10.8</v>
      </c>
    </row>
    <row r="18" spans="1:458" ht="17" x14ac:dyDescent="0.2">
      <c r="B18" s="54" t="s">
        <v>57</v>
      </c>
      <c r="T18" s="15"/>
      <c r="U18" s="15"/>
      <c r="V18" s="15"/>
      <c r="AR18" s="7"/>
      <c r="AY18" s="93">
        <v>2.0000000000000002E-5</v>
      </c>
      <c r="BU18" s="7"/>
      <c r="CB18" s="93">
        <v>2.0000000000000002E-5</v>
      </c>
      <c r="CX18" s="7"/>
      <c r="DE18" s="93">
        <v>16</v>
      </c>
      <c r="EC18" s="7"/>
      <c r="EJ18" s="93">
        <v>2.0000000000000002E-5</v>
      </c>
      <c r="FE18" s="7"/>
      <c r="FL18" s="93">
        <v>16</v>
      </c>
      <c r="GG18" s="7"/>
      <c r="GN18" s="93">
        <v>16</v>
      </c>
      <c r="HI18" s="7"/>
      <c r="HP18" s="93">
        <v>16</v>
      </c>
      <c r="IK18" s="7"/>
      <c r="IR18" s="93">
        <v>16</v>
      </c>
      <c r="JM18" s="7"/>
      <c r="JT18" s="93">
        <v>16</v>
      </c>
      <c r="KO18" s="7"/>
      <c r="KV18" s="93">
        <v>16</v>
      </c>
      <c r="LQ18" s="7"/>
      <c r="LX18" s="93">
        <v>16</v>
      </c>
      <c r="MS18" s="7"/>
      <c r="MZ18" s="93">
        <v>16</v>
      </c>
      <c r="NU18" s="7"/>
      <c r="OB18" s="93">
        <v>16</v>
      </c>
      <c r="OW18" s="7"/>
      <c r="PD18" s="93">
        <v>16</v>
      </c>
      <c r="PY18" s="7"/>
      <c r="QF18" s="93">
        <v>16</v>
      </c>
    </row>
    <row r="19" spans="1:458" ht="17" x14ac:dyDescent="0.2">
      <c r="A19" s="35"/>
      <c r="B19" s="55" t="s">
        <v>71</v>
      </c>
      <c r="C19" s="34"/>
      <c r="T19" s="15"/>
      <c r="U19" s="15"/>
      <c r="V19" s="15"/>
      <c r="AR19" s="7"/>
      <c r="AY19" s="80">
        <v>3.0000000000000001E-5</v>
      </c>
      <c r="BU19" s="7"/>
      <c r="CB19" s="80">
        <v>3.0000000000000001E-5</v>
      </c>
      <c r="CX19" s="7"/>
      <c r="DE19" s="80">
        <v>16.8</v>
      </c>
      <c r="EC19" s="7"/>
      <c r="EJ19" s="80">
        <v>3.0000000000000001E-5</v>
      </c>
      <c r="FE19" s="7"/>
      <c r="FL19" s="80">
        <v>16.8</v>
      </c>
      <c r="GG19" s="7"/>
      <c r="GN19" s="80">
        <v>16.8</v>
      </c>
      <c r="HI19" s="7"/>
      <c r="HP19" s="80">
        <v>16.8</v>
      </c>
      <c r="IK19" s="7"/>
      <c r="IR19" s="80">
        <v>16.8</v>
      </c>
      <c r="JM19" s="7"/>
      <c r="JT19" s="80">
        <v>16.8</v>
      </c>
      <c r="KO19" s="7"/>
      <c r="KV19" s="80">
        <v>16.8</v>
      </c>
      <c r="LQ19" s="7"/>
      <c r="LX19" s="80">
        <v>16.8</v>
      </c>
      <c r="MS19" s="7"/>
      <c r="MZ19" s="80">
        <v>16.8</v>
      </c>
      <c r="NU19" s="7"/>
      <c r="OB19" s="80">
        <v>16.8</v>
      </c>
      <c r="OW19" s="7"/>
      <c r="PD19" s="80">
        <v>16.8</v>
      </c>
      <c r="PY19" s="7"/>
      <c r="QF19" s="80">
        <v>16.8</v>
      </c>
    </row>
    <row r="20" spans="1:458" ht="17" x14ac:dyDescent="0.2">
      <c r="A20" s="35"/>
      <c r="B20" s="66" t="s">
        <v>86</v>
      </c>
      <c r="C20" s="34"/>
      <c r="T20" s="15"/>
      <c r="U20" s="15"/>
      <c r="V20" s="15"/>
      <c r="AR20" s="7"/>
      <c r="AY20" s="81">
        <v>4.0000000000000003E-5</v>
      </c>
      <c r="BU20" s="7"/>
      <c r="CB20" s="81">
        <v>4.0000000000000003E-5</v>
      </c>
      <c r="CX20" s="7"/>
      <c r="DE20" s="81">
        <v>17.600000000000001</v>
      </c>
      <c r="EC20" s="7"/>
      <c r="EJ20" s="81">
        <v>4.0000000000000003E-5</v>
      </c>
      <c r="FE20" s="7"/>
      <c r="FL20" s="81">
        <v>17.600000000000001</v>
      </c>
      <c r="GG20" s="7"/>
      <c r="GN20" s="81">
        <v>17.600000000000001</v>
      </c>
      <c r="HI20" s="7"/>
      <c r="HP20" s="81">
        <v>17.600000000000001</v>
      </c>
      <c r="IK20" s="7"/>
      <c r="IR20" s="81">
        <v>17.600000000000001</v>
      </c>
      <c r="JM20" s="7"/>
      <c r="JT20" s="81">
        <v>17.600000000000001</v>
      </c>
      <c r="KO20" s="7"/>
      <c r="KV20" s="81">
        <v>17.600000000000001</v>
      </c>
      <c r="LQ20" s="7"/>
      <c r="LX20" s="81">
        <v>17.600000000000001</v>
      </c>
      <c r="MS20" s="7"/>
      <c r="MZ20" s="81">
        <v>17.600000000000001</v>
      </c>
      <c r="NU20" s="7"/>
      <c r="OB20" s="81">
        <v>17.600000000000001</v>
      </c>
      <c r="OW20" s="7"/>
      <c r="PD20" s="81">
        <v>17.600000000000001</v>
      </c>
      <c r="PY20" s="7"/>
      <c r="QF20" s="81">
        <v>17.600000000000001</v>
      </c>
    </row>
    <row r="21" spans="1:458" ht="17" x14ac:dyDescent="0.2">
      <c r="A21" s="35"/>
      <c r="B21" s="65" t="s">
        <v>55</v>
      </c>
      <c r="C21" s="34"/>
      <c r="T21" s="15"/>
      <c r="U21" s="15"/>
      <c r="V21" s="15"/>
      <c r="AR21" s="7"/>
      <c r="AY21" s="82">
        <v>5.0000000000000002E-5</v>
      </c>
      <c r="BU21" s="7"/>
      <c r="CB21" s="82">
        <v>5.0000000000000002E-5</v>
      </c>
      <c r="CX21" s="7"/>
      <c r="DE21" s="82">
        <v>48</v>
      </c>
      <c r="EC21" s="7"/>
      <c r="EJ21" s="82">
        <v>5.0000000000000002E-5</v>
      </c>
      <c r="FE21" s="7"/>
      <c r="FL21" s="82">
        <v>48</v>
      </c>
      <c r="GG21" s="7"/>
      <c r="GN21" s="82">
        <v>48</v>
      </c>
      <c r="HI21" s="7"/>
      <c r="HP21" s="82">
        <v>48</v>
      </c>
      <c r="IK21" s="7"/>
      <c r="IR21" s="82">
        <v>48</v>
      </c>
      <c r="JM21" s="7"/>
      <c r="JT21" s="82">
        <v>48</v>
      </c>
      <c r="KO21" s="7"/>
      <c r="KV21" s="82">
        <v>48</v>
      </c>
      <c r="LQ21" s="7"/>
      <c r="LX21" s="82">
        <v>48</v>
      </c>
      <c r="MS21" s="7"/>
      <c r="MZ21" s="82">
        <v>48</v>
      </c>
      <c r="NU21" s="7"/>
      <c r="OB21" s="82">
        <v>48</v>
      </c>
      <c r="OW21" s="7"/>
      <c r="PD21" s="82">
        <v>48</v>
      </c>
      <c r="PY21" s="7"/>
      <c r="QF21" s="82">
        <v>48</v>
      </c>
    </row>
    <row r="22" spans="1:458" ht="17" x14ac:dyDescent="0.2">
      <c r="A22" s="35"/>
      <c r="B22" s="44" t="s">
        <v>56</v>
      </c>
      <c r="C22" s="34"/>
      <c r="T22" s="15"/>
      <c r="U22" s="15"/>
      <c r="V22" s="15"/>
      <c r="AR22" s="7"/>
      <c r="AY22" s="83">
        <v>6.0000000000000002E-5</v>
      </c>
      <c r="BU22" s="7"/>
      <c r="CB22" s="83">
        <v>6.0000000000000002E-5</v>
      </c>
      <c r="CX22" s="7"/>
      <c r="DE22" s="83">
        <v>72</v>
      </c>
      <c r="EC22" s="7"/>
      <c r="EJ22" s="83">
        <v>6.0000000000000002E-5</v>
      </c>
      <c r="FE22" s="7"/>
      <c r="FL22" s="83">
        <v>72</v>
      </c>
      <c r="GG22" s="7"/>
      <c r="GN22" s="83">
        <v>72</v>
      </c>
      <c r="HI22" s="7"/>
      <c r="HP22" s="83">
        <v>72</v>
      </c>
      <c r="IK22" s="7"/>
      <c r="IR22" s="83">
        <v>72</v>
      </c>
      <c r="JM22" s="7"/>
      <c r="JT22" s="83">
        <v>72</v>
      </c>
      <c r="KO22" s="7"/>
      <c r="KV22" s="83">
        <v>72</v>
      </c>
      <c r="LQ22" s="7"/>
      <c r="LX22" s="83">
        <v>72</v>
      </c>
      <c r="MS22" s="7"/>
      <c r="MZ22" s="83">
        <v>72</v>
      </c>
      <c r="NU22" s="7"/>
      <c r="OB22" s="83">
        <v>72</v>
      </c>
      <c r="OW22" s="7"/>
      <c r="PD22" s="83">
        <v>72</v>
      </c>
      <c r="PY22" s="7"/>
      <c r="QF22" s="83">
        <v>72</v>
      </c>
    </row>
    <row r="23" spans="1:458" ht="17" x14ac:dyDescent="0.2">
      <c r="A23" s="35"/>
      <c r="B23" s="64" t="s">
        <v>70</v>
      </c>
      <c r="C23" s="34"/>
      <c r="T23" s="15"/>
      <c r="U23" s="15"/>
      <c r="V23" s="15"/>
      <c r="AR23" s="7"/>
      <c r="AY23" s="84">
        <v>6.9999999999999994E-5</v>
      </c>
      <c r="BU23" s="7"/>
      <c r="CB23" s="84">
        <v>6.9999999999999994E-5</v>
      </c>
      <c r="CX23" s="7"/>
      <c r="DE23" s="84">
        <v>73.400000000000006</v>
      </c>
      <c r="EC23" s="7"/>
      <c r="EJ23" s="84">
        <v>6.9999999999999994E-5</v>
      </c>
      <c r="FE23" s="7"/>
      <c r="FL23" s="84">
        <v>73.400000000000006</v>
      </c>
      <c r="GG23" s="7"/>
      <c r="GN23" s="84">
        <v>73.400000000000006</v>
      </c>
      <c r="HI23" s="7"/>
      <c r="HP23" s="84">
        <v>73.400000000000006</v>
      </c>
      <c r="IK23" s="7"/>
      <c r="IR23" s="84">
        <v>73.400000000000006</v>
      </c>
      <c r="JM23" s="7"/>
      <c r="JT23" s="84">
        <v>73.400000000000006</v>
      </c>
      <c r="KO23" s="7"/>
      <c r="KV23" s="84">
        <v>73.400000000000006</v>
      </c>
      <c r="LQ23" s="7"/>
      <c r="LX23" s="84">
        <v>73.400000000000006</v>
      </c>
      <c r="MS23" s="7"/>
      <c r="MZ23" s="84">
        <v>73.400000000000006</v>
      </c>
      <c r="NU23" s="7"/>
      <c r="OB23" s="84">
        <v>73.400000000000006</v>
      </c>
      <c r="OW23" s="7"/>
      <c r="PD23" s="84">
        <v>73.400000000000006</v>
      </c>
      <c r="PY23" s="7"/>
      <c r="QF23" s="84">
        <v>73.400000000000006</v>
      </c>
    </row>
    <row r="24" spans="1:458" ht="17" x14ac:dyDescent="0.2">
      <c r="A24" s="35"/>
      <c r="B24" s="45" t="s">
        <v>39</v>
      </c>
      <c r="C24" s="34"/>
      <c r="T24" s="15"/>
      <c r="U24" s="15"/>
      <c r="V24" s="15"/>
      <c r="AR24" s="7"/>
      <c r="AV24" s="70" t="s">
        <v>174</v>
      </c>
      <c r="AY24" s="85">
        <v>8.0000000000000007E-5</v>
      </c>
      <c r="BU24" s="7"/>
      <c r="BY24" s="70" t="s">
        <v>174</v>
      </c>
      <c r="CB24" s="85">
        <v>8.0000000000000007E-5</v>
      </c>
      <c r="CX24" s="7"/>
      <c r="DE24" s="85">
        <v>74.8</v>
      </c>
      <c r="EC24" s="7"/>
      <c r="EG24" s="70" t="s">
        <v>174</v>
      </c>
      <c r="EJ24" s="85">
        <v>8.0000000000000007E-5</v>
      </c>
      <c r="FE24" s="7"/>
      <c r="FL24" s="85">
        <v>74.8</v>
      </c>
      <c r="GG24" s="7"/>
      <c r="GN24" s="85">
        <v>74.8</v>
      </c>
      <c r="HI24" s="7"/>
      <c r="HP24" s="85">
        <v>74.8</v>
      </c>
      <c r="IK24" s="7"/>
      <c r="IR24" s="85">
        <v>74.8</v>
      </c>
      <c r="JM24" s="7"/>
      <c r="JT24" s="85">
        <v>74.8</v>
      </c>
      <c r="KO24" s="7"/>
      <c r="KV24" s="85">
        <v>74.8</v>
      </c>
      <c r="LQ24" s="7"/>
      <c r="LX24" s="85">
        <v>74.8</v>
      </c>
      <c r="MS24" s="7"/>
      <c r="MZ24" s="85">
        <v>74.8</v>
      </c>
      <c r="NU24" s="7"/>
      <c r="OB24" s="85">
        <v>74.8</v>
      </c>
      <c r="OW24" s="7"/>
      <c r="PD24" s="85">
        <v>74.8</v>
      </c>
      <c r="PY24" s="7"/>
      <c r="QF24" s="85">
        <v>74.8</v>
      </c>
    </row>
    <row r="25" spans="1:458" x14ac:dyDescent="0.2">
      <c r="B25" s="53" t="s">
        <v>62</v>
      </c>
      <c r="C25" s="2"/>
    </row>
    <row r="26" spans="1:458" x14ac:dyDescent="0.2">
      <c r="A26" s="35"/>
      <c r="B26" s="35"/>
      <c r="C26" s="34"/>
      <c r="QH26" s="2"/>
      <c r="QI26" s="2"/>
      <c r="QJ26" s="2"/>
      <c r="QK26" s="2"/>
      <c r="QL26" s="2"/>
      <c r="QM26" s="2"/>
      <c r="QN26" s="2"/>
      <c r="QO26" s="2"/>
      <c r="QP26" s="2"/>
    </row>
    <row r="27" spans="1:458" x14ac:dyDescent="0.2">
      <c r="A27" s="35"/>
      <c r="B27" s="35"/>
      <c r="C27" s="34"/>
    </row>
    <row r="28" spans="1:458" x14ac:dyDescent="0.2">
      <c r="A28" s="35"/>
      <c r="B28" s="35"/>
      <c r="C28" s="34"/>
    </row>
    <row r="29" spans="1:458" x14ac:dyDescent="0.2">
      <c r="A29" s="6"/>
      <c r="B29" s="6"/>
      <c r="C29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4">
      <sortCondition descending="1" ref="F1:F15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14">
    <cfRule type="expression" dxfId="27" priority="5" stopIfTrue="1">
      <formula>IF($AQ4&lt;&gt;"",1,0)</formula>
    </cfRule>
  </conditionalFormatting>
  <conditionalFormatting sqref="AZ4:CB14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4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5" priority="59902" operator="between">
      <formula>AY$17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4" priority="59947" operator="between">
      <formula>AY$21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3" priority="59992" operator="between">
      <formula>AY$17</formula>
      <formula>AY$18</formula>
    </cfRule>
    <cfRule type="cellIs" dxfId="12" priority="59993" operator="between">
      <formula>AY$18</formula>
      <formula>AY$19</formula>
    </cfRule>
    <cfRule type="cellIs" dxfId="11" priority="59994" operator="between">
      <formula>AY$19</formula>
      <formula>AY$20</formula>
    </cfRule>
    <cfRule type="cellIs" dxfId="10" priority="59995" operator="between">
      <formula>AY$20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" priority="60172" operator="between">
      <formula>AY$21</formula>
      <formula>AY$22</formula>
    </cfRule>
    <cfRule type="cellIs" dxfId="8" priority="60173" operator="between">
      <formula>AY$22</formula>
      <formula>AY$23</formula>
    </cfRule>
    <cfRule type="cellIs" dxfId="7" priority="60174" operator="between">
      <formula>AY$23</formula>
      <formula>AY$24</formula>
    </cfRule>
    <cfRule type="cellIs" dxfId="6" priority="60175" operator="between">
      <formula>AY$24</formula>
      <formula>1000</formula>
    </cfRule>
  </conditionalFormatting>
  <conditionalFormatting sqref="BY1:BY23 DB1:DB1048576 EG1:EG23 FI1:FI1048576 GK1:GK1048576 HM1:HM1048576 IO1:IO1048576 JQ1:JQ1048576 KS1:KS1048576 LU1:LU1048576 MW1:MW1048576 NY1:NY1048576 PA1:PA1048576 QC1:QC1048576 AV1:AV23 AV25:AV1048576 BY25:BY1048576 EG25:EG1048576">
    <cfRule type="cellIs" dxfId="5" priority="60352" operator="between">
      <formula>AY$24</formula>
      <formula>1000</formula>
    </cfRule>
    <cfRule type="cellIs" dxfId="4" priority="60353" operator="between">
      <formula>AY$23</formula>
      <formula>AY$24</formula>
    </cfRule>
    <cfRule type="cellIs" dxfId="3" priority="60354" operator="between">
      <formula>AY$22</formula>
      <formula>AY$23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0487" operator="between">
      <formula>AY$20</formula>
      <formula>1000</formula>
    </cfRule>
    <cfRule type="cellIs" dxfId="1" priority="60488" operator="between">
      <formula>AY$19</formula>
      <formula>AY$20</formula>
    </cfRule>
    <cfRule type="cellIs" dxfId="0" priority="60489" operator="between">
      <formula>AY$18</formula>
      <formula>AY$19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2022-06-07T20:15:29Z</dcterms:modified>
</cp:coreProperties>
</file>